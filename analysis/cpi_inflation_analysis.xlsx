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OneDrive\Documents\Shalini\Data Analytics\Projects_Excel\India CPI Inflation\"/>
    </mc:Choice>
  </mc:AlternateContent>
  <xr:revisionPtr revIDLastSave="0" documentId="13_ncr:1_{11B5350C-7F98-4DC7-B9F4-94E5252062BF}" xr6:coauthVersionLast="47" xr6:coauthVersionMax="47" xr10:uidLastSave="{00000000-0000-0000-0000-000000000000}"/>
  <bookViews>
    <workbookView xWindow="-108" yWindow="-108" windowWidth="23256" windowHeight="13176" tabRatio="906" firstSheet="1" activeTab="7" xr2:uid="{CF6FDC69-30E6-4F66-9D8D-49CFC43C32BB}"/>
  </bookViews>
  <sheets>
    <sheet name="IndiaCPI_Inflation_Cleaned" sheetId="1" r:id="rId1"/>
    <sheet name="Data_Structured&amp;Imputed" sheetId="2" r:id="rId2"/>
    <sheet name="Data_Imputed" sheetId="7" r:id="rId3"/>
    <sheet name="Moving Average" sheetId="3" r:id="rId4"/>
    <sheet name="CrudeOil_prices" sheetId="12" r:id="rId5"/>
    <sheet name="PivotTables" sheetId="8" r:id="rId6"/>
    <sheet name="Analysis" sheetId="10" r:id="rId7"/>
    <sheet name="Dashboard" sheetId="11" r:id="rId8"/>
    <sheet name="CleaningRecord" sheetId="4" r:id="rId9"/>
  </sheets>
  <definedNames>
    <definedName name="_xlchart.v1.0" hidden="1">Analysis!$O$30</definedName>
    <definedName name="_xlchart.v1.1" hidden="1">Analysis!$O$31</definedName>
    <definedName name="_xlchart.v1.10" hidden="1">Analysis!$P$30:$Z$30</definedName>
    <definedName name="_xlchart.v1.11" hidden="1">Analysis!$P$31:$Z$31</definedName>
    <definedName name="_xlchart.v1.12" hidden="1">Analysis!$P$32:$Z$32</definedName>
    <definedName name="_xlchart.v1.13" hidden="1">Analysis!$P$33:$Z$33</definedName>
    <definedName name="_xlchart.v1.14" hidden="1">Analysis!$P$34:$Z$34</definedName>
    <definedName name="_xlchart.v1.15" hidden="1">Analysis!$P$35:$Z$35</definedName>
    <definedName name="_xlchart.v1.16" hidden="1">Analysis!$P$36:$Z$36</definedName>
    <definedName name="_xlchart.v1.17" hidden="1">Analysis!$P$37:$Z$37</definedName>
    <definedName name="_xlchart.v1.18" hidden="1">Analysis!$P$38:$Z$38</definedName>
    <definedName name="_xlchart.v1.19" hidden="1">Analysis!$D$56</definedName>
    <definedName name="_xlchart.v1.2" hidden="1">Analysis!$O$32</definedName>
    <definedName name="_xlchart.v1.20" hidden="1">Analysis!$D$57</definedName>
    <definedName name="_xlchart.v1.21" hidden="1">Analysis!$D$58</definedName>
    <definedName name="_xlchart.v1.22" hidden="1">Analysis!$D$59</definedName>
    <definedName name="_xlchart.v1.23" hidden="1">Analysis!$D$60</definedName>
    <definedName name="_xlchart.v1.24" hidden="1">Analysis!$D$61</definedName>
    <definedName name="_xlchart.v1.25" hidden="1">Analysis!$D$62</definedName>
    <definedName name="_xlchart.v1.26" hidden="1">Analysis!$D$63</definedName>
    <definedName name="_xlchart.v1.27" hidden="1">Analysis!$D$64</definedName>
    <definedName name="_xlchart.v1.28" hidden="1">Analysis!$D$65</definedName>
    <definedName name="_xlchart.v1.29" hidden="1">Analysis!$E$55:$AG$55</definedName>
    <definedName name="_xlchart.v1.3" hidden="1">Analysis!$O$33</definedName>
    <definedName name="_xlchart.v1.30" hidden="1">Analysis!$E$56:$AG$56</definedName>
    <definedName name="_xlchart.v1.31" hidden="1">Analysis!$E$57:$AG$57</definedName>
    <definedName name="_xlchart.v1.32" hidden="1">Analysis!$E$58:$AG$58</definedName>
    <definedName name="_xlchart.v1.33" hidden="1">Analysis!$E$59:$AG$59</definedName>
    <definedName name="_xlchart.v1.34" hidden="1">Analysis!$E$60:$AG$60</definedName>
    <definedName name="_xlchart.v1.35" hidden="1">Analysis!$E$61:$AG$61</definedName>
    <definedName name="_xlchart.v1.36" hidden="1">Analysis!$E$62:$AG$62</definedName>
    <definedName name="_xlchart.v1.37" hidden="1">Analysis!$E$63:$AG$63</definedName>
    <definedName name="_xlchart.v1.38" hidden="1">Analysis!$E$64:$AG$64</definedName>
    <definedName name="_xlchart.v1.39" hidden="1">Analysis!$E$65:$AG$65</definedName>
    <definedName name="_xlchart.v1.4" hidden="1">Analysis!$O$34</definedName>
    <definedName name="_xlchart.v1.5" hidden="1">Analysis!$O$35</definedName>
    <definedName name="_xlchart.v1.6" hidden="1">Analysis!$O$36</definedName>
    <definedName name="_xlchart.v1.7" hidden="1">Analysis!$O$37</definedName>
    <definedName name="_xlchart.v1.8" hidden="1">Analysis!$O$38</definedName>
    <definedName name="_xlchart.v1.9" hidden="1">Analysis!$P$29:$Z$29</definedName>
    <definedName name="ExternalData_1" localSheetId="4" hidden="1">'CrudeOil_prices'!$A$1:$C$30</definedName>
    <definedName name="ExternalData_1" localSheetId="2" hidden="1">Data_Imputed!#REF!</definedName>
    <definedName name="ExternalData_1" localSheetId="1" hidden="1">'Data_Structured&amp;Imputed'!$A$1:$H$3349</definedName>
    <definedName name="ExternalData_2" localSheetId="1" hidden="1">'Data_Structured&amp;Imputed'!#REF!</definedName>
    <definedName name="ExternalData_3" localSheetId="2" hidden="1">Data_Imputed!$K$1:$Q$10045</definedName>
    <definedName name="Slicer_Secto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3" i="8" l="1"/>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A28" i="10"/>
  <c r="AG65" i="10"/>
  <c r="AF65" i="10"/>
  <c r="AE65" i="10"/>
  <c r="AD65" i="10"/>
  <c r="AC65" i="10"/>
  <c r="AB65" i="10"/>
  <c r="AA65" i="10"/>
  <c r="Z65" i="10"/>
  <c r="Y65" i="10"/>
  <c r="X65" i="10"/>
  <c r="W65" i="10"/>
  <c r="V65" i="10"/>
  <c r="U65" i="10"/>
  <c r="T65" i="10"/>
  <c r="S65" i="10"/>
  <c r="R65" i="10"/>
  <c r="Q65" i="10"/>
  <c r="P65" i="10"/>
  <c r="O65" i="10"/>
  <c r="N65" i="10"/>
  <c r="M65" i="10"/>
  <c r="L65" i="10"/>
  <c r="K65" i="10"/>
  <c r="J65" i="10"/>
  <c r="I65" i="10"/>
  <c r="H65" i="10"/>
  <c r="G65" i="10"/>
  <c r="F65" i="10"/>
  <c r="E65" i="10"/>
  <c r="AG64" i="10"/>
  <c r="AF64" i="10"/>
  <c r="AE64" i="10"/>
  <c r="AD64" i="10"/>
  <c r="AC64" i="10"/>
  <c r="AB64" i="10"/>
  <c r="AA64" i="10"/>
  <c r="Z64" i="10"/>
  <c r="Y64" i="10"/>
  <c r="X64" i="10"/>
  <c r="W64" i="10"/>
  <c r="V64" i="10"/>
  <c r="U64" i="10"/>
  <c r="T64" i="10"/>
  <c r="S64" i="10"/>
  <c r="R64" i="10"/>
  <c r="Q64" i="10"/>
  <c r="P64" i="10"/>
  <c r="O64" i="10"/>
  <c r="N64" i="10"/>
  <c r="M64" i="10"/>
  <c r="L64" i="10"/>
  <c r="K64" i="10"/>
  <c r="J64" i="10"/>
  <c r="I64" i="10"/>
  <c r="H64" i="10"/>
  <c r="G64" i="10"/>
  <c r="F64" i="10"/>
  <c r="E64" i="10"/>
  <c r="AG63" i="10"/>
  <c r="AF63" i="10"/>
  <c r="AE63" i="10"/>
  <c r="AD63" i="10"/>
  <c r="AC63" i="10"/>
  <c r="AB63" i="10"/>
  <c r="AA63" i="10"/>
  <c r="Z63" i="10"/>
  <c r="Y63" i="10"/>
  <c r="X63" i="10"/>
  <c r="W63" i="10"/>
  <c r="V63" i="10"/>
  <c r="U63" i="10"/>
  <c r="T63" i="10"/>
  <c r="S63" i="10"/>
  <c r="R63" i="10"/>
  <c r="Q63" i="10"/>
  <c r="P63" i="10"/>
  <c r="O63" i="10"/>
  <c r="N63" i="10"/>
  <c r="M63" i="10"/>
  <c r="L63" i="10"/>
  <c r="K63" i="10"/>
  <c r="J63" i="10"/>
  <c r="I63" i="10"/>
  <c r="H63" i="10"/>
  <c r="G63" i="10"/>
  <c r="F63" i="10"/>
  <c r="E63" i="10"/>
  <c r="AG62" i="10"/>
  <c r="AF62" i="10"/>
  <c r="AE62" i="10"/>
  <c r="AD62" i="10"/>
  <c r="AC62" i="10"/>
  <c r="AB62" i="10"/>
  <c r="AA62" i="10"/>
  <c r="Z62" i="10"/>
  <c r="Y62" i="10"/>
  <c r="X62" i="10"/>
  <c r="W62" i="10"/>
  <c r="V62" i="10"/>
  <c r="U62" i="10"/>
  <c r="T62" i="10"/>
  <c r="S62" i="10"/>
  <c r="R62" i="10"/>
  <c r="Q62" i="10"/>
  <c r="P62" i="10"/>
  <c r="O62" i="10"/>
  <c r="N62" i="10"/>
  <c r="M62" i="10"/>
  <c r="L62" i="10"/>
  <c r="K62" i="10"/>
  <c r="J62" i="10"/>
  <c r="I62" i="10"/>
  <c r="H62" i="10"/>
  <c r="G62" i="10"/>
  <c r="F62" i="10"/>
  <c r="E62" i="10"/>
  <c r="AG61" i="10"/>
  <c r="AF61" i="10"/>
  <c r="AE61" i="10"/>
  <c r="AD61" i="10"/>
  <c r="AC61" i="10"/>
  <c r="AB61" i="10"/>
  <c r="AA61" i="10"/>
  <c r="Z61" i="10"/>
  <c r="Y61" i="10"/>
  <c r="X61" i="10"/>
  <c r="W61" i="10"/>
  <c r="V61" i="10"/>
  <c r="U61" i="10"/>
  <c r="T61" i="10"/>
  <c r="S61" i="10"/>
  <c r="R61" i="10"/>
  <c r="Q61" i="10"/>
  <c r="P61" i="10"/>
  <c r="O61" i="10"/>
  <c r="N61" i="10"/>
  <c r="M61" i="10"/>
  <c r="L61" i="10"/>
  <c r="K61" i="10"/>
  <c r="J61" i="10"/>
  <c r="I61" i="10"/>
  <c r="H61" i="10"/>
  <c r="G61" i="10"/>
  <c r="F61" i="10"/>
  <c r="E61" i="10"/>
  <c r="AG60" i="10"/>
  <c r="AF60" i="10"/>
  <c r="AE60" i="10"/>
  <c r="AD60" i="10"/>
  <c r="AC60" i="10"/>
  <c r="AB60" i="10"/>
  <c r="AA60" i="10"/>
  <c r="Z60" i="10"/>
  <c r="Y60" i="10"/>
  <c r="X60" i="10"/>
  <c r="W60" i="10"/>
  <c r="V60" i="10"/>
  <c r="U60" i="10"/>
  <c r="T60" i="10"/>
  <c r="S60" i="10"/>
  <c r="R60" i="10"/>
  <c r="Q60" i="10"/>
  <c r="P60" i="10"/>
  <c r="O60" i="10"/>
  <c r="N60" i="10"/>
  <c r="M60" i="10"/>
  <c r="L60" i="10"/>
  <c r="K60" i="10"/>
  <c r="J60" i="10"/>
  <c r="I60" i="10"/>
  <c r="H60" i="10"/>
  <c r="G60" i="10"/>
  <c r="F60" i="10"/>
  <c r="E60" i="10"/>
  <c r="AG59" i="10"/>
  <c r="AF59" i="10"/>
  <c r="AE59" i="10"/>
  <c r="AD59" i="10"/>
  <c r="AC59" i="10"/>
  <c r="AB59" i="10"/>
  <c r="AA59" i="10"/>
  <c r="Z59" i="10"/>
  <c r="Y59" i="10"/>
  <c r="X59" i="10"/>
  <c r="W59" i="10"/>
  <c r="V59" i="10"/>
  <c r="U59" i="10"/>
  <c r="T59" i="10"/>
  <c r="S59" i="10"/>
  <c r="R59" i="10"/>
  <c r="Q59" i="10"/>
  <c r="P59" i="10"/>
  <c r="O59" i="10"/>
  <c r="N59" i="10"/>
  <c r="M59" i="10"/>
  <c r="L59" i="10"/>
  <c r="K59" i="10"/>
  <c r="J59" i="10"/>
  <c r="I59" i="10"/>
  <c r="H59" i="10"/>
  <c r="G59" i="10"/>
  <c r="F59" i="10"/>
  <c r="E59" i="10"/>
  <c r="AG58" i="10"/>
  <c r="AF58" i="10"/>
  <c r="AE58" i="10"/>
  <c r="AD58" i="10"/>
  <c r="AC58" i="10"/>
  <c r="AB58" i="10"/>
  <c r="AA58" i="10"/>
  <c r="Z58" i="10"/>
  <c r="Y58" i="10"/>
  <c r="X58" i="10"/>
  <c r="W58" i="10"/>
  <c r="V58" i="10"/>
  <c r="U58" i="10"/>
  <c r="T58" i="10"/>
  <c r="S58" i="10"/>
  <c r="R58" i="10"/>
  <c r="Q58" i="10"/>
  <c r="P58" i="10"/>
  <c r="O58" i="10"/>
  <c r="N58" i="10"/>
  <c r="M58" i="10"/>
  <c r="L58" i="10"/>
  <c r="K58" i="10"/>
  <c r="J58" i="10"/>
  <c r="I58" i="10"/>
  <c r="H58" i="10"/>
  <c r="G58" i="10"/>
  <c r="F58" i="10"/>
  <c r="E58" i="10"/>
  <c r="AG57" i="10"/>
  <c r="AF57" i="10"/>
  <c r="AE57" i="10"/>
  <c r="AD57" i="10"/>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AG56" i="10"/>
  <c r="AF56" i="10"/>
  <c r="AE56" i="10"/>
  <c r="AD56" i="10"/>
  <c r="AC56" i="10"/>
  <c r="AB56" i="10"/>
  <c r="AA56" i="10"/>
  <c r="Z56" i="10"/>
  <c r="Y56" i="10"/>
  <c r="X56" i="10"/>
  <c r="W56" i="10"/>
  <c r="V56" i="10"/>
  <c r="U56" i="10"/>
  <c r="T56" i="10"/>
  <c r="S56" i="10"/>
  <c r="R56" i="10"/>
  <c r="Q56" i="10"/>
  <c r="P56" i="10"/>
  <c r="O56" i="10"/>
  <c r="N56" i="10"/>
  <c r="M56" i="10"/>
  <c r="L56" i="10"/>
  <c r="K56" i="10"/>
  <c r="J56" i="10"/>
  <c r="I56" i="10"/>
  <c r="H56" i="10"/>
  <c r="G56" i="10"/>
  <c r="F56" i="10"/>
  <c r="E56" i="10"/>
  <c r="D65" i="10"/>
  <c r="D64" i="10"/>
  <c r="D63" i="10"/>
  <c r="D62" i="10"/>
  <c r="D61" i="10"/>
  <c r="D60" i="10"/>
  <c r="D59" i="10"/>
  <c r="D58" i="10"/>
  <c r="D57" i="10"/>
  <c r="D56" i="10"/>
  <c r="AG55" i="10"/>
  <c r="AF55" i="10"/>
  <c r="AE55" i="10"/>
  <c r="AD55" i="10"/>
  <c r="AC55" i="10"/>
  <c r="AB55" i="10"/>
  <c r="AA55" i="10"/>
  <c r="Z55" i="10"/>
  <c r="Y55" i="10"/>
  <c r="X55" i="10"/>
  <c r="W55" i="10"/>
  <c r="V55" i="10"/>
  <c r="U55" i="10"/>
  <c r="T55" i="10"/>
  <c r="S55" i="10"/>
  <c r="R55" i="10"/>
  <c r="Q55" i="10"/>
  <c r="P55" i="10"/>
  <c r="O55" i="10"/>
  <c r="N55" i="10"/>
  <c r="M55" i="10"/>
  <c r="L55" i="10"/>
  <c r="K55" i="10"/>
  <c r="J55" i="10"/>
  <c r="I55" i="10"/>
  <c r="H55" i="10"/>
  <c r="G55" i="10"/>
  <c r="F55" i="10"/>
  <c r="E55" i="10"/>
  <c r="D55" i="10"/>
  <c r="D54" i="10"/>
  <c r="B56" i="10"/>
  <c r="B65" i="10"/>
  <c r="B64" i="10"/>
  <c r="B63" i="10"/>
  <c r="B62" i="10"/>
  <c r="B61" i="10"/>
  <c r="B60" i="10"/>
  <c r="B59" i="10"/>
  <c r="B58" i="10"/>
  <c r="B57" i="10"/>
  <c r="BY96" i="10"/>
  <c r="BX96" i="10"/>
  <c r="BY95" i="10"/>
  <c r="BX95" i="10"/>
  <c r="BY94" i="10"/>
  <c r="BY93" i="10"/>
  <c r="M38" i="10"/>
  <c r="L38" i="10"/>
  <c r="K38" i="10"/>
  <c r="J38" i="10"/>
  <c r="I38" i="10"/>
  <c r="H38" i="10"/>
  <c r="M37" i="10"/>
  <c r="L37" i="10"/>
  <c r="K37" i="10"/>
  <c r="J37" i="10"/>
  <c r="I37" i="10"/>
  <c r="H37" i="10"/>
  <c r="M36" i="10"/>
  <c r="L36" i="10"/>
  <c r="K36" i="10"/>
  <c r="J36" i="10"/>
  <c r="I36" i="10"/>
  <c r="H36" i="10"/>
  <c r="M35" i="10"/>
  <c r="L35" i="10"/>
  <c r="K35" i="10"/>
  <c r="J35" i="10"/>
  <c r="I35" i="10"/>
  <c r="H35" i="10"/>
  <c r="M34" i="10"/>
  <c r="L34" i="10"/>
  <c r="K34" i="10"/>
  <c r="J34" i="10"/>
  <c r="I34" i="10"/>
  <c r="H34" i="10"/>
  <c r="M33" i="10"/>
  <c r="L33" i="10"/>
  <c r="K33" i="10"/>
  <c r="J33" i="10"/>
  <c r="I33" i="10"/>
  <c r="H33" i="10"/>
  <c r="M32" i="10"/>
  <c r="L32" i="10"/>
  <c r="K32" i="10"/>
  <c r="J32" i="10"/>
  <c r="I32" i="10"/>
  <c r="H32" i="10"/>
  <c r="M31" i="10"/>
  <c r="L31" i="10"/>
  <c r="K31" i="10"/>
  <c r="J31" i="10"/>
  <c r="I31" i="10"/>
  <c r="H31" i="10"/>
  <c r="M30" i="10"/>
  <c r="L30" i="10"/>
  <c r="K30" i="10"/>
  <c r="J30" i="10"/>
  <c r="I30" i="10"/>
  <c r="H30" i="10"/>
  <c r="M29" i="10"/>
  <c r="L29" i="10"/>
  <c r="K29" i="10"/>
  <c r="J29" i="10"/>
  <c r="I29" i="10"/>
  <c r="H29" i="10"/>
  <c r="G40" i="10"/>
  <c r="G38" i="10"/>
  <c r="G37" i="10"/>
  <c r="G36" i="10"/>
  <c r="G35" i="10"/>
  <c r="G34" i="10"/>
  <c r="G33" i="10"/>
  <c r="G32" i="10"/>
  <c r="G31" i="10"/>
  <c r="G30" i="10"/>
  <c r="G29" i="10"/>
  <c r="G28"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G81" i="10" s="1"/>
  <c r="C81" i="10"/>
  <c r="F81" i="10" s="1"/>
  <c r="B81" i="10"/>
  <c r="E81" i="10" s="1"/>
  <c r="D80" i="10"/>
  <c r="C80" i="10"/>
  <c r="D79" i="10"/>
  <c r="C79" i="10"/>
  <c r="B80" i="10"/>
  <c r="A89" i="10"/>
  <c r="A88" i="10"/>
  <c r="A87" i="10"/>
  <c r="A86" i="10"/>
  <c r="A85" i="10"/>
  <c r="A84" i="10"/>
  <c r="A83" i="10"/>
  <c r="A82" i="10"/>
  <c r="A81" i="10"/>
  <c r="A80" i="10"/>
  <c r="A79" i="10"/>
  <c r="B79" i="10"/>
  <c r="BW96" i="10"/>
  <c r="BV96" i="10"/>
  <c r="BU96" i="10"/>
  <c r="BT96" i="10"/>
  <c r="BS96" i="10"/>
  <c r="BR96" i="10"/>
  <c r="BQ96" i="10"/>
  <c r="BP96" i="10"/>
  <c r="BO96" i="10"/>
  <c r="BN96" i="10"/>
  <c r="BM96" i="10"/>
  <c r="BL96" i="10"/>
  <c r="BK96" i="10"/>
  <c r="BJ96" i="10"/>
  <c r="BI96" i="10"/>
  <c r="BH96" i="10"/>
  <c r="BG96" i="10"/>
  <c r="BF96" i="10"/>
  <c r="BE96" i="10"/>
  <c r="BD96" i="10"/>
  <c r="BC96" i="10"/>
  <c r="BB96" i="10"/>
  <c r="BA96" i="10"/>
  <c r="AZ96" i="10"/>
  <c r="AY96" i="10"/>
  <c r="AX96" i="10"/>
  <c r="AW96" i="10"/>
  <c r="AV96" i="10"/>
  <c r="AU96" i="10"/>
  <c r="AT96" i="10"/>
  <c r="AS96" i="10"/>
  <c r="AR96" i="10"/>
  <c r="AQ96" i="10"/>
  <c r="AP96" i="10"/>
  <c r="AO96" i="10"/>
  <c r="AN96" i="10"/>
  <c r="AM96" i="10"/>
  <c r="AL96" i="10"/>
  <c r="AK96" i="10"/>
  <c r="AJ96" i="10"/>
  <c r="AI96" i="10"/>
  <c r="AH96" i="10"/>
  <c r="AG96" i="10"/>
  <c r="AF96" i="10"/>
  <c r="AE96" i="10"/>
  <c r="AD96" i="10"/>
  <c r="AC96" i="10"/>
  <c r="AB96" i="10"/>
  <c r="AA96" i="10"/>
  <c r="Z96" i="10"/>
  <c r="Y96" i="10"/>
  <c r="X96" i="10"/>
  <c r="W96" i="10"/>
  <c r="V96" i="10"/>
  <c r="U96" i="10"/>
  <c r="T96" i="10"/>
  <c r="S96" i="10"/>
  <c r="R96" i="10"/>
  <c r="Q96" i="10"/>
  <c r="P96" i="10"/>
  <c r="O96" i="10"/>
  <c r="N96" i="10"/>
  <c r="M96" i="10"/>
  <c r="L96" i="10"/>
  <c r="K96" i="10"/>
  <c r="J96" i="10"/>
  <c r="I96" i="10"/>
  <c r="H96" i="10"/>
  <c r="G96" i="10"/>
  <c r="F96" i="10"/>
  <c r="E96" i="10"/>
  <c r="D96" i="10"/>
  <c r="C96" i="10"/>
  <c r="BW95" i="10"/>
  <c r="BV95" i="10"/>
  <c r="BU95" i="10"/>
  <c r="BT95" i="10"/>
  <c r="BS95" i="10"/>
  <c r="BR95" i="10"/>
  <c r="BQ95" i="10"/>
  <c r="BP95" i="10"/>
  <c r="BO95" i="10"/>
  <c r="BN95" i="10"/>
  <c r="BM95" i="10"/>
  <c r="BL95" i="10"/>
  <c r="BK95" i="10"/>
  <c r="BJ95" i="10"/>
  <c r="BI95" i="10"/>
  <c r="BH95" i="10"/>
  <c r="BG95" i="10"/>
  <c r="BF95" i="10"/>
  <c r="BE95" i="10"/>
  <c r="BD95" i="10"/>
  <c r="BC95" i="10"/>
  <c r="BB95" i="10"/>
  <c r="BA95" i="10"/>
  <c r="AZ95" i="10"/>
  <c r="AY95" i="10"/>
  <c r="AX95" i="10"/>
  <c r="AW95" i="10"/>
  <c r="AV95" i="10"/>
  <c r="AU95" i="10"/>
  <c r="AT95" i="10"/>
  <c r="AS95" i="10"/>
  <c r="AR95" i="10"/>
  <c r="AQ95" i="10"/>
  <c r="AP95" i="10"/>
  <c r="AO95" i="10"/>
  <c r="AN95" i="10"/>
  <c r="AM95" i="10"/>
  <c r="AL95" i="10"/>
  <c r="AK95" i="10"/>
  <c r="AJ95" i="10"/>
  <c r="AI95" i="10"/>
  <c r="AH95" i="10"/>
  <c r="AG95" i="10"/>
  <c r="AF95" i="10"/>
  <c r="AE95" i="10"/>
  <c r="AD95" i="10"/>
  <c r="AC95" i="10"/>
  <c r="AB95" i="10"/>
  <c r="AA95" i="10"/>
  <c r="Z95" i="10"/>
  <c r="Y95" i="10"/>
  <c r="X95" i="10"/>
  <c r="W95" i="10"/>
  <c r="V95" i="10"/>
  <c r="U95" i="10"/>
  <c r="T95" i="10"/>
  <c r="S95" i="10"/>
  <c r="R95" i="10"/>
  <c r="Q95" i="10"/>
  <c r="P95" i="10"/>
  <c r="O95" i="10"/>
  <c r="N95" i="10"/>
  <c r="M95" i="10"/>
  <c r="L95" i="10"/>
  <c r="K95" i="10"/>
  <c r="J95" i="10"/>
  <c r="I95" i="10"/>
  <c r="H95" i="10"/>
  <c r="G95" i="10"/>
  <c r="F95" i="10"/>
  <c r="E95" i="10"/>
  <c r="D95" i="10"/>
  <c r="C95" i="10"/>
  <c r="BX94" i="10"/>
  <c r="BW94" i="10"/>
  <c r="BV94" i="10"/>
  <c r="BU94" i="10"/>
  <c r="BT94" i="10"/>
  <c r="BS94" i="10"/>
  <c r="BR94" i="10"/>
  <c r="BQ94" i="10"/>
  <c r="BP94" i="10"/>
  <c r="BO94" i="10"/>
  <c r="BN94" i="10"/>
  <c r="BM94" i="10"/>
  <c r="BL94" i="10"/>
  <c r="BK94" i="10"/>
  <c r="BJ94" i="10"/>
  <c r="BI94" i="10"/>
  <c r="BH94" i="10"/>
  <c r="BG94" i="10"/>
  <c r="BF94" i="10"/>
  <c r="BE94" i="10"/>
  <c r="BD94" i="10"/>
  <c r="BC94" i="10"/>
  <c r="BB94" i="10"/>
  <c r="BA94" i="10"/>
  <c r="AZ94" i="10"/>
  <c r="AY94" i="10"/>
  <c r="AX94" i="10"/>
  <c r="AW94" i="10"/>
  <c r="AV94" i="10"/>
  <c r="AU94" i="10"/>
  <c r="AT94" i="10"/>
  <c r="AS94" i="10"/>
  <c r="AR94" i="10"/>
  <c r="AQ94" i="10"/>
  <c r="AP94" i="10"/>
  <c r="AO94" i="10"/>
  <c r="AN94" i="10"/>
  <c r="AM94" i="10"/>
  <c r="AL94" i="10"/>
  <c r="AK94" i="10"/>
  <c r="AJ94" i="10"/>
  <c r="AI94" i="10"/>
  <c r="AH94" i="10"/>
  <c r="AG94" i="10"/>
  <c r="AF94" i="10"/>
  <c r="AE94" i="10"/>
  <c r="AD94" i="10"/>
  <c r="AC94" i="10"/>
  <c r="AB94" i="10"/>
  <c r="AA94" i="10"/>
  <c r="Z94" i="10"/>
  <c r="Y94" i="10"/>
  <c r="X94" i="10"/>
  <c r="W94" i="10"/>
  <c r="V94" i="10"/>
  <c r="U94" i="10"/>
  <c r="T94" i="10"/>
  <c r="S94" i="10"/>
  <c r="R94" i="10"/>
  <c r="Q94" i="10"/>
  <c r="P94" i="10"/>
  <c r="O94" i="10"/>
  <c r="N94" i="10"/>
  <c r="M94" i="10"/>
  <c r="L94" i="10"/>
  <c r="K94" i="10"/>
  <c r="J94" i="10"/>
  <c r="I94" i="10"/>
  <c r="H94" i="10"/>
  <c r="G94" i="10"/>
  <c r="F94" i="10"/>
  <c r="E94" i="10"/>
  <c r="D94" i="10"/>
  <c r="C94" i="10"/>
  <c r="B96" i="10"/>
  <c r="B95" i="10"/>
  <c r="B94" i="10"/>
  <c r="A96" i="10"/>
  <c r="A95" i="10"/>
  <c r="A94" i="10"/>
  <c r="BX93" i="10"/>
  <c r="BW93" i="10"/>
  <c r="BV93" i="10"/>
  <c r="BU93" i="10"/>
  <c r="BT93" i="10"/>
  <c r="BS93" i="10"/>
  <c r="BR93" i="10"/>
  <c r="BQ93" i="10"/>
  <c r="BP93" i="10"/>
  <c r="BO93" i="10"/>
  <c r="BN93" i="10"/>
  <c r="BM93" i="10"/>
  <c r="BL93" i="10"/>
  <c r="BK93" i="10"/>
  <c r="BJ93" i="10"/>
  <c r="BI93" i="10"/>
  <c r="BH93" i="10"/>
  <c r="BG93" i="10"/>
  <c r="BF93" i="10"/>
  <c r="BE93" i="10"/>
  <c r="BD93" i="10"/>
  <c r="BC93" i="10"/>
  <c r="BB93" i="10"/>
  <c r="BA93" i="10"/>
  <c r="AZ93" i="10"/>
  <c r="AY93" i="10"/>
  <c r="AX93" i="10"/>
  <c r="AW93" i="10"/>
  <c r="AV93" i="10"/>
  <c r="AU93" i="10"/>
  <c r="AT93" i="10"/>
  <c r="AS93" i="10"/>
  <c r="AR93" i="10"/>
  <c r="AQ93" i="10"/>
  <c r="AP93" i="10"/>
  <c r="AO93" i="10"/>
  <c r="AN93" i="10"/>
  <c r="AM93" i="10"/>
  <c r="AL93" i="10"/>
  <c r="AK93" i="10"/>
  <c r="AJ93" i="10"/>
  <c r="AI93" i="10"/>
  <c r="AH93" i="10"/>
  <c r="AG93" i="10"/>
  <c r="AF93" i="10"/>
  <c r="AE93" i="10"/>
  <c r="AD93" i="10"/>
  <c r="AC93" i="10"/>
  <c r="AB93" i="10"/>
  <c r="AA93" i="10"/>
  <c r="Z93" i="10"/>
  <c r="Y93" i="10"/>
  <c r="X93" i="10"/>
  <c r="W93" i="10"/>
  <c r="V93" i="10"/>
  <c r="U93" i="10"/>
  <c r="T93" i="10"/>
  <c r="S93" i="10"/>
  <c r="R93" i="10"/>
  <c r="Q93" i="10"/>
  <c r="P93" i="10"/>
  <c r="O93" i="10"/>
  <c r="N93" i="10"/>
  <c r="M93" i="10"/>
  <c r="L93" i="10"/>
  <c r="K93" i="10"/>
  <c r="J93" i="10"/>
  <c r="I93" i="10"/>
  <c r="H93" i="10"/>
  <c r="G93" i="10"/>
  <c r="F93" i="10"/>
  <c r="E93" i="10"/>
  <c r="D93" i="10"/>
  <c r="C93" i="10"/>
  <c r="B93" i="10"/>
  <c r="A93" i="10"/>
  <c r="C14" i="10"/>
  <c r="C13" i="10"/>
  <c r="C12" i="10"/>
  <c r="C11" i="10"/>
  <c r="C10" i="10"/>
  <c r="C9" i="10"/>
  <c r="C8" i="10"/>
  <c r="C7" i="10"/>
  <c r="C6" i="10"/>
  <c r="C5" i="10"/>
  <c r="E4" i="4"/>
  <c r="E3" i="4"/>
  <c r="E2" i="4"/>
  <c r="Z38" i="10"/>
  <c r="Y38" i="10"/>
  <c r="X38" i="10"/>
  <c r="W38" i="10"/>
  <c r="V38" i="10"/>
  <c r="U38" i="10"/>
  <c r="T38" i="10"/>
  <c r="S38" i="10"/>
  <c r="R38" i="10"/>
  <c r="Q38" i="10"/>
  <c r="P38" i="10"/>
  <c r="Z37" i="10"/>
  <c r="Y37" i="10"/>
  <c r="X37" i="10"/>
  <c r="W37" i="10"/>
  <c r="V37" i="10"/>
  <c r="U37" i="10"/>
  <c r="T37" i="10"/>
  <c r="S37" i="10"/>
  <c r="R37" i="10"/>
  <c r="Q37" i="10"/>
  <c r="P37" i="10"/>
  <c r="Z36" i="10"/>
  <c r="Y36" i="10"/>
  <c r="X36" i="10"/>
  <c r="W36" i="10"/>
  <c r="V36" i="10"/>
  <c r="U36" i="10"/>
  <c r="T36" i="10"/>
  <c r="S36" i="10"/>
  <c r="R36" i="10"/>
  <c r="Q36" i="10"/>
  <c r="P36" i="10"/>
  <c r="Z35" i="10"/>
  <c r="Y35" i="10"/>
  <c r="X35" i="10"/>
  <c r="W35" i="10"/>
  <c r="V35" i="10"/>
  <c r="U35" i="10"/>
  <c r="T35" i="10"/>
  <c r="S35" i="10"/>
  <c r="R35" i="10"/>
  <c r="Q35" i="10"/>
  <c r="P35" i="10"/>
  <c r="Z34" i="10"/>
  <c r="Y34" i="10"/>
  <c r="X34" i="10"/>
  <c r="W34" i="10"/>
  <c r="V34" i="10"/>
  <c r="U34" i="10"/>
  <c r="T34" i="10"/>
  <c r="S34" i="10"/>
  <c r="R34" i="10"/>
  <c r="Q34" i="10"/>
  <c r="P34" i="10"/>
  <c r="Z33" i="10"/>
  <c r="Y33" i="10"/>
  <c r="X33" i="10"/>
  <c r="W33" i="10"/>
  <c r="V33" i="10"/>
  <c r="U33" i="10"/>
  <c r="T33" i="10"/>
  <c r="S33" i="10"/>
  <c r="R33" i="10"/>
  <c r="Q33" i="10"/>
  <c r="P33" i="10"/>
  <c r="Z32" i="10"/>
  <c r="Y32" i="10"/>
  <c r="X32" i="10"/>
  <c r="W32" i="10"/>
  <c r="V32" i="10"/>
  <c r="U32" i="10"/>
  <c r="T32" i="10"/>
  <c r="S32" i="10"/>
  <c r="R32" i="10"/>
  <c r="Q32" i="10"/>
  <c r="P32" i="10"/>
  <c r="Z31" i="10"/>
  <c r="Y31" i="10"/>
  <c r="X31" i="10"/>
  <c r="W31" i="10"/>
  <c r="V31" i="10"/>
  <c r="U31" i="10"/>
  <c r="T31" i="10"/>
  <c r="S31" i="10"/>
  <c r="R31" i="10"/>
  <c r="Q31" i="10"/>
  <c r="P31" i="10"/>
  <c r="Z30" i="10"/>
  <c r="Y30" i="10"/>
  <c r="X30" i="10"/>
  <c r="W30" i="10"/>
  <c r="V30" i="10"/>
  <c r="U30" i="10"/>
  <c r="T30" i="10"/>
  <c r="S30" i="10"/>
  <c r="R30" i="10"/>
  <c r="Q30" i="10"/>
  <c r="P30" i="10"/>
  <c r="Z29" i="10"/>
  <c r="Y29" i="10"/>
  <c r="X29" i="10"/>
  <c r="W29" i="10"/>
  <c r="V29" i="10"/>
  <c r="U29" i="10"/>
  <c r="T29" i="10"/>
  <c r="S29" i="10"/>
  <c r="R29" i="10"/>
  <c r="Q29" i="10"/>
  <c r="P29" i="10"/>
  <c r="C28" i="10"/>
  <c r="D38" i="10"/>
  <c r="D37" i="10"/>
  <c r="D36" i="10"/>
  <c r="D35" i="10"/>
  <c r="D34" i="10"/>
  <c r="D33" i="10"/>
  <c r="D32" i="10"/>
  <c r="D31" i="10"/>
  <c r="D30" i="10"/>
  <c r="C38" i="10"/>
  <c r="C37" i="10"/>
  <c r="C36" i="10"/>
  <c r="C35" i="10"/>
  <c r="C34" i="10"/>
  <c r="C33" i="10"/>
  <c r="C32" i="10"/>
  <c r="C31" i="10"/>
  <c r="C30" i="10"/>
  <c r="D29" i="10"/>
  <c r="C29" i="10"/>
  <c r="O28" i="10"/>
  <c r="A4" i="10"/>
  <c r="G4" i="10"/>
  <c r="E82" i="10" l="1"/>
  <c r="E83" i="10" s="1"/>
  <c r="E84" i="10" s="1"/>
  <c r="E85" i="10" s="1"/>
  <c r="E86" i="10" s="1"/>
  <c r="E87" i="10" s="1"/>
  <c r="E88" i="10" s="1"/>
  <c r="E89" i="10" s="1"/>
  <c r="G82" i="10"/>
  <c r="G83" i="10" s="1"/>
  <c r="G84" i="10" s="1"/>
  <c r="G85" i="10" s="1"/>
  <c r="G86" i="10" s="1"/>
  <c r="G87" i="10" s="1"/>
  <c r="G88" i="10" s="1"/>
  <c r="G89" i="10" s="1"/>
  <c r="F82" i="10"/>
  <c r="F83" i="10" s="1"/>
  <c r="F84" i="10" s="1"/>
  <c r="F85" i="10" s="1"/>
  <c r="F86" i="10" s="1"/>
  <c r="F87" i="10" s="1"/>
  <c r="F88" i="10" s="1"/>
  <c r="F89" i="10" s="1"/>
  <c r="C15" i="10"/>
  <c r="S18" i="10"/>
  <c r="R18" i="10"/>
  <c r="Q18" i="10"/>
  <c r="P18" i="10"/>
  <c r="O18" i="10"/>
  <c r="N18" i="10"/>
  <c r="M18" i="10"/>
  <c r="L18" i="10"/>
  <c r="K18" i="10"/>
  <c r="J18" i="10"/>
  <c r="I18" i="10"/>
  <c r="H18" i="10"/>
  <c r="S17" i="10"/>
  <c r="R17" i="10"/>
  <c r="Q17" i="10"/>
  <c r="P17" i="10"/>
  <c r="O17" i="10"/>
  <c r="N17" i="10"/>
  <c r="M17" i="10"/>
  <c r="L17" i="10"/>
  <c r="K17" i="10"/>
  <c r="J17" i="10"/>
  <c r="I17" i="10"/>
  <c r="H17" i="10"/>
  <c r="S16" i="10"/>
  <c r="R16" i="10"/>
  <c r="Q16" i="10"/>
  <c r="P16" i="10"/>
  <c r="O16" i="10"/>
  <c r="N16" i="10"/>
  <c r="M16" i="10"/>
  <c r="L16" i="10"/>
  <c r="K16" i="10"/>
  <c r="J16" i="10"/>
  <c r="I16" i="10"/>
  <c r="H16" i="10"/>
  <c r="S15" i="10"/>
  <c r="R15" i="10"/>
  <c r="Q15" i="10"/>
  <c r="P15" i="10"/>
  <c r="O15" i="10"/>
  <c r="N15" i="10"/>
  <c r="M15" i="10"/>
  <c r="L15" i="10"/>
  <c r="K15" i="10"/>
  <c r="J15" i="10"/>
  <c r="I15" i="10"/>
  <c r="H15" i="10"/>
  <c r="S14" i="10"/>
  <c r="R14" i="10"/>
  <c r="Q14" i="10"/>
  <c r="P14" i="10"/>
  <c r="O14" i="10"/>
  <c r="N14" i="10"/>
  <c r="M14" i="10"/>
  <c r="L14" i="10"/>
  <c r="K14" i="10"/>
  <c r="J14" i="10"/>
  <c r="I14" i="10"/>
  <c r="H14" i="10"/>
  <c r="S13" i="10"/>
  <c r="R13" i="10"/>
  <c r="Q13" i="10"/>
  <c r="P13" i="10"/>
  <c r="O13" i="10"/>
  <c r="N13" i="10"/>
  <c r="M13" i="10"/>
  <c r="L13" i="10"/>
  <c r="K13" i="10"/>
  <c r="J13" i="10"/>
  <c r="I13" i="10"/>
  <c r="H13" i="10"/>
  <c r="S12" i="10"/>
  <c r="R12" i="10"/>
  <c r="Q12" i="10"/>
  <c r="P12" i="10"/>
  <c r="O12" i="10"/>
  <c r="N12" i="10"/>
  <c r="M12" i="10"/>
  <c r="L12" i="10"/>
  <c r="K12" i="10"/>
  <c r="J12" i="10"/>
  <c r="I12" i="10"/>
  <c r="H12" i="10"/>
  <c r="S11" i="10"/>
  <c r="R11" i="10"/>
  <c r="Q11" i="10"/>
  <c r="P11" i="10"/>
  <c r="O11" i="10"/>
  <c r="N11" i="10"/>
  <c r="M11" i="10"/>
  <c r="L11" i="10"/>
  <c r="K11" i="10"/>
  <c r="J11" i="10"/>
  <c r="I11" i="10"/>
  <c r="H11" i="10"/>
  <c r="S10" i="10"/>
  <c r="R10" i="10"/>
  <c r="Q10" i="10"/>
  <c r="P10" i="10"/>
  <c r="O10" i="10"/>
  <c r="N10" i="10"/>
  <c r="M10" i="10"/>
  <c r="L10" i="10"/>
  <c r="K10" i="10"/>
  <c r="J10" i="10"/>
  <c r="I10" i="10"/>
  <c r="H10" i="10"/>
  <c r="S9" i="10"/>
  <c r="R9" i="10"/>
  <c r="Q9" i="10"/>
  <c r="P9" i="10"/>
  <c r="O9" i="10"/>
  <c r="N9" i="10"/>
  <c r="M9" i="10"/>
  <c r="L9" i="10"/>
  <c r="K9" i="10"/>
  <c r="J9" i="10"/>
  <c r="I9" i="10"/>
  <c r="H9" i="10"/>
  <c r="S8" i="10"/>
  <c r="R8" i="10"/>
  <c r="Q8" i="10"/>
  <c r="P8" i="10"/>
  <c r="O8" i="10"/>
  <c r="N8" i="10"/>
  <c r="M8" i="10"/>
  <c r="L8" i="10"/>
  <c r="K8" i="10"/>
  <c r="J8" i="10"/>
  <c r="I8" i="10"/>
  <c r="H8" i="10"/>
  <c r="S7" i="10"/>
  <c r="R7" i="10"/>
  <c r="Q7" i="10"/>
  <c r="P7" i="10"/>
  <c r="O7" i="10"/>
  <c r="N7" i="10"/>
  <c r="M7" i="10"/>
  <c r="L7" i="10"/>
  <c r="K7" i="10"/>
  <c r="J7" i="10"/>
  <c r="I7" i="10"/>
  <c r="H7" i="10"/>
  <c r="S6" i="10"/>
  <c r="R6" i="10"/>
  <c r="Q6" i="10"/>
  <c r="P6" i="10"/>
  <c r="O6" i="10"/>
  <c r="N6" i="10"/>
  <c r="M6" i="10"/>
  <c r="L6" i="10"/>
  <c r="K6" i="10"/>
  <c r="J6" i="10"/>
  <c r="I6" i="10"/>
  <c r="H6" i="10"/>
  <c r="S5" i="10"/>
  <c r="R5" i="10"/>
  <c r="Q5" i="10"/>
  <c r="P5" i="10"/>
  <c r="O5" i="10"/>
  <c r="N5" i="10"/>
  <c r="M5" i="10"/>
  <c r="L5" i="10"/>
  <c r="K5" i="10"/>
  <c r="J5" i="10"/>
  <c r="I5" i="10"/>
  <c r="H5" i="10"/>
  <c r="B36" i="10"/>
  <c r="B35" i="10"/>
  <c r="B34" i="10"/>
  <c r="B33" i="10"/>
  <c r="B32" i="10"/>
  <c r="B31" i="10"/>
  <c r="B30" i="10"/>
  <c r="D3" i="4"/>
  <c r="D2" i="4"/>
  <c r="E2244" i="2"/>
  <c r="F2244" i="2"/>
  <c r="G2244" i="2"/>
  <c r="E2245" i="2"/>
  <c r="F2245" i="2"/>
  <c r="G2245" i="2"/>
  <c r="E2246" i="2"/>
  <c r="F2246" i="2"/>
  <c r="G2246" i="2"/>
  <c r="E2249" i="2"/>
  <c r="F2249" i="2"/>
  <c r="G2249" i="2"/>
  <c r="E2252" i="2"/>
  <c r="F2252" i="2"/>
  <c r="G2252" i="2"/>
  <c r="E2254" i="2"/>
  <c r="F2254" i="2"/>
  <c r="G2254" i="2"/>
  <c r="E2256" i="2"/>
  <c r="F2256" i="2"/>
  <c r="G2256" i="2"/>
  <c r="E2258" i="2"/>
  <c r="F2258" i="2"/>
  <c r="G2258" i="2"/>
  <c r="E2261" i="2"/>
  <c r="F2261" i="2"/>
  <c r="G2261" i="2"/>
  <c r="E2262" i="2"/>
  <c r="F2262" i="2"/>
  <c r="G2262" i="2"/>
  <c r="E2263" i="2"/>
  <c r="F2263" i="2"/>
  <c r="G2263" i="2"/>
  <c r="E2265" i="2"/>
  <c r="F2265" i="2"/>
  <c r="G2265" i="2"/>
  <c r="E2268" i="2"/>
  <c r="F2268" i="2"/>
  <c r="G2268" i="2"/>
  <c r="E2459" i="2"/>
  <c r="F2459" i="2"/>
  <c r="G2459" i="2"/>
  <c r="E2460" i="2"/>
  <c r="F2460" i="2"/>
  <c r="G2460" i="2"/>
  <c r="E2461" i="2"/>
  <c r="F2461" i="2"/>
  <c r="G2461" i="2"/>
  <c r="E2462" i="2"/>
  <c r="F2462" i="2"/>
  <c r="G2462" i="2"/>
  <c r="E2463" i="2"/>
  <c r="F2463" i="2"/>
  <c r="G2463" i="2"/>
  <c r="E2464" i="2"/>
  <c r="F2464" i="2"/>
  <c r="G2464" i="2"/>
  <c r="E2465" i="2"/>
  <c r="F2465" i="2"/>
  <c r="G2465" i="2"/>
  <c r="E2466" i="2"/>
  <c r="F2466" i="2"/>
  <c r="G2466" i="2"/>
  <c r="E2467" i="2"/>
  <c r="F2467" i="2"/>
  <c r="G2467" i="2"/>
  <c r="E2468" i="2"/>
  <c r="F2468" i="2"/>
  <c r="G2468" i="2"/>
  <c r="E2469" i="2"/>
  <c r="F2469" i="2"/>
  <c r="G2469" i="2"/>
  <c r="E2470" i="2"/>
  <c r="F2470" i="2"/>
  <c r="G2470" i="2"/>
  <c r="E2471" i="2"/>
  <c r="F2471" i="2"/>
  <c r="G2471" i="2"/>
  <c r="E2472" i="2"/>
  <c r="F2472" i="2"/>
  <c r="G2472" i="2"/>
  <c r="E2473" i="2"/>
  <c r="F2473" i="2"/>
  <c r="G2473" i="2"/>
  <c r="E2474" i="2"/>
  <c r="F2474" i="2"/>
  <c r="G2474" i="2"/>
  <c r="E2475" i="2"/>
  <c r="F2475" i="2"/>
  <c r="G2475" i="2"/>
  <c r="E2476" i="2"/>
  <c r="F2476" i="2"/>
  <c r="G2476" i="2"/>
  <c r="E2477" i="2"/>
  <c r="F2477" i="2"/>
  <c r="G2477" i="2"/>
  <c r="E2478" i="2"/>
  <c r="F2478" i="2"/>
  <c r="G2478" i="2"/>
  <c r="E2479" i="2"/>
  <c r="F2479" i="2"/>
  <c r="G2479" i="2"/>
  <c r="E2480" i="2"/>
  <c r="F2480" i="2"/>
  <c r="G2480" i="2"/>
  <c r="E2481" i="2"/>
  <c r="F2481" i="2"/>
  <c r="G2481" i="2"/>
  <c r="E2482" i="2"/>
  <c r="F2482" i="2"/>
  <c r="G2482" i="2"/>
  <c r="E2483" i="2"/>
  <c r="F2483" i="2"/>
  <c r="G2483" i="2"/>
  <c r="E2484" i="2"/>
  <c r="F2484" i="2"/>
  <c r="G2484" i="2"/>
  <c r="E2485" i="2"/>
  <c r="F2485" i="2"/>
  <c r="G2485" i="2"/>
  <c r="D4" i="4" l="1"/>
  <c r="C4" i="4"/>
  <c r="C3" i="4"/>
  <c r="C2" i="4"/>
  <c r="B3" i="4"/>
  <c r="B2" i="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B4" i="4" l="1"/>
  <c r="B11" i="10" l="1"/>
  <c r="B13" i="10"/>
  <c r="B8" i="10"/>
  <c r="B10" i="10"/>
  <c r="B12" i="10"/>
  <c r="B9" i="10"/>
  <c r="B14" i="10"/>
  <c r="B7" i="10"/>
  <c r="B6" i="10"/>
  <c r="B1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A27CBA-5436-4D3C-AFD4-4ADA39032C81}" keepAlive="1" name="Query - Category&amp;Component_CPI" description="Connection to the 'Category&amp;Component_CPI' query in the workbook." type="5" refreshedVersion="7" background="1" saveData="1">
    <dbPr connection="Provider=Microsoft.Mashup.OleDb.1;Data Source=$Workbook$;Location=Category&amp;Component_CPI;Extended Properties=&quot;&quot;" command="SELECT * FROM [Category&amp;Component_CPI]"/>
  </connection>
  <connection id="2" xr16:uid="{88D44A38-32CC-4E1F-B190-62E1DC61B1B5}" keepAlive="1" name="Query - CPI_Inflation_Data_Structured" description="Connection to the 'CPI_Inflation_Data_Structured' query in the workbook." type="5" refreshedVersion="7" background="1" saveData="1">
    <dbPr connection="Provider=Microsoft.Mashup.OleDb.1;Data Source=$Workbook$;Location=CPI_Inflation_Data_Structured;Extended Properties=&quot;&quot;" command="SELECT * FROM [CPI_Inflation_Data_Structured]"/>
  </connection>
  <connection id="3" xr16:uid="{5CDA69FE-1E3C-4A18-BB3A-8A14F5B05D57}" keepAlive="1" name="Query - CPIDataImputed_Structured1" description="Connection to the 'CPIDataImputed_Structured1' query in the workbook." type="5" refreshedVersion="7" background="1" saveData="1">
    <dbPr connection="Provider=Microsoft.Mashup.OleDb.1;Data Source=$Workbook$;Location=CPIDataImputed_Structured1;Extended Properties=&quot;&quot;" command="SELECT * FROM [CPIDataImputed_Structured1]"/>
  </connection>
  <connection id="4" xr16:uid="{D21BE348-0216-40A7-9B6B-B8393EF8A97F}" keepAlive="1" name="Query - CrudeOil_prices" description="Connection to the 'CrudeOil_prices' query in the workbook." type="5" refreshedVersion="7" background="1" saveData="1">
    <dbPr connection="Provider=Microsoft.Mashup.OleDb.1;Data Source=$Workbook$;Location=CrudeOil_prices;Extended Properties=&quot;&quot;" command="SELECT * FROM [CrudeOil_prices]"/>
  </connection>
</connections>
</file>

<file path=xl/sharedStrings.xml><?xml version="1.0" encoding="utf-8"?>
<sst xmlns="http://schemas.openxmlformats.org/spreadsheetml/2006/main" count="78827" uniqueCount="231">
  <si>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</si>
  <si>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</si>
  <si>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</si>
  <si>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</si>
  <si>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</si>
  <si>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</si>
  <si>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</si>
  <si>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</si>
  <si>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</si>
  <si>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</si>
  <si>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</si>
  <si>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</si>
  <si>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</si>
  <si>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</si>
  <si>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</si>
  <si>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</si>
  <si>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</si>
  <si>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</si>
  <si>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</si>
  <si>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</si>
  <si>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</si>
  <si>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</si>
  <si>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</si>
  <si>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</si>
  <si>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</si>
  <si>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</si>
  <si>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</si>
  <si>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</si>
  <si>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</si>
  <si>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</si>
  <si>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</si>
  <si>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</si>
  <si>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</si>
  <si>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</si>
  <si>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</si>
  <si>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</si>
  <si>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</si>
  <si>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</si>
  <si>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</si>
  <si>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</si>
  <si>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</si>
  <si>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</si>
  <si>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</si>
  <si>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</si>
  <si>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</si>
  <si>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</si>
  <si>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t>
  </si>
  <si>
    <t>Period</t>
  </si>
  <si>
    <t>Jan-20</t>
  </si>
  <si>
    <t>Feb-20</t>
  </si>
  <si>
    <t>Mar-20</t>
  </si>
  <si>
    <t>Apr-20</t>
  </si>
  <si>
    <t>May-20</t>
  </si>
  <si>
    <t>Attribute</t>
  </si>
  <si>
    <t>Apr-13</t>
  </si>
  <si>
    <t>Aug-13</t>
  </si>
  <si>
    <t>Dec-13</t>
  </si>
  <si>
    <t>Feb-13</t>
  </si>
  <si>
    <t>Jan-13</t>
  </si>
  <si>
    <t>Jul-13</t>
  </si>
  <si>
    <t>Jun-13</t>
  </si>
  <si>
    <t>Mar-13</t>
  </si>
  <si>
    <t>May-13</t>
  </si>
  <si>
    <t>Nov-13</t>
  </si>
  <si>
    <t>Oct-13</t>
  </si>
  <si>
    <t>Sep-13</t>
  </si>
  <si>
    <t>Apr-14</t>
  </si>
  <si>
    <t>Aug-14</t>
  </si>
  <si>
    <t>Dec-14</t>
  </si>
  <si>
    <t>Feb-14</t>
  </si>
  <si>
    <t>Jan-14</t>
  </si>
  <si>
    <t>Jul-14</t>
  </si>
  <si>
    <t>Jun-14</t>
  </si>
  <si>
    <t>Mar-14</t>
  </si>
  <si>
    <t>May-14</t>
  </si>
  <si>
    <t>Nov-14</t>
  </si>
  <si>
    <t>Oct-14</t>
  </si>
  <si>
    <t>Sep-14</t>
  </si>
  <si>
    <t>Apr-15</t>
  </si>
  <si>
    <t>Aug-15</t>
  </si>
  <si>
    <t>Dec-15</t>
  </si>
  <si>
    <t>Feb-15</t>
  </si>
  <si>
    <t>Jan-15</t>
  </si>
  <si>
    <t>Jul-15</t>
  </si>
  <si>
    <t>Jun-15</t>
  </si>
  <si>
    <t>Mar-15</t>
  </si>
  <si>
    <t>May-15</t>
  </si>
  <si>
    <t>Nov-15</t>
  </si>
  <si>
    <t>Oct-15</t>
  </si>
  <si>
    <t>Sep-15</t>
  </si>
  <si>
    <t>Apr-16</t>
  </si>
  <si>
    <t>Aug-16</t>
  </si>
  <si>
    <t>Dec-16</t>
  </si>
  <si>
    <t>Feb-16</t>
  </si>
  <si>
    <t>Jan-16</t>
  </si>
  <si>
    <t>Jul-16</t>
  </si>
  <si>
    <t>Jun-16</t>
  </si>
  <si>
    <t>Mar-16</t>
  </si>
  <si>
    <t>May-16</t>
  </si>
  <si>
    <t>Nov-16</t>
  </si>
  <si>
    <t>Oct-16</t>
  </si>
  <si>
    <t>Sep-16</t>
  </si>
  <si>
    <t>Apr-17</t>
  </si>
  <si>
    <t>Aug-17</t>
  </si>
  <si>
    <t>Dec-17</t>
  </si>
  <si>
    <t>Feb-17</t>
  </si>
  <si>
    <t>Jan-17</t>
  </si>
  <si>
    <t>Jul-17</t>
  </si>
  <si>
    <t>Jun-17</t>
  </si>
  <si>
    <t>Mar-17</t>
  </si>
  <si>
    <t>May-17</t>
  </si>
  <si>
    <t>Nov-17</t>
  </si>
  <si>
    <t>Oct-17</t>
  </si>
  <si>
    <t>Sep-17</t>
  </si>
  <si>
    <t>Apr-18</t>
  </si>
  <si>
    <t>Aug-18</t>
  </si>
  <si>
    <t>Dec-18</t>
  </si>
  <si>
    <t>Feb-18</t>
  </si>
  <si>
    <t>Jan-18</t>
  </si>
  <si>
    <t>Jul-18</t>
  </si>
  <si>
    <t>Jun-18</t>
  </si>
  <si>
    <t>Mar-18</t>
  </si>
  <si>
    <t>May-18</t>
  </si>
  <si>
    <t>Nov-18</t>
  </si>
  <si>
    <t>Oct-18</t>
  </si>
  <si>
    <t>Sep-18</t>
  </si>
  <si>
    <t>Aug-19</t>
  </si>
  <si>
    <t>Dec-19</t>
  </si>
  <si>
    <t>Feb-19</t>
  </si>
  <si>
    <t>Jan-19</t>
  </si>
  <si>
    <t>Jul-19</t>
  </si>
  <si>
    <t>Jun-19</t>
  </si>
  <si>
    <t>Mar-19</t>
  </si>
  <si>
    <t>May-19</t>
  </si>
  <si>
    <t>Nov-19</t>
  </si>
  <si>
    <t>Oct-19</t>
  </si>
  <si>
    <t>Sep-19</t>
  </si>
  <si>
    <t>Aug-20</t>
  </si>
  <si>
    <t>Dec-20</t>
  </si>
  <si>
    <t>Jul-20</t>
  </si>
  <si>
    <t>Jun-20</t>
  </si>
  <si>
    <t>Nov-20</t>
  </si>
  <si>
    <t>Oct-20</t>
  </si>
  <si>
    <t>Sep-20</t>
  </si>
  <si>
    <t>Apr-21</t>
  </si>
  <si>
    <t>Aug-21</t>
  </si>
  <si>
    <t>Dec-21</t>
  </si>
  <si>
    <t>Feb-21</t>
  </si>
  <si>
    <t>Jan-21</t>
  </si>
  <si>
    <t>Jul-21</t>
  </si>
  <si>
    <t>Jun-21</t>
  </si>
  <si>
    <t>Mar-21</t>
  </si>
  <si>
    <t>May-21</t>
  </si>
  <si>
    <t>Nov-21</t>
  </si>
  <si>
    <t>Oct-21</t>
  </si>
  <si>
    <t>Sep-21</t>
  </si>
  <si>
    <t>Apr-22</t>
  </si>
  <si>
    <t>Aug-22</t>
  </si>
  <si>
    <t>Dec-22</t>
  </si>
  <si>
    <t>Feb-22</t>
  </si>
  <si>
    <t>Jan-22</t>
  </si>
  <si>
    <t>Jul-22</t>
  </si>
  <si>
    <t>Jun-22</t>
  </si>
  <si>
    <t>Mar-22</t>
  </si>
  <si>
    <t>May-22</t>
  </si>
  <si>
    <t>Nov-22</t>
  </si>
  <si>
    <t>Oct-22</t>
  </si>
  <si>
    <t>Sep-22</t>
  </si>
  <si>
    <t>Apr-23</t>
  </si>
  <si>
    <t>Feb-23</t>
  </si>
  <si>
    <t>Jan-23</t>
  </si>
  <si>
    <t>Mar-23</t>
  </si>
  <si>
    <t>May-23</t>
  </si>
  <si>
    <t>Grand Total</t>
  </si>
  <si>
    <t>Row Labels</t>
  </si>
  <si>
    <t>Average of Rural</t>
  </si>
  <si>
    <t>(Multiple Items)</t>
  </si>
  <si>
    <t>Average of Rural+Urban</t>
  </si>
  <si>
    <t>Average of Urban</t>
  </si>
  <si>
    <t>Jan to Mar</t>
  </si>
  <si>
    <t>Feb to Apr</t>
  </si>
  <si>
    <t>1. Total Columns</t>
  </si>
  <si>
    <t>2. Total Records</t>
  </si>
  <si>
    <t>3. Total Blanks</t>
  </si>
  <si>
    <t>4. Replaced "Marcrh" with "March" &amp; "November " with "November" in month column.</t>
  </si>
  <si>
    <t>Columns Imputed</t>
  </si>
  <si>
    <t>Columns Imputed (All)</t>
  </si>
  <si>
    <t>8. CPI Category list</t>
  </si>
  <si>
    <t>Food &amp; Beverages</t>
  </si>
  <si>
    <t>Apparel</t>
  </si>
  <si>
    <t>Energy</t>
  </si>
  <si>
    <t>Transport</t>
  </si>
  <si>
    <t>Other goods &amp; services</t>
  </si>
  <si>
    <t>Component</t>
  </si>
  <si>
    <t>Category</t>
  </si>
  <si>
    <t>Recreation</t>
  </si>
  <si>
    <t>Imputation made in Re-structured data</t>
  </si>
  <si>
    <t>Cleaned</t>
  </si>
  <si>
    <t>Re-structured</t>
  </si>
  <si>
    <t>5. Imputed blanks in Housing (Rural sector) with '0' as CPI is not calculated for this component by GOI</t>
  </si>
  <si>
    <t>6. Imputed blanks of April20 with Sector-wise Moving Average of last 3 months (Jan20 to Mar20)</t>
  </si>
  <si>
    <t>7. Imputed blanks of May20 with Sector-wise Moving Average of last 3 months (Feb20 to Apr20)</t>
  </si>
  <si>
    <t>Total</t>
  </si>
  <si>
    <t>M-o-M Change- Food &amp; Beverages Category</t>
  </si>
  <si>
    <t>Impact of Covid-19 Pandemic (M-o-M Analysis)</t>
  </si>
  <si>
    <t>Contribution</t>
  </si>
  <si>
    <t>General Index</t>
  </si>
  <si>
    <t>% Contribution of each category in CPI (Latest Month- May-23)</t>
  </si>
  <si>
    <t>% Change</t>
  </si>
  <si>
    <t>Food &amp; Beverages Total</t>
  </si>
  <si>
    <t>Imputed</t>
  </si>
  <si>
    <t>Sparklines</t>
  </si>
  <si>
    <t>CPI</t>
  </si>
  <si>
    <t>Average of CPI</t>
  </si>
  <si>
    <t>Correlation</t>
  </si>
  <si>
    <t>Category-wise Inflation- Year: 2021</t>
  </si>
  <si>
    <t>Re-structured2</t>
  </si>
  <si>
    <t>Y-o-Y General Index CPI Trend Analysis</t>
  </si>
  <si>
    <t>M-o-M Inflation in General Index CPI: Trend Analysis [2017-2023]</t>
  </si>
  <si>
    <t>Impact of Covid-19 Pandemic (Y-o-Y Analysis)</t>
  </si>
  <si>
    <t>Inflation</t>
  </si>
  <si>
    <t>Trend</t>
  </si>
  <si>
    <t>2020-21</t>
  </si>
  <si>
    <t>2021-22</t>
  </si>
  <si>
    <t>2022-23</t>
  </si>
  <si>
    <t>2023-24</t>
  </si>
  <si>
    <t>Value</t>
  </si>
  <si>
    <t>Correlation of each category with crude oil prices</t>
  </si>
  <si>
    <t>M-o-M Analysis: Category-wise[Period: 2021-23]</t>
  </si>
  <si>
    <t>INDIA CPI INFLATION &amp; TREND ANALYSIS</t>
  </si>
  <si>
    <t>Y-o-Y % Change in Inflation (Rural+Urban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</si>
</sst>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i/>
      <sz val="11"/>
      <color theme="1"/>
      <name val="Calibri"/>
      <family val="2"/>
      <scheme val="minor"/>
    </font>
    <font>
      <sz val="11"/>
      <color theme="1"/>
      <name val="Calibri"/>
      <family val="2"/>
      <scheme val="minor"/>
    </font>
    <font>
      <sz val="24"/>
      <color theme="0"/>
      <name val="Bahnschrift SemiBold"/>
      <family val="2"/>
    </font>
    <font>
      <sz val="8"/>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4" tint="0.79998168889431442"/>
        <bgColor theme="4" tint="0.79998168889431442"/>
      </patternFill>
    </fill>
  </fills>
  <borders count="27">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theme="9" tint="0.39997558519241921"/>
      </top>
      <bottom style="thin">
        <color theme="9" tint="0.39997558519241921"/>
      </bottom>
      <diagonal/>
    </border>
    <border>
      <left style="thin">
        <color indexed="64"/>
      </left>
      <right style="thin">
        <color indexed="64"/>
      </right>
      <top style="thin">
        <color theme="9" tint="0.39997558519241921"/>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98">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0" fontId="4" fillId="0" borderId="1" xfId="0" applyFont="1" applyBorder="1"/>
    <xf numFmtId="0" fontId="0" fillId="0" borderId="2" xfId="0" applyBorder="1"/>
    <xf numFmtId="0" fontId="0" fillId="0" borderId="3" xfId="0" applyBorder="1"/>
    <xf numFmtId="0" fontId="2" fillId="0" borderId="1" xfId="0" applyFont="1" applyBorder="1"/>
    <xf numFmtId="0" fontId="0" fillId="0" borderId="4" xfId="0" applyBorder="1"/>
    <xf numFmtId="0" fontId="0" fillId="0" borderId="5" xfId="0" applyBorder="1"/>
    <xf numFmtId="0" fontId="0" fillId="0" borderId="1" xfId="0" applyBorder="1"/>
    <xf numFmtId="0" fontId="2" fillId="0" borderId="6" xfId="0" applyFont="1" applyBorder="1"/>
    <xf numFmtId="0" fontId="2" fillId="0" borderId="7" xfId="0" applyFont="1" applyBorder="1"/>
    <xf numFmtId="0" fontId="0" fillId="0" borderId="8" xfId="0" applyBorder="1"/>
    <xf numFmtId="0" fontId="0" fillId="0" borderId="9" xfId="0" applyBorder="1"/>
    <xf numFmtId="0" fontId="0" fillId="0" borderId="10" xfId="0" applyBorder="1"/>
    <xf numFmtId="0" fontId="0" fillId="0" borderId="11" xfId="0" applyBorder="1"/>
    <xf numFmtId="0" fontId="4" fillId="0" borderId="0" xfId="0" applyFont="1"/>
    <xf numFmtId="0" fontId="2" fillId="0" borderId="0" xfId="0" applyFont="1"/>
    <xf numFmtId="0" fontId="0" fillId="0" borderId="3" xfId="0" applyFill="1" applyBorder="1"/>
    <xf numFmtId="165" fontId="0" fillId="0" borderId="0" xfId="1" applyNumberFormat="1" applyFont="1" applyBorder="1"/>
    <xf numFmtId="0" fontId="1" fillId="2" borderId="12" xfId="0" applyFont="1" applyFill="1" applyBorder="1"/>
    <xf numFmtId="0" fontId="1" fillId="2" borderId="13" xfId="0" applyFont="1" applyFill="1" applyBorder="1"/>
    <xf numFmtId="0" fontId="1" fillId="2" borderId="14" xfId="0" applyFont="1" applyFill="1" applyBorder="1"/>
    <xf numFmtId="165" fontId="0" fillId="0" borderId="0" xfId="1" applyNumberFormat="1" applyFont="1" applyFill="1" applyBorder="1"/>
    <xf numFmtId="0" fontId="2" fillId="0" borderId="15" xfId="0" applyFont="1" applyFill="1" applyBorder="1"/>
    <xf numFmtId="0" fontId="1" fillId="2" borderId="17" xfId="0" applyFont="1" applyFill="1" applyBorder="1"/>
    <xf numFmtId="0" fontId="2" fillId="0" borderId="17" xfId="0" applyFont="1" applyFill="1" applyBorder="1"/>
    <xf numFmtId="0" fontId="2" fillId="0" borderId="15" xfId="0" applyFont="1" applyBorder="1"/>
    <xf numFmtId="0" fontId="2" fillId="0" borderId="17" xfId="0" applyFont="1" applyBorder="1"/>
    <xf numFmtId="0" fontId="0" fillId="3" borderId="0" xfId="0" applyFill="1"/>
    <xf numFmtId="0" fontId="2" fillId="0" borderId="0" xfId="0" applyFont="1" applyFill="1" applyBorder="1" applyAlignment="1"/>
    <xf numFmtId="0" fontId="1" fillId="0" borderId="0" xfId="0" applyFont="1" applyFill="1" applyBorder="1"/>
    <xf numFmtId="0" fontId="7" fillId="0" borderId="0" xfId="0" applyFont="1" applyFill="1" applyAlignment="1"/>
    <xf numFmtId="10" fontId="0" fillId="0" borderId="16" xfId="1" applyNumberFormat="1" applyFont="1" applyFill="1" applyBorder="1"/>
    <xf numFmtId="0" fontId="5" fillId="0" borderId="15" xfId="0" applyFont="1" applyFill="1" applyBorder="1"/>
    <xf numFmtId="0" fontId="0" fillId="0" borderId="0" xfId="0" applyFont="1" applyFill="1" applyBorder="1"/>
    <xf numFmtId="0" fontId="5" fillId="0" borderId="0" xfId="0" applyFont="1" applyFill="1" applyBorder="1"/>
    <xf numFmtId="10" fontId="0" fillId="4" borderId="16" xfId="1" applyNumberFormat="1" applyFont="1" applyFill="1" applyBorder="1"/>
    <xf numFmtId="10" fontId="0" fillId="0" borderId="0" xfId="1" applyNumberFormat="1" applyFont="1" applyFill="1" applyBorder="1"/>
    <xf numFmtId="10" fontId="1" fillId="2" borderId="18" xfId="1" applyNumberFormat="1" applyFont="1" applyFill="1" applyBorder="1"/>
    <xf numFmtId="10" fontId="0" fillId="0" borderId="19" xfId="1" applyNumberFormat="1" applyFont="1" applyFill="1" applyBorder="1"/>
    <xf numFmtId="0" fontId="1" fillId="2" borderId="23" xfId="0" applyFont="1" applyFill="1" applyBorder="1"/>
    <xf numFmtId="0" fontId="0" fillId="0" borderId="0" xfId="0" applyFill="1"/>
    <xf numFmtId="0" fontId="0" fillId="0" borderId="0" xfId="0" applyFill="1" applyBorder="1"/>
    <xf numFmtId="0" fontId="0" fillId="0" borderId="0" xfId="0" applyFont="1"/>
    <xf numFmtId="10" fontId="0" fillId="0" borderId="0" xfId="1" applyNumberFormat="1" applyFont="1" applyBorder="1"/>
    <xf numFmtId="10" fontId="0" fillId="0" borderId="16" xfId="1" applyNumberFormat="1" applyFont="1" applyBorder="1"/>
    <xf numFmtId="10" fontId="0" fillId="0" borderId="18" xfId="1" applyNumberFormat="1" applyFont="1" applyBorder="1"/>
    <xf numFmtId="10" fontId="0" fillId="0" borderId="19" xfId="1" applyNumberFormat="1" applyFont="1" applyBorder="1"/>
    <xf numFmtId="0" fontId="2" fillId="0" borderId="0" xfId="0" applyFont="1" applyFill="1" applyBorder="1"/>
    <xf numFmtId="0" fontId="0" fillId="0" borderId="15" xfId="0" applyBorder="1"/>
    <xf numFmtId="0" fontId="0" fillId="0" borderId="17" xfId="0" applyBorder="1"/>
    <xf numFmtId="10" fontId="0" fillId="5" borderId="0" xfId="1" applyNumberFormat="1" applyFont="1" applyFill="1" applyBorder="1"/>
    <xf numFmtId="10" fontId="0" fillId="5" borderId="18" xfId="1" applyNumberFormat="1" applyFont="1" applyFill="1" applyBorder="1"/>
    <xf numFmtId="10" fontId="0" fillId="0" borderId="24" xfId="1" applyNumberFormat="1" applyFont="1" applyBorder="1"/>
    <xf numFmtId="10" fontId="0" fillId="0" borderId="25" xfId="1" applyNumberFormat="1" applyFont="1" applyBorder="1"/>
    <xf numFmtId="164" fontId="1" fillId="2" borderId="19" xfId="0" applyNumberFormat="1" applyFont="1" applyFill="1" applyBorder="1"/>
    <xf numFmtId="0" fontId="2" fillId="0" borderId="12" xfId="0" applyFont="1" applyBorder="1" applyAlignment="1">
      <alignment horizontal="center"/>
    </xf>
    <xf numFmtId="0" fontId="1" fillId="2" borderId="0" xfId="0" applyFont="1" applyFill="1" applyBorder="1"/>
    <xf numFmtId="10" fontId="0" fillId="0" borderId="18" xfId="1" applyNumberFormat="1" applyFont="1" applyFill="1" applyBorder="1"/>
    <xf numFmtId="164" fontId="2" fillId="0" borderId="16" xfId="0" applyNumberFormat="1" applyFont="1" applyFill="1" applyBorder="1"/>
    <xf numFmtId="0" fontId="0" fillId="0" borderId="12" xfId="0" applyBorder="1"/>
    <xf numFmtId="0" fontId="0" fillId="0" borderId="14" xfId="0" applyBorder="1"/>
    <xf numFmtId="0" fontId="0" fillId="0" borderId="16" xfId="0" applyBorder="1"/>
    <xf numFmtId="0" fontId="0" fillId="0" borderId="19" xfId="0" applyBorder="1"/>
    <xf numFmtId="0" fontId="0" fillId="0" borderId="0" xfId="0" applyBorder="1"/>
    <xf numFmtId="165" fontId="0" fillId="0" borderId="16" xfId="1" applyNumberFormat="1" applyFont="1" applyBorder="1"/>
    <xf numFmtId="165" fontId="0" fillId="0" borderId="18" xfId="1" applyNumberFormat="1" applyFont="1" applyBorder="1"/>
    <xf numFmtId="165" fontId="0" fillId="0" borderId="19" xfId="1" applyNumberFormat="1" applyFont="1" applyBorder="1"/>
    <xf numFmtId="0" fontId="0" fillId="0" borderId="21" xfId="0" applyBorder="1"/>
    <xf numFmtId="0" fontId="0" fillId="0" borderId="22" xfId="0" applyBorder="1"/>
    <xf numFmtId="0" fontId="1" fillId="2" borderId="20" xfId="0" applyFont="1" applyFill="1" applyBorder="1"/>
    <xf numFmtId="10" fontId="0" fillId="0" borderId="15" xfId="1" applyNumberFormat="1" applyFont="1" applyBorder="1"/>
    <xf numFmtId="10" fontId="0" fillId="0" borderId="17" xfId="1" applyNumberFormat="1" applyFont="1" applyBorder="1"/>
    <xf numFmtId="0" fontId="1" fillId="2" borderId="15" xfId="0" applyFont="1" applyFill="1" applyBorder="1"/>
    <xf numFmtId="0" fontId="1" fillId="2" borderId="16" xfId="0" applyFont="1" applyFill="1" applyBorder="1"/>
    <xf numFmtId="2" fontId="1" fillId="0" borderId="0" xfId="0" applyNumberFormat="1" applyFont="1" applyFill="1" applyBorder="1"/>
    <xf numFmtId="10" fontId="2" fillId="0" borderId="0" xfId="1" applyNumberFormat="1" applyFont="1" applyFill="1" applyBorder="1"/>
    <xf numFmtId="0" fontId="7" fillId="0" borderId="0" xfId="0" applyFont="1" applyFill="1" applyBorder="1" applyAlignment="1"/>
    <xf numFmtId="0" fontId="2" fillId="7" borderId="26" xfId="0" applyFont="1" applyFill="1" applyBorder="1"/>
    <xf numFmtId="9" fontId="0" fillId="0" borderId="0" xfId="1" applyFont="1"/>
    <xf numFmtId="0" fontId="2" fillId="0" borderId="20" xfId="0" applyFont="1" applyBorder="1" applyAlignment="1">
      <alignment horizontal="left"/>
    </xf>
    <xf numFmtId="0" fontId="2" fillId="0" borderId="21" xfId="0" applyFont="1" applyBorder="1" applyAlignment="1">
      <alignment horizontal="left"/>
    </xf>
    <xf numFmtId="0" fontId="2" fillId="0" borderId="22" xfId="0" applyFont="1" applyBorder="1" applyAlignment="1">
      <alignment horizontal="left"/>
    </xf>
    <xf numFmtId="0" fontId="7" fillId="2" borderId="0" xfId="0" applyFont="1" applyFill="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0" xfId="0" applyFont="1" applyFill="1" applyBorder="1" applyAlignment="1">
      <alignment horizontal="left"/>
    </xf>
    <xf numFmtId="0" fontId="2" fillId="0" borderId="21" xfId="0" applyFont="1" applyFill="1" applyBorder="1" applyAlignment="1">
      <alignment horizontal="left"/>
    </xf>
    <xf numFmtId="0" fontId="2" fillId="0" borderId="22" xfId="0" applyFont="1" applyFill="1" applyBorder="1" applyAlignment="1">
      <alignment horizontal="left"/>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7" fillId="6" borderId="0" xfId="0" applyFont="1" applyFill="1" applyAlignment="1">
      <alignment horizontal="center"/>
    </xf>
  </cellXfs>
  <cellStyles count="2">
    <cellStyle name="Normal" xfId="0" builtinId="0"/>
    <cellStyle name="Percent" xfId="1" builtinId="5"/>
  </cellStyles>
  <dxfs count="48">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ill>
        <patternFill>
          <bgColor theme="4" tint="0.7999816888943144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2" tint="-9.9948118533890809E-2"/>
        </patternFill>
      </fill>
    </dxf>
    <dxf>
      <fill>
        <patternFill>
          <bgColor theme="4" tint="0.39994506668294322"/>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164" formatCode="0.0"/>
    </dxf>
    <dxf>
      <numFmt numFmtId="164" formatCode="0.0"/>
    </dxf>
    <dxf>
      <numFmt numFmtId="0" formatCode="General"/>
    </dxf>
    <dxf>
      <numFmt numFmtId="0" formatCode="General"/>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fill>
        <patternFill>
          <fgColor theme="0"/>
        </patternFill>
      </fill>
      <border>
        <left style="medium">
          <color auto="1"/>
        </left>
        <right style="medium">
          <color auto="1"/>
        </right>
        <top style="medium">
          <color auto="1"/>
        </top>
        <bottom style="medium">
          <color auto="1"/>
        </bottom>
        <vertical style="medium">
          <color auto="1"/>
        </vertical>
      </border>
    </dxf>
    <dxf>
      <fill>
        <patternFill>
          <bgColor theme="1" tint="0.499984740745262"/>
        </patternFill>
      </fill>
    </dxf>
  </dxfs>
  <tableStyles count="2" defaultTableStyle="TableStyleMedium2" defaultPivotStyle="PivotStyleLight16">
    <tableStyle name="Slicer Style 1" pivot="0" table="0" count="1" xr9:uid="{DD33BBE4-CB87-436D-8512-666864B3B0DA}">
      <tableStyleElement type="wholeTable" dxfId="47"/>
    </tableStyle>
    <tableStyle name="Slicer Style 2" pivot="0" table="0" count="1" xr9:uid="{8DAA2FBA-35B4-46BC-95D2-8B04E1885221}">
      <tableStyleElement type="wholeTable" dxfId="46"/>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Analysis!$A$28</c:f>
          <c:strCache>
            <c:ptCount val="1"/>
            <c:pt idx="0">
              <c:v>Y-o-Y % Change in Inflation (Rural+Urban Sector)</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Analysis!$B$29</c:f>
              <c:strCache>
                <c:ptCount val="1"/>
                <c:pt idx="0">
                  <c:v>% Change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numRef>
              <c:f>Analysis!$A$30:$A$36</c:f>
              <c:numCache>
                <c:formatCode>General</c:formatCode>
                <c:ptCount val="7"/>
                <c:pt idx="0">
                  <c:v>2017</c:v>
                </c:pt>
                <c:pt idx="1">
                  <c:v>2018</c:v>
                </c:pt>
                <c:pt idx="2">
                  <c:v>2019</c:v>
                </c:pt>
                <c:pt idx="3">
                  <c:v>2020</c:v>
                </c:pt>
                <c:pt idx="4">
                  <c:v>2021</c:v>
                </c:pt>
                <c:pt idx="5">
                  <c:v>2022</c:v>
                </c:pt>
                <c:pt idx="6">
                  <c:v>2023</c:v>
                </c:pt>
              </c:numCache>
            </c:numRef>
          </c:cat>
          <c:val>
            <c:numRef>
              <c:f>Analysis!$B$30:$B$36</c:f>
              <c:numCache>
                <c:formatCode>0.00%</c:formatCode>
                <c:ptCount val="7"/>
                <c:pt idx="0">
                  <c:v>2.7729298136320565E-2</c:v>
                </c:pt>
                <c:pt idx="1">
                  <c:v>3.3385157833365889E-2</c:v>
                </c:pt>
                <c:pt idx="2">
                  <c:v>3.6365834506694679E-2</c:v>
                </c:pt>
                <c:pt idx="3">
                  <c:v>6.2157070533295534E-2</c:v>
                </c:pt>
                <c:pt idx="4">
                  <c:v>6.7500733887856032E-2</c:v>
                </c:pt>
                <c:pt idx="5">
                  <c:v>6.3885364152862723E-2</c:v>
                </c:pt>
                <c:pt idx="6">
                  <c:v>3.1166221639598566E-2</c:v>
                </c:pt>
              </c:numCache>
            </c:numRef>
          </c:val>
          <c:smooth val="0"/>
          <c:extLst>
            <c:ext xmlns:c16="http://schemas.microsoft.com/office/drawing/2014/chart" uri="{C3380CC4-5D6E-409C-BE32-E72D297353CC}">
              <c16:uniqueId val="{00000001-1DBD-48A2-B46D-BD73109515D0}"/>
            </c:ext>
          </c:extLst>
        </c:ser>
        <c:dLbls>
          <c:dLblPos val="t"/>
          <c:showLegendKey val="0"/>
          <c:showVal val="1"/>
          <c:showCatName val="0"/>
          <c:showSerName val="0"/>
          <c:showPercent val="0"/>
          <c:showBubbleSize val="0"/>
        </c:dLbls>
        <c:smooth val="0"/>
        <c:axId val="1458837103"/>
        <c:axId val="1458838767"/>
      </c:lineChart>
      <c:catAx>
        <c:axId val="14588371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838767"/>
        <c:crosses val="autoZero"/>
        <c:auto val="1"/>
        <c:lblAlgn val="ctr"/>
        <c:lblOffset val="100"/>
        <c:noMultiLvlLbl val="0"/>
      </c:catAx>
      <c:valAx>
        <c:axId val="1458838767"/>
        <c:scaling>
          <c:orientation val="minMax"/>
        </c:scaling>
        <c:delete val="1"/>
        <c:axPos val="l"/>
        <c:numFmt formatCode="0.00%" sourceLinked="1"/>
        <c:majorTickMark val="none"/>
        <c:minorTickMark val="none"/>
        <c:tickLblPos val="nextTo"/>
        <c:crossAx val="145883710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Analysis!$C$28</c:f>
          <c:strCache>
            <c:ptCount val="1"/>
            <c:pt idx="0">
              <c:v>Category-wise Inflation- Year: 2021</c:v>
            </c:pt>
          </c:strCache>
        </c:strRef>
      </c:tx>
      <c:layout>
        <c:manualLayout>
          <c:xMode val="edge"/>
          <c:yMode val="edge"/>
          <c:x val="0.11839834675837935"/>
          <c:y val="3.525080198308540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Analysis!$D$29</c:f>
              <c:strCache>
                <c:ptCount val="1"/>
                <c:pt idx="0">
                  <c:v>% Change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8D-4E6A-9CEE-7ADCED8A52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8D-4E6A-9CEE-7ADCED8A52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8D-4E6A-9CEE-7ADCED8A528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58D-4E6A-9CEE-7ADCED8A528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58D-4E6A-9CEE-7ADCED8A528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58D-4E6A-9CEE-7ADCED8A528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58D-4E6A-9CEE-7ADCED8A528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58D-4E6A-9CEE-7ADCED8A528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58D-4E6A-9CEE-7ADCED8A528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58D-4E6A-9CEE-7ADCED8A52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Analysis!$C$30:$C$39</c:f>
              <c:strCache>
                <c:ptCount val="9"/>
                <c:pt idx="0">
                  <c:v>Apparel</c:v>
                </c:pt>
                <c:pt idx="1">
                  <c:v>Education</c:v>
                </c:pt>
                <c:pt idx="2">
                  <c:v>Energy</c:v>
                </c:pt>
                <c:pt idx="3">
                  <c:v>Food &amp; Beverages</c:v>
                </c:pt>
                <c:pt idx="4">
                  <c:v>Health</c:v>
                </c:pt>
                <c:pt idx="5">
                  <c:v>Housing</c:v>
                </c:pt>
                <c:pt idx="6">
                  <c:v>Other goods &amp; services</c:v>
                </c:pt>
                <c:pt idx="7">
                  <c:v>Recreation</c:v>
                </c:pt>
                <c:pt idx="8">
                  <c:v>Transport</c:v>
                </c:pt>
              </c:strCache>
            </c:strRef>
          </c:cat>
          <c:val>
            <c:numRef>
              <c:f>Analysis!$D$30:$D$39</c:f>
              <c:numCache>
                <c:formatCode>0.00%</c:formatCode>
                <c:ptCount val="10"/>
                <c:pt idx="0">
                  <c:v>6.5359083931460768E-2</c:v>
                </c:pt>
                <c:pt idx="1">
                  <c:v>3.2212802584570523E-2</c:v>
                </c:pt>
                <c:pt idx="2">
                  <c:v>0.10168154532861312</c:v>
                </c:pt>
                <c:pt idx="3">
                  <c:v>6.8730780792275417E-2</c:v>
                </c:pt>
                <c:pt idx="4">
                  <c:v>7.6505589614136213E-2</c:v>
                </c:pt>
                <c:pt idx="5">
                  <c:v>4.5332558992541773E-2</c:v>
                </c:pt>
                <c:pt idx="6">
                  <c:v>6.5974135195484909E-2</c:v>
                </c:pt>
                <c:pt idx="7">
                  <c:v>6.878327068745109E-2</c:v>
                </c:pt>
                <c:pt idx="8">
                  <c:v>0.11540756899141812</c:v>
                </c:pt>
              </c:numCache>
            </c:numRef>
          </c:val>
          <c:extLst>
            <c:ext xmlns:c16="http://schemas.microsoft.com/office/drawing/2014/chart" uri="{C3380CC4-5D6E-409C-BE32-E72D297353CC}">
              <c16:uniqueId val="{00000014-A58D-4E6A-9CEE-7ADCED8A528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
            </a:r>
            <a:r>
              <a:rPr lang="en-US" baseline="0"/>
              <a:t> Contribution in CPI (Rural+Urban) [May-23]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Analysis!$B$5</c:f>
              <c:strCache>
                <c:ptCount val="1"/>
                <c:pt idx="0">
                  <c:v>Contribution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DD-495D-BC4F-6EDB32B27A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DD-495D-BC4F-6EDB32B27A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DD-495D-BC4F-6EDB32B27A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ADD-495D-BC4F-6EDB32B27A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ADD-495D-BC4F-6EDB32B27A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ADD-495D-BC4F-6EDB32B27A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ADD-495D-BC4F-6EDB32B27A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ADD-495D-BC4F-6EDB32B27A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ADD-495D-BC4F-6EDB32B27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Analysis!$A$6:$A$14</c:f>
              <c:strCache>
                <c:ptCount val="9"/>
                <c:pt idx="0">
                  <c:v>Apparel</c:v>
                </c:pt>
                <c:pt idx="1">
                  <c:v>Education</c:v>
                </c:pt>
                <c:pt idx="2">
                  <c:v>Energy</c:v>
                </c:pt>
                <c:pt idx="3">
                  <c:v>Food &amp; Beverages</c:v>
                </c:pt>
                <c:pt idx="4">
                  <c:v>Health</c:v>
                </c:pt>
                <c:pt idx="5">
                  <c:v>Housing</c:v>
                </c:pt>
                <c:pt idx="6">
                  <c:v>Other goods &amp; services</c:v>
                </c:pt>
                <c:pt idx="7">
                  <c:v>Recreation</c:v>
                </c:pt>
                <c:pt idx="8">
                  <c:v>Transport</c:v>
                </c:pt>
              </c:strCache>
            </c:strRef>
          </c:cat>
          <c:val>
            <c:numRef>
              <c:f>Analysis!$B$6:$B$14</c:f>
              <c:numCache>
                <c:formatCode>0.00%</c:formatCode>
                <c:ptCount val="9"/>
                <c:pt idx="0">
                  <c:v>0.11480842911877397</c:v>
                </c:pt>
                <c:pt idx="1">
                  <c:v>0.11026340996168583</c:v>
                </c:pt>
                <c:pt idx="2">
                  <c:v>0.11381226053639849</c:v>
                </c:pt>
                <c:pt idx="3">
                  <c:v>0.11048371647509578</c:v>
                </c:pt>
                <c:pt idx="4">
                  <c:v>0.11561781609195403</c:v>
                </c:pt>
                <c:pt idx="5">
                  <c:v>0.10920498084291187</c:v>
                </c:pt>
                <c:pt idx="6">
                  <c:v>0.1166139846743295</c:v>
                </c:pt>
                <c:pt idx="7">
                  <c:v>0.10659003831417625</c:v>
                </c:pt>
                <c:pt idx="8">
                  <c:v>0.10260536398467435</c:v>
                </c:pt>
              </c:numCache>
            </c:numRef>
          </c:val>
          <c:extLst>
            <c:ext xmlns:c16="http://schemas.microsoft.com/office/drawing/2014/chart" uri="{C3380CC4-5D6E-409C-BE32-E72D297353CC}">
              <c16:uniqueId val="{00000012-5ADD-495D-BC4F-6EDB32B27ABE}"/>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Analysis!$G$28</c:f>
          <c:strCache>
            <c:ptCount val="1"/>
            <c:pt idx="0">
              <c:v>Impact of Covid-19 Pandemic (Y-o-Y Analysis)</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Analysis!$G$30</c:f>
              <c:strCache>
                <c:ptCount val="1"/>
                <c:pt idx="0">
                  <c:v>Apparel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Analysis!$H$30:$M$30</c:f>
              <c:numCache>
                <c:formatCode>0.00%</c:formatCode>
                <c:ptCount val="6"/>
                <c:pt idx="0">
                  <c:v>4.5757341890409996E-2</c:v>
                </c:pt>
                <c:pt idx="1">
                  <c:v>1.7943118038280203E-2</c:v>
                </c:pt>
                <c:pt idx="2">
                  <c:v>2.1889060788471592E-2</c:v>
                </c:pt>
                <c:pt idx="3">
                  <c:v>6.5359083931460768E-2</c:v>
                </c:pt>
                <c:pt idx="4">
                  <c:v>0.10067819778139957</c:v>
                </c:pt>
                <c:pt idx="5">
                  <c:v>5.1280091708062622E-2</c:v>
                </c:pt>
              </c:numCache>
            </c:numRef>
          </c:val>
          <c:extLst>
            <c:ext xmlns:c16="http://schemas.microsoft.com/office/drawing/2014/chart" uri="{C3380CC4-5D6E-409C-BE32-E72D297353CC}">
              <c16:uniqueId val="{00000000-FA7D-48BD-B869-E9224211C408}"/>
            </c:ext>
          </c:extLst>
        </c:ser>
        <c:ser>
          <c:idx val="1"/>
          <c:order val="1"/>
          <c:tx>
            <c:strRef>
              <c:f>Analysis!$G$31</c:f>
              <c:strCache>
                <c:ptCount val="1"/>
                <c:pt idx="0">
                  <c:v>Education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Analysis!$H$31:$M$31</c:f>
              <c:numCache>
                <c:formatCode>0.00%</c:formatCode>
                <c:ptCount val="6"/>
                <c:pt idx="0">
                  <c:v>5.8026960784313825E-2</c:v>
                </c:pt>
                <c:pt idx="1">
                  <c:v>6.4942586225959123E-2</c:v>
                </c:pt>
                <c:pt idx="2">
                  <c:v>2.4935620242929057E-2</c:v>
                </c:pt>
                <c:pt idx="3">
                  <c:v>3.2212802584570523E-2</c:v>
                </c:pt>
                <c:pt idx="4">
                  <c:v>4.754806209519899E-2</c:v>
                </c:pt>
                <c:pt idx="5">
                  <c:v>3.3770057412041719E-2</c:v>
                </c:pt>
              </c:numCache>
            </c:numRef>
          </c:val>
          <c:extLst>
            <c:ext xmlns:c16="http://schemas.microsoft.com/office/drawing/2014/chart" uri="{C3380CC4-5D6E-409C-BE32-E72D297353CC}">
              <c16:uniqueId val="{00000001-FA7D-48BD-B869-E9224211C408}"/>
            </c:ext>
          </c:extLst>
        </c:ser>
        <c:ser>
          <c:idx val="2"/>
          <c:order val="2"/>
          <c:tx>
            <c:strRef>
              <c:f>Analysis!$G$32</c:f>
              <c:strCache>
                <c:ptCount val="1"/>
                <c:pt idx="0">
                  <c:v>Energy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Analysis!$H$32:$M$32</c:f>
              <c:numCache>
                <c:formatCode>0.00%</c:formatCode>
                <c:ptCount val="6"/>
                <c:pt idx="0">
                  <c:v>7.1004405848924187E-2</c:v>
                </c:pt>
                <c:pt idx="1">
                  <c:v>3.3657989300986861E-3</c:v>
                </c:pt>
                <c:pt idx="2">
                  <c:v>2.9464935214594788E-2</c:v>
                </c:pt>
                <c:pt idx="3">
                  <c:v>0.10168154532861312</c:v>
                </c:pt>
                <c:pt idx="4">
                  <c:v>0.10106355110808415</c:v>
                </c:pt>
                <c:pt idx="5">
                  <c:v>3.9779215835553876E-2</c:v>
                </c:pt>
              </c:numCache>
            </c:numRef>
          </c:val>
          <c:extLst>
            <c:ext xmlns:c16="http://schemas.microsoft.com/office/drawing/2014/chart" uri="{C3380CC4-5D6E-409C-BE32-E72D297353CC}">
              <c16:uniqueId val="{00000002-FA7D-48BD-B869-E9224211C408}"/>
            </c:ext>
          </c:extLst>
        </c:ser>
        <c:ser>
          <c:idx val="3"/>
          <c:order val="3"/>
          <c:tx>
            <c:strRef>
              <c:f>Analysis!$G$33</c:f>
              <c:strCache>
                <c:ptCount val="1"/>
                <c:pt idx="0">
                  <c:v>Food &amp; Beverages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Analysis!$H$33:$M$33</c:f>
              <c:numCache>
                <c:formatCode>0.00%</c:formatCode>
                <c:ptCount val="6"/>
                <c:pt idx="0">
                  <c:v>1.0842245798748328E-2</c:v>
                </c:pt>
                <c:pt idx="1">
                  <c:v>3.3901136817637033E-2</c:v>
                </c:pt>
                <c:pt idx="2">
                  <c:v>8.2173337161260865E-2</c:v>
                </c:pt>
                <c:pt idx="3">
                  <c:v>6.8730780792275417E-2</c:v>
                </c:pt>
                <c:pt idx="4">
                  <c:v>5.8104432320246251E-2</c:v>
                </c:pt>
                <c:pt idx="5">
                  <c:v>2.0632573759407358E-2</c:v>
                </c:pt>
              </c:numCache>
            </c:numRef>
          </c:val>
          <c:extLst>
            <c:ext xmlns:c16="http://schemas.microsoft.com/office/drawing/2014/chart" uri="{C3380CC4-5D6E-409C-BE32-E72D297353CC}">
              <c16:uniqueId val="{00000003-FA7D-48BD-B869-E9224211C408}"/>
            </c:ext>
          </c:extLst>
        </c:ser>
        <c:ser>
          <c:idx val="4"/>
          <c:order val="4"/>
          <c:tx>
            <c:strRef>
              <c:f>Analysis!$G$34</c:f>
              <c:strCache>
                <c:ptCount val="1"/>
                <c:pt idx="0">
                  <c:v>Health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Analysis!$H$34:$M$34</c:f>
              <c:numCache>
                <c:formatCode>0.00%</c:formatCode>
                <c:ptCount val="6"/>
                <c:pt idx="0">
                  <c:v>6.2077838533290595E-2</c:v>
                </c:pt>
                <c:pt idx="1">
                  <c:v>7.4588403722261692E-2</c:v>
                </c:pt>
                <c:pt idx="2">
                  <c:v>4.2004003634699395E-2</c:v>
                </c:pt>
                <c:pt idx="3">
                  <c:v>7.6505589614136213E-2</c:v>
                </c:pt>
                <c:pt idx="4">
                  <c:v>6.0800964775639302E-2</c:v>
                </c:pt>
                <c:pt idx="5">
                  <c:v>4.7946568139832495E-2</c:v>
                </c:pt>
              </c:numCache>
            </c:numRef>
          </c:val>
          <c:extLst>
            <c:ext xmlns:c16="http://schemas.microsoft.com/office/drawing/2014/chart" uri="{C3380CC4-5D6E-409C-BE32-E72D297353CC}">
              <c16:uniqueId val="{00000004-FA7D-48BD-B869-E9224211C408}"/>
            </c:ext>
          </c:extLst>
        </c:ser>
        <c:ser>
          <c:idx val="5"/>
          <c:order val="5"/>
          <c:tx>
            <c:strRef>
              <c:f>Analysis!$G$35</c:f>
              <c:strCache>
                <c:ptCount val="1"/>
                <c:pt idx="0">
                  <c:v>Housing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Analysis!$H$35:$M$35</c:f>
              <c:numCache>
                <c:formatCode>0.00%</c:formatCode>
                <c:ptCount val="6"/>
                <c:pt idx="0">
                  <c:v>6.3549348815314613E-2</c:v>
                </c:pt>
                <c:pt idx="1">
                  <c:v>4.5006572064701239E-2</c:v>
                </c:pt>
                <c:pt idx="2">
                  <c:v>2.6424712045707999E-2</c:v>
                </c:pt>
                <c:pt idx="3">
                  <c:v>4.5332558992541773E-2</c:v>
                </c:pt>
                <c:pt idx="4">
                  <c:v>5.7185715413563556E-2</c:v>
                </c:pt>
                <c:pt idx="5">
                  <c:v>4.0127451956586513E-2</c:v>
                </c:pt>
              </c:numCache>
            </c:numRef>
          </c:val>
          <c:extLst>
            <c:ext xmlns:c16="http://schemas.microsoft.com/office/drawing/2014/chart" uri="{C3380CC4-5D6E-409C-BE32-E72D297353CC}">
              <c16:uniqueId val="{00000005-FA7D-48BD-B869-E9224211C408}"/>
            </c:ext>
          </c:extLst>
        </c:ser>
        <c:ser>
          <c:idx val="6"/>
          <c:order val="6"/>
          <c:tx>
            <c:strRef>
              <c:f>Analysis!$G$36</c:f>
              <c:strCache>
                <c:ptCount val="1"/>
                <c:pt idx="0">
                  <c:v>Other goods &amp; services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Analysis!$H$36:$M$36</c:f>
              <c:numCache>
                <c:formatCode>0.00%</c:formatCode>
                <c:ptCount val="6"/>
                <c:pt idx="0">
                  <c:v>5.7211538461538328E-2</c:v>
                </c:pt>
                <c:pt idx="1">
                  <c:v>4.753328408349472E-2</c:v>
                </c:pt>
                <c:pt idx="2">
                  <c:v>7.7262747448680405E-2</c:v>
                </c:pt>
                <c:pt idx="3">
                  <c:v>6.5974135195484909E-2</c:v>
                </c:pt>
                <c:pt idx="4">
                  <c:v>4.9457593688362667E-2</c:v>
                </c:pt>
                <c:pt idx="5">
                  <c:v>4.5078231452332876E-2</c:v>
                </c:pt>
              </c:numCache>
            </c:numRef>
          </c:val>
          <c:extLst>
            <c:ext xmlns:c16="http://schemas.microsoft.com/office/drawing/2014/chart" uri="{C3380CC4-5D6E-409C-BE32-E72D297353CC}">
              <c16:uniqueId val="{00000006-FA7D-48BD-B869-E9224211C408}"/>
            </c:ext>
          </c:extLst>
        </c:ser>
        <c:ser>
          <c:idx val="7"/>
          <c:order val="7"/>
          <c:tx>
            <c:strRef>
              <c:f>Analysis!$G$37</c:f>
              <c:strCache>
                <c:ptCount val="1"/>
                <c:pt idx="0">
                  <c:v>Recreation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Analysis!$H$37:$M$37</c:f>
              <c:numCache>
                <c:formatCode>0.00%</c:formatCode>
                <c:ptCount val="6"/>
                <c:pt idx="0">
                  <c:v>5.1428947715000485E-2</c:v>
                </c:pt>
                <c:pt idx="1">
                  <c:v>5.1555196228585204E-2</c:v>
                </c:pt>
                <c:pt idx="2">
                  <c:v>4.0508883257892481E-2</c:v>
                </c:pt>
                <c:pt idx="3">
                  <c:v>6.878327068745109E-2</c:v>
                </c:pt>
                <c:pt idx="4">
                  <c:v>6.485646958012016E-2</c:v>
                </c:pt>
                <c:pt idx="5">
                  <c:v>2.8416234974601301E-2</c:v>
                </c:pt>
              </c:numCache>
            </c:numRef>
          </c:val>
          <c:extLst>
            <c:ext xmlns:c16="http://schemas.microsoft.com/office/drawing/2014/chart" uri="{C3380CC4-5D6E-409C-BE32-E72D297353CC}">
              <c16:uniqueId val="{00000007-FA7D-48BD-B869-E9224211C408}"/>
            </c:ext>
          </c:extLst>
        </c:ser>
        <c:ser>
          <c:idx val="8"/>
          <c:order val="8"/>
          <c:tx>
            <c:strRef>
              <c:f>Analysis!$G$38</c:f>
              <c:strCache>
                <c:ptCount val="1"/>
                <c:pt idx="0">
                  <c:v>Transport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Analysis!$H$29:$M$29</c:f>
              <c:numCache>
                <c:formatCode>General</c:formatCode>
                <c:ptCount val="6"/>
                <c:pt idx="0">
                  <c:v>2018</c:v>
                </c:pt>
                <c:pt idx="1">
                  <c:v>2019</c:v>
                </c:pt>
                <c:pt idx="2">
                  <c:v>2020</c:v>
                </c:pt>
                <c:pt idx="3">
                  <c:v>2021</c:v>
                </c:pt>
                <c:pt idx="4">
                  <c:v>2022</c:v>
                </c:pt>
                <c:pt idx="5">
                  <c:v>2023</c:v>
                </c:pt>
              </c:numCache>
            </c:numRef>
          </c:cat>
          <c:val>
            <c:numRef>
              <c:f>Analysis!$H$38:$M$38</c:f>
              <c:numCache>
                <c:formatCode>0.00%</c:formatCode>
                <c:ptCount val="6"/>
                <c:pt idx="0">
                  <c:v>4.9360795454545622E-2</c:v>
                </c:pt>
                <c:pt idx="1">
                  <c:v>2.0027688047992636E-2</c:v>
                </c:pt>
                <c:pt idx="2">
                  <c:v>7.4763743113363285E-2</c:v>
                </c:pt>
                <c:pt idx="3">
                  <c:v>0.11540756899141812</c:v>
                </c:pt>
                <c:pt idx="4">
                  <c:v>6.9961808822715632E-2</c:v>
                </c:pt>
                <c:pt idx="5">
                  <c:v>1.966789095235625E-2</c:v>
                </c:pt>
              </c:numCache>
            </c:numRef>
          </c:val>
          <c:extLst>
            <c:ext xmlns:c16="http://schemas.microsoft.com/office/drawing/2014/chart" uri="{C3380CC4-5D6E-409C-BE32-E72D297353CC}">
              <c16:uniqueId val="{00000008-FA7D-48BD-B869-E9224211C408}"/>
            </c:ext>
          </c:extLst>
        </c:ser>
        <c:dLbls>
          <c:showLegendKey val="0"/>
          <c:showVal val="0"/>
          <c:showCatName val="0"/>
          <c:showSerName val="0"/>
          <c:showPercent val="0"/>
          <c:showBubbleSize val="0"/>
        </c:dLbls>
        <c:gapWidth val="100"/>
        <c:overlap val="-24"/>
        <c:axId val="2040841504"/>
        <c:axId val="2040835264"/>
      </c:barChart>
      <c:catAx>
        <c:axId val="2040841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835264"/>
        <c:crosses val="autoZero"/>
        <c:auto val="1"/>
        <c:lblAlgn val="ctr"/>
        <c:lblOffset val="100"/>
        <c:noMultiLvlLbl val="0"/>
      </c:catAx>
      <c:valAx>
        <c:axId val="20408352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84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Analysis!$A$54</c:f>
          <c:strCache>
            <c:ptCount val="1"/>
            <c:pt idx="0">
              <c:v>Correlation of each category with crude oil prices</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Analysis!$B$55</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Analysis!$A$56:$A$65</c:f>
              <c:strCache>
                <c:ptCount val="10"/>
                <c:pt idx="0">
                  <c:v>Energy</c:v>
                </c:pt>
                <c:pt idx="1">
                  <c:v>Apparel</c:v>
                </c:pt>
                <c:pt idx="2">
                  <c:v>Education</c:v>
                </c:pt>
                <c:pt idx="3">
                  <c:v>Food &amp; Beverages</c:v>
                </c:pt>
                <c:pt idx="4">
                  <c:v>Health</c:v>
                </c:pt>
                <c:pt idx="5">
                  <c:v>Housing</c:v>
                </c:pt>
                <c:pt idx="6">
                  <c:v>Other goods &amp; services</c:v>
                </c:pt>
                <c:pt idx="7">
                  <c:v>Recreation</c:v>
                </c:pt>
                <c:pt idx="8">
                  <c:v>Transport</c:v>
                </c:pt>
                <c:pt idx="9">
                  <c:v>General Index</c:v>
                </c:pt>
              </c:strCache>
            </c:strRef>
          </c:cat>
          <c:val>
            <c:numRef>
              <c:f>Analysis!$B$56:$B$65</c:f>
              <c:numCache>
                <c:formatCode>0.0%</c:formatCode>
                <c:ptCount val="10"/>
                <c:pt idx="0">
                  <c:v>0.57023945887109884</c:v>
                </c:pt>
                <c:pt idx="1">
                  <c:v>0.53102157274512984</c:v>
                </c:pt>
                <c:pt idx="2">
                  <c:v>0.43780938159837823</c:v>
                </c:pt>
                <c:pt idx="3">
                  <c:v>0.58419576974886955</c:v>
                </c:pt>
                <c:pt idx="4">
                  <c:v>0.47641269191127644</c:v>
                </c:pt>
                <c:pt idx="5">
                  <c:v>0.4777262262221566</c:v>
                </c:pt>
                <c:pt idx="6">
                  <c:v>0.45072443150233255</c:v>
                </c:pt>
                <c:pt idx="7">
                  <c:v>0.58945628004865802</c:v>
                </c:pt>
                <c:pt idx="8">
                  <c:v>0.66762747886441132</c:v>
                </c:pt>
                <c:pt idx="9">
                  <c:v>0.55317551746379678</c:v>
                </c:pt>
              </c:numCache>
            </c:numRef>
          </c:val>
          <c:extLst>
            <c:ext xmlns:c16="http://schemas.microsoft.com/office/drawing/2014/chart" uri="{C3380CC4-5D6E-409C-BE32-E72D297353CC}">
              <c16:uniqueId val="{00000000-F623-480D-921D-9B4C5A9535B6}"/>
            </c:ext>
          </c:extLst>
        </c:ser>
        <c:dLbls>
          <c:dLblPos val="outEnd"/>
          <c:showLegendKey val="0"/>
          <c:showVal val="1"/>
          <c:showCatName val="0"/>
          <c:showSerName val="0"/>
          <c:showPercent val="0"/>
          <c:showBubbleSize val="0"/>
        </c:dLbls>
        <c:gapWidth val="115"/>
        <c:overlap val="-20"/>
        <c:axId val="44564223"/>
        <c:axId val="44570463"/>
      </c:barChart>
      <c:catAx>
        <c:axId val="445642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70463"/>
        <c:crosses val="autoZero"/>
        <c:auto val="1"/>
        <c:lblAlgn val="ctr"/>
        <c:lblOffset val="100"/>
        <c:noMultiLvlLbl val="0"/>
      </c:catAx>
      <c:valAx>
        <c:axId val="44570463"/>
        <c:scaling>
          <c:orientation val="minMax"/>
        </c:scaling>
        <c:delete val="1"/>
        <c:axPos val="b"/>
        <c:numFmt formatCode="0.0%" sourceLinked="1"/>
        <c:majorTickMark val="none"/>
        <c:minorTickMark val="none"/>
        <c:tickLblPos val="nextTo"/>
        <c:crossAx val="4456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Analysis!$A$92</c:f>
          <c:strCache>
            <c:ptCount val="1"/>
            <c:pt idx="0">
              <c:v>M-o-M Inflation in General Index CPI: Trend Analysis [2017-2023]</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Analysis!$A$94</c:f>
              <c:strCache>
                <c:ptCount val="1"/>
                <c:pt idx="0">
                  <c:v>Rural+Urban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Analysis!$B$93:$BY$93</c:f>
              <c:strCache>
                <c:ptCount val="76"/>
                <c:pt idx="0">
                  <c:v>Jan-17</c:v>
                </c:pt>
                <c:pt idx="1">
                  <c:v>Feb-17</c:v>
                </c:pt>
                <c:pt idx="2">
                  <c:v>Mar-17</c:v>
                </c:pt>
                <c:pt idx="3">
                  <c:v>Apr-17</c:v>
                </c:pt>
                <c:pt idx="4">
                  <c:v>May-17</c:v>
                </c:pt>
                <c:pt idx="5">
                  <c:v>Jun-17</c:v>
                </c:pt>
                <c:pt idx="6">
                  <c:v>Jul-17</c:v>
                </c:pt>
                <c:pt idx="7">
                  <c:v>Aug-17</c:v>
                </c:pt>
                <c:pt idx="8">
                  <c:v>Sep-17</c:v>
                </c:pt>
                <c:pt idx="9">
                  <c:v>Oct-17</c:v>
                </c:pt>
                <c:pt idx="10">
                  <c:v>Nov-17</c:v>
                </c:pt>
                <c:pt idx="11">
                  <c:v>Dec-17</c:v>
                </c:pt>
                <c:pt idx="12">
                  <c:v>Jan-18</c:v>
                </c:pt>
                <c:pt idx="13">
                  <c:v>Feb-18</c:v>
                </c:pt>
                <c:pt idx="14">
                  <c:v>Mar-18</c:v>
                </c:pt>
                <c:pt idx="15">
                  <c:v>Apr-18</c:v>
                </c:pt>
                <c:pt idx="16">
                  <c:v>May-18</c:v>
                </c:pt>
                <c:pt idx="17">
                  <c:v>Jun-18</c:v>
                </c:pt>
                <c:pt idx="18">
                  <c:v>Jul-18</c:v>
                </c:pt>
                <c:pt idx="19">
                  <c:v>Aug-18</c:v>
                </c:pt>
                <c:pt idx="20">
                  <c:v>Sep-18</c:v>
                </c:pt>
                <c:pt idx="21">
                  <c:v>Oct-18</c:v>
                </c:pt>
                <c:pt idx="22">
                  <c:v>Nov-18</c:v>
                </c:pt>
                <c:pt idx="23">
                  <c:v>Dec-18</c:v>
                </c:pt>
                <c:pt idx="24">
                  <c:v>Jan-19</c:v>
                </c:pt>
                <c:pt idx="25">
                  <c:v>Feb-19</c:v>
                </c:pt>
                <c:pt idx="26">
                  <c:v>Mar-19</c:v>
                </c:pt>
                <c:pt idx="27">
                  <c:v>May-19</c:v>
                </c:pt>
                <c:pt idx="28">
                  <c:v>Jun-19</c:v>
                </c:pt>
                <c:pt idx="29">
                  <c:v>Jul-19</c:v>
                </c:pt>
                <c:pt idx="30">
                  <c:v>Aug-19</c:v>
                </c:pt>
                <c:pt idx="31">
                  <c:v>Sep-19</c:v>
                </c:pt>
                <c:pt idx="32">
                  <c:v>Oct-19</c:v>
                </c:pt>
                <c:pt idx="33">
                  <c:v>Nov-19</c:v>
                </c:pt>
                <c:pt idx="34">
                  <c:v>Dec-19</c:v>
                </c:pt>
                <c:pt idx="35">
                  <c:v>Jan-20</c:v>
                </c:pt>
                <c:pt idx="36">
                  <c:v>Feb-20</c:v>
                </c:pt>
                <c:pt idx="37">
                  <c:v>Mar-20</c:v>
                </c:pt>
                <c:pt idx="38">
                  <c:v>Apr-20</c:v>
                </c:pt>
                <c:pt idx="39">
                  <c:v>May-20</c:v>
                </c:pt>
                <c:pt idx="40">
                  <c:v>Jun-20</c:v>
                </c:pt>
                <c:pt idx="41">
                  <c:v>Jul-20</c:v>
                </c:pt>
                <c:pt idx="42">
                  <c:v>Aug-20</c:v>
                </c:pt>
                <c:pt idx="43">
                  <c:v>Sep-20</c:v>
                </c:pt>
                <c:pt idx="44">
                  <c:v>Oct-20</c:v>
                </c:pt>
                <c:pt idx="45">
                  <c:v>Nov-20</c:v>
                </c:pt>
                <c:pt idx="46">
                  <c:v>Dec-20</c:v>
                </c:pt>
                <c:pt idx="47">
                  <c:v>Jan-21</c:v>
                </c:pt>
                <c:pt idx="48">
                  <c:v>Feb-21</c:v>
                </c:pt>
                <c:pt idx="49">
                  <c:v>Mar-21</c:v>
                </c:pt>
                <c:pt idx="50">
                  <c:v>Apr-21</c:v>
                </c:pt>
                <c:pt idx="51">
                  <c:v>May-21</c:v>
                </c:pt>
                <c:pt idx="52">
                  <c:v>Jun-21</c:v>
                </c:pt>
                <c:pt idx="53">
                  <c:v>Jul-21</c:v>
                </c:pt>
                <c:pt idx="54">
                  <c:v>Aug-21</c:v>
                </c:pt>
                <c:pt idx="55">
                  <c:v>Sep-21</c:v>
                </c:pt>
                <c:pt idx="56">
                  <c:v>Oct-21</c:v>
                </c:pt>
                <c:pt idx="57">
                  <c:v>Nov-21</c:v>
                </c:pt>
                <c:pt idx="58">
                  <c:v>Dec-21</c:v>
                </c:pt>
                <c:pt idx="59">
                  <c:v>Jan-22</c:v>
                </c:pt>
                <c:pt idx="60">
                  <c:v>Feb-22</c:v>
                </c:pt>
                <c:pt idx="61">
                  <c:v>Mar-22</c:v>
                </c:pt>
                <c:pt idx="62">
                  <c:v>Apr-22</c:v>
                </c:pt>
                <c:pt idx="63">
                  <c:v>May-22</c:v>
                </c:pt>
                <c:pt idx="64">
                  <c:v>Jun-22</c:v>
                </c:pt>
                <c:pt idx="65">
                  <c:v>Jul-22</c:v>
                </c:pt>
                <c:pt idx="66">
                  <c:v>Aug-22</c:v>
                </c:pt>
                <c:pt idx="67">
                  <c:v>Sep-22</c:v>
                </c:pt>
                <c:pt idx="68">
                  <c:v>Oct-22</c:v>
                </c:pt>
                <c:pt idx="69">
                  <c:v>Nov-22</c:v>
                </c:pt>
                <c:pt idx="70">
                  <c:v>Dec-22</c:v>
                </c:pt>
                <c:pt idx="71">
                  <c:v>Jan-23</c:v>
                </c:pt>
                <c:pt idx="72">
                  <c:v>Feb-23</c:v>
                </c:pt>
                <c:pt idx="73">
                  <c:v>Mar-23</c:v>
                </c:pt>
                <c:pt idx="74">
                  <c:v>Apr-23</c:v>
                </c:pt>
                <c:pt idx="75">
                  <c:v>May-23</c:v>
                </c:pt>
              </c:strCache>
            </c:strRef>
          </c:cat>
          <c:val>
            <c:numRef>
              <c:f>Analysis!$B$94:$BY$94</c:f>
              <c:numCache>
                <c:formatCode>0.00%</c:formatCode>
                <c:ptCount val="76"/>
                <c:pt idx="0">
                  <c:v>-7.668711656441281E-4</c:v>
                </c:pt>
                <c:pt idx="1">
                  <c:v>2.3023791250958016E-3</c:v>
                </c:pt>
                <c:pt idx="2">
                  <c:v>2.2970903522206076E-3</c:v>
                </c:pt>
                <c:pt idx="3">
                  <c:v>1.5278838808249703E-3</c:v>
                </c:pt>
                <c:pt idx="4">
                  <c:v>2.2883295194508877E-3</c:v>
                </c:pt>
                <c:pt idx="5">
                  <c:v>4.5662100456620568E-3</c:v>
                </c:pt>
                <c:pt idx="6">
                  <c:v>1.666666666666658E-2</c:v>
                </c:pt>
                <c:pt idx="7">
                  <c:v>8.9418777943369391E-3</c:v>
                </c:pt>
                <c:pt idx="8">
                  <c:v>-1.4771048744462115E-3</c:v>
                </c:pt>
                <c:pt idx="9">
                  <c:v>6.6568047337278533E-3</c:v>
                </c:pt>
                <c:pt idx="10">
                  <c:v>1.1021307861866276E-2</c:v>
                </c:pt>
                <c:pt idx="11">
                  <c:v>-2.9069767441860881E-3</c:v>
                </c:pt>
                <c:pt idx="12">
                  <c:v>-2.1865889212826749E-3</c:v>
                </c:pt>
                <c:pt idx="13">
                  <c:v>-3.6523009495982466E-3</c:v>
                </c:pt>
                <c:pt idx="14">
                  <c:v>7.3313782991198172E-4</c:v>
                </c:pt>
                <c:pt idx="15">
                  <c:v>4.395604395604354E-3</c:v>
                </c:pt>
                <c:pt idx="16">
                  <c:v>5.105762217359716E-3</c:v>
                </c:pt>
                <c:pt idx="17">
                  <c:v>5.0798258345427331E-3</c:v>
                </c:pt>
                <c:pt idx="18">
                  <c:v>9.3862815884477348E-3</c:v>
                </c:pt>
                <c:pt idx="19">
                  <c:v>4.291845493562191E-3</c:v>
                </c:pt>
                <c:pt idx="20">
                  <c:v>-1.424501424501546E-3</c:v>
                </c:pt>
                <c:pt idx="21">
                  <c:v>4.2796005706135717E-3</c:v>
                </c:pt>
                <c:pt idx="22">
                  <c:v>0</c:v>
                </c:pt>
                <c:pt idx="23">
                  <c:v>-4.9715909090910296E-3</c:v>
                </c:pt>
                <c:pt idx="24">
                  <c:v>-3.5688793718772309E-3</c:v>
                </c:pt>
                <c:pt idx="25">
                  <c:v>2.1489971346705687E-3</c:v>
                </c:pt>
                <c:pt idx="26">
                  <c:v>3.5739814152966403E-3</c:v>
                </c:pt>
                <c:pt idx="27">
                  <c:v>1.1396011396011355E-2</c:v>
                </c:pt>
                <c:pt idx="28">
                  <c:v>6.3380281690141246E-3</c:v>
                </c:pt>
                <c:pt idx="29">
                  <c:v>9.0972708187542547E-3</c:v>
                </c:pt>
                <c:pt idx="30">
                  <c:v>5.5478502080444619E-3</c:v>
                </c:pt>
                <c:pt idx="31">
                  <c:v>5.5172413793104233E-3</c:v>
                </c:pt>
                <c:pt idx="32">
                  <c:v>9.6021947873798155E-3</c:v>
                </c:pt>
                <c:pt idx="33">
                  <c:v>9.5108695652174301E-3</c:v>
                </c:pt>
                <c:pt idx="34">
                  <c:v>1.2113055181695904E-2</c:v>
                </c:pt>
                <c:pt idx="35">
                  <c:v>-1.3297872340426666E-3</c:v>
                </c:pt>
                <c:pt idx="36">
                  <c:v>-7.3235685752329853E-3</c:v>
                </c:pt>
                <c:pt idx="37">
                  <c:v>-3.3534540576794099E-3</c:v>
                </c:pt>
                <c:pt idx="38">
                  <c:v>4.7106325706594123E-3</c:v>
                </c:pt>
                <c:pt idx="39">
                  <c:v>-5.507181662573496E-3</c:v>
                </c:pt>
                <c:pt idx="40">
                  <c:v>2.2375215146299681E-2</c:v>
                </c:pt>
                <c:pt idx="41">
                  <c:v>0</c:v>
                </c:pt>
                <c:pt idx="42">
                  <c:v>1.3833992094861622E-2</c:v>
                </c:pt>
                <c:pt idx="43">
                  <c:v>5.1981806367770167E-3</c:v>
                </c:pt>
                <c:pt idx="44">
                  <c:v>1.0989010989011101E-2</c:v>
                </c:pt>
                <c:pt idx="45">
                  <c:v>1.278772378516624E-2</c:v>
                </c:pt>
                <c:pt idx="46">
                  <c:v>3.1565656565656565E-3</c:v>
                </c:pt>
                <c:pt idx="47">
                  <c:v>-1.006922592825673E-2</c:v>
                </c:pt>
                <c:pt idx="48">
                  <c:v>-4.4500953591863762E-3</c:v>
                </c:pt>
                <c:pt idx="49">
                  <c:v>1.2771392081737999E-3</c:v>
                </c:pt>
                <c:pt idx="50">
                  <c:v>6.3775510204081625E-3</c:v>
                </c:pt>
                <c:pt idx="51">
                  <c:v>1.6476552598225565E-2</c:v>
                </c:pt>
                <c:pt idx="52">
                  <c:v>5.6109725685785893E-3</c:v>
                </c:pt>
                <c:pt idx="53">
                  <c:v>7.439553626782322E-3</c:v>
                </c:pt>
                <c:pt idx="54">
                  <c:v>4.3076923076922381E-3</c:v>
                </c:pt>
                <c:pt idx="55">
                  <c:v>0</c:v>
                </c:pt>
                <c:pt idx="56">
                  <c:v>1.4093137254902032E-2</c:v>
                </c:pt>
                <c:pt idx="57">
                  <c:v>7.2507552870089949E-3</c:v>
                </c:pt>
                <c:pt idx="58">
                  <c:v>-2.999400119976005E-3</c:v>
                </c:pt>
                <c:pt idx="59">
                  <c:v>-3.0084235860409147E-3</c:v>
                </c:pt>
                <c:pt idx="60">
                  <c:v>2.4140012070006378E-3</c:v>
                </c:pt>
                <c:pt idx="61">
                  <c:v>9.6327513546056245E-3</c:v>
                </c:pt>
                <c:pt idx="62">
                  <c:v>1.4311270125223648E-2</c:v>
                </c:pt>
                <c:pt idx="63">
                  <c:v>9.4062316284538178E-3</c:v>
                </c:pt>
                <c:pt idx="64">
                  <c:v>5.2417006406523343E-3</c:v>
                </c:pt>
                <c:pt idx="65">
                  <c:v>4.634994206257308E-3</c:v>
                </c:pt>
                <c:pt idx="66">
                  <c:v>5.1903114186851538E-3</c:v>
                </c:pt>
                <c:pt idx="67">
                  <c:v>5.737234652897303E-3</c:v>
                </c:pt>
                <c:pt idx="68">
                  <c:v>7.9863091842554308E-3</c:v>
                </c:pt>
                <c:pt idx="69">
                  <c:v>-1.1318619128465684E-3</c:v>
                </c:pt>
                <c:pt idx="70">
                  <c:v>-4.5325779036827843E-3</c:v>
                </c:pt>
                <c:pt idx="71">
                  <c:v>4.5532157085942599E-3</c:v>
                </c:pt>
                <c:pt idx="72">
                  <c:v>3.9660056657223148E-3</c:v>
                </c:pt>
                <c:pt idx="73">
                  <c:v>0</c:v>
                </c:pt>
                <c:pt idx="74">
                  <c:v>5.0790067720090613E-3</c:v>
                </c:pt>
                <c:pt idx="75">
                  <c:v>5.614823133071308E-3</c:v>
                </c:pt>
              </c:numCache>
            </c:numRef>
          </c:val>
          <c:smooth val="0"/>
          <c:extLst>
            <c:ext xmlns:c16="http://schemas.microsoft.com/office/drawing/2014/chart" uri="{C3380CC4-5D6E-409C-BE32-E72D297353CC}">
              <c16:uniqueId val="{00000000-DC21-41C5-9B49-979DC4288ECD}"/>
            </c:ext>
          </c:extLst>
        </c:ser>
        <c:ser>
          <c:idx val="1"/>
          <c:order val="1"/>
          <c:tx>
            <c:strRef>
              <c:f>Analysis!$A$95</c:f>
              <c:strCache>
                <c:ptCount val="1"/>
                <c:pt idx="0">
                  <c:v>Rural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Analysis!$B$93:$BY$93</c:f>
              <c:strCache>
                <c:ptCount val="76"/>
                <c:pt idx="0">
                  <c:v>Jan-17</c:v>
                </c:pt>
                <c:pt idx="1">
                  <c:v>Feb-17</c:v>
                </c:pt>
                <c:pt idx="2">
                  <c:v>Mar-17</c:v>
                </c:pt>
                <c:pt idx="3">
                  <c:v>Apr-17</c:v>
                </c:pt>
                <c:pt idx="4">
                  <c:v>May-17</c:v>
                </c:pt>
                <c:pt idx="5">
                  <c:v>Jun-17</c:v>
                </c:pt>
                <c:pt idx="6">
                  <c:v>Jul-17</c:v>
                </c:pt>
                <c:pt idx="7">
                  <c:v>Aug-17</c:v>
                </c:pt>
                <c:pt idx="8">
                  <c:v>Sep-17</c:v>
                </c:pt>
                <c:pt idx="9">
                  <c:v>Oct-17</c:v>
                </c:pt>
                <c:pt idx="10">
                  <c:v>Nov-17</c:v>
                </c:pt>
                <c:pt idx="11">
                  <c:v>Dec-17</c:v>
                </c:pt>
                <c:pt idx="12">
                  <c:v>Jan-18</c:v>
                </c:pt>
                <c:pt idx="13">
                  <c:v>Feb-18</c:v>
                </c:pt>
                <c:pt idx="14">
                  <c:v>Mar-18</c:v>
                </c:pt>
                <c:pt idx="15">
                  <c:v>Apr-18</c:v>
                </c:pt>
                <c:pt idx="16">
                  <c:v>May-18</c:v>
                </c:pt>
                <c:pt idx="17">
                  <c:v>Jun-18</c:v>
                </c:pt>
                <c:pt idx="18">
                  <c:v>Jul-18</c:v>
                </c:pt>
                <c:pt idx="19">
                  <c:v>Aug-18</c:v>
                </c:pt>
                <c:pt idx="20">
                  <c:v>Sep-18</c:v>
                </c:pt>
                <c:pt idx="21">
                  <c:v>Oct-18</c:v>
                </c:pt>
                <c:pt idx="22">
                  <c:v>Nov-18</c:v>
                </c:pt>
                <c:pt idx="23">
                  <c:v>Dec-18</c:v>
                </c:pt>
                <c:pt idx="24">
                  <c:v>Jan-19</c:v>
                </c:pt>
                <c:pt idx="25">
                  <c:v>Feb-19</c:v>
                </c:pt>
                <c:pt idx="26">
                  <c:v>Mar-19</c:v>
                </c:pt>
                <c:pt idx="27">
                  <c:v>May-19</c:v>
                </c:pt>
                <c:pt idx="28">
                  <c:v>Jun-19</c:v>
                </c:pt>
                <c:pt idx="29">
                  <c:v>Jul-19</c:v>
                </c:pt>
                <c:pt idx="30">
                  <c:v>Aug-19</c:v>
                </c:pt>
                <c:pt idx="31">
                  <c:v>Sep-19</c:v>
                </c:pt>
                <c:pt idx="32">
                  <c:v>Oct-19</c:v>
                </c:pt>
                <c:pt idx="33">
                  <c:v>Nov-19</c:v>
                </c:pt>
                <c:pt idx="34">
                  <c:v>Dec-19</c:v>
                </c:pt>
                <c:pt idx="35">
                  <c:v>Jan-20</c:v>
                </c:pt>
                <c:pt idx="36">
                  <c:v>Feb-20</c:v>
                </c:pt>
                <c:pt idx="37">
                  <c:v>Mar-20</c:v>
                </c:pt>
                <c:pt idx="38">
                  <c:v>Apr-20</c:v>
                </c:pt>
                <c:pt idx="39">
                  <c:v>May-20</c:v>
                </c:pt>
                <c:pt idx="40">
                  <c:v>Jun-20</c:v>
                </c:pt>
                <c:pt idx="41">
                  <c:v>Jul-20</c:v>
                </c:pt>
                <c:pt idx="42">
                  <c:v>Aug-20</c:v>
                </c:pt>
                <c:pt idx="43">
                  <c:v>Sep-20</c:v>
                </c:pt>
                <c:pt idx="44">
                  <c:v>Oct-20</c:v>
                </c:pt>
                <c:pt idx="45">
                  <c:v>Nov-20</c:v>
                </c:pt>
                <c:pt idx="46">
                  <c:v>Dec-20</c:v>
                </c:pt>
                <c:pt idx="47">
                  <c:v>Jan-21</c:v>
                </c:pt>
                <c:pt idx="48">
                  <c:v>Feb-21</c:v>
                </c:pt>
                <c:pt idx="49">
                  <c:v>Mar-21</c:v>
                </c:pt>
                <c:pt idx="50">
                  <c:v>Apr-21</c:v>
                </c:pt>
                <c:pt idx="51">
                  <c:v>May-21</c:v>
                </c:pt>
                <c:pt idx="52">
                  <c:v>Jun-21</c:v>
                </c:pt>
                <c:pt idx="53">
                  <c:v>Jul-21</c:v>
                </c:pt>
                <c:pt idx="54">
                  <c:v>Aug-21</c:v>
                </c:pt>
                <c:pt idx="55">
                  <c:v>Sep-21</c:v>
                </c:pt>
                <c:pt idx="56">
                  <c:v>Oct-21</c:v>
                </c:pt>
                <c:pt idx="57">
                  <c:v>Nov-21</c:v>
                </c:pt>
                <c:pt idx="58">
                  <c:v>Dec-21</c:v>
                </c:pt>
                <c:pt idx="59">
                  <c:v>Jan-22</c:v>
                </c:pt>
                <c:pt idx="60">
                  <c:v>Feb-22</c:v>
                </c:pt>
                <c:pt idx="61">
                  <c:v>Mar-22</c:v>
                </c:pt>
                <c:pt idx="62">
                  <c:v>Apr-22</c:v>
                </c:pt>
                <c:pt idx="63">
                  <c:v>May-22</c:v>
                </c:pt>
                <c:pt idx="64">
                  <c:v>Jun-22</c:v>
                </c:pt>
                <c:pt idx="65">
                  <c:v>Jul-22</c:v>
                </c:pt>
                <c:pt idx="66">
                  <c:v>Aug-22</c:v>
                </c:pt>
                <c:pt idx="67">
                  <c:v>Sep-22</c:v>
                </c:pt>
                <c:pt idx="68">
                  <c:v>Oct-22</c:v>
                </c:pt>
                <c:pt idx="69">
                  <c:v>Nov-22</c:v>
                </c:pt>
                <c:pt idx="70">
                  <c:v>Dec-22</c:v>
                </c:pt>
                <c:pt idx="71">
                  <c:v>Jan-23</c:v>
                </c:pt>
                <c:pt idx="72">
                  <c:v>Feb-23</c:v>
                </c:pt>
                <c:pt idx="73">
                  <c:v>Mar-23</c:v>
                </c:pt>
                <c:pt idx="74">
                  <c:v>Apr-23</c:v>
                </c:pt>
                <c:pt idx="75">
                  <c:v>May-23</c:v>
                </c:pt>
              </c:strCache>
            </c:strRef>
          </c:cat>
          <c:val>
            <c:numRef>
              <c:f>Analysis!$B$95:$BY$95</c:f>
              <c:numCache>
                <c:formatCode>0.00%</c:formatCode>
                <c:ptCount val="76"/>
                <c:pt idx="0">
                  <c:v>-3.012048192771127E-3</c:v>
                </c:pt>
                <c:pt idx="1">
                  <c:v>1.5105740181268023E-3</c:v>
                </c:pt>
                <c:pt idx="2">
                  <c:v>1.5082956259428134E-3</c:v>
                </c:pt>
                <c:pt idx="3">
                  <c:v>7.5301204819272819E-4</c:v>
                </c:pt>
                <c:pt idx="4">
                  <c:v>3.0097817908202084E-3</c:v>
                </c:pt>
                <c:pt idx="5">
                  <c:v>4.5011252813202873E-3</c:v>
                </c:pt>
                <c:pt idx="6">
                  <c:v>1.7176997759521903E-2</c:v>
                </c:pt>
                <c:pt idx="7">
                  <c:v>1.174743024963306E-2</c:v>
                </c:pt>
                <c:pt idx="8">
                  <c:v>-1.4513788098694995E-3</c:v>
                </c:pt>
                <c:pt idx="9">
                  <c:v>5.0872093023257058E-3</c:v>
                </c:pt>
                <c:pt idx="10">
                  <c:v>1.229211858279095E-2</c:v>
                </c:pt>
                <c:pt idx="11">
                  <c:v>-1.4285714285713475E-3</c:v>
                </c:pt>
                <c:pt idx="12">
                  <c:v>-3.5765379113018594E-3</c:v>
                </c:pt>
                <c:pt idx="13">
                  <c:v>-5.7430007178751706E-3</c:v>
                </c:pt>
                <c:pt idx="14">
                  <c:v>1.4440433212995569E-3</c:v>
                </c:pt>
                <c:pt idx="15">
                  <c:v>2.8839221341024203E-3</c:v>
                </c:pt>
                <c:pt idx="16">
                  <c:v>5.0323508267434728E-3</c:v>
                </c:pt>
                <c:pt idx="17">
                  <c:v>5.0071530758225222E-3</c:v>
                </c:pt>
                <c:pt idx="18">
                  <c:v>9.2526690391459884E-3</c:v>
                </c:pt>
                <c:pt idx="19">
                  <c:v>4.9365303244004836E-3</c:v>
                </c:pt>
                <c:pt idx="20">
                  <c:v>-2.8070175438596888E-3</c:v>
                </c:pt>
                <c:pt idx="21">
                  <c:v>7.0372976776913662E-4</c:v>
                </c:pt>
                <c:pt idx="22">
                  <c:v>1.4064697609002606E-3</c:v>
                </c:pt>
                <c:pt idx="23">
                  <c:v>-3.5112359550561797E-3</c:v>
                </c:pt>
                <c:pt idx="24">
                  <c:v>-6.3424947145877776E-3</c:v>
                </c:pt>
                <c:pt idx="25">
                  <c:v>0</c:v>
                </c:pt>
                <c:pt idx="26">
                  <c:v>1.4184397163119762E-3</c:v>
                </c:pt>
                <c:pt idx="27">
                  <c:v>8.4985835694052214E-3</c:v>
                </c:pt>
                <c:pt idx="28">
                  <c:v>8.4269662921347514E-3</c:v>
                </c:pt>
                <c:pt idx="29">
                  <c:v>9.0529247910864311E-3</c:v>
                </c:pt>
                <c:pt idx="30">
                  <c:v>5.521048999309751E-3</c:v>
                </c:pt>
                <c:pt idx="31">
                  <c:v>6.8634179821551134E-3</c:v>
                </c:pt>
                <c:pt idx="32">
                  <c:v>1.0906612133606155E-2</c:v>
                </c:pt>
                <c:pt idx="33">
                  <c:v>1.0788941335131452E-2</c:v>
                </c:pt>
                <c:pt idx="34">
                  <c:v>1.6010673782521717E-2</c:v>
                </c:pt>
                <c:pt idx="35">
                  <c:v>-2.6263952724885466E-3</c:v>
                </c:pt>
                <c:pt idx="36">
                  <c:v>-9.8749177090190904E-3</c:v>
                </c:pt>
                <c:pt idx="37">
                  <c:v>-3.989361702127622E-3</c:v>
                </c:pt>
                <c:pt idx="38">
                  <c:v>6.0080106809079145E-3</c:v>
                </c:pt>
                <c:pt idx="39">
                  <c:v>-2.6542800265426489E-3</c:v>
                </c:pt>
                <c:pt idx="40">
                  <c:v>1.5968063872255144E-2</c:v>
                </c:pt>
                <c:pt idx="41">
                  <c:v>0</c:v>
                </c:pt>
                <c:pt idx="42">
                  <c:v>1.3097576948264572E-2</c:v>
                </c:pt>
                <c:pt idx="43">
                  <c:v>4.5248868778281649E-3</c:v>
                </c:pt>
                <c:pt idx="44">
                  <c:v>1.3513513513513476E-2</c:v>
                </c:pt>
                <c:pt idx="45">
                  <c:v>1.4603174603174675E-2</c:v>
                </c:pt>
                <c:pt idx="46">
                  <c:v>5.6320400500624356E-3</c:v>
                </c:pt>
                <c:pt idx="47">
                  <c:v>-1.3690105787181012E-2</c:v>
                </c:pt>
                <c:pt idx="48">
                  <c:v>-1.135646687697168E-2</c:v>
                </c:pt>
                <c:pt idx="49">
                  <c:v>0</c:v>
                </c:pt>
                <c:pt idx="50">
                  <c:v>5.7434588385450267E-3</c:v>
                </c:pt>
                <c:pt idx="51">
                  <c:v>2.2208121827411168E-2</c:v>
                </c:pt>
                <c:pt idx="52">
                  <c:v>6.2073246430788334E-3</c:v>
                </c:pt>
                <c:pt idx="53">
                  <c:v>6.7859346082664671E-3</c:v>
                </c:pt>
                <c:pt idx="54">
                  <c:v>2.4509803921568978E-3</c:v>
                </c:pt>
                <c:pt idx="55">
                  <c:v>2.4449877750611594E-3</c:v>
                </c:pt>
                <c:pt idx="56">
                  <c:v>1.4024390243902509E-2</c:v>
                </c:pt>
                <c:pt idx="57">
                  <c:v>7.8171978352374188E-3</c:v>
                </c:pt>
                <c:pt idx="58">
                  <c:v>-3.579952267303069E-3</c:v>
                </c:pt>
                <c:pt idx="59">
                  <c:v>-3.5928143712574512E-3</c:v>
                </c:pt>
                <c:pt idx="60">
                  <c:v>1.8028846153845129E-3</c:v>
                </c:pt>
                <c:pt idx="61">
                  <c:v>1.199760047990402E-2</c:v>
                </c:pt>
                <c:pt idx="62">
                  <c:v>1.2448132780083124E-2</c:v>
                </c:pt>
                <c:pt idx="63">
                  <c:v>9.9531615925057878E-3</c:v>
                </c:pt>
                <c:pt idx="64">
                  <c:v>6.3768115942028653E-3</c:v>
                </c:pt>
                <c:pt idx="65">
                  <c:v>4.0322580645162278E-3</c:v>
                </c:pt>
                <c:pt idx="66">
                  <c:v>5.737234652897303E-3</c:v>
                </c:pt>
                <c:pt idx="67">
                  <c:v>6.2749572162007659E-3</c:v>
                </c:pt>
                <c:pt idx="68">
                  <c:v>8.5034013605442167E-3</c:v>
                </c:pt>
                <c:pt idx="69">
                  <c:v>-5.6211354693644919E-4</c:v>
                </c:pt>
                <c:pt idx="70">
                  <c:v>-3.9370078740158434E-3</c:v>
                </c:pt>
                <c:pt idx="71">
                  <c:v>3.9525691699605703E-3</c:v>
                </c:pt>
                <c:pt idx="72">
                  <c:v>1.1248593925758639E-3</c:v>
                </c:pt>
                <c:pt idx="73">
                  <c:v>0</c:v>
                </c:pt>
                <c:pt idx="74">
                  <c:v>4.4943820224719738E-3</c:v>
                </c:pt>
                <c:pt idx="75">
                  <c:v>5.5928411633109614E-3</c:v>
                </c:pt>
              </c:numCache>
            </c:numRef>
          </c:val>
          <c:smooth val="0"/>
          <c:extLst>
            <c:ext xmlns:c16="http://schemas.microsoft.com/office/drawing/2014/chart" uri="{C3380CC4-5D6E-409C-BE32-E72D297353CC}">
              <c16:uniqueId val="{00000001-DC21-41C5-9B49-979DC4288ECD}"/>
            </c:ext>
          </c:extLst>
        </c:ser>
        <c:ser>
          <c:idx val="2"/>
          <c:order val="2"/>
          <c:tx>
            <c:strRef>
              <c:f>Analysis!$A$96</c:f>
              <c:strCache>
                <c:ptCount val="1"/>
                <c:pt idx="0">
                  <c:v>Urban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Analysis!$B$93:$BY$93</c:f>
              <c:strCache>
                <c:ptCount val="76"/>
                <c:pt idx="0">
                  <c:v>Jan-17</c:v>
                </c:pt>
                <c:pt idx="1">
                  <c:v>Feb-17</c:v>
                </c:pt>
                <c:pt idx="2">
                  <c:v>Mar-17</c:v>
                </c:pt>
                <c:pt idx="3">
                  <c:v>Apr-17</c:v>
                </c:pt>
                <c:pt idx="4">
                  <c:v>May-17</c:v>
                </c:pt>
                <c:pt idx="5">
                  <c:v>Jun-17</c:v>
                </c:pt>
                <c:pt idx="6">
                  <c:v>Jul-17</c:v>
                </c:pt>
                <c:pt idx="7">
                  <c:v>Aug-17</c:v>
                </c:pt>
                <c:pt idx="8">
                  <c:v>Sep-17</c:v>
                </c:pt>
                <c:pt idx="9">
                  <c:v>Oct-17</c:v>
                </c:pt>
                <c:pt idx="10">
                  <c:v>Nov-17</c:v>
                </c:pt>
                <c:pt idx="11">
                  <c:v>Dec-17</c:v>
                </c:pt>
                <c:pt idx="12">
                  <c:v>Jan-18</c:v>
                </c:pt>
                <c:pt idx="13">
                  <c:v>Feb-18</c:v>
                </c:pt>
                <c:pt idx="14">
                  <c:v>Mar-18</c:v>
                </c:pt>
                <c:pt idx="15">
                  <c:v>Apr-18</c:v>
                </c:pt>
                <c:pt idx="16">
                  <c:v>May-18</c:v>
                </c:pt>
                <c:pt idx="17">
                  <c:v>Jun-18</c:v>
                </c:pt>
                <c:pt idx="18">
                  <c:v>Jul-18</c:v>
                </c:pt>
                <c:pt idx="19">
                  <c:v>Aug-18</c:v>
                </c:pt>
                <c:pt idx="20">
                  <c:v>Sep-18</c:v>
                </c:pt>
                <c:pt idx="21">
                  <c:v>Oct-18</c:v>
                </c:pt>
                <c:pt idx="22">
                  <c:v>Nov-18</c:v>
                </c:pt>
                <c:pt idx="23">
                  <c:v>Dec-18</c:v>
                </c:pt>
                <c:pt idx="24">
                  <c:v>Jan-19</c:v>
                </c:pt>
                <c:pt idx="25">
                  <c:v>Feb-19</c:v>
                </c:pt>
                <c:pt idx="26">
                  <c:v>Mar-19</c:v>
                </c:pt>
                <c:pt idx="27">
                  <c:v>May-19</c:v>
                </c:pt>
                <c:pt idx="28">
                  <c:v>Jun-19</c:v>
                </c:pt>
                <c:pt idx="29">
                  <c:v>Jul-19</c:v>
                </c:pt>
                <c:pt idx="30">
                  <c:v>Aug-19</c:v>
                </c:pt>
                <c:pt idx="31">
                  <c:v>Sep-19</c:v>
                </c:pt>
                <c:pt idx="32">
                  <c:v>Oct-19</c:v>
                </c:pt>
                <c:pt idx="33">
                  <c:v>Nov-19</c:v>
                </c:pt>
                <c:pt idx="34">
                  <c:v>Dec-19</c:v>
                </c:pt>
                <c:pt idx="35">
                  <c:v>Jan-20</c:v>
                </c:pt>
                <c:pt idx="36">
                  <c:v>Feb-20</c:v>
                </c:pt>
                <c:pt idx="37">
                  <c:v>Mar-20</c:v>
                </c:pt>
                <c:pt idx="38">
                  <c:v>Apr-20</c:v>
                </c:pt>
                <c:pt idx="39">
                  <c:v>May-20</c:v>
                </c:pt>
                <c:pt idx="40">
                  <c:v>Jun-20</c:v>
                </c:pt>
                <c:pt idx="41">
                  <c:v>Jul-20</c:v>
                </c:pt>
                <c:pt idx="42">
                  <c:v>Aug-20</c:v>
                </c:pt>
                <c:pt idx="43">
                  <c:v>Sep-20</c:v>
                </c:pt>
                <c:pt idx="44">
                  <c:v>Oct-20</c:v>
                </c:pt>
                <c:pt idx="45">
                  <c:v>Nov-20</c:v>
                </c:pt>
                <c:pt idx="46">
                  <c:v>Dec-20</c:v>
                </c:pt>
                <c:pt idx="47">
                  <c:v>Jan-21</c:v>
                </c:pt>
                <c:pt idx="48">
                  <c:v>Feb-21</c:v>
                </c:pt>
                <c:pt idx="49">
                  <c:v>Mar-21</c:v>
                </c:pt>
                <c:pt idx="50">
                  <c:v>Apr-21</c:v>
                </c:pt>
                <c:pt idx="51">
                  <c:v>May-21</c:v>
                </c:pt>
                <c:pt idx="52">
                  <c:v>Jun-21</c:v>
                </c:pt>
                <c:pt idx="53">
                  <c:v>Jul-21</c:v>
                </c:pt>
                <c:pt idx="54">
                  <c:v>Aug-21</c:v>
                </c:pt>
                <c:pt idx="55">
                  <c:v>Sep-21</c:v>
                </c:pt>
                <c:pt idx="56">
                  <c:v>Oct-21</c:v>
                </c:pt>
                <c:pt idx="57">
                  <c:v>Nov-21</c:v>
                </c:pt>
                <c:pt idx="58">
                  <c:v>Dec-21</c:v>
                </c:pt>
                <c:pt idx="59">
                  <c:v>Jan-22</c:v>
                </c:pt>
                <c:pt idx="60">
                  <c:v>Feb-22</c:v>
                </c:pt>
                <c:pt idx="61">
                  <c:v>Mar-22</c:v>
                </c:pt>
                <c:pt idx="62">
                  <c:v>Apr-22</c:v>
                </c:pt>
                <c:pt idx="63">
                  <c:v>May-22</c:v>
                </c:pt>
                <c:pt idx="64">
                  <c:v>Jun-22</c:v>
                </c:pt>
                <c:pt idx="65">
                  <c:v>Jul-22</c:v>
                </c:pt>
                <c:pt idx="66">
                  <c:v>Aug-22</c:v>
                </c:pt>
                <c:pt idx="67">
                  <c:v>Sep-22</c:v>
                </c:pt>
                <c:pt idx="68">
                  <c:v>Oct-22</c:v>
                </c:pt>
                <c:pt idx="69">
                  <c:v>Nov-22</c:v>
                </c:pt>
                <c:pt idx="70">
                  <c:v>Dec-22</c:v>
                </c:pt>
                <c:pt idx="71">
                  <c:v>Jan-23</c:v>
                </c:pt>
                <c:pt idx="72">
                  <c:v>Feb-23</c:v>
                </c:pt>
                <c:pt idx="73">
                  <c:v>Mar-23</c:v>
                </c:pt>
                <c:pt idx="74">
                  <c:v>Apr-23</c:v>
                </c:pt>
                <c:pt idx="75">
                  <c:v>May-23</c:v>
                </c:pt>
              </c:strCache>
            </c:strRef>
          </c:cat>
          <c:val>
            <c:numRef>
              <c:f>Analysis!$B$96:$BY$96</c:f>
              <c:numCache>
                <c:formatCode>0.00%</c:formatCode>
                <c:ptCount val="76"/>
                <c:pt idx="0">
                  <c:v>1.5673981191222793E-3</c:v>
                </c:pt>
                <c:pt idx="1">
                  <c:v>3.1298904538340491E-3</c:v>
                </c:pt>
                <c:pt idx="2">
                  <c:v>3.9001560062402497E-3</c:v>
                </c:pt>
                <c:pt idx="3">
                  <c:v>3.1080031080031522E-3</c:v>
                </c:pt>
                <c:pt idx="4">
                  <c:v>1.54918667699471E-3</c:v>
                </c:pt>
                <c:pt idx="5">
                  <c:v>4.6403712296983314E-3</c:v>
                </c:pt>
                <c:pt idx="6">
                  <c:v>1.4626635873749081E-2</c:v>
                </c:pt>
                <c:pt idx="7">
                  <c:v>6.8285280728374595E-3</c:v>
                </c:pt>
                <c:pt idx="8">
                  <c:v>-2.2607385079124564E-3</c:v>
                </c:pt>
                <c:pt idx="9">
                  <c:v>8.308157099697842E-3</c:v>
                </c:pt>
                <c:pt idx="10">
                  <c:v>9.7378277153558901E-3</c:v>
                </c:pt>
                <c:pt idx="11">
                  <c:v>-5.1928783382790581E-3</c:v>
                </c:pt>
                <c:pt idx="12">
                  <c:v>0</c:v>
                </c:pt>
                <c:pt idx="13">
                  <c:v>-7.4571215510808593E-4</c:v>
                </c:pt>
                <c:pt idx="14">
                  <c:v>0</c:v>
                </c:pt>
                <c:pt idx="15">
                  <c:v>5.9701492537314283E-3</c:v>
                </c:pt>
                <c:pt idx="16">
                  <c:v>4.4510385756676134E-3</c:v>
                </c:pt>
                <c:pt idx="17">
                  <c:v>5.9084194977842164E-3</c:v>
                </c:pt>
                <c:pt idx="18">
                  <c:v>9.54478707782681E-3</c:v>
                </c:pt>
                <c:pt idx="19">
                  <c:v>3.6363636363636364E-3</c:v>
                </c:pt>
                <c:pt idx="20">
                  <c:v>7.246376811593791E-4</c:v>
                </c:pt>
                <c:pt idx="21">
                  <c:v>5.7929036929761871E-3</c:v>
                </c:pt>
                <c:pt idx="22">
                  <c:v>7.1994240460759049E-4</c:v>
                </c:pt>
                <c:pt idx="23">
                  <c:v>-7.1942446043165471E-3</c:v>
                </c:pt>
                <c:pt idx="24">
                  <c:v>0</c:v>
                </c:pt>
                <c:pt idx="25">
                  <c:v>4.3478260869564802E-3</c:v>
                </c:pt>
                <c:pt idx="26">
                  <c:v>6.4935064935065347E-3</c:v>
                </c:pt>
                <c:pt idx="27">
                  <c:v>1.4336917562724014E-2</c:v>
                </c:pt>
                <c:pt idx="28">
                  <c:v>4.2402826855123272E-3</c:v>
                </c:pt>
                <c:pt idx="29">
                  <c:v>8.4447572132302397E-3</c:v>
                </c:pt>
                <c:pt idx="30">
                  <c:v>6.2805303558965608E-3</c:v>
                </c:pt>
                <c:pt idx="31">
                  <c:v>3.4674063800277394E-3</c:v>
                </c:pt>
                <c:pt idx="32">
                  <c:v>8.9841050449206046E-3</c:v>
                </c:pt>
                <c:pt idx="33">
                  <c:v>6.8493150684931503E-3</c:v>
                </c:pt>
                <c:pt idx="34">
                  <c:v>8.8435374149660635E-3</c:v>
                </c:pt>
                <c:pt idx="35">
                  <c:v>-6.7430883344587144E-4</c:v>
                </c:pt>
                <c:pt idx="36">
                  <c:v>-3.3738191632928477E-3</c:v>
                </c:pt>
                <c:pt idx="37">
                  <c:v>-2.7081922816518437E-3</c:v>
                </c:pt>
                <c:pt idx="38">
                  <c:v>2.9418420457115319E-3</c:v>
                </c:pt>
                <c:pt idx="39">
                  <c:v>2.4819494584838058E-3</c:v>
                </c:pt>
                <c:pt idx="40">
                  <c:v>1.8230925050641573E-2</c:v>
                </c:pt>
                <c:pt idx="41">
                  <c:v>0</c:v>
                </c:pt>
                <c:pt idx="42">
                  <c:v>1.3925729442970783E-2</c:v>
                </c:pt>
                <c:pt idx="43">
                  <c:v>7.194244604316509E-3</c:v>
                </c:pt>
                <c:pt idx="44">
                  <c:v>7.7922077922077185E-3</c:v>
                </c:pt>
                <c:pt idx="45">
                  <c:v>9.6649484536082478E-3</c:v>
                </c:pt>
                <c:pt idx="46">
                  <c:v>1.2763241863434401E-3</c:v>
                </c:pt>
                <c:pt idx="47">
                  <c:v>-5.7361376673040511E-3</c:v>
                </c:pt>
                <c:pt idx="48">
                  <c:v>3.205128205128205E-3</c:v>
                </c:pt>
                <c:pt idx="49">
                  <c:v>2.5559105431310269E-3</c:v>
                </c:pt>
                <c:pt idx="50">
                  <c:v>7.0108349267048713E-3</c:v>
                </c:pt>
                <c:pt idx="51">
                  <c:v>9.4936708860759497E-3</c:v>
                </c:pt>
                <c:pt idx="52">
                  <c:v>5.6426332288401614E-3</c:v>
                </c:pt>
                <c:pt idx="53">
                  <c:v>8.7281795511222303E-3</c:v>
                </c:pt>
                <c:pt idx="54">
                  <c:v>3.0902348578491965E-3</c:v>
                </c:pt>
                <c:pt idx="55">
                  <c:v>0</c:v>
                </c:pt>
                <c:pt idx="56">
                  <c:v>1.4171287738755286E-2</c:v>
                </c:pt>
                <c:pt idx="57">
                  <c:v>6.0753341433778859E-3</c:v>
                </c:pt>
                <c:pt idx="58">
                  <c:v>-2.4154589371981022E-3</c:v>
                </c:pt>
                <c:pt idx="59">
                  <c:v>-1.2106537530265657E-3</c:v>
                </c:pt>
                <c:pt idx="60">
                  <c:v>3.0303030303030303E-3</c:v>
                </c:pt>
                <c:pt idx="61">
                  <c:v>6.0422960725075529E-3</c:v>
                </c:pt>
                <c:pt idx="62">
                  <c:v>1.6216216216216148E-2</c:v>
                </c:pt>
                <c:pt idx="63">
                  <c:v>9.4562647754138467E-3</c:v>
                </c:pt>
                <c:pt idx="64">
                  <c:v>3.5128805620608565E-3</c:v>
                </c:pt>
                <c:pt idx="65">
                  <c:v>5.2508751458576761E-3</c:v>
                </c:pt>
                <c:pt idx="66">
                  <c:v>4.6430644225187636E-3</c:v>
                </c:pt>
                <c:pt idx="67">
                  <c:v>5.7770075101097633E-3</c:v>
                </c:pt>
                <c:pt idx="68">
                  <c:v>6.8925904652499545E-3</c:v>
                </c:pt>
                <c:pt idx="69">
                  <c:v>-6.8454078722191497E-3</c:v>
                </c:pt>
                <c:pt idx="70">
                  <c:v>0</c:v>
                </c:pt>
                <c:pt idx="71">
                  <c:v>4.5950603101666361E-3</c:v>
                </c:pt>
                <c:pt idx="72">
                  <c:v>8.0045740423099233E-3</c:v>
                </c:pt>
                <c:pt idx="73">
                  <c:v>0</c:v>
                </c:pt>
                <c:pt idx="74">
                  <c:v>6.239364719228555E-3</c:v>
                </c:pt>
                <c:pt idx="75">
                  <c:v>4.5095828635850219E-3</c:v>
                </c:pt>
              </c:numCache>
            </c:numRef>
          </c:val>
          <c:smooth val="0"/>
          <c:extLst>
            <c:ext xmlns:c16="http://schemas.microsoft.com/office/drawing/2014/chart" uri="{C3380CC4-5D6E-409C-BE32-E72D297353CC}">
              <c16:uniqueId val="{00000002-DC21-41C5-9B49-979DC4288ECD}"/>
            </c:ext>
          </c:extLst>
        </c:ser>
        <c:dLbls>
          <c:showLegendKey val="0"/>
          <c:showVal val="0"/>
          <c:showCatName val="0"/>
          <c:showSerName val="0"/>
          <c:showPercent val="0"/>
          <c:showBubbleSize val="0"/>
        </c:dLbls>
        <c:smooth val="0"/>
        <c:axId val="1262475024"/>
        <c:axId val="1262479184"/>
      </c:lineChart>
      <c:catAx>
        <c:axId val="12624750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479184"/>
        <c:crosses val="autoZero"/>
        <c:auto val="1"/>
        <c:lblAlgn val="ctr"/>
        <c:lblOffset val="100"/>
        <c:noMultiLvlLbl val="0"/>
      </c:catAx>
      <c:valAx>
        <c:axId val="1262479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475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Analysis!$O$28</c:f>
          <c:strCache>
            <c:ptCount val="1"/>
            <c:pt idx="0">
              <c:v>Impact of Covid-19 Pandemic (M-o-M Analysis)</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Analysis!$O$30</c:f>
              <c:strCache>
                <c:ptCount val="1"/>
                <c:pt idx="0">
                  <c:v>Apparel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Analysis!$P$30:$Z$30</c:f>
              <c:numCache>
                <c:formatCode>0.00%</c:formatCode>
                <c:ptCount val="11"/>
                <c:pt idx="0">
                  <c:v>1.8132366273799633E-3</c:v>
                </c:pt>
                <c:pt idx="1">
                  <c:v>2.0361990950227013E-3</c:v>
                </c:pt>
                <c:pt idx="2">
                  <c:v>-1.956799879581755E-3</c:v>
                </c:pt>
                <c:pt idx="3">
                  <c:v>-1.1411909609632079E-2</c:v>
                </c:pt>
                <c:pt idx="4">
                  <c:v>2.5884207582191173E-2</c:v>
                </c:pt>
                <c:pt idx="5">
                  <c:v>0</c:v>
                </c:pt>
                <c:pt idx="6">
                  <c:v>-2.2306491188934713E-4</c:v>
                </c:pt>
                <c:pt idx="7">
                  <c:v>3.3467202141900937E-3</c:v>
                </c:pt>
                <c:pt idx="8">
                  <c:v>2.0013342228150962E-3</c:v>
                </c:pt>
                <c:pt idx="9">
                  <c:v>3.1069684864626964E-3</c:v>
                </c:pt>
                <c:pt idx="10">
                  <c:v>4.4247787610618835E-3</c:v>
                </c:pt>
              </c:numCache>
            </c:numRef>
          </c:val>
          <c:extLst>
            <c:ext xmlns:c16="http://schemas.microsoft.com/office/drawing/2014/chart" uri="{C3380CC4-5D6E-409C-BE32-E72D297353CC}">
              <c16:uniqueId val="{00000000-DB94-46B1-B783-73239DAED90D}"/>
            </c:ext>
          </c:extLst>
        </c:ser>
        <c:ser>
          <c:idx val="1"/>
          <c:order val="1"/>
          <c:tx>
            <c:strRef>
              <c:f>Analysis!$O$31</c:f>
              <c:strCache>
                <c:ptCount val="1"/>
                <c:pt idx="0">
                  <c:v>Education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Analysis!$P$31:$Z$31</c:f>
              <c:numCache>
                <c:formatCode>0.00%</c:formatCode>
                <c:ptCount val="11"/>
                <c:pt idx="0">
                  <c:v>6.4061499039073878E-4</c:v>
                </c:pt>
                <c:pt idx="1">
                  <c:v>-6.4020486555694189E-4</c:v>
                </c:pt>
                <c:pt idx="2">
                  <c:v>2.1353833013024626E-4</c:v>
                </c:pt>
                <c:pt idx="3">
                  <c:v>-8.1838884144607178E-3</c:v>
                </c:pt>
                <c:pt idx="4">
                  <c:v>9.9734519624024697E-3</c:v>
                </c:pt>
                <c:pt idx="5">
                  <c:v>0</c:v>
                </c:pt>
                <c:pt idx="6">
                  <c:v>1.3427109974424516E-2</c:v>
                </c:pt>
                <c:pt idx="7">
                  <c:v>-6.3091482649842269E-3</c:v>
                </c:pt>
                <c:pt idx="8">
                  <c:v>6.3492063492063492E-3</c:v>
                </c:pt>
                <c:pt idx="9">
                  <c:v>6.3091482649838687E-4</c:v>
                </c:pt>
                <c:pt idx="10">
                  <c:v>5.0441361916772473E-3</c:v>
                </c:pt>
              </c:numCache>
            </c:numRef>
          </c:val>
          <c:extLst>
            <c:ext xmlns:c16="http://schemas.microsoft.com/office/drawing/2014/chart" uri="{C3380CC4-5D6E-409C-BE32-E72D297353CC}">
              <c16:uniqueId val="{00000001-DB94-46B1-B783-73239DAED90D}"/>
            </c:ext>
          </c:extLst>
        </c:ser>
        <c:ser>
          <c:idx val="2"/>
          <c:order val="2"/>
          <c:tx>
            <c:strRef>
              <c:f>Analysis!$O$32</c:f>
              <c:strCache>
                <c:ptCount val="1"/>
                <c:pt idx="0">
                  <c:v>Energy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Analysis!$P$32:$Z$32</c:f>
              <c:numCache>
                <c:formatCode>0.00%</c:formatCode>
                <c:ptCount val="11"/>
                <c:pt idx="0">
                  <c:v>1.7980636237897609E-2</c:v>
                </c:pt>
                <c:pt idx="1">
                  <c:v>1.1548913043478378E-2</c:v>
                </c:pt>
                <c:pt idx="2">
                  <c:v>-3.2236400268636743E-2</c:v>
                </c:pt>
                <c:pt idx="3">
                  <c:v>1.8274346518621472E-2</c:v>
                </c:pt>
                <c:pt idx="4">
                  <c:v>-3.2939572921399422E-2</c:v>
                </c:pt>
                <c:pt idx="5">
                  <c:v>0</c:v>
                </c:pt>
                <c:pt idx="6">
                  <c:v>7.751937984496084E-3</c:v>
                </c:pt>
                <c:pt idx="7">
                  <c:v>-6.9930069930065951E-4</c:v>
                </c:pt>
                <c:pt idx="8">
                  <c:v>1.3995801259621317E-3</c:v>
                </c:pt>
                <c:pt idx="9">
                  <c:v>3.4940600978336828E-3</c:v>
                </c:pt>
                <c:pt idx="10">
                  <c:v>6.9637883008356553E-3</c:v>
                </c:pt>
              </c:numCache>
            </c:numRef>
          </c:val>
          <c:extLst>
            <c:ext xmlns:c16="http://schemas.microsoft.com/office/drawing/2014/chart" uri="{C3380CC4-5D6E-409C-BE32-E72D297353CC}">
              <c16:uniqueId val="{00000002-DB94-46B1-B783-73239DAED90D}"/>
            </c:ext>
          </c:extLst>
        </c:ser>
        <c:ser>
          <c:idx val="3"/>
          <c:order val="3"/>
          <c:tx>
            <c:strRef>
              <c:f>Analysis!$O$33</c:f>
              <c:strCache>
                <c:ptCount val="1"/>
                <c:pt idx="0">
                  <c:v>Food &amp; Beverages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Analysis!$P$33:$Z$33</c:f>
              <c:numCache>
                <c:formatCode>0.00%</c:formatCode>
                <c:ptCount val="11"/>
                <c:pt idx="0">
                  <c:v>-1.4842300556586408E-2</c:v>
                </c:pt>
                <c:pt idx="1">
                  <c:v>-8.4745762711864354E-3</c:v>
                </c:pt>
                <c:pt idx="2">
                  <c:v>2.8331750553972985E-2</c:v>
                </c:pt>
                <c:pt idx="3">
                  <c:v>-1.5591241541680232E-2</c:v>
                </c:pt>
                <c:pt idx="4">
                  <c:v>2.5063121076648681E-2</c:v>
                </c:pt>
                <c:pt idx="5">
                  <c:v>0</c:v>
                </c:pt>
                <c:pt idx="6">
                  <c:v>1.4439699003457481E-2</c:v>
                </c:pt>
                <c:pt idx="7">
                  <c:v>5.9141940657576808E-3</c:v>
                </c:pt>
                <c:pt idx="8">
                  <c:v>2.0727453911310523E-2</c:v>
                </c:pt>
                <c:pt idx="9">
                  <c:v>2.294249731523948E-2</c:v>
                </c:pt>
                <c:pt idx="10">
                  <c:v>6.4420690971560002E-3</c:v>
                </c:pt>
              </c:numCache>
            </c:numRef>
          </c:val>
          <c:extLst>
            <c:ext xmlns:c16="http://schemas.microsoft.com/office/drawing/2014/chart" uri="{C3380CC4-5D6E-409C-BE32-E72D297353CC}">
              <c16:uniqueId val="{00000003-DB94-46B1-B783-73239DAED90D}"/>
            </c:ext>
          </c:extLst>
        </c:ser>
        <c:ser>
          <c:idx val="4"/>
          <c:order val="4"/>
          <c:tx>
            <c:strRef>
              <c:f>Analysis!$O$34</c:f>
              <c:strCache>
                <c:ptCount val="1"/>
                <c:pt idx="0">
                  <c:v>Health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Analysis!$P$34:$Z$34</c:f>
              <c:numCache>
                <c:formatCode>0.00%</c:formatCode>
                <c:ptCount val="11"/>
                <c:pt idx="0">
                  <c:v>3.3068783068783071E-3</c:v>
                </c:pt>
                <c:pt idx="1">
                  <c:v>3.9551746868821541E-3</c:v>
                </c:pt>
                <c:pt idx="2">
                  <c:v>-1.0505581089954186E-2</c:v>
                </c:pt>
                <c:pt idx="3">
                  <c:v>5.7509400575094516E-3</c:v>
                </c:pt>
                <c:pt idx="4">
                  <c:v>1.8693644160985328E-2</c:v>
                </c:pt>
                <c:pt idx="5">
                  <c:v>0</c:v>
                </c:pt>
                <c:pt idx="6">
                  <c:v>3.8860103626942636E-3</c:v>
                </c:pt>
                <c:pt idx="7">
                  <c:v>3.870967741935447E-3</c:v>
                </c:pt>
                <c:pt idx="8">
                  <c:v>4.4987146529564077E-3</c:v>
                </c:pt>
                <c:pt idx="9">
                  <c:v>5.7581573896351712E-3</c:v>
                </c:pt>
                <c:pt idx="10">
                  <c:v>6.9974554707380584E-3</c:v>
                </c:pt>
              </c:numCache>
            </c:numRef>
          </c:val>
          <c:extLst>
            <c:ext xmlns:c16="http://schemas.microsoft.com/office/drawing/2014/chart" uri="{C3380CC4-5D6E-409C-BE32-E72D297353CC}">
              <c16:uniqueId val="{00000004-DB94-46B1-B783-73239DAED90D}"/>
            </c:ext>
          </c:extLst>
        </c:ser>
        <c:ser>
          <c:idx val="5"/>
          <c:order val="5"/>
          <c:tx>
            <c:strRef>
              <c:f>Analysis!$O$35</c:f>
              <c:strCache>
                <c:ptCount val="1"/>
                <c:pt idx="0">
                  <c:v>Housing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Analysis!$P$35:$Z$35</c:f>
              <c:numCache>
                <c:formatCode>0.00%</c:formatCode>
                <c:ptCount val="11"/>
                <c:pt idx="0">
                  <c:v>3.6654448517161702E-3</c:v>
                </c:pt>
                <c:pt idx="1">
                  <c:v>-9.9601593625520644E-4</c:v>
                </c:pt>
                <c:pt idx="2">
                  <c:v>3.434142018389365E-3</c:v>
                </c:pt>
                <c:pt idx="3">
                  <c:v>-8.4639729152866296E-3</c:v>
                </c:pt>
                <c:pt idx="4">
                  <c:v>5.7526722090261492E-3</c:v>
                </c:pt>
                <c:pt idx="5">
                  <c:v>0</c:v>
                </c:pt>
                <c:pt idx="6">
                  <c:v>9.2992361341745419E-3</c:v>
                </c:pt>
                <c:pt idx="7">
                  <c:v>3.6196117143798053E-3</c:v>
                </c:pt>
                <c:pt idx="8">
                  <c:v>6.5573770491799549E-4</c:v>
                </c:pt>
                <c:pt idx="9">
                  <c:v>6.5530799475753609E-3</c:v>
                </c:pt>
                <c:pt idx="10">
                  <c:v>2.929687500000111E-3</c:v>
                </c:pt>
              </c:numCache>
            </c:numRef>
          </c:val>
          <c:extLst>
            <c:ext xmlns:c16="http://schemas.microsoft.com/office/drawing/2014/chart" uri="{C3380CC4-5D6E-409C-BE32-E72D297353CC}">
              <c16:uniqueId val="{00000005-DB94-46B1-B783-73239DAED90D}"/>
            </c:ext>
          </c:extLst>
        </c:ser>
        <c:ser>
          <c:idx val="6"/>
          <c:order val="6"/>
          <c:tx>
            <c:strRef>
              <c:f>Analysis!$O$36</c:f>
              <c:strCache>
                <c:ptCount val="1"/>
                <c:pt idx="0">
                  <c:v>Other goods &amp; services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Analysis!$P$36:$Z$36</c:f>
              <c:numCache>
                <c:formatCode>0.00%</c:formatCode>
                <c:ptCount val="11"/>
                <c:pt idx="0">
                  <c:v>4.8362277423610583E-3</c:v>
                </c:pt>
                <c:pt idx="1">
                  <c:v>6.7818858017939052E-3</c:v>
                </c:pt>
                <c:pt idx="2">
                  <c:v>-6.0843111690569562E-3</c:v>
                </c:pt>
                <c:pt idx="3">
                  <c:v>-5.3442161006661223E-4</c:v>
                </c:pt>
                <c:pt idx="4">
                  <c:v>5.4564456542873965E-2</c:v>
                </c:pt>
                <c:pt idx="5">
                  <c:v>0</c:v>
                </c:pt>
                <c:pt idx="6">
                  <c:v>7.8821821198920439E-3</c:v>
                </c:pt>
                <c:pt idx="7">
                  <c:v>1.4200452768059341E-2</c:v>
                </c:pt>
                <c:pt idx="8">
                  <c:v>-2.232142857142903E-3</c:v>
                </c:pt>
                <c:pt idx="9">
                  <c:v>1.4236322961156101E-3</c:v>
                </c:pt>
                <c:pt idx="10">
                  <c:v>2.640129975629419E-3</c:v>
                </c:pt>
              </c:numCache>
            </c:numRef>
          </c:val>
          <c:extLst>
            <c:ext xmlns:c16="http://schemas.microsoft.com/office/drawing/2014/chart" uri="{C3380CC4-5D6E-409C-BE32-E72D297353CC}">
              <c16:uniqueId val="{00000006-DB94-46B1-B783-73239DAED90D}"/>
            </c:ext>
          </c:extLst>
        </c:ser>
        <c:ser>
          <c:idx val="7"/>
          <c:order val="7"/>
          <c:tx>
            <c:strRef>
              <c:f>Analysis!$O$37</c:f>
              <c:strCache>
                <c:ptCount val="1"/>
                <c:pt idx="0">
                  <c:v>Recreation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Analysis!$P$37:$Z$37</c:f>
              <c:numCache>
                <c:formatCode>0.00%</c:formatCode>
                <c:ptCount val="11"/>
                <c:pt idx="0">
                  <c:v>2.8011204481791121E-3</c:v>
                </c:pt>
                <c:pt idx="1">
                  <c:v>3.4916201117318438E-3</c:v>
                </c:pt>
                <c:pt idx="2">
                  <c:v>-3.2475063790304006E-3</c:v>
                </c:pt>
                <c:pt idx="3">
                  <c:v>-1.2101466139166768E-2</c:v>
                </c:pt>
                <c:pt idx="4">
                  <c:v>4.8056537102473582E-2</c:v>
                </c:pt>
                <c:pt idx="5">
                  <c:v>0</c:v>
                </c:pt>
                <c:pt idx="6">
                  <c:v>-1.5509103169251593E-2</c:v>
                </c:pt>
                <c:pt idx="7">
                  <c:v>4.1095890410958518E-3</c:v>
                </c:pt>
                <c:pt idx="8">
                  <c:v>-6.8212824010910182E-4</c:v>
                </c:pt>
                <c:pt idx="9">
                  <c:v>1.2969283276450552E-2</c:v>
                </c:pt>
                <c:pt idx="10">
                  <c:v>6.7385444743931476E-4</c:v>
                </c:pt>
              </c:numCache>
            </c:numRef>
          </c:val>
          <c:extLst>
            <c:ext xmlns:c16="http://schemas.microsoft.com/office/drawing/2014/chart" uri="{C3380CC4-5D6E-409C-BE32-E72D297353CC}">
              <c16:uniqueId val="{00000007-DB94-46B1-B783-73239DAED90D}"/>
            </c:ext>
          </c:extLst>
        </c:ser>
        <c:ser>
          <c:idx val="8"/>
          <c:order val="8"/>
          <c:tx>
            <c:strRef>
              <c:f>Analysis!$O$38</c:f>
              <c:strCache>
                <c:ptCount val="1"/>
                <c:pt idx="0">
                  <c:v>Transport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Analysis!$P$29:$Z$29</c:f>
              <c:strCache>
                <c:ptCount val="11"/>
                <c:pt idx="0">
                  <c:v>Feb-20</c:v>
                </c:pt>
                <c:pt idx="1">
                  <c:v>Mar-20</c:v>
                </c:pt>
                <c:pt idx="2">
                  <c:v>Apr-20</c:v>
                </c:pt>
                <c:pt idx="3">
                  <c:v>May-20</c:v>
                </c:pt>
                <c:pt idx="4">
                  <c:v>Jun-20</c:v>
                </c:pt>
                <c:pt idx="5">
                  <c:v>Jul-20</c:v>
                </c:pt>
                <c:pt idx="6">
                  <c:v>Aug-20</c:v>
                </c:pt>
                <c:pt idx="7">
                  <c:v>Sep-20</c:v>
                </c:pt>
                <c:pt idx="8">
                  <c:v>Oct-20</c:v>
                </c:pt>
                <c:pt idx="9">
                  <c:v>Nov-20</c:v>
                </c:pt>
                <c:pt idx="10">
                  <c:v>Dec-20</c:v>
                </c:pt>
              </c:strCache>
            </c:strRef>
          </c:cat>
          <c:val>
            <c:numRef>
              <c:f>Analysis!$P$38:$Z$38</c:f>
              <c:numCache>
                <c:formatCode>0.00%</c:formatCode>
                <c:ptCount val="11"/>
                <c:pt idx="0">
                  <c:v>-4.583651642475128E-3</c:v>
                </c:pt>
                <c:pt idx="1">
                  <c:v>-3.0698388334612866E-3</c:v>
                </c:pt>
                <c:pt idx="2">
                  <c:v>3.5925070567103044E-3</c:v>
                </c:pt>
                <c:pt idx="3">
                  <c:v>-1.4318588596266779E-2</c:v>
                </c:pt>
                <c:pt idx="4">
                  <c:v>5.0583657587548403E-2</c:v>
                </c:pt>
                <c:pt idx="5">
                  <c:v>0</c:v>
                </c:pt>
                <c:pt idx="6">
                  <c:v>2.5925925925925925E-2</c:v>
                </c:pt>
                <c:pt idx="7">
                  <c:v>7.9422382671479729E-3</c:v>
                </c:pt>
                <c:pt idx="8">
                  <c:v>7.1633237822349575E-3</c:v>
                </c:pt>
                <c:pt idx="9">
                  <c:v>-1.4224751066855522E-3</c:v>
                </c:pt>
                <c:pt idx="10">
                  <c:v>2.1367521367520151E-3</c:v>
                </c:pt>
              </c:numCache>
            </c:numRef>
          </c:val>
          <c:extLst>
            <c:ext xmlns:c16="http://schemas.microsoft.com/office/drawing/2014/chart" uri="{C3380CC4-5D6E-409C-BE32-E72D297353CC}">
              <c16:uniqueId val="{00000008-DB94-46B1-B783-73239DAED90D}"/>
            </c:ext>
          </c:extLst>
        </c:ser>
        <c:dLbls>
          <c:showLegendKey val="0"/>
          <c:showVal val="0"/>
          <c:showCatName val="0"/>
          <c:showSerName val="0"/>
          <c:showPercent val="0"/>
          <c:showBubbleSize val="0"/>
        </c:dLbls>
        <c:gapWidth val="100"/>
        <c:overlap val="-24"/>
        <c:axId val="1998162416"/>
        <c:axId val="1998147856"/>
      </c:barChart>
      <c:catAx>
        <c:axId val="1998162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8147856"/>
        <c:crosses val="autoZero"/>
        <c:auto val="1"/>
        <c:lblAlgn val="ctr"/>
        <c:lblOffset val="100"/>
        <c:noMultiLvlLbl val="0"/>
      </c:catAx>
      <c:valAx>
        <c:axId val="19981478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8162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Analysis!$G$4</c:f>
          <c:strCache>
            <c:ptCount val="1"/>
            <c:pt idx="0">
              <c:v>M-o-M Change- Food &amp; Beverages Category</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Analysis!$G$6</c:f>
              <c:strCache>
                <c:ptCount val="1"/>
                <c:pt idx="0">
                  <c:v>Cereals and products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Analysis!$H$6:$S$6</c:f>
              <c:numCache>
                <c:formatCode>0.00%</c:formatCode>
                <c:ptCount val="12"/>
                <c:pt idx="0">
                  <c:v>5.8403634003893947E-3</c:v>
                </c:pt>
                <c:pt idx="1">
                  <c:v>9.6774193548387101E-3</c:v>
                </c:pt>
                <c:pt idx="2">
                  <c:v>2.4281150159744483E-2</c:v>
                </c:pt>
                <c:pt idx="3">
                  <c:v>1.9962570180910719E-2</c:v>
                </c:pt>
                <c:pt idx="4">
                  <c:v>1.0397553516819502E-2</c:v>
                </c:pt>
                <c:pt idx="5">
                  <c:v>1.3317191283293082E-2</c:v>
                </c:pt>
                <c:pt idx="6">
                  <c:v>1.0752688172042909E-2</c:v>
                </c:pt>
                <c:pt idx="7">
                  <c:v>2.7186761229314557E-2</c:v>
                </c:pt>
                <c:pt idx="8">
                  <c:v>3.4522439585730398E-3</c:v>
                </c:pt>
                <c:pt idx="9">
                  <c:v>0</c:v>
                </c:pt>
                <c:pt idx="10">
                  <c:v>3.4403669724770315E-3</c:v>
                </c:pt>
                <c:pt idx="11">
                  <c:v>5.7537399309564284E-4</c:v>
                </c:pt>
              </c:numCache>
            </c:numRef>
          </c:val>
          <c:smooth val="0"/>
          <c:extLst>
            <c:ext xmlns:c16="http://schemas.microsoft.com/office/drawing/2014/chart" uri="{C3380CC4-5D6E-409C-BE32-E72D297353CC}">
              <c16:uniqueId val="{00000000-2FEA-4C38-AF87-D439275274DF}"/>
            </c:ext>
          </c:extLst>
        </c:ser>
        <c:ser>
          <c:idx val="1"/>
          <c:order val="1"/>
          <c:tx>
            <c:strRef>
              <c:f>Analysis!$G$7</c:f>
              <c:strCache>
                <c:ptCount val="1"/>
                <c:pt idx="0">
                  <c:v>Egg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Analysis!$H$7:$S$7</c:f>
              <c:numCache>
                <c:formatCode>0.00%</c:formatCode>
                <c:ptCount val="12"/>
                <c:pt idx="0">
                  <c:v>5.1724137931034517E-2</c:v>
                </c:pt>
                <c:pt idx="1">
                  <c:v>2.5761124121779725E-2</c:v>
                </c:pt>
                <c:pt idx="2">
                  <c:v>3.4246575342465758E-2</c:v>
                </c:pt>
                <c:pt idx="3">
                  <c:v>2.9550827423167852E-3</c:v>
                </c:pt>
                <c:pt idx="4">
                  <c:v>7.0713022981733478E-3</c:v>
                </c:pt>
                <c:pt idx="5">
                  <c:v>6.1439438267992974E-2</c:v>
                </c:pt>
                <c:pt idx="6">
                  <c:v>4.8511576626240255E-2</c:v>
                </c:pt>
                <c:pt idx="7">
                  <c:v>2.2607781282860208E-2</c:v>
                </c:pt>
                <c:pt idx="8">
                  <c:v>9.9228791773778982E-2</c:v>
                </c:pt>
                <c:pt idx="9">
                  <c:v>0</c:v>
                </c:pt>
                <c:pt idx="10">
                  <c:v>3.1963470319634674E-2</c:v>
                </c:pt>
                <c:pt idx="11">
                  <c:v>2.122641509433959E-2</c:v>
                </c:pt>
              </c:numCache>
            </c:numRef>
          </c:val>
          <c:smooth val="0"/>
          <c:extLst>
            <c:ext xmlns:c16="http://schemas.microsoft.com/office/drawing/2014/chart" uri="{C3380CC4-5D6E-409C-BE32-E72D297353CC}">
              <c16:uniqueId val="{00000001-2FEA-4C38-AF87-D439275274DF}"/>
            </c:ext>
          </c:extLst>
        </c:ser>
        <c:ser>
          <c:idx val="2"/>
          <c:order val="2"/>
          <c:tx>
            <c:strRef>
              <c:f>Analysis!$G$8</c:f>
              <c:strCache>
                <c:ptCount val="1"/>
                <c:pt idx="0">
                  <c:v>Food and beverages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Analysis!$H$8:$S$8</c:f>
              <c:numCache>
                <c:formatCode>0.00%</c:formatCode>
                <c:ptCount val="12"/>
                <c:pt idx="0">
                  <c:v>9.2325447201384546E-3</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2-2FEA-4C38-AF87-D439275274DF}"/>
            </c:ext>
          </c:extLst>
        </c:ser>
        <c:ser>
          <c:idx val="3"/>
          <c:order val="3"/>
          <c:tx>
            <c:strRef>
              <c:f>Analysis!$G$9</c:f>
              <c:strCache>
                <c:ptCount val="1"/>
                <c:pt idx="0">
                  <c:v>Fruits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Analysis!$H$9:$S$9</c:f>
              <c:numCache>
                <c:formatCode>0.00%</c:formatCode>
                <c:ptCount val="12"/>
                <c:pt idx="0">
                  <c:v>7.6023391812866164E-3</c:v>
                </c:pt>
                <c:pt idx="1">
                  <c:v>2.6517383618149679E-2</c:v>
                </c:pt>
                <c:pt idx="2">
                  <c:v>7.4626865671640818E-3</c:v>
                </c:pt>
                <c:pt idx="3">
                  <c:v>4.1642567958357531E-2</c:v>
                </c:pt>
                <c:pt idx="4">
                  <c:v>1.1466505733252729E-2</c:v>
                </c:pt>
                <c:pt idx="5">
                  <c:v>1.8925518925519063E-2</c:v>
                </c:pt>
                <c:pt idx="6">
                  <c:v>1.6801493466085806E-2</c:v>
                </c:pt>
                <c:pt idx="7">
                  <c:v>1.8987341772152618E-3</c:v>
                </c:pt>
                <c:pt idx="8">
                  <c:v>7.0751737207833149E-2</c:v>
                </c:pt>
                <c:pt idx="9">
                  <c:v>0</c:v>
                </c:pt>
                <c:pt idx="10">
                  <c:v>4.0117994100295054E-2</c:v>
                </c:pt>
                <c:pt idx="11">
                  <c:v>2.32558139534885E-2</c:v>
                </c:pt>
              </c:numCache>
            </c:numRef>
          </c:val>
          <c:smooth val="0"/>
          <c:extLst>
            <c:ext xmlns:c16="http://schemas.microsoft.com/office/drawing/2014/chart" uri="{C3380CC4-5D6E-409C-BE32-E72D297353CC}">
              <c16:uniqueId val="{00000003-2FEA-4C38-AF87-D439275274DF}"/>
            </c:ext>
          </c:extLst>
        </c:ser>
        <c:ser>
          <c:idx val="4"/>
          <c:order val="4"/>
          <c:tx>
            <c:strRef>
              <c:f>Analysis!$G$10</c:f>
              <c:strCache>
                <c:ptCount val="1"/>
                <c:pt idx="0">
                  <c:v>Meat and fish</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Analysis!$H$10:$S$10</c:f>
              <c:numCache>
                <c:formatCode>0.00%</c:formatCode>
                <c:ptCount val="12"/>
                <c:pt idx="0">
                  <c:v>1.1059907834101408E-2</c:v>
                </c:pt>
                <c:pt idx="1">
                  <c:v>2.9170464904284436E-2</c:v>
                </c:pt>
                <c:pt idx="2">
                  <c:v>3.0516431924882629E-2</c:v>
                </c:pt>
                <c:pt idx="3">
                  <c:v>1.3075060532687597E-2</c:v>
                </c:pt>
                <c:pt idx="4">
                  <c:v>8.1261950286807706E-3</c:v>
                </c:pt>
                <c:pt idx="5">
                  <c:v>7.1123755334281651E-3</c:v>
                </c:pt>
                <c:pt idx="6">
                  <c:v>1.9102196752626823E-3</c:v>
                </c:pt>
                <c:pt idx="7">
                  <c:v>8.1339712918659744E-3</c:v>
                </c:pt>
                <c:pt idx="8">
                  <c:v>1.423825344091125E-2</c:v>
                </c:pt>
                <c:pt idx="9">
                  <c:v>0</c:v>
                </c:pt>
                <c:pt idx="10">
                  <c:v>7.7034183919115207E-3</c:v>
                </c:pt>
                <c:pt idx="11">
                  <c:v>2.3889154323936932E-2</c:v>
                </c:pt>
              </c:numCache>
            </c:numRef>
          </c:val>
          <c:smooth val="0"/>
          <c:extLst>
            <c:ext xmlns:c16="http://schemas.microsoft.com/office/drawing/2014/chart" uri="{C3380CC4-5D6E-409C-BE32-E72D297353CC}">
              <c16:uniqueId val="{00000004-2FEA-4C38-AF87-D439275274DF}"/>
            </c:ext>
          </c:extLst>
        </c:ser>
        <c:ser>
          <c:idx val="5"/>
          <c:order val="5"/>
          <c:tx>
            <c:strRef>
              <c:f>Analysis!$G$11</c:f>
              <c:strCache>
                <c:ptCount val="1"/>
                <c:pt idx="0">
                  <c:v>Milk and products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Analysis!$H$11:$S$11</c:f>
              <c:numCache>
                <c:formatCode>0.00%</c:formatCode>
                <c:ptCount val="12"/>
                <c:pt idx="0">
                  <c:v>5.4578532443905741E-3</c:v>
                </c:pt>
                <c:pt idx="1">
                  <c:v>4.8250904704462173E-3</c:v>
                </c:pt>
                <c:pt idx="2">
                  <c:v>9.00360144057623E-3</c:v>
                </c:pt>
                <c:pt idx="3">
                  <c:v>9.5181439619273899E-3</c:v>
                </c:pt>
                <c:pt idx="4">
                  <c:v>7.0713022981733478E-3</c:v>
                </c:pt>
                <c:pt idx="5">
                  <c:v>8.1919251023990971E-3</c:v>
                </c:pt>
                <c:pt idx="6">
                  <c:v>7.5449796865930518E-3</c:v>
                </c:pt>
                <c:pt idx="7">
                  <c:v>5.7603686635944703E-3</c:v>
                </c:pt>
                <c:pt idx="8">
                  <c:v>1.5463917525773294E-2</c:v>
                </c:pt>
                <c:pt idx="9">
                  <c:v>0</c:v>
                </c:pt>
                <c:pt idx="10">
                  <c:v>6.2041737168640398E-3</c:v>
                </c:pt>
                <c:pt idx="11">
                  <c:v>6.1659192825111791E-3</c:v>
                </c:pt>
              </c:numCache>
            </c:numRef>
          </c:val>
          <c:smooth val="0"/>
          <c:extLst>
            <c:ext xmlns:c16="http://schemas.microsoft.com/office/drawing/2014/chart" uri="{C3380CC4-5D6E-409C-BE32-E72D297353CC}">
              <c16:uniqueId val="{00000005-2FEA-4C38-AF87-D439275274DF}"/>
            </c:ext>
          </c:extLst>
        </c:ser>
        <c:ser>
          <c:idx val="6"/>
          <c:order val="6"/>
          <c:tx>
            <c:strRef>
              <c:f>Analysis!$G$12</c:f>
              <c:strCache>
                <c:ptCount val="1"/>
                <c:pt idx="0">
                  <c:v>Non-alcoholic beverages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Analysis!$H$12:$S$12</c:f>
              <c:numCache>
                <c:formatCode>0.00%</c:formatCode>
                <c:ptCount val="12"/>
                <c:pt idx="0">
                  <c:v>4.7875523638540481E-3</c:v>
                </c:pt>
                <c:pt idx="1">
                  <c:v>2.9779630732578916E-3</c:v>
                </c:pt>
                <c:pt idx="2">
                  <c:v>2.3752969121140478E-3</c:v>
                </c:pt>
                <c:pt idx="3">
                  <c:v>3.5545023696682125E-3</c:v>
                </c:pt>
                <c:pt idx="4">
                  <c:v>2.9515938606847697E-3</c:v>
                </c:pt>
                <c:pt idx="5">
                  <c:v>2.942907592701589E-3</c:v>
                </c:pt>
                <c:pt idx="6">
                  <c:v>3.521126760563347E-3</c:v>
                </c:pt>
                <c:pt idx="7">
                  <c:v>2.339181286549741E-3</c:v>
                </c:pt>
                <c:pt idx="8">
                  <c:v>5.2508751458576761E-3</c:v>
                </c:pt>
                <c:pt idx="9">
                  <c:v>0</c:v>
                </c:pt>
                <c:pt idx="10">
                  <c:v>3.4822983168891135E-3</c:v>
                </c:pt>
                <c:pt idx="11">
                  <c:v>2.8918449971081549E-3</c:v>
                </c:pt>
              </c:numCache>
            </c:numRef>
          </c:val>
          <c:smooth val="0"/>
          <c:extLst>
            <c:ext xmlns:c16="http://schemas.microsoft.com/office/drawing/2014/chart" uri="{C3380CC4-5D6E-409C-BE32-E72D297353CC}">
              <c16:uniqueId val="{00000006-2FEA-4C38-AF87-D439275274DF}"/>
            </c:ext>
          </c:extLst>
        </c:ser>
        <c:ser>
          <c:idx val="7"/>
          <c:order val="7"/>
          <c:tx>
            <c:strRef>
              <c:f>Analysis!$G$13</c:f>
              <c:strCache>
                <c:ptCount val="1"/>
                <c:pt idx="0">
                  <c:v>Oils and fats</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Analysis!$H$13:$S$13</c:f>
              <c:numCache>
                <c:formatCode>0.00%</c:formatCode>
                <c:ptCount val="12"/>
                <c:pt idx="0">
                  <c:v>7.411067193675889E-3</c:v>
                </c:pt>
                <c:pt idx="1">
                  <c:v>2.5385764061722219E-2</c:v>
                </c:pt>
                <c:pt idx="2">
                  <c:v>1.7364657814096043E-2</c:v>
                </c:pt>
                <c:pt idx="3">
                  <c:v>1.9230769230769319E-2</c:v>
                </c:pt>
                <c:pt idx="4">
                  <c:v>1.1658717541070422E-2</c:v>
                </c:pt>
                <c:pt idx="5">
                  <c:v>1.286863270777483E-2</c:v>
                </c:pt>
                <c:pt idx="6">
                  <c:v>2.1175224986765785E-3</c:v>
                </c:pt>
                <c:pt idx="7">
                  <c:v>6.8965517241379917E-3</c:v>
                </c:pt>
                <c:pt idx="8">
                  <c:v>4.2200854700854579E-2</c:v>
                </c:pt>
                <c:pt idx="9">
                  <c:v>5.5772448410497898E-4</c:v>
                </c:pt>
                <c:pt idx="10">
                  <c:v>2.3995535714285622E-2</c:v>
                </c:pt>
                <c:pt idx="11">
                  <c:v>2.801600914808465E-2</c:v>
                </c:pt>
              </c:numCache>
            </c:numRef>
          </c:val>
          <c:smooth val="0"/>
          <c:extLst>
            <c:ext xmlns:c16="http://schemas.microsoft.com/office/drawing/2014/chart" uri="{C3380CC4-5D6E-409C-BE32-E72D297353CC}">
              <c16:uniqueId val="{00000007-2FEA-4C38-AF87-D439275274DF}"/>
            </c:ext>
          </c:extLst>
        </c:ser>
        <c:ser>
          <c:idx val="8"/>
          <c:order val="8"/>
          <c:tx>
            <c:strRef>
              <c:f>Analysis!$G$14</c:f>
              <c:strCache>
                <c:ptCount val="1"/>
                <c:pt idx="0">
                  <c:v>Prepared meals, snacks, sweets etc.</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Analysis!$H$14:$S$14</c:f>
              <c:numCache>
                <c:formatCode>0.00%</c:formatCode>
                <c:ptCount val="12"/>
                <c:pt idx="0">
                  <c:v>7.6712328767123599E-3</c:v>
                </c:pt>
                <c:pt idx="1">
                  <c:v>7.0690592713430287E-3</c:v>
                </c:pt>
                <c:pt idx="2">
                  <c:v>5.9395248380130824E-3</c:v>
                </c:pt>
                <c:pt idx="3">
                  <c:v>5.9044551798174676E-3</c:v>
                </c:pt>
                <c:pt idx="4">
                  <c:v>4.8025613660619302E-3</c:v>
                </c:pt>
                <c:pt idx="5">
                  <c:v>6.3728093467869812E-3</c:v>
                </c:pt>
                <c:pt idx="6">
                  <c:v>4.2216358839050729E-3</c:v>
                </c:pt>
                <c:pt idx="7">
                  <c:v>4.7293746715710832E-3</c:v>
                </c:pt>
                <c:pt idx="8">
                  <c:v>9.4142259414226534E-3</c:v>
                </c:pt>
                <c:pt idx="9">
                  <c:v>0</c:v>
                </c:pt>
                <c:pt idx="10">
                  <c:v>2.5906735751295338E-3</c:v>
                </c:pt>
                <c:pt idx="11">
                  <c:v>3.6175710594314658E-3</c:v>
                </c:pt>
              </c:numCache>
            </c:numRef>
          </c:val>
          <c:smooth val="0"/>
          <c:extLst>
            <c:ext xmlns:c16="http://schemas.microsoft.com/office/drawing/2014/chart" uri="{C3380CC4-5D6E-409C-BE32-E72D297353CC}">
              <c16:uniqueId val="{00000008-2FEA-4C38-AF87-D439275274DF}"/>
            </c:ext>
          </c:extLst>
        </c:ser>
        <c:ser>
          <c:idx val="9"/>
          <c:order val="9"/>
          <c:tx>
            <c:strRef>
              <c:f>Analysis!$G$15</c:f>
              <c:strCache>
                <c:ptCount val="1"/>
                <c:pt idx="0">
                  <c:v>Pulses and products</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Analysis!$H$15:$S$15</c:f>
              <c:numCache>
                <c:formatCode>0.00%</c:formatCode>
                <c:ptCount val="12"/>
                <c:pt idx="0">
                  <c:v>2.4286581663629466E-3</c:v>
                </c:pt>
                <c:pt idx="1">
                  <c:v>0</c:v>
                </c:pt>
                <c:pt idx="2">
                  <c:v>1.7650639074862917E-2</c:v>
                </c:pt>
                <c:pt idx="3">
                  <c:v>1.1363636363636399E-2</c:v>
                </c:pt>
                <c:pt idx="4">
                  <c:v>4.1395623891189656E-3</c:v>
                </c:pt>
                <c:pt idx="5">
                  <c:v>4.1224970553591792E-3</c:v>
                </c:pt>
                <c:pt idx="6">
                  <c:v>1.7595307917889231E-3</c:v>
                </c:pt>
                <c:pt idx="7">
                  <c:v>5.854800936767817E-4</c:v>
                </c:pt>
                <c:pt idx="8">
                  <c:v>5.8513750731418557E-4</c:v>
                </c:pt>
                <c:pt idx="9">
                  <c:v>5.8479532163739363E-4</c:v>
                </c:pt>
                <c:pt idx="10">
                  <c:v>1.3442431326709593E-2</c:v>
                </c:pt>
                <c:pt idx="11">
                  <c:v>1.2687427912341341E-2</c:v>
                </c:pt>
              </c:numCache>
            </c:numRef>
          </c:val>
          <c:smooth val="0"/>
          <c:extLst>
            <c:ext xmlns:c16="http://schemas.microsoft.com/office/drawing/2014/chart" uri="{C3380CC4-5D6E-409C-BE32-E72D297353CC}">
              <c16:uniqueId val="{00000009-2FEA-4C38-AF87-D439275274DF}"/>
            </c:ext>
          </c:extLst>
        </c:ser>
        <c:ser>
          <c:idx val="10"/>
          <c:order val="10"/>
          <c:tx>
            <c:strRef>
              <c:f>Analysis!$G$16</c:f>
              <c:strCache>
                <c:ptCount val="1"/>
                <c:pt idx="0">
                  <c:v>Spices</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Analysis!$H$16:$S$16</c:f>
              <c:numCache>
                <c:formatCode>0.00%</c:formatCode>
                <c:ptCount val="12"/>
                <c:pt idx="0">
                  <c:v>1.1898323418063756E-2</c:v>
                </c:pt>
                <c:pt idx="1">
                  <c:v>1.5499732763228252E-2</c:v>
                </c:pt>
                <c:pt idx="2">
                  <c:v>1.8947368421052602E-2</c:v>
                </c:pt>
                <c:pt idx="3">
                  <c:v>1.9111570247933973E-2</c:v>
                </c:pt>
                <c:pt idx="4">
                  <c:v>1.3177901672579798E-2</c:v>
                </c:pt>
                <c:pt idx="5">
                  <c:v>1.4507253626813434E-2</c:v>
                </c:pt>
                <c:pt idx="6">
                  <c:v>1.1834319526627106E-2</c:v>
                </c:pt>
                <c:pt idx="7">
                  <c:v>1.5594541910331468E-2</c:v>
                </c:pt>
                <c:pt idx="8">
                  <c:v>6.2380038387715112E-3</c:v>
                </c:pt>
                <c:pt idx="9">
                  <c:v>0</c:v>
                </c:pt>
                <c:pt idx="10">
                  <c:v>1.5259895088221351E-2</c:v>
                </c:pt>
                <c:pt idx="11">
                  <c:v>2.3954908407703118E-2</c:v>
                </c:pt>
              </c:numCache>
            </c:numRef>
          </c:val>
          <c:smooth val="0"/>
          <c:extLst>
            <c:ext xmlns:c16="http://schemas.microsoft.com/office/drawing/2014/chart" uri="{C3380CC4-5D6E-409C-BE32-E72D297353CC}">
              <c16:uniqueId val="{0000000A-2FEA-4C38-AF87-D439275274DF}"/>
            </c:ext>
          </c:extLst>
        </c:ser>
        <c:ser>
          <c:idx val="11"/>
          <c:order val="11"/>
          <c:tx>
            <c:strRef>
              <c:f>Analysis!$G$17</c:f>
              <c:strCache>
                <c:ptCount val="1"/>
                <c:pt idx="0">
                  <c:v>Sugar and Confectionery</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Analysis!$H$17:$S$17</c:f>
              <c:numCache>
                <c:formatCode>0.00%</c:formatCode>
                <c:ptCount val="12"/>
                <c:pt idx="0">
                  <c:v>1.6708437761069578E-3</c:v>
                </c:pt>
                <c:pt idx="1">
                  <c:v>8.3402835696408937E-4</c:v>
                </c:pt>
                <c:pt idx="2">
                  <c:v>7.5000000000000474E-3</c:v>
                </c:pt>
                <c:pt idx="3">
                  <c:v>5.7899090157153728E-3</c:v>
                </c:pt>
                <c:pt idx="4">
                  <c:v>2.4671052631579883E-3</c:v>
                </c:pt>
                <c:pt idx="5">
                  <c:v>1.640689089417462E-3</c:v>
                </c:pt>
                <c:pt idx="6">
                  <c:v>2.457002457002434E-3</c:v>
                </c:pt>
                <c:pt idx="7">
                  <c:v>5.7471264367816325E-3</c:v>
                </c:pt>
                <c:pt idx="8">
                  <c:v>9.0834021469859156E-3</c:v>
                </c:pt>
                <c:pt idx="9">
                  <c:v>0</c:v>
                </c:pt>
                <c:pt idx="10">
                  <c:v>1.0833333333333309E-2</c:v>
                </c:pt>
                <c:pt idx="11">
                  <c:v>1.1541632316570533E-2</c:v>
                </c:pt>
              </c:numCache>
            </c:numRef>
          </c:val>
          <c:smooth val="0"/>
          <c:extLst>
            <c:ext xmlns:c16="http://schemas.microsoft.com/office/drawing/2014/chart" uri="{C3380CC4-5D6E-409C-BE32-E72D297353CC}">
              <c16:uniqueId val="{0000000B-2FEA-4C38-AF87-D439275274DF}"/>
            </c:ext>
          </c:extLst>
        </c:ser>
        <c:ser>
          <c:idx val="12"/>
          <c:order val="12"/>
          <c:tx>
            <c:strRef>
              <c:f>Analysis!$G$18</c:f>
              <c:strCache>
                <c:ptCount val="1"/>
                <c:pt idx="0">
                  <c:v>Vegetables</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dLbls>
            <c:spPr>
              <a:noFill/>
              <a:ln>
                <a:noFill/>
              </a:ln>
              <a:effectLst>
                <a:glow rad="63500">
                  <a:schemeClr val="accent1">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Analysis!$H$5:$S$5</c:f>
              <c:strCache>
                <c:ptCount val="12"/>
                <c:pt idx="0">
                  <c:v>Jun-22</c:v>
                </c:pt>
                <c:pt idx="1">
                  <c:v>Jul-22</c:v>
                </c:pt>
                <c:pt idx="2">
                  <c:v>Aug-22</c:v>
                </c:pt>
                <c:pt idx="3">
                  <c:v>Sep-22</c:v>
                </c:pt>
                <c:pt idx="4">
                  <c:v>Oct-22</c:v>
                </c:pt>
                <c:pt idx="5">
                  <c:v>Nov-22</c:v>
                </c:pt>
                <c:pt idx="6">
                  <c:v>Dec-22</c:v>
                </c:pt>
                <c:pt idx="7">
                  <c:v>Jan-23</c:v>
                </c:pt>
                <c:pt idx="8">
                  <c:v>Feb-23</c:v>
                </c:pt>
                <c:pt idx="9">
                  <c:v>Mar-23</c:v>
                </c:pt>
                <c:pt idx="10">
                  <c:v>Apr-23</c:v>
                </c:pt>
                <c:pt idx="11">
                  <c:v>May-23</c:v>
                </c:pt>
              </c:strCache>
            </c:strRef>
          </c:cat>
          <c:val>
            <c:numRef>
              <c:f>Analysis!$H$18:$S$18</c:f>
              <c:numCache>
                <c:formatCode>0.00%</c:formatCode>
                <c:ptCount val="12"/>
                <c:pt idx="0">
                  <c:v>4.230989136649517E-2</c:v>
                </c:pt>
                <c:pt idx="1">
                  <c:v>1.0970927043336097E-3</c:v>
                </c:pt>
                <c:pt idx="2">
                  <c:v>2.5260845689181737E-2</c:v>
                </c:pt>
                <c:pt idx="3">
                  <c:v>2.7316550615961558E-2</c:v>
                </c:pt>
                <c:pt idx="4">
                  <c:v>4.118873826903012E-2</c:v>
                </c:pt>
                <c:pt idx="5">
                  <c:v>8.3124687030545791E-2</c:v>
                </c:pt>
                <c:pt idx="6">
                  <c:v>0.12670671764063349</c:v>
                </c:pt>
                <c:pt idx="7">
                  <c:v>3.7523452157598496E-2</c:v>
                </c:pt>
                <c:pt idx="8">
                  <c:v>7.7972709551658026E-3</c:v>
                </c:pt>
                <c:pt idx="9">
                  <c:v>6.5487884741337755E-4</c:v>
                </c:pt>
                <c:pt idx="10">
                  <c:v>1.7015706806282685E-2</c:v>
                </c:pt>
                <c:pt idx="11">
                  <c:v>3.6036036036036001E-2</c:v>
                </c:pt>
              </c:numCache>
            </c:numRef>
          </c:val>
          <c:smooth val="0"/>
          <c:extLst>
            <c:ext xmlns:c16="http://schemas.microsoft.com/office/drawing/2014/chart" uri="{C3380CC4-5D6E-409C-BE32-E72D297353CC}">
              <c16:uniqueId val="{0000000C-2FEA-4C38-AF87-D439275274DF}"/>
            </c:ext>
          </c:extLst>
        </c:ser>
        <c:dLbls>
          <c:showLegendKey val="0"/>
          <c:showVal val="0"/>
          <c:showCatName val="0"/>
          <c:showSerName val="0"/>
          <c:showPercent val="0"/>
          <c:showBubbleSize val="0"/>
        </c:dLbls>
        <c:smooth val="0"/>
        <c:axId val="2045171200"/>
        <c:axId val="2045169120"/>
      </c:lineChart>
      <c:catAx>
        <c:axId val="2045171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169120"/>
        <c:crosses val="autoZero"/>
        <c:auto val="1"/>
        <c:lblAlgn val="ctr"/>
        <c:lblOffset val="100"/>
        <c:noMultiLvlLbl val="0"/>
      </c:catAx>
      <c:valAx>
        <c:axId val="20451691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17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[India_CPI_Inflation_CaseStudy.xlsx]PivotTables!YoY_GeneralIndexTrend</c:name>
    <c:fmtId val="12"/>
  </c:pivotSource>
  <c:chart>
    <c:title>
      <c:tx>
        <c:strRef>
          <c:f>PivotTables!$A$41</c:f>
          <c:strCache>
            <c:ptCount val="1"/>
            <c:pt idx="0">
              <c:v>Y-o-Y General Index CPI Trend Analysis</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68778198743698E-2"/>
          <c:y val="0.20378423946734647"/>
          <c:w val="0.88796409589903924"/>
          <c:h val="0.57238130592286329"/>
        </c:manualLayout>
      </c:layout>
      <c:barChart>
        <c:barDir val="col"/>
        <c:grouping val="clustered"/>
        <c:varyColors val="0"/>
        <c:ser>
          <c:idx val="0"/>
          <c:order val="0"/>
          <c:tx>
            <c:strRef>
              <c:f>PivotTables!$A$41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PivotTables!$A$41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PivotTables!$A$41</c:f>
              <c:numCache>
                <c:formatCode>0.0</c:formatCode>
                <c:ptCount val="11"/>
                <c:pt idx="0">
                  <c:v>110.40000000000002</c:v>
                </c:pt>
                <c:pt idx="1">
                  <c:v>117.89166666666669</c:v>
                </c:pt>
                <c:pt idx="2">
                  <c:v>124.30833333333334</c:v>
                </c:pt>
                <c:pt idx="3">
                  <c:v>131.27500000000001</c:v>
                </c:pt>
                <c:pt idx="4">
                  <c:v>135.63333333333333</c:v>
                </c:pt>
                <c:pt idx="5">
                  <c:v>140.73333333333332</c:v>
                </c:pt>
                <c:pt idx="6">
                  <c:v>145.18181818181819</c:v>
                </c:pt>
                <c:pt idx="7">
                  <c:v>153.88333333333335</c:v>
                </c:pt>
                <c:pt idx="8">
                  <c:v>162.03333333333333</c:v>
                </c:pt>
                <c:pt idx="9">
                  <c:v>173.125</c:v>
                </c:pt>
                <c:pt idx="10">
                  <c:v>178.48000000000002</c:v>
                </c:pt>
              </c:numCache>
            </c:numRef>
          </c:val>
          <c:extLst>
            <c:ext xmlns:c16="http://schemas.microsoft.com/office/drawing/2014/chart" uri="{C3380CC4-5D6E-409C-BE32-E72D297353CC}">
              <c16:uniqueId val="{00000000-8B42-4CA0-AF60-57E870331D2F}"/>
            </c:ext>
          </c:extLst>
        </c:ser>
        <c:ser>
          <c:idx val="1"/>
          <c:order val="1"/>
          <c:tx>
            <c:strRef>
              <c:f>PivotTables!$A$41</c:f>
              <c:strCache>
                <c:ptCount val="1"/>
                <c:pt idx="0">
                  <c:v>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PivotTables!$A$41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PivotTables!$A$41</c:f>
              <c:numCache>
                <c:formatCode>0.0</c:formatCode>
                <c:ptCount val="11"/>
                <c:pt idx="0">
                  <c:v>109.60833333333335</c:v>
                </c:pt>
                <c:pt idx="1">
                  <c:v>116.74166666666667</c:v>
                </c:pt>
                <c:pt idx="2">
                  <c:v>121.69166666666666</c:v>
                </c:pt>
                <c:pt idx="3">
                  <c:v>126.825</c:v>
                </c:pt>
                <c:pt idx="4">
                  <c:v>131.02500000000001</c:v>
                </c:pt>
                <c:pt idx="5">
                  <c:v>136.49999999999997</c:v>
                </c:pt>
                <c:pt idx="6">
                  <c:v>143.01818181818183</c:v>
                </c:pt>
                <c:pt idx="7">
                  <c:v>151.36111111111111</c:v>
                </c:pt>
                <c:pt idx="8">
                  <c:v>160.75833333333333</c:v>
                </c:pt>
                <c:pt idx="9">
                  <c:v>170.94999999999996</c:v>
                </c:pt>
                <c:pt idx="10">
                  <c:v>176.62</c:v>
                </c:pt>
              </c:numCache>
            </c:numRef>
          </c:val>
          <c:extLst>
            <c:ext xmlns:c16="http://schemas.microsoft.com/office/drawing/2014/chart" uri="{C3380CC4-5D6E-409C-BE32-E72D297353CC}">
              <c16:uniqueId val="{00000001-8B42-4CA0-AF60-57E870331D2F}"/>
            </c:ext>
          </c:extLst>
        </c:ser>
        <c:ser>
          <c:idx val="2"/>
          <c:order val="2"/>
          <c:tx>
            <c:strRef>
              <c:f>PivotTables!$A$41</c:f>
              <c:strCache>
                <c:ptCount val="1"/>
                <c:pt idx="0">
                  <c:v>Rural+Urban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3"/>
                </a:solidFill>
              </a:ln>
              <a:effectLst/>
            </c:spPr>
            <c:trendlineType val="linear"/>
            <c:dispRSqr val="0"/>
            <c:dispEq val="0"/>
          </c:trendline>
          <c:cat>
            <c:strRef>
              <c:f>PivotTables!$A$41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PivotTables!$A$41</c:f>
              <c:numCache>
                <c:formatCode>0.0</c:formatCode>
                <c:ptCount val="11"/>
                <c:pt idx="0">
                  <c:v>110.03333333333332</c:v>
                </c:pt>
                <c:pt idx="1">
                  <c:v>117.35000000000001</c:v>
                </c:pt>
                <c:pt idx="2">
                  <c:v>123.10833333333333</c:v>
                </c:pt>
                <c:pt idx="3">
                  <c:v>129.20000000000002</c:v>
                </c:pt>
                <c:pt idx="4">
                  <c:v>133.49999999999997</c:v>
                </c:pt>
                <c:pt idx="5">
                  <c:v>138.77500000000001</c:v>
                </c:pt>
                <c:pt idx="6">
                  <c:v>144.18181818181819</c:v>
                </c:pt>
                <c:pt idx="7">
                  <c:v>152.63148148148147</c:v>
                </c:pt>
                <c:pt idx="8">
                  <c:v>161.45833333333331</c:v>
                </c:pt>
                <c:pt idx="9">
                  <c:v>172.15</c:v>
                </c:pt>
                <c:pt idx="10">
                  <c:v>177.62</c:v>
                </c:pt>
              </c:numCache>
            </c:numRef>
          </c:val>
          <c:extLst>
            <c:ext xmlns:c16="http://schemas.microsoft.com/office/drawing/2014/chart" uri="{C3380CC4-5D6E-409C-BE32-E72D297353CC}">
              <c16:uniqueId val="{00000002-8B42-4CA0-AF60-57E870331D2F}"/>
            </c:ext>
          </c:extLst>
        </c:ser>
        <c:dLbls>
          <c:showLegendKey val="0"/>
          <c:showVal val="0"/>
          <c:showCatName val="0"/>
          <c:showSerName val="0"/>
          <c:showPercent val="0"/>
          <c:showBubbleSize val="0"/>
        </c:dLbls>
        <c:gapWidth val="100"/>
        <c:overlap val="-24"/>
        <c:axId val="2046747344"/>
        <c:axId val="2046759824"/>
      </c:barChart>
      <c:catAx>
        <c:axId val="204674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759824"/>
        <c:crosses val="autoZero"/>
        <c:auto val="1"/>
        <c:lblAlgn val="ctr"/>
        <c:lblOffset val="100"/>
        <c:noMultiLvlLbl val="0"/>
      </c:catAx>
      <c:valAx>
        <c:axId val="20467598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74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Analysis!$D$54</c:f>
          <c:strCache>
            <c:ptCount val="1"/>
            <c:pt idx="0">
              <c:v>M-o-M Analysis: Category-wise[Period: 2021-23]</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Analysis!$D$56</c:f>
              <c:strCache>
                <c:ptCount val="1"/>
                <c:pt idx="0">
                  <c:v>Energy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Analysis!$E$56:$AG$56</c:f>
              <c:numCache>
                <c:formatCode>0.00%</c:formatCode>
                <c:ptCount val="29"/>
                <c:pt idx="0">
                  <c:v>2.2821576763485556E-2</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val>
          <c:smooth val="0"/>
          <c:extLst>
            <c:ext xmlns:c16="http://schemas.microsoft.com/office/drawing/2014/chart" uri="{C3380CC4-5D6E-409C-BE32-E72D297353CC}">
              <c16:uniqueId val="{00000000-02A4-4CD8-A1CF-30ED9DD8A91C}"/>
            </c:ext>
          </c:extLst>
        </c:ser>
        <c:ser>
          <c:idx val="1"/>
          <c:order val="1"/>
          <c:tx>
            <c:strRef>
              <c:f>Analysis!$D$57</c:f>
              <c:strCache>
                <c:ptCount val="1"/>
                <c:pt idx="0">
                  <c:v>Apparel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Analysis!$E$57:$AG$57</c:f>
              <c:numCache>
                <c:formatCode>0.00%</c:formatCode>
                <c:ptCount val="29"/>
                <c:pt idx="0">
                  <c:v>3.9647577092508761E-3</c:v>
                </c:pt>
                <c:pt idx="1">
                  <c:v>1.0092145677929092E-2</c:v>
                </c:pt>
                <c:pt idx="2">
                  <c:v>3.6924413553431549E-3</c:v>
                </c:pt>
                <c:pt idx="3">
                  <c:v>5.4100843973166595E-3</c:v>
                </c:pt>
                <c:pt idx="4">
                  <c:v>2.0878174773999052E-2</c:v>
                </c:pt>
                <c:pt idx="5">
                  <c:v>8.4334809192489408E-4</c:v>
                </c:pt>
                <c:pt idx="6">
                  <c:v>5.4771434590268021E-3</c:v>
                </c:pt>
                <c:pt idx="7">
                  <c:v>1.1942174732872443E-2</c:v>
                </c:pt>
                <c:pt idx="8">
                  <c:v>4.1407867494839314E-4</c:v>
                </c:pt>
                <c:pt idx="9">
                  <c:v>6.4155629139070955E-3</c:v>
                </c:pt>
                <c:pt idx="10">
                  <c:v>8.4310096648160041E-3</c:v>
                </c:pt>
                <c:pt idx="11">
                  <c:v>7.7487765089721749E-3</c:v>
                </c:pt>
                <c:pt idx="12">
                  <c:v>9.9150141643060772E-3</c:v>
                </c:pt>
                <c:pt idx="13">
                  <c:v>7.4133440192345424E-3</c:v>
                </c:pt>
                <c:pt idx="14">
                  <c:v>9.944311853619674E-3</c:v>
                </c:pt>
                <c:pt idx="15">
                  <c:v>1.0634107916502796E-2</c:v>
                </c:pt>
                <c:pt idx="16">
                  <c:v>1.0522213561964045E-2</c:v>
                </c:pt>
                <c:pt idx="17">
                  <c:v>8.4843810258388077E-3</c:v>
                </c:pt>
                <c:pt idx="18">
                  <c:v>7.4569789674952848E-3</c:v>
                </c:pt>
                <c:pt idx="19">
                  <c:v>7.2119946858985656E-3</c:v>
                </c:pt>
                <c:pt idx="20">
                  <c:v>8.2909364989636435E-3</c:v>
                </c:pt>
                <c:pt idx="21">
                  <c:v>5.793309661745457E-3</c:v>
                </c:pt>
                <c:pt idx="22">
                  <c:v>5.9457450761798373E-3</c:v>
                </c:pt>
                <c:pt idx="23">
                  <c:v>4.802364240857079E-3</c:v>
                </c:pt>
                <c:pt idx="24">
                  <c:v>4.2279411764705047E-3</c:v>
                </c:pt>
                <c:pt idx="25">
                  <c:v>6.7728354384038909E-3</c:v>
                </c:pt>
                <c:pt idx="26">
                  <c:v>-1.8181818181832649E-4</c:v>
                </c:pt>
                <c:pt idx="27">
                  <c:v>3.4551736679395845E-3</c:v>
                </c:pt>
                <c:pt idx="28">
                  <c:v>2.5371511417181789E-3</c:v>
                </c:pt>
              </c:numCache>
            </c:numRef>
          </c:val>
          <c:smooth val="0"/>
          <c:extLst>
            <c:ext xmlns:c16="http://schemas.microsoft.com/office/drawing/2014/chart" uri="{C3380CC4-5D6E-409C-BE32-E72D297353CC}">
              <c16:uniqueId val="{00000001-02A4-4CD8-A1CF-30ED9DD8A91C}"/>
            </c:ext>
          </c:extLst>
        </c:ser>
        <c:ser>
          <c:idx val="2"/>
          <c:order val="2"/>
          <c:tx>
            <c:strRef>
              <c:f>Analysis!$D$58</c:f>
              <c:strCache>
                <c:ptCount val="1"/>
                <c:pt idx="0">
                  <c:v>Education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Analysis!$E$58:$AG$58</c:f>
              <c:numCache>
                <c:formatCode>0.00%</c:formatCode>
                <c:ptCount val="29"/>
                <c:pt idx="0">
                  <c:v>-1.2547051442911986E-3</c:v>
                </c:pt>
                <c:pt idx="1">
                  <c:v>1.8844221105528353E-3</c:v>
                </c:pt>
                <c:pt idx="2">
                  <c:v>4.3887147335422488E-3</c:v>
                </c:pt>
                <c:pt idx="3">
                  <c:v>6.2421972534346278E-4</c:v>
                </c:pt>
                <c:pt idx="4">
                  <c:v>5.6144728633810183E-3</c:v>
                </c:pt>
                <c:pt idx="5">
                  <c:v>3.1017369727047149E-3</c:v>
                </c:pt>
                <c:pt idx="6">
                  <c:v>9.2764378478664197E-3</c:v>
                </c:pt>
                <c:pt idx="7">
                  <c:v>3.6764705882354337E-3</c:v>
                </c:pt>
                <c:pt idx="8">
                  <c:v>-6.1050061050074928E-4</c:v>
                </c:pt>
                <c:pt idx="9">
                  <c:v>1.2217470983507458E-3</c:v>
                </c:pt>
                <c:pt idx="10">
                  <c:v>2.4405125076266362E-3</c:v>
                </c:pt>
                <c:pt idx="11">
                  <c:v>6.0864272671938102E-4</c:v>
                </c:pt>
                <c:pt idx="12">
                  <c:v>1.8248175182480715E-3</c:v>
                </c:pt>
                <c:pt idx="13">
                  <c:v>4.2501517911355015E-3</c:v>
                </c:pt>
                <c:pt idx="14">
                  <c:v>3.6275695284159267E-3</c:v>
                </c:pt>
                <c:pt idx="15">
                  <c:v>5.4216867469879864E-3</c:v>
                </c:pt>
                <c:pt idx="16">
                  <c:v>5.9916117435590173E-3</c:v>
                </c:pt>
                <c:pt idx="17">
                  <c:v>6.5515187611673272E-3</c:v>
                </c:pt>
                <c:pt idx="18">
                  <c:v>1.4201183431952697E-2</c:v>
                </c:pt>
                <c:pt idx="19">
                  <c:v>5.2508751458576761E-3</c:v>
                </c:pt>
                <c:pt idx="20">
                  <c:v>4.6430644225187636E-3</c:v>
                </c:pt>
                <c:pt idx="21">
                  <c:v>1.7331022530329948E-3</c:v>
                </c:pt>
                <c:pt idx="22">
                  <c:v>1.7301038062282753E-3</c:v>
                </c:pt>
                <c:pt idx="23">
                  <c:v>2.3028209556707293E-3</c:v>
                </c:pt>
                <c:pt idx="24">
                  <c:v>1.1487650775417408E-3</c:v>
                </c:pt>
                <c:pt idx="25">
                  <c:v>4.016064257028047E-3</c:v>
                </c:pt>
                <c:pt idx="26">
                  <c:v>0</c:v>
                </c:pt>
                <c:pt idx="27">
                  <c:v>8.0000000000000331E-3</c:v>
                </c:pt>
                <c:pt idx="28">
                  <c:v>3.9682539682539038E-3</c:v>
                </c:pt>
              </c:numCache>
            </c:numRef>
          </c:val>
          <c:smooth val="0"/>
          <c:extLst>
            <c:ext xmlns:c16="http://schemas.microsoft.com/office/drawing/2014/chart" uri="{C3380CC4-5D6E-409C-BE32-E72D297353CC}">
              <c16:uniqueId val="{00000002-02A4-4CD8-A1CF-30ED9DD8A91C}"/>
            </c:ext>
          </c:extLst>
        </c:ser>
        <c:ser>
          <c:idx val="3"/>
          <c:order val="3"/>
          <c:tx>
            <c:strRef>
              <c:f>Analysis!$D$59</c:f>
              <c:strCache>
                <c:ptCount val="1"/>
                <c:pt idx="0">
                  <c:v>Food &amp; Beverages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Analysis!$E$59:$AG$59</c:f>
              <c:numCache>
                <c:formatCode>0.00%</c:formatCode>
                <c:ptCount val="29"/>
                <c:pt idx="0">
                  <c:v>-1.5456829927457396E-2</c:v>
                </c:pt>
                <c:pt idx="1">
                  <c:v>-1.7914760414158067E-2</c:v>
                </c:pt>
                <c:pt idx="2">
                  <c:v>4.9036434070344355E-5</c:v>
                </c:pt>
                <c:pt idx="3">
                  <c:v>1.2111405315288846E-2</c:v>
                </c:pt>
                <c:pt idx="4">
                  <c:v>2.0154062303182913E-2</c:v>
                </c:pt>
                <c:pt idx="5">
                  <c:v>1.3392221114118707E-2</c:v>
                </c:pt>
                <c:pt idx="6">
                  <c:v>6.1389943296313761E-3</c:v>
                </c:pt>
                <c:pt idx="7">
                  <c:v>-2.328830926874722E-3</c:v>
                </c:pt>
                <c:pt idx="8">
                  <c:v>0</c:v>
                </c:pt>
                <c:pt idx="9">
                  <c:v>1.5639589169000868E-2</c:v>
                </c:pt>
                <c:pt idx="10">
                  <c:v>8.5497586761664746E-3</c:v>
                </c:pt>
                <c:pt idx="11">
                  <c:v>-6.0161341780229005E-3</c:v>
                </c:pt>
                <c:pt idx="12">
                  <c:v>-7.657389151267872E-3</c:v>
                </c:pt>
                <c:pt idx="13">
                  <c:v>-1.3861935126143349E-3</c:v>
                </c:pt>
                <c:pt idx="14">
                  <c:v>1.064223579492894E-2</c:v>
                </c:pt>
                <c:pt idx="15">
                  <c:v>1.3780789305008447E-2</c:v>
                </c:pt>
                <c:pt idx="16">
                  <c:v>1.1109605744479091E-2</c:v>
                </c:pt>
                <c:pt idx="17">
                  <c:v>1.0272901871455088E-2</c:v>
                </c:pt>
                <c:pt idx="18">
                  <c:v>1.9452672531940056E-3</c:v>
                </c:pt>
                <c:pt idx="19">
                  <c:v>1.2796187618585007E-3</c:v>
                </c:pt>
                <c:pt idx="20">
                  <c:v>5.1560021152829514E-3</c:v>
                </c:pt>
                <c:pt idx="21">
                  <c:v>7.1901442413081079E-3</c:v>
                </c:pt>
                <c:pt idx="22">
                  <c:v>-2.1764680276835599E-4</c:v>
                </c:pt>
                <c:pt idx="23">
                  <c:v>-5.8342041100663787E-3</c:v>
                </c:pt>
                <c:pt idx="24">
                  <c:v>4.0728737847072951E-3</c:v>
                </c:pt>
                <c:pt idx="25">
                  <c:v>-5.9318707201118787E-3</c:v>
                </c:pt>
                <c:pt idx="26">
                  <c:v>4.3876968978992914E-5</c:v>
                </c:pt>
                <c:pt idx="27">
                  <c:v>4.5630045630047902E-3</c:v>
                </c:pt>
                <c:pt idx="28">
                  <c:v>7.5559049615649583E-3</c:v>
                </c:pt>
              </c:numCache>
            </c:numRef>
          </c:val>
          <c:smooth val="0"/>
          <c:extLst>
            <c:ext xmlns:c16="http://schemas.microsoft.com/office/drawing/2014/chart" uri="{C3380CC4-5D6E-409C-BE32-E72D297353CC}">
              <c16:uniqueId val="{00000003-02A4-4CD8-A1CF-30ED9DD8A91C}"/>
            </c:ext>
          </c:extLst>
        </c:ser>
        <c:ser>
          <c:idx val="4"/>
          <c:order val="4"/>
          <c:tx>
            <c:strRef>
              <c:f>Analysis!$D$60</c:f>
              <c:strCache>
                <c:ptCount val="1"/>
                <c:pt idx="0">
                  <c:v>Health</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Analysis!$E$60:$AG$60</c:f>
              <c:numCache>
                <c:formatCode>0.00%</c:formatCode>
                <c:ptCount val="29"/>
                <c:pt idx="0">
                  <c:v>6.3171193935565376E-3</c:v>
                </c:pt>
                <c:pt idx="1">
                  <c:v>1.2554927809165096E-2</c:v>
                </c:pt>
                <c:pt idx="2">
                  <c:v>2.4798512089273233E-3</c:v>
                </c:pt>
                <c:pt idx="3">
                  <c:v>3.7105751391467087E-3</c:v>
                </c:pt>
                <c:pt idx="4">
                  <c:v>2.1565003080714726E-2</c:v>
                </c:pt>
                <c:pt idx="5">
                  <c:v>3.0156815440289505E-3</c:v>
                </c:pt>
                <c:pt idx="6">
                  <c:v>4.2092603728201361E-3</c:v>
                </c:pt>
                <c:pt idx="7">
                  <c:v>8.3832335329341659E-3</c:v>
                </c:pt>
                <c:pt idx="8">
                  <c:v>0</c:v>
                </c:pt>
                <c:pt idx="9">
                  <c:v>4.1567695961994573E-3</c:v>
                </c:pt>
                <c:pt idx="10">
                  <c:v>4.730928444707341E-3</c:v>
                </c:pt>
                <c:pt idx="11">
                  <c:v>4.1200706297821578E-3</c:v>
                </c:pt>
                <c:pt idx="12">
                  <c:v>4.6893317702228097E-3</c:v>
                </c:pt>
                <c:pt idx="13">
                  <c:v>4.6674445740955833E-3</c:v>
                </c:pt>
                <c:pt idx="14">
                  <c:v>4.6457607433217848E-3</c:v>
                </c:pt>
                <c:pt idx="15">
                  <c:v>5.7803468208092483E-3</c:v>
                </c:pt>
                <c:pt idx="16">
                  <c:v>4.5977011494253523E-3</c:v>
                </c:pt>
                <c:pt idx="17">
                  <c:v>3.4324942791761686E-3</c:v>
                </c:pt>
                <c:pt idx="18">
                  <c:v>3.9908779931584299E-3</c:v>
                </c:pt>
                <c:pt idx="19">
                  <c:v>3.9750141964793699E-3</c:v>
                </c:pt>
                <c:pt idx="20">
                  <c:v>5.6561085972850677E-3</c:v>
                </c:pt>
                <c:pt idx="21">
                  <c:v>5.0618672665915477E-3</c:v>
                </c:pt>
                <c:pt idx="22">
                  <c:v>6.1555679910465745E-3</c:v>
                </c:pt>
                <c:pt idx="23">
                  <c:v>7.2302558398219295E-3</c:v>
                </c:pt>
                <c:pt idx="24">
                  <c:v>6.6261733848703317E-3</c:v>
                </c:pt>
                <c:pt idx="25">
                  <c:v>1.1519473395501889E-2</c:v>
                </c:pt>
                <c:pt idx="26">
                  <c:v>0</c:v>
                </c:pt>
                <c:pt idx="27">
                  <c:v>3.2537960954446546E-3</c:v>
                </c:pt>
                <c:pt idx="28">
                  <c:v>3.7837837837837222E-3</c:v>
                </c:pt>
              </c:numCache>
            </c:numRef>
          </c:val>
          <c:smooth val="0"/>
          <c:extLst>
            <c:ext xmlns:c16="http://schemas.microsoft.com/office/drawing/2014/chart" uri="{C3380CC4-5D6E-409C-BE32-E72D297353CC}">
              <c16:uniqueId val="{00000004-02A4-4CD8-A1CF-30ED9DD8A91C}"/>
            </c:ext>
          </c:extLst>
        </c:ser>
        <c:ser>
          <c:idx val="5"/>
          <c:order val="5"/>
          <c:tx>
            <c:strRef>
              <c:f>Analysis!$D$61</c:f>
              <c:strCache>
                <c:ptCount val="1"/>
                <c:pt idx="0">
                  <c:v>Housing</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Analysis!$E$61:$AG$61</c:f>
              <c:numCache>
                <c:formatCode>0.00%</c:formatCode>
                <c:ptCount val="29"/>
                <c:pt idx="0">
                  <c:v>-1.2982797792925481E-3</c:v>
                </c:pt>
                <c:pt idx="1">
                  <c:v>9.7497562560937834E-3</c:v>
                </c:pt>
                <c:pt idx="2">
                  <c:v>1.2874155133568625E-3</c:v>
                </c:pt>
                <c:pt idx="3">
                  <c:v>6.7502410800386456E-3</c:v>
                </c:pt>
                <c:pt idx="4">
                  <c:v>9.8978288633458124E-3</c:v>
                </c:pt>
                <c:pt idx="5">
                  <c:v>-3.1615554852985877E-3</c:v>
                </c:pt>
                <c:pt idx="6">
                  <c:v>6.3431652394544879E-3</c:v>
                </c:pt>
                <c:pt idx="7">
                  <c:v>7.248660573589698E-3</c:v>
                </c:pt>
                <c:pt idx="8">
                  <c:v>0</c:v>
                </c:pt>
                <c:pt idx="9">
                  <c:v>7.5093867334166996E-3</c:v>
                </c:pt>
                <c:pt idx="10">
                  <c:v>4.658385093167702E-3</c:v>
                </c:pt>
                <c:pt idx="11">
                  <c:v>3.0911901081923565E-4</c:v>
                </c:pt>
                <c:pt idx="12">
                  <c:v>6.180469715698393E-3</c:v>
                </c:pt>
                <c:pt idx="13">
                  <c:v>5.2211302211301863E-3</c:v>
                </c:pt>
                <c:pt idx="14">
                  <c:v>2.4442407577146695E-3</c:v>
                </c:pt>
                <c:pt idx="15">
                  <c:v>8.8387686680889265E-3</c:v>
                </c:pt>
                <c:pt idx="16">
                  <c:v>5.1359516616313857E-3</c:v>
                </c:pt>
                <c:pt idx="17">
                  <c:v>1.5028554253082563E-3</c:v>
                </c:pt>
                <c:pt idx="18">
                  <c:v>6.002400960384153E-3</c:v>
                </c:pt>
                <c:pt idx="19">
                  <c:v>6.8615751789974765E-3</c:v>
                </c:pt>
                <c:pt idx="20">
                  <c:v>4.4444444444444444E-3</c:v>
                </c:pt>
                <c:pt idx="21">
                  <c:v>7.669616519174108E-3</c:v>
                </c:pt>
                <c:pt idx="22">
                  <c:v>4.6838407494145858E-3</c:v>
                </c:pt>
                <c:pt idx="23">
                  <c:v>-1.1655011655014303E-3</c:v>
                </c:pt>
                <c:pt idx="24">
                  <c:v>6.4177362893816968E-3</c:v>
                </c:pt>
                <c:pt idx="25">
                  <c:v>7.8260869565217068E-3</c:v>
                </c:pt>
                <c:pt idx="26">
                  <c:v>0</c:v>
                </c:pt>
                <c:pt idx="27">
                  <c:v>6.0396893874028355E-3</c:v>
                </c:pt>
                <c:pt idx="28">
                  <c:v>2.8587764436821044E-3</c:v>
                </c:pt>
              </c:numCache>
            </c:numRef>
          </c:val>
          <c:smooth val="0"/>
          <c:extLst>
            <c:ext xmlns:c16="http://schemas.microsoft.com/office/drawing/2014/chart" uri="{C3380CC4-5D6E-409C-BE32-E72D297353CC}">
              <c16:uniqueId val="{00000005-02A4-4CD8-A1CF-30ED9DD8A91C}"/>
            </c:ext>
          </c:extLst>
        </c:ser>
        <c:ser>
          <c:idx val="6"/>
          <c:order val="6"/>
          <c:tx>
            <c:strRef>
              <c:f>Analysis!$D$62</c:f>
              <c:strCache>
                <c:ptCount val="1"/>
                <c:pt idx="0">
                  <c:v>Other goods &amp; services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Analysis!$E$62:$AG$62</c:f>
              <c:numCache>
                <c:formatCode>0.00%</c:formatCode>
                <c:ptCount val="29"/>
                <c:pt idx="0">
                  <c:v>3.0382823577072824E-3</c:v>
                </c:pt>
                <c:pt idx="1">
                  <c:v>4.6445880452341565E-3</c:v>
                </c:pt>
                <c:pt idx="2">
                  <c:v>-3.6180904522614436E-3</c:v>
                </c:pt>
                <c:pt idx="3">
                  <c:v>5.8503126891266714E-3</c:v>
                </c:pt>
                <c:pt idx="4">
                  <c:v>1.7448856799037165E-2</c:v>
                </c:pt>
                <c:pt idx="5">
                  <c:v>-1.9712201852929048E-4</c:v>
                </c:pt>
                <c:pt idx="6">
                  <c:v>6.1119873817032898E-3</c:v>
                </c:pt>
                <c:pt idx="7">
                  <c:v>3.5273368606703278E-3</c:v>
                </c:pt>
                <c:pt idx="8">
                  <c:v>0</c:v>
                </c:pt>
                <c:pt idx="9">
                  <c:v>4.6865846514351659E-3</c:v>
                </c:pt>
                <c:pt idx="10">
                  <c:v>3.8872691933915871E-3</c:v>
                </c:pt>
                <c:pt idx="11">
                  <c:v>9.6805421103592808E-4</c:v>
                </c:pt>
                <c:pt idx="12">
                  <c:v>1.7408123791101523E-3</c:v>
                </c:pt>
                <c:pt idx="13">
                  <c:v>5.4064491214522049E-3</c:v>
                </c:pt>
                <c:pt idx="14">
                  <c:v>9.2183599001342369E-3</c:v>
                </c:pt>
                <c:pt idx="15">
                  <c:v>7.6117982873454395E-3</c:v>
                </c:pt>
                <c:pt idx="16">
                  <c:v>9.4428706326717962E-4</c:v>
                </c:pt>
                <c:pt idx="17">
                  <c:v>2.2641509433964195E-3</c:v>
                </c:pt>
                <c:pt idx="18">
                  <c:v>2.8237951807225702E-3</c:v>
                </c:pt>
                <c:pt idx="19">
                  <c:v>4.8807959451849505E-3</c:v>
                </c:pt>
                <c:pt idx="20">
                  <c:v>2.2417336073231879E-3</c:v>
                </c:pt>
                <c:pt idx="21">
                  <c:v>4.4734389561974812E-3</c:v>
                </c:pt>
                <c:pt idx="22">
                  <c:v>5.0102059751345653E-3</c:v>
                </c:pt>
                <c:pt idx="23">
                  <c:v>6.4623338257017299E-3</c:v>
                </c:pt>
                <c:pt idx="24">
                  <c:v>8.2553659878918158E-3</c:v>
                </c:pt>
                <c:pt idx="25">
                  <c:v>9.0975254730715858E-3</c:v>
                </c:pt>
                <c:pt idx="26">
                  <c:v>0</c:v>
                </c:pt>
                <c:pt idx="27">
                  <c:v>9.0155066714748856E-3</c:v>
                </c:pt>
                <c:pt idx="28">
                  <c:v>4.1100786275910552E-3</c:v>
                </c:pt>
              </c:numCache>
            </c:numRef>
          </c:val>
          <c:smooth val="0"/>
          <c:extLst>
            <c:ext xmlns:c16="http://schemas.microsoft.com/office/drawing/2014/chart" uri="{C3380CC4-5D6E-409C-BE32-E72D297353CC}">
              <c16:uniqueId val="{00000006-02A4-4CD8-A1CF-30ED9DD8A91C}"/>
            </c:ext>
          </c:extLst>
        </c:ser>
        <c:ser>
          <c:idx val="7"/>
          <c:order val="7"/>
          <c:tx>
            <c:strRef>
              <c:f>Analysis!$D$63</c:f>
              <c:strCache>
                <c:ptCount val="1"/>
                <c:pt idx="0">
                  <c:v>Recreation</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Analysis!$E$63:$AG$63</c:f>
              <c:numCache>
                <c:formatCode>0.00%</c:formatCode>
                <c:ptCount val="29"/>
                <c:pt idx="0">
                  <c:v>7.4074074074073695E-3</c:v>
                </c:pt>
                <c:pt idx="1">
                  <c:v>1.2700534759358327E-2</c:v>
                </c:pt>
                <c:pt idx="2">
                  <c:v>7.2607260726072235E-3</c:v>
                </c:pt>
                <c:pt idx="3">
                  <c:v>3.9318479685451794E-3</c:v>
                </c:pt>
                <c:pt idx="4">
                  <c:v>1.6971279373368297E-2</c:v>
                </c:pt>
                <c:pt idx="5">
                  <c:v>-5.7766367137355949E-3</c:v>
                </c:pt>
                <c:pt idx="6">
                  <c:v>2.5823111684958404E-3</c:v>
                </c:pt>
                <c:pt idx="7">
                  <c:v>1.4810045074050114E-2</c:v>
                </c:pt>
                <c:pt idx="8">
                  <c:v>6.3451776649742588E-4</c:v>
                </c:pt>
                <c:pt idx="9">
                  <c:v>5.7070386810399859E-3</c:v>
                </c:pt>
                <c:pt idx="10">
                  <c:v>7.5662042875158705E-3</c:v>
                </c:pt>
                <c:pt idx="11">
                  <c:v>5.0062578222777399E-3</c:v>
                </c:pt>
                <c:pt idx="12">
                  <c:v>3.735990037359865E-3</c:v>
                </c:pt>
                <c:pt idx="13">
                  <c:v>5.5831265508685217E-3</c:v>
                </c:pt>
                <c:pt idx="14">
                  <c:v>7.4028377544726534E-3</c:v>
                </c:pt>
                <c:pt idx="15">
                  <c:v>6.7360685854255618E-3</c:v>
                </c:pt>
                <c:pt idx="16">
                  <c:v>4.257907542579006E-3</c:v>
                </c:pt>
                <c:pt idx="17">
                  <c:v>4.2398546335555244E-3</c:v>
                </c:pt>
                <c:pt idx="18">
                  <c:v>3.0156815440289505E-3</c:v>
                </c:pt>
                <c:pt idx="19">
                  <c:v>3.6079374624172836E-3</c:v>
                </c:pt>
                <c:pt idx="20">
                  <c:v>4.1941282204912443E-3</c:v>
                </c:pt>
                <c:pt idx="21">
                  <c:v>3.579952267303069E-3</c:v>
                </c:pt>
                <c:pt idx="22">
                  <c:v>1.7835909631391878E-3</c:v>
                </c:pt>
                <c:pt idx="23">
                  <c:v>2.3738872403561168E-3</c:v>
                </c:pt>
                <c:pt idx="24">
                  <c:v>3.5523978685612452E-3</c:v>
                </c:pt>
                <c:pt idx="25">
                  <c:v>4.7197640117994768E-3</c:v>
                </c:pt>
                <c:pt idx="26">
                  <c:v>0</c:v>
                </c:pt>
                <c:pt idx="27">
                  <c:v>2.3487962419258793E-3</c:v>
                </c:pt>
                <c:pt idx="28">
                  <c:v>2.9291154071470417E-3</c:v>
                </c:pt>
              </c:numCache>
            </c:numRef>
          </c:val>
          <c:smooth val="0"/>
          <c:extLst>
            <c:ext xmlns:c16="http://schemas.microsoft.com/office/drawing/2014/chart" uri="{C3380CC4-5D6E-409C-BE32-E72D297353CC}">
              <c16:uniqueId val="{00000007-02A4-4CD8-A1CF-30ED9DD8A91C}"/>
            </c:ext>
          </c:extLst>
        </c:ser>
        <c:ser>
          <c:idx val="8"/>
          <c:order val="8"/>
          <c:tx>
            <c:strRef>
              <c:f>Analysis!$D$64</c:f>
              <c:strCache>
                <c:ptCount val="1"/>
                <c:pt idx="0">
                  <c:v>Transport</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Analysis!$E$64:$AG$64</c:f>
              <c:numCache>
                <c:formatCode>0.00%</c:formatCode>
                <c:ptCount val="29"/>
                <c:pt idx="0">
                  <c:v>8.5287846481877545E-3</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val>
          <c:smooth val="0"/>
          <c:extLst>
            <c:ext xmlns:c16="http://schemas.microsoft.com/office/drawing/2014/chart" uri="{C3380CC4-5D6E-409C-BE32-E72D297353CC}">
              <c16:uniqueId val="{00000008-02A4-4CD8-A1CF-30ED9DD8A91C}"/>
            </c:ext>
          </c:extLst>
        </c:ser>
        <c:ser>
          <c:idx val="9"/>
          <c:order val="9"/>
          <c:tx>
            <c:strRef>
              <c:f>Analysis!$D$65</c:f>
              <c:strCache>
                <c:ptCount val="1"/>
                <c:pt idx="0">
                  <c:v>General Index</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Ref>
              <c:f>Analysis!$E$55:$AG$55</c:f>
              <c:strCache>
                <c:ptCount val="29"/>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pt idx="28">
                  <c:v>May-23</c:v>
                </c:pt>
              </c:strCache>
            </c:strRef>
          </c:cat>
          <c:val>
            <c:numRef>
              <c:f>Analysis!$E$65:$AG$65</c:f>
              <c:numCache>
                <c:formatCode>0.00%</c:formatCode>
                <c:ptCount val="29"/>
                <c:pt idx="0">
                  <c:v>-1.006922592825673E-2</c:v>
                </c:pt>
                <c:pt idx="1">
                  <c:v>-4.4500953591863762E-3</c:v>
                </c:pt>
                <c:pt idx="2">
                  <c:v>1.2771392081737999E-3</c:v>
                </c:pt>
                <c:pt idx="3">
                  <c:v>6.3775510204081625E-3</c:v>
                </c:pt>
                <c:pt idx="4">
                  <c:v>1.6476552598225565E-2</c:v>
                </c:pt>
                <c:pt idx="5">
                  <c:v>5.6109725685785893E-3</c:v>
                </c:pt>
                <c:pt idx="6">
                  <c:v>7.439553626782322E-3</c:v>
                </c:pt>
                <c:pt idx="7">
                  <c:v>4.3076923076922381E-3</c:v>
                </c:pt>
                <c:pt idx="8">
                  <c:v>0</c:v>
                </c:pt>
                <c:pt idx="9">
                  <c:v>1.4093137254902032E-2</c:v>
                </c:pt>
                <c:pt idx="10">
                  <c:v>7.2507552870089949E-3</c:v>
                </c:pt>
                <c:pt idx="11">
                  <c:v>-2.999400119976005E-3</c:v>
                </c:pt>
                <c:pt idx="12">
                  <c:v>-3.0084235860409147E-3</c:v>
                </c:pt>
                <c:pt idx="13">
                  <c:v>2.4140012070006378E-3</c:v>
                </c:pt>
                <c:pt idx="14">
                  <c:v>9.6327513546056245E-3</c:v>
                </c:pt>
                <c:pt idx="15">
                  <c:v>1.4311270125223648E-2</c:v>
                </c:pt>
                <c:pt idx="16">
                  <c:v>9.4062316284538178E-3</c:v>
                </c:pt>
                <c:pt idx="17">
                  <c:v>5.2417006406523343E-3</c:v>
                </c:pt>
                <c:pt idx="18">
                  <c:v>4.634994206257308E-3</c:v>
                </c:pt>
                <c:pt idx="19">
                  <c:v>5.1903114186851538E-3</c:v>
                </c:pt>
                <c:pt idx="20">
                  <c:v>5.737234652897303E-3</c:v>
                </c:pt>
                <c:pt idx="21">
                  <c:v>7.9863091842554308E-3</c:v>
                </c:pt>
                <c:pt idx="22">
                  <c:v>-1.1318619128465684E-3</c:v>
                </c:pt>
                <c:pt idx="23">
                  <c:v>-4.5325779036827843E-3</c:v>
                </c:pt>
                <c:pt idx="24">
                  <c:v>4.5532157085942599E-3</c:v>
                </c:pt>
                <c:pt idx="25">
                  <c:v>3.9660056657223148E-3</c:v>
                </c:pt>
                <c:pt idx="26">
                  <c:v>0</c:v>
                </c:pt>
                <c:pt idx="27">
                  <c:v>5.0790067720090613E-3</c:v>
                </c:pt>
                <c:pt idx="28">
                  <c:v>5.614823133071308E-3</c:v>
                </c:pt>
              </c:numCache>
            </c:numRef>
          </c:val>
          <c:smooth val="0"/>
          <c:extLst>
            <c:ext xmlns:c16="http://schemas.microsoft.com/office/drawing/2014/chart" uri="{C3380CC4-5D6E-409C-BE32-E72D297353CC}">
              <c16:uniqueId val="{00000009-02A4-4CD8-A1CF-30ED9DD8A91C}"/>
            </c:ext>
          </c:extLst>
        </c:ser>
        <c:dLbls>
          <c:showLegendKey val="0"/>
          <c:showVal val="0"/>
          <c:showCatName val="0"/>
          <c:showSerName val="0"/>
          <c:showPercent val="0"/>
          <c:showBubbleSize val="0"/>
        </c:dLbls>
        <c:smooth val="0"/>
        <c:axId val="529555952"/>
        <c:axId val="529561776"/>
      </c:lineChart>
      <c:catAx>
        <c:axId val="529555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9561776"/>
        <c:crosses val="autoZero"/>
        <c:auto val="1"/>
        <c:lblAlgn val="ctr"/>
        <c:lblOffset val="100"/>
        <c:noMultiLvlLbl val="0"/>
      </c:catAx>
      <c:valAx>
        <c:axId val="529561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955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size">
        <cx:f dir="row">_xlchart.v1.10</cx:f>
      </cx:numDim>
    </cx:data>
    <cx:data id="1">
      <cx:strDim type="cat">
        <cx:f dir="row">_xlchart.v1.9</cx:f>
      </cx:strDim>
      <cx:numDim type="size">
        <cx:f dir="row">_xlchart.v1.11</cx:f>
      </cx:numDim>
    </cx:data>
    <cx:data id="2">
      <cx:strDim type="cat">
        <cx:f dir="row">_xlchart.v1.9</cx:f>
      </cx:strDim>
      <cx:numDim type="size">
        <cx:f dir="row">_xlchart.v1.12</cx:f>
      </cx:numDim>
    </cx:data>
    <cx:data id="3">
      <cx:strDim type="cat">
        <cx:f dir="row">_xlchart.v1.9</cx:f>
      </cx:strDim>
      <cx:numDim type="size">
        <cx:f dir="row">_xlchart.v1.13</cx:f>
      </cx:numDim>
    </cx:data>
    <cx:data id="4">
      <cx:strDim type="cat">
        <cx:f dir="row">_xlchart.v1.9</cx:f>
      </cx:strDim>
      <cx:numDim type="size">
        <cx:f dir="row">_xlchart.v1.14</cx:f>
      </cx:numDim>
    </cx:data>
    <cx:data id="5">
      <cx:strDim type="cat">
        <cx:f dir="row">_xlchart.v1.9</cx:f>
      </cx:strDim>
      <cx:numDim type="size">
        <cx:f dir="row">_xlchart.v1.15</cx:f>
      </cx:numDim>
    </cx:data>
    <cx:data id="6">
      <cx:strDim type="cat">
        <cx:f dir="row">_xlchart.v1.9</cx:f>
      </cx:strDim>
      <cx:numDim type="size">
        <cx:f dir="row">_xlchart.v1.16</cx:f>
      </cx:numDim>
    </cx:data>
    <cx:data id="7">
      <cx:strDim type="cat">
        <cx:f dir="row">_xlchart.v1.9</cx:f>
      </cx:strDim>
      <cx:numDim type="size">
        <cx:f dir="row">_xlchart.v1.17</cx:f>
      </cx:numDim>
    </cx:data>
    <cx:data id="8">
      <cx:strDim type="cat">
        <cx:f dir="row">_xlchart.v1.9</cx:f>
      </cx:strDim>
      <cx:numDim type="size">
        <cx:f dir="row">_xlchart.v1.18</cx:f>
      </cx:numDim>
    </cx:data>
  </cx:chartData>
  <cx:chart>
    <cx:title pos="t" align="ctr" overlay="0">
      <cx:tx>
        <cx:rich>
          <a:bodyPr spcFirstLastPara="1" vertOverflow="ellipsis" horzOverflow="overflow" wrap="square" lIns="0" tIns="0" rIns="0" bIns="0" anchor="ctr" anchorCtr="1"/>
          <a:lstStyle/>
          <a:p>
            <a:pPr algn="ctr" rtl="0">
              <a:defRPr>
                <a:solidFill>
                  <a:schemeClr val="bg1">
                    <a:lumMod val="95000"/>
                  </a:schemeClr>
                </a:solidFill>
              </a:defRPr>
            </a:pPr>
            <a:r>
              <a:rPr lang="en-US" sz="1600" b="1" i="0" u="none" strike="noStrike" baseline="0">
                <a:solidFill>
                  <a:schemeClr val="bg1">
                    <a:lumMod val="95000"/>
                  </a:schemeClr>
                </a:solidFill>
                <a:latin typeface="Calibri" panose="020F0502020204030204"/>
              </a:rPr>
              <a:t>Impact of Covid-19 (M-o-M Analysis</a:t>
            </a:r>
            <a:r>
              <a:rPr lang="en-US" sz="1600" b="0" i="0" u="none" strike="noStrike" baseline="0">
                <a:solidFill>
                  <a:schemeClr val="bg1">
                    <a:lumMod val="95000"/>
                  </a:schemeClr>
                </a:solidFill>
                <a:latin typeface="Calibri" panose="020F0502020204030204"/>
              </a:rPr>
              <a:t>)</a:t>
            </a:r>
          </a:p>
        </cx:rich>
      </cx:tx>
    </cx:title>
    <cx:plotArea>
      <cx:plotAreaRegion>
        <cx:series layoutId="sunburst" uniqueId="{5E6D7B1D-4678-4E91-AA60-08CE1910C2F0}" formatIdx="0">
          <cx:tx>
            <cx:txData>
              <cx:f>_xlchart.v1.0</cx:f>
              <cx:v>Apparel</cx:v>
            </cx:txData>
          </cx:tx>
          <cx:spPr>
            <a:ln>
              <a:noFill/>
            </a:ln>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0"/>
            <cx:separator>, </cx:separator>
          </cx:dataLabels>
          <cx:dataId val="0"/>
        </cx:series>
        <cx:series layoutId="sunburst" hidden="1" uniqueId="{3F172644-7B22-4F9D-906A-3F7178844D2A}" formatIdx="1">
          <cx:tx>
            <cx:txData>
              <cx:f>_xlchart.v1.1</cx:f>
              <cx:v>Education</cx:v>
            </cx:txData>
          </cx:tx>
          <cx:dataLabels>
            <cx:visibility seriesName="0" categoryName="1" value="0"/>
          </cx:dataLabels>
          <cx:dataId val="1"/>
        </cx:series>
        <cx:series layoutId="sunburst" hidden="1" uniqueId="{8E7EFBBD-55B8-459D-AF4E-CC0E9E024353}" formatIdx="2">
          <cx:tx>
            <cx:txData>
              <cx:f>_xlchart.v1.2</cx:f>
              <cx:v>Energy</cx:v>
            </cx:txData>
          </cx:tx>
          <cx:dataLabels>
            <cx:visibility seriesName="0" categoryName="1" value="0"/>
          </cx:dataLabels>
          <cx:dataId val="2"/>
        </cx:series>
        <cx:series layoutId="sunburst" hidden="1" uniqueId="{B52C396C-DC31-4692-8F4B-43B34DE54067}" formatIdx="3">
          <cx:tx>
            <cx:txData>
              <cx:f>_xlchart.v1.3</cx:f>
              <cx:v>Food &amp; Beverages</cx:v>
            </cx:txData>
          </cx:tx>
          <cx:dataLabels>
            <cx:visibility seriesName="0" categoryName="1" value="0"/>
          </cx:dataLabels>
          <cx:dataId val="3"/>
        </cx:series>
        <cx:series layoutId="sunburst" hidden="1" uniqueId="{C8B14E38-D7F4-4F8A-AEDE-770068ACAFB6}" formatIdx="4">
          <cx:tx>
            <cx:txData>
              <cx:f>_xlchart.v1.4</cx:f>
              <cx:v>Health</cx:v>
            </cx:txData>
          </cx:tx>
          <cx:dataLabels>
            <cx:visibility seriesName="0" categoryName="1" value="0"/>
          </cx:dataLabels>
          <cx:dataId val="4"/>
        </cx:series>
        <cx:series layoutId="sunburst" hidden="1" uniqueId="{E01EA1F0-53FA-47DA-997D-C0C7E40E7E0A}" formatIdx="5">
          <cx:tx>
            <cx:txData>
              <cx:f>_xlchart.v1.5</cx:f>
              <cx:v>Housing</cx:v>
            </cx:txData>
          </cx:tx>
          <cx:dataLabels>
            <cx:visibility seriesName="0" categoryName="1" value="0"/>
          </cx:dataLabels>
          <cx:dataId val="5"/>
        </cx:series>
        <cx:series layoutId="sunburst" hidden="1" uniqueId="{DC5966FB-8980-4BA9-A40B-2A381B3A427B}" formatIdx="6">
          <cx:tx>
            <cx:txData>
              <cx:f>_xlchart.v1.6</cx:f>
              <cx:v>Other goods &amp; services</cx:v>
            </cx:txData>
          </cx:tx>
          <cx:dataLabels>
            <cx:visibility seriesName="0" categoryName="1" value="0"/>
          </cx:dataLabels>
          <cx:dataId val="6"/>
        </cx:series>
        <cx:series layoutId="sunburst" hidden="1" uniqueId="{F703C5AB-7471-449A-95EC-06BDABFB1E32}" formatIdx="7">
          <cx:tx>
            <cx:txData>
              <cx:f>_xlchart.v1.7</cx:f>
              <cx:v>Recreation</cx:v>
            </cx:txData>
          </cx:tx>
          <cx:dataLabels>
            <cx:visibility seriesName="0" categoryName="1" value="0"/>
          </cx:dataLabels>
          <cx:dataId val="7"/>
        </cx:series>
        <cx:series layoutId="sunburst" hidden="1" uniqueId="{7A05BFC8-F416-4FA5-9BFF-7B09C54BF89F}" formatIdx="8">
          <cx:tx>
            <cx:txData>
              <cx:f>_xlchart.v1.8</cx:f>
              <cx:v>Transport</cx:v>
            </cx:txData>
          </cx:tx>
          <cx:dataLabels>
            <cx:visibility seriesName="0" categoryName="1" value="0"/>
          </cx:dataLabels>
          <cx:dataId val="8"/>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_xlchart.v1.29</cx:f>
      </cx:strDim>
      <cx:numDim type="size">
        <cx:f dir="row">_xlchart.v1.30</cx:f>
      </cx:numDim>
    </cx:data>
    <cx:data id="1">
      <cx:strDim type="cat">
        <cx:f dir="row">_xlchart.v1.29</cx:f>
      </cx:strDim>
      <cx:numDim type="size">
        <cx:f dir="row">_xlchart.v1.31</cx:f>
      </cx:numDim>
    </cx:data>
    <cx:data id="2">
      <cx:strDim type="cat">
        <cx:f dir="row">_xlchart.v1.29</cx:f>
      </cx:strDim>
      <cx:numDim type="size">
        <cx:f dir="row">_xlchart.v1.32</cx:f>
      </cx:numDim>
    </cx:data>
    <cx:data id="3">
      <cx:strDim type="cat">
        <cx:f dir="row">_xlchart.v1.29</cx:f>
      </cx:strDim>
      <cx:numDim type="size">
        <cx:f dir="row">_xlchart.v1.33</cx:f>
      </cx:numDim>
    </cx:data>
    <cx:data id="4">
      <cx:strDim type="cat">
        <cx:f dir="row">_xlchart.v1.29</cx:f>
      </cx:strDim>
      <cx:numDim type="size">
        <cx:f dir="row">_xlchart.v1.34</cx:f>
      </cx:numDim>
    </cx:data>
    <cx:data id="5">
      <cx:strDim type="cat">
        <cx:f dir="row">_xlchart.v1.29</cx:f>
      </cx:strDim>
      <cx:numDim type="size">
        <cx:f dir="row">_xlchart.v1.35</cx:f>
      </cx:numDim>
    </cx:data>
    <cx:data id="6">
      <cx:strDim type="cat">
        <cx:f dir="row">_xlchart.v1.29</cx:f>
      </cx:strDim>
      <cx:numDim type="size">
        <cx:f dir="row">_xlchart.v1.36</cx:f>
      </cx:numDim>
    </cx:data>
    <cx:data id="7">
      <cx:strDim type="cat">
        <cx:f dir="row">_xlchart.v1.29</cx:f>
      </cx:strDim>
      <cx:numDim type="size">
        <cx:f dir="row">_xlchart.v1.37</cx:f>
      </cx:numDim>
    </cx:data>
    <cx:data id="8">
      <cx:strDim type="cat">
        <cx:f dir="row">_xlchart.v1.29</cx:f>
      </cx:strDim>
      <cx:numDim type="size">
        <cx:f dir="row">_xlchart.v1.38</cx:f>
      </cx:numDim>
    </cx:data>
    <cx:data id="9">
      <cx:strDim type="cat">
        <cx:f dir="row">_xlchart.v1.29</cx:f>
      </cx:strDim>
      <cx:numDim type="size">
        <cx:f dir="row">_xlchart.v1.39</cx:f>
      </cx:numDim>
    </cx:data>
  </cx:chartData>
  <cx:chart>
    <cx:title pos="t" align="ctr" overlay="0">
      <cx:tx>
        <cx:txData>
          <cx:v>M-o-M % Changes in Inflation [Period: 2021-23]</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M-o-M % Changes in Inflation [Period: 2021-23]</a:t>
          </a:r>
        </a:p>
      </cx:txPr>
    </cx:title>
    <cx:plotArea>
      <cx:plotAreaRegion>
        <cx:series layoutId="treemap" uniqueId="{7AE66607-B685-4B70-9CD4-982B87CC4050}" formatIdx="0">
          <cx:tx>
            <cx:txData>
              <cx:f>_xlchart.v1.19</cx:f>
              <cx:v>Energy</cx:v>
            </cx:txData>
          </cx:tx>
          <cx:dataLabels>
            <cx:visibility seriesName="0" categoryName="1" value="0"/>
          </cx:dataLabels>
          <cx:dataId val="0"/>
          <cx:layoutPr>
            <cx:parentLabelLayout val="overlapping"/>
          </cx:layoutPr>
        </cx:series>
        <cx:series layoutId="treemap" hidden="1" uniqueId="{D7A05F25-DFEF-43F3-8D38-DB97158F3D78}" formatIdx="1">
          <cx:tx>
            <cx:txData>
              <cx:f>_xlchart.v1.20</cx:f>
              <cx:v>Apparel</cx:v>
            </cx:txData>
          </cx:tx>
          <cx:dataLabels>
            <cx:visibility seriesName="0" categoryName="1" value="0"/>
          </cx:dataLabels>
          <cx:dataId val="1"/>
          <cx:layoutPr>
            <cx:parentLabelLayout val="overlapping"/>
          </cx:layoutPr>
        </cx:series>
        <cx:series layoutId="treemap" hidden="1" uniqueId="{F6D002BF-AAC3-46E8-892D-7E6923543351}" formatIdx="2">
          <cx:tx>
            <cx:txData>
              <cx:f>_xlchart.v1.21</cx:f>
              <cx:v>Education</cx:v>
            </cx:txData>
          </cx:tx>
          <cx:dataLabels>
            <cx:visibility seriesName="0" categoryName="1" value="0"/>
          </cx:dataLabels>
          <cx:dataId val="2"/>
          <cx:layoutPr>
            <cx:parentLabelLayout val="overlapping"/>
          </cx:layoutPr>
        </cx:series>
        <cx:series layoutId="treemap" hidden="1" uniqueId="{EC5524B1-691E-470D-892E-E9F8D5AEBE93}" formatIdx="3">
          <cx:tx>
            <cx:txData>
              <cx:f>_xlchart.v1.22</cx:f>
              <cx:v>Food &amp; Beverages</cx:v>
            </cx:txData>
          </cx:tx>
          <cx:dataLabels>
            <cx:visibility seriesName="0" categoryName="1" value="0"/>
          </cx:dataLabels>
          <cx:dataId val="3"/>
          <cx:layoutPr>
            <cx:parentLabelLayout val="overlapping"/>
          </cx:layoutPr>
        </cx:series>
        <cx:series layoutId="treemap" hidden="1" uniqueId="{BB11E4E9-C9A8-4F97-B97E-AB166580B143}" formatIdx="4">
          <cx:tx>
            <cx:txData>
              <cx:f>_xlchart.v1.23</cx:f>
              <cx:v>Health</cx:v>
            </cx:txData>
          </cx:tx>
          <cx:dataLabels>
            <cx:visibility seriesName="0" categoryName="1" value="0"/>
          </cx:dataLabels>
          <cx:dataId val="4"/>
          <cx:layoutPr>
            <cx:parentLabelLayout val="overlapping"/>
          </cx:layoutPr>
        </cx:series>
        <cx:series layoutId="treemap" hidden="1" uniqueId="{4CA10110-2499-4F42-970E-E6461C03741D}" formatIdx="5">
          <cx:tx>
            <cx:txData>
              <cx:f>_xlchart.v1.24</cx:f>
              <cx:v>Housing</cx:v>
            </cx:txData>
          </cx:tx>
          <cx:dataLabels>
            <cx:visibility seriesName="0" categoryName="1" value="0"/>
          </cx:dataLabels>
          <cx:dataId val="5"/>
          <cx:layoutPr>
            <cx:parentLabelLayout val="overlapping"/>
          </cx:layoutPr>
        </cx:series>
        <cx:series layoutId="treemap" hidden="1" uniqueId="{E746EACD-784E-4206-BCB8-22D60AA0DC7A}" formatIdx="6">
          <cx:tx>
            <cx:txData>
              <cx:f>_xlchart.v1.25</cx:f>
              <cx:v>Other goods &amp; services</cx:v>
            </cx:txData>
          </cx:tx>
          <cx:dataLabels>
            <cx:visibility seriesName="0" categoryName="1" value="0"/>
          </cx:dataLabels>
          <cx:dataId val="6"/>
          <cx:layoutPr>
            <cx:parentLabelLayout val="overlapping"/>
          </cx:layoutPr>
        </cx:series>
        <cx:series layoutId="treemap" hidden="1" uniqueId="{6084AC6A-C0E3-49F5-B14C-B505A8863172}" formatIdx="7">
          <cx:tx>
            <cx:txData>
              <cx:f>_xlchart.v1.26</cx:f>
              <cx:v>Recreation</cx:v>
            </cx:txData>
          </cx:tx>
          <cx:dataLabels>
            <cx:visibility seriesName="0" categoryName="1" value="0"/>
          </cx:dataLabels>
          <cx:dataId val="7"/>
          <cx:layoutPr>
            <cx:parentLabelLayout val="overlapping"/>
          </cx:layoutPr>
        </cx:series>
        <cx:series layoutId="treemap" hidden="1" uniqueId="{02F76E30-072A-4A3C-9881-1C2627D17824}" formatIdx="8">
          <cx:tx>
            <cx:txData>
              <cx:f>_xlchart.v1.27</cx:f>
              <cx:v>Transport</cx:v>
            </cx:txData>
          </cx:tx>
          <cx:dataLabels>
            <cx:visibility seriesName="0" categoryName="1" value="0"/>
          </cx:dataLabels>
          <cx:dataId val="8"/>
          <cx:layoutPr>
            <cx:parentLabelLayout val="overlapping"/>
          </cx:layoutPr>
        </cx:series>
        <cx:series layoutId="treemap" hidden="1" uniqueId="{092263E6-88A9-43EB-B087-57AE61304318}" formatIdx="9">
          <cx:tx>
            <cx:txData>
              <cx:f>_xlchart.v1.28</cx:f>
              <cx:v>General Index</cx:v>
            </cx:txData>
          </cx:tx>
          <cx:dataLabels>
            <cx:visibility seriesName="0" categoryName="1" value="0"/>
          </cx:dataLabels>
          <cx:dataId val="9"/>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microsoft.com/office/2014/relationships/chartEx" Target="../charts/chartEx1.xml"/><Relationship Id="rId10" Type="http://schemas.microsoft.com/office/2014/relationships/chartEx" Target="../charts/chartEx2.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13</xdr:col>
      <xdr:colOff>906780</xdr:colOff>
      <xdr:row>8</xdr:row>
      <xdr:rowOff>45720</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0CCD19F4-184C-49F0-AA53-02A94185C71F}"/>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1818620" y="36576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45590</xdr:colOff>
      <xdr:row>15</xdr:row>
      <xdr:rowOff>84667</xdr:rowOff>
    </xdr:from>
    <xdr:to>
      <xdr:col>2</xdr:col>
      <xdr:colOff>1362636</xdr:colOff>
      <xdr:row>25</xdr:row>
      <xdr:rowOff>35858</xdr:rowOff>
    </xdr:to>
    <xdr:sp macro="" textlink="">
      <xdr:nvSpPr>
        <xdr:cNvPr id="2" name="TextBox 1">
          <a:extLst>
            <a:ext uri="{FF2B5EF4-FFF2-40B4-BE49-F238E27FC236}">
              <a16:creationId xmlns:a16="http://schemas.microsoft.com/office/drawing/2014/main" id="{43E5F77B-2424-4FDA-8F69-1B17E8A58E5F}"/>
            </a:ext>
          </a:extLst>
        </xdr:cNvPr>
        <xdr:cNvSpPr txBox="1"/>
      </xdr:nvSpPr>
      <xdr:spPr>
        <a:xfrm>
          <a:off x="45590" y="2998196"/>
          <a:ext cx="4750528" cy="175309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Insights:</a:t>
          </a:r>
        </a:p>
        <a:p>
          <a:r>
            <a:rPr lang="en-US" sz="1100" b="0" i="0" u="none" strike="noStrike">
              <a:solidFill>
                <a:schemeClr val="dk1"/>
              </a:solidFill>
              <a:effectLst/>
              <a:latin typeface="+mn-lt"/>
              <a:ea typeface="+mn-ea"/>
              <a:cs typeface="+mn-cs"/>
            </a:rPr>
            <a:t>1. The broader category of 'Other goods &amp; services' is the major contributor to CPI calculation on an average.</a:t>
          </a:r>
        </a:p>
        <a:p>
          <a:r>
            <a:rPr lang="en-US" sz="1100" b="0" i="0" u="none" strike="noStrike">
              <a:solidFill>
                <a:schemeClr val="dk1"/>
              </a:solidFill>
              <a:effectLst/>
              <a:latin typeface="+mn-lt"/>
              <a:ea typeface="+mn-ea"/>
              <a:cs typeface="+mn-cs"/>
            </a:rPr>
            <a:t>2. 'Other goods &amp; services' consists of the components: Pan, tobacco &amp; intoxicants, Personal care &amp; effects and Miscellaneous.</a:t>
          </a:r>
        </a:p>
        <a:p>
          <a:r>
            <a:rPr lang="en-US" sz="1100" b="0" i="0" u="none" strike="noStrike">
              <a:solidFill>
                <a:schemeClr val="dk1"/>
              </a:solidFill>
              <a:effectLst/>
              <a:latin typeface="+mn-lt"/>
              <a:ea typeface="+mn-ea"/>
              <a:cs typeface="+mn-cs"/>
            </a:rPr>
            <a:t>3. The major</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category</a:t>
          </a:r>
          <a:r>
            <a:rPr lang="en-US" sz="1100" b="0" i="0" u="none" strike="noStrike" baseline="0">
              <a:solidFill>
                <a:schemeClr val="dk1"/>
              </a:solidFill>
              <a:effectLst/>
              <a:latin typeface="+mn-lt"/>
              <a:ea typeface="+mn-ea"/>
              <a:cs typeface="+mn-cs"/>
            </a:rPr>
            <a:t> contributors in Rural sector is 'Apparel' and in Urban is 'Other goods &amp; services.</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4. There is no significant difference in contribution of broader categories to CPI across all sectors.</a:t>
          </a:r>
          <a:r>
            <a:rPr lang="en-US"/>
            <a:t> </a:t>
          </a:r>
          <a:endParaRPr lang="en-US" sz="1100"/>
        </a:p>
      </xdr:txBody>
    </xdr:sp>
    <xdr:clientData/>
  </xdr:twoCellAnchor>
  <xdr:twoCellAnchor>
    <xdr:from>
      <xdr:col>0</xdr:col>
      <xdr:colOff>52104</xdr:colOff>
      <xdr:row>39</xdr:row>
      <xdr:rowOff>121921</xdr:rowOff>
    </xdr:from>
    <xdr:to>
      <xdr:col>3</xdr:col>
      <xdr:colOff>777240</xdr:colOff>
      <xdr:row>49</xdr:row>
      <xdr:rowOff>170329</xdr:rowOff>
    </xdr:to>
    <xdr:sp macro="" textlink="">
      <xdr:nvSpPr>
        <xdr:cNvPr id="4" name="TextBox 3">
          <a:extLst>
            <a:ext uri="{FF2B5EF4-FFF2-40B4-BE49-F238E27FC236}">
              <a16:creationId xmlns:a16="http://schemas.microsoft.com/office/drawing/2014/main" id="{2544C660-CFE5-4359-A97E-C1BB2F392353}"/>
            </a:ext>
          </a:extLst>
        </xdr:cNvPr>
        <xdr:cNvSpPr txBox="1"/>
      </xdr:nvSpPr>
      <xdr:spPr>
        <a:xfrm>
          <a:off x="52104" y="7392297"/>
          <a:ext cx="5557112" cy="18413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Insights:</a:t>
          </a:r>
          <a:endParaRPr lang="en-US" sz="1100" b="0" i="0" u="none" strike="noStrike">
            <a:solidFill>
              <a:schemeClr val="dk1"/>
            </a:solidFill>
            <a:effectLst/>
            <a:latin typeface="+mn-lt"/>
            <a:ea typeface="+mn-ea"/>
            <a:cs typeface="+mn-cs"/>
          </a:endParaRPr>
        </a:p>
        <a:p>
          <a:pPr algn="l"/>
          <a:r>
            <a:rPr lang="en-US" sz="1100" b="0" i="0" u="none" strike="noStrike">
              <a:solidFill>
                <a:schemeClr val="dk1"/>
              </a:solidFill>
              <a:effectLst/>
              <a:latin typeface="+mn-lt"/>
              <a:ea typeface="+mn-ea"/>
              <a:cs typeface="+mn-cs"/>
            </a:rPr>
            <a:t>1. The highest inflation (6.75%) is seen in 2021, where, the broader categories of 'Transport' &amp; 'Energy' have been top 2 contributors.</a:t>
          </a:r>
        </a:p>
        <a:p>
          <a:pPr algn="l"/>
          <a:r>
            <a:rPr lang="en-US" sz="1100" b="0" i="0" u="none" strike="noStrike">
              <a:solidFill>
                <a:schemeClr val="dk1"/>
              </a:solidFill>
              <a:effectLst/>
              <a:latin typeface="+mn-lt"/>
              <a:ea typeface="+mn-ea"/>
              <a:cs typeface="+mn-cs"/>
            </a:rPr>
            <a:t>2. The high inflation rates in 'Energy' category can be seen in table of MoM Analysis of each</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category.</a:t>
          </a:r>
          <a:endParaRPr lang="en-US" sz="1100" b="0" i="0" u="none" strike="noStrike" baseline="0">
            <a:solidFill>
              <a:schemeClr val="dk1"/>
            </a:solidFill>
            <a:effectLst/>
            <a:latin typeface="+mn-lt"/>
            <a:ea typeface="+mn-ea"/>
            <a:cs typeface="+mn-cs"/>
          </a:endParaRPr>
        </a:p>
        <a:p>
          <a:pPr algn="l"/>
          <a:r>
            <a:rPr lang="en-US" sz="1100" b="0" i="0" u="none" strike="noStrike" baseline="0">
              <a:solidFill>
                <a:schemeClr val="dk1"/>
              </a:solidFill>
              <a:effectLst/>
              <a:latin typeface="+mn-lt"/>
              <a:ea typeface="+mn-ea"/>
              <a:cs typeface="+mn-cs"/>
            </a:rPr>
            <a:t>3. It is seen that inflation in 'Transport' category is strongly affected by crude oil prices.</a:t>
          </a:r>
          <a:endParaRPr lang="en-US" sz="1100" b="0" i="0" u="none" strike="noStrike">
            <a:solidFill>
              <a:schemeClr val="dk1"/>
            </a:solidFill>
            <a:effectLst/>
            <a:latin typeface="+mn-lt"/>
            <a:ea typeface="+mn-ea"/>
            <a:cs typeface="+mn-cs"/>
          </a:endParaRPr>
        </a:p>
        <a:p>
          <a:pPr algn="l"/>
          <a:r>
            <a:rPr lang="en-US" sz="1100" b="0" i="0" u="none" strike="noStrike" baseline="0">
              <a:solidFill>
                <a:schemeClr val="dk1"/>
              </a:solidFill>
              <a:effectLst/>
              <a:latin typeface="+mn-lt"/>
              <a:ea typeface="+mn-ea"/>
              <a:cs typeface="+mn-cs"/>
            </a:rPr>
            <a:t>3. This can be due to rising prices of imported crude oil affecting the CPI of 'Energy' and in turn 'Transport (Transport &amp; Communication)' category.</a:t>
          </a:r>
        </a:p>
        <a:p>
          <a:pPr algn="l"/>
          <a:r>
            <a:rPr lang="en-US" sz="1100" b="0" i="0" u="none" strike="noStrike">
              <a:solidFill>
                <a:schemeClr val="dk1"/>
              </a:solidFill>
              <a:effectLst/>
              <a:latin typeface="+mn-lt"/>
              <a:ea typeface="+mn-ea"/>
              <a:cs typeface="+mn-cs"/>
            </a:rPr>
            <a:t>4. The category of 'Health' is also a significant contributor to such high inflation</a:t>
          </a:r>
          <a:r>
            <a:rPr lang="en-US" sz="1100" b="0" i="0" u="none" strike="noStrike" baseline="0">
              <a:solidFill>
                <a:schemeClr val="dk1"/>
              </a:solidFill>
              <a:effectLst/>
              <a:latin typeface="+mn-lt"/>
              <a:ea typeface="+mn-ea"/>
              <a:cs typeface="+mn-cs"/>
            </a:rPr>
            <a:t>. This can be due to impact of covid-19.</a:t>
          </a:r>
          <a:endParaRPr lang="en-US"/>
        </a:p>
      </xdr:txBody>
    </xdr:sp>
    <xdr:clientData/>
  </xdr:twoCellAnchor>
  <xdr:twoCellAnchor>
    <xdr:from>
      <xdr:col>6</xdr:col>
      <xdr:colOff>19539</xdr:colOff>
      <xdr:row>18</xdr:row>
      <xdr:rowOff>104205</xdr:rowOff>
    </xdr:from>
    <xdr:to>
      <xdr:col>19</xdr:col>
      <xdr:colOff>1</xdr:colOff>
      <xdr:row>23</xdr:row>
      <xdr:rowOff>162821</xdr:rowOff>
    </xdr:to>
    <xdr:sp macro="" textlink="">
      <xdr:nvSpPr>
        <xdr:cNvPr id="5" name="TextBox 4">
          <a:extLst>
            <a:ext uri="{FF2B5EF4-FFF2-40B4-BE49-F238E27FC236}">
              <a16:creationId xmlns:a16="http://schemas.microsoft.com/office/drawing/2014/main" id="{381B0DAC-9F87-4AA6-84EA-C4E864DA707C}"/>
            </a:ext>
          </a:extLst>
        </xdr:cNvPr>
        <xdr:cNvSpPr txBox="1"/>
      </xdr:nvSpPr>
      <xdr:spPr>
        <a:xfrm>
          <a:off x="5828975" y="3601590"/>
          <a:ext cx="8922564" cy="97041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Insights: (Rural+Urban)</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1. Highest change in inflation is seen in Dec-22 (12.67%) in the component of 'Vegetables' and lowest change in inflation is seen in March-2023 (0.00-0.06%) across all components</a:t>
          </a:r>
          <a:r>
            <a:rPr lang="en-US" sz="1100" b="0" i="0" u="none" strike="noStrike" baseline="0">
              <a:solidFill>
                <a:schemeClr val="dk1"/>
              </a:solidFill>
              <a:effectLst/>
              <a:latin typeface="+mn-lt"/>
              <a:ea typeface="+mn-ea"/>
              <a:cs typeface="+mn-cs"/>
            </a:rPr>
            <a:t>.</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2. The top 5 highest change in inflation rates are highlighted in light blue.(Components: Egg, fruits and vegetables)</a:t>
          </a:r>
        </a:p>
        <a:p>
          <a:r>
            <a:rPr lang="en-US" sz="1100" b="0" i="0" u="none" strike="noStrike">
              <a:solidFill>
                <a:schemeClr val="dk1"/>
              </a:solidFill>
              <a:effectLst/>
              <a:latin typeface="+mn-lt"/>
              <a:ea typeface="+mn-ea"/>
              <a:cs typeface="+mn-cs"/>
            </a:rPr>
            <a:t>3. The above changes in % terms are absolute.</a:t>
          </a:r>
          <a:r>
            <a:rPr lang="en-US"/>
            <a:t> </a:t>
          </a:r>
          <a:endParaRPr lang="en-US" sz="1100"/>
        </a:p>
      </xdr:txBody>
    </xdr:sp>
    <xdr:clientData/>
  </xdr:twoCellAnchor>
  <xdr:twoCellAnchor>
    <xdr:from>
      <xdr:col>14</xdr:col>
      <xdr:colOff>13027</xdr:colOff>
      <xdr:row>38</xdr:row>
      <xdr:rowOff>84668</xdr:rowOff>
    </xdr:from>
    <xdr:to>
      <xdr:col>25</xdr:col>
      <xdr:colOff>560103</xdr:colOff>
      <xdr:row>46</xdr:row>
      <xdr:rowOff>159490</xdr:rowOff>
    </xdr:to>
    <xdr:sp macro="" textlink="">
      <xdr:nvSpPr>
        <xdr:cNvPr id="6" name="TextBox 5">
          <a:extLst>
            <a:ext uri="{FF2B5EF4-FFF2-40B4-BE49-F238E27FC236}">
              <a16:creationId xmlns:a16="http://schemas.microsoft.com/office/drawing/2014/main" id="{2CDB0179-5389-4697-A509-77D005461065}"/>
            </a:ext>
          </a:extLst>
        </xdr:cNvPr>
        <xdr:cNvSpPr txBox="1"/>
      </xdr:nvSpPr>
      <xdr:spPr>
        <a:xfrm>
          <a:off x="14118887" y="7412273"/>
          <a:ext cx="8211379" cy="157224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Insights:</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1. The highest inflation rate (5.46%) is seen in 'Other goods &amp; services' post-covid-19 in the month of Jun-20. Hence, it is the most affected category.</a:t>
          </a:r>
        </a:p>
        <a:p>
          <a:r>
            <a:rPr lang="en-US" sz="1100" b="0" i="0" u="none" strike="noStrike">
              <a:solidFill>
                <a:schemeClr val="dk1"/>
              </a:solidFill>
              <a:effectLst/>
              <a:latin typeface="+mn-lt"/>
              <a:ea typeface="+mn-ea"/>
              <a:cs typeface="+mn-cs"/>
            </a:rPr>
            <a:t>2. However, there</a:t>
          </a:r>
          <a:r>
            <a:rPr lang="en-US" sz="1100" b="0" i="0" u="none" strike="noStrike" baseline="0">
              <a:solidFill>
                <a:schemeClr val="dk1"/>
              </a:solidFill>
              <a:effectLst/>
              <a:latin typeface="+mn-lt"/>
              <a:ea typeface="+mn-ea"/>
              <a:cs typeface="+mn-cs"/>
            </a:rPr>
            <a:t> are significant changes in inflation in Jun-20 across all categories (Sparklines).</a:t>
          </a:r>
        </a:p>
        <a:p>
          <a:r>
            <a:rPr lang="en-US" sz="1100" b="0" i="0" u="none" strike="noStrike" baseline="0">
              <a:solidFill>
                <a:schemeClr val="dk1"/>
              </a:solidFill>
              <a:effectLst/>
              <a:latin typeface="+mn-lt"/>
              <a:ea typeface="+mn-ea"/>
              <a:cs typeface="+mn-cs"/>
            </a:rPr>
            <a:t>3. The top 5 changes in inflation over the year of 2020 are highlighted in light blue.</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2. As CPI was not calculated for the month of April-20 &amp; May-20 by GOI and it is imputed with moving averages, an immediate change in trend in April &amp; March cannot be seen.</a:t>
          </a:r>
        </a:p>
        <a:p>
          <a:r>
            <a:rPr lang="en-US" sz="1100" b="0" i="0" u="none" strike="noStrike">
              <a:solidFill>
                <a:schemeClr val="dk1"/>
              </a:solidFill>
              <a:effectLst/>
              <a:latin typeface="+mn-lt"/>
              <a:ea typeface="+mn-ea"/>
              <a:cs typeface="+mn-cs"/>
            </a:rPr>
            <a:t>3. There is no % change in CPI for Jul-20 which shows the rising index and thus, the prices, have not reduced, remaining same.</a:t>
          </a:r>
          <a:r>
            <a:rPr lang="en-US"/>
            <a:t> </a:t>
          </a:r>
          <a:endParaRPr lang="en-US" sz="1100"/>
        </a:p>
      </xdr:txBody>
    </xdr:sp>
    <xdr:clientData/>
  </xdr:twoCellAnchor>
  <xdr:twoCellAnchor>
    <xdr:from>
      <xdr:col>3</xdr:col>
      <xdr:colOff>7620</xdr:colOff>
      <xdr:row>65</xdr:row>
      <xdr:rowOff>84667</xdr:rowOff>
    </xdr:from>
    <xdr:to>
      <xdr:col>15</xdr:col>
      <xdr:colOff>571500</xdr:colOff>
      <xdr:row>70</xdr:row>
      <xdr:rowOff>53340</xdr:rowOff>
    </xdr:to>
    <xdr:sp macro="" textlink="">
      <xdr:nvSpPr>
        <xdr:cNvPr id="7" name="TextBox 6">
          <a:extLst>
            <a:ext uri="{FF2B5EF4-FFF2-40B4-BE49-F238E27FC236}">
              <a16:creationId xmlns:a16="http://schemas.microsoft.com/office/drawing/2014/main" id="{CA88AD94-5A19-43A4-AC4E-77D30725B443}"/>
            </a:ext>
          </a:extLst>
        </xdr:cNvPr>
        <xdr:cNvSpPr txBox="1"/>
      </xdr:nvSpPr>
      <xdr:spPr>
        <a:xfrm>
          <a:off x="9593580" y="11522287"/>
          <a:ext cx="9471660" cy="88307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dk1"/>
              </a:solidFill>
              <a:effectLst/>
              <a:latin typeface="+mn-lt"/>
              <a:ea typeface="+mn-ea"/>
              <a:cs typeface="+mn-cs"/>
            </a:rPr>
            <a:t>Insights:</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1. The highest inflation (3.04%) in 'Energy' category, that consists of component 'Fuel &amp; light' is seen in the month of Feb-21.</a:t>
          </a:r>
        </a:p>
        <a:p>
          <a:r>
            <a:rPr lang="en-US" sz="1100" b="0" i="0" u="none" strike="noStrike">
              <a:solidFill>
                <a:schemeClr val="dk1"/>
              </a:solidFill>
              <a:effectLst/>
              <a:latin typeface="+mn-lt"/>
              <a:ea typeface="+mn-ea"/>
              <a:cs typeface="+mn-cs"/>
            </a:rPr>
            <a:t>2. The months with top 5 changes in inflation rates</a:t>
          </a:r>
          <a:r>
            <a:rPr lang="en-US" sz="1100" b="0" i="0" u="none" strike="noStrike" baseline="0">
              <a:solidFill>
                <a:schemeClr val="dk1"/>
              </a:solidFill>
              <a:effectLst/>
              <a:latin typeface="+mn-lt"/>
              <a:ea typeface="+mn-ea"/>
              <a:cs typeface="+mn-cs"/>
            </a:rPr>
            <a:t> are </a:t>
          </a:r>
          <a:r>
            <a:rPr lang="en-US" sz="1100" b="0" i="0" u="none" strike="noStrike">
              <a:solidFill>
                <a:schemeClr val="dk1"/>
              </a:solidFill>
              <a:effectLst/>
              <a:latin typeface="+mn-lt"/>
              <a:ea typeface="+mn-ea"/>
              <a:cs typeface="+mn-cs"/>
            </a:rPr>
            <a:t>highlighted in light blue.</a:t>
          </a:r>
          <a:r>
            <a:rPr lang="en-US" sz="1100" b="0" i="0" u="none" strike="noStrike" baseline="0">
              <a:solidFill>
                <a:schemeClr val="dk1"/>
              </a:solidFill>
              <a:effectLst/>
              <a:latin typeface="+mn-lt"/>
              <a:ea typeface="+mn-ea"/>
              <a:cs typeface="+mn-cs"/>
            </a:rPr>
            <a:t> The categories with such high changes in inflation are Energy, Apparel, Health &amp; Transport.</a:t>
          </a:r>
          <a:endParaRPr lang="en-US" sz="1100" b="0" i="0" u="none" strike="noStrike">
            <a:solidFill>
              <a:schemeClr val="dk1"/>
            </a:solidFill>
            <a:effectLst/>
            <a:latin typeface="+mn-lt"/>
            <a:ea typeface="+mn-ea"/>
            <a:cs typeface="+mn-cs"/>
          </a:endParaRPr>
        </a:p>
      </xdr:txBody>
    </xdr:sp>
    <xdr:clientData/>
  </xdr:twoCellAnchor>
  <xdr:twoCellAnchor>
    <xdr:from>
      <xdr:col>5</xdr:col>
      <xdr:colOff>784860</xdr:colOff>
      <xdr:row>38</xdr:row>
      <xdr:rowOff>99060</xdr:rowOff>
    </xdr:from>
    <xdr:to>
      <xdr:col>12</xdr:col>
      <xdr:colOff>556260</xdr:colOff>
      <xdr:row>44</xdr:row>
      <xdr:rowOff>7620</xdr:rowOff>
    </xdr:to>
    <xdr:sp macro="" textlink="">
      <xdr:nvSpPr>
        <xdr:cNvPr id="3" name="TextBox 2">
          <a:extLst>
            <a:ext uri="{FF2B5EF4-FFF2-40B4-BE49-F238E27FC236}">
              <a16:creationId xmlns:a16="http://schemas.microsoft.com/office/drawing/2014/main" id="{360027E8-553D-4A75-B0ED-328513832677}"/>
            </a:ext>
          </a:extLst>
        </xdr:cNvPr>
        <xdr:cNvSpPr txBox="1"/>
      </xdr:nvSpPr>
      <xdr:spPr>
        <a:xfrm>
          <a:off x="9578340" y="7117080"/>
          <a:ext cx="6271260" cy="101346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t>Insights:</a:t>
          </a:r>
        </a:p>
        <a:p>
          <a:r>
            <a:rPr lang="en-US" sz="1100" b="0" i="0"/>
            <a:t>1.</a:t>
          </a:r>
          <a:r>
            <a:rPr lang="en-US" sz="1100" b="0" i="0" baseline="0"/>
            <a:t> The highest inflation post-covid is seen in 'Transport' category, while the top 10 changes in inflation are across the categories of Apparel, Energy, Food &amp; Beverages, Health, Other goods &amp; services &amp; Transport.</a:t>
          </a:r>
        </a:p>
        <a:p>
          <a:r>
            <a:rPr lang="en-US" sz="1100" b="0" i="0" baseline="0"/>
            <a:t>2. The major impact of covid in the year 2021 is seen on 3 categories of Energy, Health &amp; Transport. </a:t>
          </a:r>
        </a:p>
        <a:p>
          <a:r>
            <a:rPr lang="en-US" sz="1100" b="0" i="0" baseline="0"/>
            <a:t>3. M-o-M Analysis for the year 2020 (the most impacted)  is made in another table (Beside.)</a:t>
          </a:r>
        </a:p>
        <a:p>
          <a:endParaRPr lang="en-US" sz="1100" b="0" i="0"/>
        </a:p>
        <a:p>
          <a:endParaRPr lang="en-US" sz="1100"/>
        </a:p>
      </xdr:txBody>
    </xdr:sp>
    <xdr:clientData/>
  </xdr:twoCellAnchor>
  <xdr:twoCellAnchor>
    <xdr:from>
      <xdr:col>0</xdr:col>
      <xdr:colOff>60960</xdr:colOff>
      <xdr:row>65</xdr:row>
      <xdr:rowOff>76200</xdr:rowOff>
    </xdr:from>
    <xdr:to>
      <xdr:col>1</xdr:col>
      <xdr:colOff>685800</xdr:colOff>
      <xdr:row>73</xdr:row>
      <xdr:rowOff>60960</xdr:rowOff>
    </xdr:to>
    <xdr:sp macro="" textlink="">
      <xdr:nvSpPr>
        <xdr:cNvPr id="9" name="TextBox 8">
          <a:extLst>
            <a:ext uri="{FF2B5EF4-FFF2-40B4-BE49-F238E27FC236}">
              <a16:creationId xmlns:a16="http://schemas.microsoft.com/office/drawing/2014/main" id="{BF65BFEC-9715-4FD6-A258-E28198AFF9A3}"/>
            </a:ext>
          </a:extLst>
        </xdr:cNvPr>
        <xdr:cNvSpPr txBox="1"/>
      </xdr:nvSpPr>
      <xdr:spPr>
        <a:xfrm>
          <a:off x="60960" y="11513820"/>
          <a:ext cx="3329940" cy="1447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t>Insights:</a:t>
          </a:r>
        </a:p>
        <a:p>
          <a:r>
            <a:rPr lang="en-US" sz="1100"/>
            <a:t>1.</a:t>
          </a:r>
          <a:r>
            <a:rPr lang="en-US" sz="1100" baseline="0"/>
            <a:t> 'Transport' (Transport &amp; Communication) category is the strongly affected by prices of crude oil having a correlation of 66.8%.</a:t>
          </a:r>
        </a:p>
        <a:p>
          <a:r>
            <a:rPr lang="en-US" sz="1100" baseline="0"/>
            <a:t>2.  The other categories, strongly affected are 'Energy' (Fuel &amp; light), 'Food &amp; Beverages', 'Recreation', therefore, affecting  overall General Index by 55.3%.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xdr:colOff>
      <xdr:row>2</xdr:row>
      <xdr:rowOff>7620</xdr:rowOff>
    </xdr:from>
    <xdr:to>
      <xdr:col>13</xdr:col>
      <xdr:colOff>525780</xdr:colOff>
      <xdr:row>17</xdr:row>
      <xdr:rowOff>152400</xdr:rowOff>
    </xdr:to>
    <xdr:graphicFrame macro="">
      <xdr:nvGraphicFramePr>
        <xdr:cNvPr id="2" name="Chart 1">
          <a:extLst>
            <a:ext uri="{FF2B5EF4-FFF2-40B4-BE49-F238E27FC236}">
              <a16:creationId xmlns:a16="http://schemas.microsoft.com/office/drawing/2014/main" id="{95C4FDE8-A13A-4F5C-8A46-DE94EEAC2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556259</xdr:colOff>
      <xdr:row>2</xdr:row>
      <xdr:rowOff>7620</xdr:rowOff>
    </xdr:from>
    <xdr:to>
      <xdr:col>19</xdr:col>
      <xdr:colOff>349624</xdr:colOff>
      <xdr:row>17</xdr:row>
      <xdr:rowOff>152400</xdr:rowOff>
    </xdr:to>
    <xdr:graphicFrame macro="">
      <xdr:nvGraphicFramePr>
        <xdr:cNvPr id="4" name="Chart 3">
          <a:extLst>
            <a:ext uri="{FF2B5EF4-FFF2-40B4-BE49-F238E27FC236}">
              <a16:creationId xmlns:a16="http://schemas.microsoft.com/office/drawing/2014/main" id="{215E87C2-AA81-4ACA-A294-0FDB4669D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xdr:row>
      <xdr:rowOff>0</xdr:rowOff>
    </xdr:from>
    <xdr:to>
      <xdr:col>6</xdr:col>
      <xdr:colOff>594360</xdr:colOff>
      <xdr:row>17</xdr:row>
      <xdr:rowOff>152400</xdr:rowOff>
    </xdr:to>
    <xdr:graphicFrame macro="">
      <xdr:nvGraphicFramePr>
        <xdr:cNvPr id="12" name="Chart 11">
          <a:extLst>
            <a:ext uri="{FF2B5EF4-FFF2-40B4-BE49-F238E27FC236}">
              <a16:creationId xmlns:a16="http://schemas.microsoft.com/office/drawing/2014/main" id="{5700EAE7-1602-4FE4-95E1-C65B77BED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91438</xdr:colOff>
      <xdr:row>18</xdr:row>
      <xdr:rowOff>27791</xdr:rowOff>
    </xdr:from>
    <xdr:to>
      <xdr:col>18</xdr:col>
      <xdr:colOff>430305</xdr:colOff>
      <xdr:row>31</xdr:row>
      <xdr:rowOff>143435</xdr:rowOff>
    </xdr:to>
    <xdr:graphicFrame macro="">
      <xdr:nvGraphicFramePr>
        <xdr:cNvPr id="24" name="Chart 23">
          <a:extLst>
            <a:ext uri="{FF2B5EF4-FFF2-40B4-BE49-F238E27FC236}">
              <a16:creationId xmlns:a16="http://schemas.microsoft.com/office/drawing/2014/main" id="{4B584110-8D63-4330-9DBB-70D8FE208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396280</xdr:colOff>
      <xdr:row>1</xdr:row>
      <xdr:rowOff>172733</xdr:rowOff>
    </xdr:from>
    <xdr:to>
      <xdr:col>27</xdr:col>
      <xdr:colOff>8162</xdr:colOff>
      <xdr:row>8</xdr:row>
      <xdr:rowOff>39159</xdr:rowOff>
    </xdr:to>
    <mc:AlternateContent xmlns:mc="http://schemas.openxmlformats.org/markup-compatibility/2006" xmlns:a14="http://schemas.microsoft.com/office/drawing/2010/main">
      <mc:Choice Requires="a14">
        <xdr:graphicFrame macro="">
          <xdr:nvGraphicFramePr>
            <xdr:cNvPr id="34" name="Sector 1">
              <a:extLst>
                <a:ext uri="{FF2B5EF4-FFF2-40B4-BE49-F238E27FC236}">
                  <a16:creationId xmlns:a16="http://schemas.microsoft.com/office/drawing/2014/main" id="{498A9B68-36E0-4227-9569-AA26F1FAC684}"/>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5179080" y="549251"/>
              <a:ext cx="1440682" cy="1121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225912</xdr:colOff>
      <xdr:row>32</xdr:row>
      <xdr:rowOff>9862</xdr:rowOff>
    </xdr:from>
    <xdr:to>
      <xdr:col>26</xdr:col>
      <xdr:colOff>233084</xdr:colOff>
      <xdr:row>47</xdr:row>
      <xdr:rowOff>161366</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08C7F287-8EAC-4373-8495-E3F5D5139A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027512" y="6052522"/>
              <a:ext cx="3207572" cy="28947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403413</xdr:colOff>
      <xdr:row>1</xdr:row>
      <xdr:rowOff>179292</xdr:rowOff>
    </xdr:from>
    <xdr:to>
      <xdr:col>24</xdr:col>
      <xdr:colOff>349624</xdr:colOff>
      <xdr:row>17</xdr:row>
      <xdr:rowOff>161364</xdr:rowOff>
    </xdr:to>
    <xdr:graphicFrame macro="">
      <xdr:nvGraphicFramePr>
        <xdr:cNvPr id="13" name="Chart 12">
          <a:extLst>
            <a:ext uri="{FF2B5EF4-FFF2-40B4-BE49-F238E27FC236}">
              <a16:creationId xmlns:a16="http://schemas.microsoft.com/office/drawing/2014/main" id="{403877E4-5D5E-422C-A99C-AC6BE8016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259978</xdr:colOff>
      <xdr:row>71</xdr:row>
      <xdr:rowOff>35859</xdr:rowOff>
    </xdr:from>
    <xdr:to>
      <xdr:col>26</xdr:col>
      <xdr:colOff>251013</xdr:colOff>
      <xdr:row>84</xdr:row>
      <xdr:rowOff>71718</xdr:rowOff>
    </xdr:to>
    <xdr:graphicFrame macro="">
      <xdr:nvGraphicFramePr>
        <xdr:cNvPr id="22" name="Chart 21">
          <a:extLst>
            <a:ext uri="{FF2B5EF4-FFF2-40B4-BE49-F238E27FC236}">
              <a16:creationId xmlns:a16="http://schemas.microsoft.com/office/drawing/2014/main" id="{23CE00FC-C7DD-48CC-B74C-254649094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89648</xdr:colOff>
      <xdr:row>32</xdr:row>
      <xdr:rowOff>8965</xdr:rowOff>
    </xdr:from>
    <xdr:to>
      <xdr:col>21</xdr:col>
      <xdr:colOff>197225</xdr:colOff>
      <xdr:row>47</xdr:row>
      <xdr:rowOff>143435</xdr:rowOff>
    </xdr:to>
    <xdr:graphicFrame macro="">
      <xdr:nvGraphicFramePr>
        <xdr:cNvPr id="25" name="Chart 24">
          <a:extLst>
            <a:ext uri="{FF2B5EF4-FFF2-40B4-BE49-F238E27FC236}">
              <a16:creationId xmlns:a16="http://schemas.microsoft.com/office/drawing/2014/main" id="{514F2FB8-0250-452D-B4F8-E34643B3C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98612</xdr:colOff>
      <xdr:row>48</xdr:row>
      <xdr:rowOff>1</xdr:rowOff>
    </xdr:from>
    <xdr:to>
      <xdr:col>9</xdr:col>
      <xdr:colOff>582706</xdr:colOff>
      <xdr:row>71</xdr:row>
      <xdr:rowOff>8965</xdr:rowOff>
    </xdr:to>
    <xdr:graphicFrame macro="">
      <xdr:nvGraphicFramePr>
        <xdr:cNvPr id="26" name="Chart 25">
          <a:extLst>
            <a:ext uri="{FF2B5EF4-FFF2-40B4-BE49-F238E27FC236}">
              <a16:creationId xmlns:a16="http://schemas.microsoft.com/office/drawing/2014/main" id="{F5BFD35F-A0BC-4559-9082-2F00F7BBB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484094</xdr:colOff>
      <xdr:row>18</xdr:row>
      <xdr:rowOff>17930</xdr:rowOff>
    </xdr:from>
    <xdr:to>
      <xdr:col>26</xdr:col>
      <xdr:colOff>591670</xdr:colOff>
      <xdr:row>31</xdr:row>
      <xdr:rowOff>134471</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E64FCDEF-534E-4B15-8514-156EE8E902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456894" y="3500270"/>
              <a:ext cx="5136776" cy="24939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107577</xdr:colOff>
      <xdr:row>71</xdr:row>
      <xdr:rowOff>35859</xdr:rowOff>
    </xdr:from>
    <xdr:to>
      <xdr:col>8</xdr:col>
      <xdr:colOff>233083</xdr:colOff>
      <xdr:row>84</xdr:row>
      <xdr:rowOff>53790</xdr:rowOff>
    </xdr:to>
    <xdr:graphicFrame macro="">
      <xdr:nvGraphicFramePr>
        <xdr:cNvPr id="28" name="Chart 27">
          <a:extLst>
            <a:ext uri="{FF2B5EF4-FFF2-40B4-BE49-F238E27FC236}">
              <a16:creationId xmlns:a16="http://schemas.microsoft.com/office/drawing/2014/main" id="{0DC09C58-0E61-4DDE-B3FB-4A79067E0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8964</xdr:colOff>
      <xdr:row>48</xdr:row>
      <xdr:rowOff>8965</xdr:rowOff>
    </xdr:from>
    <xdr:to>
      <xdr:col>26</xdr:col>
      <xdr:colOff>233081</xdr:colOff>
      <xdr:row>71</xdr:row>
      <xdr:rowOff>0</xdr:rowOff>
    </xdr:to>
    <xdr:graphicFrame macro="">
      <xdr:nvGraphicFramePr>
        <xdr:cNvPr id="29" name="Chart 28">
          <a:extLst>
            <a:ext uri="{FF2B5EF4-FFF2-40B4-BE49-F238E27FC236}">
              <a16:creationId xmlns:a16="http://schemas.microsoft.com/office/drawing/2014/main" id="{D6546E6B-2BE2-40B3-88FF-74CC49EDF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582706</xdr:colOff>
      <xdr:row>6</xdr:row>
      <xdr:rowOff>62753</xdr:rowOff>
    </xdr:from>
    <xdr:to>
      <xdr:col>11</xdr:col>
      <xdr:colOff>457200</xdr:colOff>
      <xdr:row>7</xdr:row>
      <xdr:rowOff>62753</xdr:rowOff>
    </xdr:to>
    <xdr:sp macro="" textlink="">
      <xdr:nvSpPr>
        <xdr:cNvPr id="3" name="Rectangle: Rounded Corners 2">
          <a:extLst>
            <a:ext uri="{FF2B5EF4-FFF2-40B4-BE49-F238E27FC236}">
              <a16:creationId xmlns:a16="http://schemas.microsoft.com/office/drawing/2014/main" id="{97C760BE-8B02-4229-9CC9-670643740581}"/>
            </a:ext>
          </a:extLst>
        </xdr:cNvPr>
        <xdr:cNvSpPr/>
      </xdr:nvSpPr>
      <xdr:spPr>
        <a:xfrm>
          <a:off x="6678706" y="1335741"/>
          <a:ext cx="484094" cy="17929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475129</xdr:colOff>
      <xdr:row>11</xdr:row>
      <xdr:rowOff>44823</xdr:rowOff>
    </xdr:from>
    <xdr:to>
      <xdr:col>2</xdr:col>
      <xdr:colOff>53788</xdr:colOff>
      <xdr:row>13</xdr:row>
      <xdr:rowOff>170329</xdr:rowOff>
    </xdr:to>
    <xdr:sp macro="" textlink="">
      <xdr:nvSpPr>
        <xdr:cNvPr id="5" name="Rectangle: Rounded Corners 4">
          <a:extLst>
            <a:ext uri="{FF2B5EF4-FFF2-40B4-BE49-F238E27FC236}">
              <a16:creationId xmlns:a16="http://schemas.microsoft.com/office/drawing/2014/main" id="{B89CB2EE-9E92-4A31-BA66-8E83AE428FE7}"/>
            </a:ext>
          </a:extLst>
        </xdr:cNvPr>
        <xdr:cNvSpPr/>
      </xdr:nvSpPr>
      <xdr:spPr>
        <a:xfrm>
          <a:off x="475129" y="2214282"/>
          <a:ext cx="797859" cy="48409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582706</xdr:colOff>
      <xdr:row>8</xdr:row>
      <xdr:rowOff>106921</xdr:rowOff>
    </xdr:from>
    <xdr:to>
      <xdr:col>24</xdr:col>
      <xdr:colOff>277906</xdr:colOff>
      <xdr:row>9</xdr:row>
      <xdr:rowOff>26238</xdr:rowOff>
    </xdr:to>
    <xdr:sp macro="" textlink="">
      <xdr:nvSpPr>
        <xdr:cNvPr id="7" name="Rectangle: Rounded Corners 6">
          <a:extLst>
            <a:ext uri="{FF2B5EF4-FFF2-40B4-BE49-F238E27FC236}">
              <a16:creationId xmlns:a16="http://schemas.microsoft.com/office/drawing/2014/main" id="{0A7C93D5-0963-4C1B-A1AA-F6046B539C77}"/>
            </a:ext>
          </a:extLst>
        </xdr:cNvPr>
        <xdr:cNvSpPr/>
      </xdr:nvSpPr>
      <xdr:spPr>
        <a:xfrm>
          <a:off x="14837682" y="1779604"/>
          <a:ext cx="308517" cy="105171"/>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439271</xdr:colOff>
      <xdr:row>20</xdr:row>
      <xdr:rowOff>53788</xdr:rowOff>
    </xdr:from>
    <xdr:to>
      <xdr:col>9</xdr:col>
      <xdr:colOff>457200</xdr:colOff>
      <xdr:row>29</xdr:row>
      <xdr:rowOff>161365</xdr:rowOff>
    </xdr:to>
    <xdr:cxnSp macro="">
      <xdr:nvCxnSpPr>
        <xdr:cNvPr id="9" name="Straight Connector 8">
          <a:extLst>
            <a:ext uri="{FF2B5EF4-FFF2-40B4-BE49-F238E27FC236}">
              <a16:creationId xmlns:a16="http://schemas.microsoft.com/office/drawing/2014/main" id="{EE118C1F-FC7B-4028-BECA-230B26D0171C}"/>
            </a:ext>
          </a:extLst>
        </xdr:cNvPr>
        <xdr:cNvCxnSpPr/>
      </xdr:nvCxnSpPr>
      <xdr:spPr>
        <a:xfrm>
          <a:off x="5925671" y="3836894"/>
          <a:ext cx="17929" cy="1721224"/>
        </a:xfrm>
        <a:prstGeom prst="line">
          <a:avLst/>
        </a:prstGeom>
        <a:ln w="19050">
          <a:solidFill>
            <a:srgbClr val="FF0000"/>
          </a:solidFill>
          <a:prstDash val="lgDash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152399</xdr:colOff>
      <xdr:row>20</xdr:row>
      <xdr:rowOff>134469</xdr:rowOff>
    </xdr:from>
    <xdr:to>
      <xdr:col>9</xdr:col>
      <xdr:colOff>313764</xdr:colOff>
      <xdr:row>22</xdr:row>
      <xdr:rowOff>35858</xdr:rowOff>
    </xdr:to>
    <xdr:sp macro="" textlink="">
      <xdr:nvSpPr>
        <xdr:cNvPr id="11" name="TextBox 10">
          <a:extLst>
            <a:ext uri="{FF2B5EF4-FFF2-40B4-BE49-F238E27FC236}">
              <a16:creationId xmlns:a16="http://schemas.microsoft.com/office/drawing/2014/main" id="{AF89FB91-C970-431B-B94B-1299444DCD26}"/>
            </a:ext>
          </a:extLst>
        </xdr:cNvPr>
        <xdr:cNvSpPr txBox="1"/>
      </xdr:nvSpPr>
      <xdr:spPr>
        <a:xfrm>
          <a:off x="5029199" y="3917575"/>
          <a:ext cx="770965" cy="259977"/>
        </a:xfrm>
        <a:prstGeom prst="rect">
          <a:avLst/>
        </a:prstGeom>
        <a:noFill/>
        <a:ln w="28575">
          <a:solidFill>
            <a:schemeClr val="bg2"/>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0">
              <a:solidFill>
                <a:schemeClr val="bg2"/>
              </a:solidFill>
            </a:rPr>
            <a:t>Pre-covid</a:t>
          </a:r>
        </a:p>
      </xdr:txBody>
    </xdr:sp>
    <xdr:clientData/>
  </xdr:twoCellAnchor>
  <xdr:twoCellAnchor>
    <xdr:from>
      <xdr:col>9</xdr:col>
      <xdr:colOff>528918</xdr:colOff>
      <xdr:row>20</xdr:row>
      <xdr:rowOff>134470</xdr:rowOff>
    </xdr:from>
    <xdr:to>
      <xdr:col>11</xdr:col>
      <xdr:colOff>179294</xdr:colOff>
      <xdr:row>22</xdr:row>
      <xdr:rowOff>26894</xdr:rowOff>
    </xdr:to>
    <xdr:sp macro="" textlink="">
      <xdr:nvSpPr>
        <xdr:cNvPr id="30" name="TextBox 29">
          <a:extLst>
            <a:ext uri="{FF2B5EF4-FFF2-40B4-BE49-F238E27FC236}">
              <a16:creationId xmlns:a16="http://schemas.microsoft.com/office/drawing/2014/main" id="{C65E0869-07A3-4FE6-95F0-FA72F7D753CF}"/>
            </a:ext>
          </a:extLst>
        </xdr:cNvPr>
        <xdr:cNvSpPr txBox="1"/>
      </xdr:nvSpPr>
      <xdr:spPr>
        <a:xfrm>
          <a:off x="6015318" y="3917576"/>
          <a:ext cx="869576" cy="251012"/>
        </a:xfrm>
        <a:prstGeom prst="rect">
          <a:avLst/>
        </a:prstGeom>
        <a:noFill/>
        <a:ln w="2857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rPr>
            <a:t>Post-covid</a:t>
          </a:r>
        </a:p>
      </xdr:txBody>
    </xdr:sp>
    <xdr:clientData/>
  </xdr:twoCellAnchor>
  <xdr:twoCellAnchor>
    <xdr:from>
      <xdr:col>8</xdr:col>
      <xdr:colOff>170329</xdr:colOff>
      <xdr:row>34</xdr:row>
      <xdr:rowOff>80682</xdr:rowOff>
    </xdr:from>
    <xdr:to>
      <xdr:col>10</xdr:col>
      <xdr:colOff>80682</xdr:colOff>
      <xdr:row>45</xdr:row>
      <xdr:rowOff>35859</xdr:rowOff>
    </xdr:to>
    <xdr:sp macro="" textlink="">
      <xdr:nvSpPr>
        <xdr:cNvPr id="31" name="Rectangle: Rounded Corners 30">
          <a:extLst>
            <a:ext uri="{FF2B5EF4-FFF2-40B4-BE49-F238E27FC236}">
              <a16:creationId xmlns:a16="http://schemas.microsoft.com/office/drawing/2014/main" id="{58987794-AFF7-475D-8F57-5E28D289C5DB}"/>
            </a:ext>
          </a:extLst>
        </xdr:cNvPr>
        <xdr:cNvSpPr/>
      </xdr:nvSpPr>
      <xdr:spPr>
        <a:xfrm>
          <a:off x="5047129" y="6373906"/>
          <a:ext cx="1129553" cy="1927412"/>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242047</xdr:colOff>
      <xdr:row>50</xdr:row>
      <xdr:rowOff>62753</xdr:rowOff>
    </xdr:from>
    <xdr:to>
      <xdr:col>6</xdr:col>
      <xdr:colOff>71718</xdr:colOff>
      <xdr:row>51</xdr:row>
      <xdr:rowOff>62752</xdr:rowOff>
    </xdr:to>
    <xdr:sp macro="" textlink="">
      <xdr:nvSpPr>
        <xdr:cNvPr id="33" name="Rectangle: Rounded Corners 32">
          <a:extLst>
            <a:ext uri="{FF2B5EF4-FFF2-40B4-BE49-F238E27FC236}">
              <a16:creationId xmlns:a16="http://schemas.microsoft.com/office/drawing/2014/main" id="{2D807E79-B4A1-42FD-8777-8BC02B01E6D3}"/>
            </a:ext>
          </a:extLst>
        </xdr:cNvPr>
        <xdr:cNvSpPr/>
      </xdr:nvSpPr>
      <xdr:spPr>
        <a:xfrm>
          <a:off x="3290047" y="9224682"/>
          <a:ext cx="439271" cy="17929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528918</xdr:colOff>
      <xdr:row>52</xdr:row>
      <xdr:rowOff>53788</xdr:rowOff>
    </xdr:from>
    <xdr:to>
      <xdr:col>7</xdr:col>
      <xdr:colOff>295835</xdr:colOff>
      <xdr:row>53</xdr:row>
      <xdr:rowOff>44823</xdr:rowOff>
    </xdr:to>
    <xdr:sp macro="" textlink="">
      <xdr:nvSpPr>
        <xdr:cNvPr id="35" name="Rectangle: Rounded Corners 34">
          <a:extLst>
            <a:ext uri="{FF2B5EF4-FFF2-40B4-BE49-F238E27FC236}">
              <a16:creationId xmlns:a16="http://schemas.microsoft.com/office/drawing/2014/main" id="{95E73C76-898C-4FE5-8FCA-F481A270E7D1}"/>
            </a:ext>
          </a:extLst>
        </xdr:cNvPr>
        <xdr:cNvSpPr/>
      </xdr:nvSpPr>
      <xdr:spPr>
        <a:xfrm>
          <a:off x="4186518" y="9574306"/>
          <a:ext cx="376517" cy="17032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358588</xdr:colOff>
      <xdr:row>73</xdr:row>
      <xdr:rowOff>80682</xdr:rowOff>
    </xdr:from>
    <xdr:to>
      <xdr:col>3</xdr:col>
      <xdr:colOff>62753</xdr:colOff>
      <xdr:row>74</xdr:row>
      <xdr:rowOff>143436</xdr:rowOff>
    </xdr:to>
    <xdr:sp macro="" textlink="">
      <xdr:nvSpPr>
        <xdr:cNvPr id="37" name="TextBox 36">
          <a:extLst>
            <a:ext uri="{FF2B5EF4-FFF2-40B4-BE49-F238E27FC236}">
              <a16:creationId xmlns:a16="http://schemas.microsoft.com/office/drawing/2014/main" id="{DB0778B9-5C50-419E-8C6A-0D2DBEA7FC57}"/>
            </a:ext>
          </a:extLst>
        </xdr:cNvPr>
        <xdr:cNvSpPr txBox="1"/>
      </xdr:nvSpPr>
      <xdr:spPr>
        <a:xfrm>
          <a:off x="968188" y="13366376"/>
          <a:ext cx="923365" cy="242048"/>
        </a:xfrm>
        <a:prstGeom prst="rect">
          <a:avLst/>
        </a:prstGeom>
        <a:noFill/>
        <a:ln w="19050"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solidFill>
            </a:rPr>
            <a:t>Rising Trend</a:t>
          </a:r>
        </a:p>
      </xdr:txBody>
    </xdr:sp>
    <xdr:clientData/>
  </xdr:twoCellAnchor>
  <xdr:twoCellAnchor>
    <xdr:from>
      <xdr:col>3</xdr:col>
      <xdr:colOff>170329</xdr:colOff>
      <xdr:row>74</xdr:row>
      <xdr:rowOff>8965</xdr:rowOff>
    </xdr:from>
    <xdr:to>
      <xdr:col>3</xdr:col>
      <xdr:colOff>582706</xdr:colOff>
      <xdr:row>75</xdr:row>
      <xdr:rowOff>26894</xdr:rowOff>
    </xdr:to>
    <xdr:cxnSp macro="">
      <xdr:nvCxnSpPr>
        <xdr:cNvPr id="41" name="Connector: Elbow 40">
          <a:extLst>
            <a:ext uri="{FF2B5EF4-FFF2-40B4-BE49-F238E27FC236}">
              <a16:creationId xmlns:a16="http://schemas.microsoft.com/office/drawing/2014/main" id="{8AFB4DB0-9323-4A58-A036-73C550051665}"/>
            </a:ext>
          </a:extLst>
        </xdr:cNvPr>
        <xdr:cNvCxnSpPr/>
      </xdr:nvCxnSpPr>
      <xdr:spPr>
        <a:xfrm>
          <a:off x="1999129" y="13473953"/>
          <a:ext cx="412377" cy="197223"/>
        </a:xfrm>
        <a:prstGeom prst="bentConnector3">
          <a:avLst/>
        </a:prstGeom>
        <a:ln w="190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1.878371643521" createdVersion="7" refreshedVersion="7" minRefreshableVersion="3" recordCount="3348" xr:uid="{1DB19310-9BF9-42BC-A419-95E39557AEAA}">
  <cacheSource type="worksheet">
    <worksheetSource name="CPI_Inflation_Data_Structured"/>
  </cacheSource>
  <cacheFields count="8">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April"/>
        <s v="August"/>
        <s v="December"/>
        <s v="February"/>
        <s v="January"/>
        <s v="July"/>
        <s v="June"/>
        <s v="March"/>
        <s v="May"/>
        <s v="November"/>
        <s v="October"/>
        <s v="September"/>
      </sharedItems>
    </cacheField>
    <cacheField name="Period" numFmtId="0">
      <sharedItems/>
    </cacheField>
    <cacheField name="Attribute" numFmtId="0">
      <sharedItems count="27">
        <s v="Cereals and products"/>
        <s v="Clothing"/>
        <s v="Meat and fish"/>
        <s v="Clothing and footwear"/>
        <s v="Egg"/>
        <s v="Education"/>
        <s v="Milk and products"/>
        <s v="Oils and fats"/>
        <s v="Food and beverages"/>
        <s v="Fruits"/>
        <s v="Footwear"/>
        <s v="Vegetables"/>
        <s v="Pulses and products"/>
        <s v="Fuel and light"/>
        <s v="Sugar and Confectionery"/>
        <s v="General index"/>
        <s v="Spices"/>
        <s v="Health"/>
        <s v="Non-alcoholic beverages"/>
        <s v="Household goods and services"/>
        <s v="Prepared meals, snacks, sweets etc."/>
        <s v="Housing"/>
        <s v="Pan, tobacco and intoxicants"/>
        <s v="Miscellaneous"/>
        <s v="Personal care and effects"/>
        <s v="Transport and communication"/>
        <s v="Recreation and amusement"/>
      </sharedItems>
    </cacheField>
    <cacheField name="Rural" numFmtId="0">
      <sharedItems containsSemiMixedTypes="0" containsString="0" containsNumber="1" minValue="0" maxValue="225.2"/>
    </cacheField>
    <cacheField name="Urban" numFmtId="0">
      <sharedItems containsSemiMixedTypes="0" containsString="0" containsNumber="1" minValue="85.3" maxValue="245.3"/>
    </cacheField>
    <cacheField name="Rural+Urban" numFmtId="0">
      <sharedItems containsSemiMixedTypes="0" containsString="0" containsNumber="1" minValue="90.4" maxValue="230.5"/>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5.584811574074" createdVersion="7" refreshedVersion="7" minRefreshableVersion="3" recordCount="10044" xr:uid="{FF21B987-6ABA-409C-9C62-054C18CF2BA3}">
  <cacheSource type="worksheet">
    <worksheetSource name="CPIDataImputed_Structured1"/>
  </cacheSource>
  <cacheFields count="7">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April"/>
        <s v="August"/>
        <s v="December"/>
        <s v="February"/>
        <s v="January"/>
        <s v="July"/>
        <s v="June"/>
        <s v="March"/>
        <s v="May"/>
        <s v="November"/>
        <s v="October"/>
        <s v="September"/>
      </sharedItems>
    </cacheField>
    <cacheField name="Period" numFmtId="0">
      <sharedItems count="124">
        <s v="Apr-13"/>
        <s v="Aug-13"/>
        <s v="Dec-13"/>
        <s v="Feb-13"/>
        <s v="Jan-13"/>
        <s v="Jul-13"/>
        <s v="Jun-13"/>
        <s v="Mar-13"/>
        <s v="May-13"/>
        <s v="Nov-13"/>
        <s v="Oct-13"/>
        <s v="Sep-13"/>
        <s v="Apr-14"/>
        <s v="Aug-14"/>
        <s v="Dec-14"/>
        <s v="Feb-14"/>
        <s v="Jan-14"/>
        <s v="Jul-14"/>
        <s v="Jun-14"/>
        <s v="Mar-14"/>
        <s v="May-14"/>
        <s v="Nov-14"/>
        <s v="Oct-14"/>
        <s v="Sep-14"/>
        <s v="Apr-15"/>
        <s v="Aug-15"/>
        <s v="Dec-15"/>
        <s v="Feb-15"/>
        <s v="Jan-15"/>
        <s v="Jul-15"/>
        <s v="Jun-15"/>
        <s v="Mar-15"/>
        <s v="May-15"/>
        <s v="Nov-15"/>
        <s v="Oct-15"/>
        <s v="Sep-15"/>
        <s v="Apr-16"/>
        <s v="Aug-16"/>
        <s v="Dec-16"/>
        <s v="Feb-16"/>
        <s v="Jan-16"/>
        <s v="Jul-16"/>
        <s v="Jun-16"/>
        <s v="Mar-16"/>
        <s v="May-16"/>
        <s v="Nov-16"/>
        <s v="Oct-16"/>
        <s v="Sep-16"/>
        <s v="Apr-17"/>
        <s v="Aug-17"/>
        <s v="Dec-17"/>
        <s v="Feb-17"/>
        <s v="Jan-17"/>
        <s v="Jul-17"/>
        <s v="Jun-17"/>
        <s v="Mar-17"/>
        <s v="May-17"/>
        <s v="Nov-17"/>
        <s v="Oct-17"/>
        <s v="Sep-17"/>
        <s v="Apr-18"/>
        <s v="Aug-18"/>
        <s v="Dec-18"/>
        <s v="Feb-18"/>
        <s v="Jan-18"/>
        <s v="Jul-18"/>
        <s v="Jun-18"/>
        <s v="Mar-18"/>
        <s v="May-18"/>
        <s v="Nov-18"/>
        <s v="Oct-18"/>
        <s v="Sep-18"/>
        <s v="Aug-19"/>
        <s v="Dec-19"/>
        <s v="Feb-19"/>
        <s v="Jan-19"/>
        <s v="Jul-19"/>
        <s v="Jun-19"/>
        <s v="Mar-19"/>
        <s v="May-19"/>
        <s v="Nov-19"/>
        <s v="Oct-19"/>
        <s v="Sep-19"/>
        <s v="Apr-20"/>
        <s v="Aug-20"/>
        <s v="Dec-20"/>
        <s v="Feb-20"/>
        <s v="Jan-20"/>
        <s v="Jul-20"/>
        <s v="Jun-20"/>
        <s v="Mar-20"/>
        <s v="May-20"/>
        <s v="Nov-20"/>
        <s v="Oct-20"/>
        <s v="Sep-20"/>
        <s v="Apr-21"/>
        <s v="Aug-21"/>
        <s v="Dec-21"/>
        <s v="Feb-21"/>
        <s v="Jan-21"/>
        <s v="Jul-21"/>
        <s v="Jun-21"/>
        <s v="Mar-21"/>
        <s v="May-21"/>
        <s v="Nov-21"/>
        <s v="Oct-21"/>
        <s v="Sep-21"/>
        <s v="Apr-22"/>
        <s v="Aug-22"/>
        <s v="Dec-22"/>
        <s v="Feb-22"/>
        <s v="Jan-22"/>
        <s v="Jul-22"/>
        <s v="Jun-22"/>
        <s v="Mar-22"/>
        <s v="May-22"/>
        <s v="Nov-22"/>
        <s v="Oct-22"/>
        <s v="Sep-22"/>
        <s v="Apr-23"/>
        <s v="Feb-23"/>
        <s v="Jan-23"/>
        <s v="Mar-23"/>
        <s v="May-23"/>
      </sharedItems>
    </cacheField>
    <cacheField name="Attribute" numFmtId="0">
      <sharedItems count="27">
        <s v="Cereals and products"/>
        <s v="Clothing"/>
        <s v="Meat and fish"/>
        <s v="Clothing and footwear"/>
        <s v="Egg"/>
        <s v="Education"/>
        <s v="Milk and products"/>
        <s v="Oils and fats"/>
        <s v="Food and beverages"/>
        <s v="Fruits"/>
        <s v="Footwear"/>
        <s v="Vegetables"/>
        <s v="Pulses and products"/>
        <s v="Fuel and light"/>
        <s v="Sugar and Confectionery"/>
        <s v="General index"/>
        <s v="Spices"/>
        <s v="Health"/>
        <s v="Non-alcoholic beverages"/>
        <s v="Household goods and services"/>
        <s v="Prepared meals, snacks, sweets etc."/>
        <s v="Housing"/>
        <s v="Pan, tobacco and intoxicants"/>
        <s v="Miscellaneous"/>
        <s v="Personal care and effects"/>
        <s v="Transport and communication"/>
        <s v="Recreation and amusement"/>
      </sharedItems>
    </cacheField>
    <cacheField name="Category" numFmtId="0">
      <sharedItems count="10">
        <s v="Food &amp; Beverages"/>
        <s v="Apparel"/>
        <s v="Education"/>
        <s v="Energy"/>
        <s v="General Index"/>
        <s v="Health"/>
        <s v="Housing"/>
        <s v="Other goods &amp; services"/>
        <s v="Transport"/>
        <s v="Recreation"/>
      </sharedItems>
    </cacheField>
    <cacheField name="Sector" numFmtId="0">
      <sharedItems count="3">
        <s v="Rural"/>
        <s v="Rural+Urban"/>
        <s v="Urban"/>
      </sharedItems>
    </cacheField>
    <cacheField name="CPI" numFmtId="0">
      <sharedItems containsSemiMixedTypes="0" containsString="0" containsNumber="1" minValue="0" maxValue="245.3"/>
    </cacheField>
  </cacheFields>
  <extLst>
    <ext xmlns:x14="http://schemas.microsoft.com/office/spreadsheetml/2009/9/main" uri="{725AE2AE-9491-48be-B2B4-4EB974FC3084}">
      <x14:pivotCacheDefinition pivotCacheId="1210514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8">
  <r>
    <x v="0"/>
    <x v="0"/>
    <s v="Apr-13"/>
    <x v="0"/>
    <n v="110.2"/>
    <n v="114.6"/>
    <n v="111.6"/>
    <s v="Food &amp; Beverages"/>
  </r>
  <r>
    <x v="0"/>
    <x v="1"/>
    <s v="Aug-13"/>
    <x v="0"/>
    <n v="114.3"/>
    <n v="118.3"/>
    <n v="115.6"/>
    <s v="Food &amp; Beverages"/>
  </r>
  <r>
    <x v="0"/>
    <x v="0"/>
    <s v="Apr-13"/>
    <x v="1"/>
    <n v="108.1"/>
    <n v="107.9"/>
    <n v="108"/>
    <s v="Apparel"/>
  </r>
  <r>
    <x v="0"/>
    <x v="0"/>
    <s v="Apr-13"/>
    <x v="2"/>
    <n v="109.5"/>
    <n v="113.4"/>
    <n v="110.9"/>
    <s v="Food &amp; Beverages"/>
  </r>
  <r>
    <x v="0"/>
    <x v="0"/>
    <s v="Apr-13"/>
    <x v="3"/>
    <n v="108"/>
    <n v="107.7"/>
    <n v="107.9"/>
    <s v="Apparel"/>
  </r>
  <r>
    <x v="0"/>
    <x v="0"/>
    <s v="Apr-13"/>
    <x v="4"/>
    <n v="106.9"/>
    <n v="106"/>
    <n v="106.6"/>
    <s v="Food &amp; Beverages"/>
  </r>
  <r>
    <x v="0"/>
    <x v="0"/>
    <s v="Apr-13"/>
    <x v="5"/>
    <n v="104.8"/>
    <n v="105.2"/>
    <n v="105"/>
    <s v="Education"/>
  </r>
  <r>
    <x v="0"/>
    <x v="0"/>
    <s v="Apr-13"/>
    <x v="6"/>
    <n v="106.3"/>
    <n v="104.7"/>
    <n v="105.7"/>
    <s v="Food &amp; Beverages"/>
  </r>
  <r>
    <x v="0"/>
    <x v="0"/>
    <s v="Apr-13"/>
    <x v="7"/>
    <n v="105.7"/>
    <n v="102.1"/>
    <n v="104.4"/>
    <s v="Food &amp; Beverages"/>
  </r>
  <r>
    <x v="0"/>
    <x v="0"/>
    <s v="Apr-13"/>
    <x v="8"/>
    <n v="107.1"/>
    <n v="108.8"/>
    <n v="107.7"/>
    <s v="Food &amp; Beverages"/>
  </r>
  <r>
    <x v="0"/>
    <x v="0"/>
    <s v="Apr-13"/>
    <x v="9"/>
    <n v="108.3"/>
    <n v="109.5"/>
    <n v="108.9"/>
    <s v="Food &amp; Beverages"/>
  </r>
  <r>
    <x v="0"/>
    <x v="0"/>
    <s v="Apr-13"/>
    <x v="10"/>
    <n v="107.4"/>
    <n v="106.4"/>
    <n v="107"/>
    <s v="Apparel"/>
  </r>
  <r>
    <x v="0"/>
    <x v="0"/>
    <s v="Apr-13"/>
    <x v="11"/>
    <n v="103.4"/>
    <n v="109.7"/>
    <n v="105.5"/>
    <s v="Food &amp; Beverages"/>
  </r>
  <r>
    <x v="0"/>
    <x v="0"/>
    <s v="Apr-13"/>
    <x v="12"/>
    <n v="105.7"/>
    <n v="104.6"/>
    <n v="105.3"/>
    <s v="Food &amp; Beverages"/>
  </r>
  <r>
    <x v="0"/>
    <x v="0"/>
    <s v="Apr-13"/>
    <x v="13"/>
    <n v="106.5"/>
    <n v="106.4"/>
    <n v="106.5"/>
    <s v="Energy"/>
  </r>
  <r>
    <x v="0"/>
    <x v="0"/>
    <s v="Apr-13"/>
    <x v="14"/>
    <n v="104.2"/>
    <n v="102"/>
    <n v="103.5"/>
    <s v="Food &amp; Beverages"/>
  </r>
  <r>
    <x v="0"/>
    <x v="0"/>
    <s v="Apr-13"/>
    <x v="15"/>
    <n v="106.4"/>
    <n v="105.7"/>
    <n v="106.1"/>
    <s v="General Index"/>
  </r>
  <r>
    <x v="0"/>
    <x v="0"/>
    <s v="Apr-13"/>
    <x v="16"/>
    <n v="103.2"/>
    <n v="103.5"/>
    <n v="103.3"/>
    <s v="Food &amp; Beverages"/>
  </r>
  <r>
    <x v="0"/>
    <x v="0"/>
    <s v="Apr-13"/>
    <x v="17"/>
    <n v="105.1"/>
    <n v="105.7"/>
    <n v="105.3"/>
    <s v="Health"/>
  </r>
  <r>
    <x v="0"/>
    <x v="0"/>
    <s v="Apr-13"/>
    <x v="18"/>
    <n v="106.5"/>
    <n v="108.2"/>
    <n v="107.2"/>
    <s v="Food &amp; Beverages"/>
  </r>
  <r>
    <x v="0"/>
    <x v="0"/>
    <s v="Apr-13"/>
    <x v="19"/>
    <n v="106.1"/>
    <n v="106.5"/>
    <n v="106.3"/>
    <s v="Housing"/>
  </r>
  <r>
    <x v="0"/>
    <x v="0"/>
    <s v="Apr-13"/>
    <x v="20"/>
    <n v="108.8"/>
    <n v="110.6"/>
    <n v="109.6"/>
    <s v="Food &amp; Beverages"/>
  </r>
  <r>
    <x v="0"/>
    <x v="0"/>
    <s v="Apr-13"/>
    <x v="21"/>
    <n v="0"/>
    <n v="100.5"/>
    <n v="100.5"/>
    <s v="Housing"/>
  </r>
  <r>
    <x v="0"/>
    <x v="0"/>
    <s v="Apr-13"/>
    <x v="22"/>
    <n v="107.1"/>
    <n v="108.5"/>
    <n v="107.5"/>
    <s v="Other goods &amp; services"/>
  </r>
  <r>
    <x v="0"/>
    <x v="0"/>
    <s v="Apr-13"/>
    <x v="23"/>
    <n v="104.6"/>
    <n v="105.1"/>
    <n v="104.8"/>
    <s v="Other goods &amp; services"/>
  </r>
  <r>
    <x v="0"/>
    <x v="0"/>
    <s v="Apr-13"/>
    <x v="24"/>
    <n v="102.7"/>
    <n v="103.2"/>
    <n v="102.9"/>
    <s v="Other goods &amp; services"/>
  </r>
  <r>
    <x v="0"/>
    <x v="0"/>
    <s v="Apr-13"/>
    <x v="25"/>
    <n v="104.4"/>
    <n v="105"/>
    <n v="104.7"/>
    <s v="Transport"/>
  </r>
  <r>
    <x v="0"/>
    <x v="0"/>
    <s v="Apr-13"/>
    <x v="26"/>
    <n v="104.5"/>
    <n v="104"/>
    <n v="104.2"/>
    <s v="Recreation"/>
  </r>
  <r>
    <x v="0"/>
    <x v="1"/>
    <s v="Aug-13"/>
    <x v="1"/>
    <n v="111.3"/>
    <n v="110.6"/>
    <n v="111"/>
    <s v="Apparel"/>
  </r>
  <r>
    <x v="0"/>
    <x v="1"/>
    <s v="Aug-13"/>
    <x v="3"/>
    <n v="111.1"/>
    <n v="110.2"/>
    <n v="110.7"/>
    <s v="Apparel"/>
  </r>
  <r>
    <x v="0"/>
    <x v="1"/>
    <s v="Aug-13"/>
    <x v="5"/>
    <n v="108.7"/>
    <n v="110.8"/>
    <n v="109.9"/>
    <s v="Education"/>
  </r>
  <r>
    <x v="0"/>
    <x v="1"/>
    <s v="Aug-13"/>
    <x v="4"/>
    <n v="111.1"/>
    <n v="112.7"/>
    <n v="111.7"/>
    <s v="Food &amp; Beverages"/>
  </r>
  <r>
    <x v="0"/>
    <x v="1"/>
    <s v="Aug-13"/>
    <x v="8"/>
    <n v="114.9"/>
    <n v="119.6"/>
    <n v="116.6"/>
    <s v="Food &amp; Beverages"/>
  </r>
  <r>
    <x v="0"/>
    <x v="1"/>
    <s v="Aug-13"/>
    <x v="10"/>
    <n v="110.2"/>
    <n v="108.3"/>
    <n v="109.4"/>
    <s v="Apparel"/>
  </r>
  <r>
    <x v="0"/>
    <x v="1"/>
    <s v="Aug-13"/>
    <x v="9"/>
    <n v="110.8"/>
    <n v="108.7"/>
    <n v="109.8"/>
    <s v="Food &amp; Beverages"/>
  </r>
  <r>
    <x v="0"/>
    <x v="1"/>
    <s v="Aug-13"/>
    <x v="13"/>
    <n v="109.9"/>
    <n v="109.3"/>
    <n v="109.7"/>
    <s v="Energy"/>
  </r>
  <r>
    <x v="0"/>
    <x v="1"/>
    <s v="Aug-13"/>
    <x v="15"/>
    <n v="112.1"/>
    <n v="112.7"/>
    <n v="112.4"/>
    <s v="General Index"/>
  </r>
  <r>
    <x v="0"/>
    <x v="1"/>
    <s v="Aug-13"/>
    <x v="17"/>
    <n v="107.5"/>
    <n v="107.6"/>
    <n v="107.5"/>
    <s v="Health"/>
  </r>
  <r>
    <x v="0"/>
    <x v="1"/>
    <s v="Aug-13"/>
    <x v="19"/>
    <n v="108.7"/>
    <n v="108.7"/>
    <n v="108.7"/>
    <s v="Housing"/>
  </r>
  <r>
    <x v="0"/>
    <x v="1"/>
    <s v="Aug-13"/>
    <x v="21"/>
    <n v="0"/>
    <n v="108.9"/>
    <n v="108.9"/>
    <s v="Housing"/>
  </r>
  <r>
    <x v="0"/>
    <x v="1"/>
    <s v="Aug-13"/>
    <x v="2"/>
    <n v="115.4"/>
    <n v="120.4"/>
    <n v="117.2"/>
    <s v="Food &amp; Beverages"/>
  </r>
  <r>
    <x v="0"/>
    <x v="1"/>
    <s v="Aug-13"/>
    <x v="6"/>
    <n v="110"/>
    <n v="108.9"/>
    <n v="109.6"/>
    <s v="Food &amp; Beverages"/>
  </r>
  <r>
    <x v="0"/>
    <x v="1"/>
    <s v="Aug-13"/>
    <x v="23"/>
    <n v="107.5"/>
    <n v="108.3"/>
    <n v="107.9"/>
    <s v="Other goods &amp; services"/>
  </r>
  <r>
    <x v="0"/>
    <x v="1"/>
    <s v="Aug-13"/>
    <x v="18"/>
    <n v="109.7"/>
    <n v="110.9"/>
    <n v="110.2"/>
    <s v="Food &amp; Beverages"/>
  </r>
  <r>
    <x v="0"/>
    <x v="1"/>
    <s v="Aug-13"/>
    <x v="7"/>
    <n v="106.4"/>
    <n v="101.1"/>
    <n v="104.5"/>
    <s v="Food &amp; Beverages"/>
  </r>
  <r>
    <x v="0"/>
    <x v="1"/>
    <s v="Aug-13"/>
    <x v="22"/>
    <n v="110.7"/>
    <n v="112.4"/>
    <n v="111.2"/>
    <s v="Other goods &amp; services"/>
  </r>
  <r>
    <x v="0"/>
    <x v="1"/>
    <s v="Aug-13"/>
    <x v="24"/>
    <n v="105"/>
    <n v="106"/>
    <n v="105.4"/>
    <s v="Other goods &amp; services"/>
  </r>
  <r>
    <x v="0"/>
    <x v="1"/>
    <s v="Aug-13"/>
    <x v="20"/>
    <n v="112.6"/>
    <n v="114.3"/>
    <n v="113.4"/>
    <s v="Food &amp; Beverages"/>
  </r>
  <r>
    <x v="0"/>
    <x v="1"/>
    <s v="Aug-13"/>
    <x v="12"/>
    <n v="107.4"/>
    <n v="104.7"/>
    <n v="106.5"/>
    <s v="Food &amp; Beverages"/>
  </r>
  <r>
    <x v="0"/>
    <x v="1"/>
    <s v="Aug-13"/>
    <x v="26"/>
    <n v="106.8"/>
    <n v="106.5"/>
    <n v="106.6"/>
    <s v="Recreation"/>
  </r>
  <r>
    <x v="0"/>
    <x v="1"/>
    <s v="Aug-13"/>
    <x v="16"/>
    <n v="106.9"/>
    <n v="108.5"/>
    <n v="107.4"/>
    <s v="Food &amp; Beverages"/>
  </r>
  <r>
    <x v="0"/>
    <x v="1"/>
    <s v="Aug-13"/>
    <x v="14"/>
    <n v="104.1"/>
    <n v="101"/>
    <n v="103.1"/>
    <s v="Food &amp; Beverages"/>
  </r>
  <r>
    <x v="0"/>
    <x v="1"/>
    <s v="Aug-13"/>
    <x v="25"/>
    <n v="107.8"/>
    <n v="108.1"/>
    <n v="108"/>
    <s v="Transport"/>
  </r>
  <r>
    <x v="0"/>
    <x v="1"/>
    <s v="Aug-13"/>
    <x v="11"/>
    <n v="138.9"/>
    <n v="177"/>
    <n v="151.80000000000001"/>
    <s v="Food &amp; Beverages"/>
  </r>
  <r>
    <x v="0"/>
    <x v="2"/>
    <s v="Dec-13"/>
    <x v="0"/>
    <n v="118.4"/>
    <n v="120.5"/>
    <n v="119.1"/>
    <s v="Food &amp; Beverages"/>
  </r>
  <r>
    <x v="0"/>
    <x v="2"/>
    <s v="Dec-13"/>
    <x v="1"/>
    <n v="115.8"/>
    <n v="114.2"/>
    <n v="115.2"/>
    <s v="Apparel"/>
  </r>
  <r>
    <x v="0"/>
    <x v="2"/>
    <s v="Dec-13"/>
    <x v="3"/>
    <n v="115.5"/>
    <n v="113.7"/>
    <n v="114.8"/>
    <s v="Apparel"/>
  </r>
  <r>
    <x v="0"/>
    <x v="2"/>
    <s v="Dec-13"/>
    <x v="5"/>
    <n v="111.6"/>
    <n v="111.4"/>
    <n v="111.5"/>
    <s v="Education"/>
  </r>
  <r>
    <x v="0"/>
    <x v="2"/>
    <s v="Dec-13"/>
    <x v="4"/>
    <n v="120.4"/>
    <n v="128.5"/>
    <n v="123.5"/>
    <s v="Food &amp; Beverages"/>
  </r>
  <r>
    <x v="0"/>
    <x v="2"/>
    <s v="Dec-13"/>
    <x v="8"/>
    <n v="118.7"/>
    <n v="117.8"/>
    <n v="118.4"/>
    <s v="Food &amp; Beverages"/>
  </r>
  <r>
    <x v="0"/>
    <x v="2"/>
    <s v="Dec-13"/>
    <x v="10"/>
    <n v="114"/>
    <n v="110.9"/>
    <n v="112.7"/>
    <s v="Apparel"/>
  </r>
  <r>
    <x v="0"/>
    <x v="2"/>
    <s v="Dec-13"/>
    <x v="9"/>
    <n v="115.5"/>
    <n v="110.7"/>
    <n v="113.3"/>
    <s v="Food &amp; Beverages"/>
  </r>
  <r>
    <x v="0"/>
    <x v="2"/>
    <s v="Dec-13"/>
    <x v="13"/>
    <n v="112.8"/>
    <n v="110.4"/>
    <n v="111.9"/>
    <s v="Energy"/>
  </r>
  <r>
    <x v="0"/>
    <x v="2"/>
    <s v="Dec-13"/>
    <x v="15"/>
    <n v="115.5"/>
    <n v="113.3"/>
    <n v="114.5"/>
    <s v="General Index"/>
  </r>
  <r>
    <x v="0"/>
    <x v="2"/>
    <s v="Dec-13"/>
    <x v="17"/>
    <n v="110.1"/>
    <n v="109"/>
    <n v="109.7"/>
    <s v="Health"/>
  </r>
  <r>
    <x v="0"/>
    <x v="2"/>
    <s v="Dec-13"/>
    <x v="19"/>
    <n v="112.1"/>
    <n v="111.3"/>
    <n v="111.7"/>
    <s v="Housing"/>
  </r>
  <r>
    <x v="0"/>
    <x v="2"/>
    <s v="Dec-13"/>
    <x v="21"/>
    <n v="0"/>
    <n v="110.7"/>
    <n v="110.7"/>
    <s v="Housing"/>
  </r>
  <r>
    <x v="0"/>
    <x v="2"/>
    <s v="Dec-13"/>
    <x v="2"/>
    <n v="115.9"/>
    <n v="118.1"/>
    <n v="116.7"/>
    <s v="Food &amp; Beverages"/>
  </r>
  <r>
    <x v="0"/>
    <x v="2"/>
    <s v="Dec-13"/>
    <x v="6"/>
    <n v="113.8"/>
    <n v="112.8"/>
    <n v="113.4"/>
    <s v="Food &amp; Beverages"/>
  </r>
  <r>
    <x v="0"/>
    <x v="2"/>
    <s v="Dec-13"/>
    <x v="23"/>
    <n v="110.1"/>
    <n v="109.8"/>
    <n v="110"/>
    <s v="Other goods &amp; services"/>
  </r>
  <r>
    <x v="0"/>
    <x v="2"/>
    <s v="Dec-13"/>
    <x v="18"/>
    <n v="112.1"/>
    <n v="112.1"/>
    <n v="112.1"/>
    <s v="Food &amp; Beverages"/>
  </r>
  <r>
    <x v="0"/>
    <x v="2"/>
    <s v="Dec-13"/>
    <x v="7"/>
    <n v="109.5"/>
    <n v="103.4"/>
    <n v="107.3"/>
    <s v="Food &amp; Beverages"/>
  </r>
  <r>
    <x v="0"/>
    <x v="2"/>
    <s v="Dec-13"/>
    <x v="22"/>
    <n v="113.6"/>
    <n v="115"/>
    <n v="114"/>
    <s v="Other goods &amp; services"/>
  </r>
  <r>
    <x v="0"/>
    <x v="2"/>
    <s v="Dec-13"/>
    <x v="24"/>
    <n v="108.1"/>
    <n v="107.7"/>
    <n v="107.9"/>
    <s v="Other goods &amp; services"/>
  </r>
  <r>
    <x v="0"/>
    <x v="2"/>
    <s v="Dec-13"/>
    <x v="20"/>
    <n v="116.8"/>
    <n v="118.1"/>
    <n v="117.4"/>
    <s v="Food &amp; Beverages"/>
  </r>
  <r>
    <x v="0"/>
    <x v="2"/>
    <s v="Dec-13"/>
    <x v="12"/>
    <n v="109.5"/>
    <n v="107.1"/>
    <n v="108.7"/>
    <s v="Food &amp; Beverages"/>
  </r>
  <r>
    <x v="0"/>
    <x v="2"/>
    <s v="Dec-13"/>
    <x v="26"/>
    <n v="109.2"/>
    <n v="108.9"/>
    <n v="109"/>
    <s v="Recreation"/>
  </r>
  <r>
    <x v="0"/>
    <x v="2"/>
    <s v="Dec-13"/>
    <x v="16"/>
    <n v="109.8"/>
    <n v="111.9"/>
    <n v="110.5"/>
    <s v="Food &amp; Beverages"/>
  </r>
  <r>
    <x v="0"/>
    <x v="2"/>
    <s v="Dec-13"/>
    <x v="14"/>
    <n v="102.9"/>
    <n v="98.6"/>
    <n v="101.5"/>
    <s v="Food &amp; Beverages"/>
  </r>
  <r>
    <x v="0"/>
    <x v="2"/>
    <s v="Dec-13"/>
    <x v="25"/>
    <n v="109.9"/>
    <n v="109.7"/>
    <n v="109.8"/>
    <s v="Transport"/>
  </r>
  <r>
    <x v="0"/>
    <x v="2"/>
    <s v="Dec-13"/>
    <x v="11"/>
    <n v="145.69999999999999"/>
    <n v="144.80000000000001"/>
    <n v="145.4"/>
    <s v="Food &amp; Beverages"/>
  </r>
  <r>
    <x v="0"/>
    <x v="3"/>
    <s v="Feb-13"/>
    <x v="0"/>
    <n v="109.2"/>
    <n v="112.9"/>
    <n v="110.4"/>
    <s v="Food &amp; Beverages"/>
  </r>
  <r>
    <x v="0"/>
    <x v="3"/>
    <s v="Feb-13"/>
    <x v="1"/>
    <n v="107.1"/>
    <n v="106.6"/>
    <n v="106.9"/>
    <s v="Apparel"/>
  </r>
  <r>
    <x v="0"/>
    <x v="3"/>
    <s v="Feb-13"/>
    <x v="3"/>
    <n v="107"/>
    <n v="106.4"/>
    <n v="106.8"/>
    <s v="Apparel"/>
  </r>
  <r>
    <x v="0"/>
    <x v="3"/>
    <s v="Feb-13"/>
    <x v="5"/>
    <n v="104.1"/>
    <n v="103.7"/>
    <n v="103.9"/>
    <s v="Education"/>
  </r>
  <r>
    <x v="0"/>
    <x v="3"/>
    <s v="Feb-13"/>
    <x v="4"/>
    <n v="110.2"/>
    <n v="116.9"/>
    <n v="112.8"/>
    <s v="Food &amp; Beverages"/>
  </r>
  <r>
    <x v="0"/>
    <x v="3"/>
    <s v="Feb-13"/>
    <x v="8"/>
    <n v="106.3"/>
    <n v="107.2"/>
    <n v="106.6"/>
    <s v="Food &amp; Beverages"/>
  </r>
  <r>
    <x v="0"/>
    <x v="3"/>
    <s v="Feb-13"/>
    <x v="10"/>
    <n v="106.3"/>
    <n v="105.5"/>
    <n v="106"/>
    <s v="Apparel"/>
  </r>
  <r>
    <x v="0"/>
    <x v="3"/>
    <s v="Feb-13"/>
    <x v="9"/>
    <n v="104"/>
    <n v="103.1"/>
    <n v="103.6"/>
    <s v="Food &amp; Beverages"/>
  </r>
  <r>
    <x v="0"/>
    <x v="3"/>
    <s v="Feb-13"/>
    <x v="13"/>
    <n v="106.2"/>
    <n v="105.7"/>
    <n v="106"/>
    <s v="Energy"/>
  </r>
  <r>
    <x v="0"/>
    <x v="3"/>
    <s v="Feb-13"/>
    <x v="15"/>
    <n v="105.8"/>
    <n v="104.7"/>
    <n v="105.3"/>
    <s v="General Index"/>
  </r>
  <r>
    <x v="0"/>
    <x v="3"/>
    <s v="Feb-13"/>
    <x v="17"/>
    <n v="104.4"/>
    <n v="104.7"/>
    <n v="104.5"/>
    <s v="Health"/>
  </r>
  <r>
    <x v="0"/>
    <x v="3"/>
    <s v="Feb-13"/>
    <x v="19"/>
    <n v="105.2"/>
    <n v="105.2"/>
    <n v="105.2"/>
    <s v="Housing"/>
  </r>
  <r>
    <x v="0"/>
    <x v="3"/>
    <s v="Feb-13"/>
    <x v="21"/>
    <n v="0"/>
    <n v="100.4"/>
    <n v="100.4"/>
    <s v="Housing"/>
  </r>
  <r>
    <x v="0"/>
    <x v="3"/>
    <s v="Feb-13"/>
    <x v="2"/>
    <n v="108.7"/>
    <n v="112.9"/>
    <n v="110.2"/>
    <s v="Food &amp; Beverages"/>
  </r>
  <r>
    <x v="0"/>
    <x v="3"/>
    <s v="Feb-13"/>
    <x v="6"/>
    <n v="105.4"/>
    <n v="104"/>
    <n v="104.9"/>
    <s v="Food &amp; Beverages"/>
  </r>
  <r>
    <x v="0"/>
    <x v="3"/>
    <s v="Feb-13"/>
    <x v="23"/>
    <n v="104.4"/>
    <n v="104.3"/>
    <n v="104.4"/>
    <s v="Other goods &amp; services"/>
  </r>
  <r>
    <x v="0"/>
    <x v="3"/>
    <s v="Feb-13"/>
    <x v="18"/>
    <n v="105.1"/>
    <n v="106"/>
    <n v="105.5"/>
    <s v="Food &amp; Beverages"/>
  </r>
  <r>
    <x v="0"/>
    <x v="3"/>
    <s v="Feb-13"/>
    <x v="7"/>
    <n v="106.7"/>
    <n v="103.5"/>
    <n v="105.5"/>
    <s v="Food &amp; Beverages"/>
  </r>
  <r>
    <x v="0"/>
    <x v="3"/>
    <s v="Feb-13"/>
    <x v="22"/>
    <n v="105.6"/>
    <n v="106"/>
    <n v="105.7"/>
    <s v="Other goods &amp; services"/>
  </r>
  <r>
    <x v="0"/>
    <x v="3"/>
    <s v="Feb-13"/>
    <x v="24"/>
    <n v="104.6"/>
    <n v="104.3"/>
    <n v="104.5"/>
    <s v="Other goods &amp; services"/>
  </r>
  <r>
    <x v="0"/>
    <x v="3"/>
    <s v="Feb-13"/>
    <x v="20"/>
    <n v="107.7"/>
    <n v="109"/>
    <n v="108.3"/>
    <s v="Food &amp; Beverages"/>
  </r>
  <r>
    <x v="0"/>
    <x v="3"/>
    <s v="Feb-13"/>
    <x v="12"/>
    <n v="105.9"/>
    <n v="104.1"/>
    <n v="105.3"/>
    <s v="Food &amp; Beverages"/>
  </r>
  <r>
    <x v="0"/>
    <x v="3"/>
    <s v="Feb-13"/>
    <x v="26"/>
    <n v="104"/>
    <n v="103.3"/>
    <n v="103.6"/>
    <s v="Recreation"/>
  </r>
  <r>
    <x v="0"/>
    <x v="3"/>
    <s v="Feb-13"/>
    <x v="16"/>
    <n v="103.1"/>
    <n v="102.3"/>
    <n v="102.8"/>
    <s v="Food &amp; Beverages"/>
  </r>
  <r>
    <x v="0"/>
    <x v="3"/>
    <s v="Feb-13"/>
    <x v="14"/>
    <n v="105.7"/>
    <n v="103.8"/>
    <n v="105.1"/>
    <s v="Food &amp; Beverages"/>
  </r>
  <r>
    <x v="0"/>
    <x v="3"/>
    <s v="Feb-13"/>
    <x v="25"/>
    <n v="103.9"/>
    <n v="104.4"/>
    <n v="104.2"/>
    <s v="Transport"/>
  </r>
  <r>
    <x v="0"/>
    <x v="3"/>
    <s v="Feb-13"/>
    <x v="11"/>
    <n v="102.4"/>
    <n v="104.9"/>
    <n v="103.2"/>
    <s v="Food &amp; Beverages"/>
  </r>
  <r>
    <x v="0"/>
    <x v="4"/>
    <s v="Jan-13"/>
    <x v="0"/>
    <n v="107.5"/>
    <n v="110.5"/>
    <n v="108.4"/>
    <s v="Food &amp; Beverages"/>
  </r>
  <r>
    <x v="0"/>
    <x v="4"/>
    <s v="Jan-13"/>
    <x v="1"/>
    <n v="106.5"/>
    <n v="105.9"/>
    <n v="106.3"/>
    <s v="Apparel"/>
  </r>
  <r>
    <x v="0"/>
    <x v="4"/>
    <s v="Jan-13"/>
    <x v="3"/>
    <n v="106.4"/>
    <n v="105.8"/>
    <n v="106.2"/>
    <s v="Apparel"/>
  </r>
  <r>
    <x v="0"/>
    <x v="4"/>
    <s v="Jan-13"/>
    <x v="5"/>
    <n v="103.8"/>
    <n v="103.5"/>
    <n v="103.6"/>
    <s v="Education"/>
  </r>
  <r>
    <x v="0"/>
    <x v="4"/>
    <s v="Jan-13"/>
    <x v="4"/>
    <n v="108.1"/>
    <n v="113"/>
    <n v="110"/>
    <s v="Food &amp; Beverages"/>
  </r>
  <r>
    <x v="0"/>
    <x v="4"/>
    <s v="Jan-13"/>
    <x v="8"/>
    <n v="105.5"/>
    <n v="105.9"/>
    <n v="105.6"/>
    <s v="Food &amp; Beverages"/>
  </r>
  <r>
    <x v="0"/>
    <x v="4"/>
    <s v="Jan-13"/>
    <x v="10"/>
    <n v="105.8"/>
    <n v="105"/>
    <n v="105.5"/>
    <s v="Apparel"/>
  </r>
  <r>
    <x v="0"/>
    <x v="4"/>
    <s v="Jan-13"/>
    <x v="9"/>
    <n v="103.9"/>
    <n v="102.3"/>
    <n v="103.2"/>
    <s v="Food &amp; Beverages"/>
  </r>
  <r>
    <x v="0"/>
    <x v="4"/>
    <s v="Jan-13"/>
    <x v="13"/>
    <n v="105.5"/>
    <n v="105.4"/>
    <n v="105.5"/>
    <s v="Energy"/>
  </r>
  <r>
    <x v="0"/>
    <x v="4"/>
    <s v="Jan-13"/>
    <x v="15"/>
    <n v="105.1"/>
    <n v="104"/>
    <n v="104.6"/>
    <s v="General Index"/>
  </r>
  <r>
    <x v="0"/>
    <x v="4"/>
    <s v="Jan-13"/>
    <x v="17"/>
    <n v="104"/>
    <n v="104.1"/>
    <n v="104"/>
    <s v="Health"/>
  </r>
  <r>
    <x v="0"/>
    <x v="4"/>
    <s v="Jan-13"/>
    <x v="19"/>
    <n v="104.8"/>
    <n v="104.8"/>
    <n v="104.8"/>
    <s v="Housing"/>
  </r>
  <r>
    <x v="0"/>
    <x v="4"/>
    <s v="Jan-13"/>
    <x v="21"/>
    <n v="0"/>
    <n v="100.3"/>
    <n v="100.3"/>
    <s v="Housing"/>
  </r>
  <r>
    <x v="0"/>
    <x v="4"/>
    <s v="Jan-13"/>
    <x v="2"/>
    <n v="106.3"/>
    <n v="109.1"/>
    <n v="107.3"/>
    <s v="Food &amp; Beverages"/>
  </r>
  <r>
    <x v="0"/>
    <x v="4"/>
    <s v="Jan-13"/>
    <x v="6"/>
    <n v="104.9"/>
    <n v="103.6"/>
    <n v="104.4"/>
    <s v="Food &amp; Beverages"/>
  </r>
  <r>
    <x v="0"/>
    <x v="4"/>
    <s v="Jan-13"/>
    <x v="23"/>
    <n v="104"/>
    <n v="103.7"/>
    <n v="103.9"/>
    <s v="Other goods &amp; services"/>
  </r>
  <r>
    <x v="0"/>
    <x v="4"/>
    <s v="Jan-13"/>
    <x v="18"/>
    <n v="104.8"/>
    <n v="105.1"/>
    <n v="104.9"/>
    <s v="Food &amp; Beverages"/>
  </r>
  <r>
    <x v="0"/>
    <x v="4"/>
    <s v="Jan-13"/>
    <x v="7"/>
    <n v="106.1"/>
    <n v="103.4"/>
    <n v="105.1"/>
    <s v="Food &amp; Beverages"/>
  </r>
  <r>
    <x v="0"/>
    <x v="4"/>
    <s v="Jan-13"/>
    <x v="22"/>
    <n v="105.1"/>
    <n v="105.2"/>
    <n v="105.1"/>
    <s v="Other goods &amp; services"/>
  </r>
  <r>
    <x v="0"/>
    <x v="4"/>
    <s v="Jan-13"/>
    <x v="24"/>
    <n v="104.7"/>
    <n v="104.3"/>
    <n v="104.5"/>
    <s v="Other goods &amp; services"/>
  </r>
  <r>
    <x v="0"/>
    <x v="4"/>
    <s v="Jan-13"/>
    <x v="20"/>
    <n v="106.7"/>
    <n v="107.9"/>
    <n v="107.3"/>
    <s v="Food &amp; Beverages"/>
  </r>
  <r>
    <x v="0"/>
    <x v="4"/>
    <s v="Jan-13"/>
    <x v="12"/>
    <n v="106.1"/>
    <n v="105.8"/>
    <n v="106"/>
    <s v="Food &amp; Beverages"/>
  </r>
  <r>
    <x v="0"/>
    <x v="4"/>
    <s v="Jan-13"/>
    <x v="26"/>
    <n v="103.4"/>
    <n v="102.9"/>
    <n v="103.1"/>
    <s v="Recreation"/>
  </r>
  <r>
    <x v="0"/>
    <x v="4"/>
    <s v="Jan-13"/>
    <x v="16"/>
    <n v="103.1"/>
    <n v="101.8"/>
    <n v="102.7"/>
    <s v="Food &amp; Beverages"/>
  </r>
  <r>
    <x v="0"/>
    <x v="4"/>
    <s v="Jan-13"/>
    <x v="14"/>
    <n v="106.8"/>
    <n v="105.1"/>
    <n v="106.2"/>
    <s v="Food &amp; Beverages"/>
  </r>
  <r>
    <x v="0"/>
    <x v="4"/>
    <s v="Jan-13"/>
    <x v="25"/>
    <n v="103.3"/>
    <n v="103.2"/>
    <n v="103.2"/>
    <s v="Transport"/>
  </r>
  <r>
    <x v="0"/>
    <x v="4"/>
    <s v="Jan-13"/>
    <x v="11"/>
    <n v="101.9"/>
    <n v="102.9"/>
    <n v="102.2"/>
    <s v="Food &amp; Beverages"/>
  </r>
  <r>
    <x v="0"/>
    <x v="5"/>
    <s v="Jul-13"/>
    <x v="0"/>
    <n v="113.4"/>
    <n v="117.8"/>
    <n v="114.8"/>
    <s v="Food &amp; Beverages"/>
  </r>
  <r>
    <x v="0"/>
    <x v="5"/>
    <s v="Jul-13"/>
    <x v="1"/>
    <n v="110.5"/>
    <n v="109.8"/>
    <n v="110.2"/>
    <s v="Apparel"/>
  </r>
  <r>
    <x v="0"/>
    <x v="5"/>
    <s v="Jul-13"/>
    <x v="3"/>
    <n v="110.3"/>
    <n v="109.5"/>
    <n v="110"/>
    <s v="Apparel"/>
  </r>
  <r>
    <x v="0"/>
    <x v="5"/>
    <s v="Jul-13"/>
    <x v="5"/>
    <n v="107.8"/>
    <n v="110.1"/>
    <n v="109.1"/>
    <s v="Education"/>
  </r>
  <r>
    <x v="0"/>
    <x v="5"/>
    <s v="Jul-13"/>
    <x v="4"/>
    <n v="110.5"/>
    <n v="114"/>
    <n v="111.9"/>
    <s v="Food &amp; Beverages"/>
  </r>
  <r>
    <x v="0"/>
    <x v="5"/>
    <s v="Jul-13"/>
    <x v="8"/>
    <n v="113.1"/>
    <n v="117.5"/>
    <n v="114.7"/>
    <s v="Food &amp; Beverages"/>
  </r>
  <r>
    <x v="0"/>
    <x v="5"/>
    <s v="Jul-13"/>
    <x v="10"/>
    <n v="109.5"/>
    <n v="107.8"/>
    <n v="108.8"/>
    <s v="Apparel"/>
  </r>
  <r>
    <x v="0"/>
    <x v="5"/>
    <s v="Jul-13"/>
    <x v="9"/>
    <n v="110.3"/>
    <n v="113.2"/>
    <n v="111.7"/>
    <s v="Food &amp; Beverages"/>
  </r>
  <r>
    <x v="0"/>
    <x v="5"/>
    <s v="Jul-13"/>
    <x v="13"/>
    <n v="109.5"/>
    <n v="108.6"/>
    <n v="109.2"/>
    <s v="Energy"/>
  </r>
  <r>
    <x v="0"/>
    <x v="5"/>
    <s v="Jul-13"/>
    <x v="15"/>
    <n v="110.7"/>
    <n v="111.4"/>
    <n v="111"/>
    <s v="General Index"/>
  </r>
  <r>
    <x v="0"/>
    <x v="5"/>
    <s v="Jul-13"/>
    <x v="17"/>
    <n v="106.9"/>
    <n v="107.1"/>
    <n v="107"/>
    <s v="Health"/>
  </r>
  <r>
    <x v="0"/>
    <x v="5"/>
    <s v="Jul-13"/>
    <x v="19"/>
    <n v="108.3"/>
    <n v="108.1"/>
    <n v="108.2"/>
    <s v="Housing"/>
  </r>
  <r>
    <x v="0"/>
    <x v="5"/>
    <s v="Jul-13"/>
    <x v="21"/>
    <n v="0"/>
    <n v="107.7"/>
    <n v="107.7"/>
    <s v="Housing"/>
  </r>
  <r>
    <x v="0"/>
    <x v="5"/>
    <s v="Jul-13"/>
    <x v="2"/>
    <n v="114.9"/>
    <n v="119.2"/>
    <n v="116.4"/>
    <s v="Food &amp; Beverages"/>
  </r>
  <r>
    <x v="0"/>
    <x v="5"/>
    <s v="Jul-13"/>
    <x v="6"/>
    <n v="109.3"/>
    <n v="108.3"/>
    <n v="108.9"/>
    <s v="Food &amp; Beverages"/>
  </r>
  <r>
    <x v="0"/>
    <x v="5"/>
    <s v="Jul-13"/>
    <x v="23"/>
    <n v="106.5"/>
    <n v="107.3"/>
    <n v="106.9"/>
    <s v="Other goods &amp; services"/>
  </r>
  <r>
    <x v="0"/>
    <x v="5"/>
    <s v="Jul-13"/>
    <x v="18"/>
    <n v="109.1"/>
    <n v="110.4"/>
    <n v="109.6"/>
    <s v="Food &amp; Beverages"/>
  </r>
  <r>
    <x v="0"/>
    <x v="5"/>
    <s v="Jul-13"/>
    <x v="7"/>
    <n v="106.2"/>
    <n v="101.1"/>
    <n v="104.3"/>
    <s v="Food &amp; Beverages"/>
  </r>
  <r>
    <x v="0"/>
    <x v="5"/>
    <s v="Jul-13"/>
    <x v="22"/>
    <n v="109.8"/>
    <n v="111.7"/>
    <n v="110.3"/>
    <s v="Other goods &amp; services"/>
  </r>
  <r>
    <x v="0"/>
    <x v="5"/>
    <s v="Jul-13"/>
    <x v="24"/>
    <n v="102.5"/>
    <n v="103.2"/>
    <n v="102.8"/>
    <s v="Other goods &amp; services"/>
  </r>
  <r>
    <x v="0"/>
    <x v="5"/>
    <s v="Jul-13"/>
    <x v="20"/>
    <n v="112.1"/>
    <n v="113.1"/>
    <n v="112.6"/>
    <s v="Food &amp; Beverages"/>
  </r>
  <r>
    <x v="0"/>
    <x v="5"/>
    <s v="Jul-13"/>
    <x v="12"/>
    <n v="107.1"/>
    <n v="105.1"/>
    <n v="106.4"/>
    <s v="Food &amp; Beverages"/>
  </r>
  <r>
    <x v="0"/>
    <x v="5"/>
    <s v="Jul-13"/>
    <x v="26"/>
    <n v="106.4"/>
    <n v="105.9"/>
    <n v="106.1"/>
    <s v="Recreation"/>
  </r>
  <r>
    <x v="0"/>
    <x v="5"/>
    <s v="Jul-13"/>
    <x v="16"/>
    <n v="106.4"/>
    <n v="107.5"/>
    <n v="106.8"/>
    <s v="Food &amp; Beverages"/>
  </r>
  <r>
    <x v="0"/>
    <x v="5"/>
    <s v="Jul-13"/>
    <x v="14"/>
    <n v="104.3"/>
    <n v="101.3"/>
    <n v="103.3"/>
    <s v="Food &amp; Beverages"/>
  </r>
  <r>
    <x v="0"/>
    <x v="5"/>
    <s v="Jul-13"/>
    <x v="25"/>
    <n v="106.8"/>
    <n v="107.3"/>
    <n v="107.1"/>
    <s v="Transport"/>
  </r>
  <r>
    <x v="0"/>
    <x v="5"/>
    <s v="Jul-13"/>
    <x v="11"/>
    <n v="129.19999999999999"/>
    <n v="160.9"/>
    <n v="140"/>
    <s v="Food &amp; Beverages"/>
  </r>
  <r>
    <x v="0"/>
    <x v="6"/>
    <s v="Jun-13"/>
    <x v="0"/>
    <n v="112.3"/>
    <n v="117"/>
    <n v="113.8"/>
    <s v="Food &amp; Beverages"/>
  </r>
  <r>
    <x v="0"/>
    <x v="6"/>
    <s v="Jun-13"/>
    <x v="1"/>
    <n v="109.7"/>
    <n v="109.2"/>
    <n v="109.5"/>
    <s v="Apparel"/>
  </r>
  <r>
    <x v="0"/>
    <x v="6"/>
    <s v="Jun-13"/>
    <x v="3"/>
    <n v="109.5"/>
    <n v="108.9"/>
    <n v="109.3"/>
    <s v="Apparel"/>
  </r>
  <r>
    <x v="0"/>
    <x v="6"/>
    <s v="Jun-13"/>
    <x v="5"/>
    <n v="106.5"/>
    <n v="108.1"/>
    <n v="107.4"/>
    <s v="Education"/>
  </r>
  <r>
    <x v="0"/>
    <x v="6"/>
    <s v="Jun-13"/>
    <x v="4"/>
    <n v="108.1"/>
    <n v="112.5"/>
    <n v="109.8"/>
    <s v="Food &amp; Beverages"/>
  </r>
  <r>
    <x v="0"/>
    <x v="6"/>
    <s v="Jun-13"/>
    <x v="8"/>
    <n v="110.6"/>
    <n v="115"/>
    <n v="112.2"/>
    <s v="Food &amp; Beverages"/>
  </r>
  <r>
    <x v="0"/>
    <x v="6"/>
    <s v="Jun-13"/>
    <x v="10"/>
    <n v="108.8"/>
    <n v="107.2"/>
    <n v="108.1"/>
    <s v="Apparel"/>
  </r>
  <r>
    <x v="0"/>
    <x v="6"/>
    <s v="Jun-13"/>
    <x v="9"/>
    <n v="109.2"/>
    <n v="112.4"/>
    <n v="110.7"/>
    <s v="Food &amp; Beverages"/>
  </r>
  <r>
    <x v="0"/>
    <x v="6"/>
    <s v="Jun-13"/>
    <x v="13"/>
    <n v="108.5"/>
    <n v="108"/>
    <n v="108.3"/>
    <s v="Energy"/>
  </r>
  <r>
    <x v="0"/>
    <x v="6"/>
    <s v="Jun-13"/>
    <x v="15"/>
    <n v="108.9"/>
    <n v="109.7"/>
    <n v="109.3"/>
    <s v="General Index"/>
  </r>
  <r>
    <x v="0"/>
    <x v="6"/>
    <s v="Jun-13"/>
    <x v="17"/>
    <n v="106.3"/>
    <n v="106.5"/>
    <n v="106.4"/>
    <s v="Health"/>
  </r>
  <r>
    <x v="0"/>
    <x v="6"/>
    <s v="Jun-13"/>
    <x v="19"/>
    <n v="107.5"/>
    <n v="107.7"/>
    <n v="107.6"/>
    <s v="Housing"/>
  </r>
  <r>
    <x v="0"/>
    <x v="6"/>
    <s v="Jun-13"/>
    <x v="21"/>
    <n v="0"/>
    <n v="106.6"/>
    <n v="106.6"/>
    <s v="Housing"/>
  </r>
  <r>
    <x v="0"/>
    <x v="6"/>
    <s v="Jun-13"/>
    <x v="2"/>
    <n v="112.1"/>
    <n v="120.1"/>
    <n v="114.9"/>
    <s v="Food &amp; Beverages"/>
  </r>
  <r>
    <x v="0"/>
    <x v="6"/>
    <s v="Jun-13"/>
    <x v="6"/>
    <n v="108.3"/>
    <n v="107.3"/>
    <n v="107.9"/>
    <s v="Food &amp; Beverages"/>
  </r>
  <r>
    <x v="0"/>
    <x v="6"/>
    <s v="Jun-13"/>
    <x v="23"/>
    <n v="105.5"/>
    <n v="106.1"/>
    <n v="105.8"/>
    <s v="Other goods &amp; services"/>
  </r>
  <r>
    <x v="0"/>
    <x v="6"/>
    <s v="Jun-13"/>
    <x v="18"/>
    <n v="108.2"/>
    <n v="110"/>
    <n v="109"/>
    <s v="Food &amp; Beverages"/>
  </r>
  <r>
    <x v="0"/>
    <x v="6"/>
    <s v="Jun-13"/>
    <x v="7"/>
    <n v="105.9"/>
    <n v="101.3"/>
    <n v="104.2"/>
    <s v="Food &amp; Beverages"/>
  </r>
  <r>
    <x v="0"/>
    <x v="6"/>
    <s v="Jun-13"/>
    <x v="22"/>
    <n v="109"/>
    <n v="110.9"/>
    <n v="109.5"/>
    <s v="Other goods &amp; services"/>
  </r>
  <r>
    <x v="0"/>
    <x v="6"/>
    <s v="Jun-13"/>
    <x v="24"/>
    <n v="102.5"/>
    <n v="103.3"/>
    <n v="102.8"/>
    <s v="Other goods &amp; services"/>
  </r>
  <r>
    <x v="0"/>
    <x v="6"/>
    <s v="Jun-13"/>
    <x v="20"/>
    <n v="111"/>
    <n v="112.2"/>
    <n v="111.6"/>
    <s v="Food &amp; Beverages"/>
  </r>
  <r>
    <x v="0"/>
    <x v="6"/>
    <s v="Jun-13"/>
    <x v="12"/>
    <n v="106.8"/>
    <n v="105.4"/>
    <n v="106.3"/>
    <s v="Food &amp; Beverages"/>
  </r>
  <r>
    <x v="0"/>
    <x v="6"/>
    <s v="Jun-13"/>
    <x v="26"/>
    <n v="105.6"/>
    <n v="105.2"/>
    <n v="105.4"/>
    <s v="Recreation"/>
  </r>
  <r>
    <x v="0"/>
    <x v="6"/>
    <s v="Jun-13"/>
    <x v="16"/>
    <n v="105.4"/>
    <n v="106.4"/>
    <n v="105.7"/>
    <s v="Food &amp; Beverages"/>
  </r>
  <r>
    <x v="0"/>
    <x v="6"/>
    <s v="Jun-13"/>
    <x v="14"/>
    <n v="104.1"/>
    <n v="101.4"/>
    <n v="103.2"/>
    <s v="Food &amp; Beverages"/>
  </r>
  <r>
    <x v="0"/>
    <x v="6"/>
    <s v="Jun-13"/>
    <x v="25"/>
    <n v="105"/>
    <n v="105.2"/>
    <n v="105.1"/>
    <s v="Transport"/>
  </r>
  <r>
    <x v="0"/>
    <x v="6"/>
    <s v="Jun-13"/>
    <x v="11"/>
    <n v="118"/>
    <n v="143.6"/>
    <n v="126.7"/>
    <s v="Food &amp; Beverages"/>
  </r>
  <r>
    <x v="0"/>
    <x v="7"/>
    <s v="Mar-13"/>
    <x v="0"/>
    <n v="110.2"/>
    <n v="113.9"/>
    <n v="111.4"/>
    <s v="Food &amp; Beverages"/>
  </r>
  <r>
    <x v="0"/>
    <x v="7"/>
    <s v="Mar-13"/>
    <x v="1"/>
    <n v="107.6"/>
    <n v="107.2"/>
    <n v="107.4"/>
    <s v="Apparel"/>
  </r>
  <r>
    <x v="0"/>
    <x v="7"/>
    <s v="Mar-13"/>
    <x v="3"/>
    <n v="107.5"/>
    <n v="107"/>
    <n v="107.3"/>
    <s v="Apparel"/>
  </r>
  <r>
    <x v="0"/>
    <x v="7"/>
    <s v="Mar-13"/>
    <x v="5"/>
    <n v="104.3"/>
    <n v="103.8"/>
    <n v="104"/>
    <s v="Education"/>
  </r>
  <r>
    <x v="0"/>
    <x v="7"/>
    <s v="Mar-13"/>
    <x v="4"/>
    <n v="109.9"/>
    <n v="113.2"/>
    <n v="111.2"/>
    <s v="Food &amp; Beverages"/>
  </r>
  <r>
    <x v="0"/>
    <x v="7"/>
    <s v="Mar-13"/>
    <x v="8"/>
    <n v="106.6"/>
    <n v="107.3"/>
    <n v="106.9"/>
    <s v="Food &amp; Beverages"/>
  </r>
  <r>
    <x v="0"/>
    <x v="7"/>
    <s v="Mar-13"/>
    <x v="10"/>
    <n v="106.8"/>
    <n v="106"/>
    <n v="106.5"/>
    <s v="Apparel"/>
  </r>
  <r>
    <x v="0"/>
    <x v="7"/>
    <s v="Mar-13"/>
    <x v="9"/>
    <n v="105.7"/>
    <n v="104.9"/>
    <n v="105.3"/>
    <s v="Food &amp; Beverages"/>
  </r>
  <r>
    <x v="0"/>
    <x v="7"/>
    <s v="Mar-13"/>
    <x v="13"/>
    <n v="106.1"/>
    <n v="106"/>
    <n v="106.1"/>
    <s v="Energy"/>
  </r>
  <r>
    <x v="0"/>
    <x v="7"/>
    <s v="Mar-13"/>
    <x v="15"/>
    <n v="106"/>
    <n v="105"/>
    <n v="105.5"/>
    <s v="General Index"/>
  </r>
  <r>
    <x v="0"/>
    <x v="7"/>
    <s v="Mar-13"/>
    <x v="17"/>
    <n v="104.7"/>
    <n v="105.2"/>
    <n v="104.9"/>
    <s v="Health"/>
  </r>
  <r>
    <x v="0"/>
    <x v="7"/>
    <s v="Mar-13"/>
    <x v="19"/>
    <n v="105.6"/>
    <n v="105.7"/>
    <n v="105.6"/>
    <s v="Housing"/>
  </r>
  <r>
    <x v="0"/>
    <x v="7"/>
    <s v="Mar-13"/>
    <x v="21"/>
    <n v="0"/>
    <n v="100.4"/>
    <n v="100.4"/>
    <s v="Housing"/>
  </r>
  <r>
    <x v="0"/>
    <x v="7"/>
    <s v="Mar-13"/>
    <x v="2"/>
    <n v="108.8"/>
    <n v="111.4"/>
    <n v="109.7"/>
    <s v="Food &amp; Beverages"/>
  </r>
  <r>
    <x v="0"/>
    <x v="7"/>
    <s v="Mar-13"/>
    <x v="6"/>
    <n v="105.6"/>
    <n v="104.3"/>
    <n v="105.1"/>
    <s v="Food &amp; Beverages"/>
  </r>
  <r>
    <x v="0"/>
    <x v="7"/>
    <s v="Mar-13"/>
    <x v="23"/>
    <n v="104.6"/>
    <n v="104.9"/>
    <n v="104.7"/>
    <s v="Other goods &amp; services"/>
  </r>
  <r>
    <x v="0"/>
    <x v="7"/>
    <s v="Mar-13"/>
    <x v="18"/>
    <n v="105.6"/>
    <n v="107"/>
    <n v="106.2"/>
    <s v="Food &amp; Beverages"/>
  </r>
  <r>
    <x v="0"/>
    <x v="7"/>
    <s v="Mar-13"/>
    <x v="7"/>
    <n v="106.2"/>
    <n v="102.7"/>
    <n v="104.9"/>
    <s v="Food &amp; Beverages"/>
  </r>
  <r>
    <x v="0"/>
    <x v="7"/>
    <s v="Mar-13"/>
    <x v="22"/>
    <n v="106.5"/>
    <n v="106.8"/>
    <n v="106.6"/>
    <s v="Other goods &amp; services"/>
  </r>
  <r>
    <x v="0"/>
    <x v="7"/>
    <s v="Mar-13"/>
    <x v="24"/>
    <n v="104.3"/>
    <n v="104.2"/>
    <n v="104.3"/>
    <s v="Other goods &amp; services"/>
  </r>
  <r>
    <x v="0"/>
    <x v="7"/>
    <s v="Mar-13"/>
    <x v="20"/>
    <n v="108.2"/>
    <n v="109.8"/>
    <n v="108.9"/>
    <s v="Food &amp; Beverages"/>
  </r>
  <r>
    <x v="0"/>
    <x v="7"/>
    <s v="Mar-13"/>
    <x v="12"/>
    <n v="105.7"/>
    <n v="103.5"/>
    <n v="105"/>
    <s v="Food &amp; Beverages"/>
  </r>
  <r>
    <x v="0"/>
    <x v="7"/>
    <s v="Mar-13"/>
    <x v="26"/>
    <n v="104"/>
    <n v="103.5"/>
    <n v="103.7"/>
    <s v="Recreation"/>
  </r>
  <r>
    <x v="0"/>
    <x v="7"/>
    <s v="Mar-13"/>
    <x v="16"/>
    <n v="103.3"/>
    <n v="102.4"/>
    <n v="103"/>
    <s v="Food &amp; Beverages"/>
  </r>
  <r>
    <x v="0"/>
    <x v="7"/>
    <s v="Mar-13"/>
    <x v="14"/>
    <n v="105"/>
    <n v="102.6"/>
    <n v="104.2"/>
    <s v="Food &amp; Beverages"/>
  </r>
  <r>
    <x v="0"/>
    <x v="7"/>
    <s v="Mar-13"/>
    <x v="25"/>
    <n v="104.6"/>
    <n v="105.5"/>
    <n v="105.1"/>
    <s v="Transport"/>
  </r>
  <r>
    <x v="0"/>
    <x v="7"/>
    <s v="Mar-13"/>
    <x v="11"/>
    <n v="101.4"/>
    <n v="103.8"/>
    <n v="102.2"/>
    <s v="Food &amp; Beverages"/>
  </r>
  <r>
    <x v="0"/>
    <x v="8"/>
    <s v="May-13"/>
    <x v="0"/>
    <n v="110.9"/>
    <n v="115.4"/>
    <n v="112.3"/>
    <s v="Food &amp; Beverages"/>
  </r>
  <r>
    <x v="0"/>
    <x v="8"/>
    <s v="May-13"/>
    <x v="1"/>
    <n v="108.8"/>
    <n v="108.5"/>
    <n v="108.7"/>
    <s v="Apparel"/>
  </r>
  <r>
    <x v="0"/>
    <x v="8"/>
    <s v="May-13"/>
    <x v="3"/>
    <n v="108.6"/>
    <n v="108.3"/>
    <n v="108.5"/>
    <s v="Apparel"/>
  </r>
  <r>
    <x v="0"/>
    <x v="8"/>
    <s v="May-13"/>
    <x v="5"/>
    <n v="105.5"/>
    <n v="105.7"/>
    <n v="105.6"/>
    <s v="Education"/>
  </r>
  <r>
    <x v="0"/>
    <x v="8"/>
    <s v="May-13"/>
    <x v="4"/>
    <n v="105.9"/>
    <n v="102.7"/>
    <n v="104.7"/>
    <s v="Food &amp; Beverages"/>
  </r>
  <r>
    <x v="0"/>
    <x v="8"/>
    <s v="May-13"/>
    <x v="8"/>
    <n v="108.1"/>
    <n v="111.1"/>
    <n v="109.2"/>
    <s v="Food &amp; Beverages"/>
  </r>
  <r>
    <x v="0"/>
    <x v="8"/>
    <s v="May-13"/>
    <x v="10"/>
    <n v="107.9"/>
    <n v="106.7"/>
    <n v="107.4"/>
    <s v="Apparel"/>
  </r>
  <r>
    <x v="0"/>
    <x v="8"/>
    <s v="May-13"/>
    <x v="9"/>
    <n v="108.1"/>
    <n v="110.6"/>
    <n v="109.3"/>
    <s v="Food &amp; Beverages"/>
  </r>
  <r>
    <x v="0"/>
    <x v="8"/>
    <s v="May-13"/>
    <x v="13"/>
    <n v="107.5"/>
    <n v="107.2"/>
    <n v="107.4"/>
    <s v="Energy"/>
  </r>
  <r>
    <x v="0"/>
    <x v="8"/>
    <s v="May-13"/>
    <x v="15"/>
    <n v="107.2"/>
    <n v="106.6"/>
    <n v="106.9"/>
    <s v="General Index"/>
  </r>
  <r>
    <x v="0"/>
    <x v="8"/>
    <s v="May-13"/>
    <x v="17"/>
    <n v="105.7"/>
    <n v="106.2"/>
    <n v="105.9"/>
    <s v="Health"/>
  </r>
  <r>
    <x v="0"/>
    <x v="8"/>
    <s v="May-13"/>
    <x v="19"/>
    <n v="106.8"/>
    <n v="107.1"/>
    <n v="106.9"/>
    <s v="Housing"/>
  </r>
  <r>
    <x v="0"/>
    <x v="8"/>
    <s v="May-13"/>
    <x v="21"/>
    <n v="0"/>
    <n v="100.5"/>
    <n v="100.5"/>
    <s v="Housing"/>
  </r>
  <r>
    <x v="0"/>
    <x v="8"/>
    <s v="May-13"/>
    <x v="2"/>
    <n v="109.8"/>
    <n v="114.2"/>
    <n v="111.3"/>
    <s v="Food &amp; Beverages"/>
  </r>
  <r>
    <x v="0"/>
    <x v="8"/>
    <s v="May-13"/>
    <x v="6"/>
    <n v="107.5"/>
    <n v="105.5"/>
    <n v="106.8"/>
    <s v="Food &amp; Beverages"/>
  </r>
  <r>
    <x v="0"/>
    <x v="8"/>
    <s v="May-13"/>
    <x v="23"/>
    <n v="104.8"/>
    <n v="104.9"/>
    <n v="104.8"/>
    <s v="Other goods &amp; services"/>
  </r>
  <r>
    <x v="0"/>
    <x v="8"/>
    <s v="May-13"/>
    <x v="18"/>
    <n v="107.4"/>
    <n v="109.1"/>
    <n v="108.1"/>
    <s v="Food &amp; Beverages"/>
  </r>
  <r>
    <x v="0"/>
    <x v="8"/>
    <s v="May-13"/>
    <x v="7"/>
    <n v="105.3"/>
    <n v="101.5"/>
    <n v="103.9"/>
    <s v="Food &amp; Beverages"/>
  </r>
  <r>
    <x v="0"/>
    <x v="8"/>
    <s v="May-13"/>
    <x v="22"/>
    <n v="108.1"/>
    <n v="109.8"/>
    <n v="108.6"/>
    <s v="Other goods &amp; services"/>
  </r>
  <r>
    <x v="0"/>
    <x v="8"/>
    <s v="May-13"/>
    <x v="24"/>
    <n v="102.1"/>
    <n v="102.6"/>
    <n v="102.3"/>
    <s v="Other goods &amp; services"/>
  </r>
  <r>
    <x v="0"/>
    <x v="8"/>
    <s v="May-13"/>
    <x v="20"/>
    <n v="109.9"/>
    <n v="111.3"/>
    <n v="110.5"/>
    <s v="Food &amp; Beverages"/>
  </r>
  <r>
    <x v="0"/>
    <x v="8"/>
    <s v="May-13"/>
    <x v="12"/>
    <n v="106.1"/>
    <n v="105.2"/>
    <n v="105.8"/>
    <s v="Food &amp; Beverages"/>
  </r>
  <r>
    <x v="0"/>
    <x v="8"/>
    <s v="May-13"/>
    <x v="26"/>
    <n v="105"/>
    <n v="104.6"/>
    <n v="104.8"/>
    <s v="Recreation"/>
  </r>
  <r>
    <x v="0"/>
    <x v="8"/>
    <s v="May-13"/>
    <x v="16"/>
    <n v="104"/>
    <n v="105"/>
    <n v="104.3"/>
    <s v="Food &amp; Beverages"/>
  </r>
  <r>
    <x v="0"/>
    <x v="8"/>
    <s v="May-13"/>
    <x v="14"/>
    <n v="103.7"/>
    <n v="101.9"/>
    <n v="103.1"/>
    <s v="Food &amp; Beverages"/>
  </r>
  <r>
    <x v="0"/>
    <x v="8"/>
    <s v="May-13"/>
    <x v="25"/>
    <n v="104.1"/>
    <n v="103.9"/>
    <n v="104"/>
    <s v="Transport"/>
  </r>
  <r>
    <x v="0"/>
    <x v="8"/>
    <s v="May-13"/>
    <x v="11"/>
    <n v="107.3"/>
    <n v="123.7"/>
    <n v="112.9"/>
    <s v="Food &amp; Beverages"/>
  </r>
  <r>
    <x v="0"/>
    <x v="9"/>
    <s v="Nov-13"/>
    <x v="0"/>
    <n v="117.3"/>
    <n v="119.8"/>
    <n v="118.1"/>
    <s v="Food &amp; Beverages"/>
  </r>
  <r>
    <x v="0"/>
    <x v="9"/>
    <s v="Nov-13"/>
    <x v="1"/>
    <n v="114.6"/>
    <n v="113.5"/>
    <n v="114.2"/>
    <s v="Apparel"/>
  </r>
  <r>
    <x v="0"/>
    <x v="9"/>
    <s v="Nov-13"/>
    <x v="3"/>
    <n v="114.4"/>
    <n v="113"/>
    <n v="113.8"/>
    <s v="Apparel"/>
  </r>
  <r>
    <x v="0"/>
    <x v="9"/>
    <s v="Nov-13"/>
    <x v="5"/>
    <n v="111"/>
    <n v="111.3"/>
    <n v="111.2"/>
    <s v="Education"/>
  </r>
  <r>
    <x v="0"/>
    <x v="9"/>
    <s v="Nov-13"/>
    <x v="4"/>
    <n v="116.2"/>
    <n v="122.6"/>
    <n v="118.7"/>
    <s v="Food &amp; Beverages"/>
  </r>
  <r>
    <x v="0"/>
    <x v="9"/>
    <s v="Nov-13"/>
    <x v="8"/>
    <n v="122.5"/>
    <n v="122.9"/>
    <n v="122.6"/>
    <s v="Food &amp; Beverages"/>
  </r>
  <r>
    <x v="0"/>
    <x v="9"/>
    <s v="Nov-13"/>
    <x v="10"/>
    <n v="113.1"/>
    <n v="110.3"/>
    <n v="111.9"/>
    <s v="Apparel"/>
  </r>
  <r>
    <x v="0"/>
    <x v="9"/>
    <s v="Nov-13"/>
    <x v="9"/>
    <n v="116.6"/>
    <n v="110"/>
    <n v="113.5"/>
    <s v="Food &amp; Beverages"/>
  </r>
  <r>
    <x v="0"/>
    <x v="9"/>
    <s v="Nov-13"/>
    <x v="13"/>
    <n v="112.6"/>
    <n v="110"/>
    <n v="111.6"/>
    <s v="Energy"/>
  </r>
  <r>
    <x v="0"/>
    <x v="9"/>
    <s v="Nov-13"/>
    <x v="15"/>
    <n v="117.4"/>
    <n v="115"/>
    <n v="116.3"/>
    <s v="General Index"/>
  </r>
  <r>
    <x v="0"/>
    <x v="9"/>
    <s v="Nov-13"/>
    <x v="17"/>
    <n v="109.7"/>
    <n v="108.6"/>
    <n v="109.3"/>
    <s v="Health"/>
  </r>
  <r>
    <x v="0"/>
    <x v="9"/>
    <s v="Nov-13"/>
    <x v="19"/>
    <n v="111.3"/>
    <n v="110.9"/>
    <n v="111.1"/>
    <s v="Housing"/>
  </r>
  <r>
    <x v="0"/>
    <x v="9"/>
    <s v="Nov-13"/>
    <x v="21"/>
    <n v="0"/>
    <n v="111.1"/>
    <n v="111.1"/>
    <s v="Housing"/>
  </r>
  <r>
    <x v="0"/>
    <x v="9"/>
    <s v="Nov-13"/>
    <x v="2"/>
    <n v="114.9"/>
    <n v="116.3"/>
    <n v="115.4"/>
    <s v="Food &amp; Beverages"/>
  </r>
  <r>
    <x v="0"/>
    <x v="9"/>
    <s v="Nov-13"/>
    <x v="6"/>
    <n v="112.8"/>
    <n v="112"/>
    <n v="112.5"/>
    <s v="Food &amp; Beverages"/>
  </r>
  <r>
    <x v="0"/>
    <x v="9"/>
    <s v="Nov-13"/>
    <x v="23"/>
    <n v="109.8"/>
    <n v="109.6"/>
    <n v="109.7"/>
    <s v="Other goods &amp; services"/>
  </r>
  <r>
    <x v="0"/>
    <x v="9"/>
    <s v="Nov-13"/>
    <x v="18"/>
    <n v="111.8"/>
    <n v="111.8"/>
    <n v="111.8"/>
    <s v="Food &amp; Beverages"/>
  </r>
  <r>
    <x v="0"/>
    <x v="9"/>
    <s v="Nov-13"/>
    <x v="7"/>
    <n v="108.9"/>
    <n v="103.2"/>
    <n v="106.8"/>
    <s v="Food &amp; Beverages"/>
  </r>
  <r>
    <x v="0"/>
    <x v="9"/>
    <s v="Nov-13"/>
    <x v="22"/>
    <n v="112.8"/>
    <n v="114.1"/>
    <n v="113.1"/>
    <s v="Other goods &amp; services"/>
  </r>
  <r>
    <x v="0"/>
    <x v="9"/>
    <s v="Nov-13"/>
    <x v="24"/>
    <n v="108.2"/>
    <n v="107.9"/>
    <n v="108.1"/>
    <s v="Other goods &amp; services"/>
  </r>
  <r>
    <x v="0"/>
    <x v="9"/>
    <s v="Nov-13"/>
    <x v="20"/>
    <n v="116"/>
    <n v="117.1"/>
    <n v="116.5"/>
    <s v="Food &amp; Beverages"/>
  </r>
  <r>
    <x v="0"/>
    <x v="9"/>
    <s v="Nov-13"/>
    <x v="12"/>
    <n v="109.1"/>
    <n v="106.3"/>
    <n v="108.2"/>
    <s v="Food &amp; Beverages"/>
  </r>
  <r>
    <x v="0"/>
    <x v="9"/>
    <s v="Nov-13"/>
    <x v="26"/>
    <n v="108.7"/>
    <n v="108.5"/>
    <n v="108.6"/>
    <s v="Recreation"/>
  </r>
  <r>
    <x v="0"/>
    <x v="9"/>
    <s v="Nov-13"/>
    <x v="16"/>
    <n v="109"/>
    <n v="110.3"/>
    <n v="109.4"/>
    <s v="Food &amp; Beverages"/>
  </r>
  <r>
    <x v="0"/>
    <x v="9"/>
    <s v="Nov-13"/>
    <x v="14"/>
    <n v="103.6"/>
    <n v="99.5"/>
    <n v="102.2"/>
    <s v="Food &amp; Beverages"/>
  </r>
  <r>
    <x v="0"/>
    <x v="9"/>
    <s v="Nov-13"/>
    <x v="25"/>
    <n v="109.6"/>
    <n v="109.5"/>
    <n v="109.5"/>
    <s v="Transport"/>
  </r>
  <r>
    <x v="0"/>
    <x v="9"/>
    <s v="Nov-13"/>
    <x v="11"/>
    <n v="178.1"/>
    <n v="192.8"/>
    <n v="183.1"/>
    <s v="Food &amp; Beverages"/>
  </r>
  <r>
    <x v="0"/>
    <x v="10"/>
    <s v="Oct-13"/>
    <x v="0"/>
    <n v="116.3"/>
    <n v="118.9"/>
    <n v="117.1"/>
    <s v="Food &amp; Beverages"/>
  </r>
  <r>
    <x v="0"/>
    <x v="10"/>
    <s v="Oct-13"/>
    <x v="1"/>
    <n v="113.6"/>
    <n v="112.5"/>
    <n v="113.2"/>
    <s v="Apparel"/>
  </r>
  <r>
    <x v="0"/>
    <x v="10"/>
    <s v="Oct-13"/>
    <x v="3"/>
    <n v="113.4"/>
    <n v="112"/>
    <n v="112.8"/>
    <s v="Apparel"/>
  </r>
  <r>
    <x v="0"/>
    <x v="10"/>
    <s v="Oct-13"/>
    <x v="5"/>
    <n v="110.2"/>
    <n v="111.3"/>
    <n v="110.8"/>
    <s v="Education"/>
  </r>
  <r>
    <x v="0"/>
    <x v="10"/>
    <s v="Oct-13"/>
    <x v="4"/>
    <n v="112.6"/>
    <n v="114.5"/>
    <n v="113.3"/>
    <s v="Food &amp; Beverages"/>
  </r>
  <r>
    <x v="0"/>
    <x v="10"/>
    <s v="Oct-13"/>
    <x v="8"/>
    <n v="119.8"/>
    <n v="120.8"/>
    <n v="120.2"/>
    <s v="Food &amp; Beverages"/>
  </r>
  <r>
    <x v="0"/>
    <x v="10"/>
    <s v="Oct-13"/>
    <x v="10"/>
    <n v="112.3"/>
    <n v="109.7"/>
    <n v="111.2"/>
    <s v="Apparel"/>
  </r>
  <r>
    <x v="0"/>
    <x v="10"/>
    <s v="Oct-13"/>
    <x v="9"/>
    <n v="113.2"/>
    <n v="106.2"/>
    <n v="109.9"/>
    <s v="Food &amp; Beverages"/>
  </r>
  <r>
    <x v="0"/>
    <x v="10"/>
    <s v="Oct-13"/>
    <x v="13"/>
    <n v="111.6"/>
    <n v="109.7"/>
    <n v="110.9"/>
    <s v="Energy"/>
  </r>
  <r>
    <x v="0"/>
    <x v="10"/>
    <s v="Oct-13"/>
    <x v="15"/>
    <n v="115.5"/>
    <n v="114"/>
    <n v="114.8"/>
    <s v="General Index"/>
  </r>
  <r>
    <x v="0"/>
    <x v="10"/>
    <s v="Oct-13"/>
    <x v="17"/>
    <n v="108.9"/>
    <n v="108.2"/>
    <n v="108.6"/>
    <s v="Health"/>
  </r>
  <r>
    <x v="0"/>
    <x v="10"/>
    <s v="Oct-13"/>
    <x v="19"/>
    <n v="110.4"/>
    <n v="110.2"/>
    <n v="110.3"/>
    <s v="Housing"/>
  </r>
  <r>
    <x v="0"/>
    <x v="10"/>
    <s v="Oct-13"/>
    <x v="21"/>
    <n v="0"/>
    <n v="110.5"/>
    <n v="110.5"/>
    <s v="Housing"/>
  </r>
  <r>
    <x v="0"/>
    <x v="10"/>
    <s v="Oct-13"/>
    <x v="2"/>
    <n v="115.4"/>
    <n v="118.1"/>
    <n v="116.3"/>
    <s v="Food &amp; Beverages"/>
  </r>
  <r>
    <x v="0"/>
    <x v="10"/>
    <s v="Oct-13"/>
    <x v="6"/>
    <n v="111.7"/>
    <n v="110.4"/>
    <n v="111.2"/>
    <s v="Food &amp; Beverages"/>
  </r>
  <r>
    <x v="0"/>
    <x v="10"/>
    <s v="Oct-13"/>
    <x v="23"/>
    <n v="109.1"/>
    <n v="109.4"/>
    <n v="109.2"/>
    <s v="Other goods &amp; services"/>
  </r>
  <r>
    <x v="0"/>
    <x v="10"/>
    <s v="Oct-13"/>
    <x v="18"/>
    <n v="111.1"/>
    <n v="111.4"/>
    <n v="111.2"/>
    <s v="Food &amp; Beverages"/>
  </r>
  <r>
    <x v="0"/>
    <x v="10"/>
    <s v="Oct-13"/>
    <x v="7"/>
    <n v="107.7"/>
    <n v="102.3"/>
    <n v="105.7"/>
    <s v="Food &amp; Beverages"/>
  </r>
  <r>
    <x v="0"/>
    <x v="10"/>
    <s v="Oct-13"/>
    <x v="22"/>
    <n v="112.2"/>
    <n v="113.5"/>
    <n v="112.5"/>
    <s v="Other goods &amp; services"/>
  </r>
  <r>
    <x v="0"/>
    <x v="10"/>
    <s v="Oct-13"/>
    <x v="24"/>
    <n v="107.5"/>
    <n v="107.3"/>
    <n v="107.4"/>
    <s v="Other goods &amp; services"/>
  </r>
  <r>
    <x v="0"/>
    <x v="10"/>
    <s v="Oct-13"/>
    <x v="20"/>
    <n v="114.9"/>
    <n v="116"/>
    <n v="115.4"/>
    <s v="Food &amp; Beverages"/>
  </r>
  <r>
    <x v="0"/>
    <x v="10"/>
    <s v="Oct-13"/>
    <x v="12"/>
    <n v="108.3"/>
    <n v="105.3"/>
    <n v="107.3"/>
    <s v="Food &amp; Beverages"/>
  </r>
  <r>
    <x v="0"/>
    <x v="10"/>
    <s v="Oct-13"/>
    <x v="26"/>
    <n v="108.3"/>
    <n v="108"/>
    <n v="108.1"/>
    <s v="Recreation"/>
  </r>
  <r>
    <x v="0"/>
    <x v="10"/>
    <s v="Oct-13"/>
    <x v="16"/>
    <n v="108.2"/>
    <n v="109.6"/>
    <n v="108.7"/>
    <s v="Food &amp; Beverages"/>
  </r>
  <r>
    <x v="0"/>
    <x v="10"/>
    <s v="Oct-13"/>
    <x v="14"/>
    <n v="103.9"/>
    <n v="100.2"/>
    <n v="102.7"/>
    <s v="Food &amp; Beverages"/>
  </r>
  <r>
    <x v="0"/>
    <x v="10"/>
    <s v="Oct-13"/>
    <x v="25"/>
    <n v="109.3"/>
    <n v="109.7"/>
    <n v="109.5"/>
    <s v="Transport"/>
  </r>
  <r>
    <x v="0"/>
    <x v="10"/>
    <s v="Oct-13"/>
    <x v="11"/>
    <n v="164.9"/>
    <n v="183.5"/>
    <n v="171.2"/>
    <s v="Food &amp; Beverages"/>
  </r>
  <r>
    <x v="0"/>
    <x v="11"/>
    <s v="Sep-13"/>
    <x v="0"/>
    <n v="115.4"/>
    <n v="118.6"/>
    <n v="116.4"/>
    <s v="Food &amp; Beverages"/>
  </r>
  <r>
    <x v="0"/>
    <x v="11"/>
    <s v="Sep-13"/>
    <x v="1"/>
    <n v="112.7"/>
    <n v="111.4"/>
    <n v="112.2"/>
    <s v="Apparel"/>
  </r>
  <r>
    <x v="0"/>
    <x v="11"/>
    <s v="Sep-13"/>
    <x v="3"/>
    <n v="112.5"/>
    <n v="111.1"/>
    <n v="111.9"/>
    <s v="Apparel"/>
  </r>
  <r>
    <x v="0"/>
    <x v="11"/>
    <s v="Sep-13"/>
    <x v="5"/>
    <n v="109.8"/>
    <n v="111.2"/>
    <n v="110.6"/>
    <s v="Education"/>
  </r>
  <r>
    <x v="0"/>
    <x v="11"/>
    <s v="Sep-13"/>
    <x v="4"/>
    <n v="111.7"/>
    <n v="113.2"/>
    <n v="112.3"/>
    <s v="Food &amp; Beverages"/>
  </r>
  <r>
    <x v="0"/>
    <x v="11"/>
    <s v="Sep-13"/>
    <x v="8"/>
    <n v="117.8"/>
    <n v="119.2"/>
    <n v="118.3"/>
    <s v="Food &amp; Beverages"/>
  </r>
  <r>
    <x v="0"/>
    <x v="11"/>
    <s v="Sep-13"/>
    <x v="10"/>
    <n v="111.4"/>
    <n v="109"/>
    <n v="110.4"/>
    <s v="Apparel"/>
  </r>
  <r>
    <x v="0"/>
    <x v="11"/>
    <s v="Sep-13"/>
    <x v="9"/>
    <n v="110.9"/>
    <n v="103.2"/>
    <n v="107.3"/>
    <s v="Food &amp; Beverages"/>
  </r>
  <r>
    <x v="0"/>
    <x v="11"/>
    <s v="Sep-13"/>
    <x v="13"/>
    <n v="111.1"/>
    <n v="109.5"/>
    <n v="110.5"/>
    <s v="Energy"/>
  </r>
  <r>
    <x v="0"/>
    <x v="11"/>
    <s v="Sep-13"/>
    <x v="15"/>
    <n v="114.2"/>
    <n v="113.2"/>
    <n v="113.7"/>
    <s v="General Index"/>
  </r>
  <r>
    <x v="0"/>
    <x v="11"/>
    <s v="Sep-13"/>
    <x v="17"/>
    <n v="108.3"/>
    <n v="107.9"/>
    <n v="108.1"/>
    <s v="Health"/>
  </r>
  <r>
    <x v="0"/>
    <x v="11"/>
    <s v="Sep-13"/>
    <x v="19"/>
    <n v="109.6"/>
    <n v="109.6"/>
    <n v="109.6"/>
    <s v="Housing"/>
  </r>
  <r>
    <x v="0"/>
    <x v="11"/>
    <s v="Sep-13"/>
    <x v="21"/>
    <n v="0"/>
    <n v="109.7"/>
    <n v="109.7"/>
    <s v="Housing"/>
  </r>
  <r>
    <x v="0"/>
    <x v="11"/>
    <s v="Sep-13"/>
    <x v="2"/>
    <n v="115.7"/>
    <n v="119.1"/>
    <n v="116.9"/>
    <s v="Food &amp; Beverages"/>
  </r>
  <r>
    <x v="0"/>
    <x v="11"/>
    <s v="Sep-13"/>
    <x v="6"/>
    <n v="111"/>
    <n v="109.6"/>
    <n v="110.5"/>
    <s v="Food &amp; Beverages"/>
  </r>
  <r>
    <x v="0"/>
    <x v="11"/>
    <s v="Sep-13"/>
    <x v="23"/>
    <n v="108.7"/>
    <n v="109.4"/>
    <n v="109"/>
    <s v="Other goods &amp; services"/>
  </r>
  <r>
    <x v="0"/>
    <x v="11"/>
    <s v="Sep-13"/>
    <x v="18"/>
    <n v="110.4"/>
    <n v="111.1"/>
    <n v="110.7"/>
    <s v="Food &amp; Beverages"/>
  </r>
  <r>
    <x v="0"/>
    <x v="11"/>
    <s v="Sep-13"/>
    <x v="7"/>
    <n v="107.4"/>
    <n v="101.7"/>
    <n v="105.3"/>
    <s v="Food &amp; Beverages"/>
  </r>
  <r>
    <x v="0"/>
    <x v="11"/>
    <s v="Sep-13"/>
    <x v="22"/>
    <n v="111.7"/>
    <n v="112.9"/>
    <n v="112"/>
    <s v="Other goods &amp; services"/>
  </r>
  <r>
    <x v="0"/>
    <x v="11"/>
    <s v="Sep-13"/>
    <x v="24"/>
    <n v="106.7"/>
    <n v="106.9"/>
    <n v="106.8"/>
    <s v="Other goods &amp; services"/>
  </r>
  <r>
    <x v="0"/>
    <x v="11"/>
    <s v="Sep-13"/>
    <x v="20"/>
    <n v="114"/>
    <n v="115.4"/>
    <n v="114.6"/>
    <s v="Food &amp; Beverages"/>
  </r>
  <r>
    <x v="0"/>
    <x v="11"/>
    <s v="Sep-13"/>
    <x v="12"/>
    <n v="108.1"/>
    <n v="105.1"/>
    <n v="107.1"/>
    <s v="Food &amp; Beverages"/>
  </r>
  <r>
    <x v="0"/>
    <x v="11"/>
    <s v="Sep-13"/>
    <x v="26"/>
    <n v="107.7"/>
    <n v="107.4"/>
    <n v="107.5"/>
    <s v="Recreation"/>
  </r>
  <r>
    <x v="0"/>
    <x v="11"/>
    <s v="Sep-13"/>
    <x v="16"/>
    <n v="107.9"/>
    <n v="109.1"/>
    <n v="108.3"/>
    <s v="Food &amp; Beverages"/>
  </r>
  <r>
    <x v="0"/>
    <x v="11"/>
    <s v="Sep-13"/>
    <x v="14"/>
    <n v="104.2"/>
    <n v="100.8"/>
    <n v="103.1"/>
    <s v="Food &amp; Beverages"/>
  </r>
  <r>
    <x v="0"/>
    <x v="11"/>
    <s v="Sep-13"/>
    <x v="25"/>
    <n v="109.3"/>
    <n v="110.4"/>
    <n v="109.9"/>
    <s v="Transport"/>
  </r>
  <r>
    <x v="0"/>
    <x v="11"/>
    <s v="Sep-13"/>
    <x v="11"/>
    <n v="154"/>
    <n v="174.3"/>
    <n v="160.9"/>
    <s v="Food &amp; Beverages"/>
  </r>
  <r>
    <x v="1"/>
    <x v="0"/>
    <s v="Apr-14"/>
    <x v="0"/>
    <n v="120.2"/>
    <n v="122.5"/>
    <n v="120.9"/>
    <s v="Food &amp; Beverages"/>
  </r>
  <r>
    <x v="1"/>
    <x v="0"/>
    <s v="Apr-14"/>
    <x v="1"/>
    <n v="118.1"/>
    <n v="116.3"/>
    <n v="117.4"/>
    <s v="Apparel"/>
  </r>
  <r>
    <x v="1"/>
    <x v="0"/>
    <s v="Apr-14"/>
    <x v="3"/>
    <n v="117.8"/>
    <n v="115.7"/>
    <n v="117"/>
    <s v="Apparel"/>
  </r>
  <r>
    <x v="1"/>
    <x v="0"/>
    <s v="Apr-14"/>
    <x v="5"/>
    <n v="113"/>
    <n v="112.5"/>
    <n v="112.7"/>
    <s v="Education"/>
  </r>
  <r>
    <x v="1"/>
    <x v="0"/>
    <s v="Apr-14"/>
    <x v="4"/>
    <n v="118.1"/>
    <n v="113.3"/>
    <n v="116.2"/>
    <s v="Food &amp; Beverages"/>
  </r>
  <r>
    <x v="1"/>
    <x v="0"/>
    <s v="Apr-14"/>
    <x v="8"/>
    <n v="117.2"/>
    <n v="118.2"/>
    <n v="117.6"/>
    <s v="Food &amp; Beverages"/>
  </r>
  <r>
    <x v="1"/>
    <x v="0"/>
    <s v="Apr-14"/>
    <x v="10"/>
    <n v="116.1"/>
    <n v="112.5"/>
    <n v="114.6"/>
    <s v="Apparel"/>
  </r>
  <r>
    <x v="1"/>
    <x v="0"/>
    <s v="Apr-14"/>
    <x v="9"/>
    <n v="125.5"/>
    <n v="126.7"/>
    <n v="126.1"/>
    <s v="Food &amp; Beverages"/>
  </r>
  <r>
    <x v="1"/>
    <x v="0"/>
    <s v="Apr-14"/>
    <x v="13"/>
    <n v="113.4"/>
    <n v="110.9"/>
    <n v="112.5"/>
    <s v="Energy"/>
  </r>
  <r>
    <x v="1"/>
    <x v="0"/>
    <s v="Apr-14"/>
    <x v="15"/>
    <n v="115.4"/>
    <n v="114.7"/>
    <n v="115.1"/>
    <s v="General Index"/>
  </r>
  <r>
    <x v="1"/>
    <x v="0"/>
    <s v="Apr-14"/>
    <x v="17"/>
    <n v="111.8"/>
    <n v="111"/>
    <n v="111.5"/>
    <s v="Health"/>
  </r>
  <r>
    <x v="1"/>
    <x v="0"/>
    <s v="Apr-14"/>
    <x v="19"/>
    <n v="113.7"/>
    <n v="113.4"/>
    <n v="113.6"/>
    <s v="Housing"/>
  </r>
  <r>
    <x v="1"/>
    <x v="0"/>
    <s v="Apr-14"/>
    <x v="21"/>
    <n v="0"/>
    <n v="113.9"/>
    <n v="113.9"/>
    <s v="Housing"/>
  </r>
  <r>
    <x v="1"/>
    <x v="0"/>
    <s v="Apr-14"/>
    <x v="2"/>
    <n v="118.9"/>
    <n v="121.7"/>
    <n v="119.9"/>
    <s v="Food &amp; Beverages"/>
  </r>
  <r>
    <x v="1"/>
    <x v="0"/>
    <s v="Apr-14"/>
    <x v="6"/>
    <n v="117"/>
    <n v="117"/>
    <n v="117"/>
    <s v="Food &amp; Beverages"/>
  </r>
  <r>
    <x v="1"/>
    <x v="0"/>
    <s v="Apr-14"/>
    <x v="23"/>
    <n v="111.5"/>
    <n v="111.4"/>
    <n v="111.5"/>
    <s v="Other goods &amp; services"/>
  </r>
  <r>
    <x v="1"/>
    <x v="0"/>
    <s v="Apr-14"/>
    <x v="18"/>
    <n v="113.5"/>
    <n v="112.7"/>
    <n v="113.2"/>
    <s v="Food &amp; Beverages"/>
  </r>
  <r>
    <x v="1"/>
    <x v="0"/>
    <s v="Apr-14"/>
    <x v="7"/>
    <n v="109.7"/>
    <n v="103.1"/>
    <n v="107.3"/>
    <s v="Food &amp; Beverages"/>
  </r>
  <r>
    <x v="1"/>
    <x v="0"/>
    <s v="Apr-14"/>
    <x v="22"/>
    <n v="115.4"/>
    <n v="117.6"/>
    <n v="116"/>
    <s v="Other goods &amp; services"/>
  </r>
  <r>
    <x v="1"/>
    <x v="0"/>
    <s v="Apr-14"/>
    <x v="24"/>
    <n v="108.9"/>
    <n v="109.1"/>
    <n v="109"/>
    <s v="Other goods &amp; services"/>
  </r>
  <r>
    <x v="1"/>
    <x v="0"/>
    <s v="Apr-14"/>
    <x v="20"/>
    <n v="118.7"/>
    <n v="121"/>
    <n v="119.8"/>
    <s v="Food &amp; Beverages"/>
  </r>
  <r>
    <x v="1"/>
    <x v="0"/>
    <s v="Apr-14"/>
    <x v="12"/>
    <n v="111"/>
    <n v="111"/>
    <n v="111"/>
    <s v="Food &amp; Beverages"/>
  </r>
  <r>
    <x v="1"/>
    <x v="0"/>
    <s v="Apr-14"/>
    <x v="26"/>
    <n v="110.5"/>
    <n v="111.2"/>
    <n v="110.9"/>
    <s v="Recreation"/>
  </r>
  <r>
    <x v="1"/>
    <x v="0"/>
    <s v="Apr-14"/>
    <x v="16"/>
    <n v="111.2"/>
    <n v="115.3"/>
    <n v="112.6"/>
    <s v="Food &amp; Beverages"/>
  </r>
  <r>
    <x v="1"/>
    <x v="0"/>
    <s v="Apr-14"/>
    <x v="14"/>
    <n v="102.6"/>
    <n v="100.3"/>
    <n v="101.8"/>
    <s v="Food &amp; Beverages"/>
  </r>
  <r>
    <x v="1"/>
    <x v="0"/>
    <s v="Apr-14"/>
    <x v="25"/>
    <n v="111.2"/>
    <n v="111.2"/>
    <n v="111.2"/>
    <s v="Transport"/>
  </r>
  <r>
    <x v="1"/>
    <x v="0"/>
    <s v="Apr-14"/>
    <x v="11"/>
    <n v="120.5"/>
    <n v="121.2"/>
    <n v="120.7"/>
    <s v="Food &amp; Beverages"/>
  </r>
  <r>
    <x v="1"/>
    <x v="1"/>
    <s v="Aug-14"/>
    <x v="0"/>
    <n v="121.8"/>
    <n v="124.8"/>
    <n v="122.7"/>
    <s v="Food &amp; Beverages"/>
  </r>
  <r>
    <x v="1"/>
    <x v="1"/>
    <s v="Aug-14"/>
    <x v="1"/>
    <n v="120.9"/>
    <n v="118.6"/>
    <n v="120"/>
    <s v="Apparel"/>
  </r>
  <r>
    <x v="1"/>
    <x v="1"/>
    <s v="Aug-14"/>
    <x v="3"/>
    <n v="120.7"/>
    <n v="117.9"/>
    <n v="119.6"/>
    <s v="Apparel"/>
  </r>
  <r>
    <x v="1"/>
    <x v="1"/>
    <s v="Aug-14"/>
    <x v="5"/>
    <n v="116.2"/>
    <n v="119.2"/>
    <n v="118"/>
    <s v="Education"/>
  </r>
  <r>
    <x v="1"/>
    <x v="1"/>
    <s v="Aug-14"/>
    <x v="4"/>
    <n v="117.8"/>
    <n v="116.5"/>
    <n v="117.3"/>
    <s v="Food &amp; Beverages"/>
  </r>
  <r>
    <x v="1"/>
    <x v="1"/>
    <s v="Aug-14"/>
    <x v="8"/>
    <n v="125.3"/>
    <n v="128.9"/>
    <n v="126.6"/>
    <s v="Food &amp; Beverages"/>
  </r>
  <r>
    <x v="1"/>
    <x v="1"/>
    <s v="Aug-14"/>
    <x v="10"/>
    <n v="118.8"/>
    <n v="114.1"/>
    <n v="116.8"/>
    <s v="Apparel"/>
  </r>
  <r>
    <x v="1"/>
    <x v="1"/>
    <s v="Aug-14"/>
    <x v="9"/>
    <n v="129.69999999999999"/>
    <n v="132.69999999999999"/>
    <n v="131.1"/>
    <s v="Food &amp; Beverages"/>
  </r>
  <r>
    <x v="1"/>
    <x v="1"/>
    <s v="Aug-14"/>
    <x v="13"/>
    <n v="115.4"/>
    <n v="111.8"/>
    <n v="114"/>
    <s v="Energy"/>
  </r>
  <r>
    <x v="1"/>
    <x v="1"/>
    <s v="Aug-14"/>
    <x v="15"/>
    <n v="120.7"/>
    <n v="119.9"/>
    <n v="120.3"/>
    <s v="General Index"/>
  </r>
  <r>
    <x v="1"/>
    <x v="1"/>
    <s v="Aug-14"/>
    <x v="17"/>
    <n v="114"/>
    <n v="112.2"/>
    <n v="113.3"/>
    <s v="Health"/>
  </r>
  <r>
    <x v="1"/>
    <x v="1"/>
    <s v="Aug-14"/>
    <x v="19"/>
    <n v="115.9"/>
    <n v="115.3"/>
    <n v="115.6"/>
    <s v="Housing"/>
  </r>
  <r>
    <x v="1"/>
    <x v="1"/>
    <s v="Aug-14"/>
    <x v="21"/>
    <n v="0"/>
    <n v="115.5"/>
    <n v="115.5"/>
    <s v="Housing"/>
  </r>
  <r>
    <x v="1"/>
    <x v="1"/>
    <s v="Aug-14"/>
    <x v="2"/>
    <n v="122.8"/>
    <n v="127.3"/>
    <n v="124.4"/>
    <s v="Food &amp; Beverages"/>
  </r>
  <r>
    <x v="1"/>
    <x v="1"/>
    <s v="Aug-14"/>
    <x v="6"/>
    <n v="121.9"/>
    <n v="122.2"/>
    <n v="122"/>
    <s v="Food &amp; Beverages"/>
  </r>
  <r>
    <x v="1"/>
    <x v="1"/>
    <s v="Aug-14"/>
    <x v="23"/>
    <n v="113.5"/>
    <n v="113.9"/>
    <n v="113.7"/>
    <s v="Other goods &amp; services"/>
  </r>
  <r>
    <x v="1"/>
    <x v="1"/>
    <s v="Aug-14"/>
    <x v="18"/>
    <n v="115.8"/>
    <n v="114.4"/>
    <n v="115.2"/>
    <s v="Food &amp; Beverages"/>
  </r>
  <r>
    <x v="1"/>
    <x v="1"/>
    <s v="Aug-14"/>
    <x v="7"/>
    <n v="110.6"/>
    <n v="103.6"/>
    <n v="108"/>
    <s v="Food &amp; Beverages"/>
  </r>
  <r>
    <x v="1"/>
    <x v="1"/>
    <s v="Aug-14"/>
    <x v="22"/>
    <n v="118.8"/>
    <n v="123"/>
    <n v="119.9"/>
    <s v="Other goods &amp; services"/>
  </r>
  <r>
    <x v="1"/>
    <x v="1"/>
    <s v="Aug-14"/>
    <x v="24"/>
    <n v="109.4"/>
    <n v="110.5"/>
    <n v="109.9"/>
    <s v="Other goods &amp; services"/>
  </r>
  <r>
    <x v="1"/>
    <x v="1"/>
    <s v="Aug-14"/>
    <x v="20"/>
    <n v="121.7"/>
    <n v="124.7"/>
    <n v="123.1"/>
    <s v="Food &amp; Beverages"/>
  </r>
  <r>
    <x v="1"/>
    <x v="1"/>
    <s v="Aug-14"/>
    <x v="12"/>
    <n v="114.1"/>
    <n v="115.2"/>
    <n v="114.5"/>
    <s v="Food &amp; Beverages"/>
  </r>
  <r>
    <x v="1"/>
    <x v="1"/>
    <s v="Aug-14"/>
    <x v="26"/>
    <n v="112.2"/>
    <n v="112.9"/>
    <n v="112.6"/>
    <s v="Recreation"/>
  </r>
  <r>
    <x v="1"/>
    <x v="1"/>
    <s v="Aug-14"/>
    <x v="16"/>
    <n v="114.6"/>
    <n v="122.1"/>
    <n v="117.1"/>
    <s v="Food &amp; Beverages"/>
  </r>
  <r>
    <x v="1"/>
    <x v="1"/>
    <s v="Aug-14"/>
    <x v="14"/>
    <n v="105.1"/>
    <n v="102.7"/>
    <n v="104.3"/>
    <s v="Food &amp; Beverages"/>
  </r>
  <r>
    <x v="1"/>
    <x v="1"/>
    <s v="Aug-14"/>
    <x v="25"/>
    <n v="113.2"/>
    <n v="112.5"/>
    <n v="112.8"/>
    <s v="Transport"/>
  </r>
  <r>
    <x v="1"/>
    <x v="1"/>
    <s v="Aug-14"/>
    <x v="11"/>
    <n v="161.1"/>
    <n v="181.9"/>
    <n v="168.2"/>
    <s v="Food &amp; Beverages"/>
  </r>
  <r>
    <x v="1"/>
    <x v="2"/>
    <s v="Dec-14"/>
    <x v="0"/>
    <n v="122.4"/>
    <n v="124"/>
    <n v="122.9"/>
    <s v="Food &amp; Beverages"/>
  </r>
  <r>
    <x v="1"/>
    <x v="2"/>
    <s v="Dec-14"/>
    <x v="1"/>
    <n v="123.8"/>
    <n v="120.7"/>
    <n v="122.6"/>
    <s v="Apparel"/>
  </r>
  <r>
    <x v="1"/>
    <x v="2"/>
    <s v="Dec-14"/>
    <x v="3"/>
    <n v="123.3"/>
    <n v="120"/>
    <n v="122"/>
    <s v="Apparel"/>
  </r>
  <r>
    <x v="1"/>
    <x v="2"/>
    <s v="Dec-14"/>
    <x v="5"/>
    <n v="117.7"/>
    <n v="120.7"/>
    <n v="119.5"/>
    <s v="Education"/>
  </r>
  <r>
    <x v="1"/>
    <x v="2"/>
    <s v="Dec-14"/>
    <x v="4"/>
    <n v="121.8"/>
    <n v="126.3"/>
    <n v="123.5"/>
    <s v="Food &amp; Beverages"/>
  </r>
  <r>
    <x v="1"/>
    <x v="2"/>
    <s v="Dec-14"/>
    <x v="8"/>
    <n v="123.3"/>
    <n v="124"/>
    <n v="123.6"/>
    <s v="Food &amp; Beverages"/>
  </r>
  <r>
    <x v="1"/>
    <x v="2"/>
    <s v="Dec-14"/>
    <x v="10"/>
    <n v="120.6"/>
    <n v="115.8"/>
    <n v="118.6"/>
    <s v="Apparel"/>
  </r>
  <r>
    <x v="1"/>
    <x v="2"/>
    <s v="Dec-14"/>
    <x v="9"/>
    <n v="128.6"/>
    <n v="122.3"/>
    <n v="125.7"/>
    <s v="Food &amp; Beverages"/>
  </r>
  <r>
    <x v="1"/>
    <x v="2"/>
    <s v="Dec-14"/>
    <x v="13"/>
    <n v="117.4"/>
    <n v="113"/>
    <n v="115.7"/>
    <s v="Energy"/>
  </r>
  <r>
    <x v="1"/>
    <x v="2"/>
    <s v="Dec-14"/>
    <x v="15"/>
    <n v="120.3"/>
    <n v="118.4"/>
    <n v="119.4"/>
    <s v="General Index"/>
  </r>
  <r>
    <x v="1"/>
    <x v="2"/>
    <s v="Dec-14"/>
    <x v="17"/>
    <n v="116.2"/>
    <n v="113.2"/>
    <n v="115.1"/>
    <s v="Health"/>
  </r>
  <r>
    <x v="1"/>
    <x v="2"/>
    <s v="Dec-14"/>
    <x v="19"/>
    <n v="118.2"/>
    <n v="116.8"/>
    <n v="117.5"/>
    <s v="Housing"/>
  </r>
  <r>
    <x v="1"/>
    <x v="2"/>
    <s v="Dec-14"/>
    <x v="21"/>
    <n v="0"/>
    <n v="116.5"/>
    <n v="116.5"/>
    <s v="Housing"/>
  </r>
  <r>
    <x v="1"/>
    <x v="2"/>
    <s v="Dec-14"/>
    <x v="2"/>
    <n v="122.4"/>
    <n v="124.7"/>
    <n v="123.2"/>
    <s v="Food &amp; Beverages"/>
  </r>
  <r>
    <x v="1"/>
    <x v="2"/>
    <s v="Dec-14"/>
    <x v="6"/>
    <n v="124.2"/>
    <n v="124.9"/>
    <n v="124.5"/>
    <s v="Food &amp; Beverages"/>
  </r>
  <r>
    <x v="1"/>
    <x v="2"/>
    <s v="Dec-14"/>
    <x v="23"/>
    <n v="114.2"/>
    <n v="113.4"/>
    <n v="113.8"/>
    <s v="Other goods &amp; services"/>
  </r>
  <r>
    <x v="1"/>
    <x v="2"/>
    <s v="Dec-14"/>
    <x v="18"/>
    <n v="117.3"/>
    <n v="116.1"/>
    <n v="116.8"/>
    <s v="Food &amp; Beverages"/>
  </r>
  <r>
    <x v="1"/>
    <x v="2"/>
    <s v="Dec-14"/>
    <x v="7"/>
    <n v="110.2"/>
    <n v="103"/>
    <n v="107.6"/>
    <s v="Food &amp; Beverages"/>
  </r>
  <r>
    <x v="1"/>
    <x v="2"/>
    <s v="Dec-14"/>
    <x v="22"/>
    <n v="121.7"/>
    <n v="126.4"/>
    <n v="123"/>
    <s v="Other goods &amp; services"/>
  </r>
  <r>
    <x v="1"/>
    <x v="2"/>
    <s v="Dec-14"/>
    <x v="24"/>
    <n v="109.4"/>
    <n v="110.4"/>
    <n v="109.8"/>
    <s v="Other goods &amp; services"/>
  </r>
  <r>
    <x v="1"/>
    <x v="2"/>
    <s v="Dec-14"/>
    <x v="20"/>
    <n v="124.8"/>
    <n v="127.6"/>
    <n v="126.1"/>
    <s v="Food &amp; Beverages"/>
  </r>
  <r>
    <x v="1"/>
    <x v="2"/>
    <s v="Dec-14"/>
    <x v="12"/>
    <n v="116.3"/>
    <n v="120.1"/>
    <n v="117.6"/>
    <s v="Food &amp; Beverages"/>
  </r>
  <r>
    <x v="1"/>
    <x v="2"/>
    <s v="Dec-14"/>
    <x v="26"/>
    <n v="113.3"/>
    <n v="114.3"/>
    <n v="113.9"/>
    <s v="Recreation"/>
  </r>
  <r>
    <x v="1"/>
    <x v="2"/>
    <s v="Dec-14"/>
    <x v="16"/>
    <n v="116"/>
    <n v="125.4"/>
    <n v="119.1"/>
    <s v="Food &amp; Beverages"/>
  </r>
  <r>
    <x v="1"/>
    <x v="2"/>
    <s v="Dec-14"/>
    <x v="14"/>
    <n v="102"/>
    <n v="97.8"/>
    <n v="100.6"/>
    <s v="Food &amp; Beverages"/>
  </r>
  <r>
    <x v="1"/>
    <x v="2"/>
    <s v="Dec-14"/>
    <x v="25"/>
    <n v="111.5"/>
    <n v="108.8"/>
    <n v="110.1"/>
    <s v="Transport"/>
  </r>
  <r>
    <x v="1"/>
    <x v="2"/>
    <s v="Dec-14"/>
    <x v="11"/>
    <n v="140.30000000000001"/>
    <n v="141"/>
    <n v="140.5"/>
    <s v="Food &amp; Beverages"/>
  </r>
  <r>
    <x v="1"/>
    <x v="3"/>
    <s v="Feb-14"/>
    <x v="0"/>
    <n v="119.4"/>
    <n v="121.9"/>
    <n v="120.2"/>
    <s v="Food &amp; Beverages"/>
  </r>
  <r>
    <x v="1"/>
    <x v="3"/>
    <s v="Feb-14"/>
    <x v="1"/>
    <n v="117.1"/>
    <n v="115.3"/>
    <n v="116.4"/>
    <s v="Apparel"/>
  </r>
  <r>
    <x v="1"/>
    <x v="3"/>
    <s v="Feb-14"/>
    <x v="3"/>
    <n v="116.7"/>
    <n v="114.7"/>
    <n v="115.9"/>
    <s v="Apparel"/>
  </r>
  <r>
    <x v="1"/>
    <x v="3"/>
    <s v="Feb-14"/>
    <x v="5"/>
    <n v="112"/>
    <n v="111.6"/>
    <n v="111.8"/>
    <s v="Education"/>
  </r>
  <r>
    <x v="1"/>
    <x v="3"/>
    <s v="Feb-14"/>
    <x v="4"/>
    <n v="121.2"/>
    <n v="124.5"/>
    <n v="122.5"/>
    <s v="Food &amp; Beverages"/>
  </r>
  <r>
    <x v="1"/>
    <x v="3"/>
    <s v="Feb-14"/>
    <x v="8"/>
    <n v="115.3"/>
    <n v="115.2"/>
    <n v="115.3"/>
    <s v="Food &amp; Beverages"/>
  </r>
  <r>
    <x v="1"/>
    <x v="3"/>
    <s v="Feb-14"/>
    <x v="10"/>
    <n v="114.5"/>
    <n v="111.7"/>
    <n v="113.3"/>
    <s v="Apparel"/>
  </r>
  <r>
    <x v="1"/>
    <x v="3"/>
    <s v="Feb-14"/>
    <x v="9"/>
    <n v="116.6"/>
    <n v="114.1"/>
    <n v="115.4"/>
    <s v="Food &amp; Beverages"/>
  </r>
  <r>
    <x v="1"/>
    <x v="3"/>
    <s v="Feb-14"/>
    <x v="13"/>
    <n v="113.2"/>
    <n v="111.1"/>
    <n v="112.4"/>
    <s v="Energy"/>
  </r>
  <r>
    <x v="1"/>
    <x v="3"/>
    <s v="Feb-14"/>
    <x v="15"/>
    <n v="114"/>
    <n v="113.1"/>
    <n v="113.6"/>
    <s v="General Index"/>
  </r>
  <r>
    <x v="1"/>
    <x v="3"/>
    <s v="Feb-14"/>
    <x v="17"/>
    <n v="110.9"/>
    <n v="110.4"/>
    <n v="110.7"/>
    <s v="Health"/>
  </r>
  <r>
    <x v="1"/>
    <x v="3"/>
    <s v="Feb-14"/>
    <x v="19"/>
    <n v="112.9"/>
    <n v="112.6"/>
    <n v="112.8"/>
    <s v="Housing"/>
  </r>
  <r>
    <x v="1"/>
    <x v="3"/>
    <s v="Feb-14"/>
    <x v="21"/>
    <n v="0"/>
    <n v="112.5"/>
    <n v="112.5"/>
    <s v="Housing"/>
  </r>
  <r>
    <x v="1"/>
    <x v="3"/>
    <s v="Feb-14"/>
    <x v="2"/>
    <n v="117.7"/>
    <n v="122"/>
    <n v="119.2"/>
    <s v="Food &amp; Beverages"/>
  </r>
  <r>
    <x v="1"/>
    <x v="3"/>
    <s v="Feb-14"/>
    <x v="6"/>
    <n v="115"/>
    <n v="115.2"/>
    <n v="115.1"/>
    <s v="Food &amp; Beverages"/>
  </r>
  <r>
    <x v="1"/>
    <x v="3"/>
    <s v="Feb-14"/>
    <x v="23"/>
    <n v="110.9"/>
    <n v="111"/>
    <n v="110.9"/>
    <s v="Other goods &amp; services"/>
  </r>
  <r>
    <x v="1"/>
    <x v="3"/>
    <s v="Feb-14"/>
    <x v="18"/>
    <n v="112.9"/>
    <n v="112.1"/>
    <n v="112.6"/>
    <s v="Food &amp; Beverages"/>
  </r>
  <r>
    <x v="1"/>
    <x v="3"/>
    <s v="Feb-14"/>
    <x v="7"/>
    <n v="109"/>
    <n v="102.5"/>
    <n v="106.6"/>
    <s v="Food &amp; Beverages"/>
  </r>
  <r>
    <x v="1"/>
    <x v="3"/>
    <s v="Feb-14"/>
    <x v="22"/>
    <n v="114.2"/>
    <n v="116.2"/>
    <n v="114.7"/>
    <s v="Other goods &amp; services"/>
  </r>
  <r>
    <x v="1"/>
    <x v="3"/>
    <s v="Feb-14"/>
    <x v="24"/>
    <n v="108.7"/>
    <n v="108.7"/>
    <n v="108.7"/>
    <s v="Other goods &amp; services"/>
  </r>
  <r>
    <x v="1"/>
    <x v="3"/>
    <s v="Feb-14"/>
    <x v="20"/>
    <n v="117.8"/>
    <n v="119.9"/>
    <n v="118.8"/>
    <s v="Food &amp; Beverages"/>
  </r>
  <r>
    <x v="1"/>
    <x v="3"/>
    <s v="Feb-14"/>
    <x v="12"/>
    <n v="109.8"/>
    <n v="108.2"/>
    <n v="109.3"/>
    <s v="Food &amp; Beverages"/>
  </r>
  <r>
    <x v="1"/>
    <x v="3"/>
    <s v="Feb-14"/>
    <x v="26"/>
    <n v="109.9"/>
    <n v="110.3"/>
    <n v="110.1"/>
    <s v="Recreation"/>
  </r>
  <r>
    <x v="1"/>
    <x v="3"/>
    <s v="Feb-14"/>
    <x v="16"/>
    <n v="110.4"/>
    <n v="113.5"/>
    <n v="111.4"/>
    <s v="Food &amp; Beverages"/>
  </r>
  <r>
    <x v="1"/>
    <x v="3"/>
    <s v="Feb-14"/>
    <x v="14"/>
    <n v="101.1"/>
    <n v="95.4"/>
    <n v="99.2"/>
    <s v="Food &amp; Beverages"/>
  </r>
  <r>
    <x v="1"/>
    <x v="3"/>
    <s v="Feb-14"/>
    <x v="25"/>
    <n v="110.8"/>
    <n v="111.3"/>
    <n v="111.1"/>
    <s v="Transport"/>
  </r>
  <r>
    <x v="1"/>
    <x v="3"/>
    <s v="Feb-14"/>
    <x v="11"/>
    <n v="116"/>
    <n v="111.5"/>
    <n v="114.5"/>
    <s v="Food &amp; Beverages"/>
  </r>
  <r>
    <x v="1"/>
    <x v="4"/>
    <s v="Jan-14"/>
    <x v="0"/>
    <n v="118.9"/>
    <n v="121.2"/>
    <n v="119.6"/>
    <s v="Food &amp; Beverages"/>
  </r>
  <r>
    <x v="1"/>
    <x v="4"/>
    <s v="Jan-14"/>
    <x v="1"/>
    <n v="116.5"/>
    <n v="114.8"/>
    <n v="115.8"/>
    <s v="Apparel"/>
  </r>
  <r>
    <x v="1"/>
    <x v="4"/>
    <s v="Jan-14"/>
    <x v="3"/>
    <n v="116.2"/>
    <n v="114.3"/>
    <n v="115.4"/>
    <s v="Apparel"/>
  </r>
  <r>
    <x v="1"/>
    <x v="4"/>
    <s v="Jan-14"/>
    <x v="5"/>
    <n v="111.8"/>
    <n v="111.5"/>
    <n v="111.6"/>
    <s v="Education"/>
  </r>
  <r>
    <x v="1"/>
    <x v="4"/>
    <s v="Jan-14"/>
    <x v="4"/>
    <n v="120.5"/>
    <n v="129.9"/>
    <n v="124.1"/>
    <s v="Food &amp; Beverages"/>
  </r>
  <r>
    <x v="1"/>
    <x v="4"/>
    <s v="Jan-14"/>
    <x v="8"/>
    <n v="116"/>
    <n v="115.5"/>
    <n v="115.8"/>
    <s v="Food &amp; Beverages"/>
  </r>
  <r>
    <x v="1"/>
    <x v="4"/>
    <s v="Jan-14"/>
    <x v="10"/>
    <n v="114.5"/>
    <n v="111.3"/>
    <n v="113.2"/>
    <s v="Apparel"/>
  </r>
  <r>
    <x v="1"/>
    <x v="4"/>
    <s v="Jan-14"/>
    <x v="9"/>
    <n v="115.5"/>
    <n v="112.1"/>
    <n v="113.9"/>
    <s v="Food &amp; Beverages"/>
  </r>
  <r>
    <x v="1"/>
    <x v="4"/>
    <s v="Jan-14"/>
    <x v="13"/>
    <n v="113"/>
    <n v="111"/>
    <n v="112.2"/>
    <s v="Energy"/>
  </r>
  <r>
    <x v="1"/>
    <x v="4"/>
    <s v="Jan-14"/>
    <x v="15"/>
    <n v="114.2"/>
    <n v="112.9"/>
    <n v="113.6"/>
    <s v="General Index"/>
  </r>
  <r>
    <x v="1"/>
    <x v="4"/>
    <s v="Jan-14"/>
    <x v="17"/>
    <n v="110.6"/>
    <n v="109.7"/>
    <n v="110.3"/>
    <s v="Health"/>
  </r>
  <r>
    <x v="1"/>
    <x v="4"/>
    <s v="Jan-14"/>
    <x v="19"/>
    <n v="112.6"/>
    <n v="111.9"/>
    <n v="112.3"/>
    <s v="Housing"/>
  </r>
  <r>
    <x v="1"/>
    <x v="4"/>
    <s v="Jan-14"/>
    <x v="21"/>
    <n v="0"/>
    <n v="111.6"/>
    <n v="111.6"/>
    <s v="Housing"/>
  </r>
  <r>
    <x v="1"/>
    <x v="4"/>
    <s v="Jan-14"/>
    <x v="2"/>
    <n v="117.1"/>
    <n v="122"/>
    <n v="118.8"/>
    <s v="Food &amp; Beverages"/>
  </r>
  <r>
    <x v="1"/>
    <x v="4"/>
    <s v="Jan-14"/>
    <x v="6"/>
    <n v="114.4"/>
    <n v="113.6"/>
    <n v="114.1"/>
    <s v="Food &amp; Beverages"/>
  </r>
  <r>
    <x v="1"/>
    <x v="4"/>
    <s v="Jan-14"/>
    <x v="23"/>
    <n v="110.6"/>
    <n v="110.5"/>
    <n v="110.6"/>
    <s v="Other goods &amp; services"/>
  </r>
  <r>
    <x v="1"/>
    <x v="4"/>
    <s v="Jan-14"/>
    <x v="18"/>
    <n v="112.4"/>
    <n v="112.1"/>
    <n v="112.3"/>
    <s v="Food &amp; Beverages"/>
  </r>
  <r>
    <x v="1"/>
    <x v="4"/>
    <s v="Jan-14"/>
    <x v="7"/>
    <n v="109"/>
    <n v="102.9"/>
    <n v="106.8"/>
    <s v="Food &amp; Beverages"/>
  </r>
  <r>
    <x v="1"/>
    <x v="4"/>
    <s v="Jan-14"/>
    <x v="22"/>
    <n v="114"/>
    <n v="115.7"/>
    <n v="114.5"/>
    <s v="Other goods &amp; services"/>
  </r>
  <r>
    <x v="1"/>
    <x v="4"/>
    <s v="Jan-14"/>
    <x v="24"/>
    <n v="108.3"/>
    <n v="108"/>
    <n v="108.2"/>
    <s v="Other goods &amp; services"/>
  </r>
  <r>
    <x v="1"/>
    <x v="4"/>
    <s v="Jan-14"/>
    <x v="20"/>
    <n v="117.3"/>
    <n v="119"/>
    <n v="118.1"/>
    <s v="Food &amp; Beverages"/>
  </r>
  <r>
    <x v="1"/>
    <x v="4"/>
    <s v="Jan-14"/>
    <x v="12"/>
    <n v="109.6"/>
    <n v="107.5"/>
    <n v="108.9"/>
    <s v="Food &amp; Beverages"/>
  </r>
  <r>
    <x v="1"/>
    <x v="4"/>
    <s v="Jan-14"/>
    <x v="26"/>
    <n v="109.6"/>
    <n v="109.8"/>
    <n v="109.7"/>
    <s v="Recreation"/>
  </r>
  <r>
    <x v="1"/>
    <x v="4"/>
    <s v="Jan-14"/>
    <x v="16"/>
    <n v="110.2"/>
    <n v="112.7"/>
    <n v="111"/>
    <s v="Food &amp; Beverages"/>
  </r>
  <r>
    <x v="1"/>
    <x v="4"/>
    <s v="Jan-14"/>
    <x v="14"/>
    <n v="101.8"/>
    <n v="96.9"/>
    <n v="100.2"/>
    <s v="Food &amp; Beverages"/>
  </r>
  <r>
    <x v="1"/>
    <x v="4"/>
    <s v="Jan-14"/>
    <x v="25"/>
    <n v="110.5"/>
    <n v="110.8"/>
    <n v="110.7"/>
    <s v="Transport"/>
  </r>
  <r>
    <x v="1"/>
    <x v="4"/>
    <s v="Jan-14"/>
    <x v="11"/>
    <n v="123.9"/>
    <n v="118.9"/>
    <n v="122.2"/>
    <s v="Food &amp; Beverages"/>
  </r>
  <r>
    <x v="1"/>
    <x v="5"/>
    <s v="Jul-14"/>
    <x v="0"/>
    <n v="121.7"/>
    <n v="123.8"/>
    <n v="122.4"/>
    <s v="Food &amp; Beverages"/>
  </r>
  <r>
    <x v="1"/>
    <x v="5"/>
    <s v="Jul-14"/>
    <x v="1"/>
    <n v="120.7"/>
    <n v="118"/>
    <n v="119.6"/>
    <s v="Apparel"/>
  </r>
  <r>
    <x v="1"/>
    <x v="5"/>
    <s v="Jul-14"/>
    <x v="3"/>
    <n v="120.3"/>
    <n v="117.4"/>
    <n v="119.1"/>
    <s v="Apparel"/>
  </r>
  <r>
    <x v="1"/>
    <x v="5"/>
    <s v="Jul-14"/>
    <x v="5"/>
    <n v="115.5"/>
    <n v="117.8"/>
    <n v="116.8"/>
    <s v="Education"/>
  </r>
  <r>
    <x v="1"/>
    <x v="5"/>
    <s v="Jul-14"/>
    <x v="4"/>
    <n v="117.7"/>
    <n v="118"/>
    <n v="117.8"/>
    <s v="Food &amp; Beverages"/>
  </r>
  <r>
    <x v="1"/>
    <x v="5"/>
    <s v="Jul-14"/>
    <x v="8"/>
    <n v="123.3"/>
    <n v="127.1"/>
    <n v="124.7"/>
    <s v="Food &amp; Beverages"/>
  </r>
  <r>
    <x v="1"/>
    <x v="5"/>
    <s v="Jul-14"/>
    <x v="10"/>
    <n v="118.3"/>
    <n v="113.6"/>
    <n v="116.3"/>
    <s v="Apparel"/>
  </r>
  <r>
    <x v="1"/>
    <x v="5"/>
    <s v="Jul-14"/>
    <x v="9"/>
    <n v="129.1"/>
    <n v="133.69999999999999"/>
    <n v="131.19999999999999"/>
    <s v="Food &amp; Beverages"/>
  </r>
  <r>
    <x v="1"/>
    <x v="5"/>
    <s v="Jul-14"/>
    <x v="13"/>
    <n v="115.3"/>
    <n v="111.6"/>
    <n v="113.9"/>
    <s v="Energy"/>
  </r>
  <r>
    <x v="1"/>
    <x v="5"/>
    <s v="Jul-14"/>
    <x v="15"/>
    <n v="119.5"/>
    <n v="118.9"/>
    <n v="119.2"/>
    <s v="General Index"/>
  </r>
  <r>
    <x v="1"/>
    <x v="5"/>
    <s v="Jul-14"/>
    <x v="17"/>
    <n v="113.4"/>
    <n v="111.5"/>
    <n v="112.7"/>
    <s v="Health"/>
  </r>
  <r>
    <x v="1"/>
    <x v="5"/>
    <s v="Jul-14"/>
    <x v="19"/>
    <n v="115.4"/>
    <n v="114.9"/>
    <n v="115.2"/>
    <s v="Housing"/>
  </r>
  <r>
    <x v="1"/>
    <x v="5"/>
    <s v="Jul-14"/>
    <x v="21"/>
    <n v="0"/>
    <n v="114.8"/>
    <n v="114.8"/>
    <s v="Housing"/>
  </r>
  <r>
    <x v="1"/>
    <x v="5"/>
    <s v="Jul-14"/>
    <x v="2"/>
    <n v="122.5"/>
    <n v="126.4"/>
    <n v="123.9"/>
    <s v="Food &amp; Beverages"/>
  </r>
  <r>
    <x v="1"/>
    <x v="5"/>
    <s v="Jul-14"/>
    <x v="6"/>
    <n v="120.6"/>
    <n v="121.6"/>
    <n v="121"/>
    <s v="Food &amp; Beverages"/>
  </r>
  <r>
    <x v="1"/>
    <x v="5"/>
    <s v="Jul-14"/>
    <x v="23"/>
    <n v="113.1"/>
    <n v="113.5"/>
    <n v="113.3"/>
    <s v="Other goods &amp; services"/>
  </r>
  <r>
    <x v="1"/>
    <x v="5"/>
    <s v="Jul-14"/>
    <x v="18"/>
    <n v="115.6"/>
    <n v="113.8"/>
    <n v="114.8"/>
    <s v="Food &amp; Beverages"/>
  </r>
  <r>
    <x v="1"/>
    <x v="5"/>
    <s v="Jul-14"/>
    <x v="7"/>
    <n v="110.4"/>
    <n v="103.5"/>
    <n v="107.9"/>
    <s v="Food &amp; Beverages"/>
  </r>
  <r>
    <x v="1"/>
    <x v="5"/>
    <s v="Jul-14"/>
    <x v="22"/>
    <n v="118"/>
    <n v="121"/>
    <n v="118.8"/>
    <s v="Other goods &amp; services"/>
  </r>
  <r>
    <x v="1"/>
    <x v="5"/>
    <s v="Jul-14"/>
    <x v="24"/>
    <n v="108.8"/>
    <n v="109.7"/>
    <n v="109.2"/>
    <s v="Other goods &amp; services"/>
  </r>
  <r>
    <x v="1"/>
    <x v="5"/>
    <s v="Jul-14"/>
    <x v="20"/>
    <n v="120.9"/>
    <n v="123.4"/>
    <n v="122.1"/>
    <s v="Food &amp; Beverages"/>
  </r>
  <r>
    <x v="1"/>
    <x v="5"/>
    <s v="Jul-14"/>
    <x v="12"/>
    <n v="113.2"/>
    <n v="113.1"/>
    <n v="113.2"/>
    <s v="Food &amp; Beverages"/>
  </r>
  <r>
    <x v="1"/>
    <x v="5"/>
    <s v="Jul-14"/>
    <x v="26"/>
    <n v="111.8"/>
    <n v="112.4"/>
    <n v="112.1"/>
    <s v="Recreation"/>
  </r>
  <r>
    <x v="1"/>
    <x v="5"/>
    <s v="Jul-14"/>
    <x v="16"/>
    <n v="113.3"/>
    <n v="120"/>
    <n v="115.5"/>
    <s v="Food &amp; Beverages"/>
  </r>
  <r>
    <x v="1"/>
    <x v="5"/>
    <s v="Jul-14"/>
    <x v="14"/>
    <n v="104.8"/>
    <n v="102.7"/>
    <n v="104.1"/>
    <s v="Food &amp; Beverages"/>
  </r>
  <r>
    <x v="1"/>
    <x v="5"/>
    <s v="Jul-14"/>
    <x v="25"/>
    <n v="113.2"/>
    <n v="113"/>
    <n v="113.1"/>
    <s v="Transport"/>
  </r>
  <r>
    <x v="1"/>
    <x v="5"/>
    <s v="Jul-14"/>
    <x v="11"/>
    <n v="150.1"/>
    <n v="172.4"/>
    <n v="157.69999999999999"/>
    <s v="Food &amp; Beverages"/>
  </r>
  <r>
    <x v="1"/>
    <x v="6"/>
    <s v="Jun-14"/>
    <x v="0"/>
    <n v="120.7"/>
    <n v="123.1"/>
    <n v="121.5"/>
    <s v="Food &amp; Beverages"/>
  </r>
  <r>
    <x v="1"/>
    <x v="6"/>
    <s v="Jun-14"/>
    <x v="1"/>
    <n v="119.7"/>
    <n v="117.4"/>
    <n v="118.8"/>
    <s v="Apparel"/>
  </r>
  <r>
    <x v="1"/>
    <x v="6"/>
    <s v="Jun-14"/>
    <x v="3"/>
    <n v="119.3"/>
    <n v="116.7"/>
    <n v="118.3"/>
    <s v="Apparel"/>
  </r>
  <r>
    <x v="1"/>
    <x v="6"/>
    <s v="Jun-14"/>
    <x v="5"/>
    <n v="114.3"/>
    <n v="115.1"/>
    <n v="114.8"/>
    <s v="Education"/>
  </r>
  <r>
    <x v="1"/>
    <x v="6"/>
    <s v="Jun-14"/>
    <x v="4"/>
    <n v="116.1"/>
    <n v="115.4"/>
    <n v="115.8"/>
    <s v="Food &amp; Beverages"/>
  </r>
  <r>
    <x v="1"/>
    <x v="6"/>
    <s v="Jun-14"/>
    <x v="8"/>
    <n v="119.5"/>
    <n v="122"/>
    <n v="120.4"/>
    <s v="Food &amp; Beverages"/>
  </r>
  <r>
    <x v="1"/>
    <x v="6"/>
    <s v="Jun-14"/>
    <x v="10"/>
    <n v="117.3"/>
    <n v="113.2"/>
    <n v="115.6"/>
    <s v="Apparel"/>
  </r>
  <r>
    <x v="1"/>
    <x v="6"/>
    <s v="Jun-14"/>
    <x v="9"/>
    <n v="125.8"/>
    <n v="131.19999999999999"/>
    <n v="128.30000000000001"/>
    <s v="Food &amp; Beverages"/>
  </r>
  <r>
    <x v="1"/>
    <x v="6"/>
    <s v="Jun-14"/>
    <x v="13"/>
    <n v="114.4"/>
    <n v="111.2"/>
    <n v="113.2"/>
    <s v="Energy"/>
  </r>
  <r>
    <x v="1"/>
    <x v="6"/>
    <s v="Jun-14"/>
    <x v="15"/>
    <n v="117"/>
    <n v="116.4"/>
    <n v="116.7"/>
    <s v="General Index"/>
  </r>
  <r>
    <x v="1"/>
    <x v="6"/>
    <s v="Jun-14"/>
    <x v="17"/>
    <n v="112.8"/>
    <n v="111.4"/>
    <n v="112.3"/>
    <s v="Health"/>
  </r>
  <r>
    <x v="1"/>
    <x v="6"/>
    <s v="Jun-14"/>
    <x v="19"/>
    <n v="114.9"/>
    <n v="114.3"/>
    <n v="114.6"/>
    <s v="Housing"/>
  </r>
  <r>
    <x v="1"/>
    <x v="6"/>
    <s v="Jun-14"/>
    <x v="21"/>
    <n v="0"/>
    <n v="113.9"/>
    <n v="113.9"/>
    <s v="Housing"/>
  </r>
  <r>
    <x v="1"/>
    <x v="6"/>
    <s v="Jun-14"/>
    <x v="2"/>
    <n v="121.6"/>
    <n v="125.9"/>
    <n v="123.1"/>
    <s v="Food &amp; Beverages"/>
  </r>
  <r>
    <x v="1"/>
    <x v="6"/>
    <s v="Jun-14"/>
    <x v="6"/>
    <n v="119.3"/>
    <n v="120.4"/>
    <n v="119.7"/>
    <s v="Food &amp; Beverages"/>
  </r>
  <r>
    <x v="1"/>
    <x v="6"/>
    <s v="Jun-14"/>
    <x v="23"/>
    <n v="112.3"/>
    <n v="112.2"/>
    <n v="112.3"/>
    <s v="Other goods &amp; services"/>
  </r>
  <r>
    <x v="1"/>
    <x v="6"/>
    <s v="Jun-14"/>
    <x v="18"/>
    <n v="114.9"/>
    <n v="113.2"/>
    <n v="114.2"/>
    <s v="Food &amp; Beverages"/>
  </r>
  <r>
    <x v="1"/>
    <x v="6"/>
    <s v="Jun-14"/>
    <x v="7"/>
    <n v="110.3"/>
    <n v="103.4"/>
    <n v="107.8"/>
    <s v="Food &amp; Beverages"/>
  </r>
  <r>
    <x v="1"/>
    <x v="6"/>
    <s v="Jun-14"/>
    <x v="22"/>
    <n v="117.3"/>
    <n v="119"/>
    <n v="117.8"/>
    <s v="Other goods &amp; services"/>
  </r>
  <r>
    <x v="1"/>
    <x v="6"/>
    <s v="Jun-14"/>
    <x v="24"/>
    <n v="108"/>
    <n v="108.7"/>
    <n v="108.3"/>
    <s v="Other goods &amp; services"/>
  </r>
  <r>
    <x v="1"/>
    <x v="6"/>
    <s v="Jun-14"/>
    <x v="20"/>
    <n v="120.1"/>
    <n v="122.4"/>
    <n v="121.2"/>
    <s v="Food &amp; Beverages"/>
  </r>
  <r>
    <x v="1"/>
    <x v="6"/>
    <s v="Jun-14"/>
    <x v="12"/>
    <n v="112.2"/>
    <n v="112.8"/>
    <n v="112.4"/>
    <s v="Food &amp; Beverages"/>
  </r>
  <r>
    <x v="1"/>
    <x v="6"/>
    <s v="Jun-14"/>
    <x v="26"/>
    <n v="111.4"/>
    <n v="111.8"/>
    <n v="111.6"/>
    <s v="Recreation"/>
  </r>
  <r>
    <x v="1"/>
    <x v="6"/>
    <s v="Jun-14"/>
    <x v="16"/>
    <n v="112.3"/>
    <n v="118.3"/>
    <n v="114.3"/>
    <s v="Food &amp; Beverages"/>
  </r>
  <r>
    <x v="1"/>
    <x v="6"/>
    <s v="Jun-14"/>
    <x v="14"/>
    <n v="103.6"/>
    <n v="101.4"/>
    <n v="102.9"/>
    <s v="Food &amp; Beverages"/>
  </r>
  <r>
    <x v="1"/>
    <x v="6"/>
    <s v="Jun-14"/>
    <x v="25"/>
    <n v="112.2"/>
    <n v="111.5"/>
    <n v="111.8"/>
    <s v="Transport"/>
  </r>
  <r>
    <x v="1"/>
    <x v="6"/>
    <s v="Jun-14"/>
    <x v="11"/>
    <n v="129.30000000000001"/>
    <n v="137.5"/>
    <n v="132.1"/>
    <s v="Food &amp; Beverages"/>
  </r>
  <r>
    <x v="1"/>
    <x v="7"/>
    <s v="Mar-14"/>
    <x v="0"/>
    <n v="120.1"/>
    <n v="122.1"/>
    <n v="120.7"/>
    <s v="Food &amp; Beverages"/>
  </r>
  <r>
    <x v="1"/>
    <x v="7"/>
    <s v="Mar-14"/>
    <x v="1"/>
    <n v="117.5"/>
    <n v="115.8"/>
    <n v="116.8"/>
    <s v="Apparel"/>
  </r>
  <r>
    <x v="1"/>
    <x v="7"/>
    <s v="Mar-14"/>
    <x v="3"/>
    <n v="117.2"/>
    <n v="115.2"/>
    <n v="116.4"/>
    <s v="Apparel"/>
  </r>
  <r>
    <x v="1"/>
    <x v="7"/>
    <s v="Mar-14"/>
    <x v="5"/>
    <n v="112.4"/>
    <n v="111.8"/>
    <n v="112"/>
    <s v="Education"/>
  </r>
  <r>
    <x v="1"/>
    <x v="7"/>
    <s v="Mar-14"/>
    <x v="4"/>
    <n v="120.7"/>
    <n v="121.5"/>
    <n v="121"/>
    <s v="Food &amp; Beverages"/>
  </r>
  <r>
    <x v="1"/>
    <x v="7"/>
    <s v="Mar-14"/>
    <x v="8"/>
    <n v="116.2"/>
    <n v="116"/>
    <n v="116.1"/>
    <s v="Food &amp; Beverages"/>
  </r>
  <r>
    <x v="1"/>
    <x v="7"/>
    <s v="Mar-14"/>
    <x v="10"/>
    <n v="114.9"/>
    <n v="112.1"/>
    <n v="113.7"/>
    <s v="Apparel"/>
  </r>
  <r>
    <x v="1"/>
    <x v="7"/>
    <s v="Mar-14"/>
    <x v="9"/>
    <n v="119.6"/>
    <n v="117.7"/>
    <n v="118.7"/>
    <s v="Food &amp; Beverages"/>
  </r>
  <r>
    <x v="1"/>
    <x v="7"/>
    <s v="Mar-14"/>
    <x v="13"/>
    <n v="113.4"/>
    <n v="110.9"/>
    <n v="112.5"/>
    <s v="Energy"/>
  </r>
  <r>
    <x v="1"/>
    <x v="7"/>
    <s v="Mar-14"/>
    <x v="15"/>
    <n v="114.6"/>
    <n v="113.7"/>
    <n v="114.2"/>
    <s v="General Index"/>
  </r>
  <r>
    <x v="1"/>
    <x v="7"/>
    <s v="Mar-14"/>
    <x v="17"/>
    <n v="111.4"/>
    <n v="110.8"/>
    <n v="111.2"/>
    <s v="Health"/>
  </r>
  <r>
    <x v="1"/>
    <x v="7"/>
    <s v="Mar-14"/>
    <x v="19"/>
    <n v="113.4"/>
    <n v="113"/>
    <n v="113.2"/>
    <s v="Housing"/>
  </r>
  <r>
    <x v="1"/>
    <x v="7"/>
    <s v="Mar-14"/>
    <x v="21"/>
    <n v="0"/>
    <n v="113.2"/>
    <n v="113.2"/>
    <s v="Housing"/>
  </r>
  <r>
    <x v="1"/>
    <x v="7"/>
    <s v="Mar-14"/>
    <x v="2"/>
    <n v="118.1"/>
    <n v="121.4"/>
    <n v="119.3"/>
    <s v="Food &amp; Beverages"/>
  </r>
  <r>
    <x v="1"/>
    <x v="7"/>
    <s v="Mar-14"/>
    <x v="6"/>
    <n v="116.1"/>
    <n v="116.2"/>
    <n v="116.1"/>
    <s v="Food &amp; Beverages"/>
  </r>
  <r>
    <x v="1"/>
    <x v="7"/>
    <s v="Mar-14"/>
    <x v="23"/>
    <n v="111.3"/>
    <n v="111.4"/>
    <n v="111.3"/>
    <s v="Other goods &amp; services"/>
  </r>
  <r>
    <x v="1"/>
    <x v="7"/>
    <s v="Mar-14"/>
    <x v="18"/>
    <n v="113"/>
    <n v="112.2"/>
    <n v="112.7"/>
    <s v="Food &amp; Beverages"/>
  </r>
  <r>
    <x v="1"/>
    <x v="7"/>
    <s v="Mar-14"/>
    <x v="7"/>
    <n v="109.3"/>
    <n v="102.8"/>
    <n v="106.9"/>
    <s v="Food &amp; Beverages"/>
  </r>
  <r>
    <x v="1"/>
    <x v="7"/>
    <s v="Mar-14"/>
    <x v="22"/>
    <n v="114.6"/>
    <n v="116.7"/>
    <n v="115.2"/>
    <s v="Other goods &amp; services"/>
  </r>
  <r>
    <x v="1"/>
    <x v="7"/>
    <s v="Mar-14"/>
    <x v="24"/>
    <n v="108.9"/>
    <n v="109.2"/>
    <n v="109"/>
    <s v="Other goods &amp; services"/>
  </r>
  <r>
    <x v="1"/>
    <x v="7"/>
    <s v="Mar-14"/>
    <x v="20"/>
    <n v="118.3"/>
    <n v="120.5"/>
    <n v="119.3"/>
    <s v="Food &amp; Beverages"/>
  </r>
  <r>
    <x v="1"/>
    <x v="7"/>
    <s v="Mar-14"/>
    <x v="12"/>
    <n v="110.2"/>
    <n v="108.9"/>
    <n v="109.8"/>
    <s v="Food &amp; Beverages"/>
  </r>
  <r>
    <x v="1"/>
    <x v="7"/>
    <s v="Mar-14"/>
    <x v="26"/>
    <n v="110.2"/>
    <n v="110.9"/>
    <n v="110.6"/>
    <s v="Recreation"/>
  </r>
  <r>
    <x v="1"/>
    <x v="7"/>
    <s v="Mar-14"/>
    <x v="16"/>
    <n v="110.7"/>
    <n v="114.1"/>
    <n v="111.8"/>
    <s v="Food &amp; Beverages"/>
  </r>
  <r>
    <x v="1"/>
    <x v="7"/>
    <s v="Mar-14"/>
    <x v="14"/>
    <n v="101.2"/>
    <n v="96.3"/>
    <n v="99.6"/>
    <s v="Food &amp; Beverages"/>
  </r>
  <r>
    <x v="1"/>
    <x v="7"/>
    <s v="Mar-14"/>
    <x v="25"/>
    <n v="111.2"/>
    <n v="111.6"/>
    <n v="111.4"/>
    <s v="Transport"/>
  </r>
  <r>
    <x v="1"/>
    <x v="7"/>
    <s v="Mar-14"/>
    <x v="11"/>
    <n v="117.9"/>
    <n v="113.3"/>
    <n v="116.3"/>
    <s v="Food &amp; Beverages"/>
  </r>
  <r>
    <x v="1"/>
    <x v="8"/>
    <s v="May-14"/>
    <x v="0"/>
    <n v="120.3"/>
    <n v="122.7"/>
    <n v="121.1"/>
    <s v="Food &amp; Beverages"/>
  </r>
  <r>
    <x v="1"/>
    <x v="8"/>
    <s v="May-14"/>
    <x v="1"/>
    <n v="118.7"/>
    <n v="116.8"/>
    <n v="118"/>
    <s v="Apparel"/>
  </r>
  <r>
    <x v="1"/>
    <x v="8"/>
    <s v="May-14"/>
    <x v="3"/>
    <n v="118.5"/>
    <n v="116.2"/>
    <n v="117.6"/>
    <s v="Apparel"/>
  </r>
  <r>
    <x v="1"/>
    <x v="8"/>
    <s v="May-14"/>
    <x v="5"/>
    <n v="113.1"/>
    <n v="112.9"/>
    <n v="113"/>
    <s v="Education"/>
  </r>
  <r>
    <x v="1"/>
    <x v="8"/>
    <s v="May-14"/>
    <x v="4"/>
    <n v="116.9"/>
    <n v="114.2"/>
    <n v="115.9"/>
    <s v="Food &amp; Beverages"/>
  </r>
  <r>
    <x v="1"/>
    <x v="8"/>
    <s v="May-14"/>
    <x v="8"/>
    <n v="118.2"/>
    <n v="120"/>
    <n v="118.9"/>
    <s v="Food &amp; Beverages"/>
  </r>
  <r>
    <x v="1"/>
    <x v="8"/>
    <s v="May-14"/>
    <x v="10"/>
    <n v="116.8"/>
    <n v="112.9"/>
    <n v="115.2"/>
    <s v="Apparel"/>
  </r>
  <r>
    <x v="1"/>
    <x v="8"/>
    <s v="May-14"/>
    <x v="9"/>
    <n v="126.3"/>
    <n v="129.19999999999999"/>
    <n v="127.7"/>
    <s v="Food &amp; Beverages"/>
  </r>
  <r>
    <x v="1"/>
    <x v="8"/>
    <s v="May-14"/>
    <x v="13"/>
    <n v="113.4"/>
    <n v="111.1"/>
    <n v="112.5"/>
    <s v="Energy"/>
  </r>
  <r>
    <x v="1"/>
    <x v="8"/>
    <s v="May-14"/>
    <x v="15"/>
    <n v="116"/>
    <n v="115.6"/>
    <n v="115.8"/>
    <s v="General Index"/>
  </r>
  <r>
    <x v="1"/>
    <x v="8"/>
    <s v="May-14"/>
    <x v="17"/>
    <n v="112.1"/>
    <n v="111.2"/>
    <n v="111.8"/>
    <s v="Health"/>
  </r>
  <r>
    <x v="1"/>
    <x v="8"/>
    <s v="May-14"/>
    <x v="19"/>
    <n v="114.1"/>
    <n v="114.1"/>
    <n v="114.1"/>
    <s v="Housing"/>
  </r>
  <r>
    <x v="1"/>
    <x v="8"/>
    <s v="May-14"/>
    <x v="21"/>
    <n v="0"/>
    <n v="114.3"/>
    <n v="114.3"/>
    <s v="Housing"/>
  </r>
  <r>
    <x v="1"/>
    <x v="8"/>
    <s v="May-14"/>
    <x v="2"/>
    <n v="120.2"/>
    <n v="124.1"/>
    <n v="121.6"/>
    <s v="Food &amp; Beverages"/>
  </r>
  <r>
    <x v="1"/>
    <x v="8"/>
    <s v="May-14"/>
    <x v="6"/>
    <n v="118"/>
    <n v="119.1"/>
    <n v="118.4"/>
    <s v="Food &amp; Beverages"/>
  </r>
  <r>
    <x v="1"/>
    <x v="8"/>
    <s v="May-14"/>
    <x v="23"/>
    <n v="111.8"/>
    <n v="111.7"/>
    <n v="111.8"/>
    <s v="Other goods &amp; services"/>
  </r>
  <r>
    <x v="1"/>
    <x v="8"/>
    <s v="May-14"/>
    <x v="18"/>
    <n v="114.2"/>
    <n v="112.9"/>
    <n v="113.7"/>
    <s v="Food &amp; Beverages"/>
  </r>
  <r>
    <x v="1"/>
    <x v="8"/>
    <s v="May-14"/>
    <x v="7"/>
    <n v="110.1"/>
    <n v="103.5"/>
    <n v="107.7"/>
    <s v="Food &amp; Beverages"/>
  </r>
  <r>
    <x v="1"/>
    <x v="8"/>
    <s v="May-14"/>
    <x v="22"/>
    <n v="116.3"/>
    <n v="118.3"/>
    <n v="116.8"/>
    <s v="Other goods &amp; services"/>
  </r>
  <r>
    <x v="1"/>
    <x v="8"/>
    <s v="May-14"/>
    <x v="24"/>
    <n v="108.9"/>
    <n v="109.3"/>
    <n v="109.1"/>
    <s v="Other goods &amp; services"/>
  </r>
  <r>
    <x v="1"/>
    <x v="8"/>
    <s v="May-14"/>
    <x v="20"/>
    <n v="119.2"/>
    <n v="121.7"/>
    <n v="120.4"/>
    <s v="Food &amp; Beverages"/>
  </r>
  <r>
    <x v="1"/>
    <x v="8"/>
    <s v="May-14"/>
    <x v="12"/>
    <n v="111.5"/>
    <n v="112.6"/>
    <n v="111.9"/>
    <s v="Food &amp; Beverages"/>
  </r>
  <r>
    <x v="1"/>
    <x v="8"/>
    <s v="May-14"/>
    <x v="26"/>
    <n v="110.9"/>
    <n v="111.5"/>
    <n v="111.2"/>
    <s v="Recreation"/>
  </r>
  <r>
    <x v="1"/>
    <x v="8"/>
    <s v="May-14"/>
    <x v="16"/>
    <n v="111.6"/>
    <n v="117"/>
    <n v="113.4"/>
    <s v="Food &amp; Beverages"/>
  </r>
  <r>
    <x v="1"/>
    <x v="8"/>
    <s v="May-14"/>
    <x v="14"/>
    <n v="103.5"/>
    <n v="101.3"/>
    <n v="102.8"/>
    <s v="Food &amp; Beverages"/>
  </r>
  <r>
    <x v="1"/>
    <x v="8"/>
    <s v="May-14"/>
    <x v="25"/>
    <n v="111.4"/>
    <n v="111.3"/>
    <n v="111.3"/>
    <s v="Transport"/>
  </r>
  <r>
    <x v="1"/>
    <x v="8"/>
    <s v="May-14"/>
    <x v="11"/>
    <n v="123.9"/>
    <n v="127"/>
    <n v="125"/>
    <s v="Food &amp; Beverages"/>
  </r>
  <r>
    <x v="1"/>
    <x v="9"/>
    <s v="Nov-14"/>
    <x v="0"/>
    <n v="122.7"/>
    <n v="124.5"/>
    <n v="123.3"/>
    <s v="Food &amp; Beverages"/>
  </r>
  <r>
    <x v="1"/>
    <x v="9"/>
    <s v="Nov-14"/>
    <x v="1"/>
    <n v="123.3"/>
    <n v="120.3"/>
    <n v="122.1"/>
    <s v="Apparel"/>
  </r>
  <r>
    <x v="1"/>
    <x v="9"/>
    <s v="Nov-14"/>
    <x v="3"/>
    <n v="122.9"/>
    <n v="119.5"/>
    <n v="121.6"/>
    <s v="Apparel"/>
  </r>
  <r>
    <x v="1"/>
    <x v="9"/>
    <s v="Nov-14"/>
    <x v="5"/>
    <n v="117.2"/>
    <n v="120.3"/>
    <n v="119"/>
    <s v="Education"/>
  </r>
  <r>
    <x v="1"/>
    <x v="9"/>
    <s v="Nov-14"/>
    <x v="4"/>
    <n v="119.9"/>
    <n v="122.7"/>
    <n v="121"/>
    <s v="Food &amp; Beverages"/>
  </r>
  <r>
    <x v="1"/>
    <x v="9"/>
    <s v="Nov-14"/>
    <x v="8"/>
    <n v="124.9"/>
    <n v="125.4"/>
    <n v="125.1"/>
    <s v="Food &amp; Beverages"/>
  </r>
  <r>
    <x v="1"/>
    <x v="9"/>
    <s v="Nov-14"/>
    <x v="10"/>
    <n v="120.5"/>
    <n v="115.4"/>
    <n v="118.4"/>
    <s v="Apparel"/>
  </r>
  <r>
    <x v="1"/>
    <x v="9"/>
    <s v="Nov-14"/>
    <x v="9"/>
    <n v="128.80000000000001"/>
    <n v="122.2"/>
    <n v="125.7"/>
    <s v="Food &amp; Beverages"/>
  </r>
  <r>
    <x v="1"/>
    <x v="9"/>
    <s v="Nov-14"/>
    <x v="13"/>
    <n v="117.3"/>
    <n v="112.6"/>
    <n v="115.5"/>
    <s v="Energy"/>
  </r>
  <r>
    <x v="1"/>
    <x v="9"/>
    <s v="Nov-14"/>
    <x v="15"/>
    <n v="121.1"/>
    <n v="119"/>
    <n v="120.1"/>
    <s v="General Index"/>
  </r>
  <r>
    <x v="1"/>
    <x v="9"/>
    <s v="Nov-14"/>
    <x v="17"/>
    <n v="115.9"/>
    <n v="113"/>
    <n v="114.8"/>
    <s v="Health"/>
  </r>
  <r>
    <x v="1"/>
    <x v="9"/>
    <s v="Nov-14"/>
    <x v="19"/>
    <n v="118.1"/>
    <n v="116.4"/>
    <n v="117.3"/>
    <s v="Housing"/>
  </r>
  <r>
    <x v="1"/>
    <x v="9"/>
    <s v="Nov-14"/>
    <x v="21"/>
    <n v="0"/>
    <n v="117.1"/>
    <n v="117.1"/>
    <s v="Housing"/>
  </r>
  <r>
    <x v="1"/>
    <x v="9"/>
    <s v="Nov-14"/>
    <x v="2"/>
    <n v="122.6"/>
    <n v="125.6"/>
    <n v="123.7"/>
    <s v="Food &amp; Beverages"/>
  </r>
  <r>
    <x v="1"/>
    <x v="9"/>
    <s v="Nov-14"/>
    <x v="6"/>
    <n v="124"/>
    <n v="124.6"/>
    <n v="124.2"/>
    <s v="Food &amp; Beverages"/>
  </r>
  <r>
    <x v="1"/>
    <x v="9"/>
    <s v="Nov-14"/>
    <x v="23"/>
    <n v="114.1"/>
    <n v="113.4"/>
    <n v="113.8"/>
    <s v="Other goods &amp; services"/>
  </r>
  <r>
    <x v="1"/>
    <x v="9"/>
    <s v="Nov-14"/>
    <x v="18"/>
    <n v="116.8"/>
    <n v="115.8"/>
    <n v="116.4"/>
    <s v="Food &amp; Beverages"/>
  </r>
  <r>
    <x v="1"/>
    <x v="9"/>
    <s v="Nov-14"/>
    <x v="7"/>
    <n v="110.5"/>
    <n v="103.2"/>
    <n v="107.8"/>
    <s v="Food &amp; Beverages"/>
  </r>
  <r>
    <x v="1"/>
    <x v="9"/>
    <s v="Nov-14"/>
    <x v="22"/>
    <n v="120.8"/>
    <n v="125.8"/>
    <n v="122.1"/>
    <s v="Other goods &amp; services"/>
  </r>
  <r>
    <x v="1"/>
    <x v="9"/>
    <s v="Nov-14"/>
    <x v="24"/>
    <n v="108.8"/>
    <n v="109.6"/>
    <n v="109.1"/>
    <s v="Other goods &amp; services"/>
  </r>
  <r>
    <x v="1"/>
    <x v="9"/>
    <s v="Nov-14"/>
    <x v="20"/>
    <n v="124.5"/>
    <n v="126.9"/>
    <n v="125.6"/>
    <s v="Food &amp; Beverages"/>
  </r>
  <r>
    <x v="1"/>
    <x v="9"/>
    <s v="Nov-14"/>
    <x v="12"/>
    <n v="116.2"/>
    <n v="119.3"/>
    <n v="117.2"/>
    <s v="Food &amp; Beverages"/>
  </r>
  <r>
    <x v="1"/>
    <x v="9"/>
    <s v="Nov-14"/>
    <x v="26"/>
    <n v="113.3"/>
    <n v="114"/>
    <n v="113.7"/>
    <s v="Recreation"/>
  </r>
  <r>
    <x v="1"/>
    <x v="9"/>
    <s v="Nov-14"/>
    <x v="16"/>
    <n v="115.8"/>
    <n v="124.6"/>
    <n v="118.7"/>
    <s v="Food &amp; Beverages"/>
  </r>
  <r>
    <x v="1"/>
    <x v="9"/>
    <s v="Nov-14"/>
    <x v="14"/>
    <n v="103.3"/>
    <n v="99.8"/>
    <n v="102.1"/>
    <s v="Food &amp; Beverages"/>
  </r>
  <r>
    <x v="1"/>
    <x v="9"/>
    <s v="Nov-14"/>
    <x v="25"/>
    <n v="112"/>
    <n v="109.7"/>
    <n v="110.8"/>
    <s v="Transport"/>
  </r>
  <r>
    <x v="1"/>
    <x v="9"/>
    <s v="Nov-14"/>
    <x v="11"/>
    <n v="152"/>
    <n v="153.19999999999999"/>
    <n v="152.4"/>
    <s v="Food &amp; Beverages"/>
  </r>
  <r>
    <x v="1"/>
    <x v="10"/>
    <s v="Oct-14"/>
    <x v="0"/>
    <n v="122.6"/>
    <n v="124.6"/>
    <n v="123.2"/>
    <s v="Food &amp; Beverages"/>
  </r>
  <r>
    <x v="1"/>
    <x v="10"/>
    <s v="Oct-14"/>
    <x v="1"/>
    <n v="122.7"/>
    <n v="119.6"/>
    <n v="121.5"/>
    <s v="Apparel"/>
  </r>
  <r>
    <x v="1"/>
    <x v="10"/>
    <s v="Oct-14"/>
    <x v="3"/>
    <n v="122.3"/>
    <n v="118.9"/>
    <n v="121"/>
    <s v="Apparel"/>
  </r>
  <r>
    <x v="1"/>
    <x v="10"/>
    <s v="Oct-14"/>
    <x v="5"/>
    <n v="116.9"/>
    <n v="120.2"/>
    <n v="118.8"/>
    <s v="Education"/>
  </r>
  <r>
    <x v="1"/>
    <x v="10"/>
    <s v="Oct-14"/>
    <x v="4"/>
    <n v="118.3"/>
    <n v="117.8"/>
    <n v="118.1"/>
    <s v="Food &amp; Beverages"/>
  </r>
  <r>
    <x v="1"/>
    <x v="10"/>
    <s v="Oct-14"/>
    <x v="8"/>
    <n v="125.1"/>
    <n v="125.8"/>
    <n v="125.4"/>
    <s v="Food &amp; Beverages"/>
  </r>
  <r>
    <x v="1"/>
    <x v="10"/>
    <s v="Oct-14"/>
    <x v="10"/>
    <n v="120.3"/>
    <n v="114.9"/>
    <n v="118.1"/>
    <s v="Apparel"/>
  </r>
  <r>
    <x v="1"/>
    <x v="10"/>
    <s v="Oct-14"/>
    <x v="9"/>
    <n v="128.9"/>
    <n v="123.5"/>
    <n v="126.4"/>
    <s v="Food &amp; Beverages"/>
  </r>
  <r>
    <x v="1"/>
    <x v="10"/>
    <s v="Oct-14"/>
    <x v="13"/>
    <n v="116.4"/>
    <n v="112"/>
    <n v="114.7"/>
    <s v="Energy"/>
  </r>
  <r>
    <x v="1"/>
    <x v="10"/>
    <s v="Oct-14"/>
    <x v="15"/>
    <n v="121"/>
    <n v="119.1"/>
    <n v="120.1"/>
    <s v="General Index"/>
  </r>
  <r>
    <x v="1"/>
    <x v="10"/>
    <s v="Oct-14"/>
    <x v="17"/>
    <n v="115.3"/>
    <n v="112.6"/>
    <n v="114.3"/>
    <s v="Health"/>
  </r>
  <r>
    <x v="1"/>
    <x v="10"/>
    <s v="Oct-14"/>
    <x v="19"/>
    <n v="117.5"/>
    <n v="115.8"/>
    <n v="116.7"/>
    <s v="Housing"/>
  </r>
  <r>
    <x v="1"/>
    <x v="10"/>
    <s v="Oct-14"/>
    <x v="21"/>
    <n v="0"/>
    <n v="116.7"/>
    <n v="116.7"/>
    <s v="Housing"/>
  </r>
  <r>
    <x v="1"/>
    <x v="10"/>
    <s v="Oct-14"/>
    <x v="2"/>
    <n v="122.5"/>
    <n v="126.1"/>
    <n v="123.8"/>
    <s v="Food &amp; Beverages"/>
  </r>
  <r>
    <x v="1"/>
    <x v="10"/>
    <s v="Oct-14"/>
    <x v="6"/>
    <n v="123.2"/>
    <n v="123.1"/>
    <n v="123.2"/>
    <s v="Food &amp; Beverages"/>
  </r>
  <r>
    <x v="1"/>
    <x v="10"/>
    <s v="Oct-14"/>
    <x v="23"/>
    <n v="114"/>
    <n v="113.7"/>
    <n v="113.9"/>
    <s v="Other goods &amp; services"/>
  </r>
  <r>
    <x v="1"/>
    <x v="10"/>
    <s v="Oct-14"/>
    <x v="18"/>
    <n v="116.8"/>
    <n v="115.2"/>
    <n v="116.1"/>
    <s v="Food &amp; Beverages"/>
  </r>
  <r>
    <x v="1"/>
    <x v="10"/>
    <s v="Oct-14"/>
    <x v="7"/>
    <n v="110.5"/>
    <n v="103.5"/>
    <n v="107.9"/>
    <s v="Food &amp; Beverages"/>
  </r>
  <r>
    <x v="1"/>
    <x v="10"/>
    <s v="Oct-14"/>
    <x v="22"/>
    <n v="120"/>
    <n v="124.3"/>
    <n v="121.1"/>
    <s v="Other goods &amp; services"/>
  </r>
  <r>
    <x v="1"/>
    <x v="10"/>
    <s v="Oct-14"/>
    <x v="24"/>
    <n v="109.3"/>
    <n v="110.1"/>
    <n v="109.6"/>
    <s v="Other goods &amp; services"/>
  </r>
  <r>
    <x v="1"/>
    <x v="10"/>
    <s v="Oct-14"/>
    <x v="20"/>
    <n v="123.2"/>
    <n v="125.9"/>
    <n v="124.5"/>
    <s v="Food &amp; Beverages"/>
  </r>
  <r>
    <x v="1"/>
    <x v="10"/>
    <s v="Oct-14"/>
    <x v="12"/>
    <n v="115.5"/>
    <n v="117.4"/>
    <n v="116.1"/>
    <s v="Food &amp; Beverages"/>
  </r>
  <r>
    <x v="1"/>
    <x v="10"/>
    <s v="Oct-14"/>
    <x v="26"/>
    <n v="113"/>
    <n v="113.6"/>
    <n v="113.3"/>
    <s v="Recreation"/>
  </r>
  <r>
    <x v="1"/>
    <x v="10"/>
    <s v="Oct-14"/>
    <x v="16"/>
    <n v="115.3"/>
    <n v="123.8"/>
    <n v="118.1"/>
    <s v="Food &amp; Beverages"/>
  </r>
  <r>
    <x v="1"/>
    <x v="10"/>
    <s v="Oct-14"/>
    <x v="14"/>
    <n v="104"/>
    <n v="101.2"/>
    <n v="103.1"/>
    <s v="Food &amp; Beverages"/>
  </r>
  <r>
    <x v="1"/>
    <x v="10"/>
    <s v="Oct-14"/>
    <x v="25"/>
    <n v="112.6"/>
    <n v="111"/>
    <n v="111.8"/>
    <s v="Transport"/>
  </r>
  <r>
    <x v="1"/>
    <x v="10"/>
    <s v="Oct-14"/>
    <x v="11"/>
    <n v="155.30000000000001"/>
    <n v="159.6"/>
    <n v="156.80000000000001"/>
    <s v="Food &amp; Beverages"/>
  </r>
  <r>
    <x v="1"/>
    <x v="11"/>
    <s v="Sep-14"/>
    <x v="0"/>
    <n v="122.3"/>
    <n v="124.2"/>
    <n v="122.9"/>
    <s v="Food &amp; Beverages"/>
  </r>
  <r>
    <x v="1"/>
    <x v="11"/>
    <s v="Sep-14"/>
    <x v="1"/>
    <n v="121.7"/>
    <n v="119.2"/>
    <n v="120.7"/>
    <s v="Apparel"/>
  </r>
  <r>
    <x v="1"/>
    <x v="11"/>
    <s v="Sep-14"/>
    <x v="3"/>
    <n v="121.3"/>
    <n v="118.4"/>
    <n v="120.1"/>
    <s v="Apparel"/>
  </r>
  <r>
    <x v="1"/>
    <x v="11"/>
    <s v="Sep-14"/>
    <x v="5"/>
    <n v="116.6"/>
    <n v="120"/>
    <n v="118.6"/>
    <s v="Education"/>
  </r>
  <r>
    <x v="1"/>
    <x v="11"/>
    <s v="Sep-14"/>
    <x v="4"/>
    <n v="117.8"/>
    <n v="116.4"/>
    <n v="117.3"/>
    <s v="Food &amp; Beverages"/>
  </r>
  <r>
    <x v="1"/>
    <x v="11"/>
    <s v="Sep-14"/>
    <x v="8"/>
    <n v="125.3"/>
    <n v="126.7"/>
    <n v="125.8"/>
    <s v="Food &amp; Beverages"/>
  </r>
  <r>
    <x v="1"/>
    <x v="11"/>
    <s v="Sep-14"/>
    <x v="10"/>
    <n v="119.2"/>
    <n v="114.5"/>
    <n v="117.2"/>
    <s v="Apparel"/>
  </r>
  <r>
    <x v="1"/>
    <x v="11"/>
    <s v="Sep-14"/>
    <x v="9"/>
    <n v="129.80000000000001"/>
    <n v="124.5"/>
    <n v="127.3"/>
    <s v="Food &amp; Beverages"/>
  </r>
  <r>
    <x v="1"/>
    <x v="11"/>
    <s v="Sep-14"/>
    <x v="13"/>
    <n v="115.8"/>
    <n v="111.8"/>
    <n v="114.3"/>
    <s v="Energy"/>
  </r>
  <r>
    <x v="1"/>
    <x v="11"/>
    <s v="Sep-14"/>
    <x v="15"/>
    <n v="120.9"/>
    <n v="119.2"/>
    <n v="120.1"/>
    <s v="General Index"/>
  </r>
  <r>
    <x v="1"/>
    <x v="11"/>
    <s v="Sep-14"/>
    <x v="17"/>
    <n v="114.5"/>
    <n v="112.3"/>
    <n v="113.7"/>
    <s v="Health"/>
  </r>
  <r>
    <x v="1"/>
    <x v="11"/>
    <s v="Sep-14"/>
    <x v="19"/>
    <n v="116.7"/>
    <n v="115.5"/>
    <n v="116.1"/>
    <s v="Housing"/>
  </r>
  <r>
    <x v="1"/>
    <x v="11"/>
    <s v="Sep-14"/>
    <x v="21"/>
    <n v="0"/>
    <n v="116.1"/>
    <n v="116.1"/>
    <s v="Housing"/>
  </r>
  <r>
    <x v="1"/>
    <x v="11"/>
    <s v="Sep-14"/>
    <x v="2"/>
    <n v="122.4"/>
    <n v="125.4"/>
    <n v="123.5"/>
    <s v="Food &amp; Beverages"/>
  </r>
  <r>
    <x v="1"/>
    <x v="11"/>
    <s v="Sep-14"/>
    <x v="6"/>
    <n v="122.7"/>
    <n v="122.7"/>
    <n v="122.7"/>
    <s v="Food &amp; Beverages"/>
  </r>
  <r>
    <x v="1"/>
    <x v="11"/>
    <s v="Sep-14"/>
    <x v="23"/>
    <n v="113.7"/>
    <n v="113.6"/>
    <n v="113.7"/>
    <s v="Other goods &amp; services"/>
  </r>
  <r>
    <x v="1"/>
    <x v="11"/>
    <s v="Sep-14"/>
    <x v="18"/>
    <n v="116.5"/>
    <n v="114.8"/>
    <n v="115.8"/>
    <s v="Food &amp; Beverages"/>
  </r>
  <r>
    <x v="1"/>
    <x v="11"/>
    <s v="Sep-14"/>
    <x v="7"/>
    <n v="110.4"/>
    <n v="103.5"/>
    <n v="107.9"/>
    <s v="Food &amp; Beverages"/>
  </r>
  <r>
    <x v="1"/>
    <x v="11"/>
    <s v="Sep-14"/>
    <x v="22"/>
    <n v="119.5"/>
    <n v="124.3"/>
    <n v="120.8"/>
    <s v="Other goods &amp; services"/>
  </r>
  <r>
    <x v="1"/>
    <x v="11"/>
    <s v="Sep-14"/>
    <x v="24"/>
    <n v="109.1"/>
    <n v="110"/>
    <n v="109.5"/>
    <s v="Other goods &amp; services"/>
  </r>
  <r>
    <x v="1"/>
    <x v="11"/>
    <s v="Sep-14"/>
    <x v="20"/>
    <n v="122.6"/>
    <n v="125.2"/>
    <n v="123.8"/>
    <s v="Food &amp; Beverages"/>
  </r>
  <r>
    <x v="1"/>
    <x v="11"/>
    <s v="Sep-14"/>
    <x v="12"/>
    <n v="115"/>
    <n v="116.9"/>
    <n v="115.6"/>
    <s v="Food &amp; Beverages"/>
  </r>
  <r>
    <x v="1"/>
    <x v="11"/>
    <s v="Sep-14"/>
    <x v="26"/>
    <n v="112.6"/>
    <n v="113.4"/>
    <n v="113.1"/>
    <s v="Recreation"/>
  </r>
  <r>
    <x v="1"/>
    <x v="11"/>
    <s v="Sep-14"/>
    <x v="16"/>
    <n v="114.9"/>
    <n v="122.9"/>
    <n v="117.6"/>
    <s v="Food &amp; Beverages"/>
  </r>
  <r>
    <x v="1"/>
    <x v="11"/>
    <s v="Sep-14"/>
    <x v="14"/>
    <n v="104.7"/>
    <n v="101.9"/>
    <n v="103.8"/>
    <s v="Food &amp; Beverages"/>
  </r>
  <r>
    <x v="1"/>
    <x v="11"/>
    <s v="Sep-14"/>
    <x v="25"/>
    <n v="112.8"/>
    <n v="111.2"/>
    <n v="112"/>
    <s v="Transport"/>
  </r>
  <r>
    <x v="1"/>
    <x v="11"/>
    <s v="Sep-14"/>
    <x v="11"/>
    <n v="158.80000000000001"/>
    <n v="168.6"/>
    <n v="162.1"/>
    <s v="Food &amp; Beverages"/>
  </r>
  <r>
    <x v="2"/>
    <x v="0"/>
    <s v="Apr-15"/>
    <x v="0"/>
    <n v="123.3"/>
    <n v="123.8"/>
    <n v="123.5"/>
    <s v="Food &amp; Beverages"/>
  </r>
  <r>
    <x v="2"/>
    <x v="0"/>
    <s v="Apr-15"/>
    <x v="1"/>
    <n v="126.4"/>
    <n v="122.1"/>
    <n v="124.7"/>
    <s v="Apparel"/>
  </r>
  <r>
    <x v="2"/>
    <x v="0"/>
    <s v="Apr-15"/>
    <x v="3"/>
    <n v="126"/>
    <n v="121.3"/>
    <n v="124.1"/>
    <s v="Apparel"/>
  </r>
  <r>
    <x v="2"/>
    <x v="0"/>
    <s v="Apr-15"/>
    <x v="5"/>
    <n v="119.9"/>
    <n v="121.7"/>
    <n v="121"/>
    <s v="Education"/>
  </r>
  <r>
    <x v="2"/>
    <x v="0"/>
    <s v="Apr-15"/>
    <x v="4"/>
    <n v="117.2"/>
    <n v="110"/>
    <n v="114.4"/>
    <s v="Food &amp; Beverages"/>
  </r>
  <r>
    <x v="2"/>
    <x v="0"/>
    <s v="Apr-15"/>
    <x v="8"/>
    <n v="123.6"/>
    <n v="124.6"/>
    <n v="124"/>
    <s v="Food &amp; Beverages"/>
  </r>
  <r>
    <x v="2"/>
    <x v="0"/>
    <s v="Apr-15"/>
    <x v="10"/>
    <n v="123.3"/>
    <n v="117.2"/>
    <n v="120.8"/>
    <s v="Apparel"/>
  </r>
  <r>
    <x v="2"/>
    <x v="0"/>
    <s v="Apr-15"/>
    <x v="9"/>
    <n v="134.19999999999999"/>
    <n v="130.6"/>
    <n v="132.5"/>
    <s v="Food &amp; Beverages"/>
  </r>
  <r>
    <x v="2"/>
    <x v="0"/>
    <s v="Apr-15"/>
    <x v="13"/>
    <n v="121.2"/>
    <n v="114.7"/>
    <n v="118.7"/>
    <s v="Energy"/>
  </r>
  <r>
    <x v="2"/>
    <x v="0"/>
    <s v="Apr-15"/>
    <x v="15"/>
    <n v="121.5"/>
    <n v="119.7"/>
    <n v="120.7"/>
    <s v="General Index"/>
  </r>
  <r>
    <x v="2"/>
    <x v="0"/>
    <s v="Apr-15"/>
    <x v="17"/>
    <n v="118.6"/>
    <n v="114.6"/>
    <n v="117.1"/>
    <s v="Health"/>
  </r>
  <r>
    <x v="2"/>
    <x v="0"/>
    <s v="Apr-15"/>
    <x v="19"/>
    <n v="120.9"/>
    <n v="118.4"/>
    <n v="119.7"/>
    <s v="Housing"/>
  </r>
  <r>
    <x v="2"/>
    <x v="0"/>
    <s v="Apr-15"/>
    <x v="21"/>
    <n v="0"/>
    <n v="119.2"/>
    <n v="119.2"/>
    <s v="Housing"/>
  </r>
  <r>
    <x v="2"/>
    <x v="0"/>
    <s v="Apr-15"/>
    <x v="2"/>
    <n v="125.5"/>
    <n v="128.19999999999999"/>
    <n v="126.4"/>
    <s v="Food &amp; Beverages"/>
  </r>
  <r>
    <x v="2"/>
    <x v="0"/>
    <s v="Apr-15"/>
    <x v="6"/>
    <n v="126.8"/>
    <n v="126.3"/>
    <n v="126.6"/>
    <s v="Food &amp; Beverages"/>
  </r>
  <r>
    <x v="2"/>
    <x v="0"/>
    <s v="Apr-15"/>
    <x v="23"/>
    <n v="116"/>
    <n v="114.2"/>
    <n v="115.1"/>
    <s v="Other goods &amp; services"/>
  </r>
  <r>
    <x v="2"/>
    <x v="0"/>
    <s v="Apr-15"/>
    <x v="18"/>
    <n v="119.4"/>
    <n v="117.2"/>
    <n v="118.5"/>
    <s v="Food &amp; Beverages"/>
  </r>
  <r>
    <x v="2"/>
    <x v="0"/>
    <s v="Apr-15"/>
    <x v="7"/>
    <n v="111.9"/>
    <n v="104.5"/>
    <n v="109.2"/>
    <s v="Food &amp; Beverages"/>
  </r>
  <r>
    <x v="2"/>
    <x v="0"/>
    <s v="Apr-15"/>
    <x v="22"/>
    <n v="125.7"/>
    <n v="130.1"/>
    <n v="126.9"/>
    <s v="Other goods &amp; services"/>
  </r>
  <r>
    <x v="2"/>
    <x v="0"/>
    <s v="Apr-15"/>
    <x v="24"/>
    <n v="111.6"/>
    <n v="111.8"/>
    <n v="111.7"/>
    <s v="Other goods &amp; services"/>
  </r>
  <r>
    <x v="2"/>
    <x v="0"/>
    <s v="Apr-15"/>
    <x v="20"/>
    <n v="128.69999999999999"/>
    <n v="129.5"/>
    <n v="129.1"/>
    <s v="Food &amp; Beverages"/>
  </r>
  <r>
    <x v="2"/>
    <x v="0"/>
    <s v="Apr-15"/>
    <x v="12"/>
    <n v="121.5"/>
    <n v="131.30000000000001"/>
    <n v="124.8"/>
    <s v="Food &amp; Beverages"/>
  </r>
  <r>
    <x v="2"/>
    <x v="0"/>
    <s v="Apr-15"/>
    <x v="26"/>
    <n v="116.2"/>
    <n v="115.6"/>
    <n v="115.9"/>
    <s v="Recreation"/>
  </r>
  <r>
    <x v="2"/>
    <x v="0"/>
    <s v="Apr-15"/>
    <x v="16"/>
    <n v="119.8"/>
    <n v="127.7"/>
    <n v="122.4"/>
    <s v="Food &amp; Beverages"/>
  </r>
  <r>
    <x v="2"/>
    <x v="0"/>
    <s v="Apr-15"/>
    <x v="14"/>
    <n v="97.8"/>
    <n v="91.6"/>
    <n v="95.7"/>
    <s v="Food &amp; Beverages"/>
  </r>
  <r>
    <x v="2"/>
    <x v="0"/>
    <s v="Apr-15"/>
    <x v="25"/>
    <n v="111.9"/>
    <n v="108.4"/>
    <n v="110.1"/>
    <s v="Transport"/>
  </r>
  <r>
    <x v="2"/>
    <x v="0"/>
    <s v="Apr-15"/>
    <x v="11"/>
    <n v="127.5"/>
    <n v="130.80000000000001"/>
    <n v="128.6"/>
    <s v="Food &amp; Beverages"/>
  </r>
  <r>
    <x v="2"/>
    <x v="1"/>
    <s v="Aug-15"/>
    <x v="0"/>
    <n v="124.7"/>
    <n v="123.1"/>
    <n v="124.2"/>
    <s v="Food &amp; Beverages"/>
  </r>
  <r>
    <x v="2"/>
    <x v="1"/>
    <s v="Aug-15"/>
    <x v="1"/>
    <n v="129.5"/>
    <n v="123.7"/>
    <n v="127.2"/>
    <s v="Apparel"/>
  </r>
  <r>
    <x v="2"/>
    <x v="1"/>
    <s v="Aug-15"/>
    <x v="3"/>
    <n v="129"/>
    <n v="122.9"/>
    <n v="126.6"/>
    <s v="Apparel"/>
  </r>
  <r>
    <x v="2"/>
    <x v="1"/>
    <s v="Aug-15"/>
    <x v="5"/>
    <n v="123.6"/>
    <n v="126.2"/>
    <n v="125.1"/>
    <s v="Education"/>
  </r>
  <r>
    <x v="2"/>
    <x v="1"/>
    <s v="Aug-15"/>
    <x v="4"/>
    <n v="121.3"/>
    <n v="118.1"/>
    <n v="120.1"/>
    <s v="Food &amp; Beverages"/>
  </r>
  <r>
    <x v="2"/>
    <x v="1"/>
    <s v="Aug-15"/>
    <x v="8"/>
    <n v="129.80000000000001"/>
    <n v="131.1"/>
    <n v="130.30000000000001"/>
    <s v="Food &amp; Beverages"/>
  </r>
  <r>
    <x v="2"/>
    <x v="1"/>
    <s v="Aug-15"/>
    <x v="10"/>
    <n v="126.3"/>
    <n v="118.2"/>
    <n v="122.9"/>
    <s v="Apparel"/>
  </r>
  <r>
    <x v="2"/>
    <x v="1"/>
    <s v="Aug-15"/>
    <x v="9"/>
    <n v="134.19999999999999"/>
    <n v="130.1"/>
    <n v="132.30000000000001"/>
    <s v="Food &amp; Beverages"/>
  </r>
  <r>
    <x v="2"/>
    <x v="1"/>
    <s v="Aug-15"/>
    <x v="13"/>
    <n v="123.8"/>
    <n v="115.3"/>
    <n v="120.6"/>
    <s v="Energy"/>
  </r>
  <r>
    <x v="2"/>
    <x v="1"/>
    <s v="Aug-15"/>
    <x v="15"/>
    <n v="126.1"/>
    <n v="123.2"/>
    <n v="124.8"/>
    <s v="General Index"/>
  </r>
  <r>
    <x v="2"/>
    <x v="1"/>
    <s v="Aug-15"/>
    <x v="17"/>
    <n v="121.1"/>
    <n v="116.6"/>
    <n v="119.4"/>
    <s v="Health"/>
  </r>
  <r>
    <x v="2"/>
    <x v="1"/>
    <s v="Aug-15"/>
    <x v="19"/>
    <n v="123.7"/>
    <n v="120"/>
    <n v="122"/>
    <s v="Housing"/>
  </r>
  <r>
    <x v="2"/>
    <x v="1"/>
    <s v="Aug-15"/>
    <x v="21"/>
    <n v="0"/>
    <n v="120.9"/>
    <n v="120.9"/>
    <s v="Housing"/>
  </r>
  <r>
    <x v="2"/>
    <x v="1"/>
    <s v="Aug-15"/>
    <x v="2"/>
    <n v="131.30000000000001"/>
    <n v="131.69999999999999"/>
    <n v="131.4"/>
    <s v="Food &amp; Beverages"/>
  </r>
  <r>
    <x v="2"/>
    <x v="1"/>
    <s v="Aug-15"/>
    <x v="6"/>
    <n v="128.80000000000001"/>
    <n v="128"/>
    <n v="128.5"/>
    <s v="Food &amp; Beverages"/>
  </r>
  <r>
    <x v="2"/>
    <x v="1"/>
    <s v="Aug-15"/>
    <x v="23"/>
    <n v="118.2"/>
    <n v="116.2"/>
    <n v="117.2"/>
    <s v="Other goods &amp; services"/>
  </r>
  <r>
    <x v="2"/>
    <x v="1"/>
    <s v="Aug-15"/>
    <x v="18"/>
    <n v="121.5"/>
    <n v="118.8"/>
    <n v="120.4"/>
    <s v="Food &amp; Beverages"/>
  </r>
  <r>
    <x v="2"/>
    <x v="1"/>
    <s v="Aug-15"/>
    <x v="7"/>
    <n v="114"/>
    <n v="106.8"/>
    <n v="111.4"/>
    <s v="Food &amp; Beverages"/>
  </r>
  <r>
    <x v="2"/>
    <x v="1"/>
    <s v="Aug-15"/>
    <x v="22"/>
    <n v="130.1"/>
    <n v="134.19999999999999"/>
    <n v="131.19999999999999"/>
    <s v="Other goods &amp; services"/>
  </r>
  <r>
    <x v="2"/>
    <x v="1"/>
    <s v="Aug-15"/>
    <x v="24"/>
    <n v="112.5"/>
    <n v="112"/>
    <n v="112.3"/>
    <s v="Other goods &amp; services"/>
  </r>
  <r>
    <x v="2"/>
    <x v="1"/>
    <s v="Aug-15"/>
    <x v="20"/>
    <n v="132.5"/>
    <n v="131.69999999999999"/>
    <n v="132.1"/>
    <s v="Food &amp; Beverages"/>
  </r>
  <r>
    <x v="2"/>
    <x v="1"/>
    <s v="Aug-15"/>
    <x v="12"/>
    <n v="137.9"/>
    <n v="156"/>
    <n v="144"/>
    <s v="Food &amp; Beverages"/>
  </r>
  <r>
    <x v="2"/>
    <x v="1"/>
    <s v="Aug-15"/>
    <x v="26"/>
    <n v="118.5"/>
    <n v="117.2"/>
    <n v="117.8"/>
    <s v="Recreation"/>
  </r>
  <r>
    <x v="2"/>
    <x v="1"/>
    <s v="Aug-15"/>
    <x v="16"/>
    <n v="123.9"/>
    <n v="132.69999999999999"/>
    <n v="126.8"/>
    <s v="Food &amp; Beverages"/>
  </r>
  <r>
    <x v="2"/>
    <x v="1"/>
    <s v="Aug-15"/>
    <x v="14"/>
    <n v="93.1"/>
    <n v="85.3"/>
    <n v="90.5"/>
    <s v="Food &amp; Beverages"/>
  </r>
  <r>
    <x v="2"/>
    <x v="1"/>
    <s v="Aug-15"/>
    <x v="25"/>
    <n v="113.6"/>
    <n v="109.9"/>
    <n v="111.7"/>
    <s v="Transport"/>
  </r>
  <r>
    <x v="2"/>
    <x v="1"/>
    <s v="Aug-15"/>
    <x v="11"/>
    <n v="153.6"/>
    <n v="165.5"/>
    <n v="157.6"/>
    <s v="Food &amp; Beverages"/>
  </r>
  <r>
    <x v="2"/>
    <x v="2"/>
    <s v="Dec-15"/>
    <x v="0"/>
    <n v="126.3"/>
    <n v="124.3"/>
    <n v="125.7"/>
    <s v="Food &amp; Beverages"/>
  </r>
  <r>
    <x v="2"/>
    <x v="2"/>
    <s v="Dec-15"/>
    <x v="1"/>
    <n v="132.5"/>
    <n v="125.4"/>
    <n v="129.69999999999999"/>
    <s v="Apparel"/>
  </r>
  <r>
    <x v="2"/>
    <x v="2"/>
    <s v="Dec-15"/>
    <x v="3"/>
    <n v="131.9"/>
    <n v="124.5"/>
    <n v="129"/>
    <s v="Apparel"/>
  </r>
  <r>
    <x v="2"/>
    <x v="2"/>
    <s v="Dec-15"/>
    <x v="5"/>
    <n v="125.6"/>
    <n v="126.6"/>
    <n v="126.2"/>
    <s v="Education"/>
  </r>
  <r>
    <x v="2"/>
    <x v="2"/>
    <s v="Dec-15"/>
    <x v="4"/>
    <n v="123.3"/>
    <n v="127.1"/>
    <n v="124.8"/>
    <s v="Food &amp; Beverages"/>
  </r>
  <r>
    <x v="2"/>
    <x v="2"/>
    <s v="Dec-15"/>
    <x v="8"/>
    <n v="131.4"/>
    <n v="131.5"/>
    <n v="131.4"/>
    <s v="Food &amp; Beverages"/>
  </r>
  <r>
    <x v="2"/>
    <x v="2"/>
    <s v="Dec-15"/>
    <x v="10"/>
    <n v="128.5"/>
    <n v="119.5"/>
    <n v="124.8"/>
    <s v="Apparel"/>
  </r>
  <r>
    <x v="2"/>
    <x v="2"/>
    <s v="Dec-15"/>
    <x v="9"/>
    <n v="131.6"/>
    <n v="120.8"/>
    <n v="126.6"/>
    <s v="Food &amp; Beverages"/>
  </r>
  <r>
    <x v="2"/>
    <x v="2"/>
    <s v="Dec-15"/>
    <x v="13"/>
    <n v="125.7"/>
    <n v="116"/>
    <n v="122"/>
    <s v="Energy"/>
  </r>
  <r>
    <x v="2"/>
    <x v="2"/>
    <s v="Dec-15"/>
    <x v="15"/>
    <n v="127.9"/>
    <n v="124"/>
    <n v="126.1"/>
    <s v="General Index"/>
  </r>
  <r>
    <x v="2"/>
    <x v="2"/>
    <s v="Dec-15"/>
    <x v="17"/>
    <n v="123.1"/>
    <n v="118.6"/>
    <n v="121.4"/>
    <s v="Health"/>
  </r>
  <r>
    <x v="2"/>
    <x v="2"/>
    <s v="Dec-15"/>
    <x v="19"/>
    <n v="126"/>
    <n v="121"/>
    <n v="123.6"/>
    <s v="Housing"/>
  </r>
  <r>
    <x v="2"/>
    <x v="2"/>
    <s v="Dec-15"/>
    <x v="21"/>
    <n v="0"/>
    <n v="122.4"/>
    <n v="122.4"/>
    <s v="Housing"/>
  </r>
  <r>
    <x v="2"/>
    <x v="2"/>
    <s v="Dec-15"/>
    <x v="2"/>
    <n v="131.30000000000001"/>
    <n v="131.69999999999999"/>
    <n v="131.4"/>
    <s v="Food &amp; Beverages"/>
  </r>
  <r>
    <x v="2"/>
    <x v="2"/>
    <s v="Dec-15"/>
    <x v="6"/>
    <n v="129.80000000000001"/>
    <n v="128.6"/>
    <n v="129.4"/>
    <s v="Food &amp; Beverages"/>
  </r>
  <r>
    <x v="2"/>
    <x v="2"/>
    <s v="Dec-15"/>
    <x v="23"/>
    <n v="119.8"/>
    <n v="116.7"/>
    <n v="118.3"/>
    <s v="Other goods &amp; services"/>
  </r>
  <r>
    <x v="2"/>
    <x v="2"/>
    <s v="Dec-15"/>
    <x v="18"/>
    <n v="123.3"/>
    <n v="120.2"/>
    <n v="122"/>
    <s v="Food &amp; Beverages"/>
  </r>
  <r>
    <x v="2"/>
    <x v="2"/>
    <s v="Dec-15"/>
    <x v="7"/>
    <n v="118.3"/>
    <n v="110"/>
    <n v="115.3"/>
    <s v="Food &amp; Beverages"/>
  </r>
  <r>
    <x v="2"/>
    <x v="2"/>
    <s v="Dec-15"/>
    <x v="22"/>
    <n v="133.1"/>
    <n v="138.19999999999999"/>
    <n v="134.5"/>
    <s v="Other goods &amp; services"/>
  </r>
  <r>
    <x v="2"/>
    <x v="2"/>
    <s v="Dec-15"/>
    <x v="24"/>
    <n v="114.1"/>
    <n v="113.2"/>
    <n v="113.7"/>
    <s v="Other goods &amp; services"/>
  </r>
  <r>
    <x v="2"/>
    <x v="2"/>
    <s v="Dec-15"/>
    <x v="20"/>
    <n v="135.1"/>
    <n v="134.19999999999999"/>
    <n v="134.69999999999999"/>
    <s v="Food &amp; Beverages"/>
  </r>
  <r>
    <x v="2"/>
    <x v="2"/>
    <s v="Dec-15"/>
    <x v="12"/>
    <n v="162.1"/>
    <n v="190.1"/>
    <n v="171.5"/>
    <s v="Food &amp; Beverages"/>
  </r>
  <r>
    <x v="2"/>
    <x v="2"/>
    <s v="Dec-15"/>
    <x v="26"/>
    <n v="121.6"/>
    <n v="118.1"/>
    <n v="119.6"/>
    <s v="Recreation"/>
  </r>
  <r>
    <x v="2"/>
    <x v="2"/>
    <s v="Dec-15"/>
    <x v="16"/>
    <n v="128.9"/>
    <n v="138.6"/>
    <n v="132.1"/>
    <s v="Food &amp; Beverages"/>
  </r>
  <r>
    <x v="2"/>
    <x v="2"/>
    <s v="Dec-15"/>
    <x v="14"/>
    <n v="95.4"/>
    <n v="92.7"/>
    <n v="94.5"/>
    <s v="Food &amp; Beverages"/>
  </r>
  <r>
    <x v="2"/>
    <x v="2"/>
    <s v="Dec-15"/>
    <x v="25"/>
    <n v="114"/>
    <n v="109.3"/>
    <n v="111.5"/>
    <s v="Transport"/>
  </r>
  <r>
    <x v="2"/>
    <x v="2"/>
    <s v="Dec-15"/>
    <x v="11"/>
    <n v="145.5"/>
    <n v="149"/>
    <n v="146.69999999999999"/>
    <s v="Food &amp; Beverages"/>
  </r>
  <r>
    <x v="2"/>
    <x v="3"/>
    <s v="Feb-15"/>
    <x v="0"/>
    <n v="123.4"/>
    <n v="124.3"/>
    <n v="123.7"/>
    <s v="Food &amp; Beverages"/>
  </r>
  <r>
    <x v="2"/>
    <x v="3"/>
    <s v="Feb-15"/>
    <x v="1"/>
    <n v="125.4"/>
    <n v="121.3"/>
    <n v="123.8"/>
    <s v="Apparel"/>
  </r>
  <r>
    <x v="2"/>
    <x v="3"/>
    <s v="Feb-15"/>
    <x v="3"/>
    <n v="125"/>
    <n v="120.6"/>
    <n v="123.3"/>
    <s v="Apparel"/>
  </r>
  <r>
    <x v="2"/>
    <x v="3"/>
    <s v="Feb-15"/>
    <x v="5"/>
    <n v="118.7"/>
    <n v="120.4"/>
    <n v="119.7"/>
    <s v="Education"/>
  </r>
  <r>
    <x v="2"/>
    <x v="3"/>
    <s v="Feb-15"/>
    <x v="4"/>
    <n v="122.1"/>
    <n v="119.5"/>
    <n v="121.1"/>
    <s v="Food &amp; Beverages"/>
  </r>
  <r>
    <x v="2"/>
    <x v="3"/>
    <s v="Feb-15"/>
    <x v="8"/>
    <n v="122.8"/>
    <n v="123.7"/>
    <n v="123.1"/>
    <s v="Food &amp; Beverages"/>
  </r>
  <r>
    <x v="2"/>
    <x v="3"/>
    <s v="Feb-15"/>
    <x v="10"/>
    <n v="122.7"/>
    <n v="116.5"/>
    <n v="120.1"/>
    <s v="Apparel"/>
  </r>
  <r>
    <x v="2"/>
    <x v="3"/>
    <s v="Feb-15"/>
    <x v="9"/>
    <n v="129.4"/>
    <n v="121.6"/>
    <n v="125.8"/>
    <s v="Food &amp; Beverages"/>
  </r>
  <r>
    <x v="2"/>
    <x v="3"/>
    <s v="Feb-15"/>
    <x v="13"/>
    <n v="120"/>
    <n v="114"/>
    <n v="117.7"/>
    <s v="Energy"/>
  </r>
  <r>
    <x v="2"/>
    <x v="3"/>
    <s v="Feb-15"/>
    <x v="15"/>
    <n v="120.6"/>
    <n v="118.7"/>
    <n v="119.7"/>
    <s v="General Index"/>
  </r>
  <r>
    <x v="2"/>
    <x v="3"/>
    <s v="Feb-15"/>
    <x v="17"/>
    <n v="117.7"/>
    <n v="114.1"/>
    <n v="116.3"/>
    <s v="Health"/>
  </r>
  <r>
    <x v="2"/>
    <x v="3"/>
    <s v="Feb-15"/>
    <x v="19"/>
    <n v="119.6"/>
    <n v="117.7"/>
    <n v="118.7"/>
    <s v="Housing"/>
  </r>
  <r>
    <x v="2"/>
    <x v="3"/>
    <s v="Feb-15"/>
    <x v="21"/>
    <n v="0"/>
    <n v="118.1"/>
    <n v="118.1"/>
    <s v="Housing"/>
  </r>
  <r>
    <x v="2"/>
    <x v="3"/>
    <s v="Feb-15"/>
    <x v="2"/>
    <n v="124.4"/>
    <n v="126.5"/>
    <n v="125.1"/>
    <s v="Food &amp; Beverages"/>
  </r>
  <r>
    <x v="2"/>
    <x v="3"/>
    <s v="Feb-15"/>
    <x v="6"/>
    <n v="125.8"/>
    <n v="125.6"/>
    <n v="125.7"/>
    <s v="Food &amp; Beverages"/>
  </r>
  <r>
    <x v="2"/>
    <x v="3"/>
    <s v="Feb-15"/>
    <x v="23"/>
    <n v="115"/>
    <n v="113.2"/>
    <n v="114.1"/>
    <s v="Other goods &amp; services"/>
  </r>
  <r>
    <x v="2"/>
    <x v="3"/>
    <s v="Feb-15"/>
    <x v="18"/>
    <n v="118.8"/>
    <n v="116.8"/>
    <n v="118"/>
    <s v="Food &amp; Beverages"/>
  </r>
  <r>
    <x v="2"/>
    <x v="3"/>
    <s v="Feb-15"/>
    <x v="7"/>
    <n v="111.5"/>
    <n v="104.9"/>
    <n v="109.1"/>
    <s v="Food &amp; Beverages"/>
  </r>
  <r>
    <x v="2"/>
    <x v="3"/>
    <s v="Feb-15"/>
    <x v="22"/>
    <n v="124.2"/>
    <n v="128.1"/>
    <n v="125.2"/>
    <s v="Other goods &amp; services"/>
  </r>
  <r>
    <x v="2"/>
    <x v="3"/>
    <s v="Feb-15"/>
    <x v="24"/>
    <n v="110.8"/>
    <n v="111.7"/>
    <n v="111.2"/>
    <s v="Other goods &amp; services"/>
  </r>
  <r>
    <x v="2"/>
    <x v="3"/>
    <s v="Feb-15"/>
    <x v="20"/>
    <n v="126.8"/>
    <n v="128.6"/>
    <n v="127.6"/>
    <s v="Food &amp; Beverages"/>
  </r>
  <r>
    <x v="2"/>
    <x v="3"/>
    <s v="Feb-15"/>
    <x v="12"/>
    <n v="118.8"/>
    <n v="125.1"/>
    <n v="120.9"/>
    <s v="Food &amp; Beverages"/>
  </r>
  <r>
    <x v="2"/>
    <x v="3"/>
    <s v="Feb-15"/>
    <x v="26"/>
    <n v="114.8"/>
    <n v="114.9"/>
    <n v="114.9"/>
    <s v="Recreation"/>
  </r>
  <r>
    <x v="2"/>
    <x v="3"/>
    <s v="Feb-15"/>
    <x v="16"/>
    <n v="118.6"/>
    <n v="127.7"/>
    <n v="121.6"/>
    <s v="Food &amp; Beverages"/>
  </r>
  <r>
    <x v="2"/>
    <x v="3"/>
    <s v="Feb-15"/>
    <x v="14"/>
    <n v="100"/>
    <n v="95"/>
    <n v="98.3"/>
    <s v="Food &amp; Beverages"/>
  </r>
  <r>
    <x v="2"/>
    <x v="3"/>
    <s v="Feb-15"/>
    <x v="25"/>
    <n v="110.9"/>
    <n v="106.8"/>
    <n v="108.7"/>
    <s v="Transport"/>
  </r>
  <r>
    <x v="2"/>
    <x v="3"/>
    <s v="Feb-15"/>
    <x v="11"/>
    <n v="128.19999999999999"/>
    <n v="131.80000000000001"/>
    <n v="129.4"/>
    <s v="Food &amp; Beverages"/>
  </r>
  <r>
    <x v="2"/>
    <x v="4"/>
    <s v="Jan-15"/>
    <x v="0"/>
    <n v="123.1"/>
    <n v="124"/>
    <n v="123.4"/>
    <s v="Food &amp; Beverages"/>
  </r>
  <r>
    <x v="2"/>
    <x v="4"/>
    <s v="Jan-15"/>
    <x v="1"/>
    <n v="124.4"/>
    <n v="121"/>
    <n v="123.1"/>
    <s v="Apparel"/>
  </r>
  <r>
    <x v="2"/>
    <x v="4"/>
    <s v="Jan-15"/>
    <x v="3"/>
    <n v="124"/>
    <n v="120.2"/>
    <n v="122.5"/>
    <s v="Apparel"/>
  </r>
  <r>
    <x v="2"/>
    <x v="4"/>
    <s v="Jan-15"/>
    <x v="5"/>
    <n v="118.2"/>
    <n v="120.8"/>
    <n v="119.7"/>
    <s v="Education"/>
  </r>
  <r>
    <x v="2"/>
    <x v="4"/>
    <s v="Jan-15"/>
    <x v="4"/>
    <n v="122.1"/>
    <n v="126.6"/>
    <n v="123.8"/>
    <s v="Food &amp; Beverages"/>
  </r>
  <r>
    <x v="2"/>
    <x v="4"/>
    <s v="Jan-15"/>
    <x v="8"/>
    <n v="122.8"/>
    <n v="123.5"/>
    <n v="123.1"/>
    <s v="Food &amp; Beverages"/>
  </r>
  <r>
    <x v="2"/>
    <x v="4"/>
    <s v="Jan-15"/>
    <x v="10"/>
    <n v="121.6"/>
    <n v="116.1"/>
    <n v="119.3"/>
    <s v="Apparel"/>
  </r>
  <r>
    <x v="2"/>
    <x v="4"/>
    <s v="Jan-15"/>
    <x v="9"/>
    <n v="130.4"/>
    <n v="121.3"/>
    <n v="126.2"/>
    <s v="Food &amp; Beverages"/>
  </r>
  <r>
    <x v="2"/>
    <x v="4"/>
    <s v="Jan-15"/>
    <x v="13"/>
    <n v="118.4"/>
    <n v="113.4"/>
    <n v="116.5"/>
    <s v="Energy"/>
  </r>
  <r>
    <x v="2"/>
    <x v="4"/>
    <s v="Jan-15"/>
    <x v="15"/>
    <n v="120.3"/>
    <n v="118.5"/>
    <n v="119.5"/>
    <s v="General Index"/>
  </r>
  <r>
    <x v="2"/>
    <x v="4"/>
    <s v="Jan-15"/>
    <x v="17"/>
    <n v="116.6"/>
    <n v="113.7"/>
    <n v="115.5"/>
    <s v="Health"/>
  </r>
  <r>
    <x v="2"/>
    <x v="4"/>
    <s v="Jan-15"/>
    <x v="19"/>
    <n v="118.9"/>
    <n v="117.2"/>
    <n v="118.1"/>
    <s v="Housing"/>
  </r>
  <r>
    <x v="2"/>
    <x v="4"/>
    <s v="Jan-15"/>
    <x v="21"/>
    <n v="0"/>
    <n v="117.3"/>
    <n v="117.3"/>
    <s v="Housing"/>
  </r>
  <r>
    <x v="2"/>
    <x v="4"/>
    <s v="Jan-15"/>
    <x v="2"/>
    <n v="123.1"/>
    <n v="125.5"/>
    <n v="123.9"/>
    <s v="Food &amp; Beverages"/>
  </r>
  <r>
    <x v="2"/>
    <x v="4"/>
    <s v="Jan-15"/>
    <x v="6"/>
    <n v="124.9"/>
    <n v="125.2"/>
    <n v="125"/>
    <s v="Food &amp; Beverages"/>
  </r>
  <r>
    <x v="2"/>
    <x v="4"/>
    <s v="Jan-15"/>
    <x v="23"/>
    <n v="114.5"/>
    <n v="113.4"/>
    <n v="114"/>
    <s v="Other goods &amp; services"/>
  </r>
  <r>
    <x v="2"/>
    <x v="4"/>
    <s v="Jan-15"/>
    <x v="18"/>
    <n v="117.9"/>
    <n v="116.5"/>
    <n v="117.3"/>
    <s v="Food &amp; Beverages"/>
  </r>
  <r>
    <x v="2"/>
    <x v="4"/>
    <s v="Jan-15"/>
    <x v="7"/>
    <n v="111"/>
    <n v="104.3"/>
    <n v="108.5"/>
    <s v="Food &amp; Beverages"/>
  </r>
  <r>
    <x v="2"/>
    <x v="4"/>
    <s v="Jan-15"/>
    <x v="22"/>
    <n v="122.7"/>
    <n v="127.4"/>
    <n v="124"/>
    <s v="Other goods &amp; services"/>
  </r>
  <r>
    <x v="2"/>
    <x v="4"/>
    <s v="Jan-15"/>
    <x v="24"/>
    <n v="110.2"/>
    <n v="111.4"/>
    <n v="110.7"/>
    <s v="Other goods &amp; services"/>
  </r>
  <r>
    <x v="2"/>
    <x v="4"/>
    <s v="Jan-15"/>
    <x v="20"/>
    <n v="125.6"/>
    <n v="128"/>
    <n v="126.7"/>
    <s v="Food &amp; Beverages"/>
  </r>
  <r>
    <x v="2"/>
    <x v="4"/>
    <s v="Jan-15"/>
    <x v="12"/>
    <n v="117.2"/>
    <n v="122.9"/>
    <n v="119.1"/>
    <s v="Food &amp; Beverages"/>
  </r>
  <r>
    <x v="2"/>
    <x v="4"/>
    <s v="Jan-15"/>
    <x v="26"/>
    <n v="114"/>
    <n v="114.6"/>
    <n v="114.3"/>
    <s v="Recreation"/>
  </r>
  <r>
    <x v="2"/>
    <x v="4"/>
    <s v="Jan-15"/>
    <x v="16"/>
    <n v="117.2"/>
    <n v="126.6"/>
    <n v="120.3"/>
    <s v="Food &amp; Beverages"/>
  </r>
  <r>
    <x v="2"/>
    <x v="4"/>
    <s v="Jan-15"/>
    <x v="14"/>
    <n v="100.5"/>
    <n v="96.1"/>
    <n v="99"/>
    <s v="Food &amp; Beverages"/>
  </r>
  <r>
    <x v="2"/>
    <x v="4"/>
    <s v="Jan-15"/>
    <x v="25"/>
    <n v="111"/>
    <n v="107.9"/>
    <n v="109.4"/>
    <s v="Transport"/>
  </r>
  <r>
    <x v="2"/>
    <x v="4"/>
    <s v="Jan-15"/>
    <x v="11"/>
    <n v="132.30000000000001"/>
    <n v="134.4"/>
    <n v="133"/>
    <s v="Food &amp; Beverages"/>
  </r>
  <r>
    <x v="2"/>
    <x v="5"/>
    <s v="Jul-15"/>
    <x v="0"/>
    <n v="124"/>
    <n v="123.2"/>
    <n v="123.7"/>
    <s v="Food &amp; Beverages"/>
  </r>
  <r>
    <x v="2"/>
    <x v="5"/>
    <s v="Jul-15"/>
    <x v="1"/>
    <n v="128.80000000000001"/>
    <n v="123.5"/>
    <n v="126.7"/>
    <s v="Apparel"/>
  </r>
  <r>
    <x v="2"/>
    <x v="5"/>
    <s v="Jul-15"/>
    <x v="3"/>
    <n v="128.30000000000001"/>
    <n v="122.7"/>
    <n v="126.1"/>
    <s v="Apparel"/>
  </r>
  <r>
    <x v="2"/>
    <x v="5"/>
    <s v="Jul-15"/>
    <x v="5"/>
    <n v="122.9"/>
    <n v="125.4"/>
    <n v="124.4"/>
    <s v="Education"/>
  </r>
  <r>
    <x v="2"/>
    <x v="5"/>
    <s v="Jul-15"/>
    <x v="4"/>
    <n v="122"/>
    <n v="119.5"/>
    <n v="121"/>
    <s v="Food &amp; Beverages"/>
  </r>
  <r>
    <x v="2"/>
    <x v="5"/>
    <s v="Jul-15"/>
    <x v="8"/>
    <n v="127.5"/>
    <n v="129.5"/>
    <n v="128.19999999999999"/>
    <s v="Food &amp; Beverages"/>
  </r>
  <r>
    <x v="2"/>
    <x v="5"/>
    <s v="Jul-15"/>
    <x v="10"/>
    <n v="125.5"/>
    <n v="117.9"/>
    <n v="122.3"/>
    <s v="Apparel"/>
  </r>
  <r>
    <x v="2"/>
    <x v="5"/>
    <s v="Jul-15"/>
    <x v="9"/>
    <n v="133.30000000000001"/>
    <n v="132.80000000000001"/>
    <n v="133.1"/>
    <s v="Food &amp; Beverages"/>
  </r>
  <r>
    <x v="2"/>
    <x v="5"/>
    <s v="Jul-15"/>
    <x v="13"/>
    <n v="123"/>
    <n v="115.3"/>
    <n v="120.1"/>
    <s v="Energy"/>
  </r>
  <r>
    <x v="2"/>
    <x v="5"/>
    <s v="Jul-15"/>
    <x v="15"/>
    <n v="124.7"/>
    <n v="122.4"/>
    <n v="123.6"/>
    <s v="General Index"/>
  </r>
  <r>
    <x v="2"/>
    <x v="5"/>
    <s v="Jul-15"/>
    <x v="17"/>
    <n v="120.8"/>
    <n v="116"/>
    <n v="119"/>
    <s v="Health"/>
  </r>
  <r>
    <x v="2"/>
    <x v="5"/>
    <s v="Jul-15"/>
    <x v="19"/>
    <n v="123"/>
    <n v="119.5"/>
    <n v="121.3"/>
    <s v="Housing"/>
  </r>
  <r>
    <x v="2"/>
    <x v="5"/>
    <s v="Jul-15"/>
    <x v="21"/>
    <n v="0"/>
    <n v="119.9"/>
    <n v="119.9"/>
    <s v="Housing"/>
  </r>
  <r>
    <x v="2"/>
    <x v="5"/>
    <s v="Jul-15"/>
    <x v="2"/>
    <n v="131.5"/>
    <n v="134.30000000000001"/>
    <n v="132.5"/>
    <s v="Food &amp; Beverages"/>
  </r>
  <r>
    <x v="2"/>
    <x v="5"/>
    <s v="Jul-15"/>
    <x v="6"/>
    <n v="128.69999999999999"/>
    <n v="127.7"/>
    <n v="128.30000000000001"/>
    <s v="Food &amp; Beverages"/>
  </r>
  <r>
    <x v="2"/>
    <x v="5"/>
    <s v="Jul-15"/>
    <x v="23"/>
    <n v="118.1"/>
    <n v="116.3"/>
    <n v="117.2"/>
    <s v="Other goods &amp; services"/>
  </r>
  <r>
    <x v="2"/>
    <x v="5"/>
    <s v="Jul-15"/>
    <x v="18"/>
    <n v="121"/>
    <n v="118.3"/>
    <n v="119.9"/>
    <s v="Food &amp; Beverages"/>
  </r>
  <r>
    <x v="2"/>
    <x v="5"/>
    <s v="Jul-15"/>
    <x v="7"/>
    <n v="113.5"/>
    <n v="106.3"/>
    <n v="110.9"/>
    <s v="Food &amp; Beverages"/>
  </r>
  <r>
    <x v="2"/>
    <x v="5"/>
    <s v="Jul-15"/>
    <x v="22"/>
    <n v="129.4"/>
    <n v="133.1"/>
    <n v="130.4"/>
    <s v="Other goods &amp; services"/>
  </r>
  <r>
    <x v="2"/>
    <x v="5"/>
    <s v="Jul-15"/>
    <x v="24"/>
    <n v="112.7"/>
    <n v="111.7"/>
    <n v="112.3"/>
    <s v="Other goods &amp; services"/>
  </r>
  <r>
    <x v="2"/>
    <x v="5"/>
    <s v="Jul-15"/>
    <x v="20"/>
    <n v="131.69999999999999"/>
    <n v="131.1"/>
    <n v="131.4"/>
    <s v="Food &amp; Beverages"/>
  </r>
  <r>
    <x v="2"/>
    <x v="5"/>
    <s v="Jul-15"/>
    <x v="12"/>
    <n v="133.80000000000001"/>
    <n v="149.5"/>
    <n v="139.1"/>
    <s v="Food &amp; Beverages"/>
  </r>
  <r>
    <x v="2"/>
    <x v="5"/>
    <s v="Jul-15"/>
    <x v="26"/>
    <n v="118"/>
    <n v="116.6"/>
    <n v="117.2"/>
    <s v="Recreation"/>
  </r>
  <r>
    <x v="2"/>
    <x v="5"/>
    <s v="Jul-15"/>
    <x v="16"/>
    <n v="123.4"/>
    <n v="131.5"/>
    <n v="126.1"/>
    <s v="Food &amp; Beverages"/>
  </r>
  <r>
    <x v="2"/>
    <x v="5"/>
    <s v="Jul-15"/>
    <x v="14"/>
    <n v="94.1"/>
    <n v="85.7"/>
    <n v="91.3"/>
    <s v="Food &amp; Beverages"/>
  </r>
  <r>
    <x v="2"/>
    <x v="5"/>
    <s v="Jul-15"/>
    <x v="25"/>
    <n v="114.1"/>
    <n v="111.5"/>
    <n v="112.7"/>
    <s v="Transport"/>
  </r>
  <r>
    <x v="2"/>
    <x v="5"/>
    <s v="Jul-15"/>
    <x v="11"/>
    <n v="140.80000000000001"/>
    <n v="153.5"/>
    <n v="145.1"/>
    <s v="Food &amp; Beverages"/>
  </r>
  <r>
    <x v="2"/>
    <x v="6"/>
    <s v="Jun-15"/>
    <x v="0"/>
    <n v="124.1"/>
    <n v="123.6"/>
    <n v="123.9"/>
    <s v="Food &amp; Beverages"/>
  </r>
  <r>
    <x v="2"/>
    <x v="6"/>
    <s v="Jun-15"/>
    <x v="1"/>
    <n v="128.4"/>
    <n v="123.2"/>
    <n v="126.4"/>
    <s v="Apparel"/>
  </r>
  <r>
    <x v="2"/>
    <x v="6"/>
    <s v="Jun-15"/>
    <x v="3"/>
    <n v="128"/>
    <n v="122.3"/>
    <n v="125.7"/>
    <s v="Apparel"/>
  </r>
  <r>
    <x v="2"/>
    <x v="6"/>
    <s v="Jun-15"/>
    <x v="5"/>
    <n v="122"/>
    <n v="123.8"/>
    <n v="123.1"/>
    <s v="Education"/>
  </r>
  <r>
    <x v="2"/>
    <x v="6"/>
    <s v="Jun-15"/>
    <x v="4"/>
    <n v="122.1"/>
    <n v="120.9"/>
    <n v="121.6"/>
    <s v="Food &amp; Beverages"/>
  </r>
  <r>
    <x v="2"/>
    <x v="6"/>
    <s v="Jun-15"/>
    <x v="8"/>
    <n v="126.6"/>
    <n v="128.5"/>
    <n v="127.3"/>
    <s v="Food &amp; Beverages"/>
  </r>
  <r>
    <x v="2"/>
    <x v="6"/>
    <s v="Jun-15"/>
    <x v="10"/>
    <n v="125.1"/>
    <n v="117.6"/>
    <n v="122"/>
    <s v="Apparel"/>
  </r>
  <r>
    <x v="2"/>
    <x v="6"/>
    <s v="Jun-15"/>
    <x v="9"/>
    <n v="133.19999999999999"/>
    <n v="132.30000000000001"/>
    <n v="132.80000000000001"/>
    <s v="Food &amp; Beverages"/>
  </r>
  <r>
    <x v="2"/>
    <x v="6"/>
    <s v="Jun-15"/>
    <x v="13"/>
    <n v="122.6"/>
    <n v="115.1"/>
    <n v="119.8"/>
    <s v="Energy"/>
  </r>
  <r>
    <x v="2"/>
    <x v="6"/>
    <s v="Jun-15"/>
    <x v="15"/>
    <n v="124.1"/>
    <n v="121.7"/>
    <n v="123"/>
    <s v="General Index"/>
  </r>
  <r>
    <x v="2"/>
    <x v="6"/>
    <s v="Jun-15"/>
    <x v="17"/>
    <n v="120.4"/>
    <n v="115.4"/>
    <n v="118.5"/>
    <s v="Health"/>
  </r>
  <r>
    <x v="2"/>
    <x v="6"/>
    <s v="Jun-15"/>
    <x v="19"/>
    <n v="122.8"/>
    <n v="119.2"/>
    <n v="121.1"/>
    <s v="Housing"/>
  </r>
  <r>
    <x v="2"/>
    <x v="6"/>
    <s v="Jun-15"/>
    <x v="21"/>
    <n v="0"/>
    <n v="119"/>
    <n v="119"/>
    <s v="Housing"/>
  </r>
  <r>
    <x v="2"/>
    <x v="6"/>
    <s v="Jun-15"/>
    <x v="2"/>
    <n v="130.4"/>
    <n v="134.4"/>
    <n v="131.80000000000001"/>
    <s v="Food &amp; Beverages"/>
  </r>
  <r>
    <x v="2"/>
    <x v="6"/>
    <s v="Jun-15"/>
    <x v="6"/>
    <n v="128.69999999999999"/>
    <n v="127.3"/>
    <n v="128.19999999999999"/>
    <s v="Food &amp; Beverages"/>
  </r>
  <r>
    <x v="2"/>
    <x v="6"/>
    <s v="Jun-15"/>
    <x v="23"/>
    <n v="117.9"/>
    <n v="116"/>
    <n v="117"/>
    <s v="Other goods &amp; services"/>
  </r>
  <r>
    <x v="2"/>
    <x v="6"/>
    <s v="Jun-15"/>
    <x v="18"/>
    <n v="121.1"/>
    <n v="118"/>
    <n v="119.8"/>
    <s v="Food &amp; Beverages"/>
  </r>
  <r>
    <x v="2"/>
    <x v="6"/>
    <s v="Jun-15"/>
    <x v="7"/>
    <n v="114.1"/>
    <n v="106"/>
    <n v="111.1"/>
    <s v="Food &amp; Beverages"/>
  </r>
  <r>
    <x v="2"/>
    <x v="6"/>
    <s v="Jun-15"/>
    <x v="22"/>
    <n v="128.19999999999999"/>
    <n v="132.1"/>
    <n v="129.19999999999999"/>
    <s v="Other goods &amp; services"/>
  </r>
  <r>
    <x v="2"/>
    <x v="6"/>
    <s v="Jun-15"/>
    <x v="24"/>
    <n v="113"/>
    <n v="112.5"/>
    <n v="112.8"/>
    <s v="Other goods &amp; services"/>
  </r>
  <r>
    <x v="2"/>
    <x v="6"/>
    <s v="Jun-15"/>
    <x v="20"/>
    <n v="131.19999999999999"/>
    <n v="130.5"/>
    <n v="130.9"/>
    <s v="Food &amp; Beverages"/>
  </r>
  <r>
    <x v="2"/>
    <x v="6"/>
    <s v="Jun-15"/>
    <x v="12"/>
    <n v="131.9"/>
    <n v="148.1"/>
    <n v="137.4"/>
    <s v="Food &amp; Beverages"/>
  </r>
  <r>
    <x v="2"/>
    <x v="6"/>
    <s v="Jun-15"/>
    <x v="26"/>
    <n v="117.9"/>
    <n v="116.2"/>
    <n v="116.9"/>
    <s v="Recreation"/>
  </r>
  <r>
    <x v="2"/>
    <x v="6"/>
    <s v="Jun-15"/>
    <x v="16"/>
    <n v="123"/>
    <n v="130.5"/>
    <n v="125.5"/>
    <s v="Food &amp; Beverages"/>
  </r>
  <r>
    <x v="2"/>
    <x v="6"/>
    <s v="Jun-15"/>
    <x v="14"/>
    <n v="96.3"/>
    <n v="89.8"/>
    <n v="94.1"/>
    <s v="Food &amp; Beverages"/>
  </r>
  <r>
    <x v="2"/>
    <x v="6"/>
    <s v="Jun-15"/>
    <x v="25"/>
    <n v="114.2"/>
    <n v="111.7"/>
    <n v="112.9"/>
    <s v="Transport"/>
  </r>
  <r>
    <x v="2"/>
    <x v="6"/>
    <s v="Jun-15"/>
    <x v="11"/>
    <n v="135.19999999999999"/>
    <n v="146.69999999999999"/>
    <n v="139.1"/>
    <s v="Food &amp; Beverages"/>
  </r>
  <r>
    <x v="2"/>
    <x v="7"/>
    <s v="Mar-15"/>
    <x v="0"/>
    <n v="123.3"/>
    <n v="124"/>
    <n v="123.5"/>
    <s v="Food &amp; Beverages"/>
  </r>
  <r>
    <x v="2"/>
    <x v="7"/>
    <s v="Mar-15"/>
    <x v="1"/>
    <n v="126"/>
    <n v="121.7"/>
    <n v="124.3"/>
    <s v="Apparel"/>
  </r>
  <r>
    <x v="2"/>
    <x v="7"/>
    <s v="Mar-15"/>
    <x v="3"/>
    <n v="125.5"/>
    <n v="120.9"/>
    <n v="123.7"/>
    <s v="Apparel"/>
  </r>
  <r>
    <x v="2"/>
    <x v="7"/>
    <s v="Mar-15"/>
    <x v="5"/>
    <n v="119.4"/>
    <n v="120.6"/>
    <n v="120.1"/>
    <s v="Education"/>
  </r>
  <r>
    <x v="2"/>
    <x v="7"/>
    <s v="Mar-15"/>
    <x v="4"/>
    <n v="118.9"/>
    <n v="113.5"/>
    <n v="116.8"/>
    <s v="Food &amp; Beverages"/>
  </r>
  <r>
    <x v="2"/>
    <x v="7"/>
    <s v="Mar-15"/>
    <x v="8"/>
    <n v="123.1"/>
    <n v="123.9"/>
    <n v="123.4"/>
    <s v="Food &amp; Beverages"/>
  </r>
  <r>
    <x v="2"/>
    <x v="7"/>
    <s v="Mar-15"/>
    <x v="10"/>
    <n v="122.9"/>
    <n v="116.9"/>
    <n v="120.4"/>
    <s v="Apparel"/>
  </r>
  <r>
    <x v="2"/>
    <x v="7"/>
    <s v="Mar-15"/>
    <x v="9"/>
    <n v="130.9"/>
    <n v="123.8"/>
    <n v="127.6"/>
    <s v="Food &amp; Beverages"/>
  </r>
  <r>
    <x v="2"/>
    <x v="7"/>
    <s v="Mar-15"/>
    <x v="13"/>
    <n v="120.6"/>
    <n v="114.4"/>
    <n v="118.3"/>
    <s v="Energy"/>
  </r>
  <r>
    <x v="2"/>
    <x v="7"/>
    <s v="Mar-15"/>
    <x v="15"/>
    <n v="121.1"/>
    <n v="119.1"/>
    <n v="120.2"/>
    <s v="General Index"/>
  </r>
  <r>
    <x v="2"/>
    <x v="7"/>
    <s v="Mar-15"/>
    <x v="17"/>
    <n v="118.2"/>
    <n v="114.3"/>
    <n v="116.7"/>
    <s v="Health"/>
  </r>
  <r>
    <x v="2"/>
    <x v="7"/>
    <s v="Mar-15"/>
    <x v="19"/>
    <n v="120.2"/>
    <n v="118"/>
    <n v="119.2"/>
    <s v="Housing"/>
  </r>
  <r>
    <x v="2"/>
    <x v="7"/>
    <s v="Mar-15"/>
    <x v="21"/>
    <n v="0"/>
    <n v="118.6"/>
    <n v="118.6"/>
    <s v="Housing"/>
  </r>
  <r>
    <x v="2"/>
    <x v="7"/>
    <s v="Mar-15"/>
    <x v="2"/>
    <n v="124.7"/>
    <n v="126.7"/>
    <n v="125.4"/>
    <s v="Food &amp; Beverages"/>
  </r>
  <r>
    <x v="2"/>
    <x v="7"/>
    <s v="Mar-15"/>
    <x v="6"/>
    <n v="126"/>
    <n v="125.9"/>
    <n v="126"/>
    <s v="Food &amp; Beverages"/>
  </r>
  <r>
    <x v="2"/>
    <x v="7"/>
    <s v="Mar-15"/>
    <x v="23"/>
    <n v="115.5"/>
    <n v="113.8"/>
    <n v="114.7"/>
    <s v="Other goods &amp; services"/>
  </r>
  <r>
    <x v="2"/>
    <x v="7"/>
    <s v="Mar-15"/>
    <x v="18"/>
    <n v="118.9"/>
    <n v="117"/>
    <n v="118.1"/>
    <s v="Food &amp; Beverages"/>
  </r>
  <r>
    <x v="2"/>
    <x v="7"/>
    <s v="Mar-15"/>
    <x v="7"/>
    <n v="111.8"/>
    <n v="104.8"/>
    <n v="109.2"/>
    <s v="Food &amp; Beverages"/>
  </r>
  <r>
    <x v="2"/>
    <x v="7"/>
    <s v="Mar-15"/>
    <x v="22"/>
    <n v="124.7"/>
    <n v="128.80000000000001"/>
    <n v="125.8"/>
    <s v="Other goods &amp; services"/>
  </r>
  <r>
    <x v="2"/>
    <x v="7"/>
    <s v="Mar-15"/>
    <x v="24"/>
    <n v="110.8"/>
    <n v="111.3"/>
    <n v="111"/>
    <s v="Other goods &amp; services"/>
  </r>
  <r>
    <x v="2"/>
    <x v="7"/>
    <s v="Mar-15"/>
    <x v="20"/>
    <n v="127.7"/>
    <n v="129.19999999999999"/>
    <n v="128.4"/>
    <s v="Food &amp; Beverages"/>
  </r>
  <r>
    <x v="2"/>
    <x v="7"/>
    <s v="Mar-15"/>
    <x v="12"/>
    <n v="119.9"/>
    <n v="127.2"/>
    <n v="122.4"/>
    <s v="Food &amp; Beverages"/>
  </r>
  <r>
    <x v="2"/>
    <x v="7"/>
    <s v="Mar-15"/>
    <x v="26"/>
    <n v="115.5"/>
    <n v="115.4"/>
    <n v="115.4"/>
    <s v="Recreation"/>
  </r>
  <r>
    <x v="2"/>
    <x v="7"/>
    <s v="Mar-15"/>
    <x v="16"/>
    <n v="119.4"/>
    <n v="127.4"/>
    <n v="122.1"/>
    <s v="Food &amp; Beverages"/>
  </r>
  <r>
    <x v="2"/>
    <x v="7"/>
    <s v="Mar-15"/>
    <x v="14"/>
    <n v="98.9"/>
    <n v="93.2"/>
    <n v="97"/>
    <s v="Food &amp; Beverages"/>
  </r>
  <r>
    <x v="2"/>
    <x v="7"/>
    <s v="Mar-15"/>
    <x v="25"/>
    <n v="111.6"/>
    <n v="108.4"/>
    <n v="109.9"/>
    <s v="Transport"/>
  </r>
  <r>
    <x v="2"/>
    <x v="7"/>
    <s v="Mar-15"/>
    <x v="11"/>
    <n v="128"/>
    <n v="131.4"/>
    <n v="129.19999999999999"/>
    <s v="Food &amp; Beverages"/>
  </r>
  <r>
    <x v="2"/>
    <x v="8"/>
    <s v="May-15"/>
    <x v="0"/>
    <n v="123.5"/>
    <n v="123.8"/>
    <n v="123.6"/>
    <s v="Food &amp; Beverages"/>
  </r>
  <r>
    <x v="2"/>
    <x v="8"/>
    <s v="May-15"/>
    <x v="1"/>
    <n v="127.3"/>
    <n v="122.4"/>
    <n v="125.4"/>
    <s v="Apparel"/>
  </r>
  <r>
    <x v="2"/>
    <x v="8"/>
    <s v="May-15"/>
    <x v="3"/>
    <n v="126.8"/>
    <n v="121.6"/>
    <n v="124.7"/>
    <s v="Apparel"/>
  </r>
  <r>
    <x v="2"/>
    <x v="8"/>
    <s v="May-15"/>
    <x v="5"/>
    <n v="120.5"/>
    <n v="122"/>
    <n v="121.4"/>
    <s v="Education"/>
  </r>
  <r>
    <x v="2"/>
    <x v="8"/>
    <s v="May-15"/>
    <x v="4"/>
    <n v="117.3"/>
    <n v="111.3"/>
    <n v="115"/>
    <s v="Food &amp; Beverages"/>
  </r>
  <r>
    <x v="2"/>
    <x v="8"/>
    <s v="May-15"/>
    <x v="8"/>
    <n v="124.4"/>
    <n v="126.1"/>
    <n v="125"/>
    <s v="Food &amp; Beverages"/>
  </r>
  <r>
    <x v="2"/>
    <x v="8"/>
    <s v="May-15"/>
    <x v="10"/>
    <n v="124.1"/>
    <n v="117.4"/>
    <n v="121.3"/>
    <s v="Apparel"/>
  </r>
  <r>
    <x v="2"/>
    <x v="8"/>
    <s v="May-15"/>
    <x v="9"/>
    <n v="134.1"/>
    <n v="130.80000000000001"/>
    <n v="132.6"/>
    <s v="Food &amp; Beverages"/>
  </r>
  <r>
    <x v="2"/>
    <x v="8"/>
    <s v="May-15"/>
    <x v="13"/>
    <n v="121.9"/>
    <n v="114.9"/>
    <n v="119.2"/>
    <s v="Energy"/>
  </r>
  <r>
    <x v="2"/>
    <x v="8"/>
    <s v="May-15"/>
    <x v="15"/>
    <n v="122.4"/>
    <n v="120.7"/>
    <n v="121.6"/>
    <s v="General Index"/>
  </r>
  <r>
    <x v="2"/>
    <x v="8"/>
    <s v="May-15"/>
    <x v="17"/>
    <n v="119.4"/>
    <n v="114.9"/>
    <n v="117.7"/>
    <s v="Health"/>
  </r>
  <r>
    <x v="2"/>
    <x v="8"/>
    <s v="May-15"/>
    <x v="19"/>
    <n v="121.5"/>
    <n v="118.7"/>
    <n v="120.2"/>
    <s v="Housing"/>
  </r>
  <r>
    <x v="2"/>
    <x v="8"/>
    <s v="May-15"/>
    <x v="21"/>
    <n v="0"/>
    <n v="119.6"/>
    <n v="119.6"/>
    <s v="Housing"/>
  </r>
  <r>
    <x v="2"/>
    <x v="8"/>
    <s v="May-15"/>
    <x v="2"/>
    <n v="127.1"/>
    <n v="129.69999999999999"/>
    <n v="128"/>
    <s v="Food &amp; Beverages"/>
  </r>
  <r>
    <x v="2"/>
    <x v="8"/>
    <s v="May-15"/>
    <x v="6"/>
    <n v="127.7"/>
    <n v="126.6"/>
    <n v="127.3"/>
    <s v="Food &amp; Beverages"/>
  </r>
  <r>
    <x v="2"/>
    <x v="8"/>
    <s v="May-15"/>
    <x v="23"/>
    <n v="116.9"/>
    <n v="115.2"/>
    <n v="116.1"/>
    <s v="Other goods &amp; services"/>
  </r>
  <r>
    <x v="2"/>
    <x v="8"/>
    <s v="May-15"/>
    <x v="18"/>
    <n v="120.2"/>
    <n v="117.7"/>
    <n v="119.2"/>
    <s v="Food &amp; Beverages"/>
  </r>
  <r>
    <x v="2"/>
    <x v="8"/>
    <s v="May-15"/>
    <x v="7"/>
    <n v="112.5"/>
    <n v="105.2"/>
    <n v="109.8"/>
    <s v="Food &amp; Beverages"/>
  </r>
  <r>
    <x v="2"/>
    <x v="8"/>
    <s v="May-15"/>
    <x v="22"/>
    <n v="126.7"/>
    <n v="131.30000000000001"/>
    <n v="127.9"/>
    <s v="Other goods &amp; services"/>
  </r>
  <r>
    <x v="2"/>
    <x v="8"/>
    <s v="May-15"/>
    <x v="24"/>
    <n v="112.3"/>
    <n v="112.4"/>
    <n v="112.3"/>
    <s v="Other goods &amp; services"/>
  </r>
  <r>
    <x v="2"/>
    <x v="8"/>
    <s v="May-15"/>
    <x v="20"/>
    <n v="129.80000000000001"/>
    <n v="129.9"/>
    <n v="129.80000000000001"/>
    <s v="Food &amp; Beverages"/>
  </r>
  <r>
    <x v="2"/>
    <x v="8"/>
    <s v="May-15"/>
    <x v="12"/>
    <n v="124.3"/>
    <n v="142.6"/>
    <n v="130.5"/>
    <s v="Food &amp; Beverages"/>
  </r>
  <r>
    <x v="2"/>
    <x v="8"/>
    <s v="May-15"/>
    <x v="26"/>
    <n v="116.7"/>
    <n v="116"/>
    <n v="116.3"/>
    <s v="Recreation"/>
  </r>
  <r>
    <x v="2"/>
    <x v="8"/>
    <s v="May-15"/>
    <x v="16"/>
    <n v="120.7"/>
    <n v="128.80000000000001"/>
    <n v="123.4"/>
    <s v="Food &amp; Beverages"/>
  </r>
  <r>
    <x v="2"/>
    <x v="8"/>
    <s v="May-15"/>
    <x v="14"/>
    <n v="97.6"/>
    <n v="90.8"/>
    <n v="95.3"/>
    <s v="Food &amp; Beverages"/>
  </r>
  <r>
    <x v="2"/>
    <x v="8"/>
    <s v="May-15"/>
    <x v="25"/>
    <n v="113.3"/>
    <n v="110.8"/>
    <n v="112"/>
    <s v="Transport"/>
  </r>
  <r>
    <x v="2"/>
    <x v="8"/>
    <s v="May-15"/>
    <x v="11"/>
    <n v="128.5"/>
    <n v="135.6"/>
    <n v="130.9"/>
    <s v="Food &amp; Beverages"/>
  </r>
  <r>
    <x v="2"/>
    <x v="9"/>
    <s v="Nov-15"/>
    <x v="0"/>
    <n v="126.1"/>
    <n v="124"/>
    <n v="125.4"/>
    <s v="Food &amp; Beverages"/>
  </r>
  <r>
    <x v="2"/>
    <x v="9"/>
    <s v="Nov-15"/>
    <x v="1"/>
    <n v="132.1"/>
    <n v="125"/>
    <n v="129.30000000000001"/>
    <s v="Apparel"/>
  </r>
  <r>
    <x v="2"/>
    <x v="9"/>
    <s v="Nov-15"/>
    <x v="3"/>
    <n v="131.5"/>
    <n v="124.2"/>
    <n v="128.6"/>
    <s v="Apparel"/>
  </r>
  <r>
    <x v="2"/>
    <x v="9"/>
    <s v="Nov-15"/>
    <x v="5"/>
    <n v="125.8"/>
    <n v="126.6"/>
    <n v="126.3"/>
    <s v="Education"/>
  </r>
  <r>
    <x v="2"/>
    <x v="9"/>
    <s v="Nov-15"/>
    <x v="4"/>
    <n v="121.7"/>
    <n v="121.5"/>
    <n v="121.6"/>
    <s v="Food &amp; Beverages"/>
  </r>
  <r>
    <x v="2"/>
    <x v="9"/>
    <s v="Nov-15"/>
    <x v="8"/>
    <n v="132.4"/>
    <n v="133.30000000000001"/>
    <n v="132.69999999999999"/>
    <s v="Food &amp; Beverages"/>
  </r>
  <r>
    <x v="2"/>
    <x v="9"/>
    <s v="Nov-15"/>
    <x v="10"/>
    <n v="128.19999999999999"/>
    <n v="119.3"/>
    <n v="124.5"/>
    <s v="Apparel"/>
  </r>
  <r>
    <x v="2"/>
    <x v="9"/>
    <s v="Nov-15"/>
    <x v="9"/>
    <n v="132.1"/>
    <n v="123.7"/>
    <n v="128.19999999999999"/>
    <s v="Food &amp; Beverages"/>
  </r>
  <r>
    <x v="2"/>
    <x v="9"/>
    <s v="Nov-15"/>
    <x v="13"/>
    <n v="125.6"/>
    <n v="115.1"/>
    <n v="121.6"/>
    <s v="Energy"/>
  </r>
  <r>
    <x v="2"/>
    <x v="9"/>
    <s v="Nov-15"/>
    <x v="15"/>
    <n v="128.30000000000001"/>
    <n v="124.6"/>
    <n v="126.6"/>
    <s v="General Index"/>
  </r>
  <r>
    <x v="2"/>
    <x v="9"/>
    <s v="Nov-15"/>
    <x v="17"/>
    <n v="122.6"/>
    <n v="118.1"/>
    <n v="120.9"/>
    <s v="Health"/>
  </r>
  <r>
    <x v="2"/>
    <x v="9"/>
    <s v="Nov-15"/>
    <x v="19"/>
    <n v="125.6"/>
    <n v="121"/>
    <n v="123.4"/>
    <s v="Housing"/>
  </r>
  <r>
    <x v="2"/>
    <x v="9"/>
    <s v="Nov-15"/>
    <x v="21"/>
    <n v="0"/>
    <n v="122.9"/>
    <n v="122.9"/>
    <s v="Housing"/>
  </r>
  <r>
    <x v="2"/>
    <x v="9"/>
    <s v="Nov-15"/>
    <x v="2"/>
    <n v="130.6"/>
    <n v="129.80000000000001"/>
    <n v="130.30000000000001"/>
    <s v="Food &amp; Beverages"/>
  </r>
  <r>
    <x v="2"/>
    <x v="9"/>
    <s v="Nov-15"/>
    <x v="6"/>
    <n v="129.5"/>
    <n v="128.6"/>
    <n v="129.19999999999999"/>
    <s v="Food &amp; Beverages"/>
  </r>
  <r>
    <x v="2"/>
    <x v="9"/>
    <s v="Nov-15"/>
    <x v="23"/>
    <n v="119.6"/>
    <n v="116.6"/>
    <n v="118.1"/>
    <s v="Other goods &amp; services"/>
  </r>
  <r>
    <x v="2"/>
    <x v="9"/>
    <s v="Nov-15"/>
    <x v="18"/>
    <n v="123.1"/>
    <n v="119.8"/>
    <n v="121.7"/>
    <s v="Food &amp; Beverages"/>
  </r>
  <r>
    <x v="2"/>
    <x v="9"/>
    <s v="Nov-15"/>
    <x v="7"/>
    <n v="117.8"/>
    <n v="110"/>
    <n v="114.9"/>
    <s v="Food &amp; Beverages"/>
  </r>
  <r>
    <x v="2"/>
    <x v="9"/>
    <s v="Nov-15"/>
    <x v="22"/>
    <n v="132.19999999999999"/>
    <n v="137.6"/>
    <n v="133.6"/>
    <s v="Other goods &amp; services"/>
  </r>
  <r>
    <x v="2"/>
    <x v="9"/>
    <s v="Nov-15"/>
    <x v="24"/>
    <n v="114.2"/>
    <n v="113.3"/>
    <n v="113.8"/>
    <s v="Other goods &amp; services"/>
  </r>
  <r>
    <x v="2"/>
    <x v="9"/>
    <s v="Nov-15"/>
    <x v="20"/>
    <n v="134.19999999999999"/>
    <n v="133.69999999999999"/>
    <n v="134"/>
    <s v="Food &amp; Beverages"/>
  </r>
  <r>
    <x v="2"/>
    <x v="9"/>
    <s v="Nov-15"/>
    <x v="12"/>
    <n v="160.80000000000001"/>
    <n v="191.6"/>
    <n v="171.2"/>
    <s v="Food &amp; Beverages"/>
  </r>
  <r>
    <x v="2"/>
    <x v="9"/>
    <s v="Nov-15"/>
    <x v="26"/>
    <n v="120.9"/>
    <n v="117.9"/>
    <n v="119.2"/>
    <s v="Recreation"/>
  </r>
  <r>
    <x v="2"/>
    <x v="9"/>
    <s v="Nov-15"/>
    <x v="16"/>
    <n v="128.30000000000001"/>
    <n v="137.1"/>
    <n v="131.19999999999999"/>
    <s v="Food &amp; Beverages"/>
  </r>
  <r>
    <x v="2"/>
    <x v="9"/>
    <s v="Nov-15"/>
    <x v="14"/>
    <n v="94.5"/>
    <n v="90.8"/>
    <n v="93.3"/>
    <s v="Food &amp; Beverages"/>
  </r>
  <r>
    <x v="2"/>
    <x v="9"/>
    <s v="Nov-15"/>
    <x v="25"/>
    <n v="114"/>
    <n v="109.3"/>
    <n v="111.5"/>
    <s v="Transport"/>
  </r>
  <r>
    <x v="2"/>
    <x v="9"/>
    <s v="Nov-15"/>
    <x v="11"/>
    <n v="155.19999999999999"/>
    <n v="164.6"/>
    <n v="158.4"/>
    <s v="Food &amp; Beverages"/>
  </r>
  <r>
    <x v="2"/>
    <x v="10"/>
    <s v="Oct-15"/>
    <x v="0"/>
    <n v="125.6"/>
    <n v="123.6"/>
    <n v="125"/>
    <s v="Food &amp; Beverages"/>
  </r>
  <r>
    <x v="2"/>
    <x v="10"/>
    <s v="Oct-15"/>
    <x v="1"/>
    <n v="131.1"/>
    <n v="124.4"/>
    <n v="128.5"/>
    <s v="Apparel"/>
  </r>
  <r>
    <x v="2"/>
    <x v="10"/>
    <s v="Oct-15"/>
    <x v="3"/>
    <n v="130.6"/>
    <n v="123.6"/>
    <n v="127.8"/>
    <s v="Apparel"/>
  </r>
  <r>
    <x v="2"/>
    <x v="10"/>
    <s v="Oct-15"/>
    <x v="5"/>
    <n v="125.1"/>
    <n v="126.5"/>
    <n v="125.9"/>
    <s v="Education"/>
  </r>
  <r>
    <x v="2"/>
    <x v="10"/>
    <s v="Oct-15"/>
    <x v="4"/>
    <n v="120.8"/>
    <n v="115.9"/>
    <n v="118.9"/>
    <s v="Food &amp; Beverages"/>
  </r>
  <r>
    <x v="2"/>
    <x v="10"/>
    <s v="Oct-15"/>
    <x v="8"/>
    <n v="131.80000000000001"/>
    <n v="132.6"/>
    <n v="132.1"/>
    <s v="Food &amp; Beverages"/>
  </r>
  <r>
    <x v="2"/>
    <x v="10"/>
    <s v="Oct-15"/>
    <x v="10"/>
    <n v="127.3"/>
    <n v="118.8"/>
    <n v="123.8"/>
    <s v="Apparel"/>
  </r>
  <r>
    <x v="2"/>
    <x v="10"/>
    <s v="Oct-15"/>
    <x v="9"/>
    <n v="133.19999999999999"/>
    <n v="124.1"/>
    <n v="129"/>
    <s v="Food &amp; Beverages"/>
  </r>
  <r>
    <x v="2"/>
    <x v="10"/>
    <s v="Oct-15"/>
    <x v="13"/>
    <n v="124.4"/>
    <n v="114.9"/>
    <n v="120.8"/>
    <s v="Energy"/>
  </r>
  <r>
    <x v="2"/>
    <x v="10"/>
    <s v="Oct-15"/>
    <x v="15"/>
    <n v="127.7"/>
    <n v="124.2"/>
    <n v="126.1"/>
    <s v="General Index"/>
  </r>
  <r>
    <x v="2"/>
    <x v="10"/>
    <s v="Oct-15"/>
    <x v="17"/>
    <n v="122"/>
    <n v="117.7"/>
    <n v="120.4"/>
    <s v="Health"/>
  </r>
  <r>
    <x v="2"/>
    <x v="10"/>
    <s v="Oct-15"/>
    <x v="19"/>
    <n v="125.1"/>
    <n v="120.7"/>
    <n v="123"/>
    <s v="Housing"/>
  </r>
  <r>
    <x v="2"/>
    <x v="10"/>
    <s v="Oct-15"/>
    <x v="21"/>
    <n v="0"/>
    <n v="122.4"/>
    <n v="122.4"/>
    <s v="Housing"/>
  </r>
  <r>
    <x v="2"/>
    <x v="10"/>
    <s v="Oct-15"/>
    <x v="2"/>
    <n v="130.4"/>
    <n v="128.6"/>
    <n v="129.80000000000001"/>
    <s v="Food &amp; Beverages"/>
  </r>
  <r>
    <x v="2"/>
    <x v="10"/>
    <s v="Oct-15"/>
    <x v="6"/>
    <n v="129.4"/>
    <n v="128.5"/>
    <n v="129.1"/>
    <s v="Food &amp; Beverages"/>
  </r>
  <r>
    <x v="2"/>
    <x v="10"/>
    <s v="Oct-15"/>
    <x v="23"/>
    <n v="119.2"/>
    <n v="116.5"/>
    <n v="117.9"/>
    <s v="Other goods &amp; services"/>
  </r>
  <r>
    <x v="2"/>
    <x v="10"/>
    <s v="Oct-15"/>
    <x v="18"/>
    <n v="122.3"/>
    <n v="119.4"/>
    <n v="121.1"/>
    <s v="Food &amp; Beverages"/>
  </r>
  <r>
    <x v="2"/>
    <x v="10"/>
    <s v="Oct-15"/>
    <x v="7"/>
    <n v="115.8"/>
    <n v="109"/>
    <n v="113.3"/>
    <s v="Food &amp; Beverages"/>
  </r>
  <r>
    <x v="2"/>
    <x v="10"/>
    <s v="Oct-15"/>
    <x v="22"/>
    <n v="131.5"/>
    <n v="135.30000000000001"/>
    <n v="132.5"/>
    <s v="Other goods &amp; services"/>
  </r>
  <r>
    <x v="2"/>
    <x v="10"/>
    <s v="Oct-15"/>
    <x v="24"/>
    <n v="114.2"/>
    <n v="113.5"/>
    <n v="113.9"/>
    <s v="Other goods &amp; services"/>
  </r>
  <r>
    <x v="2"/>
    <x v="10"/>
    <s v="Oct-15"/>
    <x v="20"/>
    <n v="133.1"/>
    <n v="132.9"/>
    <n v="133"/>
    <s v="Food &amp; Beverages"/>
  </r>
  <r>
    <x v="2"/>
    <x v="10"/>
    <s v="Oct-15"/>
    <x v="12"/>
    <n v="154.19999999999999"/>
    <n v="187.2"/>
    <n v="165.3"/>
    <s v="Food &amp; Beverages"/>
  </r>
  <r>
    <x v="2"/>
    <x v="10"/>
    <s v="Oct-15"/>
    <x v="26"/>
    <n v="120.1"/>
    <n v="117.7"/>
    <n v="118.7"/>
    <s v="Recreation"/>
  </r>
  <r>
    <x v="2"/>
    <x v="10"/>
    <s v="Oct-15"/>
    <x v="16"/>
    <n v="126.6"/>
    <n v="135.80000000000001"/>
    <n v="129.69999999999999"/>
    <s v="Food &amp; Beverages"/>
  </r>
  <r>
    <x v="2"/>
    <x v="10"/>
    <s v="Oct-15"/>
    <x v="14"/>
    <n v="93.7"/>
    <n v="89.4"/>
    <n v="92.3"/>
    <s v="Food &amp; Beverages"/>
  </r>
  <r>
    <x v="2"/>
    <x v="10"/>
    <s v="Oct-15"/>
    <x v="25"/>
    <n v="113.8"/>
    <n v="109.3"/>
    <n v="111.4"/>
    <s v="Transport"/>
  </r>
  <r>
    <x v="2"/>
    <x v="10"/>
    <s v="Oct-15"/>
    <x v="11"/>
    <n v="157.69999999999999"/>
    <n v="165.8"/>
    <n v="160.4"/>
    <s v="Food &amp; Beverages"/>
  </r>
  <r>
    <x v="2"/>
    <x v="11"/>
    <s v="Sep-15"/>
    <x v="0"/>
    <n v="125.1"/>
    <n v="123.4"/>
    <n v="124.6"/>
    <s v="Food &amp; Beverages"/>
  </r>
  <r>
    <x v="2"/>
    <x v="11"/>
    <s v="Sep-15"/>
    <x v="1"/>
    <n v="130.4"/>
    <n v="124"/>
    <n v="127.9"/>
    <s v="Apparel"/>
  </r>
  <r>
    <x v="2"/>
    <x v="11"/>
    <s v="Sep-15"/>
    <x v="3"/>
    <n v="129.9"/>
    <n v="123.2"/>
    <n v="127.2"/>
    <s v="Apparel"/>
  </r>
  <r>
    <x v="2"/>
    <x v="11"/>
    <s v="Sep-15"/>
    <x v="5"/>
    <n v="124.5"/>
    <n v="126.5"/>
    <n v="125.7"/>
    <s v="Education"/>
  </r>
  <r>
    <x v="2"/>
    <x v="11"/>
    <s v="Sep-15"/>
    <x v="4"/>
    <n v="120.7"/>
    <n v="115.6"/>
    <n v="118.7"/>
    <s v="Food &amp; Beverages"/>
  </r>
  <r>
    <x v="2"/>
    <x v="11"/>
    <s v="Sep-15"/>
    <x v="8"/>
    <n v="131"/>
    <n v="131.5"/>
    <n v="131.19999999999999"/>
    <s v="Food &amp; Beverages"/>
  </r>
  <r>
    <x v="2"/>
    <x v="11"/>
    <s v="Sep-15"/>
    <x v="10"/>
    <n v="126.8"/>
    <n v="118.6"/>
    <n v="123.4"/>
    <s v="Apparel"/>
  </r>
  <r>
    <x v="2"/>
    <x v="11"/>
    <s v="Sep-15"/>
    <x v="9"/>
    <n v="132.30000000000001"/>
    <n v="124"/>
    <n v="128.4"/>
    <s v="Food &amp; Beverages"/>
  </r>
  <r>
    <x v="2"/>
    <x v="11"/>
    <s v="Sep-15"/>
    <x v="13"/>
    <n v="123.7"/>
    <n v="115.1"/>
    <n v="120.4"/>
    <s v="Energy"/>
  </r>
  <r>
    <x v="2"/>
    <x v="11"/>
    <s v="Sep-15"/>
    <x v="15"/>
    <n v="127"/>
    <n v="123.5"/>
    <n v="125.4"/>
    <s v="General Index"/>
  </r>
  <r>
    <x v="2"/>
    <x v="11"/>
    <s v="Sep-15"/>
    <x v="17"/>
    <n v="121.4"/>
    <n v="117.1"/>
    <n v="119.8"/>
    <s v="Health"/>
  </r>
  <r>
    <x v="2"/>
    <x v="11"/>
    <s v="Sep-15"/>
    <x v="19"/>
    <n v="124.5"/>
    <n v="120.4"/>
    <n v="122.6"/>
    <s v="Housing"/>
  </r>
  <r>
    <x v="2"/>
    <x v="11"/>
    <s v="Sep-15"/>
    <x v="21"/>
    <n v="0"/>
    <n v="121.6"/>
    <n v="121.6"/>
    <s v="Housing"/>
  </r>
  <r>
    <x v="2"/>
    <x v="11"/>
    <s v="Sep-15"/>
    <x v="2"/>
    <n v="131.1"/>
    <n v="129"/>
    <n v="130.4"/>
    <s v="Food &amp; Beverages"/>
  </r>
  <r>
    <x v="2"/>
    <x v="11"/>
    <s v="Sep-15"/>
    <x v="6"/>
    <n v="129.19999999999999"/>
    <n v="128.30000000000001"/>
    <n v="128.9"/>
    <s v="Food &amp; Beverages"/>
  </r>
  <r>
    <x v="2"/>
    <x v="11"/>
    <s v="Sep-15"/>
    <x v="23"/>
    <n v="118.8"/>
    <n v="116.2"/>
    <n v="117.5"/>
    <s v="Other goods &amp; services"/>
  </r>
  <r>
    <x v="2"/>
    <x v="11"/>
    <s v="Sep-15"/>
    <x v="18"/>
    <n v="121.9"/>
    <n v="119.1"/>
    <n v="120.7"/>
    <s v="Food &amp; Beverages"/>
  </r>
  <r>
    <x v="2"/>
    <x v="11"/>
    <s v="Sep-15"/>
    <x v="7"/>
    <n v="114.7"/>
    <n v="107"/>
    <n v="111.9"/>
    <s v="Food &amp; Beverages"/>
  </r>
  <r>
    <x v="2"/>
    <x v="11"/>
    <s v="Sep-15"/>
    <x v="22"/>
    <n v="131"/>
    <n v="134.69999999999999"/>
    <n v="132"/>
    <s v="Other goods &amp; services"/>
  </r>
  <r>
    <x v="2"/>
    <x v="11"/>
    <s v="Sep-15"/>
    <x v="24"/>
    <n v="113.7"/>
    <n v="112.9"/>
    <n v="113.4"/>
    <s v="Other goods &amp; services"/>
  </r>
  <r>
    <x v="2"/>
    <x v="11"/>
    <s v="Sep-15"/>
    <x v="20"/>
    <n v="132.69999999999999"/>
    <n v="132.30000000000001"/>
    <n v="132.5"/>
    <s v="Food &amp; Beverages"/>
  </r>
  <r>
    <x v="2"/>
    <x v="11"/>
    <s v="Sep-15"/>
    <x v="12"/>
    <n v="142.1"/>
    <n v="165.4"/>
    <n v="150"/>
    <s v="Food &amp; Beverages"/>
  </r>
  <r>
    <x v="2"/>
    <x v="11"/>
    <s v="Sep-15"/>
    <x v="26"/>
    <n v="119.6"/>
    <n v="117.3"/>
    <n v="118.3"/>
    <s v="Recreation"/>
  </r>
  <r>
    <x v="2"/>
    <x v="11"/>
    <s v="Sep-15"/>
    <x v="16"/>
    <n v="125.4"/>
    <n v="134.4"/>
    <n v="128.4"/>
    <s v="Food &amp; Beverages"/>
  </r>
  <r>
    <x v="2"/>
    <x v="11"/>
    <s v="Sep-15"/>
    <x v="14"/>
    <n v="92.5"/>
    <n v="86.3"/>
    <n v="90.4"/>
    <s v="Food &amp; Beverages"/>
  </r>
  <r>
    <x v="2"/>
    <x v="11"/>
    <s v="Sep-15"/>
    <x v="25"/>
    <n v="113.8"/>
    <n v="109.1"/>
    <n v="111.3"/>
    <s v="Transport"/>
  </r>
  <r>
    <x v="2"/>
    <x v="11"/>
    <s v="Sep-15"/>
    <x v="11"/>
    <n v="158.9"/>
    <n v="168.5"/>
    <n v="162.19999999999999"/>
    <s v="Food &amp; Beverages"/>
  </r>
  <r>
    <x v="3"/>
    <x v="0"/>
    <s v="Apr-16"/>
    <x v="0"/>
    <n v="127.4"/>
    <n v="124.9"/>
    <n v="126.6"/>
    <s v="Food &amp; Beverages"/>
  </r>
  <r>
    <x v="3"/>
    <x v="0"/>
    <s v="Apr-16"/>
    <x v="1"/>
    <n v="135"/>
    <n v="126.8"/>
    <n v="131.80000000000001"/>
    <s v="Apparel"/>
  </r>
  <r>
    <x v="3"/>
    <x v="0"/>
    <s v="Apr-16"/>
    <x v="3"/>
    <n v="134.4"/>
    <n v="125.8"/>
    <n v="131"/>
    <s v="Apparel"/>
  </r>
  <r>
    <x v="3"/>
    <x v="0"/>
    <s v="Apr-16"/>
    <x v="5"/>
    <n v="127.9"/>
    <n v="127.6"/>
    <n v="127.7"/>
    <s v="Education"/>
  </r>
  <r>
    <x v="3"/>
    <x v="0"/>
    <s v="Apr-16"/>
    <x v="4"/>
    <n v="123.4"/>
    <n v="119.9"/>
    <n v="122"/>
    <s v="Food &amp; Beverages"/>
  </r>
  <r>
    <x v="3"/>
    <x v="0"/>
    <s v="Apr-16"/>
    <x v="8"/>
    <n v="131.80000000000001"/>
    <n v="131.80000000000001"/>
    <n v="131.80000000000001"/>
    <s v="Food &amp; Beverages"/>
  </r>
  <r>
    <x v="3"/>
    <x v="0"/>
    <s v="Apr-16"/>
    <x v="10"/>
    <n v="130.6"/>
    <n v="120.5"/>
    <n v="126.4"/>
    <s v="Apparel"/>
  </r>
  <r>
    <x v="3"/>
    <x v="0"/>
    <s v="Apr-16"/>
    <x v="9"/>
    <n v="138.1"/>
    <n v="131.1"/>
    <n v="134.80000000000001"/>
    <s v="Food &amp; Beverages"/>
  </r>
  <r>
    <x v="3"/>
    <x v="0"/>
    <s v="Apr-16"/>
    <x v="13"/>
    <n v="127"/>
    <n v="114.6"/>
    <n v="122.3"/>
    <s v="Energy"/>
  </r>
  <r>
    <x v="3"/>
    <x v="0"/>
    <s v="Apr-16"/>
    <x v="15"/>
    <n v="129"/>
    <n v="125.3"/>
    <n v="127.3"/>
    <s v="General Index"/>
  </r>
  <r>
    <x v="3"/>
    <x v="0"/>
    <s v="Apr-16"/>
    <x v="17"/>
    <n v="125.2"/>
    <n v="120"/>
    <n v="123.2"/>
    <s v="Health"/>
  </r>
  <r>
    <x v="3"/>
    <x v="0"/>
    <s v="Apr-16"/>
    <x v="19"/>
    <n v="128"/>
    <n v="122.8"/>
    <n v="125.5"/>
    <s v="Housing"/>
  </r>
  <r>
    <x v="3"/>
    <x v="0"/>
    <s v="Apr-16"/>
    <x v="21"/>
    <n v="0"/>
    <n v="125.6"/>
    <n v="125.6"/>
    <s v="Housing"/>
  </r>
  <r>
    <x v="3"/>
    <x v="0"/>
    <s v="Apr-16"/>
    <x v="2"/>
    <n v="135.4"/>
    <n v="139.30000000000001"/>
    <n v="136.80000000000001"/>
    <s v="Food &amp; Beverages"/>
  </r>
  <r>
    <x v="3"/>
    <x v="0"/>
    <s v="Apr-16"/>
    <x v="6"/>
    <n v="131.30000000000001"/>
    <n v="130.19999999999999"/>
    <n v="130.9"/>
    <s v="Food &amp; Beverages"/>
  </r>
  <r>
    <x v="3"/>
    <x v="0"/>
    <s v="Apr-16"/>
    <x v="23"/>
    <n v="121.7"/>
    <n v="118.2"/>
    <n v="120"/>
    <s v="Other goods &amp; services"/>
  </r>
  <r>
    <x v="3"/>
    <x v="0"/>
    <s v="Apr-16"/>
    <x v="18"/>
    <n v="125.4"/>
    <n v="121.1"/>
    <n v="123.6"/>
    <s v="Food &amp; Beverages"/>
  </r>
  <r>
    <x v="3"/>
    <x v="0"/>
    <s v="Apr-16"/>
    <x v="7"/>
    <n v="118.2"/>
    <n v="108.9"/>
    <n v="114.8"/>
    <s v="Food &amp; Beverages"/>
  </r>
  <r>
    <x v="3"/>
    <x v="0"/>
    <s v="Apr-16"/>
    <x v="22"/>
    <n v="135.5"/>
    <n v="141.5"/>
    <n v="137.1"/>
    <s v="Other goods &amp; services"/>
  </r>
  <r>
    <x v="3"/>
    <x v="0"/>
    <s v="Apr-16"/>
    <x v="24"/>
    <n v="118.4"/>
    <n v="117.6"/>
    <n v="118.1"/>
    <s v="Other goods &amp; services"/>
  </r>
  <r>
    <x v="3"/>
    <x v="0"/>
    <s v="Apr-16"/>
    <x v="20"/>
    <n v="137.4"/>
    <n v="135.9"/>
    <n v="136.69999999999999"/>
    <s v="Food &amp; Beverages"/>
  </r>
  <r>
    <x v="3"/>
    <x v="0"/>
    <s v="Apr-16"/>
    <x v="12"/>
    <n v="162.69999999999999"/>
    <n v="176.9"/>
    <n v="167.5"/>
    <s v="Food &amp; Beverages"/>
  </r>
  <r>
    <x v="3"/>
    <x v="0"/>
    <s v="Apr-16"/>
    <x v="26"/>
    <n v="123.2"/>
    <n v="119.5"/>
    <n v="121.1"/>
    <s v="Recreation"/>
  </r>
  <r>
    <x v="3"/>
    <x v="0"/>
    <s v="Apr-16"/>
    <x v="16"/>
    <n v="131.4"/>
    <n v="140.4"/>
    <n v="134.4"/>
    <s v="Food &amp; Beverages"/>
  </r>
  <r>
    <x v="3"/>
    <x v="0"/>
    <s v="Apr-16"/>
    <x v="14"/>
    <n v="105"/>
    <n v="109.1"/>
    <n v="106.4"/>
    <s v="Food &amp; Beverages"/>
  </r>
  <r>
    <x v="3"/>
    <x v="0"/>
    <s v="Apr-16"/>
    <x v="25"/>
    <n v="114.4"/>
    <n v="110"/>
    <n v="112.1"/>
    <s v="Transport"/>
  </r>
  <r>
    <x v="3"/>
    <x v="0"/>
    <s v="Apr-16"/>
    <x v="11"/>
    <n v="134.1"/>
    <n v="136.80000000000001"/>
    <n v="135"/>
    <s v="Food &amp; Beverages"/>
  </r>
  <r>
    <x v="3"/>
    <x v="1"/>
    <s v="Aug-16"/>
    <x v="0"/>
    <n v="130.1"/>
    <n v="127.6"/>
    <n v="129.30000000000001"/>
    <s v="Food &amp; Beverages"/>
  </r>
  <r>
    <x v="3"/>
    <x v="1"/>
    <s v="Aug-16"/>
    <x v="1"/>
    <n v="137.80000000000001"/>
    <n v="128.30000000000001"/>
    <n v="134.1"/>
    <s v="Apparel"/>
  </r>
  <r>
    <x v="3"/>
    <x v="1"/>
    <s v="Aug-16"/>
    <x v="3"/>
    <n v="137.1"/>
    <n v="127.3"/>
    <n v="133.19999999999999"/>
    <s v="Apparel"/>
  </r>
  <r>
    <x v="3"/>
    <x v="1"/>
    <s v="Aug-16"/>
    <x v="5"/>
    <n v="131.9"/>
    <n v="131.5"/>
    <n v="131.69999999999999"/>
    <s v="Education"/>
  </r>
  <r>
    <x v="3"/>
    <x v="1"/>
    <s v="Aug-16"/>
    <x v="4"/>
    <n v="130.30000000000001"/>
    <n v="133.69999999999999"/>
    <n v="131.6"/>
    <s v="Food &amp; Beverages"/>
  </r>
  <r>
    <x v="3"/>
    <x v="1"/>
    <s v="Aug-16"/>
    <x v="8"/>
    <n v="138"/>
    <n v="137.6"/>
    <n v="137.9"/>
    <s v="Food &amp; Beverages"/>
  </r>
  <r>
    <x v="3"/>
    <x v="1"/>
    <s v="Aug-16"/>
    <x v="10"/>
    <n v="133"/>
    <n v="121.4"/>
    <n v="128.19999999999999"/>
    <s v="Apparel"/>
  </r>
  <r>
    <x v="3"/>
    <x v="1"/>
    <s v="Aug-16"/>
    <x v="9"/>
    <n v="140.19999999999999"/>
    <n v="135.80000000000001"/>
    <n v="138.1"/>
    <s v="Food &amp; Beverages"/>
  </r>
  <r>
    <x v="3"/>
    <x v="1"/>
    <s v="Aug-16"/>
    <x v="13"/>
    <n v="129.1"/>
    <n v="114.7"/>
    <n v="123.6"/>
    <s v="Energy"/>
  </r>
  <r>
    <x v="3"/>
    <x v="1"/>
    <s v="Aug-16"/>
    <x v="15"/>
    <n v="133.5"/>
    <n v="128.4"/>
    <n v="131.1"/>
    <s v="General Index"/>
  </r>
  <r>
    <x v="3"/>
    <x v="1"/>
    <s v="Aug-16"/>
    <x v="17"/>
    <n v="127"/>
    <n v="121.2"/>
    <n v="124.8"/>
    <s v="Health"/>
  </r>
  <r>
    <x v="3"/>
    <x v="1"/>
    <s v="Aug-16"/>
    <x v="19"/>
    <n v="130.6"/>
    <n v="123.9"/>
    <n v="127.4"/>
    <s v="Housing"/>
  </r>
  <r>
    <x v="3"/>
    <x v="1"/>
    <s v="Aug-16"/>
    <x v="21"/>
    <n v="0"/>
    <n v="127.3"/>
    <n v="127.3"/>
    <s v="Housing"/>
  </r>
  <r>
    <x v="3"/>
    <x v="1"/>
    <s v="Aug-16"/>
    <x v="2"/>
    <n v="138.80000000000001"/>
    <n v="140.30000000000001"/>
    <n v="139.30000000000001"/>
    <s v="Food &amp; Beverages"/>
  </r>
  <r>
    <x v="3"/>
    <x v="1"/>
    <s v="Aug-16"/>
    <x v="6"/>
    <n v="135.30000000000001"/>
    <n v="132.19999999999999"/>
    <n v="134.1"/>
    <s v="Food &amp; Beverages"/>
  </r>
  <r>
    <x v="3"/>
    <x v="1"/>
    <s v="Aug-16"/>
    <x v="23"/>
    <n v="124.2"/>
    <n v="119.9"/>
    <n v="122.1"/>
    <s v="Other goods &amp; services"/>
  </r>
  <r>
    <x v="3"/>
    <x v="1"/>
    <s v="Aug-16"/>
    <x v="18"/>
    <n v="128.1"/>
    <n v="121.9"/>
    <n v="125.5"/>
    <s v="Food &amp; Beverages"/>
  </r>
  <r>
    <x v="3"/>
    <x v="1"/>
    <s v="Aug-16"/>
    <x v="7"/>
    <n v="119.9"/>
    <n v="111.8"/>
    <n v="116.9"/>
    <s v="Food &amp; Beverages"/>
  </r>
  <r>
    <x v="3"/>
    <x v="1"/>
    <s v="Aug-16"/>
    <x v="22"/>
    <n v="138.9"/>
    <n v="143.6"/>
    <n v="140.19999999999999"/>
    <s v="Other goods &amp; services"/>
  </r>
  <r>
    <x v="3"/>
    <x v="1"/>
    <s v="Aug-16"/>
    <x v="24"/>
    <n v="122"/>
    <n v="120.9"/>
    <n v="121.5"/>
    <s v="Other goods &amp; services"/>
  </r>
  <r>
    <x v="3"/>
    <x v="1"/>
    <s v="Aug-16"/>
    <x v="20"/>
    <n v="140.69999999999999"/>
    <n v="138.1"/>
    <n v="139.5"/>
    <s v="Food &amp; Beverages"/>
  </r>
  <r>
    <x v="3"/>
    <x v="1"/>
    <s v="Aug-16"/>
    <x v="12"/>
    <n v="172.2"/>
    <n v="182.3"/>
    <n v="175.6"/>
    <s v="Food &amp; Beverages"/>
  </r>
  <r>
    <x v="3"/>
    <x v="1"/>
    <s v="Aug-16"/>
    <x v="26"/>
    <n v="125.5"/>
    <n v="120.6"/>
    <n v="122.7"/>
    <s v="Recreation"/>
  </r>
  <r>
    <x v="3"/>
    <x v="1"/>
    <s v="Aug-16"/>
    <x v="16"/>
    <n v="134.9"/>
    <n v="144.6"/>
    <n v="138.1"/>
    <s v="Food &amp; Beverages"/>
  </r>
  <r>
    <x v="3"/>
    <x v="1"/>
    <s v="Aug-16"/>
    <x v="14"/>
    <n v="112.1"/>
    <n v="114.6"/>
    <n v="112.9"/>
    <s v="Food &amp; Beverages"/>
  </r>
  <r>
    <x v="3"/>
    <x v="1"/>
    <s v="Aug-16"/>
    <x v="25"/>
    <n v="116"/>
    <n v="110.4"/>
    <n v="113.1"/>
    <s v="Transport"/>
  </r>
  <r>
    <x v="3"/>
    <x v="1"/>
    <s v="Aug-16"/>
    <x v="11"/>
    <n v="156.9"/>
    <n v="163.5"/>
    <n v="159.1"/>
    <s v="Food &amp; Beverages"/>
  </r>
  <r>
    <x v="3"/>
    <x v="2"/>
    <s v="Dec-16"/>
    <x v="0"/>
    <n v="132.6"/>
    <n v="131.6"/>
    <n v="132.30000000000001"/>
    <s v="Food &amp; Beverages"/>
  </r>
  <r>
    <x v="3"/>
    <x v="2"/>
    <s v="Dec-16"/>
    <x v="1"/>
    <n v="140.4"/>
    <n v="130"/>
    <n v="136.30000000000001"/>
    <s v="Apparel"/>
  </r>
  <r>
    <x v="3"/>
    <x v="2"/>
    <s v="Dec-16"/>
    <x v="3"/>
    <n v="139.69999999999999"/>
    <n v="128.80000000000001"/>
    <n v="135.4"/>
    <s v="Apparel"/>
  </r>
  <r>
    <x v="3"/>
    <x v="2"/>
    <s v="Dec-16"/>
    <x v="5"/>
    <n v="134.19999999999999"/>
    <n v="132.30000000000001"/>
    <n v="133.1"/>
    <s v="Education"/>
  </r>
  <r>
    <x v="3"/>
    <x v="2"/>
    <s v="Dec-16"/>
    <x v="4"/>
    <n v="131.6"/>
    <n v="134.9"/>
    <n v="132.9"/>
    <s v="Food &amp; Beverages"/>
  </r>
  <r>
    <x v="3"/>
    <x v="2"/>
    <s v="Dec-16"/>
    <x v="8"/>
    <n v="134.69999999999999"/>
    <n v="132.80000000000001"/>
    <n v="134"/>
    <s v="Food &amp; Beverages"/>
  </r>
  <r>
    <x v="3"/>
    <x v="2"/>
    <s v="Dec-16"/>
    <x v="10"/>
    <n v="135.19999999999999"/>
    <n v="122.2"/>
    <n v="129.80000000000001"/>
    <s v="Apparel"/>
  </r>
  <r>
    <x v="3"/>
    <x v="2"/>
    <s v="Dec-16"/>
    <x v="9"/>
    <n v="135.6"/>
    <n v="129.30000000000001"/>
    <n v="132.69999999999999"/>
    <s v="Food &amp; Beverages"/>
  </r>
  <r>
    <x v="3"/>
    <x v="2"/>
    <s v="Dec-16"/>
    <x v="13"/>
    <n v="132"/>
    <n v="117.8"/>
    <n v="126.6"/>
    <s v="Energy"/>
  </r>
  <r>
    <x v="3"/>
    <x v="2"/>
    <s v="Dec-16"/>
    <x v="15"/>
    <n v="132.80000000000001"/>
    <n v="127.6"/>
    <n v="130.4"/>
    <s v="General Index"/>
  </r>
  <r>
    <x v="3"/>
    <x v="2"/>
    <s v="Dec-16"/>
    <x v="17"/>
    <n v="129.69999999999999"/>
    <n v="122.3"/>
    <n v="126.9"/>
    <s v="Health"/>
  </r>
  <r>
    <x v="3"/>
    <x v="2"/>
    <s v="Dec-16"/>
    <x v="19"/>
    <n v="132.9"/>
    <n v="125"/>
    <n v="129.19999999999999"/>
    <s v="Housing"/>
  </r>
  <r>
    <x v="3"/>
    <x v="2"/>
    <s v="Dec-16"/>
    <x v="21"/>
    <n v="0"/>
    <n v="128.5"/>
    <n v="128.5"/>
    <s v="Housing"/>
  </r>
  <r>
    <x v="3"/>
    <x v="2"/>
    <s v="Dec-16"/>
    <x v="2"/>
    <n v="137.30000000000001"/>
    <n v="138.19999999999999"/>
    <n v="137.6"/>
    <s v="Food &amp; Beverages"/>
  </r>
  <r>
    <x v="3"/>
    <x v="2"/>
    <s v="Dec-16"/>
    <x v="6"/>
    <n v="136.30000000000001"/>
    <n v="133.1"/>
    <n v="135.1"/>
    <s v="Food &amp; Beverages"/>
  </r>
  <r>
    <x v="3"/>
    <x v="2"/>
    <s v="Dec-16"/>
    <x v="23"/>
    <n v="126.3"/>
    <n v="121.4"/>
    <n v="123.9"/>
    <s v="Other goods &amp; services"/>
  </r>
  <r>
    <x v="3"/>
    <x v="2"/>
    <s v="Dec-16"/>
    <x v="18"/>
    <n v="129.1"/>
    <n v="123.1"/>
    <n v="126.6"/>
    <s v="Food &amp; Beverages"/>
  </r>
  <r>
    <x v="3"/>
    <x v="2"/>
    <s v="Dec-16"/>
    <x v="7"/>
    <n v="121.6"/>
    <n v="113.5"/>
    <n v="118.6"/>
    <s v="Food &amp; Beverages"/>
  </r>
  <r>
    <x v="3"/>
    <x v="2"/>
    <s v="Dec-16"/>
    <x v="22"/>
    <n v="142.4"/>
    <n v="145"/>
    <n v="143.1"/>
    <s v="Other goods &amp; services"/>
  </r>
  <r>
    <x v="3"/>
    <x v="2"/>
    <s v="Dec-16"/>
    <x v="24"/>
    <n v="121.9"/>
    <n v="119.9"/>
    <n v="121.1"/>
    <s v="Other goods &amp; services"/>
  </r>
  <r>
    <x v="3"/>
    <x v="2"/>
    <s v="Dec-16"/>
    <x v="20"/>
    <n v="143.6"/>
    <n v="140.9"/>
    <n v="142.30000000000001"/>
    <s v="Food &amp; Beverages"/>
  </r>
  <r>
    <x v="3"/>
    <x v="2"/>
    <s v="Dec-16"/>
    <x v="12"/>
    <n v="167.9"/>
    <n v="170.3"/>
    <n v="168.7"/>
    <s v="Food &amp; Beverages"/>
  </r>
  <r>
    <x v="3"/>
    <x v="2"/>
    <s v="Dec-16"/>
    <x v="26"/>
    <n v="127.3"/>
    <n v="121.8"/>
    <n v="124.2"/>
    <s v="Recreation"/>
  </r>
  <r>
    <x v="3"/>
    <x v="2"/>
    <s v="Dec-16"/>
    <x v="16"/>
    <n v="137.5"/>
    <n v="145.5"/>
    <n v="140.19999999999999"/>
    <s v="Food &amp; Beverages"/>
  </r>
  <r>
    <x v="3"/>
    <x v="2"/>
    <s v="Dec-16"/>
    <x v="14"/>
    <n v="113.8"/>
    <n v="115.5"/>
    <n v="114.4"/>
    <s v="Food &amp; Beverages"/>
  </r>
  <r>
    <x v="3"/>
    <x v="2"/>
    <s v="Dec-16"/>
    <x v="25"/>
    <n v="118.6"/>
    <n v="113.7"/>
    <n v="116"/>
    <s v="Transport"/>
  </r>
  <r>
    <x v="3"/>
    <x v="2"/>
    <s v="Dec-16"/>
    <x v="11"/>
    <n v="127.5"/>
    <n v="121.1"/>
    <n v="125.3"/>
    <s v="Food &amp; Beverages"/>
  </r>
  <r>
    <x v="3"/>
    <x v="3"/>
    <s v="Feb-16"/>
    <x v="0"/>
    <n v="127.1"/>
    <n v="124.8"/>
    <n v="126.4"/>
    <s v="Food &amp; Beverages"/>
  </r>
  <r>
    <x v="3"/>
    <x v="3"/>
    <s v="Feb-16"/>
    <x v="1"/>
    <n v="133.9"/>
    <n v="126.2"/>
    <n v="130.9"/>
    <s v="Apparel"/>
  </r>
  <r>
    <x v="3"/>
    <x v="3"/>
    <s v="Feb-16"/>
    <x v="3"/>
    <n v="133.4"/>
    <n v="125.3"/>
    <n v="130.19999999999999"/>
    <s v="Apparel"/>
  </r>
  <r>
    <x v="3"/>
    <x v="3"/>
    <s v="Feb-16"/>
    <x v="5"/>
    <n v="127.1"/>
    <n v="126.3"/>
    <n v="126.6"/>
    <s v="Education"/>
  </r>
  <r>
    <x v="3"/>
    <x v="3"/>
    <s v="Feb-16"/>
    <x v="4"/>
    <n v="127.7"/>
    <n v="130.30000000000001"/>
    <n v="128.69999999999999"/>
    <s v="Food &amp; Beverages"/>
  </r>
  <r>
    <x v="3"/>
    <x v="3"/>
    <s v="Feb-16"/>
    <x v="8"/>
    <n v="130.30000000000001"/>
    <n v="129.1"/>
    <n v="129.9"/>
    <s v="Food &amp; Beverages"/>
  </r>
  <r>
    <x v="3"/>
    <x v="3"/>
    <s v="Feb-16"/>
    <x v="10"/>
    <n v="129.80000000000001"/>
    <n v="120.1"/>
    <n v="125.8"/>
    <s v="Apparel"/>
  </r>
  <r>
    <x v="3"/>
    <x v="3"/>
    <s v="Feb-16"/>
    <x v="9"/>
    <n v="130.4"/>
    <n v="118.6"/>
    <n v="124.9"/>
    <s v="Food &amp; Beverages"/>
  </r>
  <r>
    <x v="3"/>
    <x v="3"/>
    <s v="Feb-16"/>
    <x v="13"/>
    <n v="127.5"/>
    <n v="116"/>
    <n v="123.1"/>
    <s v="Energy"/>
  </r>
  <r>
    <x v="3"/>
    <x v="3"/>
    <s v="Feb-16"/>
    <x v="15"/>
    <n v="127.9"/>
    <n v="123.8"/>
    <n v="126"/>
    <s v="General Index"/>
  </r>
  <r>
    <x v="3"/>
    <x v="3"/>
    <s v="Feb-16"/>
    <x v="17"/>
    <n v="124.3"/>
    <n v="119.5"/>
    <n v="122.5"/>
    <s v="Health"/>
  </r>
  <r>
    <x v="3"/>
    <x v="3"/>
    <s v="Feb-16"/>
    <x v="19"/>
    <n v="127.1"/>
    <n v="121.8"/>
    <n v="124.6"/>
    <s v="Housing"/>
  </r>
  <r>
    <x v="3"/>
    <x v="3"/>
    <s v="Feb-16"/>
    <x v="21"/>
    <n v="0"/>
    <n v="124.4"/>
    <n v="124.4"/>
    <s v="Housing"/>
  </r>
  <r>
    <x v="3"/>
    <x v="3"/>
    <s v="Feb-16"/>
    <x v="2"/>
    <n v="133.69999999999999"/>
    <n v="135.1"/>
    <n v="134.19999999999999"/>
    <s v="Food &amp; Beverages"/>
  </r>
  <r>
    <x v="3"/>
    <x v="3"/>
    <s v="Feb-16"/>
    <x v="6"/>
    <n v="130.69999999999999"/>
    <n v="129.6"/>
    <n v="130.30000000000001"/>
    <s v="Food &amp; Beverages"/>
  </r>
  <r>
    <x v="3"/>
    <x v="3"/>
    <s v="Feb-16"/>
    <x v="23"/>
    <n v="120.9"/>
    <n v="117.2"/>
    <n v="119.1"/>
    <s v="Other goods &amp; services"/>
  </r>
  <r>
    <x v="3"/>
    <x v="3"/>
    <s v="Feb-16"/>
    <x v="18"/>
    <n v="124.8"/>
    <n v="120.6"/>
    <n v="123"/>
    <s v="Food &amp; Beverages"/>
  </r>
  <r>
    <x v="3"/>
    <x v="3"/>
    <s v="Feb-16"/>
    <x v="7"/>
    <n v="118.5"/>
    <n v="108.4"/>
    <n v="114.8"/>
    <s v="Food &amp; Beverages"/>
  </r>
  <r>
    <x v="3"/>
    <x v="3"/>
    <s v="Feb-16"/>
    <x v="22"/>
    <n v="134.4"/>
    <n v="140"/>
    <n v="135.9"/>
    <s v="Other goods &amp; services"/>
  </r>
  <r>
    <x v="3"/>
    <x v="3"/>
    <s v="Feb-16"/>
    <x v="24"/>
    <n v="116.8"/>
    <n v="116.2"/>
    <n v="116.6"/>
    <s v="Other goods &amp; services"/>
  </r>
  <r>
    <x v="3"/>
    <x v="3"/>
    <s v="Feb-16"/>
    <x v="20"/>
    <n v="136.4"/>
    <n v="135.19999999999999"/>
    <n v="135.80000000000001"/>
    <s v="Food &amp; Beverages"/>
  </r>
  <r>
    <x v="3"/>
    <x v="3"/>
    <s v="Feb-16"/>
    <x v="12"/>
    <n v="162.80000000000001"/>
    <n v="176.4"/>
    <n v="167.4"/>
    <s v="Food &amp; Beverages"/>
  </r>
  <r>
    <x v="3"/>
    <x v="3"/>
    <s v="Feb-16"/>
    <x v="26"/>
    <n v="122.3"/>
    <n v="118.8"/>
    <n v="120.3"/>
    <s v="Recreation"/>
  </r>
  <r>
    <x v="3"/>
    <x v="3"/>
    <s v="Feb-16"/>
    <x v="16"/>
    <n v="130.6"/>
    <n v="139.69999999999999"/>
    <n v="133.6"/>
    <s v="Food &amp; Beverages"/>
  </r>
  <r>
    <x v="3"/>
    <x v="3"/>
    <s v="Feb-16"/>
    <x v="14"/>
    <n v="98.7"/>
    <n v="99.1"/>
    <n v="98.8"/>
    <s v="Food &amp; Beverages"/>
  </r>
  <r>
    <x v="3"/>
    <x v="3"/>
    <s v="Feb-16"/>
    <x v="25"/>
    <n v="113.9"/>
    <n v="109.1"/>
    <n v="111.4"/>
    <s v="Transport"/>
  </r>
  <r>
    <x v="3"/>
    <x v="3"/>
    <s v="Feb-16"/>
    <x v="11"/>
    <n v="130.9"/>
    <n v="129.19999999999999"/>
    <n v="130.30000000000001"/>
    <s v="Food &amp; Beverages"/>
  </r>
  <r>
    <x v="3"/>
    <x v="4"/>
    <s v="Jan-16"/>
    <x v="0"/>
    <n v="126.8"/>
    <n v="124.7"/>
    <n v="126.1"/>
    <s v="Food &amp; Beverages"/>
  </r>
  <r>
    <x v="3"/>
    <x v="4"/>
    <s v="Jan-16"/>
    <x v="1"/>
    <n v="133.19999999999999"/>
    <n v="125.8"/>
    <n v="130.30000000000001"/>
    <s v="Apparel"/>
  </r>
  <r>
    <x v="3"/>
    <x v="4"/>
    <s v="Jan-16"/>
    <x v="3"/>
    <n v="132.6"/>
    <n v="124.9"/>
    <n v="129.5"/>
    <s v="Apparel"/>
  </r>
  <r>
    <x v="3"/>
    <x v="4"/>
    <s v="Jan-16"/>
    <x v="5"/>
    <n v="126.2"/>
    <n v="126.4"/>
    <n v="126.3"/>
    <s v="Education"/>
  </r>
  <r>
    <x v="3"/>
    <x v="4"/>
    <s v="Jan-16"/>
    <x v="4"/>
    <n v="126.5"/>
    <n v="132"/>
    <n v="128.6"/>
    <s v="Food &amp; Beverages"/>
  </r>
  <r>
    <x v="3"/>
    <x v="4"/>
    <s v="Jan-16"/>
    <x v="8"/>
    <n v="131.4"/>
    <n v="131.19999999999999"/>
    <n v="131.30000000000001"/>
    <s v="Food &amp; Beverages"/>
  </r>
  <r>
    <x v="3"/>
    <x v="4"/>
    <s v="Jan-16"/>
    <x v="10"/>
    <n v="128.9"/>
    <n v="119.8"/>
    <n v="125.1"/>
    <s v="Apparel"/>
  </r>
  <r>
    <x v="3"/>
    <x v="4"/>
    <s v="Jan-16"/>
    <x v="9"/>
    <n v="131.6"/>
    <n v="119"/>
    <n v="125.7"/>
    <s v="Food &amp; Beverages"/>
  </r>
  <r>
    <x v="3"/>
    <x v="4"/>
    <s v="Jan-16"/>
    <x v="13"/>
    <n v="126.2"/>
    <n v="116.9"/>
    <n v="122.7"/>
    <s v="Energy"/>
  </r>
  <r>
    <x v="3"/>
    <x v="4"/>
    <s v="Jan-16"/>
    <x v="15"/>
    <n v="128.1"/>
    <n v="124.2"/>
    <n v="126.3"/>
    <s v="General Index"/>
  </r>
  <r>
    <x v="3"/>
    <x v="4"/>
    <s v="Jan-16"/>
    <x v="17"/>
    <n v="123.7"/>
    <n v="119.1"/>
    <n v="122"/>
    <s v="Health"/>
  </r>
  <r>
    <x v="3"/>
    <x v="4"/>
    <s v="Jan-16"/>
    <x v="19"/>
    <n v="126.6"/>
    <n v="121.6"/>
    <n v="124.2"/>
    <s v="Housing"/>
  </r>
  <r>
    <x v="3"/>
    <x v="4"/>
    <s v="Jan-16"/>
    <x v="21"/>
    <n v="0"/>
    <n v="123.4"/>
    <n v="123.4"/>
    <s v="Housing"/>
  </r>
  <r>
    <x v="3"/>
    <x v="4"/>
    <s v="Jan-16"/>
    <x v="2"/>
    <n v="133.19999999999999"/>
    <n v="135.9"/>
    <n v="134.1"/>
    <s v="Food &amp; Beverages"/>
  </r>
  <r>
    <x v="3"/>
    <x v="4"/>
    <s v="Jan-16"/>
    <x v="6"/>
    <n v="130.30000000000001"/>
    <n v="129.19999999999999"/>
    <n v="129.9"/>
    <s v="Food &amp; Beverages"/>
  </r>
  <r>
    <x v="3"/>
    <x v="4"/>
    <s v="Jan-16"/>
    <x v="23"/>
    <n v="120.1"/>
    <n v="116.8"/>
    <n v="118.5"/>
    <s v="Other goods &amp; services"/>
  </r>
  <r>
    <x v="3"/>
    <x v="4"/>
    <s v="Jan-16"/>
    <x v="18"/>
    <n v="124.3"/>
    <n v="120.5"/>
    <n v="122.7"/>
    <s v="Food &amp; Beverages"/>
  </r>
  <r>
    <x v="3"/>
    <x v="4"/>
    <s v="Jan-16"/>
    <x v="7"/>
    <n v="118.9"/>
    <n v="109.7"/>
    <n v="115.5"/>
    <s v="Food &amp; Beverages"/>
  </r>
  <r>
    <x v="3"/>
    <x v="4"/>
    <s v="Jan-16"/>
    <x v="22"/>
    <n v="133.6"/>
    <n v="139.5"/>
    <n v="135.19999999999999"/>
    <s v="Other goods &amp; services"/>
  </r>
  <r>
    <x v="3"/>
    <x v="4"/>
    <s v="Jan-16"/>
    <x v="24"/>
    <n v="114.9"/>
    <n v="114"/>
    <n v="114.5"/>
    <s v="Other goods &amp; services"/>
  </r>
  <r>
    <x v="3"/>
    <x v="4"/>
    <s v="Jan-16"/>
    <x v="20"/>
    <n v="135.9"/>
    <n v="134.69999999999999"/>
    <n v="135.30000000000001"/>
    <s v="Food &amp; Beverages"/>
  </r>
  <r>
    <x v="3"/>
    <x v="4"/>
    <s v="Jan-16"/>
    <x v="12"/>
    <n v="163.80000000000001"/>
    <n v="184.2"/>
    <n v="170.7"/>
    <s v="Food &amp; Beverages"/>
  </r>
  <r>
    <x v="3"/>
    <x v="4"/>
    <s v="Jan-16"/>
    <x v="26"/>
    <n v="121.4"/>
    <n v="118.5"/>
    <n v="119.8"/>
    <s v="Recreation"/>
  </r>
  <r>
    <x v="3"/>
    <x v="4"/>
    <s v="Jan-16"/>
    <x v="16"/>
    <n v="129.6"/>
    <n v="139.5"/>
    <n v="132.9"/>
    <s v="Food &amp; Beverages"/>
  </r>
  <r>
    <x v="3"/>
    <x v="4"/>
    <s v="Jan-16"/>
    <x v="14"/>
    <n v="97.7"/>
    <n v="96.7"/>
    <n v="97.4"/>
    <s v="Food &amp; Beverages"/>
  </r>
  <r>
    <x v="3"/>
    <x v="4"/>
    <s v="Jan-16"/>
    <x v="25"/>
    <n v="113.6"/>
    <n v="108.9"/>
    <n v="111.1"/>
    <s v="Transport"/>
  </r>
  <r>
    <x v="3"/>
    <x v="4"/>
    <s v="Jan-16"/>
    <x v="11"/>
    <n v="140.1"/>
    <n v="144.1"/>
    <n v="141.5"/>
    <s v="Food &amp; Beverages"/>
  </r>
  <r>
    <x v="3"/>
    <x v="5"/>
    <s v="Jul-16"/>
    <x v="0"/>
    <n v="129.30000000000001"/>
    <n v="126.8"/>
    <n v="128.5"/>
    <s v="Food &amp; Beverages"/>
  </r>
  <r>
    <x v="3"/>
    <x v="5"/>
    <s v="Jul-16"/>
    <x v="1"/>
    <n v="137.19999999999999"/>
    <n v="127.9"/>
    <n v="133.5"/>
    <s v="Apparel"/>
  </r>
  <r>
    <x v="3"/>
    <x v="5"/>
    <s v="Jul-16"/>
    <x v="3"/>
    <n v="136.5"/>
    <n v="126.9"/>
    <n v="132.69999999999999"/>
    <s v="Apparel"/>
  </r>
  <r>
    <x v="3"/>
    <x v="5"/>
    <s v="Jul-16"/>
    <x v="5"/>
    <n v="130.80000000000001"/>
    <n v="130.80000000000001"/>
    <n v="130.80000000000001"/>
    <s v="Education"/>
  </r>
  <r>
    <x v="3"/>
    <x v="5"/>
    <s v="Jul-16"/>
    <x v="4"/>
    <n v="129.6"/>
    <n v="136.6"/>
    <n v="132.30000000000001"/>
    <s v="Food &amp; Beverages"/>
  </r>
  <r>
    <x v="3"/>
    <x v="5"/>
    <s v="Jul-16"/>
    <x v="8"/>
    <n v="137.6"/>
    <n v="139.80000000000001"/>
    <n v="138.4"/>
    <s v="Food &amp; Beverages"/>
  </r>
  <r>
    <x v="3"/>
    <x v="5"/>
    <s v="Jul-16"/>
    <x v="10"/>
    <n v="132.19999999999999"/>
    <n v="121.1"/>
    <n v="127.6"/>
    <s v="Apparel"/>
  </r>
  <r>
    <x v="3"/>
    <x v="5"/>
    <s v="Jul-16"/>
    <x v="9"/>
    <n v="138.5"/>
    <n v="137"/>
    <n v="137.80000000000001"/>
    <s v="Food &amp; Beverages"/>
  </r>
  <r>
    <x v="3"/>
    <x v="5"/>
    <s v="Jul-16"/>
    <x v="13"/>
    <n v="128.19999999999999"/>
    <n v="115.5"/>
    <n v="123.4"/>
    <s v="Energy"/>
  </r>
  <r>
    <x v="3"/>
    <x v="5"/>
    <s v="Jul-16"/>
    <x v="15"/>
    <n v="133"/>
    <n v="129"/>
    <n v="131.1"/>
    <s v="General Index"/>
  </r>
  <r>
    <x v="3"/>
    <x v="5"/>
    <s v="Jul-16"/>
    <x v="17"/>
    <n v="126.7"/>
    <n v="120.9"/>
    <n v="124.5"/>
    <s v="Health"/>
  </r>
  <r>
    <x v="3"/>
    <x v="5"/>
    <s v="Jul-16"/>
    <x v="19"/>
    <n v="130"/>
    <n v="123.5"/>
    <n v="126.9"/>
    <s v="Housing"/>
  </r>
  <r>
    <x v="3"/>
    <x v="5"/>
    <s v="Jul-16"/>
    <x v="21"/>
    <n v="0"/>
    <n v="126.4"/>
    <n v="126.4"/>
    <s v="Housing"/>
  </r>
  <r>
    <x v="3"/>
    <x v="5"/>
    <s v="Jul-16"/>
    <x v="2"/>
    <n v="139.5"/>
    <n v="144.19999999999999"/>
    <n v="141.19999999999999"/>
    <s v="Food &amp; Beverages"/>
  </r>
  <r>
    <x v="3"/>
    <x v="5"/>
    <s v="Jul-16"/>
    <x v="6"/>
    <n v="134.5"/>
    <n v="131.80000000000001"/>
    <n v="133.5"/>
    <s v="Food &amp; Beverages"/>
  </r>
  <r>
    <x v="3"/>
    <x v="5"/>
    <s v="Jul-16"/>
    <x v="23"/>
    <n v="123.8"/>
    <n v="119.9"/>
    <n v="121.9"/>
    <s v="Other goods &amp; services"/>
  </r>
  <r>
    <x v="3"/>
    <x v="5"/>
    <s v="Jul-16"/>
    <x v="18"/>
    <n v="127.3"/>
    <n v="121.7"/>
    <n v="125"/>
    <s v="Food &amp; Beverages"/>
  </r>
  <r>
    <x v="3"/>
    <x v="5"/>
    <s v="Jul-16"/>
    <x v="7"/>
    <n v="119.5"/>
    <n v="111"/>
    <n v="116.4"/>
    <s v="Food &amp; Beverages"/>
  </r>
  <r>
    <x v="3"/>
    <x v="5"/>
    <s v="Jul-16"/>
    <x v="22"/>
    <n v="138"/>
    <n v="142.9"/>
    <n v="139.30000000000001"/>
    <s v="Other goods &amp; services"/>
  </r>
  <r>
    <x v="3"/>
    <x v="5"/>
    <s v="Jul-16"/>
    <x v="24"/>
    <n v="120.9"/>
    <n v="120"/>
    <n v="120.5"/>
    <s v="Other goods &amp; services"/>
  </r>
  <r>
    <x v="3"/>
    <x v="5"/>
    <s v="Jul-16"/>
    <x v="20"/>
    <n v="139.9"/>
    <n v="137.5"/>
    <n v="138.80000000000001"/>
    <s v="Food &amp; Beverages"/>
  </r>
  <r>
    <x v="3"/>
    <x v="5"/>
    <s v="Jul-16"/>
    <x v="12"/>
    <n v="171.8"/>
    <n v="188.4"/>
    <n v="177.4"/>
    <s v="Food &amp; Beverages"/>
  </r>
  <r>
    <x v="3"/>
    <x v="5"/>
    <s v="Jul-16"/>
    <x v="26"/>
    <n v="125.2"/>
    <n v="120.3"/>
    <n v="122.4"/>
    <s v="Recreation"/>
  </r>
  <r>
    <x v="3"/>
    <x v="5"/>
    <s v="Jul-16"/>
    <x v="16"/>
    <n v="134.30000000000001"/>
    <n v="143.9"/>
    <n v="137.5"/>
    <s v="Food &amp; Beverages"/>
  </r>
  <r>
    <x v="3"/>
    <x v="5"/>
    <s v="Jul-16"/>
    <x v="14"/>
    <n v="110.3"/>
    <n v="113.3"/>
    <n v="111.3"/>
    <s v="Food &amp; Beverages"/>
  </r>
  <r>
    <x v="3"/>
    <x v="5"/>
    <s v="Jul-16"/>
    <x v="25"/>
    <n v="116.4"/>
    <n v="111.7"/>
    <n v="113.9"/>
    <s v="Transport"/>
  </r>
  <r>
    <x v="3"/>
    <x v="5"/>
    <s v="Jul-16"/>
    <x v="11"/>
    <n v="158.19999999999999"/>
    <n v="179.5"/>
    <n v="165.4"/>
    <s v="Food &amp; Beverages"/>
  </r>
  <r>
    <x v="3"/>
    <x v="6"/>
    <s v="Jun-16"/>
    <x v="0"/>
    <n v="128.6"/>
    <n v="125.9"/>
    <n v="127.7"/>
    <s v="Food &amp; Beverages"/>
  </r>
  <r>
    <x v="3"/>
    <x v="6"/>
    <s v="Jun-16"/>
    <x v="1"/>
    <n v="136.30000000000001"/>
    <n v="127.6"/>
    <n v="132.9"/>
    <s v="Apparel"/>
  </r>
  <r>
    <x v="3"/>
    <x v="6"/>
    <s v="Jun-16"/>
    <x v="3"/>
    <n v="135.6"/>
    <n v="126.6"/>
    <n v="132"/>
    <s v="Apparel"/>
  </r>
  <r>
    <x v="3"/>
    <x v="6"/>
    <s v="Jun-16"/>
    <x v="5"/>
    <n v="130.19999999999999"/>
    <n v="129.30000000000001"/>
    <n v="129.69999999999999"/>
    <s v="Education"/>
  </r>
  <r>
    <x v="3"/>
    <x v="6"/>
    <s v="Jun-16"/>
    <x v="4"/>
    <n v="126.6"/>
    <n v="130.9"/>
    <n v="128.30000000000001"/>
    <s v="Food &amp; Beverages"/>
  </r>
  <r>
    <x v="3"/>
    <x v="6"/>
    <s v="Jun-16"/>
    <x v="8"/>
    <n v="136"/>
    <n v="138.19999999999999"/>
    <n v="136.80000000000001"/>
    <s v="Food &amp; Beverages"/>
  </r>
  <r>
    <x v="3"/>
    <x v="6"/>
    <s v="Jun-16"/>
    <x v="10"/>
    <n v="131.6"/>
    <n v="121.1"/>
    <n v="127.2"/>
    <s v="Apparel"/>
  </r>
  <r>
    <x v="3"/>
    <x v="6"/>
    <s v="Jun-16"/>
    <x v="9"/>
    <n v="137.4"/>
    <n v="135.5"/>
    <n v="136.5"/>
    <s v="Food &amp; Beverages"/>
  </r>
  <r>
    <x v="3"/>
    <x v="6"/>
    <s v="Jun-16"/>
    <x v="13"/>
    <n v="128"/>
    <n v="115.5"/>
    <n v="123.3"/>
    <s v="Energy"/>
  </r>
  <r>
    <x v="3"/>
    <x v="6"/>
    <s v="Jun-16"/>
    <x v="15"/>
    <n v="131.9"/>
    <n v="128.1"/>
    <n v="130.1"/>
    <s v="General Index"/>
  </r>
  <r>
    <x v="3"/>
    <x v="6"/>
    <s v="Jun-16"/>
    <x v="17"/>
    <n v="126.2"/>
    <n v="120.6"/>
    <n v="124.1"/>
    <s v="Health"/>
  </r>
  <r>
    <x v="3"/>
    <x v="6"/>
    <s v="Jun-16"/>
    <x v="19"/>
    <n v="129.30000000000001"/>
    <n v="123.2"/>
    <n v="126.4"/>
    <s v="Housing"/>
  </r>
  <r>
    <x v="3"/>
    <x v="6"/>
    <s v="Jun-16"/>
    <x v="21"/>
    <n v="0"/>
    <n v="125.5"/>
    <n v="125.5"/>
    <s v="Housing"/>
  </r>
  <r>
    <x v="3"/>
    <x v="6"/>
    <s v="Jun-16"/>
    <x v="2"/>
    <n v="138.6"/>
    <n v="143.9"/>
    <n v="140.5"/>
    <s v="Food &amp; Beverages"/>
  </r>
  <r>
    <x v="3"/>
    <x v="6"/>
    <s v="Jun-16"/>
    <x v="6"/>
    <n v="133.6"/>
    <n v="131"/>
    <n v="132.6"/>
    <s v="Food &amp; Beverages"/>
  </r>
  <r>
    <x v="3"/>
    <x v="6"/>
    <s v="Jun-16"/>
    <x v="23"/>
    <n v="123.3"/>
    <n v="119.6"/>
    <n v="121.5"/>
    <s v="Other goods &amp; services"/>
  </r>
  <r>
    <x v="3"/>
    <x v="6"/>
    <s v="Jun-16"/>
    <x v="18"/>
    <n v="126.4"/>
    <n v="121.6"/>
    <n v="124.4"/>
    <s v="Food &amp; Beverages"/>
  </r>
  <r>
    <x v="3"/>
    <x v="6"/>
    <s v="Jun-16"/>
    <x v="7"/>
    <n v="118.6"/>
    <n v="110.2"/>
    <n v="115.5"/>
    <s v="Food &amp; Beverages"/>
  </r>
  <r>
    <x v="3"/>
    <x v="6"/>
    <s v="Jun-16"/>
    <x v="22"/>
    <n v="137.19999999999999"/>
    <n v="142.69999999999999"/>
    <n v="138.69999999999999"/>
    <s v="Other goods &amp; services"/>
  </r>
  <r>
    <x v="3"/>
    <x v="6"/>
    <s v="Jun-16"/>
    <x v="24"/>
    <n v="119.9"/>
    <n v="118.8"/>
    <n v="119.4"/>
    <s v="Other goods &amp; services"/>
  </r>
  <r>
    <x v="3"/>
    <x v="6"/>
    <s v="Jun-16"/>
    <x v="20"/>
    <n v="139.19999999999999"/>
    <n v="136.9"/>
    <n v="138.1"/>
    <s v="Food &amp; Beverages"/>
  </r>
  <r>
    <x v="3"/>
    <x v="6"/>
    <s v="Jun-16"/>
    <x v="12"/>
    <n v="169.2"/>
    <n v="184.4"/>
    <n v="174.3"/>
    <s v="Food &amp; Beverages"/>
  </r>
  <r>
    <x v="3"/>
    <x v="6"/>
    <s v="Jun-16"/>
    <x v="26"/>
    <n v="124.1"/>
    <n v="119.9"/>
    <n v="121.7"/>
    <s v="Recreation"/>
  </r>
  <r>
    <x v="3"/>
    <x v="6"/>
    <s v="Jun-16"/>
    <x v="16"/>
    <n v="133.1"/>
    <n v="142.80000000000001"/>
    <n v="136.30000000000001"/>
    <s v="Food &amp; Beverages"/>
  </r>
  <r>
    <x v="3"/>
    <x v="6"/>
    <s v="Jun-16"/>
    <x v="14"/>
    <n v="108.8"/>
    <n v="112"/>
    <n v="109.9"/>
    <s v="Food &amp; Beverages"/>
  </r>
  <r>
    <x v="3"/>
    <x v="6"/>
    <s v="Jun-16"/>
    <x v="25"/>
    <n v="116.3"/>
    <n v="112.3"/>
    <n v="114.2"/>
    <s v="Transport"/>
  </r>
  <r>
    <x v="3"/>
    <x v="6"/>
    <s v="Jun-16"/>
    <x v="11"/>
    <n v="152.5"/>
    <n v="173.7"/>
    <n v="159.69999999999999"/>
    <s v="Food &amp; Beverages"/>
  </r>
  <r>
    <x v="3"/>
    <x v="7"/>
    <s v="Mar-16"/>
    <x v="0"/>
    <n v="127.3"/>
    <n v="124.8"/>
    <n v="126.5"/>
    <s v="Food &amp; Beverages"/>
  </r>
  <r>
    <x v="3"/>
    <x v="7"/>
    <s v="Mar-16"/>
    <x v="1"/>
    <n v="134.4"/>
    <n v="126.4"/>
    <n v="131.30000000000001"/>
    <s v="Apparel"/>
  </r>
  <r>
    <x v="3"/>
    <x v="7"/>
    <s v="Mar-16"/>
    <x v="3"/>
    <n v="133.80000000000001"/>
    <n v="125.5"/>
    <n v="130.5"/>
    <s v="Apparel"/>
  </r>
  <r>
    <x v="3"/>
    <x v="7"/>
    <s v="Mar-16"/>
    <x v="5"/>
    <n v="127.5"/>
    <n v="126.4"/>
    <n v="126.9"/>
    <s v="Education"/>
  </r>
  <r>
    <x v="3"/>
    <x v="7"/>
    <s v="Mar-16"/>
    <x v="4"/>
    <n v="125.1"/>
    <n v="123.7"/>
    <n v="124.6"/>
    <s v="Food &amp; Beverages"/>
  </r>
  <r>
    <x v="3"/>
    <x v="7"/>
    <s v="Mar-16"/>
    <x v="8"/>
    <n v="130.4"/>
    <n v="128.9"/>
    <n v="129.80000000000001"/>
    <s v="Food &amp; Beverages"/>
  </r>
  <r>
    <x v="3"/>
    <x v="7"/>
    <s v="Mar-16"/>
    <x v="10"/>
    <n v="130.19999999999999"/>
    <n v="120.3"/>
    <n v="126.1"/>
    <s v="Apparel"/>
  </r>
  <r>
    <x v="3"/>
    <x v="7"/>
    <s v="Mar-16"/>
    <x v="9"/>
    <n v="131.69999999999999"/>
    <n v="119.9"/>
    <n v="126.2"/>
    <s v="Food &amp; Beverages"/>
  </r>
  <r>
    <x v="3"/>
    <x v="7"/>
    <s v="Mar-16"/>
    <x v="13"/>
    <n v="127"/>
    <n v="114.8"/>
    <n v="122.4"/>
    <s v="Energy"/>
  </r>
  <r>
    <x v="3"/>
    <x v="7"/>
    <s v="Mar-16"/>
    <x v="15"/>
    <n v="128"/>
    <n v="123.8"/>
    <n v="126"/>
    <s v="General Index"/>
  </r>
  <r>
    <x v="3"/>
    <x v="7"/>
    <s v="Mar-16"/>
    <x v="17"/>
    <n v="124.8"/>
    <n v="119.7"/>
    <n v="122.9"/>
    <s v="Health"/>
  </r>
  <r>
    <x v="3"/>
    <x v="7"/>
    <s v="Mar-16"/>
    <x v="19"/>
    <n v="127.7"/>
    <n v="122.3"/>
    <n v="125.1"/>
    <s v="Housing"/>
  </r>
  <r>
    <x v="3"/>
    <x v="7"/>
    <s v="Mar-16"/>
    <x v="21"/>
    <n v="0"/>
    <n v="124.9"/>
    <n v="124.9"/>
    <s v="Housing"/>
  </r>
  <r>
    <x v="3"/>
    <x v="7"/>
    <s v="Mar-16"/>
    <x v="2"/>
    <n v="134.4"/>
    <n v="136.30000000000001"/>
    <n v="135.1"/>
    <s v="Food &amp; Beverages"/>
  </r>
  <r>
    <x v="3"/>
    <x v="7"/>
    <s v="Mar-16"/>
    <x v="6"/>
    <n v="130.5"/>
    <n v="129.69999999999999"/>
    <n v="130.19999999999999"/>
    <s v="Food &amp; Beverages"/>
  </r>
  <r>
    <x v="3"/>
    <x v="7"/>
    <s v="Mar-16"/>
    <x v="23"/>
    <n v="121.1"/>
    <n v="117.3"/>
    <n v="119.3"/>
    <s v="Other goods &amp; services"/>
  </r>
  <r>
    <x v="3"/>
    <x v="7"/>
    <s v="Mar-16"/>
    <x v="18"/>
    <n v="124.9"/>
    <n v="120.7"/>
    <n v="123.1"/>
    <s v="Food &amp; Beverages"/>
  </r>
  <r>
    <x v="3"/>
    <x v="7"/>
    <s v="Mar-16"/>
    <x v="7"/>
    <n v="118.3"/>
    <n v="107.9"/>
    <n v="114.5"/>
    <s v="Food &amp; Beverages"/>
  </r>
  <r>
    <x v="3"/>
    <x v="7"/>
    <s v="Mar-16"/>
    <x v="22"/>
    <n v="135"/>
    <n v="140.6"/>
    <n v="136.5"/>
    <s v="Other goods &amp; services"/>
  </r>
  <r>
    <x v="3"/>
    <x v="7"/>
    <s v="Mar-16"/>
    <x v="24"/>
    <n v="117.4"/>
    <n v="117.1"/>
    <n v="117.3"/>
    <s v="Other goods &amp; services"/>
  </r>
  <r>
    <x v="3"/>
    <x v="7"/>
    <s v="Mar-16"/>
    <x v="20"/>
    <n v="137"/>
    <n v="135.4"/>
    <n v="136.30000000000001"/>
    <s v="Food &amp; Beverages"/>
  </r>
  <r>
    <x v="3"/>
    <x v="7"/>
    <s v="Mar-16"/>
    <x v="12"/>
    <n v="161.19999999999999"/>
    <n v="170.3"/>
    <n v="164.3"/>
    <s v="Food &amp; Beverages"/>
  </r>
  <r>
    <x v="3"/>
    <x v="7"/>
    <s v="Mar-16"/>
    <x v="26"/>
    <n v="122.5"/>
    <n v="119.1"/>
    <n v="120.6"/>
    <s v="Recreation"/>
  </r>
  <r>
    <x v="3"/>
    <x v="7"/>
    <s v="Mar-16"/>
    <x v="16"/>
    <n v="130.80000000000001"/>
    <n v="140.1"/>
    <n v="133.9"/>
    <s v="Food &amp; Beverages"/>
  </r>
  <r>
    <x v="3"/>
    <x v="7"/>
    <s v="Mar-16"/>
    <x v="14"/>
    <n v="100.4"/>
    <n v="101.8"/>
    <n v="100.9"/>
    <s v="Food &amp; Beverages"/>
  </r>
  <r>
    <x v="3"/>
    <x v="7"/>
    <s v="Mar-16"/>
    <x v="25"/>
    <n v="113.6"/>
    <n v="108.5"/>
    <n v="110.9"/>
    <s v="Transport"/>
  </r>
  <r>
    <x v="3"/>
    <x v="7"/>
    <s v="Mar-16"/>
    <x v="11"/>
    <n v="130.69999999999999"/>
    <n v="128.1"/>
    <n v="129.80000000000001"/>
    <s v="Food &amp; Beverages"/>
  </r>
  <r>
    <x v="3"/>
    <x v="8"/>
    <s v="May-16"/>
    <x v="0"/>
    <n v="127.6"/>
    <n v="125"/>
    <n v="126.8"/>
    <s v="Food &amp; Beverages"/>
  </r>
  <r>
    <x v="3"/>
    <x v="8"/>
    <s v="May-16"/>
    <x v="1"/>
    <n v="135.4"/>
    <n v="127.2"/>
    <n v="132.19999999999999"/>
    <s v="Apparel"/>
  </r>
  <r>
    <x v="3"/>
    <x v="8"/>
    <s v="May-16"/>
    <x v="3"/>
    <n v="134.80000000000001"/>
    <n v="126.2"/>
    <n v="131.4"/>
    <s v="Apparel"/>
  </r>
  <r>
    <x v="3"/>
    <x v="8"/>
    <s v="May-16"/>
    <x v="5"/>
    <n v="129.1"/>
    <n v="128"/>
    <n v="128.5"/>
    <s v="Education"/>
  </r>
  <r>
    <x v="3"/>
    <x v="8"/>
    <s v="May-16"/>
    <x v="4"/>
    <n v="124.4"/>
    <n v="127"/>
    <n v="125.4"/>
    <s v="Food &amp; Beverages"/>
  </r>
  <r>
    <x v="3"/>
    <x v="8"/>
    <s v="May-16"/>
    <x v="8"/>
    <n v="133.6"/>
    <n v="134.6"/>
    <n v="134"/>
    <s v="Food &amp; Beverages"/>
  </r>
  <r>
    <x v="3"/>
    <x v="8"/>
    <s v="May-16"/>
    <x v="10"/>
    <n v="131.1"/>
    <n v="120.7"/>
    <n v="126.8"/>
    <s v="Apparel"/>
  </r>
  <r>
    <x v="3"/>
    <x v="8"/>
    <s v="May-16"/>
    <x v="9"/>
    <n v="138.1"/>
    <n v="133.5"/>
    <n v="136"/>
    <s v="Food &amp; Beverages"/>
  </r>
  <r>
    <x v="3"/>
    <x v="8"/>
    <s v="May-16"/>
    <x v="13"/>
    <n v="127.4"/>
    <n v="115"/>
    <n v="122.7"/>
    <s v="Energy"/>
  </r>
  <r>
    <x v="3"/>
    <x v="8"/>
    <s v="May-16"/>
    <x v="15"/>
    <n v="130.30000000000001"/>
    <n v="126.6"/>
    <n v="128.6"/>
    <s v="General Index"/>
  </r>
  <r>
    <x v="3"/>
    <x v="8"/>
    <s v="May-16"/>
    <x v="17"/>
    <n v="125.8"/>
    <n v="120.3"/>
    <n v="123.7"/>
    <s v="Health"/>
  </r>
  <r>
    <x v="3"/>
    <x v="8"/>
    <s v="May-16"/>
    <x v="19"/>
    <n v="128.5"/>
    <n v="123.2"/>
    <n v="126"/>
    <s v="Housing"/>
  </r>
  <r>
    <x v="3"/>
    <x v="8"/>
    <s v="May-16"/>
    <x v="21"/>
    <n v="0"/>
    <n v="126"/>
    <n v="126"/>
    <s v="Housing"/>
  </r>
  <r>
    <x v="3"/>
    <x v="8"/>
    <s v="May-16"/>
    <x v="2"/>
    <n v="137.5"/>
    <n v="142.1"/>
    <n v="139.1"/>
    <s v="Food &amp; Beverages"/>
  </r>
  <r>
    <x v="3"/>
    <x v="8"/>
    <s v="May-16"/>
    <x v="6"/>
    <n v="132.4"/>
    <n v="130.4"/>
    <n v="131.69999999999999"/>
    <s v="Food &amp; Beverages"/>
  </r>
  <r>
    <x v="3"/>
    <x v="8"/>
    <s v="May-16"/>
    <x v="23"/>
    <n v="122.5"/>
    <n v="118.7"/>
    <n v="120.7"/>
    <s v="Other goods &amp; services"/>
  </r>
  <r>
    <x v="3"/>
    <x v="8"/>
    <s v="May-16"/>
    <x v="18"/>
    <n v="126.1"/>
    <n v="121.5"/>
    <n v="124.2"/>
    <s v="Food &amp; Beverages"/>
  </r>
  <r>
    <x v="3"/>
    <x v="8"/>
    <s v="May-16"/>
    <x v="7"/>
    <n v="118.2"/>
    <n v="109.6"/>
    <n v="115"/>
    <s v="Food &amp; Beverages"/>
  </r>
  <r>
    <x v="3"/>
    <x v="8"/>
    <s v="May-16"/>
    <x v="22"/>
    <n v="136"/>
    <n v="142.19999999999999"/>
    <n v="137.69999999999999"/>
    <s v="Other goods &amp; services"/>
  </r>
  <r>
    <x v="3"/>
    <x v="8"/>
    <s v="May-16"/>
    <x v="24"/>
    <n v="119.7"/>
    <n v="118.5"/>
    <n v="119.2"/>
    <s v="Other goods &amp; services"/>
  </r>
  <r>
    <x v="3"/>
    <x v="8"/>
    <s v="May-16"/>
    <x v="20"/>
    <n v="138.30000000000001"/>
    <n v="136.30000000000001"/>
    <n v="137.4"/>
    <s v="Food &amp; Beverages"/>
  </r>
  <r>
    <x v="3"/>
    <x v="8"/>
    <s v="May-16"/>
    <x v="12"/>
    <n v="166"/>
    <n v="182.8"/>
    <n v="171.7"/>
    <s v="Food &amp; Beverages"/>
  </r>
  <r>
    <x v="3"/>
    <x v="8"/>
    <s v="May-16"/>
    <x v="26"/>
    <n v="123.6"/>
    <n v="119.8"/>
    <n v="121.5"/>
    <s v="Recreation"/>
  </r>
  <r>
    <x v="3"/>
    <x v="8"/>
    <s v="May-16"/>
    <x v="16"/>
    <n v="132.19999999999999"/>
    <n v="141.5"/>
    <n v="135.30000000000001"/>
    <s v="Food &amp; Beverages"/>
  </r>
  <r>
    <x v="3"/>
    <x v="8"/>
    <s v="May-16"/>
    <x v="14"/>
    <n v="107.5"/>
    <n v="111.1"/>
    <n v="108.7"/>
    <s v="Food &amp; Beverages"/>
  </r>
  <r>
    <x v="3"/>
    <x v="8"/>
    <s v="May-16"/>
    <x v="25"/>
    <n v="115.1"/>
    <n v="110.7"/>
    <n v="112.8"/>
    <s v="Transport"/>
  </r>
  <r>
    <x v="3"/>
    <x v="8"/>
    <s v="May-16"/>
    <x v="11"/>
    <n v="141.80000000000001"/>
    <n v="151.4"/>
    <n v="145.1"/>
    <s v="Food &amp; Beverages"/>
  </r>
  <r>
    <x v="3"/>
    <x v="9"/>
    <s v="Nov-16"/>
    <x v="0"/>
    <n v="132"/>
    <n v="130.19999999999999"/>
    <n v="131.4"/>
    <s v="Food &amp; Beverages"/>
  </r>
  <r>
    <x v="3"/>
    <x v="9"/>
    <s v="Nov-16"/>
    <x v="1"/>
    <n v="139.9"/>
    <n v="129.6"/>
    <n v="135.80000000000001"/>
    <s v="Apparel"/>
  </r>
  <r>
    <x v="3"/>
    <x v="9"/>
    <s v="Nov-16"/>
    <x v="3"/>
    <n v="139.19999999999999"/>
    <n v="128.5"/>
    <n v="135"/>
    <s v="Apparel"/>
  </r>
  <r>
    <x v="3"/>
    <x v="9"/>
    <s v="Nov-16"/>
    <x v="5"/>
    <n v="133.69999999999999"/>
    <n v="132.1"/>
    <n v="132.80000000000001"/>
    <s v="Education"/>
  </r>
  <r>
    <x v="3"/>
    <x v="9"/>
    <s v="Nov-16"/>
    <x v="4"/>
    <n v="130.6"/>
    <n v="134.1"/>
    <n v="132"/>
    <s v="Food &amp; Beverages"/>
  </r>
  <r>
    <x v="3"/>
    <x v="9"/>
    <s v="Nov-16"/>
    <x v="8"/>
    <n v="136.6"/>
    <n v="135.19999999999999"/>
    <n v="136.1"/>
    <s v="Food &amp; Beverages"/>
  </r>
  <r>
    <x v="3"/>
    <x v="9"/>
    <s v="Nov-16"/>
    <x v="10"/>
    <n v="134.5"/>
    <n v="122.1"/>
    <n v="129.30000000000001"/>
    <s v="Apparel"/>
  </r>
  <r>
    <x v="3"/>
    <x v="9"/>
    <s v="Nov-16"/>
    <x v="9"/>
    <n v="136.9"/>
    <n v="130.80000000000001"/>
    <n v="134.1"/>
    <s v="Food &amp; Beverages"/>
  </r>
  <r>
    <x v="3"/>
    <x v="9"/>
    <s v="Nov-16"/>
    <x v="13"/>
    <n v="130.30000000000001"/>
    <n v="116.2"/>
    <n v="125"/>
    <s v="Energy"/>
  </r>
  <r>
    <x v="3"/>
    <x v="9"/>
    <s v="Nov-16"/>
    <x v="15"/>
    <n v="133.6"/>
    <n v="128.5"/>
    <n v="131.19999999999999"/>
    <s v="General Index"/>
  </r>
  <r>
    <x v="3"/>
    <x v="9"/>
    <s v="Nov-16"/>
    <x v="17"/>
    <n v="129.1"/>
    <n v="122.1"/>
    <n v="126.4"/>
    <s v="Health"/>
  </r>
  <r>
    <x v="3"/>
    <x v="9"/>
    <s v="Nov-16"/>
    <x v="19"/>
    <n v="132.1"/>
    <n v="124.7"/>
    <n v="128.6"/>
    <s v="Housing"/>
  </r>
  <r>
    <x v="3"/>
    <x v="9"/>
    <s v="Nov-16"/>
    <x v="21"/>
    <n v="0"/>
    <n v="129.1"/>
    <n v="129.1"/>
    <s v="Housing"/>
  </r>
  <r>
    <x v="3"/>
    <x v="9"/>
    <s v="Nov-16"/>
    <x v="2"/>
    <n v="137.4"/>
    <n v="138.5"/>
    <n v="137.80000000000001"/>
    <s v="Food &amp; Beverages"/>
  </r>
  <r>
    <x v="3"/>
    <x v="9"/>
    <s v="Nov-16"/>
    <x v="6"/>
    <n v="136.19999999999999"/>
    <n v="132.9"/>
    <n v="135"/>
    <s v="Food &amp; Beverages"/>
  </r>
  <r>
    <x v="3"/>
    <x v="9"/>
    <s v="Nov-16"/>
    <x v="23"/>
    <n v="126.1"/>
    <n v="121.3"/>
    <n v="123.8"/>
    <s v="Other goods &amp; services"/>
  </r>
  <r>
    <x v="3"/>
    <x v="9"/>
    <s v="Nov-16"/>
    <x v="18"/>
    <n v="128.69999999999999"/>
    <n v="122.7"/>
    <n v="126.2"/>
    <s v="Food &amp; Beverages"/>
  </r>
  <r>
    <x v="3"/>
    <x v="9"/>
    <s v="Nov-16"/>
    <x v="7"/>
    <n v="121.1"/>
    <n v="112.6"/>
    <n v="118"/>
    <s v="Food &amp; Beverages"/>
  </r>
  <r>
    <x v="3"/>
    <x v="9"/>
    <s v="Nov-16"/>
    <x v="22"/>
    <n v="141.19999999999999"/>
    <n v="144.30000000000001"/>
    <n v="142"/>
    <s v="Other goods &amp; services"/>
  </r>
  <r>
    <x v="3"/>
    <x v="9"/>
    <s v="Nov-16"/>
    <x v="24"/>
    <n v="123.5"/>
    <n v="121.3"/>
    <n v="122.6"/>
    <s v="Other goods &amp; services"/>
  </r>
  <r>
    <x v="3"/>
    <x v="9"/>
    <s v="Nov-16"/>
    <x v="20"/>
    <n v="143.1"/>
    <n v="140.30000000000001"/>
    <n v="141.80000000000001"/>
    <s v="Food &amp; Beverages"/>
  </r>
  <r>
    <x v="3"/>
    <x v="9"/>
    <s v="Nov-16"/>
    <x v="12"/>
    <n v="170"/>
    <n v="174.9"/>
    <n v="171.7"/>
    <s v="Food &amp; Beverages"/>
  </r>
  <r>
    <x v="3"/>
    <x v="9"/>
    <s v="Nov-16"/>
    <x v="26"/>
    <n v="126.9"/>
    <n v="121.7"/>
    <n v="124"/>
    <s v="Recreation"/>
  </r>
  <r>
    <x v="3"/>
    <x v="9"/>
    <s v="Nov-16"/>
    <x v="16"/>
    <n v="136.80000000000001"/>
    <n v="145.4"/>
    <n v="139.69999999999999"/>
    <s v="Food &amp; Beverages"/>
  </r>
  <r>
    <x v="3"/>
    <x v="9"/>
    <s v="Nov-16"/>
    <x v="14"/>
    <n v="113.4"/>
    <n v="115.6"/>
    <n v="114.1"/>
    <s v="Food &amp; Beverages"/>
  </r>
  <r>
    <x v="3"/>
    <x v="9"/>
    <s v="Nov-16"/>
    <x v="25"/>
    <n v="118.2"/>
    <n v="113.4"/>
    <n v="115.7"/>
    <s v="Transport"/>
  </r>
  <r>
    <x v="3"/>
    <x v="9"/>
    <s v="Nov-16"/>
    <x v="11"/>
    <n v="141.80000000000001"/>
    <n v="142"/>
    <n v="141.9"/>
    <s v="Food &amp; Beverages"/>
  </r>
  <r>
    <x v="3"/>
    <x v="10"/>
    <s v="Oct-16"/>
    <x v="0"/>
    <n v="131.30000000000001"/>
    <n v="128.69999999999999"/>
    <n v="130.5"/>
    <s v="Food &amp; Beverages"/>
  </r>
  <r>
    <x v="3"/>
    <x v="10"/>
    <s v="Oct-16"/>
    <x v="1"/>
    <n v="139.6"/>
    <n v="129.1"/>
    <n v="135.5"/>
    <s v="Apparel"/>
  </r>
  <r>
    <x v="3"/>
    <x v="10"/>
    <s v="Oct-16"/>
    <x v="3"/>
    <n v="138.80000000000001"/>
    <n v="128"/>
    <n v="134.5"/>
    <s v="Apparel"/>
  </r>
  <r>
    <x v="3"/>
    <x v="10"/>
    <s v="Oct-16"/>
    <x v="5"/>
    <n v="133"/>
    <n v="131.9"/>
    <n v="132.4"/>
    <s v="Education"/>
  </r>
  <r>
    <x v="3"/>
    <x v="10"/>
    <s v="Oct-16"/>
    <x v="4"/>
    <n v="130.1"/>
    <n v="130.30000000000001"/>
    <n v="130.19999999999999"/>
    <s v="Food &amp; Beverages"/>
  </r>
  <r>
    <x v="3"/>
    <x v="10"/>
    <s v="Oct-16"/>
    <x v="8"/>
    <n v="137.4"/>
    <n v="136.30000000000001"/>
    <n v="137"/>
    <s v="Food &amp; Beverages"/>
  </r>
  <r>
    <x v="3"/>
    <x v="10"/>
    <s v="Oct-16"/>
    <x v="10"/>
    <n v="134.30000000000001"/>
    <n v="121.9"/>
    <n v="129.1"/>
    <s v="Apparel"/>
  </r>
  <r>
    <x v="3"/>
    <x v="10"/>
    <s v="Oct-16"/>
    <x v="9"/>
    <n v="138.4"/>
    <n v="130.4"/>
    <n v="134.69999999999999"/>
    <s v="Food &amp; Beverages"/>
  </r>
  <r>
    <x v="3"/>
    <x v="10"/>
    <s v="Oct-16"/>
    <x v="13"/>
    <n v="129.80000000000001"/>
    <n v="115.2"/>
    <n v="124.3"/>
    <s v="Energy"/>
  </r>
  <r>
    <x v="3"/>
    <x v="10"/>
    <s v="Oct-16"/>
    <x v="15"/>
    <n v="133.80000000000001"/>
    <n v="128.6"/>
    <n v="131.4"/>
    <s v="General Index"/>
  </r>
  <r>
    <x v="3"/>
    <x v="10"/>
    <s v="Oct-16"/>
    <x v="17"/>
    <n v="128.69999999999999"/>
    <n v="121.8"/>
    <n v="126.1"/>
    <s v="Health"/>
  </r>
  <r>
    <x v="3"/>
    <x v="10"/>
    <s v="Oct-16"/>
    <x v="19"/>
    <n v="131.80000000000001"/>
    <n v="124.5"/>
    <n v="128.4"/>
    <s v="Housing"/>
  </r>
  <r>
    <x v="3"/>
    <x v="10"/>
    <s v="Oct-16"/>
    <x v="21"/>
    <n v="0"/>
    <n v="128.69999999999999"/>
    <n v="128.69999999999999"/>
    <s v="Housing"/>
  </r>
  <r>
    <x v="3"/>
    <x v="10"/>
    <s v="Oct-16"/>
    <x v="2"/>
    <n v="137.6"/>
    <n v="138.4"/>
    <n v="137.9"/>
    <s v="Food &amp; Beverages"/>
  </r>
  <r>
    <x v="3"/>
    <x v="10"/>
    <s v="Oct-16"/>
    <x v="6"/>
    <n v="136"/>
    <n v="132.69999999999999"/>
    <n v="134.80000000000001"/>
    <s v="Food &amp; Beverages"/>
  </r>
  <r>
    <x v="3"/>
    <x v="10"/>
    <s v="Oct-16"/>
    <x v="23"/>
    <n v="125.7"/>
    <n v="120.9"/>
    <n v="123.4"/>
    <s v="Other goods &amp; services"/>
  </r>
  <r>
    <x v="3"/>
    <x v="10"/>
    <s v="Oct-16"/>
    <x v="18"/>
    <n v="128.69999999999999"/>
    <n v="122.5"/>
    <n v="126.1"/>
    <s v="Food &amp; Beverages"/>
  </r>
  <r>
    <x v="3"/>
    <x v="10"/>
    <s v="Oct-16"/>
    <x v="7"/>
    <n v="120.8"/>
    <n v="112.5"/>
    <n v="117.8"/>
    <s v="Food &amp; Beverages"/>
  </r>
  <r>
    <x v="3"/>
    <x v="10"/>
    <s v="Oct-16"/>
    <x v="22"/>
    <n v="140.9"/>
    <n v="144.30000000000001"/>
    <n v="141.80000000000001"/>
    <s v="Other goods &amp; services"/>
  </r>
  <r>
    <x v="3"/>
    <x v="10"/>
    <s v="Oct-16"/>
    <x v="24"/>
    <n v="123"/>
    <n v="120.8"/>
    <n v="122.1"/>
    <s v="Other goods &amp; services"/>
  </r>
  <r>
    <x v="3"/>
    <x v="10"/>
    <s v="Oct-16"/>
    <x v="20"/>
    <n v="142.4"/>
    <n v="139.6"/>
    <n v="141.1"/>
    <s v="Food &amp; Beverages"/>
  </r>
  <r>
    <x v="3"/>
    <x v="10"/>
    <s v="Oct-16"/>
    <x v="12"/>
    <n v="170.2"/>
    <n v="175.7"/>
    <n v="172.1"/>
    <s v="Food &amp; Beverages"/>
  </r>
  <r>
    <x v="3"/>
    <x v="10"/>
    <s v="Oct-16"/>
    <x v="26"/>
    <n v="126.5"/>
    <n v="121.2"/>
    <n v="123.5"/>
    <s v="Recreation"/>
  </r>
  <r>
    <x v="3"/>
    <x v="10"/>
    <s v="Oct-16"/>
    <x v="16"/>
    <n v="136.30000000000001"/>
    <n v="145.30000000000001"/>
    <n v="139.30000000000001"/>
    <s v="Food &amp; Beverages"/>
  </r>
  <r>
    <x v="3"/>
    <x v="10"/>
    <s v="Oct-16"/>
    <x v="14"/>
    <n v="113.4"/>
    <n v="115.4"/>
    <n v="114.1"/>
    <s v="Food &amp; Beverages"/>
  </r>
  <r>
    <x v="3"/>
    <x v="10"/>
    <s v="Oct-16"/>
    <x v="25"/>
    <n v="117.8"/>
    <n v="112.8"/>
    <n v="115.2"/>
    <s v="Transport"/>
  </r>
  <r>
    <x v="3"/>
    <x v="10"/>
    <s v="Oct-16"/>
    <x v="11"/>
    <n v="149.19999999999999"/>
    <n v="155.1"/>
    <n v="151.19999999999999"/>
    <s v="Food &amp; Beverages"/>
  </r>
  <r>
    <x v="3"/>
    <x v="11"/>
    <s v="Sep-16"/>
    <x v="0"/>
    <n v="130.80000000000001"/>
    <n v="128.1"/>
    <n v="129.9"/>
    <s v="Food &amp; Beverages"/>
  </r>
  <r>
    <x v="3"/>
    <x v="11"/>
    <s v="Sep-16"/>
    <x v="1"/>
    <n v="138.5"/>
    <n v="128.69999999999999"/>
    <n v="134.6"/>
    <s v="Apparel"/>
  </r>
  <r>
    <x v="3"/>
    <x v="11"/>
    <s v="Sep-16"/>
    <x v="3"/>
    <n v="137.80000000000001"/>
    <n v="127.7"/>
    <n v="133.80000000000001"/>
    <s v="Apparel"/>
  </r>
  <r>
    <x v="3"/>
    <x v="11"/>
    <s v="Sep-16"/>
    <x v="5"/>
    <n v="132.19999999999999"/>
    <n v="131.6"/>
    <n v="131.80000000000001"/>
    <s v="Education"/>
  </r>
  <r>
    <x v="3"/>
    <x v="11"/>
    <s v="Sep-16"/>
    <x v="4"/>
    <n v="130.5"/>
    <n v="130.6"/>
    <n v="130.5"/>
    <s v="Food &amp; Beverages"/>
  </r>
  <r>
    <x v="3"/>
    <x v="11"/>
    <s v="Sep-16"/>
    <x v="8"/>
    <n v="137.19999999999999"/>
    <n v="135.69999999999999"/>
    <n v="136.6"/>
    <s v="Food &amp; Beverages"/>
  </r>
  <r>
    <x v="3"/>
    <x v="11"/>
    <s v="Sep-16"/>
    <x v="10"/>
    <n v="133.5"/>
    <n v="121.6"/>
    <n v="128.6"/>
    <s v="Apparel"/>
  </r>
  <r>
    <x v="3"/>
    <x v="11"/>
    <s v="Sep-16"/>
    <x v="9"/>
    <n v="139.19999999999999"/>
    <n v="132.5"/>
    <n v="136.1"/>
    <s v="Food &amp; Beverages"/>
  </r>
  <r>
    <x v="3"/>
    <x v="11"/>
    <s v="Sep-16"/>
    <x v="13"/>
    <n v="129.69999999999999"/>
    <n v="114.8"/>
    <n v="124.1"/>
    <s v="Energy"/>
  </r>
  <r>
    <x v="3"/>
    <x v="11"/>
    <s v="Sep-16"/>
    <x v="15"/>
    <n v="133.4"/>
    <n v="128"/>
    <n v="130.9"/>
    <s v="General Index"/>
  </r>
  <r>
    <x v="3"/>
    <x v="11"/>
    <s v="Sep-16"/>
    <x v="17"/>
    <n v="127.8"/>
    <n v="121.4"/>
    <n v="125.4"/>
    <s v="Health"/>
  </r>
  <r>
    <x v="3"/>
    <x v="11"/>
    <s v="Sep-16"/>
    <x v="19"/>
    <n v="131.1"/>
    <n v="124.3"/>
    <n v="127.9"/>
    <s v="Housing"/>
  </r>
  <r>
    <x v="3"/>
    <x v="11"/>
    <s v="Sep-16"/>
    <x v="21"/>
    <n v="0"/>
    <n v="127.9"/>
    <n v="127.9"/>
    <s v="Housing"/>
  </r>
  <r>
    <x v="3"/>
    <x v="11"/>
    <s v="Sep-16"/>
    <x v="2"/>
    <n v="138.19999999999999"/>
    <n v="137.69999999999999"/>
    <n v="138"/>
    <s v="Food &amp; Beverages"/>
  </r>
  <r>
    <x v="3"/>
    <x v="11"/>
    <s v="Sep-16"/>
    <x v="6"/>
    <n v="135.5"/>
    <n v="132.6"/>
    <n v="134.4"/>
    <s v="Food &amp; Beverages"/>
  </r>
  <r>
    <x v="3"/>
    <x v="11"/>
    <s v="Sep-16"/>
    <x v="23"/>
    <n v="124.9"/>
    <n v="120.5"/>
    <n v="122.8"/>
    <s v="Other goods &amp; services"/>
  </r>
  <r>
    <x v="3"/>
    <x v="11"/>
    <s v="Sep-16"/>
    <x v="18"/>
    <n v="128.80000000000001"/>
    <n v="122.1"/>
    <n v="126"/>
    <s v="Food &amp; Beverages"/>
  </r>
  <r>
    <x v="3"/>
    <x v="11"/>
    <s v="Sep-16"/>
    <x v="7"/>
    <n v="120.2"/>
    <n v="111.9"/>
    <n v="117.2"/>
    <s v="Food &amp; Beverages"/>
  </r>
  <r>
    <x v="3"/>
    <x v="11"/>
    <s v="Sep-16"/>
    <x v="22"/>
    <n v="139.9"/>
    <n v="143.9"/>
    <n v="141"/>
    <s v="Other goods &amp; services"/>
  </r>
  <r>
    <x v="3"/>
    <x v="11"/>
    <s v="Sep-16"/>
    <x v="24"/>
    <n v="122.8"/>
    <n v="121.2"/>
    <n v="122.1"/>
    <s v="Other goods &amp; services"/>
  </r>
  <r>
    <x v="3"/>
    <x v="11"/>
    <s v="Sep-16"/>
    <x v="20"/>
    <n v="141.5"/>
    <n v="138.80000000000001"/>
    <n v="140.19999999999999"/>
    <s v="Food &amp; Beverages"/>
  </r>
  <r>
    <x v="3"/>
    <x v="11"/>
    <s v="Sep-16"/>
    <x v="12"/>
    <n v="170.4"/>
    <n v="173.6"/>
    <n v="171.5"/>
    <s v="Food &amp; Beverages"/>
  </r>
  <r>
    <x v="3"/>
    <x v="11"/>
    <s v="Sep-16"/>
    <x v="26"/>
    <n v="125.7"/>
    <n v="120.8"/>
    <n v="122.9"/>
    <s v="Recreation"/>
  </r>
  <r>
    <x v="3"/>
    <x v="11"/>
    <s v="Sep-16"/>
    <x v="16"/>
    <n v="135.80000000000001"/>
    <n v="144.80000000000001"/>
    <n v="138.80000000000001"/>
    <s v="Food &amp; Beverages"/>
  </r>
  <r>
    <x v="3"/>
    <x v="11"/>
    <s v="Sep-16"/>
    <x v="14"/>
    <n v="113.1"/>
    <n v="115.1"/>
    <n v="113.8"/>
    <s v="Food &amp; Beverages"/>
  </r>
  <r>
    <x v="3"/>
    <x v="11"/>
    <s v="Sep-16"/>
    <x v="25"/>
    <n v="117"/>
    <n v="111.8"/>
    <n v="114.3"/>
    <s v="Transport"/>
  </r>
  <r>
    <x v="3"/>
    <x v="11"/>
    <s v="Sep-16"/>
    <x v="11"/>
    <n v="149.5"/>
    <n v="152.9"/>
    <n v="150.69999999999999"/>
    <s v="Food &amp; Beverages"/>
  </r>
  <r>
    <x v="4"/>
    <x v="0"/>
    <s v="Apr-17"/>
    <x v="0"/>
    <n v="133.19999999999999"/>
    <n v="132.69999999999999"/>
    <n v="133"/>
    <s v="Food &amp; Beverages"/>
  </r>
  <r>
    <x v="4"/>
    <x v="0"/>
    <s v="Apr-17"/>
    <x v="1"/>
    <n v="142.4"/>
    <n v="131.19999999999999"/>
    <n v="138"/>
    <s v="Apparel"/>
  </r>
  <r>
    <x v="4"/>
    <x v="0"/>
    <s v="Apr-17"/>
    <x v="3"/>
    <n v="141.6"/>
    <n v="130"/>
    <n v="137"/>
    <s v="Apparel"/>
  </r>
  <r>
    <x v="4"/>
    <x v="0"/>
    <s v="Apr-17"/>
    <x v="5"/>
    <n v="135.69999999999999"/>
    <n v="133.6"/>
    <n v="134.5"/>
    <s v="Education"/>
  </r>
  <r>
    <x v="4"/>
    <x v="0"/>
    <s v="Apr-17"/>
    <x v="4"/>
    <n v="127.1"/>
    <n v="124.5"/>
    <n v="126.1"/>
    <s v="Food &amp; Beverages"/>
  </r>
  <r>
    <x v="4"/>
    <x v="0"/>
    <s v="Apr-17"/>
    <x v="8"/>
    <n v="133.5"/>
    <n v="133.4"/>
    <n v="133.5"/>
    <s v="Food &amp; Beverages"/>
  </r>
  <r>
    <x v="4"/>
    <x v="0"/>
    <s v="Apr-17"/>
    <x v="10"/>
    <n v="136.80000000000001"/>
    <n v="123"/>
    <n v="131.1"/>
    <s v="Apparel"/>
  </r>
  <r>
    <x v="4"/>
    <x v="0"/>
    <s v="Apr-17"/>
    <x v="9"/>
    <n v="141.80000000000001"/>
    <n v="137.69999999999999"/>
    <n v="139.9"/>
    <s v="Food &amp; Beverages"/>
  </r>
  <r>
    <x v="4"/>
    <x v="0"/>
    <s v="Apr-17"/>
    <x v="13"/>
    <n v="135"/>
    <n v="121.4"/>
    <n v="129.80000000000001"/>
    <s v="Energy"/>
  </r>
  <r>
    <x v="4"/>
    <x v="0"/>
    <s v="Apr-17"/>
    <x v="15"/>
    <n v="132.9"/>
    <n v="129.1"/>
    <n v="131.1"/>
    <s v="General Index"/>
  </r>
  <r>
    <x v="4"/>
    <x v="0"/>
    <s v="Apr-17"/>
    <x v="17"/>
    <n v="131"/>
    <n v="123.4"/>
    <n v="128.1"/>
    <s v="Health"/>
  </r>
  <r>
    <x v="4"/>
    <x v="0"/>
    <s v="Apr-17"/>
    <x v="19"/>
    <n v="134.30000000000001"/>
    <n v="126"/>
    <n v="130.4"/>
    <s v="Housing"/>
  </r>
  <r>
    <x v="4"/>
    <x v="0"/>
    <s v="Apr-17"/>
    <x v="21"/>
    <n v="0"/>
    <n v="131.69999999999999"/>
    <n v="131.69999999999999"/>
    <s v="Housing"/>
  </r>
  <r>
    <x v="4"/>
    <x v="0"/>
    <s v="Apr-17"/>
    <x v="2"/>
    <n v="138.69999999999999"/>
    <n v="140.6"/>
    <n v="139.4"/>
    <s v="Food &amp; Beverages"/>
  </r>
  <r>
    <x v="4"/>
    <x v="0"/>
    <s v="Apr-17"/>
    <x v="6"/>
    <n v="137.69999999999999"/>
    <n v="136.30000000000001"/>
    <n v="137.19999999999999"/>
    <s v="Food &amp; Beverages"/>
  </r>
  <r>
    <x v="4"/>
    <x v="0"/>
    <s v="Apr-17"/>
    <x v="23"/>
    <n v="127.5"/>
    <n v="122.5"/>
    <n v="125.1"/>
    <s v="Other goods &amp; services"/>
  </r>
  <r>
    <x v="4"/>
    <x v="0"/>
    <s v="Apr-17"/>
    <x v="18"/>
    <n v="130"/>
    <n v="123.8"/>
    <n v="127.4"/>
    <s v="Food &amp; Beverages"/>
  </r>
  <r>
    <x v="4"/>
    <x v="0"/>
    <s v="Apr-17"/>
    <x v="7"/>
    <n v="121.3"/>
    <n v="113.5"/>
    <n v="118.4"/>
    <s v="Food &amp; Beverages"/>
  </r>
  <r>
    <x v="4"/>
    <x v="0"/>
    <s v="Apr-17"/>
    <x v="22"/>
    <n v="144.4"/>
    <n v="148"/>
    <n v="145.4"/>
    <s v="Other goods &amp; services"/>
  </r>
  <r>
    <x v="4"/>
    <x v="0"/>
    <s v="Apr-17"/>
    <x v="24"/>
    <n v="123.7"/>
    <n v="122.2"/>
    <n v="123.1"/>
    <s v="Other goods &amp; services"/>
  </r>
  <r>
    <x v="4"/>
    <x v="0"/>
    <s v="Apr-17"/>
    <x v="20"/>
    <n v="145.5"/>
    <n v="142.6"/>
    <n v="144.19999999999999"/>
    <s v="Food &amp; Beverages"/>
  </r>
  <r>
    <x v="4"/>
    <x v="0"/>
    <s v="Apr-17"/>
    <x v="12"/>
    <n v="144.5"/>
    <n v="133.80000000000001"/>
    <n v="140.9"/>
    <s v="Food &amp; Beverages"/>
  </r>
  <r>
    <x v="4"/>
    <x v="0"/>
    <s v="Apr-17"/>
    <x v="26"/>
    <n v="128.30000000000001"/>
    <n v="122.6"/>
    <n v="125.1"/>
    <s v="Recreation"/>
  </r>
  <r>
    <x v="4"/>
    <x v="0"/>
    <s v="Apr-17"/>
    <x v="16"/>
    <n v="134.1"/>
    <n v="141.30000000000001"/>
    <n v="136.5"/>
    <s v="Food &amp; Beverages"/>
  </r>
  <r>
    <x v="4"/>
    <x v="0"/>
    <s v="Apr-17"/>
    <x v="14"/>
    <n v="117.4"/>
    <n v="120.8"/>
    <n v="118.5"/>
    <s v="Food &amp; Beverages"/>
  </r>
  <r>
    <x v="4"/>
    <x v="0"/>
    <s v="Apr-17"/>
    <x v="25"/>
    <n v="119.2"/>
    <n v="114.3"/>
    <n v="116.6"/>
    <s v="Transport"/>
  </r>
  <r>
    <x v="4"/>
    <x v="0"/>
    <s v="Apr-17"/>
    <x v="11"/>
    <n v="121.5"/>
    <n v="127.1"/>
    <n v="123.4"/>
    <s v="Food &amp; Beverages"/>
  </r>
  <r>
    <x v="4"/>
    <x v="1"/>
    <s v="Aug-17"/>
    <x v="0"/>
    <n v="134.80000000000001"/>
    <n v="133.19999999999999"/>
    <n v="134.30000000000001"/>
    <s v="Food &amp; Beverages"/>
  </r>
  <r>
    <x v="4"/>
    <x v="1"/>
    <s v="Aug-17"/>
    <x v="1"/>
    <n v="145.30000000000001"/>
    <n v="132.69999999999999"/>
    <n v="140.30000000000001"/>
    <s v="Apparel"/>
  </r>
  <r>
    <x v="4"/>
    <x v="1"/>
    <s v="Aug-17"/>
    <x v="3"/>
    <n v="144.5"/>
    <n v="131.4"/>
    <n v="139.30000000000001"/>
    <s v="Apparel"/>
  </r>
  <r>
    <x v="4"/>
    <x v="1"/>
    <s v="Aug-17"/>
    <x v="5"/>
    <n v="140.19999999999999"/>
    <n v="135.69999999999999"/>
    <n v="137.6"/>
    <s v="Education"/>
  </r>
  <r>
    <x v="4"/>
    <x v="1"/>
    <s v="Aug-17"/>
    <x v="4"/>
    <n v="130"/>
    <n v="128.30000000000001"/>
    <n v="129.30000000000001"/>
    <s v="Food &amp; Beverages"/>
  </r>
  <r>
    <x v="4"/>
    <x v="1"/>
    <s v="Aug-17"/>
    <x v="8"/>
    <n v="140.6"/>
    <n v="140.5"/>
    <n v="140.6"/>
    <s v="Food &amp; Beverages"/>
  </r>
  <r>
    <x v="4"/>
    <x v="1"/>
    <s v="Aug-17"/>
    <x v="10"/>
    <n v="139.19999999999999"/>
    <n v="124.3"/>
    <n v="133"/>
    <s v="Apparel"/>
  </r>
  <r>
    <x v="4"/>
    <x v="1"/>
    <s v="Aug-17"/>
    <x v="9"/>
    <n v="148"/>
    <n v="142.69999999999999"/>
    <n v="145.5"/>
    <s v="Food &amp; Beverages"/>
  </r>
  <r>
    <x v="4"/>
    <x v="1"/>
    <s v="Aug-17"/>
    <x v="13"/>
    <n v="136.4"/>
    <n v="118.9"/>
    <n v="129.80000000000001"/>
    <s v="Energy"/>
  </r>
  <r>
    <x v="4"/>
    <x v="1"/>
    <s v="Aug-17"/>
    <x v="15"/>
    <n v="137.80000000000001"/>
    <n v="132.69999999999999"/>
    <n v="135.4"/>
    <s v="General Index"/>
  </r>
  <r>
    <x v="4"/>
    <x v="1"/>
    <s v="Aug-17"/>
    <x v="17"/>
    <n v="133"/>
    <n v="125.7"/>
    <n v="130.19999999999999"/>
    <s v="Health"/>
  </r>
  <r>
    <x v="4"/>
    <x v="1"/>
    <s v="Aug-17"/>
    <x v="19"/>
    <n v="137.30000000000001"/>
    <n v="127.7"/>
    <n v="132.80000000000001"/>
    <s v="Housing"/>
  </r>
  <r>
    <x v="4"/>
    <x v="1"/>
    <s v="Aug-17"/>
    <x v="21"/>
    <n v="0"/>
    <n v="134.4"/>
    <n v="134.4"/>
    <s v="Housing"/>
  </r>
  <r>
    <x v="4"/>
    <x v="1"/>
    <s v="Aug-17"/>
    <x v="2"/>
    <n v="143.1"/>
    <n v="143.9"/>
    <n v="143.4"/>
    <s v="Food &amp; Beverages"/>
  </r>
  <r>
    <x v="4"/>
    <x v="1"/>
    <s v="Aug-17"/>
    <x v="6"/>
    <n v="139.4"/>
    <n v="138.30000000000001"/>
    <n v="139"/>
    <s v="Food &amp; Beverages"/>
  </r>
  <r>
    <x v="4"/>
    <x v="1"/>
    <s v="Aug-17"/>
    <x v="23"/>
    <n v="129.69999999999999"/>
    <n v="123.8"/>
    <n v="126.8"/>
    <s v="Other goods &amp; services"/>
  </r>
  <r>
    <x v="4"/>
    <x v="1"/>
    <s v="Aug-17"/>
    <x v="18"/>
    <n v="131.6"/>
    <n v="124.6"/>
    <n v="128.69999999999999"/>
    <s v="Food &amp; Beverages"/>
  </r>
  <r>
    <x v="4"/>
    <x v="1"/>
    <s v="Aug-17"/>
    <x v="7"/>
    <n v="120.5"/>
    <n v="114.1"/>
    <n v="118.1"/>
    <s v="Food &amp; Beverages"/>
  </r>
  <r>
    <x v="4"/>
    <x v="1"/>
    <s v="Aug-17"/>
    <x v="22"/>
    <n v="149"/>
    <n v="152.1"/>
    <n v="149.80000000000001"/>
    <s v="Other goods &amp; services"/>
  </r>
  <r>
    <x v="4"/>
    <x v="1"/>
    <s v="Aug-17"/>
    <x v="24"/>
    <n v="125.4"/>
    <n v="123.3"/>
    <n v="124.5"/>
    <s v="Other goods &amp; services"/>
  </r>
  <r>
    <x v="4"/>
    <x v="1"/>
    <s v="Aug-17"/>
    <x v="20"/>
    <n v="148.69999999999999"/>
    <n v="144.5"/>
    <n v="146.80000000000001"/>
    <s v="Food &amp; Beverages"/>
  </r>
  <r>
    <x v="4"/>
    <x v="1"/>
    <s v="Aug-17"/>
    <x v="12"/>
    <n v="137.4"/>
    <n v="123.5"/>
    <n v="132.69999999999999"/>
    <s v="Food &amp; Beverages"/>
  </r>
  <r>
    <x v="4"/>
    <x v="1"/>
    <s v="Aug-17"/>
    <x v="26"/>
    <n v="131.5"/>
    <n v="124.1"/>
    <n v="127.3"/>
    <s v="Recreation"/>
  </r>
  <r>
    <x v="4"/>
    <x v="1"/>
    <s v="Aug-17"/>
    <x v="16"/>
    <n v="134.69999999999999"/>
    <n v="137.5"/>
    <n v="135.6"/>
    <s v="Food &amp; Beverages"/>
  </r>
  <r>
    <x v="4"/>
    <x v="1"/>
    <s v="Aug-17"/>
    <x v="14"/>
    <n v="120.8"/>
    <n v="122.1"/>
    <n v="121.2"/>
    <s v="Food &amp; Beverages"/>
  </r>
  <r>
    <x v="4"/>
    <x v="1"/>
    <s v="Aug-17"/>
    <x v="25"/>
    <n v="120.3"/>
    <n v="114.6"/>
    <n v="117.3"/>
    <s v="Transport"/>
  </r>
  <r>
    <x v="4"/>
    <x v="1"/>
    <s v="Aug-17"/>
    <x v="11"/>
    <n v="162.9"/>
    <n v="179.8"/>
    <n v="168.6"/>
    <s v="Food &amp; Beverages"/>
  </r>
  <r>
    <x v="4"/>
    <x v="2"/>
    <s v="Dec-17"/>
    <x v="0"/>
    <n v="136.4"/>
    <n v="134.4"/>
    <n v="135.80000000000001"/>
    <s v="Food &amp; Beverages"/>
  </r>
  <r>
    <x v="4"/>
    <x v="2"/>
    <s v="Dec-17"/>
    <x v="1"/>
    <n v="148"/>
    <n v="135.6"/>
    <n v="143.1"/>
    <s v="Apparel"/>
  </r>
  <r>
    <x v="4"/>
    <x v="2"/>
    <s v="Dec-17"/>
    <x v="3"/>
    <n v="147.19999999999999"/>
    <n v="134"/>
    <n v="142"/>
    <s v="Apparel"/>
  </r>
  <r>
    <x v="4"/>
    <x v="2"/>
    <s v="Dec-17"/>
    <x v="5"/>
    <n v="141.1"/>
    <n v="136.69999999999999"/>
    <n v="138.5"/>
    <s v="Education"/>
  </r>
  <r>
    <x v="4"/>
    <x v="2"/>
    <s v="Dec-17"/>
    <x v="4"/>
    <n v="144.80000000000001"/>
    <n v="145.9"/>
    <n v="145.19999999999999"/>
    <s v="Food &amp; Beverages"/>
  </r>
  <r>
    <x v="4"/>
    <x v="2"/>
    <s v="Dec-17"/>
    <x v="8"/>
    <n v="141.5"/>
    <n v="138.80000000000001"/>
    <n v="140.5"/>
    <s v="Food &amp; Beverages"/>
  </r>
  <r>
    <x v="4"/>
    <x v="2"/>
    <s v="Dec-17"/>
    <x v="10"/>
    <n v="141.9"/>
    <n v="125.6"/>
    <n v="135.1"/>
    <s v="Apparel"/>
  </r>
  <r>
    <x v="4"/>
    <x v="2"/>
    <s v="Dec-17"/>
    <x v="9"/>
    <n v="147.19999999999999"/>
    <n v="135"/>
    <n v="141.5"/>
    <s v="Food &amp; Beverages"/>
  </r>
  <r>
    <x v="4"/>
    <x v="2"/>
    <s v="Dec-17"/>
    <x v="13"/>
    <n v="142.6"/>
    <n v="126.8"/>
    <n v="136.6"/>
    <s v="Energy"/>
  </r>
  <r>
    <x v="4"/>
    <x v="2"/>
    <s v="Dec-17"/>
    <x v="15"/>
    <n v="139.80000000000001"/>
    <n v="134.1"/>
    <n v="137.19999999999999"/>
    <s v="General Index"/>
  </r>
  <r>
    <x v="4"/>
    <x v="2"/>
    <s v="Dec-17"/>
    <x v="17"/>
    <n v="136.1"/>
    <n v="128.19999999999999"/>
    <n v="133.1"/>
    <s v="Health"/>
  </r>
  <r>
    <x v="4"/>
    <x v="2"/>
    <s v="Dec-17"/>
    <x v="19"/>
    <n v="139.5"/>
    <n v="129.30000000000001"/>
    <n v="134.69999999999999"/>
    <s v="Housing"/>
  </r>
  <r>
    <x v="4"/>
    <x v="2"/>
    <s v="Dec-17"/>
    <x v="21"/>
    <n v="0"/>
    <n v="139.1"/>
    <n v="139.1"/>
    <s v="Housing"/>
  </r>
  <r>
    <x v="4"/>
    <x v="2"/>
    <s v="Dec-17"/>
    <x v="2"/>
    <n v="143.69999999999999"/>
    <n v="142.6"/>
    <n v="143.30000000000001"/>
    <s v="Food &amp; Beverages"/>
  </r>
  <r>
    <x v="4"/>
    <x v="2"/>
    <s v="Dec-17"/>
    <x v="6"/>
    <n v="141.9"/>
    <n v="139.5"/>
    <n v="141"/>
    <s v="Food &amp; Beverages"/>
  </r>
  <r>
    <x v="4"/>
    <x v="2"/>
    <s v="Dec-17"/>
    <x v="23"/>
    <n v="131.9"/>
    <n v="125.1"/>
    <n v="128.6"/>
    <s v="Other goods &amp; services"/>
  </r>
  <r>
    <x v="4"/>
    <x v="2"/>
    <s v="Dec-17"/>
    <x v="18"/>
    <n v="131.1"/>
    <n v="125.7"/>
    <n v="128.80000000000001"/>
    <s v="Food &amp; Beverages"/>
  </r>
  <r>
    <x v="4"/>
    <x v="2"/>
    <s v="Dec-17"/>
    <x v="7"/>
    <n v="123.1"/>
    <n v="115.9"/>
    <n v="120.5"/>
    <s v="Food &amp; Beverages"/>
  </r>
  <r>
    <x v="4"/>
    <x v="2"/>
    <s v="Dec-17"/>
    <x v="22"/>
    <n v="153.19999999999999"/>
    <n v="157"/>
    <n v="154.19999999999999"/>
    <s v="Other goods &amp; services"/>
  </r>
  <r>
    <x v="4"/>
    <x v="2"/>
    <s v="Dec-17"/>
    <x v="24"/>
    <n v="127.8"/>
    <n v="124.6"/>
    <n v="126.5"/>
    <s v="Other goods &amp; services"/>
  </r>
  <r>
    <x v="4"/>
    <x v="2"/>
    <s v="Dec-17"/>
    <x v="20"/>
    <n v="151.4"/>
    <n v="146.30000000000001"/>
    <n v="149"/>
    <s v="Food &amp; Beverages"/>
  </r>
  <r>
    <x v="4"/>
    <x v="2"/>
    <s v="Dec-17"/>
    <x v="12"/>
    <n v="133.80000000000001"/>
    <n v="119.8"/>
    <n v="129.1"/>
    <s v="Food &amp; Beverages"/>
  </r>
  <r>
    <x v="4"/>
    <x v="2"/>
    <s v="Dec-17"/>
    <x v="26"/>
    <n v="133.4"/>
    <n v="125.6"/>
    <n v="129"/>
    <s v="Recreation"/>
  </r>
  <r>
    <x v="4"/>
    <x v="2"/>
    <s v="Dec-17"/>
    <x v="16"/>
    <n v="135.80000000000001"/>
    <n v="139.69999999999999"/>
    <n v="137.1"/>
    <s v="Food &amp; Beverages"/>
  </r>
  <r>
    <x v="4"/>
    <x v="2"/>
    <s v="Dec-17"/>
    <x v="14"/>
    <n v="121.9"/>
    <n v="120.7"/>
    <n v="121.5"/>
    <s v="Food &amp; Beverages"/>
  </r>
  <r>
    <x v="4"/>
    <x v="2"/>
    <s v="Dec-17"/>
    <x v="25"/>
    <n v="122"/>
    <n v="115.3"/>
    <n v="118.5"/>
    <s v="Transport"/>
  </r>
  <r>
    <x v="4"/>
    <x v="2"/>
    <s v="Dec-17"/>
    <x v="11"/>
    <n v="161"/>
    <n v="163.19999999999999"/>
    <n v="161.69999999999999"/>
    <s v="Food &amp; Beverages"/>
  </r>
  <r>
    <x v="4"/>
    <x v="3"/>
    <s v="Feb-17"/>
    <x v="0"/>
    <n v="133.30000000000001"/>
    <n v="132.80000000000001"/>
    <n v="133.1"/>
    <s v="Food &amp; Beverages"/>
  </r>
  <r>
    <x v="4"/>
    <x v="3"/>
    <s v="Feb-17"/>
    <x v="1"/>
    <n v="140.9"/>
    <n v="130.5"/>
    <n v="136.80000000000001"/>
    <s v="Apparel"/>
  </r>
  <r>
    <x v="4"/>
    <x v="3"/>
    <s v="Feb-17"/>
    <x v="3"/>
    <n v="140.19999999999999"/>
    <n v="129.30000000000001"/>
    <n v="135.9"/>
    <s v="Apparel"/>
  </r>
  <r>
    <x v="4"/>
    <x v="3"/>
    <s v="Feb-17"/>
    <x v="5"/>
    <n v="134.9"/>
    <n v="132.4"/>
    <n v="133.4"/>
    <s v="Education"/>
  </r>
  <r>
    <x v="4"/>
    <x v="3"/>
    <s v="Feb-17"/>
    <x v="4"/>
    <n v="129.30000000000001"/>
    <n v="129.30000000000001"/>
    <n v="129.30000000000001"/>
    <s v="Food &amp; Beverages"/>
  </r>
  <r>
    <x v="4"/>
    <x v="3"/>
    <s v="Feb-17"/>
    <x v="8"/>
    <n v="133.6"/>
    <n v="132.1"/>
    <n v="133"/>
    <s v="Food &amp; Beverages"/>
  </r>
  <r>
    <x v="4"/>
    <x v="3"/>
    <s v="Feb-17"/>
    <x v="10"/>
    <n v="135.80000000000001"/>
    <n v="122.5"/>
    <n v="130.30000000000001"/>
    <s v="Apparel"/>
  </r>
  <r>
    <x v="4"/>
    <x v="3"/>
    <s v="Feb-17"/>
    <x v="9"/>
    <n v="138.69999999999999"/>
    <n v="131.4"/>
    <n v="135.30000000000001"/>
    <s v="Food &amp; Beverages"/>
  </r>
  <r>
    <x v="4"/>
    <x v="3"/>
    <s v="Feb-17"/>
    <x v="13"/>
    <n v="133.19999999999999"/>
    <n v="119.2"/>
    <n v="127.9"/>
    <s v="Energy"/>
  </r>
  <r>
    <x v="4"/>
    <x v="3"/>
    <s v="Feb-17"/>
    <x v="15"/>
    <n v="132.6"/>
    <n v="128.19999999999999"/>
    <n v="130.6"/>
    <s v="General Index"/>
  </r>
  <r>
    <x v="4"/>
    <x v="3"/>
    <s v="Feb-17"/>
    <x v="17"/>
    <n v="130.1"/>
    <n v="122.9"/>
    <n v="127.4"/>
    <s v="Health"/>
  </r>
  <r>
    <x v="4"/>
    <x v="3"/>
    <s v="Feb-17"/>
    <x v="19"/>
    <n v="133.6"/>
    <n v="125.3"/>
    <n v="129.69999999999999"/>
    <s v="Housing"/>
  </r>
  <r>
    <x v="4"/>
    <x v="3"/>
    <s v="Feb-17"/>
    <x v="21"/>
    <n v="0"/>
    <n v="130.5"/>
    <n v="130.5"/>
    <s v="Housing"/>
  </r>
  <r>
    <x v="4"/>
    <x v="3"/>
    <s v="Feb-17"/>
    <x v="2"/>
    <n v="138.30000000000001"/>
    <n v="139.80000000000001"/>
    <n v="138.80000000000001"/>
    <s v="Food &amp; Beverages"/>
  </r>
  <r>
    <x v="4"/>
    <x v="3"/>
    <s v="Feb-17"/>
    <x v="6"/>
    <n v="137.19999999999999"/>
    <n v="133.5"/>
    <n v="135.80000000000001"/>
    <s v="Food &amp; Beverages"/>
  </r>
  <r>
    <x v="4"/>
    <x v="3"/>
    <s v="Feb-17"/>
    <x v="23"/>
    <n v="127"/>
    <n v="122.4"/>
    <n v="124.8"/>
    <s v="Other goods &amp; services"/>
  </r>
  <r>
    <x v="4"/>
    <x v="3"/>
    <s v="Feb-17"/>
    <x v="18"/>
    <n v="129.4"/>
    <n v="123.4"/>
    <n v="126.9"/>
    <s v="Food &amp; Beverages"/>
  </r>
  <r>
    <x v="4"/>
    <x v="3"/>
    <s v="Feb-17"/>
    <x v="7"/>
    <n v="122.1"/>
    <n v="114.3"/>
    <n v="119.2"/>
    <s v="Food &amp; Beverages"/>
  </r>
  <r>
    <x v="4"/>
    <x v="3"/>
    <s v="Feb-17"/>
    <x v="22"/>
    <n v="143.69999999999999"/>
    <n v="146.30000000000001"/>
    <n v="144.4"/>
    <s v="Other goods &amp; services"/>
  </r>
  <r>
    <x v="4"/>
    <x v="3"/>
    <s v="Feb-17"/>
    <x v="24"/>
    <n v="123.2"/>
    <n v="121.7"/>
    <n v="122.6"/>
    <s v="Other goods &amp; services"/>
  </r>
  <r>
    <x v="4"/>
    <x v="3"/>
    <s v="Feb-17"/>
    <x v="20"/>
    <n v="144.4"/>
    <n v="141.9"/>
    <n v="143.19999999999999"/>
    <s v="Food &amp; Beverages"/>
  </r>
  <r>
    <x v="4"/>
    <x v="3"/>
    <s v="Feb-17"/>
    <x v="12"/>
    <n v="156.9"/>
    <n v="143.1"/>
    <n v="152.19999999999999"/>
    <s v="Food &amp; Beverages"/>
  </r>
  <r>
    <x v="4"/>
    <x v="3"/>
    <s v="Feb-17"/>
    <x v="26"/>
    <n v="127.7"/>
    <n v="122.2"/>
    <n v="124.6"/>
    <s v="Recreation"/>
  </r>
  <r>
    <x v="4"/>
    <x v="3"/>
    <s v="Feb-17"/>
    <x v="16"/>
    <n v="136"/>
    <n v="144"/>
    <n v="138.69999999999999"/>
    <s v="Food &amp; Beverages"/>
  </r>
  <r>
    <x v="4"/>
    <x v="3"/>
    <s v="Feb-17"/>
    <x v="14"/>
    <n v="116.2"/>
    <n v="119.5"/>
    <n v="117.3"/>
    <s v="Food &amp; Beverages"/>
  </r>
  <r>
    <x v="4"/>
    <x v="3"/>
    <s v="Feb-17"/>
    <x v="25"/>
    <n v="119.5"/>
    <n v="115.5"/>
    <n v="117.4"/>
    <s v="Transport"/>
  </r>
  <r>
    <x v="4"/>
    <x v="3"/>
    <s v="Feb-17"/>
    <x v="11"/>
    <n v="119.1"/>
    <n v="120.2"/>
    <n v="119.5"/>
    <s v="Food &amp; Beverages"/>
  </r>
  <r>
    <x v="4"/>
    <x v="4"/>
    <s v="Jan-17"/>
    <x v="0"/>
    <n v="133.1"/>
    <n v="132.19999999999999"/>
    <n v="132.80000000000001"/>
    <s v="Food &amp; Beverages"/>
  </r>
  <r>
    <x v="4"/>
    <x v="4"/>
    <s v="Jan-17"/>
    <x v="1"/>
    <n v="140.69999999999999"/>
    <n v="130.19999999999999"/>
    <n v="136.6"/>
    <s v="Apparel"/>
  </r>
  <r>
    <x v="4"/>
    <x v="4"/>
    <s v="Jan-17"/>
    <x v="3"/>
    <n v="140"/>
    <n v="129"/>
    <n v="135.6"/>
    <s v="Apparel"/>
  </r>
  <r>
    <x v="4"/>
    <x v="4"/>
    <s v="Jan-17"/>
    <x v="5"/>
    <n v="134.6"/>
    <n v="132.4"/>
    <n v="133.30000000000001"/>
    <s v="Education"/>
  </r>
  <r>
    <x v="4"/>
    <x v="4"/>
    <s v="Jan-17"/>
    <x v="4"/>
    <n v="131.9"/>
    <n v="132.6"/>
    <n v="132.19999999999999"/>
    <s v="Food &amp; Beverages"/>
  </r>
  <r>
    <x v="4"/>
    <x v="4"/>
    <s v="Jan-17"/>
    <x v="8"/>
    <n v="133.69999999999999"/>
    <n v="132"/>
    <n v="133.1"/>
    <s v="Food &amp; Beverages"/>
  </r>
  <r>
    <x v="4"/>
    <x v="4"/>
    <s v="Jan-17"/>
    <x v="10"/>
    <n v="135.80000000000001"/>
    <n v="122.3"/>
    <n v="130.19999999999999"/>
    <s v="Apparel"/>
  </r>
  <r>
    <x v="4"/>
    <x v="4"/>
    <s v="Jan-17"/>
    <x v="9"/>
    <n v="136"/>
    <n v="129.6"/>
    <n v="133"/>
    <s v="Food &amp; Beverages"/>
  </r>
  <r>
    <x v="4"/>
    <x v="4"/>
    <s v="Jan-17"/>
    <x v="13"/>
    <n v="132.1"/>
    <n v="118"/>
    <n v="126.8"/>
    <s v="Energy"/>
  </r>
  <r>
    <x v="4"/>
    <x v="4"/>
    <s v="Jan-17"/>
    <x v="15"/>
    <n v="132.4"/>
    <n v="127.8"/>
    <n v="130.30000000000001"/>
    <s v="General Index"/>
  </r>
  <r>
    <x v="4"/>
    <x v="4"/>
    <s v="Jan-17"/>
    <x v="17"/>
    <n v="129.9"/>
    <n v="122.6"/>
    <n v="127.1"/>
    <s v="Health"/>
  </r>
  <r>
    <x v="4"/>
    <x v="4"/>
    <s v="Jan-17"/>
    <x v="19"/>
    <n v="133.19999999999999"/>
    <n v="125.1"/>
    <n v="129.4"/>
    <s v="Housing"/>
  </r>
  <r>
    <x v="4"/>
    <x v="4"/>
    <s v="Jan-17"/>
    <x v="21"/>
    <n v="0"/>
    <n v="129.6"/>
    <n v="129.6"/>
    <s v="Housing"/>
  </r>
  <r>
    <x v="4"/>
    <x v="4"/>
    <s v="Jan-17"/>
    <x v="2"/>
    <n v="137.80000000000001"/>
    <n v="138.9"/>
    <n v="138.19999999999999"/>
    <s v="Food &amp; Beverages"/>
  </r>
  <r>
    <x v="4"/>
    <x v="4"/>
    <s v="Jan-17"/>
    <x v="6"/>
    <n v="136.69999999999999"/>
    <n v="133.1"/>
    <n v="135.4"/>
    <s v="Food &amp; Beverages"/>
  </r>
  <r>
    <x v="4"/>
    <x v="4"/>
    <s v="Jan-17"/>
    <x v="23"/>
    <n v="126.6"/>
    <n v="122.1"/>
    <n v="124.4"/>
    <s v="Other goods &amp; services"/>
  </r>
  <r>
    <x v="4"/>
    <x v="4"/>
    <s v="Jan-17"/>
    <x v="18"/>
    <n v="129"/>
    <n v="123.2"/>
    <n v="126.6"/>
    <s v="Food &amp; Beverages"/>
  </r>
  <r>
    <x v="4"/>
    <x v="4"/>
    <s v="Jan-17"/>
    <x v="7"/>
    <n v="122"/>
    <n v="114"/>
    <n v="119.1"/>
    <s v="Food &amp; Beverages"/>
  </r>
  <r>
    <x v="4"/>
    <x v="4"/>
    <s v="Jan-17"/>
    <x v="22"/>
    <n v="143.1"/>
    <n v="145.6"/>
    <n v="143.80000000000001"/>
    <s v="Other goods &amp; services"/>
  </r>
  <r>
    <x v="4"/>
    <x v="4"/>
    <s v="Jan-17"/>
    <x v="24"/>
    <n v="122.3"/>
    <n v="120.9"/>
    <n v="121.7"/>
    <s v="Other goods &amp; services"/>
  </r>
  <r>
    <x v="4"/>
    <x v="4"/>
    <s v="Jan-17"/>
    <x v="20"/>
    <n v="143.9"/>
    <n v="141.6"/>
    <n v="142.80000000000001"/>
    <s v="Food &amp; Beverages"/>
  </r>
  <r>
    <x v="4"/>
    <x v="4"/>
    <s v="Jan-17"/>
    <x v="12"/>
    <n v="161.69999999999999"/>
    <n v="155.1"/>
    <n v="159.5"/>
    <s v="Food &amp; Beverages"/>
  </r>
  <r>
    <x v="4"/>
    <x v="4"/>
    <s v="Jan-17"/>
    <x v="26"/>
    <n v="127"/>
    <n v="122"/>
    <n v="124.2"/>
    <s v="Recreation"/>
  </r>
  <r>
    <x v="4"/>
    <x v="4"/>
    <s v="Jan-17"/>
    <x v="16"/>
    <n v="136.9"/>
    <n v="144.9"/>
    <n v="139.6"/>
    <s v="Food &amp; Beverages"/>
  </r>
  <r>
    <x v="4"/>
    <x v="4"/>
    <s v="Jan-17"/>
    <x v="14"/>
    <n v="114.8"/>
    <n v="117.3"/>
    <n v="115.6"/>
    <s v="Food &amp; Beverages"/>
  </r>
  <r>
    <x v="4"/>
    <x v="4"/>
    <s v="Jan-17"/>
    <x v="25"/>
    <n v="119.1"/>
    <n v="115.2"/>
    <n v="117"/>
    <s v="Transport"/>
  </r>
  <r>
    <x v="4"/>
    <x v="4"/>
    <s v="Jan-17"/>
    <x v="11"/>
    <n v="119.8"/>
    <n v="118.7"/>
    <n v="119.4"/>
    <s v="Food &amp; Beverages"/>
  </r>
  <r>
    <x v="4"/>
    <x v="5"/>
    <s v="Jul-17"/>
    <x v="0"/>
    <n v="134"/>
    <n v="132.80000000000001"/>
    <n v="133.6"/>
    <s v="Food &amp; Beverages"/>
  </r>
  <r>
    <x v="4"/>
    <x v="5"/>
    <s v="Jul-17"/>
    <x v="1"/>
    <n v="144.30000000000001"/>
    <n v="131.6"/>
    <n v="139.30000000000001"/>
    <s v="Apparel"/>
  </r>
  <r>
    <x v="4"/>
    <x v="5"/>
    <s v="Jul-17"/>
    <x v="3"/>
    <n v="143.5"/>
    <n v="130.4"/>
    <n v="138.30000000000001"/>
    <s v="Apparel"/>
  </r>
  <r>
    <x v="4"/>
    <x v="5"/>
    <s v="Jul-17"/>
    <x v="5"/>
    <n v="138.6"/>
    <n v="135.5"/>
    <n v="136.80000000000001"/>
    <s v="Education"/>
  </r>
  <r>
    <x v="4"/>
    <x v="5"/>
    <s v="Jul-17"/>
    <x v="4"/>
    <n v="129.80000000000001"/>
    <n v="129.4"/>
    <n v="129.6"/>
    <s v="Food &amp; Beverages"/>
  </r>
  <r>
    <x v="4"/>
    <x v="5"/>
    <s v="Jul-17"/>
    <x v="8"/>
    <n v="138.5"/>
    <n v="139.80000000000001"/>
    <n v="139"/>
    <s v="Food &amp; Beverages"/>
  </r>
  <r>
    <x v="4"/>
    <x v="5"/>
    <s v="Jul-17"/>
    <x v="10"/>
    <n v="138.1"/>
    <n v="123.7"/>
    <n v="132.1"/>
    <s v="Apparel"/>
  </r>
  <r>
    <x v="4"/>
    <x v="5"/>
    <s v="Jul-17"/>
    <x v="9"/>
    <n v="143.9"/>
    <n v="139.4"/>
    <n v="141.80000000000001"/>
    <s v="Food &amp; Beverages"/>
  </r>
  <r>
    <x v="4"/>
    <x v="5"/>
    <s v="Jul-17"/>
    <x v="13"/>
    <n v="135.30000000000001"/>
    <n v="119.7"/>
    <n v="129.4"/>
    <s v="Energy"/>
  </r>
  <r>
    <x v="4"/>
    <x v="5"/>
    <s v="Jul-17"/>
    <x v="15"/>
    <n v="136.19999999999999"/>
    <n v="131.80000000000001"/>
    <n v="134.19999999999999"/>
    <s v="General Index"/>
  </r>
  <r>
    <x v="4"/>
    <x v="5"/>
    <s v="Jul-17"/>
    <x v="17"/>
    <n v="132.1"/>
    <n v="125"/>
    <n v="129.4"/>
    <s v="Health"/>
  </r>
  <r>
    <x v="4"/>
    <x v="5"/>
    <s v="Jul-17"/>
    <x v="19"/>
    <n v="136.1"/>
    <n v="127.2"/>
    <n v="131.9"/>
    <s v="Housing"/>
  </r>
  <r>
    <x v="4"/>
    <x v="5"/>
    <s v="Jul-17"/>
    <x v="21"/>
    <n v="0"/>
    <n v="132.6"/>
    <n v="132.6"/>
    <s v="Housing"/>
  </r>
  <r>
    <x v="4"/>
    <x v="5"/>
    <s v="Jul-17"/>
    <x v="2"/>
    <n v="144.19999999999999"/>
    <n v="148.4"/>
    <n v="145.69999999999999"/>
    <s v="Food &amp; Beverages"/>
  </r>
  <r>
    <x v="4"/>
    <x v="5"/>
    <s v="Jul-17"/>
    <x v="6"/>
    <n v="139"/>
    <n v="137.69999999999999"/>
    <n v="138.5"/>
    <s v="Food &amp; Beverages"/>
  </r>
  <r>
    <x v="4"/>
    <x v="5"/>
    <s v="Jul-17"/>
    <x v="23"/>
    <n v="128.6"/>
    <n v="123"/>
    <n v="125.9"/>
    <s v="Other goods &amp; services"/>
  </r>
  <r>
    <x v="4"/>
    <x v="5"/>
    <s v="Jul-17"/>
    <x v="18"/>
    <n v="131.4"/>
    <n v="124.4"/>
    <n v="128.5"/>
    <s v="Food &amp; Beverages"/>
  </r>
  <r>
    <x v="4"/>
    <x v="5"/>
    <s v="Jul-17"/>
    <x v="7"/>
    <n v="120.9"/>
    <n v="113.4"/>
    <n v="118.1"/>
    <s v="Food &amp; Beverages"/>
  </r>
  <r>
    <x v="4"/>
    <x v="5"/>
    <s v="Jul-17"/>
    <x v="22"/>
    <n v="147.4"/>
    <n v="150.5"/>
    <n v="148.19999999999999"/>
    <s v="Other goods &amp; services"/>
  </r>
  <r>
    <x v="4"/>
    <x v="5"/>
    <s v="Jul-17"/>
    <x v="24"/>
    <n v="124.4"/>
    <n v="122.4"/>
    <n v="123.6"/>
    <s v="Other goods &amp; services"/>
  </r>
  <r>
    <x v="4"/>
    <x v="5"/>
    <s v="Jul-17"/>
    <x v="20"/>
    <n v="147.69999999999999"/>
    <n v="143.69999999999999"/>
    <n v="145.80000000000001"/>
    <s v="Food &amp; Beverages"/>
  </r>
  <r>
    <x v="4"/>
    <x v="5"/>
    <s v="Jul-17"/>
    <x v="12"/>
    <n v="138.1"/>
    <n v="124.7"/>
    <n v="133.6"/>
    <s v="Food &amp; Beverages"/>
  </r>
  <r>
    <x v="4"/>
    <x v="5"/>
    <s v="Jul-17"/>
    <x v="26"/>
    <n v="130.6"/>
    <n v="123.5"/>
    <n v="126.6"/>
    <s v="Recreation"/>
  </r>
  <r>
    <x v="4"/>
    <x v="5"/>
    <s v="Jul-17"/>
    <x v="16"/>
    <n v="133.9"/>
    <n v="137.80000000000001"/>
    <n v="135.19999999999999"/>
    <s v="Food &amp; Beverages"/>
  </r>
  <r>
    <x v="4"/>
    <x v="5"/>
    <s v="Jul-17"/>
    <x v="14"/>
    <n v="120"/>
    <n v="121.5"/>
    <n v="120.5"/>
    <s v="Food &amp; Beverages"/>
  </r>
  <r>
    <x v="4"/>
    <x v="5"/>
    <s v="Jul-17"/>
    <x v="25"/>
    <n v="119.1"/>
    <n v="113.2"/>
    <n v="116"/>
    <s v="Transport"/>
  </r>
  <r>
    <x v="4"/>
    <x v="5"/>
    <s v="Jul-17"/>
    <x v="11"/>
    <n v="151.5"/>
    <n v="175.1"/>
    <n v="159.5"/>
    <s v="Food &amp; Beverages"/>
  </r>
  <r>
    <x v="4"/>
    <x v="6"/>
    <s v="Jun-17"/>
    <x v="0"/>
    <n v="133.5"/>
    <n v="132.9"/>
    <n v="133.30000000000001"/>
    <s v="Food &amp; Beverages"/>
  </r>
  <r>
    <x v="4"/>
    <x v="6"/>
    <s v="Jun-17"/>
    <x v="1"/>
    <n v="143.1"/>
    <n v="131.5"/>
    <n v="138.5"/>
    <s v="Apparel"/>
  </r>
  <r>
    <x v="4"/>
    <x v="6"/>
    <s v="Jun-17"/>
    <x v="3"/>
    <n v="142.30000000000001"/>
    <n v="130.19999999999999"/>
    <n v="137.5"/>
    <s v="Apparel"/>
  </r>
  <r>
    <x v="4"/>
    <x v="6"/>
    <s v="Jun-17"/>
    <x v="5"/>
    <n v="136.9"/>
    <n v="134.30000000000001"/>
    <n v="135.4"/>
    <s v="Education"/>
  </r>
  <r>
    <x v="4"/>
    <x v="6"/>
    <s v="Jun-17"/>
    <x v="4"/>
    <n v="128"/>
    <n v="128.30000000000001"/>
    <n v="128.1"/>
    <s v="Food &amp; Beverages"/>
  </r>
  <r>
    <x v="4"/>
    <x v="6"/>
    <s v="Jun-17"/>
    <x v="8"/>
    <n v="134.9"/>
    <n v="135.69999999999999"/>
    <n v="135.19999999999999"/>
    <s v="Food &amp; Beverages"/>
  </r>
  <r>
    <x v="4"/>
    <x v="6"/>
    <s v="Jun-17"/>
    <x v="10"/>
    <n v="137.69999999999999"/>
    <n v="123.2"/>
    <n v="131.69999999999999"/>
    <s v="Apparel"/>
  </r>
  <r>
    <x v="4"/>
    <x v="6"/>
    <s v="Jun-17"/>
    <x v="9"/>
    <n v="140.9"/>
    <n v="137.19999999999999"/>
    <n v="139.19999999999999"/>
    <s v="Food &amp; Beverages"/>
  </r>
  <r>
    <x v="4"/>
    <x v="6"/>
    <s v="Jun-17"/>
    <x v="13"/>
    <n v="134.80000000000001"/>
    <n v="119"/>
    <n v="128.80000000000001"/>
    <s v="Energy"/>
  </r>
  <r>
    <x v="4"/>
    <x v="6"/>
    <s v="Jun-17"/>
    <x v="15"/>
    <n v="133.9"/>
    <n v="129.9"/>
    <n v="132"/>
    <s v="General Index"/>
  </r>
  <r>
    <x v="4"/>
    <x v="6"/>
    <s v="Jun-17"/>
    <x v="17"/>
    <n v="131.30000000000001"/>
    <n v="123.8"/>
    <n v="128.5"/>
    <s v="Health"/>
  </r>
  <r>
    <x v="4"/>
    <x v="6"/>
    <s v="Jun-17"/>
    <x v="19"/>
    <n v="135.19999999999999"/>
    <n v="126.8"/>
    <n v="131.19999999999999"/>
    <s v="Housing"/>
  </r>
  <r>
    <x v="4"/>
    <x v="6"/>
    <s v="Jun-17"/>
    <x v="21"/>
    <n v="0"/>
    <n v="131.4"/>
    <n v="131.4"/>
    <s v="Housing"/>
  </r>
  <r>
    <x v="4"/>
    <x v="6"/>
    <s v="Jun-17"/>
    <x v="2"/>
    <n v="143.69999999999999"/>
    <n v="148.69999999999999"/>
    <n v="145.5"/>
    <s v="Food &amp; Beverages"/>
  </r>
  <r>
    <x v="4"/>
    <x v="6"/>
    <s v="Jun-17"/>
    <x v="6"/>
    <n v="138.6"/>
    <n v="137.30000000000001"/>
    <n v="138.1"/>
    <s v="Food &amp; Beverages"/>
  </r>
  <r>
    <x v="4"/>
    <x v="6"/>
    <s v="Jun-17"/>
    <x v="23"/>
    <n v="128.1"/>
    <n v="122.7"/>
    <n v="125.5"/>
    <s v="Other goods &amp; services"/>
  </r>
  <r>
    <x v="4"/>
    <x v="6"/>
    <s v="Jun-17"/>
    <x v="18"/>
    <n v="130.4"/>
    <n v="124.2"/>
    <n v="127.8"/>
    <s v="Food &amp; Beverages"/>
  </r>
  <r>
    <x v="4"/>
    <x v="6"/>
    <s v="Jun-17"/>
    <x v="7"/>
    <n v="120.9"/>
    <n v="113.5"/>
    <n v="118.2"/>
    <s v="Food &amp; Beverages"/>
  </r>
  <r>
    <x v="4"/>
    <x v="6"/>
    <s v="Jun-17"/>
    <x v="22"/>
    <n v="145.80000000000001"/>
    <n v="148.6"/>
    <n v="146.5"/>
    <s v="Other goods &amp; services"/>
  </r>
  <r>
    <x v="4"/>
    <x v="6"/>
    <s v="Jun-17"/>
    <x v="24"/>
    <n v="124.1"/>
    <n v="122.5"/>
    <n v="123.4"/>
    <s v="Other goods &amp; services"/>
  </r>
  <r>
    <x v="4"/>
    <x v="6"/>
    <s v="Jun-17"/>
    <x v="20"/>
    <n v="146.5"/>
    <n v="143.1"/>
    <n v="144.9"/>
    <s v="Food &amp; Beverages"/>
  </r>
  <r>
    <x v="4"/>
    <x v="6"/>
    <s v="Jun-17"/>
    <x v="12"/>
    <n v="140.19999999999999"/>
    <n v="128.19999999999999"/>
    <n v="136.19999999999999"/>
    <s v="Food &amp; Beverages"/>
  </r>
  <r>
    <x v="4"/>
    <x v="6"/>
    <s v="Jun-17"/>
    <x v="26"/>
    <n v="129.80000000000001"/>
    <n v="122.9"/>
    <n v="125.9"/>
    <s v="Recreation"/>
  </r>
  <r>
    <x v="4"/>
    <x v="6"/>
    <s v="Jun-17"/>
    <x v="16"/>
    <n v="133.5"/>
    <n v="138.80000000000001"/>
    <n v="135.30000000000001"/>
    <s v="Food &amp; Beverages"/>
  </r>
  <r>
    <x v="4"/>
    <x v="6"/>
    <s v="Jun-17"/>
    <x v="14"/>
    <n v="118.9"/>
    <n v="120.9"/>
    <n v="119.6"/>
    <s v="Food &amp; Beverages"/>
  </r>
  <r>
    <x v="4"/>
    <x v="6"/>
    <s v="Jun-17"/>
    <x v="25"/>
    <n v="119.4"/>
    <n v="113.9"/>
    <n v="116.5"/>
    <s v="Transport"/>
  </r>
  <r>
    <x v="4"/>
    <x v="6"/>
    <s v="Jun-17"/>
    <x v="11"/>
    <n v="128.80000000000001"/>
    <n v="142.19999999999999"/>
    <n v="133.30000000000001"/>
    <s v="Food &amp; Beverages"/>
  </r>
  <r>
    <x v="4"/>
    <x v="7"/>
    <s v="Mar-17"/>
    <x v="0"/>
    <n v="133.6"/>
    <n v="132.69999999999999"/>
    <n v="133.30000000000001"/>
    <s v="Food &amp; Beverages"/>
  </r>
  <r>
    <x v="4"/>
    <x v="7"/>
    <s v="Mar-17"/>
    <x v="1"/>
    <n v="141.6"/>
    <n v="130.80000000000001"/>
    <n v="137.30000000000001"/>
    <s v="Apparel"/>
  </r>
  <r>
    <x v="4"/>
    <x v="7"/>
    <s v="Mar-17"/>
    <x v="3"/>
    <n v="140.80000000000001"/>
    <n v="129.6"/>
    <n v="136.4"/>
    <s v="Apparel"/>
  </r>
  <r>
    <x v="4"/>
    <x v="7"/>
    <s v="Mar-17"/>
    <x v="5"/>
    <n v="135.19999999999999"/>
    <n v="132.80000000000001"/>
    <n v="133.80000000000001"/>
    <s v="Education"/>
  </r>
  <r>
    <x v="4"/>
    <x v="7"/>
    <s v="Mar-17"/>
    <x v="4"/>
    <n v="128.80000000000001"/>
    <n v="128.4"/>
    <n v="128.6"/>
    <s v="Food &amp; Beverages"/>
  </r>
  <r>
    <x v="4"/>
    <x v="7"/>
    <s v="Mar-17"/>
    <x v="8"/>
    <n v="133.4"/>
    <n v="132.6"/>
    <n v="133.1"/>
    <s v="Food &amp; Beverages"/>
  </r>
  <r>
    <x v="4"/>
    <x v="7"/>
    <s v="Mar-17"/>
    <x v="10"/>
    <n v="136.19999999999999"/>
    <n v="122.8"/>
    <n v="130.6"/>
    <s v="Apparel"/>
  </r>
  <r>
    <x v="4"/>
    <x v="7"/>
    <s v="Mar-17"/>
    <x v="9"/>
    <n v="139.69999999999999"/>
    <n v="136.80000000000001"/>
    <n v="138.30000000000001"/>
    <s v="Food &amp; Beverages"/>
  </r>
  <r>
    <x v="4"/>
    <x v="7"/>
    <s v="Mar-17"/>
    <x v="13"/>
    <n v="134.19999999999999"/>
    <n v="120.8"/>
    <n v="129.1"/>
    <s v="Energy"/>
  </r>
  <r>
    <x v="4"/>
    <x v="7"/>
    <s v="Mar-17"/>
    <x v="15"/>
    <n v="132.80000000000001"/>
    <n v="128.69999999999999"/>
    <n v="130.9"/>
    <s v="General Index"/>
  </r>
  <r>
    <x v="4"/>
    <x v="7"/>
    <s v="Mar-17"/>
    <x v="17"/>
    <n v="130.6"/>
    <n v="123.1"/>
    <n v="127.8"/>
    <s v="Health"/>
  </r>
  <r>
    <x v="4"/>
    <x v="7"/>
    <s v="Mar-17"/>
    <x v="19"/>
    <n v="134.1"/>
    <n v="125.6"/>
    <n v="130.1"/>
    <s v="Housing"/>
  </r>
  <r>
    <x v="4"/>
    <x v="7"/>
    <s v="Mar-17"/>
    <x v="21"/>
    <n v="0"/>
    <n v="131.1"/>
    <n v="131.1"/>
    <s v="Housing"/>
  </r>
  <r>
    <x v="4"/>
    <x v="7"/>
    <s v="Mar-17"/>
    <x v="2"/>
    <n v="138.80000000000001"/>
    <n v="139.4"/>
    <n v="139"/>
    <s v="Food &amp; Beverages"/>
  </r>
  <r>
    <x v="4"/>
    <x v="7"/>
    <s v="Mar-17"/>
    <x v="6"/>
    <n v="137.19999999999999"/>
    <n v="134.9"/>
    <n v="136.30000000000001"/>
    <s v="Food &amp; Beverages"/>
  </r>
  <r>
    <x v="4"/>
    <x v="7"/>
    <s v="Mar-17"/>
    <x v="23"/>
    <n v="127.4"/>
    <n v="122.6"/>
    <n v="125.1"/>
    <s v="Other goods &amp; services"/>
  </r>
  <r>
    <x v="4"/>
    <x v="7"/>
    <s v="Mar-17"/>
    <x v="18"/>
    <n v="129.80000000000001"/>
    <n v="123.6"/>
    <n v="127.2"/>
    <s v="Food &amp; Beverages"/>
  </r>
  <r>
    <x v="4"/>
    <x v="7"/>
    <s v="Mar-17"/>
    <x v="7"/>
    <n v="121.6"/>
    <n v="114"/>
    <n v="118.8"/>
    <s v="Food &amp; Beverages"/>
  </r>
  <r>
    <x v="4"/>
    <x v="7"/>
    <s v="Mar-17"/>
    <x v="22"/>
    <n v="144.19999999999999"/>
    <n v="147.5"/>
    <n v="145.1"/>
    <s v="Other goods &amp; services"/>
  </r>
  <r>
    <x v="4"/>
    <x v="7"/>
    <s v="Mar-17"/>
    <x v="24"/>
    <n v="123.3"/>
    <n v="121.7"/>
    <n v="122.6"/>
    <s v="Other goods &amp; services"/>
  </r>
  <r>
    <x v="4"/>
    <x v="7"/>
    <s v="Mar-17"/>
    <x v="20"/>
    <n v="145.4"/>
    <n v="142.4"/>
    <n v="144"/>
    <s v="Food &amp; Beverages"/>
  </r>
  <r>
    <x v="4"/>
    <x v="7"/>
    <s v="Mar-17"/>
    <x v="12"/>
    <n v="148"/>
    <n v="135.80000000000001"/>
    <n v="143.9"/>
    <s v="Food &amp; Beverages"/>
  </r>
  <r>
    <x v="4"/>
    <x v="7"/>
    <s v="Mar-17"/>
    <x v="26"/>
    <n v="128.30000000000001"/>
    <n v="122.4"/>
    <n v="125"/>
    <s v="Recreation"/>
  </r>
  <r>
    <x v="4"/>
    <x v="7"/>
    <s v="Mar-17"/>
    <x v="16"/>
    <n v="135.6"/>
    <n v="142.6"/>
    <n v="137.9"/>
    <s v="Food &amp; Beverages"/>
  </r>
  <r>
    <x v="4"/>
    <x v="7"/>
    <s v="Mar-17"/>
    <x v="14"/>
    <n v="116.9"/>
    <n v="120.3"/>
    <n v="118"/>
    <s v="Food &amp; Beverages"/>
  </r>
  <r>
    <x v="4"/>
    <x v="7"/>
    <s v="Mar-17"/>
    <x v="25"/>
    <n v="119.8"/>
    <n v="115.6"/>
    <n v="117.6"/>
    <s v="Transport"/>
  </r>
  <r>
    <x v="4"/>
    <x v="7"/>
    <s v="Mar-17"/>
    <x v="11"/>
    <n v="119.7"/>
    <n v="122.2"/>
    <n v="120.5"/>
    <s v="Food &amp; Beverages"/>
  </r>
  <r>
    <x v="4"/>
    <x v="8"/>
    <s v="May-17"/>
    <x v="0"/>
    <n v="133.1"/>
    <n v="132.6"/>
    <n v="132.9"/>
    <s v="Food &amp; Beverages"/>
  </r>
  <r>
    <x v="4"/>
    <x v="8"/>
    <s v="May-17"/>
    <x v="1"/>
    <n v="142.5"/>
    <n v="131.5"/>
    <n v="138.19999999999999"/>
    <s v="Apparel"/>
  </r>
  <r>
    <x v="4"/>
    <x v="8"/>
    <s v="May-17"/>
    <x v="3"/>
    <n v="141.80000000000001"/>
    <n v="130.19999999999999"/>
    <n v="137.19999999999999"/>
    <s v="Apparel"/>
  </r>
  <r>
    <x v="4"/>
    <x v="8"/>
    <s v="May-17"/>
    <x v="5"/>
    <n v="136.30000000000001"/>
    <n v="133.80000000000001"/>
    <n v="134.80000000000001"/>
    <s v="Education"/>
  </r>
  <r>
    <x v="4"/>
    <x v="8"/>
    <s v="May-17"/>
    <x v="4"/>
    <n v="126.8"/>
    <n v="125.6"/>
    <n v="126.3"/>
    <s v="Food &amp; Beverages"/>
  </r>
  <r>
    <x v="4"/>
    <x v="8"/>
    <s v="May-17"/>
    <x v="8"/>
    <n v="133.80000000000001"/>
    <n v="133.6"/>
    <n v="133.69999999999999"/>
    <s v="Food &amp; Beverages"/>
  </r>
  <r>
    <x v="4"/>
    <x v="8"/>
    <s v="May-17"/>
    <x v="10"/>
    <n v="137.30000000000001"/>
    <n v="123.2"/>
    <n v="131.4"/>
    <s v="Apparel"/>
  </r>
  <r>
    <x v="4"/>
    <x v="8"/>
    <s v="May-17"/>
    <x v="9"/>
    <n v="140.19999999999999"/>
    <n v="135.19999999999999"/>
    <n v="137.9"/>
    <s v="Food &amp; Beverages"/>
  </r>
  <r>
    <x v="4"/>
    <x v="8"/>
    <s v="May-17"/>
    <x v="13"/>
    <n v="135"/>
    <n v="120.1"/>
    <n v="129.4"/>
    <s v="Energy"/>
  </r>
  <r>
    <x v="4"/>
    <x v="8"/>
    <s v="May-17"/>
    <x v="15"/>
    <n v="133.30000000000001"/>
    <n v="129.30000000000001"/>
    <n v="131.4"/>
    <s v="General Index"/>
  </r>
  <r>
    <x v="4"/>
    <x v="8"/>
    <s v="May-17"/>
    <x v="17"/>
    <n v="131.4"/>
    <n v="123.6"/>
    <n v="128.4"/>
    <s v="Health"/>
  </r>
  <r>
    <x v="4"/>
    <x v="8"/>
    <s v="May-17"/>
    <x v="19"/>
    <n v="134.9"/>
    <n v="126.5"/>
    <n v="130.9"/>
    <s v="Housing"/>
  </r>
  <r>
    <x v="4"/>
    <x v="8"/>
    <s v="May-17"/>
    <x v="21"/>
    <n v="0"/>
    <n v="132.1"/>
    <n v="132.1"/>
    <s v="Housing"/>
  </r>
  <r>
    <x v="4"/>
    <x v="8"/>
    <s v="May-17"/>
    <x v="2"/>
    <n v="140.30000000000001"/>
    <n v="144.1"/>
    <n v="141.6"/>
    <s v="Food &amp; Beverages"/>
  </r>
  <r>
    <x v="4"/>
    <x v="8"/>
    <s v="May-17"/>
    <x v="6"/>
    <n v="138.19999999999999"/>
    <n v="136.80000000000001"/>
    <n v="137.69999999999999"/>
    <s v="Food &amp; Beverages"/>
  </r>
  <r>
    <x v="4"/>
    <x v="8"/>
    <s v="May-17"/>
    <x v="23"/>
    <n v="127.9"/>
    <n v="122.6"/>
    <n v="125.3"/>
    <s v="Other goods &amp; services"/>
  </r>
  <r>
    <x v="4"/>
    <x v="8"/>
    <s v="May-17"/>
    <x v="18"/>
    <n v="130.30000000000001"/>
    <n v="123.8"/>
    <n v="127.6"/>
    <s v="Food &amp; Beverages"/>
  </r>
  <r>
    <x v="4"/>
    <x v="8"/>
    <s v="May-17"/>
    <x v="7"/>
    <n v="120.8"/>
    <n v="113.4"/>
    <n v="118.1"/>
    <s v="Food &amp; Beverages"/>
  </r>
  <r>
    <x v="4"/>
    <x v="8"/>
    <s v="May-17"/>
    <x v="22"/>
    <n v="145.5"/>
    <n v="148.30000000000001"/>
    <n v="146.19999999999999"/>
    <s v="Other goods &amp; services"/>
  </r>
  <r>
    <x v="4"/>
    <x v="8"/>
    <s v="May-17"/>
    <x v="24"/>
    <n v="123.7"/>
    <n v="122"/>
    <n v="123"/>
    <s v="Other goods &amp; services"/>
  </r>
  <r>
    <x v="4"/>
    <x v="8"/>
    <s v="May-17"/>
    <x v="20"/>
    <n v="145.80000000000001"/>
    <n v="142.9"/>
    <n v="144.5"/>
    <s v="Food &amp; Beverages"/>
  </r>
  <r>
    <x v="4"/>
    <x v="8"/>
    <s v="May-17"/>
    <x v="12"/>
    <n v="141.80000000000001"/>
    <n v="131.5"/>
    <n v="138.30000000000001"/>
    <s v="Food &amp; Beverages"/>
  </r>
  <r>
    <x v="4"/>
    <x v="8"/>
    <s v="May-17"/>
    <x v="26"/>
    <n v="129.4"/>
    <n v="122.8"/>
    <n v="125.7"/>
    <s v="Recreation"/>
  </r>
  <r>
    <x v="4"/>
    <x v="8"/>
    <s v="May-17"/>
    <x v="16"/>
    <n v="134"/>
    <n v="139.9"/>
    <n v="136"/>
    <s v="Food &amp; Beverages"/>
  </r>
  <r>
    <x v="4"/>
    <x v="8"/>
    <s v="May-17"/>
    <x v="14"/>
    <n v="118.6"/>
    <n v="121"/>
    <n v="119.4"/>
    <s v="Food &amp; Beverages"/>
  </r>
  <r>
    <x v="4"/>
    <x v="8"/>
    <s v="May-17"/>
    <x v="25"/>
    <n v="119.4"/>
    <n v="114.3"/>
    <n v="116.7"/>
    <s v="Transport"/>
  </r>
  <r>
    <x v="4"/>
    <x v="8"/>
    <s v="May-17"/>
    <x v="11"/>
    <n v="123.8"/>
    <n v="129.19999999999999"/>
    <n v="125.6"/>
    <s v="Food &amp; Beverages"/>
  </r>
  <r>
    <x v="4"/>
    <x v="9"/>
    <s v="Nov-17"/>
    <x v="0"/>
    <n v="136.30000000000001"/>
    <n v="134.30000000000001"/>
    <n v="135.69999999999999"/>
    <s v="Food &amp; Beverages"/>
  </r>
  <r>
    <x v="4"/>
    <x v="9"/>
    <s v="Nov-17"/>
    <x v="1"/>
    <n v="148.19999999999999"/>
    <n v="135"/>
    <n v="143"/>
    <s v="Apparel"/>
  </r>
  <r>
    <x v="4"/>
    <x v="9"/>
    <s v="Nov-17"/>
    <x v="3"/>
    <n v="147.30000000000001"/>
    <n v="133.5"/>
    <n v="141.80000000000001"/>
    <s v="Apparel"/>
  </r>
  <r>
    <x v="4"/>
    <x v="9"/>
    <s v="Nov-17"/>
    <x v="5"/>
    <n v="141.5"/>
    <n v="136.6"/>
    <n v="138.6"/>
    <s v="Education"/>
  </r>
  <r>
    <x v="4"/>
    <x v="9"/>
    <s v="Nov-17"/>
    <x v="4"/>
    <n v="140.5"/>
    <n v="146.69999999999999"/>
    <n v="142.9"/>
    <s v="Food &amp; Beverages"/>
  </r>
  <r>
    <x v="4"/>
    <x v="9"/>
    <s v="Nov-17"/>
    <x v="8"/>
    <n v="142.4"/>
    <n v="141.5"/>
    <n v="142.1"/>
    <s v="Food &amp; Beverages"/>
  </r>
  <r>
    <x v="4"/>
    <x v="9"/>
    <s v="Nov-17"/>
    <x v="10"/>
    <n v="141.5"/>
    <n v="125.4"/>
    <n v="134.80000000000001"/>
    <s v="Apparel"/>
  </r>
  <r>
    <x v="4"/>
    <x v="9"/>
    <s v="Nov-17"/>
    <x v="9"/>
    <n v="147.30000000000001"/>
    <n v="136.4"/>
    <n v="142.19999999999999"/>
    <s v="Food &amp; Beverages"/>
  </r>
  <r>
    <x v="4"/>
    <x v="9"/>
    <s v="Nov-17"/>
    <x v="13"/>
    <n v="141.1"/>
    <n v="125.7"/>
    <n v="135.30000000000001"/>
    <s v="Energy"/>
  </r>
  <r>
    <x v="4"/>
    <x v="9"/>
    <s v="Nov-17"/>
    <x v="15"/>
    <n v="140"/>
    <n v="134.80000000000001"/>
    <n v="137.6"/>
    <s v="General Index"/>
  </r>
  <r>
    <x v="4"/>
    <x v="9"/>
    <s v="Nov-17"/>
    <x v="17"/>
    <n v="135.80000000000001"/>
    <n v="127.4"/>
    <n v="132.6"/>
    <s v="Health"/>
  </r>
  <r>
    <x v="4"/>
    <x v="9"/>
    <s v="Nov-17"/>
    <x v="19"/>
    <n v="139.4"/>
    <n v="128.80000000000001"/>
    <n v="134.4"/>
    <s v="Housing"/>
  </r>
  <r>
    <x v="4"/>
    <x v="9"/>
    <s v="Nov-17"/>
    <x v="21"/>
    <n v="0"/>
    <n v="138.6"/>
    <n v="138.6"/>
    <s v="Housing"/>
  </r>
  <r>
    <x v="4"/>
    <x v="9"/>
    <s v="Nov-17"/>
    <x v="2"/>
    <n v="142.5"/>
    <n v="142.1"/>
    <n v="142.4"/>
    <s v="Food &amp; Beverages"/>
  </r>
  <r>
    <x v="4"/>
    <x v="9"/>
    <s v="Nov-17"/>
    <x v="6"/>
    <n v="141.5"/>
    <n v="139.5"/>
    <n v="140.80000000000001"/>
    <s v="Food &amp; Beverages"/>
  </r>
  <r>
    <x v="4"/>
    <x v="9"/>
    <s v="Nov-17"/>
    <x v="23"/>
    <n v="131.69999999999999"/>
    <n v="124.9"/>
    <n v="128.4"/>
    <s v="Other goods &amp; services"/>
  </r>
  <r>
    <x v="4"/>
    <x v="9"/>
    <s v="Nov-17"/>
    <x v="18"/>
    <n v="131.9"/>
    <n v="125.4"/>
    <n v="129.19999999999999"/>
    <s v="Food &amp; Beverages"/>
  </r>
  <r>
    <x v="4"/>
    <x v="9"/>
    <s v="Nov-17"/>
    <x v="7"/>
    <n v="121.6"/>
    <n v="115.2"/>
    <n v="119.2"/>
    <s v="Food &amp; Beverages"/>
  </r>
  <r>
    <x v="4"/>
    <x v="9"/>
    <s v="Nov-17"/>
    <x v="22"/>
    <n v="152.1"/>
    <n v="156.19999999999999"/>
    <n v="153.19999999999999"/>
    <s v="Other goods &amp; services"/>
  </r>
  <r>
    <x v="4"/>
    <x v="9"/>
    <s v="Nov-17"/>
    <x v="24"/>
    <n v="128.1"/>
    <n v="124.9"/>
    <n v="126.8"/>
    <s v="Other goods &amp; services"/>
  </r>
  <r>
    <x v="4"/>
    <x v="9"/>
    <s v="Nov-17"/>
    <x v="20"/>
    <n v="151.4"/>
    <n v="146"/>
    <n v="148.9"/>
    <s v="Food &amp; Beverages"/>
  </r>
  <r>
    <x v="4"/>
    <x v="9"/>
    <s v="Nov-17"/>
    <x v="12"/>
    <n v="135.80000000000001"/>
    <n v="122.2"/>
    <n v="131.19999999999999"/>
    <s v="Food &amp; Beverages"/>
  </r>
  <r>
    <x v="4"/>
    <x v="9"/>
    <s v="Nov-17"/>
    <x v="26"/>
    <n v="133.69999999999999"/>
    <n v="125.1"/>
    <n v="128.9"/>
    <s v="Recreation"/>
  </r>
  <r>
    <x v="4"/>
    <x v="9"/>
    <s v="Nov-17"/>
    <x v="16"/>
    <n v="136"/>
    <n v="138.30000000000001"/>
    <n v="136.80000000000001"/>
    <s v="Food &amp; Beverages"/>
  </r>
  <r>
    <x v="4"/>
    <x v="9"/>
    <s v="Nov-17"/>
    <x v="14"/>
    <n v="122.5"/>
    <n v="123.9"/>
    <n v="123"/>
    <s v="Food &amp; Beverages"/>
  </r>
  <r>
    <x v="4"/>
    <x v="9"/>
    <s v="Nov-17"/>
    <x v="25"/>
    <n v="121.6"/>
    <n v="115.3"/>
    <n v="118.3"/>
    <s v="Transport"/>
  </r>
  <r>
    <x v="4"/>
    <x v="9"/>
    <s v="Nov-17"/>
    <x v="11"/>
    <n v="168"/>
    <n v="185.2"/>
    <n v="173.8"/>
    <s v="Food &amp; Beverages"/>
  </r>
  <r>
    <x v="4"/>
    <x v="10"/>
    <s v="Oct-17"/>
    <x v="0"/>
    <n v="135.9"/>
    <n v="133.9"/>
    <n v="135.30000000000001"/>
    <s v="Food &amp; Beverages"/>
  </r>
  <r>
    <x v="4"/>
    <x v="10"/>
    <s v="Oct-17"/>
    <x v="1"/>
    <n v="147.19999999999999"/>
    <n v="134"/>
    <n v="142"/>
    <s v="Apparel"/>
  </r>
  <r>
    <x v="4"/>
    <x v="10"/>
    <s v="Oct-17"/>
    <x v="3"/>
    <n v="146.19999999999999"/>
    <n v="132.6"/>
    <n v="140.80000000000001"/>
    <s v="Apparel"/>
  </r>
  <r>
    <x v="4"/>
    <x v="10"/>
    <s v="Oct-17"/>
    <x v="5"/>
    <n v="140.1"/>
    <n v="136.30000000000001"/>
    <n v="137.9"/>
    <s v="Education"/>
  </r>
  <r>
    <x v="4"/>
    <x v="10"/>
    <s v="Oct-17"/>
    <x v="4"/>
    <n v="131"/>
    <n v="131.4"/>
    <n v="131.19999999999999"/>
    <s v="Food &amp; Beverages"/>
  </r>
  <r>
    <x v="4"/>
    <x v="10"/>
    <s v="Oct-17"/>
    <x v="8"/>
    <n v="140.4"/>
    <n v="139.69999999999999"/>
    <n v="140.1"/>
    <s v="Food &amp; Beverages"/>
  </r>
  <r>
    <x v="4"/>
    <x v="10"/>
    <s v="Oct-17"/>
    <x v="10"/>
    <n v="140.6"/>
    <n v="124.9"/>
    <n v="134.1"/>
    <s v="Apparel"/>
  </r>
  <r>
    <x v="4"/>
    <x v="10"/>
    <s v="Oct-17"/>
    <x v="9"/>
    <n v="146.69999999999999"/>
    <n v="135.6"/>
    <n v="141.5"/>
    <s v="Food &amp; Beverages"/>
  </r>
  <r>
    <x v="4"/>
    <x v="10"/>
    <s v="Oct-17"/>
    <x v="13"/>
    <n v="138.1"/>
    <n v="122.6"/>
    <n v="132.19999999999999"/>
    <s v="Energy"/>
  </r>
  <r>
    <x v="4"/>
    <x v="10"/>
    <s v="Oct-17"/>
    <x v="15"/>
    <n v="138.30000000000001"/>
    <n v="133.5"/>
    <n v="136.1"/>
    <s v="General Index"/>
  </r>
  <r>
    <x v="4"/>
    <x v="10"/>
    <s v="Oct-17"/>
    <x v="17"/>
    <n v="134.19999999999999"/>
    <n v="126.6"/>
    <n v="131.30000000000001"/>
    <s v="Health"/>
  </r>
  <r>
    <x v="4"/>
    <x v="10"/>
    <s v="Oct-17"/>
    <x v="19"/>
    <n v="138.4"/>
    <n v="128.30000000000001"/>
    <n v="133.6"/>
    <s v="Housing"/>
  </r>
  <r>
    <x v="4"/>
    <x v="10"/>
    <s v="Oct-17"/>
    <x v="21"/>
    <n v="0"/>
    <n v="137.30000000000001"/>
    <n v="137.30000000000001"/>
    <s v="Housing"/>
  </r>
  <r>
    <x v="4"/>
    <x v="10"/>
    <s v="Oct-17"/>
    <x v="2"/>
    <n v="141.9"/>
    <n v="142.80000000000001"/>
    <n v="142.19999999999999"/>
    <s v="Food &amp; Beverages"/>
  </r>
  <r>
    <x v="4"/>
    <x v="10"/>
    <s v="Oct-17"/>
    <x v="6"/>
    <n v="141.5"/>
    <n v="139.1"/>
    <n v="140.6"/>
    <s v="Food &amp; Beverages"/>
  </r>
  <r>
    <x v="4"/>
    <x v="10"/>
    <s v="Oct-17"/>
    <x v="23"/>
    <n v="130.69999999999999"/>
    <n v="124.5"/>
    <n v="127.7"/>
    <s v="Other goods &amp; services"/>
  </r>
  <r>
    <x v="4"/>
    <x v="10"/>
    <s v="Oct-17"/>
    <x v="18"/>
    <n v="131.30000000000001"/>
    <n v="125.1"/>
    <n v="128.69999999999999"/>
    <s v="Food &amp; Beverages"/>
  </r>
  <r>
    <x v="4"/>
    <x v="10"/>
    <s v="Oct-17"/>
    <x v="7"/>
    <n v="121.4"/>
    <n v="114.9"/>
    <n v="119"/>
    <s v="Food &amp; Beverages"/>
  </r>
  <r>
    <x v="4"/>
    <x v="10"/>
    <s v="Oct-17"/>
    <x v="22"/>
    <n v="150.5"/>
    <n v="154.6"/>
    <n v="151.6"/>
    <s v="Other goods &amp; services"/>
  </r>
  <r>
    <x v="4"/>
    <x v="10"/>
    <s v="Oct-17"/>
    <x v="24"/>
    <n v="127.4"/>
    <n v="124.6"/>
    <n v="126.2"/>
    <s v="Other goods &amp; services"/>
  </r>
  <r>
    <x v="4"/>
    <x v="10"/>
    <s v="Oct-17"/>
    <x v="20"/>
    <n v="150.30000000000001"/>
    <n v="145.5"/>
    <n v="148.1"/>
    <s v="Food &amp; Beverages"/>
  </r>
  <r>
    <x v="4"/>
    <x v="10"/>
    <s v="Oct-17"/>
    <x v="12"/>
    <n v="136.4"/>
    <n v="124.1"/>
    <n v="132.30000000000001"/>
    <s v="Food &amp; Beverages"/>
  </r>
  <r>
    <x v="4"/>
    <x v="10"/>
    <s v="Oct-17"/>
    <x v="26"/>
    <n v="133"/>
    <n v="124.8"/>
    <n v="128.4"/>
    <s v="Recreation"/>
  </r>
  <r>
    <x v="4"/>
    <x v="10"/>
    <s v="Oct-17"/>
    <x v="16"/>
    <n v="135.6"/>
    <n v="137.80000000000001"/>
    <n v="136.30000000000001"/>
    <s v="Food &amp; Beverages"/>
  </r>
  <r>
    <x v="4"/>
    <x v="10"/>
    <s v="Oct-17"/>
    <x v="14"/>
    <n v="121.4"/>
    <n v="122.6"/>
    <n v="121.8"/>
    <s v="Food &amp; Beverages"/>
  </r>
  <r>
    <x v="4"/>
    <x v="10"/>
    <s v="Oct-17"/>
    <x v="25"/>
    <n v="121"/>
    <n v="115"/>
    <n v="117.8"/>
    <s v="Transport"/>
  </r>
  <r>
    <x v="4"/>
    <x v="10"/>
    <s v="Oct-17"/>
    <x v="11"/>
    <n v="157.1"/>
    <n v="173.2"/>
    <n v="162.6"/>
    <s v="Food &amp; Beverages"/>
  </r>
  <r>
    <x v="4"/>
    <x v="11"/>
    <s v="Sep-17"/>
    <x v="0"/>
    <n v="135.19999999999999"/>
    <n v="133.6"/>
    <n v="134.69999999999999"/>
    <s v="Food &amp; Beverages"/>
  </r>
  <r>
    <x v="4"/>
    <x v="11"/>
    <s v="Sep-17"/>
    <x v="1"/>
    <n v="146.1"/>
    <n v="133.30000000000001"/>
    <n v="141.1"/>
    <s v="Apparel"/>
  </r>
  <r>
    <x v="4"/>
    <x v="11"/>
    <s v="Sep-17"/>
    <x v="3"/>
    <n v="145.19999999999999"/>
    <n v="132"/>
    <n v="140"/>
    <s v="Apparel"/>
  </r>
  <r>
    <x v="4"/>
    <x v="11"/>
    <s v="Sep-17"/>
    <x v="5"/>
    <n v="139.6"/>
    <n v="135.9"/>
    <n v="137.4"/>
    <s v="Education"/>
  </r>
  <r>
    <x v="4"/>
    <x v="11"/>
    <s v="Sep-17"/>
    <x v="4"/>
    <n v="130.5"/>
    <n v="129.69999999999999"/>
    <n v="130.19999999999999"/>
    <s v="Food &amp; Beverages"/>
  </r>
  <r>
    <x v="4"/>
    <x v="11"/>
    <s v="Sep-17"/>
    <x v="8"/>
    <n v="139.6"/>
    <n v="138"/>
    <n v="139"/>
    <s v="Food &amp; Beverages"/>
  </r>
  <r>
    <x v="4"/>
    <x v="11"/>
    <s v="Sep-17"/>
    <x v="10"/>
    <n v="139.69999999999999"/>
    <n v="124.6"/>
    <n v="133.4"/>
    <s v="Apparel"/>
  </r>
  <r>
    <x v="4"/>
    <x v="11"/>
    <s v="Sep-17"/>
    <x v="9"/>
    <n v="147.80000000000001"/>
    <n v="137.5"/>
    <n v="143"/>
    <s v="Food &amp; Beverages"/>
  </r>
  <r>
    <x v="4"/>
    <x v="11"/>
    <s v="Sep-17"/>
    <x v="13"/>
    <n v="137.4"/>
    <n v="120.6"/>
    <n v="131"/>
    <s v="Energy"/>
  </r>
  <r>
    <x v="4"/>
    <x v="11"/>
    <s v="Sep-17"/>
    <x v="15"/>
    <n v="137.6"/>
    <n v="132.4"/>
    <n v="135.19999999999999"/>
    <s v="General Index"/>
  </r>
  <r>
    <x v="4"/>
    <x v="11"/>
    <s v="Sep-17"/>
    <x v="17"/>
    <n v="133.4"/>
    <n v="126.1"/>
    <n v="130.6"/>
    <s v="Health"/>
  </r>
  <r>
    <x v="4"/>
    <x v="11"/>
    <s v="Sep-17"/>
    <x v="19"/>
    <n v="137.9"/>
    <n v="128.1"/>
    <n v="133.30000000000001"/>
    <s v="Housing"/>
  </r>
  <r>
    <x v="4"/>
    <x v="11"/>
    <s v="Sep-17"/>
    <x v="21"/>
    <n v="0"/>
    <n v="135.69999999999999"/>
    <n v="135.69999999999999"/>
    <s v="Housing"/>
  </r>
  <r>
    <x v="4"/>
    <x v="11"/>
    <s v="Sep-17"/>
    <x v="2"/>
    <n v="142"/>
    <n v="143"/>
    <n v="142.4"/>
    <s v="Food &amp; Beverages"/>
  </r>
  <r>
    <x v="4"/>
    <x v="11"/>
    <s v="Sep-17"/>
    <x v="6"/>
    <n v="140.19999999999999"/>
    <n v="138.69999999999999"/>
    <n v="139.6"/>
    <s v="Food &amp; Beverages"/>
  </r>
  <r>
    <x v="4"/>
    <x v="11"/>
    <s v="Sep-17"/>
    <x v="23"/>
    <n v="130.30000000000001"/>
    <n v="124.5"/>
    <n v="127.5"/>
    <s v="Other goods &amp; services"/>
  </r>
  <r>
    <x v="4"/>
    <x v="11"/>
    <s v="Sep-17"/>
    <x v="18"/>
    <n v="131.69999999999999"/>
    <n v="124.8"/>
    <n v="128.80000000000001"/>
    <s v="Food &amp; Beverages"/>
  </r>
  <r>
    <x v="4"/>
    <x v="11"/>
    <s v="Sep-17"/>
    <x v="7"/>
    <n v="120.7"/>
    <n v="114.5"/>
    <n v="118.4"/>
    <s v="Food &amp; Beverages"/>
  </r>
  <r>
    <x v="4"/>
    <x v="11"/>
    <s v="Sep-17"/>
    <x v="22"/>
    <n v="149.80000000000001"/>
    <n v="153.6"/>
    <n v="150.80000000000001"/>
    <s v="Other goods &amp; services"/>
  </r>
  <r>
    <x v="4"/>
    <x v="11"/>
    <s v="Sep-17"/>
    <x v="24"/>
    <n v="126.7"/>
    <n v="124.4"/>
    <n v="125.7"/>
    <s v="Other goods &amp; services"/>
  </r>
  <r>
    <x v="4"/>
    <x v="11"/>
    <s v="Sep-17"/>
    <x v="20"/>
    <n v="149.30000000000001"/>
    <n v="145"/>
    <n v="147.30000000000001"/>
    <s v="Food &amp; Beverages"/>
  </r>
  <r>
    <x v="4"/>
    <x v="11"/>
    <s v="Sep-17"/>
    <x v="12"/>
    <n v="137.1"/>
    <n v="124.5"/>
    <n v="132.9"/>
    <s v="Food &amp; Beverages"/>
  </r>
  <r>
    <x v="4"/>
    <x v="11"/>
    <s v="Sep-17"/>
    <x v="26"/>
    <n v="132.30000000000001"/>
    <n v="124.5"/>
    <n v="127.9"/>
    <s v="Recreation"/>
  </r>
  <r>
    <x v="4"/>
    <x v="11"/>
    <s v="Sep-17"/>
    <x v="16"/>
    <n v="134.69999999999999"/>
    <n v="137.30000000000001"/>
    <n v="135.6"/>
    <s v="Food &amp; Beverages"/>
  </r>
  <r>
    <x v="4"/>
    <x v="11"/>
    <s v="Sep-17"/>
    <x v="14"/>
    <n v="121"/>
    <n v="122.4"/>
    <n v="121.5"/>
    <s v="Food &amp; Beverages"/>
  </r>
  <r>
    <x v="4"/>
    <x v="11"/>
    <s v="Sep-17"/>
    <x v="25"/>
    <n v="121.2"/>
    <n v="115.7"/>
    <n v="118.3"/>
    <s v="Transport"/>
  </r>
  <r>
    <x v="4"/>
    <x v="11"/>
    <s v="Sep-17"/>
    <x v="11"/>
    <n v="154.5"/>
    <n v="160.69999999999999"/>
    <n v="156.6"/>
    <s v="Food &amp; Beverages"/>
  </r>
  <r>
    <x v="5"/>
    <x v="0"/>
    <s v="Apr-18"/>
    <x v="0"/>
    <n v="137.1"/>
    <n v="135"/>
    <n v="136.4"/>
    <s v="Food &amp; Beverages"/>
  </r>
  <r>
    <x v="5"/>
    <x v="0"/>
    <s v="Apr-18"/>
    <x v="1"/>
    <n v="150.1"/>
    <n v="137.80000000000001"/>
    <n v="145.30000000000001"/>
    <s v="Apparel"/>
  </r>
  <r>
    <x v="5"/>
    <x v="0"/>
    <s v="Apr-18"/>
    <x v="3"/>
    <n v="149.1"/>
    <n v="136.19999999999999"/>
    <n v="144"/>
    <s v="Apparel"/>
  </r>
  <r>
    <x v="5"/>
    <x v="0"/>
    <s v="Apr-18"/>
    <x v="5"/>
    <n v="143.69999999999999"/>
    <n v="139.69999999999999"/>
    <n v="141.4"/>
    <s v="Education"/>
  </r>
  <r>
    <x v="5"/>
    <x v="0"/>
    <s v="Apr-18"/>
    <x v="4"/>
    <n v="135.9"/>
    <n v="130.80000000000001"/>
    <n v="133.9"/>
    <s v="Food &amp; Beverages"/>
  </r>
  <r>
    <x v="5"/>
    <x v="0"/>
    <s v="Apr-18"/>
    <x v="8"/>
    <n v="138.6"/>
    <n v="135.69999999999999"/>
    <n v="137.5"/>
    <s v="Food &amp; Beverages"/>
  </r>
  <r>
    <x v="5"/>
    <x v="0"/>
    <s v="Apr-18"/>
    <x v="10"/>
    <n v="143.30000000000001"/>
    <n v="127.4"/>
    <n v="136.69999999999999"/>
    <s v="Apparel"/>
  </r>
  <r>
    <x v="5"/>
    <x v="0"/>
    <s v="Apr-18"/>
    <x v="9"/>
    <n v="156.4"/>
    <n v="150.1"/>
    <n v="153.5"/>
    <s v="Food &amp; Beverages"/>
  </r>
  <r>
    <x v="5"/>
    <x v="0"/>
    <s v="Apr-18"/>
    <x v="13"/>
    <n v="143.80000000000001"/>
    <n v="124.6"/>
    <n v="136.5"/>
    <s v="Energy"/>
  </r>
  <r>
    <x v="5"/>
    <x v="0"/>
    <s v="Apr-18"/>
    <x v="15"/>
    <n v="139.1"/>
    <n v="134.80000000000001"/>
    <n v="137.1"/>
    <s v="General Index"/>
  </r>
  <r>
    <x v="5"/>
    <x v="0"/>
    <s v="Apr-18"/>
    <x v="17"/>
    <n v="137.6"/>
    <n v="131.30000000000001"/>
    <n v="135.19999999999999"/>
    <s v="Health"/>
  </r>
  <r>
    <x v="5"/>
    <x v="0"/>
    <s v="Apr-18"/>
    <x v="19"/>
    <n v="140.9"/>
    <n v="131.80000000000001"/>
    <n v="136.6"/>
    <s v="Housing"/>
  </r>
  <r>
    <x v="5"/>
    <x v="0"/>
    <s v="Apr-18"/>
    <x v="21"/>
    <n v="0"/>
    <n v="142.9"/>
    <n v="142.9"/>
    <s v="Housing"/>
  </r>
  <r>
    <x v="5"/>
    <x v="0"/>
    <s v="Apr-18"/>
    <x v="2"/>
    <n v="144.5"/>
    <n v="144.30000000000001"/>
    <n v="144.4"/>
    <s v="Food &amp; Beverages"/>
  </r>
  <r>
    <x v="5"/>
    <x v="0"/>
    <s v="Apr-18"/>
    <x v="6"/>
    <n v="142.4"/>
    <n v="140.30000000000001"/>
    <n v="141.6"/>
    <s v="Food &amp; Beverages"/>
  </r>
  <r>
    <x v="5"/>
    <x v="0"/>
    <s v="Apr-18"/>
    <x v="23"/>
    <n v="134.19999999999999"/>
    <n v="128.19999999999999"/>
    <n v="131.30000000000001"/>
    <s v="Other goods &amp; services"/>
  </r>
  <r>
    <x v="5"/>
    <x v="0"/>
    <s v="Apr-18"/>
    <x v="18"/>
    <n v="131.9"/>
    <n v="126.5"/>
    <n v="129.6"/>
    <s v="Food &amp; Beverages"/>
  </r>
  <r>
    <x v="5"/>
    <x v="0"/>
    <s v="Apr-18"/>
    <x v="7"/>
    <n v="123.5"/>
    <n v="116.6"/>
    <n v="121"/>
    <s v="Food &amp; Beverages"/>
  </r>
  <r>
    <x v="5"/>
    <x v="0"/>
    <s v="Apr-18"/>
    <x v="22"/>
    <n v="156.1"/>
    <n v="159.19999999999999"/>
    <n v="156.9"/>
    <s v="Other goods &amp; services"/>
  </r>
  <r>
    <x v="5"/>
    <x v="0"/>
    <s v="Apr-18"/>
    <x v="24"/>
    <n v="130.4"/>
    <n v="127.6"/>
    <n v="129.19999999999999"/>
    <s v="Other goods &amp; services"/>
  </r>
  <r>
    <x v="5"/>
    <x v="0"/>
    <s v="Apr-18"/>
    <x v="20"/>
    <n v="153.80000000000001"/>
    <n v="148.30000000000001"/>
    <n v="151.19999999999999"/>
    <s v="Food &amp; Beverages"/>
  </r>
  <r>
    <x v="5"/>
    <x v="0"/>
    <s v="Apr-18"/>
    <x v="12"/>
    <n v="128.4"/>
    <n v="114"/>
    <n v="123.5"/>
    <s v="Food &amp; Beverages"/>
  </r>
  <r>
    <x v="5"/>
    <x v="0"/>
    <s v="Apr-18"/>
    <x v="26"/>
    <n v="136"/>
    <n v="127.6"/>
    <n v="131.30000000000001"/>
    <s v="Recreation"/>
  </r>
  <r>
    <x v="5"/>
    <x v="0"/>
    <s v="Apr-18"/>
    <x v="16"/>
    <n v="137.19999999999999"/>
    <n v="140.19999999999999"/>
    <n v="138.19999999999999"/>
    <s v="Food &amp; Beverages"/>
  </r>
  <r>
    <x v="5"/>
    <x v="0"/>
    <s v="Apr-18"/>
    <x v="14"/>
    <n v="115.2"/>
    <n v="110.6"/>
    <n v="113.7"/>
    <s v="Food &amp; Beverages"/>
  </r>
  <r>
    <x v="5"/>
    <x v="0"/>
    <s v="Apr-18"/>
    <x v="25"/>
    <n v="125.3"/>
    <n v="118.9"/>
    <n v="121.9"/>
    <s v="Transport"/>
  </r>
  <r>
    <x v="5"/>
    <x v="0"/>
    <s v="Apr-18"/>
    <x v="11"/>
    <n v="135.1"/>
    <n v="127.6"/>
    <n v="132.6"/>
    <s v="Food &amp; Beverages"/>
  </r>
  <r>
    <x v="5"/>
    <x v="1"/>
    <s v="Aug-18"/>
    <x v="0"/>
    <n v="139.19999999999999"/>
    <n v="136.5"/>
    <n v="138.30000000000001"/>
    <s v="Food &amp; Beverages"/>
  </r>
  <r>
    <x v="5"/>
    <x v="1"/>
    <s v="Aug-18"/>
    <x v="1"/>
    <n v="152.1"/>
    <n v="140"/>
    <n v="147.30000000000001"/>
    <s v="Apparel"/>
  </r>
  <r>
    <x v="5"/>
    <x v="1"/>
    <s v="Aug-18"/>
    <x v="3"/>
    <n v="151.30000000000001"/>
    <n v="138.30000000000001"/>
    <n v="146.1"/>
    <s v="Apparel"/>
  </r>
  <r>
    <x v="5"/>
    <x v="1"/>
    <s v="Aug-18"/>
    <x v="5"/>
    <n v="146.9"/>
    <n v="145.30000000000001"/>
    <n v="146"/>
    <s v="Education"/>
  </r>
  <r>
    <x v="5"/>
    <x v="1"/>
    <s v="Aug-18"/>
    <x v="4"/>
    <n v="139.1"/>
    <n v="136.6"/>
    <n v="138.1"/>
    <s v="Food &amp; Beverages"/>
  </r>
  <r>
    <x v="5"/>
    <x v="1"/>
    <s v="Aug-18"/>
    <x v="8"/>
    <n v="142.69999999999999"/>
    <n v="140.1"/>
    <n v="141.69999999999999"/>
    <s v="Food &amp; Beverages"/>
  </r>
  <r>
    <x v="5"/>
    <x v="1"/>
    <s v="Aug-18"/>
    <x v="10"/>
    <n v="145.80000000000001"/>
    <n v="129"/>
    <n v="138.80000000000001"/>
    <s v="Apparel"/>
  </r>
  <r>
    <x v="5"/>
    <x v="1"/>
    <s v="Aug-18"/>
    <x v="9"/>
    <n v="154.4"/>
    <n v="146.30000000000001"/>
    <n v="150.6"/>
    <s v="Food &amp; Beverages"/>
  </r>
  <r>
    <x v="5"/>
    <x v="1"/>
    <s v="Aug-18"/>
    <x v="13"/>
    <n v="147.69999999999999"/>
    <n v="129.80000000000001"/>
    <n v="140.9"/>
    <s v="Energy"/>
  </r>
  <r>
    <x v="5"/>
    <x v="1"/>
    <s v="Aug-18"/>
    <x v="15"/>
    <n v="142.5"/>
    <n v="138"/>
    <n v="140.4"/>
    <s v="General Index"/>
  </r>
  <r>
    <x v="5"/>
    <x v="1"/>
    <s v="Aug-18"/>
    <x v="17"/>
    <n v="139.4"/>
    <n v="134.9"/>
    <n v="137.69999999999999"/>
    <s v="Health"/>
  </r>
  <r>
    <x v="5"/>
    <x v="1"/>
    <s v="Aug-18"/>
    <x v="19"/>
    <n v="143.80000000000001"/>
    <n v="134.4"/>
    <n v="139.4"/>
    <s v="Housing"/>
  </r>
  <r>
    <x v="5"/>
    <x v="1"/>
    <s v="Aug-18"/>
    <x v="21"/>
    <n v="0"/>
    <n v="144.6"/>
    <n v="144.6"/>
    <s v="Housing"/>
  </r>
  <r>
    <x v="5"/>
    <x v="1"/>
    <s v="Aug-18"/>
    <x v="2"/>
    <n v="148.80000000000001"/>
    <n v="146.4"/>
    <n v="148"/>
    <s v="Food &amp; Beverages"/>
  </r>
  <r>
    <x v="5"/>
    <x v="1"/>
    <s v="Aug-18"/>
    <x v="6"/>
    <n v="143.5"/>
    <n v="141.19999999999999"/>
    <n v="142.6"/>
    <s v="Food &amp; Beverages"/>
  </r>
  <r>
    <x v="5"/>
    <x v="1"/>
    <s v="Aug-18"/>
    <x v="23"/>
    <n v="136.6"/>
    <n v="131"/>
    <n v="133.9"/>
    <s v="Other goods &amp; services"/>
  </r>
  <r>
    <x v="5"/>
    <x v="1"/>
    <s v="Aug-18"/>
    <x v="18"/>
    <n v="133.80000000000001"/>
    <n v="127.4"/>
    <n v="131.1"/>
    <s v="Food &amp; Beverages"/>
  </r>
  <r>
    <x v="5"/>
    <x v="1"/>
    <s v="Aug-18"/>
    <x v="7"/>
    <n v="125"/>
    <n v="117.4"/>
    <n v="122.2"/>
    <s v="Food &amp; Beverages"/>
  </r>
  <r>
    <x v="5"/>
    <x v="1"/>
    <s v="Aug-18"/>
    <x v="22"/>
    <n v="156.4"/>
    <n v="162.1"/>
    <n v="157.9"/>
    <s v="Other goods &amp; services"/>
  </r>
  <r>
    <x v="5"/>
    <x v="1"/>
    <s v="Aug-18"/>
    <x v="24"/>
    <n v="131.30000000000001"/>
    <n v="128.30000000000001"/>
    <n v="130.1"/>
    <s v="Other goods &amp; services"/>
  </r>
  <r>
    <x v="5"/>
    <x v="1"/>
    <s v="Aug-18"/>
    <x v="20"/>
    <n v="155.19999999999999"/>
    <n v="150.4"/>
    <n v="153"/>
    <s v="Food &amp; Beverages"/>
  </r>
  <r>
    <x v="5"/>
    <x v="1"/>
    <s v="Aug-18"/>
    <x v="12"/>
    <n v="126.8"/>
    <n v="113.6"/>
    <n v="122.4"/>
    <s v="Food &amp; Beverages"/>
  </r>
  <r>
    <x v="5"/>
    <x v="1"/>
    <s v="Aug-18"/>
    <x v="26"/>
    <n v="138.6"/>
    <n v="129.80000000000001"/>
    <n v="133.6"/>
    <s v="Recreation"/>
  </r>
  <r>
    <x v="5"/>
    <x v="1"/>
    <s v="Aug-18"/>
    <x v="16"/>
    <n v="138.6"/>
    <n v="141.1"/>
    <n v="139.4"/>
    <s v="Food &amp; Beverages"/>
  </r>
  <r>
    <x v="5"/>
    <x v="1"/>
    <s v="Aug-18"/>
    <x v="14"/>
    <n v="115.4"/>
    <n v="113.3"/>
    <n v="114.7"/>
    <s v="Food &amp; Beverages"/>
  </r>
  <r>
    <x v="5"/>
    <x v="1"/>
    <s v="Aug-18"/>
    <x v="25"/>
    <n v="128.30000000000001"/>
    <n v="120.7"/>
    <n v="124.3"/>
    <s v="Transport"/>
  </r>
  <r>
    <x v="5"/>
    <x v="1"/>
    <s v="Aug-18"/>
    <x v="11"/>
    <n v="156.30000000000001"/>
    <n v="157.30000000000001"/>
    <n v="156.6"/>
    <s v="Food &amp; Beverages"/>
  </r>
  <r>
    <x v="5"/>
    <x v="2"/>
    <s v="Dec-18"/>
    <x v="0"/>
    <n v="137.1"/>
    <n v="138.5"/>
    <n v="137.5"/>
    <s v="Food &amp; Beverages"/>
  </r>
  <r>
    <x v="5"/>
    <x v="2"/>
    <s v="Dec-18"/>
    <x v="1"/>
    <n v="151.6"/>
    <n v="142.69999999999999"/>
    <n v="148.1"/>
    <s v="Apparel"/>
  </r>
  <r>
    <x v="5"/>
    <x v="2"/>
    <s v="Dec-18"/>
    <x v="3"/>
    <n v="150.80000000000001"/>
    <n v="140.80000000000001"/>
    <n v="146.80000000000001"/>
    <s v="Apparel"/>
  </r>
  <r>
    <x v="5"/>
    <x v="2"/>
    <s v="Dec-18"/>
    <x v="5"/>
    <n v="155.1"/>
    <n v="146.5"/>
    <n v="150.1"/>
    <s v="Education"/>
  </r>
  <r>
    <x v="5"/>
    <x v="2"/>
    <s v="Dec-18"/>
    <x v="4"/>
    <n v="137.4"/>
    <n v="141.1"/>
    <n v="138.80000000000001"/>
    <s v="Food &amp; Beverages"/>
  </r>
  <r>
    <x v="5"/>
    <x v="2"/>
    <s v="Dec-18"/>
    <x v="8"/>
    <n v="138.5"/>
    <n v="137.6"/>
    <n v="138.19999999999999"/>
    <s v="Food &amp; Beverages"/>
  </r>
  <r>
    <x v="5"/>
    <x v="2"/>
    <s v="Dec-18"/>
    <x v="10"/>
    <n v="145.9"/>
    <n v="130.30000000000001"/>
    <n v="139.4"/>
    <s v="Apparel"/>
  </r>
  <r>
    <x v="5"/>
    <x v="2"/>
    <s v="Dec-18"/>
    <x v="9"/>
    <n v="140.19999999999999"/>
    <n v="138.5"/>
    <n v="139.4"/>
    <s v="Food &amp; Beverages"/>
  </r>
  <r>
    <x v="5"/>
    <x v="2"/>
    <s v="Dec-18"/>
    <x v="13"/>
    <n v="149"/>
    <n v="132.4"/>
    <n v="142.69999999999999"/>
    <s v="Energy"/>
  </r>
  <r>
    <x v="5"/>
    <x v="2"/>
    <s v="Dec-18"/>
    <x v="15"/>
    <n v="141.9"/>
    <n v="138"/>
    <n v="140.1"/>
    <s v="General Index"/>
  </r>
  <r>
    <x v="5"/>
    <x v="2"/>
    <s v="Dec-18"/>
    <x v="17"/>
    <n v="149.6"/>
    <n v="137.30000000000001"/>
    <n v="144.9"/>
    <s v="Health"/>
  </r>
  <r>
    <x v="5"/>
    <x v="2"/>
    <s v="Dec-18"/>
    <x v="19"/>
    <n v="149.5"/>
    <n v="136.19999999999999"/>
    <n v="143.19999999999999"/>
    <s v="Housing"/>
  </r>
  <r>
    <x v="5"/>
    <x v="2"/>
    <s v="Dec-18"/>
    <x v="21"/>
    <n v="0"/>
    <n v="146.5"/>
    <n v="146.5"/>
    <s v="Housing"/>
  </r>
  <r>
    <x v="5"/>
    <x v="2"/>
    <s v="Dec-18"/>
    <x v="2"/>
    <n v="151.9"/>
    <n v="147.80000000000001"/>
    <n v="150.5"/>
    <s v="Food &amp; Beverages"/>
  </r>
  <r>
    <x v="5"/>
    <x v="2"/>
    <s v="Dec-18"/>
    <x v="6"/>
    <n v="142.4"/>
    <n v="141.6"/>
    <n v="142.1"/>
    <s v="Food &amp; Beverages"/>
  </r>
  <r>
    <x v="5"/>
    <x v="2"/>
    <s v="Dec-18"/>
    <x v="23"/>
    <n v="141.6"/>
    <n v="131.69999999999999"/>
    <n v="136.80000000000001"/>
    <s v="Other goods &amp; services"/>
  </r>
  <r>
    <x v="5"/>
    <x v="2"/>
    <s v="Dec-18"/>
    <x v="18"/>
    <n v="137.80000000000001"/>
    <n v="128.1"/>
    <n v="133.80000000000001"/>
    <s v="Food &amp; Beverages"/>
  </r>
  <r>
    <x v="5"/>
    <x v="2"/>
    <s v="Dec-18"/>
    <x v="7"/>
    <n v="124.2"/>
    <n v="118.1"/>
    <n v="122"/>
    <s v="Food &amp; Beverages"/>
  </r>
  <r>
    <x v="5"/>
    <x v="2"/>
    <s v="Dec-18"/>
    <x v="22"/>
    <n v="162.4"/>
    <n v="164.6"/>
    <n v="163"/>
    <s v="Other goods &amp; services"/>
  </r>
  <r>
    <x v="5"/>
    <x v="2"/>
    <s v="Dec-18"/>
    <x v="24"/>
    <n v="133.19999999999999"/>
    <n v="130.80000000000001"/>
    <n v="132.19999999999999"/>
    <s v="Other goods &amp; services"/>
  </r>
  <r>
    <x v="5"/>
    <x v="2"/>
    <s v="Dec-18"/>
    <x v="20"/>
    <n v="156"/>
    <n v="152.9"/>
    <n v="154.6"/>
    <s v="Food &amp; Beverages"/>
  </r>
  <r>
    <x v="5"/>
    <x v="2"/>
    <s v="Dec-18"/>
    <x v="12"/>
    <n v="120.9"/>
    <n v="117.5"/>
    <n v="119.8"/>
    <s v="Food &amp; Beverages"/>
  </r>
  <r>
    <x v="5"/>
    <x v="2"/>
    <s v="Dec-18"/>
    <x v="26"/>
    <n v="143.30000000000001"/>
    <n v="131.69999999999999"/>
    <n v="136.80000000000001"/>
    <s v="Recreation"/>
  </r>
  <r>
    <x v="5"/>
    <x v="2"/>
    <s v="Dec-18"/>
    <x v="16"/>
    <n v="140.19999999999999"/>
    <n v="141.5"/>
    <n v="140.6"/>
    <s v="Food &amp; Beverages"/>
  </r>
  <r>
    <x v="5"/>
    <x v="2"/>
    <s v="Dec-18"/>
    <x v="14"/>
    <n v="109.9"/>
    <n v="111"/>
    <n v="110.3"/>
    <s v="Food &amp; Beverages"/>
  </r>
  <r>
    <x v="5"/>
    <x v="2"/>
    <s v="Dec-18"/>
    <x v="25"/>
    <n v="128.9"/>
    <n v="118.8"/>
    <n v="123.6"/>
    <s v="Transport"/>
  </r>
  <r>
    <x v="5"/>
    <x v="2"/>
    <s v="Dec-18"/>
    <x v="11"/>
    <n v="136.6"/>
    <n v="132.4"/>
    <n v="135.19999999999999"/>
    <s v="Food &amp; Beverages"/>
  </r>
  <r>
    <x v="5"/>
    <x v="3"/>
    <s v="Feb-18"/>
    <x v="0"/>
    <n v="136.4"/>
    <n v="134.80000000000001"/>
    <n v="135.9"/>
    <s v="Food &amp; Beverages"/>
  </r>
  <r>
    <x v="5"/>
    <x v="3"/>
    <s v="Feb-18"/>
    <x v="1"/>
    <n v="148.69999999999999"/>
    <n v="136.30000000000001"/>
    <n v="143.80000000000001"/>
    <s v="Apparel"/>
  </r>
  <r>
    <x v="5"/>
    <x v="3"/>
    <s v="Feb-18"/>
    <x v="3"/>
    <n v="147.80000000000001"/>
    <n v="134.69999999999999"/>
    <n v="142.6"/>
    <s v="Apparel"/>
  </r>
  <r>
    <x v="5"/>
    <x v="3"/>
    <s v="Feb-18"/>
    <x v="5"/>
    <n v="141.5"/>
    <n v="137.19999999999999"/>
    <n v="139"/>
    <s v="Education"/>
  </r>
  <r>
    <x v="5"/>
    <x v="3"/>
    <s v="Feb-18"/>
    <x v="4"/>
    <n v="140.6"/>
    <n v="139.9"/>
    <n v="140.30000000000001"/>
    <s v="Food &amp; Beverages"/>
  </r>
  <r>
    <x v="5"/>
    <x v="3"/>
    <s v="Feb-18"/>
    <x v="8"/>
    <n v="138.69999999999999"/>
    <n v="135.6"/>
    <n v="137.6"/>
    <s v="Food &amp; Beverages"/>
  </r>
  <r>
    <x v="5"/>
    <x v="3"/>
    <s v="Feb-18"/>
    <x v="10"/>
    <n v="142.4"/>
    <n v="126.1"/>
    <n v="135.6"/>
    <s v="Apparel"/>
  </r>
  <r>
    <x v="5"/>
    <x v="3"/>
    <s v="Feb-18"/>
    <x v="9"/>
    <n v="149.4"/>
    <n v="135.5"/>
    <n v="142.9"/>
    <s v="Food &amp; Beverages"/>
  </r>
  <r>
    <x v="5"/>
    <x v="3"/>
    <s v="Feb-18"/>
    <x v="13"/>
    <n v="142.4"/>
    <n v="127.3"/>
    <n v="136.69999999999999"/>
    <s v="Energy"/>
  </r>
  <r>
    <x v="5"/>
    <x v="3"/>
    <s v="Feb-18"/>
    <x v="15"/>
    <n v="138.5"/>
    <n v="134"/>
    <n v="136.4"/>
    <s v="General Index"/>
  </r>
  <r>
    <x v="5"/>
    <x v="3"/>
    <s v="Feb-18"/>
    <x v="17"/>
    <n v="136.19999999999999"/>
    <n v="129.80000000000001"/>
    <n v="133.80000000000001"/>
    <s v="Health"/>
  </r>
  <r>
    <x v="5"/>
    <x v="3"/>
    <s v="Feb-18"/>
    <x v="19"/>
    <n v="139.9"/>
    <n v="129.9"/>
    <n v="135.19999999999999"/>
    <s v="Housing"/>
  </r>
  <r>
    <x v="5"/>
    <x v="3"/>
    <s v="Feb-18"/>
    <x v="21"/>
    <n v="0"/>
    <n v="141.30000000000001"/>
    <n v="141.30000000000001"/>
    <s v="Housing"/>
  </r>
  <r>
    <x v="5"/>
    <x v="3"/>
    <s v="Feb-18"/>
    <x v="2"/>
    <n v="143.69999999999999"/>
    <n v="143"/>
    <n v="143.5"/>
    <s v="Food &amp; Beverages"/>
  </r>
  <r>
    <x v="5"/>
    <x v="3"/>
    <s v="Feb-18"/>
    <x v="6"/>
    <n v="141.5"/>
    <n v="139.9"/>
    <n v="140.9"/>
    <s v="Food &amp; Beverages"/>
  </r>
  <r>
    <x v="5"/>
    <x v="3"/>
    <s v="Feb-18"/>
    <x v="23"/>
    <n v="132.5"/>
    <n v="126.5"/>
    <n v="129.6"/>
    <s v="Other goods &amp; services"/>
  </r>
  <r>
    <x v="5"/>
    <x v="3"/>
    <s v="Feb-18"/>
    <x v="18"/>
    <n v="130.5"/>
    <n v="125.9"/>
    <n v="128.6"/>
    <s v="Food &amp; Beverages"/>
  </r>
  <r>
    <x v="5"/>
    <x v="3"/>
    <s v="Feb-18"/>
    <x v="7"/>
    <n v="122.9"/>
    <n v="116.2"/>
    <n v="120.4"/>
    <s v="Food &amp; Beverages"/>
  </r>
  <r>
    <x v="5"/>
    <x v="3"/>
    <s v="Feb-18"/>
    <x v="22"/>
    <n v="153.30000000000001"/>
    <n v="159.30000000000001"/>
    <n v="154.9"/>
    <s v="Other goods &amp; services"/>
  </r>
  <r>
    <x v="5"/>
    <x v="3"/>
    <s v="Feb-18"/>
    <x v="24"/>
    <n v="128.80000000000001"/>
    <n v="126.2"/>
    <n v="127.7"/>
    <s v="Other goods &amp; services"/>
  </r>
  <r>
    <x v="5"/>
    <x v="3"/>
    <s v="Feb-18"/>
    <x v="20"/>
    <n v="151.69999999999999"/>
    <n v="147.1"/>
    <n v="149.6"/>
    <s v="Food &amp; Beverages"/>
  </r>
  <r>
    <x v="5"/>
    <x v="3"/>
    <s v="Feb-18"/>
    <x v="12"/>
    <n v="130.19999999999999"/>
    <n v="117"/>
    <n v="125.8"/>
    <s v="Food &amp; Beverages"/>
  </r>
  <r>
    <x v="5"/>
    <x v="3"/>
    <s v="Feb-18"/>
    <x v="26"/>
    <n v="134.30000000000001"/>
    <n v="126.5"/>
    <n v="129.9"/>
    <s v="Recreation"/>
  </r>
  <r>
    <x v="5"/>
    <x v="3"/>
    <s v="Feb-18"/>
    <x v="16"/>
    <n v="135.6"/>
    <n v="140.69999999999999"/>
    <n v="137.30000000000001"/>
    <s v="Food &amp; Beverages"/>
  </r>
  <r>
    <x v="5"/>
    <x v="3"/>
    <s v="Feb-18"/>
    <x v="14"/>
    <n v="117.9"/>
    <n v="115.4"/>
    <n v="117.1"/>
    <s v="Food &amp; Beverages"/>
  </r>
  <r>
    <x v="5"/>
    <x v="3"/>
    <s v="Feb-18"/>
    <x v="25"/>
    <n v="123.3"/>
    <n v="117.4"/>
    <n v="120.2"/>
    <s v="Transport"/>
  </r>
  <r>
    <x v="5"/>
    <x v="3"/>
    <s v="Feb-18"/>
    <x v="11"/>
    <n v="142.4"/>
    <n v="136.9"/>
    <n v="140.5"/>
    <s v="Food &amp; Beverages"/>
  </r>
  <r>
    <x v="5"/>
    <x v="4"/>
    <s v="Jan-18"/>
    <x v="0"/>
    <n v="136.6"/>
    <n v="134.6"/>
    <n v="136"/>
    <s v="Food &amp; Beverages"/>
  </r>
  <r>
    <x v="5"/>
    <x v="4"/>
    <s v="Jan-18"/>
    <x v="1"/>
    <n v="148.30000000000001"/>
    <n v="136"/>
    <n v="143.5"/>
    <s v="Apparel"/>
  </r>
  <r>
    <x v="5"/>
    <x v="4"/>
    <s v="Jan-18"/>
    <x v="3"/>
    <n v="147.5"/>
    <n v="134.4"/>
    <n v="142.30000000000001"/>
    <s v="Apparel"/>
  </r>
  <r>
    <x v="5"/>
    <x v="4"/>
    <s v="Jan-18"/>
    <x v="5"/>
    <n v="141.6"/>
    <n v="137.1"/>
    <n v="139"/>
    <s v="Education"/>
  </r>
  <r>
    <x v="5"/>
    <x v="4"/>
    <s v="Jan-18"/>
    <x v="4"/>
    <n v="143.80000000000001"/>
    <n v="143.6"/>
    <n v="143.69999999999999"/>
    <s v="Food &amp; Beverages"/>
  </r>
  <r>
    <x v="5"/>
    <x v="4"/>
    <s v="Jan-18"/>
    <x v="8"/>
    <n v="140.4"/>
    <n v="137.19999999999999"/>
    <n v="139.19999999999999"/>
    <s v="Food &amp; Beverages"/>
  </r>
  <r>
    <x v="5"/>
    <x v="4"/>
    <s v="Jan-18"/>
    <x v="10"/>
    <n v="142.30000000000001"/>
    <n v="125.9"/>
    <n v="135.5"/>
    <s v="Apparel"/>
  </r>
  <r>
    <x v="5"/>
    <x v="4"/>
    <s v="Jan-18"/>
    <x v="9"/>
    <n v="147.9"/>
    <n v="133.80000000000001"/>
    <n v="141.30000000000001"/>
    <s v="Food &amp; Beverages"/>
  </r>
  <r>
    <x v="5"/>
    <x v="4"/>
    <s v="Jan-18"/>
    <x v="13"/>
    <n v="142.30000000000001"/>
    <n v="127.3"/>
    <n v="136.6"/>
    <s v="Energy"/>
  </r>
  <r>
    <x v="5"/>
    <x v="4"/>
    <s v="Jan-18"/>
    <x v="15"/>
    <n v="139.30000000000001"/>
    <n v="134.1"/>
    <n v="136.9"/>
    <s v="General Index"/>
  </r>
  <r>
    <x v="5"/>
    <x v="4"/>
    <s v="Jan-18"/>
    <x v="17"/>
    <n v="136"/>
    <n v="129"/>
    <n v="133.30000000000001"/>
    <s v="Health"/>
  </r>
  <r>
    <x v="5"/>
    <x v="4"/>
    <s v="Jan-18"/>
    <x v="19"/>
    <n v="139.80000000000001"/>
    <n v="129.5"/>
    <n v="134.9"/>
    <s v="Housing"/>
  </r>
  <r>
    <x v="5"/>
    <x v="4"/>
    <s v="Jan-18"/>
    <x v="21"/>
    <n v="0"/>
    <n v="140.4"/>
    <n v="140.4"/>
    <s v="Housing"/>
  </r>
  <r>
    <x v="5"/>
    <x v="4"/>
    <s v="Jan-18"/>
    <x v="2"/>
    <n v="144.4"/>
    <n v="143.69999999999999"/>
    <n v="144.19999999999999"/>
    <s v="Food &amp; Beverages"/>
  </r>
  <r>
    <x v="5"/>
    <x v="4"/>
    <s v="Jan-18"/>
    <x v="6"/>
    <n v="142"/>
    <n v="139.6"/>
    <n v="141.1"/>
    <s v="Food &amp; Beverages"/>
  </r>
  <r>
    <x v="5"/>
    <x v="4"/>
    <s v="Jan-18"/>
    <x v="23"/>
    <n v="132.30000000000001"/>
    <n v="125.8"/>
    <n v="129.1"/>
    <s v="Other goods &amp; services"/>
  </r>
  <r>
    <x v="5"/>
    <x v="4"/>
    <s v="Jan-18"/>
    <x v="18"/>
    <n v="131.19999999999999"/>
    <n v="125.9"/>
    <n v="129"/>
    <s v="Food &amp; Beverages"/>
  </r>
  <r>
    <x v="5"/>
    <x v="4"/>
    <s v="Jan-18"/>
    <x v="7"/>
    <n v="123.2"/>
    <n v="116.4"/>
    <n v="120.7"/>
    <s v="Food &amp; Beverages"/>
  </r>
  <r>
    <x v="5"/>
    <x v="4"/>
    <s v="Jan-18"/>
    <x v="22"/>
    <n v="153.6"/>
    <n v="157.69999999999999"/>
    <n v="154.69999999999999"/>
    <s v="Other goods &amp; services"/>
  </r>
  <r>
    <x v="5"/>
    <x v="4"/>
    <s v="Jan-18"/>
    <x v="24"/>
    <n v="128.6"/>
    <n v="125.5"/>
    <n v="127.3"/>
    <s v="Other goods &amp; services"/>
  </r>
  <r>
    <x v="5"/>
    <x v="4"/>
    <s v="Jan-18"/>
    <x v="20"/>
    <n v="151.80000000000001"/>
    <n v="146.80000000000001"/>
    <n v="149.5"/>
    <s v="Food &amp; Beverages"/>
  </r>
  <r>
    <x v="5"/>
    <x v="4"/>
    <s v="Jan-18"/>
    <x v="12"/>
    <n v="131.80000000000001"/>
    <n v="118.4"/>
    <n v="127.3"/>
    <s v="Food &amp; Beverages"/>
  </r>
  <r>
    <x v="5"/>
    <x v="4"/>
    <s v="Jan-18"/>
    <x v="26"/>
    <n v="134.30000000000001"/>
    <n v="126.2"/>
    <n v="129.69999999999999"/>
    <s v="Recreation"/>
  </r>
  <r>
    <x v="5"/>
    <x v="4"/>
    <s v="Jan-18"/>
    <x v="16"/>
    <n v="136"/>
    <n v="140.5"/>
    <n v="137.5"/>
    <s v="Food &amp; Beverages"/>
  </r>
  <r>
    <x v="5"/>
    <x v="4"/>
    <s v="Jan-18"/>
    <x v="14"/>
    <n v="119.5"/>
    <n v="117.3"/>
    <n v="118.8"/>
    <s v="Food &amp; Beverages"/>
  </r>
  <r>
    <x v="5"/>
    <x v="4"/>
    <s v="Jan-18"/>
    <x v="25"/>
    <n v="122.7"/>
    <n v="116.3"/>
    <n v="119.3"/>
    <s v="Transport"/>
  </r>
  <r>
    <x v="5"/>
    <x v="4"/>
    <s v="Jan-18"/>
    <x v="11"/>
    <n v="152.1"/>
    <n v="150.5"/>
    <n v="151.6"/>
    <s v="Food &amp; Beverages"/>
  </r>
  <r>
    <x v="5"/>
    <x v="5"/>
    <s v="Jul-18"/>
    <x v="0"/>
    <n v="138.4"/>
    <n v="135.6"/>
    <n v="137.5"/>
    <s v="Food &amp; Beverages"/>
  </r>
  <r>
    <x v="5"/>
    <x v="5"/>
    <s v="Jul-18"/>
    <x v="1"/>
    <n v="151.5"/>
    <n v="139.6"/>
    <n v="146.80000000000001"/>
    <s v="Apparel"/>
  </r>
  <r>
    <x v="5"/>
    <x v="5"/>
    <s v="Jul-18"/>
    <x v="3"/>
    <n v="150.6"/>
    <n v="137.9"/>
    <n v="145.6"/>
    <s v="Apparel"/>
  </r>
  <r>
    <x v="5"/>
    <x v="5"/>
    <s v="Jul-18"/>
    <x v="5"/>
    <n v="145.80000000000001"/>
    <n v="144"/>
    <n v="144.69999999999999"/>
    <s v="Education"/>
  </r>
  <r>
    <x v="5"/>
    <x v="5"/>
    <s v="Jul-18"/>
    <x v="4"/>
    <n v="139.30000000000001"/>
    <n v="139.1"/>
    <n v="139.19999999999999"/>
    <s v="Food &amp; Beverages"/>
  </r>
  <r>
    <x v="5"/>
    <x v="5"/>
    <s v="Jul-18"/>
    <x v="8"/>
    <n v="142"/>
    <n v="140.30000000000001"/>
    <n v="141.4"/>
    <s v="Food &amp; Beverages"/>
  </r>
  <r>
    <x v="5"/>
    <x v="5"/>
    <s v="Jul-18"/>
    <x v="10"/>
    <n v="145.1"/>
    <n v="128.9"/>
    <n v="138.4"/>
    <s v="Apparel"/>
  </r>
  <r>
    <x v="5"/>
    <x v="5"/>
    <s v="Jul-18"/>
    <x v="9"/>
    <n v="153.30000000000001"/>
    <n v="149.69999999999999"/>
    <n v="151.6"/>
    <s v="Food &amp; Beverages"/>
  </r>
  <r>
    <x v="5"/>
    <x v="5"/>
    <s v="Jul-18"/>
    <x v="13"/>
    <n v="146.80000000000001"/>
    <n v="128.1"/>
    <n v="139.69999999999999"/>
    <s v="Energy"/>
  </r>
  <r>
    <x v="5"/>
    <x v="5"/>
    <s v="Jul-18"/>
    <x v="15"/>
    <n v="141.80000000000001"/>
    <n v="137.5"/>
    <n v="139.80000000000001"/>
    <s v="General Index"/>
  </r>
  <r>
    <x v="5"/>
    <x v="5"/>
    <s v="Jul-18"/>
    <x v="17"/>
    <n v="139"/>
    <n v="133.6"/>
    <n v="137"/>
    <s v="Health"/>
  </r>
  <r>
    <x v="5"/>
    <x v="5"/>
    <s v="Jul-18"/>
    <x v="19"/>
    <n v="143.1"/>
    <n v="133.6"/>
    <n v="138.6"/>
    <s v="Housing"/>
  </r>
  <r>
    <x v="5"/>
    <x v="5"/>
    <s v="Jul-18"/>
    <x v="21"/>
    <n v="0"/>
    <n v="143.6"/>
    <n v="143.6"/>
    <s v="Housing"/>
  </r>
  <r>
    <x v="5"/>
    <x v="5"/>
    <s v="Jul-18"/>
    <x v="2"/>
    <n v="149.30000000000001"/>
    <n v="148.6"/>
    <n v="149.1"/>
    <s v="Food &amp; Beverages"/>
  </r>
  <r>
    <x v="5"/>
    <x v="5"/>
    <s v="Jul-18"/>
    <x v="6"/>
    <n v="143.4"/>
    <n v="141"/>
    <n v="142.5"/>
    <s v="Food &amp; Beverages"/>
  </r>
  <r>
    <x v="5"/>
    <x v="5"/>
    <s v="Jul-18"/>
    <x v="23"/>
    <n v="136"/>
    <n v="130.19999999999999"/>
    <n v="133.19999999999999"/>
    <s v="Other goods &amp; services"/>
  </r>
  <r>
    <x v="5"/>
    <x v="5"/>
    <s v="Jul-18"/>
    <x v="18"/>
    <n v="132.80000000000001"/>
    <n v="126.8"/>
    <n v="130.30000000000001"/>
    <s v="Food &amp; Beverages"/>
  </r>
  <r>
    <x v="5"/>
    <x v="5"/>
    <s v="Jul-18"/>
    <x v="7"/>
    <n v="124.1"/>
    <n v="116.7"/>
    <n v="121.4"/>
    <s v="Food &amp; Beverages"/>
  </r>
  <r>
    <x v="5"/>
    <x v="5"/>
    <s v="Jul-18"/>
    <x v="22"/>
    <n v="156.1"/>
    <n v="161.4"/>
    <n v="157.5"/>
    <s v="Other goods &amp; services"/>
  </r>
  <r>
    <x v="5"/>
    <x v="5"/>
    <s v="Jul-18"/>
    <x v="24"/>
    <n v="131.4"/>
    <n v="128.19999999999999"/>
    <n v="130.1"/>
    <s v="Other goods &amp; services"/>
  </r>
  <r>
    <x v="5"/>
    <x v="5"/>
    <s v="Jul-18"/>
    <x v="20"/>
    <n v="154.80000000000001"/>
    <n v="149.4"/>
    <n v="152.30000000000001"/>
    <s v="Food &amp; Beverages"/>
  </r>
  <r>
    <x v="5"/>
    <x v="5"/>
    <s v="Jul-18"/>
    <x v="12"/>
    <n v="126.4"/>
    <n v="112.6"/>
    <n v="121.7"/>
    <s v="Food &amp; Beverages"/>
  </r>
  <r>
    <x v="5"/>
    <x v="5"/>
    <s v="Jul-18"/>
    <x v="26"/>
    <n v="138.4"/>
    <n v="129"/>
    <n v="133.1"/>
    <s v="Recreation"/>
  </r>
  <r>
    <x v="5"/>
    <x v="5"/>
    <s v="Jul-18"/>
    <x v="16"/>
    <n v="138.19999999999999"/>
    <n v="140.30000000000001"/>
    <n v="138.9"/>
    <s v="Food &amp; Beverages"/>
  </r>
  <r>
    <x v="5"/>
    <x v="5"/>
    <s v="Jul-18"/>
    <x v="14"/>
    <n v="114.3"/>
    <n v="111.8"/>
    <n v="113.5"/>
    <s v="Food &amp; Beverages"/>
  </r>
  <r>
    <x v="5"/>
    <x v="5"/>
    <s v="Jul-18"/>
    <x v="25"/>
    <n v="127.5"/>
    <n v="120.1"/>
    <n v="123.6"/>
    <s v="Transport"/>
  </r>
  <r>
    <x v="5"/>
    <x v="5"/>
    <s v="Jul-18"/>
    <x v="11"/>
    <n v="154.19999999999999"/>
    <n v="159.19999999999999"/>
    <n v="155.9"/>
    <s v="Food &amp; Beverages"/>
  </r>
  <r>
    <x v="5"/>
    <x v="6"/>
    <s v="Jun-18"/>
    <x v="0"/>
    <n v="137.6"/>
    <n v="135.30000000000001"/>
    <n v="136.9"/>
    <s v="Food &amp; Beverages"/>
  </r>
  <r>
    <x v="5"/>
    <x v="6"/>
    <s v="Jun-18"/>
    <x v="1"/>
    <n v="151.30000000000001"/>
    <n v="138.9"/>
    <n v="146.4"/>
    <s v="Apparel"/>
  </r>
  <r>
    <x v="5"/>
    <x v="6"/>
    <s v="Jun-18"/>
    <x v="3"/>
    <n v="150.30000000000001"/>
    <n v="137.4"/>
    <n v="145.19999999999999"/>
    <s v="Apparel"/>
  </r>
  <r>
    <x v="5"/>
    <x v="6"/>
    <s v="Jun-18"/>
    <x v="5"/>
    <n v="145.1"/>
    <n v="141.19999999999999"/>
    <n v="142.80000000000001"/>
    <s v="Education"/>
  </r>
  <r>
    <x v="5"/>
    <x v="6"/>
    <s v="Jun-18"/>
    <x v="4"/>
    <n v="136.69999999999999"/>
    <n v="133.9"/>
    <n v="135.6"/>
    <s v="Food &amp; Beverages"/>
  </r>
  <r>
    <x v="5"/>
    <x v="6"/>
    <s v="Jun-18"/>
    <x v="8"/>
    <n v="140"/>
    <n v="138.4"/>
    <n v="139.4"/>
    <s v="Food &amp; Beverages"/>
  </r>
  <r>
    <x v="5"/>
    <x v="6"/>
    <s v="Jun-18"/>
    <x v="10"/>
    <n v="144.69999999999999"/>
    <n v="128.69999999999999"/>
    <n v="138.1"/>
    <s v="Apparel"/>
  </r>
  <r>
    <x v="5"/>
    <x v="6"/>
    <s v="Jun-18"/>
    <x v="9"/>
    <n v="154.1"/>
    <n v="152.19999999999999"/>
    <n v="153.19999999999999"/>
    <s v="Food &amp; Beverages"/>
  </r>
  <r>
    <x v="5"/>
    <x v="6"/>
    <s v="Jun-18"/>
    <x v="13"/>
    <n v="145.1"/>
    <n v="126.5"/>
    <n v="138.1"/>
    <s v="Energy"/>
  </r>
  <r>
    <x v="5"/>
    <x v="6"/>
    <s v="Jun-18"/>
    <x v="15"/>
    <n v="140.5"/>
    <n v="136.19999999999999"/>
    <n v="138.5"/>
    <s v="General Index"/>
  </r>
  <r>
    <x v="5"/>
    <x v="6"/>
    <s v="Jun-18"/>
    <x v="17"/>
    <n v="138.4"/>
    <n v="132.6"/>
    <n v="136.19999999999999"/>
    <s v="Health"/>
  </r>
  <r>
    <x v="5"/>
    <x v="6"/>
    <s v="Jun-18"/>
    <x v="19"/>
    <n v="142.19999999999999"/>
    <n v="133.1"/>
    <n v="137.9"/>
    <s v="Housing"/>
  </r>
  <r>
    <x v="5"/>
    <x v="6"/>
    <s v="Jun-18"/>
    <x v="21"/>
    <n v="0"/>
    <n v="142.5"/>
    <n v="142.5"/>
    <s v="Housing"/>
  </r>
  <r>
    <x v="5"/>
    <x v="6"/>
    <s v="Jun-18"/>
    <x v="2"/>
    <n v="148.1"/>
    <n v="149.69999999999999"/>
    <n v="148.69999999999999"/>
    <s v="Food &amp; Beverages"/>
  </r>
  <r>
    <x v="5"/>
    <x v="6"/>
    <s v="Jun-18"/>
    <x v="6"/>
    <n v="143.19999999999999"/>
    <n v="140.80000000000001"/>
    <n v="142.30000000000001"/>
    <s v="Food &amp; Beverages"/>
  </r>
  <r>
    <x v="5"/>
    <x v="6"/>
    <s v="Jun-18"/>
    <x v="23"/>
    <n v="135.6"/>
    <n v="129.5"/>
    <n v="132.6"/>
    <s v="Other goods &amp; services"/>
  </r>
  <r>
    <x v="5"/>
    <x v="6"/>
    <s v="Jun-18"/>
    <x v="18"/>
    <n v="132.80000000000001"/>
    <n v="126.7"/>
    <n v="130.30000000000001"/>
    <s v="Food &amp; Beverages"/>
  </r>
  <r>
    <x v="5"/>
    <x v="6"/>
    <s v="Jun-18"/>
    <x v="7"/>
    <n v="124"/>
    <n v="116.6"/>
    <n v="121.3"/>
    <s v="Food &amp; Beverages"/>
  </r>
  <r>
    <x v="5"/>
    <x v="6"/>
    <s v="Jun-18"/>
    <x v="22"/>
    <n v="157.30000000000001"/>
    <n v="161"/>
    <n v="158.30000000000001"/>
    <s v="Other goods &amp; services"/>
  </r>
  <r>
    <x v="5"/>
    <x v="6"/>
    <s v="Jun-18"/>
    <x v="24"/>
    <n v="131.4"/>
    <n v="128.19999999999999"/>
    <n v="130.1"/>
    <s v="Other goods &amp; services"/>
  </r>
  <r>
    <x v="5"/>
    <x v="6"/>
    <s v="Jun-18"/>
    <x v="20"/>
    <n v="154.30000000000001"/>
    <n v="149"/>
    <n v="151.80000000000001"/>
    <s v="Food &amp; Beverages"/>
  </r>
  <r>
    <x v="5"/>
    <x v="6"/>
    <s v="Jun-18"/>
    <x v="12"/>
    <n v="126"/>
    <n v="112.3"/>
    <n v="121.4"/>
    <s v="Food &amp; Beverages"/>
  </r>
  <r>
    <x v="5"/>
    <x v="6"/>
    <s v="Jun-18"/>
    <x v="26"/>
    <n v="137.80000000000001"/>
    <n v="128.5"/>
    <n v="132.6"/>
    <s v="Recreation"/>
  </r>
  <r>
    <x v="5"/>
    <x v="6"/>
    <s v="Jun-18"/>
    <x v="16"/>
    <n v="137.6"/>
    <n v="140"/>
    <n v="138.4"/>
    <s v="Food &amp; Beverages"/>
  </r>
  <r>
    <x v="5"/>
    <x v="6"/>
    <s v="Jun-18"/>
    <x v="14"/>
    <n v="112.4"/>
    <n v="108.4"/>
    <n v="111.1"/>
    <s v="Food &amp; Beverages"/>
  </r>
  <r>
    <x v="5"/>
    <x v="6"/>
    <s v="Jun-18"/>
    <x v="25"/>
    <n v="127.4"/>
    <n v="120.4"/>
    <n v="123.7"/>
    <s v="Transport"/>
  </r>
  <r>
    <x v="5"/>
    <x v="6"/>
    <s v="Jun-18"/>
    <x v="11"/>
    <n v="143.5"/>
    <n v="144"/>
    <n v="143.69999999999999"/>
    <s v="Food &amp; Beverages"/>
  </r>
  <r>
    <x v="5"/>
    <x v="7"/>
    <s v="Mar-18"/>
    <x v="0"/>
    <n v="136.80000000000001"/>
    <n v="135"/>
    <n v="136.19999999999999"/>
    <s v="Food &amp; Beverages"/>
  </r>
  <r>
    <x v="5"/>
    <x v="7"/>
    <s v="Mar-18"/>
    <x v="1"/>
    <n v="149.19999999999999"/>
    <n v="136.69999999999999"/>
    <n v="144.30000000000001"/>
    <s v="Apparel"/>
  </r>
  <r>
    <x v="5"/>
    <x v="7"/>
    <s v="Mar-18"/>
    <x v="3"/>
    <n v="148.30000000000001"/>
    <n v="135.19999999999999"/>
    <n v="143.1"/>
    <s v="Apparel"/>
  </r>
  <r>
    <x v="5"/>
    <x v="7"/>
    <s v="Mar-18"/>
    <x v="5"/>
    <n v="142.69999999999999"/>
    <n v="137.80000000000001"/>
    <n v="139.80000000000001"/>
    <s v="Education"/>
  </r>
  <r>
    <x v="5"/>
    <x v="7"/>
    <s v="Mar-18"/>
    <x v="4"/>
    <n v="140"/>
    <n v="135.5"/>
    <n v="138.30000000000001"/>
    <s v="Food &amp; Beverages"/>
  </r>
  <r>
    <x v="5"/>
    <x v="7"/>
    <s v="Mar-18"/>
    <x v="8"/>
    <n v="138.6"/>
    <n v="134.80000000000001"/>
    <n v="137.19999999999999"/>
    <s v="Food &amp; Beverages"/>
  </r>
  <r>
    <x v="5"/>
    <x v="7"/>
    <s v="Mar-18"/>
    <x v="10"/>
    <n v="143"/>
    <n v="126.7"/>
    <n v="136.19999999999999"/>
    <s v="Apparel"/>
  </r>
  <r>
    <x v="5"/>
    <x v="7"/>
    <s v="Mar-18"/>
    <x v="9"/>
    <n v="152.9"/>
    <n v="138.5"/>
    <n v="146.19999999999999"/>
    <s v="Food &amp; Beverages"/>
  </r>
  <r>
    <x v="5"/>
    <x v="7"/>
    <s v="Mar-18"/>
    <x v="13"/>
    <n v="142.6"/>
    <n v="126.4"/>
    <n v="136.5"/>
    <s v="Energy"/>
  </r>
  <r>
    <x v="5"/>
    <x v="7"/>
    <s v="Mar-18"/>
    <x v="15"/>
    <n v="138.69999999999999"/>
    <n v="134"/>
    <n v="136.5"/>
    <s v="General Index"/>
  </r>
  <r>
    <x v="5"/>
    <x v="7"/>
    <s v="Mar-18"/>
    <x v="17"/>
    <n v="136.69999999999999"/>
    <n v="130.5"/>
    <n v="134.30000000000001"/>
    <s v="Health"/>
  </r>
  <r>
    <x v="5"/>
    <x v="7"/>
    <s v="Mar-18"/>
    <x v="19"/>
    <n v="139.9"/>
    <n v="130.80000000000001"/>
    <n v="135.6"/>
    <s v="Housing"/>
  </r>
  <r>
    <x v="5"/>
    <x v="7"/>
    <s v="Mar-18"/>
    <x v="21"/>
    <n v="0"/>
    <n v="142"/>
    <n v="142"/>
    <s v="Housing"/>
  </r>
  <r>
    <x v="5"/>
    <x v="7"/>
    <s v="Mar-18"/>
    <x v="2"/>
    <n v="143.80000000000001"/>
    <n v="143.1"/>
    <n v="143.6"/>
    <s v="Food &amp; Beverages"/>
  </r>
  <r>
    <x v="5"/>
    <x v="7"/>
    <s v="Mar-18"/>
    <x v="6"/>
    <n v="142"/>
    <n v="139.9"/>
    <n v="141.19999999999999"/>
    <s v="Food &amp; Beverages"/>
  </r>
  <r>
    <x v="5"/>
    <x v="7"/>
    <s v="Mar-18"/>
    <x v="23"/>
    <n v="133.30000000000001"/>
    <n v="127.1"/>
    <n v="130.30000000000001"/>
    <s v="Other goods &amp; services"/>
  </r>
  <r>
    <x v="5"/>
    <x v="7"/>
    <s v="Mar-18"/>
    <x v="18"/>
    <n v="131.19999999999999"/>
    <n v="126.2"/>
    <n v="129.1"/>
    <s v="Food &amp; Beverages"/>
  </r>
  <r>
    <x v="5"/>
    <x v="7"/>
    <s v="Mar-18"/>
    <x v="7"/>
    <n v="123.2"/>
    <n v="116.5"/>
    <n v="120.7"/>
    <s v="Food &amp; Beverages"/>
  </r>
  <r>
    <x v="5"/>
    <x v="7"/>
    <s v="Mar-18"/>
    <x v="22"/>
    <n v="155.1"/>
    <n v="159.69999999999999"/>
    <n v="156.30000000000001"/>
    <s v="Other goods &amp; services"/>
  </r>
  <r>
    <x v="5"/>
    <x v="7"/>
    <s v="Mar-18"/>
    <x v="24"/>
    <n v="129.30000000000001"/>
    <n v="126.7"/>
    <n v="128.19999999999999"/>
    <s v="Other goods &amp; services"/>
  </r>
  <r>
    <x v="5"/>
    <x v="7"/>
    <s v="Mar-18"/>
    <x v="20"/>
    <n v="152.80000000000001"/>
    <n v="147.6"/>
    <n v="150.4"/>
    <s v="Food &amp; Beverages"/>
  </r>
  <r>
    <x v="5"/>
    <x v="7"/>
    <s v="Mar-18"/>
    <x v="12"/>
    <n v="129.30000000000001"/>
    <n v="115.5"/>
    <n v="124.6"/>
    <s v="Food &amp; Beverages"/>
  </r>
  <r>
    <x v="5"/>
    <x v="7"/>
    <s v="Mar-18"/>
    <x v="26"/>
    <n v="135.1"/>
    <n v="126.8"/>
    <n v="130.4"/>
    <s v="Recreation"/>
  </r>
  <r>
    <x v="5"/>
    <x v="7"/>
    <s v="Mar-18"/>
    <x v="16"/>
    <n v="136.30000000000001"/>
    <n v="140.69999999999999"/>
    <n v="137.80000000000001"/>
    <s v="Food &amp; Beverages"/>
  </r>
  <r>
    <x v="5"/>
    <x v="7"/>
    <s v="Mar-18"/>
    <x v="14"/>
    <n v="117.1"/>
    <n v="114.2"/>
    <n v="116.1"/>
    <s v="Food &amp; Beverages"/>
  </r>
  <r>
    <x v="5"/>
    <x v="7"/>
    <s v="Mar-18"/>
    <x v="25"/>
    <n v="124.6"/>
    <n v="117.8"/>
    <n v="121"/>
    <s v="Transport"/>
  </r>
  <r>
    <x v="5"/>
    <x v="7"/>
    <s v="Mar-18"/>
    <x v="11"/>
    <n v="138"/>
    <n v="128"/>
    <n v="134.6"/>
    <s v="Food &amp; Beverages"/>
  </r>
  <r>
    <x v="5"/>
    <x v="8"/>
    <s v="May-18"/>
    <x v="0"/>
    <n v="137.4"/>
    <n v="135"/>
    <n v="136.6"/>
    <s v="Food &amp; Beverages"/>
  </r>
  <r>
    <x v="5"/>
    <x v="8"/>
    <s v="May-18"/>
    <x v="1"/>
    <n v="150.80000000000001"/>
    <n v="138.6"/>
    <n v="146"/>
    <s v="Apparel"/>
  </r>
  <r>
    <x v="5"/>
    <x v="8"/>
    <s v="May-18"/>
    <x v="3"/>
    <n v="149.80000000000001"/>
    <n v="137"/>
    <n v="144.69999999999999"/>
    <s v="Apparel"/>
  </r>
  <r>
    <x v="5"/>
    <x v="8"/>
    <s v="May-18"/>
    <x v="5"/>
    <n v="144.4"/>
    <n v="140.4"/>
    <n v="142.1"/>
    <s v="Education"/>
  </r>
  <r>
    <x v="5"/>
    <x v="8"/>
    <s v="May-18"/>
    <x v="4"/>
    <n v="135.5"/>
    <n v="130.5"/>
    <n v="133.6"/>
    <s v="Food &amp; Beverages"/>
  </r>
  <r>
    <x v="5"/>
    <x v="8"/>
    <s v="May-18"/>
    <x v="8"/>
    <n v="139.1"/>
    <n v="136.4"/>
    <n v="138.1"/>
    <s v="Food &amp; Beverages"/>
  </r>
  <r>
    <x v="5"/>
    <x v="8"/>
    <s v="May-18"/>
    <x v="10"/>
    <n v="144.1"/>
    <n v="127.9"/>
    <n v="137.4"/>
    <s v="Apparel"/>
  </r>
  <r>
    <x v="5"/>
    <x v="8"/>
    <s v="May-18"/>
    <x v="9"/>
    <n v="157.5"/>
    <n v="151.30000000000001"/>
    <n v="154.6"/>
    <s v="Food &amp; Beverages"/>
  </r>
  <r>
    <x v="5"/>
    <x v="8"/>
    <s v="May-18"/>
    <x v="13"/>
    <n v="144.30000000000001"/>
    <n v="124.7"/>
    <n v="136.9"/>
    <s v="Energy"/>
  </r>
  <r>
    <x v="5"/>
    <x v="8"/>
    <s v="May-18"/>
    <x v="15"/>
    <n v="139.80000000000001"/>
    <n v="135.4"/>
    <n v="137.80000000000001"/>
    <s v="General Index"/>
  </r>
  <r>
    <x v="5"/>
    <x v="8"/>
    <s v="May-18"/>
    <x v="17"/>
    <n v="138.4"/>
    <n v="132"/>
    <n v="136"/>
    <s v="Health"/>
  </r>
  <r>
    <x v="5"/>
    <x v="8"/>
    <s v="May-18"/>
    <x v="19"/>
    <n v="141.80000000000001"/>
    <n v="132.5"/>
    <n v="137.4"/>
    <s v="Housing"/>
  </r>
  <r>
    <x v="5"/>
    <x v="8"/>
    <s v="May-18"/>
    <x v="21"/>
    <n v="0"/>
    <n v="143.19999999999999"/>
    <n v="143.19999999999999"/>
    <s v="Housing"/>
  </r>
  <r>
    <x v="5"/>
    <x v="8"/>
    <s v="May-18"/>
    <x v="2"/>
    <n v="145.69999999999999"/>
    <n v="148.19999999999999"/>
    <n v="146.6"/>
    <s v="Food &amp; Beverages"/>
  </r>
  <r>
    <x v="5"/>
    <x v="8"/>
    <s v="May-18"/>
    <x v="6"/>
    <n v="142.9"/>
    <n v="140.69999999999999"/>
    <n v="142.1"/>
    <s v="Food &amp; Beverages"/>
  </r>
  <r>
    <x v="5"/>
    <x v="8"/>
    <s v="May-18"/>
    <x v="23"/>
    <n v="135.1"/>
    <n v="128.9"/>
    <n v="132.1"/>
    <s v="Other goods &amp; services"/>
  </r>
  <r>
    <x v="5"/>
    <x v="8"/>
    <s v="May-18"/>
    <x v="18"/>
    <n v="132.19999999999999"/>
    <n v="126.6"/>
    <n v="129.9"/>
    <s v="Food &amp; Beverages"/>
  </r>
  <r>
    <x v="5"/>
    <x v="8"/>
    <s v="May-18"/>
    <x v="7"/>
    <n v="123.6"/>
    <n v="116.4"/>
    <n v="121"/>
    <s v="Food &amp; Beverages"/>
  </r>
  <r>
    <x v="5"/>
    <x v="8"/>
    <s v="May-18"/>
    <x v="22"/>
    <n v="157"/>
    <n v="160.30000000000001"/>
    <n v="157.9"/>
    <s v="Other goods &amp; services"/>
  </r>
  <r>
    <x v="5"/>
    <x v="8"/>
    <s v="May-18"/>
    <x v="24"/>
    <n v="131.19999999999999"/>
    <n v="128.1"/>
    <n v="129.9"/>
    <s v="Other goods &amp; services"/>
  </r>
  <r>
    <x v="5"/>
    <x v="8"/>
    <s v="May-18"/>
    <x v="20"/>
    <n v="154.30000000000001"/>
    <n v="148.69999999999999"/>
    <n v="151.69999999999999"/>
    <s v="Food &amp; Beverages"/>
  </r>
  <r>
    <x v="5"/>
    <x v="8"/>
    <s v="May-18"/>
    <x v="12"/>
    <n v="127.2"/>
    <n v="112.8"/>
    <n v="122.3"/>
    <s v="Food &amp; Beverages"/>
  </r>
  <r>
    <x v="5"/>
    <x v="8"/>
    <s v="May-18"/>
    <x v="26"/>
    <n v="136.80000000000001"/>
    <n v="128"/>
    <n v="131.80000000000001"/>
    <s v="Recreation"/>
  </r>
  <r>
    <x v="5"/>
    <x v="8"/>
    <s v="May-18"/>
    <x v="16"/>
    <n v="137.4"/>
    <n v="139.6"/>
    <n v="138.1"/>
    <s v="Food &amp; Beverages"/>
  </r>
  <r>
    <x v="5"/>
    <x v="8"/>
    <s v="May-18"/>
    <x v="14"/>
    <n v="111.8"/>
    <n v="105.3"/>
    <n v="109.6"/>
    <s v="Food &amp; Beverages"/>
  </r>
  <r>
    <x v="5"/>
    <x v="8"/>
    <s v="May-18"/>
    <x v="25"/>
    <n v="126.4"/>
    <n v="119.8"/>
    <n v="122.9"/>
    <s v="Transport"/>
  </r>
  <r>
    <x v="5"/>
    <x v="8"/>
    <s v="May-18"/>
    <x v="11"/>
    <n v="137.80000000000001"/>
    <n v="131.4"/>
    <n v="135.6"/>
    <s v="Food &amp; Beverages"/>
  </r>
  <r>
    <x v="5"/>
    <x v="9"/>
    <s v="Nov-18"/>
    <x v="0"/>
    <n v="137.1"/>
    <n v="138.1"/>
    <n v="137.4"/>
    <s v="Food &amp; Beverages"/>
  </r>
  <r>
    <x v="5"/>
    <x v="9"/>
    <s v="Nov-18"/>
    <x v="1"/>
    <n v="151.69999999999999"/>
    <n v="142.4"/>
    <n v="148"/>
    <s v="Apparel"/>
  </r>
  <r>
    <x v="5"/>
    <x v="9"/>
    <s v="Nov-18"/>
    <x v="3"/>
    <n v="150.80000000000001"/>
    <n v="140.5"/>
    <n v="146.69999999999999"/>
    <s v="Apparel"/>
  </r>
  <r>
    <x v="5"/>
    <x v="9"/>
    <s v="Nov-18"/>
    <x v="5"/>
    <n v="150.19999999999999"/>
    <n v="146.1"/>
    <n v="147.80000000000001"/>
    <s v="Education"/>
  </r>
  <r>
    <x v="5"/>
    <x v="9"/>
    <s v="Nov-18"/>
    <x v="4"/>
    <n v="136.69999999999999"/>
    <n v="137.80000000000001"/>
    <n v="137.1"/>
    <s v="Food &amp; Beverages"/>
  </r>
  <r>
    <x v="5"/>
    <x v="9"/>
    <s v="Nov-18"/>
    <x v="8"/>
    <n v="140"/>
    <n v="139.1"/>
    <n v="139.69999999999999"/>
    <s v="Food &amp; Beverages"/>
  </r>
  <r>
    <x v="5"/>
    <x v="9"/>
    <s v="Nov-18"/>
    <x v="10"/>
    <n v="145.5"/>
    <n v="130.19999999999999"/>
    <n v="139.1"/>
    <s v="Apparel"/>
  </r>
  <r>
    <x v="5"/>
    <x v="9"/>
    <s v="Nov-18"/>
    <x v="9"/>
    <n v="143.9"/>
    <n v="141.5"/>
    <n v="142.80000000000001"/>
    <s v="Food &amp; Beverages"/>
  </r>
  <r>
    <x v="5"/>
    <x v="9"/>
    <s v="Nov-18"/>
    <x v="13"/>
    <n v="150.30000000000001"/>
    <n v="136.69999999999999"/>
    <n v="145.1"/>
    <s v="Energy"/>
  </r>
  <r>
    <x v="5"/>
    <x v="9"/>
    <s v="Nov-18"/>
    <x v="15"/>
    <n v="142.4"/>
    <n v="139"/>
    <n v="140.80000000000001"/>
    <s v="General Index"/>
  </r>
  <r>
    <x v="5"/>
    <x v="9"/>
    <s v="Nov-18"/>
    <x v="17"/>
    <n v="145.4"/>
    <n v="136.80000000000001"/>
    <n v="142.1"/>
    <s v="Health"/>
  </r>
  <r>
    <x v="5"/>
    <x v="9"/>
    <s v="Nov-18"/>
    <x v="19"/>
    <n v="148"/>
    <n v="135.80000000000001"/>
    <n v="142.19999999999999"/>
    <s v="Housing"/>
  </r>
  <r>
    <x v="5"/>
    <x v="9"/>
    <s v="Nov-18"/>
    <x v="21"/>
    <n v="0"/>
    <n v="146.9"/>
    <n v="146.9"/>
    <s v="Housing"/>
  </r>
  <r>
    <x v="5"/>
    <x v="9"/>
    <s v="Nov-18"/>
    <x v="2"/>
    <n v="150.80000000000001"/>
    <n v="146.30000000000001"/>
    <n v="149.19999999999999"/>
    <s v="Food &amp; Beverages"/>
  </r>
  <r>
    <x v="5"/>
    <x v="9"/>
    <s v="Nov-18"/>
    <x v="6"/>
    <n v="141.9"/>
    <n v="141.6"/>
    <n v="141.80000000000001"/>
    <s v="Food &amp; Beverages"/>
  </r>
  <r>
    <x v="5"/>
    <x v="9"/>
    <s v="Nov-18"/>
    <x v="23"/>
    <n v="140.1"/>
    <n v="132.19999999999999"/>
    <n v="136.30000000000001"/>
    <s v="Other goods &amp; services"/>
  </r>
  <r>
    <x v="5"/>
    <x v="9"/>
    <s v="Nov-18"/>
    <x v="18"/>
    <n v="137.5"/>
    <n v="128"/>
    <n v="133.5"/>
    <s v="Food &amp; Beverages"/>
  </r>
  <r>
    <x v="5"/>
    <x v="9"/>
    <s v="Nov-18"/>
    <x v="7"/>
    <n v="122.8"/>
    <n v="118.1"/>
    <n v="121.1"/>
    <s v="Food &amp; Beverages"/>
  </r>
  <r>
    <x v="5"/>
    <x v="9"/>
    <s v="Nov-18"/>
    <x v="22"/>
    <n v="161.9"/>
    <n v="164.4"/>
    <n v="162.6"/>
    <s v="Other goods &amp; services"/>
  </r>
  <r>
    <x v="5"/>
    <x v="9"/>
    <s v="Nov-18"/>
    <x v="24"/>
    <n v="133.1"/>
    <n v="130.5"/>
    <n v="132"/>
    <s v="Other goods &amp; services"/>
  </r>
  <r>
    <x v="5"/>
    <x v="9"/>
    <s v="Nov-18"/>
    <x v="20"/>
    <n v="156.1"/>
    <n v="152.6"/>
    <n v="154.5"/>
    <s v="Food &amp; Beverages"/>
  </r>
  <r>
    <x v="5"/>
    <x v="9"/>
    <s v="Nov-18"/>
    <x v="12"/>
    <n v="121"/>
    <n v="115.3"/>
    <n v="119.1"/>
    <s v="Food &amp; Beverages"/>
  </r>
  <r>
    <x v="5"/>
    <x v="9"/>
    <s v="Nov-18"/>
    <x v="26"/>
    <n v="143.1"/>
    <n v="131.30000000000001"/>
    <n v="136.5"/>
    <s v="Recreation"/>
  </r>
  <r>
    <x v="5"/>
    <x v="9"/>
    <s v="Nov-18"/>
    <x v="16"/>
    <n v="140.6"/>
    <n v="141.4"/>
    <n v="140.9"/>
    <s v="Food &amp; Beverages"/>
  </r>
  <r>
    <x v="5"/>
    <x v="9"/>
    <s v="Nov-18"/>
    <x v="14"/>
    <n v="111.6"/>
    <n v="112.5"/>
    <n v="111.9"/>
    <s v="Food &amp; Beverages"/>
  </r>
  <r>
    <x v="5"/>
    <x v="9"/>
    <s v="Nov-18"/>
    <x v="25"/>
    <n v="130.30000000000001"/>
    <n v="121.2"/>
    <n v="125.5"/>
    <s v="Transport"/>
  </r>
  <r>
    <x v="5"/>
    <x v="9"/>
    <s v="Nov-18"/>
    <x v="11"/>
    <n v="147.5"/>
    <n v="145.19999999999999"/>
    <n v="146.69999999999999"/>
    <s v="Food &amp; Beverages"/>
  </r>
  <r>
    <x v="5"/>
    <x v="10"/>
    <s v="Oct-18"/>
    <x v="0"/>
    <n v="139.30000000000001"/>
    <n v="137.6"/>
    <n v="137.4"/>
    <s v="Food &amp; Beverages"/>
  </r>
  <r>
    <x v="5"/>
    <x v="10"/>
    <s v="Oct-18"/>
    <x v="1"/>
    <n v="150.69999999999999"/>
    <n v="141.5"/>
    <n v="148"/>
    <s v="Apparel"/>
  </r>
  <r>
    <x v="5"/>
    <x v="10"/>
    <s v="Oct-18"/>
    <x v="3"/>
    <n v="149.80000000000001"/>
    <n v="139.69999999999999"/>
    <n v="146.80000000000001"/>
    <s v="Apparel"/>
  </r>
  <r>
    <x v="5"/>
    <x v="10"/>
    <s v="Oct-18"/>
    <x v="5"/>
    <n v="148"/>
    <n v="145.5"/>
    <n v="147.80000000000001"/>
    <s v="Education"/>
  </r>
  <r>
    <x v="5"/>
    <x v="10"/>
    <s v="Oct-18"/>
    <x v="4"/>
    <n v="134.6"/>
    <n v="133.5"/>
    <n v="137.30000000000001"/>
    <s v="Food &amp; Beverages"/>
  </r>
  <r>
    <x v="5"/>
    <x v="10"/>
    <s v="Oct-18"/>
    <x v="8"/>
    <n v="140.19999999999999"/>
    <n v="139.4"/>
    <n v="139.69999999999999"/>
    <s v="Food &amp; Beverages"/>
  </r>
  <r>
    <x v="5"/>
    <x v="10"/>
    <s v="Oct-18"/>
    <x v="10"/>
    <n v="144.5"/>
    <n v="129.80000000000001"/>
    <n v="139.19999999999999"/>
    <s v="Apparel"/>
  </r>
  <r>
    <x v="5"/>
    <x v="10"/>
    <s v="Oct-18"/>
    <x v="9"/>
    <n v="144.5"/>
    <n v="139.5"/>
    <n v="142.5"/>
    <s v="Food &amp; Beverages"/>
  </r>
  <r>
    <x v="5"/>
    <x v="10"/>
    <s v="Oct-18"/>
    <x v="13"/>
    <n v="149.69999999999999"/>
    <n v="133.4"/>
    <n v="145.30000000000001"/>
    <s v="Energy"/>
  </r>
  <r>
    <x v="5"/>
    <x v="10"/>
    <s v="Oct-18"/>
    <x v="15"/>
    <n v="142.19999999999999"/>
    <n v="138.9"/>
    <n v="140.80000000000001"/>
    <s v="General Index"/>
  </r>
  <r>
    <x v="5"/>
    <x v="10"/>
    <s v="Oct-18"/>
    <x v="17"/>
    <n v="144.80000000000001"/>
    <n v="136.19999999999999"/>
    <n v="142.1"/>
    <s v="Health"/>
  </r>
  <r>
    <x v="5"/>
    <x v="10"/>
    <s v="Oct-18"/>
    <x v="19"/>
    <n v="147.5"/>
    <n v="135.1"/>
    <n v="142.19999999999999"/>
    <s v="Housing"/>
  </r>
  <r>
    <x v="5"/>
    <x v="10"/>
    <s v="Oct-18"/>
    <x v="21"/>
    <n v="0"/>
    <n v="146.30000000000001"/>
    <n v="146.9"/>
    <s v="Housing"/>
  </r>
  <r>
    <x v="5"/>
    <x v="10"/>
    <s v="Oct-18"/>
    <x v="2"/>
    <n v="147.6"/>
    <n v="144.9"/>
    <n v="149.5"/>
    <s v="Food &amp; Beverages"/>
  </r>
  <r>
    <x v="5"/>
    <x v="10"/>
    <s v="Oct-18"/>
    <x v="6"/>
    <n v="141.9"/>
    <n v="141.5"/>
    <n v="141.9"/>
    <s v="Food &amp; Beverages"/>
  </r>
  <r>
    <x v="5"/>
    <x v="10"/>
    <s v="Oct-18"/>
    <x v="23"/>
    <n v="139.80000000000001"/>
    <n v="132.5"/>
    <n v="136.30000000000001"/>
    <s v="Other goods &amp; services"/>
  </r>
  <r>
    <x v="5"/>
    <x v="10"/>
    <s v="Oct-18"/>
    <x v="18"/>
    <n v="134.6"/>
    <n v="127.6"/>
    <n v="133.6"/>
    <s v="Food &amp; Beverages"/>
  </r>
  <r>
    <x v="5"/>
    <x v="10"/>
    <s v="Oct-18"/>
    <x v="7"/>
    <n v="123.5"/>
    <n v="118"/>
    <n v="121.1"/>
    <s v="Food &amp; Beverages"/>
  </r>
  <r>
    <x v="5"/>
    <x v="10"/>
    <s v="Oct-18"/>
    <x v="22"/>
    <n v="159.6"/>
    <n v="164"/>
    <n v="162.6"/>
    <s v="Other goods &amp; services"/>
  </r>
  <r>
    <x v="5"/>
    <x v="10"/>
    <s v="Oct-18"/>
    <x v="24"/>
    <n v="134.4"/>
    <n v="130.4"/>
    <n v="132"/>
    <s v="Other goods &amp; services"/>
  </r>
  <r>
    <x v="5"/>
    <x v="10"/>
    <s v="Oct-18"/>
    <x v="20"/>
    <n v="155.19999999999999"/>
    <n v="152"/>
    <n v="154.5"/>
    <s v="Food &amp; Beverages"/>
  </r>
  <r>
    <x v="5"/>
    <x v="10"/>
    <s v="Oct-18"/>
    <x v="12"/>
    <n v="121.4"/>
    <n v="113.2"/>
    <n v="119.1"/>
    <s v="Food &amp; Beverages"/>
  </r>
  <r>
    <x v="5"/>
    <x v="10"/>
    <s v="Oct-18"/>
    <x v="26"/>
    <n v="140.1"/>
    <n v="130.69999999999999"/>
    <n v="136.5"/>
    <s v="Recreation"/>
  </r>
  <r>
    <x v="5"/>
    <x v="10"/>
    <s v="Oct-18"/>
    <x v="16"/>
    <n v="139.5"/>
    <n v="141.1"/>
    <n v="141"/>
    <s v="Food &amp; Beverages"/>
  </r>
  <r>
    <x v="5"/>
    <x v="10"/>
    <s v="Oct-18"/>
    <x v="14"/>
    <n v="112.3"/>
    <n v="112.8"/>
    <n v="111.9"/>
    <s v="Food &amp; Beverages"/>
  </r>
  <r>
    <x v="5"/>
    <x v="10"/>
    <s v="Oct-18"/>
    <x v="25"/>
    <n v="130.80000000000001"/>
    <n v="123.3"/>
    <n v="125.5"/>
    <s v="Transport"/>
  </r>
  <r>
    <x v="5"/>
    <x v="10"/>
    <s v="Oct-18"/>
    <x v="11"/>
    <n v="147.6"/>
    <n v="153"/>
    <n v="146.69999999999999"/>
    <s v="Food &amp; Beverages"/>
  </r>
  <r>
    <x v="5"/>
    <x v="11"/>
    <s v="Sep-18"/>
    <x v="0"/>
    <n v="139.4"/>
    <n v="137"/>
    <n v="138.6"/>
    <s v="Food &amp; Beverages"/>
  </r>
  <r>
    <x v="5"/>
    <x v="11"/>
    <s v="Sep-18"/>
    <x v="1"/>
    <n v="152.1"/>
    <n v="140.80000000000001"/>
    <n v="147.69999999999999"/>
    <s v="Apparel"/>
  </r>
  <r>
    <x v="5"/>
    <x v="11"/>
    <s v="Sep-18"/>
    <x v="3"/>
    <n v="151.30000000000001"/>
    <n v="139.1"/>
    <n v="146.5"/>
    <s v="Apparel"/>
  </r>
  <r>
    <x v="5"/>
    <x v="11"/>
    <s v="Sep-18"/>
    <x v="5"/>
    <n v="147.6"/>
    <n v="145.19999999999999"/>
    <n v="146.19999999999999"/>
    <s v="Education"/>
  </r>
  <r>
    <x v="5"/>
    <x v="11"/>
    <s v="Sep-18"/>
    <x v="4"/>
    <n v="136.6"/>
    <n v="132.80000000000001"/>
    <n v="135.1"/>
    <s v="Food &amp; Beverages"/>
  </r>
  <r>
    <x v="5"/>
    <x v="11"/>
    <s v="Sep-18"/>
    <x v="8"/>
    <n v="141.30000000000001"/>
    <n v="138.9"/>
    <n v="140.4"/>
    <s v="Food &amp; Beverages"/>
  </r>
  <r>
    <x v="5"/>
    <x v="11"/>
    <s v="Sep-18"/>
    <x v="10"/>
    <n v="146.1"/>
    <n v="129.30000000000001"/>
    <n v="139.1"/>
    <s v="Apparel"/>
  </r>
  <r>
    <x v="5"/>
    <x v="11"/>
    <s v="Sep-18"/>
    <x v="9"/>
    <n v="150.1"/>
    <n v="140"/>
    <n v="145.4"/>
    <s v="Food &amp; Beverages"/>
  </r>
  <r>
    <x v="5"/>
    <x v="11"/>
    <s v="Sep-18"/>
    <x v="13"/>
    <n v="149"/>
    <n v="131.19999999999999"/>
    <n v="142.30000000000001"/>
    <s v="Energy"/>
  </r>
  <r>
    <x v="5"/>
    <x v="11"/>
    <s v="Sep-18"/>
    <x v="15"/>
    <n v="142.1"/>
    <n v="138.1"/>
    <n v="140.19999999999999"/>
    <s v="General Index"/>
  </r>
  <r>
    <x v="5"/>
    <x v="11"/>
    <s v="Sep-18"/>
    <x v="17"/>
    <n v="140"/>
    <n v="135.69999999999999"/>
    <n v="138.4"/>
    <s v="Health"/>
  </r>
  <r>
    <x v="5"/>
    <x v="11"/>
    <s v="Sep-18"/>
    <x v="19"/>
    <n v="144"/>
    <n v="134.9"/>
    <n v="139.69999999999999"/>
    <s v="Housing"/>
  </r>
  <r>
    <x v="5"/>
    <x v="11"/>
    <s v="Sep-18"/>
    <x v="21"/>
    <n v="0"/>
    <n v="145.30000000000001"/>
    <n v="145.30000000000001"/>
    <s v="Housing"/>
  </r>
  <r>
    <x v="5"/>
    <x v="11"/>
    <s v="Sep-18"/>
    <x v="2"/>
    <n v="147.19999999999999"/>
    <n v="143.1"/>
    <n v="145.80000000000001"/>
    <s v="Food &amp; Beverages"/>
  </r>
  <r>
    <x v="5"/>
    <x v="11"/>
    <s v="Sep-18"/>
    <x v="6"/>
    <n v="143.69999999999999"/>
    <n v="141.5"/>
    <n v="142.9"/>
    <s v="Food &amp; Beverages"/>
  </r>
  <r>
    <x v="5"/>
    <x v="11"/>
    <s v="Sep-18"/>
    <x v="23"/>
    <n v="137.4"/>
    <n v="131.9"/>
    <n v="134.69999999999999"/>
    <s v="Other goods &amp; services"/>
  </r>
  <r>
    <x v="5"/>
    <x v="11"/>
    <s v="Sep-18"/>
    <x v="18"/>
    <n v="133.1"/>
    <n v="127.7"/>
    <n v="130.80000000000001"/>
    <s v="Food &amp; Beverages"/>
  </r>
  <r>
    <x v="5"/>
    <x v="11"/>
    <s v="Sep-18"/>
    <x v="7"/>
    <n v="124.6"/>
    <n v="117.8"/>
    <n v="122.1"/>
    <s v="Food &amp; Beverages"/>
  </r>
  <r>
    <x v="5"/>
    <x v="11"/>
    <s v="Sep-18"/>
    <x v="22"/>
    <n v="157.69999999999999"/>
    <n v="163.30000000000001"/>
    <n v="159.19999999999999"/>
    <s v="Other goods &amp; services"/>
  </r>
  <r>
    <x v="5"/>
    <x v="11"/>
    <s v="Sep-18"/>
    <x v="24"/>
    <n v="132"/>
    <n v="129.30000000000001"/>
    <n v="130.9"/>
    <s v="Other goods &amp; services"/>
  </r>
  <r>
    <x v="5"/>
    <x v="11"/>
    <s v="Sep-18"/>
    <x v="20"/>
    <n v="155.9"/>
    <n v="151.30000000000001"/>
    <n v="153.80000000000001"/>
    <s v="Food &amp; Beverages"/>
  </r>
  <r>
    <x v="5"/>
    <x v="11"/>
    <s v="Sep-18"/>
    <x v="12"/>
    <n v="125.4"/>
    <n v="113.5"/>
    <n v="121.4"/>
    <s v="Food &amp; Beverages"/>
  </r>
  <r>
    <x v="5"/>
    <x v="11"/>
    <s v="Sep-18"/>
    <x v="26"/>
    <n v="140"/>
    <n v="130.19999999999999"/>
    <n v="134.5"/>
    <s v="Recreation"/>
  </r>
  <r>
    <x v="5"/>
    <x v="11"/>
    <s v="Sep-18"/>
    <x v="16"/>
    <n v="138.69999999999999"/>
    <n v="141.19999999999999"/>
    <n v="139.5"/>
    <s v="Food &amp; Beverages"/>
  </r>
  <r>
    <x v="5"/>
    <x v="11"/>
    <s v="Sep-18"/>
    <x v="14"/>
    <n v="114.4"/>
    <n v="112.3"/>
    <n v="113.7"/>
    <s v="Food &amp; Beverages"/>
  </r>
  <r>
    <x v="5"/>
    <x v="11"/>
    <s v="Sep-18"/>
    <x v="25"/>
    <n v="129.9"/>
    <n v="122.5"/>
    <n v="126"/>
    <s v="Transport"/>
  </r>
  <r>
    <x v="5"/>
    <x v="11"/>
    <s v="Sep-18"/>
    <x v="11"/>
    <n v="149.4"/>
    <n v="151.30000000000001"/>
    <n v="150"/>
    <s v="Food &amp; Beverages"/>
  </r>
  <r>
    <x v="6"/>
    <x v="1"/>
    <s v="Aug-19"/>
    <x v="0"/>
    <n v="139.19999999999999"/>
    <n v="142.1"/>
    <n v="140.1"/>
    <s v="Food &amp; Beverages"/>
  </r>
  <r>
    <x v="6"/>
    <x v="1"/>
    <s v="Aug-19"/>
    <x v="1"/>
    <n v="151.80000000000001"/>
    <n v="145"/>
    <n v="149.1"/>
    <s v="Apparel"/>
  </r>
  <r>
    <x v="6"/>
    <x v="1"/>
    <s v="Aug-19"/>
    <x v="3"/>
    <n v="151.1"/>
    <n v="143"/>
    <n v="147.9"/>
    <s v="Apparel"/>
  </r>
  <r>
    <x v="6"/>
    <x v="1"/>
    <s v="Aug-19"/>
    <x v="5"/>
    <n v="159.69999999999999"/>
    <n v="151.5"/>
    <n v="154.9"/>
    <s v="Education"/>
  </r>
  <r>
    <x v="6"/>
    <x v="1"/>
    <s v="Aug-19"/>
    <x v="4"/>
    <n v="137.1"/>
    <n v="140.80000000000001"/>
    <n v="138.5"/>
    <s v="Food &amp; Beverages"/>
  </r>
  <r>
    <x v="6"/>
    <x v="1"/>
    <s v="Aug-19"/>
    <x v="8"/>
    <n v="144"/>
    <n v="149.1"/>
    <n v="145.9"/>
    <s v="Food &amp; Beverages"/>
  </r>
  <r>
    <x v="6"/>
    <x v="1"/>
    <s v="Aug-19"/>
    <x v="10"/>
    <n v="146.6"/>
    <n v="132.19999999999999"/>
    <n v="140.6"/>
    <s v="Apparel"/>
  </r>
  <r>
    <x v="6"/>
    <x v="1"/>
    <s v="Aug-19"/>
    <x v="9"/>
    <n v="145.5"/>
    <n v="153.9"/>
    <n v="149.4"/>
    <s v="Food &amp; Beverages"/>
  </r>
  <r>
    <x v="6"/>
    <x v="1"/>
    <s v="Aug-19"/>
    <x v="13"/>
    <n v="146.4"/>
    <n v="125.5"/>
    <n v="138.5"/>
    <s v="Energy"/>
  </r>
  <r>
    <x v="6"/>
    <x v="1"/>
    <s v="Aug-19"/>
    <x v="15"/>
    <n v="145.69999999999999"/>
    <n v="144.19999999999999"/>
    <n v="145"/>
    <s v="General Index"/>
  </r>
  <r>
    <x v="6"/>
    <x v="1"/>
    <s v="Aug-19"/>
    <x v="17"/>
    <n v="152.69999999999999"/>
    <n v="141.5"/>
    <n v="148.5"/>
    <s v="Health"/>
  </r>
  <r>
    <x v="6"/>
    <x v="1"/>
    <s v="Aug-19"/>
    <x v="19"/>
    <n v="150.19999999999999"/>
    <n v="138.1"/>
    <n v="144.5"/>
    <s v="Housing"/>
  </r>
  <r>
    <x v="6"/>
    <x v="1"/>
    <s v="Aug-19"/>
    <x v="21"/>
    <n v="0"/>
    <n v="151.6"/>
    <n v="151.6"/>
    <s v="Housing"/>
  </r>
  <r>
    <x v="6"/>
    <x v="1"/>
    <s v="Aug-19"/>
    <x v="2"/>
    <n v="161.9"/>
    <n v="158.30000000000001"/>
    <n v="160.6"/>
    <s v="Food &amp; Beverages"/>
  </r>
  <r>
    <x v="6"/>
    <x v="1"/>
    <s v="Aug-19"/>
    <x v="6"/>
    <n v="144.6"/>
    <n v="144.9"/>
    <n v="144.69999999999999"/>
    <s v="Food &amp; Beverages"/>
  </r>
  <r>
    <x v="6"/>
    <x v="1"/>
    <s v="Aug-19"/>
    <x v="23"/>
    <n v="144.9"/>
    <n v="135.30000000000001"/>
    <n v="140.19999999999999"/>
    <s v="Other goods &amp; services"/>
  </r>
  <r>
    <x v="6"/>
    <x v="1"/>
    <s v="Aug-19"/>
    <x v="18"/>
    <n v="138.5"/>
    <n v="129.80000000000001"/>
    <n v="134.9"/>
    <s v="Food &amp; Beverages"/>
  </r>
  <r>
    <x v="6"/>
    <x v="1"/>
    <s v="Aug-19"/>
    <x v="7"/>
    <n v="124.7"/>
    <n v="119.9"/>
    <n v="122.9"/>
    <s v="Food &amp; Beverages"/>
  </r>
  <r>
    <x v="6"/>
    <x v="1"/>
    <s v="Aug-19"/>
    <x v="22"/>
    <n v="165.1"/>
    <n v="167.9"/>
    <n v="165.8"/>
    <s v="Other goods &amp; services"/>
  </r>
  <r>
    <x v="6"/>
    <x v="1"/>
    <s v="Aug-19"/>
    <x v="24"/>
    <n v="138.80000000000001"/>
    <n v="137.80000000000001"/>
    <n v="138.4"/>
    <s v="Other goods &amp; services"/>
  </r>
  <r>
    <x v="6"/>
    <x v="1"/>
    <s v="Aug-19"/>
    <x v="20"/>
    <n v="156.9"/>
    <n v="156.19999999999999"/>
    <n v="156.6"/>
    <s v="Food &amp; Beverages"/>
  </r>
  <r>
    <x v="6"/>
    <x v="1"/>
    <s v="Aug-19"/>
    <x v="12"/>
    <n v="131.5"/>
    <n v="129.80000000000001"/>
    <n v="130.9"/>
    <s v="Food &amp; Beverages"/>
  </r>
  <r>
    <x v="6"/>
    <x v="1"/>
    <s v="Aug-19"/>
    <x v="26"/>
    <n v="148"/>
    <n v="135.4"/>
    <n v="140.9"/>
    <s v="Recreation"/>
  </r>
  <r>
    <x v="6"/>
    <x v="1"/>
    <s v="Aug-19"/>
    <x v="16"/>
    <n v="142.69999999999999"/>
    <n v="142.5"/>
    <n v="142.6"/>
    <s v="Food &amp; Beverages"/>
  </r>
  <r>
    <x v="6"/>
    <x v="1"/>
    <s v="Aug-19"/>
    <x v="14"/>
    <n v="111.7"/>
    <n v="112.7"/>
    <n v="112"/>
    <s v="Food &amp; Beverages"/>
  </r>
  <r>
    <x v="6"/>
    <x v="1"/>
    <s v="Aug-19"/>
    <x v="25"/>
    <n v="131.4"/>
    <n v="120.8"/>
    <n v="125.8"/>
    <s v="Transport"/>
  </r>
  <r>
    <x v="6"/>
    <x v="1"/>
    <s v="Aug-19"/>
    <x v="11"/>
    <n v="156.19999999999999"/>
    <n v="189.1"/>
    <n v="167.4"/>
    <s v="Food &amp; Beverages"/>
  </r>
  <r>
    <x v="6"/>
    <x v="2"/>
    <s v="Dec-19"/>
    <x v="0"/>
    <n v="142.80000000000001"/>
    <n v="144.9"/>
    <n v="143.5"/>
    <s v="Food &amp; Beverages"/>
  </r>
  <r>
    <x v="6"/>
    <x v="2"/>
    <s v="Dec-19"/>
    <x v="1"/>
    <n v="152.6"/>
    <n v="146.80000000000001"/>
    <n v="150.30000000000001"/>
    <s v="Apparel"/>
  </r>
  <r>
    <x v="6"/>
    <x v="2"/>
    <s v="Dec-19"/>
    <x v="3"/>
    <n v="151.9"/>
    <n v="144.6"/>
    <n v="149"/>
    <s v="Apparel"/>
  </r>
  <r>
    <x v="6"/>
    <x v="2"/>
    <s v="Dec-19"/>
    <x v="5"/>
    <n v="161.1"/>
    <n v="151.9"/>
    <n v="155.69999999999999"/>
    <s v="Education"/>
  </r>
  <r>
    <x v="6"/>
    <x v="2"/>
    <s v="Dec-19"/>
    <x v="4"/>
    <n v="149.5"/>
    <n v="153.69999999999999"/>
    <n v="151.1"/>
    <s v="Food &amp; Beverages"/>
  </r>
  <r>
    <x v="6"/>
    <x v="2"/>
    <s v="Dec-19"/>
    <x v="8"/>
    <n v="154.30000000000001"/>
    <n v="156.30000000000001"/>
    <n v="155"/>
    <s v="Food &amp; Beverages"/>
  </r>
  <r>
    <x v="6"/>
    <x v="2"/>
    <s v="Dec-19"/>
    <x v="10"/>
    <n v="147.30000000000001"/>
    <n v="132.80000000000001"/>
    <n v="141.30000000000001"/>
    <s v="Apparel"/>
  </r>
  <r>
    <x v="6"/>
    <x v="2"/>
    <s v="Dec-19"/>
    <x v="9"/>
    <n v="144.30000000000001"/>
    <n v="147.19999999999999"/>
    <n v="145.69999999999999"/>
    <s v="Food &amp; Beverages"/>
  </r>
  <r>
    <x v="6"/>
    <x v="2"/>
    <s v="Dec-19"/>
    <x v="13"/>
    <n v="149.9"/>
    <n v="133.6"/>
    <n v="143.69999999999999"/>
    <s v="Energy"/>
  </r>
  <r>
    <x v="6"/>
    <x v="2"/>
    <s v="Dec-19"/>
    <x v="15"/>
    <n v="152.30000000000001"/>
    <n v="148.30000000000001"/>
    <n v="150.4"/>
    <s v="General Index"/>
  </r>
  <r>
    <x v="6"/>
    <x v="2"/>
    <s v="Dec-19"/>
    <x v="17"/>
    <n v="154.80000000000001"/>
    <n v="143.19999999999999"/>
    <n v="150.4"/>
    <s v="Health"/>
  </r>
  <r>
    <x v="6"/>
    <x v="2"/>
    <s v="Dec-19"/>
    <x v="19"/>
    <n v="151.19999999999999"/>
    <n v="139.80000000000001"/>
    <n v="145.80000000000001"/>
    <s v="Housing"/>
  </r>
  <r>
    <x v="6"/>
    <x v="2"/>
    <s v="Dec-19"/>
    <x v="21"/>
    <n v="0"/>
    <n v="152.80000000000001"/>
    <n v="152.80000000000001"/>
    <s v="Housing"/>
  </r>
  <r>
    <x v="6"/>
    <x v="2"/>
    <s v="Dec-19"/>
    <x v="2"/>
    <n v="165.3"/>
    <n v="164.5"/>
    <n v="165"/>
    <s v="Food &amp; Beverages"/>
  </r>
  <r>
    <x v="6"/>
    <x v="2"/>
    <s v="Dec-19"/>
    <x v="6"/>
    <n v="148.69999999999999"/>
    <n v="147.5"/>
    <n v="148.30000000000001"/>
    <s v="Food &amp; Beverages"/>
  </r>
  <r>
    <x v="6"/>
    <x v="2"/>
    <s v="Dec-19"/>
    <x v="23"/>
    <n v="147.1"/>
    <n v="137.69999999999999"/>
    <n v="142.5"/>
    <s v="Other goods &amp; services"/>
  </r>
  <r>
    <x v="6"/>
    <x v="2"/>
    <s v="Dec-19"/>
    <x v="18"/>
    <n v="139.30000000000001"/>
    <n v="130.80000000000001"/>
    <n v="135.80000000000001"/>
    <s v="Food &amp; Beverages"/>
  </r>
  <r>
    <x v="6"/>
    <x v="2"/>
    <s v="Dec-19"/>
    <x v="7"/>
    <n v="127.5"/>
    <n v="122.7"/>
    <n v="125.7"/>
    <s v="Food &amp; Beverages"/>
  </r>
  <r>
    <x v="6"/>
    <x v="2"/>
    <s v="Dec-19"/>
    <x v="22"/>
    <n v="167.8"/>
    <n v="170.4"/>
    <n v="168.5"/>
    <s v="Other goods &amp; services"/>
  </r>
  <r>
    <x v="6"/>
    <x v="2"/>
    <s v="Dec-19"/>
    <x v="24"/>
    <n v="140.6"/>
    <n v="140.19999999999999"/>
    <n v="140.4"/>
    <s v="Other goods &amp; services"/>
  </r>
  <r>
    <x v="6"/>
    <x v="2"/>
    <s v="Dec-19"/>
    <x v="20"/>
    <n v="158.30000000000001"/>
    <n v="157.69999999999999"/>
    <n v="158"/>
    <s v="Food &amp; Beverages"/>
  </r>
  <r>
    <x v="6"/>
    <x v="2"/>
    <s v="Dec-19"/>
    <x v="12"/>
    <n v="138.80000000000001"/>
    <n v="137.19999999999999"/>
    <n v="138.30000000000001"/>
    <s v="Food &amp; Beverages"/>
  </r>
  <r>
    <x v="6"/>
    <x v="2"/>
    <s v="Dec-19"/>
    <x v="26"/>
    <n v="149.5"/>
    <n v="136.80000000000001"/>
    <n v="142.30000000000001"/>
    <s v="Recreation"/>
  </r>
  <r>
    <x v="6"/>
    <x v="2"/>
    <s v="Dec-19"/>
    <x v="16"/>
    <n v="149.1"/>
    <n v="148"/>
    <n v="148.69999999999999"/>
    <s v="Food &amp; Beverages"/>
  </r>
  <r>
    <x v="6"/>
    <x v="2"/>
    <s v="Dec-19"/>
    <x v="14"/>
    <n v="113.6"/>
    <n v="114.7"/>
    <n v="114"/>
    <s v="Food &amp; Beverages"/>
  </r>
  <r>
    <x v="6"/>
    <x v="2"/>
    <s v="Dec-19"/>
    <x v="25"/>
    <n v="135"/>
    <n v="125.2"/>
    <n v="129.80000000000001"/>
    <s v="Transport"/>
  </r>
  <r>
    <x v="6"/>
    <x v="2"/>
    <s v="Dec-19"/>
    <x v="11"/>
    <n v="209.5"/>
    <n v="231.5"/>
    <n v="217"/>
    <s v="Food &amp; Beverages"/>
  </r>
  <r>
    <x v="6"/>
    <x v="3"/>
    <s v="Feb-19"/>
    <x v="0"/>
    <n v="136.80000000000001"/>
    <n v="139.4"/>
    <n v="137.6"/>
    <s v="Food &amp; Beverages"/>
  </r>
  <r>
    <x v="6"/>
    <x v="3"/>
    <s v="Feb-19"/>
    <x v="1"/>
    <n v="150.5"/>
    <n v="143.30000000000001"/>
    <n v="147.69999999999999"/>
    <s v="Apparel"/>
  </r>
  <r>
    <x v="6"/>
    <x v="3"/>
    <s v="Feb-19"/>
    <x v="3"/>
    <n v="149.9"/>
    <n v="141.4"/>
    <n v="146.5"/>
    <s v="Apparel"/>
  </r>
  <r>
    <x v="6"/>
    <x v="3"/>
    <s v="Feb-19"/>
    <x v="5"/>
    <n v="155.5"/>
    <n v="146.6"/>
    <n v="150.30000000000001"/>
    <s v="Education"/>
  </r>
  <r>
    <x v="6"/>
    <x v="3"/>
    <s v="Feb-19"/>
    <x v="4"/>
    <n v="139.1"/>
    <n v="145.30000000000001"/>
    <n v="141.5"/>
    <s v="Food &amp; Beverages"/>
  </r>
  <r>
    <x v="6"/>
    <x v="3"/>
    <s v="Feb-19"/>
    <x v="8"/>
    <n v="137.19999999999999"/>
    <n v="138"/>
    <n v="137.5"/>
    <s v="Food &amp; Beverages"/>
  </r>
  <r>
    <x v="6"/>
    <x v="3"/>
    <s v="Feb-19"/>
    <x v="10"/>
    <n v="146.1"/>
    <n v="130.80000000000001"/>
    <n v="139.69999999999999"/>
    <s v="Apparel"/>
  </r>
  <r>
    <x v="6"/>
    <x v="3"/>
    <s v="Feb-19"/>
    <x v="9"/>
    <n v="135.80000000000001"/>
    <n v="137"/>
    <n v="136.4"/>
    <s v="Food &amp; Beverages"/>
  </r>
  <r>
    <x v="6"/>
    <x v="3"/>
    <s v="Feb-19"/>
    <x v="13"/>
    <n v="145.30000000000001"/>
    <n v="127.1"/>
    <n v="138.4"/>
    <s v="Energy"/>
  </r>
  <r>
    <x v="6"/>
    <x v="3"/>
    <s v="Feb-19"/>
    <x v="15"/>
    <n v="141"/>
    <n v="138.6"/>
    <n v="139.9"/>
    <s v="General Index"/>
  </r>
  <r>
    <x v="6"/>
    <x v="3"/>
    <s v="Feb-19"/>
    <x v="17"/>
    <n v="149.9"/>
    <n v="138.5"/>
    <n v="145.6"/>
    <s v="Health"/>
  </r>
  <r>
    <x v="6"/>
    <x v="3"/>
    <s v="Feb-19"/>
    <x v="19"/>
    <n v="150.1"/>
    <n v="136.6"/>
    <n v="143.69999999999999"/>
    <s v="Housing"/>
  </r>
  <r>
    <x v="6"/>
    <x v="3"/>
    <s v="Feb-19"/>
    <x v="21"/>
    <n v="0"/>
    <n v="148.5"/>
    <n v="148.5"/>
    <s v="Housing"/>
  </r>
  <r>
    <x v="6"/>
    <x v="3"/>
    <s v="Feb-19"/>
    <x v="2"/>
    <n v="153"/>
    <n v="150.1"/>
    <n v="152"/>
    <s v="Food &amp; Beverages"/>
  </r>
  <r>
    <x v="6"/>
    <x v="3"/>
    <s v="Feb-19"/>
    <x v="6"/>
    <n v="142.5"/>
    <n v="141.69999999999999"/>
    <n v="142.19999999999999"/>
    <s v="Food &amp; Beverages"/>
  </r>
  <r>
    <x v="6"/>
    <x v="3"/>
    <s v="Feb-19"/>
    <x v="23"/>
    <n v="142.19999999999999"/>
    <n v="132.4"/>
    <n v="137.4"/>
    <s v="Other goods &amp; services"/>
  </r>
  <r>
    <x v="6"/>
    <x v="3"/>
    <s v="Feb-19"/>
    <x v="18"/>
    <n v="137.4"/>
    <n v="128.30000000000001"/>
    <n v="133.6"/>
    <s v="Food &amp; Beverages"/>
  </r>
  <r>
    <x v="6"/>
    <x v="3"/>
    <s v="Feb-19"/>
    <x v="7"/>
    <n v="124.1"/>
    <n v="118.4"/>
    <n v="122"/>
    <s v="Food &amp; Beverages"/>
  </r>
  <r>
    <x v="6"/>
    <x v="3"/>
    <s v="Feb-19"/>
    <x v="22"/>
    <n v="162.80000000000001"/>
    <n v="164.9"/>
    <n v="163.4"/>
    <s v="Other goods &amp; services"/>
  </r>
  <r>
    <x v="6"/>
    <x v="3"/>
    <s v="Feb-19"/>
    <x v="24"/>
    <n v="134.9"/>
    <n v="133"/>
    <n v="134.1"/>
    <s v="Other goods &amp; services"/>
  </r>
  <r>
    <x v="6"/>
    <x v="3"/>
    <s v="Feb-19"/>
    <x v="20"/>
    <n v="156.19999999999999"/>
    <n v="153.5"/>
    <n v="154.9"/>
    <s v="Food &amp; Beverages"/>
  </r>
  <r>
    <x v="6"/>
    <x v="3"/>
    <s v="Feb-19"/>
    <x v="12"/>
    <n v="121.5"/>
    <n v="119.9"/>
    <n v="121"/>
    <s v="Food &amp; Beverages"/>
  </r>
  <r>
    <x v="6"/>
    <x v="3"/>
    <s v="Feb-19"/>
    <x v="26"/>
    <n v="143.4"/>
    <n v="132.19999999999999"/>
    <n v="137.1"/>
    <s v="Recreation"/>
  </r>
  <r>
    <x v="6"/>
    <x v="3"/>
    <s v="Feb-19"/>
    <x v="16"/>
    <n v="139.19999999999999"/>
    <n v="140.80000000000001"/>
    <n v="139.69999999999999"/>
    <s v="Food &amp; Beverages"/>
  </r>
  <r>
    <x v="6"/>
    <x v="3"/>
    <s v="Feb-19"/>
    <x v="14"/>
    <n v="108.3"/>
    <n v="110.4"/>
    <n v="109"/>
    <s v="Food &amp; Beverages"/>
  </r>
  <r>
    <x v="6"/>
    <x v="3"/>
    <s v="Feb-19"/>
    <x v="25"/>
    <n v="129.19999999999999"/>
    <n v="119.2"/>
    <n v="123.9"/>
    <s v="Transport"/>
  </r>
  <r>
    <x v="6"/>
    <x v="3"/>
    <s v="Feb-19"/>
    <x v="11"/>
    <n v="128.69999999999999"/>
    <n v="131.6"/>
    <n v="129.69999999999999"/>
    <s v="Food &amp; Beverages"/>
  </r>
  <r>
    <x v="6"/>
    <x v="4"/>
    <s v="Jan-19"/>
    <x v="0"/>
    <n v="136.6"/>
    <n v="138.30000000000001"/>
    <n v="137.1"/>
    <s v="Food &amp; Beverages"/>
  </r>
  <r>
    <x v="6"/>
    <x v="4"/>
    <s v="Jan-19"/>
    <x v="1"/>
    <n v="150.6"/>
    <n v="143"/>
    <n v="147.6"/>
    <s v="Apparel"/>
  </r>
  <r>
    <x v="6"/>
    <x v="4"/>
    <s v="Jan-19"/>
    <x v="3"/>
    <n v="149.9"/>
    <n v="141.1"/>
    <n v="146.4"/>
    <s v="Apparel"/>
  </r>
  <r>
    <x v="6"/>
    <x v="4"/>
    <s v="Jan-19"/>
    <x v="5"/>
    <n v="155.19999999999999"/>
    <n v="146.6"/>
    <n v="150.19999999999999"/>
    <s v="Education"/>
  </r>
  <r>
    <x v="6"/>
    <x v="4"/>
    <s v="Jan-19"/>
    <x v="4"/>
    <n v="138.19999999999999"/>
    <n v="143.5"/>
    <n v="140.19999999999999"/>
    <s v="Food &amp; Beverages"/>
  </r>
  <r>
    <x v="6"/>
    <x v="4"/>
    <s v="Jan-19"/>
    <x v="8"/>
    <n v="137.4"/>
    <n v="137.30000000000001"/>
    <n v="137.4"/>
    <s v="Food &amp; Beverages"/>
  </r>
  <r>
    <x v="6"/>
    <x v="4"/>
    <s v="Jan-19"/>
    <x v="10"/>
    <n v="145.1"/>
    <n v="130.4"/>
    <n v="139"/>
    <s v="Apparel"/>
  </r>
  <r>
    <x v="6"/>
    <x v="4"/>
    <s v="Jan-19"/>
    <x v="9"/>
    <n v="135.5"/>
    <n v="135.19999999999999"/>
    <n v="135.4"/>
    <s v="Food &amp; Beverages"/>
  </r>
  <r>
    <x v="6"/>
    <x v="4"/>
    <s v="Jan-19"/>
    <x v="13"/>
    <n v="146.19999999999999"/>
    <n v="128.6"/>
    <n v="139.5"/>
    <s v="Energy"/>
  </r>
  <r>
    <x v="6"/>
    <x v="4"/>
    <s v="Jan-19"/>
    <x v="15"/>
    <n v="141"/>
    <n v="138"/>
    <n v="139.6"/>
    <s v="General Index"/>
  </r>
  <r>
    <x v="6"/>
    <x v="4"/>
    <s v="Jan-19"/>
    <x v="17"/>
    <n v="149.6"/>
    <n v="137.80000000000001"/>
    <n v="145.1"/>
    <s v="Health"/>
  </r>
  <r>
    <x v="6"/>
    <x v="4"/>
    <s v="Jan-19"/>
    <x v="19"/>
    <n v="150.1"/>
    <n v="136.30000000000001"/>
    <n v="143.6"/>
    <s v="Housing"/>
  </r>
  <r>
    <x v="6"/>
    <x v="4"/>
    <s v="Jan-19"/>
    <x v="21"/>
    <n v="0"/>
    <n v="147.69999999999999"/>
    <n v="147.69999999999999"/>
    <s v="Housing"/>
  </r>
  <r>
    <x v="6"/>
    <x v="4"/>
    <s v="Jan-19"/>
    <x v="2"/>
    <n v="152.5"/>
    <n v="149.4"/>
    <n v="151.4"/>
    <s v="Food &amp; Beverages"/>
  </r>
  <r>
    <x v="6"/>
    <x v="4"/>
    <s v="Jan-19"/>
    <x v="6"/>
    <n v="142.4"/>
    <n v="141.69999999999999"/>
    <n v="142.1"/>
    <s v="Food &amp; Beverages"/>
  </r>
  <r>
    <x v="6"/>
    <x v="4"/>
    <s v="Jan-19"/>
    <x v="23"/>
    <n v="141.69999999999999"/>
    <n v="131.80000000000001"/>
    <n v="136.9"/>
    <s v="Other goods &amp; services"/>
  </r>
  <r>
    <x v="6"/>
    <x v="4"/>
    <s v="Jan-19"/>
    <x v="18"/>
    <n v="137"/>
    <n v="128.1"/>
    <n v="133.30000000000001"/>
    <s v="Food &amp; Beverages"/>
  </r>
  <r>
    <x v="6"/>
    <x v="4"/>
    <s v="Jan-19"/>
    <x v="7"/>
    <n v="123.9"/>
    <n v="118.1"/>
    <n v="121.8"/>
    <s v="Food &amp; Beverages"/>
  </r>
  <r>
    <x v="6"/>
    <x v="4"/>
    <s v="Jan-19"/>
    <x v="22"/>
    <n v="162.69999999999999"/>
    <n v="164.7"/>
    <n v="163.19999999999999"/>
    <s v="Other goods &amp; services"/>
  </r>
  <r>
    <x v="6"/>
    <x v="4"/>
    <s v="Jan-19"/>
    <x v="24"/>
    <n v="133.5"/>
    <n v="131.69999999999999"/>
    <n v="132.80000000000001"/>
    <s v="Other goods &amp; services"/>
  </r>
  <r>
    <x v="6"/>
    <x v="4"/>
    <s v="Jan-19"/>
    <x v="20"/>
    <n v="155.80000000000001"/>
    <n v="153.19999999999999"/>
    <n v="154.6"/>
    <s v="Food &amp; Beverages"/>
  </r>
  <r>
    <x v="6"/>
    <x v="4"/>
    <s v="Jan-19"/>
    <x v="12"/>
    <n v="121.3"/>
    <n v="118.2"/>
    <n v="120.3"/>
    <s v="Food &amp; Beverages"/>
  </r>
  <r>
    <x v="6"/>
    <x v="4"/>
    <s v="Jan-19"/>
    <x v="26"/>
    <n v="142.9"/>
    <n v="131.9"/>
    <n v="136.69999999999999"/>
    <s v="Recreation"/>
  </r>
  <r>
    <x v="6"/>
    <x v="4"/>
    <s v="Jan-19"/>
    <x v="16"/>
    <n v="138.9"/>
    <n v="140.4"/>
    <n v="139.4"/>
    <s v="Food &amp; Beverages"/>
  </r>
  <r>
    <x v="6"/>
    <x v="4"/>
    <s v="Jan-19"/>
    <x v="14"/>
    <n v="108.4"/>
    <n v="110.4"/>
    <n v="109.1"/>
    <s v="Food &amp; Beverages"/>
  </r>
  <r>
    <x v="6"/>
    <x v="4"/>
    <s v="Jan-19"/>
    <x v="25"/>
    <n v="128.6"/>
    <n v="118.6"/>
    <n v="123.3"/>
    <s v="Transport"/>
  </r>
  <r>
    <x v="6"/>
    <x v="4"/>
    <s v="Jan-19"/>
    <x v="11"/>
    <n v="131.69999999999999"/>
    <n v="130.5"/>
    <n v="131.30000000000001"/>
    <s v="Food &amp; Beverages"/>
  </r>
  <r>
    <x v="6"/>
    <x v="5"/>
    <s v="Jul-19"/>
    <x v="0"/>
    <n v="138.4"/>
    <n v="141.4"/>
    <n v="139.30000000000001"/>
    <s v="Food &amp; Beverages"/>
  </r>
  <r>
    <x v="6"/>
    <x v="5"/>
    <s v="Jul-19"/>
    <x v="1"/>
    <n v="151.6"/>
    <n v="144.69999999999999"/>
    <n v="148.9"/>
    <s v="Apparel"/>
  </r>
  <r>
    <x v="6"/>
    <x v="5"/>
    <s v="Jul-19"/>
    <x v="3"/>
    <n v="150.9"/>
    <n v="142.69999999999999"/>
    <n v="147.6"/>
    <s v="Apparel"/>
  </r>
  <r>
    <x v="6"/>
    <x v="5"/>
    <s v="Jul-19"/>
    <x v="5"/>
    <n v="159.1"/>
    <n v="150.4"/>
    <n v="154"/>
    <s v="Education"/>
  </r>
  <r>
    <x v="6"/>
    <x v="5"/>
    <s v="Jul-19"/>
    <x v="4"/>
    <n v="138.4"/>
    <n v="142.5"/>
    <n v="140"/>
    <s v="Food &amp; Beverages"/>
  </r>
  <r>
    <x v="6"/>
    <x v="5"/>
    <s v="Jul-19"/>
    <x v="8"/>
    <n v="143"/>
    <n v="147.69999999999999"/>
    <n v="144.69999999999999"/>
    <s v="Food &amp; Beverages"/>
  </r>
  <r>
    <x v="6"/>
    <x v="5"/>
    <s v="Jul-19"/>
    <x v="10"/>
    <n v="146.6"/>
    <n v="131.9"/>
    <n v="140.5"/>
    <s v="Apparel"/>
  </r>
  <r>
    <x v="6"/>
    <x v="5"/>
    <s v="Jul-19"/>
    <x v="9"/>
    <n v="146.4"/>
    <n v="154.69999999999999"/>
    <n v="150.30000000000001"/>
    <s v="Food &amp; Beverages"/>
  </r>
  <r>
    <x v="6"/>
    <x v="5"/>
    <s v="Jul-19"/>
    <x v="13"/>
    <n v="146.80000000000001"/>
    <n v="127"/>
    <n v="139.30000000000001"/>
    <s v="Energy"/>
  </r>
  <r>
    <x v="6"/>
    <x v="5"/>
    <s v="Jul-19"/>
    <x v="15"/>
    <n v="144.9"/>
    <n v="143.30000000000001"/>
    <n v="144.19999999999999"/>
    <s v="General Index"/>
  </r>
  <r>
    <x v="6"/>
    <x v="5"/>
    <s v="Jul-19"/>
    <x v="17"/>
    <n v="152.19999999999999"/>
    <n v="140.80000000000001"/>
    <n v="147.9"/>
    <s v="Health"/>
  </r>
  <r>
    <x v="6"/>
    <x v="5"/>
    <s v="Jul-19"/>
    <x v="19"/>
    <n v="150"/>
    <n v="137.69999999999999"/>
    <n v="144.19999999999999"/>
    <s v="Housing"/>
  </r>
  <r>
    <x v="6"/>
    <x v="5"/>
    <s v="Jul-19"/>
    <x v="21"/>
    <n v="0"/>
    <n v="150.6"/>
    <n v="150.6"/>
    <s v="Housing"/>
  </r>
  <r>
    <x v="6"/>
    <x v="5"/>
    <s v="Jul-19"/>
    <x v="2"/>
    <n v="164"/>
    <n v="160.19999999999999"/>
    <n v="162.69999999999999"/>
    <s v="Food &amp; Beverages"/>
  </r>
  <r>
    <x v="6"/>
    <x v="5"/>
    <s v="Jul-19"/>
    <x v="6"/>
    <n v="143.9"/>
    <n v="144.1"/>
    <n v="144"/>
    <s v="Food &amp; Beverages"/>
  </r>
  <r>
    <x v="6"/>
    <x v="5"/>
    <s v="Jul-19"/>
    <x v="23"/>
    <n v="144.19999999999999"/>
    <n v="134.5"/>
    <n v="139.5"/>
    <s v="Other goods &amp; services"/>
  </r>
  <r>
    <x v="6"/>
    <x v="5"/>
    <s v="Jul-19"/>
    <x v="18"/>
    <n v="138.5"/>
    <n v="129.5"/>
    <n v="134.69999999999999"/>
    <s v="Food &amp; Beverages"/>
  </r>
  <r>
    <x v="6"/>
    <x v="5"/>
    <s v="Jul-19"/>
    <x v="7"/>
    <n v="124.4"/>
    <n v="119.3"/>
    <n v="122.5"/>
    <s v="Food &amp; Beverages"/>
  </r>
  <r>
    <x v="6"/>
    <x v="5"/>
    <s v="Jul-19"/>
    <x v="22"/>
    <n v="164.5"/>
    <n v="167.2"/>
    <n v="165.2"/>
    <s v="Other goods &amp; services"/>
  </r>
  <r>
    <x v="6"/>
    <x v="5"/>
    <s v="Jul-19"/>
    <x v="24"/>
    <n v="136.1"/>
    <n v="135.1"/>
    <n v="135.69999999999999"/>
    <s v="Other goods &amp; services"/>
  </r>
  <r>
    <x v="6"/>
    <x v="5"/>
    <s v="Jul-19"/>
    <x v="20"/>
    <n v="156.69999999999999"/>
    <n v="155.6"/>
    <n v="156.19999999999999"/>
    <s v="Food &amp; Beverages"/>
  </r>
  <r>
    <x v="6"/>
    <x v="5"/>
    <s v="Jul-19"/>
    <x v="12"/>
    <n v="130.6"/>
    <n v="128.9"/>
    <n v="130"/>
    <s v="Food &amp; Beverages"/>
  </r>
  <r>
    <x v="6"/>
    <x v="5"/>
    <s v="Jul-19"/>
    <x v="26"/>
    <n v="147.5"/>
    <n v="135"/>
    <n v="140.5"/>
    <s v="Recreation"/>
  </r>
  <r>
    <x v="6"/>
    <x v="5"/>
    <s v="Jul-19"/>
    <x v="16"/>
    <n v="141.69999999999999"/>
    <n v="141.6"/>
    <n v="141.69999999999999"/>
    <s v="Food &amp; Beverages"/>
  </r>
  <r>
    <x v="6"/>
    <x v="5"/>
    <s v="Jul-19"/>
    <x v="14"/>
    <n v="110.8"/>
    <n v="111.8"/>
    <n v="111.1"/>
    <s v="Food &amp; Beverages"/>
  </r>
  <r>
    <x v="6"/>
    <x v="5"/>
    <s v="Jul-19"/>
    <x v="25"/>
    <n v="131.19999999999999"/>
    <n v="120.6"/>
    <n v="125.6"/>
    <s v="Transport"/>
  </r>
  <r>
    <x v="6"/>
    <x v="5"/>
    <s v="Jul-19"/>
    <x v="11"/>
    <n v="150.1"/>
    <n v="180.1"/>
    <n v="160.30000000000001"/>
    <s v="Food &amp; Beverages"/>
  </r>
  <r>
    <x v="6"/>
    <x v="6"/>
    <s v="Jun-19"/>
    <x v="0"/>
    <n v="137.80000000000001"/>
    <n v="140.69999999999999"/>
    <n v="138.69999999999999"/>
    <s v="Food &amp; Beverages"/>
  </r>
  <r>
    <x v="6"/>
    <x v="6"/>
    <s v="Jun-19"/>
    <x v="1"/>
    <n v="151.4"/>
    <n v="144.30000000000001"/>
    <n v="148.6"/>
    <s v="Apparel"/>
  </r>
  <r>
    <x v="6"/>
    <x v="6"/>
    <s v="Jun-19"/>
    <x v="3"/>
    <n v="150.69999999999999"/>
    <n v="142.4"/>
    <n v="147.4"/>
    <s v="Apparel"/>
  </r>
  <r>
    <x v="6"/>
    <x v="6"/>
    <s v="Jun-19"/>
    <x v="5"/>
    <n v="157.69999999999999"/>
    <n v="148.9"/>
    <n v="152.5"/>
    <s v="Education"/>
  </r>
  <r>
    <x v="6"/>
    <x v="6"/>
    <s v="Jun-19"/>
    <x v="4"/>
    <n v="136.19999999999999"/>
    <n v="140.4"/>
    <n v="137.80000000000001"/>
    <s v="Food &amp; Beverages"/>
  </r>
  <r>
    <x v="6"/>
    <x v="6"/>
    <s v="Jun-19"/>
    <x v="8"/>
    <n v="141"/>
    <n v="145.6"/>
    <n v="142.69999999999999"/>
    <s v="Food &amp; Beverages"/>
  </r>
  <r>
    <x v="6"/>
    <x v="6"/>
    <s v="Jun-19"/>
    <x v="10"/>
    <n v="146.5"/>
    <n v="131.69999999999999"/>
    <n v="140.4"/>
    <s v="Apparel"/>
  </r>
  <r>
    <x v="6"/>
    <x v="6"/>
    <s v="Jun-19"/>
    <x v="9"/>
    <n v="143.30000000000001"/>
    <n v="150.9"/>
    <n v="146.80000000000001"/>
    <s v="Food &amp; Beverages"/>
  </r>
  <r>
    <x v="6"/>
    <x v="6"/>
    <s v="Jun-19"/>
    <x v="13"/>
    <n v="147.80000000000001"/>
    <n v="130.5"/>
    <n v="141.19999999999999"/>
    <s v="Energy"/>
  </r>
  <r>
    <x v="6"/>
    <x v="6"/>
    <s v="Jun-19"/>
    <x v="15"/>
    <n v="143.6"/>
    <n v="142.1"/>
    <n v="142.9"/>
    <s v="General Index"/>
  </r>
  <r>
    <x v="6"/>
    <x v="6"/>
    <s v="Jun-19"/>
    <x v="17"/>
    <n v="151.69999999999999"/>
    <n v="140.30000000000001"/>
    <n v="147.4"/>
    <s v="Health"/>
  </r>
  <r>
    <x v="6"/>
    <x v="6"/>
    <s v="Jun-19"/>
    <x v="19"/>
    <n v="149.6"/>
    <n v="137.4"/>
    <n v="143.80000000000001"/>
    <s v="Housing"/>
  </r>
  <r>
    <x v="6"/>
    <x v="6"/>
    <s v="Jun-19"/>
    <x v="21"/>
    <n v="0"/>
    <n v="149.4"/>
    <n v="149.4"/>
    <s v="Housing"/>
  </r>
  <r>
    <x v="6"/>
    <x v="6"/>
    <s v="Jun-19"/>
    <x v="2"/>
    <n v="163.5"/>
    <n v="159.6"/>
    <n v="162.1"/>
    <s v="Food &amp; Beverages"/>
  </r>
  <r>
    <x v="6"/>
    <x v="6"/>
    <s v="Jun-19"/>
    <x v="6"/>
    <n v="143.19999999999999"/>
    <n v="143.4"/>
    <n v="143.30000000000001"/>
    <s v="Food &amp; Beverages"/>
  </r>
  <r>
    <x v="6"/>
    <x v="6"/>
    <s v="Jun-19"/>
    <x v="23"/>
    <n v="143.30000000000001"/>
    <n v="133.6"/>
    <n v="138.6"/>
    <s v="Other goods &amp; services"/>
  </r>
  <r>
    <x v="6"/>
    <x v="6"/>
    <s v="Jun-19"/>
    <x v="18"/>
    <n v="138"/>
    <n v="129"/>
    <n v="134.19999999999999"/>
    <s v="Food &amp; Beverages"/>
  </r>
  <r>
    <x v="6"/>
    <x v="6"/>
    <s v="Jun-19"/>
    <x v="7"/>
    <n v="124.3"/>
    <n v="118.6"/>
    <n v="122.2"/>
    <s v="Food &amp; Beverages"/>
  </r>
  <r>
    <x v="6"/>
    <x v="6"/>
    <s v="Jun-19"/>
    <x v="22"/>
    <n v="164.2"/>
    <n v="166.7"/>
    <n v="164.9"/>
    <s v="Other goods &amp; services"/>
  </r>
  <r>
    <x v="6"/>
    <x v="6"/>
    <s v="Jun-19"/>
    <x v="24"/>
    <n v="134.80000000000001"/>
    <n v="133.69999999999999"/>
    <n v="134.30000000000001"/>
    <s v="Other goods &amp; services"/>
  </r>
  <r>
    <x v="6"/>
    <x v="6"/>
    <s v="Jun-19"/>
    <x v="20"/>
    <n v="156.6"/>
    <n v="155.1"/>
    <n v="155.9"/>
    <s v="Food &amp; Beverages"/>
  </r>
  <r>
    <x v="6"/>
    <x v="6"/>
    <s v="Jun-19"/>
    <x v="12"/>
    <n v="128.69999999999999"/>
    <n v="127.4"/>
    <n v="128.30000000000001"/>
    <s v="Food &amp; Beverages"/>
  </r>
  <r>
    <x v="6"/>
    <x v="6"/>
    <s v="Jun-19"/>
    <x v="26"/>
    <n v="146.4"/>
    <n v="134.30000000000001"/>
    <n v="139.6"/>
    <s v="Recreation"/>
  </r>
  <r>
    <x v="6"/>
    <x v="6"/>
    <s v="Jun-19"/>
    <x v="16"/>
    <n v="140.4"/>
    <n v="141"/>
    <n v="140.6"/>
    <s v="Food &amp; Beverages"/>
  </r>
  <r>
    <x v="6"/>
    <x v="6"/>
    <s v="Jun-19"/>
    <x v="14"/>
    <n v="110.6"/>
    <n v="111.8"/>
    <n v="111"/>
    <s v="Food &amp; Beverages"/>
  </r>
  <r>
    <x v="6"/>
    <x v="6"/>
    <s v="Jun-19"/>
    <x v="25"/>
    <n v="130.19999999999999"/>
    <n v="119.6"/>
    <n v="124.6"/>
    <s v="Transport"/>
  </r>
  <r>
    <x v="6"/>
    <x v="6"/>
    <s v="Jun-19"/>
    <x v="11"/>
    <n v="140.6"/>
    <n v="169.8"/>
    <n v="150.5"/>
    <s v="Food &amp; Beverages"/>
  </r>
  <r>
    <x v="6"/>
    <x v="7"/>
    <s v="Mar-19"/>
    <x v="0"/>
    <n v="136.9"/>
    <n v="139.69999999999999"/>
    <n v="137.80000000000001"/>
    <s v="Food &amp; Beverages"/>
  </r>
  <r>
    <x v="6"/>
    <x v="7"/>
    <s v="Mar-19"/>
    <x v="1"/>
    <n v="150.80000000000001"/>
    <n v="143.5"/>
    <n v="147.9"/>
    <s v="Apparel"/>
  </r>
  <r>
    <x v="6"/>
    <x v="7"/>
    <s v="Mar-19"/>
    <x v="3"/>
    <n v="150.1"/>
    <n v="141.6"/>
    <n v="146.69999999999999"/>
    <s v="Apparel"/>
  </r>
  <r>
    <x v="6"/>
    <x v="7"/>
    <s v="Mar-19"/>
    <x v="5"/>
    <n v="155.5"/>
    <n v="146.69999999999999"/>
    <n v="150.30000000000001"/>
    <s v="Education"/>
  </r>
  <r>
    <x v="6"/>
    <x v="7"/>
    <s v="Mar-19"/>
    <x v="4"/>
    <n v="138.69999999999999"/>
    <n v="142.9"/>
    <n v="140.30000000000001"/>
    <s v="Food &amp; Beverages"/>
  </r>
  <r>
    <x v="6"/>
    <x v="7"/>
    <s v="Mar-19"/>
    <x v="8"/>
    <n v="137.30000000000001"/>
    <n v="139.6"/>
    <n v="138.1"/>
    <s v="Food &amp; Beverages"/>
  </r>
  <r>
    <x v="6"/>
    <x v="7"/>
    <s v="Mar-19"/>
    <x v="10"/>
    <n v="146.1"/>
    <n v="131.19999999999999"/>
    <n v="139.9"/>
    <s v="Apparel"/>
  </r>
  <r>
    <x v="6"/>
    <x v="7"/>
    <s v="Mar-19"/>
    <x v="9"/>
    <n v="136.1"/>
    <n v="139.4"/>
    <n v="137.6"/>
    <s v="Food &amp; Beverages"/>
  </r>
  <r>
    <x v="6"/>
    <x v="7"/>
    <s v="Mar-19"/>
    <x v="13"/>
    <n v="146.4"/>
    <n v="128.80000000000001"/>
    <n v="139.69999999999999"/>
    <s v="Energy"/>
  </r>
  <r>
    <x v="6"/>
    <x v="7"/>
    <s v="Mar-19"/>
    <x v="15"/>
    <n v="141.19999999999999"/>
    <n v="139.5"/>
    <n v="140.4"/>
    <s v="General Index"/>
  </r>
  <r>
    <x v="6"/>
    <x v="7"/>
    <s v="Mar-19"/>
    <x v="17"/>
    <n v="150.4"/>
    <n v="139.19999999999999"/>
    <n v="146.19999999999999"/>
    <s v="Health"/>
  </r>
  <r>
    <x v="6"/>
    <x v="7"/>
    <s v="Mar-19"/>
    <x v="19"/>
    <n v="150"/>
    <n v="136.80000000000001"/>
    <n v="143.80000000000001"/>
    <s v="Housing"/>
  </r>
  <r>
    <x v="6"/>
    <x v="7"/>
    <s v="Mar-19"/>
    <x v="21"/>
    <n v="0"/>
    <n v="149"/>
    <n v="149"/>
    <s v="Housing"/>
  </r>
  <r>
    <x v="6"/>
    <x v="7"/>
    <s v="Mar-19"/>
    <x v="2"/>
    <n v="154.1"/>
    <n v="151.1"/>
    <n v="153"/>
    <s v="Food &amp; Beverages"/>
  </r>
  <r>
    <x v="6"/>
    <x v="7"/>
    <s v="Mar-19"/>
    <x v="6"/>
    <n v="142.5"/>
    <n v="141.9"/>
    <n v="142.30000000000001"/>
    <s v="Food &amp; Beverages"/>
  </r>
  <r>
    <x v="6"/>
    <x v="7"/>
    <s v="Mar-19"/>
    <x v="23"/>
    <n v="142.4"/>
    <n v="132.80000000000001"/>
    <n v="137.69999999999999"/>
    <s v="Other goods &amp; services"/>
  </r>
  <r>
    <x v="6"/>
    <x v="7"/>
    <s v="Mar-19"/>
    <x v="18"/>
    <n v="137.4"/>
    <n v="128.5"/>
    <n v="133.69999999999999"/>
    <s v="Food &amp; Beverages"/>
  </r>
  <r>
    <x v="6"/>
    <x v="7"/>
    <s v="Mar-19"/>
    <x v="7"/>
    <n v="124.1"/>
    <n v="118.4"/>
    <n v="122"/>
    <s v="Food &amp; Beverages"/>
  </r>
  <r>
    <x v="6"/>
    <x v="7"/>
    <s v="Mar-19"/>
    <x v="22"/>
    <n v="162.9"/>
    <n v="165.3"/>
    <n v="163.5"/>
    <s v="Other goods &amp; services"/>
  </r>
  <r>
    <x v="6"/>
    <x v="7"/>
    <s v="Mar-19"/>
    <x v="24"/>
    <n v="134"/>
    <n v="132.5"/>
    <n v="133.4"/>
    <s v="Other goods &amp; services"/>
  </r>
  <r>
    <x v="6"/>
    <x v="7"/>
    <s v="Mar-19"/>
    <x v="20"/>
    <n v="156.4"/>
    <n v="153.9"/>
    <n v="155.19999999999999"/>
    <s v="Food &amp; Beverages"/>
  </r>
  <r>
    <x v="6"/>
    <x v="7"/>
    <s v="Mar-19"/>
    <x v="12"/>
    <n v="122.3"/>
    <n v="120.7"/>
    <n v="121.8"/>
    <s v="Food &amp; Beverages"/>
  </r>
  <r>
    <x v="6"/>
    <x v="7"/>
    <s v="Mar-19"/>
    <x v="26"/>
    <n v="143.80000000000001"/>
    <n v="133"/>
    <n v="137.69999999999999"/>
    <s v="Recreation"/>
  </r>
  <r>
    <x v="6"/>
    <x v="7"/>
    <s v="Mar-19"/>
    <x v="16"/>
    <n v="138.9"/>
    <n v="140.69999999999999"/>
    <n v="139.5"/>
    <s v="Food &amp; Beverages"/>
  </r>
  <r>
    <x v="6"/>
    <x v="7"/>
    <s v="Mar-19"/>
    <x v="14"/>
    <n v="108.3"/>
    <n v="110.4"/>
    <n v="109"/>
    <s v="Food &amp; Beverages"/>
  </r>
  <r>
    <x v="6"/>
    <x v="7"/>
    <s v="Mar-19"/>
    <x v="25"/>
    <n v="129.9"/>
    <n v="119.9"/>
    <n v="124.6"/>
    <s v="Transport"/>
  </r>
  <r>
    <x v="6"/>
    <x v="7"/>
    <s v="Mar-19"/>
    <x v="11"/>
    <n v="128.19999999999999"/>
    <n v="141.19999999999999"/>
    <n v="132.6"/>
    <s v="Food &amp; Beverages"/>
  </r>
  <r>
    <x v="6"/>
    <x v="8"/>
    <s v="May-19"/>
    <x v="0"/>
    <n v="137.4"/>
    <n v="140.4"/>
    <n v="138.30000000000001"/>
    <s v="Food &amp; Beverages"/>
  </r>
  <r>
    <x v="6"/>
    <x v="8"/>
    <s v="May-19"/>
    <x v="1"/>
    <n v="151.30000000000001"/>
    <n v="144"/>
    <n v="148.4"/>
    <s v="Apparel"/>
  </r>
  <r>
    <x v="6"/>
    <x v="8"/>
    <s v="May-19"/>
    <x v="3"/>
    <n v="150.69999999999999"/>
    <n v="142.19999999999999"/>
    <n v="147.30000000000001"/>
    <s v="Apparel"/>
  </r>
  <r>
    <x v="6"/>
    <x v="8"/>
    <s v="May-19"/>
    <x v="5"/>
    <n v="156.69999999999999"/>
    <n v="148"/>
    <n v="151.6"/>
    <s v="Education"/>
  </r>
  <r>
    <x v="6"/>
    <x v="8"/>
    <s v="May-19"/>
    <x v="4"/>
    <n v="134.5"/>
    <n v="138.30000000000001"/>
    <n v="136"/>
    <s v="Food &amp; Beverages"/>
  </r>
  <r>
    <x v="6"/>
    <x v="8"/>
    <s v="May-19"/>
    <x v="8"/>
    <n v="139.19999999999999"/>
    <n v="143.80000000000001"/>
    <n v="140.9"/>
    <s v="Food &amp; Beverages"/>
  </r>
  <r>
    <x v="6"/>
    <x v="8"/>
    <s v="May-19"/>
    <x v="10"/>
    <n v="146.6"/>
    <n v="131.69999999999999"/>
    <n v="140.4"/>
    <s v="Apparel"/>
  </r>
  <r>
    <x v="6"/>
    <x v="8"/>
    <s v="May-19"/>
    <x v="9"/>
    <n v="143.69999999999999"/>
    <n v="149.69999999999999"/>
    <n v="146.5"/>
    <s v="Food &amp; Beverages"/>
  </r>
  <r>
    <x v="6"/>
    <x v="8"/>
    <s v="May-19"/>
    <x v="13"/>
    <n v="146.9"/>
    <n v="129.4"/>
    <n v="140.30000000000001"/>
    <s v="Energy"/>
  </r>
  <r>
    <x v="6"/>
    <x v="8"/>
    <s v="May-19"/>
    <x v="15"/>
    <n v="142.4"/>
    <n v="141.5"/>
    <n v="142"/>
    <s v="General Index"/>
  </r>
  <r>
    <x v="6"/>
    <x v="8"/>
    <s v="May-19"/>
    <x v="17"/>
    <n v="151.30000000000001"/>
    <n v="139.80000000000001"/>
    <n v="146.9"/>
    <s v="Health"/>
  </r>
  <r>
    <x v="6"/>
    <x v="8"/>
    <s v="May-19"/>
    <x v="19"/>
    <n v="149.5"/>
    <n v="137.19999999999999"/>
    <n v="143.69999999999999"/>
    <s v="Housing"/>
  </r>
  <r>
    <x v="6"/>
    <x v="8"/>
    <s v="May-19"/>
    <x v="21"/>
    <n v="0"/>
    <n v="150.1"/>
    <n v="150.1"/>
    <s v="Housing"/>
  </r>
  <r>
    <x v="6"/>
    <x v="8"/>
    <s v="May-19"/>
    <x v="2"/>
    <n v="159.5"/>
    <n v="156.69999999999999"/>
    <n v="158.5"/>
    <s v="Food &amp; Beverages"/>
  </r>
  <r>
    <x v="6"/>
    <x v="8"/>
    <s v="May-19"/>
    <x v="6"/>
    <n v="142.6"/>
    <n v="142.4"/>
    <n v="142.5"/>
    <s v="Food &amp; Beverages"/>
  </r>
  <r>
    <x v="6"/>
    <x v="8"/>
    <s v="May-19"/>
    <x v="23"/>
    <n v="142.9"/>
    <n v="133.30000000000001"/>
    <n v="138.19999999999999"/>
    <s v="Other goods &amp; services"/>
  </r>
  <r>
    <x v="6"/>
    <x v="8"/>
    <s v="May-19"/>
    <x v="18"/>
    <n v="137.69999999999999"/>
    <n v="128.9"/>
    <n v="134"/>
    <s v="Food &amp; Beverages"/>
  </r>
  <r>
    <x v="6"/>
    <x v="8"/>
    <s v="May-19"/>
    <x v="7"/>
    <n v="124"/>
    <n v="118.6"/>
    <n v="122"/>
    <s v="Food &amp; Beverages"/>
  </r>
  <r>
    <x v="6"/>
    <x v="8"/>
    <s v="May-19"/>
    <x v="22"/>
    <n v="163.30000000000001"/>
    <n v="166.2"/>
    <n v="164.1"/>
    <s v="Other goods &amp; services"/>
  </r>
  <r>
    <x v="6"/>
    <x v="8"/>
    <s v="May-19"/>
    <x v="24"/>
    <n v="133.9"/>
    <n v="132.6"/>
    <n v="133.4"/>
    <s v="Other goods &amp; services"/>
  </r>
  <r>
    <x v="6"/>
    <x v="8"/>
    <s v="May-19"/>
    <x v="20"/>
    <n v="156.4"/>
    <n v="154.5"/>
    <n v="155.5"/>
    <s v="Food &amp; Beverages"/>
  </r>
  <r>
    <x v="6"/>
    <x v="8"/>
    <s v="May-19"/>
    <x v="12"/>
    <n v="125.1"/>
    <n v="124.4"/>
    <n v="124.9"/>
    <s v="Food &amp; Beverages"/>
  </r>
  <r>
    <x v="6"/>
    <x v="8"/>
    <s v="May-19"/>
    <x v="26"/>
    <n v="145.9"/>
    <n v="134"/>
    <n v="139.19999999999999"/>
    <s v="Recreation"/>
  </r>
  <r>
    <x v="6"/>
    <x v="8"/>
    <s v="May-19"/>
    <x v="16"/>
    <n v="139.30000000000001"/>
    <n v="141"/>
    <n v="139.9"/>
    <s v="Food &amp; Beverages"/>
  </r>
  <r>
    <x v="6"/>
    <x v="8"/>
    <s v="May-19"/>
    <x v="14"/>
    <n v="109.3"/>
    <n v="111.2"/>
    <n v="109.9"/>
    <s v="Food &amp; Beverages"/>
  </r>
  <r>
    <x v="6"/>
    <x v="8"/>
    <s v="May-19"/>
    <x v="25"/>
    <n v="130.19999999999999"/>
    <n v="120.1"/>
    <n v="124.9"/>
    <s v="Transport"/>
  </r>
  <r>
    <x v="6"/>
    <x v="8"/>
    <s v="May-19"/>
    <x v="11"/>
    <n v="133.4"/>
    <n v="161.6"/>
    <n v="143"/>
    <s v="Food &amp; Beverages"/>
  </r>
  <r>
    <x v="6"/>
    <x v="9"/>
    <s v="Nov-19"/>
    <x v="0"/>
    <n v="141.80000000000001"/>
    <n v="144.1"/>
    <n v="142.5"/>
    <s v="Food &amp; Beverages"/>
  </r>
  <r>
    <x v="6"/>
    <x v="9"/>
    <s v="Nov-19"/>
    <x v="1"/>
    <n v="152.30000000000001"/>
    <n v="146.30000000000001"/>
    <n v="149.9"/>
    <s v="Apparel"/>
  </r>
  <r>
    <x v="6"/>
    <x v="9"/>
    <s v="Nov-19"/>
    <x v="3"/>
    <n v="151.5"/>
    <n v="144.19999999999999"/>
    <n v="148.6"/>
    <s v="Apparel"/>
  </r>
  <r>
    <x v="6"/>
    <x v="9"/>
    <s v="Nov-19"/>
    <x v="5"/>
    <n v="160.80000000000001"/>
    <n v="151.80000000000001"/>
    <n v="155.5"/>
    <s v="Education"/>
  </r>
  <r>
    <x v="6"/>
    <x v="9"/>
    <s v="Nov-19"/>
    <x v="4"/>
    <n v="143.80000000000001"/>
    <n v="148.4"/>
    <n v="145.6"/>
    <s v="Food &amp; Beverages"/>
  </r>
  <r>
    <x v="6"/>
    <x v="9"/>
    <s v="Nov-19"/>
    <x v="8"/>
    <n v="150.9"/>
    <n v="153.6"/>
    <n v="151.9"/>
    <s v="Food &amp; Beverages"/>
  </r>
  <r>
    <x v="6"/>
    <x v="9"/>
    <s v="Nov-19"/>
    <x v="10"/>
    <n v="147"/>
    <n v="132.6"/>
    <n v="141"/>
    <s v="Apparel"/>
  </r>
  <r>
    <x v="6"/>
    <x v="9"/>
    <s v="Nov-19"/>
    <x v="9"/>
    <n v="146.19999999999999"/>
    <n v="148.80000000000001"/>
    <n v="147.4"/>
    <s v="Food &amp; Beverages"/>
  </r>
  <r>
    <x v="6"/>
    <x v="9"/>
    <s v="Nov-19"/>
    <x v="13"/>
    <n v="148.4"/>
    <n v="132.19999999999999"/>
    <n v="142.30000000000001"/>
    <s v="Energy"/>
  </r>
  <r>
    <x v="6"/>
    <x v="9"/>
    <s v="Nov-19"/>
    <x v="15"/>
    <n v="149.9"/>
    <n v="147"/>
    <n v="148.6"/>
    <s v="General Index"/>
  </r>
  <r>
    <x v="6"/>
    <x v="9"/>
    <s v="Nov-19"/>
    <x v="17"/>
    <n v="154.30000000000001"/>
    <n v="142.80000000000001"/>
    <n v="149.9"/>
    <s v="Health"/>
  </r>
  <r>
    <x v="6"/>
    <x v="9"/>
    <s v="Nov-19"/>
    <x v="19"/>
    <n v="150.9"/>
    <n v="139.1"/>
    <n v="145.30000000000001"/>
    <s v="Housing"/>
  </r>
  <r>
    <x v="6"/>
    <x v="9"/>
    <s v="Nov-19"/>
    <x v="21"/>
    <n v="0"/>
    <n v="153.5"/>
    <n v="153.5"/>
    <s v="Housing"/>
  </r>
  <r>
    <x v="6"/>
    <x v="9"/>
    <s v="Nov-19"/>
    <x v="2"/>
    <n v="163.69999999999999"/>
    <n v="162.4"/>
    <n v="163.19999999999999"/>
    <s v="Food &amp; Beverages"/>
  </r>
  <r>
    <x v="6"/>
    <x v="9"/>
    <s v="Nov-19"/>
    <x v="6"/>
    <n v="147.1"/>
    <n v="145.9"/>
    <n v="146.69999999999999"/>
    <s v="Food &amp; Beverages"/>
  </r>
  <r>
    <x v="6"/>
    <x v="9"/>
    <s v="Nov-19"/>
    <x v="23"/>
    <n v="146.1"/>
    <n v="136.30000000000001"/>
    <n v="141.30000000000001"/>
    <s v="Other goods &amp; services"/>
  </r>
  <r>
    <x v="6"/>
    <x v="9"/>
    <s v="Nov-19"/>
    <x v="18"/>
    <n v="138.69999999999999"/>
    <n v="130.5"/>
    <n v="135.30000000000001"/>
    <s v="Food &amp; Beverages"/>
  </r>
  <r>
    <x v="6"/>
    <x v="9"/>
    <s v="Nov-19"/>
    <x v="7"/>
    <n v="126"/>
    <n v="121.5"/>
    <n v="124.3"/>
    <s v="Food &amp; Beverages"/>
  </r>
  <r>
    <x v="6"/>
    <x v="9"/>
    <s v="Nov-19"/>
    <x v="22"/>
    <n v="167.2"/>
    <n v="169.9"/>
    <n v="167.9"/>
    <s v="Other goods &amp; services"/>
  </r>
  <r>
    <x v="6"/>
    <x v="9"/>
    <s v="Nov-19"/>
    <x v="24"/>
    <n v="140.6"/>
    <n v="139.80000000000001"/>
    <n v="140.30000000000001"/>
    <s v="Other goods &amp; services"/>
  </r>
  <r>
    <x v="6"/>
    <x v="9"/>
    <s v="Nov-19"/>
    <x v="20"/>
    <n v="157.69999999999999"/>
    <n v="157.19999999999999"/>
    <n v="157.5"/>
    <s v="Food &amp; Beverages"/>
  </r>
  <r>
    <x v="6"/>
    <x v="9"/>
    <s v="Nov-19"/>
    <x v="12"/>
    <n v="136.19999999999999"/>
    <n v="134.6"/>
    <n v="135.69999999999999"/>
    <s v="Food &amp; Beverages"/>
  </r>
  <r>
    <x v="6"/>
    <x v="9"/>
    <s v="Nov-19"/>
    <x v="26"/>
    <n v="149.1"/>
    <n v="136.69999999999999"/>
    <n v="142.1"/>
    <s v="Recreation"/>
  </r>
  <r>
    <x v="6"/>
    <x v="9"/>
    <s v="Nov-19"/>
    <x v="16"/>
    <n v="147.30000000000001"/>
    <n v="146.30000000000001"/>
    <n v="147"/>
    <s v="Food &amp; Beverages"/>
  </r>
  <r>
    <x v="6"/>
    <x v="9"/>
    <s v="Nov-19"/>
    <x v="14"/>
    <n v="113.8"/>
    <n v="115"/>
    <n v="114.2"/>
    <s v="Food &amp; Beverages"/>
  </r>
  <r>
    <x v="6"/>
    <x v="9"/>
    <s v="Nov-19"/>
    <x v="25"/>
    <n v="132.1"/>
    <n v="121.7"/>
    <n v="126.6"/>
    <s v="Transport"/>
  </r>
  <r>
    <x v="6"/>
    <x v="9"/>
    <s v="Nov-19"/>
    <x v="11"/>
    <n v="191.4"/>
    <n v="215.7"/>
    <n v="199.6"/>
    <s v="Food &amp; Beverages"/>
  </r>
  <r>
    <x v="6"/>
    <x v="10"/>
    <s v="Oct-19"/>
    <x v="0"/>
    <n v="141"/>
    <n v="143.5"/>
    <n v="141.80000000000001"/>
    <s v="Food &amp; Beverages"/>
  </r>
  <r>
    <x v="6"/>
    <x v="10"/>
    <s v="Oct-19"/>
    <x v="1"/>
    <n v="151.69999999999999"/>
    <n v="145.9"/>
    <n v="149.4"/>
    <s v="Apparel"/>
  </r>
  <r>
    <x v="6"/>
    <x v="10"/>
    <s v="Oct-19"/>
    <x v="3"/>
    <n v="151"/>
    <n v="143.9"/>
    <n v="148.19999999999999"/>
    <s v="Apparel"/>
  </r>
  <r>
    <x v="6"/>
    <x v="10"/>
    <s v="Oct-19"/>
    <x v="5"/>
    <n v="160.69999999999999"/>
    <n v="151.69999999999999"/>
    <n v="155.4"/>
    <s v="Education"/>
  </r>
  <r>
    <x v="6"/>
    <x v="10"/>
    <s v="Oct-19"/>
    <x v="4"/>
    <n v="141.19999999999999"/>
    <n v="144.69999999999999"/>
    <n v="142.6"/>
    <s v="Food &amp; Beverages"/>
  </r>
  <r>
    <x v="6"/>
    <x v="10"/>
    <s v="Oct-19"/>
    <x v="8"/>
    <n v="148.30000000000001"/>
    <n v="151.9"/>
    <n v="149.6"/>
    <s v="Food &amp; Beverages"/>
  </r>
  <r>
    <x v="6"/>
    <x v="10"/>
    <s v="Oct-19"/>
    <x v="10"/>
    <n v="146.69999999999999"/>
    <n v="132.4"/>
    <n v="140.80000000000001"/>
    <s v="Apparel"/>
  </r>
  <r>
    <x v="6"/>
    <x v="10"/>
    <s v="Oct-19"/>
    <x v="9"/>
    <n v="145.69999999999999"/>
    <n v="150.6"/>
    <n v="148"/>
    <s v="Food &amp; Beverages"/>
  </r>
  <r>
    <x v="6"/>
    <x v="10"/>
    <s v="Oct-19"/>
    <x v="13"/>
    <n v="147.69999999999999"/>
    <n v="128.9"/>
    <n v="140.6"/>
    <s v="Energy"/>
  </r>
  <r>
    <x v="6"/>
    <x v="10"/>
    <s v="Oct-19"/>
    <x v="15"/>
    <n v="148.30000000000001"/>
    <n v="146"/>
    <n v="147.19999999999999"/>
    <s v="General Index"/>
  </r>
  <r>
    <x v="6"/>
    <x v="10"/>
    <s v="Oct-19"/>
    <x v="17"/>
    <n v="153.69999999999999"/>
    <n v="142.4"/>
    <n v="149.4"/>
    <s v="Health"/>
  </r>
  <r>
    <x v="6"/>
    <x v="10"/>
    <s v="Oct-19"/>
    <x v="19"/>
    <n v="150.6"/>
    <n v="138.69999999999999"/>
    <n v="145"/>
    <s v="Housing"/>
  </r>
  <r>
    <x v="6"/>
    <x v="10"/>
    <s v="Oct-19"/>
    <x v="21"/>
    <n v="0"/>
    <n v="153"/>
    <n v="153"/>
    <s v="Housing"/>
  </r>
  <r>
    <x v="6"/>
    <x v="10"/>
    <s v="Oct-19"/>
    <x v="2"/>
    <n v="161.6"/>
    <n v="159.80000000000001"/>
    <n v="161"/>
    <s v="Food &amp; Beverages"/>
  </r>
  <r>
    <x v="6"/>
    <x v="10"/>
    <s v="Oct-19"/>
    <x v="6"/>
    <n v="146.5"/>
    <n v="145.6"/>
    <n v="146.19999999999999"/>
    <s v="Food &amp; Beverages"/>
  </r>
  <r>
    <x v="6"/>
    <x v="10"/>
    <s v="Oct-19"/>
    <x v="23"/>
    <n v="145.69999999999999"/>
    <n v="136"/>
    <n v="141"/>
    <s v="Other goods &amp; services"/>
  </r>
  <r>
    <x v="6"/>
    <x v="10"/>
    <s v="Oct-19"/>
    <x v="18"/>
    <n v="138.6"/>
    <n v="130.19999999999999"/>
    <n v="135.1"/>
    <s v="Food &amp; Beverages"/>
  </r>
  <r>
    <x v="6"/>
    <x v="10"/>
    <s v="Oct-19"/>
    <x v="7"/>
    <n v="125.6"/>
    <n v="121.1"/>
    <n v="123.9"/>
    <s v="Food &amp; Beverages"/>
  </r>
  <r>
    <x v="6"/>
    <x v="10"/>
    <s v="Oct-19"/>
    <x v="22"/>
    <n v="166.3"/>
    <n v="169.3"/>
    <n v="167.1"/>
    <s v="Other goods &amp; services"/>
  </r>
  <r>
    <x v="6"/>
    <x v="10"/>
    <s v="Oct-19"/>
    <x v="24"/>
    <n v="140.30000000000001"/>
    <n v="139.5"/>
    <n v="140"/>
    <s v="Other goods &amp; services"/>
  </r>
  <r>
    <x v="6"/>
    <x v="10"/>
    <s v="Oct-19"/>
    <x v="20"/>
    <n v="157.4"/>
    <n v="156.80000000000001"/>
    <n v="157.1"/>
    <s v="Food &amp; Beverages"/>
  </r>
  <r>
    <x v="6"/>
    <x v="10"/>
    <s v="Oct-19"/>
    <x v="12"/>
    <n v="133.1"/>
    <n v="131.19999999999999"/>
    <n v="132.5"/>
    <s v="Food &amp; Beverages"/>
  </r>
  <r>
    <x v="6"/>
    <x v="10"/>
    <s v="Oct-19"/>
    <x v="26"/>
    <n v="148.69999999999999"/>
    <n v="136.19999999999999"/>
    <n v="141.69999999999999"/>
    <s v="Recreation"/>
  </r>
  <r>
    <x v="6"/>
    <x v="10"/>
    <s v="Oct-19"/>
    <x v="16"/>
    <n v="145.5"/>
    <n v="145.19999999999999"/>
    <n v="145.4"/>
    <s v="Food &amp; Beverages"/>
  </r>
  <r>
    <x v="6"/>
    <x v="10"/>
    <s v="Oct-19"/>
    <x v="14"/>
    <n v="113.6"/>
    <n v="114.8"/>
    <n v="114"/>
    <s v="Food &amp; Beverages"/>
  </r>
  <r>
    <x v="6"/>
    <x v="10"/>
    <s v="Oct-19"/>
    <x v="25"/>
    <n v="131.69999999999999"/>
    <n v="121.5"/>
    <n v="126.3"/>
    <s v="Transport"/>
  </r>
  <r>
    <x v="6"/>
    <x v="10"/>
    <s v="Oct-19"/>
    <x v="11"/>
    <n v="178.8"/>
    <n v="207.2"/>
    <n v="188.4"/>
    <s v="Food &amp; Beverages"/>
  </r>
  <r>
    <x v="6"/>
    <x v="11"/>
    <s v="Sep-19"/>
    <x v="0"/>
    <n v="140.1"/>
    <n v="142.69999999999999"/>
    <n v="140.9"/>
    <s v="Food &amp; Beverages"/>
  </r>
  <r>
    <x v="6"/>
    <x v="11"/>
    <s v="Sep-19"/>
    <x v="1"/>
    <n v="151.69999999999999"/>
    <n v="145.30000000000001"/>
    <n v="149.19999999999999"/>
    <s v="Apparel"/>
  </r>
  <r>
    <x v="6"/>
    <x v="11"/>
    <s v="Sep-19"/>
    <x v="3"/>
    <n v="151"/>
    <n v="143.30000000000001"/>
    <n v="147.9"/>
    <s v="Apparel"/>
  </r>
  <r>
    <x v="6"/>
    <x v="11"/>
    <s v="Sep-19"/>
    <x v="5"/>
    <n v="160.19999999999999"/>
    <n v="151.6"/>
    <n v="155.19999999999999"/>
    <s v="Education"/>
  </r>
  <r>
    <x v="6"/>
    <x v="11"/>
    <s v="Sep-19"/>
    <x v="4"/>
    <n v="138.30000000000001"/>
    <n v="141.6"/>
    <n v="139.6"/>
    <s v="Food &amp; Beverages"/>
  </r>
  <r>
    <x v="6"/>
    <x v="11"/>
    <s v="Sep-19"/>
    <x v="8"/>
    <n v="145.5"/>
    <n v="149.5"/>
    <n v="147"/>
    <s v="Food &amp; Beverages"/>
  </r>
  <r>
    <x v="6"/>
    <x v="11"/>
    <s v="Sep-19"/>
    <x v="10"/>
    <n v="146.6"/>
    <n v="132.19999999999999"/>
    <n v="140.6"/>
    <s v="Apparel"/>
  </r>
  <r>
    <x v="6"/>
    <x v="11"/>
    <s v="Sep-19"/>
    <x v="9"/>
    <n v="143.80000000000001"/>
    <n v="149.80000000000001"/>
    <n v="146.6"/>
    <s v="Food &amp; Beverages"/>
  </r>
  <r>
    <x v="6"/>
    <x v="11"/>
    <s v="Sep-19"/>
    <x v="13"/>
    <n v="146.9"/>
    <n v="126.6"/>
    <n v="139.19999999999999"/>
    <s v="Energy"/>
  </r>
  <r>
    <x v="6"/>
    <x v="11"/>
    <s v="Sep-19"/>
    <x v="15"/>
    <n v="146.69999999999999"/>
    <n v="144.69999999999999"/>
    <n v="145.80000000000001"/>
    <s v="General Index"/>
  </r>
  <r>
    <x v="6"/>
    <x v="11"/>
    <s v="Sep-19"/>
    <x v="17"/>
    <n v="153.4"/>
    <n v="141.9"/>
    <n v="149"/>
    <s v="Health"/>
  </r>
  <r>
    <x v="6"/>
    <x v="11"/>
    <s v="Sep-19"/>
    <x v="19"/>
    <n v="150.30000000000001"/>
    <n v="138.30000000000001"/>
    <n v="144.6"/>
    <s v="Housing"/>
  </r>
  <r>
    <x v="6"/>
    <x v="11"/>
    <s v="Sep-19"/>
    <x v="21"/>
    <n v="0"/>
    <n v="152.19999999999999"/>
    <n v="152.19999999999999"/>
    <s v="Housing"/>
  </r>
  <r>
    <x v="6"/>
    <x v="11"/>
    <s v="Sep-19"/>
    <x v="2"/>
    <n v="161.9"/>
    <n v="158.69999999999999"/>
    <n v="160.80000000000001"/>
    <s v="Food &amp; Beverages"/>
  </r>
  <r>
    <x v="6"/>
    <x v="11"/>
    <s v="Sep-19"/>
    <x v="6"/>
    <n v="145.69999999999999"/>
    <n v="144.9"/>
    <n v="145.4"/>
    <s v="Food &amp; Beverages"/>
  </r>
  <r>
    <x v="6"/>
    <x v="11"/>
    <s v="Sep-19"/>
    <x v="23"/>
    <n v="145.4"/>
    <n v="135.69999999999999"/>
    <n v="140.69999999999999"/>
    <s v="Other goods &amp; services"/>
  </r>
  <r>
    <x v="6"/>
    <x v="11"/>
    <s v="Sep-19"/>
    <x v="18"/>
    <n v="138.5"/>
    <n v="130"/>
    <n v="135"/>
    <s v="Food &amp; Beverages"/>
  </r>
  <r>
    <x v="6"/>
    <x v="11"/>
    <s v="Sep-19"/>
    <x v="7"/>
    <n v="125.1"/>
    <n v="120.8"/>
    <n v="123.5"/>
    <s v="Food &amp; Beverages"/>
  </r>
  <r>
    <x v="6"/>
    <x v="11"/>
    <s v="Sep-19"/>
    <x v="22"/>
    <n v="165.7"/>
    <n v="168.6"/>
    <n v="166.5"/>
    <s v="Other goods &amp; services"/>
  </r>
  <r>
    <x v="6"/>
    <x v="11"/>
    <s v="Sep-19"/>
    <x v="24"/>
    <n v="140.19999999999999"/>
    <n v="139"/>
    <n v="139.69999999999999"/>
    <s v="Other goods &amp; services"/>
  </r>
  <r>
    <x v="6"/>
    <x v="11"/>
    <s v="Sep-19"/>
    <x v="20"/>
    <n v="157.19999999999999"/>
    <n v="156.4"/>
    <n v="156.80000000000001"/>
    <s v="Food &amp; Beverages"/>
  </r>
  <r>
    <x v="6"/>
    <x v="11"/>
    <s v="Sep-19"/>
    <x v="12"/>
    <n v="132.19999999999999"/>
    <n v="130.30000000000001"/>
    <n v="131.6"/>
    <s v="Food &amp; Beverages"/>
  </r>
  <r>
    <x v="6"/>
    <x v="11"/>
    <s v="Sep-19"/>
    <x v="26"/>
    <n v="148.30000000000001"/>
    <n v="135.9"/>
    <n v="141.30000000000001"/>
    <s v="Recreation"/>
  </r>
  <r>
    <x v="6"/>
    <x v="11"/>
    <s v="Sep-19"/>
    <x v="16"/>
    <n v="144.19999999999999"/>
    <n v="143.80000000000001"/>
    <n v="144.1"/>
    <s v="Food &amp; Beverages"/>
  </r>
  <r>
    <x v="6"/>
    <x v="11"/>
    <s v="Sep-19"/>
    <x v="14"/>
    <n v="112.8"/>
    <n v="114"/>
    <n v="113.2"/>
    <s v="Food &amp; Beverages"/>
  </r>
  <r>
    <x v="6"/>
    <x v="11"/>
    <s v="Sep-19"/>
    <x v="25"/>
    <n v="131.6"/>
    <n v="121.2"/>
    <n v="126.1"/>
    <s v="Transport"/>
  </r>
  <r>
    <x v="6"/>
    <x v="11"/>
    <s v="Sep-19"/>
    <x v="11"/>
    <n v="163.4"/>
    <n v="192.4"/>
    <n v="173.2"/>
    <s v="Food &amp; Beverages"/>
  </r>
  <r>
    <x v="7"/>
    <x v="0"/>
    <s v="Apr-20"/>
    <x v="0"/>
    <n v="147.19999999999999"/>
    <n v="151.80000000000001"/>
    <n v="148.69999999999999"/>
    <s v="Food &amp; Beverages"/>
  </r>
  <r>
    <x v="7"/>
    <x v="0"/>
    <s v="Apr-20"/>
    <x v="1"/>
    <n v="153.06666666666669"/>
    <n v="150.83333333333334"/>
    <n v="147.33333333333334"/>
    <s v="Apparel"/>
  </r>
  <r>
    <x v="7"/>
    <x v="0"/>
    <s v="Apr-20"/>
    <x v="3"/>
    <n v="152.30000000000001"/>
    <n v="149.5"/>
    <n v="145.23333333333332"/>
    <s v="Apparel"/>
  </r>
  <r>
    <x v="7"/>
    <x v="0"/>
    <s v="Apr-20"/>
    <x v="5"/>
    <n v="161.6"/>
    <n v="156.13333333333333"/>
    <n v="152.26666666666668"/>
    <s v="Education"/>
  </r>
  <r>
    <x v="7"/>
    <x v="0"/>
    <s v="Apr-20"/>
    <x v="4"/>
    <n v="146.9"/>
    <n v="151.9"/>
    <n v="148.80000000000001"/>
    <s v="Food &amp; Beverages"/>
  </r>
  <r>
    <x v="7"/>
    <x v="0"/>
    <s v="Apr-20"/>
    <x v="8"/>
    <n v="150.1"/>
    <n v="153.5"/>
    <n v="151.4"/>
    <s v="Food &amp; Beverages"/>
  </r>
  <r>
    <x v="7"/>
    <x v="0"/>
    <s v="Apr-20"/>
    <x v="10"/>
    <n v="147.5"/>
    <n v="141.69999999999999"/>
    <n v="133.5"/>
    <s v="Apparel"/>
  </r>
  <r>
    <x v="7"/>
    <x v="0"/>
    <s v="Apr-20"/>
    <x v="9"/>
    <n v="147.30000000000001"/>
    <n v="152.9"/>
    <n v="149.9"/>
    <s v="Food &amp; Beverages"/>
  </r>
  <r>
    <x v="7"/>
    <x v="0"/>
    <s v="Apr-20"/>
    <x v="13"/>
    <n v="148.4"/>
    <n v="137.1"/>
    <n v="144.1"/>
    <s v="Energy"/>
  </r>
  <r>
    <x v="7"/>
    <x v="0"/>
    <s v="Apr-20"/>
    <x v="15"/>
    <n v="150.70000000000002"/>
    <n v="149.29999999999998"/>
    <n v="147.73333333333332"/>
    <s v="General Index"/>
  </r>
  <r>
    <x v="7"/>
    <x v="0"/>
    <s v="Apr-20"/>
    <x v="17"/>
    <n v="154.30000000000001"/>
    <n v="144.80000000000001"/>
    <n v="150.69999999999999"/>
    <s v="Health"/>
  </r>
  <r>
    <x v="7"/>
    <x v="0"/>
    <s v="Apr-20"/>
    <x v="19"/>
    <n v="151.66666666666666"/>
    <n v="146.33333333333334"/>
    <n v="140.43333333333331"/>
    <s v="Housing"/>
  </r>
  <r>
    <x v="7"/>
    <x v="0"/>
    <s v="Apr-20"/>
    <x v="21"/>
    <n v="0"/>
    <n v="155.6"/>
    <n v="155.6"/>
    <s v="Housing"/>
  </r>
  <r>
    <x v="7"/>
    <x v="0"/>
    <s v="Apr-20"/>
    <x v="2"/>
    <n v="167.20000000000002"/>
    <n v="167.29999999999998"/>
    <n v="167.56666666666669"/>
    <s v="Food &amp; Beverages"/>
  </r>
  <r>
    <x v="7"/>
    <x v="0"/>
    <s v="Apr-20"/>
    <x v="6"/>
    <n v="155.6"/>
    <n v="155.5"/>
    <n v="155.6"/>
    <s v="Food &amp; Beverages"/>
  </r>
  <r>
    <x v="7"/>
    <x v="0"/>
    <s v="Apr-20"/>
    <x v="23"/>
    <n v="148.36666666666667"/>
    <n v="143.60000000000002"/>
    <n v="138.5"/>
    <s v="Other goods &amp; services"/>
  </r>
  <r>
    <x v="7"/>
    <x v="0"/>
    <s v="Apr-20"/>
    <x v="18"/>
    <n v="139.19999999999999"/>
    <n v="133.5"/>
    <n v="136.80000000000001"/>
    <s v="Food &amp; Beverages"/>
  </r>
  <r>
    <x v="7"/>
    <x v="0"/>
    <s v="Apr-20"/>
    <x v="7"/>
    <n v="137.1"/>
    <n v="131.6"/>
    <n v="135.1"/>
    <s v="Food &amp; Beverages"/>
  </r>
  <r>
    <x v="7"/>
    <x v="0"/>
    <s v="Apr-20"/>
    <x v="22"/>
    <n v="169.5"/>
    <n v="170.16666666666666"/>
    <n v="172.03333333333333"/>
    <s v="Other goods &amp; services"/>
  </r>
  <r>
    <x v="7"/>
    <x v="0"/>
    <s v="Apr-20"/>
    <x v="24"/>
    <n v="143.66666666666666"/>
    <n v="143.63333333333333"/>
    <n v="143.63333333333333"/>
    <s v="Other goods &amp; services"/>
  </r>
  <r>
    <x v="7"/>
    <x v="0"/>
    <s v="Apr-20"/>
    <x v="20"/>
    <n v="159.29999999999998"/>
    <n v="159.1"/>
    <n v="158.86666666666667"/>
    <s v="Food &amp; Beverages"/>
  </r>
  <r>
    <x v="7"/>
    <x v="0"/>
    <s v="Apr-20"/>
    <x v="12"/>
    <n v="150.19999999999999"/>
    <n v="150.80000000000001"/>
    <n v="150.4"/>
    <s v="Food &amp; Beverages"/>
  </r>
  <r>
    <x v="7"/>
    <x v="0"/>
    <s v="Apr-20"/>
    <x v="26"/>
    <n v="150.56666666666663"/>
    <n v="143.23333333333332"/>
    <n v="137.6"/>
    <s v="Recreation"/>
  </r>
  <r>
    <x v="7"/>
    <x v="0"/>
    <s v="Apr-20"/>
    <x v="16"/>
    <n v="158.69999999999999"/>
    <n v="154"/>
    <n v="157.1"/>
    <s v="Food &amp; Beverages"/>
  </r>
  <r>
    <x v="7"/>
    <x v="0"/>
    <s v="Apr-20"/>
    <x v="14"/>
    <n v="119.8"/>
    <n v="121.2"/>
    <n v="120.3"/>
    <s v="Food &amp; Beverages"/>
  </r>
  <r>
    <x v="7"/>
    <x v="0"/>
    <s v="Apr-20"/>
    <x v="25"/>
    <n v="136.03333333333333"/>
    <n v="130.36666666666667"/>
    <n v="125.3"/>
    <s v="Transport"/>
  </r>
  <r>
    <x v="7"/>
    <x v="0"/>
    <s v="Apr-20"/>
    <x v="11"/>
    <n v="162.69999999999999"/>
    <n v="180"/>
    <n v="168.6"/>
    <s v="Food &amp; Beverages"/>
  </r>
  <r>
    <x v="7"/>
    <x v="1"/>
    <s v="Aug-20"/>
    <x v="0"/>
    <n v="147.6"/>
    <n v="151.6"/>
    <n v="148.9"/>
    <s v="Food &amp; Beverages"/>
  </r>
  <r>
    <x v="7"/>
    <x v="1"/>
    <s v="Aug-20"/>
    <x v="1"/>
    <n v="155.1"/>
    <n v="150"/>
    <n v="153.1"/>
    <s v="Apparel"/>
  </r>
  <r>
    <x v="7"/>
    <x v="1"/>
    <s v="Aug-20"/>
    <x v="3"/>
    <n v="154.30000000000001"/>
    <n v="147.80000000000001"/>
    <n v="151.69999999999999"/>
    <s v="Apparel"/>
  </r>
  <r>
    <x v="7"/>
    <x v="1"/>
    <s v="Aug-20"/>
    <x v="5"/>
    <n v="162.69999999999999"/>
    <n v="155.5"/>
    <n v="158.5"/>
    <s v="Education"/>
  </r>
  <r>
    <x v="7"/>
    <x v="1"/>
    <s v="Aug-20"/>
    <x v="4"/>
    <n v="148.4"/>
    <n v="154.5"/>
    <n v="150.80000000000001"/>
    <s v="Food &amp; Beverages"/>
  </r>
  <r>
    <x v="7"/>
    <x v="1"/>
    <s v="Aug-20"/>
    <x v="8"/>
    <n v="155.30000000000001"/>
    <n v="159.9"/>
    <n v="157"/>
    <s v="Food &amp; Beverages"/>
  </r>
  <r>
    <x v="7"/>
    <x v="1"/>
    <s v="Aug-20"/>
    <x v="10"/>
    <n v="149.30000000000001"/>
    <n v="135.19999999999999"/>
    <n v="143.4"/>
    <s v="Apparel"/>
  </r>
  <r>
    <x v="7"/>
    <x v="1"/>
    <s v="Aug-20"/>
    <x v="9"/>
    <n v="146.9"/>
    <n v="154.5"/>
    <n v="150.4"/>
    <s v="Food &amp; Beverages"/>
  </r>
  <r>
    <x v="7"/>
    <x v="1"/>
    <s v="Aug-20"/>
    <x v="13"/>
    <n v="145.80000000000001"/>
    <n v="138.30000000000001"/>
    <n v="143"/>
    <s v="Energy"/>
  </r>
  <r>
    <x v="7"/>
    <x v="1"/>
    <s v="Aug-20"/>
    <x v="15"/>
    <n v="154.69999999999999"/>
    <n v="152.9"/>
    <n v="153.9"/>
    <s v="General Index"/>
  </r>
  <r>
    <x v="7"/>
    <x v="1"/>
    <s v="Aug-20"/>
    <x v="17"/>
    <n v="158.80000000000001"/>
    <n v="148.69999999999999"/>
    <n v="155"/>
    <s v="Health"/>
  </r>
  <r>
    <x v="7"/>
    <x v="1"/>
    <s v="Aug-20"/>
    <x v="19"/>
    <n v="151.9"/>
    <n v="144.5"/>
    <n v="148.4"/>
    <s v="Housing"/>
  </r>
  <r>
    <x v="7"/>
    <x v="1"/>
    <s v="Aug-20"/>
    <x v="21"/>
    <n v="0"/>
    <n v="155.5"/>
    <n v="155.5"/>
    <s v="Housing"/>
  </r>
  <r>
    <x v="7"/>
    <x v="1"/>
    <s v="Aug-20"/>
    <x v="2"/>
    <n v="187.2"/>
    <n v="197.8"/>
    <n v="190.9"/>
    <s v="Food &amp; Beverages"/>
  </r>
  <r>
    <x v="7"/>
    <x v="1"/>
    <s v="Aug-20"/>
    <x v="6"/>
    <n v="153.30000000000001"/>
    <n v="153.4"/>
    <n v="153.30000000000001"/>
    <s v="Food &amp; Beverages"/>
  </r>
  <r>
    <x v="7"/>
    <x v="1"/>
    <s v="Aug-20"/>
    <x v="23"/>
    <n v="153"/>
    <n v="144.80000000000001"/>
    <n v="149"/>
    <s v="Other goods &amp; services"/>
  </r>
  <r>
    <x v="7"/>
    <x v="1"/>
    <s v="Aug-20"/>
    <x v="18"/>
    <n v="143.5"/>
    <n v="136.5"/>
    <n v="140.6"/>
    <s v="Food &amp; Beverages"/>
  </r>
  <r>
    <x v="7"/>
    <x v="1"/>
    <s v="Aug-20"/>
    <x v="7"/>
    <n v="139.80000000000001"/>
    <n v="133.4"/>
    <n v="137.4"/>
    <s v="Food &amp; Beverages"/>
  </r>
  <r>
    <x v="7"/>
    <x v="1"/>
    <s v="Aug-20"/>
    <x v="22"/>
    <n v="180.9"/>
    <n v="187.2"/>
    <n v="182.6"/>
    <s v="Other goods &amp; services"/>
  </r>
  <r>
    <x v="7"/>
    <x v="1"/>
    <s v="Aug-20"/>
    <x v="24"/>
    <n v="153.6"/>
    <n v="155.19999999999999"/>
    <n v="154.30000000000001"/>
    <s v="Other goods &amp; services"/>
  </r>
  <r>
    <x v="7"/>
    <x v="1"/>
    <s v="Aug-20"/>
    <x v="20"/>
    <n v="161.5"/>
    <n v="163.30000000000001"/>
    <n v="162.30000000000001"/>
    <s v="Food &amp; Beverages"/>
  </r>
  <r>
    <x v="7"/>
    <x v="1"/>
    <s v="Aug-20"/>
    <x v="12"/>
    <n v="149.9"/>
    <n v="151.30000000000001"/>
    <n v="150.4"/>
    <s v="Food &amp; Beverages"/>
  </r>
  <r>
    <x v="7"/>
    <x v="1"/>
    <s v="Aug-20"/>
    <x v="26"/>
    <n v="152.19999999999999"/>
    <n v="141.19999999999999"/>
    <n v="146"/>
    <s v="Recreation"/>
  </r>
  <r>
    <x v="7"/>
    <x v="1"/>
    <s v="Aug-20"/>
    <x v="16"/>
    <n v="160"/>
    <n v="160"/>
    <n v="160"/>
    <s v="Food &amp; Beverages"/>
  </r>
  <r>
    <x v="7"/>
    <x v="1"/>
    <s v="Aug-20"/>
    <x v="14"/>
    <n v="114.2"/>
    <n v="116.8"/>
    <n v="115.1"/>
    <s v="Food &amp; Beverages"/>
  </r>
  <r>
    <x v="7"/>
    <x v="1"/>
    <s v="Aug-20"/>
    <x v="25"/>
    <n v="143.6"/>
    <n v="133.9"/>
    <n v="138.5"/>
    <s v="Transport"/>
  </r>
  <r>
    <x v="7"/>
    <x v="1"/>
    <s v="Aug-20"/>
    <x v="11"/>
    <n v="171"/>
    <n v="191.9"/>
    <n v="178.1"/>
    <s v="Food &amp; Beverages"/>
  </r>
  <r>
    <x v="7"/>
    <x v="2"/>
    <s v="Dec-20"/>
    <x v="0"/>
    <n v="144.6"/>
    <n v="149"/>
    <n v="146"/>
    <s v="Food &amp; Beverages"/>
  </r>
  <r>
    <x v="7"/>
    <x v="2"/>
    <s v="Dec-20"/>
    <x v="1"/>
    <n v="157"/>
    <n v="151.9"/>
    <n v="155"/>
    <s v="Apparel"/>
  </r>
  <r>
    <x v="7"/>
    <x v="2"/>
    <s v="Dec-20"/>
    <x v="3"/>
    <n v="156.30000000000001"/>
    <n v="149.6"/>
    <n v="153.6"/>
    <s v="Apparel"/>
  </r>
  <r>
    <x v="7"/>
    <x v="2"/>
    <s v="Dec-20"/>
    <x v="5"/>
    <n v="162.9"/>
    <n v="156.9"/>
    <n v="159.4"/>
    <s v="Education"/>
  </r>
  <r>
    <x v="7"/>
    <x v="2"/>
    <s v="Dec-20"/>
    <x v="4"/>
    <n v="173.4"/>
    <n v="178.3"/>
    <n v="175.3"/>
    <s v="Food &amp; Beverages"/>
  </r>
  <r>
    <x v="7"/>
    <x v="2"/>
    <s v="Dec-20"/>
    <x v="8"/>
    <n v="164.5"/>
    <n v="167"/>
    <n v="165.4"/>
    <s v="Food &amp; Beverages"/>
  </r>
  <r>
    <x v="7"/>
    <x v="2"/>
    <s v="Dec-20"/>
    <x v="10"/>
    <n v="151.6"/>
    <n v="136.69999999999999"/>
    <n v="145.4"/>
    <s v="Apparel"/>
  </r>
  <r>
    <x v="7"/>
    <x v="2"/>
    <s v="Dec-20"/>
    <x v="9"/>
    <n v="145.9"/>
    <n v="149.69999999999999"/>
    <n v="147.69999999999999"/>
    <s v="Food &amp; Beverages"/>
  </r>
  <r>
    <x v="7"/>
    <x v="2"/>
    <s v="Dec-20"/>
    <x v="13"/>
    <n v="148.69999999999999"/>
    <n v="137.9"/>
    <n v="144.6"/>
    <s v="Energy"/>
  </r>
  <r>
    <x v="7"/>
    <x v="2"/>
    <s v="Dec-20"/>
    <x v="15"/>
    <n v="160.69999999999999"/>
    <n v="156.9"/>
    <n v="158.9"/>
    <s v="General Index"/>
  </r>
  <r>
    <x v="7"/>
    <x v="2"/>
    <s v="Dec-20"/>
    <x v="17"/>
    <n v="161.6"/>
    <n v="152.9"/>
    <n v="158.30000000000001"/>
    <s v="Health"/>
  </r>
  <r>
    <x v="7"/>
    <x v="2"/>
    <s v="Dec-20"/>
    <x v="19"/>
    <n v="153.4"/>
    <n v="145.5"/>
    <n v="149.69999999999999"/>
    <s v="Housing"/>
  </r>
  <r>
    <x v="7"/>
    <x v="2"/>
    <s v="Dec-20"/>
    <x v="21"/>
    <n v="0"/>
    <n v="158.4"/>
    <n v="158.4"/>
    <s v="Housing"/>
  </r>
  <r>
    <x v="7"/>
    <x v="2"/>
    <s v="Dec-20"/>
    <x v="2"/>
    <n v="188.5"/>
    <n v="195.7"/>
    <n v="191"/>
    <s v="Food &amp; Beverages"/>
  </r>
  <r>
    <x v="7"/>
    <x v="2"/>
    <s v="Dec-20"/>
    <x v="6"/>
    <n v="154"/>
    <n v="154.19999999999999"/>
    <n v="154.1"/>
    <s v="Food &amp; Beverages"/>
  </r>
  <r>
    <x v="7"/>
    <x v="2"/>
    <s v="Dec-20"/>
    <x v="23"/>
    <n v="155.19999999999999"/>
    <n v="146.9"/>
    <n v="151.19999999999999"/>
    <s v="Other goods &amp; services"/>
  </r>
  <r>
    <x v="7"/>
    <x v="2"/>
    <s v="Dec-20"/>
    <x v="18"/>
    <n v="153.4"/>
    <n v="143.30000000000001"/>
    <n v="149.19999999999999"/>
    <s v="Food &amp; Beverages"/>
  </r>
  <r>
    <x v="7"/>
    <x v="2"/>
    <s v="Dec-20"/>
    <x v="7"/>
    <n v="150"/>
    <n v="140.69999999999999"/>
    <n v="146.6"/>
    <s v="Food &amp; Beverages"/>
  </r>
  <r>
    <x v="7"/>
    <x v="2"/>
    <s v="Dec-20"/>
    <x v="22"/>
    <n v="183.6"/>
    <n v="190.2"/>
    <n v="185.4"/>
    <s v="Other goods &amp; services"/>
  </r>
  <r>
    <x v="7"/>
    <x v="2"/>
    <s v="Dec-20"/>
    <x v="24"/>
    <n v="156.6"/>
    <n v="157.9"/>
    <n v="157.1"/>
    <s v="Other goods &amp; services"/>
  </r>
  <r>
    <x v="7"/>
    <x v="2"/>
    <s v="Dec-20"/>
    <x v="20"/>
    <n v="163.6"/>
    <n v="166.1"/>
    <n v="164.8"/>
    <s v="Food &amp; Beverages"/>
  </r>
  <r>
    <x v="7"/>
    <x v="2"/>
    <s v="Dec-20"/>
    <x v="12"/>
    <n v="159.5"/>
    <n v="161.5"/>
    <n v="160.19999999999999"/>
    <s v="Food &amp; Beverages"/>
  </r>
  <r>
    <x v="7"/>
    <x v="2"/>
    <s v="Dec-20"/>
    <x v="26"/>
    <n v="153.9"/>
    <n v="144.30000000000001"/>
    <n v="148.5"/>
    <s v="Recreation"/>
  </r>
  <r>
    <x v="7"/>
    <x v="2"/>
    <s v="Dec-20"/>
    <x v="16"/>
    <n v="163.5"/>
    <n v="161.9"/>
    <n v="163"/>
    <s v="Food &amp; Beverages"/>
  </r>
  <r>
    <x v="7"/>
    <x v="2"/>
    <s v="Dec-20"/>
    <x v="14"/>
    <n v="114.4"/>
    <n v="117.1"/>
    <n v="115.3"/>
    <s v="Food &amp; Beverages"/>
  </r>
  <r>
    <x v="7"/>
    <x v="2"/>
    <s v="Dec-20"/>
    <x v="25"/>
    <n v="146.4"/>
    <n v="135.5"/>
    <n v="140.69999999999999"/>
    <s v="Transport"/>
  </r>
  <r>
    <x v="7"/>
    <x v="2"/>
    <s v="Dec-20"/>
    <x v="11"/>
    <n v="225.2"/>
    <n v="240.9"/>
    <n v="230.5"/>
    <s v="Food &amp; Beverages"/>
  </r>
  <r>
    <x v="7"/>
    <x v="3"/>
    <s v="Feb-20"/>
    <x v="0"/>
    <n v="144.19999999999999"/>
    <n v="146.19999999999999"/>
    <n v="144.80000000000001"/>
    <s v="Food &amp; Beverages"/>
  </r>
  <r>
    <x v="7"/>
    <x v="3"/>
    <s v="Feb-20"/>
    <x v="1"/>
    <n v="153"/>
    <n v="147.30000000000001"/>
    <n v="150.80000000000001"/>
    <s v="Apparel"/>
  </r>
  <r>
    <x v="7"/>
    <x v="3"/>
    <s v="Feb-20"/>
    <x v="3"/>
    <n v="152.30000000000001"/>
    <n v="145.19999999999999"/>
    <n v="149.5"/>
    <s v="Apparel"/>
  </r>
  <r>
    <x v="7"/>
    <x v="3"/>
    <s v="Feb-20"/>
    <x v="5"/>
    <n v="161.9"/>
    <n v="152.19999999999999"/>
    <n v="156.19999999999999"/>
    <s v="Education"/>
  </r>
  <r>
    <x v="7"/>
    <x v="3"/>
    <s v="Feb-20"/>
    <x v="4"/>
    <n v="150.9"/>
    <n v="153.1"/>
    <n v="151.80000000000001"/>
    <s v="Food &amp; Beverages"/>
  </r>
  <r>
    <x v="7"/>
    <x v="3"/>
    <s v="Feb-20"/>
    <x v="8"/>
    <n v="149.80000000000001"/>
    <n v="151.69999999999999"/>
    <n v="150.5"/>
    <s v="Food &amp; Beverages"/>
  </r>
  <r>
    <x v="7"/>
    <x v="3"/>
    <s v="Feb-20"/>
    <x v="10"/>
    <n v="147.5"/>
    <n v="133.5"/>
    <n v="141.69999999999999"/>
    <s v="Apparel"/>
  </r>
  <r>
    <x v="7"/>
    <x v="3"/>
    <s v="Feb-20"/>
    <x v="9"/>
    <n v="140.69999999999999"/>
    <n v="143.1"/>
    <n v="141.80000000000001"/>
    <s v="Food &amp; Beverages"/>
  </r>
  <r>
    <x v="7"/>
    <x v="3"/>
    <s v="Feb-20"/>
    <x v="13"/>
    <n v="152.30000000000001"/>
    <n v="138.9"/>
    <n v="147.19999999999999"/>
    <s v="Energy"/>
  </r>
  <r>
    <x v="7"/>
    <x v="3"/>
    <s v="Feb-20"/>
    <x v="15"/>
    <n v="150.4"/>
    <n v="147.69999999999999"/>
    <n v="149.1"/>
    <s v="General Index"/>
  </r>
  <r>
    <x v="7"/>
    <x v="3"/>
    <s v="Feb-20"/>
    <x v="17"/>
    <n v="156.19999999999999"/>
    <n v="144.4"/>
    <n v="151.69999999999999"/>
    <s v="Health"/>
  </r>
  <r>
    <x v="7"/>
    <x v="3"/>
    <s v="Feb-20"/>
    <x v="19"/>
    <n v="151.80000000000001"/>
    <n v="140.4"/>
    <n v="146.4"/>
    <s v="Housing"/>
  </r>
  <r>
    <x v="7"/>
    <x v="3"/>
    <s v="Feb-20"/>
    <x v="21"/>
    <n v="0"/>
    <n v="154.80000000000001"/>
    <n v="154.80000000000001"/>
    <s v="Housing"/>
  </r>
  <r>
    <x v="7"/>
    <x v="3"/>
    <s v="Feb-20"/>
    <x v="2"/>
    <n v="167.5"/>
    <n v="167.6"/>
    <n v="167.5"/>
    <s v="Food &amp; Beverages"/>
  </r>
  <r>
    <x v="7"/>
    <x v="3"/>
    <s v="Feb-20"/>
    <x v="6"/>
    <n v="150.9"/>
    <n v="150.69999999999999"/>
    <n v="150.80000000000001"/>
    <s v="Food &amp; Beverages"/>
  </r>
  <r>
    <x v="7"/>
    <x v="3"/>
    <s v="Feb-20"/>
    <x v="23"/>
    <n v="148.4"/>
    <n v="138.4"/>
    <n v="143.6"/>
    <s v="Other goods &amp; services"/>
  </r>
  <r>
    <x v="7"/>
    <x v="3"/>
    <s v="Feb-20"/>
    <x v="18"/>
    <n v="140.1"/>
    <n v="131.5"/>
    <n v="136.5"/>
    <s v="Food &amp; Beverages"/>
  </r>
  <r>
    <x v="7"/>
    <x v="3"/>
    <s v="Feb-20"/>
    <x v="7"/>
    <n v="133.69999999999999"/>
    <n v="127.4"/>
    <n v="131.4"/>
    <s v="Food &amp; Beverages"/>
  </r>
  <r>
    <x v="7"/>
    <x v="3"/>
    <s v="Feb-20"/>
    <x v="22"/>
    <n v="169.4"/>
    <n v="172"/>
    <n v="170.1"/>
    <s v="Other goods &amp; services"/>
  </r>
  <r>
    <x v="7"/>
    <x v="3"/>
    <s v="Feb-20"/>
    <x v="24"/>
    <n v="143.4"/>
    <n v="143.5"/>
    <n v="143.4"/>
    <s v="Other goods &amp; services"/>
  </r>
  <r>
    <x v="7"/>
    <x v="3"/>
    <s v="Feb-20"/>
    <x v="20"/>
    <n v="159.19999999999999"/>
    <n v="159"/>
    <n v="159.1"/>
    <s v="Food &amp; Beverages"/>
  </r>
  <r>
    <x v="7"/>
    <x v="3"/>
    <s v="Feb-20"/>
    <x v="12"/>
    <n v="141.80000000000001"/>
    <n v="139.6"/>
    <n v="141.1"/>
    <s v="Food &amp; Beverages"/>
  </r>
  <r>
    <x v="7"/>
    <x v="3"/>
    <s v="Feb-20"/>
    <x v="26"/>
    <n v="150.4"/>
    <n v="137.69999999999999"/>
    <n v="143.19999999999999"/>
    <s v="Recreation"/>
  </r>
  <r>
    <x v="7"/>
    <x v="3"/>
    <s v="Feb-20"/>
    <x v="16"/>
    <n v="152.80000000000001"/>
    <n v="150.4"/>
    <n v="152"/>
    <s v="Food &amp; Beverages"/>
  </r>
  <r>
    <x v="7"/>
    <x v="3"/>
    <s v="Feb-20"/>
    <x v="14"/>
    <n v="113.1"/>
    <n v="114.6"/>
    <n v="113.6"/>
    <s v="Food &amp; Beverages"/>
  </r>
  <r>
    <x v="7"/>
    <x v="3"/>
    <s v="Feb-20"/>
    <x v="25"/>
    <n v="136"/>
    <n v="125.2"/>
    <n v="130.30000000000001"/>
    <s v="Transport"/>
  </r>
  <r>
    <x v="7"/>
    <x v="3"/>
    <s v="Feb-20"/>
    <x v="11"/>
    <n v="165.1"/>
    <n v="181.7"/>
    <n v="170.7"/>
    <s v="Food &amp; Beverages"/>
  </r>
  <r>
    <x v="7"/>
    <x v="4"/>
    <s v="Jan-20"/>
    <x v="0"/>
    <n v="143.69999999999999"/>
    <n v="145.6"/>
    <n v="144.30000000000001"/>
    <s v="Food &amp; Beverages"/>
  </r>
  <r>
    <x v="7"/>
    <x v="4"/>
    <s v="Jan-20"/>
    <x v="1"/>
    <n v="152.80000000000001"/>
    <n v="147"/>
    <n v="150.5"/>
    <s v="Apparel"/>
  </r>
  <r>
    <x v="7"/>
    <x v="4"/>
    <s v="Jan-20"/>
    <x v="3"/>
    <n v="152.1"/>
    <n v="144.9"/>
    <n v="149.19999999999999"/>
    <s v="Apparel"/>
  </r>
  <r>
    <x v="7"/>
    <x v="4"/>
    <s v="Jan-20"/>
    <x v="5"/>
    <n v="161.69999999999999"/>
    <n v="152.1"/>
    <n v="156.1"/>
    <s v="Education"/>
  </r>
  <r>
    <x v="7"/>
    <x v="4"/>
    <s v="Jan-20"/>
    <x v="4"/>
    <n v="153.5"/>
    <n v="157"/>
    <n v="154.9"/>
    <s v="Food &amp; Beverages"/>
  </r>
  <r>
    <x v="7"/>
    <x v="4"/>
    <s v="Jan-20"/>
    <x v="8"/>
    <n v="153"/>
    <n v="154.4"/>
    <n v="153.5"/>
    <s v="Food &amp; Beverages"/>
  </r>
  <r>
    <x v="7"/>
    <x v="4"/>
    <s v="Jan-20"/>
    <x v="10"/>
    <n v="147.4"/>
    <n v="133.19999999999999"/>
    <n v="141.5"/>
    <s v="Apparel"/>
  </r>
  <r>
    <x v="7"/>
    <x v="4"/>
    <s v="Jan-20"/>
    <x v="9"/>
    <n v="142.19999999999999"/>
    <n v="144.4"/>
    <n v="143.19999999999999"/>
    <s v="Food &amp; Beverages"/>
  </r>
  <r>
    <x v="7"/>
    <x v="4"/>
    <s v="Jan-20"/>
    <x v="13"/>
    <n v="150.4"/>
    <n v="135.1"/>
    <n v="144.6"/>
    <s v="Energy"/>
  </r>
  <r>
    <x v="7"/>
    <x v="4"/>
    <s v="Jan-20"/>
    <x v="15"/>
    <n v="151.9"/>
    <n v="148.19999999999999"/>
    <n v="150.19999999999999"/>
    <s v="General Index"/>
  </r>
  <r>
    <x v="7"/>
    <x v="4"/>
    <s v="Jan-20"/>
    <x v="17"/>
    <n v="155.69999999999999"/>
    <n v="143.80000000000001"/>
    <n v="151.19999999999999"/>
    <s v="Health"/>
  </r>
  <r>
    <x v="7"/>
    <x v="4"/>
    <s v="Jan-20"/>
    <x v="19"/>
    <n v="151.69999999999999"/>
    <n v="140.1"/>
    <n v="146.19999999999999"/>
    <s v="Housing"/>
  </r>
  <r>
    <x v="7"/>
    <x v="4"/>
    <s v="Jan-20"/>
    <x v="21"/>
    <n v="0"/>
    <n v="153.9"/>
    <n v="153.9"/>
    <s v="Housing"/>
  </r>
  <r>
    <x v="7"/>
    <x v="4"/>
    <s v="Jan-20"/>
    <x v="2"/>
    <n v="167.3"/>
    <n v="167.6"/>
    <n v="167.4"/>
    <s v="Food &amp; Beverages"/>
  </r>
  <r>
    <x v="7"/>
    <x v="4"/>
    <s v="Jan-20"/>
    <x v="6"/>
    <n v="150.5"/>
    <n v="149.30000000000001"/>
    <n v="150.1"/>
    <s v="Food &amp; Beverages"/>
  </r>
  <r>
    <x v="7"/>
    <x v="4"/>
    <s v="Jan-20"/>
    <x v="23"/>
    <n v="148.1"/>
    <n v="138.4"/>
    <n v="143.4"/>
    <s v="Other goods &amp; services"/>
  </r>
  <r>
    <x v="7"/>
    <x v="4"/>
    <s v="Jan-20"/>
    <x v="18"/>
    <n v="139.69999999999999"/>
    <n v="131.1"/>
    <n v="136.1"/>
    <s v="Food &amp; Beverages"/>
  </r>
  <r>
    <x v="7"/>
    <x v="4"/>
    <s v="Jan-20"/>
    <x v="7"/>
    <n v="132"/>
    <n v="126.3"/>
    <n v="129.9"/>
    <s v="Food &amp; Beverages"/>
  </r>
  <r>
    <x v="7"/>
    <x v="4"/>
    <s v="Jan-20"/>
    <x v="22"/>
    <n v="168.6"/>
    <n v="170.8"/>
    <n v="169.2"/>
    <s v="Other goods &amp; services"/>
  </r>
  <r>
    <x v="7"/>
    <x v="4"/>
    <s v="Jan-20"/>
    <x v="24"/>
    <n v="142.5"/>
    <n v="142.1"/>
    <n v="142.30000000000001"/>
    <s v="Other goods &amp; services"/>
  </r>
  <r>
    <x v="7"/>
    <x v="4"/>
    <s v="Jan-20"/>
    <x v="20"/>
    <n v="158.69999999999999"/>
    <n v="158.5"/>
    <n v="158.6"/>
    <s v="Food &amp; Beverages"/>
  </r>
  <r>
    <x v="7"/>
    <x v="4"/>
    <s v="Jan-20"/>
    <x v="12"/>
    <n v="141.1"/>
    <n v="139.1"/>
    <n v="140.4"/>
    <s v="Food &amp; Beverages"/>
  </r>
  <r>
    <x v="7"/>
    <x v="4"/>
    <s v="Jan-20"/>
    <x v="26"/>
    <n v="150.1"/>
    <n v="137.19999999999999"/>
    <n v="142.80000000000001"/>
    <s v="Recreation"/>
  </r>
  <r>
    <x v="7"/>
    <x v="4"/>
    <s v="Jan-20"/>
    <x v="16"/>
    <n v="151.6"/>
    <n v="149.5"/>
    <n v="150.9"/>
    <s v="Food &amp; Beverages"/>
  </r>
  <r>
    <x v="7"/>
    <x v="4"/>
    <s v="Jan-20"/>
    <x v="14"/>
    <n v="113.8"/>
    <n v="114.8"/>
    <n v="114.1"/>
    <s v="Food &amp; Beverages"/>
  </r>
  <r>
    <x v="7"/>
    <x v="4"/>
    <s v="Jan-20"/>
    <x v="25"/>
    <n v="136.30000000000001"/>
    <n v="126.1"/>
    <n v="130.9"/>
    <s v="Transport"/>
  </r>
  <r>
    <x v="7"/>
    <x v="4"/>
    <s v="Jan-20"/>
    <x v="11"/>
    <n v="191.5"/>
    <n v="207.8"/>
    <n v="197"/>
    <s v="Food &amp; Beverages"/>
  </r>
  <r>
    <x v="7"/>
    <x v="5"/>
    <s v="Jul-20"/>
    <x v="0"/>
    <n v="148.19999999999999"/>
    <n v="152.69999999999999"/>
    <n v="149.6"/>
    <s v="Food &amp; Beverages"/>
  </r>
  <r>
    <x v="7"/>
    <x v="5"/>
    <s v="Jul-20"/>
    <x v="1"/>
    <n v="154.69999999999999"/>
    <n v="149.1"/>
    <n v="152.5"/>
    <s v="Apparel"/>
  </r>
  <r>
    <x v="7"/>
    <x v="5"/>
    <s v="Jul-20"/>
    <x v="3"/>
    <n v="154.1"/>
    <n v="147.19999999999999"/>
    <n v="151.4"/>
    <s v="Apparel"/>
  </r>
  <r>
    <x v="7"/>
    <x v="5"/>
    <s v="Jul-20"/>
    <x v="5"/>
    <n v="161.80000000000001"/>
    <n v="152.5"/>
    <n v="156.4"/>
    <s v="Education"/>
  </r>
  <r>
    <x v="7"/>
    <x v="5"/>
    <s v="Jul-20"/>
    <x v="4"/>
    <n v="149.4"/>
    <n v="154.6"/>
    <n v="151.4"/>
    <s v="Food &amp; Beverages"/>
  </r>
  <r>
    <x v="7"/>
    <x v="5"/>
    <s v="Jul-20"/>
    <x v="8"/>
    <n v="152.30000000000001"/>
    <n v="157"/>
    <n v="154"/>
    <s v="Food &amp; Beverages"/>
  </r>
  <r>
    <x v="7"/>
    <x v="5"/>
    <s v="Jul-20"/>
    <x v="10"/>
    <n v="150"/>
    <n v="136.6"/>
    <n v="144.4"/>
    <s v="Apparel"/>
  </r>
  <r>
    <x v="7"/>
    <x v="5"/>
    <s v="Jul-20"/>
    <x v="9"/>
    <n v="143.19999999999999"/>
    <n v="151.80000000000001"/>
    <n v="147.19999999999999"/>
    <s v="Food &amp; Beverages"/>
  </r>
  <r>
    <x v="7"/>
    <x v="5"/>
    <s v="Jul-20"/>
    <x v="13"/>
    <n v="144.9"/>
    <n v="137.1"/>
    <n v="141.9"/>
    <s v="Energy"/>
  </r>
  <r>
    <x v="7"/>
    <x v="5"/>
    <s v="Jul-20"/>
    <x v="15"/>
    <n v="152.69999999999999"/>
    <n v="150.80000000000001"/>
    <n v="151.80000000000001"/>
    <s v="General Index"/>
  </r>
  <r>
    <x v="7"/>
    <x v="5"/>
    <s v="Jul-20"/>
    <x v="17"/>
    <n v="158.19999999999999"/>
    <n v="148.1"/>
    <n v="154.4"/>
    <s v="Health"/>
  </r>
  <r>
    <x v="7"/>
    <x v="5"/>
    <s v="Jul-20"/>
    <x v="19"/>
    <n v="151.69999999999999"/>
    <n v="140.4"/>
    <n v="146.4"/>
    <s v="Housing"/>
  </r>
  <r>
    <x v="7"/>
    <x v="5"/>
    <s v="Jul-20"/>
    <x v="21"/>
    <n v="0"/>
    <n v="154.69999999999999"/>
    <n v="154.69999999999999"/>
    <s v="Housing"/>
  </r>
  <r>
    <x v="7"/>
    <x v="5"/>
    <s v="Jul-20"/>
    <x v="2"/>
    <n v="190.3"/>
    <n v="197"/>
    <n v="192.7"/>
    <s v="Food &amp; Beverages"/>
  </r>
  <r>
    <x v="7"/>
    <x v="5"/>
    <s v="Jul-20"/>
    <x v="6"/>
    <n v="153.30000000000001"/>
    <n v="153.4"/>
    <n v="153.30000000000001"/>
    <s v="Food &amp; Beverages"/>
  </r>
  <r>
    <x v="7"/>
    <x v="5"/>
    <s v="Jul-20"/>
    <x v="23"/>
    <n v="151.69999999999999"/>
    <n v="142"/>
    <n v="147"/>
    <s v="Other goods &amp; services"/>
  </r>
  <r>
    <x v="7"/>
    <x v="5"/>
    <s v="Jul-20"/>
    <x v="18"/>
    <n v="142.1"/>
    <n v="135.6"/>
    <n v="139.4"/>
    <s v="Food &amp; Beverages"/>
  </r>
  <r>
    <x v="7"/>
    <x v="5"/>
    <s v="Jul-20"/>
    <x v="7"/>
    <n v="138.19999999999999"/>
    <n v="132.9"/>
    <n v="136.30000000000001"/>
    <s v="Food &amp; Beverages"/>
  </r>
  <r>
    <x v="7"/>
    <x v="5"/>
    <s v="Jul-20"/>
    <x v="22"/>
    <n v="182.4"/>
    <n v="186.7"/>
    <n v="183.5"/>
    <s v="Other goods &amp; services"/>
  </r>
  <r>
    <x v="7"/>
    <x v="5"/>
    <s v="Jul-20"/>
    <x v="24"/>
    <n v="151.19999999999999"/>
    <n v="152.19999999999999"/>
    <n v="151.6"/>
    <s v="Other goods &amp; services"/>
  </r>
  <r>
    <x v="7"/>
    <x v="5"/>
    <s v="Jul-20"/>
    <x v="20"/>
    <n v="161.80000000000001"/>
    <n v="161.69999999999999"/>
    <n v="161.80000000000001"/>
    <s v="Food &amp; Beverages"/>
  </r>
  <r>
    <x v="7"/>
    <x v="5"/>
    <s v="Jul-20"/>
    <x v="12"/>
    <n v="150.30000000000001"/>
    <n v="152"/>
    <n v="150.9"/>
    <s v="Food &amp; Beverages"/>
  </r>
  <r>
    <x v="7"/>
    <x v="5"/>
    <s v="Jul-20"/>
    <x v="26"/>
    <n v="153.19999999999999"/>
    <n v="144.5"/>
    <n v="148.30000000000001"/>
    <s v="Recreation"/>
  </r>
  <r>
    <x v="7"/>
    <x v="5"/>
    <s v="Jul-20"/>
    <x v="16"/>
    <n v="159.80000000000001"/>
    <n v="158.80000000000001"/>
    <n v="159.5"/>
    <s v="Food &amp; Beverages"/>
  </r>
  <r>
    <x v="7"/>
    <x v="5"/>
    <s v="Jul-20"/>
    <x v="14"/>
    <n v="113.2"/>
    <n v="116.3"/>
    <n v="114.2"/>
    <s v="Food &amp; Beverages"/>
  </r>
  <r>
    <x v="7"/>
    <x v="5"/>
    <s v="Jul-20"/>
    <x v="25"/>
    <n v="141.4"/>
    <n v="129.30000000000001"/>
    <n v="135"/>
    <s v="Transport"/>
  </r>
  <r>
    <x v="7"/>
    <x v="5"/>
    <s v="Jul-20"/>
    <x v="11"/>
    <n v="148.9"/>
    <n v="171.2"/>
    <n v="156.5"/>
    <s v="Food &amp; Beverages"/>
  </r>
  <r>
    <x v="7"/>
    <x v="6"/>
    <s v="Jun-20"/>
    <x v="0"/>
    <n v="148.19999999999999"/>
    <n v="152.69999999999999"/>
    <n v="149.6"/>
    <s v="Food &amp; Beverages"/>
  </r>
  <r>
    <x v="7"/>
    <x v="6"/>
    <s v="Jun-20"/>
    <x v="1"/>
    <n v="154.69999999999999"/>
    <n v="149.1"/>
    <n v="152.5"/>
    <s v="Apparel"/>
  </r>
  <r>
    <x v="7"/>
    <x v="6"/>
    <s v="Jun-20"/>
    <x v="3"/>
    <n v="154.1"/>
    <n v="147.19999999999999"/>
    <n v="151.4"/>
    <s v="Apparel"/>
  </r>
  <r>
    <x v="7"/>
    <x v="6"/>
    <s v="Jun-20"/>
    <x v="5"/>
    <n v="161.80000000000001"/>
    <n v="152.5"/>
    <n v="156.4"/>
    <s v="Education"/>
  </r>
  <r>
    <x v="7"/>
    <x v="6"/>
    <s v="Jun-20"/>
    <x v="4"/>
    <n v="149.4"/>
    <n v="154.6"/>
    <n v="151.4"/>
    <s v="Food &amp; Beverages"/>
  </r>
  <r>
    <x v="7"/>
    <x v="6"/>
    <s v="Jun-20"/>
    <x v="8"/>
    <n v="152.30000000000001"/>
    <n v="157"/>
    <n v="154"/>
    <s v="Food &amp; Beverages"/>
  </r>
  <r>
    <x v="7"/>
    <x v="6"/>
    <s v="Jun-20"/>
    <x v="10"/>
    <n v="150"/>
    <n v="136.6"/>
    <n v="144.4"/>
    <s v="Apparel"/>
  </r>
  <r>
    <x v="7"/>
    <x v="6"/>
    <s v="Jun-20"/>
    <x v="9"/>
    <n v="143.19999999999999"/>
    <n v="151.80000000000001"/>
    <n v="147.19999999999999"/>
    <s v="Food &amp; Beverages"/>
  </r>
  <r>
    <x v="7"/>
    <x v="6"/>
    <s v="Jun-20"/>
    <x v="13"/>
    <n v="144.9"/>
    <n v="137.1"/>
    <n v="141.9"/>
    <s v="Energy"/>
  </r>
  <r>
    <x v="7"/>
    <x v="6"/>
    <s v="Jun-20"/>
    <x v="15"/>
    <n v="152.69999999999999"/>
    <n v="150.80000000000001"/>
    <n v="151.80000000000001"/>
    <s v="General Index"/>
  </r>
  <r>
    <x v="7"/>
    <x v="6"/>
    <s v="Jun-20"/>
    <x v="17"/>
    <n v="158.19999999999999"/>
    <n v="148.1"/>
    <n v="154.4"/>
    <s v="Health"/>
  </r>
  <r>
    <x v="7"/>
    <x v="6"/>
    <s v="Jun-20"/>
    <x v="19"/>
    <n v="151.69999999999999"/>
    <n v="140.4"/>
    <n v="146.4"/>
    <s v="Housing"/>
  </r>
  <r>
    <x v="7"/>
    <x v="6"/>
    <s v="Jun-20"/>
    <x v="21"/>
    <n v="0"/>
    <n v="154.69999999999999"/>
    <n v="154.69999999999999"/>
    <s v="Housing"/>
  </r>
  <r>
    <x v="7"/>
    <x v="6"/>
    <s v="Jun-20"/>
    <x v="2"/>
    <n v="190.3"/>
    <n v="197"/>
    <n v="192.7"/>
    <s v="Food &amp; Beverages"/>
  </r>
  <r>
    <x v="7"/>
    <x v="6"/>
    <s v="Jun-20"/>
    <x v="6"/>
    <n v="153.30000000000001"/>
    <n v="153.4"/>
    <n v="153.30000000000001"/>
    <s v="Food &amp; Beverages"/>
  </r>
  <r>
    <x v="7"/>
    <x v="6"/>
    <s v="Jun-20"/>
    <x v="23"/>
    <n v="151.69999999999999"/>
    <n v="142"/>
    <n v="147"/>
    <s v="Other goods &amp; services"/>
  </r>
  <r>
    <x v="7"/>
    <x v="6"/>
    <s v="Jun-20"/>
    <x v="18"/>
    <n v="142.1"/>
    <n v="135.6"/>
    <n v="139.4"/>
    <s v="Food &amp; Beverages"/>
  </r>
  <r>
    <x v="7"/>
    <x v="6"/>
    <s v="Jun-20"/>
    <x v="7"/>
    <n v="138.19999999999999"/>
    <n v="132.9"/>
    <n v="136.30000000000001"/>
    <s v="Food &amp; Beverages"/>
  </r>
  <r>
    <x v="7"/>
    <x v="6"/>
    <s v="Jun-20"/>
    <x v="22"/>
    <n v="182.4"/>
    <n v="186.7"/>
    <n v="183.5"/>
    <s v="Other goods &amp; services"/>
  </r>
  <r>
    <x v="7"/>
    <x v="6"/>
    <s v="Jun-20"/>
    <x v="24"/>
    <n v="151.19999999999999"/>
    <n v="152.19999999999999"/>
    <n v="151.6"/>
    <s v="Other goods &amp; services"/>
  </r>
  <r>
    <x v="7"/>
    <x v="6"/>
    <s v="Jun-20"/>
    <x v="20"/>
    <n v="161.80000000000001"/>
    <n v="161.69999999999999"/>
    <n v="161.80000000000001"/>
    <s v="Food &amp; Beverages"/>
  </r>
  <r>
    <x v="7"/>
    <x v="6"/>
    <s v="Jun-20"/>
    <x v="12"/>
    <n v="150.30000000000001"/>
    <n v="152"/>
    <n v="150.9"/>
    <s v="Food &amp; Beverages"/>
  </r>
  <r>
    <x v="7"/>
    <x v="6"/>
    <s v="Jun-20"/>
    <x v="26"/>
    <n v="153.19999999999999"/>
    <n v="144.5"/>
    <n v="148.30000000000001"/>
    <s v="Recreation"/>
  </r>
  <r>
    <x v="7"/>
    <x v="6"/>
    <s v="Jun-20"/>
    <x v="16"/>
    <n v="159.80000000000001"/>
    <n v="158.80000000000001"/>
    <n v="159.5"/>
    <s v="Food &amp; Beverages"/>
  </r>
  <r>
    <x v="7"/>
    <x v="6"/>
    <s v="Jun-20"/>
    <x v="14"/>
    <n v="113.2"/>
    <n v="116.3"/>
    <n v="114.2"/>
    <s v="Food &amp; Beverages"/>
  </r>
  <r>
    <x v="7"/>
    <x v="6"/>
    <s v="Jun-20"/>
    <x v="25"/>
    <n v="141.4"/>
    <n v="129.30000000000001"/>
    <n v="135"/>
    <s v="Transport"/>
  </r>
  <r>
    <x v="7"/>
    <x v="6"/>
    <s v="Jun-20"/>
    <x v="11"/>
    <n v="148.9"/>
    <n v="171.2"/>
    <n v="156.5"/>
    <s v="Food &amp; Beverages"/>
  </r>
  <r>
    <x v="7"/>
    <x v="7"/>
    <s v="Mar-20"/>
    <x v="0"/>
    <n v="144.4"/>
    <n v="146.5"/>
    <n v="145.1"/>
    <s v="Food &amp; Beverages"/>
  </r>
  <r>
    <x v="7"/>
    <x v="7"/>
    <s v="Mar-20"/>
    <x v="1"/>
    <n v="153.4"/>
    <n v="147.69999999999999"/>
    <n v="151.19999999999999"/>
    <s v="Apparel"/>
  </r>
  <r>
    <x v="7"/>
    <x v="7"/>
    <s v="Mar-20"/>
    <x v="3"/>
    <n v="152.5"/>
    <n v="145.6"/>
    <n v="149.80000000000001"/>
    <s v="Apparel"/>
  </r>
  <r>
    <x v="7"/>
    <x v="7"/>
    <s v="Mar-20"/>
    <x v="5"/>
    <n v="161.19999999999999"/>
    <n v="152.5"/>
    <n v="156.1"/>
    <s v="Education"/>
  </r>
  <r>
    <x v="7"/>
    <x v="7"/>
    <s v="Mar-20"/>
    <x v="4"/>
    <n v="147.6"/>
    <n v="148.9"/>
    <n v="148.1"/>
    <s v="Food &amp; Beverages"/>
  </r>
  <r>
    <x v="7"/>
    <x v="7"/>
    <s v="Mar-20"/>
    <x v="8"/>
    <n v="148.19999999999999"/>
    <n v="150.1"/>
    <n v="148.9"/>
    <s v="Food &amp; Beverages"/>
  </r>
  <r>
    <x v="7"/>
    <x v="7"/>
    <s v="Mar-20"/>
    <x v="10"/>
    <n v="147.6"/>
    <n v="133.80000000000001"/>
    <n v="141.9"/>
    <s v="Apparel"/>
  </r>
  <r>
    <x v="7"/>
    <x v="7"/>
    <s v="Mar-20"/>
    <x v="9"/>
    <n v="141.80000000000001"/>
    <n v="143.30000000000001"/>
    <n v="142.5"/>
    <s v="Food &amp; Beverages"/>
  </r>
  <r>
    <x v="7"/>
    <x v="7"/>
    <s v="Mar-20"/>
    <x v="13"/>
    <n v="153.4"/>
    <n v="141.4"/>
    <n v="148.9"/>
    <s v="Energy"/>
  </r>
  <r>
    <x v="7"/>
    <x v="7"/>
    <s v="Mar-20"/>
    <x v="15"/>
    <n v="149.80000000000001"/>
    <n v="147.30000000000001"/>
    <n v="148.6"/>
    <s v="General Index"/>
  </r>
  <r>
    <x v="7"/>
    <x v="7"/>
    <s v="Mar-20"/>
    <x v="17"/>
    <n v="156.69999999999999"/>
    <n v="145"/>
    <n v="152.30000000000001"/>
    <s v="Health"/>
  </r>
  <r>
    <x v="7"/>
    <x v="7"/>
    <s v="Mar-20"/>
    <x v="19"/>
    <n v="151.5"/>
    <n v="140.80000000000001"/>
    <n v="146.4"/>
    <s v="Housing"/>
  </r>
  <r>
    <x v="7"/>
    <x v="7"/>
    <s v="Mar-20"/>
    <x v="21"/>
    <n v="0"/>
    <n v="154.5"/>
    <n v="154.5"/>
    <s v="Housing"/>
  </r>
  <r>
    <x v="7"/>
    <x v="7"/>
    <s v="Mar-20"/>
    <x v="2"/>
    <n v="166.8"/>
    <n v="167.5"/>
    <n v="167"/>
    <s v="Food &amp; Beverages"/>
  </r>
  <r>
    <x v="7"/>
    <x v="7"/>
    <s v="Mar-20"/>
    <x v="6"/>
    <n v="151.69999999999999"/>
    <n v="151.1"/>
    <n v="151.5"/>
    <s v="Food &amp; Beverages"/>
  </r>
  <r>
    <x v="7"/>
    <x v="7"/>
    <s v="Mar-20"/>
    <x v="23"/>
    <n v="148.6"/>
    <n v="138.69999999999999"/>
    <n v="143.80000000000001"/>
    <s v="Other goods &amp; services"/>
  </r>
  <r>
    <x v="7"/>
    <x v="7"/>
    <s v="Mar-20"/>
    <x v="18"/>
    <n v="140.1"/>
    <n v="131.9"/>
    <n v="136.69999999999999"/>
    <s v="Food &amp; Beverages"/>
  </r>
  <r>
    <x v="7"/>
    <x v="7"/>
    <s v="Mar-20"/>
    <x v="7"/>
    <n v="133.30000000000001"/>
    <n v="127.5"/>
    <n v="131.19999999999999"/>
    <s v="Food &amp; Beverages"/>
  </r>
  <r>
    <x v="7"/>
    <x v="7"/>
    <s v="Mar-20"/>
    <x v="22"/>
    <n v="170.5"/>
    <n v="173.3"/>
    <n v="171.2"/>
    <s v="Other goods &amp; services"/>
  </r>
  <r>
    <x v="7"/>
    <x v="7"/>
    <s v="Mar-20"/>
    <x v="24"/>
    <n v="145.1"/>
    <n v="145.30000000000001"/>
    <n v="145.19999999999999"/>
    <s v="Other goods &amp; services"/>
  </r>
  <r>
    <x v="7"/>
    <x v="7"/>
    <s v="Mar-20"/>
    <x v="20"/>
    <n v="160"/>
    <n v="159.1"/>
    <n v="159.6"/>
    <s v="Food &amp; Beverages"/>
  </r>
  <r>
    <x v="7"/>
    <x v="7"/>
    <s v="Mar-20"/>
    <x v="12"/>
    <n v="141.80000000000001"/>
    <n v="139.69999999999999"/>
    <n v="141.1"/>
    <s v="Food &amp; Beverages"/>
  </r>
  <r>
    <x v="7"/>
    <x v="7"/>
    <s v="Mar-20"/>
    <x v="26"/>
    <n v="151.19999999999999"/>
    <n v="137.9"/>
    <n v="143.69999999999999"/>
    <s v="Recreation"/>
  </r>
  <r>
    <x v="7"/>
    <x v="7"/>
    <s v="Mar-20"/>
    <x v="16"/>
    <n v="154"/>
    <n v="151.5"/>
    <n v="153.19999999999999"/>
    <s v="Food &amp; Beverages"/>
  </r>
  <r>
    <x v="7"/>
    <x v="7"/>
    <s v="Mar-20"/>
    <x v="14"/>
    <n v="112.6"/>
    <n v="114.4"/>
    <n v="113.2"/>
    <s v="Food &amp; Beverages"/>
  </r>
  <r>
    <x v="7"/>
    <x v="7"/>
    <s v="Mar-20"/>
    <x v="25"/>
    <n v="135.80000000000001"/>
    <n v="124.6"/>
    <n v="129.9"/>
    <s v="Transport"/>
  </r>
  <r>
    <x v="7"/>
    <x v="7"/>
    <s v="Mar-20"/>
    <x v="11"/>
    <n v="152.30000000000001"/>
    <n v="167"/>
    <n v="157.30000000000001"/>
    <s v="Food &amp; Beverages"/>
  </r>
  <r>
    <x v="7"/>
    <x v="8"/>
    <s v="May-20"/>
    <x v="0"/>
    <n v="145.26666666666668"/>
    <n v="146.19999999999999"/>
    <n v="148.16666666666666"/>
    <s v="Food &amp; Beverages"/>
  </r>
  <r>
    <x v="7"/>
    <x v="8"/>
    <s v="May-20"/>
    <x v="1"/>
    <n v="153.19999999999999"/>
    <n v="151"/>
    <n v="147.5"/>
    <s v="Apparel"/>
  </r>
  <r>
    <x v="7"/>
    <x v="8"/>
    <s v="May-20"/>
    <x v="3"/>
    <n v="152.4"/>
    <n v="149.65"/>
    <n v="145.39999999999998"/>
    <s v="Apparel"/>
  </r>
  <r>
    <x v="7"/>
    <x v="8"/>
    <s v="May-20"/>
    <x v="5"/>
    <n v="161.55000000000001"/>
    <n v="156.14999999999998"/>
    <n v="152.35"/>
    <s v="Education"/>
  </r>
  <r>
    <x v="7"/>
    <x v="8"/>
    <s v="May-20"/>
    <x v="4"/>
    <n v="148.46666666666667"/>
    <n v="149.56666666666666"/>
    <n v="151.29999999999998"/>
    <s v="Food &amp; Beverages"/>
  </r>
  <r>
    <x v="7"/>
    <x v="8"/>
    <s v="May-20"/>
    <x v="8"/>
    <n v="149.36666666666667"/>
    <n v="150.26666666666665"/>
    <n v="151.76666666666665"/>
    <s v="Food &amp; Beverages"/>
  </r>
  <r>
    <x v="7"/>
    <x v="8"/>
    <s v="May-20"/>
    <x v="10"/>
    <n v="147.55000000000001"/>
    <n v="141.80000000000001"/>
    <n v="133.65"/>
    <s v="Apparel"/>
  </r>
  <r>
    <x v="7"/>
    <x v="8"/>
    <s v="May-20"/>
    <x v="9"/>
    <n v="143.26666666666668"/>
    <n v="144.73333333333335"/>
    <n v="146.43333333333331"/>
    <s v="Food &amp; Beverages"/>
  </r>
  <r>
    <x v="7"/>
    <x v="8"/>
    <s v="May-20"/>
    <x v="13"/>
    <n v="151.36666666666667"/>
    <n v="146.73333333333335"/>
    <n v="139.13333333333333"/>
    <s v="Energy"/>
  </r>
  <r>
    <x v="7"/>
    <x v="8"/>
    <s v="May-20"/>
    <x v="15"/>
    <n v="150.10000000000002"/>
    <n v="148.85"/>
    <n v="147.5"/>
    <s v="General Index"/>
  </r>
  <r>
    <x v="7"/>
    <x v="8"/>
    <s v="May-20"/>
    <x v="17"/>
    <n v="155.73333333333332"/>
    <n v="151.56666666666666"/>
    <n v="144.73333333333332"/>
    <s v="Health"/>
  </r>
  <r>
    <x v="7"/>
    <x v="8"/>
    <s v="May-20"/>
    <x v="19"/>
    <n v="151.65"/>
    <n v="146.4"/>
    <n v="140.60000000000002"/>
    <s v="Housing"/>
  </r>
  <r>
    <x v="7"/>
    <x v="8"/>
    <s v="May-20"/>
    <x v="21"/>
    <n v="0"/>
    <n v="154.96666666666667"/>
    <n v="154.96666666666667"/>
    <s v="Housing"/>
  </r>
  <r>
    <x v="7"/>
    <x v="8"/>
    <s v="May-20"/>
    <x v="2"/>
    <n v="167.15"/>
    <n v="167.25"/>
    <n v="167.55"/>
    <s v="Food &amp; Beverages"/>
  </r>
  <r>
    <x v="7"/>
    <x v="8"/>
    <s v="May-20"/>
    <x v="6"/>
    <n v="152.73333333333335"/>
    <n v="152.63333333333333"/>
    <n v="152.43333333333331"/>
    <s v="Food &amp; Beverages"/>
  </r>
  <r>
    <x v="7"/>
    <x v="8"/>
    <s v="May-20"/>
    <x v="23"/>
    <n v="148.5"/>
    <n v="143.69999999999999"/>
    <n v="138.55000000000001"/>
    <s v="Other goods &amp; services"/>
  </r>
  <r>
    <x v="7"/>
    <x v="8"/>
    <s v="May-20"/>
    <x v="18"/>
    <n v="139.79999999999998"/>
    <n v="136.66666666666666"/>
    <n v="132.29999999999998"/>
    <s v="Food &amp; Beverages"/>
  </r>
  <r>
    <x v="7"/>
    <x v="8"/>
    <s v="May-20"/>
    <x v="7"/>
    <n v="134.70000000000002"/>
    <n v="132.56666666666669"/>
    <n v="128.83333333333334"/>
    <s v="Food &amp; Beverages"/>
  </r>
  <r>
    <x v="7"/>
    <x v="8"/>
    <s v="May-20"/>
    <x v="22"/>
    <n v="169.95"/>
    <n v="170.64999999999998"/>
    <n v="172.65"/>
    <s v="Other goods &amp; services"/>
  </r>
  <r>
    <x v="7"/>
    <x v="8"/>
    <s v="May-20"/>
    <x v="24"/>
    <n v="144.25"/>
    <n v="144.30000000000001"/>
    <n v="144.4"/>
    <s v="Other goods &amp; services"/>
  </r>
  <r>
    <x v="7"/>
    <x v="8"/>
    <s v="May-20"/>
    <x v="20"/>
    <n v="159.6"/>
    <n v="159.35"/>
    <n v="159.05000000000001"/>
    <s v="Food &amp; Beverages"/>
  </r>
  <r>
    <x v="7"/>
    <x v="8"/>
    <s v="May-20"/>
    <x v="12"/>
    <n v="144.6"/>
    <n v="144.20000000000002"/>
    <n v="143.36666666666665"/>
    <s v="Food &amp; Beverages"/>
  </r>
  <r>
    <x v="7"/>
    <x v="8"/>
    <s v="May-20"/>
    <x v="26"/>
    <n v="150.80000000000001"/>
    <n v="143.44999999999999"/>
    <n v="137.80000000000001"/>
    <s v="Recreation"/>
  </r>
  <r>
    <x v="7"/>
    <x v="8"/>
    <s v="May-20"/>
    <x v="16"/>
    <n v="155.16666666666666"/>
    <n v="154.1"/>
    <n v="151.96666666666667"/>
    <s v="Food &amp; Beverages"/>
  </r>
  <r>
    <x v="7"/>
    <x v="8"/>
    <s v="May-20"/>
    <x v="14"/>
    <n v="115.16666666666667"/>
    <n v="115.7"/>
    <n v="116.73333333333333"/>
    <s v="Food &amp; Beverages"/>
  </r>
  <r>
    <x v="7"/>
    <x v="8"/>
    <s v="May-20"/>
    <x v="25"/>
    <n v="135.9"/>
    <n v="130.10000000000002"/>
    <n v="124.9"/>
    <s v="Transport"/>
  </r>
  <r>
    <x v="7"/>
    <x v="8"/>
    <s v="May-20"/>
    <x v="11"/>
    <n v="160.03333333333333"/>
    <n v="165.53333333333333"/>
    <n v="176.23333333333335"/>
    <s v="Food &amp; Beverages"/>
  </r>
  <r>
    <x v="7"/>
    <x v="9"/>
    <s v="Nov-20"/>
    <x v="0"/>
    <n v="145.4"/>
    <n v="149.69999999999999"/>
    <n v="146.80000000000001"/>
    <s v="Food &amp; Beverages"/>
  </r>
  <r>
    <x v="7"/>
    <x v="9"/>
    <s v="Nov-20"/>
    <x v="1"/>
    <n v="156.30000000000001"/>
    <n v="151.1"/>
    <n v="154.30000000000001"/>
    <s v="Apparel"/>
  </r>
  <r>
    <x v="7"/>
    <x v="9"/>
    <s v="Nov-20"/>
    <x v="3"/>
    <n v="155.5"/>
    <n v="148.80000000000001"/>
    <n v="152.80000000000001"/>
    <s v="Apparel"/>
  </r>
  <r>
    <x v="7"/>
    <x v="9"/>
    <s v="Nov-20"/>
    <x v="5"/>
    <n v="161.6"/>
    <n v="156.4"/>
    <n v="158.6"/>
    <s v="Education"/>
  </r>
  <r>
    <x v="7"/>
    <x v="9"/>
    <s v="Nov-20"/>
    <x v="4"/>
    <n v="171.6"/>
    <n v="176.9"/>
    <n v="173.6"/>
    <s v="Food &amp; Beverages"/>
  </r>
  <r>
    <x v="7"/>
    <x v="9"/>
    <s v="Nov-20"/>
    <x v="8"/>
    <n v="163.4"/>
    <n v="167"/>
    <n v="164.7"/>
    <s v="Food &amp; Beverages"/>
  </r>
  <r>
    <x v="7"/>
    <x v="9"/>
    <s v="Nov-20"/>
    <x v="10"/>
    <n v="151"/>
    <n v="136.4"/>
    <n v="144.9"/>
    <s v="Apparel"/>
  </r>
  <r>
    <x v="7"/>
    <x v="9"/>
    <s v="Nov-20"/>
    <x v="9"/>
    <n v="146.5"/>
    <n v="150.5"/>
    <n v="148.4"/>
    <s v="Food &amp; Beverages"/>
  </r>
  <r>
    <x v="7"/>
    <x v="9"/>
    <s v="Nov-20"/>
    <x v="13"/>
    <n v="147.5"/>
    <n v="137.30000000000001"/>
    <n v="143.6"/>
    <s v="Energy"/>
  </r>
  <r>
    <x v="7"/>
    <x v="9"/>
    <s v="Nov-20"/>
    <x v="15"/>
    <n v="159.80000000000001"/>
    <n v="156.69999999999999"/>
    <n v="158.4"/>
    <s v="General Index"/>
  </r>
  <r>
    <x v="7"/>
    <x v="9"/>
    <s v="Nov-20"/>
    <x v="17"/>
    <n v="160.4"/>
    <n v="152"/>
    <n v="157.19999999999999"/>
    <s v="Health"/>
  </r>
  <r>
    <x v="7"/>
    <x v="9"/>
    <s v="Nov-20"/>
    <x v="19"/>
    <n v="152.80000000000001"/>
    <n v="145.1"/>
    <n v="149.19999999999999"/>
    <s v="Housing"/>
  </r>
  <r>
    <x v="7"/>
    <x v="9"/>
    <s v="Nov-20"/>
    <x v="21"/>
    <n v="0"/>
    <n v="158"/>
    <n v="158"/>
    <s v="Housing"/>
  </r>
  <r>
    <x v="7"/>
    <x v="9"/>
    <s v="Nov-20"/>
    <x v="2"/>
    <n v="188.6"/>
    <n v="195.5"/>
    <n v="191"/>
    <s v="Food &amp; Beverages"/>
  </r>
  <r>
    <x v="7"/>
    <x v="9"/>
    <s v="Nov-20"/>
    <x v="6"/>
    <n v="153.80000000000001"/>
    <n v="153.9"/>
    <n v="153.80000000000001"/>
    <s v="Food &amp; Beverages"/>
  </r>
  <r>
    <x v="7"/>
    <x v="9"/>
    <s v="Nov-20"/>
    <x v="23"/>
    <n v="154.5"/>
    <n v="146.6"/>
    <n v="150.69999999999999"/>
    <s v="Other goods &amp; services"/>
  </r>
  <r>
    <x v="7"/>
    <x v="9"/>
    <s v="Nov-20"/>
    <x v="18"/>
    <n v="150"/>
    <n v="141.5"/>
    <n v="146.5"/>
    <s v="Food &amp; Beverages"/>
  </r>
  <r>
    <x v="7"/>
    <x v="9"/>
    <s v="Nov-20"/>
    <x v="7"/>
    <n v="145.4"/>
    <n v="138"/>
    <n v="142.69999999999999"/>
    <s v="Food &amp; Beverages"/>
  </r>
  <r>
    <x v="7"/>
    <x v="9"/>
    <s v="Nov-20"/>
    <x v="22"/>
    <n v="183.4"/>
    <n v="188.8"/>
    <n v="184.8"/>
    <s v="Other goods &amp; services"/>
  </r>
  <r>
    <x v="7"/>
    <x v="9"/>
    <s v="Nov-20"/>
    <x v="24"/>
    <n v="156.19999999999999"/>
    <n v="157.9"/>
    <n v="156.9"/>
    <s v="Other goods &amp; services"/>
  </r>
  <r>
    <x v="7"/>
    <x v="9"/>
    <s v="Nov-20"/>
    <x v="20"/>
    <n v="162.69999999999999"/>
    <n v="165.1"/>
    <n v="163.80000000000001"/>
    <s v="Food &amp; Beverages"/>
  </r>
  <r>
    <x v="7"/>
    <x v="9"/>
    <s v="Nov-20"/>
    <x v="12"/>
    <n v="155.9"/>
    <n v="158.69999999999999"/>
    <n v="156.80000000000001"/>
    <s v="Food &amp; Beverages"/>
  </r>
  <r>
    <x v="7"/>
    <x v="9"/>
    <s v="Nov-20"/>
    <x v="26"/>
    <n v="153.6"/>
    <n v="144.4"/>
    <n v="148.4"/>
    <s v="Recreation"/>
  </r>
  <r>
    <x v="7"/>
    <x v="9"/>
    <s v="Nov-20"/>
    <x v="16"/>
    <n v="162"/>
    <n v="161.4"/>
    <n v="161.80000000000001"/>
    <s v="Food &amp; Beverages"/>
  </r>
  <r>
    <x v="7"/>
    <x v="9"/>
    <s v="Nov-20"/>
    <x v="14"/>
    <n v="114.9"/>
    <n v="117.2"/>
    <n v="115.7"/>
    <s v="Food &amp; Beverages"/>
  </r>
  <r>
    <x v="7"/>
    <x v="9"/>
    <s v="Nov-20"/>
    <x v="25"/>
    <n v="146.1"/>
    <n v="135.19999999999999"/>
    <n v="140.4"/>
    <s v="Transport"/>
  </r>
  <r>
    <x v="7"/>
    <x v="9"/>
    <s v="Nov-20"/>
    <x v="11"/>
    <n v="222.2"/>
    <n v="245.3"/>
    <n v="230"/>
    <s v="Food &amp; Beverages"/>
  </r>
  <r>
    <x v="7"/>
    <x v="10"/>
    <s v="Oct-20"/>
    <x v="0"/>
    <n v="146"/>
    <n v="150.6"/>
    <n v="147.5"/>
    <s v="Food &amp; Beverages"/>
  </r>
  <r>
    <x v="7"/>
    <x v="10"/>
    <s v="Oct-20"/>
    <x v="1"/>
    <n v="155.69999999999999"/>
    <n v="150.5"/>
    <n v="153.69999999999999"/>
    <s v="Apparel"/>
  </r>
  <r>
    <x v="7"/>
    <x v="10"/>
    <s v="Oct-20"/>
    <x v="3"/>
    <n v="155"/>
    <n v="148.30000000000001"/>
    <n v="152.30000000000001"/>
    <s v="Apparel"/>
  </r>
  <r>
    <x v="7"/>
    <x v="10"/>
    <s v="Oct-20"/>
    <x v="5"/>
    <n v="162.5"/>
    <n v="155.69999999999999"/>
    <n v="158.5"/>
    <s v="Education"/>
  </r>
  <r>
    <x v="7"/>
    <x v="10"/>
    <s v="Oct-20"/>
    <x v="4"/>
    <n v="159.19999999999999"/>
    <n v="164.8"/>
    <n v="161.4"/>
    <s v="Food &amp; Beverages"/>
  </r>
  <r>
    <x v="7"/>
    <x v="10"/>
    <s v="Oct-20"/>
    <x v="8"/>
    <n v="159.6"/>
    <n v="164.4"/>
    <n v="161.4"/>
    <s v="Food &amp; Beverages"/>
  </r>
  <r>
    <x v="7"/>
    <x v="10"/>
    <s v="Oct-20"/>
    <x v="10"/>
    <n v="150.6"/>
    <n v="136.1"/>
    <n v="144.6"/>
    <s v="Apparel"/>
  </r>
  <r>
    <x v="7"/>
    <x v="10"/>
    <s v="Oct-20"/>
    <x v="9"/>
    <n v="147.19999999999999"/>
    <n v="155.69999999999999"/>
    <n v="151.19999999999999"/>
    <s v="Food &amp; Beverages"/>
  </r>
  <r>
    <x v="7"/>
    <x v="10"/>
    <s v="Oct-20"/>
    <x v="13"/>
    <n v="146.80000000000001"/>
    <n v="137.1"/>
    <n v="143.1"/>
    <s v="Energy"/>
  </r>
  <r>
    <x v="7"/>
    <x v="10"/>
    <s v="Oct-20"/>
    <x v="15"/>
    <n v="157.5"/>
    <n v="155.19999999999999"/>
    <n v="156.4"/>
    <s v="General Index"/>
  </r>
  <r>
    <x v="7"/>
    <x v="10"/>
    <s v="Oct-20"/>
    <x v="17"/>
    <n v="159.5"/>
    <n v="151"/>
    <n v="156.30000000000001"/>
    <s v="Health"/>
  </r>
  <r>
    <x v="7"/>
    <x v="10"/>
    <s v="Oct-20"/>
    <x v="19"/>
    <n v="152"/>
    <n v="145.1"/>
    <n v="148.69999999999999"/>
    <s v="Housing"/>
  </r>
  <r>
    <x v="7"/>
    <x v="10"/>
    <s v="Oct-20"/>
    <x v="21"/>
    <n v="0"/>
    <n v="156.5"/>
    <n v="156.5"/>
    <s v="Housing"/>
  </r>
  <r>
    <x v="7"/>
    <x v="10"/>
    <s v="Oct-20"/>
    <x v="2"/>
    <n v="186.3"/>
    <n v="193.7"/>
    <n v="188.9"/>
    <s v="Food &amp; Beverages"/>
  </r>
  <r>
    <x v="7"/>
    <x v="10"/>
    <s v="Oct-20"/>
    <x v="6"/>
    <n v="153.6"/>
    <n v="153.69999999999999"/>
    <n v="153.6"/>
    <s v="Food &amp; Beverages"/>
  </r>
  <r>
    <x v="7"/>
    <x v="10"/>
    <s v="Oct-20"/>
    <x v="23"/>
    <n v="154.30000000000001"/>
    <n v="146.19999999999999"/>
    <n v="150.4"/>
    <s v="Other goods &amp; services"/>
  </r>
  <r>
    <x v="7"/>
    <x v="10"/>
    <s v="Oct-20"/>
    <x v="18"/>
    <n v="147.4"/>
    <n v="139.19999999999999"/>
    <n v="144"/>
    <s v="Food &amp; Beverages"/>
  </r>
  <r>
    <x v="7"/>
    <x v="10"/>
    <s v="Oct-20"/>
    <x v="7"/>
    <n v="142.6"/>
    <n v="135.69999999999999"/>
    <n v="140.1"/>
    <s v="Food &amp; Beverages"/>
  </r>
  <r>
    <x v="7"/>
    <x v="10"/>
    <s v="Oct-20"/>
    <x v="22"/>
    <n v="182.7"/>
    <n v="188.7"/>
    <n v="184.3"/>
    <s v="Other goods &amp; services"/>
  </r>
  <r>
    <x v="7"/>
    <x v="10"/>
    <s v="Oct-20"/>
    <x v="24"/>
    <n v="156.19999999999999"/>
    <n v="158.1"/>
    <n v="157"/>
    <s v="Other goods &amp; services"/>
  </r>
  <r>
    <x v="7"/>
    <x v="10"/>
    <s v="Oct-20"/>
    <x v="20"/>
    <n v="161.9"/>
    <n v="164.8"/>
    <n v="163.19999999999999"/>
    <s v="Food &amp; Beverages"/>
  </r>
  <r>
    <x v="7"/>
    <x v="10"/>
    <s v="Oct-20"/>
    <x v="12"/>
    <n v="150.30000000000001"/>
    <n v="152.19999999999999"/>
    <n v="150.9"/>
    <s v="Food &amp; Beverages"/>
  </r>
  <r>
    <x v="7"/>
    <x v="10"/>
    <s v="Oct-20"/>
    <x v="26"/>
    <n v="152.4"/>
    <n v="142"/>
    <n v="146.5"/>
    <s v="Recreation"/>
  </r>
  <r>
    <x v="7"/>
    <x v="10"/>
    <s v="Oct-20"/>
    <x v="16"/>
    <n v="160.9"/>
    <n v="161.30000000000001"/>
    <n v="161"/>
    <s v="Food &amp; Beverages"/>
  </r>
  <r>
    <x v="7"/>
    <x v="10"/>
    <s v="Oct-20"/>
    <x v="14"/>
    <n v="115.3"/>
    <n v="118.1"/>
    <n v="116.2"/>
    <s v="Food &amp; Beverages"/>
  </r>
  <r>
    <x v="7"/>
    <x v="10"/>
    <s v="Oct-20"/>
    <x v="25"/>
    <n v="146.4"/>
    <n v="135.4"/>
    <n v="140.6"/>
    <s v="Transport"/>
  </r>
  <r>
    <x v="7"/>
    <x v="10"/>
    <s v="Oct-20"/>
    <x v="11"/>
    <n v="200.6"/>
    <n v="226"/>
    <n v="209.2"/>
    <s v="Food &amp; Beverages"/>
  </r>
  <r>
    <x v="7"/>
    <x v="11"/>
    <s v="Sep-20"/>
    <x v="0"/>
    <n v="146.9"/>
    <n v="151.5"/>
    <n v="148.4"/>
    <s v="Food &amp; Beverages"/>
  </r>
  <r>
    <x v="7"/>
    <x v="11"/>
    <s v="Sep-20"/>
    <x v="1"/>
    <n v="155.4"/>
    <n v="150.19999999999999"/>
    <n v="153.4"/>
    <s v="Apparel"/>
  </r>
  <r>
    <x v="7"/>
    <x v="11"/>
    <s v="Sep-20"/>
    <x v="3"/>
    <n v="154.6"/>
    <n v="148.1"/>
    <n v="152"/>
    <s v="Apparel"/>
  </r>
  <r>
    <x v="7"/>
    <x v="11"/>
    <s v="Sep-20"/>
    <x v="5"/>
    <n v="161.1"/>
    <n v="154.9"/>
    <n v="157.5"/>
    <s v="Education"/>
  </r>
  <r>
    <x v="7"/>
    <x v="11"/>
    <s v="Sep-20"/>
    <x v="4"/>
    <n v="149.5"/>
    <n v="157.30000000000001"/>
    <n v="152.5"/>
    <s v="Food &amp; Beverages"/>
  </r>
  <r>
    <x v="7"/>
    <x v="11"/>
    <s v="Sep-20"/>
    <x v="8"/>
    <n v="156.1"/>
    <n v="161.30000000000001"/>
    <n v="158"/>
    <s v="Food &amp; Beverages"/>
  </r>
  <r>
    <x v="7"/>
    <x v="11"/>
    <s v="Sep-20"/>
    <x v="10"/>
    <n v="149.9"/>
    <n v="136.30000000000001"/>
    <n v="144.30000000000001"/>
    <s v="Apparel"/>
  </r>
  <r>
    <x v="7"/>
    <x v="11"/>
    <s v="Sep-20"/>
    <x v="9"/>
    <n v="147"/>
    <n v="155.4"/>
    <n v="150.9"/>
    <s v="Food &amp; Beverages"/>
  </r>
  <r>
    <x v="7"/>
    <x v="11"/>
    <s v="Sep-20"/>
    <x v="13"/>
    <n v="146.4"/>
    <n v="137.19999999999999"/>
    <n v="142.9"/>
    <s v="Energy"/>
  </r>
  <r>
    <x v="7"/>
    <x v="11"/>
    <s v="Sep-20"/>
    <x v="15"/>
    <n v="155.4"/>
    <n v="154"/>
    <n v="154.69999999999999"/>
    <s v="General Index"/>
  </r>
  <r>
    <x v="7"/>
    <x v="11"/>
    <s v="Sep-20"/>
    <x v="17"/>
    <n v="159.1"/>
    <n v="150"/>
    <n v="155.6"/>
    <s v="Health"/>
  </r>
  <r>
    <x v="7"/>
    <x v="11"/>
    <s v="Sep-20"/>
    <x v="19"/>
    <n v="151.6"/>
    <n v="145.4"/>
    <n v="148.69999999999999"/>
    <s v="Housing"/>
  </r>
  <r>
    <x v="7"/>
    <x v="11"/>
    <s v="Sep-20"/>
    <x v="21"/>
    <n v="0"/>
    <n v="156.30000000000001"/>
    <n v="156.30000000000001"/>
    <s v="Housing"/>
  </r>
  <r>
    <x v="7"/>
    <x v="11"/>
    <s v="Sep-20"/>
    <x v="2"/>
    <n v="183.9"/>
    <n v="193.1"/>
    <n v="187.1"/>
    <s v="Food &amp; Beverages"/>
  </r>
  <r>
    <x v="7"/>
    <x v="11"/>
    <s v="Sep-20"/>
    <x v="6"/>
    <n v="153.4"/>
    <n v="153.9"/>
    <n v="153.6"/>
    <s v="Food &amp; Beverages"/>
  </r>
  <r>
    <x v="7"/>
    <x v="11"/>
    <s v="Sep-20"/>
    <x v="23"/>
    <n v="153.69999999999999"/>
    <n v="146"/>
    <n v="150"/>
    <s v="Other goods &amp; services"/>
  </r>
  <r>
    <x v="7"/>
    <x v="11"/>
    <s v="Sep-20"/>
    <x v="18"/>
    <n v="145.4"/>
    <n v="137.69999999999999"/>
    <n v="142.19999999999999"/>
    <s v="Food &amp; Beverages"/>
  </r>
  <r>
    <x v="7"/>
    <x v="11"/>
    <s v="Sep-20"/>
    <x v="7"/>
    <n v="140.4"/>
    <n v="134.4"/>
    <n v="138.19999999999999"/>
    <s v="Food &amp; Beverages"/>
  </r>
  <r>
    <x v="7"/>
    <x v="11"/>
    <s v="Sep-20"/>
    <x v="22"/>
    <n v="182.9"/>
    <n v="188.7"/>
    <n v="184.4"/>
    <s v="Other goods &amp; services"/>
  </r>
  <r>
    <x v="7"/>
    <x v="11"/>
    <s v="Sep-20"/>
    <x v="24"/>
    <n v="157.4"/>
    <n v="159.80000000000001"/>
    <n v="158.4"/>
    <s v="Other goods &amp; services"/>
  </r>
  <r>
    <x v="7"/>
    <x v="11"/>
    <s v="Sep-20"/>
    <x v="20"/>
    <n v="161.6"/>
    <n v="164.4"/>
    <n v="162.9"/>
    <s v="Food &amp; Beverages"/>
  </r>
  <r>
    <x v="7"/>
    <x v="11"/>
    <s v="Sep-20"/>
    <x v="12"/>
    <n v="149.30000000000001"/>
    <n v="150.80000000000001"/>
    <n v="149.80000000000001"/>
    <s v="Food &amp; Beverages"/>
  </r>
  <r>
    <x v="7"/>
    <x v="11"/>
    <s v="Sep-20"/>
    <x v="26"/>
    <n v="152.80000000000001"/>
    <n v="141.80000000000001"/>
    <n v="146.6"/>
    <s v="Recreation"/>
  </r>
  <r>
    <x v="7"/>
    <x v="11"/>
    <s v="Sep-20"/>
    <x v="16"/>
    <n v="160"/>
    <n v="160.9"/>
    <n v="160.30000000000001"/>
    <s v="Food &amp; Beverages"/>
  </r>
  <r>
    <x v="7"/>
    <x v="11"/>
    <s v="Sep-20"/>
    <x v="14"/>
    <n v="115.1"/>
    <n v="118.9"/>
    <n v="116.4"/>
    <s v="Food &amp; Beverages"/>
  </r>
  <r>
    <x v="7"/>
    <x v="11"/>
    <s v="Sep-20"/>
    <x v="25"/>
    <n v="144.6"/>
    <n v="135.1"/>
    <n v="139.6"/>
    <s v="Transport"/>
  </r>
  <r>
    <x v="7"/>
    <x v="11"/>
    <s v="Sep-20"/>
    <x v="11"/>
    <n v="178.8"/>
    <n v="202"/>
    <n v="186.7"/>
    <s v="Food &amp; Beverages"/>
  </r>
  <r>
    <x v="8"/>
    <x v="0"/>
    <s v="Apr-21"/>
    <x v="0"/>
    <n v="142.69999999999999"/>
    <n v="147.6"/>
    <n v="144.30000000000001"/>
    <s v="Food &amp; Beverages"/>
  </r>
  <r>
    <x v="8"/>
    <x v="0"/>
    <s v="Apr-21"/>
    <x v="1"/>
    <n v="160.69999999999999"/>
    <n v="155.9"/>
    <n v="158.80000000000001"/>
    <s v="Apparel"/>
  </r>
  <r>
    <x v="8"/>
    <x v="0"/>
    <s v="Apr-21"/>
    <x v="3"/>
    <n v="159.9"/>
    <n v="153.4"/>
    <n v="157.30000000000001"/>
    <s v="Apparel"/>
  </r>
  <r>
    <x v="8"/>
    <x v="0"/>
    <s v="Apr-21"/>
    <x v="5"/>
    <n v="164.1"/>
    <n v="157.6"/>
    <n v="160.30000000000001"/>
    <s v="Education"/>
  </r>
  <r>
    <x v="8"/>
    <x v="0"/>
    <s v="Apr-21"/>
    <x v="4"/>
    <n v="163.4"/>
    <n v="166.4"/>
    <n v="164.6"/>
    <s v="Food &amp; Beverages"/>
  </r>
  <r>
    <x v="8"/>
    <x v="0"/>
    <s v="Apr-21"/>
    <x v="8"/>
    <n v="155.6"/>
    <n v="162"/>
    <n v="158"/>
    <s v="Food &amp; Beverages"/>
  </r>
  <r>
    <x v="8"/>
    <x v="0"/>
    <s v="Apr-21"/>
    <x v="10"/>
    <n v="155.1"/>
    <n v="139.30000000000001"/>
    <n v="148.5"/>
    <s v="Apparel"/>
  </r>
  <r>
    <x v="8"/>
    <x v="0"/>
    <s v="Apr-21"/>
    <x v="9"/>
    <n v="160.6"/>
    <n v="168.8"/>
    <n v="164.4"/>
    <s v="Food &amp; Beverages"/>
  </r>
  <r>
    <x v="8"/>
    <x v="0"/>
    <s v="Apr-21"/>
    <x v="13"/>
    <n v="156"/>
    <n v="154.9"/>
    <n v="155.6"/>
    <s v="Energy"/>
  </r>
  <r>
    <x v="8"/>
    <x v="0"/>
    <s v="Apr-21"/>
    <x v="15"/>
    <n v="157.6"/>
    <n v="158"/>
    <n v="157.80000000000001"/>
    <s v="General Index"/>
  </r>
  <r>
    <x v="8"/>
    <x v="0"/>
    <s v="Apr-21"/>
    <x v="17"/>
    <n v="165.3"/>
    <n v="157.5"/>
    <n v="162.30000000000001"/>
    <s v="Health"/>
  </r>
  <r>
    <x v="8"/>
    <x v="0"/>
    <s v="Apr-21"/>
    <x v="19"/>
    <n v="155.5"/>
    <n v="147.6"/>
    <n v="151.80000000000001"/>
    <s v="Housing"/>
  </r>
  <r>
    <x v="8"/>
    <x v="0"/>
    <s v="Apr-21"/>
    <x v="21"/>
    <n v="0"/>
    <n v="161.4"/>
    <n v="161.4"/>
    <s v="Housing"/>
  </r>
  <r>
    <x v="8"/>
    <x v="0"/>
    <s v="Apr-21"/>
    <x v="2"/>
    <n v="195.5"/>
    <n v="202.5"/>
    <n v="198"/>
    <s v="Food &amp; Beverages"/>
  </r>
  <r>
    <x v="8"/>
    <x v="0"/>
    <s v="Apr-21"/>
    <x v="6"/>
    <n v="155"/>
    <n v="156"/>
    <n v="155.4"/>
    <s v="Food &amp; Beverages"/>
  </r>
  <r>
    <x v="8"/>
    <x v="0"/>
    <s v="Apr-21"/>
    <x v="23"/>
    <n v="158"/>
    <n v="150.5"/>
    <n v="154.4"/>
    <s v="Other goods &amp; services"/>
  </r>
  <r>
    <x v="8"/>
    <x v="0"/>
    <s v="Apr-21"/>
    <x v="18"/>
    <n v="161.9"/>
    <n v="151.5"/>
    <n v="157.6"/>
    <s v="Food &amp; Beverages"/>
  </r>
  <r>
    <x v="8"/>
    <x v="0"/>
    <s v="Apr-21"/>
    <x v="7"/>
    <n v="175.2"/>
    <n v="161.4"/>
    <n v="170.1"/>
    <s v="Food &amp; Beverages"/>
  </r>
  <r>
    <x v="8"/>
    <x v="0"/>
    <s v="Apr-21"/>
    <x v="22"/>
    <n v="186.8"/>
    <n v="194.4"/>
    <n v="188.8"/>
    <s v="Other goods &amp; services"/>
  </r>
  <r>
    <x v="8"/>
    <x v="0"/>
    <s v="Apr-21"/>
    <x v="24"/>
    <n v="154.6"/>
    <n v="156.6"/>
    <n v="155.4"/>
    <s v="Other goods &amp; services"/>
  </r>
  <r>
    <x v="8"/>
    <x v="0"/>
    <s v="Apr-21"/>
    <x v="20"/>
    <n v="166.8"/>
    <n v="171.4"/>
    <n v="168.9"/>
    <s v="Food &amp; Beverages"/>
  </r>
  <r>
    <x v="8"/>
    <x v="0"/>
    <s v="Apr-21"/>
    <x v="12"/>
    <n v="161.1"/>
    <n v="162.80000000000001"/>
    <n v="161.69999999999999"/>
    <s v="Food &amp; Beverages"/>
  </r>
  <r>
    <x v="8"/>
    <x v="0"/>
    <s v="Apr-21"/>
    <x v="26"/>
    <n v="158.6"/>
    <n v="149.1"/>
    <n v="153.19999999999999"/>
    <s v="Recreation"/>
  </r>
  <r>
    <x v="8"/>
    <x v="0"/>
    <s v="Apr-21"/>
    <x v="16"/>
    <n v="164.4"/>
    <n v="162.80000000000001"/>
    <n v="163.9"/>
    <s v="Food &amp; Beverages"/>
  </r>
  <r>
    <x v="8"/>
    <x v="0"/>
    <s v="Apr-21"/>
    <x v="14"/>
    <n v="112.2"/>
    <n v="114.8"/>
    <n v="113.1"/>
    <s v="Food &amp; Beverages"/>
  </r>
  <r>
    <x v="8"/>
    <x v="0"/>
    <s v="Apr-21"/>
    <x v="25"/>
    <n v="151.69999999999999"/>
    <n v="142.1"/>
    <n v="146.6"/>
    <s v="Transport"/>
  </r>
  <r>
    <x v="8"/>
    <x v="0"/>
    <s v="Apr-21"/>
    <x v="11"/>
    <n v="135.1"/>
    <n v="161.6"/>
    <n v="144.1"/>
    <s v="Food &amp; Beverages"/>
  </r>
  <r>
    <x v="8"/>
    <x v="1"/>
    <s v="Aug-21"/>
    <x v="0"/>
    <n v="144.9"/>
    <n v="149.30000000000001"/>
    <n v="146.6"/>
    <s v="Food &amp; Beverages"/>
  </r>
  <r>
    <x v="8"/>
    <x v="1"/>
    <s v="Aug-21"/>
    <x v="1"/>
    <n v="167"/>
    <n v="159.80000000000001"/>
    <n v="164.5"/>
    <s v="Apparel"/>
  </r>
  <r>
    <x v="8"/>
    <x v="1"/>
    <s v="Aug-21"/>
    <x v="3"/>
    <n v="166.3"/>
    <n v="157.30000000000001"/>
    <n v="163.19999999999999"/>
    <s v="Apparel"/>
  </r>
  <r>
    <x v="8"/>
    <x v="1"/>
    <s v="Aug-21"/>
    <x v="5"/>
    <n v="167.5"/>
    <n v="160.4"/>
    <n v="163.80000000000001"/>
    <s v="Education"/>
  </r>
  <r>
    <x v="8"/>
    <x v="1"/>
    <s v="Aug-21"/>
    <x v="4"/>
    <n v="176.5"/>
    <n v="174.1"/>
    <n v="172.8"/>
    <s v="Food &amp; Beverages"/>
  </r>
  <r>
    <x v="8"/>
    <x v="1"/>
    <s v="Aug-21"/>
    <x v="8"/>
    <n v="161.80000000000001"/>
    <n v="167.3"/>
    <n v="164"/>
    <s v="Food &amp; Beverages"/>
  </r>
  <r>
    <x v="8"/>
    <x v="1"/>
    <s v="Aug-21"/>
    <x v="10"/>
    <n v="162.6"/>
    <n v="143.6"/>
    <n v="155.30000000000001"/>
    <s v="Apparel"/>
  </r>
  <r>
    <x v="8"/>
    <x v="1"/>
    <s v="Aug-21"/>
    <x v="9"/>
    <n v="155.69999999999999"/>
    <n v="161.30000000000001"/>
    <n v="156.80000000000001"/>
    <s v="Food &amp; Beverages"/>
  </r>
  <r>
    <x v="8"/>
    <x v="1"/>
    <s v="Aug-21"/>
    <x v="13"/>
    <n v="163.1"/>
    <n v="160.69999999999999"/>
    <n v="162.6"/>
    <s v="Energy"/>
  </r>
  <r>
    <x v="8"/>
    <x v="1"/>
    <s v="Aug-21"/>
    <x v="15"/>
    <n v="163.6"/>
    <n v="162.30000000000001"/>
    <n v="163.19999999999999"/>
    <s v="General Index"/>
  </r>
  <r>
    <x v="8"/>
    <x v="1"/>
    <s v="Aug-21"/>
    <x v="17"/>
    <n v="171.1"/>
    <n v="162.80000000000001"/>
    <n v="168.4"/>
    <s v="Health"/>
  </r>
  <r>
    <x v="8"/>
    <x v="1"/>
    <s v="Aug-21"/>
    <x v="19"/>
    <n v="160.9"/>
    <n v="153.19999999999999"/>
    <n v="157.5"/>
    <s v="Housing"/>
  </r>
  <r>
    <x v="8"/>
    <x v="1"/>
    <s v="Aug-21"/>
    <x v="21"/>
    <n v="0"/>
    <n v="162.1"/>
    <n v="162.1"/>
    <s v="Housing"/>
  </r>
  <r>
    <x v="8"/>
    <x v="1"/>
    <s v="Aug-21"/>
    <x v="2"/>
    <n v="202.3"/>
    <n v="207.4"/>
    <n v="204"/>
    <s v="Food &amp; Beverages"/>
  </r>
  <r>
    <x v="8"/>
    <x v="1"/>
    <s v="Aug-21"/>
    <x v="6"/>
    <n v="157.5"/>
    <n v="159.19999999999999"/>
    <n v="158.4"/>
    <s v="Food &amp; Beverages"/>
  </r>
  <r>
    <x v="8"/>
    <x v="1"/>
    <s v="Aug-21"/>
    <x v="23"/>
    <n v="163.30000000000001"/>
    <n v="156"/>
    <n v="160"/>
    <s v="Other goods &amp; services"/>
  </r>
  <r>
    <x v="8"/>
    <x v="1"/>
    <s v="Aug-21"/>
    <x v="18"/>
    <n v="167.6"/>
    <n v="154.80000000000001"/>
    <n v="162.69999999999999"/>
    <s v="Food &amp; Beverages"/>
  </r>
  <r>
    <x v="8"/>
    <x v="1"/>
    <s v="Aug-21"/>
    <x v="7"/>
    <n v="190.9"/>
    <n v="175"/>
    <n v="188"/>
    <s v="Food &amp; Beverages"/>
  </r>
  <r>
    <x v="8"/>
    <x v="1"/>
    <s v="Aug-21"/>
    <x v="22"/>
    <n v="190.2"/>
    <n v="196.5"/>
    <n v="192.1"/>
    <s v="Other goods &amp; services"/>
  </r>
  <r>
    <x v="8"/>
    <x v="1"/>
    <s v="Aug-21"/>
    <x v="24"/>
    <n v="160.30000000000001"/>
    <n v="159.6"/>
    <n v="160"/>
    <s v="Other goods &amp; services"/>
  </r>
  <r>
    <x v="8"/>
    <x v="1"/>
    <s v="Aug-21"/>
    <x v="20"/>
    <n v="171.9"/>
    <n v="175.1"/>
    <n v="173.9"/>
    <s v="Food &amp; Beverages"/>
  </r>
  <r>
    <x v="8"/>
    <x v="1"/>
    <s v="Aug-21"/>
    <x v="12"/>
    <n v="162.80000000000001"/>
    <n v="164.5"/>
    <n v="164.1"/>
    <s v="Food &amp; Beverages"/>
  </r>
  <r>
    <x v="8"/>
    <x v="1"/>
    <s v="Aug-21"/>
    <x v="26"/>
    <n v="161.1"/>
    <n v="153.69999999999999"/>
    <n v="157.6"/>
    <s v="Recreation"/>
  </r>
  <r>
    <x v="8"/>
    <x v="1"/>
    <s v="Aug-21"/>
    <x v="16"/>
    <n v="169.8"/>
    <n v="166.2"/>
    <n v="168.8"/>
    <s v="Food &amp; Beverages"/>
  </r>
  <r>
    <x v="8"/>
    <x v="1"/>
    <s v="Aug-21"/>
    <x v="14"/>
    <n v="115.2"/>
    <n v="120.4"/>
    <n v="119.7"/>
    <s v="Food &amp; Beverages"/>
  </r>
  <r>
    <x v="8"/>
    <x v="1"/>
    <s v="Aug-21"/>
    <x v="25"/>
    <n v="157.69999999999999"/>
    <n v="150.4"/>
    <n v="154"/>
    <s v="Transport"/>
  </r>
  <r>
    <x v="8"/>
    <x v="1"/>
    <s v="Aug-21"/>
    <x v="11"/>
    <n v="153.9"/>
    <n v="183.3"/>
    <n v="162.19999999999999"/>
    <s v="Food &amp; Beverages"/>
  </r>
  <r>
    <x v="8"/>
    <x v="2"/>
    <s v="Dec-21"/>
    <x v="0"/>
    <n v="147.4"/>
    <n v="151.6"/>
    <n v="148.69999999999999"/>
    <s v="Food &amp; Beverages"/>
  </r>
  <r>
    <x v="8"/>
    <x v="2"/>
    <s v="Dec-21"/>
    <x v="1"/>
    <n v="171.8"/>
    <n v="163.30000000000001"/>
    <n v="168.5"/>
    <s v="Apparel"/>
  </r>
  <r>
    <x v="8"/>
    <x v="2"/>
    <s v="Dec-21"/>
    <x v="3"/>
    <n v="171.2"/>
    <n v="160.69999999999999"/>
    <n v="167"/>
    <s v="Apparel"/>
  </r>
  <r>
    <x v="8"/>
    <x v="2"/>
    <s v="Dec-21"/>
    <x v="5"/>
    <n v="169.7"/>
    <n v="160.6"/>
    <n v="164.4"/>
    <s v="Education"/>
  </r>
  <r>
    <x v="8"/>
    <x v="2"/>
    <s v="Dec-21"/>
    <x v="4"/>
    <n v="176.5"/>
    <n v="180"/>
    <n v="177.9"/>
    <s v="Food &amp; Beverages"/>
  </r>
  <r>
    <x v="8"/>
    <x v="2"/>
    <s v="Dec-21"/>
    <x v="8"/>
    <n v="165.8"/>
    <n v="172.2"/>
    <n v="168.2"/>
    <s v="Food &amp; Beverages"/>
  </r>
  <r>
    <x v="8"/>
    <x v="2"/>
    <s v="Dec-21"/>
    <x v="10"/>
    <n v="167.3"/>
    <n v="146.69999999999999"/>
    <n v="158.69999999999999"/>
    <s v="Apparel"/>
  </r>
  <r>
    <x v="8"/>
    <x v="2"/>
    <s v="Dec-21"/>
    <x v="9"/>
    <n v="152"/>
    <n v="158.30000000000001"/>
    <n v="154.9"/>
    <s v="Food &amp; Beverages"/>
  </r>
  <r>
    <x v="8"/>
    <x v="2"/>
    <s v="Dec-21"/>
    <x v="13"/>
    <n v="165.6"/>
    <n v="161.69999999999999"/>
    <n v="164.1"/>
    <s v="Energy"/>
  </r>
  <r>
    <x v="8"/>
    <x v="2"/>
    <s v="Dec-21"/>
    <x v="15"/>
    <n v="167"/>
    <n v="165.2"/>
    <n v="166.2"/>
    <s v="General Index"/>
  </r>
  <r>
    <x v="8"/>
    <x v="2"/>
    <s v="Dec-21"/>
    <x v="17"/>
    <n v="174"/>
    <n v="165.1"/>
    <n v="170.6"/>
    <s v="Health"/>
  </r>
  <r>
    <x v="8"/>
    <x v="2"/>
    <s v="Dec-21"/>
    <x v="19"/>
    <n v="163.9"/>
    <n v="156"/>
    <n v="160.19999999999999"/>
    <s v="Housing"/>
  </r>
  <r>
    <x v="8"/>
    <x v="2"/>
    <s v="Dec-21"/>
    <x v="21"/>
    <n v="0"/>
    <n v="163.4"/>
    <n v="163.4"/>
    <s v="Housing"/>
  </r>
  <r>
    <x v="8"/>
    <x v="2"/>
    <s v="Dec-21"/>
    <x v="2"/>
    <n v="197"/>
    <n v="202.2"/>
    <n v="198.8"/>
    <s v="Food &amp; Beverages"/>
  </r>
  <r>
    <x v="8"/>
    <x v="2"/>
    <s v="Dec-21"/>
    <x v="6"/>
    <n v="159.80000000000001"/>
    <n v="160"/>
    <n v="159.9"/>
    <s v="Food &amp; Beverages"/>
  </r>
  <r>
    <x v="8"/>
    <x v="2"/>
    <s v="Dec-21"/>
    <x v="23"/>
    <n v="166"/>
    <n v="157.80000000000001"/>
    <n v="162"/>
    <s v="Other goods &amp; services"/>
  </r>
  <r>
    <x v="8"/>
    <x v="2"/>
    <s v="Dec-21"/>
    <x v="18"/>
    <n v="169.7"/>
    <n v="156.5"/>
    <n v="164.2"/>
    <s v="Food &amp; Beverages"/>
  </r>
  <r>
    <x v="8"/>
    <x v="2"/>
    <s v="Dec-21"/>
    <x v="7"/>
    <n v="195.8"/>
    <n v="173.5"/>
    <n v="187.6"/>
    <s v="Food &amp; Beverages"/>
  </r>
  <r>
    <x v="8"/>
    <x v="2"/>
    <s v="Dec-21"/>
    <x v="22"/>
    <n v="190.8"/>
    <n v="196.8"/>
    <n v="192.4"/>
    <s v="Other goods &amp; services"/>
  </r>
  <r>
    <x v="8"/>
    <x v="2"/>
    <s v="Dec-21"/>
    <x v="24"/>
    <n v="162.80000000000001"/>
    <n v="162.4"/>
    <n v="162.6"/>
    <s v="Other goods &amp; services"/>
  </r>
  <r>
    <x v="8"/>
    <x v="2"/>
    <s v="Dec-21"/>
    <x v="20"/>
    <n v="175.1"/>
    <n v="178.2"/>
    <n v="176.5"/>
    <s v="Food &amp; Beverages"/>
  </r>
  <r>
    <x v="8"/>
    <x v="2"/>
    <s v="Dec-21"/>
    <x v="12"/>
    <n v="164.5"/>
    <n v="164.2"/>
    <n v="164.4"/>
    <s v="Food &amp; Beverages"/>
  </r>
  <r>
    <x v="8"/>
    <x v="2"/>
    <s v="Dec-21"/>
    <x v="26"/>
    <n v="164.5"/>
    <n v="157.6"/>
    <n v="160.6"/>
    <s v="Recreation"/>
  </r>
  <r>
    <x v="8"/>
    <x v="2"/>
    <s v="Dec-21"/>
    <x v="16"/>
    <n v="171.7"/>
    <n v="168.2"/>
    <n v="170.5"/>
    <s v="Food &amp; Beverages"/>
  </r>
  <r>
    <x v="8"/>
    <x v="2"/>
    <s v="Dec-21"/>
    <x v="14"/>
    <n v="120.6"/>
    <n v="121.9"/>
    <n v="121"/>
    <s v="Food &amp; Beverages"/>
  </r>
  <r>
    <x v="8"/>
    <x v="2"/>
    <s v="Dec-21"/>
    <x v="25"/>
    <n v="160.1"/>
    <n v="151.80000000000001"/>
    <n v="155.69999999999999"/>
    <s v="Transport"/>
  </r>
  <r>
    <x v="8"/>
    <x v="2"/>
    <s v="Dec-21"/>
    <x v="11"/>
    <n v="172.3"/>
    <n v="219.5"/>
    <n v="188.3"/>
    <s v="Food &amp; Beverages"/>
  </r>
  <r>
    <x v="8"/>
    <x v="3"/>
    <s v="Feb-21"/>
    <x v="0"/>
    <n v="142.80000000000001"/>
    <n v="147.6"/>
    <n v="144.30000000000001"/>
    <s v="Food &amp; Beverages"/>
  </r>
  <r>
    <x v="8"/>
    <x v="3"/>
    <s v="Feb-21"/>
    <x v="1"/>
    <n v="159.1"/>
    <n v="154.19999999999999"/>
    <n v="157.19999999999999"/>
    <s v="Apparel"/>
  </r>
  <r>
    <x v="8"/>
    <x v="3"/>
    <s v="Feb-21"/>
    <x v="3"/>
    <n v="158.4"/>
    <n v="151.80000000000001"/>
    <n v="155.80000000000001"/>
    <s v="Apparel"/>
  </r>
  <r>
    <x v="8"/>
    <x v="3"/>
    <s v="Feb-21"/>
    <x v="5"/>
    <n v="163.6"/>
    <n v="156.6"/>
    <n v="159.5"/>
    <s v="Education"/>
  </r>
  <r>
    <x v="8"/>
    <x v="3"/>
    <s v="Feb-21"/>
    <x v="4"/>
    <n v="168"/>
    <n v="169.9"/>
    <n v="168.7"/>
    <s v="Food &amp; Beverages"/>
  </r>
  <r>
    <x v="8"/>
    <x v="3"/>
    <s v="Feb-21"/>
    <x v="8"/>
    <n v="154.69999999999999"/>
    <n v="160.80000000000001"/>
    <n v="156.9"/>
    <s v="Food &amp; Beverages"/>
  </r>
  <r>
    <x v="8"/>
    <x v="3"/>
    <s v="Feb-21"/>
    <x v="10"/>
    <n v="153.9"/>
    <n v="138.19999999999999"/>
    <n v="147.4"/>
    <s v="Apparel"/>
  </r>
  <r>
    <x v="8"/>
    <x v="3"/>
    <s v="Feb-21"/>
    <x v="9"/>
    <n v="147.80000000000001"/>
    <n v="154"/>
    <n v="150.69999999999999"/>
    <s v="Food &amp; Beverages"/>
  </r>
  <r>
    <x v="8"/>
    <x v="3"/>
    <s v="Feb-21"/>
    <x v="13"/>
    <n v="154.4"/>
    <n v="149.1"/>
    <n v="152.4"/>
    <s v="Energy"/>
  </r>
  <r>
    <x v="8"/>
    <x v="3"/>
    <s v="Feb-21"/>
    <x v="15"/>
    <n v="156.69999999999999"/>
    <n v="156.5"/>
    <n v="156.6"/>
    <s v="General Index"/>
  </r>
  <r>
    <x v="8"/>
    <x v="3"/>
    <s v="Feb-21"/>
    <x v="17"/>
    <n v="164.3"/>
    <n v="156.30000000000001"/>
    <n v="161.30000000000001"/>
    <s v="Health"/>
  </r>
  <r>
    <x v="8"/>
    <x v="3"/>
    <s v="Feb-21"/>
    <x v="19"/>
    <n v="154.80000000000001"/>
    <n v="146.5"/>
    <n v="150.9"/>
    <s v="Housing"/>
  </r>
  <r>
    <x v="8"/>
    <x v="3"/>
    <s v="Feb-21"/>
    <x v="21"/>
    <n v="0"/>
    <n v="159.80000000000001"/>
    <n v="159.80000000000001"/>
    <s v="Housing"/>
  </r>
  <r>
    <x v="8"/>
    <x v="3"/>
    <s v="Feb-21"/>
    <x v="2"/>
    <n v="184"/>
    <n v="191.2"/>
    <n v="186.5"/>
    <s v="Food &amp; Beverages"/>
  </r>
  <r>
    <x v="8"/>
    <x v="3"/>
    <s v="Feb-21"/>
    <x v="6"/>
    <n v="154.4"/>
    <n v="155.1"/>
    <n v="154.69999999999999"/>
    <s v="Food &amp; Beverages"/>
  </r>
  <r>
    <x v="8"/>
    <x v="3"/>
    <s v="Feb-21"/>
    <x v="23"/>
    <n v="157.19999999999999"/>
    <n v="149.30000000000001"/>
    <n v="153.4"/>
    <s v="Other goods &amp; services"/>
  </r>
  <r>
    <x v="8"/>
    <x v="3"/>
    <s v="Feb-21"/>
    <x v="18"/>
    <n v="160"/>
    <n v="149.19999999999999"/>
    <n v="155.5"/>
    <s v="Food &amp; Beverages"/>
  </r>
  <r>
    <x v="8"/>
    <x v="3"/>
    <s v="Feb-21"/>
    <x v="7"/>
    <n v="163"/>
    <n v="151.4"/>
    <n v="158.69999999999999"/>
    <s v="Food &amp; Beverages"/>
  </r>
  <r>
    <x v="8"/>
    <x v="3"/>
    <s v="Feb-21"/>
    <x v="22"/>
    <n v="186.5"/>
    <n v="193.3"/>
    <n v="188.3"/>
    <s v="Other goods &amp; services"/>
  </r>
  <r>
    <x v="8"/>
    <x v="3"/>
    <s v="Feb-21"/>
    <x v="24"/>
    <n v="155.19999999999999"/>
    <n v="156.69999999999999"/>
    <n v="155.80000000000001"/>
    <s v="Other goods &amp; services"/>
  </r>
  <r>
    <x v="8"/>
    <x v="3"/>
    <s v="Feb-21"/>
    <x v="20"/>
    <n v="165.8"/>
    <n v="169.4"/>
    <n v="167.5"/>
    <s v="Food &amp; Beverages"/>
  </r>
  <r>
    <x v="8"/>
    <x v="3"/>
    <s v="Feb-21"/>
    <x v="12"/>
    <n v="158.30000000000001"/>
    <n v="159.80000000000001"/>
    <n v="158.80000000000001"/>
    <s v="Food &amp; Beverages"/>
  </r>
  <r>
    <x v="8"/>
    <x v="3"/>
    <s v="Feb-21"/>
    <x v="26"/>
    <n v="157"/>
    <n v="147.30000000000001"/>
    <n v="151.5"/>
    <s v="Recreation"/>
  </r>
  <r>
    <x v="8"/>
    <x v="3"/>
    <s v="Feb-21"/>
    <x v="16"/>
    <n v="165"/>
    <n v="162.5"/>
    <n v="164.2"/>
    <s v="Food &amp; Beverages"/>
  </r>
  <r>
    <x v="8"/>
    <x v="3"/>
    <s v="Feb-21"/>
    <x v="14"/>
    <n v="111.8"/>
    <n v="114.9"/>
    <n v="112.8"/>
    <s v="Food &amp; Beverages"/>
  </r>
  <r>
    <x v="8"/>
    <x v="3"/>
    <s v="Feb-21"/>
    <x v="25"/>
    <n v="150.19999999999999"/>
    <n v="140.5"/>
    <n v="145.1"/>
    <s v="Transport"/>
  </r>
  <r>
    <x v="8"/>
    <x v="3"/>
    <s v="Feb-21"/>
    <x v="11"/>
    <n v="149.69999999999999"/>
    <n v="180.2"/>
    <n v="160"/>
    <s v="Food &amp; Beverages"/>
  </r>
  <r>
    <x v="8"/>
    <x v="4"/>
    <s v="Jan-21"/>
    <x v="0"/>
    <n v="143.4"/>
    <n v="148"/>
    <n v="144.9"/>
    <s v="Food &amp; Beverages"/>
  </r>
  <r>
    <x v="8"/>
    <x v="4"/>
    <s v="Jan-21"/>
    <x v="1"/>
    <n v="157.5"/>
    <n v="152.5"/>
    <n v="155.5"/>
    <s v="Apparel"/>
  </r>
  <r>
    <x v="8"/>
    <x v="4"/>
    <s v="Jan-21"/>
    <x v="3"/>
    <n v="156.80000000000001"/>
    <n v="150.19999999999999"/>
    <n v="154.19999999999999"/>
    <s v="Apparel"/>
  </r>
  <r>
    <x v="8"/>
    <x v="4"/>
    <s v="Jan-21"/>
    <x v="5"/>
    <n v="163.5"/>
    <n v="156.1"/>
    <n v="159.19999999999999"/>
    <s v="Education"/>
  </r>
  <r>
    <x v="8"/>
    <x v="4"/>
    <s v="Jan-21"/>
    <x v="4"/>
    <n v="173.4"/>
    <n v="178.4"/>
    <n v="175.3"/>
    <s v="Food &amp; Beverages"/>
  </r>
  <r>
    <x v="8"/>
    <x v="4"/>
    <s v="Jan-21"/>
    <x v="8"/>
    <n v="159.6"/>
    <n v="163.4"/>
    <n v="161"/>
    <s v="Food &amp; Beverages"/>
  </r>
  <r>
    <x v="8"/>
    <x v="4"/>
    <s v="Jan-21"/>
    <x v="10"/>
    <n v="152.4"/>
    <n v="137.30000000000001"/>
    <n v="146.1"/>
    <s v="Apparel"/>
  </r>
  <r>
    <x v="8"/>
    <x v="4"/>
    <s v="Jan-21"/>
    <x v="9"/>
    <n v="147"/>
    <n v="152.6"/>
    <n v="149.6"/>
    <s v="Food &amp; Beverages"/>
  </r>
  <r>
    <x v="8"/>
    <x v="4"/>
    <s v="Jan-21"/>
    <x v="13"/>
    <n v="150.9"/>
    <n v="142.9"/>
    <n v="147.9"/>
    <s v="Energy"/>
  </r>
  <r>
    <x v="8"/>
    <x v="4"/>
    <s v="Jan-21"/>
    <x v="15"/>
    <n v="158.5"/>
    <n v="156"/>
    <n v="157.30000000000001"/>
    <s v="General Index"/>
  </r>
  <r>
    <x v="8"/>
    <x v="4"/>
    <s v="Jan-21"/>
    <x v="17"/>
    <n v="162.5"/>
    <n v="154.1"/>
    <n v="159.30000000000001"/>
    <s v="Health"/>
  </r>
  <r>
    <x v="8"/>
    <x v="4"/>
    <s v="Jan-21"/>
    <x v="19"/>
    <n v="153.9"/>
    <n v="145.69999999999999"/>
    <n v="150"/>
    <s v="Housing"/>
  </r>
  <r>
    <x v="8"/>
    <x v="4"/>
    <s v="Jan-21"/>
    <x v="21"/>
    <n v="0"/>
    <n v="157.69999999999999"/>
    <n v="157.69999999999999"/>
    <s v="Housing"/>
  </r>
  <r>
    <x v="8"/>
    <x v="4"/>
    <s v="Jan-21"/>
    <x v="2"/>
    <n v="187.5"/>
    <n v="194.8"/>
    <n v="190.1"/>
    <s v="Food &amp; Beverages"/>
  </r>
  <r>
    <x v="8"/>
    <x v="4"/>
    <s v="Jan-21"/>
    <x v="6"/>
    <n v="154"/>
    <n v="154.4"/>
    <n v="154.1"/>
    <s v="Food &amp; Beverages"/>
  </r>
  <r>
    <x v="8"/>
    <x v="4"/>
    <s v="Jan-21"/>
    <x v="23"/>
    <n v="155.9"/>
    <n v="147.6"/>
    <n v="151.9"/>
    <s v="Other goods &amp; services"/>
  </r>
  <r>
    <x v="8"/>
    <x v="4"/>
    <s v="Jan-21"/>
    <x v="18"/>
    <n v="156.1"/>
    <n v="145.9"/>
    <n v="151.80000000000001"/>
    <s v="Food &amp; Beverages"/>
  </r>
  <r>
    <x v="8"/>
    <x v="4"/>
    <s v="Jan-21"/>
    <x v="7"/>
    <n v="154.80000000000001"/>
    <n v="144.1"/>
    <n v="150.9"/>
    <s v="Food &amp; Beverages"/>
  </r>
  <r>
    <x v="8"/>
    <x v="4"/>
    <s v="Jan-21"/>
    <x v="22"/>
    <n v="184.6"/>
    <n v="191.8"/>
    <n v="186.5"/>
    <s v="Other goods &amp; services"/>
  </r>
  <r>
    <x v="8"/>
    <x v="4"/>
    <s v="Jan-21"/>
    <x v="24"/>
    <n v="156.19999999999999"/>
    <n v="157.69999999999999"/>
    <n v="156.80000000000001"/>
    <s v="Other goods &amp; services"/>
  </r>
  <r>
    <x v="8"/>
    <x v="4"/>
    <s v="Jan-21"/>
    <x v="20"/>
    <n v="164.3"/>
    <n v="167.2"/>
    <n v="165.6"/>
    <s v="Food &amp; Beverages"/>
  </r>
  <r>
    <x v="8"/>
    <x v="4"/>
    <s v="Jan-21"/>
    <x v="12"/>
    <n v="159.5"/>
    <n v="162.1"/>
    <n v="160.4"/>
    <s v="Food &amp; Beverages"/>
  </r>
  <r>
    <x v="8"/>
    <x v="4"/>
    <s v="Jan-21"/>
    <x v="26"/>
    <n v="155.1"/>
    <n v="145.4"/>
    <n v="149.6"/>
    <s v="Recreation"/>
  </r>
  <r>
    <x v="8"/>
    <x v="4"/>
    <s v="Jan-21"/>
    <x v="16"/>
    <n v="164.5"/>
    <n v="163"/>
    <n v="164"/>
    <s v="Food &amp; Beverages"/>
  </r>
  <r>
    <x v="8"/>
    <x v="4"/>
    <s v="Jan-21"/>
    <x v="14"/>
    <n v="113.8"/>
    <n v="116.3"/>
    <n v="114.6"/>
    <s v="Food &amp; Beverages"/>
  </r>
  <r>
    <x v="8"/>
    <x v="4"/>
    <s v="Jan-21"/>
    <x v="25"/>
    <n v="147.5"/>
    <n v="136.9"/>
    <n v="141.9"/>
    <s v="Transport"/>
  </r>
  <r>
    <x v="8"/>
    <x v="4"/>
    <s v="Jan-21"/>
    <x v="11"/>
    <n v="187.8"/>
    <n v="206.8"/>
    <n v="194.2"/>
    <s v="Food &amp; Beverages"/>
  </r>
  <r>
    <x v="8"/>
    <x v="5"/>
    <s v="Jul-21"/>
    <x v="0"/>
    <n v="145.1"/>
    <n v="149.1"/>
    <n v="146.4"/>
    <s v="Food &amp; Beverages"/>
  </r>
  <r>
    <x v="8"/>
    <x v="5"/>
    <s v="Jul-21"/>
    <x v="1"/>
    <n v="166"/>
    <n v="157.9"/>
    <n v="162.80000000000001"/>
    <s v="Apparel"/>
  </r>
  <r>
    <x v="8"/>
    <x v="5"/>
    <s v="Jul-21"/>
    <x v="3"/>
    <n v="165.3"/>
    <n v="155.5"/>
    <n v="161.4"/>
    <s v="Apparel"/>
  </r>
  <r>
    <x v="8"/>
    <x v="5"/>
    <s v="Jul-21"/>
    <x v="5"/>
    <n v="167.2"/>
    <n v="160.30000000000001"/>
    <n v="163.19999999999999"/>
    <s v="Education"/>
  </r>
  <r>
    <x v="8"/>
    <x v="5"/>
    <s v="Jul-21"/>
    <x v="4"/>
    <n v="180.4"/>
    <n v="185"/>
    <n v="182.2"/>
    <s v="Food &amp; Beverages"/>
  </r>
  <r>
    <x v="8"/>
    <x v="5"/>
    <s v="Jul-21"/>
    <x v="8"/>
    <n v="161.69999999999999"/>
    <n v="167.9"/>
    <n v="164"/>
    <s v="Food &amp; Beverages"/>
  </r>
  <r>
    <x v="8"/>
    <x v="5"/>
    <s v="Jul-21"/>
    <x v="10"/>
    <n v="161.1"/>
    <n v="141.9"/>
    <n v="153.1"/>
    <s v="Apparel"/>
  </r>
  <r>
    <x v="8"/>
    <x v="5"/>
    <s v="Jul-21"/>
    <x v="9"/>
    <n v="157.69999999999999"/>
    <n v="170.9"/>
    <n v="163.9"/>
    <s v="Food &amp; Beverages"/>
  </r>
  <r>
    <x v="8"/>
    <x v="5"/>
    <s v="Jul-21"/>
    <x v="13"/>
    <n v="162.5"/>
    <n v="157.69999999999999"/>
    <n v="160.69999999999999"/>
    <s v="Energy"/>
  </r>
  <r>
    <x v="8"/>
    <x v="5"/>
    <s v="Jul-21"/>
    <x v="15"/>
    <n v="163.19999999999999"/>
    <n v="161.80000000000001"/>
    <n v="162.5"/>
    <s v="General Index"/>
  </r>
  <r>
    <x v="8"/>
    <x v="5"/>
    <s v="Jul-21"/>
    <x v="17"/>
    <n v="170.4"/>
    <n v="161.5"/>
    <n v="167"/>
    <s v="Health"/>
  </r>
  <r>
    <x v="8"/>
    <x v="5"/>
    <s v="Jul-21"/>
    <x v="19"/>
    <n v="160.30000000000001"/>
    <n v="150.69999999999999"/>
    <n v="155.80000000000001"/>
    <s v="Housing"/>
  </r>
  <r>
    <x v="8"/>
    <x v="5"/>
    <s v="Jul-21"/>
    <x v="21"/>
    <n v="0"/>
    <n v="161.5"/>
    <n v="161.5"/>
    <s v="Housing"/>
  </r>
  <r>
    <x v="8"/>
    <x v="5"/>
    <s v="Jul-21"/>
    <x v="2"/>
    <n v="204.5"/>
    <n v="210.9"/>
    <n v="206.8"/>
    <s v="Food &amp; Beverages"/>
  </r>
  <r>
    <x v="8"/>
    <x v="5"/>
    <s v="Jul-21"/>
    <x v="6"/>
    <n v="157.1"/>
    <n v="158.19999999999999"/>
    <n v="157.5"/>
    <s v="Food &amp; Beverages"/>
  </r>
  <r>
    <x v="8"/>
    <x v="5"/>
    <s v="Jul-21"/>
    <x v="23"/>
    <n v="162.80000000000001"/>
    <n v="155"/>
    <n v="159"/>
    <s v="Other goods &amp; services"/>
  </r>
  <r>
    <x v="8"/>
    <x v="5"/>
    <s v="Jul-21"/>
    <x v="18"/>
    <n v="166.2"/>
    <n v="153.4"/>
    <n v="160.9"/>
    <s v="Food &amp; Beverages"/>
  </r>
  <r>
    <x v="8"/>
    <x v="5"/>
    <s v="Jul-21"/>
    <x v="7"/>
    <n v="188.7"/>
    <n v="170.6"/>
    <n v="182.1"/>
    <s v="Food &amp; Beverages"/>
  </r>
  <r>
    <x v="8"/>
    <x v="5"/>
    <s v="Jul-21"/>
    <x v="22"/>
    <n v="189.7"/>
    <n v="195.5"/>
    <n v="191.2"/>
    <s v="Other goods &amp; services"/>
  </r>
  <r>
    <x v="8"/>
    <x v="5"/>
    <s v="Jul-21"/>
    <x v="24"/>
    <n v="160.4"/>
    <n v="159.6"/>
    <n v="160.1"/>
    <s v="Other goods &amp; services"/>
  </r>
  <r>
    <x v="8"/>
    <x v="5"/>
    <s v="Jul-21"/>
    <x v="20"/>
    <n v="171"/>
    <n v="173.5"/>
    <n v="172.2"/>
    <s v="Food &amp; Beverages"/>
  </r>
  <r>
    <x v="8"/>
    <x v="5"/>
    <s v="Jul-21"/>
    <x v="12"/>
    <n v="163.6"/>
    <n v="164.7"/>
    <n v="164"/>
    <s v="Food &amp; Beverages"/>
  </r>
  <r>
    <x v="8"/>
    <x v="5"/>
    <s v="Jul-21"/>
    <x v="26"/>
    <n v="160.69999999999999"/>
    <n v="151.19999999999999"/>
    <n v="155.30000000000001"/>
    <s v="Recreation"/>
  </r>
  <r>
    <x v="8"/>
    <x v="5"/>
    <s v="Jul-21"/>
    <x v="16"/>
    <n v="169.7"/>
    <n v="165.5"/>
    <n v="168.3"/>
    <s v="Food &amp; Beverages"/>
  </r>
  <r>
    <x v="8"/>
    <x v="5"/>
    <s v="Jul-21"/>
    <x v="14"/>
    <n v="113.9"/>
    <n v="115.7"/>
    <n v="114.5"/>
    <s v="Food &amp; Beverages"/>
  </r>
  <r>
    <x v="8"/>
    <x v="5"/>
    <s v="Jul-21"/>
    <x v="25"/>
    <n v="157.1"/>
    <n v="149.5"/>
    <n v="153.1"/>
    <s v="Transport"/>
  </r>
  <r>
    <x v="8"/>
    <x v="5"/>
    <s v="Jul-21"/>
    <x v="11"/>
    <n v="152.80000000000001"/>
    <n v="186.4"/>
    <n v="164.2"/>
    <s v="Food &amp; Beverages"/>
  </r>
  <r>
    <x v="8"/>
    <x v="6"/>
    <s v="Jun-21"/>
    <x v="0"/>
    <n v="145.6"/>
    <n v="149.19999999999999"/>
    <n v="146.69999999999999"/>
    <s v="Food &amp; Beverages"/>
  </r>
  <r>
    <x v="8"/>
    <x v="6"/>
    <s v="Jun-21"/>
    <x v="1"/>
    <n v="165.3"/>
    <n v="157.30000000000001"/>
    <n v="162.19999999999999"/>
    <s v="Apparel"/>
  </r>
  <r>
    <x v="8"/>
    <x v="6"/>
    <s v="Jun-21"/>
    <x v="3"/>
    <n v="164.6"/>
    <n v="154.80000000000001"/>
    <n v="160.69999999999999"/>
    <s v="Apparel"/>
  </r>
  <r>
    <x v="8"/>
    <x v="6"/>
    <s v="Jun-21"/>
    <x v="5"/>
    <n v="166.8"/>
    <n v="158.1"/>
    <n v="161.69999999999999"/>
    <s v="Education"/>
  </r>
  <r>
    <x v="8"/>
    <x v="6"/>
    <s v="Jun-21"/>
    <x v="4"/>
    <n v="179.3"/>
    <n v="182.8"/>
    <n v="180.7"/>
    <s v="Food &amp; Beverages"/>
  </r>
  <r>
    <x v="8"/>
    <x v="6"/>
    <s v="Jun-21"/>
    <x v="8"/>
    <n v="160.5"/>
    <n v="166.2"/>
    <n v="162.6"/>
    <s v="Food &amp; Beverages"/>
  </r>
  <r>
    <x v="8"/>
    <x v="6"/>
    <s v="Jun-21"/>
    <x v="10"/>
    <n v="159.9"/>
    <n v="140.5"/>
    <n v="151.80000000000001"/>
    <s v="Apparel"/>
  </r>
  <r>
    <x v="8"/>
    <x v="6"/>
    <s v="Jun-21"/>
    <x v="9"/>
    <n v="158.6"/>
    <n v="171.5"/>
    <n v="164.6"/>
    <s v="Food &amp; Beverages"/>
  </r>
  <r>
    <x v="8"/>
    <x v="6"/>
    <s v="Jun-21"/>
    <x v="13"/>
    <n v="162.1"/>
    <n v="156.1"/>
    <n v="159.80000000000001"/>
    <s v="Energy"/>
  </r>
  <r>
    <x v="8"/>
    <x v="6"/>
    <s v="Jun-21"/>
    <x v="15"/>
    <n v="162.1"/>
    <n v="160.4"/>
    <n v="161.30000000000001"/>
    <s v="General Index"/>
  </r>
  <r>
    <x v="8"/>
    <x v="6"/>
    <s v="Jun-21"/>
    <x v="17"/>
    <n v="169.7"/>
    <n v="160.80000000000001"/>
    <n v="166.3"/>
    <s v="Health"/>
  </r>
  <r>
    <x v="8"/>
    <x v="6"/>
    <s v="Jun-21"/>
    <x v="19"/>
    <n v="159.19999999999999"/>
    <n v="149.80000000000001"/>
    <n v="154.80000000000001"/>
    <s v="Housing"/>
  </r>
  <r>
    <x v="8"/>
    <x v="6"/>
    <s v="Jun-21"/>
    <x v="21"/>
    <n v="0"/>
    <n v="160.5"/>
    <n v="160.5"/>
    <s v="Housing"/>
  </r>
  <r>
    <x v="8"/>
    <x v="6"/>
    <s v="Jun-21"/>
    <x v="2"/>
    <n v="200.1"/>
    <n v="205.5"/>
    <n v="202"/>
    <s v="Food &amp; Beverages"/>
  </r>
  <r>
    <x v="8"/>
    <x v="6"/>
    <s v="Jun-21"/>
    <x v="6"/>
    <n v="156.1"/>
    <n v="156.5"/>
    <n v="156.19999999999999"/>
    <s v="Food &amp; Beverages"/>
  </r>
  <r>
    <x v="8"/>
    <x v="6"/>
    <s v="Jun-21"/>
    <x v="23"/>
    <n v="161.5"/>
    <n v="153.4"/>
    <n v="157.6"/>
    <s v="Other goods &amp; services"/>
  </r>
  <r>
    <x v="8"/>
    <x v="6"/>
    <s v="Jun-21"/>
    <x v="18"/>
    <n v="165.5"/>
    <n v="152.30000000000001"/>
    <n v="160"/>
    <s v="Food &amp; Beverages"/>
  </r>
  <r>
    <x v="8"/>
    <x v="6"/>
    <s v="Jun-21"/>
    <x v="7"/>
    <n v="190.4"/>
    <n v="172.2"/>
    <n v="183.7"/>
    <s v="Food &amp; Beverages"/>
  </r>
  <r>
    <x v="8"/>
    <x v="6"/>
    <s v="Jun-21"/>
    <x v="22"/>
    <n v="189.1"/>
    <n v="195.6"/>
    <n v="190.8"/>
    <s v="Other goods &amp; services"/>
  </r>
  <r>
    <x v="8"/>
    <x v="6"/>
    <s v="Jun-21"/>
    <x v="24"/>
    <n v="159.4"/>
    <n v="158"/>
    <n v="158.80000000000001"/>
    <s v="Other goods &amp; services"/>
  </r>
  <r>
    <x v="8"/>
    <x v="6"/>
    <s v="Jun-21"/>
    <x v="20"/>
    <n v="171.7"/>
    <n v="173.3"/>
    <n v="172.4"/>
    <s v="Food &amp; Beverages"/>
  </r>
  <r>
    <x v="8"/>
    <x v="6"/>
    <s v="Jun-21"/>
    <x v="12"/>
    <n v="165.5"/>
    <n v="166.9"/>
    <n v="166"/>
    <s v="Food &amp; Beverages"/>
  </r>
  <r>
    <x v="8"/>
    <x v="6"/>
    <s v="Jun-21"/>
    <x v="26"/>
    <n v="160.4"/>
    <n v="150.69999999999999"/>
    <n v="154.9"/>
    <s v="Recreation"/>
  </r>
  <r>
    <x v="8"/>
    <x v="6"/>
    <s v="Jun-21"/>
    <x v="16"/>
    <n v="170"/>
    <n v="165.5"/>
    <n v="168.5"/>
    <s v="Food &amp; Beverages"/>
  </r>
  <r>
    <x v="8"/>
    <x v="6"/>
    <s v="Jun-21"/>
    <x v="14"/>
    <n v="114.6"/>
    <n v="116.1"/>
    <n v="115.1"/>
    <s v="Food &amp; Beverages"/>
  </r>
  <r>
    <x v="8"/>
    <x v="6"/>
    <s v="Jun-21"/>
    <x v="25"/>
    <n v="154.19999999999999"/>
    <n v="147.5"/>
    <n v="150.69999999999999"/>
    <s v="Transport"/>
  </r>
  <r>
    <x v="8"/>
    <x v="6"/>
    <s v="Jun-21"/>
    <x v="11"/>
    <n v="144.69999999999999"/>
    <n v="176.2"/>
    <n v="155.4"/>
    <s v="Food &amp; Beverages"/>
  </r>
  <r>
    <x v="8"/>
    <x v="7"/>
    <s v="Mar-21"/>
    <x v="0"/>
    <n v="142.5"/>
    <n v="147.5"/>
    <n v="144.1"/>
    <s v="Food &amp; Beverages"/>
  </r>
  <r>
    <x v="8"/>
    <x v="7"/>
    <s v="Mar-21"/>
    <x v="1"/>
    <n v="159.6"/>
    <n v="155.1"/>
    <n v="157.80000000000001"/>
    <s v="Apparel"/>
  </r>
  <r>
    <x v="8"/>
    <x v="7"/>
    <s v="Mar-21"/>
    <x v="3"/>
    <n v="158.9"/>
    <n v="152.6"/>
    <n v="156.4"/>
    <s v="Apparel"/>
  </r>
  <r>
    <x v="8"/>
    <x v="7"/>
    <s v="Mar-21"/>
    <x v="5"/>
    <n v="163.80000000000001"/>
    <n v="157.6"/>
    <n v="160.19999999999999"/>
    <s v="Education"/>
  </r>
  <r>
    <x v="8"/>
    <x v="7"/>
    <s v="Mar-21"/>
    <x v="4"/>
    <n v="163.19999999999999"/>
    <n v="164.7"/>
    <n v="163.80000000000001"/>
    <s v="Food &amp; Beverages"/>
  </r>
  <r>
    <x v="8"/>
    <x v="7"/>
    <s v="Mar-21"/>
    <x v="8"/>
    <n v="154.5"/>
    <n v="160.4"/>
    <n v="156.69999999999999"/>
    <s v="Food &amp; Beverages"/>
  </r>
  <r>
    <x v="8"/>
    <x v="7"/>
    <s v="Mar-21"/>
    <x v="10"/>
    <n v="154.4"/>
    <n v="138.69999999999999"/>
    <n v="147.9"/>
    <s v="Apparel"/>
  </r>
  <r>
    <x v="8"/>
    <x v="7"/>
    <s v="Mar-21"/>
    <x v="9"/>
    <n v="150.5"/>
    <n v="157.30000000000001"/>
    <n v="153.69999999999999"/>
    <s v="Food &amp; Beverages"/>
  </r>
  <r>
    <x v="8"/>
    <x v="7"/>
    <s v="Mar-21"/>
    <x v="13"/>
    <n v="156"/>
    <n v="154.80000000000001"/>
    <n v="155.5"/>
    <s v="Energy"/>
  </r>
  <r>
    <x v="8"/>
    <x v="7"/>
    <s v="Mar-21"/>
    <x v="15"/>
    <n v="156.69999999999999"/>
    <n v="156.9"/>
    <n v="156.80000000000001"/>
    <s v="General Index"/>
  </r>
  <r>
    <x v="8"/>
    <x v="7"/>
    <s v="Mar-21"/>
    <x v="17"/>
    <n v="164.6"/>
    <n v="156.9"/>
    <n v="161.69999999999999"/>
    <s v="Health"/>
  </r>
  <r>
    <x v="8"/>
    <x v="7"/>
    <s v="Mar-21"/>
    <x v="19"/>
    <n v="154.80000000000001"/>
    <n v="147.19999999999999"/>
    <n v="151.19999999999999"/>
    <s v="Housing"/>
  </r>
  <r>
    <x v="8"/>
    <x v="7"/>
    <s v="Mar-21"/>
    <x v="21"/>
    <n v="0"/>
    <n v="159.9"/>
    <n v="159.9"/>
    <s v="Housing"/>
  </r>
  <r>
    <x v="8"/>
    <x v="7"/>
    <s v="Mar-21"/>
    <x v="2"/>
    <n v="189.4"/>
    <n v="197.5"/>
    <n v="192.2"/>
    <s v="Food &amp; Beverages"/>
  </r>
  <r>
    <x v="8"/>
    <x v="7"/>
    <s v="Mar-21"/>
    <x v="6"/>
    <n v="154.5"/>
    <n v="155.6"/>
    <n v="154.9"/>
    <s v="Food &amp; Beverages"/>
  </r>
  <r>
    <x v="8"/>
    <x v="7"/>
    <s v="Mar-21"/>
    <x v="23"/>
    <n v="157.30000000000001"/>
    <n v="150"/>
    <n v="153.80000000000001"/>
    <s v="Other goods &amp; services"/>
  </r>
  <r>
    <x v="8"/>
    <x v="7"/>
    <s v="Mar-21"/>
    <x v="18"/>
    <n v="160.6"/>
    <n v="150.69999999999999"/>
    <n v="156.5"/>
    <s v="Food &amp; Beverages"/>
  </r>
  <r>
    <x v="8"/>
    <x v="7"/>
    <s v="Mar-21"/>
    <x v="7"/>
    <n v="168.2"/>
    <n v="156.4"/>
    <n v="163.9"/>
    <s v="Food &amp; Beverages"/>
  </r>
  <r>
    <x v="8"/>
    <x v="7"/>
    <s v="Mar-21"/>
    <x v="22"/>
    <n v="186.1"/>
    <n v="193.5"/>
    <n v="188.1"/>
    <s v="Other goods &amp; services"/>
  </r>
  <r>
    <x v="8"/>
    <x v="7"/>
    <s v="Mar-21"/>
    <x v="24"/>
    <n v="153.1"/>
    <n v="154.9"/>
    <n v="153.80000000000001"/>
    <s v="Other goods &amp; services"/>
  </r>
  <r>
    <x v="8"/>
    <x v="7"/>
    <s v="Mar-21"/>
    <x v="20"/>
    <n v="166.4"/>
    <n v="170.3"/>
    <n v="168.2"/>
    <s v="Food &amp; Beverages"/>
  </r>
  <r>
    <x v="8"/>
    <x v="7"/>
    <s v="Mar-21"/>
    <x v="12"/>
    <n v="159.19999999999999"/>
    <n v="161.1"/>
    <n v="159.80000000000001"/>
    <s v="Food &amp; Beverages"/>
  </r>
  <r>
    <x v="8"/>
    <x v="7"/>
    <s v="Mar-21"/>
    <x v="26"/>
    <n v="157.80000000000001"/>
    <n v="148.6"/>
    <n v="152.6"/>
    <s v="Recreation"/>
  </r>
  <r>
    <x v="8"/>
    <x v="7"/>
    <s v="Mar-21"/>
    <x v="16"/>
    <n v="164"/>
    <n v="162.6"/>
    <n v="163.5"/>
    <s v="Food &amp; Beverages"/>
  </r>
  <r>
    <x v="8"/>
    <x v="7"/>
    <s v="Mar-21"/>
    <x v="14"/>
    <n v="111.7"/>
    <n v="114.3"/>
    <n v="112.6"/>
    <s v="Food &amp; Beverages"/>
  </r>
  <r>
    <x v="8"/>
    <x v="7"/>
    <s v="Mar-21"/>
    <x v="25"/>
    <n v="151.30000000000001"/>
    <n v="141.69999999999999"/>
    <n v="146.19999999999999"/>
    <s v="Transport"/>
  </r>
  <r>
    <x v="8"/>
    <x v="7"/>
    <s v="Mar-21"/>
    <x v="11"/>
    <n v="141"/>
    <n v="166.1"/>
    <n v="149.5"/>
    <s v="Food &amp; Beverages"/>
  </r>
  <r>
    <x v="8"/>
    <x v="8"/>
    <s v="May-21"/>
    <x v="0"/>
    <n v="145.1"/>
    <n v="148.80000000000001"/>
    <n v="146.30000000000001"/>
    <s v="Food &amp; Beverages"/>
  </r>
  <r>
    <x v="8"/>
    <x v="8"/>
    <s v="May-21"/>
    <x v="1"/>
    <n v="165.3"/>
    <n v="156.5"/>
    <n v="161.80000000000001"/>
    <s v="Apparel"/>
  </r>
  <r>
    <x v="8"/>
    <x v="8"/>
    <s v="May-21"/>
    <x v="3"/>
    <n v="164.5"/>
    <n v="154.1"/>
    <n v="160.4"/>
    <s v="Apparel"/>
  </r>
  <r>
    <x v="8"/>
    <x v="8"/>
    <s v="May-21"/>
    <x v="5"/>
    <n v="167.6"/>
    <n v="156.6"/>
    <n v="161.19999999999999"/>
    <s v="Education"/>
  </r>
  <r>
    <x v="8"/>
    <x v="8"/>
    <s v="May-21"/>
    <x v="4"/>
    <n v="168.6"/>
    <n v="173"/>
    <n v="170.3"/>
    <s v="Food &amp; Beverages"/>
  </r>
  <r>
    <x v="8"/>
    <x v="8"/>
    <s v="May-21"/>
    <x v="8"/>
    <n v="158.69999999999999"/>
    <n v="164.2"/>
    <n v="160.69999999999999"/>
    <s v="Food &amp; Beverages"/>
  </r>
  <r>
    <x v="8"/>
    <x v="8"/>
    <s v="May-21"/>
    <x v="10"/>
    <n v="160.6"/>
    <n v="140.19999999999999"/>
    <n v="152.1"/>
    <s v="Apparel"/>
  </r>
  <r>
    <x v="8"/>
    <x v="8"/>
    <s v="May-21"/>
    <x v="9"/>
    <n v="162.30000000000001"/>
    <n v="172.5"/>
    <n v="167.1"/>
    <s v="Food &amp; Beverages"/>
  </r>
  <r>
    <x v="8"/>
    <x v="8"/>
    <s v="May-21"/>
    <x v="13"/>
    <n v="161.69999999999999"/>
    <n v="155.5"/>
    <n v="159.4"/>
    <s v="Energy"/>
  </r>
  <r>
    <x v="8"/>
    <x v="8"/>
    <s v="May-21"/>
    <x v="15"/>
    <n v="161.1"/>
    <n v="159.5"/>
    <n v="160.4"/>
    <s v="General Index"/>
  </r>
  <r>
    <x v="8"/>
    <x v="8"/>
    <s v="May-21"/>
    <x v="17"/>
    <n v="169.1"/>
    <n v="160.4"/>
    <n v="165.8"/>
    <s v="Health"/>
  </r>
  <r>
    <x v="8"/>
    <x v="8"/>
    <s v="May-21"/>
    <x v="19"/>
    <n v="158.80000000000001"/>
    <n v="150.1"/>
    <n v="154.69999999999999"/>
    <s v="Housing"/>
  </r>
  <r>
    <x v="8"/>
    <x v="8"/>
    <s v="May-21"/>
    <x v="21"/>
    <n v="0"/>
    <n v="161.6"/>
    <n v="161.6"/>
    <s v="Housing"/>
  </r>
  <r>
    <x v="8"/>
    <x v="8"/>
    <s v="May-21"/>
    <x v="2"/>
    <n v="198.5"/>
    <n v="204.3"/>
    <n v="200.5"/>
    <s v="Food &amp; Beverages"/>
  </r>
  <r>
    <x v="8"/>
    <x v="8"/>
    <s v="May-21"/>
    <x v="6"/>
    <n v="155.80000000000001"/>
    <n v="156.5"/>
    <n v="156.1"/>
    <s v="Food &amp; Beverages"/>
  </r>
  <r>
    <x v="8"/>
    <x v="8"/>
    <s v="May-21"/>
    <x v="23"/>
    <n v="161.1"/>
    <n v="152.30000000000001"/>
    <n v="156.80000000000001"/>
    <s v="Other goods &amp; services"/>
  </r>
  <r>
    <x v="8"/>
    <x v="8"/>
    <s v="May-21"/>
    <x v="18"/>
    <n v="164.6"/>
    <n v="152"/>
    <n v="159.30000000000001"/>
    <s v="Food &amp; Beverages"/>
  </r>
  <r>
    <x v="8"/>
    <x v="8"/>
    <s v="May-21"/>
    <x v="7"/>
    <n v="184.4"/>
    <n v="168.8"/>
    <n v="178.7"/>
    <s v="Food &amp; Beverages"/>
  </r>
  <r>
    <x v="8"/>
    <x v="8"/>
    <s v="May-21"/>
    <x v="22"/>
    <n v="189.6"/>
    <n v="198.2"/>
    <n v="191.9"/>
    <s v="Other goods &amp; services"/>
  </r>
  <r>
    <x v="8"/>
    <x v="8"/>
    <s v="May-21"/>
    <x v="24"/>
    <n v="159.30000000000001"/>
    <n v="157.5"/>
    <n v="158.6"/>
    <s v="Other goods &amp; services"/>
  </r>
  <r>
    <x v="8"/>
    <x v="8"/>
    <s v="May-21"/>
    <x v="20"/>
    <n v="169.8"/>
    <n v="171.1"/>
    <n v="170.4"/>
    <s v="Food &amp; Beverages"/>
  </r>
  <r>
    <x v="8"/>
    <x v="8"/>
    <s v="May-21"/>
    <x v="12"/>
    <n v="165.1"/>
    <n v="165.9"/>
    <n v="165.4"/>
    <s v="Food &amp; Beverages"/>
  </r>
  <r>
    <x v="8"/>
    <x v="8"/>
    <s v="May-21"/>
    <x v="26"/>
    <n v="160"/>
    <n v="152.6"/>
    <n v="155.80000000000001"/>
    <s v="Recreation"/>
  </r>
  <r>
    <x v="8"/>
    <x v="8"/>
    <s v="May-21"/>
    <x v="16"/>
    <n v="169.7"/>
    <n v="165.2"/>
    <n v="168.2"/>
    <s v="Food &amp; Beverages"/>
  </r>
  <r>
    <x v="8"/>
    <x v="8"/>
    <s v="May-21"/>
    <x v="14"/>
    <n v="114.3"/>
    <n v="115.9"/>
    <n v="114.8"/>
    <s v="Food &amp; Beverages"/>
  </r>
  <r>
    <x v="8"/>
    <x v="8"/>
    <s v="May-21"/>
    <x v="25"/>
    <n v="153.19999999999999"/>
    <n v="145"/>
    <n v="148.9"/>
    <s v="Transport"/>
  </r>
  <r>
    <x v="8"/>
    <x v="8"/>
    <s v="May-21"/>
    <x v="11"/>
    <n v="138.4"/>
    <n v="166.5"/>
    <n v="147.9"/>
    <s v="Food &amp; Beverages"/>
  </r>
  <r>
    <x v="8"/>
    <x v="9"/>
    <s v="Nov-21"/>
    <x v="0"/>
    <n v="146.9"/>
    <n v="151"/>
    <n v="148.19999999999999"/>
    <s v="Food &amp; Beverages"/>
  </r>
  <r>
    <x v="8"/>
    <x v="9"/>
    <s v="Nov-21"/>
    <x v="1"/>
    <n v="170.4"/>
    <n v="162.30000000000001"/>
    <n v="167.2"/>
    <s v="Apparel"/>
  </r>
  <r>
    <x v="8"/>
    <x v="9"/>
    <s v="Nov-21"/>
    <x v="3"/>
    <n v="169.8"/>
    <n v="159.69999999999999"/>
    <n v="165.8"/>
    <s v="Apparel"/>
  </r>
  <r>
    <x v="8"/>
    <x v="9"/>
    <s v="Nov-21"/>
    <x v="5"/>
    <n v="169.3"/>
    <n v="160.80000000000001"/>
    <n v="164.3"/>
    <s v="Education"/>
  </r>
  <r>
    <x v="8"/>
    <x v="9"/>
    <s v="Nov-21"/>
    <x v="4"/>
    <n v="171.5"/>
    <n v="175.4"/>
    <n v="173"/>
    <s v="Food &amp; Beverages"/>
  </r>
  <r>
    <x v="8"/>
    <x v="9"/>
    <s v="Nov-21"/>
    <x v="8"/>
    <n v="167.5"/>
    <n v="173.5"/>
    <n v="169.7"/>
    <s v="Food &amp; Beverages"/>
  </r>
  <r>
    <x v="8"/>
    <x v="9"/>
    <s v="Nov-21"/>
    <x v="10"/>
    <n v="166"/>
    <n v="145.30000000000001"/>
    <n v="157.4"/>
    <s v="Apparel"/>
  </r>
  <r>
    <x v="8"/>
    <x v="9"/>
    <s v="Nov-21"/>
    <x v="9"/>
    <n v="153.19999999999999"/>
    <n v="160.30000000000001"/>
    <n v="156.5"/>
    <s v="Food &amp; Beverages"/>
  </r>
  <r>
    <x v="8"/>
    <x v="9"/>
    <s v="Nov-21"/>
    <x v="13"/>
    <n v="165.3"/>
    <n v="161.6"/>
    <n v="163.9"/>
    <s v="Energy"/>
  </r>
  <r>
    <x v="8"/>
    <x v="9"/>
    <s v="Nov-21"/>
    <x v="15"/>
    <n v="167.6"/>
    <n v="165.6"/>
    <n v="166.7"/>
    <s v="General Index"/>
  </r>
  <r>
    <x v="8"/>
    <x v="9"/>
    <s v="Nov-21"/>
    <x v="17"/>
    <n v="173.4"/>
    <n v="164.2"/>
    <n v="169.9"/>
    <s v="Health"/>
  </r>
  <r>
    <x v="8"/>
    <x v="9"/>
    <s v="Nov-21"/>
    <x v="19"/>
    <n v="162.9"/>
    <n v="155.19999999999999"/>
    <n v="159.30000000000001"/>
    <s v="Housing"/>
  </r>
  <r>
    <x v="8"/>
    <x v="9"/>
    <s v="Nov-21"/>
    <x v="21"/>
    <n v="0"/>
    <n v="164.2"/>
    <n v="164.2"/>
    <s v="Housing"/>
  </r>
  <r>
    <x v="8"/>
    <x v="9"/>
    <s v="Nov-21"/>
    <x v="2"/>
    <n v="199.8"/>
    <n v="204.9"/>
    <n v="201.6"/>
    <s v="Food &amp; Beverages"/>
  </r>
  <r>
    <x v="8"/>
    <x v="9"/>
    <s v="Nov-21"/>
    <x v="6"/>
    <n v="159.1"/>
    <n v="159.6"/>
    <n v="159.30000000000001"/>
    <s v="Food &amp; Beverages"/>
  </r>
  <r>
    <x v="8"/>
    <x v="9"/>
    <s v="Nov-21"/>
    <x v="23"/>
    <n v="165.2"/>
    <n v="157.30000000000001"/>
    <n v="161.4"/>
    <s v="Other goods &amp; services"/>
  </r>
  <r>
    <x v="8"/>
    <x v="9"/>
    <s v="Nov-21"/>
    <x v="18"/>
    <n v="169.1"/>
    <n v="156.1"/>
    <n v="163.69999999999999"/>
    <s v="Food &amp; Beverages"/>
  </r>
  <r>
    <x v="8"/>
    <x v="9"/>
    <s v="Nov-21"/>
    <x v="7"/>
    <n v="198.4"/>
    <n v="175.8"/>
    <n v="190.1"/>
    <s v="Food &amp; Beverages"/>
  </r>
  <r>
    <x v="8"/>
    <x v="9"/>
    <s v="Nov-21"/>
    <x v="22"/>
    <n v="191.4"/>
    <n v="197"/>
    <n v="192.9"/>
    <s v="Other goods &amp; services"/>
  </r>
  <r>
    <x v="8"/>
    <x v="9"/>
    <s v="Nov-21"/>
    <x v="24"/>
    <n v="162.4"/>
    <n v="161.80000000000001"/>
    <n v="162.19999999999999"/>
    <s v="Other goods &amp; services"/>
  </r>
  <r>
    <x v="8"/>
    <x v="9"/>
    <s v="Nov-21"/>
    <x v="20"/>
    <n v="174.3"/>
    <n v="176.8"/>
    <n v="175.5"/>
    <s v="Food &amp; Beverages"/>
  </r>
  <r>
    <x v="8"/>
    <x v="9"/>
    <s v="Nov-21"/>
    <x v="12"/>
    <n v="165.4"/>
    <n v="165.1"/>
    <n v="165.3"/>
    <s v="Food &amp; Beverages"/>
  </r>
  <r>
    <x v="8"/>
    <x v="9"/>
    <s v="Nov-21"/>
    <x v="26"/>
    <n v="163.80000000000001"/>
    <n v="156.69999999999999"/>
    <n v="159.80000000000001"/>
    <s v="Recreation"/>
  </r>
  <r>
    <x v="8"/>
    <x v="9"/>
    <s v="Nov-21"/>
    <x v="16"/>
    <n v="170.8"/>
    <n v="167.2"/>
    <n v="169.6"/>
    <s v="Food &amp; Beverages"/>
  </r>
  <r>
    <x v="8"/>
    <x v="9"/>
    <s v="Nov-21"/>
    <x v="14"/>
    <n v="122.1"/>
    <n v="123.1"/>
    <n v="122.4"/>
    <s v="Food &amp; Beverages"/>
  </r>
  <r>
    <x v="8"/>
    <x v="9"/>
    <s v="Nov-21"/>
    <x v="25"/>
    <n v="158.9"/>
    <n v="151.19999999999999"/>
    <n v="154.80000000000001"/>
    <s v="Transport"/>
  </r>
  <r>
    <x v="8"/>
    <x v="9"/>
    <s v="Nov-21"/>
    <x v="11"/>
    <n v="183.9"/>
    <n v="229.1"/>
    <n v="199.2"/>
    <s v="Food &amp; Beverages"/>
  </r>
  <r>
    <x v="8"/>
    <x v="10"/>
    <s v="Oct-21"/>
    <x v="0"/>
    <n v="146.1"/>
    <n v="150.1"/>
    <n v="147.4"/>
    <s v="Food &amp; Beverages"/>
  </r>
  <r>
    <x v="8"/>
    <x v="10"/>
    <s v="Oct-21"/>
    <x v="1"/>
    <n v="168.9"/>
    <n v="160.80000000000001"/>
    <n v="165.7"/>
    <s v="Apparel"/>
  </r>
  <r>
    <x v="8"/>
    <x v="10"/>
    <s v="Oct-21"/>
    <x v="3"/>
    <n v="168.3"/>
    <n v="158.30000000000001"/>
    <n v="164.3"/>
    <s v="Apparel"/>
  </r>
  <r>
    <x v="8"/>
    <x v="10"/>
    <s v="Oct-21"/>
    <x v="5"/>
    <n v="169"/>
    <n v="160.30000000000001"/>
    <n v="163.9"/>
    <s v="Education"/>
  </r>
  <r>
    <x v="8"/>
    <x v="10"/>
    <s v="Oct-21"/>
    <x v="4"/>
    <n v="170.1"/>
    <n v="173"/>
    <n v="171.2"/>
    <s v="Food &amp; Beverages"/>
  </r>
  <r>
    <x v="8"/>
    <x v="10"/>
    <s v="Oct-21"/>
    <x v="8"/>
    <n v="165.5"/>
    <n v="171.5"/>
    <n v="167.7"/>
    <s v="Food &amp; Beverages"/>
  </r>
  <r>
    <x v="8"/>
    <x v="10"/>
    <s v="Oct-21"/>
    <x v="10"/>
    <n v="164.8"/>
    <n v="144.4"/>
    <n v="156.30000000000001"/>
    <s v="Apparel"/>
  </r>
  <r>
    <x v="8"/>
    <x v="10"/>
    <s v="Oct-21"/>
    <x v="9"/>
    <n v="152.6"/>
    <n v="159.30000000000001"/>
    <n v="155.69999999999999"/>
    <s v="Food &amp; Beverages"/>
  </r>
  <r>
    <x v="8"/>
    <x v="10"/>
    <s v="Oct-21"/>
    <x v="13"/>
    <n v="165.5"/>
    <n v="162.19999999999999"/>
    <n v="164.2"/>
    <s v="Energy"/>
  </r>
  <r>
    <x v="8"/>
    <x v="10"/>
    <s v="Oct-21"/>
    <x v="15"/>
    <n v="166.3"/>
    <n v="164.6"/>
    <n v="165.5"/>
    <s v="General Index"/>
  </r>
  <r>
    <x v="8"/>
    <x v="10"/>
    <s v="Oct-21"/>
    <x v="17"/>
    <n v="172.5"/>
    <n v="163.5"/>
    <n v="169.1"/>
    <s v="Health"/>
  </r>
  <r>
    <x v="8"/>
    <x v="10"/>
    <s v="Oct-21"/>
    <x v="19"/>
    <n v="162"/>
    <n v="154.30000000000001"/>
    <n v="158.4"/>
    <s v="Housing"/>
  </r>
  <r>
    <x v="8"/>
    <x v="10"/>
    <s v="Oct-21"/>
    <x v="21"/>
    <n v="0"/>
    <n v="163.6"/>
    <n v="163.6"/>
    <s v="Housing"/>
  </r>
  <r>
    <x v="8"/>
    <x v="10"/>
    <s v="Oct-21"/>
    <x v="2"/>
    <n v="202.5"/>
    <n v="208.4"/>
    <n v="204.6"/>
    <s v="Food &amp; Beverages"/>
  </r>
  <r>
    <x v="8"/>
    <x v="10"/>
    <s v="Oct-21"/>
    <x v="6"/>
    <n v="158.4"/>
    <n v="159.19999999999999"/>
    <n v="158.69999999999999"/>
    <s v="Food &amp; Beverages"/>
  </r>
  <r>
    <x v="8"/>
    <x v="10"/>
    <s v="Oct-21"/>
    <x v="23"/>
    <n v="164.7"/>
    <n v="157"/>
    <n v="161"/>
    <s v="Other goods &amp; services"/>
  </r>
  <r>
    <x v="8"/>
    <x v="10"/>
    <s v="Oct-21"/>
    <x v="18"/>
    <n v="168.8"/>
    <n v="155.4"/>
    <n v="163.19999999999999"/>
    <s v="Food &amp; Beverages"/>
  </r>
  <r>
    <x v="8"/>
    <x v="10"/>
    <s v="Oct-21"/>
    <x v="7"/>
    <n v="198.8"/>
    <n v="176.6"/>
    <n v="190.6"/>
    <s v="Food &amp; Beverages"/>
  </r>
  <r>
    <x v="8"/>
    <x v="10"/>
    <s v="Oct-21"/>
    <x v="22"/>
    <n v="191.2"/>
    <n v="197"/>
    <n v="192.7"/>
    <s v="Other goods &amp; services"/>
  </r>
  <r>
    <x v="8"/>
    <x v="10"/>
    <s v="Oct-21"/>
    <x v="24"/>
    <n v="161.1"/>
    <n v="160.30000000000001"/>
    <n v="160.80000000000001"/>
    <s v="Other goods &amp; services"/>
  </r>
  <r>
    <x v="8"/>
    <x v="10"/>
    <s v="Oct-21"/>
    <x v="20"/>
    <n v="173.6"/>
    <n v="175.9"/>
    <n v="174.7"/>
    <s v="Food &amp; Beverages"/>
  </r>
  <r>
    <x v="8"/>
    <x v="10"/>
    <s v="Oct-21"/>
    <x v="12"/>
    <n v="165.2"/>
    <n v="165.3"/>
    <n v="165.2"/>
    <s v="Food &amp; Beverages"/>
  </r>
  <r>
    <x v="8"/>
    <x v="10"/>
    <s v="Oct-21"/>
    <x v="26"/>
    <n v="163.19999999999999"/>
    <n v="155.1"/>
    <n v="158.6"/>
    <s v="Recreation"/>
  </r>
  <r>
    <x v="8"/>
    <x v="10"/>
    <s v="Oct-21"/>
    <x v="16"/>
    <n v="170.6"/>
    <n v="166.8"/>
    <n v="169.3"/>
    <s v="Food &amp; Beverages"/>
  </r>
  <r>
    <x v="8"/>
    <x v="10"/>
    <s v="Oct-21"/>
    <x v="14"/>
    <n v="121.6"/>
    <n v="122.5"/>
    <n v="121.9"/>
    <s v="Food &amp; Beverages"/>
  </r>
  <r>
    <x v="8"/>
    <x v="10"/>
    <s v="Oct-21"/>
    <x v="25"/>
    <n v="159.5"/>
    <n v="152.19999999999999"/>
    <n v="155.69999999999999"/>
    <s v="Transport"/>
  </r>
  <r>
    <x v="8"/>
    <x v="10"/>
    <s v="Oct-21"/>
    <x v="11"/>
    <n v="170.4"/>
    <n v="214.4"/>
    <n v="185.3"/>
    <s v="Food &amp; Beverages"/>
  </r>
  <r>
    <x v="8"/>
    <x v="11"/>
    <s v="Sep-21"/>
    <x v="0"/>
    <n v="145.4"/>
    <n v="149.30000000000001"/>
    <n v="146.6"/>
    <s v="Food &amp; Beverages"/>
  </r>
  <r>
    <x v="8"/>
    <x v="11"/>
    <s v="Sep-21"/>
    <x v="1"/>
    <n v="167.7"/>
    <n v="159.80000000000001"/>
    <n v="164.6"/>
    <s v="Apparel"/>
  </r>
  <r>
    <x v="8"/>
    <x v="11"/>
    <s v="Sep-21"/>
    <x v="3"/>
    <n v="167.1"/>
    <n v="157.4"/>
    <n v="163.30000000000001"/>
    <s v="Apparel"/>
  </r>
  <r>
    <x v="8"/>
    <x v="11"/>
    <s v="Sep-21"/>
    <x v="5"/>
    <n v="168.5"/>
    <n v="160.30000000000001"/>
    <n v="163.69999999999999"/>
    <s v="Education"/>
  </r>
  <r>
    <x v="8"/>
    <x v="11"/>
    <s v="Sep-21"/>
    <x v="4"/>
    <n v="172"/>
    <n v="174.1"/>
    <n v="172.8"/>
    <s v="Food &amp; Beverages"/>
  </r>
  <r>
    <x v="8"/>
    <x v="11"/>
    <s v="Sep-21"/>
    <x v="8"/>
    <n v="162.1"/>
    <n v="167.3"/>
    <n v="164"/>
    <s v="Food &amp; Beverages"/>
  </r>
  <r>
    <x v="8"/>
    <x v="11"/>
    <s v="Sep-21"/>
    <x v="10"/>
    <n v="163.6"/>
    <n v="143.6"/>
    <n v="155.30000000000001"/>
    <s v="Apparel"/>
  </r>
  <r>
    <x v="8"/>
    <x v="11"/>
    <s v="Sep-21"/>
    <x v="9"/>
    <n v="152.69999999999999"/>
    <n v="161.19999999999999"/>
    <n v="156.69999999999999"/>
    <s v="Food &amp; Beverages"/>
  </r>
  <r>
    <x v="8"/>
    <x v="11"/>
    <s v="Sep-21"/>
    <x v="13"/>
    <n v="163.69999999999999"/>
    <n v="160.80000000000001"/>
    <n v="162.6"/>
    <s v="Energy"/>
  </r>
  <r>
    <x v="8"/>
    <x v="11"/>
    <s v="Sep-21"/>
    <x v="15"/>
    <n v="164"/>
    <n v="162.30000000000001"/>
    <n v="163.19999999999999"/>
    <s v="General Index"/>
  </r>
  <r>
    <x v="8"/>
    <x v="11"/>
    <s v="Sep-21"/>
    <x v="17"/>
    <n v="171.9"/>
    <n v="162.80000000000001"/>
    <n v="168.4"/>
    <s v="Health"/>
  </r>
  <r>
    <x v="8"/>
    <x v="11"/>
    <s v="Sep-21"/>
    <x v="19"/>
    <n v="161.30000000000001"/>
    <n v="153.30000000000001"/>
    <n v="157.5"/>
    <s v="Housing"/>
  </r>
  <r>
    <x v="8"/>
    <x v="11"/>
    <s v="Sep-21"/>
    <x v="21"/>
    <n v="0"/>
    <n v="162.1"/>
    <n v="162.1"/>
    <s v="Housing"/>
  </r>
  <r>
    <x v="8"/>
    <x v="11"/>
    <s v="Sep-21"/>
    <x v="2"/>
    <n v="202.1"/>
    <n v="207.4"/>
    <n v="204"/>
    <s v="Food &amp; Beverages"/>
  </r>
  <r>
    <x v="8"/>
    <x v="11"/>
    <s v="Sep-21"/>
    <x v="6"/>
    <n v="158"/>
    <n v="159.1"/>
    <n v="158.4"/>
    <s v="Food &amp; Beverages"/>
  </r>
  <r>
    <x v="8"/>
    <x v="11"/>
    <s v="Sep-21"/>
    <x v="23"/>
    <n v="163.80000000000001"/>
    <n v="156"/>
    <n v="160"/>
    <s v="Other goods &amp; services"/>
  </r>
  <r>
    <x v="8"/>
    <x v="11"/>
    <s v="Sep-21"/>
    <x v="18"/>
    <n v="168.3"/>
    <n v="154.80000000000001"/>
    <n v="162.69999999999999"/>
    <s v="Food &amp; Beverages"/>
  </r>
  <r>
    <x v="8"/>
    <x v="11"/>
    <s v="Sep-21"/>
    <x v="7"/>
    <n v="195.5"/>
    <n v="175"/>
    <n v="188"/>
    <s v="Food &amp; Beverages"/>
  </r>
  <r>
    <x v="8"/>
    <x v="11"/>
    <s v="Sep-21"/>
    <x v="22"/>
    <n v="190.5"/>
    <n v="196.5"/>
    <n v="192.1"/>
    <s v="Other goods &amp; services"/>
  </r>
  <r>
    <x v="8"/>
    <x v="11"/>
    <s v="Sep-21"/>
    <x v="24"/>
    <n v="160.19999999999999"/>
    <n v="159.6"/>
    <n v="160"/>
    <s v="Other goods &amp; services"/>
  </r>
  <r>
    <x v="8"/>
    <x v="11"/>
    <s v="Sep-21"/>
    <x v="20"/>
    <n v="172.8"/>
    <n v="175.1"/>
    <n v="173.9"/>
    <s v="Food &amp; Beverages"/>
  </r>
  <r>
    <x v="8"/>
    <x v="11"/>
    <s v="Sep-21"/>
    <x v="12"/>
    <n v="163.9"/>
    <n v="164.5"/>
    <n v="164.1"/>
    <s v="Food &amp; Beverages"/>
  </r>
  <r>
    <x v="8"/>
    <x v="11"/>
    <s v="Sep-21"/>
    <x v="26"/>
    <n v="162.69999999999999"/>
    <n v="153.9"/>
    <n v="157.69999999999999"/>
    <s v="Recreation"/>
  </r>
  <r>
    <x v="8"/>
    <x v="11"/>
    <s v="Sep-21"/>
    <x v="16"/>
    <n v="170.1"/>
    <n v="166.2"/>
    <n v="168.8"/>
    <s v="Food &amp; Beverages"/>
  </r>
  <r>
    <x v="8"/>
    <x v="11"/>
    <s v="Sep-21"/>
    <x v="14"/>
    <n v="119.3"/>
    <n v="120.4"/>
    <n v="119.7"/>
    <s v="Food &amp; Beverages"/>
  </r>
  <r>
    <x v="8"/>
    <x v="11"/>
    <s v="Sep-21"/>
    <x v="25"/>
    <n v="157.80000000000001"/>
    <n v="150.5"/>
    <n v="154"/>
    <s v="Transport"/>
  </r>
  <r>
    <x v="8"/>
    <x v="11"/>
    <s v="Sep-21"/>
    <x v="11"/>
    <n v="151.4"/>
    <n v="183.5"/>
    <n v="162.30000000000001"/>
    <s v="Food &amp; Beverages"/>
  </r>
  <r>
    <x v="9"/>
    <x v="0"/>
    <s v="Apr-22"/>
    <x v="0"/>
    <n v="151.80000000000001"/>
    <n v="155.4"/>
    <n v="152.9"/>
    <s v="Food &amp; Beverages"/>
  </r>
  <r>
    <x v="9"/>
    <x v="0"/>
    <s v="Apr-22"/>
    <x v="1"/>
    <n v="177.5"/>
    <n v="168.4"/>
    <n v="173.9"/>
    <s v="Apparel"/>
  </r>
  <r>
    <x v="9"/>
    <x v="0"/>
    <s v="Apr-22"/>
    <x v="3"/>
    <n v="177.1"/>
    <n v="166.3"/>
    <n v="172.8"/>
    <s v="Apparel"/>
  </r>
  <r>
    <x v="9"/>
    <x v="0"/>
    <s v="Apr-22"/>
    <x v="5"/>
    <n v="170.9"/>
    <n v="164"/>
    <n v="166.9"/>
    <s v="Education"/>
  </r>
  <r>
    <x v="9"/>
    <x v="0"/>
    <s v="Apr-22"/>
    <x v="4"/>
    <n v="164.5"/>
    <n v="164.6"/>
    <n v="164.5"/>
    <s v="Food &amp; Beverages"/>
  </r>
  <r>
    <x v="9"/>
    <x v="0"/>
    <s v="Apr-22"/>
    <x v="8"/>
    <n v="168.6"/>
    <n v="174.5"/>
    <n v="170.8"/>
    <s v="Food &amp; Beverages"/>
  </r>
  <r>
    <x v="9"/>
    <x v="0"/>
    <s v="Apr-22"/>
    <x v="10"/>
    <n v="175.1"/>
    <n v="154.5"/>
    <n v="166.5"/>
    <s v="Apparel"/>
  </r>
  <r>
    <x v="9"/>
    <x v="0"/>
    <s v="Apr-22"/>
    <x v="9"/>
    <n v="169.7"/>
    <n v="175.9"/>
    <n v="172.6"/>
    <s v="Food &amp; Beverages"/>
  </r>
  <r>
    <x v="9"/>
    <x v="0"/>
    <s v="Apr-22"/>
    <x v="13"/>
    <n v="173.3"/>
    <n v="170.5"/>
    <n v="172.2"/>
    <s v="Energy"/>
  </r>
  <r>
    <x v="9"/>
    <x v="0"/>
    <s v="Apr-22"/>
    <x v="15"/>
    <n v="170.8"/>
    <n v="169.2"/>
    <n v="170.1"/>
    <s v="General Index"/>
  </r>
  <r>
    <x v="9"/>
    <x v="0"/>
    <s v="Apr-22"/>
    <x v="17"/>
    <n v="177"/>
    <n v="169"/>
    <n v="174"/>
    <s v="Health"/>
  </r>
  <r>
    <x v="9"/>
    <x v="0"/>
    <s v="Apr-22"/>
    <x v="19"/>
    <n v="167.7"/>
    <n v="159.80000000000001"/>
    <n v="164"/>
    <s v="Housing"/>
  </r>
  <r>
    <x v="9"/>
    <x v="0"/>
    <s v="Apr-22"/>
    <x v="21"/>
    <n v="0"/>
    <n v="167"/>
    <n v="167"/>
    <s v="Housing"/>
  </r>
  <r>
    <x v="9"/>
    <x v="0"/>
    <s v="Apr-22"/>
    <x v="2"/>
    <n v="209.7"/>
    <n v="215.8"/>
    <n v="211.8"/>
    <s v="Food &amp; Beverages"/>
  </r>
  <r>
    <x v="9"/>
    <x v="0"/>
    <s v="Apr-22"/>
    <x v="6"/>
    <n v="163.80000000000001"/>
    <n v="164.2"/>
    <n v="163.9"/>
    <s v="Food &amp; Beverages"/>
  </r>
  <r>
    <x v="9"/>
    <x v="0"/>
    <s v="Apr-22"/>
    <x v="23"/>
    <n v="170.2"/>
    <n v="163.1"/>
    <n v="166.8"/>
    <s v="Other goods &amp; services"/>
  </r>
  <r>
    <x v="9"/>
    <x v="0"/>
    <s v="Apr-22"/>
    <x v="18"/>
    <n v="172.4"/>
    <n v="157.5"/>
    <n v="166.2"/>
    <s v="Food &amp; Beverages"/>
  </r>
  <r>
    <x v="9"/>
    <x v="0"/>
    <s v="Apr-22"/>
    <x v="7"/>
    <n v="207.4"/>
    <n v="186"/>
    <n v="199.5"/>
    <s v="Food &amp; Beverages"/>
  </r>
  <r>
    <x v="9"/>
    <x v="0"/>
    <s v="Apr-22"/>
    <x v="22"/>
    <n v="192.8"/>
    <n v="197.1"/>
    <n v="193.9"/>
    <s v="Other goods &amp; services"/>
  </r>
  <r>
    <x v="9"/>
    <x v="0"/>
    <s v="Apr-22"/>
    <x v="24"/>
    <n v="169"/>
    <n v="168.4"/>
    <n v="168.8"/>
    <s v="Other goods &amp; services"/>
  </r>
  <r>
    <x v="9"/>
    <x v="0"/>
    <s v="Apr-22"/>
    <x v="20"/>
    <n v="178.9"/>
    <n v="183.3"/>
    <n v="180.9"/>
    <s v="Food &amp; Beverages"/>
  </r>
  <r>
    <x v="9"/>
    <x v="0"/>
    <s v="Apr-22"/>
    <x v="12"/>
    <n v="165.1"/>
    <n v="164"/>
    <n v="164.7"/>
    <s v="Food &amp; Beverages"/>
  </r>
  <r>
    <x v="9"/>
    <x v="0"/>
    <s v="Apr-22"/>
    <x v="26"/>
    <n v="167.2"/>
    <n v="162.19999999999999"/>
    <n v="164.4"/>
    <s v="Recreation"/>
  </r>
  <r>
    <x v="9"/>
    <x v="0"/>
    <s v="Apr-22"/>
    <x v="16"/>
    <n v="182.9"/>
    <n v="178"/>
    <n v="181.3"/>
    <s v="Food &amp; Beverages"/>
  </r>
  <r>
    <x v="9"/>
    <x v="0"/>
    <s v="Apr-22"/>
    <x v="14"/>
    <n v="118.2"/>
    <n v="120.5"/>
    <n v="119"/>
    <s v="Food &amp; Beverages"/>
  </r>
  <r>
    <x v="9"/>
    <x v="0"/>
    <s v="Apr-22"/>
    <x v="25"/>
    <n v="166.2"/>
    <n v="159.30000000000001"/>
    <n v="162.6"/>
    <s v="Transport"/>
  </r>
  <r>
    <x v="9"/>
    <x v="0"/>
    <s v="Apr-22"/>
    <x v="11"/>
    <n v="153.6"/>
    <n v="190.7"/>
    <n v="166.2"/>
    <s v="Food &amp; Beverages"/>
  </r>
  <r>
    <x v="9"/>
    <x v="1"/>
    <s v="Aug-22"/>
    <x v="0"/>
    <n v="159.5"/>
    <n v="162.1"/>
    <n v="160.30000000000001"/>
    <s v="Food &amp; Beverages"/>
  </r>
  <r>
    <x v="9"/>
    <x v="1"/>
    <s v="Aug-22"/>
    <x v="1"/>
    <n v="183.2"/>
    <n v="173.7"/>
    <n v="179.5"/>
    <s v="Apparel"/>
  </r>
  <r>
    <x v="9"/>
    <x v="1"/>
    <s v="Aug-22"/>
    <x v="3"/>
    <n v="183"/>
    <n v="171.6"/>
    <n v="178.5"/>
    <s v="Apparel"/>
  </r>
  <r>
    <x v="9"/>
    <x v="1"/>
    <s v="Aug-22"/>
    <x v="5"/>
    <n v="175.7"/>
    <n v="169.9"/>
    <n v="172.3"/>
    <s v="Education"/>
  </r>
  <r>
    <x v="9"/>
    <x v="1"/>
    <s v="Aug-22"/>
    <x v="4"/>
    <n v="168.3"/>
    <n v="170.6"/>
    <n v="169.2"/>
    <s v="Food &amp; Beverages"/>
  </r>
  <r>
    <x v="9"/>
    <x v="1"/>
    <s v="Aug-22"/>
    <x v="8"/>
    <n v="173.9"/>
    <n v="180.4"/>
    <n v="176.3"/>
    <s v="Food &amp; Beverages"/>
  </r>
  <r>
    <x v="9"/>
    <x v="1"/>
    <s v="Aug-22"/>
    <x v="10"/>
    <n v="181.7"/>
    <n v="160"/>
    <n v="172.7"/>
    <s v="Apparel"/>
  </r>
  <r>
    <x v="9"/>
    <x v="1"/>
    <s v="Aug-22"/>
    <x v="9"/>
    <n v="169.2"/>
    <n v="177.1"/>
    <n v="172.9"/>
    <s v="Food &amp; Beverages"/>
  </r>
  <r>
    <x v="9"/>
    <x v="1"/>
    <s v="Aug-22"/>
    <x v="13"/>
    <n v="179.1"/>
    <n v="178.4"/>
    <n v="178.8"/>
    <s v="Energy"/>
  </r>
  <r>
    <x v="9"/>
    <x v="1"/>
    <s v="Aug-22"/>
    <x v="15"/>
    <n v="175.3"/>
    <n v="173.1"/>
    <n v="174.3"/>
    <s v="General Index"/>
  </r>
  <r>
    <x v="9"/>
    <x v="1"/>
    <s v="Aug-22"/>
    <x v="17"/>
    <n v="179.4"/>
    <n v="172.6"/>
    <n v="176.8"/>
    <s v="Health"/>
  </r>
  <r>
    <x v="9"/>
    <x v="1"/>
    <s v="Aug-22"/>
    <x v="19"/>
    <n v="172.3"/>
    <n v="164.2"/>
    <n v="168.5"/>
    <s v="Housing"/>
  </r>
  <r>
    <x v="9"/>
    <x v="1"/>
    <s v="Aug-22"/>
    <x v="21"/>
    <n v="0"/>
    <n v="169"/>
    <n v="169"/>
    <s v="Housing"/>
  </r>
  <r>
    <x v="9"/>
    <x v="1"/>
    <s v="Aug-22"/>
    <x v="2"/>
    <n v="204.1"/>
    <n v="210.9"/>
    <n v="206.5"/>
    <s v="Food &amp; Beverages"/>
  </r>
  <r>
    <x v="9"/>
    <x v="1"/>
    <s v="Aug-22"/>
    <x v="6"/>
    <n v="167.9"/>
    <n v="168.4"/>
    <n v="168.1"/>
    <s v="Food &amp; Beverages"/>
  </r>
  <r>
    <x v="9"/>
    <x v="1"/>
    <s v="Aug-22"/>
    <x v="23"/>
    <n v="172.6"/>
    <n v="165.4"/>
    <n v="169.1"/>
    <s v="Other goods &amp; services"/>
  </r>
  <r>
    <x v="9"/>
    <x v="1"/>
    <s v="Aug-22"/>
    <x v="18"/>
    <n v="174.8"/>
    <n v="160.5"/>
    <n v="168.8"/>
    <s v="Food &amp; Beverages"/>
  </r>
  <r>
    <x v="9"/>
    <x v="1"/>
    <s v="Aug-22"/>
    <x v="7"/>
    <n v="198.1"/>
    <n v="182.5"/>
    <n v="192.4"/>
    <s v="Food &amp; Beverages"/>
  </r>
  <r>
    <x v="9"/>
    <x v="1"/>
    <s v="Aug-22"/>
    <x v="22"/>
    <n v="193.7"/>
    <n v="198.7"/>
    <n v="195"/>
    <s v="Other goods &amp; services"/>
  </r>
  <r>
    <x v="9"/>
    <x v="1"/>
    <s v="Aug-22"/>
    <x v="24"/>
    <n v="171.1"/>
    <n v="171.4"/>
    <n v="171.2"/>
    <s v="Other goods &amp; services"/>
  </r>
  <r>
    <x v="9"/>
    <x v="1"/>
    <s v="Aug-22"/>
    <x v="20"/>
    <n v="184"/>
    <n v="188.9"/>
    <n v="186.3"/>
    <s v="Food &amp; Beverages"/>
  </r>
  <r>
    <x v="9"/>
    <x v="1"/>
    <s v="Aug-22"/>
    <x v="12"/>
    <n v="167.1"/>
    <n v="167.3"/>
    <n v="167.2"/>
    <s v="Food &amp; Beverages"/>
  </r>
  <r>
    <x v="9"/>
    <x v="1"/>
    <s v="Aug-22"/>
    <x v="26"/>
    <n v="169.3"/>
    <n v="165.1"/>
    <n v="166.9"/>
    <s v="Recreation"/>
  </r>
  <r>
    <x v="9"/>
    <x v="1"/>
    <s v="Aug-22"/>
    <x v="16"/>
    <n v="195.6"/>
    <n v="189.7"/>
    <n v="193.6"/>
    <s v="Food &amp; Beverages"/>
  </r>
  <r>
    <x v="9"/>
    <x v="1"/>
    <s v="Aug-22"/>
    <x v="14"/>
    <n v="120.2"/>
    <n v="122.2"/>
    <n v="120.9"/>
    <s v="Food &amp; Beverages"/>
  </r>
  <r>
    <x v="9"/>
    <x v="1"/>
    <s v="Aug-22"/>
    <x v="25"/>
    <n v="166.6"/>
    <n v="157.69999999999999"/>
    <n v="161.9"/>
    <s v="Transport"/>
  </r>
  <r>
    <x v="9"/>
    <x v="1"/>
    <s v="Aug-22"/>
    <x v="11"/>
    <n v="173.1"/>
    <n v="213.1"/>
    <n v="186.7"/>
    <s v="Food &amp; Beverages"/>
  </r>
  <r>
    <x v="9"/>
    <x v="2"/>
    <s v="Dec-22"/>
    <x v="0"/>
    <n v="168.8"/>
    <n v="170.2"/>
    <n v="169.2"/>
    <s v="Food &amp; Beverages"/>
  </r>
  <r>
    <x v="9"/>
    <x v="2"/>
    <s v="Dec-22"/>
    <x v="1"/>
    <n v="188.1"/>
    <n v="177.7"/>
    <n v="184"/>
    <s v="Apparel"/>
  </r>
  <r>
    <x v="9"/>
    <x v="2"/>
    <s v="Dec-22"/>
    <x v="3"/>
    <n v="187.8"/>
    <n v="175.7"/>
    <n v="183"/>
    <s v="Apparel"/>
  </r>
  <r>
    <x v="9"/>
    <x v="2"/>
    <s v="Dec-22"/>
    <x v="5"/>
    <n v="177.3"/>
    <n v="171.8"/>
    <n v="174.1"/>
    <s v="Education"/>
  </r>
  <r>
    <x v="9"/>
    <x v="2"/>
    <s v="Dec-22"/>
    <x v="4"/>
    <n v="189.1"/>
    <n v="191.9"/>
    <n v="190.2"/>
    <s v="Food &amp; Beverages"/>
  </r>
  <r>
    <x v="9"/>
    <x v="2"/>
    <s v="Dec-22"/>
    <x v="8"/>
    <n v="174.4"/>
    <n v="178.6"/>
    <n v="175.9"/>
    <s v="Food &amp; Beverages"/>
  </r>
  <r>
    <x v="9"/>
    <x v="2"/>
    <s v="Dec-22"/>
    <x v="10"/>
    <n v="185.9"/>
    <n v="164.5"/>
    <n v="177"/>
    <s v="Apparel"/>
  </r>
  <r>
    <x v="9"/>
    <x v="2"/>
    <s v="Dec-22"/>
    <x v="9"/>
    <n v="156.69999999999999"/>
    <n v="159.5"/>
    <n v="158"/>
    <s v="Food &amp; Beverages"/>
  </r>
  <r>
    <x v="9"/>
    <x v="2"/>
    <s v="Dec-22"/>
    <x v="13"/>
    <n v="182.8"/>
    <n v="180.6"/>
    <n v="182"/>
    <s v="Energy"/>
  </r>
  <r>
    <x v="9"/>
    <x v="2"/>
    <s v="Dec-22"/>
    <x v="15"/>
    <n v="177.1"/>
    <n v="174.1"/>
    <n v="175.7"/>
    <s v="General Index"/>
  </r>
  <r>
    <x v="9"/>
    <x v="2"/>
    <s v="Dec-22"/>
    <x v="17"/>
    <n v="183.5"/>
    <n v="177.2"/>
    <n v="181.1"/>
    <s v="Health"/>
  </r>
  <r>
    <x v="9"/>
    <x v="2"/>
    <s v="Dec-22"/>
    <x v="19"/>
    <n v="176.4"/>
    <n v="167.3"/>
    <n v="172.1"/>
    <s v="Housing"/>
  </r>
  <r>
    <x v="9"/>
    <x v="2"/>
    <s v="Dec-22"/>
    <x v="21"/>
    <n v="0"/>
    <n v="170.7"/>
    <n v="170.7"/>
    <s v="Housing"/>
  </r>
  <r>
    <x v="9"/>
    <x v="2"/>
    <s v="Dec-22"/>
    <x v="2"/>
    <n v="206.9"/>
    <n v="212.9"/>
    <n v="209"/>
    <s v="Food &amp; Beverages"/>
  </r>
  <r>
    <x v="9"/>
    <x v="2"/>
    <s v="Dec-22"/>
    <x v="6"/>
    <n v="173.4"/>
    <n v="173.9"/>
    <n v="173.6"/>
    <s v="Food &amp; Beverages"/>
  </r>
  <r>
    <x v="9"/>
    <x v="2"/>
    <s v="Dec-22"/>
    <x v="23"/>
    <n v="175.5"/>
    <n v="168.2"/>
    <n v="172"/>
    <s v="Other goods &amp; services"/>
  </r>
  <r>
    <x v="9"/>
    <x v="2"/>
    <s v="Dec-22"/>
    <x v="18"/>
    <n v="176.8"/>
    <n v="162.80000000000001"/>
    <n v="171"/>
    <s v="Food &amp; Beverages"/>
  </r>
  <r>
    <x v="9"/>
    <x v="2"/>
    <s v="Dec-22"/>
    <x v="7"/>
    <n v="193.9"/>
    <n v="179.1"/>
    <n v="188.5"/>
    <s v="Food &amp; Beverages"/>
  </r>
  <r>
    <x v="9"/>
    <x v="2"/>
    <s v="Dec-22"/>
    <x v="22"/>
    <n v="195.9"/>
    <n v="201.1"/>
    <n v="197.3"/>
    <s v="Other goods &amp; services"/>
  </r>
  <r>
    <x v="9"/>
    <x v="2"/>
    <s v="Dec-22"/>
    <x v="24"/>
    <n v="175.7"/>
    <n v="176"/>
    <n v="175.8"/>
    <s v="Other goods &amp; services"/>
  </r>
  <r>
    <x v="9"/>
    <x v="2"/>
    <s v="Dec-22"/>
    <x v="20"/>
    <n v="187.7"/>
    <n v="193.3"/>
    <n v="190.3"/>
    <s v="Food &amp; Beverages"/>
  </r>
  <r>
    <x v="9"/>
    <x v="2"/>
    <s v="Dec-22"/>
    <x v="12"/>
    <n v="170.5"/>
    <n v="171.3"/>
    <n v="170.8"/>
    <s v="Food &amp; Beverages"/>
  </r>
  <r>
    <x v="9"/>
    <x v="2"/>
    <s v="Dec-22"/>
    <x v="26"/>
    <n v="171.2"/>
    <n v="167.1"/>
    <n v="168.9"/>
    <s v="Recreation"/>
  </r>
  <r>
    <x v="9"/>
    <x v="2"/>
    <s v="Dec-22"/>
    <x v="16"/>
    <n v="207.5"/>
    <n v="200.5"/>
    <n v="205.2"/>
    <s v="Food &amp; Beverages"/>
  </r>
  <r>
    <x v="9"/>
    <x v="2"/>
    <s v="Dec-22"/>
    <x v="14"/>
    <n v="121.2"/>
    <n v="123.1"/>
    <n v="121.8"/>
    <s v="Food &amp; Beverages"/>
  </r>
  <r>
    <x v="9"/>
    <x v="2"/>
    <s v="Dec-22"/>
    <x v="25"/>
    <n v="167.8"/>
    <n v="159.4"/>
    <n v="163.4"/>
    <s v="Transport"/>
  </r>
  <r>
    <x v="9"/>
    <x v="2"/>
    <s v="Dec-22"/>
    <x v="11"/>
    <n v="150.19999999999999"/>
    <n v="178.7"/>
    <n v="159.9"/>
    <s v="Food &amp; Beverages"/>
  </r>
  <r>
    <x v="9"/>
    <x v="3"/>
    <s v="Feb-22"/>
    <x v="0"/>
    <n v="148.80000000000001"/>
    <n v="152.5"/>
    <n v="150"/>
    <s v="Food &amp; Beverages"/>
  </r>
  <r>
    <x v="9"/>
    <x v="3"/>
    <s v="Feb-22"/>
    <x v="1"/>
    <n v="174.1"/>
    <n v="165.7"/>
    <n v="170.8"/>
    <s v="Apparel"/>
  </r>
  <r>
    <x v="9"/>
    <x v="3"/>
    <s v="Feb-22"/>
    <x v="3"/>
    <n v="173.7"/>
    <n v="163.4"/>
    <n v="169.6"/>
    <s v="Apparel"/>
  </r>
  <r>
    <x v="9"/>
    <x v="3"/>
    <s v="Feb-22"/>
    <x v="5"/>
    <n v="170.3"/>
    <n v="162"/>
    <n v="165.4"/>
    <s v="Education"/>
  </r>
  <r>
    <x v="9"/>
    <x v="3"/>
    <s v="Feb-22"/>
    <x v="4"/>
    <n v="175.5"/>
    <n v="176.4"/>
    <n v="175.8"/>
    <s v="Food &amp; Beverages"/>
  </r>
  <r>
    <x v="9"/>
    <x v="3"/>
    <s v="Feb-22"/>
    <x v="8"/>
    <n v="163.9"/>
    <n v="170.2"/>
    <n v="166.2"/>
    <s v="Food &amp; Beverages"/>
  </r>
  <r>
    <x v="9"/>
    <x v="3"/>
    <s v="Feb-22"/>
    <x v="10"/>
    <n v="171"/>
    <n v="150.4"/>
    <n v="162.4"/>
    <s v="Apparel"/>
  </r>
  <r>
    <x v="9"/>
    <x v="3"/>
    <s v="Feb-22"/>
    <x v="9"/>
    <n v="151.4"/>
    <n v="156.4"/>
    <n v="153.69999999999999"/>
    <s v="Food &amp; Beverages"/>
  </r>
  <r>
    <x v="9"/>
    <x v="3"/>
    <s v="Feb-22"/>
    <x v="13"/>
    <n v="167.4"/>
    <n v="163"/>
    <n v="165.7"/>
    <s v="Energy"/>
  </r>
  <r>
    <x v="9"/>
    <x v="3"/>
    <s v="Feb-22"/>
    <x v="15"/>
    <n v="166.7"/>
    <n v="165.5"/>
    <n v="166.1"/>
    <s v="General Index"/>
  </r>
  <r>
    <x v="9"/>
    <x v="3"/>
    <s v="Feb-22"/>
    <x v="17"/>
    <n v="175.3"/>
    <n v="167.2"/>
    <n v="172.2"/>
    <s v="Health"/>
  </r>
  <r>
    <x v="9"/>
    <x v="3"/>
    <s v="Feb-22"/>
    <x v="19"/>
    <n v="165.7"/>
    <n v="157.4"/>
    <n v="161.80000000000001"/>
    <s v="Housing"/>
  </r>
  <r>
    <x v="9"/>
    <x v="3"/>
    <s v="Feb-22"/>
    <x v="21"/>
    <n v="0"/>
    <n v="165.5"/>
    <n v="165.5"/>
    <s v="Housing"/>
  </r>
  <r>
    <x v="9"/>
    <x v="3"/>
    <s v="Feb-22"/>
    <x v="2"/>
    <n v="198.1"/>
    <n v="205.2"/>
    <n v="200.6"/>
    <s v="Food &amp; Beverages"/>
  </r>
  <r>
    <x v="9"/>
    <x v="3"/>
    <s v="Feb-22"/>
    <x v="6"/>
    <n v="160.69999999999999"/>
    <n v="160.6"/>
    <n v="160.69999999999999"/>
    <s v="Food &amp; Beverages"/>
  </r>
  <r>
    <x v="9"/>
    <x v="3"/>
    <s v="Feb-22"/>
    <x v="23"/>
    <n v="167.3"/>
    <n v="159.4"/>
    <n v="163.5"/>
    <s v="Other goods &amp; services"/>
  </r>
  <r>
    <x v="9"/>
    <x v="3"/>
    <s v="Feb-22"/>
    <x v="18"/>
    <n v="170.5"/>
    <n v="156.69999999999999"/>
    <n v="164.7"/>
    <s v="Food &amp; Beverages"/>
  </r>
  <r>
    <x v="9"/>
    <x v="3"/>
    <s v="Feb-22"/>
    <x v="7"/>
    <n v="192.6"/>
    <n v="171.5"/>
    <n v="184.9"/>
    <s v="Food &amp; Beverages"/>
  </r>
  <r>
    <x v="9"/>
    <x v="3"/>
    <s v="Feb-22"/>
    <x v="22"/>
    <n v="191.5"/>
    <n v="196.5"/>
    <n v="192.8"/>
    <s v="Other goods &amp; services"/>
  </r>
  <r>
    <x v="9"/>
    <x v="3"/>
    <s v="Feb-22"/>
    <x v="24"/>
    <n v="164.5"/>
    <n v="164.2"/>
    <n v="164.4"/>
    <s v="Other goods &amp; services"/>
  </r>
  <r>
    <x v="9"/>
    <x v="3"/>
    <s v="Feb-22"/>
    <x v="20"/>
    <n v="176.3"/>
    <n v="180"/>
    <n v="178"/>
    <s v="Food &amp; Beverages"/>
  </r>
  <r>
    <x v="9"/>
    <x v="3"/>
    <s v="Feb-22"/>
    <x v="12"/>
    <n v="163.9"/>
    <n v="163.19999999999999"/>
    <n v="163.69999999999999"/>
    <s v="Food &amp; Beverages"/>
  </r>
  <r>
    <x v="9"/>
    <x v="3"/>
    <s v="Feb-22"/>
    <x v="26"/>
    <n v="165.5"/>
    <n v="159.5"/>
    <n v="162.1"/>
    <s v="Recreation"/>
  </r>
  <r>
    <x v="9"/>
    <x v="3"/>
    <s v="Feb-22"/>
    <x v="16"/>
    <n v="175.4"/>
    <n v="172.2"/>
    <n v="174.3"/>
    <s v="Food &amp; Beverages"/>
  </r>
  <r>
    <x v="9"/>
    <x v="3"/>
    <s v="Feb-22"/>
    <x v="14"/>
    <n v="118.1"/>
    <n v="120.6"/>
    <n v="118.9"/>
    <s v="Food &amp; Beverages"/>
  </r>
  <r>
    <x v="9"/>
    <x v="3"/>
    <s v="Feb-22"/>
    <x v="25"/>
    <n v="161.19999999999999"/>
    <n v="153.1"/>
    <n v="156.9"/>
    <s v="Transport"/>
  </r>
  <r>
    <x v="9"/>
    <x v="3"/>
    <s v="Feb-22"/>
    <x v="11"/>
    <n v="155.19999999999999"/>
    <n v="198"/>
    <n v="169.7"/>
    <s v="Food &amp; Beverages"/>
  </r>
  <r>
    <x v="9"/>
    <x v="4"/>
    <s v="Jan-22"/>
    <x v="0"/>
    <n v="148.30000000000001"/>
    <n v="152.19999999999999"/>
    <n v="149.5"/>
    <s v="Food &amp; Beverages"/>
  </r>
  <r>
    <x v="9"/>
    <x v="4"/>
    <s v="Jan-22"/>
    <x v="1"/>
    <n v="173.2"/>
    <n v="164.7"/>
    <n v="169.9"/>
    <s v="Apparel"/>
  </r>
  <r>
    <x v="9"/>
    <x v="4"/>
    <s v="Jan-22"/>
    <x v="3"/>
    <n v="172.7"/>
    <n v="162.19999999999999"/>
    <n v="168.5"/>
    <s v="Apparel"/>
  </r>
  <r>
    <x v="9"/>
    <x v="4"/>
    <s v="Jan-22"/>
    <x v="5"/>
    <n v="169.9"/>
    <n v="161"/>
    <n v="164.7"/>
    <s v="Education"/>
  </r>
  <r>
    <x v="9"/>
    <x v="4"/>
    <s v="Jan-22"/>
    <x v="4"/>
    <n v="178"/>
    <n v="180.1"/>
    <n v="178.8"/>
    <s v="Food &amp; Beverages"/>
  </r>
  <r>
    <x v="9"/>
    <x v="4"/>
    <s v="Jan-22"/>
    <x v="8"/>
    <n v="164.1"/>
    <n v="170.3"/>
    <n v="166.4"/>
    <s v="Food &amp; Beverages"/>
  </r>
  <r>
    <x v="9"/>
    <x v="4"/>
    <s v="Jan-22"/>
    <x v="10"/>
    <n v="169.3"/>
    <n v="148.5"/>
    <n v="160.69999999999999"/>
    <s v="Apparel"/>
  </r>
  <r>
    <x v="9"/>
    <x v="4"/>
    <s v="Jan-22"/>
    <x v="9"/>
    <n v="151.19999999999999"/>
    <n v="156.5"/>
    <n v="153.69999999999999"/>
    <s v="Food &amp; Beverages"/>
  </r>
  <r>
    <x v="9"/>
    <x v="4"/>
    <s v="Jan-22"/>
    <x v="13"/>
    <n v="165.8"/>
    <n v="161.6"/>
    <n v="164.2"/>
    <s v="Energy"/>
  </r>
  <r>
    <x v="9"/>
    <x v="4"/>
    <s v="Jan-22"/>
    <x v="15"/>
    <n v="166.4"/>
    <n v="165"/>
    <n v="165.7"/>
    <s v="General Index"/>
  </r>
  <r>
    <x v="9"/>
    <x v="4"/>
    <s v="Jan-22"/>
    <x v="17"/>
    <n v="174.7"/>
    <n v="166.1"/>
    <n v="171.4"/>
    <s v="Health"/>
  </r>
  <r>
    <x v="9"/>
    <x v="4"/>
    <s v="Jan-22"/>
    <x v="19"/>
    <n v="164.9"/>
    <n v="156.80000000000001"/>
    <n v="161.1"/>
    <s v="Housing"/>
  </r>
  <r>
    <x v="9"/>
    <x v="4"/>
    <s v="Jan-22"/>
    <x v="21"/>
    <n v="0"/>
    <n v="164.5"/>
    <n v="164.5"/>
    <s v="Housing"/>
  </r>
  <r>
    <x v="9"/>
    <x v="4"/>
    <s v="Jan-22"/>
    <x v="2"/>
    <n v="196.9"/>
    <n v="202.1"/>
    <n v="198.7"/>
    <s v="Food &amp; Beverages"/>
  </r>
  <r>
    <x v="9"/>
    <x v="4"/>
    <s v="Jan-22"/>
    <x v="6"/>
    <n v="160.5"/>
    <n v="160.4"/>
    <n v="160.5"/>
    <s v="Food &amp; Beverages"/>
  </r>
  <r>
    <x v="9"/>
    <x v="4"/>
    <s v="Jan-22"/>
    <x v="23"/>
    <n v="166.6"/>
    <n v="158.6"/>
    <n v="162.69999999999999"/>
    <s v="Other goods &amp; services"/>
  </r>
  <r>
    <x v="9"/>
    <x v="4"/>
    <s v="Jan-22"/>
    <x v="18"/>
    <n v="169.8"/>
    <n v="156.6"/>
    <n v="164.3"/>
    <s v="Food &amp; Beverages"/>
  </r>
  <r>
    <x v="9"/>
    <x v="4"/>
    <s v="Jan-22"/>
    <x v="7"/>
    <n v="192.6"/>
    <n v="171"/>
    <n v="184.7"/>
    <s v="Food &amp; Beverages"/>
  </r>
  <r>
    <x v="9"/>
    <x v="4"/>
    <s v="Jan-22"/>
    <x v="22"/>
    <n v="190.7"/>
    <n v="196.4"/>
    <n v="192.2"/>
    <s v="Other goods &amp; services"/>
  </r>
  <r>
    <x v="9"/>
    <x v="4"/>
    <s v="Jan-22"/>
    <x v="24"/>
    <n v="163.19999999999999"/>
    <n v="162.80000000000001"/>
    <n v="163"/>
    <s v="Other goods &amp; services"/>
  </r>
  <r>
    <x v="9"/>
    <x v="4"/>
    <s v="Jan-22"/>
    <x v="20"/>
    <n v="175.8"/>
    <n v="179"/>
    <n v="177.3"/>
    <s v="Food &amp; Beverages"/>
  </r>
  <r>
    <x v="9"/>
    <x v="4"/>
    <s v="Jan-22"/>
    <x v="12"/>
    <n v="164"/>
    <n v="163.80000000000001"/>
    <n v="163.9"/>
    <s v="Food &amp; Beverages"/>
  </r>
  <r>
    <x v="9"/>
    <x v="4"/>
    <s v="Jan-22"/>
    <x v="26"/>
    <n v="164.9"/>
    <n v="158.4"/>
    <n v="161.19999999999999"/>
    <s v="Recreation"/>
  </r>
  <r>
    <x v="9"/>
    <x v="4"/>
    <s v="Jan-22"/>
    <x v="16"/>
    <n v="173.3"/>
    <n v="169.8"/>
    <n v="172.1"/>
    <s v="Food &amp; Beverages"/>
  </r>
  <r>
    <x v="9"/>
    <x v="4"/>
    <s v="Jan-22"/>
    <x v="14"/>
    <n v="119.3"/>
    <n v="121.3"/>
    <n v="120"/>
    <s v="Food &amp; Beverages"/>
  </r>
  <r>
    <x v="9"/>
    <x v="4"/>
    <s v="Jan-22"/>
    <x v="25"/>
    <n v="160.80000000000001"/>
    <n v="152.69999999999999"/>
    <n v="156.5"/>
    <s v="Transport"/>
  </r>
  <r>
    <x v="9"/>
    <x v="4"/>
    <s v="Jan-22"/>
    <x v="11"/>
    <n v="159.19999999999999"/>
    <n v="203.6"/>
    <n v="174.3"/>
    <s v="Food &amp; Beverages"/>
  </r>
  <r>
    <x v="9"/>
    <x v="5"/>
    <s v="Jul-22"/>
    <x v="0"/>
    <n v="155.19999999999999"/>
    <n v="159.30000000000001"/>
    <n v="156.5"/>
    <s v="Food &amp; Beverages"/>
  </r>
  <r>
    <x v="9"/>
    <x v="5"/>
    <s v="Jul-22"/>
    <x v="1"/>
    <n v="182"/>
    <n v="172.7"/>
    <n v="178.3"/>
    <s v="Apparel"/>
  </r>
  <r>
    <x v="9"/>
    <x v="5"/>
    <s v="Jul-22"/>
    <x v="3"/>
    <n v="181.7"/>
    <n v="170.6"/>
    <n v="177.3"/>
    <s v="Apparel"/>
  </r>
  <r>
    <x v="9"/>
    <x v="5"/>
    <s v="Jul-22"/>
    <x v="5"/>
    <n v="174.7"/>
    <n v="169.1"/>
    <n v="171.4"/>
    <s v="Education"/>
  </r>
  <r>
    <x v="9"/>
    <x v="5"/>
    <s v="Jul-22"/>
    <x v="4"/>
    <n v="174.3"/>
    <n v="176.6"/>
    <n v="175.2"/>
    <s v="Food &amp; Beverages"/>
  </r>
  <r>
    <x v="9"/>
    <x v="5"/>
    <s v="Jul-22"/>
    <x v="8"/>
    <n v="172.5"/>
    <n v="179.4"/>
    <n v="175"/>
    <s v="Food &amp; Beverages"/>
  </r>
  <r>
    <x v="9"/>
    <x v="5"/>
    <s v="Jul-22"/>
    <x v="10"/>
    <n v="180.3"/>
    <n v="158.69999999999999"/>
    <n v="171.3"/>
    <s v="Apparel"/>
  </r>
  <r>
    <x v="9"/>
    <x v="5"/>
    <s v="Jul-22"/>
    <x v="9"/>
    <n v="169.6"/>
    <n v="179.5"/>
    <n v="174.2"/>
    <s v="Food &amp; Beverages"/>
  </r>
  <r>
    <x v="9"/>
    <x v="5"/>
    <s v="Jul-22"/>
    <x v="13"/>
    <n v="179.6"/>
    <n v="179.5"/>
    <n v="179.6"/>
    <s v="Energy"/>
  </r>
  <r>
    <x v="9"/>
    <x v="5"/>
    <s v="Jul-22"/>
    <x v="15"/>
    <n v="174.3"/>
    <n v="172.3"/>
    <n v="173.4"/>
    <s v="General Index"/>
  </r>
  <r>
    <x v="9"/>
    <x v="5"/>
    <s v="Jul-22"/>
    <x v="17"/>
    <n v="178.8"/>
    <n v="171.7"/>
    <n v="176.1"/>
    <s v="Health"/>
  </r>
  <r>
    <x v="9"/>
    <x v="5"/>
    <s v="Jul-22"/>
    <x v="19"/>
    <n v="171.3"/>
    <n v="163.1"/>
    <n v="167.4"/>
    <s v="Housing"/>
  </r>
  <r>
    <x v="9"/>
    <x v="5"/>
    <s v="Jul-22"/>
    <x v="21"/>
    <n v="0"/>
    <n v="167.8"/>
    <n v="167.8"/>
    <s v="Housing"/>
  </r>
  <r>
    <x v="9"/>
    <x v="5"/>
    <s v="Jul-22"/>
    <x v="2"/>
    <n v="210.8"/>
    <n v="217.1"/>
    <n v="213"/>
    <s v="Food &amp; Beverages"/>
  </r>
  <r>
    <x v="9"/>
    <x v="5"/>
    <s v="Jul-22"/>
    <x v="6"/>
    <n v="166.3"/>
    <n v="167.1"/>
    <n v="166.6"/>
    <s v="Food &amp; Beverages"/>
  </r>
  <r>
    <x v="9"/>
    <x v="5"/>
    <s v="Jul-22"/>
    <x v="23"/>
    <n v="171.8"/>
    <n v="164.7"/>
    <n v="168.4"/>
    <s v="Other goods &amp; services"/>
  </r>
  <r>
    <x v="9"/>
    <x v="5"/>
    <s v="Jul-22"/>
    <x v="18"/>
    <n v="174.5"/>
    <n v="159.80000000000001"/>
    <n v="168.4"/>
    <s v="Food &amp; Beverages"/>
  </r>
  <r>
    <x v="9"/>
    <x v="5"/>
    <s v="Jul-22"/>
    <x v="7"/>
    <n v="202.2"/>
    <n v="184.8"/>
    <n v="195.8"/>
    <s v="Food &amp; Beverages"/>
  </r>
  <r>
    <x v="9"/>
    <x v="5"/>
    <s v="Jul-22"/>
    <x v="22"/>
    <n v="193.2"/>
    <n v="198.6"/>
    <n v="194.6"/>
    <s v="Other goods &amp; services"/>
  </r>
  <r>
    <x v="9"/>
    <x v="5"/>
    <s v="Jul-22"/>
    <x v="24"/>
    <n v="169.7"/>
    <n v="169.8"/>
    <n v="169.7"/>
    <s v="Other goods &amp; services"/>
  </r>
  <r>
    <x v="9"/>
    <x v="5"/>
    <s v="Jul-22"/>
    <x v="20"/>
    <n v="183.1"/>
    <n v="187.7"/>
    <n v="185.2"/>
    <s v="Food &amp; Beverages"/>
  </r>
  <r>
    <x v="9"/>
    <x v="5"/>
    <s v="Jul-22"/>
    <x v="12"/>
    <n v="164.4"/>
    <n v="164"/>
    <n v="164.3"/>
    <s v="Food &amp; Beverages"/>
  </r>
  <r>
    <x v="9"/>
    <x v="5"/>
    <s v="Jul-22"/>
    <x v="26"/>
    <n v="168.6"/>
    <n v="164.6"/>
    <n v="166.3"/>
    <s v="Recreation"/>
  </r>
  <r>
    <x v="9"/>
    <x v="5"/>
    <s v="Jul-22"/>
    <x v="16"/>
    <n v="191.8"/>
    <n v="186.3"/>
    <n v="190"/>
    <s v="Food &amp; Beverages"/>
  </r>
  <r>
    <x v="9"/>
    <x v="5"/>
    <s v="Jul-22"/>
    <x v="14"/>
    <n v="119.2"/>
    <n v="121.5"/>
    <n v="120"/>
    <s v="Food &amp; Beverages"/>
  </r>
  <r>
    <x v="9"/>
    <x v="5"/>
    <s v="Jul-22"/>
    <x v="25"/>
    <n v="166.3"/>
    <n v="157.4"/>
    <n v="161.6"/>
    <s v="Transport"/>
  </r>
  <r>
    <x v="9"/>
    <x v="5"/>
    <s v="Jul-22"/>
    <x v="11"/>
    <n v="168.6"/>
    <n v="208.5"/>
    <n v="182.1"/>
    <s v="Food &amp; Beverages"/>
  </r>
  <r>
    <x v="9"/>
    <x v="6"/>
    <s v="Jun-22"/>
    <x v="0"/>
    <n v="153.80000000000001"/>
    <n v="157.5"/>
    <n v="155"/>
    <s v="Food &amp; Beverages"/>
  </r>
  <r>
    <x v="9"/>
    <x v="6"/>
    <s v="Jun-22"/>
    <x v="1"/>
    <n v="180.7"/>
    <n v="171.6"/>
    <n v="177.1"/>
    <s v="Apparel"/>
  </r>
  <r>
    <x v="9"/>
    <x v="6"/>
    <s v="Jun-22"/>
    <x v="3"/>
    <n v="180.4"/>
    <n v="169.4"/>
    <n v="176"/>
    <s v="Apparel"/>
  </r>
  <r>
    <x v="9"/>
    <x v="6"/>
    <s v="Jun-22"/>
    <x v="5"/>
    <n v="172.6"/>
    <n v="166.5"/>
    <n v="169"/>
    <s v="Education"/>
  </r>
  <r>
    <x v="9"/>
    <x v="6"/>
    <s v="Jun-22"/>
    <x v="4"/>
    <n v="169.6"/>
    <n v="172.8"/>
    <n v="170.8"/>
    <s v="Food &amp; Beverages"/>
  </r>
  <r>
    <x v="9"/>
    <x v="6"/>
    <s v="Jun-22"/>
    <x v="8"/>
    <n v="172.4"/>
    <n v="179.3"/>
    <n v="174.9"/>
    <s v="Food &amp; Beverages"/>
  </r>
  <r>
    <x v="9"/>
    <x v="6"/>
    <s v="Jun-22"/>
    <x v="10"/>
    <n v="178.7"/>
    <n v="157.4"/>
    <n v="169.9"/>
    <s v="Apparel"/>
  </r>
  <r>
    <x v="9"/>
    <x v="6"/>
    <s v="Jun-22"/>
    <x v="9"/>
    <n v="165.8"/>
    <n v="174.1"/>
    <n v="169.7"/>
    <s v="Food &amp; Beverages"/>
  </r>
  <r>
    <x v="9"/>
    <x v="6"/>
    <s v="Jun-22"/>
    <x v="13"/>
    <n v="176.7"/>
    <n v="174.9"/>
    <n v="176"/>
    <s v="Energy"/>
  </r>
  <r>
    <x v="9"/>
    <x v="6"/>
    <s v="Jun-22"/>
    <x v="15"/>
    <n v="173.6"/>
    <n v="171.4"/>
    <n v="172.6"/>
    <s v="General Index"/>
  </r>
  <r>
    <x v="9"/>
    <x v="6"/>
    <s v="Jun-22"/>
    <x v="17"/>
    <n v="178.2"/>
    <n v="170.9"/>
    <n v="175.4"/>
    <s v="Health"/>
  </r>
  <r>
    <x v="9"/>
    <x v="6"/>
    <s v="Jun-22"/>
    <x v="19"/>
    <n v="170.3"/>
    <n v="162.1"/>
    <n v="166.4"/>
    <s v="Housing"/>
  </r>
  <r>
    <x v="9"/>
    <x v="6"/>
    <s v="Jun-22"/>
    <x v="21"/>
    <n v="0"/>
    <n v="166.8"/>
    <n v="166.8"/>
    <s v="Housing"/>
  </r>
  <r>
    <x v="9"/>
    <x v="6"/>
    <s v="Jun-22"/>
    <x v="2"/>
    <n v="217.2"/>
    <n v="223.4"/>
    <n v="219.4"/>
    <s v="Food &amp; Beverages"/>
  </r>
  <r>
    <x v="9"/>
    <x v="6"/>
    <s v="Jun-22"/>
    <x v="6"/>
    <n v="165.4"/>
    <n v="166.4"/>
    <n v="165.8"/>
    <s v="Food &amp; Beverages"/>
  </r>
  <r>
    <x v="9"/>
    <x v="6"/>
    <s v="Jun-22"/>
    <x v="23"/>
    <n v="171"/>
    <n v="163.80000000000001"/>
    <n v="167.5"/>
    <s v="Other goods &amp; services"/>
  </r>
  <r>
    <x v="9"/>
    <x v="6"/>
    <s v="Jun-22"/>
    <x v="18"/>
    <n v="174.2"/>
    <n v="159.1"/>
    <n v="167.9"/>
    <s v="Food &amp; Beverages"/>
  </r>
  <r>
    <x v="9"/>
    <x v="6"/>
    <s v="Jun-22"/>
    <x v="7"/>
    <n v="208.1"/>
    <n v="188.6"/>
    <n v="200.9"/>
    <s v="Food &amp; Beverages"/>
  </r>
  <r>
    <x v="9"/>
    <x v="6"/>
    <s v="Jun-22"/>
    <x v="22"/>
    <n v="192.9"/>
    <n v="198.3"/>
    <n v="194.3"/>
    <s v="Other goods &amp; services"/>
  </r>
  <r>
    <x v="9"/>
    <x v="6"/>
    <s v="Jun-22"/>
    <x v="24"/>
    <n v="169.5"/>
    <n v="169.2"/>
    <n v="169.4"/>
    <s v="Other goods &amp; services"/>
  </r>
  <r>
    <x v="9"/>
    <x v="6"/>
    <s v="Jun-22"/>
    <x v="20"/>
    <n v="181.9"/>
    <n v="186.3"/>
    <n v="183.9"/>
    <s v="Food &amp; Beverages"/>
  </r>
  <r>
    <x v="9"/>
    <x v="6"/>
    <s v="Jun-22"/>
    <x v="12"/>
    <n v="164.6"/>
    <n v="163.6"/>
    <n v="164.3"/>
    <s v="Food &amp; Beverages"/>
  </r>
  <r>
    <x v="9"/>
    <x v="6"/>
    <s v="Jun-22"/>
    <x v="26"/>
    <n v="168"/>
    <n v="164.1"/>
    <n v="165.8"/>
    <s v="Recreation"/>
  </r>
  <r>
    <x v="9"/>
    <x v="6"/>
    <s v="Jun-22"/>
    <x v="16"/>
    <n v="188.9"/>
    <n v="183.5"/>
    <n v="187.1"/>
    <s v="Food &amp; Beverages"/>
  </r>
  <r>
    <x v="9"/>
    <x v="6"/>
    <s v="Jun-22"/>
    <x v="14"/>
    <n v="119.1"/>
    <n v="121.4"/>
    <n v="119.9"/>
    <s v="Food &amp; Beverages"/>
  </r>
  <r>
    <x v="9"/>
    <x v="6"/>
    <s v="Jun-22"/>
    <x v="25"/>
    <n v="165.5"/>
    <n v="157.19999999999999"/>
    <n v="161.1"/>
    <s v="Transport"/>
  </r>
  <r>
    <x v="9"/>
    <x v="6"/>
    <s v="Jun-22"/>
    <x v="11"/>
    <n v="167.3"/>
    <n v="211.5"/>
    <n v="182.3"/>
    <s v="Food &amp; Beverages"/>
  </r>
  <r>
    <x v="9"/>
    <x v="7"/>
    <s v="Mar-22"/>
    <x v="0"/>
    <n v="150.19999999999999"/>
    <n v="153.69999999999999"/>
    <n v="151.30000000000001"/>
    <s v="Food &amp; Beverages"/>
  </r>
  <r>
    <x v="9"/>
    <x v="7"/>
    <s v="Mar-22"/>
    <x v="1"/>
    <n v="175.4"/>
    <n v="167.1"/>
    <n v="172.1"/>
    <s v="Apparel"/>
  </r>
  <r>
    <x v="9"/>
    <x v="7"/>
    <s v="Mar-22"/>
    <x v="3"/>
    <n v="175.1"/>
    <n v="164.9"/>
    <n v="171.1"/>
    <s v="Apparel"/>
  </r>
  <r>
    <x v="9"/>
    <x v="7"/>
    <s v="Mar-22"/>
    <x v="5"/>
    <n v="170.6"/>
    <n v="162.69999999999999"/>
    <n v="166"/>
    <s v="Education"/>
  </r>
  <r>
    <x v="9"/>
    <x v="7"/>
    <s v="Mar-22"/>
    <x v="4"/>
    <n v="167.9"/>
    <n v="167.7"/>
    <n v="167.8"/>
    <s v="Food &amp; Beverages"/>
  </r>
  <r>
    <x v="9"/>
    <x v="7"/>
    <s v="Mar-22"/>
    <x v="8"/>
    <n v="166.6"/>
    <n v="171.5"/>
    <n v="168.4"/>
    <s v="Food &amp; Beverages"/>
  </r>
  <r>
    <x v="9"/>
    <x v="7"/>
    <s v="Mar-22"/>
    <x v="10"/>
    <n v="173.2"/>
    <n v="152.6"/>
    <n v="164.6"/>
    <s v="Apparel"/>
  </r>
  <r>
    <x v="9"/>
    <x v="7"/>
    <s v="Mar-22"/>
    <x v="9"/>
    <n v="155.9"/>
    <n v="159.6"/>
    <n v="157.6"/>
    <s v="Food &amp; Beverages"/>
  </r>
  <r>
    <x v="9"/>
    <x v="7"/>
    <s v="Mar-22"/>
    <x v="13"/>
    <n v="168.9"/>
    <n v="164.5"/>
    <n v="167.2"/>
    <s v="Energy"/>
  </r>
  <r>
    <x v="9"/>
    <x v="7"/>
    <s v="Mar-22"/>
    <x v="15"/>
    <n v="168.7"/>
    <n v="166.5"/>
    <n v="167.7"/>
    <s v="General Index"/>
  </r>
  <r>
    <x v="9"/>
    <x v="7"/>
    <s v="Mar-22"/>
    <x v="17"/>
    <n v="176"/>
    <n v="168.2"/>
    <n v="173"/>
    <s v="Health"/>
  </r>
  <r>
    <x v="9"/>
    <x v="7"/>
    <s v="Mar-22"/>
    <x v="19"/>
    <n v="166.5"/>
    <n v="158.6"/>
    <n v="162.80000000000001"/>
    <s v="Housing"/>
  </r>
  <r>
    <x v="9"/>
    <x v="7"/>
    <s v="Mar-22"/>
    <x v="21"/>
    <n v="0"/>
    <n v="165.3"/>
    <n v="165.3"/>
    <s v="Housing"/>
  </r>
  <r>
    <x v="9"/>
    <x v="7"/>
    <s v="Mar-22"/>
    <x v="2"/>
    <n v="208"/>
    <n v="215.8"/>
    <n v="210.7"/>
    <s v="Food &amp; Beverages"/>
  </r>
  <r>
    <x v="9"/>
    <x v="7"/>
    <s v="Mar-22"/>
    <x v="6"/>
    <n v="162"/>
    <n v="162.6"/>
    <n v="162.19999999999999"/>
    <s v="Food &amp; Beverages"/>
  </r>
  <r>
    <x v="9"/>
    <x v="7"/>
    <s v="Mar-22"/>
    <x v="23"/>
    <n v="168.3"/>
    <n v="160.6"/>
    <n v="164.6"/>
    <s v="Other goods &amp; services"/>
  </r>
  <r>
    <x v="9"/>
    <x v="7"/>
    <s v="Mar-22"/>
    <x v="18"/>
    <n v="171.2"/>
    <n v="157.1"/>
    <n v="165.3"/>
    <s v="Food &amp; Beverages"/>
  </r>
  <r>
    <x v="9"/>
    <x v="7"/>
    <s v="Mar-22"/>
    <x v="7"/>
    <n v="203.1"/>
    <n v="180"/>
    <n v="194.6"/>
    <s v="Food &amp; Beverages"/>
  </r>
  <r>
    <x v="9"/>
    <x v="7"/>
    <s v="Mar-22"/>
    <x v="22"/>
    <n v="192.3"/>
    <n v="197.5"/>
    <n v="193.7"/>
    <s v="Other goods &amp; services"/>
  </r>
  <r>
    <x v="9"/>
    <x v="7"/>
    <s v="Mar-22"/>
    <x v="24"/>
    <n v="167.4"/>
    <n v="166.8"/>
    <n v="167.2"/>
    <s v="Other goods &amp; services"/>
  </r>
  <r>
    <x v="9"/>
    <x v="7"/>
    <s v="Mar-22"/>
    <x v="20"/>
    <n v="177.4"/>
    <n v="181.5"/>
    <n v="179.3"/>
    <s v="Food &amp; Beverages"/>
  </r>
  <r>
    <x v="9"/>
    <x v="7"/>
    <s v="Mar-22"/>
    <x v="12"/>
    <n v="164.2"/>
    <n v="163.4"/>
    <n v="163.9"/>
    <s v="Food &amp; Beverages"/>
  </r>
  <r>
    <x v="9"/>
    <x v="7"/>
    <s v="Mar-22"/>
    <x v="26"/>
    <n v="166.6"/>
    <n v="160.80000000000001"/>
    <n v="163.30000000000001"/>
    <s v="Recreation"/>
  </r>
  <r>
    <x v="9"/>
    <x v="7"/>
    <s v="Mar-22"/>
    <x v="16"/>
    <n v="178.7"/>
    <n v="174.7"/>
    <n v="177.4"/>
    <s v="Food &amp; Beverages"/>
  </r>
  <r>
    <x v="9"/>
    <x v="7"/>
    <s v="Mar-22"/>
    <x v="14"/>
    <n v="118.1"/>
    <n v="120.3"/>
    <n v="118.8"/>
    <s v="Food &amp; Beverages"/>
  </r>
  <r>
    <x v="9"/>
    <x v="7"/>
    <s v="Mar-22"/>
    <x v="25"/>
    <n v="162"/>
    <n v="154.19999999999999"/>
    <n v="157.9"/>
    <s v="Transport"/>
  </r>
  <r>
    <x v="9"/>
    <x v="7"/>
    <s v="Mar-22"/>
    <x v="11"/>
    <n v="155.80000000000001"/>
    <n v="188.4"/>
    <n v="166.9"/>
    <s v="Food &amp; Beverages"/>
  </r>
  <r>
    <x v="9"/>
    <x v="8"/>
    <s v="May-22"/>
    <x v="0"/>
    <n v="152.9"/>
    <n v="156.69999999999999"/>
    <n v="154.1"/>
    <s v="Food &amp; Beverages"/>
  </r>
  <r>
    <x v="9"/>
    <x v="8"/>
    <s v="May-22"/>
    <x v="1"/>
    <n v="179.3"/>
    <n v="170"/>
    <n v="175.6"/>
    <s v="Apparel"/>
  </r>
  <r>
    <x v="9"/>
    <x v="8"/>
    <s v="May-22"/>
    <x v="3"/>
    <n v="179"/>
    <n v="167.8"/>
    <n v="174.6"/>
    <s v="Apparel"/>
  </r>
  <r>
    <x v="9"/>
    <x v="8"/>
    <s v="May-22"/>
    <x v="5"/>
    <n v="171.8"/>
    <n v="165.2"/>
    <n v="167.9"/>
    <s v="Education"/>
  </r>
  <r>
    <x v="9"/>
    <x v="8"/>
    <s v="May-22"/>
    <x v="4"/>
    <n v="161.4"/>
    <n v="164.1"/>
    <n v="162.4"/>
    <s v="Food &amp; Beverages"/>
  </r>
  <r>
    <x v="9"/>
    <x v="8"/>
    <s v="May-22"/>
    <x v="8"/>
    <n v="170.8"/>
    <n v="177.5"/>
    <n v="173.3"/>
    <s v="Food &amp; Beverages"/>
  </r>
  <r>
    <x v="9"/>
    <x v="8"/>
    <s v="May-22"/>
    <x v="10"/>
    <n v="177.2"/>
    <n v="155.9"/>
    <n v="168.4"/>
    <s v="Apparel"/>
  </r>
  <r>
    <x v="9"/>
    <x v="8"/>
    <s v="May-22"/>
    <x v="9"/>
    <n v="168"/>
    <n v="174.5"/>
    <n v="171"/>
    <s v="Food &amp; Beverages"/>
  </r>
  <r>
    <x v="9"/>
    <x v="8"/>
    <s v="May-22"/>
    <x v="13"/>
    <n v="175.3"/>
    <n v="173.5"/>
    <n v="174.6"/>
    <s v="Energy"/>
  </r>
  <r>
    <x v="9"/>
    <x v="8"/>
    <s v="May-22"/>
    <x v="15"/>
    <n v="172.5"/>
    <n v="170.8"/>
    <n v="171.7"/>
    <s v="General Index"/>
  </r>
  <r>
    <x v="9"/>
    <x v="8"/>
    <s v="May-22"/>
    <x v="17"/>
    <n v="177.7"/>
    <n v="170.1"/>
    <n v="174.8"/>
    <s v="Health"/>
  </r>
  <r>
    <x v="9"/>
    <x v="8"/>
    <s v="May-22"/>
    <x v="19"/>
    <n v="168.9"/>
    <n v="161.1"/>
    <n v="165.2"/>
    <s v="Housing"/>
  </r>
  <r>
    <x v="9"/>
    <x v="8"/>
    <s v="May-22"/>
    <x v="21"/>
    <n v="0"/>
    <n v="167.5"/>
    <n v="167.5"/>
    <s v="Housing"/>
  </r>
  <r>
    <x v="9"/>
    <x v="8"/>
    <s v="May-22"/>
    <x v="2"/>
    <n v="214.7"/>
    <n v="221.2"/>
    <n v="217"/>
    <s v="Food &amp; Beverages"/>
  </r>
  <r>
    <x v="9"/>
    <x v="8"/>
    <s v="May-22"/>
    <x v="6"/>
    <n v="164.6"/>
    <n v="165.4"/>
    <n v="164.9"/>
    <s v="Food &amp; Beverages"/>
  </r>
  <r>
    <x v="9"/>
    <x v="8"/>
    <s v="May-22"/>
    <x v="23"/>
    <n v="170.9"/>
    <n v="163.80000000000001"/>
    <n v="167.5"/>
    <s v="Other goods &amp; services"/>
  </r>
  <r>
    <x v="9"/>
    <x v="8"/>
    <s v="May-22"/>
    <x v="18"/>
    <n v="173.2"/>
    <n v="158.5"/>
    <n v="167.1"/>
    <s v="Food &amp; Beverages"/>
  </r>
  <r>
    <x v="9"/>
    <x v="8"/>
    <s v="May-22"/>
    <x v="7"/>
    <n v="209.9"/>
    <n v="189.5"/>
    <n v="202.4"/>
    <s v="Food &amp; Beverages"/>
  </r>
  <r>
    <x v="9"/>
    <x v="8"/>
    <s v="May-22"/>
    <x v="22"/>
    <n v="192.9"/>
    <n v="197.5"/>
    <n v="194.1"/>
    <s v="Other goods &amp; services"/>
  </r>
  <r>
    <x v="9"/>
    <x v="8"/>
    <s v="May-22"/>
    <x v="24"/>
    <n v="168.5"/>
    <n v="168.2"/>
    <n v="168.4"/>
    <s v="Other goods &amp; services"/>
  </r>
  <r>
    <x v="9"/>
    <x v="8"/>
    <s v="May-22"/>
    <x v="20"/>
    <n v="180.4"/>
    <n v="184.9"/>
    <n v="182.5"/>
    <s v="Food &amp; Beverages"/>
  </r>
  <r>
    <x v="9"/>
    <x v="8"/>
    <s v="May-22"/>
    <x v="12"/>
    <n v="165"/>
    <n v="164.1"/>
    <n v="164.7"/>
    <s v="Food &amp; Beverages"/>
  </r>
  <r>
    <x v="9"/>
    <x v="8"/>
    <s v="May-22"/>
    <x v="26"/>
    <n v="167.6"/>
    <n v="163.19999999999999"/>
    <n v="165.1"/>
    <s v="Recreation"/>
  </r>
  <r>
    <x v="9"/>
    <x v="8"/>
    <s v="May-22"/>
    <x v="16"/>
    <n v="186.6"/>
    <n v="181.4"/>
    <n v="184.9"/>
    <s v="Food &amp; Beverages"/>
  </r>
  <r>
    <x v="9"/>
    <x v="8"/>
    <s v="May-22"/>
    <x v="14"/>
    <n v="118.9"/>
    <n v="121.2"/>
    <n v="119.7"/>
    <s v="Food &amp; Beverages"/>
  </r>
  <r>
    <x v="9"/>
    <x v="8"/>
    <s v="May-22"/>
    <x v="25"/>
    <n v="167.1"/>
    <n v="159.4"/>
    <n v="163"/>
    <s v="Transport"/>
  </r>
  <r>
    <x v="9"/>
    <x v="8"/>
    <s v="May-22"/>
    <x v="11"/>
    <n v="160.4"/>
    <n v="203.2"/>
    <n v="174.9"/>
    <s v="Food &amp; Beverages"/>
  </r>
  <r>
    <x v="9"/>
    <x v="9"/>
    <s v="Nov-22"/>
    <x v="0"/>
    <n v="166.9"/>
    <n v="168.4"/>
    <n v="167.4"/>
    <s v="Food &amp; Beverages"/>
  </r>
  <r>
    <x v="9"/>
    <x v="9"/>
    <s v="Nov-22"/>
    <x v="1"/>
    <n v="187.2"/>
    <n v="176.7"/>
    <n v="183.1"/>
    <s v="Apparel"/>
  </r>
  <r>
    <x v="9"/>
    <x v="9"/>
    <s v="Nov-22"/>
    <x v="3"/>
    <n v="186.9"/>
    <n v="174.7"/>
    <n v="182.1"/>
    <s v="Apparel"/>
  </r>
  <r>
    <x v="9"/>
    <x v="9"/>
    <s v="Nov-22"/>
    <x v="5"/>
    <n v="176.9"/>
    <n v="171.5"/>
    <n v="173.7"/>
    <s v="Education"/>
  </r>
  <r>
    <x v="9"/>
    <x v="9"/>
    <s v="Nov-22"/>
    <x v="4"/>
    <n v="180.2"/>
    <n v="183.2"/>
    <n v="181.4"/>
    <s v="Food &amp; Beverages"/>
  </r>
  <r>
    <x v="9"/>
    <x v="9"/>
    <s v="Nov-22"/>
    <x v="8"/>
    <n v="176.6"/>
    <n v="181.3"/>
    <n v="178.3"/>
    <s v="Food &amp; Beverages"/>
  </r>
  <r>
    <x v="9"/>
    <x v="9"/>
    <s v="Nov-22"/>
    <x v="10"/>
    <n v="185.2"/>
    <n v="163.5"/>
    <n v="176.2"/>
    <s v="Apparel"/>
  </r>
  <r>
    <x v="9"/>
    <x v="9"/>
    <s v="Nov-22"/>
    <x v="9"/>
    <n v="159.1"/>
    <n v="162.6"/>
    <n v="160.69999999999999"/>
    <s v="Food &amp; Beverages"/>
  </r>
  <r>
    <x v="9"/>
    <x v="9"/>
    <s v="Nov-22"/>
    <x v="13"/>
    <n v="181.9"/>
    <n v="180.3"/>
    <n v="181.3"/>
    <s v="Energy"/>
  </r>
  <r>
    <x v="9"/>
    <x v="9"/>
    <s v="Nov-22"/>
    <x v="15"/>
    <n v="177.8"/>
    <n v="174.1"/>
    <n v="176.5"/>
    <s v="General Index"/>
  </r>
  <r>
    <x v="9"/>
    <x v="9"/>
    <s v="Nov-22"/>
    <x v="17"/>
    <n v="182.3"/>
    <n v="175.8"/>
    <n v="179.8"/>
    <s v="Health"/>
  </r>
  <r>
    <x v="9"/>
    <x v="9"/>
    <s v="Nov-22"/>
    <x v="19"/>
    <n v="175.5"/>
    <n v="166.9"/>
    <n v="171.4"/>
    <s v="Housing"/>
  </r>
  <r>
    <x v="9"/>
    <x v="9"/>
    <s v="Nov-22"/>
    <x v="21"/>
    <n v="0"/>
    <n v="171.8"/>
    <n v="171.8"/>
    <s v="Housing"/>
  </r>
  <r>
    <x v="9"/>
    <x v="9"/>
    <s v="Nov-22"/>
    <x v="2"/>
    <n v="207.2"/>
    <n v="213.4"/>
    <n v="209.4"/>
    <s v="Food &amp; Beverages"/>
  </r>
  <r>
    <x v="9"/>
    <x v="9"/>
    <s v="Nov-22"/>
    <x v="6"/>
    <n v="172.3"/>
    <n v="172.3"/>
    <n v="172.3"/>
    <s v="Food &amp; Beverages"/>
  </r>
  <r>
    <x v="9"/>
    <x v="9"/>
    <s v="Nov-22"/>
    <x v="23"/>
    <n v="174.6"/>
    <n v="167.4"/>
    <n v="171.1"/>
    <s v="Other goods &amp; services"/>
  </r>
  <r>
    <x v="9"/>
    <x v="9"/>
    <s v="Nov-22"/>
    <x v="18"/>
    <n v="176.4"/>
    <n v="162.1"/>
    <n v="170.4"/>
    <s v="Food &amp; Beverages"/>
  </r>
  <r>
    <x v="9"/>
    <x v="9"/>
    <s v="Nov-22"/>
    <x v="7"/>
    <n v="194"/>
    <n v="180"/>
    <n v="188.9"/>
    <s v="Food &amp; Beverages"/>
  </r>
  <r>
    <x v="9"/>
    <x v="9"/>
    <s v="Nov-22"/>
    <x v="22"/>
    <n v="195.5"/>
    <n v="200.6"/>
    <n v="196.9"/>
    <s v="Other goods &amp; services"/>
  </r>
  <r>
    <x v="9"/>
    <x v="9"/>
    <s v="Nov-22"/>
    <x v="24"/>
    <n v="173.4"/>
    <n v="173.8"/>
    <n v="173.6"/>
    <s v="Other goods &amp; services"/>
  </r>
  <r>
    <x v="9"/>
    <x v="9"/>
    <s v="Nov-22"/>
    <x v="20"/>
    <n v="186.9"/>
    <n v="192.4"/>
    <n v="189.5"/>
    <s v="Food &amp; Beverages"/>
  </r>
  <r>
    <x v="9"/>
    <x v="9"/>
    <s v="Nov-22"/>
    <x v="12"/>
    <n v="170.2"/>
    <n v="171"/>
    <n v="170.5"/>
    <s v="Food &amp; Beverages"/>
  </r>
  <r>
    <x v="9"/>
    <x v="9"/>
    <s v="Nov-22"/>
    <x v="26"/>
    <n v="170.8"/>
    <n v="166.7"/>
    <n v="168.5"/>
    <s v="Recreation"/>
  </r>
  <r>
    <x v="9"/>
    <x v="9"/>
    <s v="Nov-22"/>
    <x v="16"/>
    <n v="204.8"/>
    <n v="198.8"/>
    <n v="202.8"/>
    <s v="Food &amp; Beverages"/>
  </r>
  <r>
    <x v="9"/>
    <x v="9"/>
    <s v="Nov-22"/>
    <x v="14"/>
    <n v="121.5"/>
    <n v="123.4"/>
    <n v="122.1"/>
    <s v="Food &amp; Beverages"/>
  </r>
  <r>
    <x v="9"/>
    <x v="9"/>
    <s v="Nov-22"/>
    <x v="25"/>
    <n v="167.5"/>
    <n v="158.9"/>
    <n v="163"/>
    <s v="Transport"/>
  </r>
  <r>
    <x v="9"/>
    <x v="9"/>
    <s v="Nov-22"/>
    <x v="11"/>
    <n v="171.6"/>
    <n v="205.5"/>
    <n v="183.1"/>
    <s v="Food &amp; Beverages"/>
  </r>
  <r>
    <x v="9"/>
    <x v="10"/>
    <s v="Oct-22"/>
    <x v="0"/>
    <n v="164.7"/>
    <n v="166.4"/>
    <n v="165.2"/>
    <s v="Food &amp; Beverages"/>
  </r>
  <r>
    <x v="9"/>
    <x v="10"/>
    <s v="Oct-22"/>
    <x v="1"/>
    <n v="186.1"/>
    <n v="175.5"/>
    <n v="181.9"/>
    <s v="Apparel"/>
  </r>
  <r>
    <x v="9"/>
    <x v="10"/>
    <s v="Oct-22"/>
    <x v="3"/>
    <n v="185.9"/>
    <n v="173.6"/>
    <n v="181"/>
    <s v="Apparel"/>
  </r>
  <r>
    <x v="9"/>
    <x v="10"/>
    <s v="Oct-22"/>
    <x v="5"/>
    <n v="176.5"/>
    <n v="171.2"/>
    <n v="173.4"/>
    <s v="Education"/>
  </r>
  <r>
    <x v="9"/>
    <x v="10"/>
    <s v="Oct-22"/>
    <x v="4"/>
    <n v="170.3"/>
    <n v="171.9"/>
    <n v="170.9"/>
    <s v="Food &amp; Beverages"/>
  </r>
  <r>
    <x v="9"/>
    <x v="10"/>
    <s v="Oct-22"/>
    <x v="8"/>
    <n v="177.4"/>
    <n v="183.3"/>
    <n v="179.6"/>
    <s v="Food &amp; Beverages"/>
  </r>
  <r>
    <x v="9"/>
    <x v="10"/>
    <s v="Oct-22"/>
    <x v="10"/>
    <n v="184.4"/>
    <n v="162.6"/>
    <n v="175.3"/>
    <s v="Apparel"/>
  </r>
  <r>
    <x v="9"/>
    <x v="10"/>
    <s v="Oct-22"/>
    <x v="9"/>
    <n v="162.19999999999999"/>
    <n v="165.7"/>
    <n v="163.80000000000001"/>
    <s v="Food &amp; Beverages"/>
  </r>
  <r>
    <x v="9"/>
    <x v="10"/>
    <s v="Oct-22"/>
    <x v="13"/>
    <n v="180.8"/>
    <n v="180"/>
    <n v="180.5"/>
    <s v="Energy"/>
  </r>
  <r>
    <x v="9"/>
    <x v="10"/>
    <s v="Oct-22"/>
    <x v="15"/>
    <n v="177.9"/>
    <n v="175.3"/>
    <n v="176.7"/>
    <s v="General Index"/>
  </r>
  <r>
    <x v="9"/>
    <x v="10"/>
    <s v="Oct-22"/>
    <x v="17"/>
    <n v="181.2"/>
    <n v="174.7"/>
    <n v="178.7"/>
    <s v="Health"/>
  </r>
  <r>
    <x v="9"/>
    <x v="10"/>
    <s v="Oct-22"/>
    <x v="19"/>
    <n v="174.4"/>
    <n v="166"/>
    <n v="170.4"/>
    <s v="Housing"/>
  </r>
  <r>
    <x v="9"/>
    <x v="10"/>
    <s v="Oct-22"/>
    <x v="21"/>
    <n v="0"/>
    <n v="171.2"/>
    <n v="171.2"/>
    <s v="Housing"/>
  </r>
  <r>
    <x v="9"/>
    <x v="10"/>
    <s v="Oct-22"/>
    <x v="2"/>
    <n v="208.8"/>
    <n v="214.9"/>
    <n v="210.9"/>
    <s v="Food &amp; Beverages"/>
  </r>
  <r>
    <x v="9"/>
    <x v="10"/>
    <s v="Oct-22"/>
    <x v="6"/>
    <n v="170.9"/>
    <n v="171"/>
    <n v="170.9"/>
    <s v="Food &amp; Beverages"/>
  </r>
  <r>
    <x v="9"/>
    <x v="10"/>
    <s v="Oct-22"/>
    <x v="23"/>
    <n v="173.9"/>
    <n v="166.8"/>
    <n v="170.5"/>
    <s v="Other goods &amp; services"/>
  </r>
  <r>
    <x v="9"/>
    <x v="10"/>
    <s v="Oct-22"/>
    <x v="18"/>
    <n v="175.8"/>
    <n v="161.6"/>
    <n v="169.9"/>
    <s v="Food &amp; Beverages"/>
  </r>
  <r>
    <x v="9"/>
    <x v="10"/>
    <s v="Oct-22"/>
    <x v="7"/>
    <n v="191.6"/>
    <n v="177.7"/>
    <n v="186.5"/>
    <s v="Food &amp; Beverages"/>
  </r>
  <r>
    <x v="9"/>
    <x v="10"/>
    <s v="Oct-22"/>
    <x v="22"/>
    <n v="194.9"/>
    <n v="200.1"/>
    <n v="196.3"/>
    <s v="Other goods &amp; services"/>
  </r>
  <r>
    <x v="9"/>
    <x v="10"/>
    <s v="Oct-22"/>
    <x v="24"/>
    <n v="172"/>
    <n v="172.3"/>
    <n v="172.1"/>
    <s v="Other goods &amp; services"/>
  </r>
  <r>
    <x v="9"/>
    <x v="10"/>
    <s v="Oct-22"/>
    <x v="20"/>
    <n v="185.6"/>
    <n v="191.5"/>
    <n v="188.3"/>
    <s v="Food &amp; Beverages"/>
  </r>
  <r>
    <x v="9"/>
    <x v="10"/>
    <s v="Oct-22"/>
    <x v="12"/>
    <n v="169.7"/>
    <n v="169.9"/>
    <n v="169.8"/>
    <s v="Food &amp; Beverages"/>
  </r>
  <r>
    <x v="9"/>
    <x v="10"/>
    <s v="Oct-22"/>
    <x v="26"/>
    <n v="170.6"/>
    <n v="166.3"/>
    <n v="168.2"/>
    <s v="Recreation"/>
  </r>
  <r>
    <x v="9"/>
    <x v="10"/>
    <s v="Oct-22"/>
    <x v="16"/>
    <n v="201.6"/>
    <n v="196.4"/>
    <n v="199.9"/>
    <s v="Food &amp; Beverages"/>
  </r>
  <r>
    <x v="9"/>
    <x v="10"/>
    <s v="Oct-22"/>
    <x v="14"/>
    <n v="121.1"/>
    <n v="123.4"/>
    <n v="121.9"/>
    <s v="Food &amp; Beverages"/>
  </r>
  <r>
    <x v="9"/>
    <x v="10"/>
    <s v="Oct-22"/>
    <x v="25"/>
    <n v="167.4"/>
    <n v="158.80000000000001"/>
    <n v="162.9"/>
    <s v="Transport"/>
  </r>
  <r>
    <x v="9"/>
    <x v="10"/>
    <s v="Oct-22"/>
    <x v="11"/>
    <n v="184.8"/>
    <n v="228.6"/>
    <n v="199.7"/>
    <s v="Food &amp; Beverages"/>
  </r>
  <r>
    <x v="9"/>
    <x v="11"/>
    <s v="Sep-22"/>
    <x v="0"/>
    <n v="162.9"/>
    <n v="164.9"/>
    <n v="163.5"/>
    <s v="Food &amp; Beverages"/>
  </r>
  <r>
    <x v="9"/>
    <x v="11"/>
    <s v="Sep-22"/>
    <x v="1"/>
    <n v="184.7"/>
    <n v="175"/>
    <n v="180.9"/>
    <s v="Apparel"/>
  </r>
  <r>
    <x v="9"/>
    <x v="11"/>
    <s v="Sep-22"/>
    <x v="3"/>
    <n v="184.5"/>
    <n v="173"/>
    <n v="179.9"/>
    <s v="Apparel"/>
  </r>
  <r>
    <x v="9"/>
    <x v="11"/>
    <s v="Sep-22"/>
    <x v="5"/>
    <n v="176.2"/>
    <n v="170.9"/>
    <n v="173.1"/>
    <s v="Education"/>
  </r>
  <r>
    <x v="9"/>
    <x v="11"/>
    <s v="Sep-22"/>
    <x v="4"/>
    <n v="169"/>
    <n v="170.9"/>
    <n v="169.7"/>
    <s v="Food &amp; Beverages"/>
  </r>
  <r>
    <x v="9"/>
    <x v="11"/>
    <s v="Sep-22"/>
    <x v="8"/>
    <n v="175.5"/>
    <n v="181.8"/>
    <n v="177.8"/>
    <s v="Food &amp; Beverages"/>
  </r>
  <r>
    <x v="9"/>
    <x v="11"/>
    <s v="Sep-22"/>
    <x v="10"/>
    <n v="183.3"/>
    <n v="161.69999999999999"/>
    <n v="174.3"/>
    <s v="Apparel"/>
  </r>
  <r>
    <x v="9"/>
    <x v="11"/>
    <s v="Sep-22"/>
    <x v="9"/>
    <n v="164.1"/>
    <n v="167.5"/>
    <n v="165.7"/>
    <s v="Food &amp; Beverages"/>
  </r>
  <r>
    <x v="9"/>
    <x v="11"/>
    <s v="Sep-22"/>
    <x v="13"/>
    <n v="179.7"/>
    <n v="179.2"/>
    <n v="179.5"/>
    <s v="Energy"/>
  </r>
  <r>
    <x v="9"/>
    <x v="11"/>
    <s v="Sep-22"/>
    <x v="15"/>
    <n v="176.4"/>
    <n v="174.1"/>
    <n v="175.3"/>
    <s v="General Index"/>
  </r>
  <r>
    <x v="9"/>
    <x v="11"/>
    <s v="Sep-22"/>
    <x v="17"/>
    <n v="180.2"/>
    <n v="173.8"/>
    <n v="177.8"/>
    <s v="Health"/>
  </r>
  <r>
    <x v="9"/>
    <x v="11"/>
    <s v="Sep-22"/>
    <x v="19"/>
    <n v="173.6"/>
    <n v="165"/>
    <n v="169.5"/>
    <s v="Housing"/>
  </r>
  <r>
    <x v="9"/>
    <x v="11"/>
    <s v="Sep-22"/>
    <x v="21"/>
    <n v="0"/>
    <n v="169.5"/>
    <n v="169.5"/>
    <s v="Housing"/>
  </r>
  <r>
    <x v="9"/>
    <x v="11"/>
    <s v="Sep-22"/>
    <x v="2"/>
    <n v="206.7"/>
    <n v="213.7"/>
    <n v="209.2"/>
    <s v="Food &amp; Beverages"/>
  </r>
  <r>
    <x v="9"/>
    <x v="11"/>
    <s v="Sep-22"/>
    <x v="6"/>
    <n v="169.5"/>
    <n v="170.1"/>
    <n v="169.7"/>
    <s v="Food &amp; Beverages"/>
  </r>
  <r>
    <x v="9"/>
    <x v="11"/>
    <s v="Sep-22"/>
    <x v="23"/>
    <n v="173.1"/>
    <n v="166.1"/>
    <n v="169.7"/>
    <s v="Other goods &amp; services"/>
  </r>
  <r>
    <x v="9"/>
    <x v="11"/>
    <s v="Sep-22"/>
    <x v="18"/>
    <n v="175.4"/>
    <n v="161.1"/>
    <n v="169.4"/>
    <s v="Food &amp; Beverages"/>
  </r>
  <r>
    <x v="9"/>
    <x v="11"/>
    <s v="Sep-22"/>
    <x v="7"/>
    <n v="194.1"/>
    <n v="179.3"/>
    <n v="188.7"/>
    <s v="Food &amp; Beverages"/>
  </r>
  <r>
    <x v="9"/>
    <x v="11"/>
    <s v="Sep-22"/>
    <x v="22"/>
    <n v="194.5"/>
    <n v="199.7"/>
    <n v="195.9"/>
    <s v="Other goods &amp; services"/>
  </r>
  <r>
    <x v="9"/>
    <x v="11"/>
    <s v="Sep-22"/>
    <x v="24"/>
    <n v="170.8"/>
    <n v="171.1"/>
    <n v="170.9"/>
    <s v="Other goods &amp; services"/>
  </r>
  <r>
    <x v="9"/>
    <x v="11"/>
    <s v="Sep-22"/>
    <x v="20"/>
    <n v="184.8"/>
    <n v="190.4"/>
    <n v="187.4"/>
    <s v="Food &amp; Beverages"/>
  </r>
  <r>
    <x v="9"/>
    <x v="11"/>
    <s v="Sep-22"/>
    <x v="12"/>
    <n v="169"/>
    <n v="169.2"/>
    <n v="169.1"/>
    <s v="Food &amp; Beverages"/>
  </r>
  <r>
    <x v="9"/>
    <x v="11"/>
    <s v="Sep-22"/>
    <x v="26"/>
    <n v="170"/>
    <n v="165.8"/>
    <n v="167.6"/>
    <s v="Recreation"/>
  </r>
  <r>
    <x v="9"/>
    <x v="11"/>
    <s v="Sep-22"/>
    <x v="16"/>
    <n v="199.1"/>
    <n v="193.6"/>
    <n v="197.3"/>
    <s v="Food &amp; Beverages"/>
  </r>
  <r>
    <x v="9"/>
    <x v="11"/>
    <s v="Sep-22"/>
    <x v="14"/>
    <n v="120.8"/>
    <n v="123.1"/>
    <n v="121.6"/>
    <s v="Food &amp; Beverages"/>
  </r>
  <r>
    <x v="9"/>
    <x v="11"/>
    <s v="Sep-22"/>
    <x v="25"/>
    <n v="166.9"/>
    <n v="158.19999999999999"/>
    <n v="162.30000000000001"/>
    <s v="Transport"/>
  </r>
  <r>
    <x v="9"/>
    <x v="11"/>
    <s v="Sep-22"/>
    <x v="11"/>
    <n v="176.9"/>
    <n v="220.8"/>
    <n v="191.8"/>
    <s v="Food &amp; Beverages"/>
  </r>
  <r>
    <x v="10"/>
    <x v="0"/>
    <s v="Apr-23"/>
    <x v="0"/>
    <n v="173.3"/>
    <n v="174.8"/>
    <n v="173.8"/>
    <s v="Food &amp; Beverages"/>
  </r>
  <r>
    <x v="10"/>
    <x v="0"/>
    <s v="Apr-23"/>
    <x v="1"/>
    <n v="190.7"/>
    <n v="181"/>
    <n v="186.9"/>
    <s v="Apparel"/>
  </r>
  <r>
    <x v="10"/>
    <x v="0"/>
    <s v="Apr-23"/>
    <x v="3"/>
    <n v="190.2"/>
    <n v="178.9"/>
    <n v="185.7"/>
    <s v="Apparel"/>
  </r>
  <r>
    <x v="10"/>
    <x v="0"/>
    <s v="Apr-23"/>
    <x v="5"/>
    <n v="179.4"/>
    <n v="174.2"/>
    <n v="176.4"/>
    <s v="Education"/>
  </r>
  <r>
    <x v="10"/>
    <x v="0"/>
    <s v="Apr-23"/>
    <x v="4"/>
    <n v="167.9"/>
    <n v="172.4"/>
    <n v="169.6"/>
    <s v="Food &amp; Beverages"/>
  </r>
  <r>
    <x v="10"/>
    <x v="0"/>
    <s v="Apr-23"/>
    <x v="8"/>
    <n v="175.5"/>
    <n v="182.1"/>
    <n v="177.9"/>
    <s v="Food &amp; Beverages"/>
  </r>
  <r>
    <x v="10"/>
    <x v="0"/>
    <s v="Apr-23"/>
    <x v="10"/>
    <n v="187.3"/>
    <n v="167.7"/>
    <n v="179.2"/>
    <s v="Apparel"/>
  </r>
  <r>
    <x v="10"/>
    <x v="0"/>
    <s v="Apr-23"/>
    <x v="9"/>
    <n v="173.7"/>
    <n v="179.2"/>
    <n v="176.3"/>
    <s v="Food &amp; Beverages"/>
  </r>
  <r>
    <x v="10"/>
    <x v="0"/>
    <s v="Apr-23"/>
    <x v="13"/>
    <n v="181.5"/>
    <n v="182.1"/>
    <n v="181.7"/>
    <s v="Energy"/>
  </r>
  <r>
    <x v="10"/>
    <x v="0"/>
    <s v="Apr-23"/>
    <x v="15"/>
    <n v="178.8"/>
    <n v="177.4"/>
    <n v="178.1"/>
    <s v="General Index"/>
  </r>
  <r>
    <x v="10"/>
    <x v="0"/>
    <s v="Apr-23"/>
    <x v="17"/>
    <n v="187.2"/>
    <n v="181.5"/>
    <n v="185"/>
    <s v="Health"/>
  </r>
  <r>
    <x v="10"/>
    <x v="0"/>
    <s v="Apr-23"/>
    <x v="19"/>
    <n v="179.1"/>
    <n v="169.6"/>
    <n v="174.6"/>
    <s v="Housing"/>
  </r>
  <r>
    <x v="10"/>
    <x v="0"/>
    <s v="Apr-23"/>
    <x v="21"/>
    <n v="0"/>
    <n v="175.2"/>
    <n v="175.2"/>
    <s v="Housing"/>
  </r>
  <r>
    <x v="10"/>
    <x v="0"/>
    <s v="Apr-23"/>
    <x v="2"/>
    <n v="206.9"/>
    <n v="213.7"/>
    <n v="209.3"/>
    <s v="Food &amp; Beverages"/>
  </r>
  <r>
    <x v="10"/>
    <x v="0"/>
    <s v="Apr-23"/>
    <x v="6"/>
    <n v="178.2"/>
    <n v="178.8"/>
    <n v="178.4"/>
    <s v="Food &amp; Beverages"/>
  </r>
  <r>
    <x v="10"/>
    <x v="0"/>
    <s v="Apr-23"/>
    <x v="23"/>
    <n v="178.9"/>
    <n v="170.9"/>
    <n v="175"/>
    <s v="Other goods &amp; services"/>
  </r>
  <r>
    <x v="10"/>
    <x v="0"/>
    <s v="Apr-23"/>
    <x v="18"/>
    <n v="178.2"/>
    <n v="165.5"/>
    <n v="172.9"/>
    <s v="Food &amp; Beverages"/>
  </r>
  <r>
    <x v="10"/>
    <x v="0"/>
    <s v="Apr-23"/>
    <x v="7"/>
    <n v="178.5"/>
    <n v="168.7"/>
    <n v="174.9"/>
    <s v="Food &amp; Beverages"/>
  </r>
  <r>
    <x v="10"/>
    <x v="0"/>
    <s v="Apr-23"/>
    <x v="22"/>
    <n v="199.5"/>
    <n v="203.5"/>
    <n v="200.6"/>
    <s v="Other goods &amp; services"/>
  </r>
  <r>
    <x v="10"/>
    <x v="0"/>
    <s v="Apr-23"/>
    <x v="24"/>
    <n v="183.8"/>
    <n v="184.4"/>
    <n v="184"/>
    <s v="Other goods &amp; services"/>
  </r>
  <r>
    <x v="10"/>
    <x v="0"/>
    <s v="Apr-23"/>
    <x v="20"/>
    <n v="190.5"/>
    <n v="197"/>
    <n v="193.5"/>
    <s v="Food &amp; Beverages"/>
  </r>
  <r>
    <x v="10"/>
    <x v="0"/>
    <s v="Apr-23"/>
    <x v="12"/>
    <n v="172.8"/>
    <n v="174.7"/>
    <n v="173.4"/>
    <s v="Food &amp; Beverages"/>
  </r>
  <r>
    <x v="10"/>
    <x v="0"/>
    <s v="Apr-23"/>
    <x v="26"/>
    <n v="173.2"/>
    <n v="168.8"/>
    <n v="170.7"/>
    <s v="Recreation"/>
  </r>
  <r>
    <x v="10"/>
    <x v="0"/>
    <s v="Apr-23"/>
    <x v="16"/>
    <n v="215.5"/>
    <n v="207.8"/>
    <n v="212.9"/>
    <s v="Food &amp; Beverages"/>
  </r>
  <r>
    <x v="10"/>
    <x v="0"/>
    <s v="Apr-23"/>
    <x v="14"/>
    <n v="120.4"/>
    <n v="123.1"/>
    <n v="121.3"/>
    <s v="Food &amp; Beverages"/>
  </r>
  <r>
    <x v="10"/>
    <x v="0"/>
    <s v="Apr-23"/>
    <x v="25"/>
    <n v="169.4"/>
    <n v="160.1"/>
    <n v="164.5"/>
    <s v="Transport"/>
  </r>
  <r>
    <x v="10"/>
    <x v="0"/>
    <s v="Apr-23"/>
    <x v="11"/>
    <n v="142.80000000000001"/>
    <n v="179.9"/>
    <n v="155.4"/>
    <s v="Food &amp; Beverages"/>
  </r>
  <r>
    <x v="10"/>
    <x v="3"/>
    <s v="Feb-23"/>
    <x v="0"/>
    <n v="174.2"/>
    <n v="174.7"/>
    <n v="174.4"/>
    <s v="Food &amp; Beverages"/>
  </r>
  <r>
    <x v="10"/>
    <x v="3"/>
    <s v="Feb-23"/>
    <x v="1"/>
    <n v="190"/>
    <n v="180.3"/>
    <n v="186.2"/>
    <s v="Apparel"/>
  </r>
  <r>
    <x v="10"/>
    <x v="3"/>
    <s v="Feb-23"/>
    <x v="3"/>
    <n v="189.6"/>
    <n v="178.2"/>
    <n v="185.1"/>
    <s v="Apparel"/>
  </r>
  <r>
    <x v="10"/>
    <x v="3"/>
    <s v="Feb-23"/>
    <x v="5"/>
    <n v="178.5"/>
    <n v="172.5"/>
    <n v="175"/>
    <s v="Education"/>
  </r>
  <r>
    <x v="10"/>
    <x v="3"/>
    <s v="Feb-23"/>
    <x v="4"/>
    <n v="173.9"/>
    <n v="177.2"/>
    <n v="175.2"/>
    <s v="Food &amp; Beverages"/>
  </r>
  <r>
    <x v="10"/>
    <x v="3"/>
    <s v="Feb-23"/>
    <x v="8"/>
    <n v="174.8"/>
    <n v="180.7"/>
    <n v="177"/>
    <s v="Food &amp; Beverages"/>
  </r>
  <r>
    <x v="10"/>
    <x v="3"/>
    <s v="Feb-23"/>
    <x v="10"/>
    <n v="187"/>
    <n v="167"/>
    <n v="178.7"/>
    <s v="Apparel"/>
  </r>
  <r>
    <x v="10"/>
    <x v="3"/>
    <s v="Feb-23"/>
    <x v="9"/>
    <n v="167.2"/>
    <n v="172.1"/>
    <n v="169.5"/>
    <s v="Food &amp; Beverages"/>
  </r>
  <r>
    <x v="10"/>
    <x v="3"/>
    <s v="Feb-23"/>
    <x v="13"/>
    <n v="181.6"/>
    <n v="182.8"/>
    <n v="182.1"/>
    <s v="Energy"/>
  </r>
  <r>
    <x v="10"/>
    <x v="3"/>
    <s v="Feb-23"/>
    <x v="15"/>
    <n v="178"/>
    <n v="176.3"/>
    <n v="177.2"/>
    <s v="General Index"/>
  </r>
  <r>
    <x v="10"/>
    <x v="3"/>
    <s v="Feb-23"/>
    <x v="17"/>
    <n v="186.6"/>
    <n v="180.8"/>
    <n v="184.4"/>
    <s v="Health"/>
  </r>
  <r>
    <x v="10"/>
    <x v="3"/>
    <s v="Feb-23"/>
    <x v="19"/>
    <n v="178.6"/>
    <n v="169.2"/>
    <n v="174.2"/>
    <s v="Housing"/>
  </r>
  <r>
    <x v="10"/>
    <x v="3"/>
    <s v="Feb-23"/>
    <x v="21"/>
    <n v="0"/>
    <n v="173.5"/>
    <n v="173.5"/>
    <s v="Housing"/>
  </r>
  <r>
    <x v="10"/>
    <x v="3"/>
    <s v="Feb-23"/>
    <x v="2"/>
    <n v="205.2"/>
    <n v="212.2"/>
    <n v="207.7"/>
    <s v="Food &amp; Beverages"/>
  </r>
  <r>
    <x v="10"/>
    <x v="3"/>
    <s v="Feb-23"/>
    <x v="6"/>
    <n v="177"/>
    <n v="177.9"/>
    <n v="177.3"/>
    <s v="Food &amp; Beverages"/>
  </r>
  <r>
    <x v="10"/>
    <x v="3"/>
    <s v="Feb-23"/>
    <x v="23"/>
    <n v="177.9"/>
    <n v="170"/>
    <n v="174.1"/>
    <s v="Other goods &amp; services"/>
  </r>
  <r>
    <x v="10"/>
    <x v="3"/>
    <s v="Feb-23"/>
    <x v="18"/>
    <n v="177.6"/>
    <n v="164.9"/>
    <n v="172.3"/>
    <s v="Food &amp; Beverages"/>
  </r>
  <r>
    <x v="10"/>
    <x v="3"/>
    <s v="Feb-23"/>
    <x v="7"/>
    <n v="183.4"/>
    <n v="172.2"/>
    <n v="179.3"/>
    <s v="Food &amp; Beverages"/>
  </r>
  <r>
    <x v="10"/>
    <x v="3"/>
    <s v="Feb-23"/>
    <x v="22"/>
    <n v="198.3"/>
    <n v="202.7"/>
    <n v="199.5"/>
    <s v="Other goods &amp; services"/>
  </r>
  <r>
    <x v="10"/>
    <x v="3"/>
    <s v="Feb-23"/>
    <x v="24"/>
    <n v="180.7"/>
    <n v="181.4"/>
    <n v="181"/>
    <s v="Other goods &amp; services"/>
  </r>
  <r>
    <x v="10"/>
    <x v="3"/>
    <s v="Feb-23"/>
    <x v="20"/>
    <n v="189.9"/>
    <n v="196.6"/>
    <n v="193"/>
    <s v="Food &amp; Beverages"/>
  </r>
  <r>
    <x v="10"/>
    <x v="3"/>
    <s v="Feb-23"/>
    <x v="12"/>
    <n v="170.4"/>
    <n v="172.2"/>
    <n v="171"/>
    <s v="Food &amp; Beverages"/>
  </r>
  <r>
    <x v="10"/>
    <x v="3"/>
    <s v="Feb-23"/>
    <x v="26"/>
    <n v="172.8"/>
    <n v="168.4"/>
    <n v="170.3"/>
    <s v="Recreation"/>
  </r>
  <r>
    <x v="10"/>
    <x v="3"/>
    <s v="Feb-23"/>
    <x v="16"/>
    <n v="212.1"/>
    <n v="204.8"/>
    <n v="209.7"/>
    <s v="Food &amp; Beverages"/>
  </r>
  <r>
    <x v="10"/>
    <x v="3"/>
    <s v="Feb-23"/>
    <x v="14"/>
    <n v="119.1"/>
    <n v="121.9"/>
    <n v="120"/>
    <s v="Food &amp; Beverages"/>
  </r>
  <r>
    <x v="10"/>
    <x v="3"/>
    <s v="Feb-23"/>
    <x v="25"/>
    <n v="169"/>
    <n v="159.80000000000001"/>
    <n v="164.2"/>
    <s v="Transport"/>
  </r>
  <r>
    <x v="10"/>
    <x v="3"/>
    <s v="Feb-23"/>
    <x v="11"/>
    <n v="140.9"/>
    <n v="175.8"/>
    <n v="152.69999999999999"/>
    <s v="Food &amp; Beverages"/>
  </r>
  <r>
    <x v="10"/>
    <x v="4"/>
    <s v="Jan-23"/>
    <x v="0"/>
    <n v="174"/>
    <n v="173.3"/>
    <n v="173.8"/>
    <s v="Food &amp; Beverages"/>
  </r>
  <r>
    <x v="10"/>
    <x v="4"/>
    <s v="Jan-23"/>
    <x v="1"/>
    <n v="189"/>
    <n v="178.7"/>
    <n v="184.9"/>
    <s v="Apparel"/>
  </r>
  <r>
    <x v="10"/>
    <x v="4"/>
    <s v="Jan-23"/>
    <x v="3"/>
    <n v="188.6"/>
    <n v="176.6"/>
    <n v="183.8"/>
    <s v="Apparel"/>
  </r>
  <r>
    <x v="10"/>
    <x v="4"/>
    <s v="Jan-23"/>
    <x v="5"/>
    <n v="177.8"/>
    <n v="171.8"/>
    <n v="174.3"/>
    <s v="Education"/>
  </r>
  <r>
    <x v="10"/>
    <x v="4"/>
    <s v="Jan-23"/>
    <x v="4"/>
    <n v="192.9"/>
    <n v="197"/>
    <n v="194.5"/>
    <s v="Food &amp; Beverages"/>
  </r>
  <r>
    <x v="10"/>
    <x v="4"/>
    <s v="Jan-23"/>
    <x v="8"/>
    <n v="175"/>
    <n v="179.5"/>
    <n v="176.7"/>
    <s v="Food &amp; Beverages"/>
  </r>
  <r>
    <x v="10"/>
    <x v="4"/>
    <s v="Jan-23"/>
    <x v="10"/>
    <n v="186.3"/>
    <n v="165.3"/>
    <n v="177.6"/>
    <s v="Apparel"/>
  </r>
  <r>
    <x v="10"/>
    <x v="4"/>
    <s v="Jan-23"/>
    <x v="9"/>
    <n v="156.30000000000001"/>
    <n v="160.5"/>
    <n v="158.30000000000001"/>
    <s v="Food &amp; Beverages"/>
  </r>
  <r>
    <x v="10"/>
    <x v="4"/>
    <s v="Jan-23"/>
    <x v="13"/>
    <n v="183.2"/>
    <n v="180.1"/>
    <n v="182"/>
    <s v="Energy"/>
  </r>
  <r>
    <x v="10"/>
    <x v="4"/>
    <s v="Jan-23"/>
    <x v="15"/>
    <n v="177.8"/>
    <n v="174.9"/>
    <n v="176.5"/>
    <s v="General Index"/>
  </r>
  <r>
    <x v="10"/>
    <x v="4"/>
    <s v="Jan-23"/>
    <x v="17"/>
    <n v="184.7"/>
    <n v="178.5"/>
    <n v="182.3"/>
    <s v="Health"/>
  </r>
  <r>
    <x v="10"/>
    <x v="4"/>
    <s v="Jan-23"/>
    <x v="19"/>
    <n v="177.2"/>
    <n v="168"/>
    <n v="172.9"/>
    <s v="Housing"/>
  </r>
  <r>
    <x v="10"/>
    <x v="4"/>
    <s v="Jan-23"/>
    <x v="21"/>
    <n v="0"/>
    <n v="172.1"/>
    <n v="172.1"/>
    <s v="Housing"/>
  </r>
  <r>
    <x v="10"/>
    <x v="4"/>
    <s v="Jan-23"/>
    <x v="2"/>
    <n v="208.3"/>
    <n v="215.2"/>
    <n v="210.7"/>
    <s v="Food &amp; Beverages"/>
  </r>
  <r>
    <x v="10"/>
    <x v="4"/>
    <s v="Jan-23"/>
    <x v="6"/>
    <n v="174.3"/>
    <n v="175.2"/>
    <n v="174.6"/>
    <s v="Food &amp; Beverages"/>
  </r>
  <r>
    <x v="10"/>
    <x v="4"/>
    <s v="Jan-23"/>
    <x v="23"/>
    <n v="176.5"/>
    <n v="168.9"/>
    <n v="172.8"/>
    <s v="Other goods &amp; services"/>
  </r>
  <r>
    <x v="10"/>
    <x v="4"/>
    <s v="Jan-23"/>
    <x v="18"/>
    <n v="176.9"/>
    <n v="163.69999999999999"/>
    <n v="171.4"/>
    <s v="Food &amp; Beverages"/>
  </r>
  <r>
    <x v="10"/>
    <x v="4"/>
    <s v="Jan-23"/>
    <x v="7"/>
    <n v="192.6"/>
    <n v="178"/>
    <n v="187.2"/>
    <s v="Food &amp; Beverages"/>
  </r>
  <r>
    <x v="10"/>
    <x v="4"/>
    <s v="Jan-23"/>
    <x v="22"/>
    <n v="196.9"/>
    <n v="201.6"/>
    <n v="198.2"/>
    <s v="Other goods &amp; services"/>
  </r>
  <r>
    <x v="10"/>
    <x v="4"/>
    <s v="Jan-23"/>
    <x v="24"/>
    <n v="178.4"/>
    <n v="178.8"/>
    <n v="178.6"/>
    <s v="Other goods &amp; services"/>
  </r>
  <r>
    <x v="10"/>
    <x v="4"/>
    <s v="Jan-23"/>
    <x v="20"/>
    <n v="188.5"/>
    <n v="194.3"/>
    <n v="191.2"/>
    <s v="Food &amp; Beverages"/>
  </r>
  <r>
    <x v="10"/>
    <x v="4"/>
    <s v="Jan-23"/>
    <x v="12"/>
    <n v="170.7"/>
    <n v="171.2"/>
    <n v="170.9"/>
    <s v="Food &amp; Beverages"/>
  </r>
  <r>
    <x v="10"/>
    <x v="4"/>
    <s v="Jan-23"/>
    <x v="26"/>
    <n v="171.8"/>
    <n v="167.8"/>
    <n v="169.5"/>
    <s v="Recreation"/>
  </r>
  <r>
    <x v="10"/>
    <x v="4"/>
    <s v="Jan-23"/>
    <x v="16"/>
    <n v="210.5"/>
    <n v="204.3"/>
    <n v="208.4"/>
    <s v="Food &amp; Beverages"/>
  </r>
  <r>
    <x v="10"/>
    <x v="4"/>
    <s v="Jan-23"/>
    <x v="14"/>
    <n v="120.3"/>
    <n v="122.7"/>
    <n v="121.1"/>
    <s v="Food &amp; Beverages"/>
  </r>
  <r>
    <x v="10"/>
    <x v="4"/>
    <s v="Jan-23"/>
    <x v="25"/>
    <n v="168.2"/>
    <n v="159.5"/>
    <n v="163.6"/>
    <s v="Transport"/>
  </r>
  <r>
    <x v="10"/>
    <x v="4"/>
    <s v="Jan-23"/>
    <x v="11"/>
    <n v="142.9"/>
    <n v="175.3"/>
    <n v="153.9"/>
    <s v="Food &amp; Beverages"/>
  </r>
  <r>
    <x v="10"/>
    <x v="7"/>
    <s v="Mar-23"/>
    <x v="0"/>
    <n v="174.3"/>
    <n v="174.7"/>
    <n v="174.4"/>
    <s v="Food &amp; Beverages"/>
  </r>
  <r>
    <x v="10"/>
    <x v="7"/>
    <s v="Mar-23"/>
    <x v="1"/>
    <n v="190"/>
    <n v="180.2"/>
    <n v="186.1"/>
    <s v="Apparel"/>
  </r>
  <r>
    <x v="10"/>
    <x v="7"/>
    <s v="Mar-23"/>
    <x v="3"/>
    <n v="189.6"/>
    <n v="178.2"/>
    <n v="185.1"/>
    <s v="Apparel"/>
  </r>
  <r>
    <x v="10"/>
    <x v="7"/>
    <s v="Mar-23"/>
    <x v="5"/>
    <n v="178.5"/>
    <n v="172.5"/>
    <n v="175"/>
    <s v="Education"/>
  </r>
  <r>
    <x v="10"/>
    <x v="7"/>
    <s v="Mar-23"/>
    <x v="4"/>
    <n v="173.9"/>
    <n v="177.2"/>
    <n v="175.2"/>
    <s v="Food &amp; Beverages"/>
  </r>
  <r>
    <x v="10"/>
    <x v="7"/>
    <s v="Mar-23"/>
    <x v="8"/>
    <n v="174.8"/>
    <n v="180.8"/>
    <n v="177"/>
    <s v="Food &amp; Beverages"/>
  </r>
  <r>
    <x v="10"/>
    <x v="7"/>
    <s v="Mar-23"/>
    <x v="10"/>
    <n v="187"/>
    <n v="167"/>
    <n v="178.7"/>
    <s v="Apparel"/>
  </r>
  <r>
    <x v="10"/>
    <x v="7"/>
    <s v="Mar-23"/>
    <x v="9"/>
    <n v="167.2"/>
    <n v="172.1"/>
    <n v="169.5"/>
    <s v="Food &amp; Beverages"/>
  </r>
  <r>
    <x v="10"/>
    <x v="7"/>
    <s v="Mar-23"/>
    <x v="13"/>
    <n v="181.4"/>
    <n v="182.6"/>
    <n v="181.9"/>
    <s v="Energy"/>
  </r>
  <r>
    <x v="10"/>
    <x v="7"/>
    <s v="Mar-23"/>
    <x v="15"/>
    <n v="178"/>
    <n v="176.3"/>
    <n v="177.2"/>
    <s v="General Index"/>
  </r>
  <r>
    <x v="10"/>
    <x v="7"/>
    <s v="Mar-23"/>
    <x v="17"/>
    <n v="186.6"/>
    <n v="180.8"/>
    <n v="184.4"/>
    <s v="Health"/>
  </r>
  <r>
    <x v="10"/>
    <x v="7"/>
    <s v="Mar-23"/>
    <x v="19"/>
    <n v="178.6"/>
    <n v="169.2"/>
    <n v="174.2"/>
    <s v="Housing"/>
  </r>
  <r>
    <x v="10"/>
    <x v="7"/>
    <s v="Mar-23"/>
    <x v="21"/>
    <n v="0"/>
    <n v="173.5"/>
    <n v="173.5"/>
    <s v="Housing"/>
  </r>
  <r>
    <x v="10"/>
    <x v="7"/>
    <s v="Mar-23"/>
    <x v="2"/>
    <n v="205.2"/>
    <n v="212.2"/>
    <n v="207.7"/>
    <s v="Food &amp; Beverages"/>
  </r>
  <r>
    <x v="10"/>
    <x v="7"/>
    <s v="Mar-23"/>
    <x v="6"/>
    <n v="177"/>
    <n v="177.9"/>
    <n v="177.3"/>
    <s v="Food &amp; Beverages"/>
  </r>
  <r>
    <x v="10"/>
    <x v="7"/>
    <s v="Mar-23"/>
    <x v="23"/>
    <n v="177.9"/>
    <n v="170"/>
    <n v="174.1"/>
    <s v="Other goods &amp; services"/>
  </r>
  <r>
    <x v="10"/>
    <x v="7"/>
    <s v="Mar-23"/>
    <x v="18"/>
    <n v="177.6"/>
    <n v="164.9"/>
    <n v="172.3"/>
    <s v="Food &amp; Beverages"/>
  </r>
  <r>
    <x v="10"/>
    <x v="7"/>
    <s v="Mar-23"/>
    <x v="7"/>
    <n v="183.3"/>
    <n v="172.2"/>
    <n v="179.2"/>
    <s v="Food &amp; Beverages"/>
  </r>
  <r>
    <x v="10"/>
    <x v="7"/>
    <s v="Mar-23"/>
    <x v="22"/>
    <n v="198.4"/>
    <n v="202.7"/>
    <n v="199.5"/>
    <s v="Other goods &amp; services"/>
  </r>
  <r>
    <x v="10"/>
    <x v="7"/>
    <s v="Mar-23"/>
    <x v="24"/>
    <n v="180.7"/>
    <n v="181.5"/>
    <n v="181"/>
    <s v="Other goods &amp; services"/>
  </r>
  <r>
    <x v="10"/>
    <x v="7"/>
    <s v="Mar-23"/>
    <x v="20"/>
    <n v="189.9"/>
    <n v="196.6"/>
    <n v="193"/>
    <s v="Food &amp; Beverages"/>
  </r>
  <r>
    <x v="10"/>
    <x v="7"/>
    <s v="Mar-23"/>
    <x v="12"/>
    <n v="170.5"/>
    <n v="172.2"/>
    <n v="171.1"/>
    <s v="Food &amp; Beverages"/>
  </r>
  <r>
    <x v="10"/>
    <x v="7"/>
    <s v="Mar-23"/>
    <x v="26"/>
    <n v="172.8"/>
    <n v="168.4"/>
    <n v="170.3"/>
    <s v="Recreation"/>
  </r>
  <r>
    <x v="10"/>
    <x v="7"/>
    <s v="Mar-23"/>
    <x v="16"/>
    <n v="212.1"/>
    <n v="204.8"/>
    <n v="209.7"/>
    <s v="Food &amp; Beverages"/>
  </r>
  <r>
    <x v="10"/>
    <x v="7"/>
    <s v="Mar-23"/>
    <x v="14"/>
    <n v="119.1"/>
    <n v="121.9"/>
    <n v="120"/>
    <s v="Food &amp; Beverages"/>
  </r>
  <r>
    <x v="10"/>
    <x v="7"/>
    <s v="Mar-23"/>
    <x v="25"/>
    <n v="169"/>
    <n v="159.80000000000001"/>
    <n v="164.2"/>
    <s v="Transport"/>
  </r>
  <r>
    <x v="10"/>
    <x v="7"/>
    <s v="Mar-23"/>
    <x v="11"/>
    <n v="140.9"/>
    <n v="175.9"/>
    <n v="152.80000000000001"/>
    <s v="Food &amp; Beverages"/>
  </r>
  <r>
    <x v="10"/>
    <x v="8"/>
    <s v="May-23"/>
    <x v="0"/>
    <n v="173.2"/>
    <n v="174.7"/>
    <n v="173.7"/>
    <s v="Food &amp; Beverages"/>
  </r>
  <r>
    <x v="10"/>
    <x v="8"/>
    <s v="May-23"/>
    <x v="1"/>
    <n v="191.2"/>
    <n v="181.3"/>
    <n v="187.3"/>
    <s v="Apparel"/>
  </r>
  <r>
    <x v="10"/>
    <x v="8"/>
    <s v="May-23"/>
    <x v="3"/>
    <n v="190.8"/>
    <n v="179.3"/>
    <n v="186.2"/>
    <s v="Apparel"/>
  </r>
  <r>
    <x v="10"/>
    <x v="8"/>
    <s v="May-23"/>
    <x v="5"/>
    <n v="180.3"/>
    <n v="174.8"/>
    <n v="177.1"/>
    <s v="Education"/>
  </r>
  <r>
    <x v="10"/>
    <x v="8"/>
    <s v="May-23"/>
    <x v="4"/>
    <n v="171"/>
    <n v="176.7"/>
    <n v="173.2"/>
    <s v="Food &amp; Beverages"/>
  </r>
  <r>
    <x v="10"/>
    <x v="8"/>
    <s v="May-23"/>
    <x v="8"/>
    <n v="176.8"/>
    <n v="183.1"/>
    <n v="179.1"/>
    <s v="Food &amp; Beverages"/>
  </r>
  <r>
    <x v="10"/>
    <x v="8"/>
    <s v="May-23"/>
    <x v="10"/>
    <n v="187.9"/>
    <n v="168.1"/>
    <n v="179.7"/>
    <s v="Apparel"/>
  </r>
  <r>
    <x v="10"/>
    <x v="8"/>
    <s v="May-23"/>
    <x v="9"/>
    <n v="169"/>
    <n v="175.8"/>
    <n v="172.2"/>
    <s v="Food &amp; Beverages"/>
  </r>
  <r>
    <x v="10"/>
    <x v="8"/>
    <s v="May-23"/>
    <x v="13"/>
    <n v="182.5"/>
    <n v="183.4"/>
    <n v="182.8"/>
    <s v="Energy"/>
  </r>
  <r>
    <x v="10"/>
    <x v="8"/>
    <s v="May-23"/>
    <x v="15"/>
    <n v="179.8"/>
    <n v="178.2"/>
    <n v="179.1"/>
    <s v="General Index"/>
  </r>
  <r>
    <x v="10"/>
    <x v="8"/>
    <s v="May-23"/>
    <x v="17"/>
    <n v="187.8"/>
    <n v="182.2"/>
    <n v="185.7"/>
    <s v="Health"/>
  </r>
  <r>
    <x v="10"/>
    <x v="8"/>
    <s v="May-23"/>
    <x v="19"/>
    <n v="179.8"/>
    <n v="170.1"/>
    <n v="175.2"/>
    <s v="Housing"/>
  </r>
  <r>
    <x v="10"/>
    <x v="8"/>
    <s v="May-23"/>
    <x v="21"/>
    <n v="0"/>
    <n v="175.6"/>
    <n v="175.6"/>
    <s v="Housing"/>
  </r>
  <r>
    <x v="10"/>
    <x v="8"/>
    <s v="May-23"/>
    <x v="2"/>
    <n v="211.5"/>
    <n v="219.4"/>
    <n v="214.3"/>
    <s v="Food &amp; Beverages"/>
  </r>
  <r>
    <x v="10"/>
    <x v="8"/>
    <s v="May-23"/>
    <x v="6"/>
    <n v="179.6"/>
    <n v="179.4"/>
    <n v="179.5"/>
    <s v="Food &amp; Beverages"/>
  </r>
  <r>
    <x v="10"/>
    <x v="8"/>
    <s v="May-23"/>
    <x v="23"/>
    <n v="179.5"/>
    <n v="171.6"/>
    <n v="175.7"/>
    <s v="Other goods &amp; services"/>
  </r>
  <r>
    <x v="10"/>
    <x v="8"/>
    <s v="May-23"/>
    <x v="18"/>
    <n v="178.7"/>
    <n v="165.9"/>
    <n v="173.4"/>
    <s v="Food &amp; Beverages"/>
  </r>
  <r>
    <x v="10"/>
    <x v="8"/>
    <s v="May-23"/>
    <x v="7"/>
    <n v="173.3"/>
    <n v="164.4"/>
    <n v="170"/>
    <s v="Food &amp; Beverages"/>
  </r>
  <r>
    <x v="10"/>
    <x v="8"/>
    <s v="May-23"/>
    <x v="22"/>
    <n v="199.9"/>
    <n v="204.2"/>
    <n v="201"/>
    <s v="Other goods &amp; services"/>
  </r>
  <r>
    <x v="10"/>
    <x v="8"/>
    <s v="May-23"/>
    <x v="24"/>
    <n v="184.9"/>
    <n v="185.6"/>
    <n v="185.2"/>
    <s v="Other goods &amp; services"/>
  </r>
  <r>
    <x v="10"/>
    <x v="8"/>
    <s v="May-23"/>
    <x v="20"/>
    <n v="191.1"/>
    <n v="197.7"/>
    <n v="194.2"/>
    <s v="Food &amp; Beverages"/>
  </r>
  <r>
    <x v="10"/>
    <x v="8"/>
    <s v="May-23"/>
    <x v="12"/>
    <n v="174.9"/>
    <n v="176.9"/>
    <n v="175.6"/>
    <s v="Food &amp; Beverages"/>
  </r>
  <r>
    <x v="10"/>
    <x v="8"/>
    <s v="May-23"/>
    <x v="26"/>
    <n v="173.8"/>
    <n v="169.2"/>
    <n v="171.2"/>
    <s v="Recreation"/>
  </r>
  <r>
    <x v="10"/>
    <x v="8"/>
    <s v="May-23"/>
    <x v="16"/>
    <n v="221"/>
    <n v="211.9"/>
    <n v="218"/>
    <s v="Food &amp; Beverages"/>
  </r>
  <r>
    <x v="10"/>
    <x v="8"/>
    <s v="May-23"/>
    <x v="14"/>
    <n v="121.9"/>
    <n v="124.2"/>
    <n v="122.7"/>
    <s v="Food &amp; Beverages"/>
  </r>
  <r>
    <x v="10"/>
    <x v="8"/>
    <s v="May-23"/>
    <x v="25"/>
    <n v="169.7"/>
    <n v="160.4"/>
    <n v="164.8"/>
    <s v="Transport"/>
  </r>
  <r>
    <x v="10"/>
    <x v="8"/>
    <s v="May-23"/>
    <x v="11"/>
    <n v="148.69999999999999"/>
    <n v="185"/>
    <n v="161"/>
    <s v="Food &amp; Beverag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x v="0"/>
    <x v="0"/>
    <x v="0"/>
    <n v="110.2"/>
  </r>
  <r>
    <x v="0"/>
    <x v="0"/>
    <x v="0"/>
    <x v="0"/>
    <x v="0"/>
    <x v="1"/>
    <n v="111.6"/>
  </r>
  <r>
    <x v="0"/>
    <x v="0"/>
    <x v="0"/>
    <x v="0"/>
    <x v="0"/>
    <x v="2"/>
    <n v="114.6"/>
  </r>
  <r>
    <x v="0"/>
    <x v="1"/>
    <x v="1"/>
    <x v="0"/>
    <x v="0"/>
    <x v="0"/>
    <n v="114.3"/>
  </r>
  <r>
    <x v="0"/>
    <x v="1"/>
    <x v="1"/>
    <x v="0"/>
    <x v="0"/>
    <x v="1"/>
    <n v="115.6"/>
  </r>
  <r>
    <x v="0"/>
    <x v="1"/>
    <x v="1"/>
    <x v="0"/>
    <x v="0"/>
    <x v="2"/>
    <n v="118.3"/>
  </r>
  <r>
    <x v="0"/>
    <x v="0"/>
    <x v="0"/>
    <x v="1"/>
    <x v="1"/>
    <x v="0"/>
    <n v="108.1"/>
  </r>
  <r>
    <x v="0"/>
    <x v="0"/>
    <x v="0"/>
    <x v="1"/>
    <x v="1"/>
    <x v="1"/>
    <n v="108"/>
  </r>
  <r>
    <x v="0"/>
    <x v="0"/>
    <x v="0"/>
    <x v="1"/>
    <x v="1"/>
    <x v="2"/>
    <n v="107.9"/>
  </r>
  <r>
    <x v="0"/>
    <x v="0"/>
    <x v="0"/>
    <x v="2"/>
    <x v="0"/>
    <x v="0"/>
    <n v="109.5"/>
  </r>
  <r>
    <x v="0"/>
    <x v="0"/>
    <x v="0"/>
    <x v="2"/>
    <x v="0"/>
    <x v="1"/>
    <n v="110.9"/>
  </r>
  <r>
    <x v="0"/>
    <x v="0"/>
    <x v="0"/>
    <x v="2"/>
    <x v="0"/>
    <x v="2"/>
    <n v="113.4"/>
  </r>
  <r>
    <x v="0"/>
    <x v="0"/>
    <x v="0"/>
    <x v="3"/>
    <x v="1"/>
    <x v="0"/>
    <n v="108"/>
  </r>
  <r>
    <x v="0"/>
    <x v="0"/>
    <x v="0"/>
    <x v="3"/>
    <x v="1"/>
    <x v="1"/>
    <n v="107.9"/>
  </r>
  <r>
    <x v="0"/>
    <x v="0"/>
    <x v="0"/>
    <x v="3"/>
    <x v="1"/>
    <x v="2"/>
    <n v="107.7"/>
  </r>
  <r>
    <x v="0"/>
    <x v="0"/>
    <x v="0"/>
    <x v="4"/>
    <x v="0"/>
    <x v="0"/>
    <n v="106.9"/>
  </r>
  <r>
    <x v="0"/>
    <x v="0"/>
    <x v="0"/>
    <x v="4"/>
    <x v="0"/>
    <x v="1"/>
    <n v="106.6"/>
  </r>
  <r>
    <x v="0"/>
    <x v="0"/>
    <x v="0"/>
    <x v="4"/>
    <x v="0"/>
    <x v="2"/>
    <n v="106"/>
  </r>
  <r>
    <x v="0"/>
    <x v="0"/>
    <x v="0"/>
    <x v="5"/>
    <x v="2"/>
    <x v="0"/>
    <n v="104.8"/>
  </r>
  <r>
    <x v="0"/>
    <x v="0"/>
    <x v="0"/>
    <x v="5"/>
    <x v="2"/>
    <x v="1"/>
    <n v="105"/>
  </r>
  <r>
    <x v="0"/>
    <x v="0"/>
    <x v="0"/>
    <x v="5"/>
    <x v="2"/>
    <x v="2"/>
    <n v="105.2"/>
  </r>
  <r>
    <x v="0"/>
    <x v="0"/>
    <x v="0"/>
    <x v="6"/>
    <x v="0"/>
    <x v="0"/>
    <n v="106.3"/>
  </r>
  <r>
    <x v="0"/>
    <x v="0"/>
    <x v="0"/>
    <x v="6"/>
    <x v="0"/>
    <x v="1"/>
    <n v="105.7"/>
  </r>
  <r>
    <x v="0"/>
    <x v="0"/>
    <x v="0"/>
    <x v="6"/>
    <x v="0"/>
    <x v="2"/>
    <n v="104.7"/>
  </r>
  <r>
    <x v="0"/>
    <x v="0"/>
    <x v="0"/>
    <x v="7"/>
    <x v="0"/>
    <x v="0"/>
    <n v="105.7"/>
  </r>
  <r>
    <x v="0"/>
    <x v="0"/>
    <x v="0"/>
    <x v="7"/>
    <x v="0"/>
    <x v="1"/>
    <n v="104.4"/>
  </r>
  <r>
    <x v="0"/>
    <x v="0"/>
    <x v="0"/>
    <x v="7"/>
    <x v="0"/>
    <x v="2"/>
    <n v="102.1"/>
  </r>
  <r>
    <x v="0"/>
    <x v="0"/>
    <x v="0"/>
    <x v="8"/>
    <x v="0"/>
    <x v="0"/>
    <n v="107.1"/>
  </r>
  <r>
    <x v="0"/>
    <x v="0"/>
    <x v="0"/>
    <x v="8"/>
    <x v="0"/>
    <x v="1"/>
    <n v="107.7"/>
  </r>
  <r>
    <x v="0"/>
    <x v="0"/>
    <x v="0"/>
    <x v="8"/>
    <x v="0"/>
    <x v="2"/>
    <n v="108.8"/>
  </r>
  <r>
    <x v="0"/>
    <x v="0"/>
    <x v="0"/>
    <x v="9"/>
    <x v="0"/>
    <x v="0"/>
    <n v="108.3"/>
  </r>
  <r>
    <x v="0"/>
    <x v="0"/>
    <x v="0"/>
    <x v="9"/>
    <x v="0"/>
    <x v="1"/>
    <n v="108.9"/>
  </r>
  <r>
    <x v="0"/>
    <x v="0"/>
    <x v="0"/>
    <x v="9"/>
    <x v="0"/>
    <x v="2"/>
    <n v="109.5"/>
  </r>
  <r>
    <x v="0"/>
    <x v="0"/>
    <x v="0"/>
    <x v="10"/>
    <x v="1"/>
    <x v="0"/>
    <n v="107.4"/>
  </r>
  <r>
    <x v="0"/>
    <x v="0"/>
    <x v="0"/>
    <x v="10"/>
    <x v="1"/>
    <x v="1"/>
    <n v="107"/>
  </r>
  <r>
    <x v="0"/>
    <x v="0"/>
    <x v="0"/>
    <x v="10"/>
    <x v="1"/>
    <x v="2"/>
    <n v="106.4"/>
  </r>
  <r>
    <x v="0"/>
    <x v="0"/>
    <x v="0"/>
    <x v="11"/>
    <x v="0"/>
    <x v="0"/>
    <n v="103.4"/>
  </r>
  <r>
    <x v="0"/>
    <x v="0"/>
    <x v="0"/>
    <x v="11"/>
    <x v="0"/>
    <x v="1"/>
    <n v="105.5"/>
  </r>
  <r>
    <x v="0"/>
    <x v="0"/>
    <x v="0"/>
    <x v="11"/>
    <x v="0"/>
    <x v="2"/>
    <n v="109.7"/>
  </r>
  <r>
    <x v="0"/>
    <x v="0"/>
    <x v="0"/>
    <x v="12"/>
    <x v="0"/>
    <x v="0"/>
    <n v="105.7"/>
  </r>
  <r>
    <x v="0"/>
    <x v="0"/>
    <x v="0"/>
    <x v="12"/>
    <x v="0"/>
    <x v="1"/>
    <n v="105.3"/>
  </r>
  <r>
    <x v="0"/>
    <x v="0"/>
    <x v="0"/>
    <x v="12"/>
    <x v="0"/>
    <x v="2"/>
    <n v="104.6"/>
  </r>
  <r>
    <x v="0"/>
    <x v="0"/>
    <x v="0"/>
    <x v="13"/>
    <x v="3"/>
    <x v="0"/>
    <n v="106.5"/>
  </r>
  <r>
    <x v="0"/>
    <x v="0"/>
    <x v="0"/>
    <x v="13"/>
    <x v="3"/>
    <x v="1"/>
    <n v="106.5"/>
  </r>
  <r>
    <x v="0"/>
    <x v="0"/>
    <x v="0"/>
    <x v="13"/>
    <x v="3"/>
    <x v="2"/>
    <n v="106.4"/>
  </r>
  <r>
    <x v="0"/>
    <x v="0"/>
    <x v="0"/>
    <x v="14"/>
    <x v="0"/>
    <x v="0"/>
    <n v="104.2"/>
  </r>
  <r>
    <x v="0"/>
    <x v="0"/>
    <x v="0"/>
    <x v="14"/>
    <x v="0"/>
    <x v="1"/>
    <n v="103.5"/>
  </r>
  <r>
    <x v="0"/>
    <x v="0"/>
    <x v="0"/>
    <x v="14"/>
    <x v="0"/>
    <x v="2"/>
    <n v="102"/>
  </r>
  <r>
    <x v="0"/>
    <x v="0"/>
    <x v="0"/>
    <x v="15"/>
    <x v="4"/>
    <x v="0"/>
    <n v="106.4"/>
  </r>
  <r>
    <x v="0"/>
    <x v="0"/>
    <x v="0"/>
    <x v="15"/>
    <x v="4"/>
    <x v="1"/>
    <n v="106.1"/>
  </r>
  <r>
    <x v="0"/>
    <x v="0"/>
    <x v="0"/>
    <x v="15"/>
    <x v="4"/>
    <x v="2"/>
    <n v="105.7"/>
  </r>
  <r>
    <x v="0"/>
    <x v="0"/>
    <x v="0"/>
    <x v="16"/>
    <x v="0"/>
    <x v="0"/>
    <n v="103.2"/>
  </r>
  <r>
    <x v="0"/>
    <x v="0"/>
    <x v="0"/>
    <x v="16"/>
    <x v="0"/>
    <x v="1"/>
    <n v="103.3"/>
  </r>
  <r>
    <x v="0"/>
    <x v="0"/>
    <x v="0"/>
    <x v="16"/>
    <x v="0"/>
    <x v="2"/>
    <n v="103.5"/>
  </r>
  <r>
    <x v="0"/>
    <x v="0"/>
    <x v="0"/>
    <x v="17"/>
    <x v="5"/>
    <x v="0"/>
    <n v="105.1"/>
  </r>
  <r>
    <x v="0"/>
    <x v="0"/>
    <x v="0"/>
    <x v="17"/>
    <x v="5"/>
    <x v="1"/>
    <n v="105.3"/>
  </r>
  <r>
    <x v="0"/>
    <x v="0"/>
    <x v="0"/>
    <x v="17"/>
    <x v="5"/>
    <x v="2"/>
    <n v="105.7"/>
  </r>
  <r>
    <x v="0"/>
    <x v="0"/>
    <x v="0"/>
    <x v="18"/>
    <x v="0"/>
    <x v="0"/>
    <n v="106.5"/>
  </r>
  <r>
    <x v="0"/>
    <x v="0"/>
    <x v="0"/>
    <x v="18"/>
    <x v="0"/>
    <x v="1"/>
    <n v="107.2"/>
  </r>
  <r>
    <x v="0"/>
    <x v="0"/>
    <x v="0"/>
    <x v="18"/>
    <x v="0"/>
    <x v="2"/>
    <n v="108.2"/>
  </r>
  <r>
    <x v="0"/>
    <x v="0"/>
    <x v="0"/>
    <x v="19"/>
    <x v="6"/>
    <x v="0"/>
    <n v="106.1"/>
  </r>
  <r>
    <x v="0"/>
    <x v="0"/>
    <x v="0"/>
    <x v="19"/>
    <x v="6"/>
    <x v="1"/>
    <n v="106.3"/>
  </r>
  <r>
    <x v="0"/>
    <x v="0"/>
    <x v="0"/>
    <x v="19"/>
    <x v="6"/>
    <x v="2"/>
    <n v="106.5"/>
  </r>
  <r>
    <x v="0"/>
    <x v="0"/>
    <x v="0"/>
    <x v="20"/>
    <x v="0"/>
    <x v="0"/>
    <n v="108.8"/>
  </r>
  <r>
    <x v="0"/>
    <x v="0"/>
    <x v="0"/>
    <x v="20"/>
    <x v="0"/>
    <x v="1"/>
    <n v="109.6"/>
  </r>
  <r>
    <x v="0"/>
    <x v="0"/>
    <x v="0"/>
    <x v="20"/>
    <x v="0"/>
    <x v="2"/>
    <n v="110.6"/>
  </r>
  <r>
    <x v="0"/>
    <x v="0"/>
    <x v="0"/>
    <x v="21"/>
    <x v="6"/>
    <x v="0"/>
    <n v="0"/>
  </r>
  <r>
    <x v="0"/>
    <x v="0"/>
    <x v="0"/>
    <x v="21"/>
    <x v="6"/>
    <x v="1"/>
    <n v="100.5"/>
  </r>
  <r>
    <x v="0"/>
    <x v="0"/>
    <x v="0"/>
    <x v="21"/>
    <x v="6"/>
    <x v="2"/>
    <n v="100.5"/>
  </r>
  <r>
    <x v="0"/>
    <x v="0"/>
    <x v="0"/>
    <x v="22"/>
    <x v="7"/>
    <x v="0"/>
    <n v="107.1"/>
  </r>
  <r>
    <x v="0"/>
    <x v="0"/>
    <x v="0"/>
    <x v="22"/>
    <x v="7"/>
    <x v="1"/>
    <n v="107.5"/>
  </r>
  <r>
    <x v="0"/>
    <x v="0"/>
    <x v="0"/>
    <x v="22"/>
    <x v="7"/>
    <x v="2"/>
    <n v="108.5"/>
  </r>
  <r>
    <x v="0"/>
    <x v="0"/>
    <x v="0"/>
    <x v="23"/>
    <x v="7"/>
    <x v="0"/>
    <n v="104.6"/>
  </r>
  <r>
    <x v="0"/>
    <x v="0"/>
    <x v="0"/>
    <x v="23"/>
    <x v="7"/>
    <x v="1"/>
    <n v="104.8"/>
  </r>
  <r>
    <x v="0"/>
    <x v="0"/>
    <x v="0"/>
    <x v="23"/>
    <x v="7"/>
    <x v="2"/>
    <n v="105.1"/>
  </r>
  <r>
    <x v="0"/>
    <x v="0"/>
    <x v="0"/>
    <x v="24"/>
    <x v="7"/>
    <x v="0"/>
    <n v="102.7"/>
  </r>
  <r>
    <x v="0"/>
    <x v="0"/>
    <x v="0"/>
    <x v="24"/>
    <x v="7"/>
    <x v="1"/>
    <n v="102.9"/>
  </r>
  <r>
    <x v="0"/>
    <x v="0"/>
    <x v="0"/>
    <x v="24"/>
    <x v="7"/>
    <x v="2"/>
    <n v="103.2"/>
  </r>
  <r>
    <x v="0"/>
    <x v="0"/>
    <x v="0"/>
    <x v="25"/>
    <x v="8"/>
    <x v="0"/>
    <n v="104.4"/>
  </r>
  <r>
    <x v="0"/>
    <x v="0"/>
    <x v="0"/>
    <x v="25"/>
    <x v="8"/>
    <x v="1"/>
    <n v="104.7"/>
  </r>
  <r>
    <x v="0"/>
    <x v="0"/>
    <x v="0"/>
    <x v="25"/>
    <x v="8"/>
    <x v="2"/>
    <n v="105"/>
  </r>
  <r>
    <x v="0"/>
    <x v="0"/>
    <x v="0"/>
    <x v="26"/>
    <x v="9"/>
    <x v="0"/>
    <n v="104.5"/>
  </r>
  <r>
    <x v="0"/>
    <x v="0"/>
    <x v="0"/>
    <x v="26"/>
    <x v="9"/>
    <x v="1"/>
    <n v="104.2"/>
  </r>
  <r>
    <x v="0"/>
    <x v="0"/>
    <x v="0"/>
    <x v="26"/>
    <x v="9"/>
    <x v="2"/>
    <n v="104"/>
  </r>
  <r>
    <x v="0"/>
    <x v="1"/>
    <x v="1"/>
    <x v="1"/>
    <x v="1"/>
    <x v="0"/>
    <n v="111.3"/>
  </r>
  <r>
    <x v="0"/>
    <x v="1"/>
    <x v="1"/>
    <x v="1"/>
    <x v="1"/>
    <x v="1"/>
    <n v="111"/>
  </r>
  <r>
    <x v="0"/>
    <x v="1"/>
    <x v="1"/>
    <x v="1"/>
    <x v="1"/>
    <x v="2"/>
    <n v="110.6"/>
  </r>
  <r>
    <x v="0"/>
    <x v="1"/>
    <x v="1"/>
    <x v="3"/>
    <x v="1"/>
    <x v="0"/>
    <n v="111.1"/>
  </r>
  <r>
    <x v="0"/>
    <x v="1"/>
    <x v="1"/>
    <x v="3"/>
    <x v="1"/>
    <x v="1"/>
    <n v="110.7"/>
  </r>
  <r>
    <x v="0"/>
    <x v="1"/>
    <x v="1"/>
    <x v="3"/>
    <x v="1"/>
    <x v="2"/>
    <n v="110.2"/>
  </r>
  <r>
    <x v="0"/>
    <x v="1"/>
    <x v="1"/>
    <x v="5"/>
    <x v="2"/>
    <x v="0"/>
    <n v="108.7"/>
  </r>
  <r>
    <x v="0"/>
    <x v="1"/>
    <x v="1"/>
    <x v="5"/>
    <x v="2"/>
    <x v="1"/>
    <n v="109.9"/>
  </r>
  <r>
    <x v="0"/>
    <x v="1"/>
    <x v="1"/>
    <x v="5"/>
    <x v="2"/>
    <x v="2"/>
    <n v="110.8"/>
  </r>
  <r>
    <x v="0"/>
    <x v="1"/>
    <x v="1"/>
    <x v="4"/>
    <x v="0"/>
    <x v="0"/>
    <n v="111.1"/>
  </r>
  <r>
    <x v="0"/>
    <x v="1"/>
    <x v="1"/>
    <x v="4"/>
    <x v="0"/>
    <x v="1"/>
    <n v="111.7"/>
  </r>
  <r>
    <x v="0"/>
    <x v="1"/>
    <x v="1"/>
    <x v="4"/>
    <x v="0"/>
    <x v="2"/>
    <n v="112.7"/>
  </r>
  <r>
    <x v="0"/>
    <x v="1"/>
    <x v="1"/>
    <x v="8"/>
    <x v="0"/>
    <x v="0"/>
    <n v="114.9"/>
  </r>
  <r>
    <x v="0"/>
    <x v="1"/>
    <x v="1"/>
    <x v="8"/>
    <x v="0"/>
    <x v="1"/>
    <n v="116.6"/>
  </r>
  <r>
    <x v="0"/>
    <x v="1"/>
    <x v="1"/>
    <x v="8"/>
    <x v="0"/>
    <x v="2"/>
    <n v="119.6"/>
  </r>
  <r>
    <x v="0"/>
    <x v="1"/>
    <x v="1"/>
    <x v="10"/>
    <x v="1"/>
    <x v="0"/>
    <n v="110.2"/>
  </r>
  <r>
    <x v="0"/>
    <x v="1"/>
    <x v="1"/>
    <x v="10"/>
    <x v="1"/>
    <x v="1"/>
    <n v="109.4"/>
  </r>
  <r>
    <x v="0"/>
    <x v="1"/>
    <x v="1"/>
    <x v="10"/>
    <x v="1"/>
    <x v="2"/>
    <n v="108.3"/>
  </r>
  <r>
    <x v="0"/>
    <x v="1"/>
    <x v="1"/>
    <x v="9"/>
    <x v="0"/>
    <x v="0"/>
    <n v="110.8"/>
  </r>
  <r>
    <x v="0"/>
    <x v="1"/>
    <x v="1"/>
    <x v="9"/>
    <x v="0"/>
    <x v="1"/>
    <n v="109.8"/>
  </r>
  <r>
    <x v="0"/>
    <x v="1"/>
    <x v="1"/>
    <x v="9"/>
    <x v="0"/>
    <x v="2"/>
    <n v="108.7"/>
  </r>
  <r>
    <x v="0"/>
    <x v="1"/>
    <x v="1"/>
    <x v="13"/>
    <x v="3"/>
    <x v="0"/>
    <n v="109.9"/>
  </r>
  <r>
    <x v="0"/>
    <x v="1"/>
    <x v="1"/>
    <x v="13"/>
    <x v="3"/>
    <x v="1"/>
    <n v="109.7"/>
  </r>
  <r>
    <x v="0"/>
    <x v="1"/>
    <x v="1"/>
    <x v="13"/>
    <x v="3"/>
    <x v="2"/>
    <n v="109.3"/>
  </r>
  <r>
    <x v="0"/>
    <x v="1"/>
    <x v="1"/>
    <x v="15"/>
    <x v="4"/>
    <x v="0"/>
    <n v="112.1"/>
  </r>
  <r>
    <x v="0"/>
    <x v="1"/>
    <x v="1"/>
    <x v="15"/>
    <x v="4"/>
    <x v="1"/>
    <n v="112.4"/>
  </r>
  <r>
    <x v="0"/>
    <x v="1"/>
    <x v="1"/>
    <x v="15"/>
    <x v="4"/>
    <x v="2"/>
    <n v="112.7"/>
  </r>
  <r>
    <x v="0"/>
    <x v="1"/>
    <x v="1"/>
    <x v="17"/>
    <x v="5"/>
    <x v="0"/>
    <n v="107.5"/>
  </r>
  <r>
    <x v="0"/>
    <x v="1"/>
    <x v="1"/>
    <x v="17"/>
    <x v="5"/>
    <x v="1"/>
    <n v="107.5"/>
  </r>
  <r>
    <x v="0"/>
    <x v="1"/>
    <x v="1"/>
    <x v="17"/>
    <x v="5"/>
    <x v="2"/>
    <n v="107.6"/>
  </r>
  <r>
    <x v="0"/>
    <x v="1"/>
    <x v="1"/>
    <x v="19"/>
    <x v="6"/>
    <x v="0"/>
    <n v="108.7"/>
  </r>
  <r>
    <x v="0"/>
    <x v="1"/>
    <x v="1"/>
    <x v="19"/>
    <x v="6"/>
    <x v="1"/>
    <n v="108.7"/>
  </r>
  <r>
    <x v="0"/>
    <x v="1"/>
    <x v="1"/>
    <x v="19"/>
    <x v="6"/>
    <x v="2"/>
    <n v="108.7"/>
  </r>
  <r>
    <x v="0"/>
    <x v="1"/>
    <x v="1"/>
    <x v="21"/>
    <x v="6"/>
    <x v="0"/>
    <n v="0"/>
  </r>
  <r>
    <x v="0"/>
    <x v="1"/>
    <x v="1"/>
    <x v="21"/>
    <x v="6"/>
    <x v="1"/>
    <n v="108.9"/>
  </r>
  <r>
    <x v="0"/>
    <x v="1"/>
    <x v="1"/>
    <x v="21"/>
    <x v="6"/>
    <x v="2"/>
    <n v="108.9"/>
  </r>
  <r>
    <x v="0"/>
    <x v="1"/>
    <x v="1"/>
    <x v="2"/>
    <x v="0"/>
    <x v="0"/>
    <n v="115.4"/>
  </r>
  <r>
    <x v="0"/>
    <x v="1"/>
    <x v="1"/>
    <x v="2"/>
    <x v="0"/>
    <x v="1"/>
    <n v="117.2"/>
  </r>
  <r>
    <x v="0"/>
    <x v="1"/>
    <x v="1"/>
    <x v="2"/>
    <x v="0"/>
    <x v="2"/>
    <n v="120.4"/>
  </r>
  <r>
    <x v="0"/>
    <x v="1"/>
    <x v="1"/>
    <x v="6"/>
    <x v="0"/>
    <x v="0"/>
    <n v="110"/>
  </r>
  <r>
    <x v="0"/>
    <x v="1"/>
    <x v="1"/>
    <x v="6"/>
    <x v="0"/>
    <x v="1"/>
    <n v="109.6"/>
  </r>
  <r>
    <x v="0"/>
    <x v="1"/>
    <x v="1"/>
    <x v="6"/>
    <x v="0"/>
    <x v="2"/>
    <n v="108.9"/>
  </r>
  <r>
    <x v="0"/>
    <x v="1"/>
    <x v="1"/>
    <x v="23"/>
    <x v="7"/>
    <x v="0"/>
    <n v="107.5"/>
  </r>
  <r>
    <x v="0"/>
    <x v="1"/>
    <x v="1"/>
    <x v="23"/>
    <x v="7"/>
    <x v="1"/>
    <n v="107.9"/>
  </r>
  <r>
    <x v="0"/>
    <x v="1"/>
    <x v="1"/>
    <x v="23"/>
    <x v="7"/>
    <x v="2"/>
    <n v="108.3"/>
  </r>
  <r>
    <x v="0"/>
    <x v="1"/>
    <x v="1"/>
    <x v="18"/>
    <x v="0"/>
    <x v="0"/>
    <n v="109.7"/>
  </r>
  <r>
    <x v="0"/>
    <x v="1"/>
    <x v="1"/>
    <x v="18"/>
    <x v="0"/>
    <x v="1"/>
    <n v="110.2"/>
  </r>
  <r>
    <x v="0"/>
    <x v="1"/>
    <x v="1"/>
    <x v="18"/>
    <x v="0"/>
    <x v="2"/>
    <n v="110.9"/>
  </r>
  <r>
    <x v="0"/>
    <x v="1"/>
    <x v="1"/>
    <x v="7"/>
    <x v="0"/>
    <x v="0"/>
    <n v="106.4"/>
  </r>
  <r>
    <x v="0"/>
    <x v="1"/>
    <x v="1"/>
    <x v="7"/>
    <x v="0"/>
    <x v="1"/>
    <n v="104.5"/>
  </r>
  <r>
    <x v="0"/>
    <x v="1"/>
    <x v="1"/>
    <x v="7"/>
    <x v="0"/>
    <x v="2"/>
    <n v="101.1"/>
  </r>
  <r>
    <x v="0"/>
    <x v="1"/>
    <x v="1"/>
    <x v="22"/>
    <x v="7"/>
    <x v="0"/>
    <n v="110.7"/>
  </r>
  <r>
    <x v="0"/>
    <x v="1"/>
    <x v="1"/>
    <x v="22"/>
    <x v="7"/>
    <x v="1"/>
    <n v="111.2"/>
  </r>
  <r>
    <x v="0"/>
    <x v="1"/>
    <x v="1"/>
    <x v="22"/>
    <x v="7"/>
    <x v="2"/>
    <n v="112.4"/>
  </r>
  <r>
    <x v="0"/>
    <x v="1"/>
    <x v="1"/>
    <x v="24"/>
    <x v="7"/>
    <x v="0"/>
    <n v="105"/>
  </r>
  <r>
    <x v="0"/>
    <x v="1"/>
    <x v="1"/>
    <x v="24"/>
    <x v="7"/>
    <x v="1"/>
    <n v="105.4"/>
  </r>
  <r>
    <x v="0"/>
    <x v="1"/>
    <x v="1"/>
    <x v="24"/>
    <x v="7"/>
    <x v="2"/>
    <n v="106"/>
  </r>
  <r>
    <x v="0"/>
    <x v="1"/>
    <x v="1"/>
    <x v="20"/>
    <x v="0"/>
    <x v="0"/>
    <n v="112.6"/>
  </r>
  <r>
    <x v="0"/>
    <x v="1"/>
    <x v="1"/>
    <x v="20"/>
    <x v="0"/>
    <x v="1"/>
    <n v="113.4"/>
  </r>
  <r>
    <x v="0"/>
    <x v="1"/>
    <x v="1"/>
    <x v="20"/>
    <x v="0"/>
    <x v="2"/>
    <n v="114.3"/>
  </r>
  <r>
    <x v="0"/>
    <x v="1"/>
    <x v="1"/>
    <x v="12"/>
    <x v="0"/>
    <x v="0"/>
    <n v="107.4"/>
  </r>
  <r>
    <x v="0"/>
    <x v="1"/>
    <x v="1"/>
    <x v="12"/>
    <x v="0"/>
    <x v="1"/>
    <n v="106.5"/>
  </r>
  <r>
    <x v="0"/>
    <x v="1"/>
    <x v="1"/>
    <x v="12"/>
    <x v="0"/>
    <x v="2"/>
    <n v="104.7"/>
  </r>
  <r>
    <x v="0"/>
    <x v="1"/>
    <x v="1"/>
    <x v="26"/>
    <x v="9"/>
    <x v="0"/>
    <n v="106.8"/>
  </r>
  <r>
    <x v="0"/>
    <x v="1"/>
    <x v="1"/>
    <x v="26"/>
    <x v="9"/>
    <x v="1"/>
    <n v="106.6"/>
  </r>
  <r>
    <x v="0"/>
    <x v="1"/>
    <x v="1"/>
    <x v="26"/>
    <x v="9"/>
    <x v="2"/>
    <n v="106.5"/>
  </r>
  <r>
    <x v="0"/>
    <x v="1"/>
    <x v="1"/>
    <x v="16"/>
    <x v="0"/>
    <x v="0"/>
    <n v="106.9"/>
  </r>
  <r>
    <x v="0"/>
    <x v="1"/>
    <x v="1"/>
    <x v="16"/>
    <x v="0"/>
    <x v="1"/>
    <n v="107.4"/>
  </r>
  <r>
    <x v="0"/>
    <x v="1"/>
    <x v="1"/>
    <x v="16"/>
    <x v="0"/>
    <x v="2"/>
    <n v="108.5"/>
  </r>
  <r>
    <x v="0"/>
    <x v="1"/>
    <x v="1"/>
    <x v="14"/>
    <x v="0"/>
    <x v="0"/>
    <n v="104.1"/>
  </r>
  <r>
    <x v="0"/>
    <x v="1"/>
    <x v="1"/>
    <x v="14"/>
    <x v="0"/>
    <x v="1"/>
    <n v="103.1"/>
  </r>
  <r>
    <x v="0"/>
    <x v="1"/>
    <x v="1"/>
    <x v="14"/>
    <x v="0"/>
    <x v="2"/>
    <n v="101"/>
  </r>
  <r>
    <x v="0"/>
    <x v="1"/>
    <x v="1"/>
    <x v="25"/>
    <x v="8"/>
    <x v="0"/>
    <n v="107.8"/>
  </r>
  <r>
    <x v="0"/>
    <x v="1"/>
    <x v="1"/>
    <x v="25"/>
    <x v="8"/>
    <x v="1"/>
    <n v="108"/>
  </r>
  <r>
    <x v="0"/>
    <x v="1"/>
    <x v="1"/>
    <x v="25"/>
    <x v="8"/>
    <x v="2"/>
    <n v="108.1"/>
  </r>
  <r>
    <x v="0"/>
    <x v="1"/>
    <x v="1"/>
    <x v="11"/>
    <x v="0"/>
    <x v="0"/>
    <n v="138.9"/>
  </r>
  <r>
    <x v="0"/>
    <x v="1"/>
    <x v="1"/>
    <x v="11"/>
    <x v="0"/>
    <x v="1"/>
    <n v="151.80000000000001"/>
  </r>
  <r>
    <x v="0"/>
    <x v="1"/>
    <x v="1"/>
    <x v="11"/>
    <x v="0"/>
    <x v="2"/>
    <n v="177"/>
  </r>
  <r>
    <x v="0"/>
    <x v="2"/>
    <x v="2"/>
    <x v="0"/>
    <x v="0"/>
    <x v="0"/>
    <n v="118.4"/>
  </r>
  <r>
    <x v="0"/>
    <x v="2"/>
    <x v="2"/>
    <x v="0"/>
    <x v="0"/>
    <x v="1"/>
    <n v="119.1"/>
  </r>
  <r>
    <x v="0"/>
    <x v="2"/>
    <x v="2"/>
    <x v="0"/>
    <x v="0"/>
    <x v="2"/>
    <n v="120.5"/>
  </r>
  <r>
    <x v="0"/>
    <x v="2"/>
    <x v="2"/>
    <x v="1"/>
    <x v="1"/>
    <x v="0"/>
    <n v="115.8"/>
  </r>
  <r>
    <x v="0"/>
    <x v="2"/>
    <x v="2"/>
    <x v="1"/>
    <x v="1"/>
    <x v="1"/>
    <n v="115.2"/>
  </r>
  <r>
    <x v="0"/>
    <x v="2"/>
    <x v="2"/>
    <x v="1"/>
    <x v="1"/>
    <x v="2"/>
    <n v="114.2"/>
  </r>
  <r>
    <x v="0"/>
    <x v="2"/>
    <x v="2"/>
    <x v="3"/>
    <x v="1"/>
    <x v="0"/>
    <n v="115.5"/>
  </r>
  <r>
    <x v="0"/>
    <x v="2"/>
    <x v="2"/>
    <x v="3"/>
    <x v="1"/>
    <x v="1"/>
    <n v="114.8"/>
  </r>
  <r>
    <x v="0"/>
    <x v="2"/>
    <x v="2"/>
    <x v="3"/>
    <x v="1"/>
    <x v="2"/>
    <n v="113.7"/>
  </r>
  <r>
    <x v="0"/>
    <x v="2"/>
    <x v="2"/>
    <x v="5"/>
    <x v="2"/>
    <x v="0"/>
    <n v="111.6"/>
  </r>
  <r>
    <x v="0"/>
    <x v="2"/>
    <x v="2"/>
    <x v="5"/>
    <x v="2"/>
    <x v="1"/>
    <n v="111.5"/>
  </r>
  <r>
    <x v="0"/>
    <x v="2"/>
    <x v="2"/>
    <x v="5"/>
    <x v="2"/>
    <x v="2"/>
    <n v="111.4"/>
  </r>
  <r>
    <x v="0"/>
    <x v="2"/>
    <x v="2"/>
    <x v="4"/>
    <x v="0"/>
    <x v="0"/>
    <n v="120.4"/>
  </r>
  <r>
    <x v="0"/>
    <x v="2"/>
    <x v="2"/>
    <x v="4"/>
    <x v="0"/>
    <x v="1"/>
    <n v="123.5"/>
  </r>
  <r>
    <x v="0"/>
    <x v="2"/>
    <x v="2"/>
    <x v="4"/>
    <x v="0"/>
    <x v="2"/>
    <n v="128.5"/>
  </r>
  <r>
    <x v="0"/>
    <x v="2"/>
    <x v="2"/>
    <x v="8"/>
    <x v="0"/>
    <x v="0"/>
    <n v="118.7"/>
  </r>
  <r>
    <x v="0"/>
    <x v="2"/>
    <x v="2"/>
    <x v="8"/>
    <x v="0"/>
    <x v="1"/>
    <n v="118.4"/>
  </r>
  <r>
    <x v="0"/>
    <x v="2"/>
    <x v="2"/>
    <x v="8"/>
    <x v="0"/>
    <x v="2"/>
    <n v="117.8"/>
  </r>
  <r>
    <x v="0"/>
    <x v="2"/>
    <x v="2"/>
    <x v="10"/>
    <x v="1"/>
    <x v="0"/>
    <n v="114"/>
  </r>
  <r>
    <x v="0"/>
    <x v="2"/>
    <x v="2"/>
    <x v="10"/>
    <x v="1"/>
    <x v="1"/>
    <n v="112.7"/>
  </r>
  <r>
    <x v="0"/>
    <x v="2"/>
    <x v="2"/>
    <x v="10"/>
    <x v="1"/>
    <x v="2"/>
    <n v="110.9"/>
  </r>
  <r>
    <x v="0"/>
    <x v="2"/>
    <x v="2"/>
    <x v="9"/>
    <x v="0"/>
    <x v="0"/>
    <n v="115.5"/>
  </r>
  <r>
    <x v="0"/>
    <x v="2"/>
    <x v="2"/>
    <x v="9"/>
    <x v="0"/>
    <x v="1"/>
    <n v="113.3"/>
  </r>
  <r>
    <x v="0"/>
    <x v="2"/>
    <x v="2"/>
    <x v="9"/>
    <x v="0"/>
    <x v="2"/>
    <n v="110.7"/>
  </r>
  <r>
    <x v="0"/>
    <x v="2"/>
    <x v="2"/>
    <x v="13"/>
    <x v="3"/>
    <x v="0"/>
    <n v="112.8"/>
  </r>
  <r>
    <x v="0"/>
    <x v="2"/>
    <x v="2"/>
    <x v="13"/>
    <x v="3"/>
    <x v="1"/>
    <n v="111.9"/>
  </r>
  <r>
    <x v="0"/>
    <x v="2"/>
    <x v="2"/>
    <x v="13"/>
    <x v="3"/>
    <x v="2"/>
    <n v="110.4"/>
  </r>
  <r>
    <x v="0"/>
    <x v="2"/>
    <x v="2"/>
    <x v="15"/>
    <x v="4"/>
    <x v="0"/>
    <n v="115.5"/>
  </r>
  <r>
    <x v="0"/>
    <x v="2"/>
    <x v="2"/>
    <x v="15"/>
    <x v="4"/>
    <x v="1"/>
    <n v="114.5"/>
  </r>
  <r>
    <x v="0"/>
    <x v="2"/>
    <x v="2"/>
    <x v="15"/>
    <x v="4"/>
    <x v="2"/>
    <n v="113.3"/>
  </r>
  <r>
    <x v="0"/>
    <x v="2"/>
    <x v="2"/>
    <x v="17"/>
    <x v="5"/>
    <x v="0"/>
    <n v="110.1"/>
  </r>
  <r>
    <x v="0"/>
    <x v="2"/>
    <x v="2"/>
    <x v="17"/>
    <x v="5"/>
    <x v="1"/>
    <n v="109.7"/>
  </r>
  <r>
    <x v="0"/>
    <x v="2"/>
    <x v="2"/>
    <x v="17"/>
    <x v="5"/>
    <x v="2"/>
    <n v="109"/>
  </r>
  <r>
    <x v="0"/>
    <x v="2"/>
    <x v="2"/>
    <x v="19"/>
    <x v="6"/>
    <x v="0"/>
    <n v="112.1"/>
  </r>
  <r>
    <x v="0"/>
    <x v="2"/>
    <x v="2"/>
    <x v="19"/>
    <x v="6"/>
    <x v="1"/>
    <n v="111.7"/>
  </r>
  <r>
    <x v="0"/>
    <x v="2"/>
    <x v="2"/>
    <x v="19"/>
    <x v="6"/>
    <x v="2"/>
    <n v="111.3"/>
  </r>
  <r>
    <x v="0"/>
    <x v="2"/>
    <x v="2"/>
    <x v="21"/>
    <x v="6"/>
    <x v="0"/>
    <n v="0"/>
  </r>
  <r>
    <x v="0"/>
    <x v="2"/>
    <x v="2"/>
    <x v="21"/>
    <x v="6"/>
    <x v="1"/>
    <n v="110.7"/>
  </r>
  <r>
    <x v="0"/>
    <x v="2"/>
    <x v="2"/>
    <x v="21"/>
    <x v="6"/>
    <x v="2"/>
    <n v="110.7"/>
  </r>
  <r>
    <x v="0"/>
    <x v="2"/>
    <x v="2"/>
    <x v="2"/>
    <x v="0"/>
    <x v="0"/>
    <n v="115.9"/>
  </r>
  <r>
    <x v="0"/>
    <x v="2"/>
    <x v="2"/>
    <x v="2"/>
    <x v="0"/>
    <x v="1"/>
    <n v="116.7"/>
  </r>
  <r>
    <x v="0"/>
    <x v="2"/>
    <x v="2"/>
    <x v="2"/>
    <x v="0"/>
    <x v="2"/>
    <n v="118.1"/>
  </r>
  <r>
    <x v="0"/>
    <x v="2"/>
    <x v="2"/>
    <x v="6"/>
    <x v="0"/>
    <x v="0"/>
    <n v="113.8"/>
  </r>
  <r>
    <x v="0"/>
    <x v="2"/>
    <x v="2"/>
    <x v="6"/>
    <x v="0"/>
    <x v="1"/>
    <n v="113.4"/>
  </r>
  <r>
    <x v="0"/>
    <x v="2"/>
    <x v="2"/>
    <x v="6"/>
    <x v="0"/>
    <x v="2"/>
    <n v="112.8"/>
  </r>
  <r>
    <x v="0"/>
    <x v="2"/>
    <x v="2"/>
    <x v="23"/>
    <x v="7"/>
    <x v="0"/>
    <n v="110.1"/>
  </r>
  <r>
    <x v="0"/>
    <x v="2"/>
    <x v="2"/>
    <x v="23"/>
    <x v="7"/>
    <x v="1"/>
    <n v="110"/>
  </r>
  <r>
    <x v="0"/>
    <x v="2"/>
    <x v="2"/>
    <x v="23"/>
    <x v="7"/>
    <x v="2"/>
    <n v="109.8"/>
  </r>
  <r>
    <x v="0"/>
    <x v="2"/>
    <x v="2"/>
    <x v="18"/>
    <x v="0"/>
    <x v="0"/>
    <n v="112.1"/>
  </r>
  <r>
    <x v="0"/>
    <x v="2"/>
    <x v="2"/>
    <x v="18"/>
    <x v="0"/>
    <x v="1"/>
    <n v="112.1"/>
  </r>
  <r>
    <x v="0"/>
    <x v="2"/>
    <x v="2"/>
    <x v="18"/>
    <x v="0"/>
    <x v="2"/>
    <n v="112.1"/>
  </r>
  <r>
    <x v="0"/>
    <x v="2"/>
    <x v="2"/>
    <x v="7"/>
    <x v="0"/>
    <x v="0"/>
    <n v="109.5"/>
  </r>
  <r>
    <x v="0"/>
    <x v="2"/>
    <x v="2"/>
    <x v="7"/>
    <x v="0"/>
    <x v="1"/>
    <n v="107.3"/>
  </r>
  <r>
    <x v="0"/>
    <x v="2"/>
    <x v="2"/>
    <x v="7"/>
    <x v="0"/>
    <x v="2"/>
    <n v="103.4"/>
  </r>
  <r>
    <x v="0"/>
    <x v="2"/>
    <x v="2"/>
    <x v="22"/>
    <x v="7"/>
    <x v="0"/>
    <n v="113.6"/>
  </r>
  <r>
    <x v="0"/>
    <x v="2"/>
    <x v="2"/>
    <x v="22"/>
    <x v="7"/>
    <x v="1"/>
    <n v="114"/>
  </r>
  <r>
    <x v="0"/>
    <x v="2"/>
    <x v="2"/>
    <x v="22"/>
    <x v="7"/>
    <x v="2"/>
    <n v="115"/>
  </r>
  <r>
    <x v="0"/>
    <x v="2"/>
    <x v="2"/>
    <x v="24"/>
    <x v="7"/>
    <x v="0"/>
    <n v="108.1"/>
  </r>
  <r>
    <x v="0"/>
    <x v="2"/>
    <x v="2"/>
    <x v="24"/>
    <x v="7"/>
    <x v="1"/>
    <n v="107.9"/>
  </r>
  <r>
    <x v="0"/>
    <x v="2"/>
    <x v="2"/>
    <x v="24"/>
    <x v="7"/>
    <x v="2"/>
    <n v="107.7"/>
  </r>
  <r>
    <x v="0"/>
    <x v="2"/>
    <x v="2"/>
    <x v="20"/>
    <x v="0"/>
    <x v="0"/>
    <n v="116.8"/>
  </r>
  <r>
    <x v="0"/>
    <x v="2"/>
    <x v="2"/>
    <x v="20"/>
    <x v="0"/>
    <x v="1"/>
    <n v="117.4"/>
  </r>
  <r>
    <x v="0"/>
    <x v="2"/>
    <x v="2"/>
    <x v="20"/>
    <x v="0"/>
    <x v="2"/>
    <n v="118.1"/>
  </r>
  <r>
    <x v="0"/>
    <x v="2"/>
    <x v="2"/>
    <x v="12"/>
    <x v="0"/>
    <x v="0"/>
    <n v="109.5"/>
  </r>
  <r>
    <x v="0"/>
    <x v="2"/>
    <x v="2"/>
    <x v="12"/>
    <x v="0"/>
    <x v="1"/>
    <n v="108.7"/>
  </r>
  <r>
    <x v="0"/>
    <x v="2"/>
    <x v="2"/>
    <x v="12"/>
    <x v="0"/>
    <x v="2"/>
    <n v="107.1"/>
  </r>
  <r>
    <x v="0"/>
    <x v="2"/>
    <x v="2"/>
    <x v="26"/>
    <x v="9"/>
    <x v="0"/>
    <n v="109.2"/>
  </r>
  <r>
    <x v="0"/>
    <x v="2"/>
    <x v="2"/>
    <x v="26"/>
    <x v="9"/>
    <x v="1"/>
    <n v="109"/>
  </r>
  <r>
    <x v="0"/>
    <x v="2"/>
    <x v="2"/>
    <x v="26"/>
    <x v="9"/>
    <x v="2"/>
    <n v="108.9"/>
  </r>
  <r>
    <x v="0"/>
    <x v="2"/>
    <x v="2"/>
    <x v="16"/>
    <x v="0"/>
    <x v="0"/>
    <n v="109.8"/>
  </r>
  <r>
    <x v="0"/>
    <x v="2"/>
    <x v="2"/>
    <x v="16"/>
    <x v="0"/>
    <x v="1"/>
    <n v="110.5"/>
  </r>
  <r>
    <x v="0"/>
    <x v="2"/>
    <x v="2"/>
    <x v="16"/>
    <x v="0"/>
    <x v="2"/>
    <n v="111.9"/>
  </r>
  <r>
    <x v="0"/>
    <x v="2"/>
    <x v="2"/>
    <x v="14"/>
    <x v="0"/>
    <x v="0"/>
    <n v="102.9"/>
  </r>
  <r>
    <x v="0"/>
    <x v="2"/>
    <x v="2"/>
    <x v="14"/>
    <x v="0"/>
    <x v="1"/>
    <n v="101.5"/>
  </r>
  <r>
    <x v="0"/>
    <x v="2"/>
    <x v="2"/>
    <x v="14"/>
    <x v="0"/>
    <x v="2"/>
    <n v="98.6"/>
  </r>
  <r>
    <x v="0"/>
    <x v="2"/>
    <x v="2"/>
    <x v="25"/>
    <x v="8"/>
    <x v="0"/>
    <n v="109.9"/>
  </r>
  <r>
    <x v="0"/>
    <x v="2"/>
    <x v="2"/>
    <x v="25"/>
    <x v="8"/>
    <x v="1"/>
    <n v="109.8"/>
  </r>
  <r>
    <x v="0"/>
    <x v="2"/>
    <x v="2"/>
    <x v="25"/>
    <x v="8"/>
    <x v="2"/>
    <n v="109.7"/>
  </r>
  <r>
    <x v="0"/>
    <x v="2"/>
    <x v="2"/>
    <x v="11"/>
    <x v="0"/>
    <x v="0"/>
    <n v="145.69999999999999"/>
  </r>
  <r>
    <x v="0"/>
    <x v="2"/>
    <x v="2"/>
    <x v="11"/>
    <x v="0"/>
    <x v="1"/>
    <n v="145.4"/>
  </r>
  <r>
    <x v="0"/>
    <x v="2"/>
    <x v="2"/>
    <x v="11"/>
    <x v="0"/>
    <x v="2"/>
    <n v="144.80000000000001"/>
  </r>
  <r>
    <x v="0"/>
    <x v="3"/>
    <x v="3"/>
    <x v="0"/>
    <x v="0"/>
    <x v="0"/>
    <n v="109.2"/>
  </r>
  <r>
    <x v="0"/>
    <x v="3"/>
    <x v="3"/>
    <x v="0"/>
    <x v="0"/>
    <x v="1"/>
    <n v="110.4"/>
  </r>
  <r>
    <x v="0"/>
    <x v="3"/>
    <x v="3"/>
    <x v="0"/>
    <x v="0"/>
    <x v="2"/>
    <n v="112.9"/>
  </r>
  <r>
    <x v="0"/>
    <x v="3"/>
    <x v="3"/>
    <x v="1"/>
    <x v="1"/>
    <x v="0"/>
    <n v="107.1"/>
  </r>
  <r>
    <x v="0"/>
    <x v="3"/>
    <x v="3"/>
    <x v="1"/>
    <x v="1"/>
    <x v="1"/>
    <n v="106.9"/>
  </r>
  <r>
    <x v="0"/>
    <x v="3"/>
    <x v="3"/>
    <x v="1"/>
    <x v="1"/>
    <x v="2"/>
    <n v="106.6"/>
  </r>
  <r>
    <x v="0"/>
    <x v="3"/>
    <x v="3"/>
    <x v="3"/>
    <x v="1"/>
    <x v="0"/>
    <n v="107"/>
  </r>
  <r>
    <x v="0"/>
    <x v="3"/>
    <x v="3"/>
    <x v="3"/>
    <x v="1"/>
    <x v="1"/>
    <n v="106.8"/>
  </r>
  <r>
    <x v="0"/>
    <x v="3"/>
    <x v="3"/>
    <x v="3"/>
    <x v="1"/>
    <x v="2"/>
    <n v="106.4"/>
  </r>
  <r>
    <x v="0"/>
    <x v="3"/>
    <x v="3"/>
    <x v="5"/>
    <x v="2"/>
    <x v="0"/>
    <n v="104.1"/>
  </r>
  <r>
    <x v="0"/>
    <x v="3"/>
    <x v="3"/>
    <x v="5"/>
    <x v="2"/>
    <x v="1"/>
    <n v="103.9"/>
  </r>
  <r>
    <x v="0"/>
    <x v="3"/>
    <x v="3"/>
    <x v="5"/>
    <x v="2"/>
    <x v="2"/>
    <n v="103.7"/>
  </r>
  <r>
    <x v="0"/>
    <x v="3"/>
    <x v="3"/>
    <x v="4"/>
    <x v="0"/>
    <x v="0"/>
    <n v="110.2"/>
  </r>
  <r>
    <x v="0"/>
    <x v="3"/>
    <x v="3"/>
    <x v="4"/>
    <x v="0"/>
    <x v="1"/>
    <n v="112.8"/>
  </r>
  <r>
    <x v="0"/>
    <x v="3"/>
    <x v="3"/>
    <x v="4"/>
    <x v="0"/>
    <x v="2"/>
    <n v="116.9"/>
  </r>
  <r>
    <x v="0"/>
    <x v="3"/>
    <x v="3"/>
    <x v="8"/>
    <x v="0"/>
    <x v="0"/>
    <n v="106.3"/>
  </r>
  <r>
    <x v="0"/>
    <x v="3"/>
    <x v="3"/>
    <x v="8"/>
    <x v="0"/>
    <x v="1"/>
    <n v="106.6"/>
  </r>
  <r>
    <x v="0"/>
    <x v="3"/>
    <x v="3"/>
    <x v="8"/>
    <x v="0"/>
    <x v="2"/>
    <n v="107.2"/>
  </r>
  <r>
    <x v="0"/>
    <x v="3"/>
    <x v="3"/>
    <x v="10"/>
    <x v="1"/>
    <x v="0"/>
    <n v="106.3"/>
  </r>
  <r>
    <x v="0"/>
    <x v="3"/>
    <x v="3"/>
    <x v="10"/>
    <x v="1"/>
    <x v="1"/>
    <n v="106"/>
  </r>
  <r>
    <x v="0"/>
    <x v="3"/>
    <x v="3"/>
    <x v="10"/>
    <x v="1"/>
    <x v="2"/>
    <n v="105.5"/>
  </r>
  <r>
    <x v="0"/>
    <x v="3"/>
    <x v="3"/>
    <x v="9"/>
    <x v="0"/>
    <x v="0"/>
    <n v="104"/>
  </r>
  <r>
    <x v="0"/>
    <x v="3"/>
    <x v="3"/>
    <x v="9"/>
    <x v="0"/>
    <x v="1"/>
    <n v="103.6"/>
  </r>
  <r>
    <x v="0"/>
    <x v="3"/>
    <x v="3"/>
    <x v="9"/>
    <x v="0"/>
    <x v="2"/>
    <n v="103.1"/>
  </r>
  <r>
    <x v="0"/>
    <x v="3"/>
    <x v="3"/>
    <x v="13"/>
    <x v="3"/>
    <x v="0"/>
    <n v="106.2"/>
  </r>
  <r>
    <x v="0"/>
    <x v="3"/>
    <x v="3"/>
    <x v="13"/>
    <x v="3"/>
    <x v="1"/>
    <n v="106"/>
  </r>
  <r>
    <x v="0"/>
    <x v="3"/>
    <x v="3"/>
    <x v="13"/>
    <x v="3"/>
    <x v="2"/>
    <n v="105.7"/>
  </r>
  <r>
    <x v="0"/>
    <x v="3"/>
    <x v="3"/>
    <x v="15"/>
    <x v="4"/>
    <x v="0"/>
    <n v="105.8"/>
  </r>
  <r>
    <x v="0"/>
    <x v="3"/>
    <x v="3"/>
    <x v="15"/>
    <x v="4"/>
    <x v="1"/>
    <n v="105.3"/>
  </r>
  <r>
    <x v="0"/>
    <x v="3"/>
    <x v="3"/>
    <x v="15"/>
    <x v="4"/>
    <x v="2"/>
    <n v="104.7"/>
  </r>
  <r>
    <x v="0"/>
    <x v="3"/>
    <x v="3"/>
    <x v="17"/>
    <x v="5"/>
    <x v="0"/>
    <n v="104.4"/>
  </r>
  <r>
    <x v="0"/>
    <x v="3"/>
    <x v="3"/>
    <x v="17"/>
    <x v="5"/>
    <x v="1"/>
    <n v="104.5"/>
  </r>
  <r>
    <x v="0"/>
    <x v="3"/>
    <x v="3"/>
    <x v="17"/>
    <x v="5"/>
    <x v="2"/>
    <n v="104.7"/>
  </r>
  <r>
    <x v="0"/>
    <x v="3"/>
    <x v="3"/>
    <x v="19"/>
    <x v="6"/>
    <x v="0"/>
    <n v="105.2"/>
  </r>
  <r>
    <x v="0"/>
    <x v="3"/>
    <x v="3"/>
    <x v="19"/>
    <x v="6"/>
    <x v="1"/>
    <n v="105.2"/>
  </r>
  <r>
    <x v="0"/>
    <x v="3"/>
    <x v="3"/>
    <x v="19"/>
    <x v="6"/>
    <x v="2"/>
    <n v="105.2"/>
  </r>
  <r>
    <x v="0"/>
    <x v="3"/>
    <x v="3"/>
    <x v="21"/>
    <x v="6"/>
    <x v="0"/>
    <n v="0"/>
  </r>
  <r>
    <x v="0"/>
    <x v="3"/>
    <x v="3"/>
    <x v="21"/>
    <x v="6"/>
    <x v="1"/>
    <n v="100.4"/>
  </r>
  <r>
    <x v="0"/>
    <x v="3"/>
    <x v="3"/>
    <x v="21"/>
    <x v="6"/>
    <x v="2"/>
    <n v="100.4"/>
  </r>
  <r>
    <x v="0"/>
    <x v="3"/>
    <x v="3"/>
    <x v="2"/>
    <x v="0"/>
    <x v="0"/>
    <n v="108.7"/>
  </r>
  <r>
    <x v="0"/>
    <x v="3"/>
    <x v="3"/>
    <x v="2"/>
    <x v="0"/>
    <x v="1"/>
    <n v="110.2"/>
  </r>
  <r>
    <x v="0"/>
    <x v="3"/>
    <x v="3"/>
    <x v="2"/>
    <x v="0"/>
    <x v="2"/>
    <n v="112.9"/>
  </r>
  <r>
    <x v="0"/>
    <x v="3"/>
    <x v="3"/>
    <x v="6"/>
    <x v="0"/>
    <x v="0"/>
    <n v="105.4"/>
  </r>
  <r>
    <x v="0"/>
    <x v="3"/>
    <x v="3"/>
    <x v="6"/>
    <x v="0"/>
    <x v="1"/>
    <n v="104.9"/>
  </r>
  <r>
    <x v="0"/>
    <x v="3"/>
    <x v="3"/>
    <x v="6"/>
    <x v="0"/>
    <x v="2"/>
    <n v="104"/>
  </r>
  <r>
    <x v="0"/>
    <x v="3"/>
    <x v="3"/>
    <x v="23"/>
    <x v="7"/>
    <x v="0"/>
    <n v="104.4"/>
  </r>
  <r>
    <x v="0"/>
    <x v="3"/>
    <x v="3"/>
    <x v="23"/>
    <x v="7"/>
    <x v="1"/>
    <n v="104.4"/>
  </r>
  <r>
    <x v="0"/>
    <x v="3"/>
    <x v="3"/>
    <x v="23"/>
    <x v="7"/>
    <x v="2"/>
    <n v="104.3"/>
  </r>
  <r>
    <x v="0"/>
    <x v="3"/>
    <x v="3"/>
    <x v="18"/>
    <x v="0"/>
    <x v="0"/>
    <n v="105.1"/>
  </r>
  <r>
    <x v="0"/>
    <x v="3"/>
    <x v="3"/>
    <x v="18"/>
    <x v="0"/>
    <x v="1"/>
    <n v="105.5"/>
  </r>
  <r>
    <x v="0"/>
    <x v="3"/>
    <x v="3"/>
    <x v="18"/>
    <x v="0"/>
    <x v="2"/>
    <n v="106"/>
  </r>
  <r>
    <x v="0"/>
    <x v="3"/>
    <x v="3"/>
    <x v="7"/>
    <x v="0"/>
    <x v="0"/>
    <n v="106.7"/>
  </r>
  <r>
    <x v="0"/>
    <x v="3"/>
    <x v="3"/>
    <x v="7"/>
    <x v="0"/>
    <x v="1"/>
    <n v="105.5"/>
  </r>
  <r>
    <x v="0"/>
    <x v="3"/>
    <x v="3"/>
    <x v="7"/>
    <x v="0"/>
    <x v="2"/>
    <n v="103.5"/>
  </r>
  <r>
    <x v="0"/>
    <x v="3"/>
    <x v="3"/>
    <x v="22"/>
    <x v="7"/>
    <x v="0"/>
    <n v="105.6"/>
  </r>
  <r>
    <x v="0"/>
    <x v="3"/>
    <x v="3"/>
    <x v="22"/>
    <x v="7"/>
    <x v="1"/>
    <n v="105.7"/>
  </r>
  <r>
    <x v="0"/>
    <x v="3"/>
    <x v="3"/>
    <x v="22"/>
    <x v="7"/>
    <x v="2"/>
    <n v="106"/>
  </r>
  <r>
    <x v="0"/>
    <x v="3"/>
    <x v="3"/>
    <x v="24"/>
    <x v="7"/>
    <x v="0"/>
    <n v="104.6"/>
  </r>
  <r>
    <x v="0"/>
    <x v="3"/>
    <x v="3"/>
    <x v="24"/>
    <x v="7"/>
    <x v="1"/>
    <n v="104.5"/>
  </r>
  <r>
    <x v="0"/>
    <x v="3"/>
    <x v="3"/>
    <x v="24"/>
    <x v="7"/>
    <x v="2"/>
    <n v="104.3"/>
  </r>
  <r>
    <x v="0"/>
    <x v="3"/>
    <x v="3"/>
    <x v="20"/>
    <x v="0"/>
    <x v="0"/>
    <n v="107.7"/>
  </r>
  <r>
    <x v="0"/>
    <x v="3"/>
    <x v="3"/>
    <x v="20"/>
    <x v="0"/>
    <x v="1"/>
    <n v="108.3"/>
  </r>
  <r>
    <x v="0"/>
    <x v="3"/>
    <x v="3"/>
    <x v="20"/>
    <x v="0"/>
    <x v="2"/>
    <n v="109"/>
  </r>
  <r>
    <x v="0"/>
    <x v="3"/>
    <x v="3"/>
    <x v="12"/>
    <x v="0"/>
    <x v="0"/>
    <n v="105.9"/>
  </r>
  <r>
    <x v="0"/>
    <x v="3"/>
    <x v="3"/>
    <x v="12"/>
    <x v="0"/>
    <x v="1"/>
    <n v="105.3"/>
  </r>
  <r>
    <x v="0"/>
    <x v="3"/>
    <x v="3"/>
    <x v="12"/>
    <x v="0"/>
    <x v="2"/>
    <n v="104.1"/>
  </r>
  <r>
    <x v="0"/>
    <x v="3"/>
    <x v="3"/>
    <x v="26"/>
    <x v="9"/>
    <x v="0"/>
    <n v="104"/>
  </r>
  <r>
    <x v="0"/>
    <x v="3"/>
    <x v="3"/>
    <x v="26"/>
    <x v="9"/>
    <x v="1"/>
    <n v="103.6"/>
  </r>
  <r>
    <x v="0"/>
    <x v="3"/>
    <x v="3"/>
    <x v="26"/>
    <x v="9"/>
    <x v="2"/>
    <n v="103.3"/>
  </r>
  <r>
    <x v="0"/>
    <x v="3"/>
    <x v="3"/>
    <x v="16"/>
    <x v="0"/>
    <x v="0"/>
    <n v="103.1"/>
  </r>
  <r>
    <x v="0"/>
    <x v="3"/>
    <x v="3"/>
    <x v="16"/>
    <x v="0"/>
    <x v="1"/>
    <n v="102.8"/>
  </r>
  <r>
    <x v="0"/>
    <x v="3"/>
    <x v="3"/>
    <x v="16"/>
    <x v="0"/>
    <x v="2"/>
    <n v="102.3"/>
  </r>
  <r>
    <x v="0"/>
    <x v="3"/>
    <x v="3"/>
    <x v="14"/>
    <x v="0"/>
    <x v="0"/>
    <n v="105.7"/>
  </r>
  <r>
    <x v="0"/>
    <x v="3"/>
    <x v="3"/>
    <x v="14"/>
    <x v="0"/>
    <x v="1"/>
    <n v="105.1"/>
  </r>
  <r>
    <x v="0"/>
    <x v="3"/>
    <x v="3"/>
    <x v="14"/>
    <x v="0"/>
    <x v="2"/>
    <n v="103.8"/>
  </r>
  <r>
    <x v="0"/>
    <x v="3"/>
    <x v="3"/>
    <x v="25"/>
    <x v="8"/>
    <x v="0"/>
    <n v="103.9"/>
  </r>
  <r>
    <x v="0"/>
    <x v="3"/>
    <x v="3"/>
    <x v="25"/>
    <x v="8"/>
    <x v="1"/>
    <n v="104.2"/>
  </r>
  <r>
    <x v="0"/>
    <x v="3"/>
    <x v="3"/>
    <x v="25"/>
    <x v="8"/>
    <x v="2"/>
    <n v="104.4"/>
  </r>
  <r>
    <x v="0"/>
    <x v="3"/>
    <x v="3"/>
    <x v="11"/>
    <x v="0"/>
    <x v="0"/>
    <n v="102.4"/>
  </r>
  <r>
    <x v="0"/>
    <x v="3"/>
    <x v="3"/>
    <x v="11"/>
    <x v="0"/>
    <x v="1"/>
    <n v="103.2"/>
  </r>
  <r>
    <x v="0"/>
    <x v="3"/>
    <x v="3"/>
    <x v="11"/>
    <x v="0"/>
    <x v="2"/>
    <n v="104.9"/>
  </r>
  <r>
    <x v="0"/>
    <x v="4"/>
    <x v="4"/>
    <x v="0"/>
    <x v="0"/>
    <x v="0"/>
    <n v="107.5"/>
  </r>
  <r>
    <x v="0"/>
    <x v="4"/>
    <x v="4"/>
    <x v="0"/>
    <x v="0"/>
    <x v="1"/>
    <n v="108.4"/>
  </r>
  <r>
    <x v="0"/>
    <x v="4"/>
    <x v="4"/>
    <x v="0"/>
    <x v="0"/>
    <x v="2"/>
    <n v="110.5"/>
  </r>
  <r>
    <x v="0"/>
    <x v="4"/>
    <x v="4"/>
    <x v="1"/>
    <x v="1"/>
    <x v="0"/>
    <n v="106.5"/>
  </r>
  <r>
    <x v="0"/>
    <x v="4"/>
    <x v="4"/>
    <x v="1"/>
    <x v="1"/>
    <x v="1"/>
    <n v="106.3"/>
  </r>
  <r>
    <x v="0"/>
    <x v="4"/>
    <x v="4"/>
    <x v="1"/>
    <x v="1"/>
    <x v="2"/>
    <n v="105.9"/>
  </r>
  <r>
    <x v="0"/>
    <x v="4"/>
    <x v="4"/>
    <x v="3"/>
    <x v="1"/>
    <x v="0"/>
    <n v="106.4"/>
  </r>
  <r>
    <x v="0"/>
    <x v="4"/>
    <x v="4"/>
    <x v="3"/>
    <x v="1"/>
    <x v="1"/>
    <n v="106.2"/>
  </r>
  <r>
    <x v="0"/>
    <x v="4"/>
    <x v="4"/>
    <x v="3"/>
    <x v="1"/>
    <x v="2"/>
    <n v="105.8"/>
  </r>
  <r>
    <x v="0"/>
    <x v="4"/>
    <x v="4"/>
    <x v="5"/>
    <x v="2"/>
    <x v="0"/>
    <n v="103.8"/>
  </r>
  <r>
    <x v="0"/>
    <x v="4"/>
    <x v="4"/>
    <x v="5"/>
    <x v="2"/>
    <x v="1"/>
    <n v="103.6"/>
  </r>
  <r>
    <x v="0"/>
    <x v="4"/>
    <x v="4"/>
    <x v="5"/>
    <x v="2"/>
    <x v="2"/>
    <n v="103.5"/>
  </r>
  <r>
    <x v="0"/>
    <x v="4"/>
    <x v="4"/>
    <x v="4"/>
    <x v="0"/>
    <x v="0"/>
    <n v="108.1"/>
  </r>
  <r>
    <x v="0"/>
    <x v="4"/>
    <x v="4"/>
    <x v="4"/>
    <x v="0"/>
    <x v="1"/>
    <n v="110"/>
  </r>
  <r>
    <x v="0"/>
    <x v="4"/>
    <x v="4"/>
    <x v="4"/>
    <x v="0"/>
    <x v="2"/>
    <n v="113"/>
  </r>
  <r>
    <x v="0"/>
    <x v="4"/>
    <x v="4"/>
    <x v="8"/>
    <x v="0"/>
    <x v="0"/>
    <n v="105.5"/>
  </r>
  <r>
    <x v="0"/>
    <x v="4"/>
    <x v="4"/>
    <x v="8"/>
    <x v="0"/>
    <x v="1"/>
    <n v="105.6"/>
  </r>
  <r>
    <x v="0"/>
    <x v="4"/>
    <x v="4"/>
    <x v="8"/>
    <x v="0"/>
    <x v="2"/>
    <n v="105.9"/>
  </r>
  <r>
    <x v="0"/>
    <x v="4"/>
    <x v="4"/>
    <x v="10"/>
    <x v="1"/>
    <x v="0"/>
    <n v="105.8"/>
  </r>
  <r>
    <x v="0"/>
    <x v="4"/>
    <x v="4"/>
    <x v="10"/>
    <x v="1"/>
    <x v="1"/>
    <n v="105.5"/>
  </r>
  <r>
    <x v="0"/>
    <x v="4"/>
    <x v="4"/>
    <x v="10"/>
    <x v="1"/>
    <x v="2"/>
    <n v="105"/>
  </r>
  <r>
    <x v="0"/>
    <x v="4"/>
    <x v="4"/>
    <x v="9"/>
    <x v="0"/>
    <x v="0"/>
    <n v="103.9"/>
  </r>
  <r>
    <x v="0"/>
    <x v="4"/>
    <x v="4"/>
    <x v="9"/>
    <x v="0"/>
    <x v="1"/>
    <n v="103.2"/>
  </r>
  <r>
    <x v="0"/>
    <x v="4"/>
    <x v="4"/>
    <x v="9"/>
    <x v="0"/>
    <x v="2"/>
    <n v="102.3"/>
  </r>
  <r>
    <x v="0"/>
    <x v="4"/>
    <x v="4"/>
    <x v="13"/>
    <x v="3"/>
    <x v="0"/>
    <n v="105.5"/>
  </r>
  <r>
    <x v="0"/>
    <x v="4"/>
    <x v="4"/>
    <x v="13"/>
    <x v="3"/>
    <x v="1"/>
    <n v="105.5"/>
  </r>
  <r>
    <x v="0"/>
    <x v="4"/>
    <x v="4"/>
    <x v="13"/>
    <x v="3"/>
    <x v="2"/>
    <n v="105.4"/>
  </r>
  <r>
    <x v="0"/>
    <x v="4"/>
    <x v="4"/>
    <x v="15"/>
    <x v="4"/>
    <x v="0"/>
    <n v="105.1"/>
  </r>
  <r>
    <x v="0"/>
    <x v="4"/>
    <x v="4"/>
    <x v="15"/>
    <x v="4"/>
    <x v="1"/>
    <n v="104.6"/>
  </r>
  <r>
    <x v="0"/>
    <x v="4"/>
    <x v="4"/>
    <x v="15"/>
    <x v="4"/>
    <x v="2"/>
    <n v="104"/>
  </r>
  <r>
    <x v="0"/>
    <x v="4"/>
    <x v="4"/>
    <x v="17"/>
    <x v="5"/>
    <x v="0"/>
    <n v="104"/>
  </r>
  <r>
    <x v="0"/>
    <x v="4"/>
    <x v="4"/>
    <x v="17"/>
    <x v="5"/>
    <x v="1"/>
    <n v="104"/>
  </r>
  <r>
    <x v="0"/>
    <x v="4"/>
    <x v="4"/>
    <x v="17"/>
    <x v="5"/>
    <x v="2"/>
    <n v="104.1"/>
  </r>
  <r>
    <x v="0"/>
    <x v="4"/>
    <x v="4"/>
    <x v="19"/>
    <x v="6"/>
    <x v="0"/>
    <n v="104.8"/>
  </r>
  <r>
    <x v="0"/>
    <x v="4"/>
    <x v="4"/>
    <x v="19"/>
    <x v="6"/>
    <x v="1"/>
    <n v="104.8"/>
  </r>
  <r>
    <x v="0"/>
    <x v="4"/>
    <x v="4"/>
    <x v="19"/>
    <x v="6"/>
    <x v="2"/>
    <n v="104.8"/>
  </r>
  <r>
    <x v="0"/>
    <x v="4"/>
    <x v="4"/>
    <x v="21"/>
    <x v="6"/>
    <x v="0"/>
    <n v="0"/>
  </r>
  <r>
    <x v="0"/>
    <x v="4"/>
    <x v="4"/>
    <x v="21"/>
    <x v="6"/>
    <x v="1"/>
    <n v="100.3"/>
  </r>
  <r>
    <x v="0"/>
    <x v="4"/>
    <x v="4"/>
    <x v="21"/>
    <x v="6"/>
    <x v="2"/>
    <n v="100.3"/>
  </r>
  <r>
    <x v="0"/>
    <x v="4"/>
    <x v="4"/>
    <x v="2"/>
    <x v="0"/>
    <x v="0"/>
    <n v="106.3"/>
  </r>
  <r>
    <x v="0"/>
    <x v="4"/>
    <x v="4"/>
    <x v="2"/>
    <x v="0"/>
    <x v="1"/>
    <n v="107.3"/>
  </r>
  <r>
    <x v="0"/>
    <x v="4"/>
    <x v="4"/>
    <x v="2"/>
    <x v="0"/>
    <x v="2"/>
    <n v="109.1"/>
  </r>
  <r>
    <x v="0"/>
    <x v="4"/>
    <x v="4"/>
    <x v="6"/>
    <x v="0"/>
    <x v="0"/>
    <n v="104.9"/>
  </r>
  <r>
    <x v="0"/>
    <x v="4"/>
    <x v="4"/>
    <x v="6"/>
    <x v="0"/>
    <x v="1"/>
    <n v="104.4"/>
  </r>
  <r>
    <x v="0"/>
    <x v="4"/>
    <x v="4"/>
    <x v="6"/>
    <x v="0"/>
    <x v="2"/>
    <n v="103.6"/>
  </r>
  <r>
    <x v="0"/>
    <x v="4"/>
    <x v="4"/>
    <x v="23"/>
    <x v="7"/>
    <x v="0"/>
    <n v="104"/>
  </r>
  <r>
    <x v="0"/>
    <x v="4"/>
    <x v="4"/>
    <x v="23"/>
    <x v="7"/>
    <x v="1"/>
    <n v="103.9"/>
  </r>
  <r>
    <x v="0"/>
    <x v="4"/>
    <x v="4"/>
    <x v="23"/>
    <x v="7"/>
    <x v="2"/>
    <n v="103.7"/>
  </r>
  <r>
    <x v="0"/>
    <x v="4"/>
    <x v="4"/>
    <x v="18"/>
    <x v="0"/>
    <x v="0"/>
    <n v="104.8"/>
  </r>
  <r>
    <x v="0"/>
    <x v="4"/>
    <x v="4"/>
    <x v="18"/>
    <x v="0"/>
    <x v="1"/>
    <n v="104.9"/>
  </r>
  <r>
    <x v="0"/>
    <x v="4"/>
    <x v="4"/>
    <x v="18"/>
    <x v="0"/>
    <x v="2"/>
    <n v="105.1"/>
  </r>
  <r>
    <x v="0"/>
    <x v="4"/>
    <x v="4"/>
    <x v="7"/>
    <x v="0"/>
    <x v="0"/>
    <n v="106.1"/>
  </r>
  <r>
    <x v="0"/>
    <x v="4"/>
    <x v="4"/>
    <x v="7"/>
    <x v="0"/>
    <x v="1"/>
    <n v="105.1"/>
  </r>
  <r>
    <x v="0"/>
    <x v="4"/>
    <x v="4"/>
    <x v="7"/>
    <x v="0"/>
    <x v="2"/>
    <n v="103.4"/>
  </r>
  <r>
    <x v="0"/>
    <x v="4"/>
    <x v="4"/>
    <x v="22"/>
    <x v="7"/>
    <x v="0"/>
    <n v="105.1"/>
  </r>
  <r>
    <x v="0"/>
    <x v="4"/>
    <x v="4"/>
    <x v="22"/>
    <x v="7"/>
    <x v="1"/>
    <n v="105.1"/>
  </r>
  <r>
    <x v="0"/>
    <x v="4"/>
    <x v="4"/>
    <x v="22"/>
    <x v="7"/>
    <x v="2"/>
    <n v="105.2"/>
  </r>
  <r>
    <x v="0"/>
    <x v="4"/>
    <x v="4"/>
    <x v="24"/>
    <x v="7"/>
    <x v="0"/>
    <n v="104.7"/>
  </r>
  <r>
    <x v="0"/>
    <x v="4"/>
    <x v="4"/>
    <x v="24"/>
    <x v="7"/>
    <x v="1"/>
    <n v="104.5"/>
  </r>
  <r>
    <x v="0"/>
    <x v="4"/>
    <x v="4"/>
    <x v="24"/>
    <x v="7"/>
    <x v="2"/>
    <n v="104.3"/>
  </r>
  <r>
    <x v="0"/>
    <x v="4"/>
    <x v="4"/>
    <x v="20"/>
    <x v="0"/>
    <x v="0"/>
    <n v="106.7"/>
  </r>
  <r>
    <x v="0"/>
    <x v="4"/>
    <x v="4"/>
    <x v="20"/>
    <x v="0"/>
    <x v="1"/>
    <n v="107.3"/>
  </r>
  <r>
    <x v="0"/>
    <x v="4"/>
    <x v="4"/>
    <x v="20"/>
    <x v="0"/>
    <x v="2"/>
    <n v="107.9"/>
  </r>
  <r>
    <x v="0"/>
    <x v="4"/>
    <x v="4"/>
    <x v="12"/>
    <x v="0"/>
    <x v="0"/>
    <n v="106.1"/>
  </r>
  <r>
    <x v="0"/>
    <x v="4"/>
    <x v="4"/>
    <x v="12"/>
    <x v="0"/>
    <x v="1"/>
    <n v="106"/>
  </r>
  <r>
    <x v="0"/>
    <x v="4"/>
    <x v="4"/>
    <x v="12"/>
    <x v="0"/>
    <x v="2"/>
    <n v="105.8"/>
  </r>
  <r>
    <x v="0"/>
    <x v="4"/>
    <x v="4"/>
    <x v="26"/>
    <x v="9"/>
    <x v="0"/>
    <n v="103.4"/>
  </r>
  <r>
    <x v="0"/>
    <x v="4"/>
    <x v="4"/>
    <x v="26"/>
    <x v="9"/>
    <x v="1"/>
    <n v="103.1"/>
  </r>
  <r>
    <x v="0"/>
    <x v="4"/>
    <x v="4"/>
    <x v="26"/>
    <x v="9"/>
    <x v="2"/>
    <n v="102.9"/>
  </r>
  <r>
    <x v="0"/>
    <x v="4"/>
    <x v="4"/>
    <x v="16"/>
    <x v="0"/>
    <x v="0"/>
    <n v="103.1"/>
  </r>
  <r>
    <x v="0"/>
    <x v="4"/>
    <x v="4"/>
    <x v="16"/>
    <x v="0"/>
    <x v="1"/>
    <n v="102.7"/>
  </r>
  <r>
    <x v="0"/>
    <x v="4"/>
    <x v="4"/>
    <x v="16"/>
    <x v="0"/>
    <x v="2"/>
    <n v="101.8"/>
  </r>
  <r>
    <x v="0"/>
    <x v="4"/>
    <x v="4"/>
    <x v="14"/>
    <x v="0"/>
    <x v="0"/>
    <n v="106.8"/>
  </r>
  <r>
    <x v="0"/>
    <x v="4"/>
    <x v="4"/>
    <x v="14"/>
    <x v="0"/>
    <x v="1"/>
    <n v="106.2"/>
  </r>
  <r>
    <x v="0"/>
    <x v="4"/>
    <x v="4"/>
    <x v="14"/>
    <x v="0"/>
    <x v="2"/>
    <n v="105.1"/>
  </r>
  <r>
    <x v="0"/>
    <x v="4"/>
    <x v="4"/>
    <x v="25"/>
    <x v="8"/>
    <x v="0"/>
    <n v="103.3"/>
  </r>
  <r>
    <x v="0"/>
    <x v="4"/>
    <x v="4"/>
    <x v="25"/>
    <x v="8"/>
    <x v="1"/>
    <n v="103.2"/>
  </r>
  <r>
    <x v="0"/>
    <x v="4"/>
    <x v="4"/>
    <x v="25"/>
    <x v="8"/>
    <x v="2"/>
    <n v="103.2"/>
  </r>
  <r>
    <x v="0"/>
    <x v="4"/>
    <x v="4"/>
    <x v="11"/>
    <x v="0"/>
    <x v="0"/>
    <n v="101.9"/>
  </r>
  <r>
    <x v="0"/>
    <x v="4"/>
    <x v="4"/>
    <x v="11"/>
    <x v="0"/>
    <x v="1"/>
    <n v="102.2"/>
  </r>
  <r>
    <x v="0"/>
    <x v="4"/>
    <x v="4"/>
    <x v="11"/>
    <x v="0"/>
    <x v="2"/>
    <n v="102.9"/>
  </r>
  <r>
    <x v="0"/>
    <x v="5"/>
    <x v="5"/>
    <x v="0"/>
    <x v="0"/>
    <x v="0"/>
    <n v="113.4"/>
  </r>
  <r>
    <x v="0"/>
    <x v="5"/>
    <x v="5"/>
    <x v="0"/>
    <x v="0"/>
    <x v="1"/>
    <n v="114.8"/>
  </r>
  <r>
    <x v="0"/>
    <x v="5"/>
    <x v="5"/>
    <x v="0"/>
    <x v="0"/>
    <x v="2"/>
    <n v="117.8"/>
  </r>
  <r>
    <x v="0"/>
    <x v="5"/>
    <x v="5"/>
    <x v="1"/>
    <x v="1"/>
    <x v="0"/>
    <n v="110.5"/>
  </r>
  <r>
    <x v="0"/>
    <x v="5"/>
    <x v="5"/>
    <x v="1"/>
    <x v="1"/>
    <x v="1"/>
    <n v="110.2"/>
  </r>
  <r>
    <x v="0"/>
    <x v="5"/>
    <x v="5"/>
    <x v="1"/>
    <x v="1"/>
    <x v="2"/>
    <n v="109.8"/>
  </r>
  <r>
    <x v="0"/>
    <x v="5"/>
    <x v="5"/>
    <x v="3"/>
    <x v="1"/>
    <x v="0"/>
    <n v="110.3"/>
  </r>
  <r>
    <x v="0"/>
    <x v="5"/>
    <x v="5"/>
    <x v="3"/>
    <x v="1"/>
    <x v="1"/>
    <n v="110"/>
  </r>
  <r>
    <x v="0"/>
    <x v="5"/>
    <x v="5"/>
    <x v="3"/>
    <x v="1"/>
    <x v="2"/>
    <n v="109.5"/>
  </r>
  <r>
    <x v="0"/>
    <x v="5"/>
    <x v="5"/>
    <x v="5"/>
    <x v="2"/>
    <x v="0"/>
    <n v="107.8"/>
  </r>
  <r>
    <x v="0"/>
    <x v="5"/>
    <x v="5"/>
    <x v="5"/>
    <x v="2"/>
    <x v="1"/>
    <n v="109.1"/>
  </r>
  <r>
    <x v="0"/>
    <x v="5"/>
    <x v="5"/>
    <x v="5"/>
    <x v="2"/>
    <x v="2"/>
    <n v="110.1"/>
  </r>
  <r>
    <x v="0"/>
    <x v="5"/>
    <x v="5"/>
    <x v="4"/>
    <x v="0"/>
    <x v="0"/>
    <n v="110.5"/>
  </r>
  <r>
    <x v="0"/>
    <x v="5"/>
    <x v="5"/>
    <x v="4"/>
    <x v="0"/>
    <x v="1"/>
    <n v="111.9"/>
  </r>
  <r>
    <x v="0"/>
    <x v="5"/>
    <x v="5"/>
    <x v="4"/>
    <x v="0"/>
    <x v="2"/>
    <n v="114"/>
  </r>
  <r>
    <x v="0"/>
    <x v="5"/>
    <x v="5"/>
    <x v="8"/>
    <x v="0"/>
    <x v="0"/>
    <n v="113.1"/>
  </r>
  <r>
    <x v="0"/>
    <x v="5"/>
    <x v="5"/>
    <x v="8"/>
    <x v="0"/>
    <x v="1"/>
    <n v="114.7"/>
  </r>
  <r>
    <x v="0"/>
    <x v="5"/>
    <x v="5"/>
    <x v="8"/>
    <x v="0"/>
    <x v="2"/>
    <n v="117.5"/>
  </r>
  <r>
    <x v="0"/>
    <x v="5"/>
    <x v="5"/>
    <x v="10"/>
    <x v="1"/>
    <x v="0"/>
    <n v="109.5"/>
  </r>
  <r>
    <x v="0"/>
    <x v="5"/>
    <x v="5"/>
    <x v="10"/>
    <x v="1"/>
    <x v="1"/>
    <n v="108.8"/>
  </r>
  <r>
    <x v="0"/>
    <x v="5"/>
    <x v="5"/>
    <x v="10"/>
    <x v="1"/>
    <x v="2"/>
    <n v="107.8"/>
  </r>
  <r>
    <x v="0"/>
    <x v="5"/>
    <x v="5"/>
    <x v="9"/>
    <x v="0"/>
    <x v="0"/>
    <n v="110.3"/>
  </r>
  <r>
    <x v="0"/>
    <x v="5"/>
    <x v="5"/>
    <x v="9"/>
    <x v="0"/>
    <x v="1"/>
    <n v="111.7"/>
  </r>
  <r>
    <x v="0"/>
    <x v="5"/>
    <x v="5"/>
    <x v="9"/>
    <x v="0"/>
    <x v="2"/>
    <n v="113.2"/>
  </r>
  <r>
    <x v="0"/>
    <x v="5"/>
    <x v="5"/>
    <x v="13"/>
    <x v="3"/>
    <x v="0"/>
    <n v="109.5"/>
  </r>
  <r>
    <x v="0"/>
    <x v="5"/>
    <x v="5"/>
    <x v="13"/>
    <x v="3"/>
    <x v="1"/>
    <n v="109.2"/>
  </r>
  <r>
    <x v="0"/>
    <x v="5"/>
    <x v="5"/>
    <x v="13"/>
    <x v="3"/>
    <x v="2"/>
    <n v="108.6"/>
  </r>
  <r>
    <x v="0"/>
    <x v="5"/>
    <x v="5"/>
    <x v="15"/>
    <x v="4"/>
    <x v="0"/>
    <n v="110.7"/>
  </r>
  <r>
    <x v="0"/>
    <x v="5"/>
    <x v="5"/>
    <x v="15"/>
    <x v="4"/>
    <x v="1"/>
    <n v="111"/>
  </r>
  <r>
    <x v="0"/>
    <x v="5"/>
    <x v="5"/>
    <x v="15"/>
    <x v="4"/>
    <x v="2"/>
    <n v="111.4"/>
  </r>
  <r>
    <x v="0"/>
    <x v="5"/>
    <x v="5"/>
    <x v="17"/>
    <x v="5"/>
    <x v="0"/>
    <n v="106.9"/>
  </r>
  <r>
    <x v="0"/>
    <x v="5"/>
    <x v="5"/>
    <x v="17"/>
    <x v="5"/>
    <x v="1"/>
    <n v="107"/>
  </r>
  <r>
    <x v="0"/>
    <x v="5"/>
    <x v="5"/>
    <x v="17"/>
    <x v="5"/>
    <x v="2"/>
    <n v="107.1"/>
  </r>
  <r>
    <x v="0"/>
    <x v="5"/>
    <x v="5"/>
    <x v="19"/>
    <x v="6"/>
    <x v="0"/>
    <n v="108.3"/>
  </r>
  <r>
    <x v="0"/>
    <x v="5"/>
    <x v="5"/>
    <x v="19"/>
    <x v="6"/>
    <x v="1"/>
    <n v="108.2"/>
  </r>
  <r>
    <x v="0"/>
    <x v="5"/>
    <x v="5"/>
    <x v="19"/>
    <x v="6"/>
    <x v="2"/>
    <n v="108.1"/>
  </r>
  <r>
    <x v="0"/>
    <x v="5"/>
    <x v="5"/>
    <x v="21"/>
    <x v="6"/>
    <x v="0"/>
    <n v="0"/>
  </r>
  <r>
    <x v="0"/>
    <x v="5"/>
    <x v="5"/>
    <x v="21"/>
    <x v="6"/>
    <x v="1"/>
    <n v="107.7"/>
  </r>
  <r>
    <x v="0"/>
    <x v="5"/>
    <x v="5"/>
    <x v="21"/>
    <x v="6"/>
    <x v="2"/>
    <n v="107.7"/>
  </r>
  <r>
    <x v="0"/>
    <x v="5"/>
    <x v="5"/>
    <x v="2"/>
    <x v="0"/>
    <x v="0"/>
    <n v="114.9"/>
  </r>
  <r>
    <x v="0"/>
    <x v="5"/>
    <x v="5"/>
    <x v="2"/>
    <x v="0"/>
    <x v="1"/>
    <n v="116.4"/>
  </r>
  <r>
    <x v="0"/>
    <x v="5"/>
    <x v="5"/>
    <x v="2"/>
    <x v="0"/>
    <x v="2"/>
    <n v="119.2"/>
  </r>
  <r>
    <x v="0"/>
    <x v="5"/>
    <x v="5"/>
    <x v="6"/>
    <x v="0"/>
    <x v="0"/>
    <n v="109.3"/>
  </r>
  <r>
    <x v="0"/>
    <x v="5"/>
    <x v="5"/>
    <x v="6"/>
    <x v="0"/>
    <x v="1"/>
    <n v="108.9"/>
  </r>
  <r>
    <x v="0"/>
    <x v="5"/>
    <x v="5"/>
    <x v="6"/>
    <x v="0"/>
    <x v="2"/>
    <n v="108.3"/>
  </r>
  <r>
    <x v="0"/>
    <x v="5"/>
    <x v="5"/>
    <x v="23"/>
    <x v="7"/>
    <x v="0"/>
    <n v="106.5"/>
  </r>
  <r>
    <x v="0"/>
    <x v="5"/>
    <x v="5"/>
    <x v="23"/>
    <x v="7"/>
    <x v="1"/>
    <n v="106.9"/>
  </r>
  <r>
    <x v="0"/>
    <x v="5"/>
    <x v="5"/>
    <x v="23"/>
    <x v="7"/>
    <x v="2"/>
    <n v="107.3"/>
  </r>
  <r>
    <x v="0"/>
    <x v="5"/>
    <x v="5"/>
    <x v="18"/>
    <x v="0"/>
    <x v="0"/>
    <n v="109.1"/>
  </r>
  <r>
    <x v="0"/>
    <x v="5"/>
    <x v="5"/>
    <x v="18"/>
    <x v="0"/>
    <x v="1"/>
    <n v="109.6"/>
  </r>
  <r>
    <x v="0"/>
    <x v="5"/>
    <x v="5"/>
    <x v="18"/>
    <x v="0"/>
    <x v="2"/>
    <n v="110.4"/>
  </r>
  <r>
    <x v="0"/>
    <x v="5"/>
    <x v="5"/>
    <x v="7"/>
    <x v="0"/>
    <x v="0"/>
    <n v="106.2"/>
  </r>
  <r>
    <x v="0"/>
    <x v="5"/>
    <x v="5"/>
    <x v="7"/>
    <x v="0"/>
    <x v="1"/>
    <n v="104.3"/>
  </r>
  <r>
    <x v="0"/>
    <x v="5"/>
    <x v="5"/>
    <x v="7"/>
    <x v="0"/>
    <x v="2"/>
    <n v="101.1"/>
  </r>
  <r>
    <x v="0"/>
    <x v="5"/>
    <x v="5"/>
    <x v="22"/>
    <x v="7"/>
    <x v="0"/>
    <n v="109.8"/>
  </r>
  <r>
    <x v="0"/>
    <x v="5"/>
    <x v="5"/>
    <x v="22"/>
    <x v="7"/>
    <x v="1"/>
    <n v="110.3"/>
  </r>
  <r>
    <x v="0"/>
    <x v="5"/>
    <x v="5"/>
    <x v="22"/>
    <x v="7"/>
    <x v="2"/>
    <n v="111.7"/>
  </r>
  <r>
    <x v="0"/>
    <x v="5"/>
    <x v="5"/>
    <x v="24"/>
    <x v="7"/>
    <x v="0"/>
    <n v="102.5"/>
  </r>
  <r>
    <x v="0"/>
    <x v="5"/>
    <x v="5"/>
    <x v="24"/>
    <x v="7"/>
    <x v="1"/>
    <n v="102.8"/>
  </r>
  <r>
    <x v="0"/>
    <x v="5"/>
    <x v="5"/>
    <x v="24"/>
    <x v="7"/>
    <x v="2"/>
    <n v="103.2"/>
  </r>
  <r>
    <x v="0"/>
    <x v="5"/>
    <x v="5"/>
    <x v="20"/>
    <x v="0"/>
    <x v="0"/>
    <n v="112.1"/>
  </r>
  <r>
    <x v="0"/>
    <x v="5"/>
    <x v="5"/>
    <x v="20"/>
    <x v="0"/>
    <x v="1"/>
    <n v="112.6"/>
  </r>
  <r>
    <x v="0"/>
    <x v="5"/>
    <x v="5"/>
    <x v="20"/>
    <x v="0"/>
    <x v="2"/>
    <n v="113.1"/>
  </r>
  <r>
    <x v="0"/>
    <x v="5"/>
    <x v="5"/>
    <x v="12"/>
    <x v="0"/>
    <x v="0"/>
    <n v="107.1"/>
  </r>
  <r>
    <x v="0"/>
    <x v="5"/>
    <x v="5"/>
    <x v="12"/>
    <x v="0"/>
    <x v="1"/>
    <n v="106.4"/>
  </r>
  <r>
    <x v="0"/>
    <x v="5"/>
    <x v="5"/>
    <x v="12"/>
    <x v="0"/>
    <x v="2"/>
    <n v="105.1"/>
  </r>
  <r>
    <x v="0"/>
    <x v="5"/>
    <x v="5"/>
    <x v="26"/>
    <x v="9"/>
    <x v="0"/>
    <n v="106.4"/>
  </r>
  <r>
    <x v="0"/>
    <x v="5"/>
    <x v="5"/>
    <x v="26"/>
    <x v="9"/>
    <x v="1"/>
    <n v="106.1"/>
  </r>
  <r>
    <x v="0"/>
    <x v="5"/>
    <x v="5"/>
    <x v="26"/>
    <x v="9"/>
    <x v="2"/>
    <n v="105.9"/>
  </r>
  <r>
    <x v="0"/>
    <x v="5"/>
    <x v="5"/>
    <x v="16"/>
    <x v="0"/>
    <x v="0"/>
    <n v="106.4"/>
  </r>
  <r>
    <x v="0"/>
    <x v="5"/>
    <x v="5"/>
    <x v="16"/>
    <x v="0"/>
    <x v="1"/>
    <n v="106.8"/>
  </r>
  <r>
    <x v="0"/>
    <x v="5"/>
    <x v="5"/>
    <x v="16"/>
    <x v="0"/>
    <x v="2"/>
    <n v="107.5"/>
  </r>
  <r>
    <x v="0"/>
    <x v="5"/>
    <x v="5"/>
    <x v="14"/>
    <x v="0"/>
    <x v="0"/>
    <n v="104.3"/>
  </r>
  <r>
    <x v="0"/>
    <x v="5"/>
    <x v="5"/>
    <x v="14"/>
    <x v="0"/>
    <x v="1"/>
    <n v="103.3"/>
  </r>
  <r>
    <x v="0"/>
    <x v="5"/>
    <x v="5"/>
    <x v="14"/>
    <x v="0"/>
    <x v="2"/>
    <n v="101.3"/>
  </r>
  <r>
    <x v="0"/>
    <x v="5"/>
    <x v="5"/>
    <x v="25"/>
    <x v="8"/>
    <x v="0"/>
    <n v="106.8"/>
  </r>
  <r>
    <x v="0"/>
    <x v="5"/>
    <x v="5"/>
    <x v="25"/>
    <x v="8"/>
    <x v="1"/>
    <n v="107.1"/>
  </r>
  <r>
    <x v="0"/>
    <x v="5"/>
    <x v="5"/>
    <x v="25"/>
    <x v="8"/>
    <x v="2"/>
    <n v="107.3"/>
  </r>
  <r>
    <x v="0"/>
    <x v="5"/>
    <x v="5"/>
    <x v="11"/>
    <x v="0"/>
    <x v="0"/>
    <n v="129.19999999999999"/>
  </r>
  <r>
    <x v="0"/>
    <x v="5"/>
    <x v="5"/>
    <x v="11"/>
    <x v="0"/>
    <x v="1"/>
    <n v="140"/>
  </r>
  <r>
    <x v="0"/>
    <x v="5"/>
    <x v="5"/>
    <x v="11"/>
    <x v="0"/>
    <x v="2"/>
    <n v="160.9"/>
  </r>
  <r>
    <x v="0"/>
    <x v="6"/>
    <x v="6"/>
    <x v="0"/>
    <x v="0"/>
    <x v="0"/>
    <n v="112.3"/>
  </r>
  <r>
    <x v="0"/>
    <x v="6"/>
    <x v="6"/>
    <x v="0"/>
    <x v="0"/>
    <x v="1"/>
    <n v="113.8"/>
  </r>
  <r>
    <x v="0"/>
    <x v="6"/>
    <x v="6"/>
    <x v="0"/>
    <x v="0"/>
    <x v="2"/>
    <n v="117"/>
  </r>
  <r>
    <x v="0"/>
    <x v="6"/>
    <x v="6"/>
    <x v="1"/>
    <x v="1"/>
    <x v="0"/>
    <n v="109.7"/>
  </r>
  <r>
    <x v="0"/>
    <x v="6"/>
    <x v="6"/>
    <x v="1"/>
    <x v="1"/>
    <x v="1"/>
    <n v="109.5"/>
  </r>
  <r>
    <x v="0"/>
    <x v="6"/>
    <x v="6"/>
    <x v="1"/>
    <x v="1"/>
    <x v="2"/>
    <n v="109.2"/>
  </r>
  <r>
    <x v="0"/>
    <x v="6"/>
    <x v="6"/>
    <x v="3"/>
    <x v="1"/>
    <x v="0"/>
    <n v="109.5"/>
  </r>
  <r>
    <x v="0"/>
    <x v="6"/>
    <x v="6"/>
    <x v="3"/>
    <x v="1"/>
    <x v="1"/>
    <n v="109.3"/>
  </r>
  <r>
    <x v="0"/>
    <x v="6"/>
    <x v="6"/>
    <x v="3"/>
    <x v="1"/>
    <x v="2"/>
    <n v="108.9"/>
  </r>
  <r>
    <x v="0"/>
    <x v="6"/>
    <x v="6"/>
    <x v="5"/>
    <x v="2"/>
    <x v="0"/>
    <n v="106.5"/>
  </r>
  <r>
    <x v="0"/>
    <x v="6"/>
    <x v="6"/>
    <x v="5"/>
    <x v="2"/>
    <x v="1"/>
    <n v="107.4"/>
  </r>
  <r>
    <x v="0"/>
    <x v="6"/>
    <x v="6"/>
    <x v="5"/>
    <x v="2"/>
    <x v="2"/>
    <n v="108.1"/>
  </r>
  <r>
    <x v="0"/>
    <x v="6"/>
    <x v="6"/>
    <x v="4"/>
    <x v="0"/>
    <x v="0"/>
    <n v="108.1"/>
  </r>
  <r>
    <x v="0"/>
    <x v="6"/>
    <x v="6"/>
    <x v="4"/>
    <x v="0"/>
    <x v="1"/>
    <n v="109.8"/>
  </r>
  <r>
    <x v="0"/>
    <x v="6"/>
    <x v="6"/>
    <x v="4"/>
    <x v="0"/>
    <x v="2"/>
    <n v="112.5"/>
  </r>
  <r>
    <x v="0"/>
    <x v="6"/>
    <x v="6"/>
    <x v="8"/>
    <x v="0"/>
    <x v="0"/>
    <n v="110.6"/>
  </r>
  <r>
    <x v="0"/>
    <x v="6"/>
    <x v="6"/>
    <x v="8"/>
    <x v="0"/>
    <x v="1"/>
    <n v="112.2"/>
  </r>
  <r>
    <x v="0"/>
    <x v="6"/>
    <x v="6"/>
    <x v="8"/>
    <x v="0"/>
    <x v="2"/>
    <n v="115"/>
  </r>
  <r>
    <x v="0"/>
    <x v="6"/>
    <x v="6"/>
    <x v="10"/>
    <x v="1"/>
    <x v="0"/>
    <n v="108.8"/>
  </r>
  <r>
    <x v="0"/>
    <x v="6"/>
    <x v="6"/>
    <x v="10"/>
    <x v="1"/>
    <x v="1"/>
    <n v="108.1"/>
  </r>
  <r>
    <x v="0"/>
    <x v="6"/>
    <x v="6"/>
    <x v="10"/>
    <x v="1"/>
    <x v="2"/>
    <n v="107.2"/>
  </r>
  <r>
    <x v="0"/>
    <x v="6"/>
    <x v="6"/>
    <x v="9"/>
    <x v="0"/>
    <x v="0"/>
    <n v="109.2"/>
  </r>
  <r>
    <x v="0"/>
    <x v="6"/>
    <x v="6"/>
    <x v="9"/>
    <x v="0"/>
    <x v="1"/>
    <n v="110.7"/>
  </r>
  <r>
    <x v="0"/>
    <x v="6"/>
    <x v="6"/>
    <x v="9"/>
    <x v="0"/>
    <x v="2"/>
    <n v="112.4"/>
  </r>
  <r>
    <x v="0"/>
    <x v="6"/>
    <x v="6"/>
    <x v="13"/>
    <x v="3"/>
    <x v="0"/>
    <n v="108.5"/>
  </r>
  <r>
    <x v="0"/>
    <x v="6"/>
    <x v="6"/>
    <x v="13"/>
    <x v="3"/>
    <x v="1"/>
    <n v="108.3"/>
  </r>
  <r>
    <x v="0"/>
    <x v="6"/>
    <x v="6"/>
    <x v="13"/>
    <x v="3"/>
    <x v="2"/>
    <n v="108"/>
  </r>
  <r>
    <x v="0"/>
    <x v="6"/>
    <x v="6"/>
    <x v="15"/>
    <x v="4"/>
    <x v="0"/>
    <n v="108.9"/>
  </r>
  <r>
    <x v="0"/>
    <x v="6"/>
    <x v="6"/>
    <x v="15"/>
    <x v="4"/>
    <x v="1"/>
    <n v="109.3"/>
  </r>
  <r>
    <x v="0"/>
    <x v="6"/>
    <x v="6"/>
    <x v="15"/>
    <x v="4"/>
    <x v="2"/>
    <n v="109.7"/>
  </r>
  <r>
    <x v="0"/>
    <x v="6"/>
    <x v="6"/>
    <x v="17"/>
    <x v="5"/>
    <x v="0"/>
    <n v="106.3"/>
  </r>
  <r>
    <x v="0"/>
    <x v="6"/>
    <x v="6"/>
    <x v="17"/>
    <x v="5"/>
    <x v="1"/>
    <n v="106.4"/>
  </r>
  <r>
    <x v="0"/>
    <x v="6"/>
    <x v="6"/>
    <x v="17"/>
    <x v="5"/>
    <x v="2"/>
    <n v="106.5"/>
  </r>
  <r>
    <x v="0"/>
    <x v="6"/>
    <x v="6"/>
    <x v="19"/>
    <x v="6"/>
    <x v="0"/>
    <n v="107.5"/>
  </r>
  <r>
    <x v="0"/>
    <x v="6"/>
    <x v="6"/>
    <x v="19"/>
    <x v="6"/>
    <x v="1"/>
    <n v="107.6"/>
  </r>
  <r>
    <x v="0"/>
    <x v="6"/>
    <x v="6"/>
    <x v="19"/>
    <x v="6"/>
    <x v="2"/>
    <n v="107.7"/>
  </r>
  <r>
    <x v="0"/>
    <x v="6"/>
    <x v="6"/>
    <x v="21"/>
    <x v="6"/>
    <x v="0"/>
    <n v="0"/>
  </r>
  <r>
    <x v="0"/>
    <x v="6"/>
    <x v="6"/>
    <x v="21"/>
    <x v="6"/>
    <x v="1"/>
    <n v="106.6"/>
  </r>
  <r>
    <x v="0"/>
    <x v="6"/>
    <x v="6"/>
    <x v="21"/>
    <x v="6"/>
    <x v="2"/>
    <n v="106.6"/>
  </r>
  <r>
    <x v="0"/>
    <x v="6"/>
    <x v="6"/>
    <x v="2"/>
    <x v="0"/>
    <x v="0"/>
    <n v="112.1"/>
  </r>
  <r>
    <x v="0"/>
    <x v="6"/>
    <x v="6"/>
    <x v="2"/>
    <x v="0"/>
    <x v="1"/>
    <n v="114.9"/>
  </r>
  <r>
    <x v="0"/>
    <x v="6"/>
    <x v="6"/>
    <x v="2"/>
    <x v="0"/>
    <x v="2"/>
    <n v="120.1"/>
  </r>
  <r>
    <x v="0"/>
    <x v="6"/>
    <x v="6"/>
    <x v="6"/>
    <x v="0"/>
    <x v="0"/>
    <n v="108.3"/>
  </r>
  <r>
    <x v="0"/>
    <x v="6"/>
    <x v="6"/>
    <x v="6"/>
    <x v="0"/>
    <x v="1"/>
    <n v="107.9"/>
  </r>
  <r>
    <x v="0"/>
    <x v="6"/>
    <x v="6"/>
    <x v="6"/>
    <x v="0"/>
    <x v="2"/>
    <n v="107.3"/>
  </r>
  <r>
    <x v="0"/>
    <x v="6"/>
    <x v="6"/>
    <x v="23"/>
    <x v="7"/>
    <x v="0"/>
    <n v="105.5"/>
  </r>
  <r>
    <x v="0"/>
    <x v="6"/>
    <x v="6"/>
    <x v="23"/>
    <x v="7"/>
    <x v="1"/>
    <n v="105.8"/>
  </r>
  <r>
    <x v="0"/>
    <x v="6"/>
    <x v="6"/>
    <x v="23"/>
    <x v="7"/>
    <x v="2"/>
    <n v="106.1"/>
  </r>
  <r>
    <x v="0"/>
    <x v="6"/>
    <x v="6"/>
    <x v="18"/>
    <x v="0"/>
    <x v="0"/>
    <n v="108.2"/>
  </r>
  <r>
    <x v="0"/>
    <x v="6"/>
    <x v="6"/>
    <x v="18"/>
    <x v="0"/>
    <x v="1"/>
    <n v="109"/>
  </r>
  <r>
    <x v="0"/>
    <x v="6"/>
    <x v="6"/>
    <x v="18"/>
    <x v="0"/>
    <x v="2"/>
    <n v="110"/>
  </r>
  <r>
    <x v="0"/>
    <x v="6"/>
    <x v="6"/>
    <x v="7"/>
    <x v="0"/>
    <x v="0"/>
    <n v="105.9"/>
  </r>
  <r>
    <x v="0"/>
    <x v="6"/>
    <x v="6"/>
    <x v="7"/>
    <x v="0"/>
    <x v="1"/>
    <n v="104.2"/>
  </r>
  <r>
    <x v="0"/>
    <x v="6"/>
    <x v="6"/>
    <x v="7"/>
    <x v="0"/>
    <x v="2"/>
    <n v="101.3"/>
  </r>
  <r>
    <x v="0"/>
    <x v="6"/>
    <x v="6"/>
    <x v="22"/>
    <x v="7"/>
    <x v="0"/>
    <n v="109"/>
  </r>
  <r>
    <x v="0"/>
    <x v="6"/>
    <x v="6"/>
    <x v="22"/>
    <x v="7"/>
    <x v="1"/>
    <n v="109.5"/>
  </r>
  <r>
    <x v="0"/>
    <x v="6"/>
    <x v="6"/>
    <x v="22"/>
    <x v="7"/>
    <x v="2"/>
    <n v="110.9"/>
  </r>
  <r>
    <x v="0"/>
    <x v="6"/>
    <x v="6"/>
    <x v="24"/>
    <x v="7"/>
    <x v="0"/>
    <n v="102.5"/>
  </r>
  <r>
    <x v="0"/>
    <x v="6"/>
    <x v="6"/>
    <x v="24"/>
    <x v="7"/>
    <x v="1"/>
    <n v="102.8"/>
  </r>
  <r>
    <x v="0"/>
    <x v="6"/>
    <x v="6"/>
    <x v="24"/>
    <x v="7"/>
    <x v="2"/>
    <n v="103.3"/>
  </r>
  <r>
    <x v="0"/>
    <x v="6"/>
    <x v="6"/>
    <x v="20"/>
    <x v="0"/>
    <x v="0"/>
    <n v="111"/>
  </r>
  <r>
    <x v="0"/>
    <x v="6"/>
    <x v="6"/>
    <x v="20"/>
    <x v="0"/>
    <x v="1"/>
    <n v="111.6"/>
  </r>
  <r>
    <x v="0"/>
    <x v="6"/>
    <x v="6"/>
    <x v="20"/>
    <x v="0"/>
    <x v="2"/>
    <n v="112.2"/>
  </r>
  <r>
    <x v="0"/>
    <x v="6"/>
    <x v="6"/>
    <x v="12"/>
    <x v="0"/>
    <x v="0"/>
    <n v="106.8"/>
  </r>
  <r>
    <x v="0"/>
    <x v="6"/>
    <x v="6"/>
    <x v="12"/>
    <x v="0"/>
    <x v="1"/>
    <n v="106.3"/>
  </r>
  <r>
    <x v="0"/>
    <x v="6"/>
    <x v="6"/>
    <x v="12"/>
    <x v="0"/>
    <x v="2"/>
    <n v="105.4"/>
  </r>
  <r>
    <x v="0"/>
    <x v="6"/>
    <x v="6"/>
    <x v="26"/>
    <x v="9"/>
    <x v="0"/>
    <n v="105.6"/>
  </r>
  <r>
    <x v="0"/>
    <x v="6"/>
    <x v="6"/>
    <x v="26"/>
    <x v="9"/>
    <x v="1"/>
    <n v="105.4"/>
  </r>
  <r>
    <x v="0"/>
    <x v="6"/>
    <x v="6"/>
    <x v="26"/>
    <x v="9"/>
    <x v="2"/>
    <n v="105.2"/>
  </r>
  <r>
    <x v="0"/>
    <x v="6"/>
    <x v="6"/>
    <x v="16"/>
    <x v="0"/>
    <x v="0"/>
    <n v="105.4"/>
  </r>
  <r>
    <x v="0"/>
    <x v="6"/>
    <x v="6"/>
    <x v="16"/>
    <x v="0"/>
    <x v="1"/>
    <n v="105.7"/>
  </r>
  <r>
    <x v="0"/>
    <x v="6"/>
    <x v="6"/>
    <x v="16"/>
    <x v="0"/>
    <x v="2"/>
    <n v="106.4"/>
  </r>
  <r>
    <x v="0"/>
    <x v="6"/>
    <x v="6"/>
    <x v="14"/>
    <x v="0"/>
    <x v="0"/>
    <n v="104.1"/>
  </r>
  <r>
    <x v="0"/>
    <x v="6"/>
    <x v="6"/>
    <x v="14"/>
    <x v="0"/>
    <x v="1"/>
    <n v="103.2"/>
  </r>
  <r>
    <x v="0"/>
    <x v="6"/>
    <x v="6"/>
    <x v="14"/>
    <x v="0"/>
    <x v="2"/>
    <n v="101.4"/>
  </r>
  <r>
    <x v="0"/>
    <x v="6"/>
    <x v="6"/>
    <x v="25"/>
    <x v="8"/>
    <x v="0"/>
    <n v="105"/>
  </r>
  <r>
    <x v="0"/>
    <x v="6"/>
    <x v="6"/>
    <x v="25"/>
    <x v="8"/>
    <x v="1"/>
    <n v="105.1"/>
  </r>
  <r>
    <x v="0"/>
    <x v="6"/>
    <x v="6"/>
    <x v="25"/>
    <x v="8"/>
    <x v="2"/>
    <n v="105.2"/>
  </r>
  <r>
    <x v="0"/>
    <x v="6"/>
    <x v="6"/>
    <x v="11"/>
    <x v="0"/>
    <x v="0"/>
    <n v="118"/>
  </r>
  <r>
    <x v="0"/>
    <x v="6"/>
    <x v="6"/>
    <x v="11"/>
    <x v="0"/>
    <x v="1"/>
    <n v="126.7"/>
  </r>
  <r>
    <x v="0"/>
    <x v="6"/>
    <x v="6"/>
    <x v="11"/>
    <x v="0"/>
    <x v="2"/>
    <n v="143.6"/>
  </r>
  <r>
    <x v="0"/>
    <x v="7"/>
    <x v="7"/>
    <x v="0"/>
    <x v="0"/>
    <x v="0"/>
    <n v="110.2"/>
  </r>
  <r>
    <x v="0"/>
    <x v="7"/>
    <x v="7"/>
    <x v="0"/>
    <x v="0"/>
    <x v="1"/>
    <n v="111.4"/>
  </r>
  <r>
    <x v="0"/>
    <x v="7"/>
    <x v="7"/>
    <x v="0"/>
    <x v="0"/>
    <x v="2"/>
    <n v="113.9"/>
  </r>
  <r>
    <x v="0"/>
    <x v="7"/>
    <x v="7"/>
    <x v="1"/>
    <x v="1"/>
    <x v="0"/>
    <n v="107.6"/>
  </r>
  <r>
    <x v="0"/>
    <x v="7"/>
    <x v="7"/>
    <x v="1"/>
    <x v="1"/>
    <x v="1"/>
    <n v="107.4"/>
  </r>
  <r>
    <x v="0"/>
    <x v="7"/>
    <x v="7"/>
    <x v="1"/>
    <x v="1"/>
    <x v="2"/>
    <n v="107.2"/>
  </r>
  <r>
    <x v="0"/>
    <x v="7"/>
    <x v="7"/>
    <x v="3"/>
    <x v="1"/>
    <x v="0"/>
    <n v="107.5"/>
  </r>
  <r>
    <x v="0"/>
    <x v="7"/>
    <x v="7"/>
    <x v="3"/>
    <x v="1"/>
    <x v="1"/>
    <n v="107.3"/>
  </r>
  <r>
    <x v="0"/>
    <x v="7"/>
    <x v="7"/>
    <x v="3"/>
    <x v="1"/>
    <x v="2"/>
    <n v="107"/>
  </r>
  <r>
    <x v="0"/>
    <x v="7"/>
    <x v="7"/>
    <x v="5"/>
    <x v="2"/>
    <x v="0"/>
    <n v="104.3"/>
  </r>
  <r>
    <x v="0"/>
    <x v="7"/>
    <x v="7"/>
    <x v="5"/>
    <x v="2"/>
    <x v="1"/>
    <n v="104"/>
  </r>
  <r>
    <x v="0"/>
    <x v="7"/>
    <x v="7"/>
    <x v="5"/>
    <x v="2"/>
    <x v="2"/>
    <n v="103.8"/>
  </r>
  <r>
    <x v="0"/>
    <x v="7"/>
    <x v="7"/>
    <x v="4"/>
    <x v="0"/>
    <x v="0"/>
    <n v="109.9"/>
  </r>
  <r>
    <x v="0"/>
    <x v="7"/>
    <x v="7"/>
    <x v="4"/>
    <x v="0"/>
    <x v="1"/>
    <n v="111.2"/>
  </r>
  <r>
    <x v="0"/>
    <x v="7"/>
    <x v="7"/>
    <x v="4"/>
    <x v="0"/>
    <x v="2"/>
    <n v="113.2"/>
  </r>
  <r>
    <x v="0"/>
    <x v="7"/>
    <x v="7"/>
    <x v="8"/>
    <x v="0"/>
    <x v="0"/>
    <n v="106.6"/>
  </r>
  <r>
    <x v="0"/>
    <x v="7"/>
    <x v="7"/>
    <x v="8"/>
    <x v="0"/>
    <x v="1"/>
    <n v="106.9"/>
  </r>
  <r>
    <x v="0"/>
    <x v="7"/>
    <x v="7"/>
    <x v="8"/>
    <x v="0"/>
    <x v="2"/>
    <n v="107.3"/>
  </r>
  <r>
    <x v="0"/>
    <x v="7"/>
    <x v="7"/>
    <x v="10"/>
    <x v="1"/>
    <x v="0"/>
    <n v="106.8"/>
  </r>
  <r>
    <x v="0"/>
    <x v="7"/>
    <x v="7"/>
    <x v="10"/>
    <x v="1"/>
    <x v="1"/>
    <n v="106.5"/>
  </r>
  <r>
    <x v="0"/>
    <x v="7"/>
    <x v="7"/>
    <x v="10"/>
    <x v="1"/>
    <x v="2"/>
    <n v="106"/>
  </r>
  <r>
    <x v="0"/>
    <x v="7"/>
    <x v="7"/>
    <x v="9"/>
    <x v="0"/>
    <x v="0"/>
    <n v="105.7"/>
  </r>
  <r>
    <x v="0"/>
    <x v="7"/>
    <x v="7"/>
    <x v="9"/>
    <x v="0"/>
    <x v="1"/>
    <n v="105.3"/>
  </r>
  <r>
    <x v="0"/>
    <x v="7"/>
    <x v="7"/>
    <x v="9"/>
    <x v="0"/>
    <x v="2"/>
    <n v="104.9"/>
  </r>
  <r>
    <x v="0"/>
    <x v="7"/>
    <x v="7"/>
    <x v="13"/>
    <x v="3"/>
    <x v="0"/>
    <n v="106.1"/>
  </r>
  <r>
    <x v="0"/>
    <x v="7"/>
    <x v="7"/>
    <x v="13"/>
    <x v="3"/>
    <x v="1"/>
    <n v="106.1"/>
  </r>
  <r>
    <x v="0"/>
    <x v="7"/>
    <x v="7"/>
    <x v="13"/>
    <x v="3"/>
    <x v="2"/>
    <n v="106"/>
  </r>
  <r>
    <x v="0"/>
    <x v="7"/>
    <x v="7"/>
    <x v="15"/>
    <x v="4"/>
    <x v="0"/>
    <n v="106"/>
  </r>
  <r>
    <x v="0"/>
    <x v="7"/>
    <x v="7"/>
    <x v="15"/>
    <x v="4"/>
    <x v="1"/>
    <n v="105.5"/>
  </r>
  <r>
    <x v="0"/>
    <x v="7"/>
    <x v="7"/>
    <x v="15"/>
    <x v="4"/>
    <x v="2"/>
    <n v="105"/>
  </r>
  <r>
    <x v="0"/>
    <x v="7"/>
    <x v="7"/>
    <x v="17"/>
    <x v="5"/>
    <x v="0"/>
    <n v="104.7"/>
  </r>
  <r>
    <x v="0"/>
    <x v="7"/>
    <x v="7"/>
    <x v="17"/>
    <x v="5"/>
    <x v="1"/>
    <n v="104.9"/>
  </r>
  <r>
    <x v="0"/>
    <x v="7"/>
    <x v="7"/>
    <x v="17"/>
    <x v="5"/>
    <x v="2"/>
    <n v="105.2"/>
  </r>
  <r>
    <x v="0"/>
    <x v="7"/>
    <x v="7"/>
    <x v="19"/>
    <x v="6"/>
    <x v="0"/>
    <n v="105.6"/>
  </r>
  <r>
    <x v="0"/>
    <x v="7"/>
    <x v="7"/>
    <x v="19"/>
    <x v="6"/>
    <x v="1"/>
    <n v="105.6"/>
  </r>
  <r>
    <x v="0"/>
    <x v="7"/>
    <x v="7"/>
    <x v="19"/>
    <x v="6"/>
    <x v="2"/>
    <n v="105.7"/>
  </r>
  <r>
    <x v="0"/>
    <x v="7"/>
    <x v="7"/>
    <x v="21"/>
    <x v="6"/>
    <x v="0"/>
    <n v="0"/>
  </r>
  <r>
    <x v="0"/>
    <x v="7"/>
    <x v="7"/>
    <x v="21"/>
    <x v="6"/>
    <x v="1"/>
    <n v="100.4"/>
  </r>
  <r>
    <x v="0"/>
    <x v="7"/>
    <x v="7"/>
    <x v="21"/>
    <x v="6"/>
    <x v="2"/>
    <n v="100.4"/>
  </r>
  <r>
    <x v="0"/>
    <x v="7"/>
    <x v="7"/>
    <x v="2"/>
    <x v="0"/>
    <x v="0"/>
    <n v="108.8"/>
  </r>
  <r>
    <x v="0"/>
    <x v="7"/>
    <x v="7"/>
    <x v="2"/>
    <x v="0"/>
    <x v="1"/>
    <n v="109.7"/>
  </r>
  <r>
    <x v="0"/>
    <x v="7"/>
    <x v="7"/>
    <x v="2"/>
    <x v="0"/>
    <x v="2"/>
    <n v="111.4"/>
  </r>
  <r>
    <x v="0"/>
    <x v="7"/>
    <x v="7"/>
    <x v="6"/>
    <x v="0"/>
    <x v="0"/>
    <n v="105.6"/>
  </r>
  <r>
    <x v="0"/>
    <x v="7"/>
    <x v="7"/>
    <x v="6"/>
    <x v="0"/>
    <x v="1"/>
    <n v="105.1"/>
  </r>
  <r>
    <x v="0"/>
    <x v="7"/>
    <x v="7"/>
    <x v="6"/>
    <x v="0"/>
    <x v="2"/>
    <n v="104.3"/>
  </r>
  <r>
    <x v="0"/>
    <x v="7"/>
    <x v="7"/>
    <x v="23"/>
    <x v="7"/>
    <x v="0"/>
    <n v="104.6"/>
  </r>
  <r>
    <x v="0"/>
    <x v="7"/>
    <x v="7"/>
    <x v="23"/>
    <x v="7"/>
    <x v="1"/>
    <n v="104.7"/>
  </r>
  <r>
    <x v="0"/>
    <x v="7"/>
    <x v="7"/>
    <x v="23"/>
    <x v="7"/>
    <x v="2"/>
    <n v="104.9"/>
  </r>
  <r>
    <x v="0"/>
    <x v="7"/>
    <x v="7"/>
    <x v="18"/>
    <x v="0"/>
    <x v="0"/>
    <n v="105.6"/>
  </r>
  <r>
    <x v="0"/>
    <x v="7"/>
    <x v="7"/>
    <x v="18"/>
    <x v="0"/>
    <x v="1"/>
    <n v="106.2"/>
  </r>
  <r>
    <x v="0"/>
    <x v="7"/>
    <x v="7"/>
    <x v="18"/>
    <x v="0"/>
    <x v="2"/>
    <n v="107"/>
  </r>
  <r>
    <x v="0"/>
    <x v="7"/>
    <x v="7"/>
    <x v="7"/>
    <x v="0"/>
    <x v="0"/>
    <n v="106.2"/>
  </r>
  <r>
    <x v="0"/>
    <x v="7"/>
    <x v="7"/>
    <x v="7"/>
    <x v="0"/>
    <x v="1"/>
    <n v="104.9"/>
  </r>
  <r>
    <x v="0"/>
    <x v="7"/>
    <x v="7"/>
    <x v="7"/>
    <x v="0"/>
    <x v="2"/>
    <n v="102.7"/>
  </r>
  <r>
    <x v="0"/>
    <x v="7"/>
    <x v="7"/>
    <x v="22"/>
    <x v="7"/>
    <x v="0"/>
    <n v="106.5"/>
  </r>
  <r>
    <x v="0"/>
    <x v="7"/>
    <x v="7"/>
    <x v="22"/>
    <x v="7"/>
    <x v="1"/>
    <n v="106.6"/>
  </r>
  <r>
    <x v="0"/>
    <x v="7"/>
    <x v="7"/>
    <x v="22"/>
    <x v="7"/>
    <x v="2"/>
    <n v="106.8"/>
  </r>
  <r>
    <x v="0"/>
    <x v="7"/>
    <x v="7"/>
    <x v="24"/>
    <x v="7"/>
    <x v="0"/>
    <n v="104.3"/>
  </r>
  <r>
    <x v="0"/>
    <x v="7"/>
    <x v="7"/>
    <x v="24"/>
    <x v="7"/>
    <x v="1"/>
    <n v="104.3"/>
  </r>
  <r>
    <x v="0"/>
    <x v="7"/>
    <x v="7"/>
    <x v="24"/>
    <x v="7"/>
    <x v="2"/>
    <n v="104.2"/>
  </r>
  <r>
    <x v="0"/>
    <x v="7"/>
    <x v="7"/>
    <x v="20"/>
    <x v="0"/>
    <x v="0"/>
    <n v="108.2"/>
  </r>
  <r>
    <x v="0"/>
    <x v="7"/>
    <x v="7"/>
    <x v="20"/>
    <x v="0"/>
    <x v="1"/>
    <n v="108.9"/>
  </r>
  <r>
    <x v="0"/>
    <x v="7"/>
    <x v="7"/>
    <x v="20"/>
    <x v="0"/>
    <x v="2"/>
    <n v="109.8"/>
  </r>
  <r>
    <x v="0"/>
    <x v="7"/>
    <x v="7"/>
    <x v="12"/>
    <x v="0"/>
    <x v="0"/>
    <n v="105.7"/>
  </r>
  <r>
    <x v="0"/>
    <x v="7"/>
    <x v="7"/>
    <x v="12"/>
    <x v="0"/>
    <x v="1"/>
    <n v="105"/>
  </r>
  <r>
    <x v="0"/>
    <x v="7"/>
    <x v="7"/>
    <x v="12"/>
    <x v="0"/>
    <x v="2"/>
    <n v="103.5"/>
  </r>
  <r>
    <x v="0"/>
    <x v="7"/>
    <x v="7"/>
    <x v="26"/>
    <x v="9"/>
    <x v="0"/>
    <n v="104"/>
  </r>
  <r>
    <x v="0"/>
    <x v="7"/>
    <x v="7"/>
    <x v="26"/>
    <x v="9"/>
    <x v="1"/>
    <n v="103.7"/>
  </r>
  <r>
    <x v="0"/>
    <x v="7"/>
    <x v="7"/>
    <x v="26"/>
    <x v="9"/>
    <x v="2"/>
    <n v="103.5"/>
  </r>
  <r>
    <x v="0"/>
    <x v="7"/>
    <x v="7"/>
    <x v="16"/>
    <x v="0"/>
    <x v="0"/>
    <n v="103.3"/>
  </r>
  <r>
    <x v="0"/>
    <x v="7"/>
    <x v="7"/>
    <x v="16"/>
    <x v="0"/>
    <x v="1"/>
    <n v="103"/>
  </r>
  <r>
    <x v="0"/>
    <x v="7"/>
    <x v="7"/>
    <x v="16"/>
    <x v="0"/>
    <x v="2"/>
    <n v="102.4"/>
  </r>
  <r>
    <x v="0"/>
    <x v="7"/>
    <x v="7"/>
    <x v="14"/>
    <x v="0"/>
    <x v="0"/>
    <n v="105"/>
  </r>
  <r>
    <x v="0"/>
    <x v="7"/>
    <x v="7"/>
    <x v="14"/>
    <x v="0"/>
    <x v="1"/>
    <n v="104.2"/>
  </r>
  <r>
    <x v="0"/>
    <x v="7"/>
    <x v="7"/>
    <x v="14"/>
    <x v="0"/>
    <x v="2"/>
    <n v="102.6"/>
  </r>
  <r>
    <x v="0"/>
    <x v="7"/>
    <x v="7"/>
    <x v="25"/>
    <x v="8"/>
    <x v="0"/>
    <n v="104.6"/>
  </r>
  <r>
    <x v="0"/>
    <x v="7"/>
    <x v="7"/>
    <x v="25"/>
    <x v="8"/>
    <x v="1"/>
    <n v="105.1"/>
  </r>
  <r>
    <x v="0"/>
    <x v="7"/>
    <x v="7"/>
    <x v="25"/>
    <x v="8"/>
    <x v="2"/>
    <n v="105.5"/>
  </r>
  <r>
    <x v="0"/>
    <x v="7"/>
    <x v="7"/>
    <x v="11"/>
    <x v="0"/>
    <x v="0"/>
    <n v="101.4"/>
  </r>
  <r>
    <x v="0"/>
    <x v="7"/>
    <x v="7"/>
    <x v="11"/>
    <x v="0"/>
    <x v="1"/>
    <n v="102.2"/>
  </r>
  <r>
    <x v="0"/>
    <x v="7"/>
    <x v="7"/>
    <x v="11"/>
    <x v="0"/>
    <x v="2"/>
    <n v="103.8"/>
  </r>
  <r>
    <x v="0"/>
    <x v="8"/>
    <x v="8"/>
    <x v="0"/>
    <x v="0"/>
    <x v="0"/>
    <n v="110.9"/>
  </r>
  <r>
    <x v="0"/>
    <x v="8"/>
    <x v="8"/>
    <x v="0"/>
    <x v="0"/>
    <x v="1"/>
    <n v="112.3"/>
  </r>
  <r>
    <x v="0"/>
    <x v="8"/>
    <x v="8"/>
    <x v="0"/>
    <x v="0"/>
    <x v="2"/>
    <n v="115.4"/>
  </r>
  <r>
    <x v="0"/>
    <x v="8"/>
    <x v="8"/>
    <x v="1"/>
    <x v="1"/>
    <x v="0"/>
    <n v="108.8"/>
  </r>
  <r>
    <x v="0"/>
    <x v="8"/>
    <x v="8"/>
    <x v="1"/>
    <x v="1"/>
    <x v="1"/>
    <n v="108.7"/>
  </r>
  <r>
    <x v="0"/>
    <x v="8"/>
    <x v="8"/>
    <x v="1"/>
    <x v="1"/>
    <x v="2"/>
    <n v="108.5"/>
  </r>
  <r>
    <x v="0"/>
    <x v="8"/>
    <x v="8"/>
    <x v="3"/>
    <x v="1"/>
    <x v="0"/>
    <n v="108.6"/>
  </r>
  <r>
    <x v="0"/>
    <x v="8"/>
    <x v="8"/>
    <x v="3"/>
    <x v="1"/>
    <x v="1"/>
    <n v="108.5"/>
  </r>
  <r>
    <x v="0"/>
    <x v="8"/>
    <x v="8"/>
    <x v="3"/>
    <x v="1"/>
    <x v="2"/>
    <n v="108.3"/>
  </r>
  <r>
    <x v="0"/>
    <x v="8"/>
    <x v="8"/>
    <x v="5"/>
    <x v="2"/>
    <x v="0"/>
    <n v="105.5"/>
  </r>
  <r>
    <x v="0"/>
    <x v="8"/>
    <x v="8"/>
    <x v="5"/>
    <x v="2"/>
    <x v="1"/>
    <n v="105.6"/>
  </r>
  <r>
    <x v="0"/>
    <x v="8"/>
    <x v="8"/>
    <x v="5"/>
    <x v="2"/>
    <x v="2"/>
    <n v="105.7"/>
  </r>
  <r>
    <x v="0"/>
    <x v="8"/>
    <x v="8"/>
    <x v="4"/>
    <x v="0"/>
    <x v="0"/>
    <n v="105.9"/>
  </r>
  <r>
    <x v="0"/>
    <x v="8"/>
    <x v="8"/>
    <x v="4"/>
    <x v="0"/>
    <x v="1"/>
    <n v="104.7"/>
  </r>
  <r>
    <x v="0"/>
    <x v="8"/>
    <x v="8"/>
    <x v="4"/>
    <x v="0"/>
    <x v="2"/>
    <n v="102.7"/>
  </r>
  <r>
    <x v="0"/>
    <x v="8"/>
    <x v="8"/>
    <x v="8"/>
    <x v="0"/>
    <x v="0"/>
    <n v="108.1"/>
  </r>
  <r>
    <x v="0"/>
    <x v="8"/>
    <x v="8"/>
    <x v="8"/>
    <x v="0"/>
    <x v="1"/>
    <n v="109.2"/>
  </r>
  <r>
    <x v="0"/>
    <x v="8"/>
    <x v="8"/>
    <x v="8"/>
    <x v="0"/>
    <x v="2"/>
    <n v="111.1"/>
  </r>
  <r>
    <x v="0"/>
    <x v="8"/>
    <x v="8"/>
    <x v="10"/>
    <x v="1"/>
    <x v="0"/>
    <n v="107.9"/>
  </r>
  <r>
    <x v="0"/>
    <x v="8"/>
    <x v="8"/>
    <x v="10"/>
    <x v="1"/>
    <x v="1"/>
    <n v="107.4"/>
  </r>
  <r>
    <x v="0"/>
    <x v="8"/>
    <x v="8"/>
    <x v="10"/>
    <x v="1"/>
    <x v="2"/>
    <n v="106.7"/>
  </r>
  <r>
    <x v="0"/>
    <x v="8"/>
    <x v="8"/>
    <x v="9"/>
    <x v="0"/>
    <x v="0"/>
    <n v="108.1"/>
  </r>
  <r>
    <x v="0"/>
    <x v="8"/>
    <x v="8"/>
    <x v="9"/>
    <x v="0"/>
    <x v="1"/>
    <n v="109.3"/>
  </r>
  <r>
    <x v="0"/>
    <x v="8"/>
    <x v="8"/>
    <x v="9"/>
    <x v="0"/>
    <x v="2"/>
    <n v="110.6"/>
  </r>
  <r>
    <x v="0"/>
    <x v="8"/>
    <x v="8"/>
    <x v="13"/>
    <x v="3"/>
    <x v="0"/>
    <n v="107.5"/>
  </r>
  <r>
    <x v="0"/>
    <x v="8"/>
    <x v="8"/>
    <x v="13"/>
    <x v="3"/>
    <x v="1"/>
    <n v="107.4"/>
  </r>
  <r>
    <x v="0"/>
    <x v="8"/>
    <x v="8"/>
    <x v="13"/>
    <x v="3"/>
    <x v="2"/>
    <n v="107.2"/>
  </r>
  <r>
    <x v="0"/>
    <x v="8"/>
    <x v="8"/>
    <x v="15"/>
    <x v="4"/>
    <x v="0"/>
    <n v="107.2"/>
  </r>
  <r>
    <x v="0"/>
    <x v="8"/>
    <x v="8"/>
    <x v="15"/>
    <x v="4"/>
    <x v="1"/>
    <n v="106.9"/>
  </r>
  <r>
    <x v="0"/>
    <x v="8"/>
    <x v="8"/>
    <x v="15"/>
    <x v="4"/>
    <x v="2"/>
    <n v="106.6"/>
  </r>
  <r>
    <x v="0"/>
    <x v="8"/>
    <x v="8"/>
    <x v="17"/>
    <x v="5"/>
    <x v="0"/>
    <n v="105.7"/>
  </r>
  <r>
    <x v="0"/>
    <x v="8"/>
    <x v="8"/>
    <x v="17"/>
    <x v="5"/>
    <x v="1"/>
    <n v="105.9"/>
  </r>
  <r>
    <x v="0"/>
    <x v="8"/>
    <x v="8"/>
    <x v="17"/>
    <x v="5"/>
    <x v="2"/>
    <n v="106.2"/>
  </r>
  <r>
    <x v="0"/>
    <x v="8"/>
    <x v="8"/>
    <x v="19"/>
    <x v="6"/>
    <x v="0"/>
    <n v="106.8"/>
  </r>
  <r>
    <x v="0"/>
    <x v="8"/>
    <x v="8"/>
    <x v="19"/>
    <x v="6"/>
    <x v="1"/>
    <n v="106.9"/>
  </r>
  <r>
    <x v="0"/>
    <x v="8"/>
    <x v="8"/>
    <x v="19"/>
    <x v="6"/>
    <x v="2"/>
    <n v="107.1"/>
  </r>
  <r>
    <x v="0"/>
    <x v="8"/>
    <x v="8"/>
    <x v="21"/>
    <x v="6"/>
    <x v="0"/>
    <n v="0"/>
  </r>
  <r>
    <x v="0"/>
    <x v="8"/>
    <x v="8"/>
    <x v="21"/>
    <x v="6"/>
    <x v="1"/>
    <n v="100.5"/>
  </r>
  <r>
    <x v="0"/>
    <x v="8"/>
    <x v="8"/>
    <x v="21"/>
    <x v="6"/>
    <x v="2"/>
    <n v="100.5"/>
  </r>
  <r>
    <x v="0"/>
    <x v="8"/>
    <x v="8"/>
    <x v="2"/>
    <x v="0"/>
    <x v="0"/>
    <n v="109.8"/>
  </r>
  <r>
    <x v="0"/>
    <x v="8"/>
    <x v="8"/>
    <x v="2"/>
    <x v="0"/>
    <x v="1"/>
    <n v="111.3"/>
  </r>
  <r>
    <x v="0"/>
    <x v="8"/>
    <x v="8"/>
    <x v="2"/>
    <x v="0"/>
    <x v="2"/>
    <n v="114.2"/>
  </r>
  <r>
    <x v="0"/>
    <x v="8"/>
    <x v="8"/>
    <x v="6"/>
    <x v="0"/>
    <x v="0"/>
    <n v="107.5"/>
  </r>
  <r>
    <x v="0"/>
    <x v="8"/>
    <x v="8"/>
    <x v="6"/>
    <x v="0"/>
    <x v="1"/>
    <n v="106.8"/>
  </r>
  <r>
    <x v="0"/>
    <x v="8"/>
    <x v="8"/>
    <x v="6"/>
    <x v="0"/>
    <x v="2"/>
    <n v="105.5"/>
  </r>
  <r>
    <x v="0"/>
    <x v="8"/>
    <x v="8"/>
    <x v="23"/>
    <x v="7"/>
    <x v="0"/>
    <n v="104.8"/>
  </r>
  <r>
    <x v="0"/>
    <x v="8"/>
    <x v="8"/>
    <x v="23"/>
    <x v="7"/>
    <x v="1"/>
    <n v="104.8"/>
  </r>
  <r>
    <x v="0"/>
    <x v="8"/>
    <x v="8"/>
    <x v="23"/>
    <x v="7"/>
    <x v="2"/>
    <n v="104.9"/>
  </r>
  <r>
    <x v="0"/>
    <x v="8"/>
    <x v="8"/>
    <x v="18"/>
    <x v="0"/>
    <x v="0"/>
    <n v="107.4"/>
  </r>
  <r>
    <x v="0"/>
    <x v="8"/>
    <x v="8"/>
    <x v="18"/>
    <x v="0"/>
    <x v="1"/>
    <n v="108.1"/>
  </r>
  <r>
    <x v="0"/>
    <x v="8"/>
    <x v="8"/>
    <x v="18"/>
    <x v="0"/>
    <x v="2"/>
    <n v="109.1"/>
  </r>
  <r>
    <x v="0"/>
    <x v="8"/>
    <x v="8"/>
    <x v="7"/>
    <x v="0"/>
    <x v="0"/>
    <n v="105.3"/>
  </r>
  <r>
    <x v="0"/>
    <x v="8"/>
    <x v="8"/>
    <x v="7"/>
    <x v="0"/>
    <x v="1"/>
    <n v="103.9"/>
  </r>
  <r>
    <x v="0"/>
    <x v="8"/>
    <x v="8"/>
    <x v="7"/>
    <x v="0"/>
    <x v="2"/>
    <n v="101.5"/>
  </r>
  <r>
    <x v="0"/>
    <x v="8"/>
    <x v="8"/>
    <x v="22"/>
    <x v="7"/>
    <x v="0"/>
    <n v="108.1"/>
  </r>
  <r>
    <x v="0"/>
    <x v="8"/>
    <x v="8"/>
    <x v="22"/>
    <x v="7"/>
    <x v="1"/>
    <n v="108.6"/>
  </r>
  <r>
    <x v="0"/>
    <x v="8"/>
    <x v="8"/>
    <x v="22"/>
    <x v="7"/>
    <x v="2"/>
    <n v="109.8"/>
  </r>
  <r>
    <x v="0"/>
    <x v="8"/>
    <x v="8"/>
    <x v="24"/>
    <x v="7"/>
    <x v="0"/>
    <n v="102.1"/>
  </r>
  <r>
    <x v="0"/>
    <x v="8"/>
    <x v="8"/>
    <x v="24"/>
    <x v="7"/>
    <x v="1"/>
    <n v="102.3"/>
  </r>
  <r>
    <x v="0"/>
    <x v="8"/>
    <x v="8"/>
    <x v="24"/>
    <x v="7"/>
    <x v="2"/>
    <n v="102.6"/>
  </r>
  <r>
    <x v="0"/>
    <x v="8"/>
    <x v="8"/>
    <x v="20"/>
    <x v="0"/>
    <x v="0"/>
    <n v="109.9"/>
  </r>
  <r>
    <x v="0"/>
    <x v="8"/>
    <x v="8"/>
    <x v="20"/>
    <x v="0"/>
    <x v="1"/>
    <n v="110.5"/>
  </r>
  <r>
    <x v="0"/>
    <x v="8"/>
    <x v="8"/>
    <x v="20"/>
    <x v="0"/>
    <x v="2"/>
    <n v="111.3"/>
  </r>
  <r>
    <x v="0"/>
    <x v="8"/>
    <x v="8"/>
    <x v="12"/>
    <x v="0"/>
    <x v="0"/>
    <n v="106.1"/>
  </r>
  <r>
    <x v="0"/>
    <x v="8"/>
    <x v="8"/>
    <x v="12"/>
    <x v="0"/>
    <x v="1"/>
    <n v="105.8"/>
  </r>
  <r>
    <x v="0"/>
    <x v="8"/>
    <x v="8"/>
    <x v="12"/>
    <x v="0"/>
    <x v="2"/>
    <n v="105.2"/>
  </r>
  <r>
    <x v="0"/>
    <x v="8"/>
    <x v="8"/>
    <x v="26"/>
    <x v="9"/>
    <x v="0"/>
    <n v="105"/>
  </r>
  <r>
    <x v="0"/>
    <x v="8"/>
    <x v="8"/>
    <x v="26"/>
    <x v="9"/>
    <x v="1"/>
    <n v="104.8"/>
  </r>
  <r>
    <x v="0"/>
    <x v="8"/>
    <x v="8"/>
    <x v="26"/>
    <x v="9"/>
    <x v="2"/>
    <n v="104.6"/>
  </r>
  <r>
    <x v="0"/>
    <x v="8"/>
    <x v="8"/>
    <x v="16"/>
    <x v="0"/>
    <x v="0"/>
    <n v="104"/>
  </r>
  <r>
    <x v="0"/>
    <x v="8"/>
    <x v="8"/>
    <x v="16"/>
    <x v="0"/>
    <x v="1"/>
    <n v="104.3"/>
  </r>
  <r>
    <x v="0"/>
    <x v="8"/>
    <x v="8"/>
    <x v="16"/>
    <x v="0"/>
    <x v="2"/>
    <n v="105"/>
  </r>
  <r>
    <x v="0"/>
    <x v="8"/>
    <x v="8"/>
    <x v="14"/>
    <x v="0"/>
    <x v="0"/>
    <n v="103.7"/>
  </r>
  <r>
    <x v="0"/>
    <x v="8"/>
    <x v="8"/>
    <x v="14"/>
    <x v="0"/>
    <x v="1"/>
    <n v="103.1"/>
  </r>
  <r>
    <x v="0"/>
    <x v="8"/>
    <x v="8"/>
    <x v="14"/>
    <x v="0"/>
    <x v="2"/>
    <n v="101.9"/>
  </r>
  <r>
    <x v="0"/>
    <x v="8"/>
    <x v="8"/>
    <x v="25"/>
    <x v="8"/>
    <x v="0"/>
    <n v="104.1"/>
  </r>
  <r>
    <x v="0"/>
    <x v="8"/>
    <x v="8"/>
    <x v="25"/>
    <x v="8"/>
    <x v="1"/>
    <n v="104"/>
  </r>
  <r>
    <x v="0"/>
    <x v="8"/>
    <x v="8"/>
    <x v="25"/>
    <x v="8"/>
    <x v="2"/>
    <n v="103.9"/>
  </r>
  <r>
    <x v="0"/>
    <x v="8"/>
    <x v="8"/>
    <x v="11"/>
    <x v="0"/>
    <x v="0"/>
    <n v="107.3"/>
  </r>
  <r>
    <x v="0"/>
    <x v="8"/>
    <x v="8"/>
    <x v="11"/>
    <x v="0"/>
    <x v="1"/>
    <n v="112.9"/>
  </r>
  <r>
    <x v="0"/>
    <x v="8"/>
    <x v="8"/>
    <x v="11"/>
    <x v="0"/>
    <x v="2"/>
    <n v="123.7"/>
  </r>
  <r>
    <x v="0"/>
    <x v="9"/>
    <x v="9"/>
    <x v="0"/>
    <x v="0"/>
    <x v="0"/>
    <n v="117.3"/>
  </r>
  <r>
    <x v="0"/>
    <x v="9"/>
    <x v="9"/>
    <x v="0"/>
    <x v="0"/>
    <x v="1"/>
    <n v="118.1"/>
  </r>
  <r>
    <x v="0"/>
    <x v="9"/>
    <x v="9"/>
    <x v="0"/>
    <x v="0"/>
    <x v="2"/>
    <n v="119.8"/>
  </r>
  <r>
    <x v="0"/>
    <x v="9"/>
    <x v="9"/>
    <x v="1"/>
    <x v="1"/>
    <x v="0"/>
    <n v="114.6"/>
  </r>
  <r>
    <x v="0"/>
    <x v="9"/>
    <x v="9"/>
    <x v="1"/>
    <x v="1"/>
    <x v="1"/>
    <n v="114.2"/>
  </r>
  <r>
    <x v="0"/>
    <x v="9"/>
    <x v="9"/>
    <x v="1"/>
    <x v="1"/>
    <x v="2"/>
    <n v="113.5"/>
  </r>
  <r>
    <x v="0"/>
    <x v="9"/>
    <x v="9"/>
    <x v="3"/>
    <x v="1"/>
    <x v="0"/>
    <n v="114.4"/>
  </r>
  <r>
    <x v="0"/>
    <x v="9"/>
    <x v="9"/>
    <x v="3"/>
    <x v="1"/>
    <x v="1"/>
    <n v="113.8"/>
  </r>
  <r>
    <x v="0"/>
    <x v="9"/>
    <x v="9"/>
    <x v="3"/>
    <x v="1"/>
    <x v="2"/>
    <n v="113"/>
  </r>
  <r>
    <x v="0"/>
    <x v="9"/>
    <x v="9"/>
    <x v="5"/>
    <x v="2"/>
    <x v="0"/>
    <n v="111"/>
  </r>
  <r>
    <x v="0"/>
    <x v="9"/>
    <x v="9"/>
    <x v="5"/>
    <x v="2"/>
    <x v="1"/>
    <n v="111.2"/>
  </r>
  <r>
    <x v="0"/>
    <x v="9"/>
    <x v="9"/>
    <x v="5"/>
    <x v="2"/>
    <x v="2"/>
    <n v="111.3"/>
  </r>
  <r>
    <x v="0"/>
    <x v="9"/>
    <x v="9"/>
    <x v="4"/>
    <x v="0"/>
    <x v="0"/>
    <n v="116.2"/>
  </r>
  <r>
    <x v="0"/>
    <x v="9"/>
    <x v="9"/>
    <x v="4"/>
    <x v="0"/>
    <x v="1"/>
    <n v="118.7"/>
  </r>
  <r>
    <x v="0"/>
    <x v="9"/>
    <x v="9"/>
    <x v="4"/>
    <x v="0"/>
    <x v="2"/>
    <n v="122.6"/>
  </r>
  <r>
    <x v="0"/>
    <x v="9"/>
    <x v="9"/>
    <x v="8"/>
    <x v="0"/>
    <x v="0"/>
    <n v="122.5"/>
  </r>
  <r>
    <x v="0"/>
    <x v="9"/>
    <x v="9"/>
    <x v="8"/>
    <x v="0"/>
    <x v="1"/>
    <n v="122.6"/>
  </r>
  <r>
    <x v="0"/>
    <x v="9"/>
    <x v="9"/>
    <x v="8"/>
    <x v="0"/>
    <x v="2"/>
    <n v="122.9"/>
  </r>
  <r>
    <x v="0"/>
    <x v="9"/>
    <x v="9"/>
    <x v="10"/>
    <x v="1"/>
    <x v="0"/>
    <n v="113.1"/>
  </r>
  <r>
    <x v="0"/>
    <x v="9"/>
    <x v="9"/>
    <x v="10"/>
    <x v="1"/>
    <x v="1"/>
    <n v="111.9"/>
  </r>
  <r>
    <x v="0"/>
    <x v="9"/>
    <x v="9"/>
    <x v="10"/>
    <x v="1"/>
    <x v="2"/>
    <n v="110.3"/>
  </r>
  <r>
    <x v="0"/>
    <x v="9"/>
    <x v="9"/>
    <x v="9"/>
    <x v="0"/>
    <x v="0"/>
    <n v="116.6"/>
  </r>
  <r>
    <x v="0"/>
    <x v="9"/>
    <x v="9"/>
    <x v="9"/>
    <x v="0"/>
    <x v="1"/>
    <n v="113.5"/>
  </r>
  <r>
    <x v="0"/>
    <x v="9"/>
    <x v="9"/>
    <x v="9"/>
    <x v="0"/>
    <x v="2"/>
    <n v="110"/>
  </r>
  <r>
    <x v="0"/>
    <x v="9"/>
    <x v="9"/>
    <x v="13"/>
    <x v="3"/>
    <x v="0"/>
    <n v="112.6"/>
  </r>
  <r>
    <x v="0"/>
    <x v="9"/>
    <x v="9"/>
    <x v="13"/>
    <x v="3"/>
    <x v="1"/>
    <n v="111.6"/>
  </r>
  <r>
    <x v="0"/>
    <x v="9"/>
    <x v="9"/>
    <x v="13"/>
    <x v="3"/>
    <x v="2"/>
    <n v="110"/>
  </r>
  <r>
    <x v="0"/>
    <x v="9"/>
    <x v="9"/>
    <x v="15"/>
    <x v="4"/>
    <x v="0"/>
    <n v="117.4"/>
  </r>
  <r>
    <x v="0"/>
    <x v="9"/>
    <x v="9"/>
    <x v="15"/>
    <x v="4"/>
    <x v="1"/>
    <n v="116.3"/>
  </r>
  <r>
    <x v="0"/>
    <x v="9"/>
    <x v="9"/>
    <x v="15"/>
    <x v="4"/>
    <x v="2"/>
    <n v="115"/>
  </r>
  <r>
    <x v="0"/>
    <x v="9"/>
    <x v="9"/>
    <x v="17"/>
    <x v="5"/>
    <x v="0"/>
    <n v="109.7"/>
  </r>
  <r>
    <x v="0"/>
    <x v="9"/>
    <x v="9"/>
    <x v="17"/>
    <x v="5"/>
    <x v="1"/>
    <n v="109.3"/>
  </r>
  <r>
    <x v="0"/>
    <x v="9"/>
    <x v="9"/>
    <x v="17"/>
    <x v="5"/>
    <x v="2"/>
    <n v="108.6"/>
  </r>
  <r>
    <x v="0"/>
    <x v="9"/>
    <x v="9"/>
    <x v="19"/>
    <x v="6"/>
    <x v="0"/>
    <n v="111.3"/>
  </r>
  <r>
    <x v="0"/>
    <x v="9"/>
    <x v="9"/>
    <x v="19"/>
    <x v="6"/>
    <x v="1"/>
    <n v="111.1"/>
  </r>
  <r>
    <x v="0"/>
    <x v="9"/>
    <x v="9"/>
    <x v="19"/>
    <x v="6"/>
    <x v="2"/>
    <n v="110.9"/>
  </r>
  <r>
    <x v="0"/>
    <x v="9"/>
    <x v="9"/>
    <x v="21"/>
    <x v="6"/>
    <x v="0"/>
    <n v="0"/>
  </r>
  <r>
    <x v="0"/>
    <x v="9"/>
    <x v="9"/>
    <x v="21"/>
    <x v="6"/>
    <x v="1"/>
    <n v="111.1"/>
  </r>
  <r>
    <x v="0"/>
    <x v="9"/>
    <x v="9"/>
    <x v="21"/>
    <x v="6"/>
    <x v="2"/>
    <n v="111.1"/>
  </r>
  <r>
    <x v="0"/>
    <x v="9"/>
    <x v="9"/>
    <x v="2"/>
    <x v="0"/>
    <x v="0"/>
    <n v="114.9"/>
  </r>
  <r>
    <x v="0"/>
    <x v="9"/>
    <x v="9"/>
    <x v="2"/>
    <x v="0"/>
    <x v="1"/>
    <n v="115.4"/>
  </r>
  <r>
    <x v="0"/>
    <x v="9"/>
    <x v="9"/>
    <x v="2"/>
    <x v="0"/>
    <x v="2"/>
    <n v="116.3"/>
  </r>
  <r>
    <x v="0"/>
    <x v="9"/>
    <x v="9"/>
    <x v="6"/>
    <x v="0"/>
    <x v="0"/>
    <n v="112.8"/>
  </r>
  <r>
    <x v="0"/>
    <x v="9"/>
    <x v="9"/>
    <x v="6"/>
    <x v="0"/>
    <x v="1"/>
    <n v="112.5"/>
  </r>
  <r>
    <x v="0"/>
    <x v="9"/>
    <x v="9"/>
    <x v="6"/>
    <x v="0"/>
    <x v="2"/>
    <n v="112"/>
  </r>
  <r>
    <x v="0"/>
    <x v="9"/>
    <x v="9"/>
    <x v="23"/>
    <x v="7"/>
    <x v="0"/>
    <n v="109.8"/>
  </r>
  <r>
    <x v="0"/>
    <x v="9"/>
    <x v="9"/>
    <x v="23"/>
    <x v="7"/>
    <x v="1"/>
    <n v="109.7"/>
  </r>
  <r>
    <x v="0"/>
    <x v="9"/>
    <x v="9"/>
    <x v="23"/>
    <x v="7"/>
    <x v="2"/>
    <n v="109.6"/>
  </r>
  <r>
    <x v="0"/>
    <x v="9"/>
    <x v="9"/>
    <x v="18"/>
    <x v="0"/>
    <x v="0"/>
    <n v="111.8"/>
  </r>
  <r>
    <x v="0"/>
    <x v="9"/>
    <x v="9"/>
    <x v="18"/>
    <x v="0"/>
    <x v="1"/>
    <n v="111.8"/>
  </r>
  <r>
    <x v="0"/>
    <x v="9"/>
    <x v="9"/>
    <x v="18"/>
    <x v="0"/>
    <x v="2"/>
    <n v="111.8"/>
  </r>
  <r>
    <x v="0"/>
    <x v="9"/>
    <x v="9"/>
    <x v="7"/>
    <x v="0"/>
    <x v="0"/>
    <n v="108.9"/>
  </r>
  <r>
    <x v="0"/>
    <x v="9"/>
    <x v="9"/>
    <x v="7"/>
    <x v="0"/>
    <x v="1"/>
    <n v="106.8"/>
  </r>
  <r>
    <x v="0"/>
    <x v="9"/>
    <x v="9"/>
    <x v="7"/>
    <x v="0"/>
    <x v="2"/>
    <n v="103.2"/>
  </r>
  <r>
    <x v="0"/>
    <x v="9"/>
    <x v="9"/>
    <x v="22"/>
    <x v="7"/>
    <x v="0"/>
    <n v="112.8"/>
  </r>
  <r>
    <x v="0"/>
    <x v="9"/>
    <x v="9"/>
    <x v="22"/>
    <x v="7"/>
    <x v="1"/>
    <n v="113.1"/>
  </r>
  <r>
    <x v="0"/>
    <x v="9"/>
    <x v="9"/>
    <x v="22"/>
    <x v="7"/>
    <x v="2"/>
    <n v="114.1"/>
  </r>
  <r>
    <x v="0"/>
    <x v="9"/>
    <x v="9"/>
    <x v="24"/>
    <x v="7"/>
    <x v="0"/>
    <n v="108.2"/>
  </r>
  <r>
    <x v="0"/>
    <x v="9"/>
    <x v="9"/>
    <x v="24"/>
    <x v="7"/>
    <x v="1"/>
    <n v="108.1"/>
  </r>
  <r>
    <x v="0"/>
    <x v="9"/>
    <x v="9"/>
    <x v="24"/>
    <x v="7"/>
    <x v="2"/>
    <n v="107.9"/>
  </r>
  <r>
    <x v="0"/>
    <x v="9"/>
    <x v="9"/>
    <x v="20"/>
    <x v="0"/>
    <x v="0"/>
    <n v="116"/>
  </r>
  <r>
    <x v="0"/>
    <x v="9"/>
    <x v="9"/>
    <x v="20"/>
    <x v="0"/>
    <x v="1"/>
    <n v="116.5"/>
  </r>
  <r>
    <x v="0"/>
    <x v="9"/>
    <x v="9"/>
    <x v="20"/>
    <x v="0"/>
    <x v="2"/>
    <n v="117.1"/>
  </r>
  <r>
    <x v="0"/>
    <x v="9"/>
    <x v="9"/>
    <x v="12"/>
    <x v="0"/>
    <x v="0"/>
    <n v="109.1"/>
  </r>
  <r>
    <x v="0"/>
    <x v="9"/>
    <x v="9"/>
    <x v="12"/>
    <x v="0"/>
    <x v="1"/>
    <n v="108.2"/>
  </r>
  <r>
    <x v="0"/>
    <x v="9"/>
    <x v="9"/>
    <x v="12"/>
    <x v="0"/>
    <x v="2"/>
    <n v="106.3"/>
  </r>
  <r>
    <x v="0"/>
    <x v="9"/>
    <x v="9"/>
    <x v="26"/>
    <x v="9"/>
    <x v="0"/>
    <n v="108.7"/>
  </r>
  <r>
    <x v="0"/>
    <x v="9"/>
    <x v="9"/>
    <x v="26"/>
    <x v="9"/>
    <x v="1"/>
    <n v="108.6"/>
  </r>
  <r>
    <x v="0"/>
    <x v="9"/>
    <x v="9"/>
    <x v="26"/>
    <x v="9"/>
    <x v="2"/>
    <n v="108.5"/>
  </r>
  <r>
    <x v="0"/>
    <x v="9"/>
    <x v="9"/>
    <x v="16"/>
    <x v="0"/>
    <x v="0"/>
    <n v="109"/>
  </r>
  <r>
    <x v="0"/>
    <x v="9"/>
    <x v="9"/>
    <x v="16"/>
    <x v="0"/>
    <x v="1"/>
    <n v="109.4"/>
  </r>
  <r>
    <x v="0"/>
    <x v="9"/>
    <x v="9"/>
    <x v="16"/>
    <x v="0"/>
    <x v="2"/>
    <n v="110.3"/>
  </r>
  <r>
    <x v="0"/>
    <x v="9"/>
    <x v="9"/>
    <x v="14"/>
    <x v="0"/>
    <x v="0"/>
    <n v="103.6"/>
  </r>
  <r>
    <x v="0"/>
    <x v="9"/>
    <x v="9"/>
    <x v="14"/>
    <x v="0"/>
    <x v="1"/>
    <n v="102.2"/>
  </r>
  <r>
    <x v="0"/>
    <x v="9"/>
    <x v="9"/>
    <x v="14"/>
    <x v="0"/>
    <x v="2"/>
    <n v="99.5"/>
  </r>
  <r>
    <x v="0"/>
    <x v="9"/>
    <x v="9"/>
    <x v="25"/>
    <x v="8"/>
    <x v="0"/>
    <n v="109.6"/>
  </r>
  <r>
    <x v="0"/>
    <x v="9"/>
    <x v="9"/>
    <x v="25"/>
    <x v="8"/>
    <x v="1"/>
    <n v="109.5"/>
  </r>
  <r>
    <x v="0"/>
    <x v="9"/>
    <x v="9"/>
    <x v="25"/>
    <x v="8"/>
    <x v="2"/>
    <n v="109.5"/>
  </r>
  <r>
    <x v="0"/>
    <x v="9"/>
    <x v="9"/>
    <x v="11"/>
    <x v="0"/>
    <x v="0"/>
    <n v="178.1"/>
  </r>
  <r>
    <x v="0"/>
    <x v="9"/>
    <x v="9"/>
    <x v="11"/>
    <x v="0"/>
    <x v="1"/>
    <n v="183.1"/>
  </r>
  <r>
    <x v="0"/>
    <x v="9"/>
    <x v="9"/>
    <x v="11"/>
    <x v="0"/>
    <x v="2"/>
    <n v="192.8"/>
  </r>
  <r>
    <x v="0"/>
    <x v="10"/>
    <x v="10"/>
    <x v="0"/>
    <x v="0"/>
    <x v="0"/>
    <n v="116.3"/>
  </r>
  <r>
    <x v="0"/>
    <x v="10"/>
    <x v="10"/>
    <x v="0"/>
    <x v="0"/>
    <x v="1"/>
    <n v="117.1"/>
  </r>
  <r>
    <x v="0"/>
    <x v="10"/>
    <x v="10"/>
    <x v="0"/>
    <x v="0"/>
    <x v="2"/>
    <n v="118.9"/>
  </r>
  <r>
    <x v="0"/>
    <x v="10"/>
    <x v="10"/>
    <x v="1"/>
    <x v="1"/>
    <x v="0"/>
    <n v="113.6"/>
  </r>
  <r>
    <x v="0"/>
    <x v="10"/>
    <x v="10"/>
    <x v="1"/>
    <x v="1"/>
    <x v="1"/>
    <n v="113.2"/>
  </r>
  <r>
    <x v="0"/>
    <x v="10"/>
    <x v="10"/>
    <x v="1"/>
    <x v="1"/>
    <x v="2"/>
    <n v="112.5"/>
  </r>
  <r>
    <x v="0"/>
    <x v="10"/>
    <x v="10"/>
    <x v="3"/>
    <x v="1"/>
    <x v="0"/>
    <n v="113.4"/>
  </r>
  <r>
    <x v="0"/>
    <x v="10"/>
    <x v="10"/>
    <x v="3"/>
    <x v="1"/>
    <x v="1"/>
    <n v="112.8"/>
  </r>
  <r>
    <x v="0"/>
    <x v="10"/>
    <x v="10"/>
    <x v="3"/>
    <x v="1"/>
    <x v="2"/>
    <n v="112"/>
  </r>
  <r>
    <x v="0"/>
    <x v="10"/>
    <x v="10"/>
    <x v="5"/>
    <x v="2"/>
    <x v="0"/>
    <n v="110.2"/>
  </r>
  <r>
    <x v="0"/>
    <x v="10"/>
    <x v="10"/>
    <x v="5"/>
    <x v="2"/>
    <x v="1"/>
    <n v="110.8"/>
  </r>
  <r>
    <x v="0"/>
    <x v="10"/>
    <x v="10"/>
    <x v="5"/>
    <x v="2"/>
    <x v="2"/>
    <n v="111.3"/>
  </r>
  <r>
    <x v="0"/>
    <x v="10"/>
    <x v="10"/>
    <x v="4"/>
    <x v="0"/>
    <x v="0"/>
    <n v="112.6"/>
  </r>
  <r>
    <x v="0"/>
    <x v="10"/>
    <x v="10"/>
    <x v="4"/>
    <x v="0"/>
    <x v="1"/>
    <n v="113.3"/>
  </r>
  <r>
    <x v="0"/>
    <x v="10"/>
    <x v="10"/>
    <x v="4"/>
    <x v="0"/>
    <x v="2"/>
    <n v="114.5"/>
  </r>
  <r>
    <x v="0"/>
    <x v="10"/>
    <x v="10"/>
    <x v="8"/>
    <x v="0"/>
    <x v="0"/>
    <n v="119.8"/>
  </r>
  <r>
    <x v="0"/>
    <x v="10"/>
    <x v="10"/>
    <x v="8"/>
    <x v="0"/>
    <x v="1"/>
    <n v="120.2"/>
  </r>
  <r>
    <x v="0"/>
    <x v="10"/>
    <x v="10"/>
    <x v="8"/>
    <x v="0"/>
    <x v="2"/>
    <n v="120.8"/>
  </r>
  <r>
    <x v="0"/>
    <x v="10"/>
    <x v="10"/>
    <x v="10"/>
    <x v="1"/>
    <x v="0"/>
    <n v="112.3"/>
  </r>
  <r>
    <x v="0"/>
    <x v="10"/>
    <x v="10"/>
    <x v="10"/>
    <x v="1"/>
    <x v="1"/>
    <n v="111.2"/>
  </r>
  <r>
    <x v="0"/>
    <x v="10"/>
    <x v="10"/>
    <x v="10"/>
    <x v="1"/>
    <x v="2"/>
    <n v="109.7"/>
  </r>
  <r>
    <x v="0"/>
    <x v="10"/>
    <x v="10"/>
    <x v="9"/>
    <x v="0"/>
    <x v="0"/>
    <n v="113.2"/>
  </r>
  <r>
    <x v="0"/>
    <x v="10"/>
    <x v="10"/>
    <x v="9"/>
    <x v="0"/>
    <x v="1"/>
    <n v="109.9"/>
  </r>
  <r>
    <x v="0"/>
    <x v="10"/>
    <x v="10"/>
    <x v="9"/>
    <x v="0"/>
    <x v="2"/>
    <n v="106.2"/>
  </r>
  <r>
    <x v="0"/>
    <x v="10"/>
    <x v="10"/>
    <x v="13"/>
    <x v="3"/>
    <x v="0"/>
    <n v="111.6"/>
  </r>
  <r>
    <x v="0"/>
    <x v="10"/>
    <x v="10"/>
    <x v="13"/>
    <x v="3"/>
    <x v="1"/>
    <n v="110.9"/>
  </r>
  <r>
    <x v="0"/>
    <x v="10"/>
    <x v="10"/>
    <x v="13"/>
    <x v="3"/>
    <x v="2"/>
    <n v="109.7"/>
  </r>
  <r>
    <x v="0"/>
    <x v="10"/>
    <x v="10"/>
    <x v="15"/>
    <x v="4"/>
    <x v="0"/>
    <n v="115.5"/>
  </r>
  <r>
    <x v="0"/>
    <x v="10"/>
    <x v="10"/>
    <x v="15"/>
    <x v="4"/>
    <x v="1"/>
    <n v="114.8"/>
  </r>
  <r>
    <x v="0"/>
    <x v="10"/>
    <x v="10"/>
    <x v="15"/>
    <x v="4"/>
    <x v="2"/>
    <n v="114"/>
  </r>
  <r>
    <x v="0"/>
    <x v="10"/>
    <x v="10"/>
    <x v="17"/>
    <x v="5"/>
    <x v="0"/>
    <n v="108.9"/>
  </r>
  <r>
    <x v="0"/>
    <x v="10"/>
    <x v="10"/>
    <x v="17"/>
    <x v="5"/>
    <x v="1"/>
    <n v="108.6"/>
  </r>
  <r>
    <x v="0"/>
    <x v="10"/>
    <x v="10"/>
    <x v="17"/>
    <x v="5"/>
    <x v="2"/>
    <n v="108.2"/>
  </r>
  <r>
    <x v="0"/>
    <x v="10"/>
    <x v="10"/>
    <x v="19"/>
    <x v="6"/>
    <x v="0"/>
    <n v="110.4"/>
  </r>
  <r>
    <x v="0"/>
    <x v="10"/>
    <x v="10"/>
    <x v="19"/>
    <x v="6"/>
    <x v="1"/>
    <n v="110.3"/>
  </r>
  <r>
    <x v="0"/>
    <x v="10"/>
    <x v="10"/>
    <x v="19"/>
    <x v="6"/>
    <x v="2"/>
    <n v="110.2"/>
  </r>
  <r>
    <x v="0"/>
    <x v="10"/>
    <x v="10"/>
    <x v="21"/>
    <x v="6"/>
    <x v="0"/>
    <n v="0"/>
  </r>
  <r>
    <x v="0"/>
    <x v="10"/>
    <x v="10"/>
    <x v="21"/>
    <x v="6"/>
    <x v="1"/>
    <n v="110.5"/>
  </r>
  <r>
    <x v="0"/>
    <x v="10"/>
    <x v="10"/>
    <x v="21"/>
    <x v="6"/>
    <x v="2"/>
    <n v="110.5"/>
  </r>
  <r>
    <x v="0"/>
    <x v="10"/>
    <x v="10"/>
    <x v="2"/>
    <x v="0"/>
    <x v="0"/>
    <n v="115.4"/>
  </r>
  <r>
    <x v="0"/>
    <x v="10"/>
    <x v="10"/>
    <x v="2"/>
    <x v="0"/>
    <x v="1"/>
    <n v="116.3"/>
  </r>
  <r>
    <x v="0"/>
    <x v="10"/>
    <x v="10"/>
    <x v="2"/>
    <x v="0"/>
    <x v="2"/>
    <n v="118.1"/>
  </r>
  <r>
    <x v="0"/>
    <x v="10"/>
    <x v="10"/>
    <x v="6"/>
    <x v="0"/>
    <x v="0"/>
    <n v="111.7"/>
  </r>
  <r>
    <x v="0"/>
    <x v="10"/>
    <x v="10"/>
    <x v="6"/>
    <x v="0"/>
    <x v="1"/>
    <n v="111.2"/>
  </r>
  <r>
    <x v="0"/>
    <x v="10"/>
    <x v="10"/>
    <x v="6"/>
    <x v="0"/>
    <x v="2"/>
    <n v="110.4"/>
  </r>
  <r>
    <x v="0"/>
    <x v="10"/>
    <x v="10"/>
    <x v="23"/>
    <x v="7"/>
    <x v="0"/>
    <n v="109.1"/>
  </r>
  <r>
    <x v="0"/>
    <x v="10"/>
    <x v="10"/>
    <x v="23"/>
    <x v="7"/>
    <x v="1"/>
    <n v="109.2"/>
  </r>
  <r>
    <x v="0"/>
    <x v="10"/>
    <x v="10"/>
    <x v="23"/>
    <x v="7"/>
    <x v="2"/>
    <n v="109.4"/>
  </r>
  <r>
    <x v="0"/>
    <x v="10"/>
    <x v="10"/>
    <x v="18"/>
    <x v="0"/>
    <x v="0"/>
    <n v="111.1"/>
  </r>
  <r>
    <x v="0"/>
    <x v="10"/>
    <x v="10"/>
    <x v="18"/>
    <x v="0"/>
    <x v="1"/>
    <n v="111.2"/>
  </r>
  <r>
    <x v="0"/>
    <x v="10"/>
    <x v="10"/>
    <x v="18"/>
    <x v="0"/>
    <x v="2"/>
    <n v="111.4"/>
  </r>
  <r>
    <x v="0"/>
    <x v="10"/>
    <x v="10"/>
    <x v="7"/>
    <x v="0"/>
    <x v="0"/>
    <n v="107.7"/>
  </r>
  <r>
    <x v="0"/>
    <x v="10"/>
    <x v="10"/>
    <x v="7"/>
    <x v="0"/>
    <x v="1"/>
    <n v="105.7"/>
  </r>
  <r>
    <x v="0"/>
    <x v="10"/>
    <x v="10"/>
    <x v="7"/>
    <x v="0"/>
    <x v="2"/>
    <n v="102.3"/>
  </r>
  <r>
    <x v="0"/>
    <x v="10"/>
    <x v="10"/>
    <x v="22"/>
    <x v="7"/>
    <x v="0"/>
    <n v="112.2"/>
  </r>
  <r>
    <x v="0"/>
    <x v="10"/>
    <x v="10"/>
    <x v="22"/>
    <x v="7"/>
    <x v="1"/>
    <n v="112.5"/>
  </r>
  <r>
    <x v="0"/>
    <x v="10"/>
    <x v="10"/>
    <x v="22"/>
    <x v="7"/>
    <x v="2"/>
    <n v="113.5"/>
  </r>
  <r>
    <x v="0"/>
    <x v="10"/>
    <x v="10"/>
    <x v="24"/>
    <x v="7"/>
    <x v="0"/>
    <n v="107.5"/>
  </r>
  <r>
    <x v="0"/>
    <x v="10"/>
    <x v="10"/>
    <x v="24"/>
    <x v="7"/>
    <x v="1"/>
    <n v="107.4"/>
  </r>
  <r>
    <x v="0"/>
    <x v="10"/>
    <x v="10"/>
    <x v="24"/>
    <x v="7"/>
    <x v="2"/>
    <n v="107.3"/>
  </r>
  <r>
    <x v="0"/>
    <x v="10"/>
    <x v="10"/>
    <x v="20"/>
    <x v="0"/>
    <x v="0"/>
    <n v="114.9"/>
  </r>
  <r>
    <x v="0"/>
    <x v="10"/>
    <x v="10"/>
    <x v="20"/>
    <x v="0"/>
    <x v="1"/>
    <n v="115.4"/>
  </r>
  <r>
    <x v="0"/>
    <x v="10"/>
    <x v="10"/>
    <x v="20"/>
    <x v="0"/>
    <x v="2"/>
    <n v="116"/>
  </r>
  <r>
    <x v="0"/>
    <x v="10"/>
    <x v="10"/>
    <x v="12"/>
    <x v="0"/>
    <x v="0"/>
    <n v="108.3"/>
  </r>
  <r>
    <x v="0"/>
    <x v="10"/>
    <x v="10"/>
    <x v="12"/>
    <x v="0"/>
    <x v="1"/>
    <n v="107.3"/>
  </r>
  <r>
    <x v="0"/>
    <x v="10"/>
    <x v="10"/>
    <x v="12"/>
    <x v="0"/>
    <x v="2"/>
    <n v="105.3"/>
  </r>
  <r>
    <x v="0"/>
    <x v="10"/>
    <x v="10"/>
    <x v="26"/>
    <x v="9"/>
    <x v="0"/>
    <n v="108.3"/>
  </r>
  <r>
    <x v="0"/>
    <x v="10"/>
    <x v="10"/>
    <x v="26"/>
    <x v="9"/>
    <x v="1"/>
    <n v="108.1"/>
  </r>
  <r>
    <x v="0"/>
    <x v="10"/>
    <x v="10"/>
    <x v="26"/>
    <x v="9"/>
    <x v="2"/>
    <n v="108"/>
  </r>
  <r>
    <x v="0"/>
    <x v="10"/>
    <x v="10"/>
    <x v="16"/>
    <x v="0"/>
    <x v="0"/>
    <n v="108.2"/>
  </r>
  <r>
    <x v="0"/>
    <x v="10"/>
    <x v="10"/>
    <x v="16"/>
    <x v="0"/>
    <x v="1"/>
    <n v="108.7"/>
  </r>
  <r>
    <x v="0"/>
    <x v="10"/>
    <x v="10"/>
    <x v="16"/>
    <x v="0"/>
    <x v="2"/>
    <n v="109.6"/>
  </r>
  <r>
    <x v="0"/>
    <x v="10"/>
    <x v="10"/>
    <x v="14"/>
    <x v="0"/>
    <x v="0"/>
    <n v="103.9"/>
  </r>
  <r>
    <x v="0"/>
    <x v="10"/>
    <x v="10"/>
    <x v="14"/>
    <x v="0"/>
    <x v="1"/>
    <n v="102.7"/>
  </r>
  <r>
    <x v="0"/>
    <x v="10"/>
    <x v="10"/>
    <x v="14"/>
    <x v="0"/>
    <x v="2"/>
    <n v="100.2"/>
  </r>
  <r>
    <x v="0"/>
    <x v="10"/>
    <x v="10"/>
    <x v="25"/>
    <x v="8"/>
    <x v="0"/>
    <n v="109.3"/>
  </r>
  <r>
    <x v="0"/>
    <x v="10"/>
    <x v="10"/>
    <x v="25"/>
    <x v="8"/>
    <x v="1"/>
    <n v="109.5"/>
  </r>
  <r>
    <x v="0"/>
    <x v="10"/>
    <x v="10"/>
    <x v="25"/>
    <x v="8"/>
    <x v="2"/>
    <n v="109.7"/>
  </r>
  <r>
    <x v="0"/>
    <x v="10"/>
    <x v="10"/>
    <x v="11"/>
    <x v="0"/>
    <x v="0"/>
    <n v="164.9"/>
  </r>
  <r>
    <x v="0"/>
    <x v="10"/>
    <x v="10"/>
    <x v="11"/>
    <x v="0"/>
    <x v="1"/>
    <n v="171.2"/>
  </r>
  <r>
    <x v="0"/>
    <x v="10"/>
    <x v="10"/>
    <x v="11"/>
    <x v="0"/>
    <x v="2"/>
    <n v="183.5"/>
  </r>
  <r>
    <x v="0"/>
    <x v="11"/>
    <x v="11"/>
    <x v="0"/>
    <x v="0"/>
    <x v="0"/>
    <n v="115.4"/>
  </r>
  <r>
    <x v="0"/>
    <x v="11"/>
    <x v="11"/>
    <x v="0"/>
    <x v="0"/>
    <x v="1"/>
    <n v="116.4"/>
  </r>
  <r>
    <x v="0"/>
    <x v="11"/>
    <x v="11"/>
    <x v="0"/>
    <x v="0"/>
    <x v="2"/>
    <n v="118.6"/>
  </r>
  <r>
    <x v="0"/>
    <x v="11"/>
    <x v="11"/>
    <x v="1"/>
    <x v="1"/>
    <x v="0"/>
    <n v="112.7"/>
  </r>
  <r>
    <x v="0"/>
    <x v="11"/>
    <x v="11"/>
    <x v="1"/>
    <x v="1"/>
    <x v="1"/>
    <n v="112.2"/>
  </r>
  <r>
    <x v="0"/>
    <x v="11"/>
    <x v="11"/>
    <x v="1"/>
    <x v="1"/>
    <x v="2"/>
    <n v="111.4"/>
  </r>
  <r>
    <x v="0"/>
    <x v="11"/>
    <x v="11"/>
    <x v="3"/>
    <x v="1"/>
    <x v="0"/>
    <n v="112.5"/>
  </r>
  <r>
    <x v="0"/>
    <x v="11"/>
    <x v="11"/>
    <x v="3"/>
    <x v="1"/>
    <x v="1"/>
    <n v="111.9"/>
  </r>
  <r>
    <x v="0"/>
    <x v="11"/>
    <x v="11"/>
    <x v="3"/>
    <x v="1"/>
    <x v="2"/>
    <n v="111.1"/>
  </r>
  <r>
    <x v="0"/>
    <x v="11"/>
    <x v="11"/>
    <x v="5"/>
    <x v="2"/>
    <x v="0"/>
    <n v="109.8"/>
  </r>
  <r>
    <x v="0"/>
    <x v="11"/>
    <x v="11"/>
    <x v="5"/>
    <x v="2"/>
    <x v="1"/>
    <n v="110.6"/>
  </r>
  <r>
    <x v="0"/>
    <x v="11"/>
    <x v="11"/>
    <x v="5"/>
    <x v="2"/>
    <x v="2"/>
    <n v="111.2"/>
  </r>
  <r>
    <x v="0"/>
    <x v="11"/>
    <x v="11"/>
    <x v="4"/>
    <x v="0"/>
    <x v="0"/>
    <n v="111.7"/>
  </r>
  <r>
    <x v="0"/>
    <x v="11"/>
    <x v="11"/>
    <x v="4"/>
    <x v="0"/>
    <x v="1"/>
    <n v="112.3"/>
  </r>
  <r>
    <x v="0"/>
    <x v="11"/>
    <x v="11"/>
    <x v="4"/>
    <x v="0"/>
    <x v="2"/>
    <n v="113.2"/>
  </r>
  <r>
    <x v="0"/>
    <x v="11"/>
    <x v="11"/>
    <x v="8"/>
    <x v="0"/>
    <x v="0"/>
    <n v="117.8"/>
  </r>
  <r>
    <x v="0"/>
    <x v="11"/>
    <x v="11"/>
    <x v="8"/>
    <x v="0"/>
    <x v="1"/>
    <n v="118.3"/>
  </r>
  <r>
    <x v="0"/>
    <x v="11"/>
    <x v="11"/>
    <x v="8"/>
    <x v="0"/>
    <x v="2"/>
    <n v="119.2"/>
  </r>
  <r>
    <x v="0"/>
    <x v="11"/>
    <x v="11"/>
    <x v="10"/>
    <x v="1"/>
    <x v="0"/>
    <n v="111.4"/>
  </r>
  <r>
    <x v="0"/>
    <x v="11"/>
    <x v="11"/>
    <x v="10"/>
    <x v="1"/>
    <x v="1"/>
    <n v="110.4"/>
  </r>
  <r>
    <x v="0"/>
    <x v="11"/>
    <x v="11"/>
    <x v="10"/>
    <x v="1"/>
    <x v="2"/>
    <n v="109"/>
  </r>
  <r>
    <x v="0"/>
    <x v="11"/>
    <x v="11"/>
    <x v="9"/>
    <x v="0"/>
    <x v="0"/>
    <n v="110.9"/>
  </r>
  <r>
    <x v="0"/>
    <x v="11"/>
    <x v="11"/>
    <x v="9"/>
    <x v="0"/>
    <x v="1"/>
    <n v="107.3"/>
  </r>
  <r>
    <x v="0"/>
    <x v="11"/>
    <x v="11"/>
    <x v="9"/>
    <x v="0"/>
    <x v="2"/>
    <n v="103.2"/>
  </r>
  <r>
    <x v="0"/>
    <x v="11"/>
    <x v="11"/>
    <x v="13"/>
    <x v="3"/>
    <x v="0"/>
    <n v="111.1"/>
  </r>
  <r>
    <x v="0"/>
    <x v="11"/>
    <x v="11"/>
    <x v="13"/>
    <x v="3"/>
    <x v="1"/>
    <n v="110.5"/>
  </r>
  <r>
    <x v="0"/>
    <x v="11"/>
    <x v="11"/>
    <x v="13"/>
    <x v="3"/>
    <x v="2"/>
    <n v="109.5"/>
  </r>
  <r>
    <x v="0"/>
    <x v="11"/>
    <x v="11"/>
    <x v="15"/>
    <x v="4"/>
    <x v="0"/>
    <n v="114.2"/>
  </r>
  <r>
    <x v="0"/>
    <x v="11"/>
    <x v="11"/>
    <x v="15"/>
    <x v="4"/>
    <x v="1"/>
    <n v="113.7"/>
  </r>
  <r>
    <x v="0"/>
    <x v="11"/>
    <x v="11"/>
    <x v="15"/>
    <x v="4"/>
    <x v="2"/>
    <n v="113.2"/>
  </r>
  <r>
    <x v="0"/>
    <x v="11"/>
    <x v="11"/>
    <x v="17"/>
    <x v="5"/>
    <x v="0"/>
    <n v="108.3"/>
  </r>
  <r>
    <x v="0"/>
    <x v="11"/>
    <x v="11"/>
    <x v="17"/>
    <x v="5"/>
    <x v="1"/>
    <n v="108.1"/>
  </r>
  <r>
    <x v="0"/>
    <x v="11"/>
    <x v="11"/>
    <x v="17"/>
    <x v="5"/>
    <x v="2"/>
    <n v="107.9"/>
  </r>
  <r>
    <x v="0"/>
    <x v="11"/>
    <x v="11"/>
    <x v="19"/>
    <x v="6"/>
    <x v="0"/>
    <n v="109.6"/>
  </r>
  <r>
    <x v="0"/>
    <x v="11"/>
    <x v="11"/>
    <x v="19"/>
    <x v="6"/>
    <x v="1"/>
    <n v="109.6"/>
  </r>
  <r>
    <x v="0"/>
    <x v="11"/>
    <x v="11"/>
    <x v="19"/>
    <x v="6"/>
    <x v="2"/>
    <n v="109.6"/>
  </r>
  <r>
    <x v="0"/>
    <x v="11"/>
    <x v="11"/>
    <x v="21"/>
    <x v="6"/>
    <x v="0"/>
    <n v="0"/>
  </r>
  <r>
    <x v="0"/>
    <x v="11"/>
    <x v="11"/>
    <x v="21"/>
    <x v="6"/>
    <x v="1"/>
    <n v="109.7"/>
  </r>
  <r>
    <x v="0"/>
    <x v="11"/>
    <x v="11"/>
    <x v="21"/>
    <x v="6"/>
    <x v="2"/>
    <n v="109.7"/>
  </r>
  <r>
    <x v="0"/>
    <x v="11"/>
    <x v="11"/>
    <x v="2"/>
    <x v="0"/>
    <x v="0"/>
    <n v="115.7"/>
  </r>
  <r>
    <x v="0"/>
    <x v="11"/>
    <x v="11"/>
    <x v="2"/>
    <x v="0"/>
    <x v="1"/>
    <n v="116.9"/>
  </r>
  <r>
    <x v="0"/>
    <x v="11"/>
    <x v="11"/>
    <x v="2"/>
    <x v="0"/>
    <x v="2"/>
    <n v="119.1"/>
  </r>
  <r>
    <x v="0"/>
    <x v="11"/>
    <x v="11"/>
    <x v="6"/>
    <x v="0"/>
    <x v="0"/>
    <n v="111"/>
  </r>
  <r>
    <x v="0"/>
    <x v="11"/>
    <x v="11"/>
    <x v="6"/>
    <x v="0"/>
    <x v="1"/>
    <n v="110.5"/>
  </r>
  <r>
    <x v="0"/>
    <x v="11"/>
    <x v="11"/>
    <x v="6"/>
    <x v="0"/>
    <x v="2"/>
    <n v="109.6"/>
  </r>
  <r>
    <x v="0"/>
    <x v="11"/>
    <x v="11"/>
    <x v="23"/>
    <x v="7"/>
    <x v="0"/>
    <n v="108.7"/>
  </r>
  <r>
    <x v="0"/>
    <x v="11"/>
    <x v="11"/>
    <x v="23"/>
    <x v="7"/>
    <x v="1"/>
    <n v="109"/>
  </r>
  <r>
    <x v="0"/>
    <x v="11"/>
    <x v="11"/>
    <x v="23"/>
    <x v="7"/>
    <x v="2"/>
    <n v="109.4"/>
  </r>
  <r>
    <x v="0"/>
    <x v="11"/>
    <x v="11"/>
    <x v="18"/>
    <x v="0"/>
    <x v="0"/>
    <n v="110.4"/>
  </r>
  <r>
    <x v="0"/>
    <x v="11"/>
    <x v="11"/>
    <x v="18"/>
    <x v="0"/>
    <x v="1"/>
    <n v="110.7"/>
  </r>
  <r>
    <x v="0"/>
    <x v="11"/>
    <x v="11"/>
    <x v="18"/>
    <x v="0"/>
    <x v="2"/>
    <n v="111.1"/>
  </r>
  <r>
    <x v="0"/>
    <x v="11"/>
    <x v="11"/>
    <x v="7"/>
    <x v="0"/>
    <x v="0"/>
    <n v="107.4"/>
  </r>
  <r>
    <x v="0"/>
    <x v="11"/>
    <x v="11"/>
    <x v="7"/>
    <x v="0"/>
    <x v="1"/>
    <n v="105.3"/>
  </r>
  <r>
    <x v="0"/>
    <x v="11"/>
    <x v="11"/>
    <x v="7"/>
    <x v="0"/>
    <x v="2"/>
    <n v="101.7"/>
  </r>
  <r>
    <x v="0"/>
    <x v="11"/>
    <x v="11"/>
    <x v="22"/>
    <x v="7"/>
    <x v="0"/>
    <n v="111.7"/>
  </r>
  <r>
    <x v="0"/>
    <x v="11"/>
    <x v="11"/>
    <x v="22"/>
    <x v="7"/>
    <x v="1"/>
    <n v="112"/>
  </r>
  <r>
    <x v="0"/>
    <x v="11"/>
    <x v="11"/>
    <x v="22"/>
    <x v="7"/>
    <x v="2"/>
    <n v="112.9"/>
  </r>
  <r>
    <x v="0"/>
    <x v="11"/>
    <x v="11"/>
    <x v="24"/>
    <x v="7"/>
    <x v="0"/>
    <n v="106.7"/>
  </r>
  <r>
    <x v="0"/>
    <x v="11"/>
    <x v="11"/>
    <x v="24"/>
    <x v="7"/>
    <x v="1"/>
    <n v="106.8"/>
  </r>
  <r>
    <x v="0"/>
    <x v="11"/>
    <x v="11"/>
    <x v="24"/>
    <x v="7"/>
    <x v="2"/>
    <n v="106.9"/>
  </r>
  <r>
    <x v="0"/>
    <x v="11"/>
    <x v="11"/>
    <x v="20"/>
    <x v="0"/>
    <x v="0"/>
    <n v="114"/>
  </r>
  <r>
    <x v="0"/>
    <x v="11"/>
    <x v="11"/>
    <x v="20"/>
    <x v="0"/>
    <x v="1"/>
    <n v="114.6"/>
  </r>
  <r>
    <x v="0"/>
    <x v="11"/>
    <x v="11"/>
    <x v="20"/>
    <x v="0"/>
    <x v="2"/>
    <n v="115.4"/>
  </r>
  <r>
    <x v="0"/>
    <x v="11"/>
    <x v="11"/>
    <x v="12"/>
    <x v="0"/>
    <x v="0"/>
    <n v="108.1"/>
  </r>
  <r>
    <x v="0"/>
    <x v="11"/>
    <x v="11"/>
    <x v="12"/>
    <x v="0"/>
    <x v="1"/>
    <n v="107.1"/>
  </r>
  <r>
    <x v="0"/>
    <x v="11"/>
    <x v="11"/>
    <x v="12"/>
    <x v="0"/>
    <x v="2"/>
    <n v="105.1"/>
  </r>
  <r>
    <x v="0"/>
    <x v="11"/>
    <x v="11"/>
    <x v="26"/>
    <x v="9"/>
    <x v="0"/>
    <n v="107.7"/>
  </r>
  <r>
    <x v="0"/>
    <x v="11"/>
    <x v="11"/>
    <x v="26"/>
    <x v="9"/>
    <x v="1"/>
    <n v="107.5"/>
  </r>
  <r>
    <x v="0"/>
    <x v="11"/>
    <x v="11"/>
    <x v="26"/>
    <x v="9"/>
    <x v="2"/>
    <n v="107.4"/>
  </r>
  <r>
    <x v="0"/>
    <x v="11"/>
    <x v="11"/>
    <x v="16"/>
    <x v="0"/>
    <x v="0"/>
    <n v="107.9"/>
  </r>
  <r>
    <x v="0"/>
    <x v="11"/>
    <x v="11"/>
    <x v="16"/>
    <x v="0"/>
    <x v="1"/>
    <n v="108.3"/>
  </r>
  <r>
    <x v="0"/>
    <x v="11"/>
    <x v="11"/>
    <x v="16"/>
    <x v="0"/>
    <x v="2"/>
    <n v="109.1"/>
  </r>
  <r>
    <x v="0"/>
    <x v="11"/>
    <x v="11"/>
    <x v="14"/>
    <x v="0"/>
    <x v="0"/>
    <n v="104.2"/>
  </r>
  <r>
    <x v="0"/>
    <x v="11"/>
    <x v="11"/>
    <x v="14"/>
    <x v="0"/>
    <x v="1"/>
    <n v="103.1"/>
  </r>
  <r>
    <x v="0"/>
    <x v="11"/>
    <x v="11"/>
    <x v="14"/>
    <x v="0"/>
    <x v="2"/>
    <n v="100.8"/>
  </r>
  <r>
    <x v="0"/>
    <x v="11"/>
    <x v="11"/>
    <x v="25"/>
    <x v="8"/>
    <x v="0"/>
    <n v="109.3"/>
  </r>
  <r>
    <x v="0"/>
    <x v="11"/>
    <x v="11"/>
    <x v="25"/>
    <x v="8"/>
    <x v="1"/>
    <n v="109.9"/>
  </r>
  <r>
    <x v="0"/>
    <x v="11"/>
    <x v="11"/>
    <x v="25"/>
    <x v="8"/>
    <x v="2"/>
    <n v="110.4"/>
  </r>
  <r>
    <x v="0"/>
    <x v="11"/>
    <x v="11"/>
    <x v="11"/>
    <x v="0"/>
    <x v="0"/>
    <n v="154"/>
  </r>
  <r>
    <x v="0"/>
    <x v="11"/>
    <x v="11"/>
    <x v="11"/>
    <x v="0"/>
    <x v="1"/>
    <n v="160.9"/>
  </r>
  <r>
    <x v="0"/>
    <x v="11"/>
    <x v="11"/>
    <x v="11"/>
    <x v="0"/>
    <x v="2"/>
    <n v="174.3"/>
  </r>
  <r>
    <x v="1"/>
    <x v="0"/>
    <x v="12"/>
    <x v="0"/>
    <x v="0"/>
    <x v="0"/>
    <n v="120.2"/>
  </r>
  <r>
    <x v="1"/>
    <x v="0"/>
    <x v="12"/>
    <x v="0"/>
    <x v="0"/>
    <x v="1"/>
    <n v="120.9"/>
  </r>
  <r>
    <x v="1"/>
    <x v="0"/>
    <x v="12"/>
    <x v="0"/>
    <x v="0"/>
    <x v="2"/>
    <n v="122.5"/>
  </r>
  <r>
    <x v="1"/>
    <x v="0"/>
    <x v="12"/>
    <x v="1"/>
    <x v="1"/>
    <x v="0"/>
    <n v="118.1"/>
  </r>
  <r>
    <x v="1"/>
    <x v="0"/>
    <x v="12"/>
    <x v="1"/>
    <x v="1"/>
    <x v="1"/>
    <n v="117.4"/>
  </r>
  <r>
    <x v="1"/>
    <x v="0"/>
    <x v="12"/>
    <x v="1"/>
    <x v="1"/>
    <x v="2"/>
    <n v="116.3"/>
  </r>
  <r>
    <x v="1"/>
    <x v="0"/>
    <x v="12"/>
    <x v="3"/>
    <x v="1"/>
    <x v="0"/>
    <n v="117.8"/>
  </r>
  <r>
    <x v="1"/>
    <x v="0"/>
    <x v="12"/>
    <x v="3"/>
    <x v="1"/>
    <x v="1"/>
    <n v="117"/>
  </r>
  <r>
    <x v="1"/>
    <x v="0"/>
    <x v="12"/>
    <x v="3"/>
    <x v="1"/>
    <x v="2"/>
    <n v="115.7"/>
  </r>
  <r>
    <x v="1"/>
    <x v="0"/>
    <x v="12"/>
    <x v="5"/>
    <x v="2"/>
    <x v="0"/>
    <n v="113"/>
  </r>
  <r>
    <x v="1"/>
    <x v="0"/>
    <x v="12"/>
    <x v="5"/>
    <x v="2"/>
    <x v="1"/>
    <n v="112.7"/>
  </r>
  <r>
    <x v="1"/>
    <x v="0"/>
    <x v="12"/>
    <x v="5"/>
    <x v="2"/>
    <x v="2"/>
    <n v="112.5"/>
  </r>
  <r>
    <x v="1"/>
    <x v="0"/>
    <x v="12"/>
    <x v="4"/>
    <x v="0"/>
    <x v="0"/>
    <n v="118.1"/>
  </r>
  <r>
    <x v="1"/>
    <x v="0"/>
    <x v="12"/>
    <x v="4"/>
    <x v="0"/>
    <x v="1"/>
    <n v="116.2"/>
  </r>
  <r>
    <x v="1"/>
    <x v="0"/>
    <x v="12"/>
    <x v="4"/>
    <x v="0"/>
    <x v="2"/>
    <n v="113.3"/>
  </r>
  <r>
    <x v="1"/>
    <x v="0"/>
    <x v="12"/>
    <x v="8"/>
    <x v="0"/>
    <x v="0"/>
    <n v="117.2"/>
  </r>
  <r>
    <x v="1"/>
    <x v="0"/>
    <x v="12"/>
    <x v="8"/>
    <x v="0"/>
    <x v="1"/>
    <n v="117.6"/>
  </r>
  <r>
    <x v="1"/>
    <x v="0"/>
    <x v="12"/>
    <x v="8"/>
    <x v="0"/>
    <x v="2"/>
    <n v="118.2"/>
  </r>
  <r>
    <x v="1"/>
    <x v="0"/>
    <x v="12"/>
    <x v="10"/>
    <x v="1"/>
    <x v="0"/>
    <n v="116.1"/>
  </r>
  <r>
    <x v="1"/>
    <x v="0"/>
    <x v="12"/>
    <x v="10"/>
    <x v="1"/>
    <x v="1"/>
    <n v="114.6"/>
  </r>
  <r>
    <x v="1"/>
    <x v="0"/>
    <x v="12"/>
    <x v="10"/>
    <x v="1"/>
    <x v="2"/>
    <n v="112.5"/>
  </r>
  <r>
    <x v="1"/>
    <x v="0"/>
    <x v="12"/>
    <x v="9"/>
    <x v="0"/>
    <x v="0"/>
    <n v="125.5"/>
  </r>
  <r>
    <x v="1"/>
    <x v="0"/>
    <x v="12"/>
    <x v="9"/>
    <x v="0"/>
    <x v="1"/>
    <n v="126.1"/>
  </r>
  <r>
    <x v="1"/>
    <x v="0"/>
    <x v="12"/>
    <x v="9"/>
    <x v="0"/>
    <x v="2"/>
    <n v="126.7"/>
  </r>
  <r>
    <x v="1"/>
    <x v="0"/>
    <x v="12"/>
    <x v="13"/>
    <x v="3"/>
    <x v="0"/>
    <n v="113.4"/>
  </r>
  <r>
    <x v="1"/>
    <x v="0"/>
    <x v="12"/>
    <x v="13"/>
    <x v="3"/>
    <x v="1"/>
    <n v="112.5"/>
  </r>
  <r>
    <x v="1"/>
    <x v="0"/>
    <x v="12"/>
    <x v="13"/>
    <x v="3"/>
    <x v="2"/>
    <n v="110.9"/>
  </r>
  <r>
    <x v="1"/>
    <x v="0"/>
    <x v="12"/>
    <x v="15"/>
    <x v="4"/>
    <x v="0"/>
    <n v="115.4"/>
  </r>
  <r>
    <x v="1"/>
    <x v="0"/>
    <x v="12"/>
    <x v="15"/>
    <x v="4"/>
    <x v="1"/>
    <n v="115.1"/>
  </r>
  <r>
    <x v="1"/>
    <x v="0"/>
    <x v="12"/>
    <x v="15"/>
    <x v="4"/>
    <x v="2"/>
    <n v="114.7"/>
  </r>
  <r>
    <x v="1"/>
    <x v="0"/>
    <x v="12"/>
    <x v="17"/>
    <x v="5"/>
    <x v="0"/>
    <n v="111.8"/>
  </r>
  <r>
    <x v="1"/>
    <x v="0"/>
    <x v="12"/>
    <x v="17"/>
    <x v="5"/>
    <x v="1"/>
    <n v="111.5"/>
  </r>
  <r>
    <x v="1"/>
    <x v="0"/>
    <x v="12"/>
    <x v="17"/>
    <x v="5"/>
    <x v="2"/>
    <n v="111"/>
  </r>
  <r>
    <x v="1"/>
    <x v="0"/>
    <x v="12"/>
    <x v="19"/>
    <x v="6"/>
    <x v="0"/>
    <n v="113.7"/>
  </r>
  <r>
    <x v="1"/>
    <x v="0"/>
    <x v="12"/>
    <x v="19"/>
    <x v="6"/>
    <x v="1"/>
    <n v="113.6"/>
  </r>
  <r>
    <x v="1"/>
    <x v="0"/>
    <x v="12"/>
    <x v="19"/>
    <x v="6"/>
    <x v="2"/>
    <n v="113.4"/>
  </r>
  <r>
    <x v="1"/>
    <x v="0"/>
    <x v="12"/>
    <x v="21"/>
    <x v="6"/>
    <x v="0"/>
    <n v="0"/>
  </r>
  <r>
    <x v="1"/>
    <x v="0"/>
    <x v="12"/>
    <x v="21"/>
    <x v="6"/>
    <x v="1"/>
    <n v="113.9"/>
  </r>
  <r>
    <x v="1"/>
    <x v="0"/>
    <x v="12"/>
    <x v="21"/>
    <x v="6"/>
    <x v="2"/>
    <n v="113.9"/>
  </r>
  <r>
    <x v="1"/>
    <x v="0"/>
    <x v="12"/>
    <x v="2"/>
    <x v="0"/>
    <x v="0"/>
    <n v="118.9"/>
  </r>
  <r>
    <x v="1"/>
    <x v="0"/>
    <x v="12"/>
    <x v="2"/>
    <x v="0"/>
    <x v="1"/>
    <n v="119.9"/>
  </r>
  <r>
    <x v="1"/>
    <x v="0"/>
    <x v="12"/>
    <x v="2"/>
    <x v="0"/>
    <x v="2"/>
    <n v="121.7"/>
  </r>
  <r>
    <x v="1"/>
    <x v="0"/>
    <x v="12"/>
    <x v="6"/>
    <x v="0"/>
    <x v="0"/>
    <n v="117"/>
  </r>
  <r>
    <x v="1"/>
    <x v="0"/>
    <x v="12"/>
    <x v="6"/>
    <x v="0"/>
    <x v="1"/>
    <n v="117"/>
  </r>
  <r>
    <x v="1"/>
    <x v="0"/>
    <x v="12"/>
    <x v="6"/>
    <x v="0"/>
    <x v="2"/>
    <n v="117"/>
  </r>
  <r>
    <x v="1"/>
    <x v="0"/>
    <x v="12"/>
    <x v="23"/>
    <x v="7"/>
    <x v="0"/>
    <n v="111.5"/>
  </r>
  <r>
    <x v="1"/>
    <x v="0"/>
    <x v="12"/>
    <x v="23"/>
    <x v="7"/>
    <x v="1"/>
    <n v="111.5"/>
  </r>
  <r>
    <x v="1"/>
    <x v="0"/>
    <x v="12"/>
    <x v="23"/>
    <x v="7"/>
    <x v="2"/>
    <n v="111.4"/>
  </r>
  <r>
    <x v="1"/>
    <x v="0"/>
    <x v="12"/>
    <x v="18"/>
    <x v="0"/>
    <x v="0"/>
    <n v="113.5"/>
  </r>
  <r>
    <x v="1"/>
    <x v="0"/>
    <x v="12"/>
    <x v="18"/>
    <x v="0"/>
    <x v="1"/>
    <n v="113.2"/>
  </r>
  <r>
    <x v="1"/>
    <x v="0"/>
    <x v="12"/>
    <x v="18"/>
    <x v="0"/>
    <x v="2"/>
    <n v="112.7"/>
  </r>
  <r>
    <x v="1"/>
    <x v="0"/>
    <x v="12"/>
    <x v="7"/>
    <x v="0"/>
    <x v="0"/>
    <n v="109.7"/>
  </r>
  <r>
    <x v="1"/>
    <x v="0"/>
    <x v="12"/>
    <x v="7"/>
    <x v="0"/>
    <x v="1"/>
    <n v="107.3"/>
  </r>
  <r>
    <x v="1"/>
    <x v="0"/>
    <x v="12"/>
    <x v="7"/>
    <x v="0"/>
    <x v="2"/>
    <n v="103.1"/>
  </r>
  <r>
    <x v="1"/>
    <x v="0"/>
    <x v="12"/>
    <x v="22"/>
    <x v="7"/>
    <x v="0"/>
    <n v="115.4"/>
  </r>
  <r>
    <x v="1"/>
    <x v="0"/>
    <x v="12"/>
    <x v="22"/>
    <x v="7"/>
    <x v="1"/>
    <n v="116"/>
  </r>
  <r>
    <x v="1"/>
    <x v="0"/>
    <x v="12"/>
    <x v="22"/>
    <x v="7"/>
    <x v="2"/>
    <n v="117.6"/>
  </r>
  <r>
    <x v="1"/>
    <x v="0"/>
    <x v="12"/>
    <x v="24"/>
    <x v="7"/>
    <x v="0"/>
    <n v="108.9"/>
  </r>
  <r>
    <x v="1"/>
    <x v="0"/>
    <x v="12"/>
    <x v="24"/>
    <x v="7"/>
    <x v="1"/>
    <n v="109"/>
  </r>
  <r>
    <x v="1"/>
    <x v="0"/>
    <x v="12"/>
    <x v="24"/>
    <x v="7"/>
    <x v="2"/>
    <n v="109.1"/>
  </r>
  <r>
    <x v="1"/>
    <x v="0"/>
    <x v="12"/>
    <x v="20"/>
    <x v="0"/>
    <x v="0"/>
    <n v="118.7"/>
  </r>
  <r>
    <x v="1"/>
    <x v="0"/>
    <x v="12"/>
    <x v="20"/>
    <x v="0"/>
    <x v="1"/>
    <n v="119.8"/>
  </r>
  <r>
    <x v="1"/>
    <x v="0"/>
    <x v="12"/>
    <x v="20"/>
    <x v="0"/>
    <x v="2"/>
    <n v="121"/>
  </r>
  <r>
    <x v="1"/>
    <x v="0"/>
    <x v="12"/>
    <x v="12"/>
    <x v="0"/>
    <x v="0"/>
    <n v="111"/>
  </r>
  <r>
    <x v="1"/>
    <x v="0"/>
    <x v="12"/>
    <x v="12"/>
    <x v="0"/>
    <x v="1"/>
    <n v="111"/>
  </r>
  <r>
    <x v="1"/>
    <x v="0"/>
    <x v="12"/>
    <x v="12"/>
    <x v="0"/>
    <x v="2"/>
    <n v="111"/>
  </r>
  <r>
    <x v="1"/>
    <x v="0"/>
    <x v="12"/>
    <x v="26"/>
    <x v="9"/>
    <x v="0"/>
    <n v="110.5"/>
  </r>
  <r>
    <x v="1"/>
    <x v="0"/>
    <x v="12"/>
    <x v="26"/>
    <x v="9"/>
    <x v="1"/>
    <n v="110.9"/>
  </r>
  <r>
    <x v="1"/>
    <x v="0"/>
    <x v="12"/>
    <x v="26"/>
    <x v="9"/>
    <x v="2"/>
    <n v="111.2"/>
  </r>
  <r>
    <x v="1"/>
    <x v="0"/>
    <x v="12"/>
    <x v="16"/>
    <x v="0"/>
    <x v="0"/>
    <n v="111.2"/>
  </r>
  <r>
    <x v="1"/>
    <x v="0"/>
    <x v="12"/>
    <x v="16"/>
    <x v="0"/>
    <x v="1"/>
    <n v="112.6"/>
  </r>
  <r>
    <x v="1"/>
    <x v="0"/>
    <x v="12"/>
    <x v="16"/>
    <x v="0"/>
    <x v="2"/>
    <n v="115.3"/>
  </r>
  <r>
    <x v="1"/>
    <x v="0"/>
    <x v="12"/>
    <x v="14"/>
    <x v="0"/>
    <x v="0"/>
    <n v="102.6"/>
  </r>
  <r>
    <x v="1"/>
    <x v="0"/>
    <x v="12"/>
    <x v="14"/>
    <x v="0"/>
    <x v="1"/>
    <n v="101.8"/>
  </r>
  <r>
    <x v="1"/>
    <x v="0"/>
    <x v="12"/>
    <x v="14"/>
    <x v="0"/>
    <x v="2"/>
    <n v="100.3"/>
  </r>
  <r>
    <x v="1"/>
    <x v="0"/>
    <x v="12"/>
    <x v="25"/>
    <x v="8"/>
    <x v="0"/>
    <n v="111.2"/>
  </r>
  <r>
    <x v="1"/>
    <x v="0"/>
    <x v="12"/>
    <x v="25"/>
    <x v="8"/>
    <x v="1"/>
    <n v="111.2"/>
  </r>
  <r>
    <x v="1"/>
    <x v="0"/>
    <x v="12"/>
    <x v="25"/>
    <x v="8"/>
    <x v="2"/>
    <n v="111.2"/>
  </r>
  <r>
    <x v="1"/>
    <x v="0"/>
    <x v="12"/>
    <x v="11"/>
    <x v="0"/>
    <x v="0"/>
    <n v="120.5"/>
  </r>
  <r>
    <x v="1"/>
    <x v="0"/>
    <x v="12"/>
    <x v="11"/>
    <x v="0"/>
    <x v="1"/>
    <n v="120.7"/>
  </r>
  <r>
    <x v="1"/>
    <x v="0"/>
    <x v="12"/>
    <x v="11"/>
    <x v="0"/>
    <x v="2"/>
    <n v="121.2"/>
  </r>
  <r>
    <x v="1"/>
    <x v="1"/>
    <x v="13"/>
    <x v="0"/>
    <x v="0"/>
    <x v="0"/>
    <n v="121.8"/>
  </r>
  <r>
    <x v="1"/>
    <x v="1"/>
    <x v="13"/>
    <x v="0"/>
    <x v="0"/>
    <x v="1"/>
    <n v="122.7"/>
  </r>
  <r>
    <x v="1"/>
    <x v="1"/>
    <x v="13"/>
    <x v="0"/>
    <x v="0"/>
    <x v="2"/>
    <n v="124.8"/>
  </r>
  <r>
    <x v="1"/>
    <x v="1"/>
    <x v="13"/>
    <x v="1"/>
    <x v="1"/>
    <x v="0"/>
    <n v="120.9"/>
  </r>
  <r>
    <x v="1"/>
    <x v="1"/>
    <x v="13"/>
    <x v="1"/>
    <x v="1"/>
    <x v="1"/>
    <n v="120"/>
  </r>
  <r>
    <x v="1"/>
    <x v="1"/>
    <x v="13"/>
    <x v="1"/>
    <x v="1"/>
    <x v="2"/>
    <n v="118.6"/>
  </r>
  <r>
    <x v="1"/>
    <x v="1"/>
    <x v="13"/>
    <x v="3"/>
    <x v="1"/>
    <x v="0"/>
    <n v="120.7"/>
  </r>
  <r>
    <x v="1"/>
    <x v="1"/>
    <x v="13"/>
    <x v="3"/>
    <x v="1"/>
    <x v="1"/>
    <n v="119.6"/>
  </r>
  <r>
    <x v="1"/>
    <x v="1"/>
    <x v="13"/>
    <x v="3"/>
    <x v="1"/>
    <x v="2"/>
    <n v="117.9"/>
  </r>
  <r>
    <x v="1"/>
    <x v="1"/>
    <x v="13"/>
    <x v="5"/>
    <x v="2"/>
    <x v="0"/>
    <n v="116.2"/>
  </r>
  <r>
    <x v="1"/>
    <x v="1"/>
    <x v="13"/>
    <x v="5"/>
    <x v="2"/>
    <x v="1"/>
    <n v="118"/>
  </r>
  <r>
    <x v="1"/>
    <x v="1"/>
    <x v="13"/>
    <x v="5"/>
    <x v="2"/>
    <x v="2"/>
    <n v="119.2"/>
  </r>
  <r>
    <x v="1"/>
    <x v="1"/>
    <x v="13"/>
    <x v="4"/>
    <x v="0"/>
    <x v="0"/>
    <n v="117.8"/>
  </r>
  <r>
    <x v="1"/>
    <x v="1"/>
    <x v="13"/>
    <x v="4"/>
    <x v="0"/>
    <x v="1"/>
    <n v="117.3"/>
  </r>
  <r>
    <x v="1"/>
    <x v="1"/>
    <x v="13"/>
    <x v="4"/>
    <x v="0"/>
    <x v="2"/>
    <n v="116.5"/>
  </r>
  <r>
    <x v="1"/>
    <x v="1"/>
    <x v="13"/>
    <x v="8"/>
    <x v="0"/>
    <x v="0"/>
    <n v="125.3"/>
  </r>
  <r>
    <x v="1"/>
    <x v="1"/>
    <x v="13"/>
    <x v="8"/>
    <x v="0"/>
    <x v="1"/>
    <n v="126.6"/>
  </r>
  <r>
    <x v="1"/>
    <x v="1"/>
    <x v="13"/>
    <x v="8"/>
    <x v="0"/>
    <x v="2"/>
    <n v="128.9"/>
  </r>
  <r>
    <x v="1"/>
    <x v="1"/>
    <x v="13"/>
    <x v="10"/>
    <x v="1"/>
    <x v="0"/>
    <n v="118.8"/>
  </r>
  <r>
    <x v="1"/>
    <x v="1"/>
    <x v="13"/>
    <x v="10"/>
    <x v="1"/>
    <x v="1"/>
    <n v="116.8"/>
  </r>
  <r>
    <x v="1"/>
    <x v="1"/>
    <x v="13"/>
    <x v="10"/>
    <x v="1"/>
    <x v="2"/>
    <n v="114.1"/>
  </r>
  <r>
    <x v="1"/>
    <x v="1"/>
    <x v="13"/>
    <x v="9"/>
    <x v="0"/>
    <x v="0"/>
    <n v="129.69999999999999"/>
  </r>
  <r>
    <x v="1"/>
    <x v="1"/>
    <x v="13"/>
    <x v="9"/>
    <x v="0"/>
    <x v="1"/>
    <n v="131.1"/>
  </r>
  <r>
    <x v="1"/>
    <x v="1"/>
    <x v="13"/>
    <x v="9"/>
    <x v="0"/>
    <x v="2"/>
    <n v="132.69999999999999"/>
  </r>
  <r>
    <x v="1"/>
    <x v="1"/>
    <x v="13"/>
    <x v="13"/>
    <x v="3"/>
    <x v="0"/>
    <n v="115.4"/>
  </r>
  <r>
    <x v="1"/>
    <x v="1"/>
    <x v="13"/>
    <x v="13"/>
    <x v="3"/>
    <x v="1"/>
    <n v="114"/>
  </r>
  <r>
    <x v="1"/>
    <x v="1"/>
    <x v="13"/>
    <x v="13"/>
    <x v="3"/>
    <x v="2"/>
    <n v="111.8"/>
  </r>
  <r>
    <x v="1"/>
    <x v="1"/>
    <x v="13"/>
    <x v="15"/>
    <x v="4"/>
    <x v="0"/>
    <n v="120.7"/>
  </r>
  <r>
    <x v="1"/>
    <x v="1"/>
    <x v="13"/>
    <x v="15"/>
    <x v="4"/>
    <x v="1"/>
    <n v="120.3"/>
  </r>
  <r>
    <x v="1"/>
    <x v="1"/>
    <x v="13"/>
    <x v="15"/>
    <x v="4"/>
    <x v="2"/>
    <n v="119.9"/>
  </r>
  <r>
    <x v="1"/>
    <x v="1"/>
    <x v="13"/>
    <x v="17"/>
    <x v="5"/>
    <x v="0"/>
    <n v="114"/>
  </r>
  <r>
    <x v="1"/>
    <x v="1"/>
    <x v="13"/>
    <x v="17"/>
    <x v="5"/>
    <x v="1"/>
    <n v="113.3"/>
  </r>
  <r>
    <x v="1"/>
    <x v="1"/>
    <x v="13"/>
    <x v="17"/>
    <x v="5"/>
    <x v="2"/>
    <n v="112.2"/>
  </r>
  <r>
    <x v="1"/>
    <x v="1"/>
    <x v="13"/>
    <x v="19"/>
    <x v="6"/>
    <x v="0"/>
    <n v="115.9"/>
  </r>
  <r>
    <x v="1"/>
    <x v="1"/>
    <x v="13"/>
    <x v="19"/>
    <x v="6"/>
    <x v="1"/>
    <n v="115.6"/>
  </r>
  <r>
    <x v="1"/>
    <x v="1"/>
    <x v="13"/>
    <x v="19"/>
    <x v="6"/>
    <x v="2"/>
    <n v="115.3"/>
  </r>
  <r>
    <x v="1"/>
    <x v="1"/>
    <x v="13"/>
    <x v="21"/>
    <x v="6"/>
    <x v="0"/>
    <n v="0"/>
  </r>
  <r>
    <x v="1"/>
    <x v="1"/>
    <x v="13"/>
    <x v="21"/>
    <x v="6"/>
    <x v="1"/>
    <n v="115.5"/>
  </r>
  <r>
    <x v="1"/>
    <x v="1"/>
    <x v="13"/>
    <x v="21"/>
    <x v="6"/>
    <x v="2"/>
    <n v="115.5"/>
  </r>
  <r>
    <x v="1"/>
    <x v="1"/>
    <x v="13"/>
    <x v="2"/>
    <x v="0"/>
    <x v="0"/>
    <n v="122.8"/>
  </r>
  <r>
    <x v="1"/>
    <x v="1"/>
    <x v="13"/>
    <x v="2"/>
    <x v="0"/>
    <x v="1"/>
    <n v="124.4"/>
  </r>
  <r>
    <x v="1"/>
    <x v="1"/>
    <x v="13"/>
    <x v="2"/>
    <x v="0"/>
    <x v="2"/>
    <n v="127.3"/>
  </r>
  <r>
    <x v="1"/>
    <x v="1"/>
    <x v="13"/>
    <x v="6"/>
    <x v="0"/>
    <x v="0"/>
    <n v="121.9"/>
  </r>
  <r>
    <x v="1"/>
    <x v="1"/>
    <x v="13"/>
    <x v="6"/>
    <x v="0"/>
    <x v="1"/>
    <n v="122"/>
  </r>
  <r>
    <x v="1"/>
    <x v="1"/>
    <x v="13"/>
    <x v="6"/>
    <x v="0"/>
    <x v="2"/>
    <n v="122.2"/>
  </r>
  <r>
    <x v="1"/>
    <x v="1"/>
    <x v="13"/>
    <x v="23"/>
    <x v="7"/>
    <x v="0"/>
    <n v="113.5"/>
  </r>
  <r>
    <x v="1"/>
    <x v="1"/>
    <x v="13"/>
    <x v="23"/>
    <x v="7"/>
    <x v="1"/>
    <n v="113.7"/>
  </r>
  <r>
    <x v="1"/>
    <x v="1"/>
    <x v="13"/>
    <x v="23"/>
    <x v="7"/>
    <x v="2"/>
    <n v="113.9"/>
  </r>
  <r>
    <x v="1"/>
    <x v="1"/>
    <x v="13"/>
    <x v="18"/>
    <x v="0"/>
    <x v="0"/>
    <n v="115.8"/>
  </r>
  <r>
    <x v="1"/>
    <x v="1"/>
    <x v="13"/>
    <x v="18"/>
    <x v="0"/>
    <x v="1"/>
    <n v="115.2"/>
  </r>
  <r>
    <x v="1"/>
    <x v="1"/>
    <x v="13"/>
    <x v="18"/>
    <x v="0"/>
    <x v="2"/>
    <n v="114.4"/>
  </r>
  <r>
    <x v="1"/>
    <x v="1"/>
    <x v="13"/>
    <x v="7"/>
    <x v="0"/>
    <x v="0"/>
    <n v="110.6"/>
  </r>
  <r>
    <x v="1"/>
    <x v="1"/>
    <x v="13"/>
    <x v="7"/>
    <x v="0"/>
    <x v="1"/>
    <n v="108"/>
  </r>
  <r>
    <x v="1"/>
    <x v="1"/>
    <x v="13"/>
    <x v="7"/>
    <x v="0"/>
    <x v="2"/>
    <n v="103.6"/>
  </r>
  <r>
    <x v="1"/>
    <x v="1"/>
    <x v="13"/>
    <x v="22"/>
    <x v="7"/>
    <x v="0"/>
    <n v="118.8"/>
  </r>
  <r>
    <x v="1"/>
    <x v="1"/>
    <x v="13"/>
    <x v="22"/>
    <x v="7"/>
    <x v="1"/>
    <n v="119.9"/>
  </r>
  <r>
    <x v="1"/>
    <x v="1"/>
    <x v="13"/>
    <x v="22"/>
    <x v="7"/>
    <x v="2"/>
    <n v="123"/>
  </r>
  <r>
    <x v="1"/>
    <x v="1"/>
    <x v="13"/>
    <x v="24"/>
    <x v="7"/>
    <x v="0"/>
    <n v="109.4"/>
  </r>
  <r>
    <x v="1"/>
    <x v="1"/>
    <x v="13"/>
    <x v="24"/>
    <x v="7"/>
    <x v="1"/>
    <n v="109.9"/>
  </r>
  <r>
    <x v="1"/>
    <x v="1"/>
    <x v="13"/>
    <x v="24"/>
    <x v="7"/>
    <x v="2"/>
    <n v="110.5"/>
  </r>
  <r>
    <x v="1"/>
    <x v="1"/>
    <x v="13"/>
    <x v="20"/>
    <x v="0"/>
    <x v="0"/>
    <n v="121.7"/>
  </r>
  <r>
    <x v="1"/>
    <x v="1"/>
    <x v="13"/>
    <x v="20"/>
    <x v="0"/>
    <x v="1"/>
    <n v="123.1"/>
  </r>
  <r>
    <x v="1"/>
    <x v="1"/>
    <x v="13"/>
    <x v="20"/>
    <x v="0"/>
    <x v="2"/>
    <n v="124.7"/>
  </r>
  <r>
    <x v="1"/>
    <x v="1"/>
    <x v="13"/>
    <x v="12"/>
    <x v="0"/>
    <x v="0"/>
    <n v="114.1"/>
  </r>
  <r>
    <x v="1"/>
    <x v="1"/>
    <x v="13"/>
    <x v="12"/>
    <x v="0"/>
    <x v="1"/>
    <n v="114.5"/>
  </r>
  <r>
    <x v="1"/>
    <x v="1"/>
    <x v="13"/>
    <x v="12"/>
    <x v="0"/>
    <x v="2"/>
    <n v="115.2"/>
  </r>
  <r>
    <x v="1"/>
    <x v="1"/>
    <x v="13"/>
    <x v="26"/>
    <x v="9"/>
    <x v="0"/>
    <n v="112.2"/>
  </r>
  <r>
    <x v="1"/>
    <x v="1"/>
    <x v="13"/>
    <x v="26"/>
    <x v="9"/>
    <x v="1"/>
    <n v="112.6"/>
  </r>
  <r>
    <x v="1"/>
    <x v="1"/>
    <x v="13"/>
    <x v="26"/>
    <x v="9"/>
    <x v="2"/>
    <n v="112.9"/>
  </r>
  <r>
    <x v="1"/>
    <x v="1"/>
    <x v="13"/>
    <x v="16"/>
    <x v="0"/>
    <x v="0"/>
    <n v="114.6"/>
  </r>
  <r>
    <x v="1"/>
    <x v="1"/>
    <x v="13"/>
    <x v="16"/>
    <x v="0"/>
    <x v="1"/>
    <n v="117.1"/>
  </r>
  <r>
    <x v="1"/>
    <x v="1"/>
    <x v="13"/>
    <x v="16"/>
    <x v="0"/>
    <x v="2"/>
    <n v="122.1"/>
  </r>
  <r>
    <x v="1"/>
    <x v="1"/>
    <x v="13"/>
    <x v="14"/>
    <x v="0"/>
    <x v="0"/>
    <n v="105.1"/>
  </r>
  <r>
    <x v="1"/>
    <x v="1"/>
    <x v="13"/>
    <x v="14"/>
    <x v="0"/>
    <x v="1"/>
    <n v="104.3"/>
  </r>
  <r>
    <x v="1"/>
    <x v="1"/>
    <x v="13"/>
    <x v="14"/>
    <x v="0"/>
    <x v="2"/>
    <n v="102.7"/>
  </r>
  <r>
    <x v="1"/>
    <x v="1"/>
    <x v="13"/>
    <x v="25"/>
    <x v="8"/>
    <x v="0"/>
    <n v="113.2"/>
  </r>
  <r>
    <x v="1"/>
    <x v="1"/>
    <x v="13"/>
    <x v="25"/>
    <x v="8"/>
    <x v="1"/>
    <n v="112.8"/>
  </r>
  <r>
    <x v="1"/>
    <x v="1"/>
    <x v="13"/>
    <x v="25"/>
    <x v="8"/>
    <x v="2"/>
    <n v="112.5"/>
  </r>
  <r>
    <x v="1"/>
    <x v="1"/>
    <x v="13"/>
    <x v="11"/>
    <x v="0"/>
    <x v="0"/>
    <n v="161.1"/>
  </r>
  <r>
    <x v="1"/>
    <x v="1"/>
    <x v="13"/>
    <x v="11"/>
    <x v="0"/>
    <x v="1"/>
    <n v="168.2"/>
  </r>
  <r>
    <x v="1"/>
    <x v="1"/>
    <x v="13"/>
    <x v="11"/>
    <x v="0"/>
    <x v="2"/>
    <n v="181.9"/>
  </r>
  <r>
    <x v="1"/>
    <x v="2"/>
    <x v="14"/>
    <x v="0"/>
    <x v="0"/>
    <x v="0"/>
    <n v="122.4"/>
  </r>
  <r>
    <x v="1"/>
    <x v="2"/>
    <x v="14"/>
    <x v="0"/>
    <x v="0"/>
    <x v="1"/>
    <n v="122.9"/>
  </r>
  <r>
    <x v="1"/>
    <x v="2"/>
    <x v="14"/>
    <x v="0"/>
    <x v="0"/>
    <x v="2"/>
    <n v="124"/>
  </r>
  <r>
    <x v="1"/>
    <x v="2"/>
    <x v="14"/>
    <x v="1"/>
    <x v="1"/>
    <x v="0"/>
    <n v="123.8"/>
  </r>
  <r>
    <x v="1"/>
    <x v="2"/>
    <x v="14"/>
    <x v="1"/>
    <x v="1"/>
    <x v="1"/>
    <n v="122.6"/>
  </r>
  <r>
    <x v="1"/>
    <x v="2"/>
    <x v="14"/>
    <x v="1"/>
    <x v="1"/>
    <x v="2"/>
    <n v="120.7"/>
  </r>
  <r>
    <x v="1"/>
    <x v="2"/>
    <x v="14"/>
    <x v="3"/>
    <x v="1"/>
    <x v="0"/>
    <n v="123.3"/>
  </r>
  <r>
    <x v="1"/>
    <x v="2"/>
    <x v="14"/>
    <x v="3"/>
    <x v="1"/>
    <x v="1"/>
    <n v="122"/>
  </r>
  <r>
    <x v="1"/>
    <x v="2"/>
    <x v="14"/>
    <x v="3"/>
    <x v="1"/>
    <x v="2"/>
    <n v="120"/>
  </r>
  <r>
    <x v="1"/>
    <x v="2"/>
    <x v="14"/>
    <x v="5"/>
    <x v="2"/>
    <x v="0"/>
    <n v="117.7"/>
  </r>
  <r>
    <x v="1"/>
    <x v="2"/>
    <x v="14"/>
    <x v="5"/>
    <x v="2"/>
    <x v="1"/>
    <n v="119.5"/>
  </r>
  <r>
    <x v="1"/>
    <x v="2"/>
    <x v="14"/>
    <x v="5"/>
    <x v="2"/>
    <x v="2"/>
    <n v="120.7"/>
  </r>
  <r>
    <x v="1"/>
    <x v="2"/>
    <x v="14"/>
    <x v="4"/>
    <x v="0"/>
    <x v="0"/>
    <n v="121.8"/>
  </r>
  <r>
    <x v="1"/>
    <x v="2"/>
    <x v="14"/>
    <x v="4"/>
    <x v="0"/>
    <x v="1"/>
    <n v="123.5"/>
  </r>
  <r>
    <x v="1"/>
    <x v="2"/>
    <x v="14"/>
    <x v="4"/>
    <x v="0"/>
    <x v="2"/>
    <n v="126.3"/>
  </r>
  <r>
    <x v="1"/>
    <x v="2"/>
    <x v="14"/>
    <x v="8"/>
    <x v="0"/>
    <x v="0"/>
    <n v="123.3"/>
  </r>
  <r>
    <x v="1"/>
    <x v="2"/>
    <x v="14"/>
    <x v="8"/>
    <x v="0"/>
    <x v="1"/>
    <n v="123.6"/>
  </r>
  <r>
    <x v="1"/>
    <x v="2"/>
    <x v="14"/>
    <x v="8"/>
    <x v="0"/>
    <x v="2"/>
    <n v="124"/>
  </r>
  <r>
    <x v="1"/>
    <x v="2"/>
    <x v="14"/>
    <x v="10"/>
    <x v="1"/>
    <x v="0"/>
    <n v="120.6"/>
  </r>
  <r>
    <x v="1"/>
    <x v="2"/>
    <x v="14"/>
    <x v="10"/>
    <x v="1"/>
    <x v="1"/>
    <n v="118.6"/>
  </r>
  <r>
    <x v="1"/>
    <x v="2"/>
    <x v="14"/>
    <x v="10"/>
    <x v="1"/>
    <x v="2"/>
    <n v="115.8"/>
  </r>
  <r>
    <x v="1"/>
    <x v="2"/>
    <x v="14"/>
    <x v="9"/>
    <x v="0"/>
    <x v="0"/>
    <n v="128.6"/>
  </r>
  <r>
    <x v="1"/>
    <x v="2"/>
    <x v="14"/>
    <x v="9"/>
    <x v="0"/>
    <x v="1"/>
    <n v="125.7"/>
  </r>
  <r>
    <x v="1"/>
    <x v="2"/>
    <x v="14"/>
    <x v="9"/>
    <x v="0"/>
    <x v="2"/>
    <n v="122.3"/>
  </r>
  <r>
    <x v="1"/>
    <x v="2"/>
    <x v="14"/>
    <x v="13"/>
    <x v="3"/>
    <x v="0"/>
    <n v="117.4"/>
  </r>
  <r>
    <x v="1"/>
    <x v="2"/>
    <x v="14"/>
    <x v="13"/>
    <x v="3"/>
    <x v="1"/>
    <n v="115.7"/>
  </r>
  <r>
    <x v="1"/>
    <x v="2"/>
    <x v="14"/>
    <x v="13"/>
    <x v="3"/>
    <x v="2"/>
    <n v="113"/>
  </r>
  <r>
    <x v="1"/>
    <x v="2"/>
    <x v="14"/>
    <x v="15"/>
    <x v="4"/>
    <x v="0"/>
    <n v="120.3"/>
  </r>
  <r>
    <x v="1"/>
    <x v="2"/>
    <x v="14"/>
    <x v="15"/>
    <x v="4"/>
    <x v="1"/>
    <n v="119.4"/>
  </r>
  <r>
    <x v="1"/>
    <x v="2"/>
    <x v="14"/>
    <x v="15"/>
    <x v="4"/>
    <x v="2"/>
    <n v="118.4"/>
  </r>
  <r>
    <x v="1"/>
    <x v="2"/>
    <x v="14"/>
    <x v="17"/>
    <x v="5"/>
    <x v="0"/>
    <n v="116.2"/>
  </r>
  <r>
    <x v="1"/>
    <x v="2"/>
    <x v="14"/>
    <x v="17"/>
    <x v="5"/>
    <x v="1"/>
    <n v="115.1"/>
  </r>
  <r>
    <x v="1"/>
    <x v="2"/>
    <x v="14"/>
    <x v="17"/>
    <x v="5"/>
    <x v="2"/>
    <n v="113.2"/>
  </r>
  <r>
    <x v="1"/>
    <x v="2"/>
    <x v="14"/>
    <x v="19"/>
    <x v="6"/>
    <x v="0"/>
    <n v="118.2"/>
  </r>
  <r>
    <x v="1"/>
    <x v="2"/>
    <x v="14"/>
    <x v="19"/>
    <x v="6"/>
    <x v="1"/>
    <n v="117.5"/>
  </r>
  <r>
    <x v="1"/>
    <x v="2"/>
    <x v="14"/>
    <x v="19"/>
    <x v="6"/>
    <x v="2"/>
    <n v="116.8"/>
  </r>
  <r>
    <x v="1"/>
    <x v="2"/>
    <x v="14"/>
    <x v="21"/>
    <x v="6"/>
    <x v="0"/>
    <n v="0"/>
  </r>
  <r>
    <x v="1"/>
    <x v="2"/>
    <x v="14"/>
    <x v="21"/>
    <x v="6"/>
    <x v="1"/>
    <n v="116.5"/>
  </r>
  <r>
    <x v="1"/>
    <x v="2"/>
    <x v="14"/>
    <x v="21"/>
    <x v="6"/>
    <x v="2"/>
    <n v="116.5"/>
  </r>
  <r>
    <x v="1"/>
    <x v="2"/>
    <x v="14"/>
    <x v="2"/>
    <x v="0"/>
    <x v="0"/>
    <n v="122.4"/>
  </r>
  <r>
    <x v="1"/>
    <x v="2"/>
    <x v="14"/>
    <x v="2"/>
    <x v="0"/>
    <x v="1"/>
    <n v="123.2"/>
  </r>
  <r>
    <x v="1"/>
    <x v="2"/>
    <x v="14"/>
    <x v="2"/>
    <x v="0"/>
    <x v="2"/>
    <n v="124.7"/>
  </r>
  <r>
    <x v="1"/>
    <x v="2"/>
    <x v="14"/>
    <x v="6"/>
    <x v="0"/>
    <x v="0"/>
    <n v="124.2"/>
  </r>
  <r>
    <x v="1"/>
    <x v="2"/>
    <x v="14"/>
    <x v="6"/>
    <x v="0"/>
    <x v="1"/>
    <n v="124.5"/>
  </r>
  <r>
    <x v="1"/>
    <x v="2"/>
    <x v="14"/>
    <x v="6"/>
    <x v="0"/>
    <x v="2"/>
    <n v="124.9"/>
  </r>
  <r>
    <x v="1"/>
    <x v="2"/>
    <x v="14"/>
    <x v="23"/>
    <x v="7"/>
    <x v="0"/>
    <n v="114.2"/>
  </r>
  <r>
    <x v="1"/>
    <x v="2"/>
    <x v="14"/>
    <x v="23"/>
    <x v="7"/>
    <x v="1"/>
    <n v="113.8"/>
  </r>
  <r>
    <x v="1"/>
    <x v="2"/>
    <x v="14"/>
    <x v="23"/>
    <x v="7"/>
    <x v="2"/>
    <n v="113.4"/>
  </r>
  <r>
    <x v="1"/>
    <x v="2"/>
    <x v="14"/>
    <x v="18"/>
    <x v="0"/>
    <x v="0"/>
    <n v="117.3"/>
  </r>
  <r>
    <x v="1"/>
    <x v="2"/>
    <x v="14"/>
    <x v="18"/>
    <x v="0"/>
    <x v="1"/>
    <n v="116.8"/>
  </r>
  <r>
    <x v="1"/>
    <x v="2"/>
    <x v="14"/>
    <x v="18"/>
    <x v="0"/>
    <x v="2"/>
    <n v="116.1"/>
  </r>
  <r>
    <x v="1"/>
    <x v="2"/>
    <x v="14"/>
    <x v="7"/>
    <x v="0"/>
    <x v="0"/>
    <n v="110.2"/>
  </r>
  <r>
    <x v="1"/>
    <x v="2"/>
    <x v="14"/>
    <x v="7"/>
    <x v="0"/>
    <x v="1"/>
    <n v="107.6"/>
  </r>
  <r>
    <x v="1"/>
    <x v="2"/>
    <x v="14"/>
    <x v="7"/>
    <x v="0"/>
    <x v="2"/>
    <n v="103"/>
  </r>
  <r>
    <x v="1"/>
    <x v="2"/>
    <x v="14"/>
    <x v="22"/>
    <x v="7"/>
    <x v="0"/>
    <n v="121.7"/>
  </r>
  <r>
    <x v="1"/>
    <x v="2"/>
    <x v="14"/>
    <x v="22"/>
    <x v="7"/>
    <x v="1"/>
    <n v="123"/>
  </r>
  <r>
    <x v="1"/>
    <x v="2"/>
    <x v="14"/>
    <x v="22"/>
    <x v="7"/>
    <x v="2"/>
    <n v="126.4"/>
  </r>
  <r>
    <x v="1"/>
    <x v="2"/>
    <x v="14"/>
    <x v="24"/>
    <x v="7"/>
    <x v="0"/>
    <n v="109.4"/>
  </r>
  <r>
    <x v="1"/>
    <x v="2"/>
    <x v="14"/>
    <x v="24"/>
    <x v="7"/>
    <x v="1"/>
    <n v="109.8"/>
  </r>
  <r>
    <x v="1"/>
    <x v="2"/>
    <x v="14"/>
    <x v="24"/>
    <x v="7"/>
    <x v="2"/>
    <n v="110.4"/>
  </r>
  <r>
    <x v="1"/>
    <x v="2"/>
    <x v="14"/>
    <x v="20"/>
    <x v="0"/>
    <x v="0"/>
    <n v="124.8"/>
  </r>
  <r>
    <x v="1"/>
    <x v="2"/>
    <x v="14"/>
    <x v="20"/>
    <x v="0"/>
    <x v="1"/>
    <n v="126.1"/>
  </r>
  <r>
    <x v="1"/>
    <x v="2"/>
    <x v="14"/>
    <x v="20"/>
    <x v="0"/>
    <x v="2"/>
    <n v="127.6"/>
  </r>
  <r>
    <x v="1"/>
    <x v="2"/>
    <x v="14"/>
    <x v="12"/>
    <x v="0"/>
    <x v="0"/>
    <n v="116.3"/>
  </r>
  <r>
    <x v="1"/>
    <x v="2"/>
    <x v="14"/>
    <x v="12"/>
    <x v="0"/>
    <x v="1"/>
    <n v="117.6"/>
  </r>
  <r>
    <x v="1"/>
    <x v="2"/>
    <x v="14"/>
    <x v="12"/>
    <x v="0"/>
    <x v="2"/>
    <n v="120.1"/>
  </r>
  <r>
    <x v="1"/>
    <x v="2"/>
    <x v="14"/>
    <x v="26"/>
    <x v="9"/>
    <x v="0"/>
    <n v="113.3"/>
  </r>
  <r>
    <x v="1"/>
    <x v="2"/>
    <x v="14"/>
    <x v="26"/>
    <x v="9"/>
    <x v="1"/>
    <n v="113.9"/>
  </r>
  <r>
    <x v="1"/>
    <x v="2"/>
    <x v="14"/>
    <x v="26"/>
    <x v="9"/>
    <x v="2"/>
    <n v="114.3"/>
  </r>
  <r>
    <x v="1"/>
    <x v="2"/>
    <x v="14"/>
    <x v="16"/>
    <x v="0"/>
    <x v="0"/>
    <n v="116"/>
  </r>
  <r>
    <x v="1"/>
    <x v="2"/>
    <x v="14"/>
    <x v="16"/>
    <x v="0"/>
    <x v="1"/>
    <n v="119.1"/>
  </r>
  <r>
    <x v="1"/>
    <x v="2"/>
    <x v="14"/>
    <x v="16"/>
    <x v="0"/>
    <x v="2"/>
    <n v="125.4"/>
  </r>
  <r>
    <x v="1"/>
    <x v="2"/>
    <x v="14"/>
    <x v="14"/>
    <x v="0"/>
    <x v="0"/>
    <n v="102"/>
  </r>
  <r>
    <x v="1"/>
    <x v="2"/>
    <x v="14"/>
    <x v="14"/>
    <x v="0"/>
    <x v="1"/>
    <n v="100.6"/>
  </r>
  <r>
    <x v="1"/>
    <x v="2"/>
    <x v="14"/>
    <x v="14"/>
    <x v="0"/>
    <x v="2"/>
    <n v="97.8"/>
  </r>
  <r>
    <x v="1"/>
    <x v="2"/>
    <x v="14"/>
    <x v="25"/>
    <x v="8"/>
    <x v="0"/>
    <n v="111.5"/>
  </r>
  <r>
    <x v="1"/>
    <x v="2"/>
    <x v="14"/>
    <x v="25"/>
    <x v="8"/>
    <x v="1"/>
    <n v="110.1"/>
  </r>
  <r>
    <x v="1"/>
    <x v="2"/>
    <x v="14"/>
    <x v="25"/>
    <x v="8"/>
    <x v="2"/>
    <n v="108.8"/>
  </r>
  <r>
    <x v="1"/>
    <x v="2"/>
    <x v="14"/>
    <x v="11"/>
    <x v="0"/>
    <x v="0"/>
    <n v="140.30000000000001"/>
  </r>
  <r>
    <x v="1"/>
    <x v="2"/>
    <x v="14"/>
    <x v="11"/>
    <x v="0"/>
    <x v="1"/>
    <n v="140.5"/>
  </r>
  <r>
    <x v="1"/>
    <x v="2"/>
    <x v="14"/>
    <x v="11"/>
    <x v="0"/>
    <x v="2"/>
    <n v="141"/>
  </r>
  <r>
    <x v="1"/>
    <x v="3"/>
    <x v="15"/>
    <x v="0"/>
    <x v="0"/>
    <x v="0"/>
    <n v="119.4"/>
  </r>
  <r>
    <x v="1"/>
    <x v="3"/>
    <x v="15"/>
    <x v="0"/>
    <x v="0"/>
    <x v="1"/>
    <n v="120.2"/>
  </r>
  <r>
    <x v="1"/>
    <x v="3"/>
    <x v="15"/>
    <x v="0"/>
    <x v="0"/>
    <x v="2"/>
    <n v="121.9"/>
  </r>
  <r>
    <x v="1"/>
    <x v="3"/>
    <x v="15"/>
    <x v="1"/>
    <x v="1"/>
    <x v="0"/>
    <n v="117.1"/>
  </r>
  <r>
    <x v="1"/>
    <x v="3"/>
    <x v="15"/>
    <x v="1"/>
    <x v="1"/>
    <x v="1"/>
    <n v="116.4"/>
  </r>
  <r>
    <x v="1"/>
    <x v="3"/>
    <x v="15"/>
    <x v="1"/>
    <x v="1"/>
    <x v="2"/>
    <n v="115.3"/>
  </r>
  <r>
    <x v="1"/>
    <x v="3"/>
    <x v="15"/>
    <x v="3"/>
    <x v="1"/>
    <x v="0"/>
    <n v="116.7"/>
  </r>
  <r>
    <x v="1"/>
    <x v="3"/>
    <x v="15"/>
    <x v="3"/>
    <x v="1"/>
    <x v="1"/>
    <n v="115.9"/>
  </r>
  <r>
    <x v="1"/>
    <x v="3"/>
    <x v="15"/>
    <x v="3"/>
    <x v="1"/>
    <x v="2"/>
    <n v="114.7"/>
  </r>
  <r>
    <x v="1"/>
    <x v="3"/>
    <x v="15"/>
    <x v="5"/>
    <x v="2"/>
    <x v="0"/>
    <n v="112"/>
  </r>
  <r>
    <x v="1"/>
    <x v="3"/>
    <x v="15"/>
    <x v="5"/>
    <x v="2"/>
    <x v="1"/>
    <n v="111.8"/>
  </r>
  <r>
    <x v="1"/>
    <x v="3"/>
    <x v="15"/>
    <x v="5"/>
    <x v="2"/>
    <x v="2"/>
    <n v="111.6"/>
  </r>
  <r>
    <x v="1"/>
    <x v="3"/>
    <x v="15"/>
    <x v="4"/>
    <x v="0"/>
    <x v="0"/>
    <n v="121.2"/>
  </r>
  <r>
    <x v="1"/>
    <x v="3"/>
    <x v="15"/>
    <x v="4"/>
    <x v="0"/>
    <x v="1"/>
    <n v="122.5"/>
  </r>
  <r>
    <x v="1"/>
    <x v="3"/>
    <x v="15"/>
    <x v="4"/>
    <x v="0"/>
    <x v="2"/>
    <n v="124.5"/>
  </r>
  <r>
    <x v="1"/>
    <x v="3"/>
    <x v="15"/>
    <x v="8"/>
    <x v="0"/>
    <x v="0"/>
    <n v="115.3"/>
  </r>
  <r>
    <x v="1"/>
    <x v="3"/>
    <x v="15"/>
    <x v="8"/>
    <x v="0"/>
    <x v="1"/>
    <n v="115.3"/>
  </r>
  <r>
    <x v="1"/>
    <x v="3"/>
    <x v="15"/>
    <x v="8"/>
    <x v="0"/>
    <x v="2"/>
    <n v="115.2"/>
  </r>
  <r>
    <x v="1"/>
    <x v="3"/>
    <x v="15"/>
    <x v="10"/>
    <x v="1"/>
    <x v="0"/>
    <n v="114.5"/>
  </r>
  <r>
    <x v="1"/>
    <x v="3"/>
    <x v="15"/>
    <x v="10"/>
    <x v="1"/>
    <x v="1"/>
    <n v="113.3"/>
  </r>
  <r>
    <x v="1"/>
    <x v="3"/>
    <x v="15"/>
    <x v="10"/>
    <x v="1"/>
    <x v="2"/>
    <n v="111.7"/>
  </r>
  <r>
    <x v="1"/>
    <x v="3"/>
    <x v="15"/>
    <x v="9"/>
    <x v="0"/>
    <x v="0"/>
    <n v="116.6"/>
  </r>
  <r>
    <x v="1"/>
    <x v="3"/>
    <x v="15"/>
    <x v="9"/>
    <x v="0"/>
    <x v="1"/>
    <n v="115.4"/>
  </r>
  <r>
    <x v="1"/>
    <x v="3"/>
    <x v="15"/>
    <x v="9"/>
    <x v="0"/>
    <x v="2"/>
    <n v="114.1"/>
  </r>
  <r>
    <x v="1"/>
    <x v="3"/>
    <x v="15"/>
    <x v="13"/>
    <x v="3"/>
    <x v="0"/>
    <n v="113.2"/>
  </r>
  <r>
    <x v="1"/>
    <x v="3"/>
    <x v="15"/>
    <x v="13"/>
    <x v="3"/>
    <x v="1"/>
    <n v="112.4"/>
  </r>
  <r>
    <x v="1"/>
    <x v="3"/>
    <x v="15"/>
    <x v="13"/>
    <x v="3"/>
    <x v="2"/>
    <n v="111.1"/>
  </r>
  <r>
    <x v="1"/>
    <x v="3"/>
    <x v="15"/>
    <x v="15"/>
    <x v="4"/>
    <x v="0"/>
    <n v="114"/>
  </r>
  <r>
    <x v="1"/>
    <x v="3"/>
    <x v="15"/>
    <x v="15"/>
    <x v="4"/>
    <x v="1"/>
    <n v="113.6"/>
  </r>
  <r>
    <x v="1"/>
    <x v="3"/>
    <x v="15"/>
    <x v="15"/>
    <x v="4"/>
    <x v="2"/>
    <n v="113.1"/>
  </r>
  <r>
    <x v="1"/>
    <x v="3"/>
    <x v="15"/>
    <x v="17"/>
    <x v="5"/>
    <x v="0"/>
    <n v="110.9"/>
  </r>
  <r>
    <x v="1"/>
    <x v="3"/>
    <x v="15"/>
    <x v="17"/>
    <x v="5"/>
    <x v="1"/>
    <n v="110.7"/>
  </r>
  <r>
    <x v="1"/>
    <x v="3"/>
    <x v="15"/>
    <x v="17"/>
    <x v="5"/>
    <x v="2"/>
    <n v="110.4"/>
  </r>
  <r>
    <x v="1"/>
    <x v="3"/>
    <x v="15"/>
    <x v="19"/>
    <x v="6"/>
    <x v="0"/>
    <n v="112.9"/>
  </r>
  <r>
    <x v="1"/>
    <x v="3"/>
    <x v="15"/>
    <x v="19"/>
    <x v="6"/>
    <x v="1"/>
    <n v="112.8"/>
  </r>
  <r>
    <x v="1"/>
    <x v="3"/>
    <x v="15"/>
    <x v="19"/>
    <x v="6"/>
    <x v="2"/>
    <n v="112.6"/>
  </r>
  <r>
    <x v="1"/>
    <x v="3"/>
    <x v="15"/>
    <x v="21"/>
    <x v="6"/>
    <x v="0"/>
    <n v="0"/>
  </r>
  <r>
    <x v="1"/>
    <x v="3"/>
    <x v="15"/>
    <x v="21"/>
    <x v="6"/>
    <x v="1"/>
    <n v="112.5"/>
  </r>
  <r>
    <x v="1"/>
    <x v="3"/>
    <x v="15"/>
    <x v="21"/>
    <x v="6"/>
    <x v="2"/>
    <n v="112.5"/>
  </r>
  <r>
    <x v="1"/>
    <x v="3"/>
    <x v="15"/>
    <x v="2"/>
    <x v="0"/>
    <x v="0"/>
    <n v="117.7"/>
  </r>
  <r>
    <x v="1"/>
    <x v="3"/>
    <x v="15"/>
    <x v="2"/>
    <x v="0"/>
    <x v="1"/>
    <n v="119.2"/>
  </r>
  <r>
    <x v="1"/>
    <x v="3"/>
    <x v="15"/>
    <x v="2"/>
    <x v="0"/>
    <x v="2"/>
    <n v="122"/>
  </r>
  <r>
    <x v="1"/>
    <x v="3"/>
    <x v="15"/>
    <x v="6"/>
    <x v="0"/>
    <x v="0"/>
    <n v="115"/>
  </r>
  <r>
    <x v="1"/>
    <x v="3"/>
    <x v="15"/>
    <x v="6"/>
    <x v="0"/>
    <x v="1"/>
    <n v="115.1"/>
  </r>
  <r>
    <x v="1"/>
    <x v="3"/>
    <x v="15"/>
    <x v="6"/>
    <x v="0"/>
    <x v="2"/>
    <n v="115.2"/>
  </r>
  <r>
    <x v="1"/>
    <x v="3"/>
    <x v="15"/>
    <x v="23"/>
    <x v="7"/>
    <x v="0"/>
    <n v="110.9"/>
  </r>
  <r>
    <x v="1"/>
    <x v="3"/>
    <x v="15"/>
    <x v="23"/>
    <x v="7"/>
    <x v="1"/>
    <n v="110.9"/>
  </r>
  <r>
    <x v="1"/>
    <x v="3"/>
    <x v="15"/>
    <x v="23"/>
    <x v="7"/>
    <x v="2"/>
    <n v="111"/>
  </r>
  <r>
    <x v="1"/>
    <x v="3"/>
    <x v="15"/>
    <x v="18"/>
    <x v="0"/>
    <x v="0"/>
    <n v="112.9"/>
  </r>
  <r>
    <x v="1"/>
    <x v="3"/>
    <x v="15"/>
    <x v="18"/>
    <x v="0"/>
    <x v="1"/>
    <n v="112.6"/>
  </r>
  <r>
    <x v="1"/>
    <x v="3"/>
    <x v="15"/>
    <x v="18"/>
    <x v="0"/>
    <x v="2"/>
    <n v="112.1"/>
  </r>
  <r>
    <x v="1"/>
    <x v="3"/>
    <x v="15"/>
    <x v="7"/>
    <x v="0"/>
    <x v="0"/>
    <n v="109"/>
  </r>
  <r>
    <x v="1"/>
    <x v="3"/>
    <x v="15"/>
    <x v="7"/>
    <x v="0"/>
    <x v="1"/>
    <n v="106.6"/>
  </r>
  <r>
    <x v="1"/>
    <x v="3"/>
    <x v="15"/>
    <x v="7"/>
    <x v="0"/>
    <x v="2"/>
    <n v="102.5"/>
  </r>
  <r>
    <x v="1"/>
    <x v="3"/>
    <x v="15"/>
    <x v="22"/>
    <x v="7"/>
    <x v="0"/>
    <n v="114.2"/>
  </r>
  <r>
    <x v="1"/>
    <x v="3"/>
    <x v="15"/>
    <x v="22"/>
    <x v="7"/>
    <x v="1"/>
    <n v="114.7"/>
  </r>
  <r>
    <x v="1"/>
    <x v="3"/>
    <x v="15"/>
    <x v="22"/>
    <x v="7"/>
    <x v="2"/>
    <n v="116.2"/>
  </r>
  <r>
    <x v="1"/>
    <x v="3"/>
    <x v="15"/>
    <x v="24"/>
    <x v="7"/>
    <x v="0"/>
    <n v="108.7"/>
  </r>
  <r>
    <x v="1"/>
    <x v="3"/>
    <x v="15"/>
    <x v="24"/>
    <x v="7"/>
    <x v="1"/>
    <n v="108.7"/>
  </r>
  <r>
    <x v="1"/>
    <x v="3"/>
    <x v="15"/>
    <x v="24"/>
    <x v="7"/>
    <x v="2"/>
    <n v="108.7"/>
  </r>
  <r>
    <x v="1"/>
    <x v="3"/>
    <x v="15"/>
    <x v="20"/>
    <x v="0"/>
    <x v="0"/>
    <n v="117.8"/>
  </r>
  <r>
    <x v="1"/>
    <x v="3"/>
    <x v="15"/>
    <x v="20"/>
    <x v="0"/>
    <x v="1"/>
    <n v="118.8"/>
  </r>
  <r>
    <x v="1"/>
    <x v="3"/>
    <x v="15"/>
    <x v="20"/>
    <x v="0"/>
    <x v="2"/>
    <n v="119.9"/>
  </r>
  <r>
    <x v="1"/>
    <x v="3"/>
    <x v="15"/>
    <x v="12"/>
    <x v="0"/>
    <x v="0"/>
    <n v="109.8"/>
  </r>
  <r>
    <x v="1"/>
    <x v="3"/>
    <x v="15"/>
    <x v="12"/>
    <x v="0"/>
    <x v="1"/>
    <n v="109.3"/>
  </r>
  <r>
    <x v="1"/>
    <x v="3"/>
    <x v="15"/>
    <x v="12"/>
    <x v="0"/>
    <x v="2"/>
    <n v="108.2"/>
  </r>
  <r>
    <x v="1"/>
    <x v="3"/>
    <x v="15"/>
    <x v="26"/>
    <x v="9"/>
    <x v="0"/>
    <n v="109.9"/>
  </r>
  <r>
    <x v="1"/>
    <x v="3"/>
    <x v="15"/>
    <x v="26"/>
    <x v="9"/>
    <x v="1"/>
    <n v="110.1"/>
  </r>
  <r>
    <x v="1"/>
    <x v="3"/>
    <x v="15"/>
    <x v="26"/>
    <x v="9"/>
    <x v="2"/>
    <n v="110.3"/>
  </r>
  <r>
    <x v="1"/>
    <x v="3"/>
    <x v="15"/>
    <x v="16"/>
    <x v="0"/>
    <x v="0"/>
    <n v="110.4"/>
  </r>
  <r>
    <x v="1"/>
    <x v="3"/>
    <x v="15"/>
    <x v="16"/>
    <x v="0"/>
    <x v="1"/>
    <n v="111.4"/>
  </r>
  <r>
    <x v="1"/>
    <x v="3"/>
    <x v="15"/>
    <x v="16"/>
    <x v="0"/>
    <x v="2"/>
    <n v="113.5"/>
  </r>
  <r>
    <x v="1"/>
    <x v="3"/>
    <x v="15"/>
    <x v="14"/>
    <x v="0"/>
    <x v="0"/>
    <n v="101.1"/>
  </r>
  <r>
    <x v="1"/>
    <x v="3"/>
    <x v="15"/>
    <x v="14"/>
    <x v="0"/>
    <x v="1"/>
    <n v="99.2"/>
  </r>
  <r>
    <x v="1"/>
    <x v="3"/>
    <x v="15"/>
    <x v="14"/>
    <x v="0"/>
    <x v="2"/>
    <n v="95.4"/>
  </r>
  <r>
    <x v="1"/>
    <x v="3"/>
    <x v="15"/>
    <x v="25"/>
    <x v="8"/>
    <x v="0"/>
    <n v="110.8"/>
  </r>
  <r>
    <x v="1"/>
    <x v="3"/>
    <x v="15"/>
    <x v="25"/>
    <x v="8"/>
    <x v="1"/>
    <n v="111.1"/>
  </r>
  <r>
    <x v="1"/>
    <x v="3"/>
    <x v="15"/>
    <x v="25"/>
    <x v="8"/>
    <x v="2"/>
    <n v="111.3"/>
  </r>
  <r>
    <x v="1"/>
    <x v="3"/>
    <x v="15"/>
    <x v="11"/>
    <x v="0"/>
    <x v="0"/>
    <n v="116"/>
  </r>
  <r>
    <x v="1"/>
    <x v="3"/>
    <x v="15"/>
    <x v="11"/>
    <x v="0"/>
    <x v="1"/>
    <n v="114.5"/>
  </r>
  <r>
    <x v="1"/>
    <x v="3"/>
    <x v="15"/>
    <x v="11"/>
    <x v="0"/>
    <x v="2"/>
    <n v="111.5"/>
  </r>
  <r>
    <x v="1"/>
    <x v="4"/>
    <x v="16"/>
    <x v="0"/>
    <x v="0"/>
    <x v="0"/>
    <n v="118.9"/>
  </r>
  <r>
    <x v="1"/>
    <x v="4"/>
    <x v="16"/>
    <x v="0"/>
    <x v="0"/>
    <x v="1"/>
    <n v="119.6"/>
  </r>
  <r>
    <x v="1"/>
    <x v="4"/>
    <x v="16"/>
    <x v="0"/>
    <x v="0"/>
    <x v="2"/>
    <n v="121.2"/>
  </r>
  <r>
    <x v="1"/>
    <x v="4"/>
    <x v="16"/>
    <x v="1"/>
    <x v="1"/>
    <x v="0"/>
    <n v="116.5"/>
  </r>
  <r>
    <x v="1"/>
    <x v="4"/>
    <x v="16"/>
    <x v="1"/>
    <x v="1"/>
    <x v="1"/>
    <n v="115.8"/>
  </r>
  <r>
    <x v="1"/>
    <x v="4"/>
    <x v="16"/>
    <x v="1"/>
    <x v="1"/>
    <x v="2"/>
    <n v="114.8"/>
  </r>
  <r>
    <x v="1"/>
    <x v="4"/>
    <x v="16"/>
    <x v="3"/>
    <x v="1"/>
    <x v="0"/>
    <n v="116.2"/>
  </r>
  <r>
    <x v="1"/>
    <x v="4"/>
    <x v="16"/>
    <x v="3"/>
    <x v="1"/>
    <x v="1"/>
    <n v="115.4"/>
  </r>
  <r>
    <x v="1"/>
    <x v="4"/>
    <x v="16"/>
    <x v="3"/>
    <x v="1"/>
    <x v="2"/>
    <n v="114.3"/>
  </r>
  <r>
    <x v="1"/>
    <x v="4"/>
    <x v="16"/>
    <x v="5"/>
    <x v="2"/>
    <x v="0"/>
    <n v="111.8"/>
  </r>
  <r>
    <x v="1"/>
    <x v="4"/>
    <x v="16"/>
    <x v="5"/>
    <x v="2"/>
    <x v="1"/>
    <n v="111.6"/>
  </r>
  <r>
    <x v="1"/>
    <x v="4"/>
    <x v="16"/>
    <x v="5"/>
    <x v="2"/>
    <x v="2"/>
    <n v="111.5"/>
  </r>
  <r>
    <x v="1"/>
    <x v="4"/>
    <x v="16"/>
    <x v="4"/>
    <x v="0"/>
    <x v="0"/>
    <n v="120.5"/>
  </r>
  <r>
    <x v="1"/>
    <x v="4"/>
    <x v="16"/>
    <x v="4"/>
    <x v="0"/>
    <x v="1"/>
    <n v="124.1"/>
  </r>
  <r>
    <x v="1"/>
    <x v="4"/>
    <x v="16"/>
    <x v="4"/>
    <x v="0"/>
    <x v="2"/>
    <n v="129.9"/>
  </r>
  <r>
    <x v="1"/>
    <x v="4"/>
    <x v="16"/>
    <x v="8"/>
    <x v="0"/>
    <x v="0"/>
    <n v="116"/>
  </r>
  <r>
    <x v="1"/>
    <x v="4"/>
    <x v="16"/>
    <x v="8"/>
    <x v="0"/>
    <x v="1"/>
    <n v="115.8"/>
  </r>
  <r>
    <x v="1"/>
    <x v="4"/>
    <x v="16"/>
    <x v="8"/>
    <x v="0"/>
    <x v="2"/>
    <n v="115.5"/>
  </r>
  <r>
    <x v="1"/>
    <x v="4"/>
    <x v="16"/>
    <x v="10"/>
    <x v="1"/>
    <x v="0"/>
    <n v="114.5"/>
  </r>
  <r>
    <x v="1"/>
    <x v="4"/>
    <x v="16"/>
    <x v="10"/>
    <x v="1"/>
    <x v="1"/>
    <n v="113.2"/>
  </r>
  <r>
    <x v="1"/>
    <x v="4"/>
    <x v="16"/>
    <x v="10"/>
    <x v="1"/>
    <x v="2"/>
    <n v="111.3"/>
  </r>
  <r>
    <x v="1"/>
    <x v="4"/>
    <x v="16"/>
    <x v="9"/>
    <x v="0"/>
    <x v="0"/>
    <n v="115.5"/>
  </r>
  <r>
    <x v="1"/>
    <x v="4"/>
    <x v="16"/>
    <x v="9"/>
    <x v="0"/>
    <x v="1"/>
    <n v="113.9"/>
  </r>
  <r>
    <x v="1"/>
    <x v="4"/>
    <x v="16"/>
    <x v="9"/>
    <x v="0"/>
    <x v="2"/>
    <n v="112.1"/>
  </r>
  <r>
    <x v="1"/>
    <x v="4"/>
    <x v="16"/>
    <x v="13"/>
    <x v="3"/>
    <x v="0"/>
    <n v="113"/>
  </r>
  <r>
    <x v="1"/>
    <x v="4"/>
    <x v="16"/>
    <x v="13"/>
    <x v="3"/>
    <x v="1"/>
    <n v="112.2"/>
  </r>
  <r>
    <x v="1"/>
    <x v="4"/>
    <x v="16"/>
    <x v="13"/>
    <x v="3"/>
    <x v="2"/>
    <n v="111"/>
  </r>
  <r>
    <x v="1"/>
    <x v="4"/>
    <x v="16"/>
    <x v="15"/>
    <x v="4"/>
    <x v="0"/>
    <n v="114.2"/>
  </r>
  <r>
    <x v="1"/>
    <x v="4"/>
    <x v="16"/>
    <x v="15"/>
    <x v="4"/>
    <x v="1"/>
    <n v="113.6"/>
  </r>
  <r>
    <x v="1"/>
    <x v="4"/>
    <x v="16"/>
    <x v="15"/>
    <x v="4"/>
    <x v="2"/>
    <n v="112.9"/>
  </r>
  <r>
    <x v="1"/>
    <x v="4"/>
    <x v="16"/>
    <x v="17"/>
    <x v="5"/>
    <x v="0"/>
    <n v="110.6"/>
  </r>
  <r>
    <x v="1"/>
    <x v="4"/>
    <x v="16"/>
    <x v="17"/>
    <x v="5"/>
    <x v="1"/>
    <n v="110.3"/>
  </r>
  <r>
    <x v="1"/>
    <x v="4"/>
    <x v="16"/>
    <x v="17"/>
    <x v="5"/>
    <x v="2"/>
    <n v="109.7"/>
  </r>
  <r>
    <x v="1"/>
    <x v="4"/>
    <x v="16"/>
    <x v="19"/>
    <x v="6"/>
    <x v="0"/>
    <n v="112.6"/>
  </r>
  <r>
    <x v="1"/>
    <x v="4"/>
    <x v="16"/>
    <x v="19"/>
    <x v="6"/>
    <x v="1"/>
    <n v="112.3"/>
  </r>
  <r>
    <x v="1"/>
    <x v="4"/>
    <x v="16"/>
    <x v="19"/>
    <x v="6"/>
    <x v="2"/>
    <n v="111.9"/>
  </r>
  <r>
    <x v="1"/>
    <x v="4"/>
    <x v="16"/>
    <x v="21"/>
    <x v="6"/>
    <x v="0"/>
    <n v="0"/>
  </r>
  <r>
    <x v="1"/>
    <x v="4"/>
    <x v="16"/>
    <x v="21"/>
    <x v="6"/>
    <x v="1"/>
    <n v="111.6"/>
  </r>
  <r>
    <x v="1"/>
    <x v="4"/>
    <x v="16"/>
    <x v="21"/>
    <x v="6"/>
    <x v="2"/>
    <n v="111.6"/>
  </r>
  <r>
    <x v="1"/>
    <x v="4"/>
    <x v="16"/>
    <x v="2"/>
    <x v="0"/>
    <x v="0"/>
    <n v="117.1"/>
  </r>
  <r>
    <x v="1"/>
    <x v="4"/>
    <x v="16"/>
    <x v="2"/>
    <x v="0"/>
    <x v="1"/>
    <n v="118.8"/>
  </r>
  <r>
    <x v="1"/>
    <x v="4"/>
    <x v="16"/>
    <x v="2"/>
    <x v="0"/>
    <x v="2"/>
    <n v="122"/>
  </r>
  <r>
    <x v="1"/>
    <x v="4"/>
    <x v="16"/>
    <x v="6"/>
    <x v="0"/>
    <x v="0"/>
    <n v="114.4"/>
  </r>
  <r>
    <x v="1"/>
    <x v="4"/>
    <x v="16"/>
    <x v="6"/>
    <x v="0"/>
    <x v="1"/>
    <n v="114.1"/>
  </r>
  <r>
    <x v="1"/>
    <x v="4"/>
    <x v="16"/>
    <x v="6"/>
    <x v="0"/>
    <x v="2"/>
    <n v="113.6"/>
  </r>
  <r>
    <x v="1"/>
    <x v="4"/>
    <x v="16"/>
    <x v="23"/>
    <x v="7"/>
    <x v="0"/>
    <n v="110.6"/>
  </r>
  <r>
    <x v="1"/>
    <x v="4"/>
    <x v="16"/>
    <x v="23"/>
    <x v="7"/>
    <x v="1"/>
    <n v="110.6"/>
  </r>
  <r>
    <x v="1"/>
    <x v="4"/>
    <x v="16"/>
    <x v="23"/>
    <x v="7"/>
    <x v="2"/>
    <n v="110.5"/>
  </r>
  <r>
    <x v="1"/>
    <x v="4"/>
    <x v="16"/>
    <x v="18"/>
    <x v="0"/>
    <x v="0"/>
    <n v="112.4"/>
  </r>
  <r>
    <x v="1"/>
    <x v="4"/>
    <x v="16"/>
    <x v="18"/>
    <x v="0"/>
    <x v="1"/>
    <n v="112.3"/>
  </r>
  <r>
    <x v="1"/>
    <x v="4"/>
    <x v="16"/>
    <x v="18"/>
    <x v="0"/>
    <x v="2"/>
    <n v="112.1"/>
  </r>
  <r>
    <x v="1"/>
    <x v="4"/>
    <x v="16"/>
    <x v="7"/>
    <x v="0"/>
    <x v="0"/>
    <n v="109"/>
  </r>
  <r>
    <x v="1"/>
    <x v="4"/>
    <x v="16"/>
    <x v="7"/>
    <x v="0"/>
    <x v="1"/>
    <n v="106.8"/>
  </r>
  <r>
    <x v="1"/>
    <x v="4"/>
    <x v="16"/>
    <x v="7"/>
    <x v="0"/>
    <x v="2"/>
    <n v="102.9"/>
  </r>
  <r>
    <x v="1"/>
    <x v="4"/>
    <x v="16"/>
    <x v="22"/>
    <x v="7"/>
    <x v="0"/>
    <n v="114"/>
  </r>
  <r>
    <x v="1"/>
    <x v="4"/>
    <x v="16"/>
    <x v="22"/>
    <x v="7"/>
    <x v="1"/>
    <n v="114.5"/>
  </r>
  <r>
    <x v="1"/>
    <x v="4"/>
    <x v="16"/>
    <x v="22"/>
    <x v="7"/>
    <x v="2"/>
    <n v="115.7"/>
  </r>
  <r>
    <x v="1"/>
    <x v="4"/>
    <x v="16"/>
    <x v="24"/>
    <x v="7"/>
    <x v="0"/>
    <n v="108.3"/>
  </r>
  <r>
    <x v="1"/>
    <x v="4"/>
    <x v="16"/>
    <x v="24"/>
    <x v="7"/>
    <x v="1"/>
    <n v="108.2"/>
  </r>
  <r>
    <x v="1"/>
    <x v="4"/>
    <x v="16"/>
    <x v="24"/>
    <x v="7"/>
    <x v="2"/>
    <n v="108"/>
  </r>
  <r>
    <x v="1"/>
    <x v="4"/>
    <x v="16"/>
    <x v="20"/>
    <x v="0"/>
    <x v="0"/>
    <n v="117.3"/>
  </r>
  <r>
    <x v="1"/>
    <x v="4"/>
    <x v="16"/>
    <x v="20"/>
    <x v="0"/>
    <x v="1"/>
    <n v="118.1"/>
  </r>
  <r>
    <x v="1"/>
    <x v="4"/>
    <x v="16"/>
    <x v="20"/>
    <x v="0"/>
    <x v="2"/>
    <n v="119"/>
  </r>
  <r>
    <x v="1"/>
    <x v="4"/>
    <x v="16"/>
    <x v="12"/>
    <x v="0"/>
    <x v="0"/>
    <n v="109.6"/>
  </r>
  <r>
    <x v="1"/>
    <x v="4"/>
    <x v="16"/>
    <x v="12"/>
    <x v="0"/>
    <x v="1"/>
    <n v="108.9"/>
  </r>
  <r>
    <x v="1"/>
    <x v="4"/>
    <x v="16"/>
    <x v="12"/>
    <x v="0"/>
    <x v="2"/>
    <n v="107.5"/>
  </r>
  <r>
    <x v="1"/>
    <x v="4"/>
    <x v="16"/>
    <x v="26"/>
    <x v="9"/>
    <x v="0"/>
    <n v="109.6"/>
  </r>
  <r>
    <x v="1"/>
    <x v="4"/>
    <x v="16"/>
    <x v="26"/>
    <x v="9"/>
    <x v="1"/>
    <n v="109.7"/>
  </r>
  <r>
    <x v="1"/>
    <x v="4"/>
    <x v="16"/>
    <x v="26"/>
    <x v="9"/>
    <x v="2"/>
    <n v="109.8"/>
  </r>
  <r>
    <x v="1"/>
    <x v="4"/>
    <x v="16"/>
    <x v="16"/>
    <x v="0"/>
    <x v="0"/>
    <n v="110.2"/>
  </r>
  <r>
    <x v="1"/>
    <x v="4"/>
    <x v="16"/>
    <x v="16"/>
    <x v="0"/>
    <x v="1"/>
    <n v="111"/>
  </r>
  <r>
    <x v="1"/>
    <x v="4"/>
    <x v="16"/>
    <x v="16"/>
    <x v="0"/>
    <x v="2"/>
    <n v="112.7"/>
  </r>
  <r>
    <x v="1"/>
    <x v="4"/>
    <x v="16"/>
    <x v="14"/>
    <x v="0"/>
    <x v="0"/>
    <n v="101.8"/>
  </r>
  <r>
    <x v="1"/>
    <x v="4"/>
    <x v="16"/>
    <x v="14"/>
    <x v="0"/>
    <x v="1"/>
    <n v="100.2"/>
  </r>
  <r>
    <x v="1"/>
    <x v="4"/>
    <x v="16"/>
    <x v="14"/>
    <x v="0"/>
    <x v="2"/>
    <n v="96.9"/>
  </r>
  <r>
    <x v="1"/>
    <x v="4"/>
    <x v="16"/>
    <x v="25"/>
    <x v="8"/>
    <x v="0"/>
    <n v="110.5"/>
  </r>
  <r>
    <x v="1"/>
    <x v="4"/>
    <x v="16"/>
    <x v="25"/>
    <x v="8"/>
    <x v="1"/>
    <n v="110.7"/>
  </r>
  <r>
    <x v="1"/>
    <x v="4"/>
    <x v="16"/>
    <x v="25"/>
    <x v="8"/>
    <x v="2"/>
    <n v="110.8"/>
  </r>
  <r>
    <x v="1"/>
    <x v="4"/>
    <x v="16"/>
    <x v="11"/>
    <x v="0"/>
    <x v="0"/>
    <n v="123.9"/>
  </r>
  <r>
    <x v="1"/>
    <x v="4"/>
    <x v="16"/>
    <x v="11"/>
    <x v="0"/>
    <x v="1"/>
    <n v="122.2"/>
  </r>
  <r>
    <x v="1"/>
    <x v="4"/>
    <x v="16"/>
    <x v="11"/>
    <x v="0"/>
    <x v="2"/>
    <n v="118.9"/>
  </r>
  <r>
    <x v="1"/>
    <x v="5"/>
    <x v="17"/>
    <x v="0"/>
    <x v="0"/>
    <x v="0"/>
    <n v="121.7"/>
  </r>
  <r>
    <x v="1"/>
    <x v="5"/>
    <x v="17"/>
    <x v="0"/>
    <x v="0"/>
    <x v="1"/>
    <n v="122.4"/>
  </r>
  <r>
    <x v="1"/>
    <x v="5"/>
    <x v="17"/>
    <x v="0"/>
    <x v="0"/>
    <x v="2"/>
    <n v="123.8"/>
  </r>
  <r>
    <x v="1"/>
    <x v="5"/>
    <x v="17"/>
    <x v="1"/>
    <x v="1"/>
    <x v="0"/>
    <n v="120.7"/>
  </r>
  <r>
    <x v="1"/>
    <x v="5"/>
    <x v="17"/>
    <x v="1"/>
    <x v="1"/>
    <x v="1"/>
    <n v="119.6"/>
  </r>
  <r>
    <x v="1"/>
    <x v="5"/>
    <x v="17"/>
    <x v="1"/>
    <x v="1"/>
    <x v="2"/>
    <n v="118"/>
  </r>
  <r>
    <x v="1"/>
    <x v="5"/>
    <x v="17"/>
    <x v="3"/>
    <x v="1"/>
    <x v="0"/>
    <n v="120.3"/>
  </r>
  <r>
    <x v="1"/>
    <x v="5"/>
    <x v="17"/>
    <x v="3"/>
    <x v="1"/>
    <x v="1"/>
    <n v="119.1"/>
  </r>
  <r>
    <x v="1"/>
    <x v="5"/>
    <x v="17"/>
    <x v="3"/>
    <x v="1"/>
    <x v="2"/>
    <n v="117.4"/>
  </r>
  <r>
    <x v="1"/>
    <x v="5"/>
    <x v="17"/>
    <x v="5"/>
    <x v="2"/>
    <x v="0"/>
    <n v="115.5"/>
  </r>
  <r>
    <x v="1"/>
    <x v="5"/>
    <x v="17"/>
    <x v="5"/>
    <x v="2"/>
    <x v="1"/>
    <n v="116.8"/>
  </r>
  <r>
    <x v="1"/>
    <x v="5"/>
    <x v="17"/>
    <x v="5"/>
    <x v="2"/>
    <x v="2"/>
    <n v="117.8"/>
  </r>
  <r>
    <x v="1"/>
    <x v="5"/>
    <x v="17"/>
    <x v="4"/>
    <x v="0"/>
    <x v="0"/>
    <n v="117.7"/>
  </r>
  <r>
    <x v="1"/>
    <x v="5"/>
    <x v="17"/>
    <x v="4"/>
    <x v="0"/>
    <x v="1"/>
    <n v="117.8"/>
  </r>
  <r>
    <x v="1"/>
    <x v="5"/>
    <x v="17"/>
    <x v="4"/>
    <x v="0"/>
    <x v="2"/>
    <n v="118"/>
  </r>
  <r>
    <x v="1"/>
    <x v="5"/>
    <x v="17"/>
    <x v="8"/>
    <x v="0"/>
    <x v="0"/>
    <n v="123.3"/>
  </r>
  <r>
    <x v="1"/>
    <x v="5"/>
    <x v="17"/>
    <x v="8"/>
    <x v="0"/>
    <x v="1"/>
    <n v="124.7"/>
  </r>
  <r>
    <x v="1"/>
    <x v="5"/>
    <x v="17"/>
    <x v="8"/>
    <x v="0"/>
    <x v="2"/>
    <n v="127.1"/>
  </r>
  <r>
    <x v="1"/>
    <x v="5"/>
    <x v="17"/>
    <x v="10"/>
    <x v="1"/>
    <x v="0"/>
    <n v="118.3"/>
  </r>
  <r>
    <x v="1"/>
    <x v="5"/>
    <x v="17"/>
    <x v="10"/>
    <x v="1"/>
    <x v="1"/>
    <n v="116.3"/>
  </r>
  <r>
    <x v="1"/>
    <x v="5"/>
    <x v="17"/>
    <x v="10"/>
    <x v="1"/>
    <x v="2"/>
    <n v="113.6"/>
  </r>
  <r>
    <x v="1"/>
    <x v="5"/>
    <x v="17"/>
    <x v="9"/>
    <x v="0"/>
    <x v="0"/>
    <n v="129.1"/>
  </r>
  <r>
    <x v="1"/>
    <x v="5"/>
    <x v="17"/>
    <x v="9"/>
    <x v="0"/>
    <x v="1"/>
    <n v="131.19999999999999"/>
  </r>
  <r>
    <x v="1"/>
    <x v="5"/>
    <x v="17"/>
    <x v="9"/>
    <x v="0"/>
    <x v="2"/>
    <n v="133.69999999999999"/>
  </r>
  <r>
    <x v="1"/>
    <x v="5"/>
    <x v="17"/>
    <x v="13"/>
    <x v="3"/>
    <x v="0"/>
    <n v="115.3"/>
  </r>
  <r>
    <x v="1"/>
    <x v="5"/>
    <x v="17"/>
    <x v="13"/>
    <x v="3"/>
    <x v="1"/>
    <n v="113.9"/>
  </r>
  <r>
    <x v="1"/>
    <x v="5"/>
    <x v="17"/>
    <x v="13"/>
    <x v="3"/>
    <x v="2"/>
    <n v="111.6"/>
  </r>
  <r>
    <x v="1"/>
    <x v="5"/>
    <x v="17"/>
    <x v="15"/>
    <x v="4"/>
    <x v="0"/>
    <n v="119.5"/>
  </r>
  <r>
    <x v="1"/>
    <x v="5"/>
    <x v="17"/>
    <x v="15"/>
    <x v="4"/>
    <x v="1"/>
    <n v="119.2"/>
  </r>
  <r>
    <x v="1"/>
    <x v="5"/>
    <x v="17"/>
    <x v="15"/>
    <x v="4"/>
    <x v="2"/>
    <n v="118.9"/>
  </r>
  <r>
    <x v="1"/>
    <x v="5"/>
    <x v="17"/>
    <x v="17"/>
    <x v="5"/>
    <x v="0"/>
    <n v="113.4"/>
  </r>
  <r>
    <x v="1"/>
    <x v="5"/>
    <x v="17"/>
    <x v="17"/>
    <x v="5"/>
    <x v="1"/>
    <n v="112.7"/>
  </r>
  <r>
    <x v="1"/>
    <x v="5"/>
    <x v="17"/>
    <x v="17"/>
    <x v="5"/>
    <x v="2"/>
    <n v="111.5"/>
  </r>
  <r>
    <x v="1"/>
    <x v="5"/>
    <x v="17"/>
    <x v="19"/>
    <x v="6"/>
    <x v="0"/>
    <n v="115.4"/>
  </r>
  <r>
    <x v="1"/>
    <x v="5"/>
    <x v="17"/>
    <x v="19"/>
    <x v="6"/>
    <x v="1"/>
    <n v="115.2"/>
  </r>
  <r>
    <x v="1"/>
    <x v="5"/>
    <x v="17"/>
    <x v="19"/>
    <x v="6"/>
    <x v="2"/>
    <n v="114.9"/>
  </r>
  <r>
    <x v="1"/>
    <x v="5"/>
    <x v="17"/>
    <x v="21"/>
    <x v="6"/>
    <x v="0"/>
    <n v="0"/>
  </r>
  <r>
    <x v="1"/>
    <x v="5"/>
    <x v="17"/>
    <x v="21"/>
    <x v="6"/>
    <x v="1"/>
    <n v="114.8"/>
  </r>
  <r>
    <x v="1"/>
    <x v="5"/>
    <x v="17"/>
    <x v="21"/>
    <x v="6"/>
    <x v="2"/>
    <n v="114.8"/>
  </r>
  <r>
    <x v="1"/>
    <x v="5"/>
    <x v="17"/>
    <x v="2"/>
    <x v="0"/>
    <x v="0"/>
    <n v="122.5"/>
  </r>
  <r>
    <x v="1"/>
    <x v="5"/>
    <x v="17"/>
    <x v="2"/>
    <x v="0"/>
    <x v="1"/>
    <n v="123.9"/>
  </r>
  <r>
    <x v="1"/>
    <x v="5"/>
    <x v="17"/>
    <x v="2"/>
    <x v="0"/>
    <x v="2"/>
    <n v="126.4"/>
  </r>
  <r>
    <x v="1"/>
    <x v="5"/>
    <x v="17"/>
    <x v="6"/>
    <x v="0"/>
    <x v="0"/>
    <n v="120.6"/>
  </r>
  <r>
    <x v="1"/>
    <x v="5"/>
    <x v="17"/>
    <x v="6"/>
    <x v="0"/>
    <x v="1"/>
    <n v="121"/>
  </r>
  <r>
    <x v="1"/>
    <x v="5"/>
    <x v="17"/>
    <x v="6"/>
    <x v="0"/>
    <x v="2"/>
    <n v="121.6"/>
  </r>
  <r>
    <x v="1"/>
    <x v="5"/>
    <x v="17"/>
    <x v="23"/>
    <x v="7"/>
    <x v="0"/>
    <n v="113.1"/>
  </r>
  <r>
    <x v="1"/>
    <x v="5"/>
    <x v="17"/>
    <x v="23"/>
    <x v="7"/>
    <x v="1"/>
    <n v="113.3"/>
  </r>
  <r>
    <x v="1"/>
    <x v="5"/>
    <x v="17"/>
    <x v="23"/>
    <x v="7"/>
    <x v="2"/>
    <n v="113.5"/>
  </r>
  <r>
    <x v="1"/>
    <x v="5"/>
    <x v="17"/>
    <x v="18"/>
    <x v="0"/>
    <x v="0"/>
    <n v="115.6"/>
  </r>
  <r>
    <x v="1"/>
    <x v="5"/>
    <x v="17"/>
    <x v="18"/>
    <x v="0"/>
    <x v="1"/>
    <n v="114.8"/>
  </r>
  <r>
    <x v="1"/>
    <x v="5"/>
    <x v="17"/>
    <x v="18"/>
    <x v="0"/>
    <x v="2"/>
    <n v="113.8"/>
  </r>
  <r>
    <x v="1"/>
    <x v="5"/>
    <x v="17"/>
    <x v="7"/>
    <x v="0"/>
    <x v="0"/>
    <n v="110.4"/>
  </r>
  <r>
    <x v="1"/>
    <x v="5"/>
    <x v="17"/>
    <x v="7"/>
    <x v="0"/>
    <x v="1"/>
    <n v="107.9"/>
  </r>
  <r>
    <x v="1"/>
    <x v="5"/>
    <x v="17"/>
    <x v="7"/>
    <x v="0"/>
    <x v="2"/>
    <n v="103.5"/>
  </r>
  <r>
    <x v="1"/>
    <x v="5"/>
    <x v="17"/>
    <x v="22"/>
    <x v="7"/>
    <x v="0"/>
    <n v="118"/>
  </r>
  <r>
    <x v="1"/>
    <x v="5"/>
    <x v="17"/>
    <x v="22"/>
    <x v="7"/>
    <x v="1"/>
    <n v="118.8"/>
  </r>
  <r>
    <x v="1"/>
    <x v="5"/>
    <x v="17"/>
    <x v="22"/>
    <x v="7"/>
    <x v="2"/>
    <n v="121"/>
  </r>
  <r>
    <x v="1"/>
    <x v="5"/>
    <x v="17"/>
    <x v="24"/>
    <x v="7"/>
    <x v="0"/>
    <n v="108.8"/>
  </r>
  <r>
    <x v="1"/>
    <x v="5"/>
    <x v="17"/>
    <x v="24"/>
    <x v="7"/>
    <x v="1"/>
    <n v="109.2"/>
  </r>
  <r>
    <x v="1"/>
    <x v="5"/>
    <x v="17"/>
    <x v="24"/>
    <x v="7"/>
    <x v="2"/>
    <n v="109.7"/>
  </r>
  <r>
    <x v="1"/>
    <x v="5"/>
    <x v="17"/>
    <x v="20"/>
    <x v="0"/>
    <x v="0"/>
    <n v="120.9"/>
  </r>
  <r>
    <x v="1"/>
    <x v="5"/>
    <x v="17"/>
    <x v="20"/>
    <x v="0"/>
    <x v="1"/>
    <n v="122.1"/>
  </r>
  <r>
    <x v="1"/>
    <x v="5"/>
    <x v="17"/>
    <x v="20"/>
    <x v="0"/>
    <x v="2"/>
    <n v="123.4"/>
  </r>
  <r>
    <x v="1"/>
    <x v="5"/>
    <x v="17"/>
    <x v="12"/>
    <x v="0"/>
    <x v="0"/>
    <n v="113.2"/>
  </r>
  <r>
    <x v="1"/>
    <x v="5"/>
    <x v="17"/>
    <x v="12"/>
    <x v="0"/>
    <x v="1"/>
    <n v="113.2"/>
  </r>
  <r>
    <x v="1"/>
    <x v="5"/>
    <x v="17"/>
    <x v="12"/>
    <x v="0"/>
    <x v="2"/>
    <n v="113.1"/>
  </r>
  <r>
    <x v="1"/>
    <x v="5"/>
    <x v="17"/>
    <x v="26"/>
    <x v="9"/>
    <x v="0"/>
    <n v="111.8"/>
  </r>
  <r>
    <x v="1"/>
    <x v="5"/>
    <x v="17"/>
    <x v="26"/>
    <x v="9"/>
    <x v="1"/>
    <n v="112.1"/>
  </r>
  <r>
    <x v="1"/>
    <x v="5"/>
    <x v="17"/>
    <x v="26"/>
    <x v="9"/>
    <x v="2"/>
    <n v="112.4"/>
  </r>
  <r>
    <x v="1"/>
    <x v="5"/>
    <x v="17"/>
    <x v="16"/>
    <x v="0"/>
    <x v="0"/>
    <n v="113.3"/>
  </r>
  <r>
    <x v="1"/>
    <x v="5"/>
    <x v="17"/>
    <x v="16"/>
    <x v="0"/>
    <x v="1"/>
    <n v="115.5"/>
  </r>
  <r>
    <x v="1"/>
    <x v="5"/>
    <x v="17"/>
    <x v="16"/>
    <x v="0"/>
    <x v="2"/>
    <n v="120"/>
  </r>
  <r>
    <x v="1"/>
    <x v="5"/>
    <x v="17"/>
    <x v="14"/>
    <x v="0"/>
    <x v="0"/>
    <n v="104.8"/>
  </r>
  <r>
    <x v="1"/>
    <x v="5"/>
    <x v="17"/>
    <x v="14"/>
    <x v="0"/>
    <x v="1"/>
    <n v="104.1"/>
  </r>
  <r>
    <x v="1"/>
    <x v="5"/>
    <x v="17"/>
    <x v="14"/>
    <x v="0"/>
    <x v="2"/>
    <n v="102.7"/>
  </r>
  <r>
    <x v="1"/>
    <x v="5"/>
    <x v="17"/>
    <x v="25"/>
    <x v="8"/>
    <x v="0"/>
    <n v="113.2"/>
  </r>
  <r>
    <x v="1"/>
    <x v="5"/>
    <x v="17"/>
    <x v="25"/>
    <x v="8"/>
    <x v="1"/>
    <n v="113.1"/>
  </r>
  <r>
    <x v="1"/>
    <x v="5"/>
    <x v="17"/>
    <x v="25"/>
    <x v="8"/>
    <x v="2"/>
    <n v="113"/>
  </r>
  <r>
    <x v="1"/>
    <x v="5"/>
    <x v="17"/>
    <x v="11"/>
    <x v="0"/>
    <x v="0"/>
    <n v="150.1"/>
  </r>
  <r>
    <x v="1"/>
    <x v="5"/>
    <x v="17"/>
    <x v="11"/>
    <x v="0"/>
    <x v="1"/>
    <n v="157.69999999999999"/>
  </r>
  <r>
    <x v="1"/>
    <x v="5"/>
    <x v="17"/>
    <x v="11"/>
    <x v="0"/>
    <x v="2"/>
    <n v="172.4"/>
  </r>
  <r>
    <x v="1"/>
    <x v="6"/>
    <x v="18"/>
    <x v="0"/>
    <x v="0"/>
    <x v="0"/>
    <n v="120.7"/>
  </r>
  <r>
    <x v="1"/>
    <x v="6"/>
    <x v="18"/>
    <x v="0"/>
    <x v="0"/>
    <x v="1"/>
    <n v="121.5"/>
  </r>
  <r>
    <x v="1"/>
    <x v="6"/>
    <x v="18"/>
    <x v="0"/>
    <x v="0"/>
    <x v="2"/>
    <n v="123.1"/>
  </r>
  <r>
    <x v="1"/>
    <x v="6"/>
    <x v="18"/>
    <x v="1"/>
    <x v="1"/>
    <x v="0"/>
    <n v="119.7"/>
  </r>
  <r>
    <x v="1"/>
    <x v="6"/>
    <x v="18"/>
    <x v="1"/>
    <x v="1"/>
    <x v="1"/>
    <n v="118.8"/>
  </r>
  <r>
    <x v="1"/>
    <x v="6"/>
    <x v="18"/>
    <x v="1"/>
    <x v="1"/>
    <x v="2"/>
    <n v="117.4"/>
  </r>
  <r>
    <x v="1"/>
    <x v="6"/>
    <x v="18"/>
    <x v="3"/>
    <x v="1"/>
    <x v="0"/>
    <n v="119.3"/>
  </r>
  <r>
    <x v="1"/>
    <x v="6"/>
    <x v="18"/>
    <x v="3"/>
    <x v="1"/>
    <x v="1"/>
    <n v="118.3"/>
  </r>
  <r>
    <x v="1"/>
    <x v="6"/>
    <x v="18"/>
    <x v="3"/>
    <x v="1"/>
    <x v="2"/>
    <n v="116.7"/>
  </r>
  <r>
    <x v="1"/>
    <x v="6"/>
    <x v="18"/>
    <x v="5"/>
    <x v="2"/>
    <x v="0"/>
    <n v="114.3"/>
  </r>
  <r>
    <x v="1"/>
    <x v="6"/>
    <x v="18"/>
    <x v="5"/>
    <x v="2"/>
    <x v="1"/>
    <n v="114.8"/>
  </r>
  <r>
    <x v="1"/>
    <x v="6"/>
    <x v="18"/>
    <x v="5"/>
    <x v="2"/>
    <x v="2"/>
    <n v="115.1"/>
  </r>
  <r>
    <x v="1"/>
    <x v="6"/>
    <x v="18"/>
    <x v="4"/>
    <x v="0"/>
    <x v="0"/>
    <n v="116.1"/>
  </r>
  <r>
    <x v="1"/>
    <x v="6"/>
    <x v="18"/>
    <x v="4"/>
    <x v="0"/>
    <x v="1"/>
    <n v="115.8"/>
  </r>
  <r>
    <x v="1"/>
    <x v="6"/>
    <x v="18"/>
    <x v="4"/>
    <x v="0"/>
    <x v="2"/>
    <n v="115.4"/>
  </r>
  <r>
    <x v="1"/>
    <x v="6"/>
    <x v="18"/>
    <x v="8"/>
    <x v="0"/>
    <x v="0"/>
    <n v="119.5"/>
  </r>
  <r>
    <x v="1"/>
    <x v="6"/>
    <x v="18"/>
    <x v="8"/>
    <x v="0"/>
    <x v="1"/>
    <n v="120.4"/>
  </r>
  <r>
    <x v="1"/>
    <x v="6"/>
    <x v="18"/>
    <x v="8"/>
    <x v="0"/>
    <x v="2"/>
    <n v="122"/>
  </r>
  <r>
    <x v="1"/>
    <x v="6"/>
    <x v="18"/>
    <x v="10"/>
    <x v="1"/>
    <x v="0"/>
    <n v="117.3"/>
  </r>
  <r>
    <x v="1"/>
    <x v="6"/>
    <x v="18"/>
    <x v="10"/>
    <x v="1"/>
    <x v="1"/>
    <n v="115.6"/>
  </r>
  <r>
    <x v="1"/>
    <x v="6"/>
    <x v="18"/>
    <x v="10"/>
    <x v="1"/>
    <x v="2"/>
    <n v="113.2"/>
  </r>
  <r>
    <x v="1"/>
    <x v="6"/>
    <x v="18"/>
    <x v="9"/>
    <x v="0"/>
    <x v="0"/>
    <n v="125.8"/>
  </r>
  <r>
    <x v="1"/>
    <x v="6"/>
    <x v="18"/>
    <x v="9"/>
    <x v="0"/>
    <x v="1"/>
    <n v="128.30000000000001"/>
  </r>
  <r>
    <x v="1"/>
    <x v="6"/>
    <x v="18"/>
    <x v="9"/>
    <x v="0"/>
    <x v="2"/>
    <n v="131.19999999999999"/>
  </r>
  <r>
    <x v="1"/>
    <x v="6"/>
    <x v="18"/>
    <x v="13"/>
    <x v="3"/>
    <x v="0"/>
    <n v="114.4"/>
  </r>
  <r>
    <x v="1"/>
    <x v="6"/>
    <x v="18"/>
    <x v="13"/>
    <x v="3"/>
    <x v="1"/>
    <n v="113.2"/>
  </r>
  <r>
    <x v="1"/>
    <x v="6"/>
    <x v="18"/>
    <x v="13"/>
    <x v="3"/>
    <x v="2"/>
    <n v="111.2"/>
  </r>
  <r>
    <x v="1"/>
    <x v="6"/>
    <x v="18"/>
    <x v="15"/>
    <x v="4"/>
    <x v="0"/>
    <n v="117"/>
  </r>
  <r>
    <x v="1"/>
    <x v="6"/>
    <x v="18"/>
    <x v="15"/>
    <x v="4"/>
    <x v="1"/>
    <n v="116.7"/>
  </r>
  <r>
    <x v="1"/>
    <x v="6"/>
    <x v="18"/>
    <x v="15"/>
    <x v="4"/>
    <x v="2"/>
    <n v="116.4"/>
  </r>
  <r>
    <x v="1"/>
    <x v="6"/>
    <x v="18"/>
    <x v="17"/>
    <x v="5"/>
    <x v="0"/>
    <n v="112.8"/>
  </r>
  <r>
    <x v="1"/>
    <x v="6"/>
    <x v="18"/>
    <x v="17"/>
    <x v="5"/>
    <x v="1"/>
    <n v="112.3"/>
  </r>
  <r>
    <x v="1"/>
    <x v="6"/>
    <x v="18"/>
    <x v="17"/>
    <x v="5"/>
    <x v="2"/>
    <n v="111.4"/>
  </r>
  <r>
    <x v="1"/>
    <x v="6"/>
    <x v="18"/>
    <x v="19"/>
    <x v="6"/>
    <x v="0"/>
    <n v="114.9"/>
  </r>
  <r>
    <x v="1"/>
    <x v="6"/>
    <x v="18"/>
    <x v="19"/>
    <x v="6"/>
    <x v="1"/>
    <n v="114.6"/>
  </r>
  <r>
    <x v="1"/>
    <x v="6"/>
    <x v="18"/>
    <x v="19"/>
    <x v="6"/>
    <x v="2"/>
    <n v="114.3"/>
  </r>
  <r>
    <x v="1"/>
    <x v="6"/>
    <x v="18"/>
    <x v="21"/>
    <x v="6"/>
    <x v="0"/>
    <n v="0"/>
  </r>
  <r>
    <x v="1"/>
    <x v="6"/>
    <x v="18"/>
    <x v="21"/>
    <x v="6"/>
    <x v="1"/>
    <n v="113.9"/>
  </r>
  <r>
    <x v="1"/>
    <x v="6"/>
    <x v="18"/>
    <x v="21"/>
    <x v="6"/>
    <x v="2"/>
    <n v="113.9"/>
  </r>
  <r>
    <x v="1"/>
    <x v="6"/>
    <x v="18"/>
    <x v="2"/>
    <x v="0"/>
    <x v="0"/>
    <n v="121.6"/>
  </r>
  <r>
    <x v="1"/>
    <x v="6"/>
    <x v="18"/>
    <x v="2"/>
    <x v="0"/>
    <x v="1"/>
    <n v="123.1"/>
  </r>
  <r>
    <x v="1"/>
    <x v="6"/>
    <x v="18"/>
    <x v="2"/>
    <x v="0"/>
    <x v="2"/>
    <n v="125.9"/>
  </r>
  <r>
    <x v="1"/>
    <x v="6"/>
    <x v="18"/>
    <x v="6"/>
    <x v="0"/>
    <x v="0"/>
    <n v="119.3"/>
  </r>
  <r>
    <x v="1"/>
    <x v="6"/>
    <x v="18"/>
    <x v="6"/>
    <x v="0"/>
    <x v="1"/>
    <n v="119.7"/>
  </r>
  <r>
    <x v="1"/>
    <x v="6"/>
    <x v="18"/>
    <x v="6"/>
    <x v="0"/>
    <x v="2"/>
    <n v="120.4"/>
  </r>
  <r>
    <x v="1"/>
    <x v="6"/>
    <x v="18"/>
    <x v="23"/>
    <x v="7"/>
    <x v="0"/>
    <n v="112.3"/>
  </r>
  <r>
    <x v="1"/>
    <x v="6"/>
    <x v="18"/>
    <x v="23"/>
    <x v="7"/>
    <x v="1"/>
    <n v="112.3"/>
  </r>
  <r>
    <x v="1"/>
    <x v="6"/>
    <x v="18"/>
    <x v="23"/>
    <x v="7"/>
    <x v="2"/>
    <n v="112.2"/>
  </r>
  <r>
    <x v="1"/>
    <x v="6"/>
    <x v="18"/>
    <x v="18"/>
    <x v="0"/>
    <x v="0"/>
    <n v="114.9"/>
  </r>
  <r>
    <x v="1"/>
    <x v="6"/>
    <x v="18"/>
    <x v="18"/>
    <x v="0"/>
    <x v="1"/>
    <n v="114.2"/>
  </r>
  <r>
    <x v="1"/>
    <x v="6"/>
    <x v="18"/>
    <x v="18"/>
    <x v="0"/>
    <x v="2"/>
    <n v="113.2"/>
  </r>
  <r>
    <x v="1"/>
    <x v="6"/>
    <x v="18"/>
    <x v="7"/>
    <x v="0"/>
    <x v="0"/>
    <n v="110.3"/>
  </r>
  <r>
    <x v="1"/>
    <x v="6"/>
    <x v="18"/>
    <x v="7"/>
    <x v="0"/>
    <x v="1"/>
    <n v="107.8"/>
  </r>
  <r>
    <x v="1"/>
    <x v="6"/>
    <x v="18"/>
    <x v="7"/>
    <x v="0"/>
    <x v="2"/>
    <n v="103.4"/>
  </r>
  <r>
    <x v="1"/>
    <x v="6"/>
    <x v="18"/>
    <x v="22"/>
    <x v="7"/>
    <x v="0"/>
    <n v="117.3"/>
  </r>
  <r>
    <x v="1"/>
    <x v="6"/>
    <x v="18"/>
    <x v="22"/>
    <x v="7"/>
    <x v="1"/>
    <n v="117.8"/>
  </r>
  <r>
    <x v="1"/>
    <x v="6"/>
    <x v="18"/>
    <x v="22"/>
    <x v="7"/>
    <x v="2"/>
    <n v="119"/>
  </r>
  <r>
    <x v="1"/>
    <x v="6"/>
    <x v="18"/>
    <x v="24"/>
    <x v="7"/>
    <x v="0"/>
    <n v="108"/>
  </r>
  <r>
    <x v="1"/>
    <x v="6"/>
    <x v="18"/>
    <x v="24"/>
    <x v="7"/>
    <x v="1"/>
    <n v="108.3"/>
  </r>
  <r>
    <x v="1"/>
    <x v="6"/>
    <x v="18"/>
    <x v="24"/>
    <x v="7"/>
    <x v="2"/>
    <n v="108.7"/>
  </r>
  <r>
    <x v="1"/>
    <x v="6"/>
    <x v="18"/>
    <x v="20"/>
    <x v="0"/>
    <x v="0"/>
    <n v="120.1"/>
  </r>
  <r>
    <x v="1"/>
    <x v="6"/>
    <x v="18"/>
    <x v="20"/>
    <x v="0"/>
    <x v="1"/>
    <n v="121.2"/>
  </r>
  <r>
    <x v="1"/>
    <x v="6"/>
    <x v="18"/>
    <x v="20"/>
    <x v="0"/>
    <x v="2"/>
    <n v="122.4"/>
  </r>
  <r>
    <x v="1"/>
    <x v="6"/>
    <x v="18"/>
    <x v="12"/>
    <x v="0"/>
    <x v="0"/>
    <n v="112.2"/>
  </r>
  <r>
    <x v="1"/>
    <x v="6"/>
    <x v="18"/>
    <x v="12"/>
    <x v="0"/>
    <x v="1"/>
    <n v="112.4"/>
  </r>
  <r>
    <x v="1"/>
    <x v="6"/>
    <x v="18"/>
    <x v="12"/>
    <x v="0"/>
    <x v="2"/>
    <n v="112.8"/>
  </r>
  <r>
    <x v="1"/>
    <x v="6"/>
    <x v="18"/>
    <x v="26"/>
    <x v="9"/>
    <x v="0"/>
    <n v="111.4"/>
  </r>
  <r>
    <x v="1"/>
    <x v="6"/>
    <x v="18"/>
    <x v="26"/>
    <x v="9"/>
    <x v="1"/>
    <n v="111.6"/>
  </r>
  <r>
    <x v="1"/>
    <x v="6"/>
    <x v="18"/>
    <x v="26"/>
    <x v="9"/>
    <x v="2"/>
    <n v="111.8"/>
  </r>
  <r>
    <x v="1"/>
    <x v="6"/>
    <x v="18"/>
    <x v="16"/>
    <x v="0"/>
    <x v="0"/>
    <n v="112.3"/>
  </r>
  <r>
    <x v="1"/>
    <x v="6"/>
    <x v="18"/>
    <x v="16"/>
    <x v="0"/>
    <x v="1"/>
    <n v="114.3"/>
  </r>
  <r>
    <x v="1"/>
    <x v="6"/>
    <x v="18"/>
    <x v="16"/>
    <x v="0"/>
    <x v="2"/>
    <n v="118.3"/>
  </r>
  <r>
    <x v="1"/>
    <x v="6"/>
    <x v="18"/>
    <x v="14"/>
    <x v="0"/>
    <x v="0"/>
    <n v="103.6"/>
  </r>
  <r>
    <x v="1"/>
    <x v="6"/>
    <x v="18"/>
    <x v="14"/>
    <x v="0"/>
    <x v="1"/>
    <n v="102.9"/>
  </r>
  <r>
    <x v="1"/>
    <x v="6"/>
    <x v="18"/>
    <x v="14"/>
    <x v="0"/>
    <x v="2"/>
    <n v="101.4"/>
  </r>
  <r>
    <x v="1"/>
    <x v="6"/>
    <x v="18"/>
    <x v="25"/>
    <x v="8"/>
    <x v="0"/>
    <n v="112.2"/>
  </r>
  <r>
    <x v="1"/>
    <x v="6"/>
    <x v="18"/>
    <x v="25"/>
    <x v="8"/>
    <x v="1"/>
    <n v="111.8"/>
  </r>
  <r>
    <x v="1"/>
    <x v="6"/>
    <x v="18"/>
    <x v="25"/>
    <x v="8"/>
    <x v="2"/>
    <n v="111.5"/>
  </r>
  <r>
    <x v="1"/>
    <x v="6"/>
    <x v="18"/>
    <x v="11"/>
    <x v="0"/>
    <x v="0"/>
    <n v="129.30000000000001"/>
  </r>
  <r>
    <x v="1"/>
    <x v="6"/>
    <x v="18"/>
    <x v="11"/>
    <x v="0"/>
    <x v="1"/>
    <n v="132.1"/>
  </r>
  <r>
    <x v="1"/>
    <x v="6"/>
    <x v="18"/>
    <x v="11"/>
    <x v="0"/>
    <x v="2"/>
    <n v="137.5"/>
  </r>
  <r>
    <x v="1"/>
    <x v="7"/>
    <x v="19"/>
    <x v="0"/>
    <x v="0"/>
    <x v="0"/>
    <n v="120.1"/>
  </r>
  <r>
    <x v="1"/>
    <x v="7"/>
    <x v="19"/>
    <x v="0"/>
    <x v="0"/>
    <x v="1"/>
    <n v="120.7"/>
  </r>
  <r>
    <x v="1"/>
    <x v="7"/>
    <x v="19"/>
    <x v="0"/>
    <x v="0"/>
    <x v="2"/>
    <n v="122.1"/>
  </r>
  <r>
    <x v="1"/>
    <x v="7"/>
    <x v="19"/>
    <x v="1"/>
    <x v="1"/>
    <x v="0"/>
    <n v="117.5"/>
  </r>
  <r>
    <x v="1"/>
    <x v="7"/>
    <x v="19"/>
    <x v="1"/>
    <x v="1"/>
    <x v="1"/>
    <n v="116.8"/>
  </r>
  <r>
    <x v="1"/>
    <x v="7"/>
    <x v="19"/>
    <x v="1"/>
    <x v="1"/>
    <x v="2"/>
    <n v="115.8"/>
  </r>
  <r>
    <x v="1"/>
    <x v="7"/>
    <x v="19"/>
    <x v="3"/>
    <x v="1"/>
    <x v="0"/>
    <n v="117.2"/>
  </r>
  <r>
    <x v="1"/>
    <x v="7"/>
    <x v="19"/>
    <x v="3"/>
    <x v="1"/>
    <x v="1"/>
    <n v="116.4"/>
  </r>
  <r>
    <x v="1"/>
    <x v="7"/>
    <x v="19"/>
    <x v="3"/>
    <x v="1"/>
    <x v="2"/>
    <n v="115.2"/>
  </r>
  <r>
    <x v="1"/>
    <x v="7"/>
    <x v="19"/>
    <x v="5"/>
    <x v="2"/>
    <x v="0"/>
    <n v="112.4"/>
  </r>
  <r>
    <x v="1"/>
    <x v="7"/>
    <x v="19"/>
    <x v="5"/>
    <x v="2"/>
    <x v="1"/>
    <n v="112"/>
  </r>
  <r>
    <x v="1"/>
    <x v="7"/>
    <x v="19"/>
    <x v="5"/>
    <x v="2"/>
    <x v="2"/>
    <n v="111.8"/>
  </r>
  <r>
    <x v="1"/>
    <x v="7"/>
    <x v="19"/>
    <x v="4"/>
    <x v="0"/>
    <x v="0"/>
    <n v="120.7"/>
  </r>
  <r>
    <x v="1"/>
    <x v="7"/>
    <x v="19"/>
    <x v="4"/>
    <x v="0"/>
    <x v="1"/>
    <n v="121"/>
  </r>
  <r>
    <x v="1"/>
    <x v="7"/>
    <x v="19"/>
    <x v="4"/>
    <x v="0"/>
    <x v="2"/>
    <n v="121.5"/>
  </r>
  <r>
    <x v="1"/>
    <x v="7"/>
    <x v="19"/>
    <x v="8"/>
    <x v="0"/>
    <x v="0"/>
    <n v="116.2"/>
  </r>
  <r>
    <x v="1"/>
    <x v="7"/>
    <x v="19"/>
    <x v="8"/>
    <x v="0"/>
    <x v="1"/>
    <n v="116.1"/>
  </r>
  <r>
    <x v="1"/>
    <x v="7"/>
    <x v="19"/>
    <x v="8"/>
    <x v="0"/>
    <x v="2"/>
    <n v="116"/>
  </r>
  <r>
    <x v="1"/>
    <x v="7"/>
    <x v="19"/>
    <x v="10"/>
    <x v="1"/>
    <x v="0"/>
    <n v="114.9"/>
  </r>
  <r>
    <x v="1"/>
    <x v="7"/>
    <x v="19"/>
    <x v="10"/>
    <x v="1"/>
    <x v="1"/>
    <n v="113.7"/>
  </r>
  <r>
    <x v="1"/>
    <x v="7"/>
    <x v="19"/>
    <x v="10"/>
    <x v="1"/>
    <x v="2"/>
    <n v="112.1"/>
  </r>
  <r>
    <x v="1"/>
    <x v="7"/>
    <x v="19"/>
    <x v="9"/>
    <x v="0"/>
    <x v="0"/>
    <n v="119.6"/>
  </r>
  <r>
    <x v="1"/>
    <x v="7"/>
    <x v="19"/>
    <x v="9"/>
    <x v="0"/>
    <x v="1"/>
    <n v="118.7"/>
  </r>
  <r>
    <x v="1"/>
    <x v="7"/>
    <x v="19"/>
    <x v="9"/>
    <x v="0"/>
    <x v="2"/>
    <n v="117.7"/>
  </r>
  <r>
    <x v="1"/>
    <x v="7"/>
    <x v="19"/>
    <x v="13"/>
    <x v="3"/>
    <x v="0"/>
    <n v="113.4"/>
  </r>
  <r>
    <x v="1"/>
    <x v="7"/>
    <x v="19"/>
    <x v="13"/>
    <x v="3"/>
    <x v="1"/>
    <n v="112.5"/>
  </r>
  <r>
    <x v="1"/>
    <x v="7"/>
    <x v="19"/>
    <x v="13"/>
    <x v="3"/>
    <x v="2"/>
    <n v="110.9"/>
  </r>
  <r>
    <x v="1"/>
    <x v="7"/>
    <x v="19"/>
    <x v="15"/>
    <x v="4"/>
    <x v="0"/>
    <n v="114.6"/>
  </r>
  <r>
    <x v="1"/>
    <x v="7"/>
    <x v="19"/>
    <x v="15"/>
    <x v="4"/>
    <x v="1"/>
    <n v="114.2"/>
  </r>
  <r>
    <x v="1"/>
    <x v="7"/>
    <x v="19"/>
    <x v="15"/>
    <x v="4"/>
    <x v="2"/>
    <n v="113.7"/>
  </r>
  <r>
    <x v="1"/>
    <x v="7"/>
    <x v="19"/>
    <x v="17"/>
    <x v="5"/>
    <x v="0"/>
    <n v="111.4"/>
  </r>
  <r>
    <x v="1"/>
    <x v="7"/>
    <x v="19"/>
    <x v="17"/>
    <x v="5"/>
    <x v="1"/>
    <n v="111.2"/>
  </r>
  <r>
    <x v="1"/>
    <x v="7"/>
    <x v="19"/>
    <x v="17"/>
    <x v="5"/>
    <x v="2"/>
    <n v="110.8"/>
  </r>
  <r>
    <x v="1"/>
    <x v="7"/>
    <x v="19"/>
    <x v="19"/>
    <x v="6"/>
    <x v="0"/>
    <n v="113.4"/>
  </r>
  <r>
    <x v="1"/>
    <x v="7"/>
    <x v="19"/>
    <x v="19"/>
    <x v="6"/>
    <x v="1"/>
    <n v="113.2"/>
  </r>
  <r>
    <x v="1"/>
    <x v="7"/>
    <x v="19"/>
    <x v="19"/>
    <x v="6"/>
    <x v="2"/>
    <n v="113"/>
  </r>
  <r>
    <x v="1"/>
    <x v="7"/>
    <x v="19"/>
    <x v="21"/>
    <x v="6"/>
    <x v="0"/>
    <n v="0"/>
  </r>
  <r>
    <x v="1"/>
    <x v="7"/>
    <x v="19"/>
    <x v="21"/>
    <x v="6"/>
    <x v="1"/>
    <n v="113.2"/>
  </r>
  <r>
    <x v="1"/>
    <x v="7"/>
    <x v="19"/>
    <x v="21"/>
    <x v="6"/>
    <x v="2"/>
    <n v="113.2"/>
  </r>
  <r>
    <x v="1"/>
    <x v="7"/>
    <x v="19"/>
    <x v="2"/>
    <x v="0"/>
    <x v="0"/>
    <n v="118.1"/>
  </r>
  <r>
    <x v="1"/>
    <x v="7"/>
    <x v="19"/>
    <x v="2"/>
    <x v="0"/>
    <x v="1"/>
    <n v="119.3"/>
  </r>
  <r>
    <x v="1"/>
    <x v="7"/>
    <x v="19"/>
    <x v="2"/>
    <x v="0"/>
    <x v="2"/>
    <n v="121.4"/>
  </r>
  <r>
    <x v="1"/>
    <x v="7"/>
    <x v="19"/>
    <x v="6"/>
    <x v="0"/>
    <x v="0"/>
    <n v="116.1"/>
  </r>
  <r>
    <x v="1"/>
    <x v="7"/>
    <x v="19"/>
    <x v="6"/>
    <x v="0"/>
    <x v="1"/>
    <n v="116.1"/>
  </r>
  <r>
    <x v="1"/>
    <x v="7"/>
    <x v="19"/>
    <x v="6"/>
    <x v="0"/>
    <x v="2"/>
    <n v="116.2"/>
  </r>
  <r>
    <x v="1"/>
    <x v="7"/>
    <x v="19"/>
    <x v="23"/>
    <x v="7"/>
    <x v="0"/>
    <n v="111.3"/>
  </r>
  <r>
    <x v="1"/>
    <x v="7"/>
    <x v="19"/>
    <x v="23"/>
    <x v="7"/>
    <x v="1"/>
    <n v="111.3"/>
  </r>
  <r>
    <x v="1"/>
    <x v="7"/>
    <x v="19"/>
    <x v="23"/>
    <x v="7"/>
    <x v="2"/>
    <n v="111.4"/>
  </r>
  <r>
    <x v="1"/>
    <x v="7"/>
    <x v="19"/>
    <x v="18"/>
    <x v="0"/>
    <x v="0"/>
    <n v="113"/>
  </r>
  <r>
    <x v="1"/>
    <x v="7"/>
    <x v="19"/>
    <x v="18"/>
    <x v="0"/>
    <x v="1"/>
    <n v="112.7"/>
  </r>
  <r>
    <x v="1"/>
    <x v="7"/>
    <x v="19"/>
    <x v="18"/>
    <x v="0"/>
    <x v="2"/>
    <n v="112.2"/>
  </r>
  <r>
    <x v="1"/>
    <x v="7"/>
    <x v="19"/>
    <x v="7"/>
    <x v="0"/>
    <x v="0"/>
    <n v="109.3"/>
  </r>
  <r>
    <x v="1"/>
    <x v="7"/>
    <x v="19"/>
    <x v="7"/>
    <x v="0"/>
    <x v="1"/>
    <n v="106.9"/>
  </r>
  <r>
    <x v="1"/>
    <x v="7"/>
    <x v="19"/>
    <x v="7"/>
    <x v="0"/>
    <x v="2"/>
    <n v="102.8"/>
  </r>
  <r>
    <x v="1"/>
    <x v="7"/>
    <x v="19"/>
    <x v="22"/>
    <x v="7"/>
    <x v="0"/>
    <n v="114.6"/>
  </r>
  <r>
    <x v="1"/>
    <x v="7"/>
    <x v="19"/>
    <x v="22"/>
    <x v="7"/>
    <x v="1"/>
    <n v="115.2"/>
  </r>
  <r>
    <x v="1"/>
    <x v="7"/>
    <x v="19"/>
    <x v="22"/>
    <x v="7"/>
    <x v="2"/>
    <n v="116.7"/>
  </r>
  <r>
    <x v="1"/>
    <x v="7"/>
    <x v="19"/>
    <x v="24"/>
    <x v="7"/>
    <x v="0"/>
    <n v="108.9"/>
  </r>
  <r>
    <x v="1"/>
    <x v="7"/>
    <x v="19"/>
    <x v="24"/>
    <x v="7"/>
    <x v="1"/>
    <n v="109"/>
  </r>
  <r>
    <x v="1"/>
    <x v="7"/>
    <x v="19"/>
    <x v="24"/>
    <x v="7"/>
    <x v="2"/>
    <n v="109.2"/>
  </r>
  <r>
    <x v="1"/>
    <x v="7"/>
    <x v="19"/>
    <x v="20"/>
    <x v="0"/>
    <x v="0"/>
    <n v="118.3"/>
  </r>
  <r>
    <x v="1"/>
    <x v="7"/>
    <x v="19"/>
    <x v="20"/>
    <x v="0"/>
    <x v="1"/>
    <n v="119.3"/>
  </r>
  <r>
    <x v="1"/>
    <x v="7"/>
    <x v="19"/>
    <x v="20"/>
    <x v="0"/>
    <x v="2"/>
    <n v="120.5"/>
  </r>
  <r>
    <x v="1"/>
    <x v="7"/>
    <x v="19"/>
    <x v="12"/>
    <x v="0"/>
    <x v="0"/>
    <n v="110.2"/>
  </r>
  <r>
    <x v="1"/>
    <x v="7"/>
    <x v="19"/>
    <x v="12"/>
    <x v="0"/>
    <x v="1"/>
    <n v="109.8"/>
  </r>
  <r>
    <x v="1"/>
    <x v="7"/>
    <x v="19"/>
    <x v="12"/>
    <x v="0"/>
    <x v="2"/>
    <n v="108.9"/>
  </r>
  <r>
    <x v="1"/>
    <x v="7"/>
    <x v="19"/>
    <x v="26"/>
    <x v="9"/>
    <x v="0"/>
    <n v="110.2"/>
  </r>
  <r>
    <x v="1"/>
    <x v="7"/>
    <x v="19"/>
    <x v="26"/>
    <x v="9"/>
    <x v="1"/>
    <n v="110.6"/>
  </r>
  <r>
    <x v="1"/>
    <x v="7"/>
    <x v="19"/>
    <x v="26"/>
    <x v="9"/>
    <x v="2"/>
    <n v="110.9"/>
  </r>
  <r>
    <x v="1"/>
    <x v="7"/>
    <x v="19"/>
    <x v="16"/>
    <x v="0"/>
    <x v="0"/>
    <n v="110.7"/>
  </r>
  <r>
    <x v="1"/>
    <x v="7"/>
    <x v="19"/>
    <x v="16"/>
    <x v="0"/>
    <x v="1"/>
    <n v="111.8"/>
  </r>
  <r>
    <x v="1"/>
    <x v="7"/>
    <x v="19"/>
    <x v="16"/>
    <x v="0"/>
    <x v="2"/>
    <n v="114.1"/>
  </r>
  <r>
    <x v="1"/>
    <x v="7"/>
    <x v="19"/>
    <x v="14"/>
    <x v="0"/>
    <x v="0"/>
    <n v="101.2"/>
  </r>
  <r>
    <x v="1"/>
    <x v="7"/>
    <x v="19"/>
    <x v="14"/>
    <x v="0"/>
    <x v="1"/>
    <n v="99.6"/>
  </r>
  <r>
    <x v="1"/>
    <x v="7"/>
    <x v="19"/>
    <x v="14"/>
    <x v="0"/>
    <x v="2"/>
    <n v="96.3"/>
  </r>
  <r>
    <x v="1"/>
    <x v="7"/>
    <x v="19"/>
    <x v="25"/>
    <x v="8"/>
    <x v="0"/>
    <n v="111.2"/>
  </r>
  <r>
    <x v="1"/>
    <x v="7"/>
    <x v="19"/>
    <x v="25"/>
    <x v="8"/>
    <x v="1"/>
    <n v="111.4"/>
  </r>
  <r>
    <x v="1"/>
    <x v="7"/>
    <x v="19"/>
    <x v="25"/>
    <x v="8"/>
    <x v="2"/>
    <n v="111.6"/>
  </r>
  <r>
    <x v="1"/>
    <x v="7"/>
    <x v="19"/>
    <x v="11"/>
    <x v="0"/>
    <x v="0"/>
    <n v="117.9"/>
  </r>
  <r>
    <x v="1"/>
    <x v="7"/>
    <x v="19"/>
    <x v="11"/>
    <x v="0"/>
    <x v="1"/>
    <n v="116.3"/>
  </r>
  <r>
    <x v="1"/>
    <x v="7"/>
    <x v="19"/>
    <x v="11"/>
    <x v="0"/>
    <x v="2"/>
    <n v="113.3"/>
  </r>
  <r>
    <x v="1"/>
    <x v="8"/>
    <x v="20"/>
    <x v="0"/>
    <x v="0"/>
    <x v="0"/>
    <n v="120.3"/>
  </r>
  <r>
    <x v="1"/>
    <x v="8"/>
    <x v="20"/>
    <x v="0"/>
    <x v="0"/>
    <x v="1"/>
    <n v="121.1"/>
  </r>
  <r>
    <x v="1"/>
    <x v="8"/>
    <x v="20"/>
    <x v="0"/>
    <x v="0"/>
    <x v="2"/>
    <n v="122.7"/>
  </r>
  <r>
    <x v="1"/>
    <x v="8"/>
    <x v="20"/>
    <x v="1"/>
    <x v="1"/>
    <x v="0"/>
    <n v="118.7"/>
  </r>
  <r>
    <x v="1"/>
    <x v="8"/>
    <x v="20"/>
    <x v="1"/>
    <x v="1"/>
    <x v="1"/>
    <n v="118"/>
  </r>
  <r>
    <x v="1"/>
    <x v="8"/>
    <x v="20"/>
    <x v="1"/>
    <x v="1"/>
    <x v="2"/>
    <n v="116.8"/>
  </r>
  <r>
    <x v="1"/>
    <x v="8"/>
    <x v="20"/>
    <x v="3"/>
    <x v="1"/>
    <x v="0"/>
    <n v="118.5"/>
  </r>
  <r>
    <x v="1"/>
    <x v="8"/>
    <x v="20"/>
    <x v="3"/>
    <x v="1"/>
    <x v="1"/>
    <n v="117.6"/>
  </r>
  <r>
    <x v="1"/>
    <x v="8"/>
    <x v="20"/>
    <x v="3"/>
    <x v="1"/>
    <x v="2"/>
    <n v="116.2"/>
  </r>
  <r>
    <x v="1"/>
    <x v="8"/>
    <x v="20"/>
    <x v="5"/>
    <x v="2"/>
    <x v="0"/>
    <n v="113.1"/>
  </r>
  <r>
    <x v="1"/>
    <x v="8"/>
    <x v="20"/>
    <x v="5"/>
    <x v="2"/>
    <x v="1"/>
    <n v="113"/>
  </r>
  <r>
    <x v="1"/>
    <x v="8"/>
    <x v="20"/>
    <x v="5"/>
    <x v="2"/>
    <x v="2"/>
    <n v="112.9"/>
  </r>
  <r>
    <x v="1"/>
    <x v="8"/>
    <x v="20"/>
    <x v="4"/>
    <x v="0"/>
    <x v="0"/>
    <n v="116.9"/>
  </r>
  <r>
    <x v="1"/>
    <x v="8"/>
    <x v="20"/>
    <x v="4"/>
    <x v="0"/>
    <x v="1"/>
    <n v="115.9"/>
  </r>
  <r>
    <x v="1"/>
    <x v="8"/>
    <x v="20"/>
    <x v="4"/>
    <x v="0"/>
    <x v="2"/>
    <n v="114.2"/>
  </r>
  <r>
    <x v="1"/>
    <x v="8"/>
    <x v="20"/>
    <x v="8"/>
    <x v="0"/>
    <x v="0"/>
    <n v="118.2"/>
  </r>
  <r>
    <x v="1"/>
    <x v="8"/>
    <x v="20"/>
    <x v="8"/>
    <x v="0"/>
    <x v="1"/>
    <n v="118.9"/>
  </r>
  <r>
    <x v="1"/>
    <x v="8"/>
    <x v="20"/>
    <x v="8"/>
    <x v="0"/>
    <x v="2"/>
    <n v="120"/>
  </r>
  <r>
    <x v="1"/>
    <x v="8"/>
    <x v="20"/>
    <x v="10"/>
    <x v="1"/>
    <x v="0"/>
    <n v="116.8"/>
  </r>
  <r>
    <x v="1"/>
    <x v="8"/>
    <x v="20"/>
    <x v="10"/>
    <x v="1"/>
    <x v="1"/>
    <n v="115.2"/>
  </r>
  <r>
    <x v="1"/>
    <x v="8"/>
    <x v="20"/>
    <x v="10"/>
    <x v="1"/>
    <x v="2"/>
    <n v="112.9"/>
  </r>
  <r>
    <x v="1"/>
    <x v="8"/>
    <x v="20"/>
    <x v="9"/>
    <x v="0"/>
    <x v="0"/>
    <n v="126.3"/>
  </r>
  <r>
    <x v="1"/>
    <x v="8"/>
    <x v="20"/>
    <x v="9"/>
    <x v="0"/>
    <x v="1"/>
    <n v="127.7"/>
  </r>
  <r>
    <x v="1"/>
    <x v="8"/>
    <x v="20"/>
    <x v="9"/>
    <x v="0"/>
    <x v="2"/>
    <n v="129.19999999999999"/>
  </r>
  <r>
    <x v="1"/>
    <x v="8"/>
    <x v="20"/>
    <x v="13"/>
    <x v="3"/>
    <x v="0"/>
    <n v="113.4"/>
  </r>
  <r>
    <x v="1"/>
    <x v="8"/>
    <x v="20"/>
    <x v="13"/>
    <x v="3"/>
    <x v="1"/>
    <n v="112.5"/>
  </r>
  <r>
    <x v="1"/>
    <x v="8"/>
    <x v="20"/>
    <x v="13"/>
    <x v="3"/>
    <x v="2"/>
    <n v="111.1"/>
  </r>
  <r>
    <x v="1"/>
    <x v="8"/>
    <x v="20"/>
    <x v="15"/>
    <x v="4"/>
    <x v="0"/>
    <n v="116"/>
  </r>
  <r>
    <x v="1"/>
    <x v="8"/>
    <x v="20"/>
    <x v="15"/>
    <x v="4"/>
    <x v="1"/>
    <n v="115.8"/>
  </r>
  <r>
    <x v="1"/>
    <x v="8"/>
    <x v="20"/>
    <x v="15"/>
    <x v="4"/>
    <x v="2"/>
    <n v="115.6"/>
  </r>
  <r>
    <x v="1"/>
    <x v="8"/>
    <x v="20"/>
    <x v="17"/>
    <x v="5"/>
    <x v="0"/>
    <n v="112.1"/>
  </r>
  <r>
    <x v="1"/>
    <x v="8"/>
    <x v="20"/>
    <x v="17"/>
    <x v="5"/>
    <x v="1"/>
    <n v="111.8"/>
  </r>
  <r>
    <x v="1"/>
    <x v="8"/>
    <x v="20"/>
    <x v="17"/>
    <x v="5"/>
    <x v="2"/>
    <n v="111.2"/>
  </r>
  <r>
    <x v="1"/>
    <x v="8"/>
    <x v="20"/>
    <x v="19"/>
    <x v="6"/>
    <x v="0"/>
    <n v="114.1"/>
  </r>
  <r>
    <x v="1"/>
    <x v="8"/>
    <x v="20"/>
    <x v="19"/>
    <x v="6"/>
    <x v="1"/>
    <n v="114.1"/>
  </r>
  <r>
    <x v="1"/>
    <x v="8"/>
    <x v="20"/>
    <x v="19"/>
    <x v="6"/>
    <x v="2"/>
    <n v="114.1"/>
  </r>
  <r>
    <x v="1"/>
    <x v="8"/>
    <x v="20"/>
    <x v="21"/>
    <x v="6"/>
    <x v="0"/>
    <n v="0"/>
  </r>
  <r>
    <x v="1"/>
    <x v="8"/>
    <x v="20"/>
    <x v="21"/>
    <x v="6"/>
    <x v="1"/>
    <n v="114.3"/>
  </r>
  <r>
    <x v="1"/>
    <x v="8"/>
    <x v="20"/>
    <x v="21"/>
    <x v="6"/>
    <x v="2"/>
    <n v="114.3"/>
  </r>
  <r>
    <x v="1"/>
    <x v="8"/>
    <x v="20"/>
    <x v="2"/>
    <x v="0"/>
    <x v="0"/>
    <n v="120.2"/>
  </r>
  <r>
    <x v="1"/>
    <x v="8"/>
    <x v="20"/>
    <x v="2"/>
    <x v="0"/>
    <x v="1"/>
    <n v="121.6"/>
  </r>
  <r>
    <x v="1"/>
    <x v="8"/>
    <x v="20"/>
    <x v="2"/>
    <x v="0"/>
    <x v="2"/>
    <n v="124.1"/>
  </r>
  <r>
    <x v="1"/>
    <x v="8"/>
    <x v="20"/>
    <x v="6"/>
    <x v="0"/>
    <x v="0"/>
    <n v="118"/>
  </r>
  <r>
    <x v="1"/>
    <x v="8"/>
    <x v="20"/>
    <x v="6"/>
    <x v="0"/>
    <x v="1"/>
    <n v="118.4"/>
  </r>
  <r>
    <x v="1"/>
    <x v="8"/>
    <x v="20"/>
    <x v="6"/>
    <x v="0"/>
    <x v="2"/>
    <n v="119.1"/>
  </r>
  <r>
    <x v="1"/>
    <x v="8"/>
    <x v="20"/>
    <x v="23"/>
    <x v="7"/>
    <x v="0"/>
    <n v="111.8"/>
  </r>
  <r>
    <x v="1"/>
    <x v="8"/>
    <x v="20"/>
    <x v="23"/>
    <x v="7"/>
    <x v="1"/>
    <n v="111.8"/>
  </r>
  <r>
    <x v="1"/>
    <x v="8"/>
    <x v="20"/>
    <x v="23"/>
    <x v="7"/>
    <x v="2"/>
    <n v="111.7"/>
  </r>
  <r>
    <x v="1"/>
    <x v="8"/>
    <x v="20"/>
    <x v="18"/>
    <x v="0"/>
    <x v="0"/>
    <n v="114.2"/>
  </r>
  <r>
    <x v="1"/>
    <x v="8"/>
    <x v="20"/>
    <x v="18"/>
    <x v="0"/>
    <x v="1"/>
    <n v="113.7"/>
  </r>
  <r>
    <x v="1"/>
    <x v="8"/>
    <x v="20"/>
    <x v="18"/>
    <x v="0"/>
    <x v="2"/>
    <n v="112.9"/>
  </r>
  <r>
    <x v="1"/>
    <x v="8"/>
    <x v="20"/>
    <x v="7"/>
    <x v="0"/>
    <x v="0"/>
    <n v="110.1"/>
  </r>
  <r>
    <x v="1"/>
    <x v="8"/>
    <x v="20"/>
    <x v="7"/>
    <x v="0"/>
    <x v="1"/>
    <n v="107.7"/>
  </r>
  <r>
    <x v="1"/>
    <x v="8"/>
    <x v="20"/>
    <x v="7"/>
    <x v="0"/>
    <x v="2"/>
    <n v="103.5"/>
  </r>
  <r>
    <x v="1"/>
    <x v="8"/>
    <x v="20"/>
    <x v="22"/>
    <x v="7"/>
    <x v="0"/>
    <n v="116.3"/>
  </r>
  <r>
    <x v="1"/>
    <x v="8"/>
    <x v="20"/>
    <x v="22"/>
    <x v="7"/>
    <x v="1"/>
    <n v="116.8"/>
  </r>
  <r>
    <x v="1"/>
    <x v="8"/>
    <x v="20"/>
    <x v="22"/>
    <x v="7"/>
    <x v="2"/>
    <n v="118.3"/>
  </r>
  <r>
    <x v="1"/>
    <x v="8"/>
    <x v="20"/>
    <x v="24"/>
    <x v="7"/>
    <x v="0"/>
    <n v="108.9"/>
  </r>
  <r>
    <x v="1"/>
    <x v="8"/>
    <x v="20"/>
    <x v="24"/>
    <x v="7"/>
    <x v="1"/>
    <n v="109.1"/>
  </r>
  <r>
    <x v="1"/>
    <x v="8"/>
    <x v="20"/>
    <x v="24"/>
    <x v="7"/>
    <x v="2"/>
    <n v="109.3"/>
  </r>
  <r>
    <x v="1"/>
    <x v="8"/>
    <x v="20"/>
    <x v="20"/>
    <x v="0"/>
    <x v="0"/>
    <n v="119.2"/>
  </r>
  <r>
    <x v="1"/>
    <x v="8"/>
    <x v="20"/>
    <x v="20"/>
    <x v="0"/>
    <x v="1"/>
    <n v="120.4"/>
  </r>
  <r>
    <x v="1"/>
    <x v="8"/>
    <x v="20"/>
    <x v="20"/>
    <x v="0"/>
    <x v="2"/>
    <n v="121.7"/>
  </r>
  <r>
    <x v="1"/>
    <x v="8"/>
    <x v="20"/>
    <x v="12"/>
    <x v="0"/>
    <x v="0"/>
    <n v="111.5"/>
  </r>
  <r>
    <x v="1"/>
    <x v="8"/>
    <x v="20"/>
    <x v="12"/>
    <x v="0"/>
    <x v="1"/>
    <n v="111.9"/>
  </r>
  <r>
    <x v="1"/>
    <x v="8"/>
    <x v="20"/>
    <x v="12"/>
    <x v="0"/>
    <x v="2"/>
    <n v="112.6"/>
  </r>
  <r>
    <x v="1"/>
    <x v="8"/>
    <x v="20"/>
    <x v="26"/>
    <x v="9"/>
    <x v="0"/>
    <n v="110.9"/>
  </r>
  <r>
    <x v="1"/>
    <x v="8"/>
    <x v="20"/>
    <x v="26"/>
    <x v="9"/>
    <x v="1"/>
    <n v="111.2"/>
  </r>
  <r>
    <x v="1"/>
    <x v="8"/>
    <x v="20"/>
    <x v="26"/>
    <x v="9"/>
    <x v="2"/>
    <n v="111.5"/>
  </r>
  <r>
    <x v="1"/>
    <x v="8"/>
    <x v="20"/>
    <x v="16"/>
    <x v="0"/>
    <x v="0"/>
    <n v="111.6"/>
  </r>
  <r>
    <x v="1"/>
    <x v="8"/>
    <x v="20"/>
    <x v="16"/>
    <x v="0"/>
    <x v="1"/>
    <n v="113.4"/>
  </r>
  <r>
    <x v="1"/>
    <x v="8"/>
    <x v="20"/>
    <x v="16"/>
    <x v="0"/>
    <x v="2"/>
    <n v="117"/>
  </r>
  <r>
    <x v="1"/>
    <x v="8"/>
    <x v="20"/>
    <x v="14"/>
    <x v="0"/>
    <x v="0"/>
    <n v="103.5"/>
  </r>
  <r>
    <x v="1"/>
    <x v="8"/>
    <x v="20"/>
    <x v="14"/>
    <x v="0"/>
    <x v="1"/>
    <n v="102.8"/>
  </r>
  <r>
    <x v="1"/>
    <x v="8"/>
    <x v="20"/>
    <x v="14"/>
    <x v="0"/>
    <x v="2"/>
    <n v="101.3"/>
  </r>
  <r>
    <x v="1"/>
    <x v="8"/>
    <x v="20"/>
    <x v="25"/>
    <x v="8"/>
    <x v="0"/>
    <n v="111.4"/>
  </r>
  <r>
    <x v="1"/>
    <x v="8"/>
    <x v="20"/>
    <x v="25"/>
    <x v="8"/>
    <x v="1"/>
    <n v="111.3"/>
  </r>
  <r>
    <x v="1"/>
    <x v="8"/>
    <x v="20"/>
    <x v="25"/>
    <x v="8"/>
    <x v="2"/>
    <n v="111.3"/>
  </r>
  <r>
    <x v="1"/>
    <x v="8"/>
    <x v="20"/>
    <x v="11"/>
    <x v="0"/>
    <x v="0"/>
    <n v="123.9"/>
  </r>
  <r>
    <x v="1"/>
    <x v="8"/>
    <x v="20"/>
    <x v="11"/>
    <x v="0"/>
    <x v="1"/>
    <n v="125"/>
  </r>
  <r>
    <x v="1"/>
    <x v="8"/>
    <x v="20"/>
    <x v="11"/>
    <x v="0"/>
    <x v="2"/>
    <n v="127"/>
  </r>
  <r>
    <x v="1"/>
    <x v="9"/>
    <x v="21"/>
    <x v="0"/>
    <x v="0"/>
    <x v="0"/>
    <n v="122.7"/>
  </r>
  <r>
    <x v="1"/>
    <x v="9"/>
    <x v="21"/>
    <x v="0"/>
    <x v="0"/>
    <x v="1"/>
    <n v="123.3"/>
  </r>
  <r>
    <x v="1"/>
    <x v="9"/>
    <x v="21"/>
    <x v="0"/>
    <x v="0"/>
    <x v="2"/>
    <n v="124.5"/>
  </r>
  <r>
    <x v="1"/>
    <x v="9"/>
    <x v="21"/>
    <x v="1"/>
    <x v="1"/>
    <x v="0"/>
    <n v="123.3"/>
  </r>
  <r>
    <x v="1"/>
    <x v="9"/>
    <x v="21"/>
    <x v="1"/>
    <x v="1"/>
    <x v="1"/>
    <n v="122.1"/>
  </r>
  <r>
    <x v="1"/>
    <x v="9"/>
    <x v="21"/>
    <x v="1"/>
    <x v="1"/>
    <x v="2"/>
    <n v="120.3"/>
  </r>
  <r>
    <x v="1"/>
    <x v="9"/>
    <x v="21"/>
    <x v="3"/>
    <x v="1"/>
    <x v="0"/>
    <n v="122.9"/>
  </r>
  <r>
    <x v="1"/>
    <x v="9"/>
    <x v="21"/>
    <x v="3"/>
    <x v="1"/>
    <x v="1"/>
    <n v="121.6"/>
  </r>
  <r>
    <x v="1"/>
    <x v="9"/>
    <x v="21"/>
    <x v="3"/>
    <x v="1"/>
    <x v="2"/>
    <n v="119.5"/>
  </r>
  <r>
    <x v="1"/>
    <x v="9"/>
    <x v="21"/>
    <x v="5"/>
    <x v="2"/>
    <x v="0"/>
    <n v="117.2"/>
  </r>
  <r>
    <x v="1"/>
    <x v="9"/>
    <x v="21"/>
    <x v="5"/>
    <x v="2"/>
    <x v="1"/>
    <n v="119"/>
  </r>
  <r>
    <x v="1"/>
    <x v="9"/>
    <x v="21"/>
    <x v="5"/>
    <x v="2"/>
    <x v="2"/>
    <n v="120.3"/>
  </r>
  <r>
    <x v="1"/>
    <x v="9"/>
    <x v="21"/>
    <x v="4"/>
    <x v="0"/>
    <x v="0"/>
    <n v="119.9"/>
  </r>
  <r>
    <x v="1"/>
    <x v="9"/>
    <x v="21"/>
    <x v="4"/>
    <x v="0"/>
    <x v="1"/>
    <n v="121"/>
  </r>
  <r>
    <x v="1"/>
    <x v="9"/>
    <x v="21"/>
    <x v="4"/>
    <x v="0"/>
    <x v="2"/>
    <n v="122.7"/>
  </r>
  <r>
    <x v="1"/>
    <x v="9"/>
    <x v="21"/>
    <x v="8"/>
    <x v="0"/>
    <x v="0"/>
    <n v="124.9"/>
  </r>
  <r>
    <x v="1"/>
    <x v="9"/>
    <x v="21"/>
    <x v="8"/>
    <x v="0"/>
    <x v="1"/>
    <n v="125.1"/>
  </r>
  <r>
    <x v="1"/>
    <x v="9"/>
    <x v="21"/>
    <x v="8"/>
    <x v="0"/>
    <x v="2"/>
    <n v="125.4"/>
  </r>
  <r>
    <x v="1"/>
    <x v="9"/>
    <x v="21"/>
    <x v="10"/>
    <x v="1"/>
    <x v="0"/>
    <n v="120.5"/>
  </r>
  <r>
    <x v="1"/>
    <x v="9"/>
    <x v="21"/>
    <x v="10"/>
    <x v="1"/>
    <x v="1"/>
    <n v="118.4"/>
  </r>
  <r>
    <x v="1"/>
    <x v="9"/>
    <x v="21"/>
    <x v="10"/>
    <x v="1"/>
    <x v="2"/>
    <n v="115.4"/>
  </r>
  <r>
    <x v="1"/>
    <x v="9"/>
    <x v="21"/>
    <x v="9"/>
    <x v="0"/>
    <x v="0"/>
    <n v="128.80000000000001"/>
  </r>
  <r>
    <x v="1"/>
    <x v="9"/>
    <x v="21"/>
    <x v="9"/>
    <x v="0"/>
    <x v="1"/>
    <n v="125.7"/>
  </r>
  <r>
    <x v="1"/>
    <x v="9"/>
    <x v="21"/>
    <x v="9"/>
    <x v="0"/>
    <x v="2"/>
    <n v="122.2"/>
  </r>
  <r>
    <x v="1"/>
    <x v="9"/>
    <x v="21"/>
    <x v="13"/>
    <x v="3"/>
    <x v="0"/>
    <n v="117.3"/>
  </r>
  <r>
    <x v="1"/>
    <x v="9"/>
    <x v="21"/>
    <x v="13"/>
    <x v="3"/>
    <x v="1"/>
    <n v="115.5"/>
  </r>
  <r>
    <x v="1"/>
    <x v="9"/>
    <x v="21"/>
    <x v="13"/>
    <x v="3"/>
    <x v="2"/>
    <n v="112.6"/>
  </r>
  <r>
    <x v="1"/>
    <x v="9"/>
    <x v="21"/>
    <x v="15"/>
    <x v="4"/>
    <x v="0"/>
    <n v="121.1"/>
  </r>
  <r>
    <x v="1"/>
    <x v="9"/>
    <x v="21"/>
    <x v="15"/>
    <x v="4"/>
    <x v="1"/>
    <n v="120.1"/>
  </r>
  <r>
    <x v="1"/>
    <x v="9"/>
    <x v="21"/>
    <x v="15"/>
    <x v="4"/>
    <x v="2"/>
    <n v="119"/>
  </r>
  <r>
    <x v="1"/>
    <x v="9"/>
    <x v="21"/>
    <x v="17"/>
    <x v="5"/>
    <x v="0"/>
    <n v="115.9"/>
  </r>
  <r>
    <x v="1"/>
    <x v="9"/>
    <x v="21"/>
    <x v="17"/>
    <x v="5"/>
    <x v="1"/>
    <n v="114.8"/>
  </r>
  <r>
    <x v="1"/>
    <x v="9"/>
    <x v="21"/>
    <x v="17"/>
    <x v="5"/>
    <x v="2"/>
    <n v="113"/>
  </r>
  <r>
    <x v="1"/>
    <x v="9"/>
    <x v="21"/>
    <x v="19"/>
    <x v="6"/>
    <x v="0"/>
    <n v="118.1"/>
  </r>
  <r>
    <x v="1"/>
    <x v="9"/>
    <x v="21"/>
    <x v="19"/>
    <x v="6"/>
    <x v="1"/>
    <n v="117.3"/>
  </r>
  <r>
    <x v="1"/>
    <x v="9"/>
    <x v="21"/>
    <x v="19"/>
    <x v="6"/>
    <x v="2"/>
    <n v="116.4"/>
  </r>
  <r>
    <x v="1"/>
    <x v="9"/>
    <x v="21"/>
    <x v="21"/>
    <x v="6"/>
    <x v="0"/>
    <n v="0"/>
  </r>
  <r>
    <x v="1"/>
    <x v="9"/>
    <x v="21"/>
    <x v="21"/>
    <x v="6"/>
    <x v="1"/>
    <n v="117.1"/>
  </r>
  <r>
    <x v="1"/>
    <x v="9"/>
    <x v="21"/>
    <x v="21"/>
    <x v="6"/>
    <x v="2"/>
    <n v="117.1"/>
  </r>
  <r>
    <x v="1"/>
    <x v="9"/>
    <x v="21"/>
    <x v="2"/>
    <x v="0"/>
    <x v="0"/>
    <n v="122.6"/>
  </r>
  <r>
    <x v="1"/>
    <x v="9"/>
    <x v="21"/>
    <x v="2"/>
    <x v="0"/>
    <x v="1"/>
    <n v="123.7"/>
  </r>
  <r>
    <x v="1"/>
    <x v="9"/>
    <x v="21"/>
    <x v="2"/>
    <x v="0"/>
    <x v="2"/>
    <n v="125.6"/>
  </r>
  <r>
    <x v="1"/>
    <x v="9"/>
    <x v="21"/>
    <x v="6"/>
    <x v="0"/>
    <x v="0"/>
    <n v="124"/>
  </r>
  <r>
    <x v="1"/>
    <x v="9"/>
    <x v="21"/>
    <x v="6"/>
    <x v="0"/>
    <x v="1"/>
    <n v="124.2"/>
  </r>
  <r>
    <x v="1"/>
    <x v="9"/>
    <x v="21"/>
    <x v="6"/>
    <x v="0"/>
    <x v="2"/>
    <n v="124.6"/>
  </r>
  <r>
    <x v="1"/>
    <x v="9"/>
    <x v="21"/>
    <x v="23"/>
    <x v="7"/>
    <x v="0"/>
    <n v="114.1"/>
  </r>
  <r>
    <x v="1"/>
    <x v="9"/>
    <x v="21"/>
    <x v="23"/>
    <x v="7"/>
    <x v="1"/>
    <n v="113.8"/>
  </r>
  <r>
    <x v="1"/>
    <x v="9"/>
    <x v="21"/>
    <x v="23"/>
    <x v="7"/>
    <x v="2"/>
    <n v="113.4"/>
  </r>
  <r>
    <x v="1"/>
    <x v="9"/>
    <x v="21"/>
    <x v="18"/>
    <x v="0"/>
    <x v="0"/>
    <n v="116.8"/>
  </r>
  <r>
    <x v="1"/>
    <x v="9"/>
    <x v="21"/>
    <x v="18"/>
    <x v="0"/>
    <x v="1"/>
    <n v="116.4"/>
  </r>
  <r>
    <x v="1"/>
    <x v="9"/>
    <x v="21"/>
    <x v="18"/>
    <x v="0"/>
    <x v="2"/>
    <n v="115.8"/>
  </r>
  <r>
    <x v="1"/>
    <x v="9"/>
    <x v="21"/>
    <x v="7"/>
    <x v="0"/>
    <x v="0"/>
    <n v="110.5"/>
  </r>
  <r>
    <x v="1"/>
    <x v="9"/>
    <x v="21"/>
    <x v="7"/>
    <x v="0"/>
    <x v="1"/>
    <n v="107.8"/>
  </r>
  <r>
    <x v="1"/>
    <x v="9"/>
    <x v="21"/>
    <x v="7"/>
    <x v="0"/>
    <x v="2"/>
    <n v="103.2"/>
  </r>
  <r>
    <x v="1"/>
    <x v="9"/>
    <x v="21"/>
    <x v="22"/>
    <x v="7"/>
    <x v="0"/>
    <n v="120.8"/>
  </r>
  <r>
    <x v="1"/>
    <x v="9"/>
    <x v="21"/>
    <x v="22"/>
    <x v="7"/>
    <x v="1"/>
    <n v="122.1"/>
  </r>
  <r>
    <x v="1"/>
    <x v="9"/>
    <x v="21"/>
    <x v="22"/>
    <x v="7"/>
    <x v="2"/>
    <n v="125.8"/>
  </r>
  <r>
    <x v="1"/>
    <x v="9"/>
    <x v="21"/>
    <x v="24"/>
    <x v="7"/>
    <x v="0"/>
    <n v="108.8"/>
  </r>
  <r>
    <x v="1"/>
    <x v="9"/>
    <x v="21"/>
    <x v="24"/>
    <x v="7"/>
    <x v="1"/>
    <n v="109.1"/>
  </r>
  <r>
    <x v="1"/>
    <x v="9"/>
    <x v="21"/>
    <x v="24"/>
    <x v="7"/>
    <x v="2"/>
    <n v="109.6"/>
  </r>
  <r>
    <x v="1"/>
    <x v="9"/>
    <x v="21"/>
    <x v="20"/>
    <x v="0"/>
    <x v="0"/>
    <n v="124.5"/>
  </r>
  <r>
    <x v="1"/>
    <x v="9"/>
    <x v="21"/>
    <x v="20"/>
    <x v="0"/>
    <x v="1"/>
    <n v="125.6"/>
  </r>
  <r>
    <x v="1"/>
    <x v="9"/>
    <x v="21"/>
    <x v="20"/>
    <x v="0"/>
    <x v="2"/>
    <n v="126.9"/>
  </r>
  <r>
    <x v="1"/>
    <x v="9"/>
    <x v="21"/>
    <x v="12"/>
    <x v="0"/>
    <x v="0"/>
    <n v="116.2"/>
  </r>
  <r>
    <x v="1"/>
    <x v="9"/>
    <x v="21"/>
    <x v="12"/>
    <x v="0"/>
    <x v="1"/>
    <n v="117.2"/>
  </r>
  <r>
    <x v="1"/>
    <x v="9"/>
    <x v="21"/>
    <x v="12"/>
    <x v="0"/>
    <x v="2"/>
    <n v="119.3"/>
  </r>
  <r>
    <x v="1"/>
    <x v="9"/>
    <x v="21"/>
    <x v="26"/>
    <x v="9"/>
    <x v="0"/>
    <n v="113.3"/>
  </r>
  <r>
    <x v="1"/>
    <x v="9"/>
    <x v="21"/>
    <x v="26"/>
    <x v="9"/>
    <x v="1"/>
    <n v="113.7"/>
  </r>
  <r>
    <x v="1"/>
    <x v="9"/>
    <x v="21"/>
    <x v="26"/>
    <x v="9"/>
    <x v="2"/>
    <n v="114"/>
  </r>
  <r>
    <x v="1"/>
    <x v="9"/>
    <x v="21"/>
    <x v="16"/>
    <x v="0"/>
    <x v="0"/>
    <n v="115.8"/>
  </r>
  <r>
    <x v="1"/>
    <x v="9"/>
    <x v="21"/>
    <x v="16"/>
    <x v="0"/>
    <x v="1"/>
    <n v="118.7"/>
  </r>
  <r>
    <x v="1"/>
    <x v="9"/>
    <x v="21"/>
    <x v="16"/>
    <x v="0"/>
    <x v="2"/>
    <n v="124.6"/>
  </r>
  <r>
    <x v="1"/>
    <x v="9"/>
    <x v="21"/>
    <x v="14"/>
    <x v="0"/>
    <x v="0"/>
    <n v="103.3"/>
  </r>
  <r>
    <x v="1"/>
    <x v="9"/>
    <x v="21"/>
    <x v="14"/>
    <x v="0"/>
    <x v="1"/>
    <n v="102.1"/>
  </r>
  <r>
    <x v="1"/>
    <x v="9"/>
    <x v="21"/>
    <x v="14"/>
    <x v="0"/>
    <x v="2"/>
    <n v="99.8"/>
  </r>
  <r>
    <x v="1"/>
    <x v="9"/>
    <x v="21"/>
    <x v="25"/>
    <x v="8"/>
    <x v="0"/>
    <n v="112"/>
  </r>
  <r>
    <x v="1"/>
    <x v="9"/>
    <x v="21"/>
    <x v="25"/>
    <x v="8"/>
    <x v="1"/>
    <n v="110.8"/>
  </r>
  <r>
    <x v="1"/>
    <x v="9"/>
    <x v="21"/>
    <x v="25"/>
    <x v="8"/>
    <x v="2"/>
    <n v="109.7"/>
  </r>
  <r>
    <x v="1"/>
    <x v="9"/>
    <x v="21"/>
    <x v="11"/>
    <x v="0"/>
    <x v="0"/>
    <n v="152"/>
  </r>
  <r>
    <x v="1"/>
    <x v="9"/>
    <x v="21"/>
    <x v="11"/>
    <x v="0"/>
    <x v="1"/>
    <n v="152.4"/>
  </r>
  <r>
    <x v="1"/>
    <x v="9"/>
    <x v="21"/>
    <x v="11"/>
    <x v="0"/>
    <x v="2"/>
    <n v="153.19999999999999"/>
  </r>
  <r>
    <x v="1"/>
    <x v="10"/>
    <x v="22"/>
    <x v="0"/>
    <x v="0"/>
    <x v="0"/>
    <n v="122.6"/>
  </r>
  <r>
    <x v="1"/>
    <x v="10"/>
    <x v="22"/>
    <x v="0"/>
    <x v="0"/>
    <x v="1"/>
    <n v="123.2"/>
  </r>
  <r>
    <x v="1"/>
    <x v="10"/>
    <x v="22"/>
    <x v="0"/>
    <x v="0"/>
    <x v="2"/>
    <n v="124.6"/>
  </r>
  <r>
    <x v="1"/>
    <x v="10"/>
    <x v="22"/>
    <x v="1"/>
    <x v="1"/>
    <x v="0"/>
    <n v="122.7"/>
  </r>
  <r>
    <x v="1"/>
    <x v="10"/>
    <x v="22"/>
    <x v="1"/>
    <x v="1"/>
    <x v="1"/>
    <n v="121.5"/>
  </r>
  <r>
    <x v="1"/>
    <x v="10"/>
    <x v="22"/>
    <x v="1"/>
    <x v="1"/>
    <x v="2"/>
    <n v="119.6"/>
  </r>
  <r>
    <x v="1"/>
    <x v="10"/>
    <x v="22"/>
    <x v="3"/>
    <x v="1"/>
    <x v="0"/>
    <n v="122.3"/>
  </r>
  <r>
    <x v="1"/>
    <x v="10"/>
    <x v="22"/>
    <x v="3"/>
    <x v="1"/>
    <x v="1"/>
    <n v="121"/>
  </r>
  <r>
    <x v="1"/>
    <x v="10"/>
    <x v="22"/>
    <x v="3"/>
    <x v="1"/>
    <x v="2"/>
    <n v="118.9"/>
  </r>
  <r>
    <x v="1"/>
    <x v="10"/>
    <x v="22"/>
    <x v="5"/>
    <x v="2"/>
    <x v="0"/>
    <n v="116.9"/>
  </r>
  <r>
    <x v="1"/>
    <x v="10"/>
    <x v="22"/>
    <x v="5"/>
    <x v="2"/>
    <x v="1"/>
    <n v="118.8"/>
  </r>
  <r>
    <x v="1"/>
    <x v="10"/>
    <x v="22"/>
    <x v="5"/>
    <x v="2"/>
    <x v="2"/>
    <n v="120.2"/>
  </r>
  <r>
    <x v="1"/>
    <x v="10"/>
    <x v="22"/>
    <x v="4"/>
    <x v="0"/>
    <x v="0"/>
    <n v="118.3"/>
  </r>
  <r>
    <x v="1"/>
    <x v="10"/>
    <x v="22"/>
    <x v="4"/>
    <x v="0"/>
    <x v="1"/>
    <n v="118.1"/>
  </r>
  <r>
    <x v="1"/>
    <x v="10"/>
    <x v="22"/>
    <x v="4"/>
    <x v="0"/>
    <x v="2"/>
    <n v="117.8"/>
  </r>
  <r>
    <x v="1"/>
    <x v="10"/>
    <x v="22"/>
    <x v="8"/>
    <x v="0"/>
    <x v="0"/>
    <n v="125.1"/>
  </r>
  <r>
    <x v="1"/>
    <x v="10"/>
    <x v="22"/>
    <x v="8"/>
    <x v="0"/>
    <x v="1"/>
    <n v="125.4"/>
  </r>
  <r>
    <x v="1"/>
    <x v="10"/>
    <x v="22"/>
    <x v="8"/>
    <x v="0"/>
    <x v="2"/>
    <n v="125.8"/>
  </r>
  <r>
    <x v="1"/>
    <x v="10"/>
    <x v="22"/>
    <x v="10"/>
    <x v="1"/>
    <x v="0"/>
    <n v="120.3"/>
  </r>
  <r>
    <x v="1"/>
    <x v="10"/>
    <x v="22"/>
    <x v="10"/>
    <x v="1"/>
    <x v="1"/>
    <n v="118.1"/>
  </r>
  <r>
    <x v="1"/>
    <x v="10"/>
    <x v="22"/>
    <x v="10"/>
    <x v="1"/>
    <x v="2"/>
    <n v="114.9"/>
  </r>
  <r>
    <x v="1"/>
    <x v="10"/>
    <x v="22"/>
    <x v="9"/>
    <x v="0"/>
    <x v="0"/>
    <n v="128.9"/>
  </r>
  <r>
    <x v="1"/>
    <x v="10"/>
    <x v="22"/>
    <x v="9"/>
    <x v="0"/>
    <x v="1"/>
    <n v="126.4"/>
  </r>
  <r>
    <x v="1"/>
    <x v="10"/>
    <x v="22"/>
    <x v="9"/>
    <x v="0"/>
    <x v="2"/>
    <n v="123.5"/>
  </r>
  <r>
    <x v="1"/>
    <x v="10"/>
    <x v="22"/>
    <x v="13"/>
    <x v="3"/>
    <x v="0"/>
    <n v="116.4"/>
  </r>
  <r>
    <x v="1"/>
    <x v="10"/>
    <x v="22"/>
    <x v="13"/>
    <x v="3"/>
    <x v="1"/>
    <n v="114.7"/>
  </r>
  <r>
    <x v="1"/>
    <x v="10"/>
    <x v="22"/>
    <x v="13"/>
    <x v="3"/>
    <x v="2"/>
    <n v="112"/>
  </r>
  <r>
    <x v="1"/>
    <x v="10"/>
    <x v="22"/>
    <x v="15"/>
    <x v="4"/>
    <x v="0"/>
    <n v="121"/>
  </r>
  <r>
    <x v="1"/>
    <x v="10"/>
    <x v="22"/>
    <x v="15"/>
    <x v="4"/>
    <x v="1"/>
    <n v="120.1"/>
  </r>
  <r>
    <x v="1"/>
    <x v="10"/>
    <x v="22"/>
    <x v="15"/>
    <x v="4"/>
    <x v="2"/>
    <n v="119.1"/>
  </r>
  <r>
    <x v="1"/>
    <x v="10"/>
    <x v="22"/>
    <x v="17"/>
    <x v="5"/>
    <x v="0"/>
    <n v="115.3"/>
  </r>
  <r>
    <x v="1"/>
    <x v="10"/>
    <x v="22"/>
    <x v="17"/>
    <x v="5"/>
    <x v="1"/>
    <n v="114.3"/>
  </r>
  <r>
    <x v="1"/>
    <x v="10"/>
    <x v="22"/>
    <x v="17"/>
    <x v="5"/>
    <x v="2"/>
    <n v="112.6"/>
  </r>
  <r>
    <x v="1"/>
    <x v="10"/>
    <x v="22"/>
    <x v="19"/>
    <x v="6"/>
    <x v="0"/>
    <n v="117.5"/>
  </r>
  <r>
    <x v="1"/>
    <x v="10"/>
    <x v="22"/>
    <x v="19"/>
    <x v="6"/>
    <x v="1"/>
    <n v="116.7"/>
  </r>
  <r>
    <x v="1"/>
    <x v="10"/>
    <x v="22"/>
    <x v="19"/>
    <x v="6"/>
    <x v="2"/>
    <n v="115.8"/>
  </r>
  <r>
    <x v="1"/>
    <x v="10"/>
    <x v="22"/>
    <x v="21"/>
    <x v="6"/>
    <x v="0"/>
    <n v="0"/>
  </r>
  <r>
    <x v="1"/>
    <x v="10"/>
    <x v="22"/>
    <x v="21"/>
    <x v="6"/>
    <x v="1"/>
    <n v="116.7"/>
  </r>
  <r>
    <x v="1"/>
    <x v="10"/>
    <x v="22"/>
    <x v="21"/>
    <x v="6"/>
    <x v="2"/>
    <n v="116.7"/>
  </r>
  <r>
    <x v="1"/>
    <x v="10"/>
    <x v="22"/>
    <x v="2"/>
    <x v="0"/>
    <x v="0"/>
    <n v="122.5"/>
  </r>
  <r>
    <x v="1"/>
    <x v="10"/>
    <x v="22"/>
    <x v="2"/>
    <x v="0"/>
    <x v="1"/>
    <n v="123.8"/>
  </r>
  <r>
    <x v="1"/>
    <x v="10"/>
    <x v="22"/>
    <x v="2"/>
    <x v="0"/>
    <x v="2"/>
    <n v="126.1"/>
  </r>
  <r>
    <x v="1"/>
    <x v="10"/>
    <x v="22"/>
    <x v="6"/>
    <x v="0"/>
    <x v="0"/>
    <n v="123.2"/>
  </r>
  <r>
    <x v="1"/>
    <x v="10"/>
    <x v="22"/>
    <x v="6"/>
    <x v="0"/>
    <x v="1"/>
    <n v="123.2"/>
  </r>
  <r>
    <x v="1"/>
    <x v="10"/>
    <x v="22"/>
    <x v="6"/>
    <x v="0"/>
    <x v="2"/>
    <n v="123.1"/>
  </r>
  <r>
    <x v="1"/>
    <x v="10"/>
    <x v="22"/>
    <x v="23"/>
    <x v="7"/>
    <x v="0"/>
    <n v="114"/>
  </r>
  <r>
    <x v="1"/>
    <x v="10"/>
    <x v="22"/>
    <x v="23"/>
    <x v="7"/>
    <x v="1"/>
    <n v="113.9"/>
  </r>
  <r>
    <x v="1"/>
    <x v="10"/>
    <x v="22"/>
    <x v="23"/>
    <x v="7"/>
    <x v="2"/>
    <n v="113.7"/>
  </r>
  <r>
    <x v="1"/>
    <x v="10"/>
    <x v="22"/>
    <x v="18"/>
    <x v="0"/>
    <x v="0"/>
    <n v="116.8"/>
  </r>
  <r>
    <x v="1"/>
    <x v="10"/>
    <x v="22"/>
    <x v="18"/>
    <x v="0"/>
    <x v="1"/>
    <n v="116.1"/>
  </r>
  <r>
    <x v="1"/>
    <x v="10"/>
    <x v="22"/>
    <x v="18"/>
    <x v="0"/>
    <x v="2"/>
    <n v="115.2"/>
  </r>
  <r>
    <x v="1"/>
    <x v="10"/>
    <x v="22"/>
    <x v="7"/>
    <x v="0"/>
    <x v="0"/>
    <n v="110.5"/>
  </r>
  <r>
    <x v="1"/>
    <x v="10"/>
    <x v="22"/>
    <x v="7"/>
    <x v="0"/>
    <x v="1"/>
    <n v="107.9"/>
  </r>
  <r>
    <x v="1"/>
    <x v="10"/>
    <x v="22"/>
    <x v="7"/>
    <x v="0"/>
    <x v="2"/>
    <n v="103.5"/>
  </r>
  <r>
    <x v="1"/>
    <x v="10"/>
    <x v="22"/>
    <x v="22"/>
    <x v="7"/>
    <x v="0"/>
    <n v="120"/>
  </r>
  <r>
    <x v="1"/>
    <x v="10"/>
    <x v="22"/>
    <x v="22"/>
    <x v="7"/>
    <x v="1"/>
    <n v="121.1"/>
  </r>
  <r>
    <x v="1"/>
    <x v="10"/>
    <x v="22"/>
    <x v="22"/>
    <x v="7"/>
    <x v="2"/>
    <n v="124.3"/>
  </r>
  <r>
    <x v="1"/>
    <x v="10"/>
    <x v="22"/>
    <x v="24"/>
    <x v="7"/>
    <x v="0"/>
    <n v="109.3"/>
  </r>
  <r>
    <x v="1"/>
    <x v="10"/>
    <x v="22"/>
    <x v="24"/>
    <x v="7"/>
    <x v="1"/>
    <n v="109.6"/>
  </r>
  <r>
    <x v="1"/>
    <x v="10"/>
    <x v="22"/>
    <x v="24"/>
    <x v="7"/>
    <x v="2"/>
    <n v="110.1"/>
  </r>
  <r>
    <x v="1"/>
    <x v="10"/>
    <x v="22"/>
    <x v="20"/>
    <x v="0"/>
    <x v="0"/>
    <n v="123.2"/>
  </r>
  <r>
    <x v="1"/>
    <x v="10"/>
    <x v="22"/>
    <x v="20"/>
    <x v="0"/>
    <x v="1"/>
    <n v="124.5"/>
  </r>
  <r>
    <x v="1"/>
    <x v="10"/>
    <x v="22"/>
    <x v="20"/>
    <x v="0"/>
    <x v="2"/>
    <n v="125.9"/>
  </r>
  <r>
    <x v="1"/>
    <x v="10"/>
    <x v="22"/>
    <x v="12"/>
    <x v="0"/>
    <x v="0"/>
    <n v="115.5"/>
  </r>
  <r>
    <x v="1"/>
    <x v="10"/>
    <x v="22"/>
    <x v="12"/>
    <x v="0"/>
    <x v="1"/>
    <n v="116.1"/>
  </r>
  <r>
    <x v="1"/>
    <x v="10"/>
    <x v="22"/>
    <x v="12"/>
    <x v="0"/>
    <x v="2"/>
    <n v="117.4"/>
  </r>
  <r>
    <x v="1"/>
    <x v="10"/>
    <x v="22"/>
    <x v="26"/>
    <x v="9"/>
    <x v="0"/>
    <n v="113"/>
  </r>
  <r>
    <x v="1"/>
    <x v="10"/>
    <x v="22"/>
    <x v="26"/>
    <x v="9"/>
    <x v="1"/>
    <n v="113.3"/>
  </r>
  <r>
    <x v="1"/>
    <x v="10"/>
    <x v="22"/>
    <x v="26"/>
    <x v="9"/>
    <x v="2"/>
    <n v="113.6"/>
  </r>
  <r>
    <x v="1"/>
    <x v="10"/>
    <x v="22"/>
    <x v="16"/>
    <x v="0"/>
    <x v="0"/>
    <n v="115.3"/>
  </r>
  <r>
    <x v="1"/>
    <x v="10"/>
    <x v="22"/>
    <x v="16"/>
    <x v="0"/>
    <x v="1"/>
    <n v="118.1"/>
  </r>
  <r>
    <x v="1"/>
    <x v="10"/>
    <x v="22"/>
    <x v="16"/>
    <x v="0"/>
    <x v="2"/>
    <n v="123.8"/>
  </r>
  <r>
    <x v="1"/>
    <x v="10"/>
    <x v="22"/>
    <x v="14"/>
    <x v="0"/>
    <x v="0"/>
    <n v="104"/>
  </r>
  <r>
    <x v="1"/>
    <x v="10"/>
    <x v="22"/>
    <x v="14"/>
    <x v="0"/>
    <x v="1"/>
    <n v="103.1"/>
  </r>
  <r>
    <x v="1"/>
    <x v="10"/>
    <x v="22"/>
    <x v="14"/>
    <x v="0"/>
    <x v="2"/>
    <n v="101.2"/>
  </r>
  <r>
    <x v="1"/>
    <x v="10"/>
    <x v="22"/>
    <x v="25"/>
    <x v="8"/>
    <x v="0"/>
    <n v="112.6"/>
  </r>
  <r>
    <x v="1"/>
    <x v="10"/>
    <x v="22"/>
    <x v="25"/>
    <x v="8"/>
    <x v="1"/>
    <n v="111.8"/>
  </r>
  <r>
    <x v="1"/>
    <x v="10"/>
    <x v="22"/>
    <x v="25"/>
    <x v="8"/>
    <x v="2"/>
    <n v="111"/>
  </r>
  <r>
    <x v="1"/>
    <x v="10"/>
    <x v="22"/>
    <x v="11"/>
    <x v="0"/>
    <x v="0"/>
    <n v="155.30000000000001"/>
  </r>
  <r>
    <x v="1"/>
    <x v="10"/>
    <x v="22"/>
    <x v="11"/>
    <x v="0"/>
    <x v="1"/>
    <n v="156.80000000000001"/>
  </r>
  <r>
    <x v="1"/>
    <x v="10"/>
    <x v="22"/>
    <x v="11"/>
    <x v="0"/>
    <x v="2"/>
    <n v="159.6"/>
  </r>
  <r>
    <x v="1"/>
    <x v="11"/>
    <x v="23"/>
    <x v="0"/>
    <x v="0"/>
    <x v="0"/>
    <n v="122.3"/>
  </r>
  <r>
    <x v="1"/>
    <x v="11"/>
    <x v="23"/>
    <x v="0"/>
    <x v="0"/>
    <x v="1"/>
    <n v="122.9"/>
  </r>
  <r>
    <x v="1"/>
    <x v="11"/>
    <x v="23"/>
    <x v="0"/>
    <x v="0"/>
    <x v="2"/>
    <n v="124.2"/>
  </r>
  <r>
    <x v="1"/>
    <x v="11"/>
    <x v="23"/>
    <x v="1"/>
    <x v="1"/>
    <x v="0"/>
    <n v="121.7"/>
  </r>
  <r>
    <x v="1"/>
    <x v="11"/>
    <x v="23"/>
    <x v="1"/>
    <x v="1"/>
    <x v="1"/>
    <n v="120.7"/>
  </r>
  <r>
    <x v="1"/>
    <x v="11"/>
    <x v="23"/>
    <x v="1"/>
    <x v="1"/>
    <x v="2"/>
    <n v="119.2"/>
  </r>
  <r>
    <x v="1"/>
    <x v="11"/>
    <x v="23"/>
    <x v="3"/>
    <x v="1"/>
    <x v="0"/>
    <n v="121.3"/>
  </r>
  <r>
    <x v="1"/>
    <x v="11"/>
    <x v="23"/>
    <x v="3"/>
    <x v="1"/>
    <x v="1"/>
    <n v="120.1"/>
  </r>
  <r>
    <x v="1"/>
    <x v="11"/>
    <x v="23"/>
    <x v="3"/>
    <x v="1"/>
    <x v="2"/>
    <n v="118.4"/>
  </r>
  <r>
    <x v="1"/>
    <x v="11"/>
    <x v="23"/>
    <x v="5"/>
    <x v="2"/>
    <x v="0"/>
    <n v="116.6"/>
  </r>
  <r>
    <x v="1"/>
    <x v="11"/>
    <x v="23"/>
    <x v="5"/>
    <x v="2"/>
    <x v="1"/>
    <n v="118.6"/>
  </r>
  <r>
    <x v="1"/>
    <x v="11"/>
    <x v="23"/>
    <x v="5"/>
    <x v="2"/>
    <x v="2"/>
    <n v="120"/>
  </r>
  <r>
    <x v="1"/>
    <x v="11"/>
    <x v="23"/>
    <x v="4"/>
    <x v="0"/>
    <x v="0"/>
    <n v="117.8"/>
  </r>
  <r>
    <x v="1"/>
    <x v="11"/>
    <x v="23"/>
    <x v="4"/>
    <x v="0"/>
    <x v="1"/>
    <n v="117.3"/>
  </r>
  <r>
    <x v="1"/>
    <x v="11"/>
    <x v="23"/>
    <x v="4"/>
    <x v="0"/>
    <x v="2"/>
    <n v="116.4"/>
  </r>
  <r>
    <x v="1"/>
    <x v="11"/>
    <x v="23"/>
    <x v="8"/>
    <x v="0"/>
    <x v="0"/>
    <n v="125.3"/>
  </r>
  <r>
    <x v="1"/>
    <x v="11"/>
    <x v="23"/>
    <x v="8"/>
    <x v="0"/>
    <x v="1"/>
    <n v="125.8"/>
  </r>
  <r>
    <x v="1"/>
    <x v="11"/>
    <x v="23"/>
    <x v="8"/>
    <x v="0"/>
    <x v="2"/>
    <n v="126.7"/>
  </r>
  <r>
    <x v="1"/>
    <x v="11"/>
    <x v="23"/>
    <x v="10"/>
    <x v="1"/>
    <x v="0"/>
    <n v="119.2"/>
  </r>
  <r>
    <x v="1"/>
    <x v="11"/>
    <x v="23"/>
    <x v="10"/>
    <x v="1"/>
    <x v="1"/>
    <n v="117.2"/>
  </r>
  <r>
    <x v="1"/>
    <x v="11"/>
    <x v="23"/>
    <x v="10"/>
    <x v="1"/>
    <x v="2"/>
    <n v="114.5"/>
  </r>
  <r>
    <x v="1"/>
    <x v="11"/>
    <x v="23"/>
    <x v="9"/>
    <x v="0"/>
    <x v="0"/>
    <n v="129.80000000000001"/>
  </r>
  <r>
    <x v="1"/>
    <x v="11"/>
    <x v="23"/>
    <x v="9"/>
    <x v="0"/>
    <x v="1"/>
    <n v="127.3"/>
  </r>
  <r>
    <x v="1"/>
    <x v="11"/>
    <x v="23"/>
    <x v="9"/>
    <x v="0"/>
    <x v="2"/>
    <n v="124.5"/>
  </r>
  <r>
    <x v="1"/>
    <x v="11"/>
    <x v="23"/>
    <x v="13"/>
    <x v="3"/>
    <x v="0"/>
    <n v="115.8"/>
  </r>
  <r>
    <x v="1"/>
    <x v="11"/>
    <x v="23"/>
    <x v="13"/>
    <x v="3"/>
    <x v="1"/>
    <n v="114.3"/>
  </r>
  <r>
    <x v="1"/>
    <x v="11"/>
    <x v="23"/>
    <x v="13"/>
    <x v="3"/>
    <x v="2"/>
    <n v="111.8"/>
  </r>
  <r>
    <x v="1"/>
    <x v="11"/>
    <x v="23"/>
    <x v="15"/>
    <x v="4"/>
    <x v="0"/>
    <n v="120.9"/>
  </r>
  <r>
    <x v="1"/>
    <x v="11"/>
    <x v="23"/>
    <x v="15"/>
    <x v="4"/>
    <x v="1"/>
    <n v="120.1"/>
  </r>
  <r>
    <x v="1"/>
    <x v="11"/>
    <x v="23"/>
    <x v="15"/>
    <x v="4"/>
    <x v="2"/>
    <n v="119.2"/>
  </r>
  <r>
    <x v="1"/>
    <x v="11"/>
    <x v="23"/>
    <x v="17"/>
    <x v="5"/>
    <x v="0"/>
    <n v="114.5"/>
  </r>
  <r>
    <x v="1"/>
    <x v="11"/>
    <x v="23"/>
    <x v="17"/>
    <x v="5"/>
    <x v="1"/>
    <n v="113.7"/>
  </r>
  <r>
    <x v="1"/>
    <x v="11"/>
    <x v="23"/>
    <x v="17"/>
    <x v="5"/>
    <x v="2"/>
    <n v="112.3"/>
  </r>
  <r>
    <x v="1"/>
    <x v="11"/>
    <x v="23"/>
    <x v="19"/>
    <x v="6"/>
    <x v="0"/>
    <n v="116.7"/>
  </r>
  <r>
    <x v="1"/>
    <x v="11"/>
    <x v="23"/>
    <x v="19"/>
    <x v="6"/>
    <x v="1"/>
    <n v="116.1"/>
  </r>
  <r>
    <x v="1"/>
    <x v="11"/>
    <x v="23"/>
    <x v="19"/>
    <x v="6"/>
    <x v="2"/>
    <n v="115.5"/>
  </r>
  <r>
    <x v="1"/>
    <x v="11"/>
    <x v="23"/>
    <x v="21"/>
    <x v="6"/>
    <x v="0"/>
    <n v="0"/>
  </r>
  <r>
    <x v="1"/>
    <x v="11"/>
    <x v="23"/>
    <x v="21"/>
    <x v="6"/>
    <x v="1"/>
    <n v="116.1"/>
  </r>
  <r>
    <x v="1"/>
    <x v="11"/>
    <x v="23"/>
    <x v="21"/>
    <x v="6"/>
    <x v="2"/>
    <n v="116.1"/>
  </r>
  <r>
    <x v="1"/>
    <x v="11"/>
    <x v="23"/>
    <x v="2"/>
    <x v="0"/>
    <x v="0"/>
    <n v="122.4"/>
  </r>
  <r>
    <x v="1"/>
    <x v="11"/>
    <x v="23"/>
    <x v="2"/>
    <x v="0"/>
    <x v="1"/>
    <n v="123.5"/>
  </r>
  <r>
    <x v="1"/>
    <x v="11"/>
    <x v="23"/>
    <x v="2"/>
    <x v="0"/>
    <x v="2"/>
    <n v="125.4"/>
  </r>
  <r>
    <x v="1"/>
    <x v="11"/>
    <x v="23"/>
    <x v="6"/>
    <x v="0"/>
    <x v="0"/>
    <n v="122.7"/>
  </r>
  <r>
    <x v="1"/>
    <x v="11"/>
    <x v="23"/>
    <x v="6"/>
    <x v="0"/>
    <x v="1"/>
    <n v="122.7"/>
  </r>
  <r>
    <x v="1"/>
    <x v="11"/>
    <x v="23"/>
    <x v="6"/>
    <x v="0"/>
    <x v="2"/>
    <n v="122.7"/>
  </r>
  <r>
    <x v="1"/>
    <x v="11"/>
    <x v="23"/>
    <x v="23"/>
    <x v="7"/>
    <x v="0"/>
    <n v="113.7"/>
  </r>
  <r>
    <x v="1"/>
    <x v="11"/>
    <x v="23"/>
    <x v="23"/>
    <x v="7"/>
    <x v="1"/>
    <n v="113.7"/>
  </r>
  <r>
    <x v="1"/>
    <x v="11"/>
    <x v="23"/>
    <x v="23"/>
    <x v="7"/>
    <x v="2"/>
    <n v="113.6"/>
  </r>
  <r>
    <x v="1"/>
    <x v="11"/>
    <x v="23"/>
    <x v="18"/>
    <x v="0"/>
    <x v="0"/>
    <n v="116.5"/>
  </r>
  <r>
    <x v="1"/>
    <x v="11"/>
    <x v="23"/>
    <x v="18"/>
    <x v="0"/>
    <x v="1"/>
    <n v="115.8"/>
  </r>
  <r>
    <x v="1"/>
    <x v="11"/>
    <x v="23"/>
    <x v="18"/>
    <x v="0"/>
    <x v="2"/>
    <n v="114.8"/>
  </r>
  <r>
    <x v="1"/>
    <x v="11"/>
    <x v="23"/>
    <x v="7"/>
    <x v="0"/>
    <x v="0"/>
    <n v="110.4"/>
  </r>
  <r>
    <x v="1"/>
    <x v="11"/>
    <x v="23"/>
    <x v="7"/>
    <x v="0"/>
    <x v="1"/>
    <n v="107.9"/>
  </r>
  <r>
    <x v="1"/>
    <x v="11"/>
    <x v="23"/>
    <x v="7"/>
    <x v="0"/>
    <x v="2"/>
    <n v="103.5"/>
  </r>
  <r>
    <x v="1"/>
    <x v="11"/>
    <x v="23"/>
    <x v="22"/>
    <x v="7"/>
    <x v="0"/>
    <n v="119.5"/>
  </r>
  <r>
    <x v="1"/>
    <x v="11"/>
    <x v="23"/>
    <x v="22"/>
    <x v="7"/>
    <x v="1"/>
    <n v="120.8"/>
  </r>
  <r>
    <x v="1"/>
    <x v="11"/>
    <x v="23"/>
    <x v="22"/>
    <x v="7"/>
    <x v="2"/>
    <n v="124.3"/>
  </r>
  <r>
    <x v="1"/>
    <x v="11"/>
    <x v="23"/>
    <x v="24"/>
    <x v="7"/>
    <x v="0"/>
    <n v="109.1"/>
  </r>
  <r>
    <x v="1"/>
    <x v="11"/>
    <x v="23"/>
    <x v="24"/>
    <x v="7"/>
    <x v="1"/>
    <n v="109.5"/>
  </r>
  <r>
    <x v="1"/>
    <x v="11"/>
    <x v="23"/>
    <x v="24"/>
    <x v="7"/>
    <x v="2"/>
    <n v="110"/>
  </r>
  <r>
    <x v="1"/>
    <x v="11"/>
    <x v="23"/>
    <x v="20"/>
    <x v="0"/>
    <x v="0"/>
    <n v="122.6"/>
  </r>
  <r>
    <x v="1"/>
    <x v="11"/>
    <x v="23"/>
    <x v="20"/>
    <x v="0"/>
    <x v="1"/>
    <n v="123.8"/>
  </r>
  <r>
    <x v="1"/>
    <x v="11"/>
    <x v="23"/>
    <x v="20"/>
    <x v="0"/>
    <x v="2"/>
    <n v="125.2"/>
  </r>
  <r>
    <x v="1"/>
    <x v="11"/>
    <x v="23"/>
    <x v="12"/>
    <x v="0"/>
    <x v="0"/>
    <n v="115"/>
  </r>
  <r>
    <x v="1"/>
    <x v="11"/>
    <x v="23"/>
    <x v="12"/>
    <x v="0"/>
    <x v="1"/>
    <n v="115.6"/>
  </r>
  <r>
    <x v="1"/>
    <x v="11"/>
    <x v="23"/>
    <x v="12"/>
    <x v="0"/>
    <x v="2"/>
    <n v="116.9"/>
  </r>
  <r>
    <x v="1"/>
    <x v="11"/>
    <x v="23"/>
    <x v="26"/>
    <x v="9"/>
    <x v="0"/>
    <n v="112.6"/>
  </r>
  <r>
    <x v="1"/>
    <x v="11"/>
    <x v="23"/>
    <x v="26"/>
    <x v="9"/>
    <x v="1"/>
    <n v="113.1"/>
  </r>
  <r>
    <x v="1"/>
    <x v="11"/>
    <x v="23"/>
    <x v="26"/>
    <x v="9"/>
    <x v="2"/>
    <n v="113.4"/>
  </r>
  <r>
    <x v="1"/>
    <x v="11"/>
    <x v="23"/>
    <x v="16"/>
    <x v="0"/>
    <x v="0"/>
    <n v="114.9"/>
  </r>
  <r>
    <x v="1"/>
    <x v="11"/>
    <x v="23"/>
    <x v="16"/>
    <x v="0"/>
    <x v="1"/>
    <n v="117.6"/>
  </r>
  <r>
    <x v="1"/>
    <x v="11"/>
    <x v="23"/>
    <x v="16"/>
    <x v="0"/>
    <x v="2"/>
    <n v="122.9"/>
  </r>
  <r>
    <x v="1"/>
    <x v="11"/>
    <x v="23"/>
    <x v="14"/>
    <x v="0"/>
    <x v="0"/>
    <n v="104.7"/>
  </r>
  <r>
    <x v="1"/>
    <x v="11"/>
    <x v="23"/>
    <x v="14"/>
    <x v="0"/>
    <x v="1"/>
    <n v="103.8"/>
  </r>
  <r>
    <x v="1"/>
    <x v="11"/>
    <x v="23"/>
    <x v="14"/>
    <x v="0"/>
    <x v="2"/>
    <n v="101.9"/>
  </r>
  <r>
    <x v="1"/>
    <x v="11"/>
    <x v="23"/>
    <x v="25"/>
    <x v="8"/>
    <x v="0"/>
    <n v="112.8"/>
  </r>
  <r>
    <x v="1"/>
    <x v="11"/>
    <x v="23"/>
    <x v="25"/>
    <x v="8"/>
    <x v="1"/>
    <n v="112"/>
  </r>
  <r>
    <x v="1"/>
    <x v="11"/>
    <x v="23"/>
    <x v="25"/>
    <x v="8"/>
    <x v="2"/>
    <n v="111.2"/>
  </r>
  <r>
    <x v="1"/>
    <x v="11"/>
    <x v="23"/>
    <x v="11"/>
    <x v="0"/>
    <x v="0"/>
    <n v="158.80000000000001"/>
  </r>
  <r>
    <x v="1"/>
    <x v="11"/>
    <x v="23"/>
    <x v="11"/>
    <x v="0"/>
    <x v="1"/>
    <n v="162.1"/>
  </r>
  <r>
    <x v="1"/>
    <x v="11"/>
    <x v="23"/>
    <x v="11"/>
    <x v="0"/>
    <x v="2"/>
    <n v="168.6"/>
  </r>
  <r>
    <x v="2"/>
    <x v="0"/>
    <x v="24"/>
    <x v="0"/>
    <x v="0"/>
    <x v="0"/>
    <n v="123.3"/>
  </r>
  <r>
    <x v="2"/>
    <x v="0"/>
    <x v="24"/>
    <x v="0"/>
    <x v="0"/>
    <x v="1"/>
    <n v="123.5"/>
  </r>
  <r>
    <x v="2"/>
    <x v="0"/>
    <x v="24"/>
    <x v="0"/>
    <x v="0"/>
    <x v="2"/>
    <n v="123.8"/>
  </r>
  <r>
    <x v="2"/>
    <x v="0"/>
    <x v="24"/>
    <x v="1"/>
    <x v="1"/>
    <x v="0"/>
    <n v="126.4"/>
  </r>
  <r>
    <x v="2"/>
    <x v="0"/>
    <x v="24"/>
    <x v="1"/>
    <x v="1"/>
    <x v="1"/>
    <n v="124.7"/>
  </r>
  <r>
    <x v="2"/>
    <x v="0"/>
    <x v="24"/>
    <x v="1"/>
    <x v="1"/>
    <x v="2"/>
    <n v="122.1"/>
  </r>
  <r>
    <x v="2"/>
    <x v="0"/>
    <x v="24"/>
    <x v="3"/>
    <x v="1"/>
    <x v="0"/>
    <n v="126"/>
  </r>
  <r>
    <x v="2"/>
    <x v="0"/>
    <x v="24"/>
    <x v="3"/>
    <x v="1"/>
    <x v="1"/>
    <n v="124.1"/>
  </r>
  <r>
    <x v="2"/>
    <x v="0"/>
    <x v="24"/>
    <x v="3"/>
    <x v="1"/>
    <x v="2"/>
    <n v="121.3"/>
  </r>
  <r>
    <x v="2"/>
    <x v="0"/>
    <x v="24"/>
    <x v="5"/>
    <x v="2"/>
    <x v="0"/>
    <n v="119.9"/>
  </r>
  <r>
    <x v="2"/>
    <x v="0"/>
    <x v="24"/>
    <x v="5"/>
    <x v="2"/>
    <x v="1"/>
    <n v="121"/>
  </r>
  <r>
    <x v="2"/>
    <x v="0"/>
    <x v="24"/>
    <x v="5"/>
    <x v="2"/>
    <x v="2"/>
    <n v="121.7"/>
  </r>
  <r>
    <x v="2"/>
    <x v="0"/>
    <x v="24"/>
    <x v="4"/>
    <x v="0"/>
    <x v="0"/>
    <n v="117.2"/>
  </r>
  <r>
    <x v="2"/>
    <x v="0"/>
    <x v="24"/>
    <x v="4"/>
    <x v="0"/>
    <x v="1"/>
    <n v="114.4"/>
  </r>
  <r>
    <x v="2"/>
    <x v="0"/>
    <x v="24"/>
    <x v="4"/>
    <x v="0"/>
    <x v="2"/>
    <n v="110"/>
  </r>
  <r>
    <x v="2"/>
    <x v="0"/>
    <x v="24"/>
    <x v="8"/>
    <x v="0"/>
    <x v="0"/>
    <n v="123.6"/>
  </r>
  <r>
    <x v="2"/>
    <x v="0"/>
    <x v="24"/>
    <x v="8"/>
    <x v="0"/>
    <x v="1"/>
    <n v="124"/>
  </r>
  <r>
    <x v="2"/>
    <x v="0"/>
    <x v="24"/>
    <x v="8"/>
    <x v="0"/>
    <x v="2"/>
    <n v="124.6"/>
  </r>
  <r>
    <x v="2"/>
    <x v="0"/>
    <x v="24"/>
    <x v="10"/>
    <x v="1"/>
    <x v="0"/>
    <n v="123.3"/>
  </r>
  <r>
    <x v="2"/>
    <x v="0"/>
    <x v="24"/>
    <x v="10"/>
    <x v="1"/>
    <x v="1"/>
    <n v="120.8"/>
  </r>
  <r>
    <x v="2"/>
    <x v="0"/>
    <x v="24"/>
    <x v="10"/>
    <x v="1"/>
    <x v="2"/>
    <n v="117.2"/>
  </r>
  <r>
    <x v="2"/>
    <x v="0"/>
    <x v="24"/>
    <x v="9"/>
    <x v="0"/>
    <x v="0"/>
    <n v="134.19999999999999"/>
  </r>
  <r>
    <x v="2"/>
    <x v="0"/>
    <x v="24"/>
    <x v="9"/>
    <x v="0"/>
    <x v="1"/>
    <n v="132.5"/>
  </r>
  <r>
    <x v="2"/>
    <x v="0"/>
    <x v="24"/>
    <x v="9"/>
    <x v="0"/>
    <x v="2"/>
    <n v="130.6"/>
  </r>
  <r>
    <x v="2"/>
    <x v="0"/>
    <x v="24"/>
    <x v="13"/>
    <x v="3"/>
    <x v="0"/>
    <n v="121.2"/>
  </r>
  <r>
    <x v="2"/>
    <x v="0"/>
    <x v="24"/>
    <x v="13"/>
    <x v="3"/>
    <x v="1"/>
    <n v="118.7"/>
  </r>
  <r>
    <x v="2"/>
    <x v="0"/>
    <x v="24"/>
    <x v="13"/>
    <x v="3"/>
    <x v="2"/>
    <n v="114.7"/>
  </r>
  <r>
    <x v="2"/>
    <x v="0"/>
    <x v="24"/>
    <x v="15"/>
    <x v="4"/>
    <x v="0"/>
    <n v="121.5"/>
  </r>
  <r>
    <x v="2"/>
    <x v="0"/>
    <x v="24"/>
    <x v="15"/>
    <x v="4"/>
    <x v="1"/>
    <n v="120.7"/>
  </r>
  <r>
    <x v="2"/>
    <x v="0"/>
    <x v="24"/>
    <x v="15"/>
    <x v="4"/>
    <x v="2"/>
    <n v="119.7"/>
  </r>
  <r>
    <x v="2"/>
    <x v="0"/>
    <x v="24"/>
    <x v="17"/>
    <x v="5"/>
    <x v="0"/>
    <n v="118.6"/>
  </r>
  <r>
    <x v="2"/>
    <x v="0"/>
    <x v="24"/>
    <x v="17"/>
    <x v="5"/>
    <x v="1"/>
    <n v="117.1"/>
  </r>
  <r>
    <x v="2"/>
    <x v="0"/>
    <x v="24"/>
    <x v="17"/>
    <x v="5"/>
    <x v="2"/>
    <n v="114.6"/>
  </r>
  <r>
    <x v="2"/>
    <x v="0"/>
    <x v="24"/>
    <x v="19"/>
    <x v="6"/>
    <x v="0"/>
    <n v="120.9"/>
  </r>
  <r>
    <x v="2"/>
    <x v="0"/>
    <x v="24"/>
    <x v="19"/>
    <x v="6"/>
    <x v="1"/>
    <n v="119.7"/>
  </r>
  <r>
    <x v="2"/>
    <x v="0"/>
    <x v="24"/>
    <x v="19"/>
    <x v="6"/>
    <x v="2"/>
    <n v="118.4"/>
  </r>
  <r>
    <x v="2"/>
    <x v="0"/>
    <x v="24"/>
    <x v="21"/>
    <x v="6"/>
    <x v="0"/>
    <n v="0"/>
  </r>
  <r>
    <x v="2"/>
    <x v="0"/>
    <x v="24"/>
    <x v="21"/>
    <x v="6"/>
    <x v="1"/>
    <n v="119.2"/>
  </r>
  <r>
    <x v="2"/>
    <x v="0"/>
    <x v="24"/>
    <x v="21"/>
    <x v="6"/>
    <x v="2"/>
    <n v="119.2"/>
  </r>
  <r>
    <x v="2"/>
    <x v="0"/>
    <x v="24"/>
    <x v="2"/>
    <x v="0"/>
    <x v="0"/>
    <n v="125.5"/>
  </r>
  <r>
    <x v="2"/>
    <x v="0"/>
    <x v="24"/>
    <x v="2"/>
    <x v="0"/>
    <x v="1"/>
    <n v="126.4"/>
  </r>
  <r>
    <x v="2"/>
    <x v="0"/>
    <x v="24"/>
    <x v="2"/>
    <x v="0"/>
    <x v="2"/>
    <n v="128.19999999999999"/>
  </r>
  <r>
    <x v="2"/>
    <x v="0"/>
    <x v="24"/>
    <x v="6"/>
    <x v="0"/>
    <x v="0"/>
    <n v="126.8"/>
  </r>
  <r>
    <x v="2"/>
    <x v="0"/>
    <x v="24"/>
    <x v="6"/>
    <x v="0"/>
    <x v="1"/>
    <n v="126.6"/>
  </r>
  <r>
    <x v="2"/>
    <x v="0"/>
    <x v="24"/>
    <x v="6"/>
    <x v="0"/>
    <x v="2"/>
    <n v="126.3"/>
  </r>
  <r>
    <x v="2"/>
    <x v="0"/>
    <x v="24"/>
    <x v="23"/>
    <x v="7"/>
    <x v="0"/>
    <n v="116"/>
  </r>
  <r>
    <x v="2"/>
    <x v="0"/>
    <x v="24"/>
    <x v="23"/>
    <x v="7"/>
    <x v="1"/>
    <n v="115.1"/>
  </r>
  <r>
    <x v="2"/>
    <x v="0"/>
    <x v="24"/>
    <x v="23"/>
    <x v="7"/>
    <x v="2"/>
    <n v="114.2"/>
  </r>
  <r>
    <x v="2"/>
    <x v="0"/>
    <x v="24"/>
    <x v="18"/>
    <x v="0"/>
    <x v="0"/>
    <n v="119.4"/>
  </r>
  <r>
    <x v="2"/>
    <x v="0"/>
    <x v="24"/>
    <x v="18"/>
    <x v="0"/>
    <x v="1"/>
    <n v="118.5"/>
  </r>
  <r>
    <x v="2"/>
    <x v="0"/>
    <x v="24"/>
    <x v="18"/>
    <x v="0"/>
    <x v="2"/>
    <n v="117.2"/>
  </r>
  <r>
    <x v="2"/>
    <x v="0"/>
    <x v="24"/>
    <x v="7"/>
    <x v="0"/>
    <x v="0"/>
    <n v="111.9"/>
  </r>
  <r>
    <x v="2"/>
    <x v="0"/>
    <x v="24"/>
    <x v="7"/>
    <x v="0"/>
    <x v="1"/>
    <n v="109.2"/>
  </r>
  <r>
    <x v="2"/>
    <x v="0"/>
    <x v="24"/>
    <x v="7"/>
    <x v="0"/>
    <x v="2"/>
    <n v="104.5"/>
  </r>
  <r>
    <x v="2"/>
    <x v="0"/>
    <x v="24"/>
    <x v="22"/>
    <x v="7"/>
    <x v="0"/>
    <n v="125.7"/>
  </r>
  <r>
    <x v="2"/>
    <x v="0"/>
    <x v="24"/>
    <x v="22"/>
    <x v="7"/>
    <x v="1"/>
    <n v="126.9"/>
  </r>
  <r>
    <x v="2"/>
    <x v="0"/>
    <x v="24"/>
    <x v="22"/>
    <x v="7"/>
    <x v="2"/>
    <n v="130.1"/>
  </r>
  <r>
    <x v="2"/>
    <x v="0"/>
    <x v="24"/>
    <x v="24"/>
    <x v="7"/>
    <x v="0"/>
    <n v="111.6"/>
  </r>
  <r>
    <x v="2"/>
    <x v="0"/>
    <x v="24"/>
    <x v="24"/>
    <x v="7"/>
    <x v="1"/>
    <n v="111.7"/>
  </r>
  <r>
    <x v="2"/>
    <x v="0"/>
    <x v="24"/>
    <x v="24"/>
    <x v="7"/>
    <x v="2"/>
    <n v="111.8"/>
  </r>
  <r>
    <x v="2"/>
    <x v="0"/>
    <x v="24"/>
    <x v="20"/>
    <x v="0"/>
    <x v="0"/>
    <n v="128.69999999999999"/>
  </r>
  <r>
    <x v="2"/>
    <x v="0"/>
    <x v="24"/>
    <x v="20"/>
    <x v="0"/>
    <x v="1"/>
    <n v="129.1"/>
  </r>
  <r>
    <x v="2"/>
    <x v="0"/>
    <x v="24"/>
    <x v="20"/>
    <x v="0"/>
    <x v="2"/>
    <n v="129.5"/>
  </r>
  <r>
    <x v="2"/>
    <x v="0"/>
    <x v="24"/>
    <x v="12"/>
    <x v="0"/>
    <x v="0"/>
    <n v="121.5"/>
  </r>
  <r>
    <x v="2"/>
    <x v="0"/>
    <x v="24"/>
    <x v="12"/>
    <x v="0"/>
    <x v="1"/>
    <n v="124.8"/>
  </r>
  <r>
    <x v="2"/>
    <x v="0"/>
    <x v="24"/>
    <x v="12"/>
    <x v="0"/>
    <x v="2"/>
    <n v="131.30000000000001"/>
  </r>
  <r>
    <x v="2"/>
    <x v="0"/>
    <x v="24"/>
    <x v="26"/>
    <x v="9"/>
    <x v="0"/>
    <n v="116.2"/>
  </r>
  <r>
    <x v="2"/>
    <x v="0"/>
    <x v="24"/>
    <x v="26"/>
    <x v="9"/>
    <x v="1"/>
    <n v="115.9"/>
  </r>
  <r>
    <x v="2"/>
    <x v="0"/>
    <x v="24"/>
    <x v="26"/>
    <x v="9"/>
    <x v="2"/>
    <n v="115.6"/>
  </r>
  <r>
    <x v="2"/>
    <x v="0"/>
    <x v="24"/>
    <x v="16"/>
    <x v="0"/>
    <x v="0"/>
    <n v="119.8"/>
  </r>
  <r>
    <x v="2"/>
    <x v="0"/>
    <x v="24"/>
    <x v="16"/>
    <x v="0"/>
    <x v="1"/>
    <n v="122.4"/>
  </r>
  <r>
    <x v="2"/>
    <x v="0"/>
    <x v="24"/>
    <x v="16"/>
    <x v="0"/>
    <x v="2"/>
    <n v="127.7"/>
  </r>
  <r>
    <x v="2"/>
    <x v="0"/>
    <x v="24"/>
    <x v="14"/>
    <x v="0"/>
    <x v="0"/>
    <n v="97.8"/>
  </r>
  <r>
    <x v="2"/>
    <x v="0"/>
    <x v="24"/>
    <x v="14"/>
    <x v="0"/>
    <x v="1"/>
    <n v="95.7"/>
  </r>
  <r>
    <x v="2"/>
    <x v="0"/>
    <x v="24"/>
    <x v="14"/>
    <x v="0"/>
    <x v="2"/>
    <n v="91.6"/>
  </r>
  <r>
    <x v="2"/>
    <x v="0"/>
    <x v="24"/>
    <x v="25"/>
    <x v="8"/>
    <x v="0"/>
    <n v="111.9"/>
  </r>
  <r>
    <x v="2"/>
    <x v="0"/>
    <x v="24"/>
    <x v="25"/>
    <x v="8"/>
    <x v="1"/>
    <n v="110.1"/>
  </r>
  <r>
    <x v="2"/>
    <x v="0"/>
    <x v="24"/>
    <x v="25"/>
    <x v="8"/>
    <x v="2"/>
    <n v="108.4"/>
  </r>
  <r>
    <x v="2"/>
    <x v="0"/>
    <x v="24"/>
    <x v="11"/>
    <x v="0"/>
    <x v="0"/>
    <n v="127.5"/>
  </r>
  <r>
    <x v="2"/>
    <x v="0"/>
    <x v="24"/>
    <x v="11"/>
    <x v="0"/>
    <x v="1"/>
    <n v="128.6"/>
  </r>
  <r>
    <x v="2"/>
    <x v="0"/>
    <x v="24"/>
    <x v="11"/>
    <x v="0"/>
    <x v="2"/>
    <n v="130.80000000000001"/>
  </r>
  <r>
    <x v="2"/>
    <x v="1"/>
    <x v="25"/>
    <x v="0"/>
    <x v="0"/>
    <x v="0"/>
    <n v="124.7"/>
  </r>
  <r>
    <x v="2"/>
    <x v="1"/>
    <x v="25"/>
    <x v="0"/>
    <x v="0"/>
    <x v="1"/>
    <n v="124.2"/>
  </r>
  <r>
    <x v="2"/>
    <x v="1"/>
    <x v="25"/>
    <x v="0"/>
    <x v="0"/>
    <x v="2"/>
    <n v="123.1"/>
  </r>
  <r>
    <x v="2"/>
    <x v="1"/>
    <x v="25"/>
    <x v="1"/>
    <x v="1"/>
    <x v="0"/>
    <n v="129.5"/>
  </r>
  <r>
    <x v="2"/>
    <x v="1"/>
    <x v="25"/>
    <x v="1"/>
    <x v="1"/>
    <x v="1"/>
    <n v="127.2"/>
  </r>
  <r>
    <x v="2"/>
    <x v="1"/>
    <x v="25"/>
    <x v="1"/>
    <x v="1"/>
    <x v="2"/>
    <n v="123.7"/>
  </r>
  <r>
    <x v="2"/>
    <x v="1"/>
    <x v="25"/>
    <x v="3"/>
    <x v="1"/>
    <x v="0"/>
    <n v="129"/>
  </r>
  <r>
    <x v="2"/>
    <x v="1"/>
    <x v="25"/>
    <x v="3"/>
    <x v="1"/>
    <x v="1"/>
    <n v="126.6"/>
  </r>
  <r>
    <x v="2"/>
    <x v="1"/>
    <x v="25"/>
    <x v="3"/>
    <x v="1"/>
    <x v="2"/>
    <n v="122.9"/>
  </r>
  <r>
    <x v="2"/>
    <x v="1"/>
    <x v="25"/>
    <x v="5"/>
    <x v="2"/>
    <x v="0"/>
    <n v="123.6"/>
  </r>
  <r>
    <x v="2"/>
    <x v="1"/>
    <x v="25"/>
    <x v="5"/>
    <x v="2"/>
    <x v="1"/>
    <n v="125.1"/>
  </r>
  <r>
    <x v="2"/>
    <x v="1"/>
    <x v="25"/>
    <x v="5"/>
    <x v="2"/>
    <x v="2"/>
    <n v="126.2"/>
  </r>
  <r>
    <x v="2"/>
    <x v="1"/>
    <x v="25"/>
    <x v="4"/>
    <x v="0"/>
    <x v="0"/>
    <n v="121.3"/>
  </r>
  <r>
    <x v="2"/>
    <x v="1"/>
    <x v="25"/>
    <x v="4"/>
    <x v="0"/>
    <x v="1"/>
    <n v="120.1"/>
  </r>
  <r>
    <x v="2"/>
    <x v="1"/>
    <x v="25"/>
    <x v="4"/>
    <x v="0"/>
    <x v="2"/>
    <n v="118.1"/>
  </r>
  <r>
    <x v="2"/>
    <x v="1"/>
    <x v="25"/>
    <x v="8"/>
    <x v="0"/>
    <x v="0"/>
    <n v="129.80000000000001"/>
  </r>
  <r>
    <x v="2"/>
    <x v="1"/>
    <x v="25"/>
    <x v="8"/>
    <x v="0"/>
    <x v="1"/>
    <n v="130.30000000000001"/>
  </r>
  <r>
    <x v="2"/>
    <x v="1"/>
    <x v="25"/>
    <x v="8"/>
    <x v="0"/>
    <x v="2"/>
    <n v="131.1"/>
  </r>
  <r>
    <x v="2"/>
    <x v="1"/>
    <x v="25"/>
    <x v="10"/>
    <x v="1"/>
    <x v="0"/>
    <n v="126.3"/>
  </r>
  <r>
    <x v="2"/>
    <x v="1"/>
    <x v="25"/>
    <x v="10"/>
    <x v="1"/>
    <x v="1"/>
    <n v="122.9"/>
  </r>
  <r>
    <x v="2"/>
    <x v="1"/>
    <x v="25"/>
    <x v="10"/>
    <x v="1"/>
    <x v="2"/>
    <n v="118.2"/>
  </r>
  <r>
    <x v="2"/>
    <x v="1"/>
    <x v="25"/>
    <x v="9"/>
    <x v="0"/>
    <x v="0"/>
    <n v="134.19999999999999"/>
  </r>
  <r>
    <x v="2"/>
    <x v="1"/>
    <x v="25"/>
    <x v="9"/>
    <x v="0"/>
    <x v="1"/>
    <n v="132.30000000000001"/>
  </r>
  <r>
    <x v="2"/>
    <x v="1"/>
    <x v="25"/>
    <x v="9"/>
    <x v="0"/>
    <x v="2"/>
    <n v="130.1"/>
  </r>
  <r>
    <x v="2"/>
    <x v="1"/>
    <x v="25"/>
    <x v="13"/>
    <x v="3"/>
    <x v="0"/>
    <n v="123.8"/>
  </r>
  <r>
    <x v="2"/>
    <x v="1"/>
    <x v="25"/>
    <x v="13"/>
    <x v="3"/>
    <x v="1"/>
    <n v="120.6"/>
  </r>
  <r>
    <x v="2"/>
    <x v="1"/>
    <x v="25"/>
    <x v="13"/>
    <x v="3"/>
    <x v="2"/>
    <n v="115.3"/>
  </r>
  <r>
    <x v="2"/>
    <x v="1"/>
    <x v="25"/>
    <x v="15"/>
    <x v="4"/>
    <x v="0"/>
    <n v="126.1"/>
  </r>
  <r>
    <x v="2"/>
    <x v="1"/>
    <x v="25"/>
    <x v="15"/>
    <x v="4"/>
    <x v="1"/>
    <n v="124.8"/>
  </r>
  <r>
    <x v="2"/>
    <x v="1"/>
    <x v="25"/>
    <x v="15"/>
    <x v="4"/>
    <x v="2"/>
    <n v="123.2"/>
  </r>
  <r>
    <x v="2"/>
    <x v="1"/>
    <x v="25"/>
    <x v="17"/>
    <x v="5"/>
    <x v="0"/>
    <n v="121.1"/>
  </r>
  <r>
    <x v="2"/>
    <x v="1"/>
    <x v="25"/>
    <x v="17"/>
    <x v="5"/>
    <x v="1"/>
    <n v="119.4"/>
  </r>
  <r>
    <x v="2"/>
    <x v="1"/>
    <x v="25"/>
    <x v="17"/>
    <x v="5"/>
    <x v="2"/>
    <n v="116.6"/>
  </r>
  <r>
    <x v="2"/>
    <x v="1"/>
    <x v="25"/>
    <x v="19"/>
    <x v="6"/>
    <x v="0"/>
    <n v="123.7"/>
  </r>
  <r>
    <x v="2"/>
    <x v="1"/>
    <x v="25"/>
    <x v="19"/>
    <x v="6"/>
    <x v="1"/>
    <n v="122"/>
  </r>
  <r>
    <x v="2"/>
    <x v="1"/>
    <x v="25"/>
    <x v="19"/>
    <x v="6"/>
    <x v="2"/>
    <n v="120"/>
  </r>
  <r>
    <x v="2"/>
    <x v="1"/>
    <x v="25"/>
    <x v="21"/>
    <x v="6"/>
    <x v="0"/>
    <n v="0"/>
  </r>
  <r>
    <x v="2"/>
    <x v="1"/>
    <x v="25"/>
    <x v="21"/>
    <x v="6"/>
    <x v="1"/>
    <n v="120.9"/>
  </r>
  <r>
    <x v="2"/>
    <x v="1"/>
    <x v="25"/>
    <x v="21"/>
    <x v="6"/>
    <x v="2"/>
    <n v="120.9"/>
  </r>
  <r>
    <x v="2"/>
    <x v="1"/>
    <x v="25"/>
    <x v="2"/>
    <x v="0"/>
    <x v="0"/>
    <n v="131.30000000000001"/>
  </r>
  <r>
    <x v="2"/>
    <x v="1"/>
    <x v="25"/>
    <x v="2"/>
    <x v="0"/>
    <x v="1"/>
    <n v="131.4"/>
  </r>
  <r>
    <x v="2"/>
    <x v="1"/>
    <x v="25"/>
    <x v="2"/>
    <x v="0"/>
    <x v="2"/>
    <n v="131.69999999999999"/>
  </r>
  <r>
    <x v="2"/>
    <x v="1"/>
    <x v="25"/>
    <x v="6"/>
    <x v="0"/>
    <x v="0"/>
    <n v="128.80000000000001"/>
  </r>
  <r>
    <x v="2"/>
    <x v="1"/>
    <x v="25"/>
    <x v="6"/>
    <x v="0"/>
    <x v="1"/>
    <n v="128.5"/>
  </r>
  <r>
    <x v="2"/>
    <x v="1"/>
    <x v="25"/>
    <x v="6"/>
    <x v="0"/>
    <x v="2"/>
    <n v="128"/>
  </r>
  <r>
    <x v="2"/>
    <x v="1"/>
    <x v="25"/>
    <x v="23"/>
    <x v="7"/>
    <x v="0"/>
    <n v="118.2"/>
  </r>
  <r>
    <x v="2"/>
    <x v="1"/>
    <x v="25"/>
    <x v="23"/>
    <x v="7"/>
    <x v="1"/>
    <n v="117.2"/>
  </r>
  <r>
    <x v="2"/>
    <x v="1"/>
    <x v="25"/>
    <x v="23"/>
    <x v="7"/>
    <x v="2"/>
    <n v="116.2"/>
  </r>
  <r>
    <x v="2"/>
    <x v="1"/>
    <x v="25"/>
    <x v="18"/>
    <x v="0"/>
    <x v="0"/>
    <n v="121.5"/>
  </r>
  <r>
    <x v="2"/>
    <x v="1"/>
    <x v="25"/>
    <x v="18"/>
    <x v="0"/>
    <x v="1"/>
    <n v="120.4"/>
  </r>
  <r>
    <x v="2"/>
    <x v="1"/>
    <x v="25"/>
    <x v="18"/>
    <x v="0"/>
    <x v="2"/>
    <n v="118.8"/>
  </r>
  <r>
    <x v="2"/>
    <x v="1"/>
    <x v="25"/>
    <x v="7"/>
    <x v="0"/>
    <x v="0"/>
    <n v="114"/>
  </r>
  <r>
    <x v="2"/>
    <x v="1"/>
    <x v="25"/>
    <x v="7"/>
    <x v="0"/>
    <x v="1"/>
    <n v="111.4"/>
  </r>
  <r>
    <x v="2"/>
    <x v="1"/>
    <x v="25"/>
    <x v="7"/>
    <x v="0"/>
    <x v="2"/>
    <n v="106.8"/>
  </r>
  <r>
    <x v="2"/>
    <x v="1"/>
    <x v="25"/>
    <x v="22"/>
    <x v="7"/>
    <x v="0"/>
    <n v="130.1"/>
  </r>
  <r>
    <x v="2"/>
    <x v="1"/>
    <x v="25"/>
    <x v="22"/>
    <x v="7"/>
    <x v="1"/>
    <n v="131.19999999999999"/>
  </r>
  <r>
    <x v="2"/>
    <x v="1"/>
    <x v="25"/>
    <x v="22"/>
    <x v="7"/>
    <x v="2"/>
    <n v="134.19999999999999"/>
  </r>
  <r>
    <x v="2"/>
    <x v="1"/>
    <x v="25"/>
    <x v="24"/>
    <x v="7"/>
    <x v="0"/>
    <n v="112.5"/>
  </r>
  <r>
    <x v="2"/>
    <x v="1"/>
    <x v="25"/>
    <x v="24"/>
    <x v="7"/>
    <x v="1"/>
    <n v="112.3"/>
  </r>
  <r>
    <x v="2"/>
    <x v="1"/>
    <x v="25"/>
    <x v="24"/>
    <x v="7"/>
    <x v="2"/>
    <n v="112"/>
  </r>
  <r>
    <x v="2"/>
    <x v="1"/>
    <x v="25"/>
    <x v="20"/>
    <x v="0"/>
    <x v="0"/>
    <n v="132.5"/>
  </r>
  <r>
    <x v="2"/>
    <x v="1"/>
    <x v="25"/>
    <x v="20"/>
    <x v="0"/>
    <x v="1"/>
    <n v="132.1"/>
  </r>
  <r>
    <x v="2"/>
    <x v="1"/>
    <x v="25"/>
    <x v="20"/>
    <x v="0"/>
    <x v="2"/>
    <n v="131.69999999999999"/>
  </r>
  <r>
    <x v="2"/>
    <x v="1"/>
    <x v="25"/>
    <x v="12"/>
    <x v="0"/>
    <x v="0"/>
    <n v="137.9"/>
  </r>
  <r>
    <x v="2"/>
    <x v="1"/>
    <x v="25"/>
    <x v="12"/>
    <x v="0"/>
    <x v="1"/>
    <n v="144"/>
  </r>
  <r>
    <x v="2"/>
    <x v="1"/>
    <x v="25"/>
    <x v="12"/>
    <x v="0"/>
    <x v="2"/>
    <n v="156"/>
  </r>
  <r>
    <x v="2"/>
    <x v="1"/>
    <x v="25"/>
    <x v="26"/>
    <x v="9"/>
    <x v="0"/>
    <n v="118.5"/>
  </r>
  <r>
    <x v="2"/>
    <x v="1"/>
    <x v="25"/>
    <x v="26"/>
    <x v="9"/>
    <x v="1"/>
    <n v="117.8"/>
  </r>
  <r>
    <x v="2"/>
    <x v="1"/>
    <x v="25"/>
    <x v="26"/>
    <x v="9"/>
    <x v="2"/>
    <n v="117.2"/>
  </r>
  <r>
    <x v="2"/>
    <x v="1"/>
    <x v="25"/>
    <x v="16"/>
    <x v="0"/>
    <x v="0"/>
    <n v="123.9"/>
  </r>
  <r>
    <x v="2"/>
    <x v="1"/>
    <x v="25"/>
    <x v="16"/>
    <x v="0"/>
    <x v="1"/>
    <n v="126.8"/>
  </r>
  <r>
    <x v="2"/>
    <x v="1"/>
    <x v="25"/>
    <x v="16"/>
    <x v="0"/>
    <x v="2"/>
    <n v="132.69999999999999"/>
  </r>
  <r>
    <x v="2"/>
    <x v="1"/>
    <x v="25"/>
    <x v="14"/>
    <x v="0"/>
    <x v="0"/>
    <n v="93.1"/>
  </r>
  <r>
    <x v="2"/>
    <x v="1"/>
    <x v="25"/>
    <x v="14"/>
    <x v="0"/>
    <x v="1"/>
    <n v="90.5"/>
  </r>
  <r>
    <x v="2"/>
    <x v="1"/>
    <x v="25"/>
    <x v="14"/>
    <x v="0"/>
    <x v="2"/>
    <n v="85.3"/>
  </r>
  <r>
    <x v="2"/>
    <x v="1"/>
    <x v="25"/>
    <x v="25"/>
    <x v="8"/>
    <x v="0"/>
    <n v="113.6"/>
  </r>
  <r>
    <x v="2"/>
    <x v="1"/>
    <x v="25"/>
    <x v="25"/>
    <x v="8"/>
    <x v="1"/>
    <n v="111.7"/>
  </r>
  <r>
    <x v="2"/>
    <x v="1"/>
    <x v="25"/>
    <x v="25"/>
    <x v="8"/>
    <x v="2"/>
    <n v="109.9"/>
  </r>
  <r>
    <x v="2"/>
    <x v="1"/>
    <x v="25"/>
    <x v="11"/>
    <x v="0"/>
    <x v="0"/>
    <n v="153.6"/>
  </r>
  <r>
    <x v="2"/>
    <x v="1"/>
    <x v="25"/>
    <x v="11"/>
    <x v="0"/>
    <x v="1"/>
    <n v="157.6"/>
  </r>
  <r>
    <x v="2"/>
    <x v="1"/>
    <x v="25"/>
    <x v="11"/>
    <x v="0"/>
    <x v="2"/>
    <n v="165.5"/>
  </r>
  <r>
    <x v="2"/>
    <x v="2"/>
    <x v="26"/>
    <x v="0"/>
    <x v="0"/>
    <x v="0"/>
    <n v="126.3"/>
  </r>
  <r>
    <x v="2"/>
    <x v="2"/>
    <x v="26"/>
    <x v="0"/>
    <x v="0"/>
    <x v="1"/>
    <n v="125.7"/>
  </r>
  <r>
    <x v="2"/>
    <x v="2"/>
    <x v="26"/>
    <x v="0"/>
    <x v="0"/>
    <x v="2"/>
    <n v="124.3"/>
  </r>
  <r>
    <x v="2"/>
    <x v="2"/>
    <x v="26"/>
    <x v="1"/>
    <x v="1"/>
    <x v="0"/>
    <n v="132.5"/>
  </r>
  <r>
    <x v="2"/>
    <x v="2"/>
    <x v="26"/>
    <x v="1"/>
    <x v="1"/>
    <x v="1"/>
    <n v="129.69999999999999"/>
  </r>
  <r>
    <x v="2"/>
    <x v="2"/>
    <x v="26"/>
    <x v="1"/>
    <x v="1"/>
    <x v="2"/>
    <n v="125.4"/>
  </r>
  <r>
    <x v="2"/>
    <x v="2"/>
    <x v="26"/>
    <x v="3"/>
    <x v="1"/>
    <x v="0"/>
    <n v="131.9"/>
  </r>
  <r>
    <x v="2"/>
    <x v="2"/>
    <x v="26"/>
    <x v="3"/>
    <x v="1"/>
    <x v="1"/>
    <n v="129"/>
  </r>
  <r>
    <x v="2"/>
    <x v="2"/>
    <x v="26"/>
    <x v="3"/>
    <x v="1"/>
    <x v="2"/>
    <n v="124.5"/>
  </r>
  <r>
    <x v="2"/>
    <x v="2"/>
    <x v="26"/>
    <x v="5"/>
    <x v="2"/>
    <x v="0"/>
    <n v="125.6"/>
  </r>
  <r>
    <x v="2"/>
    <x v="2"/>
    <x v="26"/>
    <x v="5"/>
    <x v="2"/>
    <x v="1"/>
    <n v="126.2"/>
  </r>
  <r>
    <x v="2"/>
    <x v="2"/>
    <x v="26"/>
    <x v="5"/>
    <x v="2"/>
    <x v="2"/>
    <n v="126.6"/>
  </r>
  <r>
    <x v="2"/>
    <x v="2"/>
    <x v="26"/>
    <x v="4"/>
    <x v="0"/>
    <x v="0"/>
    <n v="123.3"/>
  </r>
  <r>
    <x v="2"/>
    <x v="2"/>
    <x v="26"/>
    <x v="4"/>
    <x v="0"/>
    <x v="1"/>
    <n v="124.8"/>
  </r>
  <r>
    <x v="2"/>
    <x v="2"/>
    <x v="26"/>
    <x v="4"/>
    <x v="0"/>
    <x v="2"/>
    <n v="127.1"/>
  </r>
  <r>
    <x v="2"/>
    <x v="2"/>
    <x v="26"/>
    <x v="8"/>
    <x v="0"/>
    <x v="0"/>
    <n v="131.4"/>
  </r>
  <r>
    <x v="2"/>
    <x v="2"/>
    <x v="26"/>
    <x v="8"/>
    <x v="0"/>
    <x v="1"/>
    <n v="131.4"/>
  </r>
  <r>
    <x v="2"/>
    <x v="2"/>
    <x v="26"/>
    <x v="8"/>
    <x v="0"/>
    <x v="2"/>
    <n v="131.5"/>
  </r>
  <r>
    <x v="2"/>
    <x v="2"/>
    <x v="26"/>
    <x v="10"/>
    <x v="1"/>
    <x v="0"/>
    <n v="128.5"/>
  </r>
  <r>
    <x v="2"/>
    <x v="2"/>
    <x v="26"/>
    <x v="10"/>
    <x v="1"/>
    <x v="1"/>
    <n v="124.8"/>
  </r>
  <r>
    <x v="2"/>
    <x v="2"/>
    <x v="26"/>
    <x v="10"/>
    <x v="1"/>
    <x v="2"/>
    <n v="119.5"/>
  </r>
  <r>
    <x v="2"/>
    <x v="2"/>
    <x v="26"/>
    <x v="9"/>
    <x v="0"/>
    <x v="0"/>
    <n v="131.6"/>
  </r>
  <r>
    <x v="2"/>
    <x v="2"/>
    <x v="26"/>
    <x v="9"/>
    <x v="0"/>
    <x v="1"/>
    <n v="126.6"/>
  </r>
  <r>
    <x v="2"/>
    <x v="2"/>
    <x v="26"/>
    <x v="9"/>
    <x v="0"/>
    <x v="2"/>
    <n v="120.8"/>
  </r>
  <r>
    <x v="2"/>
    <x v="2"/>
    <x v="26"/>
    <x v="13"/>
    <x v="3"/>
    <x v="0"/>
    <n v="125.7"/>
  </r>
  <r>
    <x v="2"/>
    <x v="2"/>
    <x v="26"/>
    <x v="13"/>
    <x v="3"/>
    <x v="1"/>
    <n v="122"/>
  </r>
  <r>
    <x v="2"/>
    <x v="2"/>
    <x v="26"/>
    <x v="13"/>
    <x v="3"/>
    <x v="2"/>
    <n v="116"/>
  </r>
  <r>
    <x v="2"/>
    <x v="2"/>
    <x v="26"/>
    <x v="15"/>
    <x v="4"/>
    <x v="0"/>
    <n v="127.9"/>
  </r>
  <r>
    <x v="2"/>
    <x v="2"/>
    <x v="26"/>
    <x v="15"/>
    <x v="4"/>
    <x v="1"/>
    <n v="126.1"/>
  </r>
  <r>
    <x v="2"/>
    <x v="2"/>
    <x v="26"/>
    <x v="15"/>
    <x v="4"/>
    <x v="2"/>
    <n v="124"/>
  </r>
  <r>
    <x v="2"/>
    <x v="2"/>
    <x v="26"/>
    <x v="17"/>
    <x v="5"/>
    <x v="0"/>
    <n v="123.1"/>
  </r>
  <r>
    <x v="2"/>
    <x v="2"/>
    <x v="26"/>
    <x v="17"/>
    <x v="5"/>
    <x v="1"/>
    <n v="121.4"/>
  </r>
  <r>
    <x v="2"/>
    <x v="2"/>
    <x v="26"/>
    <x v="17"/>
    <x v="5"/>
    <x v="2"/>
    <n v="118.6"/>
  </r>
  <r>
    <x v="2"/>
    <x v="2"/>
    <x v="26"/>
    <x v="19"/>
    <x v="6"/>
    <x v="0"/>
    <n v="126"/>
  </r>
  <r>
    <x v="2"/>
    <x v="2"/>
    <x v="26"/>
    <x v="19"/>
    <x v="6"/>
    <x v="1"/>
    <n v="123.6"/>
  </r>
  <r>
    <x v="2"/>
    <x v="2"/>
    <x v="26"/>
    <x v="19"/>
    <x v="6"/>
    <x v="2"/>
    <n v="121"/>
  </r>
  <r>
    <x v="2"/>
    <x v="2"/>
    <x v="26"/>
    <x v="21"/>
    <x v="6"/>
    <x v="0"/>
    <n v="0"/>
  </r>
  <r>
    <x v="2"/>
    <x v="2"/>
    <x v="26"/>
    <x v="21"/>
    <x v="6"/>
    <x v="1"/>
    <n v="122.4"/>
  </r>
  <r>
    <x v="2"/>
    <x v="2"/>
    <x v="26"/>
    <x v="21"/>
    <x v="6"/>
    <x v="2"/>
    <n v="122.4"/>
  </r>
  <r>
    <x v="2"/>
    <x v="2"/>
    <x v="26"/>
    <x v="2"/>
    <x v="0"/>
    <x v="0"/>
    <n v="131.30000000000001"/>
  </r>
  <r>
    <x v="2"/>
    <x v="2"/>
    <x v="26"/>
    <x v="2"/>
    <x v="0"/>
    <x v="1"/>
    <n v="131.4"/>
  </r>
  <r>
    <x v="2"/>
    <x v="2"/>
    <x v="26"/>
    <x v="2"/>
    <x v="0"/>
    <x v="2"/>
    <n v="131.69999999999999"/>
  </r>
  <r>
    <x v="2"/>
    <x v="2"/>
    <x v="26"/>
    <x v="6"/>
    <x v="0"/>
    <x v="0"/>
    <n v="129.80000000000001"/>
  </r>
  <r>
    <x v="2"/>
    <x v="2"/>
    <x v="26"/>
    <x v="6"/>
    <x v="0"/>
    <x v="1"/>
    <n v="129.4"/>
  </r>
  <r>
    <x v="2"/>
    <x v="2"/>
    <x v="26"/>
    <x v="6"/>
    <x v="0"/>
    <x v="2"/>
    <n v="128.6"/>
  </r>
  <r>
    <x v="2"/>
    <x v="2"/>
    <x v="26"/>
    <x v="23"/>
    <x v="7"/>
    <x v="0"/>
    <n v="119.8"/>
  </r>
  <r>
    <x v="2"/>
    <x v="2"/>
    <x v="26"/>
    <x v="23"/>
    <x v="7"/>
    <x v="1"/>
    <n v="118.3"/>
  </r>
  <r>
    <x v="2"/>
    <x v="2"/>
    <x v="26"/>
    <x v="23"/>
    <x v="7"/>
    <x v="2"/>
    <n v="116.7"/>
  </r>
  <r>
    <x v="2"/>
    <x v="2"/>
    <x v="26"/>
    <x v="18"/>
    <x v="0"/>
    <x v="0"/>
    <n v="123.3"/>
  </r>
  <r>
    <x v="2"/>
    <x v="2"/>
    <x v="26"/>
    <x v="18"/>
    <x v="0"/>
    <x v="1"/>
    <n v="122"/>
  </r>
  <r>
    <x v="2"/>
    <x v="2"/>
    <x v="26"/>
    <x v="18"/>
    <x v="0"/>
    <x v="2"/>
    <n v="120.2"/>
  </r>
  <r>
    <x v="2"/>
    <x v="2"/>
    <x v="26"/>
    <x v="7"/>
    <x v="0"/>
    <x v="0"/>
    <n v="118.3"/>
  </r>
  <r>
    <x v="2"/>
    <x v="2"/>
    <x v="26"/>
    <x v="7"/>
    <x v="0"/>
    <x v="1"/>
    <n v="115.3"/>
  </r>
  <r>
    <x v="2"/>
    <x v="2"/>
    <x v="26"/>
    <x v="7"/>
    <x v="0"/>
    <x v="2"/>
    <n v="110"/>
  </r>
  <r>
    <x v="2"/>
    <x v="2"/>
    <x v="26"/>
    <x v="22"/>
    <x v="7"/>
    <x v="0"/>
    <n v="133.1"/>
  </r>
  <r>
    <x v="2"/>
    <x v="2"/>
    <x v="26"/>
    <x v="22"/>
    <x v="7"/>
    <x v="1"/>
    <n v="134.5"/>
  </r>
  <r>
    <x v="2"/>
    <x v="2"/>
    <x v="26"/>
    <x v="22"/>
    <x v="7"/>
    <x v="2"/>
    <n v="138.19999999999999"/>
  </r>
  <r>
    <x v="2"/>
    <x v="2"/>
    <x v="26"/>
    <x v="24"/>
    <x v="7"/>
    <x v="0"/>
    <n v="114.1"/>
  </r>
  <r>
    <x v="2"/>
    <x v="2"/>
    <x v="26"/>
    <x v="24"/>
    <x v="7"/>
    <x v="1"/>
    <n v="113.7"/>
  </r>
  <r>
    <x v="2"/>
    <x v="2"/>
    <x v="26"/>
    <x v="24"/>
    <x v="7"/>
    <x v="2"/>
    <n v="113.2"/>
  </r>
  <r>
    <x v="2"/>
    <x v="2"/>
    <x v="26"/>
    <x v="20"/>
    <x v="0"/>
    <x v="0"/>
    <n v="135.1"/>
  </r>
  <r>
    <x v="2"/>
    <x v="2"/>
    <x v="26"/>
    <x v="20"/>
    <x v="0"/>
    <x v="1"/>
    <n v="134.69999999999999"/>
  </r>
  <r>
    <x v="2"/>
    <x v="2"/>
    <x v="26"/>
    <x v="20"/>
    <x v="0"/>
    <x v="2"/>
    <n v="134.19999999999999"/>
  </r>
  <r>
    <x v="2"/>
    <x v="2"/>
    <x v="26"/>
    <x v="12"/>
    <x v="0"/>
    <x v="0"/>
    <n v="162.1"/>
  </r>
  <r>
    <x v="2"/>
    <x v="2"/>
    <x v="26"/>
    <x v="12"/>
    <x v="0"/>
    <x v="1"/>
    <n v="171.5"/>
  </r>
  <r>
    <x v="2"/>
    <x v="2"/>
    <x v="26"/>
    <x v="12"/>
    <x v="0"/>
    <x v="2"/>
    <n v="190.1"/>
  </r>
  <r>
    <x v="2"/>
    <x v="2"/>
    <x v="26"/>
    <x v="26"/>
    <x v="9"/>
    <x v="0"/>
    <n v="121.6"/>
  </r>
  <r>
    <x v="2"/>
    <x v="2"/>
    <x v="26"/>
    <x v="26"/>
    <x v="9"/>
    <x v="1"/>
    <n v="119.6"/>
  </r>
  <r>
    <x v="2"/>
    <x v="2"/>
    <x v="26"/>
    <x v="26"/>
    <x v="9"/>
    <x v="2"/>
    <n v="118.1"/>
  </r>
  <r>
    <x v="2"/>
    <x v="2"/>
    <x v="26"/>
    <x v="16"/>
    <x v="0"/>
    <x v="0"/>
    <n v="128.9"/>
  </r>
  <r>
    <x v="2"/>
    <x v="2"/>
    <x v="26"/>
    <x v="16"/>
    <x v="0"/>
    <x v="1"/>
    <n v="132.1"/>
  </r>
  <r>
    <x v="2"/>
    <x v="2"/>
    <x v="26"/>
    <x v="16"/>
    <x v="0"/>
    <x v="2"/>
    <n v="138.6"/>
  </r>
  <r>
    <x v="2"/>
    <x v="2"/>
    <x v="26"/>
    <x v="14"/>
    <x v="0"/>
    <x v="0"/>
    <n v="95.4"/>
  </r>
  <r>
    <x v="2"/>
    <x v="2"/>
    <x v="26"/>
    <x v="14"/>
    <x v="0"/>
    <x v="1"/>
    <n v="94.5"/>
  </r>
  <r>
    <x v="2"/>
    <x v="2"/>
    <x v="26"/>
    <x v="14"/>
    <x v="0"/>
    <x v="2"/>
    <n v="92.7"/>
  </r>
  <r>
    <x v="2"/>
    <x v="2"/>
    <x v="26"/>
    <x v="25"/>
    <x v="8"/>
    <x v="0"/>
    <n v="114"/>
  </r>
  <r>
    <x v="2"/>
    <x v="2"/>
    <x v="26"/>
    <x v="25"/>
    <x v="8"/>
    <x v="1"/>
    <n v="111.5"/>
  </r>
  <r>
    <x v="2"/>
    <x v="2"/>
    <x v="26"/>
    <x v="25"/>
    <x v="8"/>
    <x v="2"/>
    <n v="109.3"/>
  </r>
  <r>
    <x v="2"/>
    <x v="2"/>
    <x v="26"/>
    <x v="11"/>
    <x v="0"/>
    <x v="0"/>
    <n v="145.5"/>
  </r>
  <r>
    <x v="2"/>
    <x v="2"/>
    <x v="26"/>
    <x v="11"/>
    <x v="0"/>
    <x v="1"/>
    <n v="146.69999999999999"/>
  </r>
  <r>
    <x v="2"/>
    <x v="2"/>
    <x v="26"/>
    <x v="11"/>
    <x v="0"/>
    <x v="2"/>
    <n v="149"/>
  </r>
  <r>
    <x v="2"/>
    <x v="3"/>
    <x v="27"/>
    <x v="0"/>
    <x v="0"/>
    <x v="0"/>
    <n v="123.4"/>
  </r>
  <r>
    <x v="2"/>
    <x v="3"/>
    <x v="27"/>
    <x v="0"/>
    <x v="0"/>
    <x v="1"/>
    <n v="123.7"/>
  </r>
  <r>
    <x v="2"/>
    <x v="3"/>
    <x v="27"/>
    <x v="0"/>
    <x v="0"/>
    <x v="2"/>
    <n v="124.3"/>
  </r>
  <r>
    <x v="2"/>
    <x v="3"/>
    <x v="27"/>
    <x v="1"/>
    <x v="1"/>
    <x v="0"/>
    <n v="125.4"/>
  </r>
  <r>
    <x v="2"/>
    <x v="3"/>
    <x v="27"/>
    <x v="1"/>
    <x v="1"/>
    <x v="1"/>
    <n v="123.8"/>
  </r>
  <r>
    <x v="2"/>
    <x v="3"/>
    <x v="27"/>
    <x v="1"/>
    <x v="1"/>
    <x v="2"/>
    <n v="121.3"/>
  </r>
  <r>
    <x v="2"/>
    <x v="3"/>
    <x v="27"/>
    <x v="3"/>
    <x v="1"/>
    <x v="0"/>
    <n v="125"/>
  </r>
  <r>
    <x v="2"/>
    <x v="3"/>
    <x v="27"/>
    <x v="3"/>
    <x v="1"/>
    <x v="1"/>
    <n v="123.3"/>
  </r>
  <r>
    <x v="2"/>
    <x v="3"/>
    <x v="27"/>
    <x v="3"/>
    <x v="1"/>
    <x v="2"/>
    <n v="120.6"/>
  </r>
  <r>
    <x v="2"/>
    <x v="3"/>
    <x v="27"/>
    <x v="5"/>
    <x v="2"/>
    <x v="0"/>
    <n v="118.7"/>
  </r>
  <r>
    <x v="2"/>
    <x v="3"/>
    <x v="27"/>
    <x v="5"/>
    <x v="2"/>
    <x v="1"/>
    <n v="119.7"/>
  </r>
  <r>
    <x v="2"/>
    <x v="3"/>
    <x v="27"/>
    <x v="5"/>
    <x v="2"/>
    <x v="2"/>
    <n v="120.4"/>
  </r>
  <r>
    <x v="2"/>
    <x v="3"/>
    <x v="27"/>
    <x v="4"/>
    <x v="0"/>
    <x v="0"/>
    <n v="122.1"/>
  </r>
  <r>
    <x v="2"/>
    <x v="3"/>
    <x v="27"/>
    <x v="4"/>
    <x v="0"/>
    <x v="1"/>
    <n v="121.1"/>
  </r>
  <r>
    <x v="2"/>
    <x v="3"/>
    <x v="27"/>
    <x v="4"/>
    <x v="0"/>
    <x v="2"/>
    <n v="119.5"/>
  </r>
  <r>
    <x v="2"/>
    <x v="3"/>
    <x v="27"/>
    <x v="8"/>
    <x v="0"/>
    <x v="0"/>
    <n v="122.8"/>
  </r>
  <r>
    <x v="2"/>
    <x v="3"/>
    <x v="27"/>
    <x v="8"/>
    <x v="0"/>
    <x v="1"/>
    <n v="123.1"/>
  </r>
  <r>
    <x v="2"/>
    <x v="3"/>
    <x v="27"/>
    <x v="8"/>
    <x v="0"/>
    <x v="2"/>
    <n v="123.7"/>
  </r>
  <r>
    <x v="2"/>
    <x v="3"/>
    <x v="27"/>
    <x v="10"/>
    <x v="1"/>
    <x v="0"/>
    <n v="122.7"/>
  </r>
  <r>
    <x v="2"/>
    <x v="3"/>
    <x v="27"/>
    <x v="10"/>
    <x v="1"/>
    <x v="1"/>
    <n v="120.1"/>
  </r>
  <r>
    <x v="2"/>
    <x v="3"/>
    <x v="27"/>
    <x v="10"/>
    <x v="1"/>
    <x v="2"/>
    <n v="116.5"/>
  </r>
  <r>
    <x v="2"/>
    <x v="3"/>
    <x v="27"/>
    <x v="9"/>
    <x v="0"/>
    <x v="0"/>
    <n v="129.4"/>
  </r>
  <r>
    <x v="2"/>
    <x v="3"/>
    <x v="27"/>
    <x v="9"/>
    <x v="0"/>
    <x v="1"/>
    <n v="125.8"/>
  </r>
  <r>
    <x v="2"/>
    <x v="3"/>
    <x v="27"/>
    <x v="9"/>
    <x v="0"/>
    <x v="2"/>
    <n v="121.6"/>
  </r>
  <r>
    <x v="2"/>
    <x v="3"/>
    <x v="27"/>
    <x v="13"/>
    <x v="3"/>
    <x v="0"/>
    <n v="120"/>
  </r>
  <r>
    <x v="2"/>
    <x v="3"/>
    <x v="27"/>
    <x v="13"/>
    <x v="3"/>
    <x v="1"/>
    <n v="117.7"/>
  </r>
  <r>
    <x v="2"/>
    <x v="3"/>
    <x v="27"/>
    <x v="13"/>
    <x v="3"/>
    <x v="2"/>
    <n v="114"/>
  </r>
  <r>
    <x v="2"/>
    <x v="3"/>
    <x v="27"/>
    <x v="15"/>
    <x v="4"/>
    <x v="0"/>
    <n v="120.6"/>
  </r>
  <r>
    <x v="2"/>
    <x v="3"/>
    <x v="27"/>
    <x v="15"/>
    <x v="4"/>
    <x v="1"/>
    <n v="119.7"/>
  </r>
  <r>
    <x v="2"/>
    <x v="3"/>
    <x v="27"/>
    <x v="15"/>
    <x v="4"/>
    <x v="2"/>
    <n v="118.7"/>
  </r>
  <r>
    <x v="2"/>
    <x v="3"/>
    <x v="27"/>
    <x v="17"/>
    <x v="5"/>
    <x v="0"/>
    <n v="117.7"/>
  </r>
  <r>
    <x v="2"/>
    <x v="3"/>
    <x v="27"/>
    <x v="17"/>
    <x v="5"/>
    <x v="1"/>
    <n v="116.3"/>
  </r>
  <r>
    <x v="2"/>
    <x v="3"/>
    <x v="27"/>
    <x v="17"/>
    <x v="5"/>
    <x v="2"/>
    <n v="114.1"/>
  </r>
  <r>
    <x v="2"/>
    <x v="3"/>
    <x v="27"/>
    <x v="19"/>
    <x v="6"/>
    <x v="0"/>
    <n v="119.6"/>
  </r>
  <r>
    <x v="2"/>
    <x v="3"/>
    <x v="27"/>
    <x v="19"/>
    <x v="6"/>
    <x v="1"/>
    <n v="118.7"/>
  </r>
  <r>
    <x v="2"/>
    <x v="3"/>
    <x v="27"/>
    <x v="19"/>
    <x v="6"/>
    <x v="2"/>
    <n v="117.7"/>
  </r>
  <r>
    <x v="2"/>
    <x v="3"/>
    <x v="27"/>
    <x v="21"/>
    <x v="6"/>
    <x v="0"/>
    <n v="0"/>
  </r>
  <r>
    <x v="2"/>
    <x v="3"/>
    <x v="27"/>
    <x v="21"/>
    <x v="6"/>
    <x v="1"/>
    <n v="118.1"/>
  </r>
  <r>
    <x v="2"/>
    <x v="3"/>
    <x v="27"/>
    <x v="21"/>
    <x v="6"/>
    <x v="2"/>
    <n v="118.1"/>
  </r>
  <r>
    <x v="2"/>
    <x v="3"/>
    <x v="27"/>
    <x v="2"/>
    <x v="0"/>
    <x v="0"/>
    <n v="124.4"/>
  </r>
  <r>
    <x v="2"/>
    <x v="3"/>
    <x v="27"/>
    <x v="2"/>
    <x v="0"/>
    <x v="1"/>
    <n v="125.1"/>
  </r>
  <r>
    <x v="2"/>
    <x v="3"/>
    <x v="27"/>
    <x v="2"/>
    <x v="0"/>
    <x v="2"/>
    <n v="126.5"/>
  </r>
  <r>
    <x v="2"/>
    <x v="3"/>
    <x v="27"/>
    <x v="6"/>
    <x v="0"/>
    <x v="0"/>
    <n v="125.8"/>
  </r>
  <r>
    <x v="2"/>
    <x v="3"/>
    <x v="27"/>
    <x v="6"/>
    <x v="0"/>
    <x v="1"/>
    <n v="125.7"/>
  </r>
  <r>
    <x v="2"/>
    <x v="3"/>
    <x v="27"/>
    <x v="6"/>
    <x v="0"/>
    <x v="2"/>
    <n v="125.6"/>
  </r>
  <r>
    <x v="2"/>
    <x v="3"/>
    <x v="27"/>
    <x v="23"/>
    <x v="7"/>
    <x v="0"/>
    <n v="115"/>
  </r>
  <r>
    <x v="2"/>
    <x v="3"/>
    <x v="27"/>
    <x v="23"/>
    <x v="7"/>
    <x v="1"/>
    <n v="114.1"/>
  </r>
  <r>
    <x v="2"/>
    <x v="3"/>
    <x v="27"/>
    <x v="23"/>
    <x v="7"/>
    <x v="2"/>
    <n v="113.2"/>
  </r>
  <r>
    <x v="2"/>
    <x v="3"/>
    <x v="27"/>
    <x v="18"/>
    <x v="0"/>
    <x v="0"/>
    <n v="118.8"/>
  </r>
  <r>
    <x v="2"/>
    <x v="3"/>
    <x v="27"/>
    <x v="18"/>
    <x v="0"/>
    <x v="1"/>
    <n v="118"/>
  </r>
  <r>
    <x v="2"/>
    <x v="3"/>
    <x v="27"/>
    <x v="18"/>
    <x v="0"/>
    <x v="2"/>
    <n v="116.8"/>
  </r>
  <r>
    <x v="2"/>
    <x v="3"/>
    <x v="27"/>
    <x v="7"/>
    <x v="0"/>
    <x v="0"/>
    <n v="111.5"/>
  </r>
  <r>
    <x v="2"/>
    <x v="3"/>
    <x v="27"/>
    <x v="7"/>
    <x v="0"/>
    <x v="1"/>
    <n v="109.1"/>
  </r>
  <r>
    <x v="2"/>
    <x v="3"/>
    <x v="27"/>
    <x v="7"/>
    <x v="0"/>
    <x v="2"/>
    <n v="104.9"/>
  </r>
  <r>
    <x v="2"/>
    <x v="3"/>
    <x v="27"/>
    <x v="22"/>
    <x v="7"/>
    <x v="0"/>
    <n v="124.2"/>
  </r>
  <r>
    <x v="2"/>
    <x v="3"/>
    <x v="27"/>
    <x v="22"/>
    <x v="7"/>
    <x v="1"/>
    <n v="125.2"/>
  </r>
  <r>
    <x v="2"/>
    <x v="3"/>
    <x v="27"/>
    <x v="22"/>
    <x v="7"/>
    <x v="2"/>
    <n v="128.1"/>
  </r>
  <r>
    <x v="2"/>
    <x v="3"/>
    <x v="27"/>
    <x v="24"/>
    <x v="7"/>
    <x v="0"/>
    <n v="110.8"/>
  </r>
  <r>
    <x v="2"/>
    <x v="3"/>
    <x v="27"/>
    <x v="24"/>
    <x v="7"/>
    <x v="1"/>
    <n v="111.2"/>
  </r>
  <r>
    <x v="2"/>
    <x v="3"/>
    <x v="27"/>
    <x v="24"/>
    <x v="7"/>
    <x v="2"/>
    <n v="111.7"/>
  </r>
  <r>
    <x v="2"/>
    <x v="3"/>
    <x v="27"/>
    <x v="20"/>
    <x v="0"/>
    <x v="0"/>
    <n v="126.8"/>
  </r>
  <r>
    <x v="2"/>
    <x v="3"/>
    <x v="27"/>
    <x v="20"/>
    <x v="0"/>
    <x v="1"/>
    <n v="127.6"/>
  </r>
  <r>
    <x v="2"/>
    <x v="3"/>
    <x v="27"/>
    <x v="20"/>
    <x v="0"/>
    <x v="2"/>
    <n v="128.6"/>
  </r>
  <r>
    <x v="2"/>
    <x v="3"/>
    <x v="27"/>
    <x v="12"/>
    <x v="0"/>
    <x v="0"/>
    <n v="118.8"/>
  </r>
  <r>
    <x v="2"/>
    <x v="3"/>
    <x v="27"/>
    <x v="12"/>
    <x v="0"/>
    <x v="1"/>
    <n v="120.9"/>
  </r>
  <r>
    <x v="2"/>
    <x v="3"/>
    <x v="27"/>
    <x v="12"/>
    <x v="0"/>
    <x v="2"/>
    <n v="125.1"/>
  </r>
  <r>
    <x v="2"/>
    <x v="3"/>
    <x v="27"/>
    <x v="26"/>
    <x v="9"/>
    <x v="0"/>
    <n v="114.8"/>
  </r>
  <r>
    <x v="2"/>
    <x v="3"/>
    <x v="27"/>
    <x v="26"/>
    <x v="9"/>
    <x v="1"/>
    <n v="114.9"/>
  </r>
  <r>
    <x v="2"/>
    <x v="3"/>
    <x v="27"/>
    <x v="26"/>
    <x v="9"/>
    <x v="2"/>
    <n v="114.9"/>
  </r>
  <r>
    <x v="2"/>
    <x v="3"/>
    <x v="27"/>
    <x v="16"/>
    <x v="0"/>
    <x v="0"/>
    <n v="118.6"/>
  </r>
  <r>
    <x v="2"/>
    <x v="3"/>
    <x v="27"/>
    <x v="16"/>
    <x v="0"/>
    <x v="1"/>
    <n v="121.6"/>
  </r>
  <r>
    <x v="2"/>
    <x v="3"/>
    <x v="27"/>
    <x v="16"/>
    <x v="0"/>
    <x v="2"/>
    <n v="127.7"/>
  </r>
  <r>
    <x v="2"/>
    <x v="3"/>
    <x v="27"/>
    <x v="14"/>
    <x v="0"/>
    <x v="0"/>
    <n v="100"/>
  </r>
  <r>
    <x v="2"/>
    <x v="3"/>
    <x v="27"/>
    <x v="14"/>
    <x v="0"/>
    <x v="1"/>
    <n v="98.3"/>
  </r>
  <r>
    <x v="2"/>
    <x v="3"/>
    <x v="27"/>
    <x v="14"/>
    <x v="0"/>
    <x v="2"/>
    <n v="95"/>
  </r>
  <r>
    <x v="2"/>
    <x v="3"/>
    <x v="27"/>
    <x v="25"/>
    <x v="8"/>
    <x v="0"/>
    <n v="110.9"/>
  </r>
  <r>
    <x v="2"/>
    <x v="3"/>
    <x v="27"/>
    <x v="25"/>
    <x v="8"/>
    <x v="1"/>
    <n v="108.7"/>
  </r>
  <r>
    <x v="2"/>
    <x v="3"/>
    <x v="27"/>
    <x v="25"/>
    <x v="8"/>
    <x v="2"/>
    <n v="106.8"/>
  </r>
  <r>
    <x v="2"/>
    <x v="3"/>
    <x v="27"/>
    <x v="11"/>
    <x v="0"/>
    <x v="0"/>
    <n v="128.19999999999999"/>
  </r>
  <r>
    <x v="2"/>
    <x v="3"/>
    <x v="27"/>
    <x v="11"/>
    <x v="0"/>
    <x v="1"/>
    <n v="129.4"/>
  </r>
  <r>
    <x v="2"/>
    <x v="3"/>
    <x v="27"/>
    <x v="11"/>
    <x v="0"/>
    <x v="2"/>
    <n v="131.80000000000001"/>
  </r>
  <r>
    <x v="2"/>
    <x v="4"/>
    <x v="28"/>
    <x v="0"/>
    <x v="0"/>
    <x v="0"/>
    <n v="123.1"/>
  </r>
  <r>
    <x v="2"/>
    <x v="4"/>
    <x v="28"/>
    <x v="0"/>
    <x v="0"/>
    <x v="1"/>
    <n v="123.4"/>
  </r>
  <r>
    <x v="2"/>
    <x v="4"/>
    <x v="28"/>
    <x v="0"/>
    <x v="0"/>
    <x v="2"/>
    <n v="124"/>
  </r>
  <r>
    <x v="2"/>
    <x v="4"/>
    <x v="28"/>
    <x v="1"/>
    <x v="1"/>
    <x v="0"/>
    <n v="124.4"/>
  </r>
  <r>
    <x v="2"/>
    <x v="4"/>
    <x v="28"/>
    <x v="1"/>
    <x v="1"/>
    <x v="1"/>
    <n v="123.1"/>
  </r>
  <r>
    <x v="2"/>
    <x v="4"/>
    <x v="28"/>
    <x v="1"/>
    <x v="1"/>
    <x v="2"/>
    <n v="121"/>
  </r>
  <r>
    <x v="2"/>
    <x v="4"/>
    <x v="28"/>
    <x v="3"/>
    <x v="1"/>
    <x v="0"/>
    <n v="124"/>
  </r>
  <r>
    <x v="2"/>
    <x v="4"/>
    <x v="28"/>
    <x v="3"/>
    <x v="1"/>
    <x v="1"/>
    <n v="122.5"/>
  </r>
  <r>
    <x v="2"/>
    <x v="4"/>
    <x v="28"/>
    <x v="3"/>
    <x v="1"/>
    <x v="2"/>
    <n v="120.2"/>
  </r>
  <r>
    <x v="2"/>
    <x v="4"/>
    <x v="28"/>
    <x v="5"/>
    <x v="2"/>
    <x v="0"/>
    <n v="118.2"/>
  </r>
  <r>
    <x v="2"/>
    <x v="4"/>
    <x v="28"/>
    <x v="5"/>
    <x v="2"/>
    <x v="1"/>
    <n v="119.7"/>
  </r>
  <r>
    <x v="2"/>
    <x v="4"/>
    <x v="28"/>
    <x v="5"/>
    <x v="2"/>
    <x v="2"/>
    <n v="120.8"/>
  </r>
  <r>
    <x v="2"/>
    <x v="4"/>
    <x v="28"/>
    <x v="4"/>
    <x v="0"/>
    <x v="0"/>
    <n v="122.1"/>
  </r>
  <r>
    <x v="2"/>
    <x v="4"/>
    <x v="28"/>
    <x v="4"/>
    <x v="0"/>
    <x v="1"/>
    <n v="123.8"/>
  </r>
  <r>
    <x v="2"/>
    <x v="4"/>
    <x v="28"/>
    <x v="4"/>
    <x v="0"/>
    <x v="2"/>
    <n v="126.6"/>
  </r>
  <r>
    <x v="2"/>
    <x v="4"/>
    <x v="28"/>
    <x v="8"/>
    <x v="0"/>
    <x v="0"/>
    <n v="122.8"/>
  </r>
  <r>
    <x v="2"/>
    <x v="4"/>
    <x v="28"/>
    <x v="8"/>
    <x v="0"/>
    <x v="1"/>
    <n v="123.1"/>
  </r>
  <r>
    <x v="2"/>
    <x v="4"/>
    <x v="28"/>
    <x v="8"/>
    <x v="0"/>
    <x v="2"/>
    <n v="123.5"/>
  </r>
  <r>
    <x v="2"/>
    <x v="4"/>
    <x v="28"/>
    <x v="10"/>
    <x v="1"/>
    <x v="0"/>
    <n v="121.6"/>
  </r>
  <r>
    <x v="2"/>
    <x v="4"/>
    <x v="28"/>
    <x v="10"/>
    <x v="1"/>
    <x v="1"/>
    <n v="119.3"/>
  </r>
  <r>
    <x v="2"/>
    <x v="4"/>
    <x v="28"/>
    <x v="10"/>
    <x v="1"/>
    <x v="2"/>
    <n v="116.1"/>
  </r>
  <r>
    <x v="2"/>
    <x v="4"/>
    <x v="28"/>
    <x v="9"/>
    <x v="0"/>
    <x v="0"/>
    <n v="130.4"/>
  </r>
  <r>
    <x v="2"/>
    <x v="4"/>
    <x v="28"/>
    <x v="9"/>
    <x v="0"/>
    <x v="1"/>
    <n v="126.2"/>
  </r>
  <r>
    <x v="2"/>
    <x v="4"/>
    <x v="28"/>
    <x v="9"/>
    <x v="0"/>
    <x v="2"/>
    <n v="121.3"/>
  </r>
  <r>
    <x v="2"/>
    <x v="4"/>
    <x v="28"/>
    <x v="13"/>
    <x v="3"/>
    <x v="0"/>
    <n v="118.4"/>
  </r>
  <r>
    <x v="2"/>
    <x v="4"/>
    <x v="28"/>
    <x v="13"/>
    <x v="3"/>
    <x v="1"/>
    <n v="116.5"/>
  </r>
  <r>
    <x v="2"/>
    <x v="4"/>
    <x v="28"/>
    <x v="13"/>
    <x v="3"/>
    <x v="2"/>
    <n v="113.4"/>
  </r>
  <r>
    <x v="2"/>
    <x v="4"/>
    <x v="28"/>
    <x v="15"/>
    <x v="4"/>
    <x v="0"/>
    <n v="120.3"/>
  </r>
  <r>
    <x v="2"/>
    <x v="4"/>
    <x v="28"/>
    <x v="15"/>
    <x v="4"/>
    <x v="1"/>
    <n v="119.5"/>
  </r>
  <r>
    <x v="2"/>
    <x v="4"/>
    <x v="28"/>
    <x v="15"/>
    <x v="4"/>
    <x v="2"/>
    <n v="118.5"/>
  </r>
  <r>
    <x v="2"/>
    <x v="4"/>
    <x v="28"/>
    <x v="17"/>
    <x v="5"/>
    <x v="0"/>
    <n v="116.6"/>
  </r>
  <r>
    <x v="2"/>
    <x v="4"/>
    <x v="28"/>
    <x v="17"/>
    <x v="5"/>
    <x v="1"/>
    <n v="115.5"/>
  </r>
  <r>
    <x v="2"/>
    <x v="4"/>
    <x v="28"/>
    <x v="17"/>
    <x v="5"/>
    <x v="2"/>
    <n v="113.7"/>
  </r>
  <r>
    <x v="2"/>
    <x v="4"/>
    <x v="28"/>
    <x v="19"/>
    <x v="6"/>
    <x v="0"/>
    <n v="118.9"/>
  </r>
  <r>
    <x v="2"/>
    <x v="4"/>
    <x v="28"/>
    <x v="19"/>
    <x v="6"/>
    <x v="1"/>
    <n v="118.1"/>
  </r>
  <r>
    <x v="2"/>
    <x v="4"/>
    <x v="28"/>
    <x v="19"/>
    <x v="6"/>
    <x v="2"/>
    <n v="117.2"/>
  </r>
  <r>
    <x v="2"/>
    <x v="4"/>
    <x v="28"/>
    <x v="21"/>
    <x v="6"/>
    <x v="0"/>
    <n v="0"/>
  </r>
  <r>
    <x v="2"/>
    <x v="4"/>
    <x v="28"/>
    <x v="21"/>
    <x v="6"/>
    <x v="1"/>
    <n v="117.3"/>
  </r>
  <r>
    <x v="2"/>
    <x v="4"/>
    <x v="28"/>
    <x v="21"/>
    <x v="6"/>
    <x v="2"/>
    <n v="117.3"/>
  </r>
  <r>
    <x v="2"/>
    <x v="4"/>
    <x v="28"/>
    <x v="2"/>
    <x v="0"/>
    <x v="0"/>
    <n v="123.1"/>
  </r>
  <r>
    <x v="2"/>
    <x v="4"/>
    <x v="28"/>
    <x v="2"/>
    <x v="0"/>
    <x v="1"/>
    <n v="123.9"/>
  </r>
  <r>
    <x v="2"/>
    <x v="4"/>
    <x v="28"/>
    <x v="2"/>
    <x v="0"/>
    <x v="2"/>
    <n v="125.5"/>
  </r>
  <r>
    <x v="2"/>
    <x v="4"/>
    <x v="28"/>
    <x v="6"/>
    <x v="0"/>
    <x v="0"/>
    <n v="124.9"/>
  </r>
  <r>
    <x v="2"/>
    <x v="4"/>
    <x v="28"/>
    <x v="6"/>
    <x v="0"/>
    <x v="1"/>
    <n v="125"/>
  </r>
  <r>
    <x v="2"/>
    <x v="4"/>
    <x v="28"/>
    <x v="6"/>
    <x v="0"/>
    <x v="2"/>
    <n v="125.2"/>
  </r>
  <r>
    <x v="2"/>
    <x v="4"/>
    <x v="28"/>
    <x v="23"/>
    <x v="7"/>
    <x v="0"/>
    <n v="114.5"/>
  </r>
  <r>
    <x v="2"/>
    <x v="4"/>
    <x v="28"/>
    <x v="23"/>
    <x v="7"/>
    <x v="1"/>
    <n v="114"/>
  </r>
  <r>
    <x v="2"/>
    <x v="4"/>
    <x v="28"/>
    <x v="23"/>
    <x v="7"/>
    <x v="2"/>
    <n v="113.4"/>
  </r>
  <r>
    <x v="2"/>
    <x v="4"/>
    <x v="28"/>
    <x v="18"/>
    <x v="0"/>
    <x v="0"/>
    <n v="117.9"/>
  </r>
  <r>
    <x v="2"/>
    <x v="4"/>
    <x v="28"/>
    <x v="18"/>
    <x v="0"/>
    <x v="1"/>
    <n v="117.3"/>
  </r>
  <r>
    <x v="2"/>
    <x v="4"/>
    <x v="28"/>
    <x v="18"/>
    <x v="0"/>
    <x v="2"/>
    <n v="116.5"/>
  </r>
  <r>
    <x v="2"/>
    <x v="4"/>
    <x v="28"/>
    <x v="7"/>
    <x v="0"/>
    <x v="0"/>
    <n v="111"/>
  </r>
  <r>
    <x v="2"/>
    <x v="4"/>
    <x v="28"/>
    <x v="7"/>
    <x v="0"/>
    <x v="1"/>
    <n v="108.5"/>
  </r>
  <r>
    <x v="2"/>
    <x v="4"/>
    <x v="28"/>
    <x v="7"/>
    <x v="0"/>
    <x v="2"/>
    <n v="104.3"/>
  </r>
  <r>
    <x v="2"/>
    <x v="4"/>
    <x v="28"/>
    <x v="22"/>
    <x v="7"/>
    <x v="0"/>
    <n v="122.7"/>
  </r>
  <r>
    <x v="2"/>
    <x v="4"/>
    <x v="28"/>
    <x v="22"/>
    <x v="7"/>
    <x v="1"/>
    <n v="124"/>
  </r>
  <r>
    <x v="2"/>
    <x v="4"/>
    <x v="28"/>
    <x v="22"/>
    <x v="7"/>
    <x v="2"/>
    <n v="127.4"/>
  </r>
  <r>
    <x v="2"/>
    <x v="4"/>
    <x v="28"/>
    <x v="24"/>
    <x v="7"/>
    <x v="0"/>
    <n v="110.2"/>
  </r>
  <r>
    <x v="2"/>
    <x v="4"/>
    <x v="28"/>
    <x v="24"/>
    <x v="7"/>
    <x v="1"/>
    <n v="110.7"/>
  </r>
  <r>
    <x v="2"/>
    <x v="4"/>
    <x v="28"/>
    <x v="24"/>
    <x v="7"/>
    <x v="2"/>
    <n v="111.4"/>
  </r>
  <r>
    <x v="2"/>
    <x v="4"/>
    <x v="28"/>
    <x v="20"/>
    <x v="0"/>
    <x v="0"/>
    <n v="125.6"/>
  </r>
  <r>
    <x v="2"/>
    <x v="4"/>
    <x v="28"/>
    <x v="20"/>
    <x v="0"/>
    <x v="1"/>
    <n v="126.7"/>
  </r>
  <r>
    <x v="2"/>
    <x v="4"/>
    <x v="28"/>
    <x v="20"/>
    <x v="0"/>
    <x v="2"/>
    <n v="128"/>
  </r>
  <r>
    <x v="2"/>
    <x v="4"/>
    <x v="28"/>
    <x v="12"/>
    <x v="0"/>
    <x v="0"/>
    <n v="117.2"/>
  </r>
  <r>
    <x v="2"/>
    <x v="4"/>
    <x v="28"/>
    <x v="12"/>
    <x v="0"/>
    <x v="1"/>
    <n v="119.1"/>
  </r>
  <r>
    <x v="2"/>
    <x v="4"/>
    <x v="28"/>
    <x v="12"/>
    <x v="0"/>
    <x v="2"/>
    <n v="122.9"/>
  </r>
  <r>
    <x v="2"/>
    <x v="4"/>
    <x v="28"/>
    <x v="26"/>
    <x v="9"/>
    <x v="0"/>
    <n v="114"/>
  </r>
  <r>
    <x v="2"/>
    <x v="4"/>
    <x v="28"/>
    <x v="26"/>
    <x v="9"/>
    <x v="1"/>
    <n v="114.3"/>
  </r>
  <r>
    <x v="2"/>
    <x v="4"/>
    <x v="28"/>
    <x v="26"/>
    <x v="9"/>
    <x v="2"/>
    <n v="114.6"/>
  </r>
  <r>
    <x v="2"/>
    <x v="4"/>
    <x v="28"/>
    <x v="16"/>
    <x v="0"/>
    <x v="0"/>
    <n v="117.2"/>
  </r>
  <r>
    <x v="2"/>
    <x v="4"/>
    <x v="28"/>
    <x v="16"/>
    <x v="0"/>
    <x v="1"/>
    <n v="120.3"/>
  </r>
  <r>
    <x v="2"/>
    <x v="4"/>
    <x v="28"/>
    <x v="16"/>
    <x v="0"/>
    <x v="2"/>
    <n v="126.6"/>
  </r>
  <r>
    <x v="2"/>
    <x v="4"/>
    <x v="28"/>
    <x v="14"/>
    <x v="0"/>
    <x v="0"/>
    <n v="100.5"/>
  </r>
  <r>
    <x v="2"/>
    <x v="4"/>
    <x v="28"/>
    <x v="14"/>
    <x v="0"/>
    <x v="1"/>
    <n v="99"/>
  </r>
  <r>
    <x v="2"/>
    <x v="4"/>
    <x v="28"/>
    <x v="14"/>
    <x v="0"/>
    <x v="2"/>
    <n v="96.1"/>
  </r>
  <r>
    <x v="2"/>
    <x v="4"/>
    <x v="28"/>
    <x v="25"/>
    <x v="8"/>
    <x v="0"/>
    <n v="111"/>
  </r>
  <r>
    <x v="2"/>
    <x v="4"/>
    <x v="28"/>
    <x v="25"/>
    <x v="8"/>
    <x v="1"/>
    <n v="109.4"/>
  </r>
  <r>
    <x v="2"/>
    <x v="4"/>
    <x v="28"/>
    <x v="25"/>
    <x v="8"/>
    <x v="2"/>
    <n v="107.9"/>
  </r>
  <r>
    <x v="2"/>
    <x v="4"/>
    <x v="28"/>
    <x v="11"/>
    <x v="0"/>
    <x v="0"/>
    <n v="132.30000000000001"/>
  </r>
  <r>
    <x v="2"/>
    <x v="4"/>
    <x v="28"/>
    <x v="11"/>
    <x v="0"/>
    <x v="1"/>
    <n v="133"/>
  </r>
  <r>
    <x v="2"/>
    <x v="4"/>
    <x v="28"/>
    <x v="11"/>
    <x v="0"/>
    <x v="2"/>
    <n v="134.4"/>
  </r>
  <r>
    <x v="2"/>
    <x v="5"/>
    <x v="29"/>
    <x v="0"/>
    <x v="0"/>
    <x v="0"/>
    <n v="124"/>
  </r>
  <r>
    <x v="2"/>
    <x v="5"/>
    <x v="29"/>
    <x v="0"/>
    <x v="0"/>
    <x v="1"/>
    <n v="123.7"/>
  </r>
  <r>
    <x v="2"/>
    <x v="5"/>
    <x v="29"/>
    <x v="0"/>
    <x v="0"/>
    <x v="2"/>
    <n v="123.2"/>
  </r>
  <r>
    <x v="2"/>
    <x v="5"/>
    <x v="29"/>
    <x v="1"/>
    <x v="1"/>
    <x v="0"/>
    <n v="128.80000000000001"/>
  </r>
  <r>
    <x v="2"/>
    <x v="5"/>
    <x v="29"/>
    <x v="1"/>
    <x v="1"/>
    <x v="1"/>
    <n v="126.7"/>
  </r>
  <r>
    <x v="2"/>
    <x v="5"/>
    <x v="29"/>
    <x v="1"/>
    <x v="1"/>
    <x v="2"/>
    <n v="123.5"/>
  </r>
  <r>
    <x v="2"/>
    <x v="5"/>
    <x v="29"/>
    <x v="3"/>
    <x v="1"/>
    <x v="0"/>
    <n v="128.30000000000001"/>
  </r>
  <r>
    <x v="2"/>
    <x v="5"/>
    <x v="29"/>
    <x v="3"/>
    <x v="1"/>
    <x v="1"/>
    <n v="126.1"/>
  </r>
  <r>
    <x v="2"/>
    <x v="5"/>
    <x v="29"/>
    <x v="3"/>
    <x v="1"/>
    <x v="2"/>
    <n v="122.7"/>
  </r>
  <r>
    <x v="2"/>
    <x v="5"/>
    <x v="29"/>
    <x v="5"/>
    <x v="2"/>
    <x v="0"/>
    <n v="122.9"/>
  </r>
  <r>
    <x v="2"/>
    <x v="5"/>
    <x v="29"/>
    <x v="5"/>
    <x v="2"/>
    <x v="1"/>
    <n v="124.4"/>
  </r>
  <r>
    <x v="2"/>
    <x v="5"/>
    <x v="29"/>
    <x v="5"/>
    <x v="2"/>
    <x v="2"/>
    <n v="125.4"/>
  </r>
  <r>
    <x v="2"/>
    <x v="5"/>
    <x v="29"/>
    <x v="4"/>
    <x v="0"/>
    <x v="0"/>
    <n v="122"/>
  </r>
  <r>
    <x v="2"/>
    <x v="5"/>
    <x v="29"/>
    <x v="4"/>
    <x v="0"/>
    <x v="1"/>
    <n v="121"/>
  </r>
  <r>
    <x v="2"/>
    <x v="5"/>
    <x v="29"/>
    <x v="4"/>
    <x v="0"/>
    <x v="2"/>
    <n v="119.5"/>
  </r>
  <r>
    <x v="2"/>
    <x v="5"/>
    <x v="29"/>
    <x v="8"/>
    <x v="0"/>
    <x v="0"/>
    <n v="127.5"/>
  </r>
  <r>
    <x v="2"/>
    <x v="5"/>
    <x v="29"/>
    <x v="8"/>
    <x v="0"/>
    <x v="1"/>
    <n v="128.19999999999999"/>
  </r>
  <r>
    <x v="2"/>
    <x v="5"/>
    <x v="29"/>
    <x v="8"/>
    <x v="0"/>
    <x v="2"/>
    <n v="129.5"/>
  </r>
  <r>
    <x v="2"/>
    <x v="5"/>
    <x v="29"/>
    <x v="10"/>
    <x v="1"/>
    <x v="0"/>
    <n v="125.5"/>
  </r>
  <r>
    <x v="2"/>
    <x v="5"/>
    <x v="29"/>
    <x v="10"/>
    <x v="1"/>
    <x v="1"/>
    <n v="122.3"/>
  </r>
  <r>
    <x v="2"/>
    <x v="5"/>
    <x v="29"/>
    <x v="10"/>
    <x v="1"/>
    <x v="2"/>
    <n v="117.9"/>
  </r>
  <r>
    <x v="2"/>
    <x v="5"/>
    <x v="29"/>
    <x v="9"/>
    <x v="0"/>
    <x v="0"/>
    <n v="133.30000000000001"/>
  </r>
  <r>
    <x v="2"/>
    <x v="5"/>
    <x v="29"/>
    <x v="9"/>
    <x v="0"/>
    <x v="1"/>
    <n v="133.1"/>
  </r>
  <r>
    <x v="2"/>
    <x v="5"/>
    <x v="29"/>
    <x v="9"/>
    <x v="0"/>
    <x v="2"/>
    <n v="132.80000000000001"/>
  </r>
  <r>
    <x v="2"/>
    <x v="5"/>
    <x v="29"/>
    <x v="13"/>
    <x v="3"/>
    <x v="0"/>
    <n v="123"/>
  </r>
  <r>
    <x v="2"/>
    <x v="5"/>
    <x v="29"/>
    <x v="13"/>
    <x v="3"/>
    <x v="1"/>
    <n v="120.1"/>
  </r>
  <r>
    <x v="2"/>
    <x v="5"/>
    <x v="29"/>
    <x v="13"/>
    <x v="3"/>
    <x v="2"/>
    <n v="115.3"/>
  </r>
  <r>
    <x v="2"/>
    <x v="5"/>
    <x v="29"/>
    <x v="15"/>
    <x v="4"/>
    <x v="0"/>
    <n v="124.7"/>
  </r>
  <r>
    <x v="2"/>
    <x v="5"/>
    <x v="29"/>
    <x v="15"/>
    <x v="4"/>
    <x v="1"/>
    <n v="123.6"/>
  </r>
  <r>
    <x v="2"/>
    <x v="5"/>
    <x v="29"/>
    <x v="15"/>
    <x v="4"/>
    <x v="2"/>
    <n v="122.4"/>
  </r>
  <r>
    <x v="2"/>
    <x v="5"/>
    <x v="29"/>
    <x v="17"/>
    <x v="5"/>
    <x v="0"/>
    <n v="120.8"/>
  </r>
  <r>
    <x v="2"/>
    <x v="5"/>
    <x v="29"/>
    <x v="17"/>
    <x v="5"/>
    <x v="1"/>
    <n v="119"/>
  </r>
  <r>
    <x v="2"/>
    <x v="5"/>
    <x v="29"/>
    <x v="17"/>
    <x v="5"/>
    <x v="2"/>
    <n v="116"/>
  </r>
  <r>
    <x v="2"/>
    <x v="5"/>
    <x v="29"/>
    <x v="19"/>
    <x v="6"/>
    <x v="0"/>
    <n v="123"/>
  </r>
  <r>
    <x v="2"/>
    <x v="5"/>
    <x v="29"/>
    <x v="19"/>
    <x v="6"/>
    <x v="1"/>
    <n v="121.3"/>
  </r>
  <r>
    <x v="2"/>
    <x v="5"/>
    <x v="29"/>
    <x v="19"/>
    <x v="6"/>
    <x v="2"/>
    <n v="119.5"/>
  </r>
  <r>
    <x v="2"/>
    <x v="5"/>
    <x v="29"/>
    <x v="21"/>
    <x v="6"/>
    <x v="0"/>
    <n v="0"/>
  </r>
  <r>
    <x v="2"/>
    <x v="5"/>
    <x v="29"/>
    <x v="21"/>
    <x v="6"/>
    <x v="1"/>
    <n v="119.9"/>
  </r>
  <r>
    <x v="2"/>
    <x v="5"/>
    <x v="29"/>
    <x v="21"/>
    <x v="6"/>
    <x v="2"/>
    <n v="119.9"/>
  </r>
  <r>
    <x v="2"/>
    <x v="5"/>
    <x v="29"/>
    <x v="2"/>
    <x v="0"/>
    <x v="0"/>
    <n v="131.5"/>
  </r>
  <r>
    <x v="2"/>
    <x v="5"/>
    <x v="29"/>
    <x v="2"/>
    <x v="0"/>
    <x v="1"/>
    <n v="132.5"/>
  </r>
  <r>
    <x v="2"/>
    <x v="5"/>
    <x v="29"/>
    <x v="2"/>
    <x v="0"/>
    <x v="2"/>
    <n v="134.30000000000001"/>
  </r>
  <r>
    <x v="2"/>
    <x v="5"/>
    <x v="29"/>
    <x v="6"/>
    <x v="0"/>
    <x v="0"/>
    <n v="128.69999999999999"/>
  </r>
  <r>
    <x v="2"/>
    <x v="5"/>
    <x v="29"/>
    <x v="6"/>
    <x v="0"/>
    <x v="1"/>
    <n v="128.30000000000001"/>
  </r>
  <r>
    <x v="2"/>
    <x v="5"/>
    <x v="29"/>
    <x v="6"/>
    <x v="0"/>
    <x v="2"/>
    <n v="127.7"/>
  </r>
  <r>
    <x v="2"/>
    <x v="5"/>
    <x v="29"/>
    <x v="23"/>
    <x v="7"/>
    <x v="0"/>
    <n v="118.1"/>
  </r>
  <r>
    <x v="2"/>
    <x v="5"/>
    <x v="29"/>
    <x v="23"/>
    <x v="7"/>
    <x v="1"/>
    <n v="117.2"/>
  </r>
  <r>
    <x v="2"/>
    <x v="5"/>
    <x v="29"/>
    <x v="23"/>
    <x v="7"/>
    <x v="2"/>
    <n v="116.3"/>
  </r>
  <r>
    <x v="2"/>
    <x v="5"/>
    <x v="29"/>
    <x v="18"/>
    <x v="0"/>
    <x v="0"/>
    <n v="121"/>
  </r>
  <r>
    <x v="2"/>
    <x v="5"/>
    <x v="29"/>
    <x v="18"/>
    <x v="0"/>
    <x v="1"/>
    <n v="119.9"/>
  </r>
  <r>
    <x v="2"/>
    <x v="5"/>
    <x v="29"/>
    <x v="18"/>
    <x v="0"/>
    <x v="2"/>
    <n v="118.3"/>
  </r>
  <r>
    <x v="2"/>
    <x v="5"/>
    <x v="29"/>
    <x v="7"/>
    <x v="0"/>
    <x v="0"/>
    <n v="113.5"/>
  </r>
  <r>
    <x v="2"/>
    <x v="5"/>
    <x v="29"/>
    <x v="7"/>
    <x v="0"/>
    <x v="1"/>
    <n v="110.9"/>
  </r>
  <r>
    <x v="2"/>
    <x v="5"/>
    <x v="29"/>
    <x v="7"/>
    <x v="0"/>
    <x v="2"/>
    <n v="106.3"/>
  </r>
  <r>
    <x v="2"/>
    <x v="5"/>
    <x v="29"/>
    <x v="22"/>
    <x v="7"/>
    <x v="0"/>
    <n v="129.4"/>
  </r>
  <r>
    <x v="2"/>
    <x v="5"/>
    <x v="29"/>
    <x v="22"/>
    <x v="7"/>
    <x v="1"/>
    <n v="130.4"/>
  </r>
  <r>
    <x v="2"/>
    <x v="5"/>
    <x v="29"/>
    <x v="22"/>
    <x v="7"/>
    <x v="2"/>
    <n v="133.1"/>
  </r>
  <r>
    <x v="2"/>
    <x v="5"/>
    <x v="29"/>
    <x v="24"/>
    <x v="7"/>
    <x v="0"/>
    <n v="112.7"/>
  </r>
  <r>
    <x v="2"/>
    <x v="5"/>
    <x v="29"/>
    <x v="24"/>
    <x v="7"/>
    <x v="1"/>
    <n v="112.3"/>
  </r>
  <r>
    <x v="2"/>
    <x v="5"/>
    <x v="29"/>
    <x v="24"/>
    <x v="7"/>
    <x v="2"/>
    <n v="111.7"/>
  </r>
  <r>
    <x v="2"/>
    <x v="5"/>
    <x v="29"/>
    <x v="20"/>
    <x v="0"/>
    <x v="0"/>
    <n v="131.69999999999999"/>
  </r>
  <r>
    <x v="2"/>
    <x v="5"/>
    <x v="29"/>
    <x v="20"/>
    <x v="0"/>
    <x v="1"/>
    <n v="131.4"/>
  </r>
  <r>
    <x v="2"/>
    <x v="5"/>
    <x v="29"/>
    <x v="20"/>
    <x v="0"/>
    <x v="2"/>
    <n v="131.1"/>
  </r>
  <r>
    <x v="2"/>
    <x v="5"/>
    <x v="29"/>
    <x v="12"/>
    <x v="0"/>
    <x v="0"/>
    <n v="133.80000000000001"/>
  </r>
  <r>
    <x v="2"/>
    <x v="5"/>
    <x v="29"/>
    <x v="12"/>
    <x v="0"/>
    <x v="1"/>
    <n v="139.1"/>
  </r>
  <r>
    <x v="2"/>
    <x v="5"/>
    <x v="29"/>
    <x v="12"/>
    <x v="0"/>
    <x v="2"/>
    <n v="149.5"/>
  </r>
  <r>
    <x v="2"/>
    <x v="5"/>
    <x v="29"/>
    <x v="26"/>
    <x v="9"/>
    <x v="0"/>
    <n v="118"/>
  </r>
  <r>
    <x v="2"/>
    <x v="5"/>
    <x v="29"/>
    <x v="26"/>
    <x v="9"/>
    <x v="1"/>
    <n v="117.2"/>
  </r>
  <r>
    <x v="2"/>
    <x v="5"/>
    <x v="29"/>
    <x v="26"/>
    <x v="9"/>
    <x v="2"/>
    <n v="116.6"/>
  </r>
  <r>
    <x v="2"/>
    <x v="5"/>
    <x v="29"/>
    <x v="16"/>
    <x v="0"/>
    <x v="0"/>
    <n v="123.4"/>
  </r>
  <r>
    <x v="2"/>
    <x v="5"/>
    <x v="29"/>
    <x v="16"/>
    <x v="0"/>
    <x v="1"/>
    <n v="126.1"/>
  </r>
  <r>
    <x v="2"/>
    <x v="5"/>
    <x v="29"/>
    <x v="16"/>
    <x v="0"/>
    <x v="2"/>
    <n v="131.5"/>
  </r>
  <r>
    <x v="2"/>
    <x v="5"/>
    <x v="29"/>
    <x v="14"/>
    <x v="0"/>
    <x v="0"/>
    <n v="94.1"/>
  </r>
  <r>
    <x v="2"/>
    <x v="5"/>
    <x v="29"/>
    <x v="14"/>
    <x v="0"/>
    <x v="1"/>
    <n v="91.3"/>
  </r>
  <r>
    <x v="2"/>
    <x v="5"/>
    <x v="29"/>
    <x v="14"/>
    <x v="0"/>
    <x v="2"/>
    <n v="85.7"/>
  </r>
  <r>
    <x v="2"/>
    <x v="5"/>
    <x v="29"/>
    <x v="25"/>
    <x v="8"/>
    <x v="0"/>
    <n v="114.1"/>
  </r>
  <r>
    <x v="2"/>
    <x v="5"/>
    <x v="29"/>
    <x v="25"/>
    <x v="8"/>
    <x v="1"/>
    <n v="112.7"/>
  </r>
  <r>
    <x v="2"/>
    <x v="5"/>
    <x v="29"/>
    <x v="25"/>
    <x v="8"/>
    <x v="2"/>
    <n v="111.5"/>
  </r>
  <r>
    <x v="2"/>
    <x v="5"/>
    <x v="29"/>
    <x v="11"/>
    <x v="0"/>
    <x v="0"/>
    <n v="140.80000000000001"/>
  </r>
  <r>
    <x v="2"/>
    <x v="5"/>
    <x v="29"/>
    <x v="11"/>
    <x v="0"/>
    <x v="1"/>
    <n v="145.1"/>
  </r>
  <r>
    <x v="2"/>
    <x v="5"/>
    <x v="29"/>
    <x v="11"/>
    <x v="0"/>
    <x v="2"/>
    <n v="153.5"/>
  </r>
  <r>
    <x v="2"/>
    <x v="6"/>
    <x v="30"/>
    <x v="0"/>
    <x v="0"/>
    <x v="0"/>
    <n v="124.1"/>
  </r>
  <r>
    <x v="2"/>
    <x v="6"/>
    <x v="30"/>
    <x v="0"/>
    <x v="0"/>
    <x v="1"/>
    <n v="123.9"/>
  </r>
  <r>
    <x v="2"/>
    <x v="6"/>
    <x v="30"/>
    <x v="0"/>
    <x v="0"/>
    <x v="2"/>
    <n v="123.6"/>
  </r>
  <r>
    <x v="2"/>
    <x v="6"/>
    <x v="30"/>
    <x v="1"/>
    <x v="1"/>
    <x v="0"/>
    <n v="128.4"/>
  </r>
  <r>
    <x v="2"/>
    <x v="6"/>
    <x v="30"/>
    <x v="1"/>
    <x v="1"/>
    <x v="1"/>
    <n v="126.4"/>
  </r>
  <r>
    <x v="2"/>
    <x v="6"/>
    <x v="30"/>
    <x v="1"/>
    <x v="1"/>
    <x v="2"/>
    <n v="123.2"/>
  </r>
  <r>
    <x v="2"/>
    <x v="6"/>
    <x v="30"/>
    <x v="3"/>
    <x v="1"/>
    <x v="0"/>
    <n v="128"/>
  </r>
  <r>
    <x v="2"/>
    <x v="6"/>
    <x v="30"/>
    <x v="3"/>
    <x v="1"/>
    <x v="1"/>
    <n v="125.7"/>
  </r>
  <r>
    <x v="2"/>
    <x v="6"/>
    <x v="30"/>
    <x v="3"/>
    <x v="1"/>
    <x v="2"/>
    <n v="122.3"/>
  </r>
  <r>
    <x v="2"/>
    <x v="6"/>
    <x v="30"/>
    <x v="5"/>
    <x v="2"/>
    <x v="0"/>
    <n v="122"/>
  </r>
  <r>
    <x v="2"/>
    <x v="6"/>
    <x v="30"/>
    <x v="5"/>
    <x v="2"/>
    <x v="1"/>
    <n v="123.1"/>
  </r>
  <r>
    <x v="2"/>
    <x v="6"/>
    <x v="30"/>
    <x v="5"/>
    <x v="2"/>
    <x v="2"/>
    <n v="123.8"/>
  </r>
  <r>
    <x v="2"/>
    <x v="6"/>
    <x v="30"/>
    <x v="4"/>
    <x v="0"/>
    <x v="0"/>
    <n v="122.1"/>
  </r>
  <r>
    <x v="2"/>
    <x v="6"/>
    <x v="30"/>
    <x v="4"/>
    <x v="0"/>
    <x v="1"/>
    <n v="121.6"/>
  </r>
  <r>
    <x v="2"/>
    <x v="6"/>
    <x v="30"/>
    <x v="4"/>
    <x v="0"/>
    <x v="2"/>
    <n v="120.9"/>
  </r>
  <r>
    <x v="2"/>
    <x v="6"/>
    <x v="30"/>
    <x v="8"/>
    <x v="0"/>
    <x v="0"/>
    <n v="126.6"/>
  </r>
  <r>
    <x v="2"/>
    <x v="6"/>
    <x v="30"/>
    <x v="8"/>
    <x v="0"/>
    <x v="1"/>
    <n v="127.3"/>
  </r>
  <r>
    <x v="2"/>
    <x v="6"/>
    <x v="30"/>
    <x v="8"/>
    <x v="0"/>
    <x v="2"/>
    <n v="128.5"/>
  </r>
  <r>
    <x v="2"/>
    <x v="6"/>
    <x v="30"/>
    <x v="10"/>
    <x v="1"/>
    <x v="0"/>
    <n v="125.1"/>
  </r>
  <r>
    <x v="2"/>
    <x v="6"/>
    <x v="30"/>
    <x v="10"/>
    <x v="1"/>
    <x v="1"/>
    <n v="122"/>
  </r>
  <r>
    <x v="2"/>
    <x v="6"/>
    <x v="30"/>
    <x v="10"/>
    <x v="1"/>
    <x v="2"/>
    <n v="117.6"/>
  </r>
  <r>
    <x v="2"/>
    <x v="6"/>
    <x v="30"/>
    <x v="9"/>
    <x v="0"/>
    <x v="0"/>
    <n v="133.19999999999999"/>
  </r>
  <r>
    <x v="2"/>
    <x v="6"/>
    <x v="30"/>
    <x v="9"/>
    <x v="0"/>
    <x v="1"/>
    <n v="132.80000000000001"/>
  </r>
  <r>
    <x v="2"/>
    <x v="6"/>
    <x v="30"/>
    <x v="9"/>
    <x v="0"/>
    <x v="2"/>
    <n v="132.30000000000001"/>
  </r>
  <r>
    <x v="2"/>
    <x v="6"/>
    <x v="30"/>
    <x v="13"/>
    <x v="3"/>
    <x v="0"/>
    <n v="122.6"/>
  </r>
  <r>
    <x v="2"/>
    <x v="6"/>
    <x v="30"/>
    <x v="13"/>
    <x v="3"/>
    <x v="1"/>
    <n v="119.8"/>
  </r>
  <r>
    <x v="2"/>
    <x v="6"/>
    <x v="30"/>
    <x v="13"/>
    <x v="3"/>
    <x v="2"/>
    <n v="115.1"/>
  </r>
  <r>
    <x v="2"/>
    <x v="6"/>
    <x v="30"/>
    <x v="15"/>
    <x v="4"/>
    <x v="0"/>
    <n v="124.1"/>
  </r>
  <r>
    <x v="2"/>
    <x v="6"/>
    <x v="30"/>
    <x v="15"/>
    <x v="4"/>
    <x v="1"/>
    <n v="123"/>
  </r>
  <r>
    <x v="2"/>
    <x v="6"/>
    <x v="30"/>
    <x v="15"/>
    <x v="4"/>
    <x v="2"/>
    <n v="121.7"/>
  </r>
  <r>
    <x v="2"/>
    <x v="6"/>
    <x v="30"/>
    <x v="17"/>
    <x v="5"/>
    <x v="0"/>
    <n v="120.4"/>
  </r>
  <r>
    <x v="2"/>
    <x v="6"/>
    <x v="30"/>
    <x v="17"/>
    <x v="5"/>
    <x v="1"/>
    <n v="118.5"/>
  </r>
  <r>
    <x v="2"/>
    <x v="6"/>
    <x v="30"/>
    <x v="17"/>
    <x v="5"/>
    <x v="2"/>
    <n v="115.4"/>
  </r>
  <r>
    <x v="2"/>
    <x v="6"/>
    <x v="30"/>
    <x v="19"/>
    <x v="6"/>
    <x v="0"/>
    <n v="122.8"/>
  </r>
  <r>
    <x v="2"/>
    <x v="6"/>
    <x v="30"/>
    <x v="19"/>
    <x v="6"/>
    <x v="1"/>
    <n v="121.1"/>
  </r>
  <r>
    <x v="2"/>
    <x v="6"/>
    <x v="30"/>
    <x v="19"/>
    <x v="6"/>
    <x v="2"/>
    <n v="119.2"/>
  </r>
  <r>
    <x v="2"/>
    <x v="6"/>
    <x v="30"/>
    <x v="21"/>
    <x v="6"/>
    <x v="0"/>
    <n v="0"/>
  </r>
  <r>
    <x v="2"/>
    <x v="6"/>
    <x v="30"/>
    <x v="21"/>
    <x v="6"/>
    <x v="1"/>
    <n v="119"/>
  </r>
  <r>
    <x v="2"/>
    <x v="6"/>
    <x v="30"/>
    <x v="21"/>
    <x v="6"/>
    <x v="2"/>
    <n v="119"/>
  </r>
  <r>
    <x v="2"/>
    <x v="6"/>
    <x v="30"/>
    <x v="2"/>
    <x v="0"/>
    <x v="0"/>
    <n v="130.4"/>
  </r>
  <r>
    <x v="2"/>
    <x v="6"/>
    <x v="30"/>
    <x v="2"/>
    <x v="0"/>
    <x v="1"/>
    <n v="131.80000000000001"/>
  </r>
  <r>
    <x v="2"/>
    <x v="6"/>
    <x v="30"/>
    <x v="2"/>
    <x v="0"/>
    <x v="2"/>
    <n v="134.4"/>
  </r>
  <r>
    <x v="2"/>
    <x v="6"/>
    <x v="30"/>
    <x v="6"/>
    <x v="0"/>
    <x v="0"/>
    <n v="128.69999999999999"/>
  </r>
  <r>
    <x v="2"/>
    <x v="6"/>
    <x v="30"/>
    <x v="6"/>
    <x v="0"/>
    <x v="1"/>
    <n v="128.19999999999999"/>
  </r>
  <r>
    <x v="2"/>
    <x v="6"/>
    <x v="30"/>
    <x v="6"/>
    <x v="0"/>
    <x v="2"/>
    <n v="127.3"/>
  </r>
  <r>
    <x v="2"/>
    <x v="6"/>
    <x v="30"/>
    <x v="23"/>
    <x v="7"/>
    <x v="0"/>
    <n v="117.9"/>
  </r>
  <r>
    <x v="2"/>
    <x v="6"/>
    <x v="30"/>
    <x v="23"/>
    <x v="7"/>
    <x v="1"/>
    <n v="117"/>
  </r>
  <r>
    <x v="2"/>
    <x v="6"/>
    <x v="30"/>
    <x v="23"/>
    <x v="7"/>
    <x v="2"/>
    <n v="116"/>
  </r>
  <r>
    <x v="2"/>
    <x v="6"/>
    <x v="30"/>
    <x v="18"/>
    <x v="0"/>
    <x v="0"/>
    <n v="121.1"/>
  </r>
  <r>
    <x v="2"/>
    <x v="6"/>
    <x v="30"/>
    <x v="18"/>
    <x v="0"/>
    <x v="1"/>
    <n v="119.8"/>
  </r>
  <r>
    <x v="2"/>
    <x v="6"/>
    <x v="30"/>
    <x v="18"/>
    <x v="0"/>
    <x v="2"/>
    <n v="118"/>
  </r>
  <r>
    <x v="2"/>
    <x v="6"/>
    <x v="30"/>
    <x v="7"/>
    <x v="0"/>
    <x v="0"/>
    <n v="114.1"/>
  </r>
  <r>
    <x v="2"/>
    <x v="6"/>
    <x v="30"/>
    <x v="7"/>
    <x v="0"/>
    <x v="1"/>
    <n v="111.1"/>
  </r>
  <r>
    <x v="2"/>
    <x v="6"/>
    <x v="30"/>
    <x v="7"/>
    <x v="0"/>
    <x v="2"/>
    <n v="106"/>
  </r>
  <r>
    <x v="2"/>
    <x v="6"/>
    <x v="30"/>
    <x v="22"/>
    <x v="7"/>
    <x v="0"/>
    <n v="128.19999999999999"/>
  </r>
  <r>
    <x v="2"/>
    <x v="6"/>
    <x v="30"/>
    <x v="22"/>
    <x v="7"/>
    <x v="1"/>
    <n v="129.19999999999999"/>
  </r>
  <r>
    <x v="2"/>
    <x v="6"/>
    <x v="30"/>
    <x v="22"/>
    <x v="7"/>
    <x v="2"/>
    <n v="132.1"/>
  </r>
  <r>
    <x v="2"/>
    <x v="6"/>
    <x v="30"/>
    <x v="24"/>
    <x v="7"/>
    <x v="0"/>
    <n v="113"/>
  </r>
  <r>
    <x v="2"/>
    <x v="6"/>
    <x v="30"/>
    <x v="24"/>
    <x v="7"/>
    <x v="1"/>
    <n v="112.8"/>
  </r>
  <r>
    <x v="2"/>
    <x v="6"/>
    <x v="30"/>
    <x v="24"/>
    <x v="7"/>
    <x v="2"/>
    <n v="112.5"/>
  </r>
  <r>
    <x v="2"/>
    <x v="6"/>
    <x v="30"/>
    <x v="20"/>
    <x v="0"/>
    <x v="0"/>
    <n v="131.19999999999999"/>
  </r>
  <r>
    <x v="2"/>
    <x v="6"/>
    <x v="30"/>
    <x v="20"/>
    <x v="0"/>
    <x v="1"/>
    <n v="130.9"/>
  </r>
  <r>
    <x v="2"/>
    <x v="6"/>
    <x v="30"/>
    <x v="20"/>
    <x v="0"/>
    <x v="2"/>
    <n v="130.5"/>
  </r>
  <r>
    <x v="2"/>
    <x v="6"/>
    <x v="30"/>
    <x v="12"/>
    <x v="0"/>
    <x v="0"/>
    <n v="131.9"/>
  </r>
  <r>
    <x v="2"/>
    <x v="6"/>
    <x v="30"/>
    <x v="12"/>
    <x v="0"/>
    <x v="1"/>
    <n v="137.4"/>
  </r>
  <r>
    <x v="2"/>
    <x v="6"/>
    <x v="30"/>
    <x v="12"/>
    <x v="0"/>
    <x v="2"/>
    <n v="148.1"/>
  </r>
  <r>
    <x v="2"/>
    <x v="6"/>
    <x v="30"/>
    <x v="26"/>
    <x v="9"/>
    <x v="0"/>
    <n v="117.9"/>
  </r>
  <r>
    <x v="2"/>
    <x v="6"/>
    <x v="30"/>
    <x v="26"/>
    <x v="9"/>
    <x v="1"/>
    <n v="116.9"/>
  </r>
  <r>
    <x v="2"/>
    <x v="6"/>
    <x v="30"/>
    <x v="26"/>
    <x v="9"/>
    <x v="2"/>
    <n v="116.2"/>
  </r>
  <r>
    <x v="2"/>
    <x v="6"/>
    <x v="30"/>
    <x v="16"/>
    <x v="0"/>
    <x v="0"/>
    <n v="123"/>
  </r>
  <r>
    <x v="2"/>
    <x v="6"/>
    <x v="30"/>
    <x v="16"/>
    <x v="0"/>
    <x v="1"/>
    <n v="125.5"/>
  </r>
  <r>
    <x v="2"/>
    <x v="6"/>
    <x v="30"/>
    <x v="16"/>
    <x v="0"/>
    <x v="2"/>
    <n v="130.5"/>
  </r>
  <r>
    <x v="2"/>
    <x v="6"/>
    <x v="30"/>
    <x v="14"/>
    <x v="0"/>
    <x v="0"/>
    <n v="96.3"/>
  </r>
  <r>
    <x v="2"/>
    <x v="6"/>
    <x v="30"/>
    <x v="14"/>
    <x v="0"/>
    <x v="1"/>
    <n v="94.1"/>
  </r>
  <r>
    <x v="2"/>
    <x v="6"/>
    <x v="30"/>
    <x v="14"/>
    <x v="0"/>
    <x v="2"/>
    <n v="89.8"/>
  </r>
  <r>
    <x v="2"/>
    <x v="6"/>
    <x v="30"/>
    <x v="25"/>
    <x v="8"/>
    <x v="0"/>
    <n v="114.2"/>
  </r>
  <r>
    <x v="2"/>
    <x v="6"/>
    <x v="30"/>
    <x v="25"/>
    <x v="8"/>
    <x v="1"/>
    <n v="112.9"/>
  </r>
  <r>
    <x v="2"/>
    <x v="6"/>
    <x v="30"/>
    <x v="25"/>
    <x v="8"/>
    <x v="2"/>
    <n v="111.7"/>
  </r>
  <r>
    <x v="2"/>
    <x v="6"/>
    <x v="30"/>
    <x v="11"/>
    <x v="0"/>
    <x v="0"/>
    <n v="135.19999999999999"/>
  </r>
  <r>
    <x v="2"/>
    <x v="6"/>
    <x v="30"/>
    <x v="11"/>
    <x v="0"/>
    <x v="1"/>
    <n v="139.1"/>
  </r>
  <r>
    <x v="2"/>
    <x v="6"/>
    <x v="30"/>
    <x v="11"/>
    <x v="0"/>
    <x v="2"/>
    <n v="146.69999999999999"/>
  </r>
  <r>
    <x v="2"/>
    <x v="7"/>
    <x v="31"/>
    <x v="0"/>
    <x v="0"/>
    <x v="0"/>
    <n v="123.3"/>
  </r>
  <r>
    <x v="2"/>
    <x v="7"/>
    <x v="31"/>
    <x v="0"/>
    <x v="0"/>
    <x v="1"/>
    <n v="123.5"/>
  </r>
  <r>
    <x v="2"/>
    <x v="7"/>
    <x v="31"/>
    <x v="0"/>
    <x v="0"/>
    <x v="2"/>
    <n v="124"/>
  </r>
  <r>
    <x v="2"/>
    <x v="7"/>
    <x v="31"/>
    <x v="1"/>
    <x v="1"/>
    <x v="0"/>
    <n v="126"/>
  </r>
  <r>
    <x v="2"/>
    <x v="7"/>
    <x v="31"/>
    <x v="1"/>
    <x v="1"/>
    <x v="1"/>
    <n v="124.3"/>
  </r>
  <r>
    <x v="2"/>
    <x v="7"/>
    <x v="31"/>
    <x v="1"/>
    <x v="1"/>
    <x v="2"/>
    <n v="121.7"/>
  </r>
  <r>
    <x v="2"/>
    <x v="7"/>
    <x v="31"/>
    <x v="3"/>
    <x v="1"/>
    <x v="0"/>
    <n v="125.5"/>
  </r>
  <r>
    <x v="2"/>
    <x v="7"/>
    <x v="31"/>
    <x v="3"/>
    <x v="1"/>
    <x v="1"/>
    <n v="123.7"/>
  </r>
  <r>
    <x v="2"/>
    <x v="7"/>
    <x v="31"/>
    <x v="3"/>
    <x v="1"/>
    <x v="2"/>
    <n v="120.9"/>
  </r>
  <r>
    <x v="2"/>
    <x v="7"/>
    <x v="31"/>
    <x v="5"/>
    <x v="2"/>
    <x v="0"/>
    <n v="119.4"/>
  </r>
  <r>
    <x v="2"/>
    <x v="7"/>
    <x v="31"/>
    <x v="5"/>
    <x v="2"/>
    <x v="1"/>
    <n v="120.1"/>
  </r>
  <r>
    <x v="2"/>
    <x v="7"/>
    <x v="31"/>
    <x v="5"/>
    <x v="2"/>
    <x v="2"/>
    <n v="120.6"/>
  </r>
  <r>
    <x v="2"/>
    <x v="7"/>
    <x v="31"/>
    <x v="4"/>
    <x v="0"/>
    <x v="0"/>
    <n v="118.9"/>
  </r>
  <r>
    <x v="2"/>
    <x v="7"/>
    <x v="31"/>
    <x v="4"/>
    <x v="0"/>
    <x v="1"/>
    <n v="116.8"/>
  </r>
  <r>
    <x v="2"/>
    <x v="7"/>
    <x v="31"/>
    <x v="4"/>
    <x v="0"/>
    <x v="2"/>
    <n v="113.5"/>
  </r>
  <r>
    <x v="2"/>
    <x v="7"/>
    <x v="31"/>
    <x v="8"/>
    <x v="0"/>
    <x v="0"/>
    <n v="123.1"/>
  </r>
  <r>
    <x v="2"/>
    <x v="7"/>
    <x v="31"/>
    <x v="8"/>
    <x v="0"/>
    <x v="1"/>
    <n v="123.4"/>
  </r>
  <r>
    <x v="2"/>
    <x v="7"/>
    <x v="31"/>
    <x v="8"/>
    <x v="0"/>
    <x v="2"/>
    <n v="123.9"/>
  </r>
  <r>
    <x v="2"/>
    <x v="7"/>
    <x v="31"/>
    <x v="10"/>
    <x v="1"/>
    <x v="0"/>
    <n v="122.9"/>
  </r>
  <r>
    <x v="2"/>
    <x v="7"/>
    <x v="31"/>
    <x v="10"/>
    <x v="1"/>
    <x v="1"/>
    <n v="120.4"/>
  </r>
  <r>
    <x v="2"/>
    <x v="7"/>
    <x v="31"/>
    <x v="10"/>
    <x v="1"/>
    <x v="2"/>
    <n v="116.9"/>
  </r>
  <r>
    <x v="2"/>
    <x v="7"/>
    <x v="31"/>
    <x v="9"/>
    <x v="0"/>
    <x v="0"/>
    <n v="130.9"/>
  </r>
  <r>
    <x v="2"/>
    <x v="7"/>
    <x v="31"/>
    <x v="9"/>
    <x v="0"/>
    <x v="1"/>
    <n v="127.6"/>
  </r>
  <r>
    <x v="2"/>
    <x v="7"/>
    <x v="31"/>
    <x v="9"/>
    <x v="0"/>
    <x v="2"/>
    <n v="123.8"/>
  </r>
  <r>
    <x v="2"/>
    <x v="7"/>
    <x v="31"/>
    <x v="13"/>
    <x v="3"/>
    <x v="0"/>
    <n v="120.6"/>
  </r>
  <r>
    <x v="2"/>
    <x v="7"/>
    <x v="31"/>
    <x v="13"/>
    <x v="3"/>
    <x v="1"/>
    <n v="118.3"/>
  </r>
  <r>
    <x v="2"/>
    <x v="7"/>
    <x v="31"/>
    <x v="13"/>
    <x v="3"/>
    <x v="2"/>
    <n v="114.4"/>
  </r>
  <r>
    <x v="2"/>
    <x v="7"/>
    <x v="31"/>
    <x v="15"/>
    <x v="4"/>
    <x v="0"/>
    <n v="121.1"/>
  </r>
  <r>
    <x v="2"/>
    <x v="7"/>
    <x v="31"/>
    <x v="15"/>
    <x v="4"/>
    <x v="1"/>
    <n v="120.2"/>
  </r>
  <r>
    <x v="2"/>
    <x v="7"/>
    <x v="31"/>
    <x v="15"/>
    <x v="4"/>
    <x v="2"/>
    <n v="119.1"/>
  </r>
  <r>
    <x v="2"/>
    <x v="7"/>
    <x v="31"/>
    <x v="17"/>
    <x v="5"/>
    <x v="0"/>
    <n v="118.2"/>
  </r>
  <r>
    <x v="2"/>
    <x v="7"/>
    <x v="31"/>
    <x v="17"/>
    <x v="5"/>
    <x v="1"/>
    <n v="116.7"/>
  </r>
  <r>
    <x v="2"/>
    <x v="7"/>
    <x v="31"/>
    <x v="17"/>
    <x v="5"/>
    <x v="2"/>
    <n v="114.3"/>
  </r>
  <r>
    <x v="2"/>
    <x v="7"/>
    <x v="31"/>
    <x v="19"/>
    <x v="6"/>
    <x v="0"/>
    <n v="120.2"/>
  </r>
  <r>
    <x v="2"/>
    <x v="7"/>
    <x v="31"/>
    <x v="19"/>
    <x v="6"/>
    <x v="1"/>
    <n v="119.2"/>
  </r>
  <r>
    <x v="2"/>
    <x v="7"/>
    <x v="31"/>
    <x v="19"/>
    <x v="6"/>
    <x v="2"/>
    <n v="118"/>
  </r>
  <r>
    <x v="2"/>
    <x v="7"/>
    <x v="31"/>
    <x v="21"/>
    <x v="6"/>
    <x v="0"/>
    <n v="0"/>
  </r>
  <r>
    <x v="2"/>
    <x v="7"/>
    <x v="31"/>
    <x v="21"/>
    <x v="6"/>
    <x v="1"/>
    <n v="118.6"/>
  </r>
  <r>
    <x v="2"/>
    <x v="7"/>
    <x v="31"/>
    <x v="21"/>
    <x v="6"/>
    <x v="2"/>
    <n v="118.6"/>
  </r>
  <r>
    <x v="2"/>
    <x v="7"/>
    <x v="31"/>
    <x v="2"/>
    <x v="0"/>
    <x v="0"/>
    <n v="124.7"/>
  </r>
  <r>
    <x v="2"/>
    <x v="7"/>
    <x v="31"/>
    <x v="2"/>
    <x v="0"/>
    <x v="1"/>
    <n v="125.4"/>
  </r>
  <r>
    <x v="2"/>
    <x v="7"/>
    <x v="31"/>
    <x v="2"/>
    <x v="0"/>
    <x v="2"/>
    <n v="126.7"/>
  </r>
  <r>
    <x v="2"/>
    <x v="7"/>
    <x v="31"/>
    <x v="6"/>
    <x v="0"/>
    <x v="0"/>
    <n v="126"/>
  </r>
  <r>
    <x v="2"/>
    <x v="7"/>
    <x v="31"/>
    <x v="6"/>
    <x v="0"/>
    <x v="1"/>
    <n v="126"/>
  </r>
  <r>
    <x v="2"/>
    <x v="7"/>
    <x v="31"/>
    <x v="6"/>
    <x v="0"/>
    <x v="2"/>
    <n v="125.9"/>
  </r>
  <r>
    <x v="2"/>
    <x v="7"/>
    <x v="31"/>
    <x v="23"/>
    <x v="7"/>
    <x v="0"/>
    <n v="115.5"/>
  </r>
  <r>
    <x v="2"/>
    <x v="7"/>
    <x v="31"/>
    <x v="23"/>
    <x v="7"/>
    <x v="1"/>
    <n v="114.7"/>
  </r>
  <r>
    <x v="2"/>
    <x v="7"/>
    <x v="31"/>
    <x v="23"/>
    <x v="7"/>
    <x v="2"/>
    <n v="113.8"/>
  </r>
  <r>
    <x v="2"/>
    <x v="7"/>
    <x v="31"/>
    <x v="18"/>
    <x v="0"/>
    <x v="0"/>
    <n v="118.9"/>
  </r>
  <r>
    <x v="2"/>
    <x v="7"/>
    <x v="31"/>
    <x v="18"/>
    <x v="0"/>
    <x v="1"/>
    <n v="118.1"/>
  </r>
  <r>
    <x v="2"/>
    <x v="7"/>
    <x v="31"/>
    <x v="18"/>
    <x v="0"/>
    <x v="2"/>
    <n v="117"/>
  </r>
  <r>
    <x v="2"/>
    <x v="7"/>
    <x v="31"/>
    <x v="7"/>
    <x v="0"/>
    <x v="0"/>
    <n v="111.8"/>
  </r>
  <r>
    <x v="2"/>
    <x v="7"/>
    <x v="31"/>
    <x v="7"/>
    <x v="0"/>
    <x v="1"/>
    <n v="109.2"/>
  </r>
  <r>
    <x v="2"/>
    <x v="7"/>
    <x v="31"/>
    <x v="7"/>
    <x v="0"/>
    <x v="2"/>
    <n v="104.8"/>
  </r>
  <r>
    <x v="2"/>
    <x v="7"/>
    <x v="31"/>
    <x v="22"/>
    <x v="7"/>
    <x v="0"/>
    <n v="124.7"/>
  </r>
  <r>
    <x v="2"/>
    <x v="7"/>
    <x v="31"/>
    <x v="22"/>
    <x v="7"/>
    <x v="1"/>
    <n v="125.8"/>
  </r>
  <r>
    <x v="2"/>
    <x v="7"/>
    <x v="31"/>
    <x v="22"/>
    <x v="7"/>
    <x v="2"/>
    <n v="128.80000000000001"/>
  </r>
  <r>
    <x v="2"/>
    <x v="7"/>
    <x v="31"/>
    <x v="24"/>
    <x v="7"/>
    <x v="0"/>
    <n v="110.8"/>
  </r>
  <r>
    <x v="2"/>
    <x v="7"/>
    <x v="31"/>
    <x v="24"/>
    <x v="7"/>
    <x v="1"/>
    <n v="111"/>
  </r>
  <r>
    <x v="2"/>
    <x v="7"/>
    <x v="31"/>
    <x v="24"/>
    <x v="7"/>
    <x v="2"/>
    <n v="111.3"/>
  </r>
  <r>
    <x v="2"/>
    <x v="7"/>
    <x v="31"/>
    <x v="20"/>
    <x v="0"/>
    <x v="0"/>
    <n v="127.7"/>
  </r>
  <r>
    <x v="2"/>
    <x v="7"/>
    <x v="31"/>
    <x v="20"/>
    <x v="0"/>
    <x v="1"/>
    <n v="128.4"/>
  </r>
  <r>
    <x v="2"/>
    <x v="7"/>
    <x v="31"/>
    <x v="20"/>
    <x v="0"/>
    <x v="2"/>
    <n v="129.19999999999999"/>
  </r>
  <r>
    <x v="2"/>
    <x v="7"/>
    <x v="31"/>
    <x v="12"/>
    <x v="0"/>
    <x v="0"/>
    <n v="119.9"/>
  </r>
  <r>
    <x v="2"/>
    <x v="7"/>
    <x v="31"/>
    <x v="12"/>
    <x v="0"/>
    <x v="1"/>
    <n v="122.4"/>
  </r>
  <r>
    <x v="2"/>
    <x v="7"/>
    <x v="31"/>
    <x v="12"/>
    <x v="0"/>
    <x v="2"/>
    <n v="127.2"/>
  </r>
  <r>
    <x v="2"/>
    <x v="7"/>
    <x v="31"/>
    <x v="26"/>
    <x v="9"/>
    <x v="0"/>
    <n v="115.5"/>
  </r>
  <r>
    <x v="2"/>
    <x v="7"/>
    <x v="31"/>
    <x v="26"/>
    <x v="9"/>
    <x v="1"/>
    <n v="115.4"/>
  </r>
  <r>
    <x v="2"/>
    <x v="7"/>
    <x v="31"/>
    <x v="26"/>
    <x v="9"/>
    <x v="2"/>
    <n v="115.4"/>
  </r>
  <r>
    <x v="2"/>
    <x v="7"/>
    <x v="31"/>
    <x v="16"/>
    <x v="0"/>
    <x v="0"/>
    <n v="119.4"/>
  </r>
  <r>
    <x v="2"/>
    <x v="7"/>
    <x v="31"/>
    <x v="16"/>
    <x v="0"/>
    <x v="1"/>
    <n v="122.1"/>
  </r>
  <r>
    <x v="2"/>
    <x v="7"/>
    <x v="31"/>
    <x v="16"/>
    <x v="0"/>
    <x v="2"/>
    <n v="127.4"/>
  </r>
  <r>
    <x v="2"/>
    <x v="7"/>
    <x v="31"/>
    <x v="14"/>
    <x v="0"/>
    <x v="0"/>
    <n v="98.9"/>
  </r>
  <r>
    <x v="2"/>
    <x v="7"/>
    <x v="31"/>
    <x v="14"/>
    <x v="0"/>
    <x v="1"/>
    <n v="97"/>
  </r>
  <r>
    <x v="2"/>
    <x v="7"/>
    <x v="31"/>
    <x v="14"/>
    <x v="0"/>
    <x v="2"/>
    <n v="93.2"/>
  </r>
  <r>
    <x v="2"/>
    <x v="7"/>
    <x v="31"/>
    <x v="25"/>
    <x v="8"/>
    <x v="0"/>
    <n v="111.6"/>
  </r>
  <r>
    <x v="2"/>
    <x v="7"/>
    <x v="31"/>
    <x v="25"/>
    <x v="8"/>
    <x v="1"/>
    <n v="109.9"/>
  </r>
  <r>
    <x v="2"/>
    <x v="7"/>
    <x v="31"/>
    <x v="25"/>
    <x v="8"/>
    <x v="2"/>
    <n v="108.4"/>
  </r>
  <r>
    <x v="2"/>
    <x v="7"/>
    <x v="31"/>
    <x v="11"/>
    <x v="0"/>
    <x v="0"/>
    <n v="128"/>
  </r>
  <r>
    <x v="2"/>
    <x v="7"/>
    <x v="31"/>
    <x v="11"/>
    <x v="0"/>
    <x v="1"/>
    <n v="129.19999999999999"/>
  </r>
  <r>
    <x v="2"/>
    <x v="7"/>
    <x v="31"/>
    <x v="11"/>
    <x v="0"/>
    <x v="2"/>
    <n v="131.4"/>
  </r>
  <r>
    <x v="2"/>
    <x v="8"/>
    <x v="32"/>
    <x v="0"/>
    <x v="0"/>
    <x v="0"/>
    <n v="123.5"/>
  </r>
  <r>
    <x v="2"/>
    <x v="8"/>
    <x v="32"/>
    <x v="0"/>
    <x v="0"/>
    <x v="1"/>
    <n v="123.6"/>
  </r>
  <r>
    <x v="2"/>
    <x v="8"/>
    <x v="32"/>
    <x v="0"/>
    <x v="0"/>
    <x v="2"/>
    <n v="123.8"/>
  </r>
  <r>
    <x v="2"/>
    <x v="8"/>
    <x v="32"/>
    <x v="1"/>
    <x v="1"/>
    <x v="0"/>
    <n v="127.3"/>
  </r>
  <r>
    <x v="2"/>
    <x v="8"/>
    <x v="32"/>
    <x v="1"/>
    <x v="1"/>
    <x v="1"/>
    <n v="125.4"/>
  </r>
  <r>
    <x v="2"/>
    <x v="8"/>
    <x v="32"/>
    <x v="1"/>
    <x v="1"/>
    <x v="2"/>
    <n v="122.4"/>
  </r>
  <r>
    <x v="2"/>
    <x v="8"/>
    <x v="32"/>
    <x v="3"/>
    <x v="1"/>
    <x v="0"/>
    <n v="126.8"/>
  </r>
  <r>
    <x v="2"/>
    <x v="8"/>
    <x v="32"/>
    <x v="3"/>
    <x v="1"/>
    <x v="1"/>
    <n v="124.7"/>
  </r>
  <r>
    <x v="2"/>
    <x v="8"/>
    <x v="32"/>
    <x v="3"/>
    <x v="1"/>
    <x v="2"/>
    <n v="121.6"/>
  </r>
  <r>
    <x v="2"/>
    <x v="8"/>
    <x v="32"/>
    <x v="5"/>
    <x v="2"/>
    <x v="0"/>
    <n v="120.5"/>
  </r>
  <r>
    <x v="2"/>
    <x v="8"/>
    <x v="32"/>
    <x v="5"/>
    <x v="2"/>
    <x v="1"/>
    <n v="121.4"/>
  </r>
  <r>
    <x v="2"/>
    <x v="8"/>
    <x v="32"/>
    <x v="5"/>
    <x v="2"/>
    <x v="2"/>
    <n v="122"/>
  </r>
  <r>
    <x v="2"/>
    <x v="8"/>
    <x v="32"/>
    <x v="4"/>
    <x v="0"/>
    <x v="0"/>
    <n v="117.3"/>
  </r>
  <r>
    <x v="2"/>
    <x v="8"/>
    <x v="32"/>
    <x v="4"/>
    <x v="0"/>
    <x v="1"/>
    <n v="115"/>
  </r>
  <r>
    <x v="2"/>
    <x v="8"/>
    <x v="32"/>
    <x v="4"/>
    <x v="0"/>
    <x v="2"/>
    <n v="111.3"/>
  </r>
  <r>
    <x v="2"/>
    <x v="8"/>
    <x v="32"/>
    <x v="8"/>
    <x v="0"/>
    <x v="0"/>
    <n v="124.4"/>
  </r>
  <r>
    <x v="2"/>
    <x v="8"/>
    <x v="32"/>
    <x v="8"/>
    <x v="0"/>
    <x v="1"/>
    <n v="125"/>
  </r>
  <r>
    <x v="2"/>
    <x v="8"/>
    <x v="32"/>
    <x v="8"/>
    <x v="0"/>
    <x v="2"/>
    <n v="126.1"/>
  </r>
  <r>
    <x v="2"/>
    <x v="8"/>
    <x v="32"/>
    <x v="10"/>
    <x v="1"/>
    <x v="0"/>
    <n v="124.1"/>
  </r>
  <r>
    <x v="2"/>
    <x v="8"/>
    <x v="32"/>
    <x v="10"/>
    <x v="1"/>
    <x v="1"/>
    <n v="121.3"/>
  </r>
  <r>
    <x v="2"/>
    <x v="8"/>
    <x v="32"/>
    <x v="10"/>
    <x v="1"/>
    <x v="2"/>
    <n v="117.4"/>
  </r>
  <r>
    <x v="2"/>
    <x v="8"/>
    <x v="32"/>
    <x v="9"/>
    <x v="0"/>
    <x v="0"/>
    <n v="134.1"/>
  </r>
  <r>
    <x v="2"/>
    <x v="8"/>
    <x v="32"/>
    <x v="9"/>
    <x v="0"/>
    <x v="1"/>
    <n v="132.6"/>
  </r>
  <r>
    <x v="2"/>
    <x v="8"/>
    <x v="32"/>
    <x v="9"/>
    <x v="0"/>
    <x v="2"/>
    <n v="130.80000000000001"/>
  </r>
  <r>
    <x v="2"/>
    <x v="8"/>
    <x v="32"/>
    <x v="13"/>
    <x v="3"/>
    <x v="0"/>
    <n v="121.9"/>
  </r>
  <r>
    <x v="2"/>
    <x v="8"/>
    <x v="32"/>
    <x v="13"/>
    <x v="3"/>
    <x v="1"/>
    <n v="119.2"/>
  </r>
  <r>
    <x v="2"/>
    <x v="8"/>
    <x v="32"/>
    <x v="13"/>
    <x v="3"/>
    <x v="2"/>
    <n v="114.9"/>
  </r>
  <r>
    <x v="2"/>
    <x v="8"/>
    <x v="32"/>
    <x v="15"/>
    <x v="4"/>
    <x v="0"/>
    <n v="122.4"/>
  </r>
  <r>
    <x v="2"/>
    <x v="8"/>
    <x v="32"/>
    <x v="15"/>
    <x v="4"/>
    <x v="1"/>
    <n v="121.6"/>
  </r>
  <r>
    <x v="2"/>
    <x v="8"/>
    <x v="32"/>
    <x v="15"/>
    <x v="4"/>
    <x v="2"/>
    <n v="120.7"/>
  </r>
  <r>
    <x v="2"/>
    <x v="8"/>
    <x v="32"/>
    <x v="17"/>
    <x v="5"/>
    <x v="0"/>
    <n v="119.4"/>
  </r>
  <r>
    <x v="2"/>
    <x v="8"/>
    <x v="32"/>
    <x v="17"/>
    <x v="5"/>
    <x v="1"/>
    <n v="117.7"/>
  </r>
  <r>
    <x v="2"/>
    <x v="8"/>
    <x v="32"/>
    <x v="17"/>
    <x v="5"/>
    <x v="2"/>
    <n v="114.9"/>
  </r>
  <r>
    <x v="2"/>
    <x v="8"/>
    <x v="32"/>
    <x v="19"/>
    <x v="6"/>
    <x v="0"/>
    <n v="121.5"/>
  </r>
  <r>
    <x v="2"/>
    <x v="8"/>
    <x v="32"/>
    <x v="19"/>
    <x v="6"/>
    <x v="1"/>
    <n v="120.2"/>
  </r>
  <r>
    <x v="2"/>
    <x v="8"/>
    <x v="32"/>
    <x v="19"/>
    <x v="6"/>
    <x v="2"/>
    <n v="118.7"/>
  </r>
  <r>
    <x v="2"/>
    <x v="8"/>
    <x v="32"/>
    <x v="21"/>
    <x v="6"/>
    <x v="0"/>
    <n v="0"/>
  </r>
  <r>
    <x v="2"/>
    <x v="8"/>
    <x v="32"/>
    <x v="21"/>
    <x v="6"/>
    <x v="1"/>
    <n v="119.6"/>
  </r>
  <r>
    <x v="2"/>
    <x v="8"/>
    <x v="32"/>
    <x v="21"/>
    <x v="6"/>
    <x v="2"/>
    <n v="119.6"/>
  </r>
  <r>
    <x v="2"/>
    <x v="8"/>
    <x v="32"/>
    <x v="2"/>
    <x v="0"/>
    <x v="0"/>
    <n v="127.1"/>
  </r>
  <r>
    <x v="2"/>
    <x v="8"/>
    <x v="32"/>
    <x v="2"/>
    <x v="0"/>
    <x v="1"/>
    <n v="128"/>
  </r>
  <r>
    <x v="2"/>
    <x v="8"/>
    <x v="32"/>
    <x v="2"/>
    <x v="0"/>
    <x v="2"/>
    <n v="129.69999999999999"/>
  </r>
  <r>
    <x v="2"/>
    <x v="8"/>
    <x v="32"/>
    <x v="6"/>
    <x v="0"/>
    <x v="0"/>
    <n v="127.7"/>
  </r>
  <r>
    <x v="2"/>
    <x v="8"/>
    <x v="32"/>
    <x v="6"/>
    <x v="0"/>
    <x v="1"/>
    <n v="127.3"/>
  </r>
  <r>
    <x v="2"/>
    <x v="8"/>
    <x v="32"/>
    <x v="6"/>
    <x v="0"/>
    <x v="2"/>
    <n v="126.6"/>
  </r>
  <r>
    <x v="2"/>
    <x v="8"/>
    <x v="32"/>
    <x v="23"/>
    <x v="7"/>
    <x v="0"/>
    <n v="116.9"/>
  </r>
  <r>
    <x v="2"/>
    <x v="8"/>
    <x v="32"/>
    <x v="23"/>
    <x v="7"/>
    <x v="1"/>
    <n v="116.1"/>
  </r>
  <r>
    <x v="2"/>
    <x v="8"/>
    <x v="32"/>
    <x v="23"/>
    <x v="7"/>
    <x v="2"/>
    <n v="115.2"/>
  </r>
  <r>
    <x v="2"/>
    <x v="8"/>
    <x v="32"/>
    <x v="18"/>
    <x v="0"/>
    <x v="0"/>
    <n v="120.2"/>
  </r>
  <r>
    <x v="2"/>
    <x v="8"/>
    <x v="32"/>
    <x v="18"/>
    <x v="0"/>
    <x v="1"/>
    <n v="119.2"/>
  </r>
  <r>
    <x v="2"/>
    <x v="8"/>
    <x v="32"/>
    <x v="18"/>
    <x v="0"/>
    <x v="2"/>
    <n v="117.7"/>
  </r>
  <r>
    <x v="2"/>
    <x v="8"/>
    <x v="32"/>
    <x v="7"/>
    <x v="0"/>
    <x v="0"/>
    <n v="112.5"/>
  </r>
  <r>
    <x v="2"/>
    <x v="8"/>
    <x v="32"/>
    <x v="7"/>
    <x v="0"/>
    <x v="1"/>
    <n v="109.8"/>
  </r>
  <r>
    <x v="2"/>
    <x v="8"/>
    <x v="32"/>
    <x v="7"/>
    <x v="0"/>
    <x v="2"/>
    <n v="105.2"/>
  </r>
  <r>
    <x v="2"/>
    <x v="8"/>
    <x v="32"/>
    <x v="22"/>
    <x v="7"/>
    <x v="0"/>
    <n v="126.7"/>
  </r>
  <r>
    <x v="2"/>
    <x v="8"/>
    <x v="32"/>
    <x v="22"/>
    <x v="7"/>
    <x v="1"/>
    <n v="127.9"/>
  </r>
  <r>
    <x v="2"/>
    <x v="8"/>
    <x v="32"/>
    <x v="22"/>
    <x v="7"/>
    <x v="2"/>
    <n v="131.30000000000001"/>
  </r>
  <r>
    <x v="2"/>
    <x v="8"/>
    <x v="32"/>
    <x v="24"/>
    <x v="7"/>
    <x v="0"/>
    <n v="112.3"/>
  </r>
  <r>
    <x v="2"/>
    <x v="8"/>
    <x v="32"/>
    <x v="24"/>
    <x v="7"/>
    <x v="1"/>
    <n v="112.3"/>
  </r>
  <r>
    <x v="2"/>
    <x v="8"/>
    <x v="32"/>
    <x v="24"/>
    <x v="7"/>
    <x v="2"/>
    <n v="112.4"/>
  </r>
  <r>
    <x v="2"/>
    <x v="8"/>
    <x v="32"/>
    <x v="20"/>
    <x v="0"/>
    <x v="0"/>
    <n v="129.80000000000001"/>
  </r>
  <r>
    <x v="2"/>
    <x v="8"/>
    <x v="32"/>
    <x v="20"/>
    <x v="0"/>
    <x v="1"/>
    <n v="129.80000000000001"/>
  </r>
  <r>
    <x v="2"/>
    <x v="8"/>
    <x v="32"/>
    <x v="20"/>
    <x v="0"/>
    <x v="2"/>
    <n v="129.9"/>
  </r>
  <r>
    <x v="2"/>
    <x v="8"/>
    <x v="32"/>
    <x v="12"/>
    <x v="0"/>
    <x v="0"/>
    <n v="124.3"/>
  </r>
  <r>
    <x v="2"/>
    <x v="8"/>
    <x v="32"/>
    <x v="12"/>
    <x v="0"/>
    <x v="1"/>
    <n v="130.5"/>
  </r>
  <r>
    <x v="2"/>
    <x v="8"/>
    <x v="32"/>
    <x v="12"/>
    <x v="0"/>
    <x v="2"/>
    <n v="142.6"/>
  </r>
  <r>
    <x v="2"/>
    <x v="8"/>
    <x v="32"/>
    <x v="26"/>
    <x v="9"/>
    <x v="0"/>
    <n v="116.7"/>
  </r>
  <r>
    <x v="2"/>
    <x v="8"/>
    <x v="32"/>
    <x v="26"/>
    <x v="9"/>
    <x v="1"/>
    <n v="116.3"/>
  </r>
  <r>
    <x v="2"/>
    <x v="8"/>
    <x v="32"/>
    <x v="26"/>
    <x v="9"/>
    <x v="2"/>
    <n v="116"/>
  </r>
  <r>
    <x v="2"/>
    <x v="8"/>
    <x v="32"/>
    <x v="16"/>
    <x v="0"/>
    <x v="0"/>
    <n v="120.7"/>
  </r>
  <r>
    <x v="2"/>
    <x v="8"/>
    <x v="32"/>
    <x v="16"/>
    <x v="0"/>
    <x v="1"/>
    <n v="123.4"/>
  </r>
  <r>
    <x v="2"/>
    <x v="8"/>
    <x v="32"/>
    <x v="16"/>
    <x v="0"/>
    <x v="2"/>
    <n v="128.80000000000001"/>
  </r>
  <r>
    <x v="2"/>
    <x v="8"/>
    <x v="32"/>
    <x v="14"/>
    <x v="0"/>
    <x v="0"/>
    <n v="97.6"/>
  </r>
  <r>
    <x v="2"/>
    <x v="8"/>
    <x v="32"/>
    <x v="14"/>
    <x v="0"/>
    <x v="1"/>
    <n v="95.3"/>
  </r>
  <r>
    <x v="2"/>
    <x v="8"/>
    <x v="32"/>
    <x v="14"/>
    <x v="0"/>
    <x v="2"/>
    <n v="90.8"/>
  </r>
  <r>
    <x v="2"/>
    <x v="8"/>
    <x v="32"/>
    <x v="25"/>
    <x v="8"/>
    <x v="0"/>
    <n v="113.3"/>
  </r>
  <r>
    <x v="2"/>
    <x v="8"/>
    <x v="32"/>
    <x v="25"/>
    <x v="8"/>
    <x v="1"/>
    <n v="112"/>
  </r>
  <r>
    <x v="2"/>
    <x v="8"/>
    <x v="32"/>
    <x v="25"/>
    <x v="8"/>
    <x v="2"/>
    <n v="110.8"/>
  </r>
  <r>
    <x v="2"/>
    <x v="8"/>
    <x v="32"/>
    <x v="11"/>
    <x v="0"/>
    <x v="0"/>
    <n v="128.5"/>
  </r>
  <r>
    <x v="2"/>
    <x v="8"/>
    <x v="32"/>
    <x v="11"/>
    <x v="0"/>
    <x v="1"/>
    <n v="130.9"/>
  </r>
  <r>
    <x v="2"/>
    <x v="8"/>
    <x v="32"/>
    <x v="11"/>
    <x v="0"/>
    <x v="2"/>
    <n v="135.6"/>
  </r>
  <r>
    <x v="2"/>
    <x v="9"/>
    <x v="33"/>
    <x v="0"/>
    <x v="0"/>
    <x v="0"/>
    <n v="126.1"/>
  </r>
  <r>
    <x v="2"/>
    <x v="9"/>
    <x v="33"/>
    <x v="0"/>
    <x v="0"/>
    <x v="1"/>
    <n v="125.4"/>
  </r>
  <r>
    <x v="2"/>
    <x v="9"/>
    <x v="33"/>
    <x v="0"/>
    <x v="0"/>
    <x v="2"/>
    <n v="124"/>
  </r>
  <r>
    <x v="2"/>
    <x v="9"/>
    <x v="33"/>
    <x v="1"/>
    <x v="1"/>
    <x v="0"/>
    <n v="132.1"/>
  </r>
  <r>
    <x v="2"/>
    <x v="9"/>
    <x v="33"/>
    <x v="1"/>
    <x v="1"/>
    <x v="1"/>
    <n v="129.30000000000001"/>
  </r>
  <r>
    <x v="2"/>
    <x v="9"/>
    <x v="33"/>
    <x v="1"/>
    <x v="1"/>
    <x v="2"/>
    <n v="125"/>
  </r>
  <r>
    <x v="2"/>
    <x v="9"/>
    <x v="33"/>
    <x v="3"/>
    <x v="1"/>
    <x v="0"/>
    <n v="131.5"/>
  </r>
  <r>
    <x v="2"/>
    <x v="9"/>
    <x v="33"/>
    <x v="3"/>
    <x v="1"/>
    <x v="1"/>
    <n v="128.6"/>
  </r>
  <r>
    <x v="2"/>
    <x v="9"/>
    <x v="33"/>
    <x v="3"/>
    <x v="1"/>
    <x v="2"/>
    <n v="124.2"/>
  </r>
  <r>
    <x v="2"/>
    <x v="9"/>
    <x v="33"/>
    <x v="5"/>
    <x v="2"/>
    <x v="0"/>
    <n v="125.8"/>
  </r>
  <r>
    <x v="2"/>
    <x v="9"/>
    <x v="33"/>
    <x v="5"/>
    <x v="2"/>
    <x v="1"/>
    <n v="126.3"/>
  </r>
  <r>
    <x v="2"/>
    <x v="9"/>
    <x v="33"/>
    <x v="5"/>
    <x v="2"/>
    <x v="2"/>
    <n v="126.6"/>
  </r>
  <r>
    <x v="2"/>
    <x v="9"/>
    <x v="33"/>
    <x v="4"/>
    <x v="0"/>
    <x v="0"/>
    <n v="121.7"/>
  </r>
  <r>
    <x v="2"/>
    <x v="9"/>
    <x v="33"/>
    <x v="4"/>
    <x v="0"/>
    <x v="1"/>
    <n v="121.6"/>
  </r>
  <r>
    <x v="2"/>
    <x v="9"/>
    <x v="33"/>
    <x v="4"/>
    <x v="0"/>
    <x v="2"/>
    <n v="121.5"/>
  </r>
  <r>
    <x v="2"/>
    <x v="9"/>
    <x v="33"/>
    <x v="8"/>
    <x v="0"/>
    <x v="0"/>
    <n v="132.4"/>
  </r>
  <r>
    <x v="2"/>
    <x v="9"/>
    <x v="33"/>
    <x v="8"/>
    <x v="0"/>
    <x v="1"/>
    <n v="132.69999999999999"/>
  </r>
  <r>
    <x v="2"/>
    <x v="9"/>
    <x v="33"/>
    <x v="8"/>
    <x v="0"/>
    <x v="2"/>
    <n v="133.30000000000001"/>
  </r>
  <r>
    <x v="2"/>
    <x v="9"/>
    <x v="33"/>
    <x v="10"/>
    <x v="1"/>
    <x v="0"/>
    <n v="128.19999999999999"/>
  </r>
  <r>
    <x v="2"/>
    <x v="9"/>
    <x v="33"/>
    <x v="10"/>
    <x v="1"/>
    <x v="1"/>
    <n v="124.5"/>
  </r>
  <r>
    <x v="2"/>
    <x v="9"/>
    <x v="33"/>
    <x v="10"/>
    <x v="1"/>
    <x v="2"/>
    <n v="119.3"/>
  </r>
  <r>
    <x v="2"/>
    <x v="9"/>
    <x v="33"/>
    <x v="9"/>
    <x v="0"/>
    <x v="0"/>
    <n v="132.1"/>
  </r>
  <r>
    <x v="2"/>
    <x v="9"/>
    <x v="33"/>
    <x v="9"/>
    <x v="0"/>
    <x v="1"/>
    <n v="128.19999999999999"/>
  </r>
  <r>
    <x v="2"/>
    <x v="9"/>
    <x v="33"/>
    <x v="9"/>
    <x v="0"/>
    <x v="2"/>
    <n v="123.7"/>
  </r>
  <r>
    <x v="2"/>
    <x v="9"/>
    <x v="33"/>
    <x v="13"/>
    <x v="3"/>
    <x v="0"/>
    <n v="125.6"/>
  </r>
  <r>
    <x v="2"/>
    <x v="9"/>
    <x v="33"/>
    <x v="13"/>
    <x v="3"/>
    <x v="1"/>
    <n v="121.6"/>
  </r>
  <r>
    <x v="2"/>
    <x v="9"/>
    <x v="33"/>
    <x v="13"/>
    <x v="3"/>
    <x v="2"/>
    <n v="115.1"/>
  </r>
  <r>
    <x v="2"/>
    <x v="9"/>
    <x v="33"/>
    <x v="15"/>
    <x v="4"/>
    <x v="0"/>
    <n v="128.30000000000001"/>
  </r>
  <r>
    <x v="2"/>
    <x v="9"/>
    <x v="33"/>
    <x v="15"/>
    <x v="4"/>
    <x v="1"/>
    <n v="126.6"/>
  </r>
  <r>
    <x v="2"/>
    <x v="9"/>
    <x v="33"/>
    <x v="15"/>
    <x v="4"/>
    <x v="2"/>
    <n v="124.6"/>
  </r>
  <r>
    <x v="2"/>
    <x v="9"/>
    <x v="33"/>
    <x v="17"/>
    <x v="5"/>
    <x v="0"/>
    <n v="122.6"/>
  </r>
  <r>
    <x v="2"/>
    <x v="9"/>
    <x v="33"/>
    <x v="17"/>
    <x v="5"/>
    <x v="1"/>
    <n v="120.9"/>
  </r>
  <r>
    <x v="2"/>
    <x v="9"/>
    <x v="33"/>
    <x v="17"/>
    <x v="5"/>
    <x v="2"/>
    <n v="118.1"/>
  </r>
  <r>
    <x v="2"/>
    <x v="9"/>
    <x v="33"/>
    <x v="19"/>
    <x v="6"/>
    <x v="0"/>
    <n v="125.6"/>
  </r>
  <r>
    <x v="2"/>
    <x v="9"/>
    <x v="33"/>
    <x v="19"/>
    <x v="6"/>
    <x v="1"/>
    <n v="123.4"/>
  </r>
  <r>
    <x v="2"/>
    <x v="9"/>
    <x v="33"/>
    <x v="19"/>
    <x v="6"/>
    <x v="2"/>
    <n v="121"/>
  </r>
  <r>
    <x v="2"/>
    <x v="9"/>
    <x v="33"/>
    <x v="21"/>
    <x v="6"/>
    <x v="0"/>
    <n v="0"/>
  </r>
  <r>
    <x v="2"/>
    <x v="9"/>
    <x v="33"/>
    <x v="21"/>
    <x v="6"/>
    <x v="1"/>
    <n v="122.9"/>
  </r>
  <r>
    <x v="2"/>
    <x v="9"/>
    <x v="33"/>
    <x v="21"/>
    <x v="6"/>
    <x v="2"/>
    <n v="122.9"/>
  </r>
  <r>
    <x v="2"/>
    <x v="9"/>
    <x v="33"/>
    <x v="2"/>
    <x v="0"/>
    <x v="0"/>
    <n v="130.6"/>
  </r>
  <r>
    <x v="2"/>
    <x v="9"/>
    <x v="33"/>
    <x v="2"/>
    <x v="0"/>
    <x v="1"/>
    <n v="130.30000000000001"/>
  </r>
  <r>
    <x v="2"/>
    <x v="9"/>
    <x v="33"/>
    <x v="2"/>
    <x v="0"/>
    <x v="2"/>
    <n v="129.80000000000001"/>
  </r>
  <r>
    <x v="2"/>
    <x v="9"/>
    <x v="33"/>
    <x v="6"/>
    <x v="0"/>
    <x v="0"/>
    <n v="129.5"/>
  </r>
  <r>
    <x v="2"/>
    <x v="9"/>
    <x v="33"/>
    <x v="6"/>
    <x v="0"/>
    <x v="1"/>
    <n v="129.19999999999999"/>
  </r>
  <r>
    <x v="2"/>
    <x v="9"/>
    <x v="33"/>
    <x v="6"/>
    <x v="0"/>
    <x v="2"/>
    <n v="128.6"/>
  </r>
  <r>
    <x v="2"/>
    <x v="9"/>
    <x v="33"/>
    <x v="23"/>
    <x v="7"/>
    <x v="0"/>
    <n v="119.6"/>
  </r>
  <r>
    <x v="2"/>
    <x v="9"/>
    <x v="33"/>
    <x v="23"/>
    <x v="7"/>
    <x v="1"/>
    <n v="118.1"/>
  </r>
  <r>
    <x v="2"/>
    <x v="9"/>
    <x v="33"/>
    <x v="23"/>
    <x v="7"/>
    <x v="2"/>
    <n v="116.6"/>
  </r>
  <r>
    <x v="2"/>
    <x v="9"/>
    <x v="33"/>
    <x v="18"/>
    <x v="0"/>
    <x v="0"/>
    <n v="123.1"/>
  </r>
  <r>
    <x v="2"/>
    <x v="9"/>
    <x v="33"/>
    <x v="18"/>
    <x v="0"/>
    <x v="1"/>
    <n v="121.7"/>
  </r>
  <r>
    <x v="2"/>
    <x v="9"/>
    <x v="33"/>
    <x v="18"/>
    <x v="0"/>
    <x v="2"/>
    <n v="119.8"/>
  </r>
  <r>
    <x v="2"/>
    <x v="9"/>
    <x v="33"/>
    <x v="7"/>
    <x v="0"/>
    <x v="0"/>
    <n v="117.8"/>
  </r>
  <r>
    <x v="2"/>
    <x v="9"/>
    <x v="33"/>
    <x v="7"/>
    <x v="0"/>
    <x v="1"/>
    <n v="114.9"/>
  </r>
  <r>
    <x v="2"/>
    <x v="9"/>
    <x v="33"/>
    <x v="7"/>
    <x v="0"/>
    <x v="2"/>
    <n v="110"/>
  </r>
  <r>
    <x v="2"/>
    <x v="9"/>
    <x v="33"/>
    <x v="22"/>
    <x v="7"/>
    <x v="0"/>
    <n v="132.19999999999999"/>
  </r>
  <r>
    <x v="2"/>
    <x v="9"/>
    <x v="33"/>
    <x v="22"/>
    <x v="7"/>
    <x v="1"/>
    <n v="133.6"/>
  </r>
  <r>
    <x v="2"/>
    <x v="9"/>
    <x v="33"/>
    <x v="22"/>
    <x v="7"/>
    <x v="2"/>
    <n v="137.6"/>
  </r>
  <r>
    <x v="2"/>
    <x v="9"/>
    <x v="33"/>
    <x v="24"/>
    <x v="7"/>
    <x v="0"/>
    <n v="114.2"/>
  </r>
  <r>
    <x v="2"/>
    <x v="9"/>
    <x v="33"/>
    <x v="24"/>
    <x v="7"/>
    <x v="1"/>
    <n v="113.8"/>
  </r>
  <r>
    <x v="2"/>
    <x v="9"/>
    <x v="33"/>
    <x v="24"/>
    <x v="7"/>
    <x v="2"/>
    <n v="113.3"/>
  </r>
  <r>
    <x v="2"/>
    <x v="9"/>
    <x v="33"/>
    <x v="20"/>
    <x v="0"/>
    <x v="0"/>
    <n v="134.19999999999999"/>
  </r>
  <r>
    <x v="2"/>
    <x v="9"/>
    <x v="33"/>
    <x v="20"/>
    <x v="0"/>
    <x v="1"/>
    <n v="134"/>
  </r>
  <r>
    <x v="2"/>
    <x v="9"/>
    <x v="33"/>
    <x v="20"/>
    <x v="0"/>
    <x v="2"/>
    <n v="133.69999999999999"/>
  </r>
  <r>
    <x v="2"/>
    <x v="9"/>
    <x v="33"/>
    <x v="12"/>
    <x v="0"/>
    <x v="0"/>
    <n v="160.80000000000001"/>
  </r>
  <r>
    <x v="2"/>
    <x v="9"/>
    <x v="33"/>
    <x v="12"/>
    <x v="0"/>
    <x v="1"/>
    <n v="171.2"/>
  </r>
  <r>
    <x v="2"/>
    <x v="9"/>
    <x v="33"/>
    <x v="12"/>
    <x v="0"/>
    <x v="2"/>
    <n v="191.6"/>
  </r>
  <r>
    <x v="2"/>
    <x v="9"/>
    <x v="33"/>
    <x v="26"/>
    <x v="9"/>
    <x v="0"/>
    <n v="120.9"/>
  </r>
  <r>
    <x v="2"/>
    <x v="9"/>
    <x v="33"/>
    <x v="26"/>
    <x v="9"/>
    <x v="1"/>
    <n v="119.2"/>
  </r>
  <r>
    <x v="2"/>
    <x v="9"/>
    <x v="33"/>
    <x v="26"/>
    <x v="9"/>
    <x v="2"/>
    <n v="117.9"/>
  </r>
  <r>
    <x v="2"/>
    <x v="9"/>
    <x v="33"/>
    <x v="16"/>
    <x v="0"/>
    <x v="0"/>
    <n v="128.30000000000001"/>
  </r>
  <r>
    <x v="2"/>
    <x v="9"/>
    <x v="33"/>
    <x v="16"/>
    <x v="0"/>
    <x v="1"/>
    <n v="131.19999999999999"/>
  </r>
  <r>
    <x v="2"/>
    <x v="9"/>
    <x v="33"/>
    <x v="16"/>
    <x v="0"/>
    <x v="2"/>
    <n v="137.1"/>
  </r>
  <r>
    <x v="2"/>
    <x v="9"/>
    <x v="33"/>
    <x v="14"/>
    <x v="0"/>
    <x v="0"/>
    <n v="94.5"/>
  </r>
  <r>
    <x v="2"/>
    <x v="9"/>
    <x v="33"/>
    <x v="14"/>
    <x v="0"/>
    <x v="1"/>
    <n v="93.3"/>
  </r>
  <r>
    <x v="2"/>
    <x v="9"/>
    <x v="33"/>
    <x v="14"/>
    <x v="0"/>
    <x v="2"/>
    <n v="90.8"/>
  </r>
  <r>
    <x v="2"/>
    <x v="9"/>
    <x v="33"/>
    <x v="25"/>
    <x v="8"/>
    <x v="0"/>
    <n v="114"/>
  </r>
  <r>
    <x v="2"/>
    <x v="9"/>
    <x v="33"/>
    <x v="25"/>
    <x v="8"/>
    <x v="1"/>
    <n v="111.5"/>
  </r>
  <r>
    <x v="2"/>
    <x v="9"/>
    <x v="33"/>
    <x v="25"/>
    <x v="8"/>
    <x v="2"/>
    <n v="109.3"/>
  </r>
  <r>
    <x v="2"/>
    <x v="9"/>
    <x v="33"/>
    <x v="11"/>
    <x v="0"/>
    <x v="0"/>
    <n v="155.19999999999999"/>
  </r>
  <r>
    <x v="2"/>
    <x v="9"/>
    <x v="33"/>
    <x v="11"/>
    <x v="0"/>
    <x v="1"/>
    <n v="158.4"/>
  </r>
  <r>
    <x v="2"/>
    <x v="9"/>
    <x v="33"/>
    <x v="11"/>
    <x v="0"/>
    <x v="2"/>
    <n v="164.6"/>
  </r>
  <r>
    <x v="2"/>
    <x v="10"/>
    <x v="34"/>
    <x v="0"/>
    <x v="0"/>
    <x v="0"/>
    <n v="125.6"/>
  </r>
  <r>
    <x v="2"/>
    <x v="10"/>
    <x v="34"/>
    <x v="0"/>
    <x v="0"/>
    <x v="1"/>
    <n v="125"/>
  </r>
  <r>
    <x v="2"/>
    <x v="10"/>
    <x v="34"/>
    <x v="0"/>
    <x v="0"/>
    <x v="2"/>
    <n v="123.6"/>
  </r>
  <r>
    <x v="2"/>
    <x v="10"/>
    <x v="34"/>
    <x v="1"/>
    <x v="1"/>
    <x v="0"/>
    <n v="131.1"/>
  </r>
  <r>
    <x v="2"/>
    <x v="10"/>
    <x v="34"/>
    <x v="1"/>
    <x v="1"/>
    <x v="1"/>
    <n v="128.5"/>
  </r>
  <r>
    <x v="2"/>
    <x v="10"/>
    <x v="34"/>
    <x v="1"/>
    <x v="1"/>
    <x v="2"/>
    <n v="124.4"/>
  </r>
  <r>
    <x v="2"/>
    <x v="10"/>
    <x v="34"/>
    <x v="3"/>
    <x v="1"/>
    <x v="0"/>
    <n v="130.6"/>
  </r>
  <r>
    <x v="2"/>
    <x v="10"/>
    <x v="34"/>
    <x v="3"/>
    <x v="1"/>
    <x v="1"/>
    <n v="127.8"/>
  </r>
  <r>
    <x v="2"/>
    <x v="10"/>
    <x v="34"/>
    <x v="3"/>
    <x v="1"/>
    <x v="2"/>
    <n v="123.6"/>
  </r>
  <r>
    <x v="2"/>
    <x v="10"/>
    <x v="34"/>
    <x v="5"/>
    <x v="2"/>
    <x v="0"/>
    <n v="125.1"/>
  </r>
  <r>
    <x v="2"/>
    <x v="10"/>
    <x v="34"/>
    <x v="5"/>
    <x v="2"/>
    <x v="1"/>
    <n v="125.9"/>
  </r>
  <r>
    <x v="2"/>
    <x v="10"/>
    <x v="34"/>
    <x v="5"/>
    <x v="2"/>
    <x v="2"/>
    <n v="126.5"/>
  </r>
  <r>
    <x v="2"/>
    <x v="10"/>
    <x v="34"/>
    <x v="4"/>
    <x v="0"/>
    <x v="0"/>
    <n v="120.8"/>
  </r>
  <r>
    <x v="2"/>
    <x v="10"/>
    <x v="34"/>
    <x v="4"/>
    <x v="0"/>
    <x v="1"/>
    <n v="118.9"/>
  </r>
  <r>
    <x v="2"/>
    <x v="10"/>
    <x v="34"/>
    <x v="4"/>
    <x v="0"/>
    <x v="2"/>
    <n v="115.9"/>
  </r>
  <r>
    <x v="2"/>
    <x v="10"/>
    <x v="34"/>
    <x v="8"/>
    <x v="0"/>
    <x v="0"/>
    <n v="131.80000000000001"/>
  </r>
  <r>
    <x v="2"/>
    <x v="10"/>
    <x v="34"/>
    <x v="8"/>
    <x v="0"/>
    <x v="1"/>
    <n v="132.1"/>
  </r>
  <r>
    <x v="2"/>
    <x v="10"/>
    <x v="34"/>
    <x v="8"/>
    <x v="0"/>
    <x v="2"/>
    <n v="132.6"/>
  </r>
  <r>
    <x v="2"/>
    <x v="10"/>
    <x v="34"/>
    <x v="10"/>
    <x v="1"/>
    <x v="0"/>
    <n v="127.3"/>
  </r>
  <r>
    <x v="2"/>
    <x v="10"/>
    <x v="34"/>
    <x v="10"/>
    <x v="1"/>
    <x v="1"/>
    <n v="123.8"/>
  </r>
  <r>
    <x v="2"/>
    <x v="10"/>
    <x v="34"/>
    <x v="10"/>
    <x v="1"/>
    <x v="2"/>
    <n v="118.8"/>
  </r>
  <r>
    <x v="2"/>
    <x v="10"/>
    <x v="34"/>
    <x v="9"/>
    <x v="0"/>
    <x v="0"/>
    <n v="133.19999999999999"/>
  </r>
  <r>
    <x v="2"/>
    <x v="10"/>
    <x v="34"/>
    <x v="9"/>
    <x v="0"/>
    <x v="1"/>
    <n v="129"/>
  </r>
  <r>
    <x v="2"/>
    <x v="10"/>
    <x v="34"/>
    <x v="9"/>
    <x v="0"/>
    <x v="2"/>
    <n v="124.1"/>
  </r>
  <r>
    <x v="2"/>
    <x v="10"/>
    <x v="34"/>
    <x v="13"/>
    <x v="3"/>
    <x v="0"/>
    <n v="124.4"/>
  </r>
  <r>
    <x v="2"/>
    <x v="10"/>
    <x v="34"/>
    <x v="13"/>
    <x v="3"/>
    <x v="1"/>
    <n v="120.8"/>
  </r>
  <r>
    <x v="2"/>
    <x v="10"/>
    <x v="34"/>
    <x v="13"/>
    <x v="3"/>
    <x v="2"/>
    <n v="114.9"/>
  </r>
  <r>
    <x v="2"/>
    <x v="10"/>
    <x v="34"/>
    <x v="15"/>
    <x v="4"/>
    <x v="0"/>
    <n v="127.7"/>
  </r>
  <r>
    <x v="2"/>
    <x v="10"/>
    <x v="34"/>
    <x v="15"/>
    <x v="4"/>
    <x v="1"/>
    <n v="126.1"/>
  </r>
  <r>
    <x v="2"/>
    <x v="10"/>
    <x v="34"/>
    <x v="15"/>
    <x v="4"/>
    <x v="2"/>
    <n v="124.2"/>
  </r>
  <r>
    <x v="2"/>
    <x v="10"/>
    <x v="34"/>
    <x v="17"/>
    <x v="5"/>
    <x v="0"/>
    <n v="122"/>
  </r>
  <r>
    <x v="2"/>
    <x v="10"/>
    <x v="34"/>
    <x v="17"/>
    <x v="5"/>
    <x v="1"/>
    <n v="120.4"/>
  </r>
  <r>
    <x v="2"/>
    <x v="10"/>
    <x v="34"/>
    <x v="17"/>
    <x v="5"/>
    <x v="2"/>
    <n v="117.7"/>
  </r>
  <r>
    <x v="2"/>
    <x v="10"/>
    <x v="34"/>
    <x v="19"/>
    <x v="6"/>
    <x v="0"/>
    <n v="125.1"/>
  </r>
  <r>
    <x v="2"/>
    <x v="10"/>
    <x v="34"/>
    <x v="19"/>
    <x v="6"/>
    <x v="1"/>
    <n v="123"/>
  </r>
  <r>
    <x v="2"/>
    <x v="10"/>
    <x v="34"/>
    <x v="19"/>
    <x v="6"/>
    <x v="2"/>
    <n v="120.7"/>
  </r>
  <r>
    <x v="2"/>
    <x v="10"/>
    <x v="34"/>
    <x v="21"/>
    <x v="6"/>
    <x v="0"/>
    <n v="0"/>
  </r>
  <r>
    <x v="2"/>
    <x v="10"/>
    <x v="34"/>
    <x v="21"/>
    <x v="6"/>
    <x v="1"/>
    <n v="122.4"/>
  </r>
  <r>
    <x v="2"/>
    <x v="10"/>
    <x v="34"/>
    <x v="21"/>
    <x v="6"/>
    <x v="2"/>
    <n v="122.4"/>
  </r>
  <r>
    <x v="2"/>
    <x v="10"/>
    <x v="34"/>
    <x v="2"/>
    <x v="0"/>
    <x v="0"/>
    <n v="130.4"/>
  </r>
  <r>
    <x v="2"/>
    <x v="10"/>
    <x v="34"/>
    <x v="2"/>
    <x v="0"/>
    <x v="1"/>
    <n v="129.80000000000001"/>
  </r>
  <r>
    <x v="2"/>
    <x v="10"/>
    <x v="34"/>
    <x v="2"/>
    <x v="0"/>
    <x v="2"/>
    <n v="128.6"/>
  </r>
  <r>
    <x v="2"/>
    <x v="10"/>
    <x v="34"/>
    <x v="6"/>
    <x v="0"/>
    <x v="0"/>
    <n v="129.4"/>
  </r>
  <r>
    <x v="2"/>
    <x v="10"/>
    <x v="34"/>
    <x v="6"/>
    <x v="0"/>
    <x v="1"/>
    <n v="129.1"/>
  </r>
  <r>
    <x v="2"/>
    <x v="10"/>
    <x v="34"/>
    <x v="6"/>
    <x v="0"/>
    <x v="2"/>
    <n v="128.5"/>
  </r>
  <r>
    <x v="2"/>
    <x v="10"/>
    <x v="34"/>
    <x v="23"/>
    <x v="7"/>
    <x v="0"/>
    <n v="119.2"/>
  </r>
  <r>
    <x v="2"/>
    <x v="10"/>
    <x v="34"/>
    <x v="23"/>
    <x v="7"/>
    <x v="1"/>
    <n v="117.9"/>
  </r>
  <r>
    <x v="2"/>
    <x v="10"/>
    <x v="34"/>
    <x v="23"/>
    <x v="7"/>
    <x v="2"/>
    <n v="116.5"/>
  </r>
  <r>
    <x v="2"/>
    <x v="10"/>
    <x v="34"/>
    <x v="18"/>
    <x v="0"/>
    <x v="0"/>
    <n v="122.3"/>
  </r>
  <r>
    <x v="2"/>
    <x v="10"/>
    <x v="34"/>
    <x v="18"/>
    <x v="0"/>
    <x v="1"/>
    <n v="121.1"/>
  </r>
  <r>
    <x v="2"/>
    <x v="10"/>
    <x v="34"/>
    <x v="18"/>
    <x v="0"/>
    <x v="2"/>
    <n v="119.4"/>
  </r>
  <r>
    <x v="2"/>
    <x v="10"/>
    <x v="34"/>
    <x v="7"/>
    <x v="0"/>
    <x v="0"/>
    <n v="115.8"/>
  </r>
  <r>
    <x v="2"/>
    <x v="10"/>
    <x v="34"/>
    <x v="7"/>
    <x v="0"/>
    <x v="1"/>
    <n v="113.3"/>
  </r>
  <r>
    <x v="2"/>
    <x v="10"/>
    <x v="34"/>
    <x v="7"/>
    <x v="0"/>
    <x v="2"/>
    <n v="109"/>
  </r>
  <r>
    <x v="2"/>
    <x v="10"/>
    <x v="34"/>
    <x v="22"/>
    <x v="7"/>
    <x v="0"/>
    <n v="131.5"/>
  </r>
  <r>
    <x v="2"/>
    <x v="10"/>
    <x v="34"/>
    <x v="22"/>
    <x v="7"/>
    <x v="1"/>
    <n v="132.5"/>
  </r>
  <r>
    <x v="2"/>
    <x v="10"/>
    <x v="34"/>
    <x v="22"/>
    <x v="7"/>
    <x v="2"/>
    <n v="135.30000000000001"/>
  </r>
  <r>
    <x v="2"/>
    <x v="10"/>
    <x v="34"/>
    <x v="24"/>
    <x v="7"/>
    <x v="0"/>
    <n v="114.2"/>
  </r>
  <r>
    <x v="2"/>
    <x v="10"/>
    <x v="34"/>
    <x v="24"/>
    <x v="7"/>
    <x v="1"/>
    <n v="113.9"/>
  </r>
  <r>
    <x v="2"/>
    <x v="10"/>
    <x v="34"/>
    <x v="24"/>
    <x v="7"/>
    <x v="2"/>
    <n v="113.5"/>
  </r>
  <r>
    <x v="2"/>
    <x v="10"/>
    <x v="34"/>
    <x v="20"/>
    <x v="0"/>
    <x v="0"/>
    <n v="133.1"/>
  </r>
  <r>
    <x v="2"/>
    <x v="10"/>
    <x v="34"/>
    <x v="20"/>
    <x v="0"/>
    <x v="1"/>
    <n v="133"/>
  </r>
  <r>
    <x v="2"/>
    <x v="10"/>
    <x v="34"/>
    <x v="20"/>
    <x v="0"/>
    <x v="2"/>
    <n v="132.9"/>
  </r>
  <r>
    <x v="2"/>
    <x v="10"/>
    <x v="34"/>
    <x v="12"/>
    <x v="0"/>
    <x v="0"/>
    <n v="154.19999999999999"/>
  </r>
  <r>
    <x v="2"/>
    <x v="10"/>
    <x v="34"/>
    <x v="12"/>
    <x v="0"/>
    <x v="1"/>
    <n v="165.3"/>
  </r>
  <r>
    <x v="2"/>
    <x v="10"/>
    <x v="34"/>
    <x v="12"/>
    <x v="0"/>
    <x v="2"/>
    <n v="187.2"/>
  </r>
  <r>
    <x v="2"/>
    <x v="10"/>
    <x v="34"/>
    <x v="26"/>
    <x v="9"/>
    <x v="0"/>
    <n v="120.1"/>
  </r>
  <r>
    <x v="2"/>
    <x v="10"/>
    <x v="34"/>
    <x v="26"/>
    <x v="9"/>
    <x v="1"/>
    <n v="118.7"/>
  </r>
  <r>
    <x v="2"/>
    <x v="10"/>
    <x v="34"/>
    <x v="26"/>
    <x v="9"/>
    <x v="2"/>
    <n v="117.7"/>
  </r>
  <r>
    <x v="2"/>
    <x v="10"/>
    <x v="34"/>
    <x v="16"/>
    <x v="0"/>
    <x v="0"/>
    <n v="126.6"/>
  </r>
  <r>
    <x v="2"/>
    <x v="10"/>
    <x v="34"/>
    <x v="16"/>
    <x v="0"/>
    <x v="1"/>
    <n v="129.69999999999999"/>
  </r>
  <r>
    <x v="2"/>
    <x v="10"/>
    <x v="34"/>
    <x v="16"/>
    <x v="0"/>
    <x v="2"/>
    <n v="135.80000000000001"/>
  </r>
  <r>
    <x v="2"/>
    <x v="10"/>
    <x v="34"/>
    <x v="14"/>
    <x v="0"/>
    <x v="0"/>
    <n v="93.7"/>
  </r>
  <r>
    <x v="2"/>
    <x v="10"/>
    <x v="34"/>
    <x v="14"/>
    <x v="0"/>
    <x v="1"/>
    <n v="92.3"/>
  </r>
  <r>
    <x v="2"/>
    <x v="10"/>
    <x v="34"/>
    <x v="14"/>
    <x v="0"/>
    <x v="2"/>
    <n v="89.4"/>
  </r>
  <r>
    <x v="2"/>
    <x v="10"/>
    <x v="34"/>
    <x v="25"/>
    <x v="8"/>
    <x v="0"/>
    <n v="113.8"/>
  </r>
  <r>
    <x v="2"/>
    <x v="10"/>
    <x v="34"/>
    <x v="25"/>
    <x v="8"/>
    <x v="1"/>
    <n v="111.4"/>
  </r>
  <r>
    <x v="2"/>
    <x v="10"/>
    <x v="34"/>
    <x v="25"/>
    <x v="8"/>
    <x v="2"/>
    <n v="109.3"/>
  </r>
  <r>
    <x v="2"/>
    <x v="10"/>
    <x v="34"/>
    <x v="11"/>
    <x v="0"/>
    <x v="0"/>
    <n v="157.69999999999999"/>
  </r>
  <r>
    <x v="2"/>
    <x v="10"/>
    <x v="34"/>
    <x v="11"/>
    <x v="0"/>
    <x v="1"/>
    <n v="160.4"/>
  </r>
  <r>
    <x v="2"/>
    <x v="10"/>
    <x v="34"/>
    <x v="11"/>
    <x v="0"/>
    <x v="2"/>
    <n v="165.8"/>
  </r>
  <r>
    <x v="2"/>
    <x v="11"/>
    <x v="35"/>
    <x v="0"/>
    <x v="0"/>
    <x v="0"/>
    <n v="125.1"/>
  </r>
  <r>
    <x v="2"/>
    <x v="11"/>
    <x v="35"/>
    <x v="0"/>
    <x v="0"/>
    <x v="1"/>
    <n v="124.6"/>
  </r>
  <r>
    <x v="2"/>
    <x v="11"/>
    <x v="35"/>
    <x v="0"/>
    <x v="0"/>
    <x v="2"/>
    <n v="123.4"/>
  </r>
  <r>
    <x v="2"/>
    <x v="11"/>
    <x v="35"/>
    <x v="1"/>
    <x v="1"/>
    <x v="0"/>
    <n v="130.4"/>
  </r>
  <r>
    <x v="2"/>
    <x v="11"/>
    <x v="35"/>
    <x v="1"/>
    <x v="1"/>
    <x v="1"/>
    <n v="127.9"/>
  </r>
  <r>
    <x v="2"/>
    <x v="11"/>
    <x v="35"/>
    <x v="1"/>
    <x v="1"/>
    <x v="2"/>
    <n v="124"/>
  </r>
  <r>
    <x v="2"/>
    <x v="11"/>
    <x v="35"/>
    <x v="3"/>
    <x v="1"/>
    <x v="0"/>
    <n v="129.9"/>
  </r>
  <r>
    <x v="2"/>
    <x v="11"/>
    <x v="35"/>
    <x v="3"/>
    <x v="1"/>
    <x v="1"/>
    <n v="127.2"/>
  </r>
  <r>
    <x v="2"/>
    <x v="11"/>
    <x v="35"/>
    <x v="3"/>
    <x v="1"/>
    <x v="2"/>
    <n v="123.2"/>
  </r>
  <r>
    <x v="2"/>
    <x v="11"/>
    <x v="35"/>
    <x v="5"/>
    <x v="2"/>
    <x v="0"/>
    <n v="124.5"/>
  </r>
  <r>
    <x v="2"/>
    <x v="11"/>
    <x v="35"/>
    <x v="5"/>
    <x v="2"/>
    <x v="1"/>
    <n v="125.7"/>
  </r>
  <r>
    <x v="2"/>
    <x v="11"/>
    <x v="35"/>
    <x v="5"/>
    <x v="2"/>
    <x v="2"/>
    <n v="126.5"/>
  </r>
  <r>
    <x v="2"/>
    <x v="11"/>
    <x v="35"/>
    <x v="4"/>
    <x v="0"/>
    <x v="0"/>
    <n v="120.7"/>
  </r>
  <r>
    <x v="2"/>
    <x v="11"/>
    <x v="35"/>
    <x v="4"/>
    <x v="0"/>
    <x v="1"/>
    <n v="118.7"/>
  </r>
  <r>
    <x v="2"/>
    <x v="11"/>
    <x v="35"/>
    <x v="4"/>
    <x v="0"/>
    <x v="2"/>
    <n v="115.6"/>
  </r>
  <r>
    <x v="2"/>
    <x v="11"/>
    <x v="35"/>
    <x v="8"/>
    <x v="0"/>
    <x v="0"/>
    <n v="131"/>
  </r>
  <r>
    <x v="2"/>
    <x v="11"/>
    <x v="35"/>
    <x v="8"/>
    <x v="0"/>
    <x v="1"/>
    <n v="131.19999999999999"/>
  </r>
  <r>
    <x v="2"/>
    <x v="11"/>
    <x v="35"/>
    <x v="8"/>
    <x v="0"/>
    <x v="2"/>
    <n v="131.5"/>
  </r>
  <r>
    <x v="2"/>
    <x v="11"/>
    <x v="35"/>
    <x v="10"/>
    <x v="1"/>
    <x v="0"/>
    <n v="126.8"/>
  </r>
  <r>
    <x v="2"/>
    <x v="11"/>
    <x v="35"/>
    <x v="10"/>
    <x v="1"/>
    <x v="1"/>
    <n v="123.4"/>
  </r>
  <r>
    <x v="2"/>
    <x v="11"/>
    <x v="35"/>
    <x v="10"/>
    <x v="1"/>
    <x v="2"/>
    <n v="118.6"/>
  </r>
  <r>
    <x v="2"/>
    <x v="11"/>
    <x v="35"/>
    <x v="9"/>
    <x v="0"/>
    <x v="0"/>
    <n v="132.30000000000001"/>
  </r>
  <r>
    <x v="2"/>
    <x v="11"/>
    <x v="35"/>
    <x v="9"/>
    <x v="0"/>
    <x v="1"/>
    <n v="128.4"/>
  </r>
  <r>
    <x v="2"/>
    <x v="11"/>
    <x v="35"/>
    <x v="9"/>
    <x v="0"/>
    <x v="2"/>
    <n v="124"/>
  </r>
  <r>
    <x v="2"/>
    <x v="11"/>
    <x v="35"/>
    <x v="13"/>
    <x v="3"/>
    <x v="0"/>
    <n v="123.7"/>
  </r>
  <r>
    <x v="2"/>
    <x v="11"/>
    <x v="35"/>
    <x v="13"/>
    <x v="3"/>
    <x v="1"/>
    <n v="120.4"/>
  </r>
  <r>
    <x v="2"/>
    <x v="11"/>
    <x v="35"/>
    <x v="13"/>
    <x v="3"/>
    <x v="2"/>
    <n v="115.1"/>
  </r>
  <r>
    <x v="2"/>
    <x v="11"/>
    <x v="35"/>
    <x v="15"/>
    <x v="4"/>
    <x v="0"/>
    <n v="127"/>
  </r>
  <r>
    <x v="2"/>
    <x v="11"/>
    <x v="35"/>
    <x v="15"/>
    <x v="4"/>
    <x v="1"/>
    <n v="125.4"/>
  </r>
  <r>
    <x v="2"/>
    <x v="11"/>
    <x v="35"/>
    <x v="15"/>
    <x v="4"/>
    <x v="2"/>
    <n v="123.5"/>
  </r>
  <r>
    <x v="2"/>
    <x v="11"/>
    <x v="35"/>
    <x v="17"/>
    <x v="5"/>
    <x v="0"/>
    <n v="121.4"/>
  </r>
  <r>
    <x v="2"/>
    <x v="11"/>
    <x v="35"/>
    <x v="17"/>
    <x v="5"/>
    <x v="1"/>
    <n v="119.8"/>
  </r>
  <r>
    <x v="2"/>
    <x v="11"/>
    <x v="35"/>
    <x v="17"/>
    <x v="5"/>
    <x v="2"/>
    <n v="117.1"/>
  </r>
  <r>
    <x v="2"/>
    <x v="11"/>
    <x v="35"/>
    <x v="19"/>
    <x v="6"/>
    <x v="0"/>
    <n v="124.5"/>
  </r>
  <r>
    <x v="2"/>
    <x v="11"/>
    <x v="35"/>
    <x v="19"/>
    <x v="6"/>
    <x v="1"/>
    <n v="122.6"/>
  </r>
  <r>
    <x v="2"/>
    <x v="11"/>
    <x v="35"/>
    <x v="19"/>
    <x v="6"/>
    <x v="2"/>
    <n v="120.4"/>
  </r>
  <r>
    <x v="2"/>
    <x v="11"/>
    <x v="35"/>
    <x v="21"/>
    <x v="6"/>
    <x v="0"/>
    <n v="0"/>
  </r>
  <r>
    <x v="2"/>
    <x v="11"/>
    <x v="35"/>
    <x v="21"/>
    <x v="6"/>
    <x v="1"/>
    <n v="121.6"/>
  </r>
  <r>
    <x v="2"/>
    <x v="11"/>
    <x v="35"/>
    <x v="21"/>
    <x v="6"/>
    <x v="2"/>
    <n v="121.6"/>
  </r>
  <r>
    <x v="2"/>
    <x v="11"/>
    <x v="35"/>
    <x v="2"/>
    <x v="0"/>
    <x v="0"/>
    <n v="131.1"/>
  </r>
  <r>
    <x v="2"/>
    <x v="11"/>
    <x v="35"/>
    <x v="2"/>
    <x v="0"/>
    <x v="1"/>
    <n v="130.4"/>
  </r>
  <r>
    <x v="2"/>
    <x v="11"/>
    <x v="35"/>
    <x v="2"/>
    <x v="0"/>
    <x v="2"/>
    <n v="129"/>
  </r>
  <r>
    <x v="2"/>
    <x v="11"/>
    <x v="35"/>
    <x v="6"/>
    <x v="0"/>
    <x v="0"/>
    <n v="129.19999999999999"/>
  </r>
  <r>
    <x v="2"/>
    <x v="11"/>
    <x v="35"/>
    <x v="6"/>
    <x v="0"/>
    <x v="1"/>
    <n v="128.9"/>
  </r>
  <r>
    <x v="2"/>
    <x v="11"/>
    <x v="35"/>
    <x v="6"/>
    <x v="0"/>
    <x v="2"/>
    <n v="128.30000000000001"/>
  </r>
  <r>
    <x v="2"/>
    <x v="11"/>
    <x v="35"/>
    <x v="23"/>
    <x v="7"/>
    <x v="0"/>
    <n v="118.8"/>
  </r>
  <r>
    <x v="2"/>
    <x v="11"/>
    <x v="35"/>
    <x v="23"/>
    <x v="7"/>
    <x v="1"/>
    <n v="117.5"/>
  </r>
  <r>
    <x v="2"/>
    <x v="11"/>
    <x v="35"/>
    <x v="23"/>
    <x v="7"/>
    <x v="2"/>
    <n v="116.2"/>
  </r>
  <r>
    <x v="2"/>
    <x v="11"/>
    <x v="35"/>
    <x v="18"/>
    <x v="0"/>
    <x v="0"/>
    <n v="121.9"/>
  </r>
  <r>
    <x v="2"/>
    <x v="11"/>
    <x v="35"/>
    <x v="18"/>
    <x v="0"/>
    <x v="1"/>
    <n v="120.7"/>
  </r>
  <r>
    <x v="2"/>
    <x v="11"/>
    <x v="35"/>
    <x v="18"/>
    <x v="0"/>
    <x v="2"/>
    <n v="119.1"/>
  </r>
  <r>
    <x v="2"/>
    <x v="11"/>
    <x v="35"/>
    <x v="7"/>
    <x v="0"/>
    <x v="0"/>
    <n v="114.7"/>
  </r>
  <r>
    <x v="2"/>
    <x v="11"/>
    <x v="35"/>
    <x v="7"/>
    <x v="0"/>
    <x v="1"/>
    <n v="111.9"/>
  </r>
  <r>
    <x v="2"/>
    <x v="11"/>
    <x v="35"/>
    <x v="7"/>
    <x v="0"/>
    <x v="2"/>
    <n v="107"/>
  </r>
  <r>
    <x v="2"/>
    <x v="11"/>
    <x v="35"/>
    <x v="22"/>
    <x v="7"/>
    <x v="0"/>
    <n v="131"/>
  </r>
  <r>
    <x v="2"/>
    <x v="11"/>
    <x v="35"/>
    <x v="22"/>
    <x v="7"/>
    <x v="1"/>
    <n v="132"/>
  </r>
  <r>
    <x v="2"/>
    <x v="11"/>
    <x v="35"/>
    <x v="22"/>
    <x v="7"/>
    <x v="2"/>
    <n v="134.69999999999999"/>
  </r>
  <r>
    <x v="2"/>
    <x v="11"/>
    <x v="35"/>
    <x v="24"/>
    <x v="7"/>
    <x v="0"/>
    <n v="113.7"/>
  </r>
  <r>
    <x v="2"/>
    <x v="11"/>
    <x v="35"/>
    <x v="24"/>
    <x v="7"/>
    <x v="1"/>
    <n v="113.4"/>
  </r>
  <r>
    <x v="2"/>
    <x v="11"/>
    <x v="35"/>
    <x v="24"/>
    <x v="7"/>
    <x v="2"/>
    <n v="112.9"/>
  </r>
  <r>
    <x v="2"/>
    <x v="11"/>
    <x v="35"/>
    <x v="20"/>
    <x v="0"/>
    <x v="0"/>
    <n v="132.69999999999999"/>
  </r>
  <r>
    <x v="2"/>
    <x v="11"/>
    <x v="35"/>
    <x v="20"/>
    <x v="0"/>
    <x v="1"/>
    <n v="132.5"/>
  </r>
  <r>
    <x v="2"/>
    <x v="11"/>
    <x v="35"/>
    <x v="20"/>
    <x v="0"/>
    <x v="2"/>
    <n v="132.30000000000001"/>
  </r>
  <r>
    <x v="2"/>
    <x v="11"/>
    <x v="35"/>
    <x v="12"/>
    <x v="0"/>
    <x v="0"/>
    <n v="142.1"/>
  </r>
  <r>
    <x v="2"/>
    <x v="11"/>
    <x v="35"/>
    <x v="12"/>
    <x v="0"/>
    <x v="1"/>
    <n v="150"/>
  </r>
  <r>
    <x v="2"/>
    <x v="11"/>
    <x v="35"/>
    <x v="12"/>
    <x v="0"/>
    <x v="2"/>
    <n v="165.4"/>
  </r>
  <r>
    <x v="2"/>
    <x v="11"/>
    <x v="35"/>
    <x v="26"/>
    <x v="9"/>
    <x v="0"/>
    <n v="119.6"/>
  </r>
  <r>
    <x v="2"/>
    <x v="11"/>
    <x v="35"/>
    <x v="26"/>
    <x v="9"/>
    <x v="1"/>
    <n v="118.3"/>
  </r>
  <r>
    <x v="2"/>
    <x v="11"/>
    <x v="35"/>
    <x v="26"/>
    <x v="9"/>
    <x v="2"/>
    <n v="117.3"/>
  </r>
  <r>
    <x v="2"/>
    <x v="11"/>
    <x v="35"/>
    <x v="16"/>
    <x v="0"/>
    <x v="0"/>
    <n v="125.4"/>
  </r>
  <r>
    <x v="2"/>
    <x v="11"/>
    <x v="35"/>
    <x v="16"/>
    <x v="0"/>
    <x v="1"/>
    <n v="128.4"/>
  </r>
  <r>
    <x v="2"/>
    <x v="11"/>
    <x v="35"/>
    <x v="16"/>
    <x v="0"/>
    <x v="2"/>
    <n v="134.4"/>
  </r>
  <r>
    <x v="2"/>
    <x v="11"/>
    <x v="35"/>
    <x v="14"/>
    <x v="0"/>
    <x v="0"/>
    <n v="92.5"/>
  </r>
  <r>
    <x v="2"/>
    <x v="11"/>
    <x v="35"/>
    <x v="14"/>
    <x v="0"/>
    <x v="1"/>
    <n v="90.4"/>
  </r>
  <r>
    <x v="2"/>
    <x v="11"/>
    <x v="35"/>
    <x v="14"/>
    <x v="0"/>
    <x v="2"/>
    <n v="86.3"/>
  </r>
  <r>
    <x v="2"/>
    <x v="11"/>
    <x v="35"/>
    <x v="25"/>
    <x v="8"/>
    <x v="0"/>
    <n v="113.8"/>
  </r>
  <r>
    <x v="2"/>
    <x v="11"/>
    <x v="35"/>
    <x v="25"/>
    <x v="8"/>
    <x v="1"/>
    <n v="111.3"/>
  </r>
  <r>
    <x v="2"/>
    <x v="11"/>
    <x v="35"/>
    <x v="25"/>
    <x v="8"/>
    <x v="2"/>
    <n v="109.1"/>
  </r>
  <r>
    <x v="2"/>
    <x v="11"/>
    <x v="35"/>
    <x v="11"/>
    <x v="0"/>
    <x v="0"/>
    <n v="158.9"/>
  </r>
  <r>
    <x v="2"/>
    <x v="11"/>
    <x v="35"/>
    <x v="11"/>
    <x v="0"/>
    <x v="1"/>
    <n v="162.19999999999999"/>
  </r>
  <r>
    <x v="2"/>
    <x v="11"/>
    <x v="35"/>
    <x v="11"/>
    <x v="0"/>
    <x v="2"/>
    <n v="168.5"/>
  </r>
  <r>
    <x v="3"/>
    <x v="0"/>
    <x v="36"/>
    <x v="0"/>
    <x v="0"/>
    <x v="0"/>
    <n v="127.4"/>
  </r>
  <r>
    <x v="3"/>
    <x v="0"/>
    <x v="36"/>
    <x v="0"/>
    <x v="0"/>
    <x v="1"/>
    <n v="126.6"/>
  </r>
  <r>
    <x v="3"/>
    <x v="0"/>
    <x v="36"/>
    <x v="0"/>
    <x v="0"/>
    <x v="2"/>
    <n v="124.9"/>
  </r>
  <r>
    <x v="3"/>
    <x v="0"/>
    <x v="36"/>
    <x v="1"/>
    <x v="1"/>
    <x v="0"/>
    <n v="135"/>
  </r>
  <r>
    <x v="3"/>
    <x v="0"/>
    <x v="36"/>
    <x v="1"/>
    <x v="1"/>
    <x v="1"/>
    <n v="131.80000000000001"/>
  </r>
  <r>
    <x v="3"/>
    <x v="0"/>
    <x v="36"/>
    <x v="1"/>
    <x v="1"/>
    <x v="2"/>
    <n v="126.8"/>
  </r>
  <r>
    <x v="3"/>
    <x v="0"/>
    <x v="36"/>
    <x v="3"/>
    <x v="1"/>
    <x v="0"/>
    <n v="134.4"/>
  </r>
  <r>
    <x v="3"/>
    <x v="0"/>
    <x v="36"/>
    <x v="3"/>
    <x v="1"/>
    <x v="1"/>
    <n v="131"/>
  </r>
  <r>
    <x v="3"/>
    <x v="0"/>
    <x v="36"/>
    <x v="3"/>
    <x v="1"/>
    <x v="2"/>
    <n v="125.8"/>
  </r>
  <r>
    <x v="3"/>
    <x v="0"/>
    <x v="36"/>
    <x v="5"/>
    <x v="2"/>
    <x v="0"/>
    <n v="127.9"/>
  </r>
  <r>
    <x v="3"/>
    <x v="0"/>
    <x v="36"/>
    <x v="5"/>
    <x v="2"/>
    <x v="1"/>
    <n v="127.7"/>
  </r>
  <r>
    <x v="3"/>
    <x v="0"/>
    <x v="36"/>
    <x v="5"/>
    <x v="2"/>
    <x v="2"/>
    <n v="127.6"/>
  </r>
  <r>
    <x v="3"/>
    <x v="0"/>
    <x v="36"/>
    <x v="4"/>
    <x v="0"/>
    <x v="0"/>
    <n v="123.4"/>
  </r>
  <r>
    <x v="3"/>
    <x v="0"/>
    <x v="36"/>
    <x v="4"/>
    <x v="0"/>
    <x v="1"/>
    <n v="122"/>
  </r>
  <r>
    <x v="3"/>
    <x v="0"/>
    <x v="36"/>
    <x v="4"/>
    <x v="0"/>
    <x v="2"/>
    <n v="119.9"/>
  </r>
  <r>
    <x v="3"/>
    <x v="0"/>
    <x v="36"/>
    <x v="8"/>
    <x v="0"/>
    <x v="0"/>
    <n v="131.80000000000001"/>
  </r>
  <r>
    <x v="3"/>
    <x v="0"/>
    <x v="36"/>
    <x v="8"/>
    <x v="0"/>
    <x v="1"/>
    <n v="131.80000000000001"/>
  </r>
  <r>
    <x v="3"/>
    <x v="0"/>
    <x v="36"/>
    <x v="8"/>
    <x v="0"/>
    <x v="2"/>
    <n v="131.80000000000001"/>
  </r>
  <r>
    <x v="3"/>
    <x v="0"/>
    <x v="36"/>
    <x v="10"/>
    <x v="1"/>
    <x v="0"/>
    <n v="130.6"/>
  </r>
  <r>
    <x v="3"/>
    <x v="0"/>
    <x v="36"/>
    <x v="10"/>
    <x v="1"/>
    <x v="1"/>
    <n v="126.4"/>
  </r>
  <r>
    <x v="3"/>
    <x v="0"/>
    <x v="36"/>
    <x v="10"/>
    <x v="1"/>
    <x v="2"/>
    <n v="120.5"/>
  </r>
  <r>
    <x v="3"/>
    <x v="0"/>
    <x v="36"/>
    <x v="9"/>
    <x v="0"/>
    <x v="0"/>
    <n v="138.1"/>
  </r>
  <r>
    <x v="3"/>
    <x v="0"/>
    <x v="36"/>
    <x v="9"/>
    <x v="0"/>
    <x v="1"/>
    <n v="134.80000000000001"/>
  </r>
  <r>
    <x v="3"/>
    <x v="0"/>
    <x v="36"/>
    <x v="9"/>
    <x v="0"/>
    <x v="2"/>
    <n v="131.1"/>
  </r>
  <r>
    <x v="3"/>
    <x v="0"/>
    <x v="36"/>
    <x v="13"/>
    <x v="3"/>
    <x v="0"/>
    <n v="127"/>
  </r>
  <r>
    <x v="3"/>
    <x v="0"/>
    <x v="36"/>
    <x v="13"/>
    <x v="3"/>
    <x v="1"/>
    <n v="122.3"/>
  </r>
  <r>
    <x v="3"/>
    <x v="0"/>
    <x v="36"/>
    <x v="13"/>
    <x v="3"/>
    <x v="2"/>
    <n v="114.6"/>
  </r>
  <r>
    <x v="3"/>
    <x v="0"/>
    <x v="36"/>
    <x v="15"/>
    <x v="4"/>
    <x v="0"/>
    <n v="129"/>
  </r>
  <r>
    <x v="3"/>
    <x v="0"/>
    <x v="36"/>
    <x v="15"/>
    <x v="4"/>
    <x v="1"/>
    <n v="127.3"/>
  </r>
  <r>
    <x v="3"/>
    <x v="0"/>
    <x v="36"/>
    <x v="15"/>
    <x v="4"/>
    <x v="2"/>
    <n v="125.3"/>
  </r>
  <r>
    <x v="3"/>
    <x v="0"/>
    <x v="36"/>
    <x v="17"/>
    <x v="5"/>
    <x v="0"/>
    <n v="125.2"/>
  </r>
  <r>
    <x v="3"/>
    <x v="0"/>
    <x v="36"/>
    <x v="17"/>
    <x v="5"/>
    <x v="1"/>
    <n v="123.2"/>
  </r>
  <r>
    <x v="3"/>
    <x v="0"/>
    <x v="36"/>
    <x v="17"/>
    <x v="5"/>
    <x v="2"/>
    <n v="120"/>
  </r>
  <r>
    <x v="3"/>
    <x v="0"/>
    <x v="36"/>
    <x v="19"/>
    <x v="6"/>
    <x v="0"/>
    <n v="128"/>
  </r>
  <r>
    <x v="3"/>
    <x v="0"/>
    <x v="36"/>
    <x v="19"/>
    <x v="6"/>
    <x v="1"/>
    <n v="125.5"/>
  </r>
  <r>
    <x v="3"/>
    <x v="0"/>
    <x v="36"/>
    <x v="19"/>
    <x v="6"/>
    <x v="2"/>
    <n v="122.8"/>
  </r>
  <r>
    <x v="3"/>
    <x v="0"/>
    <x v="36"/>
    <x v="21"/>
    <x v="6"/>
    <x v="0"/>
    <n v="0"/>
  </r>
  <r>
    <x v="3"/>
    <x v="0"/>
    <x v="36"/>
    <x v="21"/>
    <x v="6"/>
    <x v="1"/>
    <n v="125.6"/>
  </r>
  <r>
    <x v="3"/>
    <x v="0"/>
    <x v="36"/>
    <x v="21"/>
    <x v="6"/>
    <x v="2"/>
    <n v="125.6"/>
  </r>
  <r>
    <x v="3"/>
    <x v="0"/>
    <x v="36"/>
    <x v="2"/>
    <x v="0"/>
    <x v="0"/>
    <n v="135.4"/>
  </r>
  <r>
    <x v="3"/>
    <x v="0"/>
    <x v="36"/>
    <x v="2"/>
    <x v="0"/>
    <x v="1"/>
    <n v="136.80000000000001"/>
  </r>
  <r>
    <x v="3"/>
    <x v="0"/>
    <x v="36"/>
    <x v="2"/>
    <x v="0"/>
    <x v="2"/>
    <n v="139.30000000000001"/>
  </r>
  <r>
    <x v="3"/>
    <x v="0"/>
    <x v="36"/>
    <x v="6"/>
    <x v="0"/>
    <x v="0"/>
    <n v="131.30000000000001"/>
  </r>
  <r>
    <x v="3"/>
    <x v="0"/>
    <x v="36"/>
    <x v="6"/>
    <x v="0"/>
    <x v="1"/>
    <n v="130.9"/>
  </r>
  <r>
    <x v="3"/>
    <x v="0"/>
    <x v="36"/>
    <x v="6"/>
    <x v="0"/>
    <x v="2"/>
    <n v="130.19999999999999"/>
  </r>
  <r>
    <x v="3"/>
    <x v="0"/>
    <x v="36"/>
    <x v="23"/>
    <x v="7"/>
    <x v="0"/>
    <n v="121.7"/>
  </r>
  <r>
    <x v="3"/>
    <x v="0"/>
    <x v="36"/>
    <x v="23"/>
    <x v="7"/>
    <x v="1"/>
    <n v="120"/>
  </r>
  <r>
    <x v="3"/>
    <x v="0"/>
    <x v="36"/>
    <x v="23"/>
    <x v="7"/>
    <x v="2"/>
    <n v="118.2"/>
  </r>
  <r>
    <x v="3"/>
    <x v="0"/>
    <x v="36"/>
    <x v="18"/>
    <x v="0"/>
    <x v="0"/>
    <n v="125.4"/>
  </r>
  <r>
    <x v="3"/>
    <x v="0"/>
    <x v="36"/>
    <x v="18"/>
    <x v="0"/>
    <x v="1"/>
    <n v="123.6"/>
  </r>
  <r>
    <x v="3"/>
    <x v="0"/>
    <x v="36"/>
    <x v="18"/>
    <x v="0"/>
    <x v="2"/>
    <n v="121.1"/>
  </r>
  <r>
    <x v="3"/>
    <x v="0"/>
    <x v="36"/>
    <x v="7"/>
    <x v="0"/>
    <x v="0"/>
    <n v="118.2"/>
  </r>
  <r>
    <x v="3"/>
    <x v="0"/>
    <x v="36"/>
    <x v="7"/>
    <x v="0"/>
    <x v="1"/>
    <n v="114.8"/>
  </r>
  <r>
    <x v="3"/>
    <x v="0"/>
    <x v="36"/>
    <x v="7"/>
    <x v="0"/>
    <x v="2"/>
    <n v="108.9"/>
  </r>
  <r>
    <x v="3"/>
    <x v="0"/>
    <x v="36"/>
    <x v="22"/>
    <x v="7"/>
    <x v="0"/>
    <n v="135.5"/>
  </r>
  <r>
    <x v="3"/>
    <x v="0"/>
    <x v="36"/>
    <x v="22"/>
    <x v="7"/>
    <x v="1"/>
    <n v="137.1"/>
  </r>
  <r>
    <x v="3"/>
    <x v="0"/>
    <x v="36"/>
    <x v="22"/>
    <x v="7"/>
    <x v="2"/>
    <n v="141.5"/>
  </r>
  <r>
    <x v="3"/>
    <x v="0"/>
    <x v="36"/>
    <x v="24"/>
    <x v="7"/>
    <x v="0"/>
    <n v="118.4"/>
  </r>
  <r>
    <x v="3"/>
    <x v="0"/>
    <x v="36"/>
    <x v="24"/>
    <x v="7"/>
    <x v="1"/>
    <n v="118.1"/>
  </r>
  <r>
    <x v="3"/>
    <x v="0"/>
    <x v="36"/>
    <x v="24"/>
    <x v="7"/>
    <x v="2"/>
    <n v="117.6"/>
  </r>
  <r>
    <x v="3"/>
    <x v="0"/>
    <x v="36"/>
    <x v="20"/>
    <x v="0"/>
    <x v="0"/>
    <n v="137.4"/>
  </r>
  <r>
    <x v="3"/>
    <x v="0"/>
    <x v="36"/>
    <x v="20"/>
    <x v="0"/>
    <x v="1"/>
    <n v="136.69999999999999"/>
  </r>
  <r>
    <x v="3"/>
    <x v="0"/>
    <x v="36"/>
    <x v="20"/>
    <x v="0"/>
    <x v="2"/>
    <n v="135.9"/>
  </r>
  <r>
    <x v="3"/>
    <x v="0"/>
    <x v="36"/>
    <x v="12"/>
    <x v="0"/>
    <x v="0"/>
    <n v="162.69999999999999"/>
  </r>
  <r>
    <x v="3"/>
    <x v="0"/>
    <x v="36"/>
    <x v="12"/>
    <x v="0"/>
    <x v="1"/>
    <n v="167.5"/>
  </r>
  <r>
    <x v="3"/>
    <x v="0"/>
    <x v="36"/>
    <x v="12"/>
    <x v="0"/>
    <x v="2"/>
    <n v="176.9"/>
  </r>
  <r>
    <x v="3"/>
    <x v="0"/>
    <x v="36"/>
    <x v="26"/>
    <x v="9"/>
    <x v="0"/>
    <n v="123.2"/>
  </r>
  <r>
    <x v="3"/>
    <x v="0"/>
    <x v="36"/>
    <x v="26"/>
    <x v="9"/>
    <x v="1"/>
    <n v="121.1"/>
  </r>
  <r>
    <x v="3"/>
    <x v="0"/>
    <x v="36"/>
    <x v="26"/>
    <x v="9"/>
    <x v="2"/>
    <n v="119.5"/>
  </r>
  <r>
    <x v="3"/>
    <x v="0"/>
    <x v="36"/>
    <x v="16"/>
    <x v="0"/>
    <x v="0"/>
    <n v="131.4"/>
  </r>
  <r>
    <x v="3"/>
    <x v="0"/>
    <x v="36"/>
    <x v="16"/>
    <x v="0"/>
    <x v="1"/>
    <n v="134.4"/>
  </r>
  <r>
    <x v="3"/>
    <x v="0"/>
    <x v="36"/>
    <x v="16"/>
    <x v="0"/>
    <x v="2"/>
    <n v="140.4"/>
  </r>
  <r>
    <x v="3"/>
    <x v="0"/>
    <x v="36"/>
    <x v="14"/>
    <x v="0"/>
    <x v="0"/>
    <n v="105"/>
  </r>
  <r>
    <x v="3"/>
    <x v="0"/>
    <x v="36"/>
    <x v="14"/>
    <x v="0"/>
    <x v="1"/>
    <n v="106.4"/>
  </r>
  <r>
    <x v="3"/>
    <x v="0"/>
    <x v="36"/>
    <x v="14"/>
    <x v="0"/>
    <x v="2"/>
    <n v="109.1"/>
  </r>
  <r>
    <x v="3"/>
    <x v="0"/>
    <x v="36"/>
    <x v="25"/>
    <x v="8"/>
    <x v="0"/>
    <n v="114.4"/>
  </r>
  <r>
    <x v="3"/>
    <x v="0"/>
    <x v="36"/>
    <x v="25"/>
    <x v="8"/>
    <x v="1"/>
    <n v="112.1"/>
  </r>
  <r>
    <x v="3"/>
    <x v="0"/>
    <x v="36"/>
    <x v="25"/>
    <x v="8"/>
    <x v="2"/>
    <n v="110"/>
  </r>
  <r>
    <x v="3"/>
    <x v="0"/>
    <x v="36"/>
    <x v="11"/>
    <x v="0"/>
    <x v="0"/>
    <n v="134.1"/>
  </r>
  <r>
    <x v="3"/>
    <x v="0"/>
    <x v="36"/>
    <x v="11"/>
    <x v="0"/>
    <x v="1"/>
    <n v="135"/>
  </r>
  <r>
    <x v="3"/>
    <x v="0"/>
    <x v="36"/>
    <x v="11"/>
    <x v="0"/>
    <x v="2"/>
    <n v="136.80000000000001"/>
  </r>
  <r>
    <x v="3"/>
    <x v="1"/>
    <x v="37"/>
    <x v="0"/>
    <x v="0"/>
    <x v="0"/>
    <n v="130.1"/>
  </r>
  <r>
    <x v="3"/>
    <x v="1"/>
    <x v="37"/>
    <x v="0"/>
    <x v="0"/>
    <x v="1"/>
    <n v="129.30000000000001"/>
  </r>
  <r>
    <x v="3"/>
    <x v="1"/>
    <x v="37"/>
    <x v="0"/>
    <x v="0"/>
    <x v="2"/>
    <n v="127.6"/>
  </r>
  <r>
    <x v="3"/>
    <x v="1"/>
    <x v="37"/>
    <x v="1"/>
    <x v="1"/>
    <x v="0"/>
    <n v="137.80000000000001"/>
  </r>
  <r>
    <x v="3"/>
    <x v="1"/>
    <x v="37"/>
    <x v="1"/>
    <x v="1"/>
    <x v="1"/>
    <n v="134.1"/>
  </r>
  <r>
    <x v="3"/>
    <x v="1"/>
    <x v="37"/>
    <x v="1"/>
    <x v="1"/>
    <x v="2"/>
    <n v="128.30000000000001"/>
  </r>
  <r>
    <x v="3"/>
    <x v="1"/>
    <x v="37"/>
    <x v="3"/>
    <x v="1"/>
    <x v="0"/>
    <n v="137.1"/>
  </r>
  <r>
    <x v="3"/>
    <x v="1"/>
    <x v="37"/>
    <x v="3"/>
    <x v="1"/>
    <x v="1"/>
    <n v="133.19999999999999"/>
  </r>
  <r>
    <x v="3"/>
    <x v="1"/>
    <x v="37"/>
    <x v="3"/>
    <x v="1"/>
    <x v="2"/>
    <n v="127.3"/>
  </r>
  <r>
    <x v="3"/>
    <x v="1"/>
    <x v="37"/>
    <x v="5"/>
    <x v="2"/>
    <x v="0"/>
    <n v="131.9"/>
  </r>
  <r>
    <x v="3"/>
    <x v="1"/>
    <x v="37"/>
    <x v="5"/>
    <x v="2"/>
    <x v="1"/>
    <n v="131.69999999999999"/>
  </r>
  <r>
    <x v="3"/>
    <x v="1"/>
    <x v="37"/>
    <x v="5"/>
    <x v="2"/>
    <x v="2"/>
    <n v="131.5"/>
  </r>
  <r>
    <x v="3"/>
    <x v="1"/>
    <x v="37"/>
    <x v="4"/>
    <x v="0"/>
    <x v="0"/>
    <n v="130.30000000000001"/>
  </r>
  <r>
    <x v="3"/>
    <x v="1"/>
    <x v="37"/>
    <x v="4"/>
    <x v="0"/>
    <x v="1"/>
    <n v="131.6"/>
  </r>
  <r>
    <x v="3"/>
    <x v="1"/>
    <x v="37"/>
    <x v="4"/>
    <x v="0"/>
    <x v="2"/>
    <n v="133.69999999999999"/>
  </r>
  <r>
    <x v="3"/>
    <x v="1"/>
    <x v="37"/>
    <x v="8"/>
    <x v="0"/>
    <x v="0"/>
    <n v="138"/>
  </r>
  <r>
    <x v="3"/>
    <x v="1"/>
    <x v="37"/>
    <x v="8"/>
    <x v="0"/>
    <x v="1"/>
    <n v="137.9"/>
  </r>
  <r>
    <x v="3"/>
    <x v="1"/>
    <x v="37"/>
    <x v="8"/>
    <x v="0"/>
    <x v="2"/>
    <n v="137.6"/>
  </r>
  <r>
    <x v="3"/>
    <x v="1"/>
    <x v="37"/>
    <x v="10"/>
    <x v="1"/>
    <x v="0"/>
    <n v="133"/>
  </r>
  <r>
    <x v="3"/>
    <x v="1"/>
    <x v="37"/>
    <x v="10"/>
    <x v="1"/>
    <x v="1"/>
    <n v="128.19999999999999"/>
  </r>
  <r>
    <x v="3"/>
    <x v="1"/>
    <x v="37"/>
    <x v="10"/>
    <x v="1"/>
    <x v="2"/>
    <n v="121.4"/>
  </r>
  <r>
    <x v="3"/>
    <x v="1"/>
    <x v="37"/>
    <x v="9"/>
    <x v="0"/>
    <x v="0"/>
    <n v="140.19999999999999"/>
  </r>
  <r>
    <x v="3"/>
    <x v="1"/>
    <x v="37"/>
    <x v="9"/>
    <x v="0"/>
    <x v="1"/>
    <n v="138.1"/>
  </r>
  <r>
    <x v="3"/>
    <x v="1"/>
    <x v="37"/>
    <x v="9"/>
    <x v="0"/>
    <x v="2"/>
    <n v="135.80000000000001"/>
  </r>
  <r>
    <x v="3"/>
    <x v="1"/>
    <x v="37"/>
    <x v="13"/>
    <x v="3"/>
    <x v="0"/>
    <n v="129.1"/>
  </r>
  <r>
    <x v="3"/>
    <x v="1"/>
    <x v="37"/>
    <x v="13"/>
    <x v="3"/>
    <x v="1"/>
    <n v="123.6"/>
  </r>
  <r>
    <x v="3"/>
    <x v="1"/>
    <x v="37"/>
    <x v="13"/>
    <x v="3"/>
    <x v="2"/>
    <n v="114.7"/>
  </r>
  <r>
    <x v="3"/>
    <x v="1"/>
    <x v="37"/>
    <x v="15"/>
    <x v="4"/>
    <x v="0"/>
    <n v="133.5"/>
  </r>
  <r>
    <x v="3"/>
    <x v="1"/>
    <x v="37"/>
    <x v="15"/>
    <x v="4"/>
    <x v="1"/>
    <n v="131.1"/>
  </r>
  <r>
    <x v="3"/>
    <x v="1"/>
    <x v="37"/>
    <x v="15"/>
    <x v="4"/>
    <x v="2"/>
    <n v="128.4"/>
  </r>
  <r>
    <x v="3"/>
    <x v="1"/>
    <x v="37"/>
    <x v="17"/>
    <x v="5"/>
    <x v="0"/>
    <n v="127"/>
  </r>
  <r>
    <x v="3"/>
    <x v="1"/>
    <x v="37"/>
    <x v="17"/>
    <x v="5"/>
    <x v="1"/>
    <n v="124.8"/>
  </r>
  <r>
    <x v="3"/>
    <x v="1"/>
    <x v="37"/>
    <x v="17"/>
    <x v="5"/>
    <x v="2"/>
    <n v="121.2"/>
  </r>
  <r>
    <x v="3"/>
    <x v="1"/>
    <x v="37"/>
    <x v="19"/>
    <x v="6"/>
    <x v="0"/>
    <n v="130.6"/>
  </r>
  <r>
    <x v="3"/>
    <x v="1"/>
    <x v="37"/>
    <x v="19"/>
    <x v="6"/>
    <x v="1"/>
    <n v="127.4"/>
  </r>
  <r>
    <x v="3"/>
    <x v="1"/>
    <x v="37"/>
    <x v="19"/>
    <x v="6"/>
    <x v="2"/>
    <n v="123.9"/>
  </r>
  <r>
    <x v="3"/>
    <x v="1"/>
    <x v="37"/>
    <x v="21"/>
    <x v="6"/>
    <x v="0"/>
    <n v="0"/>
  </r>
  <r>
    <x v="3"/>
    <x v="1"/>
    <x v="37"/>
    <x v="21"/>
    <x v="6"/>
    <x v="1"/>
    <n v="127.3"/>
  </r>
  <r>
    <x v="3"/>
    <x v="1"/>
    <x v="37"/>
    <x v="21"/>
    <x v="6"/>
    <x v="2"/>
    <n v="127.3"/>
  </r>
  <r>
    <x v="3"/>
    <x v="1"/>
    <x v="37"/>
    <x v="2"/>
    <x v="0"/>
    <x v="0"/>
    <n v="138.80000000000001"/>
  </r>
  <r>
    <x v="3"/>
    <x v="1"/>
    <x v="37"/>
    <x v="2"/>
    <x v="0"/>
    <x v="1"/>
    <n v="139.30000000000001"/>
  </r>
  <r>
    <x v="3"/>
    <x v="1"/>
    <x v="37"/>
    <x v="2"/>
    <x v="0"/>
    <x v="2"/>
    <n v="140.30000000000001"/>
  </r>
  <r>
    <x v="3"/>
    <x v="1"/>
    <x v="37"/>
    <x v="6"/>
    <x v="0"/>
    <x v="0"/>
    <n v="135.30000000000001"/>
  </r>
  <r>
    <x v="3"/>
    <x v="1"/>
    <x v="37"/>
    <x v="6"/>
    <x v="0"/>
    <x v="1"/>
    <n v="134.1"/>
  </r>
  <r>
    <x v="3"/>
    <x v="1"/>
    <x v="37"/>
    <x v="6"/>
    <x v="0"/>
    <x v="2"/>
    <n v="132.19999999999999"/>
  </r>
  <r>
    <x v="3"/>
    <x v="1"/>
    <x v="37"/>
    <x v="23"/>
    <x v="7"/>
    <x v="0"/>
    <n v="124.2"/>
  </r>
  <r>
    <x v="3"/>
    <x v="1"/>
    <x v="37"/>
    <x v="23"/>
    <x v="7"/>
    <x v="1"/>
    <n v="122.1"/>
  </r>
  <r>
    <x v="3"/>
    <x v="1"/>
    <x v="37"/>
    <x v="23"/>
    <x v="7"/>
    <x v="2"/>
    <n v="119.9"/>
  </r>
  <r>
    <x v="3"/>
    <x v="1"/>
    <x v="37"/>
    <x v="18"/>
    <x v="0"/>
    <x v="0"/>
    <n v="128.1"/>
  </r>
  <r>
    <x v="3"/>
    <x v="1"/>
    <x v="37"/>
    <x v="18"/>
    <x v="0"/>
    <x v="1"/>
    <n v="125.5"/>
  </r>
  <r>
    <x v="3"/>
    <x v="1"/>
    <x v="37"/>
    <x v="18"/>
    <x v="0"/>
    <x v="2"/>
    <n v="121.9"/>
  </r>
  <r>
    <x v="3"/>
    <x v="1"/>
    <x v="37"/>
    <x v="7"/>
    <x v="0"/>
    <x v="0"/>
    <n v="119.9"/>
  </r>
  <r>
    <x v="3"/>
    <x v="1"/>
    <x v="37"/>
    <x v="7"/>
    <x v="0"/>
    <x v="1"/>
    <n v="116.9"/>
  </r>
  <r>
    <x v="3"/>
    <x v="1"/>
    <x v="37"/>
    <x v="7"/>
    <x v="0"/>
    <x v="2"/>
    <n v="111.8"/>
  </r>
  <r>
    <x v="3"/>
    <x v="1"/>
    <x v="37"/>
    <x v="22"/>
    <x v="7"/>
    <x v="0"/>
    <n v="138.9"/>
  </r>
  <r>
    <x v="3"/>
    <x v="1"/>
    <x v="37"/>
    <x v="22"/>
    <x v="7"/>
    <x v="1"/>
    <n v="140.19999999999999"/>
  </r>
  <r>
    <x v="3"/>
    <x v="1"/>
    <x v="37"/>
    <x v="22"/>
    <x v="7"/>
    <x v="2"/>
    <n v="143.6"/>
  </r>
  <r>
    <x v="3"/>
    <x v="1"/>
    <x v="37"/>
    <x v="24"/>
    <x v="7"/>
    <x v="0"/>
    <n v="122"/>
  </r>
  <r>
    <x v="3"/>
    <x v="1"/>
    <x v="37"/>
    <x v="24"/>
    <x v="7"/>
    <x v="1"/>
    <n v="121.5"/>
  </r>
  <r>
    <x v="3"/>
    <x v="1"/>
    <x v="37"/>
    <x v="24"/>
    <x v="7"/>
    <x v="2"/>
    <n v="120.9"/>
  </r>
  <r>
    <x v="3"/>
    <x v="1"/>
    <x v="37"/>
    <x v="20"/>
    <x v="0"/>
    <x v="0"/>
    <n v="140.69999999999999"/>
  </r>
  <r>
    <x v="3"/>
    <x v="1"/>
    <x v="37"/>
    <x v="20"/>
    <x v="0"/>
    <x v="1"/>
    <n v="139.5"/>
  </r>
  <r>
    <x v="3"/>
    <x v="1"/>
    <x v="37"/>
    <x v="20"/>
    <x v="0"/>
    <x v="2"/>
    <n v="138.1"/>
  </r>
  <r>
    <x v="3"/>
    <x v="1"/>
    <x v="37"/>
    <x v="12"/>
    <x v="0"/>
    <x v="0"/>
    <n v="172.2"/>
  </r>
  <r>
    <x v="3"/>
    <x v="1"/>
    <x v="37"/>
    <x v="12"/>
    <x v="0"/>
    <x v="1"/>
    <n v="175.6"/>
  </r>
  <r>
    <x v="3"/>
    <x v="1"/>
    <x v="37"/>
    <x v="12"/>
    <x v="0"/>
    <x v="2"/>
    <n v="182.3"/>
  </r>
  <r>
    <x v="3"/>
    <x v="1"/>
    <x v="37"/>
    <x v="26"/>
    <x v="9"/>
    <x v="0"/>
    <n v="125.5"/>
  </r>
  <r>
    <x v="3"/>
    <x v="1"/>
    <x v="37"/>
    <x v="26"/>
    <x v="9"/>
    <x v="1"/>
    <n v="122.7"/>
  </r>
  <r>
    <x v="3"/>
    <x v="1"/>
    <x v="37"/>
    <x v="26"/>
    <x v="9"/>
    <x v="2"/>
    <n v="120.6"/>
  </r>
  <r>
    <x v="3"/>
    <x v="1"/>
    <x v="37"/>
    <x v="16"/>
    <x v="0"/>
    <x v="0"/>
    <n v="134.9"/>
  </r>
  <r>
    <x v="3"/>
    <x v="1"/>
    <x v="37"/>
    <x v="16"/>
    <x v="0"/>
    <x v="1"/>
    <n v="138.1"/>
  </r>
  <r>
    <x v="3"/>
    <x v="1"/>
    <x v="37"/>
    <x v="16"/>
    <x v="0"/>
    <x v="2"/>
    <n v="144.6"/>
  </r>
  <r>
    <x v="3"/>
    <x v="1"/>
    <x v="37"/>
    <x v="14"/>
    <x v="0"/>
    <x v="0"/>
    <n v="112.1"/>
  </r>
  <r>
    <x v="3"/>
    <x v="1"/>
    <x v="37"/>
    <x v="14"/>
    <x v="0"/>
    <x v="1"/>
    <n v="112.9"/>
  </r>
  <r>
    <x v="3"/>
    <x v="1"/>
    <x v="37"/>
    <x v="14"/>
    <x v="0"/>
    <x v="2"/>
    <n v="114.6"/>
  </r>
  <r>
    <x v="3"/>
    <x v="1"/>
    <x v="37"/>
    <x v="25"/>
    <x v="8"/>
    <x v="0"/>
    <n v="116"/>
  </r>
  <r>
    <x v="3"/>
    <x v="1"/>
    <x v="37"/>
    <x v="25"/>
    <x v="8"/>
    <x v="1"/>
    <n v="113.1"/>
  </r>
  <r>
    <x v="3"/>
    <x v="1"/>
    <x v="37"/>
    <x v="25"/>
    <x v="8"/>
    <x v="2"/>
    <n v="110.4"/>
  </r>
  <r>
    <x v="3"/>
    <x v="1"/>
    <x v="37"/>
    <x v="11"/>
    <x v="0"/>
    <x v="0"/>
    <n v="156.9"/>
  </r>
  <r>
    <x v="3"/>
    <x v="1"/>
    <x v="37"/>
    <x v="11"/>
    <x v="0"/>
    <x v="1"/>
    <n v="159.1"/>
  </r>
  <r>
    <x v="3"/>
    <x v="1"/>
    <x v="37"/>
    <x v="11"/>
    <x v="0"/>
    <x v="2"/>
    <n v="163.5"/>
  </r>
  <r>
    <x v="3"/>
    <x v="2"/>
    <x v="38"/>
    <x v="0"/>
    <x v="0"/>
    <x v="0"/>
    <n v="132.6"/>
  </r>
  <r>
    <x v="3"/>
    <x v="2"/>
    <x v="38"/>
    <x v="0"/>
    <x v="0"/>
    <x v="1"/>
    <n v="132.30000000000001"/>
  </r>
  <r>
    <x v="3"/>
    <x v="2"/>
    <x v="38"/>
    <x v="0"/>
    <x v="0"/>
    <x v="2"/>
    <n v="131.6"/>
  </r>
  <r>
    <x v="3"/>
    <x v="2"/>
    <x v="38"/>
    <x v="1"/>
    <x v="1"/>
    <x v="0"/>
    <n v="140.4"/>
  </r>
  <r>
    <x v="3"/>
    <x v="2"/>
    <x v="38"/>
    <x v="1"/>
    <x v="1"/>
    <x v="1"/>
    <n v="136.30000000000001"/>
  </r>
  <r>
    <x v="3"/>
    <x v="2"/>
    <x v="38"/>
    <x v="1"/>
    <x v="1"/>
    <x v="2"/>
    <n v="130"/>
  </r>
  <r>
    <x v="3"/>
    <x v="2"/>
    <x v="38"/>
    <x v="3"/>
    <x v="1"/>
    <x v="0"/>
    <n v="139.69999999999999"/>
  </r>
  <r>
    <x v="3"/>
    <x v="2"/>
    <x v="38"/>
    <x v="3"/>
    <x v="1"/>
    <x v="1"/>
    <n v="135.4"/>
  </r>
  <r>
    <x v="3"/>
    <x v="2"/>
    <x v="38"/>
    <x v="3"/>
    <x v="1"/>
    <x v="2"/>
    <n v="128.80000000000001"/>
  </r>
  <r>
    <x v="3"/>
    <x v="2"/>
    <x v="38"/>
    <x v="5"/>
    <x v="2"/>
    <x v="0"/>
    <n v="134.19999999999999"/>
  </r>
  <r>
    <x v="3"/>
    <x v="2"/>
    <x v="38"/>
    <x v="5"/>
    <x v="2"/>
    <x v="1"/>
    <n v="133.1"/>
  </r>
  <r>
    <x v="3"/>
    <x v="2"/>
    <x v="38"/>
    <x v="5"/>
    <x v="2"/>
    <x v="2"/>
    <n v="132.30000000000001"/>
  </r>
  <r>
    <x v="3"/>
    <x v="2"/>
    <x v="38"/>
    <x v="4"/>
    <x v="0"/>
    <x v="0"/>
    <n v="131.6"/>
  </r>
  <r>
    <x v="3"/>
    <x v="2"/>
    <x v="38"/>
    <x v="4"/>
    <x v="0"/>
    <x v="1"/>
    <n v="132.9"/>
  </r>
  <r>
    <x v="3"/>
    <x v="2"/>
    <x v="38"/>
    <x v="4"/>
    <x v="0"/>
    <x v="2"/>
    <n v="134.9"/>
  </r>
  <r>
    <x v="3"/>
    <x v="2"/>
    <x v="38"/>
    <x v="8"/>
    <x v="0"/>
    <x v="0"/>
    <n v="134.69999999999999"/>
  </r>
  <r>
    <x v="3"/>
    <x v="2"/>
    <x v="38"/>
    <x v="8"/>
    <x v="0"/>
    <x v="1"/>
    <n v="134"/>
  </r>
  <r>
    <x v="3"/>
    <x v="2"/>
    <x v="38"/>
    <x v="8"/>
    <x v="0"/>
    <x v="2"/>
    <n v="132.80000000000001"/>
  </r>
  <r>
    <x v="3"/>
    <x v="2"/>
    <x v="38"/>
    <x v="10"/>
    <x v="1"/>
    <x v="0"/>
    <n v="135.19999999999999"/>
  </r>
  <r>
    <x v="3"/>
    <x v="2"/>
    <x v="38"/>
    <x v="10"/>
    <x v="1"/>
    <x v="1"/>
    <n v="129.80000000000001"/>
  </r>
  <r>
    <x v="3"/>
    <x v="2"/>
    <x v="38"/>
    <x v="10"/>
    <x v="1"/>
    <x v="2"/>
    <n v="122.2"/>
  </r>
  <r>
    <x v="3"/>
    <x v="2"/>
    <x v="38"/>
    <x v="9"/>
    <x v="0"/>
    <x v="0"/>
    <n v="135.6"/>
  </r>
  <r>
    <x v="3"/>
    <x v="2"/>
    <x v="38"/>
    <x v="9"/>
    <x v="0"/>
    <x v="1"/>
    <n v="132.69999999999999"/>
  </r>
  <r>
    <x v="3"/>
    <x v="2"/>
    <x v="38"/>
    <x v="9"/>
    <x v="0"/>
    <x v="2"/>
    <n v="129.30000000000001"/>
  </r>
  <r>
    <x v="3"/>
    <x v="2"/>
    <x v="38"/>
    <x v="13"/>
    <x v="3"/>
    <x v="0"/>
    <n v="132"/>
  </r>
  <r>
    <x v="3"/>
    <x v="2"/>
    <x v="38"/>
    <x v="13"/>
    <x v="3"/>
    <x v="1"/>
    <n v="126.6"/>
  </r>
  <r>
    <x v="3"/>
    <x v="2"/>
    <x v="38"/>
    <x v="13"/>
    <x v="3"/>
    <x v="2"/>
    <n v="117.8"/>
  </r>
  <r>
    <x v="3"/>
    <x v="2"/>
    <x v="38"/>
    <x v="15"/>
    <x v="4"/>
    <x v="0"/>
    <n v="132.80000000000001"/>
  </r>
  <r>
    <x v="3"/>
    <x v="2"/>
    <x v="38"/>
    <x v="15"/>
    <x v="4"/>
    <x v="1"/>
    <n v="130.4"/>
  </r>
  <r>
    <x v="3"/>
    <x v="2"/>
    <x v="38"/>
    <x v="15"/>
    <x v="4"/>
    <x v="2"/>
    <n v="127.6"/>
  </r>
  <r>
    <x v="3"/>
    <x v="2"/>
    <x v="38"/>
    <x v="17"/>
    <x v="5"/>
    <x v="0"/>
    <n v="129.69999999999999"/>
  </r>
  <r>
    <x v="3"/>
    <x v="2"/>
    <x v="38"/>
    <x v="17"/>
    <x v="5"/>
    <x v="1"/>
    <n v="126.9"/>
  </r>
  <r>
    <x v="3"/>
    <x v="2"/>
    <x v="38"/>
    <x v="17"/>
    <x v="5"/>
    <x v="2"/>
    <n v="122.3"/>
  </r>
  <r>
    <x v="3"/>
    <x v="2"/>
    <x v="38"/>
    <x v="19"/>
    <x v="6"/>
    <x v="0"/>
    <n v="132.9"/>
  </r>
  <r>
    <x v="3"/>
    <x v="2"/>
    <x v="38"/>
    <x v="19"/>
    <x v="6"/>
    <x v="1"/>
    <n v="129.19999999999999"/>
  </r>
  <r>
    <x v="3"/>
    <x v="2"/>
    <x v="38"/>
    <x v="19"/>
    <x v="6"/>
    <x v="2"/>
    <n v="125"/>
  </r>
  <r>
    <x v="3"/>
    <x v="2"/>
    <x v="38"/>
    <x v="21"/>
    <x v="6"/>
    <x v="0"/>
    <n v="0"/>
  </r>
  <r>
    <x v="3"/>
    <x v="2"/>
    <x v="38"/>
    <x v="21"/>
    <x v="6"/>
    <x v="1"/>
    <n v="128.5"/>
  </r>
  <r>
    <x v="3"/>
    <x v="2"/>
    <x v="38"/>
    <x v="21"/>
    <x v="6"/>
    <x v="2"/>
    <n v="128.5"/>
  </r>
  <r>
    <x v="3"/>
    <x v="2"/>
    <x v="38"/>
    <x v="2"/>
    <x v="0"/>
    <x v="0"/>
    <n v="137.30000000000001"/>
  </r>
  <r>
    <x v="3"/>
    <x v="2"/>
    <x v="38"/>
    <x v="2"/>
    <x v="0"/>
    <x v="1"/>
    <n v="137.6"/>
  </r>
  <r>
    <x v="3"/>
    <x v="2"/>
    <x v="38"/>
    <x v="2"/>
    <x v="0"/>
    <x v="2"/>
    <n v="138.19999999999999"/>
  </r>
  <r>
    <x v="3"/>
    <x v="2"/>
    <x v="38"/>
    <x v="6"/>
    <x v="0"/>
    <x v="0"/>
    <n v="136.30000000000001"/>
  </r>
  <r>
    <x v="3"/>
    <x v="2"/>
    <x v="38"/>
    <x v="6"/>
    <x v="0"/>
    <x v="1"/>
    <n v="135.1"/>
  </r>
  <r>
    <x v="3"/>
    <x v="2"/>
    <x v="38"/>
    <x v="6"/>
    <x v="0"/>
    <x v="2"/>
    <n v="133.1"/>
  </r>
  <r>
    <x v="3"/>
    <x v="2"/>
    <x v="38"/>
    <x v="23"/>
    <x v="7"/>
    <x v="0"/>
    <n v="126.3"/>
  </r>
  <r>
    <x v="3"/>
    <x v="2"/>
    <x v="38"/>
    <x v="23"/>
    <x v="7"/>
    <x v="1"/>
    <n v="123.9"/>
  </r>
  <r>
    <x v="3"/>
    <x v="2"/>
    <x v="38"/>
    <x v="23"/>
    <x v="7"/>
    <x v="2"/>
    <n v="121.4"/>
  </r>
  <r>
    <x v="3"/>
    <x v="2"/>
    <x v="38"/>
    <x v="18"/>
    <x v="0"/>
    <x v="0"/>
    <n v="129.1"/>
  </r>
  <r>
    <x v="3"/>
    <x v="2"/>
    <x v="38"/>
    <x v="18"/>
    <x v="0"/>
    <x v="1"/>
    <n v="126.6"/>
  </r>
  <r>
    <x v="3"/>
    <x v="2"/>
    <x v="38"/>
    <x v="18"/>
    <x v="0"/>
    <x v="2"/>
    <n v="123.1"/>
  </r>
  <r>
    <x v="3"/>
    <x v="2"/>
    <x v="38"/>
    <x v="7"/>
    <x v="0"/>
    <x v="0"/>
    <n v="121.6"/>
  </r>
  <r>
    <x v="3"/>
    <x v="2"/>
    <x v="38"/>
    <x v="7"/>
    <x v="0"/>
    <x v="1"/>
    <n v="118.6"/>
  </r>
  <r>
    <x v="3"/>
    <x v="2"/>
    <x v="38"/>
    <x v="7"/>
    <x v="0"/>
    <x v="2"/>
    <n v="113.5"/>
  </r>
  <r>
    <x v="3"/>
    <x v="2"/>
    <x v="38"/>
    <x v="22"/>
    <x v="7"/>
    <x v="0"/>
    <n v="142.4"/>
  </r>
  <r>
    <x v="3"/>
    <x v="2"/>
    <x v="38"/>
    <x v="22"/>
    <x v="7"/>
    <x v="1"/>
    <n v="143.1"/>
  </r>
  <r>
    <x v="3"/>
    <x v="2"/>
    <x v="38"/>
    <x v="22"/>
    <x v="7"/>
    <x v="2"/>
    <n v="145"/>
  </r>
  <r>
    <x v="3"/>
    <x v="2"/>
    <x v="38"/>
    <x v="24"/>
    <x v="7"/>
    <x v="0"/>
    <n v="121.9"/>
  </r>
  <r>
    <x v="3"/>
    <x v="2"/>
    <x v="38"/>
    <x v="24"/>
    <x v="7"/>
    <x v="1"/>
    <n v="121.1"/>
  </r>
  <r>
    <x v="3"/>
    <x v="2"/>
    <x v="38"/>
    <x v="24"/>
    <x v="7"/>
    <x v="2"/>
    <n v="119.9"/>
  </r>
  <r>
    <x v="3"/>
    <x v="2"/>
    <x v="38"/>
    <x v="20"/>
    <x v="0"/>
    <x v="0"/>
    <n v="143.6"/>
  </r>
  <r>
    <x v="3"/>
    <x v="2"/>
    <x v="38"/>
    <x v="20"/>
    <x v="0"/>
    <x v="1"/>
    <n v="142.30000000000001"/>
  </r>
  <r>
    <x v="3"/>
    <x v="2"/>
    <x v="38"/>
    <x v="20"/>
    <x v="0"/>
    <x v="2"/>
    <n v="140.9"/>
  </r>
  <r>
    <x v="3"/>
    <x v="2"/>
    <x v="38"/>
    <x v="12"/>
    <x v="0"/>
    <x v="0"/>
    <n v="167.9"/>
  </r>
  <r>
    <x v="3"/>
    <x v="2"/>
    <x v="38"/>
    <x v="12"/>
    <x v="0"/>
    <x v="1"/>
    <n v="168.7"/>
  </r>
  <r>
    <x v="3"/>
    <x v="2"/>
    <x v="38"/>
    <x v="12"/>
    <x v="0"/>
    <x v="2"/>
    <n v="170.3"/>
  </r>
  <r>
    <x v="3"/>
    <x v="2"/>
    <x v="38"/>
    <x v="26"/>
    <x v="9"/>
    <x v="0"/>
    <n v="127.3"/>
  </r>
  <r>
    <x v="3"/>
    <x v="2"/>
    <x v="38"/>
    <x v="26"/>
    <x v="9"/>
    <x v="1"/>
    <n v="124.2"/>
  </r>
  <r>
    <x v="3"/>
    <x v="2"/>
    <x v="38"/>
    <x v="26"/>
    <x v="9"/>
    <x v="2"/>
    <n v="121.8"/>
  </r>
  <r>
    <x v="3"/>
    <x v="2"/>
    <x v="38"/>
    <x v="16"/>
    <x v="0"/>
    <x v="0"/>
    <n v="137.5"/>
  </r>
  <r>
    <x v="3"/>
    <x v="2"/>
    <x v="38"/>
    <x v="16"/>
    <x v="0"/>
    <x v="1"/>
    <n v="140.19999999999999"/>
  </r>
  <r>
    <x v="3"/>
    <x v="2"/>
    <x v="38"/>
    <x v="16"/>
    <x v="0"/>
    <x v="2"/>
    <n v="145.5"/>
  </r>
  <r>
    <x v="3"/>
    <x v="2"/>
    <x v="38"/>
    <x v="14"/>
    <x v="0"/>
    <x v="0"/>
    <n v="113.8"/>
  </r>
  <r>
    <x v="3"/>
    <x v="2"/>
    <x v="38"/>
    <x v="14"/>
    <x v="0"/>
    <x v="1"/>
    <n v="114.4"/>
  </r>
  <r>
    <x v="3"/>
    <x v="2"/>
    <x v="38"/>
    <x v="14"/>
    <x v="0"/>
    <x v="2"/>
    <n v="115.5"/>
  </r>
  <r>
    <x v="3"/>
    <x v="2"/>
    <x v="38"/>
    <x v="25"/>
    <x v="8"/>
    <x v="0"/>
    <n v="118.6"/>
  </r>
  <r>
    <x v="3"/>
    <x v="2"/>
    <x v="38"/>
    <x v="25"/>
    <x v="8"/>
    <x v="1"/>
    <n v="116"/>
  </r>
  <r>
    <x v="3"/>
    <x v="2"/>
    <x v="38"/>
    <x v="25"/>
    <x v="8"/>
    <x v="2"/>
    <n v="113.7"/>
  </r>
  <r>
    <x v="3"/>
    <x v="2"/>
    <x v="38"/>
    <x v="11"/>
    <x v="0"/>
    <x v="0"/>
    <n v="127.5"/>
  </r>
  <r>
    <x v="3"/>
    <x v="2"/>
    <x v="38"/>
    <x v="11"/>
    <x v="0"/>
    <x v="1"/>
    <n v="125.3"/>
  </r>
  <r>
    <x v="3"/>
    <x v="2"/>
    <x v="38"/>
    <x v="11"/>
    <x v="0"/>
    <x v="2"/>
    <n v="121.1"/>
  </r>
  <r>
    <x v="3"/>
    <x v="3"/>
    <x v="39"/>
    <x v="0"/>
    <x v="0"/>
    <x v="0"/>
    <n v="127.1"/>
  </r>
  <r>
    <x v="3"/>
    <x v="3"/>
    <x v="39"/>
    <x v="0"/>
    <x v="0"/>
    <x v="1"/>
    <n v="126.4"/>
  </r>
  <r>
    <x v="3"/>
    <x v="3"/>
    <x v="39"/>
    <x v="0"/>
    <x v="0"/>
    <x v="2"/>
    <n v="124.8"/>
  </r>
  <r>
    <x v="3"/>
    <x v="3"/>
    <x v="39"/>
    <x v="1"/>
    <x v="1"/>
    <x v="0"/>
    <n v="133.9"/>
  </r>
  <r>
    <x v="3"/>
    <x v="3"/>
    <x v="39"/>
    <x v="1"/>
    <x v="1"/>
    <x v="1"/>
    <n v="130.9"/>
  </r>
  <r>
    <x v="3"/>
    <x v="3"/>
    <x v="39"/>
    <x v="1"/>
    <x v="1"/>
    <x v="2"/>
    <n v="126.2"/>
  </r>
  <r>
    <x v="3"/>
    <x v="3"/>
    <x v="39"/>
    <x v="3"/>
    <x v="1"/>
    <x v="0"/>
    <n v="133.4"/>
  </r>
  <r>
    <x v="3"/>
    <x v="3"/>
    <x v="39"/>
    <x v="3"/>
    <x v="1"/>
    <x v="1"/>
    <n v="130.19999999999999"/>
  </r>
  <r>
    <x v="3"/>
    <x v="3"/>
    <x v="39"/>
    <x v="3"/>
    <x v="1"/>
    <x v="2"/>
    <n v="125.3"/>
  </r>
  <r>
    <x v="3"/>
    <x v="3"/>
    <x v="39"/>
    <x v="5"/>
    <x v="2"/>
    <x v="0"/>
    <n v="127.1"/>
  </r>
  <r>
    <x v="3"/>
    <x v="3"/>
    <x v="39"/>
    <x v="5"/>
    <x v="2"/>
    <x v="1"/>
    <n v="126.6"/>
  </r>
  <r>
    <x v="3"/>
    <x v="3"/>
    <x v="39"/>
    <x v="5"/>
    <x v="2"/>
    <x v="2"/>
    <n v="126.3"/>
  </r>
  <r>
    <x v="3"/>
    <x v="3"/>
    <x v="39"/>
    <x v="4"/>
    <x v="0"/>
    <x v="0"/>
    <n v="127.7"/>
  </r>
  <r>
    <x v="3"/>
    <x v="3"/>
    <x v="39"/>
    <x v="4"/>
    <x v="0"/>
    <x v="1"/>
    <n v="128.69999999999999"/>
  </r>
  <r>
    <x v="3"/>
    <x v="3"/>
    <x v="39"/>
    <x v="4"/>
    <x v="0"/>
    <x v="2"/>
    <n v="130.30000000000001"/>
  </r>
  <r>
    <x v="3"/>
    <x v="3"/>
    <x v="39"/>
    <x v="8"/>
    <x v="0"/>
    <x v="0"/>
    <n v="130.30000000000001"/>
  </r>
  <r>
    <x v="3"/>
    <x v="3"/>
    <x v="39"/>
    <x v="8"/>
    <x v="0"/>
    <x v="1"/>
    <n v="129.9"/>
  </r>
  <r>
    <x v="3"/>
    <x v="3"/>
    <x v="39"/>
    <x v="8"/>
    <x v="0"/>
    <x v="2"/>
    <n v="129.1"/>
  </r>
  <r>
    <x v="3"/>
    <x v="3"/>
    <x v="39"/>
    <x v="10"/>
    <x v="1"/>
    <x v="0"/>
    <n v="129.80000000000001"/>
  </r>
  <r>
    <x v="3"/>
    <x v="3"/>
    <x v="39"/>
    <x v="10"/>
    <x v="1"/>
    <x v="1"/>
    <n v="125.8"/>
  </r>
  <r>
    <x v="3"/>
    <x v="3"/>
    <x v="39"/>
    <x v="10"/>
    <x v="1"/>
    <x v="2"/>
    <n v="120.1"/>
  </r>
  <r>
    <x v="3"/>
    <x v="3"/>
    <x v="39"/>
    <x v="9"/>
    <x v="0"/>
    <x v="0"/>
    <n v="130.4"/>
  </r>
  <r>
    <x v="3"/>
    <x v="3"/>
    <x v="39"/>
    <x v="9"/>
    <x v="0"/>
    <x v="1"/>
    <n v="124.9"/>
  </r>
  <r>
    <x v="3"/>
    <x v="3"/>
    <x v="39"/>
    <x v="9"/>
    <x v="0"/>
    <x v="2"/>
    <n v="118.6"/>
  </r>
  <r>
    <x v="3"/>
    <x v="3"/>
    <x v="39"/>
    <x v="13"/>
    <x v="3"/>
    <x v="0"/>
    <n v="127.5"/>
  </r>
  <r>
    <x v="3"/>
    <x v="3"/>
    <x v="39"/>
    <x v="13"/>
    <x v="3"/>
    <x v="1"/>
    <n v="123.1"/>
  </r>
  <r>
    <x v="3"/>
    <x v="3"/>
    <x v="39"/>
    <x v="13"/>
    <x v="3"/>
    <x v="2"/>
    <n v="116"/>
  </r>
  <r>
    <x v="3"/>
    <x v="3"/>
    <x v="39"/>
    <x v="15"/>
    <x v="4"/>
    <x v="0"/>
    <n v="127.9"/>
  </r>
  <r>
    <x v="3"/>
    <x v="3"/>
    <x v="39"/>
    <x v="15"/>
    <x v="4"/>
    <x v="1"/>
    <n v="126"/>
  </r>
  <r>
    <x v="3"/>
    <x v="3"/>
    <x v="39"/>
    <x v="15"/>
    <x v="4"/>
    <x v="2"/>
    <n v="123.8"/>
  </r>
  <r>
    <x v="3"/>
    <x v="3"/>
    <x v="39"/>
    <x v="17"/>
    <x v="5"/>
    <x v="0"/>
    <n v="124.3"/>
  </r>
  <r>
    <x v="3"/>
    <x v="3"/>
    <x v="39"/>
    <x v="17"/>
    <x v="5"/>
    <x v="1"/>
    <n v="122.5"/>
  </r>
  <r>
    <x v="3"/>
    <x v="3"/>
    <x v="39"/>
    <x v="17"/>
    <x v="5"/>
    <x v="2"/>
    <n v="119.5"/>
  </r>
  <r>
    <x v="3"/>
    <x v="3"/>
    <x v="39"/>
    <x v="19"/>
    <x v="6"/>
    <x v="0"/>
    <n v="127.1"/>
  </r>
  <r>
    <x v="3"/>
    <x v="3"/>
    <x v="39"/>
    <x v="19"/>
    <x v="6"/>
    <x v="1"/>
    <n v="124.6"/>
  </r>
  <r>
    <x v="3"/>
    <x v="3"/>
    <x v="39"/>
    <x v="19"/>
    <x v="6"/>
    <x v="2"/>
    <n v="121.8"/>
  </r>
  <r>
    <x v="3"/>
    <x v="3"/>
    <x v="39"/>
    <x v="21"/>
    <x v="6"/>
    <x v="0"/>
    <n v="0"/>
  </r>
  <r>
    <x v="3"/>
    <x v="3"/>
    <x v="39"/>
    <x v="21"/>
    <x v="6"/>
    <x v="1"/>
    <n v="124.4"/>
  </r>
  <r>
    <x v="3"/>
    <x v="3"/>
    <x v="39"/>
    <x v="21"/>
    <x v="6"/>
    <x v="2"/>
    <n v="124.4"/>
  </r>
  <r>
    <x v="3"/>
    <x v="3"/>
    <x v="39"/>
    <x v="2"/>
    <x v="0"/>
    <x v="0"/>
    <n v="133.69999999999999"/>
  </r>
  <r>
    <x v="3"/>
    <x v="3"/>
    <x v="39"/>
    <x v="2"/>
    <x v="0"/>
    <x v="1"/>
    <n v="134.19999999999999"/>
  </r>
  <r>
    <x v="3"/>
    <x v="3"/>
    <x v="39"/>
    <x v="2"/>
    <x v="0"/>
    <x v="2"/>
    <n v="135.1"/>
  </r>
  <r>
    <x v="3"/>
    <x v="3"/>
    <x v="39"/>
    <x v="6"/>
    <x v="0"/>
    <x v="0"/>
    <n v="130.69999999999999"/>
  </r>
  <r>
    <x v="3"/>
    <x v="3"/>
    <x v="39"/>
    <x v="6"/>
    <x v="0"/>
    <x v="1"/>
    <n v="130.30000000000001"/>
  </r>
  <r>
    <x v="3"/>
    <x v="3"/>
    <x v="39"/>
    <x v="6"/>
    <x v="0"/>
    <x v="2"/>
    <n v="129.6"/>
  </r>
  <r>
    <x v="3"/>
    <x v="3"/>
    <x v="39"/>
    <x v="23"/>
    <x v="7"/>
    <x v="0"/>
    <n v="120.9"/>
  </r>
  <r>
    <x v="3"/>
    <x v="3"/>
    <x v="39"/>
    <x v="23"/>
    <x v="7"/>
    <x v="1"/>
    <n v="119.1"/>
  </r>
  <r>
    <x v="3"/>
    <x v="3"/>
    <x v="39"/>
    <x v="23"/>
    <x v="7"/>
    <x v="2"/>
    <n v="117.2"/>
  </r>
  <r>
    <x v="3"/>
    <x v="3"/>
    <x v="39"/>
    <x v="18"/>
    <x v="0"/>
    <x v="0"/>
    <n v="124.8"/>
  </r>
  <r>
    <x v="3"/>
    <x v="3"/>
    <x v="39"/>
    <x v="18"/>
    <x v="0"/>
    <x v="1"/>
    <n v="123"/>
  </r>
  <r>
    <x v="3"/>
    <x v="3"/>
    <x v="39"/>
    <x v="18"/>
    <x v="0"/>
    <x v="2"/>
    <n v="120.6"/>
  </r>
  <r>
    <x v="3"/>
    <x v="3"/>
    <x v="39"/>
    <x v="7"/>
    <x v="0"/>
    <x v="0"/>
    <n v="118.5"/>
  </r>
  <r>
    <x v="3"/>
    <x v="3"/>
    <x v="39"/>
    <x v="7"/>
    <x v="0"/>
    <x v="1"/>
    <n v="114.8"/>
  </r>
  <r>
    <x v="3"/>
    <x v="3"/>
    <x v="39"/>
    <x v="7"/>
    <x v="0"/>
    <x v="2"/>
    <n v="108.4"/>
  </r>
  <r>
    <x v="3"/>
    <x v="3"/>
    <x v="39"/>
    <x v="22"/>
    <x v="7"/>
    <x v="0"/>
    <n v="134.4"/>
  </r>
  <r>
    <x v="3"/>
    <x v="3"/>
    <x v="39"/>
    <x v="22"/>
    <x v="7"/>
    <x v="1"/>
    <n v="135.9"/>
  </r>
  <r>
    <x v="3"/>
    <x v="3"/>
    <x v="39"/>
    <x v="22"/>
    <x v="7"/>
    <x v="2"/>
    <n v="140"/>
  </r>
  <r>
    <x v="3"/>
    <x v="3"/>
    <x v="39"/>
    <x v="24"/>
    <x v="7"/>
    <x v="0"/>
    <n v="116.8"/>
  </r>
  <r>
    <x v="3"/>
    <x v="3"/>
    <x v="39"/>
    <x v="24"/>
    <x v="7"/>
    <x v="1"/>
    <n v="116.6"/>
  </r>
  <r>
    <x v="3"/>
    <x v="3"/>
    <x v="39"/>
    <x v="24"/>
    <x v="7"/>
    <x v="2"/>
    <n v="116.2"/>
  </r>
  <r>
    <x v="3"/>
    <x v="3"/>
    <x v="39"/>
    <x v="20"/>
    <x v="0"/>
    <x v="0"/>
    <n v="136.4"/>
  </r>
  <r>
    <x v="3"/>
    <x v="3"/>
    <x v="39"/>
    <x v="20"/>
    <x v="0"/>
    <x v="1"/>
    <n v="135.80000000000001"/>
  </r>
  <r>
    <x v="3"/>
    <x v="3"/>
    <x v="39"/>
    <x v="20"/>
    <x v="0"/>
    <x v="2"/>
    <n v="135.19999999999999"/>
  </r>
  <r>
    <x v="3"/>
    <x v="3"/>
    <x v="39"/>
    <x v="12"/>
    <x v="0"/>
    <x v="0"/>
    <n v="162.80000000000001"/>
  </r>
  <r>
    <x v="3"/>
    <x v="3"/>
    <x v="39"/>
    <x v="12"/>
    <x v="0"/>
    <x v="1"/>
    <n v="167.4"/>
  </r>
  <r>
    <x v="3"/>
    <x v="3"/>
    <x v="39"/>
    <x v="12"/>
    <x v="0"/>
    <x v="2"/>
    <n v="176.4"/>
  </r>
  <r>
    <x v="3"/>
    <x v="3"/>
    <x v="39"/>
    <x v="26"/>
    <x v="9"/>
    <x v="0"/>
    <n v="122.3"/>
  </r>
  <r>
    <x v="3"/>
    <x v="3"/>
    <x v="39"/>
    <x v="26"/>
    <x v="9"/>
    <x v="1"/>
    <n v="120.3"/>
  </r>
  <r>
    <x v="3"/>
    <x v="3"/>
    <x v="39"/>
    <x v="26"/>
    <x v="9"/>
    <x v="2"/>
    <n v="118.8"/>
  </r>
  <r>
    <x v="3"/>
    <x v="3"/>
    <x v="39"/>
    <x v="16"/>
    <x v="0"/>
    <x v="0"/>
    <n v="130.6"/>
  </r>
  <r>
    <x v="3"/>
    <x v="3"/>
    <x v="39"/>
    <x v="16"/>
    <x v="0"/>
    <x v="1"/>
    <n v="133.6"/>
  </r>
  <r>
    <x v="3"/>
    <x v="3"/>
    <x v="39"/>
    <x v="16"/>
    <x v="0"/>
    <x v="2"/>
    <n v="139.69999999999999"/>
  </r>
  <r>
    <x v="3"/>
    <x v="3"/>
    <x v="39"/>
    <x v="14"/>
    <x v="0"/>
    <x v="0"/>
    <n v="98.7"/>
  </r>
  <r>
    <x v="3"/>
    <x v="3"/>
    <x v="39"/>
    <x v="14"/>
    <x v="0"/>
    <x v="1"/>
    <n v="98.8"/>
  </r>
  <r>
    <x v="3"/>
    <x v="3"/>
    <x v="39"/>
    <x v="14"/>
    <x v="0"/>
    <x v="2"/>
    <n v="99.1"/>
  </r>
  <r>
    <x v="3"/>
    <x v="3"/>
    <x v="39"/>
    <x v="25"/>
    <x v="8"/>
    <x v="0"/>
    <n v="113.9"/>
  </r>
  <r>
    <x v="3"/>
    <x v="3"/>
    <x v="39"/>
    <x v="25"/>
    <x v="8"/>
    <x v="1"/>
    <n v="111.4"/>
  </r>
  <r>
    <x v="3"/>
    <x v="3"/>
    <x v="39"/>
    <x v="25"/>
    <x v="8"/>
    <x v="2"/>
    <n v="109.1"/>
  </r>
  <r>
    <x v="3"/>
    <x v="3"/>
    <x v="39"/>
    <x v="11"/>
    <x v="0"/>
    <x v="0"/>
    <n v="130.9"/>
  </r>
  <r>
    <x v="3"/>
    <x v="3"/>
    <x v="39"/>
    <x v="11"/>
    <x v="0"/>
    <x v="1"/>
    <n v="130.30000000000001"/>
  </r>
  <r>
    <x v="3"/>
    <x v="3"/>
    <x v="39"/>
    <x v="11"/>
    <x v="0"/>
    <x v="2"/>
    <n v="129.19999999999999"/>
  </r>
  <r>
    <x v="3"/>
    <x v="4"/>
    <x v="40"/>
    <x v="0"/>
    <x v="0"/>
    <x v="0"/>
    <n v="126.8"/>
  </r>
  <r>
    <x v="3"/>
    <x v="4"/>
    <x v="40"/>
    <x v="0"/>
    <x v="0"/>
    <x v="1"/>
    <n v="126.1"/>
  </r>
  <r>
    <x v="3"/>
    <x v="4"/>
    <x v="40"/>
    <x v="0"/>
    <x v="0"/>
    <x v="2"/>
    <n v="124.7"/>
  </r>
  <r>
    <x v="3"/>
    <x v="4"/>
    <x v="40"/>
    <x v="1"/>
    <x v="1"/>
    <x v="0"/>
    <n v="133.19999999999999"/>
  </r>
  <r>
    <x v="3"/>
    <x v="4"/>
    <x v="40"/>
    <x v="1"/>
    <x v="1"/>
    <x v="1"/>
    <n v="130.30000000000001"/>
  </r>
  <r>
    <x v="3"/>
    <x v="4"/>
    <x v="40"/>
    <x v="1"/>
    <x v="1"/>
    <x v="2"/>
    <n v="125.8"/>
  </r>
  <r>
    <x v="3"/>
    <x v="4"/>
    <x v="40"/>
    <x v="3"/>
    <x v="1"/>
    <x v="0"/>
    <n v="132.6"/>
  </r>
  <r>
    <x v="3"/>
    <x v="4"/>
    <x v="40"/>
    <x v="3"/>
    <x v="1"/>
    <x v="1"/>
    <n v="129.5"/>
  </r>
  <r>
    <x v="3"/>
    <x v="4"/>
    <x v="40"/>
    <x v="3"/>
    <x v="1"/>
    <x v="2"/>
    <n v="124.9"/>
  </r>
  <r>
    <x v="3"/>
    <x v="4"/>
    <x v="40"/>
    <x v="5"/>
    <x v="2"/>
    <x v="0"/>
    <n v="126.2"/>
  </r>
  <r>
    <x v="3"/>
    <x v="4"/>
    <x v="40"/>
    <x v="5"/>
    <x v="2"/>
    <x v="1"/>
    <n v="126.3"/>
  </r>
  <r>
    <x v="3"/>
    <x v="4"/>
    <x v="40"/>
    <x v="5"/>
    <x v="2"/>
    <x v="2"/>
    <n v="126.4"/>
  </r>
  <r>
    <x v="3"/>
    <x v="4"/>
    <x v="40"/>
    <x v="4"/>
    <x v="0"/>
    <x v="0"/>
    <n v="126.5"/>
  </r>
  <r>
    <x v="3"/>
    <x v="4"/>
    <x v="40"/>
    <x v="4"/>
    <x v="0"/>
    <x v="1"/>
    <n v="128.6"/>
  </r>
  <r>
    <x v="3"/>
    <x v="4"/>
    <x v="40"/>
    <x v="4"/>
    <x v="0"/>
    <x v="2"/>
    <n v="132"/>
  </r>
  <r>
    <x v="3"/>
    <x v="4"/>
    <x v="40"/>
    <x v="8"/>
    <x v="0"/>
    <x v="0"/>
    <n v="131.4"/>
  </r>
  <r>
    <x v="3"/>
    <x v="4"/>
    <x v="40"/>
    <x v="8"/>
    <x v="0"/>
    <x v="1"/>
    <n v="131.30000000000001"/>
  </r>
  <r>
    <x v="3"/>
    <x v="4"/>
    <x v="40"/>
    <x v="8"/>
    <x v="0"/>
    <x v="2"/>
    <n v="131.19999999999999"/>
  </r>
  <r>
    <x v="3"/>
    <x v="4"/>
    <x v="40"/>
    <x v="10"/>
    <x v="1"/>
    <x v="0"/>
    <n v="128.9"/>
  </r>
  <r>
    <x v="3"/>
    <x v="4"/>
    <x v="40"/>
    <x v="10"/>
    <x v="1"/>
    <x v="1"/>
    <n v="125.1"/>
  </r>
  <r>
    <x v="3"/>
    <x v="4"/>
    <x v="40"/>
    <x v="10"/>
    <x v="1"/>
    <x v="2"/>
    <n v="119.8"/>
  </r>
  <r>
    <x v="3"/>
    <x v="4"/>
    <x v="40"/>
    <x v="9"/>
    <x v="0"/>
    <x v="0"/>
    <n v="131.6"/>
  </r>
  <r>
    <x v="3"/>
    <x v="4"/>
    <x v="40"/>
    <x v="9"/>
    <x v="0"/>
    <x v="1"/>
    <n v="125.7"/>
  </r>
  <r>
    <x v="3"/>
    <x v="4"/>
    <x v="40"/>
    <x v="9"/>
    <x v="0"/>
    <x v="2"/>
    <n v="119"/>
  </r>
  <r>
    <x v="3"/>
    <x v="4"/>
    <x v="40"/>
    <x v="13"/>
    <x v="3"/>
    <x v="0"/>
    <n v="126.2"/>
  </r>
  <r>
    <x v="3"/>
    <x v="4"/>
    <x v="40"/>
    <x v="13"/>
    <x v="3"/>
    <x v="1"/>
    <n v="122.7"/>
  </r>
  <r>
    <x v="3"/>
    <x v="4"/>
    <x v="40"/>
    <x v="13"/>
    <x v="3"/>
    <x v="2"/>
    <n v="116.9"/>
  </r>
  <r>
    <x v="3"/>
    <x v="4"/>
    <x v="40"/>
    <x v="15"/>
    <x v="4"/>
    <x v="0"/>
    <n v="128.1"/>
  </r>
  <r>
    <x v="3"/>
    <x v="4"/>
    <x v="40"/>
    <x v="15"/>
    <x v="4"/>
    <x v="1"/>
    <n v="126.3"/>
  </r>
  <r>
    <x v="3"/>
    <x v="4"/>
    <x v="40"/>
    <x v="15"/>
    <x v="4"/>
    <x v="2"/>
    <n v="124.2"/>
  </r>
  <r>
    <x v="3"/>
    <x v="4"/>
    <x v="40"/>
    <x v="17"/>
    <x v="5"/>
    <x v="0"/>
    <n v="123.7"/>
  </r>
  <r>
    <x v="3"/>
    <x v="4"/>
    <x v="40"/>
    <x v="17"/>
    <x v="5"/>
    <x v="1"/>
    <n v="122"/>
  </r>
  <r>
    <x v="3"/>
    <x v="4"/>
    <x v="40"/>
    <x v="17"/>
    <x v="5"/>
    <x v="2"/>
    <n v="119.1"/>
  </r>
  <r>
    <x v="3"/>
    <x v="4"/>
    <x v="40"/>
    <x v="19"/>
    <x v="6"/>
    <x v="0"/>
    <n v="126.6"/>
  </r>
  <r>
    <x v="3"/>
    <x v="4"/>
    <x v="40"/>
    <x v="19"/>
    <x v="6"/>
    <x v="1"/>
    <n v="124.2"/>
  </r>
  <r>
    <x v="3"/>
    <x v="4"/>
    <x v="40"/>
    <x v="19"/>
    <x v="6"/>
    <x v="2"/>
    <n v="121.6"/>
  </r>
  <r>
    <x v="3"/>
    <x v="4"/>
    <x v="40"/>
    <x v="21"/>
    <x v="6"/>
    <x v="0"/>
    <n v="0"/>
  </r>
  <r>
    <x v="3"/>
    <x v="4"/>
    <x v="40"/>
    <x v="21"/>
    <x v="6"/>
    <x v="1"/>
    <n v="123.4"/>
  </r>
  <r>
    <x v="3"/>
    <x v="4"/>
    <x v="40"/>
    <x v="21"/>
    <x v="6"/>
    <x v="2"/>
    <n v="123.4"/>
  </r>
  <r>
    <x v="3"/>
    <x v="4"/>
    <x v="40"/>
    <x v="2"/>
    <x v="0"/>
    <x v="0"/>
    <n v="133.19999999999999"/>
  </r>
  <r>
    <x v="3"/>
    <x v="4"/>
    <x v="40"/>
    <x v="2"/>
    <x v="0"/>
    <x v="1"/>
    <n v="134.1"/>
  </r>
  <r>
    <x v="3"/>
    <x v="4"/>
    <x v="40"/>
    <x v="2"/>
    <x v="0"/>
    <x v="2"/>
    <n v="135.9"/>
  </r>
  <r>
    <x v="3"/>
    <x v="4"/>
    <x v="40"/>
    <x v="6"/>
    <x v="0"/>
    <x v="0"/>
    <n v="130.30000000000001"/>
  </r>
  <r>
    <x v="3"/>
    <x v="4"/>
    <x v="40"/>
    <x v="6"/>
    <x v="0"/>
    <x v="1"/>
    <n v="129.9"/>
  </r>
  <r>
    <x v="3"/>
    <x v="4"/>
    <x v="40"/>
    <x v="6"/>
    <x v="0"/>
    <x v="2"/>
    <n v="129.19999999999999"/>
  </r>
  <r>
    <x v="3"/>
    <x v="4"/>
    <x v="40"/>
    <x v="23"/>
    <x v="7"/>
    <x v="0"/>
    <n v="120.1"/>
  </r>
  <r>
    <x v="3"/>
    <x v="4"/>
    <x v="40"/>
    <x v="23"/>
    <x v="7"/>
    <x v="1"/>
    <n v="118.5"/>
  </r>
  <r>
    <x v="3"/>
    <x v="4"/>
    <x v="40"/>
    <x v="23"/>
    <x v="7"/>
    <x v="2"/>
    <n v="116.8"/>
  </r>
  <r>
    <x v="3"/>
    <x v="4"/>
    <x v="40"/>
    <x v="18"/>
    <x v="0"/>
    <x v="0"/>
    <n v="124.3"/>
  </r>
  <r>
    <x v="3"/>
    <x v="4"/>
    <x v="40"/>
    <x v="18"/>
    <x v="0"/>
    <x v="1"/>
    <n v="122.7"/>
  </r>
  <r>
    <x v="3"/>
    <x v="4"/>
    <x v="40"/>
    <x v="18"/>
    <x v="0"/>
    <x v="2"/>
    <n v="120.5"/>
  </r>
  <r>
    <x v="3"/>
    <x v="4"/>
    <x v="40"/>
    <x v="7"/>
    <x v="0"/>
    <x v="0"/>
    <n v="118.9"/>
  </r>
  <r>
    <x v="3"/>
    <x v="4"/>
    <x v="40"/>
    <x v="7"/>
    <x v="0"/>
    <x v="1"/>
    <n v="115.5"/>
  </r>
  <r>
    <x v="3"/>
    <x v="4"/>
    <x v="40"/>
    <x v="7"/>
    <x v="0"/>
    <x v="2"/>
    <n v="109.7"/>
  </r>
  <r>
    <x v="3"/>
    <x v="4"/>
    <x v="40"/>
    <x v="22"/>
    <x v="7"/>
    <x v="0"/>
    <n v="133.6"/>
  </r>
  <r>
    <x v="3"/>
    <x v="4"/>
    <x v="40"/>
    <x v="22"/>
    <x v="7"/>
    <x v="1"/>
    <n v="135.19999999999999"/>
  </r>
  <r>
    <x v="3"/>
    <x v="4"/>
    <x v="40"/>
    <x v="22"/>
    <x v="7"/>
    <x v="2"/>
    <n v="139.5"/>
  </r>
  <r>
    <x v="3"/>
    <x v="4"/>
    <x v="40"/>
    <x v="24"/>
    <x v="7"/>
    <x v="0"/>
    <n v="114.9"/>
  </r>
  <r>
    <x v="3"/>
    <x v="4"/>
    <x v="40"/>
    <x v="24"/>
    <x v="7"/>
    <x v="1"/>
    <n v="114.5"/>
  </r>
  <r>
    <x v="3"/>
    <x v="4"/>
    <x v="40"/>
    <x v="24"/>
    <x v="7"/>
    <x v="2"/>
    <n v="114"/>
  </r>
  <r>
    <x v="3"/>
    <x v="4"/>
    <x v="40"/>
    <x v="20"/>
    <x v="0"/>
    <x v="0"/>
    <n v="135.9"/>
  </r>
  <r>
    <x v="3"/>
    <x v="4"/>
    <x v="40"/>
    <x v="20"/>
    <x v="0"/>
    <x v="1"/>
    <n v="135.30000000000001"/>
  </r>
  <r>
    <x v="3"/>
    <x v="4"/>
    <x v="40"/>
    <x v="20"/>
    <x v="0"/>
    <x v="2"/>
    <n v="134.69999999999999"/>
  </r>
  <r>
    <x v="3"/>
    <x v="4"/>
    <x v="40"/>
    <x v="12"/>
    <x v="0"/>
    <x v="0"/>
    <n v="163.80000000000001"/>
  </r>
  <r>
    <x v="3"/>
    <x v="4"/>
    <x v="40"/>
    <x v="12"/>
    <x v="0"/>
    <x v="1"/>
    <n v="170.7"/>
  </r>
  <r>
    <x v="3"/>
    <x v="4"/>
    <x v="40"/>
    <x v="12"/>
    <x v="0"/>
    <x v="2"/>
    <n v="184.2"/>
  </r>
  <r>
    <x v="3"/>
    <x v="4"/>
    <x v="40"/>
    <x v="26"/>
    <x v="9"/>
    <x v="0"/>
    <n v="121.4"/>
  </r>
  <r>
    <x v="3"/>
    <x v="4"/>
    <x v="40"/>
    <x v="26"/>
    <x v="9"/>
    <x v="1"/>
    <n v="119.8"/>
  </r>
  <r>
    <x v="3"/>
    <x v="4"/>
    <x v="40"/>
    <x v="26"/>
    <x v="9"/>
    <x v="2"/>
    <n v="118.5"/>
  </r>
  <r>
    <x v="3"/>
    <x v="4"/>
    <x v="40"/>
    <x v="16"/>
    <x v="0"/>
    <x v="0"/>
    <n v="129.6"/>
  </r>
  <r>
    <x v="3"/>
    <x v="4"/>
    <x v="40"/>
    <x v="16"/>
    <x v="0"/>
    <x v="1"/>
    <n v="132.9"/>
  </r>
  <r>
    <x v="3"/>
    <x v="4"/>
    <x v="40"/>
    <x v="16"/>
    <x v="0"/>
    <x v="2"/>
    <n v="139.5"/>
  </r>
  <r>
    <x v="3"/>
    <x v="4"/>
    <x v="40"/>
    <x v="14"/>
    <x v="0"/>
    <x v="0"/>
    <n v="97.7"/>
  </r>
  <r>
    <x v="3"/>
    <x v="4"/>
    <x v="40"/>
    <x v="14"/>
    <x v="0"/>
    <x v="1"/>
    <n v="97.4"/>
  </r>
  <r>
    <x v="3"/>
    <x v="4"/>
    <x v="40"/>
    <x v="14"/>
    <x v="0"/>
    <x v="2"/>
    <n v="96.7"/>
  </r>
  <r>
    <x v="3"/>
    <x v="4"/>
    <x v="40"/>
    <x v="25"/>
    <x v="8"/>
    <x v="0"/>
    <n v="113.6"/>
  </r>
  <r>
    <x v="3"/>
    <x v="4"/>
    <x v="40"/>
    <x v="25"/>
    <x v="8"/>
    <x v="1"/>
    <n v="111.1"/>
  </r>
  <r>
    <x v="3"/>
    <x v="4"/>
    <x v="40"/>
    <x v="25"/>
    <x v="8"/>
    <x v="2"/>
    <n v="108.9"/>
  </r>
  <r>
    <x v="3"/>
    <x v="4"/>
    <x v="40"/>
    <x v="11"/>
    <x v="0"/>
    <x v="0"/>
    <n v="140.1"/>
  </r>
  <r>
    <x v="3"/>
    <x v="4"/>
    <x v="40"/>
    <x v="11"/>
    <x v="0"/>
    <x v="1"/>
    <n v="141.5"/>
  </r>
  <r>
    <x v="3"/>
    <x v="4"/>
    <x v="40"/>
    <x v="11"/>
    <x v="0"/>
    <x v="2"/>
    <n v="144.1"/>
  </r>
  <r>
    <x v="3"/>
    <x v="5"/>
    <x v="41"/>
    <x v="0"/>
    <x v="0"/>
    <x v="0"/>
    <n v="129.30000000000001"/>
  </r>
  <r>
    <x v="3"/>
    <x v="5"/>
    <x v="41"/>
    <x v="0"/>
    <x v="0"/>
    <x v="1"/>
    <n v="128.5"/>
  </r>
  <r>
    <x v="3"/>
    <x v="5"/>
    <x v="41"/>
    <x v="0"/>
    <x v="0"/>
    <x v="2"/>
    <n v="126.8"/>
  </r>
  <r>
    <x v="3"/>
    <x v="5"/>
    <x v="41"/>
    <x v="1"/>
    <x v="1"/>
    <x v="0"/>
    <n v="137.19999999999999"/>
  </r>
  <r>
    <x v="3"/>
    <x v="5"/>
    <x v="41"/>
    <x v="1"/>
    <x v="1"/>
    <x v="1"/>
    <n v="133.5"/>
  </r>
  <r>
    <x v="3"/>
    <x v="5"/>
    <x v="41"/>
    <x v="1"/>
    <x v="1"/>
    <x v="2"/>
    <n v="127.9"/>
  </r>
  <r>
    <x v="3"/>
    <x v="5"/>
    <x v="41"/>
    <x v="3"/>
    <x v="1"/>
    <x v="0"/>
    <n v="136.5"/>
  </r>
  <r>
    <x v="3"/>
    <x v="5"/>
    <x v="41"/>
    <x v="3"/>
    <x v="1"/>
    <x v="1"/>
    <n v="132.69999999999999"/>
  </r>
  <r>
    <x v="3"/>
    <x v="5"/>
    <x v="41"/>
    <x v="3"/>
    <x v="1"/>
    <x v="2"/>
    <n v="126.9"/>
  </r>
  <r>
    <x v="3"/>
    <x v="5"/>
    <x v="41"/>
    <x v="5"/>
    <x v="2"/>
    <x v="0"/>
    <n v="130.80000000000001"/>
  </r>
  <r>
    <x v="3"/>
    <x v="5"/>
    <x v="41"/>
    <x v="5"/>
    <x v="2"/>
    <x v="1"/>
    <n v="130.80000000000001"/>
  </r>
  <r>
    <x v="3"/>
    <x v="5"/>
    <x v="41"/>
    <x v="5"/>
    <x v="2"/>
    <x v="2"/>
    <n v="130.80000000000001"/>
  </r>
  <r>
    <x v="3"/>
    <x v="5"/>
    <x v="41"/>
    <x v="4"/>
    <x v="0"/>
    <x v="0"/>
    <n v="129.6"/>
  </r>
  <r>
    <x v="3"/>
    <x v="5"/>
    <x v="41"/>
    <x v="4"/>
    <x v="0"/>
    <x v="1"/>
    <n v="132.30000000000001"/>
  </r>
  <r>
    <x v="3"/>
    <x v="5"/>
    <x v="41"/>
    <x v="4"/>
    <x v="0"/>
    <x v="2"/>
    <n v="136.6"/>
  </r>
  <r>
    <x v="3"/>
    <x v="5"/>
    <x v="41"/>
    <x v="8"/>
    <x v="0"/>
    <x v="0"/>
    <n v="137.6"/>
  </r>
  <r>
    <x v="3"/>
    <x v="5"/>
    <x v="41"/>
    <x v="8"/>
    <x v="0"/>
    <x v="1"/>
    <n v="138.4"/>
  </r>
  <r>
    <x v="3"/>
    <x v="5"/>
    <x v="41"/>
    <x v="8"/>
    <x v="0"/>
    <x v="2"/>
    <n v="139.80000000000001"/>
  </r>
  <r>
    <x v="3"/>
    <x v="5"/>
    <x v="41"/>
    <x v="10"/>
    <x v="1"/>
    <x v="0"/>
    <n v="132.19999999999999"/>
  </r>
  <r>
    <x v="3"/>
    <x v="5"/>
    <x v="41"/>
    <x v="10"/>
    <x v="1"/>
    <x v="1"/>
    <n v="127.6"/>
  </r>
  <r>
    <x v="3"/>
    <x v="5"/>
    <x v="41"/>
    <x v="10"/>
    <x v="1"/>
    <x v="2"/>
    <n v="121.1"/>
  </r>
  <r>
    <x v="3"/>
    <x v="5"/>
    <x v="41"/>
    <x v="9"/>
    <x v="0"/>
    <x v="0"/>
    <n v="138.5"/>
  </r>
  <r>
    <x v="3"/>
    <x v="5"/>
    <x v="41"/>
    <x v="9"/>
    <x v="0"/>
    <x v="1"/>
    <n v="137.80000000000001"/>
  </r>
  <r>
    <x v="3"/>
    <x v="5"/>
    <x v="41"/>
    <x v="9"/>
    <x v="0"/>
    <x v="2"/>
    <n v="137"/>
  </r>
  <r>
    <x v="3"/>
    <x v="5"/>
    <x v="41"/>
    <x v="13"/>
    <x v="3"/>
    <x v="0"/>
    <n v="128.19999999999999"/>
  </r>
  <r>
    <x v="3"/>
    <x v="5"/>
    <x v="41"/>
    <x v="13"/>
    <x v="3"/>
    <x v="1"/>
    <n v="123.4"/>
  </r>
  <r>
    <x v="3"/>
    <x v="5"/>
    <x v="41"/>
    <x v="13"/>
    <x v="3"/>
    <x v="2"/>
    <n v="115.5"/>
  </r>
  <r>
    <x v="3"/>
    <x v="5"/>
    <x v="41"/>
    <x v="15"/>
    <x v="4"/>
    <x v="0"/>
    <n v="133"/>
  </r>
  <r>
    <x v="3"/>
    <x v="5"/>
    <x v="41"/>
    <x v="15"/>
    <x v="4"/>
    <x v="1"/>
    <n v="131.1"/>
  </r>
  <r>
    <x v="3"/>
    <x v="5"/>
    <x v="41"/>
    <x v="15"/>
    <x v="4"/>
    <x v="2"/>
    <n v="129"/>
  </r>
  <r>
    <x v="3"/>
    <x v="5"/>
    <x v="41"/>
    <x v="17"/>
    <x v="5"/>
    <x v="0"/>
    <n v="126.7"/>
  </r>
  <r>
    <x v="3"/>
    <x v="5"/>
    <x v="41"/>
    <x v="17"/>
    <x v="5"/>
    <x v="1"/>
    <n v="124.5"/>
  </r>
  <r>
    <x v="3"/>
    <x v="5"/>
    <x v="41"/>
    <x v="17"/>
    <x v="5"/>
    <x v="2"/>
    <n v="120.9"/>
  </r>
  <r>
    <x v="3"/>
    <x v="5"/>
    <x v="41"/>
    <x v="19"/>
    <x v="6"/>
    <x v="0"/>
    <n v="130"/>
  </r>
  <r>
    <x v="3"/>
    <x v="5"/>
    <x v="41"/>
    <x v="19"/>
    <x v="6"/>
    <x v="1"/>
    <n v="126.9"/>
  </r>
  <r>
    <x v="3"/>
    <x v="5"/>
    <x v="41"/>
    <x v="19"/>
    <x v="6"/>
    <x v="2"/>
    <n v="123.5"/>
  </r>
  <r>
    <x v="3"/>
    <x v="5"/>
    <x v="41"/>
    <x v="21"/>
    <x v="6"/>
    <x v="0"/>
    <n v="0"/>
  </r>
  <r>
    <x v="3"/>
    <x v="5"/>
    <x v="41"/>
    <x v="21"/>
    <x v="6"/>
    <x v="1"/>
    <n v="126.4"/>
  </r>
  <r>
    <x v="3"/>
    <x v="5"/>
    <x v="41"/>
    <x v="21"/>
    <x v="6"/>
    <x v="2"/>
    <n v="126.4"/>
  </r>
  <r>
    <x v="3"/>
    <x v="5"/>
    <x v="41"/>
    <x v="2"/>
    <x v="0"/>
    <x v="0"/>
    <n v="139.5"/>
  </r>
  <r>
    <x v="3"/>
    <x v="5"/>
    <x v="41"/>
    <x v="2"/>
    <x v="0"/>
    <x v="1"/>
    <n v="141.19999999999999"/>
  </r>
  <r>
    <x v="3"/>
    <x v="5"/>
    <x v="41"/>
    <x v="2"/>
    <x v="0"/>
    <x v="2"/>
    <n v="144.19999999999999"/>
  </r>
  <r>
    <x v="3"/>
    <x v="5"/>
    <x v="41"/>
    <x v="6"/>
    <x v="0"/>
    <x v="0"/>
    <n v="134.5"/>
  </r>
  <r>
    <x v="3"/>
    <x v="5"/>
    <x v="41"/>
    <x v="6"/>
    <x v="0"/>
    <x v="1"/>
    <n v="133.5"/>
  </r>
  <r>
    <x v="3"/>
    <x v="5"/>
    <x v="41"/>
    <x v="6"/>
    <x v="0"/>
    <x v="2"/>
    <n v="131.80000000000001"/>
  </r>
  <r>
    <x v="3"/>
    <x v="5"/>
    <x v="41"/>
    <x v="23"/>
    <x v="7"/>
    <x v="0"/>
    <n v="123.8"/>
  </r>
  <r>
    <x v="3"/>
    <x v="5"/>
    <x v="41"/>
    <x v="23"/>
    <x v="7"/>
    <x v="1"/>
    <n v="121.9"/>
  </r>
  <r>
    <x v="3"/>
    <x v="5"/>
    <x v="41"/>
    <x v="23"/>
    <x v="7"/>
    <x v="2"/>
    <n v="119.9"/>
  </r>
  <r>
    <x v="3"/>
    <x v="5"/>
    <x v="41"/>
    <x v="18"/>
    <x v="0"/>
    <x v="0"/>
    <n v="127.3"/>
  </r>
  <r>
    <x v="3"/>
    <x v="5"/>
    <x v="41"/>
    <x v="18"/>
    <x v="0"/>
    <x v="1"/>
    <n v="125"/>
  </r>
  <r>
    <x v="3"/>
    <x v="5"/>
    <x v="41"/>
    <x v="18"/>
    <x v="0"/>
    <x v="2"/>
    <n v="121.7"/>
  </r>
  <r>
    <x v="3"/>
    <x v="5"/>
    <x v="41"/>
    <x v="7"/>
    <x v="0"/>
    <x v="0"/>
    <n v="119.5"/>
  </r>
  <r>
    <x v="3"/>
    <x v="5"/>
    <x v="41"/>
    <x v="7"/>
    <x v="0"/>
    <x v="1"/>
    <n v="116.4"/>
  </r>
  <r>
    <x v="3"/>
    <x v="5"/>
    <x v="41"/>
    <x v="7"/>
    <x v="0"/>
    <x v="2"/>
    <n v="111"/>
  </r>
  <r>
    <x v="3"/>
    <x v="5"/>
    <x v="41"/>
    <x v="22"/>
    <x v="7"/>
    <x v="0"/>
    <n v="138"/>
  </r>
  <r>
    <x v="3"/>
    <x v="5"/>
    <x v="41"/>
    <x v="22"/>
    <x v="7"/>
    <x v="1"/>
    <n v="139.30000000000001"/>
  </r>
  <r>
    <x v="3"/>
    <x v="5"/>
    <x v="41"/>
    <x v="22"/>
    <x v="7"/>
    <x v="2"/>
    <n v="142.9"/>
  </r>
  <r>
    <x v="3"/>
    <x v="5"/>
    <x v="41"/>
    <x v="24"/>
    <x v="7"/>
    <x v="0"/>
    <n v="120.9"/>
  </r>
  <r>
    <x v="3"/>
    <x v="5"/>
    <x v="41"/>
    <x v="24"/>
    <x v="7"/>
    <x v="1"/>
    <n v="120.5"/>
  </r>
  <r>
    <x v="3"/>
    <x v="5"/>
    <x v="41"/>
    <x v="24"/>
    <x v="7"/>
    <x v="2"/>
    <n v="120"/>
  </r>
  <r>
    <x v="3"/>
    <x v="5"/>
    <x v="41"/>
    <x v="20"/>
    <x v="0"/>
    <x v="0"/>
    <n v="139.9"/>
  </r>
  <r>
    <x v="3"/>
    <x v="5"/>
    <x v="41"/>
    <x v="20"/>
    <x v="0"/>
    <x v="1"/>
    <n v="138.80000000000001"/>
  </r>
  <r>
    <x v="3"/>
    <x v="5"/>
    <x v="41"/>
    <x v="20"/>
    <x v="0"/>
    <x v="2"/>
    <n v="137.5"/>
  </r>
  <r>
    <x v="3"/>
    <x v="5"/>
    <x v="41"/>
    <x v="12"/>
    <x v="0"/>
    <x v="0"/>
    <n v="171.8"/>
  </r>
  <r>
    <x v="3"/>
    <x v="5"/>
    <x v="41"/>
    <x v="12"/>
    <x v="0"/>
    <x v="1"/>
    <n v="177.4"/>
  </r>
  <r>
    <x v="3"/>
    <x v="5"/>
    <x v="41"/>
    <x v="12"/>
    <x v="0"/>
    <x v="2"/>
    <n v="188.4"/>
  </r>
  <r>
    <x v="3"/>
    <x v="5"/>
    <x v="41"/>
    <x v="26"/>
    <x v="9"/>
    <x v="0"/>
    <n v="125.2"/>
  </r>
  <r>
    <x v="3"/>
    <x v="5"/>
    <x v="41"/>
    <x v="26"/>
    <x v="9"/>
    <x v="1"/>
    <n v="122.4"/>
  </r>
  <r>
    <x v="3"/>
    <x v="5"/>
    <x v="41"/>
    <x v="26"/>
    <x v="9"/>
    <x v="2"/>
    <n v="120.3"/>
  </r>
  <r>
    <x v="3"/>
    <x v="5"/>
    <x v="41"/>
    <x v="16"/>
    <x v="0"/>
    <x v="0"/>
    <n v="134.30000000000001"/>
  </r>
  <r>
    <x v="3"/>
    <x v="5"/>
    <x v="41"/>
    <x v="16"/>
    <x v="0"/>
    <x v="1"/>
    <n v="137.5"/>
  </r>
  <r>
    <x v="3"/>
    <x v="5"/>
    <x v="41"/>
    <x v="16"/>
    <x v="0"/>
    <x v="2"/>
    <n v="143.9"/>
  </r>
  <r>
    <x v="3"/>
    <x v="5"/>
    <x v="41"/>
    <x v="14"/>
    <x v="0"/>
    <x v="0"/>
    <n v="110.3"/>
  </r>
  <r>
    <x v="3"/>
    <x v="5"/>
    <x v="41"/>
    <x v="14"/>
    <x v="0"/>
    <x v="1"/>
    <n v="111.3"/>
  </r>
  <r>
    <x v="3"/>
    <x v="5"/>
    <x v="41"/>
    <x v="14"/>
    <x v="0"/>
    <x v="2"/>
    <n v="113.3"/>
  </r>
  <r>
    <x v="3"/>
    <x v="5"/>
    <x v="41"/>
    <x v="25"/>
    <x v="8"/>
    <x v="0"/>
    <n v="116.4"/>
  </r>
  <r>
    <x v="3"/>
    <x v="5"/>
    <x v="41"/>
    <x v="25"/>
    <x v="8"/>
    <x v="1"/>
    <n v="113.9"/>
  </r>
  <r>
    <x v="3"/>
    <x v="5"/>
    <x v="41"/>
    <x v="25"/>
    <x v="8"/>
    <x v="2"/>
    <n v="111.7"/>
  </r>
  <r>
    <x v="3"/>
    <x v="5"/>
    <x v="41"/>
    <x v="11"/>
    <x v="0"/>
    <x v="0"/>
    <n v="158.19999999999999"/>
  </r>
  <r>
    <x v="3"/>
    <x v="5"/>
    <x v="41"/>
    <x v="11"/>
    <x v="0"/>
    <x v="1"/>
    <n v="165.4"/>
  </r>
  <r>
    <x v="3"/>
    <x v="5"/>
    <x v="41"/>
    <x v="11"/>
    <x v="0"/>
    <x v="2"/>
    <n v="179.5"/>
  </r>
  <r>
    <x v="3"/>
    <x v="6"/>
    <x v="42"/>
    <x v="0"/>
    <x v="0"/>
    <x v="0"/>
    <n v="128.6"/>
  </r>
  <r>
    <x v="3"/>
    <x v="6"/>
    <x v="42"/>
    <x v="0"/>
    <x v="0"/>
    <x v="1"/>
    <n v="127.7"/>
  </r>
  <r>
    <x v="3"/>
    <x v="6"/>
    <x v="42"/>
    <x v="0"/>
    <x v="0"/>
    <x v="2"/>
    <n v="125.9"/>
  </r>
  <r>
    <x v="3"/>
    <x v="6"/>
    <x v="42"/>
    <x v="1"/>
    <x v="1"/>
    <x v="0"/>
    <n v="136.30000000000001"/>
  </r>
  <r>
    <x v="3"/>
    <x v="6"/>
    <x v="42"/>
    <x v="1"/>
    <x v="1"/>
    <x v="1"/>
    <n v="132.9"/>
  </r>
  <r>
    <x v="3"/>
    <x v="6"/>
    <x v="42"/>
    <x v="1"/>
    <x v="1"/>
    <x v="2"/>
    <n v="127.6"/>
  </r>
  <r>
    <x v="3"/>
    <x v="6"/>
    <x v="42"/>
    <x v="3"/>
    <x v="1"/>
    <x v="0"/>
    <n v="135.6"/>
  </r>
  <r>
    <x v="3"/>
    <x v="6"/>
    <x v="42"/>
    <x v="3"/>
    <x v="1"/>
    <x v="1"/>
    <n v="132"/>
  </r>
  <r>
    <x v="3"/>
    <x v="6"/>
    <x v="42"/>
    <x v="3"/>
    <x v="1"/>
    <x v="2"/>
    <n v="126.6"/>
  </r>
  <r>
    <x v="3"/>
    <x v="6"/>
    <x v="42"/>
    <x v="5"/>
    <x v="2"/>
    <x v="0"/>
    <n v="130.19999999999999"/>
  </r>
  <r>
    <x v="3"/>
    <x v="6"/>
    <x v="42"/>
    <x v="5"/>
    <x v="2"/>
    <x v="1"/>
    <n v="129.69999999999999"/>
  </r>
  <r>
    <x v="3"/>
    <x v="6"/>
    <x v="42"/>
    <x v="5"/>
    <x v="2"/>
    <x v="2"/>
    <n v="129.30000000000001"/>
  </r>
  <r>
    <x v="3"/>
    <x v="6"/>
    <x v="42"/>
    <x v="4"/>
    <x v="0"/>
    <x v="0"/>
    <n v="126.6"/>
  </r>
  <r>
    <x v="3"/>
    <x v="6"/>
    <x v="42"/>
    <x v="4"/>
    <x v="0"/>
    <x v="1"/>
    <n v="128.30000000000001"/>
  </r>
  <r>
    <x v="3"/>
    <x v="6"/>
    <x v="42"/>
    <x v="4"/>
    <x v="0"/>
    <x v="2"/>
    <n v="130.9"/>
  </r>
  <r>
    <x v="3"/>
    <x v="6"/>
    <x v="42"/>
    <x v="8"/>
    <x v="0"/>
    <x v="0"/>
    <n v="136"/>
  </r>
  <r>
    <x v="3"/>
    <x v="6"/>
    <x v="42"/>
    <x v="8"/>
    <x v="0"/>
    <x v="1"/>
    <n v="136.80000000000001"/>
  </r>
  <r>
    <x v="3"/>
    <x v="6"/>
    <x v="42"/>
    <x v="8"/>
    <x v="0"/>
    <x v="2"/>
    <n v="138.19999999999999"/>
  </r>
  <r>
    <x v="3"/>
    <x v="6"/>
    <x v="42"/>
    <x v="10"/>
    <x v="1"/>
    <x v="0"/>
    <n v="131.6"/>
  </r>
  <r>
    <x v="3"/>
    <x v="6"/>
    <x v="42"/>
    <x v="10"/>
    <x v="1"/>
    <x v="1"/>
    <n v="127.2"/>
  </r>
  <r>
    <x v="3"/>
    <x v="6"/>
    <x v="42"/>
    <x v="10"/>
    <x v="1"/>
    <x v="2"/>
    <n v="121.1"/>
  </r>
  <r>
    <x v="3"/>
    <x v="6"/>
    <x v="42"/>
    <x v="9"/>
    <x v="0"/>
    <x v="0"/>
    <n v="137.4"/>
  </r>
  <r>
    <x v="3"/>
    <x v="6"/>
    <x v="42"/>
    <x v="9"/>
    <x v="0"/>
    <x v="1"/>
    <n v="136.5"/>
  </r>
  <r>
    <x v="3"/>
    <x v="6"/>
    <x v="42"/>
    <x v="9"/>
    <x v="0"/>
    <x v="2"/>
    <n v="135.5"/>
  </r>
  <r>
    <x v="3"/>
    <x v="6"/>
    <x v="42"/>
    <x v="13"/>
    <x v="3"/>
    <x v="0"/>
    <n v="128"/>
  </r>
  <r>
    <x v="3"/>
    <x v="6"/>
    <x v="42"/>
    <x v="13"/>
    <x v="3"/>
    <x v="1"/>
    <n v="123.3"/>
  </r>
  <r>
    <x v="3"/>
    <x v="6"/>
    <x v="42"/>
    <x v="13"/>
    <x v="3"/>
    <x v="2"/>
    <n v="115.5"/>
  </r>
  <r>
    <x v="3"/>
    <x v="6"/>
    <x v="42"/>
    <x v="15"/>
    <x v="4"/>
    <x v="0"/>
    <n v="131.9"/>
  </r>
  <r>
    <x v="3"/>
    <x v="6"/>
    <x v="42"/>
    <x v="15"/>
    <x v="4"/>
    <x v="1"/>
    <n v="130.1"/>
  </r>
  <r>
    <x v="3"/>
    <x v="6"/>
    <x v="42"/>
    <x v="15"/>
    <x v="4"/>
    <x v="2"/>
    <n v="128.1"/>
  </r>
  <r>
    <x v="3"/>
    <x v="6"/>
    <x v="42"/>
    <x v="17"/>
    <x v="5"/>
    <x v="0"/>
    <n v="126.2"/>
  </r>
  <r>
    <x v="3"/>
    <x v="6"/>
    <x v="42"/>
    <x v="17"/>
    <x v="5"/>
    <x v="1"/>
    <n v="124.1"/>
  </r>
  <r>
    <x v="3"/>
    <x v="6"/>
    <x v="42"/>
    <x v="17"/>
    <x v="5"/>
    <x v="2"/>
    <n v="120.6"/>
  </r>
  <r>
    <x v="3"/>
    <x v="6"/>
    <x v="42"/>
    <x v="19"/>
    <x v="6"/>
    <x v="0"/>
    <n v="129.30000000000001"/>
  </r>
  <r>
    <x v="3"/>
    <x v="6"/>
    <x v="42"/>
    <x v="19"/>
    <x v="6"/>
    <x v="1"/>
    <n v="126.4"/>
  </r>
  <r>
    <x v="3"/>
    <x v="6"/>
    <x v="42"/>
    <x v="19"/>
    <x v="6"/>
    <x v="2"/>
    <n v="123.2"/>
  </r>
  <r>
    <x v="3"/>
    <x v="6"/>
    <x v="42"/>
    <x v="21"/>
    <x v="6"/>
    <x v="0"/>
    <n v="0"/>
  </r>
  <r>
    <x v="3"/>
    <x v="6"/>
    <x v="42"/>
    <x v="21"/>
    <x v="6"/>
    <x v="1"/>
    <n v="125.5"/>
  </r>
  <r>
    <x v="3"/>
    <x v="6"/>
    <x v="42"/>
    <x v="21"/>
    <x v="6"/>
    <x v="2"/>
    <n v="125.5"/>
  </r>
  <r>
    <x v="3"/>
    <x v="6"/>
    <x v="42"/>
    <x v="2"/>
    <x v="0"/>
    <x v="0"/>
    <n v="138.6"/>
  </r>
  <r>
    <x v="3"/>
    <x v="6"/>
    <x v="42"/>
    <x v="2"/>
    <x v="0"/>
    <x v="1"/>
    <n v="140.5"/>
  </r>
  <r>
    <x v="3"/>
    <x v="6"/>
    <x v="42"/>
    <x v="2"/>
    <x v="0"/>
    <x v="2"/>
    <n v="143.9"/>
  </r>
  <r>
    <x v="3"/>
    <x v="6"/>
    <x v="42"/>
    <x v="6"/>
    <x v="0"/>
    <x v="0"/>
    <n v="133.6"/>
  </r>
  <r>
    <x v="3"/>
    <x v="6"/>
    <x v="42"/>
    <x v="6"/>
    <x v="0"/>
    <x v="1"/>
    <n v="132.6"/>
  </r>
  <r>
    <x v="3"/>
    <x v="6"/>
    <x v="42"/>
    <x v="6"/>
    <x v="0"/>
    <x v="2"/>
    <n v="131"/>
  </r>
  <r>
    <x v="3"/>
    <x v="6"/>
    <x v="42"/>
    <x v="23"/>
    <x v="7"/>
    <x v="0"/>
    <n v="123.3"/>
  </r>
  <r>
    <x v="3"/>
    <x v="6"/>
    <x v="42"/>
    <x v="23"/>
    <x v="7"/>
    <x v="1"/>
    <n v="121.5"/>
  </r>
  <r>
    <x v="3"/>
    <x v="6"/>
    <x v="42"/>
    <x v="23"/>
    <x v="7"/>
    <x v="2"/>
    <n v="119.6"/>
  </r>
  <r>
    <x v="3"/>
    <x v="6"/>
    <x v="42"/>
    <x v="18"/>
    <x v="0"/>
    <x v="0"/>
    <n v="126.4"/>
  </r>
  <r>
    <x v="3"/>
    <x v="6"/>
    <x v="42"/>
    <x v="18"/>
    <x v="0"/>
    <x v="1"/>
    <n v="124.4"/>
  </r>
  <r>
    <x v="3"/>
    <x v="6"/>
    <x v="42"/>
    <x v="18"/>
    <x v="0"/>
    <x v="2"/>
    <n v="121.6"/>
  </r>
  <r>
    <x v="3"/>
    <x v="6"/>
    <x v="42"/>
    <x v="7"/>
    <x v="0"/>
    <x v="0"/>
    <n v="118.6"/>
  </r>
  <r>
    <x v="3"/>
    <x v="6"/>
    <x v="42"/>
    <x v="7"/>
    <x v="0"/>
    <x v="1"/>
    <n v="115.5"/>
  </r>
  <r>
    <x v="3"/>
    <x v="6"/>
    <x v="42"/>
    <x v="7"/>
    <x v="0"/>
    <x v="2"/>
    <n v="110.2"/>
  </r>
  <r>
    <x v="3"/>
    <x v="6"/>
    <x v="42"/>
    <x v="22"/>
    <x v="7"/>
    <x v="0"/>
    <n v="137.19999999999999"/>
  </r>
  <r>
    <x v="3"/>
    <x v="6"/>
    <x v="42"/>
    <x v="22"/>
    <x v="7"/>
    <x v="1"/>
    <n v="138.69999999999999"/>
  </r>
  <r>
    <x v="3"/>
    <x v="6"/>
    <x v="42"/>
    <x v="22"/>
    <x v="7"/>
    <x v="2"/>
    <n v="142.69999999999999"/>
  </r>
  <r>
    <x v="3"/>
    <x v="6"/>
    <x v="42"/>
    <x v="24"/>
    <x v="7"/>
    <x v="0"/>
    <n v="119.9"/>
  </r>
  <r>
    <x v="3"/>
    <x v="6"/>
    <x v="42"/>
    <x v="24"/>
    <x v="7"/>
    <x v="1"/>
    <n v="119.4"/>
  </r>
  <r>
    <x v="3"/>
    <x v="6"/>
    <x v="42"/>
    <x v="24"/>
    <x v="7"/>
    <x v="2"/>
    <n v="118.8"/>
  </r>
  <r>
    <x v="3"/>
    <x v="6"/>
    <x v="42"/>
    <x v="20"/>
    <x v="0"/>
    <x v="0"/>
    <n v="139.19999999999999"/>
  </r>
  <r>
    <x v="3"/>
    <x v="6"/>
    <x v="42"/>
    <x v="20"/>
    <x v="0"/>
    <x v="1"/>
    <n v="138.1"/>
  </r>
  <r>
    <x v="3"/>
    <x v="6"/>
    <x v="42"/>
    <x v="20"/>
    <x v="0"/>
    <x v="2"/>
    <n v="136.9"/>
  </r>
  <r>
    <x v="3"/>
    <x v="6"/>
    <x v="42"/>
    <x v="12"/>
    <x v="0"/>
    <x v="0"/>
    <n v="169.2"/>
  </r>
  <r>
    <x v="3"/>
    <x v="6"/>
    <x v="42"/>
    <x v="12"/>
    <x v="0"/>
    <x v="1"/>
    <n v="174.3"/>
  </r>
  <r>
    <x v="3"/>
    <x v="6"/>
    <x v="42"/>
    <x v="12"/>
    <x v="0"/>
    <x v="2"/>
    <n v="184.4"/>
  </r>
  <r>
    <x v="3"/>
    <x v="6"/>
    <x v="42"/>
    <x v="26"/>
    <x v="9"/>
    <x v="0"/>
    <n v="124.1"/>
  </r>
  <r>
    <x v="3"/>
    <x v="6"/>
    <x v="42"/>
    <x v="26"/>
    <x v="9"/>
    <x v="1"/>
    <n v="121.7"/>
  </r>
  <r>
    <x v="3"/>
    <x v="6"/>
    <x v="42"/>
    <x v="26"/>
    <x v="9"/>
    <x v="2"/>
    <n v="119.9"/>
  </r>
  <r>
    <x v="3"/>
    <x v="6"/>
    <x v="42"/>
    <x v="16"/>
    <x v="0"/>
    <x v="0"/>
    <n v="133.1"/>
  </r>
  <r>
    <x v="3"/>
    <x v="6"/>
    <x v="42"/>
    <x v="16"/>
    <x v="0"/>
    <x v="1"/>
    <n v="136.30000000000001"/>
  </r>
  <r>
    <x v="3"/>
    <x v="6"/>
    <x v="42"/>
    <x v="16"/>
    <x v="0"/>
    <x v="2"/>
    <n v="142.80000000000001"/>
  </r>
  <r>
    <x v="3"/>
    <x v="6"/>
    <x v="42"/>
    <x v="14"/>
    <x v="0"/>
    <x v="0"/>
    <n v="108.8"/>
  </r>
  <r>
    <x v="3"/>
    <x v="6"/>
    <x v="42"/>
    <x v="14"/>
    <x v="0"/>
    <x v="1"/>
    <n v="109.9"/>
  </r>
  <r>
    <x v="3"/>
    <x v="6"/>
    <x v="42"/>
    <x v="14"/>
    <x v="0"/>
    <x v="2"/>
    <n v="112"/>
  </r>
  <r>
    <x v="3"/>
    <x v="6"/>
    <x v="42"/>
    <x v="25"/>
    <x v="8"/>
    <x v="0"/>
    <n v="116.3"/>
  </r>
  <r>
    <x v="3"/>
    <x v="6"/>
    <x v="42"/>
    <x v="25"/>
    <x v="8"/>
    <x v="1"/>
    <n v="114.2"/>
  </r>
  <r>
    <x v="3"/>
    <x v="6"/>
    <x v="42"/>
    <x v="25"/>
    <x v="8"/>
    <x v="2"/>
    <n v="112.3"/>
  </r>
  <r>
    <x v="3"/>
    <x v="6"/>
    <x v="42"/>
    <x v="11"/>
    <x v="0"/>
    <x v="0"/>
    <n v="152.5"/>
  </r>
  <r>
    <x v="3"/>
    <x v="6"/>
    <x v="42"/>
    <x v="11"/>
    <x v="0"/>
    <x v="1"/>
    <n v="159.69999999999999"/>
  </r>
  <r>
    <x v="3"/>
    <x v="6"/>
    <x v="42"/>
    <x v="11"/>
    <x v="0"/>
    <x v="2"/>
    <n v="173.7"/>
  </r>
  <r>
    <x v="3"/>
    <x v="7"/>
    <x v="43"/>
    <x v="0"/>
    <x v="0"/>
    <x v="0"/>
    <n v="127.3"/>
  </r>
  <r>
    <x v="3"/>
    <x v="7"/>
    <x v="43"/>
    <x v="0"/>
    <x v="0"/>
    <x v="1"/>
    <n v="126.5"/>
  </r>
  <r>
    <x v="3"/>
    <x v="7"/>
    <x v="43"/>
    <x v="0"/>
    <x v="0"/>
    <x v="2"/>
    <n v="124.8"/>
  </r>
  <r>
    <x v="3"/>
    <x v="7"/>
    <x v="43"/>
    <x v="1"/>
    <x v="1"/>
    <x v="0"/>
    <n v="134.4"/>
  </r>
  <r>
    <x v="3"/>
    <x v="7"/>
    <x v="43"/>
    <x v="1"/>
    <x v="1"/>
    <x v="1"/>
    <n v="131.30000000000001"/>
  </r>
  <r>
    <x v="3"/>
    <x v="7"/>
    <x v="43"/>
    <x v="1"/>
    <x v="1"/>
    <x v="2"/>
    <n v="126.4"/>
  </r>
  <r>
    <x v="3"/>
    <x v="7"/>
    <x v="43"/>
    <x v="3"/>
    <x v="1"/>
    <x v="0"/>
    <n v="133.80000000000001"/>
  </r>
  <r>
    <x v="3"/>
    <x v="7"/>
    <x v="43"/>
    <x v="3"/>
    <x v="1"/>
    <x v="1"/>
    <n v="130.5"/>
  </r>
  <r>
    <x v="3"/>
    <x v="7"/>
    <x v="43"/>
    <x v="3"/>
    <x v="1"/>
    <x v="2"/>
    <n v="125.5"/>
  </r>
  <r>
    <x v="3"/>
    <x v="7"/>
    <x v="43"/>
    <x v="5"/>
    <x v="2"/>
    <x v="0"/>
    <n v="127.5"/>
  </r>
  <r>
    <x v="3"/>
    <x v="7"/>
    <x v="43"/>
    <x v="5"/>
    <x v="2"/>
    <x v="1"/>
    <n v="126.9"/>
  </r>
  <r>
    <x v="3"/>
    <x v="7"/>
    <x v="43"/>
    <x v="5"/>
    <x v="2"/>
    <x v="2"/>
    <n v="126.4"/>
  </r>
  <r>
    <x v="3"/>
    <x v="7"/>
    <x v="43"/>
    <x v="4"/>
    <x v="0"/>
    <x v="0"/>
    <n v="125.1"/>
  </r>
  <r>
    <x v="3"/>
    <x v="7"/>
    <x v="43"/>
    <x v="4"/>
    <x v="0"/>
    <x v="1"/>
    <n v="124.6"/>
  </r>
  <r>
    <x v="3"/>
    <x v="7"/>
    <x v="43"/>
    <x v="4"/>
    <x v="0"/>
    <x v="2"/>
    <n v="123.7"/>
  </r>
  <r>
    <x v="3"/>
    <x v="7"/>
    <x v="43"/>
    <x v="8"/>
    <x v="0"/>
    <x v="0"/>
    <n v="130.4"/>
  </r>
  <r>
    <x v="3"/>
    <x v="7"/>
    <x v="43"/>
    <x v="8"/>
    <x v="0"/>
    <x v="1"/>
    <n v="129.80000000000001"/>
  </r>
  <r>
    <x v="3"/>
    <x v="7"/>
    <x v="43"/>
    <x v="8"/>
    <x v="0"/>
    <x v="2"/>
    <n v="128.9"/>
  </r>
  <r>
    <x v="3"/>
    <x v="7"/>
    <x v="43"/>
    <x v="10"/>
    <x v="1"/>
    <x v="0"/>
    <n v="130.19999999999999"/>
  </r>
  <r>
    <x v="3"/>
    <x v="7"/>
    <x v="43"/>
    <x v="10"/>
    <x v="1"/>
    <x v="1"/>
    <n v="126.1"/>
  </r>
  <r>
    <x v="3"/>
    <x v="7"/>
    <x v="43"/>
    <x v="10"/>
    <x v="1"/>
    <x v="2"/>
    <n v="120.3"/>
  </r>
  <r>
    <x v="3"/>
    <x v="7"/>
    <x v="43"/>
    <x v="9"/>
    <x v="0"/>
    <x v="0"/>
    <n v="131.69999999999999"/>
  </r>
  <r>
    <x v="3"/>
    <x v="7"/>
    <x v="43"/>
    <x v="9"/>
    <x v="0"/>
    <x v="1"/>
    <n v="126.2"/>
  </r>
  <r>
    <x v="3"/>
    <x v="7"/>
    <x v="43"/>
    <x v="9"/>
    <x v="0"/>
    <x v="2"/>
    <n v="119.9"/>
  </r>
  <r>
    <x v="3"/>
    <x v="7"/>
    <x v="43"/>
    <x v="13"/>
    <x v="3"/>
    <x v="0"/>
    <n v="127"/>
  </r>
  <r>
    <x v="3"/>
    <x v="7"/>
    <x v="43"/>
    <x v="13"/>
    <x v="3"/>
    <x v="1"/>
    <n v="122.4"/>
  </r>
  <r>
    <x v="3"/>
    <x v="7"/>
    <x v="43"/>
    <x v="13"/>
    <x v="3"/>
    <x v="2"/>
    <n v="114.8"/>
  </r>
  <r>
    <x v="3"/>
    <x v="7"/>
    <x v="43"/>
    <x v="15"/>
    <x v="4"/>
    <x v="0"/>
    <n v="128"/>
  </r>
  <r>
    <x v="3"/>
    <x v="7"/>
    <x v="43"/>
    <x v="15"/>
    <x v="4"/>
    <x v="1"/>
    <n v="126"/>
  </r>
  <r>
    <x v="3"/>
    <x v="7"/>
    <x v="43"/>
    <x v="15"/>
    <x v="4"/>
    <x v="2"/>
    <n v="123.8"/>
  </r>
  <r>
    <x v="3"/>
    <x v="7"/>
    <x v="43"/>
    <x v="17"/>
    <x v="5"/>
    <x v="0"/>
    <n v="124.8"/>
  </r>
  <r>
    <x v="3"/>
    <x v="7"/>
    <x v="43"/>
    <x v="17"/>
    <x v="5"/>
    <x v="1"/>
    <n v="122.9"/>
  </r>
  <r>
    <x v="3"/>
    <x v="7"/>
    <x v="43"/>
    <x v="17"/>
    <x v="5"/>
    <x v="2"/>
    <n v="119.7"/>
  </r>
  <r>
    <x v="3"/>
    <x v="7"/>
    <x v="43"/>
    <x v="19"/>
    <x v="6"/>
    <x v="0"/>
    <n v="127.7"/>
  </r>
  <r>
    <x v="3"/>
    <x v="7"/>
    <x v="43"/>
    <x v="19"/>
    <x v="6"/>
    <x v="1"/>
    <n v="125.1"/>
  </r>
  <r>
    <x v="3"/>
    <x v="7"/>
    <x v="43"/>
    <x v="19"/>
    <x v="6"/>
    <x v="2"/>
    <n v="122.3"/>
  </r>
  <r>
    <x v="3"/>
    <x v="7"/>
    <x v="43"/>
    <x v="21"/>
    <x v="6"/>
    <x v="0"/>
    <n v="0"/>
  </r>
  <r>
    <x v="3"/>
    <x v="7"/>
    <x v="43"/>
    <x v="21"/>
    <x v="6"/>
    <x v="1"/>
    <n v="124.9"/>
  </r>
  <r>
    <x v="3"/>
    <x v="7"/>
    <x v="43"/>
    <x v="21"/>
    <x v="6"/>
    <x v="2"/>
    <n v="124.9"/>
  </r>
  <r>
    <x v="3"/>
    <x v="7"/>
    <x v="43"/>
    <x v="2"/>
    <x v="0"/>
    <x v="0"/>
    <n v="134.4"/>
  </r>
  <r>
    <x v="3"/>
    <x v="7"/>
    <x v="43"/>
    <x v="2"/>
    <x v="0"/>
    <x v="1"/>
    <n v="135.1"/>
  </r>
  <r>
    <x v="3"/>
    <x v="7"/>
    <x v="43"/>
    <x v="2"/>
    <x v="0"/>
    <x v="2"/>
    <n v="136.30000000000001"/>
  </r>
  <r>
    <x v="3"/>
    <x v="7"/>
    <x v="43"/>
    <x v="6"/>
    <x v="0"/>
    <x v="0"/>
    <n v="130.5"/>
  </r>
  <r>
    <x v="3"/>
    <x v="7"/>
    <x v="43"/>
    <x v="6"/>
    <x v="0"/>
    <x v="1"/>
    <n v="130.19999999999999"/>
  </r>
  <r>
    <x v="3"/>
    <x v="7"/>
    <x v="43"/>
    <x v="6"/>
    <x v="0"/>
    <x v="2"/>
    <n v="129.69999999999999"/>
  </r>
  <r>
    <x v="3"/>
    <x v="7"/>
    <x v="43"/>
    <x v="23"/>
    <x v="7"/>
    <x v="0"/>
    <n v="121.1"/>
  </r>
  <r>
    <x v="3"/>
    <x v="7"/>
    <x v="43"/>
    <x v="23"/>
    <x v="7"/>
    <x v="1"/>
    <n v="119.3"/>
  </r>
  <r>
    <x v="3"/>
    <x v="7"/>
    <x v="43"/>
    <x v="23"/>
    <x v="7"/>
    <x v="2"/>
    <n v="117.3"/>
  </r>
  <r>
    <x v="3"/>
    <x v="7"/>
    <x v="43"/>
    <x v="18"/>
    <x v="0"/>
    <x v="0"/>
    <n v="124.9"/>
  </r>
  <r>
    <x v="3"/>
    <x v="7"/>
    <x v="43"/>
    <x v="18"/>
    <x v="0"/>
    <x v="1"/>
    <n v="123.1"/>
  </r>
  <r>
    <x v="3"/>
    <x v="7"/>
    <x v="43"/>
    <x v="18"/>
    <x v="0"/>
    <x v="2"/>
    <n v="120.7"/>
  </r>
  <r>
    <x v="3"/>
    <x v="7"/>
    <x v="43"/>
    <x v="7"/>
    <x v="0"/>
    <x v="0"/>
    <n v="118.3"/>
  </r>
  <r>
    <x v="3"/>
    <x v="7"/>
    <x v="43"/>
    <x v="7"/>
    <x v="0"/>
    <x v="1"/>
    <n v="114.5"/>
  </r>
  <r>
    <x v="3"/>
    <x v="7"/>
    <x v="43"/>
    <x v="7"/>
    <x v="0"/>
    <x v="2"/>
    <n v="107.9"/>
  </r>
  <r>
    <x v="3"/>
    <x v="7"/>
    <x v="43"/>
    <x v="22"/>
    <x v="7"/>
    <x v="0"/>
    <n v="135"/>
  </r>
  <r>
    <x v="3"/>
    <x v="7"/>
    <x v="43"/>
    <x v="22"/>
    <x v="7"/>
    <x v="1"/>
    <n v="136.5"/>
  </r>
  <r>
    <x v="3"/>
    <x v="7"/>
    <x v="43"/>
    <x v="22"/>
    <x v="7"/>
    <x v="2"/>
    <n v="140.6"/>
  </r>
  <r>
    <x v="3"/>
    <x v="7"/>
    <x v="43"/>
    <x v="24"/>
    <x v="7"/>
    <x v="0"/>
    <n v="117.4"/>
  </r>
  <r>
    <x v="3"/>
    <x v="7"/>
    <x v="43"/>
    <x v="24"/>
    <x v="7"/>
    <x v="1"/>
    <n v="117.3"/>
  </r>
  <r>
    <x v="3"/>
    <x v="7"/>
    <x v="43"/>
    <x v="24"/>
    <x v="7"/>
    <x v="2"/>
    <n v="117.1"/>
  </r>
  <r>
    <x v="3"/>
    <x v="7"/>
    <x v="43"/>
    <x v="20"/>
    <x v="0"/>
    <x v="0"/>
    <n v="137"/>
  </r>
  <r>
    <x v="3"/>
    <x v="7"/>
    <x v="43"/>
    <x v="20"/>
    <x v="0"/>
    <x v="1"/>
    <n v="136.30000000000001"/>
  </r>
  <r>
    <x v="3"/>
    <x v="7"/>
    <x v="43"/>
    <x v="20"/>
    <x v="0"/>
    <x v="2"/>
    <n v="135.4"/>
  </r>
  <r>
    <x v="3"/>
    <x v="7"/>
    <x v="43"/>
    <x v="12"/>
    <x v="0"/>
    <x v="0"/>
    <n v="161.19999999999999"/>
  </r>
  <r>
    <x v="3"/>
    <x v="7"/>
    <x v="43"/>
    <x v="12"/>
    <x v="0"/>
    <x v="1"/>
    <n v="164.3"/>
  </r>
  <r>
    <x v="3"/>
    <x v="7"/>
    <x v="43"/>
    <x v="12"/>
    <x v="0"/>
    <x v="2"/>
    <n v="170.3"/>
  </r>
  <r>
    <x v="3"/>
    <x v="7"/>
    <x v="43"/>
    <x v="26"/>
    <x v="9"/>
    <x v="0"/>
    <n v="122.5"/>
  </r>
  <r>
    <x v="3"/>
    <x v="7"/>
    <x v="43"/>
    <x v="26"/>
    <x v="9"/>
    <x v="1"/>
    <n v="120.6"/>
  </r>
  <r>
    <x v="3"/>
    <x v="7"/>
    <x v="43"/>
    <x v="26"/>
    <x v="9"/>
    <x v="2"/>
    <n v="119.1"/>
  </r>
  <r>
    <x v="3"/>
    <x v="7"/>
    <x v="43"/>
    <x v="16"/>
    <x v="0"/>
    <x v="0"/>
    <n v="130.80000000000001"/>
  </r>
  <r>
    <x v="3"/>
    <x v="7"/>
    <x v="43"/>
    <x v="16"/>
    <x v="0"/>
    <x v="1"/>
    <n v="133.9"/>
  </r>
  <r>
    <x v="3"/>
    <x v="7"/>
    <x v="43"/>
    <x v="16"/>
    <x v="0"/>
    <x v="2"/>
    <n v="140.1"/>
  </r>
  <r>
    <x v="3"/>
    <x v="7"/>
    <x v="43"/>
    <x v="14"/>
    <x v="0"/>
    <x v="0"/>
    <n v="100.4"/>
  </r>
  <r>
    <x v="3"/>
    <x v="7"/>
    <x v="43"/>
    <x v="14"/>
    <x v="0"/>
    <x v="1"/>
    <n v="100.9"/>
  </r>
  <r>
    <x v="3"/>
    <x v="7"/>
    <x v="43"/>
    <x v="14"/>
    <x v="0"/>
    <x v="2"/>
    <n v="101.8"/>
  </r>
  <r>
    <x v="3"/>
    <x v="7"/>
    <x v="43"/>
    <x v="25"/>
    <x v="8"/>
    <x v="0"/>
    <n v="113.6"/>
  </r>
  <r>
    <x v="3"/>
    <x v="7"/>
    <x v="43"/>
    <x v="25"/>
    <x v="8"/>
    <x v="1"/>
    <n v="110.9"/>
  </r>
  <r>
    <x v="3"/>
    <x v="7"/>
    <x v="43"/>
    <x v="25"/>
    <x v="8"/>
    <x v="2"/>
    <n v="108.5"/>
  </r>
  <r>
    <x v="3"/>
    <x v="7"/>
    <x v="43"/>
    <x v="11"/>
    <x v="0"/>
    <x v="0"/>
    <n v="130.69999999999999"/>
  </r>
  <r>
    <x v="3"/>
    <x v="7"/>
    <x v="43"/>
    <x v="11"/>
    <x v="0"/>
    <x v="1"/>
    <n v="129.80000000000001"/>
  </r>
  <r>
    <x v="3"/>
    <x v="7"/>
    <x v="43"/>
    <x v="11"/>
    <x v="0"/>
    <x v="2"/>
    <n v="128.1"/>
  </r>
  <r>
    <x v="3"/>
    <x v="8"/>
    <x v="44"/>
    <x v="0"/>
    <x v="0"/>
    <x v="0"/>
    <n v="127.6"/>
  </r>
  <r>
    <x v="3"/>
    <x v="8"/>
    <x v="44"/>
    <x v="0"/>
    <x v="0"/>
    <x v="1"/>
    <n v="126.8"/>
  </r>
  <r>
    <x v="3"/>
    <x v="8"/>
    <x v="44"/>
    <x v="0"/>
    <x v="0"/>
    <x v="2"/>
    <n v="125"/>
  </r>
  <r>
    <x v="3"/>
    <x v="8"/>
    <x v="44"/>
    <x v="1"/>
    <x v="1"/>
    <x v="0"/>
    <n v="135.4"/>
  </r>
  <r>
    <x v="3"/>
    <x v="8"/>
    <x v="44"/>
    <x v="1"/>
    <x v="1"/>
    <x v="1"/>
    <n v="132.19999999999999"/>
  </r>
  <r>
    <x v="3"/>
    <x v="8"/>
    <x v="44"/>
    <x v="1"/>
    <x v="1"/>
    <x v="2"/>
    <n v="127.2"/>
  </r>
  <r>
    <x v="3"/>
    <x v="8"/>
    <x v="44"/>
    <x v="3"/>
    <x v="1"/>
    <x v="0"/>
    <n v="134.80000000000001"/>
  </r>
  <r>
    <x v="3"/>
    <x v="8"/>
    <x v="44"/>
    <x v="3"/>
    <x v="1"/>
    <x v="1"/>
    <n v="131.4"/>
  </r>
  <r>
    <x v="3"/>
    <x v="8"/>
    <x v="44"/>
    <x v="3"/>
    <x v="1"/>
    <x v="2"/>
    <n v="126.2"/>
  </r>
  <r>
    <x v="3"/>
    <x v="8"/>
    <x v="44"/>
    <x v="5"/>
    <x v="2"/>
    <x v="0"/>
    <n v="129.1"/>
  </r>
  <r>
    <x v="3"/>
    <x v="8"/>
    <x v="44"/>
    <x v="5"/>
    <x v="2"/>
    <x v="1"/>
    <n v="128.5"/>
  </r>
  <r>
    <x v="3"/>
    <x v="8"/>
    <x v="44"/>
    <x v="5"/>
    <x v="2"/>
    <x v="2"/>
    <n v="128"/>
  </r>
  <r>
    <x v="3"/>
    <x v="8"/>
    <x v="44"/>
    <x v="4"/>
    <x v="0"/>
    <x v="0"/>
    <n v="124.4"/>
  </r>
  <r>
    <x v="3"/>
    <x v="8"/>
    <x v="44"/>
    <x v="4"/>
    <x v="0"/>
    <x v="1"/>
    <n v="125.4"/>
  </r>
  <r>
    <x v="3"/>
    <x v="8"/>
    <x v="44"/>
    <x v="4"/>
    <x v="0"/>
    <x v="2"/>
    <n v="127"/>
  </r>
  <r>
    <x v="3"/>
    <x v="8"/>
    <x v="44"/>
    <x v="8"/>
    <x v="0"/>
    <x v="0"/>
    <n v="133.6"/>
  </r>
  <r>
    <x v="3"/>
    <x v="8"/>
    <x v="44"/>
    <x v="8"/>
    <x v="0"/>
    <x v="1"/>
    <n v="134"/>
  </r>
  <r>
    <x v="3"/>
    <x v="8"/>
    <x v="44"/>
    <x v="8"/>
    <x v="0"/>
    <x v="2"/>
    <n v="134.6"/>
  </r>
  <r>
    <x v="3"/>
    <x v="8"/>
    <x v="44"/>
    <x v="10"/>
    <x v="1"/>
    <x v="0"/>
    <n v="131.1"/>
  </r>
  <r>
    <x v="3"/>
    <x v="8"/>
    <x v="44"/>
    <x v="10"/>
    <x v="1"/>
    <x v="1"/>
    <n v="126.8"/>
  </r>
  <r>
    <x v="3"/>
    <x v="8"/>
    <x v="44"/>
    <x v="10"/>
    <x v="1"/>
    <x v="2"/>
    <n v="120.7"/>
  </r>
  <r>
    <x v="3"/>
    <x v="8"/>
    <x v="44"/>
    <x v="9"/>
    <x v="0"/>
    <x v="0"/>
    <n v="138.1"/>
  </r>
  <r>
    <x v="3"/>
    <x v="8"/>
    <x v="44"/>
    <x v="9"/>
    <x v="0"/>
    <x v="1"/>
    <n v="136"/>
  </r>
  <r>
    <x v="3"/>
    <x v="8"/>
    <x v="44"/>
    <x v="9"/>
    <x v="0"/>
    <x v="2"/>
    <n v="133.5"/>
  </r>
  <r>
    <x v="3"/>
    <x v="8"/>
    <x v="44"/>
    <x v="13"/>
    <x v="3"/>
    <x v="0"/>
    <n v="127.4"/>
  </r>
  <r>
    <x v="3"/>
    <x v="8"/>
    <x v="44"/>
    <x v="13"/>
    <x v="3"/>
    <x v="1"/>
    <n v="122.7"/>
  </r>
  <r>
    <x v="3"/>
    <x v="8"/>
    <x v="44"/>
    <x v="13"/>
    <x v="3"/>
    <x v="2"/>
    <n v="115"/>
  </r>
  <r>
    <x v="3"/>
    <x v="8"/>
    <x v="44"/>
    <x v="15"/>
    <x v="4"/>
    <x v="0"/>
    <n v="130.30000000000001"/>
  </r>
  <r>
    <x v="3"/>
    <x v="8"/>
    <x v="44"/>
    <x v="15"/>
    <x v="4"/>
    <x v="1"/>
    <n v="128.6"/>
  </r>
  <r>
    <x v="3"/>
    <x v="8"/>
    <x v="44"/>
    <x v="15"/>
    <x v="4"/>
    <x v="2"/>
    <n v="126.6"/>
  </r>
  <r>
    <x v="3"/>
    <x v="8"/>
    <x v="44"/>
    <x v="17"/>
    <x v="5"/>
    <x v="0"/>
    <n v="125.8"/>
  </r>
  <r>
    <x v="3"/>
    <x v="8"/>
    <x v="44"/>
    <x v="17"/>
    <x v="5"/>
    <x v="1"/>
    <n v="123.7"/>
  </r>
  <r>
    <x v="3"/>
    <x v="8"/>
    <x v="44"/>
    <x v="17"/>
    <x v="5"/>
    <x v="2"/>
    <n v="120.3"/>
  </r>
  <r>
    <x v="3"/>
    <x v="8"/>
    <x v="44"/>
    <x v="19"/>
    <x v="6"/>
    <x v="0"/>
    <n v="128.5"/>
  </r>
  <r>
    <x v="3"/>
    <x v="8"/>
    <x v="44"/>
    <x v="19"/>
    <x v="6"/>
    <x v="1"/>
    <n v="126"/>
  </r>
  <r>
    <x v="3"/>
    <x v="8"/>
    <x v="44"/>
    <x v="19"/>
    <x v="6"/>
    <x v="2"/>
    <n v="123.2"/>
  </r>
  <r>
    <x v="3"/>
    <x v="8"/>
    <x v="44"/>
    <x v="21"/>
    <x v="6"/>
    <x v="0"/>
    <n v="0"/>
  </r>
  <r>
    <x v="3"/>
    <x v="8"/>
    <x v="44"/>
    <x v="21"/>
    <x v="6"/>
    <x v="1"/>
    <n v="126"/>
  </r>
  <r>
    <x v="3"/>
    <x v="8"/>
    <x v="44"/>
    <x v="21"/>
    <x v="6"/>
    <x v="2"/>
    <n v="126"/>
  </r>
  <r>
    <x v="3"/>
    <x v="8"/>
    <x v="44"/>
    <x v="2"/>
    <x v="0"/>
    <x v="0"/>
    <n v="137.5"/>
  </r>
  <r>
    <x v="3"/>
    <x v="8"/>
    <x v="44"/>
    <x v="2"/>
    <x v="0"/>
    <x v="1"/>
    <n v="139.1"/>
  </r>
  <r>
    <x v="3"/>
    <x v="8"/>
    <x v="44"/>
    <x v="2"/>
    <x v="0"/>
    <x v="2"/>
    <n v="142.1"/>
  </r>
  <r>
    <x v="3"/>
    <x v="8"/>
    <x v="44"/>
    <x v="6"/>
    <x v="0"/>
    <x v="0"/>
    <n v="132.4"/>
  </r>
  <r>
    <x v="3"/>
    <x v="8"/>
    <x v="44"/>
    <x v="6"/>
    <x v="0"/>
    <x v="1"/>
    <n v="131.69999999999999"/>
  </r>
  <r>
    <x v="3"/>
    <x v="8"/>
    <x v="44"/>
    <x v="6"/>
    <x v="0"/>
    <x v="2"/>
    <n v="130.4"/>
  </r>
  <r>
    <x v="3"/>
    <x v="8"/>
    <x v="44"/>
    <x v="23"/>
    <x v="7"/>
    <x v="0"/>
    <n v="122.5"/>
  </r>
  <r>
    <x v="3"/>
    <x v="8"/>
    <x v="44"/>
    <x v="23"/>
    <x v="7"/>
    <x v="1"/>
    <n v="120.7"/>
  </r>
  <r>
    <x v="3"/>
    <x v="8"/>
    <x v="44"/>
    <x v="23"/>
    <x v="7"/>
    <x v="2"/>
    <n v="118.7"/>
  </r>
  <r>
    <x v="3"/>
    <x v="8"/>
    <x v="44"/>
    <x v="18"/>
    <x v="0"/>
    <x v="0"/>
    <n v="126.1"/>
  </r>
  <r>
    <x v="3"/>
    <x v="8"/>
    <x v="44"/>
    <x v="18"/>
    <x v="0"/>
    <x v="1"/>
    <n v="124.2"/>
  </r>
  <r>
    <x v="3"/>
    <x v="8"/>
    <x v="44"/>
    <x v="18"/>
    <x v="0"/>
    <x v="2"/>
    <n v="121.5"/>
  </r>
  <r>
    <x v="3"/>
    <x v="8"/>
    <x v="44"/>
    <x v="7"/>
    <x v="0"/>
    <x v="0"/>
    <n v="118.2"/>
  </r>
  <r>
    <x v="3"/>
    <x v="8"/>
    <x v="44"/>
    <x v="7"/>
    <x v="0"/>
    <x v="1"/>
    <n v="115"/>
  </r>
  <r>
    <x v="3"/>
    <x v="8"/>
    <x v="44"/>
    <x v="7"/>
    <x v="0"/>
    <x v="2"/>
    <n v="109.6"/>
  </r>
  <r>
    <x v="3"/>
    <x v="8"/>
    <x v="44"/>
    <x v="22"/>
    <x v="7"/>
    <x v="0"/>
    <n v="136"/>
  </r>
  <r>
    <x v="3"/>
    <x v="8"/>
    <x v="44"/>
    <x v="22"/>
    <x v="7"/>
    <x v="1"/>
    <n v="137.69999999999999"/>
  </r>
  <r>
    <x v="3"/>
    <x v="8"/>
    <x v="44"/>
    <x v="22"/>
    <x v="7"/>
    <x v="2"/>
    <n v="142.19999999999999"/>
  </r>
  <r>
    <x v="3"/>
    <x v="8"/>
    <x v="44"/>
    <x v="24"/>
    <x v="7"/>
    <x v="0"/>
    <n v="119.7"/>
  </r>
  <r>
    <x v="3"/>
    <x v="8"/>
    <x v="44"/>
    <x v="24"/>
    <x v="7"/>
    <x v="1"/>
    <n v="119.2"/>
  </r>
  <r>
    <x v="3"/>
    <x v="8"/>
    <x v="44"/>
    <x v="24"/>
    <x v="7"/>
    <x v="2"/>
    <n v="118.5"/>
  </r>
  <r>
    <x v="3"/>
    <x v="8"/>
    <x v="44"/>
    <x v="20"/>
    <x v="0"/>
    <x v="0"/>
    <n v="138.30000000000001"/>
  </r>
  <r>
    <x v="3"/>
    <x v="8"/>
    <x v="44"/>
    <x v="20"/>
    <x v="0"/>
    <x v="1"/>
    <n v="137.4"/>
  </r>
  <r>
    <x v="3"/>
    <x v="8"/>
    <x v="44"/>
    <x v="20"/>
    <x v="0"/>
    <x v="2"/>
    <n v="136.30000000000001"/>
  </r>
  <r>
    <x v="3"/>
    <x v="8"/>
    <x v="44"/>
    <x v="12"/>
    <x v="0"/>
    <x v="0"/>
    <n v="166"/>
  </r>
  <r>
    <x v="3"/>
    <x v="8"/>
    <x v="44"/>
    <x v="12"/>
    <x v="0"/>
    <x v="1"/>
    <n v="171.7"/>
  </r>
  <r>
    <x v="3"/>
    <x v="8"/>
    <x v="44"/>
    <x v="12"/>
    <x v="0"/>
    <x v="2"/>
    <n v="182.8"/>
  </r>
  <r>
    <x v="3"/>
    <x v="8"/>
    <x v="44"/>
    <x v="26"/>
    <x v="9"/>
    <x v="0"/>
    <n v="123.6"/>
  </r>
  <r>
    <x v="3"/>
    <x v="8"/>
    <x v="44"/>
    <x v="26"/>
    <x v="9"/>
    <x v="1"/>
    <n v="121.5"/>
  </r>
  <r>
    <x v="3"/>
    <x v="8"/>
    <x v="44"/>
    <x v="26"/>
    <x v="9"/>
    <x v="2"/>
    <n v="119.8"/>
  </r>
  <r>
    <x v="3"/>
    <x v="8"/>
    <x v="44"/>
    <x v="16"/>
    <x v="0"/>
    <x v="0"/>
    <n v="132.19999999999999"/>
  </r>
  <r>
    <x v="3"/>
    <x v="8"/>
    <x v="44"/>
    <x v="16"/>
    <x v="0"/>
    <x v="1"/>
    <n v="135.30000000000001"/>
  </r>
  <r>
    <x v="3"/>
    <x v="8"/>
    <x v="44"/>
    <x v="16"/>
    <x v="0"/>
    <x v="2"/>
    <n v="141.5"/>
  </r>
  <r>
    <x v="3"/>
    <x v="8"/>
    <x v="44"/>
    <x v="14"/>
    <x v="0"/>
    <x v="0"/>
    <n v="107.5"/>
  </r>
  <r>
    <x v="3"/>
    <x v="8"/>
    <x v="44"/>
    <x v="14"/>
    <x v="0"/>
    <x v="1"/>
    <n v="108.7"/>
  </r>
  <r>
    <x v="3"/>
    <x v="8"/>
    <x v="44"/>
    <x v="14"/>
    <x v="0"/>
    <x v="2"/>
    <n v="111.1"/>
  </r>
  <r>
    <x v="3"/>
    <x v="8"/>
    <x v="44"/>
    <x v="25"/>
    <x v="8"/>
    <x v="0"/>
    <n v="115.1"/>
  </r>
  <r>
    <x v="3"/>
    <x v="8"/>
    <x v="44"/>
    <x v="25"/>
    <x v="8"/>
    <x v="1"/>
    <n v="112.8"/>
  </r>
  <r>
    <x v="3"/>
    <x v="8"/>
    <x v="44"/>
    <x v="25"/>
    <x v="8"/>
    <x v="2"/>
    <n v="110.7"/>
  </r>
  <r>
    <x v="3"/>
    <x v="8"/>
    <x v="44"/>
    <x v="11"/>
    <x v="0"/>
    <x v="0"/>
    <n v="141.80000000000001"/>
  </r>
  <r>
    <x v="3"/>
    <x v="8"/>
    <x v="44"/>
    <x v="11"/>
    <x v="0"/>
    <x v="1"/>
    <n v="145.1"/>
  </r>
  <r>
    <x v="3"/>
    <x v="8"/>
    <x v="44"/>
    <x v="11"/>
    <x v="0"/>
    <x v="2"/>
    <n v="151.4"/>
  </r>
  <r>
    <x v="3"/>
    <x v="9"/>
    <x v="45"/>
    <x v="0"/>
    <x v="0"/>
    <x v="0"/>
    <n v="132"/>
  </r>
  <r>
    <x v="3"/>
    <x v="9"/>
    <x v="45"/>
    <x v="0"/>
    <x v="0"/>
    <x v="1"/>
    <n v="131.4"/>
  </r>
  <r>
    <x v="3"/>
    <x v="9"/>
    <x v="45"/>
    <x v="0"/>
    <x v="0"/>
    <x v="2"/>
    <n v="130.19999999999999"/>
  </r>
  <r>
    <x v="3"/>
    <x v="9"/>
    <x v="45"/>
    <x v="1"/>
    <x v="1"/>
    <x v="0"/>
    <n v="139.9"/>
  </r>
  <r>
    <x v="3"/>
    <x v="9"/>
    <x v="45"/>
    <x v="1"/>
    <x v="1"/>
    <x v="1"/>
    <n v="135.80000000000001"/>
  </r>
  <r>
    <x v="3"/>
    <x v="9"/>
    <x v="45"/>
    <x v="1"/>
    <x v="1"/>
    <x v="2"/>
    <n v="129.6"/>
  </r>
  <r>
    <x v="3"/>
    <x v="9"/>
    <x v="45"/>
    <x v="3"/>
    <x v="1"/>
    <x v="0"/>
    <n v="139.19999999999999"/>
  </r>
  <r>
    <x v="3"/>
    <x v="9"/>
    <x v="45"/>
    <x v="3"/>
    <x v="1"/>
    <x v="1"/>
    <n v="135"/>
  </r>
  <r>
    <x v="3"/>
    <x v="9"/>
    <x v="45"/>
    <x v="3"/>
    <x v="1"/>
    <x v="2"/>
    <n v="128.5"/>
  </r>
  <r>
    <x v="3"/>
    <x v="9"/>
    <x v="45"/>
    <x v="5"/>
    <x v="2"/>
    <x v="0"/>
    <n v="133.69999999999999"/>
  </r>
  <r>
    <x v="3"/>
    <x v="9"/>
    <x v="45"/>
    <x v="5"/>
    <x v="2"/>
    <x v="1"/>
    <n v="132.80000000000001"/>
  </r>
  <r>
    <x v="3"/>
    <x v="9"/>
    <x v="45"/>
    <x v="5"/>
    <x v="2"/>
    <x v="2"/>
    <n v="132.1"/>
  </r>
  <r>
    <x v="3"/>
    <x v="9"/>
    <x v="45"/>
    <x v="4"/>
    <x v="0"/>
    <x v="0"/>
    <n v="130.6"/>
  </r>
  <r>
    <x v="3"/>
    <x v="9"/>
    <x v="45"/>
    <x v="4"/>
    <x v="0"/>
    <x v="1"/>
    <n v="132"/>
  </r>
  <r>
    <x v="3"/>
    <x v="9"/>
    <x v="45"/>
    <x v="4"/>
    <x v="0"/>
    <x v="2"/>
    <n v="134.1"/>
  </r>
  <r>
    <x v="3"/>
    <x v="9"/>
    <x v="45"/>
    <x v="8"/>
    <x v="0"/>
    <x v="0"/>
    <n v="136.6"/>
  </r>
  <r>
    <x v="3"/>
    <x v="9"/>
    <x v="45"/>
    <x v="8"/>
    <x v="0"/>
    <x v="1"/>
    <n v="136.1"/>
  </r>
  <r>
    <x v="3"/>
    <x v="9"/>
    <x v="45"/>
    <x v="8"/>
    <x v="0"/>
    <x v="2"/>
    <n v="135.19999999999999"/>
  </r>
  <r>
    <x v="3"/>
    <x v="9"/>
    <x v="45"/>
    <x v="10"/>
    <x v="1"/>
    <x v="0"/>
    <n v="134.5"/>
  </r>
  <r>
    <x v="3"/>
    <x v="9"/>
    <x v="45"/>
    <x v="10"/>
    <x v="1"/>
    <x v="1"/>
    <n v="129.30000000000001"/>
  </r>
  <r>
    <x v="3"/>
    <x v="9"/>
    <x v="45"/>
    <x v="10"/>
    <x v="1"/>
    <x v="2"/>
    <n v="122.1"/>
  </r>
  <r>
    <x v="3"/>
    <x v="9"/>
    <x v="45"/>
    <x v="9"/>
    <x v="0"/>
    <x v="0"/>
    <n v="136.9"/>
  </r>
  <r>
    <x v="3"/>
    <x v="9"/>
    <x v="45"/>
    <x v="9"/>
    <x v="0"/>
    <x v="1"/>
    <n v="134.1"/>
  </r>
  <r>
    <x v="3"/>
    <x v="9"/>
    <x v="45"/>
    <x v="9"/>
    <x v="0"/>
    <x v="2"/>
    <n v="130.80000000000001"/>
  </r>
  <r>
    <x v="3"/>
    <x v="9"/>
    <x v="45"/>
    <x v="13"/>
    <x v="3"/>
    <x v="0"/>
    <n v="130.30000000000001"/>
  </r>
  <r>
    <x v="3"/>
    <x v="9"/>
    <x v="45"/>
    <x v="13"/>
    <x v="3"/>
    <x v="1"/>
    <n v="125"/>
  </r>
  <r>
    <x v="3"/>
    <x v="9"/>
    <x v="45"/>
    <x v="13"/>
    <x v="3"/>
    <x v="2"/>
    <n v="116.2"/>
  </r>
  <r>
    <x v="3"/>
    <x v="9"/>
    <x v="45"/>
    <x v="15"/>
    <x v="4"/>
    <x v="0"/>
    <n v="133.6"/>
  </r>
  <r>
    <x v="3"/>
    <x v="9"/>
    <x v="45"/>
    <x v="15"/>
    <x v="4"/>
    <x v="1"/>
    <n v="131.19999999999999"/>
  </r>
  <r>
    <x v="3"/>
    <x v="9"/>
    <x v="45"/>
    <x v="15"/>
    <x v="4"/>
    <x v="2"/>
    <n v="128.5"/>
  </r>
  <r>
    <x v="3"/>
    <x v="9"/>
    <x v="45"/>
    <x v="17"/>
    <x v="5"/>
    <x v="0"/>
    <n v="129.1"/>
  </r>
  <r>
    <x v="3"/>
    <x v="9"/>
    <x v="45"/>
    <x v="17"/>
    <x v="5"/>
    <x v="1"/>
    <n v="126.4"/>
  </r>
  <r>
    <x v="3"/>
    <x v="9"/>
    <x v="45"/>
    <x v="17"/>
    <x v="5"/>
    <x v="2"/>
    <n v="122.1"/>
  </r>
  <r>
    <x v="3"/>
    <x v="9"/>
    <x v="45"/>
    <x v="19"/>
    <x v="6"/>
    <x v="0"/>
    <n v="132.1"/>
  </r>
  <r>
    <x v="3"/>
    <x v="9"/>
    <x v="45"/>
    <x v="19"/>
    <x v="6"/>
    <x v="1"/>
    <n v="128.6"/>
  </r>
  <r>
    <x v="3"/>
    <x v="9"/>
    <x v="45"/>
    <x v="19"/>
    <x v="6"/>
    <x v="2"/>
    <n v="124.7"/>
  </r>
  <r>
    <x v="3"/>
    <x v="9"/>
    <x v="45"/>
    <x v="21"/>
    <x v="6"/>
    <x v="0"/>
    <n v="0"/>
  </r>
  <r>
    <x v="3"/>
    <x v="9"/>
    <x v="45"/>
    <x v="21"/>
    <x v="6"/>
    <x v="1"/>
    <n v="129.1"/>
  </r>
  <r>
    <x v="3"/>
    <x v="9"/>
    <x v="45"/>
    <x v="21"/>
    <x v="6"/>
    <x v="2"/>
    <n v="129.1"/>
  </r>
  <r>
    <x v="3"/>
    <x v="9"/>
    <x v="45"/>
    <x v="2"/>
    <x v="0"/>
    <x v="0"/>
    <n v="137.4"/>
  </r>
  <r>
    <x v="3"/>
    <x v="9"/>
    <x v="45"/>
    <x v="2"/>
    <x v="0"/>
    <x v="1"/>
    <n v="137.80000000000001"/>
  </r>
  <r>
    <x v="3"/>
    <x v="9"/>
    <x v="45"/>
    <x v="2"/>
    <x v="0"/>
    <x v="2"/>
    <n v="138.5"/>
  </r>
  <r>
    <x v="3"/>
    <x v="9"/>
    <x v="45"/>
    <x v="6"/>
    <x v="0"/>
    <x v="0"/>
    <n v="136.19999999999999"/>
  </r>
  <r>
    <x v="3"/>
    <x v="9"/>
    <x v="45"/>
    <x v="6"/>
    <x v="0"/>
    <x v="1"/>
    <n v="135"/>
  </r>
  <r>
    <x v="3"/>
    <x v="9"/>
    <x v="45"/>
    <x v="6"/>
    <x v="0"/>
    <x v="2"/>
    <n v="132.9"/>
  </r>
  <r>
    <x v="3"/>
    <x v="9"/>
    <x v="45"/>
    <x v="23"/>
    <x v="7"/>
    <x v="0"/>
    <n v="126.1"/>
  </r>
  <r>
    <x v="3"/>
    <x v="9"/>
    <x v="45"/>
    <x v="23"/>
    <x v="7"/>
    <x v="1"/>
    <n v="123.8"/>
  </r>
  <r>
    <x v="3"/>
    <x v="9"/>
    <x v="45"/>
    <x v="23"/>
    <x v="7"/>
    <x v="2"/>
    <n v="121.3"/>
  </r>
  <r>
    <x v="3"/>
    <x v="9"/>
    <x v="45"/>
    <x v="18"/>
    <x v="0"/>
    <x v="0"/>
    <n v="128.69999999999999"/>
  </r>
  <r>
    <x v="3"/>
    <x v="9"/>
    <x v="45"/>
    <x v="18"/>
    <x v="0"/>
    <x v="1"/>
    <n v="126.2"/>
  </r>
  <r>
    <x v="3"/>
    <x v="9"/>
    <x v="45"/>
    <x v="18"/>
    <x v="0"/>
    <x v="2"/>
    <n v="122.7"/>
  </r>
  <r>
    <x v="3"/>
    <x v="9"/>
    <x v="45"/>
    <x v="7"/>
    <x v="0"/>
    <x v="0"/>
    <n v="121.1"/>
  </r>
  <r>
    <x v="3"/>
    <x v="9"/>
    <x v="45"/>
    <x v="7"/>
    <x v="0"/>
    <x v="1"/>
    <n v="118"/>
  </r>
  <r>
    <x v="3"/>
    <x v="9"/>
    <x v="45"/>
    <x v="7"/>
    <x v="0"/>
    <x v="2"/>
    <n v="112.6"/>
  </r>
  <r>
    <x v="3"/>
    <x v="9"/>
    <x v="45"/>
    <x v="22"/>
    <x v="7"/>
    <x v="0"/>
    <n v="141.19999999999999"/>
  </r>
  <r>
    <x v="3"/>
    <x v="9"/>
    <x v="45"/>
    <x v="22"/>
    <x v="7"/>
    <x v="1"/>
    <n v="142"/>
  </r>
  <r>
    <x v="3"/>
    <x v="9"/>
    <x v="45"/>
    <x v="22"/>
    <x v="7"/>
    <x v="2"/>
    <n v="144.30000000000001"/>
  </r>
  <r>
    <x v="3"/>
    <x v="9"/>
    <x v="45"/>
    <x v="24"/>
    <x v="7"/>
    <x v="0"/>
    <n v="123.5"/>
  </r>
  <r>
    <x v="3"/>
    <x v="9"/>
    <x v="45"/>
    <x v="24"/>
    <x v="7"/>
    <x v="1"/>
    <n v="122.6"/>
  </r>
  <r>
    <x v="3"/>
    <x v="9"/>
    <x v="45"/>
    <x v="24"/>
    <x v="7"/>
    <x v="2"/>
    <n v="121.3"/>
  </r>
  <r>
    <x v="3"/>
    <x v="9"/>
    <x v="45"/>
    <x v="20"/>
    <x v="0"/>
    <x v="0"/>
    <n v="143.1"/>
  </r>
  <r>
    <x v="3"/>
    <x v="9"/>
    <x v="45"/>
    <x v="20"/>
    <x v="0"/>
    <x v="1"/>
    <n v="141.80000000000001"/>
  </r>
  <r>
    <x v="3"/>
    <x v="9"/>
    <x v="45"/>
    <x v="20"/>
    <x v="0"/>
    <x v="2"/>
    <n v="140.30000000000001"/>
  </r>
  <r>
    <x v="3"/>
    <x v="9"/>
    <x v="45"/>
    <x v="12"/>
    <x v="0"/>
    <x v="0"/>
    <n v="170"/>
  </r>
  <r>
    <x v="3"/>
    <x v="9"/>
    <x v="45"/>
    <x v="12"/>
    <x v="0"/>
    <x v="1"/>
    <n v="171.7"/>
  </r>
  <r>
    <x v="3"/>
    <x v="9"/>
    <x v="45"/>
    <x v="12"/>
    <x v="0"/>
    <x v="2"/>
    <n v="174.9"/>
  </r>
  <r>
    <x v="3"/>
    <x v="9"/>
    <x v="45"/>
    <x v="26"/>
    <x v="9"/>
    <x v="0"/>
    <n v="126.9"/>
  </r>
  <r>
    <x v="3"/>
    <x v="9"/>
    <x v="45"/>
    <x v="26"/>
    <x v="9"/>
    <x v="1"/>
    <n v="124"/>
  </r>
  <r>
    <x v="3"/>
    <x v="9"/>
    <x v="45"/>
    <x v="26"/>
    <x v="9"/>
    <x v="2"/>
    <n v="121.7"/>
  </r>
  <r>
    <x v="3"/>
    <x v="9"/>
    <x v="45"/>
    <x v="16"/>
    <x v="0"/>
    <x v="0"/>
    <n v="136.80000000000001"/>
  </r>
  <r>
    <x v="3"/>
    <x v="9"/>
    <x v="45"/>
    <x v="16"/>
    <x v="0"/>
    <x v="1"/>
    <n v="139.69999999999999"/>
  </r>
  <r>
    <x v="3"/>
    <x v="9"/>
    <x v="45"/>
    <x v="16"/>
    <x v="0"/>
    <x v="2"/>
    <n v="145.4"/>
  </r>
  <r>
    <x v="3"/>
    <x v="9"/>
    <x v="45"/>
    <x v="14"/>
    <x v="0"/>
    <x v="0"/>
    <n v="113.4"/>
  </r>
  <r>
    <x v="3"/>
    <x v="9"/>
    <x v="45"/>
    <x v="14"/>
    <x v="0"/>
    <x v="1"/>
    <n v="114.1"/>
  </r>
  <r>
    <x v="3"/>
    <x v="9"/>
    <x v="45"/>
    <x v="14"/>
    <x v="0"/>
    <x v="2"/>
    <n v="115.6"/>
  </r>
  <r>
    <x v="3"/>
    <x v="9"/>
    <x v="45"/>
    <x v="25"/>
    <x v="8"/>
    <x v="0"/>
    <n v="118.2"/>
  </r>
  <r>
    <x v="3"/>
    <x v="9"/>
    <x v="45"/>
    <x v="25"/>
    <x v="8"/>
    <x v="1"/>
    <n v="115.7"/>
  </r>
  <r>
    <x v="3"/>
    <x v="9"/>
    <x v="45"/>
    <x v="25"/>
    <x v="8"/>
    <x v="2"/>
    <n v="113.4"/>
  </r>
  <r>
    <x v="3"/>
    <x v="9"/>
    <x v="45"/>
    <x v="11"/>
    <x v="0"/>
    <x v="0"/>
    <n v="141.80000000000001"/>
  </r>
  <r>
    <x v="3"/>
    <x v="9"/>
    <x v="45"/>
    <x v="11"/>
    <x v="0"/>
    <x v="1"/>
    <n v="141.9"/>
  </r>
  <r>
    <x v="3"/>
    <x v="9"/>
    <x v="45"/>
    <x v="11"/>
    <x v="0"/>
    <x v="2"/>
    <n v="142"/>
  </r>
  <r>
    <x v="3"/>
    <x v="10"/>
    <x v="46"/>
    <x v="0"/>
    <x v="0"/>
    <x v="0"/>
    <n v="131.30000000000001"/>
  </r>
  <r>
    <x v="3"/>
    <x v="10"/>
    <x v="46"/>
    <x v="0"/>
    <x v="0"/>
    <x v="1"/>
    <n v="130.5"/>
  </r>
  <r>
    <x v="3"/>
    <x v="10"/>
    <x v="46"/>
    <x v="0"/>
    <x v="0"/>
    <x v="2"/>
    <n v="128.69999999999999"/>
  </r>
  <r>
    <x v="3"/>
    <x v="10"/>
    <x v="46"/>
    <x v="1"/>
    <x v="1"/>
    <x v="0"/>
    <n v="139.6"/>
  </r>
  <r>
    <x v="3"/>
    <x v="10"/>
    <x v="46"/>
    <x v="1"/>
    <x v="1"/>
    <x v="1"/>
    <n v="135.5"/>
  </r>
  <r>
    <x v="3"/>
    <x v="10"/>
    <x v="46"/>
    <x v="1"/>
    <x v="1"/>
    <x v="2"/>
    <n v="129.1"/>
  </r>
  <r>
    <x v="3"/>
    <x v="10"/>
    <x v="46"/>
    <x v="3"/>
    <x v="1"/>
    <x v="0"/>
    <n v="138.80000000000001"/>
  </r>
  <r>
    <x v="3"/>
    <x v="10"/>
    <x v="46"/>
    <x v="3"/>
    <x v="1"/>
    <x v="1"/>
    <n v="134.5"/>
  </r>
  <r>
    <x v="3"/>
    <x v="10"/>
    <x v="46"/>
    <x v="3"/>
    <x v="1"/>
    <x v="2"/>
    <n v="128"/>
  </r>
  <r>
    <x v="3"/>
    <x v="10"/>
    <x v="46"/>
    <x v="5"/>
    <x v="2"/>
    <x v="0"/>
    <n v="133"/>
  </r>
  <r>
    <x v="3"/>
    <x v="10"/>
    <x v="46"/>
    <x v="5"/>
    <x v="2"/>
    <x v="1"/>
    <n v="132.4"/>
  </r>
  <r>
    <x v="3"/>
    <x v="10"/>
    <x v="46"/>
    <x v="5"/>
    <x v="2"/>
    <x v="2"/>
    <n v="131.9"/>
  </r>
  <r>
    <x v="3"/>
    <x v="10"/>
    <x v="46"/>
    <x v="4"/>
    <x v="0"/>
    <x v="0"/>
    <n v="130.1"/>
  </r>
  <r>
    <x v="3"/>
    <x v="10"/>
    <x v="46"/>
    <x v="4"/>
    <x v="0"/>
    <x v="1"/>
    <n v="130.19999999999999"/>
  </r>
  <r>
    <x v="3"/>
    <x v="10"/>
    <x v="46"/>
    <x v="4"/>
    <x v="0"/>
    <x v="2"/>
    <n v="130.30000000000001"/>
  </r>
  <r>
    <x v="3"/>
    <x v="10"/>
    <x v="46"/>
    <x v="8"/>
    <x v="0"/>
    <x v="0"/>
    <n v="137.4"/>
  </r>
  <r>
    <x v="3"/>
    <x v="10"/>
    <x v="46"/>
    <x v="8"/>
    <x v="0"/>
    <x v="1"/>
    <n v="137"/>
  </r>
  <r>
    <x v="3"/>
    <x v="10"/>
    <x v="46"/>
    <x v="8"/>
    <x v="0"/>
    <x v="2"/>
    <n v="136.30000000000001"/>
  </r>
  <r>
    <x v="3"/>
    <x v="10"/>
    <x v="46"/>
    <x v="10"/>
    <x v="1"/>
    <x v="0"/>
    <n v="134.30000000000001"/>
  </r>
  <r>
    <x v="3"/>
    <x v="10"/>
    <x v="46"/>
    <x v="10"/>
    <x v="1"/>
    <x v="1"/>
    <n v="129.1"/>
  </r>
  <r>
    <x v="3"/>
    <x v="10"/>
    <x v="46"/>
    <x v="10"/>
    <x v="1"/>
    <x v="2"/>
    <n v="121.9"/>
  </r>
  <r>
    <x v="3"/>
    <x v="10"/>
    <x v="46"/>
    <x v="9"/>
    <x v="0"/>
    <x v="0"/>
    <n v="138.4"/>
  </r>
  <r>
    <x v="3"/>
    <x v="10"/>
    <x v="46"/>
    <x v="9"/>
    <x v="0"/>
    <x v="1"/>
    <n v="134.69999999999999"/>
  </r>
  <r>
    <x v="3"/>
    <x v="10"/>
    <x v="46"/>
    <x v="9"/>
    <x v="0"/>
    <x v="2"/>
    <n v="130.4"/>
  </r>
  <r>
    <x v="3"/>
    <x v="10"/>
    <x v="46"/>
    <x v="13"/>
    <x v="3"/>
    <x v="0"/>
    <n v="129.80000000000001"/>
  </r>
  <r>
    <x v="3"/>
    <x v="10"/>
    <x v="46"/>
    <x v="13"/>
    <x v="3"/>
    <x v="1"/>
    <n v="124.3"/>
  </r>
  <r>
    <x v="3"/>
    <x v="10"/>
    <x v="46"/>
    <x v="13"/>
    <x v="3"/>
    <x v="2"/>
    <n v="115.2"/>
  </r>
  <r>
    <x v="3"/>
    <x v="10"/>
    <x v="46"/>
    <x v="15"/>
    <x v="4"/>
    <x v="0"/>
    <n v="133.80000000000001"/>
  </r>
  <r>
    <x v="3"/>
    <x v="10"/>
    <x v="46"/>
    <x v="15"/>
    <x v="4"/>
    <x v="1"/>
    <n v="131.4"/>
  </r>
  <r>
    <x v="3"/>
    <x v="10"/>
    <x v="46"/>
    <x v="15"/>
    <x v="4"/>
    <x v="2"/>
    <n v="128.6"/>
  </r>
  <r>
    <x v="3"/>
    <x v="10"/>
    <x v="46"/>
    <x v="17"/>
    <x v="5"/>
    <x v="0"/>
    <n v="128.69999999999999"/>
  </r>
  <r>
    <x v="3"/>
    <x v="10"/>
    <x v="46"/>
    <x v="17"/>
    <x v="5"/>
    <x v="1"/>
    <n v="126.1"/>
  </r>
  <r>
    <x v="3"/>
    <x v="10"/>
    <x v="46"/>
    <x v="17"/>
    <x v="5"/>
    <x v="2"/>
    <n v="121.8"/>
  </r>
  <r>
    <x v="3"/>
    <x v="10"/>
    <x v="46"/>
    <x v="19"/>
    <x v="6"/>
    <x v="0"/>
    <n v="131.80000000000001"/>
  </r>
  <r>
    <x v="3"/>
    <x v="10"/>
    <x v="46"/>
    <x v="19"/>
    <x v="6"/>
    <x v="1"/>
    <n v="128.4"/>
  </r>
  <r>
    <x v="3"/>
    <x v="10"/>
    <x v="46"/>
    <x v="19"/>
    <x v="6"/>
    <x v="2"/>
    <n v="124.5"/>
  </r>
  <r>
    <x v="3"/>
    <x v="10"/>
    <x v="46"/>
    <x v="21"/>
    <x v="6"/>
    <x v="0"/>
    <n v="0"/>
  </r>
  <r>
    <x v="3"/>
    <x v="10"/>
    <x v="46"/>
    <x v="21"/>
    <x v="6"/>
    <x v="1"/>
    <n v="128.69999999999999"/>
  </r>
  <r>
    <x v="3"/>
    <x v="10"/>
    <x v="46"/>
    <x v="21"/>
    <x v="6"/>
    <x v="2"/>
    <n v="128.69999999999999"/>
  </r>
  <r>
    <x v="3"/>
    <x v="10"/>
    <x v="46"/>
    <x v="2"/>
    <x v="0"/>
    <x v="0"/>
    <n v="137.6"/>
  </r>
  <r>
    <x v="3"/>
    <x v="10"/>
    <x v="46"/>
    <x v="2"/>
    <x v="0"/>
    <x v="1"/>
    <n v="137.9"/>
  </r>
  <r>
    <x v="3"/>
    <x v="10"/>
    <x v="46"/>
    <x v="2"/>
    <x v="0"/>
    <x v="2"/>
    <n v="138.4"/>
  </r>
  <r>
    <x v="3"/>
    <x v="10"/>
    <x v="46"/>
    <x v="6"/>
    <x v="0"/>
    <x v="0"/>
    <n v="136"/>
  </r>
  <r>
    <x v="3"/>
    <x v="10"/>
    <x v="46"/>
    <x v="6"/>
    <x v="0"/>
    <x v="1"/>
    <n v="134.80000000000001"/>
  </r>
  <r>
    <x v="3"/>
    <x v="10"/>
    <x v="46"/>
    <x v="6"/>
    <x v="0"/>
    <x v="2"/>
    <n v="132.69999999999999"/>
  </r>
  <r>
    <x v="3"/>
    <x v="10"/>
    <x v="46"/>
    <x v="23"/>
    <x v="7"/>
    <x v="0"/>
    <n v="125.7"/>
  </r>
  <r>
    <x v="3"/>
    <x v="10"/>
    <x v="46"/>
    <x v="23"/>
    <x v="7"/>
    <x v="1"/>
    <n v="123.4"/>
  </r>
  <r>
    <x v="3"/>
    <x v="10"/>
    <x v="46"/>
    <x v="23"/>
    <x v="7"/>
    <x v="2"/>
    <n v="120.9"/>
  </r>
  <r>
    <x v="3"/>
    <x v="10"/>
    <x v="46"/>
    <x v="18"/>
    <x v="0"/>
    <x v="0"/>
    <n v="128.69999999999999"/>
  </r>
  <r>
    <x v="3"/>
    <x v="10"/>
    <x v="46"/>
    <x v="18"/>
    <x v="0"/>
    <x v="1"/>
    <n v="126.1"/>
  </r>
  <r>
    <x v="3"/>
    <x v="10"/>
    <x v="46"/>
    <x v="18"/>
    <x v="0"/>
    <x v="2"/>
    <n v="122.5"/>
  </r>
  <r>
    <x v="3"/>
    <x v="10"/>
    <x v="46"/>
    <x v="7"/>
    <x v="0"/>
    <x v="0"/>
    <n v="120.8"/>
  </r>
  <r>
    <x v="3"/>
    <x v="10"/>
    <x v="46"/>
    <x v="7"/>
    <x v="0"/>
    <x v="1"/>
    <n v="117.8"/>
  </r>
  <r>
    <x v="3"/>
    <x v="10"/>
    <x v="46"/>
    <x v="7"/>
    <x v="0"/>
    <x v="2"/>
    <n v="112.5"/>
  </r>
  <r>
    <x v="3"/>
    <x v="10"/>
    <x v="46"/>
    <x v="22"/>
    <x v="7"/>
    <x v="0"/>
    <n v="140.9"/>
  </r>
  <r>
    <x v="3"/>
    <x v="10"/>
    <x v="46"/>
    <x v="22"/>
    <x v="7"/>
    <x v="1"/>
    <n v="141.80000000000001"/>
  </r>
  <r>
    <x v="3"/>
    <x v="10"/>
    <x v="46"/>
    <x v="22"/>
    <x v="7"/>
    <x v="2"/>
    <n v="144.30000000000001"/>
  </r>
  <r>
    <x v="3"/>
    <x v="10"/>
    <x v="46"/>
    <x v="24"/>
    <x v="7"/>
    <x v="0"/>
    <n v="123"/>
  </r>
  <r>
    <x v="3"/>
    <x v="10"/>
    <x v="46"/>
    <x v="24"/>
    <x v="7"/>
    <x v="1"/>
    <n v="122.1"/>
  </r>
  <r>
    <x v="3"/>
    <x v="10"/>
    <x v="46"/>
    <x v="24"/>
    <x v="7"/>
    <x v="2"/>
    <n v="120.8"/>
  </r>
  <r>
    <x v="3"/>
    <x v="10"/>
    <x v="46"/>
    <x v="20"/>
    <x v="0"/>
    <x v="0"/>
    <n v="142.4"/>
  </r>
  <r>
    <x v="3"/>
    <x v="10"/>
    <x v="46"/>
    <x v="20"/>
    <x v="0"/>
    <x v="1"/>
    <n v="141.1"/>
  </r>
  <r>
    <x v="3"/>
    <x v="10"/>
    <x v="46"/>
    <x v="20"/>
    <x v="0"/>
    <x v="2"/>
    <n v="139.6"/>
  </r>
  <r>
    <x v="3"/>
    <x v="10"/>
    <x v="46"/>
    <x v="12"/>
    <x v="0"/>
    <x v="0"/>
    <n v="170.2"/>
  </r>
  <r>
    <x v="3"/>
    <x v="10"/>
    <x v="46"/>
    <x v="12"/>
    <x v="0"/>
    <x v="1"/>
    <n v="172.1"/>
  </r>
  <r>
    <x v="3"/>
    <x v="10"/>
    <x v="46"/>
    <x v="12"/>
    <x v="0"/>
    <x v="2"/>
    <n v="175.7"/>
  </r>
  <r>
    <x v="3"/>
    <x v="10"/>
    <x v="46"/>
    <x v="26"/>
    <x v="9"/>
    <x v="0"/>
    <n v="126.5"/>
  </r>
  <r>
    <x v="3"/>
    <x v="10"/>
    <x v="46"/>
    <x v="26"/>
    <x v="9"/>
    <x v="1"/>
    <n v="123.5"/>
  </r>
  <r>
    <x v="3"/>
    <x v="10"/>
    <x v="46"/>
    <x v="26"/>
    <x v="9"/>
    <x v="2"/>
    <n v="121.2"/>
  </r>
  <r>
    <x v="3"/>
    <x v="10"/>
    <x v="46"/>
    <x v="16"/>
    <x v="0"/>
    <x v="0"/>
    <n v="136.30000000000001"/>
  </r>
  <r>
    <x v="3"/>
    <x v="10"/>
    <x v="46"/>
    <x v="16"/>
    <x v="0"/>
    <x v="1"/>
    <n v="139.30000000000001"/>
  </r>
  <r>
    <x v="3"/>
    <x v="10"/>
    <x v="46"/>
    <x v="16"/>
    <x v="0"/>
    <x v="2"/>
    <n v="145.30000000000001"/>
  </r>
  <r>
    <x v="3"/>
    <x v="10"/>
    <x v="46"/>
    <x v="14"/>
    <x v="0"/>
    <x v="0"/>
    <n v="113.4"/>
  </r>
  <r>
    <x v="3"/>
    <x v="10"/>
    <x v="46"/>
    <x v="14"/>
    <x v="0"/>
    <x v="1"/>
    <n v="114.1"/>
  </r>
  <r>
    <x v="3"/>
    <x v="10"/>
    <x v="46"/>
    <x v="14"/>
    <x v="0"/>
    <x v="2"/>
    <n v="115.4"/>
  </r>
  <r>
    <x v="3"/>
    <x v="10"/>
    <x v="46"/>
    <x v="25"/>
    <x v="8"/>
    <x v="0"/>
    <n v="117.8"/>
  </r>
  <r>
    <x v="3"/>
    <x v="10"/>
    <x v="46"/>
    <x v="25"/>
    <x v="8"/>
    <x v="1"/>
    <n v="115.2"/>
  </r>
  <r>
    <x v="3"/>
    <x v="10"/>
    <x v="46"/>
    <x v="25"/>
    <x v="8"/>
    <x v="2"/>
    <n v="112.8"/>
  </r>
  <r>
    <x v="3"/>
    <x v="10"/>
    <x v="46"/>
    <x v="11"/>
    <x v="0"/>
    <x v="0"/>
    <n v="149.19999999999999"/>
  </r>
  <r>
    <x v="3"/>
    <x v="10"/>
    <x v="46"/>
    <x v="11"/>
    <x v="0"/>
    <x v="1"/>
    <n v="151.19999999999999"/>
  </r>
  <r>
    <x v="3"/>
    <x v="10"/>
    <x v="46"/>
    <x v="11"/>
    <x v="0"/>
    <x v="2"/>
    <n v="155.1"/>
  </r>
  <r>
    <x v="3"/>
    <x v="11"/>
    <x v="47"/>
    <x v="0"/>
    <x v="0"/>
    <x v="0"/>
    <n v="130.80000000000001"/>
  </r>
  <r>
    <x v="3"/>
    <x v="11"/>
    <x v="47"/>
    <x v="0"/>
    <x v="0"/>
    <x v="1"/>
    <n v="129.9"/>
  </r>
  <r>
    <x v="3"/>
    <x v="11"/>
    <x v="47"/>
    <x v="0"/>
    <x v="0"/>
    <x v="2"/>
    <n v="128.1"/>
  </r>
  <r>
    <x v="3"/>
    <x v="11"/>
    <x v="47"/>
    <x v="1"/>
    <x v="1"/>
    <x v="0"/>
    <n v="138.5"/>
  </r>
  <r>
    <x v="3"/>
    <x v="11"/>
    <x v="47"/>
    <x v="1"/>
    <x v="1"/>
    <x v="1"/>
    <n v="134.6"/>
  </r>
  <r>
    <x v="3"/>
    <x v="11"/>
    <x v="47"/>
    <x v="1"/>
    <x v="1"/>
    <x v="2"/>
    <n v="128.69999999999999"/>
  </r>
  <r>
    <x v="3"/>
    <x v="11"/>
    <x v="47"/>
    <x v="3"/>
    <x v="1"/>
    <x v="0"/>
    <n v="137.80000000000001"/>
  </r>
  <r>
    <x v="3"/>
    <x v="11"/>
    <x v="47"/>
    <x v="3"/>
    <x v="1"/>
    <x v="1"/>
    <n v="133.80000000000001"/>
  </r>
  <r>
    <x v="3"/>
    <x v="11"/>
    <x v="47"/>
    <x v="3"/>
    <x v="1"/>
    <x v="2"/>
    <n v="127.7"/>
  </r>
  <r>
    <x v="3"/>
    <x v="11"/>
    <x v="47"/>
    <x v="5"/>
    <x v="2"/>
    <x v="0"/>
    <n v="132.19999999999999"/>
  </r>
  <r>
    <x v="3"/>
    <x v="11"/>
    <x v="47"/>
    <x v="5"/>
    <x v="2"/>
    <x v="1"/>
    <n v="131.80000000000001"/>
  </r>
  <r>
    <x v="3"/>
    <x v="11"/>
    <x v="47"/>
    <x v="5"/>
    <x v="2"/>
    <x v="2"/>
    <n v="131.6"/>
  </r>
  <r>
    <x v="3"/>
    <x v="11"/>
    <x v="47"/>
    <x v="4"/>
    <x v="0"/>
    <x v="0"/>
    <n v="130.5"/>
  </r>
  <r>
    <x v="3"/>
    <x v="11"/>
    <x v="47"/>
    <x v="4"/>
    <x v="0"/>
    <x v="1"/>
    <n v="130.5"/>
  </r>
  <r>
    <x v="3"/>
    <x v="11"/>
    <x v="47"/>
    <x v="4"/>
    <x v="0"/>
    <x v="2"/>
    <n v="130.6"/>
  </r>
  <r>
    <x v="3"/>
    <x v="11"/>
    <x v="47"/>
    <x v="8"/>
    <x v="0"/>
    <x v="0"/>
    <n v="137.19999999999999"/>
  </r>
  <r>
    <x v="3"/>
    <x v="11"/>
    <x v="47"/>
    <x v="8"/>
    <x v="0"/>
    <x v="1"/>
    <n v="136.6"/>
  </r>
  <r>
    <x v="3"/>
    <x v="11"/>
    <x v="47"/>
    <x v="8"/>
    <x v="0"/>
    <x v="2"/>
    <n v="135.69999999999999"/>
  </r>
  <r>
    <x v="3"/>
    <x v="11"/>
    <x v="47"/>
    <x v="10"/>
    <x v="1"/>
    <x v="0"/>
    <n v="133.5"/>
  </r>
  <r>
    <x v="3"/>
    <x v="11"/>
    <x v="47"/>
    <x v="10"/>
    <x v="1"/>
    <x v="1"/>
    <n v="128.6"/>
  </r>
  <r>
    <x v="3"/>
    <x v="11"/>
    <x v="47"/>
    <x v="10"/>
    <x v="1"/>
    <x v="2"/>
    <n v="121.6"/>
  </r>
  <r>
    <x v="3"/>
    <x v="11"/>
    <x v="47"/>
    <x v="9"/>
    <x v="0"/>
    <x v="0"/>
    <n v="139.19999999999999"/>
  </r>
  <r>
    <x v="3"/>
    <x v="11"/>
    <x v="47"/>
    <x v="9"/>
    <x v="0"/>
    <x v="1"/>
    <n v="136.1"/>
  </r>
  <r>
    <x v="3"/>
    <x v="11"/>
    <x v="47"/>
    <x v="9"/>
    <x v="0"/>
    <x v="2"/>
    <n v="132.5"/>
  </r>
  <r>
    <x v="3"/>
    <x v="11"/>
    <x v="47"/>
    <x v="13"/>
    <x v="3"/>
    <x v="0"/>
    <n v="129.69999999999999"/>
  </r>
  <r>
    <x v="3"/>
    <x v="11"/>
    <x v="47"/>
    <x v="13"/>
    <x v="3"/>
    <x v="1"/>
    <n v="124.1"/>
  </r>
  <r>
    <x v="3"/>
    <x v="11"/>
    <x v="47"/>
    <x v="13"/>
    <x v="3"/>
    <x v="2"/>
    <n v="114.8"/>
  </r>
  <r>
    <x v="3"/>
    <x v="11"/>
    <x v="47"/>
    <x v="15"/>
    <x v="4"/>
    <x v="0"/>
    <n v="133.4"/>
  </r>
  <r>
    <x v="3"/>
    <x v="11"/>
    <x v="47"/>
    <x v="15"/>
    <x v="4"/>
    <x v="1"/>
    <n v="130.9"/>
  </r>
  <r>
    <x v="3"/>
    <x v="11"/>
    <x v="47"/>
    <x v="15"/>
    <x v="4"/>
    <x v="2"/>
    <n v="128"/>
  </r>
  <r>
    <x v="3"/>
    <x v="11"/>
    <x v="47"/>
    <x v="17"/>
    <x v="5"/>
    <x v="0"/>
    <n v="127.8"/>
  </r>
  <r>
    <x v="3"/>
    <x v="11"/>
    <x v="47"/>
    <x v="17"/>
    <x v="5"/>
    <x v="1"/>
    <n v="125.4"/>
  </r>
  <r>
    <x v="3"/>
    <x v="11"/>
    <x v="47"/>
    <x v="17"/>
    <x v="5"/>
    <x v="2"/>
    <n v="121.4"/>
  </r>
  <r>
    <x v="3"/>
    <x v="11"/>
    <x v="47"/>
    <x v="19"/>
    <x v="6"/>
    <x v="0"/>
    <n v="131.1"/>
  </r>
  <r>
    <x v="3"/>
    <x v="11"/>
    <x v="47"/>
    <x v="19"/>
    <x v="6"/>
    <x v="1"/>
    <n v="127.9"/>
  </r>
  <r>
    <x v="3"/>
    <x v="11"/>
    <x v="47"/>
    <x v="19"/>
    <x v="6"/>
    <x v="2"/>
    <n v="124.3"/>
  </r>
  <r>
    <x v="3"/>
    <x v="11"/>
    <x v="47"/>
    <x v="21"/>
    <x v="6"/>
    <x v="0"/>
    <n v="0"/>
  </r>
  <r>
    <x v="3"/>
    <x v="11"/>
    <x v="47"/>
    <x v="21"/>
    <x v="6"/>
    <x v="1"/>
    <n v="127.9"/>
  </r>
  <r>
    <x v="3"/>
    <x v="11"/>
    <x v="47"/>
    <x v="21"/>
    <x v="6"/>
    <x v="2"/>
    <n v="127.9"/>
  </r>
  <r>
    <x v="3"/>
    <x v="11"/>
    <x v="47"/>
    <x v="2"/>
    <x v="0"/>
    <x v="0"/>
    <n v="138.19999999999999"/>
  </r>
  <r>
    <x v="3"/>
    <x v="11"/>
    <x v="47"/>
    <x v="2"/>
    <x v="0"/>
    <x v="1"/>
    <n v="138"/>
  </r>
  <r>
    <x v="3"/>
    <x v="11"/>
    <x v="47"/>
    <x v="2"/>
    <x v="0"/>
    <x v="2"/>
    <n v="137.69999999999999"/>
  </r>
  <r>
    <x v="3"/>
    <x v="11"/>
    <x v="47"/>
    <x v="6"/>
    <x v="0"/>
    <x v="0"/>
    <n v="135.5"/>
  </r>
  <r>
    <x v="3"/>
    <x v="11"/>
    <x v="47"/>
    <x v="6"/>
    <x v="0"/>
    <x v="1"/>
    <n v="134.4"/>
  </r>
  <r>
    <x v="3"/>
    <x v="11"/>
    <x v="47"/>
    <x v="6"/>
    <x v="0"/>
    <x v="2"/>
    <n v="132.6"/>
  </r>
  <r>
    <x v="3"/>
    <x v="11"/>
    <x v="47"/>
    <x v="23"/>
    <x v="7"/>
    <x v="0"/>
    <n v="124.9"/>
  </r>
  <r>
    <x v="3"/>
    <x v="11"/>
    <x v="47"/>
    <x v="23"/>
    <x v="7"/>
    <x v="1"/>
    <n v="122.8"/>
  </r>
  <r>
    <x v="3"/>
    <x v="11"/>
    <x v="47"/>
    <x v="23"/>
    <x v="7"/>
    <x v="2"/>
    <n v="120.5"/>
  </r>
  <r>
    <x v="3"/>
    <x v="11"/>
    <x v="47"/>
    <x v="18"/>
    <x v="0"/>
    <x v="0"/>
    <n v="128.80000000000001"/>
  </r>
  <r>
    <x v="3"/>
    <x v="11"/>
    <x v="47"/>
    <x v="18"/>
    <x v="0"/>
    <x v="1"/>
    <n v="126"/>
  </r>
  <r>
    <x v="3"/>
    <x v="11"/>
    <x v="47"/>
    <x v="18"/>
    <x v="0"/>
    <x v="2"/>
    <n v="122.1"/>
  </r>
  <r>
    <x v="3"/>
    <x v="11"/>
    <x v="47"/>
    <x v="7"/>
    <x v="0"/>
    <x v="0"/>
    <n v="120.2"/>
  </r>
  <r>
    <x v="3"/>
    <x v="11"/>
    <x v="47"/>
    <x v="7"/>
    <x v="0"/>
    <x v="1"/>
    <n v="117.2"/>
  </r>
  <r>
    <x v="3"/>
    <x v="11"/>
    <x v="47"/>
    <x v="7"/>
    <x v="0"/>
    <x v="2"/>
    <n v="111.9"/>
  </r>
  <r>
    <x v="3"/>
    <x v="11"/>
    <x v="47"/>
    <x v="22"/>
    <x v="7"/>
    <x v="0"/>
    <n v="139.9"/>
  </r>
  <r>
    <x v="3"/>
    <x v="11"/>
    <x v="47"/>
    <x v="22"/>
    <x v="7"/>
    <x v="1"/>
    <n v="141"/>
  </r>
  <r>
    <x v="3"/>
    <x v="11"/>
    <x v="47"/>
    <x v="22"/>
    <x v="7"/>
    <x v="2"/>
    <n v="143.9"/>
  </r>
  <r>
    <x v="3"/>
    <x v="11"/>
    <x v="47"/>
    <x v="24"/>
    <x v="7"/>
    <x v="0"/>
    <n v="122.8"/>
  </r>
  <r>
    <x v="3"/>
    <x v="11"/>
    <x v="47"/>
    <x v="24"/>
    <x v="7"/>
    <x v="1"/>
    <n v="122.1"/>
  </r>
  <r>
    <x v="3"/>
    <x v="11"/>
    <x v="47"/>
    <x v="24"/>
    <x v="7"/>
    <x v="2"/>
    <n v="121.2"/>
  </r>
  <r>
    <x v="3"/>
    <x v="11"/>
    <x v="47"/>
    <x v="20"/>
    <x v="0"/>
    <x v="0"/>
    <n v="141.5"/>
  </r>
  <r>
    <x v="3"/>
    <x v="11"/>
    <x v="47"/>
    <x v="20"/>
    <x v="0"/>
    <x v="1"/>
    <n v="140.19999999999999"/>
  </r>
  <r>
    <x v="3"/>
    <x v="11"/>
    <x v="47"/>
    <x v="20"/>
    <x v="0"/>
    <x v="2"/>
    <n v="138.80000000000001"/>
  </r>
  <r>
    <x v="3"/>
    <x v="11"/>
    <x v="47"/>
    <x v="12"/>
    <x v="0"/>
    <x v="0"/>
    <n v="170.4"/>
  </r>
  <r>
    <x v="3"/>
    <x v="11"/>
    <x v="47"/>
    <x v="12"/>
    <x v="0"/>
    <x v="1"/>
    <n v="171.5"/>
  </r>
  <r>
    <x v="3"/>
    <x v="11"/>
    <x v="47"/>
    <x v="12"/>
    <x v="0"/>
    <x v="2"/>
    <n v="173.6"/>
  </r>
  <r>
    <x v="3"/>
    <x v="11"/>
    <x v="47"/>
    <x v="26"/>
    <x v="9"/>
    <x v="0"/>
    <n v="125.7"/>
  </r>
  <r>
    <x v="3"/>
    <x v="11"/>
    <x v="47"/>
    <x v="26"/>
    <x v="9"/>
    <x v="1"/>
    <n v="122.9"/>
  </r>
  <r>
    <x v="3"/>
    <x v="11"/>
    <x v="47"/>
    <x v="26"/>
    <x v="9"/>
    <x v="2"/>
    <n v="120.8"/>
  </r>
  <r>
    <x v="3"/>
    <x v="11"/>
    <x v="47"/>
    <x v="16"/>
    <x v="0"/>
    <x v="0"/>
    <n v="135.80000000000001"/>
  </r>
  <r>
    <x v="3"/>
    <x v="11"/>
    <x v="47"/>
    <x v="16"/>
    <x v="0"/>
    <x v="1"/>
    <n v="138.80000000000001"/>
  </r>
  <r>
    <x v="3"/>
    <x v="11"/>
    <x v="47"/>
    <x v="16"/>
    <x v="0"/>
    <x v="2"/>
    <n v="144.80000000000001"/>
  </r>
  <r>
    <x v="3"/>
    <x v="11"/>
    <x v="47"/>
    <x v="14"/>
    <x v="0"/>
    <x v="0"/>
    <n v="113.1"/>
  </r>
  <r>
    <x v="3"/>
    <x v="11"/>
    <x v="47"/>
    <x v="14"/>
    <x v="0"/>
    <x v="1"/>
    <n v="113.8"/>
  </r>
  <r>
    <x v="3"/>
    <x v="11"/>
    <x v="47"/>
    <x v="14"/>
    <x v="0"/>
    <x v="2"/>
    <n v="115.1"/>
  </r>
  <r>
    <x v="3"/>
    <x v="11"/>
    <x v="47"/>
    <x v="25"/>
    <x v="8"/>
    <x v="0"/>
    <n v="117"/>
  </r>
  <r>
    <x v="3"/>
    <x v="11"/>
    <x v="47"/>
    <x v="25"/>
    <x v="8"/>
    <x v="1"/>
    <n v="114.3"/>
  </r>
  <r>
    <x v="3"/>
    <x v="11"/>
    <x v="47"/>
    <x v="25"/>
    <x v="8"/>
    <x v="2"/>
    <n v="111.8"/>
  </r>
  <r>
    <x v="3"/>
    <x v="11"/>
    <x v="47"/>
    <x v="11"/>
    <x v="0"/>
    <x v="0"/>
    <n v="149.5"/>
  </r>
  <r>
    <x v="3"/>
    <x v="11"/>
    <x v="47"/>
    <x v="11"/>
    <x v="0"/>
    <x v="1"/>
    <n v="150.69999999999999"/>
  </r>
  <r>
    <x v="3"/>
    <x v="11"/>
    <x v="47"/>
    <x v="11"/>
    <x v="0"/>
    <x v="2"/>
    <n v="152.9"/>
  </r>
  <r>
    <x v="4"/>
    <x v="0"/>
    <x v="48"/>
    <x v="0"/>
    <x v="0"/>
    <x v="0"/>
    <n v="133.19999999999999"/>
  </r>
  <r>
    <x v="4"/>
    <x v="0"/>
    <x v="48"/>
    <x v="0"/>
    <x v="0"/>
    <x v="1"/>
    <n v="133"/>
  </r>
  <r>
    <x v="4"/>
    <x v="0"/>
    <x v="48"/>
    <x v="0"/>
    <x v="0"/>
    <x v="2"/>
    <n v="132.69999999999999"/>
  </r>
  <r>
    <x v="4"/>
    <x v="0"/>
    <x v="48"/>
    <x v="1"/>
    <x v="1"/>
    <x v="0"/>
    <n v="142.4"/>
  </r>
  <r>
    <x v="4"/>
    <x v="0"/>
    <x v="48"/>
    <x v="1"/>
    <x v="1"/>
    <x v="1"/>
    <n v="138"/>
  </r>
  <r>
    <x v="4"/>
    <x v="0"/>
    <x v="48"/>
    <x v="1"/>
    <x v="1"/>
    <x v="2"/>
    <n v="131.19999999999999"/>
  </r>
  <r>
    <x v="4"/>
    <x v="0"/>
    <x v="48"/>
    <x v="3"/>
    <x v="1"/>
    <x v="0"/>
    <n v="141.6"/>
  </r>
  <r>
    <x v="4"/>
    <x v="0"/>
    <x v="48"/>
    <x v="3"/>
    <x v="1"/>
    <x v="1"/>
    <n v="137"/>
  </r>
  <r>
    <x v="4"/>
    <x v="0"/>
    <x v="48"/>
    <x v="3"/>
    <x v="1"/>
    <x v="2"/>
    <n v="130"/>
  </r>
  <r>
    <x v="4"/>
    <x v="0"/>
    <x v="48"/>
    <x v="5"/>
    <x v="2"/>
    <x v="0"/>
    <n v="135.69999999999999"/>
  </r>
  <r>
    <x v="4"/>
    <x v="0"/>
    <x v="48"/>
    <x v="5"/>
    <x v="2"/>
    <x v="1"/>
    <n v="134.5"/>
  </r>
  <r>
    <x v="4"/>
    <x v="0"/>
    <x v="48"/>
    <x v="5"/>
    <x v="2"/>
    <x v="2"/>
    <n v="133.6"/>
  </r>
  <r>
    <x v="4"/>
    <x v="0"/>
    <x v="48"/>
    <x v="4"/>
    <x v="0"/>
    <x v="0"/>
    <n v="127.1"/>
  </r>
  <r>
    <x v="4"/>
    <x v="0"/>
    <x v="48"/>
    <x v="4"/>
    <x v="0"/>
    <x v="1"/>
    <n v="126.1"/>
  </r>
  <r>
    <x v="4"/>
    <x v="0"/>
    <x v="48"/>
    <x v="4"/>
    <x v="0"/>
    <x v="2"/>
    <n v="124.5"/>
  </r>
  <r>
    <x v="4"/>
    <x v="0"/>
    <x v="48"/>
    <x v="8"/>
    <x v="0"/>
    <x v="0"/>
    <n v="133.5"/>
  </r>
  <r>
    <x v="4"/>
    <x v="0"/>
    <x v="48"/>
    <x v="8"/>
    <x v="0"/>
    <x v="1"/>
    <n v="133.5"/>
  </r>
  <r>
    <x v="4"/>
    <x v="0"/>
    <x v="48"/>
    <x v="8"/>
    <x v="0"/>
    <x v="2"/>
    <n v="133.4"/>
  </r>
  <r>
    <x v="4"/>
    <x v="0"/>
    <x v="48"/>
    <x v="10"/>
    <x v="1"/>
    <x v="0"/>
    <n v="136.80000000000001"/>
  </r>
  <r>
    <x v="4"/>
    <x v="0"/>
    <x v="48"/>
    <x v="10"/>
    <x v="1"/>
    <x v="1"/>
    <n v="131.1"/>
  </r>
  <r>
    <x v="4"/>
    <x v="0"/>
    <x v="48"/>
    <x v="10"/>
    <x v="1"/>
    <x v="2"/>
    <n v="123"/>
  </r>
  <r>
    <x v="4"/>
    <x v="0"/>
    <x v="48"/>
    <x v="9"/>
    <x v="0"/>
    <x v="0"/>
    <n v="141.80000000000001"/>
  </r>
  <r>
    <x v="4"/>
    <x v="0"/>
    <x v="48"/>
    <x v="9"/>
    <x v="0"/>
    <x v="1"/>
    <n v="139.9"/>
  </r>
  <r>
    <x v="4"/>
    <x v="0"/>
    <x v="48"/>
    <x v="9"/>
    <x v="0"/>
    <x v="2"/>
    <n v="137.69999999999999"/>
  </r>
  <r>
    <x v="4"/>
    <x v="0"/>
    <x v="48"/>
    <x v="13"/>
    <x v="3"/>
    <x v="0"/>
    <n v="135"/>
  </r>
  <r>
    <x v="4"/>
    <x v="0"/>
    <x v="48"/>
    <x v="13"/>
    <x v="3"/>
    <x v="1"/>
    <n v="129.80000000000001"/>
  </r>
  <r>
    <x v="4"/>
    <x v="0"/>
    <x v="48"/>
    <x v="13"/>
    <x v="3"/>
    <x v="2"/>
    <n v="121.4"/>
  </r>
  <r>
    <x v="4"/>
    <x v="0"/>
    <x v="48"/>
    <x v="15"/>
    <x v="4"/>
    <x v="0"/>
    <n v="132.9"/>
  </r>
  <r>
    <x v="4"/>
    <x v="0"/>
    <x v="48"/>
    <x v="15"/>
    <x v="4"/>
    <x v="1"/>
    <n v="131.1"/>
  </r>
  <r>
    <x v="4"/>
    <x v="0"/>
    <x v="48"/>
    <x v="15"/>
    <x v="4"/>
    <x v="2"/>
    <n v="129.1"/>
  </r>
  <r>
    <x v="4"/>
    <x v="0"/>
    <x v="48"/>
    <x v="17"/>
    <x v="5"/>
    <x v="0"/>
    <n v="131"/>
  </r>
  <r>
    <x v="4"/>
    <x v="0"/>
    <x v="48"/>
    <x v="17"/>
    <x v="5"/>
    <x v="1"/>
    <n v="128.1"/>
  </r>
  <r>
    <x v="4"/>
    <x v="0"/>
    <x v="48"/>
    <x v="17"/>
    <x v="5"/>
    <x v="2"/>
    <n v="123.4"/>
  </r>
  <r>
    <x v="4"/>
    <x v="0"/>
    <x v="48"/>
    <x v="19"/>
    <x v="6"/>
    <x v="0"/>
    <n v="134.30000000000001"/>
  </r>
  <r>
    <x v="4"/>
    <x v="0"/>
    <x v="48"/>
    <x v="19"/>
    <x v="6"/>
    <x v="1"/>
    <n v="130.4"/>
  </r>
  <r>
    <x v="4"/>
    <x v="0"/>
    <x v="48"/>
    <x v="19"/>
    <x v="6"/>
    <x v="2"/>
    <n v="126"/>
  </r>
  <r>
    <x v="4"/>
    <x v="0"/>
    <x v="48"/>
    <x v="21"/>
    <x v="6"/>
    <x v="0"/>
    <n v="0"/>
  </r>
  <r>
    <x v="4"/>
    <x v="0"/>
    <x v="48"/>
    <x v="21"/>
    <x v="6"/>
    <x v="1"/>
    <n v="131.69999999999999"/>
  </r>
  <r>
    <x v="4"/>
    <x v="0"/>
    <x v="48"/>
    <x v="21"/>
    <x v="6"/>
    <x v="2"/>
    <n v="131.69999999999999"/>
  </r>
  <r>
    <x v="4"/>
    <x v="0"/>
    <x v="48"/>
    <x v="2"/>
    <x v="0"/>
    <x v="0"/>
    <n v="138.69999999999999"/>
  </r>
  <r>
    <x v="4"/>
    <x v="0"/>
    <x v="48"/>
    <x v="2"/>
    <x v="0"/>
    <x v="1"/>
    <n v="139.4"/>
  </r>
  <r>
    <x v="4"/>
    <x v="0"/>
    <x v="48"/>
    <x v="2"/>
    <x v="0"/>
    <x v="2"/>
    <n v="140.6"/>
  </r>
  <r>
    <x v="4"/>
    <x v="0"/>
    <x v="48"/>
    <x v="6"/>
    <x v="0"/>
    <x v="0"/>
    <n v="137.69999999999999"/>
  </r>
  <r>
    <x v="4"/>
    <x v="0"/>
    <x v="48"/>
    <x v="6"/>
    <x v="0"/>
    <x v="1"/>
    <n v="137.19999999999999"/>
  </r>
  <r>
    <x v="4"/>
    <x v="0"/>
    <x v="48"/>
    <x v="6"/>
    <x v="0"/>
    <x v="2"/>
    <n v="136.30000000000001"/>
  </r>
  <r>
    <x v="4"/>
    <x v="0"/>
    <x v="48"/>
    <x v="23"/>
    <x v="7"/>
    <x v="0"/>
    <n v="127.5"/>
  </r>
  <r>
    <x v="4"/>
    <x v="0"/>
    <x v="48"/>
    <x v="23"/>
    <x v="7"/>
    <x v="1"/>
    <n v="125.1"/>
  </r>
  <r>
    <x v="4"/>
    <x v="0"/>
    <x v="48"/>
    <x v="23"/>
    <x v="7"/>
    <x v="2"/>
    <n v="122.5"/>
  </r>
  <r>
    <x v="4"/>
    <x v="0"/>
    <x v="48"/>
    <x v="18"/>
    <x v="0"/>
    <x v="0"/>
    <n v="130"/>
  </r>
  <r>
    <x v="4"/>
    <x v="0"/>
    <x v="48"/>
    <x v="18"/>
    <x v="0"/>
    <x v="1"/>
    <n v="127.4"/>
  </r>
  <r>
    <x v="4"/>
    <x v="0"/>
    <x v="48"/>
    <x v="18"/>
    <x v="0"/>
    <x v="2"/>
    <n v="123.8"/>
  </r>
  <r>
    <x v="4"/>
    <x v="0"/>
    <x v="48"/>
    <x v="7"/>
    <x v="0"/>
    <x v="0"/>
    <n v="121.3"/>
  </r>
  <r>
    <x v="4"/>
    <x v="0"/>
    <x v="48"/>
    <x v="7"/>
    <x v="0"/>
    <x v="1"/>
    <n v="118.4"/>
  </r>
  <r>
    <x v="4"/>
    <x v="0"/>
    <x v="48"/>
    <x v="7"/>
    <x v="0"/>
    <x v="2"/>
    <n v="113.5"/>
  </r>
  <r>
    <x v="4"/>
    <x v="0"/>
    <x v="48"/>
    <x v="22"/>
    <x v="7"/>
    <x v="0"/>
    <n v="144.4"/>
  </r>
  <r>
    <x v="4"/>
    <x v="0"/>
    <x v="48"/>
    <x v="22"/>
    <x v="7"/>
    <x v="1"/>
    <n v="145.4"/>
  </r>
  <r>
    <x v="4"/>
    <x v="0"/>
    <x v="48"/>
    <x v="22"/>
    <x v="7"/>
    <x v="2"/>
    <n v="148"/>
  </r>
  <r>
    <x v="4"/>
    <x v="0"/>
    <x v="48"/>
    <x v="24"/>
    <x v="7"/>
    <x v="0"/>
    <n v="123.7"/>
  </r>
  <r>
    <x v="4"/>
    <x v="0"/>
    <x v="48"/>
    <x v="24"/>
    <x v="7"/>
    <x v="1"/>
    <n v="123.1"/>
  </r>
  <r>
    <x v="4"/>
    <x v="0"/>
    <x v="48"/>
    <x v="24"/>
    <x v="7"/>
    <x v="2"/>
    <n v="122.2"/>
  </r>
  <r>
    <x v="4"/>
    <x v="0"/>
    <x v="48"/>
    <x v="20"/>
    <x v="0"/>
    <x v="0"/>
    <n v="145.5"/>
  </r>
  <r>
    <x v="4"/>
    <x v="0"/>
    <x v="48"/>
    <x v="20"/>
    <x v="0"/>
    <x v="1"/>
    <n v="144.19999999999999"/>
  </r>
  <r>
    <x v="4"/>
    <x v="0"/>
    <x v="48"/>
    <x v="20"/>
    <x v="0"/>
    <x v="2"/>
    <n v="142.6"/>
  </r>
  <r>
    <x v="4"/>
    <x v="0"/>
    <x v="48"/>
    <x v="12"/>
    <x v="0"/>
    <x v="0"/>
    <n v="144.5"/>
  </r>
  <r>
    <x v="4"/>
    <x v="0"/>
    <x v="48"/>
    <x v="12"/>
    <x v="0"/>
    <x v="1"/>
    <n v="140.9"/>
  </r>
  <r>
    <x v="4"/>
    <x v="0"/>
    <x v="48"/>
    <x v="12"/>
    <x v="0"/>
    <x v="2"/>
    <n v="133.80000000000001"/>
  </r>
  <r>
    <x v="4"/>
    <x v="0"/>
    <x v="48"/>
    <x v="26"/>
    <x v="9"/>
    <x v="0"/>
    <n v="128.30000000000001"/>
  </r>
  <r>
    <x v="4"/>
    <x v="0"/>
    <x v="48"/>
    <x v="26"/>
    <x v="9"/>
    <x v="1"/>
    <n v="125.1"/>
  </r>
  <r>
    <x v="4"/>
    <x v="0"/>
    <x v="48"/>
    <x v="26"/>
    <x v="9"/>
    <x v="2"/>
    <n v="122.6"/>
  </r>
  <r>
    <x v="4"/>
    <x v="0"/>
    <x v="48"/>
    <x v="16"/>
    <x v="0"/>
    <x v="0"/>
    <n v="134.1"/>
  </r>
  <r>
    <x v="4"/>
    <x v="0"/>
    <x v="48"/>
    <x v="16"/>
    <x v="0"/>
    <x v="1"/>
    <n v="136.5"/>
  </r>
  <r>
    <x v="4"/>
    <x v="0"/>
    <x v="48"/>
    <x v="16"/>
    <x v="0"/>
    <x v="2"/>
    <n v="141.30000000000001"/>
  </r>
  <r>
    <x v="4"/>
    <x v="0"/>
    <x v="48"/>
    <x v="14"/>
    <x v="0"/>
    <x v="0"/>
    <n v="117.4"/>
  </r>
  <r>
    <x v="4"/>
    <x v="0"/>
    <x v="48"/>
    <x v="14"/>
    <x v="0"/>
    <x v="1"/>
    <n v="118.5"/>
  </r>
  <r>
    <x v="4"/>
    <x v="0"/>
    <x v="48"/>
    <x v="14"/>
    <x v="0"/>
    <x v="2"/>
    <n v="120.8"/>
  </r>
  <r>
    <x v="4"/>
    <x v="0"/>
    <x v="48"/>
    <x v="25"/>
    <x v="8"/>
    <x v="0"/>
    <n v="119.2"/>
  </r>
  <r>
    <x v="4"/>
    <x v="0"/>
    <x v="48"/>
    <x v="25"/>
    <x v="8"/>
    <x v="1"/>
    <n v="116.6"/>
  </r>
  <r>
    <x v="4"/>
    <x v="0"/>
    <x v="48"/>
    <x v="25"/>
    <x v="8"/>
    <x v="2"/>
    <n v="114.3"/>
  </r>
  <r>
    <x v="4"/>
    <x v="0"/>
    <x v="48"/>
    <x v="11"/>
    <x v="0"/>
    <x v="0"/>
    <n v="121.5"/>
  </r>
  <r>
    <x v="4"/>
    <x v="0"/>
    <x v="48"/>
    <x v="11"/>
    <x v="0"/>
    <x v="1"/>
    <n v="123.4"/>
  </r>
  <r>
    <x v="4"/>
    <x v="0"/>
    <x v="48"/>
    <x v="11"/>
    <x v="0"/>
    <x v="2"/>
    <n v="127.1"/>
  </r>
  <r>
    <x v="4"/>
    <x v="1"/>
    <x v="49"/>
    <x v="0"/>
    <x v="0"/>
    <x v="0"/>
    <n v="134.80000000000001"/>
  </r>
  <r>
    <x v="4"/>
    <x v="1"/>
    <x v="49"/>
    <x v="0"/>
    <x v="0"/>
    <x v="1"/>
    <n v="134.30000000000001"/>
  </r>
  <r>
    <x v="4"/>
    <x v="1"/>
    <x v="49"/>
    <x v="0"/>
    <x v="0"/>
    <x v="2"/>
    <n v="133.19999999999999"/>
  </r>
  <r>
    <x v="4"/>
    <x v="1"/>
    <x v="49"/>
    <x v="1"/>
    <x v="1"/>
    <x v="0"/>
    <n v="145.30000000000001"/>
  </r>
  <r>
    <x v="4"/>
    <x v="1"/>
    <x v="49"/>
    <x v="1"/>
    <x v="1"/>
    <x v="1"/>
    <n v="140.30000000000001"/>
  </r>
  <r>
    <x v="4"/>
    <x v="1"/>
    <x v="49"/>
    <x v="1"/>
    <x v="1"/>
    <x v="2"/>
    <n v="132.69999999999999"/>
  </r>
  <r>
    <x v="4"/>
    <x v="1"/>
    <x v="49"/>
    <x v="3"/>
    <x v="1"/>
    <x v="0"/>
    <n v="144.5"/>
  </r>
  <r>
    <x v="4"/>
    <x v="1"/>
    <x v="49"/>
    <x v="3"/>
    <x v="1"/>
    <x v="1"/>
    <n v="139.30000000000001"/>
  </r>
  <r>
    <x v="4"/>
    <x v="1"/>
    <x v="49"/>
    <x v="3"/>
    <x v="1"/>
    <x v="2"/>
    <n v="131.4"/>
  </r>
  <r>
    <x v="4"/>
    <x v="1"/>
    <x v="49"/>
    <x v="5"/>
    <x v="2"/>
    <x v="0"/>
    <n v="140.19999999999999"/>
  </r>
  <r>
    <x v="4"/>
    <x v="1"/>
    <x v="49"/>
    <x v="5"/>
    <x v="2"/>
    <x v="1"/>
    <n v="137.6"/>
  </r>
  <r>
    <x v="4"/>
    <x v="1"/>
    <x v="49"/>
    <x v="5"/>
    <x v="2"/>
    <x v="2"/>
    <n v="135.69999999999999"/>
  </r>
  <r>
    <x v="4"/>
    <x v="1"/>
    <x v="49"/>
    <x v="4"/>
    <x v="0"/>
    <x v="0"/>
    <n v="130"/>
  </r>
  <r>
    <x v="4"/>
    <x v="1"/>
    <x v="49"/>
    <x v="4"/>
    <x v="0"/>
    <x v="1"/>
    <n v="129.30000000000001"/>
  </r>
  <r>
    <x v="4"/>
    <x v="1"/>
    <x v="49"/>
    <x v="4"/>
    <x v="0"/>
    <x v="2"/>
    <n v="128.30000000000001"/>
  </r>
  <r>
    <x v="4"/>
    <x v="1"/>
    <x v="49"/>
    <x v="8"/>
    <x v="0"/>
    <x v="0"/>
    <n v="140.6"/>
  </r>
  <r>
    <x v="4"/>
    <x v="1"/>
    <x v="49"/>
    <x v="8"/>
    <x v="0"/>
    <x v="1"/>
    <n v="140.6"/>
  </r>
  <r>
    <x v="4"/>
    <x v="1"/>
    <x v="49"/>
    <x v="8"/>
    <x v="0"/>
    <x v="2"/>
    <n v="140.5"/>
  </r>
  <r>
    <x v="4"/>
    <x v="1"/>
    <x v="49"/>
    <x v="10"/>
    <x v="1"/>
    <x v="0"/>
    <n v="139.19999999999999"/>
  </r>
  <r>
    <x v="4"/>
    <x v="1"/>
    <x v="49"/>
    <x v="10"/>
    <x v="1"/>
    <x v="1"/>
    <n v="133"/>
  </r>
  <r>
    <x v="4"/>
    <x v="1"/>
    <x v="49"/>
    <x v="10"/>
    <x v="1"/>
    <x v="2"/>
    <n v="124.3"/>
  </r>
  <r>
    <x v="4"/>
    <x v="1"/>
    <x v="49"/>
    <x v="9"/>
    <x v="0"/>
    <x v="0"/>
    <n v="148"/>
  </r>
  <r>
    <x v="4"/>
    <x v="1"/>
    <x v="49"/>
    <x v="9"/>
    <x v="0"/>
    <x v="1"/>
    <n v="145.5"/>
  </r>
  <r>
    <x v="4"/>
    <x v="1"/>
    <x v="49"/>
    <x v="9"/>
    <x v="0"/>
    <x v="2"/>
    <n v="142.69999999999999"/>
  </r>
  <r>
    <x v="4"/>
    <x v="1"/>
    <x v="49"/>
    <x v="13"/>
    <x v="3"/>
    <x v="0"/>
    <n v="136.4"/>
  </r>
  <r>
    <x v="4"/>
    <x v="1"/>
    <x v="49"/>
    <x v="13"/>
    <x v="3"/>
    <x v="1"/>
    <n v="129.80000000000001"/>
  </r>
  <r>
    <x v="4"/>
    <x v="1"/>
    <x v="49"/>
    <x v="13"/>
    <x v="3"/>
    <x v="2"/>
    <n v="118.9"/>
  </r>
  <r>
    <x v="4"/>
    <x v="1"/>
    <x v="49"/>
    <x v="15"/>
    <x v="4"/>
    <x v="0"/>
    <n v="137.80000000000001"/>
  </r>
  <r>
    <x v="4"/>
    <x v="1"/>
    <x v="49"/>
    <x v="15"/>
    <x v="4"/>
    <x v="1"/>
    <n v="135.4"/>
  </r>
  <r>
    <x v="4"/>
    <x v="1"/>
    <x v="49"/>
    <x v="15"/>
    <x v="4"/>
    <x v="2"/>
    <n v="132.69999999999999"/>
  </r>
  <r>
    <x v="4"/>
    <x v="1"/>
    <x v="49"/>
    <x v="17"/>
    <x v="5"/>
    <x v="0"/>
    <n v="133"/>
  </r>
  <r>
    <x v="4"/>
    <x v="1"/>
    <x v="49"/>
    <x v="17"/>
    <x v="5"/>
    <x v="1"/>
    <n v="130.19999999999999"/>
  </r>
  <r>
    <x v="4"/>
    <x v="1"/>
    <x v="49"/>
    <x v="17"/>
    <x v="5"/>
    <x v="2"/>
    <n v="125.7"/>
  </r>
  <r>
    <x v="4"/>
    <x v="1"/>
    <x v="49"/>
    <x v="19"/>
    <x v="6"/>
    <x v="0"/>
    <n v="137.30000000000001"/>
  </r>
  <r>
    <x v="4"/>
    <x v="1"/>
    <x v="49"/>
    <x v="19"/>
    <x v="6"/>
    <x v="1"/>
    <n v="132.80000000000001"/>
  </r>
  <r>
    <x v="4"/>
    <x v="1"/>
    <x v="49"/>
    <x v="19"/>
    <x v="6"/>
    <x v="2"/>
    <n v="127.7"/>
  </r>
  <r>
    <x v="4"/>
    <x v="1"/>
    <x v="49"/>
    <x v="21"/>
    <x v="6"/>
    <x v="0"/>
    <n v="0"/>
  </r>
  <r>
    <x v="4"/>
    <x v="1"/>
    <x v="49"/>
    <x v="21"/>
    <x v="6"/>
    <x v="1"/>
    <n v="134.4"/>
  </r>
  <r>
    <x v="4"/>
    <x v="1"/>
    <x v="49"/>
    <x v="21"/>
    <x v="6"/>
    <x v="2"/>
    <n v="134.4"/>
  </r>
  <r>
    <x v="4"/>
    <x v="1"/>
    <x v="49"/>
    <x v="2"/>
    <x v="0"/>
    <x v="0"/>
    <n v="143.1"/>
  </r>
  <r>
    <x v="4"/>
    <x v="1"/>
    <x v="49"/>
    <x v="2"/>
    <x v="0"/>
    <x v="1"/>
    <n v="143.4"/>
  </r>
  <r>
    <x v="4"/>
    <x v="1"/>
    <x v="49"/>
    <x v="2"/>
    <x v="0"/>
    <x v="2"/>
    <n v="143.9"/>
  </r>
  <r>
    <x v="4"/>
    <x v="1"/>
    <x v="49"/>
    <x v="6"/>
    <x v="0"/>
    <x v="0"/>
    <n v="139.4"/>
  </r>
  <r>
    <x v="4"/>
    <x v="1"/>
    <x v="49"/>
    <x v="6"/>
    <x v="0"/>
    <x v="1"/>
    <n v="139"/>
  </r>
  <r>
    <x v="4"/>
    <x v="1"/>
    <x v="49"/>
    <x v="6"/>
    <x v="0"/>
    <x v="2"/>
    <n v="138.30000000000001"/>
  </r>
  <r>
    <x v="4"/>
    <x v="1"/>
    <x v="49"/>
    <x v="23"/>
    <x v="7"/>
    <x v="0"/>
    <n v="129.69999999999999"/>
  </r>
  <r>
    <x v="4"/>
    <x v="1"/>
    <x v="49"/>
    <x v="23"/>
    <x v="7"/>
    <x v="1"/>
    <n v="126.8"/>
  </r>
  <r>
    <x v="4"/>
    <x v="1"/>
    <x v="49"/>
    <x v="23"/>
    <x v="7"/>
    <x v="2"/>
    <n v="123.8"/>
  </r>
  <r>
    <x v="4"/>
    <x v="1"/>
    <x v="49"/>
    <x v="18"/>
    <x v="0"/>
    <x v="0"/>
    <n v="131.6"/>
  </r>
  <r>
    <x v="4"/>
    <x v="1"/>
    <x v="49"/>
    <x v="18"/>
    <x v="0"/>
    <x v="1"/>
    <n v="128.69999999999999"/>
  </r>
  <r>
    <x v="4"/>
    <x v="1"/>
    <x v="49"/>
    <x v="18"/>
    <x v="0"/>
    <x v="2"/>
    <n v="124.6"/>
  </r>
  <r>
    <x v="4"/>
    <x v="1"/>
    <x v="49"/>
    <x v="7"/>
    <x v="0"/>
    <x v="0"/>
    <n v="120.5"/>
  </r>
  <r>
    <x v="4"/>
    <x v="1"/>
    <x v="49"/>
    <x v="7"/>
    <x v="0"/>
    <x v="1"/>
    <n v="118.1"/>
  </r>
  <r>
    <x v="4"/>
    <x v="1"/>
    <x v="49"/>
    <x v="7"/>
    <x v="0"/>
    <x v="2"/>
    <n v="114.1"/>
  </r>
  <r>
    <x v="4"/>
    <x v="1"/>
    <x v="49"/>
    <x v="22"/>
    <x v="7"/>
    <x v="0"/>
    <n v="149"/>
  </r>
  <r>
    <x v="4"/>
    <x v="1"/>
    <x v="49"/>
    <x v="22"/>
    <x v="7"/>
    <x v="1"/>
    <n v="149.80000000000001"/>
  </r>
  <r>
    <x v="4"/>
    <x v="1"/>
    <x v="49"/>
    <x v="22"/>
    <x v="7"/>
    <x v="2"/>
    <n v="152.1"/>
  </r>
  <r>
    <x v="4"/>
    <x v="1"/>
    <x v="49"/>
    <x v="24"/>
    <x v="7"/>
    <x v="0"/>
    <n v="125.4"/>
  </r>
  <r>
    <x v="4"/>
    <x v="1"/>
    <x v="49"/>
    <x v="24"/>
    <x v="7"/>
    <x v="1"/>
    <n v="124.5"/>
  </r>
  <r>
    <x v="4"/>
    <x v="1"/>
    <x v="49"/>
    <x v="24"/>
    <x v="7"/>
    <x v="2"/>
    <n v="123.3"/>
  </r>
  <r>
    <x v="4"/>
    <x v="1"/>
    <x v="49"/>
    <x v="20"/>
    <x v="0"/>
    <x v="0"/>
    <n v="148.69999999999999"/>
  </r>
  <r>
    <x v="4"/>
    <x v="1"/>
    <x v="49"/>
    <x v="20"/>
    <x v="0"/>
    <x v="1"/>
    <n v="146.80000000000001"/>
  </r>
  <r>
    <x v="4"/>
    <x v="1"/>
    <x v="49"/>
    <x v="20"/>
    <x v="0"/>
    <x v="2"/>
    <n v="144.5"/>
  </r>
  <r>
    <x v="4"/>
    <x v="1"/>
    <x v="49"/>
    <x v="12"/>
    <x v="0"/>
    <x v="0"/>
    <n v="137.4"/>
  </r>
  <r>
    <x v="4"/>
    <x v="1"/>
    <x v="49"/>
    <x v="12"/>
    <x v="0"/>
    <x v="1"/>
    <n v="132.69999999999999"/>
  </r>
  <r>
    <x v="4"/>
    <x v="1"/>
    <x v="49"/>
    <x v="12"/>
    <x v="0"/>
    <x v="2"/>
    <n v="123.5"/>
  </r>
  <r>
    <x v="4"/>
    <x v="1"/>
    <x v="49"/>
    <x v="26"/>
    <x v="9"/>
    <x v="0"/>
    <n v="131.5"/>
  </r>
  <r>
    <x v="4"/>
    <x v="1"/>
    <x v="49"/>
    <x v="26"/>
    <x v="9"/>
    <x v="1"/>
    <n v="127.3"/>
  </r>
  <r>
    <x v="4"/>
    <x v="1"/>
    <x v="49"/>
    <x v="26"/>
    <x v="9"/>
    <x v="2"/>
    <n v="124.1"/>
  </r>
  <r>
    <x v="4"/>
    <x v="1"/>
    <x v="49"/>
    <x v="16"/>
    <x v="0"/>
    <x v="0"/>
    <n v="134.69999999999999"/>
  </r>
  <r>
    <x v="4"/>
    <x v="1"/>
    <x v="49"/>
    <x v="16"/>
    <x v="0"/>
    <x v="1"/>
    <n v="135.6"/>
  </r>
  <r>
    <x v="4"/>
    <x v="1"/>
    <x v="49"/>
    <x v="16"/>
    <x v="0"/>
    <x v="2"/>
    <n v="137.5"/>
  </r>
  <r>
    <x v="4"/>
    <x v="1"/>
    <x v="49"/>
    <x v="14"/>
    <x v="0"/>
    <x v="0"/>
    <n v="120.8"/>
  </r>
  <r>
    <x v="4"/>
    <x v="1"/>
    <x v="49"/>
    <x v="14"/>
    <x v="0"/>
    <x v="1"/>
    <n v="121.2"/>
  </r>
  <r>
    <x v="4"/>
    <x v="1"/>
    <x v="49"/>
    <x v="14"/>
    <x v="0"/>
    <x v="2"/>
    <n v="122.1"/>
  </r>
  <r>
    <x v="4"/>
    <x v="1"/>
    <x v="49"/>
    <x v="25"/>
    <x v="8"/>
    <x v="0"/>
    <n v="120.3"/>
  </r>
  <r>
    <x v="4"/>
    <x v="1"/>
    <x v="49"/>
    <x v="25"/>
    <x v="8"/>
    <x v="1"/>
    <n v="117.3"/>
  </r>
  <r>
    <x v="4"/>
    <x v="1"/>
    <x v="49"/>
    <x v="25"/>
    <x v="8"/>
    <x v="2"/>
    <n v="114.6"/>
  </r>
  <r>
    <x v="4"/>
    <x v="1"/>
    <x v="49"/>
    <x v="11"/>
    <x v="0"/>
    <x v="0"/>
    <n v="162.9"/>
  </r>
  <r>
    <x v="4"/>
    <x v="1"/>
    <x v="49"/>
    <x v="11"/>
    <x v="0"/>
    <x v="1"/>
    <n v="168.6"/>
  </r>
  <r>
    <x v="4"/>
    <x v="1"/>
    <x v="49"/>
    <x v="11"/>
    <x v="0"/>
    <x v="2"/>
    <n v="179.8"/>
  </r>
  <r>
    <x v="4"/>
    <x v="2"/>
    <x v="50"/>
    <x v="0"/>
    <x v="0"/>
    <x v="0"/>
    <n v="136.4"/>
  </r>
  <r>
    <x v="4"/>
    <x v="2"/>
    <x v="50"/>
    <x v="0"/>
    <x v="0"/>
    <x v="1"/>
    <n v="135.80000000000001"/>
  </r>
  <r>
    <x v="4"/>
    <x v="2"/>
    <x v="50"/>
    <x v="0"/>
    <x v="0"/>
    <x v="2"/>
    <n v="134.4"/>
  </r>
  <r>
    <x v="4"/>
    <x v="2"/>
    <x v="50"/>
    <x v="1"/>
    <x v="1"/>
    <x v="0"/>
    <n v="148"/>
  </r>
  <r>
    <x v="4"/>
    <x v="2"/>
    <x v="50"/>
    <x v="1"/>
    <x v="1"/>
    <x v="1"/>
    <n v="143.1"/>
  </r>
  <r>
    <x v="4"/>
    <x v="2"/>
    <x v="50"/>
    <x v="1"/>
    <x v="1"/>
    <x v="2"/>
    <n v="135.6"/>
  </r>
  <r>
    <x v="4"/>
    <x v="2"/>
    <x v="50"/>
    <x v="3"/>
    <x v="1"/>
    <x v="0"/>
    <n v="147.19999999999999"/>
  </r>
  <r>
    <x v="4"/>
    <x v="2"/>
    <x v="50"/>
    <x v="3"/>
    <x v="1"/>
    <x v="1"/>
    <n v="142"/>
  </r>
  <r>
    <x v="4"/>
    <x v="2"/>
    <x v="50"/>
    <x v="3"/>
    <x v="1"/>
    <x v="2"/>
    <n v="134"/>
  </r>
  <r>
    <x v="4"/>
    <x v="2"/>
    <x v="50"/>
    <x v="5"/>
    <x v="2"/>
    <x v="0"/>
    <n v="141.1"/>
  </r>
  <r>
    <x v="4"/>
    <x v="2"/>
    <x v="50"/>
    <x v="5"/>
    <x v="2"/>
    <x v="1"/>
    <n v="138.5"/>
  </r>
  <r>
    <x v="4"/>
    <x v="2"/>
    <x v="50"/>
    <x v="5"/>
    <x v="2"/>
    <x v="2"/>
    <n v="136.69999999999999"/>
  </r>
  <r>
    <x v="4"/>
    <x v="2"/>
    <x v="50"/>
    <x v="4"/>
    <x v="0"/>
    <x v="0"/>
    <n v="144.80000000000001"/>
  </r>
  <r>
    <x v="4"/>
    <x v="2"/>
    <x v="50"/>
    <x v="4"/>
    <x v="0"/>
    <x v="1"/>
    <n v="145.19999999999999"/>
  </r>
  <r>
    <x v="4"/>
    <x v="2"/>
    <x v="50"/>
    <x v="4"/>
    <x v="0"/>
    <x v="2"/>
    <n v="145.9"/>
  </r>
  <r>
    <x v="4"/>
    <x v="2"/>
    <x v="50"/>
    <x v="8"/>
    <x v="0"/>
    <x v="0"/>
    <n v="141.5"/>
  </r>
  <r>
    <x v="4"/>
    <x v="2"/>
    <x v="50"/>
    <x v="8"/>
    <x v="0"/>
    <x v="1"/>
    <n v="140.5"/>
  </r>
  <r>
    <x v="4"/>
    <x v="2"/>
    <x v="50"/>
    <x v="8"/>
    <x v="0"/>
    <x v="2"/>
    <n v="138.80000000000001"/>
  </r>
  <r>
    <x v="4"/>
    <x v="2"/>
    <x v="50"/>
    <x v="10"/>
    <x v="1"/>
    <x v="0"/>
    <n v="141.9"/>
  </r>
  <r>
    <x v="4"/>
    <x v="2"/>
    <x v="50"/>
    <x v="10"/>
    <x v="1"/>
    <x v="1"/>
    <n v="135.1"/>
  </r>
  <r>
    <x v="4"/>
    <x v="2"/>
    <x v="50"/>
    <x v="10"/>
    <x v="1"/>
    <x v="2"/>
    <n v="125.6"/>
  </r>
  <r>
    <x v="4"/>
    <x v="2"/>
    <x v="50"/>
    <x v="9"/>
    <x v="0"/>
    <x v="0"/>
    <n v="147.19999999999999"/>
  </r>
  <r>
    <x v="4"/>
    <x v="2"/>
    <x v="50"/>
    <x v="9"/>
    <x v="0"/>
    <x v="1"/>
    <n v="141.5"/>
  </r>
  <r>
    <x v="4"/>
    <x v="2"/>
    <x v="50"/>
    <x v="9"/>
    <x v="0"/>
    <x v="2"/>
    <n v="135"/>
  </r>
  <r>
    <x v="4"/>
    <x v="2"/>
    <x v="50"/>
    <x v="13"/>
    <x v="3"/>
    <x v="0"/>
    <n v="142.6"/>
  </r>
  <r>
    <x v="4"/>
    <x v="2"/>
    <x v="50"/>
    <x v="13"/>
    <x v="3"/>
    <x v="1"/>
    <n v="136.6"/>
  </r>
  <r>
    <x v="4"/>
    <x v="2"/>
    <x v="50"/>
    <x v="13"/>
    <x v="3"/>
    <x v="2"/>
    <n v="126.8"/>
  </r>
  <r>
    <x v="4"/>
    <x v="2"/>
    <x v="50"/>
    <x v="15"/>
    <x v="4"/>
    <x v="0"/>
    <n v="139.80000000000001"/>
  </r>
  <r>
    <x v="4"/>
    <x v="2"/>
    <x v="50"/>
    <x v="15"/>
    <x v="4"/>
    <x v="1"/>
    <n v="137.19999999999999"/>
  </r>
  <r>
    <x v="4"/>
    <x v="2"/>
    <x v="50"/>
    <x v="15"/>
    <x v="4"/>
    <x v="2"/>
    <n v="134.1"/>
  </r>
  <r>
    <x v="4"/>
    <x v="2"/>
    <x v="50"/>
    <x v="17"/>
    <x v="5"/>
    <x v="0"/>
    <n v="136.1"/>
  </r>
  <r>
    <x v="4"/>
    <x v="2"/>
    <x v="50"/>
    <x v="17"/>
    <x v="5"/>
    <x v="1"/>
    <n v="133.1"/>
  </r>
  <r>
    <x v="4"/>
    <x v="2"/>
    <x v="50"/>
    <x v="17"/>
    <x v="5"/>
    <x v="2"/>
    <n v="128.19999999999999"/>
  </r>
  <r>
    <x v="4"/>
    <x v="2"/>
    <x v="50"/>
    <x v="19"/>
    <x v="6"/>
    <x v="0"/>
    <n v="139.5"/>
  </r>
  <r>
    <x v="4"/>
    <x v="2"/>
    <x v="50"/>
    <x v="19"/>
    <x v="6"/>
    <x v="1"/>
    <n v="134.69999999999999"/>
  </r>
  <r>
    <x v="4"/>
    <x v="2"/>
    <x v="50"/>
    <x v="19"/>
    <x v="6"/>
    <x v="2"/>
    <n v="129.30000000000001"/>
  </r>
  <r>
    <x v="4"/>
    <x v="2"/>
    <x v="50"/>
    <x v="21"/>
    <x v="6"/>
    <x v="0"/>
    <n v="0"/>
  </r>
  <r>
    <x v="4"/>
    <x v="2"/>
    <x v="50"/>
    <x v="21"/>
    <x v="6"/>
    <x v="1"/>
    <n v="139.1"/>
  </r>
  <r>
    <x v="4"/>
    <x v="2"/>
    <x v="50"/>
    <x v="21"/>
    <x v="6"/>
    <x v="2"/>
    <n v="139.1"/>
  </r>
  <r>
    <x v="4"/>
    <x v="2"/>
    <x v="50"/>
    <x v="2"/>
    <x v="0"/>
    <x v="0"/>
    <n v="143.69999999999999"/>
  </r>
  <r>
    <x v="4"/>
    <x v="2"/>
    <x v="50"/>
    <x v="2"/>
    <x v="0"/>
    <x v="1"/>
    <n v="143.30000000000001"/>
  </r>
  <r>
    <x v="4"/>
    <x v="2"/>
    <x v="50"/>
    <x v="2"/>
    <x v="0"/>
    <x v="2"/>
    <n v="142.6"/>
  </r>
  <r>
    <x v="4"/>
    <x v="2"/>
    <x v="50"/>
    <x v="6"/>
    <x v="0"/>
    <x v="0"/>
    <n v="141.9"/>
  </r>
  <r>
    <x v="4"/>
    <x v="2"/>
    <x v="50"/>
    <x v="6"/>
    <x v="0"/>
    <x v="1"/>
    <n v="141"/>
  </r>
  <r>
    <x v="4"/>
    <x v="2"/>
    <x v="50"/>
    <x v="6"/>
    <x v="0"/>
    <x v="2"/>
    <n v="139.5"/>
  </r>
  <r>
    <x v="4"/>
    <x v="2"/>
    <x v="50"/>
    <x v="23"/>
    <x v="7"/>
    <x v="0"/>
    <n v="131.9"/>
  </r>
  <r>
    <x v="4"/>
    <x v="2"/>
    <x v="50"/>
    <x v="23"/>
    <x v="7"/>
    <x v="1"/>
    <n v="128.6"/>
  </r>
  <r>
    <x v="4"/>
    <x v="2"/>
    <x v="50"/>
    <x v="23"/>
    <x v="7"/>
    <x v="2"/>
    <n v="125.1"/>
  </r>
  <r>
    <x v="4"/>
    <x v="2"/>
    <x v="50"/>
    <x v="18"/>
    <x v="0"/>
    <x v="0"/>
    <n v="131.1"/>
  </r>
  <r>
    <x v="4"/>
    <x v="2"/>
    <x v="50"/>
    <x v="18"/>
    <x v="0"/>
    <x v="1"/>
    <n v="128.80000000000001"/>
  </r>
  <r>
    <x v="4"/>
    <x v="2"/>
    <x v="50"/>
    <x v="18"/>
    <x v="0"/>
    <x v="2"/>
    <n v="125.7"/>
  </r>
  <r>
    <x v="4"/>
    <x v="2"/>
    <x v="50"/>
    <x v="7"/>
    <x v="0"/>
    <x v="0"/>
    <n v="123.1"/>
  </r>
  <r>
    <x v="4"/>
    <x v="2"/>
    <x v="50"/>
    <x v="7"/>
    <x v="0"/>
    <x v="1"/>
    <n v="120.5"/>
  </r>
  <r>
    <x v="4"/>
    <x v="2"/>
    <x v="50"/>
    <x v="7"/>
    <x v="0"/>
    <x v="2"/>
    <n v="115.9"/>
  </r>
  <r>
    <x v="4"/>
    <x v="2"/>
    <x v="50"/>
    <x v="22"/>
    <x v="7"/>
    <x v="0"/>
    <n v="153.19999999999999"/>
  </r>
  <r>
    <x v="4"/>
    <x v="2"/>
    <x v="50"/>
    <x v="22"/>
    <x v="7"/>
    <x v="1"/>
    <n v="154.19999999999999"/>
  </r>
  <r>
    <x v="4"/>
    <x v="2"/>
    <x v="50"/>
    <x v="22"/>
    <x v="7"/>
    <x v="2"/>
    <n v="157"/>
  </r>
  <r>
    <x v="4"/>
    <x v="2"/>
    <x v="50"/>
    <x v="24"/>
    <x v="7"/>
    <x v="0"/>
    <n v="127.8"/>
  </r>
  <r>
    <x v="4"/>
    <x v="2"/>
    <x v="50"/>
    <x v="24"/>
    <x v="7"/>
    <x v="1"/>
    <n v="126.5"/>
  </r>
  <r>
    <x v="4"/>
    <x v="2"/>
    <x v="50"/>
    <x v="24"/>
    <x v="7"/>
    <x v="2"/>
    <n v="124.6"/>
  </r>
  <r>
    <x v="4"/>
    <x v="2"/>
    <x v="50"/>
    <x v="20"/>
    <x v="0"/>
    <x v="0"/>
    <n v="151.4"/>
  </r>
  <r>
    <x v="4"/>
    <x v="2"/>
    <x v="50"/>
    <x v="20"/>
    <x v="0"/>
    <x v="1"/>
    <n v="149"/>
  </r>
  <r>
    <x v="4"/>
    <x v="2"/>
    <x v="50"/>
    <x v="20"/>
    <x v="0"/>
    <x v="2"/>
    <n v="146.30000000000001"/>
  </r>
  <r>
    <x v="4"/>
    <x v="2"/>
    <x v="50"/>
    <x v="12"/>
    <x v="0"/>
    <x v="0"/>
    <n v="133.80000000000001"/>
  </r>
  <r>
    <x v="4"/>
    <x v="2"/>
    <x v="50"/>
    <x v="12"/>
    <x v="0"/>
    <x v="1"/>
    <n v="129.1"/>
  </r>
  <r>
    <x v="4"/>
    <x v="2"/>
    <x v="50"/>
    <x v="12"/>
    <x v="0"/>
    <x v="2"/>
    <n v="119.8"/>
  </r>
  <r>
    <x v="4"/>
    <x v="2"/>
    <x v="50"/>
    <x v="26"/>
    <x v="9"/>
    <x v="0"/>
    <n v="133.4"/>
  </r>
  <r>
    <x v="4"/>
    <x v="2"/>
    <x v="50"/>
    <x v="26"/>
    <x v="9"/>
    <x v="1"/>
    <n v="129"/>
  </r>
  <r>
    <x v="4"/>
    <x v="2"/>
    <x v="50"/>
    <x v="26"/>
    <x v="9"/>
    <x v="2"/>
    <n v="125.6"/>
  </r>
  <r>
    <x v="4"/>
    <x v="2"/>
    <x v="50"/>
    <x v="16"/>
    <x v="0"/>
    <x v="0"/>
    <n v="135.80000000000001"/>
  </r>
  <r>
    <x v="4"/>
    <x v="2"/>
    <x v="50"/>
    <x v="16"/>
    <x v="0"/>
    <x v="1"/>
    <n v="137.1"/>
  </r>
  <r>
    <x v="4"/>
    <x v="2"/>
    <x v="50"/>
    <x v="16"/>
    <x v="0"/>
    <x v="2"/>
    <n v="139.69999999999999"/>
  </r>
  <r>
    <x v="4"/>
    <x v="2"/>
    <x v="50"/>
    <x v="14"/>
    <x v="0"/>
    <x v="0"/>
    <n v="121.9"/>
  </r>
  <r>
    <x v="4"/>
    <x v="2"/>
    <x v="50"/>
    <x v="14"/>
    <x v="0"/>
    <x v="1"/>
    <n v="121.5"/>
  </r>
  <r>
    <x v="4"/>
    <x v="2"/>
    <x v="50"/>
    <x v="14"/>
    <x v="0"/>
    <x v="2"/>
    <n v="120.7"/>
  </r>
  <r>
    <x v="4"/>
    <x v="2"/>
    <x v="50"/>
    <x v="25"/>
    <x v="8"/>
    <x v="0"/>
    <n v="122"/>
  </r>
  <r>
    <x v="4"/>
    <x v="2"/>
    <x v="50"/>
    <x v="25"/>
    <x v="8"/>
    <x v="1"/>
    <n v="118.5"/>
  </r>
  <r>
    <x v="4"/>
    <x v="2"/>
    <x v="50"/>
    <x v="25"/>
    <x v="8"/>
    <x v="2"/>
    <n v="115.3"/>
  </r>
  <r>
    <x v="4"/>
    <x v="2"/>
    <x v="50"/>
    <x v="11"/>
    <x v="0"/>
    <x v="0"/>
    <n v="161"/>
  </r>
  <r>
    <x v="4"/>
    <x v="2"/>
    <x v="50"/>
    <x v="11"/>
    <x v="0"/>
    <x v="1"/>
    <n v="161.69999999999999"/>
  </r>
  <r>
    <x v="4"/>
    <x v="2"/>
    <x v="50"/>
    <x v="11"/>
    <x v="0"/>
    <x v="2"/>
    <n v="163.19999999999999"/>
  </r>
  <r>
    <x v="4"/>
    <x v="3"/>
    <x v="51"/>
    <x v="0"/>
    <x v="0"/>
    <x v="0"/>
    <n v="133.30000000000001"/>
  </r>
  <r>
    <x v="4"/>
    <x v="3"/>
    <x v="51"/>
    <x v="0"/>
    <x v="0"/>
    <x v="1"/>
    <n v="133.1"/>
  </r>
  <r>
    <x v="4"/>
    <x v="3"/>
    <x v="51"/>
    <x v="0"/>
    <x v="0"/>
    <x v="2"/>
    <n v="132.80000000000001"/>
  </r>
  <r>
    <x v="4"/>
    <x v="3"/>
    <x v="51"/>
    <x v="1"/>
    <x v="1"/>
    <x v="0"/>
    <n v="140.9"/>
  </r>
  <r>
    <x v="4"/>
    <x v="3"/>
    <x v="51"/>
    <x v="1"/>
    <x v="1"/>
    <x v="1"/>
    <n v="136.80000000000001"/>
  </r>
  <r>
    <x v="4"/>
    <x v="3"/>
    <x v="51"/>
    <x v="1"/>
    <x v="1"/>
    <x v="2"/>
    <n v="130.5"/>
  </r>
  <r>
    <x v="4"/>
    <x v="3"/>
    <x v="51"/>
    <x v="3"/>
    <x v="1"/>
    <x v="0"/>
    <n v="140.19999999999999"/>
  </r>
  <r>
    <x v="4"/>
    <x v="3"/>
    <x v="51"/>
    <x v="3"/>
    <x v="1"/>
    <x v="1"/>
    <n v="135.9"/>
  </r>
  <r>
    <x v="4"/>
    <x v="3"/>
    <x v="51"/>
    <x v="3"/>
    <x v="1"/>
    <x v="2"/>
    <n v="129.30000000000001"/>
  </r>
  <r>
    <x v="4"/>
    <x v="3"/>
    <x v="51"/>
    <x v="5"/>
    <x v="2"/>
    <x v="0"/>
    <n v="134.9"/>
  </r>
  <r>
    <x v="4"/>
    <x v="3"/>
    <x v="51"/>
    <x v="5"/>
    <x v="2"/>
    <x v="1"/>
    <n v="133.4"/>
  </r>
  <r>
    <x v="4"/>
    <x v="3"/>
    <x v="51"/>
    <x v="5"/>
    <x v="2"/>
    <x v="2"/>
    <n v="132.4"/>
  </r>
  <r>
    <x v="4"/>
    <x v="3"/>
    <x v="51"/>
    <x v="4"/>
    <x v="0"/>
    <x v="0"/>
    <n v="129.30000000000001"/>
  </r>
  <r>
    <x v="4"/>
    <x v="3"/>
    <x v="51"/>
    <x v="4"/>
    <x v="0"/>
    <x v="1"/>
    <n v="129.30000000000001"/>
  </r>
  <r>
    <x v="4"/>
    <x v="3"/>
    <x v="51"/>
    <x v="4"/>
    <x v="0"/>
    <x v="2"/>
    <n v="129.30000000000001"/>
  </r>
  <r>
    <x v="4"/>
    <x v="3"/>
    <x v="51"/>
    <x v="8"/>
    <x v="0"/>
    <x v="0"/>
    <n v="133.6"/>
  </r>
  <r>
    <x v="4"/>
    <x v="3"/>
    <x v="51"/>
    <x v="8"/>
    <x v="0"/>
    <x v="1"/>
    <n v="133"/>
  </r>
  <r>
    <x v="4"/>
    <x v="3"/>
    <x v="51"/>
    <x v="8"/>
    <x v="0"/>
    <x v="2"/>
    <n v="132.1"/>
  </r>
  <r>
    <x v="4"/>
    <x v="3"/>
    <x v="51"/>
    <x v="10"/>
    <x v="1"/>
    <x v="0"/>
    <n v="135.80000000000001"/>
  </r>
  <r>
    <x v="4"/>
    <x v="3"/>
    <x v="51"/>
    <x v="10"/>
    <x v="1"/>
    <x v="1"/>
    <n v="130.30000000000001"/>
  </r>
  <r>
    <x v="4"/>
    <x v="3"/>
    <x v="51"/>
    <x v="10"/>
    <x v="1"/>
    <x v="2"/>
    <n v="122.5"/>
  </r>
  <r>
    <x v="4"/>
    <x v="3"/>
    <x v="51"/>
    <x v="9"/>
    <x v="0"/>
    <x v="0"/>
    <n v="138.69999999999999"/>
  </r>
  <r>
    <x v="4"/>
    <x v="3"/>
    <x v="51"/>
    <x v="9"/>
    <x v="0"/>
    <x v="1"/>
    <n v="135.30000000000001"/>
  </r>
  <r>
    <x v="4"/>
    <x v="3"/>
    <x v="51"/>
    <x v="9"/>
    <x v="0"/>
    <x v="2"/>
    <n v="131.4"/>
  </r>
  <r>
    <x v="4"/>
    <x v="3"/>
    <x v="51"/>
    <x v="13"/>
    <x v="3"/>
    <x v="0"/>
    <n v="133.19999999999999"/>
  </r>
  <r>
    <x v="4"/>
    <x v="3"/>
    <x v="51"/>
    <x v="13"/>
    <x v="3"/>
    <x v="1"/>
    <n v="127.9"/>
  </r>
  <r>
    <x v="4"/>
    <x v="3"/>
    <x v="51"/>
    <x v="13"/>
    <x v="3"/>
    <x v="2"/>
    <n v="119.2"/>
  </r>
  <r>
    <x v="4"/>
    <x v="3"/>
    <x v="51"/>
    <x v="15"/>
    <x v="4"/>
    <x v="0"/>
    <n v="132.6"/>
  </r>
  <r>
    <x v="4"/>
    <x v="3"/>
    <x v="51"/>
    <x v="15"/>
    <x v="4"/>
    <x v="1"/>
    <n v="130.6"/>
  </r>
  <r>
    <x v="4"/>
    <x v="3"/>
    <x v="51"/>
    <x v="15"/>
    <x v="4"/>
    <x v="2"/>
    <n v="128.19999999999999"/>
  </r>
  <r>
    <x v="4"/>
    <x v="3"/>
    <x v="51"/>
    <x v="17"/>
    <x v="5"/>
    <x v="0"/>
    <n v="130.1"/>
  </r>
  <r>
    <x v="4"/>
    <x v="3"/>
    <x v="51"/>
    <x v="17"/>
    <x v="5"/>
    <x v="1"/>
    <n v="127.4"/>
  </r>
  <r>
    <x v="4"/>
    <x v="3"/>
    <x v="51"/>
    <x v="17"/>
    <x v="5"/>
    <x v="2"/>
    <n v="122.9"/>
  </r>
  <r>
    <x v="4"/>
    <x v="3"/>
    <x v="51"/>
    <x v="19"/>
    <x v="6"/>
    <x v="0"/>
    <n v="133.6"/>
  </r>
  <r>
    <x v="4"/>
    <x v="3"/>
    <x v="51"/>
    <x v="19"/>
    <x v="6"/>
    <x v="1"/>
    <n v="129.69999999999999"/>
  </r>
  <r>
    <x v="4"/>
    <x v="3"/>
    <x v="51"/>
    <x v="19"/>
    <x v="6"/>
    <x v="2"/>
    <n v="125.3"/>
  </r>
  <r>
    <x v="4"/>
    <x v="3"/>
    <x v="51"/>
    <x v="21"/>
    <x v="6"/>
    <x v="0"/>
    <n v="0"/>
  </r>
  <r>
    <x v="4"/>
    <x v="3"/>
    <x v="51"/>
    <x v="21"/>
    <x v="6"/>
    <x v="1"/>
    <n v="130.5"/>
  </r>
  <r>
    <x v="4"/>
    <x v="3"/>
    <x v="51"/>
    <x v="21"/>
    <x v="6"/>
    <x v="2"/>
    <n v="130.5"/>
  </r>
  <r>
    <x v="4"/>
    <x v="3"/>
    <x v="51"/>
    <x v="2"/>
    <x v="0"/>
    <x v="0"/>
    <n v="138.30000000000001"/>
  </r>
  <r>
    <x v="4"/>
    <x v="3"/>
    <x v="51"/>
    <x v="2"/>
    <x v="0"/>
    <x v="1"/>
    <n v="138.80000000000001"/>
  </r>
  <r>
    <x v="4"/>
    <x v="3"/>
    <x v="51"/>
    <x v="2"/>
    <x v="0"/>
    <x v="2"/>
    <n v="139.80000000000001"/>
  </r>
  <r>
    <x v="4"/>
    <x v="3"/>
    <x v="51"/>
    <x v="6"/>
    <x v="0"/>
    <x v="0"/>
    <n v="137.19999999999999"/>
  </r>
  <r>
    <x v="4"/>
    <x v="3"/>
    <x v="51"/>
    <x v="6"/>
    <x v="0"/>
    <x v="1"/>
    <n v="135.80000000000001"/>
  </r>
  <r>
    <x v="4"/>
    <x v="3"/>
    <x v="51"/>
    <x v="6"/>
    <x v="0"/>
    <x v="2"/>
    <n v="133.5"/>
  </r>
  <r>
    <x v="4"/>
    <x v="3"/>
    <x v="51"/>
    <x v="23"/>
    <x v="7"/>
    <x v="0"/>
    <n v="127"/>
  </r>
  <r>
    <x v="4"/>
    <x v="3"/>
    <x v="51"/>
    <x v="23"/>
    <x v="7"/>
    <x v="1"/>
    <n v="124.8"/>
  </r>
  <r>
    <x v="4"/>
    <x v="3"/>
    <x v="51"/>
    <x v="23"/>
    <x v="7"/>
    <x v="2"/>
    <n v="122.4"/>
  </r>
  <r>
    <x v="4"/>
    <x v="3"/>
    <x v="51"/>
    <x v="18"/>
    <x v="0"/>
    <x v="0"/>
    <n v="129.4"/>
  </r>
  <r>
    <x v="4"/>
    <x v="3"/>
    <x v="51"/>
    <x v="18"/>
    <x v="0"/>
    <x v="1"/>
    <n v="126.9"/>
  </r>
  <r>
    <x v="4"/>
    <x v="3"/>
    <x v="51"/>
    <x v="18"/>
    <x v="0"/>
    <x v="2"/>
    <n v="123.4"/>
  </r>
  <r>
    <x v="4"/>
    <x v="3"/>
    <x v="51"/>
    <x v="7"/>
    <x v="0"/>
    <x v="0"/>
    <n v="122.1"/>
  </r>
  <r>
    <x v="4"/>
    <x v="3"/>
    <x v="51"/>
    <x v="7"/>
    <x v="0"/>
    <x v="1"/>
    <n v="119.2"/>
  </r>
  <r>
    <x v="4"/>
    <x v="3"/>
    <x v="51"/>
    <x v="7"/>
    <x v="0"/>
    <x v="2"/>
    <n v="114.3"/>
  </r>
  <r>
    <x v="4"/>
    <x v="3"/>
    <x v="51"/>
    <x v="22"/>
    <x v="7"/>
    <x v="0"/>
    <n v="143.69999999999999"/>
  </r>
  <r>
    <x v="4"/>
    <x v="3"/>
    <x v="51"/>
    <x v="22"/>
    <x v="7"/>
    <x v="1"/>
    <n v="144.4"/>
  </r>
  <r>
    <x v="4"/>
    <x v="3"/>
    <x v="51"/>
    <x v="22"/>
    <x v="7"/>
    <x v="2"/>
    <n v="146.30000000000001"/>
  </r>
  <r>
    <x v="4"/>
    <x v="3"/>
    <x v="51"/>
    <x v="24"/>
    <x v="7"/>
    <x v="0"/>
    <n v="123.2"/>
  </r>
  <r>
    <x v="4"/>
    <x v="3"/>
    <x v="51"/>
    <x v="24"/>
    <x v="7"/>
    <x v="1"/>
    <n v="122.6"/>
  </r>
  <r>
    <x v="4"/>
    <x v="3"/>
    <x v="51"/>
    <x v="24"/>
    <x v="7"/>
    <x v="2"/>
    <n v="121.7"/>
  </r>
  <r>
    <x v="4"/>
    <x v="3"/>
    <x v="51"/>
    <x v="20"/>
    <x v="0"/>
    <x v="0"/>
    <n v="144.4"/>
  </r>
  <r>
    <x v="4"/>
    <x v="3"/>
    <x v="51"/>
    <x v="20"/>
    <x v="0"/>
    <x v="1"/>
    <n v="143.19999999999999"/>
  </r>
  <r>
    <x v="4"/>
    <x v="3"/>
    <x v="51"/>
    <x v="20"/>
    <x v="0"/>
    <x v="2"/>
    <n v="141.9"/>
  </r>
  <r>
    <x v="4"/>
    <x v="3"/>
    <x v="51"/>
    <x v="12"/>
    <x v="0"/>
    <x v="0"/>
    <n v="156.9"/>
  </r>
  <r>
    <x v="4"/>
    <x v="3"/>
    <x v="51"/>
    <x v="12"/>
    <x v="0"/>
    <x v="1"/>
    <n v="152.19999999999999"/>
  </r>
  <r>
    <x v="4"/>
    <x v="3"/>
    <x v="51"/>
    <x v="12"/>
    <x v="0"/>
    <x v="2"/>
    <n v="143.1"/>
  </r>
  <r>
    <x v="4"/>
    <x v="3"/>
    <x v="51"/>
    <x v="26"/>
    <x v="9"/>
    <x v="0"/>
    <n v="127.7"/>
  </r>
  <r>
    <x v="4"/>
    <x v="3"/>
    <x v="51"/>
    <x v="26"/>
    <x v="9"/>
    <x v="1"/>
    <n v="124.6"/>
  </r>
  <r>
    <x v="4"/>
    <x v="3"/>
    <x v="51"/>
    <x v="26"/>
    <x v="9"/>
    <x v="2"/>
    <n v="122.2"/>
  </r>
  <r>
    <x v="4"/>
    <x v="3"/>
    <x v="51"/>
    <x v="16"/>
    <x v="0"/>
    <x v="0"/>
    <n v="136"/>
  </r>
  <r>
    <x v="4"/>
    <x v="3"/>
    <x v="51"/>
    <x v="16"/>
    <x v="0"/>
    <x v="1"/>
    <n v="138.69999999999999"/>
  </r>
  <r>
    <x v="4"/>
    <x v="3"/>
    <x v="51"/>
    <x v="16"/>
    <x v="0"/>
    <x v="2"/>
    <n v="144"/>
  </r>
  <r>
    <x v="4"/>
    <x v="3"/>
    <x v="51"/>
    <x v="14"/>
    <x v="0"/>
    <x v="0"/>
    <n v="116.2"/>
  </r>
  <r>
    <x v="4"/>
    <x v="3"/>
    <x v="51"/>
    <x v="14"/>
    <x v="0"/>
    <x v="1"/>
    <n v="117.3"/>
  </r>
  <r>
    <x v="4"/>
    <x v="3"/>
    <x v="51"/>
    <x v="14"/>
    <x v="0"/>
    <x v="2"/>
    <n v="119.5"/>
  </r>
  <r>
    <x v="4"/>
    <x v="3"/>
    <x v="51"/>
    <x v="25"/>
    <x v="8"/>
    <x v="0"/>
    <n v="119.5"/>
  </r>
  <r>
    <x v="4"/>
    <x v="3"/>
    <x v="51"/>
    <x v="25"/>
    <x v="8"/>
    <x v="1"/>
    <n v="117.4"/>
  </r>
  <r>
    <x v="4"/>
    <x v="3"/>
    <x v="51"/>
    <x v="25"/>
    <x v="8"/>
    <x v="2"/>
    <n v="115.5"/>
  </r>
  <r>
    <x v="4"/>
    <x v="3"/>
    <x v="51"/>
    <x v="11"/>
    <x v="0"/>
    <x v="0"/>
    <n v="119.1"/>
  </r>
  <r>
    <x v="4"/>
    <x v="3"/>
    <x v="51"/>
    <x v="11"/>
    <x v="0"/>
    <x v="1"/>
    <n v="119.5"/>
  </r>
  <r>
    <x v="4"/>
    <x v="3"/>
    <x v="51"/>
    <x v="11"/>
    <x v="0"/>
    <x v="2"/>
    <n v="120.2"/>
  </r>
  <r>
    <x v="4"/>
    <x v="4"/>
    <x v="52"/>
    <x v="0"/>
    <x v="0"/>
    <x v="0"/>
    <n v="133.1"/>
  </r>
  <r>
    <x v="4"/>
    <x v="4"/>
    <x v="52"/>
    <x v="0"/>
    <x v="0"/>
    <x v="1"/>
    <n v="132.80000000000001"/>
  </r>
  <r>
    <x v="4"/>
    <x v="4"/>
    <x v="52"/>
    <x v="0"/>
    <x v="0"/>
    <x v="2"/>
    <n v="132.19999999999999"/>
  </r>
  <r>
    <x v="4"/>
    <x v="4"/>
    <x v="52"/>
    <x v="1"/>
    <x v="1"/>
    <x v="0"/>
    <n v="140.69999999999999"/>
  </r>
  <r>
    <x v="4"/>
    <x v="4"/>
    <x v="52"/>
    <x v="1"/>
    <x v="1"/>
    <x v="1"/>
    <n v="136.6"/>
  </r>
  <r>
    <x v="4"/>
    <x v="4"/>
    <x v="52"/>
    <x v="1"/>
    <x v="1"/>
    <x v="2"/>
    <n v="130.19999999999999"/>
  </r>
  <r>
    <x v="4"/>
    <x v="4"/>
    <x v="52"/>
    <x v="3"/>
    <x v="1"/>
    <x v="0"/>
    <n v="140"/>
  </r>
  <r>
    <x v="4"/>
    <x v="4"/>
    <x v="52"/>
    <x v="3"/>
    <x v="1"/>
    <x v="1"/>
    <n v="135.6"/>
  </r>
  <r>
    <x v="4"/>
    <x v="4"/>
    <x v="52"/>
    <x v="3"/>
    <x v="1"/>
    <x v="2"/>
    <n v="129"/>
  </r>
  <r>
    <x v="4"/>
    <x v="4"/>
    <x v="52"/>
    <x v="5"/>
    <x v="2"/>
    <x v="0"/>
    <n v="134.6"/>
  </r>
  <r>
    <x v="4"/>
    <x v="4"/>
    <x v="52"/>
    <x v="5"/>
    <x v="2"/>
    <x v="1"/>
    <n v="133.30000000000001"/>
  </r>
  <r>
    <x v="4"/>
    <x v="4"/>
    <x v="52"/>
    <x v="5"/>
    <x v="2"/>
    <x v="2"/>
    <n v="132.4"/>
  </r>
  <r>
    <x v="4"/>
    <x v="4"/>
    <x v="52"/>
    <x v="4"/>
    <x v="0"/>
    <x v="0"/>
    <n v="131.9"/>
  </r>
  <r>
    <x v="4"/>
    <x v="4"/>
    <x v="52"/>
    <x v="4"/>
    <x v="0"/>
    <x v="1"/>
    <n v="132.19999999999999"/>
  </r>
  <r>
    <x v="4"/>
    <x v="4"/>
    <x v="52"/>
    <x v="4"/>
    <x v="0"/>
    <x v="2"/>
    <n v="132.6"/>
  </r>
  <r>
    <x v="4"/>
    <x v="4"/>
    <x v="52"/>
    <x v="8"/>
    <x v="0"/>
    <x v="0"/>
    <n v="133.69999999999999"/>
  </r>
  <r>
    <x v="4"/>
    <x v="4"/>
    <x v="52"/>
    <x v="8"/>
    <x v="0"/>
    <x v="1"/>
    <n v="133.1"/>
  </r>
  <r>
    <x v="4"/>
    <x v="4"/>
    <x v="52"/>
    <x v="8"/>
    <x v="0"/>
    <x v="2"/>
    <n v="132"/>
  </r>
  <r>
    <x v="4"/>
    <x v="4"/>
    <x v="52"/>
    <x v="10"/>
    <x v="1"/>
    <x v="0"/>
    <n v="135.80000000000001"/>
  </r>
  <r>
    <x v="4"/>
    <x v="4"/>
    <x v="52"/>
    <x v="10"/>
    <x v="1"/>
    <x v="1"/>
    <n v="130.19999999999999"/>
  </r>
  <r>
    <x v="4"/>
    <x v="4"/>
    <x v="52"/>
    <x v="10"/>
    <x v="1"/>
    <x v="2"/>
    <n v="122.3"/>
  </r>
  <r>
    <x v="4"/>
    <x v="4"/>
    <x v="52"/>
    <x v="9"/>
    <x v="0"/>
    <x v="0"/>
    <n v="136"/>
  </r>
  <r>
    <x v="4"/>
    <x v="4"/>
    <x v="52"/>
    <x v="9"/>
    <x v="0"/>
    <x v="1"/>
    <n v="133"/>
  </r>
  <r>
    <x v="4"/>
    <x v="4"/>
    <x v="52"/>
    <x v="9"/>
    <x v="0"/>
    <x v="2"/>
    <n v="129.6"/>
  </r>
  <r>
    <x v="4"/>
    <x v="4"/>
    <x v="52"/>
    <x v="13"/>
    <x v="3"/>
    <x v="0"/>
    <n v="132.1"/>
  </r>
  <r>
    <x v="4"/>
    <x v="4"/>
    <x v="52"/>
    <x v="13"/>
    <x v="3"/>
    <x v="1"/>
    <n v="126.8"/>
  </r>
  <r>
    <x v="4"/>
    <x v="4"/>
    <x v="52"/>
    <x v="13"/>
    <x v="3"/>
    <x v="2"/>
    <n v="118"/>
  </r>
  <r>
    <x v="4"/>
    <x v="4"/>
    <x v="52"/>
    <x v="15"/>
    <x v="4"/>
    <x v="0"/>
    <n v="132.4"/>
  </r>
  <r>
    <x v="4"/>
    <x v="4"/>
    <x v="52"/>
    <x v="15"/>
    <x v="4"/>
    <x v="1"/>
    <n v="130.30000000000001"/>
  </r>
  <r>
    <x v="4"/>
    <x v="4"/>
    <x v="52"/>
    <x v="15"/>
    <x v="4"/>
    <x v="2"/>
    <n v="127.8"/>
  </r>
  <r>
    <x v="4"/>
    <x v="4"/>
    <x v="52"/>
    <x v="17"/>
    <x v="5"/>
    <x v="0"/>
    <n v="129.9"/>
  </r>
  <r>
    <x v="4"/>
    <x v="4"/>
    <x v="52"/>
    <x v="17"/>
    <x v="5"/>
    <x v="1"/>
    <n v="127.1"/>
  </r>
  <r>
    <x v="4"/>
    <x v="4"/>
    <x v="52"/>
    <x v="17"/>
    <x v="5"/>
    <x v="2"/>
    <n v="122.6"/>
  </r>
  <r>
    <x v="4"/>
    <x v="4"/>
    <x v="52"/>
    <x v="19"/>
    <x v="6"/>
    <x v="0"/>
    <n v="133.19999999999999"/>
  </r>
  <r>
    <x v="4"/>
    <x v="4"/>
    <x v="52"/>
    <x v="19"/>
    <x v="6"/>
    <x v="1"/>
    <n v="129.4"/>
  </r>
  <r>
    <x v="4"/>
    <x v="4"/>
    <x v="52"/>
    <x v="19"/>
    <x v="6"/>
    <x v="2"/>
    <n v="125.1"/>
  </r>
  <r>
    <x v="4"/>
    <x v="4"/>
    <x v="52"/>
    <x v="21"/>
    <x v="6"/>
    <x v="0"/>
    <n v="0"/>
  </r>
  <r>
    <x v="4"/>
    <x v="4"/>
    <x v="52"/>
    <x v="21"/>
    <x v="6"/>
    <x v="1"/>
    <n v="129.6"/>
  </r>
  <r>
    <x v="4"/>
    <x v="4"/>
    <x v="52"/>
    <x v="21"/>
    <x v="6"/>
    <x v="2"/>
    <n v="129.6"/>
  </r>
  <r>
    <x v="4"/>
    <x v="4"/>
    <x v="52"/>
    <x v="2"/>
    <x v="0"/>
    <x v="0"/>
    <n v="137.80000000000001"/>
  </r>
  <r>
    <x v="4"/>
    <x v="4"/>
    <x v="52"/>
    <x v="2"/>
    <x v="0"/>
    <x v="1"/>
    <n v="138.19999999999999"/>
  </r>
  <r>
    <x v="4"/>
    <x v="4"/>
    <x v="52"/>
    <x v="2"/>
    <x v="0"/>
    <x v="2"/>
    <n v="138.9"/>
  </r>
  <r>
    <x v="4"/>
    <x v="4"/>
    <x v="52"/>
    <x v="6"/>
    <x v="0"/>
    <x v="0"/>
    <n v="136.69999999999999"/>
  </r>
  <r>
    <x v="4"/>
    <x v="4"/>
    <x v="52"/>
    <x v="6"/>
    <x v="0"/>
    <x v="1"/>
    <n v="135.4"/>
  </r>
  <r>
    <x v="4"/>
    <x v="4"/>
    <x v="52"/>
    <x v="6"/>
    <x v="0"/>
    <x v="2"/>
    <n v="133.1"/>
  </r>
  <r>
    <x v="4"/>
    <x v="4"/>
    <x v="52"/>
    <x v="23"/>
    <x v="7"/>
    <x v="0"/>
    <n v="126.6"/>
  </r>
  <r>
    <x v="4"/>
    <x v="4"/>
    <x v="52"/>
    <x v="23"/>
    <x v="7"/>
    <x v="1"/>
    <n v="124.4"/>
  </r>
  <r>
    <x v="4"/>
    <x v="4"/>
    <x v="52"/>
    <x v="23"/>
    <x v="7"/>
    <x v="2"/>
    <n v="122.1"/>
  </r>
  <r>
    <x v="4"/>
    <x v="4"/>
    <x v="52"/>
    <x v="18"/>
    <x v="0"/>
    <x v="0"/>
    <n v="129"/>
  </r>
  <r>
    <x v="4"/>
    <x v="4"/>
    <x v="52"/>
    <x v="18"/>
    <x v="0"/>
    <x v="1"/>
    <n v="126.6"/>
  </r>
  <r>
    <x v="4"/>
    <x v="4"/>
    <x v="52"/>
    <x v="18"/>
    <x v="0"/>
    <x v="2"/>
    <n v="123.2"/>
  </r>
  <r>
    <x v="4"/>
    <x v="4"/>
    <x v="52"/>
    <x v="7"/>
    <x v="0"/>
    <x v="0"/>
    <n v="122"/>
  </r>
  <r>
    <x v="4"/>
    <x v="4"/>
    <x v="52"/>
    <x v="7"/>
    <x v="0"/>
    <x v="1"/>
    <n v="119.1"/>
  </r>
  <r>
    <x v="4"/>
    <x v="4"/>
    <x v="52"/>
    <x v="7"/>
    <x v="0"/>
    <x v="2"/>
    <n v="114"/>
  </r>
  <r>
    <x v="4"/>
    <x v="4"/>
    <x v="52"/>
    <x v="22"/>
    <x v="7"/>
    <x v="0"/>
    <n v="143.1"/>
  </r>
  <r>
    <x v="4"/>
    <x v="4"/>
    <x v="52"/>
    <x v="22"/>
    <x v="7"/>
    <x v="1"/>
    <n v="143.80000000000001"/>
  </r>
  <r>
    <x v="4"/>
    <x v="4"/>
    <x v="52"/>
    <x v="22"/>
    <x v="7"/>
    <x v="2"/>
    <n v="145.6"/>
  </r>
  <r>
    <x v="4"/>
    <x v="4"/>
    <x v="52"/>
    <x v="24"/>
    <x v="7"/>
    <x v="0"/>
    <n v="122.3"/>
  </r>
  <r>
    <x v="4"/>
    <x v="4"/>
    <x v="52"/>
    <x v="24"/>
    <x v="7"/>
    <x v="1"/>
    <n v="121.7"/>
  </r>
  <r>
    <x v="4"/>
    <x v="4"/>
    <x v="52"/>
    <x v="24"/>
    <x v="7"/>
    <x v="2"/>
    <n v="120.9"/>
  </r>
  <r>
    <x v="4"/>
    <x v="4"/>
    <x v="52"/>
    <x v="20"/>
    <x v="0"/>
    <x v="0"/>
    <n v="143.9"/>
  </r>
  <r>
    <x v="4"/>
    <x v="4"/>
    <x v="52"/>
    <x v="20"/>
    <x v="0"/>
    <x v="1"/>
    <n v="142.80000000000001"/>
  </r>
  <r>
    <x v="4"/>
    <x v="4"/>
    <x v="52"/>
    <x v="20"/>
    <x v="0"/>
    <x v="2"/>
    <n v="141.6"/>
  </r>
  <r>
    <x v="4"/>
    <x v="4"/>
    <x v="52"/>
    <x v="12"/>
    <x v="0"/>
    <x v="0"/>
    <n v="161.69999999999999"/>
  </r>
  <r>
    <x v="4"/>
    <x v="4"/>
    <x v="52"/>
    <x v="12"/>
    <x v="0"/>
    <x v="1"/>
    <n v="159.5"/>
  </r>
  <r>
    <x v="4"/>
    <x v="4"/>
    <x v="52"/>
    <x v="12"/>
    <x v="0"/>
    <x v="2"/>
    <n v="155.1"/>
  </r>
  <r>
    <x v="4"/>
    <x v="4"/>
    <x v="52"/>
    <x v="26"/>
    <x v="9"/>
    <x v="0"/>
    <n v="127"/>
  </r>
  <r>
    <x v="4"/>
    <x v="4"/>
    <x v="52"/>
    <x v="26"/>
    <x v="9"/>
    <x v="1"/>
    <n v="124.2"/>
  </r>
  <r>
    <x v="4"/>
    <x v="4"/>
    <x v="52"/>
    <x v="26"/>
    <x v="9"/>
    <x v="2"/>
    <n v="122"/>
  </r>
  <r>
    <x v="4"/>
    <x v="4"/>
    <x v="52"/>
    <x v="16"/>
    <x v="0"/>
    <x v="0"/>
    <n v="136.9"/>
  </r>
  <r>
    <x v="4"/>
    <x v="4"/>
    <x v="52"/>
    <x v="16"/>
    <x v="0"/>
    <x v="1"/>
    <n v="139.6"/>
  </r>
  <r>
    <x v="4"/>
    <x v="4"/>
    <x v="52"/>
    <x v="16"/>
    <x v="0"/>
    <x v="2"/>
    <n v="144.9"/>
  </r>
  <r>
    <x v="4"/>
    <x v="4"/>
    <x v="52"/>
    <x v="14"/>
    <x v="0"/>
    <x v="0"/>
    <n v="114.8"/>
  </r>
  <r>
    <x v="4"/>
    <x v="4"/>
    <x v="52"/>
    <x v="14"/>
    <x v="0"/>
    <x v="1"/>
    <n v="115.6"/>
  </r>
  <r>
    <x v="4"/>
    <x v="4"/>
    <x v="52"/>
    <x v="14"/>
    <x v="0"/>
    <x v="2"/>
    <n v="117.3"/>
  </r>
  <r>
    <x v="4"/>
    <x v="4"/>
    <x v="52"/>
    <x v="25"/>
    <x v="8"/>
    <x v="0"/>
    <n v="119.1"/>
  </r>
  <r>
    <x v="4"/>
    <x v="4"/>
    <x v="52"/>
    <x v="25"/>
    <x v="8"/>
    <x v="1"/>
    <n v="117"/>
  </r>
  <r>
    <x v="4"/>
    <x v="4"/>
    <x v="52"/>
    <x v="25"/>
    <x v="8"/>
    <x v="2"/>
    <n v="115.2"/>
  </r>
  <r>
    <x v="4"/>
    <x v="4"/>
    <x v="52"/>
    <x v="11"/>
    <x v="0"/>
    <x v="0"/>
    <n v="119.8"/>
  </r>
  <r>
    <x v="4"/>
    <x v="4"/>
    <x v="52"/>
    <x v="11"/>
    <x v="0"/>
    <x v="1"/>
    <n v="119.4"/>
  </r>
  <r>
    <x v="4"/>
    <x v="4"/>
    <x v="52"/>
    <x v="11"/>
    <x v="0"/>
    <x v="2"/>
    <n v="118.7"/>
  </r>
  <r>
    <x v="4"/>
    <x v="5"/>
    <x v="53"/>
    <x v="0"/>
    <x v="0"/>
    <x v="0"/>
    <n v="134"/>
  </r>
  <r>
    <x v="4"/>
    <x v="5"/>
    <x v="53"/>
    <x v="0"/>
    <x v="0"/>
    <x v="1"/>
    <n v="133.6"/>
  </r>
  <r>
    <x v="4"/>
    <x v="5"/>
    <x v="53"/>
    <x v="0"/>
    <x v="0"/>
    <x v="2"/>
    <n v="132.80000000000001"/>
  </r>
  <r>
    <x v="4"/>
    <x v="5"/>
    <x v="53"/>
    <x v="1"/>
    <x v="1"/>
    <x v="0"/>
    <n v="144.30000000000001"/>
  </r>
  <r>
    <x v="4"/>
    <x v="5"/>
    <x v="53"/>
    <x v="1"/>
    <x v="1"/>
    <x v="1"/>
    <n v="139.30000000000001"/>
  </r>
  <r>
    <x v="4"/>
    <x v="5"/>
    <x v="53"/>
    <x v="1"/>
    <x v="1"/>
    <x v="2"/>
    <n v="131.6"/>
  </r>
  <r>
    <x v="4"/>
    <x v="5"/>
    <x v="53"/>
    <x v="3"/>
    <x v="1"/>
    <x v="0"/>
    <n v="143.5"/>
  </r>
  <r>
    <x v="4"/>
    <x v="5"/>
    <x v="53"/>
    <x v="3"/>
    <x v="1"/>
    <x v="1"/>
    <n v="138.30000000000001"/>
  </r>
  <r>
    <x v="4"/>
    <x v="5"/>
    <x v="53"/>
    <x v="3"/>
    <x v="1"/>
    <x v="2"/>
    <n v="130.4"/>
  </r>
  <r>
    <x v="4"/>
    <x v="5"/>
    <x v="53"/>
    <x v="5"/>
    <x v="2"/>
    <x v="0"/>
    <n v="138.6"/>
  </r>
  <r>
    <x v="4"/>
    <x v="5"/>
    <x v="53"/>
    <x v="5"/>
    <x v="2"/>
    <x v="1"/>
    <n v="136.80000000000001"/>
  </r>
  <r>
    <x v="4"/>
    <x v="5"/>
    <x v="53"/>
    <x v="5"/>
    <x v="2"/>
    <x v="2"/>
    <n v="135.5"/>
  </r>
  <r>
    <x v="4"/>
    <x v="5"/>
    <x v="53"/>
    <x v="4"/>
    <x v="0"/>
    <x v="0"/>
    <n v="129.80000000000001"/>
  </r>
  <r>
    <x v="4"/>
    <x v="5"/>
    <x v="53"/>
    <x v="4"/>
    <x v="0"/>
    <x v="1"/>
    <n v="129.6"/>
  </r>
  <r>
    <x v="4"/>
    <x v="5"/>
    <x v="53"/>
    <x v="4"/>
    <x v="0"/>
    <x v="2"/>
    <n v="129.4"/>
  </r>
  <r>
    <x v="4"/>
    <x v="5"/>
    <x v="53"/>
    <x v="8"/>
    <x v="0"/>
    <x v="0"/>
    <n v="138.5"/>
  </r>
  <r>
    <x v="4"/>
    <x v="5"/>
    <x v="53"/>
    <x v="8"/>
    <x v="0"/>
    <x v="1"/>
    <n v="139"/>
  </r>
  <r>
    <x v="4"/>
    <x v="5"/>
    <x v="53"/>
    <x v="8"/>
    <x v="0"/>
    <x v="2"/>
    <n v="139.80000000000001"/>
  </r>
  <r>
    <x v="4"/>
    <x v="5"/>
    <x v="53"/>
    <x v="10"/>
    <x v="1"/>
    <x v="0"/>
    <n v="138.1"/>
  </r>
  <r>
    <x v="4"/>
    <x v="5"/>
    <x v="53"/>
    <x v="10"/>
    <x v="1"/>
    <x v="1"/>
    <n v="132.1"/>
  </r>
  <r>
    <x v="4"/>
    <x v="5"/>
    <x v="53"/>
    <x v="10"/>
    <x v="1"/>
    <x v="2"/>
    <n v="123.7"/>
  </r>
  <r>
    <x v="4"/>
    <x v="5"/>
    <x v="53"/>
    <x v="9"/>
    <x v="0"/>
    <x v="0"/>
    <n v="143.9"/>
  </r>
  <r>
    <x v="4"/>
    <x v="5"/>
    <x v="53"/>
    <x v="9"/>
    <x v="0"/>
    <x v="1"/>
    <n v="141.80000000000001"/>
  </r>
  <r>
    <x v="4"/>
    <x v="5"/>
    <x v="53"/>
    <x v="9"/>
    <x v="0"/>
    <x v="2"/>
    <n v="139.4"/>
  </r>
  <r>
    <x v="4"/>
    <x v="5"/>
    <x v="53"/>
    <x v="13"/>
    <x v="3"/>
    <x v="0"/>
    <n v="135.30000000000001"/>
  </r>
  <r>
    <x v="4"/>
    <x v="5"/>
    <x v="53"/>
    <x v="13"/>
    <x v="3"/>
    <x v="1"/>
    <n v="129.4"/>
  </r>
  <r>
    <x v="4"/>
    <x v="5"/>
    <x v="53"/>
    <x v="13"/>
    <x v="3"/>
    <x v="2"/>
    <n v="119.7"/>
  </r>
  <r>
    <x v="4"/>
    <x v="5"/>
    <x v="53"/>
    <x v="15"/>
    <x v="4"/>
    <x v="0"/>
    <n v="136.19999999999999"/>
  </r>
  <r>
    <x v="4"/>
    <x v="5"/>
    <x v="53"/>
    <x v="15"/>
    <x v="4"/>
    <x v="1"/>
    <n v="134.19999999999999"/>
  </r>
  <r>
    <x v="4"/>
    <x v="5"/>
    <x v="53"/>
    <x v="15"/>
    <x v="4"/>
    <x v="2"/>
    <n v="131.80000000000001"/>
  </r>
  <r>
    <x v="4"/>
    <x v="5"/>
    <x v="53"/>
    <x v="17"/>
    <x v="5"/>
    <x v="0"/>
    <n v="132.1"/>
  </r>
  <r>
    <x v="4"/>
    <x v="5"/>
    <x v="53"/>
    <x v="17"/>
    <x v="5"/>
    <x v="1"/>
    <n v="129.4"/>
  </r>
  <r>
    <x v="4"/>
    <x v="5"/>
    <x v="53"/>
    <x v="17"/>
    <x v="5"/>
    <x v="2"/>
    <n v="125"/>
  </r>
  <r>
    <x v="4"/>
    <x v="5"/>
    <x v="53"/>
    <x v="19"/>
    <x v="6"/>
    <x v="0"/>
    <n v="136.1"/>
  </r>
  <r>
    <x v="4"/>
    <x v="5"/>
    <x v="53"/>
    <x v="19"/>
    <x v="6"/>
    <x v="1"/>
    <n v="131.9"/>
  </r>
  <r>
    <x v="4"/>
    <x v="5"/>
    <x v="53"/>
    <x v="19"/>
    <x v="6"/>
    <x v="2"/>
    <n v="127.2"/>
  </r>
  <r>
    <x v="4"/>
    <x v="5"/>
    <x v="53"/>
    <x v="21"/>
    <x v="6"/>
    <x v="0"/>
    <n v="0"/>
  </r>
  <r>
    <x v="4"/>
    <x v="5"/>
    <x v="53"/>
    <x v="21"/>
    <x v="6"/>
    <x v="1"/>
    <n v="132.6"/>
  </r>
  <r>
    <x v="4"/>
    <x v="5"/>
    <x v="53"/>
    <x v="21"/>
    <x v="6"/>
    <x v="2"/>
    <n v="132.6"/>
  </r>
  <r>
    <x v="4"/>
    <x v="5"/>
    <x v="53"/>
    <x v="2"/>
    <x v="0"/>
    <x v="0"/>
    <n v="144.19999999999999"/>
  </r>
  <r>
    <x v="4"/>
    <x v="5"/>
    <x v="53"/>
    <x v="2"/>
    <x v="0"/>
    <x v="1"/>
    <n v="145.69999999999999"/>
  </r>
  <r>
    <x v="4"/>
    <x v="5"/>
    <x v="53"/>
    <x v="2"/>
    <x v="0"/>
    <x v="2"/>
    <n v="148.4"/>
  </r>
  <r>
    <x v="4"/>
    <x v="5"/>
    <x v="53"/>
    <x v="6"/>
    <x v="0"/>
    <x v="0"/>
    <n v="139"/>
  </r>
  <r>
    <x v="4"/>
    <x v="5"/>
    <x v="53"/>
    <x v="6"/>
    <x v="0"/>
    <x v="1"/>
    <n v="138.5"/>
  </r>
  <r>
    <x v="4"/>
    <x v="5"/>
    <x v="53"/>
    <x v="6"/>
    <x v="0"/>
    <x v="2"/>
    <n v="137.69999999999999"/>
  </r>
  <r>
    <x v="4"/>
    <x v="5"/>
    <x v="53"/>
    <x v="23"/>
    <x v="7"/>
    <x v="0"/>
    <n v="128.6"/>
  </r>
  <r>
    <x v="4"/>
    <x v="5"/>
    <x v="53"/>
    <x v="23"/>
    <x v="7"/>
    <x v="1"/>
    <n v="125.9"/>
  </r>
  <r>
    <x v="4"/>
    <x v="5"/>
    <x v="53"/>
    <x v="23"/>
    <x v="7"/>
    <x v="2"/>
    <n v="123"/>
  </r>
  <r>
    <x v="4"/>
    <x v="5"/>
    <x v="53"/>
    <x v="18"/>
    <x v="0"/>
    <x v="0"/>
    <n v="131.4"/>
  </r>
  <r>
    <x v="4"/>
    <x v="5"/>
    <x v="53"/>
    <x v="18"/>
    <x v="0"/>
    <x v="1"/>
    <n v="128.5"/>
  </r>
  <r>
    <x v="4"/>
    <x v="5"/>
    <x v="53"/>
    <x v="18"/>
    <x v="0"/>
    <x v="2"/>
    <n v="124.4"/>
  </r>
  <r>
    <x v="4"/>
    <x v="5"/>
    <x v="53"/>
    <x v="7"/>
    <x v="0"/>
    <x v="0"/>
    <n v="120.9"/>
  </r>
  <r>
    <x v="4"/>
    <x v="5"/>
    <x v="53"/>
    <x v="7"/>
    <x v="0"/>
    <x v="1"/>
    <n v="118.1"/>
  </r>
  <r>
    <x v="4"/>
    <x v="5"/>
    <x v="53"/>
    <x v="7"/>
    <x v="0"/>
    <x v="2"/>
    <n v="113.4"/>
  </r>
  <r>
    <x v="4"/>
    <x v="5"/>
    <x v="53"/>
    <x v="22"/>
    <x v="7"/>
    <x v="0"/>
    <n v="147.4"/>
  </r>
  <r>
    <x v="4"/>
    <x v="5"/>
    <x v="53"/>
    <x v="22"/>
    <x v="7"/>
    <x v="1"/>
    <n v="148.19999999999999"/>
  </r>
  <r>
    <x v="4"/>
    <x v="5"/>
    <x v="53"/>
    <x v="22"/>
    <x v="7"/>
    <x v="2"/>
    <n v="150.5"/>
  </r>
  <r>
    <x v="4"/>
    <x v="5"/>
    <x v="53"/>
    <x v="24"/>
    <x v="7"/>
    <x v="0"/>
    <n v="124.4"/>
  </r>
  <r>
    <x v="4"/>
    <x v="5"/>
    <x v="53"/>
    <x v="24"/>
    <x v="7"/>
    <x v="1"/>
    <n v="123.6"/>
  </r>
  <r>
    <x v="4"/>
    <x v="5"/>
    <x v="53"/>
    <x v="24"/>
    <x v="7"/>
    <x v="2"/>
    <n v="122.4"/>
  </r>
  <r>
    <x v="4"/>
    <x v="5"/>
    <x v="53"/>
    <x v="20"/>
    <x v="0"/>
    <x v="0"/>
    <n v="147.69999999999999"/>
  </r>
  <r>
    <x v="4"/>
    <x v="5"/>
    <x v="53"/>
    <x v="20"/>
    <x v="0"/>
    <x v="1"/>
    <n v="145.80000000000001"/>
  </r>
  <r>
    <x v="4"/>
    <x v="5"/>
    <x v="53"/>
    <x v="20"/>
    <x v="0"/>
    <x v="2"/>
    <n v="143.69999999999999"/>
  </r>
  <r>
    <x v="4"/>
    <x v="5"/>
    <x v="53"/>
    <x v="12"/>
    <x v="0"/>
    <x v="0"/>
    <n v="138.1"/>
  </r>
  <r>
    <x v="4"/>
    <x v="5"/>
    <x v="53"/>
    <x v="12"/>
    <x v="0"/>
    <x v="1"/>
    <n v="133.6"/>
  </r>
  <r>
    <x v="4"/>
    <x v="5"/>
    <x v="53"/>
    <x v="12"/>
    <x v="0"/>
    <x v="2"/>
    <n v="124.7"/>
  </r>
  <r>
    <x v="4"/>
    <x v="5"/>
    <x v="53"/>
    <x v="26"/>
    <x v="9"/>
    <x v="0"/>
    <n v="130.6"/>
  </r>
  <r>
    <x v="4"/>
    <x v="5"/>
    <x v="53"/>
    <x v="26"/>
    <x v="9"/>
    <x v="1"/>
    <n v="126.6"/>
  </r>
  <r>
    <x v="4"/>
    <x v="5"/>
    <x v="53"/>
    <x v="26"/>
    <x v="9"/>
    <x v="2"/>
    <n v="123.5"/>
  </r>
  <r>
    <x v="4"/>
    <x v="5"/>
    <x v="53"/>
    <x v="16"/>
    <x v="0"/>
    <x v="0"/>
    <n v="133.9"/>
  </r>
  <r>
    <x v="4"/>
    <x v="5"/>
    <x v="53"/>
    <x v="16"/>
    <x v="0"/>
    <x v="1"/>
    <n v="135.19999999999999"/>
  </r>
  <r>
    <x v="4"/>
    <x v="5"/>
    <x v="53"/>
    <x v="16"/>
    <x v="0"/>
    <x v="2"/>
    <n v="137.80000000000001"/>
  </r>
  <r>
    <x v="4"/>
    <x v="5"/>
    <x v="53"/>
    <x v="14"/>
    <x v="0"/>
    <x v="0"/>
    <n v="120"/>
  </r>
  <r>
    <x v="4"/>
    <x v="5"/>
    <x v="53"/>
    <x v="14"/>
    <x v="0"/>
    <x v="1"/>
    <n v="120.5"/>
  </r>
  <r>
    <x v="4"/>
    <x v="5"/>
    <x v="53"/>
    <x v="14"/>
    <x v="0"/>
    <x v="2"/>
    <n v="121.5"/>
  </r>
  <r>
    <x v="4"/>
    <x v="5"/>
    <x v="53"/>
    <x v="25"/>
    <x v="8"/>
    <x v="0"/>
    <n v="119.1"/>
  </r>
  <r>
    <x v="4"/>
    <x v="5"/>
    <x v="53"/>
    <x v="25"/>
    <x v="8"/>
    <x v="1"/>
    <n v="116"/>
  </r>
  <r>
    <x v="4"/>
    <x v="5"/>
    <x v="53"/>
    <x v="25"/>
    <x v="8"/>
    <x v="2"/>
    <n v="113.2"/>
  </r>
  <r>
    <x v="4"/>
    <x v="5"/>
    <x v="53"/>
    <x v="11"/>
    <x v="0"/>
    <x v="0"/>
    <n v="151.5"/>
  </r>
  <r>
    <x v="4"/>
    <x v="5"/>
    <x v="53"/>
    <x v="11"/>
    <x v="0"/>
    <x v="1"/>
    <n v="159.5"/>
  </r>
  <r>
    <x v="4"/>
    <x v="5"/>
    <x v="53"/>
    <x v="11"/>
    <x v="0"/>
    <x v="2"/>
    <n v="175.1"/>
  </r>
  <r>
    <x v="4"/>
    <x v="6"/>
    <x v="54"/>
    <x v="0"/>
    <x v="0"/>
    <x v="0"/>
    <n v="133.5"/>
  </r>
  <r>
    <x v="4"/>
    <x v="6"/>
    <x v="54"/>
    <x v="0"/>
    <x v="0"/>
    <x v="1"/>
    <n v="133.30000000000001"/>
  </r>
  <r>
    <x v="4"/>
    <x v="6"/>
    <x v="54"/>
    <x v="0"/>
    <x v="0"/>
    <x v="2"/>
    <n v="132.9"/>
  </r>
  <r>
    <x v="4"/>
    <x v="6"/>
    <x v="54"/>
    <x v="1"/>
    <x v="1"/>
    <x v="0"/>
    <n v="143.1"/>
  </r>
  <r>
    <x v="4"/>
    <x v="6"/>
    <x v="54"/>
    <x v="1"/>
    <x v="1"/>
    <x v="1"/>
    <n v="138.5"/>
  </r>
  <r>
    <x v="4"/>
    <x v="6"/>
    <x v="54"/>
    <x v="1"/>
    <x v="1"/>
    <x v="2"/>
    <n v="131.5"/>
  </r>
  <r>
    <x v="4"/>
    <x v="6"/>
    <x v="54"/>
    <x v="3"/>
    <x v="1"/>
    <x v="0"/>
    <n v="142.30000000000001"/>
  </r>
  <r>
    <x v="4"/>
    <x v="6"/>
    <x v="54"/>
    <x v="3"/>
    <x v="1"/>
    <x v="1"/>
    <n v="137.5"/>
  </r>
  <r>
    <x v="4"/>
    <x v="6"/>
    <x v="54"/>
    <x v="3"/>
    <x v="1"/>
    <x v="2"/>
    <n v="130.19999999999999"/>
  </r>
  <r>
    <x v="4"/>
    <x v="6"/>
    <x v="54"/>
    <x v="5"/>
    <x v="2"/>
    <x v="0"/>
    <n v="136.9"/>
  </r>
  <r>
    <x v="4"/>
    <x v="6"/>
    <x v="54"/>
    <x v="5"/>
    <x v="2"/>
    <x v="1"/>
    <n v="135.4"/>
  </r>
  <r>
    <x v="4"/>
    <x v="6"/>
    <x v="54"/>
    <x v="5"/>
    <x v="2"/>
    <x v="2"/>
    <n v="134.30000000000001"/>
  </r>
  <r>
    <x v="4"/>
    <x v="6"/>
    <x v="54"/>
    <x v="4"/>
    <x v="0"/>
    <x v="0"/>
    <n v="128"/>
  </r>
  <r>
    <x v="4"/>
    <x v="6"/>
    <x v="54"/>
    <x v="4"/>
    <x v="0"/>
    <x v="1"/>
    <n v="128.1"/>
  </r>
  <r>
    <x v="4"/>
    <x v="6"/>
    <x v="54"/>
    <x v="4"/>
    <x v="0"/>
    <x v="2"/>
    <n v="128.30000000000001"/>
  </r>
  <r>
    <x v="4"/>
    <x v="6"/>
    <x v="54"/>
    <x v="8"/>
    <x v="0"/>
    <x v="0"/>
    <n v="134.9"/>
  </r>
  <r>
    <x v="4"/>
    <x v="6"/>
    <x v="54"/>
    <x v="8"/>
    <x v="0"/>
    <x v="1"/>
    <n v="135.19999999999999"/>
  </r>
  <r>
    <x v="4"/>
    <x v="6"/>
    <x v="54"/>
    <x v="8"/>
    <x v="0"/>
    <x v="2"/>
    <n v="135.69999999999999"/>
  </r>
  <r>
    <x v="4"/>
    <x v="6"/>
    <x v="54"/>
    <x v="10"/>
    <x v="1"/>
    <x v="0"/>
    <n v="137.69999999999999"/>
  </r>
  <r>
    <x v="4"/>
    <x v="6"/>
    <x v="54"/>
    <x v="10"/>
    <x v="1"/>
    <x v="1"/>
    <n v="131.69999999999999"/>
  </r>
  <r>
    <x v="4"/>
    <x v="6"/>
    <x v="54"/>
    <x v="10"/>
    <x v="1"/>
    <x v="2"/>
    <n v="123.2"/>
  </r>
  <r>
    <x v="4"/>
    <x v="6"/>
    <x v="54"/>
    <x v="9"/>
    <x v="0"/>
    <x v="0"/>
    <n v="140.9"/>
  </r>
  <r>
    <x v="4"/>
    <x v="6"/>
    <x v="54"/>
    <x v="9"/>
    <x v="0"/>
    <x v="1"/>
    <n v="139.19999999999999"/>
  </r>
  <r>
    <x v="4"/>
    <x v="6"/>
    <x v="54"/>
    <x v="9"/>
    <x v="0"/>
    <x v="2"/>
    <n v="137.19999999999999"/>
  </r>
  <r>
    <x v="4"/>
    <x v="6"/>
    <x v="54"/>
    <x v="13"/>
    <x v="3"/>
    <x v="0"/>
    <n v="134.80000000000001"/>
  </r>
  <r>
    <x v="4"/>
    <x v="6"/>
    <x v="54"/>
    <x v="13"/>
    <x v="3"/>
    <x v="1"/>
    <n v="128.80000000000001"/>
  </r>
  <r>
    <x v="4"/>
    <x v="6"/>
    <x v="54"/>
    <x v="13"/>
    <x v="3"/>
    <x v="2"/>
    <n v="119"/>
  </r>
  <r>
    <x v="4"/>
    <x v="6"/>
    <x v="54"/>
    <x v="15"/>
    <x v="4"/>
    <x v="0"/>
    <n v="133.9"/>
  </r>
  <r>
    <x v="4"/>
    <x v="6"/>
    <x v="54"/>
    <x v="15"/>
    <x v="4"/>
    <x v="1"/>
    <n v="132"/>
  </r>
  <r>
    <x v="4"/>
    <x v="6"/>
    <x v="54"/>
    <x v="15"/>
    <x v="4"/>
    <x v="2"/>
    <n v="129.9"/>
  </r>
  <r>
    <x v="4"/>
    <x v="6"/>
    <x v="54"/>
    <x v="17"/>
    <x v="5"/>
    <x v="0"/>
    <n v="131.30000000000001"/>
  </r>
  <r>
    <x v="4"/>
    <x v="6"/>
    <x v="54"/>
    <x v="17"/>
    <x v="5"/>
    <x v="1"/>
    <n v="128.5"/>
  </r>
  <r>
    <x v="4"/>
    <x v="6"/>
    <x v="54"/>
    <x v="17"/>
    <x v="5"/>
    <x v="2"/>
    <n v="123.8"/>
  </r>
  <r>
    <x v="4"/>
    <x v="6"/>
    <x v="54"/>
    <x v="19"/>
    <x v="6"/>
    <x v="0"/>
    <n v="135.19999999999999"/>
  </r>
  <r>
    <x v="4"/>
    <x v="6"/>
    <x v="54"/>
    <x v="19"/>
    <x v="6"/>
    <x v="1"/>
    <n v="131.19999999999999"/>
  </r>
  <r>
    <x v="4"/>
    <x v="6"/>
    <x v="54"/>
    <x v="19"/>
    <x v="6"/>
    <x v="2"/>
    <n v="126.8"/>
  </r>
  <r>
    <x v="4"/>
    <x v="6"/>
    <x v="54"/>
    <x v="21"/>
    <x v="6"/>
    <x v="0"/>
    <n v="0"/>
  </r>
  <r>
    <x v="4"/>
    <x v="6"/>
    <x v="54"/>
    <x v="21"/>
    <x v="6"/>
    <x v="1"/>
    <n v="131.4"/>
  </r>
  <r>
    <x v="4"/>
    <x v="6"/>
    <x v="54"/>
    <x v="21"/>
    <x v="6"/>
    <x v="2"/>
    <n v="131.4"/>
  </r>
  <r>
    <x v="4"/>
    <x v="6"/>
    <x v="54"/>
    <x v="2"/>
    <x v="0"/>
    <x v="0"/>
    <n v="143.69999999999999"/>
  </r>
  <r>
    <x v="4"/>
    <x v="6"/>
    <x v="54"/>
    <x v="2"/>
    <x v="0"/>
    <x v="1"/>
    <n v="145.5"/>
  </r>
  <r>
    <x v="4"/>
    <x v="6"/>
    <x v="54"/>
    <x v="2"/>
    <x v="0"/>
    <x v="2"/>
    <n v="148.69999999999999"/>
  </r>
  <r>
    <x v="4"/>
    <x v="6"/>
    <x v="54"/>
    <x v="6"/>
    <x v="0"/>
    <x v="0"/>
    <n v="138.6"/>
  </r>
  <r>
    <x v="4"/>
    <x v="6"/>
    <x v="54"/>
    <x v="6"/>
    <x v="0"/>
    <x v="1"/>
    <n v="138.1"/>
  </r>
  <r>
    <x v="4"/>
    <x v="6"/>
    <x v="54"/>
    <x v="6"/>
    <x v="0"/>
    <x v="2"/>
    <n v="137.30000000000001"/>
  </r>
  <r>
    <x v="4"/>
    <x v="6"/>
    <x v="54"/>
    <x v="23"/>
    <x v="7"/>
    <x v="0"/>
    <n v="128.1"/>
  </r>
  <r>
    <x v="4"/>
    <x v="6"/>
    <x v="54"/>
    <x v="23"/>
    <x v="7"/>
    <x v="1"/>
    <n v="125.5"/>
  </r>
  <r>
    <x v="4"/>
    <x v="6"/>
    <x v="54"/>
    <x v="23"/>
    <x v="7"/>
    <x v="2"/>
    <n v="122.7"/>
  </r>
  <r>
    <x v="4"/>
    <x v="6"/>
    <x v="54"/>
    <x v="18"/>
    <x v="0"/>
    <x v="0"/>
    <n v="130.4"/>
  </r>
  <r>
    <x v="4"/>
    <x v="6"/>
    <x v="54"/>
    <x v="18"/>
    <x v="0"/>
    <x v="1"/>
    <n v="127.8"/>
  </r>
  <r>
    <x v="4"/>
    <x v="6"/>
    <x v="54"/>
    <x v="18"/>
    <x v="0"/>
    <x v="2"/>
    <n v="124.2"/>
  </r>
  <r>
    <x v="4"/>
    <x v="6"/>
    <x v="54"/>
    <x v="7"/>
    <x v="0"/>
    <x v="0"/>
    <n v="120.9"/>
  </r>
  <r>
    <x v="4"/>
    <x v="6"/>
    <x v="54"/>
    <x v="7"/>
    <x v="0"/>
    <x v="1"/>
    <n v="118.2"/>
  </r>
  <r>
    <x v="4"/>
    <x v="6"/>
    <x v="54"/>
    <x v="7"/>
    <x v="0"/>
    <x v="2"/>
    <n v="113.5"/>
  </r>
  <r>
    <x v="4"/>
    <x v="6"/>
    <x v="54"/>
    <x v="22"/>
    <x v="7"/>
    <x v="0"/>
    <n v="145.80000000000001"/>
  </r>
  <r>
    <x v="4"/>
    <x v="6"/>
    <x v="54"/>
    <x v="22"/>
    <x v="7"/>
    <x v="1"/>
    <n v="146.5"/>
  </r>
  <r>
    <x v="4"/>
    <x v="6"/>
    <x v="54"/>
    <x v="22"/>
    <x v="7"/>
    <x v="2"/>
    <n v="148.6"/>
  </r>
  <r>
    <x v="4"/>
    <x v="6"/>
    <x v="54"/>
    <x v="24"/>
    <x v="7"/>
    <x v="0"/>
    <n v="124.1"/>
  </r>
  <r>
    <x v="4"/>
    <x v="6"/>
    <x v="54"/>
    <x v="24"/>
    <x v="7"/>
    <x v="1"/>
    <n v="123.4"/>
  </r>
  <r>
    <x v="4"/>
    <x v="6"/>
    <x v="54"/>
    <x v="24"/>
    <x v="7"/>
    <x v="2"/>
    <n v="122.5"/>
  </r>
  <r>
    <x v="4"/>
    <x v="6"/>
    <x v="54"/>
    <x v="20"/>
    <x v="0"/>
    <x v="0"/>
    <n v="146.5"/>
  </r>
  <r>
    <x v="4"/>
    <x v="6"/>
    <x v="54"/>
    <x v="20"/>
    <x v="0"/>
    <x v="1"/>
    <n v="144.9"/>
  </r>
  <r>
    <x v="4"/>
    <x v="6"/>
    <x v="54"/>
    <x v="20"/>
    <x v="0"/>
    <x v="2"/>
    <n v="143.1"/>
  </r>
  <r>
    <x v="4"/>
    <x v="6"/>
    <x v="54"/>
    <x v="12"/>
    <x v="0"/>
    <x v="0"/>
    <n v="140.19999999999999"/>
  </r>
  <r>
    <x v="4"/>
    <x v="6"/>
    <x v="54"/>
    <x v="12"/>
    <x v="0"/>
    <x v="1"/>
    <n v="136.19999999999999"/>
  </r>
  <r>
    <x v="4"/>
    <x v="6"/>
    <x v="54"/>
    <x v="12"/>
    <x v="0"/>
    <x v="2"/>
    <n v="128.19999999999999"/>
  </r>
  <r>
    <x v="4"/>
    <x v="6"/>
    <x v="54"/>
    <x v="26"/>
    <x v="9"/>
    <x v="0"/>
    <n v="129.80000000000001"/>
  </r>
  <r>
    <x v="4"/>
    <x v="6"/>
    <x v="54"/>
    <x v="26"/>
    <x v="9"/>
    <x v="1"/>
    <n v="125.9"/>
  </r>
  <r>
    <x v="4"/>
    <x v="6"/>
    <x v="54"/>
    <x v="26"/>
    <x v="9"/>
    <x v="2"/>
    <n v="122.9"/>
  </r>
  <r>
    <x v="4"/>
    <x v="6"/>
    <x v="54"/>
    <x v="16"/>
    <x v="0"/>
    <x v="0"/>
    <n v="133.5"/>
  </r>
  <r>
    <x v="4"/>
    <x v="6"/>
    <x v="54"/>
    <x v="16"/>
    <x v="0"/>
    <x v="1"/>
    <n v="135.30000000000001"/>
  </r>
  <r>
    <x v="4"/>
    <x v="6"/>
    <x v="54"/>
    <x v="16"/>
    <x v="0"/>
    <x v="2"/>
    <n v="138.80000000000001"/>
  </r>
  <r>
    <x v="4"/>
    <x v="6"/>
    <x v="54"/>
    <x v="14"/>
    <x v="0"/>
    <x v="0"/>
    <n v="118.9"/>
  </r>
  <r>
    <x v="4"/>
    <x v="6"/>
    <x v="54"/>
    <x v="14"/>
    <x v="0"/>
    <x v="1"/>
    <n v="119.6"/>
  </r>
  <r>
    <x v="4"/>
    <x v="6"/>
    <x v="54"/>
    <x v="14"/>
    <x v="0"/>
    <x v="2"/>
    <n v="120.9"/>
  </r>
  <r>
    <x v="4"/>
    <x v="6"/>
    <x v="54"/>
    <x v="25"/>
    <x v="8"/>
    <x v="0"/>
    <n v="119.4"/>
  </r>
  <r>
    <x v="4"/>
    <x v="6"/>
    <x v="54"/>
    <x v="25"/>
    <x v="8"/>
    <x v="1"/>
    <n v="116.5"/>
  </r>
  <r>
    <x v="4"/>
    <x v="6"/>
    <x v="54"/>
    <x v="25"/>
    <x v="8"/>
    <x v="2"/>
    <n v="113.9"/>
  </r>
  <r>
    <x v="4"/>
    <x v="6"/>
    <x v="54"/>
    <x v="11"/>
    <x v="0"/>
    <x v="0"/>
    <n v="128.80000000000001"/>
  </r>
  <r>
    <x v="4"/>
    <x v="6"/>
    <x v="54"/>
    <x v="11"/>
    <x v="0"/>
    <x v="1"/>
    <n v="133.30000000000001"/>
  </r>
  <r>
    <x v="4"/>
    <x v="6"/>
    <x v="54"/>
    <x v="11"/>
    <x v="0"/>
    <x v="2"/>
    <n v="142.19999999999999"/>
  </r>
  <r>
    <x v="4"/>
    <x v="7"/>
    <x v="55"/>
    <x v="0"/>
    <x v="0"/>
    <x v="0"/>
    <n v="133.6"/>
  </r>
  <r>
    <x v="4"/>
    <x v="7"/>
    <x v="55"/>
    <x v="0"/>
    <x v="0"/>
    <x v="1"/>
    <n v="133.30000000000001"/>
  </r>
  <r>
    <x v="4"/>
    <x v="7"/>
    <x v="55"/>
    <x v="0"/>
    <x v="0"/>
    <x v="2"/>
    <n v="132.69999999999999"/>
  </r>
  <r>
    <x v="4"/>
    <x v="7"/>
    <x v="55"/>
    <x v="1"/>
    <x v="1"/>
    <x v="0"/>
    <n v="141.6"/>
  </r>
  <r>
    <x v="4"/>
    <x v="7"/>
    <x v="55"/>
    <x v="1"/>
    <x v="1"/>
    <x v="1"/>
    <n v="137.30000000000001"/>
  </r>
  <r>
    <x v="4"/>
    <x v="7"/>
    <x v="55"/>
    <x v="1"/>
    <x v="1"/>
    <x v="2"/>
    <n v="130.80000000000001"/>
  </r>
  <r>
    <x v="4"/>
    <x v="7"/>
    <x v="55"/>
    <x v="3"/>
    <x v="1"/>
    <x v="0"/>
    <n v="140.80000000000001"/>
  </r>
  <r>
    <x v="4"/>
    <x v="7"/>
    <x v="55"/>
    <x v="3"/>
    <x v="1"/>
    <x v="1"/>
    <n v="136.4"/>
  </r>
  <r>
    <x v="4"/>
    <x v="7"/>
    <x v="55"/>
    <x v="3"/>
    <x v="1"/>
    <x v="2"/>
    <n v="129.6"/>
  </r>
  <r>
    <x v="4"/>
    <x v="7"/>
    <x v="55"/>
    <x v="5"/>
    <x v="2"/>
    <x v="0"/>
    <n v="135.19999999999999"/>
  </r>
  <r>
    <x v="4"/>
    <x v="7"/>
    <x v="55"/>
    <x v="5"/>
    <x v="2"/>
    <x v="1"/>
    <n v="133.80000000000001"/>
  </r>
  <r>
    <x v="4"/>
    <x v="7"/>
    <x v="55"/>
    <x v="5"/>
    <x v="2"/>
    <x v="2"/>
    <n v="132.80000000000001"/>
  </r>
  <r>
    <x v="4"/>
    <x v="7"/>
    <x v="55"/>
    <x v="4"/>
    <x v="0"/>
    <x v="0"/>
    <n v="128.80000000000001"/>
  </r>
  <r>
    <x v="4"/>
    <x v="7"/>
    <x v="55"/>
    <x v="4"/>
    <x v="0"/>
    <x v="1"/>
    <n v="128.6"/>
  </r>
  <r>
    <x v="4"/>
    <x v="7"/>
    <x v="55"/>
    <x v="4"/>
    <x v="0"/>
    <x v="2"/>
    <n v="128.4"/>
  </r>
  <r>
    <x v="4"/>
    <x v="7"/>
    <x v="55"/>
    <x v="8"/>
    <x v="0"/>
    <x v="0"/>
    <n v="133.4"/>
  </r>
  <r>
    <x v="4"/>
    <x v="7"/>
    <x v="55"/>
    <x v="8"/>
    <x v="0"/>
    <x v="1"/>
    <n v="133.1"/>
  </r>
  <r>
    <x v="4"/>
    <x v="7"/>
    <x v="55"/>
    <x v="8"/>
    <x v="0"/>
    <x v="2"/>
    <n v="132.6"/>
  </r>
  <r>
    <x v="4"/>
    <x v="7"/>
    <x v="55"/>
    <x v="10"/>
    <x v="1"/>
    <x v="0"/>
    <n v="136.19999999999999"/>
  </r>
  <r>
    <x v="4"/>
    <x v="7"/>
    <x v="55"/>
    <x v="10"/>
    <x v="1"/>
    <x v="1"/>
    <n v="130.6"/>
  </r>
  <r>
    <x v="4"/>
    <x v="7"/>
    <x v="55"/>
    <x v="10"/>
    <x v="1"/>
    <x v="2"/>
    <n v="122.8"/>
  </r>
  <r>
    <x v="4"/>
    <x v="7"/>
    <x v="55"/>
    <x v="9"/>
    <x v="0"/>
    <x v="0"/>
    <n v="139.69999999999999"/>
  </r>
  <r>
    <x v="4"/>
    <x v="7"/>
    <x v="55"/>
    <x v="9"/>
    <x v="0"/>
    <x v="1"/>
    <n v="138.30000000000001"/>
  </r>
  <r>
    <x v="4"/>
    <x v="7"/>
    <x v="55"/>
    <x v="9"/>
    <x v="0"/>
    <x v="2"/>
    <n v="136.80000000000001"/>
  </r>
  <r>
    <x v="4"/>
    <x v="7"/>
    <x v="55"/>
    <x v="13"/>
    <x v="3"/>
    <x v="0"/>
    <n v="134.19999999999999"/>
  </r>
  <r>
    <x v="4"/>
    <x v="7"/>
    <x v="55"/>
    <x v="13"/>
    <x v="3"/>
    <x v="1"/>
    <n v="129.1"/>
  </r>
  <r>
    <x v="4"/>
    <x v="7"/>
    <x v="55"/>
    <x v="13"/>
    <x v="3"/>
    <x v="2"/>
    <n v="120.8"/>
  </r>
  <r>
    <x v="4"/>
    <x v="7"/>
    <x v="55"/>
    <x v="15"/>
    <x v="4"/>
    <x v="0"/>
    <n v="132.80000000000001"/>
  </r>
  <r>
    <x v="4"/>
    <x v="7"/>
    <x v="55"/>
    <x v="15"/>
    <x v="4"/>
    <x v="1"/>
    <n v="130.9"/>
  </r>
  <r>
    <x v="4"/>
    <x v="7"/>
    <x v="55"/>
    <x v="15"/>
    <x v="4"/>
    <x v="2"/>
    <n v="128.69999999999999"/>
  </r>
  <r>
    <x v="4"/>
    <x v="7"/>
    <x v="55"/>
    <x v="17"/>
    <x v="5"/>
    <x v="0"/>
    <n v="130.6"/>
  </r>
  <r>
    <x v="4"/>
    <x v="7"/>
    <x v="55"/>
    <x v="17"/>
    <x v="5"/>
    <x v="1"/>
    <n v="127.8"/>
  </r>
  <r>
    <x v="4"/>
    <x v="7"/>
    <x v="55"/>
    <x v="17"/>
    <x v="5"/>
    <x v="2"/>
    <n v="123.1"/>
  </r>
  <r>
    <x v="4"/>
    <x v="7"/>
    <x v="55"/>
    <x v="19"/>
    <x v="6"/>
    <x v="0"/>
    <n v="134.1"/>
  </r>
  <r>
    <x v="4"/>
    <x v="7"/>
    <x v="55"/>
    <x v="19"/>
    <x v="6"/>
    <x v="1"/>
    <n v="130.1"/>
  </r>
  <r>
    <x v="4"/>
    <x v="7"/>
    <x v="55"/>
    <x v="19"/>
    <x v="6"/>
    <x v="2"/>
    <n v="125.6"/>
  </r>
  <r>
    <x v="4"/>
    <x v="7"/>
    <x v="55"/>
    <x v="21"/>
    <x v="6"/>
    <x v="0"/>
    <n v="0"/>
  </r>
  <r>
    <x v="4"/>
    <x v="7"/>
    <x v="55"/>
    <x v="21"/>
    <x v="6"/>
    <x v="1"/>
    <n v="131.1"/>
  </r>
  <r>
    <x v="4"/>
    <x v="7"/>
    <x v="55"/>
    <x v="21"/>
    <x v="6"/>
    <x v="2"/>
    <n v="131.1"/>
  </r>
  <r>
    <x v="4"/>
    <x v="7"/>
    <x v="55"/>
    <x v="2"/>
    <x v="0"/>
    <x v="0"/>
    <n v="138.80000000000001"/>
  </r>
  <r>
    <x v="4"/>
    <x v="7"/>
    <x v="55"/>
    <x v="2"/>
    <x v="0"/>
    <x v="1"/>
    <n v="139"/>
  </r>
  <r>
    <x v="4"/>
    <x v="7"/>
    <x v="55"/>
    <x v="2"/>
    <x v="0"/>
    <x v="2"/>
    <n v="139.4"/>
  </r>
  <r>
    <x v="4"/>
    <x v="7"/>
    <x v="55"/>
    <x v="6"/>
    <x v="0"/>
    <x v="0"/>
    <n v="137.19999999999999"/>
  </r>
  <r>
    <x v="4"/>
    <x v="7"/>
    <x v="55"/>
    <x v="6"/>
    <x v="0"/>
    <x v="1"/>
    <n v="136.30000000000001"/>
  </r>
  <r>
    <x v="4"/>
    <x v="7"/>
    <x v="55"/>
    <x v="6"/>
    <x v="0"/>
    <x v="2"/>
    <n v="134.9"/>
  </r>
  <r>
    <x v="4"/>
    <x v="7"/>
    <x v="55"/>
    <x v="23"/>
    <x v="7"/>
    <x v="0"/>
    <n v="127.4"/>
  </r>
  <r>
    <x v="4"/>
    <x v="7"/>
    <x v="55"/>
    <x v="23"/>
    <x v="7"/>
    <x v="1"/>
    <n v="125.1"/>
  </r>
  <r>
    <x v="4"/>
    <x v="7"/>
    <x v="55"/>
    <x v="23"/>
    <x v="7"/>
    <x v="2"/>
    <n v="122.6"/>
  </r>
  <r>
    <x v="4"/>
    <x v="7"/>
    <x v="55"/>
    <x v="18"/>
    <x v="0"/>
    <x v="0"/>
    <n v="129.80000000000001"/>
  </r>
  <r>
    <x v="4"/>
    <x v="7"/>
    <x v="55"/>
    <x v="18"/>
    <x v="0"/>
    <x v="1"/>
    <n v="127.2"/>
  </r>
  <r>
    <x v="4"/>
    <x v="7"/>
    <x v="55"/>
    <x v="18"/>
    <x v="0"/>
    <x v="2"/>
    <n v="123.6"/>
  </r>
  <r>
    <x v="4"/>
    <x v="7"/>
    <x v="55"/>
    <x v="7"/>
    <x v="0"/>
    <x v="0"/>
    <n v="121.6"/>
  </r>
  <r>
    <x v="4"/>
    <x v="7"/>
    <x v="55"/>
    <x v="7"/>
    <x v="0"/>
    <x v="1"/>
    <n v="118.8"/>
  </r>
  <r>
    <x v="4"/>
    <x v="7"/>
    <x v="55"/>
    <x v="7"/>
    <x v="0"/>
    <x v="2"/>
    <n v="114"/>
  </r>
  <r>
    <x v="4"/>
    <x v="7"/>
    <x v="55"/>
    <x v="22"/>
    <x v="7"/>
    <x v="0"/>
    <n v="144.19999999999999"/>
  </r>
  <r>
    <x v="4"/>
    <x v="7"/>
    <x v="55"/>
    <x v="22"/>
    <x v="7"/>
    <x v="1"/>
    <n v="145.1"/>
  </r>
  <r>
    <x v="4"/>
    <x v="7"/>
    <x v="55"/>
    <x v="22"/>
    <x v="7"/>
    <x v="2"/>
    <n v="147.5"/>
  </r>
  <r>
    <x v="4"/>
    <x v="7"/>
    <x v="55"/>
    <x v="24"/>
    <x v="7"/>
    <x v="0"/>
    <n v="123.3"/>
  </r>
  <r>
    <x v="4"/>
    <x v="7"/>
    <x v="55"/>
    <x v="24"/>
    <x v="7"/>
    <x v="1"/>
    <n v="122.6"/>
  </r>
  <r>
    <x v="4"/>
    <x v="7"/>
    <x v="55"/>
    <x v="24"/>
    <x v="7"/>
    <x v="2"/>
    <n v="121.7"/>
  </r>
  <r>
    <x v="4"/>
    <x v="7"/>
    <x v="55"/>
    <x v="20"/>
    <x v="0"/>
    <x v="0"/>
    <n v="145.4"/>
  </r>
  <r>
    <x v="4"/>
    <x v="7"/>
    <x v="55"/>
    <x v="20"/>
    <x v="0"/>
    <x v="1"/>
    <n v="144"/>
  </r>
  <r>
    <x v="4"/>
    <x v="7"/>
    <x v="55"/>
    <x v="20"/>
    <x v="0"/>
    <x v="2"/>
    <n v="142.4"/>
  </r>
  <r>
    <x v="4"/>
    <x v="7"/>
    <x v="55"/>
    <x v="12"/>
    <x v="0"/>
    <x v="0"/>
    <n v="148"/>
  </r>
  <r>
    <x v="4"/>
    <x v="7"/>
    <x v="55"/>
    <x v="12"/>
    <x v="0"/>
    <x v="1"/>
    <n v="143.9"/>
  </r>
  <r>
    <x v="4"/>
    <x v="7"/>
    <x v="55"/>
    <x v="12"/>
    <x v="0"/>
    <x v="2"/>
    <n v="135.80000000000001"/>
  </r>
  <r>
    <x v="4"/>
    <x v="7"/>
    <x v="55"/>
    <x v="26"/>
    <x v="9"/>
    <x v="0"/>
    <n v="128.30000000000001"/>
  </r>
  <r>
    <x v="4"/>
    <x v="7"/>
    <x v="55"/>
    <x v="26"/>
    <x v="9"/>
    <x v="1"/>
    <n v="125"/>
  </r>
  <r>
    <x v="4"/>
    <x v="7"/>
    <x v="55"/>
    <x v="26"/>
    <x v="9"/>
    <x v="2"/>
    <n v="122.4"/>
  </r>
  <r>
    <x v="4"/>
    <x v="7"/>
    <x v="55"/>
    <x v="16"/>
    <x v="0"/>
    <x v="0"/>
    <n v="135.6"/>
  </r>
  <r>
    <x v="4"/>
    <x v="7"/>
    <x v="55"/>
    <x v="16"/>
    <x v="0"/>
    <x v="1"/>
    <n v="137.9"/>
  </r>
  <r>
    <x v="4"/>
    <x v="7"/>
    <x v="55"/>
    <x v="16"/>
    <x v="0"/>
    <x v="2"/>
    <n v="142.6"/>
  </r>
  <r>
    <x v="4"/>
    <x v="7"/>
    <x v="55"/>
    <x v="14"/>
    <x v="0"/>
    <x v="0"/>
    <n v="116.9"/>
  </r>
  <r>
    <x v="4"/>
    <x v="7"/>
    <x v="55"/>
    <x v="14"/>
    <x v="0"/>
    <x v="1"/>
    <n v="118"/>
  </r>
  <r>
    <x v="4"/>
    <x v="7"/>
    <x v="55"/>
    <x v="14"/>
    <x v="0"/>
    <x v="2"/>
    <n v="120.3"/>
  </r>
  <r>
    <x v="4"/>
    <x v="7"/>
    <x v="55"/>
    <x v="25"/>
    <x v="8"/>
    <x v="0"/>
    <n v="119.8"/>
  </r>
  <r>
    <x v="4"/>
    <x v="7"/>
    <x v="55"/>
    <x v="25"/>
    <x v="8"/>
    <x v="1"/>
    <n v="117.6"/>
  </r>
  <r>
    <x v="4"/>
    <x v="7"/>
    <x v="55"/>
    <x v="25"/>
    <x v="8"/>
    <x v="2"/>
    <n v="115.6"/>
  </r>
  <r>
    <x v="4"/>
    <x v="7"/>
    <x v="55"/>
    <x v="11"/>
    <x v="0"/>
    <x v="0"/>
    <n v="119.7"/>
  </r>
  <r>
    <x v="4"/>
    <x v="7"/>
    <x v="55"/>
    <x v="11"/>
    <x v="0"/>
    <x v="1"/>
    <n v="120.5"/>
  </r>
  <r>
    <x v="4"/>
    <x v="7"/>
    <x v="55"/>
    <x v="11"/>
    <x v="0"/>
    <x v="2"/>
    <n v="122.2"/>
  </r>
  <r>
    <x v="4"/>
    <x v="8"/>
    <x v="56"/>
    <x v="0"/>
    <x v="0"/>
    <x v="0"/>
    <n v="133.1"/>
  </r>
  <r>
    <x v="4"/>
    <x v="8"/>
    <x v="56"/>
    <x v="0"/>
    <x v="0"/>
    <x v="1"/>
    <n v="132.9"/>
  </r>
  <r>
    <x v="4"/>
    <x v="8"/>
    <x v="56"/>
    <x v="0"/>
    <x v="0"/>
    <x v="2"/>
    <n v="132.6"/>
  </r>
  <r>
    <x v="4"/>
    <x v="8"/>
    <x v="56"/>
    <x v="1"/>
    <x v="1"/>
    <x v="0"/>
    <n v="142.5"/>
  </r>
  <r>
    <x v="4"/>
    <x v="8"/>
    <x v="56"/>
    <x v="1"/>
    <x v="1"/>
    <x v="1"/>
    <n v="138.19999999999999"/>
  </r>
  <r>
    <x v="4"/>
    <x v="8"/>
    <x v="56"/>
    <x v="1"/>
    <x v="1"/>
    <x v="2"/>
    <n v="131.5"/>
  </r>
  <r>
    <x v="4"/>
    <x v="8"/>
    <x v="56"/>
    <x v="3"/>
    <x v="1"/>
    <x v="0"/>
    <n v="141.80000000000001"/>
  </r>
  <r>
    <x v="4"/>
    <x v="8"/>
    <x v="56"/>
    <x v="3"/>
    <x v="1"/>
    <x v="1"/>
    <n v="137.19999999999999"/>
  </r>
  <r>
    <x v="4"/>
    <x v="8"/>
    <x v="56"/>
    <x v="3"/>
    <x v="1"/>
    <x v="2"/>
    <n v="130.19999999999999"/>
  </r>
  <r>
    <x v="4"/>
    <x v="8"/>
    <x v="56"/>
    <x v="5"/>
    <x v="2"/>
    <x v="0"/>
    <n v="136.30000000000001"/>
  </r>
  <r>
    <x v="4"/>
    <x v="8"/>
    <x v="56"/>
    <x v="5"/>
    <x v="2"/>
    <x v="1"/>
    <n v="134.80000000000001"/>
  </r>
  <r>
    <x v="4"/>
    <x v="8"/>
    <x v="56"/>
    <x v="5"/>
    <x v="2"/>
    <x v="2"/>
    <n v="133.80000000000001"/>
  </r>
  <r>
    <x v="4"/>
    <x v="8"/>
    <x v="56"/>
    <x v="4"/>
    <x v="0"/>
    <x v="0"/>
    <n v="126.8"/>
  </r>
  <r>
    <x v="4"/>
    <x v="8"/>
    <x v="56"/>
    <x v="4"/>
    <x v="0"/>
    <x v="1"/>
    <n v="126.3"/>
  </r>
  <r>
    <x v="4"/>
    <x v="8"/>
    <x v="56"/>
    <x v="4"/>
    <x v="0"/>
    <x v="2"/>
    <n v="125.6"/>
  </r>
  <r>
    <x v="4"/>
    <x v="8"/>
    <x v="56"/>
    <x v="8"/>
    <x v="0"/>
    <x v="0"/>
    <n v="133.80000000000001"/>
  </r>
  <r>
    <x v="4"/>
    <x v="8"/>
    <x v="56"/>
    <x v="8"/>
    <x v="0"/>
    <x v="1"/>
    <n v="133.69999999999999"/>
  </r>
  <r>
    <x v="4"/>
    <x v="8"/>
    <x v="56"/>
    <x v="8"/>
    <x v="0"/>
    <x v="2"/>
    <n v="133.6"/>
  </r>
  <r>
    <x v="4"/>
    <x v="8"/>
    <x v="56"/>
    <x v="10"/>
    <x v="1"/>
    <x v="0"/>
    <n v="137.30000000000001"/>
  </r>
  <r>
    <x v="4"/>
    <x v="8"/>
    <x v="56"/>
    <x v="10"/>
    <x v="1"/>
    <x v="1"/>
    <n v="131.4"/>
  </r>
  <r>
    <x v="4"/>
    <x v="8"/>
    <x v="56"/>
    <x v="10"/>
    <x v="1"/>
    <x v="2"/>
    <n v="123.2"/>
  </r>
  <r>
    <x v="4"/>
    <x v="8"/>
    <x v="56"/>
    <x v="9"/>
    <x v="0"/>
    <x v="0"/>
    <n v="140.19999999999999"/>
  </r>
  <r>
    <x v="4"/>
    <x v="8"/>
    <x v="56"/>
    <x v="9"/>
    <x v="0"/>
    <x v="1"/>
    <n v="137.9"/>
  </r>
  <r>
    <x v="4"/>
    <x v="8"/>
    <x v="56"/>
    <x v="9"/>
    <x v="0"/>
    <x v="2"/>
    <n v="135.19999999999999"/>
  </r>
  <r>
    <x v="4"/>
    <x v="8"/>
    <x v="56"/>
    <x v="13"/>
    <x v="3"/>
    <x v="0"/>
    <n v="135"/>
  </r>
  <r>
    <x v="4"/>
    <x v="8"/>
    <x v="56"/>
    <x v="13"/>
    <x v="3"/>
    <x v="1"/>
    <n v="129.4"/>
  </r>
  <r>
    <x v="4"/>
    <x v="8"/>
    <x v="56"/>
    <x v="13"/>
    <x v="3"/>
    <x v="2"/>
    <n v="120.1"/>
  </r>
  <r>
    <x v="4"/>
    <x v="8"/>
    <x v="56"/>
    <x v="15"/>
    <x v="4"/>
    <x v="0"/>
    <n v="133.30000000000001"/>
  </r>
  <r>
    <x v="4"/>
    <x v="8"/>
    <x v="56"/>
    <x v="15"/>
    <x v="4"/>
    <x v="1"/>
    <n v="131.4"/>
  </r>
  <r>
    <x v="4"/>
    <x v="8"/>
    <x v="56"/>
    <x v="15"/>
    <x v="4"/>
    <x v="2"/>
    <n v="129.30000000000001"/>
  </r>
  <r>
    <x v="4"/>
    <x v="8"/>
    <x v="56"/>
    <x v="17"/>
    <x v="5"/>
    <x v="0"/>
    <n v="131.4"/>
  </r>
  <r>
    <x v="4"/>
    <x v="8"/>
    <x v="56"/>
    <x v="17"/>
    <x v="5"/>
    <x v="1"/>
    <n v="128.4"/>
  </r>
  <r>
    <x v="4"/>
    <x v="8"/>
    <x v="56"/>
    <x v="17"/>
    <x v="5"/>
    <x v="2"/>
    <n v="123.6"/>
  </r>
  <r>
    <x v="4"/>
    <x v="8"/>
    <x v="56"/>
    <x v="19"/>
    <x v="6"/>
    <x v="0"/>
    <n v="134.9"/>
  </r>
  <r>
    <x v="4"/>
    <x v="8"/>
    <x v="56"/>
    <x v="19"/>
    <x v="6"/>
    <x v="1"/>
    <n v="130.9"/>
  </r>
  <r>
    <x v="4"/>
    <x v="8"/>
    <x v="56"/>
    <x v="19"/>
    <x v="6"/>
    <x v="2"/>
    <n v="126.5"/>
  </r>
  <r>
    <x v="4"/>
    <x v="8"/>
    <x v="56"/>
    <x v="21"/>
    <x v="6"/>
    <x v="0"/>
    <n v="0"/>
  </r>
  <r>
    <x v="4"/>
    <x v="8"/>
    <x v="56"/>
    <x v="21"/>
    <x v="6"/>
    <x v="1"/>
    <n v="132.1"/>
  </r>
  <r>
    <x v="4"/>
    <x v="8"/>
    <x v="56"/>
    <x v="21"/>
    <x v="6"/>
    <x v="2"/>
    <n v="132.1"/>
  </r>
  <r>
    <x v="4"/>
    <x v="8"/>
    <x v="56"/>
    <x v="2"/>
    <x v="0"/>
    <x v="0"/>
    <n v="140.30000000000001"/>
  </r>
  <r>
    <x v="4"/>
    <x v="8"/>
    <x v="56"/>
    <x v="2"/>
    <x v="0"/>
    <x v="1"/>
    <n v="141.6"/>
  </r>
  <r>
    <x v="4"/>
    <x v="8"/>
    <x v="56"/>
    <x v="2"/>
    <x v="0"/>
    <x v="2"/>
    <n v="144.1"/>
  </r>
  <r>
    <x v="4"/>
    <x v="8"/>
    <x v="56"/>
    <x v="6"/>
    <x v="0"/>
    <x v="0"/>
    <n v="138.19999999999999"/>
  </r>
  <r>
    <x v="4"/>
    <x v="8"/>
    <x v="56"/>
    <x v="6"/>
    <x v="0"/>
    <x v="1"/>
    <n v="137.69999999999999"/>
  </r>
  <r>
    <x v="4"/>
    <x v="8"/>
    <x v="56"/>
    <x v="6"/>
    <x v="0"/>
    <x v="2"/>
    <n v="136.80000000000001"/>
  </r>
  <r>
    <x v="4"/>
    <x v="8"/>
    <x v="56"/>
    <x v="23"/>
    <x v="7"/>
    <x v="0"/>
    <n v="127.9"/>
  </r>
  <r>
    <x v="4"/>
    <x v="8"/>
    <x v="56"/>
    <x v="23"/>
    <x v="7"/>
    <x v="1"/>
    <n v="125.3"/>
  </r>
  <r>
    <x v="4"/>
    <x v="8"/>
    <x v="56"/>
    <x v="23"/>
    <x v="7"/>
    <x v="2"/>
    <n v="122.6"/>
  </r>
  <r>
    <x v="4"/>
    <x v="8"/>
    <x v="56"/>
    <x v="18"/>
    <x v="0"/>
    <x v="0"/>
    <n v="130.30000000000001"/>
  </r>
  <r>
    <x v="4"/>
    <x v="8"/>
    <x v="56"/>
    <x v="18"/>
    <x v="0"/>
    <x v="1"/>
    <n v="127.6"/>
  </r>
  <r>
    <x v="4"/>
    <x v="8"/>
    <x v="56"/>
    <x v="18"/>
    <x v="0"/>
    <x v="2"/>
    <n v="123.8"/>
  </r>
  <r>
    <x v="4"/>
    <x v="8"/>
    <x v="56"/>
    <x v="7"/>
    <x v="0"/>
    <x v="0"/>
    <n v="120.8"/>
  </r>
  <r>
    <x v="4"/>
    <x v="8"/>
    <x v="56"/>
    <x v="7"/>
    <x v="0"/>
    <x v="1"/>
    <n v="118.1"/>
  </r>
  <r>
    <x v="4"/>
    <x v="8"/>
    <x v="56"/>
    <x v="7"/>
    <x v="0"/>
    <x v="2"/>
    <n v="113.4"/>
  </r>
  <r>
    <x v="4"/>
    <x v="8"/>
    <x v="56"/>
    <x v="22"/>
    <x v="7"/>
    <x v="0"/>
    <n v="145.5"/>
  </r>
  <r>
    <x v="4"/>
    <x v="8"/>
    <x v="56"/>
    <x v="22"/>
    <x v="7"/>
    <x v="1"/>
    <n v="146.19999999999999"/>
  </r>
  <r>
    <x v="4"/>
    <x v="8"/>
    <x v="56"/>
    <x v="22"/>
    <x v="7"/>
    <x v="2"/>
    <n v="148.30000000000001"/>
  </r>
  <r>
    <x v="4"/>
    <x v="8"/>
    <x v="56"/>
    <x v="24"/>
    <x v="7"/>
    <x v="0"/>
    <n v="123.7"/>
  </r>
  <r>
    <x v="4"/>
    <x v="8"/>
    <x v="56"/>
    <x v="24"/>
    <x v="7"/>
    <x v="1"/>
    <n v="123"/>
  </r>
  <r>
    <x v="4"/>
    <x v="8"/>
    <x v="56"/>
    <x v="24"/>
    <x v="7"/>
    <x v="2"/>
    <n v="122"/>
  </r>
  <r>
    <x v="4"/>
    <x v="8"/>
    <x v="56"/>
    <x v="20"/>
    <x v="0"/>
    <x v="0"/>
    <n v="145.80000000000001"/>
  </r>
  <r>
    <x v="4"/>
    <x v="8"/>
    <x v="56"/>
    <x v="20"/>
    <x v="0"/>
    <x v="1"/>
    <n v="144.5"/>
  </r>
  <r>
    <x v="4"/>
    <x v="8"/>
    <x v="56"/>
    <x v="20"/>
    <x v="0"/>
    <x v="2"/>
    <n v="142.9"/>
  </r>
  <r>
    <x v="4"/>
    <x v="8"/>
    <x v="56"/>
    <x v="12"/>
    <x v="0"/>
    <x v="0"/>
    <n v="141.80000000000001"/>
  </r>
  <r>
    <x v="4"/>
    <x v="8"/>
    <x v="56"/>
    <x v="12"/>
    <x v="0"/>
    <x v="1"/>
    <n v="138.30000000000001"/>
  </r>
  <r>
    <x v="4"/>
    <x v="8"/>
    <x v="56"/>
    <x v="12"/>
    <x v="0"/>
    <x v="2"/>
    <n v="131.5"/>
  </r>
  <r>
    <x v="4"/>
    <x v="8"/>
    <x v="56"/>
    <x v="26"/>
    <x v="9"/>
    <x v="0"/>
    <n v="129.4"/>
  </r>
  <r>
    <x v="4"/>
    <x v="8"/>
    <x v="56"/>
    <x v="26"/>
    <x v="9"/>
    <x v="1"/>
    <n v="125.7"/>
  </r>
  <r>
    <x v="4"/>
    <x v="8"/>
    <x v="56"/>
    <x v="26"/>
    <x v="9"/>
    <x v="2"/>
    <n v="122.8"/>
  </r>
  <r>
    <x v="4"/>
    <x v="8"/>
    <x v="56"/>
    <x v="16"/>
    <x v="0"/>
    <x v="0"/>
    <n v="134"/>
  </r>
  <r>
    <x v="4"/>
    <x v="8"/>
    <x v="56"/>
    <x v="16"/>
    <x v="0"/>
    <x v="1"/>
    <n v="136"/>
  </r>
  <r>
    <x v="4"/>
    <x v="8"/>
    <x v="56"/>
    <x v="16"/>
    <x v="0"/>
    <x v="2"/>
    <n v="139.9"/>
  </r>
  <r>
    <x v="4"/>
    <x v="8"/>
    <x v="56"/>
    <x v="14"/>
    <x v="0"/>
    <x v="0"/>
    <n v="118.6"/>
  </r>
  <r>
    <x v="4"/>
    <x v="8"/>
    <x v="56"/>
    <x v="14"/>
    <x v="0"/>
    <x v="1"/>
    <n v="119.4"/>
  </r>
  <r>
    <x v="4"/>
    <x v="8"/>
    <x v="56"/>
    <x v="14"/>
    <x v="0"/>
    <x v="2"/>
    <n v="121"/>
  </r>
  <r>
    <x v="4"/>
    <x v="8"/>
    <x v="56"/>
    <x v="25"/>
    <x v="8"/>
    <x v="0"/>
    <n v="119.4"/>
  </r>
  <r>
    <x v="4"/>
    <x v="8"/>
    <x v="56"/>
    <x v="25"/>
    <x v="8"/>
    <x v="1"/>
    <n v="116.7"/>
  </r>
  <r>
    <x v="4"/>
    <x v="8"/>
    <x v="56"/>
    <x v="25"/>
    <x v="8"/>
    <x v="2"/>
    <n v="114.3"/>
  </r>
  <r>
    <x v="4"/>
    <x v="8"/>
    <x v="56"/>
    <x v="11"/>
    <x v="0"/>
    <x v="0"/>
    <n v="123.8"/>
  </r>
  <r>
    <x v="4"/>
    <x v="8"/>
    <x v="56"/>
    <x v="11"/>
    <x v="0"/>
    <x v="1"/>
    <n v="125.6"/>
  </r>
  <r>
    <x v="4"/>
    <x v="8"/>
    <x v="56"/>
    <x v="11"/>
    <x v="0"/>
    <x v="2"/>
    <n v="129.19999999999999"/>
  </r>
  <r>
    <x v="4"/>
    <x v="9"/>
    <x v="57"/>
    <x v="0"/>
    <x v="0"/>
    <x v="0"/>
    <n v="136.30000000000001"/>
  </r>
  <r>
    <x v="4"/>
    <x v="9"/>
    <x v="57"/>
    <x v="0"/>
    <x v="0"/>
    <x v="1"/>
    <n v="135.69999999999999"/>
  </r>
  <r>
    <x v="4"/>
    <x v="9"/>
    <x v="57"/>
    <x v="0"/>
    <x v="0"/>
    <x v="2"/>
    <n v="134.30000000000001"/>
  </r>
  <r>
    <x v="4"/>
    <x v="9"/>
    <x v="57"/>
    <x v="1"/>
    <x v="1"/>
    <x v="0"/>
    <n v="148.19999999999999"/>
  </r>
  <r>
    <x v="4"/>
    <x v="9"/>
    <x v="57"/>
    <x v="1"/>
    <x v="1"/>
    <x v="1"/>
    <n v="143"/>
  </r>
  <r>
    <x v="4"/>
    <x v="9"/>
    <x v="57"/>
    <x v="1"/>
    <x v="1"/>
    <x v="2"/>
    <n v="135"/>
  </r>
  <r>
    <x v="4"/>
    <x v="9"/>
    <x v="57"/>
    <x v="3"/>
    <x v="1"/>
    <x v="0"/>
    <n v="147.30000000000001"/>
  </r>
  <r>
    <x v="4"/>
    <x v="9"/>
    <x v="57"/>
    <x v="3"/>
    <x v="1"/>
    <x v="1"/>
    <n v="141.80000000000001"/>
  </r>
  <r>
    <x v="4"/>
    <x v="9"/>
    <x v="57"/>
    <x v="3"/>
    <x v="1"/>
    <x v="2"/>
    <n v="133.5"/>
  </r>
  <r>
    <x v="4"/>
    <x v="9"/>
    <x v="57"/>
    <x v="5"/>
    <x v="2"/>
    <x v="0"/>
    <n v="141.5"/>
  </r>
  <r>
    <x v="4"/>
    <x v="9"/>
    <x v="57"/>
    <x v="5"/>
    <x v="2"/>
    <x v="1"/>
    <n v="138.6"/>
  </r>
  <r>
    <x v="4"/>
    <x v="9"/>
    <x v="57"/>
    <x v="5"/>
    <x v="2"/>
    <x v="2"/>
    <n v="136.6"/>
  </r>
  <r>
    <x v="4"/>
    <x v="9"/>
    <x v="57"/>
    <x v="4"/>
    <x v="0"/>
    <x v="0"/>
    <n v="140.5"/>
  </r>
  <r>
    <x v="4"/>
    <x v="9"/>
    <x v="57"/>
    <x v="4"/>
    <x v="0"/>
    <x v="1"/>
    <n v="142.9"/>
  </r>
  <r>
    <x v="4"/>
    <x v="9"/>
    <x v="57"/>
    <x v="4"/>
    <x v="0"/>
    <x v="2"/>
    <n v="146.69999999999999"/>
  </r>
  <r>
    <x v="4"/>
    <x v="9"/>
    <x v="57"/>
    <x v="8"/>
    <x v="0"/>
    <x v="0"/>
    <n v="142.4"/>
  </r>
  <r>
    <x v="4"/>
    <x v="9"/>
    <x v="57"/>
    <x v="8"/>
    <x v="0"/>
    <x v="1"/>
    <n v="142.1"/>
  </r>
  <r>
    <x v="4"/>
    <x v="9"/>
    <x v="57"/>
    <x v="8"/>
    <x v="0"/>
    <x v="2"/>
    <n v="141.5"/>
  </r>
  <r>
    <x v="4"/>
    <x v="9"/>
    <x v="57"/>
    <x v="10"/>
    <x v="1"/>
    <x v="0"/>
    <n v="141.5"/>
  </r>
  <r>
    <x v="4"/>
    <x v="9"/>
    <x v="57"/>
    <x v="10"/>
    <x v="1"/>
    <x v="1"/>
    <n v="134.80000000000001"/>
  </r>
  <r>
    <x v="4"/>
    <x v="9"/>
    <x v="57"/>
    <x v="10"/>
    <x v="1"/>
    <x v="2"/>
    <n v="125.4"/>
  </r>
  <r>
    <x v="4"/>
    <x v="9"/>
    <x v="57"/>
    <x v="9"/>
    <x v="0"/>
    <x v="0"/>
    <n v="147.30000000000001"/>
  </r>
  <r>
    <x v="4"/>
    <x v="9"/>
    <x v="57"/>
    <x v="9"/>
    <x v="0"/>
    <x v="1"/>
    <n v="142.19999999999999"/>
  </r>
  <r>
    <x v="4"/>
    <x v="9"/>
    <x v="57"/>
    <x v="9"/>
    <x v="0"/>
    <x v="2"/>
    <n v="136.4"/>
  </r>
  <r>
    <x v="4"/>
    <x v="9"/>
    <x v="57"/>
    <x v="13"/>
    <x v="3"/>
    <x v="0"/>
    <n v="141.1"/>
  </r>
  <r>
    <x v="4"/>
    <x v="9"/>
    <x v="57"/>
    <x v="13"/>
    <x v="3"/>
    <x v="1"/>
    <n v="135.30000000000001"/>
  </r>
  <r>
    <x v="4"/>
    <x v="9"/>
    <x v="57"/>
    <x v="13"/>
    <x v="3"/>
    <x v="2"/>
    <n v="125.7"/>
  </r>
  <r>
    <x v="4"/>
    <x v="9"/>
    <x v="57"/>
    <x v="15"/>
    <x v="4"/>
    <x v="0"/>
    <n v="140"/>
  </r>
  <r>
    <x v="4"/>
    <x v="9"/>
    <x v="57"/>
    <x v="15"/>
    <x v="4"/>
    <x v="1"/>
    <n v="137.6"/>
  </r>
  <r>
    <x v="4"/>
    <x v="9"/>
    <x v="57"/>
    <x v="15"/>
    <x v="4"/>
    <x v="2"/>
    <n v="134.80000000000001"/>
  </r>
  <r>
    <x v="4"/>
    <x v="9"/>
    <x v="57"/>
    <x v="17"/>
    <x v="5"/>
    <x v="0"/>
    <n v="135.80000000000001"/>
  </r>
  <r>
    <x v="4"/>
    <x v="9"/>
    <x v="57"/>
    <x v="17"/>
    <x v="5"/>
    <x v="1"/>
    <n v="132.6"/>
  </r>
  <r>
    <x v="4"/>
    <x v="9"/>
    <x v="57"/>
    <x v="17"/>
    <x v="5"/>
    <x v="2"/>
    <n v="127.4"/>
  </r>
  <r>
    <x v="4"/>
    <x v="9"/>
    <x v="57"/>
    <x v="19"/>
    <x v="6"/>
    <x v="0"/>
    <n v="139.4"/>
  </r>
  <r>
    <x v="4"/>
    <x v="9"/>
    <x v="57"/>
    <x v="19"/>
    <x v="6"/>
    <x v="1"/>
    <n v="134.4"/>
  </r>
  <r>
    <x v="4"/>
    <x v="9"/>
    <x v="57"/>
    <x v="19"/>
    <x v="6"/>
    <x v="2"/>
    <n v="128.80000000000001"/>
  </r>
  <r>
    <x v="4"/>
    <x v="9"/>
    <x v="57"/>
    <x v="21"/>
    <x v="6"/>
    <x v="0"/>
    <n v="0"/>
  </r>
  <r>
    <x v="4"/>
    <x v="9"/>
    <x v="57"/>
    <x v="21"/>
    <x v="6"/>
    <x v="1"/>
    <n v="138.6"/>
  </r>
  <r>
    <x v="4"/>
    <x v="9"/>
    <x v="57"/>
    <x v="21"/>
    <x v="6"/>
    <x v="2"/>
    <n v="138.6"/>
  </r>
  <r>
    <x v="4"/>
    <x v="9"/>
    <x v="57"/>
    <x v="2"/>
    <x v="0"/>
    <x v="0"/>
    <n v="142.5"/>
  </r>
  <r>
    <x v="4"/>
    <x v="9"/>
    <x v="57"/>
    <x v="2"/>
    <x v="0"/>
    <x v="1"/>
    <n v="142.4"/>
  </r>
  <r>
    <x v="4"/>
    <x v="9"/>
    <x v="57"/>
    <x v="2"/>
    <x v="0"/>
    <x v="2"/>
    <n v="142.1"/>
  </r>
  <r>
    <x v="4"/>
    <x v="9"/>
    <x v="57"/>
    <x v="6"/>
    <x v="0"/>
    <x v="0"/>
    <n v="141.5"/>
  </r>
  <r>
    <x v="4"/>
    <x v="9"/>
    <x v="57"/>
    <x v="6"/>
    <x v="0"/>
    <x v="1"/>
    <n v="140.80000000000001"/>
  </r>
  <r>
    <x v="4"/>
    <x v="9"/>
    <x v="57"/>
    <x v="6"/>
    <x v="0"/>
    <x v="2"/>
    <n v="139.5"/>
  </r>
  <r>
    <x v="4"/>
    <x v="9"/>
    <x v="57"/>
    <x v="23"/>
    <x v="7"/>
    <x v="0"/>
    <n v="131.69999999999999"/>
  </r>
  <r>
    <x v="4"/>
    <x v="9"/>
    <x v="57"/>
    <x v="23"/>
    <x v="7"/>
    <x v="1"/>
    <n v="128.4"/>
  </r>
  <r>
    <x v="4"/>
    <x v="9"/>
    <x v="57"/>
    <x v="23"/>
    <x v="7"/>
    <x v="2"/>
    <n v="124.9"/>
  </r>
  <r>
    <x v="4"/>
    <x v="9"/>
    <x v="57"/>
    <x v="18"/>
    <x v="0"/>
    <x v="0"/>
    <n v="131.9"/>
  </r>
  <r>
    <x v="4"/>
    <x v="9"/>
    <x v="57"/>
    <x v="18"/>
    <x v="0"/>
    <x v="1"/>
    <n v="129.19999999999999"/>
  </r>
  <r>
    <x v="4"/>
    <x v="9"/>
    <x v="57"/>
    <x v="18"/>
    <x v="0"/>
    <x v="2"/>
    <n v="125.4"/>
  </r>
  <r>
    <x v="4"/>
    <x v="9"/>
    <x v="57"/>
    <x v="7"/>
    <x v="0"/>
    <x v="0"/>
    <n v="121.6"/>
  </r>
  <r>
    <x v="4"/>
    <x v="9"/>
    <x v="57"/>
    <x v="7"/>
    <x v="0"/>
    <x v="1"/>
    <n v="119.2"/>
  </r>
  <r>
    <x v="4"/>
    <x v="9"/>
    <x v="57"/>
    <x v="7"/>
    <x v="0"/>
    <x v="2"/>
    <n v="115.2"/>
  </r>
  <r>
    <x v="4"/>
    <x v="9"/>
    <x v="57"/>
    <x v="22"/>
    <x v="7"/>
    <x v="0"/>
    <n v="152.1"/>
  </r>
  <r>
    <x v="4"/>
    <x v="9"/>
    <x v="57"/>
    <x v="22"/>
    <x v="7"/>
    <x v="1"/>
    <n v="153.19999999999999"/>
  </r>
  <r>
    <x v="4"/>
    <x v="9"/>
    <x v="57"/>
    <x v="22"/>
    <x v="7"/>
    <x v="2"/>
    <n v="156.19999999999999"/>
  </r>
  <r>
    <x v="4"/>
    <x v="9"/>
    <x v="57"/>
    <x v="24"/>
    <x v="7"/>
    <x v="0"/>
    <n v="128.1"/>
  </r>
  <r>
    <x v="4"/>
    <x v="9"/>
    <x v="57"/>
    <x v="24"/>
    <x v="7"/>
    <x v="1"/>
    <n v="126.8"/>
  </r>
  <r>
    <x v="4"/>
    <x v="9"/>
    <x v="57"/>
    <x v="24"/>
    <x v="7"/>
    <x v="2"/>
    <n v="124.9"/>
  </r>
  <r>
    <x v="4"/>
    <x v="9"/>
    <x v="57"/>
    <x v="20"/>
    <x v="0"/>
    <x v="0"/>
    <n v="151.4"/>
  </r>
  <r>
    <x v="4"/>
    <x v="9"/>
    <x v="57"/>
    <x v="20"/>
    <x v="0"/>
    <x v="1"/>
    <n v="148.9"/>
  </r>
  <r>
    <x v="4"/>
    <x v="9"/>
    <x v="57"/>
    <x v="20"/>
    <x v="0"/>
    <x v="2"/>
    <n v="146"/>
  </r>
  <r>
    <x v="4"/>
    <x v="9"/>
    <x v="57"/>
    <x v="12"/>
    <x v="0"/>
    <x v="0"/>
    <n v="135.80000000000001"/>
  </r>
  <r>
    <x v="4"/>
    <x v="9"/>
    <x v="57"/>
    <x v="12"/>
    <x v="0"/>
    <x v="1"/>
    <n v="131.19999999999999"/>
  </r>
  <r>
    <x v="4"/>
    <x v="9"/>
    <x v="57"/>
    <x v="12"/>
    <x v="0"/>
    <x v="2"/>
    <n v="122.2"/>
  </r>
  <r>
    <x v="4"/>
    <x v="9"/>
    <x v="57"/>
    <x v="26"/>
    <x v="9"/>
    <x v="0"/>
    <n v="133.69999999999999"/>
  </r>
  <r>
    <x v="4"/>
    <x v="9"/>
    <x v="57"/>
    <x v="26"/>
    <x v="9"/>
    <x v="1"/>
    <n v="128.9"/>
  </r>
  <r>
    <x v="4"/>
    <x v="9"/>
    <x v="57"/>
    <x v="26"/>
    <x v="9"/>
    <x v="2"/>
    <n v="125.1"/>
  </r>
  <r>
    <x v="4"/>
    <x v="9"/>
    <x v="57"/>
    <x v="16"/>
    <x v="0"/>
    <x v="0"/>
    <n v="136"/>
  </r>
  <r>
    <x v="4"/>
    <x v="9"/>
    <x v="57"/>
    <x v="16"/>
    <x v="0"/>
    <x v="1"/>
    <n v="136.80000000000001"/>
  </r>
  <r>
    <x v="4"/>
    <x v="9"/>
    <x v="57"/>
    <x v="16"/>
    <x v="0"/>
    <x v="2"/>
    <n v="138.30000000000001"/>
  </r>
  <r>
    <x v="4"/>
    <x v="9"/>
    <x v="57"/>
    <x v="14"/>
    <x v="0"/>
    <x v="0"/>
    <n v="122.5"/>
  </r>
  <r>
    <x v="4"/>
    <x v="9"/>
    <x v="57"/>
    <x v="14"/>
    <x v="0"/>
    <x v="1"/>
    <n v="123"/>
  </r>
  <r>
    <x v="4"/>
    <x v="9"/>
    <x v="57"/>
    <x v="14"/>
    <x v="0"/>
    <x v="2"/>
    <n v="123.9"/>
  </r>
  <r>
    <x v="4"/>
    <x v="9"/>
    <x v="57"/>
    <x v="25"/>
    <x v="8"/>
    <x v="0"/>
    <n v="121.6"/>
  </r>
  <r>
    <x v="4"/>
    <x v="9"/>
    <x v="57"/>
    <x v="25"/>
    <x v="8"/>
    <x v="1"/>
    <n v="118.3"/>
  </r>
  <r>
    <x v="4"/>
    <x v="9"/>
    <x v="57"/>
    <x v="25"/>
    <x v="8"/>
    <x v="2"/>
    <n v="115.3"/>
  </r>
  <r>
    <x v="4"/>
    <x v="9"/>
    <x v="57"/>
    <x v="11"/>
    <x v="0"/>
    <x v="0"/>
    <n v="168"/>
  </r>
  <r>
    <x v="4"/>
    <x v="9"/>
    <x v="57"/>
    <x v="11"/>
    <x v="0"/>
    <x v="1"/>
    <n v="173.8"/>
  </r>
  <r>
    <x v="4"/>
    <x v="9"/>
    <x v="57"/>
    <x v="11"/>
    <x v="0"/>
    <x v="2"/>
    <n v="185.2"/>
  </r>
  <r>
    <x v="4"/>
    <x v="10"/>
    <x v="58"/>
    <x v="0"/>
    <x v="0"/>
    <x v="0"/>
    <n v="135.9"/>
  </r>
  <r>
    <x v="4"/>
    <x v="10"/>
    <x v="58"/>
    <x v="0"/>
    <x v="0"/>
    <x v="1"/>
    <n v="135.30000000000001"/>
  </r>
  <r>
    <x v="4"/>
    <x v="10"/>
    <x v="58"/>
    <x v="0"/>
    <x v="0"/>
    <x v="2"/>
    <n v="133.9"/>
  </r>
  <r>
    <x v="4"/>
    <x v="10"/>
    <x v="58"/>
    <x v="1"/>
    <x v="1"/>
    <x v="0"/>
    <n v="147.19999999999999"/>
  </r>
  <r>
    <x v="4"/>
    <x v="10"/>
    <x v="58"/>
    <x v="1"/>
    <x v="1"/>
    <x v="1"/>
    <n v="142"/>
  </r>
  <r>
    <x v="4"/>
    <x v="10"/>
    <x v="58"/>
    <x v="1"/>
    <x v="1"/>
    <x v="2"/>
    <n v="134"/>
  </r>
  <r>
    <x v="4"/>
    <x v="10"/>
    <x v="58"/>
    <x v="3"/>
    <x v="1"/>
    <x v="0"/>
    <n v="146.19999999999999"/>
  </r>
  <r>
    <x v="4"/>
    <x v="10"/>
    <x v="58"/>
    <x v="3"/>
    <x v="1"/>
    <x v="1"/>
    <n v="140.80000000000001"/>
  </r>
  <r>
    <x v="4"/>
    <x v="10"/>
    <x v="58"/>
    <x v="3"/>
    <x v="1"/>
    <x v="2"/>
    <n v="132.6"/>
  </r>
  <r>
    <x v="4"/>
    <x v="10"/>
    <x v="58"/>
    <x v="5"/>
    <x v="2"/>
    <x v="0"/>
    <n v="140.1"/>
  </r>
  <r>
    <x v="4"/>
    <x v="10"/>
    <x v="58"/>
    <x v="5"/>
    <x v="2"/>
    <x v="1"/>
    <n v="137.9"/>
  </r>
  <r>
    <x v="4"/>
    <x v="10"/>
    <x v="58"/>
    <x v="5"/>
    <x v="2"/>
    <x v="2"/>
    <n v="136.30000000000001"/>
  </r>
  <r>
    <x v="4"/>
    <x v="10"/>
    <x v="58"/>
    <x v="4"/>
    <x v="0"/>
    <x v="0"/>
    <n v="131"/>
  </r>
  <r>
    <x v="4"/>
    <x v="10"/>
    <x v="58"/>
    <x v="4"/>
    <x v="0"/>
    <x v="1"/>
    <n v="131.19999999999999"/>
  </r>
  <r>
    <x v="4"/>
    <x v="10"/>
    <x v="58"/>
    <x v="4"/>
    <x v="0"/>
    <x v="2"/>
    <n v="131.4"/>
  </r>
  <r>
    <x v="4"/>
    <x v="10"/>
    <x v="58"/>
    <x v="8"/>
    <x v="0"/>
    <x v="0"/>
    <n v="140.4"/>
  </r>
  <r>
    <x v="4"/>
    <x v="10"/>
    <x v="58"/>
    <x v="8"/>
    <x v="0"/>
    <x v="1"/>
    <n v="140.1"/>
  </r>
  <r>
    <x v="4"/>
    <x v="10"/>
    <x v="58"/>
    <x v="8"/>
    <x v="0"/>
    <x v="2"/>
    <n v="139.69999999999999"/>
  </r>
  <r>
    <x v="4"/>
    <x v="10"/>
    <x v="58"/>
    <x v="10"/>
    <x v="1"/>
    <x v="0"/>
    <n v="140.6"/>
  </r>
  <r>
    <x v="4"/>
    <x v="10"/>
    <x v="58"/>
    <x v="10"/>
    <x v="1"/>
    <x v="1"/>
    <n v="134.1"/>
  </r>
  <r>
    <x v="4"/>
    <x v="10"/>
    <x v="58"/>
    <x v="10"/>
    <x v="1"/>
    <x v="2"/>
    <n v="124.9"/>
  </r>
  <r>
    <x v="4"/>
    <x v="10"/>
    <x v="58"/>
    <x v="9"/>
    <x v="0"/>
    <x v="0"/>
    <n v="146.69999999999999"/>
  </r>
  <r>
    <x v="4"/>
    <x v="10"/>
    <x v="58"/>
    <x v="9"/>
    <x v="0"/>
    <x v="1"/>
    <n v="141.5"/>
  </r>
  <r>
    <x v="4"/>
    <x v="10"/>
    <x v="58"/>
    <x v="9"/>
    <x v="0"/>
    <x v="2"/>
    <n v="135.6"/>
  </r>
  <r>
    <x v="4"/>
    <x v="10"/>
    <x v="58"/>
    <x v="13"/>
    <x v="3"/>
    <x v="0"/>
    <n v="138.1"/>
  </r>
  <r>
    <x v="4"/>
    <x v="10"/>
    <x v="58"/>
    <x v="13"/>
    <x v="3"/>
    <x v="1"/>
    <n v="132.19999999999999"/>
  </r>
  <r>
    <x v="4"/>
    <x v="10"/>
    <x v="58"/>
    <x v="13"/>
    <x v="3"/>
    <x v="2"/>
    <n v="122.6"/>
  </r>
  <r>
    <x v="4"/>
    <x v="10"/>
    <x v="58"/>
    <x v="15"/>
    <x v="4"/>
    <x v="0"/>
    <n v="138.30000000000001"/>
  </r>
  <r>
    <x v="4"/>
    <x v="10"/>
    <x v="58"/>
    <x v="15"/>
    <x v="4"/>
    <x v="1"/>
    <n v="136.1"/>
  </r>
  <r>
    <x v="4"/>
    <x v="10"/>
    <x v="58"/>
    <x v="15"/>
    <x v="4"/>
    <x v="2"/>
    <n v="133.5"/>
  </r>
  <r>
    <x v="4"/>
    <x v="10"/>
    <x v="58"/>
    <x v="17"/>
    <x v="5"/>
    <x v="0"/>
    <n v="134.19999999999999"/>
  </r>
  <r>
    <x v="4"/>
    <x v="10"/>
    <x v="58"/>
    <x v="17"/>
    <x v="5"/>
    <x v="1"/>
    <n v="131.30000000000001"/>
  </r>
  <r>
    <x v="4"/>
    <x v="10"/>
    <x v="58"/>
    <x v="17"/>
    <x v="5"/>
    <x v="2"/>
    <n v="126.6"/>
  </r>
  <r>
    <x v="4"/>
    <x v="10"/>
    <x v="58"/>
    <x v="19"/>
    <x v="6"/>
    <x v="0"/>
    <n v="138.4"/>
  </r>
  <r>
    <x v="4"/>
    <x v="10"/>
    <x v="58"/>
    <x v="19"/>
    <x v="6"/>
    <x v="1"/>
    <n v="133.6"/>
  </r>
  <r>
    <x v="4"/>
    <x v="10"/>
    <x v="58"/>
    <x v="19"/>
    <x v="6"/>
    <x v="2"/>
    <n v="128.30000000000001"/>
  </r>
  <r>
    <x v="4"/>
    <x v="10"/>
    <x v="58"/>
    <x v="21"/>
    <x v="6"/>
    <x v="0"/>
    <n v="0"/>
  </r>
  <r>
    <x v="4"/>
    <x v="10"/>
    <x v="58"/>
    <x v="21"/>
    <x v="6"/>
    <x v="1"/>
    <n v="137.30000000000001"/>
  </r>
  <r>
    <x v="4"/>
    <x v="10"/>
    <x v="58"/>
    <x v="21"/>
    <x v="6"/>
    <x v="2"/>
    <n v="137.30000000000001"/>
  </r>
  <r>
    <x v="4"/>
    <x v="10"/>
    <x v="58"/>
    <x v="2"/>
    <x v="0"/>
    <x v="0"/>
    <n v="141.9"/>
  </r>
  <r>
    <x v="4"/>
    <x v="10"/>
    <x v="58"/>
    <x v="2"/>
    <x v="0"/>
    <x v="1"/>
    <n v="142.19999999999999"/>
  </r>
  <r>
    <x v="4"/>
    <x v="10"/>
    <x v="58"/>
    <x v="2"/>
    <x v="0"/>
    <x v="2"/>
    <n v="142.80000000000001"/>
  </r>
  <r>
    <x v="4"/>
    <x v="10"/>
    <x v="58"/>
    <x v="6"/>
    <x v="0"/>
    <x v="0"/>
    <n v="141.5"/>
  </r>
  <r>
    <x v="4"/>
    <x v="10"/>
    <x v="58"/>
    <x v="6"/>
    <x v="0"/>
    <x v="1"/>
    <n v="140.6"/>
  </r>
  <r>
    <x v="4"/>
    <x v="10"/>
    <x v="58"/>
    <x v="6"/>
    <x v="0"/>
    <x v="2"/>
    <n v="139.1"/>
  </r>
  <r>
    <x v="4"/>
    <x v="10"/>
    <x v="58"/>
    <x v="23"/>
    <x v="7"/>
    <x v="0"/>
    <n v="130.69999999999999"/>
  </r>
  <r>
    <x v="4"/>
    <x v="10"/>
    <x v="58"/>
    <x v="23"/>
    <x v="7"/>
    <x v="1"/>
    <n v="127.7"/>
  </r>
  <r>
    <x v="4"/>
    <x v="10"/>
    <x v="58"/>
    <x v="23"/>
    <x v="7"/>
    <x v="2"/>
    <n v="124.5"/>
  </r>
  <r>
    <x v="4"/>
    <x v="10"/>
    <x v="58"/>
    <x v="18"/>
    <x v="0"/>
    <x v="0"/>
    <n v="131.30000000000001"/>
  </r>
  <r>
    <x v="4"/>
    <x v="10"/>
    <x v="58"/>
    <x v="18"/>
    <x v="0"/>
    <x v="1"/>
    <n v="128.69999999999999"/>
  </r>
  <r>
    <x v="4"/>
    <x v="10"/>
    <x v="58"/>
    <x v="18"/>
    <x v="0"/>
    <x v="2"/>
    <n v="125.1"/>
  </r>
  <r>
    <x v="4"/>
    <x v="10"/>
    <x v="58"/>
    <x v="7"/>
    <x v="0"/>
    <x v="0"/>
    <n v="121.4"/>
  </r>
  <r>
    <x v="4"/>
    <x v="10"/>
    <x v="58"/>
    <x v="7"/>
    <x v="0"/>
    <x v="1"/>
    <n v="119"/>
  </r>
  <r>
    <x v="4"/>
    <x v="10"/>
    <x v="58"/>
    <x v="7"/>
    <x v="0"/>
    <x v="2"/>
    <n v="114.9"/>
  </r>
  <r>
    <x v="4"/>
    <x v="10"/>
    <x v="58"/>
    <x v="22"/>
    <x v="7"/>
    <x v="0"/>
    <n v="150.5"/>
  </r>
  <r>
    <x v="4"/>
    <x v="10"/>
    <x v="58"/>
    <x v="22"/>
    <x v="7"/>
    <x v="1"/>
    <n v="151.6"/>
  </r>
  <r>
    <x v="4"/>
    <x v="10"/>
    <x v="58"/>
    <x v="22"/>
    <x v="7"/>
    <x v="2"/>
    <n v="154.6"/>
  </r>
  <r>
    <x v="4"/>
    <x v="10"/>
    <x v="58"/>
    <x v="24"/>
    <x v="7"/>
    <x v="0"/>
    <n v="127.4"/>
  </r>
  <r>
    <x v="4"/>
    <x v="10"/>
    <x v="58"/>
    <x v="24"/>
    <x v="7"/>
    <x v="1"/>
    <n v="126.2"/>
  </r>
  <r>
    <x v="4"/>
    <x v="10"/>
    <x v="58"/>
    <x v="24"/>
    <x v="7"/>
    <x v="2"/>
    <n v="124.6"/>
  </r>
  <r>
    <x v="4"/>
    <x v="10"/>
    <x v="58"/>
    <x v="20"/>
    <x v="0"/>
    <x v="0"/>
    <n v="150.30000000000001"/>
  </r>
  <r>
    <x v="4"/>
    <x v="10"/>
    <x v="58"/>
    <x v="20"/>
    <x v="0"/>
    <x v="1"/>
    <n v="148.1"/>
  </r>
  <r>
    <x v="4"/>
    <x v="10"/>
    <x v="58"/>
    <x v="20"/>
    <x v="0"/>
    <x v="2"/>
    <n v="145.5"/>
  </r>
  <r>
    <x v="4"/>
    <x v="10"/>
    <x v="58"/>
    <x v="12"/>
    <x v="0"/>
    <x v="0"/>
    <n v="136.4"/>
  </r>
  <r>
    <x v="4"/>
    <x v="10"/>
    <x v="58"/>
    <x v="12"/>
    <x v="0"/>
    <x v="1"/>
    <n v="132.30000000000001"/>
  </r>
  <r>
    <x v="4"/>
    <x v="10"/>
    <x v="58"/>
    <x v="12"/>
    <x v="0"/>
    <x v="2"/>
    <n v="124.1"/>
  </r>
  <r>
    <x v="4"/>
    <x v="10"/>
    <x v="58"/>
    <x v="26"/>
    <x v="9"/>
    <x v="0"/>
    <n v="133"/>
  </r>
  <r>
    <x v="4"/>
    <x v="10"/>
    <x v="58"/>
    <x v="26"/>
    <x v="9"/>
    <x v="1"/>
    <n v="128.4"/>
  </r>
  <r>
    <x v="4"/>
    <x v="10"/>
    <x v="58"/>
    <x v="26"/>
    <x v="9"/>
    <x v="2"/>
    <n v="124.8"/>
  </r>
  <r>
    <x v="4"/>
    <x v="10"/>
    <x v="58"/>
    <x v="16"/>
    <x v="0"/>
    <x v="0"/>
    <n v="135.6"/>
  </r>
  <r>
    <x v="4"/>
    <x v="10"/>
    <x v="58"/>
    <x v="16"/>
    <x v="0"/>
    <x v="1"/>
    <n v="136.30000000000001"/>
  </r>
  <r>
    <x v="4"/>
    <x v="10"/>
    <x v="58"/>
    <x v="16"/>
    <x v="0"/>
    <x v="2"/>
    <n v="137.80000000000001"/>
  </r>
  <r>
    <x v="4"/>
    <x v="10"/>
    <x v="58"/>
    <x v="14"/>
    <x v="0"/>
    <x v="0"/>
    <n v="121.4"/>
  </r>
  <r>
    <x v="4"/>
    <x v="10"/>
    <x v="58"/>
    <x v="14"/>
    <x v="0"/>
    <x v="1"/>
    <n v="121.8"/>
  </r>
  <r>
    <x v="4"/>
    <x v="10"/>
    <x v="58"/>
    <x v="14"/>
    <x v="0"/>
    <x v="2"/>
    <n v="122.6"/>
  </r>
  <r>
    <x v="4"/>
    <x v="10"/>
    <x v="58"/>
    <x v="25"/>
    <x v="8"/>
    <x v="0"/>
    <n v="121"/>
  </r>
  <r>
    <x v="4"/>
    <x v="10"/>
    <x v="58"/>
    <x v="25"/>
    <x v="8"/>
    <x v="1"/>
    <n v="117.8"/>
  </r>
  <r>
    <x v="4"/>
    <x v="10"/>
    <x v="58"/>
    <x v="25"/>
    <x v="8"/>
    <x v="2"/>
    <n v="115"/>
  </r>
  <r>
    <x v="4"/>
    <x v="10"/>
    <x v="58"/>
    <x v="11"/>
    <x v="0"/>
    <x v="0"/>
    <n v="157.1"/>
  </r>
  <r>
    <x v="4"/>
    <x v="10"/>
    <x v="58"/>
    <x v="11"/>
    <x v="0"/>
    <x v="1"/>
    <n v="162.6"/>
  </r>
  <r>
    <x v="4"/>
    <x v="10"/>
    <x v="58"/>
    <x v="11"/>
    <x v="0"/>
    <x v="2"/>
    <n v="173.2"/>
  </r>
  <r>
    <x v="4"/>
    <x v="11"/>
    <x v="59"/>
    <x v="0"/>
    <x v="0"/>
    <x v="0"/>
    <n v="135.19999999999999"/>
  </r>
  <r>
    <x v="4"/>
    <x v="11"/>
    <x v="59"/>
    <x v="0"/>
    <x v="0"/>
    <x v="1"/>
    <n v="134.69999999999999"/>
  </r>
  <r>
    <x v="4"/>
    <x v="11"/>
    <x v="59"/>
    <x v="0"/>
    <x v="0"/>
    <x v="2"/>
    <n v="133.6"/>
  </r>
  <r>
    <x v="4"/>
    <x v="11"/>
    <x v="59"/>
    <x v="1"/>
    <x v="1"/>
    <x v="0"/>
    <n v="146.1"/>
  </r>
  <r>
    <x v="4"/>
    <x v="11"/>
    <x v="59"/>
    <x v="1"/>
    <x v="1"/>
    <x v="1"/>
    <n v="141.1"/>
  </r>
  <r>
    <x v="4"/>
    <x v="11"/>
    <x v="59"/>
    <x v="1"/>
    <x v="1"/>
    <x v="2"/>
    <n v="133.30000000000001"/>
  </r>
  <r>
    <x v="4"/>
    <x v="11"/>
    <x v="59"/>
    <x v="3"/>
    <x v="1"/>
    <x v="0"/>
    <n v="145.19999999999999"/>
  </r>
  <r>
    <x v="4"/>
    <x v="11"/>
    <x v="59"/>
    <x v="3"/>
    <x v="1"/>
    <x v="1"/>
    <n v="140"/>
  </r>
  <r>
    <x v="4"/>
    <x v="11"/>
    <x v="59"/>
    <x v="3"/>
    <x v="1"/>
    <x v="2"/>
    <n v="132"/>
  </r>
  <r>
    <x v="4"/>
    <x v="11"/>
    <x v="59"/>
    <x v="5"/>
    <x v="2"/>
    <x v="0"/>
    <n v="139.6"/>
  </r>
  <r>
    <x v="4"/>
    <x v="11"/>
    <x v="59"/>
    <x v="5"/>
    <x v="2"/>
    <x v="1"/>
    <n v="137.4"/>
  </r>
  <r>
    <x v="4"/>
    <x v="11"/>
    <x v="59"/>
    <x v="5"/>
    <x v="2"/>
    <x v="2"/>
    <n v="135.9"/>
  </r>
  <r>
    <x v="4"/>
    <x v="11"/>
    <x v="59"/>
    <x v="4"/>
    <x v="0"/>
    <x v="0"/>
    <n v="130.5"/>
  </r>
  <r>
    <x v="4"/>
    <x v="11"/>
    <x v="59"/>
    <x v="4"/>
    <x v="0"/>
    <x v="1"/>
    <n v="130.19999999999999"/>
  </r>
  <r>
    <x v="4"/>
    <x v="11"/>
    <x v="59"/>
    <x v="4"/>
    <x v="0"/>
    <x v="2"/>
    <n v="129.69999999999999"/>
  </r>
  <r>
    <x v="4"/>
    <x v="11"/>
    <x v="59"/>
    <x v="8"/>
    <x v="0"/>
    <x v="0"/>
    <n v="139.6"/>
  </r>
  <r>
    <x v="4"/>
    <x v="11"/>
    <x v="59"/>
    <x v="8"/>
    <x v="0"/>
    <x v="1"/>
    <n v="139"/>
  </r>
  <r>
    <x v="4"/>
    <x v="11"/>
    <x v="59"/>
    <x v="8"/>
    <x v="0"/>
    <x v="2"/>
    <n v="138"/>
  </r>
  <r>
    <x v="4"/>
    <x v="11"/>
    <x v="59"/>
    <x v="10"/>
    <x v="1"/>
    <x v="0"/>
    <n v="139.69999999999999"/>
  </r>
  <r>
    <x v="4"/>
    <x v="11"/>
    <x v="59"/>
    <x v="10"/>
    <x v="1"/>
    <x v="1"/>
    <n v="133.4"/>
  </r>
  <r>
    <x v="4"/>
    <x v="11"/>
    <x v="59"/>
    <x v="10"/>
    <x v="1"/>
    <x v="2"/>
    <n v="124.6"/>
  </r>
  <r>
    <x v="4"/>
    <x v="11"/>
    <x v="59"/>
    <x v="9"/>
    <x v="0"/>
    <x v="0"/>
    <n v="147.80000000000001"/>
  </r>
  <r>
    <x v="4"/>
    <x v="11"/>
    <x v="59"/>
    <x v="9"/>
    <x v="0"/>
    <x v="1"/>
    <n v="143"/>
  </r>
  <r>
    <x v="4"/>
    <x v="11"/>
    <x v="59"/>
    <x v="9"/>
    <x v="0"/>
    <x v="2"/>
    <n v="137.5"/>
  </r>
  <r>
    <x v="4"/>
    <x v="11"/>
    <x v="59"/>
    <x v="13"/>
    <x v="3"/>
    <x v="0"/>
    <n v="137.4"/>
  </r>
  <r>
    <x v="4"/>
    <x v="11"/>
    <x v="59"/>
    <x v="13"/>
    <x v="3"/>
    <x v="1"/>
    <n v="131"/>
  </r>
  <r>
    <x v="4"/>
    <x v="11"/>
    <x v="59"/>
    <x v="13"/>
    <x v="3"/>
    <x v="2"/>
    <n v="120.6"/>
  </r>
  <r>
    <x v="4"/>
    <x v="11"/>
    <x v="59"/>
    <x v="15"/>
    <x v="4"/>
    <x v="0"/>
    <n v="137.6"/>
  </r>
  <r>
    <x v="4"/>
    <x v="11"/>
    <x v="59"/>
    <x v="15"/>
    <x v="4"/>
    <x v="1"/>
    <n v="135.19999999999999"/>
  </r>
  <r>
    <x v="4"/>
    <x v="11"/>
    <x v="59"/>
    <x v="15"/>
    <x v="4"/>
    <x v="2"/>
    <n v="132.4"/>
  </r>
  <r>
    <x v="4"/>
    <x v="11"/>
    <x v="59"/>
    <x v="17"/>
    <x v="5"/>
    <x v="0"/>
    <n v="133.4"/>
  </r>
  <r>
    <x v="4"/>
    <x v="11"/>
    <x v="59"/>
    <x v="17"/>
    <x v="5"/>
    <x v="1"/>
    <n v="130.6"/>
  </r>
  <r>
    <x v="4"/>
    <x v="11"/>
    <x v="59"/>
    <x v="17"/>
    <x v="5"/>
    <x v="2"/>
    <n v="126.1"/>
  </r>
  <r>
    <x v="4"/>
    <x v="11"/>
    <x v="59"/>
    <x v="19"/>
    <x v="6"/>
    <x v="0"/>
    <n v="137.9"/>
  </r>
  <r>
    <x v="4"/>
    <x v="11"/>
    <x v="59"/>
    <x v="19"/>
    <x v="6"/>
    <x v="1"/>
    <n v="133.30000000000001"/>
  </r>
  <r>
    <x v="4"/>
    <x v="11"/>
    <x v="59"/>
    <x v="19"/>
    <x v="6"/>
    <x v="2"/>
    <n v="128.1"/>
  </r>
  <r>
    <x v="4"/>
    <x v="11"/>
    <x v="59"/>
    <x v="21"/>
    <x v="6"/>
    <x v="0"/>
    <n v="0"/>
  </r>
  <r>
    <x v="4"/>
    <x v="11"/>
    <x v="59"/>
    <x v="21"/>
    <x v="6"/>
    <x v="1"/>
    <n v="135.69999999999999"/>
  </r>
  <r>
    <x v="4"/>
    <x v="11"/>
    <x v="59"/>
    <x v="21"/>
    <x v="6"/>
    <x v="2"/>
    <n v="135.69999999999999"/>
  </r>
  <r>
    <x v="4"/>
    <x v="11"/>
    <x v="59"/>
    <x v="2"/>
    <x v="0"/>
    <x v="0"/>
    <n v="142"/>
  </r>
  <r>
    <x v="4"/>
    <x v="11"/>
    <x v="59"/>
    <x v="2"/>
    <x v="0"/>
    <x v="1"/>
    <n v="142.4"/>
  </r>
  <r>
    <x v="4"/>
    <x v="11"/>
    <x v="59"/>
    <x v="2"/>
    <x v="0"/>
    <x v="2"/>
    <n v="143"/>
  </r>
  <r>
    <x v="4"/>
    <x v="11"/>
    <x v="59"/>
    <x v="6"/>
    <x v="0"/>
    <x v="0"/>
    <n v="140.19999999999999"/>
  </r>
  <r>
    <x v="4"/>
    <x v="11"/>
    <x v="59"/>
    <x v="6"/>
    <x v="0"/>
    <x v="1"/>
    <n v="139.6"/>
  </r>
  <r>
    <x v="4"/>
    <x v="11"/>
    <x v="59"/>
    <x v="6"/>
    <x v="0"/>
    <x v="2"/>
    <n v="138.69999999999999"/>
  </r>
  <r>
    <x v="4"/>
    <x v="11"/>
    <x v="59"/>
    <x v="23"/>
    <x v="7"/>
    <x v="0"/>
    <n v="130.30000000000001"/>
  </r>
  <r>
    <x v="4"/>
    <x v="11"/>
    <x v="59"/>
    <x v="23"/>
    <x v="7"/>
    <x v="1"/>
    <n v="127.5"/>
  </r>
  <r>
    <x v="4"/>
    <x v="11"/>
    <x v="59"/>
    <x v="23"/>
    <x v="7"/>
    <x v="2"/>
    <n v="124.5"/>
  </r>
  <r>
    <x v="4"/>
    <x v="11"/>
    <x v="59"/>
    <x v="18"/>
    <x v="0"/>
    <x v="0"/>
    <n v="131.69999999999999"/>
  </r>
  <r>
    <x v="4"/>
    <x v="11"/>
    <x v="59"/>
    <x v="18"/>
    <x v="0"/>
    <x v="1"/>
    <n v="128.80000000000001"/>
  </r>
  <r>
    <x v="4"/>
    <x v="11"/>
    <x v="59"/>
    <x v="18"/>
    <x v="0"/>
    <x v="2"/>
    <n v="124.8"/>
  </r>
  <r>
    <x v="4"/>
    <x v="11"/>
    <x v="59"/>
    <x v="7"/>
    <x v="0"/>
    <x v="0"/>
    <n v="120.7"/>
  </r>
  <r>
    <x v="4"/>
    <x v="11"/>
    <x v="59"/>
    <x v="7"/>
    <x v="0"/>
    <x v="1"/>
    <n v="118.4"/>
  </r>
  <r>
    <x v="4"/>
    <x v="11"/>
    <x v="59"/>
    <x v="7"/>
    <x v="0"/>
    <x v="2"/>
    <n v="114.5"/>
  </r>
  <r>
    <x v="4"/>
    <x v="11"/>
    <x v="59"/>
    <x v="22"/>
    <x v="7"/>
    <x v="0"/>
    <n v="149.80000000000001"/>
  </r>
  <r>
    <x v="4"/>
    <x v="11"/>
    <x v="59"/>
    <x v="22"/>
    <x v="7"/>
    <x v="1"/>
    <n v="150.80000000000001"/>
  </r>
  <r>
    <x v="4"/>
    <x v="11"/>
    <x v="59"/>
    <x v="22"/>
    <x v="7"/>
    <x v="2"/>
    <n v="153.6"/>
  </r>
  <r>
    <x v="4"/>
    <x v="11"/>
    <x v="59"/>
    <x v="24"/>
    <x v="7"/>
    <x v="0"/>
    <n v="126.7"/>
  </r>
  <r>
    <x v="4"/>
    <x v="11"/>
    <x v="59"/>
    <x v="24"/>
    <x v="7"/>
    <x v="1"/>
    <n v="125.7"/>
  </r>
  <r>
    <x v="4"/>
    <x v="11"/>
    <x v="59"/>
    <x v="24"/>
    <x v="7"/>
    <x v="2"/>
    <n v="124.4"/>
  </r>
  <r>
    <x v="4"/>
    <x v="11"/>
    <x v="59"/>
    <x v="20"/>
    <x v="0"/>
    <x v="0"/>
    <n v="149.30000000000001"/>
  </r>
  <r>
    <x v="4"/>
    <x v="11"/>
    <x v="59"/>
    <x v="20"/>
    <x v="0"/>
    <x v="1"/>
    <n v="147.30000000000001"/>
  </r>
  <r>
    <x v="4"/>
    <x v="11"/>
    <x v="59"/>
    <x v="20"/>
    <x v="0"/>
    <x v="2"/>
    <n v="145"/>
  </r>
  <r>
    <x v="4"/>
    <x v="11"/>
    <x v="59"/>
    <x v="12"/>
    <x v="0"/>
    <x v="0"/>
    <n v="137.1"/>
  </r>
  <r>
    <x v="4"/>
    <x v="11"/>
    <x v="59"/>
    <x v="12"/>
    <x v="0"/>
    <x v="1"/>
    <n v="132.9"/>
  </r>
  <r>
    <x v="4"/>
    <x v="11"/>
    <x v="59"/>
    <x v="12"/>
    <x v="0"/>
    <x v="2"/>
    <n v="124.5"/>
  </r>
  <r>
    <x v="4"/>
    <x v="11"/>
    <x v="59"/>
    <x v="26"/>
    <x v="9"/>
    <x v="0"/>
    <n v="132.30000000000001"/>
  </r>
  <r>
    <x v="4"/>
    <x v="11"/>
    <x v="59"/>
    <x v="26"/>
    <x v="9"/>
    <x v="1"/>
    <n v="127.9"/>
  </r>
  <r>
    <x v="4"/>
    <x v="11"/>
    <x v="59"/>
    <x v="26"/>
    <x v="9"/>
    <x v="2"/>
    <n v="124.5"/>
  </r>
  <r>
    <x v="4"/>
    <x v="11"/>
    <x v="59"/>
    <x v="16"/>
    <x v="0"/>
    <x v="0"/>
    <n v="134.69999999999999"/>
  </r>
  <r>
    <x v="4"/>
    <x v="11"/>
    <x v="59"/>
    <x v="16"/>
    <x v="0"/>
    <x v="1"/>
    <n v="135.6"/>
  </r>
  <r>
    <x v="4"/>
    <x v="11"/>
    <x v="59"/>
    <x v="16"/>
    <x v="0"/>
    <x v="2"/>
    <n v="137.30000000000001"/>
  </r>
  <r>
    <x v="4"/>
    <x v="11"/>
    <x v="59"/>
    <x v="14"/>
    <x v="0"/>
    <x v="0"/>
    <n v="121"/>
  </r>
  <r>
    <x v="4"/>
    <x v="11"/>
    <x v="59"/>
    <x v="14"/>
    <x v="0"/>
    <x v="1"/>
    <n v="121.5"/>
  </r>
  <r>
    <x v="4"/>
    <x v="11"/>
    <x v="59"/>
    <x v="14"/>
    <x v="0"/>
    <x v="2"/>
    <n v="122.4"/>
  </r>
  <r>
    <x v="4"/>
    <x v="11"/>
    <x v="59"/>
    <x v="25"/>
    <x v="8"/>
    <x v="0"/>
    <n v="121.2"/>
  </r>
  <r>
    <x v="4"/>
    <x v="11"/>
    <x v="59"/>
    <x v="25"/>
    <x v="8"/>
    <x v="1"/>
    <n v="118.3"/>
  </r>
  <r>
    <x v="4"/>
    <x v="11"/>
    <x v="59"/>
    <x v="25"/>
    <x v="8"/>
    <x v="2"/>
    <n v="115.7"/>
  </r>
  <r>
    <x v="4"/>
    <x v="11"/>
    <x v="59"/>
    <x v="11"/>
    <x v="0"/>
    <x v="0"/>
    <n v="154.5"/>
  </r>
  <r>
    <x v="4"/>
    <x v="11"/>
    <x v="59"/>
    <x v="11"/>
    <x v="0"/>
    <x v="1"/>
    <n v="156.6"/>
  </r>
  <r>
    <x v="4"/>
    <x v="11"/>
    <x v="59"/>
    <x v="11"/>
    <x v="0"/>
    <x v="2"/>
    <n v="160.69999999999999"/>
  </r>
  <r>
    <x v="5"/>
    <x v="0"/>
    <x v="60"/>
    <x v="0"/>
    <x v="0"/>
    <x v="0"/>
    <n v="137.1"/>
  </r>
  <r>
    <x v="5"/>
    <x v="0"/>
    <x v="60"/>
    <x v="0"/>
    <x v="0"/>
    <x v="1"/>
    <n v="136.4"/>
  </r>
  <r>
    <x v="5"/>
    <x v="0"/>
    <x v="60"/>
    <x v="0"/>
    <x v="0"/>
    <x v="2"/>
    <n v="135"/>
  </r>
  <r>
    <x v="5"/>
    <x v="0"/>
    <x v="60"/>
    <x v="1"/>
    <x v="1"/>
    <x v="0"/>
    <n v="150.1"/>
  </r>
  <r>
    <x v="5"/>
    <x v="0"/>
    <x v="60"/>
    <x v="1"/>
    <x v="1"/>
    <x v="1"/>
    <n v="145.30000000000001"/>
  </r>
  <r>
    <x v="5"/>
    <x v="0"/>
    <x v="60"/>
    <x v="1"/>
    <x v="1"/>
    <x v="2"/>
    <n v="137.80000000000001"/>
  </r>
  <r>
    <x v="5"/>
    <x v="0"/>
    <x v="60"/>
    <x v="3"/>
    <x v="1"/>
    <x v="0"/>
    <n v="149.1"/>
  </r>
  <r>
    <x v="5"/>
    <x v="0"/>
    <x v="60"/>
    <x v="3"/>
    <x v="1"/>
    <x v="1"/>
    <n v="144"/>
  </r>
  <r>
    <x v="5"/>
    <x v="0"/>
    <x v="60"/>
    <x v="3"/>
    <x v="1"/>
    <x v="2"/>
    <n v="136.19999999999999"/>
  </r>
  <r>
    <x v="5"/>
    <x v="0"/>
    <x v="60"/>
    <x v="5"/>
    <x v="2"/>
    <x v="0"/>
    <n v="143.69999999999999"/>
  </r>
  <r>
    <x v="5"/>
    <x v="0"/>
    <x v="60"/>
    <x v="5"/>
    <x v="2"/>
    <x v="1"/>
    <n v="141.4"/>
  </r>
  <r>
    <x v="5"/>
    <x v="0"/>
    <x v="60"/>
    <x v="5"/>
    <x v="2"/>
    <x v="2"/>
    <n v="139.69999999999999"/>
  </r>
  <r>
    <x v="5"/>
    <x v="0"/>
    <x v="60"/>
    <x v="4"/>
    <x v="0"/>
    <x v="0"/>
    <n v="135.9"/>
  </r>
  <r>
    <x v="5"/>
    <x v="0"/>
    <x v="60"/>
    <x v="4"/>
    <x v="0"/>
    <x v="1"/>
    <n v="133.9"/>
  </r>
  <r>
    <x v="5"/>
    <x v="0"/>
    <x v="60"/>
    <x v="4"/>
    <x v="0"/>
    <x v="2"/>
    <n v="130.80000000000001"/>
  </r>
  <r>
    <x v="5"/>
    <x v="0"/>
    <x v="60"/>
    <x v="8"/>
    <x v="0"/>
    <x v="0"/>
    <n v="138.6"/>
  </r>
  <r>
    <x v="5"/>
    <x v="0"/>
    <x v="60"/>
    <x v="8"/>
    <x v="0"/>
    <x v="1"/>
    <n v="137.5"/>
  </r>
  <r>
    <x v="5"/>
    <x v="0"/>
    <x v="60"/>
    <x v="8"/>
    <x v="0"/>
    <x v="2"/>
    <n v="135.69999999999999"/>
  </r>
  <r>
    <x v="5"/>
    <x v="0"/>
    <x v="60"/>
    <x v="10"/>
    <x v="1"/>
    <x v="0"/>
    <n v="143.30000000000001"/>
  </r>
  <r>
    <x v="5"/>
    <x v="0"/>
    <x v="60"/>
    <x v="10"/>
    <x v="1"/>
    <x v="1"/>
    <n v="136.69999999999999"/>
  </r>
  <r>
    <x v="5"/>
    <x v="0"/>
    <x v="60"/>
    <x v="10"/>
    <x v="1"/>
    <x v="2"/>
    <n v="127.4"/>
  </r>
  <r>
    <x v="5"/>
    <x v="0"/>
    <x v="60"/>
    <x v="9"/>
    <x v="0"/>
    <x v="0"/>
    <n v="156.4"/>
  </r>
  <r>
    <x v="5"/>
    <x v="0"/>
    <x v="60"/>
    <x v="9"/>
    <x v="0"/>
    <x v="1"/>
    <n v="153.5"/>
  </r>
  <r>
    <x v="5"/>
    <x v="0"/>
    <x v="60"/>
    <x v="9"/>
    <x v="0"/>
    <x v="2"/>
    <n v="150.1"/>
  </r>
  <r>
    <x v="5"/>
    <x v="0"/>
    <x v="60"/>
    <x v="13"/>
    <x v="3"/>
    <x v="0"/>
    <n v="143.80000000000001"/>
  </r>
  <r>
    <x v="5"/>
    <x v="0"/>
    <x v="60"/>
    <x v="13"/>
    <x v="3"/>
    <x v="1"/>
    <n v="136.5"/>
  </r>
  <r>
    <x v="5"/>
    <x v="0"/>
    <x v="60"/>
    <x v="13"/>
    <x v="3"/>
    <x v="2"/>
    <n v="124.6"/>
  </r>
  <r>
    <x v="5"/>
    <x v="0"/>
    <x v="60"/>
    <x v="15"/>
    <x v="4"/>
    <x v="0"/>
    <n v="139.1"/>
  </r>
  <r>
    <x v="5"/>
    <x v="0"/>
    <x v="60"/>
    <x v="15"/>
    <x v="4"/>
    <x v="1"/>
    <n v="137.1"/>
  </r>
  <r>
    <x v="5"/>
    <x v="0"/>
    <x v="60"/>
    <x v="15"/>
    <x v="4"/>
    <x v="2"/>
    <n v="134.80000000000001"/>
  </r>
  <r>
    <x v="5"/>
    <x v="0"/>
    <x v="60"/>
    <x v="17"/>
    <x v="5"/>
    <x v="0"/>
    <n v="137.6"/>
  </r>
  <r>
    <x v="5"/>
    <x v="0"/>
    <x v="60"/>
    <x v="17"/>
    <x v="5"/>
    <x v="1"/>
    <n v="135.19999999999999"/>
  </r>
  <r>
    <x v="5"/>
    <x v="0"/>
    <x v="60"/>
    <x v="17"/>
    <x v="5"/>
    <x v="2"/>
    <n v="131.30000000000001"/>
  </r>
  <r>
    <x v="5"/>
    <x v="0"/>
    <x v="60"/>
    <x v="19"/>
    <x v="6"/>
    <x v="0"/>
    <n v="140.9"/>
  </r>
  <r>
    <x v="5"/>
    <x v="0"/>
    <x v="60"/>
    <x v="19"/>
    <x v="6"/>
    <x v="1"/>
    <n v="136.6"/>
  </r>
  <r>
    <x v="5"/>
    <x v="0"/>
    <x v="60"/>
    <x v="19"/>
    <x v="6"/>
    <x v="2"/>
    <n v="131.80000000000001"/>
  </r>
  <r>
    <x v="5"/>
    <x v="0"/>
    <x v="60"/>
    <x v="21"/>
    <x v="6"/>
    <x v="0"/>
    <n v="0"/>
  </r>
  <r>
    <x v="5"/>
    <x v="0"/>
    <x v="60"/>
    <x v="21"/>
    <x v="6"/>
    <x v="1"/>
    <n v="142.9"/>
  </r>
  <r>
    <x v="5"/>
    <x v="0"/>
    <x v="60"/>
    <x v="21"/>
    <x v="6"/>
    <x v="2"/>
    <n v="142.9"/>
  </r>
  <r>
    <x v="5"/>
    <x v="0"/>
    <x v="60"/>
    <x v="2"/>
    <x v="0"/>
    <x v="0"/>
    <n v="144.5"/>
  </r>
  <r>
    <x v="5"/>
    <x v="0"/>
    <x v="60"/>
    <x v="2"/>
    <x v="0"/>
    <x v="1"/>
    <n v="144.4"/>
  </r>
  <r>
    <x v="5"/>
    <x v="0"/>
    <x v="60"/>
    <x v="2"/>
    <x v="0"/>
    <x v="2"/>
    <n v="144.30000000000001"/>
  </r>
  <r>
    <x v="5"/>
    <x v="0"/>
    <x v="60"/>
    <x v="6"/>
    <x v="0"/>
    <x v="0"/>
    <n v="142.4"/>
  </r>
  <r>
    <x v="5"/>
    <x v="0"/>
    <x v="60"/>
    <x v="6"/>
    <x v="0"/>
    <x v="1"/>
    <n v="141.6"/>
  </r>
  <r>
    <x v="5"/>
    <x v="0"/>
    <x v="60"/>
    <x v="6"/>
    <x v="0"/>
    <x v="2"/>
    <n v="140.30000000000001"/>
  </r>
  <r>
    <x v="5"/>
    <x v="0"/>
    <x v="60"/>
    <x v="23"/>
    <x v="7"/>
    <x v="0"/>
    <n v="134.19999999999999"/>
  </r>
  <r>
    <x v="5"/>
    <x v="0"/>
    <x v="60"/>
    <x v="23"/>
    <x v="7"/>
    <x v="1"/>
    <n v="131.30000000000001"/>
  </r>
  <r>
    <x v="5"/>
    <x v="0"/>
    <x v="60"/>
    <x v="23"/>
    <x v="7"/>
    <x v="2"/>
    <n v="128.19999999999999"/>
  </r>
  <r>
    <x v="5"/>
    <x v="0"/>
    <x v="60"/>
    <x v="18"/>
    <x v="0"/>
    <x v="0"/>
    <n v="131.9"/>
  </r>
  <r>
    <x v="5"/>
    <x v="0"/>
    <x v="60"/>
    <x v="18"/>
    <x v="0"/>
    <x v="1"/>
    <n v="129.6"/>
  </r>
  <r>
    <x v="5"/>
    <x v="0"/>
    <x v="60"/>
    <x v="18"/>
    <x v="0"/>
    <x v="2"/>
    <n v="126.5"/>
  </r>
  <r>
    <x v="5"/>
    <x v="0"/>
    <x v="60"/>
    <x v="7"/>
    <x v="0"/>
    <x v="0"/>
    <n v="123.5"/>
  </r>
  <r>
    <x v="5"/>
    <x v="0"/>
    <x v="60"/>
    <x v="7"/>
    <x v="0"/>
    <x v="1"/>
    <n v="121"/>
  </r>
  <r>
    <x v="5"/>
    <x v="0"/>
    <x v="60"/>
    <x v="7"/>
    <x v="0"/>
    <x v="2"/>
    <n v="116.6"/>
  </r>
  <r>
    <x v="5"/>
    <x v="0"/>
    <x v="60"/>
    <x v="22"/>
    <x v="7"/>
    <x v="0"/>
    <n v="156.1"/>
  </r>
  <r>
    <x v="5"/>
    <x v="0"/>
    <x v="60"/>
    <x v="22"/>
    <x v="7"/>
    <x v="1"/>
    <n v="156.9"/>
  </r>
  <r>
    <x v="5"/>
    <x v="0"/>
    <x v="60"/>
    <x v="22"/>
    <x v="7"/>
    <x v="2"/>
    <n v="159.19999999999999"/>
  </r>
  <r>
    <x v="5"/>
    <x v="0"/>
    <x v="60"/>
    <x v="24"/>
    <x v="7"/>
    <x v="0"/>
    <n v="130.4"/>
  </r>
  <r>
    <x v="5"/>
    <x v="0"/>
    <x v="60"/>
    <x v="24"/>
    <x v="7"/>
    <x v="1"/>
    <n v="129.19999999999999"/>
  </r>
  <r>
    <x v="5"/>
    <x v="0"/>
    <x v="60"/>
    <x v="24"/>
    <x v="7"/>
    <x v="2"/>
    <n v="127.6"/>
  </r>
  <r>
    <x v="5"/>
    <x v="0"/>
    <x v="60"/>
    <x v="20"/>
    <x v="0"/>
    <x v="0"/>
    <n v="153.80000000000001"/>
  </r>
  <r>
    <x v="5"/>
    <x v="0"/>
    <x v="60"/>
    <x v="20"/>
    <x v="0"/>
    <x v="1"/>
    <n v="151.19999999999999"/>
  </r>
  <r>
    <x v="5"/>
    <x v="0"/>
    <x v="60"/>
    <x v="20"/>
    <x v="0"/>
    <x v="2"/>
    <n v="148.30000000000001"/>
  </r>
  <r>
    <x v="5"/>
    <x v="0"/>
    <x v="60"/>
    <x v="12"/>
    <x v="0"/>
    <x v="0"/>
    <n v="128.4"/>
  </r>
  <r>
    <x v="5"/>
    <x v="0"/>
    <x v="60"/>
    <x v="12"/>
    <x v="0"/>
    <x v="1"/>
    <n v="123.5"/>
  </r>
  <r>
    <x v="5"/>
    <x v="0"/>
    <x v="60"/>
    <x v="12"/>
    <x v="0"/>
    <x v="2"/>
    <n v="114"/>
  </r>
  <r>
    <x v="5"/>
    <x v="0"/>
    <x v="60"/>
    <x v="26"/>
    <x v="9"/>
    <x v="0"/>
    <n v="136"/>
  </r>
  <r>
    <x v="5"/>
    <x v="0"/>
    <x v="60"/>
    <x v="26"/>
    <x v="9"/>
    <x v="1"/>
    <n v="131.30000000000001"/>
  </r>
  <r>
    <x v="5"/>
    <x v="0"/>
    <x v="60"/>
    <x v="26"/>
    <x v="9"/>
    <x v="2"/>
    <n v="127.6"/>
  </r>
  <r>
    <x v="5"/>
    <x v="0"/>
    <x v="60"/>
    <x v="16"/>
    <x v="0"/>
    <x v="0"/>
    <n v="137.19999999999999"/>
  </r>
  <r>
    <x v="5"/>
    <x v="0"/>
    <x v="60"/>
    <x v="16"/>
    <x v="0"/>
    <x v="1"/>
    <n v="138.19999999999999"/>
  </r>
  <r>
    <x v="5"/>
    <x v="0"/>
    <x v="60"/>
    <x v="16"/>
    <x v="0"/>
    <x v="2"/>
    <n v="140.19999999999999"/>
  </r>
  <r>
    <x v="5"/>
    <x v="0"/>
    <x v="60"/>
    <x v="14"/>
    <x v="0"/>
    <x v="0"/>
    <n v="115.2"/>
  </r>
  <r>
    <x v="5"/>
    <x v="0"/>
    <x v="60"/>
    <x v="14"/>
    <x v="0"/>
    <x v="1"/>
    <n v="113.7"/>
  </r>
  <r>
    <x v="5"/>
    <x v="0"/>
    <x v="60"/>
    <x v="14"/>
    <x v="0"/>
    <x v="2"/>
    <n v="110.6"/>
  </r>
  <r>
    <x v="5"/>
    <x v="0"/>
    <x v="60"/>
    <x v="25"/>
    <x v="8"/>
    <x v="0"/>
    <n v="125.3"/>
  </r>
  <r>
    <x v="5"/>
    <x v="0"/>
    <x v="60"/>
    <x v="25"/>
    <x v="8"/>
    <x v="1"/>
    <n v="121.9"/>
  </r>
  <r>
    <x v="5"/>
    <x v="0"/>
    <x v="60"/>
    <x v="25"/>
    <x v="8"/>
    <x v="2"/>
    <n v="118.9"/>
  </r>
  <r>
    <x v="5"/>
    <x v="0"/>
    <x v="60"/>
    <x v="11"/>
    <x v="0"/>
    <x v="0"/>
    <n v="135.1"/>
  </r>
  <r>
    <x v="5"/>
    <x v="0"/>
    <x v="60"/>
    <x v="11"/>
    <x v="0"/>
    <x v="1"/>
    <n v="132.6"/>
  </r>
  <r>
    <x v="5"/>
    <x v="0"/>
    <x v="60"/>
    <x v="11"/>
    <x v="0"/>
    <x v="2"/>
    <n v="127.6"/>
  </r>
  <r>
    <x v="5"/>
    <x v="1"/>
    <x v="61"/>
    <x v="0"/>
    <x v="0"/>
    <x v="0"/>
    <n v="139.19999999999999"/>
  </r>
  <r>
    <x v="5"/>
    <x v="1"/>
    <x v="61"/>
    <x v="0"/>
    <x v="0"/>
    <x v="1"/>
    <n v="138.30000000000001"/>
  </r>
  <r>
    <x v="5"/>
    <x v="1"/>
    <x v="61"/>
    <x v="0"/>
    <x v="0"/>
    <x v="2"/>
    <n v="136.5"/>
  </r>
  <r>
    <x v="5"/>
    <x v="1"/>
    <x v="61"/>
    <x v="1"/>
    <x v="1"/>
    <x v="0"/>
    <n v="152.1"/>
  </r>
  <r>
    <x v="5"/>
    <x v="1"/>
    <x v="61"/>
    <x v="1"/>
    <x v="1"/>
    <x v="1"/>
    <n v="147.30000000000001"/>
  </r>
  <r>
    <x v="5"/>
    <x v="1"/>
    <x v="61"/>
    <x v="1"/>
    <x v="1"/>
    <x v="2"/>
    <n v="140"/>
  </r>
  <r>
    <x v="5"/>
    <x v="1"/>
    <x v="61"/>
    <x v="3"/>
    <x v="1"/>
    <x v="0"/>
    <n v="151.30000000000001"/>
  </r>
  <r>
    <x v="5"/>
    <x v="1"/>
    <x v="61"/>
    <x v="3"/>
    <x v="1"/>
    <x v="1"/>
    <n v="146.1"/>
  </r>
  <r>
    <x v="5"/>
    <x v="1"/>
    <x v="61"/>
    <x v="3"/>
    <x v="1"/>
    <x v="2"/>
    <n v="138.30000000000001"/>
  </r>
  <r>
    <x v="5"/>
    <x v="1"/>
    <x v="61"/>
    <x v="5"/>
    <x v="2"/>
    <x v="0"/>
    <n v="146.9"/>
  </r>
  <r>
    <x v="5"/>
    <x v="1"/>
    <x v="61"/>
    <x v="5"/>
    <x v="2"/>
    <x v="1"/>
    <n v="146"/>
  </r>
  <r>
    <x v="5"/>
    <x v="1"/>
    <x v="61"/>
    <x v="5"/>
    <x v="2"/>
    <x v="2"/>
    <n v="145.30000000000001"/>
  </r>
  <r>
    <x v="5"/>
    <x v="1"/>
    <x v="61"/>
    <x v="4"/>
    <x v="0"/>
    <x v="0"/>
    <n v="139.1"/>
  </r>
  <r>
    <x v="5"/>
    <x v="1"/>
    <x v="61"/>
    <x v="4"/>
    <x v="0"/>
    <x v="1"/>
    <n v="138.1"/>
  </r>
  <r>
    <x v="5"/>
    <x v="1"/>
    <x v="61"/>
    <x v="4"/>
    <x v="0"/>
    <x v="2"/>
    <n v="136.6"/>
  </r>
  <r>
    <x v="5"/>
    <x v="1"/>
    <x v="61"/>
    <x v="8"/>
    <x v="0"/>
    <x v="0"/>
    <n v="142.69999999999999"/>
  </r>
  <r>
    <x v="5"/>
    <x v="1"/>
    <x v="61"/>
    <x v="8"/>
    <x v="0"/>
    <x v="1"/>
    <n v="141.69999999999999"/>
  </r>
  <r>
    <x v="5"/>
    <x v="1"/>
    <x v="61"/>
    <x v="8"/>
    <x v="0"/>
    <x v="2"/>
    <n v="140.1"/>
  </r>
  <r>
    <x v="5"/>
    <x v="1"/>
    <x v="61"/>
    <x v="10"/>
    <x v="1"/>
    <x v="0"/>
    <n v="145.80000000000001"/>
  </r>
  <r>
    <x v="5"/>
    <x v="1"/>
    <x v="61"/>
    <x v="10"/>
    <x v="1"/>
    <x v="1"/>
    <n v="138.80000000000001"/>
  </r>
  <r>
    <x v="5"/>
    <x v="1"/>
    <x v="61"/>
    <x v="10"/>
    <x v="1"/>
    <x v="2"/>
    <n v="129"/>
  </r>
  <r>
    <x v="5"/>
    <x v="1"/>
    <x v="61"/>
    <x v="9"/>
    <x v="0"/>
    <x v="0"/>
    <n v="154.4"/>
  </r>
  <r>
    <x v="5"/>
    <x v="1"/>
    <x v="61"/>
    <x v="9"/>
    <x v="0"/>
    <x v="1"/>
    <n v="150.6"/>
  </r>
  <r>
    <x v="5"/>
    <x v="1"/>
    <x v="61"/>
    <x v="9"/>
    <x v="0"/>
    <x v="2"/>
    <n v="146.30000000000001"/>
  </r>
  <r>
    <x v="5"/>
    <x v="1"/>
    <x v="61"/>
    <x v="13"/>
    <x v="3"/>
    <x v="0"/>
    <n v="147.69999999999999"/>
  </r>
  <r>
    <x v="5"/>
    <x v="1"/>
    <x v="61"/>
    <x v="13"/>
    <x v="3"/>
    <x v="1"/>
    <n v="140.9"/>
  </r>
  <r>
    <x v="5"/>
    <x v="1"/>
    <x v="61"/>
    <x v="13"/>
    <x v="3"/>
    <x v="2"/>
    <n v="129.80000000000001"/>
  </r>
  <r>
    <x v="5"/>
    <x v="1"/>
    <x v="61"/>
    <x v="15"/>
    <x v="4"/>
    <x v="0"/>
    <n v="142.5"/>
  </r>
  <r>
    <x v="5"/>
    <x v="1"/>
    <x v="61"/>
    <x v="15"/>
    <x v="4"/>
    <x v="1"/>
    <n v="140.4"/>
  </r>
  <r>
    <x v="5"/>
    <x v="1"/>
    <x v="61"/>
    <x v="15"/>
    <x v="4"/>
    <x v="2"/>
    <n v="138"/>
  </r>
  <r>
    <x v="5"/>
    <x v="1"/>
    <x v="61"/>
    <x v="17"/>
    <x v="5"/>
    <x v="0"/>
    <n v="139.4"/>
  </r>
  <r>
    <x v="5"/>
    <x v="1"/>
    <x v="61"/>
    <x v="17"/>
    <x v="5"/>
    <x v="1"/>
    <n v="137.69999999999999"/>
  </r>
  <r>
    <x v="5"/>
    <x v="1"/>
    <x v="61"/>
    <x v="17"/>
    <x v="5"/>
    <x v="2"/>
    <n v="134.9"/>
  </r>
  <r>
    <x v="5"/>
    <x v="1"/>
    <x v="61"/>
    <x v="19"/>
    <x v="6"/>
    <x v="0"/>
    <n v="143.80000000000001"/>
  </r>
  <r>
    <x v="5"/>
    <x v="1"/>
    <x v="61"/>
    <x v="19"/>
    <x v="6"/>
    <x v="1"/>
    <n v="139.4"/>
  </r>
  <r>
    <x v="5"/>
    <x v="1"/>
    <x v="61"/>
    <x v="19"/>
    <x v="6"/>
    <x v="2"/>
    <n v="134.4"/>
  </r>
  <r>
    <x v="5"/>
    <x v="1"/>
    <x v="61"/>
    <x v="21"/>
    <x v="6"/>
    <x v="0"/>
    <n v="0"/>
  </r>
  <r>
    <x v="5"/>
    <x v="1"/>
    <x v="61"/>
    <x v="21"/>
    <x v="6"/>
    <x v="1"/>
    <n v="144.6"/>
  </r>
  <r>
    <x v="5"/>
    <x v="1"/>
    <x v="61"/>
    <x v="21"/>
    <x v="6"/>
    <x v="2"/>
    <n v="144.6"/>
  </r>
  <r>
    <x v="5"/>
    <x v="1"/>
    <x v="61"/>
    <x v="2"/>
    <x v="0"/>
    <x v="0"/>
    <n v="148.80000000000001"/>
  </r>
  <r>
    <x v="5"/>
    <x v="1"/>
    <x v="61"/>
    <x v="2"/>
    <x v="0"/>
    <x v="1"/>
    <n v="148"/>
  </r>
  <r>
    <x v="5"/>
    <x v="1"/>
    <x v="61"/>
    <x v="2"/>
    <x v="0"/>
    <x v="2"/>
    <n v="146.4"/>
  </r>
  <r>
    <x v="5"/>
    <x v="1"/>
    <x v="61"/>
    <x v="6"/>
    <x v="0"/>
    <x v="0"/>
    <n v="143.5"/>
  </r>
  <r>
    <x v="5"/>
    <x v="1"/>
    <x v="61"/>
    <x v="6"/>
    <x v="0"/>
    <x v="1"/>
    <n v="142.6"/>
  </r>
  <r>
    <x v="5"/>
    <x v="1"/>
    <x v="61"/>
    <x v="6"/>
    <x v="0"/>
    <x v="2"/>
    <n v="141.19999999999999"/>
  </r>
  <r>
    <x v="5"/>
    <x v="1"/>
    <x v="61"/>
    <x v="23"/>
    <x v="7"/>
    <x v="0"/>
    <n v="136.6"/>
  </r>
  <r>
    <x v="5"/>
    <x v="1"/>
    <x v="61"/>
    <x v="23"/>
    <x v="7"/>
    <x v="1"/>
    <n v="133.9"/>
  </r>
  <r>
    <x v="5"/>
    <x v="1"/>
    <x v="61"/>
    <x v="23"/>
    <x v="7"/>
    <x v="2"/>
    <n v="131"/>
  </r>
  <r>
    <x v="5"/>
    <x v="1"/>
    <x v="61"/>
    <x v="18"/>
    <x v="0"/>
    <x v="0"/>
    <n v="133.80000000000001"/>
  </r>
  <r>
    <x v="5"/>
    <x v="1"/>
    <x v="61"/>
    <x v="18"/>
    <x v="0"/>
    <x v="1"/>
    <n v="131.1"/>
  </r>
  <r>
    <x v="5"/>
    <x v="1"/>
    <x v="61"/>
    <x v="18"/>
    <x v="0"/>
    <x v="2"/>
    <n v="127.4"/>
  </r>
  <r>
    <x v="5"/>
    <x v="1"/>
    <x v="61"/>
    <x v="7"/>
    <x v="0"/>
    <x v="0"/>
    <n v="125"/>
  </r>
  <r>
    <x v="5"/>
    <x v="1"/>
    <x v="61"/>
    <x v="7"/>
    <x v="0"/>
    <x v="1"/>
    <n v="122.2"/>
  </r>
  <r>
    <x v="5"/>
    <x v="1"/>
    <x v="61"/>
    <x v="7"/>
    <x v="0"/>
    <x v="2"/>
    <n v="117.4"/>
  </r>
  <r>
    <x v="5"/>
    <x v="1"/>
    <x v="61"/>
    <x v="22"/>
    <x v="7"/>
    <x v="0"/>
    <n v="156.4"/>
  </r>
  <r>
    <x v="5"/>
    <x v="1"/>
    <x v="61"/>
    <x v="22"/>
    <x v="7"/>
    <x v="1"/>
    <n v="157.9"/>
  </r>
  <r>
    <x v="5"/>
    <x v="1"/>
    <x v="61"/>
    <x v="22"/>
    <x v="7"/>
    <x v="2"/>
    <n v="162.1"/>
  </r>
  <r>
    <x v="5"/>
    <x v="1"/>
    <x v="61"/>
    <x v="24"/>
    <x v="7"/>
    <x v="0"/>
    <n v="131.30000000000001"/>
  </r>
  <r>
    <x v="5"/>
    <x v="1"/>
    <x v="61"/>
    <x v="24"/>
    <x v="7"/>
    <x v="1"/>
    <n v="130.1"/>
  </r>
  <r>
    <x v="5"/>
    <x v="1"/>
    <x v="61"/>
    <x v="24"/>
    <x v="7"/>
    <x v="2"/>
    <n v="128.30000000000001"/>
  </r>
  <r>
    <x v="5"/>
    <x v="1"/>
    <x v="61"/>
    <x v="20"/>
    <x v="0"/>
    <x v="0"/>
    <n v="155.19999999999999"/>
  </r>
  <r>
    <x v="5"/>
    <x v="1"/>
    <x v="61"/>
    <x v="20"/>
    <x v="0"/>
    <x v="1"/>
    <n v="153"/>
  </r>
  <r>
    <x v="5"/>
    <x v="1"/>
    <x v="61"/>
    <x v="20"/>
    <x v="0"/>
    <x v="2"/>
    <n v="150.4"/>
  </r>
  <r>
    <x v="5"/>
    <x v="1"/>
    <x v="61"/>
    <x v="12"/>
    <x v="0"/>
    <x v="0"/>
    <n v="126.8"/>
  </r>
  <r>
    <x v="5"/>
    <x v="1"/>
    <x v="61"/>
    <x v="12"/>
    <x v="0"/>
    <x v="1"/>
    <n v="122.4"/>
  </r>
  <r>
    <x v="5"/>
    <x v="1"/>
    <x v="61"/>
    <x v="12"/>
    <x v="0"/>
    <x v="2"/>
    <n v="113.6"/>
  </r>
  <r>
    <x v="5"/>
    <x v="1"/>
    <x v="61"/>
    <x v="26"/>
    <x v="9"/>
    <x v="0"/>
    <n v="138.6"/>
  </r>
  <r>
    <x v="5"/>
    <x v="1"/>
    <x v="61"/>
    <x v="26"/>
    <x v="9"/>
    <x v="1"/>
    <n v="133.6"/>
  </r>
  <r>
    <x v="5"/>
    <x v="1"/>
    <x v="61"/>
    <x v="26"/>
    <x v="9"/>
    <x v="2"/>
    <n v="129.80000000000001"/>
  </r>
  <r>
    <x v="5"/>
    <x v="1"/>
    <x v="61"/>
    <x v="16"/>
    <x v="0"/>
    <x v="0"/>
    <n v="138.6"/>
  </r>
  <r>
    <x v="5"/>
    <x v="1"/>
    <x v="61"/>
    <x v="16"/>
    <x v="0"/>
    <x v="1"/>
    <n v="139.4"/>
  </r>
  <r>
    <x v="5"/>
    <x v="1"/>
    <x v="61"/>
    <x v="16"/>
    <x v="0"/>
    <x v="2"/>
    <n v="141.1"/>
  </r>
  <r>
    <x v="5"/>
    <x v="1"/>
    <x v="61"/>
    <x v="14"/>
    <x v="0"/>
    <x v="0"/>
    <n v="115.4"/>
  </r>
  <r>
    <x v="5"/>
    <x v="1"/>
    <x v="61"/>
    <x v="14"/>
    <x v="0"/>
    <x v="1"/>
    <n v="114.7"/>
  </r>
  <r>
    <x v="5"/>
    <x v="1"/>
    <x v="61"/>
    <x v="14"/>
    <x v="0"/>
    <x v="2"/>
    <n v="113.3"/>
  </r>
  <r>
    <x v="5"/>
    <x v="1"/>
    <x v="61"/>
    <x v="25"/>
    <x v="8"/>
    <x v="0"/>
    <n v="128.30000000000001"/>
  </r>
  <r>
    <x v="5"/>
    <x v="1"/>
    <x v="61"/>
    <x v="25"/>
    <x v="8"/>
    <x v="1"/>
    <n v="124.3"/>
  </r>
  <r>
    <x v="5"/>
    <x v="1"/>
    <x v="61"/>
    <x v="25"/>
    <x v="8"/>
    <x v="2"/>
    <n v="120.7"/>
  </r>
  <r>
    <x v="5"/>
    <x v="1"/>
    <x v="61"/>
    <x v="11"/>
    <x v="0"/>
    <x v="0"/>
    <n v="156.30000000000001"/>
  </r>
  <r>
    <x v="5"/>
    <x v="1"/>
    <x v="61"/>
    <x v="11"/>
    <x v="0"/>
    <x v="1"/>
    <n v="156.6"/>
  </r>
  <r>
    <x v="5"/>
    <x v="1"/>
    <x v="61"/>
    <x v="11"/>
    <x v="0"/>
    <x v="2"/>
    <n v="157.30000000000001"/>
  </r>
  <r>
    <x v="5"/>
    <x v="2"/>
    <x v="62"/>
    <x v="0"/>
    <x v="0"/>
    <x v="0"/>
    <n v="137.1"/>
  </r>
  <r>
    <x v="5"/>
    <x v="2"/>
    <x v="62"/>
    <x v="0"/>
    <x v="0"/>
    <x v="1"/>
    <n v="137.5"/>
  </r>
  <r>
    <x v="5"/>
    <x v="2"/>
    <x v="62"/>
    <x v="0"/>
    <x v="0"/>
    <x v="2"/>
    <n v="138.5"/>
  </r>
  <r>
    <x v="5"/>
    <x v="2"/>
    <x v="62"/>
    <x v="1"/>
    <x v="1"/>
    <x v="0"/>
    <n v="151.6"/>
  </r>
  <r>
    <x v="5"/>
    <x v="2"/>
    <x v="62"/>
    <x v="1"/>
    <x v="1"/>
    <x v="1"/>
    <n v="148.1"/>
  </r>
  <r>
    <x v="5"/>
    <x v="2"/>
    <x v="62"/>
    <x v="1"/>
    <x v="1"/>
    <x v="2"/>
    <n v="142.69999999999999"/>
  </r>
  <r>
    <x v="5"/>
    <x v="2"/>
    <x v="62"/>
    <x v="3"/>
    <x v="1"/>
    <x v="0"/>
    <n v="150.80000000000001"/>
  </r>
  <r>
    <x v="5"/>
    <x v="2"/>
    <x v="62"/>
    <x v="3"/>
    <x v="1"/>
    <x v="1"/>
    <n v="146.80000000000001"/>
  </r>
  <r>
    <x v="5"/>
    <x v="2"/>
    <x v="62"/>
    <x v="3"/>
    <x v="1"/>
    <x v="2"/>
    <n v="140.80000000000001"/>
  </r>
  <r>
    <x v="5"/>
    <x v="2"/>
    <x v="62"/>
    <x v="5"/>
    <x v="2"/>
    <x v="0"/>
    <n v="155.1"/>
  </r>
  <r>
    <x v="5"/>
    <x v="2"/>
    <x v="62"/>
    <x v="5"/>
    <x v="2"/>
    <x v="1"/>
    <n v="150.1"/>
  </r>
  <r>
    <x v="5"/>
    <x v="2"/>
    <x v="62"/>
    <x v="5"/>
    <x v="2"/>
    <x v="2"/>
    <n v="146.5"/>
  </r>
  <r>
    <x v="5"/>
    <x v="2"/>
    <x v="62"/>
    <x v="4"/>
    <x v="0"/>
    <x v="0"/>
    <n v="137.4"/>
  </r>
  <r>
    <x v="5"/>
    <x v="2"/>
    <x v="62"/>
    <x v="4"/>
    <x v="0"/>
    <x v="1"/>
    <n v="138.80000000000001"/>
  </r>
  <r>
    <x v="5"/>
    <x v="2"/>
    <x v="62"/>
    <x v="4"/>
    <x v="0"/>
    <x v="2"/>
    <n v="141.1"/>
  </r>
  <r>
    <x v="5"/>
    <x v="2"/>
    <x v="62"/>
    <x v="8"/>
    <x v="0"/>
    <x v="0"/>
    <n v="138.5"/>
  </r>
  <r>
    <x v="5"/>
    <x v="2"/>
    <x v="62"/>
    <x v="8"/>
    <x v="0"/>
    <x v="1"/>
    <n v="138.19999999999999"/>
  </r>
  <r>
    <x v="5"/>
    <x v="2"/>
    <x v="62"/>
    <x v="8"/>
    <x v="0"/>
    <x v="2"/>
    <n v="137.6"/>
  </r>
  <r>
    <x v="5"/>
    <x v="2"/>
    <x v="62"/>
    <x v="10"/>
    <x v="1"/>
    <x v="0"/>
    <n v="145.9"/>
  </r>
  <r>
    <x v="5"/>
    <x v="2"/>
    <x v="62"/>
    <x v="10"/>
    <x v="1"/>
    <x v="1"/>
    <n v="139.4"/>
  </r>
  <r>
    <x v="5"/>
    <x v="2"/>
    <x v="62"/>
    <x v="10"/>
    <x v="1"/>
    <x v="2"/>
    <n v="130.30000000000001"/>
  </r>
  <r>
    <x v="5"/>
    <x v="2"/>
    <x v="62"/>
    <x v="9"/>
    <x v="0"/>
    <x v="0"/>
    <n v="140.19999999999999"/>
  </r>
  <r>
    <x v="5"/>
    <x v="2"/>
    <x v="62"/>
    <x v="9"/>
    <x v="0"/>
    <x v="1"/>
    <n v="139.4"/>
  </r>
  <r>
    <x v="5"/>
    <x v="2"/>
    <x v="62"/>
    <x v="9"/>
    <x v="0"/>
    <x v="2"/>
    <n v="138.5"/>
  </r>
  <r>
    <x v="5"/>
    <x v="2"/>
    <x v="62"/>
    <x v="13"/>
    <x v="3"/>
    <x v="0"/>
    <n v="149"/>
  </r>
  <r>
    <x v="5"/>
    <x v="2"/>
    <x v="62"/>
    <x v="13"/>
    <x v="3"/>
    <x v="1"/>
    <n v="142.69999999999999"/>
  </r>
  <r>
    <x v="5"/>
    <x v="2"/>
    <x v="62"/>
    <x v="13"/>
    <x v="3"/>
    <x v="2"/>
    <n v="132.4"/>
  </r>
  <r>
    <x v="5"/>
    <x v="2"/>
    <x v="62"/>
    <x v="15"/>
    <x v="4"/>
    <x v="0"/>
    <n v="141.9"/>
  </r>
  <r>
    <x v="5"/>
    <x v="2"/>
    <x v="62"/>
    <x v="15"/>
    <x v="4"/>
    <x v="1"/>
    <n v="140.1"/>
  </r>
  <r>
    <x v="5"/>
    <x v="2"/>
    <x v="62"/>
    <x v="15"/>
    <x v="4"/>
    <x v="2"/>
    <n v="138"/>
  </r>
  <r>
    <x v="5"/>
    <x v="2"/>
    <x v="62"/>
    <x v="17"/>
    <x v="5"/>
    <x v="0"/>
    <n v="149.6"/>
  </r>
  <r>
    <x v="5"/>
    <x v="2"/>
    <x v="62"/>
    <x v="17"/>
    <x v="5"/>
    <x v="1"/>
    <n v="144.9"/>
  </r>
  <r>
    <x v="5"/>
    <x v="2"/>
    <x v="62"/>
    <x v="17"/>
    <x v="5"/>
    <x v="2"/>
    <n v="137.30000000000001"/>
  </r>
  <r>
    <x v="5"/>
    <x v="2"/>
    <x v="62"/>
    <x v="19"/>
    <x v="6"/>
    <x v="0"/>
    <n v="149.5"/>
  </r>
  <r>
    <x v="5"/>
    <x v="2"/>
    <x v="62"/>
    <x v="19"/>
    <x v="6"/>
    <x v="1"/>
    <n v="143.19999999999999"/>
  </r>
  <r>
    <x v="5"/>
    <x v="2"/>
    <x v="62"/>
    <x v="19"/>
    <x v="6"/>
    <x v="2"/>
    <n v="136.19999999999999"/>
  </r>
  <r>
    <x v="5"/>
    <x v="2"/>
    <x v="62"/>
    <x v="21"/>
    <x v="6"/>
    <x v="0"/>
    <n v="0"/>
  </r>
  <r>
    <x v="5"/>
    <x v="2"/>
    <x v="62"/>
    <x v="21"/>
    <x v="6"/>
    <x v="1"/>
    <n v="146.5"/>
  </r>
  <r>
    <x v="5"/>
    <x v="2"/>
    <x v="62"/>
    <x v="21"/>
    <x v="6"/>
    <x v="2"/>
    <n v="146.5"/>
  </r>
  <r>
    <x v="5"/>
    <x v="2"/>
    <x v="62"/>
    <x v="2"/>
    <x v="0"/>
    <x v="0"/>
    <n v="151.9"/>
  </r>
  <r>
    <x v="5"/>
    <x v="2"/>
    <x v="62"/>
    <x v="2"/>
    <x v="0"/>
    <x v="1"/>
    <n v="150.5"/>
  </r>
  <r>
    <x v="5"/>
    <x v="2"/>
    <x v="62"/>
    <x v="2"/>
    <x v="0"/>
    <x v="2"/>
    <n v="147.80000000000001"/>
  </r>
  <r>
    <x v="5"/>
    <x v="2"/>
    <x v="62"/>
    <x v="6"/>
    <x v="0"/>
    <x v="0"/>
    <n v="142.4"/>
  </r>
  <r>
    <x v="5"/>
    <x v="2"/>
    <x v="62"/>
    <x v="6"/>
    <x v="0"/>
    <x v="1"/>
    <n v="142.1"/>
  </r>
  <r>
    <x v="5"/>
    <x v="2"/>
    <x v="62"/>
    <x v="6"/>
    <x v="0"/>
    <x v="2"/>
    <n v="141.6"/>
  </r>
  <r>
    <x v="5"/>
    <x v="2"/>
    <x v="62"/>
    <x v="23"/>
    <x v="7"/>
    <x v="0"/>
    <n v="141.6"/>
  </r>
  <r>
    <x v="5"/>
    <x v="2"/>
    <x v="62"/>
    <x v="23"/>
    <x v="7"/>
    <x v="1"/>
    <n v="136.80000000000001"/>
  </r>
  <r>
    <x v="5"/>
    <x v="2"/>
    <x v="62"/>
    <x v="23"/>
    <x v="7"/>
    <x v="2"/>
    <n v="131.69999999999999"/>
  </r>
  <r>
    <x v="5"/>
    <x v="2"/>
    <x v="62"/>
    <x v="18"/>
    <x v="0"/>
    <x v="0"/>
    <n v="137.80000000000001"/>
  </r>
  <r>
    <x v="5"/>
    <x v="2"/>
    <x v="62"/>
    <x v="18"/>
    <x v="0"/>
    <x v="1"/>
    <n v="133.80000000000001"/>
  </r>
  <r>
    <x v="5"/>
    <x v="2"/>
    <x v="62"/>
    <x v="18"/>
    <x v="0"/>
    <x v="2"/>
    <n v="128.1"/>
  </r>
  <r>
    <x v="5"/>
    <x v="2"/>
    <x v="62"/>
    <x v="7"/>
    <x v="0"/>
    <x v="0"/>
    <n v="124.2"/>
  </r>
  <r>
    <x v="5"/>
    <x v="2"/>
    <x v="62"/>
    <x v="7"/>
    <x v="0"/>
    <x v="1"/>
    <n v="122"/>
  </r>
  <r>
    <x v="5"/>
    <x v="2"/>
    <x v="62"/>
    <x v="7"/>
    <x v="0"/>
    <x v="2"/>
    <n v="118.1"/>
  </r>
  <r>
    <x v="5"/>
    <x v="2"/>
    <x v="62"/>
    <x v="22"/>
    <x v="7"/>
    <x v="0"/>
    <n v="162.4"/>
  </r>
  <r>
    <x v="5"/>
    <x v="2"/>
    <x v="62"/>
    <x v="22"/>
    <x v="7"/>
    <x v="1"/>
    <n v="163"/>
  </r>
  <r>
    <x v="5"/>
    <x v="2"/>
    <x v="62"/>
    <x v="22"/>
    <x v="7"/>
    <x v="2"/>
    <n v="164.6"/>
  </r>
  <r>
    <x v="5"/>
    <x v="2"/>
    <x v="62"/>
    <x v="24"/>
    <x v="7"/>
    <x v="0"/>
    <n v="133.19999999999999"/>
  </r>
  <r>
    <x v="5"/>
    <x v="2"/>
    <x v="62"/>
    <x v="24"/>
    <x v="7"/>
    <x v="1"/>
    <n v="132.19999999999999"/>
  </r>
  <r>
    <x v="5"/>
    <x v="2"/>
    <x v="62"/>
    <x v="24"/>
    <x v="7"/>
    <x v="2"/>
    <n v="130.80000000000001"/>
  </r>
  <r>
    <x v="5"/>
    <x v="2"/>
    <x v="62"/>
    <x v="20"/>
    <x v="0"/>
    <x v="0"/>
    <n v="156"/>
  </r>
  <r>
    <x v="5"/>
    <x v="2"/>
    <x v="62"/>
    <x v="20"/>
    <x v="0"/>
    <x v="1"/>
    <n v="154.6"/>
  </r>
  <r>
    <x v="5"/>
    <x v="2"/>
    <x v="62"/>
    <x v="20"/>
    <x v="0"/>
    <x v="2"/>
    <n v="152.9"/>
  </r>
  <r>
    <x v="5"/>
    <x v="2"/>
    <x v="62"/>
    <x v="12"/>
    <x v="0"/>
    <x v="0"/>
    <n v="120.9"/>
  </r>
  <r>
    <x v="5"/>
    <x v="2"/>
    <x v="62"/>
    <x v="12"/>
    <x v="0"/>
    <x v="1"/>
    <n v="119.8"/>
  </r>
  <r>
    <x v="5"/>
    <x v="2"/>
    <x v="62"/>
    <x v="12"/>
    <x v="0"/>
    <x v="2"/>
    <n v="117.5"/>
  </r>
  <r>
    <x v="5"/>
    <x v="2"/>
    <x v="62"/>
    <x v="26"/>
    <x v="9"/>
    <x v="0"/>
    <n v="143.30000000000001"/>
  </r>
  <r>
    <x v="5"/>
    <x v="2"/>
    <x v="62"/>
    <x v="26"/>
    <x v="9"/>
    <x v="1"/>
    <n v="136.80000000000001"/>
  </r>
  <r>
    <x v="5"/>
    <x v="2"/>
    <x v="62"/>
    <x v="26"/>
    <x v="9"/>
    <x v="2"/>
    <n v="131.69999999999999"/>
  </r>
  <r>
    <x v="5"/>
    <x v="2"/>
    <x v="62"/>
    <x v="16"/>
    <x v="0"/>
    <x v="0"/>
    <n v="140.19999999999999"/>
  </r>
  <r>
    <x v="5"/>
    <x v="2"/>
    <x v="62"/>
    <x v="16"/>
    <x v="0"/>
    <x v="1"/>
    <n v="140.6"/>
  </r>
  <r>
    <x v="5"/>
    <x v="2"/>
    <x v="62"/>
    <x v="16"/>
    <x v="0"/>
    <x v="2"/>
    <n v="141.5"/>
  </r>
  <r>
    <x v="5"/>
    <x v="2"/>
    <x v="62"/>
    <x v="14"/>
    <x v="0"/>
    <x v="0"/>
    <n v="109.9"/>
  </r>
  <r>
    <x v="5"/>
    <x v="2"/>
    <x v="62"/>
    <x v="14"/>
    <x v="0"/>
    <x v="1"/>
    <n v="110.3"/>
  </r>
  <r>
    <x v="5"/>
    <x v="2"/>
    <x v="62"/>
    <x v="14"/>
    <x v="0"/>
    <x v="2"/>
    <n v="111"/>
  </r>
  <r>
    <x v="5"/>
    <x v="2"/>
    <x v="62"/>
    <x v="25"/>
    <x v="8"/>
    <x v="0"/>
    <n v="128.9"/>
  </r>
  <r>
    <x v="5"/>
    <x v="2"/>
    <x v="62"/>
    <x v="25"/>
    <x v="8"/>
    <x v="1"/>
    <n v="123.6"/>
  </r>
  <r>
    <x v="5"/>
    <x v="2"/>
    <x v="62"/>
    <x v="25"/>
    <x v="8"/>
    <x v="2"/>
    <n v="118.8"/>
  </r>
  <r>
    <x v="5"/>
    <x v="2"/>
    <x v="62"/>
    <x v="11"/>
    <x v="0"/>
    <x v="0"/>
    <n v="136.6"/>
  </r>
  <r>
    <x v="5"/>
    <x v="2"/>
    <x v="62"/>
    <x v="11"/>
    <x v="0"/>
    <x v="1"/>
    <n v="135.19999999999999"/>
  </r>
  <r>
    <x v="5"/>
    <x v="2"/>
    <x v="62"/>
    <x v="11"/>
    <x v="0"/>
    <x v="2"/>
    <n v="132.4"/>
  </r>
  <r>
    <x v="5"/>
    <x v="3"/>
    <x v="63"/>
    <x v="0"/>
    <x v="0"/>
    <x v="0"/>
    <n v="136.4"/>
  </r>
  <r>
    <x v="5"/>
    <x v="3"/>
    <x v="63"/>
    <x v="0"/>
    <x v="0"/>
    <x v="1"/>
    <n v="135.9"/>
  </r>
  <r>
    <x v="5"/>
    <x v="3"/>
    <x v="63"/>
    <x v="0"/>
    <x v="0"/>
    <x v="2"/>
    <n v="134.80000000000001"/>
  </r>
  <r>
    <x v="5"/>
    <x v="3"/>
    <x v="63"/>
    <x v="1"/>
    <x v="1"/>
    <x v="0"/>
    <n v="148.69999999999999"/>
  </r>
  <r>
    <x v="5"/>
    <x v="3"/>
    <x v="63"/>
    <x v="1"/>
    <x v="1"/>
    <x v="1"/>
    <n v="143.80000000000001"/>
  </r>
  <r>
    <x v="5"/>
    <x v="3"/>
    <x v="63"/>
    <x v="1"/>
    <x v="1"/>
    <x v="2"/>
    <n v="136.30000000000001"/>
  </r>
  <r>
    <x v="5"/>
    <x v="3"/>
    <x v="63"/>
    <x v="3"/>
    <x v="1"/>
    <x v="0"/>
    <n v="147.80000000000001"/>
  </r>
  <r>
    <x v="5"/>
    <x v="3"/>
    <x v="63"/>
    <x v="3"/>
    <x v="1"/>
    <x v="1"/>
    <n v="142.6"/>
  </r>
  <r>
    <x v="5"/>
    <x v="3"/>
    <x v="63"/>
    <x v="3"/>
    <x v="1"/>
    <x v="2"/>
    <n v="134.69999999999999"/>
  </r>
  <r>
    <x v="5"/>
    <x v="3"/>
    <x v="63"/>
    <x v="5"/>
    <x v="2"/>
    <x v="0"/>
    <n v="141.5"/>
  </r>
  <r>
    <x v="5"/>
    <x v="3"/>
    <x v="63"/>
    <x v="5"/>
    <x v="2"/>
    <x v="1"/>
    <n v="139"/>
  </r>
  <r>
    <x v="5"/>
    <x v="3"/>
    <x v="63"/>
    <x v="5"/>
    <x v="2"/>
    <x v="2"/>
    <n v="137.19999999999999"/>
  </r>
  <r>
    <x v="5"/>
    <x v="3"/>
    <x v="63"/>
    <x v="4"/>
    <x v="0"/>
    <x v="0"/>
    <n v="140.6"/>
  </r>
  <r>
    <x v="5"/>
    <x v="3"/>
    <x v="63"/>
    <x v="4"/>
    <x v="0"/>
    <x v="1"/>
    <n v="140.30000000000001"/>
  </r>
  <r>
    <x v="5"/>
    <x v="3"/>
    <x v="63"/>
    <x v="4"/>
    <x v="0"/>
    <x v="2"/>
    <n v="139.9"/>
  </r>
  <r>
    <x v="5"/>
    <x v="3"/>
    <x v="63"/>
    <x v="8"/>
    <x v="0"/>
    <x v="0"/>
    <n v="138.69999999999999"/>
  </r>
  <r>
    <x v="5"/>
    <x v="3"/>
    <x v="63"/>
    <x v="8"/>
    <x v="0"/>
    <x v="1"/>
    <n v="137.6"/>
  </r>
  <r>
    <x v="5"/>
    <x v="3"/>
    <x v="63"/>
    <x v="8"/>
    <x v="0"/>
    <x v="2"/>
    <n v="135.6"/>
  </r>
  <r>
    <x v="5"/>
    <x v="3"/>
    <x v="63"/>
    <x v="10"/>
    <x v="1"/>
    <x v="0"/>
    <n v="142.4"/>
  </r>
  <r>
    <x v="5"/>
    <x v="3"/>
    <x v="63"/>
    <x v="10"/>
    <x v="1"/>
    <x v="1"/>
    <n v="135.6"/>
  </r>
  <r>
    <x v="5"/>
    <x v="3"/>
    <x v="63"/>
    <x v="10"/>
    <x v="1"/>
    <x v="2"/>
    <n v="126.1"/>
  </r>
  <r>
    <x v="5"/>
    <x v="3"/>
    <x v="63"/>
    <x v="9"/>
    <x v="0"/>
    <x v="0"/>
    <n v="149.4"/>
  </r>
  <r>
    <x v="5"/>
    <x v="3"/>
    <x v="63"/>
    <x v="9"/>
    <x v="0"/>
    <x v="1"/>
    <n v="142.9"/>
  </r>
  <r>
    <x v="5"/>
    <x v="3"/>
    <x v="63"/>
    <x v="9"/>
    <x v="0"/>
    <x v="2"/>
    <n v="135.5"/>
  </r>
  <r>
    <x v="5"/>
    <x v="3"/>
    <x v="63"/>
    <x v="13"/>
    <x v="3"/>
    <x v="0"/>
    <n v="142.4"/>
  </r>
  <r>
    <x v="5"/>
    <x v="3"/>
    <x v="63"/>
    <x v="13"/>
    <x v="3"/>
    <x v="1"/>
    <n v="136.69999999999999"/>
  </r>
  <r>
    <x v="5"/>
    <x v="3"/>
    <x v="63"/>
    <x v="13"/>
    <x v="3"/>
    <x v="2"/>
    <n v="127.3"/>
  </r>
  <r>
    <x v="5"/>
    <x v="3"/>
    <x v="63"/>
    <x v="15"/>
    <x v="4"/>
    <x v="0"/>
    <n v="138.5"/>
  </r>
  <r>
    <x v="5"/>
    <x v="3"/>
    <x v="63"/>
    <x v="15"/>
    <x v="4"/>
    <x v="1"/>
    <n v="136.4"/>
  </r>
  <r>
    <x v="5"/>
    <x v="3"/>
    <x v="63"/>
    <x v="15"/>
    <x v="4"/>
    <x v="2"/>
    <n v="134"/>
  </r>
  <r>
    <x v="5"/>
    <x v="3"/>
    <x v="63"/>
    <x v="17"/>
    <x v="5"/>
    <x v="0"/>
    <n v="136.19999999999999"/>
  </r>
  <r>
    <x v="5"/>
    <x v="3"/>
    <x v="63"/>
    <x v="17"/>
    <x v="5"/>
    <x v="1"/>
    <n v="133.80000000000001"/>
  </r>
  <r>
    <x v="5"/>
    <x v="3"/>
    <x v="63"/>
    <x v="17"/>
    <x v="5"/>
    <x v="2"/>
    <n v="129.80000000000001"/>
  </r>
  <r>
    <x v="5"/>
    <x v="3"/>
    <x v="63"/>
    <x v="19"/>
    <x v="6"/>
    <x v="0"/>
    <n v="139.9"/>
  </r>
  <r>
    <x v="5"/>
    <x v="3"/>
    <x v="63"/>
    <x v="19"/>
    <x v="6"/>
    <x v="1"/>
    <n v="135.19999999999999"/>
  </r>
  <r>
    <x v="5"/>
    <x v="3"/>
    <x v="63"/>
    <x v="19"/>
    <x v="6"/>
    <x v="2"/>
    <n v="129.9"/>
  </r>
  <r>
    <x v="5"/>
    <x v="3"/>
    <x v="63"/>
    <x v="21"/>
    <x v="6"/>
    <x v="0"/>
    <n v="0"/>
  </r>
  <r>
    <x v="5"/>
    <x v="3"/>
    <x v="63"/>
    <x v="21"/>
    <x v="6"/>
    <x v="1"/>
    <n v="141.30000000000001"/>
  </r>
  <r>
    <x v="5"/>
    <x v="3"/>
    <x v="63"/>
    <x v="21"/>
    <x v="6"/>
    <x v="2"/>
    <n v="141.30000000000001"/>
  </r>
  <r>
    <x v="5"/>
    <x v="3"/>
    <x v="63"/>
    <x v="2"/>
    <x v="0"/>
    <x v="0"/>
    <n v="143.69999999999999"/>
  </r>
  <r>
    <x v="5"/>
    <x v="3"/>
    <x v="63"/>
    <x v="2"/>
    <x v="0"/>
    <x v="1"/>
    <n v="143.5"/>
  </r>
  <r>
    <x v="5"/>
    <x v="3"/>
    <x v="63"/>
    <x v="2"/>
    <x v="0"/>
    <x v="2"/>
    <n v="143"/>
  </r>
  <r>
    <x v="5"/>
    <x v="3"/>
    <x v="63"/>
    <x v="6"/>
    <x v="0"/>
    <x v="0"/>
    <n v="141.5"/>
  </r>
  <r>
    <x v="5"/>
    <x v="3"/>
    <x v="63"/>
    <x v="6"/>
    <x v="0"/>
    <x v="1"/>
    <n v="140.9"/>
  </r>
  <r>
    <x v="5"/>
    <x v="3"/>
    <x v="63"/>
    <x v="6"/>
    <x v="0"/>
    <x v="2"/>
    <n v="139.9"/>
  </r>
  <r>
    <x v="5"/>
    <x v="3"/>
    <x v="63"/>
    <x v="23"/>
    <x v="7"/>
    <x v="0"/>
    <n v="132.5"/>
  </r>
  <r>
    <x v="5"/>
    <x v="3"/>
    <x v="63"/>
    <x v="23"/>
    <x v="7"/>
    <x v="1"/>
    <n v="129.6"/>
  </r>
  <r>
    <x v="5"/>
    <x v="3"/>
    <x v="63"/>
    <x v="23"/>
    <x v="7"/>
    <x v="2"/>
    <n v="126.5"/>
  </r>
  <r>
    <x v="5"/>
    <x v="3"/>
    <x v="63"/>
    <x v="18"/>
    <x v="0"/>
    <x v="0"/>
    <n v="130.5"/>
  </r>
  <r>
    <x v="5"/>
    <x v="3"/>
    <x v="63"/>
    <x v="18"/>
    <x v="0"/>
    <x v="1"/>
    <n v="128.6"/>
  </r>
  <r>
    <x v="5"/>
    <x v="3"/>
    <x v="63"/>
    <x v="18"/>
    <x v="0"/>
    <x v="2"/>
    <n v="125.9"/>
  </r>
  <r>
    <x v="5"/>
    <x v="3"/>
    <x v="63"/>
    <x v="7"/>
    <x v="0"/>
    <x v="0"/>
    <n v="122.9"/>
  </r>
  <r>
    <x v="5"/>
    <x v="3"/>
    <x v="63"/>
    <x v="7"/>
    <x v="0"/>
    <x v="1"/>
    <n v="120.4"/>
  </r>
  <r>
    <x v="5"/>
    <x v="3"/>
    <x v="63"/>
    <x v="7"/>
    <x v="0"/>
    <x v="2"/>
    <n v="116.2"/>
  </r>
  <r>
    <x v="5"/>
    <x v="3"/>
    <x v="63"/>
    <x v="22"/>
    <x v="7"/>
    <x v="0"/>
    <n v="153.30000000000001"/>
  </r>
  <r>
    <x v="5"/>
    <x v="3"/>
    <x v="63"/>
    <x v="22"/>
    <x v="7"/>
    <x v="1"/>
    <n v="154.9"/>
  </r>
  <r>
    <x v="5"/>
    <x v="3"/>
    <x v="63"/>
    <x v="22"/>
    <x v="7"/>
    <x v="2"/>
    <n v="159.30000000000001"/>
  </r>
  <r>
    <x v="5"/>
    <x v="3"/>
    <x v="63"/>
    <x v="24"/>
    <x v="7"/>
    <x v="0"/>
    <n v="128.80000000000001"/>
  </r>
  <r>
    <x v="5"/>
    <x v="3"/>
    <x v="63"/>
    <x v="24"/>
    <x v="7"/>
    <x v="1"/>
    <n v="127.7"/>
  </r>
  <r>
    <x v="5"/>
    <x v="3"/>
    <x v="63"/>
    <x v="24"/>
    <x v="7"/>
    <x v="2"/>
    <n v="126.2"/>
  </r>
  <r>
    <x v="5"/>
    <x v="3"/>
    <x v="63"/>
    <x v="20"/>
    <x v="0"/>
    <x v="0"/>
    <n v="151.69999999999999"/>
  </r>
  <r>
    <x v="5"/>
    <x v="3"/>
    <x v="63"/>
    <x v="20"/>
    <x v="0"/>
    <x v="1"/>
    <n v="149.6"/>
  </r>
  <r>
    <x v="5"/>
    <x v="3"/>
    <x v="63"/>
    <x v="20"/>
    <x v="0"/>
    <x v="2"/>
    <n v="147.1"/>
  </r>
  <r>
    <x v="5"/>
    <x v="3"/>
    <x v="63"/>
    <x v="12"/>
    <x v="0"/>
    <x v="0"/>
    <n v="130.19999999999999"/>
  </r>
  <r>
    <x v="5"/>
    <x v="3"/>
    <x v="63"/>
    <x v="12"/>
    <x v="0"/>
    <x v="1"/>
    <n v="125.8"/>
  </r>
  <r>
    <x v="5"/>
    <x v="3"/>
    <x v="63"/>
    <x v="12"/>
    <x v="0"/>
    <x v="2"/>
    <n v="117"/>
  </r>
  <r>
    <x v="5"/>
    <x v="3"/>
    <x v="63"/>
    <x v="26"/>
    <x v="9"/>
    <x v="0"/>
    <n v="134.30000000000001"/>
  </r>
  <r>
    <x v="5"/>
    <x v="3"/>
    <x v="63"/>
    <x v="26"/>
    <x v="9"/>
    <x v="1"/>
    <n v="129.9"/>
  </r>
  <r>
    <x v="5"/>
    <x v="3"/>
    <x v="63"/>
    <x v="26"/>
    <x v="9"/>
    <x v="2"/>
    <n v="126.5"/>
  </r>
  <r>
    <x v="5"/>
    <x v="3"/>
    <x v="63"/>
    <x v="16"/>
    <x v="0"/>
    <x v="0"/>
    <n v="135.6"/>
  </r>
  <r>
    <x v="5"/>
    <x v="3"/>
    <x v="63"/>
    <x v="16"/>
    <x v="0"/>
    <x v="1"/>
    <n v="137.30000000000001"/>
  </r>
  <r>
    <x v="5"/>
    <x v="3"/>
    <x v="63"/>
    <x v="16"/>
    <x v="0"/>
    <x v="2"/>
    <n v="140.69999999999999"/>
  </r>
  <r>
    <x v="5"/>
    <x v="3"/>
    <x v="63"/>
    <x v="14"/>
    <x v="0"/>
    <x v="0"/>
    <n v="117.9"/>
  </r>
  <r>
    <x v="5"/>
    <x v="3"/>
    <x v="63"/>
    <x v="14"/>
    <x v="0"/>
    <x v="1"/>
    <n v="117.1"/>
  </r>
  <r>
    <x v="5"/>
    <x v="3"/>
    <x v="63"/>
    <x v="14"/>
    <x v="0"/>
    <x v="2"/>
    <n v="115.4"/>
  </r>
  <r>
    <x v="5"/>
    <x v="3"/>
    <x v="63"/>
    <x v="25"/>
    <x v="8"/>
    <x v="0"/>
    <n v="123.3"/>
  </r>
  <r>
    <x v="5"/>
    <x v="3"/>
    <x v="63"/>
    <x v="25"/>
    <x v="8"/>
    <x v="1"/>
    <n v="120.2"/>
  </r>
  <r>
    <x v="5"/>
    <x v="3"/>
    <x v="63"/>
    <x v="25"/>
    <x v="8"/>
    <x v="2"/>
    <n v="117.4"/>
  </r>
  <r>
    <x v="5"/>
    <x v="3"/>
    <x v="63"/>
    <x v="11"/>
    <x v="0"/>
    <x v="0"/>
    <n v="142.4"/>
  </r>
  <r>
    <x v="5"/>
    <x v="3"/>
    <x v="63"/>
    <x v="11"/>
    <x v="0"/>
    <x v="1"/>
    <n v="140.5"/>
  </r>
  <r>
    <x v="5"/>
    <x v="3"/>
    <x v="63"/>
    <x v="11"/>
    <x v="0"/>
    <x v="2"/>
    <n v="136.9"/>
  </r>
  <r>
    <x v="5"/>
    <x v="4"/>
    <x v="64"/>
    <x v="0"/>
    <x v="0"/>
    <x v="0"/>
    <n v="136.6"/>
  </r>
  <r>
    <x v="5"/>
    <x v="4"/>
    <x v="64"/>
    <x v="0"/>
    <x v="0"/>
    <x v="1"/>
    <n v="136"/>
  </r>
  <r>
    <x v="5"/>
    <x v="4"/>
    <x v="64"/>
    <x v="0"/>
    <x v="0"/>
    <x v="2"/>
    <n v="134.6"/>
  </r>
  <r>
    <x v="5"/>
    <x v="4"/>
    <x v="64"/>
    <x v="1"/>
    <x v="1"/>
    <x v="0"/>
    <n v="148.30000000000001"/>
  </r>
  <r>
    <x v="5"/>
    <x v="4"/>
    <x v="64"/>
    <x v="1"/>
    <x v="1"/>
    <x v="1"/>
    <n v="143.5"/>
  </r>
  <r>
    <x v="5"/>
    <x v="4"/>
    <x v="64"/>
    <x v="1"/>
    <x v="1"/>
    <x v="2"/>
    <n v="136"/>
  </r>
  <r>
    <x v="5"/>
    <x v="4"/>
    <x v="64"/>
    <x v="3"/>
    <x v="1"/>
    <x v="0"/>
    <n v="147.5"/>
  </r>
  <r>
    <x v="5"/>
    <x v="4"/>
    <x v="64"/>
    <x v="3"/>
    <x v="1"/>
    <x v="1"/>
    <n v="142.30000000000001"/>
  </r>
  <r>
    <x v="5"/>
    <x v="4"/>
    <x v="64"/>
    <x v="3"/>
    <x v="1"/>
    <x v="2"/>
    <n v="134.4"/>
  </r>
  <r>
    <x v="5"/>
    <x v="4"/>
    <x v="64"/>
    <x v="5"/>
    <x v="2"/>
    <x v="0"/>
    <n v="141.6"/>
  </r>
  <r>
    <x v="5"/>
    <x v="4"/>
    <x v="64"/>
    <x v="5"/>
    <x v="2"/>
    <x v="1"/>
    <n v="139"/>
  </r>
  <r>
    <x v="5"/>
    <x v="4"/>
    <x v="64"/>
    <x v="5"/>
    <x v="2"/>
    <x v="2"/>
    <n v="137.1"/>
  </r>
  <r>
    <x v="5"/>
    <x v="4"/>
    <x v="64"/>
    <x v="4"/>
    <x v="0"/>
    <x v="0"/>
    <n v="143.80000000000001"/>
  </r>
  <r>
    <x v="5"/>
    <x v="4"/>
    <x v="64"/>
    <x v="4"/>
    <x v="0"/>
    <x v="1"/>
    <n v="143.69999999999999"/>
  </r>
  <r>
    <x v="5"/>
    <x v="4"/>
    <x v="64"/>
    <x v="4"/>
    <x v="0"/>
    <x v="2"/>
    <n v="143.6"/>
  </r>
  <r>
    <x v="5"/>
    <x v="4"/>
    <x v="64"/>
    <x v="8"/>
    <x v="0"/>
    <x v="0"/>
    <n v="140.4"/>
  </r>
  <r>
    <x v="5"/>
    <x v="4"/>
    <x v="64"/>
    <x v="8"/>
    <x v="0"/>
    <x v="1"/>
    <n v="139.19999999999999"/>
  </r>
  <r>
    <x v="5"/>
    <x v="4"/>
    <x v="64"/>
    <x v="8"/>
    <x v="0"/>
    <x v="2"/>
    <n v="137.19999999999999"/>
  </r>
  <r>
    <x v="5"/>
    <x v="4"/>
    <x v="64"/>
    <x v="10"/>
    <x v="1"/>
    <x v="0"/>
    <n v="142.30000000000001"/>
  </r>
  <r>
    <x v="5"/>
    <x v="4"/>
    <x v="64"/>
    <x v="10"/>
    <x v="1"/>
    <x v="1"/>
    <n v="135.5"/>
  </r>
  <r>
    <x v="5"/>
    <x v="4"/>
    <x v="64"/>
    <x v="10"/>
    <x v="1"/>
    <x v="2"/>
    <n v="125.9"/>
  </r>
  <r>
    <x v="5"/>
    <x v="4"/>
    <x v="64"/>
    <x v="9"/>
    <x v="0"/>
    <x v="0"/>
    <n v="147.9"/>
  </r>
  <r>
    <x v="5"/>
    <x v="4"/>
    <x v="64"/>
    <x v="9"/>
    <x v="0"/>
    <x v="1"/>
    <n v="141.30000000000001"/>
  </r>
  <r>
    <x v="5"/>
    <x v="4"/>
    <x v="64"/>
    <x v="9"/>
    <x v="0"/>
    <x v="2"/>
    <n v="133.80000000000001"/>
  </r>
  <r>
    <x v="5"/>
    <x v="4"/>
    <x v="64"/>
    <x v="13"/>
    <x v="3"/>
    <x v="0"/>
    <n v="142.30000000000001"/>
  </r>
  <r>
    <x v="5"/>
    <x v="4"/>
    <x v="64"/>
    <x v="13"/>
    <x v="3"/>
    <x v="1"/>
    <n v="136.6"/>
  </r>
  <r>
    <x v="5"/>
    <x v="4"/>
    <x v="64"/>
    <x v="13"/>
    <x v="3"/>
    <x v="2"/>
    <n v="127.3"/>
  </r>
  <r>
    <x v="5"/>
    <x v="4"/>
    <x v="64"/>
    <x v="15"/>
    <x v="4"/>
    <x v="0"/>
    <n v="139.30000000000001"/>
  </r>
  <r>
    <x v="5"/>
    <x v="4"/>
    <x v="64"/>
    <x v="15"/>
    <x v="4"/>
    <x v="1"/>
    <n v="136.9"/>
  </r>
  <r>
    <x v="5"/>
    <x v="4"/>
    <x v="64"/>
    <x v="15"/>
    <x v="4"/>
    <x v="2"/>
    <n v="134.1"/>
  </r>
  <r>
    <x v="5"/>
    <x v="4"/>
    <x v="64"/>
    <x v="17"/>
    <x v="5"/>
    <x v="0"/>
    <n v="136"/>
  </r>
  <r>
    <x v="5"/>
    <x v="4"/>
    <x v="64"/>
    <x v="17"/>
    <x v="5"/>
    <x v="1"/>
    <n v="133.30000000000001"/>
  </r>
  <r>
    <x v="5"/>
    <x v="4"/>
    <x v="64"/>
    <x v="17"/>
    <x v="5"/>
    <x v="2"/>
    <n v="129"/>
  </r>
  <r>
    <x v="5"/>
    <x v="4"/>
    <x v="64"/>
    <x v="19"/>
    <x v="6"/>
    <x v="0"/>
    <n v="139.80000000000001"/>
  </r>
  <r>
    <x v="5"/>
    <x v="4"/>
    <x v="64"/>
    <x v="19"/>
    <x v="6"/>
    <x v="1"/>
    <n v="134.9"/>
  </r>
  <r>
    <x v="5"/>
    <x v="4"/>
    <x v="64"/>
    <x v="19"/>
    <x v="6"/>
    <x v="2"/>
    <n v="129.5"/>
  </r>
  <r>
    <x v="5"/>
    <x v="4"/>
    <x v="64"/>
    <x v="21"/>
    <x v="6"/>
    <x v="0"/>
    <n v="0"/>
  </r>
  <r>
    <x v="5"/>
    <x v="4"/>
    <x v="64"/>
    <x v="21"/>
    <x v="6"/>
    <x v="1"/>
    <n v="140.4"/>
  </r>
  <r>
    <x v="5"/>
    <x v="4"/>
    <x v="64"/>
    <x v="21"/>
    <x v="6"/>
    <x v="2"/>
    <n v="140.4"/>
  </r>
  <r>
    <x v="5"/>
    <x v="4"/>
    <x v="64"/>
    <x v="2"/>
    <x v="0"/>
    <x v="0"/>
    <n v="144.4"/>
  </r>
  <r>
    <x v="5"/>
    <x v="4"/>
    <x v="64"/>
    <x v="2"/>
    <x v="0"/>
    <x v="1"/>
    <n v="144.19999999999999"/>
  </r>
  <r>
    <x v="5"/>
    <x v="4"/>
    <x v="64"/>
    <x v="2"/>
    <x v="0"/>
    <x v="2"/>
    <n v="143.69999999999999"/>
  </r>
  <r>
    <x v="5"/>
    <x v="4"/>
    <x v="64"/>
    <x v="6"/>
    <x v="0"/>
    <x v="0"/>
    <n v="142"/>
  </r>
  <r>
    <x v="5"/>
    <x v="4"/>
    <x v="64"/>
    <x v="6"/>
    <x v="0"/>
    <x v="1"/>
    <n v="141.1"/>
  </r>
  <r>
    <x v="5"/>
    <x v="4"/>
    <x v="64"/>
    <x v="6"/>
    <x v="0"/>
    <x v="2"/>
    <n v="139.6"/>
  </r>
  <r>
    <x v="5"/>
    <x v="4"/>
    <x v="64"/>
    <x v="23"/>
    <x v="7"/>
    <x v="0"/>
    <n v="132.30000000000001"/>
  </r>
  <r>
    <x v="5"/>
    <x v="4"/>
    <x v="64"/>
    <x v="23"/>
    <x v="7"/>
    <x v="1"/>
    <n v="129.1"/>
  </r>
  <r>
    <x v="5"/>
    <x v="4"/>
    <x v="64"/>
    <x v="23"/>
    <x v="7"/>
    <x v="2"/>
    <n v="125.8"/>
  </r>
  <r>
    <x v="5"/>
    <x v="4"/>
    <x v="64"/>
    <x v="18"/>
    <x v="0"/>
    <x v="0"/>
    <n v="131.19999999999999"/>
  </r>
  <r>
    <x v="5"/>
    <x v="4"/>
    <x v="64"/>
    <x v="18"/>
    <x v="0"/>
    <x v="1"/>
    <n v="129"/>
  </r>
  <r>
    <x v="5"/>
    <x v="4"/>
    <x v="64"/>
    <x v="18"/>
    <x v="0"/>
    <x v="2"/>
    <n v="125.9"/>
  </r>
  <r>
    <x v="5"/>
    <x v="4"/>
    <x v="64"/>
    <x v="7"/>
    <x v="0"/>
    <x v="0"/>
    <n v="123.2"/>
  </r>
  <r>
    <x v="5"/>
    <x v="4"/>
    <x v="64"/>
    <x v="7"/>
    <x v="0"/>
    <x v="1"/>
    <n v="120.7"/>
  </r>
  <r>
    <x v="5"/>
    <x v="4"/>
    <x v="64"/>
    <x v="7"/>
    <x v="0"/>
    <x v="2"/>
    <n v="116.4"/>
  </r>
  <r>
    <x v="5"/>
    <x v="4"/>
    <x v="64"/>
    <x v="22"/>
    <x v="7"/>
    <x v="0"/>
    <n v="153.6"/>
  </r>
  <r>
    <x v="5"/>
    <x v="4"/>
    <x v="64"/>
    <x v="22"/>
    <x v="7"/>
    <x v="1"/>
    <n v="154.69999999999999"/>
  </r>
  <r>
    <x v="5"/>
    <x v="4"/>
    <x v="64"/>
    <x v="22"/>
    <x v="7"/>
    <x v="2"/>
    <n v="157.69999999999999"/>
  </r>
  <r>
    <x v="5"/>
    <x v="4"/>
    <x v="64"/>
    <x v="24"/>
    <x v="7"/>
    <x v="0"/>
    <n v="128.6"/>
  </r>
  <r>
    <x v="5"/>
    <x v="4"/>
    <x v="64"/>
    <x v="24"/>
    <x v="7"/>
    <x v="1"/>
    <n v="127.3"/>
  </r>
  <r>
    <x v="5"/>
    <x v="4"/>
    <x v="64"/>
    <x v="24"/>
    <x v="7"/>
    <x v="2"/>
    <n v="125.5"/>
  </r>
  <r>
    <x v="5"/>
    <x v="4"/>
    <x v="64"/>
    <x v="20"/>
    <x v="0"/>
    <x v="0"/>
    <n v="151.80000000000001"/>
  </r>
  <r>
    <x v="5"/>
    <x v="4"/>
    <x v="64"/>
    <x v="20"/>
    <x v="0"/>
    <x v="1"/>
    <n v="149.5"/>
  </r>
  <r>
    <x v="5"/>
    <x v="4"/>
    <x v="64"/>
    <x v="20"/>
    <x v="0"/>
    <x v="2"/>
    <n v="146.80000000000001"/>
  </r>
  <r>
    <x v="5"/>
    <x v="4"/>
    <x v="64"/>
    <x v="12"/>
    <x v="0"/>
    <x v="0"/>
    <n v="131.80000000000001"/>
  </r>
  <r>
    <x v="5"/>
    <x v="4"/>
    <x v="64"/>
    <x v="12"/>
    <x v="0"/>
    <x v="1"/>
    <n v="127.3"/>
  </r>
  <r>
    <x v="5"/>
    <x v="4"/>
    <x v="64"/>
    <x v="12"/>
    <x v="0"/>
    <x v="2"/>
    <n v="118.4"/>
  </r>
  <r>
    <x v="5"/>
    <x v="4"/>
    <x v="64"/>
    <x v="26"/>
    <x v="9"/>
    <x v="0"/>
    <n v="134.30000000000001"/>
  </r>
  <r>
    <x v="5"/>
    <x v="4"/>
    <x v="64"/>
    <x v="26"/>
    <x v="9"/>
    <x v="1"/>
    <n v="129.69999999999999"/>
  </r>
  <r>
    <x v="5"/>
    <x v="4"/>
    <x v="64"/>
    <x v="26"/>
    <x v="9"/>
    <x v="2"/>
    <n v="126.2"/>
  </r>
  <r>
    <x v="5"/>
    <x v="4"/>
    <x v="64"/>
    <x v="16"/>
    <x v="0"/>
    <x v="0"/>
    <n v="136"/>
  </r>
  <r>
    <x v="5"/>
    <x v="4"/>
    <x v="64"/>
    <x v="16"/>
    <x v="0"/>
    <x v="1"/>
    <n v="137.5"/>
  </r>
  <r>
    <x v="5"/>
    <x v="4"/>
    <x v="64"/>
    <x v="16"/>
    <x v="0"/>
    <x v="2"/>
    <n v="140.5"/>
  </r>
  <r>
    <x v="5"/>
    <x v="4"/>
    <x v="64"/>
    <x v="14"/>
    <x v="0"/>
    <x v="0"/>
    <n v="119.5"/>
  </r>
  <r>
    <x v="5"/>
    <x v="4"/>
    <x v="64"/>
    <x v="14"/>
    <x v="0"/>
    <x v="1"/>
    <n v="118.8"/>
  </r>
  <r>
    <x v="5"/>
    <x v="4"/>
    <x v="64"/>
    <x v="14"/>
    <x v="0"/>
    <x v="2"/>
    <n v="117.3"/>
  </r>
  <r>
    <x v="5"/>
    <x v="4"/>
    <x v="64"/>
    <x v="25"/>
    <x v="8"/>
    <x v="0"/>
    <n v="122.7"/>
  </r>
  <r>
    <x v="5"/>
    <x v="4"/>
    <x v="64"/>
    <x v="25"/>
    <x v="8"/>
    <x v="1"/>
    <n v="119.3"/>
  </r>
  <r>
    <x v="5"/>
    <x v="4"/>
    <x v="64"/>
    <x v="25"/>
    <x v="8"/>
    <x v="2"/>
    <n v="116.3"/>
  </r>
  <r>
    <x v="5"/>
    <x v="4"/>
    <x v="64"/>
    <x v="11"/>
    <x v="0"/>
    <x v="0"/>
    <n v="152.1"/>
  </r>
  <r>
    <x v="5"/>
    <x v="4"/>
    <x v="64"/>
    <x v="11"/>
    <x v="0"/>
    <x v="1"/>
    <n v="151.6"/>
  </r>
  <r>
    <x v="5"/>
    <x v="4"/>
    <x v="64"/>
    <x v="11"/>
    <x v="0"/>
    <x v="2"/>
    <n v="150.5"/>
  </r>
  <r>
    <x v="5"/>
    <x v="5"/>
    <x v="65"/>
    <x v="0"/>
    <x v="0"/>
    <x v="0"/>
    <n v="138.4"/>
  </r>
  <r>
    <x v="5"/>
    <x v="5"/>
    <x v="65"/>
    <x v="0"/>
    <x v="0"/>
    <x v="1"/>
    <n v="137.5"/>
  </r>
  <r>
    <x v="5"/>
    <x v="5"/>
    <x v="65"/>
    <x v="0"/>
    <x v="0"/>
    <x v="2"/>
    <n v="135.6"/>
  </r>
  <r>
    <x v="5"/>
    <x v="5"/>
    <x v="65"/>
    <x v="1"/>
    <x v="1"/>
    <x v="0"/>
    <n v="151.5"/>
  </r>
  <r>
    <x v="5"/>
    <x v="5"/>
    <x v="65"/>
    <x v="1"/>
    <x v="1"/>
    <x v="1"/>
    <n v="146.80000000000001"/>
  </r>
  <r>
    <x v="5"/>
    <x v="5"/>
    <x v="65"/>
    <x v="1"/>
    <x v="1"/>
    <x v="2"/>
    <n v="139.6"/>
  </r>
  <r>
    <x v="5"/>
    <x v="5"/>
    <x v="65"/>
    <x v="3"/>
    <x v="1"/>
    <x v="0"/>
    <n v="150.6"/>
  </r>
  <r>
    <x v="5"/>
    <x v="5"/>
    <x v="65"/>
    <x v="3"/>
    <x v="1"/>
    <x v="1"/>
    <n v="145.6"/>
  </r>
  <r>
    <x v="5"/>
    <x v="5"/>
    <x v="65"/>
    <x v="3"/>
    <x v="1"/>
    <x v="2"/>
    <n v="137.9"/>
  </r>
  <r>
    <x v="5"/>
    <x v="5"/>
    <x v="65"/>
    <x v="5"/>
    <x v="2"/>
    <x v="0"/>
    <n v="145.80000000000001"/>
  </r>
  <r>
    <x v="5"/>
    <x v="5"/>
    <x v="65"/>
    <x v="5"/>
    <x v="2"/>
    <x v="1"/>
    <n v="144.69999999999999"/>
  </r>
  <r>
    <x v="5"/>
    <x v="5"/>
    <x v="65"/>
    <x v="5"/>
    <x v="2"/>
    <x v="2"/>
    <n v="144"/>
  </r>
  <r>
    <x v="5"/>
    <x v="5"/>
    <x v="65"/>
    <x v="4"/>
    <x v="0"/>
    <x v="0"/>
    <n v="139.30000000000001"/>
  </r>
  <r>
    <x v="5"/>
    <x v="5"/>
    <x v="65"/>
    <x v="4"/>
    <x v="0"/>
    <x v="1"/>
    <n v="139.19999999999999"/>
  </r>
  <r>
    <x v="5"/>
    <x v="5"/>
    <x v="65"/>
    <x v="4"/>
    <x v="0"/>
    <x v="2"/>
    <n v="139.1"/>
  </r>
  <r>
    <x v="5"/>
    <x v="5"/>
    <x v="65"/>
    <x v="8"/>
    <x v="0"/>
    <x v="0"/>
    <n v="142"/>
  </r>
  <r>
    <x v="5"/>
    <x v="5"/>
    <x v="65"/>
    <x v="8"/>
    <x v="0"/>
    <x v="1"/>
    <n v="141.4"/>
  </r>
  <r>
    <x v="5"/>
    <x v="5"/>
    <x v="65"/>
    <x v="8"/>
    <x v="0"/>
    <x v="2"/>
    <n v="140.30000000000001"/>
  </r>
  <r>
    <x v="5"/>
    <x v="5"/>
    <x v="65"/>
    <x v="10"/>
    <x v="1"/>
    <x v="0"/>
    <n v="145.1"/>
  </r>
  <r>
    <x v="5"/>
    <x v="5"/>
    <x v="65"/>
    <x v="10"/>
    <x v="1"/>
    <x v="1"/>
    <n v="138.4"/>
  </r>
  <r>
    <x v="5"/>
    <x v="5"/>
    <x v="65"/>
    <x v="10"/>
    <x v="1"/>
    <x v="2"/>
    <n v="128.9"/>
  </r>
  <r>
    <x v="5"/>
    <x v="5"/>
    <x v="65"/>
    <x v="9"/>
    <x v="0"/>
    <x v="0"/>
    <n v="153.30000000000001"/>
  </r>
  <r>
    <x v="5"/>
    <x v="5"/>
    <x v="65"/>
    <x v="9"/>
    <x v="0"/>
    <x v="1"/>
    <n v="151.6"/>
  </r>
  <r>
    <x v="5"/>
    <x v="5"/>
    <x v="65"/>
    <x v="9"/>
    <x v="0"/>
    <x v="2"/>
    <n v="149.69999999999999"/>
  </r>
  <r>
    <x v="5"/>
    <x v="5"/>
    <x v="65"/>
    <x v="13"/>
    <x v="3"/>
    <x v="0"/>
    <n v="146.80000000000001"/>
  </r>
  <r>
    <x v="5"/>
    <x v="5"/>
    <x v="65"/>
    <x v="13"/>
    <x v="3"/>
    <x v="1"/>
    <n v="139.69999999999999"/>
  </r>
  <r>
    <x v="5"/>
    <x v="5"/>
    <x v="65"/>
    <x v="13"/>
    <x v="3"/>
    <x v="2"/>
    <n v="128.1"/>
  </r>
  <r>
    <x v="5"/>
    <x v="5"/>
    <x v="65"/>
    <x v="15"/>
    <x v="4"/>
    <x v="0"/>
    <n v="141.80000000000001"/>
  </r>
  <r>
    <x v="5"/>
    <x v="5"/>
    <x v="65"/>
    <x v="15"/>
    <x v="4"/>
    <x v="1"/>
    <n v="139.80000000000001"/>
  </r>
  <r>
    <x v="5"/>
    <x v="5"/>
    <x v="65"/>
    <x v="15"/>
    <x v="4"/>
    <x v="2"/>
    <n v="137.5"/>
  </r>
  <r>
    <x v="5"/>
    <x v="5"/>
    <x v="65"/>
    <x v="17"/>
    <x v="5"/>
    <x v="0"/>
    <n v="139"/>
  </r>
  <r>
    <x v="5"/>
    <x v="5"/>
    <x v="65"/>
    <x v="17"/>
    <x v="5"/>
    <x v="1"/>
    <n v="137"/>
  </r>
  <r>
    <x v="5"/>
    <x v="5"/>
    <x v="65"/>
    <x v="17"/>
    <x v="5"/>
    <x v="2"/>
    <n v="133.6"/>
  </r>
  <r>
    <x v="5"/>
    <x v="5"/>
    <x v="65"/>
    <x v="19"/>
    <x v="6"/>
    <x v="0"/>
    <n v="143.1"/>
  </r>
  <r>
    <x v="5"/>
    <x v="5"/>
    <x v="65"/>
    <x v="19"/>
    <x v="6"/>
    <x v="1"/>
    <n v="138.6"/>
  </r>
  <r>
    <x v="5"/>
    <x v="5"/>
    <x v="65"/>
    <x v="19"/>
    <x v="6"/>
    <x v="2"/>
    <n v="133.6"/>
  </r>
  <r>
    <x v="5"/>
    <x v="5"/>
    <x v="65"/>
    <x v="21"/>
    <x v="6"/>
    <x v="0"/>
    <n v="0"/>
  </r>
  <r>
    <x v="5"/>
    <x v="5"/>
    <x v="65"/>
    <x v="21"/>
    <x v="6"/>
    <x v="1"/>
    <n v="143.6"/>
  </r>
  <r>
    <x v="5"/>
    <x v="5"/>
    <x v="65"/>
    <x v="21"/>
    <x v="6"/>
    <x v="2"/>
    <n v="143.6"/>
  </r>
  <r>
    <x v="5"/>
    <x v="5"/>
    <x v="65"/>
    <x v="2"/>
    <x v="0"/>
    <x v="0"/>
    <n v="149.30000000000001"/>
  </r>
  <r>
    <x v="5"/>
    <x v="5"/>
    <x v="65"/>
    <x v="2"/>
    <x v="0"/>
    <x v="1"/>
    <n v="149.1"/>
  </r>
  <r>
    <x v="5"/>
    <x v="5"/>
    <x v="65"/>
    <x v="2"/>
    <x v="0"/>
    <x v="2"/>
    <n v="148.6"/>
  </r>
  <r>
    <x v="5"/>
    <x v="5"/>
    <x v="65"/>
    <x v="6"/>
    <x v="0"/>
    <x v="0"/>
    <n v="143.4"/>
  </r>
  <r>
    <x v="5"/>
    <x v="5"/>
    <x v="65"/>
    <x v="6"/>
    <x v="0"/>
    <x v="1"/>
    <n v="142.5"/>
  </r>
  <r>
    <x v="5"/>
    <x v="5"/>
    <x v="65"/>
    <x v="6"/>
    <x v="0"/>
    <x v="2"/>
    <n v="141"/>
  </r>
  <r>
    <x v="5"/>
    <x v="5"/>
    <x v="65"/>
    <x v="23"/>
    <x v="7"/>
    <x v="0"/>
    <n v="136"/>
  </r>
  <r>
    <x v="5"/>
    <x v="5"/>
    <x v="65"/>
    <x v="23"/>
    <x v="7"/>
    <x v="1"/>
    <n v="133.19999999999999"/>
  </r>
  <r>
    <x v="5"/>
    <x v="5"/>
    <x v="65"/>
    <x v="23"/>
    <x v="7"/>
    <x v="2"/>
    <n v="130.19999999999999"/>
  </r>
  <r>
    <x v="5"/>
    <x v="5"/>
    <x v="65"/>
    <x v="18"/>
    <x v="0"/>
    <x v="0"/>
    <n v="132.80000000000001"/>
  </r>
  <r>
    <x v="5"/>
    <x v="5"/>
    <x v="65"/>
    <x v="18"/>
    <x v="0"/>
    <x v="1"/>
    <n v="130.30000000000001"/>
  </r>
  <r>
    <x v="5"/>
    <x v="5"/>
    <x v="65"/>
    <x v="18"/>
    <x v="0"/>
    <x v="2"/>
    <n v="126.8"/>
  </r>
  <r>
    <x v="5"/>
    <x v="5"/>
    <x v="65"/>
    <x v="7"/>
    <x v="0"/>
    <x v="0"/>
    <n v="124.1"/>
  </r>
  <r>
    <x v="5"/>
    <x v="5"/>
    <x v="65"/>
    <x v="7"/>
    <x v="0"/>
    <x v="1"/>
    <n v="121.4"/>
  </r>
  <r>
    <x v="5"/>
    <x v="5"/>
    <x v="65"/>
    <x v="7"/>
    <x v="0"/>
    <x v="2"/>
    <n v="116.7"/>
  </r>
  <r>
    <x v="5"/>
    <x v="5"/>
    <x v="65"/>
    <x v="22"/>
    <x v="7"/>
    <x v="0"/>
    <n v="156.1"/>
  </r>
  <r>
    <x v="5"/>
    <x v="5"/>
    <x v="65"/>
    <x v="22"/>
    <x v="7"/>
    <x v="1"/>
    <n v="157.5"/>
  </r>
  <r>
    <x v="5"/>
    <x v="5"/>
    <x v="65"/>
    <x v="22"/>
    <x v="7"/>
    <x v="2"/>
    <n v="161.4"/>
  </r>
  <r>
    <x v="5"/>
    <x v="5"/>
    <x v="65"/>
    <x v="24"/>
    <x v="7"/>
    <x v="0"/>
    <n v="131.4"/>
  </r>
  <r>
    <x v="5"/>
    <x v="5"/>
    <x v="65"/>
    <x v="24"/>
    <x v="7"/>
    <x v="1"/>
    <n v="130.1"/>
  </r>
  <r>
    <x v="5"/>
    <x v="5"/>
    <x v="65"/>
    <x v="24"/>
    <x v="7"/>
    <x v="2"/>
    <n v="128.19999999999999"/>
  </r>
  <r>
    <x v="5"/>
    <x v="5"/>
    <x v="65"/>
    <x v="20"/>
    <x v="0"/>
    <x v="0"/>
    <n v="154.80000000000001"/>
  </r>
  <r>
    <x v="5"/>
    <x v="5"/>
    <x v="65"/>
    <x v="20"/>
    <x v="0"/>
    <x v="1"/>
    <n v="152.30000000000001"/>
  </r>
  <r>
    <x v="5"/>
    <x v="5"/>
    <x v="65"/>
    <x v="20"/>
    <x v="0"/>
    <x v="2"/>
    <n v="149.4"/>
  </r>
  <r>
    <x v="5"/>
    <x v="5"/>
    <x v="65"/>
    <x v="12"/>
    <x v="0"/>
    <x v="0"/>
    <n v="126.4"/>
  </r>
  <r>
    <x v="5"/>
    <x v="5"/>
    <x v="65"/>
    <x v="12"/>
    <x v="0"/>
    <x v="1"/>
    <n v="121.7"/>
  </r>
  <r>
    <x v="5"/>
    <x v="5"/>
    <x v="65"/>
    <x v="12"/>
    <x v="0"/>
    <x v="2"/>
    <n v="112.6"/>
  </r>
  <r>
    <x v="5"/>
    <x v="5"/>
    <x v="65"/>
    <x v="26"/>
    <x v="9"/>
    <x v="0"/>
    <n v="138.4"/>
  </r>
  <r>
    <x v="5"/>
    <x v="5"/>
    <x v="65"/>
    <x v="26"/>
    <x v="9"/>
    <x v="1"/>
    <n v="133.1"/>
  </r>
  <r>
    <x v="5"/>
    <x v="5"/>
    <x v="65"/>
    <x v="26"/>
    <x v="9"/>
    <x v="2"/>
    <n v="129"/>
  </r>
  <r>
    <x v="5"/>
    <x v="5"/>
    <x v="65"/>
    <x v="16"/>
    <x v="0"/>
    <x v="0"/>
    <n v="138.19999999999999"/>
  </r>
  <r>
    <x v="5"/>
    <x v="5"/>
    <x v="65"/>
    <x v="16"/>
    <x v="0"/>
    <x v="1"/>
    <n v="138.9"/>
  </r>
  <r>
    <x v="5"/>
    <x v="5"/>
    <x v="65"/>
    <x v="16"/>
    <x v="0"/>
    <x v="2"/>
    <n v="140.30000000000001"/>
  </r>
  <r>
    <x v="5"/>
    <x v="5"/>
    <x v="65"/>
    <x v="14"/>
    <x v="0"/>
    <x v="0"/>
    <n v="114.3"/>
  </r>
  <r>
    <x v="5"/>
    <x v="5"/>
    <x v="65"/>
    <x v="14"/>
    <x v="0"/>
    <x v="1"/>
    <n v="113.5"/>
  </r>
  <r>
    <x v="5"/>
    <x v="5"/>
    <x v="65"/>
    <x v="14"/>
    <x v="0"/>
    <x v="2"/>
    <n v="111.8"/>
  </r>
  <r>
    <x v="5"/>
    <x v="5"/>
    <x v="65"/>
    <x v="25"/>
    <x v="8"/>
    <x v="0"/>
    <n v="127.5"/>
  </r>
  <r>
    <x v="5"/>
    <x v="5"/>
    <x v="65"/>
    <x v="25"/>
    <x v="8"/>
    <x v="1"/>
    <n v="123.6"/>
  </r>
  <r>
    <x v="5"/>
    <x v="5"/>
    <x v="65"/>
    <x v="25"/>
    <x v="8"/>
    <x v="2"/>
    <n v="120.1"/>
  </r>
  <r>
    <x v="5"/>
    <x v="5"/>
    <x v="65"/>
    <x v="11"/>
    <x v="0"/>
    <x v="0"/>
    <n v="154.19999999999999"/>
  </r>
  <r>
    <x v="5"/>
    <x v="5"/>
    <x v="65"/>
    <x v="11"/>
    <x v="0"/>
    <x v="1"/>
    <n v="155.9"/>
  </r>
  <r>
    <x v="5"/>
    <x v="5"/>
    <x v="65"/>
    <x v="11"/>
    <x v="0"/>
    <x v="2"/>
    <n v="159.19999999999999"/>
  </r>
  <r>
    <x v="5"/>
    <x v="6"/>
    <x v="66"/>
    <x v="0"/>
    <x v="0"/>
    <x v="0"/>
    <n v="137.6"/>
  </r>
  <r>
    <x v="5"/>
    <x v="6"/>
    <x v="66"/>
    <x v="0"/>
    <x v="0"/>
    <x v="1"/>
    <n v="136.9"/>
  </r>
  <r>
    <x v="5"/>
    <x v="6"/>
    <x v="66"/>
    <x v="0"/>
    <x v="0"/>
    <x v="2"/>
    <n v="135.30000000000001"/>
  </r>
  <r>
    <x v="5"/>
    <x v="6"/>
    <x v="66"/>
    <x v="1"/>
    <x v="1"/>
    <x v="0"/>
    <n v="151.30000000000001"/>
  </r>
  <r>
    <x v="5"/>
    <x v="6"/>
    <x v="66"/>
    <x v="1"/>
    <x v="1"/>
    <x v="1"/>
    <n v="146.4"/>
  </r>
  <r>
    <x v="5"/>
    <x v="6"/>
    <x v="66"/>
    <x v="1"/>
    <x v="1"/>
    <x v="2"/>
    <n v="138.9"/>
  </r>
  <r>
    <x v="5"/>
    <x v="6"/>
    <x v="66"/>
    <x v="3"/>
    <x v="1"/>
    <x v="0"/>
    <n v="150.30000000000001"/>
  </r>
  <r>
    <x v="5"/>
    <x v="6"/>
    <x v="66"/>
    <x v="3"/>
    <x v="1"/>
    <x v="1"/>
    <n v="145.19999999999999"/>
  </r>
  <r>
    <x v="5"/>
    <x v="6"/>
    <x v="66"/>
    <x v="3"/>
    <x v="1"/>
    <x v="2"/>
    <n v="137.4"/>
  </r>
  <r>
    <x v="5"/>
    <x v="6"/>
    <x v="66"/>
    <x v="5"/>
    <x v="2"/>
    <x v="0"/>
    <n v="145.1"/>
  </r>
  <r>
    <x v="5"/>
    <x v="6"/>
    <x v="66"/>
    <x v="5"/>
    <x v="2"/>
    <x v="1"/>
    <n v="142.80000000000001"/>
  </r>
  <r>
    <x v="5"/>
    <x v="6"/>
    <x v="66"/>
    <x v="5"/>
    <x v="2"/>
    <x v="2"/>
    <n v="141.19999999999999"/>
  </r>
  <r>
    <x v="5"/>
    <x v="6"/>
    <x v="66"/>
    <x v="4"/>
    <x v="0"/>
    <x v="0"/>
    <n v="136.69999999999999"/>
  </r>
  <r>
    <x v="5"/>
    <x v="6"/>
    <x v="66"/>
    <x v="4"/>
    <x v="0"/>
    <x v="1"/>
    <n v="135.6"/>
  </r>
  <r>
    <x v="5"/>
    <x v="6"/>
    <x v="66"/>
    <x v="4"/>
    <x v="0"/>
    <x v="2"/>
    <n v="133.9"/>
  </r>
  <r>
    <x v="5"/>
    <x v="6"/>
    <x v="66"/>
    <x v="8"/>
    <x v="0"/>
    <x v="0"/>
    <n v="140"/>
  </r>
  <r>
    <x v="5"/>
    <x v="6"/>
    <x v="66"/>
    <x v="8"/>
    <x v="0"/>
    <x v="1"/>
    <n v="139.4"/>
  </r>
  <r>
    <x v="5"/>
    <x v="6"/>
    <x v="66"/>
    <x v="8"/>
    <x v="0"/>
    <x v="2"/>
    <n v="138.4"/>
  </r>
  <r>
    <x v="5"/>
    <x v="6"/>
    <x v="66"/>
    <x v="10"/>
    <x v="1"/>
    <x v="0"/>
    <n v="144.69999999999999"/>
  </r>
  <r>
    <x v="5"/>
    <x v="6"/>
    <x v="66"/>
    <x v="10"/>
    <x v="1"/>
    <x v="1"/>
    <n v="138.1"/>
  </r>
  <r>
    <x v="5"/>
    <x v="6"/>
    <x v="66"/>
    <x v="10"/>
    <x v="1"/>
    <x v="2"/>
    <n v="128.69999999999999"/>
  </r>
  <r>
    <x v="5"/>
    <x v="6"/>
    <x v="66"/>
    <x v="9"/>
    <x v="0"/>
    <x v="0"/>
    <n v="154.1"/>
  </r>
  <r>
    <x v="5"/>
    <x v="6"/>
    <x v="66"/>
    <x v="9"/>
    <x v="0"/>
    <x v="1"/>
    <n v="153.19999999999999"/>
  </r>
  <r>
    <x v="5"/>
    <x v="6"/>
    <x v="66"/>
    <x v="9"/>
    <x v="0"/>
    <x v="2"/>
    <n v="152.19999999999999"/>
  </r>
  <r>
    <x v="5"/>
    <x v="6"/>
    <x v="66"/>
    <x v="13"/>
    <x v="3"/>
    <x v="0"/>
    <n v="145.1"/>
  </r>
  <r>
    <x v="5"/>
    <x v="6"/>
    <x v="66"/>
    <x v="13"/>
    <x v="3"/>
    <x v="1"/>
    <n v="138.1"/>
  </r>
  <r>
    <x v="5"/>
    <x v="6"/>
    <x v="66"/>
    <x v="13"/>
    <x v="3"/>
    <x v="2"/>
    <n v="126.5"/>
  </r>
  <r>
    <x v="5"/>
    <x v="6"/>
    <x v="66"/>
    <x v="15"/>
    <x v="4"/>
    <x v="0"/>
    <n v="140.5"/>
  </r>
  <r>
    <x v="5"/>
    <x v="6"/>
    <x v="66"/>
    <x v="15"/>
    <x v="4"/>
    <x v="1"/>
    <n v="138.5"/>
  </r>
  <r>
    <x v="5"/>
    <x v="6"/>
    <x v="66"/>
    <x v="15"/>
    <x v="4"/>
    <x v="2"/>
    <n v="136.19999999999999"/>
  </r>
  <r>
    <x v="5"/>
    <x v="6"/>
    <x v="66"/>
    <x v="17"/>
    <x v="5"/>
    <x v="0"/>
    <n v="138.4"/>
  </r>
  <r>
    <x v="5"/>
    <x v="6"/>
    <x v="66"/>
    <x v="17"/>
    <x v="5"/>
    <x v="1"/>
    <n v="136.19999999999999"/>
  </r>
  <r>
    <x v="5"/>
    <x v="6"/>
    <x v="66"/>
    <x v="17"/>
    <x v="5"/>
    <x v="2"/>
    <n v="132.6"/>
  </r>
  <r>
    <x v="5"/>
    <x v="6"/>
    <x v="66"/>
    <x v="19"/>
    <x v="6"/>
    <x v="0"/>
    <n v="142.19999999999999"/>
  </r>
  <r>
    <x v="5"/>
    <x v="6"/>
    <x v="66"/>
    <x v="19"/>
    <x v="6"/>
    <x v="1"/>
    <n v="137.9"/>
  </r>
  <r>
    <x v="5"/>
    <x v="6"/>
    <x v="66"/>
    <x v="19"/>
    <x v="6"/>
    <x v="2"/>
    <n v="133.1"/>
  </r>
  <r>
    <x v="5"/>
    <x v="6"/>
    <x v="66"/>
    <x v="21"/>
    <x v="6"/>
    <x v="0"/>
    <n v="0"/>
  </r>
  <r>
    <x v="5"/>
    <x v="6"/>
    <x v="66"/>
    <x v="21"/>
    <x v="6"/>
    <x v="1"/>
    <n v="142.5"/>
  </r>
  <r>
    <x v="5"/>
    <x v="6"/>
    <x v="66"/>
    <x v="21"/>
    <x v="6"/>
    <x v="2"/>
    <n v="142.5"/>
  </r>
  <r>
    <x v="5"/>
    <x v="6"/>
    <x v="66"/>
    <x v="2"/>
    <x v="0"/>
    <x v="0"/>
    <n v="148.1"/>
  </r>
  <r>
    <x v="5"/>
    <x v="6"/>
    <x v="66"/>
    <x v="2"/>
    <x v="0"/>
    <x v="1"/>
    <n v="148.69999999999999"/>
  </r>
  <r>
    <x v="5"/>
    <x v="6"/>
    <x v="66"/>
    <x v="2"/>
    <x v="0"/>
    <x v="2"/>
    <n v="149.69999999999999"/>
  </r>
  <r>
    <x v="5"/>
    <x v="6"/>
    <x v="66"/>
    <x v="6"/>
    <x v="0"/>
    <x v="0"/>
    <n v="143.19999999999999"/>
  </r>
  <r>
    <x v="5"/>
    <x v="6"/>
    <x v="66"/>
    <x v="6"/>
    <x v="0"/>
    <x v="1"/>
    <n v="142.30000000000001"/>
  </r>
  <r>
    <x v="5"/>
    <x v="6"/>
    <x v="66"/>
    <x v="6"/>
    <x v="0"/>
    <x v="2"/>
    <n v="140.80000000000001"/>
  </r>
  <r>
    <x v="5"/>
    <x v="6"/>
    <x v="66"/>
    <x v="23"/>
    <x v="7"/>
    <x v="0"/>
    <n v="135.6"/>
  </r>
  <r>
    <x v="5"/>
    <x v="6"/>
    <x v="66"/>
    <x v="23"/>
    <x v="7"/>
    <x v="1"/>
    <n v="132.6"/>
  </r>
  <r>
    <x v="5"/>
    <x v="6"/>
    <x v="66"/>
    <x v="23"/>
    <x v="7"/>
    <x v="2"/>
    <n v="129.5"/>
  </r>
  <r>
    <x v="5"/>
    <x v="6"/>
    <x v="66"/>
    <x v="18"/>
    <x v="0"/>
    <x v="0"/>
    <n v="132.80000000000001"/>
  </r>
  <r>
    <x v="5"/>
    <x v="6"/>
    <x v="66"/>
    <x v="18"/>
    <x v="0"/>
    <x v="1"/>
    <n v="130.30000000000001"/>
  </r>
  <r>
    <x v="5"/>
    <x v="6"/>
    <x v="66"/>
    <x v="18"/>
    <x v="0"/>
    <x v="2"/>
    <n v="126.7"/>
  </r>
  <r>
    <x v="5"/>
    <x v="6"/>
    <x v="66"/>
    <x v="7"/>
    <x v="0"/>
    <x v="0"/>
    <n v="124"/>
  </r>
  <r>
    <x v="5"/>
    <x v="6"/>
    <x v="66"/>
    <x v="7"/>
    <x v="0"/>
    <x v="1"/>
    <n v="121.3"/>
  </r>
  <r>
    <x v="5"/>
    <x v="6"/>
    <x v="66"/>
    <x v="7"/>
    <x v="0"/>
    <x v="2"/>
    <n v="116.6"/>
  </r>
  <r>
    <x v="5"/>
    <x v="6"/>
    <x v="66"/>
    <x v="22"/>
    <x v="7"/>
    <x v="0"/>
    <n v="157.30000000000001"/>
  </r>
  <r>
    <x v="5"/>
    <x v="6"/>
    <x v="66"/>
    <x v="22"/>
    <x v="7"/>
    <x v="1"/>
    <n v="158.30000000000001"/>
  </r>
  <r>
    <x v="5"/>
    <x v="6"/>
    <x v="66"/>
    <x v="22"/>
    <x v="7"/>
    <x v="2"/>
    <n v="161"/>
  </r>
  <r>
    <x v="5"/>
    <x v="6"/>
    <x v="66"/>
    <x v="24"/>
    <x v="7"/>
    <x v="0"/>
    <n v="131.4"/>
  </r>
  <r>
    <x v="5"/>
    <x v="6"/>
    <x v="66"/>
    <x v="24"/>
    <x v="7"/>
    <x v="1"/>
    <n v="130.1"/>
  </r>
  <r>
    <x v="5"/>
    <x v="6"/>
    <x v="66"/>
    <x v="24"/>
    <x v="7"/>
    <x v="2"/>
    <n v="128.19999999999999"/>
  </r>
  <r>
    <x v="5"/>
    <x v="6"/>
    <x v="66"/>
    <x v="20"/>
    <x v="0"/>
    <x v="0"/>
    <n v="154.30000000000001"/>
  </r>
  <r>
    <x v="5"/>
    <x v="6"/>
    <x v="66"/>
    <x v="20"/>
    <x v="0"/>
    <x v="1"/>
    <n v="151.80000000000001"/>
  </r>
  <r>
    <x v="5"/>
    <x v="6"/>
    <x v="66"/>
    <x v="20"/>
    <x v="0"/>
    <x v="2"/>
    <n v="149"/>
  </r>
  <r>
    <x v="5"/>
    <x v="6"/>
    <x v="66"/>
    <x v="12"/>
    <x v="0"/>
    <x v="0"/>
    <n v="126"/>
  </r>
  <r>
    <x v="5"/>
    <x v="6"/>
    <x v="66"/>
    <x v="12"/>
    <x v="0"/>
    <x v="1"/>
    <n v="121.4"/>
  </r>
  <r>
    <x v="5"/>
    <x v="6"/>
    <x v="66"/>
    <x v="12"/>
    <x v="0"/>
    <x v="2"/>
    <n v="112.3"/>
  </r>
  <r>
    <x v="5"/>
    <x v="6"/>
    <x v="66"/>
    <x v="26"/>
    <x v="9"/>
    <x v="0"/>
    <n v="137.80000000000001"/>
  </r>
  <r>
    <x v="5"/>
    <x v="6"/>
    <x v="66"/>
    <x v="26"/>
    <x v="9"/>
    <x v="1"/>
    <n v="132.6"/>
  </r>
  <r>
    <x v="5"/>
    <x v="6"/>
    <x v="66"/>
    <x v="26"/>
    <x v="9"/>
    <x v="2"/>
    <n v="128.5"/>
  </r>
  <r>
    <x v="5"/>
    <x v="6"/>
    <x v="66"/>
    <x v="16"/>
    <x v="0"/>
    <x v="0"/>
    <n v="137.6"/>
  </r>
  <r>
    <x v="5"/>
    <x v="6"/>
    <x v="66"/>
    <x v="16"/>
    <x v="0"/>
    <x v="1"/>
    <n v="138.4"/>
  </r>
  <r>
    <x v="5"/>
    <x v="6"/>
    <x v="66"/>
    <x v="16"/>
    <x v="0"/>
    <x v="2"/>
    <n v="140"/>
  </r>
  <r>
    <x v="5"/>
    <x v="6"/>
    <x v="66"/>
    <x v="14"/>
    <x v="0"/>
    <x v="0"/>
    <n v="112.4"/>
  </r>
  <r>
    <x v="5"/>
    <x v="6"/>
    <x v="66"/>
    <x v="14"/>
    <x v="0"/>
    <x v="1"/>
    <n v="111.1"/>
  </r>
  <r>
    <x v="5"/>
    <x v="6"/>
    <x v="66"/>
    <x v="14"/>
    <x v="0"/>
    <x v="2"/>
    <n v="108.4"/>
  </r>
  <r>
    <x v="5"/>
    <x v="6"/>
    <x v="66"/>
    <x v="25"/>
    <x v="8"/>
    <x v="0"/>
    <n v="127.4"/>
  </r>
  <r>
    <x v="5"/>
    <x v="6"/>
    <x v="66"/>
    <x v="25"/>
    <x v="8"/>
    <x v="1"/>
    <n v="123.7"/>
  </r>
  <r>
    <x v="5"/>
    <x v="6"/>
    <x v="66"/>
    <x v="25"/>
    <x v="8"/>
    <x v="2"/>
    <n v="120.4"/>
  </r>
  <r>
    <x v="5"/>
    <x v="6"/>
    <x v="66"/>
    <x v="11"/>
    <x v="0"/>
    <x v="0"/>
    <n v="143.5"/>
  </r>
  <r>
    <x v="5"/>
    <x v="6"/>
    <x v="66"/>
    <x v="11"/>
    <x v="0"/>
    <x v="1"/>
    <n v="143.69999999999999"/>
  </r>
  <r>
    <x v="5"/>
    <x v="6"/>
    <x v="66"/>
    <x v="11"/>
    <x v="0"/>
    <x v="2"/>
    <n v="144"/>
  </r>
  <r>
    <x v="5"/>
    <x v="7"/>
    <x v="67"/>
    <x v="0"/>
    <x v="0"/>
    <x v="0"/>
    <n v="136.80000000000001"/>
  </r>
  <r>
    <x v="5"/>
    <x v="7"/>
    <x v="67"/>
    <x v="0"/>
    <x v="0"/>
    <x v="1"/>
    <n v="136.19999999999999"/>
  </r>
  <r>
    <x v="5"/>
    <x v="7"/>
    <x v="67"/>
    <x v="0"/>
    <x v="0"/>
    <x v="2"/>
    <n v="135"/>
  </r>
  <r>
    <x v="5"/>
    <x v="7"/>
    <x v="67"/>
    <x v="1"/>
    <x v="1"/>
    <x v="0"/>
    <n v="149.19999999999999"/>
  </r>
  <r>
    <x v="5"/>
    <x v="7"/>
    <x v="67"/>
    <x v="1"/>
    <x v="1"/>
    <x v="1"/>
    <n v="144.30000000000001"/>
  </r>
  <r>
    <x v="5"/>
    <x v="7"/>
    <x v="67"/>
    <x v="1"/>
    <x v="1"/>
    <x v="2"/>
    <n v="136.69999999999999"/>
  </r>
  <r>
    <x v="5"/>
    <x v="7"/>
    <x v="67"/>
    <x v="3"/>
    <x v="1"/>
    <x v="0"/>
    <n v="148.30000000000001"/>
  </r>
  <r>
    <x v="5"/>
    <x v="7"/>
    <x v="67"/>
    <x v="3"/>
    <x v="1"/>
    <x v="1"/>
    <n v="143.1"/>
  </r>
  <r>
    <x v="5"/>
    <x v="7"/>
    <x v="67"/>
    <x v="3"/>
    <x v="1"/>
    <x v="2"/>
    <n v="135.19999999999999"/>
  </r>
  <r>
    <x v="5"/>
    <x v="7"/>
    <x v="67"/>
    <x v="5"/>
    <x v="2"/>
    <x v="0"/>
    <n v="142.69999999999999"/>
  </r>
  <r>
    <x v="5"/>
    <x v="7"/>
    <x v="67"/>
    <x v="5"/>
    <x v="2"/>
    <x v="1"/>
    <n v="139.80000000000001"/>
  </r>
  <r>
    <x v="5"/>
    <x v="7"/>
    <x v="67"/>
    <x v="5"/>
    <x v="2"/>
    <x v="2"/>
    <n v="137.80000000000001"/>
  </r>
  <r>
    <x v="5"/>
    <x v="7"/>
    <x v="67"/>
    <x v="4"/>
    <x v="0"/>
    <x v="0"/>
    <n v="140"/>
  </r>
  <r>
    <x v="5"/>
    <x v="7"/>
    <x v="67"/>
    <x v="4"/>
    <x v="0"/>
    <x v="1"/>
    <n v="138.30000000000001"/>
  </r>
  <r>
    <x v="5"/>
    <x v="7"/>
    <x v="67"/>
    <x v="4"/>
    <x v="0"/>
    <x v="2"/>
    <n v="135.5"/>
  </r>
  <r>
    <x v="5"/>
    <x v="7"/>
    <x v="67"/>
    <x v="8"/>
    <x v="0"/>
    <x v="0"/>
    <n v="138.6"/>
  </r>
  <r>
    <x v="5"/>
    <x v="7"/>
    <x v="67"/>
    <x v="8"/>
    <x v="0"/>
    <x v="1"/>
    <n v="137.19999999999999"/>
  </r>
  <r>
    <x v="5"/>
    <x v="7"/>
    <x v="67"/>
    <x v="8"/>
    <x v="0"/>
    <x v="2"/>
    <n v="134.80000000000001"/>
  </r>
  <r>
    <x v="5"/>
    <x v="7"/>
    <x v="67"/>
    <x v="10"/>
    <x v="1"/>
    <x v="0"/>
    <n v="143"/>
  </r>
  <r>
    <x v="5"/>
    <x v="7"/>
    <x v="67"/>
    <x v="10"/>
    <x v="1"/>
    <x v="1"/>
    <n v="136.19999999999999"/>
  </r>
  <r>
    <x v="5"/>
    <x v="7"/>
    <x v="67"/>
    <x v="10"/>
    <x v="1"/>
    <x v="2"/>
    <n v="126.7"/>
  </r>
  <r>
    <x v="5"/>
    <x v="7"/>
    <x v="67"/>
    <x v="9"/>
    <x v="0"/>
    <x v="0"/>
    <n v="152.9"/>
  </r>
  <r>
    <x v="5"/>
    <x v="7"/>
    <x v="67"/>
    <x v="9"/>
    <x v="0"/>
    <x v="1"/>
    <n v="146.19999999999999"/>
  </r>
  <r>
    <x v="5"/>
    <x v="7"/>
    <x v="67"/>
    <x v="9"/>
    <x v="0"/>
    <x v="2"/>
    <n v="138.5"/>
  </r>
  <r>
    <x v="5"/>
    <x v="7"/>
    <x v="67"/>
    <x v="13"/>
    <x v="3"/>
    <x v="0"/>
    <n v="142.6"/>
  </r>
  <r>
    <x v="5"/>
    <x v="7"/>
    <x v="67"/>
    <x v="13"/>
    <x v="3"/>
    <x v="1"/>
    <n v="136.5"/>
  </r>
  <r>
    <x v="5"/>
    <x v="7"/>
    <x v="67"/>
    <x v="13"/>
    <x v="3"/>
    <x v="2"/>
    <n v="126.4"/>
  </r>
  <r>
    <x v="5"/>
    <x v="7"/>
    <x v="67"/>
    <x v="15"/>
    <x v="4"/>
    <x v="0"/>
    <n v="138.69999999999999"/>
  </r>
  <r>
    <x v="5"/>
    <x v="7"/>
    <x v="67"/>
    <x v="15"/>
    <x v="4"/>
    <x v="1"/>
    <n v="136.5"/>
  </r>
  <r>
    <x v="5"/>
    <x v="7"/>
    <x v="67"/>
    <x v="15"/>
    <x v="4"/>
    <x v="2"/>
    <n v="134"/>
  </r>
  <r>
    <x v="5"/>
    <x v="7"/>
    <x v="67"/>
    <x v="17"/>
    <x v="5"/>
    <x v="0"/>
    <n v="136.69999999999999"/>
  </r>
  <r>
    <x v="5"/>
    <x v="7"/>
    <x v="67"/>
    <x v="17"/>
    <x v="5"/>
    <x v="1"/>
    <n v="134.30000000000001"/>
  </r>
  <r>
    <x v="5"/>
    <x v="7"/>
    <x v="67"/>
    <x v="17"/>
    <x v="5"/>
    <x v="2"/>
    <n v="130.5"/>
  </r>
  <r>
    <x v="5"/>
    <x v="7"/>
    <x v="67"/>
    <x v="19"/>
    <x v="6"/>
    <x v="0"/>
    <n v="139.9"/>
  </r>
  <r>
    <x v="5"/>
    <x v="7"/>
    <x v="67"/>
    <x v="19"/>
    <x v="6"/>
    <x v="1"/>
    <n v="135.6"/>
  </r>
  <r>
    <x v="5"/>
    <x v="7"/>
    <x v="67"/>
    <x v="19"/>
    <x v="6"/>
    <x v="2"/>
    <n v="130.80000000000001"/>
  </r>
  <r>
    <x v="5"/>
    <x v="7"/>
    <x v="67"/>
    <x v="21"/>
    <x v="6"/>
    <x v="0"/>
    <n v="0"/>
  </r>
  <r>
    <x v="5"/>
    <x v="7"/>
    <x v="67"/>
    <x v="21"/>
    <x v="6"/>
    <x v="1"/>
    <n v="142"/>
  </r>
  <r>
    <x v="5"/>
    <x v="7"/>
    <x v="67"/>
    <x v="21"/>
    <x v="6"/>
    <x v="2"/>
    <n v="142"/>
  </r>
  <r>
    <x v="5"/>
    <x v="7"/>
    <x v="67"/>
    <x v="2"/>
    <x v="0"/>
    <x v="0"/>
    <n v="143.80000000000001"/>
  </r>
  <r>
    <x v="5"/>
    <x v="7"/>
    <x v="67"/>
    <x v="2"/>
    <x v="0"/>
    <x v="1"/>
    <n v="143.6"/>
  </r>
  <r>
    <x v="5"/>
    <x v="7"/>
    <x v="67"/>
    <x v="2"/>
    <x v="0"/>
    <x v="2"/>
    <n v="143.1"/>
  </r>
  <r>
    <x v="5"/>
    <x v="7"/>
    <x v="67"/>
    <x v="6"/>
    <x v="0"/>
    <x v="0"/>
    <n v="142"/>
  </r>
  <r>
    <x v="5"/>
    <x v="7"/>
    <x v="67"/>
    <x v="6"/>
    <x v="0"/>
    <x v="1"/>
    <n v="141.19999999999999"/>
  </r>
  <r>
    <x v="5"/>
    <x v="7"/>
    <x v="67"/>
    <x v="6"/>
    <x v="0"/>
    <x v="2"/>
    <n v="139.9"/>
  </r>
  <r>
    <x v="5"/>
    <x v="7"/>
    <x v="67"/>
    <x v="23"/>
    <x v="7"/>
    <x v="0"/>
    <n v="133.30000000000001"/>
  </r>
  <r>
    <x v="5"/>
    <x v="7"/>
    <x v="67"/>
    <x v="23"/>
    <x v="7"/>
    <x v="1"/>
    <n v="130.30000000000001"/>
  </r>
  <r>
    <x v="5"/>
    <x v="7"/>
    <x v="67"/>
    <x v="23"/>
    <x v="7"/>
    <x v="2"/>
    <n v="127.1"/>
  </r>
  <r>
    <x v="5"/>
    <x v="7"/>
    <x v="67"/>
    <x v="18"/>
    <x v="0"/>
    <x v="0"/>
    <n v="131.19999999999999"/>
  </r>
  <r>
    <x v="5"/>
    <x v="7"/>
    <x v="67"/>
    <x v="18"/>
    <x v="0"/>
    <x v="1"/>
    <n v="129.1"/>
  </r>
  <r>
    <x v="5"/>
    <x v="7"/>
    <x v="67"/>
    <x v="18"/>
    <x v="0"/>
    <x v="2"/>
    <n v="126.2"/>
  </r>
  <r>
    <x v="5"/>
    <x v="7"/>
    <x v="67"/>
    <x v="7"/>
    <x v="0"/>
    <x v="0"/>
    <n v="123.2"/>
  </r>
  <r>
    <x v="5"/>
    <x v="7"/>
    <x v="67"/>
    <x v="7"/>
    <x v="0"/>
    <x v="1"/>
    <n v="120.7"/>
  </r>
  <r>
    <x v="5"/>
    <x v="7"/>
    <x v="67"/>
    <x v="7"/>
    <x v="0"/>
    <x v="2"/>
    <n v="116.5"/>
  </r>
  <r>
    <x v="5"/>
    <x v="7"/>
    <x v="67"/>
    <x v="22"/>
    <x v="7"/>
    <x v="0"/>
    <n v="155.1"/>
  </r>
  <r>
    <x v="5"/>
    <x v="7"/>
    <x v="67"/>
    <x v="22"/>
    <x v="7"/>
    <x v="1"/>
    <n v="156.30000000000001"/>
  </r>
  <r>
    <x v="5"/>
    <x v="7"/>
    <x v="67"/>
    <x v="22"/>
    <x v="7"/>
    <x v="2"/>
    <n v="159.69999999999999"/>
  </r>
  <r>
    <x v="5"/>
    <x v="7"/>
    <x v="67"/>
    <x v="24"/>
    <x v="7"/>
    <x v="0"/>
    <n v="129.30000000000001"/>
  </r>
  <r>
    <x v="5"/>
    <x v="7"/>
    <x v="67"/>
    <x v="24"/>
    <x v="7"/>
    <x v="1"/>
    <n v="128.19999999999999"/>
  </r>
  <r>
    <x v="5"/>
    <x v="7"/>
    <x v="67"/>
    <x v="24"/>
    <x v="7"/>
    <x v="2"/>
    <n v="126.7"/>
  </r>
  <r>
    <x v="5"/>
    <x v="7"/>
    <x v="67"/>
    <x v="20"/>
    <x v="0"/>
    <x v="0"/>
    <n v="152.80000000000001"/>
  </r>
  <r>
    <x v="5"/>
    <x v="7"/>
    <x v="67"/>
    <x v="20"/>
    <x v="0"/>
    <x v="1"/>
    <n v="150.4"/>
  </r>
  <r>
    <x v="5"/>
    <x v="7"/>
    <x v="67"/>
    <x v="20"/>
    <x v="0"/>
    <x v="2"/>
    <n v="147.6"/>
  </r>
  <r>
    <x v="5"/>
    <x v="7"/>
    <x v="67"/>
    <x v="12"/>
    <x v="0"/>
    <x v="0"/>
    <n v="129.30000000000001"/>
  </r>
  <r>
    <x v="5"/>
    <x v="7"/>
    <x v="67"/>
    <x v="12"/>
    <x v="0"/>
    <x v="1"/>
    <n v="124.6"/>
  </r>
  <r>
    <x v="5"/>
    <x v="7"/>
    <x v="67"/>
    <x v="12"/>
    <x v="0"/>
    <x v="2"/>
    <n v="115.5"/>
  </r>
  <r>
    <x v="5"/>
    <x v="7"/>
    <x v="67"/>
    <x v="26"/>
    <x v="9"/>
    <x v="0"/>
    <n v="135.1"/>
  </r>
  <r>
    <x v="5"/>
    <x v="7"/>
    <x v="67"/>
    <x v="26"/>
    <x v="9"/>
    <x v="1"/>
    <n v="130.4"/>
  </r>
  <r>
    <x v="5"/>
    <x v="7"/>
    <x v="67"/>
    <x v="26"/>
    <x v="9"/>
    <x v="2"/>
    <n v="126.8"/>
  </r>
  <r>
    <x v="5"/>
    <x v="7"/>
    <x v="67"/>
    <x v="16"/>
    <x v="0"/>
    <x v="0"/>
    <n v="136.30000000000001"/>
  </r>
  <r>
    <x v="5"/>
    <x v="7"/>
    <x v="67"/>
    <x v="16"/>
    <x v="0"/>
    <x v="1"/>
    <n v="137.80000000000001"/>
  </r>
  <r>
    <x v="5"/>
    <x v="7"/>
    <x v="67"/>
    <x v="16"/>
    <x v="0"/>
    <x v="2"/>
    <n v="140.69999999999999"/>
  </r>
  <r>
    <x v="5"/>
    <x v="7"/>
    <x v="67"/>
    <x v="14"/>
    <x v="0"/>
    <x v="0"/>
    <n v="117.1"/>
  </r>
  <r>
    <x v="5"/>
    <x v="7"/>
    <x v="67"/>
    <x v="14"/>
    <x v="0"/>
    <x v="1"/>
    <n v="116.1"/>
  </r>
  <r>
    <x v="5"/>
    <x v="7"/>
    <x v="67"/>
    <x v="14"/>
    <x v="0"/>
    <x v="2"/>
    <n v="114.2"/>
  </r>
  <r>
    <x v="5"/>
    <x v="7"/>
    <x v="67"/>
    <x v="25"/>
    <x v="8"/>
    <x v="0"/>
    <n v="124.6"/>
  </r>
  <r>
    <x v="5"/>
    <x v="7"/>
    <x v="67"/>
    <x v="25"/>
    <x v="8"/>
    <x v="1"/>
    <n v="121"/>
  </r>
  <r>
    <x v="5"/>
    <x v="7"/>
    <x v="67"/>
    <x v="25"/>
    <x v="8"/>
    <x v="2"/>
    <n v="117.8"/>
  </r>
  <r>
    <x v="5"/>
    <x v="7"/>
    <x v="67"/>
    <x v="11"/>
    <x v="0"/>
    <x v="0"/>
    <n v="138"/>
  </r>
  <r>
    <x v="5"/>
    <x v="7"/>
    <x v="67"/>
    <x v="11"/>
    <x v="0"/>
    <x v="1"/>
    <n v="134.6"/>
  </r>
  <r>
    <x v="5"/>
    <x v="7"/>
    <x v="67"/>
    <x v="11"/>
    <x v="0"/>
    <x v="2"/>
    <n v="128"/>
  </r>
  <r>
    <x v="5"/>
    <x v="8"/>
    <x v="68"/>
    <x v="0"/>
    <x v="0"/>
    <x v="0"/>
    <n v="137.4"/>
  </r>
  <r>
    <x v="5"/>
    <x v="8"/>
    <x v="68"/>
    <x v="0"/>
    <x v="0"/>
    <x v="1"/>
    <n v="136.6"/>
  </r>
  <r>
    <x v="5"/>
    <x v="8"/>
    <x v="68"/>
    <x v="0"/>
    <x v="0"/>
    <x v="2"/>
    <n v="135"/>
  </r>
  <r>
    <x v="5"/>
    <x v="8"/>
    <x v="68"/>
    <x v="1"/>
    <x v="1"/>
    <x v="0"/>
    <n v="150.80000000000001"/>
  </r>
  <r>
    <x v="5"/>
    <x v="8"/>
    <x v="68"/>
    <x v="1"/>
    <x v="1"/>
    <x v="1"/>
    <n v="146"/>
  </r>
  <r>
    <x v="5"/>
    <x v="8"/>
    <x v="68"/>
    <x v="1"/>
    <x v="1"/>
    <x v="2"/>
    <n v="138.6"/>
  </r>
  <r>
    <x v="5"/>
    <x v="8"/>
    <x v="68"/>
    <x v="3"/>
    <x v="1"/>
    <x v="0"/>
    <n v="149.80000000000001"/>
  </r>
  <r>
    <x v="5"/>
    <x v="8"/>
    <x v="68"/>
    <x v="3"/>
    <x v="1"/>
    <x v="1"/>
    <n v="144.69999999999999"/>
  </r>
  <r>
    <x v="5"/>
    <x v="8"/>
    <x v="68"/>
    <x v="3"/>
    <x v="1"/>
    <x v="2"/>
    <n v="137"/>
  </r>
  <r>
    <x v="5"/>
    <x v="8"/>
    <x v="68"/>
    <x v="5"/>
    <x v="2"/>
    <x v="0"/>
    <n v="144.4"/>
  </r>
  <r>
    <x v="5"/>
    <x v="8"/>
    <x v="68"/>
    <x v="5"/>
    <x v="2"/>
    <x v="1"/>
    <n v="142.1"/>
  </r>
  <r>
    <x v="5"/>
    <x v="8"/>
    <x v="68"/>
    <x v="5"/>
    <x v="2"/>
    <x v="2"/>
    <n v="140.4"/>
  </r>
  <r>
    <x v="5"/>
    <x v="8"/>
    <x v="68"/>
    <x v="4"/>
    <x v="0"/>
    <x v="0"/>
    <n v="135.5"/>
  </r>
  <r>
    <x v="5"/>
    <x v="8"/>
    <x v="68"/>
    <x v="4"/>
    <x v="0"/>
    <x v="1"/>
    <n v="133.6"/>
  </r>
  <r>
    <x v="5"/>
    <x v="8"/>
    <x v="68"/>
    <x v="4"/>
    <x v="0"/>
    <x v="2"/>
    <n v="130.5"/>
  </r>
  <r>
    <x v="5"/>
    <x v="8"/>
    <x v="68"/>
    <x v="8"/>
    <x v="0"/>
    <x v="0"/>
    <n v="139.1"/>
  </r>
  <r>
    <x v="5"/>
    <x v="8"/>
    <x v="68"/>
    <x v="8"/>
    <x v="0"/>
    <x v="1"/>
    <n v="138.1"/>
  </r>
  <r>
    <x v="5"/>
    <x v="8"/>
    <x v="68"/>
    <x v="8"/>
    <x v="0"/>
    <x v="2"/>
    <n v="136.4"/>
  </r>
  <r>
    <x v="5"/>
    <x v="8"/>
    <x v="68"/>
    <x v="10"/>
    <x v="1"/>
    <x v="0"/>
    <n v="144.1"/>
  </r>
  <r>
    <x v="5"/>
    <x v="8"/>
    <x v="68"/>
    <x v="10"/>
    <x v="1"/>
    <x v="1"/>
    <n v="137.4"/>
  </r>
  <r>
    <x v="5"/>
    <x v="8"/>
    <x v="68"/>
    <x v="10"/>
    <x v="1"/>
    <x v="2"/>
    <n v="127.9"/>
  </r>
  <r>
    <x v="5"/>
    <x v="8"/>
    <x v="68"/>
    <x v="9"/>
    <x v="0"/>
    <x v="0"/>
    <n v="157.5"/>
  </r>
  <r>
    <x v="5"/>
    <x v="8"/>
    <x v="68"/>
    <x v="9"/>
    <x v="0"/>
    <x v="1"/>
    <n v="154.6"/>
  </r>
  <r>
    <x v="5"/>
    <x v="8"/>
    <x v="68"/>
    <x v="9"/>
    <x v="0"/>
    <x v="2"/>
    <n v="151.30000000000001"/>
  </r>
  <r>
    <x v="5"/>
    <x v="8"/>
    <x v="68"/>
    <x v="13"/>
    <x v="3"/>
    <x v="0"/>
    <n v="144.30000000000001"/>
  </r>
  <r>
    <x v="5"/>
    <x v="8"/>
    <x v="68"/>
    <x v="13"/>
    <x v="3"/>
    <x v="1"/>
    <n v="136.9"/>
  </r>
  <r>
    <x v="5"/>
    <x v="8"/>
    <x v="68"/>
    <x v="13"/>
    <x v="3"/>
    <x v="2"/>
    <n v="124.7"/>
  </r>
  <r>
    <x v="5"/>
    <x v="8"/>
    <x v="68"/>
    <x v="15"/>
    <x v="4"/>
    <x v="0"/>
    <n v="139.80000000000001"/>
  </r>
  <r>
    <x v="5"/>
    <x v="8"/>
    <x v="68"/>
    <x v="15"/>
    <x v="4"/>
    <x v="1"/>
    <n v="137.80000000000001"/>
  </r>
  <r>
    <x v="5"/>
    <x v="8"/>
    <x v="68"/>
    <x v="15"/>
    <x v="4"/>
    <x v="2"/>
    <n v="135.4"/>
  </r>
  <r>
    <x v="5"/>
    <x v="8"/>
    <x v="68"/>
    <x v="17"/>
    <x v="5"/>
    <x v="0"/>
    <n v="138.4"/>
  </r>
  <r>
    <x v="5"/>
    <x v="8"/>
    <x v="68"/>
    <x v="17"/>
    <x v="5"/>
    <x v="1"/>
    <n v="136"/>
  </r>
  <r>
    <x v="5"/>
    <x v="8"/>
    <x v="68"/>
    <x v="17"/>
    <x v="5"/>
    <x v="2"/>
    <n v="132"/>
  </r>
  <r>
    <x v="5"/>
    <x v="8"/>
    <x v="68"/>
    <x v="19"/>
    <x v="6"/>
    <x v="0"/>
    <n v="141.80000000000001"/>
  </r>
  <r>
    <x v="5"/>
    <x v="8"/>
    <x v="68"/>
    <x v="19"/>
    <x v="6"/>
    <x v="1"/>
    <n v="137.4"/>
  </r>
  <r>
    <x v="5"/>
    <x v="8"/>
    <x v="68"/>
    <x v="19"/>
    <x v="6"/>
    <x v="2"/>
    <n v="132.5"/>
  </r>
  <r>
    <x v="5"/>
    <x v="8"/>
    <x v="68"/>
    <x v="21"/>
    <x v="6"/>
    <x v="0"/>
    <n v="0"/>
  </r>
  <r>
    <x v="5"/>
    <x v="8"/>
    <x v="68"/>
    <x v="21"/>
    <x v="6"/>
    <x v="1"/>
    <n v="143.19999999999999"/>
  </r>
  <r>
    <x v="5"/>
    <x v="8"/>
    <x v="68"/>
    <x v="21"/>
    <x v="6"/>
    <x v="2"/>
    <n v="143.19999999999999"/>
  </r>
  <r>
    <x v="5"/>
    <x v="8"/>
    <x v="68"/>
    <x v="2"/>
    <x v="0"/>
    <x v="0"/>
    <n v="145.69999999999999"/>
  </r>
  <r>
    <x v="5"/>
    <x v="8"/>
    <x v="68"/>
    <x v="2"/>
    <x v="0"/>
    <x v="1"/>
    <n v="146.6"/>
  </r>
  <r>
    <x v="5"/>
    <x v="8"/>
    <x v="68"/>
    <x v="2"/>
    <x v="0"/>
    <x v="2"/>
    <n v="148.19999999999999"/>
  </r>
  <r>
    <x v="5"/>
    <x v="8"/>
    <x v="68"/>
    <x v="6"/>
    <x v="0"/>
    <x v="0"/>
    <n v="142.9"/>
  </r>
  <r>
    <x v="5"/>
    <x v="8"/>
    <x v="68"/>
    <x v="6"/>
    <x v="0"/>
    <x v="1"/>
    <n v="142.1"/>
  </r>
  <r>
    <x v="5"/>
    <x v="8"/>
    <x v="68"/>
    <x v="6"/>
    <x v="0"/>
    <x v="2"/>
    <n v="140.69999999999999"/>
  </r>
  <r>
    <x v="5"/>
    <x v="8"/>
    <x v="68"/>
    <x v="23"/>
    <x v="7"/>
    <x v="0"/>
    <n v="135.1"/>
  </r>
  <r>
    <x v="5"/>
    <x v="8"/>
    <x v="68"/>
    <x v="23"/>
    <x v="7"/>
    <x v="1"/>
    <n v="132.1"/>
  </r>
  <r>
    <x v="5"/>
    <x v="8"/>
    <x v="68"/>
    <x v="23"/>
    <x v="7"/>
    <x v="2"/>
    <n v="128.9"/>
  </r>
  <r>
    <x v="5"/>
    <x v="8"/>
    <x v="68"/>
    <x v="18"/>
    <x v="0"/>
    <x v="0"/>
    <n v="132.19999999999999"/>
  </r>
  <r>
    <x v="5"/>
    <x v="8"/>
    <x v="68"/>
    <x v="18"/>
    <x v="0"/>
    <x v="1"/>
    <n v="129.9"/>
  </r>
  <r>
    <x v="5"/>
    <x v="8"/>
    <x v="68"/>
    <x v="18"/>
    <x v="0"/>
    <x v="2"/>
    <n v="126.6"/>
  </r>
  <r>
    <x v="5"/>
    <x v="8"/>
    <x v="68"/>
    <x v="7"/>
    <x v="0"/>
    <x v="0"/>
    <n v="123.6"/>
  </r>
  <r>
    <x v="5"/>
    <x v="8"/>
    <x v="68"/>
    <x v="7"/>
    <x v="0"/>
    <x v="1"/>
    <n v="121"/>
  </r>
  <r>
    <x v="5"/>
    <x v="8"/>
    <x v="68"/>
    <x v="7"/>
    <x v="0"/>
    <x v="2"/>
    <n v="116.4"/>
  </r>
  <r>
    <x v="5"/>
    <x v="8"/>
    <x v="68"/>
    <x v="22"/>
    <x v="7"/>
    <x v="0"/>
    <n v="157"/>
  </r>
  <r>
    <x v="5"/>
    <x v="8"/>
    <x v="68"/>
    <x v="22"/>
    <x v="7"/>
    <x v="1"/>
    <n v="157.9"/>
  </r>
  <r>
    <x v="5"/>
    <x v="8"/>
    <x v="68"/>
    <x v="22"/>
    <x v="7"/>
    <x v="2"/>
    <n v="160.30000000000001"/>
  </r>
  <r>
    <x v="5"/>
    <x v="8"/>
    <x v="68"/>
    <x v="24"/>
    <x v="7"/>
    <x v="0"/>
    <n v="131.19999999999999"/>
  </r>
  <r>
    <x v="5"/>
    <x v="8"/>
    <x v="68"/>
    <x v="24"/>
    <x v="7"/>
    <x v="1"/>
    <n v="129.9"/>
  </r>
  <r>
    <x v="5"/>
    <x v="8"/>
    <x v="68"/>
    <x v="24"/>
    <x v="7"/>
    <x v="2"/>
    <n v="128.1"/>
  </r>
  <r>
    <x v="5"/>
    <x v="8"/>
    <x v="68"/>
    <x v="20"/>
    <x v="0"/>
    <x v="0"/>
    <n v="154.30000000000001"/>
  </r>
  <r>
    <x v="5"/>
    <x v="8"/>
    <x v="68"/>
    <x v="20"/>
    <x v="0"/>
    <x v="1"/>
    <n v="151.69999999999999"/>
  </r>
  <r>
    <x v="5"/>
    <x v="8"/>
    <x v="68"/>
    <x v="20"/>
    <x v="0"/>
    <x v="2"/>
    <n v="148.69999999999999"/>
  </r>
  <r>
    <x v="5"/>
    <x v="8"/>
    <x v="68"/>
    <x v="12"/>
    <x v="0"/>
    <x v="0"/>
    <n v="127.2"/>
  </r>
  <r>
    <x v="5"/>
    <x v="8"/>
    <x v="68"/>
    <x v="12"/>
    <x v="0"/>
    <x v="1"/>
    <n v="122.3"/>
  </r>
  <r>
    <x v="5"/>
    <x v="8"/>
    <x v="68"/>
    <x v="12"/>
    <x v="0"/>
    <x v="2"/>
    <n v="112.8"/>
  </r>
  <r>
    <x v="5"/>
    <x v="8"/>
    <x v="68"/>
    <x v="26"/>
    <x v="9"/>
    <x v="0"/>
    <n v="136.80000000000001"/>
  </r>
  <r>
    <x v="5"/>
    <x v="8"/>
    <x v="68"/>
    <x v="26"/>
    <x v="9"/>
    <x v="1"/>
    <n v="131.80000000000001"/>
  </r>
  <r>
    <x v="5"/>
    <x v="8"/>
    <x v="68"/>
    <x v="26"/>
    <x v="9"/>
    <x v="2"/>
    <n v="128"/>
  </r>
  <r>
    <x v="5"/>
    <x v="8"/>
    <x v="68"/>
    <x v="16"/>
    <x v="0"/>
    <x v="0"/>
    <n v="137.4"/>
  </r>
  <r>
    <x v="5"/>
    <x v="8"/>
    <x v="68"/>
    <x v="16"/>
    <x v="0"/>
    <x v="1"/>
    <n v="138.1"/>
  </r>
  <r>
    <x v="5"/>
    <x v="8"/>
    <x v="68"/>
    <x v="16"/>
    <x v="0"/>
    <x v="2"/>
    <n v="139.6"/>
  </r>
  <r>
    <x v="5"/>
    <x v="8"/>
    <x v="68"/>
    <x v="14"/>
    <x v="0"/>
    <x v="0"/>
    <n v="111.8"/>
  </r>
  <r>
    <x v="5"/>
    <x v="8"/>
    <x v="68"/>
    <x v="14"/>
    <x v="0"/>
    <x v="1"/>
    <n v="109.6"/>
  </r>
  <r>
    <x v="5"/>
    <x v="8"/>
    <x v="68"/>
    <x v="14"/>
    <x v="0"/>
    <x v="2"/>
    <n v="105.3"/>
  </r>
  <r>
    <x v="5"/>
    <x v="8"/>
    <x v="68"/>
    <x v="25"/>
    <x v="8"/>
    <x v="0"/>
    <n v="126.4"/>
  </r>
  <r>
    <x v="5"/>
    <x v="8"/>
    <x v="68"/>
    <x v="25"/>
    <x v="8"/>
    <x v="1"/>
    <n v="122.9"/>
  </r>
  <r>
    <x v="5"/>
    <x v="8"/>
    <x v="68"/>
    <x v="25"/>
    <x v="8"/>
    <x v="2"/>
    <n v="119.8"/>
  </r>
  <r>
    <x v="5"/>
    <x v="8"/>
    <x v="68"/>
    <x v="11"/>
    <x v="0"/>
    <x v="0"/>
    <n v="137.80000000000001"/>
  </r>
  <r>
    <x v="5"/>
    <x v="8"/>
    <x v="68"/>
    <x v="11"/>
    <x v="0"/>
    <x v="1"/>
    <n v="135.6"/>
  </r>
  <r>
    <x v="5"/>
    <x v="8"/>
    <x v="68"/>
    <x v="11"/>
    <x v="0"/>
    <x v="2"/>
    <n v="131.4"/>
  </r>
  <r>
    <x v="5"/>
    <x v="9"/>
    <x v="69"/>
    <x v="0"/>
    <x v="0"/>
    <x v="0"/>
    <n v="137.1"/>
  </r>
  <r>
    <x v="5"/>
    <x v="9"/>
    <x v="69"/>
    <x v="0"/>
    <x v="0"/>
    <x v="1"/>
    <n v="137.4"/>
  </r>
  <r>
    <x v="5"/>
    <x v="9"/>
    <x v="69"/>
    <x v="0"/>
    <x v="0"/>
    <x v="2"/>
    <n v="138.1"/>
  </r>
  <r>
    <x v="5"/>
    <x v="9"/>
    <x v="69"/>
    <x v="1"/>
    <x v="1"/>
    <x v="0"/>
    <n v="151.69999999999999"/>
  </r>
  <r>
    <x v="5"/>
    <x v="9"/>
    <x v="69"/>
    <x v="1"/>
    <x v="1"/>
    <x v="1"/>
    <n v="148"/>
  </r>
  <r>
    <x v="5"/>
    <x v="9"/>
    <x v="69"/>
    <x v="1"/>
    <x v="1"/>
    <x v="2"/>
    <n v="142.4"/>
  </r>
  <r>
    <x v="5"/>
    <x v="9"/>
    <x v="69"/>
    <x v="3"/>
    <x v="1"/>
    <x v="0"/>
    <n v="150.80000000000001"/>
  </r>
  <r>
    <x v="5"/>
    <x v="9"/>
    <x v="69"/>
    <x v="3"/>
    <x v="1"/>
    <x v="1"/>
    <n v="146.69999999999999"/>
  </r>
  <r>
    <x v="5"/>
    <x v="9"/>
    <x v="69"/>
    <x v="3"/>
    <x v="1"/>
    <x v="2"/>
    <n v="140.5"/>
  </r>
  <r>
    <x v="5"/>
    <x v="9"/>
    <x v="69"/>
    <x v="5"/>
    <x v="2"/>
    <x v="0"/>
    <n v="150.19999999999999"/>
  </r>
  <r>
    <x v="5"/>
    <x v="9"/>
    <x v="69"/>
    <x v="5"/>
    <x v="2"/>
    <x v="1"/>
    <n v="147.80000000000001"/>
  </r>
  <r>
    <x v="5"/>
    <x v="9"/>
    <x v="69"/>
    <x v="5"/>
    <x v="2"/>
    <x v="2"/>
    <n v="146.1"/>
  </r>
  <r>
    <x v="5"/>
    <x v="9"/>
    <x v="69"/>
    <x v="4"/>
    <x v="0"/>
    <x v="0"/>
    <n v="136.69999999999999"/>
  </r>
  <r>
    <x v="5"/>
    <x v="9"/>
    <x v="69"/>
    <x v="4"/>
    <x v="0"/>
    <x v="1"/>
    <n v="137.1"/>
  </r>
  <r>
    <x v="5"/>
    <x v="9"/>
    <x v="69"/>
    <x v="4"/>
    <x v="0"/>
    <x v="2"/>
    <n v="137.80000000000001"/>
  </r>
  <r>
    <x v="5"/>
    <x v="9"/>
    <x v="69"/>
    <x v="8"/>
    <x v="0"/>
    <x v="0"/>
    <n v="140"/>
  </r>
  <r>
    <x v="5"/>
    <x v="9"/>
    <x v="69"/>
    <x v="8"/>
    <x v="0"/>
    <x v="1"/>
    <n v="139.69999999999999"/>
  </r>
  <r>
    <x v="5"/>
    <x v="9"/>
    <x v="69"/>
    <x v="8"/>
    <x v="0"/>
    <x v="2"/>
    <n v="139.1"/>
  </r>
  <r>
    <x v="5"/>
    <x v="9"/>
    <x v="69"/>
    <x v="10"/>
    <x v="1"/>
    <x v="0"/>
    <n v="145.5"/>
  </r>
  <r>
    <x v="5"/>
    <x v="9"/>
    <x v="69"/>
    <x v="10"/>
    <x v="1"/>
    <x v="1"/>
    <n v="139.1"/>
  </r>
  <r>
    <x v="5"/>
    <x v="9"/>
    <x v="69"/>
    <x v="10"/>
    <x v="1"/>
    <x v="2"/>
    <n v="130.19999999999999"/>
  </r>
  <r>
    <x v="5"/>
    <x v="9"/>
    <x v="69"/>
    <x v="9"/>
    <x v="0"/>
    <x v="0"/>
    <n v="143.9"/>
  </r>
  <r>
    <x v="5"/>
    <x v="9"/>
    <x v="69"/>
    <x v="9"/>
    <x v="0"/>
    <x v="1"/>
    <n v="142.80000000000001"/>
  </r>
  <r>
    <x v="5"/>
    <x v="9"/>
    <x v="69"/>
    <x v="9"/>
    <x v="0"/>
    <x v="2"/>
    <n v="141.5"/>
  </r>
  <r>
    <x v="5"/>
    <x v="9"/>
    <x v="69"/>
    <x v="13"/>
    <x v="3"/>
    <x v="0"/>
    <n v="150.30000000000001"/>
  </r>
  <r>
    <x v="5"/>
    <x v="9"/>
    <x v="69"/>
    <x v="13"/>
    <x v="3"/>
    <x v="1"/>
    <n v="145.1"/>
  </r>
  <r>
    <x v="5"/>
    <x v="9"/>
    <x v="69"/>
    <x v="13"/>
    <x v="3"/>
    <x v="2"/>
    <n v="136.69999999999999"/>
  </r>
  <r>
    <x v="5"/>
    <x v="9"/>
    <x v="69"/>
    <x v="15"/>
    <x v="4"/>
    <x v="0"/>
    <n v="142.4"/>
  </r>
  <r>
    <x v="5"/>
    <x v="9"/>
    <x v="69"/>
    <x v="15"/>
    <x v="4"/>
    <x v="1"/>
    <n v="140.80000000000001"/>
  </r>
  <r>
    <x v="5"/>
    <x v="9"/>
    <x v="69"/>
    <x v="15"/>
    <x v="4"/>
    <x v="2"/>
    <n v="139"/>
  </r>
  <r>
    <x v="5"/>
    <x v="9"/>
    <x v="69"/>
    <x v="17"/>
    <x v="5"/>
    <x v="0"/>
    <n v="145.4"/>
  </r>
  <r>
    <x v="5"/>
    <x v="9"/>
    <x v="69"/>
    <x v="17"/>
    <x v="5"/>
    <x v="1"/>
    <n v="142.1"/>
  </r>
  <r>
    <x v="5"/>
    <x v="9"/>
    <x v="69"/>
    <x v="17"/>
    <x v="5"/>
    <x v="2"/>
    <n v="136.80000000000001"/>
  </r>
  <r>
    <x v="5"/>
    <x v="9"/>
    <x v="69"/>
    <x v="19"/>
    <x v="6"/>
    <x v="0"/>
    <n v="148"/>
  </r>
  <r>
    <x v="5"/>
    <x v="9"/>
    <x v="69"/>
    <x v="19"/>
    <x v="6"/>
    <x v="1"/>
    <n v="142.19999999999999"/>
  </r>
  <r>
    <x v="5"/>
    <x v="9"/>
    <x v="69"/>
    <x v="19"/>
    <x v="6"/>
    <x v="2"/>
    <n v="135.80000000000001"/>
  </r>
  <r>
    <x v="5"/>
    <x v="9"/>
    <x v="69"/>
    <x v="21"/>
    <x v="6"/>
    <x v="0"/>
    <n v="0"/>
  </r>
  <r>
    <x v="5"/>
    <x v="9"/>
    <x v="69"/>
    <x v="21"/>
    <x v="6"/>
    <x v="1"/>
    <n v="146.9"/>
  </r>
  <r>
    <x v="5"/>
    <x v="9"/>
    <x v="69"/>
    <x v="21"/>
    <x v="6"/>
    <x v="2"/>
    <n v="146.9"/>
  </r>
  <r>
    <x v="5"/>
    <x v="9"/>
    <x v="69"/>
    <x v="2"/>
    <x v="0"/>
    <x v="0"/>
    <n v="150.80000000000001"/>
  </r>
  <r>
    <x v="5"/>
    <x v="9"/>
    <x v="69"/>
    <x v="2"/>
    <x v="0"/>
    <x v="1"/>
    <n v="149.19999999999999"/>
  </r>
  <r>
    <x v="5"/>
    <x v="9"/>
    <x v="69"/>
    <x v="2"/>
    <x v="0"/>
    <x v="2"/>
    <n v="146.30000000000001"/>
  </r>
  <r>
    <x v="5"/>
    <x v="9"/>
    <x v="69"/>
    <x v="6"/>
    <x v="0"/>
    <x v="0"/>
    <n v="141.9"/>
  </r>
  <r>
    <x v="5"/>
    <x v="9"/>
    <x v="69"/>
    <x v="6"/>
    <x v="0"/>
    <x v="1"/>
    <n v="141.80000000000001"/>
  </r>
  <r>
    <x v="5"/>
    <x v="9"/>
    <x v="69"/>
    <x v="6"/>
    <x v="0"/>
    <x v="2"/>
    <n v="141.6"/>
  </r>
  <r>
    <x v="5"/>
    <x v="9"/>
    <x v="69"/>
    <x v="23"/>
    <x v="7"/>
    <x v="0"/>
    <n v="140.1"/>
  </r>
  <r>
    <x v="5"/>
    <x v="9"/>
    <x v="69"/>
    <x v="23"/>
    <x v="7"/>
    <x v="1"/>
    <n v="136.30000000000001"/>
  </r>
  <r>
    <x v="5"/>
    <x v="9"/>
    <x v="69"/>
    <x v="23"/>
    <x v="7"/>
    <x v="2"/>
    <n v="132.19999999999999"/>
  </r>
  <r>
    <x v="5"/>
    <x v="9"/>
    <x v="69"/>
    <x v="18"/>
    <x v="0"/>
    <x v="0"/>
    <n v="137.5"/>
  </r>
  <r>
    <x v="5"/>
    <x v="9"/>
    <x v="69"/>
    <x v="18"/>
    <x v="0"/>
    <x v="1"/>
    <n v="133.5"/>
  </r>
  <r>
    <x v="5"/>
    <x v="9"/>
    <x v="69"/>
    <x v="18"/>
    <x v="0"/>
    <x v="2"/>
    <n v="128"/>
  </r>
  <r>
    <x v="5"/>
    <x v="9"/>
    <x v="69"/>
    <x v="7"/>
    <x v="0"/>
    <x v="0"/>
    <n v="122.8"/>
  </r>
  <r>
    <x v="5"/>
    <x v="9"/>
    <x v="69"/>
    <x v="7"/>
    <x v="0"/>
    <x v="1"/>
    <n v="121.1"/>
  </r>
  <r>
    <x v="5"/>
    <x v="9"/>
    <x v="69"/>
    <x v="7"/>
    <x v="0"/>
    <x v="2"/>
    <n v="118.1"/>
  </r>
  <r>
    <x v="5"/>
    <x v="9"/>
    <x v="69"/>
    <x v="22"/>
    <x v="7"/>
    <x v="0"/>
    <n v="161.9"/>
  </r>
  <r>
    <x v="5"/>
    <x v="9"/>
    <x v="69"/>
    <x v="22"/>
    <x v="7"/>
    <x v="1"/>
    <n v="162.6"/>
  </r>
  <r>
    <x v="5"/>
    <x v="9"/>
    <x v="69"/>
    <x v="22"/>
    <x v="7"/>
    <x v="2"/>
    <n v="164.4"/>
  </r>
  <r>
    <x v="5"/>
    <x v="9"/>
    <x v="69"/>
    <x v="24"/>
    <x v="7"/>
    <x v="0"/>
    <n v="133.1"/>
  </r>
  <r>
    <x v="5"/>
    <x v="9"/>
    <x v="69"/>
    <x v="24"/>
    <x v="7"/>
    <x v="1"/>
    <n v="132"/>
  </r>
  <r>
    <x v="5"/>
    <x v="9"/>
    <x v="69"/>
    <x v="24"/>
    <x v="7"/>
    <x v="2"/>
    <n v="130.5"/>
  </r>
  <r>
    <x v="5"/>
    <x v="9"/>
    <x v="69"/>
    <x v="20"/>
    <x v="0"/>
    <x v="0"/>
    <n v="156.1"/>
  </r>
  <r>
    <x v="5"/>
    <x v="9"/>
    <x v="69"/>
    <x v="20"/>
    <x v="0"/>
    <x v="1"/>
    <n v="154.5"/>
  </r>
  <r>
    <x v="5"/>
    <x v="9"/>
    <x v="69"/>
    <x v="20"/>
    <x v="0"/>
    <x v="2"/>
    <n v="152.6"/>
  </r>
  <r>
    <x v="5"/>
    <x v="9"/>
    <x v="69"/>
    <x v="12"/>
    <x v="0"/>
    <x v="0"/>
    <n v="121"/>
  </r>
  <r>
    <x v="5"/>
    <x v="9"/>
    <x v="69"/>
    <x v="12"/>
    <x v="0"/>
    <x v="1"/>
    <n v="119.1"/>
  </r>
  <r>
    <x v="5"/>
    <x v="9"/>
    <x v="69"/>
    <x v="12"/>
    <x v="0"/>
    <x v="2"/>
    <n v="115.3"/>
  </r>
  <r>
    <x v="5"/>
    <x v="9"/>
    <x v="69"/>
    <x v="26"/>
    <x v="9"/>
    <x v="0"/>
    <n v="143.1"/>
  </r>
  <r>
    <x v="5"/>
    <x v="9"/>
    <x v="69"/>
    <x v="26"/>
    <x v="9"/>
    <x v="1"/>
    <n v="136.5"/>
  </r>
  <r>
    <x v="5"/>
    <x v="9"/>
    <x v="69"/>
    <x v="26"/>
    <x v="9"/>
    <x v="2"/>
    <n v="131.30000000000001"/>
  </r>
  <r>
    <x v="5"/>
    <x v="9"/>
    <x v="69"/>
    <x v="16"/>
    <x v="0"/>
    <x v="0"/>
    <n v="140.6"/>
  </r>
  <r>
    <x v="5"/>
    <x v="9"/>
    <x v="69"/>
    <x v="16"/>
    <x v="0"/>
    <x v="1"/>
    <n v="140.9"/>
  </r>
  <r>
    <x v="5"/>
    <x v="9"/>
    <x v="69"/>
    <x v="16"/>
    <x v="0"/>
    <x v="2"/>
    <n v="141.4"/>
  </r>
  <r>
    <x v="5"/>
    <x v="9"/>
    <x v="69"/>
    <x v="14"/>
    <x v="0"/>
    <x v="0"/>
    <n v="111.6"/>
  </r>
  <r>
    <x v="5"/>
    <x v="9"/>
    <x v="69"/>
    <x v="14"/>
    <x v="0"/>
    <x v="1"/>
    <n v="111.9"/>
  </r>
  <r>
    <x v="5"/>
    <x v="9"/>
    <x v="69"/>
    <x v="14"/>
    <x v="0"/>
    <x v="2"/>
    <n v="112.5"/>
  </r>
  <r>
    <x v="5"/>
    <x v="9"/>
    <x v="69"/>
    <x v="25"/>
    <x v="8"/>
    <x v="0"/>
    <n v="130.30000000000001"/>
  </r>
  <r>
    <x v="5"/>
    <x v="9"/>
    <x v="69"/>
    <x v="25"/>
    <x v="8"/>
    <x v="1"/>
    <n v="125.5"/>
  </r>
  <r>
    <x v="5"/>
    <x v="9"/>
    <x v="69"/>
    <x v="25"/>
    <x v="8"/>
    <x v="2"/>
    <n v="121.2"/>
  </r>
  <r>
    <x v="5"/>
    <x v="9"/>
    <x v="69"/>
    <x v="11"/>
    <x v="0"/>
    <x v="0"/>
    <n v="147.5"/>
  </r>
  <r>
    <x v="5"/>
    <x v="9"/>
    <x v="69"/>
    <x v="11"/>
    <x v="0"/>
    <x v="1"/>
    <n v="146.69999999999999"/>
  </r>
  <r>
    <x v="5"/>
    <x v="9"/>
    <x v="69"/>
    <x v="11"/>
    <x v="0"/>
    <x v="2"/>
    <n v="145.19999999999999"/>
  </r>
  <r>
    <x v="5"/>
    <x v="10"/>
    <x v="70"/>
    <x v="0"/>
    <x v="0"/>
    <x v="0"/>
    <n v="139.30000000000001"/>
  </r>
  <r>
    <x v="5"/>
    <x v="10"/>
    <x v="70"/>
    <x v="0"/>
    <x v="0"/>
    <x v="1"/>
    <n v="137.4"/>
  </r>
  <r>
    <x v="5"/>
    <x v="10"/>
    <x v="70"/>
    <x v="0"/>
    <x v="0"/>
    <x v="2"/>
    <n v="137.6"/>
  </r>
  <r>
    <x v="5"/>
    <x v="10"/>
    <x v="70"/>
    <x v="1"/>
    <x v="1"/>
    <x v="0"/>
    <n v="150.69999999999999"/>
  </r>
  <r>
    <x v="5"/>
    <x v="10"/>
    <x v="70"/>
    <x v="1"/>
    <x v="1"/>
    <x v="1"/>
    <n v="148"/>
  </r>
  <r>
    <x v="5"/>
    <x v="10"/>
    <x v="70"/>
    <x v="1"/>
    <x v="1"/>
    <x v="2"/>
    <n v="141.5"/>
  </r>
  <r>
    <x v="5"/>
    <x v="10"/>
    <x v="70"/>
    <x v="3"/>
    <x v="1"/>
    <x v="0"/>
    <n v="149.80000000000001"/>
  </r>
  <r>
    <x v="5"/>
    <x v="10"/>
    <x v="70"/>
    <x v="3"/>
    <x v="1"/>
    <x v="1"/>
    <n v="146.80000000000001"/>
  </r>
  <r>
    <x v="5"/>
    <x v="10"/>
    <x v="70"/>
    <x v="3"/>
    <x v="1"/>
    <x v="2"/>
    <n v="139.69999999999999"/>
  </r>
  <r>
    <x v="5"/>
    <x v="10"/>
    <x v="70"/>
    <x v="5"/>
    <x v="2"/>
    <x v="0"/>
    <n v="148"/>
  </r>
  <r>
    <x v="5"/>
    <x v="10"/>
    <x v="70"/>
    <x v="5"/>
    <x v="2"/>
    <x v="1"/>
    <n v="147.80000000000001"/>
  </r>
  <r>
    <x v="5"/>
    <x v="10"/>
    <x v="70"/>
    <x v="5"/>
    <x v="2"/>
    <x v="2"/>
    <n v="145.5"/>
  </r>
  <r>
    <x v="5"/>
    <x v="10"/>
    <x v="70"/>
    <x v="4"/>
    <x v="0"/>
    <x v="0"/>
    <n v="134.6"/>
  </r>
  <r>
    <x v="5"/>
    <x v="10"/>
    <x v="70"/>
    <x v="4"/>
    <x v="0"/>
    <x v="1"/>
    <n v="137.30000000000001"/>
  </r>
  <r>
    <x v="5"/>
    <x v="10"/>
    <x v="70"/>
    <x v="4"/>
    <x v="0"/>
    <x v="2"/>
    <n v="133.5"/>
  </r>
  <r>
    <x v="5"/>
    <x v="10"/>
    <x v="70"/>
    <x v="8"/>
    <x v="0"/>
    <x v="0"/>
    <n v="140.19999999999999"/>
  </r>
  <r>
    <x v="5"/>
    <x v="10"/>
    <x v="70"/>
    <x v="8"/>
    <x v="0"/>
    <x v="1"/>
    <n v="139.69999999999999"/>
  </r>
  <r>
    <x v="5"/>
    <x v="10"/>
    <x v="70"/>
    <x v="8"/>
    <x v="0"/>
    <x v="2"/>
    <n v="139.4"/>
  </r>
  <r>
    <x v="5"/>
    <x v="10"/>
    <x v="70"/>
    <x v="10"/>
    <x v="1"/>
    <x v="0"/>
    <n v="144.5"/>
  </r>
  <r>
    <x v="5"/>
    <x v="10"/>
    <x v="70"/>
    <x v="10"/>
    <x v="1"/>
    <x v="1"/>
    <n v="139.19999999999999"/>
  </r>
  <r>
    <x v="5"/>
    <x v="10"/>
    <x v="70"/>
    <x v="10"/>
    <x v="1"/>
    <x v="2"/>
    <n v="129.80000000000001"/>
  </r>
  <r>
    <x v="5"/>
    <x v="10"/>
    <x v="70"/>
    <x v="9"/>
    <x v="0"/>
    <x v="0"/>
    <n v="144.5"/>
  </r>
  <r>
    <x v="5"/>
    <x v="10"/>
    <x v="70"/>
    <x v="9"/>
    <x v="0"/>
    <x v="1"/>
    <n v="142.5"/>
  </r>
  <r>
    <x v="5"/>
    <x v="10"/>
    <x v="70"/>
    <x v="9"/>
    <x v="0"/>
    <x v="2"/>
    <n v="139.5"/>
  </r>
  <r>
    <x v="5"/>
    <x v="10"/>
    <x v="70"/>
    <x v="13"/>
    <x v="3"/>
    <x v="0"/>
    <n v="149.69999999999999"/>
  </r>
  <r>
    <x v="5"/>
    <x v="10"/>
    <x v="70"/>
    <x v="13"/>
    <x v="3"/>
    <x v="1"/>
    <n v="145.30000000000001"/>
  </r>
  <r>
    <x v="5"/>
    <x v="10"/>
    <x v="70"/>
    <x v="13"/>
    <x v="3"/>
    <x v="2"/>
    <n v="133.4"/>
  </r>
  <r>
    <x v="5"/>
    <x v="10"/>
    <x v="70"/>
    <x v="15"/>
    <x v="4"/>
    <x v="0"/>
    <n v="142.19999999999999"/>
  </r>
  <r>
    <x v="5"/>
    <x v="10"/>
    <x v="70"/>
    <x v="15"/>
    <x v="4"/>
    <x v="1"/>
    <n v="140.80000000000001"/>
  </r>
  <r>
    <x v="5"/>
    <x v="10"/>
    <x v="70"/>
    <x v="15"/>
    <x v="4"/>
    <x v="2"/>
    <n v="138.9"/>
  </r>
  <r>
    <x v="5"/>
    <x v="10"/>
    <x v="70"/>
    <x v="17"/>
    <x v="5"/>
    <x v="0"/>
    <n v="144.80000000000001"/>
  </r>
  <r>
    <x v="5"/>
    <x v="10"/>
    <x v="70"/>
    <x v="17"/>
    <x v="5"/>
    <x v="1"/>
    <n v="142.1"/>
  </r>
  <r>
    <x v="5"/>
    <x v="10"/>
    <x v="70"/>
    <x v="17"/>
    <x v="5"/>
    <x v="2"/>
    <n v="136.19999999999999"/>
  </r>
  <r>
    <x v="5"/>
    <x v="10"/>
    <x v="70"/>
    <x v="19"/>
    <x v="6"/>
    <x v="0"/>
    <n v="147.5"/>
  </r>
  <r>
    <x v="5"/>
    <x v="10"/>
    <x v="70"/>
    <x v="19"/>
    <x v="6"/>
    <x v="1"/>
    <n v="142.19999999999999"/>
  </r>
  <r>
    <x v="5"/>
    <x v="10"/>
    <x v="70"/>
    <x v="19"/>
    <x v="6"/>
    <x v="2"/>
    <n v="135.1"/>
  </r>
  <r>
    <x v="5"/>
    <x v="10"/>
    <x v="70"/>
    <x v="21"/>
    <x v="6"/>
    <x v="0"/>
    <n v="0"/>
  </r>
  <r>
    <x v="5"/>
    <x v="10"/>
    <x v="70"/>
    <x v="21"/>
    <x v="6"/>
    <x v="1"/>
    <n v="146.9"/>
  </r>
  <r>
    <x v="5"/>
    <x v="10"/>
    <x v="70"/>
    <x v="21"/>
    <x v="6"/>
    <x v="2"/>
    <n v="146.30000000000001"/>
  </r>
  <r>
    <x v="5"/>
    <x v="10"/>
    <x v="70"/>
    <x v="2"/>
    <x v="0"/>
    <x v="0"/>
    <n v="147.6"/>
  </r>
  <r>
    <x v="5"/>
    <x v="10"/>
    <x v="70"/>
    <x v="2"/>
    <x v="0"/>
    <x v="1"/>
    <n v="149.5"/>
  </r>
  <r>
    <x v="5"/>
    <x v="10"/>
    <x v="70"/>
    <x v="2"/>
    <x v="0"/>
    <x v="2"/>
    <n v="144.9"/>
  </r>
  <r>
    <x v="5"/>
    <x v="10"/>
    <x v="70"/>
    <x v="6"/>
    <x v="0"/>
    <x v="0"/>
    <n v="141.9"/>
  </r>
  <r>
    <x v="5"/>
    <x v="10"/>
    <x v="70"/>
    <x v="6"/>
    <x v="0"/>
    <x v="1"/>
    <n v="141.9"/>
  </r>
  <r>
    <x v="5"/>
    <x v="10"/>
    <x v="70"/>
    <x v="6"/>
    <x v="0"/>
    <x v="2"/>
    <n v="141.5"/>
  </r>
  <r>
    <x v="5"/>
    <x v="10"/>
    <x v="70"/>
    <x v="23"/>
    <x v="7"/>
    <x v="0"/>
    <n v="139.80000000000001"/>
  </r>
  <r>
    <x v="5"/>
    <x v="10"/>
    <x v="70"/>
    <x v="23"/>
    <x v="7"/>
    <x v="1"/>
    <n v="136.30000000000001"/>
  </r>
  <r>
    <x v="5"/>
    <x v="10"/>
    <x v="70"/>
    <x v="23"/>
    <x v="7"/>
    <x v="2"/>
    <n v="132.5"/>
  </r>
  <r>
    <x v="5"/>
    <x v="10"/>
    <x v="70"/>
    <x v="18"/>
    <x v="0"/>
    <x v="0"/>
    <n v="134.6"/>
  </r>
  <r>
    <x v="5"/>
    <x v="10"/>
    <x v="70"/>
    <x v="18"/>
    <x v="0"/>
    <x v="1"/>
    <n v="133.6"/>
  </r>
  <r>
    <x v="5"/>
    <x v="10"/>
    <x v="70"/>
    <x v="18"/>
    <x v="0"/>
    <x v="2"/>
    <n v="127.6"/>
  </r>
  <r>
    <x v="5"/>
    <x v="10"/>
    <x v="70"/>
    <x v="7"/>
    <x v="0"/>
    <x v="0"/>
    <n v="123.5"/>
  </r>
  <r>
    <x v="5"/>
    <x v="10"/>
    <x v="70"/>
    <x v="7"/>
    <x v="0"/>
    <x v="1"/>
    <n v="121.1"/>
  </r>
  <r>
    <x v="5"/>
    <x v="10"/>
    <x v="70"/>
    <x v="7"/>
    <x v="0"/>
    <x v="2"/>
    <n v="118"/>
  </r>
  <r>
    <x v="5"/>
    <x v="10"/>
    <x v="70"/>
    <x v="22"/>
    <x v="7"/>
    <x v="0"/>
    <n v="159.6"/>
  </r>
  <r>
    <x v="5"/>
    <x v="10"/>
    <x v="70"/>
    <x v="22"/>
    <x v="7"/>
    <x v="1"/>
    <n v="162.6"/>
  </r>
  <r>
    <x v="5"/>
    <x v="10"/>
    <x v="70"/>
    <x v="22"/>
    <x v="7"/>
    <x v="2"/>
    <n v="164"/>
  </r>
  <r>
    <x v="5"/>
    <x v="10"/>
    <x v="70"/>
    <x v="24"/>
    <x v="7"/>
    <x v="0"/>
    <n v="134.4"/>
  </r>
  <r>
    <x v="5"/>
    <x v="10"/>
    <x v="70"/>
    <x v="24"/>
    <x v="7"/>
    <x v="1"/>
    <n v="132"/>
  </r>
  <r>
    <x v="5"/>
    <x v="10"/>
    <x v="70"/>
    <x v="24"/>
    <x v="7"/>
    <x v="2"/>
    <n v="130.4"/>
  </r>
  <r>
    <x v="5"/>
    <x v="10"/>
    <x v="70"/>
    <x v="20"/>
    <x v="0"/>
    <x v="0"/>
    <n v="155.19999999999999"/>
  </r>
  <r>
    <x v="5"/>
    <x v="10"/>
    <x v="70"/>
    <x v="20"/>
    <x v="0"/>
    <x v="1"/>
    <n v="154.5"/>
  </r>
  <r>
    <x v="5"/>
    <x v="10"/>
    <x v="70"/>
    <x v="20"/>
    <x v="0"/>
    <x v="2"/>
    <n v="152"/>
  </r>
  <r>
    <x v="5"/>
    <x v="10"/>
    <x v="70"/>
    <x v="12"/>
    <x v="0"/>
    <x v="0"/>
    <n v="121.4"/>
  </r>
  <r>
    <x v="5"/>
    <x v="10"/>
    <x v="70"/>
    <x v="12"/>
    <x v="0"/>
    <x v="1"/>
    <n v="119.1"/>
  </r>
  <r>
    <x v="5"/>
    <x v="10"/>
    <x v="70"/>
    <x v="12"/>
    <x v="0"/>
    <x v="2"/>
    <n v="113.2"/>
  </r>
  <r>
    <x v="5"/>
    <x v="10"/>
    <x v="70"/>
    <x v="26"/>
    <x v="9"/>
    <x v="0"/>
    <n v="140.1"/>
  </r>
  <r>
    <x v="5"/>
    <x v="10"/>
    <x v="70"/>
    <x v="26"/>
    <x v="9"/>
    <x v="1"/>
    <n v="136.5"/>
  </r>
  <r>
    <x v="5"/>
    <x v="10"/>
    <x v="70"/>
    <x v="26"/>
    <x v="9"/>
    <x v="2"/>
    <n v="130.69999999999999"/>
  </r>
  <r>
    <x v="5"/>
    <x v="10"/>
    <x v="70"/>
    <x v="16"/>
    <x v="0"/>
    <x v="0"/>
    <n v="139.5"/>
  </r>
  <r>
    <x v="5"/>
    <x v="10"/>
    <x v="70"/>
    <x v="16"/>
    <x v="0"/>
    <x v="1"/>
    <n v="141"/>
  </r>
  <r>
    <x v="5"/>
    <x v="10"/>
    <x v="70"/>
    <x v="16"/>
    <x v="0"/>
    <x v="2"/>
    <n v="141.1"/>
  </r>
  <r>
    <x v="5"/>
    <x v="10"/>
    <x v="70"/>
    <x v="14"/>
    <x v="0"/>
    <x v="0"/>
    <n v="112.3"/>
  </r>
  <r>
    <x v="5"/>
    <x v="10"/>
    <x v="70"/>
    <x v="14"/>
    <x v="0"/>
    <x v="1"/>
    <n v="111.9"/>
  </r>
  <r>
    <x v="5"/>
    <x v="10"/>
    <x v="70"/>
    <x v="14"/>
    <x v="0"/>
    <x v="2"/>
    <n v="112.8"/>
  </r>
  <r>
    <x v="5"/>
    <x v="10"/>
    <x v="70"/>
    <x v="25"/>
    <x v="8"/>
    <x v="0"/>
    <n v="130.80000000000001"/>
  </r>
  <r>
    <x v="5"/>
    <x v="10"/>
    <x v="70"/>
    <x v="25"/>
    <x v="8"/>
    <x v="1"/>
    <n v="125.5"/>
  </r>
  <r>
    <x v="5"/>
    <x v="10"/>
    <x v="70"/>
    <x v="25"/>
    <x v="8"/>
    <x v="2"/>
    <n v="123.3"/>
  </r>
  <r>
    <x v="5"/>
    <x v="10"/>
    <x v="70"/>
    <x v="11"/>
    <x v="0"/>
    <x v="0"/>
    <n v="147.6"/>
  </r>
  <r>
    <x v="5"/>
    <x v="10"/>
    <x v="70"/>
    <x v="11"/>
    <x v="0"/>
    <x v="1"/>
    <n v="146.69999999999999"/>
  </r>
  <r>
    <x v="5"/>
    <x v="10"/>
    <x v="70"/>
    <x v="11"/>
    <x v="0"/>
    <x v="2"/>
    <n v="153"/>
  </r>
  <r>
    <x v="5"/>
    <x v="11"/>
    <x v="71"/>
    <x v="0"/>
    <x v="0"/>
    <x v="0"/>
    <n v="139.4"/>
  </r>
  <r>
    <x v="5"/>
    <x v="11"/>
    <x v="71"/>
    <x v="0"/>
    <x v="0"/>
    <x v="1"/>
    <n v="138.6"/>
  </r>
  <r>
    <x v="5"/>
    <x v="11"/>
    <x v="71"/>
    <x v="0"/>
    <x v="0"/>
    <x v="2"/>
    <n v="137"/>
  </r>
  <r>
    <x v="5"/>
    <x v="11"/>
    <x v="71"/>
    <x v="1"/>
    <x v="1"/>
    <x v="0"/>
    <n v="152.1"/>
  </r>
  <r>
    <x v="5"/>
    <x v="11"/>
    <x v="71"/>
    <x v="1"/>
    <x v="1"/>
    <x v="1"/>
    <n v="147.69999999999999"/>
  </r>
  <r>
    <x v="5"/>
    <x v="11"/>
    <x v="71"/>
    <x v="1"/>
    <x v="1"/>
    <x v="2"/>
    <n v="140.80000000000001"/>
  </r>
  <r>
    <x v="5"/>
    <x v="11"/>
    <x v="71"/>
    <x v="3"/>
    <x v="1"/>
    <x v="0"/>
    <n v="151.30000000000001"/>
  </r>
  <r>
    <x v="5"/>
    <x v="11"/>
    <x v="71"/>
    <x v="3"/>
    <x v="1"/>
    <x v="1"/>
    <n v="146.5"/>
  </r>
  <r>
    <x v="5"/>
    <x v="11"/>
    <x v="71"/>
    <x v="3"/>
    <x v="1"/>
    <x v="2"/>
    <n v="139.1"/>
  </r>
  <r>
    <x v="5"/>
    <x v="11"/>
    <x v="71"/>
    <x v="5"/>
    <x v="2"/>
    <x v="0"/>
    <n v="147.6"/>
  </r>
  <r>
    <x v="5"/>
    <x v="11"/>
    <x v="71"/>
    <x v="5"/>
    <x v="2"/>
    <x v="1"/>
    <n v="146.19999999999999"/>
  </r>
  <r>
    <x v="5"/>
    <x v="11"/>
    <x v="71"/>
    <x v="5"/>
    <x v="2"/>
    <x v="2"/>
    <n v="145.19999999999999"/>
  </r>
  <r>
    <x v="5"/>
    <x v="11"/>
    <x v="71"/>
    <x v="4"/>
    <x v="0"/>
    <x v="0"/>
    <n v="136.6"/>
  </r>
  <r>
    <x v="5"/>
    <x v="11"/>
    <x v="71"/>
    <x v="4"/>
    <x v="0"/>
    <x v="1"/>
    <n v="135.1"/>
  </r>
  <r>
    <x v="5"/>
    <x v="11"/>
    <x v="71"/>
    <x v="4"/>
    <x v="0"/>
    <x v="2"/>
    <n v="132.80000000000001"/>
  </r>
  <r>
    <x v="5"/>
    <x v="11"/>
    <x v="71"/>
    <x v="8"/>
    <x v="0"/>
    <x v="0"/>
    <n v="141.30000000000001"/>
  </r>
  <r>
    <x v="5"/>
    <x v="11"/>
    <x v="71"/>
    <x v="8"/>
    <x v="0"/>
    <x v="1"/>
    <n v="140.4"/>
  </r>
  <r>
    <x v="5"/>
    <x v="11"/>
    <x v="71"/>
    <x v="8"/>
    <x v="0"/>
    <x v="2"/>
    <n v="138.9"/>
  </r>
  <r>
    <x v="5"/>
    <x v="11"/>
    <x v="71"/>
    <x v="10"/>
    <x v="1"/>
    <x v="0"/>
    <n v="146.1"/>
  </r>
  <r>
    <x v="5"/>
    <x v="11"/>
    <x v="71"/>
    <x v="10"/>
    <x v="1"/>
    <x v="1"/>
    <n v="139.1"/>
  </r>
  <r>
    <x v="5"/>
    <x v="11"/>
    <x v="71"/>
    <x v="10"/>
    <x v="1"/>
    <x v="2"/>
    <n v="129.30000000000001"/>
  </r>
  <r>
    <x v="5"/>
    <x v="11"/>
    <x v="71"/>
    <x v="9"/>
    <x v="0"/>
    <x v="0"/>
    <n v="150.1"/>
  </r>
  <r>
    <x v="5"/>
    <x v="11"/>
    <x v="71"/>
    <x v="9"/>
    <x v="0"/>
    <x v="1"/>
    <n v="145.4"/>
  </r>
  <r>
    <x v="5"/>
    <x v="11"/>
    <x v="71"/>
    <x v="9"/>
    <x v="0"/>
    <x v="2"/>
    <n v="140"/>
  </r>
  <r>
    <x v="5"/>
    <x v="11"/>
    <x v="71"/>
    <x v="13"/>
    <x v="3"/>
    <x v="0"/>
    <n v="149"/>
  </r>
  <r>
    <x v="5"/>
    <x v="11"/>
    <x v="71"/>
    <x v="13"/>
    <x v="3"/>
    <x v="1"/>
    <n v="142.30000000000001"/>
  </r>
  <r>
    <x v="5"/>
    <x v="11"/>
    <x v="71"/>
    <x v="13"/>
    <x v="3"/>
    <x v="2"/>
    <n v="131.19999999999999"/>
  </r>
  <r>
    <x v="5"/>
    <x v="11"/>
    <x v="71"/>
    <x v="15"/>
    <x v="4"/>
    <x v="0"/>
    <n v="142.1"/>
  </r>
  <r>
    <x v="5"/>
    <x v="11"/>
    <x v="71"/>
    <x v="15"/>
    <x v="4"/>
    <x v="1"/>
    <n v="140.19999999999999"/>
  </r>
  <r>
    <x v="5"/>
    <x v="11"/>
    <x v="71"/>
    <x v="15"/>
    <x v="4"/>
    <x v="2"/>
    <n v="138.1"/>
  </r>
  <r>
    <x v="5"/>
    <x v="11"/>
    <x v="71"/>
    <x v="17"/>
    <x v="5"/>
    <x v="0"/>
    <n v="140"/>
  </r>
  <r>
    <x v="5"/>
    <x v="11"/>
    <x v="71"/>
    <x v="17"/>
    <x v="5"/>
    <x v="1"/>
    <n v="138.4"/>
  </r>
  <r>
    <x v="5"/>
    <x v="11"/>
    <x v="71"/>
    <x v="17"/>
    <x v="5"/>
    <x v="2"/>
    <n v="135.69999999999999"/>
  </r>
  <r>
    <x v="5"/>
    <x v="11"/>
    <x v="71"/>
    <x v="19"/>
    <x v="6"/>
    <x v="0"/>
    <n v="144"/>
  </r>
  <r>
    <x v="5"/>
    <x v="11"/>
    <x v="71"/>
    <x v="19"/>
    <x v="6"/>
    <x v="1"/>
    <n v="139.69999999999999"/>
  </r>
  <r>
    <x v="5"/>
    <x v="11"/>
    <x v="71"/>
    <x v="19"/>
    <x v="6"/>
    <x v="2"/>
    <n v="134.9"/>
  </r>
  <r>
    <x v="5"/>
    <x v="11"/>
    <x v="71"/>
    <x v="21"/>
    <x v="6"/>
    <x v="0"/>
    <n v="0"/>
  </r>
  <r>
    <x v="5"/>
    <x v="11"/>
    <x v="71"/>
    <x v="21"/>
    <x v="6"/>
    <x v="1"/>
    <n v="145.30000000000001"/>
  </r>
  <r>
    <x v="5"/>
    <x v="11"/>
    <x v="71"/>
    <x v="21"/>
    <x v="6"/>
    <x v="2"/>
    <n v="145.30000000000001"/>
  </r>
  <r>
    <x v="5"/>
    <x v="11"/>
    <x v="71"/>
    <x v="2"/>
    <x v="0"/>
    <x v="0"/>
    <n v="147.19999999999999"/>
  </r>
  <r>
    <x v="5"/>
    <x v="11"/>
    <x v="71"/>
    <x v="2"/>
    <x v="0"/>
    <x v="1"/>
    <n v="145.80000000000001"/>
  </r>
  <r>
    <x v="5"/>
    <x v="11"/>
    <x v="71"/>
    <x v="2"/>
    <x v="0"/>
    <x v="2"/>
    <n v="143.1"/>
  </r>
  <r>
    <x v="5"/>
    <x v="11"/>
    <x v="71"/>
    <x v="6"/>
    <x v="0"/>
    <x v="0"/>
    <n v="143.69999999999999"/>
  </r>
  <r>
    <x v="5"/>
    <x v="11"/>
    <x v="71"/>
    <x v="6"/>
    <x v="0"/>
    <x v="1"/>
    <n v="142.9"/>
  </r>
  <r>
    <x v="5"/>
    <x v="11"/>
    <x v="71"/>
    <x v="6"/>
    <x v="0"/>
    <x v="2"/>
    <n v="141.5"/>
  </r>
  <r>
    <x v="5"/>
    <x v="11"/>
    <x v="71"/>
    <x v="23"/>
    <x v="7"/>
    <x v="0"/>
    <n v="137.4"/>
  </r>
  <r>
    <x v="5"/>
    <x v="11"/>
    <x v="71"/>
    <x v="23"/>
    <x v="7"/>
    <x v="1"/>
    <n v="134.69999999999999"/>
  </r>
  <r>
    <x v="5"/>
    <x v="11"/>
    <x v="71"/>
    <x v="23"/>
    <x v="7"/>
    <x v="2"/>
    <n v="131.9"/>
  </r>
  <r>
    <x v="5"/>
    <x v="11"/>
    <x v="71"/>
    <x v="18"/>
    <x v="0"/>
    <x v="0"/>
    <n v="133.1"/>
  </r>
  <r>
    <x v="5"/>
    <x v="11"/>
    <x v="71"/>
    <x v="18"/>
    <x v="0"/>
    <x v="1"/>
    <n v="130.80000000000001"/>
  </r>
  <r>
    <x v="5"/>
    <x v="11"/>
    <x v="71"/>
    <x v="18"/>
    <x v="0"/>
    <x v="2"/>
    <n v="127.7"/>
  </r>
  <r>
    <x v="5"/>
    <x v="11"/>
    <x v="71"/>
    <x v="7"/>
    <x v="0"/>
    <x v="0"/>
    <n v="124.6"/>
  </r>
  <r>
    <x v="5"/>
    <x v="11"/>
    <x v="71"/>
    <x v="7"/>
    <x v="0"/>
    <x v="1"/>
    <n v="122.1"/>
  </r>
  <r>
    <x v="5"/>
    <x v="11"/>
    <x v="71"/>
    <x v="7"/>
    <x v="0"/>
    <x v="2"/>
    <n v="117.8"/>
  </r>
  <r>
    <x v="5"/>
    <x v="11"/>
    <x v="71"/>
    <x v="22"/>
    <x v="7"/>
    <x v="0"/>
    <n v="157.69999999999999"/>
  </r>
  <r>
    <x v="5"/>
    <x v="11"/>
    <x v="71"/>
    <x v="22"/>
    <x v="7"/>
    <x v="1"/>
    <n v="159.19999999999999"/>
  </r>
  <r>
    <x v="5"/>
    <x v="11"/>
    <x v="71"/>
    <x v="22"/>
    <x v="7"/>
    <x v="2"/>
    <n v="163.30000000000001"/>
  </r>
  <r>
    <x v="5"/>
    <x v="11"/>
    <x v="71"/>
    <x v="24"/>
    <x v="7"/>
    <x v="0"/>
    <n v="132"/>
  </r>
  <r>
    <x v="5"/>
    <x v="11"/>
    <x v="71"/>
    <x v="24"/>
    <x v="7"/>
    <x v="1"/>
    <n v="130.9"/>
  </r>
  <r>
    <x v="5"/>
    <x v="11"/>
    <x v="71"/>
    <x v="24"/>
    <x v="7"/>
    <x v="2"/>
    <n v="129.30000000000001"/>
  </r>
  <r>
    <x v="5"/>
    <x v="11"/>
    <x v="71"/>
    <x v="20"/>
    <x v="0"/>
    <x v="0"/>
    <n v="155.9"/>
  </r>
  <r>
    <x v="5"/>
    <x v="11"/>
    <x v="71"/>
    <x v="20"/>
    <x v="0"/>
    <x v="1"/>
    <n v="153.80000000000001"/>
  </r>
  <r>
    <x v="5"/>
    <x v="11"/>
    <x v="71"/>
    <x v="20"/>
    <x v="0"/>
    <x v="2"/>
    <n v="151.30000000000001"/>
  </r>
  <r>
    <x v="5"/>
    <x v="11"/>
    <x v="71"/>
    <x v="12"/>
    <x v="0"/>
    <x v="0"/>
    <n v="125.4"/>
  </r>
  <r>
    <x v="5"/>
    <x v="11"/>
    <x v="71"/>
    <x v="12"/>
    <x v="0"/>
    <x v="1"/>
    <n v="121.4"/>
  </r>
  <r>
    <x v="5"/>
    <x v="11"/>
    <x v="71"/>
    <x v="12"/>
    <x v="0"/>
    <x v="2"/>
    <n v="113.5"/>
  </r>
  <r>
    <x v="5"/>
    <x v="11"/>
    <x v="71"/>
    <x v="26"/>
    <x v="9"/>
    <x v="0"/>
    <n v="140"/>
  </r>
  <r>
    <x v="5"/>
    <x v="11"/>
    <x v="71"/>
    <x v="26"/>
    <x v="9"/>
    <x v="1"/>
    <n v="134.5"/>
  </r>
  <r>
    <x v="5"/>
    <x v="11"/>
    <x v="71"/>
    <x v="26"/>
    <x v="9"/>
    <x v="2"/>
    <n v="130.19999999999999"/>
  </r>
  <r>
    <x v="5"/>
    <x v="11"/>
    <x v="71"/>
    <x v="16"/>
    <x v="0"/>
    <x v="0"/>
    <n v="138.69999999999999"/>
  </r>
  <r>
    <x v="5"/>
    <x v="11"/>
    <x v="71"/>
    <x v="16"/>
    <x v="0"/>
    <x v="1"/>
    <n v="139.5"/>
  </r>
  <r>
    <x v="5"/>
    <x v="11"/>
    <x v="71"/>
    <x v="16"/>
    <x v="0"/>
    <x v="2"/>
    <n v="141.19999999999999"/>
  </r>
  <r>
    <x v="5"/>
    <x v="11"/>
    <x v="71"/>
    <x v="14"/>
    <x v="0"/>
    <x v="0"/>
    <n v="114.4"/>
  </r>
  <r>
    <x v="5"/>
    <x v="11"/>
    <x v="71"/>
    <x v="14"/>
    <x v="0"/>
    <x v="1"/>
    <n v="113.7"/>
  </r>
  <r>
    <x v="5"/>
    <x v="11"/>
    <x v="71"/>
    <x v="14"/>
    <x v="0"/>
    <x v="2"/>
    <n v="112.3"/>
  </r>
  <r>
    <x v="5"/>
    <x v="11"/>
    <x v="71"/>
    <x v="25"/>
    <x v="8"/>
    <x v="0"/>
    <n v="129.9"/>
  </r>
  <r>
    <x v="5"/>
    <x v="11"/>
    <x v="71"/>
    <x v="25"/>
    <x v="8"/>
    <x v="1"/>
    <n v="126"/>
  </r>
  <r>
    <x v="5"/>
    <x v="11"/>
    <x v="71"/>
    <x v="25"/>
    <x v="8"/>
    <x v="2"/>
    <n v="122.5"/>
  </r>
  <r>
    <x v="5"/>
    <x v="11"/>
    <x v="71"/>
    <x v="11"/>
    <x v="0"/>
    <x v="0"/>
    <n v="149.4"/>
  </r>
  <r>
    <x v="5"/>
    <x v="11"/>
    <x v="71"/>
    <x v="11"/>
    <x v="0"/>
    <x v="1"/>
    <n v="150"/>
  </r>
  <r>
    <x v="5"/>
    <x v="11"/>
    <x v="71"/>
    <x v="11"/>
    <x v="0"/>
    <x v="2"/>
    <n v="151.30000000000001"/>
  </r>
  <r>
    <x v="6"/>
    <x v="1"/>
    <x v="72"/>
    <x v="0"/>
    <x v="0"/>
    <x v="0"/>
    <n v="139.19999999999999"/>
  </r>
  <r>
    <x v="6"/>
    <x v="1"/>
    <x v="72"/>
    <x v="0"/>
    <x v="0"/>
    <x v="1"/>
    <n v="140.1"/>
  </r>
  <r>
    <x v="6"/>
    <x v="1"/>
    <x v="72"/>
    <x v="0"/>
    <x v="0"/>
    <x v="2"/>
    <n v="142.1"/>
  </r>
  <r>
    <x v="6"/>
    <x v="1"/>
    <x v="72"/>
    <x v="1"/>
    <x v="1"/>
    <x v="0"/>
    <n v="151.80000000000001"/>
  </r>
  <r>
    <x v="6"/>
    <x v="1"/>
    <x v="72"/>
    <x v="1"/>
    <x v="1"/>
    <x v="1"/>
    <n v="149.1"/>
  </r>
  <r>
    <x v="6"/>
    <x v="1"/>
    <x v="72"/>
    <x v="1"/>
    <x v="1"/>
    <x v="2"/>
    <n v="145"/>
  </r>
  <r>
    <x v="6"/>
    <x v="1"/>
    <x v="72"/>
    <x v="3"/>
    <x v="1"/>
    <x v="0"/>
    <n v="151.1"/>
  </r>
  <r>
    <x v="6"/>
    <x v="1"/>
    <x v="72"/>
    <x v="3"/>
    <x v="1"/>
    <x v="1"/>
    <n v="147.9"/>
  </r>
  <r>
    <x v="6"/>
    <x v="1"/>
    <x v="72"/>
    <x v="3"/>
    <x v="1"/>
    <x v="2"/>
    <n v="143"/>
  </r>
  <r>
    <x v="6"/>
    <x v="1"/>
    <x v="72"/>
    <x v="5"/>
    <x v="2"/>
    <x v="0"/>
    <n v="159.69999999999999"/>
  </r>
  <r>
    <x v="6"/>
    <x v="1"/>
    <x v="72"/>
    <x v="5"/>
    <x v="2"/>
    <x v="1"/>
    <n v="154.9"/>
  </r>
  <r>
    <x v="6"/>
    <x v="1"/>
    <x v="72"/>
    <x v="5"/>
    <x v="2"/>
    <x v="2"/>
    <n v="151.5"/>
  </r>
  <r>
    <x v="6"/>
    <x v="1"/>
    <x v="72"/>
    <x v="4"/>
    <x v="0"/>
    <x v="0"/>
    <n v="137.1"/>
  </r>
  <r>
    <x v="6"/>
    <x v="1"/>
    <x v="72"/>
    <x v="4"/>
    <x v="0"/>
    <x v="1"/>
    <n v="138.5"/>
  </r>
  <r>
    <x v="6"/>
    <x v="1"/>
    <x v="72"/>
    <x v="4"/>
    <x v="0"/>
    <x v="2"/>
    <n v="140.80000000000001"/>
  </r>
  <r>
    <x v="6"/>
    <x v="1"/>
    <x v="72"/>
    <x v="8"/>
    <x v="0"/>
    <x v="0"/>
    <n v="144"/>
  </r>
  <r>
    <x v="6"/>
    <x v="1"/>
    <x v="72"/>
    <x v="8"/>
    <x v="0"/>
    <x v="1"/>
    <n v="145.9"/>
  </r>
  <r>
    <x v="6"/>
    <x v="1"/>
    <x v="72"/>
    <x v="8"/>
    <x v="0"/>
    <x v="2"/>
    <n v="149.1"/>
  </r>
  <r>
    <x v="6"/>
    <x v="1"/>
    <x v="72"/>
    <x v="10"/>
    <x v="1"/>
    <x v="0"/>
    <n v="146.6"/>
  </r>
  <r>
    <x v="6"/>
    <x v="1"/>
    <x v="72"/>
    <x v="10"/>
    <x v="1"/>
    <x v="1"/>
    <n v="140.6"/>
  </r>
  <r>
    <x v="6"/>
    <x v="1"/>
    <x v="72"/>
    <x v="10"/>
    <x v="1"/>
    <x v="2"/>
    <n v="132.19999999999999"/>
  </r>
  <r>
    <x v="6"/>
    <x v="1"/>
    <x v="72"/>
    <x v="9"/>
    <x v="0"/>
    <x v="0"/>
    <n v="145.5"/>
  </r>
  <r>
    <x v="6"/>
    <x v="1"/>
    <x v="72"/>
    <x v="9"/>
    <x v="0"/>
    <x v="1"/>
    <n v="149.4"/>
  </r>
  <r>
    <x v="6"/>
    <x v="1"/>
    <x v="72"/>
    <x v="9"/>
    <x v="0"/>
    <x v="2"/>
    <n v="153.9"/>
  </r>
  <r>
    <x v="6"/>
    <x v="1"/>
    <x v="72"/>
    <x v="13"/>
    <x v="3"/>
    <x v="0"/>
    <n v="146.4"/>
  </r>
  <r>
    <x v="6"/>
    <x v="1"/>
    <x v="72"/>
    <x v="13"/>
    <x v="3"/>
    <x v="1"/>
    <n v="138.5"/>
  </r>
  <r>
    <x v="6"/>
    <x v="1"/>
    <x v="72"/>
    <x v="13"/>
    <x v="3"/>
    <x v="2"/>
    <n v="125.5"/>
  </r>
  <r>
    <x v="6"/>
    <x v="1"/>
    <x v="72"/>
    <x v="15"/>
    <x v="4"/>
    <x v="0"/>
    <n v="145.69999999999999"/>
  </r>
  <r>
    <x v="6"/>
    <x v="1"/>
    <x v="72"/>
    <x v="15"/>
    <x v="4"/>
    <x v="1"/>
    <n v="145"/>
  </r>
  <r>
    <x v="6"/>
    <x v="1"/>
    <x v="72"/>
    <x v="15"/>
    <x v="4"/>
    <x v="2"/>
    <n v="144.19999999999999"/>
  </r>
  <r>
    <x v="6"/>
    <x v="1"/>
    <x v="72"/>
    <x v="17"/>
    <x v="5"/>
    <x v="0"/>
    <n v="152.69999999999999"/>
  </r>
  <r>
    <x v="6"/>
    <x v="1"/>
    <x v="72"/>
    <x v="17"/>
    <x v="5"/>
    <x v="1"/>
    <n v="148.5"/>
  </r>
  <r>
    <x v="6"/>
    <x v="1"/>
    <x v="72"/>
    <x v="17"/>
    <x v="5"/>
    <x v="2"/>
    <n v="141.5"/>
  </r>
  <r>
    <x v="6"/>
    <x v="1"/>
    <x v="72"/>
    <x v="19"/>
    <x v="6"/>
    <x v="0"/>
    <n v="150.19999999999999"/>
  </r>
  <r>
    <x v="6"/>
    <x v="1"/>
    <x v="72"/>
    <x v="19"/>
    <x v="6"/>
    <x v="1"/>
    <n v="144.5"/>
  </r>
  <r>
    <x v="6"/>
    <x v="1"/>
    <x v="72"/>
    <x v="19"/>
    <x v="6"/>
    <x v="2"/>
    <n v="138.1"/>
  </r>
  <r>
    <x v="6"/>
    <x v="1"/>
    <x v="72"/>
    <x v="21"/>
    <x v="6"/>
    <x v="0"/>
    <n v="0"/>
  </r>
  <r>
    <x v="6"/>
    <x v="1"/>
    <x v="72"/>
    <x v="21"/>
    <x v="6"/>
    <x v="1"/>
    <n v="151.6"/>
  </r>
  <r>
    <x v="6"/>
    <x v="1"/>
    <x v="72"/>
    <x v="21"/>
    <x v="6"/>
    <x v="2"/>
    <n v="151.6"/>
  </r>
  <r>
    <x v="6"/>
    <x v="1"/>
    <x v="72"/>
    <x v="2"/>
    <x v="0"/>
    <x v="0"/>
    <n v="161.9"/>
  </r>
  <r>
    <x v="6"/>
    <x v="1"/>
    <x v="72"/>
    <x v="2"/>
    <x v="0"/>
    <x v="1"/>
    <n v="160.6"/>
  </r>
  <r>
    <x v="6"/>
    <x v="1"/>
    <x v="72"/>
    <x v="2"/>
    <x v="0"/>
    <x v="2"/>
    <n v="158.30000000000001"/>
  </r>
  <r>
    <x v="6"/>
    <x v="1"/>
    <x v="72"/>
    <x v="6"/>
    <x v="0"/>
    <x v="0"/>
    <n v="144.6"/>
  </r>
  <r>
    <x v="6"/>
    <x v="1"/>
    <x v="72"/>
    <x v="6"/>
    <x v="0"/>
    <x v="1"/>
    <n v="144.69999999999999"/>
  </r>
  <r>
    <x v="6"/>
    <x v="1"/>
    <x v="72"/>
    <x v="6"/>
    <x v="0"/>
    <x v="2"/>
    <n v="144.9"/>
  </r>
  <r>
    <x v="6"/>
    <x v="1"/>
    <x v="72"/>
    <x v="23"/>
    <x v="7"/>
    <x v="0"/>
    <n v="144.9"/>
  </r>
  <r>
    <x v="6"/>
    <x v="1"/>
    <x v="72"/>
    <x v="23"/>
    <x v="7"/>
    <x v="1"/>
    <n v="140.19999999999999"/>
  </r>
  <r>
    <x v="6"/>
    <x v="1"/>
    <x v="72"/>
    <x v="23"/>
    <x v="7"/>
    <x v="2"/>
    <n v="135.30000000000001"/>
  </r>
  <r>
    <x v="6"/>
    <x v="1"/>
    <x v="72"/>
    <x v="18"/>
    <x v="0"/>
    <x v="0"/>
    <n v="138.5"/>
  </r>
  <r>
    <x v="6"/>
    <x v="1"/>
    <x v="72"/>
    <x v="18"/>
    <x v="0"/>
    <x v="1"/>
    <n v="134.9"/>
  </r>
  <r>
    <x v="6"/>
    <x v="1"/>
    <x v="72"/>
    <x v="18"/>
    <x v="0"/>
    <x v="2"/>
    <n v="129.80000000000001"/>
  </r>
  <r>
    <x v="6"/>
    <x v="1"/>
    <x v="72"/>
    <x v="7"/>
    <x v="0"/>
    <x v="0"/>
    <n v="124.7"/>
  </r>
  <r>
    <x v="6"/>
    <x v="1"/>
    <x v="72"/>
    <x v="7"/>
    <x v="0"/>
    <x v="1"/>
    <n v="122.9"/>
  </r>
  <r>
    <x v="6"/>
    <x v="1"/>
    <x v="72"/>
    <x v="7"/>
    <x v="0"/>
    <x v="2"/>
    <n v="119.9"/>
  </r>
  <r>
    <x v="6"/>
    <x v="1"/>
    <x v="72"/>
    <x v="22"/>
    <x v="7"/>
    <x v="0"/>
    <n v="165.1"/>
  </r>
  <r>
    <x v="6"/>
    <x v="1"/>
    <x v="72"/>
    <x v="22"/>
    <x v="7"/>
    <x v="1"/>
    <n v="165.8"/>
  </r>
  <r>
    <x v="6"/>
    <x v="1"/>
    <x v="72"/>
    <x v="22"/>
    <x v="7"/>
    <x v="2"/>
    <n v="167.9"/>
  </r>
  <r>
    <x v="6"/>
    <x v="1"/>
    <x v="72"/>
    <x v="24"/>
    <x v="7"/>
    <x v="0"/>
    <n v="138.80000000000001"/>
  </r>
  <r>
    <x v="6"/>
    <x v="1"/>
    <x v="72"/>
    <x v="24"/>
    <x v="7"/>
    <x v="1"/>
    <n v="138.4"/>
  </r>
  <r>
    <x v="6"/>
    <x v="1"/>
    <x v="72"/>
    <x v="24"/>
    <x v="7"/>
    <x v="2"/>
    <n v="137.80000000000001"/>
  </r>
  <r>
    <x v="6"/>
    <x v="1"/>
    <x v="72"/>
    <x v="20"/>
    <x v="0"/>
    <x v="0"/>
    <n v="156.9"/>
  </r>
  <r>
    <x v="6"/>
    <x v="1"/>
    <x v="72"/>
    <x v="20"/>
    <x v="0"/>
    <x v="1"/>
    <n v="156.6"/>
  </r>
  <r>
    <x v="6"/>
    <x v="1"/>
    <x v="72"/>
    <x v="20"/>
    <x v="0"/>
    <x v="2"/>
    <n v="156.19999999999999"/>
  </r>
  <r>
    <x v="6"/>
    <x v="1"/>
    <x v="72"/>
    <x v="12"/>
    <x v="0"/>
    <x v="0"/>
    <n v="131.5"/>
  </r>
  <r>
    <x v="6"/>
    <x v="1"/>
    <x v="72"/>
    <x v="12"/>
    <x v="0"/>
    <x v="1"/>
    <n v="130.9"/>
  </r>
  <r>
    <x v="6"/>
    <x v="1"/>
    <x v="72"/>
    <x v="12"/>
    <x v="0"/>
    <x v="2"/>
    <n v="129.80000000000001"/>
  </r>
  <r>
    <x v="6"/>
    <x v="1"/>
    <x v="72"/>
    <x v="26"/>
    <x v="9"/>
    <x v="0"/>
    <n v="148"/>
  </r>
  <r>
    <x v="6"/>
    <x v="1"/>
    <x v="72"/>
    <x v="26"/>
    <x v="9"/>
    <x v="1"/>
    <n v="140.9"/>
  </r>
  <r>
    <x v="6"/>
    <x v="1"/>
    <x v="72"/>
    <x v="26"/>
    <x v="9"/>
    <x v="2"/>
    <n v="135.4"/>
  </r>
  <r>
    <x v="6"/>
    <x v="1"/>
    <x v="72"/>
    <x v="16"/>
    <x v="0"/>
    <x v="0"/>
    <n v="142.69999999999999"/>
  </r>
  <r>
    <x v="6"/>
    <x v="1"/>
    <x v="72"/>
    <x v="16"/>
    <x v="0"/>
    <x v="1"/>
    <n v="142.6"/>
  </r>
  <r>
    <x v="6"/>
    <x v="1"/>
    <x v="72"/>
    <x v="16"/>
    <x v="0"/>
    <x v="2"/>
    <n v="142.5"/>
  </r>
  <r>
    <x v="6"/>
    <x v="1"/>
    <x v="72"/>
    <x v="14"/>
    <x v="0"/>
    <x v="0"/>
    <n v="111.7"/>
  </r>
  <r>
    <x v="6"/>
    <x v="1"/>
    <x v="72"/>
    <x v="14"/>
    <x v="0"/>
    <x v="1"/>
    <n v="112"/>
  </r>
  <r>
    <x v="6"/>
    <x v="1"/>
    <x v="72"/>
    <x v="14"/>
    <x v="0"/>
    <x v="2"/>
    <n v="112.7"/>
  </r>
  <r>
    <x v="6"/>
    <x v="1"/>
    <x v="72"/>
    <x v="25"/>
    <x v="8"/>
    <x v="0"/>
    <n v="131.4"/>
  </r>
  <r>
    <x v="6"/>
    <x v="1"/>
    <x v="72"/>
    <x v="25"/>
    <x v="8"/>
    <x v="1"/>
    <n v="125.8"/>
  </r>
  <r>
    <x v="6"/>
    <x v="1"/>
    <x v="72"/>
    <x v="25"/>
    <x v="8"/>
    <x v="2"/>
    <n v="120.8"/>
  </r>
  <r>
    <x v="6"/>
    <x v="1"/>
    <x v="72"/>
    <x v="11"/>
    <x v="0"/>
    <x v="0"/>
    <n v="156.19999999999999"/>
  </r>
  <r>
    <x v="6"/>
    <x v="1"/>
    <x v="72"/>
    <x v="11"/>
    <x v="0"/>
    <x v="1"/>
    <n v="167.4"/>
  </r>
  <r>
    <x v="6"/>
    <x v="1"/>
    <x v="72"/>
    <x v="11"/>
    <x v="0"/>
    <x v="2"/>
    <n v="189.1"/>
  </r>
  <r>
    <x v="6"/>
    <x v="2"/>
    <x v="73"/>
    <x v="0"/>
    <x v="0"/>
    <x v="0"/>
    <n v="142.80000000000001"/>
  </r>
  <r>
    <x v="6"/>
    <x v="2"/>
    <x v="73"/>
    <x v="0"/>
    <x v="0"/>
    <x v="1"/>
    <n v="143.5"/>
  </r>
  <r>
    <x v="6"/>
    <x v="2"/>
    <x v="73"/>
    <x v="0"/>
    <x v="0"/>
    <x v="2"/>
    <n v="144.9"/>
  </r>
  <r>
    <x v="6"/>
    <x v="2"/>
    <x v="73"/>
    <x v="1"/>
    <x v="1"/>
    <x v="0"/>
    <n v="152.6"/>
  </r>
  <r>
    <x v="6"/>
    <x v="2"/>
    <x v="73"/>
    <x v="1"/>
    <x v="1"/>
    <x v="1"/>
    <n v="150.30000000000001"/>
  </r>
  <r>
    <x v="6"/>
    <x v="2"/>
    <x v="73"/>
    <x v="1"/>
    <x v="1"/>
    <x v="2"/>
    <n v="146.80000000000001"/>
  </r>
  <r>
    <x v="6"/>
    <x v="2"/>
    <x v="73"/>
    <x v="3"/>
    <x v="1"/>
    <x v="0"/>
    <n v="151.9"/>
  </r>
  <r>
    <x v="6"/>
    <x v="2"/>
    <x v="73"/>
    <x v="3"/>
    <x v="1"/>
    <x v="1"/>
    <n v="149"/>
  </r>
  <r>
    <x v="6"/>
    <x v="2"/>
    <x v="73"/>
    <x v="3"/>
    <x v="1"/>
    <x v="2"/>
    <n v="144.6"/>
  </r>
  <r>
    <x v="6"/>
    <x v="2"/>
    <x v="73"/>
    <x v="5"/>
    <x v="2"/>
    <x v="0"/>
    <n v="161.1"/>
  </r>
  <r>
    <x v="6"/>
    <x v="2"/>
    <x v="73"/>
    <x v="5"/>
    <x v="2"/>
    <x v="1"/>
    <n v="155.69999999999999"/>
  </r>
  <r>
    <x v="6"/>
    <x v="2"/>
    <x v="73"/>
    <x v="5"/>
    <x v="2"/>
    <x v="2"/>
    <n v="151.9"/>
  </r>
  <r>
    <x v="6"/>
    <x v="2"/>
    <x v="73"/>
    <x v="4"/>
    <x v="0"/>
    <x v="0"/>
    <n v="149.5"/>
  </r>
  <r>
    <x v="6"/>
    <x v="2"/>
    <x v="73"/>
    <x v="4"/>
    <x v="0"/>
    <x v="1"/>
    <n v="151.1"/>
  </r>
  <r>
    <x v="6"/>
    <x v="2"/>
    <x v="73"/>
    <x v="4"/>
    <x v="0"/>
    <x v="2"/>
    <n v="153.69999999999999"/>
  </r>
  <r>
    <x v="6"/>
    <x v="2"/>
    <x v="73"/>
    <x v="8"/>
    <x v="0"/>
    <x v="0"/>
    <n v="154.30000000000001"/>
  </r>
  <r>
    <x v="6"/>
    <x v="2"/>
    <x v="73"/>
    <x v="8"/>
    <x v="0"/>
    <x v="1"/>
    <n v="155"/>
  </r>
  <r>
    <x v="6"/>
    <x v="2"/>
    <x v="73"/>
    <x v="8"/>
    <x v="0"/>
    <x v="2"/>
    <n v="156.30000000000001"/>
  </r>
  <r>
    <x v="6"/>
    <x v="2"/>
    <x v="73"/>
    <x v="10"/>
    <x v="1"/>
    <x v="0"/>
    <n v="147.30000000000001"/>
  </r>
  <r>
    <x v="6"/>
    <x v="2"/>
    <x v="73"/>
    <x v="10"/>
    <x v="1"/>
    <x v="1"/>
    <n v="141.30000000000001"/>
  </r>
  <r>
    <x v="6"/>
    <x v="2"/>
    <x v="73"/>
    <x v="10"/>
    <x v="1"/>
    <x v="2"/>
    <n v="132.80000000000001"/>
  </r>
  <r>
    <x v="6"/>
    <x v="2"/>
    <x v="73"/>
    <x v="9"/>
    <x v="0"/>
    <x v="0"/>
    <n v="144.30000000000001"/>
  </r>
  <r>
    <x v="6"/>
    <x v="2"/>
    <x v="73"/>
    <x v="9"/>
    <x v="0"/>
    <x v="1"/>
    <n v="145.69999999999999"/>
  </r>
  <r>
    <x v="6"/>
    <x v="2"/>
    <x v="73"/>
    <x v="9"/>
    <x v="0"/>
    <x v="2"/>
    <n v="147.19999999999999"/>
  </r>
  <r>
    <x v="6"/>
    <x v="2"/>
    <x v="73"/>
    <x v="13"/>
    <x v="3"/>
    <x v="0"/>
    <n v="149.9"/>
  </r>
  <r>
    <x v="6"/>
    <x v="2"/>
    <x v="73"/>
    <x v="13"/>
    <x v="3"/>
    <x v="1"/>
    <n v="143.69999999999999"/>
  </r>
  <r>
    <x v="6"/>
    <x v="2"/>
    <x v="73"/>
    <x v="13"/>
    <x v="3"/>
    <x v="2"/>
    <n v="133.6"/>
  </r>
  <r>
    <x v="6"/>
    <x v="2"/>
    <x v="73"/>
    <x v="15"/>
    <x v="4"/>
    <x v="0"/>
    <n v="152.30000000000001"/>
  </r>
  <r>
    <x v="6"/>
    <x v="2"/>
    <x v="73"/>
    <x v="15"/>
    <x v="4"/>
    <x v="1"/>
    <n v="150.4"/>
  </r>
  <r>
    <x v="6"/>
    <x v="2"/>
    <x v="73"/>
    <x v="15"/>
    <x v="4"/>
    <x v="2"/>
    <n v="148.30000000000001"/>
  </r>
  <r>
    <x v="6"/>
    <x v="2"/>
    <x v="73"/>
    <x v="17"/>
    <x v="5"/>
    <x v="0"/>
    <n v="154.80000000000001"/>
  </r>
  <r>
    <x v="6"/>
    <x v="2"/>
    <x v="73"/>
    <x v="17"/>
    <x v="5"/>
    <x v="1"/>
    <n v="150.4"/>
  </r>
  <r>
    <x v="6"/>
    <x v="2"/>
    <x v="73"/>
    <x v="17"/>
    <x v="5"/>
    <x v="2"/>
    <n v="143.19999999999999"/>
  </r>
  <r>
    <x v="6"/>
    <x v="2"/>
    <x v="73"/>
    <x v="19"/>
    <x v="6"/>
    <x v="0"/>
    <n v="151.19999999999999"/>
  </r>
  <r>
    <x v="6"/>
    <x v="2"/>
    <x v="73"/>
    <x v="19"/>
    <x v="6"/>
    <x v="1"/>
    <n v="145.80000000000001"/>
  </r>
  <r>
    <x v="6"/>
    <x v="2"/>
    <x v="73"/>
    <x v="19"/>
    <x v="6"/>
    <x v="2"/>
    <n v="139.80000000000001"/>
  </r>
  <r>
    <x v="6"/>
    <x v="2"/>
    <x v="73"/>
    <x v="21"/>
    <x v="6"/>
    <x v="0"/>
    <n v="0"/>
  </r>
  <r>
    <x v="6"/>
    <x v="2"/>
    <x v="73"/>
    <x v="21"/>
    <x v="6"/>
    <x v="1"/>
    <n v="152.80000000000001"/>
  </r>
  <r>
    <x v="6"/>
    <x v="2"/>
    <x v="73"/>
    <x v="21"/>
    <x v="6"/>
    <x v="2"/>
    <n v="152.80000000000001"/>
  </r>
  <r>
    <x v="6"/>
    <x v="2"/>
    <x v="73"/>
    <x v="2"/>
    <x v="0"/>
    <x v="0"/>
    <n v="165.3"/>
  </r>
  <r>
    <x v="6"/>
    <x v="2"/>
    <x v="73"/>
    <x v="2"/>
    <x v="0"/>
    <x v="1"/>
    <n v="165"/>
  </r>
  <r>
    <x v="6"/>
    <x v="2"/>
    <x v="73"/>
    <x v="2"/>
    <x v="0"/>
    <x v="2"/>
    <n v="164.5"/>
  </r>
  <r>
    <x v="6"/>
    <x v="2"/>
    <x v="73"/>
    <x v="6"/>
    <x v="0"/>
    <x v="0"/>
    <n v="148.69999999999999"/>
  </r>
  <r>
    <x v="6"/>
    <x v="2"/>
    <x v="73"/>
    <x v="6"/>
    <x v="0"/>
    <x v="1"/>
    <n v="148.30000000000001"/>
  </r>
  <r>
    <x v="6"/>
    <x v="2"/>
    <x v="73"/>
    <x v="6"/>
    <x v="0"/>
    <x v="2"/>
    <n v="147.5"/>
  </r>
  <r>
    <x v="6"/>
    <x v="2"/>
    <x v="73"/>
    <x v="23"/>
    <x v="7"/>
    <x v="0"/>
    <n v="147.1"/>
  </r>
  <r>
    <x v="6"/>
    <x v="2"/>
    <x v="73"/>
    <x v="23"/>
    <x v="7"/>
    <x v="1"/>
    <n v="142.5"/>
  </r>
  <r>
    <x v="6"/>
    <x v="2"/>
    <x v="73"/>
    <x v="23"/>
    <x v="7"/>
    <x v="2"/>
    <n v="137.69999999999999"/>
  </r>
  <r>
    <x v="6"/>
    <x v="2"/>
    <x v="73"/>
    <x v="18"/>
    <x v="0"/>
    <x v="0"/>
    <n v="139.30000000000001"/>
  </r>
  <r>
    <x v="6"/>
    <x v="2"/>
    <x v="73"/>
    <x v="18"/>
    <x v="0"/>
    <x v="1"/>
    <n v="135.80000000000001"/>
  </r>
  <r>
    <x v="6"/>
    <x v="2"/>
    <x v="73"/>
    <x v="18"/>
    <x v="0"/>
    <x v="2"/>
    <n v="130.80000000000001"/>
  </r>
  <r>
    <x v="6"/>
    <x v="2"/>
    <x v="73"/>
    <x v="7"/>
    <x v="0"/>
    <x v="0"/>
    <n v="127.5"/>
  </r>
  <r>
    <x v="6"/>
    <x v="2"/>
    <x v="73"/>
    <x v="7"/>
    <x v="0"/>
    <x v="1"/>
    <n v="125.7"/>
  </r>
  <r>
    <x v="6"/>
    <x v="2"/>
    <x v="73"/>
    <x v="7"/>
    <x v="0"/>
    <x v="2"/>
    <n v="122.7"/>
  </r>
  <r>
    <x v="6"/>
    <x v="2"/>
    <x v="73"/>
    <x v="22"/>
    <x v="7"/>
    <x v="0"/>
    <n v="167.8"/>
  </r>
  <r>
    <x v="6"/>
    <x v="2"/>
    <x v="73"/>
    <x v="22"/>
    <x v="7"/>
    <x v="1"/>
    <n v="168.5"/>
  </r>
  <r>
    <x v="6"/>
    <x v="2"/>
    <x v="73"/>
    <x v="22"/>
    <x v="7"/>
    <x v="2"/>
    <n v="170.4"/>
  </r>
  <r>
    <x v="6"/>
    <x v="2"/>
    <x v="73"/>
    <x v="24"/>
    <x v="7"/>
    <x v="0"/>
    <n v="140.6"/>
  </r>
  <r>
    <x v="6"/>
    <x v="2"/>
    <x v="73"/>
    <x v="24"/>
    <x v="7"/>
    <x v="1"/>
    <n v="140.4"/>
  </r>
  <r>
    <x v="6"/>
    <x v="2"/>
    <x v="73"/>
    <x v="24"/>
    <x v="7"/>
    <x v="2"/>
    <n v="140.19999999999999"/>
  </r>
  <r>
    <x v="6"/>
    <x v="2"/>
    <x v="73"/>
    <x v="20"/>
    <x v="0"/>
    <x v="0"/>
    <n v="158.30000000000001"/>
  </r>
  <r>
    <x v="6"/>
    <x v="2"/>
    <x v="73"/>
    <x v="20"/>
    <x v="0"/>
    <x v="1"/>
    <n v="158"/>
  </r>
  <r>
    <x v="6"/>
    <x v="2"/>
    <x v="73"/>
    <x v="20"/>
    <x v="0"/>
    <x v="2"/>
    <n v="157.69999999999999"/>
  </r>
  <r>
    <x v="6"/>
    <x v="2"/>
    <x v="73"/>
    <x v="12"/>
    <x v="0"/>
    <x v="0"/>
    <n v="138.80000000000001"/>
  </r>
  <r>
    <x v="6"/>
    <x v="2"/>
    <x v="73"/>
    <x v="12"/>
    <x v="0"/>
    <x v="1"/>
    <n v="138.30000000000001"/>
  </r>
  <r>
    <x v="6"/>
    <x v="2"/>
    <x v="73"/>
    <x v="12"/>
    <x v="0"/>
    <x v="2"/>
    <n v="137.19999999999999"/>
  </r>
  <r>
    <x v="6"/>
    <x v="2"/>
    <x v="73"/>
    <x v="26"/>
    <x v="9"/>
    <x v="0"/>
    <n v="149.5"/>
  </r>
  <r>
    <x v="6"/>
    <x v="2"/>
    <x v="73"/>
    <x v="26"/>
    <x v="9"/>
    <x v="1"/>
    <n v="142.30000000000001"/>
  </r>
  <r>
    <x v="6"/>
    <x v="2"/>
    <x v="73"/>
    <x v="26"/>
    <x v="9"/>
    <x v="2"/>
    <n v="136.80000000000001"/>
  </r>
  <r>
    <x v="6"/>
    <x v="2"/>
    <x v="73"/>
    <x v="16"/>
    <x v="0"/>
    <x v="0"/>
    <n v="149.1"/>
  </r>
  <r>
    <x v="6"/>
    <x v="2"/>
    <x v="73"/>
    <x v="16"/>
    <x v="0"/>
    <x v="1"/>
    <n v="148.69999999999999"/>
  </r>
  <r>
    <x v="6"/>
    <x v="2"/>
    <x v="73"/>
    <x v="16"/>
    <x v="0"/>
    <x v="2"/>
    <n v="148"/>
  </r>
  <r>
    <x v="6"/>
    <x v="2"/>
    <x v="73"/>
    <x v="14"/>
    <x v="0"/>
    <x v="0"/>
    <n v="113.6"/>
  </r>
  <r>
    <x v="6"/>
    <x v="2"/>
    <x v="73"/>
    <x v="14"/>
    <x v="0"/>
    <x v="1"/>
    <n v="114"/>
  </r>
  <r>
    <x v="6"/>
    <x v="2"/>
    <x v="73"/>
    <x v="14"/>
    <x v="0"/>
    <x v="2"/>
    <n v="114.7"/>
  </r>
  <r>
    <x v="6"/>
    <x v="2"/>
    <x v="73"/>
    <x v="25"/>
    <x v="8"/>
    <x v="0"/>
    <n v="135"/>
  </r>
  <r>
    <x v="6"/>
    <x v="2"/>
    <x v="73"/>
    <x v="25"/>
    <x v="8"/>
    <x v="1"/>
    <n v="129.80000000000001"/>
  </r>
  <r>
    <x v="6"/>
    <x v="2"/>
    <x v="73"/>
    <x v="25"/>
    <x v="8"/>
    <x v="2"/>
    <n v="125.2"/>
  </r>
  <r>
    <x v="6"/>
    <x v="2"/>
    <x v="73"/>
    <x v="11"/>
    <x v="0"/>
    <x v="0"/>
    <n v="209.5"/>
  </r>
  <r>
    <x v="6"/>
    <x v="2"/>
    <x v="73"/>
    <x v="11"/>
    <x v="0"/>
    <x v="1"/>
    <n v="217"/>
  </r>
  <r>
    <x v="6"/>
    <x v="2"/>
    <x v="73"/>
    <x v="11"/>
    <x v="0"/>
    <x v="2"/>
    <n v="231.5"/>
  </r>
  <r>
    <x v="6"/>
    <x v="3"/>
    <x v="74"/>
    <x v="0"/>
    <x v="0"/>
    <x v="0"/>
    <n v="136.80000000000001"/>
  </r>
  <r>
    <x v="6"/>
    <x v="3"/>
    <x v="74"/>
    <x v="0"/>
    <x v="0"/>
    <x v="1"/>
    <n v="137.6"/>
  </r>
  <r>
    <x v="6"/>
    <x v="3"/>
    <x v="74"/>
    <x v="0"/>
    <x v="0"/>
    <x v="2"/>
    <n v="139.4"/>
  </r>
  <r>
    <x v="6"/>
    <x v="3"/>
    <x v="74"/>
    <x v="1"/>
    <x v="1"/>
    <x v="0"/>
    <n v="150.5"/>
  </r>
  <r>
    <x v="6"/>
    <x v="3"/>
    <x v="74"/>
    <x v="1"/>
    <x v="1"/>
    <x v="1"/>
    <n v="147.69999999999999"/>
  </r>
  <r>
    <x v="6"/>
    <x v="3"/>
    <x v="74"/>
    <x v="1"/>
    <x v="1"/>
    <x v="2"/>
    <n v="143.30000000000001"/>
  </r>
  <r>
    <x v="6"/>
    <x v="3"/>
    <x v="74"/>
    <x v="3"/>
    <x v="1"/>
    <x v="0"/>
    <n v="149.9"/>
  </r>
  <r>
    <x v="6"/>
    <x v="3"/>
    <x v="74"/>
    <x v="3"/>
    <x v="1"/>
    <x v="1"/>
    <n v="146.5"/>
  </r>
  <r>
    <x v="6"/>
    <x v="3"/>
    <x v="74"/>
    <x v="3"/>
    <x v="1"/>
    <x v="2"/>
    <n v="141.4"/>
  </r>
  <r>
    <x v="6"/>
    <x v="3"/>
    <x v="74"/>
    <x v="5"/>
    <x v="2"/>
    <x v="0"/>
    <n v="155.5"/>
  </r>
  <r>
    <x v="6"/>
    <x v="3"/>
    <x v="74"/>
    <x v="5"/>
    <x v="2"/>
    <x v="1"/>
    <n v="150.30000000000001"/>
  </r>
  <r>
    <x v="6"/>
    <x v="3"/>
    <x v="74"/>
    <x v="5"/>
    <x v="2"/>
    <x v="2"/>
    <n v="146.6"/>
  </r>
  <r>
    <x v="6"/>
    <x v="3"/>
    <x v="74"/>
    <x v="4"/>
    <x v="0"/>
    <x v="0"/>
    <n v="139.1"/>
  </r>
  <r>
    <x v="6"/>
    <x v="3"/>
    <x v="74"/>
    <x v="4"/>
    <x v="0"/>
    <x v="1"/>
    <n v="141.5"/>
  </r>
  <r>
    <x v="6"/>
    <x v="3"/>
    <x v="74"/>
    <x v="4"/>
    <x v="0"/>
    <x v="2"/>
    <n v="145.30000000000001"/>
  </r>
  <r>
    <x v="6"/>
    <x v="3"/>
    <x v="74"/>
    <x v="8"/>
    <x v="0"/>
    <x v="0"/>
    <n v="137.19999999999999"/>
  </r>
  <r>
    <x v="6"/>
    <x v="3"/>
    <x v="74"/>
    <x v="8"/>
    <x v="0"/>
    <x v="1"/>
    <n v="137.5"/>
  </r>
  <r>
    <x v="6"/>
    <x v="3"/>
    <x v="74"/>
    <x v="8"/>
    <x v="0"/>
    <x v="2"/>
    <n v="138"/>
  </r>
  <r>
    <x v="6"/>
    <x v="3"/>
    <x v="74"/>
    <x v="10"/>
    <x v="1"/>
    <x v="0"/>
    <n v="146.1"/>
  </r>
  <r>
    <x v="6"/>
    <x v="3"/>
    <x v="74"/>
    <x v="10"/>
    <x v="1"/>
    <x v="1"/>
    <n v="139.69999999999999"/>
  </r>
  <r>
    <x v="6"/>
    <x v="3"/>
    <x v="74"/>
    <x v="10"/>
    <x v="1"/>
    <x v="2"/>
    <n v="130.80000000000001"/>
  </r>
  <r>
    <x v="6"/>
    <x v="3"/>
    <x v="74"/>
    <x v="9"/>
    <x v="0"/>
    <x v="0"/>
    <n v="135.80000000000001"/>
  </r>
  <r>
    <x v="6"/>
    <x v="3"/>
    <x v="74"/>
    <x v="9"/>
    <x v="0"/>
    <x v="1"/>
    <n v="136.4"/>
  </r>
  <r>
    <x v="6"/>
    <x v="3"/>
    <x v="74"/>
    <x v="9"/>
    <x v="0"/>
    <x v="2"/>
    <n v="137"/>
  </r>
  <r>
    <x v="6"/>
    <x v="3"/>
    <x v="74"/>
    <x v="13"/>
    <x v="3"/>
    <x v="0"/>
    <n v="145.30000000000001"/>
  </r>
  <r>
    <x v="6"/>
    <x v="3"/>
    <x v="74"/>
    <x v="13"/>
    <x v="3"/>
    <x v="1"/>
    <n v="138.4"/>
  </r>
  <r>
    <x v="6"/>
    <x v="3"/>
    <x v="74"/>
    <x v="13"/>
    <x v="3"/>
    <x v="2"/>
    <n v="127.1"/>
  </r>
  <r>
    <x v="6"/>
    <x v="3"/>
    <x v="74"/>
    <x v="15"/>
    <x v="4"/>
    <x v="0"/>
    <n v="141"/>
  </r>
  <r>
    <x v="6"/>
    <x v="3"/>
    <x v="74"/>
    <x v="15"/>
    <x v="4"/>
    <x v="1"/>
    <n v="139.9"/>
  </r>
  <r>
    <x v="6"/>
    <x v="3"/>
    <x v="74"/>
    <x v="15"/>
    <x v="4"/>
    <x v="2"/>
    <n v="138.6"/>
  </r>
  <r>
    <x v="6"/>
    <x v="3"/>
    <x v="74"/>
    <x v="17"/>
    <x v="5"/>
    <x v="0"/>
    <n v="149.9"/>
  </r>
  <r>
    <x v="6"/>
    <x v="3"/>
    <x v="74"/>
    <x v="17"/>
    <x v="5"/>
    <x v="1"/>
    <n v="145.6"/>
  </r>
  <r>
    <x v="6"/>
    <x v="3"/>
    <x v="74"/>
    <x v="17"/>
    <x v="5"/>
    <x v="2"/>
    <n v="138.5"/>
  </r>
  <r>
    <x v="6"/>
    <x v="3"/>
    <x v="74"/>
    <x v="19"/>
    <x v="6"/>
    <x v="0"/>
    <n v="150.1"/>
  </r>
  <r>
    <x v="6"/>
    <x v="3"/>
    <x v="74"/>
    <x v="19"/>
    <x v="6"/>
    <x v="1"/>
    <n v="143.69999999999999"/>
  </r>
  <r>
    <x v="6"/>
    <x v="3"/>
    <x v="74"/>
    <x v="19"/>
    <x v="6"/>
    <x v="2"/>
    <n v="136.6"/>
  </r>
  <r>
    <x v="6"/>
    <x v="3"/>
    <x v="74"/>
    <x v="21"/>
    <x v="6"/>
    <x v="0"/>
    <n v="0"/>
  </r>
  <r>
    <x v="6"/>
    <x v="3"/>
    <x v="74"/>
    <x v="21"/>
    <x v="6"/>
    <x v="1"/>
    <n v="148.5"/>
  </r>
  <r>
    <x v="6"/>
    <x v="3"/>
    <x v="74"/>
    <x v="21"/>
    <x v="6"/>
    <x v="2"/>
    <n v="148.5"/>
  </r>
  <r>
    <x v="6"/>
    <x v="3"/>
    <x v="74"/>
    <x v="2"/>
    <x v="0"/>
    <x v="0"/>
    <n v="153"/>
  </r>
  <r>
    <x v="6"/>
    <x v="3"/>
    <x v="74"/>
    <x v="2"/>
    <x v="0"/>
    <x v="1"/>
    <n v="152"/>
  </r>
  <r>
    <x v="6"/>
    <x v="3"/>
    <x v="74"/>
    <x v="2"/>
    <x v="0"/>
    <x v="2"/>
    <n v="150.1"/>
  </r>
  <r>
    <x v="6"/>
    <x v="3"/>
    <x v="74"/>
    <x v="6"/>
    <x v="0"/>
    <x v="0"/>
    <n v="142.5"/>
  </r>
  <r>
    <x v="6"/>
    <x v="3"/>
    <x v="74"/>
    <x v="6"/>
    <x v="0"/>
    <x v="1"/>
    <n v="142.19999999999999"/>
  </r>
  <r>
    <x v="6"/>
    <x v="3"/>
    <x v="74"/>
    <x v="6"/>
    <x v="0"/>
    <x v="2"/>
    <n v="141.69999999999999"/>
  </r>
  <r>
    <x v="6"/>
    <x v="3"/>
    <x v="74"/>
    <x v="23"/>
    <x v="7"/>
    <x v="0"/>
    <n v="142.19999999999999"/>
  </r>
  <r>
    <x v="6"/>
    <x v="3"/>
    <x v="74"/>
    <x v="23"/>
    <x v="7"/>
    <x v="1"/>
    <n v="137.4"/>
  </r>
  <r>
    <x v="6"/>
    <x v="3"/>
    <x v="74"/>
    <x v="23"/>
    <x v="7"/>
    <x v="2"/>
    <n v="132.4"/>
  </r>
  <r>
    <x v="6"/>
    <x v="3"/>
    <x v="74"/>
    <x v="18"/>
    <x v="0"/>
    <x v="0"/>
    <n v="137.4"/>
  </r>
  <r>
    <x v="6"/>
    <x v="3"/>
    <x v="74"/>
    <x v="18"/>
    <x v="0"/>
    <x v="1"/>
    <n v="133.6"/>
  </r>
  <r>
    <x v="6"/>
    <x v="3"/>
    <x v="74"/>
    <x v="18"/>
    <x v="0"/>
    <x v="2"/>
    <n v="128.30000000000001"/>
  </r>
  <r>
    <x v="6"/>
    <x v="3"/>
    <x v="74"/>
    <x v="7"/>
    <x v="0"/>
    <x v="0"/>
    <n v="124.1"/>
  </r>
  <r>
    <x v="6"/>
    <x v="3"/>
    <x v="74"/>
    <x v="7"/>
    <x v="0"/>
    <x v="1"/>
    <n v="122"/>
  </r>
  <r>
    <x v="6"/>
    <x v="3"/>
    <x v="74"/>
    <x v="7"/>
    <x v="0"/>
    <x v="2"/>
    <n v="118.4"/>
  </r>
  <r>
    <x v="6"/>
    <x v="3"/>
    <x v="74"/>
    <x v="22"/>
    <x v="7"/>
    <x v="0"/>
    <n v="162.80000000000001"/>
  </r>
  <r>
    <x v="6"/>
    <x v="3"/>
    <x v="74"/>
    <x v="22"/>
    <x v="7"/>
    <x v="1"/>
    <n v="163.4"/>
  </r>
  <r>
    <x v="6"/>
    <x v="3"/>
    <x v="74"/>
    <x v="22"/>
    <x v="7"/>
    <x v="2"/>
    <n v="164.9"/>
  </r>
  <r>
    <x v="6"/>
    <x v="3"/>
    <x v="74"/>
    <x v="24"/>
    <x v="7"/>
    <x v="0"/>
    <n v="134.9"/>
  </r>
  <r>
    <x v="6"/>
    <x v="3"/>
    <x v="74"/>
    <x v="24"/>
    <x v="7"/>
    <x v="1"/>
    <n v="134.1"/>
  </r>
  <r>
    <x v="6"/>
    <x v="3"/>
    <x v="74"/>
    <x v="24"/>
    <x v="7"/>
    <x v="2"/>
    <n v="133"/>
  </r>
  <r>
    <x v="6"/>
    <x v="3"/>
    <x v="74"/>
    <x v="20"/>
    <x v="0"/>
    <x v="0"/>
    <n v="156.19999999999999"/>
  </r>
  <r>
    <x v="6"/>
    <x v="3"/>
    <x v="74"/>
    <x v="20"/>
    <x v="0"/>
    <x v="1"/>
    <n v="154.9"/>
  </r>
  <r>
    <x v="6"/>
    <x v="3"/>
    <x v="74"/>
    <x v="20"/>
    <x v="0"/>
    <x v="2"/>
    <n v="153.5"/>
  </r>
  <r>
    <x v="6"/>
    <x v="3"/>
    <x v="74"/>
    <x v="12"/>
    <x v="0"/>
    <x v="0"/>
    <n v="121.5"/>
  </r>
  <r>
    <x v="6"/>
    <x v="3"/>
    <x v="74"/>
    <x v="12"/>
    <x v="0"/>
    <x v="1"/>
    <n v="121"/>
  </r>
  <r>
    <x v="6"/>
    <x v="3"/>
    <x v="74"/>
    <x v="12"/>
    <x v="0"/>
    <x v="2"/>
    <n v="119.9"/>
  </r>
  <r>
    <x v="6"/>
    <x v="3"/>
    <x v="74"/>
    <x v="26"/>
    <x v="9"/>
    <x v="0"/>
    <n v="143.4"/>
  </r>
  <r>
    <x v="6"/>
    <x v="3"/>
    <x v="74"/>
    <x v="26"/>
    <x v="9"/>
    <x v="1"/>
    <n v="137.1"/>
  </r>
  <r>
    <x v="6"/>
    <x v="3"/>
    <x v="74"/>
    <x v="26"/>
    <x v="9"/>
    <x v="2"/>
    <n v="132.19999999999999"/>
  </r>
  <r>
    <x v="6"/>
    <x v="3"/>
    <x v="74"/>
    <x v="16"/>
    <x v="0"/>
    <x v="0"/>
    <n v="139.19999999999999"/>
  </r>
  <r>
    <x v="6"/>
    <x v="3"/>
    <x v="74"/>
    <x v="16"/>
    <x v="0"/>
    <x v="1"/>
    <n v="139.69999999999999"/>
  </r>
  <r>
    <x v="6"/>
    <x v="3"/>
    <x v="74"/>
    <x v="16"/>
    <x v="0"/>
    <x v="2"/>
    <n v="140.80000000000001"/>
  </r>
  <r>
    <x v="6"/>
    <x v="3"/>
    <x v="74"/>
    <x v="14"/>
    <x v="0"/>
    <x v="0"/>
    <n v="108.3"/>
  </r>
  <r>
    <x v="6"/>
    <x v="3"/>
    <x v="74"/>
    <x v="14"/>
    <x v="0"/>
    <x v="1"/>
    <n v="109"/>
  </r>
  <r>
    <x v="6"/>
    <x v="3"/>
    <x v="74"/>
    <x v="14"/>
    <x v="0"/>
    <x v="2"/>
    <n v="110.4"/>
  </r>
  <r>
    <x v="6"/>
    <x v="3"/>
    <x v="74"/>
    <x v="25"/>
    <x v="8"/>
    <x v="0"/>
    <n v="129.19999999999999"/>
  </r>
  <r>
    <x v="6"/>
    <x v="3"/>
    <x v="74"/>
    <x v="25"/>
    <x v="8"/>
    <x v="1"/>
    <n v="123.9"/>
  </r>
  <r>
    <x v="6"/>
    <x v="3"/>
    <x v="74"/>
    <x v="25"/>
    <x v="8"/>
    <x v="2"/>
    <n v="119.2"/>
  </r>
  <r>
    <x v="6"/>
    <x v="3"/>
    <x v="74"/>
    <x v="11"/>
    <x v="0"/>
    <x v="0"/>
    <n v="128.69999999999999"/>
  </r>
  <r>
    <x v="6"/>
    <x v="3"/>
    <x v="74"/>
    <x v="11"/>
    <x v="0"/>
    <x v="1"/>
    <n v="129.69999999999999"/>
  </r>
  <r>
    <x v="6"/>
    <x v="3"/>
    <x v="74"/>
    <x v="11"/>
    <x v="0"/>
    <x v="2"/>
    <n v="131.6"/>
  </r>
  <r>
    <x v="6"/>
    <x v="4"/>
    <x v="75"/>
    <x v="0"/>
    <x v="0"/>
    <x v="0"/>
    <n v="136.6"/>
  </r>
  <r>
    <x v="6"/>
    <x v="4"/>
    <x v="75"/>
    <x v="0"/>
    <x v="0"/>
    <x v="1"/>
    <n v="137.1"/>
  </r>
  <r>
    <x v="6"/>
    <x v="4"/>
    <x v="75"/>
    <x v="0"/>
    <x v="0"/>
    <x v="2"/>
    <n v="138.30000000000001"/>
  </r>
  <r>
    <x v="6"/>
    <x v="4"/>
    <x v="75"/>
    <x v="1"/>
    <x v="1"/>
    <x v="0"/>
    <n v="150.6"/>
  </r>
  <r>
    <x v="6"/>
    <x v="4"/>
    <x v="75"/>
    <x v="1"/>
    <x v="1"/>
    <x v="1"/>
    <n v="147.6"/>
  </r>
  <r>
    <x v="6"/>
    <x v="4"/>
    <x v="75"/>
    <x v="1"/>
    <x v="1"/>
    <x v="2"/>
    <n v="143"/>
  </r>
  <r>
    <x v="6"/>
    <x v="4"/>
    <x v="75"/>
    <x v="3"/>
    <x v="1"/>
    <x v="0"/>
    <n v="149.9"/>
  </r>
  <r>
    <x v="6"/>
    <x v="4"/>
    <x v="75"/>
    <x v="3"/>
    <x v="1"/>
    <x v="1"/>
    <n v="146.4"/>
  </r>
  <r>
    <x v="6"/>
    <x v="4"/>
    <x v="75"/>
    <x v="3"/>
    <x v="1"/>
    <x v="2"/>
    <n v="141.1"/>
  </r>
  <r>
    <x v="6"/>
    <x v="4"/>
    <x v="75"/>
    <x v="5"/>
    <x v="2"/>
    <x v="0"/>
    <n v="155.19999999999999"/>
  </r>
  <r>
    <x v="6"/>
    <x v="4"/>
    <x v="75"/>
    <x v="5"/>
    <x v="2"/>
    <x v="1"/>
    <n v="150.19999999999999"/>
  </r>
  <r>
    <x v="6"/>
    <x v="4"/>
    <x v="75"/>
    <x v="5"/>
    <x v="2"/>
    <x v="2"/>
    <n v="146.6"/>
  </r>
  <r>
    <x v="6"/>
    <x v="4"/>
    <x v="75"/>
    <x v="4"/>
    <x v="0"/>
    <x v="0"/>
    <n v="138.19999999999999"/>
  </r>
  <r>
    <x v="6"/>
    <x v="4"/>
    <x v="75"/>
    <x v="4"/>
    <x v="0"/>
    <x v="1"/>
    <n v="140.19999999999999"/>
  </r>
  <r>
    <x v="6"/>
    <x v="4"/>
    <x v="75"/>
    <x v="4"/>
    <x v="0"/>
    <x v="2"/>
    <n v="143.5"/>
  </r>
  <r>
    <x v="6"/>
    <x v="4"/>
    <x v="75"/>
    <x v="8"/>
    <x v="0"/>
    <x v="0"/>
    <n v="137.4"/>
  </r>
  <r>
    <x v="6"/>
    <x v="4"/>
    <x v="75"/>
    <x v="8"/>
    <x v="0"/>
    <x v="1"/>
    <n v="137.4"/>
  </r>
  <r>
    <x v="6"/>
    <x v="4"/>
    <x v="75"/>
    <x v="8"/>
    <x v="0"/>
    <x v="2"/>
    <n v="137.30000000000001"/>
  </r>
  <r>
    <x v="6"/>
    <x v="4"/>
    <x v="75"/>
    <x v="10"/>
    <x v="1"/>
    <x v="0"/>
    <n v="145.1"/>
  </r>
  <r>
    <x v="6"/>
    <x v="4"/>
    <x v="75"/>
    <x v="10"/>
    <x v="1"/>
    <x v="1"/>
    <n v="139"/>
  </r>
  <r>
    <x v="6"/>
    <x v="4"/>
    <x v="75"/>
    <x v="10"/>
    <x v="1"/>
    <x v="2"/>
    <n v="130.4"/>
  </r>
  <r>
    <x v="6"/>
    <x v="4"/>
    <x v="75"/>
    <x v="9"/>
    <x v="0"/>
    <x v="0"/>
    <n v="135.5"/>
  </r>
  <r>
    <x v="6"/>
    <x v="4"/>
    <x v="75"/>
    <x v="9"/>
    <x v="0"/>
    <x v="1"/>
    <n v="135.4"/>
  </r>
  <r>
    <x v="6"/>
    <x v="4"/>
    <x v="75"/>
    <x v="9"/>
    <x v="0"/>
    <x v="2"/>
    <n v="135.19999999999999"/>
  </r>
  <r>
    <x v="6"/>
    <x v="4"/>
    <x v="75"/>
    <x v="13"/>
    <x v="3"/>
    <x v="0"/>
    <n v="146.19999999999999"/>
  </r>
  <r>
    <x v="6"/>
    <x v="4"/>
    <x v="75"/>
    <x v="13"/>
    <x v="3"/>
    <x v="1"/>
    <n v="139.5"/>
  </r>
  <r>
    <x v="6"/>
    <x v="4"/>
    <x v="75"/>
    <x v="13"/>
    <x v="3"/>
    <x v="2"/>
    <n v="128.6"/>
  </r>
  <r>
    <x v="6"/>
    <x v="4"/>
    <x v="75"/>
    <x v="15"/>
    <x v="4"/>
    <x v="0"/>
    <n v="141"/>
  </r>
  <r>
    <x v="6"/>
    <x v="4"/>
    <x v="75"/>
    <x v="15"/>
    <x v="4"/>
    <x v="1"/>
    <n v="139.6"/>
  </r>
  <r>
    <x v="6"/>
    <x v="4"/>
    <x v="75"/>
    <x v="15"/>
    <x v="4"/>
    <x v="2"/>
    <n v="138"/>
  </r>
  <r>
    <x v="6"/>
    <x v="4"/>
    <x v="75"/>
    <x v="17"/>
    <x v="5"/>
    <x v="0"/>
    <n v="149.6"/>
  </r>
  <r>
    <x v="6"/>
    <x v="4"/>
    <x v="75"/>
    <x v="17"/>
    <x v="5"/>
    <x v="1"/>
    <n v="145.1"/>
  </r>
  <r>
    <x v="6"/>
    <x v="4"/>
    <x v="75"/>
    <x v="17"/>
    <x v="5"/>
    <x v="2"/>
    <n v="137.80000000000001"/>
  </r>
  <r>
    <x v="6"/>
    <x v="4"/>
    <x v="75"/>
    <x v="19"/>
    <x v="6"/>
    <x v="0"/>
    <n v="150.1"/>
  </r>
  <r>
    <x v="6"/>
    <x v="4"/>
    <x v="75"/>
    <x v="19"/>
    <x v="6"/>
    <x v="1"/>
    <n v="143.6"/>
  </r>
  <r>
    <x v="6"/>
    <x v="4"/>
    <x v="75"/>
    <x v="19"/>
    <x v="6"/>
    <x v="2"/>
    <n v="136.30000000000001"/>
  </r>
  <r>
    <x v="6"/>
    <x v="4"/>
    <x v="75"/>
    <x v="21"/>
    <x v="6"/>
    <x v="0"/>
    <n v="0"/>
  </r>
  <r>
    <x v="6"/>
    <x v="4"/>
    <x v="75"/>
    <x v="21"/>
    <x v="6"/>
    <x v="1"/>
    <n v="147.69999999999999"/>
  </r>
  <r>
    <x v="6"/>
    <x v="4"/>
    <x v="75"/>
    <x v="21"/>
    <x v="6"/>
    <x v="2"/>
    <n v="147.69999999999999"/>
  </r>
  <r>
    <x v="6"/>
    <x v="4"/>
    <x v="75"/>
    <x v="2"/>
    <x v="0"/>
    <x v="0"/>
    <n v="152.5"/>
  </r>
  <r>
    <x v="6"/>
    <x v="4"/>
    <x v="75"/>
    <x v="2"/>
    <x v="0"/>
    <x v="1"/>
    <n v="151.4"/>
  </r>
  <r>
    <x v="6"/>
    <x v="4"/>
    <x v="75"/>
    <x v="2"/>
    <x v="0"/>
    <x v="2"/>
    <n v="149.4"/>
  </r>
  <r>
    <x v="6"/>
    <x v="4"/>
    <x v="75"/>
    <x v="6"/>
    <x v="0"/>
    <x v="0"/>
    <n v="142.4"/>
  </r>
  <r>
    <x v="6"/>
    <x v="4"/>
    <x v="75"/>
    <x v="6"/>
    <x v="0"/>
    <x v="1"/>
    <n v="142.1"/>
  </r>
  <r>
    <x v="6"/>
    <x v="4"/>
    <x v="75"/>
    <x v="6"/>
    <x v="0"/>
    <x v="2"/>
    <n v="141.69999999999999"/>
  </r>
  <r>
    <x v="6"/>
    <x v="4"/>
    <x v="75"/>
    <x v="23"/>
    <x v="7"/>
    <x v="0"/>
    <n v="141.69999999999999"/>
  </r>
  <r>
    <x v="6"/>
    <x v="4"/>
    <x v="75"/>
    <x v="23"/>
    <x v="7"/>
    <x v="1"/>
    <n v="136.9"/>
  </r>
  <r>
    <x v="6"/>
    <x v="4"/>
    <x v="75"/>
    <x v="23"/>
    <x v="7"/>
    <x v="2"/>
    <n v="131.80000000000001"/>
  </r>
  <r>
    <x v="6"/>
    <x v="4"/>
    <x v="75"/>
    <x v="18"/>
    <x v="0"/>
    <x v="0"/>
    <n v="137"/>
  </r>
  <r>
    <x v="6"/>
    <x v="4"/>
    <x v="75"/>
    <x v="18"/>
    <x v="0"/>
    <x v="1"/>
    <n v="133.30000000000001"/>
  </r>
  <r>
    <x v="6"/>
    <x v="4"/>
    <x v="75"/>
    <x v="18"/>
    <x v="0"/>
    <x v="2"/>
    <n v="128.1"/>
  </r>
  <r>
    <x v="6"/>
    <x v="4"/>
    <x v="75"/>
    <x v="7"/>
    <x v="0"/>
    <x v="0"/>
    <n v="123.9"/>
  </r>
  <r>
    <x v="6"/>
    <x v="4"/>
    <x v="75"/>
    <x v="7"/>
    <x v="0"/>
    <x v="1"/>
    <n v="121.8"/>
  </r>
  <r>
    <x v="6"/>
    <x v="4"/>
    <x v="75"/>
    <x v="7"/>
    <x v="0"/>
    <x v="2"/>
    <n v="118.1"/>
  </r>
  <r>
    <x v="6"/>
    <x v="4"/>
    <x v="75"/>
    <x v="22"/>
    <x v="7"/>
    <x v="0"/>
    <n v="162.69999999999999"/>
  </r>
  <r>
    <x v="6"/>
    <x v="4"/>
    <x v="75"/>
    <x v="22"/>
    <x v="7"/>
    <x v="1"/>
    <n v="163.19999999999999"/>
  </r>
  <r>
    <x v="6"/>
    <x v="4"/>
    <x v="75"/>
    <x v="22"/>
    <x v="7"/>
    <x v="2"/>
    <n v="164.7"/>
  </r>
  <r>
    <x v="6"/>
    <x v="4"/>
    <x v="75"/>
    <x v="24"/>
    <x v="7"/>
    <x v="0"/>
    <n v="133.5"/>
  </r>
  <r>
    <x v="6"/>
    <x v="4"/>
    <x v="75"/>
    <x v="24"/>
    <x v="7"/>
    <x v="1"/>
    <n v="132.80000000000001"/>
  </r>
  <r>
    <x v="6"/>
    <x v="4"/>
    <x v="75"/>
    <x v="24"/>
    <x v="7"/>
    <x v="2"/>
    <n v="131.69999999999999"/>
  </r>
  <r>
    <x v="6"/>
    <x v="4"/>
    <x v="75"/>
    <x v="20"/>
    <x v="0"/>
    <x v="0"/>
    <n v="155.80000000000001"/>
  </r>
  <r>
    <x v="6"/>
    <x v="4"/>
    <x v="75"/>
    <x v="20"/>
    <x v="0"/>
    <x v="1"/>
    <n v="154.6"/>
  </r>
  <r>
    <x v="6"/>
    <x v="4"/>
    <x v="75"/>
    <x v="20"/>
    <x v="0"/>
    <x v="2"/>
    <n v="153.19999999999999"/>
  </r>
  <r>
    <x v="6"/>
    <x v="4"/>
    <x v="75"/>
    <x v="12"/>
    <x v="0"/>
    <x v="0"/>
    <n v="121.3"/>
  </r>
  <r>
    <x v="6"/>
    <x v="4"/>
    <x v="75"/>
    <x v="12"/>
    <x v="0"/>
    <x v="1"/>
    <n v="120.3"/>
  </r>
  <r>
    <x v="6"/>
    <x v="4"/>
    <x v="75"/>
    <x v="12"/>
    <x v="0"/>
    <x v="2"/>
    <n v="118.2"/>
  </r>
  <r>
    <x v="6"/>
    <x v="4"/>
    <x v="75"/>
    <x v="26"/>
    <x v="9"/>
    <x v="0"/>
    <n v="142.9"/>
  </r>
  <r>
    <x v="6"/>
    <x v="4"/>
    <x v="75"/>
    <x v="26"/>
    <x v="9"/>
    <x v="1"/>
    <n v="136.69999999999999"/>
  </r>
  <r>
    <x v="6"/>
    <x v="4"/>
    <x v="75"/>
    <x v="26"/>
    <x v="9"/>
    <x v="2"/>
    <n v="131.9"/>
  </r>
  <r>
    <x v="6"/>
    <x v="4"/>
    <x v="75"/>
    <x v="16"/>
    <x v="0"/>
    <x v="0"/>
    <n v="138.9"/>
  </r>
  <r>
    <x v="6"/>
    <x v="4"/>
    <x v="75"/>
    <x v="16"/>
    <x v="0"/>
    <x v="1"/>
    <n v="139.4"/>
  </r>
  <r>
    <x v="6"/>
    <x v="4"/>
    <x v="75"/>
    <x v="16"/>
    <x v="0"/>
    <x v="2"/>
    <n v="140.4"/>
  </r>
  <r>
    <x v="6"/>
    <x v="4"/>
    <x v="75"/>
    <x v="14"/>
    <x v="0"/>
    <x v="0"/>
    <n v="108.4"/>
  </r>
  <r>
    <x v="6"/>
    <x v="4"/>
    <x v="75"/>
    <x v="14"/>
    <x v="0"/>
    <x v="1"/>
    <n v="109.1"/>
  </r>
  <r>
    <x v="6"/>
    <x v="4"/>
    <x v="75"/>
    <x v="14"/>
    <x v="0"/>
    <x v="2"/>
    <n v="110.4"/>
  </r>
  <r>
    <x v="6"/>
    <x v="4"/>
    <x v="75"/>
    <x v="25"/>
    <x v="8"/>
    <x v="0"/>
    <n v="128.6"/>
  </r>
  <r>
    <x v="6"/>
    <x v="4"/>
    <x v="75"/>
    <x v="25"/>
    <x v="8"/>
    <x v="1"/>
    <n v="123.3"/>
  </r>
  <r>
    <x v="6"/>
    <x v="4"/>
    <x v="75"/>
    <x v="25"/>
    <x v="8"/>
    <x v="2"/>
    <n v="118.6"/>
  </r>
  <r>
    <x v="6"/>
    <x v="4"/>
    <x v="75"/>
    <x v="11"/>
    <x v="0"/>
    <x v="0"/>
    <n v="131.69999999999999"/>
  </r>
  <r>
    <x v="6"/>
    <x v="4"/>
    <x v="75"/>
    <x v="11"/>
    <x v="0"/>
    <x v="1"/>
    <n v="131.30000000000001"/>
  </r>
  <r>
    <x v="6"/>
    <x v="4"/>
    <x v="75"/>
    <x v="11"/>
    <x v="0"/>
    <x v="2"/>
    <n v="130.5"/>
  </r>
  <r>
    <x v="6"/>
    <x v="5"/>
    <x v="76"/>
    <x v="0"/>
    <x v="0"/>
    <x v="0"/>
    <n v="138.4"/>
  </r>
  <r>
    <x v="6"/>
    <x v="5"/>
    <x v="76"/>
    <x v="0"/>
    <x v="0"/>
    <x v="1"/>
    <n v="139.30000000000001"/>
  </r>
  <r>
    <x v="6"/>
    <x v="5"/>
    <x v="76"/>
    <x v="0"/>
    <x v="0"/>
    <x v="2"/>
    <n v="141.4"/>
  </r>
  <r>
    <x v="6"/>
    <x v="5"/>
    <x v="76"/>
    <x v="1"/>
    <x v="1"/>
    <x v="0"/>
    <n v="151.6"/>
  </r>
  <r>
    <x v="6"/>
    <x v="5"/>
    <x v="76"/>
    <x v="1"/>
    <x v="1"/>
    <x v="1"/>
    <n v="148.9"/>
  </r>
  <r>
    <x v="6"/>
    <x v="5"/>
    <x v="76"/>
    <x v="1"/>
    <x v="1"/>
    <x v="2"/>
    <n v="144.69999999999999"/>
  </r>
  <r>
    <x v="6"/>
    <x v="5"/>
    <x v="76"/>
    <x v="3"/>
    <x v="1"/>
    <x v="0"/>
    <n v="150.9"/>
  </r>
  <r>
    <x v="6"/>
    <x v="5"/>
    <x v="76"/>
    <x v="3"/>
    <x v="1"/>
    <x v="1"/>
    <n v="147.6"/>
  </r>
  <r>
    <x v="6"/>
    <x v="5"/>
    <x v="76"/>
    <x v="3"/>
    <x v="1"/>
    <x v="2"/>
    <n v="142.69999999999999"/>
  </r>
  <r>
    <x v="6"/>
    <x v="5"/>
    <x v="76"/>
    <x v="5"/>
    <x v="2"/>
    <x v="0"/>
    <n v="159.1"/>
  </r>
  <r>
    <x v="6"/>
    <x v="5"/>
    <x v="76"/>
    <x v="5"/>
    <x v="2"/>
    <x v="1"/>
    <n v="154"/>
  </r>
  <r>
    <x v="6"/>
    <x v="5"/>
    <x v="76"/>
    <x v="5"/>
    <x v="2"/>
    <x v="2"/>
    <n v="150.4"/>
  </r>
  <r>
    <x v="6"/>
    <x v="5"/>
    <x v="76"/>
    <x v="4"/>
    <x v="0"/>
    <x v="0"/>
    <n v="138.4"/>
  </r>
  <r>
    <x v="6"/>
    <x v="5"/>
    <x v="76"/>
    <x v="4"/>
    <x v="0"/>
    <x v="1"/>
    <n v="140"/>
  </r>
  <r>
    <x v="6"/>
    <x v="5"/>
    <x v="76"/>
    <x v="4"/>
    <x v="0"/>
    <x v="2"/>
    <n v="142.5"/>
  </r>
  <r>
    <x v="6"/>
    <x v="5"/>
    <x v="76"/>
    <x v="8"/>
    <x v="0"/>
    <x v="0"/>
    <n v="143"/>
  </r>
  <r>
    <x v="6"/>
    <x v="5"/>
    <x v="76"/>
    <x v="8"/>
    <x v="0"/>
    <x v="1"/>
    <n v="144.69999999999999"/>
  </r>
  <r>
    <x v="6"/>
    <x v="5"/>
    <x v="76"/>
    <x v="8"/>
    <x v="0"/>
    <x v="2"/>
    <n v="147.69999999999999"/>
  </r>
  <r>
    <x v="6"/>
    <x v="5"/>
    <x v="76"/>
    <x v="10"/>
    <x v="1"/>
    <x v="0"/>
    <n v="146.6"/>
  </r>
  <r>
    <x v="6"/>
    <x v="5"/>
    <x v="76"/>
    <x v="10"/>
    <x v="1"/>
    <x v="1"/>
    <n v="140.5"/>
  </r>
  <r>
    <x v="6"/>
    <x v="5"/>
    <x v="76"/>
    <x v="10"/>
    <x v="1"/>
    <x v="2"/>
    <n v="131.9"/>
  </r>
  <r>
    <x v="6"/>
    <x v="5"/>
    <x v="76"/>
    <x v="9"/>
    <x v="0"/>
    <x v="0"/>
    <n v="146.4"/>
  </r>
  <r>
    <x v="6"/>
    <x v="5"/>
    <x v="76"/>
    <x v="9"/>
    <x v="0"/>
    <x v="1"/>
    <n v="150.30000000000001"/>
  </r>
  <r>
    <x v="6"/>
    <x v="5"/>
    <x v="76"/>
    <x v="9"/>
    <x v="0"/>
    <x v="2"/>
    <n v="154.69999999999999"/>
  </r>
  <r>
    <x v="6"/>
    <x v="5"/>
    <x v="76"/>
    <x v="13"/>
    <x v="3"/>
    <x v="0"/>
    <n v="146.80000000000001"/>
  </r>
  <r>
    <x v="6"/>
    <x v="5"/>
    <x v="76"/>
    <x v="13"/>
    <x v="3"/>
    <x v="1"/>
    <n v="139.30000000000001"/>
  </r>
  <r>
    <x v="6"/>
    <x v="5"/>
    <x v="76"/>
    <x v="13"/>
    <x v="3"/>
    <x v="2"/>
    <n v="127"/>
  </r>
  <r>
    <x v="6"/>
    <x v="5"/>
    <x v="76"/>
    <x v="15"/>
    <x v="4"/>
    <x v="0"/>
    <n v="144.9"/>
  </r>
  <r>
    <x v="6"/>
    <x v="5"/>
    <x v="76"/>
    <x v="15"/>
    <x v="4"/>
    <x v="1"/>
    <n v="144.19999999999999"/>
  </r>
  <r>
    <x v="6"/>
    <x v="5"/>
    <x v="76"/>
    <x v="15"/>
    <x v="4"/>
    <x v="2"/>
    <n v="143.30000000000001"/>
  </r>
  <r>
    <x v="6"/>
    <x v="5"/>
    <x v="76"/>
    <x v="17"/>
    <x v="5"/>
    <x v="0"/>
    <n v="152.19999999999999"/>
  </r>
  <r>
    <x v="6"/>
    <x v="5"/>
    <x v="76"/>
    <x v="17"/>
    <x v="5"/>
    <x v="1"/>
    <n v="147.9"/>
  </r>
  <r>
    <x v="6"/>
    <x v="5"/>
    <x v="76"/>
    <x v="17"/>
    <x v="5"/>
    <x v="2"/>
    <n v="140.80000000000001"/>
  </r>
  <r>
    <x v="6"/>
    <x v="5"/>
    <x v="76"/>
    <x v="19"/>
    <x v="6"/>
    <x v="0"/>
    <n v="150"/>
  </r>
  <r>
    <x v="6"/>
    <x v="5"/>
    <x v="76"/>
    <x v="19"/>
    <x v="6"/>
    <x v="1"/>
    <n v="144.19999999999999"/>
  </r>
  <r>
    <x v="6"/>
    <x v="5"/>
    <x v="76"/>
    <x v="19"/>
    <x v="6"/>
    <x v="2"/>
    <n v="137.69999999999999"/>
  </r>
  <r>
    <x v="6"/>
    <x v="5"/>
    <x v="76"/>
    <x v="21"/>
    <x v="6"/>
    <x v="0"/>
    <n v="0"/>
  </r>
  <r>
    <x v="6"/>
    <x v="5"/>
    <x v="76"/>
    <x v="21"/>
    <x v="6"/>
    <x v="1"/>
    <n v="150.6"/>
  </r>
  <r>
    <x v="6"/>
    <x v="5"/>
    <x v="76"/>
    <x v="21"/>
    <x v="6"/>
    <x v="2"/>
    <n v="150.6"/>
  </r>
  <r>
    <x v="6"/>
    <x v="5"/>
    <x v="76"/>
    <x v="2"/>
    <x v="0"/>
    <x v="0"/>
    <n v="164"/>
  </r>
  <r>
    <x v="6"/>
    <x v="5"/>
    <x v="76"/>
    <x v="2"/>
    <x v="0"/>
    <x v="1"/>
    <n v="162.69999999999999"/>
  </r>
  <r>
    <x v="6"/>
    <x v="5"/>
    <x v="76"/>
    <x v="2"/>
    <x v="0"/>
    <x v="2"/>
    <n v="160.19999999999999"/>
  </r>
  <r>
    <x v="6"/>
    <x v="5"/>
    <x v="76"/>
    <x v="6"/>
    <x v="0"/>
    <x v="0"/>
    <n v="143.9"/>
  </r>
  <r>
    <x v="6"/>
    <x v="5"/>
    <x v="76"/>
    <x v="6"/>
    <x v="0"/>
    <x v="1"/>
    <n v="144"/>
  </r>
  <r>
    <x v="6"/>
    <x v="5"/>
    <x v="76"/>
    <x v="6"/>
    <x v="0"/>
    <x v="2"/>
    <n v="144.1"/>
  </r>
  <r>
    <x v="6"/>
    <x v="5"/>
    <x v="76"/>
    <x v="23"/>
    <x v="7"/>
    <x v="0"/>
    <n v="144.19999999999999"/>
  </r>
  <r>
    <x v="6"/>
    <x v="5"/>
    <x v="76"/>
    <x v="23"/>
    <x v="7"/>
    <x v="1"/>
    <n v="139.5"/>
  </r>
  <r>
    <x v="6"/>
    <x v="5"/>
    <x v="76"/>
    <x v="23"/>
    <x v="7"/>
    <x v="2"/>
    <n v="134.5"/>
  </r>
  <r>
    <x v="6"/>
    <x v="5"/>
    <x v="76"/>
    <x v="18"/>
    <x v="0"/>
    <x v="0"/>
    <n v="138.5"/>
  </r>
  <r>
    <x v="6"/>
    <x v="5"/>
    <x v="76"/>
    <x v="18"/>
    <x v="0"/>
    <x v="1"/>
    <n v="134.69999999999999"/>
  </r>
  <r>
    <x v="6"/>
    <x v="5"/>
    <x v="76"/>
    <x v="18"/>
    <x v="0"/>
    <x v="2"/>
    <n v="129.5"/>
  </r>
  <r>
    <x v="6"/>
    <x v="5"/>
    <x v="76"/>
    <x v="7"/>
    <x v="0"/>
    <x v="0"/>
    <n v="124.4"/>
  </r>
  <r>
    <x v="6"/>
    <x v="5"/>
    <x v="76"/>
    <x v="7"/>
    <x v="0"/>
    <x v="1"/>
    <n v="122.5"/>
  </r>
  <r>
    <x v="6"/>
    <x v="5"/>
    <x v="76"/>
    <x v="7"/>
    <x v="0"/>
    <x v="2"/>
    <n v="119.3"/>
  </r>
  <r>
    <x v="6"/>
    <x v="5"/>
    <x v="76"/>
    <x v="22"/>
    <x v="7"/>
    <x v="0"/>
    <n v="164.5"/>
  </r>
  <r>
    <x v="6"/>
    <x v="5"/>
    <x v="76"/>
    <x v="22"/>
    <x v="7"/>
    <x v="1"/>
    <n v="165.2"/>
  </r>
  <r>
    <x v="6"/>
    <x v="5"/>
    <x v="76"/>
    <x v="22"/>
    <x v="7"/>
    <x v="2"/>
    <n v="167.2"/>
  </r>
  <r>
    <x v="6"/>
    <x v="5"/>
    <x v="76"/>
    <x v="24"/>
    <x v="7"/>
    <x v="0"/>
    <n v="136.1"/>
  </r>
  <r>
    <x v="6"/>
    <x v="5"/>
    <x v="76"/>
    <x v="24"/>
    <x v="7"/>
    <x v="1"/>
    <n v="135.69999999999999"/>
  </r>
  <r>
    <x v="6"/>
    <x v="5"/>
    <x v="76"/>
    <x v="24"/>
    <x v="7"/>
    <x v="2"/>
    <n v="135.1"/>
  </r>
  <r>
    <x v="6"/>
    <x v="5"/>
    <x v="76"/>
    <x v="20"/>
    <x v="0"/>
    <x v="0"/>
    <n v="156.69999999999999"/>
  </r>
  <r>
    <x v="6"/>
    <x v="5"/>
    <x v="76"/>
    <x v="20"/>
    <x v="0"/>
    <x v="1"/>
    <n v="156.19999999999999"/>
  </r>
  <r>
    <x v="6"/>
    <x v="5"/>
    <x v="76"/>
    <x v="20"/>
    <x v="0"/>
    <x v="2"/>
    <n v="155.6"/>
  </r>
  <r>
    <x v="6"/>
    <x v="5"/>
    <x v="76"/>
    <x v="12"/>
    <x v="0"/>
    <x v="0"/>
    <n v="130.6"/>
  </r>
  <r>
    <x v="6"/>
    <x v="5"/>
    <x v="76"/>
    <x v="12"/>
    <x v="0"/>
    <x v="1"/>
    <n v="130"/>
  </r>
  <r>
    <x v="6"/>
    <x v="5"/>
    <x v="76"/>
    <x v="12"/>
    <x v="0"/>
    <x v="2"/>
    <n v="128.9"/>
  </r>
  <r>
    <x v="6"/>
    <x v="5"/>
    <x v="76"/>
    <x v="26"/>
    <x v="9"/>
    <x v="0"/>
    <n v="147.5"/>
  </r>
  <r>
    <x v="6"/>
    <x v="5"/>
    <x v="76"/>
    <x v="26"/>
    <x v="9"/>
    <x v="1"/>
    <n v="140.5"/>
  </r>
  <r>
    <x v="6"/>
    <x v="5"/>
    <x v="76"/>
    <x v="26"/>
    <x v="9"/>
    <x v="2"/>
    <n v="135"/>
  </r>
  <r>
    <x v="6"/>
    <x v="5"/>
    <x v="76"/>
    <x v="16"/>
    <x v="0"/>
    <x v="0"/>
    <n v="141.69999999999999"/>
  </r>
  <r>
    <x v="6"/>
    <x v="5"/>
    <x v="76"/>
    <x v="16"/>
    <x v="0"/>
    <x v="1"/>
    <n v="141.69999999999999"/>
  </r>
  <r>
    <x v="6"/>
    <x v="5"/>
    <x v="76"/>
    <x v="16"/>
    <x v="0"/>
    <x v="2"/>
    <n v="141.6"/>
  </r>
  <r>
    <x v="6"/>
    <x v="5"/>
    <x v="76"/>
    <x v="14"/>
    <x v="0"/>
    <x v="0"/>
    <n v="110.8"/>
  </r>
  <r>
    <x v="6"/>
    <x v="5"/>
    <x v="76"/>
    <x v="14"/>
    <x v="0"/>
    <x v="1"/>
    <n v="111.1"/>
  </r>
  <r>
    <x v="6"/>
    <x v="5"/>
    <x v="76"/>
    <x v="14"/>
    <x v="0"/>
    <x v="2"/>
    <n v="111.8"/>
  </r>
  <r>
    <x v="6"/>
    <x v="5"/>
    <x v="76"/>
    <x v="25"/>
    <x v="8"/>
    <x v="0"/>
    <n v="131.19999999999999"/>
  </r>
  <r>
    <x v="6"/>
    <x v="5"/>
    <x v="76"/>
    <x v="25"/>
    <x v="8"/>
    <x v="1"/>
    <n v="125.6"/>
  </r>
  <r>
    <x v="6"/>
    <x v="5"/>
    <x v="76"/>
    <x v="25"/>
    <x v="8"/>
    <x v="2"/>
    <n v="120.6"/>
  </r>
  <r>
    <x v="6"/>
    <x v="5"/>
    <x v="76"/>
    <x v="11"/>
    <x v="0"/>
    <x v="0"/>
    <n v="150.1"/>
  </r>
  <r>
    <x v="6"/>
    <x v="5"/>
    <x v="76"/>
    <x v="11"/>
    <x v="0"/>
    <x v="1"/>
    <n v="160.30000000000001"/>
  </r>
  <r>
    <x v="6"/>
    <x v="5"/>
    <x v="76"/>
    <x v="11"/>
    <x v="0"/>
    <x v="2"/>
    <n v="180.1"/>
  </r>
  <r>
    <x v="6"/>
    <x v="6"/>
    <x v="77"/>
    <x v="0"/>
    <x v="0"/>
    <x v="0"/>
    <n v="137.80000000000001"/>
  </r>
  <r>
    <x v="6"/>
    <x v="6"/>
    <x v="77"/>
    <x v="0"/>
    <x v="0"/>
    <x v="1"/>
    <n v="138.69999999999999"/>
  </r>
  <r>
    <x v="6"/>
    <x v="6"/>
    <x v="77"/>
    <x v="0"/>
    <x v="0"/>
    <x v="2"/>
    <n v="140.69999999999999"/>
  </r>
  <r>
    <x v="6"/>
    <x v="6"/>
    <x v="77"/>
    <x v="1"/>
    <x v="1"/>
    <x v="0"/>
    <n v="151.4"/>
  </r>
  <r>
    <x v="6"/>
    <x v="6"/>
    <x v="77"/>
    <x v="1"/>
    <x v="1"/>
    <x v="1"/>
    <n v="148.6"/>
  </r>
  <r>
    <x v="6"/>
    <x v="6"/>
    <x v="77"/>
    <x v="1"/>
    <x v="1"/>
    <x v="2"/>
    <n v="144.30000000000001"/>
  </r>
  <r>
    <x v="6"/>
    <x v="6"/>
    <x v="77"/>
    <x v="3"/>
    <x v="1"/>
    <x v="0"/>
    <n v="150.69999999999999"/>
  </r>
  <r>
    <x v="6"/>
    <x v="6"/>
    <x v="77"/>
    <x v="3"/>
    <x v="1"/>
    <x v="1"/>
    <n v="147.4"/>
  </r>
  <r>
    <x v="6"/>
    <x v="6"/>
    <x v="77"/>
    <x v="3"/>
    <x v="1"/>
    <x v="2"/>
    <n v="142.4"/>
  </r>
  <r>
    <x v="6"/>
    <x v="6"/>
    <x v="77"/>
    <x v="5"/>
    <x v="2"/>
    <x v="0"/>
    <n v="157.69999999999999"/>
  </r>
  <r>
    <x v="6"/>
    <x v="6"/>
    <x v="77"/>
    <x v="5"/>
    <x v="2"/>
    <x v="1"/>
    <n v="152.5"/>
  </r>
  <r>
    <x v="6"/>
    <x v="6"/>
    <x v="77"/>
    <x v="5"/>
    <x v="2"/>
    <x v="2"/>
    <n v="148.9"/>
  </r>
  <r>
    <x v="6"/>
    <x v="6"/>
    <x v="77"/>
    <x v="4"/>
    <x v="0"/>
    <x v="0"/>
    <n v="136.19999999999999"/>
  </r>
  <r>
    <x v="6"/>
    <x v="6"/>
    <x v="77"/>
    <x v="4"/>
    <x v="0"/>
    <x v="1"/>
    <n v="137.80000000000001"/>
  </r>
  <r>
    <x v="6"/>
    <x v="6"/>
    <x v="77"/>
    <x v="4"/>
    <x v="0"/>
    <x v="2"/>
    <n v="140.4"/>
  </r>
  <r>
    <x v="6"/>
    <x v="6"/>
    <x v="77"/>
    <x v="8"/>
    <x v="0"/>
    <x v="0"/>
    <n v="141"/>
  </r>
  <r>
    <x v="6"/>
    <x v="6"/>
    <x v="77"/>
    <x v="8"/>
    <x v="0"/>
    <x v="1"/>
    <n v="142.69999999999999"/>
  </r>
  <r>
    <x v="6"/>
    <x v="6"/>
    <x v="77"/>
    <x v="8"/>
    <x v="0"/>
    <x v="2"/>
    <n v="145.6"/>
  </r>
  <r>
    <x v="6"/>
    <x v="6"/>
    <x v="77"/>
    <x v="10"/>
    <x v="1"/>
    <x v="0"/>
    <n v="146.5"/>
  </r>
  <r>
    <x v="6"/>
    <x v="6"/>
    <x v="77"/>
    <x v="10"/>
    <x v="1"/>
    <x v="1"/>
    <n v="140.4"/>
  </r>
  <r>
    <x v="6"/>
    <x v="6"/>
    <x v="77"/>
    <x v="10"/>
    <x v="1"/>
    <x v="2"/>
    <n v="131.69999999999999"/>
  </r>
  <r>
    <x v="6"/>
    <x v="6"/>
    <x v="77"/>
    <x v="9"/>
    <x v="0"/>
    <x v="0"/>
    <n v="143.30000000000001"/>
  </r>
  <r>
    <x v="6"/>
    <x v="6"/>
    <x v="77"/>
    <x v="9"/>
    <x v="0"/>
    <x v="1"/>
    <n v="146.80000000000001"/>
  </r>
  <r>
    <x v="6"/>
    <x v="6"/>
    <x v="77"/>
    <x v="9"/>
    <x v="0"/>
    <x v="2"/>
    <n v="150.9"/>
  </r>
  <r>
    <x v="6"/>
    <x v="6"/>
    <x v="77"/>
    <x v="13"/>
    <x v="3"/>
    <x v="0"/>
    <n v="147.80000000000001"/>
  </r>
  <r>
    <x v="6"/>
    <x v="6"/>
    <x v="77"/>
    <x v="13"/>
    <x v="3"/>
    <x v="1"/>
    <n v="141.19999999999999"/>
  </r>
  <r>
    <x v="6"/>
    <x v="6"/>
    <x v="77"/>
    <x v="13"/>
    <x v="3"/>
    <x v="2"/>
    <n v="130.5"/>
  </r>
  <r>
    <x v="6"/>
    <x v="6"/>
    <x v="77"/>
    <x v="15"/>
    <x v="4"/>
    <x v="0"/>
    <n v="143.6"/>
  </r>
  <r>
    <x v="6"/>
    <x v="6"/>
    <x v="77"/>
    <x v="15"/>
    <x v="4"/>
    <x v="1"/>
    <n v="142.9"/>
  </r>
  <r>
    <x v="6"/>
    <x v="6"/>
    <x v="77"/>
    <x v="15"/>
    <x v="4"/>
    <x v="2"/>
    <n v="142.1"/>
  </r>
  <r>
    <x v="6"/>
    <x v="6"/>
    <x v="77"/>
    <x v="17"/>
    <x v="5"/>
    <x v="0"/>
    <n v="151.69999999999999"/>
  </r>
  <r>
    <x v="6"/>
    <x v="6"/>
    <x v="77"/>
    <x v="17"/>
    <x v="5"/>
    <x v="1"/>
    <n v="147.4"/>
  </r>
  <r>
    <x v="6"/>
    <x v="6"/>
    <x v="77"/>
    <x v="17"/>
    <x v="5"/>
    <x v="2"/>
    <n v="140.30000000000001"/>
  </r>
  <r>
    <x v="6"/>
    <x v="6"/>
    <x v="77"/>
    <x v="19"/>
    <x v="6"/>
    <x v="0"/>
    <n v="149.6"/>
  </r>
  <r>
    <x v="6"/>
    <x v="6"/>
    <x v="77"/>
    <x v="19"/>
    <x v="6"/>
    <x v="1"/>
    <n v="143.80000000000001"/>
  </r>
  <r>
    <x v="6"/>
    <x v="6"/>
    <x v="77"/>
    <x v="19"/>
    <x v="6"/>
    <x v="2"/>
    <n v="137.4"/>
  </r>
  <r>
    <x v="6"/>
    <x v="6"/>
    <x v="77"/>
    <x v="21"/>
    <x v="6"/>
    <x v="0"/>
    <n v="0"/>
  </r>
  <r>
    <x v="6"/>
    <x v="6"/>
    <x v="77"/>
    <x v="21"/>
    <x v="6"/>
    <x v="1"/>
    <n v="149.4"/>
  </r>
  <r>
    <x v="6"/>
    <x v="6"/>
    <x v="77"/>
    <x v="21"/>
    <x v="6"/>
    <x v="2"/>
    <n v="149.4"/>
  </r>
  <r>
    <x v="6"/>
    <x v="6"/>
    <x v="77"/>
    <x v="2"/>
    <x v="0"/>
    <x v="0"/>
    <n v="163.5"/>
  </r>
  <r>
    <x v="6"/>
    <x v="6"/>
    <x v="77"/>
    <x v="2"/>
    <x v="0"/>
    <x v="1"/>
    <n v="162.1"/>
  </r>
  <r>
    <x v="6"/>
    <x v="6"/>
    <x v="77"/>
    <x v="2"/>
    <x v="0"/>
    <x v="2"/>
    <n v="159.6"/>
  </r>
  <r>
    <x v="6"/>
    <x v="6"/>
    <x v="77"/>
    <x v="6"/>
    <x v="0"/>
    <x v="0"/>
    <n v="143.19999999999999"/>
  </r>
  <r>
    <x v="6"/>
    <x v="6"/>
    <x v="77"/>
    <x v="6"/>
    <x v="0"/>
    <x v="1"/>
    <n v="143.30000000000001"/>
  </r>
  <r>
    <x v="6"/>
    <x v="6"/>
    <x v="77"/>
    <x v="6"/>
    <x v="0"/>
    <x v="2"/>
    <n v="143.4"/>
  </r>
  <r>
    <x v="6"/>
    <x v="6"/>
    <x v="77"/>
    <x v="23"/>
    <x v="7"/>
    <x v="0"/>
    <n v="143.30000000000001"/>
  </r>
  <r>
    <x v="6"/>
    <x v="6"/>
    <x v="77"/>
    <x v="23"/>
    <x v="7"/>
    <x v="1"/>
    <n v="138.6"/>
  </r>
  <r>
    <x v="6"/>
    <x v="6"/>
    <x v="77"/>
    <x v="23"/>
    <x v="7"/>
    <x v="2"/>
    <n v="133.6"/>
  </r>
  <r>
    <x v="6"/>
    <x v="6"/>
    <x v="77"/>
    <x v="18"/>
    <x v="0"/>
    <x v="0"/>
    <n v="138"/>
  </r>
  <r>
    <x v="6"/>
    <x v="6"/>
    <x v="77"/>
    <x v="18"/>
    <x v="0"/>
    <x v="1"/>
    <n v="134.19999999999999"/>
  </r>
  <r>
    <x v="6"/>
    <x v="6"/>
    <x v="77"/>
    <x v="18"/>
    <x v="0"/>
    <x v="2"/>
    <n v="129"/>
  </r>
  <r>
    <x v="6"/>
    <x v="6"/>
    <x v="77"/>
    <x v="7"/>
    <x v="0"/>
    <x v="0"/>
    <n v="124.3"/>
  </r>
  <r>
    <x v="6"/>
    <x v="6"/>
    <x v="77"/>
    <x v="7"/>
    <x v="0"/>
    <x v="1"/>
    <n v="122.2"/>
  </r>
  <r>
    <x v="6"/>
    <x v="6"/>
    <x v="77"/>
    <x v="7"/>
    <x v="0"/>
    <x v="2"/>
    <n v="118.6"/>
  </r>
  <r>
    <x v="6"/>
    <x v="6"/>
    <x v="77"/>
    <x v="22"/>
    <x v="7"/>
    <x v="0"/>
    <n v="164.2"/>
  </r>
  <r>
    <x v="6"/>
    <x v="6"/>
    <x v="77"/>
    <x v="22"/>
    <x v="7"/>
    <x v="1"/>
    <n v="164.9"/>
  </r>
  <r>
    <x v="6"/>
    <x v="6"/>
    <x v="77"/>
    <x v="22"/>
    <x v="7"/>
    <x v="2"/>
    <n v="166.7"/>
  </r>
  <r>
    <x v="6"/>
    <x v="6"/>
    <x v="77"/>
    <x v="24"/>
    <x v="7"/>
    <x v="0"/>
    <n v="134.80000000000001"/>
  </r>
  <r>
    <x v="6"/>
    <x v="6"/>
    <x v="77"/>
    <x v="24"/>
    <x v="7"/>
    <x v="1"/>
    <n v="134.30000000000001"/>
  </r>
  <r>
    <x v="6"/>
    <x v="6"/>
    <x v="77"/>
    <x v="24"/>
    <x v="7"/>
    <x v="2"/>
    <n v="133.69999999999999"/>
  </r>
  <r>
    <x v="6"/>
    <x v="6"/>
    <x v="77"/>
    <x v="20"/>
    <x v="0"/>
    <x v="0"/>
    <n v="156.6"/>
  </r>
  <r>
    <x v="6"/>
    <x v="6"/>
    <x v="77"/>
    <x v="20"/>
    <x v="0"/>
    <x v="1"/>
    <n v="155.9"/>
  </r>
  <r>
    <x v="6"/>
    <x v="6"/>
    <x v="77"/>
    <x v="20"/>
    <x v="0"/>
    <x v="2"/>
    <n v="155.1"/>
  </r>
  <r>
    <x v="6"/>
    <x v="6"/>
    <x v="77"/>
    <x v="12"/>
    <x v="0"/>
    <x v="0"/>
    <n v="128.69999999999999"/>
  </r>
  <r>
    <x v="6"/>
    <x v="6"/>
    <x v="77"/>
    <x v="12"/>
    <x v="0"/>
    <x v="1"/>
    <n v="128.30000000000001"/>
  </r>
  <r>
    <x v="6"/>
    <x v="6"/>
    <x v="77"/>
    <x v="12"/>
    <x v="0"/>
    <x v="2"/>
    <n v="127.4"/>
  </r>
  <r>
    <x v="6"/>
    <x v="6"/>
    <x v="77"/>
    <x v="26"/>
    <x v="9"/>
    <x v="0"/>
    <n v="146.4"/>
  </r>
  <r>
    <x v="6"/>
    <x v="6"/>
    <x v="77"/>
    <x v="26"/>
    <x v="9"/>
    <x v="1"/>
    <n v="139.6"/>
  </r>
  <r>
    <x v="6"/>
    <x v="6"/>
    <x v="77"/>
    <x v="26"/>
    <x v="9"/>
    <x v="2"/>
    <n v="134.30000000000001"/>
  </r>
  <r>
    <x v="6"/>
    <x v="6"/>
    <x v="77"/>
    <x v="16"/>
    <x v="0"/>
    <x v="0"/>
    <n v="140.4"/>
  </r>
  <r>
    <x v="6"/>
    <x v="6"/>
    <x v="77"/>
    <x v="16"/>
    <x v="0"/>
    <x v="1"/>
    <n v="140.6"/>
  </r>
  <r>
    <x v="6"/>
    <x v="6"/>
    <x v="77"/>
    <x v="16"/>
    <x v="0"/>
    <x v="2"/>
    <n v="141"/>
  </r>
  <r>
    <x v="6"/>
    <x v="6"/>
    <x v="77"/>
    <x v="14"/>
    <x v="0"/>
    <x v="0"/>
    <n v="110.6"/>
  </r>
  <r>
    <x v="6"/>
    <x v="6"/>
    <x v="77"/>
    <x v="14"/>
    <x v="0"/>
    <x v="1"/>
    <n v="111"/>
  </r>
  <r>
    <x v="6"/>
    <x v="6"/>
    <x v="77"/>
    <x v="14"/>
    <x v="0"/>
    <x v="2"/>
    <n v="111.8"/>
  </r>
  <r>
    <x v="6"/>
    <x v="6"/>
    <x v="77"/>
    <x v="25"/>
    <x v="8"/>
    <x v="0"/>
    <n v="130.19999999999999"/>
  </r>
  <r>
    <x v="6"/>
    <x v="6"/>
    <x v="77"/>
    <x v="25"/>
    <x v="8"/>
    <x v="1"/>
    <n v="124.6"/>
  </r>
  <r>
    <x v="6"/>
    <x v="6"/>
    <x v="77"/>
    <x v="25"/>
    <x v="8"/>
    <x v="2"/>
    <n v="119.6"/>
  </r>
  <r>
    <x v="6"/>
    <x v="6"/>
    <x v="77"/>
    <x v="11"/>
    <x v="0"/>
    <x v="0"/>
    <n v="140.6"/>
  </r>
  <r>
    <x v="6"/>
    <x v="6"/>
    <x v="77"/>
    <x v="11"/>
    <x v="0"/>
    <x v="1"/>
    <n v="150.5"/>
  </r>
  <r>
    <x v="6"/>
    <x v="6"/>
    <x v="77"/>
    <x v="11"/>
    <x v="0"/>
    <x v="2"/>
    <n v="169.8"/>
  </r>
  <r>
    <x v="6"/>
    <x v="7"/>
    <x v="78"/>
    <x v="0"/>
    <x v="0"/>
    <x v="0"/>
    <n v="136.9"/>
  </r>
  <r>
    <x v="6"/>
    <x v="7"/>
    <x v="78"/>
    <x v="0"/>
    <x v="0"/>
    <x v="1"/>
    <n v="137.80000000000001"/>
  </r>
  <r>
    <x v="6"/>
    <x v="7"/>
    <x v="78"/>
    <x v="0"/>
    <x v="0"/>
    <x v="2"/>
    <n v="139.69999999999999"/>
  </r>
  <r>
    <x v="6"/>
    <x v="7"/>
    <x v="78"/>
    <x v="1"/>
    <x v="1"/>
    <x v="0"/>
    <n v="150.80000000000001"/>
  </r>
  <r>
    <x v="6"/>
    <x v="7"/>
    <x v="78"/>
    <x v="1"/>
    <x v="1"/>
    <x v="1"/>
    <n v="147.9"/>
  </r>
  <r>
    <x v="6"/>
    <x v="7"/>
    <x v="78"/>
    <x v="1"/>
    <x v="1"/>
    <x v="2"/>
    <n v="143.5"/>
  </r>
  <r>
    <x v="6"/>
    <x v="7"/>
    <x v="78"/>
    <x v="3"/>
    <x v="1"/>
    <x v="0"/>
    <n v="150.1"/>
  </r>
  <r>
    <x v="6"/>
    <x v="7"/>
    <x v="78"/>
    <x v="3"/>
    <x v="1"/>
    <x v="1"/>
    <n v="146.69999999999999"/>
  </r>
  <r>
    <x v="6"/>
    <x v="7"/>
    <x v="78"/>
    <x v="3"/>
    <x v="1"/>
    <x v="2"/>
    <n v="141.6"/>
  </r>
  <r>
    <x v="6"/>
    <x v="7"/>
    <x v="78"/>
    <x v="5"/>
    <x v="2"/>
    <x v="0"/>
    <n v="155.5"/>
  </r>
  <r>
    <x v="6"/>
    <x v="7"/>
    <x v="78"/>
    <x v="5"/>
    <x v="2"/>
    <x v="1"/>
    <n v="150.30000000000001"/>
  </r>
  <r>
    <x v="6"/>
    <x v="7"/>
    <x v="78"/>
    <x v="5"/>
    <x v="2"/>
    <x v="2"/>
    <n v="146.69999999999999"/>
  </r>
  <r>
    <x v="6"/>
    <x v="7"/>
    <x v="78"/>
    <x v="4"/>
    <x v="0"/>
    <x v="0"/>
    <n v="138.69999999999999"/>
  </r>
  <r>
    <x v="6"/>
    <x v="7"/>
    <x v="78"/>
    <x v="4"/>
    <x v="0"/>
    <x v="1"/>
    <n v="140.30000000000001"/>
  </r>
  <r>
    <x v="6"/>
    <x v="7"/>
    <x v="78"/>
    <x v="4"/>
    <x v="0"/>
    <x v="2"/>
    <n v="142.9"/>
  </r>
  <r>
    <x v="6"/>
    <x v="7"/>
    <x v="78"/>
    <x v="8"/>
    <x v="0"/>
    <x v="0"/>
    <n v="137.30000000000001"/>
  </r>
  <r>
    <x v="6"/>
    <x v="7"/>
    <x v="78"/>
    <x v="8"/>
    <x v="0"/>
    <x v="1"/>
    <n v="138.1"/>
  </r>
  <r>
    <x v="6"/>
    <x v="7"/>
    <x v="78"/>
    <x v="8"/>
    <x v="0"/>
    <x v="2"/>
    <n v="139.6"/>
  </r>
  <r>
    <x v="6"/>
    <x v="7"/>
    <x v="78"/>
    <x v="10"/>
    <x v="1"/>
    <x v="0"/>
    <n v="146.1"/>
  </r>
  <r>
    <x v="6"/>
    <x v="7"/>
    <x v="78"/>
    <x v="10"/>
    <x v="1"/>
    <x v="1"/>
    <n v="139.9"/>
  </r>
  <r>
    <x v="6"/>
    <x v="7"/>
    <x v="78"/>
    <x v="10"/>
    <x v="1"/>
    <x v="2"/>
    <n v="131.19999999999999"/>
  </r>
  <r>
    <x v="6"/>
    <x v="7"/>
    <x v="78"/>
    <x v="9"/>
    <x v="0"/>
    <x v="0"/>
    <n v="136.1"/>
  </r>
  <r>
    <x v="6"/>
    <x v="7"/>
    <x v="78"/>
    <x v="9"/>
    <x v="0"/>
    <x v="1"/>
    <n v="137.6"/>
  </r>
  <r>
    <x v="6"/>
    <x v="7"/>
    <x v="78"/>
    <x v="9"/>
    <x v="0"/>
    <x v="2"/>
    <n v="139.4"/>
  </r>
  <r>
    <x v="6"/>
    <x v="7"/>
    <x v="78"/>
    <x v="13"/>
    <x v="3"/>
    <x v="0"/>
    <n v="146.4"/>
  </r>
  <r>
    <x v="6"/>
    <x v="7"/>
    <x v="78"/>
    <x v="13"/>
    <x v="3"/>
    <x v="1"/>
    <n v="139.69999999999999"/>
  </r>
  <r>
    <x v="6"/>
    <x v="7"/>
    <x v="78"/>
    <x v="13"/>
    <x v="3"/>
    <x v="2"/>
    <n v="128.80000000000001"/>
  </r>
  <r>
    <x v="6"/>
    <x v="7"/>
    <x v="78"/>
    <x v="15"/>
    <x v="4"/>
    <x v="0"/>
    <n v="141.19999999999999"/>
  </r>
  <r>
    <x v="6"/>
    <x v="7"/>
    <x v="78"/>
    <x v="15"/>
    <x v="4"/>
    <x v="1"/>
    <n v="140.4"/>
  </r>
  <r>
    <x v="6"/>
    <x v="7"/>
    <x v="78"/>
    <x v="15"/>
    <x v="4"/>
    <x v="2"/>
    <n v="139.5"/>
  </r>
  <r>
    <x v="6"/>
    <x v="7"/>
    <x v="78"/>
    <x v="17"/>
    <x v="5"/>
    <x v="0"/>
    <n v="150.4"/>
  </r>
  <r>
    <x v="6"/>
    <x v="7"/>
    <x v="78"/>
    <x v="17"/>
    <x v="5"/>
    <x v="1"/>
    <n v="146.19999999999999"/>
  </r>
  <r>
    <x v="6"/>
    <x v="7"/>
    <x v="78"/>
    <x v="17"/>
    <x v="5"/>
    <x v="2"/>
    <n v="139.19999999999999"/>
  </r>
  <r>
    <x v="6"/>
    <x v="7"/>
    <x v="78"/>
    <x v="19"/>
    <x v="6"/>
    <x v="0"/>
    <n v="150"/>
  </r>
  <r>
    <x v="6"/>
    <x v="7"/>
    <x v="78"/>
    <x v="19"/>
    <x v="6"/>
    <x v="1"/>
    <n v="143.80000000000001"/>
  </r>
  <r>
    <x v="6"/>
    <x v="7"/>
    <x v="78"/>
    <x v="19"/>
    <x v="6"/>
    <x v="2"/>
    <n v="136.80000000000001"/>
  </r>
  <r>
    <x v="6"/>
    <x v="7"/>
    <x v="78"/>
    <x v="21"/>
    <x v="6"/>
    <x v="0"/>
    <n v="0"/>
  </r>
  <r>
    <x v="6"/>
    <x v="7"/>
    <x v="78"/>
    <x v="21"/>
    <x v="6"/>
    <x v="1"/>
    <n v="149"/>
  </r>
  <r>
    <x v="6"/>
    <x v="7"/>
    <x v="78"/>
    <x v="21"/>
    <x v="6"/>
    <x v="2"/>
    <n v="149"/>
  </r>
  <r>
    <x v="6"/>
    <x v="7"/>
    <x v="78"/>
    <x v="2"/>
    <x v="0"/>
    <x v="0"/>
    <n v="154.1"/>
  </r>
  <r>
    <x v="6"/>
    <x v="7"/>
    <x v="78"/>
    <x v="2"/>
    <x v="0"/>
    <x v="1"/>
    <n v="153"/>
  </r>
  <r>
    <x v="6"/>
    <x v="7"/>
    <x v="78"/>
    <x v="2"/>
    <x v="0"/>
    <x v="2"/>
    <n v="151.1"/>
  </r>
  <r>
    <x v="6"/>
    <x v="7"/>
    <x v="78"/>
    <x v="6"/>
    <x v="0"/>
    <x v="0"/>
    <n v="142.5"/>
  </r>
  <r>
    <x v="6"/>
    <x v="7"/>
    <x v="78"/>
    <x v="6"/>
    <x v="0"/>
    <x v="1"/>
    <n v="142.30000000000001"/>
  </r>
  <r>
    <x v="6"/>
    <x v="7"/>
    <x v="78"/>
    <x v="6"/>
    <x v="0"/>
    <x v="2"/>
    <n v="141.9"/>
  </r>
  <r>
    <x v="6"/>
    <x v="7"/>
    <x v="78"/>
    <x v="23"/>
    <x v="7"/>
    <x v="0"/>
    <n v="142.4"/>
  </r>
  <r>
    <x v="6"/>
    <x v="7"/>
    <x v="78"/>
    <x v="23"/>
    <x v="7"/>
    <x v="1"/>
    <n v="137.69999999999999"/>
  </r>
  <r>
    <x v="6"/>
    <x v="7"/>
    <x v="78"/>
    <x v="23"/>
    <x v="7"/>
    <x v="2"/>
    <n v="132.80000000000001"/>
  </r>
  <r>
    <x v="6"/>
    <x v="7"/>
    <x v="78"/>
    <x v="18"/>
    <x v="0"/>
    <x v="0"/>
    <n v="137.4"/>
  </r>
  <r>
    <x v="6"/>
    <x v="7"/>
    <x v="78"/>
    <x v="18"/>
    <x v="0"/>
    <x v="1"/>
    <n v="133.69999999999999"/>
  </r>
  <r>
    <x v="6"/>
    <x v="7"/>
    <x v="78"/>
    <x v="18"/>
    <x v="0"/>
    <x v="2"/>
    <n v="128.5"/>
  </r>
  <r>
    <x v="6"/>
    <x v="7"/>
    <x v="78"/>
    <x v="7"/>
    <x v="0"/>
    <x v="0"/>
    <n v="124.1"/>
  </r>
  <r>
    <x v="6"/>
    <x v="7"/>
    <x v="78"/>
    <x v="7"/>
    <x v="0"/>
    <x v="1"/>
    <n v="122"/>
  </r>
  <r>
    <x v="6"/>
    <x v="7"/>
    <x v="78"/>
    <x v="7"/>
    <x v="0"/>
    <x v="2"/>
    <n v="118.4"/>
  </r>
  <r>
    <x v="6"/>
    <x v="7"/>
    <x v="78"/>
    <x v="22"/>
    <x v="7"/>
    <x v="0"/>
    <n v="162.9"/>
  </r>
  <r>
    <x v="6"/>
    <x v="7"/>
    <x v="78"/>
    <x v="22"/>
    <x v="7"/>
    <x v="1"/>
    <n v="163.5"/>
  </r>
  <r>
    <x v="6"/>
    <x v="7"/>
    <x v="78"/>
    <x v="22"/>
    <x v="7"/>
    <x v="2"/>
    <n v="165.3"/>
  </r>
  <r>
    <x v="6"/>
    <x v="7"/>
    <x v="78"/>
    <x v="24"/>
    <x v="7"/>
    <x v="0"/>
    <n v="134"/>
  </r>
  <r>
    <x v="6"/>
    <x v="7"/>
    <x v="78"/>
    <x v="24"/>
    <x v="7"/>
    <x v="1"/>
    <n v="133.4"/>
  </r>
  <r>
    <x v="6"/>
    <x v="7"/>
    <x v="78"/>
    <x v="24"/>
    <x v="7"/>
    <x v="2"/>
    <n v="132.5"/>
  </r>
  <r>
    <x v="6"/>
    <x v="7"/>
    <x v="78"/>
    <x v="20"/>
    <x v="0"/>
    <x v="0"/>
    <n v="156.4"/>
  </r>
  <r>
    <x v="6"/>
    <x v="7"/>
    <x v="78"/>
    <x v="20"/>
    <x v="0"/>
    <x v="1"/>
    <n v="155.19999999999999"/>
  </r>
  <r>
    <x v="6"/>
    <x v="7"/>
    <x v="78"/>
    <x v="20"/>
    <x v="0"/>
    <x v="2"/>
    <n v="153.9"/>
  </r>
  <r>
    <x v="6"/>
    <x v="7"/>
    <x v="78"/>
    <x v="12"/>
    <x v="0"/>
    <x v="0"/>
    <n v="122.3"/>
  </r>
  <r>
    <x v="6"/>
    <x v="7"/>
    <x v="78"/>
    <x v="12"/>
    <x v="0"/>
    <x v="1"/>
    <n v="121.8"/>
  </r>
  <r>
    <x v="6"/>
    <x v="7"/>
    <x v="78"/>
    <x v="12"/>
    <x v="0"/>
    <x v="2"/>
    <n v="120.7"/>
  </r>
  <r>
    <x v="6"/>
    <x v="7"/>
    <x v="78"/>
    <x v="26"/>
    <x v="9"/>
    <x v="0"/>
    <n v="143.80000000000001"/>
  </r>
  <r>
    <x v="6"/>
    <x v="7"/>
    <x v="78"/>
    <x v="26"/>
    <x v="9"/>
    <x v="1"/>
    <n v="137.69999999999999"/>
  </r>
  <r>
    <x v="6"/>
    <x v="7"/>
    <x v="78"/>
    <x v="26"/>
    <x v="9"/>
    <x v="2"/>
    <n v="133"/>
  </r>
  <r>
    <x v="6"/>
    <x v="7"/>
    <x v="78"/>
    <x v="16"/>
    <x v="0"/>
    <x v="0"/>
    <n v="138.9"/>
  </r>
  <r>
    <x v="6"/>
    <x v="7"/>
    <x v="78"/>
    <x v="16"/>
    <x v="0"/>
    <x v="1"/>
    <n v="139.5"/>
  </r>
  <r>
    <x v="6"/>
    <x v="7"/>
    <x v="78"/>
    <x v="16"/>
    <x v="0"/>
    <x v="2"/>
    <n v="140.69999999999999"/>
  </r>
  <r>
    <x v="6"/>
    <x v="7"/>
    <x v="78"/>
    <x v="14"/>
    <x v="0"/>
    <x v="0"/>
    <n v="108.3"/>
  </r>
  <r>
    <x v="6"/>
    <x v="7"/>
    <x v="78"/>
    <x v="14"/>
    <x v="0"/>
    <x v="1"/>
    <n v="109"/>
  </r>
  <r>
    <x v="6"/>
    <x v="7"/>
    <x v="78"/>
    <x v="14"/>
    <x v="0"/>
    <x v="2"/>
    <n v="110.4"/>
  </r>
  <r>
    <x v="6"/>
    <x v="7"/>
    <x v="78"/>
    <x v="25"/>
    <x v="8"/>
    <x v="0"/>
    <n v="129.9"/>
  </r>
  <r>
    <x v="6"/>
    <x v="7"/>
    <x v="78"/>
    <x v="25"/>
    <x v="8"/>
    <x v="1"/>
    <n v="124.6"/>
  </r>
  <r>
    <x v="6"/>
    <x v="7"/>
    <x v="78"/>
    <x v="25"/>
    <x v="8"/>
    <x v="2"/>
    <n v="119.9"/>
  </r>
  <r>
    <x v="6"/>
    <x v="7"/>
    <x v="78"/>
    <x v="11"/>
    <x v="0"/>
    <x v="0"/>
    <n v="128.19999999999999"/>
  </r>
  <r>
    <x v="6"/>
    <x v="7"/>
    <x v="78"/>
    <x v="11"/>
    <x v="0"/>
    <x v="1"/>
    <n v="132.6"/>
  </r>
  <r>
    <x v="6"/>
    <x v="7"/>
    <x v="78"/>
    <x v="11"/>
    <x v="0"/>
    <x v="2"/>
    <n v="141.19999999999999"/>
  </r>
  <r>
    <x v="6"/>
    <x v="8"/>
    <x v="79"/>
    <x v="0"/>
    <x v="0"/>
    <x v="0"/>
    <n v="137.4"/>
  </r>
  <r>
    <x v="6"/>
    <x v="8"/>
    <x v="79"/>
    <x v="0"/>
    <x v="0"/>
    <x v="1"/>
    <n v="138.30000000000001"/>
  </r>
  <r>
    <x v="6"/>
    <x v="8"/>
    <x v="79"/>
    <x v="0"/>
    <x v="0"/>
    <x v="2"/>
    <n v="140.4"/>
  </r>
  <r>
    <x v="6"/>
    <x v="8"/>
    <x v="79"/>
    <x v="1"/>
    <x v="1"/>
    <x v="0"/>
    <n v="151.30000000000001"/>
  </r>
  <r>
    <x v="6"/>
    <x v="8"/>
    <x v="79"/>
    <x v="1"/>
    <x v="1"/>
    <x v="1"/>
    <n v="148.4"/>
  </r>
  <r>
    <x v="6"/>
    <x v="8"/>
    <x v="79"/>
    <x v="1"/>
    <x v="1"/>
    <x v="2"/>
    <n v="144"/>
  </r>
  <r>
    <x v="6"/>
    <x v="8"/>
    <x v="79"/>
    <x v="3"/>
    <x v="1"/>
    <x v="0"/>
    <n v="150.69999999999999"/>
  </r>
  <r>
    <x v="6"/>
    <x v="8"/>
    <x v="79"/>
    <x v="3"/>
    <x v="1"/>
    <x v="1"/>
    <n v="147.30000000000001"/>
  </r>
  <r>
    <x v="6"/>
    <x v="8"/>
    <x v="79"/>
    <x v="3"/>
    <x v="1"/>
    <x v="2"/>
    <n v="142.19999999999999"/>
  </r>
  <r>
    <x v="6"/>
    <x v="8"/>
    <x v="79"/>
    <x v="5"/>
    <x v="2"/>
    <x v="0"/>
    <n v="156.69999999999999"/>
  </r>
  <r>
    <x v="6"/>
    <x v="8"/>
    <x v="79"/>
    <x v="5"/>
    <x v="2"/>
    <x v="1"/>
    <n v="151.6"/>
  </r>
  <r>
    <x v="6"/>
    <x v="8"/>
    <x v="79"/>
    <x v="5"/>
    <x v="2"/>
    <x v="2"/>
    <n v="148"/>
  </r>
  <r>
    <x v="6"/>
    <x v="8"/>
    <x v="79"/>
    <x v="4"/>
    <x v="0"/>
    <x v="0"/>
    <n v="134.5"/>
  </r>
  <r>
    <x v="6"/>
    <x v="8"/>
    <x v="79"/>
    <x v="4"/>
    <x v="0"/>
    <x v="1"/>
    <n v="136"/>
  </r>
  <r>
    <x v="6"/>
    <x v="8"/>
    <x v="79"/>
    <x v="4"/>
    <x v="0"/>
    <x v="2"/>
    <n v="138.30000000000001"/>
  </r>
  <r>
    <x v="6"/>
    <x v="8"/>
    <x v="79"/>
    <x v="8"/>
    <x v="0"/>
    <x v="0"/>
    <n v="139.19999999999999"/>
  </r>
  <r>
    <x v="6"/>
    <x v="8"/>
    <x v="79"/>
    <x v="8"/>
    <x v="0"/>
    <x v="1"/>
    <n v="140.9"/>
  </r>
  <r>
    <x v="6"/>
    <x v="8"/>
    <x v="79"/>
    <x v="8"/>
    <x v="0"/>
    <x v="2"/>
    <n v="143.80000000000001"/>
  </r>
  <r>
    <x v="6"/>
    <x v="8"/>
    <x v="79"/>
    <x v="10"/>
    <x v="1"/>
    <x v="0"/>
    <n v="146.6"/>
  </r>
  <r>
    <x v="6"/>
    <x v="8"/>
    <x v="79"/>
    <x v="10"/>
    <x v="1"/>
    <x v="1"/>
    <n v="140.4"/>
  </r>
  <r>
    <x v="6"/>
    <x v="8"/>
    <x v="79"/>
    <x v="10"/>
    <x v="1"/>
    <x v="2"/>
    <n v="131.69999999999999"/>
  </r>
  <r>
    <x v="6"/>
    <x v="8"/>
    <x v="79"/>
    <x v="9"/>
    <x v="0"/>
    <x v="0"/>
    <n v="143.69999999999999"/>
  </r>
  <r>
    <x v="6"/>
    <x v="8"/>
    <x v="79"/>
    <x v="9"/>
    <x v="0"/>
    <x v="1"/>
    <n v="146.5"/>
  </r>
  <r>
    <x v="6"/>
    <x v="8"/>
    <x v="79"/>
    <x v="9"/>
    <x v="0"/>
    <x v="2"/>
    <n v="149.69999999999999"/>
  </r>
  <r>
    <x v="6"/>
    <x v="8"/>
    <x v="79"/>
    <x v="13"/>
    <x v="3"/>
    <x v="0"/>
    <n v="146.9"/>
  </r>
  <r>
    <x v="6"/>
    <x v="8"/>
    <x v="79"/>
    <x v="13"/>
    <x v="3"/>
    <x v="1"/>
    <n v="140.30000000000001"/>
  </r>
  <r>
    <x v="6"/>
    <x v="8"/>
    <x v="79"/>
    <x v="13"/>
    <x v="3"/>
    <x v="2"/>
    <n v="129.4"/>
  </r>
  <r>
    <x v="6"/>
    <x v="8"/>
    <x v="79"/>
    <x v="15"/>
    <x v="4"/>
    <x v="0"/>
    <n v="142.4"/>
  </r>
  <r>
    <x v="6"/>
    <x v="8"/>
    <x v="79"/>
    <x v="15"/>
    <x v="4"/>
    <x v="1"/>
    <n v="142"/>
  </r>
  <r>
    <x v="6"/>
    <x v="8"/>
    <x v="79"/>
    <x v="15"/>
    <x v="4"/>
    <x v="2"/>
    <n v="141.5"/>
  </r>
  <r>
    <x v="6"/>
    <x v="8"/>
    <x v="79"/>
    <x v="17"/>
    <x v="5"/>
    <x v="0"/>
    <n v="151.30000000000001"/>
  </r>
  <r>
    <x v="6"/>
    <x v="8"/>
    <x v="79"/>
    <x v="17"/>
    <x v="5"/>
    <x v="1"/>
    <n v="146.9"/>
  </r>
  <r>
    <x v="6"/>
    <x v="8"/>
    <x v="79"/>
    <x v="17"/>
    <x v="5"/>
    <x v="2"/>
    <n v="139.80000000000001"/>
  </r>
  <r>
    <x v="6"/>
    <x v="8"/>
    <x v="79"/>
    <x v="19"/>
    <x v="6"/>
    <x v="0"/>
    <n v="149.5"/>
  </r>
  <r>
    <x v="6"/>
    <x v="8"/>
    <x v="79"/>
    <x v="19"/>
    <x v="6"/>
    <x v="1"/>
    <n v="143.69999999999999"/>
  </r>
  <r>
    <x v="6"/>
    <x v="8"/>
    <x v="79"/>
    <x v="19"/>
    <x v="6"/>
    <x v="2"/>
    <n v="137.19999999999999"/>
  </r>
  <r>
    <x v="6"/>
    <x v="8"/>
    <x v="79"/>
    <x v="21"/>
    <x v="6"/>
    <x v="0"/>
    <n v="0"/>
  </r>
  <r>
    <x v="6"/>
    <x v="8"/>
    <x v="79"/>
    <x v="21"/>
    <x v="6"/>
    <x v="1"/>
    <n v="150.1"/>
  </r>
  <r>
    <x v="6"/>
    <x v="8"/>
    <x v="79"/>
    <x v="21"/>
    <x v="6"/>
    <x v="2"/>
    <n v="150.1"/>
  </r>
  <r>
    <x v="6"/>
    <x v="8"/>
    <x v="79"/>
    <x v="2"/>
    <x v="0"/>
    <x v="0"/>
    <n v="159.5"/>
  </r>
  <r>
    <x v="6"/>
    <x v="8"/>
    <x v="79"/>
    <x v="2"/>
    <x v="0"/>
    <x v="1"/>
    <n v="158.5"/>
  </r>
  <r>
    <x v="6"/>
    <x v="8"/>
    <x v="79"/>
    <x v="2"/>
    <x v="0"/>
    <x v="2"/>
    <n v="156.69999999999999"/>
  </r>
  <r>
    <x v="6"/>
    <x v="8"/>
    <x v="79"/>
    <x v="6"/>
    <x v="0"/>
    <x v="0"/>
    <n v="142.6"/>
  </r>
  <r>
    <x v="6"/>
    <x v="8"/>
    <x v="79"/>
    <x v="6"/>
    <x v="0"/>
    <x v="1"/>
    <n v="142.5"/>
  </r>
  <r>
    <x v="6"/>
    <x v="8"/>
    <x v="79"/>
    <x v="6"/>
    <x v="0"/>
    <x v="2"/>
    <n v="142.4"/>
  </r>
  <r>
    <x v="6"/>
    <x v="8"/>
    <x v="79"/>
    <x v="23"/>
    <x v="7"/>
    <x v="0"/>
    <n v="142.9"/>
  </r>
  <r>
    <x v="6"/>
    <x v="8"/>
    <x v="79"/>
    <x v="23"/>
    <x v="7"/>
    <x v="1"/>
    <n v="138.19999999999999"/>
  </r>
  <r>
    <x v="6"/>
    <x v="8"/>
    <x v="79"/>
    <x v="23"/>
    <x v="7"/>
    <x v="2"/>
    <n v="133.30000000000001"/>
  </r>
  <r>
    <x v="6"/>
    <x v="8"/>
    <x v="79"/>
    <x v="18"/>
    <x v="0"/>
    <x v="0"/>
    <n v="137.69999999999999"/>
  </r>
  <r>
    <x v="6"/>
    <x v="8"/>
    <x v="79"/>
    <x v="18"/>
    <x v="0"/>
    <x v="1"/>
    <n v="134"/>
  </r>
  <r>
    <x v="6"/>
    <x v="8"/>
    <x v="79"/>
    <x v="18"/>
    <x v="0"/>
    <x v="2"/>
    <n v="128.9"/>
  </r>
  <r>
    <x v="6"/>
    <x v="8"/>
    <x v="79"/>
    <x v="7"/>
    <x v="0"/>
    <x v="0"/>
    <n v="124"/>
  </r>
  <r>
    <x v="6"/>
    <x v="8"/>
    <x v="79"/>
    <x v="7"/>
    <x v="0"/>
    <x v="1"/>
    <n v="122"/>
  </r>
  <r>
    <x v="6"/>
    <x v="8"/>
    <x v="79"/>
    <x v="7"/>
    <x v="0"/>
    <x v="2"/>
    <n v="118.6"/>
  </r>
  <r>
    <x v="6"/>
    <x v="8"/>
    <x v="79"/>
    <x v="22"/>
    <x v="7"/>
    <x v="0"/>
    <n v="163.30000000000001"/>
  </r>
  <r>
    <x v="6"/>
    <x v="8"/>
    <x v="79"/>
    <x v="22"/>
    <x v="7"/>
    <x v="1"/>
    <n v="164.1"/>
  </r>
  <r>
    <x v="6"/>
    <x v="8"/>
    <x v="79"/>
    <x v="22"/>
    <x v="7"/>
    <x v="2"/>
    <n v="166.2"/>
  </r>
  <r>
    <x v="6"/>
    <x v="8"/>
    <x v="79"/>
    <x v="24"/>
    <x v="7"/>
    <x v="0"/>
    <n v="133.9"/>
  </r>
  <r>
    <x v="6"/>
    <x v="8"/>
    <x v="79"/>
    <x v="24"/>
    <x v="7"/>
    <x v="1"/>
    <n v="133.4"/>
  </r>
  <r>
    <x v="6"/>
    <x v="8"/>
    <x v="79"/>
    <x v="24"/>
    <x v="7"/>
    <x v="2"/>
    <n v="132.6"/>
  </r>
  <r>
    <x v="6"/>
    <x v="8"/>
    <x v="79"/>
    <x v="20"/>
    <x v="0"/>
    <x v="0"/>
    <n v="156.4"/>
  </r>
  <r>
    <x v="6"/>
    <x v="8"/>
    <x v="79"/>
    <x v="20"/>
    <x v="0"/>
    <x v="1"/>
    <n v="155.5"/>
  </r>
  <r>
    <x v="6"/>
    <x v="8"/>
    <x v="79"/>
    <x v="20"/>
    <x v="0"/>
    <x v="2"/>
    <n v="154.5"/>
  </r>
  <r>
    <x v="6"/>
    <x v="8"/>
    <x v="79"/>
    <x v="12"/>
    <x v="0"/>
    <x v="0"/>
    <n v="125.1"/>
  </r>
  <r>
    <x v="6"/>
    <x v="8"/>
    <x v="79"/>
    <x v="12"/>
    <x v="0"/>
    <x v="1"/>
    <n v="124.9"/>
  </r>
  <r>
    <x v="6"/>
    <x v="8"/>
    <x v="79"/>
    <x v="12"/>
    <x v="0"/>
    <x v="2"/>
    <n v="124.4"/>
  </r>
  <r>
    <x v="6"/>
    <x v="8"/>
    <x v="79"/>
    <x v="26"/>
    <x v="9"/>
    <x v="0"/>
    <n v="145.9"/>
  </r>
  <r>
    <x v="6"/>
    <x v="8"/>
    <x v="79"/>
    <x v="26"/>
    <x v="9"/>
    <x v="1"/>
    <n v="139.19999999999999"/>
  </r>
  <r>
    <x v="6"/>
    <x v="8"/>
    <x v="79"/>
    <x v="26"/>
    <x v="9"/>
    <x v="2"/>
    <n v="134"/>
  </r>
  <r>
    <x v="6"/>
    <x v="8"/>
    <x v="79"/>
    <x v="16"/>
    <x v="0"/>
    <x v="0"/>
    <n v="139.30000000000001"/>
  </r>
  <r>
    <x v="6"/>
    <x v="8"/>
    <x v="79"/>
    <x v="16"/>
    <x v="0"/>
    <x v="1"/>
    <n v="139.9"/>
  </r>
  <r>
    <x v="6"/>
    <x v="8"/>
    <x v="79"/>
    <x v="16"/>
    <x v="0"/>
    <x v="2"/>
    <n v="141"/>
  </r>
  <r>
    <x v="6"/>
    <x v="8"/>
    <x v="79"/>
    <x v="14"/>
    <x v="0"/>
    <x v="0"/>
    <n v="109.3"/>
  </r>
  <r>
    <x v="6"/>
    <x v="8"/>
    <x v="79"/>
    <x v="14"/>
    <x v="0"/>
    <x v="1"/>
    <n v="109.9"/>
  </r>
  <r>
    <x v="6"/>
    <x v="8"/>
    <x v="79"/>
    <x v="14"/>
    <x v="0"/>
    <x v="2"/>
    <n v="111.2"/>
  </r>
  <r>
    <x v="6"/>
    <x v="8"/>
    <x v="79"/>
    <x v="25"/>
    <x v="8"/>
    <x v="0"/>
    <n v="130.19999999999999"/>
  </r>
  <r>
    <x v="6"/>
    <x v="8"/>
    <x v="79"/>
    <x v="25"/>
    <x v="8"/>
    <x v="1"/>
    <n v="124.9"/>
  </r>
  <r>
    <x v="6"/>
    <x v="8"/>
    <x v="79"/>
    <x v="25"/>
    <x v="8"/>
    <x v="2"/>
    <n v="120.1"/>
  </r>
  <r>
    <x v="6"/>
    <x v="8"/>
    <x v="79"/>
    <x v="11"/>
    <x v="0"/>
    <x v="0"/>
    <n v="133.4"/>
  </r>
  <r>
    <x v="6"/>
    <x v="8"/>
    <x v="79"/>
    <x v="11"/>
    <x v="0"/>
    <x v="1"/>
    <n v="143"/>
  </r>
  <r>
    <x v="6"/>
    <x v="8"/>
    <x v="79"/>
    <x v="11"/>
    <x v="0"/>
    <x v="2"/>
    <n v="161.6"/>
  </r>
  <r>
    <x v="6"/>
    <x v="9"/>
    <x v="80"/>
    <x v="0"/>
    <x v="0"/>
    <x v="0"/>
    <n v="141.80000000000001"/>
  </r>
  <r>
    <x v="6"/>
    <x v="9"/>
    <x v="80"/>
    <x v="0"/>
    <x v="0"/>
    <x v="1"/>
    <n v="142.5"/>
  </r>
  <r>
    <x v="6"/>
    <x v="9"/>
    <x v="80"/>
    <x v="0"/>
    <x v="0"/>
    <x v="2"/>
    <n v="144.1"/>
  </r>
  <r>
    <x v="6"/>
    <x v="9"/>
    <x v="80"/>
    <x v="1"/>
    <x v="1"/>
    <x v="0"/>
    <n v="152.30000000000001"/>
  </r>
  <r>
    <x v="6"/>
    <x v="9"/>
    <x v="80"/>
    <x v="1"/>
    <x v="1"/>
    <x v="1"/>
    <n v="149.9"/>
  </r>
  <r>
    <x v="6"/>
    <x v="9"/>
    <x v="80"/>
    <x v="1"/>
    <x v="1"/>
    <x v="2"/>
    <n v="146.30000000000001"/>
  </r>
  <r>
    <x v="6"/>
    <x v="9"/>
    <x v="80"/>
    <x v="3"/>
    <x v="1"/>
    <x v="0"/>
    <n v="151.5"/>
  </r>
  <r>
    <x v="6"/>
    <x v="9"/>
    <x v="80"/>
    <x v="3"/>
    <x v="1"/>
    <x v="1"/>
    <n v="148.6"/>
  </r>
  <r>
    <x v="6"/>
    <x v="9"/>
    <x v="80"/>
    <x v="3"/>
    <x v="1"/>
    <x v="2"/>
    <n v="144.19999999999999"/>
  </r>
  <r>
    <x v="6"/>
    <x v="9"/>
    <x v="80"/>
    <x v="5"/>
    <x v="2"/>
    <x v="0"/>
    <n v="160.80000000000001"/>
  </r>
  <r>
    <x v="6"/>
    <x v="9"/>
    <x v="80"/>
    <x v="5"/>
    <x v="2"/>
    <x v="1"/>
    <n v="155.5"/>
  </r>
  <r>
    <x v="6"/>
    <x v="9"/>
    <x v="80"/>
    <x v="5"/>
    <x v="2"/>
    <x v="2"/>
    <n v="151.80000000000001"/>
  </r>
  <r>
    <x v="6"/>
    <x v="9"/>
    <x v="80"/>
    <x v="4"/>
    <x v="0"/>
    <x v="0"/>
    <n v="143.80000000000001"/>
  </r>
  <r>
    <x v="6"/>
    <x v="9"/>
    <x v="80"/>
    <x v="4"/>
    <x v="0"/>
    <x v="1"/>
    <n v="145.6"/>
  </r>
  <r>
    <x v="6"/>
    <x v="9"/>
    <x v="80"/>
    <x v="4"/>
    <x v="0"/>
    <x v="2"/>
    <n v="148.4"/>
  </r>
  <r>
    <x v="6"/>
    <x v="9"/>
    <x v="80"/>
    <x v="8"/>
    <x v="0"/>
    <x v="0"/>
    <n v="150.9"/>
  </r>
  <r>
    <x v="6"/>
    <x v="9"/>
    <x v="80"/>
    <x v="8"/>
    <x v="0"/>
    <x v="1"/>
    <n v="151.9"/>
  </r>
  <r>
    <x v="6"/>
    <x v="9"/>
    <x v="80"/>
    <x v="8"/>
    <x v="0"/>
    <x v="2"/>
    <n v="153.6"/>
  </r>
  <r>
    <x v="6"/>
    <x v="9"/>
    <x v="80"/>
    <x v="10"/>
    <x v="1"/>
    <x v="0"/>
    <n v="147"/>
  </r>
  <r>
    <x v="6"/>
    <x v="9"/>
    <x v="80"/>
    <x v="10"/>
    <x v="1"/>
    <x v="1"/>
    <n v="141"/>
  </r>
  <r>
    <x v="6"/>
    <x v="9"/>
    <x v="80"/>
    <x v="10"/>
    <x v="1"/>
    <x v="2"/>
    <n v="132.6"/>
  </r>
  <r>
    <x v="6"/>
    <x v="9"/>
    <x v="80"/>
    <x v="9"/>
    <x v="0"/>
    <x v="0"/>
    <n v="146.19999999999999"/>
  </r>
  <r>
    <x v="6"/>
    <x v="9"/>
    <x v="80"/>
    <x v="9"/>
    <x v="0"/>
    <x v="1"/>
    <n v="147.4"/>
  </r>
  <r>
    <x v="6"/>
    <x v="9"/>
    <x v="80"/>
    <x v="9"/>
    <x v="0"/>
    <x v="2"/>
    <n v="148.80000000000001"/>
  </r>
  <r>
    <x v="6"/>
    <x v="9"/>
    <x v="80"/>
    <x v="13"/>
    <x v="3"/>
    <x v="0"/>
    <n v="148.4"/>
  </r>
  <r>
    <x v="6"/>
    <x v="9"/>
    <x v="80"/>
    <x v="13"/>
    <x v="3"/>
    <x v="1"/>
    <n v="142.30000000000001"/>
  </r>
  <r>
    <x v="6"/>
    <x v="9"/>
    <x v="80"/>
    <x v="13"/>
    <x v="3"/>
    <x v="2"/>
    <n v="132.19999999999999"/>
  </r>
  <r>
    <x v="6"/>
    <x v="9"/>
    <x v="80"/>
    <x v="15"/>
    <x v="4"/>
    <x v="0"/>
    <n v="149.9"/>
  </r>
  <r>
    <x v="6"/>
    <x v="9"/>
    <x v="80"/>
    <x v="15"/>
    <x v="4"/>
    <x v="1"/>
    <n v="148.6"/>
  </r>
  <r>
    <x v="6"/>
    <x v="9"/>
    <x v="80"/>
    <x v="15"/>
    <x v="4"/>
    <x v="2"/>
    <n v="147"/>
  </r>
  <r>
    <x v="6"/>
    <x v="9"/>
    <x v="80"/>
    <x v="17"/>
    <x v="5"/>
    <x v="0"/>
    <n v="154.30000000000001"/>
  </r>
  <r>
    <x v="6"/>
    <x v="9"/>
    <x v="80"/>
    <x v="17"/>
    <x v="5"/>
    <x v="1"/>
    <n v="149.9"/>
  </r>
  <r>
    <x v="6"/>
    <x v="9"/>
    <x v="80"/>
    <x v="17"/>
    <x v="5"/>
    <x v="2"/>
    <n v="142.80000000000001"/>
  </r>
  <r>
    <x v="6"/>
    <x v="9"/>
    <x v="80"/>
    <x v="19"/>
    <x v="6"/>
    <x v="0"/>
    <n v="150.9"/>
  </r>
  <r>
    <x v="6"/>
    <x v="9"/>
    <x v="80"/>
    <x v="19"/>
    <x v="6"/>
    <x v="1"/>
    <n v="145.30000000000001"/>
  </r>
  <r>
    <x v="6"/>
    <x v="9"/>
    <x v="80"/>
    <x v="19"/>
    <x v="6"/>
    <x v="2"/>
    <n v="139.1"/>
  </r>
  <r>
    <x v="6"/>
    <x v="9"/>
    <x v="80"/>
    <x v="21"/>
    <x v="6"/>
    <x v="0"/>
    <n v="0"/>
  </r>
  <r>
    <x v="6"/>
    <x v="9"/>
    <x v="80"/>
    <x v="21"/>
    <x v="6"/>
    <x v="1"/>
    <n v="153.5"/>
  </r>
  <r>
    <x v="6"/>
    <x v="9"/>
    <x v="80"/>
    <x v="21"/>
    <x v="6"/>
    <x v="2"/>
    <n v="153.5"/>
  </r>
  <r>
    <x v="6"/>
    <x v="9"/>
    <x v="80"/>
    <x v="2"/>
    <x v="0"/>
    <x v="0"/>
    <n v="163.69999999999999"/>
  </r>
  <r>
    <x v="6"/>
    <x v="9"/>
    <x v="80"/>
    <x v="2"/>
    <x v="0"/>
    <x v="1"/>
    <n v="163.19999999999999"/>
  </r>
  <r>
    <x v="6"/>
    <x v="9"/>
    <x v="80"/>
    <x v="2"/>
    <x v="0"/>
    <x v="2"/>
    <n v="162.4"/>
  </r>
  <r>
    <x v="6"/>
    <x v="9"/>
    <x v="80"/>
    <x v="6"/>
    <x v="0"/>
    <x v="0"/>
    <n v="147.1"/>
  </r>
  <r>
    <x v="6"/>
    <x v="9"/>
    <x v="80"/>
    <x v="6"/>
    <x v="0"/>
    <x v="1"/>
    <n v="146.69999999999999"/>
  </r>
  <r>
    <x v="6"/>
    <x v="9"/>
    <x v="80"/>
    <x v="6"/>
    <x v="0"/>
    <x v="2"/>
    <n v="145.9"/>
  </r>
  <r>
    <x v="6"/>
    <x v="9"/>
    <x v="80"/>
    <x v="23"/>
    <x v="7"/>
    <x v="0"/>
    <n v="146.1"/>
  </r>
  <r>
    <x v="6"/>
    <x v="9"/>
    <x v="80"/>
    <x v="23"/>
    <x v="7"/>
    <x v="1"/>
    <n v="141.30000000000001"/>
  </r>
  <r>
    <x v="6"/>
    <x v="9"/>
    <x v="80"/>
    <x v="23"/>
    <x v="7"/>
    <x v="2"/>
    <n v="136.30000000000001"/>
  </r>
  <r>
    <x v="6"/>
    <x v="9"/>
    <x v="80"/>
    <x v="18"/>
    <x v="0"/>
    <x v="0"/>
    <n v="138.69999999999999"/>
  </r>
  <r>
    <x v="6"/>
    <x v="9"/>
    <x v="80"/>
    <x v="18"/>
    <x v="0"/>
    <x v="1"/>
    <n v="135.30000000000001"/>
  </r>
  <r>
    <x v="6"/>
    <x v="9"/>
    <x v="80"/>
    <x v="18"/>
    <x v="0"/>
    <x v="2"/>
    <n v="130.5"/>
  </r>
  <r>
    <x v="6"/>
    <x v="9"/>
    <x v="80"/>
    <x v="7"/>
    <x v="0"/>
    <x v="0"/>
    <n v="126"/>
  </r>
  <r>
    <x v="6"/>
    <x v="9"/>
    <x v="80"/>
    <x v="7"/>
    <x v="0"/>
    <x v="1"/>
    <n v="124.3"/>
  </r>
  <r>
    <x v="6"/>
    <x v="9"/>
    <x v="80"/>
    <x v="7"/>
    <x v="0"/>
    <x v="2"/>
    <n v="121.5"/>
  </r>
  <r>
    <x v="6"/>
    <x v="9"/>
    <x v="80"/>
    <x v="22"/>
    <x v="7"/>
    <x v="0"/>
    <n v="167.2"/>
  </r>
  <r>
    <x v="6"/>
    <x v="9"/>
    <x v="80"/>
    <x v="22"/>
    <x v="7"/>
    <x v="1"/>
    <n v="167.9"/>
  </r>
  <r>
    <x v="6"/>
    <x v="9"/>
    <x v="80"/>
    <x v="22"/>
    <x v="7"/>
    <x v="2"/>
    <n v="169.9"/>
  </r>
  <r>
    <x v="6"/>
    <x v="9"/>
    <x v="80"/>
    <x v="24"/>
    <x v="7"/>
    <x v="0"/>
    <n v="140.6"/>
  </r>
  <r>
    <x v="6"/>
    <x v="9"/>
    <x v="80"/>
    <x v="24"/>
    <x v="7"/>
    <x v="1"/>
    <n v="140.30000000000001"/>
  </r>
  <r>
    <x v="6"/>
    <x v="9"/>
    <x v="80"/>
    <x v="24"/>
    <x v="7"/>
    <x v="2"/>
    <n v="139.80000000000001"/>
  </r>
  <r>
    <x v="6"/>
    <x v="9"/>
    <x v="80"/>
    <x v="20"/>
    <x v="0"/>
    <x v="0"/>
    <n v="157.69999999999999"/>
  </r>
  <r>
    <x v="6"/>
    <x v="9"/>
    <x v="80"/>
    <x v="20"/>
    <x v="0"/>
    <x v="1"/>
    <n v="157.5"/>
  </r>
  <r>
    <x v="6"/>
    <x v="9"/>
    <x v="80"/>
    <x v="20"/>
    <x v="0"/>
    <x v="2"/>
    <n v="157.19999999999999"/>
  </r>
  <r>
    <x v="6"/>
    <x v="9"/>
    <x v="80"/>
    <x v="12"/>
    <x v="0"/>
    <x v="0"/>
    <n v="136.19999999999999"/>
  </r>
  <r>
    <x v="6"/>
    <x v="9"/>
    <x v="80"/>
    <x v="12"/>
    <x v="0"/>
    <x v="1"/>
    <n v="135.69999999999999"/>
  </r>
  <r>
    <x v="6"/>
    <x v="9"/>
    <x v="80"/>
    <x v="12"/>
    <x v="0"/>
    <x v="2"/>
    <n v="134.6"/>
  </r>
  <r>
    <x v="6"/>
    <x v="9"/>
    <x v="80"/>
    <x v="26"/>
    <x v="9"/>
    <x v="0"/>
    <n v="149.1"/>
  </r>
  <r>
    <x v="6"/>
    <x v="9"/>
    <x v="80"/>
    <x v="26"/>
    <x v="9"/>
    <x v="1"/>
    <n v="142.1"/>
  </r>
  <r>
    <x v="6"/>
    <x v="9"/>
    <x v="80"/>
    <x v="26"/>
    <x v="9"/>
    <x v="2"/>
    <n v="136.69999999999999"/>
  </r>
  <r>
    <x v="6"/>
    <x v="9"/>
    <x v="80"/>
    <x v="16"/>
    <x v="0"/>
    <x v="0"/>
    <n v="147.30000000000001"/>
  </r>
  <r>
    <x v="6"/>
    <x v="9"/>
    <x v="80"/>
    <x v="16"/>
    <x v="0"/>
    <x v="1"/>
    <n v="147"/>
  </r>
  <r>
    <x v="6"/>
    <x v="9"/>
    <x v="80"/>
    <x v="16"/>
    <x v="0"/>
    <x v="2"/>
    <n v="146.30000000000001"/>
  </r>
  <r>
    <x v="6"/>
    <x v="9"/>
    <x v="80"/>
    <x v="14"/>
    <x v="0"/>
    <x v="0"/>
    <n v="113.8"/>
  </r>
  <r>
    <x v="6"/>
    <x v="9"/>
    <x v="80"/>
    <x v="14"/>
    <x v="0"/>
    <x v="1"/>
    <n v="114.2"/>
  </r>
  <r>
    <x v="6"/>
    <x v="9"/>
    <x v="80"/>
    <x v="14"/>
    <x v="0"/>
    <x v="2"/>
    <n v="115"/>
  </r>
  <r>
    <x v="6"/>
    <x v="9"/>
    <x v="80"/>
    <x v="25"/>
    <x v="8"/>
    <x v="0"/>
    <n v="132.1"/>
  </r>
  <r>
    <x v="6"/>
    <x v="9"/>
    <x v="80"/>
    <x v="25"/>
    <x v="8"/>
    <x v="1"/>
    <n v="126.6"/>
  </r>
  <r>
    <x v="6"/>
    <x v="9"/>
    <x v="80"/>
    <x v="25"/>
    <x v="8"/>
    <x v="2"/>
    <n v="121.7"/>
  </r>
  <r>
    <x v="6"/>
    <x v="9"/>
    <x v="80"/>
    <x v="11"/>
    <x v="0"/>
    <x v="0"/>
    <n v="191.4"/>
  </r>
  <r>
    <x v="6"/>
    <x v="9"/>
    <x v="80"/>
    <x v="11"/>
    <x v="0"/>
    <x v="1"/>
    <n v="199.6"/>
  </r>
  <r>
    <x v="6"/>
    <x v="9"/>
    <x v="80"/>
    <x v="11"/>
    <x v="0"/>
    <x v="2"/>
    <n v="215.7"/>
  </r>
  <r>
    <x v="6"/>
    <x v="10"/>
    <x v="81"/>
    <x v="0"/>
    <x v="0"/>
    <x v="0"/>
    <n v="141"/>
  </r>
  <r>
    <x v="6"/>
    <x v="10"/>
    <x v="81"/>
    <x v="0"/>
    <x v="0"/>
    <x v="1"/>
    <n v="141.80000000000001"/>
  </r>
  <r>
    <x v="6"/>
    <x v="10"/>
    <x v="81"/>
    <x v="0"/>
    <x v="0"/>
    <x v="2"/>
    <n v="143.5"/>
  </r>
  <r>
    <x v="6"/>
    <x v="10"/>
    <x v="81"/>
    <x v="1"/>
    <x v="1"/>
    <x v="0"/>
    <n v="151.69999999999999"/>
  </r>
  <r>
    <x v="6"/>
    <x v="10"/>
    <x v="81"/>
    <x v="1"/>
    <x v="1"/>
    <x v="1"/>
    <n v="149.4"/>
  </r>
  <r>
    <x v="6"/>
    <x v="10"/>
    <x v="81"/>
    <x v="1"/>
    <x v="1"/>
    <x v="2"/>
    <n v="145.9"/>
  </r>
  <r>
    <x v="6"/>
    <x v="10"/>
    <x v="81"/>
    <x v="3"/>
    <x v="1"/>
    <x v="0"/>
    <n v="151"/>
  </r>
  <r>
    <x v="6"/>
    <x v="10"/>
    <x v="81"/>
    <x v="3"/>
    <x v="1"/>
    <x v="1"/>
    <n v="148.19999999999999"/>
  </r>
  <r>
    <x v="6"/>
    <x v="10"/>
    <x v="81"/>
    <x v="3"/>
    <x v="1"/>
    <x v="2"/>
    <n v="143.9"/>
  </r>
  <r>
    <x v="6"/>
    <x v="10"/>
    <x v="81"/>
    <x v="5"/>
    <x v="2"/>
    <x v="0"/>
    <n v="160.69999999999999"/>
  </r>
  <r>
    <x v="6"/>
    <x v="10"/>
    <x v="81"/>
    <x v="5"/>
    <x v="2"/>
    <x v="1"/>
    <n v="155.4"/>
  </r>
  <r>
    <x v="6"/>
    <x v="10"/>
    <x v="81"/>
    <x v="5"/>
    <x v="2"/>
    <x v="2"/>
    <n v="151.69999999999999"/>
  </r>
  <r>
    <x v="6"/>
    <x v="10"/>
    <x v="81"/>
    <x v="4"/>
    <x v="0"/>
    <x v="0"/>
    <n v="141.19999999999999"/>
  </r>
  <r>
    <x v="6"/>
    <x v="10"/>
    <x v="81"/>
    <x v="4"/>
    <x v="0"/>
    <x v="1"/>
    <n v="142.6"/>
  </r>
  <r>
    <x v="6"/>
    <x v="10"/>
    <x v="81"/>
    <x v="4"/>
    <x v="0"/>
    <x v="2"/>
    <n v="144.69999999999999"/>
  </r>
  <r>
    <x v="6"/>
    <x v="10"/>
    <x v="81"/>
    <x v="8"/>
    <x v="0"/>
    <x v="0"/>
    <n v="148.30000000000001"/>
  </r>
  <r>
    <x v="6"/>
    <x v="10"/>
    <x v="81"/>
    <x v="8"/>
    <x v="0"/>
    <x v="1"/>
    <n v="149.6"/>
  </r>
  <r>
    <x v="6"/>
    <x v="10"/>
    <x v="81"/>
    <x v="8"/>
    <x v="0"/>
    <x v="2"/>
    <n v="151.9"/>
  </r>
  <r>
    <x v="6"/>
    <x v="10"/>
    <x v="81"/>
    <x v="10"/>
    <x v="1"/>
    <x v="0"/>
    <n v="146.69999999999999"/>
  </r>
  <r>
    <x v="6"/>
    <x v="10"/>
    <x v="81"/>
    <x v="10"/>
    <x v="1"/>
    <x v="1"/>
    <n v="140.80000000000001"/>
  </r>
  <r>
    <x v="6"/>
    <x v="10"/>
    <x v="81"/>
    <x v="10"/>
    <x v="1"/>
    <x v="2"/>
    <n v="132.4"/>
  </r>
  <r>
    <x v="6"/>
    <x v="10"/>
    <x v="81"/>
    <x v="9"/>
    <x v="0"/>
    <x v="0"/>
    <n v="145.69999999999999"/>
  </r>
  <r>
    <x v="6"/>
    <x v="10"/>
    <x v="81"/>
    <x v="9"/>
    <x v="0"/>
    <x v="1"/>
    <n v="148"/>
  </r>
  <r>
    <x v="6"/>
    <x v="10"/>
    <x v="81"/>
    <x v="9"/>
    <x v="0"/>
    <x v="2"/>
    <n v="150.6"/>
  </r>
  <r>
    <x v="6"/>
    <x v="10"/>
    <x v="81"/>
    <x v="13"/>
    <x v="3"/>
    <x v="0"/>
    <n v="147.69999999999999"/>
  </r>
  <r>
    <x v="6"/>
    <x v="10"/>
    <x v="81"/>
    <x v="13"/>
    <x v="3"/>
    <x v="1"/>
    <n v="140.6"/>
  </r>
  <r>
    <x v="6"/>
    <x v="10"/>
    <x v="81"/>
    <x v="13"/>
    <x v="3"/>
    <x v="2"/>
    <n v="128.9"/>
  </r>
  <r>
    <x v="6"/>
    <x v="10"/>
    <x v="81"/>
    <x v="15"/>
    <x v="4"/>
    <x v="0"/>
    <n v="148.30000000000001"/>
  </r>
  <r>
    <x v="6"/>
    <x v="10"/>
    <x v="81"/>
    <x v="15"/>
    <x v="4"/>
    <x v="1"/>
    <n v="147.19999999999999"/>
  </r>
  <r>
    <x v="6"/>
    <x v="10"/>
    <x v="81"/>
    <x v="15"/>
    <x v="4"/>
    <x v="2"/>
    <n v="146"/>
  </r>
  <r>
    <x v="6"/>
    <x v="10"/>
    <x v="81"/>
    <x v="17"/>
    <x v="5"/>
    <x v="0"/>
    <n v="153.69999999999999"/>
  </r>
  <r>
    <x v="6"/>
    <x v="10"/>
    <x v="81"/>
    <x v="17"/>
    <x v="5"/>
    <x v="1"/>
    <n v="149.4"/>
  </r>
  <r>
    <x v="6"/>
    <x v="10"/>
    <x v="81"/>
    <x v="17"/>
    <x v="5"/>
    <x v="2"/>
    <n v="142.4"/>
  </r>
  <r>
    <x v="6"/>
    <x v="10"/>
    <x v="81"/>
    <x v="19"/>
    <x v="6"/>
    <x v="0"/>
    <n v="150.6"/>
  </r>
  <r>
    <x v="6"/>
    <x v="10"/>
    <x v="81"/>
    <x v="19"/>
    <x v="6"/>
    <x v="1"/>
    <n v="145"/>
  </r>
  <r>
    <x v="6"/>
    <x v="10"/>
    <x v="81"/>
    <x v="19"/>
    <x v="6"/>
    <x v="2"/>
    <n v="138.69999999999999"/>
  </r>
  <r>
    <x v="6"/>
    <x v="10"/>
    <x v="81"/>
    <x v="21"/>
    <x v="6"/>
    <x v="0"/>
    <n v="0"/>
  </r>
  <r>
    <x v="6"/>
    <x v="10"/>
    <x v="81"/>
    <x v="21"/>
    <x v="6"/>
    <x v="1"/>
    <n v="153"/>
  </r>
  <r>
    <x v="6"/>
    <x v="10"/>
    <x v="81"/>
    <x v="21"/>
    <x v="6"/>
    <x v="2"/>
    <n v="153"/>
  </r>
  <r>
    <x v="6"/>
    <x v="10"/>
    <x v="81"/>
    <x v="2"/>
    <x v="0"/>
    <x v="0"/>
    <n v="161.6"/>
  </r>
  <r>
    <x v="6"/>
    <x v="10"/>
    <x v="81"/>
    <x v="2"/>
    <x v="0"/>
    <x v="1"/>
    <n v="161"/>
  </r>
  <r>
    <x v="6"/>
    <x v="10"/>
    <x v="81"/>
    <x v="2"/>
    <x v="0"/>
    <x v="2"/>
    <n v="159.80000000000001"/>
  </r>
  <r>
    <x v="6"/>
    <x v="10"/>
    <x v="81"/>
    <x v="6"/>
    <x v="0"/>
    <x v="0"/>
    <n v="146.5"/>
  </r>
  <r>
    <x v="6"/>
    <x v="10"/>
    <x v="81"/>
    <x v="6"/>
    <x v="0"/>
    <x v="1"/>
    <n v="146.19999999999999"/>
  </r>
  <r>
    <x v="6"/>
    <x v="10"/>
    <x v="81"/>
    <x v="6"/>
    <x v="0"/>
    <x v="2"/>
    <n v="145.6"/>
  </r>
  <r>
    <x v="6"/>
    <x v="10"/>
    <x v="81"/>
    <x v="23"/>
    <x v="7"/>
    <x v="0"/>
    <n v="145.69999999999999"/>
  </r>
  <r>
    <x v="6"/>
    <x v="10"/>
    <x v="81"/>
    <x v="23"/>
    <x v="7"/>
    <x v="1"/>
    <n v="141"/>
  </r>
  <r>
    <x v="6"/>
    <x v="10"/>
    <x v="81"/>
    <x v="23"/>
    <x v="7"/>
    <x v="2"/>
    <n v="136"/>
  </r>
  <r>
    <x v="6"/>
    <x v="10"/>
    <x v="81"/>
    <x v="18"/>
    <x v="0"/>
    <x v="0"/>
    <n v="138.6"/>
  </r>
  <r>
    <x v="6"/>
    <x v="10"/>
    <x v="81"/>
    <x v="18"/>
    <x v="0"/>
    <x v="1"/>
    <n v="135.1"/>
  </r>
  <r>
    <x v="6"/>
    <x v="10"/>
    <x v="81"/>
    <x v="18"/>
    <x v="0"/>
    <x v="2"/>
    <n v="130.19999999999999"/>
  </r>
  <r>
    <x v="6"/>
    <x v="10"/>
    <x v="81"/>
    <x v="7"/>
    <x v="0"/>
    <x v="0"/>
    <n v="125.6"/>
  </r>
  <r>
    <x v="6"/>
    <x v="10"/>
    <x v="81"/>
    <x v="7"/>
    <x v="0"/>
    <x v="1"/>
    <n v="123.9"/>
  </r>
  <r>
    <x v="6"/>
    <x v="10"/>
    <x v="81"/>
    <x v="7"/>
    <x v="0"/>
    <x v="2"/>
    <n v="121.1"/>
  </r>
  <r>
    <x v="6"/>
    <x v="10"/>
    <x v="81"/>
    <x v="22"/>
    <x v="7"/>
    <x v="0"/>
    <n v="166.3"/>
  </r>
  <r>
    <x v="6"/>
    <x v="10"/>
    <x v="81"/>
    <x v="22"/>
    <x v="7"/>
    <x v="1"/>
    <n v="167.1"/>
  </r>
  <r>
    <x v="6"/>
    <x v="10"/>
    <x v="81"/>
    <x v="22"/>
    <x v="7"/>
    <x v="2"/>
    <n v="169.3"/>
  </r>
  <r>
    <x v="6"/>
    <x v="10"/>
    <x v="81"/>
    <x v="24"/>
    <x v="7"/>
    <x v="0"/>
    <n v="140.30000000000001"/>
  </r>
  <r>
    <x v="6"/>
    <x v="10"/>
    <x v="81"/>
    <x v="24"/>
    <x v="7"/>
    <x v="1"/>
    <n v="140"/>
  </r>
  <r>
    <x v="6"/>
    <x v="10"/>
    <x v="81"/>
    <x v="24"/>
    <x v="7"/>
    <x v="2"/>
    <n v="139.5"/>
  </r>
  <r>
    <x v="6"/>
    <x v="10"/>
    <x v="81"/>
    <x v="20"/>
    <x v="0"/>
    <x v="0"/>
    <n v="157.4"/>
  </r>
  <r>
    <x v="6"/>
    <x v="10"/>
    <x v="81"/>
    <x v="20"/>
    <x v="0"/>
    <x v="1"/>
    <n v="157.1"/>
  </r>
  <r>
    <x v="6"/>
    <x v="10"/>
    <x v="81"/>
    <x v="20"/>
    <x v="0"/>
    <x v="2"/>
    <n v="156.80000000000001"/>
  </r>
  <r>
    <x v="6"/>
    <x v="10"/>
    <x v="81"/>
    <x v="12"/>
    <x v="0"/>
    <x v="0"/>
    <n v="133.1"/>
  </r>
  <r>
    <x v="6"/>
    <x v="10"/>
    <x v="81"/>
    <x v="12"/>
    <x v="0"/>
    <x v="1"/>
    <n v="132.5"/>
  </r>
  <r>
    <x v="6"/>
    <x v="10"/>
    <x v="81"/>
    <x v="12"/>
    <x v="0"/>
    <x v="2"/>
    <n v="131.19999999999999"/>
  </r>
  <r>
    <x v="6"/>
    <x v="10"/>
    <x v="81"/>
    <x v="26"/>
    <x v="9"/>
    <x v="0"/>
    <n v="148.69999999999999"/>
  </r>
  <r>
    <x v="6"/>
    <x v="10"/>
    <x v="81"/>
    <x v="26"/>
    <x v="9"/>
    <x v="1"/>
    <n v="141.69999999999999"/>
  </r>
  <r>
    <x v="6"/>
    <x v="10"/>
    <x v="81"/>
    <x v="26"/>
    <x v="9"/>
    <x v="2"/>
    <n v="136.19999999999999"/>
  </r>
  <r>
    <x v="6"/>
    <x v="10"/>
    <x v="81"/>
    <x v="16"/>
    <x v="0"/>
    <x v="0"/>
    <n v="145.5"/>
  </r>
  <r>
    <x v="6"/>
    <x v="10"/>
    <x v="81"/>
    <x v="16"/>
    <x v="0"/>
    <x v="1"/>
    <n v="145.4"/>
  </r>
  <r>
    <x v="6"/>
    <x v="10"/>
    <x v="81"/>
    <x v="16"/>
    <x v="0"/>
    <x v="2"/>
    <n v="145.19999999999999"/>
  </r>
  <r>
    <x v="6"/>
    <x v="10"/>
    <x v="81"/>
    <x v="14"/>
    <x v="0"/>
    <x v="0"/>
    <n v="113.6"/>
  </r>
  <r>
    <x v="6"/>
    <x v="10"/>
    <x v="81"/>
    <x v="14"/>
    <x v="0"/>
    <x v="1"/>
    <n v="114"/>
  </r>
  <r>
    <x v="6"/>
    <x v="10"/>
    <x v="81"/>
    <x v="14"/>
    <x v="0"/>
    <x v="2"/>
    <n v="114.8"/>
  </r>
  <r>
    <x v="6"/>
    <x v="10"/>
    <x v="81"/>
    <x v="25"/>
    <x v="8"/>
    <x v="0"/>
    <n v="131.69999999999999"/>
  </r>
  <r>
    <x v="6"/>
    <x v="10"/>
    <x v="81"/>
    <x v="25"/>
    <x v="8"/>
    <x v="1"/>
    <n v="126.3"/>
  </r>
  <r>
    <x v="6"/>
    <x v="10"/>
    <x v="81"/>
    <x v="25"/>
    <x v="8"/>
    <x v="2"/>
    <n v="121.5"/>
  </r>
  <r>
    <x v="6"/>
    <x v="10"/>
    <x v="81"/>
    <x v="11"/>
    <x v="0"/>
    <x v="0"/>
    <n v="178.8"/>
  </r>
  <r>
    <x v="6"/>
    <x v="10"/>
    <x v="81"/>
    <x v="11"/>
    <x v="0"/>
    <x v="1"/>
    <n v="188.4"/>
  </r>
  <r>
    <x v="6"/>
    <x v="10"/>
    <x v="81"/>
    <x v="11"/>
    <x v="0"/>
    <x v="2"/>
    <n v="207.2"/>
  </r>
  <r>
    <x v="6"/>
    <x v="11"/>
    <x v="82"/>
    <x v="0"/>
    <x v="0"/>
    <x v="0"/>
    <n v="140.1"/>
  </r>
  <r>
    <x v="6"/>
    <x v="11"/>
    <x v="82"/>
    <x v="0"/>
    <x v="0"/>
    <x v="1"/>
    <n v="140.9"/>
  </r>
  <r>
    <x v="6"/>
    <x v="11"/>
    <x v="82"/>
    <x v="0"/>
    <x v="0"/>
    <x v="2"/>
    <n v="142.69999999999999"/>
  </r>
  <r>
    <x v="6"/>
    <x v="11"/>
    <x v="82"/>
    <x v="1"/>
    <x v="1"/>
    <x v="0"/>
    <n v="151.69999999999999"/>
  </r>
  <r>
    <x v="6"/>
    <x v="11"/>
    <x v="82"/>
    <x v="1"/>
    <x v="1"/>
    <x v="1"/>
    <n v="149.19999999999999"/>
  </r>
  <r>
    <x v="6"/>
    <x v="11"/>
    <x v="82"/>
    <x v="1"/>
    <x v="1"/>
    <x v="2"/>
    <n v="145.30000000000001"/>
  </r>
  <r>
    <x v="6"/>
    <x v="11"/>
    <x v="82"/>
    <x v="3"/>
    <x v="1"/>
    <x v="0"/>
    <n v="151"/>
  </r>
  <r>
    <x v="6"/>
    <x v="11"/>
    <x v="82"/>
    <x v="3"/>
    <x v="1"/>
    <x v="1"/>
    <n v="147.9"/>
  </r>
  <r>
    <x v="6"/>
    <x v="11"/>
    <x v="82"/>
    <x v="3"/>
    <x v="1"/>
    <x v="2"/>
    <n v="143.30000000000001"/>
  </r>
  <r>
    <x v="6"/>
    <x v="11"/>
    <x v="82"/>
    <x v="5"/>
    <x v="2"/>
    <x v="0"/>
    <n v="160.19999999999999"/>
  </r>
  <r>
    <x v="6"/>
    <x v="11"/>
    <x v="82"/>
    <x v="5"/>
    <x v="2"/>
    <x v="1"/>
    <n v="155.19999999999999"/>
  </r>
  <r>
    <x v="6"/>
    <x v="11"/>
    <x v="82"/>
    <x v="5"/>
    <x v="2"/>
    <x v="2"/>
    <n v="151.6"/>
  </r>
  <r>
    <x v="6"/>
    <x v="11"/>
    <x v="82"/>
    <x v="4"/>
    <x v="0"/>
    <x v="0"/>
    <n v="138.30000000000001"/>
  </r>
  <r>
    <x v="6"/>
    <x v="11"/>
    <x v="82"/>
    <x v="4"/>
    <x v="0"/>
    <x v="1"/>
    <n v="139.6"/>
  </r>
  <r>
    <x v="6"/>
    <x v="11"/>
    <x v="82"/>
    <x v="4"/>
    <x v="0"/>
    <x v="2"/>
    <n v="141.6"/>
  </r>
  <r>
    <x v="6"/>
    <x v="11"/>
    <x v="82"/>
    <x v="8"/>
    <x v="0"/>
    <x v="0"/>
    <n v="145.5"/>
  </r>
  <r>
    <x v="6"/>
    <x v="11"/>
    <x v="82"/>
    <x v="8"/>
    <x v="0"/>
    <x v="1"/>
    <n v="147"/>
  </r>
  <r>
    <x v="6"/>
    <x v="11"/>
    <x v="82"/>
    <x v="8"/>
    <x v="0"/>
    <x v="2"/>
    <n v="149.5"/>
  </r>
  <r>
    <x v="6"/>
    <x v="11"/>
    <x v="82"/>
    <x v="10"/>
    <x v="1"/>
    <x v="0"/>
    <n v="146.6"/>
  </r>
  <r>
    <x v="6"/>
    <x v="11"/>
    <x v="82"/>
    <x v="10"/>
    <x v="1"/>
    <x v="1"/>
    <n v="140.6"/>
  </r>
  <r>
    <x v="6"/>
    <x v="11"/>
    <x v="82"/>
    <x v="10"/>
    <x v="1"/>
    <x v="2"/>
    <n v="132.19999999999999"/>
  </r>
  <r>
    <x v="6"/>
    <x v="11"/>
    <x v="82"/>
    <x v="9"/>
    <x v="0"/>
    <x v="0"/>
    <n v="143.80000000000001"/>
  </r>
  <r>
    <x v="6"/>
    <x v="11"/>
    <x v="82"/>
    <x v="9"/>
    <x v="0"/>
    <x v="1"/>
    <n v="146.6"/>
  </r>
  <r>
    <x v="6"/>
    <x v="11"/>
    <x v="82"/>
    <x v="9"/>
    <x v="0"/>
    <x v="2"/>
    <n v="149.80000000000001"/>
  </r>
  <r>
    <x v="6"/>
    <x v="11"/>
    <x v="82"/>
    <x v="13"/>
    <x v="3"/>
    <x v="0"/>
    <n v="146.9"/>
  </r>
  <r>
    <x v="6"/>
    <x v="11"/>
    <x v="82"/>
    <x v="13"/>
    <x v="3"/>
    <x v="1"/>
    <n v="139.19999999999999"/>
  </r>
  <r>
    <x v="6"/>
    <x v="11"/>
    <x v="82"/>
    <x v="13"/>
    <x v="3"/>
    <x v="2"/>
    <n v="126.6"/>
  </r>
  <r>
    <x v="6"/>
    <x v="11"/>
    <x v="82"/>
    <x v="15"/>
    <x v="4"/>
    <x v="0"/>
    <n v="146.69999999999999"/>
  </r>
  <r>
    <x v="6"/>
    <x v="11"/>
    <x v="82"/>
    <x v="15"/>
    <x v="4"/>
    <x v="1"/>
    <n v="145.80000000000001"/>
  </r>
  <r>
    <x v="6"/>
    <x v="11"/>
    <x v="82"/>
    <x v="15"/>
    <x v="4"/>
    <x v="2"/>
    <n v="144.69999999999999"/>
  </r>
  <r>
    <x v="6"/>
    <x v="11"/>
    <x v="82"/>
    <x v="17"/>
    <x v="5"/>
    <x v="0"/>
    <n v="153.4"/>
  </r>
  <r>
    <x v="6"/>
    <x v="11"/>
    <x v="82"/>
    <x v="17"/>
    <x v="5"/>
    <x v="1"/>
    <n v="149"/>
  </r>
  <r>
    <x v="6"/>
    <x v="11"/>
    <x v="82"/>
    <x v="17"/>
    <x v="5"/>
    <x v="2"/>
    <n v="141.9"/>
  </r>
  <r>
    <x v="6"/>
    <x v="11"/>
    <x v="82"/>
    <x v="19"/>
    <x v="6"/>
    <x v="0"/>
    <n v="150.30000000000001"/>
  </r>
  <r>
    <x v="6"/>
    <x v="11"/>
    <x v="82"/>
    <x v="19"/>
    <x v="6"/>
    <x v="1"/>
    <n v="144.6"/>
  </r>
  <r>
    <x v="6"/>
    <x v="11"/>
    <x v="82"/>
    <x v="19"/>
    <x v="6"/>
    <x v="2"/>
    <n v="138.30000000000001"/>
  </r>
  <r>
    <x v="6"/>
    <x v="11"/>
    <x v="82"/>
    <x v="21"/>
    <x v="6"/>
    <x v="0"/>
    <n v="0"/>
  </r>
  <r>
    <x v="6"/>
    <x v="11"/>
    <x v="82"/>
    <x v="21"/>
    <x v="6"/>
    <x v="1"/>
    <n v="152.19999999999999"/>
  </r>
  <r>
    <x v="6"/>
    <x v="11"/>
    <x v="82"/>
    <x v="21"/>
    <x v="6"/>
    <x v="2"/>
    <n v="152.19999999999999"/>
  </r>
  <r>
    <x v="6"/>
    <x v="11"/>
    <x v="82"/>
    <x v="2"/>
    <x v="0"/>
    <x v="0"/>
    <n v="161.9"/>
  </r>
  <r>
    <x v="6"/>
    <x v="11"/>
    <x v="82"/>
    <x v="2"/>
    <x v="0"/>
    <x v="1"/>
    <n v="160.80000000000001"/>
  </r>
  <r>
    <x v="6"/>
    <x v="11"/>
    <x v="82"/>
    <x v="2"/>
    <x v="0"/>
    <x v="2"/>
    <n v="158.69999999999999"/>
  </r>
  <r>
    <x v="6"/>
    <x v="11"/>
    <x v="82"/>
    <x v="6"/>
    <x v="0"/>
    <x v="0"/>
    <n v="145.69999999999999"/>
  </r>
  <r>
    <x v="6"/>
    <x v="11"/>
    <x v="82"/>
    <x v="6"/>
    <x v="0"/>
    <x v="1"/>
    <n v="145.4"/>
  </r>
  <r>
    <x v="6"/>
    <x v="11"/>
    <x v="82"/>
    <x v="6"/>
    <x v="0"/>
    <x v="2"/>
    <n v="144.9"/>
  </r>
  <r>
    <x v="6"/>
    <x v="11"/>
    <x v="82"/>
    <x v="23"/>
    <x v="7"/>
    <x v="0"/>
    <n v="145.4"/>
  </r>
  <r>
    <x v="6"/>
    <x v="11"/>
    <x v="82"/>
    <x v="23"/>
    <x v="7"/>
    <x v="1"/>
    <n v="140.69999999999999"/>
  </r>
  <r>
    <x v="6"/>
    <x v="11"/>
    <x v="82"/>
    <x v="23"/>
    <x v="7"/>
    <x v="2"/>
    <n v="135.69999999999999"/>
  </r>
  <r>
    <x v="6"/>
    <x v="11"/>
    <x v="82"/>
    <x v="18"/>
    <x v="0"/>
    <x v="0"/>
    <n v="138.5"/>
  </r>
  <r>
    <x v="6"/>
    <x v="11"/>
    <x v="82"/>
    <x v="18"/>
    <x v="0"/>
    <x v="1"/>
    <n v="135"/>
  </r>
  <r>
    <x v="6"/>
    <x v="11"/>
    <x v="82"/>
    <x v="18"/>
    <x v="0"/>
    <x v="2"/>
    <n v="130"/>
  </r>
  <r>
    <x v="6"/>
    <x v="11"/>
    <x v="82"/>
    <x v="7"/>
    <x v="0"/>
    <x v="0"/>
    <n v="125.1"/>
  </r>
  <r>
    <x v="6"/>
    <x v="11"/>
    <x v="82"/>
    <x v="7"/>
    <x v="0"/>
    <x v="1"/>
    <n v="123.5"/>
  </r>
  <r>
    <x v="6"/>
    <x v="11"/>
    <x v="82"/>
    <x v="7"/>
    <x v="0"/>
    <x v="2"/>
    <n v="120.8"/>
  </r>
  <r>
    <x v="6"/>
    <x v="11"/>
    <x v="82"/>
    <x v="22"/>
    <x v="7"/>
    <x v="0"/>
    <n v="165.7"/>
  </r>
  <r>
    <x v="6"/>
    <x v="11"/>
    <x v="82"/>
    <x v="22"/>
    <x v="7"/>
    <x v="1"/>
    <n v="166.5"/>
  </r>
  <r>
    <x v="6"/>
    <x v="11"/>
    <x v="82"/>
    <x v="22"/>
    <x v="7"/>
    <x v="2"/>
    <n v="168.6"/>
  </r>
  <r>
    <x v="6"/>
    <x v="11"/>
    <x v="82"/>
    <x v="24"/>
    <x v="7"/>
    <x v="0"/>
    <n v="140.19999999999999"/>
  </r>
  <r>
    <x v="6"/>
    <x v="11"/>
    <x v="82"/>
    <x v="24"/>
    <x v="7"/>
    <x v="1"/>
    <n v="139.69999999999999"/>
  </r>
  <r>
    <x v="6"/>
    <x v="11"/>
    <x v="82"/>
    <x v="24"/>
    <x v="7"/>
    <x v="2"/>
    <n v="139"/>
  </r>
  <r>
    <x v="6"/>
    <x v="11"/>
    <x v="82"/>
    <x v="20"/>
    <x v="0"/>
    <x v="0"/>
    <n v="157.19999999999999"/>
  </r>
  <r>
    <x v="6"/>
    <x v="11"/>
    <x v="82"/>
    <x v="20"/>
    <x v="0"/>
    <x v="1"/>
    <n v="156.80000000000001"/>
  </r>
  <r>
    <x v="6"/>
    <x v="11"/>
    <x v="82"/>
    <x v="20"/>
    <x v="0"/>
    <x v="2"/>
    <n v="156.4"/>
  </r>
  <r>
    <x v="6"/>
    <x v="11"/>
    <x v="82"/>
    <x v="12"/>
    <x v="0"/>
    <x v="0"/>
    <n v="132.19999999999999"/>
  </r>
  <r>
    <x v="6"/>
    <x v="11"/>
    <x v="82"/>
    <x v="12"/>
    <x v="0"/>
    <x v="1"/>
    <n v="131.6"/>
  </r>
  <r>
    <x v="6"/>
    <x v="11"/>
    <x v="82"/>
    <x v="12"/>
    <x v="0"/>
    <x v="2"/>
    <n v="130.30000000000001"/>
  </r>
  <r>
    <x v="6"/>
    <x v="11"/>
    <x v="82"/>
    <x v="26"/>
    <x v="9"/>
    <x v="0"/>
    <n v="148.30000000000001"/>
  </r>
  <r>
    <x v="6"/>
    <x v="11"/>
    <x v="82"/>
    <x v="26"/>
    <x v="9"/>
    <x v="1"/>
    <n v="141.30000000000001"/>
  </r>
  <r>
    <x v="6"/>
    <x v="11"/>
    <x v="82"/>
    <x v="26"/>
    <x v="9"/>
    <x v="2"/>
    <n v="135.9"/>
  </r>
  <r>
    <x v="6"/>
    <x v="11"/>
    <x v="82"/>
    <x v="16"/>
    <x v="0"/>
    <x v="0"/>
    <n v="144.19999999999999"/>
  </r>
  <r>
    <x v="6"/>
    <x v="11"/>
    <x v="82"/>
    <x v="16"/>
    <x v="0"/>
    <x v="1"/>
    <n v="144.1"/>
  </r>
  <r>
    <x v="6"/>
    <x v="11"/>
    <x v="82"/>
    <x v="16"/>
    <x v="0"/>
    <x v="2"/>
    <n v="143.80000000000001"/>
  </r>
  <r>
    <x v="6"/>
    <x v="11"/>
    <x v="82"/>
    <x v="14"/>
    <x v="0"/>
    <x v="0"/>
    <n v="112.8"/>
  </r>
  <r>
    <x v="6"/>
    <x v="11"/>
    <x v="82"/>
    <x v="14"/>
    <x v="0"/>
    <x v="1"/>
    <n v="113.2"/>
  </r>
  <r>
    <x v="6"/>
    <x v="11"/>
    <x v="82"/>
    <x v="14"/>
    <x v="0"/>
    <x v="2"/>
    <n v="114"/>
  </r>
  <r>
    <x v="6"/>
    <x v="11"/>
    <x v="82"/>
    <x v="25"/>
    <x v="8"/>
    <x v="0"/>
    <n v="131.6"/>
  </r>
  <r>
    <x v="6"/>
    <x v="11"/>
    <x v="82"/>
    <x v="25"/>
    <x v="8"/>
    <x v="1"/>
    <n v="126.1"/>
  </r>
  <r>
    <x v="6"/>
    <x v="11"/>
    <x v="82"/>
    <x v="25"/>
    <x v="8"/>
    <x v="2"/>
    <n v="121.2"/>
  </r>
  <r>
    <x v="6"/>
    <x v="11"/>
    <x v="82"/>
    <x v="11"/>
    <x v="0"/>
    <x v="0"/>
    <n v="163.4"/>
  </r>
  <r>
    <x v="6"/>
    <x v="11"/>
    <x v="82"/>
    <x v="11"/>
    <x v="0"/>
    <x v="1"/>
    <n v="173.2"/>
  </r>
  <r>
    <x v="6"/>
    <x v="11"/>
    <x v="82"/>
    <x v="11"/>
    <x v="0"/>
    <x v="2"/>
    <n v="192.4"/>
  </r>
  <r>
    <x v="7"/>
    <x v="0"/>
    <x v="83"/>
    <x v="0"/>
    <x v="0"/>
    <x v="0"/>
    <n v="147.19999999999999"/>
  </r>
  <r>
    <x v="7"/>
    <x v="0"/>
    <x v="83"/>
    <x v="0"/>
    <x v="0"/>
    <x v="1"/>
    <n v="148.69999999999999"/>
  </r>
  <r>
    <x v="7"/>
    <x v="0"/>
    <x v="83"/>
    <x v="0"/>
    <x v="0"/>
    <x v="2"/>
    <n v="151.80000000000001"/>
  </r>
  <r>
    <x v="7"/>
    <x v="0"/>
    <x v="83"/>
    <x v="1"/>
    <x v="1"/>
    <x v="0"/>
    <n v="153.06666666666669"/>
  </r>
  <r>
    <x v="7"/>
    <x v="0"/>
    <x v="83"/>
    <x v="1"/>
    <x v="1"/>
    <x v="1"/>
    <n v="150.83333333333334"/>
  </r>
  <r>
    <x v="7"/>
    <x v="0"/>
    <x v="83"/>
    <x v="1"/>
    <x v="1"/>
    <x v="2"/>
    <n v="147.33333333333334"/>
  </r>
  <r>
    <x v="7"/>
    <x v="0"/>
    <x v="83"/>
    <x v="3"/>
    <x v="1"/>
    <x v="0"/>
    <n v="152.30000000000001"/>
  </r>
  <r>
    <x v="7"/>
    <x v="0"/>
    <x v="83"/>
    <x v="3"/>
    <x v="1"/>
    <x v="1"/>
    <n v="149.5"/>
  </r>
  <r>
    <x v="7"/>
    <x v="0"/>
    <x v="83"/>
    <x v="3"/>
    <x v="1"/>
    <x v="2"/>
    <n v="145.23333333333332"/>
  </r>
  <r>
    <x v="7"/>
    <x v="0"/>
    <x v="83"/>
    <x v="5"/>
    <x v="2"/>
    <x v="0"/>
    <n v="161.6"/>
  </r>
  <r>
    <x v="7"/>
    <x v="0"/>
    <x v="83"/>
    <x v="5"/>
    <x v="2"/>
    <x v="1"/>
    <n v="156.13333333333333"/>
  </r>
  <r>
    <x v="7"/>
    <x v="0"/>
    <x v="83"/>
    <x v="5"/>
    <x v="2"/>
    <x v="2"/>
    <n v="152.26666666666668"/>
  </r>
  <r>
    <x v="7"/>
    <x v="0"/>
    <x v="83"/>
    <x v="4"/>
    <x v="0"/>
    <x v="0"/>
    <n v="146.9"/>
  </r>
  <r>
    <x v="7"/>
    <x v="0"/>
    <x v="83"/>
    <x v="4"/>
    <x v="0"/>
    <x v="1"/>
    <n v="148.80000000000001"/>
  </r>
  <r>
    <x v="7"/>
    <x v="0"/>
    <x v="83"/>
    <x v="4"/>
    <x v="0"/>
    <x v="2"/>
    <n v="151.9"/>
  </r>
  <r>
    <x v="7"/>
    <x v="0"/>
    <x v="83"/>
    <x v="8"/>
    <x v="0"/>
    <x v="0"/>
    <n v="150.1"/>
  </r>
  <r>
    <x v="7"/>
    <x v="0"/>
    <x v="83"/>
    <x v="8"/>
    <x v="0"/>
    <x v="1"/>
    <n v="151.4"/>
  </r>
  <r>
    <x v="7"/>
    <x v="0"/>
    <x v="83"/>
    <x v="8"/>
    <x v="0"/>
    <x v="2"/>
    <n v="153.5"/>
  </r>
  <r>
    <x v="7"/>
    <x v="0"/>
    <x v="83"/>
    <x v="10"/>
    <x v="1"/>
    <x v="0"/>
    <n v="147.5"/>
  </r>
  <r>
    <x v="7"/>
    <x v="0"/>
    <x v="83"/>
    <x v="10"/>
    <x v="1"/>
    <x v="1"/>
    <n v="141.69999999999999"/>
  </r>
  <r>
    <x v="7"/>
    <x v="0"/>
    <x v="83"/>
    <x v="10"/>
    <x v="1"/>
    <x v="2"/>
    <n v="133.5"/>
  </r>
  <r>
    <x v="7"/>
    <x v="0"/>
    <x v="83"/>
    <x v="9"/>
    <x v="0"/>
    <x v="0"/>
    <n v="147.30000000000001"/>
  </r>
  <r>
    <x v="7"/>
    <x v="0"/>
    <x v="83"/>
    <x v="9"/>
    <x v="0"/>
    <x v="1"/>
    <n v="149.9"/>
  </r>
  <r>
    <x v="7"/>
    <x v="0"/>
    <x v="83"/>
    <x v="9"/>
    <x v="0"/>
    <x v="2"/>
    <n v="152.9"/>
  </r>
  <r>
    <x v="7"/>
    <x v="0"/>
    <x v="83"/>
    <x v="13"/>
    <x v="3"/>
    <x v="0"/>
    <n v="148.4"/>
  </r>
  <r>
    <x v="7"/>
    <x v="0"/>
    <x v="83"/>
    <x v="13"/>
    <x v="3"/>
    <x v="1"/>
    <n v="144.1"/>
  </r>
  <r>
    <x v="7"/>
    <x v="0"/>
    <x v="83"/>
    <x v="13"/>
    <x v="3"/>
    <x v="2"/>
    <n v="137.1"/>
  </r>
  <r>
    <x v="7"/>
    <x v="0"/>
    <x v="83"/>
    <x v="15"/>
    <x v="4"/>
    <x v="0"/>
    <n v="150.70000000000002"/>
  </r>
  <r>
    <x v="7"/>
    <x v="0"/>
    <x v="83"/>
    <x v="15"/>
    <x v="4"/>
    <x v="1"/>
    <n v="149.29999999999998"/>
  </r>
  <r>
    <x v="7"/>
    <x v="0"/>
    <x v="83"/>
    <x v="15"/>
    <x v="4"/>
    <x v="2"/>
    <n v="147.73333333333332"/>
  </r>
  <r>
    <x v="7"/>
    <x v="0"/>
    <x v="83"/>
    <x v="17"/>
    <x v="5"/>
    <x v="0"/>
    <n v="154.30000000000001"/>
  </r>
  <r>
    <x v="7"/>
    <x v="0"/>
    <x v="83"/>
    <x v="17"/>
    <x v="5"/>
    <x v="1"/>
    <n v="150.69999999999999"/>
  </r>
  <r>
    <x v="7"/>
    <x v="0"/>
    <x v="83"/>
    <x v="17"/>
    <x v="5"/>
    <x v="2"/>
    <n v="144.80000000000001"/>
  </r>
  <r>
    <x v="7"/>
    <x v="0"/>
    <x v="83"/>
    <x v="19"/>
    <x v="6"/>
    <x v="0"/>
    <n v="151.66666666666666"/>
  </r>
  <r>
    <x v="7"/>
    <x v="0"/>
    <x v="83"/>
    <x v="19"/>
    <x v="6"/>
    <x v="1"/>
    <n v="146.33333333333334"/>
  </r>
  <r>
    <x v="7"/>
    <x v="0"/>
    <x v="83"/>
    <x v="19"/>
    <x v="6"/>
    <x v="2"/>
    <n v="140.43333333333331"/>
  </r>
  <r>
    <x v="7"/>
    <x v="0"/>
    <x v="83"/>
    <x v="21"/>
    <x v="6"/>
    <x v="0"/>
    <n v="0"/>
  </r>
  <r>
    <x v="7"/>
    <x v="0"/>
    <x v="83"/>
    <x v="21"/>
    <x v="6"/>
    <x v="1"/>
    <n v="155.6"/>
  </r>
  <r>
    <x v="7"/>
    <x v="0"/>
    <x v="83"/>
    <x v="21"/>
    <x v="6"/>
    <x v="2"/>
    <n v="155.6"/>
  </r>
  <r>
    <x v="7"/>
    <x v="0"/>
    <x v="83"/>
    <x v="2"/>
    <x v="0"/>
    <x v="0"/>
    <n v="167.20000000000002"/>
  </r>
  <r>
    <x v="7"/>
    <x v="0"/>
    <x v="83"/>
    <x v="2"/>
    <x v="0"/>
    <x v="1"/>
    <n v="167.29999999999998"/>
  </r>
  <r>
    <x v="7"/>
    <x v="0"/>
    <x v="83"/>
    <x v="2"/>
    <x v="0"/>
    <x v="2"/>
    <n v="167.56666666666669"/>
  </r>
  <r>
    <x v="7"/>
    <x v="0"/>
    <x v="83"/>
    <x v="6"/>
    <x v="0"/>
    <x v="0"/>
    <n v="155.6"/>
  </r>
  <r>
    <x v="7"/>
    <x v="0"/>
    <x v="83"/>
    <x v="6"/>
    <x v="0"/>
    <x v="1"/>
    <n v="155.6"/>
  </r>
  <r>
    <x v="7"/>
    <x v="0"/>
    <x v="83"/>
    <x v="6"/>
    <x v="0"/>
    <x v="2"/>
    <n v="155.5"/>
  </r>
  <r>
    <x v="7"/>
    <x v="0"/>
    <x v="83"/>
    <x v="23"/>
    <x v="7"/>
    <x v="0"/>
    <n v="148.36666666666667"/>
  </r>
  <r>
    <x v="7"/>
    <x v="0"/>
    <x v="83"/>
    <x v="23"/>
    <x v="7"/>
    <x v="1"/>
    <n v="143.60000000000002"/>
  </r>
  <r>
    <x v="7"/>
    <x v="0"/>
    <x v="83"/>
    <x v="23"/>
    <x v="7"/>
    <x v="2"/>
    <n v="138.5"/>
  </r>
  <r>
    <x v="7"/>
    <x v="0"/>
    <x v="83"/>
    <x v="18"/>
    <x v="0"/>
    <x v="0"/>
    <n v="139.19999999999999"/>
  </r>
  <r>
    <x v="7"/>
    <x v="0"/>
    <x v="83"/>
    <x v="18"/>
    <x v="0"/>
    <x v="1"/>
    <n v="136.80000000000001"/>
  </r>
  <r>
    <x v="7"/>
    <x v="0"/>
    <x v="83"/>
    <x v="18"/>
    <x v="0"/>
    <x v="2"/>
    <n v="133.5"/>
  </r>
  <r>
    <x v="7"/>
    <x v="0"/>
    <x v="83"/>
    <x v="7"/>
    <x v="0"/>
    <x v="0"/>
    <n v="137.1"/>
  </r>
  <r>
    <x v="7"/>
    <x v="0"/>
    <x v="83"/>
    <x v="7"/>
    <x v="0"/>
    <x v="1"/>
    <n v="135.1"/>
  </r>
  <r>
    <x v="7"/>
    <x v="0"/>
    <x v="83"/>
    <x v="7"/>
    <x v="0"/>
    <x v="2"/>
    <n v="131.6"/>
  </r>
  <r>
    <x v="7"/>
    <x v="0"/>
    <x v="83"/>
    <x v="22"/>
    <x v="7"/>
    <x v="0"/>
    <n v="169.5"/>
  </r>
  <r>
    <x v="7"/>
    <x v="0"/>
    <x v="83"/>
    <x v="22"/>
    <x v="7"/>
    <x v="1"/>
    <n v="170.16666666666666"/>
  </r>
  <r>
    <x v="7"/>
    <x v="0"/>
    <x v="83"/>
    <x v="22"/>
    <x v="7"/>
    <x v="2"/>
    <n v="172.03333333333333"/>
  </r>
  <r>
    <x v="7"/>
    <x v="0"/>
    <x v="83"/>
    <x v="24"/>
    <x v="7"/>
    <x v="0"/>
    <n v="143.66666666666666"/>
  </r>
  <r>
    <x v="7"/>
    <x v="0"/>
    <x v="83"/>
    <x v="24"/>
    <x v="7"/>
    <x v="1"/>
    <n v="143.63333333333333"/>
  </r>
  <r>
    <x v="7"/>
    <x v="0"/>
    <x v="83"/>
    <x v="24"/>
    <x v="7"/>
    <x v="2"/>
    <n v="143.63333333333333"/>
  </r>
  <r>
    <x v="7"/>
    <x v="0"/>
    <x v="83"/>
    <x v="20"/>
    <x v="0"/>
    <x v="0"/>
    <n v="159.29999999999998"/>
  </r>
  <r>
    <x v="7"/>
    <x v="0"/>
    <x v="83"/>
    <x v="20"/>
    <x v="0"/>
    <x v="1"/>
    <n v="159.1"/>
  </r>
  <r>
    <x v="7"/>
    <x v="0"/>
    <x v="83"/>
    <x v="20"/>
    <x v="0"/>
    <x v="2"/>
    <n v="158.86666666666667"/>
  </r>
  <r>
    <x v="7"/>
    <x v="0"/>
    <x v="83"/>
    <x v="12"/>
    <x v="0"/>
    <x v="0"/>
    <n v="150.19999999999999"/>
  </r>
  <r>
    <x v="7"/>
    <x v="0"/>
    <x v="83"/>
    <x v="12"/>
    <x v="0"/>
    <x v="1"/>
    <n v="150.4"/>
  </r>
  <r>
    <x v="7"/>
    <x v="0"/>
    <x v="83"/>
    <x v="12"/>
    <x v="0"/>
    <x v="2"/>
    <n v="150.80000000000001"/>
  </r>
  <r>
    <x v="7"/>
    <x v="0"/>
    <x v="83"/>
    <x v="26"/>
    <x v="9"/>
    <x v="0"/>
    <n v="150.56666666666663"/>
  </r>
  <r>
    <x v="7"/>
    <x v="0"/>
    <x v="83"/>
    <x v="26"/>
    <x v="9"/>
    <x v="1"/>
    <n v="143.23333333333332"/>
  </r>
  <r>
    <x v="7"/>
    <x v="0"/>
    <x v="83"/>
    <x v="26"/>
    <x v="9"/>
    <x v="2"/>
    <n v="137.6"/>
  </r>
  <r>
    <x v="7"/>
    <x v="0"/>
    <x v="83"/>
    <x v="16"/>
    <x v="0"/>
    <x v="0"/>
    <n v="158.69999999999999"/>
  </r>
  <r>
    <x v="7"/>
    <x v="0"/>
    <x v="83"/>
    <x v="16"/>
    <x v="0"/>
    <x v="1"/>
    <n v="157.1"/>
  </r>
  <r>
    <x v="7"/>
    <x v="0"/>
    <x v="83"/>
    <x v="16"/>
    <x v="0"/>
    <x v="2"/>
    <n v="154"/>
  </r>
  <r>
    <x v="7"/>
    <x v="0"/>
    <x v="83"/>
    <x v="14"/>
    <x v="0"/>
    <x v="0"/>
    <n v="119.8"/>
  </r>
  <r>
    <x v="7"/>
    <x v="0"/>
    <x v="83"/>
    <x v="14"/>
    <x v="0"/>
    <x v="1"/>
    <n v="120.3"/>
  </r>
  <r>
    <x v="7"/>
    <x v="0"/>
    <x v="83"/>
    <x v="14"/>
    <x v="0"/>
    <x v="2"/>
    <n v="121.2"/>
  </r>
  <r>
    <x v="7"/>
    <x v="0"/>
    <x v="83"/>
    <x v="25"/>
    <x v="8"/>
    <x v="0"/>
    <n v="136.03333333333333"/>
  </r>
  <r>
    <x v="7"/>
    <x v="0"/>
    <x v="83"/>
    <x v="25"/>
    <x v="8"/>
    <x v="1"/>
    <n v="130.36666666666667"/>
  </r>
  <r>
    <x v="7"/>
    <x v="0"/>
    <x v="83"/>
    <x v="25"/>
    <x v="8"/>
    <x v="2"/>
    <n v="125.3"/>
  </r>
  <r>
    <x v="7"/>
    <x v="0"/>
    <x v="83"/>
    <x v="11"/>
    <x v="0"/>
    <x v="0"/>
    <n v="162.69999999999999"/>
  </r>
  <r>
    <x v="7"/>
    <x v="0"/>
    <x v="83"/>
    <x v="11"/>
    <x v="0"/>
    <x v="1"/>
    <n v="168.6"/>
  </r>
  <r>
    <x v="7"/>
    <x v="0"/>
    <x v="83"/>
    <x v="11"/>
    <x v="0"/>
    <x v="2"/>
    <n v="180"/>
  </r>
  <r>
    <x v="7"/>
    <x v="1"/>
    <x v="84"/>
    <x v="0"/>
    <x v="0"/>
    <x v="0"/>
    <n v="147.6"/>
  </r>
  <r>
    <x v="7"/>
    <x v="1"/>
    <x v="84"/>
    <x v="0"/>
    <x v="0"/>
    <x v="1"/>
    <n v="148.9"/>
  </r>
  <r>
    <x v="7"/>
    <x v="1"/>
    <x v="84"/>
    <x v="0"/>
    <x v="0"/>
    <x v="2"/>
    <n v="151.6"/>
  </r>
  <r>
    <x v="7"/>
    <x v="1"/>
    <x v="84"/>
    <x v="1"/>
    <x v="1"/>
    <x v="0"/>
    <n v="155.1"/>
  </r>
  <r>
    <x v="7"/>
    <x v="1"/>
    <x v="84"/>
    <x v="1"/>
    <x v="1"/>
    <x v="1"/>
    <n v="153.1"/>
  </r>
  <r>
    <x v="7"/>
    <x v="1"/>
    <x v="84"/>
    <x v="1"/>
    <x v="1"/>
    <x v="2"/>
    <n v="150"/>
  </r>
  <r>
    <x v="7"/>
    <x v="1"/>
    <x v="84"/>
    <x v="3"/>
    <x v="1"/>
    <x v="0"/>
    <n v="154.30000000000001"/>
  </r>
  <r>
    <x v="7"/>
    <x v="1"/>
    <x v="84"/>
    <x v="3"/>
    <x v="1"/>
    <x v="1"/>
    <n v="151.69999999999999"/>
  </r>
  <r>
    <x v="7"/>
    <x v="1"/>
    <x v="84"/>
    <x v="3"/>
    <x v="1"/>
    <x v="2"/>
    <n v="147.80000000000001"/>
  </r>
  <r>
    <x v="7"/>
    <x v="1"/>
    <x v="84"/>
    <x v="5"/>
    <x v="2"/>
    <x v="0"/>
    <n v="162.69999999999999"/>
  </r>
  <r>
    <x v="7"/>
    <x v="1"/>
    <x v="84"/>
    <x v="5"/>
    <x v="2"/>
    <x v="1"/>
    <n v="158.5"/>
  </r>
  <r>
    <x v="7"/>
    <x v="1"/>
    <x v="84"/>
    <x v="5"/>
    <x v="2"/>
    <x v="2"/>
    <n v="155.5"/>
  </r>
  <r>
    <x v="7"/>
    <x v="1"/>
    <x v="84"/>
    <x v="4"/>
    <x v="0"/>
    <x v="0"/>
    <n v="148.4"/>
  </r>
  <r>
    <x v="7"/>
    <x v="1"/>
    <x v="84"/>
    <x v="4"/>
    <x v="0"/>
    <x v="1"/>
    <n v="150.80000000000001"/>
  </r>
  <r>
    <x v="7"/>
    <x v="1"/>
    <x v="84"/>
    <x v="4"/>
    <x v="0"/>
    <x v="2"/>
    <n v="154.5"/>
  </r>
  <r>
    <x v="7"/>
    <x v="1"/>
    <x v="84"/>
    <x v="8"/>
    <x v="0"/>
    <x v="0"/>
    <n v="155.30000000000001"/>
  </r>
  <r>
    <x v="7"/>
    <x v="1"/>
    <x v="84"/>
    <x v="8"/>
    <x v="0"/>
    <x v="1"/>
    <n v="157"/>
  </r>
  <r>
    <x v="7"/>
    <x v="1"/>
    <x v="84"/>
    <x v="8"/>
    <x v="0"/>
    <x v="2"/>
    <n v="159.9"/>
  </r>
  <r>
    <x v="7"/>
    <x v="1"/>
    <x v="84"/>
    <x v="10"/>
    <x v="1"/>
    <x v="0"/>
    <n v="149.30000000000001"/>
  </r>
  <r>
    <x v="7"/>
    <x v="1"/>
    <x v="84"/>
    <x v="10"/>
    <x v="1"/>
    <x v="1"/>
    <n v="143.4"/>
  </r>
  <r>
    <x v="7"/>
    <x v="1"/>
    <x v="84"/>
    <x v="10"/>
    <x v="1"/>
    <x v="2"/>
    <n v="135.19999999999999"/>
  </r>
  <r>
    <x v="7"/>
    <x v="1"/>
    <x v="84"/>
    <x v="9"/>
    <x v="0"/>
    <x v="0"/>
    <n v="146.9"/>
  </r>
  <r>
    <x v="7"/>
    <x v="1"/>
    <x v="84"/>
    <x v="9"/>
    <x v="0"/>
    <x v="1"/>
    <n v="150.4"/>
  </r>
  <r>
    <x v="7"/>
    <x v="1"/>
    <x v="84"/>
    <x v="9"/>
    <x v="0"/>
    <x v="2"/>
    <n v="154.5"/>
  </r>
  <r>
    <x v="7"/>
    <x v="1"/>
    <x v="84"/>
    <x v="13"/>
    <x v="3"/>
    <x v="0"/>
    <n v="145.80000000000001"/>
  </r>
  <r>
    <x v="7"/>
    <x v="1"/>
    <x v="84"/>
    <x v="13"/>
    <x v="3"/>
    <x v="1"/>
    <n v="143"/>
  </r>
  <r>
    <x v="7"/>
    <x v="1"/>
    <x v="84"/>
    <x v="13"/>
    <x v="3"/>
    <x v="2"/>
    <n v="138.30000000000001"/>
  </r>
  <r>
    <x v="7"/>
    <x v="1"/>
    <x v="84"/>
    <x v="15"/>
    <x v="4"/>
    <x v="0"/>
    <n v="154.69999999999999"/>
  </r>
  <r>
    <x v="7"/>
    <x v="1"/>
    <x v="84"/>
    <x v="15"/>
    <x v="4"/>
    <x v="1"/>
    <n v="153.9"/>
  </r>
  <r>
    <x v="7"/>
    <x v="1"/>
    <x v="84"/>
    <x v="15"/>
    <x v="4"/>
    <x v="2"/>
    <n v="152.9"/>
  </r>
  <r>
    <x v="7"/>
    <x v="1"/>
    <x v="84"/>
    <x v="17"/>
    <x v="5"/>
    <x v="0"/>
    <n v="158.80000000000001"/>
  </r>
  <r>
    <x v="7"/>
    <x v="1"/>
    <x v="84"/>
    <x v="17"/>
    <x v="5"/>
    <x v="1"/>
    <n v="155"/>
  </r>
  <r>
    <x v="7"/>
    <x v="1"/>
    <x v="84"/>
    <x v="17"/>
    <x v="5"/>
    <x v="2"/>
    <n v="148.69999999999999"/>
  </r>
  <r>
    <x v="7"/>
    <x v="1"/>
    <x v="84"/>
    <x v="19"/>
    <x v="6"/>
    <x v="0"/>
    <n v="151.9"/>
  </r>
  <r>
    <x v="7"/>
    <x v="1"/>
    <x v="84"/>
    <x v="19"/>
    <x v="6"/>
    <x v="1"/>
    <n v="148.4"/>
  </r>
  <r>
    <x v="7"/>
    <x v="1"/>
    <x v="84"/>
    <x v="19"/>
    <x v="6"/>
    <x v="2"/>
    <n v="144.5"/>
  </r>
  <r>
    <x v="7"/>
    <x v="1"/>
    <x v="84"/>
    <x v="21"/>
    <x v="6"/>
    <x v="0"/>
    <n v="0"/>
  </r>
  <r>
    <x v="7"/>
    <x v="1"/>
    <x v="84"/>
    <x v="21"/>
    <x v="6"/>
    <x v="1"/>
    <n v="155.5"/>
  </r>
  <r>
    <x v="7"/>
    <x v="1"/>
    <x v="84"/>
    <x v="21"/>
    <x v="6"/>
    <x v="2"/>
    <n v="155.5"/>
  </r>
  <r>
    <x v="7"/>
    <x v="1"/>
    <x v="84"/>
    <x v="2"/>
    <x v="0"/>
    <x v="0"/>
    <n v="187.2"/>
  </r>
  <r>
    <x v="7"/>
    <x v="1"/>
    <x v="84"/>
    <x v="2"/>
    <x v="0"/>
    <x v="1"/>
    <n v="190.9"/>
  </r>
  <r>
    <x v="7"/>
    <x v="1"/>
    <x v="84"/>
    <x v="2"/>
    <x v="0"/>
    <x v="2"/>
    <n v="197.8"/>
  </r>
  <r>
    <x v="7"/>
    <x v="1"/>
    <x v="84"/>
    <x v="6"/>
    <x v="0"/>
    <x v="0"/>
    <n v="153.30000000000001"/>
  </r>
  <r>
    <x v="7"/>
    <x v="1"/>
    <x v="84"/>
    <x v="6"/>
    <x v="0"/>
    <x v="1"/>
    <n v="153.30000000000001"/>
  </r>
  <r>
    <x v="7"/>
    <x v="1"/>
    <x v="84"/>
    <x v="6"/>
    <x v="0"/>
    <x v="2"/>
    <n v="153.4"/>
  </r>
  <r>
    <x v="7"/>
    <x v="1"/>
    <x v="84"/>
    <x v="23"/>
    <x v="7"/>
    <x v="0"/>
    <n v="153"/>
  </r>
  <r>
    <x v="7"/>
    <x v="1"/>
    <x v="84"/>
    <x v="23"/>
    <x v="7"/>
    <x v="1"/>
    <n v="149"/>
  </r>
  <r>
    <x v="7"/>
    <x v="1"/>
    <x v="84"/>
    <x v="23"/>
    <x v="7"/>
    <x v="2"/>
    <n v="144.80000000000001"/>
  </r>
  <r>
    <x v="7"/>
    <x v="1"/>
    <x v="84"/>
    <x v="18"/>
    <x v="0"/>
    <x v="0"/>
    <n v="143.5"/>
  </r>
  <r>
    <x v="7"/>
    <x v="1"/>
    <x v="84"/>
    <x v="18"/>
    <x v="0"/>
    <x v="1"/>
    <n v="140.6"/>
  </r>
  <r>
    <x v="7"/>
    <x v="1"/>
    <x v="84"/>
    <x v="18"/>
    <x v="0"/>
    <x v="2"/>
    <n v="136.5"/>
  </r>
  <r>
    <x v="7"/>
    <x v="1"/>
    <x v="84"/>
    <x v="7"/>
    <x v="0"/>
    <x v="0"/>
    <n v="139.80000000000001"/>
  </r>
  <r>
    <x v="7"/>
    <x v="1"/>
    <x v="84"/>
    <x v="7"/>
    <x v="0"/>
    <x v="1"/>
    <n v="137.4"/>
  </r>
  <r>
    <x v="7"/>
    <x v="1"/>
    <x v="84"/>
    <x v="7"/>
    <x v="0"/>
    <x v="2"/>
    <n v="133.4"/>
  </r>
  <r>
    <x v="7"/>
    <x v="1"/>
    <x v="84"/>
    <x v="22"/>
    <x v="7"/>
    <x v="0"/>
    <n v="180.9"/>
  </r>
  <r>
    <x v="7"/>
    <x v="1"/>
    <x v="84"/>
    <x v="22"/>
    <x v="7"/>
    <x v="1"/>
    <n v="182.6"/>
  </r>
  <r>
    <x v="7"/>
    <x v="1"/>
    <x v="84"/>
    <x v="22"/>
    <x v="7"/>
    <x v="2"/>
    <n v="187.2"/>
  </r>
  <r>
    <x v="7"/>
    <x v="1"/>
    <x v="84"/>
    <x v="24"/>
    <x v="7"/>
    <x v="0"/>
    <n v="153.6"/>
  </r>
  <r>
    <x v="7"/>
    <x v="1"/>
    <x v="84"/>
    <x v="24"/>
    <x v="7"/>
    <x v="1"/>
    <n v="154.30000000000001"/>
  </r>
  <r>
    <x v="7"/>
    <x v="1"/>
    <x v="84"/>
    <x v="24"/>
    <x v="7"/>
    <x v="2"/>
    <n v="155.19999999999999"/>
  </r>
  <r>
    <x v="7"/>
    <x v="1"/>
    <x v="84"/>
    <x v="20"/>
    <x v="0"/>
    <x v="0"/>
    <n v="161.5"/>
  </r>
  <r>
    <x v="7"/>
    <x v="1"/>
    <x v="84"/>
    <x v="20"/>
    <x v="0"/>
    <x v="1"/>
    <n v="162.30000000000001"/>
  </r>
  <r>
    <x v="7"/>
    <x v="1"/>
    <x v="84"/>
    <x v="20"/>
    <x v="0"/>
    <x v="2"/>
    <n v="163.30000000000001"/>
  </r>
  <r>
    <x v="7"/>
    <x v="1"/>
    <x v="84"/>
    <x v="12"/>
    <x v="0"/>
    <x v="0"/>
    <n v="149.9"/>
  </r>
  <r>
    <x v="7"/>
    <x v="1"/>
    <x v="84"/>
    <x v="12"/>
    <x v="0"/>
    <x v="1"/>
    <n v="150.4"/>
  </r>
  <r>
    <x v="7"/>
    <x v="1"/>
    <x v="84"/>
    <x v="12"/>
    <x v="0"/>
    <x v="2"/>
    <n v="151.30000000000001"/>
  </r>
  <r>
    <x v="7"/>
    <x v="1"/>
    <x v="84"/>
    <x v="26"/>
    <x v="9"/>
    <x v="0"/>
    <n v="152.19999999999999"/>
  </r>
  <r>
    <x v="7"/>
    <x v="1"/>
    <x v="84"/>
    <x v="26"/>
    <x v="9"/>
    <x v="1"/>
    <n v="146"/>
  </r>
  <r>
    <x v="7"/>
    <x v="1"/>
    <x v="84"/>
    <x v="26"/>
    <x v="9"/>
    <x v="2"/>
    <n v="141.19999999999999"/>
  </r>
  <r>
    <x v="7"/>
    <x v="1"/>
    <x v="84"/>
    <x v="16"/>
    <x v="0"/>
    <x v="0"/>
    <n v="160"/>
  </r>
  <r>
    <x v="7"/>
    <x v="1"/>
    <x v="84"/>
    <x v="16"/>
    <x v="0"/>
    <x v="1"/>
    <n v="160"/>
  </r>
  <r>
    <x v="7"/>
    <x v="1"/>
    <x v="84"/>
    <x v="16"/>
    <x v="0"/>
    <x v="2"/>
    <n v="160"/>
  </r>
  <r>
    <x v="7"/>
    <x v="1"/>
    <x v="84"/>
    <x v="14"/>
    <x v="0"/>
    <x v="0"/>
    <n v="114.2"/>
  </r>
  <r>
    <x v="7"/>
    <x v="1"/>
    <x v="84"/>
    <x v="14"/>
    <x v="0"/>
    <x v="1"/>
    <n v="115.1"/>
  </r>
  <r>
    <x v="7"/>
    <x v="1"/>
    <x v="84"/>
    <x v="14"/>
    <x v="0"/>
    <x v="2"/>
    <n v="116.8"/>
  </r>
  <r>
    <x v="7"/>
    <x v="1"/>
    <x v="84"/>
    <x v="25"/>
    <x v="8"/>
    <x v="0"/>
    <n v="143.6"/>
  </r>
  <r>
    <x v="7"/>
    <x v="1"/>
    <x v="84"/>
    <x v="25"/>
    <x v="8"/>
    <x v="1"/>
    <n v="138.5"/>
  </r>
  <r>
    <x v="7"/>
    <x v="1"/>
    <x v="84"/>
    <x v="25"/>
    <x v="8"/>
    <x v="2"/>
    <n v="133.9"/>
  </r>
  <r>
    <x v="7"/>
    <x v="1"/>
    <x v="84"/>
    <x v="11"/>
    <x v="0"/>
    <x v="0"/>
    <n v="171"/>
  </r>
  <r>
    <x v="7"/>
    <x v="1"/>
    <x v="84"/>
    <x v="11"/>
    <x v="0"/>
    <x v="1"/>
    <n v="178.1"/>
  </r>
  <r>
    <x v="7"/>
    <x v="1"/>
    <x v="84"/>
    <x v="11"/>
    <x v="0"/>
    <x v="2"/>
    <n v="191.9"/>
  </r>
  <r>
    <x v="7"/>
    <x v="2"/>
    <x v="85"/>
    <x v="0"/>
    <x v="0"/>
    <x v="0"/>
    <n v="144.6"/>
  </r>
  <r>
    <x v="7"/>
    <x v="2"/>
    <x v="85"/>
    <x v="0"/>
    <x v="0"/>
    <x v="1"/>
    <n v="146"/>
  </r>
  <r>
    <x v="7"/>
    <x v="2"/>
    <x v="85"/>
    <x v="0"/>
    <x v="0"/>
    <x v="2"/>
    <n v="149"/>
  </r>
  <r>
    <x v="7"/>
    <x v="2"/>
    <x v="85"/>
    <x v="1"/>
    <x v="1"/>
    <x v="0"/>
    <n v="157"/>
  </r>
  <r>
    <x v="7"/>
    <x v="2"/>
    <x v="85"/>
    <x v="1"/>
    <x v="1"/>
    <x v="1"/>
    <n v="155"/>
  </r>
  <r>
    <x v="7"/>
    <x v="2"/>
    <x v="85"/>
    <x v="1"/>
    <x v="1"/>
    <x v="2"/>
    <n v="151.9"/>
  </r>
  <r>
    <x v="7"/>
    <x v="2"/>
    <x v="85"/>
    <x v="3"/>
    <x v="1"/>
    <x v="0"/>
    <n v="156.30000000000001"/>
  </r>
  <r>
    <x v="7"/>
    <x v="2"/>
    <x v="85"/>
    <x v="3"/>
    <x v="1"/>
    <x v="1"/>
    <n v="153.6"/>
  </r>
  <r>
    <x v="7"/>
    <x v="2"/>
    <x v="85"/>
    <x v="3"/>
    <x v="1"/>
    <x v="2"/>
    <n v="149.6"/>
  </r>
  <r>
    <x v="7"/>
    <x v="2"/>
    <x v="85"/>
    <x v="5"/>
    <x v="2"/>
    <x v="0"/>
    <n v="162.9"/>
  </r>
  <r>
    <x v="7"/>
    <x v="2"/>
    <x v="85"/>
    <x v="5"/>
    <x v="2"/>
    <x v="1"/>
    <n v="159.4"/>
  </r>
  <r>
    <x v="7"/>
    <x v="2"/>
    <x v="85"/>
    <x v="5"/>
    <x v="2"/>
    <x v="2"/>
    <n v="156.9"/>
  </r>
  <r>
    <x v="7"/>
    <x v="2"/>
    <x v="85"/>
    <x v="4"/>
    <x v="0"/>
    <x v="0"/>
    <n v="173.4"/>
  </r>
  <r>
    <x v="7"/>
    <x v="2"/>
    <x v="85"/>
    <x v="4"/>
    <x v="0"/>
    <x v="1"/>
    <n v="175.3"/>
  </r>
  <r>
    <x v="7"/>
    <x v="2"/>
    <x v="85"/>
    <x v="4"/>
    <x v="0"/>
    <x v="2"/>
    <n v="178.3"/>
  </r>
  <r>
    <x v="7"/>
    <x v="2"/>
    <x v="85"/>
    <x v="8"/>
    <x v="0"/>
    <x v="0"/>
    <n v="164.5"/>
  </r>
  <r>
    <x v="7"/>
    <x v="2"/>
    <x v="85"/>
    <x v="8"/>
    <x v="0"/>
    <x v="1"/>
    <n v="165.4"/>
  </r>
  <r>
    <x v="7"/>
    <x v="2"/>
    <x v="85"/>
    <x v="8"/>
    <x v="0"/>
    <x v="2"/>
    <n v="167"/>
  </r>
  <r>
    <x v="7"/>
    <x v="2"/>
    <x v="85"/>
    <x v="10"/>
    <x v="1"/>
    <x v="0"/>
    <n v="151.6"/>
  </r>
  <r>
    <x v="7"/>
    <x v="2"/>
    <x v="85"/>
    <x v="10"/>
    <x v="1"/>
    <x v="1"/>
    <n v="145.4"/>
  </r>
  <r>
    <x v="7"/>
    <x v="2"/>
    <x v="85"/>
    <x v="10"/>
    <x v="1"/>
    <x v="2"/>
    <n v="136.69999999999999"/>
  </r>
  <r>
    <x v="7"/>
    <x v="2"/>
    <x v="85"/>
    <x v="9"/>
    <x v="0"/>
    <x v="0"/>
    <n v="145.9"/>
  </r>
  <r>
    <x v="7"/>
    <x v="2"/>
    <x v="85"/>
    <x v="9"/>
    <x v="0"/>
    <x v="1"/>
    <n v="147.69999999999999"/>
  </r>
  <r>
    <x v="7"/>
    <x v="2"/>
    <x v="85"/>
    <x v="9"/>
    <x v="0"/>
    <x v="2"/>
    <n v="149.69999999999999"/>
  </r>
  <r>
    <x v="7"/>
    <x v="2"/>
    <x v="85"/>
    <x v="13"/>
    <x v="3"/>
    <x v="0"/>
    <n v="148.69999999999999"/>
  </r>
  <r>
    <x v="7"/>
    <x v="2"/>
    <x v="85"/>
    <x v="13"/>
    <x v="3"/>
    <x v="1"/>
    <n v="144.6"/>
  </r>
  <r>
    <x v="7"/>
    <x v="2"/>
    <x v="85"/>
    <x v="13"/>
    <x v="3"/>
    <x v="2"/>
    <n v="137.9"/>
  </r>
  <r>
    <x v="7"/>
    <x v="2"/>
    <x v="85"/>
    <x v="15"/>
    <x v="4"/>
    <x v="0"/>
    <n v="160.69999999999999"/>
  </r>
  <r>
    <x v="7"/>
    <x v="2"/>
    <x v="85"/>
    <x v="15"/>
    <x v="4"/>
    <x v="1"/>
    <n v="158.9"/>
  </r>
  <r>
    <x v="7"/>
    <x v="2"/>
    <x v="85"/>
    <x v="15"/>
    <x v="4"/>
    <x v="2"/>
    <n v="156.9"/>
  </r>
  <r>
    <x v="7"/>
    <x v="2"/>
    <x v="85"/>
    <x v="17"/>
    <x v="5"/>
    <x v="0"/>
    <n v="161.6"/>
  </r>
  <r>
    <x v="7"/>
    <x v="2"/>
    <x v="85"/>
    <x v="17"/>
    <x v="5"/>
    <x v="1"/>
    <n v="158.30000000000001"/>
  </r>
  <r>
    <x v="7"/>
    <x v="2"/>
    <x v="85"/>
    <x v="17"/>
    <x v="5"/>
    <x v="2"/>
    <n v="152.9"/>
  </r>
  <r>
    <x v="7"/>
    <x v="2"/>
    <x v="85"/>
    <x v="19"/>
    <x v="6"/>
    <x v="0"/>
    <n v="153.4"/>
  </r>
  <r>
    <x v="7"/>
    <x v="2"/>
    <x v="85"/>
    <x v="19"/>
    <x v="6"/>
    <x v="1"/>
    <n v="149.69999999999999"/>
  </r>
  <r>
    <x v="7"/>
    <x v="2"/>
    <x v="85"/>
    <x v="19"/>
    <x v="6"/>
    <x v="2"/>
    <n v="145.5"/>
  </r>
  <r>
    <x v="7"/>
    <x v="2"/>
    <x v="85"/>
    <x v="21"/>
    <x v="6"/>
    <x v="0"/>
    <n v="0"/>
  </r>
  <r>
    <x v="7"/>
    <x v="2"/>
    <x v="85"/>
    <x v="21"/>
    <x v="6"/>
    <x v="1"/>
    <n v="158.4"/>
  </r>
  <r>
    <x v="7"/>
    <x v="2"/>
    <x v="85"/>
    <x v="21"/>
    <x v="6"/>
    <x v="2"/>
    <n v="158.4"/>
  </r>
  <r>
    <x v="7"/>
    <x v="2"/>
    <x v="85"/>
    <x v="2"/>
    <x v="0"/>
    <x v="0"/>
    <n v="188.5"/>
  </r>
  <r>
    <x v="7"/>
    <x v="2"/>
    <x v="85"/>
    <x v="2"/>
    <x v="0"/>
    <x v="1"/>
    <n v="191"/>
  </r>
  <r>
    <x v="7"/>
    <x v="2"/>
    <x v="85"/>
    <x v="2"/>
    <x v="0"/>
    <x v="2"/>
    <n v="195.7"/>
  </r>
  <r>
    <x v="7"/>
    <x v="2"/>
    <x v="85"/>
    <x v="6"/>
    <x v="0"/>
    <x v="0"/>
    <n v="154"/>
  </r>
  <r>
    <x v="7"/>
    <x v="2"/>
    <x v="85"/>
    <x v="6"/>
    <x v="0"/>
    <x v="1"/>
    <n v="154.1"/>
  </r>
  <r>
    <x v="7"/>
    <x v="2"/>
    <x v="85"/>
    <x v="6"/>
    <x v="0"/>
    <x v="2"/>
    <n v="154.19999999999999"/>
  </r>
  <r>
    <x v="7"/>
    <x v="2"/>
    <x v="85"/>
    <x v="23"/>
    <x v="7"/>
    <x v="0"/>
    <n v="155.19999999999999"/>
  </r>
  <r>
    <x v="7"/>
    <x v="2"/>
    <x v="85"/>
    <x v="23"/>
    <x v="7"/>
    <x v="1"/>
    <n v="151.19999999999999"/>
  </r>
  <r>
    <x v="7"/>
    <x v="2"/>
    <x v="85"/>
    <x v="23"/>
    <x v="7"/>
    <x v="2"/>
    <n v="146.9"/>
  </r>
  <r>
    <x v="7"/>
    <x v="2"/>
    <x v="85"/>
    <x v="18"/>
    <x v="0"/>
    <x v="0"/>
    <n v="153.4"/>
  </r>
  <r>
    <x v="7"/>
    <x v="2"/>
    <x v="85"/>
    <x v="18"/>
    <x v="0"/>
    <x v="1"/>
    <n v="149.19999999999999"/>
  </r>
  <r>
    <x v="7"/>
    <x v="2"/>
    <x v="85"/>
    <x v="18"/>
    <x v="0"/>
    <x v="2"/>
    <n v="143.30000000000001"/>
  </r>
  <r>
    <x v="7"/>
    <x v="2"/>
    <x v="85"/>
    <x v="7"/>
    <x v="0"/>
    <x v="0"/>
    <n v="150"/>
  </r>
  <r>
    <x v="7"/>
    <x v="2"/>
    <x v="85"/>
    <x v="7"/>
    <x v="0"/>
    <x v="1"/>
    <n v="146.6"/>
  </r>
  <r>
    <x v="7"/>
    <x v="2"/>
    <x v="85"/>
    <x v="7"/>
    <x v="0"/>
    <x v="2"/>
    <n v="140.69999999999999"/>
  </r>
  <r>
    <x v="7"/>
    <x v="2"/>
    <x v="85"/>
    <x v="22"/>
    <x v="7"/>
    <x v="0"/>
    <n v="183.6"/>
  </r>
  <r>
    <x v="7"/>
    <x v="2"/>
    <x v="85"/>
    <x v="22"/>
    <x v="7"/>
    <x v="1"/>
    <n v="185.4"/>
  </r>
  <r>
    <x v="7"/>
    <x v="2"/>
    <x v="85"/>
    <x v="22"/>
    <x v="7"/>
    <x v="2"/>
    <n v="190.2"/>
  </r>
  <r>
    <x v="7"/>
    <x v="2"/>
    <x v="85"/>
    <x v="24"/>
    <x v="7"/>
    <x v="0"/>
    <n v="156.6"/>
  </r>
  <r>
    <x v="7"/>
    <x v="2"/>
    <x v="85"/>
    <x v="24"/>
    <x v="7"/>
    <x v="1"/>
    <n v="157.1"/>
  </r>
  <r>
    <x v="7"/>
    <x v="2"/>
    <x v="85"/>
    <x v="24"/>
    <x v="7"/>
    <x v="2"/>
    <n v="157.9"/>
  </r>
  <r>
    <x v="7"/>
    <x v="2"/>
    <x v="85"/>
    <x v="20"/>
    <x v="0"/>
    <x v="0"/>
    <n v="163.6"/>
  </r>
  <r>
    <x v="7"/>
    <x v="2"/>
    <x v="85"/>
    <x v="20"/>
    <x v="0"/>
    <x v="1"/>
    <n v="164.8"/>
  </r>
  <r>
    <x v="7"/>
    <x v="2"/>
    <x v="85"/>
    <x v="20"/>
    <x v="0"/>
    <x v="2"/>
    <n v="166.1"/>
  </r>
  <r>
    <x v="7"/>
    <x v="2"/>
    <x v="85"/>
    <x v="12"/>
    <x v="0"/>
    <x v="0"/>
    <n v="159.5"/>
  </r>
  <r>
    <x v="7"/>
    <x v="2"/>
    <x v="85"/>
    <x v="12"/>
    <x v="0"/>
    <x v="1"/>
    <n v="160.19999999999999"/>
  </r>
  <r>
    <x v="7"/>
    <x v="2"/>
    <x v="85"/>
    <x v="12"/>
    <x v="0"/>
    <x v="2"/>
    <n v="161.5"/>
  </r>
  <r>
    <x v="7"/>
    <x v="2"/>
    <x v="85"/>
    <x v="26"/>
    <x v="9"/>
    <x v="0"/>
    <n v="153.9"/>
  </r>
  <r>
    <x v="7"/>
    <x v="2"/>
    <x v="85"/>
    <x v="26"/>
    <x v="9"/>
    <x v="1"/>
    <n v="148.5"/>
  </r>
  <r>
    <x v="7"/>
    <x v="2"/>
    <x v="85"/>
    <x v="26"/>
    <x v="9"/>
    <x v="2"/>
    <n v="144.30000000000001"/>
  </r>
  <r>
    <x v="7"/>
    <x v="2"/>
    <x v="85"/>
    <x v="16"/>
    <x v="0"/>
    <x v="0"/>
    <n v="163.5"/>
  </r>
  <r>
    <x v="7"/>
    <x v="2"/>
    <x v="85"/>
    <x v="16"/>
    <x v="0"/>
    <x v="1"/>
    <n v="163"/>
  </r>
  <r>
    <x v="7"/>
    <x v="2"/>
    <x v="85"/>
    <x v="16"/>
    <x v="0"/>
    <x v="2"/>
    <n v="161.9"/>
  </r>
  <r>
    <x v="7"/>
    <x v="2"/>
    <x v="85"/>
    <x v="14"/>
    <x v="0"/>
    <x v="0"/>
    <n v="114.4"/>
  </r>
  <r>
    <x v="7"/>
    <x v="2"/>
    <x v="85"/>
    <x v="14"/>
    <x v="0"/>
    <x v="1"/>
    <n v="115.3"/>
  </r>
  <r>
    <x v="7"/>
    <x v="2"/>
    <x v="85"/>
    <x v="14"/>
    <x v="0"/>
    <x v="2"/>
    <n v="117.1"/>
  </r>
  <r>
    <x v="7"/>
    <x v="2"/>
    <x v="85"/>
    <x v="25"/>
    <x v="8"/>
    <x v="0"/>
    <n v="146.4"/>
  </r>
  <r>
    <x v="7"/>
    <x v="2"/>
    <x v="85"/>
    <x v="25"/>
    <x v="8"/>
    <x v="1"/>
    <n v="140.69999999999999"/>
  </r>
  <r>
    <x v="7"/>
    <x v="2"/>
    <x v="85"/>
    <x v="25"/>
    <x v="8"/>
    <x v="2"/>
    <n v="135.5"/>
  </r>
  <r>
    <x v="7"/>
    <x v="2"/>
    <x v="85"/>
    <x v="11"/>
    <x v="0"/>
    <x v="0"/>
    <n v="225.2"/>
  </r>
  <r>
    <x v="7"/>
    <x v="2"/>
    <x v="85"/>
    <x v="11"/>
    <x v="0"/>
    <x v="1"/>
    <n v="230.5"/>
  </r>
  <r>
    <x v="7"/>
    <x v="2"/>
    <x v="85"/>
    <x v="11"/>
    <x v="0"/>
    <x v="2"/>
    <n v="240.9"/>
  </r>
  <r>
    <x v="7"/>
    <x v="3"/>
    <x v="86"/>
    <x v="0"/>
    <x v="0"/>
    <x v="0"/>
    <n v="144.19999999999999"/>
  </r>
  <r>
    <x v="7"/>
    <x v="3"/>
    <x v="86"/>
    <x v="0"/>
    <x v="0"/>
    <x v="1"/>
    <n v="144.80000000000001"/>
  </r>
  <r>
    <x v="7"/>
    <x v="3"/>
    <x v="86"/>
    <x v="0"/>
    <x v="0"/>
    <x v="2"/>
    <n v="146.19999999999999"/>
  </r>
  <r>
    <x v="7"/>
    <x v="3"/>
    <x v="86"/>
    <x v="1"/>
    <x v="1"/>
    <x v="0"/>
    <n v="153"/>
  </r>
  <r>
    <x v="7"/>
    <x v="3"/>
    <x v="86"/>
    <x v="1"/>
    <x v="1"/>
    <x v="1"/>
    <n v="150.80000000000001"/>
  </r>
  <r>
    <x v="7"/>
    <x v="3"/>
    <x v="86"/>
    <x v="1"/>
    <x v="1"/>
    <x v="2"/>
    <n v="147.30000000000001"/>
  </r>
  <r>
    <x v="7"/>
    <x v="3"/>
    <x v="86"/>
    <x v="3"/>
    <x v="1"/>
    <x v="0"/>
    <n v="152.30000000000001"/>
  </r>
  <r>
    <x v="7"/>
    <x v="3"/>
    <x v="86"/>
    <x v="3"/>
    <x v="1"/>
    <x v="1"/>
    <n v="149.5"/>
  </r>
  <r>
    <x v="7"/>
    <x v="3"/>
    <x v="86"/>
    <x v="3"/>
    <x v="1"/>
    <x v="2"/>
    <n v="145.19999999999999"/>
  </r>
  <r>
    <x v="7"/>
    <x v="3"/>
    <x v="86"/>
    <x v="5"/>
    <x v="2"/>
    <x v="0"/>
    <n v="161.9"/>
  </r>
  <r>
    <x v="7"/>
    <x v="3"/>
    <x v="86"/>
    <x v="5"/>
    <x v="2"/>
    <x v="1"/>
    <n v="156.19999999999999"/>
  </r>
  <r>
    <x v="7"/>
    <x v="3"/>
    <x v="86"/>
    <x v="5"/>
    <x v="2"/>
    <x v="2"/>
    <n v="152.19999999999999"/>
  </r>
  <r>
    <x v="7"/>
    <x v="3"/>
    <x v="86"/>
    <x v="4"/>
    <x v="0"/>
    <x v="0"/>
    <n v="150.9"/>
  </r>
  <r>
    <x v="7"/>
    <x v="3"/>
    <x v="86"/>
    <x v="4"/>
    <x v="0"/>
    <x v="1"/>
    <n v="151.80000000000001"/>
  </r>
  <r>
    <x v="7"/>
    <x v="3"/>
    <x v="86"/>
    <x v="4"/>
    <x v="0"/>
    <x v="2"/>
    <n v="153.1"/>
  </r>
  <r>
    <x v="7"/>
    <x v="3"/>
    <x v="86"/>
    <x v="8"/>
    <x v="0"/>
    <x v="0"/>
    <n v="149.80000000000001"/>
  </r>
  <r>
    <x v="7"/>
    <x v="3"/>
    <x v="86"/>
    <x v="8"/>
    <x v="0"/>
    <x v="1"/>
    <n v="150.5"/>
  </r>
  <r>
    <x v="7"/>
    <x v="3"/>
    <x v="86"/>
    <x v="8"/>
    <x v="0"/>
    <x v="2"/>
    <n v="151.69999999999999"/>
  </r>
  <r>
    <x v="7"/>
    <x v="3"/>
    <x v="86"/>
    <x v="10"/>
    <x v="1"/>
    <x v="0"/>
    <n v="147.5"/>
  </r>
  <r>
    <x v="7"/>
    <x v="3"/>
    <x v="86"/>
    <x v="10"/>
    <x v="1"/>
    <x v="1"/>
    <n v="141.69999999999999"/>
  </r>
  <r>
    <x v="7"/>
    <x v="3"/>
    <x v="86"/>
    <x v="10"/>
    <x v="1"/>
    <x v="2"/>
    <n v="133.5"/>
  </r>
  <r>
    <x v="7"/>
    <x v="3"/>
    <x v="86"/>
    <x v="9"/>
    <x v="0"/>
    <x v="0"/>
    <n v="140.69999999999999"/>
  </r>
  <r>
    <x v="7"/>
    <x v="3"/>
    <x v="86"/>
    <x v="9"/>
    <x v="0"/>
    <x v="1"/>
    <n v="141.80000000000001"/>
  </r>
  <r>
    <x v="7"/>
    <x v="3"/>
    <x v="86"/>
    <x v="9"/>
    <x v="0"/>
    <x v="2"/>
    <n v="143.1"/>
  </r>
  <r>
    <x v="7"/>
    <x v="3"/>
    <x v="86"/>
    <x v="13"/>
    <x v="3"/>
    <x v="0"/>
    <n v="152.30000000000001"/>
  </r>
  <r>
    <x v="7"/>
    <x v="3"/>
    <x v="86"/>
    <x v="13"/>
    <x v="3"/>
    <x v="1"/>
    <n v="147.19999999999999"/>
  </r>
  <r>
    <x v="7"/>
    <x v="3"/>
    <x v="86"/>
    <x v="13"/>
    <x v="3"/>
    <x v="2"/>
    <n v="138.9"/>
  </r>
  <r>
    <x v="7"/>
    <x v="3"/>
    <x v="86"/>
    <x v="15"/>
    <x v="4"/>
    <x v="0"/>
    <n v="150.4"/>
  </r>
  <r>
    <x v="7"/>
    <x v="3"/>
    <x v="86"/>
    <x v="15"/>
    <x v="4"/>
    <x v="1"/>
    <n v="149.1"/>
  </r>
  <r>
    <x v="7"/>
    <x v="3"/>
    <x v="86"/>
    <x v="15"/>
    <x v="4"/>
    <x v="2"/>
    <n v="147.69999999999999"/>
  </r>
  <r>
    <x v="7"/>
    <x v="3"/>
    <x v="86"/>
    <x v="17"/>
    <x v="5"/>
    <x v="0"/>
    <n v="156.19999999999999"/>
  </r>
  <r>
    <x v="7"/>
    <x v="3"/>
    <x v="86"/>
    <x v="17"/>
    <x v="5"/>
    <x v="1"/>
    <n v="151.69999999999999"/>
  </r>
  <r>
    <x v="7"/>
    <x v="3"/>
    <x v="86"/>
    <x v="17"/>
    <x v="5"/>
    <x v="2"/>
    <n v="144.4"/>
  </r>
  <r>
    <x v="7"/>
    <x v="3"/>
    <x v="86"/>
    <x v="19"/>
    <x v="6"/>
    <x v="0"/>
    <n v="151.80000000000001"/>
  </r>
  <r>
    <x v="7"/>
    <x v="3"/>
    <x v="86"/>
    <x v="19"/>
    <x v="6"/>
    <x v="1"/>
    <n v="146.4"/>
  </r>
  <r>
    <x v="7"/>
    <x v="3"/>
    <x v="86"/>
    <x v="19"/>
    <x v="6"/>
    <x v="2"/>
    <n v="140.4"/>
  </r>
  <r>
    <x v="7"/>
    <x v="3"/>
    <x v="86"/>
    <x v="21"/>
    <x v="6"/>
    <x v="0"/>
    <n v="0"/>
  </r>
  <r>
    <x v="7"/>
    <x v="3"/>
    <x v="86"/>
    <x v="21"/>
    <x v="6"/>
    <x v="1"/>
    <n v="154.80000000000001"/>
  </r>
  <r>
    <x v="7"/>
    <x v="3"/>
    <x v="86"/>
    <x v="21"/>
    <x v="6"/>
    <x v="2"/>
    <n v="154.80000000000001"/>
  </r>
  <r>
    <x v="7"/>
    <x v="3"/>
    <x v="86"/>
    <x v="2"/>
    <x v="0"/>
    <x v="0"/>
    <n v="167.5"/>
  </r>
  <r>
    <x v="7"/>
    <x v="3"/>
    <x v="86"/>
    <x v="2"/>
    <x v="0"/>
    <x v="1"/>
    <n v="167.5"/>
  </r>
  <r>
    <x v="7"/>
    <x v="3"/>
    <x v="86"/>
    <x v="2"/>
    <x v="0"/>
    <x v="2"/>
    <n v="167.6"/>
  </r>
  <r>
    <x v="7"/>
    <x v="3"/>
    <x v="86"/>
    <x v="6"/>
    <x v="0"/>
    <x v="0"/>
    <n v="150.9"/>
  </r>
  <r>
    <x v="7"/>
    <x v="3"/>
    <x v="86"/>
    <x v="6"/>
    <x v="0"/>
    <x v="1"/>
    <n v="150.80000000000001"/>
  </r>
  <r>
    <x v="7"/>
    <x v="3"/>
    <x v="86"/>
    <x v="6"/>
    <x v="0"/>
    <x v="2"/>
    <n v="150.69999999999999"/>
  </r>
  <r>
    <x v="7"/>
    <x v="3"/>
    <x v="86"/>
    <x v="23"/>
    <x v="7"/>
    <x v="0"/>
    <n v="148.4"/>
  </r>
  <r>
    <x v="7"/>
    <x v="3"/>
    <x v="86"/>
    <x v="23"/>
    <x v="7"/>
    <x v="1"/>
    <n v="143.6"/>
  </r>
  <r>
    <x v="7"/>
    <x v="3"/>
    <x v="86"/>
    <x v="23"/>
    <x v="7"/>
    <x v="2"/>
    <n v="138.4"/>
  </r>
  <r>
    <x v="7"/>
    <x v="3"/>
    <x v="86"/>
    <x v="18"/>
    <x v="0"/>
    <x v="0"/>
    <n v="140.1"/>
  </r>
  <r>
    <x v="7"/>
    <x v="3"/>
    <x v="86"/>
    <x v="18"/>
    <x v="0"/>
    <x v="1"/>
    <n v="136.5"/>
  </r>
  <r>
    <x v="7"/>
    <x v="3"/>
    <x v="86"/>
    <x v="18"/>
    <x v="0"/>
    <x v="2"/>
    <n v="131.5"/>
  </r>
  <r>
    <x v="7"/>
    <x v="3"/>
    <x v="86"/>
    <x v="7"/>
    <x v="0"/>
    <x v="0"/>
    <n v="133.69999999999999"/>
  </r>
  <r>
    <x v="7"/>
    <x v="3"/>
    <x v="86"/>
    <x v="7"/>
    <x v="0"/>
    <x v="1"/>
    <n v="131.4"/>
  </r>
  <r>
    <x v="7"/>
    <x v="3"/>
    <x v="86"/>
    <x v="7"/>
    <x v="0"/>
    <x v="2"/>
    <n v="127.4"/>
  </r>
  <r>
    <x v="7"/>
    <x v="3"/>
    <x v="86"/>
    <x v="22"/>
    <x v="7"/>
    <x v="0"/>
    <n v="169.4"/>
  </r>
  <r>
    <x v="7"/>
    <x v="3"/>
    <x v="86"/>
    <x v="22"/>
    <x v="7"/>
    <x v="1"/>
    <n v="170.1"/>
  </r>
  <r>
    <x v="7"/>
    <x v="3"/>
    <x v="86"/>
    <x v="22"/>
    <x v="7"/>
    <x v="2"/>
    <n v="172"/>
  </r>
  <r>
    <x v="7"/>
    <x v="3"/>
    <x v="86"/>
    <x v="24"/>
    <x v="7"/>
    <x v="0"/>
    <n v="143.4"/>
  </r>
  <r>
    <x v="7"/>
    <x v="3"/>
    <x v="86"/>
    <x v="24"/>
    <x v="7"/>
    <x v="1"/>
    <n v="143.4"/>
  </r>
  <r>
    <x v="7"/>
    <x v="3"/>
    <x v="86"/>
    <x v="24"/>
    <x v="7"/>
    <x v="2"/>
    <n v="143.5"/>
  </r>
  <r>
    <x v="7"/>
    <x v="3"/>
    <x v="86"/>
    <x v="20"/>
    <x v="0"/>
    <x v="0"/>
    <n v="159.19999999999999"/>
  </r>
  <r>
    <x v="7"/>
    <x v="3"/>
    <x v="86"/>
    <x v="20"/>
    <x v="0"/>
    <x v="1"/>
    <n v="159.1"/>
  </r>
  <r>
    <x v="7"/>
    <x v="3"/>
    <x v="86"/>
    <x v="20"/>
    <x v="0"/>
    <x v="2"/>
    <n v="159"/>
  </r>
  <r>
    <x v="7"/>
    <x v="3"/>
    <x v="86"/>
    <x v="12"/>
    <x v="0"/>
    <x v="0"/>
    <n v="141.80000000000001"/>
  </r>
  <r>
    <x v="7"/>
    <x v="3"/>
    <x v="86"/>
    <x v="12"/>
    <x v="0"/>
    <x v="1"/>
    <n v="141.1"/>
  </r>
  <r>
    <x v="7"/>
    <x v="3"/>
    <x v="86"/>
    <x v="12"/>
    <x v="0"/>
    <x v="2"/>
    <n v="139.6"/>
  </r>
  <r>
    <x v="7"/>
    <x v="3"/>
    <x v="86"/>
    <x v="26"/>
    <x v="9"/>
    <x v="0"/>
    <n v="150.4"/>
  </r>
  <r>
    <x v="7"/>
    <x v="3"/>
    <x v="86"/>
    <x v="26"/>
    <x v="9"/>
    <x v="1"/>
    <n v="143.19999999999999"/>
  </r>
  <r>
    <x v="7"/>
    <x v="3"/>
    <x v="86"/>
    <x v="26"/>
    <x v="9"/>
    <x v="2"/>
    <n v="137.69999999999999"/>
  </r>
  <r>
    <x v="7"/>
    <x v="3"/>
    <x v="86"/>
    <x v="16"/>
    <x v="0"/>
    <x v="0"/>
    <n v="152.80000000000001"/>
  </r>
  <r>
    <x v="7"/>
    <x v="3"/>
    <x v="86"/>
    <x v="16"/>
    <x v="0"/>
    <x v="1"/>
    <n v="152"/>
  </r>
  <r>
    <x v="7"/>
    <x v="3"/>
    <x v="86"/>
    <x v="16"/>
    <x v="0"/>
    <x v="2"/>
    <n v="150.4"/>
  </r>
  <r>
    <x v="7"/>
    <x v="3"/>
    <x v="86"/>
    <x v="14"/>
    <x v="0"/>
    <x v="0"/>
    <n v="113.1"/>
  </r>
  <r>
    <x v="7"/>
    <x v="3"/>
    <x v="86"/>
    <x v="14"/>
    <x v="0"/>
    <x v="1"/>
    <n v="113.6"/>
  </r>
  <r>
    <x v="7"/>
    <x v="3"/>
    <x v="86"/>
    <x v="14"/>
    <x v="0"/>
    <x v="2"/>
    <n v="114.6"/>
  </r>
  <r>
    <x v="7"/>
    <x v="3"/>
    <x v="86"/>
    <x v="25"/>
    <x v="8"/>
    <x v="0"/>
    <n v="136"/>
  </r>
  <r>
    <x v="7"/>
    <x v="3"/>
    <x v="86"/>
    <x v="25"/>
    <x v="8"/>
    <x v="1"/>
    <n v="130.30000000000001"/>
  </r>
  <r>
    <x v="7"/>
    <x v="3"/>
    <x v="86"/>
    <x v="25"/>
    <x v="8"/>
    <x v="2"/>
    <n v="125.2"/>
  </r>
  <r>
    <x v="7"/>
    <x v="3"/>
    <x v="86"/>
    <x v="11"/>
    <x v="0"/>
    <x v="0"/>
    <n v="165.1"/>
  </r>
  <r>
    <x v="7"/>
    <x v="3"/>
    <x v="86"/>
    <x v="11"/>
    <x v="0"/>
    <x v="1"/>
    <n v="170.7"/>
  </r>
  <r>
    <x v="7"/>
    <x v="3"/>
    <x v="86"/>
    <x v="11"/>
    <x v="0"/>
    <x v="2"/>
    <n v="181.7"/>
  </r>
  <r>
    <x v="7"/>
    <x v="4"/>
    <x v="87"/>
    <x v="0"/>
    <x v="0"/>
    <x v="0"/>
    <n v="143.69999999999999"/>
  </r>
  <r>
    <x v="7"/>
    <x v="4"/>
    <x v="87"/>
    <x v="0"/>
    <x v="0"/>
    <x v="1"/>
    <n v="144.30000000000001"/>
  </r>
  <r>
    <x v="7"/>
    <x v="4"/>
    <x v="87"/>
    <x v="0"/>
    <x v="0"/>
    <x v="2"/>
    <n v="145.6"/>
  </r>
  <r>
    <x v="7"/>
    <x v="4"/>
    <x v="87"/>
    <x v="1"/>
    <x v="1"/>
    <x v="0"/>
    <n v="152.80000000000001"/>
  </r>
  <r>
    <x v="7"/>
    <x v="4"/>
    <x v="87"/>
    <x v="1"/>
    <x v="1"/>
    <x v="1"/>
    <n v="150.5"/>
  </r>
  <r>
    <x v="7"/>
    <x v="4"/>
    <x v="87"/>
    <x v="1"/>
    <x v="1"/>
    <x v="2"/>
    <n v="147"/>
  </r>
  <r>
    <x v="7"/>
    <x v="4"/>
    <x v="87"/>
    <x v="3"/>
    <x v="1"/>
    <x v="0"/>
    <n v="152.1"/>
  </r>
  <r>
    <x v="7"/>
    <x v="4"/>
    <x v="87"/>
    <x v="3"/>
    <x v="1"/>
    <x v="1"/>
    <n v="149.19999999999999"/>
  </r>
  <r>
    <x v="7"/>
    <x v="4"/>
    <x v="87"/>
    <x v="3"/>
    <x v="1"/>
    <x v="2"/>
    <n v="144.9"/>
  </r>
  <r>
    <x v="7"/>
    <x v="4"/>
    <x v="87"/>
    <x v="5"/>
    <x v="2"/>
    <x v="0"/>
    <n v="161.69999999999999"/>
  </r>
  <r>
    <x v="7"/>
    <x v="4"/>
    <x v="87"/>
    <x v="5"/>
    <x v="2"/>
    <x v="1"/>
    <n v="156.1"/>
  </r>
  <r>
    <x v="7"/>
    <x v="4"/>
    <x v="87"/>
    <x v="5"/>
    <x v="2"/>
    <x v="2"/>
    <n v="152.1"/>
  </r>
  <r>
    <x v="7"/>
    <x v="4"/>
    <x v="87"/>
    <x v="4"/>
    <x v="0"/>
    <x v="0"/>
    <n v="153.5"/>
  </r>
  <r>
    <x v="7"/>
    <x v="4"/>
    <x v="87"/>
    <x v="4"/>
    <x v="0"/>
    <x v="1"/>
    <n v="154.9"/>
  </r>
  <r>
    <x v="7"/>
    <x v="4"/>
    <x v="87"/>
    <x v="4"/>
    <x v="0"/>
    <x v="2"/>
    <n v="157"/>
  </r>
  <r>
    <x v="7"/>
    <x v="4"/>
    <x v="87"/>
    <x v="8"/>
    <x v="0"/>
    <x v="0"/>
    <n v="153"/>
  </r>
  <r>
    <x v="7"/>
    <x v="4"/>
    <x v="87"/>
    <x v="8"/>
    <x v="0"/>
    <x v="1"/>
    <n v="153.5"/>
  </r>
  <r>
    <x v="7"/>
    <x v="4"/>
    <x v="87"/>
    <x v="8"/>
    <x v="0"/>
    <x v="2"/>
    <n v="154.4"/>
  </r>
  <r>
    <x v="7"/>
    <x v="4"/>
    <x v="87"/>
    <x v="10"/>
    <x v="1"/>
    <x v="0"/>
    <n v="147.4"/>
  </r>
  <r>
    <x v="7"/>
    <x v="4"/>
    <x v="87"/>
    <x v="10"/>
    <x v="1"/>
    <x v="1"/>
    <n v="141.5"/>
  </r>
  <r>
    <x v="7"/>
    <x v="4"/>
    <x v="87"/>
    <x v="10"/>
    <x v="1"/>
    <x v="2"/>
    <n v="133.19999999999999"/>
  </r>
  <r>
    <x v="7"/>
    <x v="4"/>
    <x v="87"/>
    <x v="9"/>
    <x v="0"/>
    <x v="0"/>
    <n v="142.19999999999999"/>
  </r>
  <r>
    <x v="7"/>
    <x v="4"/>
    <x v="87"/>
    <x v="9"/>
    <x v="0"/>
    <x v="1"/>
    <n v="143.19999999999999"/>
  </r>
  <r>
    <x v="7"/>
    <x v="4"/>
    <x v="87"/>
    <x v="9"/>
    <x v="0"/>
    <x v="2"/>
    <n v="144.4"/>
  </r>
  <r>
    <x v="7"/>
    <x v="4"/>
    <x v="87"/>
    <x v="13"/>
    <x v="3"/>
    <x v="0"/>
    <n v="150.4"/>
  </r>
  <r>
    <x v="7"/>
    <x v="4"/>
    <x v="87"/>
    <x v="13"/>
    <x v="3"/>
    <x v="1"/>
    <n v="144.6"/>
  </r>
  <r>
    <x v="7"/>
    <x v="4"/>
    <x v="87"/>
    <x v="13"/>
    <x v="3"/>
    <x v="2"/>
    <n v="135.1"/>
  </r>
  <r>
    <x v="7"/>
    <x v="4"/>
    <x v="87"/>
    <x v="15"/>
    <x v="4"/>
    <x v="0"/>
    <n v="151.9"/>
  </r>
  <r>
    <x v="7"/>
    <x v="4"/>
    <x v="87"/>
    <x v="15"/>
    <x v="4"/>
    <x v="1"/>
    <n v="150.19999999999999"/>
  </r>
  <r>
    <x v="7"/>
    <x v="4"/>
    <x v="87"/>
    <x v="15"/>
    <x v="4"/>
    <x v="2"/>
    <n v="148.19999999999999"/>
  </r>
  <r>
    <x v="7"/>
    <x v="4"/>
    <x v="87"/>
    <x v="17"/>
    <x v="5"/>
    <x v="0"/>
    <n v="155.69999999999999"/>
  </r>
  <r>
    <x v="7"/>
    <x v="4"/>
    <x v="87"/>
    <x v="17"/>
    <x v="5"/>
    <x v="1"/>
    <n v="151.19999999999999"/>
  </r>
  <r>
    <x v="7"/>
    <x v="4"/>
    <x v="87"/>
    <x v="17"/>
    <x v="5"/>
    <x v="2"/>
    <n v="143.80000000000001"/>
  </r>
  <r>
    <x v="7"/>
    <x v="4"/>
    <x v="87"/>
    <x v="19"/>
    <x v="6"/>
    <x v="0"/>
    <n v="151.69999999999999"/>
  </r>
  <r>
    <x v="7"/>
    <x v="4"/>
    <x v="87"/>
    <x v="19"/>
    <x v="6"/>
    <x v="1"/>
    <n v="146.19999999999999"/>
  </r>
  <r>
    <x v="7"/>
    <x v="4"/>
    <x v="87"/>
    <x v="19"/>
    <x v="6"/>
    <x v="2"/>
    <n v="140.1"/>
  </r>
  <r>
    <x v="7"/>
    <x v="4"/>
    <x v="87"/>
    <x v="21"/>
    <x v="6"/>
    <x v="0"/>
    <n v="0"/>
  </r>
  <r>
    <x v="7"/>
    <x v="4"/>
    <x v="87"/>
    <x v="21"/>
    <x v="6"/>
    <x v="1"/>
    <n v="153.9"/>
  </r>
  <r>
    <x v="7"/>
    <x v="4"/>
    <x v="87"/>
    <x v="21"/>
    <x v="6"/>
    <x v="2"/>
    <n v="153.9"/>
  </r>
  <r>
    <x v="7"/>
    <x v="4"/>
    <x v="87"/>
    <x v="2"/>
    <x v="0"/>
    <x v="0"/>
    <n v="167.3"/>
  </r>
  <r>
    <x v="7"/>
    <x v="4"/>
    <x v="87"/>
    <x v="2"/>
    <x v="0"/>
    <x v="1"/>
    <n v="167.4"/>
  </r>
  <r>
    <x v="7"/>
    <x v="4"/>
    <x v="87"/>
    <x v="2"/>
    <x v="0"/>
    <x v="2"/>
    <n v="167.6"/>
  </r>
  <r>
    <x v="7"/>
    <x v="4"/>
    <x v="87"/>
    <x v="6"/>
    <x v="0"/>
    <x v="0"/>
    <n v="150.5"/>
  </r>
  <r>
    <x v="7"/>
    <x v="4"/>
    <x v="87"/>
    <x v="6"/>
    <x v="0"/>
    <x v="1"/>
    <n v="150.1"/>
  </r>
  <r>
    <x v="7"/>
    <x v="4"/>
    <x v="87"/>
    <x v="6"/>
    <x v="0"/>
    <x v="2"/>
    <n v="149.30000000000001"/>
  </r>
  <r>
    <x v="7"/>
    <x v="4"/>
    <x v="87"/>
    <x v="23"/>
    <x v="7"/>
    <x v="0"/>
    <n v="148.1"/>
  </r>
  <r>
    <x v="7"/>
    <x v="4"/>
    <x v="87"/>
    <x v="23"/>
    <x v="7"/>
    <x v="1"/>
    <n v="143.4"/>
  </r>
  <r>
    <x v="7"/>
    <x v="4"/>
    <x v="87"/>
    <x v="23"/>
    <x v="7"/>
    <x v="2"/>
    <n v="138.4"/>
  </r>
  <r>
    <x v="7"/>
    <x v="4"/>
    <x v="87"/>
    <x v="18"/>
    <x v="0"/>
    <x v="0"/>
    <n v="139.69999999999999"/>
  </r>
  <r>
    <x v="7"/>
    <x v="4"/>
    <x v="87"/>
    <x v="18"/>
    <x v="0"/>
    <x v="1"/>
    <n v="136.1"/>
  </r>
  <r>
    <x v="7"/>
    <x v="4"/>
    <x v="87"/>
    <x v="18"/>
    <x v="0"/>
    <x v="2"/>
    <n v="131.1"/>
  </r>
  <r>
    <x v="7"/>
    <x v="4"/>
    <x v="87"/>
    <x v="7"/>
    <x v="0"/>
    <x v="0"/>
    <n v="132"/>
  </r>
  <r>
    <x v="7"/>
    <x v="4"/>
    <x v="87"/>
    <x v="7"/>
    <x v="0"/>
    <x v="1"/>
    <n v="129.9"/>
  </r>
  <r>
    <x v="7"/>
    <x v="4"/>
    <x v="87"/>
    <x v="7"/>
    <x v="0"/>
    <x v="2"/>
    <n v="126.3"/>
  </r>
  <r>
    <x v="7"/>
    <x v="4"/>
    <x v="87"/>
    <x v="22"/>
    <x v="7"/>
    <x v="0"/>
    <n v="168.6"/>
  </r>
  <r>
    <x v="7"/>
    <x v="4"/>
    <x v="87"/>
    <x v="22"/>
    <x v="7"/>
    <x v="1"/>
    <n v="169.2"/>
  </r>
  <r>
    <x v="7"/>
    <x v="4"/>
    <x v="87"/>
    <x v="22"/>
    <x v="7"/>
    <x v="2"/>
    <n v="170.8"/>
  </r>
  <r>
    <x v="7"/>
    <x v="4"/>
    <x v="87"/>
    <x v="24"/>
    <x v="7"/>
    <x v="0"/>
    <n v="142.5"/>
  </r>
  <r>
    <x v="7"/>
    <x v="4"/>
    <x v="87"/>
    <x v="24"/>
    <x v="7"/>
    <x v="1"/>
    <n v="142.30000000000001"/>
  </r>
  <r>
    <x v="7"/>
    <x v="4"/>
    <x v="87"/>
    <x v="24"/>
    <x v="7"/>
    <x v="2"/>
    <n v="142.1"/>
  </r>
  <r>
    <x v="7"/>
    <x v="4"/>
    <x v="87"/>
    <x v="20"/>
    <x v="0"/>
    <x v="0"/>
    <n v="158.69999999999999"/>
  </r>
  <r>
    <x v="7"/>
    <x v="4"/>
    <x v="87"/>
    <x v="20"/>
    <x v="0"/>
    <x v="1"/>
    <n v="158.6"/>
  </r>
  <r>
    <x v="7"/>
    <x v="4"/>
    <x v="87"/>
    <x v="20"/>
    <x v="0"/>
    <x v="2"/>
    <n v="158.5"/>
  </r>
  <r>
    <x v="7"/>
    <x v="4"/>
    <x v="87"/>
    <x v="12"/>
    <x v="0"/>
    <x v="0"/>
    <n v="141.1"/>
  </r>
  <r>
    <x v="7"/>
    <x v="4"/>
    <x v="87"/>
    <x v="12"/>
    <x v="0"/>
    <x v="1"/>
    <n v="140.4"/>
  </r>
  <r>
    <x v="7"/>
    <x v="4"/>
    <x v="87"/>
    <x v="12"/>
    <x v="0"/>
    <x v="2"/>
    <n v="139.1"/>
  </r>
  <r>
    <x v="7"/>
    <x v="4"/>
    <x v="87"/>
    <x v="26"/>
    <x v="9"/>
    <x v="0"/>
    <n v="150.1"/>
  </r>
  <r>
    <x v="7"/>
    <x v="4"/>
    <x v="87"/>
    <x v="26"/>
    <x v="9"/>
    <x v="1"/>
    <n v="142.80000000000001"/>
  </r>
  <r>
    <x v="7"/>
    <x v="4"/>
    <x v="87"/>
    <x v="26"/>
    <x v="9"/>
    <x v="2"/>
    <n v="137.19999999999999"/>
  </r>
  <r>
    <x v="7"/>
    <x v="4"/>
    <x v="87"/>
    <x v="16"/>
    <x v="0"/>
    <x v="0"/>
    <n v="151.6"/>
  </r>
  <r>
    <x v="7"/>
    <x v="4"/>
    <x v="87"/>
    <x v="16"/>
    <x v="0"/>
    <x v="1"/>
    <n v="150.9"/>
  </r>
  <r>
    <x v="7"/>
    <x v="4"/>
    <x v="87"/>
    <x v="16"/>
    <x v="0"/>
    <x v="2"/>
    <n v="149.5"/>
  </r>
  <r>
    <x v="7"/>
    <x v="4"/>
    <x v="87"/>
    <x v="14"/>
    <x v="0"/>
    <x v="0"/>
    <n v="113.8"/>
  </r>
  <r>
    <x v="7"/>
    <x v="4"/>
    <x v="87"/>
    <x v="14"/>
    <x v="0"/>
    <x v="1"/>
    <n v="114.1"/>
  </r>
  <r>
    <x v="7"/>
    <x v="4"/>
    <x v="87"/>
    <x v="14"/>
    <x v="0"/>
    <x v="2"/>
    <n v="114.8"/>
  </r>
  <r>
    <x v="7"/>
    <x v="4"/>
    <x v="87"/>
    <x v="25"/>
    <x v="8"/>
    <x v="0"/>
    <n v="136.30000000000001"/>
  </r>
  <r>
    <x v="7"/>
    <x v="4"/>
    <x v="87"/>
    <x v="25"/>
    <x v="8"/>
    <x v="1"/>
    <n v="130.9"/>
  </r>
  <r>
    <x v="7"/>
    <x v="4"/>
    <x v="87"/>
    <x v="25"/>
    <x v="8"/>
    <x v="2"/>
    <n v="126.1"/>
  </r>
  <r>
    <x v="7"/>
    <x v="4"/>
    <x v="87"/>
    <x v="11"/>
    <x v="0"/>
    <x v="0"/>
    <n v="191.5"/>
  </r>
  <r>
    <x v="7"/>
    <x v="4"/>
    <x v="87"/>
    <x v="11"/>
    <x v="0"/>
    <x v="1"/>
    <n v="197"/>
  </r>
  <r>
    <x v="7"/>
    <x v="4"/>
    <x v="87"/>
    <x v="11"/>
    <x v="0"/>
    <x v="2"/>
    <n v="207.8"/>
  </r>
  <r>
    <x v="7"/>
    <x v="5"/>
    <x v="88"/>
    <x v="0"/>
    <x v="0"/>
    <x v="0"/>
    <n v="148.19999999999999"/>
  </r>
  <r>
    <x v="7"/>
    <x v="5"/>
    <x v="88"/>
    <x v="0"/>
    <x v="0"/>
    <x v="1"/>
    <n v="149.6"/>
  </r>
  <r>
    <x v="7"/>
    <x v="5"/>
    <x v="88"/>
    <x v="0"/>
    <x v="0"/>
    <x v="2"/>
    <n v="152.69999999999999"/>
  </r>
  <r>
    <x v="7"/>
    <x v="5"/>
    <x v="88"/>
    <x v="1"/>
    <x v="1"/>
    <x v="0"/>
    <n v="154.69999999999999"/>
  </r>
  <r>
    <x v="7"/>
    <x v="5"/>
    <x v="88"/>
    <x v="1"/>
    <x v="1"/>
    <x v="1"/>
    <n v="152.5"/>
  </r>
  <r>
    <x v="7"/>
    <x v="5"/>
    <x v="88"/>
    <x v="1"/>
    <x v="1"/>
    <x v="2"/>
    <n v="149.1"/>
  </r>
  <r>
    <x v="7"/>
    <x v="5"/>
    <x v="88"/>
    <x v="3"/>
    <x v="1"/>
    <x v="0"/>
    <n v="154.1"/>
  </r>
  <r>
    <x v="7"/>
    <x v="5"/>
    <x v="88"/>
    <x v="3"/>
    <x v="1"/>
    <x v="1"/>
    <n v="151.4"/>
  </r>
  <r>
    <x v="7"/>
    <x v="5"/>
    <x v="88"/>
    <x v="3"/>
    <x v="1"/>
    <x v="2"/>
    <n v="147.19999999999999"/>
  </r>
  <r>
    <x v="7"/>
    <x v="5"/>
    <x v="88"/>
    <x v="5"/>
    <x v="2"/>
    <x v="0"/>
    <n v="161.80000000000001"/>
  </r>
  <r>
    <x v="7"/>
    <x v="5"/>
    <x v="88"/>
    <x v="5"/>
    <x v="2"/>
    <x v="1"/>
    <n v="156.4"/>
  </r>
  <r>
    <x v="7"/>
    <x v="5"/>
    <x v="88"/>
    <x v="5"/>
    <x v="2"/>
    <x v="2"/>
    <n v="152.5"/>
  </r>
  <r>
    <x v="7"/>
    <x v="5"/>
    <x v="88"/>
    <x v="4"/>
    <x v="0"/>
    <x v="0"/>
    <n v="149.4"/>
  </r>
  <r>
    <x v="7"/>
    <x v="5"/>
    <x v="88"/>
    <x v="4"/>
    <x v="0"/>
    <x v="1"/>
    <n v="151.4"/>
  </r>
  <r>
    <x v="7"/>
    <x v="5"/>
    <x v="88"/>
    <x v="4"/>
    <x v="0"/>
    <x v="2"/>
    <n v="154.6"/>
  </r>
  <r>
    <x v="7"/>
    <x v="5"/>
    <x v="88"/>
    <x v="8"/>
    <x v="0"/>
    <x v="0"/>
    <n v="152.30000000000001"/>
  </r>
  <r>
    <x v="7"/>
    <x v="5"/>
    <x v="88"/>
    <x v="8"/>
    <x v="0"/>
    <x v="1"/>
    <n v="154"/>
  </r>
  <r>
    <x v="7"/>
    <x v="5"/>
    <x v="88"/>
    <x v="8"/>
    <x v="0"/>
    <x v="2"/>
    <n v="157"/>
  </r>
  <r>
    <x v="7"/>
    <x v="5"/>
    <x v="88"/>
    <x v="10"/>
    <x v="1"/>
    <x v="0"/>
    <n v="150"/>
  </r>
  <r>
    <x v="7"/>
    <x v="5"/>
    <x v="88"/>
    <x v="10"/>
    <x v="1"/>
    <x v="1"/>
    <n v="144.4"/>
  </r>
  <r>
    <x v="7"/>
    <x v="5"/>
    <x v="88"/>
    <x v="10"/>
    <x v="1"/>
    <x v="2"/>
    <n v="136.6"/>
  </r>
  <r>
    <x v="7"/>
    <x v="5"/>
    <x v="88"/>
    <x v="9"/>
    <x v="0"/>
    <x v="0"/>
    <n v="143.19999999999999"/>
  </r>
  <r>
    <x v="7"/>
    <x v="5"/>
    <x v="88"/>
    <x v="9"/>
    <x v="0"/>
    <x v="1"/>
    <n v="147.19999999999999"/>
  </r>
  <r>
    <x v="7"/>
    <x v="5"/>
    <x v="88"/>
    <x v="9"/>
    <x v="0"/>
    <x v="2"/>
    <n v="151.80000000000001"/>
  </r>
  <r>
    <x v="7"/>
    <x v="5"/>
    <x v="88"/>
    <x v="13"/>
    <x v="3"/>
    <x v="0"/>
    <n v="144.9"/>
  </r>
  <r>
    <x v="7"/>
    <x v="5"/>
    <x v="88"/>
    <x v="13"/>
    <x v="3"/>
    <x v="1"/>
    <n v="141.9"/>
  </r>
  <r>
    <x v="7"/>
    <x v="5"/>
    <x v="88"/>
    <x v="13"/>
    <x v="3"/>
    <x v="2"/>
    <n v="137.1"/>
  </r>
  <r>
    <x v="7"/>
    <x v="5"/>
    <x v="88"/>
    <x v="15"/>
    <x v="4"/>
    <x v="0"/>
    <n v="152.69999999999999"/>
  </r>
  <r>
    <x v="7"/>
    <x v="5"/>
    <x v="88"/>
    <x v="15"/>
    <x v="4"/>
    <x v="1"/>
    <n v="151.80000000000001"/>
  </r>
  <r>
    <x v="7"/>
    <x v="5"/>
    <x v="88"/>
    <x v="15"/>
    <x v="4"/>
    <x v="2"/>
    <n v="150.80000000000001"/>
  </r>
  <r>
    <x v="7"/>
    <x v="5"/>
    <x v="88"/>
    <x v="17"/>
    <x v="5"/>
    <x v="0"/>
    <n v="158.19999999999999"/>
  </r>
  <r>
    <x v="7"/>
    <x v="5"/>
    <x v="88"/>
    <x v="17"/>
    <x v="5"/>
    <x v="1"/>
    <n v="154.4"/>
  </r>
  <r>
    <x v="7"/>
    <x v="5"/>
    <x v="88"/>
    <x v="17"/>
    <x v="5"/>
    <x v="2"/>
    <n v="148.1"/>
  </r>
  <r>
    <x v="7"/>
    <x v="5"/>
    <x v="88"/>
    <x v="19"/>
    <x v="6"/>
    <x v="0"/>
    <n v="151.69999999999999"/>
  </r>
  <r>
    <x v="7"/>
    <x v="5"/>
    <x v="88"/>
    <x v="19"/>
    <x v="6"/>
    <x v="1"/>
    <n v="146.4"/>
  </r>
  <r>
    <x v="7"/>
    <x v="5"/>
    <x v="88"/>
    <x v="19"/>
    <x v="6"/>
    <x v="2"/>
    <n v="140.4"/>
  </r>
  <r>
    <x v="7"/>
    <x v="5"/>
    <x v="88"/>
    <x v="21"/>
    <x v="6"/>
    <x v="0"/>
    <n v="0"/>
  </r>
  <r>
    <x v="7"/>
    <x v="5"/>
    <x v="88"/>
    <x v="21"/>
    <x v="6"/>
    <x v="1"/>
    <n v="154.69999999999999"/>
  </r>
  <r>
    <x v="7"/>
    <x v="5"/>
    <x v="88"/>
    <x v="21"/>
    <x v="6"/>
    <x v="2"/>
    <n v="154.69999999999999"/>
  </r>
  <r>
    <x v="7"/>
    <x v="5"/>
    <x v="88"/>
    <x v="2"/>
    <x v="0"/>
    <x v="0"/>
    <n v="190.3"/>
  </r>
  <r>
    <x v="7"/>
    <x v="5"/>
    <x v="88"/>
    <x v="2"/>
    <x v="0"/>
    <x v="1"/>
    <n v="192.7"/>
  </r>
  <r>
    <x v="7"/>
    <x v="5"/>
    <x v="88"/>
    <x v="2"/>
    <x v="0"/>
    <x v="2"/>
    <n v="197"/>
  </r>
  <r>
    <x v="7"/>
    <x v="5"/>
    <x v="88"/>
    <x v="6"/>
    <x v="0"/>
    <x v="0"/>
    <n v="153.30000000000001"/>
  </r>
  <r>
    <x v="7"/>
    <x v="5"/>
    <x v="88"/>
    <x v="6"/>
    <x v="0"/>
    <x v="1"/>
    <n v="153.30000000000001"/>
  </r>
  <r>
    <x v="7"/>
    <x v="5"/>
    <x v="88"/>
    <x v="6"/>
    <x v="0"/>
    <x v="2"/>
    <n v="153.4"/>
  </r>
  <r>
    <x v="7"/>
    <x v="5"/>
    <x v="88"/>
    <x v="23"/>
    <x v="7"/>
    <x v="0"/>
    <n v="151.69999999999999"/>
  </r>
  <r>
    <x v="7"/>
    <x v="5"/>
    <x v="88"/>
    <x v="23"/>
    <x v="7"/>
    <x v="1"/>
    <n v="147"/>
  </r>
  <r>
    <x v="7"/>
    <x v="5"/>
    <x v="88"/>
    <x v="23"/>
    <x v="7"/>
    <x v="2"/>
    <n v="142"/>
  </r>
  <r>
    <x v="7"/>
    <x v="5"/>
    <x v="88"/>
    <x v="18"/>
    <x v="0"/>
    <x v="0"/>
    <n v="142.1"/>
  </r>
  <r>
    <x v="7"/>
    <x v="5"/>
    <x v="88"/>
    <x v="18"/>
    <x v="0"/>
    <x v="1"/>
    <n v="139.4"/>
  </r>
  <r>
    <x v="7"/>
    <x v="5"/>
    <x v="88"/>
    <x v="18"/>
    <x v="0"/>
    <x v="2"/>
    <n v="135.6"/>
  </r>
  <r>
    <x v="7"/>
    <x v="5"/>
    <x v="88"/>
    <x v="7"/>
    <x v="0"/>
    <x v="0"/>
    <n v="138.19999999999999"/>
  </r>
  <r>
    <x v="7"/>
    <x v="5"/>
    <x v="88"/>
    <x v="7"/>
    <x v="0"/>
    <x v="1"/>
    <n v="136.30000000000001"/>
  </r>
  <r>
    <x v="7"/>
    <x v="5"/>
    <x v="88"/>
    <x v="7"/>
    <x v="0"/>
    <x v="2"/>
    <n v="132.9"/>
  </r>
  <r>
    <x v="7"/>
    <x v="5"/>
    <x v="88"/>
    <x v="22"/>
    <x v="7"/>
    <x v="0"/>
    <n v="182.4"/>
  </r>
  <r>
    <x v="7"/>
    <x v="5"/>
    <x v="88"/>
    <x v="22"/>
    <x v="7"/>
    <x v="1"/>
    <n v="183.5"/>
  </r>
  <r>
    <x v="7"/>
    <x v="5"/>
    <x v="88"/>
    <x v="22"/>
    <x v="7"/>
    <x v="2"/>
    <n v="186.7"/>
  </r>
  <r>
    <x v="7"/>
    <x v="5"/>
    <x v="88"/>
    <x v="24"/>
    <x v="7"/>
    <x v="0"/>
    <n v="151.19999999999999"/>
  </r>
  <r>
    <x v="7"/>
    <x v="5"/>
    <x v="88"/>
    <x v="24"/>
    <x v="7"/>
    <x v="1"/>
    <n v="151.6"/>
  </r>
  <r>
    <x v="7"/>
    <x v="5"/>
    <x v="88"/>
    <x v="24"/>
    <x v="7"/>
    <x v="2"/>
    <n v="152.19999999999999"/>
  </r>
  <r>
    <x v="7"/>
    <x v="5"/>
    <x v="88"/>
    <x v="20"/>
    <x v="0"/>
    <x v="0"/>
    <n v="161.80000000000001"/>
  </r>
  <r>
    <x v="7"/>
    <x v="5"/>
    <x v="88"/>
    <x v="20"/>
    <x v="0"/>
    <x v="1"/>
    <n v="161.80000000000001"/>
  </r>
  <r>
    <x v="7"/>
    <x v="5"/>
    <x v="88"/>
    <x v="20"/>
    <x v="0"/>
    <x v="2"/>
    <n v="161.69999999999999"/>
  </r>
  <r>
    <x v="7"/>
    <x v="5"/>
    <x v="88"/>
    <x v="12"/>
    <x v="0"/>
    <x v="0"/>
    <n v="150.30000000000001"/>
  </r>
  <r>
    <x v="7"/>
    <x v="5"/>
    <x v="88"/>
    <x v="12"/>
    <x v="0"/>
    <x v="1"/>
    <n v="150.9"/>
  </r>
  <r>
    <x v="7"/>
    <x v="5"/>
    <x v="88"/>
    <x v="12"/>
    <x v="0"/>
    <x v="2"/>
    <n v="152"/>
  </r>
  <r>
    <x v="7"/>
    <x v="5"/>
    <x v="88"/>
    <x v="26"/>
    <x v="9"/>
    <x v="0"/>
    <n v="153.19999999999999"/>
  </r>
  <r>
    <x v="7"/>
    <x v="5"/>
    <x v="88"/>
    <x v="26"/>
    <x v="9"/>
    <x v="1"/>
    <n v="148.30000000000001"/>
  </r>
  <r>
    <x v="7"/>
    <x v="5"/>
    <x v="88"/>
    <x v="26"/>
    <x v="9"/>
    <x v="2"/>
    <n v="144.5"/>
  </r>
  <r>
    <x v="7"/>
    <x v="5"/>
    <x v="88"/>
    <x v="16"/>
    <x v="0"/>
    <x v="0"/>
    <n v="159.80000000000001"/>
  </r>
  <r>
    <x v="7"/>
    <x v="5"/>
    <x v="88"/>
    <x v="16"/>
    <x v="0"/>
    <x v="1"/>
    <n v="159.5"/>
  </r>
  <r>
    <x v="7"/>
    <x v="5"/>
    <x v="88"/>
    <x v="16"/>
    <x v="0"/>
    <x v="2"/>
    <n v="158.80000000000001"/>
  </r>
  <r>
    <x v="7"/>
    <x v="5"/>
    <x v="88"/>
    <x v="14"/>
    <x v="0"/>
    <x v="0"/>
    <n v="113.2"/>
  </r>
  <r>
    <x v="7"/>
    <x v="5"/>
    <x v="88"/>
    <x v="14"/>
    <x v="0"/>
    <x v="1"/>
    <n v="114.2"/>
  </r>
  <r>
    <x v="7"/>
    <x v="5"/>
    <x v="88"/>
    <x v="14"/>
    <x v="0"/>
    <x v="2"/>
    <n v="116.3"/>
  </r>
  <r>
    <x v="7"/>
    <x v="5"/>
    <x v="88"/>
    <x v="25"/>
    <x v="8"/>
    <x v="0"/>
    <n v="141.4"/>
  </r>
  <r>
    <x v="7"/>
    <x v="5"/>
    <x v="88"/>
    <x v="25"/>
    <x v="8"/>
    <x v="1"/>
    <n v="135"/>
  </r>
  <r>
    <x v="7"/>
    <x v="5"/>
    <x v="88"/>
    <x v="25"/>
    <x v="8"/>
    <x v="2"/>
    <n v="129.30000000000001"/>
  </r>
  <r>
    <x v="7"/>
    <x v="5"/>
    <x v="88"/>
    <x v="11"/>
    <x v="0"/>
    <x v="0"/>
    <n v="148.9"/>
  </r>
  <r>
    <x v="7"/>
    <x v="5"/>
    <x v="88"/>
    <x v="11"/>
    <x v="0"/>
    <x v="1"/>
    <n v="156.5"/>
  </r>
  <r>
    <x v="7"/>
    <x v="5"/>
    <x v="88"/>
    <x v="11"/>
    <x v="0"/>
    <x v="2"/>
    <n v="171.2"/>
  </r>
  <r>
    <x v="7"/>
    <x v="6"/>
    <x v="89"/>
    <x v="0"/>
    <x v="0"/>
    <x v="0"/>
    <n v="148.19999999999999"/>
  </r>
  <r>
    <x v="7"/>
    <x v="6"/>
    <x v="89"/>
    <x v="0"/>
    <x v="0"/>
    <x v="1"/>
    <n v="149.6"/>
  </r>
  <r>
    <x v="7"/>
    <x v="6"/>
    <x v="89"/>
    <x v="0"/>
    <x v="0"/>
    <x v="2"/>
    <n v="152.69999999999999"/>
  </r>
  <r>
    <x v="7"/>
    <x v="6"/>
    <x v="89"/>
    <x v="1"/>
    <x v="1"/>
    <x v="0"/>
    <n v="154.69999999999999"/>
  </r>
  <r>
    <x v="7"/>
    <x v="6"/>
    <x v="89"/>
    <x v="1"/>
    <x v="1"/>
    <x v="1"/>
    <n v="152.5"/>
  </r>
  <r>
    <x v="7"/>
    <x v="6"/>
    <x v="89"/>
    <x v="1"/>
    <x v="1"/>
    <x v="2"/>
    <n v="149.1"/>
  </r>
  <r>
    <x v="7"/>
    <x v="6"/>
    <x v="89"/>
    <x v="3"/>
    <x v="1"/>
    <x v="0"/>
    <n v="154.1"/>
  </r>
  <r>
    <x v="7"/>
    <x v="6"/>
    <x v="89"/>
    <x v="3"/>
    <x v="1"/>
    <x v="1"/>
    <n v="151.4"/>
  </r>
  <r>
    <x v="7"/>
    <x v="6"/>
    <x v="89"/>
    <x v="3"/>
    <x v="1"/>
    <x v="2"/>
    <n v="147.19999999999999"/>
  </r>
  <r>
    <x v="7"/>
    <x v="6"/>
    <x v="89"/>
    <x v="5"/>
    <x v="2"/>
    <x v="0"/>
    <n v="161.80000000000001"/>
  </r>
  <r>
    <x v="7"/>
    <x v="6"/>
    <x v="89"/>
    <x v="5"/>
    <x v="2"/>
    <x v="1"/>
    <n v="156.4"/>
  </r>
  <r>
    <x v="7"/>
    <x v="6"/>
    <x v="89"/>
    <x v="5"/>
    <x v="2"/>
    <x v="2"/>
    <n v="152.5"/>
  </r>
  <r>
    <x v="7"/>
    <x v="6"/>
    <x v="89"/>
    <x v="4"/>
    <x v="0"/>
    <x v="0"/>
    <n v="149.4"/>
  </r>
  <r>
    <x v="7"/>
    <x v="6"/>
    <x v="89"/>
    <x v="4"/>
    <x v="0"/>
    <x v="1"/>
    <n v="151.4"/>
  </r>
  <r>
    <x v="7"/>
    <x v="6"/>
    <x v="89"/>
    <x v="4"/>
    <x v="0"/>
    <x v="2"/>
    <n v="154.6"/>
  </r>
  <r>
    <x v="7"/>
    <x v="6"/>
    <x v="89"/>
    <x v="8"/>
    <x v="0"/>
    <x v="0"/>
    <n v="152.30000000000001"/>
  </r>
  <r>
    <x v="7"/>
    <x v="6"/>
    <x v="89"/>
    <x v="8"/>
    <x v="0"/>
    <x v="1"/>
    <n v="154"/>
  </r>
  <r>
    <x v="7"/>
    <x v="6"/>
    <x v="89"/>
    <x v="8"/>
    <x v="0"/>
    <x v="2"/>
    <n v="157"/>
  </r>
  <r>
    <x v="7"/>
    <x v="6"/>
    <x v="89"/>
    <x v="10"/>
    <x v="1"/>
    <x v="0"/>
    <n v="150"/>
  </r>
  <r>
    <x v="7"/>
    <x v="6"/>
    <x v="89"/>
    <x v="10"/>
    <x v="1"/>
    <x v="1"/>
    <n v="144.4"/>
  </r>
  <r>
    <x v="7"/>
    <x v="6"/>
    <x v="89"/>
    <x v="10"/>
    <x v="1"/>
    <x v="2"/>
    <n v="136.6"/>
  </r>
  <r>
    <x v="7"/>
    <x v="6"/>
    <x v="89"/>
    <x v="9"/>
    <x v="0"/>
    <x v="0"/>
    <n v="143.19999999999999"/>
  </r>
  <r>
    <x v="7"/>
    <x v="6"/>
    <x v="89"/>
    <x v="9"/>
    <x v="0"/>
    <x v="1"/>
    <n v="147.19999999999999"/>
  </r>
  <r>
    <x v="7"/>
    <x v="6"/>
    <x v="89"/>
    <x v="9"/>
    <x v="0"/>
    <x v="2"/>
    <n v="151.80000000000001"/>
  </r>
  <r>
    <x v="7"/>
    <x v="6"/>
    <x v="89"/>
    <x v="13"/>
    <x v="3"/>
    <x v="0"/>
    <n v="144.9"/>
  </r>
  <r>
    <x v="7"/>
    <x v="6"/>
    <x v="89"/>
    <x v="13"/>
    <x v="3"/>
    <x v="1"/>
    <n v="141.9"/>
  </r>
  <r>
    <x v="7"/>
    <x v="6"/>
    <x v="89"/>
    <x v="13"/>
    <x v="3"/>
    <x v="2"/>
    <n v="137.1"/>
  </r>
  <r>
    <x v="7"/>
    <x v="6"/>
    <x v="89"/>
    <x v="15"/>
    <x v="4"/>
    <x v="0"/>
    <n v="152.69999999999999"/>
  </r>
  <r>
    <x v="7"/>
    <x v="6"/>
    <x v="89"/>
    <x v="15"/>
    <x v="4"/>
    <x v="1"/>
    <n v="151.80000000000001"/>
  </r>
  <r>
    <x v="7"/>
    <x v="6"/>
    <x v="89"/>
    <x v="15"/>
    <x v="4"/>
    <x v="2"/>
    <n v="150.80000000000001"/>
  </r>
  <r>
    <x v="7"/>
    <x v="6"/>
    <x v="89"/>
    <x v="17"/>
    <x v="5"/>
    <x v="0"/>
    <n v="158.19999999999999"/>
  </r>
  <r>
    <x v="7"/>
    <x v="6"/>
    <x v="89"/>
    <x v="17"/>
    <x v="5"/>
    <x v="1"/>
    <n v="154.4"/>
  </r>
  <r>
    <x v="7"/>
    <x v="6"/>
    <x v="89"/>
    <x v="17"/>
    <x v="5"/>
    <x v="2"/>
    <n v="148.1"/>
  </r>
  <r>
    <x v="7"/>
    <x v="6"/>
    <x v="89"/>
    <x v="19"/>
    <x v="6"/>
    <x v="0"/>
    <n v="151.69999999999999"/>
  </r>
  <r>
    <x v="7"/>
    <x v="6"/>
    <x v="89"/>
    <x v="19"/>
    <x v="6"/>
    <x v="1"/>
    <n v="146.4"/>
  </r>
  <r>
    <x v="7"/>
    <x v="6"/>
    <x v="89"/>
    <x v="19"/>
    <x v="6"/>
    <x v="2"/>
    <n v="140.4"/>
  </r>
  <r>
    <x v="7"/>
    <x v="6"/>
    <x v="89"/>
    <x v="21"/>
    <x v="6"/>
    <x v="0"/>
    <n v="0"/>
  </r>
  <r>
    <x v="7"/>
    <x v="6"/>
    <x v="89"/>
    <x v="21"/>
    <x v="6"/>
    <x v="1"/>
    <n v="154.69999999999999"/>
  </r>
  <r>
    <x v="7"/>
    <x v="6"/>
    <x v="89"/>
    <x v="21"/>
    <x v="6"/>
    <x v="2"/>
    <n v="154.69999999999999"/>
  </r>
  <r>
    <x v="7"/>
    <x v="6"/>
    <x v="89"/>
    <x v="2"/>
    <x v="0"/>
    <x v="0"/>
    <n v="190.3"/>
  </r>
  <r>
    <x v="7"/>
    <x v="6"/>
    <x v="89"/>
    <x v="2"/>
    <x v="0"/>
    <x v="1"/>
    <n v="192.7"/>
  </r>
  <r>
    <x v="7"/>
    <x v="6"/>
    <x v="89"/>
    <x v="2"/>
    <x v="0"/>
    <x v="2"/>
    <n v="197"/>
  </r>
  <r>
    <x v="7"/>
    <x v="6"/>
    <x v="89"/>
    <x v="6"/>
    <x v="0"/>
    <x v="0"/>
    <n v="153.30000000000001"/>
  </r>
  <r>
    <x v="7"/>
    <x v="6"/>
    <x v="89"/>
    <x v="6"/>
    <x v="0"/>
    <x v="1"/>
    <n v="153.30000000000001"/>
  </r>
  <r>
    <x v="7"/>
    <x v="6"/>
    <x v="89"/>
    <x v="6"/>
    <x v="0"/>
    <x v="2"/>
    <n v="153.4"/>
  </r>
  <r>
    <x v="7"/>
    <x v="6"/>
    <x v="89"/>
    <x v="23"/>
    <x v="7"/>
    <x v="0"/>
    <n v="151.69999999999999"/>
  </r>
  <r>
    <x v="7"/>
    <x v="6"/>
    <x v="89"/>
    <x v="23"/>
    <x v="7"/>
    <x v="1"/>
    <n v="147"/>
  </r>
  <r>
    <x v="7"/>
    <x v="6"/>
    <x v="89"/>
    <x v="23"/>
    <x v="7"/>
    <x v="2"/>
    <n v="142"/>
  </r>
  <r>
    <x v="7"/>
    <x v="6"/>
    <x v="89"/>
    <x v="18"/>
    <x v="0"/>
    <x v="0"/>
    <n v="142.1"/>
  </r>
  <r>
    <x v="7"/>
    <x v="6"/>
    <x v="89"/>
    <x v="18"/>
    <x v="0"/>
    <x v="1"/>
    <n v="139.4"/>
  </r>
  <r>
    <x v="7"/>
    <x v="6"/>
    <x v="89"/>
    <x v="18"/>
    <x v="0"/>
    <x v="2"/>
    <n v="135.6"/>
  </r>
  <r>
    <x v="7"/>
    <x v="6"/>
    <x v="89"/>
    <x v="7"/>
    <x v="0"/>
    <x v="0"/>
    <n v="138.19999999999999"/>
  </r>
  <r>
    <x v="7"/>
    <x v="6"/>
    <x v="89"/>
    <x v="7"/>
    <x v="0"/>
    <x v="1"/>
    <n v="136.30000000000001"/>
  </r>
  <r>
    <x v="7"/>
    <x v="6"/>
    <x v="89"/>
    <x v="7"/>
    <x v="0"/>
    <x v="2"/>
    <n v="132.9"/>
  </r>
  <r>
    <x v="7"/>
    <x v="6"/>
    <x v="89"/>
    <x v="22"/>
    <x v="7"/>
    <x v="0"/>
    <n v="182.4"/>
  </r>
  <r>
    <x v="7"/>
    <x v="6"/>
    <x v="89"/>
    <x v="22"/>
    <x v="7"/>
    <x v="1"/>
    <n v="183.5"/>
  </r>
  <r>
    <x v="7"/>
    <x v="6"/>
    <x v="89"/>
    <x v="22"/>
    <x v="7"/>
    <x v="2"/>
    <n v="186.7"/>
  </r>
  <r>
    <x v="7"/>
    <x v="6"/>
    <x v="89"/>
    <x v="24"/>
    <x v="7"/>
    <x v="0"/>
    <n v="151.19999999999999"/>
  </r>
  <r>
    <x v="7"/>
    <x v="6"/>
    <x v="89"/>
    <x v="24"/>
    <x v="7"/>
    <x v="1"/>
    <n v="151.6"/>
  </r>
  <r>
    <x v="7"/>
    <x v="6"/>
    <x v="89"/>
    <x v="24"/>
    <x v="7"/>
    <x v="2"/>
    <n v="152.19999999999999"/>
  </r>
  <r>
    <x v="7"/>
    <x v="6"/>
    <x v="89"/>
    <x v="20"/>
    <x v="0"/>
    <x v="0"/>
    <n v="161.80000000000001"/>
  </r>
  <r>
    <x v="7"/>
    <x v="6"/>
    <x v="89"/>
    <x v="20"/>
    <x v="0"/>
    <x v="1"/>
    <n v="161.80000000000001"/>
  </r>
  <r>
    <x v="7"/>
    <x v="6"/>
    <x v="89"/>
    <x v="20"/>
    <x v="0"/>
    <x v="2"/>
    <n v="161.69999999999999"/>
  </r>
  <r>
    <x v="7"/>
    <x v="6"/>
    <x v="89"/>
    <x v="12"/>
    <x v="0"/>
    <x v="0"/>
    <n v="150.30000000000001"/>
  </r>
  <r>
    <x v="7"/>
    <x v="6"/>
    <x v="89"/>
    <x v="12"/>
    <x v="0"/>
    <x v="1"/>
    <n v="150.9"/>
  </r>
  <r>
    <x v="7"/>
    <x v="6"/>
    <x v="89"/>
    <x v="12"/>
    <x v="0"/>
    <x v="2"/>
    <n v="152"/>
  </r>
  <r>
    <x v="7"/>
    <x v="6"/>
    <x v="89"/>
    <x v="26"/>
    <x v="9"/>
    <x v="0"/>
    <n v="153.19999999999999"/>
  </r>
  <r>
    <x v="7"/>
    <x v="6"/>
    <x v="89"/>
    <x v="26"/>
    <x v="9"/>
    <x v="1"/>
    <n v="148.30000000000001"/>
  </r>
  <r>
    <x v="7"/>
    <x v="6"/>
    <x v="89"/>
    <x v="26"/>
    <x v="9"/>
    <x v="2"/>
    <n v="144.5"/>
  </r>
  <r>
    <x v="7"/>
    <x v="6"/>
    <x v="89"/>
    <x v="16"/>
    <x v="0"/>
    <x v="0"/>
    <n v="159.80000000000001"/>
  </r>
  <r>
    <x v="7"/>
    <x v="6"/>
    <x v="89"/>
    <x v="16"/>
    <x v="0"/>
    <x v="1"/>
    <n v="159.5"/>
  </r>
  <r>
    <x v="7"/>
    <x v="6"/>
    <x v="89"/>
    <x v="16"/>
    <x v="0"/>
    <x v="2"/>
    <n v="158.80000000000001"/>
  </r>
  <r>
    <x v="7"/>
    <x v="6"/>
    <x v="89"/>
    <x v="14"/>
    <x v="0"/>
    <x v="0"/>
    <n v="113.2"/>
  </r>
  <r>
    <x v="7"/>
    <x v="6"/>
    <x v="89"/>
    <x v="14"/>
    <x v="0"/>
    <x v="1"/>
    <n v="114.2"/>
  </r>
  <r>
    <x v="7"/>
    <x v="6"/>
    <x v="89"/>
    <x v="14"/>
    <x v="0"/>
    <x v="2"/>
    <n v="116.3"/>
  </r>
  <r>
    <x v="7"/>
    <x v="6"/>
    <x v="89"/>
    <x v="25"/>
    <x v="8"/>
    <x v="0"/>
    <n v="141.4"/>
  </r>
  <r>
    <x v="7"/>
    <x v="6"/>
    <x v="89"/>
    <x v="25"/>
    <x v="8"/>
    <x v="1"/>
    <n v="135"/>
  </r>
  <r>
    <x v="7"/>
    <x v="6"/>
    <x v="89"/>
    <x v="25"/>
    <x v="8"/>
    <x v="2"/>
    <n v="129.30000000000001"/>
  </r>
  <r>
    <x v="7"/>
    <x v="6"/>
    <x v="89"/>
    <x v="11"/>
    <x v="0"/>
    <x v="0"/>
    <n v="148.9"/>
  </r>
  <r>
    <x v="7"/>
    <x v="6"/>
    <x v="89"/>
    <x v="11"/>
    <x v="0"/>
    <x v="1"/>
    <n v="156.5"/>
  </r>
  <r>
    <x v="7"/>
    <x v="6"/>
    <x v="89"/>
    <x v="11"/>
    <x v="0"/>
    <x v="2"/>
    <n v="171.2"/>
  </r>
  <r>
    <x v="7"/>
    <x v="7"/>
    <x v="90"/>
    <x v="0"/>
    <x v="0"/>
    <x v="0"/>
    <n v="144.4"/>
  </r>
  <r>
    <x v="7"/>
    <x v="7"/>
    <x v="90"/>
    <x v="0"/>
    <x v="0"/>
    <x v="1"/>
    <n v="145.1"/>
  </r>
  <r>
    <x v="7"/>
    <x v="7"/>
    <x v="90"/>
    <x v="0"/>
    <x v="0"/>
    <x v="2"/>
    <n v="146.5"/>
  </r>
  <r>
    <x v="7"/>
    <x v="7"/>
    <x v="90"/>
    <x v="1"/>
    <x v="1"/>
    <x v="0"/>
    <n v="153.4"/>
  </r>
  <r>
    <x v="7"/>
    <x v="7"/>
    <x v="90"/>
    <x v="1"/>
    <x v="1"/>
    <x v="1"/>
    <n v="151.19999999999999"/>
  </r>
  <r>
    <x v="7"/>
    <x v="7"/>
    <x v="90"/>
    <x v="1"/>
    <x v="1"/>
    <x v="2"/>
    <n v="147.69999999999999"/>
  </r>
  <r>
    <x v="7"/>
    <x v="7"/>
    <x v="90"/>
    <x v="3"/>
    <x v="1"/>
    <x v="0"/>
    <n v="152.5"/>
  </r>
  <r>
    <x v="7"/>
    <x v="7"/>
    <x v="90"/>
    <x v="3"/>
    <x v="1"/>
    <x v="1"/>
    <n v="149.80000000000001"/>
  </r>
  <r>
    <x v="7"/>
    <x v="7"/>
    <x v="90"/>
    <x v="3"/>
    <x v="1"/>
    <x v="2"/>
    <n v="145.6"/>
  </r>
  <r>
    <x v="7"/>
    <x v="7"/>
    <x v="90"/>
    <x v="5"/>
    <x v="2"/>
    <x v="0"/>
    <n v="161.19999999999999"/>
  </r>
  <r>
    <x v="7"/>
    <x v="7"/>
    <x v="90"/>
    <x v="5"/>
    <x v="2"/>
    <x v="1"/>
    <n v="156.1"/>
  </r>
  <r>
    <x v="7"/>
    <x v="7"/>
    <x v="90"/>
    <x v="5"/>
    <x v="2"/>
    <x v="2"/>
    <n v="152.5"/>
  </r>
  <r>
    <x v="7"/>
    <x v="7"/>
    <x v="90"/>
    <x v="4"/>
    <x v="0"/>
    <x v="0"/>
    <n v="147.6"/>
  </r>
  <r>
    <x v="7"/>
    <x v="7"/>
    <x v="90"/>
    <x v="4"/>
    <x v="0"/>
    <x v="1"/>
    <n v="148.1"/>
  </r>
  <r>
    <x v="7"/>
    <x v="7"/>
    <x v="90"/>
    <x v="4"/>
    <x v="0"/>
    <x v="2"/>
    <n v="148.9"/>
  </r>
  <r>
    <x v="7"/>
    <x v="7"/>
    <x v="90"/>
    <x v="8"/>
    <x v="0"/>
    <x v="0"/>
    <n v="148.19999999999999"/>
  </r>
  <r>
    <x v="7"/>
    <x v="7"/>
    <x v="90"/>
    <x v="8"/>
    <x v="0"/>
    <x v="1"/>
    <n v="148.9"/>
  </r>
  <r>
    <x v="7"/>
    <x v="7"/>
    <x v="90"/>
    <x v="8"/>
    <x v="0"/>
    <x v="2"/>
    <n v="150.1"/>
  </r>
  <r>
    <x v="7"/>
    <x v="7"/>
    <x v="90"/>
    <x v="10"/>
    <x v="1"/>
    <x v="0"/>
    <n v="147.6"/>
  </r>
  <r>
    <x v="7"/>
    <x v="7"/>
    <x v="90"/>
    <x v="10"/>
    <x v="1"/>
    <x v="1"/>
    <n v="141.9"/>
  </r>
  <r>
    <x v="7"/>
    <x v="7"/>
    <x v="90"/>
    <x v="10"/>
    <x v="1"/>
    <x v="2"/>
    <n v="133.80000000000001"/>
  </r>
  <r>
    <x v="7"/>
    <x v="7"/>
    <x v="90"/>
    <x v="9"/>
    <x v="0"/>
    <x v="0"/>
    <n v="141.80000000000001"/>
  </r>
  <r>
    <x v="7"/>
    <x v="7"/>
    <x v="90"/>
    <x v="9"/>
    <x v="0"/>
    <x v="1"/>
    <n v="142.5"/>
  </r>
  <r>
    <x v="7"/>
    <x v="7"/>
    <x v="90"/>
    <x v="9"/>
    <x v="0"/>
    <x v="2"/>
    <n v="143.30000000000001"/>
  </r>
  <r>
    <x v="7"/>
    <x v="7"/>
    <x v="90"/>
    <x v="13"/>
    <x v="3"/>
    <x v="0"/>
    <n v="153.4"/>
  </r>
  <r>
    <x v="7"/>
    <x v="7"/>
    <x v="90"/>
    <x v="13"/>
    <x v="3"/>
    <x v="1"/>
    <n v="148.9"/>
  </r>
  <r>
    <x v="7"/>
    <x v="7"/>
    <x v="90"/>
    <x v="13"/>
    <x v="3"/>
    <x v="2"/>
    <n v="141.4"/>
  </r>
  <r>
    <x v="7"/>
    <x v="7"/>
    <x v="90"/>
    <x v="15"/>
    <x v="4"/>
    <x v="0"/>
    <n v="149.80000000000001"/>
  </r>
  <r>
    <x v="7"/>
    <x v="7"/>
    <x v="90"/>
    <x v="15"/>
    <x v="4"/>
    <x v="1"/>
    <n v="148.6"/>
  </r>
  <r>
    <x v="7"/>
    <x v="7"/>
    <x v="90"/>
    <x v="15"/>
    <x v="4"/>
    <x v="2"/>
    <n v="147.30000000000001"/>
  </r>
  <r>
    <x v="7"/>
    <x v="7"/>
    <x v="90"/>
    <x v="17"/>
    <x v="5"/>
    <x v="0"/>
    <n v="156.69999999999999"/>
  </r>
  <r>
    <x v="7"/>
    <x v="7"/>
    <x v="90"/>
    <x v="17"/>
    <x v="5"/>
    <x v="1"/>
    <n v="152.30000000000001"/>
  </r>
  <r>
    <x v="7"/>
    <x v="7"/>
    <x v="90"/>
    <x v="17"/>
    <x v="5"/>
    <x v="2"/>
    <n v="145"/>
  </r>
  <r>
    <x v="7"/>
    <x v="7"/>
    <x v="90"/>
    <x v="19"/>
    <x v="6"/>
    <x v="0"/>
    <n v="151.5"/>
  </r>
  <r>
    <x v="7"/>
    <x v="7"/>
    <x v="90"/>
    <x v="19"/>
    <x v="6"/>
    <x v="1"/>
    <n v="146.4"/>
  </r>
  <r>
    <x v="7"/>
    <x v="7"/>
    <x v="90"/>
    <x v="19"/>
    <x v="6"/>
    <x v="2"/>
    <n v="140.80000000000001"/>
  </r>
  <r>
    <x v="7"/>
    <x v="7"/>
    <x v="90"/>
    <x v="21"/>
    <x v="6"/>
    <x v="0"/>
    <n v="0"/>
  </r>
  <r>
    <x v="7"/>
    <x v="7"/>
    <x v="90"/>
    <x v="21"/>
    <x v="6"/>
    <x v="1"/>
    <n v="154.5"/>
  </r>
  <r>
    <x v="7"/>
    <x v="7"/>
    <x v="90"/>
    <x v="21"/>
    <x v="6"/>
    <x v="2"/>
    <n v="154.5"/>
  </r>
  <r>
    <x v="7"/>
    <x v="7"/>
    <x v="90"/>
    <x v="2"/>
    <x v="0"/>
    <x v="0"/>
    <n v="166.8"/>
  </r>
  <r>
    <x v="7"/>
    <x v="7"/>
    <x v="90"/>
    <x v="2"/>
    <x v="0"/>
    <x v="1"/>
    <n v="167"/>
  </r>
  <r>
    <x v="7"/>
    <x v="7"/>
    <x v="90"/>
    <x v="2"/>
    <x v="0"/>
    <x v="2"/>
    <n v="167.5"/>
  </r>
  <r>
    <x v="7"/>
    <x v="7"/>
    <x v="90"/>
    <x v="6"/>
    <x v="0"/>
    <x v="0"/>
    <n v="151.69999999999999"/>
  </r>
  <r>
    <x v="7"/>
    <x v="7"/>
    <x v="90"/>
    <x v="6"/>
    <x v="0"/>
    <x v="1"/>
    <n v="151.5"/>
  </r>
  <r>
    <x v="7"/>
    <x v="7"/>
    <x v="90"/>
    <x v="6"/>
    <x v="0"/>
    <x v="2"/>
    <n v="151.1"/>
  </r>
  <r>
    <x v="7"/>
    <x v="7"/>
    <x v="90"/>
    <x v="23"/>
    <x v="7"/>
    <x v="0"/>
    <n v="148.6"/>
  </r>
  <r>
    <x v="7"/>
    <x v="7"/>
    <x v="90"/>
    <x v="23"/>
    <x v="7"/>
    <x v="1"/>
    <n v="143.80000000000001"/>
  </r>
  <r>
    <x v="7"/>
    <x v="7"/>
    <x v="90"/>
    <x v="23"/>
    <x v="7"/>
    <x v="2"/>
    <n v="138.69999999999999"/>
  </r>
  <r>
    <x v="7"/>
    <x v="7"/>
    <x v="90"/>
    <x v="18"/>
    <x v="0"/>
    <x v="0"/>
    <n v="140.1"/>
  </r>
  <r>
    <x v="7"/>
    <x v="7"/>
    <x v="90"/>
    <x v="18"/>
    <x v="0"/>
    <x v="1"/>
    <n v="136.69999999999999"/>
  </r>
  <r>
    <x v="7"/>
    <x v="7"/>
    <x v="90"/>
    <x v="18"/>
    <x v="0"/>
    <x v="2"/>
    <n v="131.9"/>
  </r>
  <r>
    <x v="7"/>
    <x v="7"/>
    <x v="90"/>
    <x v="7"/>
    <x v="0"/>
    <x v="0"/>
    <n v="133.30000000000001"/>
  </r>
  <r>
    <x v="7"/>
    <x v="7"/>
    <x v="90"/>
    <x v="7"/>
    <x v="0"/>
    <x v="1"/>
    <n v="131.19999999999999"/>
  </r>
  <r>
    <x v="7"/>
    <x v="7"/>
    <x v="90"/>
    <x v="7"/>
    <x v="0"/>
    <x v="2"/>
    <n v="127.5"/>
  </r>
  <r>
    <x v="7"/>
    <x v="7"/>
    <x v="90"/>
    <x v="22"/>
    <x v="7"/>
    <x v="0"/>
    <n v="170.5"/>
  </r>
  <r>
    <x v="7"/>
    <x v="7"/>
    <x v="90"/>
    <x v="22"/>
    <x v="7"/>
    <x v="1"/>
    <n v="171.2"/>
  </r>
  <r>
    <x v="7"/>
    <x v="7"/>
    <x v="90"/>
    <x v="22"/>
    <x v="7"/>
    <x v="2"/>
    <n v="173.3"/>
  </r>
  <r>
    <x v="7"/>
    <x v="7"/>
    <x v="90"/>
    <x v="24"/>
    <x v="7"/>
    <x v="0"/>
    <n v="145.1"/>
  </r>
  <r>
    <x v="7"/>
    <x v="7"/>
    <x v="90"/>
    <x v="24"/>
    <x v="7"/>
    <x v="1"/>
    <n v="145.19999999999999"/>
  </r>
  <r>
    <x v="7"/>
    <x v="7"/>
    <x v="90"/>
    <x v="24"/>
    <x v="7"/>
    <x v="2"/>
    <n v="145.30000000000001"/>
  </r>
  <r>
    <x v="7"/>
    <x v="7"/>
    <x v="90"/>
    <x v="20"/>
    <x v="0"/>
    <x v="0"/>
    <n v="160"/>
  </r>
  <r>
    <x v="7"/>
    <x v="7"/>
    <x v="90"/>
    <x v="20"/>
    <x v="0"/>
    <x v="1"/>
    <n v="159.6"/>
  </r>
  <r>
    <x v="7"/>
    <x v="7"/>
    <x v="90"/>
    <x v="20"/>
    <x v="0"/>
    <x v="2"/>
    <n v="159.1"/>
  </r>
  <r>
    <x v="7"/>
    <x v="7"/>
    <x v="90"/>
    <x v="12"/>
    <x v="0"/>
    <x v="0"/>
    <n v="141.80000000000001"/>
  </r>
  <r>
    <x v="7"/>
    <x v="7"/>
    <x v="90"/>
    <x v="12"/>
    <x v="0"/>
    <x v="1"/>
    <n v="141.1"/>
  </r>
  <r>
    <x v="7"/>
    <x v="7"/>
    <x v="90"/>
    <x v="12"/>
    <x v="0"/>
    <x v="2"/>
    <n v="139.69999999999999"/>
  </r>
  <r>
    <x v="7"/>
    <x v="7"/>
    <x v="90"/>
    <x v="26"/>
    <x v="9"/>
    <x v="0"/>
    <n v="151.19999999999999"/>
  </r>
  <r>
    <x v="7"/>
    <x v="7"/>
    <x v="90"/>
    <x v="26"/>
    <x v="9"/>
    <x v="1"/>
    <n v="143.69999999999999"/>
  </r>
  <r>
    <x v="7"/>
    <x v="7"/>
    <x v="90"/>
    <x v="26"/>
    <x v="9"/>
    <x v="2"/>
    <n v="137.9"/>
  </r>
  <r>
    <x v="7"/>
    <x v="7"/>
    <x v="90"/>
    <x v="16"/>
    <x v="0"/>
    <x v="0"/>
    <n v="154"/>
  </r>
  <r>
    <x v="7"/>
    <x v="7"/>
    <x v="90"/>
    <x v="16"/>
    <x v="0"/>
    <x v="1"/>
    <n v="153.19999999999999"/>
  </r>
  <r>
    <x v="7"/>
    <x v="7"/>
    <x v="90"/>
    <x v="16"/>
    <x v="0"/>
    <x v="2"/>
    <n v="151.5"/>
  </r>
  <r>
    <x v="7"/>
    <x v="7"/>
    <x v="90"/>
    <x v="14"/>
    <x v="0"/>
    <x v="0"/>
    <n v="112.6"/>
  </r>
  <r>
    <x v="7"/>
    <x v="7"/>
    <x v="90"/>
    <x v="14"/>
    <x v="0"/>
    <x v="1"/>
    <n v="113.2"/>
  </r>
  <r>
    <x v="7"/>
    <x v="7"/>
    <x v="90"/>
    <x v="14"/>
    <x v="0"/>
    <x v="2"/>
    <n v="114.4"/>
  </r>
  <r>
    <x v="7"/>
    <x v="7"/>
    <x v="90"/>
    <x v="25"/>
    <x v="8"/>
    <x v="0"/>
    <n v="135.80000000000001"/>
  </r>
  <r>
    <x v="7"/>
    <x v="7"/>
    <x v="90"/>
    <x v="25"/>
    <x v="8"/>
    <x v="1"/>
    <n v="129.9"/>
  </r>
  <r>
    <x v="7"/>
    <x v="7"/>
    <x v="90"/>
    <x v="25"/>
    <x v="8"/>
    <x v="2"/>
    <n v="124.6"/>
  </r>
  <r>
    <x v="7"/>
    <x v="7"/>
    <x v="90"/>
    <x v="11"/>
    <x v="0"/>
    <x v="0"/>
    <n v="152.30000000000001"/>
  </r>
  <r>
    <x v="7"/>
    <x v="7"/>
    <x v="90"/>
    <x v="11"/>
    <x v="0"/>
    <x v="1"/>
    <n v="157.30000000000001"/>
  </r>
  <r>
    <x v="7"/>
    <x v="7"/>
    <x v="90"/>
    <x v="11"/>
    <x v="0"/>
    <x v="2"/>
    <n v="167"/>
  </r>
  <r>
    <x v="7"/>
    <x v="8"/>
    <x v="91"/>
    <x v="0"/>
    <x v="0"/>
    <x v="0"/>
    <n v="145.26666666666668"/>
  </r>
  <r>
    <x v="7"/>
    <x v="8"/>
    <x v="91"/>
    <x v="0"/>
    <x v="0"/>
    <x v="1"/>
    <n v="146.19999999999999"/>
  </r>
  <r>
    <x v="7"/>
    <x v="8"/>
    <x v="91"/>
    <x v="0"/>
    <x v="0"/>
    <x v="2"/>
    <n v="148.16666666666666"/>
  </r>
  <r>
    <x v="7"/>
    <x v="8"/>
    <x v="91"/>
    <x v="1"/>
    <x v="1"/>
    <x v="0"/>
    <n v="153.15555555555557"/>
  </r>
  <r>
    <x v="7"/>
    <x v="8"/>
    <x v="91"/>
    <x v="1"/>
    <x v="1"/>
    <x v="1"/>
    <n v="149.7777777777778"/>
  </r>
  <r>
    <x v="7"/>
    <x v="8"/>
    <x v="91"/>
    <x v="1"/>
    <x v="1"/>
    <x v="2"/>
    <n v="148.61111111111111"/>
  </r>
  <r>
    <x v="7"/>
    <x v="8"/>
    <x v="91"/>
    <x v="3"/>
    <x v="1"/>
    <x v="0"/>
    <n v="152.36666666666667"/>
  </r>
  <r>
    <x v="7"/>
    <x v="8"/>
    <x v="91"/>
    <x v="3"/>
    <x v="1"/>
    <x v="1"/>
    <n v="148.17777777777778"/>
  </r>
  <r>
    <x v="7"/>
    <x v="8"/>
    <x v="91"/>
    <x v="3"/>
    <x v="1"/>
    <x v="2"/>
    <n v="146.76666666666665"/>
  </r>
  <r>
    <x v="7"/>
    <x v="8"/>
    <x v="91"/>
    <x v="5"/>
    <x v="2"/>
    <x v="0"/>
    <n v="161.56666666666669"/>
  </r>
  <r>
    <x v="7"/>
    <x v="8"/>
    <x v="91"/>
    <x v="5"/>
    <x v="2"/>
    <x v="1"/>
    <n v="154.85555555555553"/>
  </r>
  <r>
    <x v="7"/>
    <x v="8"/>
    <x v="91"/>
    <x v="5"/>
    <x v="2"/>
    <x v="2"/>
    <n v="153.61111111111111"/>
  </r>
  <r>
    <x v="7"/>
    <x v="8"/>
    <x v="91"/>
    <x v="4"/>
    <x v="0"/>
    <x v="0"/>
    <n v="148.46666666666667"/>
  </r>
  <r>
    <x v="7"/>
    <x v="8"/>
    <x v="91"/>
    <x v="4"/>
    <x v="0"/>
    <x v="1"/>
    <n v="149.56666666666666"/>
  </r>
  <r>
    <x v="7"/>
    <x v="8"/>
    <x v="91"/>
    <x v="4"/>
    <x v="0"/>
    <x v="2"/>
    <n v="151.29999999999998"/>
  </r>
  <r>
    <x v="7"/>
    <x v="8"/>
    <x v="91"/>
    <x v="8"/>
    <x v="0"/>
    <x v="0"/>
    <n v="149.36666666666667"/>
  </r>
  <r>
    <x v="7"/>
    <x v="8"/>
    <x v="91"/>
    <x v="8"/>
    <x v="0"/>
    <x v="1"/>
    <n v="150.26666666666665"/>
  </r>
  <r>
    <x v="7"/>
    <x v="8"/>
    <x v="91"/>
    <x v="8"/>
    <x v="0"/>
    <x v="2"/>
    <n v="151.76666666666665"/>
  </r>
  <r>
    <x v="7"/>
    <x v="8"/>
    <x v="91"/>
    <x v="10"/>
    <x v="1"/>
    <x v="0"/>
    <n v="147.53333333333333"/>
  </r>
  <r>
    <x v="7"/>
    <x v="8"/>
    <x v="91"/>
    <x v="10"/>
    <x v="1"/>
    <x v="1"/>
    <n v="139.03333333333333"/>
  </r>
  <r>
    <x v="7"/>
    <x v="8"/>
    <x v="91"/>
    <x v="10"/>
    <x v="1"/>
    <x v="2"/>
    <n v="136.33333333333334"/>
  </r>
  <r>
    <x v="7"/>
    <x v="8"/>
    <x v="91"/>
    <x v="9"/>
    <x v="0"/>
    <x v="0"/>
    <n v="143.26666666666668"/>
  </r>
  <r>
    <x v="7"/>
    <x v="8"/>
    <x v="91"/>
    <x v="9"/>
    <x v="0"/>
    <x v="1"/>
    <n v="144.73333333333335"/>
  </r>
  <r>
    <x v="7"/>
    <x v="8"/>
    <x v="91"/>
    <x v="9"/>
    <x v="0"/>
    <x v="2"/>
    <n v="146.43333333333331"/>
  </r>
  <r>
    <x v="7"/>
    <x v="8"/>
    <x v="91"/>
    <x v="13"/>
    <x v="3"/>
    <x v="0"/>
    <n v="151.36666666666667"/>
  </r>
  <r>
    <x v="7"/>
    <x v="8"/>
    <x v="91"/>
    <x v="13"/>
    <x v="3"/>
    <x v="1"/>
    <n v="146.73333333333335"/>
  </r>
  <r>
    <x v="7"/>
    <x v="8"/>
    <x v="91"/>
    <x v="13"/>
    <x v="3"/>
    <x v="2"/>
    <n v="139.13333333333333"/>
  </r>
  <r>
    <x v="7"/>
    <x v="8"/>
    <x v="91"/>
    <x v="15"/>
    <x v="4"/>
    <x v="0"/>
    <n v="150.30000000000004"/>
  </r>
  <r>
    <x v="7"/>
    <x v="8"/>
    <x v="91"/>
    <x v="15"/>
    <x v="4"/>
    <x v="1"/>
    <n v="148.47777777777776"/>
  </r>
  <r>
    <x v="7"/>
    <x v="8"/>
    <x v="91"/>
    <x v="15"/>
    <x v="4"/>
    <x v="2"/>
    <n v="148.1"/>
  </r>
  <r>
    <x v="7"/>
    <x v="8"/>
    <x v="91"/>
    <x v="17"/>
    <x v="5"/>
    <x v="0"/>
    <n v="155.73333333333332"/>
  </r>
  <r>
    <x v="7"/>
    <x v="8"/>
    <x v="91"/>
    <x v="17"/>
    <x v="5"/>
    <x v="1"/>
    <n v="151.56666666666666"/>
  </r>
  <r>
    <x v="7"/>
    <x v="8"/>
    <x v="91"/>
    <x v="17"/>
    <x v="5"/>
    <x v="2"/>
    <n v="144.73333333333332"/>
  </r>
  <r>
    <x v="7"/>
    <x v="8"/>
    <x v="91"/>
    <x v="19"/>
    <x v="6"/>
    <x v="0"/>
    <n v="151.65555555555557"/>
  </r>
  <r>
    <x v="7"/>
    <x v="8"/>
    <x v="91"/>
    <x v="19"/>
    <x v="6"/>
    <x v="1"/>
    <n v="144.41111111111113"/>
  </r>
  <r>
    <x v="7"/>
    <x v="8"/>
    <x v="91"/>
    <x v="19"/>
    <x v="6"/>
    <x v="2"/>
    <n v="142.51111111111115"/>
  </r>
  <r>
    <x v="7"/>
    <x v="8"/>
    <x v="91"/>
    <x v="21"/>
    <x v="6"/>
    <x v="0"/>
    <n v="0"/>
  </r>
  <r>
    <x v="7"/>
    <x v="8"/>
    <x v="91"/>
    <x v="21"/>
    <x v="6"/>
    <x v="1"/>
    <n v="154.96666666666667"/>
  </r>
  <r>
    <x v="7"/>
    <x v="8"/>
    <x v="91"/>
    <x v="21"/>
    <x v="6"/>
    <x v="2"/>
    <n v="154.96666666666667"/>
  </r>
  <r>
    <x v="7"/>
    <x v="8"/>
    <x v="91"/>
    <x v="2"/>
    <x v="0"/>
    <x v="0"/>
    <n v="167.16666666666666"/>
  </r>
  <r>
    <x v="7"/>
    <x v="8"/>
    <x v="91"/>
    <x v="2"/>
    <x v="0"/>
    <x v="1"/>
    <n v="167.35555555555558"/>
  </r>
  <r>
    <x v="7"/>
    <x v="8"/>
    <x v="91"/>
    <x v="2"/>
    <x v="0"/>
    <x v="2"/>
    <n v="167.46666666666667"/>
  </r>
  <r>
    <x v="7"/>
    <x v="8"/>
    <x v="91"/>
    <x v="6"/>
    <x v="0"/>
    <x v="0"/>
    <n v="152.73333333333335"/>
  </r>
  <r>
    <x v="7"/>
    <x v="8"/>
    <x v="91"/>
    <x v="6"/>
    <x v="0"/>
    <x v="1"/>
    <n v="152.63333333333333"/>
  </r>
  <r>
    <x v="7"/>
    <x v="8"/>
    <x v="91"/>
    <x v="6"/>
    <x v="0"/>
    <x v="2"/>
    <n v="152.43333333333331"/>
  </r>
  <r>
    <x v="7"/>
    <x v="8"/>
    <x v="91"/>
    <x v="23"/>
    <x v="7"/>
    <x v="0"/>
    <n v="148.45555555555555"/>
  </r>
  <r>
    <x v="7"/>
    <x v="8"/>
    <x v="91"/>
    <x v="23"/>
    <x v="7"/>
    <x v="1"/>
    <n v="141.96666666666667"/>
  </r>
  <r>
    <x v="7"/>
    <x v="8"/>
    <x v="91"/>
    <x v="23"/>
    <x v="7"/>
    <x v="2"/>
    <n v="140.23333333333335"/>
  </r>
  <r>
    <x v="7"/>
    <x v="8"/>
    <x v="91"/>
    <x v="18"/>
    <x v="0"/>
    <x v="0"/>
    <n v="139.79999999999998"/>
  </r>
  <r>
    <x v="7"/>
    <x v="8"/>
    <x v="91"/>
    <x v="18"/>
    <x v="0"/>
    <x v="1"/>
    <n v="136.66666666666666"/>
  </r>
  <r>
    <x v="7"/>
    <x v="8"/>
    <x v="91"/>
    <x v="18"/>
    <x v="0"/>
    <x v="2"/>
    <n v="132.29999999999998"/>
  </r>
  <r>
    <x v="7"/>
    <x v="8"/>
    <x v="91"/>
    <x v="7"/>
    <x v="0"/>
    <x v="0"/>
    <n v="134.70000000000002"/>
  </r>
  <r>
    <x v="7"/>
    <x v="8"/>
    <x v="91"/>
    <x v="7"/>
    <x v="0"/>
    <x v="1"/>
    <n v="132.56666666666669"/>
  </r>
  <r>
    <x v="7"/>
    <x v="8"/>
    <x v="91"/>
    <x v="7"/>
    <x v="0"/>
    <x v="2"/>
    <n v="128.83333333333334"/>
  </r>
  <r>
    <x v="7"/>
    <x v="8"/>
    <x v="91"/>
    <x v="22"/>
    <x v="7"/>
    <x v="0"/>
    <n v="169.79999999999998"/>
  </r>
  <r>
    <x v="7"/>
    <x v="8"/>
    <x v="91"/>
    <x v="22"/>
    <x v="7"/>
    <x v="1"/>
    <n v="171.11111111111109"/>
  </r>
  <r>
    <x v="7"/>
    <x v="8"/>
    <x v="91"/>
    <x v="22"/>
    <x v="7"/>
    <x v="2"/>
    <n v="171.82222222222222"/>
  </r>
  <r>
    <x v="7"/>
    <x v="8"/>
    <x v="91"/>
    <x v="24"/>
    <x v="7"/>
    <x v="0"/>
    <n v="144.05555555555554"/>
  </r>
  <r>
    <x v="7"/>
    <x v="8"/>
    <x v="91"/>
    <x v="24"/>
    <x v="7"/>
    <x v="1"/>
    <n v="144.07777777777778"/>
  </r>
  <r>
    <x v="7"/>
    <x v="8"/>
    <x v="91"/>
    <x v="24"/>
    <x v="7"/>
    <x v="2"/>
    <n v="144.14444444444445"/>
  </r>
  <r>
    <x v="7"/>
    <x v="8"/>
    <x v="91"/>
    <x v="20"/>
    <x v="0"/>
    <x v="0"/>
    <n v="159.5"/>
  </r>
  <r>
    <x v="7"/>
    <x v="8"/>
    <x v="91"/>
    <x v="20"/>
    <x v="0"/>
    <x v="1"/>
    <n v="159.1888888888889"/>
  </r>
  <r>
    <x v="7"/>
    <x v="8"/>
    <x v="91"/>
    <x v="20"/>
    <x v="0"/>
    <x v="2"/>
    <n v="159.06666666666669"/>
  </r>
  <r>
    <x v="7"/>
    <x v="8"/>
    <x v="91"/>
    <x v="12"/>
    <x v="0"/>
    <x v="0"/>
    <n v="144.6"/>
  </r>
  <r>
    <x v="7"/>
    <x v="8"/>
    <x v="91"/>
    <x v="12"/>
    <x v="0"/>
    <x v="1"/>
    <n v="144.20000000000002"/>
  </r>
  <r>
    <x v="7"/>
    <x v="8"/>
    <x v="91"/>
    <x v="12"/>
    <x v="0"/>
    <x v="2"/>
    <n v="143.36666666666665"/>
  </r>
  <r>
    <x v="7"/>
    <x v="8"/>
    <x v="91"/>
    <x v="26"/>
    <x v="9"/>
    <x v="0"/>
    <n v="150.7222222222222"/>
  </r>
  <r>
    <x v="7"/>
    <x v="8"/>
    <x v="91"/>
    <x v="26"/>
    <x v="9"/>
    <x v="1"/>
    <n v="141.5"/>
  </r>
  <r>
    <x v="7"/>
    <x v="8"/>
    <x v="91"/>
    <x v="26"/>
    <x v="9"/>
    <x v="2"/>
    <n v="139.61111111111111"/>
  </r>
  <r>
    <x v="7"/>
    <x v="8"/>
    <x v="91"/>
    <x v="16"/>
    <x v="0"/>
    <x v="0"/>
    <n v="155.16666666666666"/>
  </r>
  <r>
    <x v="7"/>
    <x v="8"/>
    <x v="91"/>
    <x v="16"/>
    <x v="0"/>
    <x v="1"/>
    <n v="154.1"/>
  </r>
  <r>
    <x v="7"/>
    <x v="8"/>
    <x v="91"/>
    <x v="16"/>
    <x v="0"/>
    <x v="2"/>
    <n v="151.96666666666667"/>
  </r>
  <r>
    <x v="7"/>
    <x v="8"/>
    <x v="91"/>
    <x v="14"/>
    <x v="0"/>
    <x v="0"/>
    <n v="115.16666666666667"/>
  </r>
  <r>
    <x v="7"/>
    <x v="8"/>
    <x v="91"/>
    <x v="14"/>
    <x v="0"/>
    <x v="1"/>
    <n v="115.7"/>
  </r>
  <r>
    <x v="7"/>
    <x v="8"/>
    <x v="91"/>
    <x v="14"/>
    <x v="0"/>
    <x v="2"/>
    <n v="116.73333333333333"/>
  </r>
  <r>
    <x v="7"/>
    <x v="8"/>
    <x v="91"/>
    <x v="25"/>
    <x v="8"/>
    <x v="0"/>
    <n v="135.94444444444446"/>
  </r>
  <r>
    <x v="7"/>
    <x v="8"/>
    <x v="91"/>
    <x v="25"/>
    <x v="8"/>
    <x v="1"/>
    <n v="128.50000000000003"/>
  </r>
  <r>
    <x v="7"/>
    <x v="8"/>
    <x v="91"/>
    <x v="25"/>
    <x v="8"/>
    <x v="2"/>
    <n v="126.72222222222223"/>
  </r>
  <r>
    <x v="7"/>
    <x v="8"/>
    <x v="91"/>
    <x v="11"/>
    <x v="0"/>
    <x v="0"/>
    <n v="160.03333333333333"/>
  </r>
  <r>
    <x v="7"/>
    <x v="8"/>
    <x v="91"/>
    <x v="11"/>
    <x v="0"/>
    <x v="1"/>
    <n v="165.53333333333333"/>
  </r>
  <r>
    <x v="7"/>
    <x v="8"/>
    <x v="91"/>
    <x v="11"/>
    <x v="0"/>
    <x v="2"/>
    <n v="176.23333333333335"/>
  </r>
  <r>
    <x v="7"/>
    <x v="9"/>
    <x v="92"/>
    <x v="0"/>
    <x v="0"/>
    <x v="0"/>
    <n v="145.4"/>
  </r>
  <r>
    <x v="7"/>
    <x v="9"/>
    <x v="92"/>
    <x v="0"/>
    <x v="0"/>
    <x v="1"/>
    <n v="146.80000000000001"/>
  </r>
  <r>
    <x v="7"/>
    <x v="9"/>
    <x v="92"/>
    <x v="0"/>
    <x v="0"/>
    <x v="2"/>
    <n v="149.69999999999999"/>
  </r>
  <r>
    <x v="7"/>
    <x v="9"/>
    <x v="92"/>
    <x v="1"/>
    <x v="1"/>
    <x v="0"/>
    <n v="156.30000000000001"/>
  </r>
  <r>
    <x v="7"/>
    <x v="9"/>
    <x v="92"/>
    <x v="1"/>
    <x v="1"/>
    <x v="1"/>
    <n v="154.30000000000001"/>
  </r>
  <r>
    <x v="7"/>
    <x v="9"/>
    <x v="92"/>
    <x v="1"/>
    <x v="1"/>
    <x v="2"/>
    <n v="151.1"/>
  </r>
  <r>
    <x v="7"/>
    <x v="9"/>
    <x v="92"/>
    <x v="3"/>
    <x v="1"/>
    <x v="0"/>
    <n v="155.5"/>
  </r>
  <r>
    <x v="7"/>
    <x v="9"/>
    <x v="92"/>
    <x v="3"/>
    <x v="1"/>
    <x v="1"/>
    <n v="152.80000000000001"/>
  </r>
  <r>
    <x v="7"/>
    <x v="9"/>
    <x v="92"/>
    <x v="3"/>
    <x v="1"/>
    <x v="2"/>
    <n v="148.80000000000001"/>
  </r>
  <r>
    <x v="7"/>
    <x v="9"/>
    <x v="92"/>
    <x v="5"/>
    <x v="2"/>
    <x v="0"/>
    <n v="161.6"/>
  </r>
  <r>
    <x v="7"/>
    <x v="9"/>
    <x v="92"/>
    <x v="5"/>
    <x v="2"/>
    <x v="1"/>
    <n v="158.6"/>
  </r>
  <r>
    <x v="7"/>
    <x v="9"/>
    <x v="92"/>
    <x v="5"/>
    <x v="2"/>
    <x v="2"/>
    <n v="156.4"/>
  </r>
  <r>
    <x v="7"/>
    <x v="9"/>
    <x v="92"/>
    <x v="4"/>
    <x v="0"/>
    <x v="0"/>
    <n v="171.6"/>
  </r>
  <r>
    <x v="7"/>
    <x v="9"/>
    <x v="92"/>
    <x v="4"/>
    <x v="0"/>
    <x v="1"/>
    <n v="173.6"/>
  </r>
  <r>
    <x v="7"/>
    <x v="9"/>
    <x v="92"/>
    <x v="4"/>
    <x v="0"/>
    <x v="2"/>
    <n v="176.9"/>
  </r>
  <r>
    <x v="7"/>
    <x v="9"/>
    <x v="92"/>
    <x v="8"/>
    <x v="0"/>
    <x v="0"/>
    <n v="163.4"/>
  </r>
  <r>
    <x v="7"/>
    <x v="9"/>
    <x v="92"/>
    <x v="8"/>
    <x v="0"/>
    <x v="1"/>
    <n v="164.7"/>
  </r>
  <r>
    <x v="7"/>
    <x v="9"/>
    <x v="92"/>
    <x v="8"/>
    <x v="0"/>
    <x v="2"/>
    <n v="167"/>
  </r>
  <r>
    <x v="7"/>
    <x v="9"/>
    <x v="92"/>
    <x v="10"/>
    <x v="1"/>
    <x v="0"/>
    <n v="151"/>
  </r>
  <r>
    <x v="7"/>
    <x v="9"/>
    <x v="92"/>
    <x v="10"/>
    <x v="1"/>
    <x v="1"/>
    <n v="144.9"/>
  </r>
  <r>
    <x v="7"/>
    <x v="9"/>
    <x v="92"/>
    <x v="10"/>
    <x v="1"/>
    <x v="2"/>
    <n v="136.4"/>
  </r>
  <r>
    <x v="7"/>
    <x v="9"/>
    <x v="92"/>
    <x v="9"/>
    <x v="0"/>
    <x v="0"/>
    <n v="146.5"/>
  </r>
  <r>
    <x v="7"/>
    <x v="9"/>
    <x v="92"/>
    <x v="9"/>
    <x v="0"/>
    <x v="1"/>
    <n v="148.4"/>
  </r>
  <r>
    <x v="7"/>
    <x v="9"/>
    <x v="92"/>
    <x v="9"/>
    <x v="0"/>
    <x v="2"/>
    <n v="150.5"/>
  </r>
  <r>
    <x v="7"/>
    <x v="9"/>
    <x v="92"/>
    <x v="13"/>
    <x v="3"/>
    <x v="0"/>
    <n v="147.5"/>
  </r>
  <r>
    <x v="7"/>
    <x v="9"/>
    <x v="92"/>
    <x v="13"/>
    <x v="3"/>
    <x v="1"/>
    <n v="143.6"/>
  </r>
  <r>
    <x v="7"/>
    <x v="9"/>
    <x v="92"/>
    <x v="13"/>
    <x v="3"/>
    <x v="2"/>
    <n v="137.30000000000001"/>
  </r>
  <r>
    <x v="7"/>
    <x v="9"/>
    <x v="92"/>
    <x v="15"/>
    <x v="4"/>
    <x v="0"/>
    <n v="159.80000000000001"/>
  </r>
  <r>
    <x v="7"/>
    <x v="9"/>
    <x v="92"/>
    <x v="15"/>
    <x v="4"/>
    <x v="1"/>
    <n v="158.4"/>
  </r>
  <r>
    <x v="7"/>
    <x v="9"/>
    <x v="92"/>
    <x v="15"/>
    <x v="4"/>
    <x v="2"/>
    <n v="156.69999999999999"/>
  </r>
  <r>
    <x v="7"/>
    <x v="9"/>
    <x v="92"/>
    <x v="17"/>
    <x v="5"/>
    <x v="0"/>
    <n v="160.4"/>
  </r>
  <r>
    <x v="7"/>
    <x v="9"/>
    <x v="92"/>
    <x v="17"/>
    <x v="5"/>
    <x v="1"/>
    <n v="157.19999999999999"/>
  </r>
  <r>
    <x v="7"/>
    <x v="9"/>
    <x v="92"/>
    <x v="17"/>
    <x v="5"/>
    <x v="2"/>
    <n v="152"/>
  </r>
  <r>
    <x v="7"/>
    <x v="9"/>
    <x v="92"/>
    <x v="19"/>
    <x v="6"/>
    <x v="0"/>
    <n v="152.80000000000001"/>
  </r>
  <r>
    <x v="7"/>
    <x v="9"/>
    <x v="92"/>
    <x v="19"/>
    <x v="6"/>
    <x v="1"/>
    <n v="149.19999999999999"/>
  </r>
  <r>
    <x v="7"/>
    <x v="9"/>
    <x v="92"/>
    <x v="19"/>
    <x v="6"/>
    <x v="2"/>
    <n v="145.1"/>
  </r>
  <r>
    <x v="7"/>
    <x v="9"/>
    <x v="92"/>
    <x v="21"/>
    <x v="6"/>
    <x v="0"/>
    <n v="0"/>
  </r>
  <r>
    <x v="7"/>
    <x v="9"/>
    <x v="92"/>
    <x v="21"/>
    <x v="6"/>
    <x v="1"/>
    <n v="158"/>
  </r>
  <r>
    <x v="7"/>
    <x v="9"/>
    <x v="92"/>
    <x v="21"/>
    <x v="6"/>
    <x v="2"/>
    <n v="158"/>
  </r>
  <r>
    <x v="7"/>
    <x v="9"/>
    <x v="92"/>
    <x v="2"/>
    <x v="0"/>
    <x v="0"/>
    <n v="188.6"/>
  </r>
  <r>
    <x v="7"/>
    <x v="9"/>
    <x v="92"/>
    <x v="2"/>
    <x v="0"/>
    <x v="1"/>
    <n v="191"/>
  </r>
  <r>
    <x v="7"/>
    <x v="9"/>
    <x v="92"/>
    <x v="2"/>
    <x v="0"/>
    <x v="2"/>
    <n v="195.5"/>
  </r>
  <r>
    <x v="7"/>
    <x v="9"/>
    <x v="92"/>
    <x v="6"/>
    <x v="0"/>
    <x v="0"/>
    <n v="153.80000000000001"/>
  </r>
  <r>
    <x v="7"/>
    <x v="9"/>
    <x v="92"/>
    <x v="6"/>
    <x v="0"/>
    <x v="1"/>
    <n v="153.80000000000001"/>
  </r>
  <r>
    <x v="7"/>
    <x v="9"/>
    <x v="92"/>
    <x v="6"/>
    <x v="0"/>
    <x v="2"/>
    <n v="153.9"/>
  </r>
  <r>
    <x v="7"/>
    <x v="9"/>
    <x v="92"/>
    <x v="23"/>
    <x v="7"/>
    <x v="0"/>
    <n v="154.5"/>
  </r>
  <r>
    <x v="7"/>
    <x v="9"/>
    <x v="92"/>
    <x v="23"/>
    <x v="7"/>
    <x v="1"/>
    <n v="150.69999999999999"/>
  </r>
  <r>
    <x v="7"/>
    <x v="9"/>
    <x v="92"/>
    <x v="23"/>
    <x v="7"/>
    <x v="2"/>
    <n v="146.6"/>
  </r>
  <r>
    <x v="7"/>
    <x v="9"/>
    <x v="92"/>
    <x v="18"/>
    <x v="0"/>
    <x v="0"/>
    <n v="150"/>
  </r>
  <r>
    <x v="7"/>
    <x v="9"/>
    <x v="92"/>
    <x v="18"/>
    <x v="0"/>
    <x v="1"/>
    <n v="146.5"/>
  </r>
  <r>
    <x v="7"/>
    <x v="9"/>
    <x v="92"/>
    <x v="18"/>
    <x v="0"/>
    <x v="2"/>
    <n v="141.5"/>
  </r>
  <r>
    <x v="7"/>
    <x v="9"/>
    <x v="92"/>
    <x v="7"/>
    <x v="0"/>
    <x v="0"/>
    <n v="145.4"/>
  </r>
  <r>
    <x v="7"/>
    <x v="9"/>
    <x v="92"/>
    <x v="7"/>
    <x v="0"/>
    <x v="1"/>
    <n v="142.69999999999999"/>
  </r>
  <r>
    <x v="7"/>
    <x v="9"/>
    <x v="92"/>
    <x v="7"/>
    <x v="0"/>
    <x v="2"/>
    <n v="138"/>
  </r>
  <r>
    <x v="7"/>
    <x v="9"/>
    <x v="92"/>
    <x v="22"/>
    <x v="7"/>
    <x v="0"/>
    <n v="183.4"/>
  </r>
  <r>
    <x v="7"/>
    <x v="9"/>
    <x v="92"/>
    <x v="22"/>
    <x v="7"/>
    <x v="1"/>
    <n v="184.8"/>
  </r>
  <r>
    <x v="7"/>
    <x v="9"/>
    <x v="92"/>
    <x v="22"/>
    <x v="7"/>
    <x v="2"/>
    <n v="188.8"/>
  </r>
  <r>
    <x v="7"/>
    <x v="9"/>
    <x v="92"/>
    <x v="24"/>
    <x v="7"/>
    <x v="0"/>
    <n v="156.19999999999999"/>
  </r>
  <r>
    <x v="7"/>
    <x v="9"/>
    <x v="92"/>
    <x v="24"/>
    <x v="7"/>
    <x v="1"/>
    <n v="156.9"/>
  </r>
  <r>
    <x v="7"/>
    <x v="9"/>
    <x v="92"/>
    <x v="24"/>
    <x v="7"/>
    <x v="2"/>
    <n v="157.9"/>
  </r>
  <r>
    <x v="7"/>
    <x v="9"/>
    <x v="92"/>
    <x v="20"/>
    <x v="0"/>
    <x v="0"/>
    <n v="162.69999999999999"/>
  </r>
  <r>
    <x v="7"/>
    <x v="9"/>
    <x v="92"/>
    <x v="20"/>
    <x v="0"/>
    <x v="1"/>
    <n v="163.80000000000001"/>
  </r>
  <r>
    <x v="7"/>
    <x v="9"/>
    <x v="92"/>
    <x v="20"/>
    <x v="0"/>
    <x v="2"/>
    <n v="165.1"/>
  </r>
  <r>
    <x v="7"/>
    <x v="9"/>
    <x v="92"/>
    <x v="12"/>
    <x v="0"/>
    <x v="0"/>
    <n v="155.9"/>
  </r>
  <r>
    <x v="7"/>
    <x v="9"/>
    <x v="92"/>
    <x v="12"/>
    <x v="0"/>
    <x v="1"/>
    <n v="156.80000000000001"/>
  </r>
  <r>
    <x v="7"/>
    <x v="9"/>
    <x v="92"/>
    <x v="12"/>
    <x v="0"/>
    <x v="2"/>
    <n v="158.69999999999999"/>
  </r>
  <r>
    <x v="7"/>
    <x v="9"/>
    <x v="92"/>
    <x v="26"/>
    <x v="9"/>
    <x v="0"/>
    <n v="153.6"/>
  </r>
  <r>
    <x v="7"/>
    <x v="9"/>
    <x v="92"/>
    <x v="26"/>
    <x v="9"/>
    <x v="1"/>
    <n v="148.4"/>
  </r>
  <r>
    <x v="7"/>
    <x v="9"/>
    <x v="92"/>
    <x v="26"/>
    <x v="9"/>
    <x v="2"/>
    <n v="144.4"/>
  </r>
  <r>
    <x v="7"/>
    <x v="9"/>
    <x v="92"/>
    <x v="16"/>
    <x v="0"/>
    <x v="0"/>
    <n v="162"/>
  </r>
  <r>
    <x v="7"/>
    <x v="9"/>
    <x v="92"/>
    <x v="16"/>
    <x v="0"/>
    <x v="1"/>
    <n v="161.80000000000001"/>
  </r>
  <r>
    <x v="7"/>
    <x v="9"/>
    <x v="92"/>
    <x v="16"/>
    <x v="0"/>
    <x v="2"/>
    <n v="161.4"/>
  </r>
  <r>
    <x v="7"/>
    <x v="9"/>
    <x v="92"/>
    <x v="14"/>
    <x v="0"/>
    <x v="0"/>
    <n v="114.9"/>
  </r>
  <r>
    <x v="7"/>
    <x v="9"/>
    <x v="92"/>
    <x v="14"/>
    <x v="0"/>
    <x v="1"/>
    <n v="115.7"/>
  </r>
  <r>
    <x v="7"/>
    <x v="9"/>
    <x v="92"/>
    <x v="14"/>
    <x v="0"/>
    <x v="2"/>
    <n v="117.2"/>
  </r>
  <r>
    <x v="7"/>
    <x v="9"/>
    <x v="92"/>
    <x v="25"/>
    <x v="8"/>
    <x v="0"/>
    <n v="146.1"/>
  </r>
  <r>
    <x v="7"/>
    <x v="9"/>
    <x v="92"/>
    <x v="25"/>
    <x v="8"/>
    <x v="1"/>
    <n v="140.4"/>
  </r>
  <r>
    <x v="7"/>
    <x v="9"/>
    <x v="92"/>
    <x v="25"/>
    <x v="8"/>
    <x v="2"/>
    <n v="135.19999999999999"/>
  </r>
  <r>
    <x v="7"/>
    <x v="9"/>
    <x v="92"/>
    <x v="11"/>
    <x v="0"/>
    <x v="0"/>
    <n v="222.2"/>
  </r>
  <r>
    <x v="7"/>
    <x v="9"/>
    <x v="92"/>
    <x v="11"/>
    <x v="0"/>
    <x v="1"/>
    <n v="230"/>
  </r>
  <r>
    <x v="7"/>
    <x v="9"/>
    <x v="92"/>
    <x v="11"/>
    <x v="0"/>
    <x v="2"/>
    <n v="245.3"/>
  </r>
  <r>
    <x v="7"/>
    <x v="10"/>
    <x v="93"/>
    <x v="0"/>
    <x v="0"/>
    <x v="0"/>
    <n v="146"/>
  </r>
  <r>
    <x v="7"/>
    <x v="10"/>
    <x v="93"/>
    <x v="0"/>
    <x v="0"/>
    <x v="1"/>
    <n v="147.5"/>
  </r>
  <r>
    <x v="7"/>
    <x v="10"/>
    <x v="93"/>
    <x v="0"/>
    <x v="0"/>
    <x v="2"/>
    <n v="150.6"/>
  </r>
  <r>
    <x v="7"/>
    <x v="10"/>
    <x v="93"/>
    <x v="1"/>
    <x v="1"/>
    <x v="0"/>
    <n v="155.69999999999999"/>
  </r>
  <r>
    <x v="7"/>
    <x v="10"/>
    <x v="93"/>
    <x v="1"/>
    <x v="1"/>
    <x v="1"/>
    <n v="153.69999999999999"/>
  </r>
  <r>
    <x v="7"/>
    <x v="10"/>
    <x v="93"/>
    <x v="1"/>
    <x v="1"/>
    <x v="2"/>
    <n v="150.5"/>
  </r>
  <r>
    <x v="7"/>
    <x v="10"/>
    <x v="93"/>
    <x v="3"/>
    <x v="1"/>
    <x v="0"/>
    <n v="155"/>
  </r>
  <r>
    <x v="7"/>
    <x v="10"/>
    <x v="93"/>
    <x v="3"/>
    <x v="1"/>
    <x v="1"/>
    <n v="152.30000000000001"/>
  </r>
  <r>
    <x v="7"/>
    <x v="10"/>
    <x v="93"/>
    <x v="3"/>
    <x v="1"/>
    <x v="2"/>
    <n v="148.30000000000001"/>
  </r>
  <r>
    <x v="7"/>
    <x v="10"/>
    <x v="93"/>
    <x v="5"/>
    <x v="2"/>
    <x v="0"/>
    <n v="162.5"/>
  </r>
  <r>
    <x v="7"/>
    <x v="10"/>
    <x v="93"/>
    <x v="5"/>
    <x v="2"/>
    <x v="1"/>
    <n v="158.5"/>
  </r>
  <r>
    <x v="7"/>
    <x v="10"/>
    <x v="93"/>
    <x v="5"/>
    <x v="2"/>
    <x v="2"/>
    <n v="155.69999999999999"/>
  </r>
  <r>
    <x v="7"/>
    <x v="10"/>
    <x v="93"/>
    <x v="4"/>
    <x v="0"/>
    <x v="0"/>
    <n v="159.19999999999999"/>
  </r>
  <r>
    <x v="7"/>
    <x v="10"/>
    <x v="93"/>
    <x v="4"/>
    <x v="0"/>
    <x v="1"/>
    <n v="161.4"/>
  </r>
  <r>
    <x v="7"/>
    <x v="10"/>
    <x v="93"/>
    <x v="4"/>
    <x v="0"/>
    <x v="2"/>
    <n v="164.8"/>
  </r>
  <r>
    <x v="7"/>
    <x v="10"/>
    <x v="93"/>
    <x v="8"/>
    <x v="0"/>
    <x v="0"/>
    <n v="159.6"/>
  </r>
  <r>
    <x v="7"/>
    <x v="10"/>
    <x v="93"/>
    <x v="8"/>
    <x v="0"/>
    <x v="1"/>
    <n v="161.4"/>
  </r>
  <r>
    <x v="7"/>
    <x v="10"/>
    <x v="93"/>
    <x v="8"/>
    <x v="0"/>
    <x v="2"/>
    <n v="164.4"/>
  </r>
  <r>
    <x v="7"/>
    <x v="10"/>
    <x v="93"/>
    <x v="10"/>
    <x v="1"/>
    <x v="0"/>
    <n v="150.6"/>
  </r>
  <r>
    <x v="7"/>
    <x v="10"/>
    <x v="93"/>
    <x v="10"/>
    <x v="1"/>
    <x v="1"/>
    <n v="144.6"/>
  </r>
  <r>
    <x v="7"/>
    <x v="10"/>
    <x v="93"/>
    <x v="10"/>
    <x v="1"/>
    <x v="2"/>
    <n v="136.1"/>
  </r>
  <r>
    <x v="7"/>
    <x v="10"/>
    <x v="93"/>
    <x v="9"/>
    <x v="0"/>
    <x v="0"/>
    <n v="147.19999999999999"/>
  </r>
  <r>
    <x v="7"/>
    <x v="10"/>
    <x v="93"/>
    <x v="9"/>
    <x v="0"/>
    <x v="1"/>
    <n v="151.19999999999999"/>
  </r>
  <r>
    <x v="7"/>
    <x v="10"/>
    <x v="93"/>
    <x v="9"/>
    <x v="0"/>
    <x v="2"/>
    <n v="155.69999999999999"/>
  </r>
  <r>
    <x v="7"/>
    <x v="10"/>
    <x v="93"/>
    <x v="13"/>
    <x v="3"/>
    <x v="0"/>
    <n v="146.80000000000001"/>
  </r>
  <r>
    <x v="7"/>
    <x v="10"/>
    <x v="93"/>
    <x v="13"/>
    <x v="3"/>
    <x v="1"/>
    <n v="143.1"/>
  </r>
  <r>
    <x v="7"/>
    <x v="10"/>
    <x v="93"/>
    <x v="13"/>
    <x v="3"/>
    <x v="2"/>
    <n v="137.1"/>
  </r>
  <r>
    <x v="7"/>
    <x v="10"/>
    <x v="93"/>
    <x v="15"/>
    <x v="4"/>
    <x v="0"/>
    <n v="157.5"/>
  </r>
  <r>
    <x v="7"/>
    <x v="10"/>
    <x v="93"/>
    <x v="15"/>
    <x v="4"/>
    <x v="1"/>
    <n v="156.4"/>
  </r>
  <r>
    <x v="7"/>
    <x v="10"/>
    <x v="93"/>
    <x v="15"/>
    <x v="4"/>
    <x v="2"/>
    <n v="155.19999999999999"/>
  </r>
  <r>
    <x v="7"/>
    <x v="10"/>
    <x v="93"/>
    <x v="17"/>
    <x v="5"/>
    <x v="0"/>
    <n v="159.5"/>
  </r>
  <r>
    <x v="7"/>
    <x v="10"/>
    <x v="93"/>
    <x v="17"/>
    <x v="5"/>
    <x v="1"/>
    <n v="156.30000000000001"/>
  </r>
  <r>
    <x v="7"/>
    <x v="10"/>
    <x v="93"/>
    <x v="17"/>
    <x v="5"/>
    <x v="2"/>
    <n v="151"/>
  </r>
  <r>
    <x v="7"/>
    <x v="10"/>
    <x v="93"/>
    <x v="19"/>
    <x v="6"/>
    <x v="0"/>
    <n v="152"/>
  </r>
  <r>
    <x v="7"/>
    <x v="10"/>
    <x v="93"/>
    <x v="19"/>
    <x v="6"/>
    <x v="1"/>
    <n v="148.69999999999999"/>
  </r>
  <r>
    <x v="7"/>
    <x v="10"/>
    <x v="93"/>
    <x v="19"/>
    <x v="6"/>
    <x v="2"/>
    <n v="145.1"/>
  </r>
  <r>
    <x v="7"/>
    <x v="10"/>
    <x v="93"/>
    <x v="21"/>
    <x v="6"/>
    <x v="0"/>
    <n v="0"/>
  </r>
  <r>
    <x v="7"/>
    <x v="10"/>
    <x v="93"/>
    <x v="21"/>
    <x v="6"/>
    <x v="1"/>
    <n v="156.5"/>
  </r>
  <r>
    <x v="7"/>
    <x v="10"/>
    <x v="93"/>
    <x v="21"/>
    <x v="6"/>
    <x v="2"/>
    <n v="156.5"/>
  </r>
  <r>
    <x v="7"/>
    <x v="10"/>
    <x v="93"/>
    <x v="2"/>
    <x v="0"/>
    <x v="0"/>
    <n v="186.3"/>
  </r>
  <r>
    <x v="7"/>
    <x v="10"/>
    <x v="93"/>
    <x v="2"/>
    <x v="0"/>
    <x v="1"/>
    <n v="188.9"/>
  </r>
  <r>
    <x v="7"/>
    <x v="10"/>
    <x v="93"/>
    <x v="2"/>
    <x v="0"/>
    <x v="2"/>
    <n v="193.7"/>
  </r>
  <r>
    <x v="7"/>
    <x v="10"/>
    <x v="93"/>
    <x v="6"/>
    <x v="0"/>
    <x v="0"/>
    <n v="153.6"/>
  </r>
  <r>
    <x v="7"/>
    <x v="10"/>
    <x v="93"/>
    <x v="6"/>
    <x v="0"/>
    <x v="1"/>
    <n v="153.6"/>
  </r>
  <r>
    <x v="7"/>
    <x v="10"/>
    <x v="93"/>
    <x v="6"/>
    <x v="0"/>
    <x v="2"/>
    <n v="153.69999999999999"/>
  </r>
  <r>
    <x v="7"/>
    <x v="10"/>
    <x v="93"/>
    <x v="23"/>
    <x v="7"/>
    <x v="0"/>
    <n v="154.30000000000001"/>
  </r>
  <r>
    <x v="7"/>
    <x v="10"/>
    <x v="93"/>
    <x v="23"/>
    <x v="7"/>
    <x v="1"/>
    <n v="150.4"/>
  </r>
  <r>
    <x v="7"/>
    <x v="10"/>
    <x v="93"/>
    <x v="23"/>
    <x v="7"/>
    <x v="2"/>
    <n v="146.19999999999999"/>
  </r>
  <r>
    <x v="7"/>
    <x v="10"/>
    <x v="93"/>
    <x v="18"/>
    <x v="0"/>
    <x v="0"/>
    <n v="147.4"/>
  </r>
  <r>
    <x v="7"/>
    <x v="10"/>
    <x v="93"/>
    <x v="18"/>
    <x v="0"/>
    <x v="1"/>
    <n v="144"/>
  </r>
  <r>
    <x v="7"/>
    <x v="10"/>
    <x v="93"/>
    <x v="18"/>
    <x v="0"/>
    <x v="2"/>
    <n v="139.19999999999999"/>
  </r>
  <r>
    <x v="7"/>
    <x v="10"/>
    <x v="93"/>
    <x v="7"/>
    <x v="0"/>
    <x v="0"/>
    <n v="142.6"/>
  </r>
  <r>
    <x v="7"/>
    <x v="10"/>
    <x v="93"/>
    <x v="7"/>
    <x v="0"/>
    <x v="1"/>
    <n v="140.1"/>
  </r>
  <r>
    <x v="7"/>
    <x v="10"/>
    <x v="93"/>
    <x v="7"/>
    <x v="0"/>
    <x v="2"/>
    <n v="135.69999999999999"/>
  </r>
  <r>
    <x v="7"/>
    <x v="10"/>
    <x v="93"/>
    <x v="22"/>
    <x v="7"/>
    <x v="0"/>
    <n v="182.7"/>
  </r>
  <r>
    <x v="7"/>
    <x v="10"/>
    <x v="93"/>
    <x v="22"/>
    <x v="7"/>
    <x v="1"/>
    <n v="184.3"/>
  </r>
  <r>
    <x v="7"/>
    <x v="10"/>
    <x v="93"/>
    <x v="22"/>
    <x v="7"/>
    <x v="2"/>
    <n v="188.7"/>
  </r>
  <r>
    <x v="7"/>
    <x v="10"/>
    <x v="93"/>
    <x v="24"/>
    <x v="7"/>
    <x v="0"/>
    <n v="156.19999999999999"/>
  </r>
  <r>
    <x v="7"/>
    <x v="10"/>
    <x v="93"/>
    <x v="24"/>
    <x v="7"/>
    <x v="1"/>
    <n v="157"/>
  </r>
  <r>
    <x v="7"/>
    <x v="10"/>
    <x v="93"/>
    <x v="24"/>
    <x v="7"/>
    <x v="2"/>
    <n v="158.1"/>
  </r>
  <r>
    <x v="7"/>
    <x v="10"/>
    <x v="93"/>
    <x v="20"/>
    <x v="0"/>
    <x v="0"/>
    <n v="161.9"/>
  </r>
  <r>
    <x v="7"/>
    <x v="10"/>
    <x v="93"/>
    <x v="20"/>
    <x v="0"/>
    <x v="1"/>
    <n v="163.19999999999999"/>
  </r>
  <r>
    <x v="7"/>
    <x v="10"/>
    <x v="93"/>
    <x v="20"/>
    <x v="0"/>
    <x v="2"/>
    <n v="164.8"/>
  </r>
  <r>
    <x v="7"/>
    <x v="10"/>
    <x v="93"/>
    <x v="12"/>
    <x v="0"/>
    <x v="0"/>
    <n v="150.30000000000001"/>
  </r>
  <r>
    <x v="7"/>
    <x v="10"/>
    <x v="93"/>
    <x v="12"/>
    <x v="0"/>
    <x v="1"/>
    <n v="150.9"/>
  </r>
  <r>
    <x v="7"/>
    <x v="10"/>
    <x v="93"/>
    <x v="12"/>
    <x v="0"/>
    <x v="2"/>
    <n v="152.19999999999999"/>
  </r>
  <r>
    <x v="7"/>
    <x v="10"/>
    <x v="93"/>
    <x v="26"/>
    <x v="9"/>
    <x v="0"/>
    <n v="152.4"/>
  </r>
  <r>
    <x v="7"/>
    <x v="10"/>
    <x v="93"/>
    <x v="26"/>
    <x v="9"/>
    <x v="1"/>
    <n v="146.5"/>
  </r>
  <r>
    <x v="7"/>
    <x v="10"/>
    <x v="93"/>
    <x v="26"/>
    <x v="9"/>
    <x v="2"/>
    <n v="142"/>
  </r>
  <r>
    <x v="7"/>
    <x v="10"/>
    <x v="93"/>
    <x v="16"/>
    <x v="0"/>
    <x v="0"/>
    <n v="160.9"/>
  </r>
  <r>
    <x v="7"/>
    <x v="10"/>
    <x v="93"/>
    <x v="16"/>
    <x v="0"/>
    <x v="1"/>
    <n v="161"/>
  </r>
  <r>
    <x v="7"/>
    <x v="10"/>
    <x v="93"/>
    <x v="16"/>
    <x v="0"/>
    <x v="2"/>
    <n v="161.30000000000001"/>
  </r>
  <r>
    <x v="7"/>
    <x v="10"/>
    <x v="93"/>
    <x v="14"/>
    <x v="0"/>
    <x v="0"/>
    <n v="115.3"/>
  </r>
  <r>
    <x v="7"/>
    <x v="10"/>
    <x v="93"/>
    <x v="14"/>
    <x v="0"/>
    <x v="1"/>
    <n v="116.2"/>
  </r>
  <r>
    <x v="7"/>
    <x v="10"/>
    <x v="93"/>
    <x v="14"/>
    <x v="0"/>
    <x v="2"/>
    <n v="118.1"/>
  </r>
  <r>
    <x v="7"/>
    <x v="10"/>
    <x v="93"/>
    <x v="25"/>
    <x v="8"/>
    <x v="0"/>
    <n v="146.4"/>
  </r>
  <r>
    <x v="7"/>
    <x v="10"/>
    <x v="93"/>
    <x v="25"/>
    <x v="8"/>
    <x v="1"/>
    <n v="140.6"/>
  </r>
  <r>
    <x v="7"/>
    <x v="10"/>
    <x v="93"/>
    <x v="25"/>
    <x v="8"/>
    <x v="2"/>
    <n v="135.4"/>
  </r>
  <r>
    <x v="7"/>
    <x v="10"/>
    <x v="93"/>
    <x v="11"/>
    <x v="0"/>
    <x v="0"/>
    <n v="200.6"/>
  </r>
  <r>
    <x v="7"/>
    <x v="10"/>
    <x v="93"/>
    <x v="11"/>
    <x v="0"/>
    <x v="1"/>
    <n v="209.2"/>
  </r>
  <r>
    <x v="7"/>
    <x v="10"/>
    <x v="93"/>
    <x v="11"/>
    <x v="0"/>
    <x v="2"/>
    <n v="226"/>
  </r>
  <r>
    <x v="7"/>
    <x v="11"/>
    <x v="94"/>
    <x v="0"/>
    <x v="0"/>
    <x v="0"/>
    <n v="146.9"/>
  </r>
  <r>
    <x v="7"/>
    <x v="11"/>
    <x v="94"/>
    <x v="0"/>
    <x v="0"/>
    <x v="1"/>
    <n v="148.4"/>
  </r>
  <r>
    <x v="7"/>
    <x v="11"/>
    <x v="94"/>
    <x v="0"/>
    <x v="0"/>
    <x v="2"/>
    <n v="151.5"/>
  </r>
  <r>
    <x v="7"/>
    <x v="11"/>
    <x v="94"/>
    <x v="1"/>
    <x v="1"/>
    <x v="0"/>
    <n v="155.4"/>
  </r>
  <r>
    <x v="7"/>
    <x v="11"/>
    <x v="94"/>
    <x v="1"/>
    <x v="1"/>
    <x v="1"/>
    <n v="153.4"/>
  </r>
  <r>
    <x v="7"/>
    <x v="11"/>
    <x v="94"/>
    <x v="1"/>
    <x v="1"/>
    <x v="2"/>
    <n v="150.19999999999999"/>
  </r>
  <r>
    <x v="7"/>
    <x v="11"/>
    <x v="94"/>
    <x v="3"/>
    <x v="1"/>
    <x v="0"/>
    <n v="154.6"/>
  </r>
  <r>
    <x v="7"/>
    <x v="11"/>
    <x v="94"/>
    <x v="3"/>
    <x v="1"/>
    <x v="1"/>
    <n v="152"/>
  </r>
  <r>
    <x v="7"/>
    <x v="11"/>
    <x v="94"/>
    <x v="3"/>
    <x v="1"/>
    <x v="2"/>
    <n v="148.1"/>
  </r>
  <r>
    <x v="7"/>
    <x v="11"/>
    <x v="94"/>
    <x v="5"/>
    <x v="2"/>
    <x v="0"/>
    <n v="161.1"/>
  </r>
  <r>
    <x v="7"/>
    <x v="11"/>
    <x v="94"/>
    <x v="5"/>
    <x v="2"/>
    <x v="1"/>
    <n v="157.5"/>
  </r>
  <r>
    <x v="7"/>
    <x v="11"/>
    <x v="94"/>
    <x v="5"/>
    <x v="2"/>
    <x v="2"/>
    <n v="154.9"/>
  </r>
  <r>
    <x v="7"/>
    <x v="11"/>
    <x v="94"/>
    <x v="4"/>
    <x v="0"/>
    <x v="0"/>
    <n v="149.5"/>
  </r>
  <r>
    <x v="7"/>
    <x v="11"/>
    <x v="94"/>
    <x v="4"/>
    <x v="0"/>
    <x v="1"/>
    <n v="152.5"/>
  </r>
  <r>
    <x v="7"/>
    <x v="11"/>
    <x v="94"/>
    <x v="4"/>
    <x v="0"/>
    <x v="2"/>
    <n v="157.30000000000001"/>
  </r>
  <r>
    <x v="7"/>
    <x v="11"/>
    <x v="94"/>
    <x v="8"/>
    <x v="0"/>
    <x v="0"/>
    <n v="156.1"/>
  </r>
  <r>
    <x v="7"/>
    <x v="11"/>
    <x v="94"/>
    <x v="8"/>
    <x v="0"/>
    <x v="1"/>
    <n v="158"/>
  </r>
  <r>
    <x v="7"/>
    <x v="11"/>
    <x v="94"/>
    <x v="8"/>
    <x v="0"/>
    <x v="2"/>
    <n v="161.30000000000001"/>
  </r>
  <r>
    <x v="7"/>
    <x v="11"/>
    <x v="94"/>
    <x v="10"/>
    <x v="1"/>
    <x v="0"/>
    <n v="149.9"/>
  </r>
  <r>
    <x v="7"/>
    <x v="11"/>
    <x v="94"/>
    <x v="10"/>
    <x v="1"/>
    <x v="1"/>
    <n v="144.30000000000001"/>
  </r>
  <r>
    <x v="7"/>
    <x v="11"/>
    <x v="94"/>
    <x v="10"/>
    <x v="1"/>
    <x v="2"/>
    <n v="136.30000000000001"/>
  </r>
  <r>
    <x v="7"/>
    <x v="11"/>
    <x v="94"/>
    <x v="9"/>
    <x v="0"/>
    <x v="0"/>
    <n v="147"/>
  </r>
  <r>
    <x v="7"/>
    <x v="11"/>
    <x v="94"/>
    <x v="9"/>
    <x v="0"/>
    <x v="1"/>
    <n v="150.9"/>
  </r>
  <r>
    <x v="7"/>
    <x v="11"/>
    <x v="94"/>
    <x v="9"/>
    <x v="0"/>
    <x v="2"/>
    <n v="155.4"/>
  </r>
  <r>
    <x v="7"/>
    <x v="11"/>
    <x v="94"/>
    <x v="13"/>
    <x v="3"/>
    <x v="0"/>
    <n v="146.4"/>
  </r>
  <r>
    <x v="7"/>
    <x v="11"/>
    <x v="94"/>
    <x v="13"/>
    <x v="3"/>
    <x v="1"/>
    <n v="142.9"/>
  </r>
  <r>
    <x v="7"/>
    <x v="11"/>
    <x v="94"/>
    <x v="13"/>
    <x v="3"/>
    <x v="2"/>
    <n v="137.19999999999999"/>
  </r>
  <r>
    <x v="7"/>
    <x v="11"/>
    <x v="94"/>
    <x v="15"/>
    <x v="4"/>
    <x v="0"/>
    <n v="155.4"/>
  </r>
  <r>
    <x v="7"/>
    <x v="11"/>
    <x v="94"/>
    <x v="15"/>
    <x v="4"/>
    <x v="1"/>
    <n v="154.69999999999999"/>
  </r>
  <r>
    <x v="7"/>
    <x v="11"/>
    <x v="94"/>
    <x v="15"/>
    <x v="4"/>
    <x v="2"/>
    <n v="154"/>
  </r>
  <r>
    <x v="7"/>
    <x v="11"/>
    <x v="94"/>
    <x v="17"/>
    <x v="5"/>
    <x v="0"/>
    <n v="159.1"/>
  </r>
  <r>
    <x v="7"/>
    <x v="11"/>
    <x v="94"/>
    <x v="17"/>
    <x v="5"/>
    <x v="1"/>
    <n v="155.6"/>
  </r>
  <r>
    <x v="7"/>
    <x v="11"/>
    <x v="94"/>
    <x v="17"/>
    <x v="5"/>
    <x v="2"/>
    <n v="150"/>
  </r>
  <r>
    <x v="7"/>
    <x v="11"/>
    <x v="94"/>
    <x v="19"/>
    <x v="6"/>
    <x v="0"/>
    <n v="151.6"/>
  </r>
  <r>
    <x v="7"/>
    <x v="11"/>
    <x v="94"/>
    <x v="19"/>
    <x v="6"/>
    <x v="1"/>
    <n v="148.69999999999999"/>
  </r>
  <r>
    <x v="7"/>
    <x v="11"/>
    <x v="94"/>
    <x v="19"/>
    <x v="6"/>
    <x v="2"/>
    <n v="145.4"/>
  </r>
  <r>
    <x v="7"/>
    <x v="11"/>
    <x v="94"/>
    <x v="21"/>
    <x v="6"/>
    <x v="0"/>
    <n v="0"/>
  </r>
  <r>
    <x v="7"/>
    <x v="11"/>
    <x v="94"/>
    <x v="21"/>
    <x v="6"/>
    <x v="1"/>
    <n v="156.30000000000001"/>
  </r>
  <r>
    <x v="7"/>
    <x v="11"/>
    <x v="94"/>
    <x v="21"/>
    <x v="6"/>
    <x v="2"/>
    <n v="156.30000000000001"/>
  </r>
  <r>
    <x v="7"/>
    <x v="11"/>
    <x v="94"/>
    <x v="2"/>
    <x v="0"/>
    <x v="0"/>
    <n v="183.9"/>
  </r>
  <r>
    <x v="7"/>
    <x v="11"/>
    <x v="94"/>
    <x v="2"/>
    <x v="0"/>
    <x v="1"/>
    <n v="187.1"/>
  </r>
  <r>
    <x v="7"/>
    <x v="11"/>
    <x v="94"/>
    <x v="2"/>
    <x v="0"/>
    <x v="2"/>
    <n v="193.1"/>
  </r>
  <r>
    <x v="7"/>
    <x v="11"/>
    <x v="94"/>
    <x v="6"/>
    <x v="0"/>
    <x v="0"/>
    <n v="153.4"/>
  </r>
  <r>
    <x v="7"/>
    <x v="11"/>
    <x v="94"/>
    <x v="6"/>
    <x v="0"/>
    <x v="1"/>
    <n v="153.6"/>
  </r>
  <r>
    <x v="7"/>
    <x v="11"/>
    <x v="94"/>
    <x v="6"/>
    <x v="0"/>
    <x v="2"/>
    <n v="153.9"/>
  </r>
  <r>
    <x v="7"/>
    <x v="11"/>
    <x v="94"/>
    <x v="23"/>
    <x v="7"/>
    <x v="0"/>
    <n v="153.69999999999999"/>
  </r>
  <r>
    <x v="7"/>
    <x v="11"/>
    <x v="94"/>
    <x v="23"/>
    <x v="7"/>
    <x v="1"/>
    <n v="150"/>
  </r>
  <r>
    <x v="7"/>
    <x v="11"/>
    <x v="94"/>
    <x v="23"/>
    <x v="7"/>
    <x v="2"/>
    <n v="146"/>
  </r>
  <r>
    <x v="7"/>
    <x v="11"/>
    <x v="94"/>
    <x v="18"/>
    <x v="0"/>
    <x v="0"/>
    <n v="145.4"/>
  </r>
  <r>
    <x v="7"/>
    <x v="11"/>
    <x v="94"/>
    <x v="18"/>
    <x v="0"/>
    <x v="1"/>
    <n v="142.19999999999999"/>
  </r>
  <r>
    <x v="7"/>
    <x v="11"/>
    <x v="94"/>
    <x v="18"/>
    <x v="0"/>
    <x v="2"/>
    <n v="137.69999999999999"/>
  </r>
  <r>
    <x v="7"/>
    <x v="11"/>
    <x v="94"/>
    <x v="7"/>
    <x v="0"/>
    <x v="0"/>
    <n v="140.4"/>
  </r>
  <r>
    <x v="7"/>
    <x v="11"/>
    <x v="94"/>
    <x v="7"/>
    <x v="0"/>
    <x v="1"/>
    <n v="138.19999999999999"/>
  </r>
  <r>
    <x v="7"/>
    <x v="11"/>
    <x v="94"/>
    <x v="7"/>
    <x v="0"/>
    <x v="2"/>
    <n v="134.4"/>
  </r>
  <r>
    <x v="7"/>
    <x v="11"/>
    <x v="94"/>
    <x v="22"/>
    <x v="7"/>
    <x v="0"/>
    <n v="182.9"/>
  </r>
  <r>
    <x v="7"/>
    <x v="11"/>
    <x v="94"/>
    <x v="22"/>
    <x v="7"/>
    <x v="1"/>
    <n v="184.4"/>
  </r>
  <r>
    <x v="7"/>
    <x v="11"/>
    <x v="94"/>
    <x v="22"/>
    <x v="7"/>
    <x v="2"/>
    <n v="188.7"/>
  </r>
  <r>
    <x v="7"/>
    <x v="11"/>
    <x v="94"/>
    <x v="24"/>
    <x v="7"/>
    <x v="0"/>
    <n v="157.4"/>
  </r>
  <r>
    <x v="7"/>
    <x v="11"/>
    <x v="94"/>
    <x v="24"/>
    <x v="7"/>
    <x v="1"/>
    <n v="158.4"/>
  </r>
  <r>
    <x v="7"/>
    <x v="11"/>
    <x v="94"/>
    <x v="24"/>
    <x v="7"/>
    <x v="2"/>
    <n v="159.80000000000001"/>
  </r>
  <r>
    <x v="7"/>
    <x v="11"/>
    <x v="94"/>
    <x v="20"/>
    <x v="0"/>
    <x v="0"/>
    <n v="161.6"/>
  </r>
  <r>
    <x v="7"/>
    <x v="11"/>
    <x v="94"/>
    <x v="20"/>
    <x v="0"/>
    <x v="1"/>
    <n v="162.9"/>
  </r>
  <r>
    <x v="7"/>
    <x v="11"/>
    <x v="94"/>
    <x v="20"/>
    <x v="0"/>
    <x v="2"/>
    <n v="164.4"/>
  </r>
  <r>
    <x v="7"/>
    <x v="11"/>
    <x v="94"/>
    <x v="12"/>
    <x v="0"/>
    <x v="0"/>
    <n v="149.30000000000001"/>
  </r>
  <r>
    <x v="7"/>
    <x v="11"/>
    <x v="94"/>
    <x v="12"/>
    <x v="0"/>
    <x v="1"/>
    <n v="149.80000000000001"/>
  </r>
  <r>
    <x v="7"/>
    <x v="11"/>
    <x v="94"/>
    <x v="12"/>
    <x v="0"/>
    <x v="2"/>
    <n v="150.80000000000001"/>
  </r>
  <r>
    <x v="7"/>
    <x v="11"/>
    <x v="94"/>
    <x v="26"/>
    <x v="9"/>
    <x v="0"/>
    <n v="152.80000000000001"/>
  </r>
  <r>
    <x v="7"/>
    <x v="11"/>
    <x v="94"/>
    <x v="26"/>
    <x v="9"/>
    <x v="1"/>
    <n v="146.6"/>
  </r>
  <r>
    <x v="7"/>
    <x v="11"/>
    <x v="94"/>
    <x v="26"/>
    <x v="9"/>
    <x v="2"/>
    <n v="141.80000000000001"/>
  </r>
  <r>
    <x v="7"/>
    <x v="11"/>
    <x v="94"/>
    <x v="16"/>
    <x v="0"/>
    <x v="0"/>
    <n v="160"/>
  </r>
  <r>
    <x v="7"/>
    <x v="11"/>
    <x v="94"/>
    <x v="16"/>
    <x v="0"/>
    <x v="1"/>
    <n v="160.30000000000001"/>
  </r>
  <r>
    <x v="7"/>
    <x v="11"/>
    <x v="94"/>
    <x v="16"/>
    <x v="0"/>
    <x v="2"/>
    <n v="160.9"/>
  </r>
  <r>
    <x v="7"/>
    <x v="11"/>
    <x v="94"/>
    <x v="14"/>
    <x v="0"/>
    <x v="0"/>
    <n v="115.1"/>
  </r>
  <r>
    <x v="7"/>
    <x v="11"/>
    <x v="94"/>
    <x v="14"/>
    <x v="0"/>
    <x v="1"/>
    <n v="116.4"/>
  </r>
  <r>
    <x v="7"/>
    <x v="11"/>
    <x v="94"/>
    <x v="14"/>
    <x v="0"/>
    <x v="2"/>
    <n v="118.9"/>
  </r>
  <r>
    <x v="7"/>
    <x v="11"/>
    <x v="94"/>
    <x v="25"/>
    <x v="8"/>
    <x v="0"/>
    <n v="144.6"/>
  </r>
  <r>
    <x v="7"/>
    <x v="11"/>
    <x v="94"/>
    <x v="25"/>
    <x v="8"/>
    <x v="1"/>
    <n v="139.6"/>
  </r>
  <r>
    <x v="7"/>
    <x v="11"/>
    <x v="94"/>
    <x v="25"/>
    <x v="8"/>
    <x v="2"/>
    <n v="135.1"/>
  </r>
  <r>
    <x v="7"/>
    <x v="11"/>
    <x v="94"/>
    <x v="11"/>
    <x v="0"/>
    <x v="0"/>
    <n v="178.8"/>
  </r>
  <r>
    <x v="7"/>
    <x v="11"/>
    <x v="94"/>
    <x v="11"/>
    <x v="0"/>
    <x v="1"/>
    <n v="186.7"/>
  </r>
  <r>
    <x v="7"/>
    <x v="11"/>
    <x v="94"/>
    <x v="11"/>
    <x v="0"/>
    <x v="2"/>
    <n v="202"/>
  </r>
  <r>
    <x v="8"/>
    <x v="0"/>
    <x v="95"/>
    <x v="0"/>
    <x v="0"/>
    <x v="0"/>
    <n v="142.69999999999999"/>
  </r>
  <r>
    <x v="8"/>
    <x v="0"/>
    <x v="95"/>
    <x v="0"/>
    <x v="0"/>
    <x v="1"/>
    <n v="144.30000000000001"/>
  </r>
  <r>
    <x v="8"/>
    <x v="0"/>
    <x v="95"/>
    <x v="0"/>
    <x v="0"/>
    <x v="2"/>
    <n v="147.6"/>
  </r>
  <r>
    <x v="8"/>
    <x v="0"/>
    <x v="95"/>
    <x v="1"/>
    <x v="1"/>
    <x v="0"/>
    <n v="160.69999999999999"/>
  </r>
  <r>
    <x v="8"/>
    <x v="0"/>
    <x v="95"/>
    <x v="1"/>
    <x v="1"/>
    <x v="1"/>
    <n v="158.80000000000001"/>
  </r>
  <r>
    <x v="8"/>
    <x v="0"/>
    <x v="95"/>
    <x v="1"/>
    <x v="1"/>
    <x v="2"/>
    <n v="155.9"/>
  </r>
  <r>
    <x v="8"/>
    <x v="0"/>
    <x v="95"/>
    <x v="3"/>
    <x v="1"/>
    <x v="0"/>
    <n v="159.9"/>
  </r>
  <r>
    <x v="8"/>
    <x v="0"/>
    <x v="95"/>
    <x v="3"/>
    <x v="1"/>
    <x v="1"/>
    <n v="157.30000000000001"/>
  </r>
  <r>
    <x v="8"/>
    <x v="0"/>
    <x v="95"/>
    <x v="3"/>
    <x v="1"/>
    <x v="2"/>
    <n v="153.4"/>
  </r>
  <r>
    <x v="8"/>
    <x v="0"/>
    <x v="95"/>
    <x v="5"/>
    <x v="2"/>
    <x v="0"/>
    <n v="164.1"/>
  </r>
  <r>
    <x v="8"/>
    <x v="0"/>
    <x v="95"/>
    <x v="5"/>
    <x v="2"/>
    <x v="1"/>
    <n v="160.30000000000001"/>
  </r>
  <r>
    <x v="8"/>
    <x v="0"/>
    <x v="95"/>
    <x v="5"/>
    <x v="2"/>
    <x v="2"/>
    <n v="157.6"/>
  </r>
  <r>
    <x v="8"/>
    <x v="0"/>
    <x v="95"/>
    <x v="4"/>
    <x v="0"/>
    <x v="0"/>
    <n v="163.4"/>
  </r>
  <r>
    <x v="8"/>
    <x v="0"/>
    <x v="95"/>
    <x v="4"/>
    <x v="0"/>
    <x v="1"/>
    <n v="164.6"/>
  </r>
  <r>
    <x v="8"/>
    <x v="0"/>
    <x v="95"/>
    <x v="4"/>
    <x v="0"/>
    <x v="2"/>
    <n v="166.4"/>
  </r>
  <r>
    <x v="8"/>
    <x v="0"/>
    <x v="95"/>
    <x v="8"/>
    <x v="0"/>
    <x v="0"/>
    <n v="155.6"/>
  </r>
  <r>
    <x v="8"/>
    <x v="0"/>
    <x v="95"/>
    <x v="8"/>
    <x v="0"/>
    <x v="1"/>
    <n v="158"/>
  </r>
  <r>
    <x v="8"/>
    <x v="0"/>
    <x v="95"/>
    <x v="8"/>
    <x v="0"/>
    <x v="2"/>
    <n v="162"/>
  </r>
  <r>
    <x v="8"/>
    <x v="0"/>
    <x v="95"/>
    <x v="10"/>
    <x v="1"/>
    <x v="0"/>
    <n v="155.1"/>
  </r>
  <r>
    <x v="8"/>
    <x v="0"/>
    <x v="95"/>
    <x v="10"/>
    <x v="1"/>
    <x v="1"/>
    <n v="148.5"/>
  </r>
  <r>
    <x v="8"/>
    <x v="0"/>
    <x v="95"/>
    <x v="10"/>
    <x v="1"/>
    <x v="2"/>
    <n v="139.30000000000001"/>
  </r>
  <r>
    <x v="8"/>
    <x v="0"/>
    <x v="95"/>
    <x v="9"/>
    <x v="0"/>
    <x v="0"/>
    <n v="160.6"/>
  </r>
  <r>
    <x v="8"/>
    <x v="0"/>
    <x v="95"/>
    <x v="9"/>
    <x v="0"/>
    <x v="1"/>
    <n v="164.4"/>
  </r>
  <r>
    <x v="8"/>
    <x v="0"/>
    <x v="95"/>
    <x v="9"/>
    <x v="0"/>
    <x v="2"/>
    <n v="168.8"/>
  </r>
  <r>
    <x v="8"/>
    <x v="0"/>
    <x v="95"/>
    <x v="13"/>
    <x v="3"/>
    <x v="0"/>
    <n v="156"/>
  </r>
  <r>
    <x v="8"/>
    <x v="0"/>
    <x v="95"/>
    <x v="13"/>
    <x v="3"/>
    <x v="1"/>
    <n v="155.6"/>
  </r>
  <r>
    <x v="8"/>
    <x v="0"/>
    <x v="95"/>
    <x v="13"/>
    <x v="3"/>
    <x v="2"/>
    <n v="154.9"/>
  </r>
  <r>
    <x v="8"/>
    <x v="0"/>
    <x v="95"/>
    <x v="15"/>
    <x v="4"/>
    <x v="0"/>
    <n v="157.6"/>
  </r>
  <r>
    <x v="8"/>
    <x v="0"/>
    <x v="95"/>
    <x v="15"/>
    <x v="4"/>
    <x v="1"/>
    <n v="157.80000000000001"/>
  </r>
  <r>
    <x v="8"/>
    <x v="0"/>
    <x v="95"/>
    <x v="15"/>
    <x v="4"/>
    <x v="2"/>
    <n v="158"/>
  </r>
  <r>
    <x v="8"/>
    <x v="0"/>
    <x v="95"/>
    <x v="17"/>
    <x v="5"/>
    <x v="0"/>
    <n v="165.3"/>
  </r>
  <r>
    <x v="8"/>
    <x v="0"/>
    <x v="95"/>
    <x v="17"/>
    <x v="5"/>
    <x v="1"/>
    <n v="162.30000000000001"/>
  </r>
  <r>
    <x v="8"/>
    <x v="0"/>
    <x v="95"/>
    <x v="17"/>
    <x v="5"/>
    <x v="2"/>
    <n v="157.5"/>
  </r>
  <r>
    <x v="8"/>
    <x v="0"/>
    <x v="95"/>
    <x v="19"/>
    <x v="6"/>
    <x v="0"/>
    <n v="155.5"/>
  </r>
  <r>
    <x v="8"/>
    <x v="0"/>
    <x v="95"/>
    <x v="19"/>
    <x v="6"/>
    <x v="1"/>
    <n v="151.80000000000001"/>
  </r>
  <r>
    <x v="8"/>
    <x v="0"/>
    <x v="95"/>
    <x v="19"/>
    <x v="6"/>
    <x v="2"/>
    <n v="147.6"/>
  </r>
  <r>
    <x v="8"/>
    <x v="0"/>
    <x v="95"/>
    <x v="21"/>
    <x v="6"/>
    <x v="0"/>
    <n v="0"/>
  </r>
  <r>
    <x v="8"/>
    <x v="0"/>
    <x v="95"/>
    <x v="21"/>
    <x v="6"/>
    <x v="1"/>
    <n v="161.4"/>
  </r>
  <r>
    <x v="8"/>
    <x v="0"/>
    <x v="95"/>
    <x v="21"/>
    <x v="6"/>
    <x v="2"/>
    <n v="161.4"/>
  </r>
  <r>
    <x v="8"/>
    <x v="0"/>
    <x v="95"/>
    <x v="2"/>
    <x v="0"/>
    <x v="0"/>
    <n v="195.5"/>
  </r>
  <r>
    <x v="8"/>
    <x v="0"/>
    <x v="95"/>
    <x v="2"/>
    <x v="0"/>
    <x v="1"/>
    <n v="198"/>
  </r>
  <r>
    <x v="8"/>
    <x v="0"/>
    <x v="95"/>
    <x v="2"/>
    <x v="0"/>
    <x v="2"/>
    <n v="202.5"/>
  </r>
  <r>
    <x v="8"/>
    <x v="0"/>
    <x v="95"/>
    <x v="6"/>
    <x v="0"/>
    <x v="0"/>
    <n v="155"/>
  </r>
  <r>
    <x v="8"/>
    <x v="0"/>
    <x v="95"/>
    <x v="6"/>
    <x v="0"/>
    <x v="1"/>
    <n v="155.4"/>
  </r>
  <r>
    <x v="8"/>
    <x v="0"/>
    <x v="95"/>
    <x v="6"/>
    <x v="0"/>
    <x v="2"/>
    <n v="156"/>
  </r>
  <r>
    <x v="8"/>
    <x v="0"/>
    <x v="95"/>
    <x v="23"/>
    <x v="7"/>
    <x v="0"/>
    <n v="158"/>
  </r>
  <r>
    <x v="8"/>
    <x v="0"/>
    <x v="95"/>
    <x v="23"/>
    <x v="7"/>
    <x v="1"/>
    <n v="154.4"/>
  </r>
  <r>
    <x v="8"/>
    <x v="0"/>
    <x v="95"/>
    <x v="23"/>
    <x v="7"/>
    <x v="2"/>
    <n v="150.5"/>
  </r>
  <r>
    <x v="8"/>
    <x v="0"/>
    <x v="95"/>
    <x v="18"/>
    <x v="0"/>
    <x v="0"/>
    <n v="161.9"/>
  </r>
  <r>
    <x v="8"/>
    <x v="0"/>
    <x v="95"/>
    <x v="18"/>
    <x v="0"/>
    <x v="1"/>
    <n v="157.6"/>
  </r>
  <r>
    <x v="8"/>
    <x v="0"/>
    <x v="95"/>
    <x v="18"/>
    <x v="0"/>
    <x v="2"/>
    <n v="151.5"/>
  </r>
  <r>
    <x v="8"/>
    <x v="0"/>
    <x v="95"/>
    <x v="7"/>
    <x v="0"/>
    <x v="0"/>
    <n v="175.2"/>
  </r>
  <r>
    <x v="8"/>
    <x v="0"/>
    <x v="95"/>
    <x v="7"/>
    <x v="0"/>
    <x v="1"/>
    <n v="170.1"/>
  </r>
  <r>
    <x v="8"/>
    <x v="0"/>
    <x v="95"/>
    <x v="7"/>
    <x v="0"/>
    <x v="2"/>
    <n v="161.4"/>
  </r>
  <r>
    <x v="8"/>
    <x v="0"/>
    <x v="95"/>
    <x v="22"/>
    <x v="7"/>
    <x v="0"/>
    <n v="186.8"/>
  </r>
  <r>
    <x v="8"/>
    <x v="0"/>
    <x v="95"/>
    <x v="22"/>
    <x v="7"/>
    <x v="1"/>
    <n v="188.8"/>
  </r>
  <r>
    <x v="8"/>
    <x v="0"/>
    <x v="95"/>
    <x v="22"/>
    <x v="7"/>
    <x v="2"/>
    <n v="194.4"/>
  </r>
  <r>
    <x v="8"/>
    <x v="0"/>
    <x v="95"/>
    <x v="24"/>
    <x v="7"/>
    <x v="0"/>
    <n v="154.6"/>
  </r>
  <r>
    <x v="8"/>
    <x v="0"/>
    <x v="95"/>
    <x v="24"/>
    <x v="7"/>
    <x v="1"/>
    <n v="155.4"/>
  </r>
  <r>
    <x v="8"/>
    <x v="0"/>
    <x v="95"/>
    <x v="24"/>
    <x v="7"/>
    <x v="2"/>
    <n v="156.6"/>
  </r>
  <r>
    <x v="8"/>
    <x v="0"/>
    <x v="95"/>
    <x v="20"/>
    <x v="0"/>
    <x v="0"/>
    <n v="166.8"/>
  </r>
  <r>
    <x v="8"/>
    <x v="0"/>
    <x v="95"/>
    <x v="20"/>
    <x v="0"/>
    <x v="1"/>
    <n v="168.9"/>
  </r>
  <r>
    <x v="8"/>
    <x v="0"/>
    <x v="95"/>
    <x v="20"/>
    <x v="0"/>
    <x v="2"/>
    <n v="171.4"/>
  </r>
  <r>
    <x v="8"/>
    <x v="0"/>
    <x v="95"/>
    <x v="12"/>
    <x v="0"/>
    <x v="0"/>
    <n v="161.1"/>
  </r>
  <r>
    <x v="8"/>
    <x v="0"/>
    <x v="95"/>
    <x v="12"/>
    <x v="0"/>
    <x v="1"/>
    <n v="161.69999999999999"/>
  </r>
  <r>
    <x v="8"/>
    <x v="0"/>
    <x v="95"/>
    <x v="12"/>
    <x v="0"/>
    <x v="2"/>
    <n v="162.80000000000001"/>
  </r>
  <r>
    <x v="8"/>
    <x v="0"/>
    <x v="95"/>
    <x v="26"/>
    <x v="9"/>
    <x v="0"/>
    <n v="158.6"/>
  </r>
  <r>
    <x v="8"/>
    <x v="0"/>
    <x v="95"/>
    <x v="26"/>
    <x v="9"/>
    <x v="1"/>
    <n v="153.19999999999999"/>
  </r>
  <r>
    <x v="8"/>
    <x v="0"/>
    <x v="95"/>
    <x v="26"/>
    <x v="9"/>
    <x v="2"/>
    <n v="149.1"/>
  </r>
  <r>
    <x v="8"/>
    <x v="0"/>
    <x v="95"/>
    <x v="16"/>
    <x v="0"/>
    <x v="0"/>
    <n v="164.4"/>
  </r>
  <r>
    <x v="8"/>
    <x v="0"/>
    <x v="95"/>
    <x v="16"/>
    <x v="0"/>
    <x v="1"/>
    <n v="163.9"/>
  </r>
  <r>
    <x v="8"/>
    <x v="0"/>
    <x v="95"/>
    <x v="16"/>
    <x v="0"/>
    <x v="2"/>
    <n v="162.80000000000001"/>
  </r>
  <r>
    <x v="8"/>
    <x v="0"/>
    <x v="95"/>
    <x v="14"/>
    <x v="0"/>
    <x v="0"/>
    <n v="112.2"/>
  </r>
  <r>
    <x v="8"/>
    <x v="0"/>
    <x v="95"/>
    <x v="14"/>
    <x v="0"/>
    <x v="1"/>
    <n v="113.1"/>
  </r>
  <r>
    <x v="8"/>
    <x v="0"/>
    <x v="95"/>
    <x v="14"/>
    <x v="0"/>
    <x v="2"/>
    <n v="114.8"/>
  </r>
  <r>
    <x v="8"/>
    <x v="0"/>
    <x v="95"/>
    <x v="25"/>
    <x v="8"/>
    <x v="0"/>
    <n v="151.69999999999999"/>
  </r>
  <r>
    <x v="8"/>
    <x v="0"/>
    <x v="95"/>
    <x v="25"/>
    <x v="8"/>
    <x v="1"/>
    <n v="146.6"/>
  </r>
  <r>
    <x v="8"/>
    <x v="0"/>
    <x v="95"/>
    <x v="25"/>
    <x v="8"/>
    <x v="2"/>
    <n v="142.1"/>
  </r>
  <r>
    <x v="8"/>
    <x v="0"/>
    <x v="95"/>
    <x v="11"/>
    <x v="0"/>
    <x v="0"/>
    <n v="135.1"/>
  </r>
  <r>
    <x v="8"/>
    <x v="0"/>
    <x v="95"/>
    <x v="11"/>
    <x v="0"/>
    <x v="1"/>
    <n v="144.1"/>
  </r>
  <r>
    <x v="8"/>
    <x v="0"/>
    <x v="95"/>
    <x v="11"/>
    <x v="0"/>
    <x v="2"/>
    <n v="161.6"/>
  </r>
  <r>
    <x v="8"/>
    <x v="1"/>
    <x v="96"/>
    <x v="0"/>
    <x v="0"/>
    <x v="0"/>
    <n v="144.9"/>
  </r>
  <r>
    <x v="8"/>
    <x v="1"/>
    <x v="96"/>
    <x v="0"/>
    <x v="0"/>
    <x v="1"/>
    <n v="146.6"/>
  </r>
  <r>
    <x v="8"/>
    <x v="1"/>
    <x v="96"/>
    <x v="0"/>
    <x v="0"/>
    <x v="2"/>
    <n v="149.30000000000001"/>
  </r>
  <r>
    <x v="8"/>
    <x v="1"/>
    <x v="96"/>
    <x v="1"/>
    <x v="1"/>
    <x v="0"/>
    <n v="167"/>
  </r>
  <r>
    <x v="8"/>
    <x v="1"/>
    <x v="96"/>
    <x v="1"/>
    <x v="1"/>
    <x v="1"/>
    <n v="164.5"/>
  </r>
  <r>
    <x v="8"/>
    <x v="1"/>
    <x v="96"/>
    <x v="1"/>
    <x v="1"/>
    <x v="2"/>
    <n v="159.80000000000001"/>
  </r>
  <r>
    <x v="8"/>
    <x v="1"/>
    <x v="96"/>
    <x v="3"/>
    <x v="1"/>
    <x v="0"/>
    <n v="166.3"/>
  </r>
  <r>
    <x v="8"/>
    <x v="1"/>
    <x v="96"/>
    <x v="3"/>
    <x v="1"/>
    <x v="1"/>
    <n v="163.19999999999999"/>
  </r>
  <r>
    <x v="8"/>
    <x v="1"/>
    <x v="96"/>
    <x v="3"/>
    <x v="1"/>
    <x v="2"/>
    <n v="157.30000000000001"/>
  </r>
  <r>
    <x v="8"/>
    <x v="1"/>
    <x v="96"/>
    <x v="5"/>
    <x v="2"/>
    <x v="0"/>
    <n v="167.5"/>
  </r>
  <r>
    <x v="8"/>
    <x v="1"/>
    <x v="96"/>
    <x v="5"/>
    <x v="2"/>
    <x v="1"/>
    <n v="163.80000000000001"/>
  </r>
  <r>
    <x v="8"/>
    <x v="1"/>
    <x v="96"/>
    <x v="5"/>
    <x v="2"/>
    <x v="2"/>
    <n v="160.4"/>
  </r>
  <r>
    <x v="8"/>
    <x v="1"/>
    <x v="96"/>
    <x v="4"/>
    <x v="0"/>
    <x v="0"/>
    <n v="176.5"/>
  </r>
  <r>
    <x v="8"/>
    <x v="1"/>
    <x v="96"/>
    <x v="4"/>
    <x v="0"/>
    <x v="1"/>
    <n v="172.8"/>
  </r>
  <r>
    <x v="8"/>
    <x v="1"/>
    <x v="96"/>
    <x v="4"/>
    <x v="0"/>
    <x v="2"/>
    <n v="174.1"/>
  </r>
  <r>
    <x v="8"/>
    <x v="1"/>
    <x v="96"/>
    <x v="8"/>
    <x v="0"/>
    <x v="0"/>
    <n v="161.80000000000001"/>
  </r>
  <r>
    <x v="8"/>
    <x v="1"/>
    <x v="96"/>
    <x v="8"/>
    <x v="0"/>
    <x v="1"/>
    <n v="164"/>
  </r>
  <r>
    <x v="8"/>
    <x v="1"/>
    <x v="96"/>
    <x v="8"/>
    <x v="0"/>
    <x v="2"/>
    <n v="167.3"/>
  </r>
  <r>
    <x v="8"/>
    <x v="1"/>
    <x v="96"/>
    <x v="10"/>
    <x v="1"/>
    <x v="0"/>
    <n v="162.6"/>
  </r>
  <r>
    <x v="8"/>
    <x v="1"/>
    <x v="96"/>
    <x v="10"/>
    <x v="1"/>
    <x v="1"/>
    <n v="155.30000000000001"/>
  </r>
  <r>
    <x v="8"/>
    <x v="1"/>
    <x v="96"/>
    <x v="10"/>
    <x v="1"/>
    <x v="2"/>
    <n v="143.6"/>
  </r>
  <r>
    <x v="8"/>
    <x v="1"/>
    <x v="96"/>
    <x v="9"/>
    <x v="0"/>
    <x v="0"/>
    <n v="155.69999999999999"/>
  </r>
  <r>
    <x v="8"/>
    <x v="1"/>
    <x v="96"/>
    <x v="9"/>
    <x v="0"/>
    <x v="1"/>
    <n v="156.80000000000001"/>
  </r>
  <r>
    <x v="8"/>
    <x v="1"/>
    <x v="96"/>
    <x v="9"/>
    <x v="0"/>
    <x v="2"/>
    <n v="161.30000000000001"/>
  </r>
  <r>
    <x v="8"/>
    <x v="1"/>
    <x v="96"/>
    <x v="13"/>
    <x v="3"/>
    <x v="0"/>
    <n v="163.1"/>
  </r>
  <r>
    <x v="8"/>
    <x v="1"/>
    <x v="96"/>
    <x v="13"/>
    <x v="3"/>
    <x v="1"/>
    <n v="162.6"/>
  </r>
  <r>
    <x v="8"/>
    <x v="1"/>
    <x v="96"/>
    <x v="13"/>
    <x v="3"/>
    <x v="2"/>
    <n v="160.69999999999999"/>
  </r>
  <r>
    <x v="8"/>
    <x v="1"/>
    <x v="96"/>
    <x v="15"/>
    <x v="4"/>
    <x v="0"/>
    <n v="163.6"/>
  </r>
  <r>
    <x v="8"/>
    <x v="1"/>
    <x v="96"/>
    <x v="15"/>
    <x v="4"/>
    <x v="1"/>
    <n v="163.19999999999999"/>
  </r>
  <r>
    <x v="8"/>
    <x v="1"/>
    <x v="96"/>
    <x v="15"/>
    <x v="4"/>
    <x v="2"/>
    <n v="162.30000000000001"/>
  </r>
  <r>
    <x v="8"/>
    <x v="1"/>
    <x v="96"/>
    <x v="17"/>
    <x v="5"/>
    <x v="0"/>
    <n v="171.1"/>
  </r>
  <r>
    <x v="8"/>
    <x v="1"/>
    <x v="96"/>
    <x v="17"/>
    <x v="5"/>
    <x v="1"/>
    <n v="168.4"/>
  </r>
  <r>
    <x v="8"/>
    <x v="1"/>
    <x v="96"/>
    <x v="17"/>
    <x v="5"/>
    <x v="2"/>
    <n v="162.80000000000001"/>
  </r>
  <r>
    <x v="8"/>
    <x v="1"/>
    <x v="96"/>
    <x v="19"/>
    <x v="6"/>
    <x v="0"/>
    <n v="160.9"/>
  </r>
  <r>
    <x v="8"/>
    <x v="1"/>
    <x v="96"/>
    <x v="19"/>
    <x v="6"/>
    <x v="1"/>
    <n v="157.5"/>
  </r>
  <r>
    <x v="8"/>
    <x v="1"/>
    <x v="96"/>
    <x v="19"/>
    <x v="6"/>
    <x v="2"/>
    <n v="153.19999999999999"/>
  </r>
  <r>
    <x v="8"/>
    <x v="1"/>
    <x v="96"/>
    <x v="21"/>
    <x v="6"/>
    <x v="0"/>
    <n v="0"/>
  </r>
  <r>
    <x v="8"/>
    <x v="1"/>
    <x v="96"/>
    <x v="21"/>
    <x v="6"/>
    <x v="1"/>
    <n v="162.1"/>
  </r>
  <r>
    <x v="8"/>
    <x v="1"/>
    <x v="96"/>
    <x v="21"/>
    <x v="6"/>
    <x v="2"/>
    <n v="162.1"/>
  </r>
  <r>
    <x v="8"/>
    <x v="1"/>
    <x v="96"/>
    <x v="2"/>
    <x v="0"/>
    <x v="0"/>
    <n v="202.3"/>
  </r>
  <r>
    <x v="8"/>
    <x v="1"/>
    <x v="96"/>
    <x v="2"/>
    <x v="0"/>
    <x v="1"/>
    <n v="204"/>
  </r>
  <r>
    <x v="8"/>
    <x v="1"/>
    <x v="96"/>
    <x v="2"/>
    <x v="0"/>
    <x v="2"/>
    <n v="207.4"/>
  </r>
  <r>
    <x v="8"/>
    <x v="1"/>
    <x v="96"/>
    <x v="6"/>
    <x v="0"/>
    <x v="0"/>
    <n v="157.5"/>
  </r>
  <r>
    <x v="8"/>
    <x v="1"/>
    <x v="96"/>
    <x v="6"/>
    <x v="0"/>
    <x v="1"/>
    <n v="158.4"/>
  </r>
  <r>
    <x v="8"/>
    <x v="1"/>
    <x v="96"/>
    <x v="6"/>
    <x v="0"/>
    <x v="2"/>
    <n v="159.19999999999999"/>
  </r>
  <r>
    <x v="8"/>
    <x v="1"/>
    <x v="96"/>
    <x v="23"/>
    <x v="7"/>
    <x v="0"/>
    <n v="163.30000000000001"/>
  </r>
  <r>
    <x v="8"/>
    <x v="1"/>
    <x v="96"/>
    <x v="23"/>
    <x v="7"/>
    <x v="1"/>
    <n v="160"/>
  </r>
  <r>
    <x v="8"/>
    <x v="1"/>
    <x v="96"/>
    <x v="23"/>
    <x v="7"/>
    <x v="2"/>
    <n v="156"/>
  </r>
  <r>
    <x v="8"/>
    <x v="1"/>
    <x v="96"/>
    <x v="18"/>
    <x v="0"/>
    <x v="0"/>
    <n v="167.6"/>
  </r>
  <r>
    <x v="8"/>
    <x v="1"/>
    <x v="96"/>
    <x v="18"/>
    <x v="0"/>
    <x v="1"/>
    <n v="162.69999999999999"/>
  </r>
  <r>
    <x v="8"/>
    <x v="1"/>
    <x v="96"/>
    <x v="18"/>
    <x v="0"/>
    <x v="2"/>
    <n v="154.80000000000001"/>
  </r>
  <r>
    <x v="8"/>
    <x v="1"/>
    <x v="96"/>
    <x v="7"/>
    <x v="0"/>
    <x v="0"/>
    <n v="190.9"/>
  </r>
  <r>
    <x v="8"/>
    <x v="1"/>
    <x v="96"/>
    <x v="7"/>
    <x v="0"/>
    <x v="1"/>
    <n v="188"/>
  </r>
  <r>
    <x v="8"/>
    <x v="1"/>
    <x v="96"/>
    <x v="7"/>
    <x v="0"/>
    <x v="2"/>
    <n v="175"/>
  </r>
  <r>
    <x v="8"/>
    <x v="1"/>
    <x v="96"/>
    <x v="22"/>
    <x v="7"/>
    <x v="0"/>
    <n v="190.2"/>
  </r>
  <r>
    <x v="8"/>
    <x v="1"/>
    <x v="96"/>
    <x v="22"/>
    <x v="7"/>
    <x v="1"/>
    <n v="192.1"/>
  </r>
  <r>
    <x v="8"/>
    <x v="1"/>
    <x v="96"/>
    <x v="22"/>
    <x v="7"/>
    <x v="2"/>
    <n v="196.5"/>
  </r>
  <r>
    <x v="8"/>
    <x v="1"/>
    <x v="96"/>
    <x v="24"/>
    <x v="7"/>
    <x v="0"/>
    <n v="160.30000000000001"/>
  </r>
  <r>
    <x v="8"/>
    <x v="1"/>
    <x v="96"/>
    <x v="24"/>
    <x v="7"/>
    <x v="1"/>
    <n v="160"/>
  </r>
  <r>
    <x v="8"/>
    <x v="1"/>
    <x v="96"/>
    <x v="24"/>
    <x v="7"/>
    <x v="2"/>
    <n v="159.6"/>
  </r>
  <r>
    <x v="8"/>
    <x v="1"/>
    <x v="96"/>
    <x v="20"/>
    <x v="0"/>
    <x v="0"/>
    <n v="171.9"/>
  </r>
  <r>
    <x v="8"/>
    <x v="1"/>
    <x v="96"/>
    <x v="20"/>
    <x v="0"/>
    <x v="1"/>
    <n v="173.9"/>
  </r>
  <r>
    <x v="8"/>
    <x v="1"/>
    <x v="96"/>
    <x v="20"/>
    <x v="0"/>
    <x v="2"/>
    <n v="175.1"/>
  </r>
  <r>
    <x v="8"/>
    <x v="1"/>
    <x v="96"/>
    <x v="12"/>
    <x v="0"/>
    <x v="0"/>
    <n v="162.80000000000001"/>
  </r>
  <r>
    <x v="8"/>
    <x v="1"/>
    <x v="96"/>
    <x v="12"/>
    <x v="0"/>
    <x v="1"/>
    <n v="164.1"/>
  </r>
  <r>
    <x v="8"/>
    <x v="1"/>
    <x v="96"/>
    <x v="12"/>
    <x v="0"/>
    <x v="2"/>
    <n v="164.5"/>
  </r>
  <r>
    <x v="8"/>
    <x v="1"/>
    <x v="96"/>
    <x v="26"/>
    <x v="9"/>
    <x v="0"/>
    <n v="161.1"/>
  </r>
  <r>
    <x v="8"/>
    <x v="1"/>
    <x v="96"/>
    <x v="26"/>
    <x v="9"/>
    <x v="1"/>
    <n v="157.6"/>
  </r>
  <r>
    <x v="8"/>
    <x v="1"/>
    <x v="96"/>
    <x v="26"/>
    <x v="9"/>
    <x v="2"/>
    <n v="153.69999999999999"/>
  </r>
  <r>
    <x v="8"/>
    <x v="1"/>
    <x v="96"/>
    <x v="16"/>
    <x v="0"/>
    <x v="0"/>
    <n v="169.8"/>
  </r>
  <r>
    <x v="8"/>
    <x v="1"/>
    <x v="96"/>
    <x v="16"/>
    <x v="0"/>
    <x v="1"/>
    <n v="168.8"/>
  </r>
  <r>
    <x v="8"/>
    <x v="1"/>
    <x v="96"/>
    <x v="16"/>
    <x v="0"/>
    <x v="2"/>
    <n v="166.2"/>
  </r>
  <r>
    <x v="8"/>
    <x v="1"/>
    <x v="96"/>
    <x v="14"/>
    <x v="0"/>
    <x v="0"/>
    <n v="115.2"/>
  </r>
  <r>
    <x v="8"/>
    <x v="1"/>
    <x v="96"/>
    <x v="14"/>
    <x v="0"/>
    <x v="1"/>
    <n v="119.7"/>
  </r>
  <r>
    <x v="8"/>
    <x v="1"/>
    <x v="96"/>
    <x v="14"/>
    <x v="0"/>
    <x v="2"/>
    <n v="120.4"/>
  </r>
  <r>
    <x v="8"/>
    <x v="1"/>
    <x v="96"/>
    <x v="25"/>
    <x v="8"/>
    <x v="0"/>
    <n v="157.69999999999999"/>
  </r>
  <r>
    <x v="8"/>
    <x v="1"/>
    <x v="96"/>
    <x v="25"/>
    <x v="8"/>
    <x v="1"/>
    <n v="154"/>
  </r>
  <r>
    <x v="8"/>
    <x v="1"/>
    <x v="96"/>
    <x v="25"/>
    <x v="8"/>
    <x v="2"/>
    <n v="150.4"/>
  </r>
  <r>
    <x v="8"/>
    <x v="1"/>
    <x v="96"/>
    <x v="11"/>
    <x v="0"/>
    <x v="0"/>
    <n v="153.9"/>
  </r>
  <r>
    <x v="8"/>
    <x v="1"/>
    <x v="96"/>
    <x v="11"/>
    <x v="0"/>
    <x v="1"/>
    <n v="162.19999999999999"/>
  </r>
  <r>
    <x v="8"/>
    <x v="1"/>
    <x v="96"/>
    <x v="11"/>
    <x v="0"/>
    <x v="2"/>
    <n v="183.3"/>
  </r>
  <r>
    <x v="8"/>
    <x v="2"/>
    <x v="97"/>
    <x v="0"/>
    <x v="0"/>
    <x v="0"/>
    <n v="147.4"/>
  </r>
  <r>
    <x v="8"/>
    <x v="2"/>
    <x v="97"/>
    <x v="0"/>
    <x v="0"/>
    <x v="1"/>
    <n v="148.69999999999999"/>
  </r>
  <r>
    <x v="8"/>
    <x v="2"/>
    <x v="97"/>
    <x v="0"/>
    <x v="0"/>
    <x v="2"/>
    <n v="151.6"/>
  </r>
  <r>
    <x v="8"/>
    <x v="2"/>
    <x v="97"/>
    <x v="1"/>
    <x v="1"/>
    <x v="0"/>
    <n v="171.8"/>
  </r>
  <r>
    <x v="8"/>
    <x v="2"/>
    <x v="97"/>
    <x v="1"/>
    <x v="1"/>
    <x v="1"/>
    <n v="168.5"/>
  </r>
  <r>
    <x v="8"/>
    <x v="2"/>
    <x v="97"/>
    <x v="1"/>
    <x v="1"/>
    <x v="2"/>
    <n v="163.30000000000001"/>
  </r>
  <r>
    <x v="8"/>
    <x v="2"/>
    <x v="97"/>
    <x v="3"/>
    <x v="1"/>
    <x v="0"/>
    <n v="171.2"/>
  </r>
  <r>
    <x v="8"/>
    <x v="2"/>
    <x v="97"/>
    <x v="3"/>
    <x v="1"/>
    <x v="1"/>
    <n v="167"/>
  </r>
  <r>
    <x v="8"/>
    <x v="2"/>
    <x v="97"/>
    <x v="3"/>
    <x v="1"/>
    <x v="2"/>
    <n v="160.69999999999999"/>
  </r>
  <r>
    <x v="8"/>
    <x v="2"/>
    <x v="97"/>
    <x v="5"/>
    <x v="2"/>
    <x v="0"/>
    <n v="169.7"/>
  </r>
  <r>
    <x v="8"/>
    <x v="2"/>
    <x v="97"/>
    <x v="5"/>
    <x v="2"/>
    <x v="1"/>
    <n v="164.4"/>
  </r>
  <r>
    <x v="8"/>
    <x v="2"/>
    <x v="97"/>
    <x v="5"/>
    <x v="2"/>
    <x v="2"/>
    <n v="160.6"/>
  </r>
  <r>
    <x v="8"/>
    <x v="2"/>
    <x v="97"/>
    <x v="4"/>
    <x v="0"/>
    <x v="0"/>
    <n v="176.5"/>
  </r>
  <r>
    <x v="8"/>
    <x v="2"/>
    <x v="97"/>
    <x v="4"/>
    <x v="0"/>
    <x v="1"/>
    <n v="177.9"/>
  </r>
  <r>
    <x v="8"/>
    <x v="2"/>
    <x v="97"/>
    <x v="4"/>
    <x v="0"/>
    <x v="2"/>
    <n v="180"/>
  </r>
  <r>
    <x v="8"/>
    <x v="2"/>
    <x v="97"/>
    <x v="8"/>
    <x v="0"/>
    <x v="0"/>
    <n v="165.8"/>
  </r>
  <r>
    <x v="8"/>
    <x v="2"/>
    <x v="97"/>
    <x v="8"/>
    <x v="0"/>
    <x v="1"/>
    <n v="168.2"/>
  </r>
  <r>
    <x v="8"/>
    <x v="2"/>
    <x v="97"/>
    <x v="8"/>
    <x v="0"/>
    <x v="2"/>
    <n v="172.2"/>
  </r>
  <r>
    <x v="8"/>
    <x v="2"/>
    <x v="97"/>
    <x v="10"/>
    <x v="1"/>
    <x v="0"/>
    <n v="167.3"/>
  </r>
  <r>
    <x v="8"/>
    <x v="2"/>
    <x v="97"/>
    <x v="10"/>
    <x v="1"/>
    <x v="1"/>
    <n v="158.69999999999999"/>
  </r>
  <r>
    <x v="8"/>
    <x v="2"/>
    <x v="97"/>
    <x v="10"/>
    <x v="1"/>
    <x v="2"/>
    <n v="146.69999999999999"/>
  </r>
  <r>
    <x v="8"/>
    <x v="2"/>
    <x v="97"/>
    <x v="9"/>
    <x v="0"/>
    <x v="0"/>
    <n v="152"/>
  </r>
  <r>
    <x v="8"/>
    <x v="2"/>
    <x v="97"/>
    <x v="9"/>
    <x v="0"/>
    <x v="1"/>
    <n v="154.9"/>
  </r>
  <r>
    <x v="8"/>
    <x v="2"/>
    <x v="97"/>
    <x v="9"/>
    <x v="0"/>
    <x v="2"/>
    <n v="158.30000000000001"/>
  </r>
  <r>
    <x v="8"/>
    <x v="2"/>
    <x v="97"/>
    <x v="13"/>
    <x v="3"/>
    <x v="0"/>
    <n v="165.6"/>
  </r>
  <r>
    <x v="8"/>
    <x v="2"/>
    <x v="97"/>
    <x v="13"/>
    <x v="3"/>
    <x v="1"/>
    <n v="164.1"/>
  </r>
  <r>
    <x v="8"/>
    <x v="2"/>
    <x v="97"/>
    <x v="13"/>
    <x v="3"/>
    <x v="2"/>
    <n v="161.69999999999999"/>
  </r>
  <r>
    <x v="8"/>
    <x v="2"/>
    <x v="97"/>
    <x v="15"/>
    <x v="4"/>
    <x v="0"/>
    <n v="167"/>
  </r>
  <r>
    <x v="8"/>
    <x v="2"/>
    <x v="97"/>
    <x v="15"/>
    <x v="4"/>
    <x v="1"/>
    <n v="166.2"/>
  </r>
  <r>
    <x v="8"/>
    <x v="2"/>
    <x v="97"/>
    <x v="15"/>
    <x v="4"/>
    <x v="2"/>
    <n v="165.2"/>
  </r>
  <r>
    <x v="8"/>
    <x v="2"/>
    <x v="97"/>
    <x v="17"/>
    <x v="5"/>
    <x v="0"/>
    <n v="174"/>
  </r>
  <r>
    <x v="8"/>
    <x v="2"/>
    <x v="97"/>
    <x v="17"/>
    <x v="5"/>
    <x v="1"/>
    <n v="170.6"/>
  </r>
  <r>
    <x v="8"/>
    <x v="2"/>
    <x v="97"/>
    <x v="17"/>
    <x v="5"/>
    <x v="2"/>
    <n v="165.1"/>
  </r>
  <r>
    <x v="8"/>
    <x v="2"/>
    <x v="97"/>
    <x v="19"/>
    <x v="6"/>
    <x v="0"/>
    <n v="163.9"/>
  </r>
  <r>
    <x v="8"/>
    <x v="2"/>
    <x v="97"/>
    <x v="19"/>
    <x v="6"/>
    <x v="1"/>
    <n v="160.19999999999999"/>
  </r>
  <r>
    <x v="8"/>
    <x v="2"/>
    <x v="97"/>
    <x v="19"/>
    <x v="6"/>
    <x v="2"/>
    <n v="156"/>
  </r>
  <r>
    <x v="8"/>
    <x v="2"/>
    <x v="97"/>
    <x v="21"/>
    <x v="6"/>
    <x v="0"/>
    <n v="0"/>
  </r>
  <r>
    <x v="8"/>
    <x v="2"/>
    <x v="97"/>
    <x v="21"/>
    <x v="6"/>
    <x v="1"/>
    <n v="163.4"/>
  </r>
  <r>
    <x v="8"/>
    <x v="2"/>
    <x v="97"/>
    <x v="21"/>
    <x v="6"/>
    <x v="2"/>
    <n v="163.4"/>
  </r>
  <r>
    <x v="8"/>
    <x v="2"/>
    <x v="97"/>
    <x v="2"/>
    <x v="0"/>
    <x v="0"/>
    <n v="197"/>
  </r>
  <r>
    <x v="8"/>
    <x v="2"/>
    <x v="97"/>
    <x v="2"/>
    <x v="0"/>
    <x v="1"/>
    <n v="198.8"/>
  </r>
  <r>
    <x v="8"/>
    <x v="2"/>
    <x v="97"/>
    <x v="2"/>
    <x v="0"/>
    <x v="2"/>
    <n v="202.2"/>
  </r>
  <r>
    <x v="8"/>
    <x v="2"/>
    <x v="97"/>
    <x v="6"/>
    <x v="0"/>
    <x v="0"/>
    <n v="159.80000000000001"/>
  </r>
  <r>
    <x v="8"/>
    <x v="2"/>
    <x v="97"/>
    <x v="6"/>
    <x v="0"/>
    <x v="1"/>
    <n v="159.9"/>
  </r>
  <r>
    <x v="8"/>
    <x v="2"/>
    <x v="97"/>
    <x v="6"/>
    <x v="0"/>
    <x v="2"/>
    <n v="160"/>
  </r>
  <r>
    <x v="8"/>
    <x v="2"/>
    <x v="97"/>
    <x v="23"/>
    <x v="7"/>
    <x v="0"/>
    <n v="166"/>
  </r>
  <r>
    <x v="8"/>
    <x v="2"/>
    <x v="97"/>
    <x v="23"/>
    <x v="7"/>
    <x v="1"/>
    <n v="162"/>
  </r>
  <r>
    <x v="8"/>
    <x v="2"/>
    <x v="97"/>
    <x v="23"/>
    <x v="7"/>
    <x v="2"/>
    <n v="157.80000000000001"/>
  </r>
  <r>
    <x v="8"/>
    <x v="2"/>
    <x v="97"/>
    <x v="18"/>
    <x v="0"/>
    <x v="0"/>
    <n v="169.7"/>
  </r>
  <r>
    <x v="8"/>
    <x v="2"/>
    <x v="97"/>
    <x v="18"/>
    <x v="0"/>
    <x v="1"/>
    <n v="164.2"/>
  </r>
  <r>
    <x v="8"/>
    <x v="2"/>
    <x v="97"/>
    <x v="18"/>
    <x v="0"/>
    <x v="2"/>
    <n v="156.5"/>
  </r>
  <r>
    <x v="8"/>
    <x v="2"/>
    <x v="97"/>
    <x v="7"/>
    <x v="0"/>
    <x v="0"/>
    <n v="195.8"/>
  </r>
  <r>
    <x v="8"/>
    <x v="2"/>
    <x v="97"/>
    <x v="7"/>
    <x v="0"/>
    <x v="1"/>
    <n v="187.6"/>
  </r>
  <r>
    <x v="8"/>
    <x v="2"/>
    <x v="97"/>
    <x v="7"/>
    <x v="0"/>
    <x v="2"/>
    <n v="173.5"/>
  </r>
  <r>
    <x v="8"/>
    <x v="2"/>
    <x v="97"/>
    <x v="22"/>
    <x v="7"/>
    <x v="0"/>
    <n v="190.8"/>
  </r>
  <r>
    <x v="8"/>
    <x v="2"/>
    <x v="97"/>
    <x v="22"/>
    <x v="7"/>
    <x v="1"/>
    <n v="192.4"/>
  </r>
  <r>
    <x v="8"/>
    <x v="2"/>
    <x v="97"/>
    <x v="22"/>
    <x v="7"/>
    <x v="2"/>
    <n v="196.8"/>
  </r>
  <r>
    <x v="8"/>
    <x v="2"/>
    <x v="97"/>
    <x v="24"/>
    <x v="7"/>
    <x v="0"/>
    <n v="162.80000000000001"/>
  </r>
  <r>
    <x v="8"/>
    <x v="2"/>
    <x v="97"/>
    <x v="24"/>
    <x v="7"/>
    <x v="1"/>
    <n v="162.6"/>
  </r>
  <r>
    <x v="8"/>
    <x v="2"/>
    <x v="97"/>
    <x v="24"/>
    <x v="7"/>
    <x v="2"/>
    <n v="162.4"/>
  </r>
  <r>
    <x v="8"/>
    <x v="2"/>
    <x v="97"/>
    <x v="20"/>
    <x v="0"/>
    <x v="0"/>
    <n v="175.1"/>
  </r>
  <r>
    <x v="8"/>
    <x v="2"/>
    <x v="97"/>
    <x v="20"/>
    <x v="0"/>
    <x v="1"/>
    <n v="176.5"/>
  </r>
  <r>
    <x v="8"/>
    <x v="2"/>
    <x v="97"/>
    <x v="20"/>
    <x v="0"/>
    <x v="2"/>
    <n v="178.2"/>
  </r>
  <r>
    <x v="8"/>
    <x v="2"/>
    <x v="97"/>
    <x v="12"/>
    <x v="0"/>
    <x v="0"/>
    <n v="164.5"/>
  </r>
  <r>
    <x v="8"/>
    <x v="2"/>
    <x v="97"/>
    <x v="12"/>
    <x v="0"/>
    <x v="1"/>
    <n v="164.4"/>
  </r>
  <r>
    <x v="8"/>
    <x v="2"/>
    <x v="97"/>
    <x v="12"/>
    <x v="0"/>
    <x v="2"/>
    <n v="164.2"/>
  </r>
  <r>
    <x v="8"/>
    <x v="2"/>
    <x v="97"/>
    <x v="26"/>
    <x v="9"/>
    <x v="0"/>
    <n v="164.5"/>
  </r>
  <r>
    <x v="8"/>
    <x v="2"/>
    <x v="97"/>
    <x v="26"/>
    <x v="9"/>
    <x v="1"/>
    <n v="160.6"/>
  </r>
  <r>
    <x v="8"/>
    <x v="2"/>
    <x v="97"/>
    <x v="26"/>
    <x v="9"/>
    <x v="2"/>
    <n v="157.6"/>
  </r>
  <r>
    <x v="8"/>
    <x v="2"/>
    <x v="97"/>
    <x v="16"/>
    <x v="0"/>
    <x v="0"/>
    <n v="171.7"/>
  </r>
  <r>
    <x v="8"/>
    <x v="2"/>
    <x v="97"/>
    <x v="16"/>
    <x v="0"/>
    <x v="1"/>
    <n v="170.5"/>
  </r>
  <r>
    <x v="8"/>
    <x v="2"/>
    <x v="97"/>
    <x v="16"/>
    <x v="0"/>
    <x v="2"/>
    <n v="168.2"/>
  </r>
  <r>
    <x v="8"/>
    <x v="2"/>
    <x v="97"/>
    <x v="14"/>
    <x v="0"/>
    <x v="0"/>
    <n v="120.6"/>
  </r>
  <r>
    <x v="8"/>
    <x v="2"/>
    <x v="97"/>
    <x v="14"/>
    <x v="0"/>
    <x v="1"/>
    <n v="121"/>
  </r>
  <r>
    <x v="8"/>
    <x v="2"/>
    <x v="97"/>
    <x v="14"/>
    <x v="0"/>
    <x v="2"/>
    <n v="121.9"/>
  </r>
  <r>
    <x v="8"/>
    <x v="2"/>
    <x v="97"/>
    <x v="25"/>
    <x v="8"/>
    <x v="0"/>
    <n v="160.1"/>
  </r>
  <r>
    <x v="8"/>
    <x v="2"/>
    <x v="97"/>
    <x v="25"/>
    <x v="8"/>
    <x v="1"/>
    <n v="155.69999999999999"/>
  </r>
  <r>
    <x v="8"/>
    <x v="2"/>
    <x v="97"/>
    <x v="25"/>
    <x v="8"/>
    <x v="2"/>
    <n v="151.80000000000001"/>
  </r>
  <r>
    <x v="8"/>
    <x v="2"/>
    <x v="97"/>
    <x v="11"/>
    <x v="0"/>
    <x v="0"/>
    <n v="172.3"/>
  </r>
  <r>
    <x v="8"/>
    <x v="2"/>
    <x v="97"/>
    <x v="11"/>
    <x v="0"/>
    <x v="1"/>
    <n v="188.3"/>
  </r>
  <r>
    <x v="8"/>
    <x v="2"/>
    <x v="97"/>
    <x v="11"/>
    <x v="0"/>
    <x v="2"/>
    <n v="219.5"/>
  </r>
  <r>
    <x v="8"/>
    <x v="3"/>
    <x v="98"/>
    <x v="0"/>
    <x v="0"/>
    <x v="0"/>
    <n v="142.80000000000001"/>
  </r>
  <r>
    <x v="8"/>
    <x v="3"/>
    <x v="98"/>
    <x v="0"/>
    <x v="0"/>
    <x v="1"/>
    <n v="144.30000000000001"/>
  </r>
  <r>
    <x v="8"/>
    <x v="3"/>
    <x v="98"/>
    <x v="0"/>
    <x v="0"/>
    <x v="2"/>
    <n v="147.6"/>
  </r>
  <r>
    <x v="8"/>
    <x v="3"/>
    <x v="98"/>
    <x v="1"/>
    <x v="1"/>
    <x v="0"/>
    <n v="159.1"/>
  </r>
  <r>
    <x v="8"/>
    <x v="3"/>
    <x v="98"/>
    <x v="1"/>
    <x v="1"/>
    <x v="1"/>
    <n v="157.19999999999999"/>
  </r>
  <r>
    <x v="8"/>
    <x v="3"/>
    <x v="98"/>
    <x v="1"/>
    <x v="1"/>
    <x v="2"/>
    <n v="154.19999999999999"/>
  </r>
  <r>
    <x v="8"/>
    <x v="3"/>
    <x v="98"/>
    <x v="3"/>
    <x v="1"/>
    <x v="0"/>
    <n v="158.4"/>
  </r>
  <r>
    <x v="8"/>
    <x v="3"/>
    <x v="98"/>
    <x v="3"/>
    <x v="1"/>
    <x v="1"/>
    <n v="155.80000000000001"/>
  </r>
  <r>
    <x v="8"/>
    <x v="3"/>
    <x v="98"/>
    <x v="3"/>
    <x v="1"/>
    <x v="2"/>
    <n v="151.80000000000001"/>
  </r>
  <r>
    <x v="8"/>
    <x v="3"/>
    <x v="98"/>
    <x v="5"/>
    <x v="2"/>
    <x v="0"/>
    <n v="163.6"/>
  </r>
  <r>
    <x v="8"/>
    <x v="3"/>
    <x v="98"/>
    <x v="5"/>
    <x v="2"/>
    <x v="1"/>
    <n v="159.5"/>
  </r>
  <r>
    <x v="8"/>
    <x v="3"/>
    <x v="98"/>
    <x v="5"/>
    <x v="2"/>
    <x v="2"/>
    <n v="156.6"/>
  </r>
  <r>
    <x v="8"/>
    <x v="3"/>
    <x v="98"/>
    <x v="4"/>
    <x v="0"/>
    <x v="0"/>
    <n v="168"/>
  </r>
  <r>
    <x v="8"/>
    <x v="3"/>
    <x v="98"/>
    <x v="4"/>
    <x v="0"/>
    <x v="1"/>
    <n v="168.7"/>
  </r>
  <r>
    <x v="8"/>
    <x v="3"/>
    <x v="98"/>
    <x v="4"/>
    <x v="0"/>
    <x v="2"/>
    <n v="169.9"/>
  </r>
  <r>
    <x v="8"/>
    <x v="3"/>
    <x v="98"/>
    <x v="8"/>
    <x v="0"/>
    <x v="0"/>
    <n v="154.69999999999999"/>
  </r>
  <r>
    <x v="8"/>
    <x v="3"/>
    <x v="98"/>
    <x v="8"/>
    <x v="0"/>
    <x v="1"/>
    <n v="156.9"/>
  </r>
  <r>
    <x v="8"/>
    <x v="3"/>
    <x v="98"/>
    <x v="8"/>
    <x v="0"/>
    <x v="2"/>
    <n v="160.80000000000001"/>
  </r>
  <r>
    <x v="8"/>
    <x v="3"/>
    <x v="98"/>
    <x v="10"/>
    <x v="1"/>
    <x v="0"/>
    <n v="153.9"/>
  </r>
  <r>
    <x v="8"/>
    <x v="3"/>
    <x v="98"/>
    <x v="10"/>
    <x v="1"/>
    <x v="1"/>
    <n v="147.4"/>
  </r>
  <r>
    <x v="8"/>
    <x v="3"/>
    <x v="98"/>
    <x v="10"/>
    <x v="1"/>
    <x v="2"/>
    <n v="138.19999999999999"/>
  </r>
  <r>
    <x v="8"/>
    <x v="3"/>
    <x v="98"/>
    <x v="9"/>
    <x v="0"/>
    <x v="0"/>
    <n v="147.80000000000001"/>
  </r>
  <r>
    <x v="8"/>
    <x v="3"/>
    <x v="98"/>
    <x v="9"/>
    <x v="0"/>
    <x v="1"/>
    <n v="150.69999999999999"/>
  </r>
  <r>
    <x v="8"/>
    <x v="3"/>
    <x v="98"/>
    <x v="9"/>
    <x v="0"/>
    <x v="2"/>
    <n v="154"/>
  </r>
  <r>
    <x v="8"/>
    <x v="3"/>
    <x v="98"/>
    <x v="13"/>
    <x v="3"/>
    <x v="0"/>
    <n v="154.4"/>
  </r>
  <r>
    <x v="8"/>
    <x v="3"/>
    <x v="98"/>
    <x v="13"/>
    <x v="3"/>
    <x v="1"/>
    <n v="152.4"/>
  </r>
  <r>
    <x v="8"/>
    <x v="3"/>
    <x v="98"/>
    <x v="13"/>
    <x v="3"/>
    <x v="2"/>
    <n v="149.1"/>
  </r>
  <r>
    <x v="8"/>
    <x v="3"/>
    <x v="98"/>
    <x v="15"/>
    <x v="4"/>
    <x v="0"/>
    <n v="156.69999999999999"/>
  </r>
  <r>
    <x v="8"/>
    <x v="3"/>
    <x v="98"/>
    <x v="15"/>
    <x v="4"/>
    <x v="1"/>
    <n v="156.6"/>
  </r>
  <r>
    <x v="8"/>
    <x v="3"/>
    <x v="98"/>
    <x v="15"/>
    <x v="4"/>
    <x v="2"/>
    <n v="156.5"/>
  </r>
  <r>
    <x v="8"/>
    <x v="3"/>
    <x v="98"/>
    <x v="17"/>
    <x v="5"/>
    <x v="0"/>
    <n v="164.3"/>
  </r>
  <r>
    <x v="8"/>
    <x v="3"/>
    <x v="98"/>
    <x v="17"/>
    <x v="5"/>
    <x v="1"/>
    <n v="161.30000000000001"/>
  </r>
  <r>
    <x v="8"/>
    <x v="3"/>
    <x v="98"/>
    <x v="17"/>
    <x v="5"/>
    <x v="2"/>
    <n v="156.30000000000001"/>
  </r>
  <r>
    <x v="8"/>
    <x v="3"/>
    <x v="98"/>
    <x v="19"/>
    <x v="6"/>
    <x v="0"/>
    <n v="154.80000000000001"/>
  </r>
  <r>
    <x v="8"/>
    <x v="3"/>
    <x v="98"/>
    <x v="19"/>
    <x v="6"/>
    <x v="1"/>
    <n v="150.9"/>
  </r>
  <r>
    <x v="8"/>
    <x v="3"/>
    <x v="98"/>
    <x v="19"/>
    <x v="6"/>
    <x v="2"/>
    <n v="146.5"/>
  </r>
  <r>
    <x v="8"/>
    <x v="3"/>
    <x v="98"/>
    <x v="21"/>
    <x v="6"/>
    <x v="0"/>
    <n v="0"/>
  </r>
  <r>
    <x v="8"/>
    <x v="3"/>
    <x v="98"/>
    <x v="21"/>
    <x v="6"/>
    <x v="1"/>
    <n v="159.80000000000001"/>
  </r>
  <r>
    <x v="8"/>
    <x v="3"/>
    <x v="98"/>
    <x v="21"/>
    <x v="6"/>
    <x v="2"/>
    <n v="159.80000000000001"/>
  </r>
  <r>
    <x v="8"/>
    <x v="3"/>
    <x v="98"/>
    <x v="2"/>
    <x v="0"/>
    <x v="0"/>
    <n v="184"/>
  </r>
  <r>
    <x v="8"/>
    <x v="3"/>
    <x v="98"/>
    <x v="2"/>
    <x v="0"/>
    <x v="1"/>
    <n v="186.5"/>
  </r>
  <r>
    <x v="8"/>
    <x v="3"/>
    <x v="98"/>
    <x v="2"/>
    <x v="0"/>
    <x v="2"/>
    <n v="191.2"/>
  </r>
  <r>
    <x v="8"/>
    <x v="3"/>
    <x v="98"/>
    <x v="6"/>
    <x v="0"/>
    <x v="0"/>
    <n v="154.4"/>
  </r>
  <r>
    <x v="8"/>
    <x v="3"/>
    <x v="98"/>
    <x v="6"/>
    <x v="0"/>
    <x v="1"/>
    <n v="154.69999999999999"/>
  </r>
  <r>
    <x v="8"/>
    <x v="3"/>
    <x v="98"/>
    <x v="6"/>
    <x v="0"/>
    <x v="2"/>
    <n v="155.1"/>
  </r>
  <r>
    <x v="8"/>
    <x v="3"/>
    <x v="98"/>
    <x v="23"/>
    <x v="7"/>
    <x v="0"/>
    <n v="157.19999999999999"/>
  </r>
  <r>
    <x v="8"/>
    <x v="3"/>
    <x v="98"/>
    <x v="23"/>
    <x v="7"/>
    <x v="1"/>
    <n v="153.4"/>
  </r>
  <r>
    <x v="8"/>
    <x v="3"/>
    <x v="98"/>
    <x v="23"/>
    <x v="7"/>
    <x v="2"/>
    <n v="149.30000000000001"/>
  </r>
  <r>
    <x v="8"/>
    <x v="3"/>
    <x v="98"/>
    <x v="18"/>
    <x v="0"/>
    <x v="0"/>
    <n v="160"/>
  </r>
  <r>
    <x v="8"/>
    <x v="3"/>
    <x v="98"/>
    <x v="18"/>
    <x v="0"/>
    <x v="1"/>
    <n v="155.5"/>
  </r>
  <r>
    <x v="8"/>
    <x v="3"/>
    <x v="98"/>
    <x v="18"/>
    <x v="0"/>
    <x v="2"/>
    <n v="149.19999999999999"/>
  </r>
  <r>
    <x v="8"/>
    <x v="3"/>
    <x v="98"/>
    <x v="7"/>
    <x v="0"/>
    <x v="0"/>
    <n v="163"/>
  </r>
  <r>
    <x v="8"/>
    <x v="3"/>
    <x v="98"/>
    <x v="7"/>
    <x v="0"/>
    <x v="1"/>
    <n v="158.69999999999999"/>
  </r>
  <r>
    <x v="8"/>
    <x v="3"/>
    <x v="98"/>
    <x v="7"/>
    <x v="0"/>
    <x v="2"/>
    <n v="151.4"/>
  </r>
  <r>
    <x v="8"/>
    <x v="3"/>
    <x v="98"/>
    <x v="22"/>
    <x v="7"/>
    <x v="0"/>
    <n v="186.5"/>
  </r>
  <r>
    <x v="8"/>
    <x v="3"/>
    <x v="98"/>
    <x v="22"/>
    <x v="7"/>
    <x v="1"/>
    <n v="188.3"/>
  </r>
  <r>
    <x v="8"/>
    <x v="3"/>
    <x v="98"/>
    <x v="22"/>
    <x v="7"/>
    <x v="2"/>
    <n v="193.3"/>
  </r>
  <r>
    <x v="8"/>
    <x v="3"/>
    <x v="98"/>
    <x v="24"/>
    <x v="7"/>
    <x v="0"/>
    <n v="155.19999999999999"/>
  </r>
  <r>
    <x v="8"/>
    <x v="3"/>
    <x v="98"/>
    <x v="24"/>
    <x v="7"/>
    <x v="1"/>
    <n v="155.80000000000001"/>
  </r>
  <r>
    <x v="8"/>
    <x v="3"/>
    <x v="98"/>
    <x v="24"/>
    <x v="7"/>
    <x v="2"/>
    <n v="156.69999999999999"/>
  </r>
  <r>
    <x v="8"/>
    <x v="3"/>
    <x v="98"/>
    <x v="20"/>
    <x v="0"/>
    <x v="0"/>
    <n v="165.8"/>
  </r>
  <r>
    <x v="8"/>
    <x v="3"/>
    <x v="98"/>
    <x v="20"/>
    <x v="0"/>
    <x v="1"/>
    <n v="167.5"/>
  </r>
  <r>
    <x v="8"/>
    <x v="3"/>
    <x v="98"/>
    <x v="20"/>
    <x v="0"/>
    <x v="2"/>
    <n v="169.4"/>
  </r>
  <r>
    <x v="8"/>
    <x v="3"/>
    <x v="98"/>
    <x v="12"/>
    <x v="0"/>
    <x v="0"/>
    <n v="158.30000000000001"/>
  </r>
  <r>
    <x v="8"/>
    <x v="3"/>
    <x v="98"/>
    <x v="12"/>
    <x v="0"/>
    <x v="1"/>
    <n v="158.80000000000001"/>
  </r>
  <r>
    <x v="8"/>
    <x v="3"/>
    <x v="98"/>
    <x v="12"/>
    <x v="0"/>
    <x v="2"/>
    <n v="159.80000000000001"/>
  </r>
  <r>
    <x v="8"/>
    <x v="3"/>
    <x v="98"/>
    <x v="26"/>
    <x v="9"/>
    <x v="0"/>
    <n v="157"/>
  </r>
  <r>
    <x v="8"/>
    <x v="3"/>
    <x v="98"/>
    <x v="26"/>
    <x v="9"/>
    <x v="1"/>
    <n v="151.5"/>
  </r>
  <r>
    <x v="8"/>
    <x v="3"/>
    <x v="98"/>
    <x v="26"/>
    <x v="9"/>
    <x v="2"/>
    <n v="147.30000000000001"/>
  </r>
  <r>
    <x v="8"/>
    <x v="3"/>
    <x v="98"/>
    <x v="16"/>
    <x v="0"/>
    <x v="0"/>
    <n v="165"/>
  </r>
  <r>
    <x v="8"/>
    <x v="3"/>
    <x v="98"/>
    <x v="16"/>
    <x v="0"/>
    <x v="1"/>
    <n v="164.2"/>
  </r>
  <r>
    <x v="8"/>
    <x v="3"/>
    <x v="98"/>
    <x v="16"/>
    <x v="0"/>
    <x v="2"/>
    <n v="162.5"/>
  </r>
  <r>
    <x v="8"/>
    <x v="3"/>
    <x v="98"/>
    <x v="14"/>
    <x v="0"/>
    <x v="0"/>
    <n v="111.8"/>
  </r>
  <r>
    <x v="8"/>
    <x v="3"/>
    <x v="98"/>
    <x v="14"/>
    <x v="0"/>
    <x v="1"/>
    <n v="112.8"/>
  </r>
  <r>
    <x v="8"/>
    <x v="3"/>
    <x v="98"/>
    <x v="14"/>
    <x v="0"/>
    <x v="2"/>
    <n v="114.9"/>
  </r>
  <r>
    <x v="8"/>
    <x v="3"/>
    <x v="98"/>
    <x v="25"/>
    <x v="8"/>
    <x v="0"/>
    <n v="150.19999999999999"/>
  </r>
  <r>
    <x v="8"/>
    <x v="3"/>
    <x v="98"/>
    <x v="25"/>
    <x v="8"/>
    <x v="1"/>
    <n v="145.1"/>
  </r>
  <r>
    <x v="8"/>
    <x v="3"/>
    <x v="98"/>
    <x v="25"/>
    <x v="8"/>
    <x v="2"/>
    <n v="140.5"/>
  </r>
  <r>
    <x v="8"/>
    <x v="3"/>
    <x v="98"/>
    <x v="11"/>
    <x v="0"/>
    <x v="0"/>
    <n v="149.69999999999999"/>
  </r>
  <r>
    <x v="8"/>
    <x v="3"/>
    <x v="98"/>
    <x v="11"/>
    <x v="0"/>
    <x v="1"/>
    <n v="160"/>
  </r>
  <r>
    <x v="8"/>
    <x v="3"/>
    <x v="98"/>
    <x v="11"/>
    <x v="0"/>
    <x v="2"/>
    <n v="180.2"/>
  </r>
  <r>
    <x v="8"/>
    <x v="4"/>
    <x v="99"/>
    <x v="0"/>
    <x v="0"/>
    <x v="0"/>
    <n v="143.4"/>
  </r>
  <r>
    <x v="8"/>
    <x v="4"/>
    <x v="99"/>
    <x v="0"/>
    <x v="0"/>
    <x v="1"/>
    <n v="144.9"/>
  </r>
  <r>
    <x v="8"/>
    <x v="4"/>
    <x v="99"/>
    <x v="0"/>
    <x v="0"/>
    <x v="2"/>
    <n v="148"/>
  </r>
  <r>
    <x v="8"/>
    <x v="4"/>
    <x v="99"/>
    <x v="1"/>
    <x v="1"/>
    <x v="0"/>
    <n v="157.5"/>
  </r>
  <r>
    <x v="8"/>
    <x v="4"/>
    <x v="99"/>
    <x v="1"/>
    <x v="1"/>
    <x v="1"/>
    <n v="155.5"/>
  </r>
  <r>
    <x v="8"/>
    <x v="4"/>
    <x v="99"/>
    <x v="1"/>
    <x v="1"/>
    <x v="2"/>
    <n v="152.5"/>
  </r>
  <r>
    <x v="8"/>
    <x v="4"/>
    <x v="99"/>
    <x v="3"/>
    <x v="1"/>
    <x v="0"/>
    <n v="156.80000000000001"/>
  </r>
  <r>
    <x v="8"/>
    <x v="4"/>
    <x v="99"/>
    <x v="3"/>
    <x v="1"/>
    <x v="1"/>
    <n v="154.19999999999999"/>
  </r>
  <r>
    <x v="8"/>
    <x v="4"/>
    <x v="99"/>
    <x v="3"/>
    <x v="1"/>
    <x v="2"/>
    <n v="150.19999999999999"/>
  </r>
  <r>
    <x v="8"/>
    <x v="4"/>
    <x v="99"/>
    <x v="5"/>
    <x v="2"/>
    <x v="0"/>
    <n v="163.5"/>
  </r>
  <r>
    <x v="8"/>
    <x v="4"/>
    <x v="99"/>
    <x v="5"/>
    <x v="2"/>
    <x v="1"/>
    <n v="159.19999999999999"/>
  </r>
  <r>
    <x v="8"/>
    <x v="4"/>
    <x v="99"/>
    <x v="5"/>
    <x v="2"/>
    <x v="2"/>
    <n v="156.1"/>
  </r>
  <r>
    <x v="8"/>
    <x v="4"/>
    <x v="99"/>
    <x v="4"/>
    <x v="0"/>
    <x v="0"/>
    <n v="173.4"/>
  </r>
  <r>
    <x v="8"/>
    <x v="4"/>
    <x v="99"/>
    <x v="4"/>
    <x v="0"/>
    <x v="1"/>
    <n v="175.3"/>
  </r>
  <r>
    <x v="8"/>
    <x v="4"/>
    <x v="99"/>
    <x v="4"/>
    <x v="0"/>
    <x v="2"/>
    <n v="178.4"/>
  </r>
  <r>
    <x v="8"/>
    <x v="4"/>
    <x v="99"/>
    <x v="8"/>
    <x v="0"/>
    <x v="0"/>
    <n v="159.6"/>
  </r>
  <r>
    <x v="8"/>
    <x v="4"/>
    <x v="99"/>
    <x v="8"/>
    <x v="0"/>
    <x v="1"/>
    <n v="161"/>
  </r>
  <r>
    <x v="8"/>
    <x v="4"/>
    <x v="99"/>
    <x v="8"/>
    <x v="0"/>
    <x v="2"/>
    <n v="163.4"/>
  </r>
  <r>
    <x v="8"/>
    <x v="4"/>
    <x v="99"/>
    <x v="10"/>
    <x v="1"/>
    <x v="0"/>
    <n v="152.4"/>
  </r>
  <r>
    <x v="8"/>
    <x v="4"/>
    <x v="99"/>
    <x v="10"/>
    <x v="1"/>
    <x v="1"/>
    <n v="146.1"/>
  </r>
  <r>
    <x v="8"/>
    <x v="4"/>
    <x v="99"/>
    <x v="10"/>
    <x v="1"/>
    <x v="2"/>
    <n v="137.30000000000001"/>
  </r>
  <r>
    <x v="8"/>
    <x v="4"/>
    <x v="99"/>
    <x v="9"/>
    <x v="0"/>
    <x v="0"/>
    <n v="147"/>
  </r>
  <r>
    <x v="8"/>
    <x v="4"/>
    <x v="99"/>
    <x v="9"/>
    <x v="0"/>
    <x v="1"/>
    <n v="149.6"/>
  </r>
  <r>
    <x v="8"/>
    <x v="4"/>
    <x v="99"/>
    <x v="9"/>
    <x v="0"/>
    <x v="2"/>
    <n v="152.6"/>
  </r>
  <r>
    <x v="8"/>
    <x v="4"/>
    <x v="99"/>
    <x v="13"/>
    <x v="3"/>
    <x v="0"/>
    <n v="150.9"/>
  </r>
  <r>
    <x v="8"/>
    <x v="4"/>
    <x v="99"/>
    <x v="13"/>
    <x v="3"/>
    <x v="1"/>
    <n v="147.9"/>
  </r>
  <r>
    <x v="8"/>
    <x v="4"/>
    <x v="99"/>
    <x v="13"/>
    <x v="3"/>
    <x v="2"/>
    <n v="142.9"/>
  </r>
  <r>
    <x v="8"/>
    <x v="4"/>
    <x v="99"/>
    <x v="15"/>
    <x v="4"/>
    <x v="0"/>
    <n v="158.5"/>
  </r>
  <r>
    <x v="8"/>
    <x v="4"/>
    <x v="99"/>
    <x v="15"/>
    <x v="4"/>
    <x v="1"/>
    <n v="157.30000000000001"/>
  </r>
  <r>
    <x v="8"/>
    <x v="4"/>
    <x v="99"/>
    <x v="15"/>
    <x v="4"/>
    <x v="2"/>
    <n v="156"/>
  </r>
  <r>
    <x v="8"/>
    <x v="4"/>
    <x v="99"/>
    <x v="17"/>
    <x v="5"/>
    <x v="0"/>
    <n v="162.5"/>
  </r>
  <r>
    <x v="8"/>
    <x v="4"/>
    <x v="99"/>
    <x v="17"/>
    <x v="5"/>
    <x v="1"/>
    <n v="159.30000000000001"/>
  </r>
  <r>
    <x v="8"/>
    <x v="4"/>
    <x v="99"/>
    <x v="17"/>
    <x v="5"/>
    <x v="2"/>
    <n v="154.1"/>
  </r>
  <r>
    <x v="8"/>
    <x v="4"/>
    <x v="99"/>
    <x v="19"/>
    <x v="6"/>
    <x v="0"/>
    <n v="153.9"/>
  </r>
  <r>
    <x v="8"/>
    <x v="4"/>
    <x v="99"/>
    <x v="19"/>
    <x v="6"/>
    <x v="1"/>
    <n v="150"/>
  </r>
  <r>
    <x v="8"/>
    <x v="4"/>
    <x v="99"/>
    <x v="19"/>
    <x v="6"/>
    <x v="2"/>
    <n v="145.69999999999999"/>
  </r>
  <r>
    <x v="8"/>
    <x v="4"/>
    <x v="99"/>
    <x v="21"/>
    <x v="6"/>
    <x v="0"/>
    <n v="0"/>
  </r>
  <r>
    <x v="8"/>
    <x v="4"/>
    <x v="99"/>
    <x v="21"/>
    <x v="6"/>
    <x v="1"/>
    <n v="157.69999999999999"/>
  </r>
  <r>
    <x v="8"/>
    <x v="4"/>
    <x v="99"/>
    <x v="21"/>
    <x v="6"/>
    <x v="2"/>
    <n v="157.69999999999999"/>
  </r>
  <r>
    <x v="8"/>
    <x v="4"/>
    <x v="99"/>
    <x v="2"/>
    <x v="0"/>
    <x v="0"/>
    <n v="187.5"/>
  </r>
  <r>
    <x v="8"/>
    <x v="4"/>
    <x v="99"/>
    <x v="2"/>
    <x v="0"/>
    <x v="1"/>
    <n v="190.1"/>
  </r>
  <r>
    <x v="8"/>
    <x v="4"/>
    <x v="99"/>
    <x v="2"/>
    <x v="0"/>
    <x v="2"/>
    <n v="194.8"/>
  </r>
  <r>
    <x v="8"/>
    <x v="4"/>
    <x v="99"/>
    <x v="6"/>
    <x v="0"/>
    <x v="0"/>
    <n v="154"/>
  </r>
  <r>
    <x v="8"/>
    <x v="4"/>
    <x v="99"/>
    <x v="6"/>
    <x v="0"/>
    <x v="1"/>
    <n v="154.1"/>
  </r>
  <r>
    <x v="8"/>
    <x v="4"/>
    <x v="99"/>
    <x v="6"/>
    <x v="0"/>
    <x v="2"/>
    <n v="154.4"/>
  </r>
  <r>
    <x v="8"/>
    <x v="4"/>
    <x v="99"/>
    <x v="23"/>
    <x v="7"/>
    <x v="0"/>
    <n v="155.9"/>
  </r>
  <r>
    <x v="8"/>
    <x v="4"/>
    <x v="99"/>
    <x v="23"/>
    <x v="7"/>
    <x v="1"/>
    <n v="151.9"/>
  </r>
  <r>
    <x v="8"/>
    <x v="4"/>
    <x v="99"/>
    <x v="23"/>
    <x v="7"/>
    <x v="2"/>
    <n v="147.6"/>
  </r>
  <r>
    <x v="8"/>
    <x v="4"/>
    <x v="99"/>
    <x v="18"/>
    <x v="0"/>
    <x v="0"/>
    <n v="156.1"/>
  </r>
  <r>
    <x v="8"/>
    <x v="4"/>
    <x v="99"/>
    <x v="18"/>
    <x v="0"/>
    <x v="1"/>
    <n v="151.80000000000001"/>
  </r>
  <r>
    <x v="8"/>
    <x v="4"/>
    <x v="99"/>
    <x v="18"/>
    <x v="0"/>
    <x v="2"/>
    <n v="145.9"/>
  </r>
  <r>
    <x v="8"/>
    <x v="4"/>
    <x v="99"/>
    <x v="7"/>
    <x v="0"/>
    <x v="0"/>
    <n v="154.80000000000001"/>
  </r>
  <r>
    <x v="8"/>
    <x v="4"/>
    <x v="99"/>
    <x v="7"/>
    <x v="0"/>
    <x v="1"/>
    <n v="150.9"/>
  </r>
  <r>
    <x v="8"/>
    <x v="4"/>
    <x v="99"/>
    <x v="7"/>
    <x v="0"/>
    <x v="2"/>
    <n v="144.1"/>
  </r>
  <r>
    <x v="8"/>
    <x v="4"/>
    <x v="99"/>
    <x v="22"/>
    <x v="7"/>
    <x v="0"/>
    <n v="184.6"/>
  </r>
  <r>
    <x v="8"/>
    <x v="4"/>
    <x v="99"/>
    <x v="22"/>
    <x v="7"/>
    <x v="1"/>
    <n v="186.5"/>
  </r>
  <r>
    <x v="8"/>
    <x v="4"/>
    <x v="99"/>
    <x v="22"/>
    <x v="7"/>
    <x v="2"/>
    <n v="191.8"/>
  </r>
  <r>
    <x v="8"/>
    <x v="4"/>
    <x v="99"/>
    <x v="24"/>
    <x v="7"/>
    <x v="0"/>
    <n v="156.19999999999999"/>
  </r>
  <r>
    <x v="8"/>
    <x v="4"/>
    <x v="99"/>
    <x v="24"/>
    <x v="7"/>
    <x v="1"/>
    <n v="156.80000000000001"/>
  </r>
  <r>
    <x v="8"/>
    <x v="4"/>
    <x v="99"/>
    <x v="24"/>
    <x v="7"/>
    <x v="2"/>
    <n v="157.69999999999999"/>
  </r>
  <r>
    <x v="8"/>
    <x v="4"/>
    <x v="99"/>
    <x v="20"/>
    <x v="0"/>
    <x v="0"/>
    <n v="164.3"/>
  </r>
  <r>
    <x v="8"/>
    <x v="4"/>
    <x v="99"/>
    <x v="20"/>
    <x v="0"/>
    <x v="1"/>
    <n v="165.6"/>
  </r>
  <r>
    <x v="8"/>
    <x v="4"/>
    <x v="99"/>
    <x v="20"/>
    <x v="0"/>
    <x v="2"/>
    <n v="167.2"/>
  </r>
  <r>
    <x v="8"/>
    <x v="4"/>
    <x v="99"/>
    <x v="12"/>
    <x v="0"/>
    <x v="0"/>
    <n v="159.5"/>
  </r>
  <r>
    <x v="8"/>
    <x v="4"/>
    <x v="99"/>
    <x v="12"/>
    <x v="0"/>
    <x v="1"/>
    <n v="160.4"/>
  </r>
  <r>
    <x v="8"/>
    <x v="4"/>
    <x v="99"/>
    <x v="12"/>
    <x v="0"/>
    <x v="2"/>
    <n v="162.1"/>
  </r>
  <r>
    <x v="8"/>
    <x v="4"/>
    <x v="99"/>
    <x v="26"/>
    <x v="9"/>
    <x v="0"/>
    <n v="155.1"/>
  </r>
  <r>
    <x v="8"/>
    <x v="4"/>
    <x v="99"/>
    <x v="26"/>
    <x v="9"/>
    <x v="1"/>
    <n v="149.6"/>
  </r>
  <r>
    <x v="8"/>
    <x v="4"/>
    <x v="99"/>
    <x v="26"/>
    <x v="9"/>
    <x v="2"/>
    <n v="145.4"/>
  </r>
  <r>
    <x v="8"/>
    <x v="4"/>
    <x v="99"/>
    <x v="16"/>
    <x v="0"/>
    <x v="0"/>
    <n v="164.5"/>
  </r>
  <r>
    <x v="8"/>
    <x v="4"/>
    <x v="99"/>
    <x v="16"/>
    <x v="0"/>
    <x v="1"/>
    <n v="164"/>
  </r>
  <r>
    <x v="8"/>
    <x v="4"/>
    <x v="99"/>
    <x v="16"/>
    <x v="0"/>
    <x v="2"/>
    <n v="163"/>
  </r>
  <r>
    <x v="8"/>
    <x v="4"/>
    <x v="99"/>
    <x v="14"/>
    <x v="0"/>
    <x v="0"/>
    <n v="113.8"/>
  </r>
  <r>
    <x v="8"/>
    <x v="4"/>
    <x v="99"/>
    <x v="14"/>
    <x v="0"/>
    <x v="1"/>
    <n v="114.6"/>
  </r>
  <r>
    <x v="8"/>
    <x v="4"/>
    <x v="99"/>
    <x v="14"/>
    <x v="0"/>
    <x v="2"/>
    <n v="116.3"/>
  </r>
  <r>
    <x v="8"/>
    <x v="4"/>
    <x v="99"/>
    <x v="25"/>
    <x v="8"/>
    <x v="0"/>
    <n v="147.5"/>
  </r>
  <r>
    <x v="8"/>
    <x v="4"/>
    <x v="99"/>
    <x v="25"/>
    <x v="8"/>
    <x v="1"/>
    <n v="141.9"/>
  </r>
  <r>
    <x v="8"/>
    <x v="4"/>
    <x v="99"/>
    <x v="25"/>
    <x v="8"/>
    <x v="2"/>
    <n v="136.9"/>
  </r>
  <r>
    <x v="8"/>
    <x v="4"/>
    <x v="99"/>
    <x v="11"/>
    <x v="0"/>
    <x v="0"/>
    <n v="187.8"/>
  </r>
  <r>
    <x v="8"/>
    <x v="4"/>
    <x v="99"/>
    <x v="11"/>
    <x v="0"/>
    <x v="1"/>
    <n v="194.2"/>
  </r>
  <r>
    <x v="8"/>
    <x v="4"/>
    <x v="99"/>
    <x v="11"/>
    <x v="0"/>
    <x v="2"/>
    <n v="206.8"/>
  </r>
  <r>
    <x v="8"/>
    <x v="5"/>
    <x v="100"/>
    <x v="0"/>
    <x v="0"/>
    <x v="0"/>
    <n v="145.1"/>
  </r>
  <r>
    <x v="8"/>
    <x v="5"/>
    <x v="100"/>
    <x v="0"/>
    <x v="0"/>
    <x v="1"/>
    <n v="146.4"/>
  </r>
  <r>
    <x v="8"/>
    <x v="5"/>
    <x v="100"/>
    <x v="0"/>
    <x v="0"/>
    <x v="2"/>
    <n v="149.1"/>
  </r>
  <r>
    <x v="8"/>
    <x v="5"/>
    <x v="100"/>
    <x v="1"/>
    <x v="1"/>
    <x v="0"/>
    <n v="166"/>
  </r>
  <r>
    <x v="8"/>
    <x v="5"/>
    <x v="100"/>
    <x v="1"/>
    <x v="1"/>
    <x v="1"/>
    <n v="162.80000000000001"/>
  </r>
  <r>
    <x v="8"/>
    <x v="5"/>
    <x v="100"/>
    <x v="1"/>
    <x v="1"/>
    <x v="2"/>
    <n v="157.9"/>
  </r>
  <r>
    <x v="8"/>
    <x v="5"/>
    <x v="100"/>
    <x v="3"/>
    <x v="1"/>
    <x v="0"/>
    <n v="165.3"/>
  </r>
  <r>
    <x v="8"/>
    <x v="5"/>
    <x v="100"/>
    <x v="3"/>
    <x v="1"/>
    <x v="1"/>
    <n v="161.4"/>
  </r>
  <r>
    <x v="8"/>
    <x v="5"/>
    <x v="100"/>
    <x v="3"/>
    <x v="1"/>
    <x v="2"/>
    <n v="155.5"/>
  </r>
  <r>
    <x v="8"/>
    <x v="5"/>
    <x v="100"/>
    <x v="5"/>
    <x v="2"/>
    <x v="0"/>
    <n v="167.2"/>
  </r>
  <r>
    <x v="8"/>
    <x v="5"/>
    <x v="100"/>
    <x v="5"/>
    <x v="2"/>
    <x v="1"/>
    <n v="163.19999999999999"/>
  </r>
  <r>
    <x v="8"/>
    <x v="5"/>
    <x v="100"/>
    <x v="5"/>
    <x v="2"/>
    <x v="2"/>
    <n v="160.30000000000001"/>
  </r>
  <r>
    <x v="8"/>
    <x v="5"/>
    <x v="100"/>
    <x v="4"/>
    <x v="0"/>
    <x v="0"/>
    <n v="180.4"/>
  </r>
  <r>
    <x v="8"/>
    <x v="5"/>
    <x v="100"/>
    <x v="4"/>
    <x v="0"/>
    <x v="1"/>
    <n v="182.2"/>
  </r>
  <r>
    <x v="8"/>
    <x v="5"/>
    <x v="100"/>
    <x v="4"/>
    <x v="0"/>
    <x v="2"/>
    <n v="185"/>
  </r>
  <r>
    <x v="8"/>
    <x v="5"/>
    <x v="100"/>
    <x v="8"/>
    <x v="0"/>
    <x v="0"/>
    <n v="161.69999999999999"/>
  </r>
  <r>
    <x v="8"/>
    <x v="5"/>
    <x v="100"/>
    <x v="8"/>
    <x v="0"/>
    <x v="1"/>
    <n v="164"/>
  </r>
  <r>
    <x v="8"/>
    <x v="5"/>
    <x v="100"/>
    <x v="8"/>
    <x v="0"/>
    <x v="2"/>
    <n v="167.9"/>
  </r>
  <r>
    <x v="8"/>
    <x v="5"/>
    <x v="100"/>
    <x v="10"/>
    <x v="1"/>
    <x v="0"/>
    <n v="161.1"/>
  </r>
  <r>
    <x v="8"/>
    <x v="5"/>
    <x v="100"/>
    <x v="10"/>
    <x v="1"/>
    <x v="1"/>
    <n v="153.1"/>
  </r>
  <r>
    <x v="8"/>
    <x v="5"/>
    <x v="100"/>
    <x v="10"/>
    <x v="1"/>
    <x v="2"/>
    <n v="141.9"/>
  </r>
  <r>
    <x v="8"/>
    <x v="5"/>
    <x v="100"/>
    <x v="9"/>
    <x v="0"/>
    <x v="0"/>
    <n v="157.69999999999999"/>
  </r>
  <r>
    <x v="8"/>
    <x v="5"/>
    <x v="100"/>
    <x v="9"/>
    <x v="0"/>
    <x v="1"/>
    <n v="163.9"/>
  </r>
  <r>
    <x v="8"/>
    <x v="5"/>
    <x v="100"/>
    <x v="9"/>
    <x v="0"/>
    <x v="2"/>
    <n v="170.9"/>
  </r>
  <r>
    <x v="8"/>
    <x v="5"/>
    <x v="100"/>
    <x v="13"/>
    <x v="3"/>
    <x v="0"/>
    <n v="162.5"/>
  </r>
  <r>
    <x v="8"/>
    <x v="5"/>
    <x v="100"/>
    <x v="13"/>
    <x v="3"/>
    <x v="1"/>
    <n v="160.69999999999999"/>
  </r>
  <r>
    <x v="8"/>
    <x v="5"/>
    <x v="100"/>
    <x v="13"/>
    <x v="3"/>
    <x v="2"/>
    <n v="157.69999999999999"/>
  </r>
  <r>
    <x v="8"/>
    <x v="5"/>
    <x v="100"/>
    <x v="15"/>
    <x v="4"/>
    <x v="0"/>
    <n v="163.19999999999999"/>
  </r>
  <r>
    <x v="8"/>
    <x v="5"/>
    <x v="100"/>
    <x v="15"/>
    <x v="4"/>
    <x v="1"/>
    <n v="162.5"/>
  </r>
  <r>
    <x v="8"/>
    <x v="5"/>
    <x v="100"/>
    <x v="15"/>
    <x v="4"/>
    <x v="2"/>
    <n v="161.80000000000001"/>
  </r>
  <r>
    <x v="8"/>
    <x v="5"/>
    <x v="100"/>
    <x v="17"/>
    <x v="5"/>
    <x v="0"/>
    <n v="170.4"/>
  </r>
  <r>
    <x v="8"/>
    <x v="5"/>
    <x v="100"/>
    <x v="17"/>
    <x v="5"/>
    <x v="1"/>
    <n v="167"/>
  </r>
  <r>
    <x v="8"/>
    <x v="5"/>
    <x v="100"/>
    <x v="17"/>
    <x v="5"/>
    <x v="2"/>
    <n v="161.5"/>
  </r>
  <r>
    <x v="8"/>
    <x v="5"/>
    <x v="100"/>
    <x v="19"/>
    <x v="6"/>
    <x v="0"/>
    <n v="160.30000000000001"/>
  </r>
  <r>
    <x v="8"/>
    <x v="5"/>
    <x v="100"/>
    <x v="19"/>
    <x v="6"/>
    <x v="1"/>
    <n v="155.80000000000001"/>
  </r>
  <r>
    <x v="8"/>
    <x v="5"/>
    <x v="100"/>
    <x v="19"/>
    <x v="6"/>
    <x v="2"/>
    <n v="150.69999999999999"/>
  </r>
  <r>
    <x v="8"/>
    <x v="5"/>
    <x v="100"/>
    <x v="21"/>
    <x v="6"/>
    <x v="0"/>
    <n v="0"/>
  </r>
  <r>
    <x v="8"/>
    <x v="5"/>
    <x v="100"/>
    <x v="21"/>
    <x v="6"/>
    <x v="1"/>
    <n v="161.5"/>
  </r>
  <r>
    <x v="8"/>
    <x v="5"/>
    <x v="100"/>
    <x v="21"/>
    <x v="6"/>
    <x v="2"/>
    <n v="161.5"/>
  </r>
  <r>
    <x v="8"/>
    <x v="5"/>
    <x v="100"/>
    <x v="2"/>
    <x v="0"/>
    <x v="0"/>
    <n v="204.5"/>
  </r>
  <r>
    <x v="8"/>
    <x v="5"/>
    <x v="100"/>
    <x v="2"/>
    <x v="0"/>
    <x v="1"/>
    <n v="206.8"/>
  </r>
  <r>
    <x v="8"/>
    <x v="5"/>
    <x v="100"/>
    <x v="2"/>
    <x v="0"/>
    <x v="2"/>
    <n v="210.9"/>
  </r>
  <r>
    <x v="8"/>
    <x v="5"/>
    <x v="100"/>
    <x v="6"/>
    <x v="0"/>
    <x v="0"/>
    <n v="157.1"/>
  </r>
  <r>
    <x v="8"/>
    <x v="5"/>
    <x v="100"/>
    <x v="6"/>
    <x v="0"/>
    <x v="1"/>
    <n v="157.5"/>
  </r>
  <r>
    <x v="8"/>
    <x v="5"/>
    <x v="100"/>
    <x v="6"/>
    <x v="0"/>
    <x v="2"/>
    <n v="158.19999999999999"/>
  </r>
  <r>
    <x v="8"/>
    <x v="5"/>
    <x v="100"/>
    <x v="23"/>
    <x v="7"/>
    <x v="0"/>
    <n v="162.80000000000001"/>
  </r>
  <r>
    <x v="8"/>
    <x v="5"/>
    <x v="100"/>
    <x v="23"/>
    <x v="7"/>
    <x v="1"/>
    <n v="159"/>
  </r>
  <r>
    <x v="8"/>
    <x v="5"/>
    <x v="100"/>
    <x v="23"/>
    <x v="7"/>
    <x v="2"/>
    <n v="155"/>
  </r>
  <r>
    <x v="8"/>
    <x v="5"/>
    <x v="100"/>
    <x v="18"/>
    <x v="0"/>
    <x v="0"/>
    <n v="166.2"/>
  </r>
  <r>
    <x v="8"/>
    <x v="5"/>
    <x v="100"/>
    <x v="18"/>
    <x v="0"/>
    <x v="1"/>
    <n v="160.9"/>
  </r>
  <r>
    <x v="8"/>
    <x v="5"/>
    <x v="100"/>
    <x v="18"/>
    <x v="0"/>
    <x v="2"/>
    <n v="153.4"/>
  </r>
  <r>
    <x v="8"/>
    <x v="5"/>
    <x v="100"/>
    <x v="7"/>
    <x v="0"/>
    <x v="0"/>
    <n v="188.7"/>
  </r>
  <r>
    <x v="8"/>
    <x v="5"/>
    <x v="100"/>
    <x v="7"/>
    <x v="0"/>
    <x v="1"/>
    <n v="182.1"/>
  </r>
  <r>
    <x v="8"/>
    <x v="5"/>
    <x v="100"/>
    <x v="7"/>
    <x v="0"/>
    <x v="2"/>
    <n v="170.6"/>
  </r>
  <r>
    <x v="8"/>
    <x v="5"/>
    <x v="100"/>
    <x v="22"/>
    <x v="7"/>
    <x v="0"/>
    <n v="189.7"/>
  </r>
  <r>
    <x v="8"/>
    <x v="5"/>
    <x v="100"/>
    <x v="22"/>
    <x v="7"/>
    <x v="1"/>
    <n v="191.2"/>
  </r>
  <r>
    <x v="8"/>
    <x v="5"/>
    <x v="100"/>
    <x v="22"/>
    <x v="7"/>
    <x v="2"/>
    <n v="195.5"/>
  </r>
  <r>
    <x v="8"/>
    <x v="5"/>
    <x v="100"/>
    <x v="24"/>
    <x v="7"/>
    <x v="0"/>
    <n v="160.4"/>
  </r>
  <r>
    <x v="8"/>
    <x v="5"/>
    <x v="100"/>
    <x v="24"/>
    <x v="7"/>
    <x v="1"/>
    <n v="160.1"/>
  </r>
  <r>
    <x v="8"/>
    <x v="5"/>
    <x v="100"/>
    <x v="24"/>
    <x v="7"/>
    <x v="2"/>
    <n v="159.6"/>
  </r>
  <r>
    <x v="8"/>
    <x v="5"/>
    <x v="100"/>
    <x v="20"/>
    <x v="0"/>
    <x v="0"/>
    <n v="171"/>
  </r>
  <r>
    <x v="8"/>
    <x v="5"/>
    <x v="100"/>
    <x v="20"/>
    <x v="0"/>
    <x v="1"/>
    <n v="172.2"/>
  </r>
  <r>
    <x v="8"/>
    <x v="5"/>
    <x v="100"/>
    <x v="20"/>
    <x v="0"/>
    <x v="2"/>
    <n v="173.5"/>
  </r>
  <r>
    <x v="8"/>
    <x v="5"/>
    <x v="100"/>
    <x v="12"/>
    <x v="0"/>
    <x v="0"/>
    <n v="163.6"/>
  </r>
  <r>
    <x v="8"/>
    <x v="5"/>
    <x v="100"/>
    <x v="12"/>
    <x v="0"/>
    <x v="1"/>
    <n v="164"/>
  </r>
  <r>
    <x v="8"/>
    <x v="5"/>
    <x v="100"/>
    <x v="12"/>
    <x v="0"/>
    <x v="2"/>
    <n v="164.7"/>
  </r>
  <r>
    <x v="8"/>
    <x v="5"/>
    <x v="100"/>
    <x v="26"/>
    <x v="9"/>
    <x v="0"/>
    <n v="160.69999999999999"/>
  </r>
  <r>
    <x v="8"/>
    <x v="5"/>
    <x v="100"/>
    <x v="26"/>
    <x v="9"/>
    <x v="1"/>
    <n v="155.30000000000001"/>
  </r>
  <r>
    <x v="8"/>
    <x v="5"/>
    <x v="100"/>
    <x v="26"/>
    <x v="9"/>
    <x v="2"/>
    <n v="151.19999999999999"/>
  </r>
  <r>
    <x v="8"/>
    <x v="5"/>
    <x v="100"/>
    <x v="16"/>
    <x v="0"/>
    <x v="0"/>
    <n v="169.7"/>
  </r>
  <r>
    <x v="8"/>
    <x v="5"/>
    <x v="100"/>
    <x v="16"/>
    <x v="0"/>
    <x v="1"/>
    <n v="168.3"/>
  </r>
  <r>
    <x v="8"/>
    <x v="5"/>
    <x v="100"/>
    <x v="16"/>
    <x v="0"/>
    <x v="2"/>
    <n v="165.5"/>
  </r>
  <r>
    <x v="8"/>
    <x v="5"/>
    <x v="100"/>
    <x v="14"/>
    <x v="0"/>
    <x v="0"/>
    <n v="113.9"/>
  </r>
  <r>
    <x v="8"/>
    <x v="5"/>
    <x v="100"/>
    <x v="14"/>
    <x v="0"/>
    <x v="1"/>
    <n v="114.5"/>
  </r>
  <r>
    <x v="8"/>
    <x v="5"/>
    <x v="100"/>
    <x v="14"/>
    <x v="0"/>
    <x v="2"/>
    <n v="115.7"/>
  </r>
  <r>
    <x v="8"/>
    <x v="5"/>
    <x v="100"/>
    <x v="25"/>
    <x v="8"/>
    <x v="0"/>
    <n v="157.1"/>
  </r>
  <r>
    <x v="8"/>
    <x v="5"/>
    <x v="100"/>
    <x v="25"/>
    <x v="8"/>
    <x v="1"/>
    <n v="153.1"/>
  </r>
  <r>
    <x v="8"/>
    <x v="5"/>
    <x v="100"/>
    <x v="25"/>
    <x v="8"/>
    <x v="2"/>
    <n v="149.5"/>
  </r>
  <r>
    <x v="8"/>
    <x v="5"/>
    <x v="100"/>
    <x v="11"/>
    <x v="0"/>
    <x v="0"/>
    <n v="152.80000000000001"/>
  </r>
  <r>
    <x v="8"/>
    <x v="5"/>
    <x v="100"/>
    <x v="11"/>
    <x v="0"/>
    <x v="1"/>
    <n v="164.2"/>
  </r>
  <r>
    <x v="8"/>
    <x v="5"/>
    <x v="100"/>
    <x v="11"/>
    <x v="0"/>
    <x v="2"/>
    <n v="186.4"/>
  </r>
  <r>
    <x v="8"/>
    <x v="6"/>
    <x v="101"/>
    <x v="0"/>
    <x v="0"/>
    <x v="0"/>
    <n v="145.6"/>
  </r>
  <r>
    <x v="8"/>
    <x v="6"/>
    <x v="101"/>
    <x v="0"/>
    <x v="0"/>
    <x v="1"/>
    <n v="146.69999999999999"/>
  </r>
  <r>
    <x v="8"/>
    <x v="6"/>
    <x v="101"/>
    <x v="0"/>
    <x v="0"/>
    <x v="2"/>
    <n v="149.19999999999999"/>
  </r>
  <r>
    <x v="8"/>
    <x v="6"/>
    <x v="101"/>
    <x v="1"/>
    <x v="1"/>
    <x v="0"/>
    <n v="165.3"/>
  </r>
  <r>
    <x v="8"/>
    <x v="6"/>
    <x v="101"/>
    <x v="1"/>
    <x v="1"/>
    <x v="1"/>
    <n v="162.19999999999999"/>
  </r>
  <r>
    <x v="8"/>
    <x v="6"/>
    <x v="101"/>
    <x v="1"/>
    <x v="1"/>
    <x v="2"/>
    <n v="157.30000000000001"/>
  </r>
  <r>
    <x v="8"/>
    <x v="6"/>
    <x v="101"/>
    <x v="3"/>
    <x v="1"/>
    <x v="0"/>
    <n v="164.6"/>
  </r>
  <r>
    <x v="8"/>
    <x v="6"/>
    <x v="101"/>
    <x v="3"/>
    <x v="1"/>
    <x v="1"/>
    <n v="160.69999999999999"/>
  </r>
  <r>
    <x v="8"/>
    <x v="6"/>
    <x v="101"/>
    <x v="3"/>
    <x v="1"/>
    <x v="2"/>
    <n v="154.80000000000001"/>
  </r>
  <r>
    <x v="8"/>
    <x v="6"/>
    <x v="101"/>
    <x v="5"/>
    <x v="2"/>
    <x v="0"/>
    <n v="166.8"/>
  </r>
  <r>
    <x v="8"/>
    <x v="6"/>
    <x v="101"/>
    <x v="5"/>
    <x v="2"/>
    <x v="1"/>
    <n v="161.69999999999999"/>
  </r>
  <r>
    <x v="8"/>
    <x v="6"/>
    <x v="101"/>
    <x v="5"/>
    <x v="2"/>
    <x v="2"/>
    <n v="158.1"/>
  </r>
  <r>
    <x v="8"/>
    <x v="6"/>
    <x v="101"/>
    <x v="4"/>
    <x v="0"/>
    <x v="0"/>
    <n v="179.3"/>
  </r>
  <r>
    <x v="8"/>
    <x v="6"/>
    <x v="101"/>
    <x v="4"/>
    <x v="0"/>
    <x v="1"/>
    <n v="180.7"/>
  </r>
  <r>
    <x v="8"/>
    <x v="6"/>
    <x v="101"/>
    <x v="4"/>
    <x v="0"/>
    <x v="2"/>
    <n v="182.8"/>
  </r>
  <r>
    <x v="8"/>
    <x v="6"/>
    <x v="101"/>
    <x v="8"/>
    <x v="0"/>
    <x v="0"/>
    <n v="160.5"/>
  </r>
  <r>
    <x v="8"/>
    <x v="6"/>
    <x v="101"/>
    <x v="8"/>
    <x v="0"/>
    <x v="1"/>
    <n v="162.6"/>
  </r>
  <r>
    <x v="8"/>
    <x v="6"/>
    <x v="101"/>
    <x v="8"/>
    <x v="0"/>
    <x v="2"/>
    <n v="166.2"/>
  </r>
  <r>
    <x v="8"/>
    <x v="6"/>
    <x v="101"/>
    <x v="10"/>
    <x v="1"/>
    <x v="0"/>
    <n v="159.9"/>
  </r>
  <r>
    <x v="8"/>
    <x v="6"/>
    <x v="101"/>
    <x v="10"/>
    <x v="1"/>
    <x v="1"/>
    <n v="151.80000000000001"/>
  </r>
  <r>
    <x v="8"/>
    <x v="6"/>
    <x v="101"/>
    <x v="10"/>
    <x v="1"/>
    <x v="2"/>
    <n v="140.5"/>
  </r>
  <r>
    <x v="8"/>
    <x v="6"/>
    <x v="101"/>
    <x v="9"/>
    <x v="0"/>
    <x v="0"/>
    <n v="158.6"/>
  </r>
  <r>
    <x v="8"/>
    <x v="6"/>
    <x v="101"/>
    <x v="9"/>
    <x v="0"/>
    <x v="1"/>
    <n v="164.6"/>
  </r>
  <r>
    <x v="8"/>
    <x v="6"/>
    <x v="101"/>
    <x v="9"/>
    <x v="0"/>
    <x v="2"/>
    <n v="171.5"/>
  </r>
  <r>
    <x v="8"/>
    <x v="6"/>
    <x v="101"/>
    <x v="13"/>
    <x v="3"/>
    <x v="0"/>
    <n v="162.1"/>
  </r>
  <r>
    <x v="8"/>
    <x v="6"/>
    <x v="101"/>
    <x v="13"/>
    <x v="3"/>
    <x v="1"/>
    <n v="159.80000000000001"/>
  </r>
  <r>
    <x v="8"/>
    <x v="6"/>
    <x v="101"/>
    <x v="13"/>
    <x v="3"/>
    <x v="2"/>
    <n v="156.1"/>
  </r>
  <r>
    <x v="8"/>
    <x v="6"/>
    <x v="101"/>
    <x v="15"/>
    <x v="4"/>
    <x v="0"/>
    <n v="162.1"/>
  </r>
  <r>
    <x v="8"/>
    <x v="6"/>
    <x v="101"/>
    <x v="15"/>
    <x v="4"/>
    <x v="1"/>
    <n v="161.30000000000001"/>
  </r>
  <r>
    <x v="8"/>
    <x v="6"/>
    <x v="101"/>
    <x v="15"/>
    <x v="4"/>
    <x v="2"/>
    <n v="160.4"/>
  </r>
  <r>
    <x v="8"/>
    <x v="6"/>
    <x v="101"/>
    <x v="17"/>
    <x v="5"/>
    <x v="0"/>
    <n v="169.7"/>
  </r>
  <r>
    <x v="8"/>
    <x v="6"/>
    <x v="101"/>
    <x v="17"/>
    <x v="5"/>
    <x v="1"/>
    <n v="166.3"/>
  </r>
  <r>
    <x v="8"/>
    <x v="6"/>
    <x v="101"/>
    <x v="17"/>
    <x v="5"/>
    <x v="2"/>
    <n v="160.80000000000001"/>
  </r>
  <r>
    <x v="8"/>
    <x v="6"/>
    <x v="101"/>
    <x v="19"/>
    <x v="6"/>
    <x v="0"/>
    <n v="159.19999999999999"/>
  </r>
  <r>
    <x v="8"/>
    <x v="6"/>
    <x v="101"/>
    <x v="19"/>
    <x v="6"/>
    <x v="1"/>
    <n v="154.80000000000001"/>
  </r>
  <r>
    <x v="8"/>
    <x v="6"/>
    <x v="101"/>
    <x v="19"/>
    <x v="6"/>
    <x v="2"/>
    <n v="149.80000000000001"/>
  </r>
  <r>
    <x v="8"/>
    <x v="6"/>
    <x v="101"/>
    <x v="21"/>
    <x v="6"/>
    <x v="0"/>
    <n v="0"/>
  </r>
  <r>
    <x v="8"/>
    <x v="6"/>
    <x v="101"/>
    <x v="21"/>
    <x v="6"/>
    <x v="1"/>
    <n v="160.5"/>
  </r>
  <r>
    <x v="8"/>
    <x v="6"/>
    <x v="101"/>
    <x v="21"/>
    <x v="6"/>
    <x v="2"/>
    <n v="160.5"/>
  </r>
  <r>
    <x v="8"/>
    <x v="6"/>
    <x v="101"/>
    <x v="2"/>
    <x v="0"/>
    <x v="0"/>
    <n v="200.1"/>
  </r>
  <r>
    <x v="8"/>
    <x v="6"/>
    <x v="101"/>
    <x v="2"/>
    <x v="0"/>
    <x v="1"/>
    <n v="202"/>
  </r>
  <r>
    <x v="8"/>
    <x v="6"/>
    <x v="101"/>
    <x v="2"/>
    <x v="0"/>
    <x v="2"/>
    <n v="205.5"/>
  </r>
  <r>
    <x v="8"/>
    <x v="6"/>
    <x v="101"/>
    <x v="6"/>
    <x v="0"/>
    <x v="0"/>
    <n v="156.1"/>
  </r>
  <r>
    <x v="8"/>
    <x v="6"/>
    <x v="101"/>
    <x v="6"/>
    <x v="0"/>
    <x v="1"/>
    <n v="156.19999999999999"/>
  </r>
  <r>
    <x v="8"/>
    <x v="6"/>
    <x v="101"/>
    <x v="6"/>
    <x v="0"/>
    <x v="2"/>
    <n v="156.5"/>
  </r>
  <r>
    <x v="8"/>
    <x v="6"/>
    <x v="101"/>
    <x v="23"/>
    <x v="7"/>
    <x v="0"/>
    <n v="161.5"/>
  </r>
  <r>
    <x v="8"/>
    <x v="6"/>
    <x v="101"/>
    <x v="23"/>
    <x v="7"/>
    <x v="1"/>
    <n v="157.6"/>
  </r>
  <r>
    <x v="8"/>
    <x v="6"/>
    <x v="101"/>
    <x v="23"/>
    <x v="7"/>
    <x v="2"/>
    <n v="153.4"/>
  </r>
  <r>
    <x v="8"/>
    <x v="6"/>
    <x v="101"/>
    <x v="18"/>
    <x v="0"/>
    <x v="0"/>
    <n v="165.5"/>
  </r>
  <r>
    <x v="8"/>
    <x v="6"/>
    <x v="101"/>
    <x v="18"/>
    <x v="0"/>
    <x v="1"/>
    <n v="160"/>
  </r>
  <r>
    <x v="8"/>
    <x v="6"/>
    <x v="101"/>
    <x v="18"/>
    <x v="0"/>
    <x v="2"/>
    <n v="152.30000000000001"/>
  </r>
  <r>
    <x v="8"/>
    <x v="6"/>
    <x v="101"/>
    <x v="7"/>
    <x v="0"/>
    <x v="0"/>
    <n v="190.4"/>
  </r>
  <r>
    <x v="8"/>
    <x v="6"/>
    <x v="101"/>
    <x v="7"/>
    <x v="0"/>
    <x v="1"/>
    <n v="183.7"/>
  </r>
  <r>
    <x v="8"/>
    <x v="6"/>
    <x v="101"/>
    <x v="7"/>
    <x v="0"/>
    <x v="2"/>
    <n v="172.2"/>
  </r>
  <r>
    <x v="8"/>
    <x v="6"/>
    <x v="101"/>
    <x v="22"/>
    <x v="7"/>
    <x v="0"/>
    <n v="189.1"/>
  </r>
  <r>
    <x v="8"/>
    <x v="6"/>
    <x v="101"/>
    <x v="22"/>
    <x v="7"/>
    <x v="1"/>
    <n v="190.8"/>
  </r>
  <r>
    <x v="8"/>
    <x v="6"/>
    <x v="101"/>
    <x v="22"/>
    <x v="7"/>
    <x v="2"/>
    <n v="195.6"/>
  </r>
  <r>
    <x v="8"/>
    <x v="6"/>
    <x v="101"/>
    <x v="24"/>
    <x v="7"/>
    <x v="0"/>
    <n v="159.4"/>
  </r>
  <r>
    <x v="8"/>
    <x v="6"/>
    <x v="101"/>
    <x v="24"/>
    <x v="7"/>
    <x v="1"/>
    <n v="158.80000000000001"/>
  </r>
  <r>
    <x v="8"/>
    <x v="6"/>
    <x v="101"/>
    <x v="24"/>
    <x v="7"/>
    <x v="2"/>
    <n v="158"/>
  </r>
  <r>
    <x v="8"/>
    <x v="6"/>
    <x v="101"/>
    <x v="20"/>
    <x v="0"/>
    <x v="0"/>
    <n v="171.7"/>
  </r>
  <r>
    <x v="8"/>
    <x v="6"/>
    <x v="101"/>
    <x v="20"/>
    <x v="0"/>
    <x v="1"/>
    <n v="172.4"/>
  </r>
  <r>
    <x v="8"/>
    <x v="6"/>
    <x v="101"/>
    <x v="20"/>
    <x v="0"/>
    <x v="2"/>
    <n v="173.3"/>
  </r>
  <r>
    <x v="8"/>
    <x v="6"/>
    <x v="101"/>
    <x v="12"/>
    <x v="0"/>
    <x v="0"/>
    <n v="165.5"/>
  </r>
  <r>
    <x v="8"/>
    <x v="6"/>
    <x v="101"/>
    <x v="12"/>
    <x v="0"/>
    <x v="1"/>
    <n v="166"/>
  </r>
  <r>
    <x v="8"/>
    <x v="6"/>
    <x v="101"/>
    <x v="12"/>
    <x v="0"/>
    <x v="2"/>
    <n v="166.9"/>
  </r>
  <r>
    <x v="8"/>
    <x v="6"/>
    <x v="101"/>
    <x v="26"/>
    <x v="9"/>
    <x v="0"/>
    <n v="160.4"/>
  </r>
  <r>
    <x v="8"/>
    <x v="6"/>
    <x v="101"/>
    <x v="26"/>
    <x v="9"/>
    <x v="1"/>
    <n v="154.9"/>
  </r>
  <r>
    <x v="8"/>
    <x v="6"/>
    <x v="101"/>
    <x v="26"/>
    <x v="9"/>
    <x v="2"/>
    <n v="150.69999999999999"/>
  </r>
  <r>
    <x v="8"/>
    <x v="6"/>
    <x v="101"/>
    <x v="16"/>
    <x v="0"/>
    <x v="0"/>
    <n v="170"/>
  </r>
  <r>
    <x v="8"/>
    <x v="6"/>
    <x v="101"/>
    <x v="16"/>
    <x v="0"/>
    <x v="1"/>
    <n v="168.5"/>
  </r>
  <r>
    <x v="8"/>
    <x v="6"/>
    <x v="101"/>
    <x v="16"/>
    <x v="0"/>
    <x v="2"/>
    <n v="165.5"/>
  </r>
  <r>
    <x v="8"/>
    <x v="6"/>
    <x v="101"/>
    <x v="14"/>
    <x v="0"/>
    <x v="0"/>
    <n v="114.6"/>
  </r>
  <r>
    <x v="8"/>
    <x v="6"/>
    <x v="101"/>
    <x v="14"/>
    <x v="0"/>
    <x v="1"/>
    <n v="115.1"/>
  </r>
  <r>
    <x v="8"/>
    <x v="6"/>
    <x v="101"/>
    <x v="14"/>
    <x v="0"/>
    <x v="2"/>
    <n v="116.1"/>
  </r>
  <r>
    <x v="8"/>
    <x v="6"/>
    <x v="101"/>
    <x v="25"/>
    <x v="8"/>
    <x v="0"/>
    <n v="154.19999999999999"/>
  </r>
  <r>
    <x v="8"/>
    <x v="6"/>
    <x v="101"/>
    <x v="25"/>
    <x v="8"/>
    <x v="1"/>
    <n v="150.69999999999999"/>
  </r>
  <r>
    <x v="8"/>
    <x v="6"/>
    <x v="101"/>
    <x v="25"/>
    <x v="8"/>
    <x v="2"/>
    <n v="147.5"/>
  </r>
  <r>
    <x v="8"/>
    <x v="6"/>
    <x v="101"/>
    <x v="11"/>
    <x v="0"/>
    <x v="0"/>
    <n v="144.69999999999999"/>
  </r>
  <r>
    <x v="8"/>
    <x v="6"/>
    <x v="101"/>
    <x v="11"/>
    <x v="0"/>
    <x v="1"/>
    <n v="155.4"/>
  </r>
  <r>
    <x v="8"/>
    <x v="6"/>
    <x v="101"/>
    <x v="11"/>
    <x v="0"/>
    <x v="2"/>
    <n v="176.2"/>
  </r>
  <r>
    <x v="8"/>
    <x v="7"/>
    <x v="102"/>
    <x v="0"/>
    <x v="0"/>
    <x v="0"/>
    <n v="142.5"/>
  </r>
  <r>
    <x v="8"/>
    <x v="7"/>
    <x v="102"/>
    <x v="0"/>
    <x v="0"/>
    <x v="1"/>
    <n v="144.1"/>
  </r>
  <r>
    <x v="8"/>
    <x v="7"/>
    <x v="102"/>
    <x v="0"/>
    <x v="0"/>
    <x v="2"/>
    <n v="147.5"/>
  </r>
  <r>
    <x v="8"/>
    <x v="7"/>
    <x v="102"/>
    <x v="1"/>
    <x v="1"/>
    <x v="0"/>
    <n v="159.6"/>
  </r>
  <r>
    <x v="8"/>
    <x v="7"/>
    <x v="102"/>
    <x v="1"/>
    <x v="1"/>
    <x v="1"/>
    <n v="157.80000000000001"/>
  </r>
  <r>
    <x v="8"/>
    <x v="7"/>
    <x v="102"/>
    <x v="1"/>
    <x v="1"/>
    <x v="2"/>
    <n v="155.1"/>
  </r>
  <r>
    <x v="8"/>
    <x v="7"/>
    <x v="102"/>
    <x v="3"/>
    <x v="1"/>
    <x v="0"/>
    <n v="158.9"/>
  </r>
  <r>
    <x v="8"/>
    <x v="7"/>
    <x v="102"/>
    <x v="3"/>
    <x v="1"/>
    <x v="1"/>
    <n v="156.4"/>
  </r>
  <r>
    <x v="8"/>
    <x v="7"/>
    <x v="102"/>
    <x v="3"/>
    <x v="1"/>
    <x v="2"/>
    <n v="152.6"/>
  </r>
  <r>
    <x v="8"/>
    <x v="7"/>
    <x v="102"/>
    <x v="5"/>
    <x v="2"/>
    <x v="0"/>
    <n v="163.80000000000001"/>
  </r>
  <r>
    <x v="8"/>
    <x v="7"/>
    <x v="102"/>
    <x v="5"/>
    <x v="2"/>
    <x v="1"/>
    <n v="160.19999999999999"/>
  </r>
  <r>
    <x v="8"/>
    <x v="7"/>
    <x v="102"/>
    <x v="5"/>
    <x v="2"/>
    <x v="2"/>
    <n v="157.6"/>
  </r>
  <r>
    <x v="8"/>
    <x v="7"/>
    <x v="102"/>
    <x v="4"/>
    <x v="0"/>
    <x v="0"/>
    <n v="163.19999999999999"/>
  </r>
  <r>
    <x v="8"/>
    <x v="7"/>
    <x v="102"/>
    <x v="4"/>
    <x v="0"/>
    <x v="1"/>
    <n v="163.80000000000001"/>
  </r>
  <r>
    <x v="8"/>
    <x v="7"/>
    <x v="102"/>
    <x v="4"/>
    <x v="0"/>
    <x v="2"/>
    <n v="164.7"/>
  </r>
  <r>
    <x v="8"/>
    <x v="7"/>
    <x v="102"/>
    <x v="8"/>
    <x v="0"/>
    <x v="0"/>
    <n v="154.5"/>
  </r>
  <r>
    <x v="8"/>
    <x v="7"/>
    <x v="102"/>
    <x v="8"/>
    <x v="0"/>
    <x v="1"/>
    <n v="156.69999999999999"/>
  </r>
  <r>
    <x v="8"/>
    <x v="7"/>
    <x v="102"/>
    <x v="8"/>
    <x v="0"/>
    <x v="2"/>
    <n v="160.4"/>
  </r>
  <r>
    <x v="8"/>
    <x v="7"/>
    <x v="102"/>
    <x v="10"/>
    <x v="1"/>
    <x v="0"/>
    <n v="154.4"/>
  </r>
  <r>
    <x v="8"/>
    <x v="7"/>
    <x v="102"/>
    <x v="10"/>
    <x v="1"/>
    <x v="1"/>
    <n v="147.9"/>
  </r>
  <r>
    <x v="8"/>
    <x v="7"/>
    <x v="102"/>
    <x v="10"/>
    <x v="1"/>
    <x v="2"/>
    <n v="138.69999999999999"/>
  </r>
  <r>
    <x v="8"/>
    <x v="7"/>
    <x v="102"/>
    <x v="9"/>
    <x v="0"/>
    <x v="0"/>
    <n v="150.5"/>
  </r>
  <r>
    <x v="8"/>
    <x v="7"/>
    <x v="102"/>
    <x v="9"/>
    <x v="0"/>
    <x v="1"/>
    <n v="153.69999999999999"/>
  </r>
  <r>
    <x v="8"/>
    <x v="7"/>
    <x v="102"/>
    <x v="9"/>
    <x v="0"/>
    <x v="2"/>
    <n v="157.30000000000001"/>
  </r>
  <r>
    <x v="8"/>
    <x v="7"/>
    <x v="102"/>
    <x v="13"/>
    <x v="3"/>
    <x v="0"/>
    <n v="156"/>
  </r>
  <r>
    <x v="8"/>
    <x v="7"/>
    <x v="102"/>
    <x v="13"/>
    <x v="3"/>
    <x v="1"/>
    <n v="155.5"/>
  </r>
  <r>
    <x v="8"/>
    <x v="7"/>
    <x v="102"/>
    <x v="13"/>
    <x v="3"/>
    <x v="2"/>
    <n v="154.80000000000001"/>
  </r>
  <r>
    <x v="8"/>
    <x v="7"/>
    <x v="102"/>
    <x v="15"/>
    <x v="4"/>
    <x v="0"/>
    <n v="156.69999999999999"/>
  </r>
  <r>
    <x v="8"/>
    <x v="7"/>
    <x v="102"/>
    <x v="15"/>
    <x v="4"/>
    <x v="1"/>
    <n v="156.80000000000001"/>
  </r>
  <r>
    <x v="8"/>
    <x v="7"/>
    <x v="102"/>
    <x v="15"/>
    <x v="4"/>
    <x v="2"/>
    <n v="156.9"/>
  </r>
  <r>
    <x v="8"/>
    <x v="7"/>
    <x v="102"/>
    <x v="17"/>
    <x v="5"/>
    <x v="0"/>
    <n v="164.6"/>
  </r>
  <r>
    <x v="8"/>
    <x v="7"/>
    <x v="102"/>
    <x v="17"/>
    <x v="5"/>
    <x v="1"/>
    <n v="161.69999999999999"/>
  </r>
  <r>
    <x v="8"/>
    <x v="7"/>
    <x v="102"/>
    <x v="17"/>
    <x v="5"/>
    <x v="2"/>
    <n v="156.9"/>
  </r>
  <r>
    <x v="8"/>
    <x v="7"/>
    <x v="102"/>
    <x v="19"/>
    <x v="6"/>
    <x v="0"/>
    <n v="154.80000000000001"/>
  </r>
  <r>
    <x v="8"/>
    <x v="7"/>
    <x v="102"/>
    <x v="19"/>
    <x v="6"/>
    <x v="1"/>
    <n v="151.19999999999999"/>
  </r>
  <r>
    <x v="8"/>
    <x v="7"/>
    <x v="102"/>
    <x v="19"/>
    <x v="6"/>
    <x v="2"/>
    <n v="147.19999999999999"/>
  </r>
  <r>
    <x v="8"/>
    <x v="7"/>
    <x v="102"/>
    <x v="21"/>
    <x v="6"/>
    <x v="0"/>
    <n v="0"/>
  </r>
  <r>
    <x v="8"/>
    <x v="7"/>
    <x v="102"/>
    <x v="21"/>
    <x v="6"/>
    <x v="1"/>
    <n v="159.9"/>
  </r>
  <r>
    <x v="8"/>
    <x v="7"/>
    <x v="102"/>
    <x v="21"/>
    <x v="6"/>
    <x v="2"/>
    <n v="159.9"/>
  </r>
  <r>
    <x v="8"/>
    <x v="7"/>
    <x v="102"/>
    <x v="2"/>
    <x v="0"/>
    <x v="0"/>
    <n v="189.4"/>
  </r>
  <r>
    <x v="8"/>
    <x v="7"/>
    <x v="102"/>
    <x v="2"/>
    <x v="0"/>
    <x v="1"/>
    <n v="192.2"/>
  </r>
  <r>
    <x v="8"/>
    <x v="7"/>
    <x v="102"/>
    <x v="2"/>
    <x v="0"/>
    <x v="2"/>
    <n v="197.5"/>
  </r>
  <r>
    <x v="8"/>
    <x v="7"/>
    <x v="102"/>
    <x v="6"/>
    <x v="0"/>
    <x v="0"/>
    <n v="154.5"/>
  </r>
  <r>
    <x v="8"/>
    <x v="7"/>
    <x v="102"/>
    <x v="6"/>
    <x v="0"/>
    <x v="1"/>
    <n v="154.9"/>
  </r>
  <r>
    <x v="8"/>
    <x v="7"/>
    <x v="102"/>
    <x v="6"/>
    <x v="0"/>
    <x v="2"/>
    <n v="155.6"/>
  </r>
  <r>
    <x v="8"/>
    <x v="7"/>
    <x v="102"/>
    <x v="23"/>
    <x v="7"/>
    <x v="0"/>
    <n v="157.30000000000001"/>
  </r>
  <r>
    <x v="8"/>
    <x v="7"/>
    <x v="102"/>
    <x v="23"/>
    <x v="7"/>
    <x v="1"/>
    <n v="153.80000000000001"/>
  </r>
  <r>
    <x v="8"/>
    <x v="7"/>
    <x v="102"/>
    <x v="23"/>
    <x v="7"/>
    <x v="2"/>
    <n v="150"/>
  </r>
  <r>
    <x v="8"/>
    <x v="7"/>
    <x v="102"/>
    <x v="18"/>
    <x v="0"/>
    <x v="0"/>
    <n v="160.6"/>
  </r>
  <r>
    <x v="8"/>
    <x v="7"/>
    <x v="102"/>
    <x v="18"/>
    <x v="0"/>
    <x v="1"/>
    <n v="156.5"/>
  </r>
  <r>
    <x v="8"/>
    <x v="7"/>
    <x v="102"/>
    <x v="18"/>
    <x v="0"/>
    <x v="2"/>
    <n v="150.69999999999999"/>
  </r>
  <r>
    <x v="8"/>
    <x v="7"/>
    <x v="102"/>
    <x v="7"/>
    <x v="0"/>
    <x v="0"/>
    <n v="168.2"/>
  </r>
  <r>
    <x v="8"/>
    <x v="7"/>
    <x v="102"/>
    <x v="7"/>
    <x v="0"/>
    <x v="1"/>
    <n v="163.9"/>
  </r>
  <r>
    <x v="8"/>
    <x v="7"/>
    <x v="102"/>
    <x v="7"/>
    <x v="0"/>
    <x v="2"/>
    <n v="156.4"/>
  </r>
  <r>
    <x v="8"/>
    <x v="7"/>
    <x v="102"/>
    <x v="22"/>
    <x v="7"/>
    <x v="0"/>
    <n v="186.1"/>
  </r>
  <r>
    <x v="8"/>
    <x v="7"/>
    <x v="102"/>
    <x v="22"/>
    <x v="7"/>
    <x v="1"/>
    <n v="188.1"/>
  </r>
  <r>
    <x v="8"/>
    <x v="7"/>
    <x v="102"/>
    <x v="22"/>
    <x v="7"/>
    <x v="2"/>
    <n v="193.5"/>
  </r>
  <r>
    <x v="8"/>
    <x v="7"/>
    <x v="102"/>
    <x v="24"/>
    <x v="7"/>
    <x v="0"/>
    <n v="153.1"/>
  </r>
  <r>
    <x v="8"/>
    <x v="7"/>
    <x v="102"/>
    <x v="24"/>
    <x v="7"/>
    <x v="1"/>
    <n v="153.80000000000001"/>
  </r>
  <r>
    <x v="8"/>
    <x v="7"/>
    <x v="102"/>
    <x v="24"/>
    <x v="7"/>
    <x v="2"/>
    <n v="154.9"/>
  </r>
  <r>
    <x v="8"/>
    <x v="7"/>
    <x v="102"/>
    <x v="20"/>
    <x v="0"/>
    <x v="0"/>
    <n v="166.4"/>
  </r>
  <r>
    <x v="8"/>
    <x v="7"/>
    <x v="102"/>
    <x v="20"/>
    <x v="0"/>
    <x v="1"/>
    <n v="168.2"/>
  </r>
  <r>
    <x v="8"/>
    <x v="7"/>
    <x v="102"/>
    <x v="20"/>
    <x v="0"/>
    <x v="2"/>
    <n v="170.3"/>
  </r>
  <r>
    <x v="8"/>
    <x v="7"/>
    <x v="102"/>
    <x v="12"/>
    <x v="0"/>
    <x v="0"/>
    <n v="159.19999999999999"/>
  </r>
  <r>
    <x v="8"/>
    <x v="7"/>
    <x v="102"/>
    <x v="12"/>
    <x v="0"/>
    <x v="1"/>
    <n v="159.80000000000001"/>
  </r>
  <r>
    <x v="8"/>
    <x v="7"/>
    <x v="102"/>
    <x v="12"/>
    <x v="0"/>
    <x v="2"/>
    <n v="161.1"/>
  </r>
  <r>
    <x v="8"/>
    <x v="7"/>
    <x v="102"/>
    <x v="26"/>
    <x v="9"/>
    <x v="0"/>
    <n v="157.80000000000001"/>
  </r>
  <r>
    <x v="8"/>
    <x v="7"/>
    <x v="102"/>
    <x v="26"/>
    <x v="9"/>
    <x v="1"/>
    <n v="152.6"/>
  </r>
  <r>
    <x v="8"/>
    <x v="7"/>
    <x v="102"/>
    <x v="26"/>
    <x v="9"/>
    <x v="2"/>
    <n v="148.6"/>
  </r>
  <r>
    <x v="8"/>
    <x v="7"/>
    <x v="102"/>
    <x v="16"/>
    <x v="0"/>
    <x v="0"/>
    <n v="164"/>
  </r>
  <r>
    <x v="8"/>
    <x v="7"/>
    <x v="102"/>
    <x v="16"/>
    <x v="0"/>
    <x v="1"/>
    <n v="163.5"/>
  </r>
  <r>
    <x v="8"/>
    <x v="7"/>
    <x v="102"/>
    <x v="16"/>
    <x v="0"/>
    <x v="2"/>
    <n v="162.6"/>
  </r>
  <r>
    <x v="8"/>
    <x v="7"/>
    <x v="102"/>
    <x v="14"/>
    <x v="0"/>
    <x v="0"/>
    <n v="111.7"/>
  </r>
  <r>
    <x v="8"/>
    <x v="7"/>
    <x v="102"/>
    <x v="14"/>
    <x v="0"/>
    <x v="1"/>
    <n v="112.6"/>
  </r>
  <r>
    <x v="8"/>
    <x v="7"/>
    <x v="102"/>
    <x v="14"/>
    <x v="0"/>
    <x v="2"/>
    <n v="114.3"/>
  </r>
  <r>
    <x v="8"/>
    <x v="7"/>
    <x v="102"/>
    <x v="25"/>
    <x v="8"/>
    <x v="0"/>
    <n v="151.30000000000001"/>
  </r>
  <r>
    <x v="8"/>
    <x v="7"/>
    <x v="102"/>
    <x v="25"/>
    <x v="8"/>
    <x v="1"/>
    <n v="146.19999999999999"/>
  </r>
  <r>
    <x v="8"/>
    <x v="7"/>
    <x v="102"/>
    <x v="25"/>
    <x v="8"/>
    <x v="2"/>
    <n v="141.69999999999999"/>
  </r>
  <r>
    <x v="8"/>
    <x v="7"/>
    <x v="102"/>
    <x v="11"/>
    <x v="0"/>
    <x v="0"/>
    <n v="141"/>
  </r>
  <r>
    <x v="8"/>
    <x v="7"/>
    <x v="102"/>
    <x v="11"/>
    <x v="0"/>
    <x v="1"/>
    <n v="149.5"/>
  </r>
  <r>
    <x v="8"/>
    <x v="7"/>
    <x v="102"/>
    <x v="11"/>
    <x v="0"/>
    <x v="2"/>
    <n v="166.1"/>
  </r>
  <r>
    <x v="8"/>
    <x v="8"/>
    <x v="103"/>
    <x v="0"/>
    <x v="0"/>
    <x v="0"/>
    <n v="145.1"/>
  </r>
  <r>
    <x v="8"/>
    <x v="8"/>
    <x v="103"/>
    <x v="0"/>
    <x v="0"/>
    <x v="1"/>
    <n v="146.30000000000001"/>
  </r>
  <r>
    <x v="8"/>
    <x v="8"/>
    <x v="103"/>
    <x v="0"/>
    <x v="0"/>
    <x v="2"/>
    <n v="148.80000000000001"/>
  </r>
  <r>
    <x v="8"/>
    <x v="8"/>
    <x v="103"/>
    <x v="1"/>
    <x v="1"/>
    <x v="0"/>
    <n v="165.3"/>
  </r>
  <r>
    <x v="8"/>
    <x v="8"/>
    <x v="103"/>
    <x v="1"/>
    <x v="1"/>
    <x v="1"/>
    <n v="161.80000000000001"/>
  </r>
  <r>
    <x v="8"/>
    <x v="8"/>
    <x v="103"/>
    <x v="1"/>
    <x v="1"/>
    <x v="2"/>
    <n v="156.5"/>
  </r>
  <r>
    <x v="8"/>
    <x v="8"/>
    <x v="103"/>
    <x v="3"/>
    <x v="1"/>
    <x v="0"/>
    <n v="164.5"/>
  </r>
  <r>
    <x v="8"/>
    <x v="8"/>
    <x v="103"/>
    <x v="3"/>
    <x v="1"/>
    <x v="1"/>
    <n v="160.4"/>
  </r>
  <r>
    <x v="8"/>
    <x v="8"/>
    <x v="103"/>
    <x v="3"/>
    <x v="1"/>
    <x v="2"/>
    <n v="154.1"/>
  </r>
  <r>
    <x v="8"/>
    <x v="8"/>
    <x v="103"/>
    <x v="5"/>
    <x v="2"/>
    <x v="0"/>
    <n v="167.6"/>
  </r>
  <r>
    <x v="8"/>
    <x v="8"/>
    <x v="103"/>
    <x v="5"/>
    <x v="2"/>
    <x v="1"/>
    <n v="161.19999999999999"/>
  </r>
  <r>
    <x v="8"/>
    <x v="8"/>
    <x v="103"/>
    <x v="5"/>
    <x v="2"/>
    <x v="2"/>
    <n v="156.6"/>
  </r>
  <r>
    <x v="8"/>
    <x v="8"/>
    <x v="103"/>
    <x v="4"/>
    <x v="0"/>
    <x v="0"/>
    <n v="168.6"/>
  </r>
  <r>
    <x v="8"/>
    <x v="8"/>
    <x v="103"/>
    <x v="4"/>
    <x v="0"/>
    <x v="1"/>
    <n v="170.3"/>
  </r>
  <r>
    <x v="8"/>
    <x v="8"/>
    <x v="103"/>
    <x v="4"/>
    <x v="0"/>
    <x v="2"/>
    <n v="173"/>
  </r>
  <r>
    <x v="8"/>
    <x v="8"/>
    <x v="103"/>
    <x v="8"/>
    <x v="0"/>
    <x v="0"/>
    <n v="158.69999999999999"/>
  </r>
  <r>
    <x v="8"/>
    <x v="8"/>
    <x v="103"/>
    <x v="8"/>
    <x v="0"/>
    <x v="1"/>
    <n v="160.69999999999999"/>
  </r>
  <r>
    <x v="8"/>
    <x v="8"/>
    <x v="103"/>
    <x v="8"/>
    <x v="0"/>
    <x v="2"/>
    <n v="164.2"/>
  </r>
  <r>
    <x v="8"/>
    <x v="8"/>
    <x v="103"/>
    <x v="10"/>
    <x v="1"/>
    <x v="0"/>
    <n v="160.6"/>
  </r>
  <r>
    <x v="8"/>
    <x v="8"/>
    <x v="103"/>
    <x v="10"/>
    <x v="1"/>
    <x v="1"/>
    <n v="152.1"/>
  </r>
  <r>
    <x v="8"/>
    <x v="8"/>
    <x v="103"/>
    <x v="10"/>
    <x v="1"/>
    <x v="2"/>
    <n v="140.19999999999999"/>
  </r>
  <r>
    <x v="8"/>
    <x v="8"/>
    <x v="103"/>
    <x v="9"/>
    <x v="0"/>
    <x v="0"/>
    <n v="162.30000000000001"/>
  </r>
  <r>
    <x v="8"/>
    <x v="8"/>
    <x v="103"/>
    <x v="9"/>
    <x v="0"/>
    <x v="1"/>
    <n v="167.1"/>
  </r>
  <r>
    <x v="8"/>
    <x v="8"/>
    <x v="103"/>
    <x v="9"/>
    <x v="0"/>
    <x v="2"/>
    <n v="172.5"/>
  </r>
  <r>
    <x v="8"/>
    <x v="8"/>
    <x v="103"/>
    <x v="13"/>
    <x v="3"/>
    <x v="0"/>
    <n v="161.69999999999999"/>
  </r>
  <r>
    <x v="8"/>
    <x v="8"/>
    <x v="103"/>
    <x v="13"/>
    <x v="3"/>
    <x v="1"/>
    <n v="159.4"/>
  </r>
  <r>
    <x v="8"/>
    <x v="8"/>
    <x v="103"/>
    <x v="13"/>
    <x v="3"/>
    <x v="2"/>
    <n v="155.5"/>
  </r>
  <r>
    <x v="8"/>
    <x v="8"/>
    <x v="103"/>
    <x v="15"/>
    <x v="4"/>
    <x v="0"/>
    <n v="161.1"/>
  </r>
  <r>
    <x v="8"/>
    <x v="8"/>
    <x v="103"/>
    <x v="15"/>
    <x v="4"/>
    <x v="1"/>
    <n v="160.4"/>
  </r>
  <r>
    <x v="8"/>
    <x v="8"/>
    <x v="103"/>
    <x v="15"/>
    <x v="4"/>
    <x v="2"/>
    <n v="159.5"/>
  </r>
  <r>
    <x v="8"/>
    <x v="8"/>
    <x v="103"/>
    <x v="17"/>
    <x v="5"/>
    <x v="0"/>
    <n v="169.1"/>
  </r>
  <r>
    <x v="8"/>
    <x v="8"/>
    <x v="103"/>
    <x v="17"/>
    <x v="5"/>
    <x v="1"/>
    <n v="165.8"/>
  </r>
  <r>
    <x v="8"/>
    <x v="8"/>
    <x v="103"/>
    <x v="17"/>
    <x v="5"/>
    <x v="2"/>
    <n v="160.4"/>
  </r>
  <r>
    <x v="8"/>
    <x v="8"/>
    <x v="103"/>
    <x v="19"/>
    <x v="6"/>
    <x v="0"/>
    <n v="158.80000000000001"/>
  </r>
  <r>
    <x v="8"/>
    <x v="8"/>
    <x v="103"/>
    <x v="19"/>
    <x v="6"/>
    <x v="1"/>
    <n v="154.69999999999999"/>
  </r>
  <r>
    <x v="8"/>
    <x v="8"/>
    <x v="103"/>
    <x v="19"/>
    <x v="6"/>
    <x v="2"/>
    <n v="150.1"/>
  </r>
  <r>
    <x v="8"/>
    <x v="8"/>
    <x v="103"/>
    <x v="21"/>
    <x v="6"/>
    <x v="0"/>
    <n v="0"/>
  </r>
  <r>
    <x v="8"/>
    <x v="8"/>
    <x v="103"/>
    <x v="21"/>
    <x v="6"/>
    <x v="1"/>
    <n v="161.6"/>
  </r>
  <r>
    <x v="8"/>
    <x v="8"/>
    <x v="103"/>
    <x v="21"/>
    <x v="6"/>
    <x v="2"/>
    <n v="161.6"/>
  </r>
  <r>
    <x v="8"/>
    <x v="8"/>
    <x v="103"/>
    <x v="2"/>
    <x v="0"/>
    <x v="0"/>
    <n v="198.5"/>
  </r>
  <r>
    <x v="8"/>
    <x v="8"/>
    <x v="103"/>
    <x v="2"/>
    <x v="0"/>
    <x v="1"/>
    <n v="200.5"/>
  </r>
  <r>
    <x v="8"/>
    <x v="8"/>
    <x v="103"/>
    <x v="2"/>
    <x v="0"/>
    <x v="2"/>
    <n v="204.3"/>
  </r>
  <r>
    <x v="8"/>
    <x v="8"/>
    <x v="103"/>
    <x v="6"/>
    <x v="0"/>
    <x v="0"/>
    <n v="155.80000000000001"/>
  </r>
  <r>
    <x v="8"/>
    <x v="8"/>
    <x v="103"/>
    <x v="6"/>
    <x v="0"/>
    <x v="1"/>
    <n v="156.1"/>
  </r>
  <r>
    <x v="8"/>
    <x v="8"/>
    <x v="103"/>
    <x v="6"/>
    <x v="0"/>
    <x v="2"/>
    <n v="156.5"/>
  </r>
  <r>
    <x v="8"/>
    <x v="8"/>
    <x v="103"/>
    <x v="23"/>
    <x v="7"/>
    <x v="0"/>
    <n v="161.1"/>
  </r>
  <r>
    <x v="8"/>
    <x v="8"/>
    <x v="103"/>
    <x v="23"/>
    <x v="7"/>
    <x v="1"/>
    <n v="156.80000000000001"/>
  </r>
  <r>
    <x v="8"/>
    <x v="8"/>
    <x v="103"/>
    <x v="23"/>
    <x v="7"/>
    <x v="2"/>
    <n v="152.30000000000001"/>
  </r>
  <r>
    <x v="8"/>
    <x v="8"/>
    <x v="103"/>
    <x v="18"/>
    <x v="0"/>
    <x v="0"/>
    <n v="164.6"/>
  </r>
  <r>
    <x v="8"/>
    <x v="8"/>
    <x v="103"/>
    <x v="18"/>
    <x v="0"/>
    <x v="1"/>
    <n v="159.30000000000001"/>
  </r>
  <r>
    <x v="8"/>
    <x v="8"/>
    <x v="103"/>
    <x v="18"/>
    <x v="0"/>
    <x v="2"/>
    <n v="152"/>
  </r>
  <r>
    <x v="8"/>
    <x v="8"/>
    <x v="103"/>
    <x v="7"/>
    <x v="0"/>
    <x v="0"/>
    <n v="184.4"/>
  </r>
  <r>
    <x v="8"/>
    <x v="8"/>
    <x v="103"/>
    <x v="7"/>
    <x v="0"/>
    <x v="1"/>
    <n v="178.7"/>
  </r>
  <r>
    <x v="8"/>
    <x v="8"/>
    <x v="103"/>
    <x v="7"/>
    <x v="0"/>
    <x v="2"/>
    <n v="168.8"/>
  </r>
  <r>
    <x v="8"/>
    <x v="8"/>
    <x v="103"/>
    <x v="22"/>
    <x v="7"/>
    <x v="0"/>
    <n v="189.6"/>
  </r>
  <r>
    <x v="8"/>
    <x v="8"/>
    <x v="103"/>
    <x v="22"/>
    <x v="7"/>
    <x v="1"/>
    <n v="191.9"/>
  </r>
  <r>
    <x v="8"/>
    <x v="8"/>
    <x v="103"/>
    <x v="22"/>
    <x v="7"/>
    <x v="2"/>
    <n v="198.2"/>
  </r>
  <r>
    <x v="8"/>
    <x v="8"/>
    <x v="103"/>
    <x v="24"/>
    <x v="7"/>
    <x v="0"/>
    <n v="159.30000000000001"/>
  </r>
  <r>
    <x v="8"/>
    <x v="8"/>
    <x v="103"/>
    <x v="24"/>
    <x v="7"/>
    <x v="1"/>
    <n v="158.6"/>
  </r>
  <r>
    <x v="8"/>
    <x v="8"/>
    <x v="103"/>
    <x v="24"/>
    <x v="7"/>
    <x v="2"/>
    <n v="157.5"/>
  </r>
  <r>
    <x v="8"/>
    <x v="8"/>
    <x v="103"/>
    <x v="20"/>
    <x v="0"/>
    <x v="0"/>
    <n v="169.8"/>
  </r>
  <r>
    <x v="8"/>
    <x v="8"/>
    <x v="103"/>
    <x v="20"/>
    <x v="0"/>
    <x v="1"/>
    <n v="170.4"/>
  </r>
  <r>
    <x v="8"/>
    <x v="8"/>
    <x v="103"/>
    <x v="20"/>
    <x v="0"/>
    <x v="2"/>
    <n v="171.1"/>
  </r>
  <r>
    <x v="8"/>
    <x v="8"/>
    <x v="103"/>
    <x v="12"/>
    <x v="0"/>
    <x v="0"/>
    <n v="165.1"/>
  </r>
  <r>
    <x v="8"/>
    <x v="8"/>
    <x v="103"/>
    <x v="12"/>
    <x v="0"/>
    <x v="1"/>
    <n v="165.4"/>
  </r>
  <r>
    <x v="8"/>
    <x v="8"/>
    <x v="103"/>
    <x v="12"/>
    <x v="0"/>
    <x v="2"/>
    <n v="165.9"/>
  </r>
  <r>
    <x v="8"/>
    <x v="8"/>
    <x v="103"/>
    <x v="26"/>
    <x v="9"/>
    <x v="0"/>
    <n v="160"/>
  </r>
  <r>
    <x v="8"/>
    <x v="8"/>
    <x v="103"/>
    <x v="26"/>
    <x v="9"/>
    <x v="1"/>
    <n v="155.80000000000001"/>
  </r>
  <r>
    <x v="8"/>
    <x v="8"/>
    <x v="103"/>
    <x v="26"/>
    <x v="9"/>
    <x v="2"/>
    <n v="152.6"/>
  </r>
  <r>
    <x v="8"/>
    <x v="8"/>
    <x v="103"/>
    <x v="16"/>
    <x v="0"/>
    <x v="0"/>
    <n v="169.7"/>
  </r>
  <r>
    <x v="8"/>
    <x v="8"/>
    <x v="103"/>
    <x v="16"/>
    <x v="0"/>
    <x v="1"/>
    <n v="168.2"/>
  </r>
  <r>
    <x v="8"/>
    <x v="8"/>
    <x v="103"/>
    <x v="16"/>
    <x v="0"/>
    <x v="2"/>
    <n v="165.2"/>
  </r>
  <r>
    <x v="8"/>
    <x v="8"/>
    <x v="103"/>
    <x v="14"/>
    <x v="0"/>
    <x v="0"/>
    <n v="114.3"/>
  </r>
  <r>
    <x v="8"/>
    <x v="8"/>
    <x v="103"/>
    <x v="14"/>
    <x v="0"/>
    <x v="1"/>
    <n v="114.8"/>
  </r>
  <r>
    <x v="8"/>
    <x v="8"/>
    <x v="103"/>
    <x v="14"/>
    <x v="0"/>
    <x v="2"/>
    <n v="115.9"/>
  </r>
  <r>
    <x v="8"/>
    <x v="8"/>
    <x v="103"/>
    <x v="25"/>
    <x v="8"/>
    <x v="0"/>
    <n v="153.19999999999999"/>
  </r>
  <r>
    <x v="8"/>
    <x v="8"/>
    <x v="103"/>
    <x v="25"/>
    <x v="8"/>
    <x v="1"/>
    <n v="148.9"/>
  </r>
  <r>
    <x v="8"/>
    <x v="8"/>
    <x v="103"/>
    <x v="25"/>
    <x v="8"/>
    <x v="2"/>
    <n v="145"/>
  </r>
  <r>
    <x v="8"/>
    <x v="8"/>
    <x v="103"/>
    <x v="11"/>
    <x v="0"/>
    <x v="0"/>
    <n v="138.4"/>
  </r>
  <r>
    <x v="8"/>
    <x v="8"/>
    <x v="103"/>
    <x v="11"/>
    <x v="0"/>
    <x v="1"/>
    <n v="147.9"/>
  </r>
  <r>
    <x v="8"/>
    <x v="8"/>
    <x v="103"/>
    <x v="11"/>
    <x v="0"/>
    <x v="2"/>
    <n v="166.5"/>
  </r>
  <r>
    <x v="8"/>
    <x v="9"/>
    <x v="104"/>
    <x v="0"/>
    <x v="0"/>
    <x v="0"/>
    <n v="146.9"/>
  </r>
  <r>
    <x v="8"/>
    <x v="9"/>
    <x v="104"/>
    <x v="0"/>
    <x v="0"/>
    <x v="1"/>
    <n v="148.19999999999999"/>
  </r>
  <r>
    <x v="8"/>
    <x v="9"/>
    <x v="104"/>
    <x v="0"/>
    <x v="0"/>
    <x v="2"/>
    <n v="151"/>
  </r>
  <r>
    <x v="8"/>
    <x v="9"/>
    <x v="104"/>
    <x v="1"/>
    <x v="1"/>
    <x v="0"/>
    <n v="170.4"/>
  </r>
  <r>
    <x v="8"/>
    <x v="9"/>
    <x v="104"/>
    <x v="1"/>
    <x v="1"/>
    <x v="1"/>
    <n v="167.2"/>
  </r>
  <r>
    <x v="8"/>
    <x v="9"/>
    <x v="104"/>
    <x v="1"/>
    <x v="1"/>
    <x v="2"/>
    <n v="162.30000000000001"/>
  </r>
  <r>
    <x v="8"/>
    <x v="9"/>
    <x v="104"/>
    <x v="3"/>
    <x v="1"/>
    <x v="0"/>
    <n v="169.8"/>
  </r>
  <r>
    <x v="8"/>
    <x v="9"/>
    <x v="104"/>
    <x v="3"/>
    <x v="1"/>
    <x v="1"/>
    <n v="165.8"/>
  </r>
  <r>
    <x v="8"/>
    <x v="9"/>
    <x v="104"/>
    <x v="3"/>
    <x v="1"/>
    <x v="2"/>
    <n v="159.69999999999999"/>
  </r>
  <r>
    <x v="8"/>
    <x v="9"/>
    <x v="104"/>
    <x v="5"/>
    <x v="2"/>
    <x v="0"/>
    <n v="169.3"/>
  </r>
  <r>
    <x v="8"/>
    <x v="9"/>
    <x v="104"/>
    <x v="5"/>
    <x v="2"/>
    <x v="1"/>
    <n v="164.3"/>
  </r>
  <r>
    <x v="8"/>
    <x v="9"/>
    <x v="104"/>
    <x v="5"/>
    <x v="2"/>
    <x v="2"/>
    <n v="160.80000000000001"/>
  </r>
  <r>
    <x v="8"/>
    <x v="9"/>
    <x v="104"/>
    <x v="4"/>
    <x v="0"/>
    <x v="0"/>
    <n v="171.5"/>
  </r>
  <r>
    <x v="8"/>
    <x v="9"/>
    <x v="104"/>
    <x v="4"/>
    <x v="0"/>
    <x v="1"/>
    <n v="173"/>
  </r>
  <r>
    <x v="8"/>
    <x v="9"/>
    <x v="104"/>
    <x v="4"/>
    <x v="0"/>
    <x v="2"/>
    <n v="175.4"/>
  </r>
  <r>
    <x v="8"/>
    <x v="9"/>
    <x v="104"/>
    <x v="8"/>
    <x v="0"/>
    <x v="0"/>
    <n v="167.5"/>
  </r>
  <r>
    <x v="8"/>
    <x v="9"/>
    <x v="104"/>
    <x v="8"/>
    <x v="0"/>
    <x v="1"/>
    <n v="169.7"/>
  </r>
  <r>
    <x v="8"/>
    <x v="9"/>
    <x v="104"/>
    <x v="8"/>
    <x v="0"/>
    <x v="2"/>
    <n v="173.5"/>
  </r>
  <r>
    <x v="8"/>
    <x v="9"/>
    <x v="104"/>
    <x v="10"/>
    <x v="1"/>
    <x v="0"/>
    <n v="166"/>
  </r>
  <r>
    <x v="8"/>
    <x v="9"/>
    <x v="104"/>
    <x v="10"/>
    <x v="1"/>
    <x v="1"/>
    <n v="157.4"/>
  </r>
  <r>
    <x v="8"/>
    <x v="9"/>
    <x v="104"/>
    <x v="10"/>
    <x v="1"/>
    <x v="2"/>
    <n v="145.30000000000001"/>
  </r>
  <r>
    <x v="8"/>
    <x v="9"/>
    <x v="104"/>
    <x v="9"/>
    <x v="0"/>
    <x v="0"/>
    <n v="153.19999999999999"/>
  </r>
  <r>
    <x v="8"/>
    <x v="9"/>
    <x v="104"/>
    <x v="9"/>
    <x v="0"/>
    <x v="1"/>
    <n v="156.5"/>
  </r>
  <r>
    <x v="8"/>
    <x v="9"/>
    <x v="104"/>
    <x v="9"/>
    <x v="0"/>
    <x v="2"/>
    <n v="160.30000000000001"/>
  </r>
  <r>
    <x v="8"/>
    <x v="9"/>
    <x v="104"/>
    <x v="13"/>
    <x v="3"/>
    <x v="0"/>
    <n v="165.3"/>
  </r>
  <r>
    <x v="8"/>
    <x v="9"/>
    <x v="104"/>
    <x v="13"/>
    <x v="3"/>
    <x v="1"/>
    <n v="163.9"/>
  </r>
  <r>
    <x v="8"/>
    <x v="9"/>
    <x v="104"/>
    <x v="13"/>
    <x v="3"/>
    <x v="2"/>
    <n v="161.6"/>
  </r>
  <r>
    <x v="8"/>
    <x v="9"/>
    <x v="104"/>
    <x v="15"/>
    <x v="4"/>
    <x v="0"/>
    <n v="167.6"/>
  </r>
  <r>
    <x v="8"/>
    <x v="9"/>
    <x v="104"/>
    <x v="15"/>
    <x v="4"/>
    <x v="1"/>
    <n v="166.7"/>
  </r>
  <r>
    <x v="8"/>
    <x v="9"/>
    <x v="104"/>
    <x v="15"/>
    <x v="4"/>
    <x v="2"/>
    <n v="165.6"/>
  </r>
  <r>
    <x v="8"/>
    <x v="9"/>
    <x v="104"/>
    <x v="17"/>
    <x v="5"/>
    <x v="0"/>
    <n v="173.4"/>
  </r>
  <r>
    <x v="8"/>
    <x v="9"/>
    <x v="104"/>
    <x v="17"/>
    <x v="5"/>
    <x v="1"/>
    <n v="169.9"/>
  </r>
  <r>
    <x v="8"/>
    <x v="9"/>
    <x v="104"/>
    <x v="17"/>
    <x v="5"/>
    <x v="2"/>
    <n v="164.2"/>
  </r>
  <r>
    <x v="8"/>
    <x v="9"/>
    <x v="104"/>
    <x v="19"/>
    <x v="6"/>
    <x v="0"/>
    <n v="162.9"/>
  </r>
  <r>
    <x v="8"/>
    <x v="9"/>
    <x v="104"/>
    <x v="19"/>
    <x v="6"/>
    <x v="1"/>
    <n v="159.30000000000001"/>
  </r>
  <r>
    <x v="8"/>
    <x v="9"/>
    <x v="104"/>
    <x v="19"/>
    <x v="6"/>
    <x v="2"/>
    <n v="155.19999999999999"/>
  </r>
  <r>
    <x v="8"/>
    <x v="9"/>
    <x v="104"/>
    <x v="21"/>
    <x v="6"/>
    <x v="0"/>
    <n v="0"/>
  </r>
  <r>
    <x v="8"/>
    <x v="9"/>
    <x v="104"/>
    <x v="21"/>
    <x v="6"/>
    <x v="1"/>
    <n v="164.2"/>
  </r>
  <r>
    <x v="8"/>
    <x v="9"/>
    <x v="104"/>
    <x v="21"/>
    <x v="6"/>
    <x v="2"/>
    <n v="164.2"/>
  </r>
  <r>
    <x v="8"/>
    <x v="9"/>
    <x v="104"/>
    <x v="2"/>
    <x v="0"/>
    <x v="0"/>
    <n v="199.8"/>
  </r>
  <r>
    <x v="8"/>
    <x v="9"/>
    <x v="104"/>
    <x v="2"/>
    <x v="0"/>
    <x v="1"/>
    <n v="201.6"/>
  </r>
  <r>
    <x v="8"/>
    <x v="9"/>
    <x v="104"/>
    <x v="2"/>
    <x v="0"/>
    <x v="2"/>
    <n v="204.9"/>
  </r>
  <r>
    <x v="8"/>
    <x v="9"/>
    <x v="104"/>
    <x v="6"/>
    <x v="0"/>
    <x v="0"/>
    <n v="159.1"/>
  </r>
  <r>
    <x v="8"/>
    <x v="9"/>
    <x v="104"/>
    <x v="6"/>
    <x v="0"/>
    <x v="1"/>
    <n v="159.30000000000001"/>
  </r>
  <r>
    <x v="8"/>
    <x v="9"/>
    <x v="104"/>
    <x v="6"/>
    <x v="0"/>
    <x v="2"/>
    <n v="159.6"/>
  </r>
  <r>
    <x v="8"/>
    <x v="9"/>
    <x v="104"/>
    <x v="23"/>
    <x v="7"/>
    <x v="0"/>
    <n v="165.2"/>
  </r>
  <r>
    <x v="8"/>
    <x v="9"/>
    <x v="104"/>
    <x v="23"/>
    <x v="7"/>
    <x v="1"/>
    <n v="161.4"/>
  </r>
  <r>
    <x v="8"/>
    <x v="9"/>
    <x v="104"/>
    <x v="23"/>
    <x v="7"/>
    <x v="2"/>
    <n v="157.30000000000001"/>
  </r>
  <r>
    <x v="8"/>
    <x v="9"/>
    <x v="104"/>
    <x v="18"/>
    <x v="0"/>
    <x v="0"/>
    <n v="169.1"/>
  </r>
  <r>
    <x v="8"/>
    <x v="9"/>
    <x v="104"/>
    <x v="18"/>
    <x v="0"/>
    <x v="1"/>
    <n v="163.69999999999999"/>
  </r>
  <r>
    <x v="8"/>
    <x v="9"/>
    <x v="104"/>
    <x v="18"/>
    <x v="0"/>
    <x v="2"/>
    <n v="156.1"/>
  </r>
  <r>
    <x v="8"/>
    <x v="9"/>
    <x v="104"/>
    <x v="7"/>
    <x v="0"/>
    <x v="0"/>
    <n v="198.4"/>
  </r>
  <r>
    <x v="8"/>
    <x v="9"/>
    <x v="104"/>
    <x v="7"/>
    <x v="0"/>
    <x v="1"/>
    <n v="190.1"/>
  </r>
  <r>
    <x v="8"/>
    <x v="9"/>
    <x v="104"/>
    <x v="7"/>
    <x v="0"/>
    <x v="2"/>
    <n v="175.8"/>
  </r>
  <r>
    <x v="8"/>
    <x v="9"/>
    <x v="104"/>
    <x v="22"/>
    <x v="7"/>
    <x v="0"/>
    <n v="191.4"/>
  </r>
  <r>
    <x v="8"/>
    <x v="9"/>
    <x v="104"/>
    <x v="22"/>
    <x v="7"/>
    <x v="1"/>
    <n v="192.9"/>
  </r>
  <r>
    <x v="8"/>
    <x v="9"/>
    <x v="104"/>
    <x v="22"/>
    <x v="7"/>
    <x v="2"/>
    <n v="197"/>
  </r>
  <r>
    <x v="8"/>
    <x v="9"/>
    <x v="104"/>
    <x v="24"/>
    <x v="7"/>
    <x v="0"/>
    <n v="162.4"/>
  </r>
  <r>
    <x v="8"/>
    <x v="9"/>
    <x v="104"/>
    <x v="24"/>
    <x v="7"/>
    <x v="1"/>
    <n v="162.19999999999999"/>
  </r>
  <r>
    <x v="8"/>
    <x v="9"/>
    <x v="104"/>
    <x v="24"/>
    <x v="7"/>
    <x v="2"/>
    <n v="161.80000000000001"/>
  </r>
  <r>
    <x v="8"/>
    <x v="9"/>
    <x v="104"/>
    <x v="20"/>
    <x v="0"/>
    <x v="0"/>
    <n v="174.3"/>
  </r>
  <r>
    <x v="8"/>
    <x v="9"/>
    <x v="104"/>
    <x v="20"/>
    <x v="0"/>
    <x v="1"/>
    <n v="175.5"/>
  </r>
  <r>
    <x v="8"/>
    <x v="9"/>
    <x v="104"/>
    <x v="20"/>
    <x v="0"/>
    <x v="2"/>
    <n v="176.8"/>
  </r>
  <r>
    <x v="8"/>
    <x v="9"/>
    <x v="104"/>
    <x v="12"/>
    <x v="0"/>
    <x v="0"/>
    <n v="165.4"/>
  </r>
  <r>
    <x v="8"/>
    <x v="9"/>
    <x v="104"/>
    <x v="12"/>
    <x v="0"/>
    <x v="1"/>
    <n v="165.3"/>
  </r>
  <r>
    <x v="8"/>
    <x v="9"/>
    <x v="104"/>
    <x v="12"/>
    <x v="0"/>
    <x v="2"/>
    <n v="165.1"/>
  </r>
  <r>
    <x v="8"/>
    <x v="9"/>
    <x v="104"/>
    <x v="26"/>
    <x v="9"/>
    <x v="0"/>
    <n v="163.80000000000001"/>
  </r>
  <r>
    <x v="8"/>
    <x v="9"/>
    <x v="104"/>
    <x v="26"/>
    <x v="9"/>
    <x v="1"/>
    <n v="159.80000000000001"/>
  </r>
  <r>
    <x v="8"/>
    <x v="9"/>
    <x v="104"/>
    <x v="26"/>
    <x v="9"/>
    <x v="2"/>
    <n v="156.69999999999999"/>
  </r>
  <r>
    <x v="8"/>
    <x v="9"/>
    <x v="104"/>
    <x v="16"/>
    <x v="0"/>
    <x v="0"/>
    <n v="170.8"/>
  </r>
  <r>
    <x v="8"/>
    <x v="9"/>
    <x v="104"/>
    <x v="16"/>
    <x v="0"/>
    <x v="1"/>
    <n v="169.6"/>
  </r>
  <r>
    <x v="8"/>
    <x v="9"/>
    <x v="104"/>
    <x v="16"/>
    <x v="0"/>
    <x v="2"/>
    <n v="167.2"/>
  </r>
  <r>
    <x v="8"/>
    <x v="9"/>
    <x v="104"/>
    <x v="14"/>
    <x v="0"/>
    <x v="0"/>
    <n v="122.1"/>
  </r>
  <r>
    <x v="8"/>
    <x v="9"/>
    <x v="104"/>
    <x v="14"/>
    <x v="0"/>
    <x v="1"/>
    <n v="122.4"/>
  </r>
  <r>
    <x v="8"/>
    <x v="9"/>
    <x v="104"/>
    <x v="14"/>
    <x v="0"/>
    <x v="2"/>
    <n v="123.1"/>
  </r>
  <r>
    <x v="8"/>
    <x v="9"/>
    <x v="104"/>
    <x v="25"/>
    <x v="8"/>
    <x v="0"/>
    <n v="158.9"/>
  </r>
  <r>
    <x v="8"/>
    <x v="9"/>
    <x v="104"/>
    <x v="25"/>
    <x v="8"/>
    <x v="1"/>
    <n v="154.80000000000001"/>
  </r>
  <r>
    <x v="8"/>
    <x v="9"/>
    <x v="104"/>
    <x v="25"/>
    <x v="8"/>
    <x v="2"/>
    <n v="151.19999999999999"/>
  </r>
  <r>
    <x v="8"/>
    <x v="9"/>
    <x v="104"/>
    <x v="11"/>
    <x v="0"/>
    <x v="0"/>
    <n v="183.9"/>
  </r>
  <r>
    <x v="8"/>
    <x v="9"/>
    <x v="104"/>
    <x v="11"/>
    <x v="0"/>
    <x v="1"/>
    <n v="199.2"/>
  </r>
  <r>
    <x v="8"/>
    <x v="9"/>
    <x v="104"/>
    <x v="11"/>
    <x v="0"/>
    <x v="2"/>
    <n v="229.1"/>
  </r>
  <r>
    <x v="8"/>
    <x v="10"/>
    <x v="105"/>
    <x v="0"/>
    <x v="0"/>
    <x v="0"/>
    <n v="146.1"/>
  </r>
  <r>
    <x v="8"/>
    <x v="10"/>
    <x v="105"/>
    <x v="0"/>
    <x v="0"/>
    <x v="1"/>
    <n v="147.4"/>
  </r>
  <r>
    <x v="8"/>
    <x v="10"/>
    <x v="105"/>
    <x v="0"/>
    <x v="0"/>
    <x v="2"/>
    <n v="150.1"/>
  </r>
  <r>
    <x v="8"/>
    <x v="10"/>
    <x v="105"/>
    <x v="1"/>
    <x v="1"/>
    <x v="0"/>
    <n v="168.9"/>
  </r>
  <r>
    <x v="8"/>
    <x v="10"/>
    <x v="105"/>
    <x v="1"/>
    <x v="1"/>
    <x v="1"/>
    <n v="165.7"/>
  </r>
  <r>
    <x v="8"/>
    <x v="10"/>
    <x v="105"/>
    <x v="1"/>
    <x v="1"/>
    <x v="2"/>
    <n v="160.80000000000001"/>
  </r>
  <r>
    <x v="8"/>
    <x v="10"/>
    <x v="105"/>
    <x v="3"/>
    <x v="1"/>
    <x v="0"/>
    <n v="168.3"/>
  </r>
  <r>
    <x v="8"/>
    <x v="10"/>
    <x v="105"/>
    <x v="3"/>
    <x v="1"/>
    <x v="1"/>
    <n v="164.3"/>
  </r>
  <r>
    <x v="8"/>
    <x v="10"/>
    <x v="105"/>
    <x v="3"/>
    <x v="1"/>
    <x v="2"/>
    <n v="158.30000000000001"/>
  </r>
  <r>
    <x v="8"/>
    <x v="10"/>
    <x v="105"/>
    <x v="5"/>
    <x v="2"/>
    <x v="0"/>
    <n v="169"/>
  </r>
  <r>
    <x v="8"/>
    <x v="10"/>
    <x v="105"/>
    <x v="5"/>
    <x v="2"/>
    <x v="1"/>
    <n v="163.9"/>
  </r>
  <r>
    <x v="8"/>
    <x v="10"/>
    <x v="105"/>
    <x v="5"/>
    <x v="2"/>
    <x v="2"/>
    <n v="160.30000000000001"/>
  </r>
  <r>
    <x v="8"/>
    <x v="10"/>
    <x v="105"/>
    <x v="4"/>
    <x v="0"/>
    <x v="0"/>
    <n v="170.1"/>
  </r>
  <r>
    <x v="8"/>
    <x v="10"/>
    <x v="105"/>
    <x v="4"/>
    <x v="0"/>
    <x v="1"/>
    <n v="171.2"/>
  </r>
  <r>
    <x v="8"/>
    <x v="10"/>
    <x v="105"/>
    <x v="4"/>
    <x v="0"/>
    <x v="2"/>
    <n v="173"/>
  </r>
  <r>
    <x v="8"/>
    <x v="10"/>
    <x v="105"/>
    <x v="8"/>
    <x v="0"/>
    <x v="0"/>
    <n v="165.5"/>
  </r>
  <r>
    <x v="8"/>
    <x v="10"/>
    <x v="105"/>
    <x v="8"/>
    <x v="0"/>
    <x v="1"/>
    <n v="167.7"/>
  </r>
  <r>
    <x v="8"/>
    <x v="10"/>
    <x v="105"/>
    <x v="8"/>
    <x v="0"/>
    <x v="2"/>
    <n v="171.5"/>
  </r>
  <r>
    <x v="8"/>
    <x v="10"/>
    <x v="105"/>
    <x v="10"/>
    <x v="1"/>
    <x v="0"/>
    <n v="164.8"/>
  </r>
  <r>
    <x v="8"/>
    <x v="10"/>
    <x v="105"/>
    <x v="10"/>
    <x v="1"/>
    <x v="1"/>
    <n v="156.30000000000001"/>
  </r>
  <r>
    <x v="8"/>
    <x v="10"/>
    <x v="105"/>
    <x v="10"/>
    <x v="1"/>
    <x v="2"/>
    <n v="144.4"/>
  </r>
  <r>
    <x v="8"/>
    <x v="10"/>
    <x v="105"/>
    <x v="9"/>
    <x v="0"/>
    <x v="0"/>
    <n v="152.6"/>
  </r>
  <r>
    <x v="8"/>
    <x v="10"/>
    <x v="105"/>
    <x v="9"/>
    <x v="0"/>
    <x v="1"/>
    <n v="155.69999999999999"/>
  </r>
  <r>
    <x v="8"/>
    <x v="10"/>
    <x v="105"/>
    <x v="9"/>
    <x v="0"/>
    <x v="2"/>
    <n v="159.30000000000001"/>
  </r>
  <r>
    <x v="8"/>
    <x v="10"/>
    <x v="105"/>
    <x v="13"/>
    <x v="3"/>
    <x v="0"/>
    <n v="165.5"/>
  </r>
  <r>
    <x v="8"/>
    <x v="10"/>
    <x v="105"/>
    <x v="13"/>
    <x v="3"/>
    <x v="1"/>
    <n v="164.2"/>
  </r>
  <r>
    <x v="8"/>
    <x v="10"/>
    <x v="105"/>
    <x v="13"/>
    <x v="3"/>
    <x v="2"/>
    <n v="162.19999999999999"/>
  </r>
  <r>
    <x v="8"/>
    <x v="10"/>
    <x v="105"/>
    <x v="15"/>
    <x v="4"/>
    <x v="0"/>
    <n v="166.3"/>
  </r>
  <r>
    <x v="8"/>
    <x v="10"/>
    <x v="105"/>
    <x v="15"/>
    <x v="4"/>
    <x v="1"/>
    <n v="165.5"/>
  </r>
  <r>
    <x v="8"/>
    <x v="10"/>
    <x v="105"/>
    <x v="15"/>
    <x v="4"/>
    <x v="2"/>
    <n v="164.6"/>
  </r>
  <r>
    <x v="8"/>
    <x v="10"/>
    <x v="105"/>
    <x v="17"/>
    <x v="5"/>
    <x v="0"/>
    <n v="172.5"/>
  </r>
  <r>
    <x v="8"/>
    <x v="10"/>
    <x v="105"/>
    <x v="17"/>
    <x v="5"/>
    <x v="1"/>
    <n v="169.1"/>
  </r>
  <r>
    <x v="8"/>
    <x v="10"/>
    <x v="105"/>
    <x v="17"/>
    <x v="5"/>
    <x v="2"/>
    <n v="163.5"/>
  </r>
  <r>
    <x v="8"/>
    <x v="10"/>
    <x v="105"/>
    <x v="19"/>
    <x v="6"/>
    <x v="0"/>
    <n v="162"/>
  </r>
  <r>
    <x v="8"/>
    <x v="10"/>
    <x v="105"/>
    <x v="19"/>
    <x v="6"/>
    <x v="1"/>
    <n v="158.4"/>
  </r>
  <r>
    <x v="8"/>
    <x v="10"/>
    <x v="105"/>
    <x v="19"/>
    <x v="6"/>
    <x v="2"/>
    <n v="154.30000000000001"/>
  </r>
  <r>
    <x v="8"/>
    <x v="10"/>
    <x v="105"/>
    <x v="21"/>
    <x v="6"/>
    <x v="0"/>
    <n v="0"/>
  </r>
  <r>
    <x v="8"/>
    <x v="10"/>
    <x v="105"/>
    <x v="21"/>
    <x v="6"/>
    <x v="1"/>
    <n v="163.6"/>
  </r>
  <r>
    <x v="8"/>
    <x v="10"/>
    <x v="105"/>
    <x v="21"/>
    <x v="6"/>
    <x v="2"/>
    <n v="163.6"/>
  </r>
  <r>
    <x v="8"/>
    <x v="10"/>
    <x v="105"/>
    <x v="2"/>
    <x v="0"/>
    <x v="0"/>
    <n v="202.5"/>
  </r>
  <r>
    <x v="8"/>
    <x v="10"/>
    <x v="105"/>
    <x v="2"/>
    <x v="0"/>
    <x v="1"/>
    <n v="204.6"/>
  </r>
  <r>
    <x v="8"/>
    <x v="10"/>
    <x v="105"/>
    <x v="2"/>
    <x v="0"/>
    <x v="2"/>
    <n v="208.4"/>
  </r>
  <r>
    <x v="8"/>
    <x v="10"/>
    <x v="105"/>
    <x v="6"/>
    <x v="0"/>
    <x v="0"/>
    <n v="158.4"/>
  </r>
  <r>
    <x v="8"/>
    <x v="10"/>
    <x v="105"/>
    <x v="6"/>
    <x v="0"/>
    <x v="1"/>
    <n v="158.69999999999999"/>
  </r>
  <r>
    <x v="8"/>
    <x v="10"/>
    <x v="105"/>
    <x v="6"/>
    <x v="0"/>
    <x v="2"/>
    <n v="159.19999999999999"/>
  </r>
  <r>
    <x v="8"/>
    <x v="10"/>
    <x v="105"/>
    <x v="23"/>
    <x v="7"/>
    <x v="0"/>
    <n v="164.7"/>
  </r>
  <r>
    <x v="8"/>
    <x v="10"/>
    <x v="105"/>
    <x v="23"/>
    <x v="7"/>
    <x v="1"/>
    <n v="161"/>
  </r>
  <r>
    <x v="8"/>
    <x v="10"/>
    <x v="105"/>
    <x v="23"/>
    <x v="7"/>
    <x v="2"/>
    <n v="157"/>
  </r>
  <r>
    <x v="8"/>
    <x v="10"/>
    <x v="105"/>
    <x v="18"/>
    <x v="0"/>
    <x v="0"/>
    <n v="168.8"/>
  </r>
  <r>
    <x v="8"/>
    <x v="10"/>
    <x v="105"/>
    <x v="18"/>
    <x v="0"/>
    <x v="1"/>
    <n v="163.19999999999999"/>
  </r>
  <r>
    <x v="8"/>
    <x v="10"/>
    <x v="105"/>
    <x v="18"/>
    <x v="0"/>
    <x v="2"/>
    <n v="155.4"/>
  </r>
  <r>
    <x v="8"/>
    <x v="10"/>
    <x v="105"/>
    <x v="7"/>
    <x v="0"/>
    <x v="0"/>
    <n v="198.8"/>
  </r>
  <r>
    <x v="8"/>
    <x v="10"/>
    <x v="105"/>
    <x v="7"/>
    <x v="0"/>
    <x v="1"/>
    <n v="190.6"/>
  </r>
  <r>
    <x v="8"/>
    <x v="10"/>
    <x v="105"/>
    <x v="7"/>
    <x v="0"/>
    <x v="2"/>
    <n v="176.6"/>
  </r>
  <r>
    <x v="8"/>
    <x v="10"/>
    <x v="105"/>
    <x v="22"/>
    <x v="7"/>
    <x v="0"/>
    <n v="191.2"/>
  </r>
  <r>
    <x v="8"/>
    <x v="10"/>
    <x v="105"/>
    <x v="22"/>
    <x v="7"/>
    <x v="1"/>
    <n v="192.7"/>
  </r>
  <r>
    <x v="8"/>
    <x v="10"/>
    <x v="105"/>
    <x v="22"/>
    <x v="7"/>
    <x v="2"/>
    <n v="197"/>
  </r>
  <r>
    <x v="8"/>
    <x v="10"/>
    <x v="105"/>
    <x v="24"/>
    <x v="7"/>
    <x v="0"/>
    <n v="161.1"/>
  </r>
  <r>
    <x v="8"/>
    <x v="10"/>
    <x v="105"/>
    <x v="24"/>
    <x v="7"/>
    <x v="1"/>
    <n v="160.80000000000001"/>
  </r>
  <r>
    <x v="8"/>
    <x v="10"/>
    <x v="105"/>
    <x v="24"/>
    <x v="7"/>
    <x v="2"/>
    <n v="160.30000000000001"/>
  </r>
  <r>
    <x v="8"/>
    <x v="10"/>
    <x v="105"/>
    <x v="20"/>
    <x v="0"/>
    <x v="0"/>
    <n v="173.6"/>
  </r>
  <r>
    <x v="8"/>
    <x v="10"/>
    <x v="105"/>
    <x v="20"/>
    <x v="0"/>
    <x v="1"/>
    <n v="174.7"/>
  </r>
  <r>
    <x v="8"/>
    <x v="10"/>
    <x v="105"/>
    <x v="20"/>
    <x v="0"/>
    <x v="2"/>
    <n v="175.9"/>
  </r>
  <r>
    <x v="8"/>
    <x v="10"/>
    <x v="105"/>
    <x v="12"/>
    <x v="0"/>
    <x v="0"/>
    <n v="165.2"/>
  </r>
  <r>
    <x v="8"/>
    <x v="10"/>
    <x v="105"/>
    <x v="12"/>
    <x v="0"/>
    <x v="1"/>
    <n v="165.2"/>
  </r>
  <r>
    <x v="8"/>
    <x v="10"/>
    <x v="105"/>
    <x v="12"/>
    <x v="0"/>
    <x v="2"/>
    <n v="165.3"/>
  </r>
  <r>
    <x v="8"/>
    <x v="10"/>
    <x v="105"/>
    <x v="26"/>
    <x v="9"/>
    <x v="0"/>
    <n v="163.19999999999999"/>
  </r>
  <r>
    <x v="8"/>
    <x v="10"/>
    <x v="105"/>
    <x v="26"/>
    <x v="9"/>
    <x v="1"/>
    <n v="158.6"/>
  </r>
  <r>
    <x v="8"/>
    <x v="10"/>
    <x v="105"/>
    <x v="26"/>
    <x v="9"/>
    <x v="2"/>
    <n v="155.1"/>
  </r>
  <r>
    <x v="8"/>
    <x v="10"/>
    <x v="105"/>
    <x v="16"/>
    <x v="0"/>
    <x v="0"/>
    <n v="170.6"/>
  </r>
  <r>
    <x v="8"/>
    <x v="10"/>
    <x v="105"/>
    <x v="16"/>
    <x v="0"/>
    <x v="1"/>
    <n v="169.3"/>
  </r>
  <r>
    <x v="8"/>
    <x v="10"/>
    <x v="105"/>
    <x v="16"/>
    <x v="0"/>
    <x v="2"/>
    <n v="166.8"/>
  </r>
  <r>
    <x v="8"/>
    <x v="10"/>
    <x v="105"/>
    <x v="14"/>
    <x v="0"/>
    <x v="0"/>
    <n v="121.6"/>
  </r>
  <r>
    <x v="8"/>
    <x v="10"/>
    <x v="105"/>
    <x v="14"/>
    <x v="0"/>
    <x v="1"/>
    <n v="121.9"/>
  </r>
  <r>
    <x v="8"/>
    <x v="10"/>
    <x v="105"/>
    <x v="14"/>
    <x v="0"/>
    <x v="2"/>
    <n v="122.5"/>
  </r>
  <r>
    <x v="8"/>
    <x v="10"/>
    <x v="105"/>
    <x v="25"/>
    <x v="8"/>
    <x v="0"/>
    <n v="159.5"/>
  </r>
  <r>
    <x v="8"/>
    <x v="10"/>
    <x v="105"/>
    <x v="25"/>
    <x v="8"/>
    <x v="1"/>
    <n v="155.69999999999999"/>
  </r>
  <r>
    <x v="8"/>
    <x v="10"/>
    <x v="105"/>
    <x v="25"/>
    <x v="8"/>
    <x v="2"/>
    <n v="152.19999999999999"/>
  </r>
  <r>
    <x v="8"/>
    <x v="10"/>
    <x v="105"/>
    <x v="11"/>
    <x v="0"/>
    <x v="0"/>
    <n v="170.4"/>
  </r>
  <r>
    <x v="8"/>
    <x v="10"/>
    <x v="105"/>
    <x v="11"/>
    <x v="0"/>
    <x v="1"/>
    <n v="185.3"/>
  </r>
  <r>
    <x v="8"/>
    <x v="10"/>
    <x v="105"/>
    <x v="11"/>
    <x v="0"/>
    <x v="2"/>
    <n v="214.4"/>
  </r>
  <r>
    <x v="8"/>
    <x v="11"/>
    <x v="106"/>
    <x v="0"/>
    <x v="0"/>
    <x v="0"/>
    <n v="145.4"/>
  </r>
  <r>
    <x v="8"/>
    <x v="11"/>
    <x v="106"/>
    <x v="0"/>
    <x v="0"/>
    <x v="1"/>
    <n v="146.6"/>
  </r>
  <r>
    <x v="8"/>
    <x v="11"/>
    <x v="106"/>
    <x v="0"/>
    <x v="0"/>
    <x v="2"/>
    <n v="149.30000000000001"/>
  </r>
  <r>
    <x v="8"/>
    <x v="11"/>
    <x v="106"/>
    <x v="1"/>
    <x v="1"/>
    <x v="0"/>
    <n v="167.7"/>
  </r>
  <r>
    <x v="8"/>
    <x v="11"/>
    <x v="106"/>
    <x v="1"/>
    <x v="1"/>
    <x v="1"/>
    <n v="164.6"/>
  </r>
  <r>
    <x v="8"/>
    <x v="11"/>
    <x v="106"/>
    <x v="1"/>
    <x v="1"/>
    <x v="2"/>
    <n v="159.80000000000001"/>
  </r>
  <r>
    <x v="8"/>
    <x v="11"/>
    <x v="106"/>
    <x v="3"/>
    <x v="1"/>
    <x v="0"/>
    <n v="167.1"/>
  </r>
  <r>
    <x v="8"/>
    <x v="11"/>
    <x v="106"/>
    <x v="3"/>
    <x v="1"/>
    <x v="1"/>
    <n v="163.30000000000001"/>
  </r>
  <r>
    <x v="8"/>
    <x v="11"/>
    <x v="106"/>
    <x v="3"/>
    <x v="1"/>
    <x v="2"/>
    <n v="157.4"/>
  </r>
  <r>
    <x v="8"/>
    <x v="11"/>
    <x v="106"/>
    <x v="5"/>
    <x v="2"/>
    <x v="0"/>
    <n v="168.5"/>
  </r>
  <r>
    <x v="8"/>
    <x v="11"/>
    <x v="106"/>
    <x v="5"/>
    <x v="2"/>
    <x v="1"/>
    <n v="163.69999999999999"/>
  </r>
  <r>
    <x v="8"/>
    <x v="11"/>
    <x v="106"/>
    <x v="5"/>
    <x v="2"/>
    <x v="2"/>
    <n v="160.30000000000001"/>
  </r>
  <r>
    <x v="8"/>
    <x v="11"/>
    <x v="106"/>
    <x v="4"/>
    <x v="0"/>
    <x v="0"/>
    <n v="172"/>
  </r>
  <r>
    <x v="8"/>
    <x v="11"/>
    <x v="106"/>
    <x v="4"/>
    <x v="0"/>
    <x v="1"/>
    <n v="172.8"/>
  </r>
  <r>
    <x v="8"/>
    <x v="11"/>
    <x v="106"/>
    <x v="4"/>
    <x v="0"/>
    <x v="2"/>
    <n v="174.1"/>
  </r>
  <r>
    <x v="8"/>
    <x v="11"/>
    <x v="106"/>
    <x v="8"/>
    <x v="0"/>
    <x v="0"/>
    <n v="162.1"/>
  </r>
  <r>
    <x v="8"/>
    <x v="11"/>
    <x v="106"/>
    <x v="8"/>
    <x v="0"/>
    <x v="1"/>
    <n v="164"/>
  </r>
  <r>
    <x v="8"/>
    <x v="11"/>
    <x v="106"/>
    <x v="8"/>
    <x v="0"/>
    <x v="2"/>
    <n v="167.3"/>
  </r>
  <r>
    <x v="8"/>
    <x v="11"/>
    <x v="106"/>
    <x v="10"/>
    <x v="1"/>
    <x v="0"/>
    <n v="163.6"/>
  </r>
  <r>
    <x v="8"/>
    <x v="11"/>
    <x v="106"/>
    <x v="10"/>
    <x v="1"/>
    <x v="1"/>
    <n v="155.30000000000001"/>
  </r>
  <r>
    <x v="8"/>
    <x v="11"/>
    <x v="106"/>
    <x v="10"/>
    <x v="1"/>
    <x v="2"/>
    <n v="143.6"/>
  </r>
  <r>
    <x v="8"/>
    <x v="11"/>
    <x v="106"/>
    <x v="9"/>
    <x v="0"/>
    <x v="0"/>
    <n v="152.69999999999999"/>
  </r>
  <r>
    <x v="8"/>
    <x v="11"/>
    <x v="106"/>
    <x v="9"/>
    <x v="0"/>
    <x v="1"/>
    <n v="156.69999999999999"/>
  </r>
  <r>
    <x v="8"/>
    <x v="11"/>
    <x v="106"/>
    <x v="9"/>
    <x v="0"/>
    <x v="2"/>
    <n v="161.19999999999999"/>
  </r>
  <r>
    <x v="8"/>
    <x v="11"/>
    <x v="106"/>
    <x v="13"/>
    <x v="3"/>
    <x v="0"/>
    <n v="163.69999999999999"/>
  </r>
  <r>
    <x v="8"/>
    <x v="11"/>
    <x v="106"/>
    <x v="13"/>
    <x v="3"/>
    <x v="1"/>
    <n v="162.6"/>
  </r>
  <r>
    <x v="8"/>
    <x v="11"/>
    <x v="106"/>
    <x v="13"/>
    <x v="3"/>
    <x v="2"/>
    <n v="160.80000000000001"/>
  </r>
  <r>
    <x v="8"/>
    <x v="11"/>
    <x v="106"/>
    <x v="15"/>
    <x v="4"/>
    <x v="0"/>
    <n v="164"/>
  </r>
  <r>
    <x v="8"/>
    <x v="11"/>
    <x v="106"/>
    <x v="15"/>
    <x v="4"/>
    <x v="1"/>
    <n v="163.19999999999999"/>
  </r>
  <r>
    <x v="8"/>
    <x v="11"/>
    <x v="106"/>
    <x v="15"/>
    <x v="4"/>
    <x v="2"/>
    <n v="162.30000000000001"/>
  </r>
  <r>
    <x v="8"/>
    <x v="11"/>
    <x v="106"/>
    <x v="17"/>
    <x v="5"/>
    <x v="0"/>
    <n v="171.9"/>
  </r>
  <r>
    <x v="8"/>
    <x v="11"/>
    <x v="106"/>
    <x v="17"/>
    <x v="5"/>
    <x v="1"/>
    <n v="168.4"/>
  </r>
  <r>
    <x v="8"/>
    <x v="11"/>
    <x v="106"/>
    <x v="17"/>
    <x v="5"/>
    <x v="2"/>
    <n v="162.80000000000001"/>
  </r>
  <r>
    <x v="8"/>
    <x v="11"/>
    <x v="106"/>
    <x v="19"/>
    <x v="6"/>
    <x v="0"/>
    <n v="161.30000000000001"/>
  </r>
  <r>
    <x v="8"/>
    <x v="11"/>
    <x v="106"/>
    <x v="19"/>
    <x v="6"/>
    <x v="1"/>
    <n v="157.5"/>
  </r>
  <r>
    <x v="8"/>
    <x v="11"/>
    <x v="106"/>
    <x v="19"/>
    <x v="6"/>
    <x v="2"/>
    <n v="153.30000000000001"/>
  </r>
  <r>
    <x v="8"/>
    <x v="11"/>
    <x v="106"/>
    <x v="21"/>
    <x v="6"/>
    <x v="0"/>
    <n v="0"/>
  </r>
  <r>
    <x v="8"/>
    <x v="11"/>
    <x v="106"/>
    <x v="21"/>
    <x v="6"/>
    <x v="1"/>
    <n v="162.1"/>
  </r>
  <r>
    <x v="8"/>
    <x v="11"/>
    <x v="106"/>
    <x v="21"/>
    <x v="6"/>
    <x v="2"/>
    <n v="162.1"/>
  </r>
  <r>
    <x v="8"/>
    <x v="11"/>
    <x v="106"/>
    <x v="2"/>
    <x v="0"/>
    <x v="0"/>
    <n v="202.1"/>
  </r>
  <r>
    <x v="8"/>
    <x v="11"/>
    <x v="106"/>
    <x v="2"/>
    <x v="0"/>
    <x v="1"/>
    <n v="204"/>
  </r>
  <r>
    <x v="8"/>
    <x v="11"/>
    <x v="106"/>
    <x v="2"/>
    <x v="0"/>
    <x v="2"/>
    <n v="207.4"/>
  </r>
  <r>
    <x v="8"/>
    <x v="11"/>
    <x v="106"/>
    <x v="6"/>
    <x v="0"/>
    <x v="0"/>
    <n v="158"/>
  </r>
  <r>
    <x v="8"/>
    <x v="11"/>
    <x v="106"/>
    <x v="6"/>
    <x v="0"/>
    <x v="1"/>
    <n v="158.4"/>
  </r>
  <r>
    <x v="8"/>
    <x v="11"/>
    <x v="106"/>
    <x v="6"/>
    <x v="0"/>
    <x v="2"/>
    <n v="159.1"/>
  </r>
  <r>
    <x v="8"/>
    <x v="11"/>
    <x v="106"/>
    <x v="23"/>
    <x v="7"/>
    <x v="0"/>
    <n v="163.80000000000001"/>
  </r>
  <r>
    <x v="8"/>
    <x v="11"/>
    <x v="106"/>
    <x v="23"/>
    <x v="7"/>
    <x v="1"/>
    <n v="160"/>
  </r>
  <r>
    <x v="8"/>
    <x v="11"/>
    <x v="106"/>
    <x v="23"/>
    <x v="7"/>
    <x v="2"/>
    <n v="156"/>
  </r>
  <r>
    <x v="8"/>
    <x v="11"/>
    <x v="106"/>
    <x v="18"/>
    <x v="0"/>
    <x v="0"/>
    <n v="168.3"/>
  </r>
  <r>
    <x v="8"/>
    <x v="11"/>
    <x v="106"/>
    <x v="18"/>
    <x v="0"/>
    <x v="1"/>
    <n v="162.69999999999999"/>
  </r>
  <r>
    <x v="8"/>
    <x v="11"/>
    <x v="106"/>
    <x v="18"/>
    <x v="0"/>
    <x v="2"/>
    <n v="154.80000000000001"/>
  </r>
  <r>
    <x v="8"/>
    <x v="11"/>
    <x v="106"/>
    <x v="7"/>
    <x v="0"/>
    <x v="0"/>
    <n v="195.5"/>
  </r>
  <r>
    <x v="8"/>
    <x v="11"/>
    <x v="106"/>
    <x v="7"/>
    <x v="0"/>
    <x v="1"/>
    <n v="188"/>
  </r>
  <r>
    <x v="8"/>
    <x v="11"/>
    <x v="106"/>
    <x v="7"/>
    <x v="0"/>
    <x v="2"/>
    <n v="175"/>
  </r>
  <r>
    <x v="8"/>
    <x v="11"/>
    <x v="106"/>
    <x v="22"/>
    <x v="7"/>
    <x v="0"/>
    <n v="190.5"/>
  </r>
  <r>
    <x v="8"/>
    <x v="11"/>
    <x v="106"/>
    <x v="22"/>
    <x v="7"/>
    <x v="1"/>
    <n v="192.1"/>
  </r>
  <r>
    <x v="8"/>
    <x v="11"/>
    <x v="106"/>
    <x v="22"/>
    <x v="7"/>
    <x v="2"/>
    <n v="196.5"/>
  </r>
  <r>
    <x v="8"/>
    <x v="11"/>
    <x v="106"/>
    <x v="24"/>
    <x v="7"/>
    <x v="0"/>
    <n v="160.19999999999999"/>
  </r>
  <r>
    <x v="8"/>
    <x v="11"/>
    <x v="106"/>
    <x v="24"/>
    <x v="7"/>
    <x v="1"/>
    <n v="160"/>
  </r>
  <r>
    <x v="8"/>
    <x v="11"/>
    <x v="106"/>
    <x v="24"/>
    <x v="7"/>
    <x v="2"/>
    <n v="159.6"/>
  </r>
  <r>
    <x v="8"/>
    <x v="11"/>
    <x v="106"/>
    <x v="20"/>
    <x v="0"/>
    <x v="0"/>
    <n v="172.8"/>
  </r>
  <r>
    <x v="8"/>
    <x v="11"/>
    <x v="106"/>
    <x v="20"/>
    <x v="0"/>
    <x v="1"/>
    <n v="173.9"/>
  </r>
  <r>
    <x v="8"/>
    <x v="11"/>
    <x v="106"/>
    <x v="20"/>
    <x v="0"/>
    <x v="2"/>
    <n v="175.1"/>
  </r>
  <r>
    <x v="8"/>
    <x v="11"/>
    <x v="106"/>
    <x v="12"/>
    <x v="0"/>
    <x v="0"/>
    <n v="163.9"/>
  </r>
  <r>
    <x v="8"/>
    <x v="11"/>
    <x v="106"/>
    <x v="12"/>
    <x v="0"/>
    <x v="1"/>
    <n v="164.1"/>
  </r>
  <r>
    <x v="8"/>
    <x v="11"/>
    <x v="106"/>
    <x v="12"/>
    <x v="0"/>
    <x v="2"/>
    <n v="164.5"/>
  </r>
  <r>
    <x v="8"/>
    <x v="11"/>
    <x v="106"/>
    <x v="26"/>
    <x v="9"/>
    <x v="0"/>
    <n v="162.69999999999999"/>
  </r>
  <r>
    <x v="8"/>
    <x v="11"/>
    <x v="106"/>
    <x v="26"/>
    <x v="9"/>
    <x v="1"/>
    <n v="157.69999999999999"/>
  </r>
  <r>
    <x v="8"/>
    <x v="11"/>
    <x v="106"/>
    <x v="26"/>
    <x v="9"/>
    <x v="2"/>
    <n v="153.9"/>
  </r>
  <r>
    <x v="8"/>
    <x v="11"/>
    <x v="106"/>
    <x v="16"/>
    <x v="0"/>
    <x v="0"/>
    <n v="170.1"/>
  </r>
  <r>
    <x v="8"/>
    <x v="11"/>
    <x v="106"/>
    <x v="16"/>
    <x v="0"/>
    <x v="1"/>
    <n v="168.8"/>
  </r>
  <r>
    <x v="8"/>
    <x v="11"/>
    <x v="106"/>
    <x v="16"/>
    <x v="0"/>
    <x v="2"/>
    <n v="166.2"/>
  </r>
  <r>
    <x v="8"/>
    <x v="11"/>
    <x v="106"/>
    <x v="14"/>
    <x v="0"/>
    <x v="0"/>
    <n v="119.3"/>
  </r>
  <r>
    <x v="8"/>
    <x v="11"/>
    <x v="106"/>
    <x v="14"/>
    <x v="0"/>
    <x v="1"/>
    <n v="119.7"/>
  </r>
  <r>
    <x v="8"/>
    <x v="11"/>
    <x v="106"/>
    <x v="14"/>
    <x v="0"/>
    <x v="2"/>
    <n v="120.4"/>
  </r>
  <r>
    <x v="8"/>
    <x v="11"/>
    <x v="106"/>
    <x v="25"/>
    <x v="8"/>
    <x v="0"/>
    <n v="157.80000000000001"/>
  </r>
  <r>
    <x v="8"/>
    <x v="11"/>
    <x v="106"/>
    <x v="25"/>
    <x v="8"/>
    <x v="1"/>
    <n v="154"/>
  </r>
  <r>
    <x v="8"/>
    <x v="11"/>
    <x v="106"/>
    <x v="25"/>
    <x v="8"/>
    <x v="2"/>
    <n v="150.5"/>
  </r>
  <r>
    <x v="8"/>
    <x v="11"/>
    <x v="106"/>
    <x v="11"/>
    <x v="0"/>
    <x v="0"/>
    <n v="151.4"/>
  </r>
  <r>
    <x v="8"/>
    <x v="11"/>
    <x v="106"/>
    <x v="11"/>
    <x v="0"/>
    <x v="1"/>
    <n v="162.30000000000001"/>
  </r>
  <r>
    <x v="8"/>
    <x v="11"/>
    <x v="106"/>
    <x v="11"/>
    <x v="0"/>
    <x v="2"/>
    <n v="183.5"/>
  </r>
  <r>
    <x v="9"/>
    <x v="0"/>
    <x v="107"/>
    <x v="0"/>
    <x v="0"/>
    <x v="0"/>
    <n v="151.80000000000001"/>
  </r>
  <r>
    <x v="9"/>
    <x v="0"/>
    <x v="107"/>
    <x v="0"/>
    <x v="0"/>
    <x v="1"/>
    <n v="152.9"/>
  </r>
  <r>
    <x v="9"/>
    <x v="0"/>
    <x v="107"/>
    <x v="0"/>
    <x v="0"/>
    <x v="2"/>
    <n v="155.4"/>
  </r>
  <r>
    <x v="9"/>
    <x v="0"/>
    <x v="107"/>
    <x v="1"/>
    <x v="1"/>
    <x v="0"/>
    <n v="177.5"/>
  </r>
  <r>
    <x v="9"/>
    <x v="0"/>
    <x v="107"/>
    <x v="1"/>
    <x v="1"/>
    <x v="1"/>
    <n v="173.9"/>
  </r>
  <r>
    <x v="9"/>
    <x v="0"/>
    <x v="107"/>
    <x v="1"/>
    <x v="1"/>
    <x v="2"/>
    <n v="168.4"/>
  </r>
  <r>
    <x v="9"/>
    <x v="0"/>
    <x v="107"/>
    <x v="3"/>
    <x v="1"/>
    <x v="0"/>
    <n v="177.1"/>
  </r>
  <r>
    <x v="9"/>
    <x v="0"/>
    <x v="107"/>
    <x v="3"/>
    <x v="1"/>
    <x v="1"/>
    <n v="172.8"/>
  </r>
  <r>
    <x v="9"/>
    <x v="0"/>
    <x v="107"/>
    <x v="3"/>
    <x v="1"/>
    <x v="2"/>
    <n v="166.3"/>
  </r>
  <r>
    <x v="9"/>
    <x v="0"/>
    <x v="107"/>
    <x v="5"/>
    <x v="2"/>
    <x v="0"/>
    <n v="170.9"/>
  </r>
  <r>
    <x v="9"/>
    <x v="0"/>
    <x v="107"/>
    <x v="5"/>
    <x v="2"/>
    <x v="1"/>
    <n v="166.9"/>
  </r>
  <r>
    <x v="9"/>
    <x v="0"/>
    <x v="107"/>
    <x v="5"/>
    <x v="2"/>
    <x v="2"/>
    <n v="164"/>
  </r>
  <r>
    <x v="9"/>
    <x v="0"/>
    <x v="107"/>
    <x v="4"/>
    <x v="0"/>
    <x v="0"/>
    <n v="164.5"/>
  </r>
  <r>
    <x v="9"/>
    <x v="0"/>
    <x v="107"/>
    <x v="4"/>
    <x v="0"/>
    <x v="1"/>
    <n v="164.5"/>
  </r>
  <r>
    <x v="9"/>
    <x v="0"/>
    <x v="107"/>
    <x v="4"/>
    <x v="0"/>
    <x v="2"/>
    <n v="164.6"/>
  </r>
  <r>
    <x v="9"/>
    <x v="0"/>
    <x v="107"/>
    <x v="8"/>
    <x v="0"/>
    <x v="0"/>
    <n v="168.6"/>
  </r>
  <r>
    <x v="9"/>
    <x v="0"/>
    <x v="107"/>
    <x v="8"/>
    <x v="0"/>
    <x v="1"/>
    <n v="170.8"/>
  </r>
  <r>
    <x v="9"/>
    <x v="0"/>
    <x v="107"/>
    <x v="8"/>
    <x v="0"/>
    <x v="2"/>
    <n v="174.5"/>
  </r>
  <r>
    <x v="9"/>
    <x v="0"/>
    <x v="107"/>
    <x v="10"/>
    <x v="1"/>
    <x v="0"/>
    <n v="175.1"/>
  </r>
  <r>
    <x v="9"/>
    <x v="0"/>
    <x v="107"/>
    <x v="10"/>
    <x v="1"/>
    <x v="1"/>
    <n v="166.5"/>
  </r>
  <r>
    <x v="9"/>
    <x v="0"/>
    <x v="107"/>
    <x v="10"/>
    <x v="1"/>
    <x v="2"/>
    <n v="154.5"/>
  </r>
  <r>
    <x v="9"/>
    <x v="0"/>
    <x v="107"/>
    <x v="9"/>
    <x v="0"/>
    <x v="0"/>
    <n v="169.7"/>
  </r>
  <r>
    <x v="9"/>
    <x v="0"/>
    <x v="107"/>
    <x v="9"/>
    <x v="0"/>
    <x v="1"/>
    <n v="172.6"/>
  </r>
  <r>
    <x v="9"/>
    <x v="0"/>
    <x v="107"/>
    <x v="9"/>
    <x v="0"/>
    <x v="2"/>
    <n v="175.9"/>
  </r>
  <r>
    <x v="9"/>
    <x v="0"/>
    <x v="107"/>
    <x v="13"/>
    <x v="3"/>
    <x v="0"/>
    <n v="173.3"/>
  </r>
  <r>
    <x v="9"/>
    <x v="0"/>
    <x v="107"/>
    <x v="13"/>
    <x v="3"/>
    <x v="1"/>
    <n v="172.2"/>
  </r>
  <r>
    <x v="9"/>
    <x v="0"/>
    <x v="107"/>
    <x v="13"/>
    <x v="3"/>
    <x v="2"/>
    <n v="170.5"/>
  </r>
  <r>
    <x v="9"/>
    <x v="0"/>
    <x v="107"/>
    <x v="15"/>
    <x v="4"/>
    <x v="0"/>
    <n v="170.8"/>
  </r>
  <r>
    <x v="9"/>
    <x v="0"/>
    <x v="107"/>
    <x v="15"/>
    <x v="4"/>
    <x v="1"/>
    <n v="170.1"/>
  </r>
  <r>
    <x v="9"/>
    <x v="0"/>
    <x v="107"/>
    <x v="15"/>
    <x v="4"/>
    <x v="2"/>
    <n v="169.2"/>
  </r>
  <r>
    <x v="9"/>
    <x v="0"/>
    <x v="107"/>
    <x v="17"/>
    <x v="5"/>
    <x v="0"/>
    <n v="177"/>
  </r>
  <r>
    <x v="9"/>
    <x v="0"/>
    <x v="107"/>
    <x v="17"/>
    <x v="5"/>
    <x v="1"/>
    <n v="174"/>
  </r>
  <r>
    <x v="9"/>
    <x v="0"/>
    <x v="107"/>
    <x v="17"/>
    <x v="5"/>
    <x v="2"/>
    <n v="169"/>
  </r>
  <r>
    <x v="9"/>
    <x v="0"/>
    <x v="107"/>
    <x v="19"/>
    <x v="6"/>
    <x v="0"/>
    <n v="167.7"/>
  </r>
  <r>
    <x v="9"/>
    <x v="0"/>
    <x v="107"/>
    <x v="19"/>
    <x v="6"/>
    <x v="1"/>
    <n v="164"/>
  </r>
  <r>
    <x v="9"/>
    <x v="0"/>
    <x v="107"/>
    <x v="19"/>
    <x v="6"/>
    <x v="2"/>
    <n v="159.80000000000001"/>
  </r>
  <r>
    <x v="9"/>
    <x v="0"/>
    <x v="107"/>
    <x v="21"/>
    <x v="6"/>
    <x v="0"/>
    <n v="0"/>
  </r>
  <r>
    <x v="9"/>
    <x v="0"/>
    <x v="107"/>
    <x v="21"/>
    <x v="6"/>
    <x v="1"/>
    <n v="167"/>
  </r>
  <r>
    <x v="9"/>
    <x v="0"/>
    <x v="107"/>
    <x v="21"/>
    <x v="6"/>
    <x v="2"/>
    <n v="167"/>
  </r>
  <r>
    <x v="9"/>
    <x v="0"/>
    <x v="107"/>
    <x v="2"/>
    <x v="0"/>
    <x v="0"/>
    <n v="209.7"/>
  </r>
  <r>
    <x v="9"/>
    <x v="0"/>
    <x v="107"/>
    <x v="2"/>
    <x v="0"/>
    <x v="1"/>
    <n v="211.8"/>
  </r>
  <r>
    <x v="9"/>
    <x v="0"/>
    <x v="107"/>
    <x v="2"/>
    <x v="0"/>
    <x v="2"/>
    <n v="215.8"/>
  </r>
  <r>
    <x v="9"/>
    <x v="0"/>
    <x v="107"/>
    <x v="6"/>
    <x v="0"/>
    <x v="0"/>
    <n v="163.80000000000001"/>
  </r>
  <r>
    <x v="9"/>
    <x v="0"/>
    <x v="107"/>
    <x v="6"/>
    <x v="0"/>
    <x v="1"/>
    <n v="163.9"/>
  </r>
  <r>
    <x v="9"/>
    <x v="0"/>
    <x v="107"/>
    <x v="6"/>
    <x v="0"/>
    <x v="2"/>
    <n v="164.2"/>
  </r>
  <r>
    <x v="9"/>
    <x v="0"/>
    <x v="107"/>
    <x v="23"/>
    <x v="7"/>
    <x v="0"/>
    <n v="170.2"/>
  </r>
  <r>
    <x v="9"/>
    <x v="0"/>
    <x v="107"/>
    <x v="23"/>
    <x v="7"/>
    <x v="1"/>
    <n v="166.8"/>
  </r>
  <r>
    <x v="9"/>
    <x v="0"/>
    <x v="107"/>
    <x v="23"/>
    <x v="7"/>
    <x v="2"/>
    <n v="163.1"/>
  </r>
  <r>
    <x v="9"/>
    <x v="0"/>
    <x v="107"/>
    <x v="18"/>
    <x v="0"/>
    <x v="0"/>
    <n v="172.4"/>
  </r>
  <r>
    <x v="9"/>
    <x v="0"/>
    <x v="107"/>
    <x v="18"/>
    <x v="0"/>
    <x v="1"/>
    <n v="166.2"/>
  </r>
  <r>
    <x v="9"/>
    <x v="0"/>
    <x v="107"/>
    <x v="18"/>
    <x v="0"/>
    <x v="2"/>
    <n v="157.5"/>
  </r>
  <r>
    <x v="9"/>
    <x v="0"/>
    <x v="107"/>
    <x v="7"/>
    <x v="0"/>
    <x v="0"/>
    <n v="207.4"/>
  </r>
  <r>
    <x v="9"/>
    <x v="0"/>
    <x v="107"/>
    <x v="7"/>
    <x v="0"/>
    <x v="1"/>
    <n v="199.5"/>
  </r>
  <r>
    <x v="9"/>
    <x v="0"/>
    <x v="107"/>
    <x v="7"/>
    <x v="0"/>
    <x v="2"/>
    <n v="186"/>
  </r>
  <r>
    <x v="9"/>
    <x v="0"/>
    <x v="107"/>
    <x v="22"/>
    <x v="7"/>
    <x v="0"/>
    <n v="192.8"/>
  </r>
  <r>
    <x v="9"/>
    <x v="0"/>
    <x v="107"/>
    <x v="22"/>
    <x v="7"/>
    <x v="1"/>
    <n v="193.9"/>
  </r>
  <r>
    <x v="9"/>
    <x v="0"/>
    <x v="107"/>
    <x v="22"/>
    <x v="7"/>
    <x v="2"/>
    <n v="197.1"/>
  </r>
  <r>
    <x v="9"/>
    <x v="0"/>
    <x v="107"/>
    <x v="24"/>
    <x v="7"/>
    <x v="0"/>
    <n v="169"/>
  </r>
  <r>
    <x v="9"/>
    <x v="0"/>
    <x v="107"/>
    <x v="24"/>
    <x v="7"/>
    <x v="1"/>
    <n v="168.8"/>
  </r>
  <r>
    <x v="9"/>
    <x v="0"/>
    <x v="107"/>
    <x v="24"/>
    <x v="7"/>
    <x v="2"/>
    <n v="168.4"/>
  </r>
  <r>
    <x v="9"/>
    <x v="0"/>
    <x v="107"/>
    <x v="20"/>
    <x v="0"/>
    <x v="0"/>
    <n v="178.9"/>
  </r>
  <r>
    <x v="9"/>
    <x v="0"/>
    <x v="107"/>
    <x v="20"/>
    <x v="0"/>
    <x v="1"/>
    <n v="180.9"/>
  </r>
  <r>
    <x v="9"/>
    <x v="0"/>
    <x v="107"/>
    <x v="20"/>
    <x v="0"/>
    <x v="2"/>
    <n v="183.3"/>
  </r>
  <r>
    <x v="9"/>
    <x v="0"/>
    <x v="107"/>
    <x v="12"/>
    <x v="0"/>
    <x v="0"/>
    <n v="165.1"/>
  </r>
  <r>
    <x v="9"/>
    <x v="0"/>
    <x v="107"/>
    <x v="12"/>
    <x v="0"/>
    <x v="1"/>
    <n v="164.7"/>
  </r>
  <r>
    <x v="9"/>
    <x v="0"/>
    <x v="107"/>
    <x v="12"/>
    <x v="0"/>
    <x v="2"/>
    <n v="164"/>
  </r>
  <r>
    <x v="9"/>
    <x v="0"/>
    <x v="107"/>
    <x v="26"/>
    <x v="9"/>
    <x v="0"/>
    <n v="167.2"/>
  </r>
  <r>
    <x v="9"/>
    <x v="0"/>
    <x v="107"/>
    <x v="26"/>
    <x v="9"/>
    <x v="1"/>
    <n v="164.4"/>
  </r>
  <r>
    <x v="9"/>
    <x v="0"/>
    <x v="107"/>
    <x v="26"/>
    <x v="9"/>
    <x v="2"/>
    <n v="162.19999999999999"/>
  </r>
  <r>
    <x v="9"/>
    <x v="0"/>
    <x v="107"/>
    <x v="16"/>
    <x v="0"/>
    <x v="0"/>
    <n v="182.9"/>
  </r>
  <r>
    <x v="9"/>
    <x v="0"/>
    <x v="107"/>
    <x v="16"/>
    <x v="0"/>
    <x v="1"/>
    <n v="181.3"/>
  </r>
  <r>
    <x v="9"/>
    <x v="0"/>
    <x v="107"/>
    <x v="16"/>
    <x v="0"/>
    <x v="2"/>
    <n v="178"/>
  </r>
  <r>
    <x v="9"/>
    <x v="0"/>
    <x v="107"/>
    <x v="14"/>
    <x v="0"/>
    <x v="0"/>
    <n v="118.2"/>
  </r>
  <r>
    <x v="9"/>
    <x v="0"/>
    <x v="107"/>
    <x v="14"/>
    <x v="0"/>
    <x v="1"/>
    <n v="119"/>
  </r>
  <r>
    <x v="9"/>
    <x v="0"/>
    <x v="107"/>
    <x v="14"/>
    <x v="0"/>
    <x v="2"/>
    <n v="120.5"/>
  </r>
  <r>
    <x v="9"/>
    <x v="0"/>
    <x v="107"/>
    <x v="25"/>
    <x v="8"/>
    <x v="0"/>
    <n v="166.2"/>
  </r>
  <r>
    <x v="9"/>
    <x v="0"/>
    <x v="107"/>
    <x v="25"/>
    <x v="8"/>
    <x v="1"/>
    <n v="162.6"/>
  </r>
  <r>
    <x v="9"/>
    <x v="0"/>
    <x v="107"/>
    <x v="25"/>
    <x v="8"/>
    <x v="2"/>
    <n v="159.30000000000001"/>
  </r>
  <r>
    <x v="9"/>
    <x v="0"/>
    <x v="107"/>
    <x v="11"/>
    <x v="0"/>
    <x v="0"/>
    <n v="153.6"/>
  </r>
  <r>
    <x v="9"/>
    <x v="0"/>
    <x v="107"/>
    <x v="11"/>
    <x v="0"/>
    <x v="1"/>
    <n v="166.2"/>
  </r>
  <r>
    <x v="9"/>
    <x v="0"/>
    <x v="107"/>
    <x v="11"/>
    <x v="0"/>
    <x v="2"/>
    <n v="190.7"/>
  </r>
  <r>
    <x v="9"/>
    <x v="1"/>
    <x v="108"/>
    <x v="0"/>
    <x v="0"/>
    <x v="0"/>
    <n v="159.5"/>
  </r>
  <r>
    <x v="9"/>
    <x v="1"/>
    <x v="108"/>
    <x v="0"/>
    <x v="0"/>
    <x v="1"/>
    <n v="160.30000000000001"/>
  </r>
  <r>
    <x v="9"/>
    <x v="1"/>
    <x v="108"/>
    <x v="0"/>
    <x v="0"/>
    <x v="2"/>
    <n v="162.1"/>
  </r>
  <r>
    <x v="9"/>
    <x v="1"/>
    <x v="108"/>
    <x v="1"/>
    <x v="1"/>
    <x v="0"/>
    <n v="183.2"/>
  </r>
  <r>
    <x v="9"/>
    <x v="1"/>
    <x v="108"/>
    <x v="1"/>
    <x v="1"/>
    <x v="1"/>
    <n v="179.5"/>
  </r>
  <r>
    <x v="9"/>
    <x v="1"/>
    <x v="108"/>
    <x v="1"/>
    <x v="1"/>
    <x v="2"/>
    <n v="173.7"/>
  </r>
  <r>
    <x v="9"/>
    <x v="1"/>
    <x v="108"/>
    <x v="3"/>
    <x v="1"/>
    <x v="0"/>
    <n v="183"/>
  </r>
  <r>
    <x v="9"/>
    <x v="1"/>
    <x v="108"/>
    <x v="3"/>
    <x v="1"/>
    <x v="1"/>
    <n v="178.5"/>
  </r>
  <r>
    <x v="9"/>
    <x v="1"/>
    <x v="108"/>
    <x v="3"/>
    <x v="1"/>
    <x v="2"/>
    <n v="171.6"/>
  </r>
  <r>
    <x v="9"/>
    <x v="1"/>
    <x v="108"/>
    <x v="5"/>
    <x v="2"/>
    <x v="0"/>
    <n v="175.7"/>
  </r>
  <r>
    <x v="9"/>
    <x v="1"/>
    <x v="108"/>
    <x v="5"/>
    <x v="2"/>
    <x v="1"/>
    <n v="172.3"/>
  </r>
  <r>
    <x v="9"/>
    <x v="1"/>
    <x v="108"/>
    <x v="5"/>
    <x v="2"/>
    <x v="2"/>
    <n v="169.9"/>
  </r>
  <r>
    <x v="9"/>
    <x v="1"/>
    <x v="108"/>
    <x v="4"/>
    <x v="0"/>
    <x v="0"/>
    <n v="168.3"/>
  </r>
  <r>
    <x v="9"/>
    <x v="1"/>
    <x v="108"/>
    <x v="4"/>
    <x v="0"/>
    <x v="1"/>
    <n v="169.2"/>
  </r>
  <r>
    <x v="9"/>
    <x v="1"/>
    <x v="108"/>
    <x v="4"/>
    <x v="0"/>
    <x v="2"/>
    <n v="170.6"/>
  </r>
  <r>
    <x v="9"/>
    <x v="1"/>
    <x v="108"/>
    <x v="8"/>
    <x v="0"/>
    <x v="0"/>
    <n v="173.9"/>
  </r>
  <r>
    <x v="9"/>
    <x v="1"/>
    <x v="108"/>
    <x v="8"/>
    <x v="0"/>
    <x v="1"/>
    <n v="176.3"/>
  </r>
  <r>
    <x v="9"/>
    <x v="1"/>
    <x v="108"/>
    <x v="8"/>
    <x v="0"/>
    <x v="2"/>
    <n v="180.4"/>
  </r>
  <r>
    <x v="9"/>
    <x v="1"/>
    <x v="108"/>
    <x v="10"/>
    <x v="1"/>
    <x v="0"/>
    <n v="181.7"/>
  </r>
  <r>
    <x v="9"/>
    <x v="1"/>
    <x v="108"/>
    <x v="10"/>
    <x v="1"/>
    <x v="1"/>
    <n v="172.7"/>
  </r>
  <r>
    <x v="9"/>
    <x v="1"/>
    <x v="108"/>
    <x v="10"/>
    <x v="1"/>
    <x v="2"/>
    <n v="160"/>
  </r>
  <r>
    <x v="9"/>
    <x v="1"/>
    <x v="108"/>
    <x v="9"/>
    <x v="0"/>
    <x v="0"/>
    <n v="169.2"/>
  </r>
  <r>
    <x v="9"/>
    <x v="1"/>
    <x v="108"/>
    <x v="9"/>
    <x v="0"/>
    <x v="1"/>
    <n v="172.9"/>
  </r>
  <r>
    <x v="9"/>
    <x v="1"/>
    <x v="108"/>
    <x v="9"/>
    <x v="0"/>
    <x v="2"/>
    <n v="177.1"/>
  </r>
  <r>
    <x v="9"/>
    <x v="1"/>
    <x v="108"/>
    <x v="13"/>
    <x v="3"/>
    <x v="0"/>
    <n v="179.1"/>
  </r>
  <r>
    <x v="9"/>
    <x v="1"/>
    <x v="108"/>
    <x v="13"/>
    <x v="3"/>
    <x v="1"/>
    <n v="178.8"/>
  </r>
  <r>
    <x v="9"/>
    <x v="1"/>
    <x v="108"/>
    <x v="13"/>
    <x v="3"/>
    <x v="2"/>
    <n v="178.4"/>
  </r>
  <r>
    <x v="9"/>
    <x v="1"/>
    <x v="108"/>
    <x v="15"/>
    <x v="4"/>
    <x v="0"/>
    <n v="175.3"/>
  </r>
  <r>
    <x v="9"/>
    <x v="1"/>
    <x v="108"/>
    <x v="15"/>
    <x v="4"/>
    <x v="1"/>
    <n v="174.3"/>
  </r>
  <r>
    <x v="9"/>
    <x v="1"/>
    <x v="108"/>
    <x v="15"/>
    <x v="4"/>
    <x v="2"/>
    <n v="173.1"/>
  </r>
  <r>
    <x v="9"/>
    <x v="1"/>
    <x v="108"/>
    <x v="17"/>
    <x v="5"/>
    <x v="0"/>
    <n v="179.4"/>
  </r>
  <r>
    <x v="9"/>
    <x v="1"/>
    <x v="108"/>
    <x v="17"/>
    <x v="5"/>
    <x v="1"/>
    <n v="176.8"/>
  </r>
  <r>
    <x v="9"/>
    <x v="1"/>
    <x v="108"/>
    <x v="17"/>
    <x v="5"/>
    <x v="2"/>
    <n v="172.6"/>
  </r>
  <r>
    <x v="9"/>
    <x v="1"/>
    <x v="108"/>
    <x v="19"/>
    <x v="6"/>
    <x v="0"/>
    <n v="172.3"/>
  </r>
  <r>
    <x v="9"/>
    <x v="1"/>
    <x v="108"/>
    <x v="19"/>
    <x v="6"/>
    <x v="1"/>
    <n v="168.5"/>
  </r>
  <r>
    <x v="9"/>
    <x v="1"/>
    <x v="108"/>
    <x v="19"/>
    <x v="6"/>
    <x v="2"/>
    <n v="164.2"/>
  </r>
  <r>
    <x v="9"/>
    <x v="1"/>
    <x v="108"/>
    <x v="21"/>
    <x v="6"/>
    <x v="0"/>
    <n v="0"/>
  </r>
  <r>
    <x v="9"/>
    <x v="1"/>
    <x v="108"/>
    <x v="21"/>
    <x v="6"/>
    <x v="1"/>
    <n v="169"/>
  </r>
  <r>
    <x v="9"/>
    <x v="1"/>
    <x v="108"/>
    <x v="21"/>
    <x v="6"/>
    <x v="2"/>
    <n v="169"/>
  </r>
  <r>
    <x v="9"/>
    <x v="1"/>
    <x v="108"/>
    <x v="2"/>
    <x v="0"/>
    <x v="0"/>
    <n v="204.1"/>
  </r>
  <r>
    <x v="9"/>
    <x v="1"/>
    <x v="108"/>
    <x v="2"/>
    <x v="0"/>
    <x v="1"/>
    <n v="206.5"/>
  </r>
  <r>
    <x v="9"/>
    <x v="1"/>
    <x v="108"/>
    <x v="2"/>
    <x v="0"/>
    <x v="2"/>
    <n v="210.9"/>
  </r>
  <r>
    <x v="9"/>
    <x v="1"/>
    <x v="108"/>
    <x v="6"/>
    <x v="0"/>
    <x v="0"/>
    <n v="167.9"/>
  </r>
  <r>
    <x v="9"/>
    <x v="1"/>
    <x v="108"/>
    <x v="6"/>
    <x v="0"/>
    <x v="1"/>
    <n v="168.1"/>
  </r>
  <r>
    <x v="9"/>
    <x v="1"/>
    <x v="108"/>
    <x v="6"/>
    <x v="0"/>
    <x v="2"/>
    <n v="168.4"/>
  </r>
  <r>
    <x v="9"/>
    <x v="1"/>
    <x v="108"/>
    <x v="23"/>
    <x v="7"/>
    <x v="0"/>
    <n v="172.6"/>
  </r>
  <r>
    <x v="9"/>
    <x v="1"/>
    <x v="108"/>
    <x v="23"/>
    <x v="7"/>
    <x v="1"/>
    <n v="169.1"/>
  </r>
  <r>
    <x v="9"/>
    <x v="1"/>
    <x v="108"/>
    <x v="23"/>
    <x v="7"/>
    <x v="2"/>
    <n v="165.4"/>
  </r>
  <r>
    <x v="9"/>
    <x v="1"/>
    <x v="108"/>
    <x v="18"/>
    <x v="0"/>
    <x v="0"/>
    <n v="174.8"/>
  </r>
  <r>
    <x v="9"/>
    <x v="1"/>
    <x v="108"/>
    <x v="18"/>
    <x v="0"/>
    <x v="1"/>
    <n v="168.8"/>
  </r>
  <r>
    <x v="9"/>
    <x v="1"/>
    <x v="108"/>
    <x v="18"/>
    <x v="0"/>
    <x v="2"/>
    <n v="160.5"/>
  </r>
  <r>
    <x v="9"/>
    <x v="1"/>
    <x v="108"/>
    <x v="7"/>
    <x v="0"/>
    <x v="0"/>
    <n v="198.1"/>
  </r>
  <r>
    <x v="9"/>
    <x v="1"/>
    <x v="108"/>
    <x v="7"/>
    <x v="0"/>
    <x v="1"/>
    <n v="192.4"/>
  </r>
  <r>
    <x v="9"/>
    <x v="1"/>
    <x v="108"/>
    <x v="7"/>
    <x v="0"/>
    <x v="2"/>
    <n v="182.5"/>
  </r>
  <r>
    <x v="9"/>
    <x v="1"/>
    <x v="108"/>
    <x v="22"/>
    <x v="7"/>
    <x v="0"/>
    <n v="193.7"/>
  </r>
  <r>
    <x v="9"/>
    <x v="1"/>
    <x v="108"/>
    <x v="22"/>
    <x v="7"/>
    <x v="1"/>
    <n v="195"/>
  </r>
  <r>
    <x v="9"/>
    <x v="1"/>
    <x v="108"/>
    <x v="22"/>
    <x v="7"/>
    <x v="2"/>
    <n v="198.7"/>
  </r>
  <r>
    <x v="9"/>
    <x v="1"/>
    <x v="108"/>
    <x v="24"/>
    <x v="7"/>
    <x v="0"/>
    <n v="171.1"/>
  </r>
  <r>
    <x v="9"/>
    <x v="1"/>
    <x v="108"/>
    <x v="24"/>
    <x v="7"/>
    <x v="1"/>
    <n v="171.2"/>
  </r>
  <r>
    <x v="9"/>
    <x v="1"/>
    <x v="108"/>
    <x v="24"/>
    <x v="7"/>
    <x v="2"/>
    <n v="171.4"/>
  </r>
  <r>
    <x v="9"/>
    <x v="1"/>
    <x v="108"/>
    <x v="20"/>
    <x v="0"/>
    <x v="0"/>
    <n v="184"/>
  </r>
  <r>
    <x v="9"/>
    <x v="1"/>
    <x v="108"/>
    <x v="20"/>
    <x v="0"/>
    <x v="1"/>
    <n v="186.3"/>
  </r>
  <r>
    <x v="9"/>
    <x v="1"/>
    <x v="108"/>
    <x v="20"/>
    <x v="0"/>
    <x v="2"/>
    <n v="188.9"/>
  </r>
  <r>
    <x v="9"/>
    <x v="1"/>
    <x v="108"/>
    <x v="12"/>
    <x v="0"/>
    <x v="0"/>
    <n v="167.1"/>
  </r>
  <r>
    <x v="9"/>
    <x v="1"/>
    <x v="108"/>
    <x v="12"/>
    <x v="0"/>
    <x v="1"/>
    <n v="167.2"/>
  </r>
  <r>
    <x v="9"/>
    <x v="1"/>
    <x v="108"/>
    <x v="12"/>
    <x v="0"/>
    <x v="2"/>
    <n v="167.3"/>
  </r>
  <r>
    <x v="9"/>
    <x v="1"/>
    <x v="108"/>
    <x v="26"/>
    <x v="9"/>
    <x v="0"/>
    <n v="169.3"/>
  </r>
  <r>
    <x v="9"/>
    <x v="1"/>
    <x v="108"/>
    <x v="26"/>
    <x v="9"/>
    <x v="1"/>
    <n v="166.9"/>
  </r>
  <r>
    <x v="9"/>
    <x v="1"/>
    <x v="108"/>
    <x v="26"/>
    <x v="9"/>
    <x v="2"/>
    <n v="165.1"/>
  </r>
  <r>
    <x v="9"/>
    <x v="1"/>
    <x v="108"/>
    <x v="16"/>
    <x v="0"/>
    <x v="0"/>
    <n v="195.6"/>
  </r>
  <r>
    <x v="9"/>
    <x v="1"/>
    <x v="108"/>
    <x v="16"/>
    <x v="0"/>
    <x v="1"/>
    <n v="193.6"/>
  </r>
  <r>
    <x v="9"/>
    <x v="1"/>
    <x v="108"/>
    <x v="16"/>
    <x v="0"/>
    <x v="2"/>
    <n v="189.7"/>
  </r>
  <r>
    <x v="9"/>
    <x v="1"/>
    <x v="108"/>
    <x v="14"/>
    <x v="0"/>
    <x v="0"/>
    <n v="120.2"/>
  </r>
  <r>
    <x v="9"/>
    <x v="1"/>
    <x v="108"/>
    <x v="14"/>
    <x v="0"/>
    <x v="1"/>
    <n v="120.9"/>
  </r>
  <r>
    <x v="9"/>
    <x v="1"/>
    <x v="108"/>
    <x v="14"/>
    <x v="0"/>
    <x v="2"/>
    <n v="122.2"/>
  </r>
  <r>
    <x v="9"/>
    <x v="1"/>
    <x v="108"/>
    <x v="25"/>
    <x v="8"/>
    <x v="0"/>
    <n v="166.6"/>
  </r>
  <r>
    <x v="9"/>
    <x v="1"/>
    <x v="108"/>
    <x v="25"/>
    <x v="8"/>
    <x v="1"/>
    <n v="161.9"/>
  </r>
  <r>
    <x v="9"/>
    <x v="1"/>
    <x v="108"/>
    <x v="25"/>
    <x v="8"/>
    <x v="2"/>
    <n v="157.69999999999999"/>
  </r>
  <r>
    <x v="9"/>
    <x v="1"/>
    <x v="108"/>
    <x v="11"/>
    <x v="0"/>
    <x v="0"/>
    <n v="173.1"/>
  </r>
  <r>
    <x v="9"/>
    <x v="1"/>
    <x v="108"/>
    <x v="11"/>
    <x v="0"/>
    <x v="1"/>
    <n v="186.7"/>
  </r>
  <r>
    <x v="9"/>
    <x v="1"/>
    <x v="108"/>
    <x v="11"/>
    <x v="0"/>
    <x v="2"/>
    <n v="213.1"/>
  </r>
  <r>
    <x v="9"/>
    <x v="2"/>
    <x v="109"/>
    <x v="0"/>
    <x v="0"/>
    <x v="0"/>
    <n v="168.8"/>
  </r>
  <r>
    <x v="9"/>
    <x v="2"/>
    <x v="109"/>
    <x v="0"/>
    <x v="0"/>
    <x v="1"/>
    <n v="169.2"/>
  </r>
  <r>
    <x v="9"/>
    <x v="2"/>
    <x v="109"/>
    <x v="0"/>
    <x v="0"/>
    <x v="2"/>
    <n v="170.2"/>
  </r>
  <r>
    <x v="9"/>
    <x v="2"/>
    <x v="109"/>
    <x v="1"/>
    <x v="1"/>
    <x v="0"/>
    <n v="188.1"/>
  </r>
  <r>
    <x v="9"/>
    <x v="2"/>
    <x v="109"/>
    <x v="1"/>
    <x v="1"/>
    <x v="1"/>
    <n v="184"/>
  </r>
  <r>
    <x v="9"/>
    <x v="2"/>
    <x v="109"/>
    <x v="1"/>
    <x v="1"/>
    <x v="2"/>
    <n v="177.7"/>
  </r>
  <r>
    <x v="9"/>
    <x v="2"/>
    <x v="109"/>
    <x v="3"/>
    <x v="1"/>
    <x v="0"/>
    <n v="187.8"/>
  </r>
  <r>
    <x v="9"/>
    <x v="2"/>
    <x v="109"/>
    <x v="3"/>
    <x v="1"/>
    <x v="1"/>
    <n v="183"/>
  </r>
  <r>
    <x v="9"/>
    <x v="2"/>
    <x v="109"/>
    <x v="3"/>
    <x v="1"/>
    <x v="2"/>
    <n v="175.7"/>
  </r>
  <r>
    <x v="9"/>
    <x v="2"/>
    <x v="109"/>
    <x v="5"/>
    <x v="2"/>
    <x v="0"/>
    <n v="177.3"/>
  </r>
  <r>
    <x v="9"/>
    <x v="2"/>
    <x v="109"/>
    <x v="5"/>
    <x v="2"/>
    <x v="1"/>
    <n v="174.1"/>
  </r>
  <r>
    <x v="9"/>
    <x v="2"/>
    <x v="109"/>
    <x v="5"/>
    <x v="2"/>
    <x v="2"/>
    <n v="171.8"/>
  </r>
  <r>
    <x v="9"/>
    <x v="2"/>
    <x v="109"/>
    <x v="4"/>
    <x v="0"/>
    <x v="0"/>
    <n v="189.1"/>
  </r>
  <r>
    <x v="9"/>
    <x v="2"/>
    <x v="109"/>
    <x v="4"/>
    <x v="0"/>
    <x v="1"/>
    <n v="190.2"/>
  </r>
  <r>
    <x v="9"/>
    <x v="2"/>
    <x v="109"/>
    <x v="4"/>
    <x v="0"/>
    <x v="2"/>
    <n v="191.9"/>
  </r>
  <r>
    <x v="9"/>
    <x v="2"/>
    <x v="109"/>
    <x v="8"/>
    <x v="0"/>
    <x v="0"/>
    <n v="174.4"/>
  </r>
  <r>
    <x v="9"/>
    <x v="2"/>
    <x v="109"/>
    <x v="8"/>
    <x v="0"/>
    <x v="1"/>
    <n v="175.9"/>
  </r>
  <r>
    <x v="9"/>
    <x v="2"/>
    <x v="109"/>
    <x v="8"/>
    <x v="0"/>
    <x v="2"/>
    <n v="178.6"/>
  </r>
  <r>
    <x v="9"/>
    <x v="2"/>
    <x v="109"/>
    <x v="10"/>
    <x v="1"/>
    <x v="0"/>
    <n v="185.9"/>
  </r>
  <r>
    <x v="9"/>
    <x v="2"/>
    <x v="109"/>
    <x v="10"/>
    <x v="1"/>
    <x v="1"/>
    <n v="177"/>
  </r>
  <r>
    <x v="9"/>
    <x v="2"/>
    <x v="109"/>
    <x v="10"/>
    <x v="1"/>
    <x v="2"/>
    <n v="164.5"/>
  </r>
  <r>
    <x v="9"/>
    <x v="2"/>
    <x v="109"/>
    <x v="9"/>
    <x v="0"/>
    <x v="0"/>
    <n v="156.69999999999999"/>
  </r>
  <r>
    <x v="9"/>
    <x v="2"/>
    <x v="109"/>
    <x v="9"/>
    <x v="0"/>
    <x v="1"/>
    <n v="158"/>
  </r>
  <r>
    <x v="9"/>
    <x v="2"/>
    <x v="109"/>
    <x v="9"/>
    <x v="0"/>
    <x v="2"/>
    <n v="159.5"/>
  </r>
  <r>
    <x v="9"/>
    <x v="2"/>
    <x v="109"/>
    <x v="13"/>
    <x v="3"/>
    <x v="0"/>
    <n v="182.8"/>
  </r>
  <r>
    <x v="9"/>
    <x v="2"/>
    <x v="109"/>
    <x v="13"/>
    <x v="3"/>
    <x v="1"/>
    <n v="182"/>
  </r>
  <r>
    <x v="9"/>
    <x v="2"/>
    <x v="109"/>
    <x v="13"/>
    <x v="3"/>
    <x v="2"/>
    <n v="180.6"/>
  </r>
  <r>
    <x v="9"/>
    <x v="2"/>
    <x v="109"/>
    <x v="15"/>
    <x v="4"/>
    <x v="0"/>
    <n v="177.1"/>
  </r>
  <r>
    <x v="9"/>
    <x v="2"/>
    <x v="109"/>
    <x v="15"/>
    <x v="4"/>
    <x v="1"/>
    <n v="175.7"/>
  </r>
  <r>
    <x v="9"/>
    <x v="2"/>
    <x v="109"/>
    <x v="15"/>
    <x v="4"/>
    <x v="2"/>
    <n v="174.1"/>
  </r>
  <r>
    <x v="9"/>
    <x v="2"/>
    <x v="109"/>
    <x v="17"/>
    <x v="5"/>
    <x v="0"/>
    <n v="183.5"/>
  </r>
  <r>
    <x v="9"/>
    <x v="2"/>
    <x v="109"/>
    <x v="17"/>
    <x v="5"/>
    <x v="1"/>
    <n v="181.1"/>
  </r>
  <r>
    <x v="9"/>
    <x v="2"/>
    <x v="109"/>
    <x v="17"/>
    <x v="5"/>
    <x v="2"/>
    <n v="177.2"/>
  </r>
  <r>
    <x v="9"/>
    <x v="2"/>
    <x v="109"/>
    <x v="19"/>
    <x v="6"/>
    <x v="0"/>
    <n v="176.4"/>
  </r>
  <r>
    <x v="9"/>
    <x v="2"/>
    <x v="109"/>
    <x v="19"/>
    <x v="6"/>
    <x v="1"/>
    <n v="172.1"/>
  </r>
  <r>
    <x v="9"/>
    <x v="2"/>
    <x v="109"/>
    <x v="19"/>
    <x v="6"/>
    <x v="2"/>
    <n v="167.3"/>
  </r>
  <r>
    <x v="9"/>
    <x v="2"/>
    <x v="109"/>
    <x v="21"/>
    <x v="6"/>
    <x v="0"/>
    <n v="0"/>
  </r>
  <r>
    <x v="9"/>
    <x v="2"/>
    <x v="109"/>
    <x v="21"/>
    <x v="6"/>
    <x v="1"/>
    <n v="170.7"/>
  </r>
  <r>
    <x v="9"/>
    <x v="2"/>
    <x v="109"/>
    <x v="21"/>
    <x v="6"/>
    <x v="2"/>
    <n v="170.7"/>
  </r>
  <r>
    <x v="9"/>
    <x v="2"/>
    <x v="109"/>
    <x v="2"/>
    <x v="0"/>
    <x v="0"/>
    <n v="206.9"/>
  </r>
  <r>
    <x v="9"/>
    <x v="2"/>
    <x v="109"/>
    <x v="2"/>
    <x v="0"/>
    <x v="1"/>
    <n v="209"/>
  </r>
  <r>
    <x v="9"/>
    <x v="2"/>
    <x v="109"/>
    <x v="2"/>
    <x v="0"/>
    <x v="2"/>
    <n v="212.9"/>
  </r>
  <r>
    <x v="9"/>
    <x v="2"/>
    <x v="109"/>
    <x v="6"/>
    <x v="0"/>
    <x v="0"/>
    <n v="173.4"/>
  </r>
  <r>
    <x v="9"/>
    <x v="2"/>
    <x v="109"/>
    <x v="6"/>
    <x v="0"/>
    <x v="1"/>
    <n v="173.6"/>
  </r>
  <r>
    <x v="9"/>
    <x v="2"/>
    <x v="109"/>
    <x v="6"/>
    <x v="0"/>
    <x v="2"/>
    <n v="173.9"/>
  </r>
  <r>
    <x v="9"/>
    <x v="2"/>
    <x v="109"/>
    <x v="23"/>
    <x v="7"/>
    <x v="0"/>
    <n v="175.5"/>
  </r>
  <r>
    <x v="9"/>
    <x v="2"/>
    <x v="109"/>
    <x v="23"/>
    <x v="7"/>
    <x v="1"/>
    <n v="172"/>
  </r>
  <r>
    <x v="9"/>
    <x v="2"/>
    <x v="109"/>
    <x v="23"/>
    <x v="7"/>
    <x v="2"/>
    <n v="168.2"/>
  </r>
  <r>
    <x v="9"/>
    <x v="2"/>
    <x v="109"/>
    <x v="18"/>
    <x v="0"/>
    <x v="0"/>
    <n v="176.8"/>
  </r>
  <r>
    <x v="9"/>
    <x v="2"/>
    <x v="109"/>
    <x v="18"/>
    <x v="0"/>
    <x v="1"/>
    <n v="171"/>
  </r>
  <r>
    <x v="9"/>
    <x v="2"/>
    <x v="109"/>
    <x v="18"/>
    <x v="0"/>
    <x v="2"/>
    <n v="162.80000000000001"/>
  </r>
  <r>
    <x v="9"/>
    <x v="2"/>
    <x v="109"/>
    <x v="7"/>
    <x v="0"/>
    <x v="0"/>
    <n v="193.9"/>
  </r>
  <r>
    <x v="9"/>
    <x v="2"/>
    <x v="109"/>
    <x v="7"/>
    <x v="0"/>
    <x v="1"/>
    <n v="188.5"/>
  </r>
  <r>
    <x v="9"/>
    <x v="2"/>
    <x v="109"/>
    <x v="7"/>
    <x v="0"/>
    <x v="2"/>
    <n v="179.1"/>
  </r>
  <r>
    <x v="9"/>
    <x v="2"/>
    <x v="109"/>
    <x v="22"/>
    <x v="7"/>
    <x v="0"/>
    <n v="195.9"/>
  </r>
  <r>
    <x v="9"/>
    <x v="2"/>
    <x v="109"/>
    <x v="22"/>
    <x v="7"/>
    <x v="1"/>
    <n v="197.3"/>
  </r>
  <r>
    <x v="9"/>
    <x v="2"/>
    <x v="109"/>
    <x v="22"/>
    <x v="7"/>
    <x v="2"/>
    <n v="201.1"/>
  </r>
  <r>
    <x v="9"/>
    <x v="2"/>
    <x v="109"/>
    <x v="24"/>
    <x v="7"/>
    <x v="0"/>
    <n v="175.7"/>
  </r>
  <r>
    <x v="9"/>
    <x v="2"/>
    <x v="109"/>
    <x v="24"/>
    <x v="7"/>
    <x v="1"/>
    <n v="175.8"/>
  </r>
  <r>
    <x v="9"/>
    <x v="2"/>
    <x v="109"/>
    <x v="24"/>
    <x v="7"/>
    <x v="2"/>
    <n v="176"/>
  </r>
  <r>
    <x v="9"/>
    <x v="2"/>
    <x v="109"/>
    <x v="20"/>
    <x v="0"/>
    <x v="0"/>
    <n v="187.7"/>
  </r>
  <r>
    <x v="9"/>
    <x v="2"/>
    <x v="109"/>
    <x v="20"/>
    <x v="0"/>
    <x v="1"/>
    <n v="190.3"/>
  </r>
  <r>
    <x v="9"/>
    <x v="2"/>
    <x v="109"/>
    <x v="20"/>
    <x v="0"/>
    <x v="2"/>
    <n v="193.3"/>
  </r>
  <r>
    <x v="9"/>
    <x v="2"/>
    <x v="109"/>
    <x v="12"/>
    <x v="0"/>
    <x v="0"/>
    <n v="170.5"/>
  </r>
  <r>
    <x v="9"/>
    <x v="2"/>
    <x v="109"/>
    <x v="12"/>
    <x v="0"/>
    <x v="1"/>
    <n v="170.8"/>
  </r>
  <r>
    <x v="9"/>
    <x v="2"/>
    <x v="109"/>
    <x v="12"/>
    <x v="0"/>
    <x v="2"/>
    <n v="171.3"/>
  </r>
  <r>
    <x v="9"/>
    <x v="2"/>
    <x v="109"/>
    <x v="26"/>
    <x v="9"/>
    <x v="0"/>
    <n v="171.2"/>
  </r>
  <r>
    <x v="9"/>
    <x v="2"/>
    <x v="109"/>
    <x v="26"/>
    <x v="9"/>
    <x v="1"/>
    <n v="168.9"/>
  </r>
  <r>
    <x v="9"/>
    <x v="2"/>
    <x v="109"/>
    <x v="26"/>
    <x v="9"/>
    <x v="2"/>
    <n v="167.1"/>
  </r>
  <r>
    <x v="9"/>
    <x v="2"/>
    <x v="109"/>
    <x v="16"/>
    <x v="0"/>
    <x v="0"/>
    <n v="207.5"/>
  </r>
  <r>
    <x v="9"/>
    <x v="2"/>
    <x v="109"/>
    <x v="16"/>
    <x v="0"/>
    <x v="1"/>
    <n v="205.2"/>
  </r>
  <r>
    <x v="9"/>
    <x v="2"/>
    <x v="109"/>
    <x v="16"/>
    <x v="0"/>
    <x v="2"/>
    <n v="200.5"/>
  </r>
  <r>
    <x v="9"/>
    <x v="2"/>
    <x v="109"/>
    <x v="14"/>
    <x v="0"/>
    <x v="0"/>
    <n v="121.2"/>
  </r>
  <r>
    <x v="9"/>
    <x v="2"/>
    <x v="109"/>
    <x v="14"/>
    <x v="0"/>
    <x v="1"/>
    <n v="121.8"/>
  </r>
  <r>
    <x v="9"/>
    <x v="2"/>
    <x v="109"/>
    <x v="14"/>
    <x v="0"/>
    <x v="2"/>
    <n v="123.1"/>
  </r>
  <r>
    <x v="9"/>
    <x v="2"/>
    <x v="109"/>
    <x v="25"/>
    <x v="8"/>
    <x v="0"/>
    <n v="167.8"/>
  </r>
  <r>
    <x v="9"/>
    <x v="2"/>
    <x v="109"/>
    <x v="25"/>
    <x v="8"/>
    <x v="1"/>
    <n v="163.4"/>
  </r>
  <r>
    <x v="9"/>
    <x v="2"/>
    <x v="109"/>
    <x v="25"/>
    <x v="8"/>
    <x v="2"/>
    <n v="159.4"/>
  </r>
  <r>
    <x v="9"/>
    <x v="2"/>
    <x v="109"/>
    <x v="11"/>
    <x v="0"/>
    <x v="0"/>
    <n v="150.19999999999999"/>
  </r>
  <r>
    <x v="9"/>
    <x v="2"/>
    <x v="109"/>
    <x v="11"/>
    <x v="0"/>
    <x v="1"/>
    <n v="159.9"/>
  </r>
  <r>
    <x v="9"/>
    <x v="2"/>
    <x v="109"/>
    <x v="11"/>
    <x v="0"/>
    <x v="2"/>
    <n v="178.7"/>
  </r>
  <r>
    <x v="9"/>
    <x v="3"/>
    <x v="110"/>
    <x v="0"/>
    <x v="0"/>
    <x v="0"/>
    <n v="148.80000000000001"/>
  </r>
  <r>
    <x v="9"/>
    <x v="3"/>
    <x v="110"/>
    <x v="0"/>
    <x v="0"/>
    <x v="1"/>
    <n v="150"/>
  </r>
  <r>
    <x v="9"/>
    <x v="3"/>
    <x v="110"/>
    <x v="0"/>
    <x v="0"/>
    <x v="2"/>
    <n v="152.5"/>
  </r>
  <r>
    <x v="9"/>
    <x v="3"/>
    <x v="110"/>
    <x v="1"/>
    <x v="1"/>
    <x v="0"/>
    <n v="174.1"/>
  </r>
  <r>
    <x v="9"/>
    <x v="3"/>
    <x v="110"/>
    <x v="1"/>
    <x v="1"/>
    <x v="1"/>
    <n v="170.8"/>
  </r>
  <r>
    <x v="9"/>
    <x v="3"/>
    <x v="110"/>
    <x v="1"/>
    <x v="1"/>
    <x v="2"/>
    <n v="165.7"/>
  </r>
  <r>
    <x v="9"/>
    <x v="3"/>
    <x v="110"/>
    <x v="3"/>
    <x v="1"/>
    <x v="0"/>
    <n v="173.7"/>
  </r>
  <r>
    <x v="9"/>
    <x v="3"/>
    <x v="110"/>
    <x v="3"/>
    <x v="1"/>
    <x v="1"/>
    <n v="169.6"/>
  </r>
  <r>
    <x v="9"/>
    <x v="3"/>
    <x v="110"/>
    <x v="3"/>
    <x v="1"/>
    <x v="2"/>
    <n v="163.4"/>
  </r>
  <r>
    <x v="9"/>
    <x v="3"/>
    <x v="110"/>
    <x v="5"/>
    <x v="2"/>
    <x v="0"/>
    <n v="170.3"/>
  </r>
  <r>
    <x v="9"/>
    <x v="3"/>
    <x v="110"/>
    <x v="5"/>
    <x v="2"/>
    <x v="1"/>
    <n v="165.4"/>
  </r>
  <r>
    <x v="9"/>
    <x v="3"/>
    <x v="110"/>
    <x v="5"/>
    <x v="2"/>
    <x v="2"/>
    <n v="162"/>
  </r>
  <r>
    <x v="9"/>
    <x v="3"/>
    <x v="110"/>
    <x v="4"/>
    <x v="0"/>
    <x v="0"/>
    <n v="175.5"/>
  </r>
  <r>
    <x v="9"/>
    <x v="3"/>
    <x v="110"/>
    <x v="4"/>
    <x v="0"/>
    <x v="1"/>
    <n v="175.8"/>
  </r>
  <r>
    <x v="9"/>
    <x v="3"/>
    <x v="110"/>
    <x v="4"/>
    <x v="0"/>
    <x v="2"/>
    <n v="176.4"/>
  </r>
  <r>
    <x v="9"/>
    <x v="3"/>
    <x v="110"/>
    <x v="8"/>
    <x v="0"/>
    <x v="0"/>
    <n v="163.9"/>
  </r>
  <r>
    <x v="9"/>
    <x v="3"/>
    <x v="110"/>
    <x v="8"/>
    <x v="0"/>
    <x v="1"/>
    <n v="166.2"/>
  </r>
  <r>
    <x v="9"/>
    <x v="3"/>
    <x v="110"/>
    <x v="8"/>
    <x v="0"/>
    <x v="2"/>
    <n v="170.2"/>
  </r>
  <r>
    <x v="9"/>
    <x v="3"/>
    <x v="110"/>
    <x v="10"/>
    <x v="1"/>
    <x v="0"/>
    <n v="171"/>
  </r>
  <r>
    <x v="9"/>
    <x v="3"/>
    <x v="110"/>
    <x v="10"/>
    <x v="1"/>
    <x v="1"/>
    <n v="162.4"/>
  </r>
  <r>
    <x v="9"/>
    <x v="3"/>
    <x v="110"/>
    <x v="10"/>
    <x v="1"/>
    <x v="2"/>
    <n v="150.4"/>
  </r>
  <r>
    <x v="9"/>
    <x v="3"/>
    <x v="110"/>
    <x v="9"/>
    <x v="0"/>
    <x v="0"/>
    <n v="151.4"/>
  </r>
  <r>
    <x v="9"/>
    <x v="3"/>
    <x v="110"/>
    <x v="9"/>
    <x v="0"/>
    <x v="1"/>
    <n v="153.69999999999999"/>
  </r>
  <r>
    <x v="9"/>
    <x v="3"/>
    <x v="110"/>
    <x v="9"/>
    <x v="0"/>
    <x v="2"/>
    <n v="156.4"/>
  </r>
  <r>
    <x v="9"/>
    <x v="3"/>
    <x v="110"/>
    <x v="13"/>
    <x v="3"/>
    <x v="0"/>
    <n v="167.4"/>
  </r>
  <r>
    <x v="9"/>
    <x v="3"/>
    <x v="110"/>
    <x v="13"/>
    <x v="3"/>
    <x v="1"/>
    <n v="165.7"/>
  </r>
  <r>
    <x v="9"/>
    <x v="3"/>
    <x v="110"/>
    <x v="13"/>
    <x v="3"/>
    <x v="2"/>
    <n v="163"/>
  </r>
  <r>
    <x v="9"/>
    <x v="3"/>
    <x v="110"/>
    <x v="15"/>
    <x v="4"/>
    <x v="0"/>
    <n v="166.7"/>
  </r>
  <r>
    <x v="9"/>
    <x v="3"/>
    <x v="110"/>
    <x v="15"/>
    <x v="4"/>
    <x v="1"/>
    <n v="166.1"/>
  </r>
  <r>
    <x v="9"/>
    <x v="3"/>
    <x v="110"/>
    <x v="15"/>
    <x v="4"/>
    <x v="2"/>
    <n v="165.5"/>
  </r>
  <r>
    <x v="9"/>
    <x v="3"/>
    <x v="110"/>
    <x v="17"/>
    <x v="5"/>
    <x v="0"/>
    <n v="175.3"/>
  </r>
  <r>
    <x v="9"/>
    <x v="3"/>
    <x v="110"/>
    <x v="17"/>
    <x v="5"/>
    <x v="1"/>
    <n v="172.2"/>
  </r>
  <r>
    <x v="9"/>
    <x v="3"/>
    <x v="110"/>
    <x v="17"/>
    <x v="5"/>
    <x v="2"/>
    <n v="167.2"/>
  </r>
  <r>
    <x v="9"/>
    <x v="3"/>
    <x v="110"/>
    <x v="19"/>
    <x v="6"/>
    <x v="0"/>
    <n v="165.7"/>
  </r>
  <r>
    <x v="9"/>
    <x v="3"/>
    <x v="110"/>
    <x v="19"/>
    <x v="6"/>
    <x v="1"/>
    <n v="161.80000000000001"/>
  </r>
  <r>
    <x v="9"/>
    <x v="3"/>
    <x v="110"/>
    <x v="19"/>
    <x v="6"/>
    <x v="2"/>
    <n v="157.4"/>
  </r>
  <r>
    <x v="9"/>
    <x v="3"/>
    <x v="110"/>
    <x v="21"/>
    <x v="6"/>
    <x v="0"/>
    <n v="0"/>
  </r>
  <r>
    <x v="9"/>
    <x v="3"/>
    <x v="110"/>
    <x v="21"/>
    <x v="6"/>
    <x v="1"/>
    <n v="165.5"/>
  </r>
  <r>
    <x v="9"/>
    <x v="3"/>
    <x v="110"/>
    <x v="21"/>
    <x v="6"/>
    <x v="2"/>
    <n v="165.5"/>
  </r>
  <r>
    <x v="9"/>
    <x v="3"/>
    <x v="110"/>
    <x v="2"/>
    <x v="0"/>
    <x v="0"/>
    <n v="198.1"/>
  </r>
  <r>
    <x v="9"/>
    <x v="3"/>
    <x v="110"/>
    <x v="2"/>
    <x v="0"/>
    <x v="1"/>
    <n v="200.6"/>
  </r>
  <r>
    <x v="9"/>
    <x v="3"/>
    <x v="110"/>
    <x v="2"/>
    <x v="0"/>
    <x v="2"/>
    <n v="205.2"/>
  </r>
  <r>
    <x v="9"/>
    <x v="3"/>
    <x v="110"/>
    <x v="6"/>
    <x v="0"/>
    <x v="0"/>
    <n v="160.69999999999999"/>
  </r>
  <r>
    <x v="9"/>
    <x v="3"/>
    <x v="110"/>
    <x v="6"/>
    <x v="0"/>
    <x v="1"/>
    <n v="160.69999999999999"/>
  </r>
  <r>
    <x v="9"/>
    <x v="3"/>
    <x v="110"/>
    <x v="6"/>
    <x v="0"/>
    <x v="2"/>
    <n v="160.6"/>
  </r>
  <r>
    <x v="9"/>
    <x v="3"/>
    <x v="110"/>
    <x v="23"/>
    <x v="7"/>
    <x v="0"/>
    <n v="167.3"/>
  </r>
  <r>
    <x v="9"/>
    <x v="3"/>
    <x v="110"/>
    <x v="23"/>
    <x v="7"/>
    <x v="1"/>
    <n v="163.5"/>
  </r>
  <r>
    <x v="9"/>
    <x v="3"/>
    <x v="110"/>
    <x v="23"/>
    <x v="7"/>
    <x v="2"/>
    <n v="159.4"/>
  </r>
  <r>
    <x v="9"/>
    <x v="3"/>
    <x v="110"/>
    <x v="18"/>
    <x v="0"/>
    <x v="0"/>
    <n v="170.5"/>
  </r>
  <r>
    <x v="9"/>
    <x v="3"/>
    <x v="110"/>
    <x v="18"/>
    <x v="0"/>
    <x v="1"/>
    <n v="164.7"/>
  </r>
  <r>
    <x v="9"/>
    <x v="3"/>
    <x v="110"/>
    <x v="18"/>
    <x v="0"/>
    <x v="2"/>
    <n v="156.69999999999999"/>
  </r>
  <r>
    <x v="9"/>
    <x v="3"/>
    <x v="110"/>
    <x v="7"/>
    <x v="0"/>
    <x v="0"/>
    <n v="192.6"/>
  </r>
  <r>
    <x v="9"/>
    <x v="3"/>
    <x v="110"/>
    <x v="7"/>
    <x v="0"/>
    <x v="1"/>
    <n v="184.9"/>
  </r>
  <r>
    <x v="9"/>
    <x v="3"/>
    <x v="110"/>
    <x v="7"/>
    <x v="0"/>
    <x v="2"/>
    <n v="171.5"/>
  </r>
  <r>
    <x v="9"/>
    <x v="3"/>
    <x v="110"/>
    <x v="22"/>
    <x v="7"/>
    <x v="0"/>
    <n v="191.5"/>
  </r>
  <r>
    <x v="9"/>
    <x v="3"/>
    <x v="110"/>
    <x v="22"/>
    <x v="7"/>
    <x v="1"/>
    <n v="192.8"/>
  </r>
  <r>
    <x v="9"/>
    <x v="3"/>
    <x v="110"/>
    <x v="22"/>
    <x v="7"/>
    <x v="2"/>
    <n v="196.5"/>
  </r>
  <r>
    <x v="9"/>
    <x v="3"/>
    <x v="110"/>
    <x v="24"/>
    <x v="7"/>
    <x v="0"/>
    <n v="164.5"/>
  </r>
  <r>
    <x v="9"/>
    <x v="3"/>
    <x v="110"/>
    <x v="24"/>
    <x v="7"/>
    <x v="1"/>
    <n v="164.4"/>
  </r>
  <r>
    <x v="9"/>
    <x v="3"/>
    <x v="110"/>
    <x v="24"/>
    <x v="7"/>
    <x v="2"/>
    <n v="164.2"/>
  </r>
  <r>
    <x v="9"/>
    <x v="3"/>
    <x v="110"/>
    <x v="20"/>
    <x v="0"/>
    <x v="0"/>
    <n v="176.3"/>
  </r>
  <r>
    <x v="9"/>
    <x v="3"/>
    <x v="110"/>
    <x v="20"/>
    <x v="0"/>
    <x v="1"/>
    <n v="178"/>
  </r>
  <r>
    <x v="9"/>
    <x v="3"/>
    <x v="110"/>
    <x v="20"/>
    <x v="0"/>
    <x v="2"/>
    <n v="180"/>
  </r>
  <r>
    <x v="9"/>
    <x v="3"/>
    <x v="110"/>
    <x v="12"/>
    <x v="0"/>
    <x v="0"/>
    <n v="163.9"/>
  </r>
  <r>
    <x v="9"/>
    <x v="3"/>
    <x v="110"/>
    <x v="12"/>
    <x v="0"/>
    <x v="1"/>
    <n v="163.69999999999999"/>
  </r>
  <r>
    <x v="9"/>
    <x v="3"/>
    <x v="110"/>
    <x v="12"/>
    <x v="0"/>
    <x v="2"/>
    <n v="163.19999999999999"/>
  </r>
  <r>
    <x v="9"/>
    <x v="3"/>
    <x v="110"/>
    <x v="26"/>
    <x v="9"/>
    <x v="0"/>
    <n v="165.5"/>
  </r>
  <r>
    <x v="9"/>
    <x v="3"/>
    <x v="110"/>
    <x v="26"/>
    <x v="9"/>
    <x v="1"/>
    <n v="162.1"/>
  </r>
  <r>
    <x v="9"/>
    <x v="3"/>
    <x v="110"/>
    <x v="26"/>
    <x v="9"/>
    <x v="2"/>
    <n v="159.5"/>
  </r>
  <r>
    <x v="9"/>
    <x v="3"/>
    <x v="110"/>
    <x v="16"/>
    <x v="0"/>
    <x v="0"/>
    <n v="175.4"/>
  </r>
  <r>
    <x v="9"/>
    <x v="3"/>
    <x v="110"/>
    <x v="16"/>
    <x v="0"/>
    <x v="1"/>
    <n v="174.3"/>
  </r>
  <r>
    <x v="9"/>
    <x v="3"/>
    <x v="110"/>
    <x v="16"/>
    <x v="0"/>
    <x v="2"/>
    <n v="172.2"/>
  </r>
  <r>
    <x v="9"/>
    <x v="3"/>
    <x v="110"/>
    <x v="14"/>
    <x v="0"/>
    <x v="0"/>
    <n v="118.1"/>
  </r>
  <r>
    <x v="9"/>
    <x v="3"/>
    <x v="110"/>
    <x v="14"/>
    <x v="0"/>
    <x v="1"/>
    <n v="118.9"/>
  </r>
  <r>
    <x v="9"/>
    <x v="3"/>
    <x v="110"/>
    <x v="14"/>
    <x v="0"/>
    <x v="2"/>
    <n v="120.6"/>
  </r>
  <r>
    <x v="9"/>
    <x v="3"/>
    <x v="110"/>
    <x v="25"/>
    <x v="8"/>
    <x v="0"/>
    <n v="161.19999999999999"/>
  </r>
  <r>
    <x v="9"/>
    <x v="3"/>
    <x v="110"/>
    <x v="25"/>
    <x v="8"/>
    <x v="1"/>
    <n v="156.9"/>
  </r>
  <r>
    <x v="9"/>
    <x v="3"/>
    <x v="110"/>
    <x v="25"/>
    <x v="8"/>
    <x v="2"/>
    <n v="153.1"/>
  </r>
  <r>
    <x v="9"/>
    <x v="3"/>
    <x v="110"/>
    <x v="11"/>
    <x v="0"/>
    <x v="0"/>
    <n v="155.19999999999999"/>
  </r>
  <r>
    <x v="9"/>
    <x v="3"/>
    <x v="110"/>
    <x v="11"/>
    <x v="0"/>
    <x v="1"/>
    <n v="169.7"/>
  </r>
  <r>
    <x v="9"/>
    <x v="3"/>
    <x v="110"/>
    <x v="11"/>
    <x v="0"/>
    <x v="2"/>
    <n v="198"/>
  </r>
  <r>
    <x v="9"/>
    <x v="4"/>
    <x v="111"/>
    <x v="0"/>
    <x v="0"/>
    <x v="0"/>
    <n v="148.30000000000001"/>
  </r>
  <r>
    <x v="9"/>
    <x v="4"/>
    <x v="111"/>
    <x v="0"/>
    <x v="0"/>
    <x v="1"/>
    <n v="149.5"/>
  </r>
  <r>
    <x v="9"/>
    <x v="4"/>
    <x v="111"/>
    <x v="0"/>
    <x v="0"/>
    <x v="2"/>
    <n v="152.19999999999999"/>
  </r>
  <r>
    <x v="9"/>
    <x v="4"/>
    <x v="111"/>
    <x v="1"/>
    <x v="1"/>
    <x v="0"/>
    <n v="173.2"/>
  </r>
  <r>
    <x v="9"/>
    <x v="4"/>
    <x v="111"/>
    <x v="1"/>
    <x v="1"/>
    <x v="1"/>
    <n v="169.9"/>
  </r>
  <r>
    <x v="9"/>
    <x v="4"/>
    <x v="111"/>
    <x v="1"/>
    <x v="1"/>
    <x v="2"/>
    <n v="164.7"/>
  </r>
  <r>
    <x v="9"/>
    <x v="4"/>
    <x v="111"/>
    <x v="3"/>
    <x v="1"/>
    <x v="0"/>
    <n v="172.7"/>
  </r>
  <r>
    <x v="9"/>
    <x v="4"/>
    <x v="111"/>
    <x v="3"/>
    <x v="1"/>
    <x v="1"/>
    <n v="168.5"/>
  </r>
  <r>
    <x v="9"/>
    <x v="4"/>
    <x v="111"/>
    <x v="3"/>
    <x v="1"/>
    <x v="2"/>
    <n v="162.19999999999999"/>
  </r>
  <r>
    <x v="9"/>
    <x v="4"/>
    <x v="111"/>
    <x v="5"/>
    <x v="2"/>
    <x v="0"/>
    <n v="169.9"/>
  </r>
  <r>
    <x v="9"/>
    <x v="4"/>
    <x v="111"/>
    <x v="5"/>
    <x v="2"/>
    <x v="1"/>
    <n v="164.7"/>
  </r>
  <r>
    <x v="9"/>
    <x v="4"/>
    <x v="111"/>
    <x v="5"/>
    <x v="2"/>
    <x v="2"/>
    <n v="161"/>
  </r>
  <r>
    <x v="9"/>
    <x v="4"/>
    <x v="111"/>
    <x v="4"/>
    <x v="0"/>
    <x v="0"/>
    <n v="178"/>
  </r>
  <r>
    <x v="9"/>
    <x v="4"/>
    <x v="111"/>
    <x v="4"/>
    <x v="0"/>
    <x v="1"/>
    <n v="178.8"/>
  </r>
  <r>
    <x v="9"/>
    <x v="4"/>
    <x v="111"/>
    <x v="4"/>
    <x v="0"/>
    <x v="2"/>
    <n v="180.1"/>
  </r>
  <r>
    <x v="9"/>
    <x v="4"/>
    <x v="111"/>
    <x v="8"/>
    <x v="0"/>
    <x v="0"/>
    <n v="164.1"/>
  </r>
  <r>
    <x v="9"/>
    <x v="4"/>
    <x v="111"/>
    <x v="8"/>
    <x v="0"/>
    <x v="1"/>
    <n v="166.4"/>
  </r>
  <r>
    <x v="9"/>
    <x v="4"/>
    <x v="111"/>
    <x v="8"/>
    <x v="0"/>
    <x v="2"/>
    <n v="170.3"/>
  </r>
  <r>
    <x v="9"/>
    <x v="4"/>
    <x v="111"/>
    <x v="10"/>
    <x v="1"/>
    <x v="0"/>
    <n v="169.3"/>
  </r>
  <r>
    <x v="9"/>
    <x v="4"/>
    <x v="111"/>
    <x v="10"/>
    <x v="1"/>
    <x v="1"/>
    <n v="160.69999999999999"/>
  </r>
  <r>
    <x v="9"/>
    <x v="4"/>
    <x v="111"/>
    <x v="10"/>
    <x v="1"/>
    <x v="2"/>
    <n v="148.5"/>
  </r>
  <r>
    <x v="9"/>
    <x v="4"/>
    <x v="111"/>
    <x v="9"/>
    <x v="0"/>
    <x v="0"/>
    <n v="151.19999999999999"/>
  </r>
  <r>
    <x v="9"/>
    <x v="4"/>
    <x v="111"/>
    <x v="9"/>
    <x v="0"/>
    <x v="1"/>
    <n v="153.69999999999999"/>
  </r>
  <r>
    <x v="9"/>
    <x v="4"/>
    <x v="111"/>
    <x v="9"/>
    <x v="0"/>
    <x v="2"/>
    <n v="156.5"/>
  </r>
  <r>
    <x v="9"/>
    <x v="4"/>
    <x v="111"/>
    <x v="13"/>
    <x v="3"/>
    <x v="0"/>
    <n v="165.8"/>
  </r>
  <r>
    <x v="9"/>
    <x v="4"/>
    <x v="111"/>
    <x v="13"/>
    <x v="3"/>
    <x v="1"/>
    <n v="164.2"/>
  </r>
  <r>
    <x v="9"/>
    <x v="4"/>
    <x v="111"/>
    <x v="13"/>
    <x v="3"/>
    <x v="2"/>
    <n v="161.6"/>
  </r>
  <r>
    <x v="9"/>
    <x v="4"/>
    <x v="111"/>
    <x v="15"/>
    <x v="4"/>
    <x v="0"/>
    <n v="166.4"/>
  </r>
  <r>
    <x v="9"/>
    <x v="4"/>
    <x v="111"/>
    <x v="15"/>
    <x v="4"/>
    <x v="1"/>
    <n v="165.7"/>
  </r>
  <r>
    <x v="9"/>
    <x v="4"/>
    <x v="111"/>
    <x v="15"/>
    <x v="4"/>
    <x v="2"/>
    <n v="165"/>
  </r>
  <r>
    <x v="9"/>
    <x v="4"/>
    <x v="111"/>
    <x v="17"/>
    <x v="5"/>
    <x v="0"/>
    <n v="174.7"/>
  </r>
  <r>
    <x v="9"/>
    <x v="4"/>
    <x v="111"/>
    <x v="17"/>
    <x v="5"/>
    <x v="1"/>
    <n v="171.4"/>
  </r>
  <r>
    <x v="9"/>
    <x v="4"/>
    <x v="111"/>
    <x v="17"/>
    <x v="5"/>
    <x v="2"/>
    <n v="166.1"/>
  </r>
  <r>
    <x v="9"/>
    <x v="4"/>
    <x v="111"/>
    <x v="19"/>
    <x v="6"/>
    <x v="0"/>
    <n v="164.9"/>
  </r>
  <r>
    <x v="9"/>
    <x v="4"/>
    <x v="111"/>
    <x v="19"/>
    <x v="6"/>
    <x v="1"/>
    <n v="161.1"/>
  </r>
  <r>
    <x v="9"/>
    <x v="4"/>
    <x v="111"/>
    <x v="19"/>
    <x v="6"/>
    <x v="2"/>
    <n v="156.80000000000001"/>
  </r>
  <r>
    <x v="9"/>
    <x v="4"/>
    <x v="111"/>
    <x v="21"/>
    <x v="6"/>
    <x v="0"/>
    <n v="0"/>
  </r>
  <r>
    <x v="9"/>
    <x v="4"/>
    <x v="111"/>
    <x v="21"/>
    <x v="6"/>
    <x v="1"/>
    <n v="164.5"/>
  </r>
  <r>
    <x v="9"/>
    <x v="4"/>
    <x v="111"/>
    <x v="21"/>
    <x v="6"/>
    <x v="2"/>
    <n v="164.5"/>
  </r>
  <r>
    <x v="9"/>
    <x v="4"/>
    <x v="111"/>
    <x v="2"/>
    <x v="0"/>
    <x v="0"/>
    <n v="196.9"/>
  </r>
  <r>
    <x v="9"/>
    <x v="4"/>
    <x v="111"/>
    <x v="2"/>
    <x v="0"/>
    <x v="1"/>
    <n v="198.7"/>
  </r>
  <r>
    <x v="9"/>
    <x v="4"/>
    <x v="111"/>
    <x v="2"/>
    <x v="0"/>
    <x v="2"/>
    <n v="202.1"/>
  </r>
  <r>
    <x v="9"/>
    <x v="4"/>
    <x v="111"/>
    <x v="6"/>
    <x v="0"/>
    <x v="0"/>
    <n v="160.5"/>
  </r>
  <r>
    <x v="9"/>
    <x v="4"/>
    <x v="111"/>
    <x v="6"/>
    <x v="0"/>
    <x v="1"/>
    <n v="160.5"/>
  </r>
  <r>
    <x v="9"/>
    <x v="4"/>
    <x v="111"/>
    <x v="6"/>
    <x v="0"/>
    <x v="2"/>
    <n v="160.4"/>
  </r>
  <r>
    <x v="9"/>
    <x v="4"/>
    <x v="111"/>
    <x v="23"/>
    <x v="7"/>
    <x v="0"/>
    <n v="166.6"/>
  </r>
  <r>
    <x v="9"/>
    <x v="4"/>
    <x v="111"/>
    <x v="23"/>
    <x v="7"/>
    <x v="1"/>
    <n v="162.69999999999999"/>
  </r>
  <r>
    <x v="9"/>
    <x v="4"/>
    <x v="111"/>
    <x v="23"/>
    <x v="7"/>
    <x v="2"/>
    <n v="158.6"/>
  </r>
  <r>
    <x v="9"/>
    <x v="4"/>
    <x v="111"/>
    <x v="18"/>
    <x v="0"/>
    <x v="0"/>
    <n v="169.8"/>
  </r>
  <r>
    <x v="9"/>
    <x v="4"/>
    <x v="111"/>
    <x v="18"/>
    <x v="0"/>
    <x v="1"/>
    <n v="164.3"/>
  </r>
  <r>
    <x v="9"/>
    <x v="4"/>
    <x v="111"/>
    <x v="18"/>
    <x v="0"/>
    <x v="2"/>
    <n v="156.6"/>
  </r>
  <r>
    <x v="9"/>
    <x v="4"/>
    <x v="111"/>
    <x v="7"/>
    <x v="0"/>
    <x v="0"/>
    <n v="192.6"/>
  </r>
  <r>
    <x v="9"/>
    <x v="4"/>
    <x v="111"/>
    <x v="7"/>
    <x v="0"/>
    <x v="1"/>
    <n v="184.7"/>
  </r>
  <r>
    <x v="9"/>
    <x v="4"/>
    <x v="111"/>
    <x v="7"/>
    <x v="0"/>
    <x v="2"/>
    <n v="171"/>
  </r>
  <r>
    <x v="9"/>
    <x v="4"/>
    <x v="111"/>
    <x v="22"/>
    <x v="7"/>
    <x v="0"/>
    <n v="190.7"/>
  </r>
  <r>
    <x v="9"/>
    <x v="4"/>
    <x v="111"/>
    <x v="22"/>
    <x v="7"/>
    <x v="1"/>
    <n v="192.2"/>
  </r>
  <r>
    <x v="9"/>
    <x v="4"/>
    <x v="111"/>
    <x v="22"/>
    <x v="7"/>
    <x v="2"/>
    <n v="196.4"/>
  </r>
  <r>
    <x v="9"/>
    <x v="4"/>
    <x v="111"/>
    <x v="24"/>
    <x v="7"/>
    <x v="0"/>
    <n v="163.19999999999999"/>
  </r>
  <r>
    <x v="9"/>
    <x v="4"/>
    <x v="111"/>
    <x v="24"/>
    <x v="7"/>
    <x v="1"/>
    <n v="163"/>
  </r>
  <r>
    <x v="9"/>
    <x v="4"/>
    <x v="111"/>
    <x v="24"/>
    <x v="7"/>
    <x v="2"/>
    <n v="162.80000000000001"/>
  </r>
  <r>
    <x v="9"/>
    <x v="4"/>
    <x v="111"/>
    <x v="20"/>
    <x v="0"/>
    <x v="0"/>
    <n v="175.8"/>
  </r>
  <r>
    <x v="9"/>
    <x v="4"/>
    <x v="111"/>
    <x v="20"/>
    <x v="0"/>
    <x v="1"/>
    <n v="177.3"/>
  </r>
  <r>
    <x v="9"/>
    <x v="4"/>
    <x v="111"/>
    <x v="20"/>
    <x v="0"/>
    <x v="2"/>
    <n v="179"/>
  </r>
  <r>
    <x v="9"/>
    <x v="4"/>
    <x v="111"/>
    <x v="12"/>
    <x v="0"/>
    <x v="0"/>
    <n v="164"/>
  </r>
  <r>
    <x v="9"/>
    <x v="4"/>
    <x v="111"/>
    <x v="12"/>
    <x v="0"/>
    <x v="1"/>
    <n v="163.9"/>
  </r>
  <r>
    <x v="9"/>
    <x v="4"/>
    <x v="111"/>
    <x v="12"/>
    <x v="0"/>
    <x v="2"/>
    <n v="163.80000000000001"/>
  </r>
  <r>
    <x v="9"/>
    <x v="4"/>
    <x v="111"/>
    <x v="26"/>
    <x v="9"/>
    <x v="0"/>
    <n v="164.9"/>
  </r>
  <r>
    <x v="9"/>
    <x v="4"/>
    <x v="111"/>
    <x v="26"/>
    <x v="9"/>
    <x v="1"/>
    <n v="161.19999999999999"/>
  </r>
  <r>
    <x v="9"/>
    <x v="4"/>
    <x v="111"/>
    <x v="26"/>
    <x v="9"/>
    <x v="2"/>
    <n v="158.4"/>
  </r>
  <r>
    <x v="9"/>
    <x v="4"/>
    <x v="111"/>
    <x v="16"/>
    <x v="0"/>
    <x v="0"/>
    <n v="173.3"/>
  </r>
  <r>
    <x v="9"/>
    <x v="4"/>
    <x v="111"/>
    <x v="16"/>
    <x v="0"/>
    <x v="1"/>
    <n v="172.1"/>
  </r>
  <r>
    <x v="9"/>
    <x v="4"/>
    <x v="111"/>
    <x v="16"/>
    <x v="0"/>
    <x v="2"/>
    <n v="169.8"/>
  </r>
  <r>
    <x v="9"/>
    <x v="4"/>
    <x v="111"/>
    <x v="14"/>
    <x v="0"/>
    <x v="0"/>
    <n v="119.3"/>
  </r>
  <r>
    <x v="9"/>
    <x v="4"/>
    <x v="111"/>
    <x v="14"/>
    <x v="0"/>
    <x v="1"/>
    <n v="120"/>
  </r>
  <r>
    <x v="9"/>
    <x v="4"/>
    <x v="111"/>
    <x v="14"/>
    <x v="0"/>
    <x v="2"/>
    <n v="121.3"/>
  </r>
  <r>
    <x v="9"/>
    <x v="4"/>
    <x v="111"/>
    <x v="25"/>
    <x v="8"/>
    <x v="0"/>
    <n v="160.80000000000001"/>
  </r>
  <r>
    <x v="9"/>
    <x v="4"/>
    <x v="111"/>
    <x v="25"/>
    <x v="8"/>
    <x v="1"/>
    <n v="156.5"/>
  </r>
  <r>
    <x v="9"/>
    <x v="4"/>
    <x v="111"/>
    <x v="25"/>
    <x v="8"/>
    <x v="2"/>
    <n v="152.69999999999999"/>
  </r>
  <r>
    <x v="9"/>
    <x v="4"/>
    <x v="111"/>
    <x v="11"/>
    <x v="0"/>
    <x v="0"/>
    <n v="159.19999999999999"/>
  </r>
  <r>
    <x v="9"/>
    <x v="4"/>
    <x v="111"/>
    <x v="11"/>
    <x v="0"/>
    <x v="1"/>
    <n v="174.3"/>
  </r>
  <r>
    <x v="9"/>
    <x v="4"/>
    <x v="111"/>
    <x v="11"/>
    <x v="0"/>
    <x v="2"/>
    <n v="203.6"/>
  </r>
  <r>
    <x v="9"/>
    <x v="5"/>
    <x v="112"/>
    <x v="0"/>
    <x v="0"/>
    <x v="0"/>
    <n v="155.19999999999999"/>
  </r>
  <r>
    <x v="9"/>
    <x v="5"/>
    <x v="112"/>
    <x v="0"/>
    <x v="0"/>
    <x v="1"/>
    <n v="156.5"/>
  </r>
  <r>
    <x v="9"/>
    <x v="5"/>
    <x v="112"/>
    <x v="0"/>
    <x v="0"/>
    <x v="2"/>
    <n v="159.30000000000001"/>
  </r>
  <r>
    <x v="9"/>
    <x v="5"/>
    <x v="112"/>
    <x v="1"/>
    <x v="1"/>
    <x v="0"/>
    <n v="182"/>
  </r>
  <r>
    <x v="9"/>
    <x v="5"/>
    <x v="112"/>
    <x v="1"/>
    <x v="1"/>
    <x v="1"/>
    <n v="178.3"/>
  </r>
  <r>
    <x v="9"/>
    <x v="5"/>
    <x v="112"/>
    <x v="1"/>
    <x v="1"/>
    <x v="2"/>
    <n v="172.7"/>
  </r>
  <r>
    <x v="9"/>
    <x v="5"/>
    <x v="112"/>
    <x v="3"/>
    <x v="1"/>
    <x v="0"/>
    <n v="181.7"/>
  </r>
  <r>
    <x v="9"/>
    <x v="5"/>
    <x v="112"/>
    <x v="3"/>
    <x v="1"/>
    <x v="1"/>
    <n v="177.3"/>
  </r>
  <r>
    <x v="9"/>
    <x v="5"/>
    <x v="112"/>
    <x v="3"/>
    <x v="1"/>
    <x v="2"/>
    <n v="170.6"/>
  </r>
  <r>
    <x v="9"/>
    <x v="5"/>
    <x v="112"/>
    <x v="5"/>
    <x v="2"/>
    <x v="0"/>
    <n v="174.7"/>
  </r>
  <r>
    <x v="9"/>
    <x v="5"/>
    <x v="112"/>
    <x v="5"/>
    <x v="2"/>
    <x v="1"/>
    <n v="171.4"/>
  </r>
  <r>
    <x v="9"/>
    <x v="5"/>
    <x v="112"/>
    <x v="5"/>
    <x v="2"/>
    <x v="2"/>
    <n v="169.1"/>
  </r>
  <r>
    <x v="9"/>
    <x v="5"/>
    <x v="112"/>
    <x v="4"/>
    <x v="0"/>
    <x v="0"/>
    <n v="174.3"/>
  </r>
  <r>
    <x v="9"/>
    <x v="5"/>
    <x v="112"/>
    <x v="4"/>
    <x v="0"/>
    <x v="1"/>
    <n v="175.2"/>
  </r>
  <r>
    <x v="9"/>
    <x v="5"/>
    <x v="112"/>
    <x v="4"/>
    <x v="0"/>
    <x v="2"/>
    <n v="176.6"/>
  </r>
  <r>
    <x v="9"/>
    <x v="5"/>
    <x v="112"/>
    <x v="8"/>
    <x v="0"/>
    <x v="0"/>
    <n v="172.5"/>
  </r>
  <r>
    <x v="9"/>
    <x v="5"/>
    <x v="112"/>
    <x v="8"/>
    <x v="0"/>
    <x v="1"/>
    <n v="175"/>
  </r>
  <r>
    <x v="9"/>
    <x v="5"/>
    <x v="112"/>
    <x v="8"/>
    <x v="0"/>
    <x v="2"/>
    <n v="179.4"/>
  </r>
  <r>
    <x v="9"/>
    <x v="5"/>
    <x v="112"/>
    <x v="10"/>
    <x v="1"/>
    <x v="0"/>
    <n v="180.3"/>
  </r>
  <r>
    <x v="9"/>
    <x v="5"/>
    <x v="112"/>
    <x v="10"/>
    <x v="1"/>
    <x v="1"/>
    <n v="171.3"/>
  </r>
  <r>
    <x v="9"/>
    <x v="5"/>
    <x v="112"/>
    <x v="10"/>
    <x v="1"/>
    <x v="2"/>
    <n v="158.69999999999999"/>
  </r>
  <r>
    <x v="9"/>
    <x v="5"/>
    <x v="112"/>
    <x v="9"/>
    <x v="0"/>
    <x v="0"/>
    <n v="169.6"/>
  </r>
  <r>
    <x v="9"/>
    <x v="5"/>
    <x v="112"/>
    <x v="9"/>
    <x v="0"/>
    <x v="1"/>
    <n v="174.2"/>
  </r>
  <r>
    <x v="9"/>
    <x v="5"/>
    <x v="112"/>
    <x v="9"/>
    <x v="0"/>
    <x v="2"/>
    <n v="179.5"/>
  </r>
  <r>
    <x v="9"/>
    <x v="5"/>
    <x v="112"/>
    <x v="13"/>
    <x v="3"/>
    <x v="0"/>
    <n v="179.6"/>
  </r>
  <r>
    <x v="9"/>
    <x v="5"/>
    <x v="112"/>
    <x v="13"/>
    <x v="3"/>
    <x v="1"/>
    <n v="179.6"/>
  </r>
  <r>
    <x v="9"/>
    <x v="5"/>
    <x v="112"/>
    <x v="13"/>
    <x v="3"/>
    <x v="2"/>
    <n v="179.5"/>
  </r>
  <r>
    <x v="9"/>
    <x v="5"/>
    <x v="112"/>
    <x v="15"/>
    <x v="4"/>
    <x v="0"/>
    <n v="174.3"/>
  </r>
  <r>
    <x v="9"/>
    <x v="5"/>
    <x v="112"/>
    <x v="15"/>
    <x v="4"/>
    <x v="1"/>
    <n v="173.4"/>
  </r>
  <r>
    <x v="9"/>
    <x v="5"/>
    <x v="112"/>
    <x v="15"/>
    <x v="4"/>
    <x v="2"/>
    <n v="172.3"/>
  </r>
  <r>
    <x v="9"/>
    <x v="5"/>
    <x v="112"/>
    <x v="17"/>
    <x v="5"/>
    <x v="0"/>
    <n v="178.8"/>
  </r>
  <r>
    <x v="9"/>
    <x v="5"/>
    <x v="112"/>
    <x v="17"/>
    <x v="5"/>
    <x v="1"/>
    <n v="176.1"/>
  </r>
  <r>
    <x v="9"/>
    <x v="5"/>
    <x v="112"/>
    <x v="17"/>
    <x v="5"/>
    <x v="2"/>
    <n v="171.7"/>
  </r>
  <r>
    <x v="9"/>
    <x v="5"/>
    <x v="112"/>
    <x v="19"/>
    <x v="6"/>
    <x v="0"/>
    <n v="171.3"/>
  </r>
  <r>
    <x v="9"/>
    <x v="5"/>
    <x v="112"/>
    <x v="19"/>
    <x v="6"/>
    <x v="1"/>
    <n v="167.4"/>
  </r>
  <r>
    <x v="9"/>
    <x v="5"/>
    <x v="112"/>
    <x v="19"/>
    <x v="6"/>
    <x v="2"/>
    <n v="163.1"/>
  </r>
  <r>
    <x v="9"/>
    <x v="5"/>
    <x v="112"/>
    <x v="21"/>
    <x v="6"/>
    <x v="0"/>
    <n v="0"/>
  </r>
  <r>
    <x v="9"/>
    <x v="5"/>
    <x v="112"/>
    <x v="21"/>
    <x v="6"/>
    <x v="1"/>
    <n v="167.8"/>
  </r>
  <r>
    <x v="9"/>
    <x v="5"/>
    <x v="112"/>
    <x v="21"/>
    <x v="6"/>
    <x v="2"/>
    <n v="167.8"/>
  </r>
  <r>
    <x v="9"/>
    <x v="5"/>
    <x v="112"/>
    <x v="2"/>
    <x v="0"/>
    <x v="0"/>
    <n v="210.8"/>
  </r>
  <r>
    <x v="9"/>
    <x v="5"/>
    <x v="112"/>
    <x v="2"/>
    <x v="0"/>
    <x v="1"/>
    <n v="213"/>
  </r>
  <r>
    <x v="9"/>
    <x v="5"/>
    <x v="112"/>
    <x v="2"/>
    <x v="0"/>
    <x v="2"/>
    <n v="217.1"/>
  </r>
  <r>
    <x v="9"/>
    <x v="5"/>
    <x v="112"/>
    <x v="6"/>
    <x v="0"/>
    <x v="0"/>
    <n v="166.3"/>
  </r>
  <r>
    <x v="9"/>
    <x v="5"/>
    <x v="112"/>
    <x v="6"/>
    <x v="0"/>
    <x v="1"/>
    <n v="166.6"/>
  </r>
  <r>
    <x v="9"/>
    <x v="5"/>
    <x v="112"/>
    <x v="6"/>
    <x v="0"/>
    <x v="2"/>
    <n v="167.1"/>
  </r>
  <r>
    <x v="9"/>
    <x v="5"/>
    <x v="112"/>
    <x v="23"/>
    <x v="7"/>
    <x v="0"/>
    <n v="171.8"/>
  </r>
  <r>
    <x v="9"/>
    <x v="5"/>
    <x v="112"/>
    <x v="23"/>
    <x v="7"/>
    <x v="1"/>
    <n v="168.4"/>
  </r>
  <r>
    <x v="9"/>
    <x v="5"/>
    <x v="112"/>
    <x v="23"/>
    <x v="7"/>
    <x v="2"/>
    <n v="164.7"/>
  </r>
  <r>
    <x v="9"/>
    <x v="5"/>
    <x v="112"/>
    <x v="18"/>
    <x v="0"/>
    <x v="0"/>
    <n v="174.5"/>
  </r>
  <r>
    <x v="9"/>
    <x v="5"/>
    <x v="112"/>
    <x v="18"/>
    <x v="0"/>
    <x v="1"/>
    <n v="168.4"/>
  </r>
  <r>
    <x v="9"/>
    <x v="5"/>
    <x v="112"/>
    <x v="18"/>
    <x v="0"/>
    <x v="2"/>
    <n v="159.80000000000001"/>
  </r>
  <r>
    <x v="9"/>
    <x v="5"/>
    <x v="112"/>
    <x v="7"/>
    <x v="0"/>
    <x v="0"/>
    <n v="202.2"/>
  </r>
  <r>
    <x v="9"/>
    <x v="5"/>
    <x v="112"/>
    <x v="7"/>
    <x v="0"/>
    <x v="1"/>
    <n v="195.8"/>
  </r>
  <r>
    <x v="9"/>
    <x v="5"/>
    <x v="112"/>
    <x v="7"/>
    <x v="0"/>
    <x v="2"/>
    <n v="184.8"/>
  </r>
  <r>
    <x v="9"/>
    <x v="5"/>
    <x v="112"/>
    <x v="22"/>
    <x v="7"/>
    <x v="0"/>
    <n v="193.2"/>
  </r>
  <r>
    <x v="9"/>
    <x v="5"/>
    <x v="112"/>
    <x v="22"/>
    <x v="7"/>
    <x v="1"/>
    <n v="194.6"/>
  </r>
  <r>
    <x v="9"/>
    <x v="5"/>
    <x v="112"/>
    <x v="22"/>
    <x v="7"/>
    <x v="2"/>
    <n v="198.6"/>
  </r>
  <r>
    <x v="9"/>
    <x v="5"/>
    <x v="112"/>
    <x v="24"/>
    <x v="7"/>
    <x v="0"/>
    <n v="169.7"/>
  </r>
  <r>
    <x v="9"/>
    <x v="5"/>
    <x v="112"/>
    <x v="24"/>
    <x v="7"/>
    <x v="1"/>
    <n v="169.7"/>
  </r>
  <r>
    <x v="9"/>
    <x v="5"/>
    <x v="112"/>
    <x v="24"/>
    <x v="7"/>
    <x v="2"/>
    <n v="169.8"/>
  </r>
  <r>
    <x v="9"/>
    <x v="5"/>
    <x v="112"/>
    <x v="20"/>
    <x v="0"/>
    <x v="0"/>
    <n v="183.1"/>
  </r>
  <r>
    <x v="9"/>
    <x v="5"/>
    <x v="112"/>
    <x v="20"/>
    <x v="0"/>
    <x v="1"/>
    <n v="185.2"/>
  </r>
  <r>
    <x v="9"/>
    <x v="5"/>
    <x v="112"/>
    <x v="20"/>
    <x v="0"/>
    <x v="2"/>
    <n v="187.7"/>
  </r>
  <r>
    <x v="9"/>
    <x v="5"/>
    <x v="112"/>
    <x v="12"/>
    <x v="0"/>
    <x v="0"/>
    <n v="164.4"/>
  </r>
  <r>
    <x v="9"/>
    <x v="5"/>
    <x v="112"/>
    <x v="12"/>
    <x v="0"/>
    <x v="1"/>
    <n v="164.3"/>
  </r>
  <r>
    <x v="9"/>
    <x v="5"/>
    <x v="112"/>
    <x v="12"/>
    <x v="0"/>
    <x v="2"/>
    <n v="164"/>
  </r>
  <r>
    <x v="9"/>
    <x v="5"/>
    <x v="112"/>
    <x v="26"/>
    <x v="9"/>
    <x v="0"/>
    <n v="168.6"/>
  </r>
  <r>
    <x v="9"/>
    <x v="5"/>
    <x v="112"/>
    <x v="26"/>
    <x v="9"/>
    <x v="1"/>
    <n v="166.3"/>
  </r>
  <r>
    <x v="9"/>
    <x v="5"/>
    <x v="112"/>
    <x v="26"/>
    <x v="9"/>
    <x v="2"/>
    <n v="164.6"/>
  </r>
  <r>
    <x v="9"/>
    <x v="5"/>
    <x v="112"/>
    <x v="16"/>
    <x v="0"/>
    <x v="0"/>
    <n v="191.8"/>
  </r>
  <r>
    <x v="9"/>
    <x v="5"/>
    <x v="112"/>
    <x v="16"/>
    <x v="0"/>
    <x v="1"/>
    <n v="190"/>
  </r>
  <r>
    <x v="9"/>
    <x v="5"/>
    <x v="112"/>
    <x v="16"/>
    <x v="0"/>
    <x v="2"/>
    <n v="186.3"/>
  </r>
  <r>
    <x v="9"/>
    <x v="5"/>
    <x v="112"/>
    <x v="14"/>
    <x v="0"/>
    <x v="0"/>
    <n v="119.2"/>
  </r>
  <r>
    <x v="9"/>
    <x v="5"/>
    <x v="112"/>
    <x v="14"/>
    <x v="0"/>
    <x v="1"/>
    <n v="120"/>
  </r>
  <r>
    <x v="9"/>
    <x v="5"/>
    <x v="112"/>
    <x v="14"/>
    <x v="0"/>
    <x v="2"/>
    <n v="121.5"/>
  </r>
  <r>
    <x v="9"/>
    <x v="5"/>
    <x v="112"/>
    <x v="25"/>
    <x v="8"/>
    <x v="0"/>
    <n v="166.3"/>
  </r>
  <r>
    <x v="9"/>
    <x v="5"/>
    <x v="112"/>
    <x v="25"/>
    <x v="8"/>
    <x v="1"/>
    <n v="161.6"/>
  </r>
  <r>
    <x v="9"/>
    <x v="5"/>
    <x v="112"/>
    <x v="25"/>
    <x v="8"/>
    <x v="2"/>
    <n v="157.4"/>
  </r>
  <r>
    <x v="9"/>
    <x v="5"/>
    <x v="112"/>
    <x v="11"/>
    <x v="0"/>
    <x v="0"/>
    <n v="168.6"/>
  </r>
  <r>
    <x v="9"/>
    <x v="5"/>
    <x v="112"/>
    <x v="11"/>
    <x v="0"/>
    <x v="1"/>
    <n v="182.1"/>
  </r>
  <r>
    <x v="9"/>
    <x v="5"/>
    <x v="112"/>
    <x v="11"/>
    <x v="0"/>
    <x v="2"/>
    <n v="208.5"/>
  </r>
  <r>
    <x v="9"/>
    <x v="6"/>
    <x v="113"/>
    <x v="0"/>
    <x v="0"/>
    <x v="0"/>
    <n v="153.80000000000001"/>
  </r>
  <r>
    <x v="9"/>
    <x v="6"/>
    <x v="113"/>
    <x v="0"/>
    <x v="0"/>
    <x v="1"/>
    <n v="155"/>
  </r>
  <r>
    <x v="9"/>
    <x v="6"/>
    <x v="113"/>
    <x v="0"/>
    <x v="0"/>
    <x v="2"/>
    <n v="157.5"/>
  </r>
  <r>
    <x v="9"/>
    <x v="6"/>
    <x v="113"/>
    <x v="1"/>
    <x v="1"/>
    <x v="0"/>
    <n v="180.7"/>
  </r>
  <r>
    <x v="9"/>
    <x v="6"/>
    <x v="113"/>
    <x v="1"/>
    <x v="1"/>
    <x v="1"/>
    <n v="177.1"/>
  </r>
  <r>
    <x v="9"/>
    <x v="6"/>
    <x v="113"/>
    <x v="1"/>
    <x v="1"/>
    <x v="2"/>
    <n v="171.6"/>
  </r>
  <r>
    <x v="9"/>
    <x v="6"/>
    <x v="113"/>
    <x v="3"/>
    <x v="1"/>
    <x v="0"/>
    <n v="180.4"/>
  </r>
  <r>
    <x v="9"/>
    <x v="6"/>
    <x v="113"/>
    <x v="3"/>
    <x v="1"/>
    <x v="1"/>
    <n v="176"/>
  </r>
  <r>
    <x v="9"/>
    <x v="6"/>
    <x v="113"/>
    <x v="3"/>
    <x v="1"/>
    <x v="2"/>
    <n v="169.4"/>
  </r>
  <r>
    <x v="9"/>
    <x v="6"/>
    <x v="113"/>
    <x v="5"/>
    <x v="2"/>
    <x v="0"/>
    <n v="172.6"/>
  </r>
  <r>
    <x v="9"/>
    <x v="6"/>
    <x v="113"/>
    <x v="5"/>
    <x v="2"/>
    <x v="1"/>
    <n v="169"/>
  </r>
  <r>
    <x v="9"/>
    <x v="6"/>
    <x v="113"/>
    <x v="5"/>
    <x v="2"/>
    <x v="2"/>
    <n v="166.5"/>
  </r>
  <r>
    <x v="9"/>
    <x v="6"/>
    <x v="113"/>
    <x v="4"/>
    <x v="0"/>
    <x v="0"/>
    <n v="169.6"/>
  </r>
  <r>
    <x v="9"/>
    <x v="6"/>
    <x v="113"/>
    <x v="4"/>
    <x v="0"/>
    <x v="1"/>
    <n v="170.8"/>
  </r>
  <r>
    <x v="9"/>
    <x v="6"/>
    <x v="113"/>
    <x v="4"/>
    <x v="0"/>
    <x v="2"/>
    <n v="172.8"/>
  </r>
  <r>
    <x v="9"/>
    <x v="6"/>
    <x v="113"/>
    <x v="8"/>
    <x v="0"/>
    <x v="0"/>
    <n v="172.4"/>
  </r>
  <r>
    <x v="9"/>
    <x v="6"/>
    <x v="113"/>
    <x v="8"/>
    <x v="0"/>
    <x v="1"/>
    <n v="174.9"/>
  </r>
  <r>
    <x v="9"/>
    <x v="6"/>
    <x v="113"/>
    <x v="8"/>
    <x v="0"/>
    <x v="2"/>
    <n v="179.3"/>
  </r>
  <r>
    <x v="9"/>
    <x v="6"/>
    <x v="113"/>
    <x v="10"/>
    <x v="1"/>
    <x v="0"/>
    <n v="178.7"/>
  </r>
  <r>
    <x v="9"/>
    <x v="6"/>
    <x v="113"/>
    <x v="10"/>
    <x v="1"/>
    <x v="1"/>
    <n v="169.9"/>
  </r>
  <r>
    <x v="9"/>
    <x v="6"/>
    <x v="113"/>
    <x v="10"/>
    <x v="1"/>
    <x v="2"/>
    <n v="157.4"/>
  </r>
  <r>
    <x v="9"/>
    <x v="6"/>
    <x v="113"/>
    <x v="9"/>
    <x v="0"/>
    <x v="0"/>
    <n v="165.8"/>
  </r>
  <r>
    <x v="9"/>
    <x v="6"/>
    <x v="113"/>
    <x v="9"/>
    <x v="0"/>
    <x v="1"/>
    <n v="169.7"/>
  </r>
  <r>
    <x v="9"/>
    <x v="6"/>
    <x v="113"/>
    <x v="9"/>
    <x v="0"/>
    <x v="2"/>
    <n v="174.1"/>
  </r>
  <r>
    <x v="9"/>
    <x v="6"/>
    <x v="113"/>
    <x v="13"/>
    <x v="3"/>
    <x v="0"/>
    <n v="176.7"/>
  </r>
  <r>
    <x v="9"/>
    <x v="6"/>
    <x v="113"/>
    <x v="13"/>
    <x v="3"/>
    <x v="1"/>
    <n v="176"/>
  </r>
  <r>
    <x v="9"/>
    <x v="6"/>
    <x v="113"/>
    <x v="13"/>
    <x v="3"/>
    <x v="2"/>
    <n v="174.9"/>
  </r>
  <r>
    <x v="9"/>
    <x v="6"/>
    <x v="113"/>
    <x v="15"/>
    <x v="4"/>
    <x v="0"/>
    <n v="173.6"/>
  </r>
  <r>
    <x v="9"/>
    <x v="6"/>
    <x v="113"/>
    <x v="15"/>
    <x v="4"/>
    <x v="1"/>
    <n v="172.6"/>
  </r>
  <r>
    <x v="9"/>
    <x v="6"/>
    <x v="113"/>
    <x v="15"/>
    <x v="4"/>
    <x v="2"/>
    <n v="171.4"/>
  </r>
  <r>
    <x v="9"/>
    <x v="6"/>
    <x v="113"/>
    <x v="17"/>
    <x v="5"/>
    <x v="0"/>
    <n v="178.2"/>
  </r>
  <r>
    <x v="9"/>
    <x v="6"/>
    <x v="113"/>
    <x v="17"/>
    <x v="5"/>
    <x v="1"/>
    <n v="175.4"/>
  </r>
  <r>
    <x v="9"/>
    <x v="6"/>
    <x v="113"/>
    <x v="17"/>
    <x v="5"/>
    <x v="2"/>
    <n v="170.9"/>
  </r>
  <r>
    <x v="9"/>
    <x v="6"/>
    <x v="113"/>
    <x v="19"/>
    <x v="6"/>
    <x v="0"/>
    <n v="170.3"/>
  </r>
  <r>
    <x v="9"/>
    <x v="6"/>
    <x v="113"/>
    <x v="19"/>
    <x v="6"/>
    <x v="1"/>
    <n v="166.4"/>
  </r>
  <r>
    <x v="9"/>
    <x v="6"/>
    <x v="113"/>
    <x v="19"/>
    <x v="6"/>
    <x v="2"/>
    <n v="162.1"/>
  </r>
  <r>
    <x v="9"/>
    <x v="6"/>
    <x v="113"/>
    <x v="21"/>
    <x v="6"/>
    <x v="0"/>
    <n v="0"/>
  </r>
  <r>
    <x v="9"/>
    <x v="6"/>
    <x v="113"/>
    <x v="21"/>
    <x v="6"/>
    <x v="1"/>
    <n v="166.8"/>
  </r>
  <r>
    <x v="9"/>
    <x v="6"/>
    <x v="113"/>
    <x v="21"/>
    <x v="6"/>
    <x v="2"/>
    <n v="166.8"/>
  </r>
  <r>
    <x v="9"/>
    <x v="6"/>
    <x v="113"/>
    <x v="2"/>
    <x v="0"/>
    <x v="0"/>
    <n v="217.2"/>
  </r>
  <r>
    <x v="9"/>
    <x v="6"/>
    <x v="113"/>
    <x v="2"/>
    <x v="0"/>
    <x v="1"/>
    <n v="219.4"/>
  </r>
  <r>
    <x v="9"/>
    <x v="6"/>
    <x v="113"/>
    <x v="2"/>
    <x v="0"/>
    <x v="2"/>
    <n v="223.4"/>
  </r>
  <r>
    <x v="9"/>
    <x v="6"/>
    <x v="113"/>
    <x v="6"/>
    <x v="0"/>
    <x v="0"/>
    <n v="165.4"/>
  </r>
  <r>
    <x v="9"/>
    <x v="6"/>
    <x v="113"/>
    <x v="6"/>
    <x v="0"/>
    <x v="1"/>
    <n v="165.8"/>
  </r>
  <r>
    <x v="9"/>
    <x v="6"/>
    <x v="113"/>
    <x v="6"/>
    <x v="0"/>
    <x v="2"/>
    <n v="166.4"/>
  </r>
  <r>
    <x v="9"/>
    <x v="6"/>
    <x v="113"/>
    <x v="23"/>
    <x v="7"/>
    <x v="0"/>
    <n v="171"/>
  </r>
  <r>
    <x v="9"/>
    <x v="6"/>
    <x v="113"/>
    <x v="23"/>
    <x v="7"/>
    <x v="1"/>
    <n v="167.5"/>
  </r>
  <r>
    <x v="9"/>
    <x v="6"/>
    <x v="113"/>
    <x v="23"/>
    <x v="7"/>
    <x v="2"/>
    <n v="163.80000000000001"/>
  </r>
  <r>
    <x v="9"/>
    <x v="6"/>
    <x v="113"/>
    <x v="18"/>
    <x v="0"/>
    <x v="0"/>
    <n v="174.2"/>
  </r>
  <r>
    <x v="9"/>
    <x v="6"/>
    <x v="113"/>
    <x v="18"/>
    <x v="0"/>
    <x v="1"/>
    <n v="167.9"/>
  </r>
  <r>
    <x v="9"/>
    <x v="6"/>
    <x v="113"/>
    <x v="18"/>
    <x v="0"/>
    <x v="2"/>
    <n v="159.1"/>
  </r>
  <r>
    <x v="9"/>
    <x v="6"/>
    <x v="113"/>
    <x v="7"/>
    <x v="0"/>
    <x v="0"/>
    <n v="208.1"/>
  </r>
  <r>
    <x v="9"/>
    <x v="6"/>
    <x v="113"/>
    <x v="7"/>
    <x v="0"/>
    <x v="1"/>
    <n v="200.9"/>
  </r>
  <r>
    <x v="9"/>
    <x v="6"/>
    <x v="113"/>
    <x v="7"/>
    <x v="0"/>
    <x v="2"/>
    <n v="188.6"/>
  </r>
  <r>
    <x v="9"/>
    <x v="6"/>
    <x v="113"/>
    <x v="22"/>
    <x v="7"/>
    <x v="0"/>
    <n v="192.9"/>
  </r>
  <r>
    <x v="9"/>
    <x v="6"/>
    <x v="113"/>
    <x v="22"/>
    <x v="7"/>
    <x v="1"/>
    <n v="194.3"/>
  </r>
  <r>
    <x v="9"/>
    <x v="6"/>
    <x v="113"/>
    <x v="22"/>
    <x v="7"/>
    <x v="2"/>
    <n v="198.3"/>
  </r>
  <r>
    <x v="9"/>
    <x v="6"/>
    <x v="113"/>
    <x v="24"/>
    <x v="7"/>
    <x v="0"/>
    <n v="169.5"/>
  </r>
  <r>
    <x v="9"/>
    <x v="6"/>
    <x v="113"/>
    <x v="24"/>
    <x v="7"/>
    <x v="1"/>
    <n v="169.4"/>
  </r>
  <r>
    <x v="9"/>
    <x v="6"/>
    <x v="113"/>
    <x v="24"/>
    <x v="7"/>
    <x v="2"/>
    <n v="169.2"/>
  </r>
  <r>
    <x v="9"/>
    <x v="6"/>
    <x v="113"/>
    <x v="20"/>
    <x v="0"/>
    <x v="0"/>
    <n v="181.9"/>
  </r>
  <r>
    <x v="9"/>
    <x v="6"/>
    <x v="113"/>
    <x v="20"/>
    <x v="0"/>
    <x v="1"/>
    <n v="183.9"/>
  </r>
  <r>
    <x v="9"/>
    <x v="6"/>
    <x v="113"/>
    <x v="20"/>
    <x v="0"/>
    <x v="2"/>
    <n v="186.3"/>
  </r>
  <r>
    <x v="9"/>
    <x v="6"/>
    <x v="113"/>
    <x v="12"/>
    <x v="0"/>
    <x v="0"/>
    <n v="164.6"/>
  </r>
  <r>
    <x v="9"/>
    <x v="6"/>
    <x v="113"/>
    <x v="12"/>
    <x v="0"/>
    <x v="1"/>
    <n v="164.3"/>
  </r>
  <r>
    <x v="9"/>
    <x v="6"/>
    <x v="113"/>
    <x v="12"/>
    <x v="0"/>
    <x v="2"/>
    <n v="163.6"/>
  </r>
  <r>
    <x v="9"/>
    <x v="6"/>
    <x v="113"/>
    <x v="26"/>
    <x v="9"/>
    <x v="0"/>
    <n v="168"/>
  </r>
  <r>
    <x v="9"/>
    <x v="6"/>
    <x v="113"/>
    <x v="26"/>
    <x v="9"/>
    <x v="1"/>
    <n v="165.8"/>
  </r>
  <r>
    <x v="9"/>
    <x v="6"/>
    <x v="113"/>
    <x v="26"/>
    <x v="9"/>
    <x v="2"/>
    <n v="164.1"/>
  </r>
  <r>
    <x v="9"/>
    <x v="6"/>
    <x v="113"/>
    <x v="16"/>
    <x v="0"/>
    <x v="0"/>
    <n v="188.9"/>
  </r>
  <r>
    <x v="9"/>
    <x v="6"/>
    <x v="113"/>
    <x v="16"/>
    <x v="0"/>
    <x v="1"/>
    <n v="187.1"/>
  </r>
  <r>
    <x v="9"/>
    <x v="6"/>
    <x v="113"/>
    <x v="16"/>
    <x v="0"/>
    <x v="2"/>
    <n v="183.5"/>
  </r>
  <r>
    <x v="9"/>
    <x v="6"/>
    <x v="113"/>
    <x v="14"/>
    <x v="0"/>
    <x v="0"/>
    <n v="119.1"/>
  </r>
  <r>
    <x v="9"/>
    <x v="6"/>
    <x v="113"/>
    <x v="14"/>
    <x v="0"/>
    <x v="1"/>
    <n v="119.9"/>
  </r>
  <r>
    <x v="9"/>
    <x v="6"/>
    <x v="113"/>
    <x v="14"/>
    <x v="0"/>
    <x v="2"/>
    <n v="121.4"/>
  </r>
  <r>
    <x v="9"/>
    <x v="6"/>
    <x v="113"/>
    <x v="25"/>
    <x v="8"/>
    <x v="0"/>
    <n v="165.5"/>
  </r>
  <r>
    <x v="9"/>
    <x v="6"/>
    <x v="113"/>
    <x v="25"/>
    <x v="8"/>
    <x v="1"/>
    <n v="161.1"/>
  </r>
  <r>
    <x v="9"/>
    <x v="6"/>
    <x v="113"/>
    <x v="25"/>
    <x v="8"/>
    <x v="2"/>
    <n v="157.19999999999999"/>
  </r>
  <r>
    <x v="9"/>
    <x v="6"/>
    <x v="113"/>
    <x v="11"/>
    <x v="0"/>
    <x v="0"/>
    <n v="167.3"/>
  </r>
  <r>
    <x v="9"/>
    <x v="6"/>
    <x v="113"/>
    <x v="11"/>
    <x v="0"/>
    <x v="1"/>
    <n v="182.3"/>
  </r>
  <r>
    <x v="9"/>
    <x v="6"/>
    <x v="113"/>
    <x v="11"/>
    <x v="0"/>
    <x v="2"/>
    <n v="211.5"/>
  </r>
  <r>
    <x v="9"/>
    <x v="7"/>
    <x v="114"/>
    <x v="0"/>
    <x v="0"/>
    <x v="0"/>
    <n v="150.19999999999999"/>
  </r>
  <r>
    <x v="9"/>
    <x v="7"/>
    <x v="114"/>
    <x v="0"/>
    <x v="0"/>
    <x v="1"/>
    <n v="151.30000000000001"/>
  </r>
  <r>
    <x v="9"/>
    <x v="7"/>
    <x v="114"/>
    <x v="0"/>
    <x v="0"/>
    <x v="2"/>
    <n v="153.69999999999999"/>
  </r>
  <r>
    <x v="9"/>
    <x v="7"/>
    <x v="114"/>
    <x v="1"/>
    <x v="1"/>
    <x v="0"/>
    <n v="175.4"/>
  </r>
  <r>
    <x v="9"/>
    <x v="7"/>
    <x v="114"/>
    <x v="1"/>
    <x v="1"/>
    <x v="1"/>
    <n v="172.1"/>
  </r>
  <r>
    <x v="9"/>
    <x v="7"/>
    <x v="114"/>
    <x v="1"/>
    <x v="1"/>
    <x v="2"/>
    <n v="167.1"/>
  </r>
  <r>
    <x v="9"/>
    <x v="7"/>
    <x v="114"/>
    <x v="3"/>
    <x v="1"/>
    <x v="0"/>
    <n v="175.1"/>
  </r>
  <r>
    <x v="9"/>
    <x v="7"/>
    <x v="114"/>
    <x v="3"/>
    <x v="1"/>
    <x v="1"/>
    <n v="171.1"/>
  </r>
  <r>
    <x v="9"/>
    <x v="7"/>
    <x v="114"/>
    <x v="3"/>
    <x v="1"/>
    <x v="2"/>
    <n v="164.9"/>
  </r>
  <r>
    <x v="9"/>
    <x v="7"/>
    <x v="114"/>
    <x v="5"/>
    <x v="2"/>
    <x v="0"/>
    <n v="170.6"/>
  </r>
  <r>
    <x v="9"/>
    <x v="7"/>
    <x v="114"/>
    <x v="5"/>
    <x v="2"/>
    <x v="1"/>
    <n v="166"/>
  </r>
  <r>
    <x v="9"/>
    <x v="7"/>
    <x v="114"/>
    <x v="5"/>
    <x v="2"/>
    <x v="2"/>
    <n v="162.69999999999999"/>
  </r>
  <r>
    <x v="9"/>
    <x v="7"/>
    <x v="114"/>
    <x v="4"/>
    <x v="0"/>
    <x v="0"/>
    <n v="167.9"/>
  </r>
  <r>
    <x v="9"/>
    <x v="7"/>
    <x v="114"/>
    <x v="4"/>
    <x v="0"/>
    <x v="1"/>
    <n v="167.8"/>
  </r>
  <r>
    <x v="9"/>
    <x v="7"/>
    <x v="114"/>
    <x v="4"/>
    <x v="0"/>
    <x v="2"/>
    <n v="167.7"/>
  </r>
  <r>
    <x v="9"/>
    <x v="7"/>
    <x v="114"/>
    <x v="8"/>
    <x v="0"/>
    <x v="0"/>
    <n v="166.6"/>
  </r>
  <r>
    <x v="9"/>
    <x v="7"/>
    <x v="114"/>
    <x v="8"/>
    <x v="0"/>
    <x v="1"/>
    <n v="168.4"/>
  </r>
  <r>
    <x v="9"/>
    <x v="7"/>
    <x v="114"/>
    <x v="8"/>
    <x v="0"/>
    <x v="2"/>
    <n v="171.5"/>
  </r>
  <r>
    <x v="9"/>
    <x v="7"/>
    <x v="114"/>
    <x v="10"/>
    <x v="1"/>
    <x v="0"/>
    <n v="173.2"/>
  </r>
  <r>
    <x v="9"/>
    <x v="7"/>
    <x v="114"/>
    <x v="10"/>
    <x v="1"/>
    <x v="1"/>
    <n v="164.6"/>
  </r>
  <r>
    <x v="9"/>
    <x v="7"/>
    <x v="114"/>
    <x v="10"/>
    <x v="1"/>
    <x v="2"/>
    <n v="152.6"/>
  </r>
  <r>
    <x v="9"/>
    <x v="7"/>
    <x v="114"/>
    <x v="9"/>
    <x v="0"/>
    <x v="0"/>
    <n v="155.9"/>
  </r>
  <r>
    <x v="9"/>
    <x v="7"/>
    <x v="114"/>
    <x v="9"/>
    <x v="0"/>
    <x v="1"/>
    <n v="157.6"/>
  </r>
  <r>
    <x v="9"/>
    <x v="7"/>
    <x v="114"/>
    <x v="9"/>
    <x v="0"/>
    <x v="2"/>
    <n v="159.6"/>
  </r>
  <r>
    <x v="9"/>
    <x v="7"/>
    <x v="114"/>
    <x v="13"/>
    <x v="3"/>
    <x v="0"/>
    <n v="168.9"/>
  </r>
  <r>
    <x v="9"/>
    <x v="7"/>
    <x v="114"/>
    <x v="13"/>
    <x v="3"/>
    <x v="1"/>
    <n v="167.2"/>
  </r>
  <r>
    <x v="9"/>
    <x v="7"/>
    <x v="114"/>
    <x v="13"/>
    <x v="3"/>
    <x v="2"/>
    <n v="164.5"/>
  </r>
  <r>
    <x v="9"/>
    <x v="7"/>
    <x v="114"/>
    <x v="15"/>
    <x v="4"/>
    <x v="0"/>
    <n v="168.7"/>
  </r>
  <r>
    <x v="9"/>
    <x v="7"/>
    <x v="114"/>
    <x v="15"/>
    <x v="4"/>
    <x v="1"/>
    <n v="167.7"/>
  </r>
  <r>
    <x v="9"/>
    <x v="7"/>
    <x v="114"/>
    <x v="15"/>
    <x v="4"/>
    <x v="2"/>
    <n v="166.5"/>
  </r>
  <r>
    <x v="9"/>
    <x v="7"/>
    <x v="114"/>
    <x v="17"/>
    <x v="5"/>
    <x v="0"/>
    <n v="176"/>
  </r>
  <r>
    <x v="9"/>
    <x v="7"/>
    <x v="114"/>
    <x v="17"/>
    <x v="5"/>
    <x v="1"/>
    <n v="173"/>
  </r>
  <r>
    <x v="9"/>
    <x v="7"/>
    <x v="114"/>
    <x v="17"/>
    <x v="5"/>
    <x v="2"/>
    <n v="168.2"/>
  </r>
  <r>
    <x v="9"/>
    <x v="7"/>
    <x v="114"/>
    <x v="19"/>
    <x v="6"/>
    <x v="0"/>
    <n v="166.5"/>
  </r>
  <r>
    <x v="9"/>
    <x v="7"/>
    <x v="114"/>
    <x v="19"/>
    <x v="6"/>
    <x v="1"/>
    <n v="162.80000000000001"/>
  </r>
  <r>
    <x v="9"/>
    <x v="7"/>
    <x v="114"/>
    <x v="19"/>
    <x v="6"/>
    <x v="2"/>
    <n v="158.6"/>
  </r>
  <r>
    <x v="9"/>
    <x v="7"/>
    <x v="114"/>
    <x v="21"/>
    <x v="6"/>
    <x v="0"/>
    <n v="0"/>
  </r>
  <r>
    <x v="9"/>
    <x v="7"/>
    <x v="114"/>
    <x v="21"/>
    <x v="6"/>
    <x v="1"/>
    <n v="165.3"/>
  </r>
  <r>
    <x v="9"/>
    <x v="7"/>
    <x v="114"/>
    <x v="21"/>
    <x v="6"/>
    <x v="2"/>
    <n v="165.3"/>
  </r>
  <r>
    <x v="9"/>
    <x v="7"/>
    <x v="114"/>
    <x v="2"/>
    <x v="0"/>
    <x v="0"/>
    <n v="208"/>
  </r>
  <r>
    <x v="9"/>
    <x v="7"/>
    <x v="114"/>
    <x v="2"/>
    <x v="0"/>
    <x v="1"/>
    <n v="210.7"/>
  </r>
  <r>
    <x v="9"/>
    <x v="7"/>
    <x v="114"/>
    <x v="2"/>
    <x v="0"/>
    <x v="2"/>
    <n v="215.8"/>
  </r>
  <r>
    <x v="9"/>
    <x v="7"/>
    <x v="114"/>
    <x v="6"/>
    <x v="0"/>
    <x v="0"/>
    <n v="162"/>
  </r>
  <r>
    <x v="9"/>
    <x v="7"/>
    <x v="114"/>
    <x v="6"/>
    <x v="0"/>
    <x v="1"/>
    <n v="162.19999999999999"/>
  </r>
  <r>
    <x v="9"/>
    <x v="7"/>
    <x v="114"/>
    <x v="6"/>
    <x v="0"/>
    <x v="2"/>
    <n v="162.6"/>
  </r>
  <r>
    <x v="9"/>
    <x v="7"/>
    <x v="114"/>
    <x v="23"/>
    <x v="7"/>
    <x v="0"/>
    <n v="168.3"/>
  </r>
  <r>
    <x v="9"/>
    <x v="7"/>
    <x v="114"/>
    <x v="23"/>
    <x v="7"/>
    <x v="1"/>
    <n v="164.6"/>
  </r>
  <r>
    <x v="9"/>
    <x v="7"/>
    <x v="114"/>
    <x v="23"/>
    <x v="7"/>
    <x v="2"/>
    <n v="160.6"/>
  </r>
  <r>
    <x v="9"/>
    <x v="7"/>
    <x v="114"/>
    <x v="18"/>
    <x v="0"/>
    <x v="0"/>
    <n v="171.2"/>
  </r>
  <r>
    <x v="9"/>
    <x v="7"/>
    <x v="114"/>
    <x v="18"/>
    <x v="0"/>
    <x v="1"/>
    <n v="165.3"/>
  </r>
  <r>
    <x v="9"/>
    <x v="7"/>
    <x v="114"/>
    <x v="18"/>
    <x v="0"/>
    <x v="2"/>
    <n v="157.1"/>
  </r>
  <r>
    <x v="9"/>
    <x v="7"/>
    <x v="114"/>
    <x v="7"/>
    <x v="0"/>
    <x v="0"/>
    <n v="203.1"/>
  </r>
  <r>
    <x v="9"/>
    <x v="7"/>
    <x v="114"/>
    <x v="7"/>
    <x v="0"/>
    <x v="1"/>
    <n v="194.6"/>
  </r>
  <r>
    <x v="9"/>
    <x v="7"/>
    <x v="114"/>
    <x v="7"/>
    <x v="0"/>
    <x v="2"/>
    <n v="180"/>
  </r>
  <r>
    <x v="9"/>
    <x v="7"/>
    <x v="114"/>
    <x v="22"/>
    <x v="7"/>
    <x v="0"/>
    <n v="192.3"/>
  </r>
  <r>
    <x v="9"/>
    <x v="7"/>
    <x v="114"/>
    <x v="22"/>
    <x v="7"/>
    <x v="1"/>
    <n v="193.7"/>
  </r>
  <r>
    <x v="9"/>
    <x v="7"/>
    <x v="114"/>
    <x v="22"/>
    <x v="7"/>
    <x v="2"/>
    <n v="197.5"/>
  </r>
  <r>
    <x v="9"/>
    <x v="7"/>
    <x v="114"/>
    <x v="24"/>
    <x v="7"/>
    <x v="0"/>
    <n v="167.4"/>
  </r>
  <r>
    <x v="9"/>
    <x v="7"/>
    <x v="114"/>
    <x v="24"/>
    <x v="7"/>
    <x v="1"/>
    <n v="167.2"/>
  </r>
  <r>
    <x v="9"/>
    <x v="7"/>
    <x v="114"/>
    <x v="24"/>
    <x v="7"/>
    <x v="2"/>
    <n v="166.8"/>
  </r>
  <r>
    <x v="9"/>
    <x v="7"/>
    <x v="114"/>
    <x v="20"/>
    <x v="0"/>
    <x v="0"/>
    <n v="177.4"/>
  </r>
  <r>
    <x v="9"/>
    <x v="7"/>
    <x v="114"/>
    <x v="20"/>
    <x v="0"/>
    <x v="1"/>
    <n v="179.3"/>
  </r>
  <r>
    <x v="9"/>
    <x v="7"/>
    <x v="114"/>
    <x v="20"/>
    <x v="0"/>
    <x v="2"/>
    <n v="181.5"/>
  </r>
  <r>
    <x v="9"/>
    <x v="7"/>
    <x v="114"/>
    <x v="12"/>
    <x v="0"/>
    <x v="0"/>
    <n v="164.2"/>
  </r>
  <r>
    <x v="9"/>
    <x v="7"/>
    <x v="114"/>
    <x v="12"/>
    <x v="0"/>
    <x v="1"/>
    <n v="163.9"/>
  </r>
  <r>
    <x v="9"/>
    <x v="7"/>
    <x v="114"/>
    <x v="12"/>
    <x v="0"/>
    <x v="2"/>
    <n v="163.4"/>
  </r>
  <r>
    <x v="9"/>
    <x v="7"/>
    <x v="114"/>
    <x v="26"/>
    <x v="9"/>
    <x v="0"/>
    <n v="166.6"/>
  </r>
  <r>
    <x v="9"/>
    <x v="7"/>
    <x v="114"/>
    <x v="26"/>
    <x v="9"/>
    <x v="1"/>
    <n v="163.30000000000001"/>
  </r>
  <r>
    <x v="9"/>
    <x v="7"/>
    <x v="114"/>
    <x v="26"/>
    <x v="9"/>
    <x v="2"/>
    <n v="160.80000000000001"/>
  </r>
  <r>
    <x v="9"/>
    <x v="7"/>
    <x v="114"/>
    <x v="16"/>
    <x v="0"/>
    <x v="0"/>
    <n v="178.7"/>
  </r>
  <r>
    <x v="9"/>
    <x v="7"/>
    <x v="114"/>
    <x v="16"/>
    <x v="0"/>
    <x v="1"/>
    <n v="177.4"/>
  </r>
  <r>
    <x v="9"/>
    <x v="7"/>
    <x v="114"/>
    <x v="16"/>
    <x v="0"/>
    <x v="2"/>
    <n v="174.7"/>
  </r>
  <r>
    <x v="9"/>
    <x v="7"/>
    <x v="114"/>
    <x v="14"/>
    <x v="0"/>
    <x v="0"/>
    <n v="118.1"/>
  </r>
  <r>
    <x v="9"/>
    <x v="7"/>
    <x v="114"/>
    <x v="14"/>
    <x v="0"/>
    <x v="1"/>
    <n v="118.8"/>
  </r>
  <r>
    <x v="9"/>
    <x v="7"/>
    <x v="114"/>
    <x v="14"/>
    <x v="0"/>
    <x v="2"/>
    <n v="120.3"/>
  </r>
  <r>
    <x v="9"/>
    <x v="7"/>
    <x v="114"/>
    <x v="25"/>
    <x v="8"/>
    <x v="0"/>
    <n v="162"/>
  </r>
  <r>
    <x v="9"/>
    <x v="7"/>
    <x v="114"/>
    <x v="25"/>
    <x v="8"/>
    <x v="1"/>
    <n v="157.9"/>
  </r>
  <r>
    <x v="9"/>
    <x v="7"/>
    <x v="114"/>
    <x v="25"/>
    <x v="8"/>
    <x v="2"/>
    <n v="154.19999999999999"/>
  </r>
  <r>
    <x v="9"/>
    <x v="7"/>
    <x v="114"/>
    <x v="11"/>
    <x v="0"/>
    <x v="0"/>
    <n v="155.80000000000001"/>
  </r>
  <r>
    <x v="9"/>
    <x v="7"/>
    <x v="114"/>
    <x v="11"/>
    <x v="0"/>
    <x v="1"/>
    <n v="166.9"/>
  </r>
  <r>
    <x v="9"/>
    <x v="7"/>
    <x v="114"/>
    <x v="11"/>
    <x v="0"/>
    <x v="2"/>
    <n v="188.4"/>
  </r>
  <r>
    <x v="9"/>
    <x v="8"/>
    <x v="115"/>
    <x v="0"/>
    <x v="0"/>
    <x v="0"/>
    <n v="152.9"/>
  </r>
  <r>
    <x v="9"/>
    <x v="8"/>
    <x v="115"/>
    <x v="0"/>
    <x v="0"/>
    <x v="1"/>
    <n v="154.1"/>
  </r>
  <r>
    <x v="9"/>
    <x v="8"/>
    <x v="115"/>
    <x v="0"/>
    <x v="0"/>
    <x v="2"/>
    <n v="156.69999999999999"/>
  </r>
  <r>
    <x v="9"/>
    <x v="8"/>
    <x v="115"/>
    <x v="1"/>
    <x v="1"/>
    <x v="0"/>
    <n v="179.3"/>
  </r>
  <r>
    <x v="9"/>
    <x v="8"/>
    <x v="115"/>
    <x v="1"/>
    <x v="1"/>
    <x v="1"/>
    <n v="175.6"/>
  </r>
  <r>
    <x v="9"/>
    <x v="8"/>
    <x v="115"/>
    <x v="1"/>
    <x v="1"/>
    <x v="2"/>
    <n v="170"/>
  </r>
  <r>
    <x v="9"/>
    <x v="8"/>
    <x v="115"/>
    <x v="3"/>
    <x v="1"/>
    <x v="0"/>
    <n v="179"/>
  </r>
  <r>
    <x v="9"/>
    <x v="8"/>
    <x v="115"/>
    <x v="3"/>
    <x v="1"/>
    <x v="1"/>
    <n v="174.6"/>
  </r>
  <r>
    <x v="9"/>
    <x v="8"/>
    <x v="115"/>
    <x v="3"/>
    <x v="1"/>
    <x v="2"/>
    <n v="167.8"/>
  </r>
  <r>
    <x v="9"/>
    <x v="8"/>
    <x v="115"/>
    <x v="5"/>
    <x v="2"/>
    <x v="0"/>
    <n v="171.8"/>
  </r>
  <r>
    <x v="9"/>
    <x v="8"/>
    <x v="115"/>
    <x v="5"/>
    <x v="2"/>
    <x v="1"/>
    <n v="167.9"/>
  </r>
  <r>
    <x v="9"/>
    <x v="8"/>
    <x v="115"/>
    <x v="5"/>
    <x v="2"/>
    <x v="2"/>
    <n v="165.2"/>
  </r>
  <r>
    <x v="9"/>
    <x v="8"/>
    <x v="115"/>
    <x v="4"/>
    <x v="0"/>
    <x v="0"/>
    <n v="161.4"/>
  </r>
  <r>
    <x v="9"/>
    <x v="8"/>
    <x v="115"/>
    <x v="4"/>
    <x v="0"/>
    <x v="1"/>
    <n v="162.4"/>
  </r>
  <r>
    <x v="9"/>
    <x v="8"/>
    <x v="115"/>
    <x v="4"/>
    <x v="0"/>
    <x v="2"/>
    <n v="164.1"/>
  </r>
  <r>
    <x v="9"/>
    <x v="8"/>
    <x v="115"/>
    <x v="8"/>
    <x v="0"/>
    <x v="0"/>
    <n v="170.8"/>
  </r>
  <r>
    <x v="9"/>
    <x v="8"/>
    <x v="115"/>
    <x v="8"/>
    <x v="0"/>
    <x v="1"/>
    <n v="173.3"/>
  </r>
  <r>
    <x v="9"/>
    <x v="8"/>
    <x v="115"/>
    <x v="8"/>
    <x v="0"/>
    <x v="2"/>
    <n v="177.5"/>
  </r>
  <r>
    <x v="9"/>
    <x v="8"/>
    <x v="115"/>
    <x v="10"/>
    <x v="1"/>
    <x v="0"/>
    <n v="177.2"/>
  </r>
  <r>
    <x v="9"/>
    <x v="8"/>
    <x v="115"/>
    <x v="10"/>
    <x v="1"/>
    <x v="1"/>
    <n v="168.4"/>
  </r>
  <r>
    <x v="9"/>
    <x v="8"/>
    <x v="115"/>
    <x v="10"/>
    <x v="1"/>
    <x v="2"/>
    <n v="155.9"/>
  </r>
  <r>
    <x v="9"/>
    <x v="8"/>
    <x v="115"/>
    <x v="9"/>
    <x v="0"/>
    <x v="0"/>
    <n v="168"/>
  </r>
  <r>
    <x v="9"/>
    <x v="8"/>
    <x v="115"/>
    <x v="9"/>
    <x v="0"/>
    <x v="1"/>
    <n v="171"/>
  </r>
  <r>
    <x v="9"/>
    <x v="8"/>
    <x v="115"/>
    <x v="9"/>
    <x v="0"/>
    <x v="2"/>
    <n v="174.5"/>
  </r>
  <r>
    <x v="9"/>
    <x v="8"/>
    <x v="115"/>
    <x v="13"/>
    <x v="3"/>
    <x v="0"/>
    <n v="175.3"/>
  </r>
  <r>
    <x v="9"/>
    <x v="8"/>
    <x v="115"/>
    <x v="13"/>
    <x v="3"/>
    <x v="1"/>
    <n v="174.6"/>
  </r>
  <r>
    <x v="9"/>
    <x v="8"/>
    <x v="115"/>
    <x v="13"/>
    <x v="3"/>
    <x v="2"/>
    <n v="173.5"/>
  </r>
  <r>
    <x v="9"/>
    <x v="8"/>
    <x v="115"/>
    <x v="15"/>
    <x v="4"/>
    <x v="0"/>
    <n v="172.5"/>
  </r>
  <r>
    <x v="9"/>
    <x v="8"/>
    <x v="115"/>
    <x v="15"/>
    <x v="4"/>
    <x v="1"/>
    <n v="171.7"/>
  </r>
  <r>
    <x v="9"/>
    <x v="8"/>
    <x v="115"/>
    <x v="15"/>
    <x v="4"/>
    <x v="2"/>
    <n v="170.8"/>
  </r>
  <r>
    <x v="9"/>
    <x v="8"/>
    <x v="115"/>
    <x v="17"/>
    <x v="5"/>
    <x v="0"/>
    <n v="177.7"/>
  </r>
  <r>
    <x v="9"/>
    <x v="8"/>
    <x v="115"/>
    <x v="17"/>
    <x v="5"/>
    <x v="1"/>
    <n v="174.8"/>
  </r>
  <r>
    <x v="9"/>
    <x v="8"/>
    <x v="115"/>
    <x v="17"/>
    <x v="5"/>
    <x v="2"/>
    <n v="170.1"/>
  </r>
  <r>
    <x v="9"/>
    <x v="8"/>
    <x v="115"/>
    <x v="19"/>
    <x v="6"/>
    <x v="0"/>
    <n v="168.9"/>
  </r>
  <r>
    <x v="9"/>
    <x v="8"/>
    <x v="115"/>
    <x v="19"/>
    <x v="6"/>
    <x v="1"/>
    <n v="165.2"/>
  </r>
  <r>
    <x v="9"/>
    <x v="8"/>
    <x v="115"/>
    <x v="19"/>
    <x v="6"/>
    <x v="2"/>
    <n v="161.1"/>
  </r>
  <r>
    <x v="9"/>
    <x v="8"/>
    <x v="115"/>
    <x v="21"/>
    <x v="6"/>
    <x v="0"/>
    <n v="0"/>
  </r>
  <r>
    <x v="9"/>
    <x v="8"/>
    <x v="115"/>
    <x v="21"/>
    <x v="6"/>
    <x v="1"/>
    <n v="167.5"/>
  </r>
  <r>
    <x v="9"/>
    <x v="8"/>
    <x v="115"/>
    <x v="21"/>
    <x v="6"/>
    <x v="2"/>
    <n v="167.5"/>
  </r>
  <r>
    <x v="9"/>
    <x v="8"/>
    <x v="115"/>
    <x v="2"/>
    <x v="0"/>
    <x v="0"/>
    <n v="214.7"/>
  </r>
  <r>
    <x v="9"/>
    <x v="8"/>
    <x v="115"/>
    <x v="2"/>
    <x v="0"/>
    <x v="1"/>
    <n v="217"/>
  </r>
  <r>
    <x v="9"/>
    <x v="8"/>
    <x v="115"/>
    <x v="2"/>
    <x v="0"/>
    <x v="2"/>
    <n v="221.2"/>
  </r>
  <r>
    <x v="9"/>
    <x v="8"/>
    <x v="115"/>
    <x v="6"/>
    <x v="0"/>
    <x v="0"/>
    <n v="164.6"/>
  </r>
  <r>
    <x v="9"/>
    <x v="8"/>
    <x v="115"/>
    <x v="6"/>
    <x v="0"/>
    <x v="1"/>
    <n v="164.9"/>
  </r>
  <r>
    <x v="9"/>
    <x v="8"/>
    <x v="115"/>
    <x v="6"/>
    <x v="0"/>
    <x v="2"/>
    <n v="165.4"/>
  </r>
  <r>
    <x v="9"/>
    <x v="8"/>
    <x v="115"/>
    <x v="23"/>
    <x v="7"/>
    <x v="0"/>
    <n v="170.9"/>
  </r>
  <r>
    <x v="9"/>
    <x v="8"/>
    <x v="115"/>
    <x v="23"/>
    <x v="7"/>
    <x v="1"/>
    <n v="167.5"/>
  </r>
  <r>
    <x v="9"/>
    <x v="8"/>
    <x v="115"/>
    <x v="23"/>
    <x v="7"/>
    <x v="2"/>
    <n v="163.80000000000001"/>
  </r>
  <r>
    <x v="9"/>
    <x v="8"/>
    <x v="115"/>
    <x v="18"/>
    <x v="0"/>
    <x v="0"/>
    <n v="173.2"/>
  </r>
  <r>
    <x v="9"/>
    <x v="8"/>
    <x v="115"/>
    <x v="18"/>
    <x v="0"/>
    <x v="1"/>
    <n v="167.1"/>
  </r>
  <r>
    <x v="9"/>
    <x v="8"/>
    <x v="115"/>
    <x v="18"/>
    <x v="0"/>
    <x v="2"/>
    <n v="158.5"/>
  </r>
  <r>
    <x v="9"/>
    <x v="8"/>
    <x v="115"/>
    <x v="7"/>
    <x v="0"/>
    <x v="0"/>
    <n v="209.9"/>
  </r>
  <r>
    <x v="9"/>
    <x v="8"/>
    <x v="115"/>
    <x v="7"/>
    <x v="0"/>
    <x v="1"/>
    <n v="202.4"/>
  </r>
  <r>
    <x v="9"/>
    <x v="8"/>
    <x v="115"/>
    <x v="7"/>
    <x v="0"/>
    <x v="2"/>
    <n v="189.5"/>
  </r>
  <r>
    <x v="9"/>
    <x v="8"/>
    <x v="115"/>
    <x v="22"/>
    <x v="7"/>
    <x v="0"/>
    <n v="192.9"/>
  </r>
  <r>
    <x v="9"/>
    <x v="8"/>
    <x v="115"/>
    <x v="22"/>
    <x v="7"/>
    <x v="1"/>
    <n v="194.1"/>
  </r>
  <r>
    <x v="9"/>
    <x v="8"/>
    <x v="115"/>
    <x v="22"/>
    <x v="7"/>
    <x v="2"/>
    <n v="197.5"/>
  </r>
  <r>
    <x v="9"/>
    <x v="8"/>
    <x v="115"/>
    <x v="24"/>
    <x v="7"/>
    <x v="0"/>
    <n v="168.5"/>
  </r>
  <r>
    <x v="9"/>
    <x v="8"/>
    <x v="115"/>
    <x v="24"/>
    <x v="7"/>
    <x v="1"/>
    <n v="168.4"/>
  </r>
  <r>
    <x v="9"/>
    <x v="8"/>
    <x v="115"/>
    <x v="24"/>
    <x v="7"/>
    <x v="2"/>
    <n v="168.2"/>
  </r>
  <r>
    <x v="9"/>
    <x v="8"/>
    <x v="115"/>
    <x v="20"/>
    <x v="0"/>
    <x v="0"/>
    <n v="180.4"/>
  </r>
  <r>
    <x v="9"/>
    <x v="8"/>
    <x v="115"/>
    <x v="20"/>
    <x v="0"/>
    <x v="1"/>
    <n v="182.5"/>
  </r>
  <r>
    <x v="9"/>
    <x v="8"/>
    <x v="115"/>
    <x v="20"/>
    <x v="0"/>
    <x v="2"/>
    <n v="184.9"/>
  </r>
  <r>
    <x v="9"/>
    <x v="8"/>
    <x v="115"/>
    <x v="12"/>
    <x v="0"/>
    <x v="0"/>
    <n v="165"/>
  </r>
  <r>
    <x v="9"/>
    <x v="8"/>
    <x v="115"/>
    <x v="12"/>
    <x v="0"/>
    <x v="1"/>
    <n v="164.7"/>
  </r>
  <r>
    <x v="9"/>
    <x v="8"/>
    <x v="115"/>
    <x v="12"/>
    <x v="0"/>
    <x v="2"/>
    <n v="164.1"/>
  </r>
  <r>
    <x v="9"/>
    <x v="8"/>
    <x v="115"/>
    <x v="26"/>
    <x v="9"/>
    <x v="0"/>
    <n v="167.6"/>
  </r>
  <r>
    <x v="9"/>
    <x v="8"/>
    <x v="115"/>
    <x v="26"/>
    <x v="9"/>
    <x v="1"/>
    <n v="165.1"/>
  </r>
  <r>
    <x v="9"/>
    <x v="8"/>
    <x v="115"/>
    <x v="26"/>
    <x v="9"/>
    <x v="2"/>
    <n v="163.19999999999999"/>
  </r>
  <r>
    <x v="9"/>
    <x v="8"/>
    <x v="115"/>
    <x v="16"/>
    <x v="0"/>
    <x v="0"/>
    <n v="186.6"/>
  </r>
  <r>
    <x v="9"/>
    <x v="8"/>
    <x v="115"/>
    <x v="16"/>
    <x v="0"/>
    <x v="1"/>
    <n v="184.9"/>
  </r>
  <r>
    <x v="9"/>
    <x v="8"/>
    <x v="115"/>
    <x v="16"/>
    <x v="0"/>
    <x v="2"/>
    <n v="181.4"/>
  </r>
  <r>
    <x v="9"/>
    <x v="8"/>
    <x v="115"/>
    <x v="14"/>
    <x v="0"/>
    <x v="0"/>
    <n v="118.9"/>
  </r>
  <r>
    <x v="9"/>
    <x v="8"/>
    <x v="115"/>
    <x v="14"/>
    <x v="0"/>
    <x v="1"/>
    <n v="119.7"/>
  </r>
  <r>
    <x v="9"/>
    <x v="8"/>
    <x v="115"/>
    <x v="14"/>
    <x v="0"/>
    <x v="2"/>
    <n v="121.2"/>
  </r>
  <r>
    <x v="9"/>
    <x v="8"/>
    <x v="115"/>
    <x v="25"/>
    <x v="8"/>
    <x v="0"/>
    <n v="167.1"/>
  </r>
  <r>
    <x v="9"/>
    <x v="8"/>
    <x v="115"/>
    <x v="25"/>
    <x v="8"/>
    <x v="1"/>
    <n v="163"/>
  </r>
  <r>
    <x v="9"/>
    <x v="8"/>
    <x v="115"/>
    <x v="25"/>
    <x v="8"/>
    <x v="2"/>
    <n v="159.4"/>
  </r>
  <r>
    <x v="9"/>
    <x v="8"/>
    <x v="115"/>
    <x v="11"/>
    <x v="0"/>
    <x v="0"/>
    <n v="160.4"/>
  </r>
  <r>
    <x v="9"/>
    <x v="8"/>
    <x v="115"/>
    <x v="11"/>
    <x v="0"/>
    <x v="1"/>
    <n v="174.9"/>
  </r>
  <r>
    <x v="9"/>
    <x v="8"/>
    <x v="115"/>
    <x v="11"/>
    <x v="0"/>
    <x v="2"/>
    <n v="203.2"/>
  </r>
  <r>
    <x v="9"/>
    <x v="9"/>
    <x v="116"/>
    <x v="0"/>
    <x v="0"/>
    <x v="0"/>
    <n v="166.9"/>
  </r>
  <r>
    <x v="9"/>
    <x v="9"/>
    <x v="116"/>
    <x v="0"/>
    <x v="0"/>
    <x v="1"/>
    <n v="167.4"/>
  </r>
  <r>
    <x v="9"/>
    <x v="9"/>
    <x v="116"/>
    <x v="0"/>
    <x v="0"/>
    <x v="2"/>
    <n v="168.4"/>
  </r>
  <r>
    <x v="9"/>
    <x v="9"/>
    <x v="116"/>
    <x v="1"/>
    <x v="1"/>
    <x v="0"/>
    <n v="187.2"/>
  </r>
  <r>
    <x v="9"/>
    <x v="9"/>
    <x v="116"/>
    <x v="1"/>
    <x v="1"/>
    <x v="1"/>
    <n v="183.1"/>
  </r>
  <r>
    <x v="9"/>
    <x v="9"/>
    <x v="116"/>
    <x v="1"/>
    <x v="1"/>
    <x v="2"/>
    <n v="176.7"/>
  </r>
  <r>
    <x v="9"/>
    <x v="9"/>
    <x v="116"/>
    <x v="3"/>
    <x v="1"/>
    <x v="0"/>
    <n v="186.9"/>
  </r>
  <r>
    <x v="9"/>
    <x v="9"/>
    <x v="116"/>
    <x v="3"/>
    <x v="1"/>
    <x v="1"/>
    <n v="182.1"/>
  </r>
  <r>
    <x v="9"/>
    <x v="9"/>
    <x v="116"/>
    <x v="3"/>
    <x v="1"/>
    <x v="2"/>
    <n v="174.7"/>
  </r>
  <r>
    <x v="9"/>
    <x v="9"/>
    <x v="116"/>
    <x v="5"/>
    <x v="2"/>
    <x v="0"/>
    <n v="176.9"/>
  </r>
  <r>
    <x v="9"/>
    <x v="9"/>
    <x v="116"/>
    <x v="5"/>
    <x v="2"/>
    <x v="1"/>
    <n v="173.7"/>
  </r>
  <r>
    <x v="9"/>
    <x v="9"/>
    <x v="116"/>
    <x v="5"/>
    <x v="2"/>
    <x v="2"/>
    <n v="171.5"/>
  </r>
  <r>
    <x v="9"/>
    <x v="9"/>
    <x v="116"/>
    <x v="4"/>
    <x v="0"/>
    <x v="0"/>
    <n v="180.2"/>
  </r>
  <r>
    <x v="9"/>
    <x v="9"/>
    <x v="116"/>
    <x v="4"/>
    <x v="0"/>
    <x v="1"/>
    <n v="181.4"/>
  </r>
  <r>
    <x v="9"/>
    <x v="9"/>
    <x v="116"/>
    <x v="4"/>
    <x v="0"/>
    <x v="2"/>
    <n v="183.2"/>
  </r>
  <r>
    <x v="9"/>
    <x v="9"/>
    <x v="116"/>
    <x v="8"/>
    <x v="0"/>
    <x v="0"/>
    <n v="176.6"/>
  </r>
  <r>
    <x v="9"/>
    <x v="9"/>
    <x v="116"/>
    <x v="8"/>
    <x v="0"/>
    <x v="1"/>
    <n v="178.3"/>
  </r>
  <r>
    <x v="9"/>
    <x v="9"/>
    <x v="116"/>
    <x v="8"/>
    <x v="0"/>
    <x v="2"/>
    <n v="181.3"/>
  </r>
  <r>
    <x v="9"/>
    <x v="9"/>
    <x v="116"/>
    <x v="10"/>
    <x v="1"/>
    <x v="0"/>
    <n v="185.2"/>
  </r>
  <r>
    <x v="9"/>
    <x v="9"/>
    <x v="116"/>
    <x v="10"/>
    <x v="1"/>
    <x v="1"/>
    <n v="176.2"/>
  </r>
  <r>
    <x v="9"/>
    <x v="9"/>
    <x v="116"/>
    <x v="10"/>
    <x v="1"/>
    <x v="2"/>
    <n v="163.5"/>
  </r>
  <r>
    <x v="9"/>
    <x v="9"/>
    <x v="116"/>
    <x v="9"/>
    <x v="0"/>
    <x v="0"/>
    <n v="159.1"/>
  </r>
  <r>
    <x v="9"/>
    <x v="9"/>
    <x v="116"/>
    <x v="9"/>
    <x v="0"/>
    <x v="1"/>
    <n v="160.69999999999999"/>
  </r>
  <r>
    <x v="9"/>
    <x v="9"/>
    <x v="116"/>
    <x v="9"/>
    <x v="0"/>
    <x v="2"/>
    <n v="162.6"/>
  </r>
  <r>
    <x v="9"/>
    <x v="9"/>
    <x v="116"/>
    <x v="13"/>
    <x v="3"/>
    <x v="0"/>
    <n v="181.9"/>
  </r>
  <r>
    <x v="9"/>
    <x v="9"/>
    <x v="116"/>
    <x v="13"/>
    <x v="3"/>
    <x v="1"/>
    <n v="181.3"/>
  </r>
  <r>
    <x v="9"/>
    <x v="9"/>
    <x v="116"/>
    <x v="13"/>
    <x v="3"/>
    <x v="2"/>
    <n v="180.3"/>
  </r>
  <r>
    <x v="9"/>
    <x v="9"/>
    <x v="116"/>
    <x v="15"/>
    <x v="4"/>
    <x v="0"/>
    <n v="177.8"/>
  </r>
  <r>
    <x v="9"/>
    <x v="9"/>
    <x v="116"/>
    <x v="15"/>
    <x v="4"/>
    <x v="1"/>
    <n v="176.5"/>
  </r>
  <r>
    <x v="9"/>
    <x v="9"/>
    <x v="116"/>
    <x v="15"/>
    <x v="4"/>
    <x v="2"/>
    <n v="174.1"/>
  </r>
  <r>
    <x v="9"/>
    <x v="9"/>
    <x v="116"/>
    <x v="17"/>
    <x v="5"/>
    <x v="0"/>
    <n v="182.3"/>
  </r>
  <r>
    <x v="9"/>
    <x v="9"/>
    <x v="116"/>
    <x v="17"/>
    <x v="5"/>
    <x v="1"/>
    <n v="179.8"/>
  </r>
  <r>
    <x v="9"/>
    <x v="9"/>
    <x v="116"/>
    <x v="17"/>
    <x v="5"/>
    <x v="2"/>
    <n v="175.8"/>
  </r>
  <r>
    <x v="9"/>
    <x v="9"/>
    <x v="116"/>
    <x v="19"/>
    <x v="6"/>
    <x v="0"/>
    <n v="175.5"/>
  </r>
  <r>
    <x v="9"/>
    <x v="9"/>
    <x v="116"/>
    <x v="19"/>
    <x v="6"/>
    <x v="1"/>
    <n v="171.4"/>
  </r>
  <r>
    <x v="9"/>
    <x v="9"/>
    <x v="116"/>
    <x v="19"/>
    <x v="6"/>
    <x v="2"/>
    <n v="166.9"/>
  </r>
  <r>
    <x v="9"/>
    <x v="9"/>
    <x v="116"/>
    <x v="21"/>
    <x v="6"/>
    <x v="0"/>
    <n v="0"/>
  </r>
  <r>
    <x v="9"/>
    <x v="9"/>
    <x v="116"/>
    <x v="21"/>
    <x v="6"/>
    <x v="1"/>
    <n v="171.8"/>
  </r>
  <r>
    <x v="9"/>
    <x v="9"/>
    <x v="116"/>
    <x v="21"/>
    <x v="6"/>
    <x v="2"/>
    <n v="171.8"/>
  </r>
  <r>
    <x v="9"/>
    <x v="9"/>
    <x v="116"/>
    <x v="2"/>
    <x v="0"/>
    <x v="0"/>
    <n v="207.2"/>
  </r>
  <r>
    <x v="9"/>
    <x v="9"/>
    <x v="116"/>
    <x v="2"/>
    <x v="0"/>
    <x v="1"/>
    <n v="209.4"/>
  </r>
  <r>
    <x v="9"/>
    <x v="9"/>
    <x v="116"/>
    <x v="2"/>
    <x v="0"/>
    <x v="2"/>
    <n v="213.4"/>
  </r>
  <r>
    <x v="9"/>
    <x v="9"/>
    <x v="116"/>
    <x v="6"/>
    <x v="0"/>
    <x v="0"/>
    <n v="172.3"/>
  </r>
  <r>
    <x v="9"/>
    <x v="9"/>
    <x v="116"/>
    <x v="6"/>
    <x v="0"/>
    <x v="1"/>
    <n v="172.3"/>
  </r>
  <r>
    <x v="9"/>
    <x v="9"/>
    <x v="116"/>
    <x v="6"/>
    <x v="0"/>
    <x v="2"/>
    <n v="172.3"/>
  </r>
  <r>
    <x v="9"/>
    <x v="9"/>
    <x v="116"/>
    <x v="23"/>
    <x v="7"/>
    <x v="0"/>
    <n v="174.6"/>
  </r>
  <r>
    <x v="9"/>
    <x v="9"/>
    <x v="116"/>
    <x v="23"/>
    <x v="7"/>
    <x v="1"/>
    <n v="171.1"/>
  </r>
  <r>
    <x v="9"/>
    <x v="9"/>
    <x v="116"/>
    <x v="23"/>
    <x v="7"/>
    <x v="2"/>
    <n v="167.4"/>
  </r>
  <r>
    <x v="9"/>
    <x v="9"/>
    <x v="116"/>
    <x v="18"/>
    <x v="0"/>
    <x v="0"/>
    <n v="176.4"/>
  </r>
  <r>
    <x v="9"/>
    <x v="9"/>
    <x v="116"/>
    <x v="18"/>
    <x v="0"/>
    <x v="1"/>
    <n v="170.4"/>
  </r>
  <r>
    <x v="9"/>
    <x v="9"/>
    <x v="116"/>
    <x v="18"/>
    <x v="0"/>
    <x v="2"/>
    <n v="162.1"/>
  </r>
  <r>
    <x v="9"/>
    <x v="9"/>
    <x v="116"/>
    <x v="7"/>
    <x v="0"/>
    <x v="0"/>
    <n v="194"/>
  </r>
  <r>
    <x v="9"/>
    <x v="9"/>
    <x v="116"/>
    <x v="7"/>
    <x v="0"/>
    <x v="1"/>
    <n v="188.9"/>
  </r>
  <r>
    <x v="9"/>
    <x v="9"/>
    <x v="116"/>
    <x v="7"/>
    <x v="0"/>
    <x v="2"/>
    <n v="180"/>
  </r>
  <r>
    <x v="9"/>
    <x v="9"/>
    <x v="116"/>
    <x v="22"/>
    <x v="7"/>
    <x v="0"/>
    <n v="195.5"/>
  </r>
  <r>
    <x v="9"/>
    <x v="9"/>
    <x v="116"/>
    <x v="22"/>
    <x v="7"/>
    <x v="1"/>
    <n v="196.9"/>
  </r>
  <r>
    <x v="9"/>
    <x v="9"/>
    <x v="116"/>
    <x v="22"/>
    <x v="7"/>
    <x v="2"/>
    <n v="200.6"/>
  </r>
  <r>
    <x v="9"/>
    <x v="9"/>
    <x v="116"/>
    <x v="24"/>
    <x v="7"/>
    <x v="0"/>
    <n v="173.4"/>
  </r>
  <r>
    <x v="9"/>
    <x v="9"/>
    <x v="116"/>
    <x v="24"/>
    <x v="7"/>
    <x v="1"/>
    <n v="173.6"/>
  </r>
  <r>
    <x v="9"/>
    <x v="9"/>
    <x v="116"/>
    <x v="24"/>
    <x v="7"/>
    <x v="2"/>
    <n v="173.8"/>
  </r>
  <r>
    <x v="9"/>
    <x v="9"/>
    <x v="116"/>
    <x v="20"/>
    <x v="0"/>
    <x v="0"/>
    <n v="186.9"/>
  </r>
  <r>
    <x v="9"/>
    <x v="9"/>
    <x v="116"/>
    <x v="20"/>
    <x v="0"/>
    <x v="1"/>
    <n v="189.5"/>
  </r>
  <r>
    <x v="9"/>
    <x v="9"/>
    <x v="116"/>
    <x v="20"/>
    <x v="0"/>
    <x v="2"/>
    <n v="192.4"/>
  </r>
  <r>
    <x v="9"/>
    <x v="9"/>
    <x v="116"/>
    <x v="12"/>
    <x v="0"/>
    <x v="0"/>
    <n v="170.2"/>
  </r>
  <r>
    <x v="9"/>
    <x v="9"/>
    <x v="116"/>
    <x v="12"/>
    <x v="0"/>
    <x v="1"/>
    <n v="170.5"/>
  </r>
  <r>
    <x v="9"/>
    <x v="9"/>
    <x v="116"/>
    <x v="12"/>
    <x v="0"/>
    <x v="2"/>
    <n v="171"/>
  </r>
  <r>
    <x v="9"/>
    <x v="9"/>
    <x v="116"/>
    <x v="26"/>
    <x v="9"/>
    <x v="0"/>
    <n v="170.8"/>
  </r>
  <r>
    <x v="9"/>
    <x v="9"/>
    <x v="116"/>
    <x v="26"/>
    <x v="9"/>
    <x v="1"/>
    <n v="168.5"/>
  </r>
  <r>
    <x v="9"/>
    <x v="9"/>
    <x v="116"/>
    <x v="26"/>
    <x v="9"/>
    <x v="2"/>
    <n v="166.7"/>
  </r>
  <r>
    <x v="9"/>
    <x v="9"/>
    <x v="116"/>
    <x v="16"/>
    <x v="0"/>
    <x v="0"/>
    <n v="204.8"/>
  </r>
  <r>
    <x v="9"/>
    <x v="9"/>
    <x v="116"/>
    <x v="16"/>
    <x v="0"/>
    <x v="1"/>
    <n v="202.8"/>
  </r>
  <r>
    <x v="9"/>
    <x v="9"/>
    <x v="116"/>
    <x v="16"/>
    <x v="0"/>
    <x v="2"/>
    <n v="198.8"/>
  </r>
  <r>
    <x v="9"/>
    <x v="9"/>
    <x v="116"/>
    <x v="14"/>
    <x v="0"/>
    <x v="0"/>
    <n v="121.5"/>
  </r>
  <r>
    <x v="9"/>
    <x v="9"/>
    <x v="116"/>
    <x v="14"/>
    <x v="0"/>
    <x v="1"/>
    <n v="122.1"/>
  </r>
  <r>
    <x v="9"/>
    <x v="9"/>
    <x v="116"/>
    <x v="14"/>
    <x v="0"/>
    <x v="2"/>
    <n v="123.4"/>
  </r>
  <r>
    <x v="9"/>
    <x v="9"/>
    <x v="116"/>
    <x v="25"/>
    <x v="8"/>
    <x v="0"/>
    <n v="167.5"/>
  </r>
  <r>
    <x v="9"/>
    <x v="9"/>
    <x v="116"/>
    <x v="25"/>
    <x v="8"/>
    <x v="1"/>
    <n v="163"/>
  </r>
  <r>
    <x v="9"/>
    <x v="9"/>
    <x v="116"/>
    <x v="25"/>
    <x v="8"/>
    <x v="2"/>
    <n v="158.9"/>
  </r>
  <r>
    <x v="9"/>
    <x v="9"/>
    <x v="116"/>
    <x v="11"/>
    <x v="0"/>
    <x v="0"/>
    <n v="171.6"/>
  </r>
  <r>
    <x v="9"/>
    <x v="9"/>
    <x v="116"/>
    <x v="11"/>
    <x v="0"/>
    <x v="1"/>
    <n v="183.1"/>
  </r>
  <r>
    <x v="9"/>
    <x v="9"/>
    <x v="116"/>
    <x v="11"/>
    <x v="0"/>
    <x v="2"/>
    <n v="205.5"/>
  </r>
  <r>
    <x v="9"/>
    <x v="10"/>
    <x v="117"/>
    <x v="0"/>
    <x v="0"/>
    <x v="0"/>
    <n v="164.7"/>
  </r>
  <r>
    <x v="9"/>
    <x v="10"/>
    <x v="117"/>
    <x v="0"/>
    <x v="0"/>
    <x v="1"/>
    <n v="165.2"/>
  </r>
  <r>
    <x v="9"/>
    <x v="10"/>
    <x v="117"/>
    <x v="0"/>
    <x v="0"/>
    <x v="2"/>
    <n v="166.4"/>
  </r>
  <r>
    <x v="9"/>
    <x v="10"/>
    <x v="117"/>
    <x v="1"/>
    <x v="1"/>
    <x v="0"/>
    <n v="186.1"/>
  </r>
  <r>
    <x v="9"/>
    <x v="10"/>
    <x v="117"/>
    <x v="1"/>
    <x v="1"/>
    <x v="1"/>
    <n v="181.9"/>
  </r>
  <r>
    <x v="9"/>
    <x v="10"/>
    <x v="117"/>
    <x v="1"/>
    <x v="1"/>
    <x v="2"/>
    <n v="175.5"/>
  </r>
  <r>
    <x v="9"/>
    <x v="10"/>
    <x v="117"/>
    <x v="3"/>
    <x v="1"/>
    <x v="0"/>
    <n v="185.9"/>
  </r>
  <r>
    <x v="9"/>
    <x v="10"/>
    <x v="117"/>
    <x v="3"/>
    <x v="1"/>
    <x v="1"/>
    <n v="181"/>
  </r>
  <r>
    <x v="9"/>
    <x v="10"/>
    <x v="117"/>
    <x v="3"/>
    <x v="1"/>
    <x v="2"/>
    <n v="173.6"/>
  </r>
  <r>
    <x v="9"/>
    <x v="10"/>
    <x v="117"/>
    <x v="5"/>
    <x v="2"/>
    <x v="0"/>
    <n v="176.5"/>
  </r>
  <r>
    <x v="9"/>
    <x v="10"/>
    <x v="117"/>
    <x v="5"/>
    <x v="2"/>
    <x v="1"/>
    <n v="173.4"/>
  </r>
  <r>
    <x v="9"/>
    <x v="10"/>
    <x v="117"/>
    <x v="5"/>
    <x v="2"/>
    <x v="2"/>
    <n v="171.2"/>
  </r>
  <r>
    <x v="9"/>
    <x v="10"/>
    <x v="117"/>
    <x v="4"/>
    <x v="0"/>
    <x v="0"/>
    <n v="170.3"/>
  </r>
  <r>
    <x v="9"/>
    <x v="10"/>
    <x v="117"/>
    <x v="4"/>
    <x v="0"/>
    <x v="1"/>
    <n v="170.9"/>
  </r>
  <r>
    <x v="9"/>
    <x v="10"/>
    <x v="117"/>
    <x v="4"/>
    <x v="0"/>
    <x v="2"/>
    <n v="171.9"/>
  </r>
  <r>
    <x v="9"/>
    <x v="10"/>
    <x v="117"/>
    <x v="8"/>
    <x v="0"/>
    <x v="0"/>
    <n v="177.4"/>
  </r>
  <r>
    <x v="9"/>
    <x v="10"/>
    <x v="117"/>
    <x v="8"/>
    <x v="0"/>
    <x v="1"/>
    <n v="179.6"/>
  </r>
  <r>
    <x v="9"/>
    <x v="10"/>
    <x v="117"/>
    <x v="8"/>
    <x v="0"/>
    <x v="2"/>
    <n v="183.3"/>
  </r>
  <r>
    <x v="9"/>
    <x v="10"/>
    <x v="117"/>
    <x v="10"/>
    <x v="1"/>
    <x v="0"/>
    <n v="184.4"/>
  </r>
  <r>
    <x v="9"/>
    <x v="10"/>
    <x v="117"/>
    <x v="10"/>
    <x v="1"/>
    <x v="1"/>
    <n v="175.3"/>
  </r>
  <r>
    <x v="9"/>
    <x v="10"/>
    <x v="117"/>
    <x v="10"/>
    <x v="1"/>
    <x v="2"/>
    <n v="162.6"/>
  </r>
  <r>
    <x v="9"/>
    <x v="10"/>
    <x v="117"/>
    <x v="9"/>
    <x v="0"/>
    <x v="0"/>
    <n v="162.19999999999999"/>
  </r>
  <r>
    <x v="9"/>
    <x v="10"/>
    <x v="117"/>
    <x v="9"/>
    <x v="0"/>
    <x v="1"/>
    <n v="163.80000000000001"/>
  </r>
  <r>
    <x v="9"/>
    <x v="10"/>
    <x v="117"/>
    <x v="9"/>
    <x v="0"/>
    <x v="2"/>
    <n v="165.7"/>
  </r>
  <r>
    <x v="9"/>
    <x v="10"/>
    <x v="117"/>
    <x v="13"/>
    <x v="3"/>
    <x v="0"/>
    <n v="180.8"/>
  </r>
  <r>
    <x v="9"/>
    <x v="10"/>
    <x v="117"/>
    <x v="13"/>
    <x v="3"/>
    <x v="1"/>
    <n v="180.5"/>
  </r>
  <r>
    <x v="9"/>
    <x v="10"/>
    <x v="117"/>
    <x v="13"/>
    <x v="3"/>
    <x v="2"/>
    <n v="180"/>
  </r>
  <r>
    <x v="9"/>
    <x v="10"/>
    <x v="117"/>
    <x v="15"/>
    <x v="4"/>
    <x v="0"/>
    <n v="177.9"/>
  </r>
  <r>
    <x v="9"/>
    <x v="10"/>
    <x v="117"/>
    <x v="15"/>
    <x v="4"/>
    <x v="1"/>
    <n v="176.7"/>
  </r>
  <r>
    <x v="9"/>
    <x v="10"/>
    <x v="117"/>
    <x v="15"/>
    <x v="4"/>
    <x v="2"/>
    <n v="175.3"/>
  </r>
  <r>
    <x v="9"/>
    <x v="10"/>
    <x v="117"/>
    <x v="17"/>
    <x v="5"/>
    <x v="0"/>
    <n v="181.2"/>
  </r>
  <r>
    <x v="9"/>
    <x v="10"/>
    <x v="117"/>
    <x v="17"/>
    <x v="5"/>
    <x v="1"/>
    <n v="178.7"/>
  </r>
  <r>
    <x v="9"/>
    <x v="10"/>
    <x v="117"/>
    <x v="17"/>
    <x v="5"/>
    <x v="2"/>
    <n v="174.7"/>
  </r>
  <r>
    <x v="9"/>
    <x v="10"/>
    <x v="117"/>
    <x v="19"/>
    <x v="6"/>
    <x v="0"/>
    <n v="174.4"/>
  </r>
  <r>
    <x v="9"/>
    <x v="10"/>
    <x v="117"/>
    <x v="19"/>
    <x v="6"/>
    <x v="1"/>
    <n v="170.4"/>
  </r>
  <r>
    <x v="9"/>
    <x v="10"/>
    <x v="117"/>
    <x v="19"/>
    <x v="6"/>
    <x v="2"/>
    <n v="166"/>
  </r>
  <r>
    <x v="9"/>
    <x v="10"/>
    <x v="117"/>
    <x v="21"/>
    <x v="6"/>
    <x v="0"/>
    <n v="0"/>
  </r>
  <r>
    <x v="9"/>
    <x v="10"/>
    <x v="117"/>
    <x v="21"/>
    <x v="6"/>
    <x v="1"/>
    <n v="171.2"/>
  </r>
  <r>
    <x v="9"/>
    <x v="10"/>
    <x v="117"/>
    <x v="21"/>
    <x v="6"/>
    <x v="2"/>
    <n v="171.2"/>
  </r>
  <r>
    <x v="9"/>
    <x v="10"/>
    <x v="117"/>
    <x v="2"/>
    <x v="0"/>
    <x v="0"/>
    <n v="208.8"/>
  </r>
  <r>
    <x v="9"/>
    <x v="10"/>
    <x v="117"/>
    <x v="2"/>
    <x v="0"/>
    <x v="1"/>
    <n v="210.9"/>
  </r>
  <r>
    <x v="9"/>
    <x v="10"/>
    <x v="117"/>
    <x v="2"/>
    <x v="0"/>
    <x v="2"/>
    <n v="214.9"/>
  </r>
  <r>
    <x v="9"/>
    <x v="10"/>
    <x v="117"/>
    <x v="6"/>
    <x v="0"/>
    <x v="0"/>
    <n v="170.9"/>
  </r>
  <r>
    <x v="9"/>
    <x v="10"/>
    <x v="117"/>
    <x v="6"/>
    <x v="0"/>
    <x v="1"/>
    <n v="170.9"/>
  </r>
  <r>
    <x v="9"/>
    <x v="10"/>
    <x v="117"/>
    <x v="6"/>
    <x v="0"/>
    <x v="2"/>
    <n v="171"/>
  </r>
  <r>
    <x v="9"/>
    <x v="10"/>
    <x v="117"/>
    <x v="23"/>
    <x v="7"/>
    <x v="0"/>
    <n v="173.9"/>
  </r>
  <r>
    <x v="9"/>
    <x v="10"/>
    <x v="117"/>
    <x v="23"/>
    <x v="7"/>
    <x v="1"/>
    <n v="170.5"/>
  </r>
  <r>
    <x v="9"/>
    <x v="10"/>
    <x v="117"/>
    <x v="23"/>
    <x v="7"/>
    <x v="2"/>
    <n v="166.8"/>
  </r>
  <r>
    <x v="9"/>
    <x v="10"/>
    <x v="117"/>
    <x v="18"/>
    <x v="0"/>
    <x v="0"/>
    <n v="175.8"/>
  </r>
  <r>
    <x v="9"/>
    <x v="10"/>
    <x v="117"/>
    <x v="18"/>
    <x v="0"/>
    <x v="1"/>
    <n v="169.9"/>
  </r>
  <r>
    <x v="9"/>
    <x v="10"/>
    <x v="117"/>
    <x v="18"/>
    <x v="0"/>
    <x v="2"/>
    <n v="161.6"/>
  </r>
  <r>
    <x v="9"/>
    <x v="10"/>
    <x v="117"/>
    <x v="7"/>
    <x v="0"/>
    <x v="0"/>
    <n v="191.6"/>
  </r>
  <r>
    <x v="9"/>
    <x v="10"/>
    <x v="117"/>
    <x v="7"/>
    <x v="0"/>
    <x v="1"/>
    <n v="186.5"/>
  </r>
  <r>
    <x v="9"/>
    <x v="10"/>
    <x v="117"/>
    <x v="7"/>
    <x v="0"/>
    <x v="2"/>
    <n v="177.7"/>
  </r>
  <r>
    <x v="9"/>
    <x v="10"/>
    <x v="117"/>
    <x v="22"/>
    <x v="7"/>
    <x v="0"/>
    <n v="194.9"/>
  </r>
  <r>
    <x v="9"/>
    <x v="10"/>
    <x v="117"/>
    <x v="22"/>
    <x v="7"/>
    <x v="1"/>
    <n v="196.3"/>
  </r>
  <r>
    <x v="9"/>
    <x v="10"/>
    <x v="117"/>
    <x v="22"/>
    <x v="7"/>
    <x v="2"/>
    <n v="200.1"/>
  </r>
  <r>
    <x v="9"/>
    <x v="10"/>
    <x v="117"/>
    <x v="24"/>
    <x v="7"/>
    <x v="0"/>
    <n v="172"/>
  </r>
  <r>
    <x v="9"/>
    <x v="10"/>
    <x v="117"/>
    <x v="24"/>
    <x v="7"/>
    <x v="1"/>
    <n v="172.1"/>
  </r>
  <r>
    <x v="9"/>
    <x v="10"/>
    <x v="117"/>
    <x v="24"/>
    <x v="7"/>
    <x v="2"/>
    <n v="172.3"/>
  </r>
  <r>
    <x v="9"/>
    <x v="10"/>
    <x v="117"/>
    <x v="20"/>
    <x v="0"/>
    <x v="0"/>
    <n v="185.6"/>
  </r>
  <r>
    <x v="9"/>
    <x v="10"/>
    <x v="117"/>
    <x v="20"/>
    <x v="0"/>
    <x v="1"/>
    <n v="188.3"/>
  </r>
  <r>
    <x v="9"/>
    <x v="10"/>
    <x v="117"/>
    <x v="20"/>
    <x v="0"/>
    <x v="2"/>
    <n v="191.5"/>
  </r>
  <r>
    <x v="9"/>
    <x v="10"/>
    <x v="117"/>
    <x v="12"/>
    <x v="0"/>
    <x v="0"/>
    <n v="169.7"/>
  </r>
  <r>
    <x v="9"/>
    <x v="10"/>
    <x v="117"/>
    <x v="12"/>
    <x v="0"/>
    <x v="1"/>
    <n v="169.8"/>
  </r>
  <r>
    <x v="9"/>
    <x v="10"/>
    <x v="117"/>
    <x v="12"/>
    <x v="0"/>
    <x v="2"/>
    <n v="169.9"/>
  </r>
  <r>
    <x v="9"/>
    <x v="10"/>
    <x v="117"/>
    <x v="26"/>
    <x v="9"/>
    <x v="0"/>
    <n v="170.6"/>
  </r>
  <r>
    <x v="9"/>
    <x v="10"/>
    <x v="117"/>
    <x v="26"/>
    <x v="9"/>
    <x v="1"/>
    <n v="168.2"/>
  </r>
  <r>
    <x v="9"/>
    <x v="10"/>
    <x v="117"/>
    <x v="26"/>
    <x v="9"/>
    <x v="2"/>
    <n v="166.3"/>
  </r>
  <r>
    <x v="9"/>
    <x v="10"/>
    <x v="117"/>
    <x v="16"/>
    <x v="0"/>
    <x v="0"/>
    <n v="201.6"/>
  </r>
  <r>
    <x v="9"/>
    <x v="10"/>
    <x v="117"/>
    <x v="16"/>
    <x v="0"/>
    <x v="1"/>
    <n v="199.9"/>
  </r>
  <r>
    <x v="9"/>
    <x v="10"/>
    <x v="117"/>
    <x v="16"/>
    <x v="0"/>
    <x v="2"/>
    <n v="196.4"/>
  </r>
  <r>
    <x v="9"/>
    <x v="10"/>
    <x v="117"/>
    <x v="14"/>
    <x v="0"/>
    <x v="0"/>
    <n v="121.1"/>
  </r>
  <r>
    <x v="9"/>
    <x v="10"/>
    <x v="117"/>
    <x v="14"/>
    <x v="0"/>
    <x v="1"/>
    <n v="121.9"/>
  </r>
  <r>
    <x v="9"/>
    <x v="10"/>
    <x v="117"/>
    <x v="14"/>
    <x v="0"/>
    <x v="2"/>
    <n v="123.4"/>
  </r>
  <r>
    <x v="9"/>
    <x v="10"/>
    <x v="117"/>
    <x v="25"/>
    <x v="8"/>
    <x v="0"/>
    <n v="167.4"/>
  </r>
  <r>
    <x v="9"/>
    <x v="10"/>
    <x v="117"/>
    <x v="25"/>
    <x v="8"/>
    <x v="1"/>
    <n v="162.9"/>
  </r>
  <r>
    <x v="9"/>
    <x v="10"/>
    <x v="117"/>
    <x v="25"/>
    <x v="8"/>
    <x v="2"/>
    <n v="158.80000000000001"/>
  </r>
  <r>
    <x v="9"/>
    <x v="10"/>
    <x v="117"/>
    <x v="11"/>
    <x v="0"/>
    <x v="0"/>
    <n v="184.8"/>
  </r>
  <r>
    <x v="9"/>
    <x v="10"/>
    <x v="117"/>
    <x v="11"/>
    <x v="0"/>
    <x v="1"/>
    <n v="199.7"/>
  </r>
  <r>
    <x v="9"/>
    <x v="10"/>
    <x v="117"/>
    <x v="11"/>
    <x v="0"/>
    <x v="2"/>
    <n v="228.6"/>
  </r>
  <r>
    <x v="9"/>
    <x v="11"/>
    <x v="118"/>
    <x v="0"/>
    <x v="0"/>
    <x v="0"/>
    <n v="162.9"/>
  </r>
  <r>
    <x v="9"/>
    <x v="11"/>
    <x v="118"/>
    <x v="0"/>
    <x v="0"/>
    <x v="1"/>
    <n v="163.5"/>
  </r>
  <r>
    <x v="9"/>
    <x v="11"/>
    <x v="118"/>
    <x v="0"/>
    <x v="0"/>
    <x v="2"/>
    <n v="164.9"/>
  </r>
  <r>
    <x v="9"/>
    <x v="11"/>
    <x v="118"/>
    <x v="1"/>
    <x v="1"/>
    <x v="0"/>
    <n v="184.7"/>
  </r>
  <r>
    <x v="9"/>
    <x v="11"/>
    <x v="118"/>
    <x v="1"/>
    <x v="1"/>
    <x v="1"/>
    <n v="180.9"/>
  </r>
  <r>
    <x v="9"/>
    <x v="11"/>
    <x v="118"/>
    <x v="1"/>
    <x v="1"/>
    <x v="2"/>
    <n v="175"/>
  </r>
  <r>
    <x v="9"/>
    <x v="11"/>
    <x v="118"/>
    <x v="3"/>
    <x v="1"/>
    <x v="0"/>
    <n v="184.5"/>
  </r>
  <r>
    <x v="9"/>
    <x v="11"/>
    <x v="118"/>
    <x v="3"/>
    <x v="1"/>
    <x v="1"/>
    <n v="179.9"/>
  </r>
  <r>
    <x v="9"/>
    <x v="11"/>
    <x v="118"/>
    <x v="3"/>
    <x v="1"/>
    <x v="2"/>
    <n v="173"/>
  </r>
  <r>
    <x v="9"/>
    <x v="11"/>
    <x v="118"/>
    <x v="5"/>
    <x v="2"/>
    <x v="0"/>
    <n v="176.2"/>
  </r>
  <r>
    <x v="9"/>
    <x v="11"/>
    <x v="118"/>
    <x v="5"/>
    <x v="2"/>
    <x v="1"/>
    <n v="173.1"/>
  </r>
  <r>
    <x v="9"/>
    <x v="11"/>
    <x v="118"/>
    <x v="5"/>
    <x v="2"/>
    <x v="2"/>
    <n v="170.9"/>
  </r>
  <r>
    <x v="9"/>
    <x v="11"/>
    <x v="118"/>
    <x v="4"/>
    <x v="0"/>
    <x v="0"/>
    <n v="169"/>
  </r>
  <r>
    <x v="9"/>
    <x v="11"/>
    <x v="118"/>
    <x v="4"/>
    <x v="0"/>
    <x v="1"/>
    <n v="169.7"/>
  </r>
  <r>
    <x v="9"/>
    <x v="11"/>
    <x v="118"/>
    <x v="4"/>
    <x v="0"/>
    <x v="2"/>
    <n v="170.9"/>
  </r>
  <r>
    <x v="9"/>
    <x v="11"/>
    <x v="118"/>
    <x v="8"/>
    <x v="0"/>
    <x v="0"/>
    <n v="175.5"/>
  </r>
  <r>
    <x v="9"/>
    <x v="11"/>
    <x v="118"/>
    <x v="8"/>
    <x v="0"/>
    <x v="1"/>
    <n v="177.8"/>
  </r>
  <r>
    <x v="9"/>
    <x v="11"/>
    <x v="118"/>
    <x v="8"/>
    <x v="0"/>
    <x v="2"/>
    <n v="181.8"/>
  </r>
  <r>
    <x v="9"/>
    <x v="11"/>
    <x v="118"/>
    <x v="10"/>
    <x v="1"/>
    <x v="0"/>
    <n v="183.3"/>
  </r>
  <r>
    <x v="9"/>
    <x v="11"/>
    <x v="118"/>
    <x v="10"/>
    <x v="1"/>
    <x v="1"/>
    <n v="174.3"/>
  </r>
  <r>
    <x v="9"/>
    <x v="11"/>
    <x v="118"/>
    <x v="10"/>
    <x v="1"/>
    <x v="2"/>
    <n v="161.69999999999999"/>
  </r>
  <r>
    <x v="9"/>
    <x v="11"/>
    <x v="118"/>
    <x v="9"/>
    <x v="0"/>
    <x v="0"/>
    <n v="164.1"/>
  </r>
  <r>
    <x v="9"/>
    <x v="11"/>
    <x v="118"/>
    <x v="9"/>
    <x v="0"/>
    <x v="1"/>
    <n v="165.7"/>
  </r>
  <r>
    <x v="9"/>
    <x v="11"/>
    <x v="118"/>
    <x v="9"/>
    <x v="0"/>
    <x v="2"/>
    <n v="167.5"/>
  </r>
  <r>
    <x v="9"/>
    <x v="11"/>
    <x v="118"/>
    <x v="13"/>
    <x v="3"/>
    <x v="0"/>
    <n v="179.7"/>
  </r>
  <r>
    <x v="9"/>
    <x v="11"/>
    <x v="118"/>
    <x v="13"/>
    <x v="3"/>
    <x v="1"/>
    <n v="179.5"/>
  </r>
  <r>
    <x v="9"/>
    <x v="11"/>
    <x v="118"/>
    <x v="13"/>
    <x v="3"/>
    <x v="2"/>
    <n v="179.2"/>
  </r>
  <r>
    <x v="9"/>
    <x v="11"/>
    <x v="118"/>
    <x v="15"/>
    <x v="4"/>
    <x v="0"/>
    <n v="176.4"/>
  </r>
  <r>
    <x v="9"/>
    <x v="11"/>
    <x v="118"/>
    <x v="15"/>
    <x v="4"/>
    <x v="1"/>
    <n v="175.3"/>
  </r>
  <r>
    <x v="9"/>
    <x v="11"/>
    <x v="118"/>
    <x v="15"/>
    <x v="4"/>
    <x v="2"/>
    <n v="174.1"/>
  </r>
  <r>
    <x v="9"/>
    <x v="11"/>
    <x v="118"/>
    <x v="17"/>
    <x v="5"/>
    <x v="0"/>
    <n v="180.2"/>
  </r>
  <r>
    <x v="9"/>
    <x v="11"/>
    <x v="118"/>
    <x v="17"/>
    <x v="5"/>
    <x v="1"/>
    <n v="177.8"/>
  </r>
  <r>
    <x v="9"/>
    <x v="11"/>
    <x v="118"/>
    <x v="17"/>
    <x v="5"/>
    <x v="2"/>
    <n v="173.8"/>
  </r>
  <r>
    <x v="9"/>
    <x v="11"/>
    <x v="118"/>
    <x v="19"/>
    <x v="6"/>
    <x v="0"/>
    <n v="173.6"/>
  </r>
  <r>
    <x v="9"/>
    <x v="11"/>
    <x v="118"/>
    <x v="19"/>
    <x v="6"/>
    <x v="1"/>
    <n v="169.5"/>
  </r>
  <r>
    <x v="9"/>
    <x v="11"/>
    <x v="118"/>
    <x v="19"/>
    <x v="6"/>
    <x v="2"/>
    <n v="165"/>
  </r>
  <r>
    <x v="9"/>
    <x v="11"/>
    <x v="118"/>
    <x v="21"/>
    <x v="6"/>
    <x v="0"/>
    <n v="0"/>
  </r>
  <r>
    <x v="9"/>
    <x v="11"/>
    <x v="118"/>
    <x v="21"/>
    <x v="6"/>
    <x v="1"/>
    <n v="169.5"/>
  </r>
  <r>
    <x v="9"/>
    <x v="11"/>
    <x v="118"/>
    <x v="21"/>
    <x v="6"/>
    <x v="2"/>
    <n v="169.5"/>
  </r>
  <r>
    <x v="9"/>
    <x v="11"/>
    <x v="118"/>
    <x v="2"/>
    <x v="0"/>
    <x v="0"/>
    <n v="206.7"/>
  </r>
  <r>
    <x v="9"/>
    <x v="11"/>
    <x v="118"/>
    <x v="2"/>
    <x v="0"/>
    <x v="1"/>
    <n v="209.2"/>
  </r>
  <r>
    <x v="9"/>
    <x v="11"/>
    <x v="118"/>
    <x v="2"/>
    <x v="0"/>
    <x v="2"/>
    <n v="213.7"/>
  </r>
  <r>
    <x v="9"/>
    <x v="11"/>
    <x v="118"/>
    <x v="6"/>
    <x v="0"/>
    <x v="0"/>
    <n v="169.5"/>
  </r>
  <r>
    <x v="9"/>
    <x v="11"/>
    <x v="118"/>
    <x v="6"/>
    <x v="0"/>
    <x v="1"/>
    <n v="169.7"/>
  </r>
  <r>
    <x v="9"/>
    <x v="11"/>
    <x v="118"/>
    <x v="6"/>
    <x v="0"/>
    <x v="2"/>
    <n v="170.1"/>
  </r>
  <r>
    <x v="9"/>
    <x v="11"/>
    <x v="118"/>
    <x v="23"/>
    <x v="7"/>
    <x v="0"/>
    <n v="173.1"/>
  </r>
  <r>
    <x v="9"/>
    <x v="11"/>
    <x v="118"/>
    <x v="23"/>
    <x v="7"/>
    <x v="1"/>
    <n v="169.7"/>
  </r>
  <r>
    <x v="9"/>
    <x v="11"/>
    <x v="118"/>
    <x v="23"/>
    <x v="7"/>
    <x v="2"/>
    <n v="166.1"/>
  </r>
  <r>
    <x v="9"/>
    <x v="11"/>
    <x v="118"/>
    <x v="18"/>
    <x v="0"/>
    <x v="0"/>
    <n v="175.4"/>
  </r>
  <r>
    <x v="9"/>
    <x v="11"/>
    <x v="118"/>
    <x v="18"/>
    <x v="0"/>
    <x v="1"/>
    <n v="169.4"/>
  </r>
  <r>
    <x v="9"/>
    <x v="11"/>
    <x v="118"/>
    <x v="18"/>
    <x v="0"/>
    <x v="2"/>
    <n v="161.1"/>
  </r>
  <r>
    <x v="9"/>
    <x v="11"/>
    <x v="118"/>
    <x v="7"/>
    <x v="0"/>
    <x v="0"/>
    <n v="194.1"/>
  </r>
  <r>
    <x v="9"/>
    <x v="11"/>
    <x v="118"/>
    <x v="7"/>
    <x v="0"/>
    <x v="1"/>
    <n v="188.7"/>
  </r>
  <r>
    <x v="9"/>
    <x v="11"/>
    <x v="118"/>
    <x v="7"/>
    <x v="0"/>
    <x v="2"/>
    <n v="179.3"/>
  </r>
  <r>
    <x v="9"/>
    <x v="11"/>
    <x v="118"/>
    <x v="22"/>
    <x v="7"/>
    <x v="0"/>
    <n v="194.5"/>
  </r>
  <r>
    <x v="9"/>
    <x v="11"/>
    <x v="118"/>
    <x v="22"/>
    <x v="7"/>
    <x v="1"/>
    <n v="195.9"/>
  </r>
  <r>
    <x v="9"/>
    <x v="11"/>
    <x v="118"/>
    <x v="22"/>
    <x v="7"/>
    <x v="2"/>
    <n v="199.7"/>
  </r>
  <r>
    <x v="9"/>
    <x v="11"/>
    <x v="118"/>
    <x v="24"/>
    <x v="7"/>
    <x v="0"/>
    <n v="170.8"/>
  </r>
  <r>
    <x v="9"/>
    <x v="11"/>
    <x v="118"/>
    <x v="24"/>
    <x v="7"/>
    <x v="1"/>
    <n v="170.9"/>
  </r>
  <r>
    <x v="9"/>
    <x v="11"/>
    <x v="118"/>
    <x v="24"/>
    <x v="7"/>
    <x v="2"/>
    <n v="171.1"/>
  </r>
  <r>
    <x v="9"/>
    <x v="11"/>
    <x v="118"/>
    <x v="20"/>
    <x v="0"/>
    <x v="0"/>
    <n v="184.8"/>
  </r>
  <r>
    <x v="9"/>
    <x v="11"/>
    <x v="118"/>
    <x v="20"/>
    <x v="0"/>
    <x v="1"/>
    <n v="187.4"/>
  </r>
  <r>
    <x v="9"/>
    <x v="11"/>
    <x v="118"/>
    <x v="20"/>
    <x v="0"/>
    <x v="2"/>
    <n v="190.4"/>
  </r>
  <r>
    <x v="9"/>
    <x v="11"/>
    <x v="118"/>
    <x v="12"/>
    <x v="0"/>
    <x v="0"/>
    <n v="169"/>
  </r>
  <r>
    <x v="9"/>
    <x v="11"/>
    <x v="118"/>
    <x v="12"/>
    <x v="0"/>
    <x v="1"/>
    <n v="169.1"/>
  </r>
  <r>
    <x v="9"/>
    <x v="11"/>
    <x v="118"/>
    <x v="12"/>
    <x v="0"/>
    <x v="2"/>
    <n v="169.2"/>
  </r>
  <r>
    <x v="9"/>
    <x v="11"/>
    <x v="118"/>
    <x v="26"/>
    <x v="9"/>
    <x v="0"/>
    <n v="170"/>
  </r>
  <r>
    <x v="9"/>
    <x v="11"/>
    <x v="118"/>
    <x v="26"/>
    <x v="9"/>
    <x v="1"/>
    <n v="167.6"/>
  </r>
  <r>
    <x v="9"/>
    <x v="11"/>
    <x v="118"/>
    <x v="26"/>
    <x v="9"/>
    <x v="2"/>
    <n v="165.8"/>
  </r>
  <r>
    <x v="9"/>
    <x v="11"/>
    <x v="118"/>
    <x v="16"/>
    <x v="0"/>
    <x v="0"/>
    <n v="199.1"/>
  </r>
  <r>
    <x v="9"/>
    <x v="11"/>
    <x v="118"/>
    <x v="16"/>
    <x v="0"/>
    <x v="1"/>
    <n v="197.3"/>
  </r>
  <r>
    <x v="9"/>
    <x v="11"/>
    <x v="118"/>
    <x v="16"/>
    <x v="0"/>
    <x v="2"/>
    <n v="193.6"/>
  </r>
  <r>
    <x v="9"/>
    <x v="11"/>
    <x v="118"/>
    <x v="14"/>
    <x v="0"/>
    <x v="0"/>
    <n v="120.8"/>
  </r>
  <r>
    <x v="9"/>
    <x v="11"/>
    <x v="118"/>
    <x v="14"/>
    <x v="0"/>
    <x v="1"/>
    <n v="121.6"/>
  </r>
  <r>
    <x v="9"/>
    <x v="11"/>
    <x v="118"/>
    <x v="14"/>
    <x v="0"/>
    <x v="2"/>
    <n v="123.1"/>
  </r>
  <r>
    <x v="9"/>
    <x v="11"/>
    <x v="118"/>
    <x v="25"/>
    <x v="8"/>
    <x v="0"/>
    <n v="166.9"/>
  </r>
  <r>
    <x v="9"/>
    <x v="11"/>
    <x v="118"/>
    <x v="25"/>
    <x v="8"/>
    <x v="1"/>
    <n v="162.30000000000001"/>
  </r>
  <r>
    <x v="9"/>
    <x v="11"/>
    <x v="118"/>
    <x v="25"/>
    <x v="8"/>
    <x v="2"/>
    <n v="158.19999999999999"/>
  </r>
  <r>
    <x v="9"/>
    <x v="11"/>
    <x v="118"/>
    <x v="11"/>
    <x v="0"/>
    <x v="0"/>
    <n v="176.9"/>
  </r>
  <r>
    <x v="9"/>
    <x v="11"/>
    <x v="118"/>
    <x v="11"/>
    <x v="0"/>
    <x v="1"/>
    <n v="191.8"/>
  </r>
  <r>
    <x v="9"/>
    <x v="11"/>
    <x v="118"/>
    <x v="11"/>
    <x v="0"/>
    <x v="2"/>
    <n v="220.8"/>
  </r>
  <r>
    <x v="10"/>
    <x v="0"/>
    <x v="119"/>
    <x v="0"/>
    <x v="0"/>
    <x v="0"/>
    <n v="173.3"/>
  </r>
  <r>
    <x v="10"/>
    <x v="0"/>
    <x v="119"/>
    <x v="0"/>
    <x v="0"/>
    <x v="1"/>
    <n v="173.8"/>
  </r>
  <r>
    <x v="10"/>
    <x v="0"/>
    <x v="119"/>
    <x v="0"/>
    <x v="0"/>
    <x v="2"/>
    <n v="174.8"/>
  </r>
  <r>
    <x v="10"/>
    <x v="0"/>
    <x v="119"/>
    <x v="1"/>
    <x v="1"/>
    <x v="0"/>
    <n v="190.7"/>
  </r>
  <r>
    <x v="10"/>
    <x v="0"/>
    <x v="119"/>
    <x v="1"/>
    <x v="1"/>
    <x v="1"/>
    <n v="186.9"/>
  </r>
  <r>
    <x v="10"/>
    <x v="0"/>
    <x v="119"/>
    <x v="1"/>
    <x v="1"/>
    <x v="2"/>
    <n v="181"/>
  </r>
  <r>
    <x v="10"/>
    <x v="0"/>
    <x v="119"/>
    <x v="3"/>
    <x v="1"/>
    <x v="0"/>
    <n v="190.2"/>
  </r>
  <r>
    <x v="10"/>
    <x v="0"/>
    <x v="119"/>
    <x v="3"/>
    <x v="1"/>
    <x v="1"/>
    <n v="185.7"/>
  </r>
  <r>
    <x v="10"/>
    <x v="0"/>
    <x v="119"/>
    <x v="3"/>
    <x v="1"/>
    <x v="2"/>
    <n v="178.9"/>
  </r>
  <r>
    <x v="10"/>
    <x v="0"/>
    <x v="119"/>
    <x v="5"/>
    <x v="2"/>
    <x v="0"/>
    <n v="179.4"/>
  </r>
  <r>
    <x v="10"/>
    <x v="0"/>
    <x v="119"/>
    <x v="5"/>
    <x v="2"/>
    <x v="1"/>
    <n v="176.4"/>
  </r>
  <r>
    <x v="10"/>
    <x v="0"/>
    <x v="119"/>
    <x v="5"/>
    <x v="2"/>
    <x v="2"/>
    <n v="174.2"/>
  </r>
  <r>
    <x v="10"/>
    <x v="0"/>
    <x v="119"/>
    <x v="4"/>
    <x v="0"/>
    <x v="0"/>
    <n v="167.9"/>
  </r>
  <r>
    <x v="10"/>
    <x v="0"/>
    <x v="119"/>
    <x v="4"/>
    <x v="0"/>
    <x v="1"/>
    <n v="169.6"/>
  </r>
  <r>
    <x v="10"/>
    <x v="0"/>
    <x v="119"/>
    <x v="4"/>
    <x v="0"/>
    <x v="2"/>
    <n v="172.4"/>
  </r>
  <r>
    <x v="10"/>
    <x v="0"/>
    <x v="119"/>
    <x v="8"/>
    <x v="0"/>
    <x v="0"/>
    <n v="175.5"/>
  </r>
  <r>
    <x v="10"/>
    <x v="0"/>
    <x v="119"/>
    <x v="8"/>
    <x v="0"/>
    <x v="1"/>
    <n v="177.9"/>
  </r>
  <r>
    <x v="10"/>
    <x v="0"/>
    <x v="119"/>
    <x v="8"/>
    <x v="0"/>
    <x v="2"/>
    <n v="182.1"/>
  </r>
  <r>
    <x v="10"/>
    <x v="0"/>
    <x v="119"/>
    <x v="10"/>
    <x v="1"/>
    <x v="0"/>
    <n v="187.3"/>
  </r>
  <r>
    <x v="10"/>
    <x v="0"/>
    <x v="119"/>
    <x v="10"/>
    <x v="1"/>
    <x v="1"/>
    <n v="179.2"/>
  </r>
  <r>
    <x v="10"/>
    <x v="0"/>
    <x v="119"/>
    <x v="10"/>
    <x v="1"/>
    <x v="2"/>
    <n v="167.7"/>
  </r>
  <r>
    <x v="10"/>
    <x v="0"/>
    <x v="119"/>
    <x v="9"/>
    <x v="0"/>
    <x v="0"/>
    <n v="173.7"/>
  </r>
  <r>
    <x v="10"/>
    <x v="0"/>
    <x v="119"/>
    <x v="9"/>
    <x v="0"/>
    <x v="1"/>
    <n v="176.3"/>
  </r>
  <r>
    <x v="10"/>
    <x v="0"/>
    <x v="119"/>
    <x v="9"/>
    <x v="0"/>
    <x v="2"/>
    <n v="179.2"/>
  </r>
  <r>
    <x v="10"/>
    <x v="0"/>
    <x v="119"/>
    <x v="13"/>
    <x v="3"/>
    <x v="0"/>
    <n v="181.5"/>
  </r>
  <r>
    <x v="10"/>
    <x v="0"/>
    <x v="119"/>
    <x v="13"/>
    <x v="3"/>
    <x v="1"/>
    <n v="181.7"/>
  </r>
  <r>
    <x v="10"/>
    <x v="0"/>
    <x v="119"/>
    <x v="13"/>
    <x v="3"/>
    <x v="2"/>
    <n v="182.1"/>
  </r>
  <r>
    <x v="10"/>
    <x v="0"/>
    <x v="119"/>
    <x v="15"/>
    <x v="4"/>
    <x v="0"/>
    <n v="178.8"/>
  </r>
  <r>
    <x v="10"/>
    <x v="0"/>
    <x v="119"/>
    <x v="15"/>
    <x v="4"/>
    <x v="1"/>
    <n v="178.1"/>
  </r>
  <r>
    <x v="10"/>
    <x v="0"/>
    <x v="119"/>
    <x v="15"/>
    <x v="4"/>
    <x v="2"/>
    <n v="177.4"/>
  </r>
  <r>
    <x v="10"/>
    <x v="0"/>
    <x v="119"/>
    <x v="17"/>
    <x v="5"/>
    <x v="0"/>
    <n v="187.2"/>
  </r>
  <r>
    <x v="10"/>
    <x v="0"/>
    <x v="119"/>
    <x v="17"/>
    <x v="5"/>
    <x v="1"/>
    <n v="185"/>
  </r>
  <r>
    <x v="10"/>
    <x v="0"/>
    <x v="119"/>
    <x v="17"/>
    <x v="5"/>
    <x v="2"/>
    <n v="181.5"/>
  </r>
  <r>
    <x v="10"/>
    <x v="0"/>
    <x v="119"/>
    <x v="19"/>
    <x v="6"/>
    <x v="0"/>
    <n v="179.1"/>
  </r>
  <r>
    <x v="10"/>
    <x v="0"/>
    <x v="119"/>
    <x v="19"/>
    <x v="6"/>
    <x v="1"/>
    <n v="174.6"/>
  </r>
  <r>
    <x v="10"/>
    <x v="0"/>
    <x v="119"/>
    <x v="19"/>
    <x v="6"/>
    <x v="2"/>
    <n v="169.6"/>
  </r>
  <r>
    <x v="10"/>
    <x v="0"/>
    <x v="119"/>
    <x v="21"/>
    <x v="6"/>
    <x v="0"/>
    <n v="0"/>
  </r>
  <r>
    <x v="10"/>
    <x v="0"/>
    <x v="119"/>
    <x v="21"/>
    <x v="6"/>
    <x v="1"/>
    <n v="175.2"/>
  </r>
  <r>
    <x v="10"/>
    <x v="0"/>
    <x v="119"/>
    <x v="21"/>
    <x v="6"/>
    <x v="2"/>
    <n v="175.2"/>
  </r>
  <r>
    <x v="10"/>
    <x v="0"/>
    <x v="119"/>
    <x v="2"/>
    <x v="0"/>
    <x v="0"/>
    <n v="206.9"/>
  </r>
  <r>
    <x v="10"/>
    <x v="0"/>
    <x v="119"/>
    <x v="2"/>
    <x v="0"/>
    <x v="1"/>
    <n v="209.3"/>
  </r>
  <r>
    <x v="10"/>
    <x v="0"/>
    <x v="119"/>
    <x v="2"/>
    <x v="0"/>
    <x v="2"/>
    <n v="213.7"/>
  </r>
  <r>
    <x v="10"/>
    <x v="0"/>
    <x v="119"/>
    <x v="6"/>
    <x v="0"/>
    <x v="0"/>
    <n v="178.2"/>
  </r>
  <r>
    <x v="10"/>
    <x v="0"/>
    <x v="119"/>
    <x v="6"/>
    <x v="0"/>
    <x v="1"/>
    <n v="178.4"/>
  </r>
  <r>
    <x v="10"/>
    <x v="0"/>
    <x v="119"/>
    <x v="6"/>
    <x v="0"/>
    <x v="2"/>
    <n v="178.8"/>
  </r>
  <r>
    <x v="10"/>
    <x v="0"/>
    <x v="119"/>
    <x v="23"/>
    <x v="7"/>
    <x v="0"/>
    <n v="178.9"/>
  </r>
  <r>
    <x v="10"/>
    <x v="0"/>
    <x v="119"/>
    <x v="23"/>
    <x v="7"/>
    <x v="1"/>
    <n v="175"/>
  </r>
  <r>
    <x v="10"/>
    <x v="0"/>
    <x v="119"/>
    <x v="23"/>
    <x v="7"/>
    <x v="2"/>
    <n v="170.9"/>
  </r>
  <r>
    <x v="10"/>
    <x v="0"/>
    <x v="119"/>
    <x v="18"/>
    <x v="0"/>
    <x v="0"/>
    <n v="178.2"/>
  </r>
  <r>
    <x v="10"/>
    <x v="0"/>
    <x v="119"/>
    <x v="18"/>
    <x v="0"/>
    <x v="1"/>
    <n v="172.9"/>
  </r>
  <r>
    <x v="10"/>
    <x v="0"/>
    <x v="119"/>
    <x v="18"/>
    <x v="0"/>
    <x v="2"/>
    <n v="165.5"/>
  </r>
  <r>
    <x v="10"/>
    <x v="0"/>
    <x v="119"/>
    <x v="7"/>
    <x v="0"/>
    <x v="0"/>
    <n v="178.5"/>
  </r>
  <r>
    <x v="10"/>
    <x v="0"/>
    <x v="119"/>
    <x v="7"/>
    <x v="0"/>
    <x v="1"/>
    <n v="174.9"/>
  </r>
  <r>
    <x v="10"/>
    <x v="0"/>
    <x v="119"/>
    <x v="7"/>
    <x v="0"/>
    <x v="2"/>
    <n v="168.7"/>
  </r>
  <r>
    <x v="10"/>
    <x v="0"/>
    <x v="119"/>
    <x v="22"/>
    <x v="7"/>
    <x v="0"/>
    <n v="199.5"/>
  </r>
  <r>
    <x v="10"/>
    <x v="0"/>
    <x v="119"/>
    <x v="22"/>
    <x v="7"/>
    <x v="1"/>
    <n v="200.6"/>
  </r>
  <r>
    <x v="10"/>
    <x v="0"/>
    <x v="119"/>
    <x v="22"/>
    <x v="7"/>
    <x v="2"/>
    <n v="203.5"/>
  </r>
  <r>
    <x v="10"/>
    <x v="0"/>
    <x v="119"/>
    <x v="24"/>
    <x v="7"/>
    <x v="0"/>
    <n v="183.8"/>
  </r>
  <r>
    <x v="10"/>
    <x v="0"/>
    <x v="119"/>
    <x v="24"/>
    <x v="7"/>
    <x v="1"/>
    <n v="184"/>
  </r>
  <r>
    <x v="10"/>
    <x v="0"/>
    <x v="119"/>
    <x v="24"/>
    <x v="7"/>
    <x v="2"/>
    <n v="184.4"/>
  </r>
  <r>
    <x v="10"/>
    <x v="0"/>
    <x v="119"/>
    <x v="20"/>
    <x v="0"/>
    <x v="0"/>
    <n v="190.5"/>
  </r>
  <r>
    <x v="10"/>
    <x v="0"/>
    <x v="119"/>
    <x v="20"/>
    <x v="0"/>
    <x v="1"/>
    <n v="193.5"/>
  </r>
  <r>
    <x v="10"/>
    <x v="0"/>
    <x v="119"/>
    <x v="20"/>
    <x v="0"/>
    <x v="2"/>
    <n v="197"/>
  </r>
  <r>
    <x v="10"/>
    <x v="0"/>
    <x v="119"/>
    <x v="12"/>
    <x v="0"/>
    <x v="0"/>
    <n v="172.8"/>
  </r>
  <r>
    <x v="10"/>
    <x v="0"/>
    <x v="119"/>
    <x v="12"/>
    <x v="0"/>
    <x v="1"/>
    <n v="173.4"/>
  </r>
  <r>
    <x v="10"/>
    <x v="0"/>
    <x v="119"/>
    <x v="12"/>
    <x v="0"/>
    <x v="2"/>
    <n v="174.7"/>
  </r>
  <r>
    <x v="10"/>
    <x v="0"/>
    <x v="119"/>
    <x v="26"/>
    <x v="9"/>
    <x v="0"/>
    <n v="173.2"/>
  </r>
  <r>
    <x v="10"/>
    <x v="0"/>
    <x v="119"/>
    <x v="26"/>
    <x v="9"/>
    <x v="1"/>
    <n v="170.7"/>
  </r>
  <r>
    <x v="10"/>
    <x v="0"/>
    <x v="119"/>
    <x v="26"/>
    <x v="9"/>
    <x v="2"/>
    <n v="168.8"/>
  </r>
  <r>
    <x v="10"/>
    <x v="0"/>
    <x v="119"/>
    <x v="16"/>
    <x v="0"/>
    <x v="0"/>
    <n v="215.5"/>
  </r>
  <r>
    <x v="10"/>
    <x v="0"/>
    <x v="119"/>
    <x v="16"/>
    <x v="0"/>
    <x v="1"/>
    <n v="212.9"/>
  </r>
  <r>
    <x v="10"/>
    <x v="0"/>
    <x v="119"/>
    <x v="16"/>
    <x v="0"/>
    <x v="2"/>
    <n v="207.8"/>
  </r>
  <r>
    <x v="10"/>
    <x v="0"/>
    <x v="119"/>
    <x v="14"/>
    <x v="0"/>
    <x v="0"/>
    <n v="120.4"/>
  </r>
  <r>
    <x v="10"/>
    <x v="0"/>
    <x v="119"/>
    <x v="14"/>
    <x v="0"/>
    <x v="1"/>
    <n v="121.3"/>
  </r>
  <r>
    <x v="10"/>
    <x v="0"/>
    <x v="119"/>
    <x v="14"/>
    <x v="0"/>
    <x v="2"/>
    <n v="123.1"/>
  </r>
  <r>
    <x v="10"/>
    <x v="0"/>
    <x v="119"/>
    <x v="25"/>
    <x v="8"/>
    <x v="0"/>
    <n v="169.4"/>
  </r>
  <r>
    <x v="10"/>
    <x v="0"/>
    <x v="119"/>
    <x v="25"/>
    <x v="8"/>
    <x v="1"/>
    <n v="164.5"/>
  </r>
  <r>
    <x v="10"/>
    <x v="0"/>
    <x v="119"/>
    <x v="25"/>
    <x v="8"/>
    <x v="2"/>
    <n v="160.1"/>
  </r>
  <r>
    <x v="10"/>
    <x v="0"/>
    <x v="119"/>
    <x v="11"/>
    <x v="0"/>
    <x v="0"/>
    <n v="142.80000000000001"/>
  </r>
  <r>
    <x v="10"/>
    <x v="0"/>
    <x v="119"/>
    <x v="11"/>
    <x v="0"/>
    <x v="1"/>
    <n v="155.4"/>
  </r>
  <r>
    <x v="10"/>
    <x v="0"/>
    <x v="119"/>
    <x v="11"/>
    <x v="0"/>
    <x v="2"/>
    <n v="179.9"/>
  </r>
  <r>
    <x v="10"/>
    <x v="3"/>
    <x v="120"/>
    <x v="0"/>
    <x v="0"/>
    <x v="0"/>
    <n v="174.2"/>
  </r>
  <r>
    <x v="10"/>
    <x v="3"/>
    <x v="120"/>
    <x v="0"/>
    <x v="0"/>
    <x v="1"/>
    <n v="174.4"/>
  </r>
  <r>
    <x v="10"/>
    <x v="3"/>
    <x v="120"/>
    <x v="0"/>
    <x v="0"/>
    <x v="2"/>
    <n v="174.7"/>
  </r>
  <r>
    <x v="10"/>
    <x v="3"/>
    <x v="120"/>
    <x v="1"/>
    <x v="1"/>
    <x v="0"/>
    <n v="190"/>
  </r>
  <r>
    <x v="10"/>
    <x v="3"/>
    <x v="120"/>
    <x v="1"/>
    <x v="1"/>
    <x v="1"/>
    <n v="186.2"/>
  </r>
  <r>
    <x v="10"/>
    <x v="3"/>
    <x v="120"/>
    <x v="1"/>
    <x v="1"/>
    <x v="2"/>
    <n v="180.3"/>
  </r>
  <r>
    <x v="10"/>
    <x v="3"/>
    <x v="120"/>
    <x v="3"/>
    <x v="1"/>
    <x v="0"/>
    <n v="189.6"/>
  </r>
  <r>
    <x v="10"/>
    <x v="3"/>
    <x v="120"/>
    <x v="3"/>
    <x v="1"/>
    <x v="1"/>
    <n v="185.1"/>
  </r>
  <r>
    <x v="10"/>
    <x v="3"/>
    <x v="120"/>
    <x v="3"/>
    <x v="1"/>
    <x v="2"/>
    <n v="178.2"/>
  </r>
  <r>
    <x v="10"/>
    <x v="3"/>
    <x v="120"/>
    <x v="5"/>
    <x v="2"/>
    <x v="0"/>
    <n v="178.5"/>
  </r>
  <r>
    <x v="10"/>
    <x v="3"/>
    <x v="120"/>
    <x v="5"/>
    <x v="2"/>
    <x v="1"/>
    <n v="175"/>
  </r>
  <r>
    <x v="10"/>
    <x v="3"/>
    <x v="120"/>
    <x v="5"/>
    <x v="2"/>
    <x v="2"/>
    <n v="172.5"/>
  </r>
  <r>
    <x v="10"/>
    <x v="3"/>
    <x v="120"/>
    <x v="4"/>
    <x v="0"/>
    <x v="0"/>
    <n v="173.9"/>
  </r>
  <r>
    <x v="10"/>
    <x v="3"/>
    <x v="120"/>
    <x v="4"/>
    <x v="0"/>
    <x v="1"/>
    <n v="175.2"/>
  </r>
  <r>
    <x v="10"/>
    <x v="3"/>
    <x v="120"/>
    <x v="4"/>
    <x v="0"/>
    <x v="2"/>
    <n v="177.2"/>
  </r>
  <r>
    <x v="10"/>
    <x v="3"/>
    <x v="120"/>
    <x v="8"/>
    <x v="0"/>
    <x v="0"/>
    <n v="174.8"/>
  </r>
  <r>
    <x v="10"/>
    <x v="3"/>
    <x v="120"/>
    <x v="8"/>
    <x v="0"/>
    <x v="1"/>
    <n v="177"/>
  </r>
  <r>
    <x v="10"/>
    <x v="3"/>
    <x v="120"/>
    <x v="8"/>
    <x v="0"/>
    <x v="2"/>
    <n v="180.7"/>
  </r>
  <r>
    <x v="10"/>
    <x v="3"/>
    <x v="120"/>
    <x v="10"/>
    <x v="1"/>
    <x v="0"/>
    <n v="187"/>
  </r>
  <r>
    <x v="10"/>
    <x v="3"/>
    <x v="120"/>
    <x v="10"/>
    <x v="1"/>
    <x v="1"/>
    <n v="178.7"/>
  </r>
  <r>
    <x v="10"/>
    <x v="3"/>
    <x v="120"/>
    <x v="10"/>
    <x v="1"/>
    <x v="2"/>
    <n v="167"/>
  </r>
  <r>
    <x v="10"/>
    <x v="3"/>
    <x v="120"/>
    <x v="9"/>
    <x v="0"/>
    <x v="0"/>
    <n v="167.2"/>
  </r>
  <r>
    <x v="10"/>
    <x v="3"/>
    <x v="120"/>
    <x v="9"/>
    <x v="0"/>
    <x v="1"/>
    <n v="169.5"/>
  </r>
  <r>
    <x v="10"/>
    <x v="3"/>
    <x v="120"/>
    <x v="9"/>
    <x v="0"/>
    <x v="2"/>
    <n v="172.1"/>
  </r>
  <r>
    <x v="10"/>
    <x v="3"/>
    <x v="120"/>
    <x v="13"/>
    <x v="3"/>
    <x v="0"/>
    <n v="181.6"/>
  </r>
  <r>
    <x v="10"/>
    <x v="3"/>
    <x v="120"/>
    <x v="13"/>
    <x v="3"/>
    <x v="1"/>
    <n v="182.1"/>
  </r>
  <r>
    <x v="10"/>
    <x v="3"/>
    <x v="120"/>
    <x v="13"/>
    <x v="3"/>
    <x v="2"/>
    <n v="182.8"/>
  </r>
  <r>
    <x v="10"/>
    <x v="3"/>
    <x v="120"/>
    <x v="15"/>
    <x v="4"/>
    <x v="0"/>
    <n v="178"/>
  </r>
  <r>
    <x v="10"/>
    <x v="3"/>
    <x v="120"/>
    <x v="15"/>
    <x v="4"/>
    <x v="1"/>
    <n v="177.2"/>
  </r>
  <r>
    <x v="10"/>
    <x v="3"/>
    <x v="120"/>
    <x v="15"/>
    <x v="4"/>
    <x v="2"/>
    <n v="176.3"/>
  </r>
  <r>
    <x v="10"/>
    <x v="3"/>
    <x v="120"/>
    <x v="17"/>
    <x v="5"/>
    <x v="0"/>
    <n v="186.6"/>
  </r>
  <r>
    <x v="10"/>
    <x v="3"/>
    <x v="120"/>
    <x v="17"/>
    <x v="5"/>
    <x v="1"/>
    <n v="184.4"/>
  </r>
  <r>
    <x v="10"/>
    <x v="3"/>
    <x v="120"/>
    <x v="17"/>
    <x v="5"/>
    <x v="2"/>
    <n v="180.8"/>
  </r>
  <r>
    <x v="10"/>
    <x v="3"/>
    <x v="120"/>
    <x v="19"/>
    <x v="6"/>
    <x v="0"/>
    <n v="178.6"/>
  </r>
  <r>
    <x v="10"/>
    <x v="3"/>
    <x v="120"/>
    <x v="19"/>
    <x v="6"/>
    <x v="1"/>
    <n v="174.2"/>
  </r>
  <r>
    <x v="10"/>
    <x v="3"/>
    <x v="120"/>
    <x v="19"/>
    <x v="6"/>
    <x v="2"/>
    <n v="169.2"/>
  </r>
  <r>
    <x v="10"/>
    <x v="3"/>
    <x v="120"/>
    <x v="21"/>
    <x v="6"/>
    <x v="0"/>
    <n v="0"/>
  </r>
  <r>
    <x v="10"/>
    <x v="3"/>
    <x v="120"/>
    <x v="21"/>
    <x v="6"/>
    <x v="1"/>
    <n v="173.5"/>
  </r>
  <r>
    <x v="10"/>
    <x v="3"/>
    <x v="120"/>
    <x v="21"/>
    <x v="6"/>
    <x v="2"/>
    <n v="173.5"/>
  </r>
  <r>
    <x v="10"/>
    <x v="3"/>
    <x v="120"/>
    <x v="2"/>
    <x v="0"/>
    <x v="0"/>
    <n v="205.2"/>
  </r>
  <r>
    <x v="10"/>
    <x v="3"/>
    <x v="120"/>
    <x v="2"/>
    <x v="0"/>
    <x v="1"/>
    <n v="207.7"/>
  </r>
  <r>
    <x v="10"/>
    <x v="3"/>
    <x v="120"/>
    <x v="2"/>
    <x v="0"/>
    <x v="2"/>
    <n v="212.2"/>
  </r>
  <r>
    <x v="10"/>
    <x v="3"/>
    <x v="120"/>
    <x v="6"/>
    <x v="0"/>
    <x v="0"/>
    <n v="177"/>
  </r>
  <r>
    <x v="10"/>
    <x v="3"/>
    <x v="120"/>
    <x v="6"/>
    <x v="0"/>
    <x v="1"/>
    <n v="177.3"/>
  </r>
  <r>
    <x v="10"/>
    <x v="3"/>
    <x v="120"/>
    <x v="6"/>
    <x v="0"/>
    <x v="2"/>
    <n v="177.9"/>
  </r>
  <r>
    <x v="10"/>
    <x v="3"/>
    <x v="120"/>
    <x v="23"/>
    <x v="7"/>
    <x v="0"/>
    <n v="177.9"/>
  </r>
  <r>
    <x v="10"/>
    <x v="3"/>
    <x v="120"/>
    <x v="23"/>
    <x v="7"/>
    <x v="1"/>
    <n v="174.1"/>
  </r>
  <r>
    <x v="10"/>
    <x v="3"/>
    <x v="120"/>
    <x v="23"/>
    <x v="7"/>
    <x v="2"/>
    <n v="170"/>
  </r>
  <r>
    <x v="10"/>
    <x v="3"/>
    <x v="120"/>
    <x v="18"/>
    <x v="0"/>
    <x v="0"/>
    <n v="177.6"/>
  </r>
  <r>
    <x v="10"/>
    <x v="3"/>
    <x v="120"/>
    <x v="18"/>
    <x v="0"/>
    <x v="1"/>
    <n v="172.3"/>
  </r>
  <r>
    <x v="10"/>
    <x v="3"/>
    <x v="120"/>
    <x v="18"/>
    <x v="0"/>
    <x v="2"/>
    <n v="164.9"/>
  </r>
  <r>
    <x v="10"/>
    <x v="3"/>
    <x v="120"/>
    <x v="7"/>
    <x v="0"/>
    <x v="0"/>
    <n v="183.4"/>
  </r>
  <r>
    <x v="10"/>
    <x v="3"/>
    <x v="120"/>
    <x v="7"/>
    <x v="0"/>
    <x v="1"/>
    <n v="179.3"/>
  </r>
  <r>
    <x v="10"/>
    <x v="3"/>
    <x v="120"/>
    <x v="7"/>
    <x v="0"/>
    <x v="2"/>
    <n v="172.2"/>
  </r>
  <r>
    <x v="10"/>
    <x v="3"/>
    <x v="120"/>
    <x v="22"/>
    <x v="7"/>
    <x v="0"/>
    <n v="198.3"/>
  </r>
  <r>
    <x v="10"/>
    <x v="3"/>
    <x v="120"/>
    <x v="22"/>
    <x v="7"/>
    <x v="1"/>
    <n v="199.5"/>
  </r>
  <r>
    <x v="10"/>
    <x v="3"/>
    <x v="120"/>
    <x v="22"/>
    <x v="7"/>
    <x v="2"/>
    <n v="202.7"/>
  </r>
  <r>
    <x v="10"/>
    <x v="3"/>
    <x v="120"/>
    <x v="24"/>
    <x v="7"/>
    <x v="0"/>
    <n v="180.7"/>
  </r>
  <r>
    <x v="10"/>
    <x v="3"/>
    <x v="120"/>
    <x v="24"/>
    <x v="7"/>
    <x v="1"/>
    <n v="181"/>
  </r>
  <r>
    <x v="10"/>
    <x v="3"/>
    <x v="120"/>
    <x v="24"/>
    <x v="7"/>
    <x v="2"/>
    <n v="181.4"/>
  </r>
  <r>
    <x v="10"/>
    <x v="3"/>
    <x v="120"/>
    <x v="20"/>
    <x v="0"/>
    <x v="0"/>
    <n v="189.9"/>
  </r>
  <r>
    <x v="10"/>
    <x v="3"/>
    <x v="120"/>
    <x v="20"/>
    <x v="0"/>
    <x v="1"/>
    <n v="193"/>
  </r>
  <r>
    <x v="10"/>
    <x v="3"/>
    <x v="120"/>
    <x v="20"/>
    <x v="0"/>
    <x v="2"/>
    <n v="196.6"/>
  </r>
  <r>
    <x v="10"/>
    <x v="3"/>
    <x v="120"/>
    <x v="12"/>
    <x v="0"/>
    <x v="0"/>
    <n v="170.4"/>
  </r>
  <r>
    <x v="10"/>
    <x v="3"/>
    <x v="120"/>
    <x v="12"/>
    <x v="0"/>
    <x v="1"/>
    <n v="171"/>
  </r>
  <r>
    <x v="10"/>
    <x v="3"/>
    <x v="120"/>
    <x v="12"/>
    <x v="0"/>
    <x v="2"/>
    <n v="172.2"/>
  </r>
  <r>
    <x v="10"/>
    <x v="3"/>
    <x v="120"/>
    <x v="26"/>
    <x v="9"/>
    <x v="0"/>
    <n v="172.8"/>
  </r>
  <r>
    <x v="10"/>
    <x v="3"/>
    <x v="120"/>
    <x v="26"/>
    <x v="9"/>
    <x v="1"/>
    <n v="170.3"/>
  </r>
  <r>
    <x v="10"/>
    <x v="3"/>
    <x v="120"/>
    <x v="26"/>
    <x v="9"/>
    <x v="2"/>
    <n v="168.4"/>
  </r>
  <r>
    <x v="10"/>
    <x v="3"/>
    <x v="120"/>
    <x v="16"/>
    <x v="0"/>
    <x v="0"/>
    <n v="212.1"/>
  </r>
  <r>
    <x v="10"/>
    <x v="3"/>
    <x v="120"/>
    <x v="16"/>
    <x v="0"/>
    <x v="1"/>
    <n v="209.7"/>
  </r>
  <r>
    <x v="10"/>
    <x v="3"/>
    <x v="120"/>
    <x v="16"/>
    <x v="0"/>
    <x v="2"/>
    <n v="204.8"/>
  </r>
  <r>
    <x v="10"/>
    <x v="3"/>
    <x v="120"/>
    <x v="14"/>
    <x v="0"/>
    <x v="0"/>
    <n v="119.1"/>
  </r>
  <r>
    <x v="10"/>
    <x v="3"/>
    <x v="120"/>
    <x v="14"/>
    <x v="0"/>
    <x v="1"/>
    <n v="120"/>
  </r>
  <r>
    <x v="10"/>
    <x v="3"/>
    <x v="120"/>
    <x v="14"/>
    <x v="0"/>
    <x v="2"/>
    <n v="121.9"/>
  </r>
  <r>
    <x v="10"/>
    <x v="3"/>
    <x v="120"/>
    <x v="25"/>
    <x v="8"/>
    <x v="0"/>
    <n v="169"/>
  </r>
  <r>
    <x v="10"/>
    <x v="3"/>
    <x v="120"/>
    <x v="25"/>
    <x v="8"/>
    <x v="1"/>
    <n v="164.2"/>
  </r>
  <r>
    <x v="10"/>
    <x v="3"/>
    <x v="120"/>
    <x v="25"/>
    <x v="8"/>
    <x v="2"/>
    <n v="159.80000000000001"/>
  </r>
  <r>
    <x v="10"/>
    <x v="3"/>
    <x v="120"/>
    <x v="11"/>
    <x v="0"/>
    <x v="0"/>
    <n v="140.9"/>
  </r>
  <r>
    <x v="10"/>
    <x v="3"/>
    <x v="120"/>
    <x v="11"/>
    <x v="0"/>
    <x v="1"/>
    <n v="152.69999999999999"/>
  </r>
  <r>
    <x v="10"/>
    <x v="3"/>
    <x v="120"/>
    <x v="11"/>
    <x v="0"/>
    <x v="2"/>
    <n v="175.8"/>
  </r>
  <r>
    <x v="10"/>
    <x v="4"/>
    <x v="121"/>
    <x v="0"/>
    <x v="0"/>
    <x v="0"/>
    <n v="174"/>
  </r>
  <r>
    <x v="10"/>
    <x v="4"/>
    <x v="121"/>
    <x v="0"/>
    <x v="0"/>
    <x v="1"/>
    <n v="173.8"/>
  </r>
  <r>
    <x v="10"/>
    <x v="4"/>
    <x v="121"/>
    <x v="0"/>
    <x v="0"/>
    <x v="2"/>
    <n v="173.3"/>
  </r>
  <r>
    <x v="10"/>
    <x v="4"/>
    <x v="121"/>
    <x v="1"/>
    <x v="1"/>
    <x v="0"/>
    <n v="189"/>
  </r>
  <r>
    <x v="10"/>
    <x v="4"/>
    <x v="121"/>
    <x v="1"/>
    <x v="1"/>
    <x v="1"/>
    <n v="184.9"/>
  </r>
  <r>
    <x v="10"/>
    <x v="4"/>
    <x v="121"/>
    <x v="1"/>
    <x v="1"/>
    <x v="2"/>
    <n v="178.7"/>
  </r>
  <r>
    <x v="10"/>
    <x v="4"/>
    <x v="121"/>
    <x v="3"/>
    <x v="1"/>
    <x v="0"/>
    <n v="188.6"/>
  </r>
  <r>
    <x v="10"/>
    <x v="4"/>
    <x v="121"/>
    <x v="3"/>
    <x v="1"/>
    <x v="1"/>
    <n v="183.8"/>
  </r>
  <r>
    <x v="10"/>
    <x v="4"/>
    <x v="121"/>
    <x v="3"/>
    <x v="1"/>
    <x v="2"/>
    <n v="176.6"/>
  </r>
  <r>
    <x v="10"/>
    <x v="4"/>
    <x v="121"/>
    <x v="5"/>
    <x v="2"/>
    <x v="0"/>
    <n v="177.8"/>
  </r>
  <r>
    <x v="10"/>
    <x v="4"/>
    <x v="121"/>
    <x v="5"/>
    <x v="2"/>
    <x v="1"/>
    <n v="174.3"/>
  </r>
  <r>
    <x v="10"/>
    <x v="4"/>
    <x v="121"/>
    <x v="5"/>
    <x v="2"/>
    <x v="2"/>
    <n v="171.8"/>
  </r>
  <r>
    <x v="10"/>
    <x v="4"/>
    <x v="121"/>
    <x v="4"/>
    <x v="0"/>
    <x v="0"/>
    <n v="192.9"/>
  </r>
  <r>
    <x v="10"/>
    <x v="4"/>
    <x v="121"/>
    <x v="4"/>
    <x v="0"/>
    <x v="1"/>
    <n v="194.5"/>
  </r>
  <r>
    <x v="10"/>
    <x v="4"/>
    <x v="121"/>
    <x v="4"/>
    <x v="0"/>
    <x v="2"/>
    <n v="197"/>
  </r>
  <r>
    <x v="10"/>
    <x v="4"/>
    <x v="121"/>
    <x v="8"/>
    <x v="0"/>
    <x v="0"/>
    <n v="175"/>
  </r>
  <r>
    <x v="10"/>
    <x v="4"/>
    <x v="121"/>
    <x v="8"/>
    <x v="0"/>
    <x v="1"/>
    <n v="176.7"/>
  </r>
  <r>
    <x v="10"/>
    <x v="4"/>
    <x v="121"/>
    <x v="8"/>
    <x v="0"/>
    <x v="2"/>
    <n v="179.5"/>
  </r>
  <r>
    <x v="10"/>
    <x v="4"/>
    <x v="121"/>
    <x v="10"/>
    <x v="1"/>
    <x v="0"/>
    <n v="186.3"/>
  </r>
  <r>
    <x v="10"/>
    <x v="4"/>
    <x v="121"/>
    <x v="10"/>
    <x v="1"/>
    <x v="1"/>
    <n v="177.6"/>
  </r>
  <r>
    <x v="10"/>
    <x v="4"/>
    <x v="121"/>
    <x v="10"/>
    <x v="1"/>
    <x v="2"/>
    <n v="165.3"/>
  </r>
  <r>
    <x v="10"/>
    <x v="4"/>
    <x v="121"/>
    <x v="9"/>
    <x v="0"/>
    <x v="0"/>
    <n v="156.30000000000001"/>
  </r>
  <r>
    <x v="10"/>
    <x v="4"/>
    <x v="121"/>
    <x v="9"/>
    <x v="0"/>
    <x v="1"/>
    <n v="158.30000000000001"/>
  </r>
  <r>
    <x v="10"/>
    <x v="4"/>
    <x v="121"/>
    <x v="9"/>
    <x v="0"/>
    <x v="2"/>
    <n v="160.5"/>
  </r>
  <r>
    <x v="10"/>
    <x v="4"/>
    <x v="121"/>
    <x v="13"/>
    <x v="3"/>
    <x v="0"/>
    <n v="183.2"/>
  </r>
  <r>
    <x v="10"/>
    <x v="4"/>
    <x v="121"/>
    <x v="13"/>
    <x v="3"/>
    <x v="1"/>
    <n v="182"/>
  </r>
  <r>
    <x v="10"/>
    <x v="4"/>
    <x v="121"/>
    <x v="13"/>
    <x v="3"/>
    <x v="2"/>
    <n v="180.1"/>
  </r>
  <r>
    <x v="10"/>
    <x v="4"/>
    <x v="121"/>
    <x v="15"/>
    <x v="4"/>
    <x v="0"/>
    <n v="177.8"/>
  </r>
  <r>
    <x v="10"/>
    <x v="4"/>
    <x v="121"/>
    <x v="15"/>
    <x v="4"/>
    <x v="1"/>
    <n v="176.5"/>
  </r>
  <r>
    <x v="10"/>
    <x v="4"/>
    <x v="121"/>
    <x v="15"/>
    <x v="4"/>
    <x v="2"/>
    <n v="174.9"/>
  </r>
  <r>
    <x v="10"/>
    <x v="4"/>
    <x v="121"/>
    <x v="17"/>
    <x v="5"/>
    <x v="0"/>
    <n v="184.7"/>
  </r>
  <r>
    <x v="10"/>
    <x v="4"/>
    <x v="121"/>
    <x v="17"/>
    <x v="5"/>
    <x v="1"/>
    <n v="182.3"/>
  </r>
  <r>
    <x v="10"/>
    <x v="4"/>
    <x v="121"/>
    <x v="17"/>
    <x v="5"/>
    <x v="2"/>
    <n v="178.5"/>
  </r>
  <r>
    <x v="10"/>
    <x v="4"/>
    <x v="121"/>
    <x v="19"/>
    <x v="6"/>
    <x v="0"/>
    <n v="177.2"/>
  </r>
  <r>
    <x v="10"/>
    <x v="4"/>
    <x v="121"/>
    <x v="19"/>
    <x v="6"/>
    <x v="1"/>
    <n v="172.9"/>
  </r>
  <r>
    <x v="10"/>
    <x v="4"/>
    <x v="121"/>
    <x v="19"/>
    <x v="6"/>
    <x v="2"/>
    <n v="168"/>
  </r>
  <r>
    <x v="10"/>
    <x v="4"/>
    <x v="121"/>
    <x v="21"/>
    <x v="6"/>
    <x v="0"/>
    <n v="0"/>
  </r>
  <r>
    <x v="10"/>
    <x v="4"/>
    <x v="121"/>
    <x v="21"/>
    <x v="6"/>
    <x v="1"/>
    <n v="172.1"/>
  </r>
  <r>
    <x v="10"/>
    <x v="4"/>
    <x v="121"/>
    <x v="21"/>
    <x v="6"/>
    <x v="2"/>
    <n v="172.1"/>
  </r>
  <r>
    <x v="10"/>
    <x v="4"/>
    <x v="121"/>
    <x v="2"/>
    <x v="0"/>
    <x v="0"/>
    <n v="208.3"/>
  </r>
  <r>
    <x v="10"/>
    <x v="4"/>
    <x v="121"/>
    <x v="2"/>
    <x v="0"/>
    <x v="1"/>
    <n v="210.7"/>
  </r>
  <r>
    <x v="10"/>
    <x v="4"/>
    <x v="121"/>
    <x v="2"/>
    <x v="0"/>
    <x v="2"/>
    <n v="215.2"/>
  </r>
  <r>
    <x v="10"/>
    <x v="4"/>
    <x v="121"/>
    <x v="6"/>
    <x v="0"/>
    <x v="0"/>
    <n v="174.3"/>
  </r>
  <r>
    <x v="10"/>
    <x v="4"/>
    <x v="121"/>
    <x v="6"/>
    <x v="0"/>
    <x v="1"/>
    <n v="174.6"/>
  </r>
  <r>
    <x v="10"/>
    <x v="4"/>
    <x v="121"/>
    <x v="6"/>
    <x v="0"/>
    <x v="2"/>
    <n v="175.2"/>
  </r>
  <r>
    <x v="10"/>
    <x v="4"/>
    <x v="121"/>
    <x v="23"/>
    <x v="7"/>
    <x v="0"/>
    <n v="176.5"/>
  </r>
  <r>
    <x v="10"/>
    <x v="4"/>
    <x v="121"/>
    <x v="23"/>
    <x v="7"/>
    <x v="1"/>
    <n v="172.8"/>
  </r>
  <r>
    <x v="10"/>
    <x v="4"/>
    <x v="121"/>
    <x v="23"/>
    <x v="7"/>
    <x v="2"/>
    <n v="168.9"/>
  </r>
  <r>
    <x v="10"/>
    <x v="4"/>
    <x v="121"/>
    <x v="18"/>
    <x v="0"/>
    <x v="0"/>
    <n v="176.9"/>
  </r>
  <r>
    <x v="10"/>
    <x v="4"/>
    <x v="121"/>
    <x v="18"/>
    <x v="0"/>
    <x v="1"/>
    <n v="171.4"/>
  </r>
  <r>
    <x v="10"/>
    <x v="4"/>
    <x v="121"/>
    <x v="18"/>
    <x v="0"/>
    <x v="2"/>
    <n v="163.69999999999999"/>
  </r>
  <r>
    <x v="10"/>
    <x v="4"/>
    <x v="121"/>
    <x v="7"/>
    <x v="0"/>
    <x v="0"/>
    <n v="192.6"/>
  </r>
  <r>
    <x v="10"/>
    <x v="4"/>
    <x v="121"/>
    <x v="7"/>
    <x v="0"/>
    <x v="1"/>
    <n v="187.2"/>
  </r>
  <r>
    <x v="10"/>
    <x v="4"/>
    <x v="121"/>
    <x v="7"/>
    <x v="0"/>
    <x v="2"/>
    <n v="178"/>
  </r>
  <r>
    <x v="10"/>
    <x v="4"/>
    <x v="121"/>
    <x v="22"/>
    <x v="7"/>
    <x v="0"/>
    <n v="196.9"/>
  </r>
  <r>
    <x v="10"/>
    <x v="4"/>
    <x v="121"/>
    <x v="22"/>
    <x v="7"/>
    <x v="1"/>
    <n v="198.2"/>
  </r>
  <r>
    <x v="10"/>
    <x v="4"/>
    <x v="121"/>
    <x v="22"/>
    <x v="7"/>
    <x v="2"/>
    <n v="201.6"/>
  </r>
  <r>
    <x v="10"/>
    <x v="4"/>
    <x v="121"/>
    <x v="24"/>
    <x v="7"/>
    <x v="0"/>
    <n v="178.4"/>
  </r>
  <r>
    <x v="10"/>
    <x v="4"/>
    <x v="121"/>
    <x v="24"/>
    <x v="7"/>
    <x v="1"/>
    <n v="178.6"/>
  </r>
  <r>
    <x v="10"/>
    <x v="4"/>
    <x v="121"/>
    <x v="24"/>
    <x v="7"/>
    <x v="2"/>
    <n v="178.8"/>
  </r>
  <r>
    <x v="10"/>
    <x v="4"/>
    <x v="121"/>
    <x v="20"/>
    <x v="0"/>
    <x v="0"/>
    <n v="188.5"/>
  </r>
  <r>
    <x v="10"/>
    <x v="4"/>
    <x v="121"/>
    <x v="20"/>
    <x v="0"/>
    <x v="1"/>
    <n v="191.2"/>
  </r>
  <r>
    <x v="10"/>
    <x v="4"/>
    <x v="121"/>
    <x v="20"/>
    <x v="0"/>
    <x v="2"/>
    <n v="194.3"/>
  </r>
  <r>
    <x v="10"/>
    <x v="4"/>
    <x v="121"/>
    <x v="12"/>
    <x v="0"/>
    <x v="0"/>
    <n v="170.7"/>
  </r>
  <r>
    <x v="10"/>
    <x v="4"/>
    <x v="121"/>
    <x v="12"/>
    <x v="0"/>
    <x v="1"/>
    <n v="170.9"/>
  </r>
  <r>
    <x v="10"/>
    <x v="4"/>
    <x v="121"/>
    <x v="12"/>
    <x v="0"/>
    <x v="2"/>
    <n v="171.2"/>
  </r>
  <r>
    <x v="10"/>
    <x v="4"/>
    <x v="121"/>
    <x v="26"/>
    <x v="9"/>
    <x v="0"/>
    <n v="171.8"/>
  </r>
  <r>
    <x v="10"/>
    <x v="4"/>
    <x v="121"/>
    <x v="26"/>
    <x v="9"/>
    <x v="1"/>
    <n v="169.5"/>
  </r>
  <r>
    <x v="10"/>
    <x v="4"/>
    <x v="121"/>
    <x v="26"/>
    <x v="9"/>
    <x v="2"/>
    <n v="167.8"/>
  </r>
  <r>
    <x v="10"/>
    <x v="4"/>
    <x v="121"/>
    <x v="16"/>
    <x v="0"/>
    <x v="0"/>
    <n v="210.5"/>
  </r>
  <r>
    <x v="10"/>
    <x v="4"/>
    <x v="121"/>
    <x v="16"/>
    <x v="0"/>
    <x v="1"/>
    <n v="208.4"/>
  </r>
  <r>
    <x v="10"/>
    <x v="4"/>
    <x v="121"/>
    <x v="16"/>
    <x v="0"/>
    <x v="2"/>
    <n v="204.3"/>
  </r>
  <r>
    <x v="10"/>
    <x v="4"/>
    <x v="121"/>
    <x v="14"/>
    <x v="0"/>
    <x v="0"/>
    <n v="120.3"/>
  </r>
  <r>
    <x v="10"/>
    <x v="4"/>
    <x v="121"/>
    <x v="14"/>
    <x v="0"/>
    <x v="1"/>
    <n v="121.1"/>
  </r>
  <r>
    <x v="10"/>
    <x v="4"/>
    <x v="121"/>
    <x v="14"/>
    <x v="0"/>
    <x v="2"/>
    <n v="122.7"/>
  </r>
  <r>
    <x v="10"/>
    <x v="4"/>
    <x v="121"/>
    <x v="25"/>
    <x v="8"/>
    <x v="0"/>
    <n v="168.2"/>
  </r>
  <r>
    <x v="10"/>
    <x v="4"/>
    <x v="121"/>
    <x v="25"/>
    <x v="8"/>
    <x v="1"/>
    <n v="163.6"/>
  </r>
  <r>
    <x v="10"/>
    <x v="4"/>
    <x v="121"/>
    <x v="25"/>
    <x v="8"/>
    <x v="2"/>
    <n v="159.5"/>
  </r>
  <r>
    <x v="10"/>
    <x v="4"/>
    <x v="121"/>
    <x v="11"/>
    <x v="0"/>
    <x v="0"/>
    <n v="142.9"/>
  </r>
  <r>
    <x v="10"/>
    <x v="4"/>
    <x v="121"/>
    <x v="11"/>
    <x v="0"/>
    <x v="1"/>
    <n v="153.9"/>
  </r>
  <r>
    <x v="10"/>
    <x v="4"/>
    <x v="121"/>
    <x v="11"/>
    <x v="0"/>
    <x v="2"/>
    <n v="175.3"/>
  </r>
  <r>
    <x v="10"/>
    <x v="7"/>
    <x v="122"/>
    <x v="0"/>
    <x v="0"/>
    <x v="0"/>
    <n v="174.3"/>
  </r>
  <r>
    <x v="10"/>
    <x v="7"/>
    <x v="122"/>
    <x v="0"/>
    <x v="0"/>
    <x v="1"/>
    <n v="174.4"/>
  </r>
  <r>
    <x v="10"/>
    <x v="7"/>
    <x v="122"/>
    <x v="0"/>
    <x v="0"/>
    <x v="2"/>
    <n v="174.7"/>
  </r>
  <r>
    <x v="10"/>
    <x v="7"/>
    <x v="122"/>
    <x v="1"/>
    <x v="1"/>
    <x v="0"/>
    <n v="190"/>
  </r>
  <r>
    <x v="10"/>
    <x v="7"/>
    <x v="122"/>
    <x v="1"/>
    <x v="1"/>
    <x v="1"/>
    <n v="186.1"/>
  </r>
  <r>
    <x v="10"/>
    <x v="7"/>
    <x v="122"/>
    <x v="1"/>
    <x v="1"/>
    <x v="2"/>
    <n v="180.2"/>
  </r>
  <r>
    <x v="10"/>
    <x v="7"/>
    <x v="122"/>
    <x v="3"/>
    <x v="1"/>
    <x v="0"/>
    <n v="189.6"/>
  </r>
  <r>
    <x v="10"/>
    <x v="7"/>
    <x v="122"/>
    <x v="3"/>
    <x v="1"/>
    <x v="1"/>
    <n v="185.1"/>
  </r>
  <r>
    <x v="10"/>
    <x v="7"/>
    <x v="122"/>
    <x v="3"/>
    <x v="1"/>
    <x v="2"/>
    <n v="178.2"/>
  </r>
  <r>
    <x v="10"/>
    <x v="7"/>
    <x v="122"/>
    <x v="5"/>
    <x v="2"/>
    <x v="0"/>
    <n v="178.5"/>
  </r>
  <r>
    <x v="10"/>
    <x v="7"/>
    <x v="122"/>
    <x v="5"/>
    <x v="2"/>
    <x v="1"/>
    <n v="175"/>
  </r>
  <r>
    <x v="10"/>
    <x v="7"/>
    <x v="122"/>
    <x v="5"/>
    <x v="2"/>
    <x v="2"/>
    <n v="172.5"/>
  </r>
  <r>
    <x v="10"/>
    <x v="7"/>
    <x v="122"/>
    <x v="4"/>
    <x v="0"/>
    <x v="0"/>
    <n v="173.9"/>
  </r>
  <r>
    <x v="10"/>
    <x v="7"/>
    <x v="122"/>
    <x v="4"/>
    <x v="0"/>
    <x v="1"/>
    <n v="175.2"/>
  </r>
  <r>
    <x v="10"/>
    <x v="7"/>
    <x v="122"/>
    <x v="4"/>
    <x v="0"/>
    <x v="2"/>
    <n v="177.2"/>
  </r>
  <r>
    <x v="10"/>
    <x v="7"/>
    <x v="122"/>
    <x v="8"/>
    <x v="0"/>
    <x v="0"/>
    <n v="174.8"/>
  </r>
  <r>
    <x v="10"/>
    <x v="7"/>
    <x v="122"/>
    <x v="8"/>
    <x v="0"/>
    <x v="1"/>
    <n v="177"/>
  </r>
  <r>
    <x v="10"/>
    <x v="7"/>
    <x v="122"/>
    <x v="8"/>
    <x v="0"/>
    <x v="2"/>
    <n v="180.8"/>
  </r>
  <r>
    <x v="10"/>
    <x v="7"/>
    <x v="122"/>
    <x v="10"/>
    <x v="1"/>
    <x v="0"/>
    <n v="187"/>
  </r>
  <r>
    <x v="10"/>
    <x v="7"/>
    <x v="122"/>
    <x v="10"/>
    <x v="1"/>
    <x v="1"/>
    <n v="178.7"/>
  </r>
  <r>
    <x v="10"/>
    <x v="7"/>
    <x v="122"/>
    <x v="10"/>
    <x v="1"/>
    <x v="2"/>
    <n v="167"/>
  </r>
  <r>
    <x v="10"/>
    <x v="7"/>
    <x v="122"/>
    <x v="9"/>
    <x v="0"/>
    <x v="0"/>
    <n v="167.2"/>
  </r>
  <r>
    <x v="10"/>
    <x v="7"/>
    <x v="122"/>
    <x v="9"/>
    <x v="0"/>
    <x v="1"/>
    <n v="169.5"/>
  </r>
  <r>
    <x v="10"/>
    <x v="7"/>
    <x v="122"/>
    <x v="9"/>
    <x v="0"/>
    <x v="2"/>
    <n v="172.1"/>
  </r>
  <r>
    <x v="10"/>
    <x v="7"/>
    <x v="122"/>
    <x v="13"/>
    <x v="3"/>
    <x v="0"/>
    <n v="181.4"/>
  </r>
  <r>
    <x v="10"/>
    <x v="7"/>
    <x v="122"/>
    <x v="13"/>
    <x v="3"/>
    <x v="1"/>
    <n v="181.9"/>
  </r>
  <r>
    <x v="10"/>
    <x v="7"/>
    <x v="122"/>
    <x v="13"/>
    <x v="3"/>
    <x v="2"/>
    <n v="182.6"/>
  </r>
  <r>
    <x v="10"/>
    <x v="7"/>
    <x v="122"/>
    <x v="15"/>
    <x v="4"/>
    <x v="0"/>
    <n v="178"/>
  </r>
  <r>
    <x v="10"/>
    <x v="7"/>
    <x v="122"/>
    <x v="15"/>
    <x v="4"/>
    <x v="1"/>
    <n v="177.2"/>
  </r>
  <r>
    <x v="10"/>
    <x v="7"/>
    <x v="122"/>
    <x v="15"/>
    <x v="4"/>
    <x v="2"/>
    <n v="176.3"/>
  </r>
  <r>
    <x v="10"/>
    <x v="7"/>
    <x v="122"/>
    <x v="17"/>
    <x v="5"/>
    <x v="0"/>
    <n v="186.6"/>
  </r>
  <r>
    <x v="10"/>
    <x v="7"/>
    <x v="122"/>
    <x v="17"/>
    <x v="5"/>
    <x v="1"/>
    <n v="184.4"/>
  </r>
  <r>
    <x v="10"/>
    <x v="7"/>
    <x v="122"/>
    <x v="17"/>
    <x v="5"/>
    <x v="2"/>
    <n v="180.8"/>
  </r>
  <r>
    <x v="10"/>
    <x v="7"/>
    <x v="122"/>
    <x v="19"/>
    <x v="6"/>
    <x v="0"/>
    <n v="178.6"/>
  </r>
  <r>
    <x v="10"/>
    <x v="7"/>
    <x v="122"/>
    <x v="19"/>
    <x v="6"/>
    <x v="1"/>
    <n v="174.2"/>
  </r>
  <r>
    <x v="10"/>
    <x v="7"/>
    <x v="122"/>
    <x v="19"/>
    <x v="6"/>
    <x v="2"/>
    <n v="169.2"/>
  </r>
  <r>
    <x v="10"/>
    <x v="7"/>
    <x v="122"/>
    <x v="21"/>
    <x v="6"/>
    <x v="0"/>
    <n v="0"/>
  </r>
  <r>
    <x v="10"/>
    <x v="7"/>
    <x v="122"/>
    <x v="21"/>
    <x v="6"/>
    <x v="1"/>
    <n v="173.5"/>
  </r>
  <r>
    <x v="10"/>
    <x v="7"/>
    <x v="122"/>
    <x v="21"/>
    <x v="6"/>
    <x v="2"/>
    <n v="173.5"/>
  </r>
  <r>
    <x v="10"/>
    <x v="7"/>
    <x v="122"/>
    <x v="2"/>
    <x v="0"/>
    <x v="0"/>
    <n v="205.2"/>
  </r>
  <r>
    <x v="10"/>
    <x v="7"/>
    <x v="122"/>
    <x v="2"/>
    <x v="0"/>
    <x v="1"/>
    <n v="207.7"/>
  </r>
  <r>
    <x v="10"/>
    <x v="7"/>
    <x v="122"/>
    <x v="2"/>
    <x v="0"/>
    <x v="2"/>
    <n v="212.2"/>
  </r>
  <r>
    <x v="10"/>
    <x v="7"/>
    <x v="122"/>
    <x v="6"/>
    <x v="0"/>
    <x v="0"/>
    <n v="177"/>
  </r>
  <r>
    <x v="10"/>
    <x v="7"/>
    <x v="122"/>
    <x v="6"/>
    <x v="0"/>
    <x v="1"/>
    <n v="177.3"/>
  </r>
  <r>
    <x v="10"/>
    <x v="7"/>
    <x v="122"/>
    <x v="6"/>
    <x v="0"/>
    <x v="2"/>
    <n v="177.9"/>
  </r>
  <r>
    <x v="10"/>
    <x v="7"/>
    <x v="122"/>
    <x v="23"/>
    <x v="7"/>
    <x v="0"/>
    <n v="177.9"/>
  </r>
  <r>
    <x v="10"/>
    <x v="7"/>
    <x v="122"/>
    <x v="23"/>
    <x v="7"/>
    <x v="1"/>
    <n v="174.1"/>
  </r>
  <r>
    <x v="10"/>
    <x v="7"/>
    <x v="122"/>
    <x v="23"/>
    <x v="7"/>
    <x v="2"/>
    <n v="170"/>
  </r>
  <r>
    <x v="10"/>
    <x v="7"/>
    <x v="122"/>
    <x v="18"/>
    <x v="0"/>
    <x v="0"/>
    <n v="177.6"/>
  </r>
  <r>
    <x v="10"/>
    <x v="7"/>
    <x v="122"/>
    <x v="18"/>
    <x v="0"/>
    <x v="1"/>
    <n v="172.3"/>
  </r>
  <r>
    <x v="10"/>
    <x v="7"/>
    <x v="122"/>
    <x v="18"/>
    <x v="0"/>
    <x v="2"/>
    <n v="164.9"/>
  </r>
  <r>
    <x v="10"/>
    <x v="7"/>
    <x v="122"/>
    <x v="7"/>
    <x v="0"/>
    <x v="0"/>
    <n v="183.3"/>
  </r>
  <r>
    <x v="10"/>
    <x v="7"/>
    <x v="122"/>
    <x v="7"/>
    <x v="0"/>
    <x v="1"/>
    <n v="179.2"/>
  </r>
  <r>
    <x v="10"/>
    <x v="7"/>
    <x v="122"/>
    <x v="7"/>
    <x v="0"/>
    <x v="2"/>
    <n v="172.2"/>
  </r>
  <r>
    <x v="10"/>
    <x v="7"/>
    <x v="122"/>
    <x v="22"/>
    <x v="7"/>
    <x v="0"/>
    <n v="198.4"/>
  </r>
  <r>
    <x v="10"/>
    <x v="7"/>
    <x v="122"/>
    <x v="22"/>
    <x v="7"/>
    <x v="1"/>
    <n v="199.5"/>
  </r>
  <r>
    <x v="10"/>
    <x v="7"/>
    <x v="122"/>
    <x v="22"/>
    <x v="7"/>
    <x v="2"/>
    <n v="202.7"/>
  </r>
  <r>
    <x v="10"/>
    <x v="7"/>
    <x v="122"/>
    <x v="24"/>
    <x v="7"/>
    <x v="0"/>
    <n v="180.7"/>
  </r>
  <r>
    <x v="10"/>
    <x v="7"/>
    <x v="122"/>
    <x v="24"/>
    <x v="7"/>
    <x v="1"/>
    <n v="181"/>
  </r>
  <r>
    <x v="10"/>
    <x v="7"/>
    <x v="122"/>
    <x v="24"/>
    <x v="7"/>
    <x v="2"/>
    <n v="181.5"/>
  </r>
  <r>
    <x v="10"/>
    <x v="7"/>
    <x v="122"/>
    <x v="20"/>
    <x v="0"/>
    <x v="0"/>
    <n v="189.9"/>
  </r>
  <r>
    <x v="10"/>
    <x v="7"/>
    <x v="122"/>
    <x v="20"/>
    <x v="0"/>
    <x v="1"/>
    <n v="193"/>
  </r>
  <r>
    <x v="10"/>
    <x v="7"/>
    <x v="122"/>
    <x v="20"/>
    <x v="0"/>
    <x v="2"/>
    <n v="196.6"/>
  </r>
  <r>
    <x v="10"/>
    <x v="7"/>
    <x v="122"/>
    <x v="12"/>
    <x v="0"/>
    <x v="0"/>
    <n v="170.5"/>
  </r>
  <r>
    <x v="10"/>
    <x v="7"/>
    <x v="122"/>
    <x v="12"/>
    <x v="0"/>
    <x v="1"/>
    <n v="171.1"/>
  </r>
  <r>
    <x v="10"/>
    <x v="7"/>
    <x v="122"/>
    <x v="12"/>
    <x v="0"/>
    <x v="2"/>
    <n v="172.2"/>
  </r>
  <r>
    <x v="10"/>
    <x v="7"/>
    <x v="122"/>
    <x v="26"/>
    <x v="9"/>
    <x v="0"/>
    <n v="172.8"/>
  </r>
  <r>
    <x v="10"/>
    <x v="7"/>
    <x v="122"/>
    <x v="26"/>
    <x v="9"/>
    <x v="1"/>
    <n v="170.3"/>
  </r>
  <r>
    <x v="10"/>
    <x v="7"/>
    <x v="122"/>
    <x v="26"/>
    <x v="9"/>
    <x v="2"/>
    <n v="168.4"/>
  </r>
  <r>
    <x v="10"/>
    <x v="7"/>
    <x v="122"/>
    <x v="16"/>
    <x v="0"/>
    <x v="0"/>
    <n v="212.1"/>
  </r>
  <r>
    <x v="10"/>
    <x v="7"/>
    <x v="122"/>
    <x v="16"/>
    <x v="0"/>
    <x v="1"/>
    <n v="209.7"/>
  </r>
  <r>
    <x v="10"/>
    <x v="7"/>
    <x v="122"/>
    <x v="16"/>
    <x v="0"/>
    <x v="2"/>
    <n v="204.8"/>
  </r>
  <r>
    <x v="10"/>
    <x v="7"/>
    <x v="122"/>
    <x v="14"/>
    <x v="0"/>
    <x v="0"/>
    <n v="119.1"/>
  </r>
  <r>
    <x v="10"/>
    <x v="7"/>
    <x v="122"/>
    <x v="14"/>
    <x v="0"/>
    <x v="1"/>
    <n v="120"/>
  </r>
  <r>
    <x v="10"/>
    <x v="7"/>
    <x v="122"/>
    <x v="14"/>
    <x v="0"/>
    <x v="2"/>
    <n v="121.9"/>
  </r>
  <r>
    <x v="10"/>
    <x v="7"/>
    <x v="122"/>
    <x v="25"/>
    <x v="8"/>
    <x v="0"/>
    <n v="169"/>
  </r>
  <r>
    <x v="10"/>
    <x v="7"/>
    <x v="122"/>
    <x v="25"/>
    <x v="8"/>
    <x v="1"/>
    <n v="164.2"/>
  </r>
  <r>
    <x v="10"/>
    <x v="7"/>
    <x v="122"/>
    <x v="25"/>
    <x v="8"/>
    <x v="2"/>
    <n v="159.80000000000001"/>
  </r>
  <r>
    <x v="10"/>
    <x v="7"/>
    <x v="122"/>
    <x v="11"/>
    <x v="0"/>
    <x v="0"/>
    <n v="140.9"/>
  </r>
  <r>
    <x v="10"/>
    <x v="7"/>
    <x v="122"/>
    <x v="11"/>
    <x v="0"/>
    <x v="1"/>
    <n v="152.80000000000001"/>
  </r>
  <r>
    <x v="10"/>
    <x v="7"/>
    <x v="122"/>
    <x v="11"/>
    <x v="0"/>
    <x v="2"/>
    <n v="175.9"/>
  </r>
  <r>
    <x v="10"/>
    <x v="8"/>
    <x v="123"/>
    <x v="0"/>
    <x v="0"/>
    <x v="0"/>
    <n v="173.2"/>
  </r>
  <r>
    <x v="10"/>
    <x v="8"/>
    <x v="123"/>
    <x v="0"/>
    <x v="0"/>
    <x v="1"/>
    <n v="173.7"/>
  </r>
  <r>
    <x v="10"/>
    <x v="8"/>
    <x v="123"/>
    <x v="0"/>
    <x v="0"/>
    <x v="2"/>
    <n v="174.7"/>
  </r>
  <r>
    <x v="10"/>
    <x v="8"/>
    <x v="123"/>
    <x v="1"/>
    <x v="1"/>
    <x v="0"/>
    <n v="191.2"/>
  </r>
  <r>
    <x v="10"/>
    <x v="8"/>
    <x v="123"/>
    <x v="1"/>
    <x v="1"/>
    <x v="1"/>
    <n v="187.3"/>
  </r>
  <r>
    <x v="10"/>
    <x v="8"/>
    <x v="123"/>
    <x v="1"/>
    <x v="1"/>
    <x v="2"/>
    <n v="181.3"/>
  </r>
  <r>
    <x v="10"/>
    <x v="8"/>
    <x v="123"/>
    <x v="3"/>
    <x v="1"/>
    <x v="0"/>
    <n v="190.8"/>
  </r>
  <r>
    <x v="10"/>
    <x v="8"/>
    <x v="123"/>
    <x v="3"/>
    <x v="1"/>
    <x v="1"/>
    <n v="186.2"/>
  </r>
  <r>
    <x v="10"/>
    <x v="8"/>
    <x v="123"/>
    <x v="3"/>
    <x v="1"/>
    <x v="2"/>
    <n v="179.3"/>
  </r>
  <r>
    <x v="10"/>
    <x v="8"/>
    <x v="123"/>
    <x v="5"/>
    <x v="2"/>
    <x v="0"/>
    <n v="180.3"/>
  </r>
  <r>
    <x v="10"/>
    <x v="8"/>
    <x v="123"/>
    <x v="5"/>
    <x v="2"/>
    <x v="1"/>
    <n v="177.1"/>
  </r>
  <r>
    <x v="10"/>
    <x v="8"/>
    <x v="123"/>
    <x v="5"/>
    <x v="2"/>
    <x v="2"/>
    <n v="174.8"/>
  </r>
  <r>
    <x v="10"/>
    <x v="8"/>
    <x v="123"/>
    <x v="4"/>
    <x v="0"/>
    <x v="0"/>
    <n v="171"/>
  </r>
  <r>
    <x v="10"/>
    <x v="8"/>
    <x v="123"/>
    <x v="4"/>
    <x v="0"/>
    <x v="1"/>
    <n v="173.2"/>
  </r>
  <r>
    <x v="10"/>
    <x v="8"/>
    <x v="123"/>
    <x v="4"/>
    <x v="0"/>
    <x v="2"/>
    <n v="176.7"/>
  </r>
  <r>
    <x v="10"/>
    <x v="8"/>
    <x v="123"/>
    <x v="8"/>
    <x v="0"/>
    <x v="0"/>
    <n v="176.8"/>
  </r>
  <r>
    <x v="10"/>
    <x v="8"/>
    <x v="123"/>
    <x v="8"/>
    <x v="0"/>
    <x v="1"/>
    <n v="179.1"/>
  </r>
  <r>
    <x v="10"/>
    <x v="8"/>
    <x v="123"/>
    <x v="8"/>
    <x v="0"/>
    <x v="2"/>
    <n v="183.1"/>
  </r>
  <r>
    <x v="10"/>
    <x v="8"/>
    <x v="123"/>
    <x v="10"/>
    <x v="1"/>
    <x v="0"/>
    <n v="187.9"/>
  </r>
  <r>
    <x v="10"/>
    <x v="8"/>
    <x v="123"/>
    <x v="10"/>
    <x v="1"/>
    <x v="1"/>
    <n v="179.7"/>
  </r>
  <r>
    <x v="10"/>
    <x v="8"/>
    <x v="123"/>
    <x v="10"/>
    <x v="1"/>
    <x v="2"/>
    <n v="168.1"/>
  </r>
  <r>
    <x v="10"/>
    <x v="8"/>
    <x v="123"/>
    <x v="9"/>
    <x v="0"/>
    <x v="0"/>
    <n v="169"/>
  </r>
  <r>
    <x v="10"/>
    <x v="8"/>
    <x v="123"/>
    <x v="9"/>
    <x v="0"/>
    <x v="1"/>
    <n v="172.2"/>
  </r>
  <r>
    <x v="10"/>
    <x v="8"/>
    <x v="123"/>
    <x v="9"/>
    <x v="0"/>
    <x v="2"/>
    <n v="175.8"/>
  </r>
  <r>
    <x v="10"/>
    <x v="8"/>
    <x v="123"/>
    <x v="13"/>
    <x v="3"/>
    <x v="0"/>
    <n v="182.5"/>
  </r>
  <r>
    <x v="10"/>
    <x v="8"/>
    <x v="123"/>
    <x v="13"/>
    <x v="3"/>
    <x v="1"/>
    <n v="182.8"/>
  </r>
  <r>
    <x v="10"/>
    <x v="8"/>
    <x v="123"/>
    <x v="13"/>
    <x v="3"/>
    <x v="2"/>
    <n v="183.4"/>
  </r>
  <r>
    <x v="10"/>
    <x v="8"/>
    <x v="123"/>
    <x v="15"/>
    <x v="4"/>
    <x v="0"/>
    <n v="179.8"/>
  </r>
  <r>
    <x v="10"/>
    <x v="8"/>
    <x v="123"/>
    <x v="15"/>
    <x v="4"/>
    <x v="1"/>
    <n v="179.1"/>
  </r>
  <r>
    <x v="10"/>
    <x v="8"/>
    <x v="123"/>
    <x v="15"/>
    <x v="4"/>
    <x v="2"/>
    <n v="178.2"/>
  </r>
  <r>
    <x v="10"/>
    <x v="8"/>
    <x v="123"/>
    <x v="17"/>
    <x v="5"/>
    <x v="0"/>
    <n v="187.8"/>
  </r>
  <r>
    <x v="10"/>
    <x v="8"/>
    <x v="123"/>
    <x v="17"/>
    <x v="5"/>
    <x v="1"/>
    <n v="185.7"/>
  </r>
  <r>
    <x v="10"/>
    <x v="8"/>
    <x v="123"/>
    <x v="17"/>
    <x v="5"/>
    <x v="2"/>
    <n v="182.2"/>
  </r>
  <r>
    <x v="10"/>
    <x v="8"/>
    <x v="123"/>
    <x v="19"/>
    <x v="6"/>
    <x v="0"/>
    <n v="179.8"/>
  </r>
  <r>
    <x v="10"/>
    <x v="8"/>
    <x v="123"/>
    <x v="19"/>
    <x v="6"/>
    <x v="1"/>
    <n v="175.2"/>
  </r>
  <r>
    <x v="10"/>
    <x v="8"/>
    <x v="123"/>
    <x v="19"/>
    <x v="6"/>
    <x v="2"/>
    <n v="170.1"/>
  </r>
  <r>
    <x v="10"/>
    <x v="8"/>
    <x v="123"/>
    <x v="21"/>
    <x v="6"/>
    <x v="0"/>
    <n v="0"/>
  </r>
  <r>
    <x v="10"/>
    <x v="8"/>
    <x v="123"/>
    <x v="21"/>
    <x v="6"/>
    <x v="1"/>
    <n v="175.6"/>
  </r>
  <r>
    <x v="10"/>
    <x v="8"/>
    <x v="123"/>
    <x v="21"/>
    <x v="6"/>
    <x v="2"/>
    <n v="175.6"/>
  </r>
  <r>
    <x v="10"/>
    <x v="8"/>
    <x v="123"/>
    <x v="2"/>
    <x v="0"/>
    <x v="0"/>
    <n v="211.5"/>
  </r>
  <r>
    <x v="10"/>
    <x v="8"/>
    <x v="123"/>
    <x v="2"/>
    <x v="0"/>
    <x v="1"/>
    <n v="214.3"/>
  </r>
  <r>
    <x v="10"/>
    <x v="8"/>
    <x v="123"/>
    <x v="2"/>
    <x v="0"/>
    <x v="2"/>
    <n v="219.4"/>
  </r>
  <r>
    <x v="10"/>
    <x v="8"/>
    <x v="123"/>
    <x v="6"/>
    <x v="0"/>
    <x v="0"/>
    <n v="179.6"/>
  </r>
  <r>
    <x v="10"/>
    <x v="8"/>
    <x v="123"/>
    <x v="6"/>
    <x v="0"/>
    <x v="1"/>
    <n v="179.5"/>
  </r>
  <r>
    <x v="10"/>
    <x v="8"/>
    <x v="123"/>
    <x v="6"/>
    <x v="0"/>
    <x v="2"/>
    <n v="179.4"/>
  </r>
  <r>
    <x v="10"/>
    <x v="8"/>
    <x v="123"/>
    <x v="23"/>
    <x v="7"/>
    <x v="0"/>
    <n v="179.5"/>
  </r>
  <r>
    <x v="10"/>
    <x v="8"/>
    <x v="123"/>
    <x v="23"/>
    <x v="7"/>
    <x v="1"/>
    <n v="175.7"/>
  </r>
  <r>
    <x v="10"/>
    <x v="8"/>
    <x v="123"/>
    <x v="23"/>
    <x v="7"/>
    <x v="2"/>
    <n v="171.6"/>
  </r>
  <r>
    <x v="10"/>
    <x v="8"/>
    <x v="123"/>
    <x v="18"/>
    <x v="0"/>
    <x v="0"/>
    <n v="178.7"/>
  </r>
  <r>
    <x v="10"/>
    <x v="8"/>
    <x v="123"/>
    <x v="18"/>
    <x v="0"/>
    <x v="1"/>
    <n v="173.4"/>
  </r>
  <r>
    <x v="10"/>
    <x v="8"/>
    <x v="123"/>
    <x v="18"/>
    <x v="0"/>
    <x v="2"/>
    <n v="165.9"/>
  </r>
  <r>
    <x v="10"/>
    <x v="8"/>
    <x v="123"/>
    <x v="7"/>
    <x v="0"/>
    <x v="0"/>
    <n v="173.3"/>
  </r>
  <r>
    <x v="10"/>
    <x v="8"/>
    <x v="123"/>
    <x v="7"/>
    <x v="0"/>
    <x v="1"/>
    <n v="170"/>
  </r>
  <r>
    <x v="10"/>
    <x v="8"/>
    <x v="123"/>
    <x v="7"/>
    <x v="0"/>
    <x v="2"/>
    <n v="164.4"/>
  </r>
  <r>
    <x v="10"/>
    <x v="8"/>
    <x v="123"/>
    <x v="22"/>
    <x v="7"/>
    <x v="0"/>
    <n v="199.9"/>
  </r>
  <r>
    <x v="10"/>
    <x v="8"/>
    <x v="123"/>
    <x v="22"/>
    <x v="7"/>
    <x v="1"/>
    <n v="201"/>
  </r>
  <r>
    <x v="10"/>
    <x v="8"/>
    <x v="123"/>
    <x v="22"/>
    <x v="7"/>
    <x v="2"/>
    <n v="204.2"/>
  </r>
  <r>
    <x v="10"/>
    <x v="8"/>
    <x v="123"/>
    <x v="24"/>
    <x v="7"/>
    <x v="0"/>
    <n v="184.9"/>
  </r>
  <r>
    <x v="10"/>
    <x v="8"/>
    <x v="123"/>
    <x v="24"/>
    <x v="7"/>
    <x v="1"/>
    <n v="185.2"/>
  </r>
  <r>
    <x v="10"/>
    <x v="8"/>
    <x v="123"/>
    <x v="24"/>
    <x v="7"/>
    <x v="2"/>
    <n v="185.6"/>
  </r>
  <r>
    <x v="10"/>
    <x v="8"/>
    <x v="123"/>
    <x v="20"/>
    <x v="0"/>
    <x v="0"/>
    <n v="191.1"/>
  </r>
  <r>
    <x v="10"/>
    <x v="8"/>
    <x v="123"/>
    <x v="20"/>
    <x v="0"/>
    <x v="1"/>
    <n v="194.2"/>
  </r>
  <r>
    <x v="10"/>
    <x v="8"/>
    <x v="123"/>
    <x v="20"/>
    <x v="0"/>
    <x v="2"/>
    <n v="197.7"/>
  </r>
  <r>
    <x v="10"/>
    <x v="8"/>
    <x v="123"/>
    <x v="12"/>
    <x v="0"/>
    <x v="0"/>
    <n v="174.9"/>
  </r>
  <r>
    <x v="10"/>
    <x v="8"/>
    <x v="123"/>
    <x v="12"/>
    <x v="0"/>
    <x v="1"/>
    <n v="175.6"/>
  </r>
  <r>
    <x v="10"/>
    <x v="8"/>
    <x v="123"/>
    <x v="12"/>
    <x v="0"/>
    <x v="2"/>
    <n v="176.9"/>
  </r>
  <r>
    <x v="10"/>
    <x v="8"/>
    <x v="123"/>
    <x v="26"/>
    <x v="9"/>
    <x v="0"/>
    <n v="173.8"/>
  </r>
  <r>
    <x v="10"/>
    <x v="8"/>
    <x v="123"/>
    <x v="26"/>
    <x v="9"/>
    <x v="1"/>
    <n v="171.2"/>
  </r>
  <r>
    <x v="10"/>
    <x v="8"/>
    <x v="123"/>
    <x v="26"/>
    <x v="9"/>
    <x v="2"/>
    <n v="169.2"/>
  </r>
  <r>
    <x v="10"/>
    <x v="8"/>
    <x v="123"/>
    <x v="16"/>
    <x v="0"/>
    <x v="0"/>
    <n v="221"/>
  </r>
  <r>
    <x v="10"/>
    <x v="8"/>
    <x v="123"/>
    <x v="16"/>
    <x v="0"/>
    <x v="1"/>
    <n v="218"/>
  </r>
  <r>
    <x v="10"/>
    <x v="8"/>
    <x v="123"/>
    <x v="16"/>
    <x v="0"/>
    <x v="2"/>
    <n v="211.9"/>
  </r>
  <r>
    <x v="10"/>
    <x v="8"/>
    <x v="123"/>
    <x v="14"/>
    <x v="0"/>
    <x v="0"/>
    <n v="121.9"/>
  </r>
  <r>
    <x v="10"/>
    <x v="8"/>
    <x v="123"/>
    <x v="14"/>
    <x v="0"/>
    <x v="1"/>
    <n v="122.7"/>
  </r>
  <r>
    <x v="10"/>
    <x v="8"/>
    <x v="123"/>
    <x v="14"/>
    <x v="0"/>
    <x v="2"/>
    <n v="124.2"/>
  </r>
  <r>
    <x v="10"/>
    <x v="8"/>
    <x v="123"/>
    <x v="25"/>
    <x v="8"/>
    <x v="0"/>
    <n v="169.7"/>
  </r>
  <r>
    <x v="10"/>
    <x v="8"/>
    <x v="123"/>
    <x v="25"/>
    <x v="8"/>
    <x v="1"/>
    <n v="164.8"/>
  </r>
  <r>
    <x v="10"/>
    <x v="8"/>
    <x v="123"/>
    <x v="25"/>
    <x v="8"/>
    <x v="2"/>
    <n v="160.4"/>
  </r>
  <r>
    <x v="10"/>
    <x v="8"/>
    <x v="123"/>
    <x v="11"/>
    <x v="0"/>
    <x v="0"/>
    <n v="148.69999999999999"/>
  </r>
  <r>
    <x v="10"/>
    <x v="8"/>
    <x v="123"/>
    <x v="11"/>
    <x v="0"/>
    <x v="1"/>
    <n v="161"/>
  </r>
  <r>
    <x v="10"/>
    <x v="8"/>
    <x v="123"/>
    <x v="11"/>
    <x v="0"/>
    <x v="2"/>
    <n v="1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40B62-4892-4BC4-B5ED-33D6C88A7E0A}" name="Jan-Mar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D32" firstHeaderRow="0" firstDataRow="1" firstDataCol="1" rowPageCount="2" colPageCount="1"/>
  <pivotFields count="8">
    <pivotField axis="axisPage" showAll="0">
      <items count="12">
        <item x="0"/>
        <item x="1"/>
        <item x="2"/>
        <item x="3"/>
        <item x="4"/>
        <item x="5"/>
        <item x="6"/>
        <item x="7"/>
        <item x="8"/>
        <item x="9"/>
        <item x="10"/>
        <item t="default"/>
      </items>
    </pivotField>
    <pivotField axis="axisPage" multipleItemSelectionAllowed="1" showAll="0">
      <items count="13">
        <item x="4"/>
        <item x="3"/>
        <item x="7"/>
        <item h="1" x="0"/>
        <item h="1" x="8"/>
        <item h="1" x="6"/>
        <item h="1" x="5"/>
        <item h="1" x="1"/>
        <item h="1" x="11"/>
        <item h="1" x="10"/>
        <item h="1" x="9"/>
        <item h="1" x="2"/>
        <item t="default"/>
      </items>
    </pivotField>
    <pivotField showAll="0"/>
    <pivotField axis="axisRow" showAll="0">
      <items count="28">
        <item x="0"/>
        <item x="1"/>
        <item x="3"/>
        <item x="5"/>
        <item x="4"/>
        <item x="8"/>
        <item x="10"/>
        <item x="9"/>
        <item x="13"/>
        <item x="15"/>
        <item x="17"/>
        <item x="19"/>
        <item x="21"/>
        <item x="2"/>
        <item x="6"/>
        <item x="23"/>
        <item x="18"/>
        <item x="7"/>
        <item x="22"/>
        <item x="24"/>
        <item x="20"/>
        <item x="12"/>
        <item x="26"/>
        <item x="16"/>
        <item x="14"/>
        <item x="25"/>
        <item x="11"/>
        <item t="default"/>
      </items>
    </pivotField>
    <pivotField dataField="1" showAll="0"/>
    <pivotField dataField="1" showAll="0"/>
    <pivotField dataField="1" showAll="0"/>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3">
    <i>
      <x/>
    </i>
    <i i="1">
      <x v="1"/>
    </i>
    <i i="2">
      <x v="2"/>
    </i>
  </colItems>
  <pageFields count="2">
    <pageField fld="0" item="7" hier="-1"/>
    <pageField fld="1" hier="-1"/>
  </pageFields>
  <dataFields count="3">
    <dataField name="Average of Rural" fld="4" subtotal="average" baseField="1" baseItem="0"/>
    <dataField name="Average of Rural+Urban" fld="6" subtotal="average" baseField="3" baseItem="0"/>
    <dataField name="Average of Urban" fld="5" subtotal="average" baseField="3"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80675-F351-4EAE-8CF8-EE7D988C6C4A}" name="Feb-Apr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I32" firstHeaderRow="0" firstDataRow="1" firstDataCol="1" rowPageCount="2" colPageCount="1"/>
  <pivotFields count="8">
    <pivotField axis="axisPage" showAll="0">
      <items count="12">
        <item x="0"/>
        <item x="1"/>
        <item x="2"/>
        <item x="3"/>
        <item x="4"/>
        <item x="5"/>
        <item x="6"/>
        <item x="7"/>
        <item x="8"/>
        <item x="9"/>
        <item x="10"/>
        <item t="default"/>
      </items>
    </pivotField>
    <pivotField axis="axisPage" multipleItemSelectionAllowed="1" showAll="0">
      <items count="13">
        <item h="1" x="4"/>
        <item x="3"/>
        <item x="7"/>
        <item x="0"/>
        <item h="1" x="8"/>
        <item h="1" x="6"/>
        <item h="1" x="5"/>
        <item h="1" x="1"/>
        <item h="1" x="11"/>
        <item h="1" x="10"/>
        <item h="1" x="9"/>
        <item h="1" x="2"/>
        <item t="default"/>
      </items>
    </pivotField>
    <pivotField showAll="0"/>
    <pivotField axis="axisRow" showAll="0">
      <items count="28">
        <item x="0"/>
        <item x="1"/>
        <item x="3"/>
        <item x="5"/>
        <item x="4"/>
        <item x="8"/>
        <item x="10"/>
        <item x="9"/>
        <item x="13"/>
        <item x="15"/>
        <item x="17"/>
        <item x="19"/>
        <item x="21"/>
        <item x="2"/>
        <item x="6"/>
        <item x="23"/>
        <item x="18"/>
        <item x="7"/>
        <item x="22"/>
        <item x="24"/>
        <item x="20"/>
        <item x="12"/>
        <item x="26"/>
        <item x="16"/>
        <item x="14"/>
        <item x="25"/>
        <item x="11"/>
        <item t="default"/>
      </items>
    </pivotField>
    <pivotField dataField="1" showAll="0"/>
    <pivotField dataField="1" showAll="0"/>
    <pivotField dataField="1" showAll="0"/>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3">
    <i>
      <x/>
    </i>
    <i i="1">
      <x v="1"/>
    </i>
    <i i="2">
      <x v="2"/>
    </i>
  </colItems>
  <pageFields count="2">
    <pageField fld="0" item="7" hier="-1"/>
    <pageField fld="1" hier="-1"/>
  </pageFields>
  <dataFields count="3">
    <dataField name="Average of Rural" fld="4" subtotal="average" baseField="3" baseItem="0"/>
    <dataField name="Average of Rural+Urban" fld="6" subtotal="average" baseField="3" baseItem="0"/>
    <dataField name="Average of Urban" fld="5" subtotal="average" baseField="3"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348DB-27ED-4906-A202-3DCBFE6F318C}" name="YoY_Change(Rural+Urban)"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J5:K13" firstHeaderRow="1" firstDataRow="1" firstDataCol="1" rowPageCount="1" colPageCount="1"/>
  <pivotFields count="7">
    <pivotField axis="axisRow" compact="0" outline="0" showAll="0" defaultSubtotal="0">
      <items count="11">
        <item h="1" x="0"/>
        <item h="1" x="1"/>
        <item h="1" x="2"/>
        <item x="3"/>
        <item x="4"/>
        <item x="5"/>
        <item x="6"/>
        <item x="7"/>
        <item x="8"/>
        <item x="9"/>
        <item x="10"/>
      </items>
    </pivotField>
    <pivotField compact="0" outline="0" showAll="0"/>
    <pivotField compact="0" outline="0" showAll="0" sortType="descending"/>
    <pivotField compact="0" outline="0" showAll="0"/>
    <pivotField compact="0" outline="0" showAll="0"/>
    <pivotField axis="axisPage" compact="0" outline="0" showAll="0">
      <items count="4">
        <item x="0"/>
        <item x="1"/>
        <item x="2"/>
        <item t="default"/>
      </items>
    </pivotField>
    <pivotField dataField="1" compact="0" outline="0" showAll="0"/>
  </pivotFields>
  <rowFields count="1">
    <field x="0"/>
  </rowFields>
  <rowItems count="8">
    <i>
      <x v="3"/>
    </i>
    <i>
      <x v="4"/>
    </i>
    <i>
      <x v="5"/>
    </i>
    <i>
      <x v="6"/>
    </i>
    <i>
      <x v="7"/>
    </i>
    <i>
      <x v="8"/>
    </i>
    <i>
      <x v="9"/>
    </i>
    <i>
      <x v="10"/>
    </i>
  </rowItems>
  <colItems count="1">
    <i/>
  </colItems>
  <pageFields count="1">
    <pageField fld="5" item="1" hier="-1"/>
  </pageFields>
  <dataFields count="1">
    <dataField name="Average of CPI" fld="6" subtotal="average" baseField="0" baseItem="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F14C7-7E51-4BAD-B9BA-63C7AAAB5108}" name="MoM_GeneralIndexTrend"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61:BZ67" firstHeaderRow="1" firstDataRow="4" firstDataCol="1" rowPageCount="1" colPageCount="1"/>
  <pivotFields count="7">
    <pivotField axis="axisCol" compact="0" outline="0" showAll="0" defaultSubtotal="0">
      <items count="11">
        <item h="1" x="0"/>
        <item h="1" x="1"/>
        <item h="1" x="2"/>
        <item x="3"/>
        <item x="4"/>
        <item x="5"/>
        <item x="6"/>
        <item x="7"/>
        <item x="8"/>
        <item x="9"/>
        <item x="10"/>
      </items>
    </pivotField>
    <pivotField axis="axisCol" compact="0" outline="0" showAll="0" defaultSubtotal="0">
      <items count="12">
        <item x="4"/>
        <item x="3"/>
        <item x="7"/>
        <item x="0"/>
        <item x="8"/>
        <item x="6"/>
        <item x="5"/>
        <item x="1"/>
        <item x="11"/>
        <item x="10"/>
        <item x="9"/>
        <item x="2"/>
      </items>
    </pivotField>
    <pivotField axis="axisCol" compact="0" outline="0" showAll="0">
      <items count="125">
        <item x="115"/>
        <item x="113"/>
        <item x="101"/>
        <item x="89"/>
        <item x="77"/>
        <item x="66"/>
        <item x="54"/>
        <item h="1" x="42"/>
        <item h="1" x="30"/>
        <item h="1" x="18"/>
        <item h="1" x="6"/>
        <item x="112"/>
        <item x="100"/>
        <item x="88"/>
        <item x="76"/>
        <item x="65"/>
        <item x="53"/>
        <item h="1" x="41"/>
        <item h="1" x="29"/>
        <item h="1" x="17"/>
        <item h="1" x="5"/>
        <item x="121"/>
        <item x="111"/>
        <item x="99"/>
        <item x="87"/>
        <item x="75"/>
        <item x="64"/>
        <item x="52"/>
        <item h="1" x="40"/>
        <item h="1" x="28"/>
        <item h="1" x="16"/>
        <item h="1" x="4"/>
        <item x="120"/>
        <item x="110"/>
        <item x="98"/>
        <item x="86"/>
        <item x="74"/>
        <item x="63"/>
        <item x="51"/>
        <item h="1" x="39"/>
        <item h="1" x="27"/>
        <item h="1" x="15"/>
        <item h="1" x="3"/>
        <item x="97"/>
        <item x="85"/>
        <item x="73"/>
        <item x="62"/>
        <item x="50"/>
        <item x="38"/>
        <item h="1" x="26"/>
        <item h="1" x="14"/>
        <item h="1" x="2"/>
        <item x="108"/>
        <item x="96"/>
        <item x="84"/>
        <item x="72"/>
        <item x="61"/>
        <item x="49"/>
        <item h="1" x="37"/>
        <item h="1" x="25"/>
        <item h="1" x="13"/>
        <item h="1" x="1"/>
        <item x="122"/>
        <item x="119"/>
        <item x="107"/>
        <item x="95"/>
        <item x="83"/>
        <item x="60"/>
        <item x="48"/>
        <item h="1" x="36"/>
        <item h="1" x="24"/>
        <item h="1" x="12"/>
        <item h="1" x="0"/>
        <item x="118"/>
        <item x="106"/>
        <item x="94"/>
        <item x="82"/>
        <item x="71"/>
        <item x="59"/>
        <item h="1" x="47"/>
        <item h="1" x="35"/>
        <item h="1" x="23"/>
        <item h="1" x="11"/>
        <item x="117"/>
        <item x="105"/>
        <item x="93"/>
        <item x="81"/>
        <item x="70"/>
        <item x="58"/>
        <item h="1" x="46"/>
        <item h="1" x="34"/>
        <item h="1" x="22"/>
        <item h="1" x="10"/>
        <item x="116"/>
        <item x="104"/>
        <item x="92"/>
        <item x="80"/>
        <item x="69"/>
        <item x="57"/>
        <item h="1" x="45"/>
        <item h="1" x="33"/>
        <item h="1" x="21"/>
        <item h="1" x="9"/>
        <item x="123"/>
        <item x="103"/>
        <item x="91"/>
        <item x="79"/>
        <item x="68"/>
        <item x="56"/>
        <item h="1" x="44"/>
        <item h="1" x="32"/>
        <item h="1" x="20"/>
        <item h="1" x="8"/>
        <item x="114"/>
        <item x="102"/>
        <item x="90"/>
        <item x="78"/>
        <item x="67"/>
        <item x="55"/>
        <item h="1" x="43"/>
        <item h="1" x="31"/>
        <item h="1" x="19"/>
        <item h="1" x="7"/>
        <item x="109"/>
        <item t="default"/>
      </items>
    </pivotField>
    <pivotField compact="0" outline="0" showAll="0">
      <items count="28">
        <item x="0"/>
        <item x="1"/>
        <item x="3"/>
        <item x="5"/>
        <item x="4"/>
        <item x="8"/>
        <item x="10"/>
        <item x="9"/>
        <item x="13"/>
        <item x="15"/>
        <item x="17"/>
        <item x="19"/>
        <item x="21"/>
        <item x="2"/>
        <item x="6"/>
        <item x="23"/>
        <item x="18"/>
        <item x="7"/>
        <item x="22"/>
        <item x="24"/>
        <item x="20"/>
        <item x="12"/>
        <item x="26"/>
        <item x="16"/>
        <item x="14"/>
        <item x="25"/>
        <item x="11"/>
        <item t="default"/>
      </items>
    </pivotField>
    <pivotField axis="axisPage" compact="0" outline="0" multipleItemSelectionAllowed="1" showAll="0">
      <items count="11">
        <item h="1" x="1"/>
        <item h="1" x="2"/>
        <item h="1" x="3"/>
        <item h="1" x="0"/>
        <item h="1" x="5"/>
        <item h="1" x="6"/>
        <item h="1" x="7"/>
        <item h="1" x="9"/>
        <item h="1" x="8"/>
        <item x="4"/>
        <item t="default"/>
      </items>
    </pivotField>
    <pivotField axis="axisRow" compact="0" outline="0" showAll="0">
      <items count="4">
        <item x="1"/>
        <item x="0"/>
        <item x="2"/>
        <item t="default"/>
      </items>
    </pivotField>
    <pivotField dataField="1" compact="0" outline="0" showAll="0"/>
  </pivotFields>
  <rowFields count="1">
    <field x="5"/>
  </rowFields>
  <rowItems count="3">
    <i>
      <x/>
    </i>
    <i>
      <x v="1"/>
    </i>
    <i>
      <x v="2"/>
    </i>
  </rowItems>
  <colFields count="3">
    <field x="0"/>
    <field x="1"/>
    <field x="2"/>
  </colFields>
  <colItems count="77">
    <i>
      <x v="3"/>
      <x v="11"/>
      <x v="48"/>
    </i>
    <i>
      <x v="4"/>
      <x/>
      <x v="27"/>
    </i>
    <i r="1">
      <x v="1"/>
      <x v="38"/>
    </i>
    <i r="1">
      <x v="2"/>
      <x v="118"/>
    </i>
    <i r="1">
      <x v="3"/>
      <x v="68"/>
    </i>
    <i r="1">
      <x v="4"/>
      <x v="108"/>
    </i>
    <i r="1">
      <x v="5"/>
      <x v="6"/>
    </i>
    <i r="1">
      <x v="6"/>
      <x v="16"/>
    </i>
    <i r="1">
      <x v="7"/>
      <x v="57"/>
    </i>
    <i r="1">
      <x v="8"/>
      <x v="78"/>
    </i>
    <i r="1">
      <x v="9"/>
      <x v="88"/>
    </i>
    <i r="1">
      <x v="10"/>
      <x v="98"/>
    </i>
    <i r="1">
      <x v="11"/>
      <x v="47"/>
    </i>
    <i>
      <x v="5"/>
      <x/>
      <x v="26"/>
    </i>
    <i r="1">
      <x v="1"/>
      <x v="37"/>
    </i>
    <i r="1">
      <x v="2"/>
      <x v="117"/>
    </i>
    <i r="1">
      <x v="3"/>
      <x v="67"/>
    </i>
    <i r="1">
      <x v="4"/>
      <x v="107"/>
    </i>
    <i r="1">
      <x v="5"/>
      <x v="5"/>
    </i>
    <i r="1">
      <x v="6"/>
      <x v="15"/>
    </i>
    <i r="1">
      <x v="7"/>
      <x v="56"/>
    </i>
    <i r="1">
      <x v="8"/>
      <x v="77"/>
    </i>
    <i r="1">
      <x v="9"/>
      <x v="87"/>
    </i>
    <i r="1">
      <x v="10"/>
      <x v="97"/>
    </i>
    <i r="1">
      <x v="11"/>
      <x v="46"/>
    </i>
    <i>
      <x v="6"/>
      <x/>
      <x v="25"/>
    </i>
    <i r="1">
      <x v="1"/>
      <x v="36"/>
    </i>
    <i r="1">
      <x v="2"/>
      <x v="116"/>
    </i>
    <i r="1">
      <x v="4"/>
      <x v="106"/>
    </i>
    <i r="1">
      <x v="5"/>
      <x v="4"/>
    </i>
    <i r="1">
      <x v="6"/>
      <x v="14"/>
    </i>
    <i r="1">
      <x v="7"/>
      <x v="55"/>
    </i>
    <i r="1">
      <x v="8"/>
      <x v="76"/>
    </i>
    <i r="1">
      <x v="9"/>
      <x v="86"/>
    </i>
    <i r="1">
      <x v="10"/>
      <x v="96"/>
    </i>
    <i r="1">
      <x v="11"/>
      <x v="45"/>
    </i>
    <i>
      <x v="7"/>
      <x/>
      <x v="24"/>
    </i>
    <i r="1">
      <x v="1"/>
      <x v="35"/>
    </i>
    <i r="1">
      <x v="2"/>
      <x v="115"/>
    </i>
    <i r="1">
      <x v="3"/>
      <x v="66"/>
    </i>
    <i r="1">
      <x v="4"/>
      <x v="105"/>
    </i>
    <i r="1">
      <x v="5"/>
      <x v="3"/>
    </i>
    <i r="1">
      <x v="6"/>
      <x v="13"/>
    </i>
    <i r="1">
      <x v="7"/>
      <x v="54"/>
    </i>
    <i r="1">
      <x v="8"/>
      <x v="75"/>
    </i>
    <i r="1">
      <x v="9"/>
      <x v="85"/>
    </i>
    <i r="1">
      <x v="10"/>
      <x v="95"/>
    </i>
    <i r="1">
      <x v="11"/>
      <x v="44"/>
    </i>
    <i>
      <x v="8"/>
      <x/>
      <x v="23"/>
    </i>
    <i r="1">
      <x v="1"/>
      <x v="34"/>
    </i>
    <i r="1">
      <x v="2"/>
      <x v="114"/>
    </i>
    <i r="1">
      <x v="3"/>
      <x v="65"/>
    </i>
    <i r="1">
      <x v="4"/>
      <x v="104"/>
    </i>
    <i r="1">
      <x v="5"/>
      <x v="2"/>
    </i>
    <i r="1">
      <x v="6"/>
      <x v="12"/>
    </i>
    <i r="1">
      <x v="7"/>
      <x v="53"/>
    </i>
    <i r="1">
      <x v="8"/>
      <x v="74"/>
    </i>
    <i r="1">
      <x v="9"/>
      <x v="84"/>
    </i>
    <i r="1">
      <x v="10"/>
      <x v="94"/>
    </i>
    <i r="1">
      <x v="11"/>
      <x v="43"/>
    </i>
    <i>
      <x v="9"/>
      <x/>
      <x v="22"/>
    </i>
    <i r="1">
      <x v="1"/>
      <x v="33"/>
    </i>
    <i r="1">
      <x v="2"/>
      <x v="113"/>
    </i>
    <i r="1">
      <x v="3"/>
      <x v="64"/>
    </i>
    <i r="1">
      <x v="4"/>
      <x/>
    </i>
    <i r="1">
      <x v="5"/>
      <x v="1"/>
    </i>
    <i r="1">
      <x v="6"/>
      <x v="11"/>
    </i>
    <i r="1">
      <x v="7"/>
      <x v="52"/>
    </i>
    <i r="1">
      <x v="8"/>
      <x v="73"/>
    </i>
    <i r="1">
      <x v="9"/>
      <x v="83"/>
    </i>
    <i r="1">
      <x v="10"/>
      <x v="93"/>
    </i>
    <i r="1">
      <x v="11"/>
      <x v="123"/>
    </i>
    <i>
      <x v="10"/>
      <x/>
      <x v="21"/>
    </i>
    <i r="1">
      <x v="1"/>
      <x v="32"/>
    </i>
    <i r="1">
      <x v="2"/>
      <x v="62"/>
    </i>
    <i r="1">
      <x v="3"/>
      <x v="63"/>
    </i>
    <i r="1">
      <x v="4"/>
      <x v="103"/>
    </i>
  </colItems>
  <pageFields count="1">
    <pageField fld="4" hier="-1"/>
  </pageFields>
  <dataFields count="1">
    <dataField name="Average of CPI" fld="6" subtotal="average" baseField="3" baseItem="1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DF22A4-9FF6-4B82-9635-E6F5812B1E7E}" name="MoMAnalysis(ImpactofCovid)"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Z22:AL35" firstHeaderRow="1" firstDataRow="4" firstDataCol="1"/>
  <pivotFields count="7">
    <pivotField axis="axisCol" compact="0" outline="0" showAll="0" defaultSubtotal="0">
      <items count="11">
        <item h="1" x="0"/>
        <item h="1" x="1"/>
        <item h="1" x="2"/>
        <item h="1" x="3"/>
        <item h="1" x="4"/>
        <item h="1" x="5"/>
        <item h="1" x="6"/>
        <item x="7"/>
        <item h="1" x="8"/>
        <item h="1" x="9"/>
        <item h="1" x="10"/>
      </items>
    </pivotField>
    <pivotField axis="axisCol" compact="0" outline="0" showAll="0" defaultSubtotal="0">
      <items count="12">
        <item x="4"/>
        <item x="3"/>
        <item x="7"/>
        <item x="0"/>
        <item x="8"/>
        <item x="6"/>
        <item x="5"/>
        <item x="1"/>
        <item x="11"/>
        <item x="10"/>
        <item x="9"/>
        <item x="2"/>
      </items>
    </pivotField>
    <pivotField axis="axisCol" compact="0" outline="0" showAll="0">
      <items count="125">
        <item h="1" x="118"/>
        <item h="1" x="106"/>
        <item x="94"/>
        <item h="1" x="82"/>
        <item h="1" x="71"/>
        <item h="1" x="59"/>
        <item h="1" x="47"/>
        <item h="1" x="35"/>
        <item h="1" x="23"/>
        <item h="1" x="11"/>
        <item h="1" x="117"/>
        <item h="1" x="105"/>
        <item x="93"/>
        <item h="1" x="81"/>
        <item h="1" x="70"/>
        <item h="1" x="58"/>
        <item h="1" x="46"/>
        <item h="1" x="34"/>
        <item h="1" x="22"/>
        <item h="1" x="10"/>
        <item h="1" x="116"/>
        <item h="1" x="104"/>
        <item x="92"/>
        <item h="1" x="80"/>
        <item h="1" x="69"/>
        <item h="1" x="57"/>
        <item h="1" x="45"/>
        <item h="1" x="33"/>
        <item h="1" x="21"/>
        <item h="1" x="9"/>
        <item h="1" x="123"/>
        <item h="1" x="115"/>
        <item h="1" x="103"/>
        <item h="1" x="76"/>
        <item h="1" x="65"/>
        <item h="1" x="53"/>
        <item h="1" x="41"/>
        <item h="1" x="29"/>
        <item h="1" x="17"/>
        <item h="1" x="5"/>
        <item h="1" x="121"/>
        <item h="1" x="111"/>
        <item h="1" x="99"/>
        <item x="87"/>
        <item h="1" x="75"/>
        <item h="1" x="64"/>
        <item h="1" x="52"/>
        <item h="1" x="40"/>
        <item h="1" x="28"/>
        <item h="1" x="16"/>
        <item h="1" x="4"/>
        <item h="1" x="120"/>
        <item h="1" x="110"/>
        <item h="1" x="98"/>
        <item x="86"/>
        <item h="1" x="74"/>
        <item h="1" x="63"/>
        <item h="1" x="51"/>
        <item h="1" x="39"/>
        <item h="1" x="27"/>
        <item h="1" x="15"/>
        <item h="1" x="3"/>
        <item h="1" x="109"/>
        <item h="1" x="97"/>
        <item x="90"/>
        <item x="85"/>
        <item h="1" x="73"/>
        <item h="1" x="62"/>
        <item h="1" x="50"/>
        <item h="1" x="38"/>
        <item h="1" x="26"/>
        <item h="1" x="14"/>
        <item h="1" x="2"/>
        <item h="1" x="108"/>
        <item h="1" x="96"/>
        <item h="1" x="72"/>
        <item h="1" x="61"/>
        <item h="1" x="49"/>
        <item h="1" x="37"/>
        <item h="1" x="25"/>
        <item h="1" x="13"/>
        <item h="1" x="1"/>
        <item h="1" x="119"/>
        <item h="1" x="107"/>
        <item h="1" x="95"/>
        <item x="83"/>
        <item h="1" x="60"/>
        <item h="1" x="48"/>
        <item h="1" x="36"/>
        <item h="1" x="24"/>
        <item h="1" x="12"/>
        <item h="1" x="0"/>
        <item x="91"/>
        <item h="1" x="79"/>
        <item h="1" x="68"/>
        <item h="1" x="56"/>
        <item h="1" x="44"/>
        <item h="1" x="32"/>
        <item h="1" x="20"/>
        <item h="1" x="8"/>
        <item h="1" x="122"/>
        <item h="1" x="114"/>
        <item h="1" x="102"/>
        <item h="1" x="78"/>
        <item h="1" x="67"/>
        <item h="1" x="55"/>
        <item h="1" x="43"/>
        <item h="1" x="31"/>
        <item h="1" x="19"/>
        <item h="1" x="7"/>
        <item h="1" x="113"/>
        <item h="1" x="101"/>
        <item x="89"/>
        <item h="1" x="77"/>
        <item h="1" x="66"/>
        <item h="1" x="54"/>
        <item h="1" x="42"/>
        <item h="1" x="30"/>
        <item h="1" x="18"/>
        <item h="1" x="6"/>
        <item h="1" x="112"/>
        <item h="1" x="100"/>
        <item x="88"/>
        <item x="84"/>
        <item t="default"/>
      </items>
    </pivotField>
    <pivotField compact="0" outline="0" showAll="0"/>
    <pivotField axis="axisRow" compact="0" outline="0" showAll="0">
      <items count="11">
        <item x="1"/>
        <item x="2"/>
        <item x="3"/>
        <item x="0"/>
        <item x="5"/>
        <item x="6"/>
        <item x="7"/>
        <item x="9"/>
        <item x="8"/>
        <item x="4"/>
        <item t="default"/>
      </items>
    </pivotField>
    <pivotField compact="0" outline="0" showAll="0">
      <items count="4">
        <item h="1" x="0"/>
        <item x="1"/>
        <item h="1" x="2"/>
        <item t="default"/>
      </items>
    </pivotField>
    <pivotField dataField="1" compact="0" outline="0" showAll="0"/>
  </pivotFields>
  <rowFields count="1">
    <field x="4"/>
  </rowFields>
  <rowItems count="10">
    <i>
      <x/>
    </i>
    <i>
      <x v="1"/>
    </i>
    <i>
      <x v="2"/>
    </i>
    <i>
      <x v="3"/>
    </i>
    <i>
      <x v="4"/>
    </i>
    <i>
      <x v="5"/>
    </i>
    <i>
      <x v="6"/>
    </i>
    <i>
      <x v="7"/>
    </i>
    <i>
      <x v="8"/>
    </i>
    <i>
      <x v="9"/>
    </i>
  </rowItems>
  <colFields count="3">
    <field x="0"/>
    <field x="1"/>
    <field x="2"/>
  </colFields>
  <colItems count="12">
    <i>
      <x v="7"/>
      <x/>
      <x v="43"/>
    </i>
    <i r="1">
      <x v="1"/>
      <x v="54"/>
    </i>
    <i r="1">
      <x v="2"/>
      <x v="64"/>
    </i>
    <i r="1">
      <x v="3"/>
      <x v="85"/>
    </i>
    <i r="1">
      <x v="4"/>
      <x v="92"/>
    </i>
    <i r="1">
      <x v="5"/>
      <x v="112"/>
    </i>
    <i r="1">
      <x v="6"/>
      <x v="122"/>
    </i>
    <i r="1">
      <x v="7"/>
      <x v="123"/>
    </i>
    <i r="1">
      <x v="8"/>
      <x v="2"/>
    </i>
    <i r="1">
      <x v="9"/>
      <x v="12"/>
    </i>
    <i r="1">
      <x v="10"/>
      <x v="22"/>
    </i>
    <i r="1">
      <x v="11"/>
      <x v="65"/>
    </i>
  </colItems>
  <dataFields count="1">
    <dataField name="Average of CPI" fld="6" subtotal="average" baseField="4"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C883B5-BB44-4F41-811C-BEECFC91C1A9}" name="YoY_CovidImpact"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Q22:X33" firstHeaderRow="1" firstDataRow="2" firstDataCol="1"/>
  <pivotFields count="7">
    <pivotField axis="axisCol" compact="0" outline="0" showAll="0" defaultSubtotal="0">
      <items count="11">
        <item h="1" x="0"/>
        <item h="1" x="1"/>
        <item h="1" x="2"/>
        <item h="1" x="3"/>
        <item x="4"/>
        <item x="5"/>
        <item x="6"/>
        <item x="7"/>
        <item x="8"/>
        <item x="9"/>
        <item x="10"/>
      </items>
    </pivotField>
    <pivotField compact="0" outline="0" showAll="0" defaultSubtotal="0">
      <items count="12">
        <item x="4"/>
        <item x="3"/>
        <item x="7"/>
        <item x="0"/>
        <item x="8"/>
        <item x="6"/>
        <item x="5"/>
        <item x="1"/>
        <item x="11"/>
        <item x="10"/>
        <item x="9"/>
        <item x="2"/>
      </items>
    </pivotField>
    <pivotField compact="0" outline="0" showAll="0">
      <items count="125">
        <item h="1" x="118"/>
        <item h="1" x="106"/>
        <item x="94"/>
        <item h="1" x="82"/>
        <item h="1" x="71"/>
        <item h="1" x="59"/>
        <item h="1" x="47"/>
        <item h="1" x="35"/>
        <item h="1" x="23"/>
        <item h="1" x="11"/>
        <item h="1" x="117"/>
        <item h="1" x="105"/>
        <item x="93"/>
        <item h="1" x="81"/>
        <item h="1" x="70"/>
        <item h="1" x="58"/>
        <item h="1" x="46"/>
        <item h="1" x="34"/>
        <item h="1" x="22"/>
        <item h="1" x="10"/>
        <item h="1" x="116"/>
        <item h="1" x="104"/>
        <item x="92"/>
        <item h="1" x="80"/>
        <item h="1" x="69"/>
        <item h="1" x="57"/>
        <item h="1" x="45"/>
        <item h="1" x="33"/>
        <item h="1" x="21"/>
        <item h="1" x="9"/>
        <item h="1" x="123"/>
        <item h="1" x="115"/>
        <item h="1" x="103"/>
        <item h="1" x="76"/>
        <item h="1" x="65"/>
        <item h="1" x="53"/>
        <item h="1" x="41"/>
        <item h="1" x="29"/>
        <item h="1" x="17"/>
        <item h="1" x="5"/>
        <item h="1" x="121"/>
        <item h="1" x="111"/>
        <item h="1" x="99"/>
        <item x="87"/>
        <item h="1" x="75"/>
        <item h="1" x="64"/>
        <item h="1" x="52"/>
        <item h="1" x="40"/>
        <item h="1" x="28"/>
        <item h="1" x="16"/>
        <item h="1" x="4"/>
        <item h="1" x="120"/>
        <item h="1" x="110"/>
        <item h="1" x="98"/>
        <item x="86"/>
        <item h="1" x="74"/>
        <item h="1" x="63"/>
        <item h="1" x="51"/>
        <item h="1" x="39"/>
        <item h="1" x="27"/>
        <item h="1" x="15"/>
        <item h="1" x="3"/>
        <item h="1" x="109"/>
        <item h="1" x="97"/>
        <item x="90"/>
        <item x="85"/>
        <item h="1" x="73"/>
        <item h="1" x="62"/>
        <item h="1" x="50"/>
        <item h="1" x="38"/>
        <item h="1" x="26"/>
        <item h="1" x="14"/>
        <item h="1" x="2"/>
        <item h="1" x="108"/>
        <item h="1" x="96"/>
        <item h="1" x="72"/>
        <item h="1" x="61"/>
        <item h="1" x="49"/>
        <item h="1" x="37"/>
        <item h="1" x="25"/>
        <item h="1" x="13"/>
        <item h="1" x="1"/>
        <item h="1" x="119"/>
        <item h="1" x="107"/>
        <item h="1" x="95"/>
        <item x="83"/>
        <item h="1" x="60"/>
        <item h="1" x="48"/>
        <item h="1" x="36"/>
        <item h="1" x="24"/>
        <item h="1" x="12"/>
        <item h="1" x="0"/>
        <item x="91"/>
        <item h="1" x="79"/>
        <item h="1" x="68"/>
        <item h="1" x="56"/>
        <item h="1" x="44"/>
        <item h="1" x="32"/>
        <item h="1" x="20"/>
        <item h="1" x="8"/>
        <item h="1" x="122"/>
        <item h="1" x="114"/>
        <item h="1" x="102"/>
        <item h="1" x="78"/>
        <item h="1" x="67"/>
        <item h="1" x="55"/>
        <item h="1" x="43"/>
        <item h="1" x="31"/>
        <item h="1" x="19"/>
        <item h="1" x="7"/>
        <item h="1" x="113"/>
        <item h="1" x="101"/>
        <item x="89"/>
        <item h="1" x="77"/>
        <item h="1" x="66"/>
        <item h="1" x="54"/>
        <item h="1" x="42"/>
        <item h="1" x="30"/>
        <item h="1" x="18"/>
        <item h="1" x="6"/>
        <item h="1" x="112"/>
        <item h="1" x="100"/>
        <item x="88"/>
        <item x="84"/>
        <item t="default"/>
      </items>
    </pivotField>
    <pivotField compact="0" outline="0" showAll="0"/>
    <pivotField axis="axisRow" compact="0" outline="0" showAll="0">
      <items count="11">
        <item x="1"/>
        <item x="2"/>
        <item x="3"/>
        <item x="0"/>
        <item x="5"/>
        <item x="6"/>
        <item x="7"/>
        <item x="9"/>
        <item x="8"/>
        <item x="4"/>
        <item t="default"/>
      </items>
    </pivotField>
    <pivotField compact="0" outline="0" multipleItemSelectionAllowed="1" showAll="0">
      <items count="4">
        <item h="1" x="0"/>
        <item x="1"/>
        <item h="1" x="2"/>
        <item t="default"/>
      </items>
    </pivotField>
    <pivotField dataField="1" compact="0" outline="0" showAll="0"/>
  </pivotFields>
  <rowFields count="1">
    <field x="4"/>
  </rowFields>
  <rowItems count="10">
    <i>
      <x/>
    </i>
    <i>
      <x v="1"/>
    </i>
    <i>
      <x v="2"/>
    </i>
    <i>
      <x v="3"/>
    </i>
    <i>
      <x v="4"/>
    </i>
    <i>
      <x v="5"/>
    </i>
    <i>
      <x v="6"/>
    </i>
    <i>
      <x v="7"/>
    </i>
    <i>
      <x v="8"/>
    </i>
    <i>
      <x v="9"/>
    </i>
  </rowItems>
  <colFields count="1">
    <field x="0"/>
  </colFields>
  <colItems count="7">
    <i>
      <x v="4"/>
    </i>
    <i>
      <x v="5"/>
    </i>
    <i>
      <x v="6"/>
    </i>
    <i>
      <x v="7"/>
    </i>
    <i>
      <x v="8"/>
    </i>
    <i>
      <x v="9"/>
    </i>
    <i>
      <x v="10"/>
    </i>
  </colItems>
  <dataFields count="1">
    <dataField name="Average of CPI" fld="6" subtotal="average" baseField="4"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4E76E8-0C56-462C-A1C5-BC91207C938B}" name="ContibutionInCPI"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5:D16" firstHeaderRow="1" firstDataRow="2" firstDataCol="1" rowPageCount="1" colPageCount="1"/>
  <pivotFields count="7">
    <pivotField compact="0" outline="0" showAll="0" defaultSubtotal="0"/>
    <pivotField compact="0" outline="0" showAll="0"/>
    <pivotField axis="axisPage" compact="0" outline="0" multipleItemSelectionAllowed="1" showAll="0">
      <items count="125">
        <item h="1" x="118"/>
        <item h="1" x="106"/>
        <item h="1" x="94"/>
        <item h="1" x="82"/>
        <item h="1" x="71"/>
        <item h="1" x="59"/>
        <item h="1" x="47"/>
        <item h="1" x="35"/>
        <item h="1" x="23"/>
        <item h="1" x="11"/>
        <item h="1" x="117"/>
        <item h="1" x="105"/>
        <item h="1" x="93"/>
        <item h="1" x="81"/>
        <item h="1" x="70"/>
        <item h="1" x="58"/>
        <item h="1" x="46"/>
        <item h="1" x="34"/>
        <item h="1" x="22"/>
        <item h="1" x="10"/>
        <item h="1" x="116"/>
        <item h="1" x="104"/>
        <item h="1" x="92"/>
        <item h="1" x="80"/>
        <item h="1" x="69"/>
        <item h="1" x="57"/>
        <item h="1" x="45"/>
        <item h="1" x="33"/>
        <item h="1" x="21"/>
        <item h="1" x="9"/>
        <item x="123"/>
        <item h="1" x="115"/>
        <item h="1" x="103"/>
        <item h="1" x="76"/>
        <item h="1" x="65"/>
        <item h="1" x="53"/>
        <item h="1" x="41"/>
        <item h="1" x="29"/>
        <item h="1" x="17"/>
        <item h="1" x="5"/>
        <item h="1" x="121"/>
        <item h="1" x="111"/>
        <item h="1" x="99"/>
        <item h="1" x="87"/>
        <item h="1" x="75"/>
        <item h="1" x="64"/>
        <item h="1" x="52"/>
        <item h="1" x="40"/>
        <item h="1" x="28"/>
        <item h="1" x="16"/>
        <item h="1" x="4"/>
        <item h="1" x="120"/>
        <item h="1" x="110"/>
        <item h="1" x="98"/>
        <item h="1" x="86"/>
        <item h="1" x="74"/>
        <item h="1" x="63"/>
        <item h="1" x="51"/>
        <item h="1" x="39"/>
        <item h="1" x="27"/>
        <item h="1" x="15"/>
        <item h="1" x="3"/>
        <item h="1" x="109"/>
        <item h="1" x="97"/>
        <item h="1" x="90"/>
        <item h="1" x="85"/>
        <item h="1" x="73"/>
        <item h="1" x="62"/>
        <item h="1" x="50"/>
        <item h="1" x="38"/>
        <item h="1" x="26"/>
        <item h="1" x="14"/>
        <item h="1" x="2"/>
        <item h="1" x="108"/>
        <item h="1" x="96"/>
        <item h="1" x="84"/>
        <item h="1" x="72"/>
        <item h="1" x="61"/>
        <item h="1" x="49"/>
        <item h="1" x="37"/>
        <item h="1" x="25"/>
        <item h="1" x="13"/>
        <item h="1" x="1"/>
        <item h="1" x="119"/>
        <item h="1" x="107"/>
        <item h="1" x="95"/>
        <item h="1" x="83"/>
        <item h="1" x="60"/>
        <item h="1" x="48"/>
        <item h="1" x="36"/>
        <item h="1" x="24"/>
        <item h="1" x="12"/>
        <item h="1" x="0"/>
        <item h="1" x="91"/>
        <item h="1" x="79"/>
        <item h="1" x="68"/>
        <item h="1" x="56"/>
        <item h="1" x="44"/>
        <item h="1" x="32"/>
        <item h="1" x="20"/>
        <item h="1" x="8"/>
        <item h="1" x="122"/>
        <item h="1" x="114"/>
        <item h="1" x="102"/>
        <item h="1" x="78"/>
        <item h="1" x="67"/>
        <item h="1" x="55"/>
        <item h="1" x="43"/>
        <item h="1" x="31"/>
        <item h="1" x="19"/>
        <item h="1" x="7"/>
        <item h="1" x="113"/>
        <item h="1" x="101"/>
        <item h="1" x="89"/>
        <item h="1" x="77"/>
        <item h="1" x="66"/>
        <item h="1" x="54"/>
        <item h="1" x="42"/>
        <item h="1" x="30"/>
        <item h="1" x="18"/>
        <item h="1" x="6"/>
        <item h="1" x="112"/>
        <item h="1" x="100"/>
        <item h="1" x="88"/>
        <item t="default"/>
      </items>
    </pivotField>
    <pivotField compact="0" outline="0" showAll="0"/>
    <pivotField axis="axisRow" compact="0" outline="0" showAll="0">
      <items count="11">
        <item x="1"/>
        <item x="2"/>
        <item x="3"/>
        <item x="0"/>
        <item x="5"/>
        <item x="6"/>
        <item x="7"/>
        <item x="9"/>
        <item x="8"/>
        <item x="4"/>
        <item t="default"/>
      </items>
    </pivotField>
    <pivotField axis="axisCol" compact="0" outline="0" showAll="0">
      <items count="4">
        <item x="1"/>
        <item x="0"/>
        <item x="2"/>
        <item t="default"/>
      </items>
    </pivotField>
    <pivotField dataField="1" compact="0" outline="0" showAll="0"/>
  </pivotFields>
  <rowFields count="1">
    <field x="4"/>
  </rowFields>
  <rowItems count="10">
    <i>
      <x/>
    </i>
    <i>
      <x v="1"/>
    </i>
    <i>
      <x v="2"/>
    </i>
    <i>
      <x v="3"/>
    </i>
    <i>
      <x v="4"/>
    </i>
    <i>
      <x v="5"/>
    </i>
    <i>
      <x v="6"/>
    </i>
    <i>
      <x v="7"/>
    </i>
    <i>
      <x v="8"/>
    </i>
    <i>
      <x v="9"/>
    </i>
  </rowItems>
  <colFields count="1">
    <field x="5"/>
  </colFields>
  <colItems count="3">
    <i>
      <x/>
    </i>
    <i>
      <x v="1"/>
    </i>
    <i>
      <x v="2"/>
    </i>
  </colItems>
  <pageFields count="1">
    <pageField fld="2" hier="-1"/>
  </pageFields>
  <dataFields count="1">
    <dataField name="Average of CPI" fld="6" subtotal="average" baseField="4" baseItem="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4439F8-A9EE-426F-AA74-9A95316A4D76}" name="MoMAnalysis_AllCategories"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Q3:AU16" firstHeaderRow="1" firstDataRow="4" firstDataCol="1"/>
  <pivotFields count="7">
    <pivotField axis="axisCol" compact="0" outline="0" showAll="0" defaultSubtotal="0">
      <items count="11">
        <item h="1" x="0"/>
        <item h="1" x="1"/>
        <item h="1" x="2"/>
        <item h="1" x="3"/>
        <item h="1" x="4"/>
        <item h="1" x="5"/>
        <item h="1" x="6"/>
        <item x="7"/>
        <item x="8"/>
        <item x="9"/>
        <item x="10"/>
      </items>
    </pivotField>
    <pivotField axis="axisCol" compact="0" outline="0" showAll="0" defaultSubtotal="0">
      <items count="12">
        <item x="4"/>
        <item x="3"/>
        <item x="7"/>
        <item x="0"/>
        <item x="8"/>
        <item x="6"/>
        <item x="5"/>
        <item x="1"/>
        <item x="11"/>
        <item x="10"/>
        <item x="9"/>
        <item x="2"/>
      </items>
    </pivotField>
    <pivotField axis="axisCol" compact="0" outline="0" multipleItemSelectionAllowed="1" showAll="0">
      <items count="125">
        <item h="1" x="0"/>
        <item h="1" x="12"/>
        <item h="1" x="24"/>
        <item h="1" x="36"/>
        <item h="1" x="48"/>
        <item h="1" x="60"/>
        <item h="1" x="83"/>
        <item x="107"/>
        <item x="119"/>
        <item h="1" x="1"/>
        <item h="1" x="13"/>
        <item h="1" x="25"/>
        <item h="1" x="37"/>
        <item h="1" x="49"/>
        <item h="1" x="61"/>
        <item h="1" x="72"/>
        <item h="1" x="84"/>
        <item x="108"/>
        <item h="1" x="2"/>
        <item h="1" x="14"/>
        <item h="1" x="26"/>
        <item h="1" x="38"/>
        <item h="1" x="50"/>
        <item h="1" x="62"/>
        <item h="1" x="73"/>
        <item x="85"/>
        <item x="97"/>
        <item x="109"/>
        <item h="1" x="3"/>
        <item h="1" x="15"/>
        <item h="1" x="27"/>
        <item h="1" x="39"/>
        <item h="1" x="51"/>
        <item h="1" x="63"/>
        <item h="1" x="74"/>
        <item h="1" x="86"/>
        <item x="110"/>
        <item x="120"/>
        <item h="1" x="4"/>
        <item h="1" x="16"/>
        <item h="1" x="28"/>
        <item h="1" x="40"/>
        <item h="1" x="52"/>
        <item h="1" x="64"/>
        <item h="1" x="75"/>
        <item h="1" x="87"/>
        <item x="99"/>
        <item x="111"/>
        <item x="121"/>
        <item h="1" x="5"/>
        <item h="1" x="17"/>
        <item h="1" x="29"/>
        <item h="1" x="41"/>
        <item h="1" x="53"/>
        <item h="1" x="65"/>
        <item h="1" x="76"/>
        <item h="1" x="88"/>
        <item x="98"/>
        <item x="102"/>
        <item x="112"/>
        <item h="1" x="6"/>
        <item h="1" x="18"/>
        <item h="1" x="30"/>
        <item h="1" x="42"/>
        <item h="1" x="54"/>
        <item h="1" x="66"/>
        <item h="1" x="77"/>
        <item h="1" x="89"/>
        <item x="95"/>
        <item x="103"/>
        <item x="101"/>
        <item x="113"/>
        <item h="1" x="7"/>
        <item h="1" x="19"/>
        <item h="1" x="31"/>
        <item h="1" x="43"/>
        <item h="1" x="55"/>
        <item h="1" x="67"/>
        <item h="1" x="78"/>
        <item h="1" x="90"/>
        <item x="114"/>
        <item x="122"/>
        <item h="1" x="8"/>
        <item h="1" x="20"/>
        <item h="1" x="32"/>
        <item h="1" x="44"/>
        <item h="1" x="56"/>
        <item h="1" x="68"/>
        <item h="1" x="79"/>
        <item h="1" x="91"/>
        <item x="100"/>
        <item x="115"/>
        <item x="123"/>
        <item h="1" x="9"/>
        <item h="1" x="21"/>
        <item h="1" x="33"/>
        <item h="1" x="45"/>
        <item h="1" x="57"/>
        <item h="1" x="69"/>
        <item h="1" x="80"/>
        <item h="1" x="92"/>
        <item x="96"/>
        <item x="106"/>
        <item x="105"/>
        <item x="104"/>
        <item x="116"/>
        <item h="1" x="10"/>
        <item h="1" x="22"/>
        <item h="1" x="34"/>
        <item h="1" x="46"/>
        <item h="1" x="58"/>
        <item h="1" x="70"/>
        <item h="1" x="81"/>
        <item h="1" x="93"/>
        <item x="117"/>
        <item h="1" x="11"/>
        <item h="1" x="23"/>
        <item h="1" x="35"/>
        <item h="1" x="47"/>
        <item h="1" x="59"/>
        <item h="1" x="71"/>
        <item h="1" x="82"/>
        <item h="1" x="94"/>
        <item x="118"/>
        <item t="default"/>
      </items>
    </pivotField>
    <pivotField compact="0" outline="0" showAll="0"/>
    <pivotField axis="axisRow" compact="0" outline="0" showAll="0">
      <items count="11">
        <item x="3"/>
        <item x="1"/>
        <item x="2"/>
        <item x="0"/>
        <item x="5"/>
        <item x="6"/>
        <item x="7"/>
        <item x="9"/>
        <item x="8"/>
        <item x="4"/>
        <item t="default"/>
      </items>
    </pivotField>
    <pivotField compact="0" outline="0" showAll="0">
      <items count="4">
        <item h="1" x="0"/>
        <item x="1"/>
        <item h="1" x="2"/>
        <item t="default"/>
      </items>
    </pivotField>
    <pivotField dataField="1" compact="0" outline="0" showAll="0"/>
  </pivotFields>
  <rowFields count="1">
    <field x="4"/>
  </rowFields>
  <rowItems count="10">
    <i>
      <x/>
    </i>
    <i>
      <x v="1"/>
    </i>
    <i>
      <x v="2"/>
    </i>
    <i>
      <x v="3"/>
    </i>
    <i>
      <x v="4"/>
    </i>
    <i>
      <x v="5"/>
    </i>
    <i>
      <x v="6"/>
    </i>
    <i>
      <x v="7"/>
    </i>
    <i>
      <x v="8"/>
    </i>
    <i>
      <x v="9"/>
    </i>
  </rowItems>
  <colFields count="3">
    <field x="0"/>
    <field x="1"/>
    <field x="2"/>
  </colFields>
  <colItems count="30">
    <i>
      <x v="7"/>
      <x v="11"/>
      <x v="25"/>
    </i>
    <i>
      <x v="8"/>
      <x/>
      <x v="46"/>
    </i>
    <i r="1">
      <x v="1"/>
      <x v="57"/>
    </i>
    <i r="1">
      <x v="2"/>
      <x v="58"/>
    </i>
    <i r="1">
      <x v="3"/>
      <x v="68"/>
    </i>
    <i r="1">
      <x v="4"/>
      <x v="69"/>
    </i>
    <i r="1">
      <x v="5"/>
      <x v="70"/>
    </i>
    <i r="1">
      <x v="6"/>
      <x v="90"/>
    </i>
    <i r="1">
      <x v="7"/>
      <x v="101"/>
    </i>
    <i r="1">
      <x v="8"/>
      <x v="102"/>
    </i>
    <i r="1">
      <x v="9"/>
      <x v="103"/>
    </i>
    <i r="1">
      <x v="10"/>
      <x v="104"/>
    </i>
    <i r="1">
      <x v="11"/>
      <x v="26"/>
    </i>
    <i>
      <x v="9"/>
      <x/>
      <x v="47"/>
    </i>
    <i r="1">
      <x v="1"/>
      <x v="36"/>
    </i>
    <i r="1">
      <x v="2"/>
      <x v="80"/>
    </i>
    <i r="1">
      <x v="3"/>
      <x v="7"/>
    </i>
    <i r="1">
      <x v="4"/>
      <x v="91"/>
    </i>
    <i r="1">
      <x v="5"/>
      <x v="71"/>
    </i>
    <i r="1">
      <x v="6"/>
      <x v="59"/>
    </i>
    <i r="1">
      <x v="7"/>
      <x v="17"/>
    </i>
    <i r="1">
      <x v="8"/>
      <x v="123"/>
    </i>
    <i r="1">
      <x v="9"/>
      <x v="114"/>
    </i>
    <i r="1">
      <x v="10"/>
      <x v="105"/>
    </i>
    <i r="1">
      <x v="11"/>
      <x v="27"/>
    </i>
    <i>
      <x v="10"/>
      <x/>
      <x v="48"/>
    </i>
    <i r="1">
      <x v="1"/>
      <x v="37"/>
    </i>
    <i r="1">
      <x v="2"/>
      <x v="81"/>
    </i>
    <i r="1">
      <x v="3"/>
      <x v="8"/>
    </i>
    <i r="1">
      <x v="4"/>
      <x v="92"/>
    </i>
  </colItems>
  <dataFields count="1">
    <dataField name="Average of CPI" fld="6" subtotal="average" baseField="4" baseItem="3"/>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35328B-710A-494F-941E-6146244F6871}" name="MoMAnalysis(FoodCategory)"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22:O38" firstHeaderRow="1" firstDataRow="3" firstDataCol="2"/>
  <pivotFields count="7">
    <pivotField axis="axisCol" compact="0" outline="0" showAll="0" defaultSubtotal="0">
      <items count="11">
        <item h="1" x="0"/>
        <item h="1" x="1"/>
        <item h="1" x="2"/>
        <item h="1" x="3"/>
        <item h="1" x="4"/>
        <item h="1" x="5"/>
        <item h="1" x="6"/>
        <item h="1" x="7"/>
        <item h="1" x="8"/>
        <item x="9"/>
        <item x="10"/>
      </items>
    </pivotField>
    <pivotField compact="0" outline="0" showAll="0"/>
    <pivotField axis="axisCol" compact="0" outline="0" showAll="0">
      <items count="125">
        <item x="115"/>
        <item x="113"/>
        <item h="1" x="101"/>
        <item h="1" x="89"/>
        <item h="1" x="77"/>
        <item h="1" x="66"/>
        <item h="1" x="54"/>
        <item h="1" x="42"/>
        <item h="1" x="30"/>
        <item h="1" x="18"/>
        <item h="1" x="6"/>
        <item x="112"/>
        <item h="1" x="100"/>
        <item h="1" x="88"/>
        <item h="1" x="76"/>
        <item h="1" x="65"/>
        <item h="1" x="53"/>
        <item h="1" x="41"/>
        <item h="1" x="29"/>
        <item h="1" x="17"/>
        <item h="1" x="5"/>
        <item x="121"/>
        <item h="1" x="111"/>
        <item h="1" x="99"/>
        <item h="1" x="87"/>
        <item h="1" x="75"/>
        <item h="1" x="64"/>
        <item h="1" x="52"/>
        <item h="1" x="40"/>
        <item h="1" x="28"/>
        <item h="1" x="16"/>
        <item h="1" x="4"/>
        <item x="120"/>
        <item h="1" x="110"/>
        <item h="1" x="98"/>
        <item h="1" x="86"/>
        <item h="1" x="74"/>
        <item h="1" x="63"/>
        <item h="1" x="51"/>
        <item h="1" x="39"/>
        <item h="1" x="27"/>
        <item h="1" x="15"/>
        <item h="1" x="3"/>
        <item h="1" x="97"/>
        <item h="1" x="85"/>
        <item h="1" x="73"/>
        <item h="1" x="62"/>
        <item h="1" x="50"/>
        <item h="1" x="38"/>
        <item h="1" x="26"/>
        <item h="1" x="14"/>
        <item h="1" x="2"/>
        <item x="108"/>
        <item h="1" x="96"/>
        <item h="1" x="84"/>
        <item h="1" x="72"/>
        <item h="1" x="61"/>
        <item h="1" x="49"/>
        <item h="1" x="37"/>
        <item h="1" x="25"/>
        <item h="1" x="13"/>
        <item h="1" x="1"/>
        <item x="122"/>
        <item x="119"/>
        <item h="1" x="107"/>
        <item h="1" x="95"/>
        <item h="1" x="83"/>
        <item h="1" x="60"/>
        <item h="1" x="48"/>
        <item h="1" x="36"/>
        <item h="1" x="24"/>
        <item h="1" x="12"/>
        <item h="1" x="0"/>
        <item x="118"/>
        <item h="1" x="106"/>
        <item h="1" x="94"/>
        <item h="1" x="82"/>
        <item h="1" x="71"/>
        <item h="1" x="59"/>
        <item h="1" x="47"/>
        <item h="1" x="35"/>
        <item h="1" x="23"/>
        <item h="1" x="11"/>
        <item x="117"/>
        <item h="1" x="105"/>
        <item h="1" x="93"/>
        <item h="1" x="81"/>
        <item h="1" x="70"/>
        <item h="1" x="58"/>
        <item h="1" x="46"/>
        <item h="1" x="34"/>
        <item h="1" x="22"/>
        <item h="1" x="10"/>
        <item x="116"/>
        <item h="1" x="104"/>
        <item h="1" x="92"/>
        <item h="1" x="80"/>
        <item h="1" x="69"/>
        <item h="1" x="57"/>
        <item h="1" x="45"/>
        <item h="1" x="33"/>
        <item h="1" x="21"/>
        <item h="1" x="9"/>
        <item x="123"/>
        <item h="1" x="103"/>
        <item h="1" x="91"/>
        <item h="1" x="79"/>
        <item h="1" x="68"/>
        <item h="1" x="56"/>
        <item h="1" x="44"/>
        <item h="1" x="32"/>
        <item h="1" x="20"/>
        <item h="1" x="8"/>
        <item h="1" x="114"/>
        <item h="1" x="102"/>
        <item h="1" x="90"/>
        <item h="1" x="78"/>
        <item h="1" x="67"/>
        <item h="1" x="55"/>
        <item h="1" x="43"/>
        <item h="1" x="31"/>
        <item h="1" x="19"/>
        <item h="1" x="7"/>
        <item x="109"/>
        <item t="default"/>
      </items>
    </pivotField>
    <pivotField axis="axisRow" compact="0" outline="0" showAll="0">
      <items count="28">
        <item x="0"/>
        <item x="1"/>
        <item x="3"/>
        <item x="5"/>
        <item x="4"/>
        <item x="8"/>
        <item x="10"/>
        <item x="9"/>
        <item x="13"/>
        <item x="15"/>
        <item x="17"/>
        <item x="19"/>
        <item x="21"/>
        <item x="2"/>
        <item x="6"/>
        <item x="23"/>
        <item x="18"/>
        <item x="7"/>
        <item x="22"/>
        <item x="24"/>
        <item x="20"/>
        <item x="12"/>
        <item x="26"/>
        <item x="16"/>
        <item x="14"/>
        <item x="25"/>
        <item x="11"/>
        <item t="default"/>
      </items>
    </pivotField>
    <pivotField axis="axisRow" compact="0" outline="0" showAll="0">
      <items count="11">
        <item h="1" x="1"/>
        <item h="1" x="2"/>
        <item h="1" x="3"/>
        <item x="0"/>
        <item h="1" x="5"/>
        <item h="1" x="6"/>
        <item h="1" x="7"/>
        <item h="1" x="9"/>
        <item h="1" x="8"/>
        <item h="1" x="4"/>
        <item t="default"/>
      </items>
    </pivotField>
    <pivotField compact="0" outline="0" showAll="0">
      <items count="4">
        <item h="1" x="0"/>
        <item x="1"/>
        <item h="1" x="2"/>
        <item t="default"/>
      </items>
    </pivotField>
    <pivotField dataField="1" compact="0" outline="0" showAll="0"/>
  </pivotFields>
  <rowFields count="2">
    <field x="4"/>
    <field x="3"/>
  </rowFields>
  <rowItems count="14">
    <i>
      <x v="3"/>
      <x/>
    </i>
    <i r="1">
      <x v="4"/>
    </i>
    <i r="1">
      <x v="5"/>
    </i>
    <i r="1">
      <x v="7"/>
    </i>
    <i r="1">
      <x v="13"/>
    </i>
    <i r="1">
      <x v="14"/>
    </i>
    <i r="1">
      <x v="16"/>
    </i>
    <i r="1">
      <x v="17"/>
    </i>
    <i r="1">
      <x v="20"/>
    </i>
    <i r="1">
      <x v="21"/>
    </i>
    <i r="1">
      <x v="23"/>
    </i>
    <i r="1">
      <x v="24"/>
    </i>
    <i r="1">
      <x v="26"/>
    </i>
    <i t="default">
      <x v="3"/>
    </i>
  </rowItems>
  <colFields count="2">
    <field x="0"/>
    <field x="2"/>
  </colFields>
  <colItems count="13">
    <i>
      <x v="9"/>
      <x/>
    </i>
    <i r="1">
      <x v="1"/>
    </i>
    <i r="1">
      <x v="11"/>
    </i>
    <i r="1">
      <x v="52"/>
    </i>
    <i r="1">
      <x v="73"/>
    </i>
    <i r="1">
      <x v="83"/>
    </i>
    <i r="1">
      <x v="93"/>
    </i>
    <i r="1">
      <x v="123"/>
    </i>
    <i>
      <x v="10"/>
      <x v="21"/>
    </i>
    <i r="1">
      <x v="32"/>
    </i>
    <i r="1">
      <x v="62"/>
    </i>
    <i r="1">
      <x v="63"/>
    </i>
    <i r="1">
      <x v="103"/>
    </i>
  </colItems>
  <dataFields count="1">
    <dataField name="Average of CPI" fld="6" subtotal="average" baseField="3" baseItem="16"/>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41F4F9-DE4C-4F65-B9AE-6BB41DCDE511}"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73:AD102" firstHeaderRow="1" firstDataRow="3" firstDataCol="1" rowPageCount="1" colPageCount="1"/>
  <pivotFields count="7">
    <pivotField axis="axisCol" compact="0" outline="0" showAll="0" defaultSubtotal="0">
      <items count="11">
        <item h="1" x="0"/>
        <item h="1" x="1"/>
        <item h="1" x="2"/>
        <item h="1" x="3"/>
        <item h="1" x="4"/>
        <item h="1" x="5"/>
        <item h="1" x="6"/>
        <item h="1" x="7"/>
        <item x="8"/>
        <item x="9"/>
        <item x="10"/>
      </items>
    </pivotField>
    <pivotField axis="axisCol" compact="0" outline="0" showAll="0" defaultSubtotal="0">
      <items count="12">
        <item x="4"/>
        <item x="3"/>
        <item x="7"/>
        <item x="0"/>
        <item x="8"/>
        <item x="6"/>
        <item x="5"/>
        <item x="1"/>
        <item x="11"/>
        <item x="10"/>
        <item x="9"/>
        <item x="2"/>
      </items>
    </pivotField>
    <pivotField compact="0" outline="0" showAll="0">
      <items count="125">
        <item h="1" x="118"/>
        <item h="1" x="106"/>
        <item x="94"/>
        <item h="1" x="82"/>
        <item h="1" x="71"/>
        <item h="1" x="59"/>
        <item h="1" x="47"/>
        <item h="1" x="35"/>
        <item h="1" x="23"/>
        <item h="1" x="11"/>
        <item h="1" x="117"/>
        <item h="1" x="105"/>
        <item x="93"/>
        <item h="1" x="81"/>
        <item h="1" x="70"/>
        <item h="1" x="58"/>
        <item h="1" x="46"/>
        <item h="1" x="34"/>
        <item h="1" x="22"/>
        <item h="1" x="10"/>
        <item h="1" x="116"/>
        <item h="1" x="104"/>
        <item x="92"/>
        <item h="1" x="80"/>
        <item h="1" x="69"/>
        <item h="1" x="57"/>
        <item h="1" x="45"/>
        <item h="1" x="33"/>
        <item h="1" x="21"/>
        <item h="1" x="9"/>
        <item h="1" x="123"/>
        <item h="1" x="115"/>
        <item h="1" x="103"/>
        <item h="1" x="76"/>
        <item h="1" x="65"/>
        <item h="1" x="53"/>
        <item h="1" x="41"/>
        <item h="1" x="29"/>
        <item h="1" x="17"/>
        <item h="1" x="5"/>
        <item h="1" x="121"/>
        <item h="1" x="111"/>
        <item h="1" x="99"/>
        <item x="87"/>
        <item h="1" x="75"/>
        <item h="1" x="64"/>
        <item h="1" x="52"/>
        <item h="1" x="40"/>
        <item h="1" x="28"/>
        <item h="1" x="16"/>
        <item h="1" x="4"/>
        <item h="1" x="120"/>
        <item h="1" x="110"/>
        <item h="1" x="98"/>
        <item x="86"/>
        <item h="1" x="74"/>
        <item h="1" x="63"/>
        <item h="1" x="51"/>
        <item h="1" x="39"/>
        <item h="1" x="27"/>
        <item h="1" x="15"/>
        <item h="1" x="3"/>
        <item h="1" x="109"/>
        <item h="1" x="97"/>
        <item x="90"/>
        <item x="85"/>
        <item h="1" x="73"/>
        <item h="1" x="62"/>
        <item h="1" x="50"/>
        <item h="1" x="38"/>
        <item h="1" x="26"/>
        <item h="1" x="14"/>
        <item h="1" x="2"/>
        <item h="1" x="108"/>
        <item h="1" x="96"/>
        <item h="1" x="72"/>
        <item h="1" x="61"/>
        <item h="1" x="49"/>
        <item h="1" x="37"/>
        <item h="1" x="25"/>
        <item h="1" x="13"/>
        <item h="1" x="1"/>
        <item h="1" x="119"/>
        <item h="1" x="107"/>
        <item h="1" x="95"/>
        <item x="83"/>
        <item h="1" x="60"/>
        <item h="1" x="48"/>
        <item h="1" x="36"/>
        <item h="1" x="24"/>
        <item h="1" x="12"/>
        <item h="1" x="0"/>
        <item x="91"/>
        <item h="1" x="79"/>
        <item h="1" x="68"/>
        <item h="1" x="56"/>
        <item h="1" x="44"/>
        <item h="1" x="32"/>
        <item h="1" x="20"/>
        <item h="1" x="8"/>
        <item h="1" x="122"/>
        <item h="1" x="114"/>
        <item h="1" x="102"/>
        <item h="1" x="78"/>
        <item h="1" x="67"/>
        <item h="1" x="55"/>
        <item h="1" x="43"/>
        <item h="1" x="31"/>
        <item h="1" x="19"/>
        <item h="1" x="7"/>
        <item h="1" x="113"/>
        <item h="1" x="101"/>
        <item x="89"/>
        <item h="1" x="77"/>
        <item h="1" x="66"/>
        <item h="1" x="54"/>
        <item h="1" x="42"/>
        <item h="1" x="30"/>
        <item h="1" x="18"/>
        <item h="1" x="6"/>
        <item h="1" x="112"/>
        <item h="1" x="100"/>
        <item x="88"/>
        <item x="84"/>
        <item t="default"/>
      </items>
    </pivotField>
    <pivotField axis="axisRow" compact="0" outline="0" showAll="0">
      <items count="28">
        <item x="0"/>
        <item x="1"/>
        <item x="3"/>
        <item x="5"/>
        <item x="4"/>
        <item x="8"/>
        <item x="10"/>
        <item x="9"/>
        <item x="15"/>
        <item x="17"/>
        <item x="19"/>
        <item x="21"/>
        <item x="2"/>
        <item x="6"/>
        <item x="23"/>
        <item x="18"/>
        <item x="7"/>
        <item x="22"/>
        <item x="24"/>
        <item x="20"/>
        <item x="12"/>
        <item x="26"/>
        <item x="16"/>
        <item x="14"/>
        <item x="11"/>
        <item x="25"/>
        <item x="13"/>
        <item t="default"/>
      </items>
    </pivotField>
    <pivotField compact="0" outline="0" showAll="0">
      <items count="11">
        <item x="1"/>
        <item x="2"/>
        <item x="3"/>
        <item x="0"/>
        <item x="5"/>
        <item x="6"/>
        <item x="7"/>
        <item x="9"/>
        <item x="8"/>
        <item x="4"/>
        <item t="default"/>
      </items>
    </pivotField>
    <pivotField axis="axisPage" compact="0" outline="0" multipleItemSelectionAllowed="1" showAll="0">
      <items count="4">
        <item h="1" x="0"/>
        <item x="1"/>
        <item h="1" x="2"/>
        <item t="default"/>
      </items>
    </pivotField>
    <pivotField dataField="1" compact="0" outline="0" showAll="0"/>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2">
    <field x="0"/>
    <field x="1"/>
  </colFields>
  <colItems count="29">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colItems>
  <pageFields count="1">
    <pageField fld="5" hier="-1"/>
  </pageFields>
  <dataFields count="1">
    <dataField name="Average of CPI" fld="6" subtotal="average" baseField="4"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4DF983-30F9-4409-B0B4-85E86D7E3954}" name="YoY_GeneralIndexTrend"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3">
  <location ref="A44:D56" firstHeaderRow="1" firstDataRow="2" firstDataCol="1" rowPageCount="1" colPageCount="1"/>
  <pivotFields count="7">
    <pivotField axis="axisRow" compact="0" outline="0" showAll="0" defaultSubtotal="0">
      <items count="11">
        <item x="0"/>
        <item x="1"/>
        <item x="2"/>
        <item x="3"/>
        <item x="4"/>
        <item x="5"/>
        <item x="6"/>
        <item x="7"/>
        <item x="8"/>
        <item x="9"/>
        <item x="10"/>
      </items>
    </pivotField>
    <pivotField compact="0" outline="0" showAll="0"/>
    <pivotField compact="0" outline="0" showAll="0">
      <items count="125">
        <item x="115"/>
        <item x="113"/>
        <item h="1" x="101"/>
        <item h="1" x="89"/>
        <item h="1" x="77"/>
        <item h="1" x="66"/>
        <item h="1" x="54"/>
        <item h="1" x="42"/>
        <item h="1" x="30"/>
        <item h="1" x="18"/>
        <item h="1" x="6"/>
        <item x="112"/>
        <item h="1" x="100"/>
        <item h="1" x="88"/>
        <item h="1" x="76"/>
        <item h="1" x="65"/>
        <item h="1" x="53"/>
        <item h="1" x="41"/>
        <item h="1" x="29"/>
        <item h="1" x="17"/>
        <item h="1" x="5"/>
        <item x="121"/>
        <item h="1" x="111"/>
        <item h="1" x="99"/>
        <item h="1" x="87"/>
        <item h="1" x="75"/>
        <item h="1" x="64"/>
        <item h="1" x="52"/>
        <item h="1" x="40"/>
        <item h="1" x="28"/>
        <item h="1" x="16"/>
        <item h="1" x="4"/>
        <item x="120"/>
        <item h="1" x="110"/>
        <item h="1" x="98"/>
        <item h="1" x="86"/>
        <item h="1" x="74"/>
        <item h="1" x="63"/>
        <item h="1" x="51"/>
        <item h="1" x="39"/>
        <item h="1" x="27"/>
        <item h="1" x="15"/>
        <item h="1" x="3"/>
        <item h="1" x="97"/>
        <item h="1" x="85"/>
        <item h="1" x="73"/>
        <item h="1" x="62"/>
        <item h="1" x="50"/>
        <item h="1" x="38"/>
        <item h="1" x="26"/>
        <item h="1" x="14"/>
        <item h="1" x="2"/>
        <item x="108"/>
        <item h="1" x="96"/>
        <item h="1" x="84"/>
        <item h="1" x="72"/>
        <item h="1" x="61"/>
        <item h="1" x="49"/>
        <item h="1" x="37"/>
        <item h="1" x="25"/>
        <item h="1" x="13"/>
        <item h="1" x="1"/>
        <item x="122"/>
        <item x="119"/>
        <item h="1" x="107"/>
        <item h="1" x="95"/>
        <item h="1" x="83"/>
        <item h="1" x="60"/>
        <item h="1" x="48"/>
        <item h="1" x="36"/>
        <item h="1" x="24"/>
        <item h="1" x="12"/>
        <item h="1" x="0"/>
        <item x="118"/>
        <item h="1" x="106"/>
        <item h="1" x="94"/>
        <item h="1" x="82"/>
        <item h="1" x="71"/>
        <item h="1" x="59"/>
        <item h="1" x="47"/>
        <item h="1" x="35"/>
        <item h="1" x="23"/>
        <item h="1" x="11"/>
        <item x="117"/>
        <item h="1" x="105"/>
        <item h="1" x="93"/>
        <item h="1" x="81"/>
        <item h="1" x="70"/>
        <item h="1" x="58"/>
        <item h="1" x="46"/>
        <item h="1" x="34"/>
        <item h="1" x="22"/>
        <item h="1" x="10"/>
        <item x="116"/>
        <item h="1" x="104"/>
        <item h="1" x="92"/>
        <item h="1" x="80"/>
        <item h="1" x="69"/>
        <item h="1" x="57"/>
        <item h="1" x="45"/>
        <item h="1" x="33"/>
        <item h="1" x="21"/>
        <item h="1" x="9"/>
        <item x="123"/>
        <item h="1" x="103"/>
        <item h="1" x="91"/>
        <item h="1" x="79"/>
        <item h="1" x="68"/>
        <item h="1" x="56"/>
        <item h="1" x="44"/>
        <item h="1" x="32"/>
        <item h="1" x="20"/>
        <item h="1" x="8"/>
        <item h="1" x="114"/>
        <item h="1" x="102"/>
        <item h="1" x="90"/>
        <item h="1" x="78"/>
        <item h="1" x="67"/>
        <item h="1" x="55"/>
        <item h="1" x="43"/>
        <item h="1" x="31"/>
        <item h="1" x="19"/>
        <item h="1" x="7"/>
        <item x="109"/>
        <item t="default"/>
      </items>
    </pivotField>
    <pivotField compact="0" outline="0" showAll="0">
      <items count="28">
        <item x="0"/>
        <item x="1"/>
        <item x="3"/>
        <item x="5"/>
        <item x="4"/>
        <item x="8"/>
        <item x="10"/>
        <item x="9"/>
        <item x="13"/>
        <item x="15"/>
        <item x="17"/>
        <item x="19"/>
        <item x="21"/>
        <item x="2"/>
        <item x="6"/>
        <item x="23"/>
        <item x="18"/>
        <item x="7"/>
        <item x="22"/>
        <item x="24"/>
        <item x="20"/>
        <item x="12"/>
        <item x="26"/>
        <item x="16"/>
        <item x="14"/>
        <item x="25"/>
        <item x="11"/>
        <item t="default"/>
      </items>
    </pivotField>
    <pivotField axis="axisPage" compact="0" outline="0" multipleItemSelectionAllowed="1" showAll="0">
      <items count="11">
        <item h="1" x="1"/>
        <item h="1" x="2"/>
        <item h="1" x="3"/>
        <item h="1" x="0"/>
        <item h="1" x="5"/>
        <item h="1" x="6"/>
        <item h="1" x="7"/>
        <item h="1" x="9"/>
        <item h="1" x="8"/>
        <item x="4"/>
        <item t="default"/>
      </items>
    </pivotField>
    <pivotField axis="axisCol" compact="0" outline="0" showAll="0">
      <items count="4">
        <item x="0"/>
        <item x="2"/>
        <item x="1"/>
        <item t="default"/>
      </items>
    </pivotField>
    <pivotField dataField="1" compact="0" outline="0" showAll="0"/>
  </pivotFields>
  <rowFields count="1">
    <field x="0"/>
  </rowFields>
  <rowItems count="11">
    <i>
      <x/>
    </i>
    <i>
      <x v="1"/>
    </i>
    <i>
      <x v="2"/>
    </i>
    <i>
      <x v="3"/>
    </i>
    <i>
      <x v="4"/>
    </i>
    <i>
      <x v="5"/>
    </i>
    <i>
      <x v="6"/>
    </i>
    <i>
      <x v="7"/>
    </i>
    <i>
      <x v="8"/>
    </i>
    <i>
      <x v="9"/>
    </i>
    <i>
      <x v="10"/>
    </i>
  </rowItems>
  <colFields count="1">
    <field x="5"/>
  </colFields>
  <colItems count="3">
    <i>
      <x/>
    </i>
    <i>
      <x v="1"/>
    </i>
    <i>
      <x v="2"/>
    </i>
  </colItems>
  <pageFields count="1">
    <pageField fld="4" hier="-1"/>
  </pageFields>
  <dataFields count="1">
    <dataField name="Average of CPI" fld="6" subtotal="average" baseField="3" baseItem="16"/>
  </dataFields>
  <formats count="1">
    <format dxfId="31">
      <pivotArea outline="0" collapsedLevelsAreSubtotals="1" fieldPosition="0"/>
    </format>
  </formats>
  <chartFormats count="3">
    <chartFormat chart="12" format="36" series="1">
      <pivotArea type="data" outline="0" fieldPosition="0">
        <references count="2">
          <reference field="4294967294" count="1" selected="0">
            <x v="0"/>
          </reference>
          <reference field="5" count="1" selected="0">
            <x v="0"/>
          </reference>
        </references>
      </pivotArea>
    </chartFormat>
    <chartFormat chart="12" format="37" series="1">
      <pivotArea type="data" outline="0" fieldPosition="0">
        <references count="2">
          <reference field="4294967294" count="1" selected="0">
            <x v="0"/>
          </reference>
          <reference field="5" count="1" selected="0">
            <x v="1"/>
          </reference>
        </references>
      </pivotArea>
    </chartFormat>
    <chartFormat chart="12" format="3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0C6701-7A70-4244-B2FA-467D40D46F98}" name="Year2021(Category-wise)"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F5:H15" firstHeaderRow="1" firstDataRow="2" firstDataCol="1" rowPageCount="1" colPageCount="1"/>
  <pivotFields count="7">
    <pivotField axis="axisCol" compact="0" outline="0" multipleItemSelectionAllowed="1" showAll="0" defaultSubtotal="0">
      <items count="11">
        <item h="1" x="0"/>
        <item h="1" x="1"/>
        <item h="1" x="2"/>
        <item h="1" x="3"/>
        <item h="1" x="4"/>
        <item h="1" x="5"/>
        <item h="1" x="6"/>
        <item x="7"/>
        <item x="8"/>
        <item h="1" x="9"/>
        <item h="1" x="10"/>
      </items>
    </pivotField>
    <pivotField compact="0" outline="0" showAll="0"/>
    <pivotField compact="0" outline="0" showAll="0" sortType="descending"/>
    <pivotField compact="0" outline="0" showAll="0"/>
    <pivotField axis="axisRow" compact="0" outline="0" showAll="0">
      <items count="11">
        <item x="1"/>
        <item x="2"/>
        <item x="3"/>
        <item x="0"/>
        <item h="1" x="4"/>
        <item x="5"/>
        <item x="6"/>
        <item x="7"/>
        <item x="9"/>
        <item x="8"/>
        <item t="default"/>
      </items>
    </pivotField>
    <pivotField axis="axisPage" compact="0" outline="0" showAll="0">
      <items count="4">
        <item x="0"/>
        <item x="1"/>
        <item x="2"/>
        <item t="default"/>
      </items>
    </pivotField>
    <pivotField dataField="1" compact="0" outline="0" showAll="0"/>
  </pivotFields>
  <rowFields count="1">
    <field x="4"/>
  </rowFields>
  <rowItems count="9">
    <i>
      <x/>
    </i>
    <i>
      <x v="1"/>
    </i>
    <i>
      <x v="2"/>
    </i>
    <i>
      <x v="3"/>
    </i>
    <i>
      <x v="5"/>
    </i>
    <i>
      <x v="6"/>
    </i>
    <i>
      <x v="7"/>
    </i>
    <i>
      <x v="8"/>
    </i>
    <i>
      <x v="9"/>
    </i>
  </rowItems>
  <colFields count="1">
    <field x="0"/>
  </colFields>
  <colItems count="2">
    <i>
      <x v="7"/>
    </i>
    <i>
      <x v="8"/>
    </i>
  </colItems>
  <pageFields count="1">
    <pageField fld="5" item="1" hier="-1"/>
  </pageFields>
  <dataFields count="1">
    <dataField name="Average of CPI" fld="6" subtotal="average" baseField="0" baseItem="5"/>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76F98BB-31B0-426A-BDC3-6D606D4EE848}" autoFormatId="16" applyNumberFormats="0" applyBorderFormats="0" applyFontFormats="0" applyPatternFormats="0" applyAlignmentFormats="0" applyWidthHeightFormats="0">
  <queryTableRefresh nextId="10">
    <queryTableFields count="8">
      <queryTableField id="1" name="Year" tableColumnId="1"/>
      <queryTableField id="2" name="Month" tableColumnId="2"/>
      <queryTableField id="3" name="Period" tableColumnId="3"/>
      <queryTableField id="4" name="Attribute" tableColumnId="4"/>
      <queryTableField id="5" name="Rural" tableColumnId="5"/>
      <queryTableField id="7" name="Rural+Urban" tableColumnId="7"/>
      <queryTableField id="6" name="Urban" tableColumnId="6"/>
      <queryTableField id="8" name="Category"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F463299-B847-4DF9-927F-FA76FCD83C10}" autoFormatId="16" applyNumberFormats="0" applyBorderFormats="0" applyFontFormats="0" applyPatternFormats="0" applyAlignmentFormats="0" applyWidthHeightFormats="0">
  <queryTableRefresh nextId="8">
    <queryTableFields count="7">
      <queryTableField id="1" name="Year" tableColumnId="1"/>
      <queryTableField id="2" name="Month" tableColumnId="2"/>
      <queryTableField id="3" name="Period" tableColumnId="3"/>
      <queryTableField id="4" name="Attribute" tableColumnId="4"/>
      <queryTableField id="5" name="Category" tableColumnId="5"/>
      <queryTableField id="6" name="Sector" tableColumnId="6"/>
      <queryTableField id="7" name="CPI"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DF5A2DF-58D2-4FF6-B6BA-92B414E6168B}" autoFormatId="16" applyNumberFormats="0" applyBorderFormats="0" applyFontFormats="0" applyPatternFormats="0" applyAlignmentFormats="0" applyWidthHeightFormats="0">
  <queryTableRefresh nextId="17">
    <queryTableFields count="3">
      <queryTableField id="1" name="Year" tableColumnId="1"/>
      <queryTableField id="15" name="Attribute" tableColumnId="15"/>
      <queryTableField id="16" name="Valu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50612AF-F2CF-41AE-988F-60DE4E676642}" sourceName="Sector">
  <pivotTables>
    <pivotTable tabId="8" name="MoMAnalysis_AllCategories"/>
    <pivotTable tabId="8" name="MoMAnalysis(FoodCategory)"/>
    <pivotTable tabId="8" name="MoMAnalysis(ImpactofCovid)"/>
    <pivotTable tabId="8" name="YoY_CovidImpact"/>
    <pivotTable tabId="8" name="PivotTable1"/>
  </pivotTables>
  <data>
    <tabular pivotCacheId="1210514406">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D0F2DAF-34FB-4A1E-808B-64E4540AA1A3}" cache="Slicer_Sector" caption="Secto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C959204E-FC5D-441F-8B60-80DCBBBE67E8}" cache="Slicer_Sector" caption="Sector" style="SlicerStyleDark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FE5C-C368-4309-8976-6C67E763FDDA}" name="Table1" displayName="Table1" ref="A1:AE373" totalsRowShown="0">
  <autoFilter ref="A1:AE373" xr:uid="{0067FE5C-C368-4309-8976-6C67E763FDDA}"/>
  <tableColumns count="31">
    <tableColumn id="1" xr3:uid="{4F59E725-E751-43C4-BBEE-F816904CDE94}" name="Sector"/>
    <tableColumn id="2" xr3:uid="{902DBA0E-8368-4070-A707-72327FA68520}" name="Year"/>
    <tableColumn id="3" xr3:uid="{1B9CBA39-2744-4440-B464-7B78873783A4}" name="Month"/>
    <tableColumn id="31" xr3:uid="{167779BD-E5E7-4E6B-9E68-A19ABA0BFE75}" name="Period" dataDxfId="45">
      <calculatedColumnFormula>_xlfn.CONCAT(LEFT(Table1[[#This Row],[Month]],3),"-",RIGHT(Table1[[#This Row],[Year]],2))</calculatedColumnFormula>
    </tableColumn>
    <tableColumn id="4" xr3:uid="{0F4FF62C-8F28-44E0-B640-2E099FBE62D2}" name="Cereals and products"/>
    <tableColumn id="5" xr3:uid="{E64A45E5-D70E-4605-AD48-0EC8E4FDDCE2}" name="Meat and fish"/>
    <tableColumn id="6" xr3:uid="{6863B222-A47C-4614-B9F6-05C43AA4E628}" name="Egg"/>
    <tableColumn id="7" xr3:uid="{8FC9FDAA-5768-4230-A425-AB8C0EAE6F09}" name="Milk and products"/>
    <tableColumn id="8" xr3:uid="{22B7FFDC-1713-4E8E-8E24-2A091B3134FF}" name="Oils and fats"/>
    <tableColumn id="9" xr3:uid="{BAE8A7E5-FADB-481D-B13D-3B36A3F501B2}" name="Fruits"/>
    <tableColumn id="10" xr3:uid="{A489CF54-A7F2-4D5E-A7DD-FF252D91B686}" name="Vegetables"/>
    <tableColumn id="11" xr3:uid="{93961155-6DA5-4499-B926-DC265E1C69C6}" name="Pulses and products"/>
    <tableColumn id="12" xr3:uid="{094A78A2-4AF6-45CF-B09A-E9538064D9A5}" name="Sugar and Confectionery"/>
    <tableColumn id="13" xr3:uid="{2BB6B1C9-C996-4ADD-8B44-16AC8AFE221C}" name="Spices"/>
    <tableColumn id="14" xr3:uid="{D334138D-564D-48BC-852D-FE1BF758F573}" name="Non-alcoholic beverages"/>
    <tableColumn id="15" xr3:uid="{DBFB8FA4-7BBF-4845-9109-E8F5D0D53F93}" name="Prepared meals, snacks, sweets etc."/>
    <tableColumn id="16" xr3:uid="{BBCA150D-4AFC-4D70-8B15-CE68C0BB8E5D}" name="Food and beverages"/>
    <tableColumn id="17" xr3:uid="{B3F34379-6074-4D7E-A24E-734FB3538B8C}" name="Pan, tobacco and intoxicants"/>
    <tableColumn id="18" xr3:uid="{4CE69034-7CB7-4E79-8EB8-FCD1037BFF56}" name="Clothing"/>
    <tableColumn id="19" xr3:uid="{989183BC-FCEB-4428-9EA8-1E56D0B08BB1}" name="Footwear"/>
    <tableColumn id="20" xr3:uid="{8A251BFA-20AF-4B86-9281-A0AD8B203806}" name="Clothing and footwear"/>
    <tableColumn id="21" xr3:uid="{2F70AECC-B1ED-409E-A03F-160D63C8D7E0}" name="Housing"/>
    <tableColumn id="22" xr3:uid="{CEF96EDF-769F-42F2-B282-FBECF744F79A}" name="Fuel and light"/>
    <tableColumn id="23" xr3:uid="{BC30C052-1960-418B-AE2B-4D49E957A838}" name="Household goods and services"/>
    <tableColumn id="24" xr3:uid="{539BC826-1A91-46D6-B081-66CF3E9E8BFB}" name="Health"/>
    <tableColumn id="25" xr3:uid="{9C9853C1-1BFB-43C5-A741-0F5AB9BF6553}" name="Transport and communication"/>
    <tableColumn id="26" xr3:uid="{0249EE76-2FE4-4B15-A85F-28282C847B6E}" name="Recreation and amusement"/>
    <tableColumn id="27" xr3:uid="{15578623-E63B-401A-9223-18C2EBDA32CA}" name="Education"/>
    <tableColumn id="28" xr3:uid="{671CA9DA-8A74-4A02-BD9F-27CB09748CEC}" name="Personal care and effects"/>
    <tableColumn id="29" xr3:uid="{D793D060-35C0-4CC5-8915-A4526FFCBEE0}" name="Miscellaneous"/>
    <tableColumn id="30" xr3:uid="{640DE103-54EC-4BC7-AD1C-CA61D8C77E5A}" name="General index"/>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3372EC-9629-4F91-9397-7AA12FE6A9C0}" name="CPI_Inflation_Data_Structured" displayName="CPI_Inflation_Data_Structured" ref="A1:H3349" tableType="queryTable" totalsRowShown="0">
  <autoFilter ref="A1:H3349" xr:uid="{1B3372EC-9629-4F91-9397-7AA12FE6A9C0}"/>
  <tableColumns count="8">
    <tableColumn id="1" xr3:uid="{B8CAC905-FB43-4E30-BDDF-6C88814ABA8C}" uniqueName="1" name="Year" queryTableFieldId="1"/>
    <tableColumn id="2" xr3:uid="{8032C08D-9679-49D8-953A-885826F0D1F5}" uniqueName="2" name="Month" queryTableFieldId="2"/>
    <tableColumn id="3" xr3:uid="{227B9E7A-9C80-48D3-9CF7-26779A4F722B}" uniqueName="3" name="Period" queryTableFieldId="3"/>
    <tableColumn id="4" xr3:uid="{8F8375D5-5CAB-40C2-B8FD-4DCF12BB8F82}" uniqueName="4" name="Attribute" queryTableFieldId="4" dataDxfId="44"/>
    <tableColumn id="5" xr3:uid="{B909D77F-A8D2-4EFE-977B-54102486D1FF}" uniqueName="5" name="Rural" queryTableFieldId="5"/>
    <tableColumn id="7" xr3:uid="{B431CD3E-A94D-4B37-A078-567496FC7687}" uniqueName="7" name="Rural+Urban" queryTableFieldId="7"/>
    <tableColumn id="6" xr3:uid="{5D25192F-B44A-4094-ADEF-5D949AC0F31D}" uniqueName="6" name="Urban" queryTableFieldId="6"/>
    <tableColumn id="8" xr3:uid="{9618F394-9576-4ECC-A0C1-F5CA142DD8E5}" uniqueName="8" name="Category" queryTableFieldId="8" dataDxfId="4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9C7E26-D33A-47A5-ACCD-8ECE965A1B89}" name="CPIDataImputed" displayName="CPIDataImputed" ref="A1:H3349" totalsRowShown="0">
  <autoFilter ref="A1:H3349" xr:uid="{849C7E26-D33A-47A5-ACCD-8ECE965A1B89}"/>
  <tableColumns count="8">
    <tableColumn id="1" xr3:uid="{E8344DF4-CD4C-4F15-BFDE-E83F3190BC55}" name="Year"/>
    <tableColumn id="2" xr3:uid="{3859D13B-2034-42B0-87F6-D95798F33D14}" name="Month"/>
    <tableColumn id="3" xr3:uid="{93FB6B32-F773-4669-88EF-9E433F196F52}" name="Period"/>
    <tableColumn id="4" xr3:uid="{89B24072-7EAB-47CF-96BB-67CDDAA6B7C6}" name="Attribute" dataDxfId="42"/>
    <tableColumn id="5" xr3:uid="{1D596890-66DA-4459-91AE-38D3F1B7268A}" name="Rural" dataDxfId="41"/>
    <tableColumn id="7" xr3:uid="{AFE9AE88-3985-426C-91CA-963FE591CC3B}" name="Rural+Urban" dataDxfId="40"/>
    <tableColumn id="6" xr3:uid="{F9BED405-F000-40AB-A22E-D3AF4A9AC5F2}" name="Urban" dataDxfId="39"/>
    <tableColumn id="8" xr3:uid="{2D1F03BC-8700-4AB8-A344-3D46AE3AF43A}" name="Category" dataDxfId="38"/>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54BD9B-4677-437D-A6A6-D4BEA69783A0}" name="CPIDataImputed_Structured1" displayName="CPIDataImputed_Structured1" ref="K1:Q10045" tableType="queryTable" totalsRowShown="0">
  <autoFilter ref="K1:Q10045" xr:uid="{9C54BD9B-4677-437D-A6A6-D4BEA69783A0}"/>
  <tableColumns count="7">
    <tableColumn id="1" xr3:uid="{8411964F-E188-4787-9917-436DACC1724E}" uniqueName="1" name="Year" queryTableFieldId="1"/>
    <tableColumn id="2" xr3:uid="{F18C59F1-223F-4E92-8205-063CEC80F1E9}" uniqueName="2" name="Month" queryTableFieldId="2"/>
    <tableColumn id="3" xr3:uid="{9515F201-51D1-4A2C-8513-BE8064809DD6}" uniqueName="3" name="Period" queryTableFieldId="3"/>
    <tableColumn id="4" xr3:uid="{052AEC17-C4E6-4479-9F40-7CDAE29219DF}" uniqueName="4" name="Attribute" queryTableFieldId="4"/>
    <tableColumn id="5" xr3:uid="{2B447A5A-1A2A-42E6-995B-B8C1255F6A23}" uniqueName="5" name="Category" queryTableFieldId="5"/>
    <tableColumn id="6" xr3:uid="{4365F1C8-930C-448D-BD49-DB84053F413E}" uniqueName="6" name="Sector" queryTableFieldId="6" dataDxfId="37"/>
    <tableColumn id="7" xr3:uid="{213EBC3E-292D-43DD-99C0-7AEBA42DB301}" uniqueName="7" name="CPI"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9295AD-F17E-4F84-B903-D8CDD6D57E04}" name="CrudeOil_prices" displayName="CrudeOil_prices" ref="A1:C30" tableType="queryTable" totalsRowShown="0">
  <autoFilter ref="A1:C30" xr:uid="{C89295AD-F17E-4F84-B903-D8CDD6D57E04}"/>
  <tableColumns count="3">
    <tableColumn id="1" xr3:uid="{69AF7D4B-2852-40B2-A591-DC62AB765963}" uniqueName="1" name="Year" queryTableFieldId="1" dataDxfId="34"/>
    <tableColumn id="15" xr3:uid="{5916DFDA-7A45-42E5-B713-2C74B5F87916}" uniqueName="15" name="Attribute" queryTableFieldId="15" dataDxfId="33"/>
    <tableColumn id="16" xr3:uid="{CB2AFD51-0EDA-43C0-93D6-FB87BD66319F}" uniqueName="16" name="Value"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89180-2D30-4AF5-98F1-86861A6C0D6C}" name="Table2" displayName="Table2" ref="I1:J28" totalsRowShown="0" headerRowDxfId="5" headerRowBorderDxfId="4" tableBorderDxfId="3" totalsRowBorderDxfId="2">
  <autoFilter ref="I1:J28" xr:uid="{FB489180-2D30-4AF5-98F1-86861A6C0D6C}"/>
  <tableColumns count="2">
    <tableColumn id="1" xr3:uid="{24D66510-4397-43FD-B7A7-FB02B256A376}" name="Component" dataDxfId="1"/>
    <tableColumn id="2" xr3:uid="{7A1AA944-C649-4049-80B1-91440F9F1A01}"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rinterSettings" Target="../printerSettings/printerSettings2.bin"/><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6433-5155-4B1D-9B78-1CA8EFCA3C20}">
  <dimension ref="A1:AE373"/>
  <sheetViews>
    <sheetView workbookViewId="0">
      <pane ySplit="1" topLeftCell="A25" activePane="bottomLeft" state="frozen"/>
      <selection activeCell="U1" sqref="U1"/>
      <selection pane="bottomLeft" activeCell="B59" sqref="B59"/>
    </sheetView>
  </sheetViews>
  <sheetFormatPr defaultRowHeight="14.4" x14ac:dyDescent="0.3"/>
  <cols>
    <col min="4" max="4" width="20.44140625" customWidth="1"/>
    <col min="5" max="5" width="14.44140625" customWidth="1"/>
    <col min="7" max="7" width="18.109375" customWidth="1"/>
    <col min="8" max="8" width="13.109375" customWidth="1"/>
    <col min="10" max="10" width="12.109375" customWidth="1"/>
    <col min="11" max="11" width="19.6640625" customWidth="1"/>
    <col min="12" max="12" width="23.6640625" customWidth="1"/>
    <col min="14" max="14" width="23.5546875" customWidth="1"/>
    <col min="15" max="15" width="32.6640625" customWidth="1"/>
    <col min="16" max="16" width="19.77734375" customWidth="1"/>
    <col min="17" max="17" width="27.109375" customWidth="1"/>
    <col min="18" max="18" width="9.88671875" customWidth="1"/>
    <col min="19" max="19" width="10.77734375" customWidth="1"/>
    <col min="20" max="20" width="21.6640625" customWidth="1"/>
    <col min="21" max="21" width="9.6640625" customWidth="1"/>
    <col min="22" max="22" width="14.109375" customWidth="1"/>
    <col min="23" max="23" width="28.109375" customWidth="1"/>
    <col min="25" max="25" width="28.33203125" customWidth="1"/>
    <col min="26" max="26" width="26" customWidth="1"/>
    <col min="27" max="27" width="11.33203125" customWidth="1"/>
    <col min="28" max="28" width="23.88671875" customWidth="1"/>
    <col min="29" max="29" width="14.77734375" customWidth="1"/>
    <col min="30" max="30" width="14.33203125" customWidth="1"/>
  </cols>
  <sheetData>
    <row r="1" spans="1:31" x14ac:dyDescent="0.3">
      <c r="A1" t="s">
        <v>0</v>
      </c>
      <c r="B1" t="s">
        <v>1</v>
      </c>
      <c r="C1" t="s">
        <v>2</v>
      </c>
      <c r="D1" t="s">
        <v>47</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t="s">
        <v>30</v>
      </c>
      <c r="B2">
        <v>2013</v>
      </c>
      <c r="C2" t="s">
        <v>31</v>
      </c>
      <c r="D2" t="str">
        <f>_xlfn.CONCAT(LEFT(Table1[[#This Row],[Month]],3),"-",RIGHT(Table1[[#This Row],[Year]],2))</f>
        <v>Jan-13</v>
      </c>
      <c r="E2">
        <v>107.5</v>
      </c>
      <c r="F2">
        <v>106.3</v>
      </c>
      <c r="G2">
        <v>108.1</v>
      </c>
      <c r="H2">
        <v>104.9</v>
      </c>
      <c r="I2">
        <v>106.1</v>
      </c>
      <c r="J2">
        <v>103.9</v>
      </c>
      <c r="K2">
        <v>101.9</v>
      </c>
      <c r="L2">
        <v>106.1</v>
      </c>
      <c r="M2">
        <v>106.8</v>
      </c>
      <c r="N2">
        <v>103.1</v>
      </c>
      <c r="O2">
        <v>104.8</v>
      </c>
      <c r="P2">
        <v>106.7</v>
      </c>
      <c r="Q2">
        <v>105.5</v>
      </c>
      <c r="R2">
        <v>105.1</v>
      </c>
      <c r="S2">
        <v>106.5</v>
      </c>
      <c r="T2">
        <v>105.8</v>
      </c>
      <c r="U2">
        <v>106.4</v>
      </c>
      <c r="V2" t="s">
        <v>32</v>
      </c>
      <c r="W2">
        <v>105.5</v>
      </c>
      <c r="X2">
        <v>104.8</v>
      </c>
      <c r="Y2">
        <v>104</v>
      </c>
      <c r="Z2">
        <v>103.3</v>
      </c>
      <c r="AA2">
        <v>103.4</v>
      </c>
      <c r="AB2">
        <v>103.8</v>
      </c>
      <c r="AC2">
        <v>104.7</v>
      </c>
      <c r="AD2">
        <v>104</v>
      </c>
      <c r="AE2">
        <v>105.1</v>
      </c>
    </row>
    <row r="3" spans="1:31" x14ac:dyDescent="0.3">
      <c r="A3" t="s">
        <v>33</v>
      </c>
      <c r="B3">
        <v>2013</v>
      </c>
      <c r="C3" t="s">
        <v>31</v>
      </c>
      <c r="D3" t="str">
        <f>_xlfn.CONCAT(LEFT(Table1[[#This Row],[Month]],3),"-",RIGHT(Table1[[#This Row],[Year]],2))</f>
        <v>Jan-13</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row>
    <row r="4" spans="1:31" x14ac:dyDescent="0.3">
      <c r="A4" t="s">
        <v>34</v>
      </c>
      <c r="B4">
        <v>2013</v>
      </c>
      <c r="C4" t="s">
        <v>31</v>
      </c>
      <c r="D4" t="str">
        <f>_xlfn.CONCAT(LEFT(Table1[[#This Row],[Month]],3),"-",RIGHT(Table1[[#This Row],[Year]],2))</f>
        <v>Jan-13</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row>
    <row r="5" spans="1:31" x14ac:dyDescent="0.3">
      <c r="A5" t="s">
        <v>30</v>
      </c>
      <c r="B5">
        <v>2013</v>
      </c>
      <c r="C5" t="s">
        <v>35</v>
      </c>
      <c r="D5" t="str">
        <f>_xlfn.CONCAT(LEFT(Table1[[#This Row],[Month]],3),"-",RIGHT(Table1[[#This Row],[Year]],2))</f>
        <v>Feb-13</v>
      </c>
      <c r="E5">
        <v>109.2</v>
      </c>
      <c r="F5">
        <v>108.7</v>
      </c>
      <c r="G5">
        <v>110.2</v>
      </c>
      <c r="H5">
        <v>105.4</v>
      </c>
      <c r="I5">
        <v>106.7</v>
      </c>
      <c r="J5">
        <v>104</v>
      </c>
      <c r="K5">
        <v>102.4</v>
      </c>
      <c r="L5">
        <v>105.9</v>
      </c>
      <c r="M5">
        <v>105.7</v>
      </c>
      <c r="N5">
        <v>103.1</v>
      </c>
      <c r="O5">
        <v>105.1</v>
      </c>
      <c r="P5">
        <v>107.7</v>
      </c>
      <c r="Q5">
        <v>106.3</v>
      </c>
      <c r="R5">
        <v>105.6</v>
      </c>
      <c r="S5">
        <v>107.1</v>
      </c>
      <c r="T5">
        <v>106.3</v>
      </c>
      <c r="U5">
        <v>107</v>
      </c>
      <c r="V5" t="s">
        <v>32</v>
      </c>
      <c r="W5">
        <v>106.2</v>
      </c>
      <c r="X5">
        <v>105.2</v>
      </c>
      <c r="Y5">
        <v>104.4</v>
      </c>
      <c r="Z5">
        <v>103.9</v>
      </c>
      <c r="AA5">
        <v>104</v>
      </c>
      <c r="AB5">
        <v>104.1</v>
      </c>
      <c r="AC5">
        <v>104.6</v>
      </c>
      <c r="AD5">
        <v>104.4</v>
      </c>
      <c r="AE5">
        <v>105.8</v>
      </c>
    </row>
    <row r="6" spans="1:31" x14ac:dyDescent="0.3">
      <c r="A6" t="s">
        <v>33</v>
      </c>
      <c r="B6">
        <v>2013</v>
      </c>
      <c r="C6" t="s">
        <v>35</v>
      </c>
      <c r="D6" t="str">
        <f>_xlfn.CONCAT(LEFT(Table1[[#This Row],[Month]],3),"-",RIGHT(Table1[[#This Row],[Year]],2))</f>
        <v>Feb-13</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row>
    <row r="7" spans="1:31" x14ac:dyDescent="0.3">
      <c r="A7" t="s">
        <v>34</v>
      </c>
      <c r="B7">
        <v>2013</v>
      </c>
      <c r="C7" t="s">
        <v>35</v>
      </c>
      <c r="D7" t="str">
        <f>_xlfn.CONCAT(LEFT(Table1[[#This Row],[Month]],3),"-",RIGHT(Table1[[#This Row],[Year]],2))</f>
        <v>Feb-13</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row>
    <row r="8" spans="1:31" x14ac:dyDescent="0.3">
      <c r="A8" t="s">
        <v>30</v>
      </c>
      <c r="B8">
        <v>2013</v>
      </c>
      <c r="C8" t="s">
        <v>36</v>
      </c>
      <c r="D8" t="str">
        <f>_xlfn.CONCAT(LEFT(Table1[[#This Row],[Month]],3),"-",RIGHT(Table1[[#This Row],[Year]],2))</f>
        <v>Mar-13</v>
      </c>
      <c r="E8">
        <v>110.2</v>
      </c>
      <c r="F8">
        <v>108.8</v>
      </c>
      <c r="G8">
        <v>109.9</v>
      </c>
      <c r="H8">
        <v>105.6</v>
      </c>
      <c r="I8">
        <v>106.2</v>
      </c>
      <c r="J8">
        <v>105.7</v>
      </c>
      <c r="K8">
        <v>101.4</v>
      </c>
      <c r="L8">
        <v>105.7</v>
      </c>
      <c r="M8">
        <v>105</v>
      </c>
      <c r="N8">
        <v>103.3</v>
      </c>
      <c r="O8">
        <v>105.6</v>
      </c>
      <c r="P8">
        <v>108.2</v>
      </c>
      <c r="Q8">
        <v>106.6</v>
      </c>
      <c r="R8">
        <v>106.5</v>
      </c>
      <c r="S8">
        <v>107.6</v>
      </c>
      <c r="T8">
        <v>106.8</v>
      </c>
      <c r="U8">
        <v>107.5</v>
      </c>
      <c r="V8" t="s">
        <v>32</v>
      </c>
      <c r="W8">
        <v>106.1</v>
      </c>
      <c r="X8">
        <v>105.6</v>
      </c>
      <c r="Y8">
        <v>104.7</v>
      </c>
      <c r="Z8">
        <v>104.6</v>
      </c>
      <c r="AA8">
        <v>104</v>
      </c>
      <c r="AB8">
        <v>104.3</v>
      </c>
      <c r="AC8">
        <v>104.3</v>
      </c>
      <c r="AD8">
        <v>104.6</v>
      </c>
      <c r="AE8">
        <v>106</v>
      </c>
    </row>
    <row r="9" spans="1:31" x14ac:dyDescent="0.3">
      <c r="A9" t="s">
        <v>33</v>
      </c>
      <c r="B9">
        <v>2013</v>
      </c>
      <c r="C9" t="s">
        <v>36</v>
      </c>
      <c r="D9" t="str">
        <f>_xlfn.CONCAT(LEFT(Table1[[#This Row],[Month]],3),"-",RIGHT(Table1[[#This Row],[Year]],2))</f>
        <v>Mar-13</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row>
    <row r="10" spans="1:31" x14ac:dyDescent="0.3">
      <c r="A10" t="s">
        <v>34</v>
      </c>
      <c r="B10">
        <v>2013</v>
      </c>
      <c r="C10" t="s">
        <v>36</v>
      </c>
      <c r="D10" t="str">
        <f>_xlfn.CONCAT(LEFT(Table1[[#This Row],[Month]],3),"-",RIGHT(Table1[[#This Row],[Year]],2))</f>
        <v>Mar-13</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row>
    <row r="11" spans="1:31" x14ac:dyDescent="0.3">
      <c r="A11" t="s">
        <v>30</v>
      </c>
      <c r="B11">
        <v>2013</v>
      </c>
      <c r="C11" t="s">
        <v>37</v>
      </c>
      <c r="D11" t="str">
        <f>_xlfn.CONCAT(LEFT(Table1[[#This Row],[Month]],3),"-",RIGHT(Table1[[#This Row],[Year]],2))</f>
        <v>Apr-13</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t="s">
        <v>32</v>
      </c>
      <c r="W11">
        <v>106.5</v>
      </c>
      <c r="X11">
        <v>106.1</v>
      </c>
      <c r="Y11">
        <v>105.1</v>
      </c>
      <c r="Z11">
        <v>104.4</v>
      </c>
      <c r="AA11">
        <v>104.5</v>
      </c>
      <c r="AB11">
        <v>104.8</v>
      </c>
      <c r="AC11">
        <v>102.7</v>
      </c>
      <c r="AD11">
        <v>104.6</v>
      </c>
      <c r="AE11">
        <v>106.4</v>
      </c>
    </row>
    <row r="12" spans="1:31" x14ac:dyDescent="0.3">
      <c r="A12" t="s">
        <v>33</v>
      </c>
      <c r="B12">
        <v>2013</v>
      </c>
      <c r="C12" t="s">
        <v>37</v>
      </c>
      <c r="D12" t="str">
        <f>_xlfn.CONCAT(LEFT(Table1[[#This Row],[Month]],3),"-",RIGHT(Table1[[#This Row],[Year]],2))</f>
        <v>Apr-13</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row>
    <row r="13" spans="1:31" x14ac:dyDescent="0.3">
      <c r="A13" t="s">
        <v>34</v>
      </c>
      <c r="B13">
        <v>2013</v>
      </c>
      <c r="C13" t="s">
        <v>37</v>
      </c>
      <c r="D13" t="str">
        <f>_xlfn.CONCAT(LEFT(Table1[[#This Row],[Month]],3),"-",RIGHT(Table1[[#This Row],[Year]],2))</f>
        <v>Apr-13</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row>
    <row r="14" spans="1:31" x14ac:dyDescent="0.3">
      <c r="A14" t="s">
        <v>30</v>
      </c>
      <c r="B14">
        <v>2013</v>
      </c>
      <c r="C14" t="s">
        <v>38</v>
      </c>
      <c r="D14" t="str">
        <f>_xlfn.CONCAT(LEFT(Table1[[#This Row],[Month]],3),"-",RIGHT(Table1[[#This Row],[Year]],2))</f>
        <v>May-13</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t="s">
        <v>32</v>
      </c>
      <c r="W14">
        <v>107.5</v>
      </c>
      <c r="X14">
        <v>106.8</v>
      </c>
      <c r="Y14">
        <v>105.7</v>
      </c>
      <c r="Z14">
        <v>104.1</v>
      </c>
      <c r="AA14">
        <v>105</v>
      </c>
      <c r="AB14">
        <v>105.5</v>
      </c>
      <c r="AC14">
        <v>102.1</v>
      </c>
      <c r="AD14">
        <v>104.8</v>
      </c>
      <c r="AE14">
        <v>107.2</v>
      </c>
    </row>
    <row r="15" spans="1:31" x14ac:dyDescent="0.3">
      <c r="A15" t="s">
        <v>33</v>
      </c>
      <c r="B15">
        <v>2013</v>
      </c>
      <c r="C15" t="s">
        <v>38</v>
      </c>
      <c r="D15" t="str">
        <f>_xlfn.CONCAT(LEFT(Table1[[#This Row],[Month]],3),"-",RIGHT(Table1[[#This Row],[Year]],2))</f>
        <v>May-13</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row>
    <row r="16" spans="1:31" x14ac:dyDescent="0.3">
      <c r="A16" t="s">
        <v>34</v>
      </c>
      <c r="B16">
        <v>2013</v>
      </c>
      <c r="C16" t="s">
        <v>38</v>
      </c>
      <c r="D16" t="str">
        <f>_xlfn.CONCAT(LEFT(Table1[[#This Row],[Month]],3),"-",RIGHT(Table1[[#This Row],[Year]],2))</f>
        <v>May-13</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row>
    <row r="17" spans="1:31" x14ac:dyDescent="0.3">
      <c r="A17" t="s">
        <v>30</v>
      </c>
      <c r="B17">
        <v>2013</v>
      </c>
      <c r="C17" t="s">
        <v>39</v>
      </c>
      <c r="D17" t="str">
        <f>_xlfn.CONCAT(LEFT(Table1[[#This Row],[Month]],3),"-",RIGHT(Table1[[#This Row],[Year]],2))</f>
        <v>Jun-13</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t="s">
        <v>32</v>
      </c>
      <c r="W17">
        <v>108.5</v>
      </c>
      <c r="X17">
        <v>107.5</v>
      </c>
      <c r="Y17">
        <v>106.3</v>
      </c>
      <c r="Z17">
        <v>105</v>
      </c>
      <c r="AA17">
        <v>105.6</v>
      </c>
      <c r="AB17">
        <v>106.5</v>
      </c>
      <c r="AC17">
        <v>102.5</v>
      </c>
      <c r="AD17">
        <v>105.5</v>
      </c>
      <c r="AE17">
        <v>108.9</v>
      </c>
    </row>
    <row r="18" spans="1:31" x14ac:dyDescent="0.3">
      <c r="A18" t="s">
        <v>33</v>
      </c>
      <c r="B18">
        <v>2013</v>
      </c>
      <c r="C18" t="s">
        <v>39</v>
      </c>
      <c r="D18" t="str">
        <f>_xlfn.CONCAT(LEFT(Table1[[#This Row],[Month]],3),"-",RIGHT(Table1[[#This Row],[Year]],2))</f>
        <v>Jun-13</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row>
    <row r="19" spans="1:31" x14ac:dyDescent="0.3">
      <c r="A19" t="s">
        <v>34</v>
      </c>
      <c r="B19">
        <v>2013</v>
      </c>
      <c r="C19" t="s">
        <v>39</v>
      </c>
      <c r="D19" t="str">
        <f>_xlfn.CONCAT(LEFT(Table1[[#This Row],[Month]],3),"-",RIGHT(Table1[[#This Row],[Year]],2))</f>
        <v>Jun-13</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row>
    <row r="20" spans="1:31" x14ac:dyDescent="0.3">
      <c r="A20" t="s">
        <v>30</v>
      </c>
      <c r="B20">
        <v>2013</v>
      </c>
      <c r="C20" t="s">
        <v>40</v>
      </c>
      <c r="D20" t="str">
        <f>_xlfn.CONCAT(LEFT(Table1[[#This Row],[Month]],3),"-",RIGHT(Table1[[#This Row],[Year]],2))</f>
        <v>Jul-13</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t="s">
        <v>32</v>
      </c>
      <c r="W20">
        <v>109.5</v>
      </c>
      <c r="X20">
        <v>108.3</v>
      </c>
      <c r="Y20">
        <v>106.9</v>
      </c>
      <c r="Z20">
        <v>106.8</v>
      </c>
      <c r="AA20">
        <v>106.4</v>
      </c>
      <c r="AB20">
        <v>107.8</v>
      </c>
      <c r="AC20">
        <v>102.5</v>
      </c>
      <c r="AD20">
        <v>106.5</v>
      </c>
      <c r="AE20">
        <v>110.7</v>
      </c>
    </row>
    <row r="21" spans="1:31" x14ac:dyDescent="0.3">
      <c r="A21" t="s">
        <v>33</v>
      </c>
      <c r="B21">
        <v>2013</v>
      </c>
      <c r="C21" t="s">
        <v>40</v>
      </c>
      <c r="D21" t="str">
        <f>_xlfn.CONCAT(LEFT(Table1[[#This Row],[Month]],3),"-",RIGHT(Table1[[#This Row],[Year]],2))</f>
        <v>Jul-13</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row>
    <row r="22" spans="1:31" x14ac:dyDescent="0.3">
      <c r="A22" t="s">
        <v>34</v>
      </c>
      <c r="B22">
        <v>2013</v>
      </c>
      <c r="C22" t="s">
        <v>40</v>
      </c>
      <c r="D22" t="str">
        <f>_xlfn.CONCAT(LEFT(Table1[[#This Row],[Month]],3),"-",RIGHT(Table1[[#This Row],[Year]],2))</f>
        <v>Jul-13</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row>
    <row r="23" spans="1:31" x14ac:dyDescent="0.3">
      <c r="A23" t="s">
        <v>30</v>
      </c>
      <c r="B23">
        <v>2013</v>
      </c>
      <c r="C23" t="s">
        <v>41</v>
      </c>
      <c r="D23" t="str">
        <f>_xlfn.CONCAT(LEFT(Table1[[#This Row],[Month]],3),"-",RIGHT(Table1[[#This Row],[Year]],2))</f>
        <v>Aug-13</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t="s">
        <v>32</v>
      </c>
      <c r="W23">
        <v>109.9</v>
      </c>
      <c r="X23">
        <v>108.7</v>
      </c>
      <c r="Y23">
        <v>107.5</v>
      </c>
      <c r="Z23">
        <v>107.8</v>
      </c>
      <c r="AA23">
        <v>106.8</v>
      </c>
      <c r="AB23">
        <v>108.7</v>
      </c>
      <c r="AC23">
        <v>105</v>
      </c>
      <c r="AD23">
        <v>107.5</v>
      </c>
      <c r="AE23">
        <v>112.1</v>
      </c>
    </row>
    <row r="24" spans="1:31" x14ac:dyDescent="0.3">
      <c r="A24" t="s">
        <v>33</v>
      </c>
      <c r="B24">
        <v>2013</v>
      </c>
      <c r="C24" t="s">
        <v>41</v>
      </c>
      <c r="D24" t="str">
        <f>_xlfn.CONCAT(LEFT(Table1[[#This Row],[Month]],3),"-",RIGHT(Table1[[#This Row],[Year]],2))</f>
        <v>Aug-13</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row>
    <row r="25" spans="1:31" x14ac:dyDescent="0.3">
      <c r="A25" t="s">
        <v>34</v>
      </c>
      <c r="B25">
        <v>2013</v>
      </c>
      <c r="C25" t="s">
        <v>41</v>
      </c>
      <c r="D25" t="str">
        <f>_xlfn.CONCAT(LEFT(Table1[[#This Row],[Month]],3),"-",RIGHT(Table1[[#This Row],[Year]],2))</f>
        <v>Aug-13</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row>
    <row r="26" spans="1:31" x14ac:dyDescent="0.3">
      <c r="A26" t="s">
        <v>30</v>
      </c>
      <c r="B26">
        <v>2013</v>
      </c>
      <c r="C26" t="s">
        <v>42</v>
      </c>
      <c r="D26" t="str">
        <f>_xlfn.CONCAT(LEFT(Table1[[#This Row],[Month]],3),"-",RIGHT(Table1[[#This Row],[Year]],2))</f>
        <v>Sep-13</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t="s">
        <v>32</v>
      </c>
      <c r="W26">
        <v>111.1</v>
      </c>
      <c r="X26">
        <v>109.6</v>
      </c>
      <c r="Y26">
        <v>108.3</v>
      </c>
      <c r="Z26">
        <v>109.3</v>
      </c>
      <c r="AA26">
        <v>107.7</v>
      </c>
      <c r="AB26">
        <v>109.8</v>
      </c>
      <c r="AC26">
        <v>106.7</v>
      </c>
      <c r="AD26">
        <v>108.7</v>
      </c>
      <c r="AE26">
        <v>114.2</v>
      </c>
    </row>
    <row r="27" spans="1:31" x14ac:dyDescent="0.3">
      <c r="A27" t="s">
        <v>33</v>
      </c>
      <c r="B27">
        <v>2013</v>
      </c>
      <c r="C27" t="s">
        <v>42</v>
      </c>
      <c r="D27" t="str">
        <f>_xlfn.CONCAT(LEFT(Table1[[#This Row],[Month]],3),"-",RIGHT(Table1[[#This Row],[Year]],2))</f>
        <v>Sep-13</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row>
    <row r="28" spans="1:31" x14ac:dyDescent="0.3">
      <c r="A28" t="s">
        <v>34</v>
      </c>
      <c r="B28">
        <v>2013</v>
      </c>
      <c r="C28" t="s">
        <v>42</v>
      </c>
      <c r="D28" t="str">
        <f>_xlfn.CONCAT(LEFT(Table1[[#This Row],[Month]],3),"-",RIGHT(Table1[[#This Row],[Year]],2))</f>
        <v>Sep-13</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row>
    <row r="29" spans="1:31" x14ac:dyDescent="0.3">
      <c r="A29" t="s">
        <v>30</v>
      </c>
      <c r="B29">
        <v>2013</v>
      </c>
      <c r="C29" t="s">
        <v>43</v>
      </c>
      <c r="D29" t="str">
        <f>_xlfn.CONCAT(LEFT(Table1[[#This Row],[Month]],3),"-",RIGHT(Table1[[#This Row],[Year]],2))</f>
        <v>Oct-13</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t="s">
        <v>32</v>
      </c>
      <c r="W29">
        <v>111.6</v>
      </c>
      <c r="X29">
        <v>110.4</v>
      </c>
      <c r="Y29">
        <v>108.9</v>
      </c>
      <c r="Z29">
        <v>109.3</v>
      </c>
      <c r="AA29">
        <v>108.3</v>
      </c>
      <c r="AB29">
        <v>110.2</v>
      </c>
      <c r="AC29">
        <v>107.5</v>
      </c>
      <c r="AD29">
        <v>109.1</v>
      </c>
      <c r="AE29">
        <v>115.5</v>
      </c>
    </row>
    <row r="30" spans="1:31" x14ac:dyDescent="0.3">
      <c r="A30" t="s">
        <v>33</v>
      </c>
      <c r="B30">
        <v>2013</v>
      </c>
      <c r="C30" t="s">
        <v>43</v>
      </c>
      <c r="D30" t="str">
        <f>_xlfn.CONCAT(LEFT(Table1[[#This Row],[Month]],3),"-",RIGHT(Table1[[#This Row],[Year]],2))</f>
        <v>Oct-13</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row>
    <row r="31" spans="1:31" x14ac:dyDescent="0.3">
      <c r="A31" t="s">
        <v>34</v>
      </c>
      <c r="B31">
        <v>2013</v>
      </c>
      <c r="C31" t="s">
        <v>43</v>
      </c>
      <c r="D31" t="str">
        <f>_xlfn.CONCAT(LEFT(Table1[[#This Row],[Month]],3),"-",RIGHT(Table1[[#This Row],[Year]],2))</f>
        <v>Oct-13</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row>
    <row r="32" spans="1:31" x14ac:dyDescent="0.3">
      <c r="A32" t="s">
        <v>30</v>
      </c>
      <c r="B32">
        <v>2013</v>
      </c>
      <c r="C32" t="s">
        <v>44</v>
      </c>
      <c r="D32" t="str">
        <f>_xlfn.CONCAT(LEFT(Table1[[#This Row],[Month]],3),"-",RIGHT(Table1[[#This Row],[Year]],2))</f>
        <v>Nov-13</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t="s">
        <v>32</v>
      </c>
      <c r="W32">
        <v>112.6</v>
      </c>
      <c r="X32">
        <v>111.3</v>
      </c>
      <c r="Y32">
        <v>109.7</v>
      </c>
      <c r="Z32">
        <v>109.6</v>
      </c>
      <c r="AA32">
        <v>108.7</v>
      </c>
      <c r="AB32">
        <v>111</v>
      </c>
      <c r="AC32">
        <v>108.2</v>
      </c>
      <c r="AD32">
        <v>109.8</v>
      </c>
      <c r="AE32">
        <v>117.4</v>
      </c>
    </row>
    <row r="33" spans="1:31" x14ac:dyDescent="0.3">
      <c r="A33" t="s">
        <v>33</v>
      </c>
      <c r="B33">
        <v>2013</v>
      </c>
      <c r="C33" t="s">
        <v>44</v>
      </c>
      <c r="D33" t="str">
        <f>_xlfn.CONCAT(LEFT(Table1[[#This Row],[Month]],3),"-",RIGHT(Table1[[#This Row],[Year]],2))</f>
        <v>Nov-13</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row>
    <row r="34" spans="1:31" x14ac:dyDescent="0.3">
      <c r="A34" t="s">
        <v>34</v>
      </c>
      <c r="B34">
        <v>2013</v>
      </c>
      <c r="C34" t="s">
        <v>44</v>
      </c>
      <c r="D34" t="str">
        <f>_xlfn.CONCAT(LEFT(Table1[[#This Row],[Month]],3),"-",RIGHT(Table1[[#This Row],[Year]],2))</f>
        <v>Nov-13</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row>
    <row r="35" spans="1:31" x14ac:dyDescent="0.3">
      <c r="A35" t="s">
        <v>30</v>
      </c>
      <c r="B35">
        <v>2013</v>
      </c>
      <c r="C35" t="s">
        <v>45</v>
      </c>
      <c r="D35" t="str">
        <f>_xlfn.CONCAT(LEFT(Table1[[#This Row],[Month]],3),"-",RIGHT(Table1[[#This Row],[Year]],2))</f>
        <v>Dec-13</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t="s">
        <v>32</v>
      </c>
      <c r="W35">
        <v>112.8</v>
      </c>
      <c r="X35">
        <v>112.1</v>
      </c>
      <c r="Y35">
        <v>110.1</v>
      </c>
      <c r="Z35">
        <v>109.9</v>
      </c>
      <c r="AA35">
        <v>109.2</v>
      </c>
      <c r="AB35">
        <v>111.6</v>
      </c>
      <c r="AC35">
        <v>108.1</v>
      </c>
      <c r="AD35">
        <v>110.1</v>
      </c>
      <c r="AE35">
        <v>115.5</v>
      </c>
    </row>
    <row r="36" spans="1:31" x14ac:dyDescent="0.3">
      <c r="A36" t="s">
        <v>33</v>
      </c>
      <c r="B36">
        <v>2013</v>
      </c>
      <c r="C36" t="s">
        <v>45</v>
      </c>
      <c r="D36" t="str">
        <f>_xlfn.CONCAT(LEFT(Table1[[#This Row],[Month]],3),"-",RIGHT(Table1[[#This Row],[Year]],2))</f>
        <v>Dec-13</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row>
    <row r="37" spans="1:31" x14ac:dyDescent="0.3">
      <c r="A37" t="s">
        <v>34</v>
      </c>
      <c r="B37">
        <v>2013</v>
      </c>
      <c r="C37" t="s">
        <v>45</v>
      </c>
      <c r="D37" t="str">
        <f>_xlfn.CONCAT(LEFT(Table1[[#This Row],[Month]],3),"-",RIGHT(Table1[[#This Row],[Year]],2))</f>
        <v>Dec-13</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row>
    <row r="38" spans="1:31" x14ac:dyDescent="0.3">
      <c r="A38" t="s">
        <v>30</v>
      </c>
      <c r="B38">
        <v>2014</v>
      </c>
      <c r="C38" t="s">
        <v>31</v>
      </c>
      <c r="D38" t="str">
        <f>_xlfn.CONCAT(LEFT(Table1[[#This Row],[Month]],3),"-",RIGHT(Table1[[#This Row],[Year]],2))</f>
        <v>Jan-14</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t="s">
        <v>32</v>
      </c>
      <c r="W38">
        <v>113</v>
      </c>
      <c r="X38">
        <v>112.6</v>
      </c>
      <c r="Y38">
        <v>110.6</v>
      </c>
      <c r="Z38">
        <v>110.5</v>
      </c>
      <c r="AA38">
        <v>109.6</v>
      </c>
      <c r="AB38">
        <v>111.8</v>
      </c>
      <c r="AC38">
        <v>108.3</v>
      </c>
      <c r="AD38">
        <v>110.6</v>
      </c>
      <c r="AE38">
        <v>114.2</v>
      </c>
    </row>
    <row r="39" spans="1:31" x14ac:dyDescent="0.3">
      <c r="A39" t="s">
        <v>33</v>
      </c>
      <c r="B39">
        <v>2014</v>
      </c>
      <c r="C39" t="s">
        <v>31</v>
      </c>
      <c r="D39" t="str">
        <f>_xlfn.CONCAT(LEFT(Table1[[#This Row],[Month]],3),"-",RIGHT(Table1[[#This Row],[Year]],2))</f>
        <v>Jan-14</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row>
    <row r="40" spans="1:31" x14ac:dyDescent="0.3">
      <c r="A40" t="s">
        <v>34</v>
      </c>
      <c r="B40">
        <v>2014</v>
      </c>
      <c r="C40" t="s">
        <v>31</v>
      </c>
      <c r="D40" t="str">
        <f>_xlfn.CONCAT(LEFT(Table1[[#This Row],[Month]],3),"-",RIGHT(Table1[[#This Row],[Year]],2))</f>
        <v>Jan-14</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row>
    <row r="41" spans="1:31" x14ac:dyDescent="0.3">
      <c r="A41" t="s">
        <v>30</v>
      </c>
      <c r="B41">
        <v>2014</v>
      </c>
      <c r="C41" t="s">
        <v>35</v>
      </c>
      <c r="D41" t="str">
        <f>_xlfn.CONCAT(LEFT(Table1[[#This Row],[Month]],3),"-",RIGHT(Table1[[#This Row],[Year]],2))</f>
        <v>Feb-14</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t="s">
        <v>32</v>
      </c>
      <c r="W41">
        <v>113.2</v>
      </c>
      <c r="X41">
        <v>112.9</v>
      </c>
      <c r="Y41">
        <v>110.9</v>
      </c>
      <c r="Z41">
        <v>110.8</v>
      </c>
      <c r="AA41">
        <v>109.9</v>
      </c>
      <c r="AB41">
        <v>112</v>
      </c>
      <c r="AC41">
        <v>108.7</v>
      </c>
      <c r="AD41">
        <v>110.9</v>
      </c>
      <c r="AE41">
        <v>114</v>
      </c>
    </row>
    <row r="42" spans="1:31" x14ac:dyDescent="0.3">
      <c r="A42" t="s">
        <v>33</v>
      </c>
      <c r="B42">
        <v>2014</v>
      </c>
      <c r="C42" t="s">
        <v>35</v>
      </c>
      <c r="D42" t="str">
        <f>_xlfn.CONCAT(LEFT(Table1[[#This Row],[Month]],3),"-",RIGHT(Table1[[#This Row],[Year]],2))</f>
        <v>Feb-14</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row>
    <row r="43" spans="1:31" x14ac:dyDescent="0.3">
      <c r="A43" t="s">
        <v>34</v>
      </c>
      <c r="B43">
        <v>2014</v>
      </c>
      <c r="C43" t="s">
        <v>35</v>
      </c>
      <c r="D43" t="str">
        <f>_xlfn.CONCAT(LEFT(Table1[[#This Row],[Month]],3),"-",RIGHT(Table1[[#This Row],[Year]],2))</f>
        <v>Feb-14</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row>
    <row r="44" spans="1:31" x14ac:dyDescent="0.3">
      <c r="A44" t="s">
        <v>30</v>
      </c>
      <c r="B44">
        <v>2014</v>
      </c>
      <c r="C44" t="s">
        <v>36</v>
      </c>
      <c r="D44" t="str">
        <f>_xlfn.CONCAT(LEFT(Table1[[#This Row],[Month]],3),"-",RIGHT(Table1[[#This Row],[Year]],2))</f>
        <v>Mar-14</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t="s">
        <v>32</v>
      </c>
      <c r="W44">
        <v>113.4</v>
      </c>
      <c r="X44">
        <v>113.4</v>
      </c>
      <c r="Y44">
        <v>111.4</v>
      </c>
      <c r="Z44">
        <v>111.2</v>
      </c>
      <c r="AA44">
        <v>110.2</v>
      </c>
      <c r="AB44">
        <v>112.4</v>
      </c>
      <c r="AC44">
        <v>108.9</v>
      </c>
      <c r="AD44">
        <v>111.3</v>
      </c>
      <c r="AE44">
        <v>114.6</v>
      </c>
    </row>
    <row r="45" spans="1:31" x14ac:dyDescent="0.3">
      <c r="A45" t="s">
        <v>33</v>
      </c>
      <c r="B45">
        <v>2014</v>
      </c>
      <c r="C45" t="s">
        <v>36</v>
      </c>
      <c r="D45" t="str">
        <f>_xlfn.CONCAT(LEFT(Table1[[#This Row],[Month]],3),"-",RIGHT(Table1[[#This Row],[Year]],2))</f>
        <v>Mar-14</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row>
    <row r="46" spans="1:31" x14ac:dyDescent="0.3">
      <c r="A46" t="s">
        <v>34</v>
      </c>
      <c r="B46">
        <v>2014</v>
      </c>
      <c r="C46" t="s">
        <v>36</v>
      </c>
      <c r="D46" t="str">
        <f>_xlfn.CONCAT(LEFT(Table1[[#This Row],[Month]],3),"-",RIGHT(Table1[[#This Row],[Year]],2))</f>
        <v>Mar-14</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row>
    <row r="47" spans="1:31" x14ac:dyDescent="0.3">
      <c r="A47" t="s">
        <v>30</v>
      </c>
      <c r="B47">
        <v>2014</v>
      </c>
      <c r="C47" t="s">
        <v>37</v>
      </c>
      <c r="D47" t="str">
        <f>_xlfn.CONCAT(LEFT(Table1[[#This Row],[Month]],3),"-",RIGHT(Table1[[#This Row],[Year]],2))</f>
        <v>Apr-14</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t="s">
        <v>32</v>
      </c>
      <c r="W47">
        <v>113.4</v>
      </c>
      <c r="X47">
        <v>113.7</v>
      </c>
      <c r="Y47">
        <v>111.8</v>
      </c>
      <c r="Z47">
        <v>111.2</v>
      </c>
      <c r="AA47">
        <v>110.5</v>
      </c>
      <c r="AB47">
        <v>113</v>
      </c>
      <c r="AC47">
        <v>108.9</v>
      </c>
      <c r="AD47">
        <v>111.5</v>
      </c>
      <c r="AE47">
        <v>115.4</v>
      </c>
    </row>
    <row r="48" spans="1:31" x14ac:dyDescent="0.3">
      <c r="A48" t="s">
        <v>33</v>
      </c>
      <c r="B48">
        <v>2014</v>
      </c>
      <c r="C48" t="s">
        <v>37</v>
      </c>
      <c r="D48" t="str">
        <f>_xlfn.CONCAT(LEFT(Table1[[#This Row],[Month]],3),"-",RIGHT(Table1[[#This Row],[Year]],2))</f>
        <v>Apr-14</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row>
    <row r="49" spans="1:31" x14ac:dyDescent="0.3">
      <c r="A49" t="s">
        <v>34</v>
      </c>
      <c r="B49">
        <v>2014</v>
      </c>
      <c r="C49" t="s">
        <v>37</v>
      </c>
      <c r="D49" t="str">
        <f>_xlfn.CONCAT(LEFT(Table1[[#This Row],[Month]],3),"-",RIGHT(Table1[[#This Row],[Year]],2))</f>
        <v>Apr-14</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row>
    <row r="50" spans="1:31" x14ac:dyDescent="0.3">
      <c r="A50" t="s">
        <v>30</v>
      </c>
      <c r="B50">
        <v>2014</v>
      </c>
      <c r="C50" t="s">
        <v>38</v>
      </c>
      <c r="D50" t="str">
        <f>_xlfn.CONCAT(LEFT(Table1[[#This Row],[Month]],3),"-",RIGHT(Table1[[#This Row],[Year]],2))</f>
        <v>May-14</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t="s">
        <v>32</v>
      </c>
      <c r="W50">
        <v>113.4</v>
      </c>
      <c r="X50">
        <v>114.1</v>
      </c>
      <c r="Y50">
        <v>112.1</v>
      </c>
      <c r="Z50">
        <v>111.4</v>
      </c>
      <c r="AA50">
        <v>110.9</v>
      </c>
      <c r="AB50">
        <v>113.1</v>
      </c>
      <c r="AC50">
        <v>108.9</v>
      </c>
      <c r="AD50">
        <v>111.8</v>
      </c>
      <c r="AE50">
        <v>116</v>
      </c>
    </row>
    <row r="51" spans="1:31" x14ac:dyDescent="0.3">
      <c r="A51" t="s">
        <v>33</v>
      </c>
      <c r="B51">
        <v>2014</v>
      </c>
      <c r="C51" t="s">
        <v>38</v>
      </c>
      <c r="D51" t="str">
        <f>_xlfn.CONCAT(LEFT(Table1[[#This Row],[Month]],3),"-",RIGHT(Table1[[#This Row],[Year]],2))</f>
        <v>May-14</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row>
    <row r="52" spans="1:31" x14ac:dyDescent="0.3">
      <c r="A52" t="s">
        <v>34</v>
      </c>
      <c r="B52">
        <v>2014</v>
      </c>
      <c r="C52" t="s">
        <v>38</v>
      </c>
      <c r="D52" t="str">
        <f>_xlfn.CONCAT(LEFT(Table1[[#This Row],[Month]],3),"-",RIGHT(Table1[[#This Row],[Year]],2))</f>
        <v>May-14</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row>
    <row r="53" spans="1:31" x14ac:dyDescent="0.3">
      <c r="A53" t="s">
        <v>30</v>
      </c>
      <c r="B53">
        <v>2014</v>
      </c>
      <c r="C53" t="s">
        <v>39</v>
      </c>
      <c r="D53" t="str">
        <f>_xlfn.CONCAT(LEFT(Table1[[#This Row],[Month]],3),"-",RIGHT(Table1[[#This Row],[Year]],2))</f>
        <v>Jun-14</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t="s">
        <v>32</v>
      </c>
      <c r="W53">
        <v>114.4</v>
      </c>
      <c r="X53">
        <v>114.9</v>
      </c>
      <c r="Y53">
        <v>112.8</v>
      </c>
      <c r="Z53">
        <v>112.2</v>
      </c>
      <c r="AA53">
        <v>111.4</v>
      </c>
      <c r="AB53">
        <v>114.3</v>
      </c>
      <c r="AC53">
        <v>108</v>
      </c>
      <c r="AD53">
        <v>112.3</v>
      </c>
      <c r="AE53">
        <v>117</v>
      </c>
    </row>
    <row r="54" spans="1:31" x14ac:dyDescent="0.3">
      <c r="A54" t="s">
        <v>33</v>
      </c>
      <c r="B54">
        <v>2014</v>
      </c>
      <c r="C54" t="s">
        <v>39</v>
      </c>
      <c r="D54" t="str">
        <f>_xlfn.CONCAT(LEFT(Table1[[#This Row],[Month]],3),"-",RIGHT(Table1[[#This Row],[Year]],2))</f>
        <v>Jun-14</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row>
    <row r="55" spans="1:31" x14ac:dyDescent="0.3">
      <c r="A55" t="s">
        <v>34</v>
      </c>
      <c r="B55">
        <v>2014</v>
      </c>
      <c r="C55" t="s">
        <v>39</v>
      </c>
      <c r="D55" t="str">
        <f>_xlfn.CONCAT(LEFT(Table1[[#This Row],[Month]],3),"-",RIGHT(Table1[[#This Row],[Year]],2))</f>
        <v>Jun-14</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row>
    <row r="56" spans="1:31" x14ac:dyDescent="0.3">
      <c r="A56" t="s">
        <v>30</v>
      </c>
      <c r="B56">
        <v>2014</v>
      </c>
      <c r="C56" t="s">
        <v>40</v>
      </c>
      <c r="D56" t="str">
        <f>_xlfn.CONCAT(LEFT(Table1[[#This Row],[Month]],3),"-",RIGHT(Table1[[#This Row],[Year]],2))</f>
        <v>Jul-14</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t="s">
        <v>32</v>
      </c>
      <c r="W56">
        <v>115.3</v>
      </c>
      <c r="X56">
        <v>115.4</v>
      </c>
      <c r="Y56">
        <v>113.4</v>
      </c>
      <c r="Z56">
        <v>113.2</v>
      </c>
      <c r="AA56">
        <v>111.8</v>
      </c>
      <c r="AB56">
        <v>115.5</v>
      </c>
      <c r="AC56">
        <v>108.8</v>
      </c>
      <c r="AD56">
        <v>113.1</v>
      </c>
      <c r="AE56">
        <v>119.5</v>
      </c>
    </row>
    <row r="57" spans="1:31" x14ac:dyDescent="0.3">
      <c r="A57" t="s">
        <v>33</v>
      </c>
      <c r="B57">
        <v>2014</v>
      </c>
      <c r="C57" t="s">
        <v>40</v>
      </c>
      <c r="D57" t="str">
        <f>_xlfn.CONCAT(LEFT(Table1[[#This Row],[Month]],3),"-",RIGHT(Table1[[#This Row],[Year]],2))</f>
        <v>Jul-14</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row>
    <row r="58" spans="1:31" x14ac:dyDescent="0.3">
      <c r="A58" t="s">
        <v>34</v>
      </c>
      <c r="B58">
        <v>2014</v>
      </c>
      <c r="C58" t="s">
        <v>40</v>
      </c>
      <c r="D58" t="str">
        <f>_xlfn.CONCAT(LEFT(Table1[[#This Row],[Month]],3),"-",RIGHT(Table1[[#This Row],[Year]],2))</f>
        <v>Jul-14</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row>
    <row r="59" spans="1:31" x14ac:dyDescent="0.3">
      <c r="A59" t="s">
        <v>30</v>
      </c>
      <c r="B59">
        <v>2014</v>
      </c>
      <c r="C59" t="s">
        <v>41</v>
      </c>
      <c r="D59" t="str">
        <f>_xlfn.CONCAT(LEFT(Table1[[#This Row],[Month]],3),"-",RIGHT(Table1[[#This Row],[Year]],2))</f>
        <v>Aug-14</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t="s">
        <v>32</v>
      </c>
      <c r="W59">
        <v>115.4</v>
      </c>
      <c r="X59">
        <v>115.9</v>
      </c>
      <c r="Y59">
        <v>114</v>
      </c>
      <c r="Z59">
        <v>113.2</v>
      </c>
      <c r="AA59">
        <v>112.2</v>
      </c>
      <c r="AB59">
        <v>116.2</v>
      </c>
      <c r="AC59">
        <v>109.4</v>
      </c>
      <c r="AD59">
        <v>113.5</v>
      </c>
      <c r="AE59">
        <v>120.7</v>
      </c>
    </row>
    <row r="60" spans="1:31" x14ac:dyDescent="0.3">
      <c r="A60" t="s">
        <v>33</v>
      </c>
      <c r="B60">
        <v>2014</v>
      </c>
      <c r="C60" t="s">
        <v>41</v>
      </c>
      <c r="D60" t="str">
        <f>_xlfn.CONCAT(LEFT(Table1[[#This Row],[Month]],3),"-",RIGHT(Table1[[#This Row],[Year]],2))</f>
        <v>Aug-14</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row>
    <row r="61" spans="1:31" x14ac:dyDescent="0.3">
      <c r="A61" t="s">
        <v>34</v>
      </c>
      <c r="B61">
        <v>2014</v>
      </c>
      <c r="C61" t="s">
        <v>41</v>
      </c>
      <c r="D61" t="str">
        <f>_xlfn.CONCAT(LEFT(Table1[[#This Row],[Month]],3),"-",RIGHT(Table1[[#This Row],[Year]],2))</f>
        <v>Aug-14</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row>
    <row r="62" spans="1:31" x14ac:dyDescent="0.3">
      <c r="A62" t="s">
        <v>30</v>
      </c>
      <c r="B62">
        <v>2014</v>
      </c>
      <c r="C62" t="s">
        <v>42</v>
      </c>
      <c r="D62" t="str">
        <f>_xlfn.CONCAT(LEFT(Table1[[#This Row],[Month]],3),"-",RIGHT(Table1[[#This Row],[Year]],2))</f>
        <v>Sep-14</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t="s">
        <v>32</v>
      </c>
      <c r="W62">
        <v>115.8</v>
      </c>
      <c r="X62">
        <v>116.7</v>
      </c>
      <c r="Y62">
        <v>114.5</v>
      </c>
      <c r="Z62">
        <v>112.8</v>
      </c>
      <c r="AA62">
        <v>112.6</v>
      </c>
      <c r="AB62">
        <v>116.6</v>
      </c>
      <c r="AC62">
        <v>109.1</v>
      </c>
      <c r="AD62">
        <v>113.7</v>
      </c>
      <c r="AE62">
        <v>120.9</v>
      </c>
    </row>
    <row r="63" spans="1:31" x14ac:dyDescent="0.3">
      <c r="A63" t="s">
        <v>33</v>
      </c>
      <c r="B63">
        <v>2014</v>
      </c>
      <c r="C63" t="s">
        <v>42</v>
      </c>
      <c r="D63" t="str">
        <f>_xlfn.CONCAT(LEFT(Table1[[#This Row],[Month]],3),"-",RIGHT(Table1[[#This Row],[Year]],2))</f>
        <v>Sep-14</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row>
    <row r="64" spans="1:31" x14ac:dyDescent="0.3">
      <c r="A64" t="s">
        <v>34</v>
      </c>
      <c r="B64">
        <v>2014</v>
      </c>
      <c r="C64" t="s">
        <v>42</v>
      </c>
      <c r="D64" t="str">
        <f>_xlfn.CONCAT(LEFT(Table1[[#This Row],[Month]],3),"-",RIGHT(Table1[[#This Row],[Year]],2))</f>
        <v>Sep-14</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row>
    <row r="65" spans="1:31" x14ac:dyDescent="0.3">
      <c r="A65" t="s">
        <v>30</v>
      </c>
      <c r="B65">
        <v>2014</v>
      </c>
      <c r="C65" t="s">
        <v>43</v>
      </c>
      <c r="D65" t="str">
        <f>_xlfn.CONCAT(LEFT(Table1[[#This Row],[Month]],3),"-",RIGHT(Table1[[#This Row],[Year]],2))</f>
        <v>Oct-14</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t="s">
        <v>32</v>
      </c>
      <c r="W65">
        <v>116.4</v>
      </c>
      <c r="X65">
        <v>117.5</v>
      </c>
      <c r="Y65">
        <v>115.3</v>
      </c>
      <c r="Z65">
        <v>112.6</v>
      </c>
      <c r="AA65">
        <v>113</v>
      </c>
      <c r="AB65">
        <v>116.9</v>
      </c>
      <c r="AC65">
        <v>109.3</v>
      </c>
      <c r="AD65">
        <v>114</v>
      </c>
      <c r="AE65">
        <v>121</v>
      </c>
    </row>
    <row r="66" spans="1:31" x14ac:dyDescent="0.3">
      <c r="A66" t="s">
        <v>33</v>
      </c>
      <c r="B66">
        <v>2014</v>
      </c>
      <c r="C66" t="s">
        <v>43</v>
      </c>
      <c r="D66" t="str">
        <f>_xlfn.CONCAT(LEFT(Table1[[#This Row],[Month]],3),"-",RIGHT(Table1[[#This Row],[Year]],2))</f>
        <v>Oct-14</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row>
    <row r="67" spans="1:31" x14ac:dyDescent="0.3">
      <c r="A67" t="s">
        <v>34</v>
      </c>
      <c r="B67">
        <v>2014</v>
      </c>
      <c r="C67" t="s">
        <v>43</v>
      </c>
      <c r="D67" t="str">
        <f>_xlfn.CONCAT(LEFT(Table1[[#This Row],[Month]],3),"-",RIGHT(Table1[[#This Row],[Year]],2))</f>
        <v>Oct-14</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row>
    <row r="68" spans="1:31" x14ac:dyDescent="0.3">
      <c r="A68" t="s">
        <v>30</v>
      </c>
      <c r="B68">
        <v>2014</v>
      </c>
      <c r="C68" t="s">
        <v>44</v>
      </c>
      <c r="D68" t="str">
        <f>_xlfn.CONCAT(LEFT(Table1[[#This Row],[Month]],3),"-",RIGHT(Table1[[#This Row],[Year]],2))</f>
        <v>Nov-14</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t="s">
        <v>32</v>
      </c>
      <c r="W68">
        <v>117.3</v>
      </c>
      <c r="X68">
        <v>118.1</v>
      </c>
      <c r="Y68">
        <v>115.9</v>
      </c>
      <c r="Z68">
        <v>112</v>
      </c>
      <c r="AA68">
        <v>113.3</v>
      </c>
      <c r="AB68">
        <v>117.2</v>
      </c>
      <c r="AC68">
        <v>108.8</v>
      </c>
      <c r="AD68">
        <v>114.1</v>
      </c>
      <c r="AE68">
        <v>121.1</v>
      </c>
    </row>
    <row r="69" spans="1:31" x14ac:dyDescent="0.3">
      <c r="A69" t="s">
        <v>33</v>
      </c>
      <c r="B69">
        <v>2014</v>
      </c>
      <c r="C69" t="s">
        <v>44</v>
      </c>
      <c r="D69" t="str">
        <f>_xlfn.CONCAT(LEFT(Table1[[#This Row],[Month]],3),"-",RIGHT(Table1[[#This Row],[Year]],2))</f>
        <v>Nov-14</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row>
    <row r="70" spans="1:31" x14ac:dyDescent="0.3">
      <c r="A70" t="s">
        <v>34</v>
      </c>
      <c r="B70">
        <v>2014</v>
      </c>
      <c r="C70" t="s">
        <v>44</v>
      </c>
      <c r="D70" t="str">
        <f>_xlfn.CONCAT(LEFT(Table1[[#This Row],[Month]],3),"-",RIGHT(Table1[[#This Row],[Year]],2))</f>
        <v>Nov-14</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row>
    <row r="71" spans="1:31" x14ac:dyDescent="0.3">
      <c r="A71" t="s">
        <v>30</v>
      </c>
      <c r="B71">
        <v>2014</v>
      </c>
      <c r="C71" t="s">
        <v>45</v>
      </c>
      <c r="D71" t="str">
        <f>_xlfn.CONCAT(LEFT(Table1[[#This Row],[Month]],3),"-",RIGHT(Table1[[#This Row],[Year]],2))</f>
        <v>Dec-14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t="s">
        <v>32</v>
      </c>
      <c r="W71">
        <v>117.4</v>
      </c>
      <c r="X71">
        <v>118.2</v>
      </c>
      <c r="Y71">
        <v>116.2</v>
      </c>
      <c r="Z71">
        <v>111.5</v>
      </c>
      <c r="AA71">
        <v>113.3</v>
      </c>
      <c r="AB71">
        <v>117.7</v>
      </c>
      <c r="AC71">
        <v>109.4</v>
      </c>
      <c r="AD71">
        <v>114.2</v>
      </c>
      <c r="AE71">
        <v>120.3</v>
      </c>
    </row>
    <row r="72" spans="1:31" x14ac:dyDescent="0.3">
      <c r="A72" t="s">
        <v>33</v>
      </c>
      <c r="B72">
        <v>2014</v>
      </c>
      <c r="C72" t="s">
        <v>45</v>
      </c>
      <c r="D72" t="str">
        <f>_xlfn.CONCAT(LEFT(Table1[[#This Row],[Month]],3),"-",RIGHT(Table1[[#This Row],[Year]],2))</f>
        <v>Dec-14</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row>
    <row r="73" spans="1:31" x14ac:dyDescent="0.3">
      <c r="A73" t="s">
        <v>34</v>
      </c>
      <c r="B73">
        <v>2014</v>
      </c>
      <c r="C73" t="s">
        <v>45</v>
      </c>
      <c r="D73" t="str">
        <f>_xlfn.CONCAT(LEFT(Table1[[#This Row],[Month]],3),"-",RIGHT(Table1[[#This Row],[Year]],2))</f>
        <v>Dec-14</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row>
    <row r="74" spans="1:31" x14ac:dyDescent="0.3">
      <c r="A74" t="s">
        <v>30</v>
      </c>
      <c r="B74">
        <v>2015</v>
      </c>
      <c r="C74" t="s">
        <v>31</v>
      </c>
      <c r="D74" t="str">
        <f>_xlfn.CONCAT(LEFT(Table1[[#This Row],[Month]],3),"-",RIGHT(Table1[[#This Row],[Year]],2))</f>
        <v>Jan-15</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t="s">
        <v>32</v>
      </c>
      <c r="W74">
        <v>118.4</v>
      </c>
      <c r="X74">
        <v>118.9</v>
      </c>
      <c r="Y74">
        <v>116.6</v>
      </c>
      <c r="Z74">
        <v>111</v>
      </c>
      <c r="AA74">
        <v>114</v>
      </c>
      <c r="AB74">
        <v>118.2</v>
      </c>
      <c r="AC74">
        <v>110.2</v>
      </c>
      <c r="AD74">
        <v>114.5</v>
      </c>
      <c r="AE74">
        <v>120.3</v>
      </c>
    </row>
    <row r="75" spans="1:31" x14ac:dyDescent="0.3">
      <c r="A75" t="s">
        <v>33</v>
      </c>
      <c r="B75">
        <v>2015</v>
      </c>
      <c r="C75" t="s">
        <v>31</v>
      </c>
      <c r="D75" t="str">
        <f>_xlfn.CONCAT(LEFT(Table1[[#This Row],[Month]],3),"-",RIGHT(Table1[[#This Row],[Year]],2))</f>
        <v>Jan-15</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row>
    <row r="76" spans="1:31" x14ac:dyDescent="0.3">
      <c r="A76" t="s">
        <v>34</v>
      </c>
      <c r="B76">
        <v>2015</v>
      </c>
      <c r="C76" t="s">
        <v>31</v>
      </c>
      <c r="D76" t="str">
        <f>_xlfn.CONCAT(LEFT(Table1[[#This Row],[Month]],3),"-",RIGHT(Table1[[#This Row],[Year]],2))</f>
        <v>Jan-15</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row>
    <row r="77" spans="1:31" x14ac:dyDescent="0.3">
      <c r="A77" t="s">
        <v>30</v>
      </c>
      <c r="B77">
        <v>2015</v>
      </c>
      <c r="C77" t="s">
        <v>35</v>
      </c>
      <c r="D77" t="str">
        <f>_xlfn.CONCAT(LEFT(Table1[[#This Row],[Month]],3),"-",RIGHT(Table1[[#This Row],[Year]],2))</f>
        <v>Feb-15</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t="s">
        <v>32</v>
      </c>
      <c r="W77">
        <v>120</v>
      </c>
      <c r="X77">
        <v>119.6</v>
      </c>
      <c r="Y77">
        <v>117.7</v>
      </c>
      <c r="Z77">
        <v>110.9</v>
      </c>
      <c r="AA77">
        <v>114.8</v>
      </c>
      <c r="AB77">
        <v>118.7</v>
      </c>
      <c r="AC77">
        <v>110.8</v>
      </c>
      <c r="AD77">
        <v>115</v>
      </c>
      <c r="AE77">
        <v>120.6</v>
      </c>
    </row>
    <row r="78" spans="1:31" x14ac:dyDescent="0.3">
      <c r="A78" t="s">
        <v>33</v>
      </c>
      <c r="B78">
        <v>2015</v>
      </c>
      <c r="C78" t="s">
        <v>35</v>
      </c>
      <c r="D78" t="str">
        <f>_xlfn.CONCAT(LEFT(Table1[[#This Row],[Month]],3),"-",RIGHT(Table1[[#This Row],[Year]],2))</f>
        <v>Feb-15</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row>
    <row r="79" spans="1:31" x14ac:dyDescent="0.3">
      <c r="A79" t="s">
        <v>34</v>
      </c>
      <c r="B79">
        <v>2015</v>
      </c>
      <c r="C79" t="s">
        <v>35</v>
      </c>
      <c r="D79" t="str">
        <f>_xlfn.CONCAT(LEFT(Table1[[#This Row],[Month]],3),"-",RIGHT(Table1[[#This Row],[Year]],2))</f>
        <v>Feb-15</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row>
    <row r="80" spans="1:31" x14ac:dyDescent="0.3">
      <c r="A80" t="s">
        <v>30</v>
      </c>
      <c r="B80">
        <v>2015</v>
      </c>
      <c r="C80" t="s">
        <v>36</v>
      </c>
      <c r="D80" t="str">
        <f>_xlfn.CONCAT(LEFT(Table1[[#This Row],[Month]],3),"-",RIGHT(Table1[[#This Row],[Year]],2))</f>
        <v>Mar-15</v>
      </c>
      <c r="E80">
        <v>123.3</v>
      </c>
      <c r="F80">
        <v>124.7</v>
      </c>
      <c r="G80">
        <v>118.9</v>
      </c>
      <c r="H80">
        <v>126</v>
      </c>
      <c r="I80">
        <v>111.8</v>
      </c>
      <c r="J80">
        <v>130.9</v>
      </c>
      <c r="K80">
        <v>128</v>
      </c>
      <c r="L80">
        <v>119.9</v>
      </c>
      <c r="M80">
        <v>98.9</v>
      </c>
      <c r="N80">
        <v>119.4</v>
      </c>
      <c r="O80">
        <v>118.9</v>
      </c>
      <c r="P80">
        <v>127.7</v>
      </c>
      <c r="Q80">
        <v>123.1</v>
      </c>
      <c r="R80">
        <v>124.7</v>
      </c>
      <c r="S80">
        <v>126</v>
      </c>
      <c r="T80">
        <v>122.9</v>
      </c>
      <c r="U80">
        <v>125.5</v>
      </c>
      <c r="V80" t="s">
        <v>32</v>
      </c>
      <c r="W80">
        <v>120.6</v>
      </c>
      <c r="X80">
        <v>120.2</v>
      </c>
      <c r="Y80">
        <v>118.2</v>
      </c>
      <c r="Z80">
        <v>111.6</v>
      </c>
      <c r="AA80">
        <v>115.5</v>
      </c>
      <c r="AB80">
        <v>119.4</v>
      </c>
      <c r="AC80">
        <v>110.8</v>
      </c>
      <c r="AD80">
        <v>115.5</v>
      </c>
      <c r="AE80">
        <v>121.1</v>
      </c>
    </row>
    <row r="81" spans="1:31" x14ac:dyDescent="0.3">
      <c r="A81" t="s">
        <v>33</v>
      </c>
      <c r="B81">
        <v>2015</v>
      </c>
      <c r="C81" t="s">
        <v>36</v>
      </c>
      <c r="D81" t="str">
        <f>_xlfn.CONCAT(LEFT(Table1[[#This Row],[Month]],3),"-",RIGHT(Table1[[#This Row],[Year]],2))</f>
        <v>Mar-15</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row>
    <row r="82" spans="1:31" x14ac:dyDescent="0.3">
      <c r="A82" t="s">
        <v>34</v>
      </c>
      <c r="B82">
        <v>2015</v>
      </c>
      <c r="C82" t="s">
        <v>36</v>
      </c>
      <c r="D82" t="str">
        <f>_xlfn.CONCAT(LEFT(Table1[[#This Row],[Month]],3),"-",RIGHT(Table1[[#This Row],[Year]],2))</f>
        <v>Mar-15</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row>
    <row r="83" spans="1:31" x14ac:dyDescent="0.3">
      <c r="A83" t="s">
        <v>30</v>
      </c>
      <c r="B83">
        <v>2015</v>
      </c>
      <c r="C83" t="s">
        <v>37</v>
      </c>
      <c r="D83" t="str">
        <f>_xlfn.CONCAT(LEFT(Table1[[#This Row],[Month]],3),"-",RIGHT(Table1[[#This Row],[Year]],2))</f>
        <v>Apr-15</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t="s">
        <v>32</v>
      </c>
      <c r="W83">
        <v>121.2</v>
      </c>
      <c r="X83">
        <v>120.9</v>
      </c>
      <c r="Y83">
        <v>118.6</v>
      </c>
      <c r="Z83">
        <v>111.9</v>
      </c>
      <c r="AA83">
        <v>116.2</v>
      </c>
      <c r="AB83">
        <v>119.9</v>
      </c>
      <c r="AC83">
        <v>111.6</v>
      </c>
      <c r="AD83">
        <v>116</v>
      </c>
      <c r="AE83">
        <v>121.5</v>
      </c>
    </row>
    <row r="84" spans="1:31" x14ac:dyDescent="0.3">
      <c r="A84" t="s">
        <v>33</v>
      </c>
      <c r="B84">
        <v>2015</v>
      </c>
      <c r="C84" t="s">
        <v>37</v>
      </c>
      <c r="D84" t="str">
        <f>_xlfn.CONCAT(LEFT(Table1[[#This Row],[Month]],3),"-",RIGHT(Table1[[#This Row],[Year]],2))</f>
        <v>Apr-15</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row>
    <row r="85" spans="1:31" x14ac:dyDescent="0.3">
      <c r="A85" t="s">
        <v>34</v>
      </c>
      <c r="B85">
        <v>2015</v>
      </c>
      <c r="C85" t="s">
        <v>37</v>
      </c>
      <c r="D85" t="str">
        <f>_xlfn.CONCAT(LEFT(Table1[[#This Row],[Month]],3),"-",RIGHT(Table1[[#This Row],[Year]],2))</f>
        <v>Apr-15</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row>
    <row r="86" spans="1:31" x14ac:dyDescent="0.3">
      <c r="A86" t="s">
        <v>30</v>
      </c>
      <c r="B86">
        <v>2015</v>
      </c>
      <c r="C86" t="s">
        <v>38</v>
      </c>
      <c r="D86" t="str">
        <f>_xlfn.CONCAT(LEFT(Table1[[#This Row],[Month]],3),"-",RIGHT(Table1[[#This Row],[Year]],2))</f>
        <v>May-15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t="s">
        <v>32</v>
      </c>
      <c r="W86">
        <v>121.9</v>
      </c>
      <c r="X86">
        <v>121.5</v>
      </c>
      <c r="Y86">
        <v>119.4</v>
      </c>
      <c r="Z86">
        <v>113.3</v>
      </c>
      <c r="AA86">
        <v>116.7</v>
      </c>
      <c r="AB86">
        <v>120.5</v>
      </c>
      <c r="AC86">
        <v>112.3</v>
      </c>
      <c r="AD86">
        <v>116.9</v>
      </c>
      <c r="AE86">
        <v>122.4</v>
      </c>
    </row>
    <row r="87" spans="1:31" x14ac:dyDescent="0.3">
      <c r="A87" t="s">
        <v>33</v>
      </c>
      <c r="B87">
        <v>2015</v>
      </c>
      <c r="C87" t="s">
        <v>38</v>
      </c>
      <c r="D87" t="str">
        <f>_xlfn.CONCAT(LEFT(Table1[[#This Row],[Month]],3),"-",RIGHT(Table1[[#This Row],[Year]],2))</f>
        <v>May-15</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row>
    <row r="88" spans="1:31" x14ac:dyDescent="0.3">
      <c r="A88" t="s">
        <v>34</v>
      </c>
      <c r="B88">
        <v>2015</v>
      </c>
      <c r="C88" t="s">
        <v>38</v>
      </c>
      <c r="D88" t="str">
        <f>_xlfn.CONCAT(LEFT(Table1[[#This Row],[Month]],3),"-",RIGHT(Table1[[#This Row],[Year]],2))</f>
        <v>May-15</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row>
    <row r="89" spans="1:31" x14ac:dyDescent="0.3">
      <c r="A89" t="s">
        <v>30</v>
      </c>
      <c r="B89">
        <v>2015</v>
      </c>
      <c r="C89" t="s">
        <v>39</v>
      </c>
      <c r="D89" t="str">
        <f>_xlfn.CONCAT(LEFT(Table1[[#This Row],[Month]],3),"-",RIGHT(Table1[[#This Row],[Year]],2))</f>
        <v>Jun-15</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t="s">
        <v>32</v>
      </c>
      <c r="W89">
        <v>122.6</v>
      </c>
      <c r="X89">
        <v>122.8</v>
      </c>
      <c r="Y89">
        <v>120.4</v>
      </c>
      <c r="Z89">
        <v>114.2</v>
      </c>
      <c r="AA89">
        <v>117.9</v>
      </c>
      <c r="AB89">
        <v>122</v>
      </c>
      <c r="AC89">
        <v>113</v>
      </c>
      <c r="AD89">
        <v>117.9</v>
      </c>
      <c r="AE89">
        <v>124.1</v>
      </c>
    </row>
    <row r="90" spans="1:31" x14ac:dyDescent="0.3">
      <c r="A90" t="s">
        <v>33</v>
      </c>
      <c r="B90">
        <v>2015</v>
      </c>
      <c r="C90" t="s">
        <v>39</v>
      </c>
      <c r="D90" t="str">
        <f>_xlfn.CONCAT(LEFT(Table1[[#This Row],[Month]],3),"-",RIGHT(Table1[[#This Row],[Year]],2))</f>
        <v>Jun-15</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row>
    <row r="91" spans="1:31" x14ac:dyDescent="0.3">
      <c r="A91" t="s">
        <v>34</v>
      </c>
      <c r="B91">
        <v>2015</v>
      </c>
      <c r="C91" t="s">
        <v>39</v>
      </c>
      <c r="D91" t="str">
        <f>_xlfn.CONCAT(LEFT(Table1[[#This Row],[Month]],3),"-",RIGHT(Table1[[#This Row],[Year]],2))</f>
        <v>Jun-15</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row>
    <row r="92" spans="1:31" x14ac:dyDescent="0.3">
      <c r="A92" t="s">
        <v>30</v>
      </c>
      <c r="B92">
        <v>2015</v>
      </c>
      <c r="C92" t="s">
        <v>40</v>
      </c>
      <c r="D92" t="str">
        <f>_xlfn.CONCAT(LEFT(Table1[[#This Row],[Month]],3),"-",RIGHT(Table1[[#This Row],[Year]],2))</f>
        <v>Jul-15</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t="s">
        <v>32</v>
      </c>
      <c r="W92">
        <v>123</v>
      </c>
      <c r="X92">
        <v>123</v>
      </c>
      <c r="Y92">
        <v>120.8</v>
      </c>
      <c r="Z92">
        <v>114.1</v>
      </c>
      <c r="AA92">
        <v>118</v>
      </c>
      <c r="AB92">
        <v>122.9</v>
      </c>
      <c r="AC92">
        <v>112.7</v>
      </c>
      <c r="AD92">
        <v>118.1</v>
      </c>
      <c r="AE92">
        <v>124.7</v>
      </c>
    </row>
    <row r="93" spans="1:31" x14ac:dyDescent="0.3">
      <c r="A93" t="s">
        <v>33</v>
      </c>
      <c r="B93">
        <v>2015</v>
      </c>
      <c r="C93" t="s">
        <v>40</v>
      </c>
      <c r="D93" t="str">
        <f>_xlfn.CONCAT(LEFT(Table1[[#This Row],[Month]],3),"-",RIGHT(Table1[[#This Row],[Year]],2))</f>
        <v>Jul-15</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row>
    <row r="94" spans="1:31" x14ac:dyDescent="0.3">
      <c r="A94" t="s">
        <v>34</v>
      </c>
      <c r="B94">
        <v>2015</v>
      </c>
      <c r="C94" t="s">
        <v>40</v>
      </c>
      <c r="D94" t="str">
        <f>_xlfn.CONCAT(LEFT(Table1[[#This Row],[Month]],3),"-",RIGHT(Table1[[#This Row],[Year]],2))</f>
        <v>Jul-15</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row>
    <row r="95" spans="1:31" x14ac:dyDescent="0.3">
      <c r="A95" t="s">
        <v>30</v>
      </c>
      <c r="B95">
        <v>2015</v>
      </c>
      <c r="C95" t="s">
        <v>41</v>
      </c>
      <c r="D95" t="str">
        <f>_xlfn.CONCAT(LEFT(Table1[[#This Row],[Month]],3),"-",RIGHT(Table1[[#This Row],[Year]],2))</f>
        <v>Aug-15</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t="s">
        <v>32</v>
      </c>
      <c r="W95">
        <v>123.8</v>
      </c>
      <c r="X95">
        <v>123.7</v>
      </c>
      <c r="Y95">
        <v>121.1</v>
      </c>
      <c r="Z95">
        <v>113.6</v>
      </c>
      <c r="AA95">
        <v>118.5</v>
      </c>
      <c r="AB95">
        <v>123.6</v>
      </c>
      <c r="AC95">
        <v>112.5</v>
      </c>
      <c r="AD95">
        <v>118.2</v>
      </c>
      <c r="AE95">
        <v>126.1</v>
      </c>
    </row>
    <row r="96" spans="1:31" x14ac:dyDescent="0.3">
      <c r="A96" t="s">
        <v>33</v>
      </c>
      <c r="B96">
        <v>2015</v>
      </c>
      <c r="C96" t="s">
        <v>41</v>
      </c>
      <c r="D96" t="str">
        <f>_xlfn.CONCAT(LEFT(Table1[[#This Row],[Month]],3),"-",RIGHT(Table1[[#This Row],[Year]],2))</f>
        <v>Aug-15</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row>
    <row r="97" spans="1:31" x14ac:dyDescent="0.3">
      <c r="A97" t="s">
        <v>34</v>
      </c>
      <c r="B97">
        <v>2015</v>
      </c>
      <c r="C97" t="s">
        <v>41</v>
      </c>
      <c r="D97" t="str">
        <f>_xlfn.CONCAT(LEFT(Table1[[#This Row],[Month]],3),"-",RIGHT(Table1[[#This Row],[Year]],2))</f>
        <v>Aug-15</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row>
    <row r="98" spans="1:31" x14ac:dyDescent="0.3">
      <c r="A98" t="s">
        <v>30</v>
      </c>
      <c r="B98">
        <v>2015</v>
      </c>
      <c r="C98" t="s">
        <v>42</v>
      </c>
      <c r="D98" t="str">
        <f>_xlfn.CONCAT(LEFT(Table1[[#This Row],[Month]],3),"-",RIGHT(Table1[[#This Row],[Year]],2))</f>
        <v>Sep-15</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t="s">
        <v>32</v>
      </c>
      <c r="W98">
        <v>123.7</v>
      </c>
      <c r="X98">
        <v>124.5</v>
      </c>
      <c r="Y98">
        <v>121.4</v>
      </c>
      <c r="Z98">
        <v>113.8</v>
      </c>
      <c r="AA98">
        <v>119.6</v>
      </c>
      <c r="AB98">
        <v>124.5</v>
      </c>
      <c r="AC98">
        <v>113.7</v>
      </c>
      <c r="AD98">
        <v>118.8</v>
      </c>
      <c r="AE98">
        <v>127</v>
      </c>
    </row>
    <row r="99" spans="1:31" x14ac:dyDescent="0.3">
      <c r="A99" t="s">
        <v>33</v>
      </c>
      <c r="B99">
        <v>2015</v>
      </c>
      <c r="C99" t="s">
        <v>42</v>
      </c>
      <c r="D99" t="str">
        <f>_xlfn.CONCAT(LEFT(Table1[[#This Row],[Month]],3),"-",RIGHT(Table1[[#This Row],[Year]],2))</f>
        <v>Sep-15</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row>
    <row r="100" spans="1:31" x14ac:dyDescent="0.3">
      <c r="A100" t="s">
        <v>34</v>
      </c>
      <c r="B100">
        <v>2015</v>
      </c>
      <c r="C100" t="s">
        <v>42</v>
      </c>
      <c r="D100" t="str">
        <f>_xlfn.CONCAT(LEFT(Table1[[#This Row],[Month]],3),"-",RIGHT(Table1[[#This Row],[Year]],2))</f>
        <v>Sep-15</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row>
    <row r="101" spans="1:31" x14ac:dyDescent="0.3">
      <c r="A101" t="s">
        <v>30</v>
      </c>
      <c r="B101">
        <v>2015</v>
      </c>
      <c r="C101" t="s">
        <v>43</v>
      </c>
      <c r="D101" t="str">
        <f>_xlfn.CONCAT(LEFT(Table1[[#This Row],[Month]],3),"-",RIGHT(Table1[[#This Row],[Year]],2))</f>
        <v>Oct-15</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t="s">
        <v>32</v>
      </c>
      <c r="W101">
        <v>124.4</v>
      </c>
      <c r="X101">
        <v>125.1</v>
      </c>
      <c r="Y101">
        <v>122</v>
      </c>
      <c r="Z101">
        <v>113.8</v>
      </c>
      <c r="AA101">
        <v>120.1</v>
      </c>
      <c r="AB101">
        <v>125.1</v>
      </c>
      <c r="AC101">
        <v>114.2</v>
      </c>
      <c r="AD101">
        <v>119.2</v>
      </c>
      <c r="AE101">
        <v>127.7</v>
      </c>
    </row>
    <row r="102" spans="1:31" x14ac:dyDescent="0.3">
      <c r="A102" t="s">
        <v>33</v>
      </c>
      <c r="B102">
        <v>2015</v>
      </c>
      <c r="C102" t="s">
        <v>43</v>
      </c>
      <c r="D102" t="str">
        <f>_xlfn.CONCAT(LEFT(Table1[[#This Row],[Month]],3),"-",RIGHT(Table1[[#This Row],[Year]],2))</f>
        <v>Oct-15</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row>
    <row r="103" spans="1:31" x14ac:dyDescent="0.3">
      <c r="A103" t="s">
        <v>34</v>
      </c>
      <c r="B103">
        <v>2015</v>
      </c>
      <c r="C103" t="s">
        <v>43</v>
      </c>
      <c r="D103" t="str">
        <f>_xlfn.CONCAT(LEFT(Table1[[#This Row],[Month]],3),"-",RIGHT(Table1[[#This Row],[Year]],2))</f>
        <v>Oct-15</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row>
    <row r="104" spans="1:31" x14ac:dyDescent="0.3">
      <c r="A104" t="s">
        <v>30</v>
      </c>
      <c r="B104">
        <v>2015</v>
      </c>
      <c r="C104" t="s">
        <v>44</v>
      </c>
      <c r="D104" t="str">
        <f>_xlfn.CONCAT(LEFT(Table1[[#This Row],[Month]],3),"-",RIGHT(Table1[[#This Row],[Year]],2))</f>
        <v>Nov-15</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t="s">
        <v>32</v>
      </c>
      <c r="W104">
        <v>125.6</v>
      </c>
      <c r="X104">
        <v>125.6</v>
      </c>
      <c r="Y104">
        <v>122.6</v>
      </c>
      <c r="Z104">
        <v>114</v>
      </c>
      <c r="AA104">
        <v>120.9</v>
      </c>
      <c r="AB104">
        <v>125.8</v>
      </c>
      <c r="AC104">
        <v>114.2</v>
      </c>
      <c r="AD104">
        <v>119.6</v>
      </c>
      <c r="AE104">
        <v>128.30000000000001</v>
      </c>
    </row>
    <row r="105" spans="1:31" x14ac:dyDescent="0.3">
      <c r="A105" t="s">
        <v>33</v>
      </c>
      <c r="B105">
        <v>2015</v>
      </c>
      <c r="C105" t="s">
        <v>44</v>
      </c>
      <c r="D105" t="str">
        <f>_xlfn.CONCAT(LEFT(Table1[[#This Row],[Month]],3),"-",RIGHT(Table1[[#This Row],[Year]],2))</f>
        <v>Nov-15</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row>
    <row r="106" spans="1:31" x14ac:dyDescent="0.3">
      <c r="A106" t="s">
        <v>34</v>
      </c>
      <c r="B106">
        <v>2015</v>
      </c>
      <c r="C106" t="s">
        <v>44</v>
      </c>
      <c r="D106" t="str">
        <f>_xlfn.CONCAT(LEFT(Table1[[#This Row],[Month]],3),"-",RIGHT(Table1[[#This Row],[Year]],2))</f>
        <v>Nov-15</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row>
    <row r="107" spans="1:31" x14ac:dyDescent="0.3">
      <c r="A107" t="s">
        <v>30</v>
      </c>
      <c r="B107">
        <v>2015</v>
      </c>
      <c r="C107" t="s">
        <v>45</v>
      </c>
      <c r="D107" t="str">
        <f>_xlfn.CONCAT(LEFT(Table1[[#This Row],[Month]],3),"-",RIGHT(Table1[[#This Row],[Year]],2))</f>
        <v>Dec-15</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t="s">
        <v>32</v>
      </c>
      <c r="W107">
        <v>125.7</v>
      </c>
      <c r="X107">
        <v>126</v>
      </c>
      <c r="Y107">
        <v>123.1</v>
      </c>
      <c r="Z107">
        <v>114</v>
      </c>
      <c r="AA107">
        <v>121.6</v>
      </c>
      <c r="AB107">
        <v>125.6</v>
      </c>
      <c r="AC107">
        <v>114.1</v>
      </c>
      <c r="AD107">
        <v>119.8</v>
      </c>
      <c r="AE107">
        <v>127.9</v>
      </c>
    </row>
    <row r="108" spans="1:31" x14ac:dyDescent="0.3">
      <c r="A108" t="s">
        <v>33</v>
      </c>
      <c r="B108">
        <v>2015</v>
      </c>
      <c r="C108" t="s">
        <v>45</v>
      </c>
      <c r="D108" t="str">
        <f>_xlfn.CONCAT(LEFT(Table1[[#This Row],[Month]],3),"-",RIGHT(Table1[[#This Row],[Year]],2))</f>
        <v>Dec-15</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row>
    <row r="109" spans="1:31" x14ac:dyDescent="0.3">
      <c r="A109" t="s">
        <v>34</v>
      </c>
      <c r="B109">
        <v>2015</v>
      </c>
      <c r="C109" t="s">
        <v>45</v>
      </c>
      <c r="D109" t="str">
        <f>_xlfn.CONCAT(LEFT(Table1[[#This Row],[Month]],3),"-",RIGHT(Table1[[#This Row],[Year]],2))</f>
        <v>Dec-15</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row>
    <row r="110" spans="1:31" x14ac:dyDescent="0.3">
      <c r="A110" t="s">
        <v>30</v>
      </c>
      <c r="B110">
        <v>2016</v>
      </c>
      <c r="C110" t="s">
        <v>31</v>
      </c>
      <c r="D110" t="str">
        <f>_xlfn.CONCAT(LEFT(Table1[[#This Row],[Month]],3),"-",RIGHT(Table1[[#This Row],[Year]],2))</f>
        <v>Jan-16</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t="s">
        <v>32</v>
      </c>
      <c r="W110">
        <v>126.2</v>
      </c>
      <c r="X110">
        <v>126.6</v>
      </c>
      <c r="Y110">
        <v>123.7</v>
      </c>
      <c r="Z110">
        <v>113.6</v>
      </c>
      <c r="AA110">
        <v>121.4</v>
      </c>
      <c r="AB110">
        <v>126.2</v>
      </c>
      <c r="AC110">
        <v>114.9</v>
      </c>
      <c r="AD110">
        <v>120.1</v>
      </c>
      <c r="AE110">
        <v>128.1</v>
      </c>
    </row>
    <row r="111" spans="1:31" x14ac:dyDescent="0.3">
      <c r="A111" t="s">
        <v>33</v>
      </c>
      <c r="B111">
        <v>2016</v>
      </c>
      <c r="C111" t="s">
        <v>31</v>
      </c>
      <c r="D111" t="str">
        <f>_xlfn.CONCAT(LEFT(Table1[[#This Row],[Month]],3),"-",RIGHT(Table1[[#This Row],[Year]],2))</f>
        <v>Jan-16</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row>
    <row r="112" spans="1:31" x14ac:dyDescent="0.3">
      <c r="A112" t="s">
        <v>34</v>
      </c>
      <c r="B112">
        <v>2016</v>
      </c>
      <c r="C112" t="s">
        <v>31</v>
      </c>
      <c r="D112" t="str">
        <f>_xlfn.CONCAT(LEFT(Table1[[#This Row],[Month]],3),"-",RIGHT(Table1[[#This Row],[Year]],2))</f>
        <v>Jan-16</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row>
    <row r="113" spans="1:31" x14ac:dyDescent="0.3">
      <c r="A113" t="s">
        <v>30</v>
      </c>
      <c r="B113">
        <v>2016</v>
      </c>
      <c r="C113" t="s">
        <v>35</v>
      </c>
      <c r="D113" t="str">
        <f>_xlfn.CONCAT(LEFT(Table1[[#This Row],[Month]],3),"-",RIGHT(Table1[[#This Row],[Year]],2))</f>
        <v>Feb-16</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t="s">
        <v>32</v>
      </c>
      <c r="W113">
        <v>127.5</v>
      </c>
      <c r="X113">
        <v>127.1</v>
      </c>
      <c r="Y113">
        <v>124.3</v>
      </c>
      <c r="Z113">
        <v>113.9</v>
      </c>
      <c r="AA113">
        <v>122.3</v>
      </c>
      <c r="AB113">
        <v>127.1</v>
      </c>
      <c r="AC113">
        <v>116.8</v>
      </c>
      <c r="AD113">
        <v>120.9</v>
      </c>
      <c r="AE113">
        <v>127.9</v>
      </c>
    </row>
    <row r="114" spans="1:31" x14ac:dyDescent="0.3">
      <c r="A114" t="s">
        <v>33</v>
      </c>
      <c r="B114">
        <v>2016</v>
      </c>
      <c r="C114" t="s">
        <v>35</v>
      </c>
      <c r="D114" t="str">
        <f>_xlfn.CONCAT(LEFT(Table1[[#This Row],[Month]],3),"-",RIGHT(Table1[[#This Row],[Year]],2))</f>
        <v>Feb-16</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row>
    <row r="115" spans="1:31" x14ac:dyDescent="0.3">
      <c r="A115" t="s">
        <v>34</v>
      </c>
      <c r="B115">
        <v>2016</v>
      </c>
      <c r="C115" t="s">
        <v>35</v>
      </c>
      <c r="D115" t="str">
        <f>_xlfn.CONCAT(LEFT(Table1[[#This Row],[Month]],3),"-",RIGHT(Table1[[#This Row],[Year]],2))</f>
        <v>Feb-16</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row>
    <row r="116" spans="1:31" x14ac:dyDescent="0.3">
      <c r="A116" t="s">
        <v>30</v>
      </c>
      <c r="B116">
        <v>2016</v>
      </c>
      <c r="C116" t="s">
        <v>36</v>
      </c>
      <c r="D116" t="str">
        <f>_xlfn.CONCAT(LEFT(Table1[[#This Row],[Month]],3),"-",RIGHT(Table1[[#This Row],[Year]],2))</f>
        <v>Mar-16</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t="s">
        <v>32</v>
      </c>
      <c r="W116">
        <v>127</v>
      </c>
      <c r="X116">
        <v>127.7</v>
      </c>
      <c r="Y116">
        <v>124.8</v>
      </c>
      <c r="Z116">
        <v>113.6</v>
      </c>
      <c r="AA116">
        <v>122.5</v>
      </c>
      <c r="AB116">
        <v>127.5</v>
      </c>
      <c r="AC116">
        <v>117.4</v>
      </c>
      <c r="AD116">
        <v>121.1</v>
      </c>
      <c r="AE116">
        <v>128</v>
      </c>
    </row>
    <row r="117" spans="1:31" x14ac:dyDescent="0.3">
      <c r="A117" t="s">
        <v>33</v>
      </c>
      <c r="B117">
        <v>2016</v>
      </c>
      <c r="C117" t="s">
        <v>36</v>
      </c>
      <c r="D117" t="str">
        <f>_xlfn.CONCAT(LEFT(Table1[[#This Row],[Month]],3),"-",RIGHT(Table1[[#This Row],[Year]],2))</f>
        <v>Mar-16</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row>
    <row r="118" spans="1:31" x14ac:dyDescent="0.3">
      <c r="A118" t="s">
        <v>34</v>
      </c>
      <c r="B118">
        <v>2016</v>
      </c>
      <c r="C118" t="s">
        <v>36</v>
      </c>
      <c r="D118" t="str">
        <f>_xlfn.CONCAT(LEFT(Table1[[#This Row],[Month]],3),"-",RIGHT(Table1[[#This Row],[Year]],2))</f>
        <v>Mar-16</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row>
    <row r="119" spans="1:31" x14ac:dyDescent="0.3">
      <c r="A119" t="s">
        <v>30</v>
      </c>
      <c r="B119">
        <v>2016</v>
      </c>
      <c r="C119" t="s">
        <v>37</v>
      </c>
      <c r="D119" t="str">
        <f>_xlfn.CONCAT(LEFT(Table1[[#This Row],[Month]],3),"-",RIGHT(Table1[[#This Row],[Year]],2))</f>
        <v>Apr-16</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t="s">
        <v>32</v>
      </c>
      <c r="W119">
        <v>127</v>
      </c>
      <c r="X119">
        <v>128</v>
      </c>
      <c r="Y119">
        <v>125.2</v>
      </c>
      <c r="Z119">
        <v>114.4</v>
      </c>
      <c r="AA119">
        <v>123.2</v>
      </c>
      <c r="AB119">
        <v>127.9</v>
      </c>
      <c r="AC119">
        <v>118.4</v>
      </c>
      <c r="AD119">
        <v>121.7</v>
      </c>
      <c r="AE119">
        <v>129</v>
      </c>
    </row>
    <row r="120" spans="1:31" x14ac:dyDescent="0.3">
      <c r="A120" t="s">
        <v>33</v>
      </c>
      <c r="B120">
        <v>2016</v>
      </c>
      <c r="C120" t="s">
        <v>37</v>
      </c>
      <c r="D120" t="str">
        <f>_xlfn.CONCAT(LEFT(Table1[[#This Row],[Month]],3),"-",RIGHT(Table1[[#This Row],[Year]],2))</f>
        <v>Apr-16</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row>
    <row r="121" spans="1:31" x14ac:dyDescent="0.3">
      <c r="A121" t="s">
        <v>34</v>
      </c>
      <c r="B121">
        <v>2016</v>
      </c>
      <c r="C121" t="s">
        <v>37</v>
      </c>
      <c r="D121" t="str">
        <f>_xlfn.CONCAT(LEFT(Table1[[#This Row],[Month]],3),"-",RIGHT(Table1[[#This Row],[Year]],2))</f>
        <v>Apr-16</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row>
    <row r="122" spans="1:31" x14ac:dyDescent="0.3">
      <c r="A122" t="s">
        <v>30</v>
      </c>
      <c r="B122">
        <v>2016</v>
      </c>
      <c r="C122" t="s">
        <v>38</v>
      </c>
      <c r="D122" t="str">
        <f>_xlfn.CONCAT(LEFT(Table1[[#This Row],[Month]],3),"-",RIGHT(Table1[[#This Row],[Year]],2))</f>
        <v>May-16</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t="s">
        <v>32</v>
      </c>
      <c r="W122">
        <v>127.4</v>
      </c>
      <c r="X122">
        <v>128.5</v>
      </c>
      <c r="Y122">
        <v>125.8</v>
      </c>
      <c r="Z122">
        <v>115.1</v>
      </c>
      <c r="AA122">
        <v>123.6</v>
      </c>
      <c r="AB122">
        <v>129.1</v>
      </c>
      <c r="AC122">
        <v>119.7</v>
      </c>
      <c r="AD122">
        <v>122.5</v>
      </c>
      <c r="AE122">
        <v>130.30000000000001</v>
      </c>
    </row>
    <row r="123" spans="1:31" x14ac:dyDescent="0.3">
      <c r="A123" t="s">
        <v>33</v>
      </c>
      <c r="B123">
        <v>2016</v>
      </c>
      <c r="C123" t="s">
        <v>38</v>
      </c>
      <c r="D123" t="str">
        <f>_xlfn.CONCAT(LEFT(Table1[[#This Row],[Month]],3),"-",RIGHT(Table1[[#This Row],[Year]],2))</f>
        <v>May-16</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row>
    <row r="124" spans="1:31" x14ac:dyDescent="0.3">
      <c r="A124" t="s">
        <v>34</v>
      </c>
      <c r="B124">
        <v>2016</v>
      </c>
      <c r="C124" t="s">
        <v>38</v>
      </c>
      <c r="D124" t="str">
        <f>_xlfn.CONCAT(LEFT(Table1[[#This Row],[Month]],3),"-",RIGHT(Table1[[#This Row],[Year]],2))</f>
        <v>May-16</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row>
    <row r="125" spans="1:31" x14ac:dyDescent="0.3">
      <c r="A125" t="s">
        <v>30</v>
      </c>
      <c r="B125">
        <v>2016</v>
      </c>
      <c r="C125" t="s">
        <v>39</v>
      </c>
      <c r="D125" t="str">
        <f>_xlfn.CONCAT(LEFT(Table1[[#This Row],[Month]],3),"-",RIGHT(Table1[[#This Row],[Year]],2))</f>
        <v>Jun-16</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t="s">
        <v>32</v>
      </c>
      <c r="W125">
        <v>128</v>
      </c>
      <c r="X125">
        <v>129.30000000000001</v>
      </c>
      <c r="Y125">
        <v>126.2</v>
      </c>
      <c r="Z125">
        <v>116.3</v>
      </c>
      <c r="AA125">
        <v>124.1</v>
      </c>
      <c r="AB125">
        <v>130.19999999999999</v>
      </c>
      <c r="AC125">
        <v>119.9</v>
      </c>
      <c r="AD125">
        <v>123.3</v>
      </c>
      <c r="AE125">
        <v>131.9</v>
      </c>
    </row>
    <row r="126" spans="1:31" x14ac:dyDescent="0.3">
      <c r="A126" t="s">
        <v>33</v>
      </c>
      <c r="B126">
        <v>2016</v>
      </c>
      <c r="C126" t="s">
        <v>39</v>
      </c>
      <c r="D126" t="str">
        <f>_xlfn.CONCAT(LEFT(Table1[[#This Row],[Month]],3),"-",RIGHT(Table1[[#This Row],[Year]],2))</f>
        <v>Jun-16</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row>
    <row r="127" spans="1:31" x14ac:dyDescent="0.3">
      <c r="A127" t="s">
        <v>34</v>
      </c>
      <c r="B127">
        <v>2016</v>
      </c>
      <c r="C127" t="s">
        <v>39</v>
      </c>
      <c r="D127" t="str">
        <f>_xlfn.CONCAT(LEFT(Table1[[#This Row],[Month]],3),"-",RIGHT(Table1[[#This Row],[Year]],2))</f>
        <v>Jun-16</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row>
    <row r="128" spans="1:31" x14ac:dyDescent="0.3">
      <c r="A128" t="s">
        <v>30</v>
      </c>
      <c r="B128">
        <v>2016</v>
      </c>
      <c r="C128" t="s">
        <v>40</v>
      </c>
      <c r="D128" t="str">
        <f>_xlfn.CONCAT(LEFT(Table1[[#This Row],[Month]],3),"-",RIGHT(Table1[[#This Row],[Year]],2))</f>
        <v>Jul-16</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t="s">
        <v>32</v>
      </c>
      <c r="W128">
        <v>128.19999999999999</v>
      </c>
      <c r="X128">
        <v>130</v>
      </c>
      <c r="Y128">
        <v>126.7</v>
      </c>
      <c r="Z128">
        <v>116.4</v>
      </c>
      <c r="AA128">
        <v>125.2</v>
      </c>
      <c r="AB128">
        <v>130.80000000000001</v>
      </c>
      <c r="AC128">
        <v>120.9</v>
      </c>
      <c r="AD128">
        <v>123.8</v>
      </c>
      <c r="AE128">
        <v>133</v>
      </c>
    </row>
    <row r="129" spans="1:31" x14ac:dyDescent="0.3">
      <c r="A129" t="s">
        <v>33</v>
      </c>
      <c r="B129">
        <v>2016</v>
      </c>
      <c r="C129" t="s">
        <v>40</v>
      </c>
      <c r="D129" t="str">
        <f>_xlfn.CONCAT(LEFT(Table1[[#This Row],[Month]],3),"-",RIGHT(Table1[[#This Row],[Year]],2))</f>
        <v>Jul-16</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row>
    <row r="130" spans="1:31" x14ac:dyDescent="0.3">
      <c r="A130" t="s">
        <v>34</v>
      </c>
      <c r="B130">
        <v>2016</v>
      </c>
      <c r="C130" t="s">
        <v>40</v>
      </c>
      <c r="D130" t="str">
        <f>_xlfn.CONCAT(LEFT(Table1[[#This Row],[Month]],3),"-",RIGHT(Table1[[#This Row],[Year]],2))</f>
        <v>Jul-16</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row>
    <row r="131" spans="1:31" x14ac:dyDescent="0.3">
      <c r="A131" t="s">
        <v>30</v>
      </c>
      <c r="B131">
        <v>2016</v>
      </c>
      <c r="C131" t="s">
        <v>41</v>
      </c>
      <c r="D131" t="str">
        <f>_xlfn.CONCAT(LEFT(Table1[[#This Row],[Month]],3),"-",RIGHT(Table1[[#This Row],[Year]],2))</f>
        <v>Aug-16</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t="s">
        <v>32</v>
      </c>
      <c r="W131">
        <v>129.1</v>
      </c>
      <c r="X131">
        <v>130.6</v>
      </c>
      <c r="Y131">
        <v>127</v>
      </c>
      <c r="Z131">
        <v>116</v>
      </c>
      <c r="AA131">
        <v>125.5</v>
      </c>
      <c r="AB131">
        <v>131.9</v>
      </c>
      <c r="AC131">
        <v>122</v>
      </c>
      <c r="AD131">
        <v>124.2</v>
      </c>
      <c r="AE131">
        <v>133.5</v>
      </c>
    </row>
    <row r="132" spans="1:31" x14ac:dyDescent="0.3">
      <c r="A132" t="s">
        <v>33</v>
      </c>
      <c r="B132">
        <v>2016</v>
      </c>
      <c r="C132" t="s">
        <v>41</v>
      </c>
      <c r="D132" t="str">
        <f>_xlfn.CONCAT(LEFT(Table1[[#This Row],[Month]],3),"-",RIGHT(Table1[[#This Row],[Year]],2))</f>
        <v>Aug-16</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row>
    <row r="133" spans="1:31" x14ac:dyDescent="0.3">
      <c r="A133" t="s">
        <v>34</v>
      </c>
      <c r="B133">
        <v>2016</v>
      </c>
      <c r="C133" t="s">
        <v>41</v>
      </c>
      <c r="D133" t="str">
        <f>_xlfn.CONCAT(LEFT(Table1[[#This Row],[Month]],3),"-",RIGHT(Table1[[#This Row],[Year]],2))</f>
        <v>Aug-16</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row>
    <row r="134" spans="1:31" x14ac:dyDescent="0.3">
      <c r="A134" t="s">
        <v>30</v>
      </c>
      <c r="B134">
        <v>2016</v>
      </c>
      <c r="C134" t="s">
        <v>42</v>
      </c>
      <c r="D134" t="str">
        <f>_xlfn.CONCAT(LEFT(Table1[[#This Row],[Month]],3),"-",RIGHT(Table1[[#This Row],[Year]],2))</f>
        <v>Sep-16</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t="s">
        <v>32</v>
      </c>
      <c r="W134">
        <v>129.69999999999999</v>
      </c>
      <c r="X134">
        <v>131.1</v>
      </c>
      <c r="Y134">
        <v>127.8</v>
      </c>
      <c r="Z134">
        <v>117</v>
      </c>
      <c r="AA134">
        <v>125.7</v>
      </c>
      <c r="AB134">
        <v>132.19999999999999</v>
      </c>
      <c r="AC134">
        <v>122.8</v>
      </c>
      <c r="AD134">
        <v>124.9</v>
      </c>
      <c r="AE134">
        <v>133.4</v>
      </c>
    </row>
    <row r="135" spans="1:31" x14ac:dyDescent="0.3">
      <c r="A135" t="s">
        <v>33</v>
      </c>
      <c r="B135">
        <v>2016</v>
      </c>
      <c r="C135" t="s">
        <v>42</v>
      </c>
      <c r="D135" t="str">
        <f>_xlfn.CONCAT(LEFT(Table1[[#This Row],[Month]],3),"-",RIGHT(Table1[[#This Row],[Year]],2))</f>
        <v>Sep-16</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row>
    <row r="136" spans="1:31" x14ac:dyDescent="0.3">
      <c r="A136" t="s">
        <v>34</v>
      </c>
      <c r="B136">
        <v>2016</v>
      </c>
      <c r="C136" t="s">
        <v>42</v>
      </c>
      <c r="D136" t="str">
        <f>_xlfn.CONCAT(LEFT(Table1[[#This Row],[Month]],3),"-",RIGHT(Table1[[#This Row],[Year]],2))</f>
        <v>Sep-16</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row>
    <row r="137" spans="1:31" x14ac:dyDescent="0.3">
      <c r="A137" t="s">
        <v>30</v>
      </c>
      <c r="B137">
        <v>2016</v>
      </c>
      <c r="C137" t="s">
        <v>43</v>
      </c>
      <c r="D137" t="str">
        <f>_xlfn.CONCAT(LEFT(Table1[[#This Row],[Month]],3),"-",RIGHT(Table1[[#This Row],[Year]],2))</f>
        <v>Oct-16</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t="s">
        <v>32</v>
      </c>
      <c r="W137">
        <v>129.80000000000001</v>
      </c>
      <c r="X137">
        <v>131.80000000000001</v>
      </c>
      <c r="Y137">
        <v>128.69999999999999</v>
      </c>
      <c r="Z137">
        <v>117.8</v>
      </c>
      <c r="AA137">
        <v>126.5</v>
      </c>
      <c r="AB137">
        <v>133</v>
      </c>
      <c r="AC137">
        <v>123</v>
      </c>
      <c r="AD137">
        <v>125.7</v>
      </c>
      <c r="AE137">
        <v>133.80000000000001</v>
      </c>
    </row>
    <row r="138" spans="1:31" x14ac:dyDescent="0.3">
      <c r="A138" t="s">
        <v>33</v>
      </c>
      <c r="B138">
        <v>2016</v>
      </c>
      <c r="C138" t="s">
        <v>43</v>
      </c>
      <c r="D138" t="str">
        <f>_xlfn.CONCAT(LEFT(Table1[[#This Row],[Month]],3),"-",RIGHT(Table1[[#This Row],[Year]],2))</f>
        <v>Oct-16</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row>
    <row r="139" spans="1:31" x14ac:dyDescent="0.3">
      <c r="A139" t="s">
        <v>34</v>
      </c>
      <c r="B139">
        <v>2016</v>
      </c>
      <c r="C139" t="s">
        <v>43</v>
      </c>
      <c r="D139" t="str">
        <f>_xlfn.CONCAT(LEFT(Table1[[#This Row],[Month]],3),"-",RIGHT(Table1[[#This Row],[Year]],2))</f>
        <v>Oct-16</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row>
    <row r="140" spans="1:31" x14ac:dyDescent="0.3">
      <c r="A140" t="s">
        <v>30</v>
      </c>
      <c r="B140">
        <v>2016</v>
      </c>
      <c r="C140" t="s">
        <v>44</v>
      </c>
      <c r="D140" t="str">
        <f>_xlfn.CONCAT(LEFT(Table1[[#This Row],[Month]],3),"-",RIGHT(Table1[[#This Row],[Year]],2))</f>
        <v>Nov-16</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t="s">
        <v>32</v>
      </c>
      <c r="W140">
        <v>130.30000000000001</v>
      </c>
      <c r="X140">
        <v>132.1</v>
      </c>
      <c r="Y140">
        <v>129.1</v>
      </c>
      <c r="Z140">
        <v>118.2</v>
      </c>
      <c r="AA140">
        <v>126.9</v>
      </c>
      <c r="AB140">
        <v>133.69999999999999</v>
      </c>
      <c r="AC140">
        <v>123.5</v>
      </c>
      <c r="AD140">
        <v>126.1</v>
      </c>
      <c r="AE140">
        <v>133.6</v>
      </c>
    </row>
    <row r="141" spans="1:31" x14ac:dyDescent="0.3">
      <c r="A141" t="s">
        <v>33</v>
      </c>
      <c r="B141">
        <v>2016</v>
      </c>
      <c r="C141" t="s">
        <v>44</v>
      </c>
      <c r="D141" t="str">
        <f>_xlfn.CONCAT(LEFT(Table1[[#This Row],[Month]],3),"-",RIGHT(Table1[[#This Row],[Year]],2))</f>
        <v>Nov-16</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row>
    <row r="142" spans="1:31" x14ac:dyDescent="0.3">
      <c r="A142" t="s">
        <v>34</v>
      </c>
      <c r="B142">
        <v>2016</v>
      </c>
      <c r="C142" t="s">
        <v>44</v>
      </c>
      <c r="D142" t="str">
        <f>_xlfn.CONCAT(LEFT(Table1[[#This Row],[Month]],3),"-",RIGHT(Table1[[#This Row],[Year]],2))</f>
        <v>Nov-16</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row>
    <row r="143" spans="1:31" x14ac:dyDescent="0.3">
      <c r="A143" t="s">
        <v>30</v>
      </c>
      <c r="B143">
        <v>2016</v>
      </c>
      <c r="C143" t="s">
        <v>45</v>
      </c>
      <c r="D143" t="str">
        <f>_xlfn.CONCAT(LEFT(Table1[[#This Row],[Month]],3),"-",RIGHT(Table1[[#This Row],[Year]],2))</f>
        <v>Dec-16</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t="s">
        <v>32</v>
      </c>
      <c r="W143">
        <v>132</v>
      </c>
      <c r="X143">
        <v>132.9</v>
      </c>
      <c r="Y143">
        <v>129.69999999999999</v>
      </c>
      <c r="Z143">
        <v>118.6</v>
      </c>
      <c r="AA143">
        <v>127.3</v>
      </c>
      <c r="AB143">
        <v>134.19999999999999</v>
      </c>
      <c r="AC143">
        <v>121.9</v>
      </c>
      <c r="AD143">
        <v>126.3</v>
      </c>
      <c r="AE143">
        <v>132.80000000000001</v>
      </c>
    </row>
    <row r="144" spans="1:31" x14ac:dyDescent="0.3">
      <c r="A144" t="s">
        <v>33</v>
      </c>
      <c r="B144">
        <v>2016</v>
      </c>
      <c r="C144" t="s">
        <v>45</v>
      </c>
      <c r="D144" t="str">
        <f>_xlfn.CONCAT(LEFT(Table1[[#This Row],[Month]],3),"-",RIGHT(Table1[[#This Row],[Year]],2))</f>
        <v>Dec-16</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row>
    <row r="145" spans="1:31" x14ac:dyDescent="0.3">
      <c r="A145" t="s">
        <v>34</v>
      </c>
      <c r="B145">
        <v>2016</v>
      </c>
      <c r="C145" t="s">
        <v>45</v>
      </c>
      <c r="D145" t="str">
        <f>_xlfn.CONCAT(LEFT(Table1[[#This Row],[Month]],3),"-",RIGHT(Table1[[#This Row],[Year]],2))</f>
        <v>Dec-16</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row>
    <row r="146" spans="1:31" x14ac:dyDescent="0.3">
      <c r="A146" t="s">
        <v>30</v>
      </c>
      <c r="B146">
        <v>2017</v>
      </c>
      <c r="C146" t="s">
        <v>31</v>
      </c>
      <c r="D146" t="str">
        <f>_xlfn.CONCAT(LEFT(Table1[[#This Row],[Month]],3),"-",RIGHT(Table1[[#This Row],[Year]],2))</f>
        <v>Jan-17</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t="s">
        <v>32</v>
      </c>
      <c r="W146">
        <v>132.1</v>
      </c>
      <c r="X146">
        <v>133.19999999999999</v>
      </c>
      <c r="Y146">
        <v>129.9</v>
      </c>
      <c r="Z146">
        <v>119.1</v>
      </c>
      <c r="AA146">
        <v>127</v>
      </c>
      <c r="AB146">
        <v>134.6</v>
      </c>
      <c r="AC146">
        <v>122.3</v>
      </c>
      <c r="AD146">
        <v>126.6</v>
      </c>
      <c r="AE146">
        <v>132.4</v>
      </c>
    </row>
    <row r="147" spans="1:31" x14ac:dyDescent="0.3">
      <c r="A147" t="s">
        <v>33</v>
      </c>
      <c r="B147">
        <v>2017</v>
      </c>
      <c r="C147" t="s">
        <v>31</v>
      </c>
      <c r="D147" t="str">
        <f>_xlfn.CONCAT(LEFT(Table1[[#This Row],[Month]],3),"-",RIGHT(Table1[[#This Row],[Year]],2))</f>
        <v>Jan-17</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row>
    <row r="148" spans="1:31" x14ac:dyDescent="0.3">
      <c r="A148" t="s">
        <v>34</v>
      </c>
      <c r="B148">
        <v>2017</v>
      </c>
      <c r="C148" t="s">
        <v>31</v>
      </c>
      <c r="D148" t="str">
        <f>_xlfn.CONCAT(LEFT(Table1[[#This Row],[Month]],3),"-",RIGHT(Table1[[#This Row],[Year]],2))</f>
        <v>Jan-17</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row>
    <row r="149" spans="1:31" x14ac:dyDescent="0.3">
      <c r="A149" t="s">
        <v>30</v>
      </c>
      <c r="B149">
        <v>2017</v>
      </c>
      <c r="C149" t="s">
        <v>35</v>
      </c>
      <c r="D149" t="str">
        <f>_xlfn.CONCAT(LEFT(Table1[[#This Row],[Month]],3),"-",RIGHT(Table1[[#This Row],[Year]],2))</f>
        <v>Feb-17</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t="s">
        <v>32</v>
      </c>
      <c r="W149">
        <v>133.19999999999999</v>
      </c>
      <c r="X149">
        <v>133.6</v>
      </c>
      <c r="Y149">
        <v>130.1</v>
      </c>
      <c r="Z149">
        <v>119.5</v>
      </c>
      <c r="AA149">
        <v>127.7</v>
      </c>
      <c r="AB149">
        <v>134.9</v>
      </c>
      <c r="AC149">
        <v>123.2</v>
      </c>
      <c r="AD149">
        <v>127</v>
      </c>
      <c r="AE149">
        <v>132.6</v>
      </c>
    </row>
    <row r="150" spans="1:31" x14ac:dyDescent="0.3">
      <c r="A150" t="s">
        <v>33</v>
      </c>
      <c r="B150">
        <v>2017</v>
      </c>
      <c r="C150" t="s">
        <v>35</v>
      </c>
      <c r="D150" t="str">
        <f>_xlfn.CONCAT(LEFT(Table1[[#This Row],[Month]],3),"-",RIGHT(Table1[[#This Row],[Year]],2))</f>
        <v>Feb-17</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row>
    <row r="151" spans="1:31" x14ac:dyDescent="0.3">
      <c r="A151" t="s">
        <v>34</v>
      </c>
      <c r="B151">
        <v>2017</v>
      </c>
      <c r="C151" t="s">
        <v>35</v>
      </c>
      <c r="D151" t="str">
        <f>_xlfn.CONCAT(LEFT(Table1[[#This Row],[Month]],3),"-",RIGHT(Table1[[#This Row],[Year]],2))</f>
        <v>Feb-17</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row>
    <row r="152" spans="1:31" x14ac:dyDescent="0.3">
      <c r="A152" t="s">
        <v>30</v>
      </c>
      <c r="B152">
        <v>2017</v>
      </c>
      <c r="C152" t="s">
        <v>36</v>
      </c>
      <c r="D152" t="str">
        <f>_xlfn.CONCAT(LEFT(Table1[[#This Row],[Month]],3),"-",RIGHT(Table1[[#This Row],[Year]],2))</f>
        <v>Mar-17</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t="s">
        <v>32</v>
      </c>
      <c r="W152">
        <v>134.19999999999999</v>
      </c>
      <c r="X152">
        <v>134.1</v>
      </c>
      <c r="Y152">
        <v>130.6</v>
      </c>
      <c r="Z152">
        <v>119.8</v>
      </c>
      <c r="AA152">
        <v>128.30000000000001</v>
      </c>
      <c r="AB152">
        <v>135.19999999999999</v>
      </c>
      <c r="AC152">
        <v>123.3</v>
      </c>
      <c r="AD152">
        <v>127.4</v>
      </c>
      <c r="AE152">
        <v>132.80000000000001</v>
      </c>
    </row>
    <row r="153" spans="1:31" x14ac:dyDescent="0.3">
      <c r="A153" t="s">
        <v>33</v>
      </c>
      <c r="B153">
        <v>2017</v>
      </c>
      <c r="C153" t="s">
        <v>36</v>
      </c>
      <c r="D153" t="str">
        <f>_xlfn.CONCAT(LEFT(Table1[[#This Row],[Month]],3),"-",RIGHT(Table1[[#This Row],[Year]],2))</f>
        <v>Mar-17</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row>
    <row r="154" spans="1:31" x14ac:dyDescent="0.3">
      <c r="A154" t="s">
        <v>34</v>
      </c>
      <c r="B154">
        <v>2017</v>
      </c>
      <c r="C154" t="s">
        <v>36</v>
      </c>
      <c r="D154" t="str">
        <f>_xlfn.CONCAT(LEFT(Table1[[#This Row],[Month]],3),"-",RIGHT(Table1[[#This Row],[Year]],2))</f>
        <v>Mar-17</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row>
    <row r="155" spans="1:31" x14ac:dyDescent="0.3">
      <c r="A155" t="s">
        <v>30</v>
      </c>
      <c r="B155">
        <v>2017</v>
      </c>
      <c r="C155" t="s">
        <v>37</v>
      </c>
      <c r="D155" t="str">
        <f>_xlfn.CONCAT(LEFT(Table1[[#This Row],[Month]],3),"-",RIGHT(Table1[[#This Row],[Year]],2))</f>
        <v>Apr-17</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t="s">
        <v>32</v>
      </c>
      <c r="W155">
        <v>135</v>
      </c>
      <c r="X155">
        <v>134.30000000000001</v>
      </c>
      <c r="Y155">
        <v>131</v>
      </c>
      <c r="Z155">
        <v>119.2</v>
      </c>
      <c r="AA155">
        <v>128.30000000000001</v>
      </c>
      <c r="AB155">
        <v>135.69999999999999</v>
      </c>
      <c r="AC155">
        <v>123.7</v>
      </c>
      <c r="AD155">
        <v>127.5</v>
      </c>
      <c r="AE155">
        <v>132.9</v>
      </c>
    </row>
    <row r="156" spans="1:31" x14ac:dyDescent="0.3">
      <c r="A156" t="s">
        <v>33</v>
      </c>
      <c r="B156">
        <v>2017</v>
      </c>
      <c r="C156" t="s">
        <v>37</v>
      </c>
      <c r="D156" t="str">
        <f>_xlfn.CONCAT(LEFT(Table1[[#This Row],[Month]],3),"-",RIGHT(Table1[[#This Row],[Year]],2))</f>
        <v>Apr-17</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row>
    <row r="157" spans="1:31" x14ac:dyDescent="0.3">
      <c r="A157" t="s">
        <v>34</v>
      </c>
      <c r="B157">
        <v>2017</v>
      </c>
      <c r="C157" t="s">
        <v>37</v>
      </c>
      <c r="D157" t="str">
        <f>_xlfn.CONCAT(LEFT(Table1[[#This Row],[Month]],3),"-",RIGHT(Table1[[#This Row],[Year]],2))</f>
        <v>Apr-17</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row>
    <row r="158" spans="1:31" x14ac:dyDescent="0.3">
      <c r="A158" t="s">
        <v>30</v>
      </c>
      <c r="B158">
        <v>2017</v>
      </c>
      <c r="C158" t="s">
        <v>38</v>
      </c>
      <c r="D158" t="str">
        <f>_xlfn.CONCAT(LEFT(Table1[[#This Row],[Month]],3),"-",RIGHT(Table1[[#This Row],[Year]],2))</f>
        <v>May-17</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t="s">
        <v>32</v>
      </c>
      <c r="W158">
        <v>135</v>
      </c>
      <c r="X158">
        <v>134.9</v>
      </c>
      <c r="Y158">
        <v>131.4</v>
      </c>
      <c r="Z158">
        <v>119.4</v>
      </c>
      <c r="AA158">
        <v>129.4</v>
      </c>
      <c r="AB158">
        <v>136.30000000000001</v>
      </c>
      <c r="AC158">
        <v>123.7</v>
      </c>
      <c r="AD158">
        <v>127.9</v>
      </c>
      <c r="AE158">
        <v>133.30000000000001</v>
      </c>
    </row>
    <row r="159" spans="1:31" x14ac:dyDescent="0.3">
      <c r="A159" t="s">
        <v>33</v>
      </c>
      <c r="B159">
        <v>2017</v>
      </c>
      <c r="C159" t="s">
        <v>38</v>
      </c>
      <c r="D159" t="str">
        <f>_xlfn.CONCAT(LEFT(Table1[[#This Row],[Month]],3),"-",RIGHT(Table1[[#This Row],[Year]],2))</f>
        <v>May-17</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row>
    <row r="160" spans="1:31" x14ac:dyDescent="0.3">
      <c r="A160" t="s">
        <v>34</v>
      </c>
      <c r="B160">
        <v>2017</v>
      </c>
      <c r="C160" t="s">
        <v>38</v>
      </c>
      <c r="D160" t="str">
        <f>_xlfn.CONCAT(LEFT(Table1[[#This Row],[Month]],3),"-",RIGHT(Table1[[#This Row],[Year]],2))</f>
        <v>May-17</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row>
    <row r="161" spans="1:31" x14ac:dyDescent="0.3">
      <c r="A161" t="s">
        <v>30</v>
      </c>
      <c r="B161">
        <v>2017</v>
      </c>
      <c r="C161" t="s">
        <v>39</v>
      </c>
      <c r="D161" t="str">
        <f>_xlfn.CONCAT(LEFT(Table1[[#This Row],[Month]],3),"-",RIGHT(Table1[[#This Row],[Year]],2))</f>
        <v>Jun-17</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t="s">
        <v>32</v>
      </c>
      <c r="W161">
        <v>134.80000000000001</v>
      </c>
      <c r="X161">
        <v>135.19999999999999</v>
      </c>
      <c r="Y161">
        <v>131.30000000000001</v>
      </c>
      <c r="Z161">
        <v>119.4</v>
      </c>
      <c r="AA161">
        <v>129.80000000000001</v>
      </c>
      <c r="AB161">
        <v>136.9</v>
      </c>
      <c r="AC161">
        <v>124.1</v>
      </c>
      <c r="AD161">
        <v>128.1</v>
      </c>
      <c r="AE161">
        <v>133.9</v>
      </c>
    </row>
    <row r="162" spans="1:31" x14ac:dyDescent="0.3">
      <c r="A162" t="s">
        <v>33</v>
      </c>
      <c r="B162">
        <v>2017</v>
      </c>
      <c r="C162" t="s">
        <v>39</v>
      </c>
      <c r="D162" t="str">
        <f>_xlfn.CONCAT(LEFT(Table1[[#This Row],[Month]],3),"-",RIGHT(Table1[[#This Row],[Year]],2))</f>
        <v>Jun-17</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row>
    <row r="163" spans="1:31" x14ac:dyDescent="0.3">
      <c r="A163" t="s">
        <v>34</v>
      </c>
      <c r="B163">
        <v>2017</v>
      </c>
      <c r="C163" t="s">
        <v>39</v>
      </c>
      <c r="D163" t="str">
        <f>_xlfn.CONCAT(LEFT(Table1[[#This Row],[Month]],3),"-",RIGHT(Table1[[#This Row],[Year]],2))</f>
        <v>Jun-17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row>
    <row r="164" spans="1:31" x14ac:dyDescent="0.3">
      <c r="A164" t="s">
        <v>30</v>
      </c>
      <c r="B164">
        <v>2017</v>
      </c>
      <c r="C164" t="s">
        <v>40</v>
      </c>
      <c r="D164" t="str">
        <f>_xlfn.CONCAT(LEFT(Table1[[#This Row],[Month]],3),"-",RIGHT(Table1[[#This Row],[Year]],2))</f>
        <v>Jul-17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t="s">
        <v>32</v>
      </c>
      <c r="W164">
        <v>135.30000000000001</v>
      </c>
      <c r="X164">
        <v>136.1</v>
      </c>
      <c r="Y164">
        <v>132.1</v>
      </c>
      <c r="Z164">
        <v>119.1</v>
      </c>
      <c r="AA164">
        <v>130.6</v>
      </c>
      <c r="AB164">
        <v>138.6</v>
      </c>
      <c r="AC164">
        <v>124.4</v>
      </c>
      <c r="AD164">
        <v>128.6</v>
      </c>
      <c r="AE164">
        <v>136.19999999999999</v>
      </c>
    </row>
    <row r="165" spans="1:31" x14ac:dyDescent="0.3">
      <c r="A165" t="s">
        <v>33</v>
      </c>
      <c r="B165">
        <v>2017</v>
      </c>
      <c r="C165" t="s">
        <v>40</v>
      </c>
      <c r="D165" t="str">
        <f>_xlfn.CONCAT(LEFT(Table1[[#This Row],[Month]],3),"-",RIGHT(Table1[[#This Row],[Year]],2))</f>
        <v>Jul-17</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row>
    <row r="166" spans="1:31" x14ac:dyDescent="0.3">
      <c r="A166" t="s">
        <v>34</v>
      </c>
      <c r="B166">
        <v>2017</v>
      </c>
      <c r="C166" t="s">
        <v>40</v>
      </c>
      <c r="D166" t="str">
        <f>_xlfn.CONCAT(LEFT(Table1[[#This Row],[Month]],3),"-",RIGHT(Table1[[#This Row],[Year]],2))</f>
        <v>Jul-17</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row>
    <row r="167" spans="1:31" x14ac:dyDescent="0.3">
      <c r="A167" t="s">
        <v>30</v>
      </c>
      <c r="B167">
        <v>2017</v>
      </c>
      <c r="C167" t="s">
        <v>41</v>
      </c>
      <c r="D167" t="str">
        <f>_xlfn.CONCAT(LEFT(Table1[[#This Row],[Month]],3),"-",RIGHT(Table1[[#This Row],[Year]],2))</f>
        <v>Aug-17</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t="s">
        <v>32</v>
      </c>
      <c r="W167">
        <v>136.4</v>
      </c>
      <c r="X167">
        <v>137.30000000000001</v>
      </c>
      <c r="Y167">
        <v>133</v>
      </c>
      <c r="Z167">
        <v>120.3</v>
      </c>
      <c r="AA167">
        <v>131.5</v>
      </c>
      <c r="AB167">
        <v>140.19999999999999</v>
      </c>
      <c r="AC167">
        <v>125.4</v>
      </c>
      <c r="AD167">
        <v>129.69999999999999</v>
      </c>
      <c r="AE167">
        <v>137.80000000000001</v>
      </c>
    </row>
    <row r="168" spans="1:31" x14ac:dyDescent="0.3">
      <c r="A168" t="s">
        <v>33</v>
      </c>
      <c r="B168">
        <v>2017</v>
      </c>
      <c r="C168" t="s">
        <v>41</v>
      </c>
      <c r="D168" t="str">
        <f>_xlfn.CONCAT(LEFT(Table1[[#This Row],[Month]],3),"-",RIGHT(Table1[[#This Row],[Year]],2))</f>
        <v>Aug-17</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row>
    <row r="169" spans="1:31" x14ac:dyDescent="0.3">
      <c r="A169" t="s">
        <v>34</v>
      </c>
      <c r="B169">
        <v>2017</v>
      </c>
      <c r="C169" t="s">
        <v>41</v>
      </c>
      <c r="D169" t="str">
        <f>_xlfn.CONCAT(LEFT(Table1[[#This Row],[Month]],3),"-",RIGHT(Table1[[#This Row],[Year]],2))</f>
        <v>Aug-17</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row>
    <row r="170" spans="1:31" x14ac:dyDescent="0.3">
      <c r="A170" t="s">
        <v>30</v>
      </c>
      <c r="B170">
        <v>2017</v>
      </c>
      <c r="C170" t="s">
        <v>42</v>
      </c>
      <c r="D170" t="str">
        <f>_xlfn.CONCAT(LEFT(Table1[[#This Row],[Month]],3),"-",RIGHT(Table1[[#This Row],[Year]],2))</f>
        <v>Sep-17</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t="s">
        <v>32</v>
      </c>
      <c r="W170">
        <v>137.4</v>
      </c>
      <c r="X170">
        <v>137.9</v>
      </c>
      <c r="Y170">
        <v>133.4</v>
      </c>
      <c r="Z170">
        <v>121.2</v>
      </c>
      <c r="AA170">
        <v>132.30000000000001</v>
      </c>
      <c r="AB170">
        <v>139.6</v>
      </c>
      <c r="AC170">
        <v>126.7</v>
      </c>
      <c r="AD170">
        <v>130.30000000000001</v>
      </c>
      <c r="AE170">
        <v>137.6</v>
      </c>
    </row>
    <row r="171" spans="1:31" x14ac:dyDescent="0.3">
      <c r="A171" t="s">
        <v>33</v>
      </c>
      <c r="B171">
        <v>2017</v>
      </c>
      <c r="C171" t="s">
        <v>42</v>
      </c>
      <c r="D171" t="str">
        <f>_xlfn.CONCAT(LEFT(Table1[[#This Row],[Month]],3),"-",RIGHT(Table1[[#This Row],[Year]],2))</f>
        <v>Sep-17</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row>
    <row r="172" spans="1:31" x14ac:dyDescent="0.3">
      <c r="A172" t="s">
        <v>34</v>
      </c>
      <c r="B172">
        <v>2017</v>
      </c>
      <c r="C172" t="s">
        <v>42</v>
      </c>
      <c r="D172" t="str">
        <f>_xlfn.CONCAT(LEFT(Table1[[#This Row],[Month]],3),"-",RIGHT(Table1[[#This Row],[Year]],2))</f>
        <v>Sep-17</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row>
    <row r="173" spans="1:31" x14ac:dyDescent="0.3">
      <c r="A173" t="s">
        <v>30</v>
      </c>
      <c r="B173">
        <v>2017</v>
      </c>
      <c r="C173" t="s">
        <v>43</v>
      </c>
      <c r="D173" t="str">
        <f>_xlfn.CONCAT(LEFT(Table1[[#This Row],[Month]],3),"-",RIGHT(Table1[[#This Row],[Year]],2))</f>
        <v>Oct-17</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t="s">
        <v>32</v>
      </c>
      <c r="W173">
        <v>138.1</v>
      </c>
      <c r="X173">
        <v>138.4</v>
      </c>
      <c r="Y173">
        <v>134.19999999999999</v>
      </c>
      <c r="Z173">
        <v>121</v>
      </c>
      <c r="AA173">
        <v>133</v>
      </c>
      <c r="AB173">
        <v>140.1</v>
      </c>
      <c r="AC173">
        <v>127.4</v>
      </c>
      <c r="AD173">
        <v>130.69999999999999</v>
      </c>
      <c r="AE173">
        <v>138.30000000000001</v>
      </c>
    </row>
    <row r="174" spans="1:31" x14ac:dyDescent="0.3">
      <c r="A174" t="s">
        <v>33</v>
      </c>
      <c r="B174">
        <v>2017</v>
      </c>
      <c r="C174" t="s">
        <v>43</v>
      </c>
      <c r="D174" t="str">
        <f>_xlfn.CONCAT(LEFT(Table1[[#This Row],[Month]],3),"-",RIGHT(Table1[[#This Row],[Year]],2))</f>
        <v>Oct-17</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row>
    <row r="175" spans="1:31" x14ac:dyDescent="0.3">
      <c r="A175" t="s">
        <v>34</v>
      </c>
      <c r="B175">
        <v>2017</v>
      </c>
      <c r="C175" t="s">
        <v>43</v>
      </c>
      <c r="D175" t="str">
        <f>_xlfn.CONCAT(LEFT(Table1[[#This Row],[Month]],3),"-",RIGHT(Table1[[#This Row],[Year]],2))</f>
        <v>Oct-17</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row>
    <row r="176" spans="1:31" x14ac:dyDescent="0.3">
      <c r="A176" t="s">
        <v>30</v>
      </c>
      <c r="B176">
        <v>2017</v>
      </c>
      <c r="C176" t="s">
        <v>44</v>
      </c>
      <c r="D176" t="str">
        <f>_xlfn.CONCAT(LEFT(Table1[[#This Row],[Month]],3),"-",RIGHT(Table1[[#This Row],[Year]],2))</f>
        <v>Nov-17</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t="s">
        <v>32</v>
      </c>
      <c r="W176">
        <v>141.1</v>
      </c>
      <c r="X176">
        <v>139.4</v>
      </c>
      <c r="Y176">
        <v>135.80000000000001</v>
      </c>
      <c r="Z176">
        <v>121.6</v>
      </c>
      <c r="AA176">
        <v>133.69999999999999</v>
      </c>
      <c r="AB176">
        <v>141.5</v>
      </c>
      <c r="AC176">
        <v>128.1</v>
      </c>
      <c r="AD176">
        <v>131.69999999999999</v>
      </c>
      <c r="AE176">
        <v>140</v>
      </c>
    </row>
    <row r="177" spans="1:31" x14ac:dyDescent="0.3">
      <c r="A177" t="s">
        <v>33</v>
      </c>
      <c r="B177">
        <v>2017</v>
      </c>
      <c r="C177" t="s">
        <v>44</v>
      </c>
      <c r="D177" t="str">
        <f>_xlfn.CONCAT(LEFT(Table1[[#This Row],[Month]],3),"-",RIGHT(Table1[[#This Row],[Year]],2))</f>
        <v>Nov-17</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row>
    <row r="178" spans="1:31" x14ac:dyDescent="0.3">
      <c r="A178" t="s">
        <v>34</v>
      </c>
      <c r="B178">
        <v>2017</v>
      </c>
      <c r="C178" t="s">
        <v>44</v>
      </c>
      <c r="D178" t="str">
        <f>_xlfn.CONCAT(LEFT(Table1[[#This Row],[Month]],3),"-",RIGHT(Table1[[#This Row],[Year]],2))</f>
        <v>Nov-17</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row>
    <row r="179" spans="1:31" x14ac:dyDescent="0.3">
      <c r="A179" t="s">
        <v>30</v>
      </c>
      <c r="B179">
        <v>2017</v>
      </c>
      <c r="C179" t="s">
        <v>45</v>
      </c>
      <c r="D179" t="str">
        <f>_xlfn.CONCAT(LEFT(Table1[[#This Row],[Month]],3),"-",RIGHT(Table1[[#This Row],[Year]],2))</f>
        <v>Dec-17</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t="s">
        <v>32</v>
      </c>
      <c r="W179">
        <v>142.6</v>
      </c>
      <c r="X179">
        <v>139.5</v>
      </c>
      <c r="Y179">
        <v>136.1</v>
      </c>
      <c r="Z179">
        <v>122</v>
      </c>
      <c r="AA179">
        <v>133.4</v>
      </c>
      <c r="AB179">
        <v>141.1</v>
      </c>
      <c r="AC179">
        <v>127.8</v>
      </c>
      <c r="AD179">
        <v>131.9</v>
      </c>
      <c r="AE179">
        <v>139.80000000000001</v>
      </c>
    </row>
    <row r="180" spans="1:31" x14ac:dyDescent="0.3">
      <c r="A180" t="s">
        <v>33</v>
      </c>
      <c r="B180">
        <v>2017</v>
      </c>
      <c r="C180" t="s">
        <v>45</v>
      </c>
      <c r="D180" t="str">
        <f>_xlfn.CONCAT(LEFT(Table1[[#This Row],[Month]],3),"-",RIGHT(Table1[[#This Row],[Year]],2))</f>
        <v>Dec-17</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row>
    <row r="181" spans="1:31" x14ac:dyDescent="0.3">
      <c r="A181" t="s">
        <v>34</v>
      </c>
      <c r="B181">
        <v>2017</v>
      </c>
      <c r="C181" t="s">
        <v>45</v>
      </c>
      <c r="D181" t="str">
        <f>_xlfn.CONCAT(LEFT(Table1[[#This Row],[Month]],3),"-",RIGHT(Table1[[#This Row],[Year]],2))</f>
        <v>Dec-17</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row>
    <row r="182" spans="1:31" x14ac:dyDescent="0.3">
      <c r="A182" t="s">
        <v>30</v>
      </c>
      <c r="B182">
        <v>2018</v>
      </c>
      <c r="C182" t="s">
        <v>31</v>
      </c>
      <c r="D182" t="str">
        <f>_xlfn.CONCAT(LEFT(Table1[[#This Row],[Month]],3),"-",RIGHT(Table1[[#This Row],[Year]],2))</f>
        <v>Jan-18</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t="s">
        <v>32</v>
      </c>
      <c r="W182">
        <v>142.30000000000001</v>
      </c>
      <c r="X182">
        <v>139.80000000000001</v>
      </c>
      <c r="Y182">
        <v>136</v>
      </c>
      <c r="Z182">
        <v>122.7</v>
      </c>
      <c r="AA182">
        <v>134.30000000000001</v>
      </c>
      <c r="AB182">
        <v>141.6</v>
      </c>
      <c r="AC182">
        <v>128.6</v>
      </c>
      <c r="AD182">
        <v>132.30000000000001</v>
      </c>
      <c r="AE182">
        <v>139.30000000000001</v>
      </c>
    </row>
    <row r="183" spans="1:31" x14ac:dyDescent="0.3">
      <c r="A183" t="s">
        <v>33</v>
      </c>
      <c r="B183">
        <v>2018</v>
      </c>
      <c r="C183" t="s">
        <v>31</v>
      </c>
      <c r="D183" t="str">
        <f>_xlfn.CONCAT(LEFT(Table1[[#This Row],[Month]],3),"-",RIGHT(Table1[[#This Row],[Year]],2))</f>
        <v>Jan-18</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row>
    <row r="184" spans="1:31" x14ac:dyDescent="0.3">
      <c r="A184" t="s">
        <v>34</v>
      </c>
      <c r="B184">
        <v>2018</v>
      </c>
      <c r="C184" t="s">
        <v>31</v>
      </c>
      <c r="D184" t="str">
        <f>_xlfn.CONCAT(LEFT(Table1[[#This Row],[Month]],3),"-",RIGHT(Table1[[#This Row],[Year]],2))</f>
        <v>Jan-18</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row>
    <row r="185" spans="1:31" x14ac:dyDescent="0.3">
      <c r="A185" t="s">
        <v>30</v>
      </c>
      <c r="B185">
        <v>2018</v>
      </c>
      <c r="C185" t="s">
        <v>35</v>
      </c>
      <c r="D185" t="str">
        <f>_xlfn.CONCAT(LEFT(Table1[[#This Row],[Month]],3),"-",RIGHT(Table1[[#This Row],[Year]],2))</f>
        <v>Feb-18</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t="s">
        <v>32</v>
      </c>
      <c r="W185">
        <v>142.4</v>
      </c>
      <c r="X185">
        <v>139.9</v>
      </c>
      <c r="Y185">
        <v>136.19999999999999</v>
      </c>
      <c r="Z185">
        <v>123.3</v>
      </c>
      <c r="AA185">
        <v>134.30000000000001</v>
      </c>
      <c r="AB185">
        <v>141.5</v>
      </c>
      <c r="AC185">
        <v>128.80000000000001</v>
      </c>
      <c r="AD185">
        <v>132.5</v>
      </c>
      <c r="AE185">
        <v>138.5</v>
      </c>
    </row>
    <row r="186" spans="1:31" x14ac:dyDescent="0.3">
      <c r="A186" t="s">
        <v>33</v>
      </c>
      <c r="B186">
        <v>2018</v>
      </c>
      <c r="C186" t="s">
        <v>35</v>
      </c>
      <c r="D186" t="str">
        <f>_xlfn.CONCAT(LEFT(Table1[[#This Row],[Month]],3),"-",RIGHT(Table1[[#This Row],[Year]],2))</f>
        <v>Feb-18</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row>
    <row r="187" spans="1:31" x14ac:dyDescent="0.3">
      <c r="A187" t="s">
        <v>34</v>
      </c>
      <c r="B187">
        <v>2018</v>
      </c>
      <c r="C187" t="s">
        <v>35</v>
      </c>
      <c r="D187" t="str">
        <f>_xlfn.CONCAT(LEFT(Table1[[#This Row],[Month]],3),"-",RIGHT(Table1[[#This Row],[Year]],2))</f>
        <v>Feb-18</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row>
    <row r="188" spans="1:31" x14ac:dyDescent="0.3">
      <c r="A188" t="s">
        <v>30</v>
      </c>
      <c r="B188">
        <v>2018</v>
      </c>
      <c r="C188" t="s">
        <v>36</v>
      </c>
      <c r="D188" t="str">
        <f>_xlfn.CONCAT(LEFT(Table1[[#This Row],[Month]],3),"-",RIGHT(Table1[[#This Row],[Year]],2))</f>
        <v>Mar-18</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t="s">
        <v>32</v>
      </c>
      <c r="W188">
        <v>142.6</v>
      </c>
      <c r="X188">
        <v>139.9</v>
      </c>
      <c r="Y188">
        <v>136.69999999999999</v>
      </c>
      <c r="Z188">
        <v>124.6</v>
      </c>
      <c r="AA188">
        <v>135.1</v>
      </c>
      <c r="AB188">
        <v>142.69999999999999</v>
      </c>
      <c r="AC188">
        <v>129.30000000000001</v>
      </c>
      <c r="AD188">
        <v>133.30000000000001</v>
      </c>
      <c r="AE188">
        <v>138.69999999999999</v>
      </c>
    </row>
    <row r="189" spans="1:31" x14ac:dyDescent="0.3">
      <c r="A189" t="s">
        <v>33</v>
      </c>
      <c r="B189">
        <v>2018</v>
      </c>
      <c r="C189" t="s">
        <v>36</v>
      </c>
      <c r="D189" t="str">
        <f>_xlfn.CONCAT(LEFT(Table1[[#This Row],[Month]],3),"-",RIGHT(Table1[[#This Row],[Year]],2))</f>
        <v>Mar-18</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row>
    <row r="190" spans="1:31" x14ac:dyDescent="0.3">
      <c r="A190" t="s">
        <v>34</v>
      </c>
      <c r="B190">
        <v>2018</v>
      </c>
      <c r="C190" t="s">
        <v>36</v>
      </c>
      <c r="D190" t="str">
        <f>_xlfn.CONCAT(LEFT(Table1[[#This Row],[Month]],3),"-",RIGHT(Table1[[#This Row],[Year]],2))</f>
        <v>Mar-18</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row>
    <row r="191" spans="1:31" x14ac:dyDescent="0.3">
      <c r="A191" t="s">
        <v>30</v>
      </c>
      <c r="B191">
        <v>2018</v>
      </c>
      <c r="C191" t="s">
        <v>37</v>
      </c>
      <c r="D191" t="str">
        <f>_xlfn.CONCAT(LEFT(Table1[[#This Row],[Month]],3),"-",RIGHT(Table1[[#This Row],[Year]],2))</f>
        <v>Apr-18</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t="s">
        <v>32</v>
      </c>
      <c r="W191">
        <v>143.80000000000001</v>
      </c>
      <c r="X191">
        <v>140.9</v>
      </c>
      <c r="Y191">
        <v>137.6</v>
      </c>
      <c r="Z191">
        <v>125.3</v>
      </c>
      <c r="AA191">
        <v>136</v>
      </c>
      <c r="AB191">
        <v>143.69999999999999</v>
      </c>
      <c r="AC191">
        <v>130.4</v>
      </c>
      <c r="AD191">
        <v>134.19999999999999</v>
      </c>
      <c r="AE191">
        <v>139.1</v>
      </c>
    </row>
    <row r="192" spans="1:31" x14ac:dyDescent="0.3">
      <c r="A192" t="s">
        <v>33</v>
      </c>
      <c r="B192">
        <v>2018</v>
      </c>
      <c r="C192" t="s">
        <v>37</v>
      </c>
      <c r="D192" t="str">
        <f>_xlfn.CONCAT(LEFT(Table1[[#This Row],[Month]],3),"-",RIGHT(Table1[[#This Row],[Year]],2))</f>
        <v>Apr-18</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row>
    <row r="193" spans="1:31" x14ac:dyDescent="0.3">
      <c r="A193" t="s">
        <v>34</v>
      </c>
      <c r="B193">
        <v>2018</v>
      </c>
      <c r="C193" t="s">
        <v>37</v>
      </c>
      <c r="D193" t="str">
        <f>_xlfn.CONCAT(LEFT(Table1[[#This Row],[Month]],3),"-",RIGHT(Table1[[#This Row],[Year]],2))</f>
        <v>Apr-18</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row>
    <row r="194" spans="1:31" x14ac:dyDescent="0.3">
      <c r="A194" t="s">
        <v>30</v>
      </c>
      <c r="B194">
        <v>2018</v>
      </c>
      <c r="C194" t="s">
        <v>38</v>
      </c>
      <c r="D194" t="str">
        <f>_xlfn.CONCAT(LEFT(Table1[[#This Row],[Month]],3),"-",RIGHT(Table1[[#This Row],[Year]],2))</f>
        <v>May-18</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t="s">
        <v>32</v>
      </c>
      <c r="W194">
        <v>144.30000000000001</v>
      </c>
      <c r="X194">
        <v>141.80000000000001</v>
      </c>
      <c r="Y194">
        <v>138.4</v>
      </c>
      <c r="Z194">
        <v>126.4</v>
      </c>
      <c r="AA194">
        <v>136.80000000000001</v>
      </c>
      <c r="AB194">
        <v>144.4</v>
      </c>
      <c r="AC194">
        <v>131.19999999999999</v>
      </c>
      <c r="AD194">
        <v>135.1</v>
      </c>
      <c r="AE194">
        <v>139.80000000000001</v>
      </c>
    </row>
    <row r="195" spans="1:31" x14ac:dyDescent="0.3">
      <c r="A195" t="s">
        <v>33</v>
      </c>
      <c r="B195">
        <v>2018</v>
      </c>
      <c r="C195" t="s">
        <v>38</v>
      </c>
      <c r="D195" t="str">
        <f>_xlfn.CONCAT(LEFT(Table1[[#This Row],[Month]],3),"-",RIGHT(Table1[[#This Row],[Year]],2))</f>
        <v>May-18</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row>
    <row r="196" spans="1:31" x14ac:dyDescent="0.3">
      <c r="A196" t="s">
        <v>34</v>
      </c>
      <c r="B196">
        <v>2018</v>
      </c>
      <c r="C196" t="s">
        <v>38</v>
      </c>
      <c r="D196" t="str">
        <f>_xlfn.CONCAT(LEFT(Table1[[#This Row],[Month]],3),"-",RIGHT(Table1[[#This Row],[Year]],2))</f>
        <v>May-18</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row>
    <row r="197" spans="1:31" x14ac:dyDescent="0.3">
      <c r="A197" t="s">
        <v>30</v>
      </c>
      <c r="B197">
        <v>2018</v>
      </c>
      <c r="C197" t="s">
        <v>39</v>
      </c>
      <c r="D197" t="str">
        <f>_xlfn.CONCAT(LEFT(Table1[[#This Row],[Month]],3),"-",RIGHT(Table1[[#This Row],[Year]],2))</f>
        <v>Jun-18</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t="s">
        <v>32</v>
      </c>
      <c r="W197">
        <v>145.1</v>
      </c>
      <c r="X197">
        <v>142.19999999999999</v>
      </c>
      <c r="Y197">
        <v>138.4</v>
      </c>
      <c r="Z197">
        <v>127.4</v>
      </c>
      <c r="AA197">
        <v>137.80000000000001</v>
      </c>
      <c r="AB197">
        <v>145.1</v>
      </c>
      <c r="AC197">
        <v>131.4</v>
      </c>
      <c r="AD197">
        <v>135.6</v>
      </c>
      <c r="AE197">
        <v>140.5</v>
      </c>
    </row>
    <row r="198" spans="1:31" x14ac:dyDescent="0.3">
      <c r="A198" t="s">
        <v>33</v>
      </c>
      <c r="B198">
        <v>2018</v>
      </c>
      <c r="C198" t="s">
        <v>39</v>
      </c>
      <c r="D198" t="str">
        <f>_xlfn.CONCAT(LEFT(Table1[[#This Row],[Month]],3),"-",RIGHT(Table1[[#This Row],[Year]],2))</f>
        <v>Jun-18</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row>
    <row r="199" spans="1:31" x14ac:dyDescent="0.3">
      <c r="A199" t="s">
        <v>34</v>
      </c>
      <c r="B199">
        <v>2018</v>
      </c>
      <c r="C199" t="s">
        <v>39</v>
      </c>
      <c r="D199" t="str">
        <f>_xlfn.CONCAT(LEFT(Table1[[#This Row],[Month]],3),"-",RIGHT(Table1[[#This Row],[Year]],2))</f>
        <v>Jun-18</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row>
    <row r="200" spans="1:31" x14ac:dyDescent="0.3">
      <c r="A200" t="s">
        <v>30</v>
      </c>
      <c r="B200">
        <v>2018</v>
      </c>
      <c r="C200" t="s">
        <v>40</v>
      </c>
      <c r="D200" t="str">
        <f>_xlfn.CONCAT(LEFT(Table1[[#This Row],[Month]],3),"-",RIGHT(Table1[[#This Row],[Year]],2))</f>
        <v>Jul-18</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t="s">
        <v>32</v>
      </c>
      <c r="W200">
        <v>146.80000000000001</v>
      </c>
      <c r="X200">
        <v>143.1</v>
      </c>
      <c r="Y200">
        <v>139</v>
      </c>
      <c r="Z200">
        <v>127.5</v>
      </c>
      <c r="AA200">
        <v>138.4</v>
      </c>
      <c r="AB200">
        <v>145.80000000000001</v>
      </c>
      <c r="AC200">
        <v>131.4</v>
      </c>
      <c r="AD200">
        <v>136</v>
      </c>
      <c r="AE200">
        <v>141.80000000000001</v>
      </c>
    </row>
    <row r="201" spans="1:31" x14ac:dyDescent="0.3">
      <c r="A201" t="s">
        <v>33</v>
      </c>
      <c r="B201">
        <v>2018</v>
      </c>
      <c r="C201" t="s">
        <v>40</v>
      </c>
      <c r="D201" t="str">
        <f>_xlfn.CONCAT(LEFT(Table1[[#This Row],[Month]],3),"-",RIGHT(Table1[[#This Row],[Year]],2))</f>
        <v>Jul-18</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row>
    <row r="202" spans="1:31" x14ac:dyDescent="0.3">
      <c r="A202" t="s">
        <v>34</v>
      </c>
      <c r="B202">
        <v>2018</v>
      </c>
      <c r="C202" t="s">
        <v>40</v>
      </c>
      <c r="D202" t="str">
        <f>_xlfn.CONCAT(LEFT(Table1[[#This Row],[Month]],3),"-",RIGHT(Table1[[#This Row],[Year]],2))</f>
        <v>Jul-18</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row>
    <row r="203" spans="1:31" x14ac:dyDescent="0.3">
      <c r="A203" t="s">
        <v>30</v>
      </c>
      <c r="B203">
        <v>2018</v>
      </c>
      <c r="C203" t="s">
        <v>41</v>
      </c>
      <c r="D203" t="str">
        <f>_xlfn.CONCAT(LEFT(Table1[[#This Row],[Month]],3),"-",RIGHT(Table1[[#This Row],[Year]],2))</f>
        <v>Aug-18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t="s">
        <v>32</v>
      </c>
      <c r="W203">
        <v>147.69999999999999</v>
      </c>
      <c r="X203">
        <v>143.80000000000001</v>
      </c>
      <c r="Y203">
        <v>139.4</v>
      </c>
      <c r="Z203">
        <v>128.30000000000001</v>
      </c>
      <c r="AA203">
        <v>138.6</v>
      </c>
      <c r="AB203">
        <v>146.9</v>
      </c>
      <c r="AC203">
        <v>131.30000000000001</v>
      </c>
      <c r="AD203">
        <v>136.6</v>
      </c>
      <c r="AE203">
        <v>142.5</v>
      </c>
    </row>
    <row r="204" spans="1:31" x14ac:dyDescent="0.3">
      <c r="A204" t="s">
        <v>33</v>
      </c>
      <c r="B204">
        <v>2018</v>
      </c>
      <c r="C204" t="s">
        <v>41</v>
      </c>
      <c r="D204" t="str">
        <f>_xlfn.CONCAT(LEFT(Table1[[#This Row],[Month]],3),"-",RIGHT(Table1[[#This Row],[Year]],2))</f>
        <v>Aug-18</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row>
    <row r="205" spans="1:31" x14ac:dyDescent="0.3">
      <c r="A205" t="s">
        <v>34</v>
      </c>
      <c r="B205">
        <v>2018</v>
      </c>
      <c r="C205" t="s">
        <v>41</v>
      </c>
      <c r="D205" t="str">
        <f>_xlfn.CONCAT(LEFT(Table1[[#This Row],[Month]],3),"-",RIGHT(Table1[[#This Row],[Year]],2))</f>
        <v>Aug-18</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row>
    <row r="206" spans="1:31" x14ac:dyDescent="0.3">
      <c r="A206" t="s">
        <v>30</v>
      </c>
      <c r="B206">
        <v>2018</v>
      </c>
      <c r="C206" t="s">
        <v>42</v>
      </c>
      <c r="D206" t="str">
        <f>_xlfn.CONCAT(LEFT(Table1[[#This Row],[Month]],3),"-",RIGHT(Table1[[#This Row],[Year]],2))</f>
        <v>Sep-18</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t="s">
        <v>32</v>
      </c>
      <c r="W206">
        <v>149</v>
      </c>
      <c r="X206">
        <v>144</v>
      </c>
      <c r="Y206">
        <v>140</v>
      </c>
      <c r="Z206">
        <v>129.9</v>
      </c>
      <c r="AA206">
        <v>140</v>
      </c>
      <c r="AB206">
        <v>147.6</v>
      </c>
      <c r="AC206">
        <v>132</v>
      </c>
      <c r="AD206">
        <v>137.4</v>
      </c>
      <c r="AE206">
        <v>142.1</v>
      </c>
    </row>
    <row r="207" spans="1:31" x14ac:dyDescent="0.3">
      <c r="A207" t="s">
        <v>33</v>
      </c>
      <c r="B207">
        <v>2018</v>
      </c>
      <c r="C207" t="s">
        <v>42</v>
      </c>
      <c r="D207" t="str">
        <f>_xlfn.CONCAT(LEFT(Table1[[#This Row],[Month]],3),"-",RIGHT(Table1[[#This Row],[Year]],2))</f>
        <v>Sep-18</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row>
    <row r="208" spans="1:31" x14ac:dyDescent="0.3">
      <c r="A208" t="s">
        <v>34</v>
      </c>
      <c r="B208">
        <v>2018</v>
      </c>
      <c r="C208" t="s">
        <v>42</v>
      </c>
      <c r="D208" t="str">
        <f>_xlfn.CONCAT(LEFT(Table1[[#This Row],[Month]],3),"-",RIGHT(Table1[[#This Row],[Year]],2))</f>
        <v>Sep-18</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row>
    <row r="209" spans="1:31" x14ac:dyDescent="0.3">
      <c r="A209" t="s">
        <v>30</v>
      </c>
      <c r="B209">
        <v>2018</v>
      </c>
      <c r="C209" t="s">
        <v>43</v>
      </c>
      <c r="D209" t="str">
        <f>_xlfn.CONCAT(LEFT(Table1[[#This Row],[Month]],3),"-",RIGHT(Table1[[#This Row],[Year]],2))</f>
        <v>Oct-18</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t="s">
        <v>32</v>
      </c>
      <c r="W209">
        <v>149.69999999999999</v>
      </c>
      <c r="X209">
        <v>147.5</v>
      </c>
      <c r="Y209">
        <v>144.80000000000001</v>
      </c>
      <c r="Z209">
        <v>130.80000000000001</v>
      </c>
      <c r="AA209">
        <v>140.1</v>
      </c>
      <c r="AB209">
        <v>148</v>
      </c>
      <c r="AC209">
        <v>134.4</v>
      </c>
      <c r="AD209">
        <v>139.80000000000001</v>
      </c>
      <c r="AE209">
        <v>142.19999999999999</v>
      </c>
    </row>
    <row r="210" spans="1:31" x14ac:dyDescent="0.3">
      <c r="A210" t="s">
        <v>33</v>
      </c>
      <c r="B210">
        <v>2018</v>
      </c>
      <c r="C210" t="s">
        <v>43</v>
      </c>
      <c r="D210" t="str">
        <f>_xlfn.CONCAT(LEFT(Table1[[#This Row],[Month]],3),"-",RIGHT(Table1[[#This Row],[Year]],2))</f>
        <v>Oct-18</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v>135.1</v>
      </c>
      <c r="Y210">
        <v>136.19999999999999</v>
      </c>
      <c r="Z210">
        <v>123.3</v>
      </c>
      <c r="AA210">
        <v>130.69999999999999</v>
      </c>
      <c r="AB210">
        <v>145.5</v>
      </c>
      <c r="AC210">
        <v>130.4</v>
      </c>
      <c r="AD210">
        <v>132.5</v>
      </c>
      <c r="AE210">
        <v>138.9</v>
      </c>
    </row>
    <row r="211" spans="1:31" x14ac:dyDescent="0.3">
      <c r="A211" t="s">
        <v>34</v>
      </c>
      <c r="B211">
        <v>2018</v>
      </c>
      <c r="C211" t="s">
        <v>43</v>
      </c>
      <c r="D211" t="str">
        <f>_xlfn.CONCAT(LEFT(Table1[[#This Row],[Month]],3),"-",RIGHT(Table1[[#This Row],[Year]],2))</f>
        <v>Oct-18</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row>
    <row r="212" spans="1:31" x14ac:dyDescent="0.3">
      <c r="A212" t="s">
        <v>30</v>
      </c>
      <c r="B212">
        <v>2018</v>
      </c>
      <c r="C212" t="s">
        <v>44</v>
      </c>
      <c r="D212" t="str">
        <f>_xlfn.CONCAT(LEFT(Table1[[#This Row],[Month]],3),"-",RIGHT(Table1[[#This Row],[Year]],2))</f>
        <v>Nov-18</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t="s">
        <v>32</v>
      </c>
      <c r="W212">
        <v>150.30000000000001</v>
      </c>
      <c r="X212">
        <v>148</v>
      </c>
      <c r="Y212">
        <v>145.4</v>
      </c>
      <c r="Z212">
        <v>130.30000000000001</v>
      </c>
      <c r="AA212">
        <v>143.1</v>
      </c>
      <c r="AB212">
        <v>150.19999999999999</v>
      </c>
      <c r="AC212">
        <v>133.1</v>
      </c>
      <c r="AD212">
        <v>140.1</v>
      </c>
      <c r="AE212">
        <v>142.4</v>
      </c>
    </row>
    <row r="213" spans="1:31" x14ac:dyDescent="0.3">
      <c r="A213" t="s">
        <v>33</v>
      </c>
      <c r="B213">
        <v>2018</v>
      </c>
      <c r="C213" t="s">
        <v>44</v>
      </c>
      <c r="D213" t="str">
        <f>_xlfn.CONCAT(LEFT(Table1[[#This Row],[Month]],3),"-",RIGHT(Table1[[#This Row],[Year]],2))</f>
        <v>Nov-18</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row>
    <row r="214" spans="1:31" x14ac:dyDescent="0.3">
      <c r="A214" t="s">
        <v>34</v>
      </c>
      <c r="B214">
        <v>2018</v>
      </c>
      <c r="C214" t="s">
        <v>44</v>
      </c>
      <c r="D214" t="str">
        <f>_xlfn.CONCAT(LEFT(Table1[[#This Row],[Month]],3),"-",RIGHT(Table1[[#This Row],[Year]],2))</f>
        <v>Nov-18</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row>
    <row r="215" spans="1:31" x14ac:dyDescent="0.3">
      <c r="A215" t="s">
        <v>30</v>
      </c>
      <c r="B215">
        <v>2018</v>
      </c>
      <c r="C215" t="s">
        <v>45</v>
      </c>
      <c r="D215" t="str">
        <f>_xlfn.CONCAT(LEFT(Table1[[#This Row],[Month]],3),"-",RIGHT(Table1[[#This Row],[Year]],2))</f>
        <v>Dec-18</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t="s">
        <v>32</v>
      </c>
      <c r="W215">
        <v>149</v>
      </c>
      <c r="X215">
        <v>149.5</v>
      </c>
      <c r="Y215">
        <v>149.6</v>
      </c>
      <c r="Z215">
        <v>128.9</v>
      </c>
      <c r="AA215">
        <v>143.30000000000001</v>
      </c>
      <c r="AB215">
        <v>155.1</v>
      </c>
      <c r="AC215">
        <v>133.19999999999999</v>
      </c>
      <c r="AD215">
        <v>141.6</v>
      </c>
      <c r="AE215">
        <v>141.9</v>
      </c>
    </row>
    <row r="216" spans="1:31" x14ac:dyDescent="0.3">
      <c r="A216" t="s">
        <v>33</v>
      </c>
      <c r="B216">
        <v>2018</v>
      </c>
      <c r="C216" t="s">
        <v>45</v>
      </c>
      <c r="D216" t="str">
        <f>_xlfn.CONCAT(LEFT(Table1[[#This Row],[Month]],3),"-",RIGHT(Table1[[#This Row],[Year]],2))</f>
        <v>Dec-18</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row>
    <row r="217" spans="1:31" x14ac:dyDescent="0.3">
      <c r="A217" t="s">
        <v>34</v>
      </c>
      <c r="B217">
        <v>2018</v>
      </c>
      <c r="C217" t="s">
        <v>45</v>
      </c>
      <c r="D217" t="str">
        <f>_xlfn.CONCAT(LEFT(Table1[[#This Row],[Month]],3),"-",RIGHT(Table1[[#This Row],[Year]],2))</f>
        <v>Dec-18</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row>
    <row r="218" spans="1:31" x14ac:dyDescent="0.3">
      <c r="A218" t="s">
        <v>30</v>
      </c>
      <c r="B218">
        <v>2019</v>
      </c>
      <c r="C218" t="s">
        <v>31</v>
      </c>
      <c r="D218" t="str">
        <f>_xlfn.CONCAT(LEFT(Table1[[#This Row],[Month]],3),"-",RIGHT(Table1[[#This Row],[Year]],2))</f>
        <v>Jan-19</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t="s">
        <v>32</v>
      </c>
      <c r="W218">
        <v>146.19999999999999</v>
      </c>
      <c r="X218">
        <v>150.1</v>
      </c>
      <c r="Y218">
        <v>149.6</v>
      </c>
      <c r="Z218">
        <v>128.6</v>
      </c>
      <c r="AA218">
        <v>142.9</v>
      </c>
      <c r="AB218">
        <v>155.19999999999999</v>
      </c>
      <c r="AC218">
        <v>133.5</v>
      </c>
      <c r="AD218">
        <v>141.69999999999999</v>
      </c>
      <c r="AE218">
        <v>141</v>
      </c>
    </row>
    <row r="219" spans="1:31" x14ac:dyDescent="0.3">
      <c r="A219" t="s">
        <v>33</v>
      </c>
      <c r="B219">
        <v>2019</v>
      </c>
      <c r="C219" t="s">
        <v>31</v>
      </c>
      <c r="D219" t="str">
        <f>_xlfn.CONCAT(LEFT(Table1[[#This Row],[Month]],3),"-",RIGHT(Table1[[#This Row],[Year]],2))</f>
        <v>Jan-19</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row>
    <row r="220" spans="1:31" x14ac:dyDescent="0.3">
      <c r="A220" t="s">
        <v>34</v>
      </c>
      <c r="B220">
        <v>2019</v>
      </c>
      <c r="C220" t="s">
        <v>31</v>
      </c>
      <c r="D220" t="str">
        <f>_xlfn.CONCAT(LEFT(Table1[[#This Row],[Month]],3),"-",RIGHT(Table1[[#This Row],[Year]],2))</f>
        <v>Jan-19</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row>
    <row r="221" spans="1:31" x14ac:dyDescent="0.3">
      <c r="A221" t="s">
        <v>30</v>
      </c>
      <c r="B221">
        <v>2019</v>
      </c>
      <c r="C221" t="s">
        <v>35</v>
      </c>
      <c r="D221" t="str">
        <f>_xlfn.CONCAT(LEFT(Table1[[#This Row],[Month]],3),"-",RIGHT(Table1[[#This Row],[Year]],2))</f>
        <v>Feb-19</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t="s">
        <v>32</v>
      </c>
      <c r="W221">
        <v>145.30000000000001</v>
      </c>
      <c r="X221">
        <v>150.1</v>
      </c>
      <c r="Y221">
        <v>149.9</v>
      </c>
      <c r="Z221">
        <v>129.19999999999999</v>
      </c>
      <c r="AA221">
        <v>143.4</v>
      </c>
      <c r="AB221">
        <v>155.5</v>
      </c>
      <c r="AC221">
        <v>134.9</v>
      </c>
      <c r="AD221">
        <v>142.19999999999999</v>
      </c>
      <c r="AE221">
        <v>141</v>
      </c>
    </row>
    <row r="222" spans="1:31" x14ac:dyDescent="0.3">
      <c r="A222" t="s">
        <v>33</v>
      </c>
      <c r="B222">
        <v>2019</v>
      </c>
      <c r="C222" t="s">
        <v>35</v>
      </c>
      <c r="D222" t="str">
        <f>_xlfn.CONCAT(LEFT(Table1[[#This Row],[Month]],3),"-",RIGHT(Table1[[#This Row],[Year]],2))</f>
        <v>Feb-19</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row>
    <row r="223" spans="1:31" x14ac:dyDescent="0.3">
      <c r="A223" t="s">
        <v>34</v>
      </c>
      <c r="B223">
        <v>2019</v>
      </c>
      <c r="C223" t="s">
        <v>35</v>
      </c>
      <c r="D223" t="str">
        <f>_xlfn.CONCAT(LEFT(Table1[[#This Row],[Month]],3),"-",RIGHT(Table1[[#This Row],[Year]],2))</f>
        <v>Feb-19</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row>
    <row r="224" spans="1:31" x14ac:dyDescent="0.3">
      <c r="A224" t="s">
        <v>30</v>
      </c>
      <c r="B224">
        <v>2019</v>
      </c>
      <c r="C224" t="s">
        <v>36</v>
      </c>
      <c r="D224" t="str">
        <f>_xlfn.CONCAT(LEFT(Table1[[#This Row],[Month]],3),"-",RIGHT(Table1[[#This Row],[Year]],2))</f>
        <v>Mar-19</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t="s">
        <v>32</v>
      </c>
      <c r="W224">
        <v>146.4</v>
      </c>
      <c r="X224">
        <v>150</v>
      </c>
      <c r="Y224">
        <v>150.4</v>
      </c>
      <c r="Z224">
        <v>129.9</v>
      </c>
      <c r="AA224">
        <v>143.80000000000001</v>
      </c>
      <c r="AB224">
        <v>155.5</v>
      </c>
      <c r="AC224">
        <v>134</v>
      </c>
      <c r="AD224">
        <v>142.4</v>
      </c>
      <c r="AE224">
        <v>141.19999999999999</v>
      </c>
    </row>
    <row r="225" spans="1:31" x14ac:dyDescent="0.3">
      <c r="A225" t="s">
        <v>33</v>
      </c>
      <c r="B225">
        <v>2019</v>
      </c>
      <c r="C225" t="s">
        <v>36</v>
      </c>
      <c r="D225" t="str">
        <f>_xlfn.CONCAT(LEFT(Table1[[#This Row],[Month]],3),"-",RIGHT(Table1[[#This Row],[Year]],2))</f>
        <v>Mar-19</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row>
    <row r="226" spans="1:31" x14ac:dyDescent="0.3">
      <c r="A226" t="s">
        <v>34</v>
      </c>
      <c r="B226">
        <v>2019</v>
      </c>
      <c r="C226" t="s">
        <v>36</v>
      </c>
      <c r="D226" t="str">
        <f>_xlfn.CONCAT(LEFT(Table1[[#This Row],[Month]],3),"-",RIGHT(Table1[[#This Row],[Year]],2))</f>
        <v>Mar-19</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row>
    <row r="227" spans="1:31" x14ac:dyDescent="0.3">
      <c r="A227" t="s">
        <v>30</v>
      </c>
      <c r="B227">
        <v>2019</v>
      </c>
      <c r="C227" t="s">
        <v>38</v>
      </c>
      <c r="D227" t="str">
        <f>_xlfn.CONCAT(LEFT(Table1[[#This Row],[Month]],3),"-",RIGHT(Table1[[#This Row],[Year]],2))</f>
        <v>May-19</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t="s">
        <v>32</v>
      </c>
      <c r="W227">
        <v>146.9</v>
      </c>
      <c r="X227">
        <v>149.5</v>
      </c>
      <c r="Y227">
        <v>151.30000000000001</v>
      </c>
      <c r="Z227">
        <v>130.19999999999999</v>
      </c>
      <c r="AA227">
        <v>145.9</v>
      </c>
      <c r="AB227">
        <v>156.69999999999999</v>
      </c>
      <c r="AC227">
        <v>133.9</v>
      </c>
      <c r="AD227">
        <v>142.9</v>
      </c>
      <c r="AE227">
        <v>142.4</v>
      </c>
    </row>
    <row r="228" spans="1:31" x14ac:dyDescent="0.3">
      <c r="A228" t="s">
        <v>33</v>
      </c>
      <c r="B228">
        <v>2019</v>
      </c>
      <c r="C228" t="s">
        <v>38</v>
      </c>
      <c r="D228" t="str">
        <f>_xlfn.CONCAT(LEFT(Table1[[#This Row],[Month]],3),"-",RIGHT(Table1[[#This Row],[Year]],2))</f>
        <v>May-19</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row>
    <row r="229" spans="1:31" x14ac:dyDescent="0.3">
      <c r="A229" t="s">
        <v>34</v>
      </c>
      <c r="B229">
        <v>2019</v>
      </c>
      <c r="C229" t="s">
        <v>38</v>
      </c>
      <c r="D229" t="str">
        <f>_xlfn.CONCAT(LEFT(Table1[[#This Row],[Month]],3),"-",RIGHT(Table1[[#This Row],[Year]],2))</f>
        <v>May-19</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row>
    <row r="230" spans="1:31" x14ac:dyDescent="0.3">
      <c r="A230" t="s">
        <v>30</v>
      </c>
      <c r="B230">
        <v>2019</v>
      </c>
      <c r="C230" t="s">
        <v>39</v>
      </c>
      <c r="D230" t="str">
        <f>_xlfn.CONCAT(LEFT(Table1[[#This Row],[Month]],3),"-",RIGHT(Table1[[#This Row],[Year]],2))</f>
        <v>Jun-19</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t="s">
        <v>32</v>
      </c>
      <c r="W230">
        <v>147.80000000000001</v>
      </c>
      <c r="X230">
        <v>149.6</v>
      </c>
      <c r="Y230">
        <v>151.69999999999999</v>
      </c>
      <c r="Z230">
        <v>130.19999999999999</v>
      </c>
      <c r="AA230">
        <v>146.4</v>
      </c>
      <c r="AB230">
        <v>157.69999999999999</v>
      </c>
      <c r="AC230">
        <v>134.80000000000001</v>
      </c>
      <c r="AD230">
        <v>143.30000000000001</v>
      </c>
      <c r="AE230">
        <v>143.6</v>
      </c>
    </row>
    <row r="231" spans="1:31" x14ac:dyDescent="0.3">
      <c r="A231" t="s">
        <v>33</v>
      </c>
      <c r="B231">
        <v>2019</v>
      </c>
      <c r="C231" t="s">
        <v>39</v>
      </c>
      <c r="D231" t="str">
        <f>_xlfn.CONCAT(LEFT(Table1[[#This Row],[Month]],3),"-",RIGHT(Table1[[#This Row],[Year]],2))</f>
        <v>Jun-19</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row>
    <row r="232" spans="1:31" x14ac:dyDescent="0.3">
      <c r="A232" t="s">
        <v>34</v>
      </c>
      <c r="B232">
        <v>2019</v>
      </c>
      <c r="C232" t="s">
        <v>39</v>
      </c>
      <c r="D232" t="str">
        <f>_xlfn.CONCAT(LEFT(Table1[[#This Row],[Month]],3),"-",RIGHT(Table1[[#This Row],[Year]],2))</f>
        <v>Jun-19</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row>
    <row r="233" spans="1:31" x14ac:dyDescent="0.3">
      <c r="A233" t="s">
        <v>30</v>
      </c>
      <c r="B233">
        <v>2019</v>
      </c>
      <c r="C233" t="s">
        <v>40</v>
      </c>
      <c r="D233" t="str">
        <f>_xlfn.CONCAT(LEFT(Table1[[#This Row],[Month]],3),"-",RIGHT(Table1[[#This Row],[Year]],2))</f>
        <v>Jul-19</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t="s">
        <v>32</v>
      </c>
      <c r="W233">
        <v>146.80000000000001</v>
      </c>
      <c r="X233">
        <v>150</v>
      </c>
      <c r="Y233">
        <v>152.19999999999999</v>
      </c>
      <c r="Z233">
        <v>131.19999999999999</v>
      </c>
      <c r="AA233">
        <v>147.5</v>
      </c>
      <c r="AB233">
        <v>159.1</v>
      </c>
      <c r="AC233">
        <v>136.1</v>
      </c>
      <c r="AD233">
        <v>144.19999999999999</v>
      </c>
      <c r="AE233">
        <v>144.9</v>
      </c>
    </row>
    <row r="234" spans="1:31" x14ac:dyDescent="0.3">
      <c r="A234" t="s">
        <v>33</v>
      </c>
      <c r="B234">
        <v>2019</v>
      </c>
      <c r="C234" t="s">
        <v>40</v>
      </c>
      <c r="D234" t="str">
        <f>_xlfn.CONCAT(LEFT(Table1[[#This Row],[Month]],3),"-",RIGHT(Table1[[#This Row],[Year]],2))</f>
        <v>Jul-19</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row>
    <row r="235" spans="1:31" x14ac:dyDescent="0.3">
      <c r="A235" t="s">
        <v>34</v>
      </c>
      <c r="B235">
        <v>2019</v>
      </c>
      <c r="C235" t="s">
        <v>40</v>
      </c>
      <c r="D235" t="str">
        <f>_xlfn.CONCAT(LEFT(Table1[[#This Row],[Month]],3),"-",RIGHT(Table1[[#This Row],[Year]],2))</f>
        <v>Jul-19</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row>
    <row r="236" spans="1:31" x14ac:dyDescent="0.3">
      <c r="A236" t="s">
        <v>30</v>
      </c>
      <c r="B236">
        <v>2019</v>
      </c>
      <c r="C236" t="s">
        <v>41</v>
      </c>
      <c r="D236" t="str">
        <f>_xlfn.CONCAT(LEFT(Table1[[#This Row],[Month]],3),"-",RIGHT(Table1[[#This Row],[Year]],2))</f>
        <v>Aug-19</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t="s">
        <v>32</v>
      </c>
      <c r="W236">
        <v>146.4</v>
      </c>
      <c r="X236">
        <v>150.19999999999999</v>
      </c>
      <c r="Y236">
        <v>152.69999999999999</v>
      </c>
      <c r="Z236">
        <v>131.4</v>
      </c>
      <c r="AA236">
        <v>148</v>
      </c>
      <c r="AB236">
        <v>159.69999999999999</v>
      </c>
      <c r="AC236">
        <v>138.80000000000001</v>
      </c>
      <c r="AD236">
        <v>144.9</v>
      </c>
      <c r="AE236">
        <v>145.69999999999999</v>
      </c>
    </row>
    <row r="237" spans="1:31" x14ac:dyDescent="0.3">
      <c r="A237" t="s">
        <v>33</v>
      </c>
      <c r="B237">
        <v>2019</v>
      </c>
      <c r="C237" t="s">
        <v>41</v>
      </c>
      <c r="D237" t="str">
        <f>_xlfn.CONCAT(LEFT(Table1[[#This Row],[Month]],3),"-",RIGHT(Table1[[#This Row],[Year]],2))</f>
        <v>Aug-19</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row>
    <row r="238" spans="1:31" x14ac:dyDescent="0.3">
      <c r="A238" t="s">
        <v>34</v>
      </c>
      <c r="B238">
        <v>2019</v>
      </c>
      <c r="C238" t="s">
        <v>41</v>
      </c>
      <c r="D238" t="str">
        <f>_xlfn.CONCAT(LEFT(Table1[[#This Row],[Month]],3),"-",RIGHT(Table1[[#This Row],[Year]],2))</f>
        <v>Aug-19</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row>
    <row r="239" spans="1:31" x14ac:dyDescent="0.3">
      <c r="A239" t="s">
        <v>30</v>
      </c>
      <c r="B239">
        <v>2019</v>
      </c>
      <c r="C239" t="s">
        <v>42</v>
      </c>
      <c r="D239" t="str">
        <f>_xlfn.CONCAT(LEFT(Table1[[#This Row],[Month]],3),"-",RIGHT(Table1[[#This Row],[Year]],2))</f>
        <v>Sep-19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t="s">
        <v>32</v>
      </c>
      <c r="W239">
        <v>146.9</v>
      </c>
      <c r="X239">
        <v>150.30000000000001</v>
      </c>
      <c r="Y239">
        <v>153.4</v>
      </c>
      <c r="Z239">
        <v>131.6</v>
      </c>
      <c r="AA239">
        <v>148.30000000000001</v>
      </c>
      <c r="AB239">
        <v>160.19999999999999</v>
      </c>
      <c r="AC239">
        <v>140.19999999999999</v>
      </c>
      <c r="AD239">
        <v>145.4</v>
      </c>
      <c r="AE239">
        <v>146.69999999999999</v>
      </c>
    </row>
    <row r="240" spans="1:31" x14ac:dyDescent="0.3">
      <c r="A240" t="s">
        <v>33</v>
      </c>
      <c r="B240">
        <v>2019</v>
      </c>
      <c r="C240" t="s">
        <v>42</v>
      </c>
      <c r="D240" t="str">
        <f>_xlfn.CONCAT(LEFT(Table1[[#This Row],[Month]],3),"-",RIGHT(Table1[[#This Row],[Year]],2))</f>
        <v>Sep-19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row>
    <row r="241" spans="1:31" x14ac:dyDescent="0.3">
      <c r="A241" t="s">
        <v>34</v>
      </c>
      <c r="B241">
        <v>2019</v>
      </c>
      <c r="C241" t="s">
        <v>42</v>
      </c>
      <c r="D241" t="str">
        <f>_xlfn.CONCAT(LEFT(Table1[[#This Row],[Month]],3),"-",RIGHT(Table1[[#This Row],[Year]],2))</f>
        <v>Sep-19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row>
    <row r="242" spans="1:31" x14ac:dyDescent="0.3">
      <c r="A242" t="s">
        <v>30</v>
      </c>
      <c r="B242">
        <v>2019</v>
      </c>
      <c r="C242" t="s">
        <v>43</v>
      </c>
      <c r="D242" t="str">
        <f>_xlfn.CONCAT(LEFT(Table1[[#This Row],[Month]],3),"-",RIGHT(Table1[[#This Row],[Year]],2))</f>
        <v>Oct-19</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t="s">
        <v>32</v>
      </c>
      <c r="W242">
        <v>147.69999999999999</v>
      </c>
      <c r="X242">
        <v>150.6</v>
      </c>
      <c r="Y242">
        <v>153.69999999999999</v>
      </c>
      <c r="Z242">
        <v>131.69999999999999</v>
      </c>
      <c r="AA242">
        <v>148.69999999999999</v>
      </c>
      <c r="AB242">
        <v>160.69999999999999</v>
      </c>
      <c r="AC242">
        <v>140.30000000000001</v>
      </c>
      <c r="AD242">
        <v>145.69999999999999</v>
      </c>
      <c r="AE242">
        <v>148.30000000000001</v>
      </c>
    </row>
    <row r="243" spans="1:31" x14ac:dyDescent="0.3">
      <c r="A243" t="s">
        <v>33</v>
      </c>
      <c r="B243">
        <v>2019</v>
      </c>
      <c r="C243" t="s">
        <v>43</v>
      </c>
      <c r="D243" t="str">
        <f>_xlfn.CONCAT(LEFT(Table1[[#This Row],[Month]],3),"-",RIGHT(Table1[[#This Row],[Year]],2))</f>
        <v>Oct-19</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row>
    <row r="244" spans="1:31" x14ac:dyDescent="0.3">
      <c r="A244" t="s">
        <v>34</v>
      </c>
      <c r="B244">
        <v>2019</v>
      </c>
      <c r="C244" t="s">
        <v>43</v>
      </c>
      <c r="D244" t="str">
        <f>_xlfn.CONCAT(LEFT(Table1[[#This Row],[Month]],3),"-",RIGHT(Table1[[#This Row],[Year]],2))</f>
        <v>Oct-19</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row>
    <row r="245" spans="1:31" x14ac:dyDescent="0.3">
      <c r="A245" t="s">
        <v>30</v>
      </c>
      <c r="B245">
        <v>2019</v>
      </c>
      <c r="C245" t="s">
        <v>44</v>
      </c>
      <c r="D245" t="str">
        <f>_xlfn.CONCAT(LEFT(Table1[[#This Row],[Month]],3),"-",RIGHT(Table1[[#This Row],[Year]],2))</f>
        <v>Nov-19</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t="s">
        <v>32</v>
      </c>
      <c r="W245">
        <v>148.4</v>
      </c>
      <c r="X245">
        <v>150.9</v>
      </c>
      <c r="Y245">
        <v>154.30000000000001</v>
      </c>
      <c r="Z245">
        <v>132.1</v>
      </c>
      <c r="AA245">
        <v>149.1</v>
      </c>
      <c r="AB245">
        <v>160.80000000000001</v>
      </c>
      <c r="AC245">
        <v>140.6</v>
      </c>
      <c r="AD245">
        <v>146.1</v>
      </c>
      <c r="AE245">
        <v>149.9</v>
      </c>
    </row>
    <row r="246" spans="1:31" x14ac:dyDescent="0.3">
      <c r="A246" t="s">
        <v>33</v>
      </c>
      <c r="B246">
        <v>2019</v>
      </c>
      <c r="C246" t="s">
        <v>44</v>
      </c>
      <c r="D246" t="str">
        <f>_xlfn.CONCAT(LEFT(Table1[[#This Row],[Month]],3),"-",RIGHT(Table1[[#This Row],[Year]],2))</f>
        <v>Nov-19</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row>
    <row r="247" spans="1:31" x14ac:dyDescent="0.3">
      <c r="A247" t="s">
        <v>34</v>
      </c>
      <c r="B247">
        <v>2019</v>
      </c>
      <c r="C247" t="s">
        <v>44</v>
      </c>
      <c r="D247" t="str">
        <f>_xlfn.CONCAT(LEFT(Table1[[#This Row],[Month]],3),"-",RIGHT(Table1[[#This Row],[Year]],2))</f>
        <v>Nov-19</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row>
    <row r="248" spans="1:31" x14ac:dyDescent="0.3">
      <c r="A248" t="s">
        <v>30</v>
      </c>
      <c r="B248">
        <v>2019</v>
      </c>
      <c r="C248" t="s">
        <v>45</v>
      </c>
      <c r="D248" t="str">
        <f>_xlfn.CONCAT(LEFT(Table1[[#This Row],[Month]],3),"-",RIGHT(Table1[[#This Row],[Year]],2))</f>
        <v>Dec-19</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t="s">
        <v>32</v>
      </c>
      <c r="W248">
        <v>149.9</v>
      </c>
      <c r="X248">
        <v>151.19999999999999</v>
      </c>
      <c r="Y248">
        <v>154.80000000000001</v>
      </c>
      <c r="Z248">
        <v>135</v>
      </c>
      <c r="AA248">
        <v>149.5</v>
      </c>
      <c r="AB248">
        <v>161.1</v>
      </c>
      <c r="AC248">
        <v>140.6</v>
      </c>
      <c r="AD248">
        <v>147.1</v>
      </c>
      <c r="AE248">
        <v>152.30000000000001</v>
      </c>
    </row>
    <row r="249" spans="1:31" x14ac:dyDescent="0.3">
      <c r="A249" t="s">
        <v>33</v>
      </c>
      <c r="B249">
        <v>2019</v>
      </c>
      <c r="C249" t="s">
        <v>45</v>
      </c>
      <c r="D249" t="str">
        <f>_xlfn.CONCAT(LEFT(Table1[[#This Row],[Month]],3),"-",RIGHT(Table1[[#This Row],[Year]],2))</f>
        <v>Dec-19</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row>
    <row r="250" spans="1:31" x14ac:dyDescent="0.3">
      <c r="A250" t="s">
        <v>34</v>
      </c>
      <c r="B250">
        <v>2019</v>
      </c>
      <c r="C250" t="s">
        <v>45</v>
      </c>
      <c r="D250" t="str">
        <f>_xlfn.CONCAT(LEFT(Table1[[#This Row],[Month]],3),"-",RIGHT(Table1[[#This Row],[Year]],2))</f>
        <v>Dec-19</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row>
    <row r="251" spans="1:31" x14ac:dyDescent="0.3">
      <c r="A251" t="s">
        <v>30</v>
      </c>
      <c r="B251">
        <v>2020</v>
      </c>
      <c r="C251" t="s">
        <v>31</v>
      </c>
      <c r="D251" t="str">
        <f>_xlfn.CONCAT(LEFT(Table1[[#This Row],[Month]],3),"-",RIGHT(Table1[[#This Row],[Year]],2))</f>
        <v>Jan-20</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t="s">
        <v>32</v>
      </c>
      <c r="W251">
        <v>150.4</v>
      </c>
      <c r="X251">
        <v>151.69999999999999</v>
      </c>
      <c r="Y251">
        <v>155.69999999999999</v>
      </c>
      <c r="Z251">
        <v>136.30000000000001</v>
      </c>
      <c r="AA251">
        <v>150.1</v>
      </c>
      <c r="AB251">
        <v>161.69999999999999</v>
      </c>
      <c r="AC251">
        <v>142.5</v>
      </c>
      <c r="AD251">
        <v>148.1</v>
      </c>
      <c r="AE251">
        <v>151.9</v>
      </c>
    </row>
    <row r="252" spans="1:31" x14ac:dyDescent="0.3">
      <c r="A252" t="s">
        <v>33</v>
      </c>
      <c r="B252">
        <v>2020</v>
      </c>
      <c r="C252" t="s">
        <v>31</v>
      </c>
      <c r="D252" t="str">
        <f>_xlfn.CONCAT(LEFT(Table1[[#This Row],[Month]],3),"-",RIGHT(Table1[[#This Row],[Year]],2))</f>
        <v>Jan-20</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row>
    <row r="253" spans="1:31" x14ac:dyDescent="0.3">
      <c r="A253" t="s">
        <v>34</v>
      </c>
      <c r="B253">
        <v>2020</v>
      </c>
      <c r="C253" t="s">
        <v>31</v>
      </c>
      <c r="D253" t="str">
        <f>_xlfn.CONCAT(LEFT(Table1[[#This Row],[Month]],3),"-",RIGHT(Table1[[#This Row],[Year]],2))</f>
        <v>Jan-20</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row>
    <row r="254" spans="1:31" x14ac:dyDescent="0.3">
      <c r="A254" t="s">
        <v>30</v>
      </c>
      <c r="B254">
        <v>2020</v>
      </c>
      <c r="C254" t="s">
        <v>35</v>
      </c>
      <c r="D254" t="str">
        <f>_xlfn.CONCAT(LEFT(Table1[[#This Row],[Month]],3),"-",RIGHT(Table1[[#This Row],[Year]],2))</f>
        <v>Feb-20</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t="s">
        <v>32</v>
      </c>
      <c r="W254">
        <v>152.30000000000001</v>
      </c>
      <c r="X254">
        <v>151.80000000000001</v>
      </c>
      <c r="Y254">
        <v>156.19999999999999</v>
      </c>
      <c r="Z254">
        <v>136</v>
      </c>
      <c r="AA254">
        <v>150.4</v>
      </c>
      <c r="AB254">
        <v>161.9</v>
      </c>
      <c r="AC254">
        <v>143.4</v>
      </c>
      <c r="AD254">
        <v>148.4</v>
      </c>
      <c r="AE254">
        <v>150.4</v>
      </c>
    </row>
    <row r="255" spans="1:31" x14ac:dyDescent="0.3">
      <c r="A255" t="s">
        <v>33</v>
      </c>
      <c r="B255">
        <v>2020</v>
      </c>
      <c r="C255" t="s">
        <v>35</v>
      </c>
      <c r="D255" t="str">
        <f>_xlfn.CONCAT(LEFT(Table1[[#This Row],[Month]],3),"-",RIGHT(Table1[[#This Row],[Year]],2))</f>
        <v>Feb-20</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row>
    <row r="256" spans="1:31" x14ac:dyDescent="0.3">
      <c r="A256" t="s">
        <v>34</v>
      </c>
      <c r="B256">
        <v>2020</v>
      </c>
      <c r="C256" t="s">
        <v>35</v>
      </c>
      <c r="D256" t="str">
        <f>_xlfn.CONCAT(LEFT(Table1[[#This Row],[Month]],3),"-",RIGHT(Table1[[#This Row],[Year]],2))</f>
        <v>Feb-20</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row>
    <row r="257" spans="1:31" x14ac:dyDescent="0.3">
      <c r="A257" t="s">
        <v>30</v>
      </c>
      <c r="B257">
        <v>2020</v>
      </c>
      <c r="C257" t="s">
        <v>36</v>
      </c>
      <c r="D257" t="str">
        <f>_xlfn.CONCAT(LEFT(Table1[[#This Row],[Month]],3),"-",RIGHT(Table1[[#This Row],[Year]],2))</f>
        <v>Mar-20</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t="s">
        <v>32</v>
      </c>
      <c r="W257">
        <v>153.4</v>
      </c>
      <c r="X257">
        <v>151.5</v>
      </c>
      <c r="Y257">
        <v>156.69999999999999</v>
      </c>
      <c r="Z257">
        <v>135.80000000000001</v>
      </c>
      <c r="AA257">
        <v>151.19999999999999</v>
      </c>
      <c r="AB257">
        <v>161.19999999999999</v>
      </c>
      <c r="AC257">
        <v>145.1</v>
      </c>
      <c r="AD257">
        <v>148.6</v>
      </c>
      <c r="AE257">
        <v>149.80000000000001</v>
      </c>
    </row>
    <row r="258" spans="1:31" x14ac:dyDescent="0.3">
      <c r="A258" t="s">
        <v>33</v>
      </c>
      <c r="B258">
        <v>2020</v>
      </c>
      <c r="C258" t="s">
        <v>36</v>
      </c>
      <c r="D258" t="str">
        <f>_xlfn.CONCAT(LEFT(Table1[[#This Row],[Month]],3),"-",RIGHT(Table1[[#This Row],[Year]],2))</f>
        <v>Mar-20</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row>
    <row r="259" spans="1:31" x14ac:dyDescent="0.3">
      <c r="A259" t="s">
        <v>34</v>
      </c>
      <c r="B259">
        <v>2020</v>
      </c>
      <c r="C259" t="s">
        <v>36</v>
      </c>
      <c r="D259" t="str">
        <f>_xlfn.CONCAT(LEFT(Table1[[#This Row],[Month]],3),"-",RIGHT(Table1[[#This Row],[Year]],2))</f>
        <v>Mar-20</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row>
    <row r="260" spans="1:31" x14ac:dyDescent="0.3">
      <c r="A260" t="s">
        <v>30</v>
      </c>
      <c r="B260">
        <v>2020</v>
      </c>
      <c r="C260" t="s">
        <v>37</v>
      </c>
      <c r="D260" t="str">
        <f>_xlfn.CONCAT(LEFT(Table1[[#This Row],[Month]],3),"-",RIGHT(Table1[[#This Row],[Year]],2))</f>
        <v>Apr-20</v>
      </c>
      <c r="E260">
        <v>147.19999999999999</v>
      </c>
      <c r="F260" t="s">
        <v>32</v>
      </c>
      <c r="G260">
        <v>146.9</v>
      </c>
      <c r="H260">
        <v>155.6</v>
      </c>
      <c r="I260">
        <v>137.1</v>
      </c>
      <c r="J260">
        <v>147.30000000000001</v>
      </c>
      <c r="K260">
        <v>162.69999999999999</v>
      </c>
      <c r="L260">
        <v>150.19999999999999</v>
      </c>
      <c r="M260">
        <v>119.8</v>
      </c>
      <c r="N260">
        <v>158.69999999999999</v>
      </c>
      <c r="O260">
        <v>139.19999999999999</v>
      </c>
      <c r="P260" t="s">
        <v>32</v>
      </c>
      <c r="Q260">
        <v>150.1</v>
      </c>
      <c r="R260" t="s">
        <v>32</v>
      </c>
      <c r="S260" t="s">
        <v>32</v>
      </c>
      <c r="T260" t="s">
        <v>32</v>
      </c>
      <c r="U260" t="s">
        <v>32</v>
      </c>
      <c r="V260" t="s">
        <v>32</v>
      </c>
      <c r="W260">
        <v>148.4</v>
      </c>
      <c r="X260" t="s">
        <v>32</v>
      </c>
      <c r="Y260">
        <v>154.30000000000001</v>
      </c>
      <c r="Z260" t="s">
        <v>32</v>
      </c>
      <c r="AA260" t="s">
        <v>32</v>
      </c>
      <c r="AB260" t="s">
        <v>32</v>
      </c>
      <c r="AC260" t="s">
        <v>32</v>
      </c>
      <c r="AD260" t="s">
        <v>32</v>
      </c>
      <c r="AE260" t="s">
        <v>32</v>
      </c>
    </row>
    <row r="261" spans="1:31" x14ac:dyDescent="0.3">
      <c r="A261" t="s">
        <v>33</v>
      </c>
      <c r="B261">
        <v>2020</v>
      </c>
      <c r="C261" t="s">
        <v>37</v>
      </c>
      <c r="D261" t="str">
        <f>_xlfn.CONCAT(LEFT(Table1[[#This Row],[Month]],3),"-",RIGHT(Table1[[#This Row],[Year]],2))</f>
        <v>Apr-20</v>
      </c>
      <c r="E261">
        <v>151.80000000000001</v>
      </c>
      <c r="F261" t="s">
        <v>32</v>
      </c>
      <c r="G261">
        <v>151.9</v>
      </c>
      <c r="H261">
        <v>155.5</v>
      </c>
      <c r="I261">
        <v>131.6</v>
      </c>
      <c r="J261">
        <v>152.9</v>
      </c>
      <c r="K261">
        <v>180</v>
      </c>
      <c r="L261">
        <v>150.80000000000001</v>
      </c>
      <c r="M261">
        <v>121.2</v>
      </c>
      <c r="N261">
        <v>154</v>
      </c>
      <c r="O261">
        <v>133.5</v>
      </c>
      <c r="P261" t="s">
        <v>32</v>
      </c>
      <c r="Q261">
        <v>153.5</v>
      </c>
      <c r="R261" t="s">
        <v>32</v>
      </c>
      <c r="S261" t="s">
        <v>32</v>
      </c>
      <c r="T261" t="s">
        <v>32</v>
      </c>
      <c r="U261" t="s">
        <v>32</v>
      </c>
      <c r="V261">
        <v>155.6</v>
      </c>
      <c r="W261">
        <v>137.1</v>
      </c>
      <c r="X261" t="s">
        <v>32</v>
      </c>
      <c r="Y261">
        <v>144.80000000000001</v>
      </c>
      <c r="Z261" t="s">
        <v>32</v>
      </c>
      <c r="AA261" t="s">
        <v>32</v>
      </c>
      <c r="AB261" t="s">
        <v>32</v>
      </c>
      <c r="AC261" t="s">
        <v>32</v>
      </c>
      <c r="AD261" t="s">
        <v>32</v>
      </c>
      <c r="AE261" t="s">
        <v>32</v>
      </c>
    </row>
    <row r="262" spans="1:31" x14ac:dyDescent="0.3">
      <c r="A262" t="s">
        <v>34</v>
      </c>
      <c r="B262">
        <v>2020</v>
      </c>
      <c r="C262" t="s">
        <v>37</v>
      </c>
      <c r="D262" t="str">
        <f>_xlfn.CONCAT(LEFT(Table1[[#This Row],[Month]],3),"-",RIGHT(Table1[[#This Row],[Year]],2))</f>
        <v>Apr-20</v>
      </c>
      <c r="E262">
        <v>148.69999999999999</v>
      </c>
      <c r="F262" t="s">
        <v>32</v>
      </c>
      <c r="G262">
        <v>148.80000000000001</v>
      </c>
      <c r="H262">
        <v>155.6</v>
      </c>
      <c r="I262">
        <v>135.1</v>
      </c>
      <c r="J262">
        <v>149.9</v>
      </c>
      <c r="K262">
        <v>168.6</v>
      </c>
      <c r="L262">
        <v>150.4</v>
      </c>
      <c r="M262">
        <v>120.3</v>
      </c>
      <c r="N262">
        <v>157.1</v>
      </c>
      <c r="O262">
        <v>136.80000000000001</v>
      </c>
      <c r="P262" t="s">
        <v>32</v>
      </c>
      <c r="Q262">
        <v>151.4</v>
      </c>
      <c r="R262" t="s">
        <v>32</v>
      </c>
      <c r="S262" t="s">
        <v>32</v>
      </c>
      <c r="T262" t="s">
        <v>32</v>
      </c>
      <c r="U262" t="s">
        <v>32</v>
      </c>
      <c r="V262">
        <v>155.6</v>
      </c>
      <c r="W262">
        <v>144.1</v>
      </c>
      <c r="X262" t="s">
        <v>32</v>
      </c>
      <c r="Y262">
        <v>150.69999999999999</v>
      </c>
      <c r="Z262" t="s">
        <v>32</v>
      </c>
      <c r="AA262" t="s">
        <v>32</v>
      </c>
      <c r="AB262" t="s">
        <v>32</v>
      </c>
      <c r="AC262" t="s">
        <v>32</v>
      </c>
      <c r="AD262" t="s">
        <v>32</v>
      </c>
      <c r="AE262" t="s">
        <v>32</v>
      </c>
    </row>
    <row r="263" spans="1:31" x14ac:dyDescent="0.3">
      <c r="A263" t="s">
        <v>30</v>
      </c>
      <c r="B263">
        <v>2020</v>
      </c>
      <c r="C263" t="s">
        <v>38</v>
      </c>
      <c r="D263" t="str">
        <f>_xlfn.CONCAT(LEFT(Table1[[#This Row],[Month]],3),"-",RIGHT(Table1[[#This Row],[Year]],2))</f>
        <v>May-20</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c r="AE263" t="s">
        <v>32</v>
      </c>
    </row>
    <row r="264" spans="1:31" x14ac:dyDescent="0.3">
      <c r="A264" t="s">
        <v>33</v>
      </c>
      <c r="B264">
        <v>2020</v>
      </c>
      <c r="C264" t="s">
        <v>38</v>
      </c>
      <c r="D264" t="str">
        <f>_xlfn.CONCAT(LEFT(Table1[[#This Row],[Month]],3),"-",RIGHT(Table1[[#This Row],[Year]],2))</f>
        <v>May-20</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c r="AE264" t="s">
        <v>32</v>
      </c>
    </row>
    <row r="265" spans="1:31" x14ac:dyDescent="0.3">
      <c r="A265" t="s">
        <v>34</v>
      </c>
      <c r="B265">
        <v>2020</v>
      </c>
      <c r="C265" t="s">
        <v>38</v>
      </c>
      <c r="D265" t="str">
        <f>_xlfn.CONCAT(LEFT(Table1[[#This Row],[Month]],3),"-",RIGHT(Table1[[#This Row],[Year]],2))</f>
        <v>May-20</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c r="AE265" t="s">
        <v>32</v>
      </c>
    </row>
    <row r="266" spans="1:31" x14ac:dyDescent="0.3">
      <c r="A266" t="s">
        <v>30</v>
      </c>
      <c r="B266">
        <v>2020</v>
      </c>
      <c r="C266" t="s">
        <v>39</v>
      </c>
      <c r="D266" t="str">
        <f>_xlfn.CONCAT(LEFT(Table1[[#This Row],[Month]],3),"-",RIGHT(Table1[[#This Row],[Year]],2))</f>
        <v>Jun-20</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t="s">
        <v>32</v>
      </c>
      <c r="W266">
        <v>144.9</v>
      </c>
      <c r="X266">
        <v>151.69999999999999</v>
      </c>
      <c r="Y266">
        <v>158.19999999999999</v>
      </c>
      <c r="Z266">
        <v>141.4</v>
      </c>
      <c r="AA266">
        <v>153.19999999999999</v>
      </c>
      <c r="AB266">
        <v>161.80000000000001</v>
      </c>
      <c r="AC266">
        <v>151.19999999999999</v>
      </c>
      <c r="AD266">
        <v>151.69999999999999</v>
      </c>
      <c r="AE266">
        <v>152.69999999999999</v>
      </c>
    </row>
    <row r="267" spans="1:31" x14ac:dyDescent="0.3">
      <c r="A267" t="s">
        <v>33</v>
      </c>
      <c r="B267">
        <v>2020</v>
      </c>
      <c r="C267" t="s">
        <v>39</v>
      </c>
      <c r="D267" t="str">
        <f>_xlfn.CONCAT(LEFT(Table1[[#This Row],[Month]],3),"-",RIGHT(Table1[[#This Row],[Year]],2))</f>
        <v>Jun-20</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row>
    <row r="268" spans="1:31" x14ac:dyDescent="0.3">
      <c r="A268" t="s">
        <v>34</v>
      </c>
      <c r="B268">
        <v>2020</v>
      </c>
      <c r="C268" t="s">
        <v>39</v>
      </c>
      <c r="D268" t="str">
        <f>_xlfn.CONCAT(LEFT(Table1[[#This Row],[Month]],3),"-",RIGHT(Table1[[#This Row],[Year]],2))</f>
        <v>Jun-20</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row>
    <row r="269" spans="1:31" x14ac:dyDescent="0.3">
      <c r="A269" t="s">
        <v>30</v>
      </c>
      <c r="B269">
        <v>2020</v>
      </c>
      <c r="C269" t="s">
        <v>40</v>
      </c>
      <c r="D269" t="str">
        <f>_xlfn.CONCAT(LEFT(Table1[[#This Row],[Month]],3),"-",RIGHT(Table1[[#This Row],[Year]],2))</f>
        <v>Jul-20</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t="s">
        <v>32</v>
      </c>
      <c r="W269">
        <v>144.9</v>
      </c>
      <c r="X269">
        <v>151.69999999999999</v>
      </c>
      <c r="Y269">
        <v>158.19999999999999</v>
      </c>
      <c r="Z269">
        <v>141.4</v>
      </c>
      <c r="AA269">
        <v>153.19999999999999</v>
      </c>
      <c r="AB269">
        <v>161.80000000000001</v>
      </c>
      <c r="AC269">
        <v>151.19999999999999</v>
      </c>
      <c r="AD269">
        <v>151.69999999999999</v>
      </c>
      <c r="AE269">
        <v>152.69999999999999</v>
      </c>
    </row>
    <row r="270" spans="1:31" x14ac:dyDescent="0.3">
      <c r="A270" t="s">
        <v>33</v>
      </c>
      <c r="B270">
        <v>2020</v>
      </c>
      <c r="C270" t="s">
        <v>40</v>
      </c>
      <c r="D270" t="str">
        <f>_xlfn.CONCAT(LEFT(Table1[[#This Row],[Month]],3),"-",RIGHT(Table1[[#This Row],[Year]],2))</f>
        <v>Jul-20</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row>
    <row r="271" spans="1:31" x14ac:dyDescent="0.3">
      <c r="A271" t="s">
        <v>34</v>
      </c>
      <c r="B271">
        <v>2020</v>
      </c>
      <c r="C271" t="s">
        <v>40</v>
      </c>
      <c r="D271" t="str">
        <f>_xlfn.CONCAT(LEFT(Table1[[#This Row],[Month]],3),"-",RIGHT(Table1[[#This Row],[Year]],2))</f>
        <v>Jul-20</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row>
    <row r="272" spans="1:31" x14ac:dyDescent="0.3">
      <c r="A272" t="s">
        <v>30</v>
      </c>
      <c r="B272">
        <v>2020</v>
      </c>
      <c r="C272" t="s">
        <v>41</v>
      </c>
      <c r="D272" t="str">
        <f>_xlfn.CONCAT(LEFT(Table1[[#This Row],[Month]],3),"-",RIGHT(Table1[[#This Row],[Year]],2))</f>
        <v>Aug-20</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t="s">
        <v>32</v>
      </c>
      <c r="W272">
        <v>145.80000000000001</v>
      </c>
      <c r="X272">
        <v>151.9</v>
      </c>
      <c r="Y272">
        <v>158.80000000000001</v>
      </c>
      <c r="Z272">
        <v>143.6</v>
      </c>
      <c r="AA272">
        <v>152.19999999999999</v>
      </c>
      <c r="AB272">
        <v>162.69999999999999</v>
      </c>
      <c r="AC272">
        <v>153.6</v>
      </c>
      <c r="AD272">
        <v>153</v>
      </c>
      <c r="AE272">
        <v>154.69999999999999</v>
      </c>
    </row>
    <row r="273" spans="1:31" x14ac:dyDescent="0.3">
      <c r="A273" t="s">
        <v>33</v>
      </c>
      <c r="B273">
        <v>2020</v>
      </c>
      <c r="C273" t="s">
        <v>41</v>
      </c>
      <c r="D273" t="str">
        <f>_xlfn.CONCAT(LEFT(Table1[[#This Row],[Month]],3),"-",RIGHT(Table1[[#This Row],[Year]],2))</f>
        <v>Aug-20</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row>
    <row r="274" spans="1:31" x14ac:dyDescent="0.3">
      <c r="A274" t="s">
        <v>34</v>
      </c>
      <c r="B274">
        <v>2020</v>
      </c>
      <c r="C274" t="s">
        <v>41</v>
      </c>
      <c r="D274" t="str">
        <f>_xlfn.CONCAT(LEFT(Table1[[#This Row],[Month]],3),"-",RIGHT(Table1[[#This Row],[Year]],2))</f>
        <v>Aug-20</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row>
    <row r="275" spans="1:31" x14ac:dyDescent="0.3">
      <c r="A275" t="s">
        <v>30</v>
      </c>
      <c r="B275">
        <v>2020</v>
      </c>
      <c r="C275" t="s">
        <v>42</v>
      </c>
      <c r="D275" t="str">
        <f>_xlfn.CONCAT(LEFT(Table1[[#This Row],[Month]],3),"-",RIGHT(Table1[[#This Row],[Year]],2))</f>
        <v>Sep-20</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t="s">
        <v>32</v>
      </c>
      <c r="W275">
        <v>146.4</v>
      </c>
      <c r="X275">
        <v>151.6</v>
      </c>
      <c r="Y275">
        <v>159.1</v>
      </c>
      <c r="Z275">
        <v>144.6</v>
      </c>
      <c r="AA275">
        <v>152.80000000000001</v>
      </c>
      <c r="AB275">
        <v>161.1</v>
      </c>
      <c r="AC275">
        <v>157.4</v>
      </c>
      <c r="AD275">
        <v>153.69999999999999</v>
      </c>
      <c r="AE275">
        <v>155.4</v>
      </c>
    </row>
    <row r="276" spans="1:31" x14ac:dyDescent="0.3">
      <c r="A276" t="s">
        <v>33</v>
      </c>
      <c r="B276">
        <v>2020</v>
      </c>
      <c r="C276" t="s">
        <v>42</v>
      </c>
      <c r="D276" t="str">
        <f>_xlfn.CONCAT(LEFT(Table1[[#This Row],[Month]],3),"-",RIGHT(Table1[[#This Row],[Year]],2))</f>
        <v>Sep-20</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row>
    <row r="277" spans="1:31" x14ac:dyDescent="0.3">
      <c r="A277" t="s">
        <v>34</v>
      </c>
      <c r="B277">
        <v>2020</v>
      </c>
      <c r="C277" t="s">
        <v>42</v>
      </c>
      <c r="D277" t="str">
        <f>_xlfn.CONCAT(LEFT(Table1[[#This Row],[Month]],3),"-",RIGHT(Table1[[#This Row],[Year]],2))</f>
        <v>Sep-20</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row>
    <row r="278" spans="1:31" x14ac:dyDescent="0.3">
      <c r="A278" t="s">
        <v>30</v>
      </c>
      <c r="B278">
        <v>2020</v>
      </c>
      <c r="C278" t="s">
        <v>43</v>
      </c>
      <c r="D278" t="str">
        <f>_xlfn.CONCAT(LEFT(Table1[[#This Row],[Month]],3),"-",RIGHT(Table1[[#This Row],[Year]],2))</f>
        <v>Oct-20</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t="s">
        <v>32</v>
      </c>
      <c r="W278">
        <v>146.80000000000001</v>
      </c>
      <c r="X278">
        <v>152</v>
      </c>
      <c r="Y278">
        <v>159.5</v>
      </c>
      <c r="Z278">
        <v>146.4</v>
      </c>
      <c r="AA278">
        <v>152.4</v>
      </c>
      <c r="AB278">
        <v>162.5</v>
      </c>
      <c r="AC278">
        <v>156.19999999999999</v>
      </c>
      <c r="AD278">
        <v>154.30000000000001</v>
      </c>
      <c r="AE278">
        <v>157.5</v>
      </c>
    </row>
    <row r="279" spans="1:31" x14ac:dyDescent="0.3">
      <c r="A279" t="s">
        <v>33</v>
      </c>
      <c r="B279">
        <v>2020</v>
      </c>
      <c r="C279" t="s">
        <v>43</v>
      </c>
      <c r="D279" t="str">
        <f>_xlfn.CONCAT(LEFT(Table1[[#This Row],[Month]],3),"-",RIGHT(Table1[[#This Row],[Year]],2))</f>
        <v>Oct-20</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row>
    <row r="280" spans="1:31" x14ac:dyDescent="0.3">
      <c r="A280" t="s">
        <v>34</v>
      </c>
      <c r="B280">
        <v>2020</v>
      </c>
      <c r="C280" t="s">
        <v>43</v>
      </c>
      <c r="D280" t="str">
        <f>_xlfn.CONCAT(LEFT(Table1[[#This Row],[Month]],3),"-",RIGHT(Table1[[#This Row],[Year]],2))</f>
        <v>Oct-20</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row>
    <row r="281" spans="1:31" x14ac:dyDescent="0.3">
      <c r="A281" t="s">
        <v>30</v>
      </c>
      <c r="B281">
        <v>2020</v>
      </c>
      <c r="C281" t="s">
        <v>44</v>
      </c>
      <c r="D281" t="str">
        <f>_xlfn.CONCAT(LEFT(Table1[[#This Row],[Month]],3),"-",RIGHT(Table1[[#This Row],[Year]],2))</f>
        <v>Nov-20</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t="s">
        <v>32</v>
      </c>
      <c r="W281">
        <v>147.5</v>
      </c>
      <c r="X281">
        <v>152.80000000000001</v>
      </c>
      <c r="Y281">
        <v>160.4</v>
      </c>
      <c r="Z281">
        <v>146.1</v>
      </c>
      <c r="AA281">
        <v>153.6</v>
      </c>
      <c r="AB281">
        <v>161.6</v>
      </c>
      <c r="AC281">
        <v>156.19999999999999</v>
      </c>
      <c r="AD281">
        <v>154.5</v>
      </c>
      <c r="AE281">
        <v>159.80000000000001</v>
      </c>
    </row>
    <row r="282" spans="1:31" x14ac:dyDescent="0.3">
      <c r="A282" t="s">
        <v>33</v>
      </c>
      <c r="B282">
        <v>2020</v>
      </c>
      <c r="C282" t="s">
        <v>44</v>
      </c>
      <c r="D282" t="str">
        <f>_xlfn.CONCAT(LEFT(Table1[[#This Row],[Month]],3),"-",RIGHT(Table1[[#This Row],[Year]],2))</f>
        <v>Nov-20</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row>
    <row r="283" spans="1:31" x14ac:dyDescent="0.3">
      <c r="A283" t="s">
        <v>34</v>
      </c>
      <c r="B283">
        <v>2020</v>
      </c>
      <c r="C283" t="s">
        <v>44</v>
      </c>
      <c r="D283" t="str">
        <f>_xlfn.CONCAT(LEFT(Table1[[#This Row],[Month]],3),"-",RIGHT(Table1[[#This Row],[Year]],2))</f>
        <v>Nov-20</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row>
    <row r="284" spans="1:31" x14ac:dyDescent="0.3">
      <c r="A284" t="s">
        <v>30</v>
      </c>
      <c r="B284">
        <v>2020</v>
      </c>
      <c r="C284" t="s">
        <v>45</v>
      </c>
      <c r="D284" t="str">
        <f>_xlfn.CONCAT(LEFT(Table1[[#This Row],[Month]],3),"-",RIGHT(Table1[[#This Row],[Year]],2))</f>
        <v>Dec-20</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t="s">
        <v>32</v>
      </c>
      <c r="W284">
        <v>148.69999999999999</v>
      </c>
      <c r="X284">
        <v>153.4</v>
      </c>
      <c r="Y284">
        <v>161.6</v>
      </c>
      <c r="Z284">
        <v>146.4</v>
      </c>
      <c r="AA284">
        <v>153.9</v>
      </c>
      <c r="AB284">
        <v>162.9</v>
      </c>
      <c r="AC284">
        <v>156.6</v>
      </c>
      <c r="AD284">
        <v>155.19999999999999</v>
      </c>
      <c r="AE284">
        <v>160.69999999999999</v>
      </c>
    </row>
    <row r="285" spans="1:31" x14ac:dyDescent="0.3">
      <c r="A285" t="s">
        <v>33</v>
      </c>
      <c r="B285">
        <v>2020</v>
      </c>
      <c r="C285" t="s">
        <v>45</v>
      </c>
      <c r="D285" t="str">
        <f>_xlfn.CONCAT(LEFT(Table1[[#This Row],[Month]],3),"-",RIGHT(Table1[[#This Row],[Year]],2))</f>
        <v>Dec-20</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row>
    <row r="286" spans="1:31" x14ac:dyDescent="0.3">
      <c r="A286" t="s">
        <v>34</v>
      </c>
      <c r="B286">
        <v>2020</v>
      </c>
      <c r="C286" t="s">
        <v>45</v>
      </c>
      <c r="D286" t="str">
        <f>_xlfn.CONCAT(LEFT(Table1[[#This Row],[Month]],3),"-",RIGHT(Table1[[#This Row],[Year]],2))</f>
        <v>Dec-20</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row>
    <row r="287" spans="1:31" x14ac:dyDescent="0.3">
      <c r="A287" t="s">
        <v>30</v>
      </c>
      <c r="B287">
        <v>2021</v>
      </c>
      <c r="C287" t="s">
        <v>31</v>
      </c>
      <c r="D287" t="str">
        <f>_xlfn.CONCAT(LEFT(Table1[[#This Row],[Month]],3),"-",RIGHT(Table1[[#This Row],[Year]],2))</f>
        <v>Jan-21</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t="s">
        <v>32</v>
      </c>
      <c r="W287">
        <v>150.9</v>
      </c>
      <c r="X287">
        <v>153.9</v>
      </c>
      <c r="Y287">
        <v>162.5</v>
      </c>
      <c r="Z287">
        <v>147.5</v>
      </c>
      <c r="AA287">
        <v>155.1</v>
      </c>
      <c r="AB287">
        <v>163.5</v>
      </c>
      <c r="AC287">
        <v>156.19999999999999</v>
      </c>
      <c r="AD287">
        <v>155.9</v>
      </c>
      <c r="AE287">
        <v>158.5</v>
      </c>
    </row>
    <row r="288" spans="1:31" x14ac:dyDescent="0.3">
      <c r="A288" t="s">
        <v>33</v>
      </c>
      <c r="B288">
        <v>2021</v>
      </c>
      <c r="C288" t="s">
        <v>31</v>
      </c>
      <c r="D288" t="str">
        <f>_xlfn.CONCAT(LEFT(Table1[[#This Row],[Month]],3),"-",RIGHT(Table1[[#This Row],[Year]],2))</f>
        <v>Jan-21</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row>
    <row r="289" spans="1:31" x14ac:dyDescent="0.3">
      <c r="A289" t="s">
        <v>34</v>
      </c>
      <c r="B289">
        <v>2021</v>
      </c>
      <c r="C289" t="s">
        <v>31</v>
      </c>
      <c r="D289" t="str">
        <f>_xlfn.CONCAT(LEFT(Table1[[#This Row],[Month]],3),"-",RIGHT(Table1[[#This Row],[Year]],2))</f>
        <v>Jan-21</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row>
    <row r="290" spans="1:31" x14ac:dyDescent="0.3">
      <c r="A290" t="s">
        <v>30</v>
      </c>
      <c r="B290">
        <v>2021</v>
      </c>
      <c r="C290" t="s">
        <v>35</v>
      </c>
      <c r="D290" t="str">
        <f>_xlfn.CONCAT(LEFT(Table1[[#This Row],[Month]],3),"-",RIGHT(Table1[[#This Row],[Year]],2))</f>
        <v>Feb-21</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t="s">
        <v>32</v>
      </c>
      <c r="W290">
        <v>154.4</v>
      </c>
      <c r="X290">
        <v>154.80000000000001</v>
      </c>
      <c r="Y290">
        <v>164.3</v>
      </c>
      <c r="Z290">
        <v>150.19999999999999</v>
      </c>
      <c r="AA290">
        <v>157</v>
      </c>
      <c r="AB290">
        <v>163.6</v>
      </c>
      <c r="AC290">
        <v>155.19999999999999</v>
      </c>
      <c r="AD290">
        <v>157.19999999999999</v>
      </c>
      <c r="AE290">
        <v>156.69999999999999</v>
      </c>
    </row>
    <row r="291" spans="1:31" x14ac:dyDescent="0.3">
      <c r="A291" t="s">
        <v>33</v>
      </c>
      <c r="B291">
        <v>2021</v>
      </c>
      <c r="C291" t="s">
        <v>35</v>
      </c>
      <c r="D291" t="str">
        <f>_xlfn.CONCAT(LEFT(Table1[[#This Row],[Month]],3),"-",RIGHT(Table1[[#This Row],[Year]],2))</f>
        <v>Feb-21</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row>
    <row r="292" spans="1:31" x14ac:dyDescent="0.3">
      <c r="A292" t="s">
        <v>34</v>
      </c>
      <c r="B292">
        <v>2021</v>
      </c>
      <c r="C292" t="s">
        <v>35</v>
      </c>
      <c r="D292" t="str">
        <f>_xlfn.CONCAT(LEFT(Table1[[#This Row],[Month]],3),"-",RIGHT(Table1[[#This Row],[Year]],2))</f>
        <v>Feb-21</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row>
    <row r="293" spans="1:31" x14ac:dyDescent="0.3">
      <c r="A293" t="s">
        <v>30</v>
      </c>
      <c r="B293">
        <v>2021</v>
      </c>
      <c r="C293" t="s">
        <v>36</v>
      </c>
      <c r="D293" t="str">
        <f>_xlfn.CONCAT(LEFT(Table1[[#This Row],[Month]],3),"-",RIGHT(Table1[[#This Row],[Year]],2))</f>
        <v>Mar-21</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t="s">
        <v>46</v>
      </c>
      <c r="W293">
        <v>156</v>
      </c>
      <c r="X293">
        <v>154.80000000000001</v>
      </c>
      <c r="Y293">
        <v>164.6</v>
      </c>
      <c r="Z293">
        <v>151.30000000000001</v>
      </c>
      <c r="AA293">
        <v>157.80000000000001</v>
      </c>
      <c r="AB293">
        <v>163.80000000000001</v>
      </c>
      <c r="AC293">
        <v>153.1</v>
      </c>
      <c r="AD293">
        <v>157.30000000000001</v>
      </c>
      <c r="AE293">
        <v>156.69999999999999</v>
      </c>
    </row>
    <row r="294" spans="1:31" x14ac:dyDescent="0.3">
      <c r="A294" t="s">
        <v>33</v>
      </c>
      <c r="B294">
        <v>2021</v>
      </c>
      <c r="C294" t="s">
        <v>36</v>
      </c>
      <c r="D294" t="str">
        <f>_xlfn.CONCAT(LEFT(Table1[[#This Row],[Month]],3),"-",RIGHT(Table1[[#This Row],[Year]],2))</f>
        <v>Mar-21</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row>
    <row r="295" spans="1:31" x14ac:dyDescent="0.3">
      <c r="A295" t="s">
        <v>34</v>
      </c>
      <c r="B295">
        <v>2021</v>
      </c>
      <c r="C295" t="s">
        <v>36</v>
      </c>
      <c r="D295" t="str">
        <f>_xlfn.CONCAT(LEFT(Table1[[#This Row],[Month]],3),"-",RIGHT(Table1[[#This Row],[Year]],2))</f>
        <v>Mar-21</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row>
    <row r="296" spans="1:31" x14ac:dyDescent="0.3">
      <c r="A296" t="s">
        <v>30</v>
      </c>
      <c r="B296">
        <v>2021</v>
      </c>
      <c r="C296" t="s">
        <v>37</v>
      </c>
      <c r="D296" t="str">
        <f>_xlfn.CONCAT(LEFT(Table1[[#This Row],[Month]],3),"-",RIGHT(Table1[[#This Row],[Year]],2))</f>
        <v>Apr-21</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t="s">
        <v>46</v>
      </c>
      <c r="W296">
        <v>156</v>
      </c>
      <c r="X296">
        <v>155.5</v>
      </c>
      <c r="Y296">
        <v>165.3</v>
      </c>
      <c r="Z296">
        <v>151.69999999999999</v>
      </c>
      <c r="AA296">
        <v>158.6</v>
      </c>
      <c r="AB296">
        <v>164.1</v>
      </c>
      <c r="AC296">
        <v>154.6</v>
      </c>
      <c r="AD296">
        <v>158</v>
      </c>
      <c r="AE296">
        <v>157.6</v>
      </c>
    </row>
    <row r="297" spans="1:31" x14ac:dyDescent="0.3">
      <c r="A297" t="s">
        <v>33</v>
      </c>
      <c r="B297">
        <v>2021</v>
      </c>
      <c r="C297" t="s">
        <v>37</v>
      </c>
      <c r="D297" t="str">
        <f>_xlfn.CONCAT(LEFT(Table1[[#This Row],[Month]],3),"-",RIGHT(Table1[[#This Row],[Year]],2))</f>
        <v>Apr-21</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row>
    <row r="298" spans="1:31" x14ac:dyDescent="0.3">
      <c r="A298" t="s">
        <v>34</v>
      </c>
      <c r="B298">
        <v>2021</v>
      </c>
      <c r="C298" t="s">
        <v>37</v>
      </c>
      <c r="D298" t="str">
        <f>_xlfn.CONCAT(LEFT(Table1[[#This Row],[Month]],3),"-",RIGHT(Table1[[#This Row],[Year]],2))</f>
        <v>Apr-21</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row>
    <row r="299" spans="1:31" x14ac:dyDescent="0.3">
      <c r="A299" t="s">
        <v>30</v>
      </c>
      <c r="B299">
        <v>2021</v>
      </c>
      <c r="C299" t="s">
        <v>38</v>
      </c>
      <c r="D299" t="str">
        <f>_xlfn.CONCAT(LEFT(Table1[[#This Row],[Month]],3),"-",RIGHT(Table1[[#This Row],[Year]],2))</f>
        <v>May-21</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t="s">
        <v>32</v>
      </c>
      <c r="W299">
        <v>161.69999999999999</v>
      </c>
      <c r="X299">
        <v>158.80000000000001</v>
      </c>
      <c r="Y299">
        <v>169.1</v>
      </c>
      <c r="Z299">
        <v>153.19999999999999</v>
      </c>
      <c r="AA299">
        <v>160</v>
      </c>
      <c r="AB299">
        <v>167.6</v>
      </c>
      <c r="AC299">
        <v>159.30000000000001</v>
      </c>
      <c r="AD299">
        <v>161.1</v>
      </c>
      <c r="AE299">
        <v>161.1</v>
      </c>
    </row>
    <row r="300" spans="1:31" x14ac:dyDescent="0.3">
      <c r="A300" t="s">
        <v>33</v>
      </c>
      <c r="B300">
        <v>2021</v>
      </c>
      <c r="C300" t="s">
        <v>38</v>
      </c>
      <c r="D300" t="str">
        <f>_xlfn.CONCAT(LEFT(Table1[[#This Row],[Month]],3),"-",RIGHT(Table1[[#This Row],[Year]],2))</f>
        <v>May-21</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row>
    <row r="301" spans="1:31" x14ac:dyDescent="0.3">
      <c r="A301" t="s">
        <v>34</v>
      </c>
      <c r="B301">
        <v>2021</v>
      </c>
      <c r="C301" t="s">
        <v>38</v>
      </c>
      <c r="D301" t="str">
        <f>_xlfn.CONCAT(LEFT(Table1[[#This Row],[Month]],3),"-",RIGHT(Table1[[#This Row],[Year]],2))</f>
        <v>May-21</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row>
    <row r="302" spans="1:31" x14ac:dyDescent="0.3">
      <c r="A302" t="s">
        <v>30</v>
      </c>
      <c r="B302">
        <v>2021</v>
      </c>
      <c r="C302" t="s">
        <v>39</v>
      </c>
      <c r="D302" t="str">
        <f>_xlfn.CONCAT(LEFT(Table1[[#This Row],[Month]],3),"-",RIGHT(Table1[[#This Row],[Year]],2))</f>
        <v>Jun-21</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t="s">
        <v>32</v>
      </c>
      <c r="W302">
        <v>162.1</v>
      </c>
      <c r="X302">
        <v>159.19999999999999</v>
      </c>
      <c r="Y302">
        <v>169.7</v>
      </c>
      <c r="Z302">
        <v>154.19999999999999</v>
      </c>
      <c r="AA302">
        <v>160.4</v>
      </c>
      <c r="AB302">
        <v>166.8</v>
      </c>
      <c r="AC302">
        <v>159.4</v>
      </c>
      <c r="AD302">
        <v>161.5</v>
      </c>
      <c r="AE302">
        <v>162.1</v>
      </c>
    </row>
    <row r="303" spans="1:31" x14ac:dyDescent="0.3">
      <c r="A303" t="s">
        <v>33</v>
      </c>
      <c r="B303">
        <v>2021</v>
      </c>
      <c r="C303" t="s">
        <v>39</v>
      </c>
      <c r="D303" t="str">
        <f>_xlfn.CONCAT(LEFT(Table1[[#This Row],[Month]],3),"-",RIGHT(Table1[[#This Row],[Year]],2))</f>
        <v>Jun-21</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row>
    <row r="304" spans="1:31" x14ac:dyDescent="0.3">
      <c r="A304" t="s">
        <v>34</v>
      </c>
      <c r="B304">
        <v>2021</v>
      </c>
      <c r="C304" t="s">
        <v>39</v>
      </c>
      <c r="D304" t="str">
        <f>_xlfn.CONCAT(LEFT(Table1[[#This Row],[Month]],3),"-",RIGHT(Table1[[#This Row],[Year]],2))</f>
        <v>Jun-21</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row>
    <row r="305" spans="1:31" x14ac:dyDescent="0.3">
      <c r="A305" t="s">
        <v>30</v>
      </c>
      <c r="B305">
        <v>2021</v>
      </c>
      <c r="C305" t="s">
        <v>40</v>
      </c>
      <c r="D305" t="str">
        <f>_xlfn.CONCAT(LEFT(Table1[[#This Row],[Month]],3),"-",RIGHT(Table1[[#This Row],[Year]],2))</f>
        <v>Jul-21</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t="s">
        <v>32</v>
      </c>
      <c r="W305">
        <v>162.5</v>
      </c>
      <c r="X305">
        <v>160.30000000000001</v>
      </c>
      <c r="Y305">
        <v>170.4</v>
      </c>
      <c r="Z305">
        <v>157.1</v>
      </c>
      <c r="AA305">
        <v>160.69999999999999</v>
      </c>
      <c r="AB305">
        <v>167.2</v>
      </c>
      <c r="AC305">
        <v>160.4</v>
      </c>
      <c r="AD305">
        <v>162.80000000000001</v>
      </c>
      <c r="AE305">
        <v>163.19999999999999</v>
      </c>
    </row>
    <row r="306" spans="1:31" x14ac:dyDescent="0.3">
      <c r="A306" t="s">
        <v>33</v>
      </c>
      <c r="B306">
        <v>2021</v>
      </c>
      <c r="C306" t="s">
        <v>40</v>
      </c>
      <c r="D306" t="str">
        <f>_xlfn.CONCAT(LEFT(Table1[[#This Row],[Month]],3),"-",RIGHT(Table1[[#This Row],[Year]],2))</f>
        <v>Jul-21</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row>
    <row r="307" spans="1:31" x14ac:dyDescent="0.3">
      <c r="A307" t="s">
        <v>34</v>
      </c>
      <c r="B307">
        <v>2021</v>
      </c>
      <c r="C307" t="s">
        <v>40</v>
      </c>
      <c r="D307" t="str">
        <f>_xlfn.CONCAT(LEFT(Table1[[#This Row],[Month]],3),"-",RIGHT(Table1[[#This Row],[Year]],2))</f>
        <v>Jul-21</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row>
    <row r="308" spans="1:31" x14ac:dyDescent="0.3">
      <c r="A308" t="s">
        <v>30</v>
      </c>
      <c r="B308">
        <v>2021</v>
      </c>
      <c r="C308" t="s">
        <v>41</v>
      </c>
      <c r="D308" t="str">
        <f>_xlfn.CONCAT(LEFT(Table1[[#This Row],[Month]],3),"-",RIGHT(Table1[[#This Row],[Year]],2))</f>
        <v>Aug-21</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t="s">
        <v>32</v>
      </c>
      <c r="W308">
        <v>163.1</v>
      </c>
      <c r="X308">
        <v>160.9</v>
      </c>
      <c r="Y308">
        <v>171.1</v>
      </c>
      <c r="Z308">
        <v>157.69999999999999</v>
      </c>
      <c r="AA308">
        <v>161.1</v>
      </c>
      <c r="AB308">
        <v>167.5</v>
      </c>
      <c r="AC308">
        <v>160.30000000000001</v>
      </c>
      <c r="AD308">
        <v>163.30000000000001</v>
      </c>
      <c r="AE308">
        <v>163.6</v>
      </c>
    </row>
    <row r="309" spans="1:31" x14ac:dyDescent="0.3">
      <c r="A309" t="s">
        <v>33</v>
      </c>
      <c r="B309">
        <v>2021</v>
      </c>
      <c r="C309" t="s">
        <v>41</v>
      </c>
      <c r="D309" t="str">
        <f>_xlfn.CONCAT(LEFT(Table1[[#This Row],[Month]],3),"-",RIGHT(Table1[[#This Row],[Year]],2))</f>
        <v>Aug-21</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row>
    <row r="310" spans="1:31" x14ac:dyDescent="0.3">
      <c r="A310" t="s">
        <v>34</v>
      </c>
      <c r="B310">
        <v>2021</v>
      </c>
      <c r="C310" t="s">
        <v>41</v>
      </c>
      <c r="D310" t="str">
        <f>_xlfn.CONCAT(LEFT(Table1[[#This Row],[Month]],3),"-",RIGHT(Table1[[#This Row],[Year]],2))</f>
        <v>Aug-21</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row>
    <row r="311" spans="1:31" x14ac:dyDescent="0.3">
      <c r="A311" t="s">
        <v>30</v>
      </c>
      <c r="B311">
        <v>2021</v>
      </c>
      <c r="C311" t="s">
        <v>42</v>
      </c>
      <c r="D311" t="str">
        <f>_xlfn.CONCAT(LEFT(Table1[[#This Row],[Month]],3),"-",RIGHT(Table1[[#This Row],[Year]],2))</f>
        <v>Sep-21</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t="s">
        <v>32</v>
      </c>
      <c r="W311">
        <v>163.69999999999999</v>
      </c>
      <c r="X311">
        <v>161.30000000000001</v>
      </c>
      <c r="Y311">
        <v>171.9</v>
      </c>
      <c r="Z311">
        <v>157.80000000000001</v>
      </c>
      <c r="AA311">
        <v>162.69999999999999</v>
      </c>
      <c r="AB311">
        <v>168.5</v>
      </c>
      <c r="AC311">
        <v>160.19999999999999</v>
      </c>
      <c r="AD311">
        <v>163.80000000000001</v>
      </c>
      <c r="AE311">
        <v>164</v>
      </c>
    </row>
    <row r="312" spans="1:31" x14ac:dyDescent="0.3">
      <c r="A312" t="s">
        <v>33</v>
      </c>
      <c r="B312">
        <v>2021</v>
      </c>
      <c r="C312" t="s">
        <v>42</v>
      </c>
      <c r="D312" t="str">
        <f>_xlfn.CONCAT(LEFT(Table1[[#This Row],[Month]],3),"-",RIGHT(Table1[[#This Row],[Year]],2))</f>
        <v>Sep-21</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row>
    <row r="313" spans="1:31" x14ac:dyDescent="0.3">
      <c r="A313" t="s">
        <v>34</v>
      </c>
      <c r="B313">
        <v>2021</v>
      </c>
      <c r="C313" t="s">
        <v>42</v>
      </c>
      <c r="D313" t="str">
        <f>_xlfn.CONCAT(LEFT(Table1[[#This Row],[Month]],3),"-",RIGHT(Table1[[#This Row],[Year]],2))</f>
        <v>Sep-21</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row>
    <row r="314" spans="1:31" x14ac:dyDescent="0.3">
      <c r="A314" t="s">
        <v>30</v>
      </c>
      <c r="B314">
        <v>2021</v>
      </c>
      <c r="C314" t="s">
        <v>43</v>
      </c>
      <c r="D314" t="str">
        <f>_xlfn.CONCAT(LEFT(Table1[[#This Row],[Month]],3),"-",RIGHT(Table1[[#This Row],[Year]],2))</f>
        <v>Oct-21</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t="s">
        <v>32</v>
      </c>
      <c r="W314">
        <v>165.5</v>
      </c>
      <c r="X314">
        <v>162</v>
      </c>
      <c r="Y314">
        <v>172.5</v>
      </c>
      <c r="Z314">
        <v>159.5</v>
      </c>
      <c r="AA314">
        <v>163.19999999999999</v>
      </c>
      <c r="AB314">
        <v>169</v>
      </c>
      <c r="AC314">
        <v>161.1</v>
      </c>
      <c r="AD314">
        <v>164.7</v>
      </c>
      <c r="AE314">
        <v>166.3</v>
      </c>
    </row>
    <row r="315" spans="1:31" x14ac:dyDescent="0.3">
      <c r="A315" t="s">
        <v>33</v>
      </c>
      <c r="B315">
        <v>2021</v>
      </c>
      <c r="C315" t="s">
        <v>43</v>
      </c>
      <c r="D315" t="str">
        <f>_xlfn.CONCAT(LEFT(Table1[[#This Row],[Month]],3),"-",RIGHT(Table1[[#This Row],[Year]],2))</f>
        <v>Oct-21</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row>
    <row r="316" spans="1:31" x14ac:dyDescent="0.3">
      <c r="A316" t="s">
        <v>34</v>
      </c>
      <c r="B316">
        <v>2021</v>
      </c>
      <c r="C316" t="s">
        <v>43</v>
      </c>
      <c r="D316" t="str">
        <f>_xlfn.CONCAT(LEFT(Table1[[#This Row],[Month]],3),"-",RIGHT(Table1[[#This Row],[Year]],2))</f>
        <v>Oct-21</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row>
    <row r="317" spans="1:31" x14ac:dyDescent="0.3">
      <c r="A317" t="s">
        <v>30</v>
      </c>
      <c r="B317">
        <v>2021</v>
      </c>
      <c r="C317" t="s">
        <v>44</v>
      </c>
      <c r="D317" t="str">
        <f>_xlfn.CONCAT(LEFT(Table1[[#This Row],[Month]],3),"-",RIGHT(Table1[[#This Row],[Year]],2))</f>
        <v>Nov-21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t="s">
        <v>32</v>
      </c>
      <c r="W317">
        <v>165.3</v>
      </c>
      <c r="X317">
        <v>162.9</v>
      </c>
      <c r="Y317">
        <v>173.4</v>
      </c>
      <c r="Z317">
        <v>158.9</v>
      </c>
      <c r="AA317">
        <v>163.80000000000001</v>
      </c>
      <c r="AB317">
        <v>169.3</v>
      </c>
      <c r="AC317">
        <v>162.4</v>
      </c>
      <c r="AD317">
        <v>165.2</v>
      </c>
      <c r="AE317">
        <v>167.6</v>
      </c>
    </row>
    <row r="318" spans="1:31" x14ac:dyDescent="0.3">
      <c r="A318" t="s">
        <v>33</v>
      </c>
      <c r="B318">
        <v>2021</v>
      </c>
      <c r="C318" t="s">
        <v>44</v>
      </c>
      <c r="D318" t="str">
        <f>_xlfn.CONCAT(LEFT(Table1[[#This Row],[Month]],3),"-",RIGHT(Table1[[#This Row],[Year]],2))</f>
        <v>Nov-21</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row>
    <row r="319" spans="1:31" x14ac:dyDescent="0.3">
      <c r="A319" t="s">
        <v>34</v>
      </c>
      <c r="B319">
        <v>2021</v>
      </c>
      <c r="C319" t="s">
        <v>44</v>
      </c>
      <c r="D319" t="str">
        <f>_xlfn.CONCAT(LEFT(Table1[[#This Row],[Month]],3),"-",RIGHT(Table1[[#This Row],[Year]],2))</f>
        <v>Nov-21</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row>
    <row r="320" spans="1:31" x14ac:dyDescent="0.3">
      <c r="A320" t="s">
        <v>30</v>
      </c>
      <c r="B320">
        <v>2021</v>
      </c>
      <c r="C320" t="s">
        <v>45</v>
      </c>
      <c r="D320" t="str">
        <f>_xlfn.CONCAT(LEFT(Table1[[#This Row],[Month]],3),"-",RIGHT(Table1[[#This Row],[Year]],2))</f>
        <v>Dec-21</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t="s">
        <v>32</v>
      </c>
      <c r="W320">
        <v>165.6</v>
      </c>
      <c r="X320">
        <v>163.9</v>
      </c>
      <c r="Y320">
        <v>174</v>
      </c>
      <c r="Z320">
        <v>160.1</v>
      </c>
      <c r="AA320">
        <v>164.5</v>
      </c>
      <c r="AB320">
        <v>169.7</v>
      </c>
      <c r="AC320">
        <v>162.80000000000001</v>
      </c>
      <c r="AD320">
        <v>166</v>
      </c>
      <c r="AE320">
        <v>167</v>
      </c>
    </row>
    <row r="321" spans="1:31" x14ac:dyDescent="0.3">
      <c r="A321" t="s">
        <v>33</v>
      </c>
      <c r="B321">
        <v>2021</v>
      </c>
      <c r="C321" t="s">
        <v>45</v>
      </c>
      <c r="D321" t="str">
        <f>_xlfn.CONCAT(LEFT(Table1[[#This Row],[Month]],3),"-",RIGHT(Table1[[#This Row],[Year]],2))</f>
        <v>Dec-21</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row>
    <row r="322" spans="1:31" x14ac:dyDescent="0.3">
      <c r="A322" t="s">
        <v>34</v>
      </c>
      <c r="B322">
        <v>2021</v>
      </c>
      <c r="C322" t="s">
        <v>45</v>
      </c>
      <c r="D322" t="str">
        <f>_xlfn.CONCAT(LEFT(Table1[[#This Row],[Month]],3),"-",RIGHT(Table1[[#This Row],[Year]],2))</f>
        <v>Dec-21</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row>
    <row r="323" spans="1:31" x14ac:dyDescent="0.3">
      <c r="A323" t="s">
        <v>30</v>
      </c>
      <c r="B323">
        <v>2022</v>
      </c>
      <c r="C323" t="s">
        <v>31</v>
      </c>
      <c r="D323" t="str">
        <f>_xlfn.CONCAT(LEFT(Table1[[#This Row],[Month]],3),"-",RIGHT(Table1[[#This Row],[Year]],2))</f>
        <v>Jan-22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t="s">
        <v>32</v>
      </c>
      <c r="W323">
        <v>165.8</v>
      </c>
      <c r="X323">
        <v>164.9</v>
      </c>
      <c r="Y323">
        <v>174.7</v>
      </c>
      <c r="Z323">
        <v>160.80000000000001</v>
      </c>
      <c r="AA323">
        <v>164.9</v>
      </c>
      <c r="AB323">
        <v>169.9</v>
      </c>
      <c r="AC323">
        <v>163.19999999999999</v>
      </c>
      <c r="AD323">
        <v>166.6</v>
      </c>
      <c r="AE323">
        <v>166.4</v>
      </c>
    </row>
    <row r="324" spans="1:31" x14ac:dyDescent="0.3">
      <c r="A324" t="s">
        <v>33</v>
      </c>
      <c r="B324">
        <v>2022</v>
      </c>
      <c r="C324" t="s">
        <v>31</v>
      </c>
      <c r="D324" t="str">
        <f>_xlfn.CONCAT(LEFT(Table1[[#This Row],[Month]],3),"-",RIGHT(Table1[[#This Row],[Year]],2))</f>
        <v>Jan-22</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row>
    <row r="325" spans="1:31" x14ac:dyDescent="0.3">
      <c r="A325" t="s">
        <v>34</v>
      </c>
      <c r="B325">
        <v>2022</v>
      </c>
      <c r="C325" t="s">
        <v>31</v>
      </c>
      <c r="D325" t="str">
        <f>_xlfn.CONCAT(LEFT(Table1[[#This Row],[Month]],3),"-",RIGHT(Table1[[#This Row],[Year]],2))</f>
        <v>Jan-22</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row>
    <row r="326" spans="1:31" x14ac:dyDescent="0.3">
      <c r="A326" t="s">
        <v>30</v>
      </c>
      <c r="B326">
        <v>2022</v>
      </c>
      <c r="C326" t="s">
        <v>35</v>
      </c>
      <c r="D326" t="str">
        <f>_xlfn.CONCAT(LEFT(Table1[[#This Row],[Month]],3),"-",RIGHT(Table1[[#This Row],[Year]],2))</f>
        <v>Feb-22</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t="s">
        <v>32</v>
      </c>
      <c r="W326">
        <v>167.4</v>
      </c>
      <c r="X326">
        <v>165.7</v>
      </c>
      <c r="Y326">
        <v>175.3</v>
      </c>
      <c r="Z326">
        <v>161.19999999999999</v>
      </c>
      <c r="AA326">
        <v>165.5</v>
      </c>
      <c r="AB326">
        <v>170.3</v>
      </c>
      <c r="AC326">
        <v>164.5</v>
      </c>
      <c r="AD326">
        <v>167.3</v>
      </c>
      <c r="AE326">
        <v>166.7</v>
      </c>
    </row>
    <row r="327" spans="1:31" x14ac:dyDescent="0.3">
      <c r="A327" t="s">
        <v>33</v>
      </c>
      <c r="B327">
        <v>2022</v>
      </c>
      <c r="C327" t="s">
        <v>35</v>
      </c>
      <c r="D327" t="str">
        <f>_xlfn.CONCAT(LEFT(Table1[[#This Row],[Month]],3),"-",RIGHT(Table1[[#This Row],[Year]],2))</f>
        <v>Feb-22</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row>
    <row r="328" spans="1:31" x14ac:dyDescent="0.3">
      <c r="A328" t="s">
        <v>34</v>
      </c>
      <c r="B328">
        <v>2022</v>
      </c>
      <c r="C328" t="s">
        <v>35</v>
      </c>
      <c r="D328" t="str">
        <f>_xlfn.CONCAT(LEFT(Table1[[#This Row],[Month]],3),"-",RIGHT(Table1[[#This Row],[Year]],2))</f>
        <v>Feb-22</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row>
    <row r="329" spans="1:31" x14ac:dyDescent="0.3">
      <c r="A329" t="s">
        <v>30</v>
      </c>
      <c r="B329">
        <v>2022</v>
      </c>
      <c r="C329" t="s">
        <v>36</v>
      </c>
      <c r="D329" t="str">
        <f>_xlfn.CONCAT(LEFT(Table1[[#This Row],[Month]],3),"-",RIGHT(Table1[[#This Row],[Year]],2))</f>
        <v>Mar-22</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t="s">
        <v>32</v>
      </c>
      <c r="W329">
        <v>168.9</v>
      </c>
      <c r="X329">
        <v>166.5</v>
      </c>
      <c r="Y329">
        <v>176</v>
      </c>
      <c r="Z329">
        <v>162</v>
      </c>
      <c r="AA329">
        <v>166.6</v>
      </c>
      <c r="AB329">
        <v>170.6</v>
      </c>
      <c r="AC329">
        <v>167.4</v>
      </c>
      <c r="AD329">
        <v>168.3</v>
      </c>
      <c r="AE329">
        <v>168.7</v>
      </c>
    </row>
    <row r="330" spans="1:31" x14ac:dyDescent="0.3">
      <c r="A330" t="s">
        <v>33</v>
      </c>
      <c r="B330">
        <v>2022</v>
      </c>
      <c r="C330" t="s">
        <v>36</v>
      </c>
      <c r="D330" t="str">
        <f>_xlfn.CONCAT(LEFT(Table1[[#This Row],[Month]],3),"-",RIGHT(Table1[[#This Row],[Year]],2))</f>
        <v>Mar-22</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row>
    <row r="331" spans="1:31" x14ac:dyDescent="0.3">
      <c r="A331" t="s">
        <v>34</v>
      </c>
      <c r="B331">
        <v>2022</v>
      </c>
      <c r="C331" t="s">
        <v>36</v>
      </c>
      <c r="D331" t="str">
        <f>_xlfn.CONCAT(LEFT(Table1[[#This Row],[Month]],3),"-",RIGHT(Table1[[#This Row],[Year]],2))</f>
        <v>Mar-22</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row>
    <row r="332" spans="1:31" x14ac:dyDescent="0.3">
      <c r="A332" t="s">
        <v>30</v>
      </c>
      <c r="B332">
        <v>2022</v>
      </c>
      <c r="C332" t="s">
        <v>37</v>
      </c>
      <c r="D332" t="str">
        <f>_xlfn.CONCAT(LEFT(Table1[[#This Row],[Month]],3),"-",RIGHT(Table1[[#This Row],[Year]],2))</f>
        <v>Apr-22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t="s">
        <v>32</v>
      </c>
      <c r="W332">
        <v>173.3</v>
      </c>
      <c r="X332">
        <v>167.7</v>
      </c>
      <c r="Y332">
        <v>177</v>
      </c>
      <c r="Z332">
        <v>166.2</v>
      </c>
      <c r="AA332">
        <v>167.2</v>
      </c>
      <c r="AB332">
        <v>170.9</v>
      </c>
      <c r="AC332">
        <v>169</v>
      </c>
      <c r="AD332">
        <v>170.2</v>
      </c>
      <c r="AE332">
        <v>170.8</v>
      </c>
    </row>
    <row r="333" spans="1:31" x14ac:dyDescent="0.3">
      <c r="A333" t="s">
        <v>33</v>
      </c>
      <c r="B333">
        <v>2022</v>
      </c>
      <c r="C333" t="s">
        <v>37</v>
      </c>
      <c r="D333" t="str">
        <f>_xlfn.CONCAT(LEFT(Table1[[#This Row],[Month]],3),"-",RIGHT(Table1[[#This Row],[Year]],2))</f>
        <v>Apr-22</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row>
    <row r="334" spans="1:31" x14ac:dyDescent="0.3">
      <c r="A334" t="s">
        <v>34</v>
      </c>
      <c r="B334">
        <v>2022</v>
      </c>
      <c r="C334" t="s">
        <v>37</v>
      </c>
      <c r="D334" t="str">
        <f>_xlfn.CONCAT(LEFT(Table1[[#This Row],[Month]],3),"-",RIGHT(Table1[[#This Row],[Year]],2))</f>
        <v>Apr-22</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row>
    <row r="335" spans="1:31" x14ac:dyDescent="0.3">
      <c r="A335" t="s">
        <v>30</v>
      </c>
      <c r="B335">
        <v>2022</v>
      </c>
      <c r="C335" t="s">
        <v>38</v>
      </c>
      <c r="D335" t="str">
        <f>_xlfn.CONCAT(LEFT(Table1[[#This Row],[Month]],3),"-",RIGHT(Table1[[#This Row],[Year]],2))</f>
        <v>May-22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t="s">
        <v>32</v>
      </c>
      <c r="W335">
        <v>175.3</v>
      </c>
      <c r="X335">
        <v>168.9</v>
      </c>
      <c r="Y335">
        <v>177.7</v>
      </c>
      <c r="Z335">
        <v>167.1</v>
      </c>
      <c r="AA335">
        <v>167.6</v>
      </c>
      <c r="AB335">
        <v>171.8</v>
      </c>
      <c r="AC335">
        <v>168.5</v>
      </c>
      <c r="AD335">
        <v>170.9</v>
      </c>
      <c r="AE335">
        <v>172.5</v>
      </c>
    </row>
    <row r="336" spans="1:31" x14ac:dyDescent="0.3">
      <c r="A336" t="s">
        <v>33</v>
      </c>
      <c r="B336">
        <v>2022</v>
      </c>
      <c r="C336" t="s">
        <v>38</v>
      </c>
      <c r="D336" t="str">
        <f>_xlfn.CONCAT(LEFT(Table1[[#This Row],[Month]],3),"-",RIGHT(Table1[[#This Row],[Year]],2))</f>
        <v>May-22</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row>
    <row r="337" spans="1:31" x14ac:dyDescent="0.3">
      <c r="A337" t="s">
        <v>34</v>
      </c>
      <c r="B337">
        <v>2022</v>
      </c>
      <c r="C337" t="s">
        <v>38</v>
      </c>
      <c r="D337" t="str">
        <f>_xlfn.CONCAT(LEFT(Table1[[#This Row],[Month]],3),"-",RIGHT(Table1[[#This Row],[Year]],2))</f>
        <v>May-22</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row>
    <row r="338" spans="1:31" x14ac:dyDescent="0.3">
      <c r="A338" t="s">
        <v>30</v>
      </c>
      <c r="B338">
        <v>2022</v>
      </c>
      <c r="C338" t="s">
        <v>39</v>
      </c>
      <c r="D338" t="str">
        <f>_xlfn.CONCAT(LEFT(Table1[[#This Row],[Month]],3),"-",RIGHT(Table1[[#This Row],[Year]],2))</f>
        <v>Jun-22</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t="s">
        <v>32</v>
      </c>
      <c r="W338">
        <v>176.7</v>
      </c>
      <c r="X338">
        <v>170.3</v>
      </c>
      <c r="Y338">
        <v>178.2</v>
      </c>
      <c r="Z338">
        <v>165.5</v>
      </c>
      <c r="AA338">
        <v>168</v>
      </c>
      <c r="AB338">
        <v>172.6</v>
      </c>
      <c r="AC338">
        <v>169.5</v>
      </c>
      <c r="AD338">
        <v>171</v>
      </c>
      <c r="AE338">
        <v>173.6</v>
      </c>
    </row>
    <row r="339" spans="1:31" x14ac:dyDescent="0.3">
      <c r="A339" t="s">
        <v>33</v>
      </c>
      <c r="B339">
        <v>2022</v>
      </c>
      <c r="C339" t="s">
        <v>39</v>
      </c>
      <c r="D339" t="str">
        <f>_xlfn.CONCAT(LEFT(Table1[[#This Row],[Month]],3),"-",RIGHT(Table1[[#This Row],[Year]],2))</f>
        <v>Jun-22</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row>
    <row r="340" spans="1:31" x14ac:dyDescent="0.3">
      <c r="A340" t="s">
        <v>34</v>
      </c>
      <c r="B340">
        <v>2022</v>
      </c>
      <c r="C340" t="s">
        <v>39</v>
      </c>
      <c r="D340" t="str">
        <f>_xlfn.CONCAT(LEFT(Table1[[#This Row],[Month]],3),"-",RIGHT(Table1[[#This Row],[Year]],2))</f>
        <v>Jun-22</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row>
    <row r="341" spans="1:31" x14ac:dyDescent="0.3">
      <c r="A341" t="s">
        <v>30</v>
      </c>
      <c r="B341">
        <v>2022</v>
      </c>
      <c r="C341" t="s">
        <v>40</v>
      </c>
      <c r="D341" t="str">
        <f>_xlfn.CONCAT(LEFT(Table1[[#This Row],[Month]],3),"-",RIGHT(Table1[[#This Row],[Year]],2))</f>
        <v>Jul-22</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t="s">
        <v>32</v>
      </c>
      <c r="W341">
        <v>179.6</v>
      </c>
      <c r="X341">
        <v>171.3</v>
      </c>
      <c r="Y341">
        <v>178.8</v>
      </c>
      <c r="Z341">
        <v>166.3</v>
      </c>
      <c r="AA341">
        <v>168.6</v>
      </c>
      <c r="AB341">
        <v>174.7</v>
      </c>
      <c r="AC341">
        <v>169.7</v>
      </c>
      <c r="AD341">
        <v>171.8</v>
      </c>
      <c r="AE341">
        <v>174.3</v>
      </c>
    </row>
    <row r="342" spans="1:31" x14ac:dyDescent="0.3">
      <c r="A342" t="s">
        <v>33</v>
      </c>
      <c r="B342">
        <v>2022</v>
      </c>
      <c r="C342" t="s">
        <v>40</v>
      </c>
      <c r="D342" t="str">
        <f>_xlfn.CONCAT(LEFT(Table1[[#This Row],[Month]],3),"-",RIGHT(Table1[[#This Row],[Year]],2))</f>
        <v>Jul-22</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row>
    <row r="343" spans="1:31" x14ac:dyDescent="0.3">
      <c r="A343" t="s">
        <v>34</v>
      </c>
      <c r="B343">
        <v>2022</v>
      </c>
      <c r="C343" t="s">
        <v>40</v>
      </c>
      <c r="D343" t="str">
        <f>_xlfn.CONCAT(LEFT(Table1[[#This Row],[Month]],3),"-",RIGHT(Table1[[#This Row],[Year]],2))</f>
        <v>Jul-22</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row>
    <row r="344" spans="1:31" x14ac:dyDescent="0.3">
      <c r="A344" t="s">
        <v>30</v>
      </c>
      <c r="B344">
        <v>2022</v>
      </c>
      <c r="C344" t="s">
        <v>41</v>
      </c>
      <c r="D344" t="str">
        <f>_xlfn.CONCAT(LEFT(Table1[[#This Row],[Month]],3),"-",RIGHT(Table1[[#This Row],[Year]],2))</f>
        <v>Aug-22</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t="s">
        <v>32</v>
      </c>
      <c r="W344">
        <v>179.1</v>
      </c>
      <c r="X344">
        <v>172.3</v>
      </c>
      <c r="Y344">
        <v>179.4</v>
      </c>
      <c r="Z344">
        <v>166.6</v>
      </c>
      <c r="AA344">
        <v>169.3</v>
      </c>
      <c r="AB344">
        <v>175.7</v>
      </c>
      <c r="AC344">
        <v>171.1</v>
      </c>
      <c r="AD344">
        <v>172.6</v>
      </c>
      <c r="AE344">
        <v>175.3</v>
      </c>
    </row>
    <row r="345" spans="1:31" x14ac:dyDescent="0.3">
      <c r="A345" t="s">
        <v>33</v>
      </c>
      <c r="B345">
        <v>2022</v>
      </c>
      <c r="C345" t="s">
        <v>41</v>
      </c>
      <c r="D345" t="str">
        <f>_xlfn.CONCAT(LEFT(Table1[[#This Row],[Month]],3),"-",RIGHT(Table1[[#This Row],[Year]],2))</f>
        <v>Aug-22</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row>
    <row r="346" spans="1:31" x14ac:dyDescent="0.3">
      <c r="A346" t="s">
        <v>34</v>
      </c>
      <c r="B346">
        <v>2022</v>
      </c>
      <c r="C346" t="s">
        <v>41</v>
      </c>
      <c r="D346" t="str">
        <f>_xlfn.CONCAT(LEFT(Table1[[#This Row],[Month]],3),"-",RIGHT(Table1[[#This Row],[Year]],2))</f>
        <v>Aug-22</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row>
    <row r="347" spans="1:31" x14ac:dyDescent="0.3">
      <c r="A347" t="s">
        <v>30</v>
      </c>
      <c r="B347">
        <v>2022</v>
      </c>
      <c r="C347" t="s">
        <v>42</v>
      </c>
      <c r="D347" t="str">
        <f>_xlfn.CONCAT(LEFT(Table1[[#This Row],[Month]],3),"-",RIGHT(Table1[[#This Row],[Year]],2))</f>
        <v>Sep-22</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t="s">
        <v>32</v>
      </c>
      <c r="W347">
        <v>179.7</v>
      </c>
      <c r="X347">
        <v>173.6</v>
      </c>
      <c r="Y347">
        <v>180.2</v>
      </c>
      <c r="Z347">
        <v>166.9</v>
      </c>
      <c r="AA347">
        <v>170</v>
      </c>
      <c r="AB347">
        <v>176.2</v>
      </c>
      <c r="AC347">
        <v>170.8</v>
      </c>
      <c r="AD347">
        <v>173.1</v>
      </c>
      <c r="AE347">
        <v>176.4</v>
      </c>
    </row>
    <row r="348" spans="1:31" x14ac:dyDescent="0.3">
      <c r="A348" t="s">
        <v>33</v>
      </c>
      <c r="B348">
        <v>2022</v>
      </c>
      <c r="C348" t="s">
        <v>42</v>
      </c>
      <c r="D348" t="str">
        <f>_xlfn.CONCAT(LEFT(Table1[[#This Row],[Month]],3),"-",RIGHT(Table1[[#This Row],[Year]],2))</f>
        <v>Sep-22</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row>
    <row r="349" spans="1:31" x14ac:dyDescent="0.3">
      <c r="A349" t="s">
        <v>34</v>
      </c>
      <c r="B349">
        <v>2022</v>
      </c>
      <c r="C349" t="s">
        <v>42</v>
      </c>
      <c r="D349" t="str">
        <f>_xlfn.CONCAT(LEFT(Table1[[#This Row],[Month]],3),"-",RIGHT(Table1[[#This Row],[Year]],2))</f>
        <v>Sep-22</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row>
    <row r="350" spans="1:31" x14ac:dyDescent="0.3">
      <c r="A350" t="s">
        <v>30</v>
      </c>
      <c r="B350">
        <v>2022</v>
      </c>
      <c r="C350" t="s">
        <v>43</v>
      </c>
      <c r="D350" t="str">
        <f>_xlfn.CONCAT(LEFT(Table1[[#This Row],[Month]],3),"-",RIGHT(Table1[[#This Row],[Year]],2))</f>
        <v>Oct-22</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t="s">
        <v>32</v>
      </c>
      <c r="W350">
        <v>180.8</v>
      </c>
      <c r="X350">
        <v>174.4</v>
      </c>
      <c r="Y350">
        <v>181.2</v>
      </c>
      <c r="Z350">
        <v>167.4</v>
      </c>
      <c r="AA350">
        <v>170.6</v>
      </c>
      <c r="AB350">
        <v>176.5</v>
      </c>
      <c r="AC350">
        <v>172</v>
      </c>
      <c r="AD350">
        <v>173.9</v>
      </c>
      <c r="AE350">
        <v>177.9</v>
      </c>
    </row>
    <row r="351" spans="1:31" x14ac:dyDescent="0.3">
      <c r="A351" t="s">
        <v>33</v>
      </c>
      <c r="B351">
        <v>2022</v>
      </c>
      <c r="C351" t="s">
        <v>43</v>
      </c>
      <c r="D351" t="str">
        <f>_xlfn.CONCAT(LEFT(Table1[[#This Row],[Month]],3),"-",RIGHT(Table1[[#This Row],[Year]],2))</f>
        <v>Oct-22</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row>
    <row r="352" spans="1:31" x14ac:dyDescent="0.3">
      <c r="A352" t="s">
        <v>34</v>
      </c>
      <c r="B352">
        <v>2022</v>
      </c>
      <c r="C352" t="s">
        <v>43</v>
      </c>
      <c r="D352" t="str">
        <f>_xlfn.CONCAT(LEFT(Table1[[#This Row],[Month]],3),"-",RIGHT(Table1[[#This Row],[Year]],2))</f>
        <v>Oct-22</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row>
    <row r="353" spans="1:31" x14ac:dyDescent="0.3">
      <c r="A353" t="s">
        <v>30</v>
      </c>
      <c r="B353">
        <v>2022</v>
      </c>
      <c r="C353" t="s">
        <v>44</v>
      </c>
      <c r="D353" t="str">
        <f>_xlfn.CONCAT(LEFT(Table1[[#This Row],[Month]],3),"-",RIGHT(Table1[[#This Row],[Year]],2))</f>
        <v>Nov-22</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t="s">
        <v>32</v>
      </c>
      <c r="W353">
        <v>181.9</v>
      </c>
      <c r="X353">
        <v>175.5</v>
      </c>
      <c r="Y353">
        <v>182.3</v>
      </c>
      <c r="Z353">
        <v>167.5</v>
      </c>
      <c r="AA353">
        <v>170.8</v>
      </c>
      <c r="AB353">
        <v>176.9</v>
      </c>
      <c r="AC353">
        <v>173.4</v>
      </c>
      <c r="AD353">
        <v>174.6</v>
      </c>
      <c r="AE353">
        <v>177.8</v>
      </c>
    </row>
    <row r="354" spans="1:31" x14ac:dyDescent="0.3">
      <c r="A354" t="s">
        <v>33</v>
      </c>
      <c r="B354">
        <v>2022</v>
      </c>
      <c r="C354" t="s">
        <v>44</v>
      </c>
      <c r="D354" t="str">
        <f>_xlfn.CONCAT(LEFT(Table1[[#This Row],[Month]],3),"-",RIGHT(Table1[[#This Row],[Year]],2))</f>
        <v>Nov-22</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row>
    <row r="355" spans="1:31" x14ac:dyDescent="0.3">
      <c r="A355" t="s">
        <v>34</v>
      </c>
      <c r="B355">
        <v>2022</v>
      </c>
      <c r="C355" t="s">
        <v>44</v>
      </c>
      <c r="D355" t="str">
        <f>_xlfn.CONCAT(LEFT(Table1[[#This Row],[Month]],3),"-",RIGHT(Table1[[#This Row],[Year]],2))</f>
        <v>Nov-22</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row>
    <row r="356" spans="1:31" x14ac:dyDescent="0.3">
      <c r="A356" t="s">
        <v>30</v>
      </c>
      <c r="B356">
        <v>2022</v>
      </c>
      <c r="C356" t="s">
        <v>45</v>
      </c>
      <c r="D356" t="str">
        <f>_xlfn.CONCAT(LEFT(Table1[[#This Row],[Month]],3),"-",RIGHT(Table1[[#This Row],[Year]],2))</f>
        <v>Dec-22</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t="s">
        <v>32</v>
      </c>
      <c r="W356">
        <v>182.8</v>
      </c>
      <c r="X356">
        <v>176.4</v>
      </c>
      <c r="Y356">
        <v>183.5</v>
      </c>
      <c r="Z356">
        <v>167.8</v>
      </c>
      <c r="AA356">
        <v>171.2</v>
      </c>
      <c r="AB356">
        <v>177.3</v>
      </c>
      <c r="AC356">
        <v>175.7</v>
      </c>
      <c r="AD356">
        <v>175.5</v>
      </c>
      <c r="AE356">
        <v>177.1</v>
      </c>
    </row>
    <row r="357" spans="1:31" x14ac:dyDescent="0.3">
      <c r="A357" t="s">
        <v>33</v>
      </c>
      <c r="B357">
        <v>2022</v>
      </c>
      <c r="C357" t="s">
        <v>45</v>
      </c>
      <c r="D357" t="str">
        <f>_xlfn.CONCAT(LEFT(Table1[[#This Row],[Month]],3),"-",RIGHT(Table1[[#This Row],[Year]],2))</f>
        <v>Dec-22</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row>
    <row r="358" spans="1:31" x14ac:dyDescent="0.3">
      <c r="A358" t="s">
        <v>34</v>
      </c>
      <c r="B358">
        <v>2022</v>
      </c>
      <c r="C358" t="s">
        <v>45</v>
      </c>
      <c r="D358" t="str">
        <f>_xlfn.CONCAT(LEFT(Table1[[#This Row],[Month]],3),"-",RIGHT(Table1[[#This Row],[Year]],2))</f>
        <v>Dec-22</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row>
    <row r="359" spans="1:31" x14ac:dyDescent="0.3">
      <c r="A359" t="s">
        <v>30</v>
      </c>
      <c r="B359">
        <v>2023</v>
      </c>
      <c r="C359" t="s">
        <v>31</v>
      </c>
      <c r="D359" t="str">
        <f>_xlfn.CONCAT(LEFT(Table1[[#This Row],[Month]],3),"-",RIGHT(Table1[[#This Row],[Year]],2))</f>
        <v>Jan-23</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t="s">
        <v>32</v>
      </c>
      <c r="W359">
        <v>183.2</v>
      </c>
      <c r="X359">
        <v>177.2</v>
      </c>
      <c r="Y359">
        <v>184.7</v>
      </c>
      <c r="Z359">
        <v>168.2</v>
      </c>
      <c r="AA359">
        <v>171.8</v>
      </c>
      <c r="AB359">
        <v>177.8</v>
      </c>
      <c r="AC359">
        <v>178.4</v>
      </c>
      <c r="AD359">
        <v>176.5</v>
      </c>
      <c r="AE359">
        <v>177.8</v>
      </c>
    </row>
    <row r="360" spans="1:31" x14ac:dyDescent="0.3">
      <c r="A360" t="s">
        <v>33</v>
      </c>
      <c r="B360">
        <v>2023</v>
      </c>
      <c r="C360" t="s">
        <v>31</v>
      </c>
      <c r="D360" t="str">
        <f>_xlfn.CONCAT(LEFT(Table1[[#This Row],[Month]],3),"-",RIGHT(Table1[[#This Row],[Year]],2))</f>
        <v>Jan-23</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row>
    <row r="361" spans="1:31" x14ac:dyDescent="0.3">
      <c r="A361" t="s">
        <v>34</v>
      </c>
      <c r="B361">
        <v>2023</v>
      </c>
      <c r="C361" t="s">
        <v>31</v>
      </c>
      <c r="D361" t="str">
        <f>_xlfn.CONCAT(LEFT(Table1[[#This Row],[Month]],3),"-",RIGHT(Table1[[#This Row],[Year]],2))</f>
        <v>Jan-23</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row>
    <row r="362" spans="1:31" x14ac:dyDescent="0.3">
      <c r="A362" t="s">
        <v>30</v>
      </c>
      <c r="B362">
        <v>2023</v>
      </c>
      <c r="C362" t="s">
        <v>35</v>
      </c>
      <c r="D362" t="str">
        <f>_xlfn.CONCAT(LEFT(Table1[[#This Row],[Month]],3),"-",RIGHT(Table1[[#This Row],[Year]],2))</f>
        <v>Feb-23</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t="s">
        <v>32</v>
      </c>
      <c r="W362">
        <v>181.6</v>
      </c>
      <c r="X362">
        <v>178.6</v>
      </c>
      <c r="Y362">
        <v>186.6</v>
      </c>
      <c r="Z362">
        <v>169</v>
      </c>
      <c r="AA362">
        <v>172.8</v>
      </c>
      <c r="AB362">
        <v>178.5</v>
      </c>
      <c r="AC362">
        <v>180.7</v>
      </c>
      <c r="AD362">
        <v>177.9</v>
      </c>
      <c r="AE362">
        <v>178</v>
      </c>
    </row>
    <row r="363" spans="1:31" x14ac:dyDescent="0.3">
      <c r="A363" t="s">
        <v>33</v>
      </c>
      <c r="B363">
        <v>2023</v>
      </c>
      <c r="C363" t="s">
        <v>35</v>
      </c>
      <c r="D363" t="str">
        <f>_xlfn.CONCAT(LEFT(Table1[[#This Row],[Month]],3),"-",RIGHT(Table1[[#This Row],[Year]],2))</f>
        <v>Feb-23</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row>
    <row r="364" spans="1:31" x14ac:dyDescent="0.3">
      <c r="A364" t="s">
        <v>34</v>
      </c>
      <c r="B364">
        <v>2023</v>
      </c>
      <c r="C364" t="s">
        <v>35</v>
      </c>
      <c r="D364" t="str">
        <f>_xlfn.CONCAT(LEFT(Table1[[#This Row],[Month]],3),"-",RIGHT(Table1[[#This Row],[Year]],2))</f>
        <v>Feb-23</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row>
    <row r="365" spans="1:31" x14ac:dyDescent="0.3">
      <c r="A365" t="s">
        <v>30</v>
      </c>
      <c r="B365">
        <v>2023</v>
      </c>
      <c r="C365" t="s">
        <v>36</v>
      </c>
      <c r="D365" t="str">
        <f>_xlfn.CONCAT(LEFT(Table1[[#This Row],[Month]],3),"-",RIGHT(Table1[[#This Row],[Year]],2))</f>
        <v>Mar-23</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t="s">
        <v>32</v>
      </c>
      <c r="W365">
        <v>181.4</v>
      </c>
      <c r="X365">
        <v>178.6</v>
      </c>
      <c r="Y365">
        <v>186.6</v>
      </c>
      <c r="Z365">
        <v>169</v>
      </c>
      <c r="AA365">
        <v>172.8</v>
      </c>
      <c r="AB365">
        <v>178.5</v>
      </c>
      <c r="AC365">
        <v>180.7</v>
      </c>
      <c r="AD365">
        <v>177.9</v>
      </c>
      <c r="AE365">
        <v>178</v>
      </c>
    </row>
    <row r="366" spans="1:31" x14ac:dyDescent="0.3">
      <c r="A366" t="s">
        <v>33</v>
      </c>
      <c r="B366">
        <v>2023</v>
      </c>
      <c r="C366" t="s">
        <v>36</v>
      </c>
      <c r="D366" t="str">
        <f>_xlfn.CONCAT(LEFT(Table1[[#This Row],[Month]],3),"-",RIGHT(Table1[[#This Row],[Year]],2))</f>
        <v>Mar-23</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row>
    <row r="367" spans="1:31" x14ac:dyDescent="0.3">
      <c r="A367" t="s">
        <v>34</v>
      </c>
      <c r="B367">
        <v>2023</v>
      </c>
      <c r="C367" t="s">
        <v>36</v>
      </c>
      <c r="D367" t="str">
        <f>_xlfn.CONCAT(LEFT(Table1[[#This Row],[Month]],3),"-",RIGHT(Table1[[#This Row],[Year]],2))</f>
        <v>Mar-23</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row>
    <row r="368" spans="1:31" x14ac:dyDescent="0.3">
      <c r="A368" t="s">
        <v>30</v>
      </c>
      <c r="B368">
        <v>2023</v>
      </c>
      <c r="C368" t="s">
        <v>37</v>
      </c>
      <c r="D368" t="str">
        <f>_xlfn.CONCAT(LEFT(Table1[[#This Row],[Month]],3),"-",RIGHT(Table1[[#This Row],[Year]],2))</f>
        <v>Apr-23</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t="s">
        <v>46</v>
      </c>
      <c r="W368">
        <v>181.5</v>
      </c>
      <c r="X368">
        <v>179.1</v>
      </c>
      <c r="Y368">
        <v>187.2</v>
      </c>
      <c r="Z368">
        <v>169.4</v>
      </c>
      <c r="AA368">
        <v>173.2</v>
      </c>
      <c r="AB368">
        <v>179.4</v>
      </c>
      <c r="AC368">
        <v>183.8</v>
      </c>
      <c r="AD368">
        <v>178.9</v>
      </c>
      <c r="AE368">
        <v>178.8</v>
      </c>
    </row>
    <row r="369" spans="1:31" x14ac:dyDescent="0.3">
      <c r="A369" t="s">
        <v>33</v>
      </c>
      <c r="B369">
        <v>2023</v>
      </c>
      <c r="C369" t="s">
        <v>37</v>
      </c>
      <c r="D369" t="str">
        <f>_xlfn.CONCAT(LEFT(Table1[[#This Row],[Month]],3),"-",RIGHT(Table1[[#This Row],[Year]],2))</f>
        <v>Apr-23</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row>
    <row r="370" spans="1:31" x14ac:dyDescent="0.3">
      <c r="A370" t="s">
        <v>34</v>
      </c>
      <c r="B370">
        <v>2023</v>
      </c>
      <c r="C370" t="s">
        <v>37</v>
      </c>
      <c r="D370" t="str">
        <f>_xlfn.CONCAT(LEFT(Table1[[#This Row],[Month]],3),"-",RIGHT(Table1[[#This Row],[Year]],2))</f>
        <v>Apr-23</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row>
    <row r="371" spans="1:31" x14ac:dyDescent="0.3">
      <c r="A371" t="s">
        <v>30</v>
      </c>
      <c r="B371">
        <v>2023</v>
      </c>
      <c r="C371" t="s">
        <v>38</v>
      </c>
      <c r="D371" t="str">
        <f>_xlfn.CONCAT(LEFT(Table1[[#This Row],[Month]],3),"-",RIGHT(Table1[[#This Row],[Year]],2))</f>
        <v>May-23</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t="s">
        <v>46</v>
      </c>
      <c r="W371">
        <v>182.5</v>
      </c>
      <c r="X371">
        <v>179.8</v>
      </c>
      <c r="Y371">
        <v>187.8</v>
      </c>
      <c r="Z371">
        <v>169.7</v>
      </c>
      <c r="AA371">
        <v>173.8</v>
      </c>
      <c r="AB371">
        <v>180.3</v>
      </c>
      <c r="AC371">
        <v>184.9</v>
      </c>
      <c r="AD371">
        <v>179.5</v>
      </c>
      <c r="AE371">
        <v>179.8</v>
      </c>
    </row>
    <row r="372" spans="1:31" x14ac:dyDescent="0.3">
      <c r="A372" t="s">
        <v>33</v>
      </c>
      <c r="B372">
        <v>2023</v>
      </c>
      <c r="C372" t="s">
        <v>38</v>
      </c>
      <c r="D372" t="str">
        <f>_xlfn.CONCAT(LEFT(Table1[[#This Row],[Month]],3),"-",RIGHT(Table1[[#This Row],[Year]],2))</f>
        <v>May-23</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row>
    <row r="373" spans="1:31" x14ac:dyDescent="0.3">
      <c r="A373" t="s">
        <v>34</v>
      </c>
      <c r="B373">
        <v>2023</v>
      </c>
      <c r="C373" t="s">
        <v>38</v>
      </c>
      <c r="D373" t="str">
        <f>_xlfn.CONCAT(LEFT(Table1[[#This Row],[Month]],3),"-",RIGHT(Table1[[#This Row],[Year]],2))</f>
        <v>May-23</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BAB7-390F-4546-B858-03499944451A}">
  <dimension ref="A1:H3349"/>
  <sheetViews>
    <sheetView topLeftCell="A37" zoomScaleNormal="100" workbookViewId="0">
      <selection activeCell="F67" sqref="F67"/>
    </sheetView>
  </sheetViews>
  <sheetFormatPr defaultRowHeight="14.4" x14ac:dyDescent="0.3"/>
  <cols>
    <col min="1" max="1" width="6.88671875" bestFit="1" customWidth="1"/>
    <col min="2" max="2" width="9.77734375" bestFit="1" customWidth="1"/>
    <col min="3" max="3" width="8.6640625" bestFit="1" customWidth="1"/>
    <col min="4" max="4" width="30.44140625" bestFit="1" customWidth="1"/>
    <col min="5" max="5" width="7.5546875" bestFit="1" customWidth="1"/>
    <col min="6" max="6" width="13.77734375" bestFit="1" customWidth="1"/>
    <col min="7" max="7" width="8.44140625" bestFit="1" customWidth="1"/>
    <col min="8" max="8" width="19.88671875" bestFit="1" customWidth="1"/>
    <col min="11" max="11" width="6.88671875" bestFit="1" customWidth="1"/>
    <col min="12" max="12" width="9.88671875" bestFit="1" customWidth="1"/>
    <col min="13" max="13" width="8.6640625" bestFit="1" customWidth="1"/>
    <col min="14" max="14" width="30.5546875" bestFit="1" customWidth="1"/>
    <col min="15" max="15" width="20" bestFit="1" customWidth="1"/>
    <col min="16" max="16" width="11.33203125" bestFit="1" customWidth="1"/>
    <col min="17" max="17" width="12.109375" bestFit="1" customWidth="1"/>
  </cols>
  <sheetData>
    <row r="1" spans="1:8" x14ac:dyDescent="0.3">
      <c r="A1" t="s">
        <v>1</v>
      </c>
      <c r="B1" t="s">
        <v>2</v>
      </c>
      <c r="C1" t="s">
        <v>47</v>
      </c>
      <c r="D1" t="s">
        <v>53</v>
      </c>
      <c r="E1" t="s">
        <v>30</v>
      </c>
      <c r="F1" t="s">
        <v>34</v>
      </c>
      <c r="G1" t="s">
        <v>33</v>
      </c>
      <c r="H1" t="s">
        <v>194</v>
      </c>
    </row>
    <row r="2" spans="1:8" x14ac:dyDescent="0.3">
      <c r="A2">
        <v>2013</v>
      </c>
      <c r="B2" t="s">
        <v>37</v>
      </c>
      <c r="C2" t="s">
        <v>54</v>
      </c>
      <c r="D2" s="1" t="s">
        <v>3</v>
      </c>
      <c r="E2">
        <v>110.2</v>
      </c>
      <c r="F2">
        <v>111.6</v>
      </c>
      <c r="G2">
        <v>114.6</v>
      </c>
      <c r="H2" s="1" t="s">
        <v>188</v>
      </c>
    </row>
    <row r="3" spans="1:8" x14ac:dyDescent="0.3">
      <c r="A3">
        <v>2013</v>
      </c>
      <c r="B3" t="s">
        <v>41</v>
      </c>
      <c r="C3" t="s">
        <v>55</v>
      </c>
      <c r="D3" s="1" t="s">
        <v>3</v>
      </c>
      <c r="E3">
        <v>114.3</v>
      </c>
      <c r="F3">
        <v>115.6</v>
      </c>
      <c r="G3">
        <v>118.3</v>
      </c>
      <c r="H3" s="1" t="s">
        <v>188</v>
      </c>
    </row>
    <row r="4" spans="1:8" x14ac:dyDescent="0.3">
      <c r="A4">
        <v>2013</v>
      </c>
      <c r="B4" t="s">
        <v>37</v>
      </c>
      <c r="C4" t="s">
        <v>54</v>
      </c>
      <c r="D4" s="1" t="s">
        <v>17</v>
      </c>
      <c r="E4">
        <v>108.1</v>
      </c>
      <c r="F4">
        <v>108</v>
      </c>
      <c r="G4">
        <v>107.9</v>
      </c>
      <c r="H4" s="1" t="s">
        <v>189</v>
      </c>
    </row>
    <row r="5" spans="1:8" x14ac:dyDescent="0.3">
      <c r="A5">
        <v>2013</v>
      </c>
      <c r="B5" t="s">
        <v>37</v>
      </c>
      <c r="C5" t="s">
        <v>54</v>
      </c>
      <c r="D5" s="1" t="s">
        <v>4</v>
      </c>
      <c r="E5">
        <v>109.5</v>
      </c>
      <c r="F5">
        <v>110.9</v>
      </c>
      <c r="G5">
        <v>113.4</v>
      </c>
      <c r="H5" s="1" t="s">
        <v>188</v>
      </c>
    </row>
    <row r="6" spans="1:8" x14ac:dyDescent="0.3">
      <c r="A6">
        <v>2013</v>
      </c>
      <c r="B6" t="s">
        <v>37</v>
      </c>
      <c r="C6" t="s">
        <v>54</v>
      </c>
      <c r="D6" s="1" t="s">
        <v>19</v>
      </c>
      <c r="E6">
        <v>108</v>
      </c>
      <c r="F6">
        <v>107.9</v>
      </c>
      <c r="G6">
        <v>107.7</v>
      </c>
      <c r="H6" s="1" t="s">
        <v>189</v>
      </c>
    </row>
    <row r="7" spans="1:8" x14ac:dyDescent="0.3">
      <c r="A7">
        <v>2013</v>
      </c>
      <c r="B7" t="s">
        <v>37</v>
      </c>
      <c r="C7" t="s">
        <v>54</v>
      </c>
      <c r="D7" s="1" t="s">
        <v>5</v>
      </c>
      <c r="E7">
        <v>106.9</v>
      </c>
      <c r="F7">
        <v>106.6</v>
      </c>
      <c r="G7">
        <v>106</v>
      </c>
      <c r="H7" s="1" t="s">
        <v>188</v>
      </c>
    </row>
    <row r="8" spans="1:8" x14ac:dyDescent="0.3">
      <c r="A8">
        <v>2013</v>
      </c>
      <c r="B8" t="s">
        <v>37</v>
      </c>
      <c r="C8" t="s">
        <v>54</v>
      </c>
      <c r="D8" s="1" t="s">
        <v>26</v>
      </c>
      <c r="E8">
        <v>104.8</v>
      </c>
      <c r="F8">
        <v>105</v>
      </c>
      <c r="G8">
        <v>105.2</v>
      </c>
      <c r="H8" s="1" t="s">
        <v>26</v>
      </c>
    </row>
    <row r="9" spans="1:8" x14ac:dyDescent="0.3">
      <c r="A9">
        <v>2013</v>
      </c>
      <c r="B9" t="s">
        <v>37</v>
      </c>
      <c r="C9" t="s">
        <v>54</v>
      </c>
      <c r="D9" s="1" t="s">
        <v>6</v>
      </c>
      <c r="E9">
        <v>106.3</v>
      </c>
      <c r="F9">
        <v>105.7</v>
      </c>
      <c r="G9">
        <v>104.7</v>
      </c>
      <c r="H9" s="1" t="s">
        <v>188</v>
      </c>
    </row>
    <row r="10" spans="1:8" x14ac:dyDescent="0.3">
      <c r="A10">
        <v>2013</v>
      </c>
      <c r="B10" t="s">
        <v>37</v>
      </c>
      <c r="C10" t="s">
        <v>54</v>
      </c>
      <c r="D10" s="1" t="s">
        <v>7</v>
      </c>
      <c r="E10">
        <v>105.7</v>
      </c>
      <c r="F10">
        <v>104.4</v>
      </c>
      <c r="G10">
        <v>102.1</v>
      </c>
      <c r="H10" s="1" t="s">
        <v>188</v>
      </c>
    </row>
    <row r="11" spans="1:8" x14ac:dyDescent="0.3">
      <c r="A11">
        <v>2013</v>
      </c>
      <c r="B11" t="s">
        <v>37</v>
      </c>
      <c r="C11" t="s">
        <v>54</v>
      </c>
      <c r="D11" s="1" t="s">
        <v>15</v>
      </c>
      <c r="E11">
        <v>107.1</v>
      </c>
      <c r="F11">
        <v>107.7</v>
      </c>
      <c r="G11">
        <v>108.8</v>
      </c>
      <c r="H11" s="1" t="s">
        <v>188</v>
      </c>
    </row>
    <row r="12" spans="1:8" x14ac:dyDescent="0.3">
      <c r="A12">
        <v>2013</v>
      </c>
      <c r="B12" t="s">
        <v>37</v>
      </c>
      <c r="C12" t="s">
        <v>54</v>
      </c>
      <c r="D12" s="1" t="s">
        <v>8</v>
      </c>
      <c r="E12">
        <v>108.3</v>
      </c>
      <c r="F12">
        <v>108.9</v>
      </c>
      <c r="G12">
        <v>109.5</v>
      </c>
      <c r="H12" s="1" t="s">
        <v>188</v>
      </c>
    </row>
    <row r="13" spans="1:8" x14ac:dyDescent="0.3">
      <c r="A13">
        <v>2013</v>
      </c>
      <c r="B13" t="s">
        <v>37</v>
      </c>
      <c r="C13" t="s">
        <v>54</v>
      </c>
      <c r="D13" s="1" t="s">
        <v>18</v>
      </c>
      <c r="E13">
        <v>107.4</v>
      </c>
      <c r="F13">
        <v>107</v>
      </c>
      <c r="G13">
        <v>106.4</v>
      </c>
      <c r="H13" s="1" t="s">
        <v>189</v>
      </c>
    </row>
    <row r="14" spans="1:8" x14ac:dyDescent="0.3">
      <c r="A14">
        <v>2013</v>
      </c>
      <c r="B14" t="s">
        <v>37</v>
      </c>
      <c r="C14" t="s">
        <v>54</v>
      </c>
      <c r="D14" s="1" t="s">
        <v>9</v>
      </c>
      <c r="E14">
        <v>103.4</v>
      </c>
      <c r="F14">
        <v>105.5</v>
      </c>
      <c r="G14">
        <v>109.7</v>
      </c>
      <c r="H14" s="1" t="s">
        <v>188</v>
      </c>
    </row>
    <row r="15" spans="1:8" x14ac:dyDescent="0.3">
      <c r="A15">
        <v>2013</v>
      </c>
      <c r="B15" t="s">
        <v>37</v>
      </c>
      <c r="C15" t="s">
        <v>54</v>
      </c>
      <c r="D15" s="1" t="s">
        <v>10</v>
      </c>
      <c r="E15">
        <v>105.7</v>
      </c>
      <c r="F15">
        <v>105.3</v>
      </c>
      <c r="G15">
        <v>104.6</v>
      </c>
      <c r="H15" s="1" t="s">
        <v>188</v>
      </c>
    </row>
    <row r="16" spans="1:8" x14ac:dyDescent="0.3">
      <c r="A16">
        <v>2013</v>
      </c>
      <c r="B16" t="s">
        <v>37</v>
      </c>
      <c r="C16" t="s">
        <v>54</v>
      </c>
      <c r="D16" s="1" t="s">
        <v>21</v>
      </c>
      <c r="E16">
        <v>106.5</v>
      </c>
      <c r="F16">
        <v>106.5</v>
      </c>
      <c r="G16">
        <v>106.4</v>
      </c>
      <c r="H16" s="1" t="s">
        <v>190</v>
      </c>
    </row>
    <row r="17" spans="1:8" x14ac:dyDescent="0.3">
      <c r="A17">
        <v>2013</v>
      </c>
      <c r="B17" t="s">
        <v>37</v>
      </c>
      <c r="C17" t="s">
        <v>54</v>
      </c>
      <c r="D17" s="1" t="s">
        <v>11</v>
      </c>
      <c r="E17">
        <v>104.2</v>
      </c>
      <c r="F17">
        <v>103.5</v>
      </c>
      <c r="G17">
        <v>102</v>
      </c>
      <c r="H17" s="1" t="s">
        <v>188</v>
      </c>
    </row>
    <row r="18" spans="1:8" x14ac:dyDescent="0.3">
      <c r="A18">
        <v>2013</v>
      </c>
      <c r="B18" t="s">
        <v>37</v>
      </c>
      <c r="C18" t="s">
        <v>54</v>
      </c>
      <c r="D18" s="1" t="s">
        <v>29</v>
      </c>
      <c r="E18">
        <v>106.4</v>
      </c>
      <c r="F18">
        <v>106.1</v>
      </c>
      <c r="G18">
        <v>105.7</v>
      </c>
      <c r="H18" s="1" t="s">
        <v>206</v>
      </c>
    </row>
    <row r="19" spans="1:8" x14ac:dyDescent="0.3">
      <c r="A19">
        <v>2013</v>
      </c>
      <c r="B19" t="s">
        <v>37</v>
      </c>
      <c r="C19" t="s">
        <v>54</v>
      </c>
      <c r="D19" s="1" t="s">
        <v>12</v>
      </c>
      <c r="E19">
        <v>103.2</v>
      </c>
      <c r="F19">
        <v>103.3</v>
      </c>
      <c r="G19">
        <v>103.5</v>
      </c>
      <c r="H19" s="1" t="s">
        <v>188</v>
      </c>
    </row>
    <row r="20" spans="1:8" x14ac:dyDescent="0.3">
      <c r="A20">
        <v>2013</v>
      </c>
      <c r="B20" t="s">
        <v>37</v>
      </c>
      <c r="C20" t="s">
        <v>54</v>
      </c>
      <c r="D20" s="1" t="s">
        <v>23</v>
      </c>
      <c r="E20">
        <v>105.1</v>
      </c>
      <c r="F20">
        <v>105.3</v>
      </c>
      <c r="G20">
        <v>105.7</v>
      </c>
      <c r="H20" s="1" t="s">
        <v>23</v>
      </c>
    </row>
    <row r="21" spans="1:8" x14ac:dyDescent="0.3">
      <c r="A21">
        <v>2013</v>
      </c>
      <c r="B21" t="s">
        <v>37</v>
      </c>
      <c r="C21" t="s">
        <v>54</v>
      </c>
      <c r="D21" s="1" t="s">
        <v>13</v>
      </c>
      <c r="E21">
        <v>106.5</v>
      </c>
      <c r="F21">
        <v>107.2</v>
      </c>
      <c r="G21">
        <v>108.2</v>
      </c>
      <c r="H21" s="1" t="s">
        <v>188</v>
      </c>
    </row>
    <row r="22" spans="1:8" x14ac:dyDescent="0.3">
      <c r="A22">
        <v>2013</v>
      </c>
      <c r="B22" t="s">
        <v>37</v>
      </c>
      <c r="C22" t="s">
        <v>54</v>
      </c>
      <c r="D22" s="1" t="s">
        <v>22</v>
      </c>
      <c r="E22">
        <v>106.1</v>
      </c>
      <c r="F22">
        <v>106.3</v>
      </c>
      <c r="G22">
        <v>106.5</v>
      </c>
      <c r="H22" s="1" t="s">
        <v>20</v>
      </c>
    </row>
    <row r="23" spans="1:8" x14ac:dyDescent="0.3">
      <c r="A23">
        <v>2013</v>
      </c>
      <c r="B23" t="s">
        <v>37</v>
      </c>
      <c r="C23" t="s">
        <v>54</v>
      </c>
      <c r="D23" s="1" t="s">
        <v>14</v>
      </c>
      <c r="E23">
        <v>108.8</v>
      </c>
      <c r="F23">
        <v>109.6</v>
      </c>
      <c r="G23">
        <v>110.6</v>
      </c>
      <c r="H23" s="1" t="s">
        <v>188</v>
      </c>
    </row>
    <row r="24" spans="1:8" x14ac:dyDescent="0.3">
      <c r="A24">
        <v>2013</v>
      </c>
      <c r="B24" t="s">
        <v>37</v>
      </c>
      <c r="C24" t="s">
        <v>54</v>
      </c>
      <c r="D24" s="1" t="s">
        <v>20</v>
      </c>
      <c r="E24">
        <v>0</v>
      </c>
      <c r="F24">
        <v>100.5</v>
      </c>
      <c r="G24">
        <v>100.5</v>
      </c>
      <c r="H24" s="1" t="s">
        <v>20</v>
      </c>
    </row>
    <row r="25" spans="1:8" x14ac:dyDescent="0.3">
      <c r="A25">
        <v>2013</v>
      </c>
      <c r="B25" t="s">
        <v>37</v>
      </c>
      <c r="C25" t="s">
        <v>54</v>
      </c>
      <c r="D25" s="1" t="s">
        <v>16</v>
      </c>
      <c r="E25">
        <v>107.1</v>
      </c>
      <c r="F25">
        <v>107.5</v>
      </c>
      <c r="G25">
        <v>108.5</v>
      </c>
      <c r="H25" s="1" t="s">
        <v>192</v>
      </c>
    </row>
    <row r="26" spans="1:8" x14ac:dyDescent="0.3">
      <c r="A26">
        <v>2013</v>
      </c>
      <c r="B26" t="s">
        <v>37</v>
      </c>
      <c r="C26" t="s">
        <v>54</v>
      </c>
      <c r="D26" s="1" t="s">
        <v>28</v>
      </c>
      <c r="E26">
        <v>104.6</v>
      </c>
      <c r="F26">
        <v>104.8</v>
      </c>
      <c r="G26">
        <v>105.1</v>
      </c>
      <c r="H26" s="1" t="s">
        <v>192</v>
      </c>
    </row>
    <row r="27" spans="1:8" x14ac:dyDescent="0.3">
      <c r="A27">
        <v>2013</v>
      </c>
      <c r="B27" t="s">
        <v>37</v>
      </c>
      <c r="C27" t="s">
        <v>54</v>
      </c>
      <c r="D27" s="1" t="s">
        <v>27</v>
      </c>
      <c r="E27">
        <v>102.7</v>
      </c>
      <c r="F27">
        <v>102.9</v>
      </c>
      <c r="G27">
        <v>103.2</v>
      </c>
      <c r="H27" s="1" t="s">
        <v>192</v>
      </c>
    </row>
    <row r="28" spans="1:8" x14ac:dyDescent="0.3">
      <c r="A28">
        <v>2013</v>
      </c>
      <c r="B28" t="s">
        <v>37</v>
      </c>
      <c r="C28" t="s">
        <v>54</v>
      </c>
      <c r="D28" s="1" t="s">
        <v>24</v>
      </c>
      <c r="E28">
        <v>104.4</v>
      </c>
      <c r="F28">
        <v>104.7</v>
      </c>
      <c r="G28">
        <v>105</v>
      </c>
      <c r="H28" s="1" t="s">
        <v>191</v>
      </c>
    </row>
    <row r="29" spans="1:8" x14ac:dyDescent="0.3">
      <c r="A29">
        <v>2013</v>
      </c>
      <c r="B29" t="s">
        <v>37</v>
      </c>
      <c r="C29" t="s">
        <v>54</v>
      </c>
      <c r="D29" s="1" t="s">
        <v>25</v>
      </c>
      <c r="E29">
        <v>104.5</v>
      </c>
      <c r="F29">
        <v>104.2</v>
      </c>
      <c r="G29">
        <v>104</v>
      </c>
      <c r="H29" s="1" t="s">
        <v>195</v>
      </c>
    </row>
    <row r="30" spans="1:8" x14ac:dyDescent="0.3">
      <c r="A30">
        <v>2013</v>
      </c>
      <c r="B30" t="s">
        <v>41</v>
      </c>
      <c r="C30" t="s">
        <v>55</v>
      </c>
      <c r="D30" s="1" t="s">
        <v>17</v>
      </c>
      <c r="E30">
        <v>111.3</v>
      </c>
      <c r="F30">
        <v>111</v>
      </c>
      <c r="G30">
        <v>110.6</v>
      </c>
      <c r="H30" s="1" t="s">
        <v>189</v>
      </c>
    </row>
    <row r="31" spans="1:8" x14ac:dyDescent="0.3">
      <c r="A31">
        <v>2013</v>
      </c>
      <c r="B31" t="s">
        <v>41</v>
      </c>
      <c r="C31" t="s">
        <v>55</v>
      </c>
      <c r="D31" s="1" t="s">
        <v>19</v>
      </c>
      <c r="E31">
        <v>111.1</v>
      </c>
      <c r="F31">
        <v>110.7</v>
      </c>
      <c r="G31">
        <v>110.2</v>
      </c>
      <c r="H31" s="1" t="s">
        <v>189</v>
      </c>
    </row>
    <row r="32" spans="1:8" x14ac:dyDescent="0.3">
      <c r="A32">
        <v>2013</v>
      </c>
      <c r="B32" t="s">
        <v>41</v>
      </c>
      <c r="C32" t="s">
        <v>55</v>
      </c>
      <c r="D32" s="1" t="s">
        <v>26</v>
      </c>
      <c r="E32">
        <v>108.7</v>
      </c>
      <c r="F32">
        <v>109.9</v>
      </c>
      <c r="G32">
        <v>110.8</v>
      </c>
      <c r="H32" s="1" t="s">
        <v>26</v>
      </c>
    </row>
    <row r="33" spans="1:8" x14ac:dyDescent="0.3">
      <c r="A33">
        <v>2013</v>
      </c>
      <c r="B33" t="s">
        <v>41</v>
      </c>
      <c r="C33" t="s">
        <v>55</v>
      </c>
      <c r="D33" s="1" t="s">
        <v>5</v>
      </c>
      <c r="E33">
        <v>111.1</v>
      </c>
      <c r="F33">
        <v>111.7</v>
      </c>
      <c r="G33">
        <v>112.7</v>
      </c>
      <c r="H33" s="1" t="s">
        <v>188</v>
      </c>
    </row>
    <row r="34" spans="1:8" x14ac:dyDescent="0.3">
      <c r="A34">
        <v>2013</v>
      </c>
      <c r="B34" t="s">
        <v>41</v>
      </c>
      <c r="C34" t="s">
        <v>55</v>
      </c>
      <c r="D34" s="1" t="s">
        <v>15</v>
      </c>
      <c r="E34">
        <v>114.9</v>
      </c>
      <c r="F34">
        <v>116.6</v>
      </c>
      <c r="G34">
        <v>119.6</v>
      </c>
      <c r="H34" s="1" t="s">
        <v>188</v>
      </c>
    </row>
    <row r="35" spans="1:8" x14ac:dyDescent="0.3">
      <c r="A35">
        <v>2013</v>
      </c>
      <c r="B35" t="s">
        <v>41</v>
      </c>
      <c r="C35" t="s">
        <v>55</v>
      </c>
      <c r="D35" s="1" t="s">
        <v>18</v>
      </c>
      <c r="E35">
        <v>110.2</v>
      </c>
      <c r="F35">
        <v>109.4</v>
      </c>
      <c r="G35">
        <v>108.3</v>
      </c>
      <c r="H35" s="1" t="s">
        <v>189</v>
      </c>
    </row>
    <row r="36" spans="1:8" x14ac:dyDescent="0.3">
      <c r="A36">
        <v>2013</v>
      </c>
      <c r="B36" t="s">
        <v>41</v>
      </c>
      <c r="C36" t="s">
        <v>55</v>
      </c>
      <c r="D36" s="1" t="s">
        <v>8</v>
      </c>
      <c r="E36">
        <v>110.8</v>
      </c>
      <c r="F36">
        <v>109.8</v>
      </c>
      <c r="G36">
        <v>108.7</v>
      </c>
      <c r="H36" s="1" t="s">
        <v>188</v>
      </c>
    </row>
    <row r="37" spans="1:8" x14ac:dyDescent="0.3">
      <c r="A37">
        <v>2013</v>
      </c>
      <c r="B37" t="s">
        <v>41</v>
      </c>
      <c r="C37" t="s">
        <v>55</v>
      </c>
      <c r="D37" s="1" t="s">
        <v>21</v>
      </c>
      <c r="E37">
        <v>109.9</v>
      </c>
      <c r="F37">
        <v>109.7</v>
      </c>
      <c r="G37">
        <v>109.3</v>
      </c>
      <c r="H37" s="1" t="s">
        <v>190</v>
      </c>
    </row>
    <row r="38" spans="1:8" x14ac:dyDescent="0.3">
      <c r="A38">
        <v>2013</v>
      </c>
      <c r="B38" t="s">
        <v>41</v>
      </c>
      <c r="C38" t="s">
        <v>55</v>
      </c>
      <c r="D38" s="1" t="s">
        <v>29</v>
      </c>
      <c r="E38">
        <v>112.1</v>
      </c>
      <c r="F38">
        <v>112.4</v>
      </c>
      <c r="G38">
        <v>112.7</v>
      </c>
      <c r="H38" s="1" t="s">
        <v>206</v>
      </c>
    </row>
    <row r="39" spans="1:8" x14ac:dyDescent="0.3">
      <c r="A39">
        <v>2013</v>
      </c>
      <c r="B39" t="s">
        <v>41</v>
      </c>
      <c r="C39" t="s">
        <v>55</v>
      </c>
      <c r="D39" s="1" t="s">
        <v>23</v>
      </c>
      <c r="E39">
        <v>107.5</v>
      </c>
      <c r="F39">
        <v>107.5</v>
      </c>
      <c r="G39">
        <v>107.6</v>
      </c>
      <c r="H39" s="1" t="s">
        <v>23</v>
      </c>
    </row>
    <row r="40" spans="1:8" x14ac:dyDescent="0.3">
      <c r="A40">
        <v>2013</v>
      </c>
      <c r="B40" t="s">
        <v>41</v>
      </c>
      <c r="C40" t="s">
        <v>55</v>
      </c>
      <c r="D40" s="1" t="s">
        <v>22</v>
      </c>
      <c r="E40">
        <v>108.7</v>
      </c>
      <c r="F40">
        <v>108.7</v>
      </c>
      <c r="G40">
        <v>108.7</v>
      </c>
      <c r="H40" s="1" t="s">
        <v>20</v>
      </c>
    </row>
    <row r="41" spans="1:8" x14ac:dyDescent="0.3">
      <c r="A41">
        <v>2013</v>
      </c>
      <c r="B41" t="s">
        <v>41</v>
      </c>
      <c r="C41" t="s">
        <v>55</v>
      </c>
      <c r="D41" s="1" t="s">
        <v>20</v>
      </c>
      <c r="E41">
        <v>0</v>
      </c>
      <c r="F41">
        <v>108.9</v>
      </c>
      <c r="G41">
        <v>108.9</v>
      </c>
      <c r="H41" s="1" t="s">
        <v>20</v>
      </c>
    </row>
    <row r="42" spans="1:8" x14ac:dyDescent="0.3">
      <c r="A42">
        <v>2013</v>
      </c>
      <c r="B42" t="s">
        <v>41</v>
      </c>
      <c r="C42" t="s">
        <v>55</v>
      </c>
      <c r="D42" s="1" t="s">
        <v>4</v>
      </c>
      <c r="E42">
        <v>115.4</v>
      </c>
      <c r="F42">
        <v>117.2</v>
      </c>
      <c r="G42">
        <v>120.4</v>
      </c>
      <c r="H42" s="1" t="s">
        <v>188</v>
      </c>
    </row>
    <row r="43" spans="1:8" x14ac:dyDescent="0.3">
      <c r="A43">
        <v>2013</v>
      </c>
      <c r="B43" t="s">
        <v>41</v>
      </c>
      <c r="C43" t="s">
        <v>55</v>
      </c>
      <c r="D43" s="1" t="s">
        <v>6</v>
      </c>
      <c r="E43">
        <v>110</v>
      </c>
      <c r="F43">
        <v>109.6</v>
      </c>
      <c r="G43">
        <v>108.9</v>
      </c>
      <c r="H43" s="1" t="s">
        <v>188</v>
      </c>
    </row>
    <row r="44" spans="1:8" x14ac:dyDescent="0.3">
      <c r="A44">
        <v>2013</v>
      </c>
      <c r="B44" t="s">
        <v>41</v>
      </c>
      <c r="C44" t="s">
        <v>55</v>
      </c>
      <c r="D44" s="1" t="s">
        <v>28</v>
      </c>
      <c r="E44">
        <v>107.5</v>
      </c>
      <c r="F44">
        <v>107.9</v>
      </c>
      <c r="G44">
        <v>108.3</v>
      </c>
      <c r="H44" s="1" t="s">
        <v>192</v>
      </c>
    </row>
    <row r="45" spans="1:8" x14ac:dyDescent="0.3">
      <c r="A45">
        <v>2013</v>
      </c>
      <c r="B45" t="s">
        <v>41</v>
      </c>
      <c r="C45" t="s">
        <v>55</v>
      </c>
      <c r="D45" s="1" t="s">
        <v>13</v>
      </c>
      <c r="E45">
        <v>109.7</v>
      </c>
      <c r="F45">
        <v>110.2</v>
      </c>
      <c r="G45">
        <v>110.9</v>
      </c>
      <c r="H45" s="1" t="s">
        <v>188</v>
      </c>
    </row>
    <row r="46" spans="1:8" x14ac:dyDescent="0.3">
      <c r="A46">
        <v>2013</v>
      </c>
      <c r="B46" t="s">
        <v>41</v>
      </c>
      <c r="C46" t="s">
        <v>55</v>
      </c>
      <c r="D46" s="1" t="s">
        <v>7</v>
      </c>
      <c r="E46">
        <v>106.4</v>
      </c>
      <c r="F46">
        <v>104.5</v>
      </c>
      <c r="G46">
        <v>101.1</v>
      </c>
      <c r="H46" s="1" t="s">
        <v>188</v>
      </c>
    </row>
    <row r="47" spans="1:8" x14ac:dyDescent="0.3">
      <c r="A47">
        <v>2013</v>
      </c>
      <c r="B47" t="s">
        <v>41</v>
      </c>
      <c r="C47" t="s">
        <v>55</v>
      </c>
      <c r="D47" s="1" t="s">
        <v>16</v>
      </c>
      <c r="E47">
        <v>110.7</v>
      </c>
      <c r="F47">
        <v>111.2</v>
      </c>
      <c r="G47">
        <v>112.4</v>
      </c>
      <c r="H47" s="1" t="s">
        <v>192</v>
      </c>
    </row>
    <row r="48" spans="1:8" x14ac:dyDescent="0.3">
      <c r="A48">
        <v>2013</v>
      </c>
      <c r="B48" t="s">
        <v>41</v>
      </c>
      <c r="C48" t="s">
        <v>55</v>
      </c>
      <c r="D48" s="1" t="s">
        <v>27</v>
      </c>
      <c r="E48">
        <v>105</v>
      </c>
      <c r="F48">
        <v>105.4</v>
      </c>
      <c r="G48">
        <v>106</v>
      </c>
      <c r="H48" s="1" t="s">
        <v>192</v>
      </c>
    </row>
    <row r="49" spans="1:8" x14ac:dyDescent="0.3">
      <c r="A49">
        <v>2013</v>
      </c>
      <c r="B49" t="s">
        <v>41</v>
      </c>
      <c r="C49" t="s">
        <v>55</v>
      </c>
      <c r="D49" s="1" t="s">
        <v>14</v>
      </c>
      <c r="E49">
        <v>112.6</v>
      </c>
      <c r="F49">
        <v>113.4</v>
      </c>
      <c r="G49">
        <v>114.3</v>
      </c>
      <c r="H49" s="1" t="s">
        <v>188</v>
      </c>
    </row>
    <row r="50" spans="1:8" x14ac:dyDescent="0.3">
      <c r="A50">
        <v>2013</v>
      </c>
      <c r="B50" t="s">
        <v>41</v>
      </c>
      <c r="C50" t="s">
        <v>55</v>
      </c>
      <c r="D50" s="1" t="s">
        <v>10</v>
      </c>
      <c r="E50">
        <v>107.4</v>
      </c>
      <c r="F50">
        <v>106.5</v>
      </c>
      <c r="G50">
        <v>104.7</v>
      </c>
      <c r="H50" s="1" t="s">
        <v>188</v>
      </c>
    </row>
    <row r="51" spans="1:8" x14ac:dyDescent="0.3">
      <c r="A51">
        <v>2013</v>
      </c>
      <c r="B51" t="s">
        <v>41</v>
      </c>
      <c r="C51" t="s">
        <v>55</v>
      </c>
      <c r="D51" s="1" t="s">
        <v>25</v>
      </c>
      <c r="E51">
        <v>106.8</v>
      </c>
      <c r="F51">
        <v>106.6</v>
      </c>
      <c r="G51">
        <v>106.5</v>
      </c>
      <c r="H51" s="1" t="s">
        <v>195</v>
      </c>
    </row>
    <row r="52" spans="1:8" x14ac:dyDescent="0.3">
      <c r="A52">
        <v>2013</v>
      </c>
      <c r="B52" t="s">
        <v>41</v>
      </c>
      <c r="C52" t="s">
        <v>55</v>
      </c>
      <c r="D52" s="1" t="s">
        <v>12</v>
      </c>
      <c r="E52">
        <v>106.9</v>
      </c>
      <c r="F52">
        <v>107.4</v>
      </c>
      <c r="G52">
        <v>108.5</v>
      </c>
      <c r="H52" s="1" t="s">
        <v>188</v>
      </c>
    </row>
    <row r="53" spans="1:8" x14ac:dyDescent="0.3">
      <c r="A53">
        <v>2013</v>
      </c>
      <c r="B53" t="s">
        <v>41</v>
      </c>
      <c r="C53" t="s">
        <v>55</v>
      </c>
      <c r="D53" s="1" t="s">
        <v>11</v>
      </c>
      <c r="E53">
        <v>104.1</v>
      </c>
      <c r="F53">
        <v>103.1</v>
      </c>
      <c r="G53">
        <v>101</v>
      </c>
      <c r="H53" s="1" t="s">
        <v>188</v>
      </c>
    </row>
    <row r="54" spans="1:8" x14ac:dyDescent="0.3">
      <c r="A54">
        <v>2013</v>
      </c>
      <c r="B54" t="s">
        <v>41</v>
      </c>
      <c r="C54" t="s">
        <v>55</v>
      </c>
      <c r="D54" s="1" t="s">
        <v>24</v>
      </c>
      <c r="E54">
        <v>107.8</v>
      </c>
      <c r="F54">
        <v>108</v>
      </c>
      <c r="G54">
        <v>108.1</v>
      </c>
      <c r="H54" s="1" t="s">
        <v>191</v>
      </c>
    </row>
    <row r="55" spans="1:8" x14ac:dyDescent="0.3">
      <c r="A55">
        <v>2013</v>
      </c>
      <c r="B55" t="s">
        <v>41</v>
      </c>
      <c r="C55" t="s">
        <v>55</v>
      </c>
      <c r="D55" s="1" t="s">
        <v>9</v>
      </c>
      <c r="E55">
        <v>138.9</v>
      </c>
      <c r="F55">
        <v>151.80000000000001</v>
      </c>
      <c r="G55">
        <v>177</v>
      </c>
      <c r="H55" s="1" t="s">
        <v>188</v>
      </c>
    </row>
    <row r="56" spans="1:8" x14ac:dyDescent="0.3">
      <c r="A56">
        <v>2013</v>
      </c>
      <c r="B56" t="s">
        <v>45</v>
      </c>
      <c r="C56" t="s">
        <v>56</v>
      </c>
      <c r="D56" s="1" t="s">
        <v>3</v>
      </c>
      <c r="E56">
        <v>118.4</v>
      </c>
      <c r="F56">
        <v>119.1</v>
      </c>
      <c r="G56">
        <v>120.5</v>
      </c>
      <c r="H56" s="1" t="s">
        <v>188</v>
      </c>
    </row>
    <row r="57" spans="1:8" x14ac:dyDescent="0.3">
      <c r="A57">
        <v>2013</v>
      </c>
      <c r="B57" t="s">
        <v>45</v>
      </c>
      <c r="C57" t="s">
        <v>56</v>
      </c>
      <c r="D57" s="1" t="s">
        <v>17</v>
      </c>
      <c r="E57">
        <v>115.8</v>
      </c>
      <c r="F57">
        <v>115.2</v>
      </c>
      <c r="G57">
        <v>114.2</v>
      </c>
      <c r="H57" s="1" t="s">
        <v>189</v>
      </c>
    </row>
    <row r="58" spans="1:8" x14ac:dyDescent="0.3">
      <c r="A58">
        <v>2013</v>
      </c>
      <c r="B58" t="s">
        <v>45</v>
      </c>
      <c r="C58" t="s">
        <v>56</v>
      </c>
      <c r="D58" s="1" t="s">
        <v>19</v>
      </c>
      <c r="E58">
        <v>115.5</v>
      </c>
      <c r="F58">
        <v>114.8</v>
      </c>
      <c r="G58">
        <v>113.7</v>
      </c>
      <c r="H58" s="1" t="s">
        <v>189</v>
      </c>
    </row>
    <row r="59" spans="1:8" x14ac:dyDescent="0.3">
      <c r="A59">
        <v>2013</v>
      </c>
      <c r="B59" t="s">
        <v>45</v>
      </c>
      <c r="C59" t="s">
        <v>56</v>
      </c>
      <c r="D59" s="1" t="s">
        <v>26</v>
      </c>
      <c r="E59">
        <v>111.6</v>
      </c>
      <c r="F59">
        <v>111.5</v>
      </c>
      <c r="G59">
        <v>111.4</v>
      </c>
      <c r="H59" s="1" t="s">
        <v>26</v>
      </c>
    </row>
    <row r="60" spans="1:8" x14ac:dyDescent="0.3">
      <c r="A60">
        <v>2013</v>
      </c>
      <c r="B60" t="s">
        <v>45</v>
      </c>
      <c r="C60" t="s">
        <v>56</v>
      </c>
      <c r="D60" s="1" t="s">
        <v>5</v>
      </c>
      <c r="E60">
        <v>120.4</v>
      </c>
      <c r="F60">
        <v>123.5</v>
      </c>
      <c r="G60">
        <v>128.5</v>
      </c>
      <c r="H60" s="1" t="s">
        <v>188</v>
      </c>
    </row>
    <row r="61" spans="1:8" x14ac:dyDescent="0.3">
      <c r="A61">
        <v>2013</v>
      </c>
      <c r="B61" t="s">
        <v>45</v>
      </c>
      <c r="C61" t="s">
        <v>56</v>
      </c>
      <c r="D61" s="1" t="s">
        <v>15</v>
      </c>
      <c r="E61">
        <v>118.7</v>
      </c>
      <c r="F61">
        <v>118.4</v>
      </c>
      <c r="G61">
        <v>117.8</v>
      </c>
      <c r="H61" s="1" t="s">
        <v>188</v>
      </c>
    </row>
    <row r="62" spans="1:8" x14ac:dyDescent="0.3">
      <c r="A62">
        <v>2013</v>
      </c>
      <c r="B62" t="s">
        <v>45</v>
      </c>
      <c r="C62" t="s">
        <v>56</v>
      </c>
      <c r="D62" s="1" t="s">
        <v>18</v>
      </c>
      <c r="E62">
        <v>114</v>
      </c>
      <c r="F62">
        <v>112.7</v>
      </c>
      <c r="G62">
        <v>110.9</v>
      </c>
      <c r="H62" s="1" t="s">
        <v>189</v>
      </c>
    </row>
    <row r="63" spans="1:8" x14ac:dyDescent="0.3">
      <c r="A63">
        <v>2013</v>
      </c>
      <c r="B63" t="s">
        <v>45</v>
      </c>
      <c r="C63" t="s">
        <v>56</v>
      </c>
      <c r="D63" s="1" t="s">
        <v>8</v>
      </c>
      <c r="E63">
        <v>115.5</v>
      </c>
      <c r="F63">
        <v>113.3</v>
      </c>
      <c r="G63">
        <v>110.7</v>
      </c>
      <c r="H63" s="1" t="s">
        <v>188</v>
      </c>
    </row>
    <row r="64" spans="1:8" x14ac:dyDescent="0.3">
      <c r="A64">
        <v>2013</v>
      </c>
      <c r="B64" t="s">
        <v>45</v>
      </c>
      <c r="C64" t="s">
        <v>56</v>
      </c>
      <c r="D64" s="1" t="s">
        <v>21</v>
      </c>
      <c r="E64">
        <v>112.8</v>
      </c>
      <c r="F64">
        <v>111.9</v>
      </c>
      <c r="G64">
        <v>110.4</v>
      </c>
      <c r="H64" s="1" t="s">
        <v>190</v>
      </c>
    </row>
    <row r="65" spans="1:8" x14ac:dyDescent="0.3">
      <c r="A65">
        <v>2013</v>
      </c>
      <c r="B65" t="s">
        <v>45</v>
      </c>
      <c r="C65" t="s">
        <v>56</v>
      </c>
      <c r="D65" s="1" t="s">
        <v>29</v>
      </c>
      <c r="E65">
        <v>115.5</v>
      </c>
      <c r="F65">
        <v>114.5</v>
      </c>
      <c r="G65">
        <v>113.3</v>
      </c>
      <c r="H65" s="1" t="s">
        <v>206</v>
      </c>
    </row>
    <row r="66" spans="1:8" x14ac:dyDescent="0.3">
      <c r="A66">
        <v>2013</v>
      </c>
      <c r="B66" t="s">
        <v>45</v>
      </c>
      <c r="C66" t="s">
        <v>56</v>
      </c>
      <c r="D66" s="1" t="s">
        <v>23</v>
      </c>
      <c r="E66">
        <v>110.1</v>
      </c>
      <c r="F66">
        <v>109.7</v>
      </c>
      <c r="G66">
        <v>109</v>
      </c>
      <c r="H66" s="1" t="s">
        <v>23</v>
      </c>
    </row>
    <row r="67" spans="1:8" x14ac:dyDescent="0.3">
      <c r="A67">
        <v>2013</v>
      </c>
      <c r="B67" t="s">
        <v>45</v>
      </c>
      <c r="C67" t="s">
        <v>56</v>
      </c>
      <c r="D67" s="1" t="s">
        <v>22</v>
      </c>
      <c r="E67">
        <v>112.1</v>
      </c>
      <c r="F67">
        <v>111.7</v>
      </c>
      <c r="G67">
        <v>111.3</v>
      </c>
      <c r="H67" s="1" t="s">
        <v>20</v>
      </c>
    </row>
    <row r="68" spans="1:8" x14ac:dyDescent="0.3">
      <c r="A68">
        <v>2013</v>
      </c>
      <c r="B68" t="s">
        <v>45</v>
      </c>
      <c r="C68" t="s">
        <v>56</v>
      </c>
      <c r="D68" s="1" t="s">
        <v>20</v>
      </c>
      <c r="E68">
        <v>0</v>
      </c>
      <c r="F68">
        <v>110.7</v>
      </c>
      <c r="G68">
        <v>110.7</v>
      </c>
      <c r="H68" s="1" t="s">
        <v>20</v>
      </c>
    </row>
    <row r="69" spans="1:8" x14ac:dyDescent="0.3">
      <c r="A69">
        <v>2013</v>
      </c>
      <c r="B69" t="s">
        <v>45</v>
      </c>
      <c r="C69" t="s">
        <v>56</v>
      </c>
      <c r="D69" s="1" t="s">
        <v>4</v>
      </c>
      <c r="E69">
        <v>115.9</v>
      </c>
      <c r="F69">
        <v>116.7</v>
      </c>
      <c r="G69">
        <v>118.1</v>
      </c>
      <c r="H69" s="1" t="s">
        <v>188</v>
      </c>
    </row>
    <row r="70" spans="1:8" x14ac:dyDescent="0.3">
      <c r="A70">
        <v>2013</v>
      </c>
      <c r="B70" t="s">
        <v>45</v>
      </c>
      <c r="C70" t="s">
        <v>56</v>
      </c>
      <c r="D70" s="1" t="s">
        <v>6</v>
      </c>
      <c r="E70">
        <v>113.8</v>
      </c>
      <c r="F70">
        <v>113.4</v>
      </c>
      <c r="G70">
        <v>112.8</v>
      </c>
      <c r="H70" s="1" t="s">
        <v>188</v>
      </c>
    </row>
    <row r="71" spans="1:8" x14ac:dyDescent="0.3">
      <c r="A71">
        <v>2013</v>
      </c>
      <c r="B71" t="s">
        <v>45</v>
      </c>
      <c r="C71" t="s">
        <v>56</v>
      </c>
      <c r="D71" s="1" t="s">
        <v>28</v>
      </c>
      <c r="E71">
        <v>110.1</v>
      </c>
      <c r="F71">
        <v>110</v>
      </c>
      <c r="G71">
        <v>109.8</v>
      </c>
      <c r="H71" s="1" t="s">
        <v>192</v>
      </c>
    </row>
    <row r="72" spans="1:8" x14ac:dyDescent="0.3">
      <c r="A72">
        <v>2013</v>
      </c>
      <c r="B72" t="s">
        <v>45</v>
      </c>
      <c r="C72" t="s">
        <v>56</v>
      </c>
      <c r="D72" s="1" t="s">
        <v>13</v>
      </c>
      <c r="E72">
        <v>112.1</v>
      </c>
      <c r="F72">
        <v>112.1</v>
      </c>
      <c r="G72">
        <v>112.1</v>
      </c>
      <c r="H72" s="1" t="s">
        <v>188</v>
      </c>
    </row>
    <row r="73" spans="1:8" x14ac:dyDescent="0.3">
      <c r="A73">
        <v>2013</v>
      </c>
      <c r="B73" t="s">
        <v>45</v>
      </c>
      <c r="C73" t="s">
        <v>56</v>
      </c>
      <c r="D73" s="1" t="s">
        <v>7</v>
      </c>
      <c r="E73">
        <v>109.5</v>
      </c>
      <c r="F73">
        <v>107.3</v>
      </c>
      <c r="G73">
        <v>103.4</v>
      </c>
      <c r="H73" s="1" t="s">
        <v>188</v>
      </c>
    </row>
    <row r="74" spans="1:8" x14ac:dyDescent="0.3">
      <c r="A74">
        <v>2013</v>
      </c>
      <c r="B74" t="s">
        <v>45</v>
      </c>
      <c r="C74" t="s">
        <v>56</v>
      </c>
      <c r="D74" s="1" t="s">
        <v>16</v>
      </c>
      <c r="E74">
        <v>113.6</v>
      </c>
      <c r="F74">
        <v>114</v>
      </c>
      <c r="G74">
        <v>115</v>
      </c>
      <c r="H74" s="1" t="s">
        <v>192</v>
      </c>
    </row>
    <row r="75" spans="1:8" x14ac:dyDescent="0.3">
      <c r="A75">
        <v>2013</v>
      </c>
      <c r="B75" t="s">
        <v>45</v>
      </c>
      <c r="C75" t="s">
        <v>56</v>
      </c>
      <c r="D75" s="1" t="s">
        <v>27</v>
      </c>
      <c r="E75">
        <v>108.1</v>
      </c>
      <c r="F75">
        <v>107.9</v>
      </c>
      <c r="G75">
        <v>107.7</v>
      </c>
      <c r="H75" s="1" t="s">
        <v>192</v>
      </c>
    </row>
    <row r="76" spans="1:8" x14ac:dyDescent="0.3">
      <c r="A76">
        <v>2013</v>
      </c>
      <c r="B76" t="s">
        <v>45</v>
      </c>
      <c r="C76" t="s">
        <v>56</v>
      </c>
      <c r="D76" s="1" t="s">
        <v>14</v>
      </c>
      <c r="E76">
        <v>116.8</v>
      </c>
      <c r="F76">
        <v>117.4</v>
      </c>
      <c r="G76">
        <v>118.1</v>
      </c>
      <c r="H76" s="1" t="s">
        <v>188</v>
      </c>
    </row>
    <row r="77" spans="1:8" x14ac:dyDescent="0.3">
      <c r="A77">
        <v>2013</v>
      </c>
      <c r="B77" t="s">
        <v>45</v>
      </c>
      <c r="C77" t="s">
        <v>56</v>
      </c>
      <c r="D77" s="1" t="s">
        <v>10</v>
      </c>
      <c r="E77">
        <v>109.5</v>
      </c>
      <c r="F77">
        <v>108.7</v>
      </c>
      <c r="G77">
        <v>107.1</v>
      </c>
      <c r="H77" s="1" t="s">
        <v>188</v>
      </c>
    </row>
    <row r="78" spans="1:8" x14ac:dyDescent="0.3">
      <c r="A78">
        <v>2013</v>
      </c>
      <c r="B78" t="s">
        <v>45</v>
      </c>
      <c r="C78" t="s">
        <v>56</v>
      </c>
      <c r="D78" s="1" t="s">
        <v>25</v>
      </c>
      <c r="E78">
        <v>109.2</v>
      </c>
      <c r="F78">
        <v>109</v>
      </c>
      <c r="G78">
        <v>108.9</v>
      </c>
      <c r="H78" s="1" t="s">
        <v>195</v>
      </c>
    </row>
    <row r="79" spans="1:8" x14ac:dyDescent="0.3">
      <c r="A79">
        <v>2013</v>
      </c>
      <c r="B79" t="s">
        <v>45</v>
      </c>
      <c r="C79" t="s">
        <v>56</v>
      </c>
      <c r="D79" s="1" t="s">
        <v>12</v>
      </c>
      <c r="E79">
        <v>109.8</v>
      </c>
      <c r="F79">
        <v>110.5</v>
      </c>
      <c r="G79">
        <v>111.9</v>
      </c>
      <c r="H79" s="1" t="s">
        <v>188</v>
      </c>
    </row>
    <row r="80" spans="1:8" x14ac:dyDescent="0.3">
      <c r="A80">
        <v>2013</v>
      </c>
      <c r="B80" t="s">
        <v>45</v>
      </c>
      <c r="C80" t="s">
        <v>56</v>
      </c>
      <c r="D80" s="1" t="s">
        <v>11</v>
      </c>
      <c r="E80">
        <v>102.9</v>
      </c>
      <c r="F80">
        <v>101.5</v>
      </c>
      <c r="G80">
        <v>98.6</v>
      </c>
      <c r="H80" s="1" t="s">
        <v>188</v>
      </c>
    </row>
    <row r="81" spans="1:8" x14ac:dyDescent="0.3">
      <c r="A81">
        <v>2013</v>
      </c>
      <c r="B81" t="s">
        <v>45</v>
      </c>
      <c r="C81" t="s">
        <v>56</v>
      </c>
      <c r="D81" s="1" t="s">
        <v>24</v>
      </c>
      <c r="E81">
        <v>109.9</v>
      </c>
      <c r="F81">
        <v>109.8</v>
      </c>
      <c r="G81">
        <v>109.7</v>
      </c>
      <c r="H81" s="1" t="s">
        <v>191</v>
      </c>
    </row>
    <row r="82" spans="1:8" x14ac:dyDescent="0.3">
      <c r="A82">
        <v>2013</v>
      </c>
      <c r="B82" t="s">
        <v>45</v>
      </c>
      <c r="C82" t="s">
        <v>56</v>
      </c>
      <c r="D82" s="1" t="s">
        <v>9</v>
      </c>
      <c r="E82">
        <v>145.69999999999999</v>
      </c>
      <c r="F82">
        <v>145.4</v>
      </c>
      <c r="G82">
        <v>144.80000000000001</v>
      </c>
      <c r="H82" s="1" t="s">
        <v>188</v>
      </c>
    </row>
    <row r="83" spans="1:8" x14ac:dyDescent="0.3">
      <c r="A83">
        <v>2013</v>
      </c>
      <c r="B83" t="s">
        <v>35</v>
      </c>
      <c r="C83" t="s">
        <v>57</v>
      </c>
      <c r="D83" s="1" t="s">
        <v>3</v>
      </c>
      <c r="E83">
        <v>109.2</v>
      </c>
      <c r="F83">
        <v>110.4</v>
      </c>
      <c r="G83">
        <v>112.9</v>
      </c>
      <c r="H83" s="1" t="s">
        <v>188</v>
      </c>
    </row>
    <row r="84" spans="1:8" x14ac:dyDescent="0.3">
      <c r="A84">
        <v>2013</v>
      </c>
      <c r="B84" t="s">
        <v>35</v>
      </c>
      <c r="C84" t="s">
        <v>57</v>
      </c>
      <c r="D84" s="1" t="s">
        <v>17</v>
      </c>
      <c r="E84">
        <v>107.1</v>
      </c>
      <c r="F84">
        <v>106.9</v>
      </c>
      <c r="G84">
        <v>106.6</v>
      </c>
      <c r="H84" s="1" t="s">
        <v>189</v>
      </c>
    </row>
    <row r="85" spans="1:8" x14ac:dyDescent="0.3">
      <c r="A85">
        <v>2013</v>
      </c>
      <c r="B85" t="s">
        <v>35</v>
      </c>
      <c r="C85" t="s">
        <v>57</v>
      </c>
      <c r="D85" s="1" t="s">
        <v>19</v>
      </c>
      <c r="E85">
        <v>107</v>
      </c>
      <c r="F85">
        <v>106.8</v>
      </c>
      <c r="G85">
        <v>106.4</v>
      </c>
      <c r="H85" s="1" t="s">
        <v>189</v>
      </c>
    </row>
    <row r="86" spans="1:8" x14ac:dyDescent="0.3">
      <c r="A86">
        <v>2013</v>
      </c>
      <c r="B86" t="s">
        <v>35</v>
      </c>
      <c r="C86" t="s">
        <v>57</v>
      </c>
      <c r="D86" s="1" t="s">
        <v>26</v>
      </c>
      <c r="E86">
        <v>104.1</v>
      </c>
      <c r="F86">
        <v>103.9</v>
      </c>
      <c r="G86">
        <v>103.7</v>
      </c>
      <c r="H86" s="1" t="s">
        <v>26</v>
      </c>
    </row>
    <row r="87" spans="1:8" x14ac:dyDescent="0.3">
      <c r="A87">
        <v>2013</v>
      </c>
      <c r="B87" t="s">
        <v>35</v>
      </c>
      <c r="C87" t="s">
        <v>57</v>
      </c>
      <c r="D87" s="1" t="s">
        <v>5</v>
      </c>
      <c r="E87">
        <v>110.2</v>
      </c>
      <c r="F87">
        <v>112.8</v>
      </c>
      <c r="G87">
        <v>116.9</v>
      </c>
      <c r="H87" s="1" t="s">
        <v>188</v>
      </c>
    </row>
    <row r="88" spans="1:8" x14ac:dyDescent="0.3">
      <c r="A88">
        <v>2013</v>
      </c>
      <c r="B88" t="s">
        <v>35</v>
      </c>
      <c r="C88" t="s">
        <v>57</v>
      </c>
      <c r="D88" s="1" t="s">
        <v>15</v>
      </c>
      <c r="E88">
        <v>106.3</v>
      </c>
      <c r="F88">
        <v>106.6</v>
      </c>
      <c r="G88">
        <v>107.2</v>
      </c>
      <c r="H88" s="1" t="s">
        <v>188</v>
      </c>
    </row>
    <row r="89" spans="1:8" x14ac:dyDescent="0.3">
      <c r="A89">
        <v>2013</v>
      </c>
      <c r="B89" t="s">
        <v>35</v>
      </c>
      <c r="C89" t="s">
        <v>57</v>
      </c>
      <c r="D89" s="1" t="s">
        <v>18</v>
      </c>
      <c r="E89">
        <v>106.3</v>
      </c>
      <c r="F89">
        <v>106</v>
      </c>
      <c r="G89">
        <v>105.5</v>
      </c>
      <c r="H89" s="1" t="s">
        <v>189</v>
      </c>
    </row>
    <row r="90" spans="1:8" x14ac:dyDescent="0.3">
      <c r="A90">
        <v>2013</v>
      </c>
      <c r="B90" t="s">
        <v>35</v>
      </c>
      <c r="C90" t="s">
        <v>57</v>
      </c>
      <c r="D90" s="1" t="s">
        <v>8</v>
      </c>
      <c r="E90">
        <v>104</v>
      </c>
      <c r="F90">
        <v>103.6</v>
      </c>
      <c r="G90">
        <v>103.1</v>
      </c>
      <c r="H90" s="1" t="s">
        <v>188</v>
      </c>
    </row>
    <row r="91" spans="1:8" x14ac:dyDescent="0.3">
      <c r="A91">
        <v>2013</v>
      </c>
      <c r="B91" t="s">
        <v>35</v>
      </c>
      <c r="C91" t="s">
        <v>57</v>
      </c>
      <c r="D91" s="1" t="s">
        <v>21</v>
      </c>
      <c r="E91">
        <v>106.2</v>
      </c>
      <c r="F91">
        <v>106</v>
      </c>
      <c r="G91">
        <v>105.7</v>
      </c>
      <c r="H91" s="1" t="s">
        <v>190</v>
      </c>
    </row>
    <row r="92" spans="1:8" x14ac:dyDescent="0.3">
      <c r="A92">
        <v>2013</v>
      </c>
      <c r="B92" t="s">
        <v>35</v>
      </c>
      <c r="C92" t="s">
        <v>57</v>
      </c>
      <c r="D92" s="1" t="s">
        <v>29</v>
      </c>
      <c r="E92">
        <v>105.8</v>
      </c>
      <c r="F92">
        <v>105.3</v>
      </c>
      <c r="G92">
        <v>104.7</v>
      </c>
      <c r="H92" s="1" t="s">
        <v>206</v>
      </c>
    </row>
    <row r="93" spans="1:8" x14ac:dyDescent="0.3">
      <c r="A93">
        <v>2013</v>
      </c>
      <c r="B93" t="s">
        <v>35</v>
      </c>
      <c r="C93" t="s">
        <v>57</v>
      </c>
      <c r="D93" s="1" t="s">
        <v>23</v>
      </c>
      <c r="E93">
        <v>104.4</v>
      </c>
      <c r="F93">
        <v>104.5</v>
      </c>
      <c r="G93">
        <v>104.7</v>
      </c>
      <c r="H93" s="1" t="s">
        <v>23</v>
      </c>
    </row>
    <row r="94" spans="1:8" x14ac:dyDescent="0.3">
      <c r="A94">
        <v>2013</v>
      </c>
      <c r="B94" t="s">
        <v>35</v>
      </c>
      <c r="C94" t="s">
        <v>57</v>
      </c>
      <c r="D94" s="1" t="s">
        <v>22</v>
      </c>
      <c r="E94">
        <v>105.2</v>
      </c>
      <c r="F94">
        <v>105.2</v>
      </c>
      <c r="G94">
        <v>105.2</v>
      </c>
      <c r="H94" s="1" t="s">
        <v>20</v>
      </c>
    </row>
    <row r="95" spans="1:8" x14ac:dyDescent="0.3">
      <c r="A95">
        <v>2013</v>
      </c>
      <c r="B95" t="s">
        <v>35</v>
      </c>
      <c r="C95" t="s">
        <v>57</v>
      </c>
      <c r="D95" s="1" t="s">
        <v>20</v>
      </c>
      <c r="E95">
        <v>0</v>
      </c>
      <c r="F95">
        <v>100.4</v>
      </c>
      <c r="G95">
        <v>100.4</v>
      </c>
      <c r="H95" s="1" t="s">
        <v>20</v>
      </c>
    </row>
    <row r="96" spans="1:8" x14ac:dyDescent="0.3">
      <c r="A96">
        <v>2013</v>
      </c>
      <c r="B96" t="s">
        <v>35</v>
      </c>
      <c r="C96" t="s">
        <v>57</v>
      </c>
      <c r="D96" s="1" t="s">
        <v>4</v>
      </c>
      <c r="E96">
        <v>108.7</v>
      </c>
      <c r="F96">
        <v>110.2</v>
      </c>
      <c r="G96">
        <v>112.9</v>
      </c>
      <c r="H96" s="1" t="s">
        <v>188</v>
      </c>
    </row>
    <row r="97" spans="1:8" x14ac:dyDescent="0.3">
      <c r="A97">
        <v>2013</v>
      </c>
      <c r="B97" t="s">
        <v>35</v>
      </c>
      <c r="C97" t="s">
        <v>57</v>
      </c>
      <c r="D97" s="1" t="s">
        <v>6</v>
      </c>
      <c r="E97">
        <v>105.4</v>
      </c>
      <c r="F97">
        <v>104.9</v>
      </c>
      <c r="G97">
        <v>104</v>
      </c>
      <c r="H97" s="1" t="s">
        <v>188</v>
      </c>
    </row>
    <row r="98" spans="1:8" x14ac:dyDescent="0.3">
      <c r="A98">
        <v>2013</v>
      </c>
      <c r="B98" t="s">
        <v>35</v>
      </c>
      <c r="C98" t="s">
        <v>57</v>
      </c>
      <c r="D98" s="1" t="s">
        <v>28</v>
      </c>
      <c r="E98">
        <v>104.4</v>
      </c>
      <c r="F98">
        <v>104.4</v>
      </c>
      <c r="G98">
        <v>104.3</v>
      </c>
      <c r="H98" s="1" t="s">
        <v>192</v>
      </c>
    </row>
    <row r="99" spans="1:8" x14ac:dyDescent="0.3">
      <c r="A99">
        <v>2013</v>
      </c>
      <c r="B99" t="s">
        <v>35</v>
      </c>
      <c r="C99" t="s">
        <v>57</v>
      </c>
      <c r="D99" s="1" t="s">
        <v>13</v>
      </c>
      <c r="E99">
        <v>105.1</v>
      </c>
      <c r="F99">
        <v>105.5</v>
      </c>
      <c r="G99">
        <v>106</v>
      </c>
      <c r="H99" s="1" t="s">
        <v>188</v>
      </c>
    </row>
    <row r="100" spans="1:8" x14ac:dyDescent="0.3">
      <c r="A100">
        <v>2013</v>
      </c>
      <c r="B100" t="s">
        <v>35</v>
      </c>
      <c r="C100" t="s">
        <v>57</v>
      </c>
      <c r="D100" s="1" t="s">
        <v>7</v>
      </c>
      <c r="E100">
        <v>106.7</v>
      </c>
      <c r="F100">
        <v>105.5</v>
      </c>
      <c r="G100">
        <v>103.5</v>
      </c>
      <c r="H100" s="1" t="s">
        <v>188</v>
      </c>
    </row>
    <row r="101" spans="1:8" x14ac:dyDescent="0.3">
      <c r="A101">
        <v>2013</v>
      </c>
      <c r="B101" t="s">
        <v>35</v>
      </c>
      <c r="C101" t="s">
        <v>57</v>
      </c>
      <c r="D101" s="1" t="s">
        <v>16</v>
      </c>
      <c r="E101">
        <v>105.6</v>
      </c>
      <c r="F101">
        <v>105.7</v>
      </c>
      <c r="G101">
        <v>106</v>
      </c>
      <c r="H101" s="1" t="s">
        <v>192</v>
      </c>
    </row>
    <row r="102" spans="1:8" x14ac:dyDescent="0.3">
      <c r="A102">
        <v>2013</v>
      </c>
      <c r="B102" t="s">
        <v>35</v>
      </c>
      <c r="C102" t="s">
        <v>57</v>
      </c>
      <c r="D102" s="1" t="s">
        <v>27</v>
      </c>
      <c r="E102">
        <v>104.6</v>
      </c>
      <c r="F102">
        <v>104.5</v>
      </c>
      <c r="G102">
        <v>104.3</v>
      </c>
      <c r="H102" s="1" t="s">
        <v>192</v>
      </c>
    </row>
    <row r="103" spans="1:8" x14ac:dyDescent="0.3">
      <c r="A103">
        <v>2013</v>
      </c>
      <c r="B103" t="s">
        <v>35</v>
      </c>
      <c r="C103" t="s">
        <v>57</v>
      </c>
      <c r="D103" s="1" t="s">
        <v>14</v>
      </c>
      <c r="E103">
        <v>107.7</v>
      </c>
      <c r="F103">
        <v>108.3</v>
      </c>
      <c r="G103">
        <v>109</v>
      </c>
      <c r="H103" s="1" t="s">
        <v>188</v>
      </c>
    </row>
    <row r="104" spans="1:8" x14ac:dyDescent="0.3">
      <c r="A104">
        <v>2013</v>
      </c>
      <c r="B104" t="s">
        <v>35</v>
      </c>
      <c r="C104" t="s">
        <v>57</v>
      </c>
      <c r="D104" s="1" t="s">
        <v>10</v>
      </c>
      <c r="E104">
        <v>105.9</v>
      </c>
      <c r="F104">
        <v>105.3</v>
      </c>
      <c r="G104">
        <v>104.1</v>
      </c>
      <c r="H104" s="1" t="s">
        <v>188</v>
      </c>
    </row>
    <row r="105" spans="1:8" x14ac:dyDescent="0.3">
      <c r="A105">
        <v>2013</v>
      </c>
      <c r="B105" t="s">
        <v>35</v>
      </c>
      <c r="C105" t="s">
        <v>57</v>
      </c>
      <c r="D105" s="1" t="s">
        <v>25</v>
      </c>
      <c r="E105">
        <v>104</v>
      </c>
      <c r="F105">
        <v>103.6</v>
      </c>
      <c r="G105">
        <v>103.3</v>
      </c>
      <c r="H105" s="1" t="s">
        <v>195</v>
      </c>
    </row>
    <row r="106" spans="1:8" x14ac:dyDescent="0.3">
      <c r="A106">
        <v>2013</v>
      </c>
      <c r="B106" t="s">
        <v>35</v>
      </c>
      <c r="C106" t="s">
        <v>57</v>
      </c>
      <c r="D106" s="1" t="s">
        <v>12</v>
      </c>
      <c r="E106">
        <v>103.1</v>
      </c>
      <c r="F106">
        <v>102.8</v>
      </c>
      <c r="G106">
        <v>102.3</v>
      </c>
      <c r="H106" s="1" t="s">
        <v>188</v>
      </c>
    </row>
    <row r="107" spans="1:8" x14ac:dyDescent="0.3">
      <c r="A107">
        <v>2013</v>
      </c>
      <c r="B107" t="s">
        <v>35</v>
      </c>
      <c r="C107" t="s">
        <v>57</v>
      </c>
      <c r="D107" s="1" t="s">
        <v>11</v>
      </c>
      <c r="E107">
        <v>105.7</v>
      </c>
      <c r="F107">
        <v>105.1</v>
      </c>
      <c r="G107">
        <v>103.8</v>
      </c>
      <c r="H107" s="1" t="s">
        <v>188</v>
      </c>
    </row>
    <row r="108" spans="1:8" x14ac:dyDescent="0.3">
      <c r="A108">
        <v>2013</v>
      </c>
      <c r="B108" t="s">
        <v>35</v>
      </c>
      <c r="C108" t="s">
        <v>57</v>
      </c>
      <c r="D108" s="1" t="s">
        <v>24</v>
      </c>
      <c r="E108">
        <v>103.9</v>
      </c>
      <c r="F108">
        <v>104.2</v>
      </c>
      <c r="G108">
        <v>104.4</v>
      </c>
      <c r="H108" s="1" t="s">
        <v>191</v>
      </c>
    </row>
    <row r="109" spans="1:8" x14ac:dyDescent="0.3">
      <c r="A109">
        <v>2013</v>
      </c>
      <c r="B109" t="s">
        <v>35</v>
      </c>
      <c r="C109" t="s">
        <v>57</v>
      </c>
      <c r="D109" s="1" t="s">
        <v>9</v>
      </c>
      <c r="E109">
        <v>102.4</v>
      </c>
      <c r="F109">
        <v>103.2</v>
      </c>
      <c r="G109">
        <v>104.9</v>
      </c>
      <c r="H109" s="1" t="s">
        <v>188</v>
      </c>
    </row>
    <row r="110" spans="1:8" x14ac:dyDescent="0.3">
      <c r="A110">
        <v>2013</v>
      </c>
      <c r="B110" t="s">
        <v>31</v>
      </c>
      <c r="C110" t="s">
        <v>58</v>
      </c>
      <c r="D110" s="1" t="s">
        <v>3</v>
      </c>
      <c r="E110">
        <v>107.5</v>
      </c>
      <c r="F110">
        <v>108.4</v>
      </c>
      <c r="G110">
        <v>110.5</v>
      </c>
      <c r="H110" s="1" t="s">
        <v>188</v>
      </c>
    </row>
    <row r="111" spans="1:8" x14ac:dyDescent="0.3">
      <c r="A111">
        <v>2013</v>
      </c>
      <c r="B111" t="s">
        <v>31</v>
      </c>
      <c r="C111" t="s">
        <v>58</v>
      </c>
      <c r="D111" s="1" t="s">
        <v>17</v>
      </c>
      <c r="E111">
        <v>106.5</v>
      </c>
      <c r="F111">
        <v>106.3</v>
      </c>
      <c r="G111">
        <v>105.9</v>
      </c>
      <c r="H111" s="1" t="s">
        <v>189</v>
      </c>
    </row>
    <row r="112" spans="1:8" x14ac:dyDescent="0.3">
      <c r="A112">
        <v>2013</v>
      </c>
      <c r="B112" t="s">
        <v>31</v>
      </c>
      <c r="C112" t="s">
        <v>58</v>
      </c>
      <c r="D112" s="1" t="s">
        <v>19</v>
      </c>
      <c r="E112">
        <v>106.4</v>
      </c>
      <c r="F112">
        <v>106.2</v>
      </c>
      <c r="G112">
        <v>105.8</v>
      </c>
      <c r="H112" s="1" t="s">
        <v>189</v>
      </c>
    </row>
    <row r="113" spans="1:8" x14ac:dyDescent="0.3">
      <c r="A113">
        <v>2013</v>
      </c>
      <c r="B113" t="s">
        <v>31</v>
      </c>
      <c r="C113" t="s">
        <v>58</v>
      </c>
      <c r="D113" s="1" t="s">
        <v>26</v>
      </c>
      <c r="E113">
        <v>103.8</v>
      </c>
      <c r="F113">
        <v>103.6</v>
      </c>
      <c r="G113">
        <v>103.5</v>
      </c>
      <c r="H113" s="1" t="s">
        <v>26</v>
      </c>
    </row>
    <row r="114" spans="1:8" x14ac:dyDescent="0.3">
      <c r="A114">
        <v>2013</v>
      </c>
      <c r="B114" t="s">
        <v>31</v>
      </c>
      <c r="C114" t="s">
        <v>58</v>
      </c>
      <c r="D114" s="1" t="s">
        <v>5</v>
      </c>
      <c r="E114">
        <v>108.1</v>
      </c>
      <c r="F114">
        <v>110</v>
      </c>
      <c r="G114">
        <v>113</v>
      </c>
      <c r="H114" s="1" t="s">
        <v>188</v>
      </c>
    </row>
    <row r="115" spans="1:8" x14ac:dyDescent="0.3">
      <c r="A115">
        <v>2013</v>
      </c>
      <c r="B115" t="s">
        <v>31</v>
      </c>
      <c r="C115" t="s">
        <v>58</v>
      </c>
      <c r="D115" s="1" t="s">
        <v>15</v>
      </c>
      <c r="E115">
        <v>105.5</v>
      </c>
      <c r="F115">
        <v>105.6</v>
      </c>
      <c r="G115">
        <v>105.9</v>
      </c>
      <c r="H115" s="1" t="s">
        <v>188</v>
      </c>
    </row>
    <row r="116" spans="1:8" x14ac:dyDescent="0.3">
      <c r="A116">
        <v>2013</v>
      </c>
      <c r="B116" t="s">
        <v>31</v>
      </c>
      <c r="C116" t="s">
        <v>58</v>
      </c>
      <c r="D116" s="1" t="s">
        <v>18</v>
      </c>
      <c r="E116">
        <v>105.8</v>
      </c>
      <c r="F116">
        <v>105.5</v>
      </c>
      <c r="G116">
        <v>105</v>
      </c>
      <c r="H116" s="1" t="s">
        <v>189</v>
      </c>
    </row>
    <row r="117" spans="1:8" x14ac:dyDescent="0.3">
      <c r="A117">
        <v>2013</v>
      </c>
      <c r="B117" t="s">
        <v>31</v>
      </c>
      <c r="C117" t="s">
        <v>58</v>
      </c>
      <c r="D117" s="1" t="s">
        <v>8</v>
      </c>
      <c r="E117">
        <v>103.9</v>
      </c>
      <c r="F117">
        <v>103.2</v>
      </c>
      <c r="G117">
        <v>102.3</v>
      </c>
      <c r="H117" s="1" t="s">
        <v>188</v>
      </c>
    </row>
    <row r="118" spans="1:8" x14ac:dyDescent="0.3">
      <c r="A118">
        <v>2013</v>
      </c>
      <c r="B118" t="s">
        <v>31</v>
      </c>
      <c r="C118" t="s">
        <v>58</v>
      </c>
      <c r="D118" s="1" t="s">
        <v>21</v>
      </c>
      <c r="E118">
        <v>105.5</v>
      </c>
      <c r="F118">
        <v>105.5</v>
      </c>
      <c r="G118">
        <v>105.4</v>
      </c>
      <c r="H118" s="1" t="s">
        <v>190</v>
      </c>
    </row>
    <row r="119" spans="1:8" x14ac:dyDescent="0.3">
      <c r="A119">
        <v>2013</v>
      </c>
      <c r="B119" t="s">
        <v>31</v>
      </c>
      <c r="C119" t="s">
        <v>58</v>
      </c>
      <c r="D119" s="1" t="s">
        <v>29</v>
      </c>
      <c r="E119">
        <v>105.1</v>
      </c>
      <c r="F119">
        <v>104.6</v>
      </c>
      <c r="G119">
        <v>104</v>
      </c>
      <c r="H119" s="1" t="s">
        <v>206</v>
      </c>
    </row>
    <row r="120" spans="1:8" x14ac:dyDescent="0.3">
      <c r="A120">
        <v>2013</v>
      </c>
      <c r="B120" t="s">
        <v>31</v>
      </c>
      <c r="C120" t="s">
        <v>58</v>
      </c>
      <c r="D120" s="1" t="s">
        <v>23</v>
      </c>
      <c r="E120">
        <v>104</v>
      </c>
      <c r="F120">
        <v>104</v>
      </c>
      <c r="G120">
        <v>104.1</v>
      </c>
      <c r="H120" s="1" t="s">
        <v>23</v>
      </c>
    </row>
    <row r="121" spans="1:8" x14ac:dyDescent="0.3">
      <c r="A121">
        <v>2013</v>
      </c>
      <c r="B121" t="s">
        <v>31</v>
      </c>
      <c r="C121" t="s">
        <v>58</v>
      </c>
      <c r="D121" s="1" t="s">
        <v>22</v>
      </c>
      <c r="E121">
        <v>104.8</v>
      </c>
      <c r="F121">
        <v>104.8</v>
      </c>
      <c r="G121">
        <v>104.8</v>
      </c>
      <c r="H121" s="1" t="s">
        <v>20</v>
      </c>
    </row>
    <row r="122" spans="1:8" x14ac:dyDescent="0.3">
      <c r="A122">
        <v>2013</v>
      </c>
      <c r="B122" t="s">
        <v>31</v>
      </c>
      <c r="C122" t="s">
        <v>58</v>
      </c>
      <c r="D122" s="1" t="s">
        <v>20</v>
      </c>
      <c r="E122">
        <v>0</v>
      </c>
      <c r="F122">
        <v>100.3</v>
      </c>
      <c r="G122">
        <v>100.3</v>
      </c>
      <c r="H122" s="1" t="s">
        <v>20</v>
      </c>
    </row>
    <row r="123" spans="1:8" x14ac:dyDescent="0.3">
      <c r="A123">
        <v>2013</v>
      </c>
      <c r="B123" t="s">
        <v>31</v>
      </c>
      <c r="C123" t="s">
        <v>58</v>
      </c>
      <c r="D123" s="1" t="s">
        <v>4</v>
      </c>
      <c r="E123">
        <v>106.3</v>
      </c>
      <c r="F123">
        <v>107.3</v>
      </c>
      <c r="G123">
        <v>109.1</v>
      </c>
      <c r="H123" s="1" t="s">
        <v>188</v>
      </c>
    </row>
    <row r="124" spans="1:8" x14ac:dyDescent="0.3">
      <c r="A124">
        <v>2013</v>
      </c>
      <c r="B124" t="s">
        <v>31</v>
      </c>
      <c r="C124" t="s">
        <v>58</v>
      </c>
      <c r="D124" s="1" t="s">
        <v>6</v>
      </c>
      <c r="E124">
        <v>104.9</v>
      </c>
      <c r="F124">
        <v>104.4</v>
      </c>
      <c r="G124">
        <v>103.6</v>
      </c>
      <c r="H124" s="1" t="s">
        <v>188</v>
      </c>
    </row>
    <row r="125" spans="1:8" x14ac:dyDescent="0.3">
      <c r="A125">
        <v>2013</v>
      </c>
      <c r="B125" t="s">
        <v>31</v>
      </c>
      <c r="C125" t="s">
        <v>58</v>
      </c>
      <c r="D125" s="1" t="s">
        <v>28</v>
      </c>
      <c r="E125">
        <v>104</v>
      </c>
      <c r="F125">
        <v>103.9</v>
      </c>
      <c r="G125">
        <v>103.7</v>
      </c>
      <c r="H125" s="1" t="s">
        <v>192</v>
      </c>
    </row>
    <row r="126" spans="1:8" x14ac:dyDescent="0.3">
      <c r="A126">
        <v>2013</v>
      </c>
      <c r="B126" t="s">
        <v>31</v>
      </c>
      <c r="C126" t="s">
        <v>58</v>
      </c>
      <c r="D126" s="1" t="s">
        <v>13</v>
      </c>
      <c r="E126">
        <v>104.8</v>
      </c>
      <c r="F126">
        <v>104.9</v>
      </c>
      <c r="G126">
        <v>105.1</v>
      </c>
      <c r="H126" s="1" t="s">
        <v>188</v>
      </c>
    </row>
    <row r="127" spans="1:8" x14ac:dyDescent="0.3">
      <c r="A127">
        <v>2013</v>
      </c>
      <c r="B127" t="s">
        <v>31</v>
      </c>
      <c r="C127" t="s">
        <v>58</v>
      </c>
      <c r="D127" s="1" t="s">
        <v>7</v>
      </c>
      <c r="E127">
        <v>106.1</v>
      </c>
      <c r="F127">
        <v>105.1</v>
      </c>
      <c r="G127">
        <v>103.4</v>
      </c>
      <c r="H127" s="1" t="s">
        <v>188</v>
      </c>
    </row>
    <row r="128" spans="1:8" x14ac:dyDescent="0.3">
      <c r="A128">
        <v>2013</v>
      </c>
      <c r="B128" t="s">
        <v>31</v>
      </c>
      <c r="C128" t="s">
        <v>58</v>
      </c>
      <c r="D128" s="1" t="s">
        <v>16</v>
      </c>
      <c r="E128">
        <v>105.1</v>
      </c>
      <c r="F128">
        <v>105.1</v>
      </c>
      <c r="G128">
        <v>105.2</v>
      </c>
      <c r="H128" s="1" t="s">
        <v>192</v>
      </c>
    </row>
    <row r="129" spans="1:8" x14ac:dyDescent="0.3">
      <c r="A129">
        <v>2013</v>
      </c>
      <c r="B129" t="s">
        <v>31</v>
      </c>
      <c r="C129" t="s">
        <v>58</v>
      </c>
      <c r="D129" s="1" t="s">
        <v>27</v>
      </c>
      <c r="E129">
        <v>104.7</v>
      </c>
      <c r="F129">
        <v>104.5</v>
      </c>
      <c r="G129">
        <v>104.3</v>
      </c>
      <c r="H129" s="1" t="s">
        <v>192</v>
      </c>
    </row>
    <row r="130" spans="1:8" x14ac:dyDescent="0.3">
      <c r="A130">
        <v>2013</v>
      </c>
      <c r="B130" t="s">
        <v>31</v>
      </c>
      <c r="C130" t="s">
        <v>58</v>
      </c>
      <c r="D130" s="1" t="s">
        <v>14</v>
      </c>
      <c r="E130">
        <v>106.7</v>
      </c>
      <c r="F130">
        <v>107.3</v>
      </c>
      <c r="G130">
        <v>107.9</v>
      </c>
      <c r="H130" s="1" t="s">
        <v>188</v>
      </c>
    </row>
    <row r="131" spans="1:8" x14ac:dyDescent="0.3">
      <c r="A131">
        <v>2013</v>
      </c>
      <c r="B131" t="s">
        <v>31</v>
      </c>
      <c r="C131" t="s">
        <v>58</v>
      </c>
      <c r="D131" s="1" t="s">
        <v>10</v>
      </c>
      <c r="E131">
        <v>106.1</v>
      </c>
      <c r="F131">
        <v>106</v>
      </c>
      <c r="G131">
        <v>105.8</v>
      </c>
      <c r="H131" s="1" t="s">
        <v>188</v>
      </c>
    </row>
    <row r="132" spans="1:8" x14ac:dyDescent="0.3">
      <c r="A132">
        <v>2013</v>
      </c>
      <c r="B132" t="s">
        <v>31</v>
      </c>
      <c r="C132" t="s">
        <v>58</v>
      </c>
      <c r="D132" s="1" t="s">
        <v>25</v>
      </c>
      <c r="E132">
        <v>103.4</v>
      </c>
      <c r="F132">
        <v>103.1</v>
      </c>
      <c r="G132">
        <v>102.9</v>
      </c>
      <c r="H132" s="1" t="s">
        <v>195</v>
      </c>
    </row>
    <row r="133" spans="1:8" x14ac:dyDescent="0.3">
      <c r="A133">
        <v>2013</v>
      </c>
      <c r="B133" t="s">
        <v>31</v>
      </c>
      <c r="C133" t="s">
        <v>58</v>
      </c>
      <c r="D133" s="1" t="s">
        <v>12</v>
      </c>
      <c r="E133">
        <v>103.1</v>
      </c>
      <c r="F133">
        <v>102.7</v>
      </c>
      <c r="G133">
        <v>101.8</v>
      </c>
      <c r="H133" s="1" t="s">
        <v>188</v>
      </c>
    </row>
    <row r="134" spans="1:8" x14ac:dyDescent="0.3">
      <c r="A134">
        <v>2013</v>
      </c>
      <c r="B134" t="s">
        <v>31</v>
      </c>
      <c r="C134" t="s">
        <v>58</v>
      </c>
      <c r="D134" s="1" t="s">
        <v>11</v>
      </c>
      <c r="E134">
        <v>106.8</v>
      </c>
      <c r="F134">
        <v>106.2</v>
      </c>
      <c r="G134">
        <v>105.1</v>
      </c>
      <c r="H134" s="1" t="s">
        <v>188</v>
      </c>
    </row>
    <row r="135" spans="1:8" x14ac:dyDescent="0.3">
      <c r="A135">
        <v>2013</v>
      </c>
      <c r="B135" t="s">
        <v>31</v>
      </c>
      <c r="C135" t="s">
        <v>58</v>
      </c>
      <c r="D135" s="1" t="s">
        <v>24</v>
      </c>
      <c r="E135">
        <v>103.3</v>
      </c>
      <c r="F135">
        <v>103.2</v>
      </c>
      <c r="G135">
        <v>103.2</v>
      </c>
      <c r="H135" s="1" t="s">
        <v>191</v>
      </c>
    </row>
    <row r="136" spans="1:8" x14ac:dyDescent="0.3">
      <c r="A136">
        <v>2013</v>
      </c>
      <c r="B136" t="s">
        <v>31</v>
      </c>
      <c r="C136" t="s">
        <v>58</v>
      </c>
      <c r="D136" s="1" t="s">
        <v>9</v>
      </c>
      <c r="E136">
        <v>101.9</v>
      </c>
      <c r="F136">
        <v>102.2</v>
      </c>
      <c r="G136">
        <v>102.9</v>
      </c>
      <c r="H136" s="1" t="s">
        <v>188</v>
      </c>
    </row>
    <row r="137" spans="1:8" x14ac:dyDescent="0.3">
      <c r="A137">
        <v>2013</v>
      </c>
      <c r="B137" t="s">
        <v>40</v>
      </c>
      <c r="C137" t="s">
        <v>59</v>
      </c>
      <c r="D137" s="1" t="s">
        <v>3</v>
      </c>
      <c r="E137">
        <v>113.4</v>
      </c>
      <c r="F137">
        <v>114.8</v>
      </c>
      <c r="G137">
        <v>117.8</v>
      </c>
      <c r="H137" s="1" t="s">
        <v>188</v>
      </c>
    </row>
    <row r="138" spans="1:8" x14ac:dyDescent="0.3">
      <c r="A138">
        <v>2013</v>
      </c>
      <c r="B138" t="s">
        <v>40</v>
      </c>
      <c r="C138" t="s">
        <v>59</v>
      </c>
      <c r="D138" s="1" t="s">
        <v>17</v>
      </c>
      <c r="E138">
        <v>110.5</v>
      </c>
      <c r="F138">
        <v>110.2</v>
      </c>
      <c r="G138">
        <v>109.8</v>
      </c>
      <c r="H138" s="1" t="s">
        <v>189</v>
      </c>
    </row>
    <row r="139" spans="1:8" x14ac:dyDescent="0.3">
      <c r="A139">
        <v>2013</v>
      </c>
      <c r="B139" t="s">
        <v>40</v>
      </c>
      <c r="C139" t="s">
        <v>59</v>
      </c>
      <c r="D139" s="1" t="s">
        <v>19</v>
      </c>
      <c r="E139">
        <v>110.3</v>
      </c>
      <c r="F139">
        <v>110</v>
      </c>
      <c r="G139">
        <v>109.5</v>
      </c>
      <c r="H139" s="1" t="s">
        <v>189</v>
      </c>
    </row>
    <row r="140" spans="1:8" x14ac:dyDescent="0.3">
      <c r="A140">
        <v>2013</v>
      </c>
      <c r="B140" t="s">
        <v>40</v>
      </c>
      <c r="C140" t="s">
        <v>59</v>
      </c>
      <c r="D140" s="1" t="s">
        <v>26</v>
      </c>
      <c r="E140">
        <v>107.8</v>
      </c>
      <c r="F140">
        <v>109.1</v>
      </c>
      <c r="G140">
        <v>110.1</v>
      </c>
      <c r="H140" s="1" t="s">
        <v>26</v>
      </c>
    </row>
    <row r="141" spans="1:8" x14ac:dyDescent="0.3">
      <c r="A141">
        <v>2013</v>
      </c>
      <c r="B141" t="s">
        <v>40</v>
      </c>
      <c r="C141" t="s">
        <v>59</v>
      </c>
      <c r="D141" s="1" t="s">
        <v>5</v>
      </c>
      <c r="E141">
        <v>110.5</v>
      </c>
      <c r="F141">
        <v>111.9</v>
      </c>
      <c r="G141">
        <v>114</v>
      </c>
      <c r="H141" s="1" t="s">
        <v>188</v>
      </c>
    </row>
    <row r="142" spans="1:8" x14ac:dyDescent="0.3">
      <c r="A142">
        <v>2013</v>
      </c>
      <c r="B142" t="s">
        <v>40</v>
      </c>
      <c r="C142" t="s">
        <v>59</v>
      </c>
      <c r="D142" s="1" t="s">
        <v>15</v>
      </c>
      <c r="E142">
        <v>113.1</v>
      </c>
      <c r="F142">
        <v>114.7</v>
      </c>
      <c r="G142">
        <v>117.5</v>
      </c>
      <c r="H142" s="1" t="s">
        <v>188</v>
      </c>
    </row>
    <row r="143" spans="1:8" x14ac:dyDescent="0.3">
      <c r="A143">
        <v>2013</v>
      </c>
      <c r="B143" t="s">
        <v>40</v>
      </c>
      <c r="C143" t="s">
        <v>59</v>
      </c>
      <c r="D143" s="1" t="s">
        <v>18</v>
      </c>
      <c r="E143">
        <v>109.5</v>
      </c>
      <c r="F143">
        <v>108.8</v>
      </c>
      <c r="G143">
        <v>107.8</v>
      </c>
      <c r="H143" s="1" t="s">
        <v>189</v>
      </c>
    </row>
    <row r="144" spans="1:8" x14ac:dyDescent="0.3">
      <c r="A144">
        <v>2013</v>
      </c>
      <c r="B144" t="s">
        <v>40</v>
      </c>
      <c r="C144" t="s">
        <v>59</v>
      </c>
      <c r="D144" s="1" t="s">
        <v>8</v>
      </c>
      <c r="E144">
        <v>110.3</v>
      </c>
      <c r="F144">
        <v>111.7</v>
      </c>
      <c r="G144">
        <v>113.2</v>
      </c>
      <c r="H144" s="1" t="s">
        <v>188</v>
      </c>
    </row>
    <row r="145" spans="1:8" x14ac:dyDescent="0.3">
      <c r="A145">
        <v>2013</v>
      </c>
      <c r="B145" t="s">
        <v>40</v>
      </c>
      <c r="C145" t="s">
        <v>59</v>
      </c>
      <c r="D145" s="1" t="s">
        <v>21</v>
      </c>
      <c r="E145">
        <v>109.5</v>
      </c>
      <c r="F145">
        <v>109.2</v>
      </c>
      <c r="G145">
        <v>108.6</v>
      </c>
      <c r="H145" s="1" t="s">
        <v>190</v>
      </c>
    </row>
    <row r="146" spans="1:8" x14ac:dyDescent="0.3">
      <c r="A146">
        <v>2013</v>
      </c>
      <c r="B146" t="s">
        <v>40</v>
      </c>
      <c r="C146" t="s">
        <v>59</v>
      </c>
      <c r="D146" s="1" t="s">
        <v>29</v>
      </c>
      <c r="E146">
        <v>110.7</v>
      </c>
      <c r="F146">
        <v>111</v>
      </c>
      <c r="G146">
        <v>111.4</v>
      </c>
      <c r="H146" s="1" t="s">
        <v>206</v>
      </c>
    </row>
    <row r="147" spans="1:8" x14ac:dyDescent="0.3">
      <c r="A147">
        <v>2013</v>
      </c>
      <c r="B147" t="s">
        <v>40</v>
      </c>
      <c r="C147" t="s">
        <v>59</v>
      </c>
      <c r="D147" s="1" t="s">
        <v>23</v>
      </c>
      <c r="E147">
        <v>106.9</v>
      </c>
      <c r="F147">
        <v>107</v>
      </c>
      <c r="G147">
        <v>107.1</v>
      </c>
      <c r="H147" s="1" t="s">
        <v>23</v>
      </c>
    </row>
    <row r="148" spans="1:8" x14ac:dyDescent="0.3">
      <c r="A148">
        <v>2013</v>
      </c>
      <c r="B148" t="s">
        <v>40</v>
      </c>
      <c r="C148" t="s">
        <v>59</v>
      </c>
      <c r="D148" s="1" t="s">
        <v>22</v>
      </c>
      <c r="E148">
        <v>108.3</v>
      </c>
      <c r="F148">
        <v>108.2</v>
      </c>
      <c r="G148">
        <v>108.1</v>
      </c>
      <c r="H148" s="1" t="s">
        <v>20</v>
      </c>
    </row>
    <row r="149" spans="1:8" x14ac:dyDescent="0.3">
      <c r="A149">
        <v>2013</v>
      </c>
      <c r="B149" t="s">
        <v>40</v>
      </c>
      <c r="C149" t="s">
        <v>59</v>
      </c>
      <c r="D149" s="1" t="s">
        <v>20</v>
      </c>
      <c r="E149">
        <v>0</v>
      </c>
      <c r="F149">
        <v>107.7</v>
      </c>
      <c r="G149">
        <v>107.7</v>
      </c>
      <c r="H149" s="1" t="s">
        <v>20</v>
      </c>
    </row>
    <row r="150" spans="1:8" x14ac:dyDescent="0.3">
      <c r="A150">
        <v>2013</v>
      </c>
      <c r="B150" t="s">
        <v>40</v>
      </c>
      <c r="C150" t="s">
        <v>59</v>
      </c>
      <c r="D150" s="1" t="s">
        <v>4</v>
      </c>
      <c r="E150">
        <v>114.9</v>
      </c>
      <c r="F150">
        <v>116.4</v>
      </c>
      <c r="G150">
        <v>119.2</v>
      </c>
      <c r="H150" s="1" t="s">
        <v>188</v>
      </c>
    </row>
    <row r="151" spans="1:8" x14ac:dyDescent="0.3">
      <c r="A151">
        <v>2013</v>
      </c>
      <c r="B151" t="s">
        <v>40</v>
      </c>
      <c r="C151" t="s">
        <v>59</v>
      </c>
      <c r="D151" s="1" t="s">
        <v>6</v>
      </c>
      <c r="E151">
        <v>109.3</v>
      </c>
      <c r="F151">
        <v>108.9</v>
      </c>
      <c r="G151">
        <v>108.3</v>
      </c>
      <c r="H151" s="1" t="s">
        <v>188</v>
      </c>
    </row>
    <row r="152" spans="1:8" x14ac:dyDescent="0.3">
      <c r="A152">
        <v>2013</v>
      </c>
      <c r="B152" t="s">
        <v>40</v>
      </c>
      <c r="C152" t="s">
        <v>59</v>
      </c>
      <c r="D152" s="1" t="s">
        <v>28</v>
      </c>
      <c r="E152">
        <v>106.5</v>
      </c>
      <c r="F152">
        <v>106.9</v>
      </c>
      <c r="G152">
        <v>107.3</v>
      </c>
      <c r="H152" s="1" t="s">
        <v>192</v>
      </c>
    </row>
    <row r="153" spans="1:8" x14ac:dyDescent="0.3">
      <c r="A153">
        <v>2013</v>
      </c>
      <c r="B153" t="s">
        <v>40</v>
      </c>
      <c r="C153" t="s">
        <v>59</v>
      </c>
      <c r="D153" s="1" t="s">
        <v>13</v>
      </c>
      <c r="E153">
        <v>109.1</v>
      </c>
      <c r="F153">
        <v>109.6</v>
      </c>
      <c r="G153">
        <v>110.4</v>
      </c>
      <c r="H153" s="1" t="s">
        <v>188</v>
      </c>
    </row>
    <row r="154" spans="1:8" x14ac:dyDescent="0.3">
      <c r="A154">
        <v>2013</v>
      </c>
      <c r="B154" t="s">
        <v>40</v>
      </c>
      <c r="C154" t="s">
        <v>59</v>
      </c>
      <c r="D154" s="1" t="s">
        <v>7</v>
      </c>
      <c r="E154">
        <v>106.2</v>
      </c>
      <c r="F154">
        <v>104.3</v>
      </c>
      <c r="G154">
        <v>101.1</v>
      </c>
      <c r="H154" s="1" t="s">
        <v>188</v>
      </c>
    </row>
    <row r="155" spans="1:8" x14ac:dyDescent="0.3">
      <c r="A155">
        <v>2013</v>
      </c>
      <c r="B155" t="s">
        <v>40</v>
      </c>
      <c r="C155" t="s">
        <v>59</v>
      </c>
      <c r="D155" s="1" t="s">
        <v>16</v>
      </c>
      <c r="E155">
        <v>109.8</v>
      </c>
      <c r="F155">
        <v>110.3</v>
      </c>
      <c r="G155">
        <v>111.7</v>
      </c>
      <c r="H155" s="1" t="s">
        <v>192</v>
      </c>
    </row>
    <row r="156" spans="1:8" x14ac:dyDescent="0.3">
      <c r="A156">
        <v>2013</v>
      </c>
      <c r="B156" t="s">
        <v>40</v>
      </c>
      <c r="C156" t="s">
        <v>59</v>
      </c>
      <c r="D156" s="1" t="s">
        <v>27</v>
      </c>
      <c r="E156">
        <v>102.5</v>
      </c>
      <c r="F156">
        <v>102.8</v>
      </c>
      <c r="G156">
        <v>103.2</v>
      </c>
      <c r="H156" s="1" t="s">
        <v>192</v>
      </c>
    </row>
    <row r="157" spans="1:8" x14ac:dyDescent="0.3">
      <c r="A157">
        <v>2013</v>
      </c>
      <c r="B157" t="s">
        <v>40</v>
      </c>
      <c r="C157" t="s">
        <v>59</v>
      </c>
      <c r="D157" s="1" t="s">
        <v>14</v>
      </c>
      <c r="E157">
        <v>112.1</v>
      </c>
      <c r="F157">
        <v>112.6</v>
      </c>
      <c r="G157">
        <v>113.1</v>
      </c>
      <c r="H157" s="1" t="s">
        <v>188</v>
      </c>
    </row>
    <row r="158" spans="1:8" x14ac:dyDescent="0.3">
      <c r="A158">
        <v>2013</v>
      </c>
      <c r="B158" t="s">
        <v>40</v>
      </c>
      <c r="C158" t="s">
        <v>59</v>
      </c>
      <c r="D158" s="1" t="s">
        <v>10</v>
      </c>
      <c r="E158">
        <v>107.1</v>
      </c>
      <c r="F158">
        <v>106.4</v>
      </c>
      <c r="G158">
        <v>105.1</v>
      </c>
      <c r="H158" s="1" t="s">
        <v>188</v>
      </c>
    </row>
    <row r="159" spans="1:8" x14ac:dyDescent="0.3">
      <c r="A159">
        <v>2013</v>
      </c>
      <c r="B159" t="s">
        <v>40</v>
      </c>
      <c r="C159" t="s">
        <v>59</v>
      </c>
      <c r="D159" s="1" t="s">
        <v>25</v>
      </c>
      <c r="E159">
        <v>106.4</v>
      </c>
      <c r="F159">
        <v>106.1</v>
      </c>
      <c r="G159">
        <v>105.9</v>
      </c>
      <c r="H159" s="1" t="s">
        <v>195</v>
      </c>
    </row>
    <row r="160" spans="1:8" x14ac:dyDescent="0.3">
      <c r="A160">
        <v>2013</v>
      </c>
      <c r="B160" t="s">
        <v>40</v>
      </c>
      <c r="C160" t="s">
        <v>59</v>
      </c>
      <c r="D160" s="1" t="s">
        <v>12</v>
      </c>
      <c r="E160">
        <v>106.4</v>
      </c>
      <c r="F160">
        <v>106.8</v>
      </c>
      <c r="G160">
        <v>107.5</v>
      </c>
      <c r="H160" s="1" t="s">
        <v>188</v>
      </c>
    </row>
    <row r="161" spans="1:8" x14ac:dyDescent="0.3">
      <c r="A161">
        <v>2013</v>
      </c>
      <c r="B161" t="s">
        <v>40</v>
      </c>
      <c r="C161" t="s">
        <v>59</v>
      </c>
      <c r="D161" s="1" t="s">
        <v>11</v>
      </c>
      <c r="E161">
        <v>104.3</v>
      </c>
      <c r="F161">
        <v>103.3</v>
      </c>
      <c r="G161">
        <v>101.3</v>
      </c>
      <c r="H161" s="1" t="s">
        <v>188</v>
      </c>
    </row>
    <row r="162" spans="1:8" x14ac:dyDescent="0.3">
      <c r="A162">
        <v>2013</v>
      </c>
      <c r="B162" t="s">
        <v>40</v>
      </c>
      <c r="C162" t="s">
        <v>59</v>
      </c>
      <c r="D162" s="1" t="s">
        <v>24</v>
      </c>
      <c r="E162">
        <v>106.8</v>
      </c>
      <c r="F162">
        <v>107.1</v>
      </c>
      <c r="G162">
        <v>107.3</v>
      </c>
      <c r="H162" s="1" t="s">
        <v>191</v>
      </c>
    </row>
    <row r="163" spans="1:8" x14ac:dyDescent="0.3">
      <c r="A163">
        <v>2013</v>
      </c>
      <c r="B163" t="s">
        <v>40</v>
      </c>
      <c r="C163" t="s">
        <v>59</v>
      </c>
      <c r="D163" s="1" t="s">
        <v>9</v>
      </c>
      <c r="E163">
        <v>129.19999999999999</v>
      </c>
      <c r="F163">
        <v>140</v>
      </c>
      <c r="G163">
        <v>160.9</v>
      </c>
      <c r="H163" s="1" t="s">
        <v>188</v>
      </c>
    </row>
    <row r="164" spans="1:8" x14ac:dyDescent="0.3">
      <c r="A164">
        <v>2013</v>
      </c>
      <c r="B164" t="s">
        <v>39</v>
      </c>
      <c r="C164" t="s">
        <v>60</v>
      </c>
      <c r="D164" s="1" t="s">
        <v>3</v>
      </c>
      <c r="E164">
        <v>112.3</v>
      </c>
      <c r="F164">
        <v>113.8</v>
      </c>
      <c r="G164">
        <v>117</v>
      </c>
      <c r="H164" s="1" t="s">
        <v>188</v>
      </c>
    </row>
    <row r="165" spans="1:8" x14ac:dyDescent="0.3">
      <c r="A165">
        <v>2013</v>
      </c>
      <c r="B165" t="s">
        <v>39</v>
      </c>
      <c r="C165" t="s">
        <v>60</v>
      </c>
      <c r="D165" s="1" t="s">
        <v>17</v>
      </c>
      <c r="E165">
        <v>109.7</v>
      </c>
      <c r="F165">
        <v>109.5</v>
      </c>
      <c r="G165">
        <v>109.2</v>
      </c>
      <c r="H165" s="1" t="s">
        <v>189</v>
      </c>
    </row>
    <row r="166" spans="1:8" x14ac:dyDescent="0.3">
      <c r="A166">
        <v>2013</v>
      </c>
      <c r="B166" t="s">
        <v>39</v>
      </c>
      <c r="C166" t="s">
        <v>60</v>
      </c>
      <c r="D166" s="1" t="s">
        <v>19</v>
      </c>
      <c r="E166">
        <v>109.5</v>
      </c>
      <c r="F166">
        <v>109.3</v>
      </c>
      <c r="G166">
        <v>108.9</v>
      </c>
      <c r="H166" s="1" t="s">
        <v>189</v>
      </c>
    </row>
    <row r="167" spans="1:8" x14ac:dyDescent="0.3">
      <c r="A167">
        <v>2013</v>
      </c>
      <c r="B167" t="s">
        <v>39</v>
      </c>
      <c r="C167" t="s">
        <v>60</v>
      </c>
      <c r="D167" s="1" t="s">
        <v>26</v>
      </c>
      <c r="E167">
        <v>106.5</v>
      </c>
      <c r="F167">
        <v>107.4</v>
      </c>
      <c r="G167">
        <v>108.1</v>
      </c>
      <c r="H167" s="1" t="s">
        <v>26</v>
      </c>
    </row>
    <row r="168" spans="1:8" x14ac:dyDescent="0.3">
      <c r="A168">
        <v>2013</v>
      </c>
      <c r="B168" t="s">
        <v>39</v>
      </c>
      <c r="C168" t="s">
        <v>60</v>
      </c>
      <c r="D168" s="1" t="s">
        <v>5</v>
      </c>
      <c r="E168">
        <v>108.1</v>
      </c>
      <c r="F168">
        <v>109.8</v>
      </c>
      <c r="G168">
        <v>112.5</v>
      </c>
      <c r="H168" s="1" t="s">
        <v>188</v>
      </c>
    </row>
    <row r="169" spans="1:8" x14ac:dyDescent="0.3">
      <c r="A169">
        <v>2013</v>
      </c>
      <c r="B169" t="s">
        <v>39</v>
      </c>
      <c r="C169" t="s">
        <v>60</v>
      </c>
      <c r="D169" s="1" t="s">
        <v>15</v>
      </c>
      <c r="E169">
        <v>110.6</v>
      </c>
      <c r="F169">
        <v>112.2</v>
      </c>
      <c r="G169">
        <v>115</v>
      </c>
      <c r="H169" s="1" t="s">
        <v>188</v>
      </c>
    </row>
    <row r="170" spans="1:8" x14ac:dyDescent="0.3">
      <c r="A170">
        <v>2013</v>
      </c>
      <c r="B170" t="s">
        <v>39</v>
      </c>
      <c r="C170" t="s">
        <v>60</v>
      </c>
      <c r="D170" s="1" t="s">
        <v>18</v>
      </c>
      <c r="E170">
        <v>108.8</v>
      </c>
      <c r="F170">
        <v>108.1</v>
      </c>
      <c r="G170">
        <v>107.2</v>
      </c>
      <c r="H170" s="1" t="s">
        <v>189</v>
      </c>
    </row>
    <row r="171" spans="1:8" x14ac:dyDescent="0.3">
      <c r="A171">
        <v>2013</v>
      </c>
      <c r="B171" t="s">
        <v>39</v>
      </c>
      <c r="C171" t="s">
        <v>60</v>
      </c>
      <c r="D171" s="1" t="s">
        <v>8</v>
      </c>
      <c r="E171">
        <v>109.2</v>
      </c>
      <c r="F171">
        <v>110.7</v>
      </c>
      <c r="G171">
        <v>112.4</v>
      </c>
      <c r="H171" s="1" t="s">
        <v>188</v>
      </c>
    </row>
    <row r="172" spans="1:8" x14ac:dyDescent="0.3">
      <c r="A172">
        <v>2013</v>
      </c>
      <c r="B172" t="s">
        <v>39</v>
      </c>
      <c r="C172" t="s">
        <v>60</v>
      </c>
      <c r="D172" s="1" t="s">
        <v>21</v>
      </c>
      <c r="E172">
        <v>108.5</v>
      </c>
      <c r="F172">
        <v>108.3</v>
      </c>
      <c r="G172">
        <v>108</v>
      </c>
      <c r="H172" s="1" t="s">
        <v>190</v>
      </c>
    </row>
    <row r="173" spans="1:8" x14ac:dyDescent="0.3">
      <c r="A173">
        <v>2013</v>
      </c>
      <c r="B173" t="s">
        <v>39</v>
      </c>
      <c r="C173" t="s">
        <v>60</v>
      </c>
      <c r="D173" s="1" t="s">
        <v>29</v>
      </c>
      <c r="E173">
        <v>108.9</v>
      </c>
      <c r="F173">
        <v>109.3</v>
      </c>
      <c r="G173">
        <v>109.7</v>
      </c>
      <c r="H173" s="1" t="s">
        <v>206</v>
      </c>
    </row>
    <row r="174" spans="1:8" x14ac:dyDescent="0.3">
      <c r="A174">
        <v>2013</v>
      </c>
      <c r="B174" t="s">
        <v>39</v>
      </c>
      <c r="C174" t="s">
        <v>60</v>
      </c>
      <c r="D174" s="1" t="s">
        <v>23</v>
      </c>
      <c r="E174">
        <v>106.3</v>
      </c>
      <c r="F174">
        <v>106.4</v>
      </c>
      <c r="G174">
        <v>106.5</v>
      </c>
      <c r="H174" s="1" t="s">
        <v>23</v>
      </c>
    </row>
    <row r="175" spans="1:8" x14ac:dyDescent="0.3">
      <c r="A175">
        <v>2013</v>
      </c>
      <c r="B175" t="s">
        <v>39</v>
      </c>
      <c r="C175" t="s">
        <v>60</v>
      </c>
      <c r="D175" s="1" t="s">
        <v>22</v>
      </c>
      <c r="E175">
        <v>107.5</v>
      </c>
      <c r="F175">
        <v>107.6</v>
      </c>
      <c r="G175">
        <v>107.7</v>
      </c>
      <c r="H175" s="1" t="s">
        <v>20</v>
      </c>
    </row>
    <row r="176" spans="1:8" x14ac:dyDescent="0.3">
      <c r="A176">
        <v>2013</v>
      </c>
      <c r="B176" t="s">
        <v>39</v>
      </c>
      <c r="C176" t="s">
        <v>60</v>
      </c>
      <c r="D176" s="1" t="s">
        <v>20</v>
      </c>
      <c r="E176">
        <v>0</v>
      </c>
      <c r="F176">
        <v>106.6</v>
      </c>
      <c r="G176">
        <v>106.6</v>
      </c>
      <c r="H176" s="1" t="s">
        <v>20</v>
      </c>
    </row>
    <row r="177" spans="1:8" x14ac:dyDescent="0.3">
      <c r="A177">
        <v>2013</v>
      </c>
      <c r="B177" t="s">
        <v>39</v>
      </c>
      <c r="C177" t="s">
        <v>60</v>
      </c>
      <c r="D177" s="1" t="s">
        <v>4</v>
      </c>
      <c r="E177">
        <v>112.1</v>
      </c>
      <c r="F177">
        <v>114.9</v>
      </c>
      <c r="G177">
        <v>120.1</v>
      </c>
      <c r="H177" s="1" t="s">
        <v>188</v>
      </c>
    </row>
    <row r="178" spans="1:8" x14ac:dyDescent="0.3">
      <c r="A178">
        <v>2013</v>
      </c>
      <c r="B178" t="s">
        <v>39</v>
      </c>
      <c r="C178" t="s">
        <v>60</v>
      </c>
      <c r="D178" s="1" t="s">
        <v>6</v>
      </c>
      <c r="E178">
        <v>108.3</v>
      </c>
      <c r="F178">
        <v>107.9</v>
      </c>
      <c r="G178">
        <v>107.3</v>
      </c>
      <c r="H178" s="1" t="s">
        <v>188</v>
      </c>
    </row>
    <row r="179" spans="1:8" x14ac:dyDescent="0.3">
      <c r="A179">
        <v>2013</v>
      </c>
      <c r="B179" t="s">
        <v>39</v>
      </c>
      <c r="C179" t="s">
        <v>60</v>
      </c>
      <c r="D179" s="1" t="s">
        <v>28</v>
      </c>
      <c r="E179">
        <v>105.5</v>
      </c>
      <c r="F179">
        <v>105.8</v>
      </c>
      <c r="G179">
        <v>106.1</v>
      </c>
      <c r="H179" s="1" t="s">
        <v>192</v>
      </c>
    </row>
    <row r="180" spans="1:8" x14ac:dyDescent="0.3">
      <c r="A180">
        <v>2013</v>
      </c>
      <c r="B180" t="s">
        <v>39</v>
      </c>
      <c r="C180" t="s">
        <v>60</v>
      </c>
      <c r="D180" s="1" t="s">
        <v>13</v>
      </c>
      <c r="E180">
        <v>108.2</v>
      </c>
      <c r="F180">
        <v>109</v>
      </c>
      <c r="G180">
        <v>110</v>
      </c>
      <c r="H180" s="1" t="s">
        <v>188</v>
      </c>
    </row>
    <row r="181" spans="1:8" x14ac:dyDescent="0.3">
      <c r="A181">
        <v>2013</v>
      </c>
      <c r="B181" t="s">
        <v>39</v>
      </c>
      <c r="C181" t="s">
        <v>60</v>
      </c>
      <c r="D181" s="1" t="s">
        <v>7</v>
      </c>
      <c r="E181">
        <v>105.9</v>
      </c>
      <c r="F181">
        <v>104.2</v>
      </c>
      <c r="G181">
        <v>101.3</v>
      </c>
      <c r="H181" s="1" t="s">
        <v>188</v>
      </c>
    </row>
    <row r="182" spans="1:8" x14ac:dyDescent="0.3">
      <c r="A182">
        <v>2013</v>
      </c>
      <c r="B182" t="s">
        <v>39</v>
      </c>
      <c r="C182" t="s">
        <v>60</v>
      </c>
      <c r="D182" s="1" t="s">
        <v>16</v>
      </c>
      <c r="E182">
        <v>109</v>
      </c>
      <c r="F182">
        <v>109.5</v>
      </c>
      <c r="G182">
        <v>110.9</v>
      </c>
      <c r="H182" s="1" t="s">
        <v>192</v>
      </c>
    </row>
    <row r="183" spans="1:8" x14ac:dyDescent="0.3">
      <c r="A183">
        <v>2013</v>
      </c>
      <c r="B183" t="s">
        <v>39</v>
      </c>
      <c r="C183" t="s">
        <v>60</v>
      </c>
      <c r="D183" s="1" t="s">
        <v>27</v>
      </c>
      <c r="E183">
        <v>102.5</v>
      </c>
      <c r="F183">
        <v>102.8</v>
      </c>
      <c r="G183">
        <v>103.3</v>
      </c>
      <c r="H183" s="1" t="s">
        <v>192</v>
      </c>
    </row>
    <row r="184" spans="1:8" x14ac:dyDescent="0.3">
      <c r="A184">
        <v>2013</v>
      </c>
      <c r="B184" t="s">
        <v>39</v>
      </c>
      <c r="C184" t="s">
        <v>60</v>
      </c>
      <c r="D184" s="1" t="s">
        <v>14</v>
      </c>
      <c r="E184">
        <v>111</v>
      </c>
      <c r="F184">
        <v>111.6</v>
      </c>
      <c r="G184">
        <v>112.2</v>
      </c>
      <c r="H184" s="1" t="s">
        <v>188</v>
      </c>
    </row>
    <row r="185" spans="1:8" x14ac:dyDescent="0.3">
      <c r="A185">
        <v>2013</v>
      </c>
      <c r="B185" t="s">
        <v>39</v>
      </c>
      <c r="C185" t="s">
        <v>60</v>
      </c>
      <c r="D185" s="1" t="s">
        <v>10</v>
      </c>
      <c r="E185">
        <v>106.8</v>
      </c>
      <c r="F185">
        <v>106.3</v>
      </c>
      <c r="G185">
        <v>105.4</v>
      </c>
      <c r="H185" s="1" t="s">
        <v>188</v>
      </c>
    </row>
    <row r="186" spans="1:8" x14ac:dyDescent="0.3">
      <c r="A186">
        <v>2013</v>
      </c>
      <c r="B186" t="s">
        <v>39</v>
      </c>
      <c r="C186" t="s">
        <v>60</v>
      </c>
      <c r="D186" s="1" t="s">
        <v>25</v>
      </c>
      <c r="E186">
        <v>105.6</v>
      </c>
      <c r="F186">
        <v>105.4</v>
      </c>
      <c r="G186">
        <v>105.2</v>
      </c>
      <c r="H186" s="1" t="s">
        <v>195</v>
      </c>
    </row>
    <row r="187" spans="1:8" x14ac:dyDescent="0.3">
      <c r="A187">
        <v>2013</v>
      </c>
      <c r="B187" t="s">
        <v>39</v>
      </c>
      <c r="C187" t="s">
        <v>60</v>
      </c>
      <c r="D187" s="1" t="s">
        <v>12</v>
      </c>
      <c r="E187">
        <v>105.4</v>
      </c>
      <c r="F187">
        <v>105.7</v>
      </c>
      <c r="G187">
        <v>106.4</v>
      </c>
      <c r="H187" s="1" t="s">
        <v>188</v>
      </c>
    </row>
    <row r="188" spans="1:8" x14ac:dyDescent="0.3">
      <c r="A188">
        <v>2013</v>
      </c>
      <c r="B188" t="s">
        <v>39</v>
      </c>
      <c r="C188" t="s">
        <v>60</v>
      </c>
      <c r="D188" s="1" t="s">
        <v>11</v>
      </c>
      <c r="E188">
        <v>104.1</v>
      </c>
      <c r="F188">
        <v>103.2</v>
      </c>
      <c r="G188">
        <v>101.4</v>
      </c>
      <c r="H188" s="1" t="s">
        <v>188</v>
      </c>
    </row>
    <row r="189" spans="1:8" x14ac:dyDescent="0.3">
      <c r="A189">
        <v>2013</v>
      </c>
      <c r="B189" t="s">
        <v>39</v>
      </c>
      <c r="C189" t="s">
        <v>60</v>
      </c>
      <c r="D189" s="1" t="s">
        <v>24</v>
      </c>
      <c r="E189">
        <v>105</v>
      </c>
      <c r="F189">
        <v>105.1</v>
      </c>
      <c r="G189">
        <v>105.2</v>
      </c>
      <c r="H189" s="1" t="s">
        <v>191</v>
      </c>
    </row>
    <row r="190" spans="1:8" x14ac:dyDescent="0.3">
      <c r="A190">
        <v>2013</v>
      </c>
      <c r="B190" t="s">
        <v>39</v>
      </c>
      <c r="C190" t="s">
        <v>60</v>
      </c>
      <c r="D190" s="1" t="s">
        <v>9</v>
      </c>
      <c r="E190">
        <v>118</v>
      </c>
      <c r="F190">
        <v>126.7</v>
      </c>
      <c r="G190">
        <v>143.6</v>
      </c>
      <c r="H190" s="1" t="s">
        <v>188</v>
      </c>
    </row>
    <row r="191" spans="1:8" x14ac:dyDescent="0.3">
      <c r="A191">
        <v>2013</v>
      </c>
      <c r="B191" t="s">
        <v>36</v>
      </c>
      <c r="C191" t="s">
        <v>61</v>
      </c>
      <c r="D191" s="1" t="s">
        <v>3</v>
      </c>
      <c r="E191">
        <v>110.2</v>
      </c>
      <c r="F191">
        <v>111.4</v>
      </c>
      <c r="G191">
        <v>113.9</v>
      </c>
      <c r="H191" s="1" t="s">
        <v>188</v>
      </c>
    </row>
    <row r="192" spans="1:8" x14ac:dyDescent="0.3">
      <c r="A192">
        <v>2013</v>
      </c>
      <c r="B192" t="s">
        <v>36</v>
      </c>
      <c r="C192" t="s">
        <v>61</v>
      </c>
      <c r="D192" s="1" t="s">
        <v>17</v>
      </c>
      <c r="E192">
        <v>107.6</v>
      </c>
      <c r="F192">
        <v>107.4</v>
      </c>
      <c r="G192">
        <v>107.2</v>
      </c>
      <c r="H192" s="1" t="s">
        <v>189</v>
      </c>
    </row>
    <row r="193" spans="1:8" x14ac:dyDescent="0.3">
      <c r="A193">
        <v>2013</v>
      </c>
      <c r="B193" t="s">
        <v>36</v>
      </c>
      <c r="C193" t="s">
        <v>61</v>
      </c>
      <c r="D193" s="1" t="s">
        <v>19</v>
      </c>
      <c r="E193">
        <v>107.5</v>
      </c>
      <c r="F193">
        <v>107.3</v>
      </c>
      <c r="G193">
        <v>107</v>
      </c>
      <c r="H193" s="1" t="s">
        <v>189</v>
      </c>
    </row>
    <row r="194" spans="1:8" x14ac:dyDescent="0.3">
      <c r="A194">
        <v>2013</v>
      </c>
      <c r="B194" t="s">
        <v>36</v>
      </c>
      <c r="C194" t="s">
        <v>61</v>
      </c>
      <c r="D194" s="1" t="s">
        <v>26</v>
      </c>
      <c r="E194">
        <v>104.3</v>
      </c>
      <c r="F194">
        <v>104</v>
      </c>
      <c r="G194">
        <v>103.8</v>
      </c>
      <c r="H194" s="1" t="s">
        <v>26</v>
      </c>
    </row>
    <row r="195" spans="1:8" x14ac:dyDescent="0.3">
      <c r="A195">
        <v>2013</v>
      </c>
      <c r="B195" t="s">
        <v>36</v>
      </c>
      <c r="C195" t="s">
        <v>61</v>
      </c>
      <c r="D195" s="1" t="s">
        <v>5</v>
      </c>
      <c r="E195">
        <v>109.9</v>
      </c>
      <c r="F195">
        <v>111.2</v>
      </c>
      <c r="G195">
        <v>113.2</v>
      </c>
      <c r="H195" s="1" t="s">
        <v>188</v>
      </c>
    </row>
    <row r="196" spans="1:8" x14ac:dyDescent="0.3">
      <c r="A196">
        <v>2013</v>
      </c>
      <c r="B196" t="s">
        <v>36</v>
      </c>
      <c r="C196" t="s">
        <v>61</v>
      </c>
      <c r="D196" s="1" t="s">
        <v>15</v>
      </c>
      <c r="E196">
        <v>106.6</v>
      </c>
      <c r="F196">
        <v>106.9</v>
      </c>
      <c r="G196">
        <v>107.3</v>
      </c>
      <c r="H196" s="1" t="s">
        <v>188</v>
      </c>
    </row>
    <row r="197" spans="1:8" x14ac:dyDescent="0.3">
      <c r="A197">
        <v>2013</v>
      </c>
      <c r="B197" t="s">
        <v>36</v>
      </c>
      <c r="C197" t="s">
        <v>61</v>
      </c>
      <c r="D197" s="1" t="s">
        <v>18</v>
      </c>
      <c r="E197">
        <v>106.8</v>
      </c>
      <c r="F197">
        <v>106.5</v>
      </c>
      <c r="G197">
        <v>106</v>
      </c>
      <c r="H197" s="1" t="s">
        <v>189</v>
      </c>
    </row>
    <row r="198" spans="1:8" x14ac:dyDescent="0.3">
      <c r="A198">
        <v>2013</v>
      </c>
      <c r="B198" t="s">
        <v>36</v>
      </c>
      <c r="C198" t="s">
        <v>61</v>
      </c>
      <c r="D198" s="1" t="s">
        <v>8</v>
      </c>
      <c r="E198">
        <v>105.7</v>
      </c>
      <c r="F198">
        <v>105.3</v>
      </c>
      <c r="G198">
        <v>104.9</v>
      </c>
      <c r="H198" s="1" t="s">
        <v>188</v>
      </c>
    </row>
    <row r="199" spans="1:8" x14ac:dyDescent="0.3">
      <c r="A199">
        <v>2013</v>
      </c>
      <c r="B199" t="s">
        <v>36</v>
      </c>
      <c r="C199" t="s">
        <v>61</v>
      </c>
      <c r="D199" s="1" t="s">
        <v>21</v>
      </c>
      <c r="E199">
        <v>106.1</v>
      </c>
      <c r="F199">
        <v>106.1</v>
      </c>
      <c r="G199">
        <v>106</v>
      </c>
      <c r="H199" s="1" t="s">
        <v>190</v>
      </c>
    </row>
    <row r="200" spans="1:8" x14ac:dyDescent="0.3">
      <c r="A200">
        <v>2013</v>
      </c>
      <c r="B200" t="s">
        <v>36</v>
      </c>
      <c r="C200" t="s">
        <v>61</v>
      </c>
      <c r="D200" s="1" t="s">
        <v>29</v>
      </c>
      <c r="E200">
        <v>106</v>
      </c>
      <c r="F200">
        <v>105.5</v>
      </c>
      <c r="G200">
        <v>105</v>
      </c>
      <c r="H200" s="1" t="s">
        <v>206</v>
      </c>
    </row>
    <row r="201" spans="1:8" x14ac:dyDescent="0.3">
      <c r="A201">
        <v>2013</v>
      </c>
      <c r="B201" t="s">
        <v>36</v>
      </c>
      <c r="C201" t="s">
        <v>61</v>
      </c>
      <c r="D201" s="1" t="s">
        <v>23</v>
      </c>
      <c r="E201">
        <v>104.7</v>
      </c>
      <c r="F201">
        <v>104.9</v>
      </c>
      <c r="G201">
        <v>105.2</v>
      </c>
      <c r="H201" s="1" t="s">
        <v>23</v>
      </c>
    </row>
    <row r="202" spans="1:8" x14ac:dyDescent="0.3">
      <c r="A202">
        <v>2013</v>
      </c>
      <c r="B202" t="s">
        <v>36</v>
      </c>
      <c r="C202" t="s">
        <v>61</v>
      </c>
      <c r="D202" s="1" t="s">
        <v>22</v>
      </c>
      <c r="E202">
        <v>105.6</v>
      </c>
      <c r="F202">
        <v>105.6</v>
      </c>
      <c r="G202">
        <v>105.7</v>
      </c>
      <c r="H202" s="1" t="s">
        <v>20</v>
      </c>
    </row>
    <row r="203" spans="1:8" x14ac:dyDescent="0.3">
      <c r="A203">
        <v>2013</v>
      </c>
      <c r="B203" t="s">
        <v>36</v>
      </c>
      <c r="C203" t="s">
        <v>61</v>
      </c>
      <c r="D203" s="1" t="s">
        <v>20</v>
      </c>
      <c r="E203">
        <v>0</v>
      </c>
      <c r="F203">
        <v>100.4</v>
      </c>
      <c r="G203">
        <v>100.4</v>
      </c>
      <c r="H203" s="1" t="s">
        <v>20</v>
      </c>
    </row>
    <row r="204" spans="1:8" x14ac:dyDescent="0.3">
      <c r="A204">
        <v>2013</v>
      </c>
      <c r="B204" t="s">
        <v>36</v>
      </c>
      <c r="C204" t="s">
        <v>61</v>
      </c>
      <c r="D204" s="1" t="s">
        <v>4</v>
      </c>
      <c r="E204">
        <v>108.8</v>
      </c>
      <c r="F204">
        <v>109.7</v>
      </c>
      <c r="G204">
        <v>111.4</v>
      </c>
      <c r="H204" s="1" t="s">
        <v>188</v>
      </c>
    </row>
    <row r="205" spans="1:8" x14ac:dyDescent="0.3">
      <c r="A205">
        <v>2013</v>
      </c>
      <c r="B205" t="s">
        <v>36</v>
      </c>
      <c r="C205" t="s">
        <v>61</v>
      </c>
      <c r="D205" s="1" t="s">
        <v>6</v>
      </c>
      <c r="E205">
        <v>105.6</v>
      </c>
      <c r="F205">
        <v>105.1</v>
      </c>
      <c r="G205">
        <v>104.3</v>
      </c>
      <c r="H205" s="1" t="s">
        <v>188</v>
      </c>
    </row>
    <row r="206" spans="1:8" x14ac:dyDescent="0.3">
      <c r="A206">
        <v>2013</v>
      </c>
      <c r="B206" t="s">
        <v>36</v>
      </c>
      <c r="C206" t="s">
        <v>61</v>
      </c>
      <c r="D206" s="1" t="s">
        <v>28</v>
      </c>
      <c r="E206">
        <v>104.6</v>
      </c>
      <c r="F206">
        <v>104.7</v>
      </c>
      <c r="G206">
        <v>104.9</v>
      </c>
      <c r="H206" s="1" t="s">
        <v>192</v>
      </c>
    </row>
    <row r="207" spans="1:8" x14ac:dyDescent="0.3">
      <c r="A207">
        <v>2013</v>
      </c>
      <c r="B207" t="s">
        <v>36</v>
      </c>
      <c r="C207" t="s">
        <v>61</v>
      </c>
      <c r="D207" s="1" t="s">
        <v>13</v>
      </c>
      <c r="E207">
        <v>105.6</v>
      </c>
      <c r="F207">
        <v>106.2</v>
      </c>
      <c r="G207">
        <v>107</v>
      </c>
      <c r="H207" s="1" t="s">
        <v>188</v>
      </c>
    </row>
    <row r="208" spans="1:8" x14ac:dyDescent="0.3">
      <c r="A208">
        <v>2013</v>
      </c>
      <c r="B208" t="s">
        <v>36</v>
      </c>
      <c r="C208" t="s">
        <v>61</v>
      </c>
      <c r="D208" s="1" t="s">
        <v>7</v>
      </c>
      <c r="E208">
        <v>106.2</v>
      </c>
      <c r="F208">
        <v>104.9</v>
      </c>
      <c r="G208">
        <v>102.7</v>
      </c>
      <c r="H208" s="1" t="s">
        <v>188</v>
      </c>
    </row>
    <row r="209" spans="1:8" x14ac:dyDescent="0.3">
      <c r="A209">
        <v>2013</v>
      </c>
      <c r="B209" t="s">
        <v>36</v>
      </c>
      <c r="C209" t="s">
        <v>61</v>
      </c>
      <c r="D209" s="1" t="s">
        <v>16</v>
      </c>
      <c r="E209">
        <v>106.5</v>
      </c>
      <c r="F209">
        <v>106.6</v>
      </c>
      <c r="G209">
        <v>106.8</v>
      </c>
      <c r="H209" s="1" t="s">
        <v>192</v>
      </c>
    </row>
    <row r="210" spans="1:8" x14ac:dyDescent="0.3">
      <c r="A210">
        <v>2013</v>
      </c>
      <c r="B210" t="s">
        <v>36</v>
      </c>
      <c r="C210" t="s">
        <v>61</v>
      </c>
      <c r="D210" s="1" t="s">
        <v>27</v>
      </c>
      <c r="E210">
        <v>104.3</v>
      </c>
      <c r="F210">
        <v>104.3</v>
      </c>
      <c r="G210">
        <v>104.2</v>
      </c>
      <c r="H210" s="1" t="s">
        <v>192</v>
      </c>
    </row>
    <row r="211" spans="1:8" x14ac:dyDescent="0.3">
      <c r="A211">
        <v>2013</v>
      </c>
      <c r="B211" t="s">
        <v>36</v>
      </c>
      <c r="C211" t="s">
        <v>61</v>
      </c>
      <c r="D211" s="1" t="s">
        <v>14</v>
      </c>
      <c r="E211">
        <v>108.2</v>
      </c>
      <c r="F211">
        <v>108.9</v>
      </c>
      <c r="G211">
        <v>109.8</v>
      </c>
      <c r="H211" s="1" t="s">
        <v>188</v>
      </c>
    </row>
    <row r="212" spans="1:8" x14ac:dyDescent="0.3">
      <c r="A212">
        <v>2013</v>
      </c>
      <c r="B212" t="s">
        <v>36</v>
      </c>
      <c r="C212" t="s">
        <v>61</v>
      </c>
      <c r="D212" s="1" t="s">
        <v>10</v>
      </c>
      <c r="E212">
        <v>105.7</v>
      </c>
      <c r="F212">
        <v>105</v>
      </c>
      <c r="G212">
        <v>103.5</v>
      </c>
      <c r="H212" s="1" t="s">
        <v>188</v>
      </c>
    </row>
    <row r="213" spans="1:8" x14ac:dyDescent="0.3">
      <c r="A213">
        <v>2013</v>
      </c>
      <c r="B213" t="s">
        <v>36</v>
      </c>
      <c r="C213" t="s">
        <v>61</v>
      </c>
      <c r="D213" s="1" t="s">
        <v>25</v>
      </c>
      <c r="E213">
        <v>104</v>
      </c>
      <c r="F213">
        <v>103.7</v>
      </c>
      <c r="G213">
        <v>103.5</v>
      </c>
      <c r="H213" s="1" t="s">
        <v>195</v>
      </c>
    </row>
    <row r="214" spans="1:8" x14ac:dyDescent="0.3">
      <c r="A214">
        <v>2013</v>
      </c>
      <c r="B214" t="s">
        <v>36</v>
      </c>
      <c r="C214" t="s">
        <v>61</v>
      </c>
      <c r="D214" s="1" t="s">
        <v>12</v>
      </c>
      <c r="E214">
        <v>103.3</v>
      </c>
      <c r="F214">
        <v>103</v>
      </c>
      <c r="G214">
        <v>102.4</v>
      </c>
      <c r="H214" s="1" t="s">
        <v>188</v>
      </c>
    </row>
    <row r="215" spans="1:8" x14ac:dyDescent="0.3">
      <c r="A215">
        <v>2013</v>
      </c>
      <c r="B215" t="s">
        <v>36</v>
      </c>
      <c r="C215" t="s">
        <v>61</v>
      </c>
      <c r="D215" s="1" t="s">
        <v>11</v>
      </c>
      <c r="E215">
        <v>105</v>
      </c>
      <c r="F215">
        <v>104.2</v>
      </c>
      <c r="G215">
        <v>102.6</v>
      </c>
      <c r="H215" s="1" t="s">
        <v>188</v>
      </c>
    </row>
    <row r="216" spans="1:8" x14ac:dyDescent="0.3">
      <c r="A216">
        <v>2013</v>
      </c>
      <c r="B216" t="s">
        <v>36</v>
      </c>
      <c r="C216" t="s">
        <v>61</v>
      </c>
      <c r="D216" s="1" t="s">
        <v>24</v>
      </c>
      <c r="E216">
        <v>104.6</v>
      </c>
      <c r="F216">
        <v>105.1</v>
      </c>
      <c r="G216">
        <v>105.5</v>
      </c>
      <c r="H216" s="1" t="s">
        <v>191</v>
      </c>
    </row>
    <row r="217" spans="1:8" x14ac:dyDescent="0.3">
      <c r="A217">
        <v>2013</v>
      </c>
      <c r="B217" t="s">
        <v>36</v>
      </c>
      <c r="C217" t="s">
        <v>61</v>
      </c>
      <c r="D217" s="1" t="s">
        <v>9</v>
      </c>
      <c r="E217">
        <v>101.4</v>
      </c>
      <c r="F217">
        <v>102.2</v>
      </c>
      <c r="G217">
        <v>103.8</v>
      </c>
      <c r="H217" s="1" t="s">
        <v>188</v>
      </c>
    </row>
    <row r="218" spans="1:8" x14ac:dyDescent="0.3">
      <c r="A218">
        <v>2013</v>
      </c>
      <c r="B218" t="s">
        <v>38</v>
      </c>
      <c r="C218" t="s">
        <v>62</v>
      </c>
      <c r="D218" s="1" t="s">
        <v>3</v>
      </c>
      <c r="E218">
        <v>110.9</v>
      </c>
      <c r="F218">
        <v>112.3</v>
      </c>
      <c r="G218">
        <v>115.4</v>
      </c>
      <c r="H218" s="1" t="s">
        <v>188</v>
      </c>
    </row>
    <row r="219" spans="1:8" x14ac:dyDescent="0.3">
      <c r="A219">
        <v>2013</v>
      </c>
      <c r="B219" t="s">
        <v>38</v>
      </c>
      <c r="C219" t="s">
        <v>62</v>
      </c>
      <c r="D219" s="1" t="s">
        <v>17</v>
      </c>
      <c r="E219">
        <v>108.8</v>
      </c>
      <c r="F219">
        <v>108.7</v>
      </c>
      <c r="G219">
        <v>108.5</v>
      </c>
      <c r="H219" s="1" t="s">
        <v>189</v>
      </c>
    </row>
    <row r="220" spans="1:8" x14ac:dyDescent="0.3">
      <c r="A220">
        <v>2013</v>
      </c>
      <c r="B220" t="s">
        <v>38</v>
      </c>
      <c r="C220" t="s">
        <v>62</v>
      </c>
      <c r="D220" s="1" t="s">
        <v>19</v>
      </c>
      <c r="E220">
        <v>108.6</v>
      </c>
      <c r="F220">
        <v>108.5</v>
      </c>
      <c r="G220">
        <v>108.3</v>
      </c>
      <c r="H220" s="1" t="s">
        <v>189</v>
      </c>
    </row>
    <row r="221" spans="1:8" x14ac:dyDescent="0.3">
      <c r="A221">
        <v>2013</v>
      </c>
      <c r="B221" t="s">
        <v>38</v>
      </c>
      <c r="C221" t="s">
        <v>62</v>
      </c>
      <c r="D221" s="1" t="s">
        <v>26</v>
      </c>
      <c r="E221">
        <v>105.5</v>
      </c>
      <c r="F221">
        <v>105.6</v>
      </c>
      <c r="G221">
        <v>105.7</v>
      </c>
      <c r="H221" s="1" t="s">
        <v>26</v>
      </c>
    </row>
    <row r="222" spans="1:8" x14ac:dyDescent="0.3">
      <c r="A222">
        <v>2013</v>
      </c>
      <c r="B222" t="s">
        <v>38</v>
      </c>
      <c r="C222" t="s">
        <v>62</v>
      </c>
      <c r="D222" s="1" t="s">
        <v>5</v>
      </c>
      <c r="E222">
        <v>105.9</v>
      </c>
      <c r="F222">
        <v>104.7</v>
      </c>
      <c r="G222">
        <v>102.7</v>
      </c>
      <c r="H222" s="1" t="s">
        <v>188</v>
      </c>
    </row>
    <row r="223" spans="1:8" x14ac:dyDescent="0.3">
      <c r="A223">
        <v>2013</v>
      </c>
      <c r="B223" t="s">
        <v>38</v>
      </c>
      <c r="C223" t="s">
        <v>62</v>
      </c>
      <c r="D223" s="1" t="s">
        <v>15</v>
      </c>
      <c r="E223">
        <v>108.1</v>
      </c>
      <c r="F223">
        <v>109.2</v>
      </c>
      <c r="G223">
        <v>111.1</v>
      </c>
      <c r="H223" s="1" t="s">
        <v>188</v>
      </c>
    </row>
    <row r="224" spans="1:8" x14ac:dyDescent="0.3">
      <c r="A224">
        <v>2013</v>
      </c>
      <c r="B224" t="s">
        <v>38</v>
      </c>
      <c r="C224" t="s">
        <v>62</v>
      </c>
      <c r="D224" s="1" t="s">
        <v>18</v>
      </c>
      <c r="E224">
        <v>107.9</v>
      </c>
      <c r="F224">
        <v>107.4</v>
      </c>
      <c r="G224">
        <v>106.7</v>
      </c>
      <c r="H224" s="1" t="s">
        <v>189</v>
      </c>
    </row>
    <row r="225" spans="1:8" x14ac:dyDescent="0.3">
      <c r="A225">
        <v>2013</v>
      </c>
      <c r="B225" t="s">
        <v>38</v>
      </c>
      <c r="C225" t="s">
        <v>62</v>
      </c>
      <c r="D225" s="1" t="s">
        <v>8</v>
      </c>
      <c r="E225">
        <v>108.1</v>
      </c>
      <c r="F225">
        <v>109.3</v>
      </c>
      <c r="G225">
        <v>110.6</v>
      </c>
      <c r="H225" s="1" t="s">
        <v>188</v>
      </c>
    </row>
    <row r="226" spans="1:8" x14ac:dyDescent="0.3">
      <c r="A226">
        <v>2013</v>
      </c>
      <c r="B226" t="s">
        <v>38</v>
      </c>
      <c r="C226" t="s">
        <v>62</v>
      </c>
      <c r="D226" s="1" t="s">
        <v>21</v>
      </c>
      <c r="E226">
        <v>107.5</v>
      </c>
      <c r="F226">
        <v>107.4</v>
      </c>
      <c r="G226">
        <v>107.2</v>
      </c>
      <c r="H226" s="1" t="s">
        <v>190</v>
      </c>
    </row>
    <row r="227" spans="1:8" x14ac:dyDescent="0.3">
      <c r="A227">
        <v>2013</v>
      </c>
      <c r="B227" t="s">
        <v>38</v>
      </c>
      <c r="C227" t="s">
        <v>62</v>
      </c>
      <c r="D227" s="1" t="s">
        <v>29</v>
      </c>
      <c r="E227">
        <v>107.2</v>
      </c>
      <c r="F227">
        <v>106.9</v>
      </c>
      <c r="G227">
        <v>106.6</v>
      </c>
      <c r="H227" s="1" t="s">
        <v>206</v>
      </c>
    </row>
    <row r="228" spans="1:8" x14ac:dyDescent="0.3">
      <c r="A228">
        <v>2013</v>
      </c>
      <c r="B228" t="s">
        <v>38</v>
      </c>
      <c r="C228" t="s">
        <v>62</v>
      </c>
      <c r="D228" s="1" t="s">
        <v>23</v>
      </c>
      <c r="E228">
        <v>105.7</v>
      </c>
      <c r="F228">
        <v>105.9</v>
      </c>
      <c r="G228">
        <v>106.2</v>
      </c>
      <c r="H228" s="1" t="s">
        <v>23</v>
      </c>
    </row>
    <row r="229" spans="1:8" x14ac:dyDescent="0.3">
      <c r="A229">
        <v>2013</v>
      </c>
      <c r="B229" t="s">
        <v>38</v>
      </c>
      <c r="C229" t="s">
        <v>62</v>
      </c>
      <c r="D229" s="1" t="s">
        <v>22</v>
      </c>
      <c r="E229">
        <v>106.8</v>
      </c>
      <c r="F229">
        <v>106.9</v>
      </c>
      <c r="G229">
        <v>107.1</v>
      </c>
      <c r="H229" s="1" t="s">
        <v>20</v>
      </c>
    </row>
    <row r="230" spans="1:8" x14ac:dyDescent="0.3">
      <c r="A230">
        <v>2013</v>
      </c>
      <c r="B230" t="s">
        <v>38</v>
      </c>
      <c r="C230" t="s">
        <v>62</v>
      </c>
      <c r="D230" s="1" t="s">
        <v>20</v>
      </c>
      <c r="E230">
        <v>0</v>
      </c>
      <c r="F230">
        <v>100.5</v>
      </c>
      <c r="G230">
        <v>100.5</v>
      </c>
      <c r="H230" s="1" t="s">
        <v>20</v>
      </c>
    </row>
    <row r="231" spans="1:8" x14ac:dyDescent="0.3">
      <c r="A231">
        <v>2013</v>
      </c>
      <c r="B231" t="s">
        <v>38</v>
      </c>
      <c r="C231" t="s">
        <v>62</v>
      </c>
      <c r="D231" s="1" t="s">
        <v>4</v>
      </c>
      <c r="E231">
        <v>109.8</v>
      </c>
      <c r="F231">
        <v>111.3</v>
      </c>
      <c r="G231">
        <v>114.2</v>
      </c>
      <c r="H231" s="1" t="s">
        <v>188</v>
      </c>
    </row>
    <row r="232" spans="1:8" x14ac:dyDescent="0.3">
      <c r="A232">
        <v>2013</v>
      </c>
      <c r="B232" t="s">
        <v>38</v>
      </c>
      <c r="C232" t="s">
        <v>62</v>
      </c>
      <c r="D232" s="1" t="s">
        <v>6</v>
      </c>
      <c r="E232">
        <v>107.5</v>
      </c>
      <c r="F232">
        <v>106.8</v>
      </c>
      <c r="G232">
        <v>105.5</v>
      </c>
      <c r="H232" s="1" t="s">
        <v>188</v>
      </c>
    </row>
    <row r="233" spans="1:8" x14ac:dyDescent="0.3">
      <c r="A233">
        <v>2013</v>
      </c>
      <c r="B233" t="s">
        <v>38</v>
      </c>
      <c r="C233" t="s">
        <v>62</v>
      </c>
      <c r="D233" s="1" t="s">
        <v>28</v>
      </c>
      <c r="E233">
        <v>104.8</v>
      </c>
      <c r="F233">
        <v>104.8</v>
      </c>
      <c r="G233">
        <v>104.9</v>
      </c>
      <c r="H233" s="1" t="s">
        <v>192</v>
      </c>
    </row>
    <row r="234" spans="1:8" x14ac:dyDescent="0.3">
      <c r="A234">
        <v>2013</v>
      </c>
      <c r="B234" t="s">
        <v>38</v>
      </c>
      <c r="C234" t="s">
        <v>62</v>
      </c>
      <c r="D234" s="1" t="s">
        <v>13</v>
      </c>
      <c r="E234">
        <v>107.4</v>
      </c>
      <c r="F234">
        <v>108.1</v>
      </c>
      <c r="G234">
        <v>109.1</v>
      </c>
      <c r="H234" s="1" t="s">
        <v>188</v>
      </c>
    </row>
    <row r="235" spans="1:8" x14ac:dyDescent="0.3">
      <c r="A235">
        <v>2013</v>
      </c>
      <c r="B235" t="s">
        <v>38</v>
      </c>
      <c r="C235" t="s">
        <v>62</v>
      </c>
      <c r="D235" s="1" t="s">
        <v>7</v>
      </c>
      <c r="E235">
        <v>105.3</v>
      </c>
      <c r="F235">
        <v>103.9</v>
      </c>
      <c r="G235">
        <v>101.5</v>
      </c>
      <c r="H235" s="1" t="s">
        <v>188</v>
      </c>
    </row>
    <row r="236" spans="1:8" x14ac:dyDescent="0.3">
      <c r="A236">
        <v>2013</v>
      </c>
      <c r="B236" t="s">
        <v>38</v>
      </c>
      <c r="C236" t="s">
        <v>62</v>
      </c>
      <c r="D236" s="1" t="s">
        <v>16</v>
      </c>
      <c r="E236">
        <v>108.1</v>
      </c>
      <c r="F236">
        <v>108.6</v>
      </c>
      <c r="G236">
        <v>109.8</v>
      </c>
      <c r="H236" s="1" t="s">
        <v>192</v>
      </c>
    </row>
    <row r="237" spans="1:8" x14ac:dyDescent="0.3">
      <c r="A237">
        <v>2013</v>
      </c>
      <c r="B237" t="s">
        <v>38</v>
      </c>
      <c r="C237" t="s">
        <v>62</v>
      </c>
      <c r="D237" s="1" t="s">
        <v>27</v>
      </c>
      <c r="E237">
        <v>102.1</v>
      </c>
      <c r="F237">
        <v>102.3</v>
      </c>
      <c r="G237">
        <v>102.6</v>
      </c>
      <c r="H237" s="1" t="s">
        <v>192</v>
      </c>
    </row>
    <row r="238" spans="1:8" x14ac:dyDescent="0.3">
      <c r="A238">
        <v>2013</v>
      </c>
      <c r="B238" t="s">
        <v>38</v>
      </c>
      <c r="C238" t="s">
        <v>62</v>
      </c>
      <c r="D238" s="1" t="s">
        <v>14</v>
      </c>
      <c r="E238">
        <v>109.9</v>
      </c>
      <c r="F238">
        <v>110.5</v>
      </c>
      <c r="G238">
        <v>111.3</v>
      </c>
      <c r="H238" s="1" t="s">
        <v>188</v>
      </c>
    </row>
    <row r="239" spans="1:8" x14ac:dyDescent="0.3">
      <c r="A239">
        <v>2013</v>
      </c>
      <c r="B239" t="s">
        <v>38</v>
      </c>
      <c r="C239" t="s">
        <v>62</v>
      </c>
      <c r="D239" s="1" t="s">
        <v>10</v>
      </c>
      <c r="E239">
        <v>106.1</v>
      </c>
      <c r="F239">
        <v>105.8</v>
      </c>
      <c r="G239">
        <v>105.2</v>
      </c>
      <c r="H239" s="1" t="s">
        <v>188</v>
      </c>
    </row>
    <row r="240" spans="1:8" x14ac:dyDescent="0.3">
      <c r="A240">
        <v>2013</v>
      </c>
      <c r="B240" t="s">
        <v>38</v>
      </c>
      <c r="C240" t="s">
        <v>62</v>
      </c>
      <c r="D240" s="1" t="s">
        <v>25</v>
      </c>
      <c r="E240">
        <v>105</v>
      </c>
      <c r="F240">
        <v>104.8</v>
      </c>
      <c r="G240">
        <v>104.6</v>
      </c>
      <c r="H240" s="1" t="s">
        <v>195</v>
      </c>
    </row>
    <row r="241" spans="1:8" x14ac:dyDescent="0.3">
      <c r="A241">
        <v>2013</v>
      </c>
      <c r="B241" t="s">
        <v>38</v>
      </c>
      <c r="C241" t="s">
        <v>62</v>
      </c>
      <c r="D241" s="1" t="s">
        <v>12</v>
      </c>
      <c r="E241">
        <v>104</v>
      </c>
      <c r="F241">
        <v>104.3</v>
      </c>
      <c r="G241">
        <v>105</v>
      </c>
      <c r="H241" s="1" t="s">
        <v>188</v>
      </c>
    </row>
    <row r="242" spans="1:8" x14ac:dyDescent="0.3">
      <c r="A242">
        <v>2013</v>
      </c>
      <c r="B242" t="s">
        <v>38</v>
      </c>
      <c r="C242" t="s">
        <v>62</v>
      </c>
      <c r="D242" s="1" t="s">
        <v>11</v>
      </c>
      <c r="E242">
        <v>103.7</v>
      </c>
      <c r="F242">
        <v>103.1</v>
      </c>
      <c r="G242">
        <v>101.9</v>
      </c>
      <c r="H242" s="1" t="s">
        <v>188</v>
      </c>
    </row>
    <row r="243" spans="1:8" x14ac:dyDescent="0.3">
      <c r="A243">
        <v>2013</v>
      </c>
      <c r="B243" t="s">
        <v>38</v>
      </c>
      <c r="C243" t="s">
        <v>62</v>
      </c>
      <c r="D243" s="1" t="s">
        <v>24</v>
      </c>
      <c r="E243">
        <v>104.1</v>
      </c>
      <c r="F243">
        <v>104</v>
      </c>
      <c r="G243">
        <v>103.9</v>
      </c>
      <c r="H243" s="1" t="s">
        <v>191</v>
      </c>
    </row>
    <row r="244" spans="1:8" x14ac:dyDescent="0.3">
      <c r="A244">
        <v>2013</v>
      </c>
      <c r="B244" t="s">
        <v>38</v>
      </c>
      <c r="C244" t="s">
        <v>62</v>
      </c>
      <c r="D244" s="1" t="s">
        <v>9</v>
      </c>
      <c r="E244">
        <v>107.3</v>
      </c>
      <c r="F244">
        <v>112.9</v>
      </c>
      <c r="G244">
        <v>123.7</v>
      </c>
      <c r="H244" s="1" t="s">
        <v>188</v>
      </c>
    </row>
    <row r="245" spans="1:8" x14ac:dyDescent="0.3">
      <c r="A245">
        <v>2013</v>
      </c>
      <c r="B245" t="s">
        <v>44</v>
      </c>
      <c r="C245" t="s">
        <v>63</v>
      </c>
      <c r="D245" s="1" t="s">
        <v>3</v>
      </c>
      <c r="E245">
        <v>117.3</v>
      </c>
      <c r="F245">
        <v>118.1</v>
      </c>
      <c r="G245">
        <v>119.8</v>
      </c>
      <c r="H245" s="1" t="s">
        <v>188</v>
      </c>
    </row>
    <row r="246" spans="1:8" x14ac:dyDescent="0.3">
      <c r="A246">
        <v>2013</v>
      </c>
      <c r="B246" t="s">
        <v>44</v>
      </c>
      <c r="C246" t="s">
        <v>63</v>
      </c>
      <c r="D246" s="1" t="s">
        <v>17</v>
      </c>
      <c r="E246">
        <v>114.6</v>
      </c>
      <c r="F246">
        <v>114.2</v>
      </c>
      <c r="G246">
        <v>113.5</v>
      </c>
      <c r="H246" s="1" t="s">
        <v>189</v>
      </c>
    </row>
    <row r="247" spans="1:8" x14ac:dyDescent="0.3">
      <c r="A247">
        <v>2013</v>
      </c>
      <c r="B247" t="s">
        <v>44</v>
      </c>
      <c r="C247" t="s">
        <v>63</v>
      </c>
      <c r="D247" s="1" t="s">
        <v>19</v>
      </c>
      <c r="E247">
        <v>114.4</v>
      </c>
      <c r="F247">
        <v>113.8</v>
      </c>
      <c r="G247">
        <v>113</v>
      </c>
      <c r="H247" s="1" t="s">
        <v>189</v>
      </c>
    </row>
    <row r="248" spans="1:8" x14ac:dyDescent="0.3">
      <c r="A248">
        <v>2013</v>
      </c>
      <c r="B248" t="s">
        <v>44</v>
      </c>
      <c r="C248" t="s">
        <v>63</v>
      </c>
      <c r="D248" s="1" t="s">
        <v>26</v>
      </c>
      <c r="E248">
        <v>111</v>
      </c>
      <c r="F248">
        <v>111.2</v>
      </c>
      <c r="G248">
        <v>111.3</v>
      </c>
      <c r="H248" s="1" t="s">
        <v>26</v>
      </c>
    </row>
    <row r="249" spans="1:8" x14ac:dyDescent="0.3">
      <c r="A249">
        <v>2013</v>
      </c>
      <c r="B249" t="s">
        <v>44</v>
      </c>
      <c r="C249" t="s">
        <v>63</v>
      </c>
      <c r="D249" s="1" t="s">
        <v>5</v>
      </c>
      <c r="E249">
        <v>116.2</v>
      </c>
      <c r="F249">
        <v>118.7</v>
      </c>
      <c r="G249">
        <v>122.6</v>
      </c>
      <c r="H249" s="1" t="s">
        <v>188</v>
      </c>
    </row>
    <row r="250" spans="1:8" x14ac:dyDescent="0.3">
      <c r="A250">
        <v>2013</v>
      </c>
      <c r="B250" t="s">
        <v>44</v>
      </c>
      <c r="C250" t="s">
        <v>63</v>
      </c>
      <c r="D250" s="1" t="s">
        <v>15</v>
      </c>
      <c r="E250">
        <v>122.5</v>
      </c>
      <c r="F250">
        <v>122.6</v>
      </c>
      <c r="G250">
        <v>122.9</v>
      </c>
      <c r="H250" s="1" t="s">
        <v>188</v>
      </c>
    </row>
    <row r="251" spans="1:8" x14ac:dyDescent="0.3">
      <c r="A251">
        <v>2013</v>
      </c>
      <c r="B251" t="s">
        <v>44</v>
      </c>
      <c r="C251" t="s">
        <v>63</v>
      </c>
      <c r="D251" s="1" t="s">
        <v>18</v>
      </c>
      <c r="E251">
        <v>113.1</v>
      </c>
      <c r="F251">
        <v>111.9</v>
      </c>
      <c r="G251">
        <v>110.3</v>
      </c>
      <c r="H251" s="1" t="s">
        <v>189</v>
      </c>
    </row>
    <row r="252" spans="1:8" x14ac:dyDescent="0.3">
      <c r="A252">
        <v>2013</v>
      </c>
      <c r="B252" t="s">
        <v>44</v>
      </c>
      <c r="C252" t="s">
        <v>63</v>
      </c>
      <c r="D252" s="1" t="s">
        <v>8</v>
      </c>
      <c r="E252">
        <v>116.6</v>
      </c>
      <c r="F252">
        <v>113.5</v>
      </c>
      <c r="G252">
        <v>110</v>
      </c>
      <c r="H252" s="1" t="s">
        <v>188</v>
      </c>
    </row>
    <row r="253" spans="1:8" x14ac:dyDescent="0.3">
      <c r="A253">
        <v>2013</v>
      </c>
      <c r="B253" t="s">
        <v>44</v>
      </c>
      <c r="C253" t="s">
        <v>63</v>
      </c>
      <c r="D253" s="1" t="s">
        <v>21</v>
      </c>
      <c r="E253">
        <v>112.6</v>
      </c>
      <c r="F253">
        <v>111.6</v>
      </c>
      <c r="G253">
        <v>110</v>
      </c>
      <c r="H253" s="1" t="s">
        <v>190</v>
      </c>
    </row>
    <row r="254" spans="1:8" x14ac:dyDescent="0.3">
      <c r="A254">
        <v>2013</v>
      </c>
      <c r="B254" t="s">
        <v>44</v>
      </c>
      <c r="C254" t="s">
        <v>63</v>
      </c>
      <c r="D254" s="1" t="s">
        <v>29</v>
      </c>
      <c r="E254">
        <v>117.4</v>
      </c>
      <c r="F254">
        <v>116.3</v>
      </c>
      <c r="G254">
        <v>115</v>
      </c>
      <c r="H254" s="1" t="s">
        <v>206</v>
      </c>
    </row>
    <row r="255" spans="1:8" x14ac:dyDescent="0.3">
      <c r="A255">
        <v>2013</v>
      </c>
      <c r="B255" t="s">
        <v>44</v>
      </c>
      <c r="C255" t="s">
        <v>63</v>
      </c>
      <c r="D255" s="1" t="s">
        <v>23</v>
      </c>
      <c r="E255">
        <v>109.7</v>
      </c>
      <c r="F255">
        <v>109.3</v>
      </c>
      <c r="G255">
        <v>108.6</v>
      </c>
      <c r="H255" s="1" t="s">
        <v>23</v>
      </c>
    </row>
    <row r="256" spans="1:8" x14ac:dyDescent="0.3">
      <c r="A256">
        <v>2013</v>
      </c>
      <c r="B256" t="s">
        <v>44</v>
      </c>
      <c r="C256" t="s">
        <v>63</v>
      </c>
      <c r="D256" s="1" t="s">
        <v>22</v>
      </c>
      <c r="E256">
        <v>111.3</v>
      </c>
      <c r="F256">
        <v>111.1</v>
      </c>
      <c r="G256">
        <v>110.9</v>
      </c>
      <c r="H256" s="1" t="s">
        <v>20</v>
      </c>
    </row>
    <row r="257" spans="1:8" x14ac:dyDescent="0.3">
      <c r="A257">
        <v>2013</v>
      </c>
      <c r="B257" t="s">
        <v>44</v>
      </c>
      <c r="C257" t="s">
        <v>63</v>
      </c>
      <c r="D257" s="1" t="s">
        <v>20</v>
      </c>
      <c r="E257">
        <v>0</v>
      </c>
      <c r="F257">
        <v>111.1</v>
      </c>
      <c r="G257">
        <v>111.1</v>
      </c>
      <c r="H257" s="1" t="s">
        <v>20</v>
      </c>
    </row>
    <row r="258" spans="1:8" x14ac:dyDescent="0.3">
      <c r="A258">
        <v>2013</v>
      </c>
      <c r="B258" t="s">
        <v>44</v>
      </c>
      <c r="C258" t="s">
        <v>63</v>
      </c>
      <c r="D258" s="1" t="s">
        <v>4</v>
      </c>
      <c r="E258">
        <v>114.9</v>
      </c>
      <c r="F258">
        <v>115.4</v>
      </c>
      <c r="G258">
        <v>116.3</v>
      </c>
      <c r="H258" s="1" t="s">
        <v>188</v>
      </c>
    </row>
    <row r="259" spans="1:8" x14ac:dyDescent="0.3">
      <c r="A259">
        <v>2013</v>
      </c>
      <c r="B259" t="s">
        <v>44</v>
      </c>
      <c r="C259" t="s">
        <v>63</v>
      </c>
      <c r="D259" s="1" t="s">
        <v>6</v>
      </c>
      <c r="E259">
        <v>112.8</v>
      </c>
      <c r="F259">
        <v>112.5</v>
      </c>
      <c r="G259">
        <v>112</v>
      </c>
      <c r="H259" s="1" t="s">
        <v>188</v>
      </c>
    </row>
    <row r="260" spans="1:8" x14ac:dyDescent="0.3">
      <c r="A260">
        <v>2013</v>
      </c>
      <c r="B260" t="s">
        <v>44</v>
      </c>
      <c r="C260" t="s">
        <v>63</v>
      </c>
      <c r="D260" s="1" t="s">
        <v>28</v>
      </c>
      <c r="E260">
        <v>109.8</v>
      </c>
      <c r="F260">
        <v>109.7</v>
      </c>
      <c r="G260">
        <v>109.6</v>
      </c>
      <c r="H260" s="1" t="s">
        <v>192</v>
      </c>
    </row>
    <row r="261" spans="1:8" x14ac:dyDescent="0.3">
      <c r="A261">
        <v>2013</v>
      </c>
      <c r="B261" t="s">
        <v>44</v>
      </c>
      <c r="C261" t="s">
        <v>63</v>
      </c>
      <c r="D261" s="1" t="s">
        <v>13</v>
      </c>
      <c r="E261">
        <v>111.8</v>
      </c>
      <c r="F261">
        <v>111.8</v>
      </c>
      <c r="G261">
        <v>111.8</v>
      </c>
      <c r="H261" s="1" t="s">
        <v>188</v>
      </c>
    </row>
    <row r="262" spans="1:8" x14ac:dyDescent="0.3">
      <c r="A262">
        <v>2013</v>
      </c>
      <c r="B262" t="s">
        <v>44</v>
      </c>
      <c r="C262" t="s">
        <v>63</v>
      </c>
      <c r="D262" s="1" t="s">
        <v>7</v>
      </c>
      <c r="E262">
        <v>108.9</v>
      </c>
      <c r="F262">
        <v>106.8</v>
      </c>
      <c r="G262">
        <v>103.2</v>
      </c>
      <c r="H262" s="1" t="s">
        <v>188</v>
      </c>
    </row>
    <row r="263" spans="1:8" x14ac:dyDescent="0.3">
      <c r="A263">
        <v>2013</v>
      </c>
      <c r="B263" t="s">
        <v>44</v>
      </c>
      <c r="C263" t="s">
        <v>63</v>
      </c>
      <c r="D263" s="1" t="s">
        <v>16</v>
      </c>
      <c r="E263">
        <v>112.8</v>
      </c>
      <c r="F263">
        <v>113.1</v>
      </c>
      <c r="G263">
        <v>114.1</v>
      </c>
      <c r="H263" s="1" t="s">
        <v>192</v>
      </c>
    </row>
    <row r="264" spans="1:8" x14ac:dyDescent="0.3">
      <c r="A264">
        <v>2013</v>
      </c>
      <c r="B264" t="s">
        <v>44</v>
      </c>
      <c r="C264" t="s">
        <v>63</v>
      </c>
      <c r="D264" s="1" t="s">
        <v>27</v>
      </c>
      <c r="E264">
        <v>108.2</v>
      </c>
      <c r="F264">
        <v>108.1</v>
      </c>
      <c r="G264">
        <v>107.9</v>
      </c>
      <c r="H264" s="1" t="s">
        <v>192</v>
      </c>
    </row>
    <row r="265" spans="1:8" x14ac:dyDescent="0.3">
      <c r="A265">
        <v>2013</v>
      </c>
      <c r="B265" t="s">
        <v>44</v>
      </c>
      <c r="C265" t="s">
        <v>63</v>
      </c>
      <c r="D265" s="1" t="s">
        <v>14</v>
      </c>
      <c r="E265">
        <v>116</v>
      </c>
      <c r="F265">
        <v>116.5</v>
      </c>
      <c r="G265">
        <v>117.1</v>
      </c>
      <c r="H265" s="1" t="s">
        <v>188</v>
      </c>
    </row>
    <row r="266" spans="1:8" x14ac:dyDescent="0.3">
      <c r="A266">
        <v>2013</v>
      </c>
      <c r="B266" t="s">
        <v>44</v>
      </c>
      <c r="C266" t="s">
        <v>63</v>
      </c>
      <c r="D266" s="1" t="s">
        <v>10</v>
      </c>
      <c r="E266">
        <v>109.1</v>
      </c>
      <c r="F266">
        <v>108.2</v>
      </c>
      <c r="G266">
        <v>106.3</v>
      </c>
      <c r="H266" s="1" t="s">
        <v>188</v>
      </c>
    </row>
    <row r="267" spans="1:8" x14ac:dyDescent="0.3">
      <c r="A267">
        <v>2013</v>
      </c>
      <c r="B267" t="s">
        <v>44</v>
      </c>
      <c r="C267" t="s">
        <v>63</v>
      </c>
      <c r="D267" s="1" t="s">
        <v>25</v>
      </c>
      <c r="E267">
        <v>108.7</v>
      </c>
      <c r="F267">
        <v>108.6</v>
      </c>
      <c r="G267">
        <v>108.5</v>
      </c>
      <c r="H267" s="1" t="s">
        <v>195</v>
      </c>
    </row>
    <row r="268" spans="1:8" x14ac:dyDescent="0.3">
      <c r="A268">
        <v>2013</v>
      </c>
      <c r="B268" t="s">
        <v>44</v>
      </c>
      <c r="C268" t="s">
        <v>63</v>
      </c>
      <c r="D268" s="1" t="s">
        <v>12</v>
      </c>
      <c r="E268">
        <v>109</v>
      </c>
      <c r="F268">
        <v>109.4</v>
      </c>
      <c r="G268">
        <v>110.3</v>
      </c>
      <c r="H268" s="1" t="s">
        <v>188</v>
      </c>
    </row>
    <row r="269" spans="1:8" x14ac:dyDescent="0.3">
      <c r="A269">
        <v>2013</v>
      </c>
      <c r="B269" t="s">
        <v>44</v>
      </c>
      <c r="C269" t="s">
        <v>63</v>
      </c>
      <c r="D269" s="1" t="s">
        <v>11</v>
      </c>
      <c r="E269">
        <v>103.6</v>
      </c>
      <c r="F269">
        <v>102.2</v>
      </c>
      <c r="G269">
        <v>99.5</v>
      </c>
      <c r="H269" s="1" t="s">
        <v>188</v>
      </c>
    </row>
    <row r="270" spans="1:8" x14ac:dyDescent="0.3">
      <c r="A270">
        <v>2013</v>
      </c>
      <c r="B270" t="s">
        <v>44</v>
      </c>
      <c r="C270" t="s">
        <v>63</v>
      </c>
      <c r="D270" s="1" t="s">
        <v>24</v>
      </c>
      <c r="E270">
        <v>109.6</v>
      </c>
      <c r="F270">
        <v>109.5</v>
      </c>
      <c r="G270">
        <v>109.5</v>
      </c>
      <c r="H270" s="1" t="s">
        <v>191</v>
      </c>
    </row>
    <row r="271" spans="1:8" x14ac:dyDescent="0.3">
      <c r="A271">
        <v>2013</v>
      </c>
      <c r="B271" t="s">
        <v>44</v>
      </c>
      <c r="C271" t="s">
        <v>63</v>
      </c>
      <c r="D271" s="1" t="s">
        <v>9</v>
      </c>
      <c r="E271">
        <v>178.1</v>
      </c>
      <c r="F271">
        <v>183.1</v>
      </c>
      <c r="G271">
        <v>192.8</v>
      </c>
      <c r="H271" s="1" t="s">
        <v>188</v>
      </c>
    </row>
    <row r="272" spans="1:8" x14ac:dyDescent="0.3">
      <c r="A272">
        <v>2013</v>
      </c>
      <c r="B272" t="s">
        <v>43</v>
      </c>
      <c r="C272" t="s">
        <v>64</v>
      </c>
      <c r="D272" s="1" t="s">
        <v>3</v>
      </c>
      <c r="E272">
        <v>116.3</v>
      </c>
      <c r="F272">
        <v>117.1</v>
      </c>
      <c r="G272">
        <v>118.9</v>
      </c>
      <c r="H272" s="1" t="s">
        <v>188</v>
      </c>
    </row>
    <row r="273" spans="1:8" x14ac:dyDescent="0.3">
      <c r="A273">
        <v>2013</v>
      </c>
      <c r="B273" t="s">
        <v>43</v>
      </c>
      <c r="C273" t="s">
        <v>64</v>
      </c>
      <c r="D273" s="1" t="s">
        <v>17</v>
      </c>
      <c r="E273">
        <v>113.6</v>
      </c>
      <c r="F273">
        <v>113.2</v>
      </c>
      <c r="G273">
        <v>112.5</v>
      </c>
      <c r="H273" s="1" t="s">
        <v>189</v>
      </c>
    </row>
    <row r="274" spans="1:8" x14ac:dyDescent="0.3">
      <c r="A274">
        <v>2013</v>
      </c>
      <c r="B274" t="s">
        <v>43</v>
      </c>
      <c r="C274" t="s">
        <v>64</v>
      </c>
      <c r="D274" s="1" t="s">
        <v>19</v>
      </c>
      <c r="E274">
        <v>113.4</v>
      </c>
      <c r="F274">
        <v>112.8</v>
      </c>
      <c r="G274">
        <v>112</v>
      </c>
      <c r="H274" s="1" t="s">
        <v>189</v>
      </c>
    </row>
    <row r="275" spans="1:8" x14ac:dyDescent="0.3">
      <c r="A275">
        <v>2013</v>
      </c>
      <c r="B275" t="s">
        <v>43</v>
      </c>
      <c r="C275" t="s">
        <v>64</v>
      </c>
      <c r="D275" s="1" t="s">
        <v>26</v>
      </c>
      <c r="E275">
        <v>110.2</v>
      </c>
      <c r="F275">
        <v>110.8</v>
      </c>
      <c r="G275">
        <v>111.3</v>
      </c>
      <c r="H275" s="1" t="s">
        <v>26</v>
      </c>
    </row>
    <row r="276" spans="1:8" x14ac:dyDescent="0.3">
      <c r="A276">
        <v>2013</v>
      </c>
      <c r="B276" t="s">
        <v>43</v>
      </c>
      <c r="C276" t="s">
        <v>64</v>
      </c>
      <c r="D276" s="1" t="s">
        <v>5</v>
      </c>
      <c r="E276">
        <v>112.6</v>
      </c>
      <c r="F276">
        <v>113.3</v>
      </c>
      <c r="G276">
        <v>114.5</v>
      </c>
      <c r="H276" s="1" t="s">
        <v>188</v>
      </c>
    </row>
    <row r="277" spans="1:8" x14ac:dyDescent="0.3">
      <c r="A277">
        <v>2013</v>
      </c>
      <c r="B277" t="s">
        <v>43</v>
      </c>
      <c r="C277" t="s">
        <v>64</v>
      </c>
      <c r="D277" s="1" t="s">
        <v>15</v>
      </c>
      <c r="E277">
        <v>119.8</v>
      </c>
      <c r="F277">
        <v>120.2</v>
      </c>
      <c r="G277">
        <v>120.8</v>
      </c>
      <c r="H277" s="1" t="s">
        <v>188</v>
      </c>
    </row>
    <row r="278" spans="1:8" x14ac:dyDescent="0.3">
      <c r="A278">
        <v>2013</v>
      </c>
      <c r="B278" t="s">
        <v>43</v>
      </c>
      <c r="C278" t="s">
        <v>64</v>
      </c>
      <c r="D278" s="1" t="s">
        <v>18</v>
      </c>
      <c r="E278">
        <v>112.3</v>
      </c>
      <c r="F278">
        <v>111.2</v>
      </c>
      <c r="G278">
        <v>109.7</v>
      </c>
      <c r="H278" s="1" t="s">
        <v>189</v>
      </c>
    </row>
    <row r="279" spans="1:8" x14ac:dyDescent="0.3">
      <c r="A279">
        <v>2013</v>
      </c>
      <c r="B279" t="s">
        <v>43</v>
      </c>
      <c r="C279" t="s">
        <v>64</v>
      </c>
      <c r="D279" s="1" t="s">
        <v>8</v>
      </c>
      <c r="E279">
        <v>113.2</v>
      </c>
      <c r="F279">
        <v>109.9</v>
      </c>
      <c r="G279">
        <v>106.2</v>
      </c>
      <c r="H279" s="1" t="s">
        <v>188</v>
      </c>
    </row>
    <row r="280" spans="1:8" x14ac:dyDescent="0.3">
      <c r="A280">
        <v>2013</v>
      </c>
      <c r="B280" t="s">
        <v>43</v>
      </c>
      <c r="C280" t="s">
        <v>64</v>
      </c>
      <c r="D280" s="1" t="s">
        <v>21</v>
      </c>
      <c r="E280">
        <v>111.6</v>
      </c>
      <c r="F280">
        <v>110.9</v>
      </c>
      <c r="G280">
        <v>109.7</v>
      </c>
      <c r="H280" s="1" t="s">
        <v>190</v>
      </c>
    </row>
    <row r="281" spans="1:8" x14ac:dyDescent="0.3">
      <c r="A281">
        <v>2013</v>
      </c>
      <c r="B281" t="s">
        <v>43</v>
      </c>
      <c r="C281" t="s">
        <v>64</v>
      </c>
      <c r="D281" s="1" t="s">
        <v>29</v>
      </c>
      <c r="E281">
        <v>115.5</v>
      </c>
      <c r="F281">
        <v>114.8</v>
      </c>
      <c r="G281">
        <v>114</v>
      </c>
      <c r="H281" s="1" t="s">
        <v>206</v>
      </c>
    </row>
    <row r="282" spans="1:8" x14ac:dyDescent="0.3">
      <c r="A282">
        <v>2013</v>
      </c>
      <c r="B282" t="s">
        <v>43</v>
      </c>
      <c r="C282" t="s">
        <v>64</v>
      </c>
      <c r="D282" s="1" t="s">
        <v>23</v>
      </c>
      <c r="E282">
        <v>108.9</v>
      </c>
      <c r="F282">
        <v>108.6</v>
      </c>
      <c r="G282">
        <v>108.2</v>
      </c>
      <c r="H282" s="1" t="s">
        <v>23</v>
      </c>
    </row>
    <row r="283" spans="1:8" x14ac:dyDescent="0.3">
      <c r="A283">
        <v>2013</v>
      </c>
      <c r="B283" t="s">
        <v>43</v>
      </c>
      <c r="C283" t="s">
        <v>64</v>
      </c>
      <c r="D283" s="1" t="s">
        <v>22</v>
      </c>
      <c r="E283">
        <v>110.4</v>
      </c>
      <c r="F283">
        <v>110.3</v>
      </c>
      <c r="G283">
        <v>110.2</v>
      </c>
      <c r="H283" s="1" t="s">
        <v>20</v>
      </c>
    </row>
    <row r="284" spans="1:8" x14ac:dyDescent="0.3">
      <c r="A284">
        <v>2013</v>
      </c>
      <c r="B284" t="s">
        <v>43</v>
      </c>
      <c r="C284" t="s">
        <v>64</v>
      </c>
      <c r="D284" s="1" t="s">
        <v>20</v>
      </c>
      <c r="E284">
        <v>0</v>
      </c>
      <c r="F284">
        <v>110.5</v>
      </c>
      <c r="G284">
        <v>110.5</v>
      </c>
      <c r="H284" s="1" t="s">
        <v>20</v>
      </c>
    </row>
    <row r="285" spans="1:8" x14ac:dyDescent="0.3">
      <c r="A285">
        <v>2013</v>
      </c>
      <c r="B285" t="s">
        <v>43</v>
      </c>
      <c r="C285" t="s">
        <v>64</v>
      </c>
      <c r="D285" s="1" t="s">
        <v>4</v>
      </c>
      <c r="E285">
        <v>115.4</v>
      </c>
      <c r="F285">
        <v>116.3</v>
      </c>
      <c r="G285">
        <v>118.1</v>
      </c>
      <c r="H285" s="1" t="s">
        <v>188</v>
      </c>
    </row>
    <row r="286" spans="1:8" x14ac:dyDescent="0.3">
      <c r="A286">
        <v>2013</v>
      </c>
      <c r="B286" t="s">
        <v>43</v>
      </c>
      <c r="C286" t="s">
        <v>64</v>
      </c>
      <c r="D286" s="1" t="s">
        <v>6</v>
      </c>
      <c r="E286">
        <v>111.7</v>
      </c>
      <c r="F286">
        <v>111.2</v>
      </c>
      <c r="G286">
        <v>110.4</v>
      </c>
      <c r="H286" s="1" t="s">
        <v>188</v>
      </c>
    </row>
    <row r="287" spans="1:8" x14ac:dyDescent="0.3">
      <c r="A287">
        <v>2013</v>
      </c>
      <c r="B287" t="s">
        <v>43</v>
      </c>
      <c r="C287" t="s">
        <v>64</v>
      </c>
      <c r="D287" s="1" t="s">
        <v>28</v>
      </c>
      <c r="E287">
        <v>109.1</v>
      </c>
      <c r="F287">
        <v>109.2</v>
      </c>
      <c r="G287">
        <v>109.4</v>
      </c>
      <c r="H287" s="1" t="s">
        <v>192</v>
      </c>
    </row>
    <row r="288" spans="1:8" x14ac:dyDescent="0.3">
      <c r="A288">
        <v>2013</v>
      </c>
      <c r="B288" t="s">
        <v>43</v>
      </c>
      <c r="C288" t="s">
        <v>64</v>
      </c>
      <c r="D288" s="1" t="s">
        <v>13</v>
      </c>
      <c r="E288">
        <v>111.1</v>
      </c>
      <c r="F288">
        <v>111.2</v>
      </c>
      <c r="G288">
        <v>111.4</v>
      </c>
      <c r="H288" s="1" t="s">
        <v>188</v>
      </c>
    </row>
    <row r="289" spans="1:8" x14ac:dyDescent="0.3">
      <c r="A289">
        <v>2013</v>
      </c>
      <c r="B289" t="s">
        <v>43</v>
      </c>
      <c r="C289" t="s">
        <v>64</v>
      </c>
      <c r="D289" s="1" t="s">
        <v>7</v>
      </c>
      <c r="E289">
        <v>107.7</v>
      </c>
      <c r="F289">
        <v>105.7</v>
      </c>
      <c r="G289">
        <v>102.3</v>
      </c>
      <c r="H289" s="1" t="s">
        <v>188</v>
      </c>
    </row>
    <row r="290" spans="1:8" x14ac:dyDescent="0.3">
      <c r="A290">
        <v>2013</v>
      </c>
      <c r="B290" t="s">
        <v>43</v>
      </c>
      <c r="C290" t="s">
        <v>64</v>
      </c>
      <c r="D290" s="1" t="s">
        <v>16</v>
      </c>
      <c r="E290">
        <v>112.2</v>
      </c>
      <c r="F290">
        <v>112.5</v>
      </c>
      <c r="G290">
        <v>113.5</v>
      </c>
      <c r="H290" s="1" t="s">
        <v>192</v>
      </c>
    </row>
    <row r="291" spans="1:8" x14ac:dyDescent="0.3">
      <c r="A291">
        <v>2013</v>
      </c>
      <c r="B291" t="s">
        <v>43</v>
      </c>
      <c r="C291" t="s">
        <v>64</v>
      </c>
      <c r="D291" s="1" t="s">
        <v>27</v>
      </c>
      <c r="E291">
        <v>107.5</v>
      </c>
      <c r="F291">
        <v>107.4</v>
      </c>
      <c r="G291">
        <v>107.3</v>
      </c>
      <c r="H291" s="1" t="s">
        <v>192</v>
      </c>
    </row>
    <row r="292" spans="1:8" x14ac:dyDescent="0.3">
      <c r="A292">
        <v>2013</v>
      </c>
      <c r="B292" t="s">
        <v>43</v>
      </c>
      <c r="C292" t="s">
        <v>64</v>
      </c>
      <c r="D292" s="1" t="s">
        <v>14</v>
      </c>
      <c r="E292">
        <v>114.9</v>
      </c>
      <c r="F292">
        <v>115.4</v>
      </c>
      <c r="G292">
        <v>116</v>
      </c>
      <c r="H292" s="1" t="s">
        <v>188</v>
      </c>
    </row>
    <row r="293" spans="1:8" x14ac:dyDescent="0.3">
      <c r="A293">
        <v>2013</v>
      </c>
      <c r="B293" t="s">
        <v>43</v>
      </c>
      <c r="C293" t="s">
        <v>64</v>
      </c>
      <c r="D293" s="1" t="s">
        <v>10</v>
      </c>
      <c r="E293">
        <v>108.3</v>
      </c>
      <c r="F293">
        <v>107.3</v>
      </c>
      <c r="G293">
        <v>105.3</v>
      </c>
      <c r="H293" s="1" t="s">
        <v>188</v>
      </c>
    </row>
    <row r="294" spans="1:8" x14ac:dyDescent="0.3">
      <c r="A294">
        <v>2013</v>
      </c>
      <c r="B294" t="s">
        <v>43</v>
      </c>
      <c r="C294" t="s">
        <v>64</v>
      </c>
      <c r="D294" s="1" t="s">
        <v>25</v>
      </c>
      <c r="E294">
        <v>108.3</v>
      </c>
      <c r="F294">
        <v>108.1</v>
      </c>
      <c r="G294">
        <v>108</v>
      </c>
      <c r="H294" s="1" t="s">
        <v>195</v>
      </c>
    </row>
    <row r="295" spans="1:8" x14ac:dyDescent="0.3">
      <c r="A295">
        <v>2013</v>
      </c>
      <c r="B295" t="s">
        <v>43</v>
      </c>
      <c r="C295" t="s">
        <v>64</v>
      </c>
      <c r="D295" s="1" t="s">
        <v>12</v>
      </c>
      <c r="E295">
        <v>108.2</v>
      </c>
      <c r="F295">
        <v>108.7</v>
      </c>
      <c r="G295">
        <v>109.6</v>
      </c>
      <c r="H295" s="1" t="s">
        <v>188</v>
      </c>
    </row>
    <row r="296" spans="1:8" x14ac:dyDescent="0.3">
      <c r="A296">
        <v>2013</v>
      </c>
      <c r="B296" t="s">
        <v>43</v>
      </c>
      <c r="C296" t="s">
        <v>64</v>
      </c>
      <c r="D296" s="1" t="s">
        <v>11</v>
      </c>
      <c r="E296">
        <v>103.9</v>
      </c>
      <c r="F296">
        <v>102.7</v>
      </c>
      <c r="G296">
        <v>100.2</v>
      </c>
      <c r="H296" s="1" t="s">
        <v>188</v>
      </c>
    </row>
    <row r="297" spans="1:8" x14ac:dyDescent="0.3">
      <c r="A297">
        <v>2013</v>
      </c>
      <c r="B297" t="s">
        <v>43</v>
      </c>
      <c r="C297" t="s">
        <v>64</v>
      </c>
      <c r="D297" s="1" t="s">
        <v>24</v>
      </c>
      <c r="E297">
        <v>109.3</v>
      </c>
      <c r="F297">
        <v>109.5</v>
      </c>
      <c r="G297">
        <v>109.7</v>
      </c>
      <c r="H297" s="1" t="s">
        <v>191</v>
      </c>
    </row>
    <row r="298" spans="1:8" x14ac:dyDescent="0.3">
      <c r="A298">
        <v>2013</v>
      </c>
      <c r="B298" t="s">
        <v>43</v>
      </c>
      <c r="C298" t="s">
        <v>64</v>
      </c>
      <c r="D298" s="1" t="s">
        <v>9</v>
      </c>
      <c r="E298">
        <v>164.9</v>
      </c>
      <c r="F298">
        <v>171.2</v>
      </c>
      <c r="G298">
        <v>183.5</v>
      </c>
      <c r="H298" s="1" t="s">
        <v>188</v>
      </c>
    </row>
    <row r="299" spans="1:8" x14ac:dyDescent="0.3">
      <c r="A299">
        <v>2013</v>
      </c>
      <c r="B299" t="s">
        <v>42</v>
      </c>
      <c r="C299" t="s">
        <v>65</v>
      </c>
      <c r="D299" s="1" t="s">
        <v>3</v>
      </c>
      <c r="E299">
        <v>115.4</v>
      </c>
      <c r="F299">
        <v>116.4</v>
      </c>
      <c r="G299">
        <v>118.6</v>
      </c>
      <c r="H299" s="1" t="s">
        <v>188</v>
      </c>
    </row>
    <row r="300" spans="1:8" x14ac:dyDescent="0.3">
      <c r="A300">
        <v>2013</v>
      </c>
      <c r="B300" t="s">
        <v>42</v>
      </c>
      <c r="C300" t="s">
        <v>65</v>
      </c>
      <c r="D300" s="1" t="s">
        <v>17</v>
      </c>
      <c r="E300">
        <v>112.7</v>
      </c>
      <c r="F300">
        <v>112.2</v>
      </c>
      <c r="G300">
        <v>111.4</v>
      </c>
      <c r="H300" s="1" t="s">
        <v>189</v>
      </c>
    </row>
    <row r="301" spans="1:8" x14ac:dyDescent="0.3">
      <c r="A301">
        <v>2013</v>
      </c>
      <c r="B301" t="s">
        <v>42</v>
      </c>
      <c r="C301" t="s">
        <v>65</v>
      </c>
      <c r="D301" s="1" t="s">
        <v>19</v>
      </c>
      <c r="E301">
        <v>112.5</v>
      </c>
      <c r="F301">
        <v>111.9</v>
      </c>
      <c r="G301">
        <v>111.1</v>
      </c>
      <c r="H301" s="1" t="s">
        <v>189</v>
      </c>
    </row>
    <row r="302" spans="1:8" x14ac:dyDescent="0.3">
      <c r="A302">
        <v>2013</v>
      </c>
      <c r="B302" t="s">
        <v>42</v>
      </c>
      <c r="C302" t="s">
        <v>65</v>
      </c>
      <c r="D302" s="1" t="s">
        <v>26</v>
      </c>
      <c r="E302">
        <v>109.8</v>
      </c>
      <c r="F302">
        <v>110.6</v>
      </c>
      <c r="G302">
        <v>111.2</v>
      </c>
      <c r="H302" s="1" t="s">
        <v>26</v>
      </c>
    </row>
    <row r="303" spans="1:8" x14ac:dyDescent="0.3">
      <c r="A303">
        <v>2013</v>
      </c>
      <c r="B303" t="s">
        <v>42</v>
      </c>
      <c r="C303" t="s">
        <v>65</v>
      </c>
      <c r="D303" s="1" t="s">
        <v>5</v>
      </c>
      <c r="E303">
        <v>111.7</v>
      </c>
      <c r="F303">
        <v>112.3</v>
      </c>
      <c r="G303">
        <v>113.2</v>
      </c>
      <c r="H303" s="1" t="s">
        <v>188</v>
      </c>
    </row>
    <row r="304" spans="1:8" x14ac:dyDescent="0.3">
      <c r="A304">
        <v>2013</v>
      </c>
      <c r="B304" t="s">
        <v>42</v>
      </c>
      <c r="C304" t="s">
        <v>65</v>
      </c>
      <c r="D304" s="1" t="s">
        <v>15</v>
      </c>
      <c r="E304">
        <v>117.8</v>
      </c>
      <c r="F304">
        <v>118.3</v>
      </c>
      <c r="G304">
        <v>119.2</v>
      </c>
      <c r="H304" s="1" t="s">
        <v>188</v>
      </c>
    </row>
    <row r="305" spans="1:8" x14ac:dyDescent="0.3">
      <c r="A305">
        <v>2013</v>
      </c>
      <c r="B305" t="s">
        <v>42</v>
      </c>
      <c r="C305" t="s">
        <v>65</v>
      </c>
      <c r="D305" s="1" t="s">
        <v>18</v>
      </c>
      <c r="E305">
        <v>111.4</v>
      </c>
      <c r="F305">
        <v>110.4</v>
      </c>
      <c r="G305">
        <v>109</v>
      </c>
      <c r="H305" s="1" t="s">
        <v>189</v>
      </c>
    </row>
    <row r="306" spans="1:8" x14ac:dyDescent="0.3">
      <c r="A306">
        <v>2013</v>
      </c>
      <c r="B306" t="s">
        <v>42</v>
      </c>
      <c r="C306" t="s">
        <v>65</v>
      </c>
      <c r="D306" s="1" t="s">
        <v>8</v>
      </c>
      <c r="E306">
        <v>110.9</v>
      </c>
      <c r="F306">
        <v>107.3</v>
      </c>
      <c r="G306">
        <v>103.2</v>
      </c>
      <c r="H306" s="1" t="s">
        <v>188</v>
      </c>
    </row>
    <row r="307" spans="1:8" x14ac:dyDescent="0.3">
      <c r="A307">
        <v>2013</v>
      </c>
      <c r="B307" t="s">
        <v>42</v>
      </c>
      <c r="C307" t="s">
        <v>65</v>
      </c>
      <c r="D307" s="1" t="s">
        <v>21</v>
      </c>
      <c r="E307">
        <v>111.1</v>
      </c>
      <c r="F307">
        <v>110.5</v>
      </c>
      <c r="G307">
        <v>109.5</v>
      </c>
      <c r="H307" s="1" t="s">
        <v>190</v>
      </c>
    </row>
    <row r="308" spans="1:8" x14ac:dyDescent="0.3">
      <c r="A308">
        <v>2013</v>
      </c>
      <c r="B308" t="s">
        <v>42</v>
      </c>
      <c r="C308" t="s">
        <v>65</v>
      </c>
      <c r="D308" s="1" t="s">
        <v>29</v>
      </c>
      <c r="E308">
        <v>114.2</v>
      </c>
      <c r="F308">
        <v>113.7</v>
      </c>
      <c r="G308">
        <v>113.2</v>
      </c>
      <c r="H308" s="1" t="s">
        <v>206</v>
      </c>
    </row>
    <row r="309" spans="1:8" x14ac:dyDescent="0.3">
      <c r="A309">
        <v>2013</v>
      </c>
      <c r="B309" t="s">
        <v>42</v>
      </c>
      <c r="C309" t="s">
        <v>65</v>
      </c>
      <c r="D309" s="1" t="s">
        <v>23</v>
      </c>
      <c r="E309">
        <v>108.3</v>
      </c>
      <c r="F309">
        <v>108.1</v>
      </c>
      <c r="G309">
        <v>107.9</v>
      </c>
      <c r="H309" s="1" t="s">
        <v>23</v>
      </c>
    </row>
    <row r="310" spans="1:8" x14ac:dyDescent="0.3">
      <c r="A310">
        <v>2013</v>
      </c>
      <c r="B310" t="s">
        <v>42</v>
      </c>
      <c r="C310" t="s">
        <v>65</v>
      </c>
      <c r="D310" s="1" t="s">
        <v>22</v>
      </c>
      <c r="E310">
        <v>109.6</v>
      </c>
      <c r="F310">
        <v>109.6</v>
      </c>
      <c r="G310">
        <v>109.6</v>
      </c>
      <c r="H310" s="1" t="s">
        <v>20</v>
      </c>
    </row>
    <row r="311" spans="1:8" x14ac:dyDescent="0.3">
      <c r="A311">
        <v>2013</v>
      </c>
      <c r="B311" t="s">
        <v>42</v>
      </c>
      <c r="C311" t="s">
        <v>65</v>
      </c>
      <c r="D311" s="1" t="s">
        <v>20</v>
      </c>
      <c r="E311">
        <v>0</v>
      </c>
      <c r="F311">
        <v>109.7</v>
      </c>
      <c r="G311">
        <v>109.7</v>
      </c>
      <c r="H311" s="1" t="s">
        <v>20</v>
      </c>
    </row>
    <row r="312" spans="1:8" x14ac:dyDescent="0.3">
      <c r="A312">
        <v>2013</v>
      </c>
      <c r="B312" t="s">
        <v>42</v>
      </c>
      <c r="C312" t="s">
        <v>65</v>
      </c>
      <c r="D312" s="1" t="s">
        <v>4</v>
      </c>
      <c r="E312">
        <v>115.7</v>
      </c>
      <c r="F312">
        <v>116.9</v>
      </c>
      <c r="G312">
        <v>119.1</v>
      </c>
      <c r="H312" s="1" t="s">
        <v>188</v>
      </c>
    </row>
    <row r="313" spans="1:8" x14ac:dyDescent="0.3">
      <c r="A313">
        <v>2013</v>
      </c>
      <c r="B313" t="s">
        <v>42</v>
      </c>
      <c r="C313" t="s">
        <v>65</v>
      </c>
      <c r="D313" s="1" t="s">
        <v>6</v>
      </c>
      <c r="E313">
        <v>111</v>
      </c>
      <c r="F313">
        <v>110.5</v>
      </c>
      <c r="G313">
        <v>109.6</v>
      </c>
      <c r="H313" s="1" t="s">
        <v>188</v>
      </c>
    </row>
    <row r="314" spans="1:8" x14ac:dyDescent="0.3">
      <c r="A314">
        <v>2013</v>
      </c>
      <c r="B314" t="s">
        <v>42</v>
      </c>
      <c r="C314" t="s">
        <v>65</v>
      </c>
      <c r="D314" s="1" t="s">
        <v>28</v>
      </c>
      <c r="E314">
        <v>108.7</v>
      </c>
      <c r="F314">
        <v>109</v>
      </c>
      <c r="G314">
        <v>109.4</v>
      </c>
      <c r="H314" s="1" t="s">
        <v>192</v>
      </c>
    </row>
    <row r="315" spans="1:8" x14ac:dyDescent="0.3">
      <c r="A315">
        <v>2013</v>
      </c>
      <c r="B315" t="s">
        <v>42</v>
      </c>
      <c r="C315" t="s">
        <v>65</v>
      </c>
      <c r="D315" s="1" t="s">
        <v>13</v>
      </c>
      <c r="E315">
        <v>110.4</v>
      </c>
      <c r="F315">
        <v>110.7</v>
      </c>
      <c r="G315">
        <v>111.1</v>
      </c>
      <c r="H315" s="1" t="s">
        <v>188</v>
      </c>
    </row>
    <row r="316" spans="1:8" x14ac:dyDescent="0.3">
      <c r="A316">
        <v>2013</v>
      </c>
      <c r="B316" t="s">
        <v>42</v>
      </c>
      <c r="C316" t="s">
        <v>65</v>
      </c>
      <c r="D316" s="1" t="s">
        <v>7</v>
      </c>
      <c r="E316">
        <v>107.4</v>
      </c>
      <c r="F316">
        <v>105.3</v>
      </c>
      <c r="G316">
        <v>101.7</v>
      </c>
      <c r="H316" s="1" t="s">
        <v>188</v>
      </c>
    </row>
    <row r="317" spans="1:8" x14ac:dyDescent="0.3">
      <c r="A317">
        <v>2013</v>
      </c>
      <c r="B317" t="s">
        <v>42</v>
      </c>
      <c r="C317" t="s">
        <v>65</v>
      </c>
      <c r="D317" s="1" t="s">
        <v>16</v>
      </c>
      <c r="E317">
        <v>111.7</v>
      </c>
      <c r="F317">
        <v>112</v>
      </c>
      <c r="G317">
        <v>112.9</v>
      </c>
      <c r="H317" s="1" t="s">
        <v>192</v>
      </c>
    </row>
    <row r="318" spans="1:8" x14ac:dyDescent="0.3">
      <c r="A318">
        <v>2013</v>
      </c>
      <c r="B318" t="s">
        <v>42</v>
      </c>
      <c r="C318" t="s">
        <v>65</v>
      </c>
      <c r="D318" s="1" t="s">
        <v>27</v>
      </c>
      <c r="E318">
        <v>106.7</v>
      </c>
      <c r="F318">
        <v>106.8</v>
      </c>
      <c r="G318">
        <v>106.9</v>
      </c>
      <c r="H318" s="1" t="s">
        <v>192</v>
      </c>
    </row>
    <row r="319" spans="1:8" x14ac:dyDescent="0.3">
      <c r="A319">
        <v>2013</v>
      </c>
      <c r="B319" t="s">
        <v>42</v>
      </c>
      <c r="C319" t="s">
        <v>65</v>
      </c>
      <c r="D319" s="1" t="s">
        <v>14</v>
      </c>
      <c r="E319">
        <v>114</v>
      </c>
      <c r="F319">
        <v>114.6</v>
      </c>
      <c r="G319">
        <v>115.4</v>
      </c>
      <c r="H319" s="1" t="s">
        <v>188</v>
      </c>
    </row>
    <row r="320" spans="1:8" x14ac:dyDescent="0.3">
      <c r="A320">
        <v>2013</v>
      </c>
      <c r="B320" t="s">
        <v>42</v>
      </c>
      <c r="C320" t="s">
        <v>65</v>
      </c>
      <c r="D320" s="1" t="s">
        <v>10</v>
      </c>
      <c r="E320">
        <v>108.1</v>
      </c>
      <c r="F320">
        <v>107.1</v>
      </c>
      <c r="G320">
        <v>105.1</v>
      </c>
      <c r="H320" s="1" t="s">
        <v>188</v>
      </c>
    </row>
    <row r="321" spans="1:8" x14ac:dyDescent="0.3">
      <c r="A321">
        <v>2013</v>
      </c>
      <c r="B321" t="s">
        <v>42</v>
      </c>
      <c r="C321" t="s">
        <v>65</v>
      </c>
      <c r="D321" s="1" t="s">
        <v>25</v>
      </c>
      <c r="E321">
        <v>107.7</v>
      </c>
      <c r="F321">
        <v>107.5</v>
      </c>
      <c r="G321">
        <v>107.4</v>
      </c>
      <c r="H321" s="1" t="s">
        <v>195</v>
      </c>
    </row>
    <row r="322" spans="1:8" x14ac:dyDescent="0.3">
      <c r="A322">
        <v>2013</v>
      </c>
      <c r="B322" t="s">
        <v>42</v>
      </c>
      <c r="C322" t="s">
        <v>65</v>
      </c>
      <c r="D322" s="1" t="s">
        <v>12</v>
      </c>
      <c r="E322">
        <v>107.9</v>
      </c>
      <c r="F322">
        <v>108.3</v>
      </c>
      <c r="G322">
        <v>109.1</v>
      </c>
      <c r="H322" s="1" t="s">
        <v>188</v>
      </c>
    </row>
    <row r="323" spans="1:8" x14ac:dyDescent="0.3">
      <c r="A323">
        <v>2013</v>
      </c>
      <c r="B323" t="s">
        <v>42</v>
      </c>
      <c r="C323" t="s">
        <v>65</v>
      </c>
      <c r="D323" s="1" t="s">
        <v>11</v>
      </c>
      <c r="E323">
        <v>104.2</v>
      </c>
      <c r="F323">
        <v>103.1</v>
      </c>
      <c r="G323">
        <v>100.8</v>
      </c>
      <c r="H323" s="1" t="s">
        <v>188</v>
      </c>
    </row>
    <row r="324" spans="1:8" x14ac:dyDescent="0.3">
      <c r="A324">
        <v>2013</v>
      </c>
      <c r="B324" t="s">
        <v>42</v>
      </c>
      <c r="C324" t="s">
        <v>65</v>
      </c>
      <c r="D324" s="1" t="s">
        <v>24</v>
      </c>
      <c r="E324">
        <v>109.3</v>
      </c>
      <c r="F324">
        <v>109.9</v>
      </c>
      <c r="G324">
        <v>110.4</v>
      </c>
      <c r="H324" s="1" t="s">
        <v>191</v>
      </c>
    </row>
    <row r="325" spans="1:8" x14ac:dyDescent="0.3">
      <c r="A325">
        <v>2013</v>
      </c>
      <c r="B325" t="s">
        <v>42</v>
      </c>
      <c r="C325" t="s">
        <v>65</v>
      </c>
      <c r="D325" s="1" t="s">
        <v>9</v>
      </c>
      <c r="E325">
        <v>154</v>
      </c>
      <c r="F325">
        <v>160.9</v>
      </c>
      <c r="G325">
        <v>174.3</v>
      </c>
      <c r="H325" s="1" t="s">
        <v>188</v>
      </c>
    </row>
    <row r="326" spans="1:8" x14ac:dyDescent="0.3">
      <c r="A326">
        <v>2014</v>
      </c>
      <c r="B326" t="s">
        <v>37</v>
      </c>
      <c r="C326" t="s">
        <v>66</v>
      </c>
      <c r="D326" s="1" t="s">
        <v>3</v>
      </c>
      <c r="E326">
        <v>120.2</v>
      </c>
      <c r="F326">
        <v>120.9</v>
      </c>
      <c r="G326">
        <v>122.5</v>
      </c>
      <c r="H326" s="1" t="s">
        <v>188</v>
      </c>
    </row>
    <row r="327" spans="1:8" x14ac:dyDescent="0.3">
      <c r="A327">
        <v>2014</v>
      </c>
      <c r="B327" t="s">
        <v>37</v>
      </c>
      <c r="C327" t="s">
        <v>66</v>
      </c>
      <c r="D327" s="1" t="s">
        <v>17</v>
      </c>
      <c r="E327">
        <v>118.1</v>
      </c>
      <c r="F327">
        <v>117.4</v>
      </c>
      <c r="G327">
        <v>116.3</v>
      </c>
      <c r="H327" s="1" t="s">
        <v>189</v>
      </c>
    </row>
    <row r="328" spans="1:8" x14ac:dyDescent="0.3">
      <c r="A328">
        <v>2014</v>
      </c>
      <c r="B328" t="s">
        <v>37</v>
      </c>
      <c r="C328" t="s">
        <v>66</v>
      </c>
      <c r="D328" s="1" t="s">
        <v>19</v>
      </c>
      <c r="E328">
        <v>117.8</v>
      </c>
      <c r="F328">
        <v>117</v>
      </c>
      <c r="G328">
        <v>115.7</v>
      </c>
      <c r="H328" s="1" t="s">
        <v>189</v>
      </c>
    </row>
    <row r="329" spans="1:8" x14ac:dyDescent="0.3">
      <c r="A329">
        <v>2014</v>
      </c>
      <c r="B329" t="s">
        <v>37</v>
      </c>
      <c r="C329" t="s">
        <v>66</v>
      </c>
      <c r="D329" s="1" t="s">
        <v>26</v>
      </c>
      <c r="E329">
        <v>113</v>
      </c>
      <c r="F329">
        <v>112.7</v>
      </c>
      <c r="G329">
        <v>112.5</v>
      </c>
      <c r="H329" s="1" t="s">
        <v>26</v>
      </c>
    </row>
    <row r="330" spans="1:8" x14ac:dyDescent="0.3">
      <c r="A330">
        <v>2014</v>
      </c>
      <c r="B330" t="s">
        <v>37</v>
      </c>
      <c r="C330" t="s">
        <v>66</v>
      </c>
      <c r="D330" s="1" t="s">
        <v>5</v>
      </c>
      <c r="E330">
        <v>118.1</v>
      </c>
      <c r="F330">
        <v>116.2</v>
      </c>
      <c r="G330">
        <v>113.3</v>
      </c>
      <c r="H330" s="1" t="s">
        <v>188</v>
      </c>
    </row>
    <row r="331" spans="1:8" x14ac:dyDescent="0.3">
      <c r="A331">
        <v>2014</v>
      </c>
      <c r="B331" t="s">
        <v>37</v>
      </c>
      <c r="C331" t="s">
        <v>66</v>
      </c>
      <c r="D331" s="1" t="s">
        <v>15</v>
      </c>
      <c r="E331">
        <v>117.2</v>
      </c>
      <c r="F331">
        <v>117.6</v>
      </c>
      <c r="G331">
        <v>118.2</v>
      </c>
      <c r="H331" s="1" t="s">
        <v>188</v>
      </c>
    </row>
    <row r="332" spans="1:8" x14ac:dyDescent="0.3">
      <c r="A332">
        <v>2014</v>
      </c>
      <c r="B332" t="s">
        <v>37</v>
      </c>
      <c r="C332" t="s">
        <v>66</v>
      </c>
      <c r="D332" s="1" t="s">
        <v>18</v>
      </c>
      <c r="E332">
        <v>116.1</v>
      </c>
      <c r="F332">
        <v>114.6</v>
      </c>
      <c r="G332">
        <v>112.5</v>
      </c>
      <c r="H332" s="1" t="s">
        <v>189</v>
      </c>
    </row>
    <row r="333" spans="1:8" x14ac:dyDescent="0.3">
      <c r="A333">
        <v>2014</v>
      </c>
      <c r="B333" t="s">
        <v>37</v>
      </c>
      <c r="C333" t="s">
        <v>66</v>
      </c>
      <c r="D333" s="1" t="s">
        <v>8</v>
      </c>
      <c r="E333">
        <v>125.5</v>
      </c>
      <c r="F333">
        <v>126.1</v>
      </c>
      <c r="G333">
        <v>126.7</v>
      </c>
      <c r="H333" s="1" t="s">
        <v>188</v>
      </c>
    </row>
    <row r="334" spans="1:8" x14ac:dyDescent="0.3">
      <c r="A334">
        <v>2014</v>
      </c>
      <c r="B334" t="s">
        <v>37</v>
      </c>
      <c r="C334" t="s">
        <v>66</v>
      </c>
      <c r="D334" s="1" t="s">
        <v>21</v>
      </c>
      <c r="E334">
        <v>113.4</v>
      </c>
      <c r="F334">
        <v>112.5</v>
      </c>
      <c r="G334">
        <v>110.9</v>
      </c>
      <c r="H334" s="1" t="s">
        <v>190</v>
      </c>
    </row>
    <row r="335" spans="1:8" x14ac:dyDescent="0.3">
      <c r="A335">
        <v>2014</v>
      </c>
      <c r="B335" t="s">
        <v>37</v>
      </c>
      <c r="C335" t="s">
        <v>66</v>
      </c>
      <c r="D335" s="1" t="s">
        <v>29</v>
      </c>
      <c r="E335">
        <v>115.4</v>
      </c>
      <c r="F335">
        <v>115.1</v>
      </c>
      <c r="G335">
        <v>114.7</v>
      </c>
      <c r="H335" s="1" t="s">
        <v>206</v>
      </c>
    </row>
    <row r="336" spans="1:8" x14ac:dyDescent="0.3">
      <c r="A336">
        <v>2014</v>
      </c>
      <c r="B336" t="s">
        <v>37</v>
      </c>
      <c r="C336" t="s">
        <v>66</v>
      </c>
      <c r="D336" s="1" t="s">
        <v>23</v>
      </c>
      <c r="E336">
        <v>111.8</v>
      </c>
      <c r="F336">
        <v>111.5</v>
      </c>
      <c r="G336">
        <v>111</v>
      </c>
      <c r="H336" s="1" t="s">
        <v>23</v>
      </c>
    </row>
    <row r="337" spans="1:8" x14ac:dyDescent="0.3">
      <c r="A337">
        <v>2014</v>
      </c>
      <c r="B337" t="s">
        <v>37</v>
      </c>
      <c r="C337" t="s">
        <v>66</v>
      </c>
      <c r="D337" s="1" t="s">
        <v>22</v>
      </c>
      <c r="E337">
        <v>113.7</v>
      </c>
      <c r="F337">
        <v>113.6</v>
      </c>
      <c r="G337">
        <v>113.4</v>
      </c>
      <c r="H337" s="1" t="s">
        <v>20</v>
      </c>
    </row>
    <row r="338" spans="1:8" x14ac:dyDescent="0.3">
      <c r="A338">
        <v>2014</v>
      </c>
      <c r="B338" t="s">
        <v>37</v>
      </c>
      <c r="C338" t="s">
        <v>66</v>
      </c>
      <c r="D338" s="1" t="s">
        <v>20</v>
      </c>
      <c r="E338">
        <v>0</v>
      </c>
      <c r="F338">
        <v>113.9</v>
      </c>
      <c r="G338">
        <v>113.9</v>
      </c>
      <c r="H338" s="1" t="s">
        <v>20</v>
      </c>
    </row>
    <row r="339" spans="1:8" x14ac:dyDescent="0.3">
      <c r="A339">
        <v>2014</v>
      </c>
      <c r="B339" t="s">
        <v>37</v>
      </c>
      <c r="C339" t="s">
        <v>66</v>
      </c>
      <c r="D339" s="1" t="s">
        <v>4</v>
      </c>
      <c r="E339">
        <v>118.9</v>
      </c>
      <c r="F339">
        <v>119.9</v>
      </c>
      <c r="G339">
        <v>121.7</v>
      </c>
      <c r="H339" s="1" t="s">
        <v>188</v>
      </c>
    </row>
    <row r="340" spans="1:8" x14ac:dyDescent="0.3">
      <c r="A340">
        <v>2014</v>
      </c>
      <c r="B340" t="s">
        <v>37</v>
      </c>
      <c r="C340" t="s">
        <v>66</v>
      </c>
      <c r="D340" s="1" t="s">
        <v>6</v>
      </c>
      <c r="E340">
        <v>117</v>
      </c>
      <c r="F340">
        <v>117</v>
      </c>
      <c r="G340">
        <v>117</v>
      </c>
      <c r="H340" s="1" t="s">
        <v>188</v>
      </c>
    </row>
    <row r="341" spans="1:8" x14ac:dyDescent="0.3">
      <c r="A341">
        <v>2014</v>
      </c>
      <c r="B341" t="s">
        <v>37</v>
      </c>
      <c r="C341" t="s">
        <v>66</v>
      </c>
      <c r="D341" s="1" t="s">
        <v>28</v>
      </c>
      <c r="E341">
        <v>111.5</v>
      </c>
      <c r="F341">
        <v>111.5</v>
      </c>
      <c r="G341">
        <v>111.4</v>
      </c>
      <c r="H341" s="1" t="s">
        <v>192</v>
      </c>
    </row>
    <row r="342" spans="1:8" x14ac:dyDescent="0.3">
      <c r="A342">
        <v>2014</v>
      </c>
      <c r="B342" t="s">
        <v>37</v>
      </c>
      <c r="C342" t="s">
        <v>66</v>
      </c>
      <c r="D342" s="1" t="s">
        <v>13</v>
      </c>
      <c r="E342">
        <v>113.5</v>
      </c>
      <c r="F342">
        <v>113.2</v>
      </c>
      <c r="G342">
        <v>112.7</v>
      </c>
      <c r="H342" s="1" t="s">
        <v>188</v>
      </c>
    </row>
    <row r="343" spans="1:8" x14ac:dyDescent="0.3">
      <c r="A343">
        <v>2014</v>
      </c>
      <c r="B343" t="s">
        <v>37</v>
      </c>
      <c r="C343" t="s">
        <v>66</v>
      </c>
      <c r="D343" s="1" t="s">
        <v>7</v>
      </c>
      <c r="E343">
        <v>109.7</v>
      </c>
      <c r="F343">
        <v>107.3</v>
      </c>
      <c r="G343">
        <v>103.1</v>
      </c>
      <c r="H343" s="1" t="s">
        <v>188</v>
      </c>
    </row>
    <row r="344" spans="1:8" x14ac:dyDescent="0.3">
      <c r="A344">
        <v>2014</v>
      </c>
      <c r="B344" t="s">
        <v>37</v>
      </c>
      <c r="C344" t="s">
        <v>66</v>
      </c>
      <c r="D344" s="1" t="s">
        <v>16</v>
      </c>
      <c r="E344">
        <v>115.4</v>
      </c>
      <c r="F344">
        <v>116</v>
      </c>
      <c r="G344">
        <v>117.6</v>
      </c>
      <c r="H344" s="1" t="s">
        <v>192</v>
      </c>
    </row>
    <row r="345" spans="1:8" x14ac:dyDescent="0.3">
      <c r="A345">
        <v>2014</v>
      </c>
      <c r="B345" t="s">
        <v>37</v>
      </c>
      <c r="C345" t="s">
        <v>66</v>
      </c>
      <c r="D345" s="1" t="s">
        <v>27</v>
      </c>
      <c r="E345">
        <v>108.9</v>
      </c>
      <c r="F345">
        <v>109</v>
      </c>
      <c r="G345">
        <v>109.1</v>
      </c>
      <c r="H345" s="1" t="s">
        <v>192</v>
      </c>
    </row>
    <row r="346" spans="1:8" x14ac:dyDescent="0.3">
      <c r="A346">
        <v>2014</v>
      </c>
      <c r="B346" t="s">
        <v>37</v>
      </c>
      <c r="C346" t="s">
        <v>66</v>
      </c>
      <c r="D346" s="1" t="s">
        <v>14</v>
      </c>
      <c r="E346">
        <v>118.7</v>
      </c>
      <c r="F346">
        <v>119.8</v>
      </c>
      <c r="G346">
        <v>121</v>
      </c>
      <c r="H346" s="1" t="s">
        <v>188</v>
      </c>
    </row>
    <row r="347" spans="1:8" x14ac:dyDescent="0.3">
      <c r="A347">
        <v>2014</v>
      </c>
      <c r="B347" t="s">
        <v>37</v>
      </c>
      <c r="C347" t="s">
        <v>66</v>
      </c>
      <c r="D347" s="1" t="s">
        <v>10</v>
      </c>
      <c r="E347">
        <v>111</v>
      </c>
      <c r="F347">
        <v>111</v>
      </c>
      <c r="G347">
        <v>111</v>
      </c>
      <c r="H347" s="1" t="s">
        <v>188</v>
      </c>
    </row>
    <row r="348" spans="1:8" x14ac:dyDescent="0.3">
      <c r="A348">
        <v>2014</v>
      </c>
      <c r="B348" t="s">
        <v>37</v>
      </c>
      <c r="C348" t="s">
        <v>66</v>
      </c>
      <c r="D348" s="1" t="s">
        <v>25</v>
      </c>
      <c r="E348">
        <v>110.5</v>
      </c>
      <c r="F348">
        <v>110.9</v>
      </c>
      <c r="G348">
        <v>111.2</v>
      </c>
      <c r="H348" s="1" t="s">
        <v>195</v>
      </c>
    </row>
    <row r="349" spans="1:8" x14ac:dyDescent="0.3">
      <c r="A349">
        <v>2014</v>
      </c>
      <c r="B349" t="s">
        <v>37</v>
      </c>
      <c r="C349" t="s">
        <v>66</v>
      </c>
      <c r="D349" s="1" t="s">
        <v>12</v>
      </c>
      <c r="E349">
        <v>111.2</v>
      </c>
      <c r="F349">
        <v>112.6</v>
      </c>
      <c r="G349">
        <v>115.3</v>
      </c>
      <c r="H349" s="1" t="s">
        <v>188</v>
      </c>
    </row>
    <row r="350" spans="1:8" x14ac:dyDescent="0.3">
      <c r="A350">
        <v>2014</v>
      </c>
      <c r="B350" t="s">
        <v>37</v>
      </c>
      <c r="C350" t="s">
        <v>66</v>
      </c>
      <c r="D350" s="1" t="s">
        <v>11</v>
      </c>
      <c r="E350">
        <v>102.6</v>
      </c>
      <c r="F350">
        <v>101.8</v>
      </c>
      <c r="G350">
        <v>100.3</v>
      </c>
      <c r="H350" s="1" t="s">
        <v>188</v>
      </c>
    </row>
    <row r="351" spans="1:8" x14ac:dyDescent="0.3">
      <c r="A351">
        <v>2014</v>
      </c>
      <c r="B351" t="s">
        <v>37</v>
      </c>
      <c r="C351" t="s">
        <v>66</v>
      </c>
      <c r="D351" s="1" t="s">
        <v>24</v>
      </c>
      <c r="E351">
        <v>111.2</v>
      </c>
      <c r="F351">
        <v>111.2</v>
      </c>
      <c r="G351">
        <v>111.2</v>
      </c>
      <c r="H351" s="1" t="s">
        <v>191</v>
      </c>
    </row>
    <row r="352" spans="1:8" x14ac:dyDescent="0.3">
      <c r="A352">
        <v>2014</v>
      </c>
      <c r="B352" t="s">
        <v>37</v>
      </c>
      <c r="C352" t="s">
        <v>66</v>
      </c>
      <c r="D352" s="1" t="s">
        <v>9</v>
      </c>
      <c r="E352">
        <v>120.5</v>
      </c>
      <c r="F352">
        <v>120.7</v>
      </c>
      <c r="G352">
        <v>121.2</v>
      </c>
      <c r="H352" s="1" t="s">
        <v>188</v>
      </c>
    </row>
    <row r="353" spans="1:8" x14ac:dyDescent="0.3">
      <c r="A353">
        <v>2014</v>
      </c>
      <c r="B353" t="s">
        <v>41</v>
      </c>
      <c r="C353" t="s">
        <v>67</v>
      </c>
      <c r="D353" s="1" t="s">
        <v>3</v>
      </c>
      <c r="E353">
        <v>121.8</v>
      </c>
      <c r="F353">
        <v>122.7</v>
      </c>
      <c r="G353">
        <v>124.8</v>
      </c>
      <c r="H353" s="1" t="s">
        <v>188</v>
      </c>
    </row>
    <row r="354" spans="1:8" x14ac:dyDescent="0.3">
      <c r="A354">
        <v>2014</v>
      </c>
      <c r="B354" t="s">
        <v>41</v>
      </c>
      <c r="C354" t="s">
        <v>67</v>
      </c>
      <c r="D354" s="1" t="s">
        <v>17</v>
      </c>
      <c r="E354">
        <v>120.9</v>
      </c>
      <c r="F354">
        <v>120</v>
      </c>
      <c r="G354">
        <v>118.6</v>
      </c>
      <c r="H354" s="1" t="s">
        <v>189</v>
      </c>
    </row>
    <row r="355" spans="1:8" x14ac:dyDescent="0.3">
      <c r="A355">
        <v>2014</v>
      </c>
      <c r="B355" t="s">
        <v>41</v>
      </c>
      <c r="C355" t="s">
        <v>67</v>
      </c>
      <c r="D355" s="1" t="s">
        <v>19</v>
      </c>
      <c r="E355">
        <v>120.7</v>
      </c>
      <c r="F355">
        <v>119.6</v>
      </c>
      <c r="G355">
        <v>117.9</v>
      </c>
      <c r="H355" s="1" t="s">
        <v>189</v>
      </c>
    </row>
    <row r="356" spans="1:8" x14ac:dyDescent="0.3">
      <c r="A356">
        <v>2014</v>
      </c>
      <c r="B356" t="s">
        <v>41</v>
      </c>
      <c r="C356" t="s">
        <v>67</v>
      </c>
      <c r="D356" s="1" t="s">
        <v>26</v>
      </c>
      <c r="E356">
        <v>116.2</v>
      </c>
      <c r="F356">
        <v>118</v>
      </c>
      <c r="G356">
        <v>119.2</v>
      </c>
      <c r="H356" s="1" t="s">
        <v>26</v>
      </c>
    </row>
    <row r="357" spans="1:8" x14ac:dyDescent="0.3">
      <c r="A357">
        <v>2014</v>
      </c>
      <c r="B357" t="s">
        <v>41</v>
      </c>
      <c r="C357" t="s">
        <v>67</v>
      </c>
      <c r="D357" s="1" t="s">
        <v>5</v>
      </c>
      <c r="E357">
        <v>117.8</v>
      </c>
      <c r="F357">
        <v>117.3</v>
      </c>
      <c r="G357">
        <v>116.5</v>
      </c>
      <c r="H357" s="1" t="s">
        <v>188</v>
      </c>
    </row>
    <row r="358" spans="1:8" x14ac:dyDescent="0.3">
      <c r="A358">
        <v>2014</v>
      </c>
      <c r="B358" t="s">
        <v>41</v>
      </c>
      <c r="C358" t="s">
        <v>67</v>
      </c>
      <c r="D358" s="1" t="s">
        <v>15</v>
      </c>
      <c r="E358">
        <v>125.3</v>
      </c>
      <c r="F358">
        <v>126.6</v>
      </c>
      <c r="G358">
        <v>128.9</v>
      </c>
      <c r="H358" s="1" t="s">
        <v>188</v>
      </c>
    </row>
    <row r="359" spans="1:8" x14ac:dyDescent="0.3">
      <c r="A359">
        <v>2014</v>
      </c>
      <c r="B359" t="s">
        <v>41</v>
      </c>
      <c r="C359" t="s">
        <v>67</v>
      </c>
      <c r="D359" s="1" t="s">
        <v>18</v>
      </c>
      <c r="E359">
        <v>118.8</v>
      </c>
      <c r="F359">
        <v>116.8</v>
      </c>
      <c r="G359">
        <v>114.1</v>
      </c>
      <c r="H359" s="1" t="s">
        <v>189</v>
      </c>
    </row>
    <row r="360" spans="1:8" x14ac:dyDescent="0.3">
      <c r="A360">
        <v>2014</v>
      </c>
      <c r="B360" t="s">
        <v>41</v>
      </c>
      <c r="C360" t="s">
        <v>67</v>
      </c>
      <c r="D360" s="1" t="s">
        <v>8</v>
      </c>
      <c r="E360">
        <v>129.69999999999999</v>
      </c>
      <c r="F360">
        <v>131.1</v>
      </c>
      <c r="G360">
        <v>132.69999999999999</v>
      </c>
      <c r="H360" s="1" t="s">
        <v>188</v>
      </c>
    </row>
    <row r="361" spans="1:8" x14ac:dyDescent="0.3">
      <c r="A361">
        <v>2014</v>
      </c>
      <c r="B361" t="s">
        <v>41</v>
      </c>
      <c r="C361" t="s">
        <v>67</v>
      </c>
      <c r="D361" s="1" t="s">
        <v>21</v>
      </c>
      <c r="E361">
        <v>115.4</v>
      </c>
      <c r="F361">
        <v>114</v>
      </c>
      <c r="G361">
        <v>111.8</v>
      </c>
      <c r="H361" s="1" t="s">
        <v>190</v>
      </c>
    </row>
    <row r="362" spans="1:8" x14ac:dyDescent="0.3">
      <c r="A362">
        <v>2014</v>
      </c>
      <c r="B362" t="s">
        <v>41</v>
      </c>
      <c r="C362" t="s">
        <v>67</v>
      </c>
      <c r="D362" s="1" t="s">
        <v>29</v>
      </c>
      <c r="E362">
        <v>120.7</v>
      </c>
      <c r="F362">
        <v>120.3</v>
      </c>
      <c r="G362">
        <v>119.9</v>
      </c>
      <c r="H362" s="1" t="s">
        <v>206</v>
      </c>
    </row>
    <row r="363" spans="1:8" x14ac:dyDescent="0.3">
      <c r="A363">
        <v>2014</v>
      </c>
      <c r="B363" t="s">
        <v>41</v>
      </c>
      <c r="C363" t="s">
        <v>67</v>
      </c>
      <c r="D363" s="1" t="s">
        <v>23</v>
      </c>
      <c r="E363">
        <v>114</v>
      </c>
      <c r="F363">
        <v>113.3</v>
      </c>
      <c r="G363">
        <v>112.2</v>
      </c>
      <c r="H363" s="1" t="s">
        <v>23</v>
      </c>
    </row>
    <row r="364" spans="1:8" x14ac:dyDescent="0.3">
      <c r="A364">
        <v>2014</v>
      </c>
      <c r="B364" t="s">
        <v>41</v>
      </c>
      <c r="C364" t="s">
        <v>67</v>
      </c>
      <c r="D364" s="1" t="s">
        <v>22</v>
      </c>
      <c r="E364">
        <v>115.9</v>
      </c>
      <c r="F364">
        <v>115.6</v>
      </c>
      <c r="G364">
        <v>115.3</v>
      </c>
      <c r="H364" s="1" t="s">
        <v>20</v>
      </c>
    </row>
    <row r="365" spans="1:8" x14ac:dyDescent="0.3">
      <c r="A365">
        <v>2014</v>
      </c>
      <c r="B365" t="s">
        <v>41</v>
      </c>
      <c r="C365" t="s">
        <v>67</v>
      </c>
      <c r="D365" s="1" t="s">
        <v>20</v>
      </c>
      <c r="E365">
        <v>0</v>
      </c>
      <c r="F365">
        <v>115.5</v>
      </c>
      <c r="G365">
        <v>115.5</v>
      </c>
      <c r="H365" s="1" t="s">
        <v>20</v>
      </c>
    </row>
    <row r="366" spans="1:8" x14ac:dyDescent="0.3">
      <c r="A366">
        <v>2014</v>
      </c>
      <c r="B366" t="s">
        <v>41</v>
      </c>
      <c r="C366" t="s">
        <v>67</v>
      </c>
      <c r="D366" s="1" t="s">
        <v>4</v>
      </c>
      <c r="E366">
        <v>122.8</v>
      </c>
      <c r="F366">
        <v>124.4</v>
      </c>
      <c r="G366">
        <v>127.3</v>
      </c>
      <c r="H366" s="1" t="s">
        <v>188</v>
      </c>
    </row>
    <row r="367" spans="1:8" x14ac:dyDescent="0.3">
      <c r="A367">
        <v>2014</v>
      </c>
      <c r="B367" t="s">
        <v>41</v>
      </c>
      <c r="C367" t="s">
        <v>67</v>
      </c>
      <c r="D367" s="1" t="s">
        <v>6</v>
      </c>
      <c r="E367">
        <v>121.9</v>
      </c>
      <c r="F367">
        <v>122</v>
      </c>
      <c r="G367">
        <v>122.2</v>
      </c>
      <c r="H367" s="1" t="s">
        <v>188</v>
      </c>
    </row>
    <row r="368" spans="1:8" x14ac:dyDescent="0.3">
      <c r="A368">
        <v>2014</v>
      </c>
      <c r="B368" t="s">
        <v>41</v>
      </c>
      <c r="C368" t="s">
        <v>67</v>
      </c>
      <c r="D368" s="1" t="s">
        <v>28</v>
      </c>
      <c r="E368">
        <v>113.5</v>
      </c>
      <c r="F368">
        <v>113.7</v>
      </c>
      <c r="G368">
        <v>113.9</v>
      </c>
      <c r="H368" s="1" t="s">
        <v>192</v>
      </c>
    </row>
    <row r="369" spans="1:8" x14ac:dyDescent="0.3">
      <c r="A369">
        <v>2014</v>
      </c>
      <c r="B369" t="s">
        <v>41</v>
      </c>
      <c r="C369" t="s">
        <v>67</v>
      </c>
      <c r="D369" s="1" t="s">
        <v>13</v>
      </c>
      <c r="E369">
        <v>115.8</v>
      </c>
      <c r="F369">
        <v>115.2</v>
      </c>
      <c r="G369">
        <v>114.4</v>
      </c>
      <c r="H369" s="1" t="s">
        <v>188</v>
      </c>
    </row>
    <row r="370" spans="1:8" x14ac:dyDescent="0.3">
      <c r="A370">
        <v>2014</v>
      </c>
      <c r="B370" t="s">
        <v>41</v>
      </c>
      <c r="C370" t="s">
        <v>67</v>
      </c>
      <c r="D370" s="1" t="s">
        <v>7</v>
      </c>
      <c r="E370">
        <v>110.6</v>
      </c>
      <c r="F370">
        <v>108</v>
      </c>
      <c r="G370">
        <v>103.6</v>
      </c>
      <c r="H370" s="1" t="s">
        <v>188</v>
      </c>
    </row>
    <row r="371" spans="1:8" x14ac:dyDescent="0.3">
      <c r="A371">
        <v>2014</v>
      </c>
      <c r="B371" t="s">
        <v>41</v>
      </c>
      <c r="C371" t="s">
        <v>67</v>
      </c>
      <c r="D371" s="1" t="s">
        <v>16</v>
      </c>
      <c r="E371">
        <v>118.8</v>
      </c>
      <c r="F371">
        <v>119.9</v>
      </c>
      <c r="G371">
        <v>123</v>
      </c>
      <c r="H371" s="1" t="s">
        <v>192</v>
      </c>
    </row>
    <row r="372" spans="1:8" x14ac:dyDescent="0.3">
      <c r="A372">
        <v>2014</v>
      </c>
      <c r="B372" t="s">
        <v>41</v>
      </c>
      <c r="C372" t="s">
        <v>67</v>
      </c>
      <c r="D372" s="1" t="s">
        <v>27</v>
      </c>
      <c r="E372">
        <v>109.4</v>
      </c>
      <c r="F372">
        <v>109.9</v>
      </c>
      <c r="G372">
        <v>110.5</v>
      </c>
      <c r="H372" s="1" t="s">
        <v>192</v>
      </c>
    </row>
    <row r="373" spans="1:8" x14ac:dyDescent="0.3">
      <c r="A373">
        <v>2014</v>
      </c>
      <c r="B373" t="s">
        <v>41</v>
      </c>
      <c r="C373" t="s">
        <v>67</v>
      </c>
      <c r="D373" s="1" t="s">
        <v>14</v>
      </c>
      <c r="E373">
        <v>121.7</v>
      </c>
      <c r="F373">
        <v>123.1</v>
      </c>
      <c r="G373">
        <v>124.7</v>
      </c>
      <c r="H373" s="1" t="s">
        <v>188</v>
      </c>
    </row>
    <row r="374" spans="1:8" x14ac:dyDescent="0.3">
      <c r="A374">
        <v>2014</v>
      </c>
      <c r="B374" t="s">
        <v>41</v>
      </c>
      <c r="C374" t="s">
        <v>67</v>
      </c>
      <c r="D374" s="1" t="s">
        <v>10</v>
      </c>
      <c r="E374">
        <v>114.1</v>
      </c>
      <c r="F374">
        <v>114.5</v>
      </c>
      <c r="G374">
        <v>115.2</v>
      </c>
      <c r="H374" s="1" t="s">
        <v>188</v>
      </c>
    </row>
    <row r="375" spans="1:8" x14ac:dyDescent="0.3">
      <c r="A375">
        <v>2014</v>
      </c>
      <c r="B375" t="s">
        <v>41</v>
      </c>
      <c r="C375" t="s">
        <v>67</v>
      </c>
      <c r="D375" s="1" t="s">
        <v>25</v>
      </c>
      <c r="E375">
        <v>112.2</v>
      </c>
      <c r="F375">
        <v>112.6</v>
      </c>
      <c r="G375">
        <v>112.9</v>
      </c>
      <c r="H375" s="1" t="s">
        <v>195</v>
      </c>
    </row>
    <row r="376" spans="1:8" x14ac:dyDescent="0.3">
      <c r="A376">
        <v>2014</v>
      </c>
      <c r="B376" t="s">
        <v>41</v>
      </c>
      <c r="C376" t="s">
        <v>67</v>
      </c>
      <c r="D376" s="1" t="s">
        <v>12</v>
      </c>
      <c r="E376">
        <v>114.6</v>
      </c>
      <c r="F376">
        <v>117.1</v>
      </c>
      <c r="G376">
        <v>122.1</v>
      </c>
      <c r="H376" s="1" t="s">
        <v>188</v>
      </c>
    </row>
    <row r="377" spans="1:8" x14ac:dyDescent="0.3">
      <c r="A377">
        <v>2014</v>
      </c>
      <c r="B377" t="s">
        <v>41</v>
      </c>
      <c r="C377" t="s">
        <v>67</v>
      </c>
      <c r="D377" s="1" t="s">
        <v>11</v>
      </c>
      <c r="E377">
        <v>105.1</v>
      </c>
      <c r="F377">
        <v>104.3</v>
      </c>
      <c r="G377">
        <v>102.7</v>
      </c>
      <c r="H377" s="1" t="s">
        <v>188</v>
      </c>
    </row>
    <row r="378" spans="1:8" x14ac:dyDescent="0.3">
      <c r="A378">
        <v>2014</v>
      </c>
      <c r="B378" t="s">
        <v>41</v>
      </c>
      <c r="C378" t="s">
        <v>67</v>
      </c>
      <c r="D378" s="1" t="s">
        <v>24</v>
      </c>
      <c r="E378">
        <v>113.2</v>
      </c>
      <c r="F378">
        <v>112.8</v>
      </c>
      <c r="G378">
        <v>112.5</v>
      </c>
      <c r="H378" s="1" t="s">
        <v>191</v>
      </c>
    </row>
    <row r="379" spans="1:8" x14ac:dyDescent="0.3">
      <c r="A379">
        <v>2014</v>
      </c>
      <c r="B379" t="s">
        <v>41</v>
      </c>
      <c r="C379" t="s">
        <v>67</v>
      </c>
      <c r="D379" s="1" t="s">
        <v>9</v>
      </c>
      <c r="E379">
        <v>161.1</v>
      </c>
      <c r="F379">
        <v>168.2</v>
      </c>
      <c r="G379">
        <v>181.9</v>
      </c>
      <c r="H379" s="1" t="s">
        <v>188</v>
      </c>
    </row>
    <row r="380" spans="1:8" x14ac:dyDescent="0.3">
      <c r="A380">
        <v>2014</v>
      </c>
      <c r="B380" t="s">
        <v>45</v>
      </c>
      <c r="C380" t="s">
        <v>68</v>
      </c>
      <c r="D380" s="1" t="s">
        <v>3</v>
      </c>
      <c r="E380">
        <v>122.4</v>
      </c>
      <c r="F380">
        <v>122.9</v>
      </c>
      <c r="G380">
        <v>124</v>
      </c>
      <c r="H380" s="1" t="s">
        <v>188</v>
      </c>
    </row>
    <row r="381" spans="1:8" x14ac:dyDescent="0.3">
      <c r="A381">
        <v>2014</v>
      </c>
      <c r="B381" t="s">
        <v>45</v>
      </c>
      <c r="C381" t="s">
        <v>68</v>
      </c>
      <c r="D381" s="1" t="s">
        <v>17</v>
      </c>
      <c r="E381">
        <v>123.8</v>
      </c>
      <c r="F381">
        <v>122.6</v>
      </c>
      <c r="G381">
        <v>120.7</v>
      </c>
      <c r="H381" s="1" t="s">
        <v>189</v>
      </c>
    </row>
    <row r="382" spans="1:8" x14ac:dyDescent="0.3">
      <c r="A382">
        <v>2014</v>
      </c>
      <c r="B382" t="s">
        <v>45</v>
      </c>
      <c r="C382" t="s">
        <v>68</v>
      </c>
      <c r="D382" s="1" t="s">
        <v>19</v>
      </c>
      <c r="E382">
        <v>123.3</v>
      </c>
      <c r="F382">
        <v>122</v>
      </c>
      <c r="G382">
        <v>120</v>
      </c>
      <c r="H382" s="1" t="s">
        <v>189</v>
      </c>
    </row>
    <row r="383" spans="1:8" x14ac:dyDescent="0.3">
      <c r="A383">
        <v>2014</v>
      </c>
      <c r="B383" t="s">
        <v>45</v>
      </c>
      <c r="C383" t="s">
        <v>68</v>
      </c>
      <c r="D383" s="1" t="s">
        <v>26</v>
      </c>
      <c r="E383">
        <v>117.7</v>
      </c>
      <c r="F383">
        <v>119.5</v>
      </c>
      <c r="G383">
        <v>120.7</v>
      </c>
      <c r="H383" s="1" t="s">
        <v>26</v>
      </c>
    </row>
    <row r="384" spans="1:8" x14ac:dyDescent="0.3">
      <c r="A384">
        <v>2014</v>
      </c>
      <c r="B384" t="s">
        <v>45</v>
      </c>
      <c r="C384" t="s">
        <v>68</v>
      </c>
      <c r="D384" s="1" t="s">
        <v>5</v>
      </c>
      <c r="E384">
        <v>121.8</v>
      </c>
      <c r="F384">
        <v>123.5</v>
      </c>
      <c r="G384">
        <v>126.3</v>
      </c>
      <c r="H384" s="1" t="s">
        <v>188</v>
      </c>
    </row>
    <row r="385" spans="1:8" x14ac:dyDescent="0.3">
      <c r="A385">
        <v>2014</v>
      </c>
      <c r="B385" t="s">
        <v>45</v>
      </c>
      <c r="C385" t="s">
        <v>68</v>
      </c>
      <c r="D385" s="1" t="s">
        <v>15</v>
      </c>
      <c r="E385">
        <v>123.3</v>
      </c>
      <c r="F385">
        <v>123.6</v>
      </c>
      <c r="G385">
        <v>124</v>
      </c>
      <c r="H385" s="1" t="s">
        <v>188</v>
      </c>
    </row>
    <row r="386" spans="1:8" x14ac:dyDescent="0.3">
      <c r="A386">
        <v>2014</v>
      </c>
      <c r="B386" t="s">
        <v>45</v>
      </c>
      <c r="C386" t="s">
        <v>68</v>
      </c>
      <c r="D386" s="1" t="s">
        <v>18</v>
      </c>
      <c r="E386">
        <v>120.6</v>
      </c>
      <c r="F386">
        <v>118.6</v>
      </c>
      <c r="G386">
        <v>115.8</v>
      </c>
      <c r="H386" s="1" t="s">
        <v>189</v>
      </c>
    </row>
    <row r="387" spans="1:8" x14ac:dyDescent="0.3">
      <c r="A387">
        <v>2014</v>
      </c>
      <c r="B387" t="s">
        <v>45</v>
      </c>
      <c r="C387" t="s">
        <v>68</v>
      </c>
      <c r="D387" s="1" t="s">
        <v>8</v>
      </c>
      <c r="E387">
        <v>128.6</v>
      </c>
      <c r="F387">
        <v>125.7</v>
      </c>
      <c r="G387">
        <v>122.3</v>
      </c>
      <c r="H387" s="1" t="s">
        <v>188</v>
      </c>
    </row>
    <row r="388" spans="1:8" x14ac:dyDescent="0.3">
      <c r="A388">
        <v>2014</v>
      </c>
      <c r="B388" t="s">
        <v>45</v>
      </c>
      <c r="C388" t="s">
        <v>68</v>
      </c>
      <c r="D388" s="1" t="s">
        <v>21</v>
      </c>
      <c r="E388">
        <v>117.4</v>
      </c>
      <c r="F388">
        <v>115.7</v>
      </c>
      <c r="G388">
        <v>113</v>
      </c>
      <c r="H388" s="1" t="s">
        <v>190</v>
      </c>
    </row>
    <row r="389" spans="1:8" x14ac:dyDescent="0.3">
      <c r="A389">
        <v>2014</v>
      </c>
      <c r="B389" t="s">
        <v>45</v>
      </c>
      <c r="C389" t="s">
        <v>68</v>
      </c>
      <c r="D389" s="1" t="s">
        <v>29</v>
      </c>
      <c r="E389">
        <v>120.3</v>
      </c>
      <c r="F389">
        <v>119.4</v>
      </c>
      <c r="G389">
        <v>118.4</v>
      </c>
      <c r="H389" s="1" t="s">
        <v>206</v>
      </c>
    </row>
    <row r="390" spans="1:8" x14ac:dyDescent="0.3">
      <c r="A390">
        <v>2014</v>
      </c>
      <c r="B390" t="s">
        <v>45</v>
      </c>
      <c r="C390" t="s">
        <v>68</v>
      </c>
      <c r="D390" s="1" t="s">
        <v>23</v>
      </c>
      <c r="E390">
        <v>116.2</v>
      </c>
      <c r="F390">
        <v>115.1</v>
      </c>
      <c r="G390">
        <v>113.2</v>
      </c>
      <c r="H390" s="1" t="s">
        <v>23</v>
      </c>
    </row>
    <row r="391" spans="1:8" x14ac:dyDescent="0.3">
      <c r="A391">
        <v>2014</v>
      </c>
      <c r="B391" t="s">
        <v>45</v>
      </c>
      <c r="C391" t="s">
        <v>68</v>
      </c>
      <c r="D391" s="1" t="s">
        <v>22</v>
      </c>
      <c r="E391">
        <v>118.2</v>
      </c>
      <c r="F391">
        <v>117.5</v>
      </c>
      <c r="G391">
        <v>116.8</v>
      </c>
      <c r="H391" s="1" t="s">
        <v>20</v>
      </c>
    </row>
    <row r="392" spans="1:8" x14ac:dyDescent="0.3">
      <c r="A392">
        <v>2014</v>
      </c>
      <c r="B392" t="s">
        <v>45</v>
      </c>
      <c r="C392" t="s">
        <v>68</v>
      </c>
      <c r="D392" s="1" t="s">
        <v>20</v>
      </c>
      <c r="E392">
        <v>0</v>
      </c>
      <c r="F392">
        <v>116.5</v>
      </c>
      <c r="G392">
        <v>116.5</v>
      </c>
      <c r="H392" s="1" t="s">
        <v>20</v>
      </c>
    </row>
    <row r="393" spans="1:8" x14ac:dyDescent="0.3">
      <c r="A393">
        <v>2014</v>
      </c>
      <c r="B393" t="s">
        <v>45</v>
      </c>
      <c r="C393" t="s">
        <v>68</v>
      </c>
      <c r="D393" s="1" t="s">
        <v>4</v>
      </c>
      <c r="E393">
        <v>122.4</v>
      </c>
      <c r="F393">
        <v>123.2</v>
      </c>
      <c r="G393">
        <v>124.7</v>
      </c>
      <c r="H393" s="1" t="s">
        <v>188</v>
      </c>
    </row>
    <row r="394" spans="1:8" x14ac:dyDescent="0.3">
      <c r="A394">
        <v>2014</v>
      </c>
      <c r="B394" t="s">
        <v>45</v>
      </c>
      <c r="C394" t="s">
        <v>68</v>
      </c>
      <c r="D394" s="1" t="s">
        <v>6</v>
      </c>
      <c r="E394">
        <v>124.2</v>
      </c>
      <c r="F394">
        <v>124.5</v>
      </c>
      <c r="G394">
        <v>124.9</v>
      </c>
      <c r="H394" s="1" t="s">
        <v>188</v>
      </c>
    </row>
    <row r="395" spans="1:8" x14ac:dyDescent="0.3">
      <c r="A395">
        <v>2014</v>
      </c>
      <c r="B395" t="s">
        <v>45</v>
      </c>
      <c r="C395" t="s">
        <v>68</v>
      </c>
      <c r="D395" s="1" t="s">
        <v>28</v>
      </c>
      <c r="E395">
        <v>114.2</v>
      </c>
      <c r="F395">
        <v>113.8</v>
      </c>
      <c r="G395">
        <v>113.4</v>
      </c>
      <c r="H395" s="1" t="s">
        <v>192</v>
      </c>
    </row>
    <row r="396" spans="1:8" x14ac:dyDescent="0.3">
      <c r="A396">
        <v>2014</v>
      </c>
      <c r="B396" t="s">
        <v>45</v>
      </c>
      <c r="C396" t="s">
        <v>68</v>
      </c>
      <c r="D396" s="1" t="s">
        <v>13</v>
      </c>
      <c r="E396">
        <v>117.3</v>
      </c>
      <c r="F396">
        <v>116.8</v>
      </c>
      <c r="G396">
        <v>116.1</v>
      </c>
      <c r="H396" s="1" t="s">
        <v>188</v>
      </c>
    </row>
    <row r="397" spans="1:8" x14ac:dyDescent="0.3">
      <c r="A397">
        <v>2014</v>
      </c>
      <c r="B397" t="s">
        <v>45</v>
      </c>
      <c r="C397" t="s">
        <v>68</v>
      </c>
      <c r="D397" s="1" t="s">
        <v>7</v>
      </c>
      <c r="E397">
        <v>110.2</v>
      </c>
      <c r="F397">
        <v>107.6</v>
      </c>
      <c r="G397">
        <v>103</v>
      </c>
      <c r="H397" s="1" t="s">
        <v>188</v>
      </c>
    </row>
    <row r="398" spans="1:8" x14ac:dyDescent="0.3">
      <c r="A398">
        <v>2014</v>
      </c>
      <c r="B398" t="s">
        <v>45</v>
      </c>
      <c r="C398" t="s">
        <v>68</v>
      </c>
      <c r="D398" s="1" t="s">
        <v>16</v>
      </c>
      <c r="E398">
        <v>121.7</v>
      </c>
      <c r="F398">
        <v>123</v>
      </c>
      <c r="G398">
        <v>126.4</v>
      </c>
      <c r="H398" s="1" t="s">
        <v>192</v>
      </c>
    </row>
    <row r="399" spans="1:8" x14ac:dyDescent="0.3">
      <c r="A399">
        <v>2014</v>
      </c>
      <c r="B399" t="s">
        <v>45</v>
      </c>
      <c r="C399" t="s">
        <v>68</v>
      </c>
      <c r="D399" s="1" t="s">
        <v>27</v>
      </c>
      <c r="E399">
        <v>109.4</v>
      </c>
      <c r="F399">
        <v>109.8</v>
      </c>
      <c r="G399">
        <v>110.4</v>
      </c>
      <c r="H399" s="1" t="s">
        <v>192</v>
      </c>
    </row>
    <row r="400" spans="1:8" x14ac:dyDescent="0.3">
      <c r="A400">
        <v>2014</v>
      </c>
      <c r="B400" t="s">
        <v>45</v>
      </c>
      <c r="C400" t="s">
        <v>68</v>
      </c>
      <c r="D400" s="1" t="s">
        <v>14</v>
      </c>
      <c r="E400">
        <v>124.8</v>
      </c>
      <c r="F400">
        <v>126.1</v>
      </c>
      <c r="G400">
        <v>127.6</v>
      </c>
      <c r="H400" s="1" t="s">
        <v>188</v>
      </c>
    </row>
    <row r="401" spans="1:8" x14ac:dyDescent="0.3">
      <c r="A401">
        <v>2014</v>
      </c>
      <c r="B401" t="s">
        <v>45</v>
      </c>
      <c r="C401" t="s">
        <v>68</v>
      </c>
      <c r="D401" s="1" t="s">
        <v>10</v>
      </c>
      <c r="E401">
        <v>116.3</v>
      </c>
      <c r="F401">
        <v>117.6</v>
      </c>
      <c r="G401">
        <v>120.1</v>
      </c>
      <c r="H401" s="1" t="s">
        <v>188</v>
      </c>
    </row>
    <row r="402" spans="1:8" x14ac:dyDescent="0.3">
      <c r="A402">
        <v>2014</v>
      </c>
      <c r="B402" t="s">
        <v>45</v>
      </c>
      <c r="C402" t="s">
        <v>68</v>
      </c>
      <c r="D402" s="1" t="s">
        <v>25</v>
      </c>
      <c r="E402">
        <v>113.3</v>
      </c>
      <c r="F402">
        <v>113.9</v>
      </c>
      <c r="G402">
        <v>114.3</v>
      </c>
      <c r="H402" s="1" t="s">
        <v>195</v>
      </c>
    </row>
    <row r="403" spans="1:8" x14ac:dyDescent="0.3">
      <c r="A403">
        <v>2014</v>
      </c>
      <c r="B403" t="s">
        <v>45</v>
      </c>
      <c r="C403" t="s">
        <v>68</v>
      </c>
      <c r="D403" s="1" t="s">
        <v>12</v>
      </c>
      <c r="E403">
        <v>116</v>
      </c>
      <c r="F403">
        <v>119.1</v>
      </c>
      <c r="G403">
        <v>125.4</v>
      </c>
      <c r="H403" s="1" t="s">
        <v>188</v>
      </c>
    </row>
    <row r="404" spans="1:8" x14ac:dyDescent="0.3">
      <c r="A404">
        <v>2014</v>
      </c>
      <c r="B404" t="s">
        <v>45</v>
      </c>
      <c r="C404" t="s">
        <v>68</v>
      </c>
      <c r="D404" s="1" t="s">
        <v>11</v>
      </c>
      <c r="E404">
        <v>102</v>
      </c>
      <c r="F404">
        <v>100.6</v>
      </c>
      <c r="G404">
        <v>97.8</v>
      </c>
      <c r="H404" s="1" t="s">
        <v>188</v>
      </c>
    </row>
    <row r="405" spans="1:8" x14ac:dyDescent="0.3">
      <c r="A405">
        <v>2014</v>
      </c>
      <c r="B405" t="s">
        <v>45</v>
      </c>
      <c r="C405" t="s">
        <v>68</v>
      </c>
      <c r="D405" s="1" t="s">
        <v>24</v>
      </c>
      <c r="E405">
        <v>111.5</v>
      </c>
      <c r="F405">
        <v>110.1</v>
      </c>
      <c r="G405">
        <v>108.8</v>
      </c>
      <c r="H405" s="1" t="s">
        <v>191</v>
      </c>
    </row>
    <row r="406" spans="1:8" x14ac:dyDescent="0.3">
      <c r="A406">
        <v>2014</v>
      </c>
      <c r="B406" t="s">
        <v>45</v>
      </c>
      <c r="C406" t="s">
        <v>68</v>
      </c>
      <c r="D406" s="1" t="s">
        <v>9</v>
      </c>
      <c r="E406">
        <v>140.30000000000001</v>
      </c>
      <c r="F406">
        <v>140.5</v>
      </c>
      <c r="G406">
        <v>141</v>
      </c>
      <c r="H406" s="1" t="s">
        <v>188</v>
      </c>
    </row>
    <row r="407" spans="1:8" x14ac:dyDescent="0.3">
      <c r="A407">
        <v>2014</v>
      </c>
      <c r="B407" t="s">
        <v>35</v>
      </c>
      <c r="C407" t="s">
        <v>69</v>
      </c>
      <c r="D407" s="1" t="s">
        <v>3</v>
      </c>
      <c r="E407">
        <v>119.4</v>
      </c>
      <c r="F407">
        <v>120.2</v>
      </c>
      <c r="G407">
        <v>121.9</v>
      </c>
      <c r="H407" s="1" t="s">
        <v>188</v>
      </c>
    </row>
    <row r="408" spans="1:8" x14ac:dyDescent="0.3">
      <c r="A408">
        <v>2014</v>
      </c>
      <c r="B408" t="s">
        <v>35</v>
      </c>
      <c r="C408" t="s">
        <v>69</v>
      </c>
      <c r="D408" s="1" t="s">
        <v>17</v>
      </c>
      <c r="E408">
        <v>117.1</v>
      </c>
      <c r="F408">
        <v>116.4</v>
      </c>
      <c r="G408">
        <v>115.3</v>
      </c>
      <c r="H408" s="1" t="s">
        <v>189</v>
      </c>
    </row>
    <row r="409" spans="1:8" x14ac:dyDescent="0.3">
      <c r="A409">
        <v>2014</v>
      </c>
      <c r="B409" t="s">
        <v>35</v>
      </c>
      <c r="C409" t="s">
        <v>69</v>
      </c>
      <c r="D409" s="1" t="s">
        <v>19</v>
      </c>
      <c r="E409">
        <v>116.7</v>
      </c>
      <c r="F409">
        <v>115.9</v>
      </c>
      <c r="G409">
        <v>114.7</v>
      </c>
      <c r="H409" s="1" t="s">
        <v>189</v>
      </c>
    </row>
    <row r="410" spans="1:8" x14ac:dyDescent="0.3">
      <c r="A410">
        <v>2014</v>
      </c>
      <c r="B410" t="s">
        <v>35</v>
      </c>
      <c r="C410" t="s">
        <v>69</v>
      </c>
      <c r="D410" s="1" t="s">
        <v>26</v>
      </c>
      <c r="E410">
        <v>112</v>
      </c>
      <c r="F410">
        <v>111.8</v>
      </c>
      <c r="G410">
        <v>111.6</v>
      </c>
      <c r="H410" s="1" t="s">
        <v>26</v>
      </c>
    </row>
    <row r="411" spans="1:8" x14ac:dyDescent="0.3">
      <c r="A411">
        <v>2014</v>
      </c>
      <c r="B411" t="s">
        <v>35</v>
      </c>
      <c r="C411" t="s">
        <v>69</v>
      </c>
      <c r="D411" s="1" t="s">
        <v>5</v>
      </c>
      <c r="E411">
        <v>121.2</v>
      </c>
      <c r="F411">
        <v>122.5</v>
      </c>
      <c r="G411">
        <v>124.5</v>
      </c>
      <c r="H411" s="1" t="s">
        <v>188</v>
      </c>
    </row>
    <row r="412" spans="1:8" x14ac:dyDescent="0.3">
      <c r="A412">
        <v>2014</v>
      </c>
      <c r="B412" t="s">
        <v>35</v>
      </c>
      <c r="C412" t="s">
        <v>69</v>
      </c>
      <c r="D412" s="1" t="s">
        <v>15</v>
      </c>
      <c r="E412">
        <v>115.3</v>
      </c>
      <c r="F412">
        <v>115.3</v>
      </c>
      <c r="G412">
        <v>115.2</v>
      </c>
      <c r="H412" s="1" t="s">
        <v>188</v>
      </c>
    </row>
    <row r="413" spans="1:8" x14ac:dyDescent="0.3">
      <c r="A413">
        <v>2014</v>
      </c>
      <c r="B413" t="s">
        <v>35</v>
      </c>
      <c r="C413" t="s">
        <v>69</v>
      </c>
      <c r="D413" s="1" t="s">
        <v>18</v>
      </c>
      <c r="E413">
        <v>114.5</v>
      </c>
      <c r="F413">
        <v>113.3</v>
      </c>
      <c r="G413">
        <v>111.7</v>
      </c>
      <c r="H413" s="1" t="s">
        <v>189</v>
      </c>
    </row>
    <row r="414" spans="1:8" x14ac:dyDescent="0.3">
      <c r="A414">
        <v>2014</v>
      </c>
      <c r="B414" t="s">
        <v>35</v>
      </c>
      <c r="C414" t="s">
        <v>69</v>
      </c>
      <c r="D414" s="1" t="s">
        <v>8</v>
      </c>
      <c r="E414">
        <v>116.6</v>
      </c>
      <c r="F414">
        <v>115.4</v>
      </c>
      <c r="G414">
        <v>114.1</v>
      </c>
      <c r="H414" s="1" t="s">
        <v>188</v>
      </c>
    </row>
    <row r="415" spans="1:8" x14ac:dyDescent="0.3">
      <c r="A415">
        <v>2014</v>
      </c>
      <c r="B415" t="s">
        <v>35</v>
      </c>
      <c r="C415" t="s">
        <v>69</v>
      </c>
      <c r="D415" s="1" t="s">
        <v>21</v>
      </c>
      <c r="E415">
        <v>113.2</v>
      </c>
      <c r="F415">
        <v>112.4</v>
      </c>
      <c r="G415">
        <v>111.1</v>
      </c>
      <c r="H415" s="1" t="s">
        <v>190</v>
      </c>
    </row>
    <row r="416" spans="1:8" x14ac:dyDescent="0.3">
      <c r="A416">
        <v>2014</v>
      </c>
      <c r="B416" t="s">
        <v>35</v>
      </c>
      <c r="C416" t="s">
        <v>69</v>
      </c>
      <c r="D416" s="1" t="s">
        <v>29</v>
      </c>
      <c r="E416">
        <v>114</v>
      </c>
      <c r="F416">
        <v>113.6</v>
      </c>
      <c r="G416">
        <v>113.1</v>
      </c>
      <c r="H416" s="1" t="s">
        <v>206</v>
      </c>
    </row>
    <row r="417" spans="1:8" x14ac:dyDescent="0.3">
      <c r="A417">
        <v>2014</v>
      </c>
      <c r="B417" t="s">
        <v>35</v>
      </c>
      <c r="C417" t="s">
        <v>69</v>
      </c>
      <c r="D417" s="1" t="s">
        <v>23</v>
      </c>
      <c r="E417">
        <v>110.9</v>
      </c>
      <c r="F417">
        <v>110.7</v>
      </c>
      <c r="G417">
        <v>110.4</v>
      </c>
      <c r="H417" s="1" t="s">
        <v>23</v>
      </c>
    </row>
    <row r="418" spans="1:8" x14ac:dyDescent="0.3">
      <c r="A418">
        <v>2014</v>
      </c>
      <c r="B418" t="s">
        <v>35</v>
      </c>
      <c r="C418" t="s">
        <v>69</v>
      </c>
      <c r="D418" s="1" t="s">
        <v>22</v>
      </c>
      <c r="E418">
        <v>112.9</v>
      </c>
      <c r="F418">
        <v>112.8</v>
      </c>
      <c r="G418">
        <v>112.6</v>
      </c>
      <c r="H418" s="1" t="s">
        <v>20</v>
      </c>
    </row>
    <row r="419" spans="1:8" x14ac:dyDescent="0.3">
      <c r="A419">
        <v>2014</v>
      </c>
      <c r="B419" t="s">
        <v>35</v>
      </c>
      <c r="C419" t="s">
        <v>69</v>
      </c>
      <c r="D419" s="1" t="s">
        <v>20</v>
      </c>
      <c r="E419">
        <v>0</v>
      </c>
      <c r="F419">
        <v>112.5</v>
      </c>
      <c r="G419">
        <v>112.5</v>
      </c>
      <c r="H419" s="1" t="s">
        <v>20</v>
      </c>
    </row>
    <row r="420" spans="1:8" x14ac:dyDescent="0.3">
      <c r="A420">
        <v>2014</v>
      </c>
      <c r="B420" t="s">
        <v>35</v>
      </c>
      <c r="C420" t="s">
        <v>69</v>
      </c>
      <c r="D420" s="1" t="s">
        <v>4</v>
      </c>
      <c r="E420">
        <v>117.7</v>
      </c>
      <c r="F420">
        <v>119.2</v>
      </c>
      <c r="G420">
        <v>122</v>
      </c>
      <c r="H420" s="1" t="s">
        <v>188</v>
      </c>
    </row>
    <row r="421" spans="1:8" x14ac:dyDescent="0.3">
      <c r="A421">
        <v>2014</v>
      </c>
      <c r="B421" t="s">
        <v>35</v>
      </c>
      <c r="C421" t="s">
        <v>69</v>
      </c>
      <c r="D421" s="1" t="s">
        <v>6</v>
      </c>
      <c r="E421">
        <v>115</v>
      </c>
      <c r="F421">
        <v>115.1</v>
      </c>
      <c r="G421">
        <v>115.2</v>
      </c>
      <c r="H421" s="1" t="s">
        <v>188</v>
      </c>
    </row>
    <row r="422" spans="1:8" x14ac:dyDescent="0.3">
      <c r="A422">
        <v>2014</v>
      </c>
      <c r="B422" t="s">
        <v>35</v>
      </c>
      <c r="C422" t="s">
        <v>69</v>
      </c>
      <c r="D422" s="1" t="s">
        <v>28</v>
      </c>
      <c r="E422">
        <v>110.9</v>
      </c>
      <c r="F422">
        <v>110.9</v>
      </c>
      <c r="G422">
        <v>111</v>
      </c>
      <c r="H422" s="1" t="s">
        <v>192</v>
      </c>
    </row>
    <row r="423" spans="1:8" x14ac:dyDescent="0.3">
      <c r="A423">
        <v>2014</v>
      </c>
      <c r="B423" t="s">
        <v>35</v>
      </c>
      <c r="C423" t="s">
        <v>69</v>
      </c>
      <c r="D423" s="1" t="s">
        <v>13</v>
      </c>
      <c r="E423">
        <v>112.9</v>
      </c>
      <c r="F423">
        <v>112.6</v>
      </c>
      <c r="G423">
        <v>112.1</v>
      </c>
      <c r="H423" s="1" t="s">
        <v>188</v>
      </c>
    </row>
    <row r="424" spans="1:8" x14ac:dyDescent="0.3">
      <c r="A424">
        <v>2014</v>
      </c>
      <c r="B424" t="s">
        <v>35</v>
      </c>
      <c r="C424" t="s">
        <v>69</v>
      </c>
      <c r="D424" s="1" t="s">
        <v>7</v>
      </c>
      <c r="E424">
        <v>109</v>
      </c>
      <c r="F424">
        <v>106.6</v>
      </c>
      <c r="G424">
        <v>102.5</v>
      </c>
      <c r="H424" s="1" t="s">
        <v>188</v>
      </c>
    </row>
    <row r="425" spans="1:8" x14ac:dyDescent="0.3">
      <c r="A425">
        <v>2014</v>
      </c>
      <c r="B425" t="s">
        <v>35</v>
      </c>
      <c r="C425" t="s">
        <v>69</v>
      </c>
      <c r="D425" s="1" t="s">
        <v>16</v>
      </c>
      <c r="E425">
        <v>114.2</v>
      </c>
      <c r="F425">
        <v>114.7</v>
      </c>
      <c r="G425">
        <v>116.2</v>
      </c>
      <c r="H425" s="1" t="s">
        <v>192</v>
      </c>
    </row>
    <row r="426" spans="1:8" x14ac:dyDescent="0.3">
      <c r="A426">
        <v>2014</v>
      </c>
      <c r="B426" t="s">
        <v>35</v>
      </c>
      <c r="C426" t="s">
        <v>69</v>
      </c>
      <c r="D426" s="1" t="s">
        <v>27</v>
      </c>
      <c r="E426">
        <v>108.7</v>
      </c>
      <c r="F426">
        <v>108.7</v>
      </c>
      <c r="G426">
        <v>108.7</v>
      </c>
      <c r="H426" s="1" t="s">
        <v>192</v>
      </c>
    </row>
    <row r="427" spans="1:8" x14ac:dyDescent="0.3">
      <c r="A427">
        <v>2014</v>
      </c>
      <c r="B427" t="s">
        <v>35</v>
      </c>
      <c r="C427" t="s">
        <v>69</v>
      </c>
      <c r="D427" s="1" t="s">
        <v>14</v>
      </c>
      <c r="E427">
        <v>117.8</v>
      </c>
      <c r="F427">
        <v>118.8</v>
      </c>
      <c r="G427">
        <v>119.9</v>
      </c>
      <c r="H427" s="1" t="s">
        <v>188</v>
      </c>
    </row>
    <row r="428" spans="1:8" x14ac:dyDescent="0.3">
      <c r="A428">
        <v>2014</v>
      </c>
      <c r="B428" t="s">
        <v>35</v>
      </c>
      <c r="C428" t="s">
        <v>69</v>
      </c>
      <c r="D428" s="1" t="s">
        <v>10</v>
      </c>
      <c r="E428">
        <v>109.8</v>
      </c>
      <c r="F428">
        <v>109.3</v>
      </c>
      <c r="G428">
        <v>108.2</v>
      </c>
      <c r="H428" s="1" t="s">
        <v>188</v>
      </c>
    </row>
    <row r="429" spans="1:8" x14ac:dyDescent="0.3">
      <c r="A429">
        <v>2014</v>
      </c>
      <c r="B429" t="s">
        <v>35</v>
      </c>
      <c r="C429" t="s">
        <v>69</v>
      </c>
      <c r="D429" s="1" t="s">
        <v>25</v>
      </c>
      <c r="E429">
        <v>109.9</v>
      </c>
      <c r="F429">
        <v>110.1</v>
      </c>
      <c r="G429">
        <v>110.3</v>
      </c>
      <c r="H429" s="1" t="s">
        <v>195</v>
      </c>
    </row>
    <row r="430" spans="1:8" x14ac:dyDescent="0.3">
      <c r="A430">
        <v>2014</v>
      </c>
      <c r="B430" t="s">
        <v>35</v>
      </c>
      <c r="C430" t="s">
        <v>69</v>
      </c>
      <c r="D430" s="1" t="s">
        <v>12</v>
      </c>
      <c r="E430">
        <v>110.4</v>
      </c>
      <c r="F430">
        <v>111.4</v>
      </c>
      <c r="G430">
        <v>113.5</v>
      </c>
      <c r="H430" s="1" t="s">
        <v>188</v>
      </c>
    </row>
    <row r="431" spans="1:8" x14ac:dyDescent="0.3">
      <c r="A431">
        <v>2014</v>
      </c>
      <c r="B431" t="s">
        <v>35</v>
      </c>
      <c r="C431" t="s">
        <v>69</v>
      </c>
      <c r="D431" s="1" t="s">
        <v>11</v>
      </c>
      <c r="E431">
        <v>101.1</v>
      </c>
      <c r="F431">
        <v>99.2</v>
      </c>
      <c r="G431">
        <v>95.4</v>
      </c>
      <c r="H431" s="1" t="s">
        <v>188</v>
      </c>
    </row>
    <row r="432" spans="1:8" x14ac:dyDescent="0.3">
      <c r="A432">
        <v>2014</v>
      </c>
      <c r="B432" t="s">
        <v>35</v>
      </c>
      <c r="C432" t="s">
        <v>69</v>
      </c>
      <c r="D432" s="1" t="s">
        <v>24</v>
      </c>
      <c r="E432">
        <v>110.8</v>
      </c>
      <c r="F432">
        <v>111.1</v>
      </c>
      <c r="G432">
        <v>111.3</v>
      </c>
      <c r="H432" s="1" t="s">
        <v>191</v>
      </c>
    </row>
    <row r="433" spans="1:8" x14ac:dyDescent="0.3">
      <c r="A433">
        <v>2014</v>
      </c>
      <c r="B433" t="s">
        <v>35</v>
      </c>
      <c r="C433" t="s">
        <v>69</v>
      </c>
      <c r="D433" s="1" t="s">
        <v>9</v>
      </c>
      <c r="E433">
        <v>116</v>
      </c>
      <c r="F433">
        <v>114.5</v>
      </c>
      <c r="G433">
        <v>111.5</v>
      </c>
      <c r="H433" s="1" t="s">
        <v>188</v>
      </c>
    </row>
    <row r="434" spans="1:8" x14ac:dyDescent="0.3">
      <c r="A434">
        <v>2014</v>
      </c>
      <c r="B434" t="s">
        <v>31</v>
      </c>
      <c r="C434" t="s">
        <v>70</v>
      </c>
      <c r="D434" s="1" t="s">
        <v>3</v>
      </c>
      <c r="E434">
        <v>118.9</v>
      </c>
      <c r="F434">
        <v>119.6</v>
      </c>
      <c r="G434">
        <v>121.2</v>
      </c>
      <c r="H434" s="1" t="s">
        <v>188</v>
      </c>
    </row>
    <row r="435" spans="1:8" x14ac:dyDescent="0.3">
      <c r="A435">
        <v>2014</v>
      </c>
      <c r="B435" t="s">
        <v>31</v>
      </c>
      <c r="C435" t="s">
        <v>70</v>
      </c>
      <c r="D435" s="1" t="s">
        <v>17</v>
      </c>
      <c r="E435">
        <v>116.5</v>
      </c>
      <c r="F435">
        <v>115.8</v>
      </c>
      <c r="G435">
        <v>114.8</v>
      </c>
      <c r="H435" s="1" t="s">
        <v>189</v>
      </c>
    </row>
    <row r="436" spans="1:8" x14ac:dyDescent="0.3">
      <c r="A436">
        <v>2014</v>
      </c>
      <c r="B436" t="s">
        <v>31</v>
      </c>
      <c r="C436" t="s">
        <v>70</v>
      </c>
      <c r="D436" s="1" t="s">
        <v>19</v>
      </c>
      <c r="E436">
        <v>116.2</v>
      </c>
      <c r="F436">
        <v>115.4</v>
      </c>
      <c r="G436">
        <v>114.3</v>
      </c>
      <c r="H436" s="1" t="s">
        <v>189</v>
      </c>
    </row>
    <row r="437" spans="1:8" x14ac:dyDescent="0.3">
      <c r="A437">
        <v>2014</v>
      </c>
      <c r="B437" t="s">
        <v>31</v>
      </c>
      <c r="C437" t="s">
        <v>70</v>
      </c>
      <c r="D437" s="1" t="s">
        <v>26</v>
      </c>
      <c r="E437">
        <v>111.8</v>
      </c>
      <c r="F437">
        <v>111.6</v>
      </c>
      <c r="G437">
        <v>111.5</v>
      </c>
      <c r="H437" s="1" t="s">
        <v>26</v>
      </c>
    </row>
    <row r="438" spans="1:8" x14ac:dyDescent="0.3">
      <c r="A438">
        <v>2014</v>
      </c>
      <c r="B438" t="s">
        <v>31</v>
      </c>
      <c r="C438" t="s">
        <v>70</v>
      </c>
      <c r="D438" s="1" t="s">
        <v>5</v>
      </c>
      <c r="E438">
        <v>120.5</v>
      </c>
      <c r="F438">
        <v>124.1</v>
      </c>
      <c r="G438">
        <v>129.9</v>
      </c>
      <c r="H438" s="1" t="s">
        <v>188</v>
      </c>
    </row>
    <row r="439" spans="1:8" x14ac:dyDescent="0.3">
      <c r="A439">
        <v>2014</v>
      </c>
      <c r="B439" t="s">
        <v>31</v>
      </c>
      <c r="C439" t="s">
        <v>70</v>
      </c>
      <c r="D439" s="1" t="s">
        <v>15</v>
      </c>
      <c r="E439">
        <v>116</v>
      </c>
      <c r="F439">
        <v>115.8</v>
      </c>
      <c r="G439">
        <v>115.5</v>
      </c>
      <c r="H439" s="1" t="s">
        <v>188</v>
      </c>
    </row>
    <row r="440" spans="1:8" x14ac:dyDescent="0.3">
      <c r="A440">
        <v>2014</v>
      </c>
      <c r="B440" t="s">
        <v>31</v>
      </c>
      <c r="C440" t="s">
        <v>70</v>
      </c>
      <c r="D440" s="1" t="s">
        <v>18</v>
      </c>
      <c r="E440">
        <v>114.5</v>
      </c>
      <c r="F440">
        <v>113.2</v>
      </c>
      <c r="G440">
        <v>111.3</v>
      </c>
      <c r="H440" s="1" t="s">
        <v>189</v>
      </c>
    </row>
    <row r="441" spans="1:8" x14ac:dyDescent="0.3">
      <c r="A441">
        <v>2014</v>
      </c>
      <c r="B441" t="s">
        <v>31</v>
      </c>
      <c r="C441" t="s">
        <v>70</v>
      </c>
      <c r="D441" s="1" t="s">
        <v>8</v>
      </c>
      <c r="E441">
        <v>115.5</v>
      </c>
      <c r="F441">
        <v>113.9</v>
      </c>
      <c r="G441">
        <v>112.1</v>
      </c>
      <c r="H441" s="1" t="s">
        <v>188</v>
      </c>
    </row>
    <row r="442" spans="1:8" x14ac:dyDescent="0.3">
      <c r="A442">
        <v>2014</v>
      </c>
      <c r="B442" t="s">
        <v>31</v>
      </c>
      <c r="C442" t="s">
        <v>70</v>
      </c>
      <c r="D442" s="1" t="s">
        <v>21</v>
      </c>
      <c r="E442">
        <v>113</v>
      </c>
      <c r="F442">
        <v>112.2</v>
      </c>
      <c r="G442">
        <v>111</v>
      </c>
      <c r="H442" s="1" t="s">
        <v>190</v>
      </c>
    </row>
    <row r="443" spans="1:8" x14ac:dyDescent="0.3">
      <c r="A443">
        <v>2014</v>
      </c>
      <c r="B443" t="s">
        <v>31</v>
      </c>
      <c r="C443" t="s">
        <v>70</v>
      </c>
      <c r="D443" s="1" t="s">
        <v>29</v>
      </c>
      <c r="E443">
        <v>114.2</v>
      </c>
      <c r="F443">
        <v>113.6</v>
      </c>
      <c r="G443">
        <v>112.9</v>
      </c>
      <c r="H443" s="1" t="s">
        <v>206</v>
      </c>
    </row>
    <row r="444" spans="1:8" x14ac:dyDescent="0.3">
      <c r="A444">
        <v>2014</v>
      </c>
      <c r="B444" t="s">
        <v>31</v>
      </c>
      <c r="C444" t="s">
        <v>70</v>
      </c>
      <c r="D444" s="1" t="s">
        <v>23</v>
      </c>
      <c r="E444">
        <v>110.6</v>
      </c>
      <c r="F444">
        <v>110.3</v>
      </c>
      <c r="G444">
        <v>109.7</v>
      </c>
      <c r="H444" s="1" t="s">
        <v>23</v>
      </c>
    </row>
    <row r="445" spans="1:8" x14ac:dyDescent="0.3">
      <c r="A445">
        <v>2014</v>
      </c>
      <c r="B445" t="s">
        <v>31</v>
      </c>
      <c r="C445" t="s">
        <v>70</v>
      </c>
      <c r="D445" s="1" t="s">
        <v>22</v>
      </c>
      <c r="E445">
        <v>112.6</v>
      </c>
      <c r="F445">
        <v>112.3</v>
      </c>
      <c r="G445">
        <v>111.9</v>
      </c>
      <c r="H445" s="1" t="s">
        <v>20</v>
      </c>
    </row>
    <row r="446" spans="1:8" x14ac:dyDescent="0.3">
      <c r="A446">
        <v>2014</v>
      </c>
      <c r="B446" t="s">
        <v>31</v>
      </c>
      <c r="C446" t="s">
        <v>70</v>
      </c>
      <c r="D446" s="1" t="s">
        <v>20</v>
      </c>
      <c r="E446">
        <v>0</v>
      </c>
      <c r="F446">
        <v>111.6</v>
      </c>
      <c r="G446">
        <v>111.6</v>
      </c>
      <c r="H446" s="1" t="s">
        <v>20</v>
      </c>
    </row>
    <row r="447" spans="1:8" x14ac:dyDescent="0.3">
      <c r="A447">
        <v>2014</v>
      </c>
      <c r="B447" t="s">
        <v>31</v>
      </c>
      <c r="C447" t="s">
        <v>70</v>
      </c>
      <c r="D447" s="1" t="s">
        <v>4</v>
      </c>
      <c r="E447">
        <v>117.1</v>
      </c>
      <c r="F447">
        <v>118.8</v>
      </c>
      <c r="G447">
        <v>122</v>
      </c>
      <c r="H447" s="1" t="s">
        <v>188</v>
      </c>
    </row>
    <row r="448" spans="1:8" x14ac:dyDescent="0.3">
      <c r="A448">
        <v>2014</v>
      </c>
      <c r="B448" t="s">
        <v>31</v>
      </c>
      <c r="C448" t="s">
        <v>70</v>
      </c>
      <c r="D448" s="1" t="s">
        <v>6</v>
      </c>
      <c r="E448">
        <v>114.4</v>
      </c>
      <c r="F448">
        <v>114.1</v>
      </c>
      <c r="G448">
        <v>113.6</v>
      </c>
      <c r="H448" s="1" t="s">
        <v>188</v>
      </c>
    </row>
    <row r="449" spans="1:8" x14ac:dyDescent="0.3">
      <c r="A449">
        <v>2014</v>
      </c>
      <c r="B449" t="s">
        <v>31</v>
      </c>
      <c r="C449" t="s">
        <v>70</v>
      </c>
      <c r="D449" s="1" t="s">
        <v>28</v>
      </c>
      <c r="E449">
        <v>110.6</v>
      </c>
      <c r="F449">
        <v>110.6</v>
      </c>
      <c r="G449">
        <v>110.5</v>
      </c>
      <c r="H449" s="1" t="s">
        <v>192</v>
      </c>
    </row>
    <row r="450" spans="1:8" x14ac:dyDescent="0.3">
      <c r="A450">
        <v>2014</v>
      </c>
      <c r="B450" t="s">
        <v>31</v>
      </c>
      <c r="C450" t="s">
        <v>70</v>
      </c>
      <c r="D450" s="1" t="s">
        <v>13</v>
      </c>
      <c r="E450">
        <v>112.4</v>
      </c>
      <c r="F450">
        <v>112.3</v>
      </c>
      <c r="G450">
        <v>112.1</v>
      </c>
      <c r="H450" s="1" t="s">
        <v>188</v>
      </c>
    </row>
    <row r="451" spans="1:8" x14ac:dyDescent="0.3">
      <c r="A451">
        <v>2014</v>
      </c>
      <c r="B451" t="s">
        <v>31</v>
      </c>
      <c r="C451" t="s">
        <v>70</v>
      </c>
      <c r="D451" s="1" t="s">
        <v>7</v>
      </c>
      <c r="E451">
        <v>109</v>
      </c>
      <c r="F451">
        <v>106.8</v>
      </c>
      <c r="G451">
        <v>102.9</v>
      </c>
      <c r="H451" s="1" t="s">
        <v>188</v>
      </c>
    </row>
    <row r="452" spans="1:8" x14ac:dyDescent="0.3">
      <c r="A452">
        <v>2014</v>
      </c>
      <c r="B452" t="s">
        <v>31</v>
      </c>
      <c r="C452" t="s">
        <v>70</v>
      </c>
      <c r="D452" s="1" t="s">
        <v>16</v>
      </c>
      <c r="E452">
        <v>114</v>
      </c>
      <c r="F452">
        <v>114.5</v>
      </c>
      <c r="G452">
        <v>115.7</v>
      </c>
      <c r="H452" s="1" t="s">
        <v>192</v>
      </c>
    </row>
    <row r="453" spans="1:8" x14ac:dyDescent="0.3">
      <c r="A453">
        <v>2014</v>
      </c>
      <c r="B453" t="s">
        <v>31</v>
      </c>
      <c r="C453" t="s">
        <v>70</v>
      </c>
      <c r="D453" s="1" t="s">
        <v>27</v>
      </c>
      <c r="E453">
        <v>108.3</v>
      </c>
      <c r="F453">
        <v>108.2</v>
      </c>
      <c r="G453">
        <v>108</v>
      </c>
      <c r="H453" s="1" t="s">
        <v>192</v>
      </c>
    </row>
    <row r="454" spans="1:8" x14ac:dyDescent="0.3">
      <c r="A454">
        <v>2014</v>
      </c>
      <c r="B454" t="s">
        <v>31</v>
      </c>
      <c r="C454" t="s">
        <v>70</v>
      </c>
      <c r="D454" s="1" t="s">
        <v>14</v>
      </c>
      <c r="E454">
        <v>117.3</v>
      </c>
      <c r="F454">
        <v>118.1</v>
      </c>
      <c r="G454">
        <v>119</v>
      </c>
      <c r="H454" s="1" t="s">
        <v>188</v>
      </c>
    </row>
    <row r="455" spans="1:8" x14ac:dyDescent="0.3">
      <c r="A455">
        <v>2014</v>
      </c>
      <c r="B455" t="s">
        <v>31</v>
      </c>
      <c r="C455" t="s">
        <v>70</v>
      </c>
      <c r="D455" s="1" t="s">
        <v>10</v>
      </c>
      <c r="E455">
        <v>109.6</v>
      </c>
      <c r="F455">
        <v>108.9</v>
      </c>
      <c r="G455">
        <v>107.5</v>
      </c>
      <c r="H455" s="1" t="s">
        <v>188</v>
      </c>
    </row>
    <row r="456" spans="1:8" x14ac:dyDescent="0.3">
      <c r="A456">
        <v>2014</v>
      </c>
      <c r="B456" t="s">
        <v>31</v>
      </c>
      <c r="C456" t="s">
        <v>70</v>
      </c>
      <c r="D456" s="1" t="s">
        <v>25</v>
      </c>
      <c r="E456">
        <v>109.6</v>
      </c>
      <c r="F456">
        <v>109.7</v>
      </c>
      <c r="G456">
        <v>109.8</v>
      </c>
      <c r="H456" s="1" t="s">
        <v>195</v>
      </c>
    </row>
    <row r="457" spans="1:8" x14ac:dyDescent="0.3">
      <c r="A457">
        <v>2014</v>
      </c>
      <c r="B457" t="s">
        <v>31</v>
      </c>
      <c r="C457" t="s">
        <v>70</v>
      </c>
      <c r="D457" s="1" t="s">
        <v>12</v>
      </c>
      <c r="E457">
        <v>110.2</v>
      </c>
      <c r="F457">
        <v>111</v>
      </c>
      <c r="G457">
        <v>112.7</v>
      </c>
      <c r="H457" s="1" t="s">
        <v>188</v>
      </c>
    </row>
    <row r="458" spans="1:8" x14ac:dyDescent="0.3">
      <c r="A458">
        <v>2014</v>
      </c>
      <c r="B458" t="s">
        <v>31</v>
      </c>
      <c r="C458" t="s">
        <v>70</v>
      </c>
      <c r="D458" s="1" t="s">
        <v>11</v>
      </c>
      <c r="E458">
        <v>101.8</v>
      </c>
      <c r="F458">
        <v>100.2</v>
      </c>
      <c r="G458">
        <v>96.9</v>
      </c>
      <c r="H458" s="1" t="s">
        <v>188</v>
      </c>
    </row>
    <row r="459" spans="1:8" x14ac:dyDescent="0.3">
      <c r="A459">
        <v>2014</v>
      </c>
      <c r="B459" t="s">
        <v>31</v>
      </c>
      <c r="C459" t="s">
        <v>70</v>
      </c>
      <c r="D459" s="1" t="s">
        <v>24</v>
      </c>
      <c r="E459">
        <v>110.5</v>
      </c>
      <c r="F459">
        <v>110.7</v>
      </c>
      <c r="G459">
        <v>110.8</v>
      </c>
      <c r="H459" s="1" t="s">
        <v>191</v>
      </c>
    </row>
    <row r="460" spans="1:8" x14ac:dyDescent="0.3">
      <c r="A460">
        <v>2014</v>
      </c>
      <c r="B460" t="s">
        <v>31</v>
      </c>
      <c r="C460" t="s">
        <v>70</v>
      </c>
      <c r="D460" s="1" t="s">
        <v>9</v>
      </c>
      <c r="E460">
        <v>123.9</v>
      </c>
      <c r="F460">
        <v>122.2</v>
      </c>
      <c r="G460">
        <v>118.9</v>
      </c>
      <c r="H460" s="1" t="s">
        <v>188</v>
      </c>
    </row>
    <row r="461" spans="1:8" x14ac:dyDescent="0.3">
      <c r="A461">
        <v>2014</v>
      </c>
      <c r="B461" t="s">
        <v>40</v>
      </c>
      <c r="C461" t="s">
        <v>71</v>
      </c>
      <c r="D461" s="1" t="s">
        <v>3</v>
      </c>
      <c r="E461">
        <v>121.7</v>
      </c>
      <c r="F461">
        <v>122.4</v>
      </c>
      <c r="G461">
        <v>123.8</v>
      </c>
      <c r="H461" s="1" t="s">
        <v>188</v>
      </c>
    </row>
    <row r="462" spans="1:8" x14ac:dyDescent="0.3">
      <c r="A462">
        <v>2014</v>
      </c>
      <c r="B462" t="s">
        <v>40</v>
      </c>
      <c r="C462" t="s">
        <v>71</v>
      </c>
      <c r="D462" s="1" t="s">
        <v>17</v>
      </c>
      <c r="E462">
        <v>120.7</v>
      </c>
      <c r="F462">
        <v>119.6</v>
      </c>
      <c r="G462">
        <v>118</v>
      </c>
      <c r="H462" s="1" t="s">
        <v>189</v>
      </c>
    </row>
    <row r="463" spans="1:8" x14ac:dyDescent="0.3">
      <c r="A463">
        <v>2014</v>
      </c>
      <c r="B463" t="s">
        <v>40</v>
      </c>
      <c r="C463" t="s">
        <v>71</v>
      </c>
      <c r="D463" s="1" t="s">
        <v>19</v>
      </c>
      <c r="E463">
        <v>120.3</v>
      </c>
      <c r="F463">
        <v>119.1</v>
      </c>
      <c r="G463">
        <v>117.4</v>
      </c>
      <c r="H463" s="1" t="s">
        <v>189</v>
      </c>
    </row>
    <row r="464" spans="1:8" x14ac:dyDescent="0.3">
      <c r="A464">
        <v>2014</v>
      </c>
      <c r="B464" t="s">
        <v>40</v>
      </c>
      <c r="C464" t="s">
        <v>71</v>
      </c>
      <c r="D464" s="1" t="s">
        <v>26</v>
      </c>
      <c r="E464">
        <v>115.5</v>
      </c>
      <c r="F464">
        <v>116.8</v>
      </c>
      <c r="G464">
        <v>117.8</v>
      </c>
      <c r="H464" s="1" t="s">
        <v>26</v>
      </c>
    </row>
    <row r="465" spans="1:8" x14ac:dyDescent="0.3">
      <c r="A465">
        <v>2014</v>
      </c>
      <c r="B465" t="s">
        <v>40</v>
      </c>
      <c r="C465" t="s">
        <v>71</v>
      </c>
      <c r="D465" s="1" t="s">
        <v>5</v>
      </c>
      <c r="E465">
        <v>117.7</v>
      </c>
      <c r="F465">
        <v>117.8</v>
      </c>
      <c r="G465">
        <v>118</v>
      </c>
      <c r="H465" s="1" t="s">
        <v>188</v>
      </c>
    </row>
    <row r="466" spans="1:8" x14ac:dyDescent="0.3">
      <c r="A466">
        <v>2014</v>
      </c>
      <c r="B466" t="s">
        <v>40</v>
      </c>
      <c r="C466" t="s">
        <v>71</v>
      </c>
      <c r="D466" s="1" t="s">
        <v>15</v>
      </c>
      <c r="E466">
        <v>123.3</v>
      </c>
      <c r="F466">
        <v>124.7</v>
      </c>
      <c r="G466">
        <v>127.1</v>
      </c>
      <c r="H466" s="1" t="s">
        <v>188</v>
      </c>
    </row>
    <row r="467" spans="1:8" x14ac:dyDescent="0.3">
      <c r="A467">
        <v>2014</v>
      </c>
      <c r="B467" t="s">
        <v>40</v>
      </c>
      <c r="C467" t="s">
        <v>71</v>
      </c>
      <c r="D467" s="1" t="s">
        <v>18</v>
      </c>
      <c r="E467">
        <v>118.3</v>
      </c>
      <c r="F467">
        <v>116.3</v>
      </c>
      <c r="G467">
        <v>113.6</v>
      </c>
      <c r="H467" s="1" t="s">
        <v>189</v>
      </c>
    </row>
    <row r="468" spans="1:8" x14ac:dyDescent="0.3">
      <c r="A468">
        <v>2014</v>
      </c>
      <c r="B468" t="s">
        <v>40</v>
      </c>
      <c r="C468" t="s">
        <v>71</v>
      </c>
      <c r="D468" s="1" t="s">
        <v>8</v>
      </c>
      <c r="E468">
        <v>129.1</v>
      </c>
      <c r="F468">
        <v>131.19999999999999</v>
      </c>
      <c r="G468">
        <v>133.69999999999999</v>
      </c>
      <c r="H468" s="1" t="s">
        <v>188</v>
      </c>
    </row>
    <row r="469" spans="1:8" x14ac:dyDescent="0.3">
      <c r="A469">
        <v>2014</v>
      </c>
      <c r="B469" t="s">
        <v>40</v>
      </c>
      <c r="C469" t="s">
        <v>71</v>
      </c>
      <c r="D469" s="1" t="s">
        <v>21</v>
      </c>
      <c r="E469">
        <v>115.3</v>
      </c>
      <c r="F469">
        <v>113.9</v>
      </c>
      <c r="G469">
        <v>111.6</v>
      </c>
      <c r="H469" s="1" t="s">
        <v>190</v>
      </c>
    </row>
    <row r="470" spans="1:8" x14ac:dyDescent="0.3">
      <c r="A470">
        <v>2014</v>
      </c>
      <c r="B470" t="s">
        <v>40</v>
      </c>
      <c r="C470" t="s">
        <v>71</v>
      </c>
      <c r="D470" s="1" t="s">
        <v>29</v>
      </c>
      <c r="E470">
        <v>119.5</v>
      </c>
      <c r="F470">
        <v>119.2</v>
      </c>
      <c r="G470">
        <v>118.9</v>
      </c>
      <c r="H470" s="1" t="s">
        <v>206</v>
      </c>
    </row>
    <row r="471" spans="1:8" x14ac:dyDescent="0.3">
      <c r="A471">
        <v>2014</v>
      </c>
      <c r="B471" t="s">
        <v>40</v>
      </c>
      <c r="C471" t="s">
        <v>71</v>
      </c>
      <c r="D471" s="1" t="s">
        <v>23</v>
      </c>
      <c r="E471">
        <v>113.4</v>
      </c>
      <c r="F471">
        <v>112.7</v>
      </c>
      <c r="G471">
        <v>111.5</v>
      </c>
      <c r="H471" s="1" t="s">
        <v>23</v>
      </c>
    </row>
    <row r="472" spans="1:8" x14ac:dyDescent="0.3">
      <c r="A472">
        <v>2014</v>
      </c>
      <c r="B472" t="s">
        <v>40</v>
      </c>
      <c r="C472" t="s">
        <v>71</v>
      </c>
      <c r="D472" s="1" t="s">
        <v>22</v>
      </c>
      <c r="E472">
        <v>115.4</v>
      </c>
      <c r="F472">
        <v>115.2</v>
      </c>
      <c r="G472">
        <v>114.9</v>
      </c>
      <c r="H472" s="1" t="s">
        <v>20</v>
      </c>
    </row>
    <row r="473" spans="1:8" x14ac:dyDescent="0.3">
      <c r="A473">
        <v>2014</v>
      </c>
      <c r="B473" t="s">
        <v>40</v>
      </c>
      <c r="C473" t="s">
        <v>71</v>
      </c>
      <c r="D473" s="1" t="s">
        <v>20</v>
      </c>
      <c r="E473">
        <v>0</v>
      </c>
      <c r="F473">
        <v>114.8</v>
      </c>
      <c r="G473">
        <v>114.8</v>
      </c>
      <c r="H473" s="1" t="s">
        <v>20</v>
      </c>
    </row>
    <row r="474" spans="1:8" x14ac:dyDescent="0.3">
      <c r="A474">
        <v>2014</v>
      </c>
      <c r="B474" t="s">
        <v>40</v>
      </c>
      <c r="C474" t="s">
        <v>71</v>
      </c>
      <c r="D474" s="1" t="s">
        <v>4</v>
      </c>
      <c r="E474">
        <v>122.5</v>
      </c>
      <c r="F474">
        <v>123.9</v>
      </c>
      <c r="G474">
        <v>126.4</v>
      </c>
      <c r="H474" s="1" t="s">
        <v>188</v>
      </c>
    </row>
    <row r="475" spans="1:8" x14ac:dyDescent="0.3">
      <c r="A475">
        <v>2014</v>
      </c>
      <c r="B475" t="s">
        <v>40</v>
      </c>
      <c r="C475" t="s">
        <v>71</v>
      </c>
      <c r="D475" s="1" t="s">
        <v>6</v>
      </c>
      <c r="E475">
        <v>120.6</v>
      </c>
      <c r="F475">
        <v>121</v>
      </c>
      <c r="G475">
        <v>121.6</v>
      </c>
      <c r="H475" s="1" t="s">
        <v>188</v>
      </c>
    </row>
    <row r="476" spans="1:8" x14ac:dyDescent="0.3">
      <c r="A476">
        <v>2014</v>
      </c>
      <c r="B476" t="s">
        <v>40</v>
      </c>
      <c r="C476" t="s">
        <v>71</v>
      </c>
      <c r="D476" s="1" t="s">
        <v>28</v>
      </c>
      <c r="E476">
        <v>113.1</v>
      </c>
      <c r="F476">
        <v>113.3</v>
      </c>
      <c r="G476">
        <v>113.5</v>
      </c>
      <c r="H476" s="1" t="s">
        <v>192</v>
      </c>
    </row>
    <row r="477" spans="1:8" x14ac:dyDescent="0.3">
      <c r="A477">
        <v>2014</v>
      </c>
      <c r="B477" t="s">
        <v>40</v>
      </c>
      <c r="C477" t="s">
        <v>71</v>
      </c>
      <c r="D477" s="1" t="s">
        <v>13</v>
      </c>
      <c r="E477">
        <v>115.6</v>
      </c>
      <c r="F477">
        <v>114.8</v>
      </c>
      <c r="G477">
        <v>113.8</v>
      </c>
      <c r="H477" s="1" t="s">
        <v>188</v>
      </c>
    </row>
    <row r="478" spans="1:8" x14ac:dyDescent="0.3">
      <c r="A478">
        <v>2014</v>
      </c>
      <c r="B478" t="s">
        <v>40</v>
      </c>
      <c r="C478" t="s">
        <v>71</v>
      </c>
      <c r="D478" s="1" t="s">
        <v>7</v>
      </c>
      <c r="E478">
        <v>110.4</v>
      </c>
      <c r="F478">
        <v>107.9</v>
      </c>
      <c r="G478">
        <v>103.5</v>
      </c>
      <c r="H478" s="1" t="s">
        <v>188</v>
      </c>
    </row>
    <row r="479" spans="1:8" x14ac:dyDescent="0.3">
      <c r="A479">
        <v>2014</v>
      </c>
      <c r="B479" t="s">
        <v>40</v>
      </c>
      <c r="C479" t="s">
        <v>71</v>
      </c>
      <c r="D479" s="1" t="s">
        <v>16</v>
      </c>
      <c r="E479">
        <v>118</v>
      </c>
      <c r="F479">
        <v>118.8</v>
      </c>
      <c r="G479">
        <v>121</v>
      </c>
      <c r="H479" s="1" t="s">
        <v>192</v>
      </c>
    </row>
    <row r="480" spans="1:8" x14ac:dyDescent="0.3">
      <c r="A480">
        <v>2014</v>
      </c>
      <c r="B480" t="s">
        <v>40</v>
      </c>
      <c r="C480" t="s">
        <v>71</v>
      </c>
      <c r="D480" s="1" t="s">
        <v>27</v>
      </c>
      <c r="E480">
        <v>108.8</v>
      </c>
      <c r="F480">
        <v>109.2</v>
      </c>
      <c r="G480">
        <v>109.7</v>
      </c>
      <c r="H480" s="1" t="s">
        <v>192</v>
      </c>
    </row>
    <row r="481" spans="1:8" x14ac:dyDescent="0.3">
      <c r="A481">
        <v>2014</v>
      </c>
      <c r="B481" t="s">
        <v>40</v>
      </c>
      <c r="C481" t="s">
        <v>71</v>
      </c>
      <c r="D481" s="1" t="s">
        <v>14</v>
      </c>
      <c r="E481">
        <v>120.9</v>
      </c>
      <c r="F481">
        <v>122.1</v>
      </c>
      <c r="G481">
        <v>123.4</v>
      </c>
      <c r="H481" s="1" t="s">
        <v>188</v>
      </c>
    </row>
    <row r="482" spans="1:8" x14ac:dyDescent="0.3">
      <c r="A482">
        <v>2014</v>
      </c>
      <c r="B482" t="s">
        <v>40</v>
      </c>
      <c r="C482" t="s">
        <v>71</v>
      </c>
      <c r="D482" s="1" t="s">
        <v>10</v>
      </c>
      <c r="E482">
        <v>113.2</v>
      </c>
      <c r="F482">
        <v>113.2</v>
      </c>
      <c r="G482">
        <v>113.1</v>
      </c>
      <c r="H482" s="1" t="s">
        <v>188</v>
      </c>
    </row>
    <row r="483" spans="1:8" x14ac:dyDescent="0.3">
      <c r="A483">
        <v>2014</v>
      </c>
      <c r="B483" t="s">
        <v>40</v>
      </c>
      <c r="C483" t="s">
        <v>71</v>
      </c>
      <c r="D483" s="1" t="s">
        <v>25</v>
      </c>
      <c r="E483">
        <v>111.8</v>
      </c>
      <c r="F483">
        <v>112.1</v>
      </c>
      <c r="G483">
        <v>112.4</v>
      </c>
      <c r="H483" s="1" t="s">
        <v>195</v>
      </c>
    </row>
    <row r="484" spans="1:8" x14ac:dyDescent="0.3">
      <c r="A484">
        <v>2014</v>
      </c>
      <c r="B484" t="s">
        <v>40</v>
      </c>
      <c r="C484" t="s">
        <v>71</v>
      </c>
      <c r="D484" s="1" t="s">
        <v>12</v>
      </c>
      <c r="E484">
        <v>113.3</v>
      </c>
      <c r="F484">
        <v>115.5</v>
      </c>
      <c r="G484">
        <v>120</v>
      </c>
      <c r="H484" s="1" t="s">
        <v>188</v>
      </c>
    </row>
    <row r="485" spans="1:8" x14ac:dyDescent="0.3">
      <c r="A485">
        <v>2014</v>
      </c>
      <c r="B485" t="s">
        <v>40</v>
      </c>
      <c r="C485" t="s">
        <v>71</v>
      </c>
      <c r="D485" s="1" t="s">
        <v>11</v>
      </c>
      <c r="E485">
        <v>104.8</v>
      </c>
      <c r="F485">
        <v>104.1</v>
      </c>
      <c r="G485">
        <v>102.7</v>
      </c>
      <c r="H485" s="1" t="s">
        <v>188</v>
      </c>
    </row>
    <row r="486" spans="1:8" x14ac:dyDescent="0.3">
      <c r="A486">
        <v>2014</v>
      </c>
      <c r="B486" t="s">
        <v>40</v>
      </c>
      <c r="C486" t="s">
        <v>71</v>
      </c>
      <c r="D486" s="1" t="s">
        <v>24</v>
      </c>
      <c r="E486">
        <v>113.2</v>
      </c>
      <c r="F486">
        <v>113.1</v>
      </c>
      <c r="G486">
        <v>113</v>
      </c>
      <c r="H486" s="1" t="s">
        <v>191</v>
      </c>
    </row>
    <row r="487" spans="1:8" x14ac:dyDescent="0.3">
      <c r="A487">
        <v>2014</v>
      </c>
      <c r="B487" t="s">
        <v>40</v>
      </c>
      <c r="C487" t="s">
        <v>71</v>
      </c>
      <c r="D487" s="1" t="s">
        <v>9</v>
      </c>
      <c r="E487">
        <v>150.1</v>
      </c>
      <c r="F487">
        <v>157.69999999999999</v>
      </c>
      <c r="G487">
        <v>172.4</v>
      </c>
      <c r="H487" s="1" t="s">
        <v>188</v>
      </c>
    </row>
    <row r="488" spans="1:8" x14ac:dyDescent="0.3">
      <c r="A488">
        <v>2014</v>
      </c>
      <c r="B488" t="s">
        <v>39</v>
      </c>
      <c r="C488" t="s">
        <v>72</v>
      </c>
      <c r="D488" s="1" t="s">
        <v>3</v>
      </c>
      <c r="E488">
        <v>120.7</v>
      </c>
      <c r="F488">
        <v>121.5</v>
      </c>
      <c r="G488">
        <v>123.1</v>
      </c>
      <c r="H488" s="1" t="s">
        <v>188</v>
      </c>
    </row>
    <row r="489" spans="1:8" x14ac:dyDescent="0.3">
      <c r="A489">
        <v>2014</v>
      </c>
      <c r="B489" t="s">
        <v>39</v>
      </c>
      <c r="C489" t="s">
        <v>72</v>
      </c>
      <c r="D489" s="1" t="s">
        <v>17</v>
      </c>
      <c r="E489">
        <v>119.7</v>
      </c>
      <c r="F489">
        <v>118.8</v>
      </c>
      <c r="G489">
        <v>117.4</v>
      </c>
      <c r="H489" s="1" t="s">
        <v>189</v>
      </c>
    </row>
    <row r="490" spans="1:8" x14ac:dyDescent="0.3">
      <c r="A490">
        <v>2014</v>
      </c>
      <c r="B490" t="s">
        <v>39</v>
      </c>
      <c r="C490" t="s">
        <v>72</v>
      </c>
      <c r="D490" s="1" t="s">
        <v>19</v>
      </c>
      <c r="E490">
        <v>119.3</v>
      </c>
      <c r="F490">
        <v>118.3</v>
      </c>
      <c r="G490">
        <v>116.7</v>
      </c>
      <c r="H490" s="1" t="s">
        <v>189</v>
      </c>
    </row>
    <row r="491" spans="1:8" x14ac:dyDescent="0.3">
      <c r="A491">
        <v>2014</v>
      </c>
      <c r="B491" t="s">
        <v>39</v>
      </c>
      <c r="C491" t="s">
        <v>72</v>
      </c>
      <c r="D491" s="1" t="s">
        <v>26</v>
      </c>
      <c r="E491">
        <v>114.3</v>
      </c>
      <c r="F491">
        <v>114.8</v>
      </c>
      <c r="G491">
        <v>115.1</v>
      </c>
      <c r="H491" s="1" t="s">
        <v>26</v>
      </c>
    </row>
    <row r="492" spans="1:8" x14ac:dyDescent="0.3">
      <c r="A492">
        <v>2014</v>
      </c>
      <c r="B492" t="s">
        <v>39</v>
      </c>
      <c r="C492" t="s">
        <v>72</v>
      </c>
      <c r="D492" s="1" t="s">
        <v>5</v>
      </c>
      <c r="E492">
        <v>116.1</v>
      </c>
      <c r="F492">
        <v>115.8</v>
      </c>
      <c r="G492">
        <v>115.4</v>
      </c>
      <c r="H492" s="1" t="s">
        <v>188</v>
      </c>
    </row>
    <row r="493" spans="1:8" x14ac:dyDescent="0.3">
      <c r="A493">
        <v>2014</v>
      </c>
      <c r="B493" t="s">
        <v>39</v>
      </c>
      <c r="C493" t="s">
        <v>72</v>
      </c>
      <c r="D493" s="1" t="s">
        <v>15</v>
      </c>
      <c r="E493">
        <v>119.5</v>
      </c>
      <c r="F493">
        <v>120.4</v>
      </c>
      <c r="G493">
        <v>122</v>
      </c>
      <c r="H493" s="1" t="s">
        <v>188</v>
      </c>
    </row>
    <row r="494" spans="1:8" x14ac:dyDescent="0.3">
      <c r="A494">
        <v>2014</v>
      </c>
      <c r="B494" t="s">
        <v>39</v>
      </c>
      <c r="C494" t="s">
        <v>72</v>
      </c>
      <c r="D494" s="1" t="s">
        <v>18</v>
      </c>
      <c r="E494">
        <v>117.3</v>
      </c>
      <c r="F494">
        <v>115.6</v>
      </c>
      <c r="G494">
        <v>113.2</v>
      </c>
      <c r="H494" s="1" t="s">
        <v>189</v>
      </c>
    </row>
    <row r="495" spans="1:8" x14ac:dyDescent="0.3">
      <c r="A495">
        <v>2014</v>
      </c>
      <c r="B495" t="s">
        <v>39</v>
      </c>
      <c r="C495" t="s">
        <v>72</v>
      </c>
      <c r="D495" s="1" t="s">
        <v>8</v>
      </c>
      <c r="E495">
        <v>125.8</v>
      </c>
      <c r="F495">
        <v>128.30000000000001</v>
      </c>
      <c r="G495">
        <v>131.19999999999999</v>
      </c>
      <c r="H495" s="1" t="s">
        <v>188</v>
      </c>
    </row>
    <row r="496" spans="1:8" x14ac:dyDescent="0.3">
      <c r="A496">
        <v>2014</v>
      </c>
      <c r="B496" t="s">
        <v>39</v>
      </c>
      <c r="C496" t="s">
        <v>72</v>
      </c>
      <c r="D496" s="1" t="s">
        <v>21</v>
      </c>
      <c r="E496">
        <v>114.4</v>
      </c>
      <c r="F496">
        <v>113.2</v>
      </c>
      <c r="G496">
        <v>111.2</v>
      </c>
      <c r="H496" s="1" t="s">
        <v>190</v>
      </c>
    </row>
    <row r="497" spans="1:8" x14ac:dyDescent="0.3">
      <c r="A497">
        <v>2014</v>
      </c>
      <c r="B497" t="s">
        <v>39</v>
      </c>
      <c r="C497" t="s">
        <v>72</v>
      </c>
      <c r="D497" s="1" t="s">
        <v>29</v>
      </c>
      <c r="E497">
        <v>117</v>
      </c>
      <c r="F497">
        <v>116.7</v>
      </c>
      <c r="G497">
        <v>116.4</v>
      </c>
      <c r="H497" s="1" t="s">
        <v>206</v>
      </c>
    </row>
    <row r="498" spans="1:8" x14ac:dyDescent="0.3">
      <c r="A498">
        <v>2014</v>
      </c>
      <c r="B498" t="s">
        <v>39</v>
      </c>
      <c r="C498" t="s">
        <v>72</v>
      </c>
      <c r="D498" s="1" t="s">
        <v>23</v>
      </c>
      <c r="E498">
        <v>112.8</v>
      </c>
      <c r="F498">
        <v>112.3</v>
      </c>
      <c r="G498">
        <v>111.4</v>
      </c>
      <c r="H498" s="1" t="s">
        <v>23</v>
      </c>
    </row>
    <row r="499" spans="1:8" x14ac:dyDescent="0.3">
      <c r="A499">
        <v>2014</v>
      </c>
      <c r="B499" t="s">
        <v>39</v>
      </c>
      <c r="C499" t="s">
        <v>72</v>
      </c>
      <c r="D499" s="1" t="s">
        <v>22</v>
      </c>
      <c r="E499">
        <v>114.9</v>
      </c>
      <c r="F499">
        <v>114.6</v>
      </c>
      <c r="G499">
        <v>114.3</v>
      </c>
      <c r="H499" s="1" t="s">
        <v>20</v>
      </c>
    </row>
    <row r="500" spans="1:8" x14ac:dyDescent="0.3">
      <c r="A500">
        <v>2014</v>
      </c>
      <c r="B500" t="s">
        <v>39</v>
      </c>
      <c r="C500" t="s">
        <v>72</v>
      </c>
      <c r="D500" s="1" t="s">
        <v>20</v>
      </c>
      <c r="E500">
        <v>0</v>
      </c>
      <c r="F500">
        <v>113.9</v>
      </c>
      <c r="G500">
        <v>113.9</v>
      </c>
      <c r="H500" s="1" t="s">
        <v>20</v>
      </c>
    </row>
    <row r="501" spans="1:8" x14ac:dyDescent="0.3">
      <c r="A501">
        <v>2014</v>
      </c>
      <c r="B501" t="s">
        <v>39</v>
      </c>
      <c r="C501" t="s">
        <v>72</v>
      </c>
      <c r="D501" s="1" t="s">
        <v>4</v>
      </c>
      <c r="E501">
        <v>121.6</v>
      </c>
      <c r="F501">
        <v>123.1</v>
      </c>
      <c r="G501">
        <v>125.9</v>
      </c>
      <c r="H501" s="1" t="s">
        <v>188</v>
      </c>
    </row>
    <row r="502" spans="1:8" x14ac:dyDescent="0.3">
      <c r="A502">
        <v>2014</v>
      </c>
      <c r="B502" t="s">
        <v>39</v>
      </c>
      <c r="C502" t="s">
        <v>72</v>
      </c>
      <c r="D502" s="1" t="s">
        <v>6</v>
      </c>
      <c r="E502">
        <v>119.3</v>
      </c>
      <c r="F502">
        <v>119.7</v>
      </c>
      <c r="G502">
        <v>120.4</v>
      </c>
      <c r="H502" s="1" t="s">
        <v>188</v>
      </c>
    </row>
    <row r="503" spans="1:8" x14ac:dyDescent="0.3">
      <c r="A503">
        <v>2014</v>
      </c>
      <c r="B503" t="s">
        <v>39</v>
      </c>
      <c r="C503" t="s">
        <v>72</v>
      </c>
      <c r="D503" s="1" t="s">
        <v>28</v>
      </c>
      <c r="E503">
        <v>112.3</v>
      </c>
      <c r="F503">
        <v>112.3</v>
      </c>
      <c r="G503">
        <v>112.2</v>
      </c>
      <c r="H503" s="1" t="s">
        <v>192</v>
      </c>
    </row>
    <row r="504" spans="1:8" x14ac:dyDescent="0.3">
      <c r="A504">
        <v>2014</v>
      </c>
      <c r="B504" t="s">
        <v>39</v>
      </c>
      <c r="C504" t="s">
        <v>72</v>
      </c>
      <c r="D504" s="1" t="s">
        <v>13</v>
      </c>
      <c r="E504">
        <v>114.9</v>
      </c>
      <c r="F504">
        <v>114.2</v>
      </c>
      <c r="G504">
        <v>113.2</v>
      </c>
      <c r="H504" s="1" t="s">
        <v>188</v>
      </c>
    </row>
    <row r="505" spans="1:8" x14ac:dyDescent="0.3">
      <c r="A505">
        <v>2014</v>
      </c>
      <c r="B505" t="s">
        <v>39</v>
      </c>
      <c r="C505" t="s">
        <v>72</v>
      </c>
      <c r="D505" s="1" t="s">
        <v>7</v>
      </c>
      <c r="E505">
        <v>110.3</v>
      </c>
      <c r="F505">
        <v>107.8</v>
      </c>
      <c r="G505">
        <v>103.4</v>
      </c>
      <c r="H505" s="1" t="s">
        <v>188</v>
      </c>
    </row>
    <row r="506" spans="1:8" x14ac:dyDescent="0.3">
      <c r="A506">
        <v>2014</v>
      </c>
      <c r="B506" t="s">
        <v>39</v>
      </c>
      <c r="C506" t="s">
        <v>72</v>
      </c>
      <c r="D506" s="1" t="s">
        <v>16</v>
      </c>
      <c r="E506">
        <v>117.3</v>
      </c>
      <c r="F506">
        <v>117.8</v>
      </c>
      <c r="G506">
        <v>119</v>
      </c>
      <c r="H506" s="1" t="s">
        <v>192</v>
      </c>
    </row>
    <row r="507" spans="1:8" x14ac:dyDescent="0.3">
      <c r="A507">
        <v>2014</v>
      </c>
      <c r="B507" t="s">
        <v>39</v>
      </c>
      <c r="C507" t="s">
        <v>72</v>
      </c>
      <c r="D507" s="1" t="s">
        <v>27</v>
      </c>
      <c r="E507">
        <v>108</v>
      </c>
      <c r="F507">
        <v>108.3</v>
      </c>
      <c r="G507">
        <v>108.7</v>
      </c>
      <c r="H507" s="1" t="s">
        <v>192</v>
      </c>
    </row>
    <row r="508" spans="1:8" x14ac:dyDescent="0.3">
      <c r="A508">
        <v>2014</v>
      </c>
      <c r="B508" t="s">
        <v>39</v>
      </c>
      <c r="C508" t="s">
        <v>72</v>
      </c>
      <c r="D508" s="1" t="s">
        <v>14</v>
      </c>
      <c r="E508">
        <v>120.1</v>
      </c>
      <c r="F508">
        <v>121.2</v>
      </c>
      <c r="G508">
        <v>122.4</v>
      </c>
      <c r="H508" s="1" t="s">
        <v>188</v>
      </c>
    </row>
    <row r="509" spans="1:8" x14ac:dyDescent="0.3">
      <c r="A509">
        <v>2014</v>
      </c>
      <c r="B509" t="s">
        <v>39</v>
      </c>
      <c r="C509" t="s">
        <v>72</v>
      </c>
      <c r="D509" s="1" t="s">
        <v>10</v>
      </c>
      <c r="E509">
        <v>112.2</v>
      </c>
      <c r="F509">
        <v>112.4</v>
      </c>
      <c r="G509">
        <v>112.8</v>
      </c>
      <c r="H509" s="1" t="s">
        <v>188</v>
      </c>
    </row>
    <row r="510" spans="1:8" x14ac:dyDescent="0.3">
      <c r="A510">
        <v>2014</v>
      </c>
      <c r="B510" t="s">
        <v>39</v>
      </c>
      <c r="C510" t="s">
        <v>72</v>
      </c>
      <c r="D510" s="1" t="s">
        <v>25</v>
      </c>
      <c r="E510">
        <v>111.4</v>
      </c>
      <c r="F510">
        <v>111.6</v>
      </c>
      <c r="G510">
        <v>111.8</v>
      </c>
      <c r="H510" s="1" t="s">
        <v>195</v>
      </c>
    </row>
    <row r="511" spans="1:8" x14ac:dyDescent="0.3">
      <c r="A511">
        <v>2014</v>
      </c>
      <c r="B511" t="s">
        <v>39</v>
      </c>
      <c r="C511" t="s">
        <v>72</v>
      </c>
      <c r="D511" s="1" t="s">
        <v>12</v>
      </c>
      <c r="E511">
        <v>112.3</v>
      </c>
      <c r="F511">
        <v>114.3</v>
      </c>
      <c r="G511">
        <v>118.3</v>
      </c>
      <c r="H511" s="1" t="s">
        <v>188</v>
      </c>
    </row>
    <row r="512" spans="1:8" x14ac:dyDescent="0.3">
      <c r="A512">
        <v>2014</v>
      </c>
      <c r="B512" t="s">
        <v>39</v>
      </c>
      <c r="C512" t="s">
        <v>72</v>
      </c>
      <c r="D512" s="1" t="s">
        <v>11</v>
      </c>
      <c r="E512">
        <v>103.6</v>
      </c>
      <c r="F512">
        <v>102.9</v>
      </c>
      <c r="G512">
        <v>101.4</v>
      </c>
      <c r="H512" s="1" t="s">
        <v>188</v>
      </c>
    </row>
    <row r="513" spans="1:8" x14ac:dyDescent="0.3">
      <c r="A513">
        <v>2014</v>
      </c>
      <c r="B513" t="s">
        <v>39</v>
      </c>
      <c r="C513" t="s">
        <v>72</v>
      </c>
      <c r="D513" s="1" t="s">
        <v>24</v>
      </c>
      <c r="E513">
        <v>112.2</v>
      </c>
      <c r="F513">
        <v>111.8</v>
      </c>
      <c r="G513">
        <v>111.5</v>
      </c>
      <c r="H513" s="1" t="s">
        <v>191</v>
      </c>
    </row>
    <row r="514" spans="1:8" x14ac:dyDescent="0.3">
      <c r="A514">
        <v>2014</v>
      </c>
      <c r="B514" t="s">
        <v>39</v>
      </c>
      <c r="C514" t="s">
        <v>72</v>
      </c>
      <c r="D514" s="1" t="s">
        <v>9</v>
      </c>
      <c r="E514">
        <v>129.30000000000001</v>
      </c>
      <c r="F514">
        <v>132.1</v>
      </c>
      <c r="G514">
        <v>137.5</v>
      </c>
      <c r="H514" s="1" t="s">
        <v>188</v>
      </c>
    </row>
    <row r="515" spans="1:8" x14ac:dyDescent="0.3">
      <c r="A515">
        <v>2014</v>
      </c>
      <c r="B515" t="s">
        <v>36</v>
      </c>
      <c r="C515" t="s">
        <v>73</v>
      </c>
      <c r="D515" s="1" t="s">
        <v>3</v>
      </c>
      <c r="E515">
        <v>120.1</v>
      </c>
      <c r="F515">
        <v>120.7</v>
      </c>
      <c r="G515">
        <v>122.1</v>
      </c>
      <c r="H515" s="1" t="s">
        <v>188</v>
      </c>
    </row>
    <row r="516" spans="1:8" x14ac:dyDescent="0.3">
      <c r="A516">
        <v>2014</v>
      </c>
      <c r="B516" t="s">
        <v>36</v>
      </c>
      <c r="C516" t="s">
        <v>73</v>
      </c>
      <c r="D516" s="1" t="s">
        <v>17</v>
      </c>
      <c r="E516">
        <v>117.5</v>
      </c>
      <c r="F516">
        <v>116.8</v>
      </c>
      <c r="G516">
        <v>115.8</v>
      </c>
      <c r="H516" s="1" t="s">
        <v>189</v>
      </c>
    </row>
    <row r="517" spans="1:8" x14ac:dyDescent="0.3">
      <c r="A517">
        <v>2014</v>
      </c>
      <c r="B517" t="s">
        <v>36</v>
      </c>
      <c r="C517" t="s">
        <v>73</v>
      </c>
      <c r="D517" s="1" t="s">
        <v>19</v>
      </c>
      <c r="E517">
        <v>117.2</v>
      </c>
      <c r="F517">
        <v>116.4</v>
      </c>
      <c r="G517">
        <v>115.2</v>
      </c>
      <c r="H517" s="1" t="s">
        <v>189</v>
      </c>
    </row>
    <row r="518" spans="1:8" x14ac:dyDescent="0.3">
      <c r="A518">
        <v>2014</v>
      </c>
      <c r="B518" t="s">
        <v>36</v>
      </c>
      <c r="C518" t="s">
        <v>73</v>
      </c>
      <c r="D518" s="1" t="s">
        <v>26</v>
      </c>
      <c r="E518">
        <v>112.4</v>
      </c>
      <c r="F518">
        <v>112</v>
      </c>
      <c r="G518">
        <v>111.8</v>
      </c>
      <c r="H518" s="1" t="s">
        <v>26</v>
      </c>
    </row>
    <row r="519" spans="1:8" x14ac:dyDescent="0.3">
      <c r="A519">
        <v>2014</v>
      </c>
      <c r="B519" t="s">
        <v>36</v>
      </c>
      <c r="C519" t="s">
        <v>73</v>
      </c>
      <c r="D519" s="1" t="s">
        <v>5</v>
      </c>
      <c r="E519">
        <v>120.7</v>
      </c>
      <c r="F519">
        <v>121</v>
      </c>
      <c r="G519">
        <v>121.5</v>
      </c>
      <c r="H519" s="1" t="s">
        <v>188</v>
      </c>
    </row>
    <row r="520" spans="1:8" x14ac:dyDescent="0.3">
      <c r="A520">
        <v>2014</v>
      </c>
      <c r="B520" t="s">
        <v>36</v>
      </c>
      <c r="C520" t="s">
        <v>73</v>
      </c>
      <c r="D520" s="1" t="s">
        <v>15</v>
      </c>
      <c r="E520">
        <v>116.2</v>
      </c>
      <c r="F520">
        <v>116.1</v>
      </c>
      <c r="G520">
        <v>116</v>
      </c>
      <c r="H520" s="1" t="s">
        <v>188</v>
      </c>
    </row>
    <row r="521" spans="1:8" x14ac:dyDescent="0.3">
      <c r="A521">
        <v>2014</v>
      </c>
      <c r="B521" t="s">
        <v>36</v>
      </c>
      <c r="C521" t="s">
        <v>73</v>
      </c>
      <c r="D521" s="1" t="s">
        <v>18</v>
      </c>
      <c r="E521">
        <v>114.9</v>
      </c>
      <c r="F521">
        <v>113.7</v>
      </c>
      <c r="G521">
        <v>112.1</v>
      </c>
      <c r="H521" s="1" t="s">
        <v>189</v>
      </c>
    </row>
    <row r="522" spans="1:8" x14ac:dyDescent="0.3">
      <c r="A522">
        <v>2014</v>
      </c>
      <c r="B522" t="s">
        <v>36</v>
      </c>
      <c r="C522" t="s">
        <v>73</v>
      </c>
      <c r="D522" s="1" t="s">
        <v>8</v>
      </c>
      <c r="E522">
        <v>119.6</v>
      </c>
      <c r="F522">
        <v>118.7</v>
      </c>
      <c r="G522">
        <v>117.7</v>
      </c>
      <c r="H522" s="1" t="s">
        <v>188</v>
      </c>
    </row>
    <row r="523" spans="1:8" x14ac:dyDescent="0.3">
      <c r="A523">
        <v>2014</v>
      </c>
      <c r="B523" t="s">
        <v>36</v>
      </c>
      <c r="C523" t="s">
        <v>73</v>
      </c>
      <c r="D523" s="1" t="s">
        <v>21</v>
      </c>
      <c r="E523">
        <v>113.4</v>
      </c>
      <c r="F523">
        <v>112.5</v>
      </c>
      <c r="G523">
        <v>110.9</v>
      </c>
      <c r="H523" s="1" t="s">
        <v>190</v>
      </c>
    </row>
    <row r="524" spans="1:8" x14ac:dyDescent="0.3">
      <c r="A524">
        <v>2014</v>
      </c>
      <c r="B524" t="s">
        <v>36</v>
      </c>
      <c r="C524" t="s">
        <v>73</v>
      </c>
      <c r="D524" s="1" t="s">
        <v>29</v>
      </c>
      <c r="E524">
        <v>114.6</v>
      </c>
      <c r="F524">
        <v>114.2</v>
      </c>
      <c r="G524">
        <v>113.7</v>
      </c>
      <c r="H524" s="1" t="s">
        <v>206</v>
      </c>
    </row>
    <row r="525" spans="1:8" x14ac:dyDescent="0.3">
      <c r="A525">
        <v>2014</v>
      </c>
      <c r="B525" t="s">
        <v>36</v>
      </c>
      <c r="C525" t="s">
        <v>73</v>
      </c>
      <c r="D525" s="1" t="s">
        <v>23</v>
      </c>
      <c r="E525">
        <v>111.4</v>
      </c>
      <c r="F525">
        <v>111.2</v>
      </c>
      <c r="G525">
        <v>110.8</v>
      </c>
      <c r="H525" s="1" t="s">
        <v>23</v>
      </c>
    </row>
    <row r="526" spans="1:8" x14ac:dyDescent="0.3">
      <c r="A526">
        <v>2014</v>
      </c>
      <c r="B526" t="s">
        <v>36</v>
      </c>
      <c r="C526" t="s">
        <v>73</v>
      </c>
      <c r="D526" s="1" t="s">
        <v>22</v>
      </c>
      <c r="E526">
        <v>113.4</v>
      </c>
      <c r="F526">
        <v>113.2</v>
      </c>
      <c r="G526">
        <v>113</v>
      </c>
      <c r="H526" s="1" t="s">
        <v>20</v>
      </c>
    </row>
    <row r="527" spans="1:8" x14ac:dyDescent="0.3">
      <c r="A527">
        <v>2014</v>
      </c>
      <c r="B527" t="s">
        <v>36</v>
      </c>
      <c r="C527" t="s">
        <v>73</v>
      </c>
      <c r="D527" s="1" t="s">
        <v>20</v>
      </c>
      <c r="E527">
        <v>0</v>
      </c>
      <c r="F527">
        <v>113.2</v>
      </c>
      <c r="G527">
        <v>113.2</v>
      </c>
      <c r="H527" s="1" t="s">
        <v>20</v>
      </c>
    </row>
    <row r="528" spans="1:8" x14ac:dyDescent="0.3">
      <c r="A528">
        <v>2014</v>
      </c>
      <c r="B528" t="s">
        <v>36</v>
      </c>
      <c r="C528" t="s">
        <v>73</v>
      </c>
      <c r="D528" s="1" t="s">
        <v>4</v>
      </c>
      <c r="E528">
        <v>118.1</v>
      </c>
      <c r="F528">
        <v>119.3</v>
      </c>
      <c r="G528">
        <v>121.4</v>
      </c>
      <c r="H528" s="1" t="s">
        <v>188</v>
      </c>
    </row>
    <row r="529" spans="1:8" x14ac:dyDescent="0.3">
      <c r="A529">
        <v>2014</v>
      </c>
      <c r="B529" t="s">
        <v>36</v>
      </c>
      <c r="C529" t="s">
        <v>73</v>
      </c>
      <c r="D529" s="1" t="s">
        <v>6</v>
      </c>
      <c r="E529">
        <v>116.1</v>
      </c>
      <c r="F529">
        <v>116.1</v>
      </c>
      <c r="G529">
        <v>116.2</v>
      </c>
      <c r="H529" s="1" t="s">
        <v>188</v>
      </c>
    </row>
    <row r="530" spans="1:8" x14ac:dyDescent="0.3">
      <c r="A530">
        <v>2014</v>
      </c>
      <c r="B530" t="s">
        <v>36</v>
      </c>
      <c r="C530" t="s">
        <v>73</v>
      </c>
      <c r="D530" s="1" t="s">
        <v>28</v>
      </c>
      <c r="E530">
        <v>111.3</v>
      </c>
      <c r="F530">
        <v>111.3</v>
      </c>
      <c r="G530">
        <v>111.4</v>
      </c>
      <c r="H530" s="1" t="s">
        <v>192</v>
      </c>
    </row>
    <row r="531" spans="1:8" x14ac:dyDescent="0.3">
      <c r="A531">
        <v>2014</v>
      </c>
      <c r="B531" t="s">
        <v>36</v>
      </c>
      <c r="C531" t="s">
        <v>73</v>
      </c>
      <c r="D531" s="1" t="s">
        <v>13</v>
      </c>
      <c r="E531">
        <v>113</v>
      </c>
      <c r="F531">
        <v>112.7</v>
      </c>
      <c r="G531">
        <v>112.2</v>
      </c>
      <c r="H531" s="1" t="s">
        <v>188</v>
      </c>
    </row>
    <row r="532" spans="1:8" x14ac:dyDescent="0.3">
      <c r="A532">
        <v>2014</v>
      </c>
      <c r="B532" t="s">
        <v>36</v>
      </c>
      <c r="C532" t="s">
        <v>73</v>
      </c>
      <c r="D532" s="1" t="s">
        <v>7</v>
      </c>
      <c r="E532">
        <v>109.3</v>
      </c>
      <c r="F532">
        <v>106.9</v>
      </c>
      <c r="G532">
        <v>102.8</v>
      </c>
      <c r="H532" s="1" t="s">
        <v>188</v>
      </c>
    </row>
    <row r="533" spans="1:8" x14ac:dyDescent="0.3">
      <c r="A533">
        <v>2014</v>
      </c>
      <c r="B533" t="s">
        <v>36</v>
      </c>
      <c r="C533" t="s">
        <v>73</v>
      </c>
      <c r="D533" s="1" t="s">
        <v>16</v>
      </c>
      <c r="E533">
        <v>114.6</v>
      </c>
      <c r="F533">
        <v>115.2</v>
      </c>
      <c r="G533">
        <v>116.7</v>
      </c>
      <c r="H533" s="1" t="s">
        <v>192</v>
      </c>
    </row>
    <row r="534" spans="1:8" x14ac:dyDescent="0.3">
      <c r="A534">
        <v>2014</v>
      </c>
      <c r="B534" t="s">
        <v>36</v>
      </c>
      <c r="C534" t="s">
        <v>73</v>
      </c>
      <c r="D534" s="1" t="s">
        <v>27</v>
      </c>
      <c r="E534">
        <v>108.9</v>
      </c>
      <c r="F534">
        <v>109</v>
      </c>
      <c r="G534">
        <v>109.2</v>
      </c>
      <c r="H534" s="1" t="s">
        <v>192</v>
      </c>
    </row>
    <row r="535" spans="1:8" x14ac:dyDescent="0.3">
      <c r="A535">
        <v>2014</v>
      </c>
      <c r="B535" t="s">
        <v>36</v>
      </c>
      <c r="C535" t="s">
        <v>73</v>
      </c>
      <c r="D535" s="1" t="s">
        <v>14</v>
      </c>
      <c r="E535">
        <v>118.3</v>
      </c>
      <c r="F535">
        <v>119.3</v>
      </c>
      <c r="G535">
        <v>120.5</v>
      </c>
      <c r="H535" s="1" t="s">
        <v>188</v>
      </c>
    </row>
    <row r="536" spans="1:8" x14ac:dyDescent="0.3">
      <c r="A536">
        <v>2014</v>
      </c>
      <c r="B536" t="s">
        <v>36</v>
      </c>
      <c r="C536" t="s">
        <v>73</v>
      </c>
      <c r="D536" s="1" t="s">
        <v>10</v>
      </c>
      <c r="E536">
        <v>110.2</v>
      </c>
      <c r="F536">
        <v>109.8</v>
      </c>
      <c r="G536">
        <v>108.9</v>
      </c>
      <c r="H536" s="1" t="s">
        <v>188</v>
      </c>
    </row>
    <row r="537" spans="1:8" x14ac:dyDescent="0.3">
      <c r="A537">
        <v>2014</v>
      </c>
      <c r="B537" t="s">
        <v>36</v>
      </c>
      <c r="C537" t="s">
        <v>73</v>
      </c>
      <c r="D537" s="1" t="s">
        <v>25</v>
      </c>
      <c r="E537">
        <v>110.2</v>
      </c>
      <c r="F537">
        <v>110.6</v>
      </c>
      <c r="G537">
        <v>110.9</v>
      </c>
      <c r="H537" s="1" t="s">
        <v>195</v>
      </c>
    </row>
    <row r="538" spans="1:8" x14ac:dyDescent="0.3">
      <c r="A538">
        <v>2014</v>
      </c>
      <c r="B538" t="s">
        <v>36</v>
      </c>
      <c r="C538" t="s">
        <v>73</v>
      </c>
      <c r="D538" s="1" t="s">
        <v>12</v>
      </c>
      <c r="E538">
        <v>110.7</v>
      </c>
      <c r="F538">
        <v>111.8</v>
      </c>
      <c r="G538">
        <v>114.1</v>
      </c>
      <c r="H538" s="1" t="s">
        <v>188</v>
      </c>
    </row>
    <row r="539" spans="1:8" x14ac:dyDescent="0.3">
      <c r="A539">
        <v>2014</v>
      </c>
      <c r="B539" t="s">
        <v>36</v>
      </c>
      <c r="C539" t="s">
        <v>73</v>
      </c>
      <c r="D539" s="1" t="s">
        <v>11</v>
      </c>
      <c r="E539">
        <v>101.2</v>
      </c>
      <c r="F539">
        <v>99.6</v>
      </c>
      <c r="G539">
        <v>96.3</v>
      </c>
      <c r="H539" s="1" t="s">
        <v>188</v>
      </c>
    </row>
    <row r="540" spans="1:8" x14ac:dyDescent="0.3">
      <c r="A540">
        <v>2014</v>
      </c>
      <c r="B540" t="s">
        <v>36</v>
      </c>
      <c r="C540" t="s">
        <v>73</v>
      </c>
      <c r="D540" s="1" t="s">
        <v>24</v>
      </c>
      <c r="E540">
        <v>111.2</v>
      </c>
      <c r="F540">
        <v>111.4</v>
      </c>
      <c r="G540">
        <v>111.6</v>
      </c>
      <c r="H540" s="1" t="s">
        <v>191</v>
      </c>
    </row>
    <row r="541" spans="1:8" x14ac:dyDescent="0.3">
      <c r="A541">
        <v>2014</v>
      </c>
      <c r="B541" t="s">
        <v>36</v>
      </c>
      <c r="C541" t="s">
        <v>73</v>
      </c>
      <c r="D541" s="1" t="s">
        <v>9</v>
      </c>
      <c r="E541">
        <v>117.9</v>
      </c>
      <c r="F541">
        <v>116.3</v>
      </c>
      <c r="G541">
        <v>113.3</v>
      </c>
      <c r="H541" s="1" t="s">
        <v>188</v>
      </c>
    </row>
    <row r="542" spans="1:8" x14ac:dyDescent="0.3">
      <c r="A542">
        <v>2014</v>
      </c>
      <c r="B542" t="s">
        <v>38</v>
      </c>
      <c r="C542" t="s">
        <v>74</v>
      </c>
      <c r="D542" s="1" t="s">
        <v>3</v>
      </c>
      <c r="E542">
        <v>120.3</v>
      </c>
      <c r="F542">
        <v>121.1</v>
      </c>
      <c r="G542">
        <v>122.7</v>
      </c>
      <c r="H542" s="1" t="s">
        <v>188</v>
      </c>
    </row>
    <row r="543" spans="1:8" x14ac:dyDescent="0.3">
      <c r="A543">
        <v>2014</v>
      </c>
      <c r="B543" t="s">
        <v>38</v>
      </c>
      <c r="C543" t="s">
        <v>74</v>
      </c>
      <c r="D543" s="1" t="s">
        <v>17</v>
      </c>
      <c r="E543">
        <v>118.7</v>
      </c>
      <c r="F543">
        <v>118</v>
      </c>
      <c r="G543">
        <v>116.8</v>
      </c>
      <c r="H543" s="1" t="s">
        <v>189</v>
      </c>
    </row>
    <row r="544" spans="1:8" x14ac:dyDescent="0.3">
      <c r="A544">
        <v>2014</v>
      </c>
      <c r="B544" t="s">
        <v>38</v>
      </c>
      <c r="C544" t="s">
        <v>74</v>
      </c>
      <c r="D544" s="1" t="s">
        <v>19</v>
      </c>
      <c r="E544">
        <v>118.5</v>
      </c>
      <c r="F544">
        <v>117.6</v>
      </c>
      <c r="G544">
        <v>116.2</v>
      </c>
      <c r="H544" s="1" t="s">
        <v>189</v>
      </c>
    </row>
    <row r="545" spans="1:8" x14ac:dyDescent="0.3">
      <c r="A545">
        <v>2014</v>
      </c>
      <c r="B545" t="s">
        <v>38</v>
      </c>
      <c r="C545" t="s">
        <v>74</v>
      </c>
      <c r="D545" s="1" t="s">
        <v>26</v>
      </c>
      <c r="E545">
        <v>113.1</v>
      </c>
      <c r="F545">
        <v>113</v>
      </c>
      <c r="G545">
        <v>112.9</v>
      </c>
      <c r="H545" s="1" t="s">
        <v>26</v>
      </c>
    </row>
    <row r="546" spans="1:8" x14ac:dyDescent="0.3">
      <c r="A546">
        <v>2014</v>
      </c>
      <c r="B546" t="s">
        <v>38</v>
      </c>
      <c r="C546" t="s">
        <v>74</v>
      </c>
      <c r="D546" s="1" t="s">
        <v>5</v>
      </c>
      <c r="E546">
        <v>116.9</v>
      </c>
      <c r="F546">
        <v>115.9</v>
      </c>
      <c r="G546">
        <v>114.2</v>
      </c>
      <c r="H546" s="1" t="s">
        <v>188</v>
      </c>
    </row>
    <row r="547" spans="1:8" x14ac:dyDescent="0.3">
      <c r="A547">
        <v>2014</v>
      </c>
      <c r="B547" t="s">
        <v>38</v>
      </c>
      <c r="C547" t="s">
        <v>74</v>
      </c>
      <c r="D547" s="1" t="s">
        <v>15</v>
      </c>
      <c r="E547">
        <v>118.2</v>
      </c>
      <c r="F547">
        <v>118.9</v>
      </c>
      <c r="G547">
        <v>120</v>
      </c>
      <c r="H547" s="1" t="s">
        <v>188</v>
      </c>
    </row>
    <row r="548" spans="1:8" x14ac:dyDescent="0.3">
      <c r="A548">
        <v>2014</v>
      </c>
      <c r="B548" t="s">
        <v>38</v>
      </c>
      <c r="C548" t="s">
        <v>74</v>
      </c>
      <c r="D548" s="1" t="s">
        <v>18</v>
      </c>
      <c r="E548">
        <v>116.8</v>
      </c>
      <c r="F548">
        <v>115.2</v>
      </c>
      <c r="G548">
        <v>112.9</v>
      </c>
      <c r="H548" s="1" t="s">
        <v>189</v>
      </c>
    </row>
    <row r="549" spans="1:8" x14ac:dyDescent="0.3">
      <c r="A549">
        <v>2014</v>
      </c>
      <c r="B549" t="s">
        <v>38</v>
      </c>
      <c r="C549" t="s">
        <v>74</v>
      </c>
      <c r="D549" s="1" t="s">
        <v>8</v>
      </c>
      <c r="E549">
        <v>126.3</v>
      </c>
      <c r="F549">
        <v>127.7</v>
      </c>
      <c r="G549">
        <v>129.19999999999999</v>
      </c>
      <c r="H549" s="1" t="s">
        <v>188</v>
      </c>
    </row>
    <row r="550" spans="1:8" x14ac:dyDescent="0.3">
      <c r="A550">
        <v>2014</v>
      </c>
      <c r="B550" t="s">
        <v>38</v>
      </c>
      <c r="C550" t="s">
        <v>74</v>
      </c>
      <c r="D550" s="1" t="s">
        <v>21</v>
      </c>
      <c r="E550">
        <v>113.4</v>
      </c>
      <c r="F550">
        <v>112.5</v>
      </c>
      <c r="G550">
        <v>111.1</v>
      </c>
      <c r="H550" s="1" t="s">
        <v>190</v>
      </c>
    </row>
    <row r="551" spans="1:8" x14ac:dyDescent="0.3">
      <c r="A551">
        <v>2014</v>
      </c>
      <c r="B551" t="s">
        <v>38</v>
      </c>
      <c r="C551" t="s">
        <v>74</v>
      </c>
      <c r="D551" s="1" t="s">
        <v>29</v>
      </c>
      <c r="E551">
        <v>116</v>
      </c>
      <c r="F551">
        <v>115.8</v>
      </c>
      <c r="G551">
        <v>115.6</v>
      </c>
      <c r="H551" s="1" t="s">
        <v>206</v>
      </c>
    </row>
    <row r="552" spans="1:8" x14ac:dyDescent="0.3">
      <c r="A552">
        <v>2014</v>
      </c>
      <c r="B552" t="s">
        <v>38</v>
      </c>
      <c r="C552" t="s">
        <v>74</v>
      </c>
      <c r="D552" s="1" t="s">
        <v>23</v>
      </c>
      <c r="E552">
        <v>112.1</v>
      </c>
      <c r="F552">
        <v>111.8</v>
      </c>
      <c r="G552">
        <v>111.2</v>
      </c>
      <c r="H552" s="1" t="s">
        <v>23</v>
      </c>
    </row>
    <row r="553" spans="1:8" x14ac:dyDescent="0.3">
      <c r="A553">
        <v>2014</v>
      </c>
      <c r="B553" t="s">
        <v>38</v>
      </c>
      <c r="C553" t="s">
        <v>74</v>
      </c>
      <c r="D553" s="1" t="s">
        <v>22</v>
      </c>
      <c r="E553">
        <v>114.1</v>
      </c>
      <c r="F553">
        <v>114.1</v>
      </c>
      <c r="G553">
        <v>114.1</v>
      </c>
      <c r="H553" s="1" t="s">
        <v>20</v>
      </c>
    </row>
    <row r="554" spans="1:8" x14ac:dyDescent="0.3">
      <c r="A554">
        <v>2014</v>
      </c>
      <c r="B554" t="s">
        <v>38</v>
      </c>
      <c r="C554" t="s">
        <v>74</v>
      </c>
      <c r="D554" s="1" t="s">
        <v>20</v>
      </c>
      <c r="E554">
        <v>0</v>
      </c>
      <c r="F554">
        <v>114.3</v>
      </c>
      <c r="G554">
        <v>114.3</v>
      </c>
      <c r="H554" s="1" t="s">
        <v>20</v>
      </c>
    </row>
    <row r="555" spans="1:8" x14ac:dyDescent="0.3">
      <c r="A555">
        <v>2014</v>
      </c>
      <c r="B555" t="s">
        <v>38</v>
      </c>
      <c r="C555" t="s">
        <v>74</v>
      </c>
      <c r="D555" s="1" t="s">
        <v>4</v>
      </c>
      <c r="E555">
        <v>120.2</v>
      </c>
      <c r="F555">
        <v>121.6</v>
      </c>
      <c r="G555">
        <v>124.1</v>
      </c>
      <c r="H555" s="1" t="s">
        <v>188</v>
      </c>
    </row>
    <row r="556" spans="1:8" x14ac:dyDescent="0.3">
      <c r="A556">
        <v>2014</v>
      </c>
      <c r="B556" t="s">
        <v>38</v>
      </c>
      <c r="C556" t="s">
        <v>74</v>
      </c>
      <c r="D556" s="1" t="s">
        <v>6</v>
      </c>
      <c r="E556">
        <v>118</v>
      </c>
      <c r="F556">
        <v>118.4</v>
      </c>
      <c r="G556">
        <v>119.1</v>
      </c>
      <c r="H556" s="1" t="s">
        <v>188</v>
      </c>
    </row>
    <row r="557" spans="1:8" x14ac:dyDescent="0.3">
      <c r="A557">
        <v>2014</v>
      </c>
      <c r="B557" t="s">
        <v>38</v>
      </c>
      <c r="C557" t="s">
        <v>74</v>
      </c>
      <c r="D557" s="1" t="s">
        <v>28</v>
      </c>
      <c r="E557">
        <v>111.8</v>
      </c>
      <c r="F557">
        <v>111.8</v>
      </c>
      <c r="G557">
        <v>111.7</v>
      </c>
      <c r="H557" s="1" t="s">
        <v>192</v>
      </c>
    </row>
    <row r="558" spans="1:8" x14ac:dyDescent="0.3">
      <c r="A558">
        <v>2014</v>
      </c>
      <c r="B558" t="s">
        <v>38</v>
      </c>
      <c r="C558" t="s">
        <v>74</v>
      </c>
      <c r="D558" s="1" t="s">
        <v>13</v>
      </c>
      <c r="E558">
        <v>114.2</v>
      </c>
      <c r="F558">
        <v>113.7</v>
      </c>
      <c r="G558">
        <v>112.9</v>
      </c>
      <c r="H558" s="1" t="s">
        <v>188</v>
      </c>
    </row>
    <row r="559" spans="1:8" x14ac:dyDescent="0.3">
      <c r="A559">
        <v>2014</v>
      </c>
      <c r="B559" t="s">
        <v>38</v>
      </c>
      <c r="C559" t="s">
        <v>74</v>
      </c>
      <c r="D559" s="1" t="s">
        <v>7</v>
      </c>
      <c r="E559">
        <v>110.1</v>
      </c>
      <c r="F559">
        <v>107.7</v>
      </c>
      <c r="G559">
        <v>103.5</v>
      </c>
      <c r="H559" s="1" t="s">
        <v>188</v>
      </c>
    </row>
    <row r="560" spans="1:8" x14ac:dyDescent="0.3">
      <c r="A560">
        <v>2014</v>
      </c>
      <c r="B560" t="s">
        <v>38</v>
      </c>
      <c r="C560" t="s">
        <v>74</v>
      </c>
      <c r="D560" s="1" t="s">
        <v>16</v>
      </c>
      <c r="E560">
        <v>116.3</v>
      </c>
      <c r="F560">
        <v>116.8</v>
      </c>
      <c r="G560">
        <v>118.3</v>
      </c>
      <c r="H560" s="1" t="s">
        <v>192</v>
      </c>
    </row>
    <row r="561" spans="1:8" x14ac:dyDescent="0.3">
      <c r="A561">
        <v>2014</v>
      </c>
      <c r="B561" t="s">
        <v>38</v>
      </c>
      <c r="C561" t="s">
        <v>74</v>
      </c>
      <c r="D561" s="1" t="s">
        <v>27</v>
      </c>
      <c r="E561">
        <v>108.9</v>
      </c>
      <c r="F561">
        <v>109.1</v>
      </c>
      <c r="G561">
        <v>109.3</v>
      </c>
      <c r="H561" s="1" t="s">
        <v>192</v>
      </c>
    </row>
    <row r="562" spans="1:8" x14ac:dyDescent="0.3">
      <c r="A562">
        <v>2014</v>
      </c>
      <c r="B562" t="s">
        <v>38</v>
      </c>
      <c r="C562" t="s">
        <v>74</v>
      </c>
      <c r="D562" s="1" t="s">
        <v>14</v>
      </c>
      <c r="E562">
        <v>119.2</v>
      </c>
      <c r="F562">
        <v>120.4</v>
      </c>
      <c r="G562">
        <v>121.7</v>
      </c>
      <c r="H562" s="1" t="s">
        <v>188</v>
      </c>
    </row>
    <row r="563" spans="1:8" x14ac:dyDescent="0.3">
      <c r="A563">
        <v>2014</v>
      </c>
      <c r="B563" t="s">
        <v>38</v>
      </c>
      <c r="C563" t="s">
        <v>74</v>
      </c>
      <c r="D563" s="1" t="s">
        <v>10</v>
      </c>
      <c r="E563">
        <v>111.5</v>
      </c>
      <c r="F563">
        <v>111.9</v>
      </c>
      <c r="G563">
        <v>112.6</v>
      </c>
      <c r="H563" s="1" t="s">
        <v>188</v>
      </c>
    </row>
    <row r="564" spans="1:8" x14ac:dyDescent="0.3">
      <c r="A564">
        <v>2014</v>
      </c>
      <c r="B564" t="s">
        <v>38</v>
      </c>
      <c r="C564" t="s">
        <v>74</v>
      </c>
      <c r="D564" s="1" t="s">
        <v>25</v>
      </c>
      <c r="E564">
        <v>110.9</v>
      </c>
      <c r="F564">
        <v>111.2</v>
      </c>
      <c r="G564">
        <v>111.5</v>
      </c>
      <c r="H564" s="1" t="s">
        <v>195</v>
      </c>
    </row>
    <row r="565" spans="1:8" x14ac:dyDescent="0.3">
      <c r="A565">
        <v>2014</v>
      </c>
      <c r="B565" t="s">
        <v>38</v>
      </c>
      <c r="C565" t="s">
        <v>74</v>
      </c>
      <c r="D565" s="1" t="s">
        <v>12</v>
      </c>
      <c r="E565">
        <v>111.6</v>
      </c>
      <c r="F565">
        <v>113.4</v>
      </c>
      <c r="G565">
        <v>117</v>
      </c>
      <c r="H565" s="1" t="s">
        <v>188</v>
      </c>
    </row>
    <row r="566" spans="1:8" x14ac:dyDescent="0.3">
      <c r="A566">
        <v>2014</v>
      </c>
      <c r="B566" t="s">
        <v>38</v>
      </c>
      <c r="C566" t="s">
        <v>74</v>
      </c>
      <c r="D566" s="1" t="s">
        <v>11</v>
      </c>
      <c r="E566">
        <v>103.5</v>
      </c>
      <c r="F566">
        <v>102.8</v>
      </c>
      <c r="G566">
        <v>101.3</v>
      </c>
      <c r="H566" s="1" t="s">
        <v>188</v>
      </c>
    </row>
    <row r="567" spans="1:8" x14ac:dyDescent="0.3">
      <c r="A567">
        <v>2014</v>
      </c>
      <c r="B567" t="s">
        <v>38</v>
      </c>
      <c r="C567" t="s">
        <v>74</v>
      </c>
      <c r="D567" s="1" t="s">
        <v>24</v>
      </c>
      <c r="E567">
        <v>111.4</v>
      </c>
      <c r="F567">
        <v>111.3</v>
      </c>
      <c r="G567">
        <v>111.3</v>
      </c>
      <c r="H567" s="1" t="s">
        <v>191</v>
      </c>
    </row>
    <row r="568" spans="1:8" x14ac:dyDescent="0.3">
      <c r="A568">
        <v>2014</v>
      </c>
      <c r="B568" t="s">
        <v>38</v>
      </c>
      <c r="C568" t="s">
        <v>74</v>
      </c>
      <c r="D568" s="1" t="s">
        <v>9</v>
      </c>
      <c r="E568">
        <v>123.9</v>
      </c>
      <c r="F568">
        <v>125</v>
      </c>
      <c r="G568">
        <v>127</v>
      </c>
      <c r="H568" s="1" t="s">
        <v>188</v>
      </c>
    </row>
    <row r="569" spans="1:8" x14ac:dyDescent="0.3">
      <c r="A569">
        <v>2014</v>
      </c>
      <c r="B569" t="s">
        <v>44</v>
      </c>
      <c r="C569" t="s">
        <v>75</v>
      </c>
      <c r="D569" s="1" t="s">
        <v>3</v>
      </c>
      <c r="E569">
        <v>122.7</v>
      </c>
      <c r="F569">
        <v>123.3</v>
      </c>
      <c r="G569">
        <v>124.5</v>
      </c>
      <c r="H569" s="1" t="s">
        <v>188</v>
      </c>
    </row>
    <row r="570" spans="1:8" x14ac:dyDescent="0.3">
      <c r="A570">
        <v>2014</v>
      </c>
      <c r="B570" t="s">
        <v>44</v>
      </c>
      <c r="C570" t="s">
        <v>75</v>
      </c>
      <c r="D570" s="1" t="s">
        <v>17</v>
      </c>
      <c r="E570">
        <v>123.3</v>
      </c>
      <c r="F570">
        <v>122.1</v>
      </c>
      <c r="G570">
        <v>120.3</v>
      </c>
      <c r="H570" s="1" t="s">
        <v>189</v>
      </c>
    </row>
    <row r="571" spans="1:8" x14ac:dyDescent="0.3">
      <c r="A571">
        <v>2014</v>
      </c>
      <c r="B571" t="s">
        <v>44</v>
      </c>
      <c r="C571" t="s">
        <v>75</v>
      </c>
      <c r="D571" s="1" t="s">
        <v>19</v>
      </c>
      <c r="E571">
        <v>122.9</v>
      </c>
      <c r="F571">
        <v>121.6</v>
      </c>
      <c r="G571">
        <v>119.5</v>
      </c>
      <c r="H571" s="1" t="s">
        <v>189</v>
      </c>
    </row>
    <row r="572" spans="1:8" x14ac:dyDescent="0.3">
      <c r="A572">
        <v>2014</v>
      </c>
      <c r="B572" t="s">
        <v>44</v>
      </c>
      <c r="C572" t="s">
        <v>75</v>
      </c>
      <c r="D572" s="1" t="s">
        <v>26</v>
      </c>
      <c r="E572">
        <v>117.2</v>
      </c>
      <c r="F572">
        <v>119</v>
      </c>
      <c r="G572">
        <v>120.3</v>
      </c>
      <c r="H572" s="1" t="s">
        <v>26</v>
      </c>
    </row>
    <row r="573" spans="1:8" x14ac:dyDescent="0.3">
      <c r="A573">
        <v>2014</v>
      </c>
      <c r="B573" t="s">
        <v>44</v>
      </c>
      <c r="C573" t="s">
        <v>75</v>
      </c>
      <c r="D573" s="1" t="s">
        <v>5</v>
      </c>
      <c r="E573">
        <v>119.9</v>
      </c>
      <c r="F573">
        <v>121</v>
      </c>
      <c r="G573">
        <v>122.7</v>
      </c>
      <c r="H573" s="1" t="s">
        <v>188</v>
      </c>
    </row>
    <row r="574" spans="1:8" x14ac:dyDescent="0.3">
      <c r="A574">
        <v>2014</v>
      </c>
      <c r="B574" t="s">
        <v>44</v>
      </c>
      <c r="C574" t="s">
        <v>75</v>
      </c>
      <c r="D574" s="1" t="s">
        <v>15</v>
      </c>
      <c r="E574">
        <v>124.9</v>
      </c>
      <c r="F574">
        <v>125.1</v>
      </c>
      <c r="G574">
        <v>125.4</v>
      </c>
      <c r="H574" s="1" t="s">
        <v>188</v>
      </c>
    </row>
    <row r="575" spans="1:8" x14ac:dyDescent="0.3">
      <c r="A575">
        <v>2014</v>
      </c>
      <c r="B575" t="s">
        <v>44</v>
      </c>
      <c r="C575" t="s">
        <v>75</v>
      </c>
      <c r="D575" s="1" t="s">
        <v>18</v>
      </c>
      <c r="E575">
        <v>120.5</v>
      </c>
      <c r="F575">
        <v>118.4</v>
      </c>
      <c r="G575">
        <v>115.4</v>
      </c>
      <c r="H575" s="1" t="s">
        <v>189</v>
      </c>
    </row>
    <row r="576" spans="1:8" x14ac:dyDescent="0.3">
      <c r="A576">
        <v>2014</v>
      </c>
      <c r="B576" t="s">
        <v>44</v>
      </c>
      <c r="C576" t="s">
        <v>75</v>
      </c>
      <c r="D576" s="1" t="s">
        <v>8</v>
      </c>
      <c r="E576">
        <v>128.80000000000001</v>
      </c>
      <c r="F576">
        <v>125.7</v>
      </c>
      <c r="G576">
        <v>122.2</v>
      </c>
      <c r="H576" s="1" t="s">
        <v>188</v>
      </c>
    </row>
    <row r="577" spans="1:8" x14ac:dyDescent="0.3">
      <c r="A577">
        <v>2014</v>
      </c>
      <c r="B577" t="s">
        <v>44</v>
      </c>
      <c r="C577" t="s">
        <v>75</v>
      </c>
      <c r="D577" s="1" t="s">
        <v>21</v>
      </c>
      <c r="E577">
        <v>117.3</v>
      </c>
      <c r="F577">
        <v>115.5</v>
      </c>
      <c r="G577">
        <v>112.6</v>
      </c>
      <c r="H577" s="1" t="s">
        <v>190</v>
      </c>
    </row>
    <row r="578" spans="1:8" x14ac:dyDescent="0.3">
      <c r="A578">
        <v>2014</v>
      </c>
      <c r="B578" t="s">
        <v>44</v>
      </c>
      <c r="C578" t="s">
        <v>75</v>
      </c>
      <c r="D578" s="1" t="s">
        <v>29</v>
      </c>
      <c r="E578">
        <v>121.1</v>
      </c>
      <c r="F578">
        <v>120.1</v>
      </c>
      <c r="G578">
        <v>119</v>
      </c>
      <c r="H578" s="1" t="s">
        <v>206</v>
      </c>
    </row>
    <row r="579" spans="1:8" x14ac:dyDescent="0.3">
      <c r="A579">
        <v>2014</v>
      </c>
      <c r="B579" t="s">
        <v>44</v>
      </c>
      <c r="C579" t="s">
        <v>75</v>
      </c>
      <c r="D579" s="1" t="s">
        <v>23</v>
      </c>
      <c r="E579">
        <v>115.9</v>
      </c>
      <c r="F579">
        <v>114.8</v>
      </c>
      <c r="G579">
        <v>113</v>
      </c>
      <c r="H579" s="1" t="s">
        <v>23</v>
      </c>
    </row>
    <row r="580" spans="1:8" x14ac:dyDescent="0.3">
      <c r="A580">
        <v>2014</v>
      </c>
      <c r="B580" t="s">
        <v>44</v>
      </c>
      <c r="C580" t="s">
        <v>75</v>
      </c>
      <c r="D580" s="1" t="s">
        <v>22</v>
      </c>
      <c r="E580">
        <v>118.1</v>
      </c>
      <c r="F580">
        <v>117.3</v>
      </c>
      <c r="G580">
        <v>116.4</v>
      </c>
      <c r="H580" s="1" t="s">
        <v>20</v>
      </c>
    </row>
    <row r="581" spans="1:8" x14ac:dyDescent="0.3">
      <c r="A581">
        <v>2014</v>
      </c>
      <c r="B581" t="s">
        <v>44</v>
      </c>
      <c r="C581" t="s">
        <v>75</v>
      </c>
      <c r="D581" s="1" t="s">
        <v>20</v>
      </c>
      <c r="E581">
        <v>0</v>
      </c>
      <c r="F581">
        <v>117.1</v>
      </c>
      <c r="G581">
        <v>117.1</v>
      </c>
      <c r="H581" s="1" t="s">
        <v>20</v>
      </c>
    </row>
    <row r="582" spans="1:8" x14ac:dyDescent="0.3">
      <c r="A582">
        <v>2014</v>
      </c>
      <c r="B582" t="s">
        <v>44</v>
      </c>
      <c r="C582" t="s">
        <v>75</v>
      </c>
      <c r="D582" s="1" t="s">
        <v>4</v>
      </c>
      <c r="E582">
        <v>122.6</v>
      </c>
      <c r="F582">
        <v>123.7</v>
      </c>
      <c r="G582">
        <v>125.6</v>
      </c>
      <c r="H582" s="1" t="s">
        <v>188</v>
      </c>
    </row>
    <row r="583" spans="1:8" x14ac:dyDescent="0.3">
      <c r="A583">
        <v>2014</v>
      </c>
      <c r="B583" t="s">
        <v>44</v>
      </c>
      <c r="C583" t="s">
        <v>75</v>
      </c>
      <c r="D583" s="1" t="s">
        <v>6</v>
      </c>
      <c r="E583">
        <v>124</v>
      </c>
      <c r="F583">
        <v>124.2</v>
      </c>
      <c r="G583">
        <v>124.6</v>
      </c>
      <c r="H583" s="1" t="s">
        <v>188</v>
      </c>
    </row>
    <row r="584" spans="1:8" x14ac:dyDescent="0.3">
      <c r="A584">
        <v>2014</v>
      </c>
      <c r="B584" t="s">
        <v>44</v>
      </c>
      <c r="C584" t="s">
        <v>75</v>
      </c>
      <c r="D584" s="1" t="s">
        <v>28</v>
      </c>
      <c r="E584">
        <v>114.1</v>
      </c>
      <c r="F584">
        <v>113.8</v>
      </c>
      <c r="G584">
        <v>113.4</v>
      </c>
      <c r="H584" s="1" t="s">
        <v>192</v>
      </c>
    </row>
    <row r="585" spans="1:8" x14ac:dyDescent="0.3">
      <c r="A585">
        <v>2014</v>
      </c>
      <c r="B585" t="s">
        <v>44</v>
      </c>
      <c r="C585" t="s">
        <v>75</v>
      </c>
      <c r="D585" s="1" t="s">
        <v>13</v>
      </c>
      <c r="E585">
        <v>116.8</v>
      </c>
      <c r="F585">
        <v>116.4</v>
      </c>
      <c r="G585">
        <v>115.8</v>
      </c>
      <c r="H585" s="1" t="s">
        <v>188</v>
      </c>
    </row>
    <row r="586" spans="1:8" x14ac:dyDescent="0.3">
      <c r="A586">
        <v>2014</v>
      </c>
      <c r="B586" t="s">
        <v>44</v>
      </c>
      <c r="C586" t="s">
        <v>75</v>
      </c>
      <c r="D586" s="1" t="s">
        <v>7</v>
      </c>
      <c r="E586">
        <v>110.5</v>
      </c>
      <c r="F586">
        <v>107.8</v>
      </c>
      <c r="G586">
        <v>103.2</v>
      </c>
      <c r="H586" s="1" t="s">
        <v>188</v>
      </c>
    </row>
    <row r="587" spans="1:8" x14ac:dyDescent="0.3">
      <c r="A587">
        <v>2014</v>
      </c>
      <c r="B587" t="s">
        <v>44</v>
      </c>
      <c r="C587" t="s">
        <v>75</v>
      </c>
      <c r="D587" s="1" t="s">
        <v>16</v>
      </c>
      <c r="E587">
        <v>120.8</v>
      </c>
      <c r="F587">
        <v>122.1</v>
      </c>
      <c r="G587">
        <v>125.8</v>
      </c>
      <c r="H587" s="1" t="s">
        <v>192</v>
      </c>
    </row>
    <row r="588" spans="1:8" x14ac:dyDescent="0.3">
      <c r="A588">
        <v>2014</v>
      </c>
      <c r="B588" t="s">
        <v>44</v>
      </c>
      <c r="C588" t="s">
        <v>75</v>
      </c>
      <c r="D588" s="1" t="s">
        <v>27</v>
      </c>
      <c r="E588">
        <v>108.8</v>
      </c>
      <c r="F588">
        <v>109.1</v>
      </c>
      <c r="G588">
        <v>109.6</v>
      </c>
      <c r="H588" s="1" t="s">
        <v>192</v>
      </c>
    </row>
    <row r="589" spans="1:8" x14ac:dyDescent="0.3">
      <c r="A589">
        <v>2014</v>
      </c>
      <c r="B589" t="s">
        <v>44</v>
      </c>
      <c r="C589" t="s">
        <v>75</v>
      </c>
      <c r="D589" s="1" t="s">
        <v>14</v>
      </c>
      <c r="E589">
        <v>124.5</v>
      </c>
      <c r="F589">
        <v>125.6</v>
      </c>
      <c r="G589">
        <v>126.9</v>
      </c>
      <c r="H589" s="1" t="s">
        <v>188</v>
      </c>
    </row>
    <row r="590" spans="1:8" x14ac:dyDescent="0.3">
      <c r="A590">
        <v>2014</v>
      </c>
      <c r="B590" t="s">
        <v>44</v>
      </c>
      <c r="C590" t="s">
        <v>75</v>
      </c>
      <c r="D590" s="1" t="s">
        <v>10</v>
      </c>
      <c r="E590">
        <v>116.2</v>
      </c>
      <c r="F590">
        <v>117.2</v>
      </c>
      <c r="G590">
        <v>119.3</v>
      </c>
      <c r="H590" s="1" t="s">
        <v>188</v>
      </c>
    </row>
    <row r="591" spans="1:8" x14ac:dyDescent="0.3">
      <c r="A591">
        <v>2014</v>
      </c>
      <c r="B591" t="s">
        <v>44</v>
      </c>
      <c r="C591" t="s">
        <v>75</v>
      </c>
      <c r="D591" s="1" t="s">
        <v>25</v>
      </c>
      <c r="E591">
        <v>113.3</v>
      </c>
      <c r="F591">
        <v>113.7</v>
      </c>
      <c r="G591">
        <v>114</v>
      </c>
      <c r="H591" s="1" t="s">
        <v>195</v>
      </c>
    </row>
    <row r="592" spans="1:8" x14ac:dyDescent="0.3">
      <c r="A592">
        <v>2014</v>
      </c>
      <c r="B592" t="s">
        <v>44</v>
      </c>
      <c r="C592" t="s">
        <v>75</v>
      </c>
      <c r="D592" s="1" t="s">
        <v>12</v>
      </c>
      <c r="E592">
        <v>115.8</v>
      </c>
      <c r="F592">
        <v>118.7</v>
      </c>
      <c r="G592">
        <v>124.6</v>
      </c>
      <c r="H592" s="1" t="s">
        <v>188</v>
      </c>
    </row>
    <row r="593" spans="1:8" x14ac:dyDescent="0.3">
      <c r="A593">
        <v>2014</v>
      </c>
      <c r="B593" t="s">
        <v>44</v>
      </c>
      <c r="C593" t="s">
        <v>75</v>
      </c>
      <c r="D593" s="1" t="s">
        <v>11</v>
      </c>
      <c r="E593">
        <v>103.3</v>
      </c>
      <c r="F593">
        <v>102.1</v>
      </c>
      <c r="G593">
        <v>99.8</v>
      </c>
      <c r="H593" s="1" t="s">
        <v>188</v>
      </c>
    </row>
    <row r="594" spans="1:8" x14ac:dyDescent="0.3">
      <c r="A594">
        <v>2014</v>
      </c>
      <c r="B594" t="s">
        <v>44</v>
      </c>
      <c r="C594" t="s">
        <v>75</v>
      </c>
      <c r="D594" s="1" t="s">
        <v>24</v>
      </c>
      <c r="E594">
        <v>112</v>
      </c>
      <c r="F594">
        <v>110.8</v>
      </c>
      <c r="G594">
        <v>109.7</v>
      </c>
      <c r="H594" s="1" t="s">
        <v>191</v>
      </c>
    </row>
    <row r="595" spans="1:8" x14ac:dyDescent="0.3">
      <c r="A595">
        <v>2014</v>
      </c>
      <c r="B595" t="s">
        <v>44</v>
      </c>
      <c r="C595" t="s">
        <v>75</v>
      </c>
      <c r="D595" s="1" t="s">
        <v>9</v>
      </c>
      <c r="E595">
        <v>152</v>
      </c>
      <c r="F595">
        <v>152.4</v>
      </c>
      <c r="G595">
        <v>153.19999999999999</v>
      </c>
      <c r="H595" s="1" t="s">
        <v>188</v>
      </c>
    </row>
    <row r="596" spans="1:8" x14ac:dyDescent="0.3">
      <c r="A596">
        <v>2014</v>
      </c>
      <c r="B596" t="s">
        <v>43</v>
      </c>
      <c r="C596" t="s">
        <v>76</v>
      </c>
      <c r="D596" s="1" t="s">
        <v>3</v>
      </c>
      <c r="E596">
        <v>122.6</v>
      </c>
      <c r="F596">
        <v>123.2</v>
      </c>
      <c r="G596">
        <v>124.6</v>
      </c>
      <c r="H596" s="1" t="s">
        <v>188</v>
      </c>
    </row>
    <row r="597" spans="1:8" x14ac:dyDescent="0.3">
      <c r="A597">
        <v>2014</v>
      </c>
      <c r="B597" t="s">
        <v>43</v>
      </c>
      <c r="C597" t="s">
        <v>76</v>
      </c>
      <c r="D597" s="1" t="s">
        <v>17</v>
      </c>
      <c r="E597">
        <v>122.7</v>
      </c>
      <c r="F597">
        <v>121.5</v>
      </c>
      <c r="G597">
        <v>119.6</v>
      </c>
      <c r="H597" s="1" t="s">
        <v>189</v>
      </c>
    </row>
    <row r="598" spans="1:8" x14ac:dyDescent="0.3">
      <c r="A598">
        <v>2014</v>
      </c>
      <c r="B598" t="s">
        <v>43</v>
      </c>
      <c r="C598" t="s">
        <v>76</v>
      </c>
      <c r="D598" s="1" t="s">
        <v>19</v>
      </c>
      <c r="E598">
        <v>122.3</v>
      </c>
      <c r="F598">
        <v>121</v>
      </c>
      <c r="G598">
        <v>118.9</v>
      </c>
      <c r="H598" s="1" t="s">
        <v>189</v>
      </c>
    </row>
    <row r="599" spans="1:8" x14ac:dyDescent="0.3">
      <c r="A599">
        <v>2014</v>
      </c>
      <c r="B599" t="s">
        <v>43</v>
      </c>
      <c r="C599" t="s">
        <v>76</v>
      </c>
      <c r="D599" s="1" t="s">
        <v>26</v>
      </c>
      <c r="E599">
        <v>116.9</v>
      </c>
      <c r="F599">
        <v>118.8</v>
      </c>
      <c r="G599">
        <v>120.2</v>
      </c>
      <c r="H599" s="1" t="s">
        <v>26</v>
      </c>
    </row>
    <row r="600" spans="1:8" x14ac:dyDescent="0.3">
      <c r="A600">
        <v>2014</v>
      </c>
      <c r="B600" t="s">
        <v>43</v>
      </c>
      <c r="C600" t="s">
        <v>76</v>
      </c>
      <c r="D600" s="1" t="s">
        <v>5</v>
      </c>
      <c r="E600">
        <v>118.3</v>
      </c>
      <c r="F600">
        <v>118.1</v>
      </c>
      <c r="G600">
        <v>117.8</v>
      </c>
      <c r="H600" s="1" t="s">
        <v>188</v>
      </c>
    </row>
    <row r="601" spans="1:8" x14ac:dyDescent="0.3">
      <c r="A601">
        <v>2014</v>
      </c>
      <c r="B601" t="s">
        <v>43</v>
      </c>
      <c r="C601" t="s">
        <v>76</v>
      </c>
      <c r="D601" s="1" t="s">
        <v>15</v>
      </c>
      <c r="E601">
        <v>125.1</v>
      </c>
      <c r="F601">
        <v>125.4</v>
      </c>
      <c r="G601">
        <v>125.8</v>
      </c>
      <c r="H601" s="1" t="s">
        <v>188</v>
      </c>
    </row>
    <row r="602" spans="1:8" x14ac:dyDescent="0.3">
      <c r="A602">
        <v>2014</v>
      </c>
      <c r="B602" t="s">
        <v>43</v>
      </c>
      <c r="C602" t="s">
        <v>76</v>
      </c>
      <c r="D602" s="1" t="s">
        <v>18</v>
      </c>
      <c r="E602">
        <v>120.3</v>
      </c>
      <c r="F602">
        <v>118.1</v>
      </c>
      <c r="G602">
        <v>114.9</v>
      </c>
      <c r="H602" s="1" t="s">
        <v>189</v>
      </c>
    </row>
    <row r="603" spans="1:8" x14ac:dyDescent="0.3">
      <c r="A603">
        <v>2014</v>
      </c>
      <c r="B603" t="s">
        <v>43</v>
      </c>
      <c r="C603" t="s">
        <v>76</v>
      </c>
      <c r="D603" s="1" t="s">
        <v>8</v>
      </c>
      <c r="E603">
        <v>128.9</v>
      </c>
      <c r="F603">
        <v>126.4</v>
      </c>
      <c r="G603">
        <v>123.5</v>
      </c>
      <c r="H603" s="1" t="s">
        <v>188</v>
      </c>
    </row>
    <row r="604" spans="1:8" x14ac:dyDescent="0.3">
      <c r="A604">
        <v>2014</v>
      </c>
      <c r="B604" t="s">
        <v>43</v>
      </c>
      <c r="C604" t="s">
        <v>76</v>
      </c>
      <c r="D604" s="1" t="s">
        <v>21</v>
      </c>
      <c r="E604">
        <v>116.4</v>
      </c>
      <c r="F604">
        <v>114.7</v>
      </c>
      <c r="G604">
        <v>112</v>
      </c>
      <c r="H604" s="1" t="s">
        <v>190</v>
      </c>
    </row>
    <row r="605" spans="1:8" x14ac:dyDescent="0.3">
      <c r="A605">
        <v>2014</v>
      </c>
      <c r="B605" t="s">
        <v>43</v>
      </c>
      <c r="C605" t="s">
        <v>76</v>
      </c>
      <c r="D605" s="1" t="s">
        <v>29</v>
      </c>
      <c r="E605">
        <v>121</v>
      </c>
      <c r="F605">
        <v>120.1</v>
      </c>
      <c r="G605">
        <v>119.1</v>
      </c>
      <c r="H605" s="1" t="s">
        <v>206</v>
      </c>
    </row>
    <row r="606" spans="1:8" x14ac:dyDescent="0.3">
      <c r="A606">
        <v>2014</v>
      </c>
      <c r="B606" t="s">
        <v>43</v>
      </c>
      <c r="C606" t="s">
        <v>76</v>
      </c>
      <c r="D606" s="1" t="s">
        <v>23</v>
      </c>
      <c r="E606">
        <v>115.3</v>
      </c>
      <c r="F606">
        <v>114.3</v>
      </c>
      <c r="G606">
        <v>112.6</v>
      </c>
      <c r="H606" s="1" t="s">
        <v>23</v>
      </c>
    </row>
    <row r="607" spans="1:8" x14ac:dyDescent="0.3">
      <c r="A607">
        <v>2014</v>
      </c>
      <c r="B607" t="s">
        <v>43</v>
      </c>
      <c r="C607" t="s">
        <v>76</v>
      </c>
      <c r="D607" s="1" t="s">
        <v>22</v>
      </c>
      <c r="E607">
        <v>117.5</v>
      </c>
      <c r="F607">
        <v>116.7</v>
      </c>
      <c r="G607">
        <v>115.8</v>
      </c>
      <c r="H607" s="1" t="s">
        <v>20</v>
      </c>
    </row>
    <row r="608" spans="1:8" x14ac:dyDescent="0.3">
      <c r="A608">
        <v>2014</v>
      </c>
      <c r="B608" t="s">
        <v>43</v>
      </c>
      <c r="C608" t="s">
        <v>76</v>
      </c>
      <c r="D608" s="1" t="s">
        <v>20</v>
      </c>
      <c r="E608">
        <v>0</v>
      </c>
      <c r="F608">
        <v>116.7</v>
      </c>
      <c r="G608">
        <v>116.7</v>
      </c>
      <c r="H608" s="1" t="s">
        <v>20</v>
      </c>
    </row>
    <row r="609" spans="1:8" x14ac:dyDescent="0.3">
      <c r="A609">
        <v>2014</v>
      </c>
      <c r="B609" t="s">
        <v>43</v>
      </c>
      <c r="C609" t="s">
        <v>76</v>
      </c>
      <c r="D609" s="1" t="s">
        <v>4</v>
      </c>
      <c r="E609">
        <v>122.5</v>
      </c>
      <c r="F609">
        <v>123.8</v>
      </c>
      <c r="G609">
        <v>126.1</v>
      </c>
      <c r="H609" s="1" t="s">
        <v>188</v>
      </c>
    </row>
    <row r="610" spans="1:8" x14ac:dyDescent="0.3">
      <c r="A610">
        <v>2014</v>
      </c>
      <c r="B610" t="s">
        <v>43</v>
      </c>
      <c r="C610" t="s">
        <v>76</v>
      </c>
      <c r="D610" s="1" t="s">
        <v>6</v>
      </c>
      <c r="E610">
        <v>123.2</v>
      </c>
      <c r="F610">
        <v>123.2</v>
      </c>
      <c r="G610">
        <v>123.1</v>
      </c>
      <c r="H610" s="1" t="s">
        <v>188</v>
      </c>
    </row>
    <row r="611" spans="1:8" x14ac:dyDescent="0.3">
      <c r="A611">
        <v>2014</v>
      </c>
      <c r="B611" t="s">
        <v>43</v>
      </c>
      <c r="C611" t="s">
        <v>76</v>
      </c>
      <c r="D611" s="1" t="s">
        <v>28</v>
      </c>
      <c r="E611">
        <v>114</v>
      </c>
      <c r="F611">
        <v>113.9</v>
      </c>
      <c r="G611">
        <v>113.7</v>
      </c>
      <c r="H611" s="1" t="s">
        <v>192</v>
      </c>
    </row>
    <row r="612" spans="1:8" x14ac:dyDescent="0.3">
      <c r="A612">
        <v>2014</v>
      </c>
      <c r="B612" t="s">
        <v>43</v>
      </c>
      <c r="C612" t="s">
        <v>76</v>
      </c>
      <c r="D612" s="1" t="s">
        <v>13</v>
      </c>
      <c r="E612">
        <v>116.8</v>
      </c>
      <c r="F612">
        <v>116.1</v>
      </c>
      <c r="G612">
        <v>115.2</v>
      </c>
      <c r="H612" s="1" t="s">
        <v>188</v>
      </c>
    </row>
    <row r="613" spans="1:8" x14ac:dyDescent="0.3">
      <c r="A613">
        <v>2014</v>
      </c>
      <c r="B613" t="s">
        <v>43</v>
      </c>
      <c r="C613" t="s">
        <v>76</v>
      </c>
      <c r="D613" s="1" t="s">
        <v>7</v>
      </c>
      <c r="E613">
        <v>110.5</v>
      </c>
      <c r="F613">
        <v>107.9</v>
      </c>
      <c r="G613">
        <v>103.5</v>
      </c>
      <c r="H613" s="1" t="s">
        <v>188</v>
      </c>
    </row>
    <row r="614" spans="1:8" x14ac:dyDescent="0.3">
      <c r="A614">
        <v>2014</v>
      </c>
      <c r="B614" t="s">
        <v>43</v>
      </c>
      <c r="C614" t="s">
        <v>76</v>
      </c>
      <c r="D614" s="1" t="s">
        <v>16</v>
      </c>
      <c r="E614">
        <v>120</v>
      </c>
      <c r="F614">
        <v>121.1</v>
      </c>
      <c r="G614">
        <v>124.3</v>
      </c>
      <c r="H614" s="1" t="s">
        <v>192</v>
      </c>
    </row>
    <row r="615" spans="1:8" x14ac:dyDescent="0.3">
      <c r="A615">
        <v>2014</v>
      </c>
      <c r="B615" t="s">
        <v>43</v>
      </c>
      <c r="C615" t="s">
        <v>76</v>
      </c>
      <c r="D615" s="1" t="s">
        <v>27</v>
      </c>
      <c r="E615">
        <v>109.3</v>
      </c>
      <c r="F615">
        <v>109.6</v>
      </c>
      <c r="G615">
        <v>110.1</v>
      </c>
      <c r="H615" s="1" t="s">
        <v>192</v>
      </c>
    </row>
    <row r="616" spans="1:8" x14ac:dyDescent="0.3">
      <c r="A616">
        <v>2014</v>
      </c>
      <c r="B616" t="s">
        <v>43</v>
      </c>
      <c r="C616" t="s">
        <v>76</v>
      </c>
      <c r="D616" s="1" t="s">
        <v>14</v>
      </c>
      <c r="E616">
        <v>123.2</v>
      </c>
      <c r="F616">
        <v>124.5</v>
      </c>
      <c r="G616">
        <v>125.9</v>
      </c>
      <c r="H616" s="1" t="s">
        <v>188</v>
      </c>
    </row>
    <row r="617" spans="1:8" x14ac:dyDescent="0.3">
      <c r="A617">
        <v>2014</v>
      </c>
      <c r="B617" t="s">
        <v>43</v>
      </c>
      <c r="C617" t="s">
        <v>76</v>
      </c>
      <c r="D617" s="1" t="s">
        <v>10</v>
      </c>
      <c r="E617">
        <v>115.5</v>
      </c>
      <c r="F617">
        <v>116.1</v>
      </c>
      <c r="G617">
        <v>117.4</v>
      </c>
      <c r="H617" s="1" t="s">
        <v>188</v>
      </c>
    </row>
    <row r="618" spans="1:8" x14ac:dyDescent="0.3">
      <c r="A618">
        <v>2014</v>
      </c>
      <c r="B618" t="s">
        <v>43</v>
      </c>
      <c r="C618" t="s">
        <v>76</v>
      </c>
      <c r="D618" s="1" t="s">
        <v>25</v>
      </c>
      <c r="E618">
        <v>113</v>
      </c>
      <c r="F618">
        <v>113.3</v>
      </c>
      <c r="G618">
        <v>113.6</v>
      </c>
      <c r="H618" s="1" t="s">
        <v>195</v>
      </c>
    </row>
    <row r="619" spans="1:8" x14ac:dyDescent="0.3">
      <c r="A619">
        <v>2014</v>
      </c>
      <c r="B619" t="s">
        <v>43</v>
      </c>
      <c r="C619" t="s">
        <v>76</v>
      </c>
      <c r="D619" s="1" t="s">
        <v>12</v>
      </c>
      <c r="E619">
        <v>115.3</v>
      </c>
      <c r="F619">
        <v>118.1</v>
      </c>
      <c r="G619">
        <v>123.8</v>
      </c>
      <c r="H619" s="1" t="s">
        <v>188</v>
      </c>
    </row>
    <row r="620" spans="1:8" x14ac:dyDescent="0.3">
      <c r="A620">
        <v>2014</v>
      </c>
      <c r="B620" t="s">
        <v>43</v>
      </c>
      <c r="C620" t="s">
        <v>76</v>
      </c>
      <c r="D620" s="1" t="s">
        <v>11</v>
      </c>
      <c r="E620">
        <v>104</v>
      </c>
      <c r="F620">
        <v>103.1</v>
      </c>
      <c r="G620">
        <v>101.2</v>
      </c>
      <c r="H620" s="1" t="s">
        <v>188</v>
      </c>
    </row>
    <row r="621" spans="1:8" x14ac:dyDescent="0.3">
      <c r="A621">
        <v>2014</v>
      </c>
      <c r="B621" t="s">
        <v>43</v>
      </c>
      <c r="C621" t="s">
        <v>76</v>
      </c>
      <c r="D621" s="1" t="s">
        <v>24</v>
      </c>
      <c r="E621">
        <v>112.6</v>
      </c>
      <c r="F621">
        <v>111.8</v>
      </c>
      <c r="G621">
        <v>111</v>
      </c>
      <c r="H621" s="1" t="s">
        <v>191</v>
      </c>
    </row>
    <row r="622" spans="1:8" x14ac:dyDescent="0.3">
      <c r="A622">
        <v>2014</v>
      </c>
      <c r="B622" t="s">
        <v>43</v>
      </c>
      <c r="C622" t="s">
        <v>76</v>
      </c>
      <c r="D622" s="1" t="s">
        <v>9</v>
      </c>
      <c r="E622">
        <v>155.30000000000001</v>
      </c>
      <c r="F622">
        <v>156.80000000000001</v>
      </c>
      <c r="G622">
        <v>159.6</v>
      </c>
      <c r="H622" s="1" t="s">
        <v>188</v>
      </c>
    </row>
    <row r="623" spans="1:8" x14ac:dyDescent="0.3">
      <c r="A623">
        <v>2014</v>
      </c>
      <c r="B623" t="s">
        <v>42</v>
      </c>
      <c r="C623" t="s">
        <v>77</v>
      </c>
      <c r="D623" s="1" t="s">
        <v>3</v>
      </c>
      <c r="E623">
        <v>122.3</v>
      </c>
      <c r="F623">
        <v>122.9</v>
      </c>
      <c r="G623">
        <v>124.2</v>
      </c>
      <c r="H623" s="1" t="s">
        <v>188</v>
      </c>
    </row>
    <row r="624" spans="1:8" x14ac:dyDescent="0.3">
      <c r="A624">
        <v>2014</v>
      </c>
      <c r="B624" t="s">
        <v>42</v>
      </c>
      <c r="C624" t="s">
        <v>77</v>
      </c>
      <c r="D624" s="1" t="s">
        <v>17</v>
      </c>
      <c r="E624">
        <v>121.7</v>
      </c>
      <c r="F624">
        <v>120.7</v>
      </c>
      <c r="G624">
        <v>119.2</v>
      </c>
      <c r="H624" s="1" t="s">
        <v>189</v>
      </c>
    </row>
    <row r="625" spans="1:8" x14ac:dyDescent="0.3">
      <c r="A625">
        <v>2014</v>
      </c>
      <c r="B625" t="s">
        <v>42</v>
      </c>
      <c r="C625" t="s">
        <v>77</v>
      </c>
      <c r="D625" s="1" t="s">
        <v>19</v>
      </c>
      <c r="E625">
        <v>121.3</v>
      </c>
      <c r="F625">
        <v>120.1</v>
      </c>
      <c r="G625">
        <v>118.4</v>
      </c>
      <c r="H625" s="1" t="s">
        <v>189</v>
      </c>
    </row>
    <row r="626" spans="1:8" x14ac:dyDescent="0.3">
      <c r="A626">
        <v>2014</v>
      </c>
      <c r="B626" t="s">
        <v>42</v>
      </c>
      <c r="C626" t="s">
        <v>77</v>
      </c>
      <c r="D626" s="1" t="s">
        <v>26</v>
      </c>
      <c r="E626">
        <v>116.6</v>
      </c>
      <c r="F626">
        <v>118.6</v>
      </c>
      <c r="G626">
        <v>120</v>
      </c>
      <c r="H626" s="1" t="s">
        <v>26</v>
      </c>
    </row>
    <row r="627" spans="1:8" x14ac:dyDescent="0.3">
      <c r="A627">
        <v>2014</v>
      </c>
      <c r="B627" t="s">
        <v>42</v>
      </c>
      <c r="C627" t="s">
        <v>77</v>
      </c>
      <c r="D627" s="1" t="s">
        <v>5</v>
      </c>
      <c r="E627">
        <v>117.8</v>
      </c>
      <c r="F627">
        <v>117.3</v>
      </c>
      <c r="G627">
        <v>116.4</v>
      </c>
      <c r="H627" s="1" t="s">
        <v>188</v>
      </c>
    </row>
    <row r="628" spans="1:8" x14ac:dyDescent="0.3">
      <c r="A628">
        <v>2014</v>
      </c>
      <c r="B628" t="s">
        <v>42</v>
      </c>
      <c r="C628" t="s">
        <v>77</v>
      </c>
      <c r="D628" s="1" t="s">
        <v>15</v>
      </c>
      <c r="E628">
        <v>125.3</v>
      </c>
      <c r="F628">
        <v>125.8</v>
      </c>
      <c r="G628">
        <v>126.7</v>
      </c>
      <c r="H628" s="1" t="s">
        <v>188</v>
      </c>
    </row>
    <row r="629" spans="1:8" x14ac:dyDescent="0.3">
      <c r="A629">
        <v>2014</v>
      </c>
      <c r="B629" t="s">
        <v>42</v>
      </c>
      <c r="C629" t="s">
        <v>77</v>
      </c>
      <c r="D629" s="1" t="s">
        <v>18</v>
      </c>
      <c r="E629">
        <v>119.2</v>
      </c>
      <c r="F629">
        <v>117.2</v>
      </c>
      <c r="G629">
        <v>114.5</v>
      </c>
      <c r="H629" s="1" t="s">
        <v>189</v>
      </c>
    </row>
    <row r="630" spans="1:8" x14ac:dyDescent="0.3">
      <c r="A630">
        <v>2014</v>
      </c>
      <c r="B630" t="s">
        <v>42</v>
      </c>
      <c r="C630" t="s">
        <v>77</v>
      </c>
      <c r="D630" s="1" t="s">
        <v>8</v>
      </c>
      <c r="E630">
        <v>129.80000000000001</v>
      </c>
      <c r="F630">
        <v>127.3</v>
      </c>
      <c r="G630">
        <v>124.5</v>
      </c>
      <c r="H630" s="1" t="s">
        <v>188</v>
      </c>
    </row>
    <row r="631" spans="1:8" x14ac:dyDescent="0.3">
      <c r="A631">
        <v>2014</v>
      </c>
      <c r="B631" t="s">
        <v>42</v>
      </c>
      <c r="C631" t="s">
        <v>77</v>
      </c>
      <c r="D631" s="1" t="s">
        <v>21</v>
      </c>
      <c r="E631">
        <v>115.8</v>
      </c>
      <c r="F631">
        <v>114.3</v>
      </c>
      <c r="G631">
        <v>111.8</v>
      </c>
      <c r="H631" s="1" t="s">
        <v>190</v>
      </c>
    </row>
    <row r="632" spans="1:8" x14ac:dyDescent="0.3">
      <c r="A632">
        <v>2014</v>
      </c>
      <c r="B632" t="s">
        <v>42</v>
      </c>
      <c r="C632" t="s">
        <v>77</v>
      </c>
      <c r="D632" s="1" t="s">
        <v>29</v>
      </c>
      <c r="E632">
        <v>120.9</v>
      </c>
      <c r="F632">
        <v>120.1</v>
      </c>
      <c r="G632">
        <v>119.2</v>
      </c>
      <c r="H632" s="1" t="s">
        <v>206</v>
      </c>
    </row>
    <row r="633" spans="1:8" x14ac:dyDescent="0.3">
      <c r="A633">
        <v>2014</v>
      </c>
      <c r="B633" t="s">
        <v>42</v>
      </c>
      <c r="C633" t="s">
        <v>77</v>
      </c>
      <c r="D633" s="1" t="s">
        <v>23</v>
      </c>
      <c r="E633">
        <v>114.5</v>
      </c>
      <c r="F633">
        <v>113.7</v>
      </c>
      <c r="G633">
        <v>112.3</v>
      </c>
      <c r="H633" s="1" t="s">
        <v>23</v>
      </c>
    </row>
    <row r="634" spans="1:8" x14ac:dyDescent="0.3">
      <c r="A634">
        <v>2014</v>
      </c>
      <c r="B634" t="s">
        <v>42</v>
      </c>
      <c r="C634" t="s">
        <v>77</v>
      </c>
      <c r="D634" s="1" t="s">
        <v>22</v>
      </c>
      <c r="E634">
        <v>116.7</v>
      </c>
      <c r="F634">
        <v>116.1</v>
      </c>
      <c r="G634">
        <v>115.5</v>
      </c>
      <c r="H634" s="1" t="s">
        <v>20</v>
      </c>
    </row>
    <row r="635" spans="1:8" x14ac:dyDescent="0.3">
      <c r="A635">
        <v>2014</v>
      </c>
      <c r="B635" t="s">
        <v>42</v>
      </c>
      <c r="C635" t="s">
        <v>77</v>
      </c>
      <c r="D635" s="1" t="s">
        <v>20</v>
      </c>
      <c r="E635">
        <v>0</v>
      </c>
      <c r="F635">
        <v>116.1</v>
      </c>
      <c r="G635">
        <v>116.1</v>
      </c>
      <c r="H635" s="1" t="s">
        <v>20</v>
      </c>
    </row>
    <row r="636" spans="1:8" x14ac:dyDescent="0.3">
      <c r="A636">
        <v>2014</v>
      </c>
      <c r="B636" t="s">
        <v>42</v>
      </c>
      <c r="C636" t="s">
        <v>77</v>
      </c>
      <c r="D636" s="1" t="s">
        <v>4</v>
      </c>
      <c r="E636">
        <v>122.4</v>
      </c>
      <c r="F636">
        <v>123.5</v>
      </c>
      <c r="G636">
        <v>125.4</v>
      </c>
      <c r="H636" s="1" t="s">
        <v>188</v>
      </c>
    </row>
    <row r="637" spans="1:8" x14ac:dyDescent="0.3">
      <c r="A637">
        <v>2014</v>
      </c>
      <c r="B637" t="s">
        <v>42</v>
      </c>
      <c r="C637" t="s">
        <v>77</v>
      </c>
      <c r="D637" s="1" t="s">
        <v>6</v>
      </c>
      <c r="E637">
        <v>122.7</v>
      </c>
      <c r="F637">
        <v>122.7</v>
      </c>
      <c r="G637">
        <v>122.7</v>
      </c>
      <c r="H637" s="1" t="s">
        <v>188</v>
      </c>
    </row>
    <row r="638" spans="1:8" x14ac:dyDescent="0.3">
      <c r="A638">
        <v>2014</v>
      </c>
      <c r="B638" t="s">
        <v>42</v>
      </c>
      <c r="C638" t="s">
        <v>77</v>
      </c>
      <c r="D638" s="1" t="s">
        <v>28</v>
      </c>
      <c r="E638">
        <v>113.7</v>
      </c>
      <c r="F638">
        <v>113.7</v>
      </c>
      <c r="G638">
        <v>113.6</v>
      </c>
      <c r="H638" s="1" t="s">
        <v>192</v>
      </c>
    </row>
    <row r="639" spans="1:8" x14ac:dyDescent="0.3">
      <c r="A639">
        <v>2014</v>
      </c>
      <c r="B639" t="s">
        <v>42</v>
      </c>
      <c r="C639" t="s">
        <v>77</v>
      </c>
      <c r="D639" s="1" t="s">
        <v>13</v>
      </c>
      <c r="E639">
        <v>116.5</v>
      </c>
      <c r="F639">
        <v>115.8</v>
      </c>
      <c r="G639">
        <v>114.8</v>
      </c>
      <c r="H639" s="1" t="s">
        <v>188</v>
      </c>
    </row>
    <row r="640" spans="1:8" x14ac:dyDescent="0.3">
      <c r="A640">
        <v>2014</v>
      </c>
      <c r="B640" t="s">
        <v>42</v>
      </c>
      <c r="C640" t="s">
        <v>77</v>
      </c>
      <c r="D640" s="1" t="s">
        <v>7</v>
      </c>
      <c r="E640">
        <v>110.4</v>
      </c>
      <c r="F640">
        <v>107.9</v>
      </c>
      <c r="G640">
        <v>103.5</v>
      </c>
      <c r="H640" s="1" t="s">
        <v>188</v>
      </c>
    </row>
    <row r="641" spans="1:8" x14ac:dyDescent="0.3">
      <c r="A641">
        <v>2014</v>
      </c>
      <c r="B641" t="s">
        <v>42</v>
      </c>
      <c r="C641" t="s">
        <v>77</v>
      </c>
      <c r="D641" s="1" t="s">
        <v>16</v>
      </c>
      <c r="E641">
        <v>119.5</v>
      </c>
      <c r="F641">
        <v>120.8</v>
      </c>
      <c r="G641">
        <v>124.3</v>
      </c>
      <c r="H641" s="1" t="s">
        <v>192</v>
      </c>
    </row>
    <row r="642" spans="1:8" x14ac:dyDescent="0.3">
      <c r="A642">
        <v>2014</v>
      </c>
      <c r="B642" t="s">
        <v>42</v>
      </c>
      <c r="C642" t="s">
        <v>77</v>
      </c>
      <c r="D642" s="1" t="s">
        <v>27</v>
      </c>
      <c r="E642">
        <v>109.1</v>
      </c>
      <c r="F642">
        <v>109.5</v>
      </c>
      <c r="G642">
        <v>110</v>
      </c>
      <c r="H642" s="1" t="s">
        <v>192</v>
      </c>
    </row>
    <row r="643" spans="1:8" x14ac:dyDescent="0.3">
      <c r="A643">
        <v>2014</v>
      </c>
      <c r="B643" t="s">
        <v>42</v>
      </c>
      <c r="C643" t="s">
        <v>77</v>
      </c>
      <c r="D643" s="1" t="s">
        <v>14</v>
      </c>
      <c r="E643">
        <v>122.6</v>
      </c>
      <c r="F643">
        <v>123.8</v>
      </c>
      <c r="G643">
        <v>125.2</v>
      </c>
      <c r="H643" s="1" t="s">
        <v>188</v>
      </c>
    </row>
    <row r="644" spans="1:8" x14ac:dyDescent="0.3">
      <c r="A644">
        <v>2014</v>
      </c>
      <c r="B644" t="s">
        <v>42</v>
      </c>
      <c r="C644" t="s">
        <v>77</v>
      </c>
      <c r="D644" s="1" t="s">
        <v>10</v>
      </c>
      <c r="E644">
        <v>115</v>
      </c>
      <c r="F644">
        <v>115.6</v>
      </c>
      <c r="G644">
        <v>116.9</v>
      </c>
      <c r="H644" s="1" t="s">
        <v>188</v>
      </c>
    </row>
    <row r="645" spans="1:8" x14ac:dyDescent="0.3">
      <c r="A645">
        <v>2014</v>
      </c>
      <c r="B645" t="s">
        <v>42</v>
      </c>
      <c r="C645" t="s">
        <v>77</v>
      </c>
      <c r="D645" s="1" t="s">
        <v>25</v>
      </c>
      <c r="E645">
        <v>112.6</v>
      </c>
      <c r="F645">
        <v>113.1</v>
      </c>
      <c r="G645">
        <v>113.4</v>
      </c>
      <c r="H645" s="1" t="s">
        <v>195</v>
      </c>
    </row>
    <row r="646" spans="1:8" x14ac:dyDescent="0.3">
      <c r="A646">
        <v>2014</v>
      </c>
      <c r="B646" t="s">
        <v>42</v>
      </c>
      <c r="C646" t="s">
        <v>77</v>
      </c>
      <c r="D646" s="1" t="s">
        <v>12</v>
      </c>
      <c r="E646">
        <v>114.9</v>
      </c>
      <c r="F646">
        <v>117.6</v>
      </c>
      <c r="G646">
        <v>122.9</v>
      </c>
      <c r="H646" s="1" t="s">
        <v>188</v>
      </c>
    </row>
    <row r="647" spans="1:8" x14ac:dyDescent="0.3">
      <c r="A647">
        <v>2014</v>
      </c>
      <c r="B647" t="s">
        <v>42</v>
      </c>
      <c r="C647" t="s">
        <v>77</v>
      </c>
      <c r="D647" s="1" t="s">
        <v>11</v>
      </c>
      <c r="E647">
        <v>104.7</v>
      </c>
      <c r="F647">
        <v>103.8</v>
      </c>
      <c r="G647">
        <v>101.9</v>
      </c>
      <c r="H647" s="1" t="s">
        <v>188</v>
      </c>
    </row>
    <row r="648" spans="1:8" x14ac:dyDescent="0.3">
      <c r="A648">
        <v>2014</v>
      </c>
      <c r="B648" t="s">
        <v>42</v>
      </c>
      <c r="C648" t="s">
        <v>77</v>
      </c>
      <c r="D648" s="1" t="s">
        <v>24</v>
      </c>
      <c r="E648">
        <v>112.8</v>
      </c>
      <c r="F648">
        <v>112</v>
      </c>
      <c r="G648">
        <v>111.2</v>
      </c>
      <c r="H648" s="1" t="s">
        <v>191</v>
      </c>
    </row>
    <row r="649" spans="1:8" x14ac:dyDescent="0.3">
      <c r="A649">
        <v>2014</v>
      </c>
      <c r="B649" t="s">
        <v>42</v>
      </c>
      <c r="C649" t="s">
        <v>77</v>
      </c>
      <c r="D649" s="1" t="s">
        <v>9</v>
      </c>
      <c r="E649">
        <v>158.80000000000001</v>
      </c>
      <c r="F649">
        <v>162.1</v>
      </c>
      <c r="G649">
        <v>168.6</v>
      </c>
      <c r="H649" s="1" t="s">
        <v>188</v>
      </c>
    </row>
    <row r="650" spans="1:8" x14ac:dyDescent="0.3">
      <c r="A650">
        <v>2015</v>
      </c>
      <c r="B650" t="s">
        <v>37</v>
      </c>
      <c r="C650" t="s">
        <v>78</v>
      </c>
      <c r="D650" s="1" t="s">
        <v>3</v>
      </c>
      <c r="E650">
        <v>123.3</v>
      </c>
      <c r="F650">
        <v>123.5</v>
      </c>
      <c r="G650">
        <v>123.8</v>
      </c>
      <c r="H650" s="1" t="s">
        <v>188</v>
      </c>
    </row>
    <row r="651" spans="1:8" x14ac:dyDescent="0.3">
      <c r="A651">
        <v>2015</v>
      </c>
      <c r="B651" t="s">
        <v>37</v>
      </c>
      <c r="C651" t="s">
        <v>78</v>
      </c>
      <c r="D651" s="1" t="s">
        <v>17</v>
      </c>
      <c r="E651">
        <v>126.4</v>
      </c>
      <c r="F651">
        <v>124.7</v>
      </c>
      <c r="G651">
        <v>122.1</v>
      </c>
      <c r="H651" s="1" t="s">
        <v>189</v>
      </c>
    </row>
    <row r="652" spans="1:8" x14ac:dyDescent="0.3">
      <c r="A652">
        <v>2015</v>
      </c>
      <c r="B652" t="s">
        <v>37</v>
      </c>
      <c r="C652" t="s">
        <v>78</v>
      </c>
      <c r="D652" s="1" t="s">
        <v>19</v>
      </c>
      <c r="E652">
        <v>126</v>
      </c>
      <c r="F652">
        <v>124.1</v>
      </c>
      <c r="G652">
        <v>121.3</v>
      </c>
      <c r="H652" s="1" t="s">
        <v>189</v>
      </c>
    </row>
    <row r="653" spans="1:8" x14ac:dyDescent="0.3">
      <c r="A653">
        <v>2015</v>
      </c>
      <c r="B653" t="s">
        <v>37</v>
      </c>
      <c r="C653" t="s">
        <v>78</v>
      </c>
      <c r="D653" s="1" t="s">
        <v>26</v>
      </c>
      <c r="E653">
        <v>119.9</v>
      </c>
      <c r="F653">
        <v>121</v>
      </c>
      <c r="G653">
        <v>121.7</v>
      </c>
      <c r="H653" s="1" t="s">
        <v>26</v>
      </c>
    </row>
    <row r="654" spans="1:8" x14ac:dyDescent="0.3">
      <c r="A654">
        <v>2015</v>
      </c>
      <c r="B654" t="s">
        <v>37</v>
      </c>
      <c r="C654" t="s">
        <v>78</v>
      </c>
      <c r="D654" s="1" t="s">
        <v>5</v>
      </c>
      <c r="E654">
        <v>117.2</v>
      </c>
      <c r="F654">
        <v>114.4</v>
      </c>
      <c r="G654">
        <v>110</v>
      </c>
      <c r="H654" s="1" t="s">
        <v>188</v>
      </c>
    </row>
    <row r="655" spans="1:8" x14ac:dyDescent="0.3">
      <c r="A655">
        <v>2015</v>
      </c>
      <c r="B655" t="s">
        <v>37</v>
      </c>
      <c r="C655" t="s">
        <v>78</v>
      </c>
      <c r="D655" s="1" t="s">
        <v>15</v>
      </c>
      <c r="E655">
        <v>123.6</v>
      </c>
      <c r="F655">
        <v>124</v>
      </c>
      <c r="G655">
        <v>124.6</v>
      </c>
      <c r="H655" s="1" t="s">
        <v>188</v>
      </c>
    </row>
    <row r="656" spans="1:8" x14ac:dyDescent="0.3">
      <c r="A656">
        <v>2015</v>
      </c>
      <c r="B656" t="s">
        <v>37</v>
      </c>
      <c r="C656" t="s">
        <v>78</v>
      </c>
      <c r="D656" s="1" t="s">
        <v>18</v>
      </c>
      <c r="E656">
        <v>123.3</v>
      </c>
      <c r="F656">
        <v>120.8</v>
      </c>
      <c r="G656">
        <v>117.2</v>
      </c>
      <c r="H656" s="1" t="s">
        <v>189</v>
      </c>
    </row>
    <row r="657" spans="1:8" x14ac:dyDescent="0.3">
      <c r="A657">
        <v>2015</v>
      </c>
      <c r="B657" t="s">
        <v>37</v>
      </c>
      <c r="C657" t="s">
        <v>78</v>
      </c>
      <c r="D657" s="1" t="s">
        <v>8</v>
      </c>
      <c r="E657">
        <v>134.19999999999999</v>
      </c>
      <c r="F657">
        <v>132.5</v>
      </c>
      <c r="G657">
        <v>130.6</v>
      </c>
      <c r="H657" s="1" t="s">
        <v>188</v>
      </c>
    </row>
    <row r="658" spans="1:8" x14ac:dyDescent="0.3">
      <c r="A658">
        <v>2015</v>
      </c>
      <c r="B658" t="s">
        <v>37</v>
      </c>
      <c r="C658" t="s">
        <v>78</v>
      </c>
      <c r="D658" s="1" t="s">
        <v>21</v>
      </c>
      <c r="E658">
        <v>121.2</v>
      </c>
      <c r="F658">
        <v>118.7</v>
      </c>
      <c r="G658">
        <v>114.7</v>
      </c>
      <c r="H658" s="1" t="s">
        <v>190</v>
      </c>
    </row>
    <row r="659" spans="1:8" x14ac:dyDescent="0.3">
      <c r="A659">
        <v>2015</v>
      </c>
      <c r="B659" t="s">
        <v>37</v>
      </c>
      <c r="C659" t="s">
        <v>78</v>
      </c>
      <c r="D659" s="1" t="s">
        <v>29</v>
      </c>
      <c r="E659">
        <v>121.5</v>
      </c>
      <c r="F659">
        <v>120.7</v>
      </c>
      <c r="G659">
        <v>119.7</v>
      </c>
      <c r="H659" s="1" t="s">
        <v>206</v>
      </c>
    </row>
    <row r="660" spans="1:8" x14ac:dyDescent="0.3">
      <c r="A660">
        <v>2015</v>
      </c>
      <c r="B660" t="s">
        <v>37</v>
      </c>
      <c r="C660" t="s">
        <v>78</v>
      </c>
      <c r="D660" s="1" t="s">
        <v>23</v>
      </c>
      <c r="E660">
        <v>118.6</v>
      </c>
      <c r="F660">
        <v>117.1</v>
      </c>
      <c r="G660">
        <v>114.6</v>
      </c>
      <c r="H660" s="1" t="s">
        <v>23</v>
      </c>
    </row>
    <row r="661" spans="1:8" x14ac:dyDescent="0.3">
      <c r="A661">
        <v>2015</v>
      </c>
      <c r="B661" t="s">
        <v>37</v>
      </c>
      <c r="C661" t="s">
        <v>78</v>
      </c>
      <c r="D661" s="1" t="s">
        <v>22</v>
      </c>
      <c r="E661">
        <v>120.9</v>
      </c>
      <c r="F661">
        <v>119.7</v>
      </c>
      <c r="G661">
        <v>118.4</v>
      </c>
      <c r="H661" s="1" t="s">
        <v>20</v>
      </c>
    </row>
    <row r="662" spans="1:8" x14ac:dyDescent="0.3">
      <c r="A662">
        <v>2015</v>
      </c>
      <c r="B662" t="s">
        <v>37</v>
      </c>
      <c r="C662" t="s">
        <v>78</v>
      </c>
      <c r="D662" s="1" t="s">
        <v>20</v>
      </c>
      <c r="E662">
        <v>0</v>
      </c>
      <c r="F662">
        <v>119.2</v>
      </c>
      <c r="G662">
        <v>119.2</v>
      </c>
      <c r="H662" s="1" t="s">
        <v>20</v>
      </c>
    </row>
    <row r="663" spans="1:8" x14ac:dyDescent="0.3">
      <c r="A663">
        <v>2015</v>
      </c>
      <c r="B663" t="s">
        <v>37</v>
      </c>
      <c r="C663" t="s">
        <v>78</v>
      </c>
      <c r="D663" s="1" t="s">
        <v>4</v>
      </c>
      <c r="E663">
        <v>125.5</v>
      </c>
      <c r="F663">
        <v>126.4</v>
      </c>
      <c r="G663">
        <v>128.19999999999999</v>
      </c>
      <c r="H663" s="1" t="s">
        <v>188</v>
      </c>
    </row>
    <row r="664" spans="1:8" x14ac:dyDescent="0.3">
      <c r="A664">
        <v>2015</v>
      </c>
      <c r="B664" t="s">
        <v>37</v>
      </c>
      <c r="C664" t="s">
        <v>78</v>
      </c>
      <c r="D664" s="1" t="s">
        <v>6</v>
      </c>
      <c r="E664">
        <v>126.8</v>
      </c>
      <c r="F664">
        <v>126.6</v>
      </c>
      <c r="G664">
        <v>126.3</v>
      </c>
      <c r="H664" s="1" t="s">
        <v>188</v>
      </c>
    </row>
    <row r="665" spans="1:8" x14ac:dyDescent="0.3">
      <c r="A665">
        <v>2015</v>
      </c>
      <c r="B665" t="s">
        <v>37</v>
      </c>
      <c r="C665" t="s">
        <v>78</v>
      </c>
      <c r="D665" s="1" t="s">
        <v>28</v>
      </c>
      <c r="E665">
        <v>116</v>
      </c>
      <c r="F665">
        <v>115.1</v>
      </c>
      <c r="G665">
        <v>114.2</v>
      </c>
      <c r="H665" s="1" t="s">
        <v>192</v>
      </c>
    </row>
    <row r="666" spans="1:8" x14ac:dyDescent="0.3">
      <c r="A666">
        <v>2015</v>
      </c>
      <c r="B666" t="s">
        <v>37</v>
      </c>
      <c r="C666" t="s">
        <v>78</v>
      </c>
      <c r="D666" s="1" t="s">
        <v>13</v>
      </c>
      <c r="E666">
        <v>119.4</v>
      </c>
      <c r="F666">
        <v>118.5</v>
      </c>
      <c r="G666">
        <v>117.2</v>
      </c>
      <c r="H666" s="1" t="s">
        <v>188</v>
      </c>
    </row>
    <row r="667" spans="1:8" x14ac:dyDescent="0.3">
      <c r="A667">
        <v>2015</v>
      </c>
      <c r="B667" t="s">
        <v>37</v>
      </c>
      <c r="C667" t="s">
        <v>78</v>
      </c>
      <c r="D667" s="1" t="s">
        <v>7</v>
      </c>
      <c r="E667">
        <v>111.9</v>
      </c>
      <c r="F667">
        <v>109.2</v>
      </c>
      <c r="G667">
        <v>104.5</v>
      </c>
      <c r="H667" s="1" t="s">
        <v>188</v>
      </c>
    </row>
    <row r="668" spans="1:8" x14ac:dyDescent="0.3">
      <c r="A668">
        <v>2015</v>
      </c>
      <c r="B668" t="s">
        <v>37</v>
      </c>
      <c r="C668" t="s">
        <v>78</v>
      </c>
      <c r="D668" s="1" t="s">
        <v>16</v>
      </c>
      <c r="E668">
        <v>125.7</v>
      </c>
      <c r="F668">
        <v>126.9</v>
      </c>
      <c r="G668">
        <v>130.1</v>
      </c>
      <c r="H668" s="1" t="s">
        <v>192</v>
      </c>
    </row>
    <row r="669" spans="1:8" x14ac:dyDescent="0.3">
      <c r="A669">
        <v>2015</v>
      </c>
      <c r="B669" t="s">
        <v>37</v>
      </c>
      <c r="C669" t="s">
        <v>78</v>
      </c>
      <c r="D669" s="1" t="s">
        <v>27</v>
      </c>
      <c r="E669">
        <v>111.6</v>
      </c>
      <c r="F669">
        <v>111.7</v>
      </c>
      <c r="G669">
        <v>111.8</v>
      </c>
      <c r="H669" s="1" t="s">
        <v>192</v>
      </c>
    </row>
    <row r="670" spans="1:8" x14ac:dyDescent="0.3">
      <c r="A670">
        <v>2015</v>
      </c>
      <c r="B670" t="s">
        <v>37</v>
      </c>
      <c r="C670" t="s">
        <v>78</v>
      </c>
      <c r="D670" s="1" t="s">
        <v>14</v>
      </c>
      <c r="E670">
        <v>128.69999999999999</v>
      </c>
      <c r="F670">
        <v>129.1</v>
      </c>
      <c r="G670">
        <v>129.5</v>
      </c>
      <c r="H670" s="1" t="s">
        <v>188</v>
      </c>
    </row>
    <row r="671" spans="1:8" x14ac:dyDescent="0.3">
      <c r="A671">
        <v>2015</v>
      </c>
      <c r="B671" t="s">
        <v>37</v>
      </c>
      <c r="C671" t="s">
        <v>78</v>
      </c>
      <c r="D671" s="1" t="s">
        <v>10</v>
      </c>
      <c r="E671">
        <v>121.5</v>
      </c>
      <c r="F671">
        <v>124.8</v>
      </c>
      <c r="G671">
        <v>131.30000000000001</v>
      </c>
      <c r="H671" s="1" t="s">
        <v>188</v>
      </c>
    </row>
    <row r="672" spans="1:8" x14ac:dyDescent="0.3">
      <c r="A672">
        <v>2015</v>
      </c>
      <c r="B672" t="s">
        <v>37</v>
      </c>
      <c r="C672" t="s">
        <v>78</v>
      </c>
      <c r="D672" s="1" t="s">
        <v>25</v>
      </c>
      <c r="E672">
        <v>116.2</v>
      </c>
      <c r="F672">
        <v>115.9</v>
      </c>
      <c r="G672">
        <v>115.6</v>
      </c>
      <c r="H672" s="1" t="s">
        <v>195</v>
      </c>
    </row>
    <row r="673" spans="1:8" x14ac:dyDescent="0.3">
      <c r="A673">
        <v>2015</v>
      </c>
      <c r="B673" t="s">
        <v>37</v>
      </c>
      <c r="C673" t="s">
        <v>78</v>
      </c>
      <c r="D673" s="1" t="s">
        <v>12</v>
      </c>
      <c r="E673">
        <v>119.8</v>
      </c>
      <c r="F673">
        <v>122.4</v>
      </c>
      <c r="G673">
        <v>127.7</v>
      </c>
      <c r="H673" s="1" t="s">
        <v>188</v>
      </c>
    </row>
    <row r="674" spans="1:8" x14ac:dyDescent="0.3">
      <c r="A674">
        <v>2015</v>
      </c>
      <c r="B674" t="s">
        <v>37</v>
      </c>
      <c r="C674" t="s">
        <v>78</v>
      </c>
      <c r="D674" s="1" t="s">
        <v>11</v>
      </c>
      <c r="E674">
        <v>97.8</v>
      </c>
      <c r="F674">
        <v>95.7</v>
      </c>
      <c r="G674">
        <v>91.6</v>
      </c>
      <c r="H674" s="1" t="s">
        <v>188</v>
      </c>
    </row>
    <row r="675" spans="1:8" x14ac:dyDescent="0.3">
      <c r="A675">
        <v>2015</v>
      </c>
      <c r="B675" t="s">
        <v>37</v>
      </c>
      <c r="C675" t="s">
        <v>78</v>
      </c>
      <c r="D675" s="1" t="s">
        <v>24</v>
      </c>
      <c r="E675">
        <v>111.9</v>
      </c>
      <c r="F675">
        <v>110.1</v>
      </c>
      <c r="G675">
        <v>108.4</v>
      </c>
      <c r="H675" s="1" t="s">
        <v>191</v>
      </c>
    </row>
    <row r="676" spans="1:8" x14ac:dyDescent="0.3">
      <c r="A676">
        <v>2015</v>
      </c>
      <c r="B676" t="s">
        <v>37</v>
      </c>
      <c r="C676" t="s">
        <v>78</v>
      </c>
      <c r="D676" s="1" t="s">
        <v>9</v>
      </c>
      <c r="E676">
        <v>127.5</v>
      </c>
      <c r="F676">
        <v>128.6</v>
      </c>
      <c r="G676">
        <v>130.80000000000001</v>
      </c>
      <c r="H676" s="1" t="s">
        <v>188</v>
      </c>
    </row>
    <row r="677" spans="1:8" x14ac:dyDescent="0.3">
      <c r="A677">
        <v>2015</v>
      </c>
      <c r="B677" t="s">
        <v>41</v>
      </c>
      <c r="C677" t="s">
        <v>79</v>
      </c>
      <c r="D677" s="1" t="s">
        <v>3</v>
      </c>
      <c r="E677">
        <v>124.7</v>
      </c>
      <c r="F677">
        <v>124.2</v>
      </c>
      <c r="G677">
        <v>123.1</v>
      </c>
      <c r="H677" s="1" t="s">
        <v>188</v>
      </c>
    </row>
    <row r="678" spans="1:8" x14ac:dyDescent="0.3">
      <c r="A678">
        <v>2015</v>
      </c>
      <c r="B678" t="s">
        <v>41</v>
      </c>
      <c r="C678" t="s">
        <v>79</v>
      </c>
      <c r="D678" s="1" t="s">
        <v>17</v>
      </c>
      <c r="E678">
        <v>129.5</v>
      </c>
      <c r="F678">
        <v>127.2</v>
      </c>
      <c r="G678">
        <v>123.7</v>
      </c>
      <c r="H678" s="1" t="s">
        <v>189</v>
      </c>
    </row>
    <row r="679" spans="1:8" x14ac:dyDescent="0.3">
      <c r="A679">
        <v>2015</v>
      </c>
      <c r="B679" t="s">
        <v>41</v>
      </c>
      <c r="C679" t="s">
        <v>79</v>
      </c>
      <c r="D679" s="1" t="s">
        <v>19</v>
      </c>
      <c r="E679">
        <v>129</v>
      </c>
      <c r="F679">
        <v>126.6</v>
      </c>
      <c r="G679">
        <v>122.9</v>
      </c>
      <c r="H679" s="1" t="s">
        <v>189</v>
      </c>
    </row>
    <row r="680" spans="1:8" x14ac:dyDescent="0.3">
      <c r="A680">
        <v>2015</v>
      </c>
      <c r="B680" t="s">
        <v>41</v>
      </c>
      <c r="C680" t="s">
        <v>79</v>
      </c>
      <c r="D680" s="1" t="s">
        <v>26</v>
      </c>
      <c r="E680">
        <v>123.6</v>
      </c>
      <c r="F680">
        <v>125.1</v>
      </c>
      <c r="G680">
        <v>126.2</v>
      </c>
      <c r="H680" s="1" t="s">
        <v>26</v>
      </c>
    </row>
    <row r="681" spans="1:8" x14ac:dyDescent="0.3">
      <c r="A681">
        <v>2015</v>
      </c>
      <c r="B681" t="s">
        <v>41</v>
      </c>
      <c r="C681" t="s">
        <v>79</v>
      </c>
      <c r="D681" s="1" t="s">
        <v>5</v>
      </c>
      <c r="E681">
        <v>121.3</v>
      </c>
      <c r="F681">
        <v>120.1</v>
      </c>
      <c r="G681">
        <v>118.1</v>
      </c>
      <c r="H681" s="1" t="s">
        <v>188</v>
      </c>
    </row>
    <row r="682" spans="1:8" x14ac:dyDescent="0.3">
      <c r="A682">
        <v>2015</v>
      </c>
      <c r="B682" t="s">
        <v>41</v>
      </c>
      <c r="C682" t="s">
        <v>79</v>
      </c>
      <c r="D682" s="1" t="s">
        <v>15</v>
      </c>
      <c r="E682">
        <v>129.80000000000001</v>
      </c>
      <c r="F682">
        <v>130.30000000000001</v>
      </c>
      <c r="G682">
        <v>131.1</v>
      </c>
      <c r="H682" s="1" t="s">
        <v>188</v>
      </c>
    </row>
    <row r="683" spans="1:8" x14ac:dyDescent="0.3">
      <c r="A683">
        <v>2015</v>
      </c>
      <c r="B683" t="s">
        <v>41</v>
      </c>
      <c r="C683" t="s">
        <v>79</v>
      </c>
      <c r="D683" s="1" t="s">
        <v>18</v>
      </c>
      <c r="E683">
        <v>126.3</v>
      </c>
      <c r="F683">
        <v>122.9</v>
      </c>
      <c r="G683">
        <v>118.2</v>
      </c>
      <c r="H683" s="1" t="s">
        <v>189</v>
      </c>
    </row>
    <row r="684" spans="1:8" x14ac:dyDescent="0.3">
      <c r="A684">
        <v>2015</v>
      </c>
      <c r="B684" t="s">
        <v>41</v>
      </c>
      <c r="C684" t="s">
        <v>79</v>
      </c>
      <c r="D684" s="1" t="s">
        <v>8</v>
      </c>
      <c r="E684">
        <v>134.19999999999999</v>
      </c>
      <c r="F684">
        <v>132.30000000000001</v>
      </c>
      <c r="G684">
        <v>130.1</v>
      </c>
      <c r="H684" s="1" t="s">
        <v>188</v>
      </c>
    </row>
    <row r="685" spans="1:8" x14ac:dyDescent="0.3">
      <c r="A685">
        <v>2015</v>
      </c>
      <c r="B685" t="s">
        <v>41</v>
      </c>
      <c r="C685" t="s">
        <v>79</v>
      </c>
      <c r="D685" s="1" t="s">
        <v>21</v>
      </c>
      <c r="E685">
        <v>123.8</v>
      </c>
      <c r="F685">
        <v>120.6</v>
      </c>
      <c r="G685">
        <v>115.3</v>
      </c>
      <c r="H685" s="1" t="s">
        <v>190</v>
      </c>
    </row>
    <row r="686" spans="1:8" x14ac:dyDescent="0.3">
      <c r="A686">
        <v>2015</v>
      </c>
      <c r="B686" t="s">
        <v>41</v>
      </c>
      <c r="C686" t="s">
        <v>79</v>
      </c>
      <c r="D686" s="1" t="s">
        <v>29</v>
      </c>
      <c r="E686">
        <v>126.1</v>
      </c>
      <c r="F686">
        <v>124.8</v>
      </c>
      <c r="G686">
        <v>123.2</v>
      </c>
      <c r="H686" s="1" t="s">
        <v>206</v>
      </c>
    </row>
    <row r="687" spans="1:8" x14ac:dyDescent="0.3">
      <c r="A687">
        <v>2015</v>
      </c>
      <c r="B687" t="s">
        <v>41</v>
      </c>
      <c r="C687" t="s">
        <v>79</v>
      </c>
      <c r="D687" s="1" t="s">
        <v>23</v>
      </c>
      <c r="E687">
        <v>121.1</v>
      </c>
      <c r="F687">
        <v>119.4</v>
      </c>
      <c r="G687">
        <v>116.6</v>
      </c>
      <c r="H687" s="1" t="s">
        <v>23</v>
      </c>
    </row>
    <row r="688" spans="1:8" x14ac:dyDescent="0.3">
      <c r="A688">
        <v>2015</v>
      </c>
      <c r="B688" t="s">
        <v>41</v>
      </c>
      <c r="C688" t="s">
        <v>79</v>
      </c>
      <c r="D688" s="1" t="s">
        <v>22</v>
      </c>
      <c r="E688">
        <v>123.7</v>
      </c>
      <c r="F688">
        <v>122</v>
      </c>
      <c r="G688">
        <v>120</v>
      </c>
      <c r="H688" s="1" t="s">
        <v>20</v>
      </c>
    </row>
    <row r="689" spans="1:8" x14ac:dyDescent="0.3">
      <c r="A689">
        <v>2015</v>
      </c>
      <c r="B689" t="s">
        <v>41</v>
      </c>
      <c r="C689" t="s">
        <v>79</v>
      </c>
      <c r="D689" s="1" t="s">
        <v>20</v>
      </c>
      <c r="E689">
        <v>0</v>
      </c>
      <c r="F689">
        <v>120.9</v>
      </c>
      <c r="G689">
        <v>120.9</v>
      </c>
      <c r="H689" s="1" t="s">
        <v>20</v>
      </c>
    </row>
    <row r="690" spans="1:8" x14ac:dyDescent="0.3">
      <c r="A690">
        <v>2015</v>
      </c>
      <c r="B690" t="s">
        <v>41</v>
      </c>
      <c r="C690" t="s">
        <v>79</v>
      </c>
      <c r="D690" s="1" t="s">
        <v>4</v>
      </c>
      <c r="E690">
        <v>131.30000000000001</v>
      </c>
      <c r="F690">
        <v>131.4</v>
      </c>
      <c r="G690">
        <v>131.69999999999999</v>
      </c>
      <c r="H690" s="1" t="s">
        <v>188</v>
      </c>
    </row>
    <row r="691" spans="1:8" x14ac:dyDescent="0.3">
      <c r="A691">
        <v>2015</v>
      </c>
      <c r="B691" t="s">
        <v>41</v>
      </c>
      <c r="C691" t="s">
        <v>79</v>
      </c>
      <c r="D691" s="1" t="s">
        <v>6</v>
      </c>
      <c r="E691">
        <v>128.80000000000001</v>
      </c>
      <c r="F691">
        <v>128.5</v>
      </c>
      <c r="G691">
        <v>128</v>
      </c>
      <c r="H691" s="1" t="s">
        <v>188</v>
      </c>
    </row>
    <row r="692" spans="1:8" x14ac:dyDescent="0.3">
      <c r="A692">
        <v>2015</v>
      </c>
      <c r="B692" t="s">
        <v>41</v>
      </c>
      <c r="C692" t="s">
        <v>79</v>
      </c>
      <c r="D692" s="1" t="s">
        <v>28</v>
      </c>
      <c r="E692">
        <v>118.2</v>
      </c>
      <c r="F692">
        <v>117.2</v>
      </c>
      <c r="G692">
        <v>116.2</v>
      </c>
      <c r="H692" s="1" t="s">
        <v>192</v>
      </c>
    </row>
    <row r="693" spans="1:8" x14ac:dyDescent="0.3">
      <c r="A693">
        <v>2015</v>
      </c>
      <c r="B693" t="s">
        <v>41</v>
      </c>
      <c r="C693" t="s">
        <v>79</v>
      </c>
      <c r="D693" s="1" t="s">
        <v>13</v>
      </c>
      <c r="E693">
        <v>121.5</v>
      </c>
      <c r="F693">
        <v>120.4</v>
      </c>
      <c r="G693">
        <v>118.8</v>
      </c>
      <c r="H693" s="1" t="s">
        <v>188</v>
      </c>
    </row>
    <row r="694" spans="1:8" x14ac:dyDescent="0.3">
      <c r="A694">
        <v>2015</v>
      </c>
      <c r="B694" t="s">
        <v>41</v>
      </c>
      <c r="C694" t="s">
        <v>79</v>
      </c>
      <c r="D694" s="1" t="s">
        <v>7</v>
      </c>
      <c r="E694">
        <v>114</v>
      </c>
      <c r="F694">
        <v>111.4</v>
      </c>
      <c r="G694">
        <v>106.8</v>
      </c>
      <c r="H694" s="1" t="s">
        <v>188</v>
      </c>
    </row>
    <row r="695" spans="1:8" x14ac:dyDescent="0.3">
      <c r="A695">
        <v>2015</v>
      </c>
      <c r="B695" t="s">
        <v>41</v>
      </c>
      <c r="C695" t="s">
        <v>79</v>
      </c>
      <c r="D695" s="1" t="s">
        <v>16</v>
      </c>
      <c r="E695">
        <v>130.1</v>
      </c>
      <c r="F695">
        <v>131.19999999999999</v>
      </c>
      <c r="G695">
        <v>134.19999999999999</v>
      </c>
      <c r="H695" s="1" t="s">
        <v>192</v>
      </c>
    </row>
    <row r="696" spans="1:8" x14ac:dyDescent="0.3">
      <c r="A696">
        <v>2015</v>
      </c>
      <c r="B696" t="s">
        <v>41</v>
      </c>
      <c r="C696" t="s">
        <v>79</v>
      </c>
      <c r="D696" s="1" t="s">
        <v>27</v>
      </c>
      <c r="E696">
        <v>112.5</v>
      </c>
      <c r="F696">
        <v>112.3</v>
      </c>
      <c r="G696">
        <v>112</v>
      </c>
      <c r="H696" s="1" t="s">
        <v>192</v>
      </c>
    </row>
    <row r="697" spans="1:8" x14ac:dyDescent="0.3">
      <c r="A697">
        <v>2015</v>
      </c>
      <c r="B697" t="s">
        <v>41</v>
      </c>
      <c r="C697" t="s">
        <v>79</v>
      </c>
      <c r="D697" s="1" t="s">
        <v>14</v>
      </c>
      <c r="E697">
        <v>132.5</v>
      </c>
      <c r="F697">
        <v>132.1</v>
      </c>
      <c r="G697">
        <v>131.69999999999999</v>
      </c>
      <c r="H697" s="1" t="s">
        <v>188</v>
      </c>
    </row>
    <row r="698" spans="1:8" x14ac:dyDescent="0.3">
      <c r="A698">
        <v>2015</v>
      </c>
      <c r="B698" t="s">
        <v>41</v>
      </c>
      <c r="C698" t="s">
        <v>79</v>
      </c>
      <c r="D698" s="1" t="s">
        <v>10</v>
      </c>
      <c r="E698">
        <v>137.9</v>
      </c>
      <c r="F698">
        <v>144</v>
      </c>
      <c r="G698">
        <v>156</v>
      </c>
      <c r="H698" s="1" t="s">
        <v>188</v>
      </c>
    </row>
    <row r="699" spans="1:8" x14ac:dyDescent="0.3">
      <c r="A699">
        <v>2015</v>
      </c>
      <c r="B699" t="s">
        <v>41</v>
      </c>
      <c r="C699" t="s">
        <v>79</v>
      </c>
      <c r="D699" s="1" t="s">
        <v>25</v>
      </c>
      <c r="E699">
        <v>118.5</v>
      </c>
      <c r="F699">
        <v>117.8</v>
      </c>
      <c r="G699">
        <v>117.2</v>
      </c>
      <c r="H699" s="1" t="s">
        <v>195</v>
      </c>
    </row>
    <row r="700" spans="1:8" x14ac:dyDescent="0.3">
      <c r="A700">
        <v>2015</v>
      </c>
      <c r="B700" t="s">
        <v>41</v>
      </c>
      <c r="C700" t="s">
        <v>79</v>
      </c>
      <c r="D700" s="1" t="s">
        <v>12</v>
      </c>
      <c r="E700">
        <v>123.9</v>
      </c>
      <c r="F700">
        <v>126.8</v>
      </c>
      <c r="G700">
        <v>132.69999999999999</v>
      </c>
      <c r="H700" s="1" t="s">
        <v>188</v>
      </c>
    </row>
    <row r="701" spans="1:8" x14ac:dyDescent="0.3">
      <c r="A701">
        <v>2015</v>
      </c>
      <c r="B701" t="s">
        <v>41</v>
      </c>
      <c r="C701" t="s">
        <v>79</v>
      </c>
      <c r="D701" s="1" t="s">
        <v>11</v>
      </c>
      <c r="E701">
        <v>93.1</v>
      </c>
      <c r="F701">
        <v>90.5</v>
      </c>
      <c r="G701">
        <v>85.3</v>
      </c>
      <c r="H701" s="1" t="s">
        <v>188</v>
      </c>
    </row>
    <row r="702" spans="1:8" x14ac:dyDescent="0.3">
      <c r="A702">
        <v>2015</v>
      </c>
      <c r="B702" t="s">
        <v>41</v>
      </c>
      <c r="C702" t="s">
        <v>79</v>
      </c>
      <c r="D702" s="1" t="s">
        <v>24</v>
      </c>
      <c r="E702">
        <v>113.6</v>
      </c>
      <c r="F702">
        <v>111.7</v>
      </c>
      <c r="G702">
        <v>109.9</v>
      </c>
      <c r="H702" s="1" t="s">
        <v>191</v>
      </c>
    </row>
    <row r="703" spans="1:8" x14ac:dyDescent="0.3">
      <c r="A703">
        <v>2015</v>
      </c>
      <c r="B703" t="s">
        <v>41</v>
      </c>
      <c r="C703" t="s">
        <v>79</v>
      </c>
      <c r="D703" s="1" t="s">
        <v>9</v>
      </c>
      <c r="E703">
        <v>153.6</v>
      </c>
      <c r="F703">
        <v>157.6</v>
      </c>
      <c r="G703">
        <v>165.5</v>
      </c>
      <c r="H703" s="1" t="s">
        <v>188</v>
      </c>
    </row>
    <row r="704" spans="1:8" x14ac:dyDescent="0.3">
      <c r="A704">
        <v>2015</v>
      </c>
      <c r="B704" t="s">
        <v>45</v>
      </c>
      <c r="C704" t="s">
        <v>80</v>
      </c>
      <c r="D704" s="1" t="s">
        <v>3</v>
      </c>
      <c r="E704">
        <v>126.3</v>
      </c>
      <c r="F704">
        <v>125.7</v>
      </c>
      <c r="G704">
        <v>124.3</v>
      </c>
      <c r="H704" s="1" t="s">
        <v>188</v>
      </c>
    </row>
    <row r="705" spans="1:8" x14ac:dyDescent="0.3">
      <c r="A705">
        <v>2015</v>
      </c>
      <c r="B705" t="s">
        <v>45</v>
      </c>
      <c r="C705" t="s">
        <v>80</v>
      </c>
      <c r="D705" s="1" t="s">
        <v>17</v>
      </c>
      <c r="E705">
        <v>132.5</v>
      </c>
      <c r="F705">
        <v>129.69999999999999</v>
      </c>
      <c r="G705">
        <v>125.4</v>
      </c>
      <c r="H705" s="1" t="s">
        <v>189</v>
      </c>
    </row>
    <row r="706" spans="1:8" x14ac:dyDescent="0.3">
      <c r="A706">
        <v>2015</v>
      </c>
      <c r="B706" t="s">
        <v>45</v>
      </c>
      <c r="C706" t="s">
        <v>80</v>
      </c>
      <c r="D706" s="1" t="s">
        <v>19</v>
      </c>
      <c r="E706">
        <v>131.9</v>
      </c>
      <c r="F706">
        <v>129</v>
      </c>
      <c r="G706">
        <v>124.5</v>
      </c>
      <c r="H706" s="1" t="s">
        <v>189</v>
      </c>
    </row>
    <row r="707" spans="1:8" x14ac:dyDescent="0.3">
      <c r="A707">
        <v>2015</v>
      </c>
      <c r="B707" t="s">
        <v>45</v>
      </c>
      <c r="C707" t="s">
        <v>80</v>
      </c>
      <c r="D707" s="1" t="s">
        <v>26</v>
      </c>
      <c r="E707">
        <v>125.6</v>
      </c>
      <c r="F707">
        <v>126.2</v>
      </c>
      <c r="G707">
        <v>126.6</v>
      </c>
      <c r="H707" s="1" t="s">
        <v>26</v>
      </c>
    </row>
    <row r="708" spans="1:8" x14ac:dyDescent="0.3">
      <c r="A708">
        <v>2015</v>
      </c>
      <c r="B708" t="s">
        <v>45</v>
      </c>
      <c r="C708" t="s">
        <v>80</v>
      </c>
      <c r="D708" s="1" t="s">
        <v>5</v>
      </c>
      <c r="E708">
        <v>123.3</v>
      </c>
      <c r="F708">
        <v>124.8</v>
      </c>
      <c r="G708">
        <v>127.1</v>
      </c>
      <c r="H708" s="1" t="s">
        <v>188</v>
      </c>
    </row>
    <row r="709" spans="1:8" x14ac:dyDescent="0.3">
      <c r="A709">
        <v>2015</v>
      </c>
      <c r="B709" t="s">
        <v>45</v>
      </c>
      <c r="C709" t="s">
        <v>80</v>
      </c>
      <c r="D709" s="1" t="s">
        <v>15</v>
      </c>
      <c r="E709">
        <v>131.4</v>
      </c>
      <c r="F709">
        <v>131.4</v>
      </c>
      <c r="G709">
        <v>131.5</v>
      </c>
      <c r="H709" s="1" t="s">
        <v>188</v>
      </c>
    </row>
    <row r="710" spans="1:8" x14ac:dyDescent="0.3">
      <c r="A710">
        <v>2015</v>
      </c>
      <c r="B710" t="s">
        <v>45</v>
      </c>
      <c r="C710" t="s">
        <v>80</v>
      </c>
      <c r="D710" s="1" t="s">
        <v>18</v>
      </c>
      <c r="E710">
        <v>128.5</v>
      </c>
      <c r="F710">
        <v>124.8</v>
      </c>
      <c r="G710">
        <v>119.5</v>
      </c>
      <c r="H710" s="1" t="s">
        <v>189</v>
      </c>
    </row>
    <row r="711" spans="1:8" x14ac:dyDescent="0.3">
      <c r="A711">
        <v>2015</v>
      </c>
      <c r="B711" t="s">
        <v>45</v>
      </c>
      <c r="C711" t="s">
        <v>80</v>
      </c>
      <c r="D711" s="1" t="s">
        <v>8</v>
      </c>
      <c r="E711">
        <v>131.6</v>
      </c>
      <c r="F711">
        <v>126.6</v>
      </c>
      <c r="G711">
        <v>120.8</v>
      </c>
      <c r="H711" s="1" t="s">
        <v>188</v>
      </c>
    </row>
    <row r="712" spans="1:8" x14ac:dyDescent="0.3">
      <c r="A712">
        <v>2015</v>
      </c>
      <c r="B712" t="s">
        <v>45</v>
      </c>
      <c r="C712" t="s">
        <v>80</v>
      </c>
      <c r="D712" s="1" t="s">
        <v>21</v>
      </c>
      <c r="E712">
        <v>125.7</v>
      </c>
      <c r="F712">
        <v>122</v>
      </c>
      <c r="G712">
        <v>116</v>
      </c>
      <c r="H712" s="1" t="s">
        <v>190</v>
      </c>
    </row>
    <row r="713" spans="1:8" x14ac:dyDescent="0.3">
      <c r="A713">
        <v>2015</v>
      </c>
      <c r="B713" t="s">
        <v>45</v>
      </c>
      <c r="C713" t="s">
        <v>80</v>
      </c>
      <c r="D713" s="1" t="s">
        <v>29</v>
      </c>
      <c r="E713">
        <v>127.9</v>
      </c>
      <c r="F713">
        <v>126.1</v>
      </c>
      <c r="G713">
        <v>124</v>
      </c>
      <c r="H713" s="1" t="s">
        <v>206</v>
      </c>
    </row>
    <row r="714" spans="1:8" x14ac:dyDescent="0.3">
      <c r="A714">
        <v>2015</v>
      </c>
      <c r="B714" t="s">
        <v>45</v>
      </c>
      <c r="C714" t="s">
        <v>80</v>
      </c>
      <c r="D714" s="1" t="s">
        <v>23</v>
      </c>
      <c r="E714">
        <v>123.1</v>
      </c>
      <c r="F714">
        <v>121.4</v>
      </c>
      <c r="G714">
        <v>118.6</v>
      </c>
      <c r="H714" s="1" t="s">
        <v>23</v>
      </c>
    </row>
    <row r="715" spans="1:8" x14ac:dyDescent="0.3">
      <c r="A715">
        <v>2015</v>
      </c>
      <c r="B715" t="s">
        <v>45</v>
      </c>
      <c r="C715" t="s">
        <v>80</v>
      </c>
      <c r="D715" s="1" t="s">
        <v>22</v>
      </c>
      <c r="E715">
        <v>126</v>
      </c>
      <c r="F715">
        <v>123.6</v>
      </c>
      <c r="G715">
        <v>121</v>
      </c>
      <c r="H715" s="1" t="s">
        <v>20</v>
      </c>
    </row>
    <row r="716" spans="1:8" x14ac:dyDescent="0.3">
      <c r="A716">
        <v>2015</v>
      </c>
      <c r="B716" t="s">
        <v>45</v>
      </c>
      <c r="C716" t="s">
        <v>80</v>
      </c>
      <c r="D716" s="1" t="s">
        <v>20</v>
      </c>
      <c r="E716">
        <v>0</v>
      </c>
      <c r="F716">
        <v>122.4</v>
      </c>
      <c r="G716">
        <v>122.4</v>
      </c>
      <c r="H716" s="1" t="s">
        <v>20</v>
      </c>
    </row>
    <row r="717" spans="1:8" x14ac:dyDescent="0.3">
      <c r="A717">
        <v>2015</v>
      </c>
      <c r="B717" t="s">
        <v>45</v>
      </c>
      <c r="C717" t="s">
        <v>80</v>
      </c>
      <c r="D717" s="1" t="s">
        <v>4</v>
      </c>
      <c r="E717">
        <v>131.30000000000001</v>
      </c>
      <c r="F717">
        <v>131.4</v>
      </c>
      <c r="G717">
        <v>131.69999999999999</v>
      </c>
      <c r="H717" s="1" t="s">
        <v>188</v>
      </c>
    </row>
    <row r="718" spans="1:8" x14ac:dyDescent="0.3">
      <c r="A718">
        <v>2015</v>
      </c>
      <c r="B718" t="s">
        <v>45</v>
      </c>
      <c r="C718" t="s">
        <v>80</v>
      </c>
      <c r="D718" s="1" t="s">
        <v>6</v>
      </c>
      <c r="E718">
        <v>129.80000000000001</v>
      </c>
      <c r="F718">
        <v>129.4</v>
      </c>
      <c r="G718">
        <v>128.6</v>
      </c>
      <c r="H718" s="1" t="s">
        <v>188</v>
      </c>
    </row>
    <row r="719" spans="1:8" x14ac:dyDescent="0.3">
      <c r="A719">
        <v>2015</v>
      </c>
      <c r="B719" t="s">
        <v>45</v>
      </c>
      <c r="C719" t="s">
        <v>80</v>
      </c>
      <c r="D719" s="1" t="s">
        <v>28</v>
      </c>
      <c r="E719">
        <v>119.8</v>
      </c>
      <c r="F719">
        <v>118.3</v>
      </c>
      <c r="G719">
        <v>116.7</v>
      </c>
      <c r="H719" s="1" t="s">
        <v>192</v>
      </c>
    </row>
    <row r="720" spans="1:8" x14ac:dyDescent="0.3">
      <c r="A720">
        <v>2015</v>
      </c>
      <c r="B720" t="s">
        <v>45</v>
      </c>
      <c r="C720" t="s">
        <v>80</v>
      </c>
      <c r="D720" s="1" t="s">
        <v>13</v>
      </c>
      <c r="E720">
        <v>123.3</v>
      </c>
      <c r="F720">
        <v>122</v>
      </c>
      <c r="G720">
        <v>120.2</v>
      </c>
      <c r="H720" s="1" t="s">
        <v>188</v>
      </c>
    </row>
    <row r="721" spans="1:8" x14ac:dyDescent="0.3">
      <c r="A721">
        <v>2015</v>
      </c>
      <c r="B721" t="s">
        <v>45</v>
      </c>
      <c r="C721" t="s">
        <v>80</v>
      </c>
      <c r="D721" s="1" t="s">
        <v>7</v>
      </c>
      <c r="E721">
        <v>118.3</v>
      </c>
      <c r="F721">
        <v>115.3</v>
      </c>
      <c r="G721">
        <v>110</v>
      </c>
      <c r="H721" s="1" t="s">
        <v>188</v>
      </c>
    </row>
    <row r="722" spans="1:8" x14ac:dyDescent="0.3">
      <c r="A722">
        <v>2015</v>
      </c>
      <c r="B722" t="s">
        <v>45</v>
      </c>
      <c r="C722" t="s">
        <v>80</v>
      </c>
      <c r="D722" s="1" t="s">
        <v>16</v>
      </c>
      <c r="E722">
        <v>133.1</v>
      </c>
      <c r="F722">
        <v>134.5</v>
      </c>
      <c r="G722">
        <v>138.19999999999999</v>
      </c>
      <c r="H722" s="1" t="s">
        <v>192</v>
      </c>
    </row>
    <row r="723" spans="1:8" x14ac:dyDescent="0.3">
      <c r="A723">
        <v>2015</v>
      </c>
      <c r="B723" t="s">
        <v>45</v>
      </c>
      <c r="C723" t="s">
        <v>80</v>
      </c>
      <c r="D723" s="1" t="s">
        <v>27</v>
      </c>
      <c r="E723">
        <v>114.1</v>
      </c>
      <c r="F723">
        <v>113.7</v>
      </c>
      <c r="G723">
        <v>113.2</v>
      </c>
      <c r="H723" s="1" t="s">
        <v>192</v>
      </c>
    </row>
    <row r="724" spans="1:8" x14ac:dyDescent="0.3">
      <c r="A724">
        <v>2015</v>
      </c>
      <c r="B724" t="s">
        <v>45</v>
      </c>
      <c r="C724" t="s">
        <v>80</v>
      </c>
      <c r="D724" s="1" t="s">
        <v>14</v>
      </c>
      <c r="E724">
        <v>135.1</v>
      </c>
      <c r="F724">
        <v>134.69999999999999</v>
      </c>
      <c r="G724">
        <v>134.19999999999999</v>
      </c>
      <c r="H724" s="1" t="s">
        <v>188</v>
      </c>
    </row>
    <row r="725" spans="1:8" x14ac:dyDescent="0.3">
      <c r="A725">
        <v>2015</v>
      </c>
      <c r="B725" t="s">
        <v>45</v>
      </c>
      <c r="C725" t="s">
        <v>80</v>
      </c>
      <c r="D725" s="1" t="s">
        <v>10</v>
      </c>
      <c r="E725">
        <v>162.1</v>
      </c>
      <c r="F725">
        <v>171.5</v>
      </c>
      <c r="G725">
        <v>190.1</v>
      </c>
      <c r="H725" s="1" t="s">
        <v>188</v>
      </c>
    </row>
    <row r="726" spans="1:8" x14ac:dyDescent="0.3">
      <c r="A726">
        <v>2015</v>
      </c>
      <c r="B726" t="s">
        <v>45</v>
      </c>
      <c r="C726" t="s">
        <v>80</v>
      </c>
      <c r="D726" s="1" t="s">
        <v>25</v>
      </c>
      <c r="E726">
        <v>121.6</v>
      </c>
      <c r="F726">
        <v>119.6</v>
      </c>
      <c r="G726">
        <v>118.1</v>
      </c>
      <c r="H726" s="1" t="s">
        <v>195</v>
      </c>
    </row>
    <row r="727" spans="1:8" x14ac:dyDescent="0.3">
      <c r="A727">
        <v>2015</v>
      </c>
      <c r="B727" t="s">
        <v>45</v>
      </c>
      <c r="C727" t="s">
        <v>80</v>
      </c>
      <c r="D727" s="1" t="s">
        <v>12</v>
      </c>
      <c r="E727">
        <v>128.9</v>
      </c>
      <c r="F727">
        <v>132.1</v>
      </c>
      <c r="G727">
        <v>138.6</v>
      </c>
      <c r="H727" s="1" t="s">
        <v>188</v>
      </c>
    </row>
    <row r="728" spans="1:8" x14ac:dyDescent="0.3">
      <c r="A728">
        <v>2015</v>
      </c>
      <c r="B728" t="s">
        <v>45</v>
      </c>
      <c r="C728" t="s">
        <v>80</v>
      </c>
      <c r="D728" s="1" t="s">
        <v>11</v>
      </c>
      <c r="E728">
        <v>95.4</v>
      </c>
      <c r="F728">
        <v>94.5</v>
      </c>
      <c r="G728">
        <v>92.7</v>
      </c>
      <c r="H728" s="1" t="s">
        <v>188</v>
      </c>
    </row>
    <row r="729" spans="1:8" x14ac:dyDescent="0.3">
      <c r="A729">
        <v>2015</v>
      </c>
      <c r="B729" t="s">
        <v>45</v>
      </c>
      <c r="C729" t="s">
        <v>80</v>
      </c>
      <c r="D729" s="1" t="s">
        <v>24</v>
      </c>
      <c r="E729">
        <v>114</v>
      </c>
      <c r="F729">
        <v>111.5</v>
      </c>
      <c r="G729">
        <v>109.3</v>
      </c>
      <c r="H729" s="1" t="s">
        <v>191</v>
      </c>
    </row>
    <row r="730" spans="1:8" x14ac:dyDescent="0.3">
      <c r="A730">
        <v>2015</v>
      </c>
      <c r="B730" t="s">
        <v>45</v>
      </c>
      <c r="C730" t="s">
        <v>80</v>
      </c>
      <c r="D730" s="1" t="s">
        <v>9</v>
      </c>
      <c r="E730">
        <v>145.5</v>
      </c>
      <c r="F730">
        <v>146.69999999999999</v>
      </c>
      <c r="G730">
        <v>149</v>
      </c>
      <c r="H730" s="1" t="s">
        <v>188</v>
      </c>
    </row>
    <row r="731" spans="1:8" x14ac:dyDescent="0.3">
      <c r="A731">
        <v>2015</v>
      </c>
      <c r="B731" t="s">
        <v>35</v>
      </c>
      <c r="C731" t="s">
        <v>81</v>
      </c>
      <c r="D731" s="1" t="s">
        <v>3</v>
      </c>
      <c r="E731">
        <v>123.4</v>
      </c>
      <c r="F731">
        <v>123.7</v>
      </c>
      <c r="G731">
        <v>124.3</v>
      </c>
      <c r="H731" s="1" t="s">
        <v>188</v>
      </c>
    </row>
    <row r="732" spans="1:8" x14ac:dyDescent="0.3">
      <c r="A732">
        <v>2015</v>
      </c>
      <c r="B732" t="s">
        <v>35</v>
      </c>
      <c r="C732" t="s">
        <v>81</v>
      </c>
      <c r="D732" s="1" t="s">
        <v>17</v>
      </c>
      <c r="E732">
        <v>125.4</v>
      </c>
      <c r="F732">
        <v>123.8</v>
      </c>
      <c r="G732">
        <v>121.3</v>
      </c>
      <c r="H732" s="1" t="s">
        <v>189</v>
      </c>
    </row>
    <row r="733" spans="1:8" x14ac:dyDescent="0.3">
      <c r="A733">
        <v>2015</v>
      </c>
      <c r="B733" t="s">
        <v>35</v>
      </c>
      <c r="C733" t="s">
        <v>81</v>
      </c>
      <c r="D733" s="1" t="s">
        <v>19</v>
      </c>
      <c r="E733">
        <v>125</v>
      </c>
      <c r="F733">
        <v>123.3</v>
      </c>
      <c r="G733">
        <v>120.6</v>
      </c>
      <c r="H733" s="1" t="s">
        <v>189</v>
      </c>
    </row>
    <row r="734" spans="1:8" x14ac:dyDescent="0.3">
      <c r="A734">
        <v>2015</v>
      </c>
      <c r="B734" t="s">
        <v>35</v>
      </c>
      <c r="C734" t="s">
        <v>81</v>
      </c>
      <c r="D734" s="1" t="s">
        <v>26</v>
      </c>
      <c r="E734">
        <v>118.7</v>
      </c>
      <c r="F734">
        <v>119.7</v>
      </c>
      <c r="G734">
        <v>120.4</v>
      </c>
      <c r="H734" s="1" t="s">
        <v>26</v>
      </c>
    </row>
    <row r="735" spans="1:8" x14ac:dyDescent="0.3">
      <c r="A735">
        <v>2015</v>
      </c>
      <c r="B735" t="s">
        <v>35</v>
      </c>
      <c r="C735" t="s">
        <v>81</v>
      </c>
      <c r="D735" s="1" t="s">
        <v>5</v>
      </c>
      <c r="E735">
        <v>122.1</v>
      </c>
      <c r="F735">
        <v>121.1</v>
      </c>
      <c r="G735">
        <v>119.5</v>
      </c>
      <c r="H735" s="1" t="s">
        <v>188</v>
      </c>
    </row>
    <row r="736" spans="1:8" x14ac:dyDescent="0.3">
      <c r="A736">
        <v>2015</v>
      </c>
      <c r="B736" t="s">
        <v>35</v>
      </c>
      <c r="C736" t="s">
        <v>81</v>
      </c>
      <c r="D736" s="1" t="s">
        <v>15</v>
      </c>
      <c r="E736">
        <v>122.8</v>
      </c>
      <c r="F736">
        <v>123.1</v>
      </c>
      <c r="G736">
        <v>123.7</v>
      </c>
      <c r="H736" s="1" t="s">
        <v>188</v>
      </c>
    </row>
    <row r="737" spans="1:8" x14ac:dyDescent="0.3">
      <c r="A737">
        <v>2015</v>
      </c>
      <c r="B737" t="s">
        <v>35</v>
      </c>
      <c r="C737" t="s">
        <v>81</v>
      </c>
      <c r="D737" s="1" t="s">
        <v>18</v>
      </c>
      <c r="E737">
        <v>122.7</v>
      </c>
      <c r="F737">
        <v>120.1</v>
      </c>
      <c r="G737">
        <v>116.5</v>
      </c>
      <c r="H737" s="1" t="s">
        <v>189</v>
      </c>
    </row>
    <row r="738" spans="1:8" x14ac:dyDescent="0.3">
      <c r="A738">
        <v>2015</v>
      </c>
      <c r="B738" t="s">
        <v>35</v>
      </c>
      <c r="C738" t="s">
        <v>81</v>
      </c>
      <c r="D738" s="1" t="s">
        <v>8</v>
      </c>
      <c r="E738">
        <v>129.4</v>
      </c>
      <c r="F738">
        <v>125.8</v>
      </c>
      <c r="G738">
        <v>121.6</v>
      </c>
      <c r="H738" s="1" t="s">
        <v>188</v>
      </c>
    </row>
    <row r="739" spans="1:8" x14ac:dyDescent="0.3">
      <c r="A739">
        <v>2015</v>
      </c>
      <c r="B739" t="s">
        <v>35</v>
      </c>
      <c r="C739" t="s">
        <v>81</v>
      </c>
      <c r="D739" s="1" t="s">
        <v>21</v>
      </c>
      <c r="E739">
        <v>120</v>
      </c>
      <c r="F739">
        <v>117.7</v>
      </c>
      <c r="G739">
        <v>114</v>
      </c>
      <c r="H739" s="1" t="s">
        <v>190</v>
      </c>
    </row>
    <row r="740" spans="1:8" x14ac:dyDescent="0.3">
      <c r="A740">
        <v>2015</v>
      </c>
      <c r="B740" t="s">
        <v>35</v>
      </c>
      <c r="C740" t="s">
        <v>81</v>
      </c>
      <c r="D740" s="1" t="s">
        <v>29</v>
      </c>
      <c r="E740">
        <v>120.6</v>
      </c>
      <c r="F740">
        <v>119.7</v>
      </c>
      <c r="G740">
        <v>118.7</v>
      </c>
      <c r="H740" s="1" t="s">
        <v>206</v>
      </c>
    </row>
    <row r="741" spans="1:8" x14ac:dyDescent="0.3">
      <c r="A741">
        <v>2015</v>
      </c>
      <c r="B741" t="s">
        <v>35</v>
      </c>
      <c r="C741" t="s">
        <v>81</v>
      </c>
      <c r="D741" s="1" t="s">
        <v>23</v>
      </c>
      <c r="E741">
        <v>117.7</v>
      </c>
      <c r="F741">
        <v>116.3</v>
      </c>
      <c r="G741">
        <v>114.1</v>
      </c>
      <c r="H741" s="1" t="s">
        <v>23</v>
      </c>
    </row>
    <row r="742" spans="1:8" x14ac:dyDescent="0.3">
      <c r="A742">
        <v>2015</v>
      </c>
      <c r="B742" t="s">
        <v>35</v>
      </c>
      <c r="C742" t="s">
        <v>81</v>
      </c>
      <c r="D742" s="1" t="s">
        <v>22</v>
      </c>
      <c r="E742">
        <v>119.6</v>
      </c>
      <c r="F742">
        <v>118.7</v>
      </c>
      <c r="G742">
        <v>117.7</v>
      </c>
      <c r="H742" s="1" t="s">
        <v>20</v>
      </c>
    </row>
    <row r="743" spans="1:8" x14ac:dyDescent="0.3">
      <c r="A743">
        <v>2015</v>
      </c>
      <c r="B743" t="s">
        <v>35</v>
      </c>
      <c r="C743" t="s">
        <v>81</v>
      </c>
      <c r="D743" s="1" t="s">
        <v>20</v>
      </c>
      <c r="E743">
        <v>0</v>
      </c>
      <c r="F743">
        <v>118.1</v>
      </c>
      <c r="G743">
        <v>118.1</v>
      </c>
      <c r="H743" s="1" t="s">
        <v>20</v>
      </c>
    </row>
    <row r="744" spans="1:8" x14ac:dyDescent="0.3">
      <c r="A744">
        <v>2015</v>
      </c>
      <c r="B744" t="s">
        <v>35</v>
      </c>
      <c r="C744" t="s">
        <v>81</v>
      </c>
      <c r="D744" s="1" t="s">
        <v>4</v>
      </c>
      <c r="E744">
        <v>124.4</v>
      </c>
      <c r="F744">
        <v>125.1</v>
      </c>
      <c r="G744">
        <v>126.5</v>
      </c>
      <c r="H744" s="1" t="s">
        <v>188</v>
      </c>
    </row>
    <row r="745" spans="1:8" x14ac:dyDescent="0.3">
      <c r="A745">
        <v>2015</v>
      </c>
      <c r="B745" t="s">
        <v>35</v>
      </c>
      <c r="C745" t="s">
        <v>81</v>
      </c>
      <c r="D745" s="1" t="s">
        <v>6</v>
      </c>
      <c r="E745">
        <v>125.8</v>
      </c>
      <c r="F745">
        <v>125.7</v>
      </c>
      <c r="G745">
        <v>125.6</v>
      </c>
      <c r="H745" s="1" t="s">
        <v>188</v>
      </c>
    </row>
    <row r="746" spans="1:8" x14ac:dyDescent="0.3">
      <c r="A746">
        <v>2015</v>
      </c>
      <c r="B746" t="s">
        <v>35</v>
      </c>
      <c r="C746" t="s">
        <v>81</v>
      </c>
      <c r="D746" s="1" t="s">
        <v>28</v>
      </c>
      <c r="E746">
        <v>115</v>
      </c>
      <c r="F746">
        <v>114.1</v>
      </c>
      <c r="G746">
        <v>113.2</v>
      </c>
      <c r="H746" s="1" t="s">
        <v>192</v>
      </c>
    </row>
    <row r="747" spans="1:8" x14ac:dyDescent="0.3">
      <c r="A747">
        <v>2015</v>
      </c>
      <c r="B747" t="s">
        <v>35</v>
      </c>
      <c r="C747" t="s">
        <v>81</v>
      </c>
      <c r="D747" s="1" t="s">
        <v>13</v>
      </c>
      <c r="E747">
        <v>118.8</v>
      </c>
      <c r="F747">
        <v>118</v>
      </c>
      <c r="G747">
        <v>116.8</v>
      </c>
      <c r="H747" s="1" t="s">
        <v>188</v>
      </c>
    </row>
    <row r="748" spans="1:8" x14ac:dyDescent="0.3">
      <c r="A748">
        <v>2015</v>
      </c>
      <c r="B748" t="s">
        <v>35</v>
      </c>
      <c r="C748" t="s">
        <v>81</v>
      </c>
      <c r="D748" s="1" t="s">
        <v>7</v>
      </c>
      <c r="E748">
        <v>111.5</v>
      </c>
      <c r="F748">
        <v>109.1</v>
      </c>
      <c r="G748">
        <v>104.9</v>
      </c>
      <c r="H748" s="1" t="s">
        <v>188</v>
      </c>
    </row>
    <row r="749" spans="1:8" x14ac:dyDescent="0.3">
      <c r="A749">
        <v>2015</v>
      </c>
      <c r="B749" t="s">
        <v>35</v>
      </c>
      <c r="C749" t="s">
        <v>81</v>
      </c>
      <c r="D749" s="1" t="s">
        <v>16</v>
      </c>
      <c r="E749">
        <v>124.2</v>
      </c>
      <c r="F749">
        <v>125.2</v>
      </c>
      <c r="G749">
        <v>128.1</v>
      </c>
      <c r="H749" s="1" t="s">
        <v>192</v>
      </c>
    </row>
    <row r="750" spans="1:8" x14ac:dyDescent="0.3">
      <c r="A750">
        <v>2015</v>
      </c>
      <c r="B750" t="s">
        <v>35</v>
      </c>
      <c r="C750" t="s">
        <v>81</v>
      </c>
      <c r="D750" s="1" t="s">
        <v>27</v>
      </c>
      <c r="E750">
        <v>110.8</v>
      </c>
      <c r="F750">
        <v>111.2</v>
      </c>
      <c r="G750">
        <v>111.7</v>
      </c>
      <c r="H750" s="1" t="s">
        <v>192</v>
      </c>
    </row>
    <row r="751" spans="1:8" x14ac:dyDescent="0.3">
      <c r="A751">
        <v>2015</v>
      </c>
      <c r="B751" t="s">
        <v>35</v>
      </c>
      <c r="C751" t="s">
        <v>81</v>
      </c>
      <c r="D751" s="1" t="s">
        <v>14</v>
      </c>
      <c r="E751">
        <v>126.8</v>
      </c>
      <c r="F751">
        <v>127.6</v>
      </c>
      <c r="G751">
        <v>128.6</v>
      </c>
      <c r="H751" s="1" t="s">
        <v>188</v>
      </c>
    </row>
    <row r="752" spans="1:8" x14ac:dyDescent="0.3">
      <c r="A752">
        <v>2015</v>
      </c>
      <c r="B752" t="s">
        <v>35</v>
      </c>
      <c r="C752" t="s">
        <v>81</v>
      </c>
      <c r="D752" s="1" t="s">
        <v>10</v>
      </c>
      <c r="E752">
        <v>118.8</v>
      </c>
      <c r="F752">
        <v>120.9</v>
      </c>
      <c r="G752">
        <v>125.1</v>
      </c>
      <c r="H752" s="1" t="s">
        <v>188</v>
      </c>
    </row>
    <row r="753" spans="1:8" x14ac:dyDescent="0.3">
      <c r="A753">
        <v>2015</v>
      </c>
      <c r="B753" t="s">
        <v>35</v>
      </c>
      <c r="C753" t="s">
        <v>81</v>
      </c>
      <c r="D753" s="1" t="s">
        <v>25</v>
      </c>
      <c r="E753">
        <v>114.8</v>
      </c>
      <c r="F753">
        <v>114.9</v>
      </c>
      <c r="G753">
        <v>114.9</v>
      </c>
      <c r="H753" s="1" t="s">
        <v>195</v>
      </c>
    </row>
    <row r="754" spans="1:8" x14ac:dyDescent="0.3">
      <c r="A754">
        <v>2015</v>
      </c>
      <c r="B754" t="s">
        <v>35</v>
      </c>
      <c r="C754" t="s">
        <v>81</v>
      </c>
      <c r="D754" s="1" t="s">
        <v>12</v>
      </c>
      <c r="E754">
        <v>118.6</v>
      </c>
      <c r="F754">
        <v>121.6</v>
      </c>
      <c r="G754">
        <v>127.7</v>
      </c>
      <c r="H754" s="1" t="s">
        <v>188</v>
      </c>
    </row>
    <row r="755" spans="1:8" x14ac:dyDescent="0.3">
      <c r="A755">
        <v>2015</v>
      </c>
      <c r="B755" t="s">
        <v>35</v>
      </c>
      <c r="C755" t="s">
        <v>81</v>
      </c>
      <c r="D755" s="1" t="s">
        <v>11</v>
      </c>
      <c r="E755">
        <v>100</v>
      </c>
      <c r="F755">
        <v>98.3</v>
      </c>
      <c r="G755">
        <v>95</v>
      </c>
      <c r="H755" s="1" t="s">
        <v>188</v>
      </c>
    </row>
    <row r="756" spans="1:8" x14ac:dyDescent="0.3">
      <c r="A756">
        <v>2015</v>
      </c>
      <c r="B756" t="s">
        <v>35</v>
      </c>
      <c r="C756" t="s">
        <v>81</v>
      </c>
      <c r="D756" s="1" t="s">
        <v>24</v>
      </c>
      <c r="E756">
        <v>110.9</v>
      </c>
      <c r="F756">
        <v>108.7</v>
      </c>
      <c r="G756">
        <v>106.8</v>
      </c>
      <c r="H756" s="1" t="s">
        <v>191</v>
      </c>
    </row>
    <row r="757" spans="1:8" x14ac:dyDescent="0.3">
      <c r="A757">
        <v>2015</v>
      </c>
      <c r="B757" t="s">
        <v>35</v>
      </c>
      <c r="C757" t="s">
        <v>81</v>
      </c>
      <c r="D757" s="1" t="s">
        <v>9</v>
      </c>
      <c r="E757">
        <v>128.19999999999999</v>
      </c>
      <c r="F757">
        <v>129.4</v>
      </c>
      <c r="G757">
        <v>131.80000000000001</v>
      </c>
      <c r="H757" s="1" t="s">
        <v>188</v>
      </c>
    </row>
    <row r="758" spans="1:8" x14ac:dyDescent="0.3">
      <c r="A758">
        <v>2015</v>
      </c>
      <c r="B758" t="s">
        <v>31</v>
      </c>
      <c r="C758" t="s">
        <v>82</v>
      </c>
      <c r="D758" s="1" t="s">
        <v>3</v>
      </c>
      <c r="E758">
        <v>123.1</v>
      </c>
      <c r="F758">
        <v>123.4</v>
      </c>
      <c r="G758">
        <v>124</v>
      </c>
      <c r="H758" s="1" t="s">
        <v>188</v>
      </c>
    </row>
    <row r="759" spans="1:8" x14ac:dyDescent="0.3">
      <c r="A759">
        <v>2015</v>
      </c>
      <c r="B759" t="s">
        <v>31</v>
      </c>
      <c r="C759" t="s">
        <v>82</v>
      </c>
      <c r="D759" s="1" t="s">
        <v>17</v>
      </c>
      <c r="E759">
        <v>124.4</v>
      </c>
      <c r="F759">
        <v>123.1</v>
      </c>
      <c r="G759">
        <v>121</v>
      </c>
      <c r="H759" s="1" t="s">
        <v>189</v>
      </c>
    </row>
    <row r="760" spans="1:8" x14ac:dyDescent="0.3">
      <c r="A760">
        <v>2015</v>
      </c>
      <c r="B760" t="s">
        <v>31</v>
      </c>
      <c r="C760" t="s">
        <v>82</v>
      </c>
      <c r="D760" s="1" t="s">
        <v>19</v>
      </c>
      <c r="E760">
        <v>124</v>
      </c>
      <c r="F760">
        <v>122.5</v>
      </c>
      <c r="G760">
        <v>120.2</v>
      </c>
      <c r="H760" s="1" t="s">
        <v>189</v>
      </c>
    </row>
    <row r="761" spans="1:8" x14ac:dyDescent="0.3">
      <c r="A761">
        <v>2015</v>
      </c>
      <c r="B761" t="s">
        <v>31</v>
      </c>
      <c r="C761" t="s">
        <v>82</v>
      </c>
      <c r="D761" s="1" t="s">
        <v>26</v>
      </c>
      <c r="E761">
        <v>118.2</v>
      </c>
      <c r="F761">
        <v>119.7</v>
      </c>
      <c r="G761">
        <v>120.8</v>
      </c>
      <c r="H761" s="1" t="s">
        <v>26</v>
      </c>
    </row>
    <row r="762" spans="1:8" x14ac:dyDescent="0.3">
      <c r="A762">
        <v>2015</v>
      </c>
      <c r="B762" t="s">
        <v>31</v>
      </c>
      <c r="C762" t="s">
        <v>82</v>
      </c>
      <c r="D762" s="1" t="s">
        <v>5</v>
      </c>
      <c r="E762">
        <v>122.1</v>
      </c>
      <c r="F762">
        <v>123.8</v>
      </c>
      <c r="G762">
        <v>126.6</v>
      </c>
      <c r="H762" s="1" t="s">
        <v>188</v>
      </c>
    </row>
    <row r="763" spans="1:8" x14ac:dyDescent="0.3">
      <c r="A763">
        <v>2015</v>
      </c>
      <c r="B763" t="s">
        <v>31</v>
      </c>
      <c r="C763" t="s">
        <v>82</v>
      </c>
      <c r="D763" s="1" t="s">
        <v>15</v>
      </c>
      <c r="E763">
        <v>122.8</v>
      </c>
      <c r="F763">
        <v>123.1</v>
      </c>
      <c r="G763">
        <v>123.5</v>
      </c>
      <c r="H763" s="1" t="s">
        <v>188</v>
      </c>
    </row>
    <row r="764" spans="1:8" x14ac:dyDescent="0.3">
      <c r="A764">
        <v>2015</v>
      </c>
      <c r="B764" t="s">
        <v>31</v>
      </c>
      <c r="C764" t="s">
        <v>82</v>
      </c>
      <c r="D764" s="1" t="s">
        <v>18</v>
      </c>
      <c r="E764">
        <v>121.6</v>
      </c>
      <c r="F764">
        <v>119.3</v>
      </c>
      <c r="G764">
        <v>116.1</v>
      </c>
      <c r="H764" s="1" t="s">
        <v>189</v>
      </c>
    </row>
    <row r="765" spans="1:8" x14ac:dyDescent="0.3">
      <c r="A765">
        <v>2015</v>
      </c>
      <c r="B765" t="s">
        <v>31</v>
      </c>
      <c r="C765" t="s">
        <v>82</v>
      </c>
      <c r="D765" s="1" t="s">
        <v>8</v>
      </c>
      <c r="E765">
        <v>130.4</v>
      </c>
      <c r="F765">
        <v>126.2</v>
      </c>
      <c r="G765">
        <v>121.3</v>
      </c>
      <c r="H765" s="1" t="s">
        <v>188</v>
      </c>
    </row>
    <row r="766" spans="1:8" x14ac:dyDescent="0.3">
      <c r="A766">
        <v>2015</v>
      </c>
      <c r="B766" t="s">
        <v>31</v>
      </c>
      <c r="C766" t="s">
        <v>82</v>
      </c>
      <c r="D766" s="1" t="s">
        <v>21</v>
      </c>
      <c r="E766">
        <v>118.4</v>
      </c>
      <c r="F766">
        <v>116.5</v>
      </c>
      <c r="G766">
        <v>113.4</v>
      </c>
      <c r="H766" s="1" t="s">
        <v>190</v>
      </c>
    </row>
    <row r="767" spans="1:8" x14ac:dyDescent="0.3">
      <c r="A767">
        <v>2015</v>
      </c>
      <c r="B767" t="s">
        <v>31</v>
      </c>
      <c r="C767" t="s">
        <v>82</v>
      </c>
      <c r="D767" s="1" t="s">
        <v>29</v>
      </c>
      <c r="E767">
        <v>120.3</v>
      </c>
      <c r="F767">
        <v>119.5</v>
      </c>
      <c r="G767">
        <v>118.5</v>
      </c>
      <c r="H767" s="1" t="s">
        <v>206</v>
      </c>
    </row>
    <row r="768" spans="1:8" x14ac:dyDescent="0.3">
      <c r="A768">
        <v>2015</v>
      </c>
      <c r="B768" t="s">
        <v>31</v>
      </c>
      <c r="C768" t="s">
        <v>82</v>
      </c>
      <c r="D768" s="1" t="s">
        <v>23</v>
      </c>
      <c r="E768">
        <v>116.6</v>
      </c>
      <c r="F768">
        <v>115.5</v>
      </c>
      <c r="G768">
        <v>113.7</v>
      </c>
      <c r="H768" s="1" t="s">
        <v>23</v>
      </c>
    </row>
    <row r="769" spans="1:8" x14ac:dyDescent="0.3">
      <c r="A769">
        <v>2015</v>
      </c>
      <c r="B769" t="s">
        <v>31</v>
      </c>
      <c r="C769" t="s">
        <v>82</v>
      </c>
      <c r="D769" s="1" t="s">
        <v>22</v>
      </c>
      <c r="E769">
        <v>118.9</v>
      </c>
      <c r="F769">
        <v>118.1</v>
      </c>
      <c r="G769">
        <v>117.2</v>
      </c>
      <c r="H769" s="1" t="s">
        <v>20</v>
      </c>
    </row>
    <row r="770" spans="1:8" x14ac:dyDescent="0.3">
      <c r="A770">
        <v>2015</v>
      </c>
      <c r="B770" t="s">
        <v>31</v>
      </c>
      <c r="C770" t="s">
        <v>82</v>
      </c>
      <c r="D770" s="1" t="s">
        <v>20</v>
      </c>
      <c r="E770">
        <v>0</v>
      </c>
      <c r="F770">
        <v>117.3</v>
      </c>
      <c r="G770">
        <v>117.3</v>
      </c>
      <c r="H770" s="1" t="s">
        <v>20</v>
      </c>
    </row>
    <row r="771" spans="1:8" x14ac:dyDescent="0.3">
      <c r="A771">
        <v>2015</v>
      </c>
      <c r="B771" t="s">
        <v>31</v>
      </c>
      <c r="C771" t="s">
        <v>82</v>
      </c>
      <c r="D771" s="1" t="s">
        <v>4</v>
      </c>
      <c r="E771">
        <v>123.1</v>
      </c>
      <c r="F771">
        <v>123.9</v>
      </c>
      <c r="G771">
        <v>125.5</v>
      </c>
      <c r="H771" s="1" t="s">
        <v>188</v>
      </c>
    </row>
    <row r="772" spans="1:8" x14ac:dyDescent="0.3">
      <c r="A772">
        <v>2015</v>
      </c>
      <c r="B772" t="s">
        <v>31</v>
      </c>
      <c r="C772" t="s">
        <v>82</v>
      </c>
      <c r="D772" s="1" t="s">
        <v>6</v>
      </c>
      <c r="E772">
        <v>124.9</v>
      </c>
      <c r="F772">
        <v>125</v>
      </c>
      <c r="G772">
        <v>125.2</v>
      </c>
      <c r="H772" s="1" t="s">
        <v>188</v>
      </c>
    </row>
    <row r="773" spans="1:8" x14ac:dyDescent="0.3">
      <c r="A773">
        <v>2015</v>
      </c>
      <c r="B773" t="s">
        <v>31</v>
      </c>
      <c r="C773" t="s">
        <v>82</v>
      </c>
      <c r="D773" s="1" t="s">
        <v>28</v>
      </c>
      <c r="E773">
        <v>114.5</v>
      </c>
      <c r="F773">
        <v>114</v>
      </c>
      <c r="G773">
        <v>113.4</v>
      </c>
      <c r="H773" s="1" t="s">
        <v>192</v>
      </c>
    </row>
    <row r="774" spans="1:8" x14ac:dyDescent="0.3">
      <c r="A774">
        <v>2015</v>
      </c>
      <c r="B774" t="s">
        <v>31</v>
      </c>
      <c r="C774" t="s">
        <v>82</v>
      </c>
      <c r="D774" s="1" t="s">
        <v>13</v>
      </c>
      <c r="E774">
        <v>117.9</v>
      </c>
      <c r="F774">
        <v>117.3</v>
      </c>
      <c r="G774">
        <v>116.5</v>
      </c>
      <c r="H774" s="1" t="s">
        <v>188</v>
      </c>
    </row>
    <row r="775" spans="1:8" x14ac:dyDescent="0.3">
      <c r="A775">
        <v>2015</v>
      </c>
      <c r="B775" t="s">
        <v>31</v>
      </c>
      <c r="C775" t="s">
        <v>82</v>
      </c>
      <c r="D775" s="1" t="s">
        <v>7</v>
      </c>
      <c r="E775">
        <v>111</v>
      </c>
      <c r="F775">
        <v>108.5</v>
      </c>
      <c r="G775">
        <v>104.3</v>
      </c>
      <c r="H775" s="1" t="s">
        <v>188</v>
      </c>
    </row>
    <row r="776" spans="1:8" x14ac:dyDescent="0.3">
      <c r="A776">
        <v>2015</v>
      </c>
      <c r="B776" t="s">
        <v>31</v>
      </c>
      <c r="C776" t="s">
        <v>82</v>
      </c>
      <c r="D776" s="1" t="s">
        <v>16</v>
      </c>
      <c r="E776">
        <v>122.7</v>
      </c>
      <c r="F776">
        <v>124</v>
      </c>
      <c r="G776">
        <v>127.4</v>
      </c>
      <c r="H776" s="1" t="s">
        <v>192</v>
      </c>
    </row>
    <row r="777" spans="1:8" x14ac:dyDescent="0.3">
      <c r="A777">
        <v>2015</v>
      </c>
      <c r="B777" t="s">
        <v>31</v>
      </c>
      <c r="C777" t="s">
        <v>82</v>
      </c>
      <c r="D777" s="1" t="s">
        <v>27</v>
      </c>
      <c r="E777">
        <v>110.2</v>
      </c>
      <c r="F777">
        <v>110.7</v>
      </c>
      <c r="G777">
        <v>111.4</v>
      </c>
      <c r="H777" s="1" t="s">
        <v>192</v>
      </c>
    </row>
    <row r="778" spans="1:8" x14ac:dyDescent="0.3">
      <c r="A778">
        <v>2015</v>
      </c>
      <c r="B778" t="s">
        <v>31</v>
      </c>
      <c r="C778" t="s">
        <v>82</v>
      </c>
      <c r="D778" s="1" t="s">
        <v>14</v>
      </c>
      <c r="E778">
        <v>125.6</v>
      </c>
      <c r="F778">
        <v>126.7</v>
      </c>
      <c r="G778">
        <v>128</v>
      </c>
      <c r="H778" s="1" t="s">
        <v>188</v>
      </c>
    </row>
    <row r="779" spans="1:8" x14ac:dyDescent="0.3">
      <c r="A779">
        <v>2015</v>
      </c>
      <c r="B779" t="s">
        <v>31</v>
      </c>
      <c r="C779" t="s">
        <v>82</v>
      </c>
      <c r="D779" s="1" t="s">
        <v>10</v>
      </c>
      <c r="E779">
        <v>117.2</v>
      </c>
      <c r="F779">
        <v>119.1</v>
      </c>
      <c r="G779">
        <v>122.9</v>
      </c>
      <c r="H779" s="1" t="s">
        <v>188</v>
      </c>
    </row>
    <row r="780" spans="1:8" x14ac:dyDescent="0.3">
      <c r="A780">
        <v>2015</v>
      </c>
      <c r="B780" t="s">
        <v>31</v>
      </c>
      <c r="C780" t="s">
        <v>82</v>
      </c>
      <c r="D780" s="1" t="s">
        <v>25</v>
      </c>
      <c r="E780">
        <v>114</v>
      </c>
      <c r="F780">
        <v>114.3</v>
      </c>
      <c r="G780">
        <v>114.6</v>
      </c>
      <c r="H780" s="1" t="s">
        <v>195</v>
      </c>
    </row>
    <row r="781" spans="1:8" x14ac:dyDescent="0.3">
      <c r="A781">
        <v>2015</v>
      </c>
      <c r="B781" t="s">
        <v>31</v>
      </c>
      <c r="C781" t="s">
        <v>82</v>
      </c>
      <c r="D781" s="1" t="s">
        <v>12</v>
      </c>
      <c r="E781">
        <v>117.2</v>
      </c>
      <c r="F781">
        <v>120.3</v>
      </c>
      <c r="G781">
        <v>126.6</v>
      </c>
      <c r="H781" s="1" t="s">
        <v>188</v>
      </c>
    </row>
    <row r="782" spans="1:8" x14ac:dyDescent="0.3">
      <c r="A782">
        <v>2015</v>
      </c>
      <c r="B782" t="s">
        <v>31</v>
      </c>
      <c r="C782" t="s">
        <v>82</v>
      </c>
      <c r="D782" s="1" t="s">
        <v>11</v>
      </c>
      <c r="E782">
        <v>100.5</v>
      </c>
      <c r="F782">
        <v>99</v>
      </c>
      <c r="G782">
        <v>96.1</v>
      </c>
      <c r="H782" s="1" t="s">
        <v>188</v>
      </c>
    </row>
    <row r="783" spans="1:8" x14ac:dyDescent="0.3">
      <c r="A783">
        <v>2015</v>
      </c>
      <c r="B783" t="s">
        <v>31</v>
      </c>
      <c r="C783" t="s">
        <v>82</v>
      </c>
      <c r="D783" s="1" t="s">
        <v>24</v>
      </c>
      <c r="E783">
        <v>111</v>
      </c>
      <c r="F783">
        <v>109.4</v>
      </c>
      <c r="G783">
        <v>107.9</v>
      </c>
      <c r="H783" s="1" t="s">
        <v>191</v>
      </c>
    </row>
    <row r="784" spans="1:8" x14ac:dyDescent="0.3">
      <c r="A784">
        <v>2015</v>
      </c>
      <c r="B784" t="s">
        <v>31</v>
      </c>
      <c r="C784" t="s">
        <v>82</v>
      </c>
      <c r="D784" s="1" t="s">
        <v>9</v>
      </c>
      <c r="E784">
        <v>132.30000000000001</v>
      </c>
      <c r="F784">
        <v>133</v>
      </c>
      <c r="G784">
        <v>134.4</v>
      </c>
      <c r="H784" s="1" t="s">
        <v>188</v>
      </c>
    </row>
    <row r="785" spans="1:8" x14ac:dyDescent="0.3">
      <c r="A785">
        <v>2015</v>
      </c>
      <c r="B785" t="s">
        <v>40</v>
      </c>
      <c r="C785" t="s">
        <v>83</v>
      </c>
      <c r="D785" s="1" t="s">
        <v>3</v>
      </c>
      <c r="E785">
        <v>124</v>
      </c>
      <c r="F785">
        <v>123.7</v>
      </c>
      <c r="G785">
        <v>123.2</v>
      </c>
      <c r="H785" s="1" t="s">
        <v>188</v>
      </c>
    </row>
    <row r="786" spans="1:8" x14ac:dyDescent="0.3">
      <c r="A786">
        <v>2015</v>
      </c>
      <c r="B786" t="s">
        <v>40</v>
      </c>
      <c r="C786" t="s">
        <v>83</v>
      </c>
      <c r="D786" s="1" t="s">
        <v>17</v>
      </c>
      <c r="E786">
        <v>128.80000000000001</v>
      </c>
      <c r="F786">
        <v>126.7</v>
      </c>
      <c r="G786">
        <v>123.5</v>
      </c>
      <c r="H786" s="1" t="s">
        <v>189</v>
      </c>
    </row>
    <row r="787" spans="1:8" x14ac:dyDescent="0.3">
      <c r="A787">
        <v>2015</v>
      </c>
      <c r="B787" t="s">
        <v>40</v>
      </c>
      <c r="C787" t="s">
        <v>83</v>
      </c>
      <c r="D787" s="1" t="s">
        <v>19</v>
      </c>
      <c r="E787">
        <v>128.30000000000001</v>
      </c>
      <c r="F787">
        <v>126.1</v>
      </c>
      <c r="G787">
        <v>122.7</v>
      </c>
      <c r="H787" s="1" t="s">
        <v>189</v>
      </c>
    </row>
    <row r="788" spans="1:8" x14ac:dyDescent="0.3">
      <c r="A788">
        <v>2015</v>
      </c>
      <c r="B788" t="s">
        <v>40</v>
      </c>
      <c r="C788" t="s">
        <v>83</v>
      </c>
      <c r="D788" s="1" t="s">
        <v>26</v>
      </c>
      <c r="E788">
        <v>122.9</v>
      </c>
      <c r="F788">
        <v>124.4</v>
      </c>
      <c r="G788">
        <v>125.4</v>
      </c>
      <c r="H788" s="1" t="s">
        <v>26</v>
      </c>
    </row>
    <row r="789" spans="1:8" x14ac:dyDescent="0.3">
      <c r="A789">
        <v>2015</v>
      </c>
      <c r="B789" t="s">
        <v>40</v>
      </c>
      <c r="C789" t="s">
        <v>83</v>
      </c>
      <c r="D789" s="1" t="s">
        <v>5</v>
      </c>
      <c r="E789">
        <v>122</v>
      </c>
      <c r="F789">
        <v>121</v>
      </c>
      <c r="G789">
        <v>119.5</v>
      </c>
      <c r="H789" s="1" t="s">
        <v>188</v>
      </c>
    </row>
    <row r="790" spans="1:8" x14ac:dyDescent="0.3">
      <c r="A790">
        <v>2015</v>
      </c>
      <c r="B790" t="s">
        <v>40</v>
      </c>
      <c r="C790" t="s">
        <v>83</v>
      </c>
      <c r="D790" s="1" t="s">
        <v>15</v>
      </c>
      <c r="E790">
        <v>127.5</v>
      </c>
      <c r="F790">
        <v>128.19999999999999</v>
      </c>
      <c r="G790">
        <v>129.5</v>
      </c>
      <c r="H790" s="1" t="s">
        <v>188</v>
      </c>
    </row>
    <row r="791" spans="1:8" x14ac:dyDescent="0.3">
      <c r="A791">
        <v>2015</v>
      </c>
      <c r="B791" t="s">
        <v>40</v>
      </c>
      <c r="C791" t="s">
        <v>83</v>
      </c>
      <c r="D791" s="1" t="s">
        <v>18</v>
      </c>
      <c r="E791">
        <v>125.5</v>
      </c>
      <c r="F791">
        <v>122.3</v>
      </c>
      <c r="G791">
        <v>117.9</v>
      </c>
      <c r="H791" s="1" t="s">
        <v>189</v>
      </c>
    </row>
    <row r="792" spans="1:8" x14ac:dyDescent="0.3">
      <c r="A792">
        <v>2015</v>
      </c>
      <c r="B792" t="s">
        <v>40</v>
      </c>
      <c r="C792" t="s">
        <v>83</v>
      </c>
      <c r="D792" s="1" t="s">
        <v>8</v>
      </c>
      <c r="E792">
        <v>133.30000000000001</v>
      </c>
      <c r="F792">
        <v>133.1</v>
      </c>
      <c r="G792">
        <v>132.80000000000001</v>
      </c>
      <c r="H792" s="1" t="s">
        <v>188</v>
      </c>
    </row>
    <row r="793" spans="1:8" x14ac:dyDescent="0.3">
      <c r="A793">
        <v>2015</v>
      </c>
      <c r="B793" t="s">
        <v>40</v>
      </c>
      <c r="C793" t="s">
        <v>83</v>
      </c>
      <c r="D793" s="1" t="s">
        <v>21</v>
      </c>
      <c r="E793">
        <v>123</v>
      </c>
      <c r="F793">
        <v>120.1</v>
      </c>
      <c r="G793">
        <v>115.3</v>
      </c>
      <c r="H793" s="1" t="s">
        <v>190</v>
      </c>
    </row>
    <row r="794" spans="1:8" x14ac:dyDescent="0.3">
      <c r="A794">
        <v>2015</v>
      </c>
      <c r="B794" t="s">
        <v>40</v>
      </c>
      <c r="C794" t="s">
        <v>83</v>
      </c>
      <c r="D794" s="1" t="s">
        <v>29</v>
      </c>
      <c r="E794">
        <v>124.7</v>
      </c>
      <c r="F794">
        <v>123.6</v>
      </c>
      <c r="G794">
        <v>122.4</v>
      </c>
      <c r="H794" s="1" t="s">
        <v>206</v>
      </c>
    </row>
    <row r="795" spans="1:8" x14ac:dyDescent="0.3">
      <c r="A795">
        <v>2015</v>
      </c>
      <c r="B795" t="s">
        <v>40</v>
      </c>
      <c r="C795" t="s">
        <v>83</v>
      </c>
      <c r="D795" s="1" t="s">
        <v>23</v>
      </c>
      <c r="E795">
        <v>120.8</v>
      </c>
      <c r="F795">
        <v>119</v>
      </c>
      <c r="G795">
        <v>116</v>
      </c>
      <c r="H795" s="1" t="s">
        <v>23</v>
      </c>
    </row>
    <row r="796" spans="1:8" x14ac:dyDescent="0.3">
      <c r="A796">
        <v>2015</v>
      </c>
      <c r="B796" t="s">
        <v>40</v>
      </c>
      <c r="C796" t="s">
        <v>83</v>
      </c>
      <c r="D796" s="1" t="s">
        <v>22</v>
      </c>
      <c r="E796">
        <v>123</v>
      </c>
      <c r="F796">
        <v>121.3</v>
      </c>
      <c r="G796">
        <v>119.5</v>
      </c>
      <c r="H796" s="1" t="s">
        <v>20</v>
      </c>
    </row>
    <row r="797" spans="1:8" x14ac:dyDescent="0.3">
      <c r="A797">
        <v>2015</v>
      </c>
      <c r="B797" t="s">
        <v>40</v>
      </c>
      <c r="C797" t="s">
        <v>83</v>
      </c>
      <c r="D797" s="1" t="s">
        <v>20</v>
      </c>
      <c r="E797">
        <v>0</v>
      </c>
      <c r="F797">
        <v>119.9</v>
      </c>
      <c r="G797">
        <v>119.9</v>
      </c>
      <c r="H797" s="1" t="s">
        <v>20</v>
      </c>
    </row>
    <row r="798" spans="1:8" x14ac:dyDescent="0.3">
      <c r="A798">
        <v>2015</v>
      </c>
      <c r="B798" t="s">
        <v>40</v>
      </c>
      <c r="C798" t="s">
        <v>83</v>
      </c>
      <c r="D798" s="1" t="s">
        <v>4</v>
      </c>
      <c r="E798">
        <v>131.5</v>
      </c>
      <c r="F798">
        <v>132.5</v>
      </c>
      <c r="G798">
        <v>134.30000000000001</v>
      </c>
      <c r="H798" s="1" t="s">
        <v>188</v>
      </c>
    </row>
    <row r="799" spans="1:8" x14ac:dyDescent="0.3">
      <c r="A799">
        <v>2015</v>
      </c>
      <c r="B799" t="s">
        <v>40</v>
      </c>
      <c r="C799" t="s">
        <v>83</v>
      </c>
      <c r="D799" s="1" t="s">
        <v>6</v>
      </c>
      <c r="E799">
        <v>128.69999999999999</v>
      </c>
      <c r="F799">
        <v>128.30000000000001</v>
      </c>
      <c r="G799">
        <v>127.7</v>
      </c>
      <c r="H799" s="1" t="s">
        <v>188</v>
      </c>
    </row>
    <row r="800" spans="1:8" x14ac:dyDescent="0.3">
      <c r="A800">
        <v>2015</v>
      </c>
      <c r="B800" t="s">
        <v>40</v>
      </c>
      <c r="C800" t="s">
        <v>83</v>
      </c>
      <c r="D800" s="1" t="s">
        <v>28</v>
      </c>
      <c r="E800">
        <v>118.1</v>
      </c>
      <c r="F800">
        <v>117.2</v>
      </c>
      <c r="G800">
        <v>116.3</v>
      </c>
      <c r="H800" s="1" t="s">
        <v>192</v>
      </c>
    </row>
    <row r="801" spans="1:8" x14ac:dyDescent="0.3">
      <c r="A801">
        <v>2015</v>
      </c>
      <c r="B801" t="s">
        <v>40</v>
      </c>
      <c r="C801" t="s">
        <v>83</v>
      </c>
      <c r="D801" s="1" t="s">
        <v>13</v>
      </c>
      <c r="E801">
        <v>121</v>
      </c>
      <c r="F801">
        <v>119.9</v>
      </c>
      <c r="G801">
        <v>118.3</v>
      </c>
      <c r="H801" s="1" t="s">
        <v>188</v>
      </c>
    </row>
    <row r="802" spans="1:8" x14ac:dyDescent="0.3">
      <c r="A802">
        <v>2015</v>
      </c>
      <c r="B802" t="s">
        <v>40</v>
      </c>
      <c r="C802" t="s">
        <v>83</v>
      </c>
      <c r="D802" s="1" t="s">
        <v>7</v>
      </c>
      <c r="E802">
        <v>113.5</v>
      </c>
      <c r="F802">
        <v>110.9</v>
      </c>
      <c r="G802">
        <v>106.3</v>
      </c>
      <c r="H802" s="1" t="s">
        <v>188</v>
      </c>
    </row>
    <row r="803" spans="1:8" x14ac:dyDescent="0.3">
      <c r="A803">
        <v>2015</v>
      </c>
      <c r="B803" t="s">
        <v>40</v>
      </c>
      <c r="C803" t="s">
        <v>83</v>
      </c>
      <c r="D803" s="1" t="s">
        <v>16</v>
      </c>
      <c r="E803">
        <v>129.4</v>
      </c>
      <c r="F803">
        <v>130.4</v>
      </c>
      <c r="G803">
        <v>133.1</v>
      </c>
      <c r="H803" s="1" t="s">
        <v>192</v>
      </c>
    </row>
    <row r="804" spans="1:8" x14ac:dyDescent="0.3">
      <c r="A804">
        <v>2015</v>
      </c>
      <c r="B804" t="s">
        <v>40</v>
      </c>
      <c r="C804" t="s">
        <v>83</v>
      </c>
      <c r="D804" s="1" t="s">
        <v>27</v>
      </c>
      <c r="E804">
        <v>112.7</v>
      </c>
      <c r="F804">
        <v>112.3</v>
      </c>
      <c r="G804">
        <v>111.7</v>
      </c>
      <c r="H804" s="1" t="s">
        <v>192</v>
      </c>
    </row>
    <row r="805" spans="1:8" x14ac:dyDescent="0.3">
      <c r="A805">
        <v>2015</v>
      </c>
      <c r="B805" t="s">
        <v>40</v>
      </c>
      <c r="C805" t="s">
        <v>83</v>
      </c>
      <c r="D805" s="1" t="s">
        <v>14</v>
      </c>
      <c r="E805">
        <v>131.69999999999999</v>
      </c>
      <c r="F805">
        <v>131.4</v>
      </c>
      <c r="G805">
        <v>131.1</v>
      </c>
      <c r="H805" s="1" t="s">
        <v>188</v>
      </c>
    </row>
    <row r="806" spans="1:8" x14ac:dyDescent="0.3">
      <c r="A806">
        <v>2015</v>
      </c>
      <c r="B806" t="s">
        <v>40</v>
      </c>
      <c r="C806" t="s">
        <v>83</v>
      </c>
      <c r="D806" s="1" t="s">
        <v>10</v>
      </c>
      <c r="E806">
        <v>133.80000000000001</v>
      </c>
      <c r="F806">
        <v>139.1</v>
      </c>
      <c r="G806">
        <v>149.5</v>
      </c>
      <c r="H806" s="1" t="s">
        <v>188</v>
      </c>
    </row>
    <row r="807" spans="1:8" x14ac:dyDescent="0.3">
      <c r="A807">
        <v>2015</v>
      </c>
      <c r="B807" t="s">
        <v>40</v>
      </c>
      <c r="C807" t="s">
        <v>83</v>
      </c>
      <c r="D807" s="1" t="s">
        <v>25</v>
      </c>
      <c r="E807">
        <v>118</v>
      </c>
      <c r="F807">
        <v>117.2</v>
      </c>
      <c r="G807">
        <v>116.6</v>
      </c>
      <c r="H807" s="1" t="s">
        <v>195</v>
      </c>
    </row>
    <row r="808" spans="1:8" x14ac:dyDescent="0.3">
      <c r="A808">
        <v>2015</v>
      </c>
      <c r="B808" t="s">
        <v>40</v>
      </c>
      <c r="C808" t="s">
        <v>83</v>
      </c>
      <c r="D808" s="1" t="s">
        <v>12</v>
      </c>
      <c r="E808">
        <v>123.4</v>
      </c>
      <c r="F808">
        <v>126.1</v>
      </c>
      <c r="G808">
        <v>131.5</v>
      </c>
      <c r="H808" s="1" t="s">
        <v>188</v>
      </c>
    </row>
    <row r="809" spans="1:8" x14ac:dyDescent="0.3">
      <c r="A809">
        <v>2015</v>
      </c>
      <c r="B809" t="s">
        <v>40</v>
      </c>
      <c r="C809" t="s">
        <v>83</v>
      </c>
      <c r="D809" s="1" t="s">
        <v>11</v>
      </c>
      <c r="E809">
        <v>94.1</v>
      </c>
      <c r="F809">
        <v>91.3</v>
      </c>
      <c r="G809">
        <v>85.7</v>
      </c>
      <c r="H809" s="1" t="s">
        <v>188</v>
      </c>
    </row>
    <row r="810" spans="1:8" x14ac:dyDescent="0.3">
      <c r="A810">
        <v>2015</v>
      </c>
      <c r="B810" t="s">
        <v>40</v>
      </c>
      <c r="C810" t="s">
        <v>83</v>
      </c>
      <c r="D810" s="1" t="s">
        <v>24</v>
      </c>
      <c r="E810">
        <v>114.1</v>
      </c>
      <c r="F810">
        <v>112.7</v>
      </c>
      <c r="G810">
        <v>111.5</v>
      </c>
      <c r="H810" s="1" t="s">
        <v>191</v>
      </c>
    </row>
    <row r="811" spans="1:8" x14ac:dyDescent="0.3">
      <c r="A811">
        <v>2015</v>
      </c>
      <c r="B811" t="s">
        <v>40</v>
      </c>
      <c r="C811" t="s">
        <v>83</v>
      </c>
      <c r="D811" s="1" t="s">
        <v>9</v>
      </c>
      <c r="E811">
        <v>140.80000000000001</v>
      </c>
      <c r="F811">
        <v>145.1</v>
      </c>
      <c r="G811">
        <v>153.5</v>
      </c>
      <c r="H811" s="1" t="s">
        <v>188</v>
      </c>
    </row>
    <row r="812" spans="1:8" x14ac:dyDescent="0.3">
      <c r="A812">
        <v>2015</v>
      </c>
      <c r="B812" t="s">
        <v>39</v>
      </c>
      <c r="C812" t="s">
        <v>84</v>
      </c>
      <c r="D812" s="1" t="s">
        <v>3</v>
      </c>
      <c r="E812">
        <v>124.1</v>
      </c>
      <c r="F812">
        <v>123.9</v>
      </c>
      <c r="G812">
        <v>123.6</v>
      </c>
      <c r="H812" s="1" t="s">
        <v>188</v>
      </c>
    </row>
    <row r="813" spans="1:8" x14ac:dyDescent="0.3">
      <c r="A813">
        <v>2015</v>
      </c>
      <c r="B813" t="s">
        <v>39</v>
      </c>
      <c r="C813" t="s">
        <v>84</v>
      </c>
      <c r="D813" s="1" t="s">
        <v>17</v>
      </c>
      <c r="E813">
        <v>128.4</v>
      </c>
      <c r="F813">
        <v>126.4</v>
      </c>
      <c r="G813">
        <v>123.2</v>
      </c>
      <c r="H813" s="1" t="s">
        <v>189</v>
      </c>
    </row>
    <row r="814" spans="1:8" x14ac:dyDescent="0.3">
      <c r="A814">
        <v>2015</v>
      </c>
      <c r="B814" t="s">
        <v>39</v>
      </c>
      <c r="C814" t="s">
        <v>84</v>
      </c>
      <c r="D814" s="1" t="s">
        <v>19</v>
      </c>
      <c r="E814">
        <v>128</v>
      </c>
      <c r="F814">
        <v>125.7</v>
      </c>
      <c r="G814">
        <v>122.3</v>
      </c>
      <c r="H814" s="1" t="s">
        <v>189</v>
      </c>
    </row>
    <row r="815" spans="1:8" x14ac:dyDescent="0.3">
      <c r="A815">
        <v>2015</v>
      </c>
      <c r="B815" t="s">
        <v>39</v>
      </c>
      <c r="C815" t="s">
        <v>84</v>
      </c>
      <c r="D815" s="1" t="s">
        <v>26</v>
      </c>
      <c r="E815">
        <v>122</v>
      </c>
      <c r="F815">
        <v>123.1</v>
      </c>
      <c r="G815">
        <v>123.8</v>
      </c>
      <c r="H815" s="1" t="s">
        <v>26</v>
      </c>
    </row>
    <row r="816" spans="1:8" x14ac:dyDescent="0.3">
      <c r="A816">
        <v>2015</v>
      </c>
      <c r="B816" t="s">
        <v>39</v>
      </c>
      <c r="C816" t="s">
        <v>84</v>
      </c>
      <c r="D816" s="1" t="s">
        <v>5</v>
      </c>
      <c r="E816">
        <v>122.1</v>
      </c>
      <c r="F816">
        <v>121.6</v>
      </c>
      <c r="G816">
        <v>120.9</v>
      </c>
      <c r="H816" s="1" t="s">
        <v>188</v>
      </c>
    </row>
    <row r="817" spans="1:8" x14ac:dyDescent="0.3">
      <c r="A817">
        <v>2015</v>
      </c>
      <c r="B817" t="s">
        <v>39</v>
      </c>
      <c r="C817" t="s">
        <v>84</v>
      </c>
      <c r="D817" s="1" t="s">
        <v>15</v>
      </c>
      <c r="E817">
        <v>126.6</v>
      </c>
      <c r="F817">
        <v>127.3</v>
      </c>
      <c r="G817">
        <v>128.5</v>
      </c>
      <c r="H817" s="1" t="s">
        <v>188</v>
      </c>
    </row>
    <row r="818" spans="1:8" x14ac:dyDescent="0.3">
      <c r="A818">
        <v>2015</v>
      </c>
      <c r="B818" t="s">
        <v>39</v>
      </c>
      <c r="C818" t="s">
        <v>84</v>
      </c>
      <c r="D818" s="1" t="s">
        <v>18</v>
      </c>
      <c r="E818">
        <v>125.1</v>
      </c>
      <c r="F818">
        <v>122</v>
      </c>
      <c r="G818">
        <v>117.6</v>
      </c>
      <c r="H818" s="1" t="s">
        <v>189</v>
      </c>
    </row>
    <row r="819" spans="1:8" x14ac:dyDescent="0.3">
      <c r="A819">
        <v>2015</v>
      </c>
      <c r="B819" t="s">
        <v>39</v>
      </c>
      <c r="C819" t="s">
        <v>84</v>
      </c>
      <c r="D819" s="1" t="s">
        <v>8</v>
      </c>
      <c r="E819">
        <v>133.19999999999999</v>
      </c>
      <c r="F819">
        <v>132.80000000000001</v>
      </c>
      <c r="G819">
        <v>132.30000000000001</v>
      </c>
      <c r="H819" s="1" t="s">
        <v>188</v>
      </c>
    </row>
    <row r="820" spans="1:8" x14ac:dyDescent="0.3">
      <c r="A820">
        <v>2015</v>
      </c>
      <c r="B820" t="s">
        <v>39</v>
      </c>
      <c r="C820" t="s">
        <v>84</v>
      </c>
      <c r="D820" s="1" t="s">
        <v>21</v>
      </c>
      <c r="E820">
        <v>122.6</v>
      </c>
      <c r="F820">
        <v>119.8</v>
      </c>
      <c r="G820">
        <v>115.1</v>
      </c>
      <c r="H820" s="1" t="s">
        <v>190</v>
      </c>
    </row>
    <row r="821" spans="1:8" x14ac:dyDescent="0.3">
      <c r="A821">
        <v>2015</v>
      </c>
      <c r="B821" t="s">
        <v>39</v>
      </c>
      <c r="C821" t="s">
        <v>84</v>
      </c>
      <c r="D821" s="1" t="s">
        <v>29</v>
      </c>
      <c r="E821">
        <v>124.1</v>
      </c>
      <c r="F821">
        <v>123</v>
      </c>
      <c r="G821">
        <v>121.7</v>
      </c>
      <c r="H821" s="1" t="s">
        <v>206</v>
      </c>
    </row>
    <row r="822" spans="1:8" x14ac:dyDescent="0.3">
      <c r="A822">
        <v>2015</v>
      </c>
      <c r="B822" t="s">
        <v>39</v>
      </c>
      <c r="C822" t="s">
        <v>84</v>
      </c>
      <c r="D822" s="1" t="s">
        <v>23</v>
      </c>
      <c r="E822">
        <v>120.4</v>
      </c>
      <c r="F822">
        <v>118.5</v>
      </c>
      <c r="G822">
        <v>115.4</v>
      </c>
      <c r="H822" s="1" t="s">
        <v>23</v>
      </c>
    </row>
    <row r="823" spans="1:8" x14ac:dyDescent="0.3">
      <c r="A823">
        <v>2015</v>
      </c>
      <c r="B823" t="s">
        <v>39</v>
      </c>
      <c r="C823" t="s">
        <v>84</v>
      </c>
      <c r="D823" s="1" t="s">
        <v>22</v>
      </c>
      <c r="E823">
        <v>122.8</v>
      </c>
      <c r="F823">
        <v>121.1</v>
      </c>
      <c r="G823">
        <v>119.2</v>
      </c>
      <c r="H823" s="1" t="s">
        <v>20</v>
      </c>
    </row>
    <row r="824" spans="1:8" x14ac:dyDescent="0.3">
      <c r="A824">
        <v>2015</v>
      </c>
      <c r="B824" t="s">
        <v>39</v>
      </c>
      <c r="C824" t="s">
        <v>84</v>
      </c>
      <c r="D824" s="1" t="s">
        <v>20</v>
      </c>
      <c r="E824">
        <v>0</v>
      </c>
      <c r="F824">
        <v>119</v>
      </c>
      <c r="G824">
        <v>119</v>
      </c>
      <c r="H824" s="1" t="s">
        <v>20</v>
      </c>
    </row>
    <row r="825" spans="1:8" x14ac:dyDescent="0.3">
      <c r="A825">
        <v>2015</v>
      </c>
      <c r="B825" t="s">
        <v>39</v>
      </c>
      <c r="C825" t="s">
        <v>84</v>
      </c>
      <c r="D825" s="1" t="s">
        <v>4</v>
      </c>
      <c r="E825">
        <v>130.4</v>
      </c>
      <c r="F825">
        <v>131.80000000000001</v>
      </c>
      <c r="G825">
        <v>134.4</v>
      </c>
      <c r="H825" s="1" t="s">
        <v>188</v>
      </c>
    </row>
    <row r="826" spans="1:8" x14ac:dyDescent="0.3">
      <c r="A826">
        <v>2015</v>
      </c>
      <c r="B826" t="s">
        <v>39</v>
      </c>
      <c r="C826" t="s">
        <v>84</v>
      </c>
      <c r="D826" s="1" t="s">
        <v>6</v>
      </c>
      <c r="E826">
        <v>128.69999999999999</v>
      </c>
      <c r="F826">
        <v>128.19999999999999</v>
      </c>
      <c r="G826">
        <v>127.3</v>
      </c>
      <c r="H826" s="1" t="s">
        <v>188</v>
      </c>
    </row>
    <row r="827" spans="1:8" x14ac:dyDescent="0.3">
      <c r="A827">
        <v>2015</v>
      </c>
      <c r="B827" t="s">
        <v>39</v>
      </c>
      <c r="C827" t="s">
        <v>84</v>
      </c>
      <c r="D827" s="1" t="s">
        <v>28</v>
      </c>
      <c r="E827">
        <v>117.9</v>
      </c>
      <c r="F827">
        <v>117</v>
      </c>
      <c r="G827">
        <v>116</v>
      </c>
      <c r="H827" s="1" t="s">
        <v>192</v>
      </c>
    </row>
    <row r="828" spans="1:8" x14ac:dyDescent="0.3">
      <c r="A828">
        <v>2015</v>
      </c>
      <c r="B828" t="s">
        <v>39</v>
      </c>
      <c r="C828" t="s">
        <v>84</v>
      </c>
      <c r="D828" s="1" t="s">
        <v>13</v>
      </c>
      <c r="E828">
        <v>121.1</v>
      </c>
      <c r="F828">
        <v>119.8</v>
      </c>
      <c r="G828">
        <v>118</v>
      </c>
      <c r="H828" s="1" t="s">
        <v>188</v>
      </c>
    </row>
    <row r="829" spans="1:8" x14ac:dyDescent="0.3">
      <c r="A829">
        <v>2015</v>
      </c>
      <c r="B829" t="s">
        <v>39</v>
      </c>
      <c r="C829" t="s">
        <v>84</v>
      </c>
      <c r="D829" s="1" t="s">
        <v>7</v>
      </c>
      <c r="E829">
        <v>114.1</v>
      </c>
      <c r="F829">
        <v>111.1</v>
      </c>
      <c r="G829">
        <v>106</v>
      </c>
      <c r="H829" s="1" t="s">
        <v>188</v>
      </c>
    </row>
    <row r="830" spans="1:8" x14ac:dyDescent="0.3">
      <c r="A830">
        <v>2015</v>
      </c>
      <c r="B830" t="s">
        <v>39</v>
      </c>
      <c r="C830" t="s">
        <v>84</v>
      </c>
      <c r="D830" s="1" t="s">
        <v>16</v>
      </c>
      <c r="E830">
        <v>128.19999999999999</v>
      </c>
      <c r="F830">
        <v>129.19999999999999</v>
      </c>
      <c r="G830">
        <v>132.1</v>
      </c>
      <c r="H830" s="1" t="s">
        <v>192</v>
      </c>
    </row>
    <row r="831" spans="1:8" x14ac:dyDescent="0.3">
      <c r="A831">
        <v>2015</v>
      </c>
      <c r="B831" t="s">
        <v>39</v>
      </c>
      <c r="C831" t="s">
        <v>84</v>
      </c>
      <c r="D831" s="1" t="s">
        <v>27</v>
      </c>
      <c r="E831">
        <v>113</v>
      </c>
      <c r="F831">
        <v>112.8</v>
      </c>
      <c r="G831">
        <v>112.5</v>
      </c>
      <c r="H831" s="1" t="s">
        <v>192</v>
      </c>
    </row>
    <row r="832" spans="1:8" x14ac:dyDescent="0.3">
      <c r="A832">
        <v>2015</v>
      </c>
      <c r="B832" t="s">
        <v>39</v>
      </c>
      <c r="C832" t="s">
        <v>84</v>
      </c>
      <c r="D832" s="1" t="s">
        <v>14</v>
      </c>
      <c r="E832">
        <v>131.19999999999999</v>
      </c>
      <c r="F832">
        <v>130.9</v>
      </c>
      <c r="G832">
        <v>130.5</v>
      </c>
      <c r="H832" s="1" t="s">
        <v>188</v>
      </c>
    </row>
    <row r="833" spans="1:8" x14ac:dyDescent="0.3">
      <c r="A833">
        <v>2015</v>
      </c>
      <c r="B833" t="s">
        <v>39</v>
      </c>
      <c r="C833" t="s">
        <v>84</v>
      </c>
      <c r="D833" s="1" t="s">
        <v>10</v>
      </c>
      <c r="E833">
        <v>131.9</v>
      </c>
      <c r="F833">
        <v>137.4</v>
      </c>
      <c r="G833">
        <v>148.1</v>
      </c>
      <c r="H833" s="1" t="s">
        <v>188</v>
      </c>
    </row>
    <row r="834" spans="1:8" x14ac:dyDescent="0.3">
      <c r="A834">
        <v>2015</v>
      </c>
      <c r="B834" t="s">
        <v>39</v>
      </c>
      <c r="C834" t="s">
        <v>84</v>
      </c>
      <c r="D834" s="1" t="s">
        <v>25</v>
      </c>
      <c r="E834">
        <v>117.9</v>
      </c>
      <c r="F834">
        <v>116.9</v>
      </c>
      <c r="G834">
        <v>116.2</v>
      </c>
      <c r="H834" s="1" t="s">
        <v>195</v>
      </c>
    </row>
    <row r="835" spans="1:8" x14ac:dyDescent="0.3">
      <c r="A835">
        <v>2015</v>
      </c>
      <c r="B835" t="s">
        <v>39</v>
      </c>
      <c r="C835" t="s">
        <v>84</v>
      </c>
      <c r="D835" s="1" t="s">
        <v>12</v>
      </c>
      <c r="E835">
        <v>123</v>
      </c>
      <c r="F835">
        <v>125.5</v>
      </c>
      <c r="G835">
        <v>130.5</v>
      </c>
      <c r="H835" s="1" t="s">
        <v>188</v>
      </c>
    </row>
    <row r="836" spans="1:8" x14ac:dyDescent="0.3">
      <c r="A836">
        <v>2015</v>
      </c>
      <c r="B836" t="s">
        <v>39</v>
      </c>
      <c r="C836" t="s">
        <v>84</v>
      </c>
      <c r="D836" s="1" t="s">
        <v>11</v>
      </c>
      <c r="E836">
        <v>96.3</v>
      </c>
      <c r="F836">
        <v>94.1</v>
      </c>
      <c r="G836">
        <v>89.8</v>
      </c>
      <c r="H836" s="1" t="s">
        <v>188</v>
      </c>
    </row>
    <row r="837" spans="1:8" x14ac:dyDescent="0.3">
      <c r="A837">
        <v>2015</v>
      </c>
      <c r="B837" t="s">
        <v>39</v>
      </c>
      <c r="C837" t="s">
        <v>84</v>
      </c>
      <c r="D837" s="1" t="s">
        <v>24</v>
      </c>
      <c r="E837">
        <v>114.2</v>
      </c>
      <c r="F837">
        <v>112.9</v>
      </c>
      <c r="G837">
        <v>111.7</v>
      </c>
      <c r="H837" s="1" t="s">
        <v>191</v>
      </c>
    </row>
    <row r="838" spans="1:8" x14ac:dyDescent="0.3">
      <c r="A838">
        <v>2015</v>
      </c>
      <c r="B838" t="s">
        <v>39</v>
      </c>
      <c r="C838" t="s">
        <v>84</v>
      </c>
      <c r="D838" s="1" t="s">
        <v>9</v>
      </c>
      <c r="E838">
        <v>135.19999999999999</v>
      </c>
      <c r="F838">
        <v>139.1</v>
      </c>
      <c r="G838">
        <v>146.69999999999999</v>
      </c>
      <c r="H838" s="1" t="s">
        <v>188</v>
      </c>
    </row>
    <row r="839" spans="1:8" x14ac:dyDescent="0.3">
      <c r="A839">
        <v>2015</v>
      </c>
      <c r="B839" t="s">
        <v>36</v>
      </c>
      <c r="C839" t="s">
        <v>85</v>
      </c>
      <c r="D839" s="1" t="s">
        <v>3</v>
      </c>
      <c r="E839">
        <v>123.3</v>
      </c>
      <c r="F839">
        <v>123.5</v>
      </c>
      <c r="G839">
        <v>124</v>
      </c>
      <c r="H839" s="1" t="s">
        <v>188</v>
      </c>
    </row>
    <row r="840" spans="1:8" x14ac:dyDescent="0.3">
      <c r="A840">
        <v>2015</v>
      </c>
      <c r="B840" t="s">
        <v>36</v>
      </c>
      <c r="C840" t="s">
        <v>85</v>
      </c>
      <c r="D840" s="1" t="s">
        <v>17</v>
      </c>
      <c r="E840">
        <v>126</v>
      </c>
      <c r="F840">
        <v>124.3</v>
      </c>
      <c r="G840">
        <v>121.7</v>
      </c>
      <c r="H840" s="1" t="s">
        <v>189</v>
      </c>
    </row>
    <row r="841" spans="1:8" x14ac:dyDescent="0.3">
      <c r="A841">
        <v>2015</v>
      </c>
      <c r="B841" t="s">
        <v>36</v>
      </c>
      <c r="C841" t="s">
        <v>85</v>
      </c>
      <c r="D841" s="1" t="s">
        <v>19</v>
      </c>
      <c r="E841">
        <v>125.5</v>
      </c>
      <c r="F841">
        <v>123.7</v>
      </c>
      <c r="G841">
        <v>120.9</v>
      </c>
      <c r="H841" s="1" t="s">
        <v>189</v>
      </c>
    </row>
    <row r="842" spans="1:8" x14ac:dyDescent="0.3">
      <c r="A842">
        <v>2015</v>
      </c>
      <c r="B842" t="s">
        <v>36</v>
      </c>
      <c r="C842" t="s">
        <v>85</v>
      </c>
      <c r="D842" s="1" t="s">
        <v>26</v>
      </c>
      <c r="E842">
        <v>119.4</v>
      </c>
      <c r="F842">
        <v>120.1</v>
      </c>
      <c r="G842">
        <v>120.6</v>
      </c>
      <c r="H842" s="1" t="s">
        <v>26</v>
      </c>
    </row>
    <row r="843" spans="1:8" x14ac:dyDescent="0.3">
      <c r="A843">
        <v>2015</v>
      </c>
      <c r="B843" t="s">
        <v>36</v>
      </c>
      <c r="C843" t="s">
        <v>85</v>
      </c>
      <c r="D843" s="1" t="s">
        <v>5</v>
      </c>
      <c r="E843">
        <v>118.9</v>
      </c>
      <c r="F843">
        <v>116.8</v>
      </c>
      <c r="G843">
        <v>113.5</v>
      </c>
      <c r="H843" s="1" t="s">
        <v>188</v>
      </c>
    </row>
    <row r="844" spans="1:8" x14ac:dyDescent="0.3">
      <c r="A844">
        <v>2015</v>
      </c>
      <c r="B844" t="s">
        <v>36</v>
      </c>
      <c r="C844" t="s">
        <v>85</v>
      </c>
      <c r="D844" s="1" t="s">
        <v>15</v>
      </c>
      <c r="E844">
        <v>123.1</v>
      </c>
      <c r="F844">
        <v>123.4</v>
      </c>
      <c r="G844">
        <v>123.9</v>
      </c>
      <c r="H844" s="1" t="s">
        <v>188</v>
      </c>
    </row>
    <row r="845" spans="1:8" x14ac:dyDescent="0.3">
      <c r="A845">
        <v>2015</v>
      </c>
      <c r="B845" t="s">
        <v>36</v>
      </c>
      <c r="C845" t="s">
        <v>85</v>
      </c>
      <c r="D845" s="1" t="s">
        <v>18</v>
      </c>
      <c r="E845">
        <v>122.9</v>
      </c>
      <c r="F845">
        <v>120.4</v>
      </c>
      <c r="G845">
        <v>116.9</v>
      </c>
      <c r="H845" s="1" t="s">
        <v>189</v>
      </c>
    </row>
    <row r="846" spans="1:8" x14ac:dyDescent="0.3">
      <c r="A846">
        <v>2015</v>
      </c>
      <c r="B846" t="s">
        <v>36</v>
      </c>
      <c r="C846" t="s">
        <v>85</v>
      </c>
      <c r="D846" s="1" t="s">
        <v>8</v>
      </c>
      <c r="E846">
        <v>130.9</v>
      </c>
      <c r="F846">
        <v>127.6</v>
      </c>
      <c r="G846">
        <v>123.8</v>
      </c>
      <c r="H846" s="1" t="s">
        <v>188</v>
      </c>
    </row>
    <row r="847" spans="1:8" x14ac:dyDescent="0.3">
      <c r="A847">
        <v>2015</v>
      </c>
      <c r="B847" t="s">
        <v>36</v>
      </c>
      <c r="C847" t="s">
        <v>85</v>
      </c>
      <c r="D847" s="1" t="s">
        <v>21</v>
      </c>
      <c r="E847">
        <v>120.6</v>
      </c>
      <c r="F847">
        <v>118.3</v>
      </c>
      <c r="G847">
        <v>114.4</v>
      </c>
      <c r="H847" s="1" t="s">
        <v>190</v>
      </c>
    </row>
    <row r="848" spans="1:8" x14ac:dyDescent="0.3">
      <c r="A848">
        <v>2015</v>
      </c>
      <c r="B848" t="s">
        <v>36</v>
      </c>
      <c r="C848" t="s">
        <v>85</v>
      </c>
      <c r="D848" s="1" t="s">
        <v>29</v>
      </c>
      <c r="E848">
        <v>121.1</v>
      </c>
      <c r="F848">
        <v>120.2</v>
      </c>
      <c r="G848">
        <v>119.1</v>
      </c>
      <c r="H848" s="1" t="s">
        <v>206</v>
      </c>
    </row>
    <row r="849" spans="1:8" x14ac:dyDescent="0.3">
      <c r="A849">
        <v>2015</v>
      </c>
      <c r="B849" t="s">
        <v>36</v>
      </c>
      <c r="C849" t="s">
        <v>85</v>
      </c>
      <c r="D849" s="1" t="s">
        <v>23</v>
      </c>
      <c r="E849">
        <v>118.2</v>
      </c>
      <c r="F849">
        <v>116.7</v>
      </c>
      <c r="G849">
        <v>114.3</v>
      </c>
      <c r="H849" s="1" t="s">
        <v>23</v>
      </c>
    </row>
    <row r="850" spans="1:8" x14ac:dyDescent="0.3">
      <c r="A850">
        <v>2015</v>
      </c>
      <c r="B850" t="s">
        <v>36</v>
      </c>
      <c r="C850" t="s">
        <v>85</v>
      </c>
      <c r="D850" s="1" t="s">
        <v>22</v>
      </c>
      <c r="E850">
        <v>120.2</v>
      </c>
      <c r="F850">
        <v>119.2</v>
      </c>
      <c r="G850">
        <v>118</v>
      </c>
      <c r="H850" s="1" t="s">
        <v>20</v>
      </c>
    </row>
    <row r="851" spans="1:8" x14ac:dyDescent="0.3">
      <c r="A851">
        <v>2015</v>
      </c>
      <c r="B851" t="s">
        <v>36</v>
      </c>
      <c r="C851" t="s">
        <v>85</v>
      </c>
      <c r="D851" s="1" t="s">
        <v>20</v>
      </c>
      <c r="E851">
        <v>0</v>
      </c>
      <c r="F851">
        <v>118.6</v>
      </c>
      <c r="G851">
        <v>118.6</v>
      </c>
      <c r="H851" s="1" t="s">
        <v>20</v>
      </c>
    </row>
    <row r="852" spans="1:8" x14ac:dyDescent="0.3">
      <c r="A852">
        <v>2015</v>
      </c>
      <c r="B852" t="s">
        <v>36</v>
      </c>
      <c r="C852" t="s">
        <v>85</v>
      </c>
      <c r="D852" s="1" t="s">
        <v>4</v>
      </c>
      <c r="E852">
        <v>124.7</v>
      </c>
      <c r="F852">
        <v>125.4</v>
      </c>
      <c r="G852">
        <v>126.7</v>
      </c>
      <c r="H852" s="1" t="s">
        <v>188</v>
      </c>
    </row>
    <row r="853" spans="1:8" x14ac:dyDescent="0.3">
      <c r="A853">
        <v>2015</v>
      </c>
      <c r="B853" t="s">
        <v>36</v>
      </c>
      <c r="C853" t="s">
        <v>85</v>
      </c>
      <c r="D853" s="1" t="s">
        <v>6</v>
      </c>
      <c r="E853">
        <v>126</v>
      </c>
      <c r="F853">
        <v>126</v>
      </c>
      <c r="G853">
        <v>125.9</v>
      </c>
      <c r="H853" s="1" t="s">
        <v>188</v>
      </c>
    </row>
    <row r="854" spans="1:8" x14ac:dyDescent="0.3">
      <c r="A854">
        <v>2015</v>
      </c>
      <c r="B854" t="s">
        <v>36</v>
      </c>
      <c r="C854" t="s">
        <v>85</v>
      </c>
      <c r="D854" s="1" t="s">
        <v>28</v>
      </c>
      <c r="E854">
        <v>115.5</v>
      </c>
      <c r="F854">
        <v>114.7</v>
      </c>
      <c r="G854">
        <v>113.8</v>
      </c>
      <c r="H854" s="1" t="s">
        <v>192</v>
      </c>
    </row>
    <row r="855" spans="1:8" x14ac:dyDescent="0.3">
      <c r="A855">
        <v>2015</v>
      </c>
      <c r="B855" t="s">
        <v>36</v>
      </c>
      <c r="C855" t="s">
        <v>85</v>
      </c>
      <c r="D855" s="1" t="s">
        <v>13</v>
      </c>
      <c r="E855">
        <v>118.9</v>
      </c>
      <c r="F855">
        <v>118.1</v>
      </c>
      <c r="G855">
        <v>117</v>
      </c>
      <c r="H855" s="1" t="s">
        <v>188</v>
      </c>
    </row>
    <row r="856" spans="1:8" x14ac:dyDescent="0.3">
      <c r="A856">
        <v>2015</v>
      </c>
      <c r="B856" t="s">
        <v>36</v>
      </c>
      <c r="C856" t="s">
        <v>85</v>
      </c>
      <c r="D856" s="1" t="s">
        <v>7</v>
      </c>
      <c r="E856">
        <v>111.8</v>
      </c>
      <c r="F856">
        <v>109.2</v>
      </c>
      <c r="G856">
        <v>104.8</v>
      </c>
      <c r="H856" s="1" t="s">
        <v>188</v>
      </c>
    </row>
    <row r="857" spans="1:8" x14ac:dyDescent="0.3">
      <c r="A857">
        <v>2015</v>
      </c>
      <c r="B857" t="s">
        <v>36</v>
      </c>
      <c r="C857" t="s">
        <v>85</v>
      </c>
      <c r="D857" s="1" t="s">
        <v>16</v>
      </c>
      <c r="E857">
        <v>124.7</v>
      </c>
      <c r="F857">
        <v>125.8</v>
      </c>
      <c r="G857">
        <v>128.80000000000001</v>
      </c>
      <c r="H857" s="1" t="s">
        <v>192</v>
      </c>
    </row>
    <row r="858" spans="1:8" x14ac:dyDescent="0.3">
      <c r="A858">
        <v>2015</v>
      </c>
      <c r="B858" t="s">
        <v>36</v>
      </c>
      <c r="C858" t="s">
        <v>85</v>
      </c>
      <c r="D858" s="1" t="s">
        <v>27</v>
      </c>
      <c r="E858">
        <v>110.8</v>
      </c>
      <c r="F858">
        <v>111</v>
      </c>
      <c r="G858">
        <v>111.3</v>
      </c>
      <c r="H858" s="1" t="s">
        <v>192</v>
      </c>
    </row>
    <row r="859" spans="1:8" x14ac:dyDescent="0.3">
      <c r="A859">
        <v>2015</v>
      </c>
      <c r="B859" t="s">
        <v>36</v>
      </c>
      <c r="C859" t="s">
        <v>85</v>
      </c>
      <c r="D859" s="1" t="s">
        <v>14</v>
      </c>
      <c r="E859">
        <v>127.7</v>
      </c>
      <c r="F859">
        <v>128.4</v>
      </c>
      <c r="G859">
        <v>129.19999999999999</v>
      </c>
      <c r="H859" s="1" t="s">
        <v>188</v>
      </c>
    </row>
    <row r="860" spans="1:8" x14ac:dyDescent="0.3">
      <c r="A860">
        <v>2015</v>
      </c>
      <c r="B860" t="s">
        <v>36</v>
      </c>
      <c r="C860" t="s">
        <v>85</v>
      </c>
      <c r="D860" s="1" t="s">
        <v>10</v>
      </c>
      <c r="E860">
        <v>119.9</v>
      </c>
      <c r="F860">
        <v>122.4</v>
      </c>
      <c r="G860">
        <v>127.2</v>
      </c>
      <c r="H860" s="1" t="s">
        <v>188</v>
      </c>
    </row>
    <row r="861" spans="1:8" x14ac:dyDescent="0.3">
      <c r="A861">
        <v>2015</v>
      </c>
      <c r="B861" t="s">
        <v>36</v>
      </c>
      <c r="C861" t="s">
        <v>85</v>
      </c>
      <c r="D861" s="1" t="s">
        <v>25</v>
      </c>
      <c r="E861">
        <v>115.5</v>
      </c>
      <c r="F861">
        <v>115.4</v>
      </c>
      <c r="G861">
        <v>115.4</v>
      </c>
      <c r="H861" s="1" t="s">
        <v>195</v>
      </c>
    </row>
    <row r="862" spans="1:8" x14ac:dyDescent="0.3">
      <c r="A862">
        <v>2015</v>
      </c>
      <c r="B862" t="s">
        <v>36</v>
      </c>
      <c r="C862" t="s">
        <v>85</v>
      </c>
      <c r="D862" s="1" t="s">
        <v>12</v>
      </c>
      <c r="E862">
        <v>119.4</v>
      </c>
      <c r="F862">
        <v>122.1</v>
      </c>
      <c r="G862">
        <v>127.4</v>
      </c>
      <c r="H862" s="1" t="s">
        <v>188</v>
      </c>
    </row>
    <row r="863" spans="1:8" x14ac:dyDescent="0.3">
      <c r="A863">
        <v>2015</v>
      </c>
      <c r="B863" t="s">
        <v>36</v>
      </c>
      <c r="C863" t="s">
        <v>85</v>
      </c>
      <c r="D863" s="1" t="s">
        <v>11</v>
      </c>
      <c r="E863">
        <v>98.9</v>
      </c>
      <c r="F863">
        <v>97</v>
      </c>
      <c r="G863">
        <v>93.2</v>
      </c>
      <c r="H863" s="1" t="s">
        <v>188</v>
      </c>
    </row>
    <row r="864" spans="1:8" x14ac:dyDescent="0.3">
      <c r="A864">
        <v>2015</v>
      </c>
      <c r="B864" t="s">
        <v>36</v>
      </c>
      <c r="C864" t="s">
        <v>85</v>
      </c>
      <c r="D864" s="1" t="s">
        <v>24</v>
      </c>
      <c r="E864">
        <v>111.6</v>
      </c>
      <c r="F864">
        <v>109.9</v>
      </c>
      <c r="G864">
        <v>108.4</v>
      </c>
      <c r="H864" s="1" t="s">
        <v>191</v>
      </c>
    </row>
    <row r="865" spans="1:8" x14ac:dyDescent="0.3">
      <c r="A865">
        <v>2015</v>
      </c>
      <c r="B865" t="s">
        <v>36</v>
      </c>
      <c r="C865" t="s">
        <v>85</v>
      </c>
      <c r="D865" s="1" t="s">
        <v>9</v>
      </c>
      <c r="E865">
        <v>128</v>
      </c>
      <c r="F865">
        <v>129.19999999999999</v>
      </c>
      <c r="G865">
        <v>131.4</v>
      </c>
      <c r="H865" s="1" t="s">
        <v>188</v>
      </c>
    </row>
    <row r="866" spans="1:8" x14ac:dyDescent="0.3">
      <c r="A866">
        <v>2015</v>
      </c>
      <c r="B866" t="s">
        <v>38</v>
      </c>
      <c r="C866" t="s">
        <v>86</v>
      </c>
      <c r="D866" s="1" t="s">
        <v>3</v>
      </c>
      <c r="E866">
        <v>123.5</v>
      </c>
      <c r="F866">
        <v>123.6</v>
      </c>
      <c r="G866">
        <v>123.8</v>
      </c>
      <c r="H866" s="1" t="s">
        <v>188</v>
      </c>
    </row>
    <row r="867" spans="1:8" x14ac:dyDescent="0.3">
      <c r="A867">
        <v>2015</v>
      </c>
      <c r="B867" t="s">
        <v>38</v>
      </c>
      <c r="C867" t="s">
        <v>86</v>
      </c>
      <c r="D867" s="1" t="s">
        <v>17</v>
      </c>
      <c r="E867">
        <v>127.3</v>
      </c>
      <c r="F867">
        <v>125.4</v>
      </c>
      <c r="G867">
        <v>122.4</v>
      </c>
      <c r="H867" s="1" t="s">
        <v>189</v>
      </c>
    </row>
    <row r="868" spans="1:8" x14ac:dyDescent="0.3">
      <c r="A868">
        <v>2015</v>
      </c>
      <c r="B868" t="s">
        <v>38</v>
      </c>
      <c r="C868" t="s">
        <v>86</v>
      </c>
      <c r="D868" s="1" t="s">
        <v>19</v>
      </c>
      <c r="E868">
        <v>126.8</v>
      </c>
      <c r="F868">
        <v>124.7</v>
      </c>
      <c r="G868">
        <v>121.6</v>
      </c>
      <c r="H868" s="1" t="s">
        <v>189</v>
      </c>
    </row>
    <row r="869" spans="1:8" x14ac:dyDescent="0.3">
      <c r="A869">
        <v>2015</v>
      </c>
      <c r="B869" t="s">
        <v>38</v>
      </c>
      <c r="C869" t="s">
        <v>86</v>
      </c>
      <c r="D869" s="1" t="s">
        <v>26</v>
      </c>
      <c r="E869">
        <v>120.5</v>
      </c>
      <c r="F869">
        <v>121.4</v>
      </c>
      <c r="G869">
        <v>122</v>
      </c>
      <c r="H869" s="1" t="s">
        <v>26</v>
      </c>
    </row>
    <row r="870" spans="1:8" x14ac:dyDescent="0.3">
      <c r="A870">
        <v>2015</v>
      </c>
      <c r="B870" t="s">
        <v>38</v>
      </c>
      <c r="C870" t="s">
        <v>86</v>
      </c>
      <c r="D870" s="1" t="s">
        <v>5</v>
      </c>
      <c r="E870">
        <v>117.3</v>
      </c>
      <c r="F870">
        <v>115</v>
      </c>
      <c r="G870">
        <v>111.3</v>
      </c>
      <c r="H870" s="1" t="s">
        <v>188</v>
      </c>
    </row>
    <row r="871" spans="1:8" x14ac:dyDescent="0.3">
      <c r="A871">
        <v>2015</v>
      </c>
      <c r="B871" t="s">
        <v>38</v>
      </c>
      <c r="C871" t="s">
        <v>86</v>
      </c>
      <c r="D871" s="1" t="s">
        <v>15</v>
      </c>
      <c r="E871">
        <v>124.4</v>
      </c>
      <c r="F871">
        <v>125</v>
      </c>
      <c r="G871">
        <v>126.1</v>
      </c>
      <c r="H871" s="1" t="s">
        <v>188</v>
      </c>
    </row>
    <row r="872" spans="1:8" x14ac:dyDescent="0.3">
      <c r="A872">
        <v>2015</v>
      </c>
      <c r="B872" t="s">
        <v>38</v>
      </c>
      <c r="C872" t="s">
        <v>86</v>
      </c>
      <c r="D872" s="1" t="s">
        <v>18</v>
      </c>
      <c r="E872">
        <v>124.1</v>
      </c>
      <c r="F872">
        <v>121.3</v>
      </c>
      <c r="G872">
        <v>117.4</v>
      </c>
      <c r="H872" s="1" t="s">
        <v>189</v>
      </c>
    </row>
    <row r="873" spans="1:8" x14ac:dyDescent="0.3">
      <c r="A873">
        <v>2015</v>
      </c>
      <c r="B873" t="s">
        <v>38</v>
      </c>
      <c r="C873" t="s">
        <v>86</v>
      </c>
      <c r="D873" s="1" t="s">
        <v>8</v>
      </c>
      <c r="E873">
        <v>134.1</v>
      </c>
      <c r="F873">
        <v>132.6</v>
      </c>
      <c r="G873">
        <v>130.80000000000001</v>
      </c>
      <c r="H873" s="1" t="s">
        <v>188</v>
      </c>
    </row>
    <row r="874" spans="1:8" x14ac:dyDescent="0.3">
      <c r="A874">
        <v>2015</v>
      </c>
      <c r="B874" t="s">
        <v>38</v>
      </c>
      <c r="C874" t="s">
        <v>86</v>
      </c>
      <c r="D874" s="1" t="s">
        <v>21</v>
      </c>
      <c r="E874">
        <v>121.9</v>
      </c>
      <c r="F874">
        <v>119.2</v>
      </c>
      <c r="G874">
        <v>114.9</v>
      </c>
      <c r="H874" s="1" t="s">
        <v>190</v>
      </c>
    </row>
    <row r="875" spans="1:8" x14ac:dyDescent="0.3">
      <c r="A875">
        <v>2015</v>
      </c>
      <c r="B875" t="s">
        <v>38</v>
      </c>
      <c r="C875" t="s">
        <v>86</v>
      </c>
      <c r="D875" s="1" t="s">
        <v>29</v>
      </c>
      <c r="E875">
        <v>122.4</v>
      </c>
      <c r="F875">
        <v>121.6</v>
      </c>
      <c r="G875">
        <v>120.7</v>
      </c>
      <c r="H875" s="1" t="s">
        <v>206</v>
      </c>
    </row>
    <row r="876" spans="1:8" x14ac:dyDescent="0.3">
      <c r="A876">
        <v>2015</v>
      </c>
      <c r="B876" t="s">
        <v>38</v>
      </c>
      <c r="C876" t="s">
        <v>86</v>
      </c>
      <c r="D876" s="1" t="s">
        <v>23</v>
      </c>
      <c r="E876">
        <v>119.4</v>
      </c>
      <c r="F876">
        <v>117.7</v>
      </c>
      <c r="G876">
        <v>114.9</v>
      </c>
      <c r="H876" s="1" t="s">
        <v>23</v>
      </c>
    </row>
    <row r="877" spans="1:8" x14ac:dyDescent="0.3">
      <c r="A877">
        <v>2015</v>
      </c>
      <c r="B877" t="s">
        <v>38</v>
      </c>
      <c r="C877" t="s">
        <v>86</v>
      </c>
      <c r="D877" s="1" t="s">
        <v>22</v>
      </c>
      <c r="E877">
        <v>121.5</v>
      </c>
      <c r="F877">
        <v>120.2</v>
      </c>
      <c r="G877">
        <v>118.7</v>
      </c>
      <c r="H877" s="1" t="s">
        <v>20</v>
      </c>
    </row>
    <row r="878" spans="1:8" x14ac:dyDescent="0.3">
      <c r="A878">
        <v>2015</v>
      </c>
      <c r="B878" t="s">
        <v>38</v>
      </c>
      <c r="C878" t="s">
        <v>86</v>
      </c>
      <c r="D878" s="1" t="s">
        <v>20</v>
      </c>
      <c r="E878">
        <v>0</v>
      </c>
      <c r="F878">
        <v>119.6</v>
      </c>
      <c r="G878">
        <v>119.6</v>
      </c>
      <c r="H878" s="1" t="s">
        <v>20</v>
      </c>
    </row>
    <row r="879" spans="1:8" x14ac:dyDescent="0.3">
      <c r="A879">
        <v>2015</v>
      </c>
      <c r="B879" t="s">
        <v>38</v>
      </c>
      <c r="C879" t="s">
        <v>86</v>
      </c>
      <c r="D879" s="1" t="s">
        <v>4</v>
      </c>
      <c r="E879">
        <v>127.1</v>
      </c>
      <c r="F879">
        <v>128</v>
      </c>
      <c r="G879">
        <v>129.69999999999999</v>
      </c>
      <c r="H879" s="1" t="s">
        <v>188</v>
      </c>
    </row>
    <row r="880" spans="1:8" x14ac:dyDescent="0.3">
      <c r="A880">
        <v>2015</v>
      </c>
      <c r="B880" t="s">
        <v>38</v>
      </c>
      <c r="C880" t="s">
        <v>86</v>
      </c>
      <c r="D880" s="1" t="s">
        <v>6</v>
      </c>
      <c r="E880">
        <v>127.7</v>
      </c>
      <c r="F880">
        <v>127.3</v>
      </c>
      <c r="G880">
        <v>126.6</v>
      </c>
      <c r="H880" s="1" t="s">
        <v>188</v>
      </c>
    </row>
    <row r="881" spans="1:8" x14ac:dyDescent="0.3">
      <c r="A881">
        <v>2015</v>
      </c>
      <c r="B881" t="s">
        <v>38</v>
      </c>
      <c r="C881" t="s">
        <v>86</v>
      </c>
      <c r="D881" s="1" t="s">
        <v>28</v>
      </c>
      <c r="E881">
        <v>116.9</v>
      </c>
      <c r="F881">
        <v>116.1</v>
      </c>
      <c r="G881">
        <v>115.2</v>
      </c>
      <c r="H881" s="1" t="s">
        <v>192</v>
      </c>
    </row>
    <row r="882" spans="1:8" x14ac:dyDescent="0.3">
      <c r="A882">
        <v>2015</v>
      </c>
      <c r="B882" t="s">
        <v>38</v>
      </c>
      <c r="C882" t="s">
        <v>86</v>
      </c>
      <c r="D882" s="1" t="s">
        <v>13</v>
      </c>
      <c r="E882">
        <v>120.2</v>
      </c>
      <c r="F882">
        <v>119.2</v>
      </c>
      <c r="G882">
        <v>117.7</v>
      </c>
      <c r="H882" s="1" t="s">
        <v>188</v>
      </c>
    </row>
    <row r="883" spans="1:8" x14ac:dyDescent="0.3">
      <c r="A883">
        <v>2015</v>
      </c>
      <c r="B883" t="s">
        <v>38</v>
      </c>
      <c r="C883" t="s">
        <v>86</v>
      </c>
      <c r="D883" s="1" t="s">
        <v>7</v>
      </c>
      <c r="E883">
        <v>112.5</v>
      </c>
      <c r="F883">
        <v>109.8</v>
      </c>
      <c r="G883">
        <v>105.2</v>
      </c>
      <c r="H883" s="1" t="s">
        <v>188</v>
      </c>
    </row>
    <row r="884" spans="1:8" x14ac:dyDescent="0.3">
      <c r="A884">
        <v>2015</v>
      </c>
      <c r="B884" t="s">
        <v>38</v>
      </c>
      <c r="C884" t="s">
        <v>86</v>
      </c>
      <c r="D884" s="1" t="s">
        <v>16</v>
      </c>
      <c r="E884">
        <v>126.7</v>
      </c>
      <c r="F884">
        <v>127.9</v>
      </c>
      <c r="G884">
        <v>131.30000000000001</v>
      </c>
      <c r="H884" s="1" t="s">
        <v>192</v>
      </c>
    </row>
    <row r="885" spans="1:8" x14ac:dyDescent="0.3">
      <c r="A885">
        <v>2015</v>
      </c>
      <c r="B885" t="s">
        <v>38</v>
      </c>
      <c r="C885" t="s">
        <v>86</v>
      </c>
      <c r="D885" s="1" t="s">
        <v>27</v>
      </c>
      <c r="E885">
        <v>112.3</v>
      </c>
      <c r="F885">
        <v>112.3</v>
      </c>
      <c r="G885">
        <v>112.4</v>
      </c>
      <c r="H885" s="1" t="s">
        <v>192</v>
      </c>
    </row>
    <row r="886" spans="1:8" x14ac:dyDescent="0.3">
      <c r="A886">
        <v>2015</v>
      </c>
      <c r="B886" t="s">
        <v>38</v>
      </c>
      <c r="C886" t="s">
        <v>86</v>
      </c>
      <c r="D886" s="1" t="s">
        <v>14</v>
      </c>
      <c r="E886">
        <v>129.80000000000001</v>
      </c>
      <c r="F886">
        <v>129.80000000000001</v>
      </c>
      <c r="G886">
        <v>129.9</v>
      </c>
      <c r="H886" s="1" t="s">
        <v>188</v>
      </c>
    </row>
    <row r="887" spans="1:8" x14ac:dyDescent="0.3">
      <c r="A887">
        <v>2015</v>
      </c>
      <c r="B887" t="s">
        <v>38</v>
      </c>
      <c r="C887" t="s">
        <v>86</v>
      </c>
      <c r="D887" s="1" t="s">
        <v>10</v>
      </c>
      <c r="E887">
        <v>124.3</v>
      </c>
      <c r="F887">
        <v>130.5</v>
      </c>
      <c r="G887">
        <v>142.6</v>
      </c>
      <c r="H887" s="1" t="s">
        <v>188</v>
      </c>
    </row>
    <row r="888" spans="1:8" x14ac:dyDescent="0.3">
      <c r="A888">
        <v>2015</v>
      </c>
      <c r="B888" t="s">
        <v>38</v>
      </c>
      <c r="C888" t="s">
        <v>86</v>
      </c>
      <c r="D888" s="1" t="s">
        <v>25</v>
      </c>
      <c r="E888">
        <v>116.7</v>
      </c>
      <c r="F888">
        <v>116.3</v>
      </c>
      <c r="G888">
        <v>116</v>
      </c>
      <c r="H888" s="1" t="s">
        <v>195</v>
      </c>
    </row>
    <row r="889" spans="1:8" x14ac:dyDescent="0.3">
      <c r="A889">
        <v>2015</v>
      </c>
      <c r="B889" t="s">
        <v>38</v>
      </c>
      <c r="C889" t="s">
        <v>86</v>
      </c>
      <c r="D889" s="1" t="s">
        <v>12</v>
      </c>
      <c r="E889">
        <v>120.7</v>
      </c>
      <c r="F889">
        <v>123.4</v>
      </c>
      <c r="G889">
        <v>128.80000000000001</v>
      </c>
      <c r="H889" s="1" t="s">
        <v>188</v>
      </c>
    </row>
    <row r="890" spans="1:8" x14ac:dyDescent="0.3">
      <c r="A890">
        <v>2015</v>
      </c>
      <c r="B890" t="s">
        <v>38</v>
      </c>
      <c r="C890" t="s">
        <v>86</v>
      </c>
      <c r="D890" s="1" t="s">
        <v>11</v>
      </c>
      <c r="E890">
        <v>97.6</v>
      </c>
      <c r="F890">
        <v>95.3</v>
      </c>
      <c r="G890">
        <v>90.8</v>
      </c>
      <c r="H890" s="1" t="s">
        <v>188</v>
      </c>
    </row>
    <row r="891" spans="1:8" x14ac:dyDescent="0.3">
      <c r="A891">
        <v>2015</v>
      </c>
      <c r="B891" t="s">
        <v>38</v>
      </c>
      <c r="C891" t="s">
        <v>86</v>
      </c>
      <c r="D891" s="1" t="s">
        <v>24</v>
      </c>
      <c r="E891">
        <v>113.3</v>
      </c>
      <c r="F891">
        <v>112</v>
      </c>
      <c r="G891">
        <v>110.8</v>
      </c>
      <c r="H891" s="1" t="s">
        <v>191</v>
      </c>
    </row>
    <row r="892" spans="1:8" x14ac:dyDescent="0.3">
      <c r="A892">
        <v>2015</v>
      </c>
      <c r="B892" t="s">
        <v>38</v>
      </c>
      <c r="C892" t="s">
        <v>86</v>
      </c>
      <c r="D892" s="1" t="s">
        <v>9</v>
      </c>
      <c r="E892">
        <v>128.5</v>
      </c>
      <c r="F892">
        <v>130.9</v>
      </c>
      <c r="G892">
        <v>135.6</v>
      </c>
      <c r="H892" s="1" t="s">
        <v>188</v>
      </c>
    </row>
    <row r="893" spans="1:8" x14ac:dyDescent="0.3">
      <c r="A893">
        <v>2015</v>
      </c>
      <c r="B893" t="s">
        <v>44</v>
      </c>
      <c r="C893" t="s">
        <v>87</v>
      </c>
      <c r="D893" s="1" t="s">
        <v>3</v>
      </c>
      <c r="E893">
        <v>126.1</v>
      </c>
      <c r="F893">
        <v>125.4</v>
      </c>
      <c r="G893">
        <v>124</v>
      </c>
      <c r="H893" s="1" t="s">
        <v>188</v>
      </c>
    </row>
    <row r="894" spans="1:8" x14ac:dyDescent="0.3">
      <c r="A894">
        <v>2015</v>
      </c>
      <c r="B894" t="s">
        <v>44</v>
      </c>
      <c r="C894" t="s">
        <v>87</v>
      </c>
      <c r="D894" s="1" t="s">
        <v>17</v>
      </c>
      <c r="E894">
        <v>132.1</v>
      </c>
      <c r="F894">
        <v>129.30000000000001</v>
      </c>
      <c r="G894">
        <v>125</v>
      </c>
      <c r="H894" s="1" t="s">
        <v>189</v>
      </c>
    </row>
    <row r="895" spans="1:8" x14ac:dyDescent="0.3">
      <c r="A895">
        <v>2015</v>
      </c>
      <c r="B895" t="s">
        <v>44</v>
      </c>
      <c r="C895" t="s">
        <v>87</v>
      </c>
      <c r="D895" s="1" t="s">
        <v>19</v>
      </c>
      <c r="E895">
        <v>131.5</v>
      </c>
      <c r="F895">
        <v>128.6</v>
      </c>
      <c r="G895">
        <v>124.2</v>
      </c>
      <c r="H895" s="1" t="s">
        <v>189</v>
      </c>
    </row>
    <row r="896" spans="1:8" x14ac:dyDescent="0.3">
      <c r="A896">
        <v>2015</v>
      </c>
      <c r="B896" t="s">
        <v>44</v>
      </c>
      <c r="C896" t="s">
        <v>87</v>
      </c>
      <c r="D896" s="1" t="s">
        <v>26</v>
      </c>
      <c r="E896">
        <v>125.8</v>
      </c>
      <c r="F896">
        <v>126.3</v>
      </c>
      <c r="G896">
        <v>126.6</v>
      </c>
      <c r="H896" s="1" t="s">
        <v>26</v>
      </c>
    </row>
    <row r="897" spans="1:8" x14ac:dyDescent="0.3">
      <c r="A897">
        <v>2015</v>
      </c>
      <c r="B897" t="s">
        <v>44</v>
      </c>
      <c r="C897" t="s">
        <v>87</v>
      </c>
      <c r="D897" s="1" t="s">
        <v>5</v>
      </c>
      <c r="E897">
        <v>121.7</v>
      </c>
      <c r="F897">
        <v>121.6</v>
      </c>
      <c r="G897">
        <v>121.5</v>
      </c>
      <c r="H897" s="1" t="s">
        <v>188</v>
      </c>
    </row>
    <row r="898" spans="1:8" x14ac:dyDescent="0.3">
      <c r="A898">
        <v>2015</v>
      </c>
      <c r="B898" t="s">
        <v>44</v>
      </c>
      <c r="C898" t="s">
        <v>87</v>
      </c>
      <c r="D898" s="1" t="s">
        <v>15</v>
      </c>
      <c r="E898">
        <v>132.4</v>
      </c>
      <c r="F898">
        <v>132.69999999999999</v>
      </c>
      <c r="G898">
        <v>133.30000000000001</v>
      </c>
      <c r="H898" s="1" t="s">
        <v>188</v>
      </c>
    </row>
    <row r="899" spans="1:8" x14ac:dyDescent="0.3">
      <c r="A899">
        <v>2015</v>
      </c>
      <c r="B899" t="s">
        <v>44</v>
      </c>
      <c r="C899" t="s">
        <v>87</v>
      </c>
      <c r="D899" s="1" t="s">
        <v>18</v>
      </c>
      <c r="E899">
        <v>128.19999999999999</v>
      </c>
      <c r="F899">
        <v>124.5</v>
      </c>
      <c r="G899">
        <v>119.3</v>
      </c>
      <c r="H899" s="1" t="s">
        <v>189</v>
      </c>
    </row>
    <row r="900" spans="1:8" x14ac:dyDescent="0.3">
      <c r="A900">
        <v>2015</v>
      </c>
      <c r="B900" t="s">
        <v>44</v>
      </c>
      <c r="C900" t="s">
        <v>87</v>
      </c>
      <c r="D900" s="1" t="s">
        <v>8</v>
      </c>
      <c r="E900">
        <v>132.1</v>
      </c>
      <c r="F900">
        <v>128.19999999999999</v>
      </c>
      <c r="G900">
        <v>123.7</v>
      </c>
      <c r="H900" s="1" t="s">
        <v>188</v>
      </c>
    </row>
    <row r="901" spans="1:8" x14ac:dyDescent="0.3">
      <c r="A901">
        <v>2015</v>
      </c>
      <c r="B901" t="s">
        <v>44</v>
      </c>
      <c r="C901" t="s">
        <v>87</v>
      </c>
      <c r="D901" s="1" t="s">
        <v>21</v>
      </c>
      <c r="E901">
        <v>125.6</v>
      </c>
      <c r="F901">
        <v>121.6</v>
      </c>
      <c r="G901">
        <v>115.1</v>
      </c>
      <c r="H901" s="1" t="s">
        <v>190</v>
      </c>
    </row>
    <row r="902" spans="1:8" x14ac:dyDescent="0.3">
      <c r="A902">
        <v>2015</v>
      </c>
      <c r="B902" t="s">
        <v>44</v>
      </c>
      <c r="C902" t="s">
        <v>87</v>
      </c>
      <c r="D902" s="1" t="s">
        <v>29</v>
      </c>
      <c r="E902">
        <v>128.30000000000001</v>
      </c>
      <c r="F902">
        <v>126.6</v>
      </c>
      <c r="G902">
        <v>124.6</v>
      </c>
      <c r="H902" s="1" t="s">
        <v>206</v>
      </c>
    </row>
    <row r="903" spans="1:8" x14ac:dyDescent="0.3">
      <c r="A903">
        <v>2015</v>
      </c>
      <c r="B903" t="s">
        <v>44</v>
      </c>
      <c r="C903" t="s">
        <v>87</v>
      </c>
      <c r="D903" s="1" t="s">
        <v>23</v>
      </c>
      <c r="E903">
        <v>122.6</v>
      </c>
      <c r="F903">
        <v>120.9</v>
      </c>
      <c r="G903">
        <v>118.1</v>
      </c>
      <c r="H903" s="1" t="s">
        <v>23</v>
      </c>
    </row>
    <row r="904" spans="1:8" x14ac:dyDescent="0.3">
      <c r="A904">
        <v>2015</v>
      </c>
      <c r="B904" t="s">
        <v>44</v>
      </c>
      <c r="C904" t="s">
        <v>87</v>
      </c>
      <c r="D904" s="1" t="s">
        <v>22</v>
      </c>
      <c r="E904">
        <v>125.6</v>
      </c>
      <c r="F904">
        <v>123.4</v>
      </c>
      <c r="G904">
        <v>121</v>
      </c>
      <c r="H904" s="1" t="s">
        <v>20</v>
      </c>
    </row>
    <row r="905" spans="1:8" x14ac:dyDescent="0.3">
      <c r="A905">
        <v>2015</v>
      </c>
      <c r="B905" t="s">
        <v>44</v>
      </c>
      <c r="C905" t="s">
        <v>87</v>
      </c>
      <c r="D905" s="1" t="s">
        <v>20</v>
      </c>
      <c r="E905">
        <v>0</v>
      </c>
      <c r="F905">
        <v>122.9</v>
      </c>
      <c r="G905">
        <v>122.9</v>
      </c>
      <c r="H905" s="1" t="s">
        <v>20</v>
      </c>
    </row>
    <row r="906" spans="1:8" x14ac:dyDescent="0.3">
      <c r="A906">
        <v>2015</v>
      </c>
      <c r="B906" t="s">
        <v>44</v>
      </c>
      <c r="C906" t="s">
        <v>87</v>
      </c>
      <c r="D906" s="1" t="s">
        <v>4</v>
      </c>
      <c r="E906">
        <v>130.6</v>
      </c>
      <c r="F906">
        <v>130.30000000000001</v>
      </c>
      <c r="G906">
        <v>129.80000000000001</v>
      </c>
      <c r="H906" s="1" t="s">
        <v>188</v>
      </c>
    </row>
    <row r="907" spans="1:8" x14ac:dyDescent="0.3">
      <c r="A907">
        <v>2015</v>
      </c>
      <c r="B907" t="s">
        <v>44</v>
      </c>
      <c r="C907" t="s">
        <v>87</v>
      </c>
      <c r="D907" s="1" t="s">
        <v>6</v>
      </c>
      <c r="E907">
        <v>129.5</v>
      </c>
      <c r="F907">
        <v>129.19999999999999</v>
      </c>
      <c r="G907">
        <v>128.6</v>
      </c>
      <c r="H907" s="1" t="s">
        <v>188</v>
      </c>
    </row>
    <row r="908" spans="1:8" x14ac:dyDescent="0.3">
      <c r="A908">
        <v>2015</v>
      </c>
      <c r="B908" t="s">
        <v>44</v>
      </c>
      <c r="C908" t="s">
        <v>87</v>
      </c>
      <c r="D908" s="1" t="s">
        <v>28</v>
      </c>
      <c r="E908">
        <v>119.6</v>
      </c>
      <c r="F908">
        <v>118.1</v>
      </c>
      <c r="G908">
        <v>116.6</v>
      </c>
      <c r="H908" s="1" t="s">
        <v>192</v>
      </c>
    </row>
    <row r="909" spans="1:8" x14ac:dyDescent="0.3">
      <c r="A909">
        <v>2015</v>
      </c>
      <c r="B909" t="s">
        <v>44</v>
      </c>
      <c r="C909" t="s">
        <v>87</v>
      </c>
      <c r="D909" s="1" t="s">
        <v>13</v>
      </c>
      <c r="E909">
        <v>123.1</v>
      </c>
      <c r="F909">
        <v>121.7</v>
      </c>
      <c r="G909">
        <v>119.8</v>
      </c>
      <c r="H909" s="1" t="s">
        <v>188</v>
      </c>
    </row>
    <row r="910" spans="1:8" x14ac:dyDescent="0.3">
      <c r="A910">
        <v>2015</v>
      </c>
      <c r="B910" t="s">
        <v>44</v>
      </c>
      <c r="C910" t="s">
        <v>87</v>
      </c>
      <c r="D910" s="1" t="s">
        <v>7</v>
      </c>
      <c r="E910">
        <v>117.8</v>
      </c>
      <c r="F910">
        <v>114.9</v>
      </c>
      <c r="G910">
        <v>110</v>
      </c>
      <c r="H910" s="1" t="s">
        <v>188</v>
      </c>
    </row>
    <row r="911" spans="1:8" x14ac:dyDescent="0.3">
      <c r="A911">
        <v>2015</v>
      </c>
      <c r="B911" t="s">
        <v>44</v>
      </c>
      <c r="C911" t="s">
        <v>87</v>
      </c>
      <c r="D911" s="1" t="s">
        <v>16</v>
      </c>
      <c r="E911">
        <v>132.19999999999999</v>
      </c>
      <c r="F911">
        <v>133.6</v>
      </c>
      <c r="G911">
        <v>137.6</v>
      </c>
      <c r="H911" s="1" t="s">
        <v>192</v>
      </c>
    </row>
    <row r="912" spans="1:8" x14ac:dyDescent="0.3">
      <c r="A912">
        <v>2015</v>
      </c>
      <c r="B912" t="s">
        <v>44</v>
      </c>
      <c r="C912" t="s">
        <v>87</v>
      </c>
      <c r="D912" s="1" t="s">
        <v>27</v>
      </c>
      <c r="E912">
        <v>114.2</v>
      </c>
      <c r="F912">
        <v>113.8</v>
      </c>
      <c r="G912">
        <v>113.3</v>
      </c>
      <c r="H912" s="1" t="s">
        <v>192</v>
      </c>
    </row>
    <row r="913" spans="1:8" x14ac:dyDescent="0.3">
      <c r="A913">
        <v>2015</v>
      </c>
      <c r="B913" t="s">
        <v>44</v>
      </c>
      <c r="C913" t="s">
        <v>87</v>
      </c>
      <c r="D913" s="1" t="s">
        <v>14</v>
      </c>
      <c r="E913">
        <v>134.19999999999999</v>
      </c>
      <c r="F913">
        <v>134</v>
      </c>
      <c r="G913">
        <v>133.69999999999999</v>
      </c>
      <c r="H913" s="1" t="s">
        <v>188</v>
      </c>
    </row>
    <row r="914" spans="1:8" x14ac:dyDescent="0.3">
      <c r="A914">
        <v>2015</v>
      </c>
      <c r="B914" t="s">
        <v>44</v>
      </c>
      <c r="C914" t="s">
        <v>87</v>
      </c>
      <c r="D914" s="1" t="s">
        <v>10</v>
      </c>
      <c r="E914">
        <v>160.80000000000001</v>
      </c>
      <c r="F914">
        <v>171.2</v>
      </c>
      <c r="G914">
        <v>191.6</v>
      </c>
      <c r="H914" s="1" t="s">
        <v>188</v>
      </c>
    </row>
    <row r="915" spans="1:8" x14ac:dyDescent="0.3">
      <c r="A915">
        <v>2015</v>
      </c>
      <c r="B915" t="s">
        <v>44</v>
      </c>
      <c r="C915" t="s">
        <v>87</v>
      </c>
      <c r="D915" s="1" t="s">
        <v>25</v>
      </c>
      <c r="E915">
        <v>120.9</v>
      </c>
      <c r="F915">
        <v>119.2</v>
      </c>
      <c r="G915">
        <v>117.9</v>
      </c>
      <c r="H915" s="1" t="s">
        <v>195</v>
      </c>
    </row>
    <row r="916" spans="1:8" x14ac:dyDescent="0.3">
      <c r="A916">
        <v>2015</v>
      </c>
      <c r="B916" t="s">
        <v>44</v>
      </c>
      <c r="C916" t="s">
        <v>87</v>
      </c>
      <c r="D916" s="1" t="s">
        <v>12</v>
      </c>
      <c r="E916">
        <v>128.30000000000001</v>
      </c>
      <c r="F916">
        <v>131.19999999999999</v>
      </c>
      <c r="G916">
        <v>137.1</v>
      </c>
      <c r="H916" s="1" t="s">
        <v>188</v>
      </c>
    </row>
    <row r="917" spans="1:8" x14ac:dyDescent="0.3">
      <c r="A917">
        <v>2015</v>
      </c>
      <c r="B917" t="s">
        <v>44</v>
      </c>
      <c r="C917" t="s">
        <v>87</v>
      </c>
      <c r="D917" s="1" t="s">
        <v>11</v>
      </c>
      <c r="E917">
        <v>94.5</v>
      </c>
      <c r="F917">
        <v>93.3</v>
      </c>
      <c r="G917">
        <v>90.8</v>
      </c>
      <c r="H917" s="1" t="s">
        <v>188</v>
      </c>
    </row>
    <row r="918" spans="1:8" x14ac:dyDescent="0.3">
      <c r="A918">
        <v>2015</v>
      </c>
      <c r="B918" t="s">
        <v>44</v>
      </c>
      <c r="C918" t="s">
        <v>87</v>
      </c>
      <c r="D918" s="1" t="s">
        <v>24</v>
      </c>
      <c r="E918">
        <v>114</v>
      </c>
      <c r="F918">
        <v>111.5</v>
      </c>
      <c r="G918">
        <v>109.3</v>
      </c>
      <c r="H918" s="1" t="s">
        <v>191</v>
      </c>
    </row>
    <row r="919" spans="1:8" x14ac:dyDescent="0.3">
      <c r="A919">
        <v>2015</v>
      </c>
      <c r="B919" t="s">
        <v>44</v>
      </c>
      <c r="C919" t="s">
        <v>87</v>
      </c>
      <c r="D919" s="1" t="s">
        <v>9</v>
      </c>
      <c r="E919">
        <v>155.19999999999999</v>
      </c>
      <c r="F919">
        <v>158.4</v>
      </c>
      <c r="G919">
        <v>164.6</v>
      </c>
      <c r="H919" s="1" t="s">
        <v>188</v>
      </c>
    </row>
    <row r="920" spans="1:8" x14ac:dyDescent="0.3">
      <c r="A920">
        <v>2015</v>
      </c>
      <c r="B920" t="s">
        <v>43</v>
      </c>
      <c r="C920" t="s">
        <v>88</v>
      </c>
      <c r="D920" s="1" t="s">
        <v>3</v>
      </c>
      <c r="E920">
        <v>125.6</v>
      </c>
      <c r="F920">
        <v>125</v>
      </c>
      <c r="G920">
        <v>123.6</v>
      </c>
      <c r="H920" s="1" t="s">
        <v>188</v>
      </c>
    </row>
    <row r="921" spans="1:8" x14ac:dyDescent="0.3">
      <c r="A921">
        <v>2015</v>
      </c>
      <c r="B921" t="s">
        <v>43</v>
      </c>
      <c r="C921" t="s">
        <v>88</v>
      </c>
      <c r="D921" s="1" t="s">
        <v>17</v>
      </c>
      <c r="E921">
        <v>131.1</v>
      </c>
      <c r="F921">
        <v>128.5</v>
      </c>
      <c r="G921">
        <v>124.4</v>
      </c>
      <c r="H921" s="1" t="s">
        <v>189</v>
      </c>
    </row>
    <row r="922" spans="1:8" x14ac:dyDescent="0.3">
      <c r="A922">
        <v>2015</v>
      </c>
      <c r="B922" t="s">
        <v>43</v>
      </c>
      <c r="C922" t="s">
        <v>88</v>
      </c>
      <c r="D922" s="1" t="s">
        <v>19</v>
      </c>
      <c r="E922">
        <v>130.6</v>
      </c>
      <c r="F922">
        <v>127.8</v>
      </c>
      <c r="G922">
        <v>123.6</v>
      </c>
      <c r="H922" s="1" t="s">
        <v>189</v>
      </c>
    </row>
    <row r="923" spans="1:8" x14ac:dyDescent="0.3">
      <c r="A923">
        <v>2015</v>
      </c>
      <c r="B923" t="s">
        <v>43</v>
      </c>
      <c r="C923" t="s">
        <v>88</v>
      </c>
      <c r="D923" s="1" t="s">
        <v>26</v>
      </c>
      <c r="E923">
        <v>125.1</v>
      </c>
      <c r="F923">
        <v>125.9</v>
      </c>
      <c r="G923">
        <v>126.5</v>
      </c>
      <c r="H923" s="1" t="s">
        <v>26</v>
      </c>
    </row>
    <row r="924" spans="1:8" x14ac:dyDescent="0.3">
      <c r="A924">
        <v>2015</v>
      </c>
      <c r="B924" t="s">
        <v>43</v>
      </c>
      <c r="C924" t="s">
        <v>88</v>
      </c>
      <c r="D924" s="1" t="s">
        <v>5</v>
      </c>
      <c r="E924">
        <v>120.8</v>
      </c>
      <c r="F924">
        <v>118.9</v>
      </c>
      <c r="G924">
        <v>115.9</v>
      </c>
      <c r="H924" s="1" t="s">
        <v>188</v>
      </c>
    </row>
    <row r="925" spans="1:8" x14ac:dyDescent="0.3">
      <c r="A925">
        <v>2015</v>
      </c>
      <c r="B925" t="s">
        <v>43</v>
      </c>
      <c r="C925" t="s">
        <v>88</v>
      </c>
      <c r="D925" s="1" t="s">
        <v>15</v>
      </c>
      <c r="E925">
        <v>131.80000000000001</v>
      </c>
      <c r="F925">
        <v>132.1</v>
      </c>
      <c r="G925">
        <v>132.6</v>
      </c>
      <c r="H925" s="1" t="s">
        <v>188</v>
      </c>
    </row>
    <row r="926" spans="1:8" x14ac:dyDescent="0.3">
      <c r="A926">
        <v>2015</v>
      </c>
      <c r="B926" t="s">
        <v>43</v>
      </c>
      <c r="C926" t="s">
        <v>88</v>
      </c>
      <c r="D926" s="1" t="s">
        <v>18</v>
      </c>
      <c r="E926">
        <v>127.3</v>
      </c>
      <c r="F926">
        <v>123.8</v>
      </c>
      <c r="G926">
        <v>118.8</v>
      </c>
      <c r="H926" s="1" t="s">
        <v>189</v>
      </c>
    </row>
    <row r="927" spans="1:8" x14ac:dyDescent="0.3">
      <c r="A927">
        <v>2015</v>
      </c>
      <c r="B927" t="s">
        <v>43</v>
      </c>
      <c r="C927" t="s">
        <v>88</v>
      </c>
      <c r="D927" s="1" t="s">
        <v>8</v>
      </c>
      <c r="E927">
        <v>133.19999999999999</v>
      </c>
      <c r="F927">
        <v>129</v>
      </c>
      <c r="G927">
        <v>124.1</v>
      </c>
      <c r="H927" s="1" t="s">
        <v>188</v>
      </c>
    </row>
    <row r="928" spans="1:8" x14ac:dyDescent="0.3">
      <c r="A928">
        <v>2015</v>
      </c>
      <c r="B928" t="s">
        <v>43</v>
      </c>
      <c r="C928" t="s">
        <v>88</v>
      </c>
      <c r="D928" s="1" t="s">
        <v>21</v>
      </c>
      <c r="E928">
        <v>124.4</v>
      </c>
      <c r="F928">
        <v>120.8</v>
      </c>
      <c r="G928">
        <v>114.9</v>
      </c>
      <c r="H928" s="1" t="s">
        <v>190</v>
      </c>
    </row>
    <row r="929" spans="1:8" x14ac:dyDescent="0.3">
      <c r="A929">
        <v>2015</v>
      </c>
      <c r="B929" t="s">
        <v>43</v>
      </c>
      <c r="C929" t="s">
        <v>88</v>
      </c>
      <c r="D929" s="1" t="s">
        <v>29</v>
      </c>
      <c r="E929">
        <v>127.7</v>
      </c>
      <c r="F929">
        <v>126.1</v>
      </c>
      <c r="G929">
        <v>124.2</v>
      </c>
      <c r="H929" s="1" t="s">
        <v>206</v>
      </c>
    </row>
    <row r="930" spans="1:8" x14ac:dyDescent="0.3">
      <c r="A930">
        <v>2015</v>
      </c>
      <c r="B930" t="s">
        <v>43</v>
      </c>
      <c r="C930" t="s">
        <v>88</v>
      </c>
      <c r="D930" s="1" t="s">
        <v>23</v>
      </c>
      <c r="E930">
        <v>122</v>
      </c>
      <c r="F930">
        <v>120.4</v>
      </c>
      <c r="G930">
        <v>117.7</v>
      </c>
      <c r="H930" s="1" t="s">
        <v>23</v>
      </c>
    </row>
    <row r="931" spans="1:8" x14ac:dyDescent="0.3">
      <c r="A931">
        <v>2015</v>
      </c>
      <c r="B931" t="s">
        <v>43</v>
      </c>
      <c r="C931" t="s">
        <v>88</v>
      </c>
      <c r="D931" s="1" t="s">
        <v>22</v>
      </c>
      <c r="E931">
        <v>125.1</v>
      </c>
      <c r="F931">
        <v>123</v>
      </c>
      <c r="G931">
        <v>120.7</v>
      </c>
      <c r="H931" s="1" t="s">
        <v>20</v>
      </c>
    </row>
    <row r="932" spans="1:8" x14ac:dyDescent="0.3">
      <c r="A932">
        <v>2015</v>
      </c>
      <c r="B932" t="s">
        <v>43</v>
      </c>
      <c r="C932" t="s">
        <v>88</v>
      </c>
      <c r="D932" s="1" t="s">
        <v>20</v>
      </c>
      <c r="E932">
        <v>0</v>
      </c>
      <c r="F932">
        <v>122.4</v>
      </c>
      <c r="G932">
        <v>122.4</v>
      </c>
      <c r="H932" s="1" t="s">
        <v>20</v>
      </c>
    </row>
    <row r="933" spans="1:8" x14ac:dyDescent="0.3">
      <c r="A933">
        <v>2015</v>
      </c>
      <c r="B933" t="s">
        <v>43</v>
      </c>
      <c r="C933" t="s">
        <v>88</v>
      </c>
      <c r="D933" s="1" t="s">
        <v>4</v>
      </c>
      <c r="E933">
        <v>130.4</v>
      </c>
      <c r="F933">
        <v>129.80000000000001</v>
      </c>
      <c r="G933">
        <v>128.6</v>
      </c>
      <c r="H933" s="1" t="s">
        <v>188</v>
      </c>
    </row>
    <row r="934" spans="1:8" x14ac:dyDescent="0.3">
      <c r="A934">
        <v>2015</v>
      </c>
      <c r="B934" t="s">
        <v>43</v>
      </c>
      <c r="C934" t="s">
        <v>88</v>
      </c>
      <c r="D934" s="1" t="s">
        <v>6</v>
      </c>
      <c r="E934">
        <v>129.4</v>
      </c>
      <c r="F934">
        <v>129.1</v>
      </c>
      <c r="G934">
        <v>128.5</v>
      </c>
      <c r="H934" s="1" t="s">
        <v>188</v>
      </c>
    </row>
    <row r="935" spans="1:8" x14ac:dyDescent="0.3">
      <c r="A935">
        <v>2015</v>
      </c>
      <c r="B935" t="s">
        <v>43</v>
      </c>
      <c r="C935" t="s">
        <v>88</v>
      </c>
      <c r="D935" s="1" t="s">
        <v>28</v>
      </c>
      <c r="E935">
        <v>119.2</v>
      </c>
      <c r="F935">
        <v>117.9</v>
      </c>
      <c r="G935">
        <v>116.5</v>
      </c>
      <c r="H935" s="1" t="s">
        <v>192</v>
      </c>
    </row>
    <row r="936" spans="1:8" x14ac:dyDescent="0.3">
      <c r="A936">
        <v>2015</v>
      </c>
      <c r="B936" t="s">
        <v>43</v>
      </c>
      <c r="C936" t="s">
        <v>88</v>
      </c>
      <c r="D936" s="1" t="s">
        <v>13</v>
      </c>
      <c r="E936">
        <v>122.3</v>
      </c>
      <c r="F936">
        <v>121.1</v>
      </c>
      <c r="G936">
        <v>119.4</v>
      </c>
      <c r="H936" s="1" t="s">
        <v>188</v>
      </c>
    </row>
    <row r="937" spans="1:8" x14ac:dyDescent="0.3">
      <c r="A937">
        <v>2015</v>
      </c>
      <c r="B937" t="s">
        <v>43</v>
      </c>
      <c r="C937" t="s">
        <v>88</v>
      </c>
      <c r="D937" s="1" t="s">
        <v>7</v>
      </c>
      <c r="E937">
        <v>115.8</v>
      </c>
      <c r="F937">
        <v>113.3</v>
      </c>
      <c r="G937">
        <v>109</v>
      </c>
      <c r="H937" s="1" t="s">
        <v>188</v>
      </c>
    </row>
    <row r="938" spans="1:8" x14ac:dyDescent="0.3">
      <c r="A938">
        <v>2015</v>
      </c>
      <c r="B938" t="s">
        <v>43</v>
      </c>
      <c r="C938" t="s">
        <v>88</v>
      </c>
      <c r="D938" s="1" t="s">
        <v>16</v>
      </c>
      <c r="E938">
        <v>131.5</v>
      </c>
      <c r="F938">
        <v>132.5</v>
      </c>
      <c r="G938">
        <v>135.30000000000001</v>
      </c>
      <c r="H938" s="1" t="s">
        <v>192</v>
      </c>
    </row>
    <row r="939" spans="1:8" x14ac:dyDescent="0.3">
      <c r="A939">
        <v>2015</v>
      </c>
      <c r="B939" t="s">
        <v>43</v>
      </c>
      <c r="C939" t="s">
        <v>88</v>
      </c>
      <c r="D939" s="1" t="s">
        <v>27</v>
      </c>
      <c r="E939">
        <v>114.2</v>
      </c>
      <c r="F939">
        <v>113.9</v>
      </c>
      <c r="G939">
        <v>113.5</v>
      </c>
      <c r="H939" s="1" t="s">
        <v>192</v>
      </c>
    </row>
    <row r="940" spans="1:8" x14ac:dyDescent="0.3">
      <c r="A940">
        <v>2015</v>
      </c>
      <c r="B940" t="s">
        <v>43</v>
      </c>
      <c r="C940" t="s">
        <v>88</v>
      </c>
      <c r="D940" s="1" t="s">
        <v>14</v>
      </c>
      <c r="E940">
        <v>133.1</v>
      </c>
      <c r="F940">
        <v>133</v>
      </c>
      <c r="G940">
        <v>132.9</v>
      </c>
      <c r="H940" s="1" t="s">
        <v>188</v>
      </c>
    </row>
    <row r="941" spans="1:8" x14ac:dyDescent="0.3">
      <c r="A941">
        <v>2015</v>
      </c>
      <c r="B941" t="s">
        <v>43</v>
      </c>
      <c r="C941" t="s">
        <v>88</v>
      </c>
      <c r="D941" s="1" t="s">
        <v>10</v>
      </c>
      <c r="E941">
        <v>154.19999999999999</v>
      </c>
      <c r="F941">
        <v>165.3</v>
      </c>
      <c r="G941">
        <v>187.2</v>
      </c>
      <c r="H941" s="1" t="s">
        <v>188</v>
      </c>
    </row>
    <row r="942" spans="1:8" x14ac:dyDescent="0.3">
      <c r="A942">
        <v>2015</v>
      </c>
      <c r="B942" t="s">
        <v>43</v>
      </c>
      <c r="C942" t="s">
        <v>88</v>
      </c>
      <c r="D942" s="1" t="s">
        <v>25</v>
      </c>
      <c r="E942">
        <v>120.1</v>
      </c>
      <c r="F942">
        <v>118.7</v>
      </c>
      <c r="G942">
        <v>117.7</v>
      </c>
      <c r="H942" s="1" t="s">
        <v>195</v>
      </c>
    </row>
    <row r="943" spans="1:8" x14ac:dyDescent="0.3">
      <c r="A943">
        <v>2015</v>
      </c>
      <c r="B943" t="s">
        <v>43</v>
      </c>
      <c r="C943" t="s">
        <v>88</v>
      </c>
      <c r="D943" s="1" t="s">
        <v>12</v>
      </c>
      <c r="E943">
        <v>126.6</v>
      </c>
      <c r="F943">
        <v>129.69999999999999</v>
      </c>
      <c r="G943">
        <v>135.80000000000001</v>
      </c>
      <c r="H943" s="1" t="s">
        <v>188</v>
      </c>
    </row>
    <row r="944" spans="1:8" x14ac:dyDescent="0.3">
      <c r="A944">
        <v>2015</v>
      </c>
      <c r="B944" t="s">
        <v>43</v>
      </c>
      <c r="C944" t="s">
        <v>88</v>
      </c>
      <c r="D944" s="1" t="s">
        <v>11</v>
      </c>
      <c r="E944">
        <v>93.7</v>
      </c>
      <c r="F944">
        <v>92.3</v>
      </c>
      <c r="G944">
        <v>89.4</v>
      </c>
      <c r="H944" s="1" t="s">
        <v>188</v>
      </c>
    </row>
    <row r="945" spans="1:8" x14ac:dyDescent="0.3">
      <c r="A945">
        <v>2015</v>
      </c>
      <c r="B945" t="s">
        <v>43</v>
      </c>
      <c r="C945" t="s">
        <v>88</v>
      </c>
      <c r="D945" s="1" t="s">
        <v>24</v>
      </c>
      <c r="E945">
        <v>113.8</v>
      </c>
      <c r="F945">
        <v>111.4</v>
      </c>
      <c r="G945">
        <v>109.3</v>
      </c>
      <c r="H945" s="1" t="s">
        <v>191</v>
      </c>
    </row>
    <row r="946" spans="1:8" x14ac:dyDescent="0.3">
      <c r="A946">
        <v>2015</v>
      </c>
      <c r="B946" t="s">
        <v>43</v>
      </c>
      <c r="C946" t="s">
        <v>88</v>
      </c>
      <c r="D946" s="1" t="s">
        <v>9</v>
      </c>
      <c r="E946">
        <v>157.69999999999999</v>
      </c>
      <c r="F946">
        <v>160.4</v>
      </c>
      <c r="G946">
        <v>165.8</v>
      </c>
      <c r="H946" s="1" t="s">
        <v>188</v>
      </c>
    </row>
    <row r="947" spans="1:8" x14ac:dyDescent="0.3">
      <c r="A947">
        <v>2015</v>
      </c>
      <c r="B947" t="s">
        <v>42</v>
      </c>
      <c r="C947" t="s">
        <v>89</v>
      </c>
      <c r="D947" s="1" t="s">
        <v>3</v>
      </c>
      <c r="E947">
        <v>125.1</v>
      </c>
      <c r="F947">
        <v>124.6</v>
      </c>
      <c r="G947">
        <v>123.4</v>
      </c>
      <c r="H947" s="1" t="s">
        <v>188</v>
      </c>
    </row>
    <row r="948" spans="1:8" x14ac:dyDescent="0.3">
      <c r="A948">
        <v>2015</v>
      </c>
      <c r="B948" t="s">
        <v>42</v>
      </c>
      <c r="C948" t="s">
        <v>89</v>
      </c>
      <c r="D948" s="1" t="s">
        <v>17</v>
      </c>
      <c r="E948">
        <v>130.4</v>
      </c>
      <c r="F948">
        <v>127.9</v>
      </c>
      <c r="G948">
        <v>124</v>
      </c>
      <c r="H948" s="1" t="s">
        <v>189</v>
      </c>
    </row>
    <row r="949" spans="1:8" x14ac:dyDescent="0.3">
      <c r="A949">
        <v>2015</v>
      </c>
      <c r="B949" t="s">
        <v>42</v>
      </c>
      <c r="C949" t="s">
        <v>89</v>
      </c>
      <c r="D949" s="1" t="s">
        <v>19</v>
      </c>
      <c r="E949">
        <v>129.9</v>
      </c>
      <c r="F949">
        <v>127.2</v>
      </c>
      <c r="G949">
        <v>123.2</v>
      </c>
      <c r="H949" s="1" t="s">
        <v>189</v>
      </c>
    </row>
    <row r="950" spans="1:8" x14ac:dyDescent="0.3">
      <c r="A950">
        <v>2015</v>
      </c>
      <c r="B950" t="s">
        <v>42</v>
      </c>
      <c r="C950" t="s">
        <v>89</v>
      </c>
      <c r="D950" s="1" t="s">
        <v>26</v>
      </c>
      <c r="E950">
        <v>124.5</v>
      </c>
      <c r="F950">
        <v>125.7</v>
      </c>
      <c r="G950">
        <v>126.5</v>
      </c>
      <c r="H950" s="1" t="s">
        <v>26</v>
      </c>
    </row>
    <row r="951" spans="1:8" x14ac:dyDescent="0.3">
      <c r="A951">
        <v>2015</v>
      </c>
      <c r="B951" t="s">
        <v>42</v>
      </c>
      <c r="C951" t="s">
        <v>89</v>
      </c>
      <c r="D951" s="1" t="s">
        <v>5</v>
      </c>
      <c r="E951">
        <v>120.7</v>
      </c>
      <c r="F951">
        <v>118.7</v>
      </c>
      <c r="G951">
        <v>115.6</v>
      </c>
      <c r="H951" s="1" t="s">
        <v>188</v>
      </c>
    </row>
    <row r="952" spans="1:8" x14ac:dyDescent="0.3">
      <c r="A952">
        <v>2015</v>
      </c>
      <c r="B952" t="s">
        <v>42</v>
      </c>
      <c r="C952" t="s">
        <v>89</v>
      </c>
      <c r="D952" s="1" t="s">
        <v>15</v>
      </c>
      <c r="E952">
        <v>131</v>
      </c>
      <c r="F952">
        <v>131.19999999999999</v>
      </c>
      <c r="G952">
        <v>131.5</v>
      </c>
      <c r="H952" s="1" t="s">
        <v>188</v>
      </c>
    </row>
    <row r="953" spans="1:8" x14ac:dyDescent="0.3">
      <c r="A953">
        <v>2015</v>
      </c>
      <c r="B953" t="s">
        <v>42</v>
      </c>
      <c r="C953" t="s">
        <v>89</v>
      </c>
      <c r="D953" s="1" t="s">
        <v>18</v>
      </c>
      <c r="E953">
        <v>126.8</v>
      </c>
      <c r="F953">
        <v>123.4</v>
      </c>
      <c r="G953">
        <v>118.6</v>
      </c>
      <c r="H953" s="1" t="s">
        <v>189</v>
      </c>
    </row>
    <row r="954" spans="1:8" x14ac:dyDescent="0.3">
      <c r="A954">
        <v>2015</v>
      </c>
      <c r="B954" t="s">
        <v>42</v>
      </c>
      <c r="C954" t="s">
        <v>89</v>
      </c>
      <c r="D954" s="1" t="s">
        <v>8</v>
      </c>
      <c r="E954">
        <v>132.30000000000001</v>
      </c>
      <c r="F954">
        <v>128.4</v>
      </c>
      <c r="G954">
        <v>124</v>
      </c>
      <c r="H954" s="1" t="s">
        <v>188</v>
      </c>
    </row>
    <row r="955" spans="1:8" x14ac:dyDescent="0.3">
      <c r="A955">
        <v>2015</v>
      </c>
      <c r="B955" t="s">
        <v>42</v>
      </c>
      <c r="C955" t="s">
        <v>89</v>
      </c>
      <c r="D955" s="1" t="s">
        <v>21</v>
      </c>
      <c r="E955">
        <v>123.7</v>
      </c>
      <c r="F955">
        <v>120.4</v>
      </c>
      <c r="G955">
        <v>115.1</v>
      </c>
      <c r="H955" s="1" t="s">
        <v>190</v>
      </c>
    </row>
    <row r="956" spans="1:8" x14ac:dyDescent="0.3">
      <c r="A956">
        <v>2015</v>
      </c>
      <c r="B956" t="s">
        <v>42</v>
      </c>
      <c r="C956" t="s">
        <v>89</v>
      </c>
      <c r="D956" s="1" t="s">
        <v>29</v>
      </c>
      <c r="E956">
        <v>127</v>
      </c>
      <c r="F956">
        <v>125.4</v>
      </c>
      <c r="G956">
        <v>123.5</v>
      </c>
      <c r="H956" s="1" t="s">
        <v>206</v>
      </c>
    </row>
    <row r="957" spans="1:8" x14ac:dyDescent="0.3">
      <c r="A957">
        <v>2015</v>
      </c>
      <c r="B957" t="s">
        <v>42</v>
      </c>
      <c r="C957" t="s">
        <v>89</v>
      </c>
      <c r="D957" s="1" t="s">
        <v>23</v>
      </c>
      <c r="E957">
        <v>121.4</v>
      </c>
      <c r="F957">
        <v>119.8</v>
      </c>
      <c r="G957">
        <v>117.1</v>
      </c>
      <c r="H957" s="1" t="s">
        <v>23</v>
      </c>
    </row>
    <row r="958" spans="1:8" x14ac:dyDescent="0.3">
      <c r="A958">
        <v>2015</v>
      </c>
      <c r="B958" t="s">
        <v>42</v>
      </c>
      <c r="C958" t="s">
        <v>89</v>
      </c>
      <c r="D958" s="1" t="s">
        <v>22</v>
      </c>
      <c r="E958">
        <v>124.5</v>
      </c>
      <c r="F958">
        <v>122.6</v>
      </c>
      <c r="G958">
        <v>120.4</v>
      </c>
      <c r="H958" s="1" t="s">
        <v>20</v>
      </c>
    </row>
    <row r="959" spans="1:8" x14ac:dyDescent="0.3">
      <c r="A959">
        <v>2015</v>
      </c>
      <c r="B959" t="s">
        <v>42</v>
      </c>
      <c r="C959" t="s">
        <v>89</v>
      </c>
      <c r="D959" s="1" t="s">
        <v>20</v>
      </c>
      <c r="E959">
        <v>0</v>
      </c>
      <c r="F959">
        <v>121.6</v>
      </c>
      <c r="G959">
        <v>121.6</v>
      </c>
      <c r="H959" s="1" t="s">
        <v>20</v>
      </c>
    </row>
    <row r="960" spans="1:8" x14ac:dyDescent="0.3">
      <c r="A960">
        <v>2015</v>
      </c>
      <c r="B960" t="s">
        <v>42</v>
      </c>
      <c r="C960" t="s">
        <v>89</v>
      </c>
      <c r="D960" s="1" t="s">
        <v>4</v>
      </c>
      <c r="E960">
        <v>131.1</v>
      </c>
      <c r="F960">
        <v>130.4</v>
      </c>
      <c r="G960">
        <v>129</v>
      </c>
      <c r="H960" s="1" t="s">
        <v>188</v>
      </c>
    </row>
    <row r="961" spans="1:8" x14ac:dyDescent="0.3">
      <c r="A961">
        <v>2015</v>
      </c>
      <c r="B961" t="s">
        <v>42</v>
      </c>
      <c r="C961" t="s">
        <v>89</v>
      </c>
      <c r="D961" s="1" t="s">
        <v>6</v>
      </c>
      <c r="E961">
        <v>129.19999999999999</v>
      </c>
      <c r="F961">
        <v>128.9</v>
      </c>
      <c r="G961">
        <v>128.30000000000001</v>
      </c>
      <c r="H961" s="1" t="s">
        <v>188</v>
      </c>
    </row>
    <row r="962" spans="1:8" x14ac:dyDescent="0.3">
      <c r="A962">
        <v>2015</v>
      </c>
      <c r="B962" t="s">
        <v>42</v>
      </c>
      <c r="C962" t="s">
        <v>89</v>
      </c>
      <c r="D962" s="1" t="s">
        <v>28</v>
      </c>
      <c r="E962">
        <v>118.8</v>
      </c>
      <c r="F962">
        <v>117.5</v>
      </c>
      <c r="G962">
        <v>116.2</v>
      </c>
      <c r="H962" s="1" t="s">
        <v>192</v>
      </c>
    </row>
    <row r="963" spans="1:8" x14ac:dyDescent="0.3">
      <c r="A963">
        <v>2015</v>
      </c>
      <c r="B963" t="s">
        <v>42</v>
      </c>
      <c r="C963" t="s">
        <v>89</v>
      </c>
      <c r="D963" s="1" t="s">
        <v>13</v>
      </c>
      <c r="E963">
        <v>121.9</v>
      </c>
      <c r="F963">
        <v>120.7</v>
      </c>
      <c r="G963">
        <v>119.1</v>
      </c>
      <c r="H963" s="1" t="s">
        <v>188</v>
      </c>
    </row>
    <row r="964" spans="1:8" x14ac:dyDescent="0.3">
      <c r="A964">
        <v>2015</v>
      </c>
      <c r="B964" t="s">
        <v>42</v>
      </c>
      <c r="C964" t="s">
        <v>89</v>
      </c>
      <c r="D964" s="1" t="s">
        <v>7</v>
      </c>
      <c r="E964">
        <v>114.7</v>
      </c>
      <c r="F964">
        <v>111.9</v>
      </c>
      <c r="G964">
        <v>107</v>
      </c>
      <c r="H964" s="1" t="s">
        <v>188</v>
      </c>
    </row>
    <row r="965" spans="1:8" x14ac:dyDescent="0.3">
      <c r="A965">
        <v>2015</v>
      </c>
      <c r="B965" t="s">
        <v>42</v>
      </c>
      <c r="C965" t="s">
        <v>89</v>
      </c>
      <c r="D965" s="1" t="s">
        <v>16</v>
      </c>
      <c r="E965">
        <v>131</v>
      </c>
      <c r="F965">
        <v>132</v>
      </c>
      <c r="G965">
        <v>134.69999999999999</v>
      </c>
      <c r="H965" s="1" t="s">
        <v>192</v>
      </c>
    </row>
    <row r="966" spans="1:8" x14ac:dyDescent="0.3">
      <c r="A966">
        <v>2015</v>
      </c>
      <c r="B966" t="s">
        <v>42</v>
      </c>
      <c r="C966" t="s">
        <v>89</v>
      </c>
      <c r="D966" s="1" t="s">
        <v>27</v>
      </c>
      <c r="E966">
        <v>113.7</v>
      </c>
      <c r="F966">
        <v>113.4</v>
      </c>
      <c r="G966">
        <v>112.9</v>
      </c>
      <c r="H966" s="1" t="s">
        <v>192</v>
      </c>
    </row>
    <row r="967" spans="1:8" x14ac:dyDescent="0.3">
      <c r="A967">
        <v>2015</v>
      </c>
      <c r="B967" t="s">
        <v>42</v>
      </c>
      <c r="C967" t="s">
        <v>89</v>
      </c>
      <c r="D967" s="1" t="s">
        <v>14</v>
      </c>
      <c r="E967">
        <v>132.69999999999999</v>
      </c>
      <c r="F967">
        <v>132.5</v>
      </c>
      <c r="G967">
        <v>132.30000000000001</v>
      </c>
      <c r="H967" s="1" t="s">
        <v>188</v>
      </c>
    </row>
    <row r="968" spans="1:8" x14ac:dyDescent="0.3">
      <c r="A968">
        <v>2015</v>
      </c>
      <c r="B968" t="s">
        <v>42</v>
      </c>
      <c r="C968" t="s">
        <v>89</v>
      </c>
      <c r="D968" s="1" t="s">
        <v>10</v>
      </c>
      <c r="E968">
        <v>142.1</v>
      </c>
      <c r="F968">
        <v>150</v>
      </c>
      <c r="G968">
        <v>165.4</v>
      </c>
      <c r="H968" s="1" t="s">
        <v>188</v>
      </c>
    </row>
    <row r="969" spans="1:8" x14ac:dyDescent="0.3">
      <c r="A969">
        <v>2015</v>
      </c>
      <c r="B969" t="s">
        <v>42</v>
      </c>
      <c r="C969" t="s">
        <v>89</v>
      </c>
      <c r="D969" s="1" t="s">
        <v>25</v>
      </c>
      <c r="E969">
        <v>119.6</v>
      </c>
      <c r="F969">
        <v>118.3</v>
      </c>
      <c r="G969">
        <v>117.3</v>
      </c>
      <c r="H969" s="1" t="s">
        <v>195</v>
      </c>
    </row>
    <row r="970" spans="1:8" x14ac:dyDescent="0.3">
      <c r="A970">
        <v>2015</v>
      </c>
      <c r="B970" t="s">
        <v>42</v>
      </c>
      <c r="C970" t="s">
        <v>89</v>
      </c>
      <c r="D970" s="1" t="s">
        <v>12</v>
      </c>
      <c r="E970">
        <v>125.4</v>
      </c>
      <c r="F970">
        <v>128.4</v>
      </c>
      <c r="G970">
        <v>134.4</v>
      </c>
      <c r="H970" s="1" t="s">
        <v>188</v>
      </c>
    </row>
    <row r="971" spans="1:8" x14ac:dyDescent="0.3">
      <c r="A971">
        <v>2015</v>
      </c>
      <c r="B971" t="s">
        <v>42</v>
      </c>
      <c r="C971" t="s">
        <v>89</v>
      </c>
      <c r="D971" s="1" t="s">
        <v>11</v>
      </c>
      <c r="E971">
        <v>92.5</v>
      </c>
      <c r="F971">
        <v>90.4</v>
      </c>
      <c r="G971">
        <v>86.3</v>
      </c>
      <c r="H971" s="1" t="s">
        <v>188</v>
      </c>
    </row>
    <row r="972" spans="1:8" x14ac:dyDescent="0.3">
      <c r="A972">
        <v>2015</v>
      </c>
      <c r="B972" t="s">
        <v>42</v>
      </c>
      <c r="C972" t="s">
        <v>89</v>
      </c>
      <c r="D972" s="1" t="s">
        <v>24</v>
      </c>
      <c r="E972">
        <v>113.8</v>
      </c>
      <c r="F972">
        <v>111.3</v>
      </c>
      <c r="G972">
        <v>109.1</v>
      </c>
      <c r="H972" s="1" t="s">
        <v>191</v>
      </c>
    </row>
    <row r="973" spans="1:8" x14ac:dyDescent="0.3">
      <c r="A973">
        <v>2015</v>
      </c>
      <c r="B973" t="s">
        <v>42</v>
      </c>
      <c r="C973" t="s">
        <v>89</v>
      </c>
      <c r="D973" s="1" t="s">
        <v>9</v>
      </c>
      <c r="E973">
        <v>158.9</v>
      </c>
      <c r="F973">
        <v>162.19999999999999</v>
      </c>
      <c r="G973">
        <v>168.5</v>
      </c>
      <c r="H973" s="1" t="s">
        <v>188</v>
      </c>
    </row>
    <row r="974" spans="1:8" x14ac:dyDescent="0.3">
      <c r="A974">
        <v>2016</v>
      </c>
      <c r="B974" t="s">
        <v>37</v>
      </c>
      <c r="C974" t="s">
        <v>90</v>
      </c>
      <c r="D974" s="1" t="s">
        <v>3</v>
      </c>
      <c r="E974">
        <v>127.4</v>
      </c>
      <c r="F974">
        <v>126.6</v>
      </c>
      <c r="G974">
        <v>124.9</v>
      </c>
      <c r="H974" s="1" t="s">
        <v>188</v>
      </c>
    </row>
    <row r="975" spans="1:8" x14ac:dyDescent="0.3">
      <c r="A975">
        <v>2016</v>
      </c>
      <c r="B975" t="s">
        <v>37</v>
      </c>
      <c r="C975" t="s">
        <v>90</v>
      </c>
      <c r="D975" s="1" t="s">
        <v>17</v>
      </c>
      <c r="E975">
        <v>135</v>
      </c>
      <c r="F975">
        <v>131.80000000000001</v>
      </c>
      <c r="G975">
        <v>126.8</v>
      </c>
      <c r="H975" s="1" t="s">
        <v>189</v>
      </c>
    </row>
    <row r="976" spans="1:8" x14ac:dyDescent="0.3">
      <c r="A976">
        <v>2016</v>
      </c>
      <c r="B976" t="s">
        <v>37</v>
      </c>
      <c r="C976" t="s">
        <v>90</v>
      </c>
      <c r="D976" s="1" t="s">
        <v>19</v>
      </c>
      <c r="E976">
        <v>134.4</v>
      </c>
      <c r="F976">
        <v>131</v>
      </c>
      <c r="G976">
        <v>125.8</v>
      </c>
      <c r="H976" s="1" t="s">
        <v>189</v>
      </c>
    </row>
    <row r="977" spans="1:8" x14ac:dyDescent="0.3">
      <c r="A977">
        <v>2016</v>
      </c>
      <c r="B977" t="s">
        <v>37</v>
      </c>
      <c r="C977" t="s">
        <v>90</v>
      </c>
      <c r="D977" s="1" t="s">
        <v>26</v>
      </c>
      <c r="E977">
        <v>127.9</v>
      </c>
      <c r="F977">
        <v>127.7</v>
      </c>
      <c r="G977">
        <v>127.6</v>
      </c>
      <c r="H977" s="1" t="s">
        <v>26</v>
      </c>
    </row>
    <row r="978" spans="1:8" x14ac:dyDescent="0.3">
      <c r="A978">
        <v>2016</v>
      </c>
      <c r="B978" t="s">
        <v>37</v>
      </c>
      <c r="C978" t="s">
        <v>90</v>
      </c>
      <c r="D978" s="1" t="s">
        <v>5</v>
      </c>
      <c r="E978">
        <v>123.4</v>
      </c>
      <c r="F978">
        <v>122</v>
      </c>
      <c r="G978">
        <v>119.9</v>
      </c>
      <c r="H978" s="1" t="s">
        <v>188</v>
      </c>
    </row>
    <row r="979" spans="1:8" x14ac:dyDescent="0.3">
      <c r="A979">
        <v>2016</v>
      </c>
      <c r="B979" t="s">
        <v>37</v>
      </c>
      <c r="C979" t="s">
        <v>90</v>
      </c>
      <c r="D979" s="1" t="s">
        <v>15</v>
      </c>
      <c r="E979">
        <v>131.80000000000001</v>
      </c>
      <c r="F979">
        <v>131.80000000000001</v>
      </c>
      <c r="G979">
        <v>131.80000000000001</v>
      </c>
      <c r="H979" s="1" t="s">
        <v>188</v>
      </c>
    </row>
    <row r="980" spans="1:8" x14ac:dyDescent="0.3">
      <c r="A980">
        <v>2016</v>
      </c>
      <c r="B980" t="s">
        <v>37</v>
      </c>
      <c r="C980" t="s">
        <v>90</v>
      </c>
      <c r="D980" s="1" t="s">
        <v>18</v>
      </c>
      <c r="E980">
        <v>130.6</v>
      </c>
      <c r="F980">
        <v>126.4</v>
      </c>
      <c r="G980">
        <v>120.5</v>
      </c>
      <c r="H980" s="1" t="s">
        <v>189</v>
      </c>
    </row>
    <row r="981" spans="1:8" x14ac:dyDescent="0.3">
      <c r="A981">
        <v>2016</v>
      </c>
      <c r="B981" t="s">
        <v>37</v>
      </c>
      <c r="C981" t="s">
        <v>90</v>
      </c>
      <c r="D981" s="1" t="s">
        <v>8</v>
      </c>
      <c r="E981">
        <v>138.1</v>
      </c>
      <c r="F981">
        <v>134.80000000000001</v>
      </c>
      <c r="G981">
        <v>131.1</v>
      </c>
      <c r="H981" s="1" t="s">
        <v>188</v>
      </c>
    </row>
    <row r="982" spans="1:8" x14ac:dyDescent="0.3">
      <c r="A982">
        <v>2016</v>
      </c>
      <c r="B982" t="s">
        <v>37</v>
      </c>
      <c r="C982" t="s">
        <v>90</v>
      </c>
      <c r="D982" s="1" t="s">
        <v>21</v>
      </c>
      <c r="E982">
        <v>127</v>
      </c>
      <c r="F982">
        <v>122.3</v>
      </c>
      <c r="G982">
        <v>114.6</v>
      </c>
      <c r="H982" s="1" t="s">
        <v>190</v>
      </c>
    </row>
    <row r="983" spans="1:8" x14ac:dyDescent="0.3">
      <c r="A983">
        <v>2016</v>
      </c>
      <c r="B983" t="s">
        <v>37</v>
      </c>
      <c r="C983" t="s">
        <v>90</v>
      </c>
      <c r="D983" s="1" t="s">
        <v>29</v>
      </c>
      <c r="E983">
        <v>129</v>
      </c>
      <c r="F983">
        <v>127.3</v>
      </c>
      <c r="G983">
        <v>125.3</v>
      </c>
      <c r="H983" s="1" t="s">
        <v>206</v>
      </c>
    </row>
    <row r="984" spans="1:8" x14ac:dyDescent="0.3">
      <c r="A984">
        <v>2016</v>
      </c>
      <c r="B984" t="s">
        <v>37</v>
      </c>
      <c r="C984" t="s">
        <v>90</v>
      </c>
      <c r="D984" s="1" t="s">
        <v>23</v>
      </c>
      <c r="E984">
        <v>125.2</v>
      </c>
      <c r="F984">
        <v>123.2</v>
      </c>
      <c r="G984">
        <v>120</v>
      </c>
      <c r="H984" s="1" t="s">
        <v>23</v>
      </c>
    </row>
    <row r="985" spans="1:8" x14ac:dyDescent="0.3">
      <c r="A985">
        <v>2016</v>
      </c>
      <c r="B985" t="s">
        <v>37</v>
      </c>
      <c r="C985" t="s">
        <v>90</v>
      </c>
      <c r="D985" s="1" t="s">
        <v>22</v>
      </c>
      <c r="E985">
        <v>128</v>
      </c>
      <c r="F985">
        <v>125.5</v>
      </c>
      <c r="G985">
        <v>122.8</v>
      </c>
      <c r="H985" s="1" t="s">
        <v>20</v>
      </c>
    </row>
    <row r="986" spans="1:8" x14ac:dyDescent="0.3">
      <c r="A986">
        <v>2016</v>
      </c>
      <c r="B986" t="s">
        <v>37</v>
      </c>
      <c r="C986" t="s">
        <v>90</v>
      </c>
      <c r="D986" s="1" t="s">
        <v>20</v>
      </c>
      <c r="E986">
        <v>0</v>
      </c>
      <c r="F986">
        <v>125.6</v>
      </c>
      <c r="G986">
        <v>125.6</v>
      </c>
      <c r="H986" s="1" t="s">
        <v>20</v>
      </c>
    </row>
    <row r="987" spans="1:8" x14ac:dyDescent="0.3">
      <c r="A987">
        <v>2016</v>
      </c>
      <c r="B987" t="s">
        <v>37</v>
      </c>
      <c r="C987" t="s">
        <v>90</v>
      </c>
      <c r="D987" s="1" t="s">
        <v>4</v>
      </c>
      <c r="E987">
        <v>135.4</v>
      </c>
      <c r="F987">
        <v>136.80000000000001</v>
      </c>
      <c r="G987">
        <v>139.30000000000001</v>
      </c>
      <c r="H987" s="1" t="s">
        <v>188</v>
      </c>
    </row>
    <row r="988" spans="1:8" x14ac:dyDescent="0.3">
      <c r="A988">
        <v>2016</v>
      </c>
      <c r="B988" t="s">
        <v>37</v>
      </c>
      <c r="C988" t="s">
        <v>90</v>
      </c>
      <c r="D988" s="1" t="s">
        <v>6</v>
      </c>
      <c r="E988">
        <v>131.30000000000001</v>
      </c>
      <c r="F988">
        <v>130.9</v>
      </c>
      <c r="G988">
        <v>130.19999999999999</v>
      </c>
      <c r="H988" s="1" t="s">
        <v>188</v>
      </c>
    </row>
    <row r="989" spans="1:8" x14ac:dyDescent="0.3">
      <c r="A989">
        <v>2016</v>
      </c>
      <c r="B989" t="s">
        <v>37</v>
      </c>
      <c r="C989" t="s">
        <v>90</v>
      </c>
      <c r="D989" s="1" t="s">
        <v>28</v>
      </c>
      <c r="E989">
        <v>121.7</v>
      </c>
      <c r="F989">
        <v>120</v>
      </c>
      <c r="G989">
        <v>118.2</v>
      </c>
      <c r="H989" s="1" t="s">
        <v>192</v>
      </c>
    </row>
    <row r="990" spans="1:8" x14ac:dyDescent="0.3">
      <c r="A990">
        <v>2016</v>
      </c>
      <c r="B990" t="s">
        <v>37</v>
      </c>
      <c r="C990" t="s">
        <v>90</v>
      </c>
      <c r="D990" s="1" t="s">
        <v>13</v>
      </c>
      <c r="E990">
        <v>125.4</v>
      </c>
      <c r="F990">
        <v>123.6</v>
      </c>
      <c r="G990">
        <v>121.1</v>
      </c>
      <c r="H990" s="1" t="s">
        <v>188</v>
      </c>
    </row>
    <row r="991" spans="1:8" x14ac:dyDescent="0.3">
      <c r="A991">
        <v>2016</v>
      </c>
      <c r="B991" t="s">
        <v>37</v>
      </c>
      <c r="C991" t="s">
        <v>90</v>
      </c>
      <c r="D991" s="1" t="s">
        <v>7</v>
      </c>
      <c r="E991">
        <v>118.2</v>
      </c>
      <c r="F991">
        <v>114.8</v>
      </c>
      <c r="G991">
        <v>108.9</v>
      </c>
      <c r="H991" s="1" t="s">
        <v>188</v>
      </c>
    </row>
    <row r="992" spans="1:8" x14ac:dyDescent="0.3">
      <c r="A992">
        <v>2016</v>
      </c>
      <c r="B992" t="s">
        <v>37</v>
      </c>
      <c r="C992" t="s">
        <v>90</v>
      </c>
      <c r="D992" s="1" t="s">
        <v>16</v>
      </c>
      <c r="E992">
        <v>135.5</v>
      </c>
      <c r="F992">
        <v>137.1</v>
      </c>
      <c r="G992">
        <v>141.5</v>
      </c>
      <c r="H992" s="1" t="s">
        <v>192</v>
      </c>
    </row>
    <row r="993" spans="1:8" x14ac:dyDescent="0.3">
      <c r="A993">
        <v>2016</v>
      </c>
      <c r="B993" t="s">
        <v>37</v>
      </c>
      <c r="C993" t="s">
        <v>90</v>
      </c>
      <c r="D993" s="1" t="s">
        <v>27</v>
      </c>
      <c r="E993">
        <v>118.4</v>
      </c>
      <c r="F993">
        <v>118.1</v>
      </c>
      <c r="G993">
        <v>117.6</v>
      </c>
      <c r="H993" s="1" t="s">
        <v>192</v>
      </c>
    </row>
    <row r="994" spans="1:8" x14ac:dyDescent="0.3">
      <c r="A994">
        <v>2016</v>
      </c>
      <c r="B994" t="s">
        <v>37</v>
      </c>
      <c r="C994" t="s">
        <v>90</v>
      </c>
      <c r="D994" s="1" t="s">
        <v>14</v>
      </c>
      <c r="E994">
        <v>137.4</v>
      </c>
      <c r="F994">
        <v>136.69999999999999</v>
      </c>
      <c r="G994">
        <v>135.9</v>
      </c>
      <c r="H994" s="1" t="s">
        <v>188</v>
      </c>
    </row>
    <row r="995" spans="1:8" x14ac:dyDescent="0.3">
      <c r="A995">
        <v>2016</v>
      </c>
      <c r="B995" t="s">
        <v>37</v>
      </c>
      <c r="C995" t="s">
        <v>90</v>
      </c>
      <c r="D995" s="1" t="s">
        <v>10</v>
      </c>
      <c r="E995">
        <v>162.69999999999999</v>
      </c>
      <c r="F995">
        <v>167.5</v>
      </c>
      <c r="G995">
        <v>176.9</v>
      </c>
      <c r="H995" s="1" t="s">
        <v>188</v>
      </c>
    </row>
    <row r="996" spans="1:8" x14ac:dyDescent="0.3">
      <c r="A996">
        <v>2016</v>
      </c>
      <c r="B996" t="s">
        <v>37</v>
      </c>
      <c r="C996" t="s">
        <v>90</v>
      </c>
      <c r="D996" s="1" t="s">
        <v>25</v>
      </c>
      <c r="E996">
        <v>123.2</v>
      </c>
      <c r="F996">
        <v>121.1</v>
      </c>
      <c r="G996">
        <v>119.5</v>
      </c>
      <c r="H996" s="1" t="s">
        <v>195</v>
      </c>
    </row>
    <row r="997" spans="1:8" x14ac:dyDescent="0.3">
      <c r="A997">
        <v>2016</v>
      </c>
      <c r="B997" t="s">
        <v>37</v>
      </c>
      <c r="C997" t="s">
        <v>90</v>
      </c>
      <c r="D997" s="1" t="s">
        <v>12</v>
      </c>
      <c r="E997">
        <v>131.4</v>
      </c>
      <c r="F997">
        <v>134.4</v>
      </c>
      <c r="G997">
        <v>140.4</v>
      </c>
      <c r="H997" s="1" t="s">
        <v>188</v>
      </c>
    </row>
    <row r="998" spans="1:8" x14ac:dyDescent="0.3">
      <c r="A998">
        <v>2016</v>
      </c>
      <c r="B998" t="s">
        <v>37</v>
      </c>
      <c r="C998" t="s">
        <v>90</v>
      </c>
      <c r="D998" s="1" t="s">
        <v>11</v>
      </c>
      <c r="E998">
        <v>105</v>
      </c>
      <c r="F998">
        <v>106.4</v>
      </c>
      <c r="G998">
        <v>109.1</v>
      </c>
      <c r="H998" s="1" t="s">
        <v>188</v>
      </c>
    </row>
    <row r="999" spans="1:8" x14ac:dyDescent="0.3">
      <c r="A999">
        <v>2016</v>
      </c>
      <c r="B999" t="s">
        <v>37</v>
      </c>
      <c r="C999" t="s">
        <v>90</v>
      </c>
      <c r="D999" s="1" t="s">
        <v>24</v>
      </c>
      <c r="E999">
        <v>114.4</v>
      </c>
      <c r="F999">
        <v>112.1</v>
      </c>
      <c r="G999">
        <v>110</v>
      </c>
      <c r="H999" s="1" t="s">
        <v>191</v>
      </c>
    </row>
    <row r="1000" spans="1:8" x14ac:dyDescent="0.3">
      <c r="A1000">
        <v>2016</v>
      </c>
      <c r="B1000" t="s">
        <v>37</v>
      </c>
      <c r="C1000" t="s">
        <v>90</v>
      </c>
      <c r="D1000" s="1" t="s">
        <v>9</v>
      </c>
      <c r="E1000">
        <v>134.1</v>
      </c>
      <c r="F1000">
        <v>135</v>
      </c>
      <c r="G1000">
        <v>136.80000000000001</v>
      </c>
      <c r="H1000" s="1" t="s">
        <v>188</v>
      </c>
    </row>
    <row r="1001" spans="1:8" x14ac:dyDescent="0.3">
      <c r="A1001">
        <v>2016</v>
      </c>
      <c r="B1001" t="s">
        <v>41</v>
      </c>
      <c r="C1001" t="s">
        <v>91</v>
      </c>
      <c r="D1001" s="1" t="s">
        <v>3</v>
      </c>
      <c r="E1001">
        <v>130.1</v>
      </c>
      <c r="F1001">
        <v>129.30000000000001</v>
      </c>
      <c r="G1001">
        <v>127.6</v>
      </c>
      <c r="H1001" s="1" t="s">
        <v>188</v>
      </c>
    </row>
    <row r="1002" spans="1:8" x14ac:dyDescent="0.3">
      <c r="A1002">
        <v>2016</v>
      </c>
      <c r="B1002" t="s">
        <v>41</v>
      </c>
      <c r="C1002" t="s">
        <v>91</v>
      </c>
      <c r="D1002" s="1" t="s">
        <v>17</v>
      </c>
      <c r="E1002">
        <v>137.80000000000001</v>
      </c>
      <c r="F1002">
        <v>134.1</v>
      </c>
      <c r="G1002">
        <v>128.30000000000001</v>
      </c>
      <c r="H1002" s="1" t="s">
        <v>189</v>
      </c>
    </row>
    <row r="1003" spans="1:8" x14ac:dyDescent="0.3">
      <c r="A1003">
        <v>2016</v>
      </c>
      <c r="B1003" t="s">
        <v>41</v>
      </c>
      <c r="C1003" t="s">
        <v>91</v>
      </c>
      <c r="D1003" s="1" t="s">
        <v>19</v>
      </c>
      <c r="E1003">
        <v>137.1</v>
      </c>
      <c r="F1003">
        <v>133.19999999999999</v>
      </c>
      <c r="G1003">
        <v>127.3</v>
      </c>
      <c r="H1003" s="1" t="s">
        <v>189</v>
      </c>
    </row>
    <row r="1004" spans="1:8" x14ac:dyDescent="0.3">
      <c r="A1004">
        <v>2016</v>
      </c>
      <c r="B1004" t="s">
        <v>41</v>
      </c>
      <c r="C1004" t="s">
        <v>91</v>
      </c>
      <c r="D1004" s="1" t="s">
        <v>26</v>
      </c>
      <c r="E1004">
        <v>131.9</v>
      </c>
      <c r="F1004">
        <v>131.69999999999999</v>
      </c>
      <c r="G1004">
        <v>131.5</v>
      </c>
      <c r="H1004" s="1" t="s">
        <v>26</v>
      </c>
    </row>
    <row r="1005" spans="1:8" x14ac:dyDescent="0.3">
      <c r="A1005">
        <v>2016</v>
      </c>
      <c r="B1005" t="s">
        <v>41</v>
      </c>
      <c r="C1005" t="s">
        <v>91</v>
      </c>
      <c r="D1005" s="1" t="s">
        <v>5</v>
      </c>
      <c r="E1005">
        <v>130.30000000000001</v>
      </c>
      <c r="F1005">
        <v>131.6</v>
      </c>
      <c r="G1005">
        <v>133.69999999999999</v>
      </c>
      <c r="H1005" s="1" t="s">
        <v>188</v>
      </c>
    </row>
    <row r="1006" spans="1:8" x14ac:dyDescent="0.3">
      <c r="A1006">
        <v>2016</v>
      </c>
      <c r="B1006" t="s">
        <v>41</v>
      </c>
      <c r="C1006" t="s">
        <v>91</v>
      </c>
      <c r="D1006" s="1" t="s">
        <v>15</v>
      </c>
      <c r="E1006">
        <v>138</v>
      </c>
      <c r="F1006">
        <v>137.9</v>
      </c>
      <c r="G1006">
        <v>137.6</v>
      </c>
      <c r="H1006" s="1" t="s">
        <v>188</v>
      </c>
    </row>
    <row r="1007" spans="1:8" x14ac:dyDescent="0.3">
      <c r="A1007">
        <v>2016</v>
      </c>
      <c r="B1007" t="s">
        <v>41</v>
      </c>
      <c r="C1007" t="s">
        <v>91</v>
      </c>
      <c r="D1007" s="1" t="s">
        <v>18</v>
      </c>
      <c r="E1007">
        <v>133</v>
      </c>
      <c r="F1007">
        <v>128.19999999999999</v>
      </c>
      <c r="G1007">
        <v>121.4</v>
      </c>
      <c r="H1007" s="1" t="s">
        <v>189</v>
      </c>
    </row>
    <row r="1008" spans="1:8" x14ac:dyDescent="0.3">
      <c r="A1008">
        <v>2016</v>
      </c>
      <c r="B1008" t="s">
        <v>41</v>
      </c>
      <c r="C1008" t="s">
        <v>91</v>
      </c>
      <c r="D1008" s="1" t="s">
        <v>8</v>
      </c>
      <c r="E1008">
        <v>140.19999999999999</v>
      </c>
      <c r="F1008">
        <v>138.1</v>
      </c>
      <c r="G1008">
        <v>135.80000000000001</v>
      </c>
      <c r="H1008" s="1" t="s">
        <v>188</v>
      </c>
    </row>
    <row r="1009" spans="1:8" x14ac:dyDescent="0.3">
      <c r="A1009">
        <v>2016</v>
      </c>
      <c r="B1009" t="s">
        <v>41</v>
      </c>
      <c r="C1009" t="s">
        <v>91</v>
      </c>
      <c r="D1009" s="1" t="s">
        <v>21</v>
      </c>
      <c r="E1009">
        <v>129.1</v>
      </c>
      <c r="F1009">
        <v>123.6</v>
      </c>
      <c r="G1009">
        <v>114.7</v>
      </c>
      <c r="H1009" s="1" t="s">
        <v>190</v>
      </c>
    </row>
    <row r="1010" spans="1:8" x14ac:dyDescent="0.3">
      <c r="A1010">
        <v>2016</v>
      </c>
      <c r="B1010" t="s">
        <v>41</v>
      </c>
      <c r="C1010" t="s">
        <v>91</v>
      </c>
      <c r="D1010" s="1" t="s">
        <v>29</v>
      </c>
      <c r="E1010">
        <v>133.5</v>
      </c>
      <c r="F1010">
        <v>131.1</v>
      </c>
      <c r="G1010">
        <v>128.4</v>
      </c>
      <c r="H1010" s="1" t="s">
        <v>206</v>
      </c>
    </row>
    <row r="1011" spans="1:8" x14ac:dyDescent="0.3">
      <c r="A1011">
        <v>2016</v>
      </c>
      <c r="B1011" t="s">
        <v>41</v>
      </c>
      <c r="C1011" t="s">
        <v>91</v>
      </c>
      <c r="D1011" s="1" t="s">
        <v>23</v>
      </c>
      <c r="E1011">
        <v>127</v>
      </c>
      <c r="F1011">
        <v>124.8</v>
      </c>
      <c r="G1011">
        <v>121.2</v>
      </c>
      <c r="H1011" s="1" t="s">
        <v>23</v>
      </c>
    </row>
    <row r="1012" spans="1:8" x14ac:dyDescent="0.3">
      <c r="A1012">
        <v>2016</v>
      </c>
      <c r="B1012" t="s">
        <v>41</v>
      </c>
      <c r="C1012" t="s">
        <v>91</v>
      </c>
      <c r="D1012" s="1" t="s">
        <v>22</v>
      </c>
      <c r="E1012">
        <v>130.6</v>
      </c>
      <c r="F1012">
        <v>127.4</v>
      </c>
      <c r="G1012">
        <v>123.9</v>
      </c>
      <c r="H1012" s="1" t="s">
        <v>20</v>
      </c>
    </row>
    <row r="1013" spans="1:8" x14ac:dyDescent="0.3">
      <c r="A1013">
        <v>2016</v>
      </c>
      <c r="B1013" t="s">
        <v>41</v>
      </c>
      <c r="C1013" t="s">
        <v>91</v>
      </c>
      <c r="D1013" s="1" t="s">
        <v>20</v>
      </c>
      <c r="E1013">
        <v>0</v>
      </c>
      <c r="F1013">
        <v>127.3</v>
      </c>
      <c r="G1013">
        <v>127.3</v>
      </c>
      <c r="H1013" s="1" t="s">
        <v>20</v>
      </c>
    </row>
    <row r="1014" spans="1:8" x14ac:dyDescent="0.3">
      <c r="A1014">
        <v>2016</v>
      </c>
      <c r="B1014" t="s">
        <v>41</v>
      </c>
      <c r="C1014" t="s">
        <v>91</v>
      </c>
      <c r="D1014" s="1" t="s">
        <v>4</v>
      </c>
      <c r="E1014">
        <v>138.80000000000001</v>
      </c>
      <c r="F1014">
        <v>139.30000000000001</v>
      </c>
      <c r="G1014">
        <v>140.30000000000001</v>
      </c>
      <c r="H1014" s="1" t="s">
        <v>188</v>
      </c>
    </row>
    <row r="1015" spans="1:8" x14ac:dyDescent="0.3">
      <c r="A1015">
        <v>2016</v>
      </c>
      <c r="B1015" t="s">
        <v>41</v>
      </c>
      <c r="C1015" t="s">
        <v>91</v>
      </c>
      <c r="D1015" s="1" t="s">
        <v>6</v>
      </c>
      <c r="E1015">
        <v>135.30000000000001</v>
      </c>
      <c r="F1015">
        <v>134.1</v>
      </c>
      <c r="G1015">
        <v>132.19999999999999</v>
      </c>
      <c r="H1015" s="1" t="s">
        <v>188</v>
      </c>
    </row>
    <row r="1016" spans="1:8" x14ac:dyDescent="0.3">
      <c r="A1016">
        <v>2016</v>
      </c>
      <c r="B1016" t="s">
        <v>41</v>
      </c>
      <c r="C1016" t="s">
        <v>91</v>
      </c>
      <c r="D1016" s="1" t="s">
        <v>28</v>
      </c>
      <c r="E1016">
        <v>124.2</v>
      </c>
      <c r="F1016">
        <v>122.1</v>
      </c>
      <c r="G1016">
        <v>119.9</v>
      </c>
      <c r="H1016" s="1" t="s">
        <v>192</v>
      </c>
    </row>
    <row r="1017" spans="1:8" x14ac:dyDescent="0.3">
      <c r="A1017">
        <v>2016</v>
      </c>
      <c r="B1017" t="s">
        <v>41</v>
      </c>
      <c r="C1017" t="s">
        <v>91</v>
      </c>
      <c r="D1017" s="1" t="s">
        <v>13</v>
      </c>
      <c r="E1017">
        <v>128.1</v>
      </c>
      <c r="F1017">
        <v>125.5</v>
      </c>
      <c r="G1017">
        <v>121.9</v>
      </c>
      <c r="H1017" s="1" t="s">
        <v>188</v>
      </c>
    </row>
    <row r="1018" spans="1:8" x14ac:dyDescent="0.3">
      <c r="A1018">
        <v>2016</v>
      </c>
      <c r="B1018" t="s">
        <v>41</v>
      </c>
      <c r="C1018" t="s">
        <v>91</v>
      </c>
      <c r="D1018" s="1" t="s">
        <v>7</v>
      </c>
      <c r="E1018">
        <v>119.9</v>
      </c>
      <c r="F1018">
        <v>116.9</v>
      </c>
      <c r="G1018">
        <v>111.8</v>
      </c>
      <c r="H1018" s="1" t="s">
        <v>188</v>
      </c>
    </row>
    <row r="1019" spans="1:8" x14ac:dyDescent="0.3">
      <c r="A1019">
        <v>2016</v>
      </c>
      <c r="B1019" t="s">
        <v>41</v>
      </c>
      <c r="C1019" t="s">
        <v>91</v>
      </c>
      <c r="D1019" s="1" t="s">
        <v>16</v>
      </c>
      <c r="E1019">
        <v>138.9</v>
      </c>
      <c r="F1019">
        <v>140.19999999999999</v>
      </c>
      <c r="G1019">
        <v>143.6</v>
      </c>
      <c r="H1019" s="1" t="s">
        <v>192</v>
      </c>
    </row>
    <row r="1020" spans="1:8" x14ac:dyDescent="0.3">
      <c r="A1020">
        <v>2016</v>
      </c>
      <c r="B1020" t="s">
        <v>41</v>
      </c>
      <c r="C1020" t="s">
        <v>91</v>
      </c>
      <c r="D1020" s="1" t="s">
        <v>27</v>
      </c>
      <c r="E1020">
        <v>122</v>
      </c>
      <c r="F1020">
        <v>121.5</v>
      </c>
      <c r="G1020">
        <v>120.9</v>
      </c>
      <c r="H1020" s="1" t="s">
        <v>192</v>
      </c>
    </row>
    <row r="1021" spans="1:8" x14ac:dyDescent="0.3">
      <c r="A1021">
        <v>2016</v>
      </c>
      <c r="B1021" t="s">
        <v>41</v>
      </c>
      <c r="C1021" t="s">
        <v>91</v>
      </c>
      <c r="D1021" s="1" t="s">
        <v>14</v>
      </c>
      <c r="E1021">
        <v>140.69999999999999</v>
      </c>
      <c r="F1021">
        <v>139.5</v>
      </c>
      <c r="G1021">
        <v>138.1</v>
      </c>
      <c r="H1021" s="1" t="s">
        <v>188</v>
      </c>
    </row>
    <row r="1022" spans="1:8" x14ac:dyDescent="0.3">
      <c r="A1022">
        <v>2016</v>
      </c>
      <c r="B1022" t="s">
        <v>41</v>
      </c>
      <c r="C1022" t="s">
        <v>91</v>
      </c>
      <c r="D1022" s="1" t="s">
        <v>10</v>
      </c>
      <c r="E1022">
        <v>172.2</v>
      </c>
      <c r="F1022">
        <v>175.6</v>
      </c>
      <c r="G1022">
        <v>182.3</v>
      </c>
      <c r="H1022" s="1" t="s">
        <v>188</v>
      </c>
    </row>
    <row r="1023" spans="1:8" x14ac:dyDescent="0.3">
      <c r="A1023">
        <v>2016</v>
      </c>
      <c r="B1023" t="s">
        <v>41</v>
      </c>
      <c r="C1023" t="s">
        <v>91</v>
      </c>
      <c r="D1023" s="1" t="s">
        <v>25</v>
      </c>
      <c r="E1023">
        <v>125.5</v>
      </c>
      <c r="F1023">
        <v>122.7</v>
      </c>
      <c r="G1023">
        <v>120.6</v>
      </c>
      <c r="H1023" s="1" t="s">
        <v>195</v>
      </c>
    </row>
    <row r="1024" spans="1:8" x14ac:dyDescent="0.3">
      <c r="A1024">
        <v>2016</v>
      </c>
      <c r="B1024" t="s">
        <v>41</v>
      </c>
      <c r="C1024" t="s">
        <v>91</v>
      </c>
      <c r="D1024" s="1" t="s">
        <v>12</v>
      </c>
      <c r="E1024">
        <v>134.9</v>
      </c>
      <c r="F1024">
        <v>138.1</v>
      </c>
      <c r="G1024">
        <v>144.6</v>
      </c>
      <c r="H1024" s="1" t="s">
        <v>188</v>
      </c>
    </row>
    <row r="1025" spans="1:8" x14ac:dyDescent="0.3">
      <c r="A1025">
        <v>2016</v>
      </c>
      <c r="B1025" t="s">
        <v>41</v>
      </c>
      <c r="C1025" t="s">
        <v>91</v>
      </c>
      <c r="D1025" s="1" t="s">
        <v>11</v>
      </c>
      <c r="E1025">
        <v>112.1</v>
      </c>
      <c r="F1025">
        <v>112.9</v>
      </c>
      <c r="G1025">
        <v>114.6</v>
      </c>
      <c r="H1025" s="1" t="s">
        <v>188</v>
      </c>
    </row>
    <row r="1026" spans="1:8" x14ac:dyDescent="0.3">
      <c r="A1026">
        <v>2016</v>
      </c>
      <c r="B1026" t="s">
        <v>41</v>
      </c>
      <c r="C1026" t="s">
        <v>91</v>
      </c>
      <c r="D1026" s="1" t="s">
        <v>24</v>
      </c>
      <c r="E1026">
        <v>116</v>
      </c>
      <c r="F1026">
        <v>113.1</v>
      </c>
      <c r="G1026">
        <v>110.4</v>
      </c>
      <c r="H1026" s="1" t="s">
        <v>191</v>
      </c>
    </row>
    <row r="1027" spans="1:8" x14ac:dyDescent="0.3">
      <c r="A1027">
        <v>2016</v>
      </c>
      <c r="B1027" t="s">
        <v>41</v>
      </c>
      <c r="C1027" t="s">
        <v>91</v>
      </c>
      <c r="D1027" s="1" t="s">
        <v>9</v>
      </c>
      <c r="E1027">
        <v>156.9</v>
      </c>
      <c r="F1027">
        <v>159.1</v>
      </c>
      <c r="G1027">
        <v>163.5</v>
      </c>
      <c r="H1027" s="1" t="s">
        <v>188</v>
      </c>
    </row>
    <row r="1028" spans="1:8" x14ac:dyDescent="0.3">
      <c r="A1028">
        <v>2016</v>
      </c>
      <c r="B1028" t="s">
        <v>45</v>
      </c>
      <c r="C1028" t="s">
        <v>92</v>
      </c>
      <c r="D1028" s="1" t="s">
        <v>3</v>
      </c>
      <c r="E1028">
        <v>132.6</v>
      </c>
      <c r="F1028">
        <v>132.30000000000001</v>
      </c>
      <c r="G1028">
        <v>131.6</v>
      </c>
      <c r="H1028" s="1" t="s">
        <v>188</v>
      </c>
    </row>
    <row r="1029" spans="1:8" x14ac:dyDescent="0.3">
      <c r="A1029">
        <v>2016</v>
      </c>
      <c r="B1029" t="s">
        <v>45</v>
      </c>
      <c r="C1029" t="s">
        <v>92</v>
      </c>
      <c r="D1029" s="1" t="s">
        <v>17</v>
      </c>
      <c r="E1029">
        <v>140.4</v>
      </c>
      <c r="F1029">
        <v>136.30000000000001</v>
      </c>
      <c r="G1029">
        <v>130</v>
      </c>
      <c r="H1029" s="1" t="s">
        <v>189</v>
      </c>
    </row>
    <row r="1030" spans="1:8" x14ac:dyDescent="0.3">
      <c r="A1030">
        <v>2016</v>
      </c>
      <c r="B1030" t="s">
        <v>45</v>
      </c>
      <c r="C1030" t="s">
        <v>92</v>
      </c>
      <c r="D1030" s="1" t="s">
        <v>19</v>
      </c>
      <c r="E1030">
        <v>139.69999999999999</v>
      </c>
      <c r="F1030">
        <v>135.4</v>
      </c>
      <c r="G1030">
        <v>128.80000000000001</v>
      </c>
      <c r="H1030" s="1" t="s">
        <v>189</v>
      </c>
    </row>
    <row r="1031" spans="1:8" x14ac:dyDescent="0.3">
      <c r="A1031">
        <v>2016</v>
      </c>
      <c r="B1031" t="s">
        <v>45</v>
      </c>
      <c r="C1031" t="s">
        <v>92</v>
      </c>
      <c r="D1031" s="1" t="s">
        <v>26</v>
      </c>
      <c r="E1031">
        <v>134.19999999999999</v>
      </c>
      <c r="F1031">
        <v>133.1</v>
      </c>
      <c r="G1031">
        <v>132.30000000000001</v>
      </c>
      <c r="H1031" s="1" t="s">
        <v>26</v>
      </c>
    </row>
    <row r="1032" spans="1:8" x14ac:dyDescent="0.3">
      <c r="A1032">
        <v>2016</v>
      </c>
      <c r="B1032" t="s">
        <v>45</v>
      </c>
      <c r="C1032" t="s">
        <v>92</v>
      </c>
      <c r="D1032" s="1" t="s">
        <v>5</v>
      </c>
      <c r="E1032">
        <v>131.6</v>
      </c>
      <c r="F1032">
        <v>132.9</v>
      </c>
      <c r="G1032">
        <v>134.9</v>
      </c>
      <c r="H1032" s="1" t="s">
        <v>188</v>
      </c>
    </row>
    <row r="1033" spans="1:8" x14ac:dyDescent="0.3">
      <c r="A1033">
        <v>2016</v>
      </c>
      <c r="B1033" t="s">
        <v>45</v>
      </c>
      <c r="C1033" t="s">
        <v>92</v>
      </c>
      <c r="D1033" s="1" t="s">
        <v>15</v>
      </c>
      <c r="E1033">
        <v>134.69999999999999</v>
      </c>
      <c r="F1033">
        <v>134</v>
      </c>
      <c r="G1033">
        <v>132.80000000000001</v>
      </c>
      <c r="H1033" s="1" t="s">
        <v>188</v>
      </c>
    </row>
    <row r="1034" spans="1:8" x14ac:dyDescent="0.3">
      <c r="A1034">
        <v>2016</v>
      </c>
      <c r="B1034" t="s">
        <v>45</v>
      </c>
      <c r="C1034" t="s">
        <v>92</v>
      </c>
      <c r="D1034" s="1" t="s">
        <v>18</v>
      </c>
      <c r="E1034">
        <v>135.19999999999999</v>
      </c>
      <c r="F1034">
        <v>129.80000000000001</v>
      </c>
      <c r="G1034">
        <v>122.2</v>
      </c>
      <c r="H1034" s="1" t="s">
        <v>189</v>
      </c>
    </row>
    <row r="1035" spans="1:8" x14ac:dyDescent="0.3">
      <c r="A1035">
        <v>2016</v>
      </c>
      <c r="B1035" t="s">
        <v>45</v>
      </c>
      <c r="C1035" t="s">
        <v>92</v>
      </c>
      <c r="D1035" s="1" t="s">
        <v>8</v>
      </c>
      <c r="E1035">
        <v>135.6</v>
      </c>
      <c r="F1035">
        <v>132.69999999999999</v>
      </c>
      <c r="G1035">
        <v>129.30000000000001</v>
      </c>
      <c r="H1035" s="1" t="s">
        <v>188</v>
      </c>
    </row>
    <row r="1036" spans="1:8" x14ac:dyDescent="0.3">
      <c r="A1036">
        <v>2016</v>
      </c>
      <c r="B1036" t="s">
        <v>45</v>
      </c>
      <c r="C1036" t="s">
        <v>92</v>
      </c>
      <c r="D1036" s="1" t="s">
        <v>21</v>
      </c>
      <c r="E1036">
        <v>132</v>
      </c>
      <c r="F1036">
        <v>126.6</v>
      </c>
      <c r="G1036">
        <v>117.8</v>
      </c>
      <c r="H1036" s="1" t="s">
        <v>190</v>
      </c>
    </row>
    <row r="1037" spans="1:8" x14ac:dyDescent="0.3">
      <c r="A1037">
        <v>2016</v>
      </c>
      <c r="B1037" t="s">
        <v>45</v>
      </c>
      <c r="C1037" t="s">
        <v>92</v>
      </c>
      <c r="D1037" s="1" t="s">
        <v>29</v>
      </c>
      <c r="E1037">
        <v>132.80000000000001</v>
      </c>
      <c r="F1037">
        <v>130.4</v>
      </c>
      <c r="G1037">
        <v>127.6</v>
      </c>
      <c r="H1037" s="1" t="s">
        <v>206</v>
      </c>
    </row>
    <row r="1038" spans="1:8" x14ac:dyDescent="0.3">
      <c r="A1038">
        <v>2016</v>
      </c>
      <c r="B1038" t="s">
        <v>45</v>
      </c>
      <c r="C1038" t="s">
        <v>92</v>
      </c>
      <c r="D1038" s="1" t="s">
        <v>23</v>
      </c>
      <c r="E1038">
        <v>129.69999999999999</v>
      </c>
      <c r="F1038">
        <v>126.9</v>
      </c>
      <c r="G1038">
        <v>122.3</v>
      </c>
      <c r="H1038" s="1" t="s">
        <v>23</v>
      </c>
    </row>
    <row r="1039" spans="1:8" x14ac:dyDescent="0.3">
      <c r="A1039">
        <v>2016</v>
      </c>
      <c r="B1039" t="s">
        <v>45</v>
      </c>
      <c r="C1039" t="s">
        <v>92</v>
      </c>
      <c r="D1039" s="1" t="s">
        <v>22</v>
      </c>
      <c r="E1039">
        <v>132.9</v>
      </c>
      <c r="F1039">
        <v>129.19999999999999</v>
      </c>
      <c r="G1039">
        <v>125</v>
      </c>
      <c r="H1039" s="1" t="s">
        <v>20</v>
      </c>
    </row>
    <row r="1040" spans="1:8" x14ac:dyDescent="0.3">
      <c r="A1040">
        <v>2016</v>
      </c>
      <c r="B1040" t="s">
        <v>45</v>
      </c>
      <c r="C1040" t="s">
        <v>92</v>
      </c>
      <c r="D1040" s="1" t="s">
        <v>20</v>
      </c>
      <c r="E1040">
        <v>0</v>
      </c>
      <c r="F1040">
        <v>128.5</v>
      </c>
      <c r="G1040">
        <v>128.5</v>
      </c>
      <c r="H1040" s="1" t="s">
        <v>20</v>
      </c>
    </row>
    <row r="1041" spans="1:8" x14ac:dyDescent="0.3">
      <c r="A1041">
        <v>2016</v>
      </c>
      <c r="B1041" t="s">
        <v>45</v>
      </c>
      <c r="C1041" t="s">
        <v>92</v>
      </c>
      <c r="D1041" s="1" t="s">
        <v>4</v>
      </c>
      <c r="E1041">
        <v>137.30000000000001</v>
      </c>
      <c r="F1041">
        <v>137.6</v>
      </c>
      <c r="G1041">
        <v>138.19999999999999</v>
      </c>
      <c r="H1041" s="1" t="s">
        <v>188</v>
      </c>
    </row>
    <row r="1042" spans="1:8" x14ac:dyDescent="0.3">
      <c r="A1042">
        <v>2016</v>
      </c>
      <c r="B1042" t="s">
        <v>45</v>
      </c>
      <c r="C1042" t="s">
        <v>92</v>
      </c>
      <c r="D1042" s="1" t="s">
        <v>6</v>
      </c>
      <c r="E1042">
        <v>136.30000000000001</v>
      </c>
      <c r="F1042">
        <v>135.1</v>
      </c>
      <c r="G1042">
        <v>133.1</v>
      </c>
      <c r="H1042" s="1" t="s">
        <v>188</v>
      </c>
    </row>
    <row r="1043" spans="1:8" x14ac:dyDescent="0.3">
      <c r="A1043">
        <v>2016</v>
      </c>
      <c r="B1043" t="s">
        <v>45</v>
      </c>
      <c r="C1043" t="s">
        <v>92</v>
      </c>
      <c r="D1043" s="1" t="s">
        <v>28</v>
      </c>
      <c r="E1043">
        <v>126.3</v>
      </c>
      <c r="F1043">
        <v>123.9</v>
      </c>
      <c r="G1043">
        <v>121.4</v>
      </c>
      <c r="H1043" s="1" t="s">
        <v>192</v>
      </c>
    </row>
    <row r="1044" spans="1:8" x14ac:dyDescent="0.3">
      <c r="A1044">
        <v>2016</v>
      </c>
      <c r="B1044" t="s">
        <v>45</v>
      </c>
      <c r="C1044" t="s">
        <v>92</v>
      </c>
      <c r="D1044" s="1" t="s">
        <v>13</v>
      </c>
      <c r="E1044">
        <v>129.1</v>
      </c>
      <c r="F1044">
        <v>126.6</v>
      </c>
      <c r="G1044">
        <v>123.1</v>
      </c>
      <c r="H1044" s="1" t="s">
        <v>188</v>
      </c>
    </row>
    <row r="1045" spans="1:8" x14ac:dyDescent="0.3">
      <c r="A1045">
        <v>2016</v>
      </c>
      <c r="B1045" t="s">
        <v>45</v>
      </c>
      <c r="C1045" t="s">
        <v>92</v>
      </c>
      <c r="D1045" s="1" t="s">
        <v>7</v>
      </c>
      <c r="E1045">
        <v>121.6</v>
      </c>
      <c r="F1045">
        <v>118.6</v>
      </c>
      <c r="G1045">
        <v>113.5</v>
      </c>
      <c r="H1045" s="1" t="s">
        <v>188</v>
      </c>
    </row>
    <row r="1046" spans="1:8" x14ac:dyDescent="0.3">
      <c r="A1046">
        <v>2016</v>
      </c>
      <c r="B1046" t="s">
        <v>45</v>
      </c>
      <c r="C1046" t="s">
        <v>92</v>
      </c>
      <c r="D1046" s="1" t="s">
        <v>16</v>
      </c>
      <c r="E1046">
        <v>142.4</v>
      </c>
      <c r="F1046">
        <v>143.1</v>
      </c>
      <c r="G1046">
        <v>145</v>
      </c>
      <c r="H1046" s="1" t="s">
        <v>192</v>
      </c>
    </row>
    <row r="1047" spans="1:8" x14ac:dyDescent="0.3">
      <c r="A1047">
        <v>2016</v>
      </c>
      <c r="B1047" t="s">
        <v>45</v>
      </c>
      <c r="C1047" t="s">
        <v>92</v>
      </c>
      <c r="D1047" s="1" t="s">
        <v>27</v>
      </c>
      <c r="E1047">
        <v>121.9</v>
      </c>
      <c r="F1047">
        <v>121.1</v>
      </c>
      <c r="G1047">
        <v>119.9</v>
      </c>
      <c r="H1047" s="1" t="s">
        <v>192</v>
      </c>
    </row>
    <row r="1048" spans="1:8" x14ac:dyDescent="0.3">
      <c r="A1048">
        <v>2016</v>
      </c>
      <c r="B1048" t="s">
        <v>45</v>
      </c>
      <c r="C1048" t="s">
        <v>92</v>
      </c>
      <c r="D1048" s="1" t="s">
        <v>14</v>
      </c>
      <c r="E1048">
        <v>143.6</v>
      </c>
      <c r="F1048">
        <v>142.30000000000001</v>
      </c>
      <c r="G1048">
        <v>140.9</v>
      </c>
      <c r="H1048" s="1" t="s">
        <v>188</v>
      </c>
    </row>
    <row r="1049" spans="1:8" x14ac:dyDescent="0.3">
      <c r="A1049">
        <v>2016</v>
      </c>
      <c r="B1049" t="s">
        <v>45</v>
      </c>
      <c r="C1049" t="s">
        <v>92</v>
      </c>
      <c r="D1049" s="1" t="s">
        <v>10</v>
      </c>
      <c r="E1049">
        <v>167.9</v>
      </c>
      <c r="F1049">
        <v>168.7</v>
      </c>
      <c r="G1049">
        <v>170.3</v>
      </c>
      <c r="H1049" s="1" t="s">
        <v>188</v>
      </c>
    </row>
    <row r="1050" spans="1:8" x14ac:dyDescent="0.3">
      <c r="A1050">
        <v>2016</v>
      </c>
      <c r="B1050" t="s">
        <v>45</v>
      </c>
      <c r="C1050" t="s">
        <v>92</v>
      </c>
      <c r="D1050" s="1" t="s">
        <v>25</v>
      </c>
      <c r="E1050">
        <v>127.3</v>
      </c>
      <c r="F1050">
        <v>124.2</v>
      </c>
      <c r="G1050">
        <v>121.8</v>
      </c>
      <c r="H1050" s="1" t="s">
        <v>195</v>
      </c>
    </row>
    <row r="1051" spans="1:8" x14ac:dyDescent="0.3">
      <c r="A1051">
        <v>2016</v>
      </c>
      <c r="B1051" t="s">
        <v>45</v>
      </c>
      <c r="C1051" t="s">
        <v>92</v>
      </c>
      <c r="D1051" s="1" t="s">
        <v>12</v>
      </c>
      <c r="E1051">
        <v>137.5</v>
      </c>
      <c r="F1051">
        <v>140.19999999999999</v>
      </c>
      <c r="G1051">
        <v>145.5</v>
      </c>
      <c r="H1051" s="1" t="s">
        <v>188</v>
      </c>
    </row>
    <row r="1052" spans="1:8" x14ac:dyDescent="0.3">
      <c r="A1052">
        <v>2016</v>
      </c>
      <c r="B1052" t="s">
        <v>45</v>
      </c>
      <c r="C1052" t="s">
        <v>92</v>
      </c>
      <c r="D1052" s="1" t="s">
        <v>11</v>
      </c>
      <c r="E1052">
        <v>113.8</v>
      </c>
      <c r="F1052">
        <v>114.4</v>
      </c>
      <c r="G1052">
        <v>115.5</v>
      </c>
      <c r="H1052" s="1" t="s">
        <v>188</v>
      </c>
    </row>
    <row r="1053" spans="1:8" x14ac:dyDescent="0.3">
      <c r="A1053">
        <v>2016</v>
      </c>
      <c r="B1053" t="s">
        <v>45</v>
      </c>
      <c r="C1053" t="s">
        <v>92</v>
      </c>
      <c r="D1053" s="1" t="s">
        <v>24</v>
      </c>
      <c r="E1053">
        <v>118.6</v>
      </c>
      <c r="F1053">
        <v>116</v>
      </c>
      <c r="G1053">
        <v>113.7</v>
      </c>
      <c r="H1053" s="1" t="s">
        <v>191</v>
      </c>
    </row>
    <row r="1054" spans="1:8" x14ac:dyDescent="0.3">
      <c r="A1054">
        <v>2016</v>
      </c>
      <c r="B1054" t="s">
        <v>45</v>
      </c>
      <c r="C1054" t="s">
        <v>92</v>
      </c>
      <c r="D1054" s="1" t="s">
        <v>9</v>
      </c>
      <c r="E1054">
        <v>127.5</v>
      </c>
      <c r="F1054">
        <v>125.3</v>
      </c>
      <c r="G1054">
        <v>121.1</v>
      </c>
      <c r="H1054" s="1" t="s">
        <v>188</v>
      </c>
    </row>
    <row r="1055" spans="1:8" x14ac:dyDescent="0.3">
      <c r="A1055">
        <v>2016</v>
      </c>
      <c r="B1055" t="s">
        <v>35</v>
      </c>
      <c r="C1055" t="s">
        <v>93</v>
      </c>
      <c r="D1055" s="1" t="s">
        <v>3</v>
      </c>
      <c r="E1055">
        <v>127.1</v>
      </c>
      <c r="F1055">
        <v>126.4</v>
      </c>
      <c r="G1055">
        <v>124.8</v>
      </c>
      <c r="H1055" s="1" t="s">
        <v>188</v>
      </c>
    </row>
    <row r="1056" spans="1:8" x14ac:dyDescent="0.3">
      <c r="A1056">
        <v>2016</v>
      </c>
      <c r="B1056" t="s">
        <v>35</v>
      </c>
      <c r="C1056" t="s">
        <v>93</v>
      </c>
      <c r="D1056" s="1" t="s">
        <v>17</v>
      </c>
      <c r="E1056">
        <v>133.9</v>
      </c>
      <c r="F1056">
        <v>130.9</v>
      </c>
      <c r="G1056">
        <v>126.2</v>
      </c>
      <c r="H1056" s="1" t="s">
        <v>189</v>
      </c>
    </row>
    <row r="1057" spans="1:8" x14ac:dyDescent="0.3">
      <c r="A1057">
        <v>2016</v>
      </c>
      <c r="B1057" t="s">
        <v>35</v>
      </c>
      <c r="C1057" t="s">
        <v>93</v>
      </c>
      <c r="D1057" s="1" t="s">
        <v>19</v>
      </c>
      <c r="E1057">
        <v>133.4</v>
      </c>
      <c r="F1057">
        <v>130.19999999999999</v>
      </c>
      <c r="G1057">
        <v>125.3</v>
      </c>
      <c r="H1057" s="1" t="s">
        <v>189</v>
      </c>
    </row>
    <row r="1058" spans="1:8" x14ac:dyDescent="0.3">
      <c r="A1058">
        <v>2016</v>
      </c>
      <c r="B1058" t="s">
        <v>35</v>
      </c>
      <c r="C1058" t="s">
        <v>93</v>
      </c>
      <c r="D1058" s="1" t="s">
        <v>26</v>
      </c>
      <c r="E1058">
        <v>127.1</v>
      </c>
      <c r="F1058">
        <v>126.6</v>
      </c>
      <c r="G1058">
        <v>126.3</v>
      </c>
      <c r="H1058" s="1" t="s">
        <v>26</v>
      </c>
    </row>
    <row r="1059" spans="1:8" x14ac:dyDescent="0.3">
      <c r="A1059">
        <v>2016</v>
      </c>
      <c r="B1059" t="s">
        <v>35</v>
      </c>
      <c r="C1059" t="s">
        <v>93</v>
      </c>
      <c r="D1059" s="1" t="s">
        <v>5</v>
      </c>
      <c r="E1059">
        <v>127.7</v>
      </c>
      <c r="F1059">
        <v>128.69999999999999</v>
      </c>
      <c r="G1059">
        <v>130.30000000000001</v>
      </c>
      <c r="H1059" s="1" t="s">
        <v>188</v>
      </c>
    </row>
    <row r="1060" spans="1:8" x14ac:dyDescent="0.3">
      <c r="A1060">
        <v>2016</v>
      </c>
      <c r="B1060" t="s">
        <v>35</v>
      </c>
      <c r="C1060" t="s">
        <v>93</v>
      </c>
      <c r="D1060" s="1" t="s">
        <v>15</v>
      </c>
      <c r="E1060">
        <v>130.30000000000001</v>
      </c>
      <c r="F1060">
        <v>129.9</v>
      </c>
      <c r="G1060">
        <v>129.1</v>
      </c>
      <c r="H1060" s="1" t="s">
        <v>188</v>
      </c>
    </row>
    <row r="1061" spans="1:8" x14ac:dyDescent="0.3">
      <c r="A1061">
        <v>2016</v>
      </c>
      <c r="B1061" t="s">
        <v>35</v>
      </c>
      <c r="C1061" t="s">
        <v>93</v>
      </c>
      <c r="D1061" s="1" t="s">
        <v>18</v>
      </c>
      <c r="E1061">
        <v>129.80000000000001</v>
      </c>
      <c r="F1061">
        <v>125.8</v>
      </c>
      <c r="G1061">
        <v>120.1</v>
      </c>
      <c r="H1061" s="1" t="s">
        <v>189</v>
      </c>
    </row>
    <row r="1062" spans="1:8" x14ac:dyDescent="0.3">
      <c r="A1062">
        <v>2016</v>
      </c>
      <c r="B1062" t="s">
        <v>35</v>
      </c>
      <c r="C1062" t="s">
        <v>93</v>
      </c>
      <c r="D1062" s="1" t="s">
        <v>8</v>
      </c>
      <c r="E1062">
        <v>130.4</v>
      </c>
      <c r="F1062">
        <v>124.9</v>
      </c>
      <c r="G1062">
        <v>118.6</v>
      </c>
      <c r="H1062" s="1" t="s">
        <v>188</v>
      </c>
    </row>
    <row r="1063" spans="1:8" x14ac:dyDescent="0.3">
      <c r="A1063">
        <v>2016</v>
      </c>
      <c r="B1063" t="s">
        <v>35</v>
      </c>
      <c r="C1063" t="s">
        <v>93</v>
      </c>
      <c r="D1063" s="1" t="s">
        <v>21</v>
      </c>
      <c r="E1063">
        <v>127.5</v>
      </c>
      <c r="F1063">
        <v>123.1</v>
      </c>
      <c r="G1063">
        <v>116</v>
      </c>
      <c r="H1063" s="1" t="s">
        <v>190</v>
      </c>
    </row>
    <row r="1064" spans="1:8" x14ac:dyDescent="0.3">
      <c r="A1064">
        <v>2016</v>
      </c>
      <c r="B1064" t="s">
        <v>35</v>
      </c>
      <c r="C1064" t="s">
        <v>93</v>
      </c>
      <c r="D1064" s="1" t="s">
        <v>29</v>
      </c>
      <c r="E1064">
        <v>127.9</v>
      </c>
      <c r="F1064">
        <v>126</v>
      </c>
      <c r="G1064">
        <v>123.8</v>
      </c>
      <c r="H1064" s="1" t="s">
        <v>206</v>
      </c>
    </row>
    <row r="1065" spans="1:8" x14ac:dyDescent="0.3">
      <c r="A1065">
        <v>2016</v>
      </c>
      <c r="B1065" t="s">
        <v>35</v>
      </c>
      <c r="C1065" t="s">
        <v>93</v>
      </c>
      <c r="D1065" s="1" t="s">
        <v>23</v>
      </c>
      <c r="E1065">
        <v>124.3</v>
      </c>
      <c r="F1065">
        <v>122.5</v>
      </c>
      <c r="G1065">
        <v>119.5</v>
      </c>
      <c r="H1065" s="1" t="s">
        <v>23</v>
      </c>
    </row>
    <row r="1066" spans="1:8" x14ac:dyDescent="0.3">
      <c r="A1066">
        <v>2016</v>
      </c>
      <c r="B1066" t="s">
        <v>35</v>
      </c>
      <c r="C1066" t="s">
        <v>93</v>
      </c>
      <c r="D1066" s="1" t="s">
        <v>22</v>
      </c>
      <c r="E1066">
        <v>127.1</v>
      </c>
      <c r="F1066">
        <v>124.6</v>
      </c>
      <c r="G1066">
        <v>121.8</v>
      </c>
      <c r="H1066" s="1" t="s">
        <v>20</v>
      </c>
    </row>
    <row r="1067" spans="1:8" x14ac:dyDescent="0.3">
      <c r="A1067">
        <v>2016</v>
      </c>
      <c r="B1067" t="s">
        <v>35</v>
      </c>
      <c r="C1067" t="s">
        <v>93</v>
      </c>
      <c r="D1067" s="1" t="s">
        <v>20</v>
      </c>
      <c r="E1067">
        <v>0</v>
      </c>
      <c r="F1067">
        <v>124.4</v>
      </c>
      <c r="G1067">
        <v>124.4</v>
      </c>
      <c r="H1067" s="1" t="s">
        <v>20</v>
      </c>
    </row>
    <row r="1068" spans="1:8" x14ac:dyDescent="0.3">
      <c r="A1068">
        <v>2016</v>
      </c>
      <c r="B1068" t="s">
        <v>35</v>
      </c>
      <c r="C1068" t="s">
        <v>93</v>
      </c>
      <c r="D1068" s="1" t="s">
        <v>4</v>
      </c>
      <c r="E1068">
        <v>133.69999999999999</v>
      </c>
      <c r="F1068">
        <v>134.19999999999999</v>
      </c>
      <c r="G1068">
        <v>135.1</v>
      </c>
      <c r="H1068" s="1" t="s">
        <v>188</v>
      </c>
    </row>
    <row r="1069" spans="1:8" x14ac:dyDescent="0.3">
      <c r="A1069">
        <v>2016</v>
      </c>
      <c r="B1069" t="s">
        <v>35</v>
      </c>
      <c r="C1069" t="s">
        <v>93</v>
      </c>
      <c r="D1069" s="1" t="s">
        <v>6</v>
      </c>
      <c r="E1069">
        <v>130.69999999999999</v>
      </c>
      <c r="F1069">
        <v>130.30000000000001</v>
      </c>
      <c r="G1069">
        <v>129.6</v>
      </c>
      <c r="H1069" s="1" t="s">
        <v>188</v>
      </c>
    </row>
    <row r="1070" spans="1:8" x14ac:dyDescent="0.3">
      <c r="A1070">
        <v>2016</v>
      </c>
      <c r="B1070" t="s">
        <v>35</v>
      </c>
      <c r="C1070" t="s">
        <v>93</v>
      </c>
      <c r="D1070" s="1" t="s">
        <v>28</v>
      </c>
      <c r="E1070">
        <v>120.9</v>
      </c>
      <c r="F1070">
        <v>119.1</v>
      </c>
      <c r="G1070">
        <v>117.2</v>
      </c>
      <c r="H1070" s="1" t="s">
        <v>192</v>
      </c>
    </row>
    <row r="1071" spans="1:8" x14ac:dyDescent="0.3">
      <c r="A1071">
        <v>2016</v>
      </c>
      <c r="B1071" t="s">
        <v>35</v>
      </c>
      <c r="C1071" t="s">
        <v>93</v>
      </c>
      <c r="D1071" s="1" t="s">
        <v>13</v>
      </c>
      <c r="E1071">
        <v>124.8</v>
      </c>
      <c r="F1071">
        <v>123</v>
      </c>
      <c r="G1071">
        <v>120.6</v>
      </c>
      <c r="H1071" s="1" t="s">
        <v>188</v>
      </c>
    </row>
    <row r="1072" spans="1:8" x14ac:dyDescent="0.3">
      <c r="A1072">
        <v>2016</v>
      </c>
      <c r="B1072" t="s">
        <v>35</v>
      </c>
      <c r="C1072" t="s">
        <v>93</v>
      </c>
      <c r="D1072" s="1" t="s">
        <v>7</v>
      </c>
      <c r="E1072">
        <v>118.5</v>
      </c>
      <c r="F1072">
        <v>114.8</v>
      </c>
      <c r="G1072">
        <v>108.4</v>
      </c>
      <c r="H1072" s="1" t="s">
        <v>188</v>
      </c>
    </row>
    <row r="1073" spans="1:8" x14ac:dyDescent="0.3">
      <c r="A1073">
        <v>2016</v>
      </c>
      <c r="B1073" t="s">
        <v>35</v>
      </c>
      <c r="C1073" t="s">
        <v>93</v>
      </c>
      <c r="D1073" s="1" t="s">
        <v>16</v>
      </c>
      <c r="E1073">
        <v>134.4</v>
      </c>
      <c r="F1073">
        <v>135.9</v>
      </c>
      <c r="G1073">
        <v>140</v>
      </c>
      <c r="H1073" s="1" t="s">
        <v>192</v>
      </c>
    </row>
    <row r="1074" spans="1:8" x14ac:dyDescent="0.3">
      <c r="A1074">
        <v>2016</v>
      </c>
      <c r="B1074" t="s">
        <v>35</v>
      </c>
      <c r="C1074" t="s">
        <v>93</v>
      </c>
      <c r="D1074" s="1" t="s">
        <v>27</v>
      </c>
      <c r="E1074">
        <v>116.8</v>
      </c>
      <c r="F1074">
        <v>116.6</v>
      </c>
      <c r="G1074">
        <v>116.2</v>
      </c>
      <c r="H1074" s="1" t="s">
        <v>192</v>
      </c>
    </row>
    <row r="1075" spans="1:8" x14ac:dyDescent="0.3">
      <c r="A1075">
        <v>2016</v>
      </c>
      <c r="B1075" t="s">
        <v>35</v>
      </c>
      <c r="C1075" t="s">
        <v>93</v>
      </c>
      <c r="D1075" s="1" t="s">
        <v>14</v>
      </c>
      <c r="E1075">
        <v>136.4</v>
      </c>
      <c r="F1075">
        <v>135.80000000000001</v>
      </c>
      <c r="G1075">
        <v>135.19999999999999</v>
      </c>
      <c r="H1075" s="1" t="s">
        <v>188</v>
      </c>
    </row>
    <row r="1076" spans="1:8" x14ac:dyDescent="0.3">
      <c r="A1076">
        <v>2016</v>
      </c>
      <c r="B1076" t="s">
        <v>35</v>
      </c>
      <c r="C1076" t="s">
        <v>93</v>
      </c>
      <c r="D1076" s="1" t="s">
        <v>10</v>
      </c>
      <c r="E1076">
        <v>162.80000000000001</v>
      </c>
      <c r="F1076">
        <v>167.4</v>
      </c>
      <c r="G1076">
        <v>176.4</v>
      </c>
      <c r="H1076" s="1" t="s">
        <v>188</v>
      </c>
    </row>
    <row r="1077" spans="1:8" x14ac:dyDescent="0.3">
      <c r="A1077">
        <v>2016</v>
      </c>
      <c r="B1077" t="s">
        <v>35</v>
      </c>
      <c r="C1077" t="s">
        <v>93</v>
      </c>
      <c r="D1077" s="1" t="s">
        <v>25</v>
      </c>
      <c r="E1077">
        <v>122.3</v>
      </c>
      <c r="F1077">
        <v>120.3</v>
      </c>
      <c r="G1077">
        <v>118.8</v>
      </c>
      <c r="H1077" s="1" t="s">
        <v>195</v>
      </c>
    </row>
    <row r="1078" spans="1:8" x14ac:dyDescent="0.3">
      <c r="A1078">
        <v>2016</v>
      </c>
      <c r="B1078" t="s">
        <v>35</v>
      </c>
      <c r="C1078" t="s">
        <v>93</v>
      </c>
      <c r="D1078" s="1" t="s">
        <v>12</v>
      </c>
      <c r="E1078">
        <v>130.6</v>
      </c>
      <c r="F1078">
        <v>133.6</v>
      </c>
      <c r="G1078">
        <v>139.69999999999999</v>
      </c>
      <c r="H1078" s="1" t="s">
        <v>188</v>
      </c>
    </row>
    <row r="1079" spans="1:8" x14ac:dyDescent="0.3">
      <c r="A1079">
        <v>2016</v>
      </c>
      <c r="B1079" t="s">
        <v>35</v>
      </c>
      <c r="C1079" t="s">
        <v>93</v>
      </c>
      <c r="D1079" s="1" t="s">
        <v>11</v>
      </c>
      <c r="E1079">
        <v>98.7</v>
      </c>
      <c r="F1079">
        <v>98.8</v>
      </c>
      <c r="G1079">
        <v>99.1</v>
      </c>
      <c r="H1079" s="1" t="s">
        <v>188</v>
      </c>
    </row>
    <row r="1080" spans="1:8" x14ac:dyDescent="0.3">
      <c r="A1080">
        <v>2016</v>
      </c>
      <c r="B1080" t="s">
        <v>35</v>
      </c>
      <c r="C1080" t="s">
        <v>93</v>
      </c>
      <c r="D1080" s="1" t="s">
        <v>24</v>
      </c>
      <c r="E1080">
        <v>113.9</v>
      </c>
      <c r="F1080">
        <v>111.4</v>
      </c>
      <c r="G1080">
        <v>109.1</v>
      </c>
      <c r="H1080" s="1" t="s">
        <v>191</v>
      </c>
    </row>
    <row r="1081" spans="1:8" x14ac:dyDescent="0.3">
      <c r="A1081">
        <v>2016</v>
      </c>
      <c r="B1081" t="s">
        <v>35</v>
      </c>
      <c r="C1081" t="s">
        <v>93</v>
      </c>
      <c r="D1081" s="1" t="s">
        <v>9</v>
      </c>
      <c r="E1081">
        <v>130.9</v>
      </c>
      <c r="F1081">
        <v>130.30000000000001</v>
      </c>
      <c r="G1081">
        <v>129.19999999999999</v>
      </c>
      <c r="H1081" s="1" t="s">
        <v>188</v>
      </c>
    </row>
    <row r="1082" spans="1:8" x14ac:dyDescent="0.3">
      <c r="A1082">
        <v>2016</v>
      </c>
      <c r="B1082" t="s">
        <v>31</v>
      </c>
      <c r="C1082" t="s">
        <v>94</v>
      </c>
      <c r="D1082" s="1" t="s">
        <v>3</v>
      </c>
      <c r="E1082">
        <v>126.8</v>
      </c>
      <c r="F1082">
        <v>126.1</v>
      </c>
      <c r="G1082">
        <v>124.7</v>
      </c>
      <c r="H1082" s="1" t="s">
        <v>188</v>
      </c>
    </row>
    <row r="1083" spans="1:8" x14ac:dyDescent="0.3">
      <c r="A1083">
        <v>2016</v>
      </c>
      <c r="B1083" t="s">
        <v>31</v>
      </c>
      <c r="C1083" t="s">
        <v>94</v>
      </c>
      <c r="D1083" s="1" t="s">
        <v>17</v>
      </c>
      <c r="E1083">
        <v>133.19999999999999</v>
      </c>
      <c r="F1083">
        <v>130.30000000000001</v>
      </c>
      <c r="G1083">
        <v>125.8</v>
      </c>
      <c r="H1083" s="1" t="s">
        <v>189</v>
      </c>
    </row>
    <row r="1084" spans="1:8" x14ac:dyDescent="0.3">
      <c r="A1084">
        <v>2016</v>
      </c>
      <c r="B1084" t="s">
        <v>31</v>
      </c>
      <c r="C1084" t="s">
        <v>94</v>
      </c>
      <c r="D1084" s="1" t="s">
        <v>19</v>
      </c>
      <c r="E1084">
        <v>132.6</v>
      </c>
      <c r="F1084">
        <v>129.5</v>
      </c>
      <c r="G1084">
        <v>124.9</v>
      </c>
      <c r="H1084" s="1" t="s">
        <v>189</v>
      </c>
    </row>
    <row r="1085" spans="1:8" x14ac:dyDescent="0.3">
      <c r="A1085">
        <v>2016</v>
      </c>
      <c r="B1085" t="s">
        <v>31</v>
      </c>
      <c r="C1085" t="s">
        <v>94</v>
      </c>
      <c r="D1085" s="1" t="s">
        <v>26</v>
      </c>
      <c r="E1085">
        <v>126.2</v>
      </c>
      <c r="F1085">
        <v>126.3</v>
      </c>
      <c r="G1085">
        <v>126.4</v>
      </c>
      <c r="H1085" s="1" t="s">
        <v>26</v>
      </c>
    </row>
    <row r="1086" spans="1:8" x14ac:dyDescent="0.3">
      <c r="A1086">
        <v>2016</v>
      </c>
      <c r="B1086" t="s">
        <v>31</v>
      </c>
      <c r="C1086" t="s">
        <v>94</v>
      </c>
      <c r="D1086" s="1" t="s">
        <v>5</v>
      </c>
      <c r="E1086">
        <v>126.5</v>
      </c>
      <c r="F1086">
        <v>128.6</v>
      </c>
      <c r="G1086">
        <v>132</v>
      </c>
      <c r="H1086" s="1" t="s">
        <v>188</v>
      </c>
    </row>
    <row r="1087" spans="1:8" x14ac:dyDescent="0.3">
      <c r="A1087">
        <v>2016</v>
      </c>
      <c r="B1087" t="s">
        <v>31</v>
      </c>
      <c r="C1087" t="s">
        <v>94</v>
      </c>
      <c r="D1087" s="1" t="s">
        <v>15</v>
      </c>
      <c r="E1087">
        <v>131.4</v>
      </c>
      <c r="F1087">
        <v>131.30000000000001</v>
      </c>
      <c r="G1087">
        <v>131.19999999999999</v>
      </c>
      <c r="H1087" s="1" t="s">
        <v>188</v>
      </c>
    </row>
    <row r="1088" spans="1:8" x14ac:dyDescent="0.3">
      <c r="A1088">
        <v>2016</v>
      </c>
      <c r="B1088" t="s">
        <v>31</v>
      </c>
      <c r="C1088" t="s">
        <v>94</v>
      </c>
      <c r="D1088" s="1" t="s">
        <v>18</v>
      </c>
      <c r="E1088">
        <v>128.9</v>
      </c>
      <c r="F1088">
        <v>125.1</v>
      </c>
      <c r="G1088">
        <v>119.8</v>
      </c>
      <c r="H1088" s="1" t="s">
        <v>189</v>
      </c>
    </row>
    <row r="1089" spans="1:8" x14ac:dyDescent="0.3">
      <c r="A1089">
        <v>2016</v>
      </c>
      <c r="B1089" t="s">
        <v>31</v>
      </c>
      <c r="C1089" t="s">
        <v>94</v>
      </c>
      <c r="D1089" s="1" t="s">
        <v>8</v>
      </c>
      <c r="E1089">
        <v>131.6</v>
      </c>
      <c r="F1089">
        <v>125.7</v>
      </c>
      <c r="G1089">
        <v>119</v>
      </c>
      <c r="H1089" s="1" t="s">
        <v>188</v>
      </c>
    </row>
    <row r="1090" spans="1:8" x14ac:dyDescent="0.3">
      <c r="A1090">
        <v>2016</v>
      </c>
      <c r="B1090" t="s">
        <v>31</v>
      </c>
      <c r="C1090" t="s">
        <v>94</v>
      </c>
      <c r="D1090" s="1" t="s">
        <v>21</v>
      </c>
      <c r="E1090">
        <v>126.2</v>
      </c>
      <c r="F1090">
        <v>122.7</v>
      </c>
      <c r="G1090">
        <v>116.9</v>
      </c>
      <c r="H1090" s="1" t="s">
        <v>190</v>
      </c>
    </row>
    <row r="1091" spans="1:8" x14ac:dyDescent="0.3">
      <c r="A1091">
        <v>2016</v>
      </c>
      <c r="B1091" t="s">
        <v>31</v>
      </c>
      <c r="C1091" t="s">
        <v>94</v>
      </c>
      <c r="D1091" s="1" t="s">
        <v>29</v>
      </c>
      <c r="E1091">
        <v>128.1</v>
      </c>
      <c r="F1091">
        <v>126.3</v>
      </c>
      <c r="G1091">
        <v>124.2</v>
      </c>
      <c r="H1091" s="1" t="s">
        <v>206</v>
      </c>
    </row>
    <row r="1092" spans="1:8" x14ac:dyDescent="0.3">
      <c r="A1092">
        <v>2016</v>
      </c>
      <c r="B1092" t="s">
        <v>31</v>
      </c>
      <c r="C1092" t="s">
        <v>94</v>
      </c>
      <c r="D1092" s="1" t="s">
        <v>23</v>
      </c>
      <c r="E1092">
        <v>123.7</v>
      </c>
      <c r="F1092">
        <v>122</v>
      </c>
      <c r="G1092">
        <v>119.1</v>
      </c>
      <c r="H1092" s="1" t="s">
        <v>23</v>
      </c>
    </row>
    <row r="1093" spans="1:8" x14ac:dyDescent="0.3">
      <c r="A1093">
        <v>2016</v>
      </c>
      <c r="B1093" t="s">
        <v>31</v>
      </c>
      <c r="C1093" t="s">
        <v>94</v>
      </c>
      <c r="D1093" s="1" t="s">
        <v>22</v>
      </c>
      <c r="E1093">
        <v>126.6</v>
      </c>
      <c r="F1093">
        <v>124.2</v>
      </c>
      <c r="G1093">
        <v>121.6</v>
      </c>
      <c r="H1093" s="1" t="s">
        <v>20</v>
      </c>
    </row>
    <row r="1094" spans="1:8" x14ac:dyDescent="0.3">
      <c r="A1094">
        <v>2016</v>
      </c>
      <c r="B1094" t="s">
        <v>31</v>
      </c>
      <c r="C1094" t="s">
        <v>94</v>
      </c>
      <c r="D1094" s="1" t="s">
        <v>20</v>
      </c>
      <c r="E1094">
        <v>0</v>
      </c>
      <c r="F1094">
        <v>123.4</v>
      </c>
      <c r="G1094">
        <v>123.4</v>
      </c>
      <c r="H1094" s="1" t="s">
        <v>20</v>
      </c>
    </row>
    <row r="1095" spans="1:8" x14ac:dyDescent="0.3">
      <c r="A1095">
        <v>2016</v>
      </c>
      <c r="B1095" t="s">
        <v>31</v>
      </c>
      <c r="C1095" t="s">
        <v>94</v>
      </c>
      <c r="D1095" s="1" t="s">
        <v>4</v>
      </c>
      <c r="E1095">
        <v>133.19999999999999</v>
      </c>
      <c r="F1095">
        <v>134.1</v>
      </c>
      <c r="G1095">
        <v>135.9</v>
      </c>
      <c r="H1095" s="1" t="s">
        <v>188</v>
      </c>
    </row>
    <row r="1096" spans="1:8" x14ac:dyDescent="0.3">
      <c r="A1096">
        <v>2016</v>
      </c>
      <c r="B1096" t="s">
        <v>31</v>
      </c>
      <c r="C1096" t="s">
        <v>94</v>
      </c>
      <c r="D1096" s="1" t="s">
        <v>6</v>
      </c>
      <c r="E1096">
        <v>130.30000000000001</v>
      </c>
      <c r="F1096">
        <v>129.9</v>
      </c>
      <c r="G1096">
        <v>129.19999999999999</v>
      </c>
      <c r="H1096" s="1" t="s">
        <v>188</v>
      </c>
    </row>
    <row r="1097" spans="1:8" x14ac:dyDescent="0.3">
      <c r="A1097">
        <v>2016</v>
      </c>
      <c r="B1097" t="s">
        <v>31</v>
      </c>
      <c r="C1097" t="s">
        <v>94</v>
      </c>
      <c r="D1097" s="1" t="s">
        <v>28</v>
      </c>
      <c r="E1097">
        <v>120.1</v>
      </c>
      <c r="F1097">
        <v>118.5</v>
      </c>
      <c r="G1097">
        <v>116.8</v>
      </c>
      <c r="H1097" s="1" t="s">
        <v>192</v>
      </c>
    </row>
    <row r="1098" spans="1:8" x14ac:dyDescent="0.3">
      <c r="A1098">
        <v>2016</v>
      </c>
      <c r="B1098" t="s">
        <v>31</v>
      </c>
      <c r="C1098" t="s">
        <v>94</v>
      </c>
      <c r="D1098" s="1" t="s">
        <v>13</v>
      </c>
      <c r="E1098">
        <v>124.3</v>
      </c>
      <c r="F1098">
        <v>122.7</v>
      </c>
      <c r="G1098">
        <v>120.5</v>
      </c>
      <c r="H1098" s="1" t="s">
        <v>188</v>
      </c>
    </row>
    <row r="1099" spans="1:8" x14ac:dyDescent="0.3">
      <c r="A1099">
        <v>2016</v>
      </c>
      <c r="B1099" t="s">
        <v>31</v>
      </c>
      <c r="C1099" t="s">
        <v>94</v>
      </c>
      <c r="D1099" s="1" t="s">
        <v>7</v>
      </c>
      <c r="E1099">
        <v>118.9</v>
      </c>
      <c r="F1099">
        <v>115.5</v>
      </c>
      <c r="G1099">
        <v>109.7</v>
      </c>
      <c r="H1099" s="1" t="s">
        <v>188</v>
      </c>
    </row>
    <row r="1100" spans="1:8" x14ac:dyDescent="0.3">
      <c r="A1100">
        <v>2016</v>
      </c>
      <c r="B1100" t="s">
        <v>31</v>
      </c>
      <c r="C1100" t="s">
        <v>94</v>
      </c>
      <c r="D1100" s="1" t="s">
        <v>16</v>
      </c>
      <c r="E1100">
        <v>133.6</v>
      </c>
      <c r="F1100">
        <v>135.19999999999999</v>
      </c>
      <c r="G1100">
        <v>139.5</v>
      </c>
      <c r="H1100" s="1" t="s">
        <v>192</v>
      </c>
    </row>
    <row r="1101" spans="1:8" x14ac:dyDescent="0.3">
      <c r="A1101">
        <v>2016</v>
      </c>
      <c r="B1101" t="s">
        <v>31</v>
      </c>
      <c r="C1101" t="s">
        <v>94</v>
      </c>
      <c r="D1101" s="1" t="s">
        <v>27</v>
      </c>
      <c r="E1101">
        <v>114.9</v>
      </c>
      <c r="F1101">
        <v>114.5</v>
      </c>
      <c r="G1101">
        <v>114</v>
      </c>
      <c r="H1101" s="1" t="s">
        <v>192</v>
      </c>
    </row>
    <row r="1102" spans="1:8" x14ac:dyDescent="0.3">
      <c r="A1102">
        <v>2016</v>
      </c>
      <c r="B1102" t="s">
        <v>31</v>
      </c>
      <c r="C1102" t="s">
        <v>94</v>
      </c>
      <c r="D1102" s="1" t="s">
        <v>14</v>
      </c>
      <c r="E1102">
        <v>135.9</v>
      </c>
      <c r="F1102">
        <v>135.30000000000001</v>
      </c>
      <c r="G1102">
        <v>134.69999999999999</v>
      </c>
      <c r="H1102" s="1" t="s">
        <v>188</v>
      </c>
    </row>
    <row r="1103" spans="1:8" x14ac:dyDescent="0.3">
      <c r="A1103">
        <v>2016</v>
      </c>
      <c r="B1103" t="s">
        <v>31</v>
      </c>
      <c r="C1103" t="s">
        <v>94</v>
      </c>
      <c r="D1103" s="1" t="s">
        <v>10</v>
      </c>
      <c r="E1103">
        <v>163.80000000000001</v>
      </c>
      <c r="F1103">
        <v>170.7</v>
      </c>
      <c r="G1103">
        <v>184.2</v>
      </c>
      <c r="H1103" s="1" t="s">
        <v>188</v>
      </c>
    </row>
    <row r="1104" spans="1:8" x14ac:dyDescent="0.3">
      <c r="A1104">
        <v>2016</v>
      </c>
      <c r="B1104" t="s">
        <v>31</v>
      </c>
      <c r="C1104" t="s">
        <v>94</v>
      </c>
      <c r="D1104" s="1" t="s">
        <v>25</v>
      </c>
      <c r="E1104">
        <v>121.4</v>
      </c>
      <c r="F1104">
        <v>119.8</v>
      </c>
      <c r="G1104">
        <v>118.5</v>
      </c>
      <c r="H1104" s="1" t="s">
        <v>195</v>
      </c>
    </row>
    <row r="1105" spans="1:8" x14ac:dyDescent="0.3">
      <c r="A1105">
        <v>2016</v>
      </c>
      <c r="B1105" t="s">
        <v>31</v>
      </c>
      <c r="C1105" t="s">
        <v>94</v>
      </c>
      <c r="D1105" s="1" t="s">
        <v>12</v>
      </c>
      <c r="E1105">
        <v>129.6</v>
      </c>
      <c r="F1105">
        <v>132.9</v>
      </c>
      <c r="G1105">
        <v>139.5</v>
      </c>
      <c r="H1105" s="1" t="s">
        <v>188</v>
      </c>
    </row>
    <row r="1106" spans="1:8" x14ac:dyDescent="0.3">
      <c r="A1106">
        <v>2016</v>
      </c>
      <c r="B1106" t="s">
        <v>31</v>
      </c>
      <c r="C1106" t="s">
        <v>94</v>
      </c>
      <c r="D1106" s="1" t="s">
        <v>11</v>
      </c>
      <c r="E1106">
        <v>97.7</v>
      </c>
      <c r="F1106">
        <v>97.4</v>
      </c>
      <c r="G1106">
        <v>96.7</v>
      </c>
      <c r="H1106" s="1" t="s">
        <v>188</v>
      </c>
    </row>
    <row r="1107" spans="1:8" x14ac:dyDescent="0.3">
      <c r="A1107">
        <v>2016</v>
      </c>
      <c r="B1107" t="s">
        <v>31</v>
      </c>
      <c r="C1107" t="s">
        <v>94</v>
      </c>
      <c r="D1107" s="1" t="s">
        <v>24</v>
      </c>
      <c r="E1107">
        <v>113.6</v>
      </c>
      <c r="F1107">
        <v>111.1</v>
      </c>
      <c r="G1107">
        <v>108.9</v>
      </c>
      <c r="H1107" s="1" t="s">
        <v>191</v>
      </c>
    </row>
    <row r="1108" spans="1:8" x14ac:dyDescent="0.3">
      <c r="A1108">
        <v>2016</v>
      </c>
      <c r="B1108" t="s">
        <v>31</v>
      </c>
      <c r="C1108" t="s">
        <v>94</v>
      </c>
      <c r="D1108" s="1" t="s">
        <v>9</v>
      </c>
      <c r="E1108">
        <v>140.1</v>
      </c>
      <c r="F1108">
        <v>141.5</v>
      </c>
      <c r="G1108">
        <v>144.1</v>
      </c>
      <c r="H1108" s="1" t="s">
        <v>188</v>
      </c>
    </row>
    <row r="1109" spans="1:8" x14ac:dyDescent="0.3">
      <c r="A1109">
        <v>2016</v>
      </c>
      <c r="B1109" t="s">
        <v>40</v>
      </c>
      <c r="C1109" t="s">
        <v>95</v>
      </c>
      <c r="D1109" s="1" t="s">
        <v>3</v>
      </c>
      <c r="E1109">
        <v>129.30000000000001</v>
      </c>
      <c r="F1109">
        <v>128.5</v>
      </c>
      <c r="G1109">
        <v>126.8</v>
      </c>
      <c r="H1109" s="1" t="s">
        <v>188</v>
      </c>
    </row>
    <row r="1110" spans="1:8" x14ac:dyDescent="0.3">
      <c r="A1110">
        <v>2016</v>
      </c>
      <c r="B1110" t="s">
        <v>40</v>
      </c>
      <c r="C1110" t="s">
        <v>95</v>
      </c>
      <c r="D1110" s="1" t="s">
        <v>17</v>
      </c>
      <c r="E1110">
        <v>137.19999999999999</v>
      </c>
      <c r="F1110">
        <v>133.5</v>
      </c>
      <c r="G1110">
        <v>127.9</v>
      </c>
      <c r="H1110" s="1" t="s">
        <v>189</v>
      </c>
    </row>
    <row r="1111" spans="1:8" x14ac:dyDescent="0.3">
      <c r="A1111">
        <v>2016</v>
      </c>
      <c r="B1111" t="s">
        <v>40</v>
      </c>
      <c r="C1111" t="s">
        <v>95</v>
      </c>
      <c r="D1111" s="1" t="s">
        <v>19</v>
      </c>
      <c r="E1111">
        <v>136.5</v>
      </c>
      <c r="F1111">
        <v>132.69999999999999</v>
      </c>
      <c r="G1111">
        <v>126.9</v>
      </c>
      <c r="H1111" s="1" t="s">
        <v>189</v>
      </c>
    </row>
    <row r="1112" spans="1:8" x14ac:dyDescent="0.3">
      <c r="A1112">
        <v>2016</v>
      </c>
      <c r="B1112" t="s">
        <v>40</v>
      </c>
      <c r="C1112" t="s">
        <v>95</v>
      </c>
      <c r="D1112" s="1" t="s">
        <v>26</v>
      </c>
      <c r="E1112">
        <v>130.80000000000001</v>
      </c>
      <c r="F1112">
        <v>130.80000000000001</v>
      </c>
      <c r="G1112">
        <v>130.80000000000001</v>
      </c>
      <c r="H1112" s="1" t="s">
        <v>26</v>
      </c>
    </row>
    <row r="1113" spans="1:8" x14ac:dyDescent="0.3">
      <c r="A1113">
        <v>2016</v>
      </c>
      <c r="B1113" t="s">
        <v>40</v>
      </c>
      <c r="C1113" t="s">
        <v>95</v>
      </c>
      <c r="D1113" s="1" t="s">
        <v>5</v>
      </c>
      <c r="E1113">
        <v>129.6</v>
      </c>
      <c r="F1113">
        <v>132.30000000000001</v>
      </c>
      <c r="G1113">
        <v>136.6</v>
      </c>
      <c r="H1113" s="1" t="s">
        <v>188</v>
      </c>
    </row>
    <row r="1114" spans="1:8" x14ac:dyDescent="0.3">
      <c r="A1114">
        <v>2016</v>
      </c>
      <c r="B1114" t="s">
        <v>40</v>
      </c>
      <c r="C1114" t="s">
        <v>95</v>
      </c>
      <c r="D1114" s="1" t="s">
        <v>15</v>
      </c>
      <c r="E1114">
        <v>137.6</v>
      </c>
      <c r="F1114">
        <v>138.4</v>
      </c>
      <c r="G1114">
        <v>139.80000000000001</v>
      </c>
      <c r="H1114" s="1" t="s">
        <v>188</v>
      </c>
    </row>
    <row r="1115" spans="1:8" x14ac:dyDescent="0.3">
      <c r="A1115">
        <v>2016</v>
      </c>
      <c r="B1115" t="s">
        <v>40</v>
      </c>
      <c r="C1115" t="s">
        <v>95</v>
      </c>
      <c r="D1115" s="1" t="s">
        <v>18</v>
      </c>
      <c r="E1115">
        <v>132.19999999999999</v>
      </c>
      <c r="F1115">
        <v>127.6</v>
      </c>
      <c r="G1115">
        <v>121.1</v>
      </c>
      <c r="H1115" s="1" t="s">
        <v>189</v>
      </c>
    </row>
    <row r="1116" spans="1:8" x14ac:dyDescent="0.3">
      <c r="A1116">
        <v>2016</v>
      </c>
      <c r="B1116" t="s">
        <v>40</v>
      </c>
      <c r="C1116" t="s">
        <v>95</v>
      </c>
      <c r="D1116" s="1" t="s">
        <v>8</v>
      </c>
      <c r="E1116">
        <v>138.5</v>
      </c>
      <c r="F1116">
        <v>137.80000000000001</v>
      </c>
      <c r="G1116">
        <v>137</v>
      </c>
      <c r="H1116" s="1" t="s">
        <v>188</v>
      </c>
    </row>
    <row r="1117" spans="1:8" x14ac:dyDescent="0.3">
      <c r="A1117">
        <v>2016</v>
      </c>
      <c r="B1117" t="s">
        <v>40</v>
      </c>
      <c r="C1117" t="s">
        <v>95</v>
      </c>
      <c r="D1117" s="1" t="s">
        <v>21</v>
      </c>
      <c r="E1117">
        <v>128.19999999999999</v>
      </c>
      <c r="F1117">
        <v>123.4</v>
      </c>
      <c r="G1117">
        <v>115.5</v>
      </c>
      <c r="H1117" s="1" t="s">
        <v>190</v>
      </c>
    </row>
    <row r="1118" spans="1:8" x14ac:dyDescent="0.3">
      <c r="A1118">
        <v>2016</v>
      </c>
      <c r="B1118" t="s">
        <v>40</v>
      </c>
      <c r="C1118" t="s">
        <v>95</v>
      </c>
      <c r="D1118" s="1" t="s">
        <v>29</v>
      </c>
      <c r="E1118">
        <v>133</v>
      </c>
      <c r="F1118">
        <v>131.1</v>
      </c>
      <c r="G1118">
        <v>129</v>
      </c>
      <c r="H1118" s="1" t="s">
        <v>206</v>
      </c>
    </row>
    <row r="1119" spans="1:8" x14ac:dyDescent="0.3">
      <c r="A1119">
        <v>2016</v>
      </c>
      <c r="B1119" t="s">
        <v>40</v>
      </c>
      <c r="C1119" t="s">
        <v>95</v>
      </c>
      <c r="D1119" s="1" t="s">
        <v>23</v>
      </c>
      <c r="E1119">
        <v>126.7</v>
      </c>
      <c r="F1119">
        <v>124.5</v>
      </c>
      <c r="G1119">
        <v>120.9</v>
      </c>
      <c r="H1119" s="1" t="s">
        <v>23</v>
      </c>
    </row>
    <row r="1120" spans="1:8" x14ac:dyDescent="0.3">
      <c r="A1120">
        <v>2016</v>
      </c>
      <c r="B1120" t="s">
        <v>40</v>
      </c>
      <c r="C1120" t="s">
        <v>95</v>
      </c>
      <c r="D1120" s="1" t="s">
        <v>22</v>
      </c>
      <c r="E1120">
        <v>130</v>
      </c>
      <c r="F1120">
        <v>126.9</v>
      </c>
      <c r="G1120">
        <v>123.5</v>
      </c>
      <c r="H1120" s="1" t="s">
        <v>20</v>
      </c>
    </row>
    <row r="1121" spans="1:8" x14ac:dyDescent="0.3">
      <c r="A1121">
        <v>2016</v>
      </c>
      <c r="B1121" t="s">
        <v>40</v>
      </c>
      <c r="C1121" t="s">
        <v>95</v>
      </c>
      <c r="D1121" s="1" t="s">
        <v>20</v>
      </c>
      <c r="E1121">
        <v>0</v>
      </c>
      <c r="F1121">
        <v>126.4</v>
      </c>
      <c r="G1121">
        <v>126.4</v>
      </c>
      <c r="H1121" s="1" t="s">
        <v>20</v>
      </c>
    </row>
    <row r="1122" spans="1:8" x14ac:dyDescent="0.3">
      <c r="A1122">
        <v>2016</v>
      </c>
      <c r="B1122" t="s">
        <v>40</v>
      </c>
      <c r="C1122" t="s">
        <v>95</v>
      </c>
      <c r="D1122" s="1" t="s">
        <v>4</v>
      </c>
      <c r="E1122">
        <v>139.5</v>
      </c>
      <c r="F1122">
        <v>141.19999999999999</v>
      </c>
      <c r="G1122">
        <v>144.19999999999999</v>
      </c>
      <c r="H1122" s="1" t="s">
        <v>188</v>
      </c>
    </row>
    <row r="1123" spans="1:8" x14ac:dyDescent="0.3">
      <c r="A1123">
        <v>2016</v>
      </c>
      <c r="B1123" t="s">
        <v>40</v>
      </c>
      <c r="C1123" t="s">
        <v>95</v>
      </c>
      <c r="D1123" s="1" t="s">
        <v>6</v>
      </c>
      <c r="E1123">
        <v>134.5</v>
      </c>
      <c r="F1123">
        <v>133.5</v>
      </c>
      <c r="G1123">
        <v>131.80000000000001</v>
      </c>
      <c r="H1123" s="1" t="s">
        <v>188</v>
      </c>
    </row>
    <row r="1124" spans="1:8" x14ac:dyDescent="0.3">
      <c r="A1124">
        <v>2016</v>
      </c>
      <c r="B1124" t="s">
        <v>40</v>
      </c>
      <c r="C1124" t="s">
        <v>95</v>
      </c>
      <c r="D1124" s="1" t="s">
        <v>28</v>
      </c>
      <c r="E1124">
        <v>123.8</v>
      </c>
      <c r="F1124">
        <v>121.9</v>
      </c>
      <c r="G1124">
        <v>119.9</v>
      </c>
      <c r="H1124" s="1" t="s">
        <v>192</v>
      </c>
    </row>
    <row r="1125" spans="1:8" x14ac:dyDescent="0.3">
      <c r="A1125">
        <v>2016</v>
      </c>
      <c r="B1125" t="s">
        <v>40</v>
      </c>
      <c r="C1125" t="s">
        <v>95</v>
      </c>
      <c r="D1125" s="1" t="s">
        <v>13</v>
      </c>
      <c r="E1125">
        <v>127.3</v>
      </c>
      <c r="F1125">
        <v>125</v>
      </c>
      <c r="G1125">
        <v>121.7</v>
      </c>
      <c r="H1125" s="1" t="s">
        <v>188</v>
      </c>
    </row>
    <row r="1126" spans="1:8" x14ac:dyDescent="0.3">
      <c r="A1126">
        <v>2016</v>
      </c>
      <c r="B1126" t="s">
        <v>40</v>
      </c>
      <c r="C1126" t="s">
        <v>95</v>
      </c>
      <c r="D1126" s="1" t="s">
        <v>7</v>
      </c>
      <c r="E1126">
        <v>119.5</v>
      </c>
      <c r="F1126">
        <v>116.4</v>
      </c>
      <c r="G1126">
        <v>111</v>
      </c>
      <c r="H1126" s="1" t="s">
        <v>188</v>
      </c>
    </row>
    <row r="1127" spans="1:8" x14ac:dyDescent="0.3">
      <c r="A1127">
        <v>2016</v>
      </c>
      <c r="B1127" t="s">
        <v>40</v>
      </c>
      <c r="C1127" t="s">
        <v>95</v>
      </c>
      <c r="D1127" s="1" t="s">
        <v>16</v>
      </c>
      <c r="E1127">
        <v>138</v>
      </c>
      <c r="F1127">
        <v>139.30000000000001</v>
      </c>
      <c r="G1127">
        <v>142.9</v>
      </c>
      <c r="H1127" s="1" t="s">
        <v>192</v>
      </c>
    </row>
    <row r="1128" spans="1:8" x14ac:dyDescent="0.3">
      <c r="A1128">
        <v>2016</v>
      </c>
      <c r="B1128" t="s">
        <v>40</v>
      </c>
      <c r="C1128" t="s">
        <v>95</v>
      </c>
      <c r="D1128" s="1" t="s">
        <v>27</v>
      </c>
      <c r="E1128">
        <v>120.9</v>
      </c>
      <c r="F1128">
        <v>120.5</v>
      </c>
      <c r="G1128">
        <v>120</v>
      </c>
      <c r="H1128" s="1" t="s">
        <v>192</v>
      </c>
    </row>
    <row r="1129" spans="1:8" x14ac:dyDescent="0.3">
      <c r="A1129">
        <v>2016</v>
      </c>
      <c r="B1129" t="s">
        <v>40</v>
      </c>
      <c r="C1129" t="s">
        <v>95</v>
      </c>
      <c r="D1129" s="1" t="s">
        <v>14</v>
      </c>
      <c r="E1129">
        <v>139.9</v>
      </c>
      <c r="F1129">
        <v>138.80000000000001</v>
      </c>
      <c r="G1129">
        <v>137.5</v>
      </c>
      <c r="H1129" s="1" t="s">
        <v>188</v>
      </c>
    </row>
    <row r="1130" spans="1:8" x14ac:dyDescent="0.3">
      <c r="A1130">
        <v>2016</v>
      </c>
      <c r="B1130" t="s">
        <v>40</v>
      </c>
      <c r="C1130" t="s">
        <v>95</v>
      </c>
      <c r="D1130" s="1" t="s">
        <v>10</v>
      </c>
      <c r="E1130">
        <v>171.8</v>
      </c>
      <c r="F1130">
        <v>177.4</v>
      </c>
      <c r="G1130">
        <v>188.4</v>
      </c>
      <c r="H1130" s="1" t="s">
        <v>188</v>
      </c>
    </row>
    <row r="1131" spans="1:8" x14ac:dyDescent="0.3">
      <c r="A1131">
        <v>2016</v>
      </c>
      <c r="B1131" t="s">
        <v>40</v>
      </c>
      <c r="C1131" t="s">
        <v>95</v>
      </c>
      <c r="D1131" s="1" t="s">
        <v>25</v>
      </c>
      <c r="E1131">
        <v>125.2</v>
      </c>
      <c r="F1131">
        <v>122.4</v>
      </c>
      <c r="G1131">
        <v>120.3</v>
      </c>
      <c r="H1131" s="1" t="s">
        <v>195</v>
      </c>
    </row>
    <row r="1132" spans="1:8" x14ac:dyDescent="0.3">
      <c r="A1132">
        <v>2016</v>
      </c>
      <c r="B1132" t="s">
        <v>40</v>
      </c>
      <c r="C1132" t="s">
        <v>95</v>
      </c>
      <c r="D1132" s="1" t="s">
        <v>12</v>
      </c>
      <c r="E1132">
        <v>134.30000000000001</v>
      </c>
      <c r="F1132">
        <v>137.5</v>
      </c>
      <c r="G1132">
        <v>143.9</v>
      </c>
      <c r="H1132" s="1" t="s">
        <v>188</v>
      </c>
    </row>
    <row r="1133" spans="1:8" x14ac:dyDescent="0.3">
      <c r="A1133">
        <v>2016</v>
      </c>
      <c r="B1133" t="s">
        <v>40</v>
      </c>
      <c r="C1133" t="s">
        <v>95</v>
      </c>
      <c r="D1133" s="1" t="s">
        <v>11</v>
      </c>
      <c r="E1133">
        <v>110.3</v>
      </c>
      <c r="F1133">
        <v>111.3</v>
      </c>
      <c r="G1133">
        <v>113.3</v>
      </c>
      <c r="H1133" s="1" t="s">
        <v>188</v>
      </c>
    </row>
    <row r="1134" spans="1:8" x14ac:dyDescent="0.3">
      <c r="A1134">
        <v>2016</v>
      </c>
      <c r="B1134" t="s">
        <v>40</v>
      </c>
      <c r="C1134" t="s">
        <v>95</v>
      </c>
      <c r="D1134" s="1" t="s">
        <v>24</v>
      </c>
      <c r="E1134">
        <v>116.4</v>
      </c>
      <c r="F1134">
        <v>113.9</v>
      </c>
      <c r="G1134">
        <v>111.7</v>
      </c>
      <c r="H1134" s="1" t="s">
        <v>191</v>
      </c>
    </row>
    <row r="1135" spans="1:8" x14ac:dyDescent="0.3">
      <c r="A1135">
        <v>2016</v>
      </c>
      <c r="B1135" t="s">
        <v>40</v>
      </c>
      <c r="C1135" t="s">
        <v>95</v>
      </c>
      <c r="D1135" s="1" t="s">
        <v>9</v>
      </c>
      <c r="E1135">
        <v>158.19999999999999</v>
      </c>
      <c r="F1135">
        <v>165.4</v>
      </c>
      <c r="G1135">
        <v>179.5</v>
      </c>
      <c r="H1135" s="1" t="s">
        <v>188</v>
      </c>
    </row>
    <row r="1136" spans="1:8" x14ac:dyDescent="0.3">
      <c r="A1136">
        <v>2016</v>
      </c>
      <c r="B1136" t="s">
        <v>39</v>
      </c>
      <c r="C1136" t="s">
        <v>96</v>
      </c>
      <c r="D1136" s="1" t="s">
        <v>3</v>
      </c>
      <c r="E1136">
        <v>128.6</v>
      </c>
      <c r="F1136">
        <v>127.7</v>
      </c>
      <c r="G1136">
        <v>125.9</v>
      </c>
      <c r="H1136" s="1" t="s">
        <v>188</v>
      </c>
    </row>
    <row r="1137" spans="1:8" x14ac:dyDescent="0.3">
      <c r="A1137">
        <v>2016</v>
      </c>
      <c r="B1137" t="s">
        <v>39</v>
      </c>
      <c r="C1137" t="s">
        <v>96</v>
      </c>
      <c r="D1137" s="1" t="s">
        <v>17</v>
      </c>
      <c r="E1137">
        <v>136.30000000000001</v>
      </c>
      <c r="F1137">
        <v>132.9</v>
      </c>
      <c r="G1137">
        <v>127.6</v>
      </c>
      <c r="H1137" s="1" t="s">
        <v>189</v>
      </c>
    </row>
    <row r="1138" spans="1:8" x14ac:dyDescent="0.3">
      <c r="A1138">
        <v>2016</v>
      </c>
      <c r="B1138" t="s">
        <v>39</v>
      </c>
      <c r="C1138" t="s">
        <v>96</v>
      </c>
      <c r="D1138" s="1" t="s">
        <v>19</v>
      </c>
      <c r="E1138">
        <v>135.6</v>
      </c>
      <c r="F1138">
        <v>132</v>
      </c>
      <c r="G1138">
        <v>126.6</v>
      </c>
      <c r="H1138" s="1" t="s">
        <v>189</v>
      </c>
    </row>
    <row r="1139" spans="1:8" x14ac:dyDescent="0.3">
      <c r="A1139">
        <v>2016</v>
      </c>
      <c r="B1139" t="s">
        <v>39</v>
      </c>
      <c r="C1139" t="s">
        <v>96</v>
      </c>
      <c r="D1139" s="1" t="s">
        <v>26</v>
      </c>
      <c r="E1139">
        <v>130.19999999999999</v>
      </c>
      <c r="F1139">
        <v>129.69999999999999</v>
      </c>
      <c r="G1139">
        <v>129.30000000000001</v>
      </c>
      <c r="H1139" s="1" t="s">
        <v>26</v>
      </c>
    </row>
    <row r="1140" spans="1:8" x14ac:dyDescent="0.3">
      <c r="A1140">
        <v>2016</v>
      </c>
      <c r="B1140" t="s">
        <v>39</v>
      </c>
      <c r="C1140" t="s">
        <v>96</v>
      </c>
      <c r="D1140" s="1" t="s">
        <v>5</v>
      </c>
      <c r="E1140">
        <v>126.6</v>
      </c>
      <c r="F1140">
        <v>128.30000000000001</v>
      </c>
      <c r="G1140">
        <v>130.9</v>
      </c>
      <c r="H1140" s="1" t="s">
        <v>188</v>
      </c>
    </row>
    <row r="1141" spans="1:8" x14ac:dyDescent="0.3">
      <c r="A1141">
        <v>2016</v>
      </c>
      <c r="B1141" t="s">
        <v>39</v>
      </c>
      <c r="C1141" t="s">
        <v>96</v>
      </c>
      <c r="D1141" s="1" t="s">
        <v>15</v>
      </c>
      <c r="E1141">
        <v>136</v>
      </c>
      <c r="F1141">
        <v>136.80000000000001</v>
      </c>
      <c r="G1141">
        <v>138.19999999999999</v>
      </c>
      <c r="H1141" s="1" t="s">
        <v>188</v>
      </c>
    </row>
    <row r="1142" spans="1:8" x14ac:dyDescent="0.3">
      <c r="A1142">
        <v>2016</v>
      </c>
      <c r="B1142" t="s">
        <v>39</v>
      </c>
      <c r="C1142" t="s">
        <v>96</v>
      </c>
      <c r="D1142" s="1" t="s">
        <v>18</v>
      </c>
      <c r="E1142">
        <v>131.6</v>
      </c>
      <c r="F1142">
        <v>127.2</v>
      </c>
      <c r="G1142">
        <v>121.1</v>
      </c>
      <c r="H1142" s="1" t="s">
        <v>189</v>
      </c>
    </row>
    <row r="1143" spans="1:8" x14ac:dyDescent="0.3">
      <c r="A1143">
        <v>2016</v>
      </c>
      <c r="B1143" t="s">
        <v>39</v>
      </c>
      <c r="C1143" t="s">
        <v>96</v>
      </c>
      <c r="D1143" s="1" t="s">
        <v>8</v>
      </c>
      <c r="E1143">
        <v>137.4</v>
      </c>
      <c r="F1143">
        <v>136.5</v>
      </c>
      <c r="G1143">
        <v>135.5</v>
      </c>
      <c r="H1143" s="1" t="s">
        <v>188</v>
      </c>
    </row>
    <row r="1144" spans="1:8" x14ac:dyDescent="0.3">
      <c r="A1144">
        <v>2016</v>
      </c>
      <c r="B1144" t="s">
        <v>39</v>
      </c>
      <c r="C1144" t="s">
        <v>96</v>
      </c>
      <c r="D1144" s="1" t="s">
        <v>21</v>
      </c>
      <c r="E1144">
        <v>128</v>
      </c>
      <c r="F1144">
        <v>123.3</v>
      </c>
      <c r="G1144">
        <v>115.5</v>
      </c>
      <c r="H1144" s="1" t="s">
        <v>190</v>
      </c>
    </row>
    <row r="1145" spans="1:8" x14ac:dyDescent="0.3">
      <c r="A1145">
        <v>2016</v>
      </c>
      <c r="B1145" t="s">
        <v>39</v>
      </c>
      <c r="C1145" t="s">
        <v>96</v>
      </c>
      <c r="D1145" s="1" t="s">
        <v>29</v>
      </c>
      <c r="E1145">
        <v>131.9</v>
      </c>
      <c r="F1145">
        <v>130.1</v>
      </c>
      <c r="G1145">
        <v>128.1</v>
      </c>
      <c r="H1145" s="1" t="s">
        <v>206</v>
      </c>
    </row>
    <row r="1146" spans="1:8" x14ac:dyDescent="0.3">
      <c r="A1146">
        <v>2016</v>
      </c>
      <c r="B1146" t="s">
        <v>39</v>
      </c>
      <c r="C1146" t="s">
        <v>96</v>
      </c>
      <c r="D1146" s="1" t="s">
        <v>23</v>
      </c>
      <c r="E1146">
        <v>126.2</v>
      </c>
      <c r="F1146">
        <v>124.1</v>
      </c>
      <c r="G1146">
        <v>120.6</v>
      </c>
      <c r="H1146" s="1" t="s">
        <v>23</v>
      </c>
    </row>
    <row r="1147" spans="1:8" x14ac:dyDescent="0.3">
      <c r="A1147">
        <v>2016</v>
      </c>
      <c r="B1147" t="s">
        <v>39</v>
      </c>
      <c r="C1147" t="s">
        <v>96</v>
      </c>
      <c r="D1147" s="1" t="s">
        <v>22</v>
      </c>
      <c r="E1147">
        <v>129.30000000000001</v>
      </c>
      <c r="F1147">
        <v>126.4</v>
      </c>
      <c r="G1147">
        <v>123.2</v>
      </c>
      <c r="H1147" s="1" t="s">
        <v>20</v>
      </c>
    </row>
    <row r="1148" spans="1:8" x14ac:dyDescent="0.3">
      <c r="A1148">
        <v>2016</v>
      </c>
      <c r="B1148" t="s">
        <v>39</v>
      </c>
      <c r="C1148" t="s">
        <v>96</v>
      </c>
      <c r="D1148" s="1" t="s">
        <v>20</v>
      </c>
      <c r="E1148">
        <v>0</v>
      </c>
      <c r="F1148">
        <v>125.5</v>
      </c>
      <c r="G1148">
        <v>125.5</v>
      </c>
      <c r="H1148" s="1" t="s">
        <v>20</v>
      </c>
    </row>
    <row r="1149" spans="1:8" x14ac:dyDescent="0.3">
      <c r="A1149">
        <v>2016</v>
      </c>
      <c r="B1149" t="s">
        <v>39</v>
      </c>
      <c r="C1149" t="s">
        <v>96</v>
      </c>
      <c r="D1149" s="1" t="s">
        <v>4</v>
      </c>
      <c r="E1149">
        <v>138.6</v>
      </c>
      <c r="F1149">
        <v>140.5</v>
      </c>
      <c r="G1149">
        <v>143.9</v>
      </c>
      <c r="H1149" s="1" t="s">
        <v>188</v>
      </c>
    </row>
    <row r="1150" spans="1:8" x14ac:dyDescent="0.3">
      <c r="A1150">
        <v>2016</v>
      </c>
      <c r="B1150" t="s">
        <v>39</v>
      </c>
      <c r="C1150" t="s">
        <v>96</v>
      </c>
      <c r="D1150" s="1" t="s">
        <v>6</v>
      </c>
      <c r="E1150">
        <v>133.6</v>
      </c>
      <c r="F1150">
        <v>132.6</v>
      </c>
      <c r="G1150">
        <v>131</v>
      </c>
      <c r="H1150" s="1" t="s">
        <v>188</v>
      </c>
    </row>
    <row r="1151" spans="1:8" x14ac:dyDescent="0.3">
      <c r="A1151">
        <v>2016</v>
      </c>
      <c r="B1151" t="s">
        <v>39</v>
      </c>
      <c r="C1151" t="s">
        <v>96</v>
      </c>
      <c r="D1151" s="1" t="s">
        <v>28</v>
      </c>
      <c r="E1151">
        <v>123.3</v>
      </c>
      <c r="F1151">
        <v>121.5</v>
      </c>
      <c r="G1151">
        <v>119.6</v>
      </c>
      <c r="H1151" s="1" t="s">
        <v>192</v>
      </c>
    </row>
    <row r="1152" spans="1:8" x14ac:dyDescent="0.3">
      <c r="A1152">
        <v>2016</v>
      </c>
      <c r="B1152" t="s">
        <v>39</v>
      </c>
      <c r="C1152" t="s">
        <v>96</v>
      </c>
      <c r="D1152" s="1" t="s">
        <v>13</v>
      </c>
      <c r="E1152">
        <v>126.4</v>
      </c>
      <c r="F1152">
        <v>124.4</v>
      </c>
      <c r="G1152">
        <v>121.6</v>
      </c>
      <c r="H1152" s="1" t="s">
        <v>188</v>
      </c>
    </row>
    <row r="1153" spans="1:8" x14ac:dyDescent="0.3">
      <c r="A1153">
        <v>2016</v>
      </c>
      <c r="B1153" t="s">
        <v>39</v>
      </c>
      <c r="C1153" t="s">
        <v>96</v>
      </c>
      <c r="D1153" s="1" t="s">
        <v>7</v>
      </c>
      <c r="E1153">
        <v>118.6</v>
      </c>
      <c r="F1153">
        <v>115.5</v>
      </c>
      <c r="G1153">
        <v>110.2</v>
      </c>
      <c r="H1153" s="1" t="s">
        <v>188</v>
      </c>
    </row>
    <row r="1154" spans="1:8" x14ac:dyDescent="0.3">
      <c r="A1154">
        <v>2016</v>
      </c>
      <c r="B1154" t="s">
        <v>39</v>
      </c>
      <c r="C1154" t="s">
        <v>96</v>
      </c>
      <c r="D1154" s="1" t="s">
        <v>16</v>
      </c>
      <c r="E1154">
        <v>137.19999999999999</v>
      </c>
      <c r="F1154">
        <v>138.69999999999999</v>
      </c>
      <c r="G1154">
        <v>142.69999999999999</v>
      </c>
      <c r="H1154" s="1" t="s">
        <v>192</v>
      </c>
    </row>
    <row r="1155" spans="1:8" x14ac:dyDescent="0.3">
      <c r="A1155">
        <v>2016</v>
      </c>
      <c r="B1155" t="s">
        <v>39</v>
      </c>
      <c r="C1155" t="s">
        <v>96</v>
      </c>
      <c r="D1155" s="1" t="s">
        <v>27</v>
      </c>
      <c r="E1155">
        <v>119.9</v>
      </c>
      <c r="F1155">
        <v>119.4</v>
      </c>
      <c r="G1155">
        <v>118.8</v>
      </c>
      <c r="H1155" s="1" t="s">
        <v>192</v>
      </c>
    </row>
    <row r="1156" spans="1:8" x14ac:dyDescent="0.3">
      <c r="A1156">
        <v>2016</v>
      </c>
      <c r="B1156" t="s">
        <v>39</v>
      </c>
      <c r="C1156" t="s">
        <v>96</v>
      </c>
      <c r="D1156" s="1" t="s">
        <v>14</v>
      </c>
      <c r="E1156">
        <v>139.19999999999999</v>
      </c>
      <c r="F1156">
        <v>138.1</v>
      </c>
      <c r="G1156">
        <v>136.9</v>
      </c>
      <c r="H1156" s="1" t="s">
        <v>188</v>
      </c>
    </row>
    <row r="1157" spans="1:8" x14ac:dyDescent="0.3">
      <c r="A1157">
        <v>2016</v>
      </c>
      <c r="B1157" t="s">
        <v>39</v>
      </c>
      <c r="C1157" t="s">
        <v>96</v>
      </c>
      <c r="D1157" s="1" t="s">
        <v>10</v>
      </c>
      <c r="E1157">
        <v>169.2</v>
      </c>
      <c r="F1157">
        <v>174.3</v>
      </c>
      <c r="G1157">
        <v>184.4</v>
      </c>
      <c r="H1157" s="1" t="s">
        <v>188</v>
      </c>
    </row>
    <row r="1158" spans="1:8" x14ac:dyDescent="0.3">
      <c r="A1158">
        <v>2016</v>
      </c>
      <c r="B1158" t="s">
        <v>39</v>
      </c>
      <c r="C1158" t="s">
        <v>96</v>
      </c>
      <c r="D1158" s="1" t="s">
        <v>25</v>
      </c>
      <c r="E1158">
        <v>124.1</v>
      </c>
      <c r="F1158">
        <v>121.7</v>
      </c>
      <c r="G1158">
        <v>119.9</v>
      </c>
      <c r="H1158" s="1" t="s">
        <v>195</v>
      </c>
    </row>
    <row r="1159" spans="1:8" x14ac:dyDescent="0.3">
      <c r="A1159">
        <v>2016</v>
      </c>
      <c r="B1159" t="s">
        <v>39</v>
      </c>
      <c r="C1159" t="s">
        <v>96</v>
      </c>
      <c r="D1159" s="1" t="s">
        <v>12</v>
      </c>
      <c r="E1159">
        <v>133.1</v>
      </c>
      <c r="F1159">
        <v>136.30000000000001</v>
      </c>
      <c r="G1159">
        <v>142.80000000000001</v>
      </c>
      <c r="H1159" s="1" t="s">
        <v>188</v>
      </c>
    </row>
    <row r="1160" spans="1:8" x14ac:dyDescent="0.3">
      <c r="A1160">
        <v>2016</v>
      </c>
      <c r="B1160" t="s">
        <v>39</v>
      </c>
      <c r="C1160" t="s">
        <v>96</v>
      </c>
      <c r="D1160" s="1" t="s">
        <v>11</v>
      </c>
      <c r="E1160">
        <v>108.8</v>
      </c>
      <c r="F1160">
        <v>109.9</v>
      </c>
      <c r="G1160">
        <v>112</v>
      </c>
      <c r="H1160" s="1" t="s">
        <v>188</v>
      </c>
    </row>
    <row r="1161" spans="1:8" x14ac:dyDescent="0.3">
      <c r="A1161">
        <v>2016</v>
      </c>
      <c r="B1161" t="s">
        <v>39</v>
      </c>
      <c r="C1161" t="s">
        <v>96</v>
      </c>
      <c r="D1161" s="1" t="s">
        <v>24</v>
      </c>
      <c r="E1161">
        <v>116.3</v>
      </c>
      <c r="F1161">
        <v>114.2</v>
      </c>
      <c r="G1161">
        <v>112.3</v>
      </c>
      <c r="H1161" s="1" t="s">
        <v>191</v>
      </c>
    </row>
    <row r="1162" spans="1:8" x14ac:dyDescent="0.3">
      <c r="A1162">
        <v>2016</v>
      </c>
      <c r="B1162" t="s">
        <v>39</v>
      </c>
      <c r="C1162" t="s">
        <v>96</v>
      </c>
      <c r="D1162" s="1" t="s">
        <v>9</v>
      </c>
      <c r="E1162">
        <v>152.5</v>
      </c>
      <c r="F1162">
        <v>159.69999999999999</v>
      </c>
      <c r="G1162">
        <v>173.7</v>
      </c>
      <c r="H1162" s="1" t="s">
        <v>188</v>
      </c>
    </row>
    <row r="1163" spans="1:8" x14ac:dyDescent="0.3">
      <c r="A1163">
        <v>2016</v>
      </c>
      <c r="B1163" t="s">
        <v>36</v>
      </c>
      <c r="C1163" t="s">
        <v>97</v>
      </c>
      <c r="D1163" s="1" t="s">
        <v>3</v>
      </c>
      <c r="E1163">
        <v>127.3</v>
      </c>
      <c r="F1163">
        <v>126.5</v>
      </c>
      <c r="G1163">
        <v>124.8</v>
      </c>
      <c r="H1163" s="1" t="s">
        <v>188</v>
      </c>
    </row>
    <row r="1164" spans="1:8" x14ac:dyDescent="0.3">
      <c r="A1164">
        <v>2016</v>
      </c>
      <c r="B1164" t="s">
        <v>36</v>
      </c>
      <c r="C1164" t="s">
        <v>97</v>
      </c>
      <c r="D1164" s="1" t="s">
        <v>17</v>
      </c>
      <c r="E1164">
        <v>134.4</v>
      </c>
      <c r="F1164">
        <v>131.30000000000001</v>
      </c>
      <c r="G1164">
        <v>126.4</v>
      </c>
      <c r="H1164" s="1" t="s">
        <v>189</v>
      </c>
    </row>
    <row r="1165" spans="1:8" x14ac:dyDescent="0.3">
      <c r="A1165">
        <v>2016</v>
      </c>
      <c r="B1165" t="s">
        <v>36</v>
      </c>
      <c r="C1165" t="s">
        <v>97</v>
      </c>
      <c r="D1165" s="1" t="s">
        <v>19</v>
      </c>
      <c r="E1165">
        <v>133.80000000000001</v>
      </c>
      <c r="F1165">
        <v>130.5</v>
      </c>
      <c r="G1165">
        <v>125.5</v>
      </c>
      <c r="H1165" s="1" t="s">
        <v>189</v>
      </c>
    </row>
    <row r="1166" spans="1:8" x14ac:dyDescent="0.3">
      <c r="A1166">
        <v>2016</v>
      </c>
      <c r="B1166" t="s">
        <v>36</v>
      </c>
      <c r="C1166" t="s">
        <v>97</v>
      </c>
      <c r="D1166" s="1" t="s">
        <v>26</v>
      </c>
      <c r="E1166">
        <v>127.5</v>
      </c>
      <c r="F1166">
        <v>126.9</v>
      </c>
      <c r="G1166">
        <v>126.4</v>
      </c>
      <c r="H1166" s="1" t="s">
        <v>26</v>
      </c>
    </row>
    <row r="1167" spans="1:8" x14ac:dyDescent="0.3">
      <c r="A1167">
        <v>2016</v>
      </c>
      <c r="B1167" t="s">
        <v>36</v>
      </c>
      <c r="C1167" t="s">
        <v>97</v>
      </c>
      <c r="D1167" s="1" t="s">
        <v>5</v>
      </c>
      <c r="E1167">
        <v>125.1</v>
      </c>
      <c r="F1167">
        <v>124.6</v>
      </c>
      <c r="G1167">
        <v>123.7</v>
      </c>
      <c r="H1167" s="1" t="s">
        <v>188</v>
      </c>
    </row>
    <row r="1168" spans="1:8" x14ac:dyDescent="0.3">
      <c r="A1168">
        <v>2016</v>
      </c>
      <c r="B1168" t="s">
        <v>36</v>
      </c>
      <c r="C1168" t="s">
        <v>97</v>
      </c>
      <c r="D1168" s="1" t="s">
        <v>15</v>
      </c>
      <c r="E1168">
        <v>130.4</v>
      </c>
      <c r="F1168">
        <v>129.80000000000001</v>
      </c>
      <c r="G1168">
        <v>128.9</v>
      </c>
      <c r="H1168" s="1" t="s">
        <v>188</v>
      </c>
    </row>
    <row r="1169" spans="1:8" x14ac:dyDescent="0.3">
      <c r="A1169">
        <v>2016</v>
      </c>
      <c r="B1169" t="s">
        <v>36</v>
      </c>
      <c r="C1169" t="s">
        <v>97</v>
      </c>
      <c r="D1169" s="1" t="s">
        <v>18</v>
      </c>
      <c r="E1169">
        <v>130.19999999999999</v>
      </c>
      <c r="F1169">
        <v>126.1</v>
      </c>
      <c r="G1169">
        <v>120.3</v>
      </c>
      <c r="H1169" s="1" t="s">
        <v>189</v>
      </c>
    </row>
    <row r="1170" spans="1:8" x14ac:dyDescent="0.3">
      <c r="A1170">
        <v>2016</v>
      </c>
      <c r="B1170" t="s">
        <v>36</v>
      </c>
      <c r="C1170" t="s">
        <v>97</v>
      </c>
      <c r="D1170" s="1" t="s">
        <v>8</v>
      </c>
      <c r="E1170">
        <v>131.69999999999999</v>
      </c>
      <c r="F1170">
        <v>126.2</v>
      </c>
      <c r="G1170">
        <v>119.9</v>
      </c>
      <c r="H1170" s="1" t="s">
        <v>188</v>
      </c>
    </row>
    <row r="1171" spans="1:8" x14ac:dyDescent="0.3">
      <c r="A1171">
        <v>2016</v>
      </c>
      <c r="B1171" t="s">
        <v>36</v>
      </c>
      <c r="C1171" t="s">
        <v>97</v>
      </c>
      <c r="D1171" s="1" t="s">
        <v>21</v>
      </c>
      <c r="E1171">
        <v>127</v>
      </c>
      <c r="F1171">
        <v>122.4</v>
      </c>
      <c r="G1171">
        <v>114.8</v>
      </c>
      <c r="H1171" s="1" t="s">
        <v>190</v>
      </c>
    </row>
    <row r="1172" spans="1:8" x14ac:dyDescent="0.3">
      <c r="A1172">
        <v>2016</v>
      </c>
      <c r="B1172" t="s">
        <v>36</v>
      </c>
      <c r="C1172" t="s">
        <v>97</v>
      </c>
      <c r="D1172" s="1" t="s">
        <v>29</v>
      </c>
      <c r="E1172">
        <v>128</v>
      </c>
      <c r="F1172">
        <v>126</v>
      </c>
      <c r="G1172">
        <v>123.8</v>
      </c>
      <c r="H1172" s="1" t="s">
        <v>206</v>
      </c>
    </row>
    <row r="1173" spans="1:8" x14ac:dyDescent="0.3">
      <c r="A1173">
        <v>2016</v>
      </c>
      <c r="B1173" t="s">
        <v>36</v>
      </c>
      <c r="C1173" t="s">
        <v>97</v>
      </c>
      <c r="D1173" s="1" t="s">
        <v>23</v>
      </c>
      <c r="E1173">
        <v>124.8</v>
      </c>
      <c r="F1173">
        <v>122.9</v>
      </c>
      <c r="G1173">
        <v>119.7</v>
      </c>
      <c r="H1173" s="1" t="s">
        <v>23</v>
      </c>
    </row>
    <row r="1174" spans="1:8" x14ac:dyDescent="0.3">
      <c r="A1174">
        <v>2016</v>
      </c>
      <c r="B1174" t="s">
        <v>36</v>
      </c>
      <c r="C1174" t="s">
        <v>97</v>
      </c>
      <c r="D1174" s="1" t="s">
        <v>22</v>
      </c>
      <c r="E1174">
        <v>127.7</v>
      </c>
      <c r="F1174">
        <v>125.1</v>
      </c>
      <c r="G1174">
        <v>122.3</v>
      </c>
      <c r="H1174" s="1" t="s">
        <v>20</v>
      </c>
    </row>
    <row r="1175" spans="1:8" x14ac:dyDescent="0.3">
      <c r="A1175">
        <v>2016</v>
      </c>
      <c r="B1175" t="s">
        <v>36</v>
      </c>
      <c r="C1175" t="s">
        <v>97</v>
      </c>
      <c r="D1175" s="1" t="s">
        <v>20</v>
      </c>
      <c r="E1175">
        <v>0</v>
      </c>
      <c r="F1175">
        <v>124.9</v>
      </c>
      <c r="G1175">
        <v>124.9</v>
      </c>
      <c r="H1175" s="1" t="s">
        <v>20</v>
      </c>
    </row>
    <row r="1176" spans="1:8" x14ac:dyDescent="0.3">
      <c r="A1176">
        <v>2016</v>
      </c>
      <c r="B1176" t="s">
        <v>36</v>
      </c>
      <c r="C1176" t="s">
        <v>97</v>
      </c>
      <c r="D1176" s="1" t="s">
        <v>4</v>
      </c>
      <c r="E1176">
        <v>134.4</v>
      </c>
      <c r="F1176">
        <v>135.1</v>
      </c>
      <c r="G1176">
        <v>136.30000000000001</v>
      </c>
      <c r="H1176" s="1" t="s">
        <v>188</v>
      </c>
    </row>
    <row r="1177" spans="1:8" x14ac:dyDescent="0.3">
      <c r="A1177">
        <v>2016</v>
      </c>
      <c r="B1177" t="s">
        <v>36</v>
      </c>
      <c r="C1177" t="s">
        <v>97</v>
      </c>
      <c r="D1177" s="1" t="s">
        <v>6</v>
      </c>
      <c r="E1177">
        <v>130.5</v>
      </c>
      <c r="F1177">
        <v>130.19999999999999</v>
      </c>
      <c r="G1177">
        <v>129.69999999999999</v>
      </c>
      <c r="H1177" s="1" t="s">
        <v>188</v>
      </c>
    </row>
    <row r="1178" spans="1:8" x14ac:dyDescent="0.3">
      <c r="A1178">
        <v>2016</v>
      </c>
      <c r="B1178" t="s">
        <v>36</v>
      </c>
      <c r="C1178" t="s">
        <v>97</v>
      </c>
      <c r="D1178" s="1" t="s">
        <v>28</v>
      </c>
      <c r="E1178">
        <v>121.1</v>
      </c>
      <c r="F1178">
        <v>119.3</v>
      </c>
      <c r="G1178">
        <v>117.3</v>
      </c>
      <c r="H1178" s="1" t="s">
        <v>192</v>
      </c>
    </row>
    <row r="1179" spans="1:8" x14ac:dyDescent="0.3">
      <c r="A1179">
        <v>2016</v>
      </c>
      <c r="B1179" t="s">
        <v>36</v>
      </c>
      <c r="C1179" t="s">
        <v>97</v>
      </c>
      <c r="D1179" s="1" t="s">
        <v>13</v>
      </c>
      <c r="E1179">
        <v>124.9</v>
      </c>
      <c r="F1179">
        <v>123.1</v>
      </c>
      <c r="G1179">
        <v>120.7</v>
      </c>
      <c r="H1179" s="1" t="s">
        <v>188</v>
      </c>
    </row>
    <row r="1180" spans="1:8" x14ac:dyDescent="0.3">
      <c r="A1180">
        <v>2016</v>
      </c>
      <c r="B1180" t="s">
        <v>36</v>
      </c>
      <c r="C1180" t="s">
        <v>97</v>
      </c>
      <c r="D1180" s="1" t="s">
        <v>7</v>
      </c>
      <c r="E1180">
        <v>118.3</v>
      </c>
      <c r="F1180">
        <v>114.5</v>
      </c>
      <c r="G1180">
        <v>107.9</v>
      </c>
      <c r="H1180" s="1" t="s">
        <v>188</v>
      </c>
    </row>
    <row r="1181" spans="1:8" x14ac:dyDescent="0.3">
      <c r="A1181">
        <v>2016</v>
      </c>
      <c r="B1181" t="s">
        <v>36</v>
      </c>
      <c r="C1181" t="s">
        <v>97</v>
      </c>
      <c r="D1181" s="1" t="s">
        <v>16</v>
      </c>
      <c r="E1181">
        <v>135</v>
      </c>
      <c r="F1181">
        <v>136.5</v>
      </c>
      <c r="G1181">
        <v>140.6</v>
      </c>
      <c r="H1181" s="1" t="s">
        <v>192</v>
      </c>
    </row>
    <row r="1182" spans="1:8" x14ac:dyDescent="0.3">
      <c r="A1182">
        <v>2016</v>
      </c>
      <c r="B1182" t="s">
        <v>36</v>
      </c>
      <c r="C1182" t="s">
        <v>97</v>
      </c>
      <c r="D1182" s="1" t="s">
        <v>27</v>
      </c>
      <c r="E1182">
        <v>117.4</v>
      </c>
      <c r="F1182">
        <v>117.3</v>
      </c>
      <c r="G1182">
        <v>117.1</v>
      </c>
      <c r="H1182" s="1" t="s">
        <v>192</v>
      </c>
    </row>
    <row r="1183" spans="1:8" x14ac:dyDescent="0.3">
      <c r="A1183">
        <v>2016</v>
      </c>
      <c r="B1183" t="s">
        <v>36</v>
      </c>
      <c r="C1183" t="s">
        <v>97</v>
      </c>
      <c r="D1183" s="1" t="s">
        <v>14</v>
      </c>
      <c r="E1183">
        <v>137</v>
      </c>
      <c r="F1183">
        <v>136.30000000000001</v>
      </c>
      <c r="G1183">
        <v>135.4</v>
      </c>
      <c r="H1183" s="1" t="s">
        <v>188</v>
      </c>
    </row>
    <row r="1184" spans="1:8" x14ac:dyDescent="0.3">
      <c r="A1184">
        <v>2016</v>
      </c>
      <c r="B1184" t="s">
        <v>36</v>
      </c>
      <c r="C1184" t="s">
        <v>97</v>
      </c>
      <c r="D1184" s="1" t="s">
        <v>10</v>
      </c>
      <c r="E1184">
        <v>161.19999999999999</v>
      </c>
      <c r="F1184">
        <v>164.3</v>
      </c>
      <c r="G1184">
        <v>170.3</v>
      </c>
      <c r="H1184" s="1" t="s">
        <v>188</v>
      </c>
    </row>
    <row r="1185" spans="1:8" x14ac:dyDescent="0.3">
      <c r="A1185">
        <v>2016</v>
      </c>
      <c r="B1185" t="s">
        <v>36</v>
      </c>
      <c r="C1185" t="s">
        <v>97</v>
      </c>
      <c r="D1185" s="1" t="s">
        <v>25</v>
      </c>
      <c r="E1185">
        <v>122.5</v>
      </c>
      <c r="F1185">
        <v>120.6</v>
      </c>
      <c r="G1185">
        <v>119.1</v>
      </c>
      <c r="H1185" s="1" t="s">
        <v>195</v>
      </c>
    </row>
    <row r="1186" spans="1:8" x14ac:dyDescent="0.3">
      <c r="A1186">
        <v>2016</v>
      </c>
      <c r="B1186" t="s">
        <v>36</v>
      </c>
      <c r="C1186" t="s">
        <v>97</v>
      </c>
      <c r="D1186" s="1" t="s">
        <v>12</v>
      </c>
      <c r="E1186">
        <v>130.80000000000001</v>
      </c>
      <c r="F1186">
        <v>133.9</v>
      </c>
      <c r="G1186">
        <v>140.1</v>
      </c>
      <c r="H1186" s="1" t="s">
        <v>188</v>
      </c>
    </row>
    <row r="1187" spans="1:8" x14ac:dyDescent="0.3">
      <c r="A1187">
        <v>2016</v>
      </c>
      <c r="B1187" t="s">
        <v>36</v>
      </c>
      <c r="C1187" t="s">
        <v>97</v>
      </c>
      <c r="D1187" s="1" t="s">
        <v>11</v>
      </c>
      <c r="E1187">
        <v>100.4</v>
      </c>
      <c r="F1187">
        <v>100.9</v>
      </c>
      <c r="G1187">
        <v>101.8</v>
      </c>
      <c r="H1187" s="1" t="s">
        <v>188</v>
      </c>
    </row>
    <row r="1188" spans="1:8" x14ac:dyDescent="0.3">
      <c r="A1188">
        <v>2016</v>
      </c>
      <c r="B1188" t="s">
        <v>36</v>
      </c>
      <c r="C1188" t="s">
        <v>97</v>
      </c>
      <c r="D1188" s="1" t="s">
        <v>24</v>
      </c>
      <c r="E1188">
        <v>113.6</v>
      </c>
      <c r="F1188">
        <v>110.9</v>
      </c>
      <c r="G1188">
        <v>108.5</v>
      </c>
      <c r="H1188" s="1" t="s">
        <v>191</v>
      </c>
    </row>
    <row r="1189" spans="1:8" x14ac:dyDescent="0.3">
      <c r="A1189">
        <v>2016</v>
      </c>
      <c r="B1189" t="s">
        <v>36</v>
      </c>
      <c r="C1189" t="s">
        <v>97</v>
      </c>
      <c r="D1189" s="1" t="s">
        <v>9</v>
      </c>
      <c r="E1189">
        <v>130.69999999999999</v>
      </c>
      <c r="F1189">
        <v>129.80000000000001</v>
      </c>
      <c r="G1189">
        <v>128.1</v>
      </c>
      <c r="H1189" s="1" t="s">
        <v>188</v>
      </c>
    </row>
    <row r="1190" spans="1:8" x14ac:dyDescent="0.3">
      <c r="A1190">
        <v>2016</v>
      </c>
      <c r="B1190" t="s">
        <v>38</v>
      </c>
      <c r="C1190" t="s">
        <v>98</v>
      </c>
      <c r="D1190" s="1" t="s">
        <v>3</v>
      </c>
      <c r="E1190">
        <v>127.6</v>
      </c>
      <c r="F1190">
        <v>126.8</v>
      </c>
      <c r="G1190">
        <v>125</v>
      </c>
      <c r="H1190" s="1" t="s">
        <v>188</v>
      </c>
    </row>
    <row r="1191" spans="1:8" x14ac:dyDescent="0.3">
      <c r="A1191">
        <v>2016</v>
      </c>
      <c r="B1191" t="s">
        <v>38</v>
      </c>
      <c r="C1191" t="s">
        <v>98</v>
      </c>
      <c r="D1191" s="1" t="s">
        <v>17</v>
      </c>
      <c r="E1191">
        <v>135.4</v>
      </c>
      <c r="F1191">
        <v>132.19999999999999</v>
      </c>
      <c r="G1191">
        <v>127.2</v>
      </c>
      <c r="H1191" s="1" t="s">
        <v>189</v>
      </c>
    </row>
    <row r="1192" spans="1:8" x14ac:dyDescent="0.3">
      <c r="A1192">
        <v>2016</v>
      </c>
      <c r="B1192" t="s">
        <v>38</v>
      </c>
      <c r="C1192" t="s">
        <v>98</v>
      </c>
      <c r="D1192" s="1" t="s">
        <v>19</v>
      </c>
      <c r="E1192">
        <v>134.80000000000001</v>
      </c>
      <c r="F1192">
        <v>131.4</v>
      </c>
      <c r="G1192">
        <v>126.2</v>
      </c>
      <c r="H1192" s="1" t="s">
        <v>189</v>
      </c>
    </row>
    <row r="1193" spans="1:8" x14ac:dyDescent="0.3">
      <c r="A1193">
        <v>2016</v>
      </c>
      <c r="B1193" t="s">
        <v>38</v>
      </c>
      <c r="C1193" t="s">
        <v>98</v>
      </c>
      <c r="D1193" s="1" t="s">
        <v>26</v>
      </c>
      <c r="E1193">
        <v>129.1</v>
      </c>
      <c r="F1193">
        <v>128.5</v>
      </c>
      <c r="G1193">
        <v>128</v>
      </c>
      <c r="H1193" s="1" t="s">
        <v>26</v>
      </c>
    </row>
    <row r="1194" spans="1:8" x14ac:dyDescent="0.3">
      <c r="A1194">
        <v>2016</v>
      </c>
      <c r="B1194" t="s">
        <v>38</v>
      </c>
      <c r="C1194" t="s">
        <v>98</v>
      </c>
      <c r="D1194" s="1" t="s">
        <v>5</v>
      </c>
      <c r="E1194">
        <v>124.4</v>
      </c>
      <c r="F1194">
        <v>125.4</v>
      </c>
      <c r="G1194">
        <v>127</v>
      </c>
      <c r="H1194" s="1" t="s">
        <v>188</v>
      </c>
    </row>
    <row r="1195" spans="1:8" x14ac:dyDescent="0.3">
      <c r="A1195">
        <v>2016</v>
      </c>
      <c r="B1195" t="s">
        <v>38</v>
      </c>
      <c r="C1195" t="s">
        <v>98</v>
      </c>
      <c r="D1195" s="1" t="s">
        <v>15</v>
      </c>
      <c r="E1195">
        <v>133.6</v>
      </c>
      <c r="F1195">
        <v>134</v>
      </c>
      <c r="G1195">
        <v>134.6</v>
      </c>
      <c r="H1195" s="1" t="s">
        <v>188</v>
      </c>
    </row>
    <row r="1196" spans="1:8" x14ac:dyDescent="0.3">
      <c r="A1196">
        <v>2016</v>
      </c>
      <c r="B1196" t="s">
        <v>38</v>
      </c>
      <c r="C1196" t="s">
        <v>98</v>
      </c>
      <c r="D1196" s="1" t="s">
        <v>18</v>
      </c>
      <c r="E1196">
        <v>131.1</v>
      </c>
      <c r="F1196">
        <v>126.8</v>
      </c>
      <c r="G1196">
        <v>120.7</v>
      </c>
      <c r="H1196" s="1" t="s">
        <v>189</v>
      </c>
    </row>
    <row r="1197" spans="1:8" x14ac:dyDescent="0.3">
      <c r="A1197">
        <v>2016</v>
      </c>
      <c r="B1197" t="s">
        <v>38</v>
      </c>
      <c r="C1197" t="s">
        <v>98</v>
      </c>
      <c r="D1197" s="1" t="s">
        <v>8</v>
      </c>
      <c r="E1197">
        <v>138.1</v>
      </c>
      <c r="F1197">
        <v>136</v>
      </c>
      <c r="G1197">
        <v>133.5</v>
      </c>
      <c r="H1197" s="1" t="s">
        <v>188</v>
      </c>
    </row>
    <row r="1198" spans="1:8" x14ac:dyDescent="0.3">
      <c r="A1198">
        <v>2016</v>
      </c>
      <c r="B1198" t="s">
        <v>38</v>
      </c>
      <c r="C1198" t="s">
        <v>98</v>
      </c>
      <c r="D1198" s="1" t="s">
        <v>21</v>
      </c>
      <c r="E1198">
        <v>127.4</v>
      </c>
      <c r="F1198">
        <v>122.7</v>
      </c>
      <c r="G1198">
        <v>115</v>
      </c>
      <c r="H1198" s="1" t="s">
        <v>190</v>
      </c>
    </row>
    <row r="1199" spans="1:8" x14ac:dyDescent="0.3">
      <c r="A1199">
        <v>2016</v>
      </c>
      <c r="B1199" t="s">
        <v>38</v>
      </c>
      <c r="C1199" t="s">
        <v>98</v>
      </c>
      <c r="D1199" s="1" t="s">
        <v>29</v>
      </c>
      <c r="E1199">
        <v>130.30000000000001</v>
      </c>
      <c r="F1199">
        <v>128.6</v>
      </c>
      <c r="G1199">
        <v>126.6</v>
      </c>
      <c r="H1199" s="1" t="s">
        <v>206</v>
      </c>
    </row>
    <row r="1200" spans="1:8" x14ac:dyDescent="0.3">
      <c r="A1200">
        <v>2016</v>
      </c>
      <c r="B1200" t="s">
        <v>38</v>
      </c>
      <c r="C1200" t="s">
        <v>98</v>
      </c>
      <c r="D1200" s="1" t="s">
        <v>23</v>
      </c>
      <c r="E1200">
        <v>125.8</v>
      </c>
      <c r="F1200">
        <v>123.7</v>
      </c>
      <c r="G1200">
        <v>120.3</v>
      </c>
      <c r="H1200" s="1" t="s">
        <v>23</v>
      </c>
    </row>
    <row r="1201" spans="1:8" x14ac:dyDescent="0.3">
      <c r="A1201">
        <v>2016</v>
      </c>
      <c r="B1201" t="s">
        <v>38</v>
      </c>
      <c r="C1201" t="s">
        <v>98</v>
      </c>
      <c r="D1201" s="1" t="s">
        <v>22</v>
      </c>
      <c r="E1201">
        <v>128.5</v>
      </c>
      <c r="F1201">
        <v>126</v>
      </c>
      <c r="G1201">
        <v>123.2</v>
      </c>
      <c r="H1201" s="1" t="s">
        <v>20</v>
      </c>
    </row>
    <row r="1202" spans="1:8" x14ac:dyDescent="0.3">
      <c r="A1202">
        <v>2016</v>
      </c>
      <c r="B1202" t="s">
        <v>38</v>
      </c>
      <c r="C1202" t="s">
        <v>98</v>
      </c>
      <c r="D1202" s="1" t="s">
        <v>20</v>
      </c>
      <c r="E1202">
        <v>0</v>
      </c>
      <c r="F1202">
        <v>126</v>
      </c>
      <c r="G1202">
        <v>126</v>
      </c>
      <c r="H1202" s="1" t="s">
        <v>20</v>
      </c>
    </row>
    <row r="1203" spans="1:8" x14ac:dyDescent="0.3">
      <c r="A1203">
        <v>2016</v>
      </c>
      <c r="B1203" t="s">
        <v>38</v>
      </c>
      <c r="C1203" t="s">
        <v>98</v>
      </c>
      <c r="D1203" s="1" t="s">
        <v>4</v>
      </c>
      <c r="E1203">
        <v>137.5</v>
      </c>
      <c r="F1203">
        <v>139.1</v>
      </c>
      <c r="G1203">
        <v>142.1</v>
      </c>
      <c r="H1203" s="1" t="s">
        <v>188</v>
      </c>
    </row>
    <row r="1204" spans="1:8" x14ac:dyDescent="0.3">
      <c r="A1204">
        <v>2016</v>
      </c>
      <c r="B1204" t="s">
        <v>38</v>
      </c>
      <c r="C1204" t="s">
        <v>98</v>
      </c>
      <c r="D1204" s="1" t="s">
        <v>6</v>
      </c>
      <c r="E1204">
        <v>132.4</v>
      </c>
      <c r="F1204">
        <v>131.69999999999999</v>
      </c>
      <c r="G1204">
        <v>130.4</v>
      </c>
      <c r="H1204" s="1" t="s">
        <v>188</v>
      </c>
    </row>
    <row r="1205" spans="1:8" x14ac:dyDescent="0.3">
      <c r="A1205">
        <v>2016</v>
      </c>
      <c r="B1205" t="s">
        <v>38</v>
      </c>
      <c r="C1205" t="s">
        <v>98</v>
      </c>
      <c r="D1205" s="1" t="s">
        <v>28</v>
      </c>
      <c r="E1205">
        <v>122.5</v>
      </c>
      <c r="F1205">
        <v>120.7</v>
      </c>
      <c r="G1205">
        <v>118.7</v>
      </c>
      <c r="H1205" s="1" t="s">
        <v>192</v>
      </c>
    </row>
    <row r="1206" spans="1:8" x14ac:dyDescent="0.3">
      <c r="A1206">
        <v>2016</v>
      </c>
      <c r="B1206" t="s">
        <v>38</v>
      </c>
      <c r="C1206" t="s">
        <v>98</v>
      </c>
      <c r="D1206" s="1" t="s">
        <v>13</v>
      </c>
      <c r="E1206">
        <v>126.1</v>
      </c>
      <c r="F1206">
        <v>124.2</v>
      </c>
      <c r="G1206">
        <v>121.5</v>
      </c>
      <c r="H1206" s="1" t="s">
        <v>188</v>
      </c>
    </row>
    <row r="1207" spans="1:8" x14ac:dyDescent="0.3">
      <c r="A1207">
        <v>2016</v>
      </c>
      <c r="B1207" t="s">
        <v>38</v>
      </c>
      <c r="C1207" t="s">
        <v>98</v>
      </c>
      <c r="D1207" s="1" t="s">
        <v>7</v>
      </c>
      <c r="E1207">
        <v>118.2</v>
      </c>
      <c r="F1207">
        <v>115</v>
      </c>
      <c r="G1207">
        <v>109.6</v>
      </c>
      <c r="H1207" s="1" t="s">
        <v>188</v>
      </c>
    </row>
    <row r="1208" spans="1:8" x14ac:dyDescent="0.3">
      <c r="A1208">
        <v>2016</v>
      </c>
      <c r="B1208" t="s">
        <v>38</v>
      </c>
      <c r="C1208" t="s">
        <v>98</v>
      </c>
      <c r="D1208" s="1" t="s">
        <v>16</v>
      </c>
      <c r="E1208">
        <v>136</v>
      </c>
      <c r="F1208">
        <v>137.69999999999999</v>
      </c>
      <c r="G1208">
        <v>142.19999999999999</v>
      </c>
      <c r="H1208" s="1" t="s">
        <v>192</v>
      </c>
    </row>
    <row r="1209" spans="1:8" x14ac:dyDescent="0.3">
      <c r="A1209">
        <v>2016</v>
      </c>
      <c r="B1209" t="s">
        <v>38</v>
      </c>
      <c r="C1209" t="s">
        <v>98</v>
      </c>
      <c r="D1209" s="1" t="s">
        <v>27</v>
      </c>
      <c r="E1209">
        <v>119.7</v>
      </c>
      <c r="F1209">
        <v>119.2</v>
      </c>
      <c r="G1209">
        <v>118.5</v>
      </c>
      <c r="H1209" s="1" t="s">
        <v>192</v>
      </c>
    </row>
    <row r="1210" spans="1:8" x14ac:dyDescent="0.3">
      <c r="A1210">
        <v>2016</v>
      </c>
      <c r="B1210" t="s">
        <v>38</v>
      </c>
      <c r="C1210" t="s">
        <v>98</v>
      </c>
      <c r="D1210" s="1" t="s">
        <v>14</v>
      </c>
      <c r="E1210">
        <v>138.30000000000001</v>
      </c>
      <c r="F1210">
        <v>137.4</v>
      </c>
      <c r="G1210">
        <v>136.30000000000001</v>
      </c>
      <c r="H1210" s="1" t="s">
        <v>188</v>
      </c>
    </row>
    <row r="1211" spans="1:8" x14ac:dyDescent="0.3">
      <c r="A1211">
        <v>2016</v>
      </c>
      <c r="B1211" t="s">
        <v>38</v>
      </c>
      <c r="C1211" t="s">
        <v>98</v>
      </c>
      <c r="D1211" s="1" t="s">
        <v>10</v>
      </c>
      <c r="E1211">
        <v>166</v>
      </c>
      <c r="F1211">
        <v>171.7</v>
      </c>
      <c r="G1211">
        <v>182.8</v>
      </c>
      <c r="H1211" s="1" t="s">
        <v>188</v>
      </c>
    </row>
    <row r="1212" spans="1:8" x14ac:dyDescent="0.3">
      <c r="A1212">
        <v>2016</v>
      </c>
      <c r="B1212" t="s">
        <v>38</v>
      </c>
      <c r="C1212" t="s">
        <v>98</v>
      </c>
      <c r="D1212" s="1" t="s">
        <v>25</v>
      </c>
      <c r="E1212">
        <v>123.6</v>
      </c>
      <c r="F1212">
        <v>121.5</v>
      </c>
      <c r="G1212">
        <v>119.8</v>
      </c>
      <c r="H1212" s="1" t="s">
        <v>195</v>
      </c>
    </row>
    <row r="1213" spans="1:8" x14ac:dyDescent="0.3">
      <c r="A1213">
        <v>2016</v>
      </c>
      <c r="B1213" t="s">
        <v>38</v>
      </c>
      <c r="C1213" t="s">
        <v>98</v>
      </c>
      <c r="D1213" s="1" t="s">
        <v>12</v>
      </c>
      <c r="E1213">
        <v>132.19999999999999</v>
      </c>
      <c r="F1213">
        <v>135.30000000000001</v>
      </c>
      <c r="G1213">
        <v>141.5</v>
      </c>
      <c r="H1213" s="1" t="s">
        <v>188</v>
      </c>
    </row>
    <row r="1214" spans="1:8" x14ac:dyDescent="0.3">
      <c r="A1214">
        <v>2016</v>
      </c>
      <c r="B1214" t="s">
        <v>38</v>
      </c>
      <c r="C1214" t="s">
        <v>98</v>
      </c>
      <c r="D1214" s="1" t="s">
        <v>11</v>
      </c>
      <c r="E1214">
        <v>107.5</v>
      </c>
      <c r="F1214">
        <v>108.7</v>
      </c>
      <c r="G1214">
        <v>111.1</v>
      </c>
      <c r="H1214" s="1" t="s">
        <v>188</v>
      </c>
    </row>
    <row r="1215" spans="1:8" x14ac:dyDescent="0.3">
      <c r="A1215">
        <v>2016</v>
      </c>
      <c r="B1215" t="s">
        <v>38</v>
      </c>
      <c r="C1215" t="s">
        <v>98</v>
      </c>
      <c r="D1215" s="1" t="s">
        <v>24</v>
      </c>
      <c r="E1215">
        <v>115.1</v>
      </c>
      <c r="F1215">
        <v>112.8</v>
      </c>
      <c r="G1215">
        <v>110.7</v>
      </c>
      <c r="H1215" s="1" t="s">
        <v>191</v>
      </c>
    </row>
    <row r="1216" spans="1:8" x14ac:dyDescent="0.3">
      <c r="A1216">
        <v>2016</v>
      </c>
      <c r="B1216" t="s">
        <v>38</v>
      </c>
      <c r="C1216" t="s">
        <v>98</v>
      </c>
      <c r="D1216" s="1" t="s">
        <v>9</v>
      </c>
      <c r="E1216">
        <v>141.80000000000001</v>
      </c>
      <c r="F1216">
        <v>145.1</v>
      </c>
      <c r="G1216">
        <v>151.4</v>
      </c>
      <c r="H1216" s="1" t="s">
        <v>188</v>
      </c>
    </row>
    <row r="1217" spans="1:8" x14ac:dyDescent="0.3">
      <c r="A1217">
        <v>2016</v>
      </c>
      <c r="B1217" t="s">
        <v>44</v>
      </c>
      <c r="C1217" t="s">
        <v>99</v>
      </c>
      <c r="D1217" s="1" t="s">
        <v>3</v>
      </c>
      <c r="E1217">
        <v>132</v>
      </c>
      <c r="F1217">
        <v>131.4</v>
      </c>
      <c r="G1217">
        <v>130.19999999999999</v>
      </c>
      <c r="H1217" s="1" t="s">
        <v>188</v>
      </c>
    </row>
    <row r="1218" spans="1:8" x14ac:dyDescent="0.3">
      <c r="A1218">
        <v>2016</v>
      </c>
      <c r="B1218" t="s">
        <v>44</v>
      </c>
      <c r="C1218" t="s">
        <v>99</v>
      </c>
      <c r="D1218" s="1" t="s">
        <v>17</v>
      </c>
      <c r="E1218">
        <v>139.9</v>
      </c>
      <c r="F1218">
        <v>135.80000000000001</v>
      </c>
      <c r="G1218">
        <v>129.6</v>
      </c>
      <c r="H1218" s="1" t="s">
        <v>189</v>
      </c>
    </row>
    <row r="1219" spans="1:8" x14ac:dyDescent="0.3">
      <c r="A1219">
        <v>2016</v>
      </c>
      <c r="B1219" t="s">
        <v>44</v>
      </c>
      <c r="C1219" t="s">
        <v>99</v>
      </c>
      <c r="D1219" s="1" t="s">
        <v>19</v>
      </c>
      <c r="E1219">
        <v>139.19999999999999</v>
      </c>
      <c r="F1219">
        <v>135</v>
      </c>
      <c r="G1219">
        <v>128.5</v>
      </c>
      <c r="H1219" s="1" t="s">
        <v>189</v>
      </c>
    </row>
    <row r="1220" spans="1:8" x14ac:dyDescent="0.3">
      <c r="A1220">
        <v>2016</v>
      </c>
      <c r="B1220" t="s">
        <v>44</v>
      </c>
      <c r="C1220" t="s">
        <v>99</v>
      </c>
      <c r="D1220" s="1" t="s">
        <v>26</v>
      </c>
      <c r="E1220">
        <v>133.69999999999999</v>
      </c>
      <c r="F1220">
        <v>132.80000000000001</v>
      </c>
      <c r="G1220">
        <v>132.1</v>
      </c>
      <c r="H1220" s="1" t="s">
        <v>26</v>
      </c>
    </row>
    <row r="1221" spans="1:8" x14ac:dyDescent="0.3">
      <c r="A1221">
        <v>2016</v>
      </c>
      <c r="B1221" t="s">
        <v>44</v>
      </c>
      <c r="C1221" t="s">
        <v>99</v>
      </c>
      <c r="D1221" s="1" t="s">
        <v>5</v>
      </c>
      <c r="E1221">
        <v>130.6</v>
      </c>
      <c r="F1221">
        <v>132</v>
      </c>
      <c r="G1221">
        <v>134.1</v>
      </c>
      <c r="H1221" s="1" t="s">
        <v>188</v>
      </c>
    </row>
    <row r="1222" spans="1:8" x14ac:dyDescent="0.3">
      <c r="A1222">
        <v>2016</v>
      </c>
      <c r="B1222" t="s">
        <v>44</v>
      </c>
      <c r="C1222" t="s">
        <v>99</v>
      </c>
      <c r="D1222" s="1" t="s">
        <v>15</v>
      </c>
      <c r="E1222">
        <v>136.6</v>
      </c>
      <c r="F1222">
        <v>136.1</v>
      </c>
      <c r="G1222">
        <v>135.19999999999999</v>
      </c>
      <c r="H1222" s="1" t="s">
        <v>188</v>
      </c>
    </row>
    <row r="1223" spans="1:8" x14ac:dyDescent="0.3">
      <c r="A1223">
        <v>2016</v>
      </c>
      <c r="B1223" t="s">
        <v>44</v>
      </c>
      <c r="C1223" t="s">
        <v>99</v>
      </c>
      <c r="D1223" s="1" t="s">
        <v>18</v>
      </c>
      <c r="E1223">
        <v>134.5</v>
      </c>
      <c r="F1223">
        <v>129.30000000000001</v>
      </c>
      <c r="G1223">
        <v>122.1</v>
      </c>
      <c r="H1223" s="1" t="s">
        <v>189</v>
      </c>
    </row>
    <row r="1224" spans="1:8" x14ac:dyDescent="0.3">
      <c r="A1224">
        <v>2016</v>
      </c>
      <c r="B1224" t="s">
        <v>44</v>
      </c>
      <c r="C1224" t="s">
        <v>99</v>
      </c>
      <c r="D1224" s="1" t="s">
        <v>8</v>
      </c>
      <c r="E1224">
        <v>136.9</v>
      </c>
      <c r="F1224">
        <v>134.1</v>
      </c>
      <c r="G1224">
        <v>130.80000000000001</v>
      </c>
      <c r="H1224" s="1" t="s">
        <v>188</v>
      </c>
    </row>
    <row r="1225" spans="1:8" x14ac:dyDescent="0.3">
      <c r="A1225">
        <v>2016</v>
      </c>
      <c r="B1225" t="s">
        <v>44</v>
      </c>
      <c r="C1225" t="s">
        <v>99</v>
      </c>
      <c r="D1225" s="1" t="s">
        <v>21</v>
      </c>
      <c r="E1225">
        <v>130.30000000000001</v>
      </c>
      <c r="F1225">
        <v>125</v>
      </c>
      <c r="G1225">
        <v>116.2</v>
      </c>
      <c r="H1225" s="1" t="s">
        <v>190</v>
      </c>
    </row>
    <row r="1226" spans="1:8" x14ac:dyDescent="0.3">
      <c r="A1226">
        <v>2016</v>
      </c>
      <c r="B1226" t="s">
        <v>44</v>
      </c>
      <c r="C1226" t="s">
        <v>99</v>
      </c>
      <c r="D1226" s="1" t="s">
        <v>29</v>
      </c>
      <c r="E1226">
        <v>133.6</v>
      </c>
      <c r="F1226">
        <v>131.19999999999999</v>
      </c>
      <c r="G1226">
        <v>128.5</v>
      </c>
      <c r="H1226" s="1" t="s">
        <v>206</v>
      </c>
    </row>
    <row r="1227" spans="1:8" x14ac:dyDescent="0.3">
      <c r="A1227">
        <v>2016</v>
      </c>
      <c r="B1227" t="s">
        <v>44</v>
      </c>
      <c r="C1227" t="s">
        <v>99</v>
      </c>
      <c r="D1227" s="1" t="s">
        <v>23</v>
      </c>
      <c r="E1227">
        <v>129.1</v>
      </c>
      <c r="F1227">
        <v>126.4</v>
      </c>
      <c r="G1227">
        <v>122.1</v>
      </c>
      <c r="H1227" s="1" t="s">
        <v>23</v>
      </c>
    </row>
    <row r="1228" spans="1:8" x14ac:dyDescent="0.3">
      <c r="A1228">
        <v>2016</v>
      </c>
      <c r="B1228" t="s">
        <v>44</v>
      </c>
      <c r="C1228" t="s">
        <v>99</v>
      </c>
      <c r="D1228" s="1" t="s">
        <v>22</v>
      </c>
      <c r="E1228">
        <v>132.1</v>
      </c>
      <c r="F1228">
        <v>128.6</v>
      </c>
      <c r="G1228">
        <v>124.7</v>
      </c>
      <c r="H1228" s="1" t="s">
        <v>20</v>
      </c>
    </row>
    <row r="1229" spans="1:8" x14ac:dyDescent="0.3">
      <c r="A1229">
        <v>2016</v>
      </c>
      <c r="B1229" t="s">
        <v>44</v>
      </c>
      <c r="C1229" t="s">
        <v>99</v>
      </c>
      <c r="D1229" s="1" t="s">
        <v>20</v>
      </c>
      <c r="E1229">
        <v>0</v>
      </c>
      <c r="F1229">
        <v>129.1</v>
      </c>
      <c r="G1229">
        <v>129.1</v>
      </c>
      <c r="H1229" s="1" t="s">
        <v>20</v>
      </c>
    </row>
    <row r="1230" spans="1:8" x14ac:dyDescent="0.3">
      <c r="A1230">
        <v>2016</v>
      </c>
      <c r="B1230" t="s">
        <v>44</v>
      </c>
      <c r="C1230" t="s">
        <v>99</v>
      </c>
      <c r="D1230" s="1" t="s">
        <v>4</v>
      </c>
      <c r="E1230">
        <v>137.4</v>
      </c>
      <c r="F1230">
        <v>137.80000000000001</v>
      </c>
      <c r="G1230">
        <v>138.5</v>
      </c>
      <c r="H1230" s="1" t="s">
        <v>188</v>
      </c>
    </row>
    <row r="1231" spans="1:8" x14ac:dyDescent="0.3">
      <c r="A1231">
        <v>2016</v>
      </c>
      <c r="B1231" t="s">
        <v>44</v>
      </c>
      <c r="C1231" t="s">
        <v>99</v>
      </c>
      <c r="D1231" s="1" t="s">
        <v>6</v>
      </c>
      <c r="E1231">
        <v>136.19999999999999</v>
      </c>
      <c r="F1231">
        <v>135</v>
      </c>
      <c r="G1231">
        <v>132.9</v>
      </c>
      <c r="H1231" s="1" t="s">
        <v>188</v>
      </c>
    </row>
    <row r="1232" spans="1:8" x14ac:dyDescent="0.3">
      <c r="A1232">
        <v>2016</v>
      </c>
      <c r="B1232" t="s">
        <v>44</v>
      </c>
      <c r="C1232" t="s">
        <v>99</v>
      </c>
      <c r="D1232" s="1" t="s">
        <v>28</v>
      </c>
      <c r="E1232">
        <v>126.1</v>
      </c>
      <c r="F1232">
        <v>123.8</v>
      </c>
      <c r="G1232">
        <v>121.3</v>
      </c>
      <c r="H1232" s="1" t="s">
        <v>192</v>
      </c>
    </row>
    <row r="1233" spans="1:8" x14ac:dyDescent="0.3">
      <c r="A1233">
        <v>2016</v>
      </c>
      <c r="B1233" t="s">
        <v>44</v>
      </c>
      <c r="C1233" t="s">
        <v>99</v>
      </c>
      <c r="D1233" s="1" t="s">
        <v>13</v>
      </c>
      <c r="E1233">
        <v>128.69999999999999</v>
      </c>
      <c r="F1233">
        <v>126.2</v>
      </c>
      <c r="G1233">
        <v>122.7</v>
      </c>
      <c r="H1233" s="1" t="s">
        <v>188</v>
      </c>
    </row>
    <row r="1234" spans="1:8" x14ac:dyDescent="0.3">
      <c r="A1234">
        <v>2016</v>
      </c>
      <c r="B1234" t="s">
        <v>44</v>
      </c>
      <c r="C1234" t="s">
        <v>99</v>
      </c>
      <c r="D1234" s="1" t="s">
        <v>7</v>
      </c>
      <c r="E1234">
        <v>121.1</v>
      </c>
      <c r="F1234">
        <v>118</v>
      </c>
      <c r="G1234">
        <v>112.6</v>
      </c>
      <c r="H1234" s="1" t="s">
        <v>188</v>
      </c>
    </row>
    <row r="1235" spans="1:8" x14ac:dyDescent="0.3">
      <c r="A1235">
        <v>2016</v>
      </c>
      <c r="B1235" t="s">
        <v>44</v>
      </c>
      <c r="C1235" t="s">
        <v>99</v>
      </c>
      <c r="D1235" s="1" t="s">
        <v>16</v>
      </c>
      <c r="E1235">
        <v>141.19999999999999</v>
      </c>
      <c r="F1235">
        <v>142</v>
      </c>
      <c r="G1235">
        <v>144.30000000000001</v>
      </c>
      <c r="H1235" s="1" t="s">
        <v>192</v>
      </c>
    </row>
    <row r="1236" spans="1:8" x14ac:dyDescent="0.3">
      <c r="A1236">
        <v>2016</v>
      </c>
      <c r="B1236" t="s">
        <v>44</v>
      </c>
      <c r="C1236" t="s">
        <v>99</v>
      </c>
      <c r="D1236" s="1" t="s">
        <v>27</v>
      </c>
      <c r="E1236">
        <v>123.5</v>
      </c>
      <c r="F1236">
        <v>122.6</v>
      </c>
      <c r="G1236">
        <v>121.3</v>
      </c>
      <c r="H1236" s="1" t="s">
        <v>192</v>
      </c>
    </row>
    <row r="1237" spans="1:8" x14ac:dyDescent="0.3">
      <c r="A1237">
        <v>2016</v>
      </c>
      <c r="B1237" t="s">
        <v>44</v>
      </c>
      <c r="C1237" t="s">
        <v>99</v>
      </c>
      <c r="D1237" s="1" t="s">
        <v>14</v>
      </c>
      <c r="E1237">
        <v>143.1</v>
      </c>
      <c r="F1237">
        <v>141.80000000000001</v>
      </c>
      <c r="G1237">
        <v>140.30000000000001</v>
      </c>
      <c r="H1237" s="1" t="s">
        <v>188</v>
      </c>
    </row>
    <row r="1238" spans="1:8" x14ac:dyDescent="0.3">
      <c r="A1238">
        <v>2016</v>
      </c>
      <c r="B1238" t="s">
        <v>44</v>
      </c>
      <c r="C1238" t="s">
        <v>99</v>
      </c>
      <c r="D1238" s="1" t="s">
        <v>10</v>
      </c>
      <c r="E1238">
        <v>170</v>
      </c>
      <c r="F1238">
        <v>171.7</v>
      </c>
      <c r="G1238">
        <v>174.9</v>
      </c>
      <c r="H1238" s="1" t="s">
        <v>188</v>
      </c>
    </row>
    <row r="1239" spans="1:8" x14ac:dyDescent="0.3">
      <c r="A1239">
        <v>2016</v>
      </c>
      <c r="B1239" t="s">
        <v>44</v>
      </c>
      <c r="C1239" t="s">
        <v>99</v>
      </c>
      <c r="D1239" s="1" t="s">
        <v>25</v>
      </c>
      <c r="E1239">
        <v>126.9</v>
      </c>
      <c r="F1239">
        <v>124</v>
      </c>
      <c r="G1239">
        <v>121.7</v>
      </c>
      <c r="H1239" s="1" t="s">
        <v>195</v>
      </c>
    </row>
    <row r="1240" spans="1:8" x14ac:dyDescent="0.3">
      <c r="A1240">
        <v>2016</v>
      </c>
      <c r="B1240" t="s">
        <v>44</v>
      </c>
      <c r="C1240" t="s">
        <v>99</v>
      </c>
      <c r="D1240" s="1" t="s">
        <v>12</v>
      </c>
      <c r="E1240">
        <v>136.80000000000001</v>
      </c>
      <c r="F1240">
        <v>139.69999999999999</v>
      </c>
      <c r="G1240">
        <v>145.4</v>
      </c>
      <c r="H1240" s="1" t="s">
        <v>188</v>
      </c>
    </row>
    <row r="1241" spans="1:8" x14ac:dyDescent="0.3">
      <c r="A1241">
        <v>2016</v>
      </c>
      <c r="B1241" t="s">
        <v>44</v>
      </c>
      <c r="C1241" t="s">
        <v>99</v>
      </c>
      <c r="D1241" s="1" t="s">
        <v>11</v>
      </c>
      <c r="E1241">
        <v>113.4</v>
      </c>
      <c r="F1241">
        <v>114.1</v>
      </c>
      <c r="G1241">
        <v>115.6</v>
      </c>
      <c r="H1241" s="1" t="s">
        <v>188</v>
      </c>
    </row>
    <row r="1242" spans="1:8" x14ac:dyDescent="0.3">
      <c r="A1242">
        <v>2016</v>
      </c>
      <c r="B1242" t="s">
        <v>44</v>
      </c>
      <c r="C1242" t="s">
        <v>99</v>
      </c>
      <c r="D1242" s="1" t="s">
        <v>24</v>
      </c>
      <c r="E1242">
        <v>118.2</v>
      </c>
      <c r="F1242">
        <v>115.7</v>
      </c>
      <c r="G1242">
        <v>113.4</v>
      </c>
      <c r="H1242" s="1" t="s">
        <v>191</v>
      </c>
    </row>
    <row r="1243" spans="1:8" x14ac:dyDescent="0.3">
      <c r="A1243">
        <v>2016</v>
      </c>
      <c r="B1243" t="s">
        <v>44</v>
      </c>
      <c r="C1243" t="s">
        <v>99</v>
      </c>
      <c r="D1243" s="1" t="s">
        <v>9</v>
      </c>
      <c r="E1243">
        <v>141.80000000000001</v>
      </c>
      <c r="F1243">
        <v>141.9</v>
      </c>
      <c r="G1243">
        <v>142</v>
      </c>
      <c r="H1243" s="1" t="s">
        <v>188</v>
      </c>
    </row>
    <row r="1244" spans="1:8" x14ac:dyDescent="0.3">
      <c r="A1244">
        <v>2016</v>
      </c>
      <c r="B1244" t="s">
        <v>43</v>
      </c>
      <c r="C1244" t="s">
        <v>100</v>
      </c>
      <c r="D1244" s="1" t="s">
        <v>3</v>
      </c>
      <c r="E1244">
        <v>131.30000000000001</v>
      </c>
      <c r="F1244">
        <v>130.5</v>
      </c>
      <c r="G1244">
        <v>128.69999999999999</v>
      </c>
      <c r="H1244" s="1" t="s">
        <v>188</v>
      </c>
    </row>
    <row r="1245" spans="1:8" x14ac:dyDescent="0.3">
      <c r="A1245">
        <v>2016</v>
      </c>
      <c r="B1245" t="s">
        <v>43</v>
      </c>
      <c r="C1245" t="s">
        <v>100</v>
      </c>
      <c r="D1245" s="1" t="s">
        <v>17</v>
      </c>
      <c r="E1245">
        <v>139.6</v>
      </c>
      <c r="F1245">
        <v>135.5</v>
      </c>
      <c r="G1245">
        <v>129.1</v>
      </c>
      <c r="H1245" s="1" t="s">
        <v>189</v>
      </c>
    </row>
    <row r="1246" spans="1:8" x14ac:dyDescent="0.3">
      <c r="A1246">
        <v>2016</v>
      </c>
      <c r="B1246" t="s">
        <v>43</v>
      </c>
      <c r="C1246" t="s">
        <v>100</v>
      </c>
      <c r="D1246" s="1" t="s">
        <v>19</v>
      </c>
      <c r="E1246">
        <v>138.80000000000001</v>
      </c>
      <c r="F1246">
        <v>134.5</v>
      </c>
      <c r="G1246">
        <v>128</v>
      </c>
      <c r="H1246" s="1" t="s">
        <v>189</v>
      </c>
    </row>
    <row r="1247" spans="1:8" x14ac:dyDescent="0.3">
      <c r="A1247">
        <v>2016</v>
      </c>
      <c r="B1247" t="s">
        <v>43</v>
      </c>
      <c r="C1247" t="s">
        <v>100</v>
      </c>
      <c r="D1247" s="1" t="s">
        <v>26</v>
      </c>
      <c r="E1247">
        <v>133</v>
      </c>
      <c r="F1247">
        <v>132.4</v>
      </c>
      <c r="G1247">
        <v>131.9</v>
      </c>
      <c r="H1247" s="1" t="s">
        <v>26</v>
      </c>
    </row>
    <row r="1248" spans="1:8" x14ac:dyDescent="0.3">
      <c r="A1248">
        <v>2016</v>
      </c>
      <c r="B1248" t="s">
        <v>43</v>
      </c>
      <c r="C1248" t="s">
        <v>100</v>
      </c>
      <c r="D1248" s="1" t="s">
        <v>5</v>
      </c>
      <c r="E1248">
        <v>130.1</v>
      </c>
      <c r="F1248">
        <v>130.19999999999999</v>
      </c>
      <c r="G1248">
        <v>130.30000000000001</v>
      </c>
      <c r="H1248" s="1" t="s">
        <v>188</v>
      </c>
    </row>
    <row r="1249" spans="1:8" x14ac:dyDescent="0.3">
      <c r="A1249">
        <v>2016</v>
      </c>
      <c r="B1249" t="s">
        <v>43</v>
      </c>
      <c r="C1249" t="s">
        <v>100</v>
      </c>
      <c r="D1249" s="1" t="s">
        <v>15</v>
      </c>
      <c r="E1249">
        <v>137.4</v>
      </c>
      <c r="F1249">
        <v>137</v>
      </c>
      <c r="G1249">
        <v>136.30000000000001</v>
      </c>
      <c r="H1249" s="1" t="s">
        <v>188</v>
      </c>
    </row>
    <row r="1250" spans="1:8" x14ac:dyDescent="0.3">
      <c r="A1250">
        <v>2016</v>
      </c>
      <c r="B1250" t="s">
        <v>43</v>
      </c>
      <c r="C1250" t="s">
        <v>100</v>
      </c>
      <c r="D1250" s="1" t="s">
        <v>18</v>
      </c>
      <c r="E1250">
        <v>134.30000000000001</v>
      </c>
      <c r="F1250">
        <v>129.1</v>
      </c>
      <c r="G1250">
        <v>121.9</v>
      </c>
      <c r="H1250" s="1" t="s">
        <v>189</v>
      </c>
    </row>
    <row r="1251" spans="1:8" x14ac:dyDescent="0.3">
      <c r="A1251">
        <v>2016</v>
      </c>
      <c r="B1251" t="s">
        <v>43</v>
      </c>
      <c r="C1251" t="s">
        <v>100</v>
      </c>
      <c r="D1251" s="1" t="s">
        <v>8</v>
      </c>
      <c r="E1251">
        <v>138.4</v>
      </c>
      <c r="F1251">
        <v>134.69999999999999</v>
      </c>
      <c r="G1251">
        <v>130.4</v>
      </c>
      <c r="H1251" s="1" t="s">
        <v>188</v>
      </c>
    </row>
    <row r="1252" spans="1:8" x14ac:dyDescent="0.3">
      <c r="A1252">
        <v>2016</v>
      </c>
      <c r="B1252" t="s">
        <v>43</v>
      </c>
      <c r="C1252" t="s">
        <v>100</v>
      </c>
      <c r="D1252" s="1" t="s">
        <v>21</v>
      </c>
      <c r="E1252">
        <v>129.80000000000001</v>
      </c>
      <c r="F1252">
        <v>124.3</v>
      </c>
      <c r="G1252">
        <v>115.2</v>
      </c>
      <c r="H1252" s="1" t="s">
        <v>190</v>
      </c>
    </row>
    <row r="1253" spans="1:8" x14ac:dyDescent="0.3">
      <c r="A1253">
        <v>2016</v>
      </c>
      <c r="B1253" t="s">
        <v>43</v>
      </c>
      <c r="C1253" t="s">
        <v>100</v>
      </c>
      <c r="D1253" s="1" t="s">
        <v>29</v>
      </c>
      <c r="E1253">
        <v>133.80000000000001</v>
      </c>
      <c r="F1253">
        <v>131.4</v>
      </c>
      <c r="G1253">
        <v>128.6</v>
      </c>
      <c r="H1253" s="1" t="s">
        <v>206</v>
      </c>
    </row>
    <row r="1254" spans="1:8" x14ac:dyDescent="0.3">
      <c r="A1254">
        <v>2016</v>
      </c>
      <c r="B1254" t="s">
        <v>43</v>
      </c>
      <c r="C1254" t="s">
        <v>100</v>
      </c>
      <c r="D1254" s="1" t="s">
        <v>23</v>
      </c>
      <c r="E1254">
        <v>128.69999999999999</v>
      </c>
      <c r="F1254">
        <v>126.1</v>
      </c>
      <c r="G1254">
        <v>121.8</v>
      </c>
      <c r="H1254" s="1" t="s">
        <v>23</v>
      </c>
    </row>
    <row r="1255" spans="1:8" x14ac:dyDescent="0.3">
      <c r="A1255">
        <v>2016</v>
      </c>
      <c r="B1255" t="s">
        <v>43</v>
      </c>
      <c r="C1255" t="s">
        <v>100</v>
      </c>
      <c r="D1255" s="1" t="s">
        <v>22</v>
      </c>
      <c r="E1255">
        <v>131.80000000000001</v>
      </c>
      <c r="F1255">
        <v>128.4</v>
      </c>
      <c r="G1255">
        <v>124.5</v>
      </c>
      <c r="H1255" s="1" t="s">
        <v>20</v>
      </c>
    </row>
    <row r="1256" spans="1:8" x14ac:dyDescent="0.3">
      <c r="A1256">
        <v>2016</v>
      </c>
      <c r="B1256" t="s">
        <v>43</v>
      </c>
      <c r="C1256" t="s">
        <v>100</v>
      </c>
      <c r="D1256" s="1" t="s">
        <v>20</v>
      </c>
      <c r="E1256">
        <v>0</v>
      </c>
      <c r="F1256">
        <v>128.69999999999999</v>
      </c>
      <c r="G1256">
        <v>128.69999999999999</v>
      </c>
      <c r="H1256" s="1" t="s">
        <v>20</v>
      </c>
    </row>
    <row r="1257" spans="1:8" x14ac:dyDescent="0.3">
      <c r="A1257">
        <v>2016</v>
      </c>
      <c r="B1257" t="s">
        <v>43</v>
      </c>
      <c r="C1257" t="s">
        <v>100</v>
      </c>
      <c r="D1257" s="1" t="s">
        <v>4</v>
      </c>
      <c r="E1257">
        <v>137.6</v>
      </c>
      <c r="F1257">
        <v>137.9</v>
      </c>
      <c r="G1257">
        <v>138.4</v>
      </c>
      <c r="H1257" s="1" t="s">
        <v>188</v>
      </c>
    </row>
    <row r="1258" spans="1:8" x14ac:dyDescent="0.3">
      <c r="A1258">
        <v>2016</v>
      </c>
      <c r="B1258" t="s">
        <v>43</v>
      </c>
      <c r="C1258" t="s">
        <v>100</v>
      </c>
      <c r="D1258" s="1" t="s">
        <v>6</v>
      </c>
      <c r="E1258">
        <v>136</v>
      </c>
      <c r="F1258">
        <v>134.80000000000001</v>
      </c>
      <c r="G1258">
        <v>132.69999999999999</v>
      </c>
      <c r="H1258" s="1" t="s">
        <v>188</v>
      </c>
    </row>
    <row r="1259" spans="1:8" x14ac:dyDescent="0.3">
      <c r="A1259">
        <v>2016</v>
      </c>
      <c r="B1259" t="s">
        <v>43</v>
      </c>
      <c r="C1259" t="s">
        <v>100</v>
      </c>
      <c r="D1259" s="1" t="s">
        <v>28</v>
      </c>
      <c r="E1259">
        <v>125.7</v>
      </c>
      <c r="F1259">
        <v>123.4</v>
      </c>
      <c r="G1259">
        <v>120.9</v>
      </c>
      <c r="H1259" s="1" t="s">
        <v>192</v>
      </c>
    </row>
    <row r="1260" spans="1:8" x14ac:dyDescent="0.3">
      <c r="A1260">
        <v>2016</v>
      </c>
      <c r="B1260" t="s">
        <v>43</v>
      </c>
      <c r="C1260" t="s">
        <v>100</v>
      </c>
      <c r="D1260" s="1" t="s">
        <v>13</v>
      </c>
      <c r="E1260">
        <v>128.69999999999999</v>
      </c>
      <c r="F1260">
        <v>126.1</v>
      </c>
      <c r="G1260">
        <v>122.5</v>
      </c>
      <c r="H1260" s="1" t="s">
        <v>188</v>
      </c>
    </row>
    <row r="1261" spans="1:8" x14ac:dyDescent="0.3">
      <c r="A1261">
        <v>2016</v>
      </c>
      <c r="B1261" t="s">
        <v>43</v>
      </c>
      <c r="C1261" t="s">
        <v>100</v>
      </c>
      <c r="D1261" s="1" t="s">
        <v>7</v>
      </c>
      <c r="E1261">
        <v>120.8</v>
      </c>
      <c r="F1261">
        <v>117.8</v>
      </c>
      <c r="G1261">
        <v>112.5</v>
      </c>
      <c r="H1261" s="1" t="s">
        <v>188</v>
      </c>
    </row>
    <row r="1262" spans="1:8" x14ac:dyDescent="0.3">
      <c r="A1262">
        <v>2016</v>
      </c>
      <c r="B1262" t="s">
        <v>43</v>
      </c>
      <c r="C1262" t="s">
        <v>100</v>
      </c>
      <c r="D1262" s="1" t="s">
        <v>16</v>
      </c>
      <c r="E1262">
        <v>140.9</v>
      </c>
      <c r="F1262">
        <v>141.80000000000001</v>
      </c>
      <c r="G1262">
        <v>144.30000000000001</v>
      </c>
      <c r="H1262" s="1" t="s">
        <v>192</v>
      </c>
    </row>
    <row r="1263" spans="1:8" x14ac:dyDescent="0.3">
      <c r="A1263">
        <v>2016</v>
      </c>
      <c r="B1263" t="s">
        <v>43</v>
      </c>
      <c r="C1263" t="s">
        <v>100</v>
      </c>
      <c r="D1263" s="1" t="s">
        <v>27</v>
      </c>
      <c r="E1263">
        <v>123</v>
      </c>
      <c r="F1263">
        <v>122.1</v>
      </c>
      <c r="G1263">
        <v>120.8</v>
      </c>
      <c r="H1263" s="1" t="s">
        <v>192</v>
      </c>
    </row>
    <row r="1264" spans="1:8" x14ac:dyDescent="0.3">
      <c r="A1264">
        <v>2016</v>
      </c>
      <c r="B1264" t="s">
        <v>43</v>
      </c>
      <c r="C1264" t="s">
        <v>100</v>
      </c>
      <c r="D1264" s="1" t="s">
        <v>14</v>
      </c>
      <c r="E1264">
        <v>142.4</v>
      </c>
      <c r="F1264">
        <v>141.1</v>
      </c>
      <c r="G1264">
        <v>139.6</v>
      </c>
      <c r="H1264" s="1" t="s">
        <v>188</v>
      </c>
    </row>
    <row r="1265" spans="1:8" x14ac:dyDescent="0.3">
      <c r="A1265">
        <v>2016</v>
      </c>
      <c r="B1265" t="s">
        <v>43</v>
      </c>
      <c r="C1265" t="s">
        <v>100</v>
      </c>
      <c r="D1265" s="1" t="s">
        <v>10</v>
      </c>
      <c r="E1265">
        <v>170.2</v>
      </c>
      <c r="F1265">
        <v>172.1</v>
      </c>
      <c r="G1265">
        <v>175.7</v>
      </c>
      <c r="H1265" s="1" t="s">
        <v>188</v>
      </c>
    </row>
    <row r="1266" spans="1:8" x14ac:dyDescent="0.3">
      <c r="A1266">
        <v>2016</v>
      </c>
      <c r="B1266" t="s">
        <v>43</v>
      </c>
      <c r="C1266" t="s">
        <v>100</v>
      </c>
      <c r="D1266" s="1" t="s">
        <v>25</v>
      </c>
      <c r="E1266">
        <v>126.5</v>
      </c>
      <c r="F1266">
        <v>123.5</v>
      </c>
      <c r="G1266">
        <v>121.2</v>
      </c>
      <c r="H1266" s="1" t="s">
        <v>195</v>
      </c>
    </row>
    <row r="1267" spans="1:8" x14ac:dyDescent="0.3">
      <c r="A1267">
        <v>2016</v>
      </c>
      <c r="B1267" t="s">
        <v>43</v>
      </c>
      <c r="C1267" t="s">
        <v>100</v>
      </c>
      <c r="D1267" s="1" t="s">
        <v>12</v>
      </c>
      <c r="E1267">
        <v>136.30000000000001</v>
      </c>
      <c r="F1267">
        <v>139.30000000000001</v>
      </c>
      <c r="G1267">
        <v>145.30000000000001</v>
      </c>
      <c r="H1267" s="1" t="s">
        <v>188</v>
      </c>
    </row>
    <row r="1268" spans="1:8" x14ac:dyDescent="0.3">
      <c r="A1268">
        <v>2016</v>
      </c>
      <c r="B1268" t="s">
        <v>43</v>
      </c>
      <c r="C1268" t="s">
        <v>100</v>
      </c>
      <c r="D1268" s="1" t="s">
        <v>11</v>
      </c>
      <c r="E1268">
        <v>113.4</v>
      </c>
      <c r="F1268">
        <v>114.1</v>
      </c>
      <c r="G1268">
        <v>115.4</v>
      </c>
      <c r="H1268" s="1" t="s">
        <v>188</v>
      </c>
    </row>
    <row r="1269" spans="1:8" x14ac:dyDescent="0.3">
      <c r="A1269">
        <v>2016</v>
      </c>
      <c r="B1269" t="s">
        <v>43</v>
      </c>
      <c r="C1269" t="s">
        <v>100</v>
      </c>
      <c r="D1269" s="1" t="s">
        <v>24</v>
      </c>
      <c r="E1269">
        <v>117.8</v>
      </c>
      <c r="F1269">
        <v>115.2</v>
      </c>
      <c r="G1269">
        <v>112.8</v>
      </c>
      <c r="H1269" s="1" t="s">
        <v>191</v>
      </c>
    </row>
    <row r="1270" spans="1:8" x14ac:dyDescent="0.3">
      <c r="A1270">
        <v>2016</v>
      </c>
      <c r="B1270" t="s">
        <v>43</v>
      </c>
      <c r="C1270" t="s">
        <v>100</v>
      </c>
      <c r="D1270" s="1" t="s">
        <v>9</v>
      </c>
      <c r="E1270">
        <v>149.19999999999999</v>
      </c>
      <c r="F1270">
        <v>151.19999999999999</v>
      </c>
      <c r="G1270">
        <v>155.1</v>
      </c>
      <c r="H1270" s="1" t="s">
        <v>188</v>
      </c>
    </row>
    <row r="1271" spans="1:8" x14ac:dyDescent="0.3">
      <c r="A1271">
        <v>2016</v>
      </c>
      <c r="B1271" t="s">
        <v>42</v>
      </c>
      <c r="C1271" t="s">
        <v>101</v>
      </c>
      <c r="D1271" s="1" t="s">
        <v>3</v>
      </c>
      <c r="E1271">
        <v>130.80000000000001</v>
      </c>
      <c r="F1271">
        <v>129.9</v>
      </c>
      <c r="G1271">
        <v>128.1</v>
      </c>
      <c r="H1271" s="1" t="s">
        <v>188</v>
      </c>
    </row>
    <row r="1272" spans="1:8" x14ac:dyDescent="0.3">
      <c r="A1272">
        <v>2016</v>
      </c>
      <c r="B1272" t="s">
        <v>42</v>
      </c>
      <c r="C1272" t="s">
        <v>101</v>
      </c>
      <c r="D1272" s="1" t="s">
        <v>17</v>
      </c>
      <c r="E1272">
        <v>138.5</v>
      </c>
      <c r="F1272">
        <v>134.6</v>
      </c>
      <c r="G1272">
        <v>128.69999999999999</v>
      </c>
      <c r="H1272" s="1" t="s">
        <v>189</v>
      </c>
    </row>
    <row r="1273" spans="1:8" x14ac:dyDescent="0.3">
      <c r="A1273">
        <v>2016</v>
      </c>
      <c r="B1273" t="s">
        <v>42</v>
      </c>
      <c r="C1273" t="s">
        <v>101</v>
      </c>
      <c r="D1273" s="1" t="s">
        <v>19</v>
      </c>
      <c r="E1273">
        <v>137.80000000000001</v>
      </c>
      <c r="F1273">
        <v>133.80000000000001</v>
      </c>
      <c r="G1273">
        <v>127.7</v>
      </c>
      <c r="H1273" s="1" t="s">
        <v>189</v>
      </c>
    </row>
    <row r="1274" spans="1:8" x14ac:dyDescent="0.3">
      <c r="A1274">
        <v>2016</v>
      </c>
      <c r="B1274" t="s">
        <v>42</v>
      </c>
      <c r="C1274" t="s">
        <v>101</v>
      </c>
      <c r="D1274" s="1" t="s">
        <v>26</v>
      </c>
      <c r="E1274">
        <v>132.19999999999999</v>
      </c>
      <c r="F1274">
        <v>131.80000000000001</v>
      </c>
      <c r="G1274">
        <v>131.6</v>
      </c>
      <c r="H1274" s="1" t="s">
        <v>26</v>
      </c>
    </row>
    <row r="1275" spans="1:8" x14ac:dyDescent="0.3">
      <c r="A1275">
        <v>2016</v>
      </c>
      <c r="B1275" t="s">
        <v>42</v>
      </c>
      <c r="C1275" t="s">
        <v>101</v>
      </c>
      <c r="D1275" s="1" t="s">
        <v>5</v>
      </c>
      <c r="E1275">
        <v>130.5</v>
      </c>
      <c r="F1275">
        <v>130.5</v>
      </c>
      <c r="G1275">
        <v>130.6</v>
      </c>
      <c r="H1275" s="1" t="s">
        <v>188</v>
      </c>
    </row>
    <row r="1276" spans="1:8" x14ac:dyDescent="0.3">
      <c r="A1276">
        <v>2016</v>
      </c>
      <c r="B1276" t="s">
        <v>42</v>
      </c>
      <c r="C1276" t="s">
        <v>101</v>
      </c>
      <c r="D1276" s="1" t="s">
        <v>15</v>
      </c>
      <c r="E1276">
        <v>137.19999999999999</v>
      </c>
      <c r="F1276">
        <v>136.6</v>
      </c>
      <c r="G1276">
        <v>135.69999999999999</v>
      </c>
      <c r="H1276" s="1" t="s">
        <v>188</v>
      </c>
    </row>
    <row r="1277" spans="1:8" x14ac:dyDescent="0.3">
      <c r="A1277">
        <v>2016</v>
      </c>
      <c r="B1277" t="s">
        <v>42</v>
      </c>
      <c r="C1277" t="s">
        <v>101</v>
      </c>
      <c r="D1277" s="1" t="s">
        <v>18</v>
      </c>
      <c r="E1277">
        <v>133.5</v>
      </c>
      <c r="F1277">
        <v>128.6</v>
      </c>
      <c r="G1277">
        <v>121.6</v>
      </c>
      <c r="H1277" s="1" t="s">
        <v>189</v>
      </c>
    </row>
    <row r="1278" spans="1:8" x14ac:dyDescent="0.3">
      <c r="A1278">
        <v>2016</v>
      </c>
      <c r="B1278" t="s">
        <v>42</v>
      </c>
      <c r="C1278" t="s">
        <v>101</v>
      </c>
      <c r="D1278" s="1" t="s">
        <v>8</v>
      </c>
      <c r="E1278">
        <v>139.19999999999999</v>
      </c>
      <c r="F1278">
        <v>136.1</v>
      </c>
      <c r="G1278">
        <v>132.5</v>
      </c>
      <c r="H1278" s="1" t="s">
        <v>188</v>
      </c>
    </row>
    <row r="1279" spans="1:8" x14ac:dyDescent="0.3">
      <c r="A1279">
        <v>2016</v>
      </c>
      <c r="B1279" t="s">
        <v>42</v>
      </c>
      <c r="C1279" t="s">
        <v>101</v>
      </c>
      <c r="D1279" s="1" t="s">
        <v>21</v>
      </c>
      <c r="E1279">
        <v>129.69999999999999</v>
      </c>
      <c r="F1279">
        <v>124.1</v>
      </c>
      <c r="G1279">
        <v>114.8</v>
      </c>
      <c r="H1279" s="1" t="s">
        <v>190</v>
      </c>
    </row>
    <row r="1280" spans="1:8" x14ac:dyDescent="0.3">
      <c r="A1280">
        <v>2016</v>
      </c>
      <c r="B1280" t="s">
        <v>42</v>
      </c>
      <c r="C1280" t="s">
        <v>101</v>
      </c>
      <c r="D1280" s="1" t="s">
        <v>29</v>
      </c>
      <c r="E1280">
        <v>133.4</v>
      </c>
      <c r="F1280">
        <v>130.9</v>
      </c>
      <c r="G1280">
        <v>128</v>
      </c>
      <c r="H1280" s="1" t="s">
        <v>206</v>
      </c>
    </row>
    <row r="1281" spans="1:8" x14ac:dyDescent="0.3">
      <c r="A1281">
        <v>2016</v>
      </c>
      <c r="B1281" t="s">
        <v>42</v>
      </c>
      <c r="C1281" t="s">
        <v>101</v>
      </c>
      <c r="D1281" s="1" t="s">
        <v>23</v>
      </c>
      <c r="E1281">
        <v>127.8</v>
      </c>
      <c r="F1281">
        <v>125.4</v>
      </c>
      <c r="G1281">
        <v>121.4</v>
      </c>
      <c r="H1281" s="1" t="s">
        <v>23</v>
      </c>
    </row>
    <row r="1282" spans="1:8" x14ac:dyDescent="0.3">
      <c r="A1282">
        <v>2016</v>
      </c>
      <c r="B1282" t="s">
        <v>42</v>
      </c>
      <c r="C1282" t="s">
        <v>101</v>
      </c>
      <c r="D1282" s="1" t="s">
        <v>22</v>
      </c>
      <c r="E1282">
        <v>131.1</v>
      </c>
      <c r="F1282">
        <v>127.9</v>
      </c>
      <c r="G1282">
        <v>124.3</v>
      </c>
      <c r="H1282" s="1" t="s">
        <v>20</v>
      </c>
    </row>
    <row r="1283" spans="1:8" x14ac:dyDescent="0.3">
      <c r="A1283">
        <v>2016</v>
      </c>
      <c r="B1283" t="s">
        <v>42</v>
      </c>
      <c r="C1283" t="s">
        <v>101</v>
      </c>
      <c r="D1283" s="1" t="s">
        <v>20</v>
      </c>
      <c r="E1283">
        <v>0</v>
      </c>
      <c r="F1283">
        <v>127.9</v>
      </c>
      <c r="G1283">
        <v>127.9</v>
      </c>
      <c r="H1283" s="1" t="s">
        <v>20</v>
      </c>
    </row>
    <row r="1284" spans="1:8" x14ac:dyDescent="0.3">
      <c r="A1284">
        <v>2016</v>
      </c>
      <c r="B1284" t="s">
        <v>42</v>
      </c>
      <c r="C1284" t="s">
        <v>101</v>
      </c>
      <c r="D1284" s="1" t="s">
        <v>4</v>
      </c>
      <c r="E1284">
        <v>138.19999999999999</v>
      </c>
      <c r="F1284">
        <v>138</v>
      </c>
      <c r="G1284">
        <v>137.69999999999999</v>
      </c>
      <c r="H1284" s="1" t="s">
        <v>188</v>
      </c>
    </row>
    <row r="1285" spans="1:8" x14ac:dyDescent="0.3">
      <c r="A1285">
        <v>2016</v>
      </c>
      <c r="B1285" t="s">
        <v>42</v>
      </c>
      <c r="C1285" t="s">
        <v>101</v>
      </c>
      <c r="D1285" s="1" t="s">
        <v>6</v>
      </c>
      <c r="E1285">
        <v>135.5</v>
      </c>
      <c r="F1285">
        <v>134.4</v>
      </c>
      <c r="G1285">
        <v>132.6</v>
      </c>
      <c r="H1285" s="1" t="s">
        <v>188</v>
      </c>
    </row>
    <row r="1286" spans="1:8" x14ac:dyDescent="0.3">
      <c r="A1286">
        <v>2016</v>
      </c>
      <c r="B1286" t="s">
        <v>42</v>
      </c>
      <c r="C1286" t="s">
        <v>101</v>
      </c>
      <c r="D1286" s="1" t="s">
        <v>28</v>
      </c>
      <c r="E1286">
        <v>124.9</v>
      </c>
      <c r="F1286">
        <v>122.8</v>
      </c>
      <c r="G1286">
        <v>120.5</v>
      </c>
      <c r="H1286" s="1" t="s">
        <v>192</v>
      </c>
    </row>
    <row r="1287" spans="1:8" x14ac:dyDescent="0.3">
      <c r="A1287">
        <v>2016</v>
      </c>
      <c r="B1287" t="s">
        <v>42</v>
      </c>
      <c r="C1287" t="s">
        <v>101</v>
      </c>
      <c r="D1287" s="1" t="s">
        <v>13</v>
      </c>
      <c r="E1287">
        <v>128.80000000000001</v>
      </c>
      <c r="F1287">
        <v>126</v>
      </c>
      <c r="G1287">
        <v>122.1</v>
      </c>
      <c r="H1287" s="1" t="s">
        <v>188</v>
      </c>
    </row>
    <row r="1288" spans="1:8" x14ac:dyDescent="0.3">
      <c r="A1288">
        <v>2016</v>
      </c>
      <c r="B1288" t="s">
        <v>42</v>
      </c>
      <c r="C1288" t="s">
        <v>101</v>
      </c>
      <c r="D1288" s="1" t="s">
        <v>7</v>
      </c>
      <c r="E1288">
        <v>120.2</v>
      </c>
      <c r="F1288">
        <v>117.2</v>
      </c>
      <c r="G1288">
        <v>111.9</v>
      </c>
      <c r="H1288" s="1" t="s">
        <v>188</v>
      </c>
    </row>
    <row r="1289" spans="1:8" x14ac:dyDescent="0.3">
      <c r="A1289">
        <v>2016</v>
      </c>
      <c r="B1289" t="s">
        <v>42</v>
      </c>
      <c r="C1289" t="s">
        <v>101</v>
      </c>
      <c r="D1289" s="1" t="s">
        <v>16</v>
      </c>
      <c r="E1289">
        <v>139.9</v>
      </c>
      <c r="F1289">
        <v>141</v>
      </c>
      <c r="G1289">
        <v>143.9</v>
      </c>
      <c r="H1289" s="1" t="s">
        <v>192</v>
      </c>
    </row>
    <row r="1290" spans="1:8" x14ac:dyDescent="0.3">
      <c r="A1290">
        <v>2016</v>
      </c>
      <c r="B1290" t="s">
        <v>42</v>
      </c>
      <c r="C1290" t="s">
        <v>101</v>
      </c>
      <c r="D1290" s="1" t="s">
        <v>27</v>
      </c>
      <c r="E1290">
        <v>122.8</v>
      </c>
      <c r="F1290">
        <v>122.1</v>
      </c>
      <c r="G1290">
        <v>121.2</v>
      </c>
      <c r="H1290" s="1" t="s">
        <v>192</v>
      </c>
    </row>
    <row r="1291" spans="1:8" x14ac:dyDescent="0.3">
      <c r="A1291">
        <v>2016</v>
      </c>
      <c r="B1291" t="s">
        <v>42</v>
      </c>
      <c r="C1291" t="s">
        <v>101</v>
      </c>
      <c r="D1291" s="1" t="s">
        <v>14</v>
      </c>
      <c r="E1291">
        <v>141.5</v>
      </c>
      <c r="F1291">
        <v>140.19999999999999</v>
      </c>
      <c r="G1291">
        <v>138.80000000000001</v>
      </c>
      <c r="H1291" s="1" t="s">
        <v>188</v>
      </c>
    </row>
    <row r="1292" spans="1:8" x14ac:dyDescent="0.3">
      <c r="A1292">
        <v>2016</v>
      </c>
      <c r="B1292" t="s">
        <v>42</v>
      </c>
      <c r="C1292" t="s">
        <v>101</v>
      </c>
      <c r="D1292" s="1" t="s">
        <v>10</v>
      </c>
      <c r="E1292">
        <v>170.4</v>
      </c>
      <c r="F1292">
        <v>171.5</v>
      </c>
      <c r="G1292">
        <v>173.6</v>
      </c>
      <c r="H1292" s="1" t="s">
        <v>188</v>
      </c>
    </row>
    <row r="1293" spans="1:8" x14ac:dyDescent="0.3">
      <c r="A1293">
        <v>2016</v>
      </c>
      <c r="B1293" t="s">
        <v>42</v>
      </c>
      <c r="C1293" t="s">
        <v>101</v>
      </c>
      <c r="D1293" s="1" t="s">
        <v>25</v>
      </c>
      <c r="E1293">
        <v>125.7</v>
      </c>
      <c r="F1293">
        <v>122.9</v>
      </c>
      <c r="G1293">
        <v>120.8</v>
      </c>
      <c r="H1293" s="1" t="s">
        <v>195</v>
      </c>
    </row>
    <row r="1294" spans="1:8" x14ac:dyDescent="0.3">
      <c r="A1294">
        <v>2016</v>
      </c>
      <c r="B1294" t="s">
        <v>42</v>
      </c>
      <c r="C1294" t="s">
        <v>101</v>
      </c>
      <c r="D1294" s="1" t="s">
        <v>12</v>
      </c>
      <c r="E1294">
        <v>135.80000000000001</v>
      </c>
      <c r="F1294">
        <v>138.80000000000001</v>
      </c>
      <c r="G1294">
        <v>144.80000000000001</v>
      </c>
      <c r="H1294" s="1" t="s">
        <v>188</v>
      </c>
    </row>
    <row r="1295" spans="1:8" x14ac:dyDescent="0.3">
      <c r="A1295">
        <v>2016</v>
      </c>
      <c r="B1295" t="s">
        <v>42</v>
      </c>
      <c r="C1295" t="s">
        <v>101</v>
      </c>
      <c r="D1295" s="1" t="s">
        <v>11</v>
      </c>
      <c r="E1295">
        <v>113.1</v>
      </c>
      <c r="F1295">
        <v>113.8</v>
      </c>
      <c r="G1295">
        <v>115.1</v>
      </c>
      <c r="H1295" s="1" t="s">
        <v>188</v>
      </c>
    </row>
    <row r="1296" spans="1:8" x14ac:dyDescent="0.3">
      <c r="A1296">
        <v>2016</v>
      </c>
      <c r="B1296" t="s">
        <v>42</v>
      </c>
      <c r="C1296" t="s">
        <v>101</v>
      </c>
      <c r="D1296" s="1" t="s">
        <v>24</v>
      </c>
      <c r="E1296">
        <v>117</v>
      </c>
      <c r="F1296">
        <v>114.3</v>
      </c>
      <c r="G1296">
        <v>111.8</v>
      </c>
      <c r="H1296" s="1" t="s">
        <v>191</v>
      </c>
    </row>
    <row r="1297" spans="1:8" x14ac:dyDescent="0.3">
      <c r="A1297">
        <v>2016</v>
      </c>
      <c r="B1297" t="s">
        <v>42</v>
      </c>
      <c r="C1297" t="s">
        <v>101</v>
      </c>
      <c r="D1297" s="1" t="s">
        <v>9</v>
      </c>
      <c r="E1297">
        <v>149.5</v>
      </c>
      <c r="F1297">
        <v>150.69999999999999</v>
      </c>
      <c r="G1297">
        <v>152.9</v>
      </c>
      <c r="H1297" s="1" t="s">
        <v>188</v>
      </c>
    </row>
    <row r="1298" spans="1:8" x14ac:dyDescent="0.3">
      <c r="A1298">
        <v>2017</v>
      </c>
      <c r="B1298" t="s">
        <v>37</v>
      </c>
      <c r="C1298" t="s">
        <v>102</v>
      </c>
      <c r="D1298" s="1" t="s">
        <v>3</v>
      </c>
      <c r="E1298">
        <v>133.19999999999999</v>
      </c>
      <c r="F1298">
        <v>133</v>
      </c>
      <c r="G1298">
        <v>132.69999999999999</v>
      </c>
      <c r="H1298" s="1" t="s">
        <v>188</v>
      </c>
    </row>
    <row r="1299" spans="1:8" x14ac:dyDescent="0.3">
      <c r="A1299">
        <v>2017</v>
      </c>
      <c r="B1299" t="s">
        <v>37</v>
      </c>
      <c r="C1299" t="s">
        <v>102</v>
      </c>
      <c r="D1299" s="1" t="s">
        <v>17</v>
      </c>
      <c r="E1299">
        <v>142.4</v>
      </c>
      <c r="F1299">
        <v>138</v>
      </c>
      <c r="G1299">
        <v>131.19999999999999</v>
      </c>
      <c r="H1299" s="1" t="s">
        <v>189</v>
      </c>
    </row>
    <row r="1300" spans="1:8" x14ac:dyDescent="0.3">
      <c r="A1300">
        <v>2017</v>
      </c>
      <c r="B1300" t="s">
        <v>37</v>
      </c>
      <c r="C1300" t="s">
        <v>102</v>
      </c>
      <c r="D1300" s="1" t="s">
        <v>19</v>
      </c>
      <c r="E1300">
        <v>141.6</v>
      </c>
      <c r="F1300">
        <v>137</v>
      </c>
      <c r="G1300">
        <v>130</v>
      </c>
      <c r="H1300" s="1" t="s">
        <v>189</v>
      </c>
    </row>
    <row r="1301" spans="1:8" x14ac:dyDescent="0.3">
      <c r="A1301">
        <v>2017</v>
      </c>
      <c r="B1301" t="s">
        <v>37</v>
      </c>
      <c r="C1301" t="s">
        <v>102</v>
      </c>
      <c r="D1301" s="1" t="s">
        <v>26</v>
      </c>
      <c r="E1301">
        <v>135.69999999999999</v>
      </c>
      <c r="F1301">
        <v>134.5</v>
      </c>
      <c r="G1301">
        <v>133.6</v>
      </c>
      <c r="H1301" s="1" t="s">
        <v>26</v>
      </c>
    </row>
    <row r="1302" spans="1:8" x14ac:dyDescent="0.3">
      <c r="A1302">
        <v>2017</v>
      </c>
      <c r="B1302" t="s">
        <v>37</v>
      </c>
      <c r="C1302" t="s">
        <v>102</v>
      </c>
      <c r="D1302" s="1" t="s">
        <v>5</v>
      </c>
      <c r="E1302">
        <v>127.1</v>
      </c>
      <c r="F1302">
        <v>126.1</v>
      </c>
      <c r="G1302">
        <v>124.5</v>
      </c>
      <c r="H1302" s="1" t="s">
        <v>188</v>
      </c>
    </row>
    <row r="1303" spans="1:8" x14ac:dyDescent="0.3">
      <c r="A1303">
        <v>2017</v>
      </c>
      <c r="B1303" t="s">
        <v>37</v>
      </c>
      <c r="C1303" t="s">
        <v>102</v>
      </c>
      <c r="D1303" s="1" t="s">
        <v>15</v>
      </c>
      <c r="E1303">
        <v>133.5</v>
      </c>
      <c r="F1303">
        <v>133.5</v>
      </c>
      <c r="G1303">
        <v>133.4</v>
      </c>
      <c r="H1303" s="1" t="s">
        <v>188</v>
      </c>
    </row>
    <row r="1304" spans="1:8" x14ac:dyDescent="0.3">
      <c r="A1304">
        <v>2017</v>
      </c>
      <c r="B1304" t="s">
        <v>37</v>
      </c>
      <c r="C1304" t="s">
        <v>102</v>
      </c>
      <c r="D1304" s="1" t="s">
        <v>18</v>
      </c>
      <c r="E1304">
        <v>136.80000000000001</v>
      </c>
      <c r="F1304">
        <v>131.1</v>
      </c>
      <c r="G1304">
        <v>123</v>
      </c>
      <c r="H1304" s="1" t="s">
        <v>189</v>
      </c>
    </row>
    <row r="1305" spans="1:8" x14ac:dyDescent="0.3">
      <c r="A1305">
        <v>2017</v>
      </c>
      <c r="B1305" t="s">
        <v>37</v>
      </c>
      <c r="C1305" t="s">
        <v>102</v>
      </c>
      <c r="D1305" s="1" t="s">
        <v>8</v>
      </c>
      <c r="E1305">
        <v>141.80000000000001</v>
      </c>
      <c r="F1305">
        <v>139.9</v>
      </c>
      <c r="G1305">
        <v>137.69999999999999</v>
      </c>
      <c r="H1305" s="1" t="s">
        <v>188</v>
      </c>
    </row>
    <row r="1306" spans="1:8" x14ac:dyDescent="0.3">
      <c r="A1306">
        <v>2017</v>
      </c>
      <c r="B1306" t="s">
        <v>37</v>
      </c>
      <c r="C1306" t="s">
        <v>102</v>
      </c>
      <c r="D1306" s="1" t="s">
        <v>21</v>
      </c>
      <c r="E1306">
        <v>135</v>
      </c>
      <c r="F1306">
        <v>129.80000000000001</v>
      </c>
      <c r="G1306">
        <v>121.4</v>
      </c>
      <c r="H1306" s="1" t="s">
        <v>190</v>
      </c>
    </row>
    <row r="1307" spans="1:8" x14ac:dyDescent="0.3">
      <c r="A1307">
        <v>2017</v>
      </c>
      <c r="B1307" t="s">
        <v>37</v>
      </c>
      <c r="C1307" t="s">
        <v>102</v>
      </c>
      <c r="D1307" s="1" t="s">
        <v>29</v>
      </c>
      <c r="E1307">
        <v>132.9</v>
      </c>
      <c r="F1307">
        <v>131.1</v>
      </c>
      <c r="G1307">
        <v>129.1</v>
      </c>
      <c r="H1307" s="1" t="s">
        <v>206</v>
      </c>
    </row>
    <row r="1308" spans="1:8" x14ac:dyDescent="0.3">
      <c r="A1308">
        <v>2017</v>
      </c>
      <c r="B1308" t="s">
        <v>37</v>
      </c>
      <c r="C1308" t="s">
        <v>102</v>
      </c>
      <c r="D1308" s="1" t="s">
        <v>23</v>
      </c>
      <c r="E1308">
        <v>131</v>
      </c>
      <c r="F1308">
        <v>128.1</v>
      </c>
      <c r="G1308">
        <v>123.4</v>
      </c>
      <c r="H1308" s="1" t="s">
        <v>23</v>
      </c>
    </row>
    <row r="1309" spans="1:8" x14ac:dyDescent="0.3">
      <c r="A1309">
        <v>2017</v>
      </c>
      <c r="B1309" t="s">
        <v>37</v>
      </c>
      <c r="C1309" t="s">
        <v>102</v>
      </c>
      <c r="D1309" s="1" t="s">
        <v>22</v>
      </c>
      <c r="E1309">
        <v>134.30000000000001</v>
      </c>
      <c r="F1309">
        <v>130.4</v>
      </c>
      <c r="G1309">
        <v>126</v>
      </c>
      <c r="H1309" s="1" t="s">
        <v>20</v>
      </c>
    </row>
    <row r="1310" spans="1:8" x14ac:dyDescent="0.3">
      <c r="A1310">
        <v>2017</v>
      </c>
      <c r="B1310" t="s">
        <v>37</v>
      </c>
      <c r="C1310" t="s">
        <v>102</v>
      </c>
      <c r="D1310" s="1" t="s">
        <v>20</v>
      </c>
      <c r="E1310">
        <v>0</v>
      </c>
      <c r="F1310">
        <v>131.69999999999999</v>
      </c>
      <c r="G1310">
        <v>131.69999999999999</v>
      </c>
      <c r="H1310" s="1" t="s">
        <v>20</v>
      </c>
    </row>
    <row r="1311" spans="1:8" x14ac:dyDescent="0.3">
      <c r="A1311">
        <v>2017</v>
      </c>
      <c r="B1311" t="s">
        <v>37</v>
      </c>
      <c r="C1311" t="s">
        <v>102</v>
      </c>
      <c r="D1311" s="1" t="s">
        <v>4</v>
      </c>
      <c r="E1311">
        <v>138.69999999999999</v>
      </c>
      <c r="F1311">
        <v>139.4</v>
      </c>
      <c r="G1311">
        <v>140.6</v>
      </c>
      <c r="H1311" s="1" t="s">
        <v>188</v>
      </c>
    </row>
    <row r="1312" spans="1:8" x14ac:dyDescent="0.3">
      <c r="A1312">
        <v>2017</v>
      </c>
      <c r="B1312" t="s">
        <v>37</v>
      </c>
      <c r="C1312" t="s">
        <v>102</v>
      </c>
      <c r="D1312" s="1" t="s">
        <v>6</v>
      </c>
      <c r="E1312">
        <v>137.69999999999999</v>
      </c>
      <c r="F1312">
        <v>137.19999999999999</v>
      </c>
      <c r="G1312">
        <v>136.30000000000001</v>
      </c>
      <c r="H1312" s="1" t="s">
        <v>188</v>
      </c>
    </row>
    <row r="1313" spans="1:8" x14ac:dyDescent="0.3">
      <c r="A1313">
        <v>2017</v>
      </c>
      <c r="B1313" t="s">
        <v>37</v>
      </c>
      <c r="C1313" t="s">
        <v>102</v>
      </c>
      <c r="D1313" s="1" t="s">
        <v>28</v>
      </c>
      <c r="E1313">
        <v>127.5</v>
      </c>
      <c r="F1313">
        <v>125.1</v>
      </c>
      <c r="G1313">
        <v>122.5</v>
      </c>
      <c r="H1313" s="1" t="s">
        <v>192</v>
      </c>
    </row>
    <row r="1314" spans="1:8" x14ac:dyDescent="0.3">
      <c r="A1314">
        <v>2017</v>
      </c>
      <c r="B1314" t="s">
        <v>37</v>
      </c>
      <c r="C1314" t="s">
        <v>102</v>
      </c>
      <c r="D1314" s="1" t="s">
        <v>13</v>
      </c>
      <c r="E1314">
        <v>130</v>
      </c>
      <c r="F1314">
        <v>127.4</v>
      </c>
      <c r="G1314">
        <v>123.8</v>
      </c>
      <c r="H1314" s="1" t="s">
        <v>188</v>
      </c>
    </row>
    <row r="1315" spans="1:8" x14ac:dyDescent="0.3">
      <c r="A1315">
        <v>2017</v>
      </c>
      <c r="B1315" t="s">
        <v>37</v>
      </c>
      <c r="C1315" t="s">
        <v>102</v>
      </c>
      <c r="D1315" s="1" t="s">
        <v>7</v>
      </c>
      <c r="E1315">
        <v>121.3</v>
      </c>
      <c r="F1315">
        <v>118.4</v>
      </c>
      <c r="G1315">
        <v>113.5</v>
      </c>
      <c r="H1315" s="1" t="s">
        <v>188</v>
      </c>
    </row>
    <row r="1316" spans="1:8" x14ac:dyDescent="0.3">
      <c r="A1316">
        <v>2017</v>
      </c>
      <c r="B1316" t="s">
        <v>37</v>
      </c>
      <c r="C1316" t="s">
        <v>102</v>
      </c>
      <c r="D1316" s="1" t="s">
        <v>16</v>
      </c>
      <c r="E1316">
        <v>144.4</v>
      </c>
      <c r="F1316">
        <v>145.4</v>
      </c>
      <c r="G1316">
        <v>148</v>
      </c>
      <c r="H1316" s="1" t="s">
        <v>192</v>
      </c>
    </row>
    <row r="1317" spans="1:8" x14ac:dyDescent="0.3">
      <c r="A1317">
        <v>2017</v>
      </c>
      <c r="B1317" t="s">
        <v>37</v>
      </c>
      <c r="C1317" t="s">
        <v>102</v>
      </c>
      <c r="D1317" s="1" t="s">
        <v>27</v>
      </c>
      <c r="E1317">
        <v>123.7</v>
      </c>
      <c r="F1317">
        <v>123.1</v>
      </c>
      <c r="G1317">
        <v>122.2</v>
      </c>
      <c r="H1317" s="1" t="s">
        <v>192</v>
      </c>
    </row>
    <row r="1318" spans="1:8" x14ac:dyDescent="0.3">
      <c r="A1318">
        <v>2017</v>
      </c>
      <c r="B1318" t="s">
        <v>37</v>
      </c>
      <c r="C1318" t="s">
        <v>102</v>
      </c>
      <c r="D1318" s="1" t="s">
        <v>14</v>
      </c>
      <c r="E1318">
        <v>145.5</v>
      </c>
      <c r="F1318">
        <v>144.19999999999999</v>
      </c>
      <c r="G1318">
        <v>142.6</v>
      </c>
      <c r="H1318" s="1" t="s">
        <v>188</v>
      </c>
    </row>
    <row r="1319" spans="1:8" x14ac:dyDescent="0.3">
      <c r="A1319">
        <v>2017</v>
      </c>
      <c r="B1319" t="s">
        <v>37</v>
      </c>
      <c r="C1319" t="s">
        <v>102</v>
      </c>
      <c r="D1319" s="1" t="s">
        <v>10</v>
      </c>
      <c r="E1319">
        <v>144.5</v>
      </c>
      <c r="F1319">
        <v>140.9</v>
      </c>
      <c r="G1319">
        <v>133.80000000000001</v>
      </c>
      <c r="H1319" s="1" t="s">
        <v>188</v>
      </c>
    </row>
    <row r="1320" spans="1:8" x14ac:dyDescent="0.3">
      <c r="A1320">
        <v>2017</v>
      </c>
      <c r="B1320" t="s">
        <v>37</v>
      </c>
      <c r="C1320" t="s">
        <v>102</v>
      </c>
      <c r="D1320" s="1" t="s">
        <v>25</v>
      </c>
      <c r="E1320">
        <v>128.30000000000001</v>
      </c>
      <c r="F1320">
        <v>125.1</v>
      </c>
      <c r="G1320">
        <v>122.6</v>
      </c>
      <c r="H1320" s="1" t="s">
        <v>195</v>
      </c>
    </row>
    <row r="1321" spans="1:8" x14ac:dyDescent="0.3">
      <c r="A1321">
        <v>2017</v>
      </c>
      <c r="B1321" t="s">
        <v>37</v>
      </c>
      <c r="C1321" t="s">
        <v>102</v>
      </c>
      <c r="D1321" s="1" t="s">
        <v>12</v>
      </c>
      <c r="E1321">
        <v>134.1</v>
      </c>
      <c r="F1321">
        <v>136.5</v>
      </c>
      <c r="G1321">
        <v>141.30000000000001</v>
      </c>
      <c r="H1321" s="1" t="s">
        <v>188</v>
      </c>
    </row>
    <row r="1322" spans="1:8" x14ac:dyDescent="0.3">
      <c r="A1322">
        <v>2017</v>
      </c>
      <c r="B1322" t="s">
        <v>37</v>
      </c>
      <c r="C1322" t="s">
        <v>102</v>
      </c>
      <c r="D1322" s="1" t="s">
        <v>11</v>
      </c>
      <c r="E1322">
        <v>117.4</v>
      </c>
      <c r="F1322">
        <v>118.5</v>
      </c>
      <c r="G1322">
        <v>120.8</v>
      </c>
      <c r="H1322" s="1" t="s">
        <v>188</v>
      </c>
    </row>
    <row r="1323" spans="1:8" x14ac:dyDescent="0.3">
      <c r="A1323">
        <v>2017</v>
      </c>
      <c r="B1323" t="s">
        <v>37</v>
      </c>
      <c r="C1323" t="s">
        <v>102</v>
      </c>
      <c r="D1323" s="1" t="s">
        <v>24</v>
      </c>
      <c r="E1323">
        <v>119.2</v>
      </c>
      <c r="F1323">
        <v>116.6</v>
      </c>
      <c r="G1323">
        <v>114.3</v>
      </c>
      <c r="H1323" s="1" t="s">
        <v>191</v>
      </c>
    </row>
    <row r="1324" spans="1:8" x14ac:dyDescent="0.3">
      <c r="A1324">
        <v>2017</v>
      </c>
      <c r="B1324" t="s">
        <v>37</v>
      </c>
      <c r="C1324" t="s">
        <v>102</v>
      </c>
      <c r="D1324" s="1" t="s">
        <v>9</v>
      </c>
      <c r="E1324">
        <v>121.5</v>
      </c>
      <c r="F1324">
        <v>123.4</v>
      </c>
      <c r="G1324">
        <v>127.1</v>
      </c>
      <c r="H1324" s="1" t="s">
        <v>188</v>
      </c>
    </row>
    <row r="1325" spans="1:8" x14ac:dyDescent="0.3">
      <c r="A1325">
        <v>2017</v>
      </c>
      <c r="B1325" t="s">
        <v>41</v>
      </c>
      <c r="C1325" t="s">
        <v>103</v>
      </c>
      <c r="D1325" s="1" t="s">
        <v>3</v>
      </c>
      <c r="E1325">
        <v>134.80000000000001</v>
      </c>
      <c r="F1325">
        <v>134.30000000000001</v>
      </c>
      <c r="G1325">
        <v>133.19999999999999</v>
      </c>
      <c r="H1325" s="1" t="s">
        <v>188</v>
      </c>
    </row>
    <row r="1326" spans="1:8" x14ac:dyDescent="0.3">
      <c r="A1326">
        <v>2017</v>
      </c>
      <c r="B1326" t="s">
        <v>41</v>
      </c>
      <c r="C1326" t="s">
        <v>103</v>
      </c>
      <c r="D1326" s="1" t="s">
        <v>17</v>
      </c>
      <c r="E1326">
        <v>145.30000000000001</v>
      </c>
      <c r="F1326">
        <v>140.30000000000001</v>
      </c>
      <c r="G1326">
        <v>132.69999999999999</v>
      </c>
      <c r="H1326" s="1" t="s">
        <v>189</v>
      </c>
    </row>
    <row r="1327" spans="1:8" x14ac:dyDescent="0.3">
      <c r="A1327">
        <v>2017</v>
      </c>
      <c r="B1327" t="s">
        <v>41</v>
      </c>
      <c r="C1327" t="s">
        <v>103</v>
      </c>
      <c r="D1327" s="1" t="s">
        <v>19</v>
      </c>
      <c r="E1327">
        <v>144.5</v>
      </c>
      <c r="F1327">
        <v>139.30000000000001</v>
      </c>
      <c r="G1327">
        <v>131.4</v>
      </c>
      <c r="H1327" s="1" t="s">
        <v>189</v>
      </c>
    </row>
    <row r="1328" spans="1:8" x14ac:dyDescent="0.3">
      <c r="A1328">
        <v>2017</v>
      </c>
      <c r="B1328" t="s">
        <v>41</v>
      </c>
      <c r="C1328" t="s">
        <v>103</v>
      </c>
      <c r="D1328" s="1" t="s">
        <v>26</v>
      </c>
      <c r="E1328">
        <v>140.19999999999999</v>
      </c>
      <c r="F1328">
        <v>137.6</v>
      </c>
      <c r="G1328">
        <v>135.69999999999999</v>
      </c>
      <c r="H1328" s="1" t="s">
        <v>26</v>
      </c>
    </row>
    <row r="1329" spans="1:8" x14ac:dyDescent="0.3">
      <c r="A1329">
        <v>2017</v>
      </c>
      <c r="B1329" t="s">
        <v>41</v>
      </c>
      <c r="C1329" t="s">
        <v>103</v>
      </c>
      <c r="D1329" s="1" t="s">
        <v>5</v>
      </c>
      <c r="E1329">
        <v>130</v>
      </c>
      <c r="F1329">
        <v>129.30000000000001</v>
      </c>
      <c r="G1329">
        <v>128.30000000000001</v>
      </c>
      <c r="H1329" s="1" t="s">
        <v>188</v>
      </c>
    </row>
    <row r="1330" spans="1:8" x14ac:dyDescent="0.3">
      <c r="A1330">
        <v>2017</v>
      </c>
      <c r="B1330" t="s">
        <v>41</v>
      </c>
      <c r="C1330" t="s">
        <v>103</v>
      </c>
      <c r="D1330" s="1" t="s">
        <v>15</v>
      </c>
      <c r="E1330">
        <v>140.6</v>
      </c>
      <c r="F1330">
        <v>140.6</v>
      </c>
      <c r="G1330">
        <v>140.5</v>
      </c>
      <c r="H1330" s="1" t="s">
        <v>188</v>
      </c>
    </row>
    <row r="1331" spans="1:8" x14ac:dyDescent="0.3">
      <c r="A1331">
        <v>2017</v>
      </c>
      <c r="B1331" t="s">
        <v>41</v>
      </c>
      <c r="C1331" t="s">
        <v>103</v>
      </c>
      <c r="D1331" s="1" t="s">
        <v>18</v>
      </c>
      <c r="E1331">
        <v>139.19999999999999</v>
      </c>
      <c r="F1331">
        <v>133</v>
      </c>
      <c r="G1331">
        <v>124.3</v>
      </c>
      <c r="H1331" s="1" t="s">
        <v>189</v>
      </c>
    </row>
    <row r="1332" spans="1:8" x14ac:dyDescent="0.3">
      <c r="A1332">
        <v>2017</v>
      </c>
      <c r="B1332" t="s">
        <v>41</v>
      </c>
      <c r="C1332" t="s">
        <v>103</v>
      </c>
      <c r="D1332" s="1" t="s">
        <v>8</v>
      </c>
      <c r="E1332">
        <v>148</v>
      </c>
      <c r="F1332">
        <v>145.5</v>
      </c>
      <c r="G1332">
        <v>142.69999999999999</v>
      </c>
      <c r="H1332" s="1" t="s">
        <v>188</v>
      </c>
    </row>
    <row r="1333" spans="1:8" x14ac:dyDescent="0.3">
      <c r="A1333">
        <v>2017</v>
      </c>
      <c r="B1333" t="s">
        <v>41</v>
      </c>
      <c r="C1333" t="s">
        <v>103</v>
      </c>
      <c r="D1333" s="1" t="s">
        <v>21</v>
      </c>
      <c r="E1333">
        <v>136.4</v>
      </c>
      <c r="F1333">
        <v>129.80000000000001</v>
      </c>
      <c r="G1333">
        <v>118.9</v>
      </c>
      <c r="H1333" s="1" t="s">
        <v>190</v>
      </c>
    </row>
    <row r="1334" spans="1:8" x14ac:dyDescent="0.3">
      <c r="A1334">
        <v>2017</v>
      </c>
      <c r="B1334" t="s">
        <v>41</v>
      </c>
      <c r="C1334" t="s">
        <v>103</v>
      </c>
      <c r="D1334" s="1" t="s">
        <v>29</v>
      </c>
      <c r="E1334">
        <v>137.80000000000001</v>
      </c>
      <c r="F1334">
        <v>135.4</v>
      </c>
      <c r="G1334">
        <v>132.69999999999999</v>
      </c>
      <c r="H1334" s="1" t="s">
        <v>206</v>
      </c>
    </row>
    <row r="1335" spans="1:8" x14ac:dyDescent="0.3">
      <c r="A1335">
        <v>2017</v>
      </c>
      <c r="B1335" t="s">
        <v>41</v>
      </c>
      <c r="C1335" t="s">
        <v>103</v>
      </c>
      <c r="D1335" s="1" t="s">
        <v>23</v>
      </c>
      <c r="E1335">
        <v>133</v>
      </c>
      <c r="F1335">
        <v>130.19999999999999</v>
      </c>
      <c r="G1335">
        <v>125.7</v>
      </c>
      <c r="H1335" s="1" t="s">
        <v>23</v>
      </c>
    </row>
    <row r="1336" spans="1:8" x14ac:dyDescent="0.3">
      <c r="A1336">
        <v>2017</v>
      </c>
      <c r="B1336" t="s">
        <v>41</v>
      </c>
      <c r="C1336" t="s">
        <v>103</v>
      </c>
      <c r="D1336" s="1" t="s">
        <v>22</v>
      </c>
      <c r="E1336">
        <v>137.30000000000001</v>
      </c>
      <c r="F1336">
        <v>132.80000000000001</v>
      </c>
      <c r="G1336">
        <v>127.7</v>
      </c>
      <c r="H1336" s="1" t="s">
        <v>20</v>
      </c>
    </row>
    <row r="1337" spans="1:8" x14ac:dyDescent="0.3">
      <c r="A1337">
        <v>2017</v>
      </c>
      <c r="B1337" t="s">
        <v>41</v>
      </c>
      <c r="C1337" t="s">
        <v>103</v>
      </c>
      <c r="D1337" s="1" t="s">
        <v>20</v>
      </c>
      <c r="E1337">
        <v>0</v>
      </c>
      <c r="F1337">
        <v>134.4</v>
      </c>
      <c r="G1337">
        <v>134.4</v>
      </c>
      <c r="H1337" s="1" t="s">
        <v>20</v>
      </c>
    </row>
    <row r="1338" spans="1:8" x14ac:dyDescent="0.3">
      <c r="A1338">
        <v>2017</v>
      </c>
      <c r="B1338" t="s">
        <v>41</v>
      </c>
      <c r="C1338" t="s">
        <v>103</v>
      </c>
      <c r="D1338" s="1" t="s">
        <v>4</v>
      </c>
      <c r="E1338">
        <v>143.1</v>
      </c>
      <c r="F1338">
        <v>143.4</v>
      </c>
      <c r="G1338">
        <v>143.9</v>
      </c>
      <c r="H1338" s="1" t="s">
        <v>188</v>
      </c>
    </row>
    <row r="1339" spans="1:8" x14ac:dyDescent="0.3">
      <c r="A1339">
        <v>2017</v>
      </c>
      <c r="B1339" t="s">
        <v>41</v>
      </c>
      <c r="C1339" t="s">
        <v>103</v>
      </c>
      <c r="D1339" s="1" t="s">
        <v>6</v>
      </c>
      <c r="E1339">
        <v>139.4</v>
      </c>
      <c r="F1339">
        <v>139</v>
      </c>
      <c r="G1339">
        <v>138.30000000000001</v>
      </c>
      <c r="H1339" s="1" t="s">
        <v>188</v>
      </c>
    </row>
    <row r="1340" spans="1:8" x14ac:dyDescent="0.3">
      <c r="A1340">
        <v>2017</v>
      </c>
      <c r="B1340" t="s">
        <v>41</v>
      </c>
      <c r="C1340" t="s">
        <v>103</v>
      </c>
      <c r="D1340" s="1" t="s">
        <v>28</v>
      </c>
      <c r="E1340">
        <v>129.69999999999999</v>
      </c>
      <c r="F1340">
        <v>126.8</v>
      </c>
      <c r="G1340">
        <v>123.8</v>
      </c>
      <c r="H1340" s="1" t="s">
        <v>192</v>
      </c>
    </row>
    <row r="1341" spans="1:8" x14ac:dyDescent="0.3">
      <c r="A1341">
        <v>2017</v>
      </c>
      <c r="B1341" t="s">
        <v>41</v>
      </c>
      <c r="C1341" t="s">
        <v>103</v>
      </c>
      <c r="D1341" s="1" t="s">
        <v>13</v>
      </c>
      <c r="E1341">
        <v>131.6</v>
      </c>
      <c r="F1341">
        <v>128.69999999999999</v>
      </c>
      <c r="G1341">
        <v>124.6</v>
      </c>
      <c r="H1341" s="1" t="s">
        <v>188</v>
      </c>
    </row>
    <row r="1342" spans="1:8" x14ac:dyDescent="0.3">
      <c r="A1342">
        <v>2017</v>
      </c>
      <c r="B1342" t="s">
        <v>41</v>
      </c>
      <c r="C1342" t="s">
        <v>103</v>
      </c>
      <c r="D1342" s="1" t="s">
        <v>7</v>
      </c>
      <c r="E1342">
        <v>120.5</v>
      </c>
      <c r="F1342">
        <v>118.1</v>
      </c>
      <c r="G1342">
        <v>114.1</v>
      </c>
      <c r="H1342" s="1" t="s">
        <v>188</v>
      </c>
    </row>
    <row r="1343" spans="1:8" x14ac:dyDescent="0.3">
      <c r="A1343">
        <v>2017</v>
      </c>
      <c r="B1343" t="s">
        <v>41</v>
      </c>
      <c r="C1343" t="s">
        <v>103</v>
      </c>
      <c r="D1343" s="1" t="s">
        <v>16</v>
      </c>
      <c r="E1343">
        <v>149</v>
      </c>
      <c r="F1343">
        <v>149.80000000000001</v>
      </c>
      <c r="G1343">
        <v>152.1</v>
      </c>
      <c r="H1343" s="1" t="s">
        <v>192</v>
      </c>
    </row>
    <row r="1344" spans="1:8" x14ac:dyDescent="0.3">
      <c r="A1344">
        <v>2017</v>
      </c>
      <c r="B1344" t="s">
        <v>41</v>
      </c>
      <c r="C1344" t="s">
        <v>103</v>
      </c>
      <c r="D1344" s="1" t="s">
        <v>27</v>
      </c>
      <c r="E1344">
        <v>125.4</v>
      </c>
      <c r="F1344">
        <v>124.5</v>
      </c>
      <c r="G1344">
        <v>123.3</v>
      </c>
      <c r="H1344" s="1" t="s">
        <v>192</v>
      </c>
    </row>
    <row r="1345" spans="1:8" x14ac:dyDescent="0.3">
      <c r="A1345">
        <v>2017</v>
      </c>
      <c r="B1345" t="s">
        <v>41</v>
      </c>
      <c r="C1345" t="s">
        <v>103</v>
      </c>
      <c r="D1345" s="1" t="s">
        <v>14</v>
      </c>
      <c r="E1345">
        <v>148.69999999999999</v>
      </c>
      <c r="F1345">
        <v>146.80000000000001</v>
      </c>
      <c r="G1345">
        <v>144.5</v>
      </c>
      <c r="H1345" s="1" t="s">
        <v>188</v>
      </c>
    </row>
    <row r="1346" spans="1:8" x14ac:dyDescent="0.3">
      <c r="A1346">
        <v>2017</v>
      </c>
      <c r="B1346" t="s">
        <v>41</v>
      </c>
      <c r="C1346" t="s">
        <v>103</v>
      </c>
      <c r="D1346" s="1" t="s">
        <v>10</v>
      </c>
      <c r="E1346">
        <v>137.4</v>
      </c>
      <c r="F1346">
        <v>132.69999999999999</v>
      </c>
      <c r="G1346">
        <v>123.5</v>
      </c>
      <c r="H1346" s="1" t="s">
        <v>188</v>
      </c>
    </row>
    <row r="1347" spans="1:8" x14ac:dyDescent="0.3">
      <c r="A1347">
        <v>2017</v>
      </c>
      <c r="B1347" t="s">
        <v>41</v>
      </c>
      <c r="C1347" t="s">
        <v>103</v>
      </c>
      <c r="D1347" s="1" t="s">
        <v>25</v>
      </c>
      <c r="E1347">
        <v>131.5</v>
      </c>
      <c r="F1347">
        <v>127.3</v>
      </c>
      <c r="G1347">
        <v>124.1</v>
      </c>
      <c r="H1347" s="1" t="s">
        <v>195</v>
      </c>
    </row>
    <row r="1348" spans="1:8" x14ac:dyDescent="0.3">
      <c r="A1348">
        <v>2017</v>
      </c>
      <c r="B1348" t="s">
        <v>41</v>
      </c>
      <c r="C1348" t="s">
        <v>103</v>
      </c>
      <c r="D1348" s="1" t="s">
        <v>12</v>
      </c>
      <c r="E1348">
        <v>134.69999999999999</v>
      </c>
      <c r="F1348">
        <v>135.6</v>
      </c>
      <c r="G1348">
        <v>137.5</v>
      </c>
      <c r="H1348" s="1" t="s">
        <v>188</v>
      </c>
    </row>
    <row r="1349" spans="1:8" x14ac:dyDescent="0.3">
      <c r="A1349">
        <v>2017</v>
      </c>
      <c r="B1349" t="s">
        <v>41</v>
      </c>
      <c r="C1349" t="s">
        <v>103</v>
      </c>
      <c r="D1349" s="1" t="s">
        <v>11</v>
      </c>
      <c r="E1349">
        <v>120.8</v>
      </c>
      <c r="F1349">
        <v>121.2</v>
      </c>
      <c r="G1349">
        <v>122.1</v>
      </c>
      <c r="H1349" s="1" t="s">
        <v>188</v>
      </c>
    </row>
    <row r="1350" spans="1:8" x14ac:dyDescent="0.3">
      <c r="A1350">
        <v>2017</v>
      </c>
      <c r="B1350" t="s">
        <v>41</v>
      </c>
      <c r="C1350" t="s">
        <v>103</v>
      </c>
      <c r="D1350" s="1" t="s">
        <v>24</v>
      </c>
      <c r="E1350">
        <v>120.3</v>
      </c>
      <c r="F1350">
        <v>117.3</v>
      </c>
      <c r="G1350">
        <v>114.6</v>
      </c>
      <c r="H1350" s="1" t="s">
        <v>191</v>
      </c>
    </row>
    <row r="1351" spans="1:8" x14ac:dyDescent="0.3">
      <c r="A1351">
        <v>2017</v>
      </c>
      <c r="B1351" t="s">
        <v>41</v>
      </c>
      <c r="C1351" t="s">
        <v>103</v>
      </c>
      <c r="D1351" s="1" t="s">
        <v>9</v>
      </c>
      <c r="E1351">
        <v>162.9</v>
      </c>
      <c r="F1351">
        <v>168.6</v>
      </c>
      <c r="G1351">
        <v>179.8</v>
      </c>
      <c r="H1351" s="1" t="s">
        <v>188</v>
      </c>
    </row>
    <row r="1352" spans="1:8" x14ac:dyDescent="0.3">
      <c r="A1352">
        <v>2017</v>
      </c>
      <c r="B1352" t="s">
        <v>45</v>
      </c>
      <c r="C1352" t="s">
        <v>104</v>
      </c>
      <c r="D1352" s="1" t="s">
        <v>3</v>
      </c>
      <c r="E1352">
        <v>136.4</v>
      </c>
      <c r="F1352">
        <v>135.80000000000001</v>
      </c>
      <c r="G1352">
        <v>134.4</v>
      </c>
      <c r="H1352" s="1" t="s">
        <v>188</v>
      </c>
    </row>
    <row r="1353" spans="1:8" x14ac:dyDescent="0.3">
      <c r="A1353">
        <v>2017</v>
      </c>
      <c r="B1353" t="s">
        <v>45</v>
      </c>
      <c r="C1353" t="s">
        <v>104</v>
      </c>
      <c r="D1353" s="1" t="s">
        <v>17</v>
      </c>
      <c r="E1353">
        <v>148</v>
      </c>
      <c r="F1353">
        <v>143.1</v>
      </c>
      <c r="G1353">
        <v>135.6</v>
      </c>
      <c r="H1353" s="1" t="s">
        <v>189</v>
      </c>
    </row>
    <row r="1354" spans="1:8" x14ac:dyDescent="0.3">
      <c r="A1354">
        <v>2017</v>
      </c>
      <c r="B1354" t="s">
        <v>45</v>
      </c>
      <c r="C1354" t="s">
        <v>104</v>
      </c>
      <c r="D1354" s="1" t="s">
        <v>19</v>
      </c>
      <c r="E1354">
        <v>147.19999999999999</v>
      </c>
      <c r="F1354">
        <v>142</v>
      </c>
      <c r="G1354">
        <v>134</v>
      </c>
      <c r="H1354" s="1" t="s">
        <v>189</v>
      </c>
    </row>
    <row r="1355" spans="1:8" x14ac:dyDescent="0.3">
      <c r="A1355">
        <v>2017</v>
      </c>
      <c r="B1355" t="s">
        <v>45</v>
      </c>
      <c r="C1355" t="s">
        <v>104</v>
      </c>
      <c r="D1355" s="1" t="s">
        <v>26</v>
      </c>
      <c r="E1355">
        <v>141.1</v>
      </c>
      <c r="F1355">
        <v>138.5</v>
      </c>
      <c r="G1355">
        <v>136.69999999999999</v>
      </c>
      <c r="H1355" s="1" t="s">
        <v>26</v>
      </c>
    </row>
    <row r="1356" spans="1:8" x14ac:dyDescent="0.3">
      <c r="A1356">
        <v>2017</v>
      </c>
      <c r="B1356" t="s">
        <v>45</v>
      </c>
      <c r="C1356" t="s">
        <v>104</v>
      </c>
      <c r="D1356" s="1" t="s">
        <v>5</v>
      </c>
      <c r="E1356">
        <v>144.80000000000001</v>
      </c>
      <c r="F1356">
        <v>145.19999999999999</v>
      </c>
      <c r="G1356">
        <v>145.9</v>
      </c>
      <c r="H1356" s="1" t="s">
        <v>188</v>
      </c>
    </row>
    <row r="1357" spans="1:8" x14ac:dyDescent="0.3">
      <c r="A1357">
        <v>2017</v>
      </c>
      <c r="B1357" t="s">
        <v>45</v>
      </c>
      <c r="C1357" t="s">
        <v>104</v>
      </c>
      <c r="D1357" s="1" t="s">
        <v>15</v>
      </c>
      <c r="E1357">
        <v>141.5</v>
      </c>
      <c r="F1357">
        <v>140.5</v>
      </c>
      <c r="G1357">
        <v>138.80000000000001</v>
      </c>
      <c r="H1357" s="1" t="s">
        <v>188</v>
      </c>
    </row>
    <row r="1358" spans="1:8" x14ac:dyDescent="0.3">
      <c r="A1358">
        <v>2017</v>
      </c>
      <c r="B1358" t="s">
        <v>45</v>
      </c>
      <c r="C1358" t="s">
        <v>104</v>
      </c>
      <c r="D1358" s="1" t="s">
        <v>18</v>
      </c>
      <c r="E1358">
        <v>141.9</v>
      </c>
      <c r="F1358">
        <v>135.1</v>
      </c>
      <c r="G1358">
        <v>125.6</v>
      </c>
      <c r="H1358" s="1" t="s">
        <v>189</v>
      </c>
    </row>
    <row r="1359" spans="1:8" x14ac:dyDescent="0.3">
      <c r="A1359">
        <v>2017</v>
      </c>
      <c r="B1359" t="s">
        <v>45</v>
      </c>
      <c r="C1359" t="s">
        <v>104</v>
      </c>
      <c r="D1359" s="1" t="s">
        <v>8</v>
      </c>
      <c r="E1359">
        <v>147.19999999999999</v>
      </c>
      <c r="F1359">
        <v>141.5</v>
      </c>
      <c r="G1359">
        <v>135</v>
      </c>
      <c r="H1359" s="1" t="s">
        <v>188</v>
      </c>
    </row>
    <row r="1360" spans="1:8" x14ac:dyDescent="0.3">
      <c r="A1360">
        <v>2017</v>
      </c>
      <c r="B1360" t="s">
        <v>45</v>
      </c>
      <c r="C1360" t="s">
        <v>104</v>
      </c>
      <c r="D1360" s="1" t="s">
        <v>21</v>
      </c>
      <c r="E1360">
        <v>142.6</v>
      </c>
      <c r="F1360">
        <v>136.6</v>
      </c>
      <c r="G1360">
        <v>126.8</v>
      </c>
      <c r="H1360" s="1" t="s">
        <v>190</v>
      </c>
    </row>
    <row r="1361" spans="1:8" x14ac:dyDescent="0.3">
      <c r="A1361">
        <v>2017</v>
      </c>
      <c r="B1361" t="s">
        <v>45</v>
      </c>
      <c r="C1361" t="s">
        <v>104</v>
      </c>
      <c r="D1361" s="1" t="s">
        <v>29</v>
      </c>
      <c r="E1361">
        <v>139.80000000000001</v>
      </c>
      <c r="F1361">
        <v>137.19999999999999</v>
      </c>
      <c r="G1361">
        <v>134.1</v>
      </c>
      <c r="H1361" s="1" t="s">
        <v>206</v>
      </c>
    </row>
    <row r="1362" spans="1:8" x14ac:dyDescent="0.3">
      <c r="A1362">
        <v>2017</v>
      </c>
      <c r="B1362" t="s">
        <v>45</v>
      </c>
      <c r="C1362" t="s">
        <v>104</v>
      </c>
      <c r="D1362" s="1" t="s">
        <v>23</v>
      </c>
      <c r="E1362">
        <v>136.1</v>
      </c>
      <c r="F1362">
        <v>133.1</v>
      </c>
      <c r="G1362">
        <v>128.19999999999999</v>
      </c>
      <c r="H1362" s="1" t="s">
        <v>23</v>
      </c>
    </row>
    <row r="1363" spans="1:8" x14ac:dyDescent="0.3">
      <c r="A1363">
        <v>2017</v>
      </c>
      <c r="B1363" t="s">
        <v>45</v>
      </c>
      <c r="C1363" t="s">
        <v>104</v>
      </c>
      <c r="D1363" s="1" t="s">
        <v>22</v>
      </c>
      <c r="E1363">
        <v>139.5</v>
      </c>
      <c r="F1363">
        <v>134.69999999999999</v>
      </c>
      <c r="G1363">
        <v>129.30000000000001</v>
      </c>
      <c r="H1363" s="1" t="s">
        <v>20</v>
      </c>
    </row>
    <row r="1364" spans="1:8" x14ac:dyDescent="0.3">
      <c r="A1364">
        <v>2017</v>
      </c>
      <c r="B1364" t="s">
        <v>45</v>
      </c>
      <c r="C1364" t="s">
        <v>104</v>
      </c>
      <c r="D1364" s="1" t="s">
        <v>20</v>
      </c>
      <c r="E1364">
        <v>0</v>
      </c>
      <c r="F1364">
        <v>139.1</v>
      </c>
      <c r="G1364">
        <v>139.1</v>
      </c>
      <c r="H1364" s="1" t="s">
        <v>20</v>
      </c>
    </row>
    <row r="1365" spans="1:8" x14ac:dyDescent="0.3">
      <c r="A1365">
        <v>2017</v>
      </c>
      <c r="B1365" t="s">
        <v>45</v>
      </c>
      <c r="C1365" t="s">
        <v>104</v>
      </c>
      <c r="D1365" s="1" t="s">
        <v>4</v>
      </c>
      <c r="E1365">
        <v>143.69999999999999</v>
      </c>
      <c r="F1365">
        <v>143.30000000000001</v>
      </c>
      <c r="G1365">
        <v>142.6</v>
      </c>
      <c r="H1365" s="1" t="s">
        <v>188</v>
      </c>
    </row>
    <row r="1366" spans="1:8" x14ac:dyDescent="0.3">
      <c r="A1366">
        <v>2017</v>
      </c>
      <c r="B1366" t="s">
        <v>45</v>
      </c>
      <c r="C1366" t="s">
        <v>104</v>
      </c>
      <c r="D1366" s="1" t="s">
        <v>6</v>
      </c>
      <c r="E1366">
        <v>141.9</v>
      </c>
      <c r="F1366">
        <v>141</v>
      </c>
      <c r="G1366">
        <v>139.5</v>
      </c>
      <c r="H1366" s="1" t="s">
        <v>188</v>
      </c>
    </row>
    <row r="1367" spans="1:8" x14ac:dyDescent="0.3">
      <c r="A1367">
        <v>2017</v>
      </c>
      <c r="B1367" t="s">
        <v>45</v>
      </c>
      <c r="C1367" t="s">
        <v>104</v>
      </c>
      <c r="D1367" s="1" t="s">
        <v>28</v>
      </c>
      <c r="E1367">
        <v>131.9</v>
      </c>
      <c r="F1367">
        <v>128.6</v>
      </c>
      <c r="G1367">
        <v>125.1</v>
      </c>
      <c r="H1367" s="1" t="s">
        <v>192</v>
      </c>
    </row>
    <row r="1368" spans="1:8" x14ac:dyDescent="0.3">
      <c r="A1368">
        <v>2017</v>
      </c>
      <c r="B1368" t="s">
        <v>45</v>
      </c>
      <c r="C1368" t="s">
        <v>104</v>
      </c>
      <c r="D1368" s="1" t="s">
        <v>13</v>
      </c>
      <c r="E1368">
        <v>131.1</v>
      </c>
      <c r="F1368">
        <v>128.80000000000001</v>
      </c>
      <c r="G1368">
        <v>125.7</v>
      </c>
      <c r="H1368" s="1" t="s">
        <v>188</v>
      </c>
    </row>
    <row r="1369" spans="1:8" x14ac:dyDescent="0.3">
      <c r="A1369">
        <v>2017</v>
      </c>
      <c r="B1369" t="s">
        <v>45</v>
      </c>
      <c r="C1369" t="s">
        <v>104</v>
      </c>
      <c r="D1369" s="1" t="s">
        <v>7</v>
      </c>
      <c r="E1369">
        <v>123.1</v>
      </c>
      <c r="F1369">
        <v>120.5</v>
      </c>
      <c r="G1369">
        <v>115.9</v>
      </c>
      <c r="H1369" s="1" t="s">
        <v>188</v>
      </c>
    </row>
    <row r="1370" spans="1:8" x14ac:dyDescent="0.3">
      <c r="A1370">
        <v>2017</v>
      </c>
      <c r="B1370" t="s">
        <v>45</v>
      </c>
      <c r="C1370" t="s">
        <v>104</v>
      </c>
      <c r="D1370" s="1" t="s">
        <v>16</v>
      </c>
      <c r="E1370">
        <v>153.19999999999999</v>
      </c>
      <c r="F1370">
        <v>154.19999999999999</v>
      </c>
      <c r="G1370">
        <v>157</v>
      </c>
      <c r="H1370" s="1" t="s">
        <v>192</v>
      </c>
    </row>
    <row r="1371" spans="1:8" x14ac:dyDescent="0.3">
      <c r="A1371">
        <v>2017</v>
      </c>
      <c r="B1371" t="s">
        <v>45</v>
      </c>
      <c r="C1371" t="s">
        <v>104</v>
      </c>
      <c r="D1371" s="1" t="s">
        <v>27</v>
      </c>
      <c r="E1371">
        <v>127.8</v>
      </c>
      <c r="F1371">
        <v>126.5</v>
      </c>
      <c r="G1371">
        <v>124.6</v>
      </c>
      <c r="H1371" s="1" t="s">
        <v>192</v>
      </c>
    </row>
    <row r="1372" spans="1:8" x14ac:dyDescent="0.3">
      <c r="A1372">
        <v>2017</v>
      </c>
      <c r="B1372" t="s">
        <v>45</v>
      </c>
      <c r="C1372" t="s">
        <v>104</v>
      </c>
      <c r="D1372" s="1" t="s">
        <v>14</v>
      </c>
      <c r="E1372">
        <v>151.4</v>
      </c>
      <c r="F1372">
        <v>149</v>
      </c>
      <c r="G1372">
        <v>146.30000000000001</v>
      </c>
      <c r="H1372" s="1" t="s">
        <v>188</v>
      </c>
    </row>
    <row r="1373" spans="1:8" x14ac:dyDescent="0.3">
      <c r="A1373">
        <v>2017</v>
      </c>
      <c r="B1373" t="s">
        <v>45</v>
      </c>
      <c r="C1373" t="s">
        <v>104</v>
      </c>
      <c r="D1373" s="1" t="s">
        <v>10</v>
      </c>
      <c r="E1373">
        <v>133.80000000000001</v>
      </c>
      <c r="F1373">
        <v>129.1</v>
      </c>
      <c r="G1373">
        <v>119.8</v>
      </c>
      <c r="H1373" s="1" t="s">
        <v>188</v>
      </c>
    </row>
    <row r="1374" spans="1:8" x14ac:dyDescent="0.3">
      <c r="A1374">
        <v>2017</v>
      </c>
      <c r="B1374" t="s">
        <v>45</v>
      </c>
      <c r="C1374" t="s">
        <v>104</v>
      </c>
      <c r="D1374" s="1" t="s">
        <v>25</v>
      </c>
      <c r="E1374">
        <v>133.4</v>
      </c>
      <c r="F1374">
        <v>129</v>
      </c>
      <c r="G1374">
        <v>125.6</v>
      </c>
      <c r="H1374" s="1" t="s">
        <v>195</v>
      </c>
    </row>
    <row r="1375" spans="1:8" x14ac:dyDescent="0.3">
      <c r="A1375">
        <v>2017</v>
      </c>
      <c r="B1375" t="s">
        <v>45</v>
      </c>
      <c r="C1375" t="s">
        <v>104</v>
      </c>
      <c r="D1375" s="1" t="s">
        <v>12</v>
      </c>
      <c r="E1375">
        <v>135.80000000000001</v>
      </c>
      <c r="F1375">
        <v>137.1</v>
      </c>
      <c r="G1375">
        <v>139.69999999999999</v>
      </c>
      <c r="H1375" s="1" t="s">
        <v>188</v>
      </c>
    </row>
    <row r="1376" spans="1:8" x14ac:dyDescent="0.3">
      <c r="A1376">
        <v>2017</v>
      </c>
      <c r="B1376" t="s">
        <v>45</v>
      </c>
      <c r="C1376" t="s">
        <v>104</v>
      </c>
      <c r="D1376" s="1" t="s">
        <v>11</v>
      </c>
      <c r="E1376">
        <v>121.9</v>
      </c>
      <c r="F1376">
        <v>121.5</v>
      </c>
      <c r="G1376">
        <v>120.7</v>
      </c>
      <c r="H1376" s="1" t="s">
        <v>188</v>
      </c>
    </row>
    <row r="1377" spans="1:8" x14ac:dyDescent="0.3">
      <c r="A1377">
        <v>2017</v>
      </c>
      <c r="B1377" t="s">
        <v>45</v>
      </c>
      <c r="C1377" t="s">
        <v>104</v>
      </c>
      <c r="D1377" s="1" t="s">
        <v>24</v>
      </c>
      <c r="E1377">
        <v>122</v>
      </c>
      <c r="F1377">
        <v>118.5</v>
      </c>
      <c r="G1377">
        <v>115.3</v>
      </c>
      <c r="H1377" s="1" t="s">
        <v>191</v>
      </c>
    </row>
    <row r="1378" spans="1:8" x14ac:dyDescent="0.3">
      <c r="A1378">
        <v>2017</v>
      </c>
      <c r="B1378" t="s">
        <v>45</v>
      </c>
      <c r="C1378" t="s">
        <v>104</v>
      </c>
      <c r="D1378" s="1" t="s">
        <v>9</v>
      </c>
      <c r="E1378">
        <v>161</v>
      </c>
      <c r="F1378">
        <v>161.69999999999999</v>
      </c>
      <c r="G1378">
        <v>163.19999999999999</v>
      </c>
      <c r="H1378" s="1" t="s">
        <v>188</v>
      </c>
    </row>
    <row r="1379" spans="1:8" x14ac:dyDescent="0.3">
      <c r="A1379">
        <v>2017</v>
      </c>
      <c r="B1379" t="s">
        <v>35</v>
      </c>
      <c r="C1379" t="s">
        <v>105</v>
      </c>
      <c r="D1379" s="1" t="s">
        <v>3</v>
      </c>
      <c r="E1379">
        <v>133.30000000000001</v>
      </c>
      <c r="F1379">
        <v>133.1</v>
      </c>
      <c r="G1379">
        <v>132.80000000000001</v>
      </c>
      <c r="H1379" s="1" t="s">
        <v>188</v>
      </c>
    </row>
    <row r="1380" spans="1:8" x14ac:dyDescent="0.3">
      <c r="A1380">
        <v>2017</v>
      </c>
      <c r="B1380" t="s">
        <v>35</v>
      </c>
      <c r="C1380" t="s">
        <v>105</v>
      </c>
      <c r="D1380" s="1" t="s">
        <v>17</v>
      </c>
      <c r="E1380">
        <v>140.9</v>
      </c>
      <c r="F1380">
        <v>136.80000000000001</v>
      </c>
      <c r="G1380">
        <v>130.5</v>
      </c>
      <c r="H1380" s="1" t="s">
        <v>189</v>
      </c>
    </row>
    <row r="1381" spans="1:8" x14ac:dyDescent="0.3">
      <c r="A1381">
        <v>2017</v>
      </c>
      <c r="B1381" t="s">
        <v>35</v>
      </c>
      <c r="C1381" t="s">
        <v>105</v>
      </c>
      <c r="D1381" s="1" t="s">
        <v>19</v>
      </c>
      <c r="E1381">
        <v>140.19999999999999</v>
      </c>
      <c r="F1381">
        <v>135.9</v>
      </c>
      <c r="G1381">
        <v>129.30000000000001</v>
      </c>
      <c r="H1381" s="1" t="s">
        <v>189</v>
      </c>
    </row>
    <row r="1382" spans="1:8" x14ac:dyDescent="0.3">
      <c r="A1382">
        <v>2017</v>
      </c>
      <c r="B1382" t="s">
        <v>35</v>
      </c>
      <c r="C1382" t="s">
        <v>105</v>
      </c>
      <c r="D1382" s="1" t="s">
        <v>26</v>
      </c>
      <c r="E1382">
        <v>134.9</v>
      </c>
      <c r="F1382">
        <v>133.4</v>
      </c>
      <c r="G1382">
        <v>132.4</v>
      </c>
      <c r="H1382" s="1" t="s">
        <v>26</v>
      </c>
    </row>
    <row r="1383" spans="1:8" x14ac:dyDescent="0.3">
      <c r="A1383">
        <v>2017</v>
      </c>
      <c r="B1383" t="s">
        <v>35</v>
      </c>
      <c r="C1383" t="s">
        <v>105</v>
      </c>
      <c r="D1383" s="1" t="s">
        <v>5</v>
      </c>
      <c r="E1383">
        <v>129.30000000000001</v>
      </c>
      <c r="F1383">
        <v>129.30000000000001</v>
      </c>
      <c r="G1383">
        <v>129.30000000000001</v>
      </c>
      <c r="H1383" s="1" t="s">
        <v>188</v>
      </c>
    </row>
    <row r="1384" spans="1:8" x14ac:dyDescent="0.3">
      <c r="A1384">
        <v>2017</v>
      </c>
      <c r="B1384" t="s">
        <v>35</v>
      </c>
      <c r="C1384" t="s">
        <v>105</v>
      </c>
      <c r="D1384" s="1" t="s">
        <v>15</v>
      </c>
      <c r="E1384">
        <v>133.6</v>
      </c>
      <c r="F1384">
        <v>133</v>
      </c>
      <c r="G1384">
        <v>132.1</v>
      </c>
      <c r="H1384" s="1" t="s">
        <v>188</v>
      </c>
    </row>
    <row r="1385" spans="1:8" x14ac:dyDescent="0.3">
      <c r="A1385">
        <v>2017</v>
      </c>
      <c r="B1385" t="s">
        <v>35</v>
      </c>
      <c r="C1385" t="s">
        <v>105</v>
      </c>
      <c r="D1385" s="1" t="s">
        <v>18</v>
      </c>
      <c r="E1385">
        <v>135.80000000000001</v>
      </c>
      <c r="F1385">
        <v>130.30000000000001</v>
      </c>
      <c r="G1385">
        <v>122.5</v>
      </c>
      <c r="H1385" s="1" t="s">
        <v>189</v>
      </c>
    </row>
    <row r="1386" spans="1:8" x14ac:dyDescent="0.3">
      <c r="A1386">
        <v>2017</v>
      </c>
      <c r="B1386" t="s">
        <v>35</v>
      </c>
      <c r="C1386" t="s">
        <v>105</v>
      </c>
      <c r="D1386" s="1" t="s">
        <v>8</v>
      </c>
      <c r="E1386">
        <v>138.69999999999999</v>
      </c>
      <c r="F1386">
        <v>135.30000000000001</v>
      </c>
      <c r="G1386">
        <v>131.4</v>
      </c>
      <c r="H1386" s="1" t="s">
        <v>188</v>
      </c>
    </row>
    <row r="1387" spans="1:8" x14ac:dyDescent="0.3">
      <c r="A1387">
        <v>2017</v>
      </c>
      <c r="B1387" t="s">
        <v>35</v>
      </c>
      <c r="C1387" t="s">
        <v>105</v>
      </c>
      <c r="D1387" s="1" t="s">
        <v>21</v>
      </c>
      <c r="E1387">
        <v>133.19999999999999</v>
      </c>
      <c r="F1387">
        <v>127.9</v>
      </c>
      <c r="G1387">
        <v>119.2</v>
      </c>
      <c r="H1387" s="1" t="s">
        <v>190</v>
      </c>
    </row>
    <row r="1388" spans="1:8" x14ac:dyDescent="0.3">
      <c r="A1388">
        <v>2017</v>
      </c>
      <c r="B1388" t="s">
        <v>35</v>
      </c>
      <c r="C1388" t="s">
        <v>105</v>
      </c>
      <c r="D1388" s="1" t="s">
        <v>29</v>
      </c>
      <c r="E1388">
        <v>132.6</v>
      </c>
      <c r="F1388">
        <v>130.6</v>
      </c>
      <c r="G1388">
        <v>128.19999999999999</v>
      </c>
      <c r="H1388" s="1" t="s">
        <v>206</v>
      </c>
    </row>
    <row r="1389" spans="1:8" x14ac:dyDescent="0.3">
      <c r="A1389">
        <v>2017</v>
      </c>
      <c r="B1389" t="s">
        <v>35</v>
      </c>
      <c r="C1389" t="s">
        <v>105</v>
      </c>
      <c r="D1389" s="1" t="s">
        <v>23</v>
      </c>
      <c r="E1389">
        <v>130.1</v>
      </c>
      <c r="F1389">
        <v>127.4</v>
      </c>
      <c r="G1389">
        <v>122.9</v>
      </c>
      <c r="H1389" s="1" t="s">
        <v>23</v>
      </c>
    </row>
    <row r="1390" spans="1:8" x14ac:dyDescent="0.3">
      <c r="A1390">
        <v>2017</v>
      </c>
      <c r="B1390" t="s">
        <v>35</v>
      </c>
      <c r="C1390" t="s">
        <v>105</v>
      </c>
      <c r="D1390" s="1" t="s">
        <v>22</v>
      </c>
      <c r="E1390">
        <v>133.6</v>
      </c>
      <c r="F1390">
        <v>129.69999999999999</v>
      </c>
      <c r="G1390">
        <v>125.3</v>
      </c>
      <c r="H1390" s="1" t="s">
        <v>20</v>
      </c>
    </row>
    <row r="1391" spans="1:8" x14ac:dyDescent="0.3">
      <c r="A1391">
        <v>2017</v>
      </c>
      <c r="B1391" t="s">
        <v>35</v>
      </c>
      <c r="C1391" t="s">
        <v>105</v>
      </c>
      <c r="D1391" s="1" t="s">
        <v>20</v>
      </c>
      <c r="E1391">
        <v>0</v>
      </c>
      <c r="F1391">
        <v>130.5</v>
      </c>
      <c r="G1391">
        <v>130.5</v>
      </c>
      <c r="H1391" s="1" t="s">
        <v>20</v>
      </c>
    </row>
    <row r="1392" spans="1:8" x14ac:dyDescent="0.3">
      <c r="A1392">
        <v>2017</v>
      </c>
      <c r="B1392" t="s">
        <v>35</v>
      </c>
      <c r="C1392" t="s">
        <v>105</v>
      </c>
      <c r="D1392" s="1" t="s">
        <v>4</v>
      </c>
      <c r="E1392">
        <v>138.30000000000001</v>
      </c>
      <c r="F1392">
        <v>138.80000000000001</v>
      </c>
      <c r="G1392">
        <v>139.80000000000001</v>
      </c>
      <c r="H1392" s="1" t="s">
        <v>188</v>
      </c>
    </row>
    <row r="1393" spans="1:8" x14ac:dyDescent="0.3">
      <c r="A1393">
        <v>2017</v>
      </c>
      <c r="B1393" t="s">
        <v>35</v>
      </c>
      <c r="C1393" t="s">
        <v>105</v>
      </c>
      <c r="D1393" s="1" t="s">
        <v>6</v>
      </c>
      <c r="E1393">
        <v>137.19999999999999</v>
      </c>
      <c r="F1393">
        <v>135.80000000000001</v>
      </c>
      <c r="G1393">
        <v>133.5</v>
      </c>
      <c r="H1393" s="1" t="s">
        <v>188</v>
      </c>
    </row>
    <row r="1394" spans="1:8" x14ac:dyDescent="0.3">
      <c r="A1394">
        <v>2017</v>
      </c>
      <c r="B1394" t="s">
        <v>35</v>
      </c>
      <c r="C1394" t="s">
        <v>105</v>
      </c>
      <c r="D1394" s="1" t="s">
        <v>28</v>
      </c>
      <c r="E1394">
        <v>127</v>
      </c>
      <c r="F1394">
        <v>124.8</v>
      </c>
      <c r="G1394">
        <v>122.4</v>
      </c>
      <c r="H1394" s="1" t="s">
        <v>192</v>
      </c>
    </row>
    <row r="1395" spans="1:8" x14ac:dyDescent="0.3">
      <c r="A1395">
        <v>2017</v>
      </c>
      <c r="B1395" t="s">
        <v>35</v>
      </c>
      <c r="C1395" t="s">
        <v>105</v>
      </c>
      <c r="D1395" s="1" t="s">
        <v>13</v>
      </c>
      <c r="E1395">
        <v>129.4</v>
      </c>
      <c r="F1395">
        <v>126.9</v>
      </c>
      <c r="G1395">
        <v>123.4</v>
      </c>
      <c r="H1395" s="1" t="s">
        <v>188</v>
      </c>
    </row>
    <row r="1396" spans="1:8" x14ac:dyDescent="0.3">
      <c r="A1396">
        <v>2017</v>
      </c>
      <c r="B1396" t="s">
        <v>35</v>
      </c>
      <c r="C1396" t="s">
        <v>105</v>
      </c>
      <c r="D1396" s="1" t="s">
        <v>7</v>
      </c>
      <c r="E1396">
        <v>122.1</v>
      </c>
      <c r="F1396">
        <v>119.2</v>
      </c>
      <c r="G1396">
        <v>114.3</v>
      </c>
      <c r="H1396" s="1" t="s">
        <v>188</v>
      </c>
    </row>
    <row r="1397" spans="1:8" x14ac:dyDescent="0.3">
      <c r="A1397">
        <v>2017</v>
      </c>
      <c r="B1397" t="s">
        <v>35</v>
      </c>
      <c r="C1397" t="s">
        <v>105</v>
      </c>
      <c r="D1397" s="1" t="s">
        <v>16</v>
      </c>
      <c r="E1397">
        <v>143.69999999999999</v>
      </c>
      <c r="F1397">
        <v>144.4</v>
      </c>
      <c r="G1397">
        <v>146.30000000000001</v>
      </c>
      <c r="H1397" s="1" t="s">
        <v>192</v>
      </c>
    </row>
    <row r="1398" spans="1:8" x14ac:dyDescent="0.3">
      <c r="A1398">
        <v>2017</v>
      </c>
      <c r="B1398" t="s">
        <v>35</v>
      </c>
      <c r="C1398" t="s">
        <v>105</v>
      </c>
      <c r="D1398" s="1" t="s">
        <v>27</v>
      </c>
      <c r="E1398">
        <v>123.2</v>
      </c>
      <c r="F1398">
        <v>122.6</v>
      </c>
      <c r="G1398">
        <v>121.7</v>
      </c>
      <c r="H1398" s="1" t="s">
        <v>192</v>
      </c>
    </row>
    <row r="1399" spans="1:8" x14ac:dyDescent="0.3">
      <c r="A1399">
        <v>2017</v>
      </c>
      <c r="B1399" t="s">
        <v>35</v>
      </c>
      <c r="C1399" t="s">
        <v>105</v>
      </c>
      <c r="D1399" s="1" t="s">
        <v>14</v>
      </c>
      <c r="E1399">
        <v>144.4</v>
      </c>
      <c r="F1399">
        <v>143.19999999999999</v>
      </c>
      <c r="G1399">
        <v>141.9</v>
      </c>
      <c r="H1399" s="1" t="s">
        <v>188</v>
      </c>
    </row>
    <row r="1400" spans="1:8" x14ac:dyDescent="0.3">
      <c r="A1400">
        <v>2017</v>
      </c>
      <c r="B1400" t="s">
        <v>35</v>
      </c>
      <c r="C1400" t="s">
        <v>105</v>
      </c>
      <c r="D1400" s="1" t="s">
        <v>10</v>
      </c>
      <c r="E1400">
        <v>156.9</v>
      </c>
      <c r="F1400">
        <v>152.19999999999999</v>
      </c>
      <c r="G1400">
        <v>143.1</v>
      </c>
      <c r="H1400" s="1" t="s">
        <v>188</v>
      </c>
    </row>
    <row r="1401" spans="1:8" x14ac:dyDescent="0.3">
      <c r="A1401">
        <v>2017</v>
      </c>
      <c r="B1401" t="s">
        <v>35</v>
      </c>
      <c r="C1401" t="s">
        <v>105</v>
      </c>
      <c r="D1401" s="1" t="s">
        <v>25</v>
      </c>
      <c r="E1401">
        <v>127.7</v>
      </c>
      <c r="F1401">
        <v>124.6</v>
      </c>
      <c r="G1401">
        <v>122.2</v>
      </c>
      <c r="H1401" s="1" t="s">
        <v>195</v>
      </c>
    </row>
    <row r="1402" spans="1:8" x14ac:dyDescent="0.3">
      <c r="A1402">
        <v>2017</v>
      </c>
      <c r="B1402" t="s">
        <v>35</v>
      </c>
      <c r="C1402" t="s">
        <v>105</v>
      </c>
      <c r="D1402" s="1" t="s">
        <v>12</v>
      </c>
      <c r="E1402">
        <v>136</v>
      </c>
      <c r="F1402">
        <v>138.69999999999999</v>
      </c>
      <c r="G1402">
        <v>144</v>
      </c>
      <c r="H1402" s="1" t="s">
        <v>188</v>
      </c>
    </row>
    <row r="1403" spans="1:8" x14ac:dyDescent="0.3">
      <c r="A1403">
        <v>2017</v>
      </c>
      <c r="B1403" t="s">
        <v>35</v>
      </c>
      <c r="C1403" t="s">
        <v>105</v>
      </c>
      <c r="D1403" s="1" t="s">
        <v>11</v>
      </c>
      <c r="E1403">
        <v>116.2</v>
      </c>
      <c r="F1403">
        <v>117.3</v>
      </c>
      <c r="G1403">
        <v>119.5</v>
      </c>
      <c r="H1403" s="1" t="s">
        <v>188</v>
      </c>
    </row>
    <row r="1404" spans="1:8" x14ac:dyDescent="0.3">
      <c r="A1404">
        <v>2017</v>
      </c>
      <c r="B1404" t="s">
        <v>35</v>
      </c>
      <c r="C1404" t="s">
        <v>105</v>
      </c>
      <c r="D1404" s="1" t="s">
        <v>24</v>
      </c>
      <c r="E1404">
        <v>119.5</v>
      </c>
      <c r="F1404">
        <v>117.4</v>
      </c>
      <c r="G1404">
        <v>115.5</v>
      </c>
      <c r="H1404" s="1" t="s">
        <v>191</v>
      </c>
    </row>
    <row r="1405" spans="1:8" x14ac:dyDescent="0.3">
      <c r="A1405">
        <v>2017</v>
      </c>
      <c r="B1405" t="s">
        <v>35</v>
      </c>
      <c r="C1405" t="s">
        <v>105</v>
      </c>
      <c r="D1405" s="1" t="s">
        <v>9</v>
      </c>
      <c r="E1405">
        <v>119.1</v>
      </c>
      <c r="F1405">
        <v>119.5</v>
      </c>
      <c r="G1405">
        <v>120.2</v>
      </c>
      <c r="H1405" s="1" t="s">
        <v>188</v>
      </c>
    </row>
    <row r="1406" spans="1:8" x14ac:dyDescent="0.3">
      <c r="A1406">
        <v>2017</v>
      </c>
      <c r="B1406" t="s">
        <v>31</v>
      </c>
      <c r="C1406" t="s">
        <v>106</v>
      </c>
      <c r="D1406" s="1" t="s">
        <v>3</v>
      </c>
      <c r="E1406">
        <v>133.1</v>
      </c>
      <c r="F1406">
        <v>132.80000000000001</v>
      </c>
      <c r="G1406">
        <v>132.19999999999999</v>
      </c>
      <c r="H1406" s="1" t="s">
        <v>188</v>
      </c>
    </row>
    <row r="1407" spans="1:8" x14ac:dyDescent="0.3">
      <c r="A1407">
        <v>2017</v>
      </c>
      <c r="B1407" t="s">
        <v>31</v>
      </c>
      <c r="C1407" t="s">
        <v>106</v>
      </c>
      <c r="D1407" s="1" t="s">
        <v>17</v>
      </c>
      <c r="E1407">
        <v>140.69999999999999</v>
      </c>
      <c r="F1407">
        <v>136.6</v>
      </c>
      <c r="G1407">
        <v>130.19999999999999</v>
      </c>
      <c r="H1407" s="1" t="s">
        <v>189</v>
      </c>
    </row>
    <row r="1408" spans="1:8" x14ac:dyDescent="0.3">
      <c r="A1408">
        <v>2017</v>
      </c>
      <c r="B1408" t="s">
        <v>31</v>
      </c>
      <c r="C1408" t="s">
        <v>106</v>
      </c>
      <c r="D1408" s="1" t="s">
        <v>19</v>
      </c>
      <c r="E1408">
        <v>140</v>
      </c>
      <c r="F1408">
        <v>135.6</v>
      </c>
      <c r="G1408">
        <v>129</v>
      </c>
      <c r="H1408" s="1" t="s">
        <v>189</v>
      </c>
    </row>
    <row r="1409" spans="1:8" x14ac:dyDescent="0.3">
      <c r="A1409">
        <v>2017</v>
      </c>
      <c r="B1409" t="s">
        <v>31</v>
      </c>
      <c r="C1409" t="s">
        <v>106</v>
      </c>
      <c r="D1409" s="1" t="s">
        <v>26</v>
      </c>
      <c r="E1409">
        <v>134.6</v>
      </c>
      <c r="F1409">
        <v>133.30000000000001</v>
      </c>
      <c r="G1409">
        <v>132.4</v>
      </c>
      <c r="H1409" s="1" t="s">
        <v>26</v>
      </c>
    </row>
    <row r="1410" spans="1:8" x14ac:dyDescent="0.3">
      <c r="A1410">
        <v>2017</v>
      </c>
      <c r="B1410" t="s">
        <v>31</v>
      </c>
      <c r="C1410" t="s">
        <v>106</v>
      </c>
      <c r="D1410" s="1" t="s">
        <v>5</v>
      </c>
      <c r="E1410">
        <v>131.9</v>
      </c>
      <c r="F1410">
        <v>132.19999999999999</v>
      </c>
      <c r="G1410">
        <v>132.6</v>
      </c>
      <c r="H1410" s="1" t="s">
        <v>188</v>
      </c>
    </row>
    <row r="1411" spans="1:8" x14ac:dyDescent="0.3">
      <c r="A1411">
        <v>2017</v>
      </c>
      <c r="B1411" t="s">
        <v>31</v>
      </c>
      <c r="C1411" t="s">
        <v>106</v>
      </c>
      <c r="D1411" s="1" t="s">
        <v>15</v>
      </c>
      <c r="E1411">
        <v>133.69999999999999</v>
      </c>
      <c r="F1411">
        <v>133.1</v>
      </c>
      <c r="G1411">
        <v>132</v>
      </c>
      <c r="H1411" s="1" t="s">
        <v>188</v>
      </c>
    </row>
    <row r="1412" spans="1:8" x14ac:dyDescent="0.3">
      <c r="A1412">
        <v>2017</v>
      </c>
      <c r="B1412" t="s">
        <v>31</v>
      </c>
      <c r="C1412" t="s">
        <v>106</v>
      </c>
      <c r="D1412" s="1" t="s">
        <v>18</v>
      </c>
      <c r="E1412">
        <v>135.80000000000001</v>
      </c>
      <c r="F1412">
        <v>130.19999999999999</v>
      </c>
      <c r="G1412">
        <v>122.3</v>
      </c>
      <c r="H1412" s="1" t="s">
        <v>189</v>
      </c>
    </row>
    <row r="1413" spans="1:8" x14ac:dyDescent="0.3">
      <c r="A1413">
        <v>2017</v>
      </c>
      <c r="B1413" t="s">
        <v>31</v>
      </c>
      <c r="C1413" t="s">
        <v>106</v>
      </c>
      <c r="D1413" s="1" t="s">
        <v>8</v>
      </c>
      <c r="E1413">
        <v>136</v>
      </c>
      <c r="F1413">
        <v>133</v>
      </c>
      <c r="G1413">
        <v>129.6</v>
      </c>
      <c r="H1413" s="1" t="s">
        <v>188</v>
      </c>
    </row>
    <row r="1414" spans="1:8" x14ac:dyDescent="0.3">
      <c r="A1414">
        <v>2017</v>
      </c>
      <c r="B1414" t="s">
        <v>31</v>
      </c>
      <c r="C1414" t="s">
        <v>106</v>
      </c>
      <c r="D1414" s="1" t="s">
        <v>21</v>
      </c>
      <c r="E1414">
        <v>132.1</v>
      </c>
      <c r="F1414">
        <v>126.8</v>
      </c>
      <c r="G1414">
        <v>118</v>
      </c>
      <c r="H1414" s="1" t="s">
        <v>190</v>
      </c>
    </row>
    <row r="1415" spans="1:8" x14ac:dyDescent="0.3">
      <c r="A1415">
        <v>2017</v>
      </c>
      <c r="B1415" t="s">
        <v>31</v>
      </c>
      <c r="C1415" t="s">
        <v>106</v>
      </c>
      <c r="D1415" s="1" t="s">
        <v>29</v>
      </c>
      <c r="E1415">
        <v>132.4</v>
      </c>
      <c r="F1415">
        <v>130.30000000000001</v>
      </c>
      <c r="G1415">
        <v>127.8</v>
      </c>
      <c r="H1415" s="1" t="s">
        <v>206</v>
      </c>
    </row>
    <row r="1416" spans="1:8" x14ac:dyDescent="0.3">
      <c r="A1416">
        <v>2017</v>
      </c>
      <c r="B1416" t="s">
        <v>31</v>
      </c>
      <c r="C1416" t="s">
        <v>106</v>
      </c>
      <c r="D1416" s="1" t="s">
        <v>23</v>
      </c>
      <c r="E1416">
        <v>129.9</v>
      </c>
      <c r="F1416">
        <v>127.1</v>
      </c>
      <c r="G1416">
        <v>122.6</v>
      </c>
      <c r="H1416" s="1" t="s">
        <v>23</v>
      </c>
    </row>
    <row r="1417" spans="1:8" x14ac:dyDescent="0.3">
      <c r="A1417">
        <v>2017</v>
      </c>
      <c r="B1417" t="s">
        <v>31</v>
      </c>
      <c r="C1417" t="s">
        <v>106</v>
      </c>
      <c r="D1417" s="1" t="s">
        <v>22</v>
      </c>
      <c r="E1417">
        <v>133.19999999999999</v>
      </c>
      <c r="F1417">
        <v>129.4</v>
      </c>
      <c r="G1417">
        <v>125.1</v>
      </c>
      <c r="H1417" s="1" t="s">
        <v>20</v>
      </c>
    </row>
    <row r="1418" spans="1:8" x14ac:dyDescent="0.3">
      <c r="A1418">
        <v>2017</v>
      </c>
      <c r="B1418" t="s">
        <v>31</v>
      </c>
      <c r="C1418" t="s">
        <v>106</v>
      </c>
      <c r="D1418" s="1" t="s">
        <v>20</v>
      </c>
      <c r="E1418">
        <v>0</v>
      </c>
      <c r="F1418">
        <v>129.6</v>
      </c>
      <c r="G1418">
        <v>129.6</v>
      </c>
      <c r="H1418" s="1" t="s">
        <v>20</v>
      </c>
    </row>
    <row r="1419" spans="1:8" x14ac:dyDescent="0.3">
      <c r="A1419">
        <v>2017</v>
      </c>
      <c r="B1419" t="s">
        <v>31</v>
      </c>
      <c r="C1419" t="s">
        <v>106</v>
      </c>
      <c r="D1419" s="1" t="s">
        <v>4</v>
      </c>
      <c r="E1419">
        <v>137.80000000000001</v>
      </c>
      <c r="F1419">
        <v>138.19999999999999</v>
      </c>
      <c r="G1419">
        <v>138.9</v>
      </c>
      <c r="H1419" s="1" t="s">
        <v>188</v>
      </c>
    </row>
    <row r="1420" spans="1:8" x14ac:dyDescent="0.3">
      <c r="A1420">
        <v>2017</v>
      </c>
      <c r="B1420" t="s">
        <v>31</v>
      </c>
      <c r="C1420" t="s">
        <v>106</v>
      </c>
      <c r="D1420" s="1" t="s">
        <v>6</v>
      </c>
      <c r="E1420">
        <v>136.69999999999999</v>
      </c>
      <c r="F1420">
        <v>135.4</v>
      </c>
      <c r="G1420">
        <v>133.1</v>
      </c>
      <c r="H1420" s="1" t="s">
        <v>188</v>
      </c>
    </row>
    <row r="1421" spans="1:8" x14ac:dyDescent="0.3">
      <c r="A1421">
        <v>2017</v>
      </c>
      <c r="B1421" t="s">
        <v>31</v>
      </c>
      <c r="C1421" t="s">
        <v>106</v>
      </c>
      <c r="D1421" s="1" t="s">
        <v>28</v>
      </c>
      <c r="E1421">
        <v>126.6</v>
      </c>
      <c r="F1421">
        <v>124.4</v>
      </c>
      <c r="G1421">
        <v>122.1</v>
      </c>
      <c r="H1421" s="1" t="s">
        <v>192</v>
      </c>
    </row>
    <row r="1422" spans="1:8" x14ac:dyDescent="0.3">
      <c r="A1422">
        <v>2017</v>
      </c>
      <c r="B1422" t="s">
        <v>31</v>
      </c>
      <c r="C1422" t="s">
        <v>106</v>
      </c>
      <c r="D1422" s="1" t="s">
        <v>13</v>
      </c>
      <c r="E1422">
        <v>129</v>
      </c>
      <c r="F1422">
        <v>126.6</v>
      </c>
      <c r="G1422">
        <v>123.2</v>
      </c>
      <c r="H1422" s="1" t="s">
        <v>188</v>
      </c>
    </row>
    <row r="1423" spans="1:8" x14ac:dyDescent="0.3">
      <c r="A1423">
        <v>2017</v>
      </c>
      <c r="B1423" t="s">
        <v>31</v>
      </c>
      <c r="C1423" t="s">
        <v>106</v>
      </c>
      <c r="D1423" s="1" t="s">
        <v>7</v>
      </c>
      <c r="E1423">
        <v>122</v>
      </c>
      <c r="F1423">
        <v>119.1</v>
      </c>
      <c r="G1423">
        <v>114</v>
      </c>
      <c r="H1423" s="1" t="s">
        <v>188</v>
      </c>
    </row>
    <row r="1424" spans="1:8" x14ac:dyDescent="0.3">
      <c r="A1424">
        <v>2017</v>
      </c>
      <c r="B1424" t="s">
        <v>31</v>
      </c>
      <c r="C1424" t="s">
        <v>106</v>
      </c>
      <c r="D1424" s="1" t="s">
        <v>16</v>
      </c>
      <c r="E1424">
        <v>143.1</v>
      </c>
      <c r="F1424">
        <v>143.80000000000001</v>
      </c>
      <c r="G1424">
        <v>145.6</v>
      </c>
      <c r="H1424" s="1" t="s">
        <v>192</v>
      </c>
    </row>
    <row r="1425" spans="1:8" x14ac:dyDescent="0.3">
      <c r="A1425">
        <v>2017</v>
      </c>
      <c r="B1425" t="s">
        <v>31</v>
      </c>
      <c r="C1425" t="s">
        <v>106</v>
      </c>
      <c r="D1425" s="1" t="s">
        <v>27</v>
      </c>
      <c r="E1425">
        <v>122.3</v>
      </c>
      <c r="F1425">
        <v>121.7</v>
      </c>
      <c r="G1425">
        <v>120.9</v>
      </c>
      <c r="H1425" s="1" t="s">
        <v>192</v>
      </c>
    </row>
    <row r="1426" spans="1:8" x14ac:dyDescent="0.3">
      <c r="A1426">
        <v>2017</v>
      </c>
      <c r="B1426" t="s">
        <v>31</v>
      </c>
      <c r="C1426" t="s">
        <v>106</v>
      </c>
      <c r="D1426" s="1" t="s">
        <v>14</v>
      </c>
      <c r="E1426">
        <v>143.9</v>
      </c>
      <c r="F1426">
        <v>142.80000000000001</v>
      </c>
      <c r="G1426">
        <v>141.6</v>
      </c>
      <c r="H1426" s="1" t="s">
        <v>188</v>
      </c>
    </row>
    <row r="1427" spans="1:8" x14ac:dyDescent="0.3">
      <c r="A1427">
        <v>2017</v>
      </c>
      <c r="B1427" t="s">
        <v>31</v>
      </c>
      <c r="C1427" t="s">
        <v>106</v>
      </c>
      <c r="D1427" s="1" t="s">
        <v>10</v>
      </c>
      <c r="E1427">
        <v>161.69999999999999</v>
      </c>
      <c r="F1427">
        <v>159.5</v>
      </c>
      <c r="G1427">
        <v>155.1</v>
      </c>
      <c r="H1427" s="1" t="s">
        <v>188</v>
      </c>
    </row>
    <row r="1428" spans="1:8" x14ac:dyDescent="0.3">
      <c r="A1428">
        <v>2017</v>
      </c>
      <c r="B1428" t="s">
        <v>31</v>
      </c>
      <c r="C1428" t="s">
        <v>106</v>
      </c>
      <c r="D1428" s="1" t="s">
        <v>25</v>
      </c>
      <c r="E1428">
        <v>127</v>
      </c>
      <c r="F1428">
        <v>124.2</v>
      </c>
      <c r="G1428">
        <v>122</v>
      </c>
      <c r="H1428" s="1" t="s">
        <v>195</v>
      </c>
    </row>
    <row r="1429" spans="1:8" x14ac:dyDescent="0.3">
      <c r="A1429">
        <v>2017</v>
      </c>
      <c r="B1429" t="s">
        <v>31</v>
      </c>
      <c r="C1429" t="s">
        <v>106</v>
      </c>
      <c r="D1429" s="1" t="s">
        <v>12</v>
      </c>
      <c r="E1429">
        <v>136.9</v>
      </c>
      <c r="F1429">
        <v>139.6</v>
      </c>
      <c r="G1429">
        <v>144.9</v>
      </c>
      <c r="H1429" s="1" t="s">
        <v>188</v>
      </c>
    </row>
    <row r="1430" spans="1:8" x14ac:dyDescent="0.3">
      <c r="A1430">
        <v>2017</v>
      </c>
      <c r="B1430" t="s">
        <v>31</v>
      </c>
      <c r="C1430" t="s">
        <v>106</v>
      </c>
      <c r="D1430" s="1" t="s">
        <v>11</v>
      </c>
      <c r="E1430">
        <v>114.8</v>
      </c>
      <c r="F1430">
        <v>115.6</v>
      </c>
      <c r="G1430">
        <v>117.3</v>
      </c>
      <c r="H1430" s="1" t="s">
        <v>188</v>
      </c>
    </row>
    <row r="1431" spans="1:8" x14ac:dyDescent="0.3">
      <c r="A1431">
        <v>2017</v>
      </c>
      <c r="B1431" t="s">
        <v>31</v>
      </c>
      <c r="C1431" t="s">
        <v>106</v>
      </c>
      <c r="D1431" s="1" t="s">
        <v>24</v>
      </c>
      <c r="E1431">
        <v>119.1</v>
      </c>
      <c r="F1431">
        <v>117</v>
      </c>
      <c r="G1431">
        <v>115.2</v>
      </c>
      <c r="H1431" s="1" t="s">
        <v>191</v>
      </c>
    </row>
    <row r="1432" spans="1:8" x14ac:dyDescent="0.3">
      <c r="A1432">
        <v>2017</v>
      </c>
      <c r="B1432" t="s">
        <v>31</v>
      </c>
      <c r="C1432" t="s">
        <v>106</v>
      </c>
      <c r="D1432" s="1" t="s">
        <v>9</v>
      </c>
      <c r="E1432">
        <v>119.8</v>
      </c>
      <c r="F1432">
        <v>119.4</v>
      </c>
      <c r="G1432">
        <v>118.7</v>
      </c>
      <c r="H1432" s="1" t="s">
        <v>188</v>
      </c>
    </row>
    <row r="1433" spans="1:8" x14ac:dyDescent="0.3">
      <c r="A1433">
        <v>2017</v>
      </c>
      <c r="B1433" t="s">
        <v>40</v>
      </c>
      <c r="C1433" t="s">
        <v>107</v>
      </c>
      <c r="D1433" s="1" t="s">
        <v>3</v>
      </c>
      <c r="E1433">
        <v>134</v>
      </c>
      <c r="F1433">
        <v>133.6</v>
      </c>
      <c r="G1433">
        <v>132.80000000000001</v>
      </c>
      <c r="H1433" s="1" t="s">
        <v>188</v>
      </c>
    </row>
    <row r="1434" spans="1:8" x14ac:dyDescent="0.3">
      <c r="A1434">
        <v>2017</v>
      </c>
      <c r="B1434" t="s">
        <v>40</v>
      </c>
      <c r="C1434" t="s">
        <v>107</v>
      </c>
      <c r="D1434" s="1" t="s">
        <v>17</v>
      </c>
      <c r="E1434">
        <v>144.30000000000001</v>
      </c>
      <c r="F1434">
        <v>139.30000000000001</v>
      </c>
      <c r="G1434">
        <v>131.6</v>
      </c>
      <c r="H1434" s="1" t="s">
        <v>189</v>
      </c>
    </row>
    <row r="1435" spans="1:8" x14ac:dyDescent="0.3">
      <c r="A1435">
        <v>2017</v>
      </c>
      <c r="B1435" t="s">
        <v>40</v>
      </c>
      <c r="C1435" t="s">
        <v>107</v>
      </c>
      <c r="D1435" s="1" t="s">
        <v>19</v>
      </c>
      <c r="E1435">
        <v>143.5</v>
      </c>
      <c r="F1435">
        <v>138.30000000000001</v>
      </c>
      <c r="G1435">
        <v>130.4</v>
      </c>
      <c r="H1435" s="1" t="s">
        <v>189</v>
      </c>
    </row>
    <row r="1436" spans="1:8" x14ac:dyDescent="0.3">
      <c r="A1436">
        <v>2017</v>
      </c>
      <c r="B1436" t="s">
        <v>40</v>
      </c>
      <c r="C1436" t="s">
        <v>107</v>
      </c>
      <c r="D1436" s="1" t="s">
        <v>26</v>
      </c>
      <c r="E1436">
        <v>138.6</v>
      </c>
      <c r="F1436">
        <v>136.80000000000001</v>
      </c>
      <c r="G1436">
        <v>135.5</v>
      </c>
      <c r="H1436" s="1" t="s">
        <v>26</v>
      </c>
    </row>
    <row r="1437" spans="1:8" x14ac:dyDescent="0.3">
      <c r="A1437">
        <v>2017</v>
      </c>
      <c r="B1437" t="s">
        <v>40</v>
      </c>
      <c r="C1437" t="s">
        <v>107</v>
      </c>
      <c r="D1437" s="1" t="s">
        <v>5</v>
      </c>
      <c r="E1437">
        <v>129.80000000000001</v>
      </c>
      <c r="F1437">
        <v>129.6</v>
      </c>
      <c r="G1437">
        <v>129.4</v>
      </c>
      <c r="H1437" s="1" t="s">
        <v>188</v>
      </c>
    </row>
    <row r="1438" spans="1:8" x14ac:dyDescent="0.3">
      <c r="A1438">
        <v>2017</v>
      </c>
      <c r="B1438" t="s">
        <v>40</v>
      </c>
      <c r="C1438" t="s">
        <v>107</v>
      </c>
      <c r="D1438" s="1" t="s">
        <v>15</v>
      </c>
      <c r="E1438">
        <v>138.5</v>
      </c>
      <c r="F1438">
        <v>139</v>
      </c>
      <c r="G1438">
        <v>139.80000000000001</v>
      </c>
      <c r="H1438" s="1" t="s">
        <v>188</v>
      </c>
    </row>
    <row r="1439" spans="1:8" x14ac:dyDescent="0.3">
      <c r="A1439">
        <v>2017</v>
      </c>
      <c r="B1439" t="s">
        <v>40</v>
      </c>
      <c r="C1439" t="s">
        <v>107</v>
      </c>
      <c r="D1439" s="1" t="s">
        <v>18</v>
      </c>
      <c r="E1439">
        <v>138.1</v>
      </c>
      <c r="F1439">
        <v>132.1</v>
      </c>
      <c r="G1439">
        <v>123.7</v>
      </c>
      <c r="H1439" s="1" t="s">
        <v>189</v>
      </c>
    </row>
    <row r="1440" spans="1:8" x14ac:dyDescent="0.3">
      <c r="A1440">
        <v>2017</v>
      </c>
      <c r="B1440" t="s">
        <v>40</v>
      </c>
      <c r="C1440" t="s">
        <v>107</v>
      </c>
      <c r="D1440" s="1" t="s">
        <v>8</v>
      </c>
      <c r="E1440">
        <v>143.9</v>
      </c>
      <c r="F1440">
        <v>141.80000000000001</v>
      </c>
      <c r="G1440">
        <v>139.4</v>
      </c>
      <c r="H1440" s="1" t="s">
        <v>188</v>
      </c>
    </row>
    <row r="1441" spans="1:8" x14ac:dyDescent="0.3">
      <c r="A1441">
        <v>2017</v>
      </c>
      <c r="B1441" t="s">
        <v>40</v>
      </c>
      <c r="C1441" t="s">
        <v>107</v>
      </c>
      <c r="D1441" s="1" t="s">
        <v>21</v>
      </c>
      <c r="E1441">
        <v>135.30000000000001</v>
      </c>
      <c r="F1441">
        <v>129.4</v>
      </c>
      <c r="G1441">
        <v>119.7</v>
      </c>
      <c r="H1441" s="1" t="s">
        <v>190</v>
      </c>
    </row>
    <row r="1442" spans="1:8" x14ac:dyDescent="0.3">
      <c r="A1442">
        <v>2017</v>
      </c>
      <c r="B1442" t="s">
        <v>40</v>
      </c>
      <c r="C1442" t="s">
        <v>107</v>
      </c>
      <c r="D1442" s="1" t="s">
        <v>29</v>
      </c>
      <c r="E1442">
        <v>136.19999999999999</v>
      </c>
      <c r="F1442">
        <v>134.19999999999999</v>
      </c>
      <c r="G1442">
        <v>131.80000000000001</v>
      </c>
      <c r="H1442" s="1" t="s">
        <v>206</v>
      </c>
    </row>
    <row r="1443" spans="1:8" x14ac:dyDescent="0.3">
      <c r="A1443">
        <v>2017</v>
      </c>
      <c r="B1443" t="s">
        <v>40</v>
      </c>
      <c r="C1443" t="s">
        <v>107</v>
      </c>
      <c r="D1443" s="1" t="s">
        <v>23</v>
      </c>
      <c r="E1443">
        <v>132.1</v>
      </c>
      <c r="F1443">
        <v>129.4</v>
      </c>
      <c r="G1443">
        <v>125</v>
      </c>
      <c r="H1443" s="1" t="s">
        <v>23</v>
      </c>
    </row>
    <row r="1444" spans="1:8" x14ac:dyDescent="0.3">
      <c r="A1444">
        <v>2017</v>
      </c>
      <c r="B1444" t="s">
        <v>40</v>
      </c>
      <c r="C1444" t="s">
        <v>107</v>
      </c>
      <c r="D1444" s="1" t="s">
        <v>22</v>
      </c>
      <c r="E1444">
        <v>136.1</v>
      </c>
      <c r="F1444">
        <v>131.9</v>
      </c>
      <c r="G1444">
        <v>127.2</v>
      </c>
      <c r="H1444" s="1" t="s">
        <v>20</v>
      </c>
    </row>
    <row r="1445" spans="1:8" x14ac:dyDescent="0.3">
      <c r="A1445">
        <v>2017</v>
      </c>
      <c r="B1445" t="s">
        <v>40</v>
      </c>
      <c r="C1445" t="s">
        <v>107</v>
      </c>
      <c r="D1445" s="1" t="s">
        <v>20</v>
      </c>
      <c r="E1445">
        <v>0</v>
      </c>
      <c r="F1445">
        <v>132.6</v>
      </c>
      <c r="G1445">
        <v>132.6</v>
      </c>
      <c r="H1445" s="1" t="s">
        <v>20</v>
      </c>
    </row>
    <row r="1446" spans="1:8" x14ac:dyDescent="0.3">
      <c r="A1446">
        <v>2017</v>
      </c>
      <c r="B1446" t="s">
        <v>40</v>
      </c>
      <c r="C1446" t="s">
        <v>107</v>
      </c>
      <c r="D1446" s="1" t="s">
        <v>4</v>
      </c>
      <c r="E1446">
        <v>144.19999999999999</v>
      </c>
      <c r="F1446">
        <v>145.69999999999999</v>
      </c>
      <c r="G1446">
        <v>148.4</v>
      </c>
      <c r="H1446" s="1" t="s">
        <v>188</v>
      </c>
    </row>
    <row r="1447" spans="1:8" x14ac:dyDescent="0.3">
      <c r="A1447">
        <v>2017</v>
      </c>
      <c r="B1447" t="s">
        <v>40</v>
      </c>
      <c r="C1447" t="s">
        <v>107</v>
      </c>
      <c r="D1447" s="1" t="s">
        <v>6</v>
      </c>
      <c r="E1447">
        <v>139</v>
      </c>
      <c r="F1447">
        <v>138.5</v>
      </c>
      <c r="G1447">
        <v>137.69999999999999</v>
      </c>
      <c r="H1447" s="1" t="s">
        <v>188</v>
      </c>
    </row>
    <row r="1448" spans="1:8" x14ac:dyDescent="0.3">
      <c r="A1448">
        <v>2017</v>
      </c>
      <c r="B1448" t="s">
        <v>40</v>
      </c>
      <c r="C1448" t="s">
        <v>107</v>
      </c>
      <c r="D1448" s="1" t="s">
        <v>28</v>
      </c>
      <c r="E1448">
        <v>128.6</v>
      </c>
      <c r="F1448">
        <v>125.9</v>
      </c>
      <c r="G1448">
        <v>123</v>
      </c>
      <c r="H1448" s="1" t="s">
        <v>192</v>
      </c>
    </row>
    <row r="1449" spans="1:8" x14ac:dyDescent="0.3">
      <c r="A1449">
        <v>2017</v>
      </c>
      <c r="B1449" t="s">
        <v>40</v>
      </c>
      <c r="C1449" t="s">
        <v>107</v>
      </c>
      <c r="D1449" s="1" t="s">
        <v>13</v>
      </c>
      <c r="E1449">
        <v>131.4</v>
      </c>
      <c r="F1449">
        <v>128.5</v>
      </c>
      <c r="G1449">
        <v>124.4</v>
      </c>
      <c r="H1449" s="1" t="s">
        <v>188</v>
      </c>
    </row>
    <row r="1450" spans="1:8" x14ac:dyDescent="0.3">
      <c r="A1450">
        <v>2017</v>
      </c>
      <c r="B1450" t="s">
        <v>40</v>
      </c>
      <c r="C1450" t="s">
        <v>107</v>
      </c>
      <c r="D1450" s="1" t="s">
        <v>7</v>
      </c>
      <c r="E1450">
        <v>120.9</v>
      </c>
      <c r="F1450">
        <v>118.1</v>
      </c>
      <c r="G1450">
        <v>113.4</v>
      </c>
      <c r="H1450" s="1" t="s">
        <v>188</v>
      </c>
    </row>
    <row r="1451" spans="1:8" x14ac:dyDescent="0.3">
      <c r="A1451">
        <v>2017</v>
      </c>
      <c r="B1451" t="s">
        <v>40</v>
      </c>
      <c r="C1451" t="s">
        <v>107</v>
      </c>
      <c r="D1451" s="1" t="s">
        <v>16</v>
      </c>
      <c r="E1451">
        <v>147.4</v>
      </c>
      <c r="F1451">
        <v>148.19999999999999</v>
      </c>
      <c r="G1451">
        <v>150.5</v>
      </c>
      <c r="H1451" s="1" t="s">
        <v>192</v>
      </c>
    </row>
    <row r="1452" spans="1:8" x14ac:dyDescent="0.3">
      <c r="A1452">
        <v>2017</v>
      </c>
      <c r="B1452" t="s">
        <v>40</v>
      </c>
      <c r="C1452" t="s">
        <v>107</v>
      </c>
      <c r="D1452" s="1" t="s">
        <v>27</v>
      </c>
      <c r="E1452">
        <v>124.4</v>
      </c>
      <c r="F1452">
        <v>123.6</v>
      </c>
      <c r="G1452">
        <v>122.4</v>
      </c>
      <c r="H1452" s="1" t="s">
        <v>192</v>
      </c>
    </row>
    <row r="1453" spans="1:8" x14ac:dyDescent="0.3">
      <c r="A1453">
        <v>2017</v>
      </c>
      <c r="B1453" t="s">
        <v>40</v>
      </c>
      <c r="C1453" t="s">
        <v>107</v>
      </c>
      <c r="D1453" s="1" t="s">
        <v>14</v>
      </c>
      <c r="E1453">
        <v>147.69999999999999</v>
      </c>
      <c r="F1453">
        <v>145.80000000000001</v>
      </c>
      <c r="G1453">
        <v>143.69999999999999</v>
      </c>
      <c r="H1453" s="1" t="s">
        <v>188</v>
      </c>
    </row>
    <row r="1454" spans="1:8" x14ac:dyDescent="0.3">
      <c r="A1454">
        <v>2017</v>
      </c>
      <c r="B1454" t="s">
        <v>40</v>
      </c>
      <c r="C1454" t="s">
        <v>107</v>
      </c>
      <c r="D1454" s="1" t="s">
        <v>10</v>
      </c>
      <c r="E1454">
        <v>138.1</v>
      </c>
      <c r="F1454">
        <v>133.6</v>
      </c>
      <c r="G1454">
        <v>124.7</v>
      </c>
      <c r="H1454" s="1" t="s">
        <v>188</v>
      </c>
    </row>
    <row r="1455" spans="1:8" x14ac:dyDescent="0.3">
      <c r="A1455">
        <v>2017</v>
      </c>
      <c r="B1455" t="s">
        <v>40</v>
      </c>
      <c r="C1455" t="s">
        <v>107</v>
      </c>
      <c r="D1455" s="1" t="s">
        <v>25</v>
      </c>
      <c r="E1455">
        <v>130.6</v>
      </c>
      <c r="F1455">
        <v>126.6</v>
      </c>
      <c r="G1455">
        <v>123.5</v>
      </c>
      <c r="H1455" s="1" t="s">
        <v>195</v>
      </c>
    </row>
    <row r="1456" spans="1:8" x14ac:dyDescent="0.3">
      <c r="A1456">
        <v>2017</v>
      </c>
      <c r="B1456" t="s">
        <v>40</v>
      </c>
      <c r="C1456" t="s">
        <v>107</v>
      </c>
      <c r="D1456" s="1" t="s">
        <v>12</v>
      </c>
      <c r="E1456">
        <v>133.9</v>
      </c>
      <c r="F1456">
        <v>135.19999999999999</v>
      </c>
      <c r="G1456">
        <v>137.80000000000001</v>
      </c>
      <c r="H1456" s="1" t="s">
        <v>188</v>
      </c>
    </row>
    <row r="1457" spans="1:8" x14ac:dyDescent="0.3">
      <c r="A1457">
        <v>2017</v>
      </c>
      <c r="B1457" t="s">
        <v>40</v>
      </c>
      <c r="C1457" t="s">
        <v>107</v>
      </c>
      <c r="D1457" s="1" t="s">
        <v>11</v>
      </c>
      <c r="E1457">
        <v>120</v>
      </c>
      <c r="F1457">
        <v>120.5</v>
      </c>
      <c r="G1457">
        <v>121.5</v>
      </c>
      <c r="H1457" s="1" t="s">
        <v>188</v>
      </c>
    </row>
    <row r="1458" spans="1:8" x14ac:dyDescent="0.3">
      <c r="A1458">
        <v>2017</v>
      </c>
      <c r="B1458" t="s">
        <v>40</v>
      </c>
      <c r="C1458" t="s">
        <v>107</v>
      </c>
      <c r="D1458" s="1" t="s">
        <v>24</v>
      </c>
      <c r="E1458">
        <v>119.1</v>
      </c>
      <c r="F1458">
        <v>116</v>
      </c>
      <c r="G1458">
        <v>113.2</v>
      </c>
      <c r="H1458" s="1" t="s">
        <v>191</v>
      </c>
    </row>
    <row r="1459" spans="1:8" x14ac:dyDescent="0.3">
      <c r="A1459">
        <v>2017</v>
      </c>
      <c r="B1459" t="s">
        <v>40</v>
      </c>
      <c r="C1459" t="s">
        <v>107</v>
      </c>
      <c r="D1459" s="1" t="s">
        <v>9</v>
      </c>
      <c r="E1459">
        <v>151.5</v>
      </c>
      <c r="F1459">
        <v>159.5</v>
      </c>
      <c r="G1459">
        <v>175.1</v>
      </c>
      <c r="H1459" s="1" t="s">
        <v>188</v>
      </c>
    </row>
    <row r="1460" spans="1:8" x14ac:dyDescent="0.3">
      <c r="A1460">
        <v>2017</v>
      </c>
      <c r="B1460" t="s">
        <v>39</v>
      </c>
      <c r="C1460" t="s">
        <v>108</v>
      </c>
      <c r="D1460" s="1" t="s">
        <v>3</v>
      </c>
      <c r="E1460">
        <v>133.5</v>
      </c>
      <c r="F1460">
        <v>133.30000000000001</v>
      </c>
      <c r="G1460">
        <v>132.9</v>
      </c>
      <c r="H1460" s="1" t="s">
        <v>188</v>
      </c>
    </row>
    <row r="1461" spans="1:8" x14ac:dyDescent="0.3">
      <c r="A1461">
        <v>2017</v>
      </c>
      <c r="B1461" t="s">
        <v>39</v>
      </c>
      <c r="C1461" t="s">
        <v>108</v>
      </c>
      <c r="D1461" s="1" t="s">
        <v>17</v>
      </c>
      <c r="E1461">
        <v>143.1</v>
      </c>
      <c r="F1461">
        <v>138.5</v>
      </c>
      <c r="G1461">
        <v>131.5</v>
      </c>
      <c r="H1461" s="1" t="s">
        <v>189</v>
      </c>
    </row>
    <row r="1462" spans="1:8" x14ac:dyDescent="0.3">
      <c r="A1462">
        <v>2017</v>
      </c>
      <c r="B1462" t="s">
        <v>39</v>
      </c>
      <c r="C1462" t="s">
        <v>108</v>
      </c>
      <c r="D1462" s="1" t="s">
        <v>19</v>
      </c>
      <c r="E1462">
        <v>142.30000000000001</v>
      </c>
      <c r="F1462">
        <v>137.5</v>
      </c>
      <c r="G1462">
        <v>130.19999999999999</v>
      </c>
      <c r="H1462" s="1" t="s">
        <v>189</v>
      </c>
    </row>
    <row r="1463" spans="1:8" x14ac:dyDescent="0.3">
      <c r="A1463">
        <v>2017</v>
      </c>
      <c r="B1463" t="s">
        <v>39</v>
      </c>
      <c r="C1463" t="s">
        <v>108</v>
      </c>
      <c r="D1463" s="1" t="s">
        <v>26</v>
      </c>
      <c r="E1463">
        <v>136.9</v>
      </c>
      <c r="F1463">
        <v>135.4</v>
      </c>
      <c r="G1463">
        <v>134.30000000000001</v>
      </c>
      <c r="H1463" s="1" t="s">
        <v>26</v>
      </c>
    </row>
    <row r="1464" spans="1:8" x14ac:dyDescent="0.3">
      <c r="A1464">
        <v>2017</v>
      </c>
      <c r="B1464" t="s">
        <v>39</v>
      </c>
      <c r="C1464" t="s">
        <v>108</v>
      </c>
      <c r="D1464" s="1" t="s">
        <v>5</v>
      </c>
      <c r="E1464">
        <v>128</v>
      </c>
      <c r="F1464">
        <v>128.1</v>
      </c>
      <c r="G1464">
        <v>128.30000000000001</v>
      </c>
      <c r="H1464" s="1" t="s">
        <v>188</v>
      </c>
    </row>
    <row r="1465" spans="1:8" x14ac:dyDescent="0.3">
      <c r="A1465">
        <v>2017</v>
      </c>
      <c r="B1465" t="s">
        <v>39</v>
      </c>
      <c r="C1465" t="s">
        <v>108</v>
      </c>
      <c r="D1465" s="1" t="s">
        <v>15</v>
      </c>
      <c r="E1465">
        <v>134.9</v>
      </c>
      <c r="F1465">
        <v>135.19999999999999</v>
      </c>
      <c r="G1465">
        <v>135.69999999999999</v>
      </c>
      <c r="H1465" s="1" t="s">
        <v>188</v>
      </c>
    </row>
    <row r="1466" spans="1:8" x14ac:dyDescent="0.3">
      <c r="A1466">
        <v>2017</v>
      </c>
      <c r="B1466" t="s">
        <v>39</v>
      </c>
      <c r="C1466" t="s">
        <v>108</v>
      </c>
      <c r="D1466" s="1" t="s">
        <v>18</v>
      </c>
      <c r="E1466">
        <v>137.69999999999999</v>
      </c>
      <c r="F1466">
        <v>131.69999999999999</v>
      </c>
      <c r="G1466">
        <v>123.2</v>
      </c>
      <c r="H1466" s="1" t="s">
        <v>189</v>
      </c>
    </row>
    <row r="1467" spans="1:8" x14ac:dyDescent="0.3">
      <c r="A1467">
        <v>2017</v>
      </c>
      <c r="B1467" t="s">
        <v>39</v>
      </c>
      <c r="C1467" t="s">
        <v>108</v>
      </c>
      <c r="D1467" s="1" t="s">
        <v>8</v>
      </c>
      <c r="E1467">
        <v>140.9</v>
      </c>
      <c r="F1467">
        <v>139.19999999999999</v>
      </c>
      <c r="G1467">
        <v>137.19999999999999</v>
      </c>
      <c r="H1467" s="1" t="s">
        <v>188</v>
      </c>
    </row>
    <row r="1468" spans="1:8" x14ac:dyDescent="0.3">
      <c r="A1468">
        <v>2017</v>
      </c>
      <c r="B1468" t="s">
        <v>39</v>
      </c>
      <c r="C1468" t="s">
        <v>108</v>
      </c>
      <c r="D1468" s="1" t="s">
        <v>21</v>
      </c>
      <c r="E1468">
        <v>134.80000000000001</v>
      </c>
      <c r="F1468">
        <v>128.80000000000001</v>
      </c>
      <c r="G1468">
        <v>119</v>
      </c>
      <c r="H1468" s="1" t="s">
        <v>190</v>
      </c>
    </row>
    <row r="1469" spans="1:8" x14ac:dyDescent="0.3">
      <c r="A1469">
        <v>2017</v>
      </c>
      <c r="B1469" t="s">
        <v>39</v>
      </c>
      <c r="C1469" t="s">
        <v>108</v>
      </c>
      <c r="D1469" s="1" t="s">
        <v>29</v>
      </c>
      <c r="E1469">
        <v>133.9</v>
      </c>
      <c r="F1469">
        <v>132</v>
      </c>
      <c r="G1469">
        <v>129.9</v>
      </c>
      <c r="H1469" s="1" t="s">
        <v>206</v>
      </c>
    </row>
    <row r="1470" spans="1:8" x14ac:dyDescent="0.3">
      <c r="A1470">
        <v>2017</v>
      </c>
      <c r="B1470" t="s">
        <v>39</v>
      </c>
      <c r="C1470" t="s">
        <v>108</v>
      </c>
      <c r="D1470" s="1" t="s">
        <v>23</v>
      </c>
      <c r="E1470">
        <v>131.30000000000001</v>
      </c>
      <c r="F1470">
        <v>128.5</v>
      </c>
      <c r="G1470">
        <v>123.8</v>
      </c>
      <c r="H1470" s="1" t="s">
        <v>23</v>
      </c>
    </row>
    <row r="1471" spans="1:8" x14ac:dyDescent="0.3">
      <c r="A1471">
        <v>2017</v>
      </c>
      <c r="B1471" t="s">
        <v>39</v>
      </c>
      <c r="C1471" t="s">
        <v>108</v>
      </c>
      <c r="D1471" s="1" t="s">
        <v>22</v>
      </c>
      <c r="E1471">
        <v>135.19999999999999</v>
      </c>
      <c r="F1471">
        <v>131.19999999999999</v>
      </c>
      <c r="G1471">
        <v>126.8</v>
      </c>
      <c r="H1471" s="1" t="s">
        <v>20</v>
      </c>
    </row>
    <row r="1472" spans="1:8" x14ac:dyDescent="0.3">
      <c r="A1472">
        <v>2017</v>
      </c>
      <c r="B1472" t="s">
        <v>39</v>
      </c>
      <c r="C1472" t="s">
        <v>108</v>
      </c>
      <c r="D1472" s="1" t="s">
        <v>20</v>
      </c>
      <c r="E1472">
        <v>0</v>
      </c>
      <c r="F1472">
        <v>131.4</v>
      </c>
      <c r="G1472">
        <v>131.4</v>
      </c>
      <c r="H1472" s="1" t="s">
        <v>20</v>
      </c>
    </row>
    <row r="1473" spans="1:8" x14ac:dyDescent="0.3">
      <c r="A1473">
        <v>2017</v>
      </c>
      <c r="B1473" t="s">
        <v>39</v>
      </c>
      <c r="C1473" t="s">
        <v>108</v>
      </c>
      <c r="D1473" s="1" t="s">
        <v>4</v>
      </c>
      <c r="E1473">
        <v>143.69999999999999</v>
      </c>
      <c r="F1473">
        <v>145.5</v>
      </c>
      <c r="G1473">
        <v>148.69999999999999</v>
      </c>
      <c r="H1473" s="1" t="s">
        <v>188</v>
      </c>
    </row>
    <row r="1474" spans="1:8" x14ac:dyDescent="0.3">
      <c r="A1474">
        <v>2017</v>
      </c>
      <c r="B1474" t="s">
        <v>39</v>
      </c>
      <c r="C1474" t="s">
        <v>108</v>
      </c>
      <c r="D1474" s="1" t="s">
        <v>6</v>
      </c>
      <c r="E1474">
        <v>138.6</v>
      </c>
      <c r="F1474">
        <v>138.1</v>
      </c>
      <c r="G1474">
        <v>137.30000000000001</v>
      </c>
      <c r="H1474" s="1" t="s">
        <v>188</v>
      </c>
    </row>
    <row r="1475" spans="1:8" x14ac:dyDescent="0.3">
      <c r="A1475">
        <v>2017</v>
      </c>
      <c r="B1475" t="s">
        <v>39</v>
      </c>
      <c r="C1475" t="s">
        <v>108</v>
      </c>
      <c r="D1475" s="1" t="s">
        <v>28</v>
      </c>
      <c r="E1475">
        <v>128.1</v>
      </c>
      <c r="F1475">
        <v>125.5</v>
      </c>
      <c r="G1475">
        <v>122.7</v>
      </c>
      <c r="H1475" s="1" t="s">
        <v>192</v>
      </c>
    </row>
    <row r="1476" spans="1:8" x14ac:dyDescent="0.3">
      <c r="A1476">
        <v>2017</v>
      </c>
      <c r="B1476" t="s">
        <v>39</v>
      </c>
      <c r="C1476" t="s">
        <v>108</v>
      </c>
      <c r="D1476" s="1" t="s">
        <v>13</v>
      </c>
      <c r="E1476">
        <v>130.4</v>
      </c>
      <c r="F1476">
        <v>127.8</v>
      </c>
      <c r="G1476">
        <v>124.2</v>
      </c>
      <c r="H1476" s="1" t="s">
        <v>188</v>
      </c>
    </row>
    <row r="1477" spans="1:8" x14ac:dyDescent="0.3">
      <c r="A1477">
        <v>2017</v>
      </c>
      <c r="B1477" t="s">
        <v>39</v>
      </c>
      <c r="C1477" t="s">
        <v>108</v>
      </c>
      <c r="D1477" s="1" t="s">
        <v>7</v>
      </c>
      <c r="E1477">
        <v>120.9</v>
      </c>
      <c r="F1477">
        <v>118.2</v>
      </c>
      <c r="G1477">
        <v>113.5</v>
      </c>
      <c r="H1477" s="1" t="s">
        <v>188</v>
      </c>
    </row>
    <row r="1478" spans="1:8" x14ac:dyDescent="0.3">
      <c r="A1478">
        <v>2017</v>
      </c>
      <c r="B1478" t="s">
        <v>39</v>
      </c>
      <c r="C1478" t="s">
        <v>108</v>
      </c>
      <c r="D1478" s="1" t="s">
        <v>16</v>
      </c>
      <c r="E1478">
        <v>145.80000000000001</v>
      </c>
      <c r="F1478">
        <v>146.5</v>
      </c>
      <c r="G1478">
        <v>148.6</v>
      </c>
      <c r="H1478" s="1" t="s">
        <v>192</v>
      </c>
    </row>
    <row r="1479" spans="1:8" x14ac:dyDescent="0.3">
      <c r="A1479">
        <v>2017</v>
      </c>
      <c r="B1479" t="s">
        <v>39</v>
      </c>
      <c r="C1479" t="s">
        <v>108</v>
      </c>
      <c r="D1479" s="1" t="s">
        <v>27</v>
      </c>
      <c r="E1479">
        <v>124.1</v>
      </c>
      <c r="F1479">
        <v>123.4</v>
      </c>
      <c r="G1479">
        <v>122.5</v>
      </c>
      <c r="H1479" s="1" t="s">
        <v>192</v>
      </c>
    </row>
    <row r="1480" spans="1:8" x14ac:dyDescent="0.3">
      <c r="A1480">
        <v>2017</v>
      </c>
      <c r="B1480" t="s">
        <v>39</v>
      </c>
      <c r="C1480" t="s">
        <v>108</v>
      </c>
      <c r="D1480" s="1" t="s">
        <v>14</v>
      </c>
      <c r="E1480">
        <v>146.5</v>
      </c>
      <c r="F1480">
        <v>144.9</v>
      </c>
      <c r="G1480">
        <v>143.1</v>
      </c>
      <c r="H1480" s="1" t="s">
        <v>188</v>
      </c>
    </row>
    <row r="1481" spans="1:8" x14ac:dyDescent="0.3">
      <c r="A1481">
        <v>2017</v>
      </c>
      <c r="B1481" t="s">
        <v>39</v>
      </c>
      <c r="C1481" t="s">
        <v>108</v>
      </c>
      <c r="D1481" s="1" t="s">
        <v>10</v>
      </c>
      <c r="E1481">
        <v>140.19999999999999</v>
      </c>
      <c r="F1481">
        <v>136.19999999999999</v>
      </c>
      <c r="G1481">
        <v>128.19999999999999</v>
      </c>
      <c r="H1481" s="1" t="s">
        <v>188</v>
      </c>
    </row>
    <row r="1482" spans="1:8" x14ac:dyDescent="0.3">
      <c r="A1482">
        <v>2017</v>
      </c>
      <c r="B1482" t="s">
        <v>39</v>
      </c>
      <c r="C1482" t="s">
        <v>108</v>
      </c>
      <c r="D1482" s="1" t="s">
        <v>25</v>
      </c>
      <c r="E1482">
        <v>129.80000000000001</v>
      </c>
      <c r="F1482">
        <v>125.9</v>
      </c>
      <c r="G1482">
        <v>122.9</v>
      </c>
      <c r="H1482" s="1" t="s">
        <v>195</v>
      </c>
    </row>
    <row r="1483" spans="1:8" x14ac:dyDescent="0.3">
      <c r="A1483">
        <v>2017</v>
      </c>
      <c r="B1483" t="s">
        <v>39</v>
      </c>
      <c r="C1483" t="s">
        <v>108</v>
      </c>
      <c r="D1483" s="1" t="s">
        <v>12</v>
      </c>
      <c r="E1483">
        <v>133.5</v>
      </c>
      <c r="F1483">
        <v>135.30000000000001</v>
      </c>
      <c r="G1483">
        <v>138.80000000000001</v>
      </c>
      <c r="H1483" s="1" t="s">
        <v>188</v>
      </c>
    </row>
    <row r="1484" spans="1:8" x14ac:dyDescent="0.3">
      <c r="A1484">
        <v>2017</v>
      </c>
      <c r="B1484" t="s">
        <v>39</v>
      </c>
      <c r="C1484" t="s">
        <v>108</v>
      </c>
      <c r="D1484" s="1" t="s">
        <v>11</v>
      </c>
      <c r="E1484">
        <v>118.9</v>
      </c>
      <c r="F1484">
        <v>119.6</v>
      </c>
      <c r="G1484">
        <v>120.9</v>
      </c>
      <c r="H1484" s="1" t="s">
        <v>188</v>
      </c>
    </row>
    <row r="1485" spans="1:8" x14ac:dyDescent="0.3">
      <c r="A1485">
        <v>2017</v>
      </c>
      <c r="B1485" t="s">
        <v>39</v>
      </c>
      <c r="C1485" t="s">
        <v>108</v>
      </c>
      <c r="D1485" s="1" t="s">
        <v>24</v>
      </c>
      <c r="E1485">
        <v>119.4</v>
      </c>
      <c r="F1485">
        <v>116.5</v>
      </c>
      <c r="G1485">
        <v>113.9</v>
      </c>
      <c r="H1485" s="1" t="s">
        <v>191</v>
      </c>
    </row>
    <row r="1486" spans="1:8" x14ac:dyDescent="0.3">
      <c r="A1486">
        <v>2017</v>
      </c>
      <c r="B1486" t="s">
        <v>39</v>
      </c>
      <c r="C1486" t="s">
        <v>108</v>
      </c>
      <c r="D1486" s="1" t="s">
        <v>9</v>
      </c>
      <c r="E1486">
        <v>128.80000000000001</v>
      </c>
      <c r="F1486">
        <v>133.30000000000001</v>
      </c>
      <c r="G1486">
        <v>142.19999999999999</v>
      </c>
      <c r="H1486" s="1" t="s">
        <v>188</v>
      </c>
    </row>
    <row r="1487" spans="1:8" x14ac:dyDescent="0.3">
      <c r="A1487">
        <v>2017</v>
      </c>
      <c r="B1487" t="s">
        <v>36</v>
      </c>
      <c r="C1487" t="s">
        <v>109</v>
      </c>
      <c r="D1487" s="1" t="s">
        <v>3</v>
      </c>
      <c r="E1487">
        <v>133.6</v>
      </c>
      <c r="F1487">
        <v>133.30000000000001</v>
      </c>
      <c r="G1487">
        <v>132.69999999999999</v>
      </c>
      <c r="H1487" s="1" t="s">
        <v>188</v>
      </c>
    </row>
    <row r="1488" spans="1:8" x14ac:dyDescent="0.3">
      <c r="A1488">
        <v>2017</v>
      </c>
      <c r="B1488" t="s">
        <v>36</v>
      </c>
      <c r="C1488" t="s">
        <v>109</v>
      </c>
      <c r="D1488" s="1" t="s">
        <v>17</v>
      </c>
      <c r="E1488">
        <v>141.6</v>
      </c>
      <c r="F1488">
        <v>137.30000000000001</v>
      </c>
      <c r="G1488">
        <v>130.80000000000001</v>
      </c>
      <c r="H1488" s="1" t="s">
        <v>189</v>
      </c>
    </row>
    <row r="1489" spans="1:8" x14ac:dyDescent="0.3">
      <c r="A1489">
        <v>2017</v>
      </c>
      <c r="B1489" t="s">
        <v>36</v>
      </c>
      <c r="C1489" t="s">
        <v>109</v>
      </c>
      <c r="D1489" s="1" t="s">
        <v>19</v>
      </c>
      <c r="E1489">
        <v>140.80000000000001</v>
      </c>
      <c r="F1489">
        <v>136.4</v>
      </c>
      <c r="G1489">
        <v>129.6</v>
      </c>
      <c r="H1489" s="1" t="s">
        <v>189</v>
      </c>
    </row>
    <row r="1490" spans="1:8" x14ac:dyDescent="0.3">
      <c r="A1490">
        <v>2017</v>
      </c>
      <c r="B1490" t="s">
        <v>36</v>
      </c>
      <c r="C1490" t="s">
        <v>109</v>
      </c>
      <c r="D1490" s="1" t="s">
        <v>26</v>
      </c>
      <c r="E1490">
        <v>135.19999999999999</v>
      </c>
      <c r="F1490">
        <v>133.80000000000001</v>
      </c>
      <c r="G1490">
        <v>132.80000000000001</v>
      </c>
      <c r="H1490" s="1" t="s">
        <v>26</v>
      </c>
    </row>
    <row r="1491" spans="1:8" x14ac:dyDescent="0.3">
      <c r="A1491">
        <v>2017</v>
      </c>
      <c r="B1491" t="s">
        <v>36</v>
      </c>
      <c r="C1491" t="s">
        <v>109</v>
      </c>
      <c r="D1491" s="1" t="s">
        <v>5</v>
      </c>
      <c r="E1491">
        <v>128.80000000000001</v>
      </c>
      <c r="F1491">
        <v>128.6</v>
      </c>
      <c r="G1491">
        <v>128.4</v>
      </c>
      <c r="H1491" s="1" t="s">
        <v>188</v>
      </c>
    </row>
    <row r="1492" spans="1:8" x14ac:dyDescent="0.3">
      <c r="A1492">
        <v>2017</v>
      </c>
      <c r="B1492" t="s">
        <v>36</v>
      </c>
      <c r="C1492" t="s">
        <v>109</v>
      </c>
      <c r="D1492" s="1" t="s">
        <v>15</v>
      </c>
      <c r="E1492">
        <v>133.4</v>
      </c>
      <c r="F1492">
        <v>133.1</v>
      </c>
      <c r="G1492">
        <v>132.6</v>
      </c>
      <c r="H1492" s="1" t="s">
        <v>188</v>
      </c>
    </row>
    <row r="1493" spans="1:8" x14ac:dyDescent="0.3">
      <c r="A1493">
        <v>2017</v>
      </c>
      <c r="B1493" t="s">
        <v>36</v>
      </c>
      <c r="C1493" t="s">
        <v>109</v>
      </c>
      <c r="D1493" s="1" t="s">
        <v>18</v>
      </c>
      <c r="E1493">
        <v>136.19999999999999</v>
      </c>
      <c r="F1493">
        <v>130.6</v>
      </c>
      <c r="G1493">
        <v>122.8</v>
      </c>
      <c r="H1493" s="1" t="s">
        <v>189</v>
      </c>
    </row>
    <row r="1494" spans="1:8" x14ac:dyDescent="0.3">
      <c r="A1494">
        <v>2017</v>
      </c>
      <c r="B1494" t="s">
        <v>36</v>
      </c>
      <c r="C1494" t="s">
        <v>109</v>
      </c>
      <c r="D1494" s="1" t="s">
        <v>8</v>
      </c>
      <c r="E1494">
        <v>139.69999999999999</v>
      </c>
      <c r="F1494">
        <v>138.30000000000001</v>
      </c>
      <c r="G1494">
        <v>136.80000000000001</v>
      </c>
      <c r="H1494" s="1" t="s">
        <v>188</v>
      </c>
    </row>
    <row r="1495" spans="1:8" x14ac:dyDescent="0.3">
      <c r="A1495">
        <v>2017</v>
      </c>
      <c r="B1495" t="s">
        <v>36</v>
      </c>
      <c r="C1495" t="s">
        <v>109</v>
      </c>
      <c r="D1495" s="1" t="s">
        <v>21</v>
      </c>
      <c r="E1495">
        <v>134.19999999999999</v>
      </c>
      <c r="F1495">
        <v>129.1</v>
      </c>
      <c r="G1495">
        <v>120.8</v>
      </c>
      <c r="H1495" s="1" t="s">
        <v>190</v>
      </c>
    </row>
    <row r="1496" spans="1:8" x14ac:dyDescent="0.3">
      <c r="A1496">
        <v>2017</v>
      </c>
      <c r="B1496" t="s">
        <v>36</v>
      </c>
      <c r="C1496" t="s">
        <v>109</v>
      </c>
      <c r="D1496" s="1" t="s">
        <v>29</v>
      </c>
      <c r="E1496">
        <v>132.80000000000001</v>
      </c>
      <c r="F1496">
        <v>130.9</v>
      </c>
      <c r="G1496">
        <v>128.69999999999999</v>
      </c>
      <c r="H1496" s="1" t="s">
        <v>206</v>
      </c>
    </row>
    <row r="1497" spans="1:8" x14ac:dyDescent="0.3">
      <c r="A1497">
        <v>2017</v>
      </c>
      <c r="B1497" t="s">
        <v>36</v>
      </c>
      <c r="C1497" t="s">
        <v>109</v>
      </c>
      <c r="D1497" s="1" t="s">
        <v>23</v>
      </c>
      <c r="E1497">
        <v>130.6</v>
      </c>
      <c r="F1497">
        <v>127.8</v>
      </c>
      <c r="G1497">
        <v>123.1</v>
      </c>
      <c r="H1497" s="1" t="s">
        <v>23</v>
      </c>
    </row>
    <row r="1498" spans="1:8" x14ac:dyDescent="0.3">
      <c r="A1498">
        <v>2017</v>
      </c>
      <c r="B1498" t="s">
        <v>36</v>
      </c>
      <c r="C1498" t="s">
        <v>109</v>
      </c>
      <c r="D1498" s="1" t="s">
        <v>22</v>
      </c>
      <c r="E1498">
        <v>134.1</v>
      </c>
      <c r="F1498">
        <v>130.1</v>
      </c>
      <c r="G1498">
        <v>125.6</v>
      </c>
      <c r="H1498" s="1" t="s">
        <v>20</v>
      </c>
    </row>
    <row r="1499" spans="1:8" x14ac:dyDescent="0.3">
      <c r="A1499">
        <v>2017</v>
      </c>
      <c r="B1499" t="s">
        <v>36</v>
      </c>
      <c r="C1499" t="s">
        <v>109</v>
      </c>
      <c r="D1499" s="1" t="s">
        <v>20</v>
      </c>
      <c r="E1499">
        <v>0</v>
      </c>
      <c r="F1499">
        <v>131.1</v>
      </c>
      <c r="G1499">
        <v>131.1</v>
      </c>
      <c r="H1499" s="1" t="s">
        <v>20</v>
      </c>
    </row>
    <row r="1500" spans="1:8" x14ac:dyDescent="0.3">
      <c r="A1500">
        <v>2017</v>
      </c>
      <c r="B1500" t="s">
        <v>36</v>
      </c>
      <c r="C1500" t="s">
        <v>109</v>
      </c>
      <c r="D1500" s="1" t="s">
        <v>4</v>
      </c>
      <c r="E1500">
        <v>138.80000000000001</v>
      </c>
      <c r="F1500">
        <v>139</v>
      </c>
      <c r="G1500">
        <v>139.4</v>
      </c>
      <c r="H1500" s="1" t="s">
        <v>188</v>
      </c>
    </row>
    <row r="1501" spans="1:8" x14ac:dyDescent="0.3">
      <c r="A1501">
        <v>2017</v>
      </c>
      <c r="B1501" t="s">
        <v>36</v>
      </c>
      <c r="C1501" t="s">
        <v>109</v>
      </c>
      <c r="D1501" s="1" t="s">
        <v>6</v>
      </c>
      <c r="E1501">
        <v>137.19999999999999</v>
      </c>
      <c r="F1501">
        <v>136.30000000000001</v>
      </c>
      <c r="G1501">
        <v>134.9</v>
      </c>
      <c r="H1501" s="1" t="s">
        <v>188</v>
      </c>
    </row>
    <row r="1502" spans="1:8" x14ac:dyDescent="0.3">
      <c r="A1502">
        <v>2017</v>
      </c>
      <c r="B1502" t="s">
        <v>36</v>
      </c>
      <c r="C1502" t="s">
        <v>109</v>
      </c>
      <c r="D1502" s="1" t="s">
        <v>28</v>
      </c>
      <c r="E1502">
        <v>127.4</v>
      </c>
      <c r="F1502">
        <v>125.1</v>
      </c>
      <c r="G1502">
        <v>122.6</v>
      </c>
      <c r="H1502" s="1" t="s">
        <v>192</v>
      </c>
    </row>
    <row r="1503" spans="1:8" x14ac:dyDescent="0.3">
      <c r="A1503">
        <v>2017</v>
      </c>
      <c r="B1503" t="s">
        <v>36</v>
      </c>
      <c r="C1503" t="s">
        <v>109</v>
      </c>
      <c r="D1503" s="1" t="s">
        <v>13</v>
      </c>
      <c r="E1503">
        <v>129.80000000000001</v>
      </c>
      <c r="F1503">
        <v>127.2</v>
      </c>
      <c r="G1503">
        <v>123.6</v>
      </c>
      <c r="H1503" s="1" t="s">
        <v>188</v>
      </c>
    </row>
    <row r="1504" spans="1:8" x14ac:dyDescent="0.3">
      <c r="A1504">
        <v>2017</v>
      </c>
      <c r="B1504" t="s">
        <v>36</v>
      </c>
      <c r="C1504" t="s">
        <v>109</v>
      </c>
      <c r="D1504" s="1" t="s">
        <v>7</v>
      </c>
      <c r="E1504">
        <v>121.6</v>
      </c>
      <c r="F1504">
        <v>118.8</v>
      </c>
      <c r="G1504">
        <v>114</v>
      </c>
      <c r="H1504" s="1" t="s">
        <v>188</v>
      </c>
    </row>
    <row r="1505" spans="1:8" x14ac:dyDescent="0.3">
      <c r="A1505">
        <v>2017</v>
      </c>
      <c r="B1505" t="s">
        <v>36</v>
      </c>
      <c r="C1505" t="s">
        <v>109</v>
      </c>
      <c r="D1505" s="1" t="s">
        <v>16</v>
      </c>
      <c r="E1505">
        <v>144.19999999999999</v>
      </c>
      <c r="F1505">
        <v>145.1</v>
      </c>
      <c r="G1505">
        <v>147.5</v>
      </c>
      <c r="H1505" s="1" t="s">
        <v>192</v>
      </c>
    </row>
    <row r="1506" spans="1:8" x14ac:dyDescent="0.3">
      <c r="A1506">
        <v>2017</v>
      </c>
      <c r="B1506" t="s">
        <v>36</v>
      </c>
      <c r="C1506" t="s">
        <v>109</v>
      </c>
      <c r="D1506" s="1" t="s">
        <v>27</v>
      </c>
      <c r="E1506">
        <v>123.3</v>
      </c>
      <c r="F1506">
        <v>122.6</v>
      </c>
      <c r="G1506">
        <v>121.7</v>
      </c>
      <c r="H1506" s="1" t="s">
        <v>192</v>
      </c>
    </row>
    <row r="1507" spans="1:8" x14ac:dyDescent="0.3">
      <c r="A1507">
        <v>2017</v>
      </c>
      <c r="B1507" t="s">
        <v>36</v>
      </c>
      <c r="C1507" t="s">
        <v>109</v>
      </c>
      <c r="D1507" s="1" t="s">
        <v>14</v>
      </c>
      <c r="E1507">
        <v>145.4</v>
      </c>
      <c r="F1507">
        <v>144</v>
      </c>
      <c r="G1507">
        <v>142.4</v>
      </c>
      <c r="H1507" s="1" t="s">
        <v>188</v>
      </c>
    </row>
    <row r="1508" spans="1:8" x14ac:dyDescent="0.3">
      <c r="A1508">
        <v>2017</v>
      </c>
      <c r="B1508" t="s">
        <v>36</v>
      </c>
      <c r="C1508" t="s">
        <v>109</v>
      </c>
      <c r="D1508" s="1" t="s">
        <v>10</v>
      </c>
      <c r="E1508">
        <v>148</v>
      </c>
      <c r="F1508">
        <v>143.9</v>
      </c>
      <c r="G1508">
        <v>135.80000000000001</v>
      </c>
      <c r="H1508" s="1" t="s">
        <v>188</v>
      </c>
    </row>
    <row r="1509" spans="1:8" x14ac:dyDescent="0.3">
      <c r="A1509">
        <v>2017</v>
      </c>
      <c r="B1509" t="s">
        <v>36</v>
      </c>
      <c r="C1509" t="s">
        <v>109</v>
      </c>
      <c r="D1509" s="1" t="s">
        <v>25</v>
      </c>
      <c r="E1509">
        <v>128.30000000000001</v>
      </c>
      <c r="F1509">
        <v>125</v>
      </c>
      <c r="G1509">
        <v>122.4</v>
      </c>
      <c r="H1509" s="1" t="s">
        <v>195</v>
      </c>
    </row>
    <row r="1510" spans="1:8" x14ac:dyDescent="0.3">
      <c r="A1510">
        <v>2017</v>
      </c>
      <c r="B1510" t="s">
        <v>36</v>
      </c>
      <c r="C1510" t="s">
        <v>109</v>
      </c>
      <c r="D1510" s="1" t="s">
        <v>12</v>
      </c>
      <c r="E1510">
        <v>135.6</v>
      </c>
      <c r="F1510">
        <v>137.9</v>
      </c>
      <c r="G1510">
        <v>142.6</v>
      </c>
      <c r="H1510" s="1" t="s">
        <v>188</v>
      </c>
    </row>
    <row r="1511" spans="1:8" x14ac:dyDescent="0.3">
      <c r="A1511">
        <v>2017</v>
      </c>
      <c r="B1511" t="s">
        <v>36</v>
      </c>
      <c r="C1511" t="s">
        <v>109</v>
      </c>
      <c r="D1511" s="1" t="s">
        <v>11</v>
      </c>
      <c r="E1511">
        <v>116.9</v>
      </c>
      <c r="F1511">
        <v>118</v>
      </c>
      <c r="G1511">
        <v>120.3</v>
      </c>
      <c r="H1511" s="1" t="s">
        <v>188</v>
      </c>
    </row>
    <row r="1512" spans="1:8" x14ac:dyDescent="0.3">
      <c r="A1512">
        <v>2017</v>
      </c>
      <c r="B1512" t="s">
        <v>36</v>
      </c>
      <c r="C1512" t="s">
        <v>109</v>
      </c>
      <c r="D1512" s="1" t="s">
        <v>24</v>
      </c>
      <c r="E1512">
        <v>119.8</v>
      </c>
      <c r="F1512">
        <v>117.6</v>
      </c>
      <c r="G1512">
        <v>115.6</v>
      </c>
      <c r="H1512" s="1" t="s">
        <v>191</v>
      </c>
    </row>
    <row r="1513" spans="1:8" x14ac:dyDescent="0.3">
      <c r="A1513">
        <v>2017</v>
      </c>
      <c r="B1513" t="s">
        <v>36</v>
      </c>
      <c r="C1513" t="s">
        <v>109</v>
      </c>
      <c r="D1513" s="1" t="s">
        <v>9</v>
      </c>
      <c r="E1513">
        <v>119.7</v>
      </c>
      <c r="F1513">
        <v>120.5</v>
      </c>
      <c r="G1513">
        <v>122.2</v>
      </c>
      <c r="H1513" s="1" t="s">
        <v>188</v>
      </c>
    </row>
    <row r="1514" spans="1:8" x14ac:dyDescent="0.3">
      <c r="A1514">
        <v>2017</v>
      </c>
      <c r="B1514" t="s">
        <v>38</v>
      </c>
      <c r="C1514" t="s">
        <v>110</v>
      </c>
      <c r="D1514" s="1" t="s">
        <v>3</v>
      </c>
      <c r="E1514">
        <v>133.1</v>
      </c>
      <c r="F1514">
        <v>132.9</v>
      </c>
      <c r="G1514">
        <v>132.6</v>
      </c>
      <c r="H1514" s="1" t="s">
        <v>188</v>
      </c>
    </row>
    <row r="1515" spans="1:8" x14ac:dyDescent="0.3">
      <c r="A1515">
        <v>2017</v>
      </c>
      <c r="B1515" t="s">
        <v>38</v>
      </c>
      <c r="C1515" t="s">
        <v>110</v>
      </c>
      <c r="D1515" s="1" t="s">
        <v>17</v>
      </c>
      <c r="E1515">
        <v>142.5</v>
      </c>
      <c r="F1515">
        <v>138.19999999999999</v>
      </c>
      <c r="G1515">
        <v>131.5</v>
      </c>
      <c r="H1515" s="1" t="s">
        <v>189</v>
      </c>
    </row>
    <row r="1516" spans="1:8" x14ac:dyDescent="0.3">
      <c r="A1516">
        <v>2017</v>
      </c>
      <c r="B1516" t="s">
        <v>38</v>
      </c>
      <c r="C1516" t="s">
        <v>110</v>
      </c>
      <c r="D1516" s="1" t="s">
        <v>19</v>
      </c>
      <c r="E1516">
        <v>141.80000000000001</v>
      </c>
      <c r="F1516">
        <v>137.19999999999999</v>
      </c>
      <c r="G1516">
        <v>130.19999999999999</v>
      </c>
      <c r="H1516" s="1" t="s">
        <v>189</v>
      </c>
    </row>
    <row r="1517" spans="1:8" x14ac:dyDescent="0.3">
      <c r="A1517">
        <v>2017</v>
      </c>
      <c r="B1517" t="s">
        <v>38</v>
      </c>
      <c r="C1517" t="s">
        <v>110</v>
      </c>
      <c r="D1517" s="1" t="s">
        <v>26</v>
      </c>
      <c r="E1517">
        <v>136.30000000000001</v>
      </c>
      <c r="F1517">
        <v>134.80000000000001</v>
      </c>
      <c r="G1517">
        <v>133.80000000000001</v>
      </c>
      <c r="H1517" s="1" t="s">
        <v>26</v>
      </c>
    </row>
    <row r="1518" spans="1:8" x14ac:dyDescent="0.3">
      <c r="A1518">
        <v>2017</v>
      </c>
      <c r="B1518" t="s">
        <v>38</v>
      </c>
      <c r="C1518" t="s">
        <v>110</v>
      </c>
      <c r="D1518" s="1" t="s">
        <v>5</v>
      </c>
      <c r="E1518">
        <v>126.8</v>
      </c>
      <c r="F1518">
        <v>126.3</v>
      </c>
      <c r="G1518">
        <v>125.6</v>
      </c>
      <c r="H1518" s="1" t="s">
        <v>188</v>
      </c>
    </row>
    <row r="1519" spans="1:8" x14ac:dyDescent="0.3">
      <c r="A1519">
        <v>2017</v>
      </c>
      <c r="B1519" t="s">
        <v>38</v>
      </c>
      <c r="C1519" t="s">
        <v>110</v>
      </c>
      <c r="D1519" s="1" t="s">
        <v>15</v>
      </c>
      <c r="E1519">
        <v>133.80000000000001</v>
      </c>
      <c r="F1519">
        <v>133.69999999999999</v>
      </c>
      <c r="G1519">
        <v>133.6</v>
      </c>
      <c r="H1519" s="1" t="s">
        <v>188</v>
      </c>
    </row>
    <row r="1520" spans="1:8" x14ac:dyDescent="0.3">
      <c r="A1520">
        <v>2017</v>
      </c>
      <c r="B1520" t="s">
        <v>38</v>
      </c>
      <c r="C1520" t="s">
        <v>110</v>
      </c>
      <c r="D1520" s="1" t="s">
        <v>18</v>
      </c>
      <c r="E1520">
        <v>137.30000000000001</v>
      </c>
      <c r="F1520">
        <v>131.4</v>
      </c>
      <c r="G1520">
        <v>123.2</v>
      </c>
      <c r="H1520" s="1" t="s">
        <v>189</v>
      </c>
    </row>
    <row r="1521" spans="1:8" x14ac:dyDescent="0.3">
      <c r="A1521">
        <v>2017</v>
      </c>
      <c r="B1521" t="s">
        <v>38</v>
      </c>
      <c r="C1521" t="s">
        <v>110</v>
      </c>
      <c r="D1521" s="1" t="s">
        <v>8</v>
      </c>
      <c r="E1521">
        <v>140.19999999999999</v>
      </c>
      <c r="F1521">
        <v>137.9</v>
      </c>
      <c r="G1521">
        <v>135.19999999999999</v>
      </c>
      <c r="H1521" s="1" t="s">
        <v>188</v>
      </c>
    </row>
    <row r="1522" spans="1:8" x14ac:dyDescent="0.3">
      <c r="A1522">
        <v>2017</v>
      </c>
      <c r="B1522" t="s">
        <v>38</v>
      </c>
      <c r="C1522" t="s">
        <v>110</v>
      </c>
      <c r="D1522" s="1" t="s">
        <v>21</v>
      </c>
      <c r="E1522">
        <v>135</v>
      </c>
      <c r="F1522">
        <v>129.4</v>
      </c>
      <c r="G1522">
        <v>120.1</v>
      </c>
      <c r="H1522" s="1" t="s">
        <v>190</v>
      </c>
    </row>
    <row r="1523" spans="1:8" x14ac:dyDescent="0.3">
      <c r="A1523">
        <v>2017</v>
      </c>
      <c r="B1523" t="s">
        <v>38</v>
      </c>
      <c r="C1523" t="s">
        <v>110</v>
      </c>
      <c r="D1523" s="1" t="s">
        <v>29</v>
      </c>
      <c r="E1523">
        <v>133.30000000000001</v>
      </c>
      <c r="F1523">
        <v>131.4</v>
      </c>
      <c r="G1523">
        <v>129.30000000000001</v>
      </c>
      <c r="H1523" s="1" t="s">
        <v>206</v>
      </c>
    </row>
    <row r="1524" spans="1:8" x14ac:dyDescent="0.3">
      <c r="A1524">
        <v>2017</v>
      </c>
      <c r="B1524" t="s">
        <v>38</v>
      </c>
      <c r="C1524" t="s">
        <v>110</v>
      </c>
      <c r="D1524" s="1" t="s">
        <v>23</v>
      </c>
      <c r="E1524">
        <v>131.4</v>
      </c>
      <c r="F1524">
        <v>128.4</v>
      </c>
      <c r="G1524">
        <v>123.6</v>
      </c>
      <c r="H1524" s="1" t="s">
        <v>23</v>
      </c>
    </row>
    <row r="1525" spans="1:8" x14ac:dyDescent="0.3">
      <c r="A1525">
        <v>2017</v>
      </c>
      <c r="B1525" t="s">
        <v>38</v>
      </c>
      <c r="C1525" t="s">
        <v>110</v>
      </c>
      <c r="D1525" s="1" t="s">
        <v>22</v>
      </c>
      <c r="E1525">
        <v>134.9</v>
      </c>
      <c r="F1525">
        <v>130.9</v>
      </c>
      <c r="G1525">
        <v>126.5</v>
      </c>
      <c r="H1525" s="1" t="s">
        <v>20</v>
      </c>
    </row>
    <row r="1526" spans="1:8" x14ac:dyDescent="0.3">
      <c r="A1526">
        <v>2017</v>
      </c>
      <c r="B1526" t="s">
        <v>38</v>
      </c>
      <c r="C1526" t="s">
        <v>110</v>
      </c>
      <c r="D1526" s="1" t="s">
        <v>20</v>
      </c>
      <c r="E1526">
        <v>0</v>
      </c>
      <c r="F1526">
        <v>132.1</v>
      </c>
      <c r="G1526">
        <v>132.1</v>
      </c>
      <c r="H1526" s="1" t="s">
        <v>20</v>
      </c>
    </row>
    <row r="1527" spans="1:8" x14ac:dyDescent="0.3">
      <c r="A1527">
        <v>2017</v>
      </c>
      <c r="B1527" t="s">
        <v>38</v>
      </c>
      <c r="C1527" t="s">
        <v>110</v>
      </c>
      <c r="D1527" s="1" t="s">
        <v>4</v>
      </c>
      <c r="E1527">
        <v>140.30000000000001</v>
      </c>
      <c r="F1527">
        <v>141.6</v>
      </c>
      <c r="G1527">
        <v>144.1</v>
      </c>
      <c r="H1527" s="1" t="s">
        <v>188</v>
      </c>
    </row>
    <row r="1528" spans="1:8" x14ac:dyDescent="0.3">
      <c r="A1528">
        <v>2017</v>
      </c>
      <c r="B1528" t="s">
        <v>38</v>
      </c>
      <c r="C1528" t="s">
        <v>110</v>
      </c>
      <c r="D1528" s="1" t="s">
        <v>6</v>
      </c>
      <c r="E1528">
        <v>138.19999999999999</v>
      </c>
      <c r="F1528">
        <v>137.69999999999999</v>
      </c>
      <c r="G1528">
        <v>136.80000000000001</v>
      </c>
      <c r="H1528" s="1" t="s">
        <v>188</v>
      </c>
    </row>
    <row r="1529" spans="1:8" x14ac:dyDescent="0.3">
      <c r="A1529">
        <v>2017</v>
      </c>
      <c r="B1529" t="s">
        <v>38</v>
      </c>
      <c r="C1529" t="s">
        <v>110</v>
      </c>
      <c r="D1529" s="1" t="s">
        <v>28</v>
      </c>
      <c r="E1529">
        <v>127.9</v>
      </c>
      <c r="F1529">
        <v>125.3</v>
      </c>
      <c r="G1529">
        <v>122.6</v>
      </c>
      <c r="H1529" s="1" t="s">
        <v>192</v>
      </c>
    </row>
    <row r="1530" spans="1:8" x14ac:dyDescent="0.3">
      <c r="A1530">
        <v>2017</v>
      </c>
      <c r="B1530" t="s">
        <v>38</v>
      </c>
      <c r="C1530" t="s">
        <v>110</v>
      </c>
      <c r="D1530" s="1" t="s">
        <v>13</v>
      </c>
      <c r="E1530">
        <v>130.30000000000001</v>
      </c>
      <c r="F1530">
        <v>127.6</v>
      </c>
      <c r="G1530">
        <v>123.8</v>
      </c>
      <c r="H1530" s="1" t="s">
        <v>188</v>
      </c>
    </row>
    <row r="1531" spans="1:8" x14ac:dyDescent="0.3">
      <c r="A1531">
        <v>2017</v>
      </c>
      <c r="B1531" t="s">
        <v>38</v>
      </c>
      <c r="C1531" t="s">
        <v>110</v>
      </c>
      <c r="D1531" s="1" t="s">
        <v>7</v>
      </c>
      <c r="E1531">
        <v>120.8</v>
      </c>
      <c r="F1531">
        <v>118.1</v>
      </c>
      <c r="G1531">
        <v>113.4</v>
      </c>
      <c r="H1531" s="1" t="s">
        <v>188</v>
      </c>
    </row>
    <row r="1532" spans="1:8" x14ac:dyDescent="0.3">
      <c r="A1532">
        <v>2017</v>
      </c>
      <c r="B1532" t="s">
        <v>38</v>
      </c>
      <c r="C1532" t="s">
        <v>110</v>
      </c>
      <c r="D1532" s="1" t="s">
        <v>16</v>
      </c>
      <c r="E1532">
        <v>145.5</v>
      </c>
      <c r="F1532">
        <v>146.19999999999999</v>
      </c>
      <c r="G1532">
        <v>148.30000000000001</v>
      </c>
      <c r="H1532" s="1" t="s">
        <v>192</v>
      </c>
    </row>
    <row r="1533" spans="1:8" x14ac:dyDescent="0.3">
      <c r="A1533">
        <v>2017</v>
      </c>
      <c r="B1533" t="s">
        <v>38</v>
      </c>
      <c r="C1533" t="s">
        <v>110</v>
      </c>
      <c r="D1533" s="1" t="s">
        <v>27</v>
      </c>
      <c r="E1533">
        <v>123.7</v>
      </c>
      <c r="F1533">
        <v>123</v>
      </c>
      <c r="G1533">
        <v>122</v>
      </c>
      <c r="H1533" s="1" t="s">
        <v>192</v>
      </c>
    </row>
    <row r="1534" spans="1:8" x14ac:dyDescent="0.3">
      <c r="A1534">
        <v>2017</v>
      </c>
      <c r="B1534" t="s">
        <v>38</v>
      </c>
      <c r="C1534" t="s">
        <v>110</v>
      </c>
      <c r="D1534" s="1" t="s">
        <v>14</v>
      </c>
      <c r="E1534">
        <v>145.80000000000001</v>
      </c>
      <c r="F1534">
        <v>144.5</v>
      </c>
      <c r="G1534">
        <v>142.9</v>
      </c>
      <c r="H1534" s="1" t="s">
        <v>188</v>
      </c>
    </row>
    <row r="1535" spans="1:8" x14ac:dyDescent="0.3">
      <c r="A1535">
        <v>2017</v>
      </c>
      <c r="B1535" t="s">
        <v>38</v>
      </c>
      <c r="C1535" t="s">
        <v>110</v>
      </c>
      <c r="D1535" s="1" t="s">
        <v>10</v>
      </c>
      <c r="E1535">
        <v>141.80000000000001</v>
      </c>
      <c r="F1535">
        <v>138.30000000000001</v>
      </c>
      <c r="G1535">
        <v>131.5</v>
      </c>
      <c r="H1535" s="1" t="s">
        <v>188</v>
      </c>
    </row>
    <row r="1536" spans="1:8" x14ac:dyDescent="0.3">
      <c r="A1536">
        <v>2017</v>
      </c>
      <c r="B1536" t="s">
        <v>38</v>
      </c>
      <c r="C1536" t="s">
        <v>110</v>
      </c>
      <c r="D1536" s="1" t="s">
        <v>25</v>
      </c>
      <c r="E1536">
        <v>129.4</v>
      </c>
      <c r="F1536">
        <v>125.7</v>
      </c>
      <c r="G1536">
        <v>122.8</v>
      </c>
      <c r="H1536" s="1" t="s">
        <v>195</v>
      </c>
    </row>
    <row r="1537" spans="1:8" x14ac:dyDescent="0.3">
      <c r="A1537">
        <v>2017</v>
      </c>
      <c r="B1537" t="s">
        <v>38</v>
      </c>
      <c r="C1537" t="s">
        <v>110</v>
      </c>
      <c r="D1537" s="1" t="s">
        <v>12</v>
      </c>
      <c r="E1537">
        <v>134</v>
      </c>
      <c r="F1537">
        <v>136</v>
      </c>
      <c r="G1537">
        <v>139.9</v>
      </c>
      <c r="H1537" s="1" t="s">
        <v>188</v>
      </c>
    </row>
    <row r="1538" spans="1:8" x14ac:dyDescent="0.3">
      <c r="A1538">
        <v>2017</v>
      </c>
      <c r="B1538" t="s">
        <v>38</v>
      </c>
      <c r="C1538" t="s">
        <v>110</v>
      </c>
      <c r="D1538" s="1" t="s">
        <v>11</v>
      </c>
      <c r="E1538">
        <v>118.6</v>
      </c>
      <c r="F1538">
        <v>119.4</v>
      </c>
      <c r="G1538">
        <v>121</v>
      </c>
      <c r="H1538" s="1" t="s">
        <v>188</v>
      </c>
    </row>
    <row r="1539" spans="1:8" x14ac:dyDescent="0.3">
      <c r="A1539">
        <v>2017</v>
      </c>
      <c r="B1539" t="s">
        <v>38</v>
      </c>
      <c r="C1539" t="s">
        <v>110</v>
      </c>
      <c r="D1539" s="1" t="s">
        <v>24</v>
      </c>
      <c r="E1539">
        <v>119.4</v>
      </c>
      <c r="F1539">
        <v>116.7</v>
      </c>
      <c r="G1539">
        <v>114.3</v>
      </c>
      <c r="H1539" s="1" t="s">
        <v>191</v>
      </c>
    </row>
    <row r="1540" spans="1:8" x14ac:dyDescent="0.3">
      <c r="A1540">
        <v>2017</v>
      </c>
      <c r="B1540" t="s">
        <v>38</v>
      </c>
      <c r="C1540" t="s">
        <v>110</v>
      </c>
      <c r="D1540" s="1" t="s">
        <v>9</v>
      </c>
      <c r="E1540">
        <v>123.8</v>
      </c>
      <c r="F1540">
        <v>125.6</v>
      </c>
      <c r="G1540">
        <v>129.19999999999999</v>
      </c>
      <c r="H1540" s="1" t="s">
        <v>188</v>
      </c>
    </row>
    <row r="1541" spans="1:8" x14ac:dyDescent="0.3">
      <c r="A1541">
        <v>2017</v>
      </c>
      <c r="B1541" t="s">
        <v>44</v>
      </c>
      <c r="C1541" t="s">
        <v>111</v>
      </c>
      <c r="D1541" s="1" t="s">
        <v>3</v>
      </c>
      <c r="E1541">
        <v>136.30000000000001</v>
      </c>
      <c r="F1541">
        <v>135.69999999999999</v>
      </c>
      <c r="G1541">
        <v>134.30000000000001</v>
      </c>
      <c r="H1541" s="1" t="s">
        <v>188</v>
      </c>
    </row>
    <row r="1542" spans="1:8" x14ac:dyDescent="0.3">
      <c r="A1542">
        <v>2017</v>
      </c>
      <c r="B1542" t="s">
        <v>44</v>
      </c>
      <c r="C1542" t="s">
        <v>111</v>
      </c>
      <c r="D1542" s="1" t="s">
        <v>17</v>
      </c>
      <c r="E1542">
        <v>148.19999999999999</v>
      </c>
      <c r="F1542">
        <v>143</v>
      </c>
      <c r="G1542">
        <v>135</v>
      </c>
      <c r="H1542" s="1" t="s">
        <v>189</v>
      </c>
    </row>
    <row r="1543" spans="1:8" x14ac:dyDescent="0.3">
      <c r="A1543">
        <v>2017</v>
      </c>
      <c r="B1543" t="s">
        <v>44</v>
      </c>
      <c r="C1543" t="s">
        <v>111</v>
      </c>
      <c r="D1543" s="1" t="s">
        <v>19</v>
      </c>
      <c r="E1543">
        <v>147.30000000000001</v>
      </c>
      <c r="F1543">
        <v>141.80000000000001</v>
      </c>
      <c r="G1543">
        <v>133.5</v>
      </c>
      <c r="H1543" s="1" t="s">
        <v>189</v>
      </c>
    </row>
    <row r="1544" spans="1:8" x14ac:dyDescent="0.3">
      <c r="A1544">
        <v>2017</v>
      </c>
      <c r="B1544" t="s">
        <v>44</v>
      </c>
      <c r="C1544" t="s">
        <v>111</v>
      </c>
      <c r="D1544" s="1" t="s">
        <v>26</v>
      </c>
      <c r="E1544">
        <v>141.5</v>
      </c>
      <c r="F1544">
        <v>138.6</v>
      </c>
      <c r="G1544">
        <v>136.6</v>
      </c>
      <c r="H1544" s="1" t="s">
        <v>26</v>
      </c>
    </row>
    <row r="1545" spans="1:8" x14ac:dyDescent="0.3">
      <c r="A1545">
        <v>2017</v>
      </c>
      <c r="B1545" t="s">
        <v>44</v>
      </c>
      <c r="C1545" t="s">
        <v>111</v>
      </c>
      <c r="D1545" s="1" t="s">
        <v>5</v>
      </c>
      <c r="E1545">
        <v>140.5</v>
      </c>
      <c r="F1545">
        <v>142.9</v>
      </c>
      <c r="G1545">
        <v>146.69999999999999</v>
      </c>
      <c r="H1545" s="1" t="s">
        <v>188</v>
      </c>
    </row>
    <row r="1546" spans="1:8" x14ac:dyDescent="0.3">
      <c r="A1546">
        <v>2017</v>
      </c>
      <c r="B1546" t="s">
        <v>44</v>
      </c>
      <c r="C1546" t="s">
        <v>111</v>
      </c>
      <c r="D1546" s="1" t="s">
        <v>15</v>
      </c>
      <c r="E1546">
        <v>142.4</v>
      </c>
      <c r="F1546">
        <v>142.1</v>
      </c>
      <c r="G1546">
        <v>141.5</v>
      </c>
      <c r="H1546" s="1" t="s">
        <v>188</v>
      </c>
    </row>
    <row r="1547" spans="1:8" x14ac:dyDescent="0.3">
      <c r="A1547">
        <v>2017</v>
      </c>
      <c r="B1547" t="s">
        <v>44</v>
      </c>
      <c r="C1547" t="s">
        <v>111</v>
      </c>
      <c r="D1547" s="1" t="s">
        <v>18</v>
      </c>
      <c r="E1547">
        <v>141.5</v>
      </c>
      <c r="F1547">
        <v>134.80000000000001</v>
      </c>
      <c r="G1547">
        <v>125.4</v>
      </c>
      <c r="H1547" s="1" t="s">
        <v>189</v>
      </c>
    </row>
    <row r="1548" spans="1:8" x14ac:dyDescent="0.3">
      <c r="A1548">
        <v>2017</v>
      </c>
      <c r="B1548" t="s">
        <v>44</v>
      </c>
      <c r="C1548" t="s">
        <v>111</v>
      </c>
      <c r="D1548" s="1" t="s">
        <v>8</v>
      </c>
      <c r="E1548">
        <v>147.30000000000001</v>
      </c>
      <c r="F1548">
        <v>142.19999999999999</v>
      </c>
      <c r="G1548">
        <v>136.4</v>
      </c>
      <c r="H1548" s="1" t="s">
        <v>188</v>
      </c>
    </row>
    <row r="1549" spans="1:8" x14ac:dyDescent="0.3">
      <c r="A1549">
        <v>2017</v>
      </c>
      <c r="B1549" t="s">
        <v>44</v>
      </c>
      <c r="C1549" t="s">
        <v>111</v>
      </c>
      <c r="D1549" s="1" t="s">
        <v>21</v>
      </c>
      <c r="E1549">
        <v>141.1</v>
      </c>
      <c r="F1549">
        <v>135.30000000000001</v>
      </c>
      <c r="G1549">
        <v>125.7</v>
      </c>
      <c r="H1549" s="1" t="s">
        <v>190</v>
      </c>
    </row>
    <row r="1550" spans="1:8" x14ac:dyDescent="0.3">
      <c r="A1550">
        <v>2017</v>
      </c>
      <c r="B1550" t="s">
        <v>44</v>
      </c>
      <c r="C1550" t="s">
        <v>111</v>
      </c>
      <c r="D1550" s="1" t="s">
        <v>29</v>
      </c>
      <c r="E1550">
        <v>140</v>
      </c>
      <c r="F1550">
        <v>137.6</v>
      </c>
      <c r="G1550">
        <v>134.80000000000001</v>
      </c>
      <c r="H1550" s="1" t="s">
        <v>206</v>
      </c>
    </row>
    <row r="1551" spans="1:8" x14ac:dyDescent="0.3">
      <c r="A1551">
        <v>2017</v>
      </c>
      <c r="B1551" t="s">
        <v>44</v>
      </c>
      <c r="C1551" t="s">
        <v>111</v>
      </c>
      <c r="D1551" s="1" t="s">
        <v>23</v>
      </c>
      <c r="E1551">
        <v>135.80000000000001</v>
      </c>
      <c r="F1551">
        <v>132.6</v>
      </c>
      <c r="G1551">
        <v>127.4</v>
      </c>
      <c r="H1551" s="1" t="s">
        <v>23</v>
      </c>
    </row>
    <row r="1552" spans="1:8" x14ac:dyDescent="0.3">
      <c r="A1552">
        <v>2017</v>
      </c>
      <c r="B1552" t="s">
        <v>44</v>
      </c>
      <c r="C1552" t="s">
        <v>111</v>
      </c>
      <c r="D1552" s="1" t="s">
        <v>22</v>
      </c>
      <c r="E1552">
        <v>139.4</v>
      </c>
      <c r="F1552">
        <v>134.4</v>
      </c>
      <c r="G1552">
        <v>128.80000000000001</v>
      </c>
      <c r="H1552" s="1" t="s">
        <v>20</v>
      </c>
    </row>
    <row r="1553" spans="1:8" x14ac:dyDescent="0.3">
      <c r="A1553">
        <v>2017</v>
      </c>
      <c r="B1553" t="s">
        <v>44</v>
      </c>
      <c r="C1553" t="s">
        <v>111</v>
      </c>
      <c r="D1553" s="1" t="s">
        <v>20</v>
      </c>
      <c r="E1553">
        <v>0</v>
      </c>
      <c r="F1553">
        <v>138.6</v>
      </c>
      <c r="G1553">
        <v>138.6</v>
      </c>
      <c r="H1553" s="1" t="s">
        <v>20</v>
      </c>
    </row>
    <row r="1554" spans="1:8" x14ac:dyDescent="0.3">
      <c r="A1554">
        <v>2017</v>
      </c>
      <c r="B1554" t="s">
        <v>44</v>
      </c>
      <c r="C1554" t="s">
        <v>111</v>
      </c>
      <c r="D1554" s="1" t="s">
        <v>4</v>
      </c>
      <c r="E1554">
        <v>142.5</v>
      </c>
      <c r="F1554">
        <v>142.4</v>
      </c>
      <c r="G1554">
        <v>142.1</v>
      </c>
      <c r="H1554" s="1" t="s">
        <v>188</v>
      </c>
    </row>
    <row r="1555" spans="1:8" x14ac:dyDescent="0.3">
      <c r="A1555">
        <v>2017</v>
      </c>
      <c r="B1555" t="s">
        <v>44</v>
      </c>
      <c r="C1555" t="s">
        <v>111</v>
      </c>
      <c r="D1555" s="1" t="s">
        <v>6</v>
      </c>
      <c r="E1555">
        <v>141.5</v>
      </c>
      <c r="F1555">
        <v>140.80000000000001</v>
      </c>
      <c r="G1555">
        <v>139.5</v>
      </c>
      <c r="H1555" s="1" t="s">
        <v>188</v>
      </c>
    </row>
    <row r="1556" spans="1:8" x14ac:dyDescent="0.3">
      <c r="A1556">
        <v>2017</v>
      </c>
      <c r="B1556" t="s">
        <v>44</v>
      </c>
      <c r="C1556" t="s">
        <v>111</v>
      </c>
      <c r="D1556" s="1" t="s">
        <v>28</v>
      </c>
      <c r="E1556">
        <v>131.69999999999999</v>
      </c>
      <c r="F1556">
        <v>128.4</v>
      </c>
      <c r="G1556">
        <v>124.9</v>
      </c>
      <c r="H1556" s="1" t="s">
        <v>192</v>
      </c>
    </row>
    <row r="1557" spans="1:8" x14ac:dyDescent="0.3">
      <c r="A1557">
        <v>2017</v>
      </c>
      <c r="B1557" t="s">
        <v>44</v>
      </c>
      <c r="C1557" t="s">
        <v>111</v>
      </c>
      <c r="D1557" s="1" t="s">
        <v>13</v>
      </c>
      <c r="E1557">
        <v>131.9</v>
      </c>
      <c r="F1557">
        <v>129.19999999999999</v>
      </c>
      <c r="G1557">
        <v>125.4</v>
      </c>
      <c r="H1557" s="1" t="s">
        <v>188</v>
      </c>
    </row>
    <row r="1558" spans="1:8" x14ac:dyDescent="0.3">
      <c r="A1558">
        <v>2017</v>
      </c>
      <c r="B1558" t="s">
        <v>44</v>
      </c>
      <c r="C1558" t="s">
        <v>111</v>
      </c>
      <c r="D1558" s="1" t="s">
        <v>7</v>
      </c>
      <c r="E1558">
        <v>121.6</v>
      </c>
      <c r="F1558">
        <v>119.2</v>
      </c>
      <c r="G1558">
        <v>115.2</v>
      </c>
      <c r="H1558" s="1" t="s">
        <v>188</v>
      </c>
    </row>
    <row r="1559" spans="1:8" x14ac:dyDescent="0.3">
      <c r="A1559">
        <v>2017</v>
      </c>
      <c r="B1559" t="s">
        <v>44</v>
      </c>
      <c r="C1559" t="s">
        <v>111</v>
      </c>
      <c r="D1559" s="1" t="s">
        <v>16</v>
      </c>
      <c r="E1559">
        <v>152.1</v>
      </c>
      <c r="F1559">
        <v>153.19999999999999</v>
      </c>
      <c r="G1559">
        <v>156.19999999999999</v>
      </c>
      <c r="H1559" s="1" t="s">
        <v>192</v>
      </c>
    </row>
    <row r="1560" spans="1:8" x14ac:dyDescent="0.3">
      <c r="A1560">
        <v>2017</v>
      </c>
      <c r="B1560" t="s">
        <v>44</v>
      </c>
      <c r="C1560" t="s">
        <v>111</v>
      </c>
      <c r="D1560" s="1" t="s">
        <v>27</v>
      </c>
      <c r="E1560">
        <v>128.1</v>
      </c>
      <c r="F1560">
        <v>126.8</v>
      </c>
      <c r="G1560">
        <v>124.9</v>
      </c>
      <c r="H1560" s="1" t="s">
        <v>192</v>
      </c>
    </row>
    <row r="1561" spans="1:8" x14ac:dyDescent="0.3">
      <c r="A1561">
        <v>2017</v>
      </c>
      <c r="B1561" t="s">
        <v>44</v>
      </c>
      <c r="C1561" t="s">
        <v>111</v>
      </c>
      <c r="D1561" s="1" t="s">
        <v>14</v>
      </c>
      <c r="E1561">
        <v>151.4</v>
      </c>
      <c r="F1561">
        <v>148.9</v>
      </c>
      <c r="G1561">
        <v>146</v>
      </c>
      <c r="H1561" s="1" t="s">
        <v>188</v>
      </c>
    </row>
    <row r="1562" spans="1:8" x14ac:dyDescent="0.3">
      <c r="A1562">
        <v>2017</v>
      </c>
      <c r="B1562" t="s">
        <v>44</v>
      </c>
      <c r="C1562" t="s">
        <v>111</v>
      </c>
      <c r="D1562" s="1" t="s">
        <v>10</v>
      </c>
      <c r="E1562">
        <v>135.80000000000001</v>
      </c>
      <c r="F1562">
        <v>131.19999999999999</v>
      </c>
      <c r="G1562">
        <v>122.2</v>
      </c>
      <c r="H1562" s="1" t="s">
        <v>188</v>
      </c>
    </row>
    <row r="1563" spans="1:8" x14ac:dyDescent="0.3">
      <c r="A1563">
        <v>2017</v>
      </c>
      <c r="B1563" t="s">
        <v>44</v>
      </c>
      <c r="C1563" t="s">
        <v>111</v>
      </c>
      <c r="D1563" s="1" t="s">
        <v>25</v>
      </c>
      <c r="E1563">
        <v>133.69999999999999</v>
      </c>
      <c r="F1563">
        <v>128.9</v>
      </c>
      <c r="G1563">
        <v>125.1</v>
      </c>
      <c r="H1563" s="1" t="s">
        <v>195</v>
      </c>
    </row>
    <row r="1564" spans="1:8" x14ac:dyDescent="0.3">
      <c r="A1564">
        <v>2017</v>
      </c>
      <c r="B1564" t="s">
        <v>44</v>
      </c>
      <c r="C1564" t="s">
        <v>111</v>
      </c>
      <c r="D1564" s="1" t="s">
        <v>12</v>
      </c>
      <c r="E1564">
        <v>136</v>
      </c>
      <c r="F1564">
        <v>136.80000000000001</v>
      </c>
      <c r="G1564">
        <v>138.30000000000001</v>
      </c>
      <c r="H1564" s="1" t="s">
        <v>188</v>
      </c>
    </row>
    <row r="1565" spans="1:8" x14ac:dyDescent="0.3">
      <c r="A1565">
        <v>2017</v>
      </c>
      <c r="B1565" t="s">
        <v>44</v>
      </c>
      <c r="C1565" t="s">
        <v>111</v>
      </c>
      <c r="D1565" s="1" t="s">
        <v>11</v>
      </c>
      <c r="E1565">
        <v>122.5</v>
      </c>
      <c r="F1565">
        <v>123</v>
      </c>
      <c r="G1565">
        <v>123.9</v>
      </c>
      <c r="H1565" s="1" t="s">
        <v>188</v>
      </c>
    </row>
    <row r="1566" spans="1:8" x14ac:dyDescent="0.3">
      <c r="A1566">
        <v>2017</v>
      </c>
      <c r="B1566" t="s">
        <v>44</v>
      </c>
      <c r="C1566" t="s">
        <v>111</v>
      </c>
      <c r="D1566" s="1" t="s">
        <v>24</v>
      </c>
      <c r="E1566">
        <v>121.6</v>
      </c>
      <c r="F1566">
        <v>118.3</v>
      </c>
      <c r="G1566">
        <v>115.3</v>
      </c>
      <c r="H1566" s="1" t="s">
        <v>191</v>
      </c>
    </row>
    <row r="1567" spans="1:8" x14ac:dyDescent="0.3">
      <c r="A1567">
        <v>2017</v>
      </c>
      <c r="B1567" t="s">
        <v>44</v>
      </c>
      <c r="C1567" t="s">
        <v>111</v>
      </c>
      <c r="D1567" s="1" t="s">
        <v>9</v>
      </c>
      <c r="E1567">
        <v>168</v>
      </c>
      <c r="F1567">
        <v>173.8</v>
      </c>
      <c r="G1567">
        <v>185.2</v>
      </c>
      <c r="H1567" s="1" t="s">
        <v>188</v>
      </c>
    </row>
    <row r="1568" spans="1:8" x14ac:dyDescent="0.3">
      <c r="A1568">
        <v>2017</v>
      </c>
      <c r="B1568" t="s">
        <v>43</v>
      </c>
      <c r="C1568" t="s">
        <v>112</v>
      </c>
      <c r="D1568" s="1" t="s">
        <v>3</v>
      </c>
      <c r="E1568">
        <v>135.9</v>
      </c>
      <c r="F1568">
        <v>135.30000000000001</v>
      </c>
      <c r="G1568">
        <v>133.9</v>
      </c>
      <c r="H1568" s="1" t="s">
        <v>188</v>
      </c>
    </row>
    <row r="1569" spans="1:8" x14ac:dyDescent="0.3">
      <c r="A1569">
        <v>2017</v>
      </c>
      <c r="B1569" t="s">
        <v>43</v>
      </c>
      <c r="C1569" t="s">
        <v>112</v>
      </c>
      <c r="D1569" s="1" t="s">
        <v>17</v>
      </c>
      <c r="E1569">
        <v>147.19999999999999</v>
      </c>
      <c r="F1569">
        <v>142</v>
      </c>
      <c r="G1569">
        <v>134</v>
      </c>
      <c r="H1569" s="1" t="s">
        <v>189</v>
      </c>
    </row>
    <row r="1570" spans="1:8" x14ac:dyDescent="0.3">
      <c r="A1570">
        <v>2017</v>
      </c>
      <c r="B1570" t="s">
        <v>43</v>
      </c>
      <c r="C1570" t="s">
        <v>112</v>
      </c>
      <c r="D1570" s="1" t="s">
        <v>19</v>
      </c>
      <c r="E1570">
        <v>146.19999999999999</v>
      </c>
      <c r="F1570">
        <v>140.80000000000001</v>
      </c>
      <c r="G1570">
        <v>132.6</v>
      </c>
      <c r="H1570" s="1" t="s">
        <v>189</v>
      </c>
    </row>
    <row r="1571" spans="1:8" x14ac:dyDescent="0.3">
      <c r="A1571">
        <v>2017</v>
      </c>
      <c r="B1571" t="s">
        <v>43</v>
      </c>
      <c r="C1571" t="s">
        <v>112</v>
      </c>
      <c r="D1571" s="1" t="s">
        <v>26</v>
      </c>
      <c r="E1571">
        <v>140.1</v>
      </c>
      <c r="F1571">
        <v>137.9</v>
      </c>
      <c r="G1571">
        <v>136.30000000000001</v>
      </c>
      <c r="H1571" s="1" t="s">
        <v>26</v>
      </c>
    </row>
    <row r="1572" spans="1:8" x14ac:dyDescent="0.3">
      <c r="A1572">
        <v>2017</v>
      </c>
      <c r="B1572" t="s">
        <v>43</v>
      </c>
      <c r="C1572" t="s">
        <v>112</v>
      </c>
      <c r="D1572" s="1" t="s">
        <v>5</v>
      </c>
      <c r="E1572">
        <v>131</v>
      </c>
      <c r="F1572">
        <v>131.19999999999999</v>
      </c>
      <c r="G1572">
        <v>131.4</v>
      </c>
      <c r="H1572" s="1" t="s">
        <v>188</v>
      </c>
    </row>
    <row r="1573" spans="1:8" x14ac:dyDescent="0.3">
      <c r="A1573">
        <v>2017</v>
      </c>
      <c r="B1573" t="s">
        <v>43</v>
      </c>
      <c r="C1573" t="s">
        <v>112</v>
      </c>
      <c r="D1573" s="1" t="s">
        <v>15</v>
      </c>
      <c r="E1573">
        <v>140.4</v>
      </c>
      <c r="F1573">
        <v>140.1</v>
      </c>
      <c r="G1573">
        <v>139.69999999999999</v>
      </c>
      <c r="H1573" s="1" t="s">
        <v>188</v>
      </c>
    </row>
    <row r="1574" spans="1:8" x14ac:dyDescent="0.3">
      <c r="A1574">
        <v>2017</v>
      </c>
      <c r="B1574" t="s">
        <v>43</v>
      </c>
      <c r="C1574" t="s">
        <v>112</v>
      </c>
      <c r="D1574" s="1" t="s">
        <v>18</v>
      </c>
      <c r="E1574">
        <v>140.6</v>
      </c>
      <c r="F1574">
        <v>134.1</v>
      </c>
      <c r="G1574">
        <v>124.9</v>
      </c>
      <c r="H1574" s="1" t="s">
        <v>189</v>
      </c>
    </row>
    <row r="1575" spans="1:8" x14ac:dyDescent="0.3">
      <c r="A1575">
        <v>2017</v>
      </c>
      <c r="B1575" t="s">
        <v>43</v>
      </c>
      <c r="C1575" t="s">
        <v>112</v>
      </c>
      <c r="D1575" s="1" t="s">
        <v>8</v>
      </c>
      <c r="E1575">
        <v>146.69999999999999</v>
      </c>
      <c r="F1575">
        <v>141.5</v>
      </c>
      <c r="G1575">
        <v>135.6</v>
      </c>
      <c r="H1575" s="1" t="s">
        <v>188</v>
      </c>
    </row>
    <row r="1576" spans="1:8" x14ac:dyDescent="0.3">
      <c r="A1576">
        <v>2017</v>
      </c>
      <c r="B1576" t="s">
        <v>43</v>
      </c>
      <c r="C1576" t="s">
        <v>112</v>
      </c>
      <c r="D1576" s="1" t="s">
        <v>21</v>
      </c>
      <c r="E1576">
        <v>138.1</v>
      </c>
      <c r="F1576">
        <v>132.19999999999999</v>
      </c>
      <c r="G1576">
        <v>122.6</v>
      </c>
      <c r="H1576" s="1" t="s">
        <v>190</v>
      </c>
    </row>
    <row r="1577" spans="1:8" x14ac:dyDescent="0.3">
      <c r="A1577">
        <v>2017</v>
      </c>
      <c r="B1577" t="s">
        <v>43</v>
      </c>
      <c r="C1577" t="s">
        <v>112</v>
      </c>
      <c r="D1577" s="1" t="s">
        <v>29</v>
      </c>
      <c r="E1577">
        <v>138.30000000000001</v>
      </c>
      <c r="F1577">
        <v>136.1</v>
      </c>
      <c r="G1577">
        <v>133.5</v>
      </c>
      <c r="H1577" s="1" t="s">
        <v>206</v>
      </c>
    </row>
    <row r="1578" spans="1:8" x14ac:dyDescent="0.3">
      <c r="A1578">
        <v>2017</v>
      </c>
      <c r="B1578" t="s">
        <v>43</v>
      </c>
      <c r="C1578" t="s">
        <v>112</v>
      </c>
      <c r="D1578" s="1" t="s">
        <v>23</v>
      </c>
      <c r="E1578">
        <v>134.19999999999999</v>
      </c>
      <c r="F1578">
        <v>131.30000000000001</v>
      </c>
      <c r="G1578">
        <v>126.6</v>
      </c>
      <c r="H1578" s="1" t="s">
        <v>23</v>
      </c>
    </row>
    <row r="1579" spans="1:8" x14ac:dyDescent="0.3">
      <c r="A1579">
        <v>2017</v>
      </c>
      <c r="B1579" t="s">
        <v>43</v>
      </c>
      <c r="C1579" t="s">
        <v>112</v>
      </c>
      <c r="D1579" s="1" t="s">
        <v>22</v>
      </c>
      <c r="E1579">
        <v>138.4</v>
      </c>
      <c r="F1579">
        <v>133.6</v>
      </c>
      <c r="G1579">
        <v>128.30000000000001</v>
      </c>
      <c r="H1579" s="1" t="s">
        <v>20</v>
      </c>
    </row>
    <row r="1580" spans="1:8" x14ac:dyDescent="0.3">
      <c r="A1580">
        <v>2017</v>
      </c>
      <c r="B1580" t="s">
        <v>43</v>
      </c>
      <c r="C1580" t="s">
        <v>112</v>
      </c>
      <c r="D1580" s="1" t="s">
        <v>20</v>
      </c>
      <c r="E1580">
        <v>0</v>
      </c>
      <c r="F1580">
        <v>137.30000000000001</v>
      </c>
      <c r="G1580">
        <v>137.30000000000001</v>
      </c>
      <c r="H1580" s="1" t="s">
        <v>20</v>
      </c>
    </row>
    <row r="1581" spans="1:8" x14ac:dyDescent="0.3">
      <c r="A1581">
        <v>2017</v>
      </c>
      <c r="B1581" t="s">
        <v>43</v>
      </c>
      <c r="C1581" t="s">
        <v>112</v>
      </c>
      <c r="D1581" s="1" t="s">
        <v>4</v>
      </c>
      <c r="E1581">
        <v>141.9</v>
      </c>
      <c r="F1581">
        <v>142.19999999999999</v>
      </c>
      <c r="G1581">
        <v>142.80000000000001</v>
      </c>
      <c r="H1581" s="1" t="s">
        <v>188</v>
      </c>
    </row>
    <row r="1582" spans="1:8" x14ac:dyDescent="0.3">
      <c r="A1582">
        <v>2017</v>
      </c>
      <c r="B1582" t="s">
        <v>43</v>
      </c>
      <c r="C1582" t="s">
        <v>112</v>
      </c>
      <c r="D1582" s="1" t="s">
        <v>6</v>
      </c>
      <c r="E1582">
        <v>141.5</v>
      </c>
      <c r="F1582">
        <v>140.6</v>
      </c>
      <c r="G1582">
        <v>139.1</v>
      </c>
      <c r="H1582" s="1" t="s">
        <v>188</v>
      </c>
    </row>
    <row r="1583" spans="1:8" x14ac:dyDescent="0.3">
      <c r="A1583">
        <v>2017</v>
      </c>
      <c r="B1583" t="s">
        <v>43</v>
      </c>
      <c r="C1583" t="s">
        <v>112</v>
      </c>
      <c r="D1583" s="1" t="s">
        <v>28</v>
      </c>
      <c r="E1583">
        <v>130.69999999999999</v>
      </c>
      <c r="F1583">
        <v>127.7</v>
      </c>
      <c r="G1583">
        <v>124.5</v>
      </c>
      <c r="H1583" s="1" t="s">
        <v>192</v>
      </c>
    </row>
    <row r="1584" spans="1:8" x14ac:dyDescent="0.3">
      <c r="A1584">
        <v>2017</v>
      </c>
      <c r="B1584" t="s">
        <v>43</v>
      </c>
      <c r="C1584" t="s">
        <v>112</v>
      </c>
      <c r="D1584" s="1" t="s">
        <v>13</v>
      </c>
      <c r="E1584">
        <v>131.30000000000001</v>
      </c>
      <c r="F1584">
        <v>128.69999999999999</v>
      </c>
      <c r="G1584">
        <v>125.1</v>
      </c>
      <c r="H1584" s="1" t="s">
        <v>188</v>
      </c>
    </row>
    <row r="1585" spans="1:8" x14ac:dyDescent="0.3">
      <c r="A1585">
        <v>2017</v>
      </c>
      <c r="B1585" t="s">
        <v>43</v>
      </c>
      <c r="C1585" t="s">
        <v>112</v>
      </c>
      <c r="D1585" s="1" t="s">
        <v>7</v>
      </c>
      <c r="E1585">
        <v>121.4</v>
      </c>
      <c r="F1585">
        <v>119</v>
      </c>
      <c r="G1585">
        <v>114.9</v>
      </c>
      <c r="H1585" s="1" t="s">
        <v>188</v>
      </c>
    </row>
    <row r="1586" spans="1:8" x14ac:dyDescent="0.3">
      <c r="A1586">
        <v>2017</v>
      </c>
      <c r="B1586" t="s">
        <v>43</v>
      </c>
      <c r="C1586" t="s">
        <v>112</v>
      </c>
      <c r="D1586" s="1" t="s">
        <v>16</v>
      </c>
      <c r="E1586">
        <v>150.5</v>
      </c>
      <c r="F1586">
        <v>151.6</v>
      </c>
      <c r="G1586">
        <v>154.6</v>
      </c>
      <c r="H1586" s="1" t="s">
        <v>192</v>
      </c>
    </row>
    <row r="1587" spans="1:8" x14ac:dyDescent="0.3">
      <c r="A1587">
        <v>2017</v>
      </c>
      <c r="B1587" t="s">
        <v>43</v>
      </c>
      <c r="C1587" t="s">
        <v>112</v>
      </c>
      <c r="D1587" s="1" t="s">
        <v>27</v>
      </c>
      <c r="E1587">
        <v>127.4</v>
      </c>
      <c r="F1587">
        <v>126.2</v>
      </c>
      <c r="G1587">
        <v>124.6</v>
      </c>
      <c r="H1587" s="1" t="s">
        <v>192</v>
      </c>
    </row>
    <row r="1588" spans="1:8" x14ac:dyDescent="0.3">
      <c r="A1588">
        <v>2017</v>
      </c>
      <c r="B1588" t="s">
        <v>43</v>
      </c>
      <c r="C1588" t="s">
        <v>112</v>
      </c>
      <c r="D1588" s="1" t="s">
        <v>14</v>
      </c>
      <c r="E1588">
        <v>150.30000000000001</v>
      </c>
      <c r="F1588">
        <v>148.1</v>
      </c>
      <c r="G1588">
        <v>145.5</v>
      </c>
      <c r="H1588" s="1" t="s">
        <v>188</v>
      </c>
    </row>
    <row r="1589" spans="1:8" x14ac:dyDescent="0.3">
      <c r="A1589">
        <v>2017</v>
      </c>
      <c r="B1589" t="s">
        <v>43</v>
      </c>
      <c r="C1589" t="s">
        <v>112</v>
      </c>
      <c r="D1589" s="1" t="s">
        <v>10</v>
      </c>
      <c r="E1589">
        <v>136.4</v>
      </c>
      <c r="F1589">
        <v>132.30000000000001</v>
      </c>
      <c r="G1589">
        <v>124.1</v>
      </c>
      <c r="H1589" s="1" t="s">
        <v>188</v>
      </c>
    </row>
    <row r="1590" spans="1:8" x14ac:dyDescent="0.3">
      <c r="A1590">
        <v>2017</v>
      </c>
      <c r="B1590" t="s">
        <v>43</v>
      </c>
      <c r="C1590" t="s">
        <v>112</v>
      </c>
      <c r="D1590" s="1" t="s">
        <v>25</v>
      </c>
      <c r="E1590">
        <v>133</v>
      </c>
      <c r="F1590">
        <v>128.4</v>
      </c>
      <c r="G1590">
        <v>124.8</v>
      </c>
      <c r="H1590" s="1" t="s">
        <v>195</v>
      </c>
    </row>
    <row r="1591" spans="1:8" x14ac:dyDescent="0.3">
      <c r="A1591">
        <v>2017</v>
      </c>
      <c r="B1591" t="s">
        <v>43</v>
      </c>
      <c r="C1591" t="s">
        <v>112</v>
      </c>
      <c r="D1591" s="1" t="s">
        <v>12</v>
      </c>
      <c r="E1591">
        <v>135.6</v>
      </c>
      <c r="F1591">
        <v>136.30000000000001</v>
      </c>
      <c r="G1591">
        <v>137.80000000000001</v>
      </c>
      <c r="H1591" s="1" t="s">
        <v>188</v>
      </c>
    </row>
    <row r="1592" spans="1:8" x14ac:dyDescent="0.3">
      <c r="A1592">
        <v>2017</v>
      </c>
      <c r="B1592" t="s">
        <v>43</v>
      </c>
      <c r="C1592" t="s">
        <v>112</v>
      </c>
      <c r="D1592" s="1" t="s">
        <v>11</v>
      </c>
      <c r="E1592">
        <v>121.4</v>
      </c>
      <c r="F1592">
        <v>121.8</v>
      </c>
      <c r="G1592">
        <v>122.6</v>
      </c>
      <c r="H1592" s="1" t="s">
        <v>188</v>
      </c>
    </row>
    <row r="1593" spans="1:8" x14ac:dyDescent="0.3">
      <c r="A1593">
        <v>2017</v>
      </c>
      <c r="B1593" t="s">
        <v>43</v>
      </c>
      <c r="C1593" t="s">
        <v>112</v>
      </c>
      <c r="D1593" s="1" t="s">
        <v>24</v>
      </c>
      <c r="E1593">
        <v>121</v>
      </c>
      <c r="F1593">
        <v>117.8</v>
      </c>
      <c r="G1593">
        <v>115</v>
      </c>
      <c r="H1593" s="1" t="s">
        <v>191</v>
      </c>
    </row>
    <row r="1594" spans="1:8" x14ac:dyDescent="0.3">
      <c r="A1594">
        <v>2017</v>
      </c>
      <c r="B1594" t="s">
        <v>43</v>
      </c>
      <c r="C1594" t="s">
        <v>112</v>
      </c>
      <c r="D1594" s="1" t="s">
        <v>9</v>
      </c>
      <c r="E1594">
        <v>157.1</v>
      </c>
      <c r="F1594">
        <v>162.6</v>
      </c>
      <c r="G1594">
        <v>173.2</v>
      </c>
      <c r="H1594" s="1" t="s">
        <v>188</v>
      </c>
    </row>
    <row r="1595" spans="1:8" x14ac:dyDescent="0.3">
      <c r="A1595">
        <v>2017</v>
      </c>
      <c r="B1595" t="s">
        <v>42</v>
      </c>
      <c r="C1595" t="s">
        <v>113</v>
      </c>
      <c r="D1595" s="1" t="s">
        <v>3</v>
      </c>
      <c r="E1595">
        <v>135.19999999999999</v>
      </c>
      <c r="F1595">
        <v>134.69999999999999</v>
      </c>
      <c r="G1595">
        <v>133.6</v>
      </c>
      <c r="H1595" s="1" t="s">
        <v>188</v>
      </c>
    </row>
    <row r="1596" spans="1:8" x14ac:dyDescent="0.3">
      <c r="A1596">
        <v>2017</v>
      </c>
      <c r="B1596" t="s">
        <v>42</v>
      </c>
      <c r="C1596" t="s">
        <v>113</v>
      </c>
      <c r="D1596" s="1" t="s">
        <v>17</v>
      </c>
      <c r="E1596">
        <v>146.1</v>
      </c>
      <c r="F1596">
        <v>141.1</v>
      </c>
      <c r="G1596">
        <v>133.30000000000001</v>
      </c>
      <c r="H1596" s="1" t="s">
        <v>189</v>
      </c>
    </row>
    <row r="1597" spans="1:8" x14ac:dyDescent="0.3">
      <c r="A1597">
        <v>2017</v>
      </c>
      <c r="B1597" t="s">
        <v>42</v>
      </c>
      <c r="C1597" t="s">
        <v>113</v>
      </c>
      <c r="D1597" s="1" t="s">
        <v>19</v>
      </c>
      <c r="E1597">
        <v>145.19999999999999</v>
      </c>
      <c r="F1597">
        <v>140</v>
      </c>
      <c r="G1597">
        <v>132</v>
      </c>
      <c r="H1597" s="1" t="s">
        <v>189</v>
      </c>
    </row>
    <row r="1598" spans="1:8" x14ac:dyDescent="0.3">
      <c r="A1598">
        <v>2017</v>
      </c>
      <c r="B1598" t="s">
        <v>42</v>
      </c>
      <c r="C1598" t="s">
        <v>113</v>
      </c>
      <c r="D1598" s="1" t="s">
        <v>26</v>
      </c>
      <c r="E1598">
        <v>139.6</v>
      </c>
      <c r="F1598">
        <v>137.4</v>
      </c>
      <c r="G1598">
        <v>135.9</v>
      </c>
      <c r="H1598" s="1" t="s">
        <v>26</v>
      </c>
    </row>
    <row r="1599" spans="1:8" x14ac:dyDescent="0.3">
      <c r="A1599">
        <v>2017</v>
      </c>
      <c r="B1599" t="s">
        <v>42</v>
      </c>
      <c r="C1599" t="s">
        <v>113</v>
      </c>
      <c r="D1599" s="1" t="s">
        <v>5</v>
      </c>
      <c r="E1599">
        <v>130.5</v>
      </c>
      <c r="F1599">
        <v>130.19999999999999</v>
      </c>
      <c r="G1599">
        <v>129.69999999999999</v>
      </c>
      <c r="H1599" s="1" t="s">
        <v>188</v>
      </c>
    </row>
    <row r="1600" spans="1:8" x14ac:dyDescent="0.3">
      <c r="A1600">
        <v>2017</v>
      </c>
      <c r="B1600" t="s">
        <v>42</v>
      </c>
      <c r="C1600" t="s">
        <v>113</v>
      </c>
      <c r="D1600" s="1" t="s">
        <v>15</v>
      </c>
      <c r="E1600">
        <v>139.6</v>
      </c>
      <c r="F1600">
        <v>139</v>
      </c>
      <c r="G1600">
        <v>138</v>
      </c>
      <c r="H1600" s="1" t="s">
        <v>188</v>
      </c>
    </row>
    <row r="1601" spans="1:8" x14ac:dyDescent="0.3">
      <c r="A1601">
        <v>2017</v>
      </c>
      <c r="B1601" t="s">
        <v>42</v>
      </c>
      <c r="C1601" t="s">
        <v>113</v>
      </c>
      <c r="D1601" s="1" t="s">
        <v>18</v>
      </c>
      <c r="E1601">
        <v>139.69999999999999</v>
      </c>
      <c r="F1601">
        <v>133.4</v>
      </c>
      <c r="G1601">
        <v>124.6</v>
      </c>
      <c r="H1601" s="1" t="s">
        <v>189</v>
      </c>
    </row>
    <row r="1602" spans="1:8" x14ac:dyDescent="0.3">
      <c r="A1602">
        <v>2017</v>
      </c>
      <c r="B1602" t="s">
        <v>42</v>
      </c>
      <c r="C1602" t="s">
        <v>113</v>
      </c>
      <c r="D1602" s="1" t="s">
        <v>8</v>
      </c>
      <c r="E1602">
        <v>147.80000000000001</v>
      </c>
      <c r="F1602">
        <v>143</v>
      </c>
      <c r="G1602">
        <v>137.5</v>
      </c>
      <c r="H1602" s="1" t="s">
        <v>188</v>
      </c>
    </row>
    <row r="1603" spans="1:8" x14ac:dyDescent="0.3">
      <c r="A1603">
        <v>2017</v>
      </c>
      <c r="B1603" t="s">
        <v>42</v>
      </c>
      <c r="C1603" t="s">
        <v>113</v>
      </c>
      <c r="D1603" s="1" t="s">
        <v>21</v>
      </c>
      <c r="E1603">
        <v>137.4</v>
      </c>
      <c r="F1603">
        <v>131</v>
      </c>
      <c r="G1603">
        <v>120.6</v>
      </c>
      <c r="H1603" s="1" t="s">
        <v>190</v>
      </c>
    </row>
    <row r="1604" spans="1:8" x14ac:dyDescent="0.3">
      <c r="A1604">
        <v>2017</v>
      </c>
      <c r="B1604" t="s">
        <v>42</v>
      </c>
      <c r="C1604" t="s">
        <v>113</v>
      </c>
      <c r="D1604" s="1" t="s">
        <v>29</v>
      </c>
      <c r="E1604">
        <v>137.6</v>
      </c>
      <c r="F1604">
        <v>135.19999999999999</v>
      </c>
      <c r="G1604">
        <v>132.4</v>
      </c>
      <c r="H1604" s="1" t="s">
        <v>206</v>
      </c>
    </row>
    <row r="1605" spans="1:8" x14ac:dyDescent="0.3">
      <c r="A1605">
        <v>2017</v>
      </c>
      <c r="B1605" t="s">
        <v>42</v>
      </c>
      <c r="C1605" t="s">
        <v>113</v>
      </c>
      <c r="D1605" s="1" t="s">
        <v>23</v>
      </c>
      <c r="E1605">
        <v>133.4</v>
      </c>
      <c r="F1605">
        <v>130.6</v>
      </c>
      <c r="G1605">
        <v>126.1</v>
      </c>
      <c r="H1605" s="1" t="s">
        <v>23</v>
      </c>
    </row>
    <row r="1606" spans="1:8" x14ac:dyDescent="0.3">
      <c r="A1606">
        <v>2017</v>
      </c>
      <c r="B1606" t="s">
        <v>42</v>
      </c>
      <c r="C1606" t="s">
        <v>113</v>
      </c>
      <c r="D1606" s="1" t="s">
        <v>22</v>
      </c>
      <c r="E1606">
        <v>137.9</v>
      </c>
      <c r="F1606">
        <v>133.30000000000001</v>
      </c>
      <c r="G1606">
        <v>128.1</v>
      </c>
      <c r="H1606" s="1" t="s">
        <v>20</v>
      </c>
    </row>
    <row r="1607" spans="1:8" x14ac:dyDescent="0.3">
      <c r="A1607">
        <v>2017</v>
      </c>
      <c r="B1607" t="s">
        <v>42</v>
      </c>
      <c r="C1607" t="s">
        <v>113</v>
      </c>
      <c r="D1607" s="1" t="s">
        <v>20</v>
      </c>
      <c r="E1607">
        <v>0</v>
      </c>
      <c r="F1607">
        <v>135.69999999999999</v>
      </c>
      <c r="G1607">
        <v>135.69999999999999</v>
      </c>
      <c r="H1607" s="1" t="s">
        <v>20</v>
      </c>
    </row>
    <row r="1608" spans="1:8" x14ac:dyDescent="0.3">
      <c r="A1608">
        <v>2017</v>
      </c>
      <c r="B1608" t="s">
        <v>42</v>
      </c>
      <c r="C1608" t="s">
        <v>113</v>
      </c>
      <c r="D1608" s="1" t="s">
        <v>4</v>
      </c>
      <c r="E1608">
        <v>142</v>
      </c>
      <c r="F1608">
        <v>142.4</v>
      </c>
      <c r="G1608">
        <v>143</v>
      </c>
      <c r="H1608" s="1" t="s">
        <v>188</v>
      </c>
    </row>
    <row r="1609" spans="1:8" x14ac:dyDescent="0.3">
      <c r="A1609">
        <v>2017</v>
      </c>
      <c r="B1609" t="s">
        <v>42</v>
      </c>
      <c r="C1609" t="s">
        <v>113</v>
      </c>
      <c r="D1609" s="1" t="s">
        <v>6</v>
      </c>
      <c r="E1609">
        <v>140.19999999999999</v>
      </c>
      <c r="F1609">
        <v>139.6</v>
      </c>
      <c r="G1609">
        <v>138.69999999999999</v>
      </c>
      <c r="H1609" s="1" t="s">
        <v>188</v>
      </c>
    </row>
    <row r="1610" spans="1:8" x14ac:dyDescent="0.3">
      <c r="A1610">
        <v>2017</v>
      </c>
      <c r="B1610" t="s">
        <v>42</v>
      </c>
      <c r="C1610" t="s">
        <v>113</v>
      </c>
      <c r="D1610" s="1" t="s">
        <v>28</v>
      </c>
      <c r="E1610">
        <v>130.30000000000001</v>
      </c>
      <c r="F1610">
        <v>127.5</v>
      </c>
      <c r="G1610">
        <v>124.5</v>
      </c>
      <c r="H1610" s="1" t="s">
        <v>192</v>
      </c>
    </row>
    <row r="1611" spans="1:8" x14ac:dyDescent="0.3">
      <c r="A1611">
        <v>2017</v>
      </c>
      <c r="B1611" t="s">
        <v>42</v>
      </c>
      <c r="C1611" t="s">
        <v>113</v>
      </c>
      <c r="D1611" s="1" t="s">
        <v>13</v>
      </c>
      <c r="E1611">
        <v>131.69999999999999</v>
      </c>
      <c r="F1611">
        <v>128.80000000000001</v>
      </c>
      <c r="G1611">
        <v>124.8</v>
      </c>
      <c r="H1611" s="1" t="s">
        <v>188</v>
      </c>
    </row>
    <row r="1612" spans="1:8" x14ac:dyDescent="0.3">
      <c r="A1612">
        <v>2017</v>
      </c>
      <c r="B1612" t="s">
        <v>42</v>
      </c>
      <c r="C1612" t="s">
        <v>113</v>
      </c>
      <c r="D1612" s="1" t="s">
        <v>7</v>
      </c>
      <c r="E1612">
        <v>120.7</v>
      </c>
      <c r="F1612">
        <v>118.4</v>
      </c>
      <c r="G1612">
        <v>114.5</v>
      </c>
      <c r="H1612" s="1" t="s">
        <v>188</v>
      </c>
    </row>
    <row r="1613" spans="1:8" x14ac:dyDescent="0.3">
      <c r="A1613">
        <v>2017</v>
      </c>
      <c r="B1613" t="s">
        <v>42</v>
      </c>
      <c r="C1613" t="s">
        <v>113</v>
      </c>
      <c r="D1613" s="1" t="s">
        <v>16</v>
      </c>
      <c r="E1613">
        <v>149.80000000000001</v>
      </c>
      <c r="F1613">
        <v>150.80000000000001</v>
      </c>
      <c r="G1613">
        <v>153.6</v>
      </c>
      <c r="H1613" s="1" t="s">
        <v>192</v>
      </c>
    </row>
    <row r="1614" spans="1:8" x14ac:dyDescent="0.3">
      <c r="A1614">
        <v>2017</v>
      </c>
      <c r="B1614" t="s">
        <v>42</v>
      </c>
      <c r="C1614" t="s">
        <v>113</v>
      </c>
      <c r="D1614" s="1" t="s">
        <v>27</v>
      </c>
      <c r="E1614">
        <v>126.7</v>
      </c>
      <c r="F1614">
        <v>125.7</v>
      </c>
      <c r="G1614">
        <v>124.4</v>
      </c>
      <c r="H1614" s="1" t="s">
        <v>192</v>
      </c>
    </row>
    <row r="1615" spans="1:8" x14ac:dyDescent="0.3">
      <c r="A1615">
        <v>2017</v>
      </c>
      <c r="B1615" t="s">
        <v>42</v>
      </c>
      <c r="C1615" t="s">
        <v>113</v>
      </c>
      <c r="D1615" s="1" t="s">
        <v>14</v>
      </c>
      <c r="E1615">
        <v>149.30000000000001</v>
      </c>
      <c r="F1615">
        <v>147.30000000000001</v>
      </c>
      <c r="G1615">
        <v>145</v>
      </c>
      <c r="H1615" s="1" t="s">
        <v>188</v>
      </c>
    </row>
    <row r="1616" spans="1:8" x14ac:dyDescent="0.3">
      <c r="A1616">
        <v>2017</v>
      </c>
      <c r="B1616" t="s">
        <v>42</v>
      </c>
      <c r="C1616" t="s">
        <v>113</v>
      </c>
      <c r="D1616" s="1" t="s">
        <v>10</v>
      </c>
      <c r="E1616">
        <v>137.1</v>
      </c>
      <c r="F1616">
        <v>132.9</v>
      </c>
      <c r="G1616">
        <v>124.5</v>
      </c>
      <c r="H1616" s="1" t="s">
        <v>188</v>
      </c>
    </row>
    <row r="1617" spans="1:8" x14ac:dyDescent="0.3">
      <c r="A1617">
        <v>2017</v>
      </c>
      <c r="B1617" t="s">
        <v>42</v>
      </c>
      <c r="C1617" t="s">
        <v>113</v>
      </c>
      <c r="D1617" s="1" t="s">
        <v>25</v>
      </c>
      <c r="E1617">
        <v>132.30000000000001</v>
      </c>
      <c r="F1617">
        <v>127.9</v>
      </c>
      <c r="G1617">
        <v>124.5</v>
      </c>
      <c r="H1617" s="1" t="s">
        <v>195</v>
      </c>
    </row>
    <row r="1618" spans="1:8" x14ac:dyDescent="0.3">
      <c r="A1618">
        <v>2017</v>
      </c>
      <c r="B1618" t="s">
        <v>42</v>
      </c>
      <c r="C1618" t="s">
        <v>113</v>
      </c>
      <c r="D1618" s="1" t="s">
        <v>12</v>
      </c>
      <c r="E1618">
        <v>134.69999999999999</v>
      </c>
      <c r="F1618">
        <v>135.6</v>
      </c>
      <c r="G1618">
        <v>137.30000000000001</v>
      </c>
      <c r="H1618" s="1" t="s">
        <v>188</v>
      </c>
    </row>
    <row r="1619" spans="1:8" x14ac:dyDescent="0.3">
      <c r="A1619">
        <v>2017</v>
      </c>
      <c r="B1619" t="s">
        <v>42</v>
      </c>
      <c r="C1619" t="s">
        <v>113</v>
      </c>
      <c r="D1619" s="1" t="s">
        <v>11</v>
      </c>
      <c r="E1619">
        <v>121</v>
      </c>
      <c r="F1619">
        <v>121.5</v>
      </c>
      <c r="G1619">
        <v>122.4</v>
      </c>
      <c r="H1619" s="1" t="s">
        <v>188</v>
      </c>
    </row>
    <row r="1620" spans="1:8" x14ac:dyDescent="0.3">
      <c r="A1620">
        <v>2017</v>
      </c>
      <c r="B1620" t="s">
        <v>42</v>
      </c>
      <c r="C1620" t="s">
        <v>113</v>
      </c>
      <c r="D1620" s="1" t="s">
        <v>24</v>
      </c>
      <c r="E1620">
        <v>121.2</v>
      </c>
      <c r="F1620">
        <v>118.3</v>
      </c>
      <c r="G1620">
        <v>115.7</v>
      </c>
      <c r="H1620" s="1" t="s">
        <v>191</v>
      </c>
    </row>
    <row r="1621" spans="1:8" x14ac:dyDescent="0.3">
      <c r="A1621">
        <v>2017</v>
      </c>
      <c r="B1621" t="s">
        <v>42</v>
      </c>
      <c r="C1621" t="s">
        <v>113</v>
      </c>
      <c r="D1621" s="1" t="s">
        <v>9</v>
      </c>
      <c r="E1621">
        <v>154.5</v>
      </c>
      <c r="F1621">
        <v>156.6</v>
      </c>
      <c r="G1621">
        <v>160.69999999999999</v>
      </c>
      <c r="H1621" s="1" t="s">
        <v>188</v>
      </c>
    </row>
    <row r="1622" spans="1:8" x14ac:dyDescent="0.3">
      <c r="A1622">
        <v>2018</v>
      </c>
      <c r="B1622" t="s">
        <v>37</v>
      </c>
      <c r="C1622" t="s">
        <v>114</v>
      </c>
      <c r="D1622" s="1" t="s">
        <v>3</v>
      </c>
      <c r="E1622">
        <v>137.1</v>
      </c>
      <c r="F1622">
        <v>136.4</v>
      </c>
      <c r="G1622">
        <v>135</v>
      </c>
      <c r="H1622" s="1" t="s">
        <v>188</v>
      </c>
    </row>
    <row r="1623" spans="1:8" x14ac:dyDescent="0.3">
      <c r="A1623">
        <v>2018</v>
      </c>
      <c r="B1623" t="s">
        <v>37</v>
      </c>
      <c r="C1623" t="s">
        <v>114</v>
      </c>
      <c r="D1623" s="1" t="s">
        <v>17</v>
      </c>
      <c r="E1623">
        <v>150.1</v>
      </c>
      <c r="F1623">
        <v>145.30000000000001</v>
      </c>
      <c r="G1623">
        <v>137.80000000000001</v>
      </c>
      <c r="H1623" s="1" t="s">
        <v>189</v>
      </c>
    </row>
    <row r="1624" spans="1:8" x14ac:dyDescent="0.3">
      <c r="A1624">
        <v>2018</v>
      </c>
      <c r="B1624" t="s">
        <v>37</v>
      </c>
      <c r="C1624" t="s">
        <v>114</v>
      </c>
      <c r="D1624" s="1" t="s">
        <v>19</v>
      </c>
      <c r="E1624">
        <v>149.1</v>
      </c>
      <c r="F1624">
        <v>144</v>
      </c>
      <c r="G1624">
        <v>136.19999999999999</v>
      </c>
      <c r="H1624" s="1" t="s">
        <v>189</v>
      </c>
    </row>
    <row r="1625" spans="1:8" x14ac:dyDescent="0.3">
      <c r="A1625">
        <v>2018</v>
      </c>
      <c r="B1625" t="s">
        <v>37</v>
      </c>
      <c r="C1625" t="s">
        <v>114</v>
      </c>
      <c r="D1625" s="1" t="s">
        <v>26</v>
      </c>
      <c r="E1625">
        <v>143.69999999999999</v>
      </c>
      <c r="F1625">
        <v>141.4</v>
      </c>
      <c r="G1625">
        <v>139.69999999999999</v>
      </c>
      <c r="H1625" s="1" t="s">
        <v>26</v>
      </c>
    </row>
    <row r="1626" spans="1:8" x14ac:dyDescent="0.3">
      <c r="A1626">
        <v>2018</v>
      </c>
      <c r="B1626" t="s">
        <v>37</v>
      </c>
      <c r="C1626" t="s">
        <v>114</v>
      </c>
      <c r="D1626" s="1" t="s">
        <v>5</v>
      </c>
      <c r="E1626">
        <v>135.9</v>
      </c>
      <c r="F1626">
        <v>133.9</v>
      </c>
      <c r="G1626">
        <v>130.80000000000001</v>
      </c>
      <c r="H1626" s="1" t="s">
        <v>188</v>
      </c>
    </row>
    <row r="1627" spans="1:8" x14ac:dyDescent="0.3">
      <c r="A1627">
        <v>2018</v>
      </c>
      <c r="B1627" t="s">
        <v>37</v>
      </c>
      <c r="C1627" t="s">
        <v>114</v>
      </c>
      <c r="D1627" s="1" t="s">
        <v>15</v>
      </c>
      <c r="E1627">
        <v>138.6</v>
      </c>
      <c r="F1627">
        <v>137.5</v>
      </c>
      <c r="G1627">
        <v>135.69999999999999</v>
      </c>
      <c r="H1627" s="1" t="s">
        <v>188</v>
      </c>
    </row>
    <row r="1628" spans="1:8" x14ac:dyDescent="0.3">
      <c r="A1628">
        <v>2018</v>
      </c>
      <c r="B1628" t="s">
        <v>37</v>
      </c>
      <c r="C1628" t="s">
        <v>114</v>
      </c>
      <c r="D1628" s="1" t="s">
        <v>18</v>
      </c>
      <c r="E1628">
        <v>143.30000000000001</v>
      </c>
      <c r="F1628">
        <v>136.69999999999999</v>
      </c>
      <c r="G1628">
        <v>127.4</v>
      </c>
      <c r="H1628" s="1" t="s">
        <v>189</v>
      </c>
    </row>
    <row r="1629" spans="1:8" x14ac:dyDescent="0.3">
      <c r="A1629">
        <v>2018</v>
      </c>
      <c r="B1629" t="s">
        <v>37</v>
      </c>
      <c r="C1629" t="s">
        <v>114</v>
      </c>
      <c r="D1629" s="1" t="s">
        <v>8</v>
      </c>
      <c r="E1629">
        <v>156.4</v>
      </c>
      <c r="F1629">
        <v>153.5</v>
      </c>
      <c r="G1629">
        <v>150.1</v>
      </c>
      <c r="H1629" s="1" t="s">
        <v>188</v>
      </c>
    </row>
    <row r="1630" spans="1:8" x14ac:dyDescent="0.3">
      <c r="A1630">
        <v>2018</v>
      </c>
      <c r="B1630" t="s">
        <v>37</v>
      </c>
      <c r="C1630" t="s">
        <v>114</v>
      </c>
      <c r="D1630" s="1" t="s">
        <v>21</v>
      </c>
      <c r="E1630">
        <v>143.80000000000001</v>
      </c>
      <c r="F1630">
        <v>136.5</v>
      </c>
      <c r="G1630">
        <v>124.6</v>
      </c>
      <c r="H1630" s="1" t="s">
        <v>190</v>
      </c>
    </row>
    <row r="1631" spans="1:8" x14ac:dyDescent="0.3">
      <c r="A1631">
        <v>2018</v>
      </c>
      <c r="B1631" t="s">
        <v>37</v>
      </c>
      <c r="C1631" t="s">
        <v>114</v>
      </c>
      <c r="D1631" s="1" t="s">
        <v>29</v>
      </c>
      <c r="E1631">
        <v>139.1</v>
      </c>
      <c r="F1631">
        <v>137.1</v>
      </c>
      <c r="G1631">
        <v>134.80000000000001</v>
      </c>
      <c r="H1631" s="1" t="s">
        <v>206</v>
      </c>
    </row>
    <row r="1632" spans="1:8" x14ac:dyDescent="0.3">
      <c r="A1632">
        <v>2018</v>
      </c>
      <c r="B1632" t="s">
        <v>37</v>
      </c>
      <c r="C1632" t="s">
        <v>114</v>
      </c>
      <c r="D1632" s="1" t="s">
        <v>23</v>
      </c>
      <c r="E1632">
        <v>137.6</v>
      </c>
      <c r="F1632">
        <v>135.19999999999999</v>
      </c>
      <c r="G1632">
        <v>131.30000000000001</v>
      </c>
      <c r="H1632" s="1" t="s">
        <v>23</v>
      </c>
    </row>
    <row r="1633" spans="1:8" x14ac:dyDescent="0.3">
      <c r="A1633">
        <v>2018</v>
      </c>
      <c r="B1633" t="s">
        <v>37</v>
      </c>
      <c r="C1633" t="s">
        <v>114</v>
      </c>
      <c r="D1633" s="1" t="s">
        <v>22</v>
      </c>
      <c r="E1633">
        <v>140.9</v>
      </c>
      <c r="F1633">
        <v>136.6</v>
      </c>
      <c r="G1633">
        <v>131.80000000000001</v>
      </c>
      <c r="H1633" s="1" t="s">
        <v>20</v>
      </c>
    </row>
    <row r="1634" spans="1:8" x14ac:dyDescent="0.3">
      <c r="A1634">
        <v>2018</v>
      </c>
      <c r="B1634" t="s">
        <v>37</v>
      </c>
      <c r="C1634" t="s">
        <v>114</v>
      </c>
      <c r="D1634" s="1" t="s">
        <v>20</v>
      </c>
      <c r="E1634">
        <v>0</v>
      </c>
      <c r="F1634">
        <v>142.9</v>
      </c>
      <c r="G1634">
        <v>142.9</v>
      </c>
      <c r="H1634" s="1" t="s">
        <v>20</v>
      </c>
    </row>
    <row r="1635" spans="1:8" x14ac:dyDescent="0.3">
      <c r="A1635">
        <v>2018</v>
      </c>
      <c r="B1635" t="s">
        <v>37</v>
      </c>
      <c r="C1635" t="s">
        <v>114</v>
      </c>
      <c r="D1635" s="1" t="s">
        <v>4</v>
      </c>
      <c r="E1635">
        <v>144.5</v>
      </c>
      <c r="F1635">
        <v>144.4</v>
      </c>
      <c r="G1635">
        <v>144.30000000000001</v>
      </c>
      <c r="H1635" s="1" t="s">
        <v>188</v>
      </c>
    </row>
    <row r="1636" spans="1:8" x14ac:dyDescent="0.3">
      <c r="A1636">
        <v>2018</v>
      </c>
      <c r="B1636" t="s">
        <v>37</v>
      </c>
      <c r="C1636" t="s">
        <v>114</v>
      </c>
      <c r="D1636" s="1" t="s">
        <v>6</v>
      </c>
      <c r="E1636">
        <v>142.4</v>
      </c>
      <c r="F1636">
        <v>141.6</v>
      </c>
      <c r="G1636">
        <v>140.30000000000001</v>
      </c>
      <c r="H1636" s="1" t="s">
        <v>188</v>
      </c>
    </row>
    <row r="1637" spans="1:8" x14ac:dyDescent="0.3">
      <c r="A1637">
        <v>2018</v>
      </c>
      <c r="B1637" t="s">
        <v>37</v>
      </c>
      <c r="C1637" t="s">
        <v>114</v>
      </c>
      <c r="D1637" s="1" t="s">
        <v>28</v>
      </c>
      <c r="E1637">
        <v>134.19999999999999</v>
      </c>
      <c r="F1637">
        <v>131.30000000000001</v>
      </c>
      <c r="G1637">
        <v>128.19999999999999</v>
      </c>
      <c r="H1637" s="1" t="s">
        <v>192</v>
      </c>
    </row>
    <row r="1638" spans="1:8" x14ac:dyDescent="0.3">
      <c r="A1638">
        <v>2018</v>
      </c>
      <c r="B1638" t="s">
        <v>37</v>
      </c>
      <c r="C1638" t="s">
        <v>114</v>
      </c>
      <c r="D1638" s="1" t="s">
        <v>13</v>
      </c>
      <c r="E1638">
        <v>131.9</v>
      </c>
      <c r="F1638">
        <v>129.6</v>
      </c>
      <c r="G1638">
        <v>126.5</v>
      </c>
      <c r="H1638" s="1" t="s">
        <v>188</v>
      </c>
    </row>
    <row r="1639" spans="1:8" x14ac:dyDescent="0.3">
      <c r="A1639">
        <v>2018</v>
      </c>
      <c r="B1639" t="s">
        <v>37</v>
      </c>
      <c r="C1639" t="s">
        <v>114</v>
      </c>
      <c r="D1639" s="1" t="s">
        <v>7</v>
      </c>
      <c r="E1639">
        <v>123.5</v>
      </c>
      <c r="F1639">
        <v>121</v>
      </c>
      <c r="G1639">
        <v>116.6</v>
      </c>
      <c r="H1639" s="1" t="s">
        <v>188</v>
      </c>
    </row>
    <row r="1640" spans="1:8" x14ac:dyDescent="0.3">
      <c r="A1640">
        <v>2018</v>
      </c>
      <c r="B1640" t="s">
        <v>37</v>
      </c>
      <c r="C1640" t="s">
        <v>114</v>
      </c>
      <c r="D1640" s="1" t="s">
        <v>16</v>
      </c>
      <c r="E1640">
        <v>156.1</v>
      </c>
      <c r="F1640">
        <v>156.9</v>
      </c>
      <c r="G1640">
        <v>159.19999999999999</v>
      </c>
      <c r="H1640" s="1" t="s">
        <v>192</v>
      </c>
    </row>
    <row r="1641" spans="1:8" x14ac:dyDescent="0.3">
      <c r="A1641">
        <v>2018</v>
      </c>
      <c r="B1641" t="s">
        <v>37</v>
      </c>
      <c r="C1641" t="s">
        <v>114</v>
      </c>
      <c r="D1641" s="1" t="s">
        <v>27</v>
      </c>
      <c r="E1641">
        <v>130.4</v>
      </c>
      <c r="F1641">
        <v>129.19999999999999</v>
      </c>
      <c r="G1641">
        <v>127.6</v>
      </c>
      <c r="H1641" s="1" t="s">
        <v>192</v>
      </c>
    </row>
    <row r="1642" spans="1:8" x14ac:dyDescent="0.3">
      <c r="A1642">
        <v>2018</v>
      </c>
      <c r="B1642" t="s">
        <v>37</v>
      </c>
      <c r="C1642" t="s">
        <v>114</v>
      </c>
      <c r="D1642" s="1" t="s">
        <v>14</v>
      </c>
      <c r="E1642">
        <v>153.80000000000001</v>
      </c>
      <c r="F1642">
        <v>151.19999999999999</v>
      </c>
      <c r="G1642">
        <v>148.30000000000001</v>
      </c>
      <c r="H1642" s="1" t="s">
        <v>188</v>
      </c>
    </row>
    <row r="1643" spans="1:8" x14ac:dyDescent="0.3">
      <c r="A1643">
        <v>2018</v>
      </c>
      <c r="B1643" t="s">
        <v>37</v>
      </c>
      <c r="C1643" t="s">
        <v>114</v>
      </c>
      <c r="D1643" s="1" t="s">
        <v>10</v>
      </c>
      <c r="E1643">
        <v>128.4</v>
      </c>
      <c r="F1643">
        <v>123.5</v>
      </c>
      <c r="G1643">
        <v>114</v>
      </c>
      <c r="H1643" s="1" t="s">
        <v>188</v>
      </c>
    </row>
    <row r="1644" spans="1:8" x14ac:dyDescent="0.3">
      <c r="A1644">
        <v>2018</v>
      </c>
      <c r="B1644" t="s">
        <v>37</v>
      </c>
      <c r="C1644" t="s">
        <v>114</v>
      </c>
      <c r="D1644" s="1" t="s">
        <v>25</v>
      </c>
      <c r="E1644">
        <v>136</v>
      </c>
      <c r="F1644">
        <v>131.30000000000001</v>
      </c>
      <c r="G1644">
        <v>127.6</v>
      </c>
      <c r="H1644" s="1" t="s">
        <v>195</v>
      </c>
    </row>
    <row r="1645" spans="1:8" x14ac:dyDescent="0.3">
      <c r="A1645">
        <v>2018</v>
      </c>
      <c r="B1645" t="s">
        <v>37</v>
      </c>
      <c r="C1645" t="s">
        <v>114</v>
      </c>
      <c r="D1645" s="1" t="s">
        <v>12</v>
      </c>
      <c r="E1645">
        <v>137.19999999999999</v>
      </c>
      <c r="F1645">
        <v>138.19999999999999</v>
      </c>
      <c r="G1645">
        <v>140.19999999999999</v>
      </c>
      <c r="H1645" s="1" t="s">
        <v>188</v>
      </c>
    </row>
    <row r="1646" spans="1:8" x14ac:dyDescent="0.3">
      <c r="A1646">
        <v>2018</v>
      </c>
      <c r="B1646" t="s">
        <v>37</v>
      </c>
      <c r="C1646" t="s">
        <v>114</v>
      </c>
      <c r="D1646" s="1" t="s">
        <v>11</v>
      </c>
      <c r="E1646">
        <v>115.2</v>
      </c>
      <c r="F1646">
        <v>113.7</v>
      </c>
      <c r="G1646">
        <v>110.6</v>
      </c>
      <c r="H1646" s="1" t="s">
        <v>188</v>
      </c>
    </row>
    <row r="1647" spans="1:8" x14ac:dyDescent="0.3">
      <c r="A1647">
        <v>2018</v>
      </c>
      <c r="B1647" t="s">
        <v>37</v>
      </c>
      <c r="C1647" t="s">
        <v>114</v>
      </c>
      <c r="D1647" s="1" t="s">
        <v>24</v>
      </c>
      <c r="E1647">
        <v>125.3</v>
      </c>
      <c r="F1647">
        <v>121.9</v>
      </c>
      <c r="G1647">
        <v>118.9</v>
      </c>
      <c r="H1647" s="1" t="s">
        <v>191</v>
      </c>
    </row>
    <row r="1648" spans="1:8" x14ac:dyDescent="0.3">
      <c r="A1648">
        <v>2018</v>
      </c>
      <c r="B1648" t="s">
        <v>37</v>
      </c>
      <c r="C1648" t="s">
        <v>114</v>
      </c>
      <c r="D1648" s="1" t="s">
        <v>9</v>
      </c>
      <c r="E1648">
        <v>135.1</v>
      </c>
      <c r="F1648">
        <v>132.6</v>
      </c>
      <c r="G1648">
        <v>127.6</v>
      </c>
      <c r="H1648" s="1" t="s">
        <v>188</v>
      </c>
    </row>
    <row r="1649" spans="1:8" x14ac:dyDescent="0.3">
      <c r="A1649">
        <v>2018</v>
      </c>
      <c r="B1649" t="s">
        <v>41</v>
      </c>
      <c r="C1649" t="s">
        <v>115</v>
      </c>
      <c r="D1649" s="1" t="s">
        <v>3</v>
      </c>
      <c r="E1649">
        <v>139.19999999999999</v>
      </c>
      <c r="F1649">
        <v>138.30000000000001</v>
      </c>
      <c r="G1649">
        <v>136.5</v>
      </c>
      <c r="H1649" s="1" t="s">
        <v>188</v>
      </c>
    </row>
    <row r="1650" spans="1:8" x14ac:dyDescent="0.3">
      <c r="A1650">
        <v>2018</v>
      </c>
      <c r="B1650" t="s">
        <v>41</v>
      </c>
      <c r="C1650" t="s">
        <v>115</v>
      </c>
      <c r="D1650" s="1" t="s">
        <v>17</v>
      </c>
      <c r="E1650">
        <v>152.1</v>
      </c>
      <c r="F1650">
        <v>147.30000000000001</v>
      </c>
      <c r="G1650">
        <v>140</v>
      </c>
      <c r="H1650" s="1" t="s">
        <v>189</v>
      </c>
    </row>
    <row r="1651" spans="1:8" x14ac:dyDescent="0.3">
      <c r="A1651">
        <v>2018</v>
      </c>
      <c r="B1651" t="s">
        <v>41</v>
      </c>
      <c r="C1651" t="s">
        <v>115</v>
      </c>
      <c r="D1651" s="1" t="s">
        <v>19</v>
      </c>
      <c r="E1651">
        <v>151.30000000000001</v>
      </c>
      <c r="F1651">
        <v>146.1</v>
      </c>
      <c r="G1651">
        <v>138.30000000000001</v>
      </c>
      <c r="H1651" s="1" t="s">
        <v>189</v>
      </c>
    </row>
    <row r="1652" spans="1:8" x14ac:dyDescent="0.3">
      <c r="A1652">
        <v>2018</v>
      </c>
      <c r="B1652" t="s">
        <v>41</v>
      </c>
      <c r="C1652" t="s">
        <v>115</v>
      </c>
      <c r="D1652" s="1" t="s">
        <v>26</v>
      </c>
      <c r="E1652">
        <v>146.9</v>
      </c>
      <c r="F1652">
        <v>146</v>
      </c>
      <c r="G1652">
        <v>145.30000000000001</v>
      </c>
      <c r="H1652" s="1" t="s">
        <v>26</v>
      </c>
    </row>
    <row r="1653" spans="1:8" x14ac:dyDescent="0.3">
      <c r="A1653">
        <v>2018</v>
      </c>
      <c r="B1653" t="s">
        <v>41</v>
      </c>
      <c r="C1653" t="s">
        <v>115</v>
      </c>
      <c r="D1653" s="1" t="s">
        <v>5</v>
      </c>
      <c r="E1653">
        <v>139.1</v>
      </c>
      <c r="F1653">
        <v>138.1</v>
      </c>
      <c r="G1653">
        <v>136.6</v>
      </c>
      <c r="H1653" s="1" t="s">
        <v>188</v>
      </c>
    </row>
    <row r="1654" spans="1:8" x14ac:dyDescent="0.3">
      <c r="A1654">
        <v>2018</v>
      </c>
      <c r="B1654" t="s">
        <v>41</v>
      </c>
      <c r="C1654" t="s">
        <v>115</v>
      </c>
      <c r="D1654" s="1" t="s">
        <v>15</v>
      </c>
      <c r="E1654">
        <v>142.69999999999999</v>
      </c>
      <c r="F1654">
        <v>141.69999999999999</v>
      </c>
      <c r="G1654">
        <v>140.1</v>
      </c>
      <c r="H1654" s="1" t="s">
        <v>188</v>
      </c>
    </row>
    <row r="1655" spans="1:8" x14ac:dyDescent="0.3">
      <c r="A1655">
        <v>2018</v>
      </c>
      <c r="B1655" t="s">
        <v>41</v>
      </c>
      <c r="C1655" t="s">
        <v>115</v>
      </c>
      <c r="D1655" s="1" t="s">
        <v>18</v>
      </c>
      <c r="E1655">
        <v>145.80000000000001</v>
      </c>
      <c r="F1655">
        <v>138.80000000000001</v>
      </c>
      <c r="G1655">
        <v>129</v>
      </c>
      <c r="H1655" s="1" t="s">
        <v>189</v>
      </c>
    </row>
    <row r="1656" spans="1:8" x14ac:dyDescent="0.3">
      <c r="A1656">
        <v>2018</v>
      </c>
      <c r="B1656" t="s">
        <v>41</v>
      </c>
      <c r="C1656" t="s">
        <v>115</v>
      </c>
      <c r="D1656" s="1" t="s">
        <v>8</v>
      </c>
      <c r="E1656">
        <v>154.4</v>
      </c>
      <c r="F1656">
        <v>150.6</v>
      </c>
      <c r="G1656">
        <v>146.30000000000001</v>
      </c>
      <c r="H1656" s="1" t="s">
        <v>188</v>
      </c>
    </row>
    <row r="1657" spans="1:8" x14ac:dyDescent="0.3">
      <c r="A1657">
        <v>2018</v>
      </c>
      <c r="B1657" t="s">
        <v>41</v>
      </c>
      <c r="C1657" t="s">
        <v>115</v>
      </c>
      <c r="D1657" s="1" t="s">
        <v>21</v>
      </c>
      <c r="E1657">
        <v>147.69999999999999</v>
      </c>
      <c r="F1657">
        <v>140.9</v>
      </c>
      <c r="G1657">
        <v>129.80000000000001</v>
      </c>
      <c r="H1657" s="1" t="s">
        <v>190</v>
      </c>
    </row>
    <row r="1658" spans="1:8" x14ac:dyDescent="0.3">
      <c r="A1658">
        <v>2018</v>
      </c>
      <c r="B1658" t="s">
        <v>41</v>
      </c>
      <c r="C1658" t="s">
        <v>115</v>
      </c>
      <c r="D1658" s="1" t="s">
        <v>29</v>
      </c>
      <c r="E1658">
        <v>142.5</v>
      </c>
      <c r="F1658">
        <v>140.4</v>
      </c>
      <c r="G1658">
        <v>138</v>
      </c>
      <c r="H1658" s="1" t="s">
        <v>206</v>
      </c>
    </row>
    <row r="1659" spans="1:8" x14ac:dyDescent="0.3">
      <c r="A1659">
        <v>2018</v>
      </c>
      <c r="B1659" t="s">
        <v>41</v>
      </c>
      <c r="C1659" t="s">
        <v>115</v>
      </c>
      <c r="D1659" s="1" t="s">
        <v>23</v>
      </c>
      <c r="E1659">
        <v>139.4</v>
      </c>
      <c r="F1659">
        <v>137.69999999999999</v>
      </c>
      <c r="G1659">
        <v>134.9</v>
      </c>
      <c r="H1659" s="1" t="s">
        <v>23</v>
      </c>
    </row>
    <row r="1660" spans="1:8" x14ac:dyDescent="0.3">
      <c r="A1660">
        <v>2018</v>
      </c>
      <c r="B1660" t="s">
        <v>41</v>
      </c>
      <c r="C1660" t="s">
        <v>115</v>
      </c>
      <c r="D1660" s="1" t="s">
        <v>22</v>
      </c>
      <c r="E1660">
        <v>143.80000000000001</v>
      </c>
      <c r="F1660">
        <v>139.4</v>
      </c>
      <c r="G1660">
        <v>134.4</v>
      </c>
      <c r="H1660" s="1" t="s">
        <v>20</v>
      </c>
    </row>
    <row r="1661" spans="1:8" x14ac:dyDescent="0.3">
      <c r="A1661">
        <v>2018</v>
      </c>
      <c r="B1661" t="s">
        <v>41</v>
      </c>
      <c r="C1661" t="s">
        <v>115</v>
      </c>
      <c r="D1661" s="1" t="s">
        <v>20</v>
      </c>
      <c r="E1661">
        <v>0</v>
      </c>
      <c r="F1661">
        <v>144.6</v>
      </c>
      <c r="G1661">
        <v>144.6</v>
      </c>
      <c r="H1661" s="1" t="s">
        <v>20</v>
      </c>
    </row>
    <row r="1662" spans="1:8" x14ac:dyDescent="0.3">
      <c r="A1662">
        <v>2018</v>
      </c>
      <c r="B1662" t="s">
        <v>41</v>
      </c>
      <c r="C1662" t="s">
        <v>115</v>
      </c>
      <c r="D1662" s="1" t="s">
        <v>4</v>
      </c>
      <c r="E1662">
        <v>148.80000000000001</v>
      </c>
      <c r="F1662">
        <v>148</v>
      </c>
      <c r="G1662">
        <v>146.4</v>
      </c>
      <c r="H1662" s="1" t="s">
        <v>188</v>
      </c>
    </row>
    <row r="1663" spans="1:8" x14ac:dyDescent="0.3">
      <c r="A1663">
        <v>2018</v>
      </c>
      <c r="B1663" t="s">
        <v>41</v>
      </c>
      <c r="C1663" t="s">
        <v>115</v>
      </c>
      <c r="D1663" s="1" t="s">
        <v>6</v>
      </c>
      <c r="E1663">
        <v>143.5</v>
      </c>
      <c r="F1663">
        <v>142.6</v>
      </c>
      <c r="G1663">
        <v>141.19999999999999</v>
      </c>
      <c r="H1663" s="1" t="s">
        <v>188</v>
      </c>
    </row>
    <row r="1664" spans="1:8" x14ac:dyDescent="0.3">
      <c r="A1664">
        <v>2018</v>
      </c>
      <c r="B1664" t="s">
        <v>41</v>
      </c>
      <c r="C1664" t="s">
        <v>115</v>
      </c>
      <c r="D1664" s="1" t="s">
        <v>28</v>
      </c>
      <c r="E1664">
        <v>136.6</v>
      </c>
      <c r="F1664">
        <v>133.9</v>
      </c>
      <c r="G1664">
        <v>131</v>
      </c>
      <c r="H1664" s="1" t="s">
        <v>192</v>
      </c>
    </row>
    <row r="1665" spans="1:8" x14ac:dyDescent="0.3">
      <c r="A1665">
        <v>2018</v>
      </c>
      <c r="B1665" t="s">
        <v>41</v>
      </c>
      <c r="C1665" t="s">
        <v>115</v>
      </c>
      <c r="D1665" s="1" t="s">
        <v>13</v>
      </c>
      <c r="E1665">
        <v>133.80000000000001</v>
      </c>
      <c r="F1665">
        <v>131.1</v>
      </c>
      <c r="G1665">
        <v>127.4</v>
      </c>
      <c r="H1665" s="1" t="s">
        <v>188</v>
      </c>
    </row>
    <row r="1666" spans="1:8" x14ac:dyDescent="0.3">
      <c r="A1666">
        <v>2018</v>
      </c>
      <c r="B1666" t="s">
        <v>41</v>
      </c>
      <c r="C1666" t="s">
        <v>115</v>
      </c>
      <c r="D1666" s="1" t="s">
        <v>7</v>
      </c>
      <c r="E1666">
        <v>125</v>
      </c>
      <c r="F1666">
        <v>122.2</v>
      </c>
      <c r="G1666">
        <v>117.4</v>
      </c>
      <c r="H1666" s="1" t="s">
        <v>188</v>
      </c>
    </row>
    <row r="1667" spans="1:8" x14ac:dyDescent="0.3">
      <c r="A1667">
        <v>2018</v>
      </c>
      <c r="B1667" t="s">
        <v>41</v>
      </c>
      <c r="C1667" t="s">
        <v>115</v>
      </c>
      <c r="D1667" s="1" t="s">
        <v>16</v>
      </c>
      <c r="E1667">
        <v>156.4</v>
      </c>
      <c r="F1667">
        <v>157.9</v>
      </c>
      <c r="G1667">
        <v>162.1</v>
      </c>
      <c r="H1667" s="1" t="s">
        <v>192</v>
      </c>
    </row>
    <row r="1668" spans="1:8" x14ac:dyDescent="0.3">
      <c r="A1668">
        <v>2018</v>
      </c>
      <c r="B1668" t="s">
        <v>41</v>
      </c>
      <c r="C1668" t="s">
        <v>115</v>
      </c>
      <c r="D1668" s="1" t="s">
        <v>27</v>
      </c>
      <c r="E1668">
        <v>131.30000000000001</v>
      </c>
      <c r="F1668">
        <v>130.1</v>
      </c>
      <c r="G1668">
        <v>128.30000000000001</v>
      </c>
      <c r="H1668" s="1" t="s">
        <v>192</v>
      </c>
    </row>
    <row r="1669" spans="1:8" x14ac:dyDescent="0.3">
      <c r="A1669">
        <v>2018</v>
      </c>
      <c r="B1669" t="s">
        <v>41</v>
      </c>
      <c r="C1669" t="s">
        <v>115</v>
      </c>
      <c r="D1669" s="1" t="s">
        <v>14</v>
      </c>
      <c r="E1669">
        <v>155.19999999999999</v>
      </c>
      <c r="F1669">
        <v>153</v>
      </c>
      <c r="G1669">
        <v>150.4</v>
      </c>
      <c r="H1669" s="1" t="s">
        <v>188</v>
      </c>
    </row>
    <row r="1670" spans="1:8" x14ac:dyDescent="0.3">
      <c r="A1670">
        <v>2018</v>
      </c>
      <c r="B1670" t="s">
        <v>41</v>
      </c>
      <c r="C1670" t="s">
        <v>115</v>
      </c>
      <c r="D1670" s="1" t="s">
        <v>10</v>
      </c>
      <c r="E1670">
        <v>126.8</v>
      </c>
      <c r="F1670">
        <v>122.4</v>
      </c>
      <c r="G1670">
        <v>113.6</v>
      </c>
      <c r="H1670" s="1" t="s">
        <v>188</v>
      </c>
    </row>
    <row r="1671" spans="1:8" x14ac:dyDescent="0.3">
      <c r="A1671">
        <v>2018</v>
      </c>
      <c r="B1671" t="s">
        <v>41</v>
      </c>
      <c r="C1671" t="s">
        <v>115</v>
      </c>
      <c r="D1671" s="1" t="s">
        <v>25</v>
      </c>
      <c r="E1671">
        <v>138.6</v>
      </c>
      <c r="F1671">
        <v>133.6</v>
      </c>
      <c r="G1671">
        <v>129.80000000000001</v>
      </c>
      <c r="H1671" s="1" t="s">
        <v>195</v>
      </c>
    </row>
    <row r="1672" spans="1:8" x14ac:dyDescent="0.3">
      <c r="A1672">
        <v>2018</v>
      </c>
      <c r="B1672" t="s">
        <v>41</v>
      </c>
      <c r="C1672" t="s">
        <v>115</v>
      </c>
      <c r="D1672" s="1" t="s">
        <v>12</v>
      </c>
      <c r="E1672">
        <v>138.6</v>
      </c>
      <c r="F1672">
        <v>139.4</v>
      </c>
      <c r="G1672">
        <v>141.1</v>
      </c>
      <c r="H1672" s="1" t="s">
        <v>188</v>
      </c>
    </row>
    <row r="1673" spans="1:8" x14ac:dyDescent="0.3">
      <c r="A1673">
        <v>2018</v>
      </c>
      <c r="B1673" t="s">
        <v>41</v>
      </c>
      <c r="C1673" t="s">
        <v>115</v>
      </c>
      <c r="D1673" s="1" t="s">
        <v>11</v>
      </c>
      <c r="E1673">
        <v>115.4</v>
      </c>
      <c r="F1673">
        <v>114.7</v>
      </c>
      <c r="G1673">
        <v>113.3</v>
      </c>
      <c r="H1673" s="1" t="s">
        <v>188</v>
      </c>
    </row>
    <row r="1674" spans="1:8" x14ac:dyDescent="0.3">
      <c r="A1674">
        <v>2018</v>
      </c>
      <c r="B1674" t="s">
        <v>41</v>
      </c>
      <c r="C1674" t="s">
        <v>115</v>
      </c>
      <c r="D1674" s="1" t="s">
        <v>24</v>
      </c>
      <c r="E1674">
        <v>128.30000000000001</v>
      </c>
      <c r="F1674">
        <v>124.3</v>
      </c>
      <c r="G1674">
        <v>120.7</v>
      </c>
      <c r="H1674" s="1" t="s">
        <v>191</v>
      </c>
    </row>
    <row r="1675" spans="1:8" x14ac:dyDescent="0.3">
      <c r="A1675">
        <v>2018</v>
      </c>
      <c r="B1675" t="s">
        <v>41</v>
      </c>
      <c r="C1675" t="s">
        <v>115</v>
      </c>
      <c r="D1675" s="1" t="s">
        <v>9</v>
      </c>
      <c r="E1675">
        <v>156.30000000000001</v>
      </c>
      <c r="F1675">
        <v>156.6</v>
      </c>
      <c r="G1675">
        <v>157.30000000000001</v>
      </c>
      <c r="H1675" s="1" t="s">
        <v>188</v>
      </c>
    </row>
    <row r="1676" spans="1:8" x14ac:dyDescent="0.3">
      <c r="A1676">
        <v>2018</v>
      </c>
      <c r="B1676" t="s">
        <v>45</v>
      </c>
      <c r="C1676" t="s">
        <v>116</v>
      </c>
      <c r="D1676" s="1" t="s">
        <v>3</v>
      </c>
      <c r="E1676">
        <v>137.1</v>
      </c>
      <c r="F1676">
        <v>137.5</v>
      </c>
      <c r="G1676">
        <v>138.5</v>
      </c>
      <c r="H1676" s="1" t="s">
        <v>188</v>
      </c>
    </row>
    <row r="1677" spans="1:8" x14ac:dyDescent="0.3">
      <c r="A1677">
        <v>2018</v>
      </c>
      <c r="B1677" t="s">
        <v>45</v>
      </c>
      <c r="C1677" t="s">
        <v>116</v>
      </c>
      <c r="D1677" s="1" t="s">
        <v>17</v>
      </c>
      <c r="E1677">
        <v>151.6</v>
      </c>
      <c r="F1677">
        <v>148.1</v>
      </c>
      <c r="G1677">
        <v>142.69999999999999</v>
      </c>
      <c r="H1677" s="1" t="s">
        <v>189</v>
      </c>
    </row>
    <row r="1678" spans="1:8" x14ac:dyDescent="0.3">
      <c r="A1678">
        <v>2018</v>
      </c>
      <c r="B1678" t="s">
        <v>45</v>
      </c>
      <c r="C1678" t="s">
        <v>116</v>
      </c>
      <c r="D1678" s="1" t="s">
        <v>19</v>
      </c>
      <c r="E1678">
        <v>150.80000000000001</v>
      </c>
      <c r="F1678">
        <v>146.80000000000001</v>
      </c>
      <c r="G1678">
        <v>140.80000000000001</v>
      </c>
      <c r="H1678" s="1" t="s">
        <v>189</v>
      </c>
    </row>
    <row r="1679" spans="1:8" x14ac:dyDescent="0.3">
      <c r="A1679">
        <v>2018</v>
      </c>
      <c r="B1679" t="s">
        <v>45</v>
      </c>
      <c r="C1679" t="s">
        <v>116</v>
      </c>
      <c r="D1679" s="1" t="s">
        <v>26</v>
      </c>
      <c r="E1679">
        <v>155.1</v>
      </c>
      <c r="F1679">
        <v>150.1</v>
      </c>
      <c r="G1679">
        <v>146.5</v>
      </c>
      <c r="H1679" s="1" t="s">
        <v>26</v>
      </c>
    </row>
    <row r="1680" spans="1:8" x14ac:dyDescent="0.3">
      <c r="A1680">
        <v>2018</v>
      </c>
      <c r="B1680" t="s">
        <v>45</v>
      </c>
      <c r="C1680" t="s">
        <v>116</v>
      </c>
      <c r="D1680" s="1" t="s">
        <v>5</v>
      </c>
      <c r="E1680">
        <v>137.4</v>
      </c>
      <c r="F1680">
        <v>138.80000000000001</v>
      </c>
      <c r="G1680">
        <v>141.1</v>
      </c>
      <c r="H1680" s="1" t="s">
        <v>188</v>
      </c>
    </row>
    <row r="1681" spans="1:8" x14ac:dyDescent="0.3">
      <c r="A1681">
        <v>2018</v>
      </c>
      <c r="B1681" t="s">
        <v>45</v>
      </c>
      <c r="C1681" t="s">
        <v>116</v>
      </c>
      <c r="D1681" s="1" t="s">
        <v>15</v>
      </c>
      <c r="E1681">
        <v>138.5</v>
      </c>
      <c r="F1681">
        <v>138.19999999999999</v>
      </c>
      <c r="G1681">
        <v>137.6</v>
      </c>
      <c r="H1681" s="1" t="s">
        <v>188</v>
      </c>
    </row>
    <row r="1682" spans="1:8" x14ac:dyDescent="0.3">
      <c r="A1682">
        <v>2018</v>
      </c>
      <c r="B1682" t="s">
        <v>45</v>
      </c>
      <c r="C1682" t="s">
        <v>116</v>
      </c>
      <c r="D1682" s="1" t="s">
        <v>18</v>
      </c>
      <c r="E1682">
        <v>145.9</v>
      </c>
      <c r="F1682">
        <v>139.4</v>
      </c>
      <c r="G1682">
        <v>130.30000000000001</v>
      </c>
      <c r="H1682" s="1" t="s">
        <v>189</v>
      </c>
    </row>
    <row r="1683" spans="1:8" x14ac:dyDescent="0.3">
      <c r="A1683">
        <v>2018</v>
      </c>
      <c r="B1683" t="s">
        <v>45</v>
      </c>
      <c r="C1683" t="s">
        <v>116</v>
      </c>
      <c r="D1683" s="1" t="s">
        <v>8</v>
      </c>
      <c r="E1683">
        <v>140.19999999999999</v>
      </c>
      <c r="F1683">
        <v>139.4</v>
      </c>
      <c r="G1683">
        <v>138.5</v>
      </c>
      <c r="H1683" s="1" t="s">
        <v>188</v>
      </c>
    </row>
    <row r="1684" spans="1:8" x14ac:dyDescent="0.3">
      <c r="A1684">
        <v>2018</v>
      </c>
      <c r="B1684" t="s">
        <v>45</v>
      </c>
      <c r="C1684" t="s">
        <v>116</v>
      </c>
      <c r="D1684" s="1" t="s">
        <v>21</v>
      </c>
      <c r="E1684">
        <v>149</v>
      </c>
      <c r="F1684">
        <v>142.69999999999999</v>
      </c>
      <c r="G1684">
        <v>132.4</v>
      </c>
      <c r="H1684" s="1" t="s">
        <v>190</v>
      </c>
    </row>
    <row r="1685" spans="1:8" x14ac:dyDescent="0.3">
      <c r="A1685">
        <v>2018</v>
      </c>
      <c r="B1685" t="s">
        <v>45</v>
      </c>
      <c r="C1685" t="s">
        <v>116</v>
      </c>
      <c r="D1685" s="1" t="s">
        <v>29</v>
      </c>
      <c r="E1685">
        <v>141.9</v>
      </c>
      <c r="F1685">
        <v>140.1</v>
      </c>
      <c r="G1685">
        <v>138</v>
      </c>
      <c r="H1685" s="1" t="s">
        <v>206</v>
      </c>
    </row>
    <row r="1686" spans="1:8" x14ac:dyDescent="0.3">
      <c r="A1686">
        <v>2018</v>
      </c>
      <c r="B1686" t="s">
        <v>45</v>
      </c>
      <c r="C1686" t="s">
        <v>116</v>
      </c>
      <c r="D1686" s="1" t="s">
        <v>23</v>
      </c>
      <c r="E1686">
        <v>149.6</v>
      </c>
      <c r="F1686">
        <v>144.9</v>
      </c>
      <c r="G1686">
        <v>137.30000000000001</v>
      </c>
      <c r="H1686" s="1" t="s">
        <v>23</v>
      </c>
    </row>
    <row r="1687" spans="1:8" x14ac:dyDescent="0.3">
      <c r="A1687">
        <v>2018</v>
      </c>
      <c r="B1687" t="s">
        <v>45</v>
      </c>
      <c r="C1687" t="s">
        <v>116</v>
      </c>
      <c r="D1687" s="1" t="s">
        <v>22</v>
      </c>
      <c r="E1687">
        <v>149.5</v>
      </c>
      <c r="F1687">
        <v>143.19999999999999</v>
      </c>
      <c r="G1687">
        <v>136.19999999999999</v>
      </c>
      <c r="H1687" s="1" t="s">
        <v>20</v>
      </c>
    </row>
    <row r="1688" spans="1:8" x14ac:dyDescent="0.3">
      <c r="A1688">
        <v>2018</v>
      </c>
      <c r="B1688" t="s">
        <v>45</v>
      </c>
      <c r="C1688" t="s">
        <v>116</v>
      </c>
      <c r="D1688" s="1" t="s">
        <v>20</v>
      </c>
      <c r="E1688">
        <v>0</v>
      </c>
      <c r="F1688">
        <v>146.5</v>
      </c>
      <c r="G1688">
        <v>146.5</v>
      </c>
      <c r="H1688" s="1" t="s">
        <v>20</v>
      </c>
    </row>
    <row r="1689" spans="1:8" x14ac:dyDescent="0.3">
      <c r="A1689">
        <v>2018</v>
      </c>
      <c r="B1689" t="s">
        <v>45</v>
      </c>
      <c r="C1689" t="s">
        <v>116</v>
      </c>
      <c r="D1689" s="1" t="s">
        <v>4</v>
      </c>
      <c r="E1689">
        <v>151.9</v>
      </c>
      <c r="F1689">
        <v>150.5</v>
      </c>
      <c r="G1689">
        <v>147.80000000000001</v>
      </c>
      <c r="H1689" s="1" t="s">
        <v>188</v>
      </c>
    </row>
    <row r="1690" spans="1:8" x14ac:dyDescent="0.3">
      <c r="A1690">
        <v>2018</v>
      </c>
      <c r="B1690" t="s">
        <v>45</v>
      </c>
      <c r="C1690" t="s">
        <v>116</v>
      </c>
      <c r="D1690" s="1" t="s">
        <v>6</v>
      </c>
      <c r="E1690">
        <v>142.4</v>
      </c>
      <c r="F1690">
        <v>142.1</v>
      </c>
      <c r="G1690">
        <v>141.6</v>
      </c>
      <c r="H1690" s="1" t="s">
        <v>188</v>
      </c>
    </row>
    <row r="1691" spans="1:8" x14ac:dyDescent="0.3">
      <c r="A1691">
        <v>2018</v>
      </c>
      <c r="B1691" t="s">
        <v>45</v>
      </c>
      <c r="C1691" t="s">
        <v>116</v>
      </c>
      <c r="D1691" s="1" t="s">
        <v>28</v>
      </c>
      <c r="E1691">
        <v>141.6</v>
      </c>
      <c r="F1691">
        <v>136.80000000000001</v>
      </c>
      <c r="G1691">
        <v>131.69999999999999</v>
      </c>
      <c r="H1691" s="1" t="s">
        <v>192</v>
      </c>
    </row>
    <row r="1692" spans="1:8" x14ac:dyDescent="0.3">
      <c r="A1692">
        <v>2018</v>
      </c>
      <c r="B1692" t="s">
        <v>45</v>
      </c>
      <c r="C1692" t="s">
        <v>116</v>
      </c>
      <c r="D1692" s="1" t="s">
        <v>13</v>
      </c>
      <c r="E1692">
        <v>137.80000000000001</v>
      </c>
      <c r="F1692">
        <v>133.80000000000001</v>
      </c>
      <c r="G1692">
        <v>128.1</v>
      </c>
      <c r="H1692" s="1" t="s">
        <v>188</v>
      </c>
    </row>
    <row r="1693" spans="1:8" x14ac:dyDescent="0.3">
      <c r="A1693">
        <v>2018</v>
      </c>
      <c r="B1693" t="s">
        <v>45</v>
      </c>
      <c r="C1693" t="s">
        <v>116</v>
      </c>
      <c r="D1693" s="1" t="s">
        <v>7</v>
      </c>
      <c r="E1693">
        <v>124.2</v>
      </c>
      <c r="F1693">
        <v>122</v>
      </c>
      <c r="G1693">
        <v>118.1</v>
      </c>
      <c r="H1693" s="1" t="s">
        <v>188</v>
      </c>
    </row>
    <row r="1694" spans="1:8" x14ac:dyDescent="0.3">
      <c r="A1694">
        <v>2018</v>
      </c>
      <c r="B1694" t="s">
        <v>45</v>
      </c>
      <c r="C1694" t="s">
        <v>116</v>
      </c>
      <c r="D1694" s="1" t="s">
        <v>16</v>
      </c>
      <c r="E1694">
        <v>162.4</v>
      </c>
      <c r="F1694">
        <v>163</v>
      </c>
      <c r="G1694">
        <v>164.6</v>
      </c>
      <c r="H1694" s="1" t="s">
        <v>192</v>
      </c>
    </row>
    <row r="1695" spans="1:8" x14ac:dyDescent="0.3">
      <c r="A1695">
        <v>2018</v>
      </c>
      <c r="B1695" t="s">
        <v>45</v>
      </c>
      <c r="C1695" t="s">
        <v>116</v>
      </c>
      <c r="D1695" s="1" t="s">
        <v>27</v>
      </c>
      <c r="E1695">
        <v>133.19999999999999</v>
      </c>
      <c r="F1695">
        <v>132.19999999999999</v>
      </c>
      <c r="G1695">
        <v>130.80000000000001</v>
      </c>
      <c r="H1695" s="1" t="s">
        <v>192</v>
      </c>
    </row>
    <row r="1696" spans="1:8" x14ac:dyDescent="0.3">
      <c r="A1696">
        <v>2018</v>
      </c>
      <c r="B1696" t="s">
        <v>45</v>
      </c>
      <c r="C1696" t="s">
        <v>116</v>
      </c>
      <c r="D1696" s="1" t="s">
        <v>14</v>
      </c>
      <c r="E1696">
        <v>156</v>
      </c>
      <c r="F1696">
        <v>154.6</v>
      </c>
      <c r="G1696">
        <v>152.9</v>
      </c>
      <c r="H1696" s="1" t="s">
        <v>188</v>
      </c>
    </row>
    <row r="1697" spans="1:8" x14ac:dyDescent="0.3">
      <c r="A1697">
        <v>2018</v>
      </c>
      <c r="B1697" t="s">
        <v>45</v>
      </c>
      <c r="C1697" t="s">
        <v>116</v>
      </c>
      <c r="D1697" s="1" t="s">
        <v>10</v>
      </c>
      <c r="E1697">
        <v>120.9</v>
      </c>
      <c r="F1697">
        <v>119.8</v>
      </c>
      <c r="G1697">
        <v>117.5</v>
      </c>
      <c r="H1697" s="1" t="s">
        <v>188</v>
      </c>
    </row>
    <row r="1698" spans="1:8" x14ac:dyDescent="0.3">
      <c r="A1698">
        <v>2018</v>
      </c>
      <c r="B1698" t="s">
        <v>45</v>
      </c>
      <c r="C1698" t="s">
        <v>116</v>
      </c>
      <c r="D1698" s="1" t="s">
        <v>25</v>
      </c>
      <c r="E1698">
        <v>143.30000000000001</v>
      </c>
      <c r="F1698">
        <v>136.80000000000001</v>
      </c>
      <c r="G1698">
        <v>131.69999999999999</v>
      </c>
      <c r="H1698" s="1" t="s">
        <v>195</v>
      </c>
    </row>
    <row r="1699" spans="1:8" x14ac:dyDescent="0.3">
      <c r="A1699">
        <v>2018</v>
      </c>
      <c r="B1699" t="s">
        <v>45</v>
      </c>
      <c r="C1699" t="s">
        <v>116</v>
      </c>
      <c r="D1699" s="1" t="s">
        <v>12</v>
      </c>
      <c r="E1699">
        <v>140.19999999999999</v>
      </c>
      <c r="F1699">
        <v>140.6</v>
      </c>
      <c r="G1699">
        <v>141.5</v>
      </c>
      <c r="H1699" s="1" t="s">
        <v>188</v>
      </c>
    </row>
    <row r="1700" spans="1:8" x14ac:dyDescent="0.3">
      <c r="A1700">
        <v>2018</v>
      </c>
      <c r="B1700" t="s">
        <v>45</v>
      </c>
      <c r="C1700" t="s">
        <v>116</v>
      </c>
      <c r="D1700" s="1" t="s">
        <v>11</v>
      </c>
      <c r="E1700">
        <v>109.9</v>
      </c>
      <c r="F1700">
        <v>110.3</v>
      </c>
      <c r="G1700">
        <v>111</v>
      </c>
      <c r="H1700" s="1" t="s">
        <v>188</v>
      </c>
    </row>
    <row r="1701" spans="1:8" x14ac:dyDescent="0.3">
      <c r="A1701">
        <v>2018</v>
      </c>
      <c r="B1701" t="s">
        <v>45</v>
      </c>
      <c r="C1701" t="s">
        <v>116</v>
      </c>
      <c r="D1701" s="1" t="s">
        <v>24</v>
      </c>
      <c r="E1701">
        <v>128.9</v>
      </c>
      <c r="F1701">
        <v>123.6</v>
      </c>
      <c r="G1701">
        <v>118.8</v>
      </c>
      <c r="H1701" s="1" t="s">
        <v>191</v>
      </c>
    </row>
    <row r="1702" spans="1:8" x14ac:dyDescent="0.3">
      <c r="A1702">
        <v>2018</v>
      </c>
      <c r="B1702" t="s">
        <v>45</v>
      </c>
      <c r="C1702" t="s">
        <v>116</v>
      </c>
      <c r="D1702" s="1" t="s">
        <v>9</v>
      </c>
      <c r="E1702">
        <v>136.6</v>
      </c>
      <c r="F1702">
        <v>135.19999999999999</v>
      </c>
      <c r="G1702">
        <v>132.4</v>
      </c>
      <c r="H1702" s="1" t="s">
        <v>188</v>
      </c>
    </row>
    <row r="1703" spans="1:8" x14ac:dyDescent="0.3">
      <c r="A1703">
        <v>2018</v>
      </c>
      <c r="B1703" t="s">
        <v>35</v>
      </c>
      <c r="C1703" t="s">
        <v>117</v>
      </c>
      <c r="D1703" s="1" t="s">
        <v>3</v>
      </c>
      <c r="E1703">
        <v>136.4</v>
      </c>
      <c r="F1703">
        <v>135.9</v>
      </c>
      <c r="G1703">
        <v>134.80000000000001</v>
      </c>
      <c r="H1703" s="1" t="s">
        <v>188</v>
      </c>
    </row>
    <row r="1704" spans="1:8" x14ac:dyDescent="0.3">
      <c r="A1704">
        <v>2018</v>
      </c>
      <c r="B1704" t="s">
        <v>35</v>
      </c>
      <c r="C1704" t="s">
        <v>117</v>
      </c>
      <c r="D1704" s="1" t="s">
        <v>17</v>
      </c>
      <c r="E1704">
        <v>148.69999999999999</v>
      </c>
      <c r="F1704">
        <v>143.80000000000001</v>
      </c>
      <c r="G1704">
        <v>136.30000000000001</v>
      </c>
      <c r="H1704" s="1" t="s">
        <v>189</v>
      </c>
    </row>
    <row r="1705" spans="1:8" x14ac:dyDescent="0.3">
      <c r="A1705">
        <v>2018</v>
      </c>
      <c r="B1705" t="s">
        <v>35</v>
      </c>
      <c r="C1705" t="s">
        <v>117</v>
      </c>
      <c r="D1705" s="1" t="s">
        <v>19</v>
      </c>
      <c r="E1705">
        <v>147.80000000000001</v>
      </c>
      <c r="F1705">
        <v>142.6</v>
      </c>
      <c r="G1705">
        <v>134.69999999999999</v>
      </c>
      <c r="H1705" s="1" t="s">
        <v>189</v>
      </c>
    </row>
    <row r="1706" spans="1:8" x14ac:dyDescent="0.3">
      <c r="A1706">
        <v>2018</v>
      </c>
      <c r="B1706" t="s">
        <v>35</v>
      </c>
      <c r="C1706" t="s">
        <v>117</v>
      </c>
      <c r="D1706" s="1" t="s">
        <v>26</v>
      </c>
      <c r="E1706">
        <v>141.5</v>
      </c>
      <c r="F1706">
        <v>139</v>
      </c>
      <c r="G1706">
        <v>137.19999999999999</v>
      </c>
      <c r="H1706" s="1" t="s">
        <v>26</v>
      </c>
    </row>
    <row r="1707" spans="1:8" x14ac:dyDescent="0.3">
      <c r="A1707">
        <v>2018</v>
      </c>
      <c r="B1707" t="s">
        <v>35</v>
      </c>
      <c r="C1707" t="s">
        <v>117</v>
      </c>
      <c r="D1707" s="1" t="s">
        <v>5</v>
      </c>
      <c r="E1707">
        <v>140.6</v>
      </c>
      <c r="F1707">
        <v>140.30000000000001</v>
      </c>
      <c r="G1707">
        <v>139.9</v>
      </c>
      <c r="H1707" s="1" t="s">
        <v>188</v>
      </c>
    </row>
    <row r="1708" spans="1:8" x14ac:dyDescent="0.3">
      <c r="A1708">
        <v>2018</v>
      </c>
      <c r="B1708" t="s">
        <v>35</v>
      </c>
      <c r="C1708" t="s">
        <v>117</v>
      </c>
      <c r="D1708" s="1" t="s">
        <v>15</v>
      </c>
      <c r="E1708">
        <v>138.69999999999999</v>
      </c>
      <c r="F1708">
        <v>137.6</v>
      </c>
      <c r="G1708">
        <v>135.6</v>
      </c>
      <c r="H1708" s="1" t="s">
        <v>188</v>
      </c>
    </row>
    <row r="1709" spans="1:8" x14ac:dyDescent="0.3">
      <c r="A1709">
        <v>2018</v>
      </c>
      <c r="B1709" t="s">
        <v>35</v>
      </c>
      <c r="C1709" t="s">
        <v>117</v>
      </c>
      <c r="D1709" s="1" t="s">
        <v>18</v>
      </c>
      <c r="E1709">
        <v>142.4</v>
      </c>
      <c r="F1709">
        <v>135.6</v>
      </c>
      <c r="G1709">
        <v>126.1</v>
      </c>
      <c r="H1709" s="1" t="s">
        <v>189</v>
      </c>
    </row>
    <row r="1710" spans="1:8" x14ac:dyDescent="0.3">
      <c r="A1710">
        <v>2018</v>
      </c>
      <c r="B1710" t="s">
        <v>35</v>
      </c>
      <c r="C1710" t="s">
        <v>117</v>
      </c>
      <c r="D1710" s="1" t="s">
        <v>8</v>
      </c>
      <c r="E1710">
        <v>149.4</v>
      </c>
      <c r="F1710">
        <v>142.9</v>
      </c>
      <c r="G1710">
        <v>135.5</v>
      </c>
      <c r="H1710" s="1" t="s">
        <v>188</v>
      </c>
    </row>
    <row r="1711" spans="1:8" x14ac:dyDescent="0.3">
      <c r="A1711">
        <v>2018</v>
      </c>
      <c r="B1711" t="s">
        <v>35</v>
      </c>
      <c r="C1711" t="s">
        <v>117</v>
      </c>
      <c r="D1711" s="1" t="s">
        <v>21</v>
      </c>
      <c r="E1711">
        <v>142.4</v>
      </c>
      <c r="F1711">
        <v>136.69999999999999</v>
      </c>
      <c r="G1711">
        <v>127.3</v>
      </c>
      <c r="H1711" s="1" t="s">
        <v>190</v>
      </c>
    </row>
    <row r="1712" spans="1:8" x14ac:dyDescent="0.3">
      <c r="A1712">
        <v>2018</v>
      </c>
      <c r="B1712" t="s">
        <v>35</v>
      </c>
      <c r="C1712" t="s">
        <v>117</v>
      </c>
      <c r="D1712" s="1" t="s">
        <v>29</v>
      </c>
      <c r="E1712">
        <v>138.5</v>
      </c>
      <c r="F1712">
        <v>136.4</v>
      </c>
      <c r="G1712">
        <v>134</v>
      </c>
      <c r="H1712" s="1" t="s">
        <v>206</v>
      </c>
    </row>
    <row r="1713" spans="1:8" x14ac:dyDescent="0.3">
      <c r="A1713">
        <v>2018</v>
      </c>
      <c r="B1713" t="s">
        <v>35</v>
      </c>
      <c r="C1713" t="s">
        <v>117</v>
      </c>
      <c r="D1713" s="1" t="s">
        <v>23</v>
      </c>
      <c r="E1713">
        <v>136.19999999999999</v>
      </c>
      <c r="F1713">
        <v>133.80000000000001</v>
      </c>
      <c r="G1713">
        <v>129.80000000000001</v>
      </c>
      <c r="H1713" s="1" t="s">
        <v>23</v>
      </c>
    </row>
    <row r="1714" spans="1:8" x14ac:dyDescent="0.3">
      <c r="A1714">
        <v>2018</v>
      </c>
      <c r="B1714" t="s">
        <v>35</v>
      </c>
      <c r="C1714" t="s">
        <v>117</v>
      </c>
      <c r="D1714" s="1" t="s">
        <v>22</v>
      </c>
      <c r="E1714">
        <v>139.9</v>
      </c>
      <c r="F1714">
        <v>135.19999999999999</v>
      </c>
      <c r="G1714">
        <v>129.9</v>
      </c>
      <c r="H1714" s="1" t="s">
        <v>20</v>
      </c>
    </row>
    <row r="1715" spans="1:8" x14ac:dyDescent="0.3">
      <c r="A1715">
        <v>2018</v>
      </c>
      <c r="B1715" t="s">
        <v>35</v>
      </c>
      <c r="C1715" t="s">
        <v>117</v>
      </c>
      <c r="D1715" s="1" t="s">
        <v>20</v>
      </c>
      <c r="E1715">
        <v>0</v>
      </c>
      <c r="F1715">
        <v>141.30000000000001</v>
      </c>
      <c r="G1715">
        <v>141.30000000000001</v>
      </c>
      <c r="H1715" s="1" t="s">
        <v>20</v>
      </c>
    </row>
    <row r="1716" spans="1:8" x14ac:dyDescent="0.3">
      <c r="A1716">
        <v>2018</v>
      </c>
      <c r="B1716" t="s">
        <v>35</v>
      </c>
      <c r="C1716" t="s">
        <v>117</v>
      </c>
      <c r="D1716" s="1" t="s">
        <v>4</v>
      </c>
      <c r="E1716">
        <v>143.69999999999999</v>
      </c>
      <c r="F1716">
        <v>143.5</v>
      </c>
      <c r="G1716">
        <v>143</v>
      </c>
      <c r="H1716" s="1" t="s">
        <v>188</v>
      </c>
    </row>
    <row r="1717" spans="1:8" x14ac:dyDescent="0.3">
      <c r="A1717">
        <v>2018</v>
      </c>
      <c r="B1717" t="s">
        <v>35</v>
      </c>
      <c r="C1717" t="s">
        <v>117</v>
      </c>
      <c r="D1717" s="1" t="s">
        <v>6</v>
      </c>
      <c r="E1717">
        <v>141.5</v>
      </c>
      <c r="F1717">
        <v>140.9</v>
      </c>
      <c r="G1717">
        <v>139.9</v>
      </c>
      <c r="H1717" s="1" t="s">
        <v>188</v>
      </c>
    </row>
    <row r="1718" spans="1:8" x14ac:dyDescent="0.3">
      <c r="A1718">
        <v>2018</v>
      </c>
      <c r="B1718" t="s">
        <v>35</v>
      </c>
      <c r="C1718" t="s">
        <v>117</v>
      </c>
      <c r="D1718" s="1" t="s">
        <v>28</v>
      </c>
      <c r="E1718">
        <v>132.5</v>
      </c>
      <c r="F1718">
        <v>129.6</v>
      </c>
      <c r="G1718">
        <v>126.5</v>
      </c>
      <c r="H1718" s="1" t="s">
        <v>192</v>
      </c>
    </row>
    <row r="1719" spans="1:8" x14ac:dyDescent="0.3">
      <c r="A1719">
        <v>2018</v>
      </c>
      <c r="B1719" t="s">
        <v>35</v>
      </c>
      <c r="C1719" t="s">
        <v>117</v>
      </c>
      <c r="D1719" s="1" t="s">
        <v>13</v>
      </c>
      <c r="E1719">
        <v>130.5</v>
      </c>
      <c r="F1719">
        <v>128.6</v>
      </c>
      <c r="G1719">
        <v>125.9</v>
      </c>
      <c r="H1719" s="1" t="s">
        <v>188</v>
      </c>
    </row>
    <row r="1720" spans="1:8" x14ac:dyDescent="0.3">
      <c r="A1720">
        <v>2018</v>
      </c>
      <c r="B1720" t="s">
        <v>35</v>
      </c>
      <c r="C1720" t="s">
        <v>117</v>
      </c>
      <c r="D1720" s="1" t="s">
        <v>7</v>
      </c>
      <c r="E1720">
        <v>122.9</v>
      </c>
      <c r="F1720">
        <v>120.4</v>
      </c>
      <c r="G1720">
        <v>116.2</v>
      </c>
      <c r="H1720" s="1" t="s">
        <v>188</v>
      </c>
    </row>
    <row r="1721" spans="1:8" x14ac:dyDescent="0.3">
      <c r="A1721">
        <v>2018</v>
      </c>
      <c r="B1721" t="s">
        <v>35</v>
      </c>
      <c r="C1721" t="s">
        <v>117</v>
      </c>
      <c r="D1721" s="1" t="s">
        <v>16</v>
      </c>
      <c r="E1721">
        <v>153.30000000000001</v>
      </c>
      <c r="F1721">
        <v>154.9</v>
      </c>
      <c r="G1721">
        <v>159.30000000000001</v>
      </c>
      <c r="H1721" s="1" t="s">
        <v>192</v>
      </c>
    </row>
    <row r="1722" spans="1:8" x14ac:dyDescent="0.3">
      <c r="A1722">
        <v>2018</v>
      </c>
      <c r="B1722" t="s">
        <v>35</v>
      </c>
      <c r="C1722" t="s">
        <v>117</v>
      </c>
      <c r="D1722" s="1" t="s">
        <v>27</v>
      </c>
      <c r="E1722">
        <v>128.80000000000001</v>
      </c>
      <c r="F1722">
        <v>127.7</v>
      </c>
      <c r="G1722">
        <v>126.2</v>
      </c>
      <c r="H1722" s="1" t="s">
        <v>192</v>
      </c>
    </row>
    <row r="1723" spans="1:8" x14ac:dyDescent="0.3">
      <c r="A1723">
        <v>2018</v>
      </c>
      <c r="B1723" t="s">
        <v>35</v>
      </c>
      <c r="C1723" t="s">
        <v>117</v>
      </c>
      <c r="D1723" s="1" t="s">
        <v>14</v>
      </c>
      <c r="E1723">
        <v>151.69999999999999</v>
      </c>
      <c r="F1723">
        <v>149.6</v>
      </c>
      <c r="G1723">
        <v>147.1</v>
      </c>
      <c r="H1723" s="1" t="s">
        <v>188</v>
      </c>
    </row>
    <row r="1724" spans="1:8" x14ac:dyDescent="0.3">
      <c r="A1724">
        <v>2018</v>
      </c>
      <c r="B1724" t="s">
        <v>35</v>
      </c>
      <c r="C1724" t="s">
        <v>117</v>
      </c>
      <c r="D1724" s="1" t="s">
        <v>10</v>
      </c>
      <c r="E1724">
        <v>130.19999999999999</v>
      </c>
      <c r="F1724">
        <v>125.8</v>
      </c>
      <c r="G1724">
        <v>117</v>
      </c>
      <c r="H1724" s="1" t="s">
        <v>188</v>
      </c>
    </row>
    <row r="1725" spans="1:8" x14ac:dyDescent="0.3">
      <c r="A1725">
        <v>2018</v>
      </c>
      <c r="B1725" t="s">
        <v>35</v>
      </c>
      <c r="C1725" t="s">
        <v>117</v>
      </c>
      <c r="D1725" s="1" t="s">
        <v>25</v>
      </c>
      <c r="E1725">
        <v>134.30000000000001</v>
      </c>
      <c r="F1725">
        <v>129.9</v>
      </c>
      <c r="G1725">
        <v>126.5</v>
      </c>
      <c r="H1725" s="1" t="s">
        <v>195</v>
      </c>
    </row>
    <row r="1726" spans="1:8" x14ac:dyDescent="0.3">
      <c r="A1726">
        <v>2018</v>
      </c>
      <c r="B1726" t="s">
        <v>35</v>
      </c>
      <c r="C1726" t="s">
        <v>117</v>
      </c>
      <c r="D1726" s="1" t="s">
        <v>12</v>
      </c>
      <c r="E1726">
        <v>135.6</v>
      </c>
      <c r="F1726">
        <v>137.30000000000001</v>
      </c>
      <c r="G1726">
        <v>140.69999999999999</v>
      </c>
      <c r="H1726" s="1" t="s">
        <v>188</v>
      </c>
    </row>
    <row r="1727" spans="1:8" x14ac:dyDescent="0.3">
      <c r="A1727">
        <v>2018</v>
      </c>
      <c r="B1727" t="s">
        <v>35</v>
      </c>
      <c r="C1727" t="s">
        <v>117</v>
      </c>
      <c r="D1727" s="1" t="s">
        <v>11</v>
      </c>
      <c r="E1727">
        <v>117.9</v>
      </c>
      <c r="F1727">
        <v>117.1</v>
      </c>
      <c r="G1727">
        <v>115.4</v>
      </c>
      <c r="H1727" s="1" t="s">
        <v>188</v>
      </c>
    </row>
    <row r="1728" spans="1:8" x14ac:dyDescent="0.3">
      <c r="A1728">
        <v>2018</v>
      </c>
      <c r="B1728" t="s">
        <v>35</v>
      </c>
      <c r="C1728" t="s">
        <v>117</v>
      </c>
      <c r="D1728" s="1" t="s">
        <v>24</v>
      </c>
      <c r="E1728">
        <v>123.3</v>
      </c>
      <c r="F1728">
        <v>120.2</v>
      </c>
      <c r="G1728">
        <v>117.4</v>
      </c>
      <c r="H1728" s="1" t="s">
        <v>191</v>
      </c>
    </row>
    <row r="1729" spans="1:8" x14ac:dyDescent="0.3">
      <c r="A1729">
        <v>2018</v>
      </c>
      <c r="B1729" t="s">
        <v>35</v>
      </c>
      <c r="C1729" t="s">
        <v>117</v>
      </c>
      <c r="D1729" s="1" t="s">
        <v>9</v>
      </c>
      <c r="E1729">
        <v>142.4</v>
      </c>
      <c r="F1729">
        <v>140.5</v>
      </c>
      <c r="G1729">
        <v>136.9</v>
      </c>
      <c r="H1729" s="1" t="s">
        <v>188</v>
      </c>
    </row>
    <row r="1730" spans="1:8" x14ac:dyDescent="0.3">
      <c r="A1730">
        <v>2018</v>
      </c>
      <c r="B1730" t="s">
        <v>31</v>
      </c>
      <c r="C1730" t="s">
        <v>118</v>
      </c>
      <c r="D1730" s="1" t="s">
        <v>3</v>
      </c>
      <c r="E1730">
        <v>136.6</v>
      </c>
      <c r="F1730">
        <v>136</v>
      </c>
      <c r="G1730">
        <v>134.6</v>
      </c>
      <c r="H1730" s="1" t="s">
        <v>188</v>
      </c>
    </row>
    <row r="1731" spans="1:8" x14ac:dyDescent="0.3">
      <c r="A1731">
        <v>2018</v>
      </c>
      <c r="B1731" t="s">
        <v>31</v>
      </c>
      <c r="C1731" t="s">
        <v>118</v>
      </c>
      <c r="D1731" s="1" t="s">
        <v>17</v>
      </c>
      <c r="E1731">
        <v>148.30000000000001</v>
      </c>
      <c r="F1731">
        <v>143.5</v>
      </c>
      <c r="G1731">
        <v>136</v>
      </c>
      <c r="H1731" s="1" t="s">
        <v>189</v>
      </c>
    </row>
    <row r="1732" spans="1:8" x14ac:dyDescent="0.3">
      <c r="A1732">
        <v>2018</v>
      </c>
      <c r="B1732" t="s">
        <v>31</v>
      </c>
      <c r="C1732" t="s">
        <v>118</v>
      </c>
      <c r="D1732" s="1" t="s">
        <v>19</v>
      </c>
      <c r="E1732">
        <v>147.5</v>
      </c>
      <c r="F1732">
        <v>142.30000000000001</v>
      </c>
      <c r="G1732">
        <v>134.4</v>
      </c>
      <c r="H1732" s="1" t="s">
        <v>189</v>
      </c>
    </row>
    <row r="1733" spans="1:8" x14ac:dyDescent="0.3">
      <c r="A1733">
        <v>2018</v>
      </c>
      <c r="B1733" t="s">
        <v>31</v>
      </c>
      <c r="C1733" t="s">
        <v>118</v>
      </c>
      <c r="D1733" s="1" t="s">
        <v>26</v>
      </c>
      <c r="E1733">
        <v>141.6</v>
      </c>
      <c r="F1733">
        <v>139</v>
      </c>
      <c r="G1733">
        <v>137.1</v>
      </c>
      <c r="H1733" s="1" t="s">
        <v>26</v>
      </c>
    </row>
    <row r="1734" spans="1:8" x14ac:dyDescent="0.3">
      <c r="A1734">
        <v>2018</v>
      </c>
      <c r="B1734" t="s">
        <v>31</v>
      </c>
      <c r="C1734" t="s">
        <v>118</v>
      </c>
      <c r="D1734" s="1" t="s">
        <v>5</v>
      </c>
      <c r="E1734">
        <v>143.80000000000001</v>
      </c>
      <c r="F1734">
        <v>143.69999999999999</v>
      </c>
      <c r="G1734">
        <v>143.6</v>
      </c>
      <c r="H1734" s="1" t="s">
        <v>188</v>
      </c>
    </row>
    <row r="1735" spans="1:8" x14ac:dyDescent="0.3">
      <c r="A1735">
        <v>2018</v>
      </c>
      <c r="B1735" t="s">
        <v>31</v>
      </c>
      <c r="C1735" t="s">
        <v>118</v>
      </c>
      <c r="D1735" s="1" t="s">
        <v>15</v>
      </c>
      <c r="E1735">
        <v>140.4</v>
      </c>
      <c r="F1735">
        <v>139.19999999999999</v>
      </c>
      <c r="G1735">
        <v>137.19999999999999</v>
      </c>
      <c r="H1735" s="1" t="s">
        <v>188</v>
      </c>
    </row>
    <row r="1736" spans="1:8" x14ac:dyDescent="0.3">
      <c r="A1736">
        <v>2018</v>
      </c>
      <c r="B1736" t="s">
        <v>31</v>
      </c>
      <c r="C1736" t="s">
        <v>118</v>
      </c>
      <c r="D1736" s="1" t="s">
        <v>18</v>
      </c>
      <c r="E1736">
        <v>142.30000000000001</v>
      </c>
      <c r="F1736">
        <v>135.5</v>
      </c>
      <c r="G1736">
        <v>125.9</v>
      </c>
      <c r="H1736" s="1" t="s">
        <v>189</v>
      </c>
    </row>
    <row r="1737" spans="1:8" x14ac:dyDescent="0.3">
      <c r="A1737">
        <v>2018</v>
      </c>
      <c r="B1737" t="s">
        <v>31</v>
      </c>
      <c r="C1737" t="s">
        <v>118</v>
      </c>
      <c r="D1737" s="1" t="s">
        <v>8</v>
      </c>
      <c r="E1737">
        <v>147.9</v>
      </c>
      <c r="F1737">
        <v>141.30000000000001</v>
      </c>
      <c r="G1737">
        <v>133.80000000000001</v>
      </c>
      <c r="H1737" s="1" t="s">
        <v>188</v>
      </c>
    </row>
    <row r="1738" spans="1:8" x14ac:dyDescent="0.3">
      <c r="A1738">
        <v>2018</v>
      </c>
      <c r="B1738" t="s">
        <v>31</v>
      </c>
      <c r="C1738" t="s">
        <v>118</v>
      </c>
      <c r="D1738" s="1" t="s">
        <v>21</v>
      </c>
      <c r="E1738">
        <v>142.30000000000001</v>
      </c>
      <c r="F1738">
        <v>136.6</v>
      </c>
      <c r="G1738">
        <v>127.3</v>
      </c>
      <c r="H1738" s="1" t="s">
        <v>190</v>
      </c>
    </row>
    <row r="1739" spans="1:8" x14ac:dyDescent="0.3">
      <c r="A1739">
        <v>2018</v>
      </c>
      <c r="B1739" t="s">
        <v>31</v>
      </c>
      <c r="C1739" t="s">
        <v>118</v>
      </c>
      <c r="D1739" s="1" t="s">
        <v>29</v>
      </c>
      <c r="E1739">
        <v>139.30000000000001</v>
      </c>
      <c r="F1739">
        <v>136.9</v>
      </c>
      <c r="G1739">
        <v>134.1</v>
      </c>
      <c r="H1739" s="1" t="s">
        <v>206</v>
      </c>
    </row>
    <row r="1740" spans="1:8" x14ac:dyDescent="0.3">
      <c r="A1740">
        <v>2018</v>
      </c>
      <c r="B1740" t="s">
        <v>31</v>
      </c>
      <c r="C1740" t="s">
        <v>118</v>
      </c>
      <c r="D1740" s="1" t="s">
        <v>23</v>
      </c>
      <c r="E1740">
        <v>136</v>
      </c>
      <c r="F1740">
        <v>133.30000000000001</v>
      </c>
      <c r="G1740">
        <v>129</v>
      </c>
      <c r="H1740" s="1" t="s">
        <v>23</v>
      </c>
    </row>
    <row r="1741" spans="1:8" x14ac:dyDescent="0.3">
      <c r="A1741">
        <v>2018</v>
      </c>
      <c r="B1741" t="s">
        <v>31</v>
      </c>
      <c r="C1741" t="s">
        <v>118</v>
      </c>
      <c r="D1741" s="1" t="s">
        <v>22</v>
      </c>
      <c r="E1741">
        <v>139.80000000000001</v>
      </c>
      <c r="F1741">
        <v>134.9</v>
      </c>
      <c r="G1741">
        <v>129.5</v>
      </c>
      <c r="H1741" s="1" t="s">
        <v>20</v>
      </c>
    </row>
    <row r="1742" spans="1:8" x14ac:dyDescent="0.3">
      <c r="A1742">
        <v>2018</v>
      </c>
      <c r="B1742" t="s">
        <v>31</v>
      </c>
      <c r="C1742" t="s">
        <v>118</v>
      </c>
      <c r="D1742" s="1" t="s">
        <v>20</v>
      </c>
      <c r="E1742">
        <v>0</v>
      </c>
      <c r="F1742">
        <v>140.4</v>
      </c>
      <c r="G1742">
        <v>140.4</v>
      </c>
      <c r="H1742" s="1" t="s">
        <v>20</v>
      </c>
    </row>
    <row r="1743" spans="1:8" x14ac:dyDescent="0.3">
      <c r="A1743">
        <v>2018</v>
      </c>
      <c r="B1743" t="s">
        <v>31</v>
      </c>
      <c r="C1743" t="s">
        <v>118</v>
      </c>
      <c r="D1743" s="1" t="s">
        <v>4</v>
      </c>
      <c r="E1743">
        <v>144.4</v>
      </c>
      <c r="F1743">
        <v>144.19999999999999</v>
      </c>
      <c r="G1743">
        <v>143.69999999999999</v>
      </c>
      <c r="H1743" s="1" t="s">
        <v>188</v>
      </c>
    </row>
    <row r="1744" spans="1:8" x14ac:dyDescent="0.3">
      <c r="A1744">
        <v>2018</v>
      </c>
      <c r="B1744" t="s">
        <v>31</v>
      </c>
      <c r="C1744" t="s">
        <v>118</v>
      </c>
      <c r="D1744" s="1" t="s">
        <v>6</v>
      </c>
      <c r="E1744">
        <v>142</v>
      </c>
      <c r="F1744">
        <v>141.1</v>
      </c>
      <c r="G1744">
        <v>139.6</v>
      </c>
      <c r="H1744" s="1" t="s">
        <v>188</v>
      </c>
    </row>
    <row r="1745" spans="1:8" x14ac:dyDescent="0.3">
      <c r="A1745">
        <v>2018</v>
      </c>
      <c r="B1745" t="s">
        <v>31</v>
      </c>
      <c r="C1745" t="s">
        <v>118</v>
      </c>
      <c r="D1745" s="1" t="s">
        <v>28</v>
      </c>
      <c r="E1745">
        <v>132.30000000000001</v>
      </c>
      <c r="F1745">
        <v>129.1</v>
      </c>
      <c r="G1745">
        <v>125.8</v>
      </c>
      <c r="H1745" s="1" t="s">
        <v>192</v>
      </c>
    </row>
    <row r="1746" spans="1:8" x14ac:dyDescent="0.3">
      <c r="A1746">
        <v>2018</v>
      </c>
      <c r="B1746" t="s">
        <v>31</v>
      </c>
      <c r="C1746" t="s">
        <v>118</v>
      </c>
      <c r="D1746" s="1" t="s">
        <v>13</v>
      </c>
      <c r="E1746">
        <v>131.19999999999999</v>
      </c>
      <c r="F1746">
        <v>129</v>
      </c>
      <c r="G1746">
        <v>125.9</v>
      </c>
      <c r="H1746" s="1" t="s">
        <v>188</v>
      </c>
    </row>
    <row r="1747" spans="1:8" x14ac:dyDescent="0.3">
      <c r="A1747">
        <v>2018</v>
      </c>
      <c r="B1747" t="s">
        <v>31</v>
      </c>
      <c r="C1747" t="s">
        <v>118</v>
      </c>
      <c r="D1747" s="1" t="s">
        <v>7</v>
      </c>
      <c r="E1747">
        <v>123.2</v>
      </c>
      <c r="F1747">
        <v>120.7</v>
      </c>
      <c r="G1747">
        <v>116.4</v>
      </c>
      <c r="H1747" s="1" t="s">
        <v>188</v>
      </c>
    </row>
    <row r="1748" spans="1:8" x14ac:dyDescent="0.3">
      <c r="A1748">
        <v>2018</v>
      </c>
      <c r="B1748" t="s">
        <v>31</v>
      </c>
      <c r="C1748" t="s">
        <v>118</v>
      </c>
      <c r="D1748" s="1" t="s">
        <v>16</v>
      </c>
      <c r="E1748">
        <v>153.6</v>
      </c>
      <c r="F1748">
        <v>154.69999999999999</v>
      </c>
      <c r="G1748">
        <v>157.69999999999999</v>
      </c>
      <c r="H1748" s="1" t="s">
        <v>192</v>
      </c>
    </row>
    <row r="1749" spans="1:8" x14ac:dyDescent="0.3">
      <c r="A1749">
        <v>2018</v>
      </c>
      <c r="B1749" t="s">
        <v>31</v>
      </c>
      <c r="C1749" t="s">
        <v>118</v>
      </c>
      <c r="D1749" s="1" t="s">
        <v>27</v>
      </c>
      <c r="E1749">
        <v>128.6</v>
      </c>
      <c r="F1749">
        <v>127.3</v>
      </c>
      <c r="G1749">
        <v>125.5</v>
      </c>
      <c r="H1749" s="1" t="s">
        <v>192</v>
      </c>
    </row>
    <row r="1750" spans="1:8" x14ac:dyDescent="0.3">
      <c r="A1750">
        <v>2018</v>
      </c>
      <c r="B1750" t="s">
        <v>31</v>
      </c>
      <c r="C1750" t="s">
        <v>118</v>
      </c>
      <c r="D1750" s="1" t="s">
        <v>14</v>
      </c>
      <c r="E1750">
        <v>151.80000000000001</v>
      </c>
      <c r="F1750">
        <v>149.5</v>
      </c>
      <c r="G1750">
        <v>146.80000000000001</v>
      </c>
      <c r="H1750" s="1" t="s">
        <v>188</v>
      </c>
    </row>
    <row r="1751" spans="1:8" x14ac:dyDescent="0.3">
      <c r="A1751">
        <v>2018</v>
      </c>
      <c r="B1751" t="s">
        <v>31</v>
      </c>
      <c r="C1751" t="s">
        <v>118</v>
      </c>
      <c r="D1751" s="1" t="s">
        <v>10</v>
      </c>
      <c r="E1751">
        <v>131.80000000000001</v>
      </c>
      <c r="F1751">
        <v>127.3</v>
      </c>
      <c r="G1751">
        <v>118.4</v>
      </c>
      <c r="H1751" s="1" t="s">
        <v>188</v>
      </c>
    </row>
    <row r="1752" spans="1:8" x14ac:dyDescent="0.3">
      <c r="A1752">
        <v>2018</v>
      </c>
      <c r="B1752" t="s">
        <v>31</v>
      </c>
      <c r="C1752" t="s">
        <v>118</v>
      </c>
      <c r="D1752" s="1" t="s">
        <v>25</v>
      </c>
      <c r="E1752">
        <v>134.30000000000001</v>
      </c>
      <c r="F1752">
        <v>129.69999999999999</v>
      </c>
      <c r="G1752">
        <v>126.2</v>
      </c>
      <c r="H1752" s="1" t="s">
        <v>195</v>
      </c>
    </row>
    <row r="1753" spans="1:8" x14ac:dyDescent="0.3">
      <c r="A1753">
        <v>2018</v>
      </c>
      <c r="B1753" t="s">
        <v>31</v>
      </c>
      <c r="C1753" t="s">
        <v>118</v>
      </c>
      <c r="D1753" s="1" t="s">
        <v>12</v>
      </c>
      <c r="E1753">
        <v>136</v>
      </c>
      <c r="F1753">
        <v>137.5</v>
      </c>
      <c r="G1753">
        <v>140.5</v>
      </c>
      <c r="H1753" s="1" t="s">
        <v>188</v>
      </c>
    </row>
    <row r="1754" spans="1:8" x14ac:dyDescent="0.3">
      <c r="A1754">
        <v>2018</v>
      </c>
      <c r="B1754" t="s">
        <v>31</v>
      </c>
      <c r="C1754" t="s">
        <v>118</v>
      </c>
      <c r="D1754" s="1" t="s">
        <v>11</v>
      </c>
      <c r="E1754">
        <v>119.5</v>
      </c>
      <c r="F1754">
        <v>118.8</v>
      </c>
      <c r="G1754">
        <v>117.3</v>
      </c>
      <c r="H1754" s="1" t="s">
        <v>188</v>
      </c>
    </row>
    <row r="1755" spans="1:8" x14ac:dyDescent="0.3">
      <c r="A1755">
        <v>2018</v>
      </c>
      <c r="B1755" t="s">
        <v>31</v>
      </c>
      <c r="C1755" t="s">
        <v>118</v>
      </c>
      <c r="D1755" s="1" t="s">
        <v>24</v>
      </c>
      <c r="E1755">
        <v>122.7</v>
      </c>
      <c r="F1755">
        <v>119.3</v>
      </c>
      <c r="G1755">
        <v>116.3</v>
      </c>
      <c r="H1755" s="1" t="s">
        <v>191</v>
      </c>
    </row>
    <row r="1756" spans="1:8" x14ac:dyDescent="0.3">
      <c r="A1756">
        <v>2018</v>
      </c>
      <c r="B1756" t="s">
        <v>31</v>
      </c>
      <c r="C1756" t="s">
        <v>118</v>
      </c>
      <c r="D1756" s="1" t="s">
        <v>9</v>
      </c>
      <c r="E1756">
        <v>152.1</v>
      </c>
      <c r="F1756">
        <v>151.6</v>
      </c>
      <c r="G1756">
        <v>150.5</v>
      </c>
      <c r="H1756" s="1" t="s">
        <v>188</v>
      </c>
    </row>
    <row r="1757" spans="1:8" x14ac:dyDescent="0.3">
      <c r="A1757">
        <v>2018</v>
      </c>
      <c r="B1757" t="s">
        <v>40</v>
      </c>
      <c r="C1757" t="s">
        <v>119</v>
      </c>
      <c r="D1757" s="1" t="s">
        <v>3</v>
      </c>
      <c r="E1757">
        <v>138.4</v>
      </c>
      <c r="F1757">
        <v>137.5</v>
      </c>
      <c r="G1757">
        <v>135.6</v>
      </c>
      <c r="H1757" s="1" t="s">
        <v>188</v>
      </c>
    </row>
    <row r="1758" spans="1:8" x14ac:dyDescent="0.3">
      <c r="A1758">
        <v>2018</v>
      </c>
      <c r="B1758" t="s">
        <v>40</v>
      </c>
      <c r="C1758" t="s">
        <v>119</v>
      </c>
      <c r="D1758" s="1" t="s">
        <v>17</v>
      </c>
      <c r="E1758">
        <v>151.5</v>
      </c>
      <c r="F1758">
        <v>146.80000000000001</v>
      </c>
      <c r="G1758">
        <v>139.6</v>
      </c>
      <c r="H1758" s="1" t="s">
        <v>189</v>
      </c>
    </row>
    <row r="1759" spans="1:8" x14ac:dyDescent="0.3">
      <c r="A1759">
        <v>2018</v>
      </c>
      <c r="B1759" t="s">
        <v>40</v>
      </c>
      <c r="C1759" t="s">
        <v>119</v>
      </c>
      <c r="D1759" s="1" t="s">
        <v>19</v>
      </c>
      <c r="E1759">
        <v>150.6</v>
      </c>
      <c r="F1759">
        <v>145.6</v>
      </c>
      <c r="G1759">
        <v>137.9</v>
      </c>
      <c r="H1759" s="1" t="s">
        <v>189</v>
      </c>
    </row>
    <row r="1760" spans="1:8" x14ac:dyDescent="0.3">
      <c r="A1760">
        <v>2018</v>
      </c>
      <c r="B1760" t="s">
        <v>40</v>
      </c>
      <c r="C1760" t="s">
        <v>119</v>
      </c>
      <c r="D1760" s="1" t="s">
        <v>26</v>
      </c>
      <c r="E1760">
        <v>145.80000000000001</v>
      </c>
      <c r="F1760">
        <v>144.69999999999999</v>
      </c>
      <c r="G1760">
        <v>144</v>
      </c>
      <c r="H1760" s="1" t="s">
        <v>26</v>
      </c>
    </row>
    <row r="1761" spans="1:8" x14ac:dyDescent="0.3">
      <c r="A1761">
        <v>2018</v>
      </c>
      <c r="B1761" t="s">
        <v>40</v>
      </c>
      <c r="C1761" t="s">
        <v>119</v>
      </c>
      <c r="D1761" s="1" t="s">
        <v>5</v>
      </c>
      <c r="E1761">
        <v>139.30000000000001</v>
      </c>
      <c r="F1761">
        <v>139.19999999999999</v>
      </c>
      <c r="G1761">
        <v>139.1</v>
      </c>
      <c r="H1761" s="1" t="s">
        <v>188</v>
      </c>
    </row>
    <row r="1762" spans="1:8" x14ac:dyDescent="0.3">
      <c r="A1762">
        <v>2018</v>
      </c>
      <c r="B1762" t="s">
        <v>40</v>
      </c>
      <c r="C1762" t="s">
        <v>119</v>
      </c>
      <c r="D1762" s="1" t="s">
        <v>15</v>
      </c>
      <c r="E1762">
        <v>142</v>
      </c>
      <c r="F1762">
        <v>141.4</v>
      </c>
      <c r="G1762">
        <v>140.30000000000001</v>
      </c>
      <c r="H1762" s="1" t="s">
        <v>188</v>
      </c>
    </row>
    <row r="1763" spans="1:8" x14ac:dyDescent="0.3">
      <c r="A1763">
        <v>2018</v>
      </c>
      <c r="B1763" t="s">
        <v>40</v>
      </c>
      <c r="C1763" t="s">
        <v>119</v>
      </c>
      <c r="D1763" s="1" t="s">
        <v>18</v>
      </c>
      <c r="E1763">
        <v>145.1</v>
      </c>
      <c r="F1763">
        <v>138.4</v>
      </c>
      <c r="G1763">
        <v>128.9</v>
      </c>
      <c r="H1763" s="1" t="s">
        <v>189</v>
      </c>
    </row>
    <row r="1764" spans="1:8" x14ac:dyDescent="0.3">
      <c r="A1764">
        <v>2018</v>
      </c>
      <c r="B1764" t="s">
        <v>40</v>
      </c>
      <c r="C1764" t="s">
        <v>119</v>
      </c>
      <c r="D1764" s="1" t="s">
        <v>8</v>
      </c>
      <c r="E1764">
        <v>153.30000000000001</v>
      </c>
      <c r="F1764">
        <v>151.6</v>
      </c>
      <c r="G1764">
        <v>149.69999999999999</v>
      </c>
      <c r="H1764" s="1" t="s">
        <v>188</v>
      </c>
    </row>
    <row r="1765" spans="1:8" x14ac:dyDescent="0.3">
      <c r="A1765">
        <v>2018</v>
      </c>
      <c r="B1765" t="s">
        <v>40</v>
      </c>
      <c r="C1765" t="s">
        <v>119</v>
      </c>
      <c r="D1765" s="1" t="s">
        <v>21</v>
      </c>
      <c r="E1765">
        <v>146.80000000000001</v>
      </c>
      <c r="F1765">
        <v>139.69999999999999</v>
      </c>
      <c r="G1765">
        <v>128.1</v>
      </c>
      <c r="H1765" s="1" t="s">
        <v>190</v>
      </c>
    </row>
    <row r="1766" spans="1:8" x14ac:dyDescent="0.3">
      <c r="A1766">
        <v>2018</v>
      </c>
      <c r="B1766" t="s">
        <v>40</v>
      </c>
      <c r="C1766" t="s">
        <v>119</v>
      </c>
      <c r="D1766" s="1" t="s">
        <v>29</v>
      </c>
      <c r="E1766">
        <v>141.80000000000001</v>
      </c>
      <c r="F1766">
        <v>139.80000000000001</v>
      </c>
      <c r="G1766">
        <v>137.5</v>
      </c>
      <c r="H1766" s="1" t="s">
        <v>206</v>
      </c>
    </row>
    <row r="1767" spans="1:8" x14ac:dyDescent="0.3">
      <c r="A1767">
        <v>2018</v>
      </c>
      <c r="B1767" t="s">
        <v>40</v>
      </c>
      <c r="C1767" t="s">
        <v>119</v>
      </c>
      <c r="D1767" s="1" t="s">
        <v>23</v>
      </c>
      <c r="E1767">
        <v>139</v>
      </c>
      <c r="F1767">
        <v>137</v>
      </c>
      <c r="G1767">
        <v>133.6</v>
      </c>
      <c r="H1767" s="1" t="s">
        <v>23</v>
      </c>
    </row>
    <row r="1768" spans="1:8" x14ac:dyDescent="0.3">
      <c r="A1768">
        <v>2018</v>
      </c>
      <c r="B1768" t="s">
        <v>40</v>
      </c>
      <c r="C1768" t="s">
        <v>119</v>
      </c>
      <c r="D1768" s="1" t="s">
        <v>22</v>
      </c>
      <c r="E1768">
        <v>143.1</v>
      </c>
      <c r="F1768">
        <v>138.6</v>
      </c>
      <c r="G1768">
        <v>133.6</v>
      </c>
      <c r="H1768" s="1" t="s">
        <v>20</v>
      </c>
    </row>
    <row r="1769" spans="1:8" x14ac:dyDescent="0.3">
      <c r="A1769">
        <v>2018</v>
      </c>
      <c r="B1769" t="s">
        <v>40</v>
      </c>
      <c r="C1769" t="s">
        <v>119</v>
      </c>
      <c r="D1769" s="1" t="s">
        <v>20</v>
      </c>
      <c r="E1769">
        <v>0</v>
      </c>
      <c r="F1769">
        <v>143.6</v>
      </c>
      <c r="G1769">
        <v>143.6</v>
      </c>
      <c r="H1769" s="1" t="s">
        <v>20</v>
      </c>
    </row>
    <row r="1770" spans="1:8" x14ac:dyDescent="0.3">
      <c r="A1770">
        <v>2018</v>
      </c>
      <c r="B1770" t="s">
        <v>40</v>
      </c>
      <c r="C1770" t="s">
        <v>119</v>
      </c>
      <c r="D1770" s="1" t="s">
        <v>4</v>
      </c>
      <c r="E1770">
        <v>149.30000000000001</v>
      </c>
      <c r="F1770">
        <v>149.1</v>
      </c>
      <c r="G1770">
        <v>148.6</v>
      </c>
      <c r="H1770" s="1" t="s">
        <v>188</v>
      </c>
    </row>
    <row r="1771" spans="1:8" x14ac:dyDescent="0.3">
      <c r="A1771">
        <v>2018</v>
      </c>
      <c r="B1771" t="s">
        <v>40</v>
      </c>
      <c r="C1771" t="s">
        <v>119</v>
      </c>
      <c r="D1771" s="1" t="s">
        <v>6</v>
      </c>
      <c r="E1771">
        <v>143.4</v>
      </c>
      <c r="F1771">
        <v>142.5</v>
      </c>
      <c r="G1771">
        <v>141</v>
      </c>
      <c r="H1771" s="1" t="s">
        <v>188</v>
      </c>
    </row>
    <row r="1772" spans="1:8" x14ac:dyDescent="0.3">
      <c r="A1772">
        <v>2018</v>
      </c>
      <c r="B1772" t="s">
        <v>40</v>
      </c>
      <c r="C1772" t="s">
        <v>119</v>
      </c>
      <c r="D1772" s="1" t="s">
        <v>28</v>
      </c>
      <c r="E1772">
        <v>136</v>
      </c>
      <c r="F1772">
        <v>133.19999999999999</v>
      </c>
      <c r="G1772">
        <v>130.19999999999999</v>
      </c>
      <c r="H1772" s="1" t="s">
        <v>192</v>
      </c>
    </row>
    <row r="1773" spans="1:8" x14ac:dyDescent="0.3">
      <c r="A1773">
        <v>2018</v>
      </c>
      <c r="B1773" t="s">
        <v>40</v>
      </c>
      <c r="C1773" t="s">
        <v>119</v>
      </c>
      <c r="D1773" s="1" t="s">
        <v>13</v>
      </c>
      <c r="E1773">
        <v>132.80000000000001</v>
      </c>
      <c r="F1773">
        <v>130.30000000000001</v>
      </c>
      <c r="G1773">
        <v>126.8</v>
      </c>
      <c r="H1773" s="1" t="s">
        <v>188</v>
      </c>
    </row>
    <row r="1774" spans="1:8" x14ac:dyDescent="0.3">
      <c r="A1774">
        <v>2018</v>
      </c>
      <c r="B1774" t="s">
        <v>40</v>
      </c>
      <c r="C1774" t="s">
        <v>119</v>
      </c>
      <c r="D1774" s="1" t="s">
        <v>7</v>
      </c>
      <c r="E1774">
        <v>124.1</v>
      </c>
      <c r="F1774">
        <v>121.4</v>
      </c>
      <c r="G1774">
        <v>116.7</v>
      </c>
      <c r="H1774" s="1" t="s">
        <v>188</v>
      </c>
    </row>
    <row r="1775" spans="1:8" x14ac:dyDescent="0.3">
      <c r="A1775">
        <v>2018</v>
      </c>
      <c r="B1775" t="s">
        <v>40</v>
      </c>
      <c r="C1775" t="s">
        <v>119</v>
      </c>
      <c r="D1775" s="1" t="s">
        <v>16</v>
      </c>
      <c r="E1775">
        <v>156.1</v>
      </c>
      <c r="F1775">
        <v>157.5</v>
      </c>
      <c r="G1775">
        <v>161.4</v>
      </c>
      <c r="H1775" s="1" t="s">
        <v>192</v>
      </c>
    </row>
    <row r="1776" spans="1:8" x14ac:dyDescent="0.3">
      <c r="A1776">
        <v>2018</v>
      </c>
      <c r="B1776" t="s">
        <v>40</v>
      </c>
      <c r="C1776" t="s">
        <v>119</v>
      </c>
      <c r="D1776" s="1" t="s">
        <v>27</v>
      </c>
      <c r="E1776">
        <v>131.4</v>
      </c>
      <c r="F1776">
        <v>130.1</v>
      </c>
      <c r="G1776">
        <v>128.19999999999999</v>
      </c>
      <c r="H1776" s="1" t="s">
        <v>192</v>
      </c>
    </row>
    <row r="1777" spans="1:8" x14ac:dyDescent="0.3">
      <c r="A1777">
        <v>2018</v>
      </c>
      <c r="B1777" t="s">
        <v>40</v>
      </c>
      <c r="C1777" t="s">
        <v>119</v>
      </c>
      <c r="D1777" s="1" t="s">
        <v>14</v>
      </c>
      <c r="E1777">
        <v>154.80000000000001</v>
      </c>
      <c r="F1777">
        <v>152.30000000000001</v>
      </c>
      <c r="G1777">
        <v>149.4</v>
      </c>
      <c r="H1777" s="1" t="s">
        <v>188</v>
      </c>
    </row>
    <row r="1778" spans="1:8" x14ac:dyDescent="0.3">
      <c r="A1778">
        <v>2018</v>
      </c>
      <c r="B1778" t="s">
        <v>40</v>
      </c>
      <c r="C1778" t="s">
        <v>119</v>
      </c>
      <c r="D1778" s="1" t="s">
        <v>10</v>
      </c>
      <c r="E1778">
        <v>126.4</v>
      </c>
      <c r="F1778">
        <v>121.7</v>
      </c>
      <c r="G1778">
        <v>112.6</v>
      </c>
      <c r="H1778" s="1" t="s">
        <v>188</v>
      </c>
    </row>
    <row r="1779" spans="1:8" x14ac:dyDescent="0.3">
      <c r="A1779">
        <v>2018</v>
      </c>
      <c r="B1779" t="s">
        <v>40</v>
      </c>
      <c r="C1779" t="s">
        <v>119</v>
      </c>
      <c r="D1779" s="1" t="s">
        <v>25</v>
      </c>
      <c r="E1779">
        <v>138.4</v>
      </c>
      <c r="F1779">
        <v>133.1</v>
      </c>
      <c r="G1779">
        <v>129</v>
      </c>
      <c r="H1779" s="1" t="s">
        <v>195</v>
      </c>
    </row>
    <row r="1780" spans="1:8" x14ac:dyDescent="0.3">
      <c r="A1780">
        <v>2018</v>
      </c>
      <c r="B1780" t="s">
        <v>40</v>
      </c>
      <c r="C1780" t="s">
        <v>119</v>
      </c>
      <c r="D1780" s="1" t="s">
        <v>12</v>
      </c>
      <c r="E1780">
        <v>138.19999999999999</v>
      </c>
      <c r="F1780">
        <v>138.9</v>
      </c>
      <c r="G1780">
        <v>140.30000000000001</v>
      </c>
      <c r="H1780" s="1" t="s">
        <v>188</v>
      </c>
    </row>
    <row r="1781" spans="1:8" x14ac:dyDescent="0.3">
      <c r="A1781">
        <v>2018</v>
      </c>
      <c r="B1781" t="s">
        <v>40</v>
      </c>
      <c r="C1781" t="s">
        <v>119</v>
      </c>
      <c r="D1781" s="1" t="s">
        <v>11</v>
      </c>
      <c r="E1781">
        <v>114.3</v>
      </c>
      <c r="F1781">
        <v>113.5</v>
      </c>
      <c r="G1781">
        <v>111.8</v>
      </c>
      <c r="H1781" s="1" t="s">
        <v>188</v>
      </c>
    </row>
    <row r="1782" spans="1:8" x14ac:dyDescent="0.3">
      <c r="A1782">
        <v>2018</v>
      </c>
      <c r="B1782" t="s">
        <v>40</v>
      </c>
      <c r="C1782" t="s">
        <v>119</v>
      </c>
      <c r="D1782" s="1" t="s">
        <v>24</v>
      </c>
      <c r="E1782">
        <v>127.5</v>
      </c>
      <c r="F1782">
        <v>123.6</v>
      </c>
      <c r="G1782">
        <v>120.1</v>
      </c>
      <c r="H1782" s="1" t="s">
        <v>191</v>
      </c>
    </row>
    <row r="1783" spans="1:8" x14ac:dyDescent="0.3">
      <c r="A1783">
        <v>2018</v>
      </c>
      <c r="B1783" t="s">
        <v>40</v>
      </c>
      <c r="C1783" t="s">
        <v>119</v>
      </c>
      <c r="D1783" s="1" t="s">
        <v>9</v>
      </c>
      <c r="E1783">
        <v>154.19999999999999</v>
      </c>
      <c r="F1783">
        <v>155.9</v>
      </c>
      <c r="G1783">
        <v>159.19999999999999</v>
      </c>
      <c r="H1783" s="1" t="s">
        <v>188</v>
      </c>
    </row>
    <row r="1784" spans="1:8" x14ac:dyDescent="0.3">
      <c r="A1784">
        <v>2018</v>
      </c>
      <c r="B1784" t="s">
        <v>39</v>
      </c>
      <c r="C1784" t="s">
        <v>120</v>
      </c>
      <c r="D1784" s="1" t="s">
        <v>3</v>
      </c>
      <c r="E1784">
        <v>137.6</v>
      </c>
      <c r="F1784">
        <v>136.9</v>
      </c>
      <c r="G1784">
        <v>135.30000000000001</v>
      </c>
      <c r="H1784" s="1" t="s">
        <v>188</v>
      </c>
    </row>
    <row r="1785" spans="1:8" x14ac:dyDescent="0.3">
      <c r="A1785">
        <v>2018</v>
      </c>
      <c r="B1785" t="s">
        <v>39</v>
      </c>
      <c r="C1785" t="s">
        <v>120</v>
      </c>
      <c r="D1785" s="1" t="s">
        <v>17</v>
      </c>
      <c r="E1785">
        <v>151.30000000000001</v>
      </c>
      <c r="F1785">
        <v>146.4</v>
      </c>
      <c r="G1785">
        <v>138.9</v>
      </c>
      <c r="H1785" s="1" t="s">
        <v>189</v>
      </c>
    </row>
    <row r="1786" spans="1:8" x14ac:dyDescent="0.3">
      <c r="A1786">
        <v>2018</v>
      </c>
      <c r="B1786" t="s">
        <v>39</v>
      </c>
      <c r="C1786" t="s">
        <v>120</v>
      </c>
      <c r="D1786" s="1" t="s">
        <v>19</v>
      </c>
      <c r="E1786">
        <v>150.30000000000001</v>
      </c>
      <c r="F1786">
        <v>145.19999999999999</v>
      </c>
      <c r="G1786">
        <v>137.4</v>
      </c>
      <c r="H1786" s="1" t="s">
        <v>189</v>
      </c>
    </row>
    <row r="1787" spans="1:8" x14ac:dyDescent="0.3">
      <c r="A1787">
        <v>2018</v>
      </c>
      <c r="B1787" t="s">
        <v>39</v>
      </c>
      <c r="C1787" t="s">
        <v>120</v>
      </c>
      <c r="D1787" s="1" t="s">
        <v>26</v>
      </c>
      <c r="E1787">
        <v>145.1</v>
      </c>
      <c r="F1787">
        <v>142.80000000000001</v>
      </c>
      <c r="G1787">
        <v>141.19999999999999</v>
      </c>
      <c r="H1787" s="1" t="s">
        <v>26</v>
      </c>
    </row>
    <row r="1788" spans="1:8" x14ac:dyDescent="0.3">
      <c r="A1788">
        <v>2018</v>
      </c>
      <c r="B1788" t="s">
        <v>39</v>
      </c>
      <c r="C1788" t="s">
        <v>120</v>
      </c>
      <c r="D1788" s="1" t="s">
        <v>5</v>
      </c>
      <c r="E1788">
        <v>136.69999999999999</v>
      </c>
      <c r="F1788">
        <v>135.6</v>
      </c>
      <c r="G1788">
        <v>133.9</v>
      </c>
      <c r="H1788" s="1" t="s">
        <v>188</v>
      </c>
    </row>
    <row r="1789" spans="1:8" x14ac:dyDescent="0.3">
      <c r="A1789">
        <v>2018</v>
      </c>
      <c r="B1789" t="s">
        <v>39</v>
      </c>
      <c r="C1789" t="s">
        <v>120</v>
      </c>
      <c r="D1789" s="1" t="s">
        <v>15</v>
      </c>
      <c r="E1789">
        <v>140</v>
      </c>
      <c r="F1789">
        <v>139.4</v>
      </c>
      <c r="G1789">
        <v>138.4</v>
      </c>
      <c r="H1789" s="1" t="s">
        <v>188</v>
      </c>
    </row>
    <row r="1790" spans="1:8" x14ac:dyDescent="0.3">
      <c r="A1790">
        <v>2018</v>
      </c>
      <c r="B1790" t="s">
        <v>39</v>
      </c>
      <c r="C1790" t="s">
        <v>120</v>
      </c>
      <c r="D1790" s="1" t="s">
        <v>18</v>
      </c>
      <c r="E1790">
        <v>144.69999999999999</v>
      </c>
      <c r="F1790">
        <v>138.1</v>
      </c>
      <c r="G1790">
        <v>128.69999999999999</v>
      </c>
      <c r="H1790" s="1" t="s">
        <v>189</v>
      </c>
    </row>
    <row r="1791" spans="1:8" x14ac:dyDescent="0.3">
      <c r="A1791">
        <v>2018</v>
      </c>
      <c r="B1791" t="s">
        <v>39</v>
      </c>
      <c r="C1791" t="s">
        <v>120</v>
      </c>
      <c r="D1791" s="1" t="s">
        <v>8</v>
      </c>
      <c r="E1791">
        <v>154.1</v>
      </c>
      <c r="F1791">
        <v>153.19999999999999</v>
      </c>
      <c r="G1791">
        <v>152.19999999999999</v>
      </c>
      <c r="H1791" s="1" t="s">
        <v>188</v>
      </c>
    </row>
    <row r="1792" spans="1:8" x14ac:dyDescent="0.3">
      <c r="A1792">
        <v>2018</v>
      </c>
      <c r="B1792" t="s">
        <v>39</v>
      </c>
      <c r="C1792" t="s">
        <v>120</v>
      </c>
      <c r="D1792" s="1" t="s">
        <v>21</v>
      </c>
      <c r="E1792">
        <v>145.1</v>
      </c>
      <c r="F1792">
        <v>138.1</v>
      </c>
      <c r="G1792">
        <v>126.5</v>
      </c>
      <c r="H1792" s="1" t="s">
        <v>190</v>
      </c>
    </row>
    <row r="1793" spans="1:8" x14ac:dyDescent="0.3">
      <c r="A1793">
        <v>2018</v>
      </c>
      <c r="B1793" t="s">
        <v>39</v>
      </c>
      <c r="C1793" t="s">
        <v>120</v>
      </c>
      <c r="D1793" s="1" t="s">
        <v>29</v>
      </c>
      <c r="E1793">
        <v>140.5</v>
      </c>
      <c r="F1793">
        <v>138.5</v>
      </c>
      <c r="G1793">
        <v>136.19999999999999</v>
      </c>
      <c r="H1793" s="1" t="s">
        <v>206</v>
      </c>
    </row>
    <row r="1794" spans="1:8" x14ac:dyDescent="0.3">
      <c r="A1794">
        <v>2018</v>
      </c>
      <c r="B1794" t="s">
        <v>39</v>
      </c>
      <c r="C1794" t="s">
        <v>120</v>
      </c>
      <c r="D1794" s="1" t="s">
        <v>23</v>
      </c>
      <c r="E1794">
        <v>138.4</v>
      </c>
      <c r="F1794">
        <v>136.19999999999999</v>
      </c>
      <c r="G1794">
        <v>132.6</v>
      </c>
      <c r="H1794" s="1" t="s">
        <v>23</v>
      </c>
    </row>
    <row r="1795" spans="1:8" x14ac:dyDescent="0.3">
      <c r="A1795">
        <v>2018</v>
      </c>
      <c r="B1795" t="s">
        <v>39</v>
      </c>
      <c r="C1795" t="s">
        <v>120</v>
      </c>
      <c r="D1795" s="1" t="s">
        <v>22</v>
      </c>
      <c r="E1795">
        <v>142.19999999999999</v>
      </c>
      <c r="F1795">
        <v>137.9</v>
      </c>
      <c r="G1795">
        <v>133.1</v>
      </c>
      <c r="H1795" s="1" t="s">
        <v>20</v>
      </c>
    </row>
    <row r="1796" spans="1:8" x14ac:dyDescent="0.3">
      <c r="A1796">
        <v>2018</v>
      </c>
      <c r="B1796" t="s">
        <v>39</v>
      </c>
      <c r="C1796" t="s">
        <v>120</v>
      </c>
      <c r="D1796" s="1" t="s">
        <v>20</v>
      </c>
      <c r="E1796">
        <v>0</v>
      </c>
      <c r="F1796">
        <v>142.5</v>
      </c>
      <c r="G1796">
        <v>142.5</v>
      </c>
      <c r="H1796" s="1" t="s">
        <v>20</v>
      </c>
    </row>
    <row r="1797" spans="1:8" x14ac:dyDescent="0.3">
      <c r="A1797">
        <v>2018</v>
      </c>
      <c r="B1797" t="s">
        <v>39</v>
      </c>
      <c r="C1797" t="s">
        <v>120</v>
      </c>
      <c r="D1797" s="1" t="s">
        <v>4</v>
      </c>
      <c r="E1797">
        <v>148.1</v>
      </c>
      <c r="F1797">
        <v>148.69999999999999</v>
      </c>
      <c r="G1797">
        <v>149.69999999999999</v>
      </c>
      <c r="H1797" s="1" t="s">
        <v>188</v>
      </c>
    </row>
    <row r="1798" spans="1:8" x14ac:dyDescent="0.3">
      <c r="A1798">
        <v>2018</v>
      </c>
      <c r="B1798" t="s">
        <v>39</v>
      </c>
      <c r="C1798" t="s">
        <v>120</v>
      </c>
      <c r="D1798" s="1" t="s">
        <v>6</v>
      </c>
      <c r="E1798">
        <v>143.19999999999999</v>
      </c>
      <c r="F1798">
        <v>142.30000000000001</v>
      </c>
      <c r="G1798">
        <v>140.80000000000001</v>
      </c>
      <c r="H1798" s="1" t="s">
        <v>188</v>
      </c>
    </row>
    <row r="1799" spans="1:8" x14ac:dyDescent="0.3">
      <c r="A1799">
        <v>2018</v>
      </c>
      <c r="B1799" t="s">
        <v>39</v>
      </c>
      <c r="C1799" t="s">
        <v>120</v>
      </c>
      <c r="D1799" s="1" t="s">
        <v>28</v>
      </c>
      <c r="E1799">
        <v>135.6</v>
      </c>
      <c r="F1799">
        <v>132.6</v>
      </c>
      <c r="G1799">
        <v>129.5</v>
      </c>
      <c r="H1799" s="1" t="s">
        <v>192</v>
      </c>
    </row>
    <row r="1800" spans="1:8" x14ac:dyDescent="0.3">
      <c r="A1800">
        <v>2018</v>
      </c>
      <c r="B1800" t="s">
        <v>39</v>
      </c>
      <c r="C1800" t="s">
        <v>120</v>
      </c>
      <c r="D1800" s="1" t="s">
        <v>13</v>
      </c>
      <c r="E1800">
        <v>132.80000000000001</v>
      </c>
      <c r="F1800">
        <v>130.30000000000001</v>
      </c>
      <c r="G1800">
        <v>126.7</v>
      </c>
      <c r="H1800" s="1" t="s">
        <v>188</v>
      </c>
    </row>
    <row r="1801" spans="1:8" x14ac:dyDescent="0.3">
      <c r="A1801">
        <v>2018</v>
      </c>
      <c r="B1801" t="s">
        <v>39</v>
      </c>
      <c r="C1801" t="s">
        <v>120</v>
      </c>
      <c r="D1801" s="1" t="s">
        <v>7</v>
      </c>
      <c r="E1801">
        <v>124</v>
      </c>
      <c r="F1801">
        <v>121.3</v>
      </c>
      <c r="G1801">
        <v>116.6</v>
      </c>
      <c r="H1801" s="1" t="s">
        <v>188</v>
      </c>
    </row>
    <row r="1802" spans="1:8" x14ac:dyDescent="0.3">
      <c r="A1802">
        <v>2018</v>
      </c>
      <c r="B1802" t="s">
        <v>39</v>
      </c>
      <c r="C1802" t="s">
        <v>120</v>
      </c>
      <c r="D1802" s="1" t="s">
        <v>16</v>
      </c>
      <c r="E1802">
        <v>157.30000000000001</v>
      </c>
      <c r="F1802">
        <v>158.30000000000001</v>
      </c>
      <c r="G1802">
        <v>161</v>
      </c>
      <c r="H1802" s="1" t="s">
        <v>192</v>
      </c>
    </row>
    <row r="1803" spans="1:8" x14ac:dyDescent="0.3">
      <c r="A1803">
        <v>2018</v>
      </c>
      <c r="B1803" t="s">
        <v>39</v>
      </c>
      <c r="C1803" t="s">
        <v>120</v>
      </c>
      <c r="D1803" s="1" t="s">
        <v>27</v>
      </c>
      <c r="E1803">
        <v>131.4</v>
      </c>
      <c r="F1803">
        <v>130.1</v>
      </c>
      <c r="G1803">
        <v>128.19999999999999</v>
      </c>
      <c r="H1803" s="1" t="s">
        <v>192</v>
      </c>
    </row>
    <row r="1804" spans="1:8" x14ac:dyDescent="0.3">
      <c r="A1804">
        <v>2018</v>
      </c>
      <c r="B1804" t="s">
        <v>39</v>
      </c>
      <c r="C1804" t="s">
        <v>120</v>
      </c>
      <c r="D1804" s="1" t="s">
        <v>14</v>
      </c>
      <c r="E1804">
        <v>154.30000000000001</v>
      </c>
      <c r="F1804">
        <v>151.80000000000001</v>
      </c>
      <c r="G1804">
        <v>149</v>
      </c>
      <c r="H1804" s="1" t="s">
        <v>188</v>
      </c>
    </row>
    <row r="1805" spans="1:8" x14ac:dyDescent="0.3">
      <c r="A1805">
        <v>2018</v>
      </c>
      <c r="B1805" t="s">
        <v>39</v>
      </c>
      <c r="C1805" t="s">
        <v>120</v>
      </c>
      <c r="D1805" s="1" t="s">
        <v>10</v>
      </c>
      <c r="E1805">
        <v>126</v>
      </c>
      <c r="F1805">
        <v>121.4</v>
      </c>
      <c r="G1805">
        <v>112.3</v>
      </c>
      <c r="H1805" s="1" t="s">
        <v>188</v>
      </c>
    </row>
    <row r="1806" spans="1:8" x14ac:dyDescent="0.3">
      <c r="A1806">
        <v>2018</v>
      </c>
      <c r="B1806" t="s">
        <v>39</v>
      </c>
      <c r="C1806" t="s">
        <v>120</v>
      </c>
      <c r="D1806" s="1" t="s">
        <v>25</v>
      </c>
      <c r="E1806">
        <v>137.80000000000001</v>
      </c>
      <c r="F1806">
        <v>132.6</v>
      </c>
      <c r="G1806">
        <v>128.5</v>
      </c>
      <c r="H1806" s="1" t="s">
        <v>195</v>
      </c>
    </row>
    <row r="1807" spans="1:8" x14ac:dyDescent="0.3">
      <c r="A1807">
        <v>2018</v>
      </c>
      <c r="B1807" t="s">
        <v>39</v>
      </c>
      <c r="C1807" t="s">
        <v>120</v>
      </c>
      <c r="D1807" s="1" t="s">
        <v>12</v>
      </c>
      <c r="E1807">
        <v>137.6</v>
      </c>
      <c r="F1807">
        <v>138.4</v>
      </c>
      <c r="G1807">
        <v>140</v>
      </c>
      <c r="H1807" s="1" t="s">
        <v>188</v>
      </c>
    </row>
    <row r="1808" spans="1:8" x14ac:dyDescent="0.3">
      <c r="A1808">
        <v>2018</v>
      </c>
      <c r="B1808" t="s">
        <v>39</v>
      </c>
      <c r="C1808" t="s">
        <v>120</v>
      </c>
      <c r="D1808" s="1" t="s">
        <v>11</v>
      </c>
      <c r="E1808">
        <v>112.4</v>
      </c>
      <c r="F1808">
        <v>111.1</v>
      </c>
      <c r="G1808">
        <v>108.4</v>
      </c>
      <c r="H1808" s="1" t="s">
        <v>188</v>
      </c>
    </row>
    <row r="1809" spans="1:8" x14ac:dyDescent="0.3">
      <c r="A1809">
        <v>2018</v>
      </c>
      <c r="B1809" t="s">
        <v>39</v>
      </c>
      <c r="C1809" t="s">
        <v>120</v>
      </c>
      <c r="D1809" s="1" t="s">
        <v>24</v>
      </c>
      <c r="E1809">
        <v>127.4</v>
      </c>
      <c r="F1809">
        <v>123.7</v>
      </c>
      <c r="G1809">
        <v>120.4</v>
      </c>
      <c r="H1809" s="1" t="s">
        <v>191</v>
      </c>
    </row>
    <row r="1810" spans="1:8" x14ac:dyDescent="0.3">
      <c r="A1810">
        <v>2018</v>
      </c>
      <c r="B1810" t="s">
        <v>39</v>
      </c>
      <c r="C1810" t="s">
        <v>120</v>
      </c>
      <c r="D1810" s="1" t="s">
        <v>9</v>
      </c>
      <c r="E1810">
        <v>143.5</v>
      </c>
      <c r="F1810">
        <v>143.69999999999999</v>
      </c>
      <c r="G1810">
        <v>144</v>
      </c>
      <c r="H1810" s="1" t="s">
        <v>188</v>
      </c>
    </row>
    <row r="1811" spans="1:8" x14ac:dyDescent="0.3">
      <c r="A1811">
        <v>2018</v>
      </c>
      <c r="B1811" t="s">
        <v>36</v>
      </c>
      <c r="C1811" t="s">
        <v>121</v>
      </c>
      <c r="D1811" s="1" t="s">
        <v>3</v>
      </c>
      <c r="E1811">
        <v>136.80000000000001</v>
      </c>
      <c r="F1811">
        <v>136.19999999999999</v>
      </c>
      <c r="G1811">
        <v>135</v>
      </c>
      <c r="H1811" s="1" t="s">
        <v>188</v>
      </c>
    </row>
    <row r="1812" spans="1:8" x14ac:dyDescent="0.3">
      <c r="A1812">
        <v>2018</v>
      </c>
      <c r="B1812" t="s">
        <v>36</v>
      </c>
      <c r="C1812" t="s">
        <v>121</v>
      </c>
      <c r="D1812" s="1" t="s">
        <v>17</v>
      </c>
      <c r="E1812">
        <v>149.19999999999999</v>
      </c>
      <c r="F1812">
        <v>144.30000000000001</v>
      </c>
      <c r="G1812">
        <v>136.69999999999999</v>
      </c>
      <c r="H1812" s="1" t="s">
        <v>189</v>
      </c>
    </row>
    <row r="1813" spans="1:8" x14ac:dyDescent="0.3">
      <c r="A1813">
        <v>2018</v>
      </c>
      <c r="B1813" t="s">
        <v>36</v>
      </c>
      <c r="C1813" t="s">
        <v>121</v>
      </c>
      <c r="D1813" s="1" t="s">
        <v>19</v>
      </c>
      <c r="E1813">
        <v>148.30000000000001</v>
      </c>
      <c r="F1813">
        <v>143.1</v>
      </c>
      <c r="G1813">
        <v>135.19999999999999</v>
      </c>
      <c r="H1813" s="1" t="s">
        <v>189</v>
      </c>
    </row>
    <row r="1814" spans="1:8" x14ac:dyDescent="0.3">
      <c r="A1814">
        <v>2018</v>
      </c>
      <c r="B1814" t="s">
        <v>36</v>
      </c>
      <c r="C1814" t="s">
        <v>121</v>
      </c>
      <c r="D1814" s="1" t="s">
        <v>26</v>
      </c>
      <c r="E1814">
        <v>142.69999999999999</v>
      </c>
      <c r="F1814">
        <v>139.80000000000001</v>
      </c>
      <c r="G1814">
        <v>137.80000000000001</v>
      </c>
      <c r="H1814" s="1" t="s">
        <v>26</v>
      </c>
    </row>
    <row r="1815" spans="1:8" x14ac:dyDescent="0.3">
      <c r="A1815">
        <v>2018</v>
      </c>
      <c r="B1815" t="s">
        <v>36</v>
      </c>
      <c r="C1815" t="s">
        <v>121</v>
      </c>
      <c r="D1815" s="1" t="s">
        <v>5</v>
      </c>
      <c r="E1815">
        <v>140</v>
      </c>
      <c r="F1815">
        <v>138.30000000000001</v>
      </c>
      <c r="G1815">
        <v>135.5</v>
      </c>
      <c r="H1815" s="1" t="s">
        <v>188</v>
      </c>
    </row>
    <row r="1816" spans="1:8" x14ac:dyDescent="0.3">
      <c r="A1816">
        <v>2018</v>
      </c>
      <c r="B1816" t="s">
        <v>36</v>
      </c>
      <c r="C1816" t="s">
        <v>121</v>
      </c>
      <c r="D1816" s="1" t="s">
        <v>15</v>
      </c>
      <c r="E1816">
        <v>138.6</v>
      </c>
      <c r="F1816">
        <v>137.19999999999999</v>
      </c>
      <c r="G1816">
        <v>134.80000000000001</v>
      </c>
      <c r="H1816" s="1" t="s">
        <v>188</v>
      </c>
    </row>
    <row r="1817" spans="1:8" x14ac:dyDescent="0.3">
      <c r="A1817">
        <v>2018</v>
      </c>
      <c r="B1817" t="s">
        <v>36</v>
      </c>
      <c r="C1817" t="s">
        <v>121</v>
      </c>
      <c r="D1817" s="1" t="s">
        <v>18</v>
      </c>
      <c r="E1817">
        <v>143</v>
      </c>
      <c r="F1817">
        <v>136.19999999999999</v>
      </c>
      <c r="G1817">
        <v>126.7</v>
      </c>
      <c r="H1817" s="1" t="s">
        <v>189</v>
      </c>
    </row>
    <row r="1818" spans="1:8" x14ac:dyDescent="0.3">
      <c r="A1818">
        <v>2018</v>
      </c>
      <c r="B1818" t="s">
        <v>36</v>
      </c>
      <c r="C1818" t="s">
        <v>121</v>
      </c>
      <c r="D1818" s="1" t="s">
        <v>8</v>
      </c>
      <c r="E1818">
        <v>152.9</v>
      </c>
      <c r="F1818">
        <v>146.19999999999999</v>
      </c>
      <c r="G1818">
        <v>138.5</v>
      </c>
      <c r="H1818" s="1" t="s">
        <v>188</v>
      </c>
    </row>
    <row r="1819" spans="1:8" x14ac:dyDescent="0.3">
      <c r="A1819">
        <v>2018</v>
      </c>
      <c r="B1819" t="s">
        <v>36</v>
      </c>
      <c r="C1819" t="s">
        <v>121</v>
      </c>
      <c r="D1819" s="1" t="s">
        <v>21</v>
      </c>
      <c r="E1819">
        <v>142.6</v>
      </c>
      <c r="F1819">
        <v>136.5</v>
      </c>
      <c r="G1819">
        <v>126.4</v>
      </c>
      <c r="H1819" s="1" t="s">
        <v>190</v>
      </c>
    </row>
    <row r="1820" spans="1:8" x14ac:dyDescent="0.3">
      <c r="A1820">
        <v>2018</v>
      </c>
      <c r="B1820" t="s">
        <v>36</v>
      </c>
      <c r="C1820" t="s">
        <v>121</v>
      </c>
      <c r="D1820" s="1" t="s">
        <v>29</v>
      </c>
      <c r="E1820">
        <v>138.69999999999999</v>
      </c>
      <c r="F1820">
        <v>136.5</v>
      </c>
      <c r="G1820">
        <v>134</v>
      </c>
      <c r="H1820" s="1" t="s">
        <v>206</v>
      </c>
    </row>
    <row r="1821" spans="1:8" x14ac:dyDescent="0.3">
      <c r="A1821">
        <v>2018</v>
      </c>
      <c r="B1821" t="s">
        <v>36</v>
      </c>
      <c r="C1821" t="s">
        <v>121</v>
      </c>
      <c r="D1821" s="1" t="s">
        <v>23</v>
      </c>
      <c r="E1821">
        <v>136.69999999999999</v>
      </c>
      <c r="F1821">
        <v>134.30000000000001</v>
      </c>
      <c r="G1821">
        <v>130.5</v>
      </c>
      <c r="H1821" s="1" t="s">
        <v>23</v>
      </c>
    </row>
    <row r="1822" spans="1:8" x14ac:dyDescent="0.3">
      <c r="A1822">
        <v>2018</v>
      </c>
      <c r="B1822" t="s">
        <v>36</v>
      </c>
      <c r="C1822" t="s">
        <v>121</v>
      </c>
      <c r="D1822" s="1" t="s">
        <v>22</v>
      </c>
      <c r="E1822">
        <v>139.9</v>
      </c>
      <c r="F1822">
        <v>135.6</v>
      </c>
      <c r="G1822">
        <v>130.80000000000001</v>
      </c>
      <c r="H1822" s="1" t="s">
        <v>20</v>
      </c>
    </row>
    <row r="1823" spans="1:8" x14ac:dyDescent="0.3">
      <c r="A1823">
        <v>2018</v>
      </c>
      <c r="B1823" t="s">
        <v>36</v>
      </c>
      <c r="C1823" t="s">
        <v>121</v>
      </c>
      <c r="D1823" s="1" t="s">
        <v>20</v>
      </c>
      <c r="E1823">
        <v>0</v>
      </c>
      <c r="F1823">
        <v>142</v>
      </c>
      <c r="G1823">
        <v>142</v>
      </c>
      <c r="H1823" s="1" t="s">
        <v>20</v>
      </c>
    </row>
    <row r="1824" spans="1:8" x14ac:dyDescent="0.3">
      <c r="A1824">
        <v>2018</v>
      </c>
      <c r="B1824" t="s">
        <v>36</v>
      </c>
      <c r="C1824" t="s">
        <v>121</v>
      </c>
      <c r="D1824" s="1" t="s">
        <v>4</v>
      </c>
      <c r="E1824">
        <v>143.80000000000001</v>
      </c>
      <c r="F1824">
        <v>143.6</v>
      </c>
      <c r="G1824">
        <v>143.1</v>
      </c>
      <c r="H1824" s="1" t="s">
        <v>188</v>
      </c>
    </row>
    <row r="1825" spans="1:8" x14ac:dyDescent="0.3">
      <c r="A1825">
        <v>2018</v>
      </c>
      <c r="B1825" t="s">
        <v>36</v>
      </c>
      <c r="C1825" t="s">
        <v>121</v>
      </c>
      <c r="D1825" s="1" t="s">
        <v>6</v>
      </c>
      <c r="E1825">
        <v>142</v>
      </c>
      <c r="F1825">
        <v>141.19999999999999</v>
      </c>
      <c r="G1825">
        <v>139.9</v>
      </c>
      <c r="H1825" s="1" t="s">
        <v>188</v>
      </c>
    </row>
    <row r="1826" spans="1:8" x14ac:dyDescent="0.3">
      <c r="A1826">
        <v>2018</v>
      </c>
      <c r="B1826" t="s">
        <v>36</v>
      </c>
      <c r="C1826" t="s">
        <v>121</v>
      </c>
      <c r="D1826" s="1" t="s">
        <v>28</v>
      </c>
      <c r="E1826">
        <v>133.30000000000001</v>
      </c>
      <c r="F1826">
        <v>130.30000000000001</v>
      </c>
      <c r="G1826">
        <v>127.1</v>
      </c>
      <c r="H1826" s="1" t="s">
        <v>192</v>
      </c>
    </row>
    <row r="1827" spans="1:8" x14ac:dyDescent="0.3">
      <c r="A1827">
        <v>2018</v>
      </c>
      <c r="B1827" t="s">
        <v>36</v>
      </c>
      <c r="C1827" t="s">
        <v>121</v>
      </c>
      <c r="D1827" s="1" t="s">
        <v>13</v>
      </c>
      <c r="E1827">
        <v>131.19999999999999</v>
      </c>
      <c r="F1827">
        <v>129.1</v>
      </c>
      <c r="G1827">
        <v>126.2</v>
      </c>
      <c r="H1827" s="1" t="s">
        <v>188</v>
      </c>
    </row>
    <row r="1828" spans="1:8" x14ac:dyDescent="0.3">
      <c r="A1828">
        <v>2018</v>
      </c>
      <c r="B1828" t="s">
        <v>36</v>
      </c>
      <c r="C1828" t="s">
        <v>121</v>
      </c>
      <c r="D1828" s="1" t="s">
        <v>7</v>
      </c>
      <c r="E1828">
        <v>123.2</v>
      </c>
      <c r="F1828">
        <v>120.7</v>
      </c>
      <c r="G1828">
        <v>116.5</v>
      </c>
      <c r="H1828" s="1" t="s">
        <v>188</v>
      </c>
    </row>
    <row r="1829" spans="1:8" x14ac:dyDescent="0.3">
      <c r="A1829">
        <v>2018</v>
      </c>
      <c r="B1829" t="s">
        <v>36</v>
      </c>
      <c r="C1829" t="s">
        <v>121</v>
      </c>
      <c r="D1829" s="1" t="s">
        <v>16</v>
      </c>
      <c r="E1829">
        <v>155.1</v>
      </c>
      <c r="F1829">
        <v>156.30000000000001</v>
      </c>
      <c r="G1829">
        <v>159.69999999999999</v>
      </c>
      <c r="H1829" s="1" t="s">
        <v>192</v>
      </c>
    </row>
    <row r="1830" spans="1:8" x14ac:dyDescent="0.3">
      <c r="A1830">
        <v>2018</v>
      </c>
      <c r="B1830" t="s">
        <v>36</v>
      </c>
      <c r="C1830" t="s">
        <v>121</v>
      </c>
      <c r="D1830" s="1" t="s">
        <v>27</v>
      </c>
      <c r="E1830">
        <v>129.30000000000001</v>
      </c>
      <c r="F1830">
        <v>128.19999999999999</v>
      </c>
      <c r="G1830">
        <v>126.7</v>
      </c>
      <c r="H1830" s="1" t="s">
        <v>192</v>
      </c>
    </row>
    <row r="1831" spans="1:8" x14ac:dyDescent="0.3">
      <c r="A1831">
        <v>2018</v>
      </c>
      <c r="B1831" t="s">
        <v>36</v>
      </c>
      <c r="C1831" t="s">
        <v>121</v>
      </c>
      <c r="D1831" s="1" t="s">
        <v>14</v>
      </c>
      <c r="E1831">
        <v>152.80000000000001</v>
      </c>
      <c r="F1831">
        <v>150.4</v>
      </c>
      <c r="G1831">
        <v>147.6</v>
      </c>
      <c r="H1831" s="1" t="s">
        <v>188</v>
      </c>
    </row>
    <row r="1832" spans="1:8" x14ac:dyDescent="0.3">
      <c r="A1832">
        <v>2018</v>
      </c>
      <c r="B1832" t="s">
        <v>36</v>
      </c>
      <c r="C1832" t="s">
        <v>121</v>
      </c>
      <c r="D1832" s="1" t="s">
        <v>10</v>
      </c>
      <c r="E1832">
        <v>129.30000000000001</v>
      </c>
      <c r="F1832">
        <v>124.6</v>
      </c>
      <c r="G1832">
        <v>115.5</v>
      </c>
      <c r="H1832" s="1" t="s">
        <v>188</v>
      </c>
    </row>
    <row r="1833" spans="1:8" x14ac:dyDescent="0.3">
      <c r="A1833">
        <v>2018</v>
      </c>
      <c r="B1833" t="s">
        <v>36</v>
      </c>
      <c r="C1833" t="s">
        <v>121</v>
      </c>
      <c r="D1833" s="1" t="s">
        <v>25</v>
      </c>
      <c r="E1833">
        <v>135.1</v>
      </c>
      <c r="F1833">
        <v>130.4</v>
      </c>
      <c r="G1833">
        <v>126.8</v>
      </c>
      <c r="H1833" s="1" t="s">
        <v>195</v>
      </c>
    </row>
    <row r="1834" spans="1:8" x14ac:dyDescent="0.3">
      <c r="A1834">
        <v>2018</v>
      </c>
      <c r="B1834" t="s">
        <v>36</v>
      </c>
      <c r="C1834" t="s">
        <v>121</v>
      </c>
      <c r="D1834" s="1" t="s">
        <v>12</v>
      </c>
      <c r="E1834">
        <v>136.30000000000001</v>
      </c>
      <c r="F1834">
        <v>137.80000000000001</v>
      </c>
      <c r="G1834">
        <v>140.69999999999999</v>
      </c>
      <c r="H1834" s="1" t="s">
        <v>188</v>
      </c>
    </row>
    <row r="1835" spans="1:8" x14ac:dyDescent="0.3">
      <c r="A1835">
        <v>2018</v>
      </c>
      <c r="B1835" t="s">
        <v>36</v>
      </c>
      <c r="C1835" t="s">
        <v>121</v>
      </c>
      <c r="D1835" s="1" t="s">
        <v>11</v>
      </c>
      <c r="E1835">
        <v>117.1</v>
      </c>
      <c r="F1835">
        <v>116.1</v>
      </c>
      <c r="G1835">
        <v>114.2</v>
      </c>
      <c r="H1835" s="1" t="s">
        <v>188</v>
      </c>
    </row>
    <row r="1836" spans="1:8" x14ac:dyDescent="0.3">
      <c r="A1836">
        <v>2018</v>
      </c>
      <c r="B1836" t="s">
        <v>36</v>
      </c>
      <c r="C1836" t="s">
        <v>121</v>
      </c>
      <c r="D1836" s="1" t="s">
        <v>24</v>
      </c>
      <c r="E1836">
        <v>124.6</v>
      </c>
      <c r="F1836">
        <v>121</v>
      </c>
      <c r="G1836">
        <v>117.8</v>
      </c>
      <c r="H1836" s="1" t="s">
        <v>191</v>
      </c>
    </row>
    <row r="1837" spans="1:8" x14ac:dyDescent="0.3">
      <c r="A1837">
        <v>2018</v>
      </c>
      <c r="B1837" t="s">
        <v>36</v>
      </c>
      <c r="C1837" t="s">
        <v>121</v>
      </c>
      <c r="D1837" s="1" t="s">
        <v>9</v>
      </c>
      <c r="E1837">
        <v>138</v>
      </c>
      <c r="F1837">
        <v>134.6</v>
      </c>
      <c r="G1837">
        <v>128</v>
      </c>
      <c r="H1837" s="1" t="s">
        <v>188</v>
      </c>
    </row>
    <row r="1838" spans="1:8" x14ac:dyDescent="0.3">
      <c r="A1838">
        <v>2018</v>
      </c>
      <c r="B1838" t="s">
        <v>38</v>
      </c>
      <c r="C1838" t="s">
        <v>122</v>
      </c>
      <c r="D1838" s="1" t="s">
        <v>3</v>
      </c>
      <c r="E1838">
        <v>137.4</v>
      </c>
      <c r="F1838">
        <v>136.6</v>
      </c>
      <c r="G1838">
        <v>135</v>
      </c>
      <c r="H1838" s="1" t="s">
        <v>188</v>
      </c>
    </row>
    <row r="1839" spans="1:8" x14ac:dyDescent="0.3">
      <c r="A1839">
        <v>2018</v>
      </c>
      <c r="B1839" t="s">
        <v>38</v>
      </c>
      <c r="C1839" t="s">
        <v>122</v>
      </c>
      <c r="D1839" s="1" t="s">
        <v>17</v>
      </c>
      <c r="E1839">
        <v>150.80000000000001</v>
      </c>
      <c r="F1839">
        <v>146</v>
      </c>
      <c r="G1839">
        <v>138.6</v>
      </c>
      <c r="H1839" s="1" t="s">
        <v>189</v>
      </c>
    </row>
    <row r="1840" spans="1:8" x14ac:dyDescent="0.3">
      <c r="A1840">
        <v>2018</v>
      </c>
      <c r="B1840" t="s">
        <v>38</v>
      </c>
      <c r="C1840" t="s">
        <v>122</v>
      </c>
      <c r="D1840" s="1" t="s">
        <v>19</v>
      </c>
      <c r="E1840">
        <v>149.80000000000001</v>
      </c>
      <c r="F1840">
        <v>144.69999999999999</v>
      </c>
      <c r="G1840">
        <v>137</v>
      </c>
      <c r="H1840" s="1" t="s">
        <v>189</v>
      </c>
    </row>
    <row r="1841" spans="1:8" x14ac:dyDescent="0.3">
      <c r="A1841">
        <v>2018</v>
      </c>
      <c r="B1841" t="s">
        <v>38</v>
      </c>
      <c r="C1841" t="s">
        <v>122</v>
      </c>
      <c r="D1841" s="1" t="s">
        <v>26</v>
      </c>
      <c r="E1841">
        <v>144.4</v>
      </c>
      <c r="F1841">
        <v>142.1</v>
      </c>
      <c r="G1841">
        <v>140.4</v>
      </c>
      <c r="H1841" s="1" t="s">
        <v>26</v>
      </c>
    </row>
    <row r="1842" spans="1:8" x14ac:dyDescent="0.3">
      <c r="A1842">
        <v>2018</v>
      </c>
      <c r="B1842" t="s">
        <v>38</v>
      </c>
      <c r="C1842" t="s">
        <v>122</v>
      </c>
      <c r="D1842" s="1" t="s">
        <v>5</v>
      </c>
      <c r="E1842">
        <v>135.5</v>
      </c>
      <c r="F1842">
        <v>133.6</v>
      </c>
      <c r="G1842">
        <v>130.5</v>
      </c>
      <c r="H1842" s="1" t="s">
        <v>188</v>
      </c>
    </row>
    <row r="1843" spans="1:8" x14ac:dyDescent="0.3">
      <c r="A1843">
        <v>2018</v>
      </c>
      <c r="B1843" t="s">
        <v>38</v>
      </c>
      <c r="C1843" t="s">
        <v>122</v>
      </c>
      <c r="D1843" s="1" t="s">
        <v>15</v>
      </c>
      <c r="E1843">
        <v>139.1</v>
      </c>
      <c r="F1843">
        <v>138.1</v>
      </c>
      <c r="G1843">
        <v>136.4</v>
      </c>
      <c r="H1843" s="1" t="s">
        <v>188</v>
      </c>
    </row>
    <row r="1844" spans="1:8" x14ac:dyDescent="0.3">
      <c r="A1844">
        <v>2018</v>
      </c>
      <c r="B1844" t="s">
        <v>38</v>
      </c>
      <c r="C1844" t="s">
        <v>122</v>
      </c>
      <c r="D1844" s="1" t="s">
        <v>18</v>
      </c>
      <c r="E1844">
        <v>144.1</v>
      </c>
      <c r="F1844">
        <v>137.4</v>
      </c>
      <c r="G1844">
        <v>127.9</v>
      </c>
      <c r="H1844" s="1" t="s">
        <v>189</v>
      </c>
    </row>
    <row r="1845" spans="1:8" x14ac:dyDescent="0.3">
      <c r="A1845">
        <v>2018</v>
      </c>
      <c r="B1845" t="s">
        <v>38</v>
      </c>
      <c r="C1845" t="s">
        <v>122</v>
      </c>
      <c r="D1845" s="1" t="s">
        <v>8</v>
      </c>
      <c r="E1845">
        <v>157.5</v>
      </c>
      <c r="F1845">
        <v>154.6</v>
      </c>
      <c r="G1845">
        <v>151.30000000000001</v>
      </c>
      <c r="H1845" s="1" t="s">
        <v>188</v>
      </c>
    </row>
    <row r="1846" spans="1:8" x14ac:dyDescent="0.3">
      <c r="A1846">
        <v>2018</v>
      </c>
      <c r="B1846" t="s">
        <v>38</v>
      </c>
      <c r="C1846" t="s">
        <v>122</v>
      </c>
      <c r="D1846" s="1" t="s">
        <v>21</v>
      </c>
      <c r="E1846">
        <v>144.30000000000001</v>
      </c>
      <c r="F1846">
        <v>136.9</v>
      </c>
      <c r="G1846">
        <v>124.7</v>
      </c>
      <c r="H1846" s="1" t="s">
        <v>190</v>
      </c>
    </row>
    <row r="1847" spans="1:8" x14ac:dyDescent="0.3">
      <c r="A1847">
        <v>2018</v>
      </c>
      <c r="B1847" t="s">
        <v>38</v>
      </c>
      <c r="C1847" t="s">
        <v>122</v>
      </c>
      <c r="D1847" s="1" t="s">
        <v>29</v>
      </c>
      <c r="E1847">
        <v>139.80000000000001</v>
      </c>
      <c r="F1847">
        <v>137.80000000000001</v>
      </c>
      <c r="G1847">
        <v>135.4</v>
      </c>
      <c r="H1847" s="1" t="s">
        <v>206</v>
      </c>
    </row>
    <row r="1848" spans="1:8" x14ac:dyDescent="0.3">
      <c r="A1848">
        <v>2018</v>
      </c>
      <c r="B1848" t="s">
        <v>38</v>
      </c>
      <c r="C1848" t="s">
        <v>122</v>
      </c>
      <c r="D1848" s="1" t="s">
        <v>23</v>
      </c>
      <c r="E1848">
        <v>138.4</v>
      </c>
      <c r="F1848">
        <v>136</v>
      </c>
      <c r="G1848">
        <v>132</v>
      </c>
      <c r="H1848" s="1" t="s">
        <v>23</v>
      </c>
    </row>
    <row r="1849" spans="1:8" x14ac:dyDescent="0.3">
      <c r="A1849">
        <v>2018</v>
      </c>
      <c r="B1849" t="s">
        <v>38</v>
      </c>
      <c r="C1849" t="s">
        <v>122</v>
      </c>
      <c r="D1849" s="1" t="s">
        <v>22</v>
      </c>
      <c r="E1849">
        <v>141.80000000000001</v>
      </c>
      <c r="F1849">
        <v>137.4</v>
      </c>
      <c r="G1849">
        <v>132.5</v>
      </c>
      <c r="H1849" s="1" t="s">
        <v>20</v>
      </c>
    </row>
    <row r="1850" spans="1:8" x14ac:dyDescent="0.3">
      <c r="A1850">
        <v>2018</v>
      </c>
      <c r="B1850" t="s">
        <v>38</v>
      </c>
      <c r="C1850" t="s">
        <v>122</v>
      </c>
      <c r="D1850" s="1" t="s">
        <v>20</v>
      </c>
      <c r="E1850">
        <v>0</v>
      </c>
      <c r="F1850">
        <v>143.19999999999999</v>
      </c>
      <c r="G1850">
        <v>143.19999999999999</v>
      </c>
      <c r="H1850" s="1" t="s">
        <v>20</v>
      </c>
    </row>
    <row r="1851" spans="1:8" x14ac:dyDescent="0.3">
      <c r="A1851">
        <v>2018</v>
      </c>
      <c r="B1851" t="s">
        <v>38</v>
      </c>
      <c r="C1851" t="s">
        <v>122</v>
      </c>
      <c r="D1851" s="1" t="s">
        <v>4</v>
      </c>
      <c r="E1851">
        <v>145.69999999999999</v>
      </c>
      <c r="F1851">
        <v>146.6</v>
      </c>
      <c r="G1851">
        <v>148.19999999999999</v>
      </c>
      <c r="H1851" s="1" t="s">
        <v>188</v>
      </c>
    </row>
    <row r="1852" spans="1:8" x14ac:dyDescent="0.3">
      <c r="A1852">
        <v>2018</v>
      </c>
      <c r="B1852" t="s">
        <v>38</v>
      </c>
      <c r="C1852" t="s">
        <v>122</v>
      </c>
      <c r="D1852" s="1" t="s">
        <v>6</v>
      </c>
      <c r="E1852">
        <v>142.9</v>
      </c>
      <c r="F1852">
        <v>142.1</v>
      </c>
      <c r="G1852">
        <v>140.69999999999999</v>
      </c>
      <c r="H1852" s="1" t="s">
        <v>188</v>
      </c>
    </row>
    <row r="1853" spans="1:8" x14ac:dyDescent="0.3">
      <c r="A1853">
        <v>2018</v>
      </c>
      <c r="B1853" t="s">
        <v>38</v>
      </c>
      <c r="C1853" t="s">
        <v>122</v>
      </c>
      <c r="D1853" s="1" t="s">
        <v>28</v>
      </c>
      <c r="E1853">
        <v>135.1</v>
      </c>
      <c r="F1853">
        <v>132.1</v>
      </c>
      <c r="G1853">
        <v>128.9</v>
      </c>
      <c r="H1853" s="1" t="s">
        <v>192</v>
      </c>
    </row>
    <row r="1854" spans="1:8" x14ac:dyDescent="0.3">
      <c r="A1854">
        <v>2018</v>
      </c>
      <c r="B1854" t="s">
        <v>38</v>
      </c>
      <c r="C1854" t="s">
        <v>122</v>
      </c>
      <c r="D1854" s="1" t="s">
        <v>13</v>
      </c>
      <c r="E1854">
        <v>132.19999999999999</v>
      </c>
      <c r="F1854">
        <v>129.9</v>
      </c>
      <c r="G1854">
        <v>126.6</v>
      </c>
      <c r="H1854" s="1" t="s">
        <v>188</v>
      </c>
    </row>
    <row r="1855" spans="1:8" x14ac:dyDescent="0.3">
      <c r="A1855">
        <v>2018</v>
      </c>
      <c r="B1855" t="s">
        <v>38</v>
      </c>
      <c r="C1855" t="s">
        <v>122</v>
      </c>
      <c r="D1855" s="1" t="s">
        <v>7</v>
      </c>
      <c r="E1855">
        <v>123.6</v>
      </c>
      <c r="F1855">
        <v>121</v>
      </c>
      <c r="G1855">
        <v>116.4</v>
      </c>
      <c r="H1855" s="1" t="s">
        <v>188</v>
      </c>
    </row>
    <row r="1856" spans="1:8" x14ac:dyDescent="0.3">
      <c r="A1856">
        <v>2018</v>
      </c>
      <c r="B1856" t="s">
        <v>38</v>
      </c>
      <c r="C1856" t="s">
        <v>122</v>
      </c>
      <c r="D1856" s="1" t="s">
        <v>16</v>
      </c>
      <c r="E1856">
        <v>157</v>
      </c>
      <c r="F1856">
        <v>157.9</v>
      </c>
      <c r="G1856">
        <v>160.30000000000001</v>
      </c>
      <c r="H1856" s="1" t="s">
        <v>192</v>
      </c>
    </row>
    <row r="1857" spans="1:8" x14ac:dyDescent="0.3">
      <c r="A1857">
        <v>2018</v>
      </c>
      <c r="B1857" t="s">
        <v>38</v>
      </c>
      <c r="C1857" t="s">
        <v>122</v>
      </c>
      <c r="D1857" s="1" t="s">
        <v>27</v>
      </c>
      <c r="E1857">
        <v>131.19999999999999</v>
      </c>
      <c r="F1857">
        <v>129.9</v>
      </c>
      <c r="G1857">
        <v>128.1</v>
      </c>
      <c r="H1857" s="1" t="s">
        <v>192</v>
      </c>
    </row>
    <row r="1858" spans="1:8" x14ac:dyDescent="0.3">
      <c r="A1858">
        <v>2018</v>
      </c>
      <c r="B1858" t="s">
        <v>38</v>
      </c>
      <c r="C1858" t="s">
        <v>122</v>
      </c>
      <c r="D1858" s="1" t="s">
        <v>14</v>
      </c>
      <c r="E1858">
        <v>154.30000000000001</v>
      </c>
      <c r="F1858">
        <v>151.69999999999999</v>
      </c>
      <c r="G1858">
        <v>148.69999999999999</v>
      </c>
      <c r="H1858" s="1" t="s">
        <v>188</v>
      </c>
    </row>
    <row r="1859" spans="1:8" x14ac:dyDescent="0.3">
      <c r="A1859">
        <v>2018</v>
      </c>
      <c r="B1859" t="s">
        <v>38</v>
      </c>
      <c r="C1859" t="s">
        <v>122</v>
      </c>
      <c r="D1859" s="1" t="s">
        <v>10</v>
      </c>
      <c r="E1859">
        <v>127.2</v>
      </c>
      <c r="F1859">
        <v>122.3</v>
      </c>
      <c r="G1859">
        <v>112.8</v>
      </c>
      <c r="H1859" s="1" t="s">
        <v>188</v>
      </c>
    </row>
    <row r="1860" spans="1:8" x14ac:dyDescent="0.3">
      <c r="A1860">
        <v>2018</v>
      </c>
      <c r="B1860" t="s">
        <v>38</v>
      </c>
      <c r="C1860" t="s">
        <v>122</v>
      </c>
      <c r="D1860" s="1" t="s">
        <v>25</v>
      </c>
      <c r="E1860">
        <v>136.80000000000001</v>
      </c>
      <c r="F1860">
        <v>131.80000000000001</v>
      </c>
      <c r="G1860">
        <v>128</v>
      </c>
      <c r="H1860" s="1" t="s">
        <v>195</v>
      </c>
    </row>
    <row r="1861" spans="1:8" x14ac:dyDescent="0.3">
      <c r="A1861">
        <v>2018</v>
      </c>
      <c r="B1861" t="s">
        <v>38</v>
      </c>
      <c r="C1861" t="s">
        <v>122</v>
      </c>
      <c r="D1861" s="1" t="s">
        <v>12</v>
      </c>
      <c r="E1861">
        <v>137.4</v>
      </c>
      <c r="F1861">
        <v>138.1</v>
      </c>
      <c r="G1861">
        <v>139.6</v>
      </c>
      <c r="H1861" s="1" t="s">
        <v>188</v>
      </c>
    </row>
    <row r="1862" spans="1:8" x14ac:dyDescent="0.3">
      <c r="A1862">
        <v>2018</v>
      </c>
      <c r="B1862" t="s">
        <v>38</v>
      </c>
      <c r="C1862" t="s">
        <v>122</v>
      </c>
      <c r="D1862" s="1" t="s">
        <v>11</v>
      </c>
      <c r="E1862">
        <v>111.8</v>
      </c>
      <c r="F1862">
        <v>109.6</v>
      </c>
      <c r="G1862">
        <v>105.3</v>
      </c>
      <c r="H1862" s="1" t="s">
        <v>188</v>
      </c>
    </row>
    <row r="1863" spans="1:8" x14ac:dyDescent="0.3">
      <c r="A1863">
        <v>2018</v>
      </c>
      <c r="B1863" t="s">
        <v>38</v>
      </c>
      <c r="C1863" t="s">
        <v>122</v>
      </c>
      <c r="D1863" s="1" t="s">
        <v>24</v>
      </c>
      <c r="E1863">
        <v>126.4</v>
      </c>
      <c r="F1863">
        <v>122.9</v>
      </c>
      <c r="G1863">
        <v>119.8</v>
      </c>
      <c r="H1863" s="1" t="s">
        <v>191</v>
      </c>
    </row>
    <row r="1864" spans="1:8" x14ac:dyDescent="0.3">
      <c r="A1864">
        <v>2018</v>
      </c>
      <c r="B1864" t="s">
        <v>38</v>
      </c>
      <c r="C1864" t="s">
        <v>122</v>
      </c>
      <c r="D1864" s="1" t="s">
        <v>9</v>
      </c>
      <c r="E1864">
        <v>137.80000000000001</v>
      </c>
      <c r="F1864">
        <v>135.6</v>
      </c>
      <c r="G1864">
        <v>131.4</v>
      </c>
      <c r="H1864" s="1" t="s">
        <v>188</v>
      </c>
    </row>
    <row r="1865" spans="1:8" x14ac:dyDescent="0.3">
      <c r="A1865">
        <v>2018</v>
      </c>
      <c r="B1865" t="s">
        <v>44</v>
      </c>
      <c r="C1865" t="s">
        <v>123</v>
      </c>
      <c r="D1865" s="1" t="s">
        <v>3</v>
      </c>
      <c r="E1865">
        <v>137.1</v>
      </c>
      <c r="F1865">
        <v>137.4</v>
      </c>
      <c r="G1865">
        <v>138.1</v>
      </c>
      <c r="H1865" s="1" t="s">
        <v>188</v>
      </c>
    </row>
    <row r="1866" spans="1:8" x14ac:dyDescent="0.3">
      <c r="A1866">
        <v>2018</v>
      </c>
      <c r="B1866" t="s">
        <v>44</v>
      </c>
      <c r="C1866" t="s">
        <v>123</v>
      </c>
      <c r="D1866" s="1" t="s">
        <v>17</v>
      </c>
      <c r="E1866">
        <v>151.69999999999999</v>
      </c>
      <c r="F1866">
        <v>148</v>
      </c>
      <c r="G1866">
        <v>142.4</v>
      </c>
      <c r="H1866" s="1" t="s">
        <v>189</v>
      </c>
    </row>
    <row r="1867" spans="1:8" x14ac:dyDescent="0.3">
      <c r="A1867">
        <v>2018</v>
      </c>
      <c r="B1867" t="s">
        <v>44</v>
      </c>
      <c r="C1867" t="s">
        <v>123</v>
      </c>
      <c r="D1867" s="1" t="s">
        <v>19</v>
      </c>
      <c r="E1867">
        <v>150.80000000000001</v>
      </c>
      <c r="F1867">
        <v>146.69999999999999</v>
      </c>
      <c r="G1867">
        <v>140.5</v>
      </c>
      <c r="H1867" s="1" t="s">
        <v>189</v>
      </c>
    </row>
    <row r="1868" spans="1:8" x14ac:dyDescent="0.3">
      <c r="A1868">
        <v>2018</v>
      </c>
      <c r="B1868" t="s">
        <v>44</v>
      </c>
      <c r="C1868" t="s">
        <v>123</v>
      </c>
      <c r="D1868" s="1" t="s">
        <v>26</v>
      </c>
      <c r="E1868">
        <v>150.19999999999999</v>
      </c>
      <c r="F1868">
        <v>147.80000000000001</v>
      </c>
      <c r="G1868">
        <v>146.1</v>
      </c>
      <c r="H1868" s="1" t="s">
        <v>26</v>
      </c>
    </row>
    <row r="1869" spans="1:8" x14ac:dyDescent="0.3">
      <c r="A1869">
        <v>2018</v>
      </c>
      <c r="B1869" t="s">
        <v>44</v>
      </c>
      <c r="C1869" t="s">
        <v>123</v>
      </c>
      <c r="D1869" s="1" t="s">
        <v>5</v>
      </c>
      <c r="E1869">
        <v>136.69999999999999</v>
      </c>
      <c r="F1869">
        <v>137.1</v>
      </c>
      <c r="G1869">
        <v>137.80000000000001</v>
      </c>
      <c r="H1869" s="1" t="s">
        <v>188</v>
      </c>
    </row>
    <row r="1870" spans="1:8" x14ac:dyDescent="0.3">
      <c r="A1870">
        <v>2018</v>
      </c>
      <c r="B1870" t="s">
        <v>44</v>
      </c>
      <c r="C1870" t="s">
        <v>123</v>
      </c>
      <c r="D1870" s="1" t="s">
        <v>15</v>
      </c>
      <c r="E1870">
        <v>140</v>
      </c>
      <c r="F1870">
        <v>139.69999999999999</v>
      </c>
      <c r="G1870">
        <v>139.1</v>
      </c>
      <c r="H1870" s="1" t="s">
        <v>188</v>
      </c>
    </row>
    <row r="1871" spans="1:8" x14ac:dyDescent="0.3">
      <c r="A1871">
        <v>2018</v>
      </c>
      <c r="B1871" t="s">
        <v>44</v>
      </c>
      <c r="C1871" t="s">
        <v>123</v>
      </c>
      <c r="D1871" s="1" t="s">
        <v>18</v>
      </c>
      <c r="E1871">
        <v>145.5</v>
      </c>
      <c r="F1871">
        <v>139.1</v>
      </c>
      <c r="G1871">
        <v>130.19999999999999</v>
      </c>
      <c r="H1871" s="1" t="s">
        <v>189</v>
      </c>
    </row>
    <row r="1872" spans="1:8" x14ac:dyDescent="0.3">
      <c r="A1872">
        <v>2018</v>
      </c>
      <c r="B1872" t="s">
        <v>44</v>
      </c>
      <c r="C1872" t="s">
        <v>123</v>
      </c>
      <c r="D1872" s="1" t="s">
        <v>8</v>
      </c>
      <c r="E1872">
        <v>143.9</v>
      </c>
      <c r="F1872">
        <v>142.80000000000001</v>
      </c>
      <c r="G1872">
        <v>141.5</v>
      </c>
      <c r="H1872" s="1" t="s">
        <v>188</v>
      </c>
    </row>
    <row r="1873" spans="1:8" x14ac:dyDescent="0.3">
      <c r="A1873">
        <v>2018</v>
      </c>
      <c r="B1873" t="s">
        <v>44</v>
      </c>
      <c r="C1873" t="s">
        <v>123</v>
      </c>
      <c r="D1873" s="1" t="s">
        <v>21</v>
      </c>
      <c r="E1873">
        <v>150.30000000000001</v>
      </c>
      <c r="F1873">
        <v>145.1</v>
      </c>
      <c r="G1873">
        <v>136.69999999999999</v>
      </c>
      <c r="H1873" s="1" t="s">
        <v>190</v>
      </c>
    </row>
    <row r="1874" spans="1:8" x14ac:dyDescent="0.3">
      <c r="A1874">
        <v>2018</v>
      </c>
      <c r="B1874" t="s">
        <v>44</v>
      </c>
      <c r="C1874" t="s">
        <v>123</v>
      </c>
      <c r="D1874" s="1" t="s">
        <v>29</v>
      </c>
      <c r="E1874">
        <v>142.4</v>
      </c>
      <c r="F1874">
        <v>140.80000000000001</v>
      </c>
      <c r="G1874">
        <v>139</v>
      </c>
      <c r="H1874" s="1" t="s">
        <v>206</v>
      </c>
    </row>
    <row r="1875" spans="1:8" x14ac:dyDescent="0.3">
      <c r="A1875">
        <v>2018</v>
      </c>
      <c r="B1875" t="s">
        <v>44</v>
      </c>
      <c r="C1875" t="s">
        <v>123</v>
      </c>
      <c r="D1875" s="1" t="s">
        <v>23</v>
      </c>
      <c r="E1875">
        <v>145.4</v>
      </c>
      <c r="F1875">
        <v>142.1</v>
      </c>
      <c r="G1875">
        <v>136.80000000000001</v>
      </c>
      <c r="H1875" s="1" t="s">
        <v>23</v>
      </c>
    </row>
    <row r="1876" spans="1:8" x14ac:dyDescent="0.3">
      <c r="A1876">
        <v>2018</v>
      </c>
      <c r="B1876" t="s">
        <v>44</v>
      </c>
      <c r="C1876" t="s">
        <v>123</v>
      </c>
      <c r="D1876" s="1" t="s">
        <v>22</v>
      </c>
      <c r="E1876">
        <v>148</v>
      </c>
      <c r="F1876">
        <v>142.19999999999999</v>
      </c>
      <c r="G1876">
        <v>135.80000000000001</v>
      </c>
      <c r="H1876" s="1" t="s">
        <v>20</v>
      </c>
    </row>
    <row r="1877" spans="1:8" x14ac:dyDescent="0.3">
      <c r="A1877">
        <v>2018</v>
      </c>
      <c r="B1877" t="s">
        <v>44</v>
      </c>
      <c r="C1877" t="s">
        <v>123</v>
      </c>
      <c r="D1877" s="1" t="s">
        <v>20</v>
      </c>
      <c r="E1877">
        <v>0</v>
      </c>
      <c r="F1877">
        <v>146.9</v>
      </c>
      <c r="G1877">
        <v>146.9</v>
      </c>
      <c r="H1877" s="1" t="s">
        <v>20</v>
      </c>
    </row>
    <row r="1878" spans="1:8" x14ac:dyDescent="0.3">
      <c r="A1878">
        <v>2018</v>
      </c>
      <c r="B1878" t="s">
        <v>44</v>
      </c>
      <c r="C1878" t="s">
        <v>123</v>
      </c>
      <c r="D1878" s="1" t="s">
        <v>4</v>
      </c>
      <c r="E1878">
        <v>150.80000000000001</v>
      </c>
      <c r="F1878">
        <v>149.19999999999999</v>
      </c>
      <c r="G1878">
        <v>146.30000000000001</v>
      </c>
      <c r="H1878" s="1" t="s">
        <v>188</v>
      </c>
    </row>
    <row r="1879" spans="1:8" x14ac:dyDescent="0.3">
      <c r="A1879">
        <v>2018</v>
      </c>
      <c r="B1879" t="s">
        <v>44</v>
      </c>
      <c r="C1879" t="s">
        <v>123</v>
      </c>
      <c r="D1879" s="1" t="s">
        <v>6</v>
      </c>
      <c r="E1879">
        <v>141.9</v>
      </c>
      <c r="F1879">
        <v>141.80000000000001</v>
      </c>
      <c r="G1879">
        <v>141.6</v>
      </c>
      <c r="H1879" s="1" t="s">
        <v>188</v>
      </c>
    </row>
    <row r="1880" spans="1:8" x14ac:dyDescent="0.3">
      <c r="A1880">
        <v>2018</v>
      </c>
      <c r="B1880" t="s">
        <v>44</v>
      </c>
      <c r="C1880" t="s">
        <v>123</v>
      </c>
      <c r="D1880" s="1" t="s">
        <v>28</v>
      </c>
      <c r="E1880">
        <v>140.1</v>
      </c>
      <c r="F1880">
        <v>136.30000000000001</v>
      </c>
      <c r="G1880">
        <v>132.19999999999999</v>
      </c>
      <c r="H1880" s="1" t="s">
        <v>192</v>
      </c>
    </row>
    <row r="1881" spans="1:8" x14ac:dyDescent="0.3">
      <c r="A1881">
        <v>2018</v>
      </c>
      <c r="B1881" t="s">
        <v>44</v>
      </c>
      <c r="C1881" t="s">
        <v>123</v>
      </c>
      <c r="D1881" s="1" t="s">
        <v>13</v>
      </c>
      <c r="E1881">
        <v>137.5</v>
      </c>
      <c r="F1881">
        <v>133.5</v>
      </c>
      <c r="G1881">
        <v>128</v>
      </c>
      <c r="H1881" s="1" t="s">
        <v>188</v>
      </c>
    </row>
    <row r="1882" spans="1:8" x14ac:dyDescent="0.3">
      <c r="A1882">
        <v>2018</v>
      </c>
      <c r="B1882" t="s">
        <v>44</v>
      </c>
      <c r="C1882" t="s">
        <v>123</v>
      </c>
      <c r="D1882" s="1" t="s">
        <v>7</v>
      </c>
      <c r="E1882">
        <v>122.8</v>
      </c>
      <c r="F1882">
        <v>121.1</v>
      </c>
      <c r="G1882">
        <v>118.1</v>
      </c>
      <c r="H1882" s="1" t="s">
        <v>188</v>
      </c>
    </row>
    <row r="1883" spans="1:8" x14ac:dyDescent="0.3">
      <c r="A1883">
        <v>2018</v>
      </c>
      <c r="B1883" t="s">
        <v>44</v>
      </c>
      <c r="C1883" t="s">
        <v>123</v>
      </c>
      <c r="D1883" s="1" t="s">
        <v>16</v>
      </c>
      <c r="E1883">
        <v>161.9</v>
      </c>
      <c r="F1883">
        <v>162.6</v>
      </c>
      <c r="G1883">
        <v>164.4</v>
      </c>
      <c r="H1883" s="1" t="s">
        <v>192</v>
      </c>
    </row>
    <row r="1884" spans="1:8" x14ac:dyDescent="0.3">
      <c r="A1884">
        <v>2018</v>
      </c>
      <c r="B1884" t="s">
        <v>44</v>
      </c>
      <c r="C1884" t="s">
        <v>123</v>
      </c>
      <c r="D1884" s="1" t="s">
        <v>27</v>
      </c>
      <c r="E1884">
        <v>133.1</v>
      </c>
      <c r="F1884">
        <v>132</v>
      </c>
      <c r="G1884">
        <v>130.5</v>
      </c>
      <c r="H1884" s="1" t="s">
        <v>192</v>
      </c>
    </row>
    <row r="1885" spans="1:8" x14ac:dyDescent="0.3">
      <c r="A1885">
        <v>2018</v>
      </c>
      <c r="B1885" t="s">
        <v>44</v>
      </c>
      <c r="C1885" t="s">
        <v>123</v>
      </c>
      <c r="D1885" s="1" t="s">
        <v>14</v>
      </c>
      <c r="E1885">
        <v>156.1</v>
      </c>
      <c r="F1885">
        <v>154.5</v>
      </c>
      <c r="G1885">
        <v>152.6</v>
      </c>
      <c r="H1885" s="1" t="s">
        <v>188</v>
      </c>
    </row>
    <row r="1886" spans="1:8" x14ac:dyDescent="0.3">
      <c r="A1886">
        <v>2018</v>
      </c>
      <c r="B1886" t="s">
        <v>44</v>
      </c>
      <c r="C1886" t="s">
        <v>123</v>
      </c>
      <c r="D1886" s="1" t="s">
        <v>10</v>
      </c>
      <c r="E1886">
        <v>121</v>
      </c>
      <c r="F1886">
        <v>119.1</v>
      </c>
      <c r="G1886">
        <v>115.3</v>
      </c>
      <c r="H1886" s="1" t="s">
        <v>188</v>
      </c>
    </row>
    <row r="1887" spans="1:8" x14ac:dyDescent="0.3">
      <c r="A1887">
        <v>2018</v>
      </c>
      <c r="B1887" t="s">
        <v>44</v>
      </c>
      <c r="C1887" t="s">
        <v>123</v>
      </c>
      <c r="D1887" s="1" t="s">
        <v>25</v>
      </c>
      <c r="E1887">
        <v>143.1</v>
      </c>
      <c r="F1887">
        <v>136.5</v>
      </c>
      <c r="G1887">
        <v>131.30000000000001</v>
      </c>
      <c r="H1887" s="1" t="s">
        <v>195</v>
      </c>
    </row>
    <row r="1888" spans="1:8" x14ac:dyDescent="0.3">
      <c r="A1888">
        <v>2018</v>
      </c>
      <c r="B1888" t="s">
        <v>44</v>
      </c>
      <c r="C1888" t="s">
        <v>123</v>
      </c>
      <c r="D1888" s="1" t="s">
        <v>12</v>
      </c>
      <c r="E1888">
        <v>140.6</v>
      </c>
      <c r="F1888">
        <v>140.9</v>
      </c>
      <c r="G1888">
        <v>141.4</v>
      </c>
      <c r="H1888" s="1" t="s">
        <v>188</v>
      </c>
    </row>
    <row r="1889" spans="1:8" x14ac:dyDescent="0.3">
      <c r="A1889">
        <v>2018</v>
      </c>
      <c r="B1889" t="s">
        <v>44</v>
      </c>
      <c r="C1889" t="s">
        <v>123</v>
      </c>
      <c r="D1889" s="1" t="s">
        <v>11</v>
      </c>
      <c r="E1889">
        <v>111.6</v>
      </c>
      <c r="F1889">
        <v>111.9</v>
      </c>
      <c r="G1889">
        <v>112.5</v>
      </c>
      <c r="H1889" s="1" t="s">
        <v>188</v>
      </c>
    </row>
    <row r="1890" spans="1:8" x14ac:dyDescent="0.3">
      <c r="A1890">
        <v>2018</v>
      </c>
      <c r="B1890" t="s">
        <v>44</v>
      </c>
      <c r="C1890" t="s">
        <v>123</v>
      </c>
      <c r="D1890" s="1" t="s">
        <v>24</v>
      </c>
      <c r="E1890">
        <v>130.30000000000001</v>
      </c>
      <c r="F1890">
        <v>125.5</v>
      </c>
      <c r="G1890">
        <v>121.2</v>
      </c>
      <c r="H1890" s="1" t="s">
        <v>191</v>
      </c>
    </row>
    <row r="1891" spans="1:8" x14ac:dyDescent="0.3">
      <c r="A1891">
        <v>2018</v>
      </c>
      <c r="B1891" t="s">
        <v>44</v>
      </c>
      <c r="C1891" t="s">
        <v>123</v>
      </c>
      <c r="D1891" s="1" t="s">
        <v>9</v>
      </c>
      <c r="E1891">
        <v>147.5</v>
      </c>
      <c r="F1891">
        <v>146.69999999999999</v>
      </c>
      <c r="G1891">
        <v>145.19999999999999</v>
      </c>
      <c r="H1891" s="1" t="s">
        <v>188</v>
      </c>
    </row>
    <row r="1892" spans="1:8" x14ac:dyDescent="0.3">
      <c r="A1892">
        <v>2018</v>
      </c>
      <c r="B1892" t="s">
        <v>43</v>
      </c>
      <c r="C1892" t="s">
        <v>124</v>
      </c>
      <c r="D1892" s="1" t="s">
        <v>3</v>
      </c>
      <c r="E1892">
        <v>139.30000000000001</v>
      </c>
      <c r="F1892">
        <v>137.4</v>
      </c>
      <c r="G1892">
        <v>137.6</v>
      </c>
      <c r="H1892" s="1" t="s">
        <v>188</v>
      </c>
    </row>
    <row r="1893" spans="1:8" x14ac:dyDescent="0.3">
      <c r="A1893">
        <v>2018</v>
      </c>
      <c r="B1893" t="s">
        <v>43</v>
      </c>
      <c r="C1893" t="s">
        <v>124</v>
      </c>
      <c r="D1893" s="1" t="s">
        <v>17</v>
      </c>
      <c r="E1893">
        <v>150.69999999999999</v>
      </c>
      <c r="F1893">
        <v>148</v>
      </c>
      <c r="G1893">
        <v>141.5</v>
      </c>
      <c r="H1893" s="1" t="s">
        <v>189</v>
      </c>
    </row>
    <row r="1894" spans="1:8" x14ac:dyDescent="0.3">
      <c r="A1894">
        <v>2018</v>
      </c>
      <c r="B1894" t="s">
        <v>43</v>
      </c>
      <c r="C1894" t="s">
        <v>124</v>
      </c>
      <c r="D1894" s="1" t="s">
        <v>19</v>
      </c>
      <c r="E1894">
        <v>149.80000000000001</v>
      </c>
      <c r="F1894">
        <v>146.80000000000001</v>
      </c>
      <c r="G1894">
        <v>139.69999999999999</v>
      </c>
      <c r="H1894" s="1" t="s">
        <v>189</v>
      </c>
    </row>
    <row r="1895" spans="1:8" x14ac:dyDescent="0.3">
      <c r="A1895">
        <v>2018</v>
      </c>
      <c r="B1895" t="s">
        <v>43</v>
      </c>
      <c r="C1895" t="s">
        <v>124</v>
      </c>
      <c r="D1895" s="1" t="s">
        <v>26</v>
      </c>
      <c r="E1895">
        <v>148</v>
      </c>
      <c r="F1895">
        <v>147.80000000000001</v>
      </c>
      <c r="G1895">
        <v>145.5</v>
      </c>
      <c r="H1895" s="1" t="s">
        <v>26</v>
      </c>
    </row>
    <row r="1896" spans="1:8" x14ac:dyDescent="0.3">
      <c r="A1896">
        <v>2018</v>
      </c>
      <c r="B1896" t="s">
        <v>43</v>
      </c>
      <c r="C1896" t="s">
        <v>124</v>
      </c>
      <c r="D1896" s="1" t="s">
        <v>5</v>
      </c>
      <c r="E1896">
        <v>134.6</v>
      </c>
      <c r="F1896">
        <v>137.30000000000001</v>
      </c>
      <c r="G1896">
        <v>133.5</v>
      </c>
      <c r="H1896" s="1" t="s">
        <v>188</v>
      </c>
    </row>
    <row r="1897" spans="1:8" x14ac:dyDescent="0.3">
      <c r="A1897">
        <v>2018</v>
      </c>
      <c r="B1897" t="s">
        <v>43</v>
      </c>
      <c r="C1897" t="s">
        <v>124</v>
      </c>
      <c r="D1897" s="1" t="s">
        <v>15</v>
      </c>
      <c r="E1897">
        <v>140.19999999999999</v>
      </c>
      <c r="F1897">
        <v>139.69999999999999</v>
      </c>
      <c r="G1897">
        <v>139.4</v>
      </c>
      <c r="H1897" s="1" t="s">
        <v>188</v>
      </c>
    </row>
    <row r="1898" spans="1:8" x14ac:dyDescent="0.3">
      <c r="A1898">
        <v>2018</v>
      </c>
      <c r="B1898" t="s">
        <v>43</v>
      </c>
      <c r="C1898" t="s">
        <v>124</v>
      </c>
      <c r="D1898" s="1" t="s">
        <v>18</v>
      </c>
      <c r="E1898">
        <v>144.5</v>
      </c>
      <c r="F1898">
        <v>139.19999999999999</v>
      </c>
      <c r="G1898">
        <v>129.80000000000001</v>
      </c>
      <c r="H1898" s="1" t="s">
        <v>189</v>
      </c>
    </row>
    <row r="1899" spans="1:8" x14ac:dyDescent="0.3">
      <c r="A1899">
        <v>2018</v>
      </c>
      <c r="B1899" t="s">
        <v>43</v>
      </c>
      <c r="C1899" t="s">
        <v>124</v>
      </c>
      <c r="D1899" s="1" t="s">
        <v>8</v>
      </c>
      <c r="E1899">
        <v>144.5</v>
      </c>
      <c r="F1899">
        <v>142.5</v>
      </c>
      <c r="G1899">
        <v>139.5</v>
      </c>
      <c r="H1899" s="1" t="s">
        <v>188</v>
      </c>
    </row>
    <row r="1900" spans="1:8" x14ac:dyDescent="0.3">
      <c r="A1900">
        <v>2018</v>
      </c>
      <c r="B1900" t="s">
        <v>43</v>
      </c>
      <c r="C1900" t="s">
        <v>124</v>
      </c>
      <c r="D1900" s="1" t="s">
        <v>21</v>
      </c>
      <c r="E1900">
        <v>149.69999999999999</v>
      </c>
      <c r="F1900">
        <v>145.30000000000001</v>
      </c>
      <c r="G1900">
        <v>133.4</v>
      </c>
      <c r="H1900" s="1" t="s">
        <v>190</v>
      </c>
    </row>
    <row r="1901" spans="1:8" x14ac:dyDescent="0.3">
      <c r="A1901">
        <v>2018</v>
      </c>
      <c r="B1901" t="s">
        <v>43</v>
      </c>
      <c r="C1901" t="s">
        <v>124</v>
      </c>
      <c r="D1901" s="1" t="s">
        <v>29</v>
      </c>
      <c r="E1901">
        <v>142.19999999999999</v>
      </c>
      <c r="F1901">
        <v>140.80000000000001</v>
      </c>
      <c r="G1901">
        <v>138.9</v>
      </c>
      <c r="H1901" s="1" t="s">
        <v>206</v>
      </c>
    </row>
    <row r="1902" spans="1:8" x14ac:dyDescent="0.3">
      <c r="A1902">
        <v>2018</v>
      </c>
      <c r="B1902" t="s">
        <v>43</v>
      </c>
      <c r="C1902" t="s">
        <v>124</v>
      </c>
      <c r="D1902" s="1" t="s">
        <v>23</v>
      </c>
      <c r="E1902">
        <v>144.80000000000001</v>
      </c>
      <c r="F1902">
        <v>142.1</v>
      </c>
      <c r="G1902">
        <v>136.19999999999999</v>
      </c>
      <c r="H1902" s="1" t="s">
        <v>23</v>
      </c>
    </row>
    <row r="1903" spans="1:8" x14ac:dyDescent="0.3">
      <c r="A1903">
        <v>2018</v>
      </c>
      <c r="B1903" t="s">
        <v>43</v>
      </c>
      <c r="C1903" t="s">
        <v>124</v>
      </c>
      <c r="D1903" s="1" t="s">
        <v>22</v>
      </c>
      <c r="E1903">
        <v>147.5</v>
      </c>
      <c r="F1903">
        <v>142.19999999999999</v>
      </c>
      <c r="G1903">
        <v>135.1</v>
      </c>
      <c r="H1903" s="1" t="s">
        <v>20</v>
      </c>
    </row>
    <row r="1904" spans="1:8" x14ac:dyDescent="0.3">
      <c r="A1904">
        <v>2018</v>
      </c>
      <c r="B1904" t="s">
        <v>43</v>
      </c>
      <c r="C1904" t="s">
        <v>124</v>
      </c>
      <c r="D1904" s="1" t="s">
        <v>20</v>
      </c>
      <c r="E1904">
        <v>0</v>
      </c>
      <c r="F1904">
        <v>146.9</v>
      </c>
      <c r="G1904">
        <v>146.30000000000001</v>
      </c>
      <c r="H1904" s="1" t="s">
        <v>20</v>
      </c>
    </row>
    <row r="1905" spans="1:8" x14ac:dyDescent="0.3">
      <c r="A1905">
        <v>2018</v>
      </c>
      <c r="B1905" t="s">
        <v>43</v>
      </c>
      <c r="C1905" t="s">
        <v>124</v>
      </c>
      <c r="D1905" s="1" t="s">
        <v>4</v>
      </c>
      <c r="E1905">
        <v>147.6</v>
      </c>
      <c r="F1905">
        <v>149.5</v>
      </c>
      <c r="G1905">
        <v>144.9</v>
      </c>
      <c r="H1905" s="1" t="s">
        <v>188</v>
      </c>
    </row>
    <row r="1906" spans="1:8" x14ac:dyDescent="0.3">
      <c r="A1906">
        <v>2018</v>
      </c>
      <c r="B1906" t="s">
        <v>43</v>
      </c>
      <c r="C1906" t="s">
        <v>124</v>
      </c>
      <c r="D1906" s="1" t="s">
        <v>6</v>
      </c>
      <c r="E1906">
        <v>141.9</v>
      </c>
      <c r="F1906">
        <v>141.9</v>
      </c>
      <c r="G1906">
        <v>141.5</v>
      </c>
      <c r="H1906" s="1" t="s">
        <v>188</v>
      </c>
    </row>
    <row r="1907" spans="1:8" x14ac:dyDescent="0.3">
      <c r="A1907">
        <v>2018</v>
      </c>
      <c r="B1907" t="s">
        <v>43</v>
      </c>
      <c r="C1907" t="s">
        <v>124</v>
      </c>
      <c r="D1907" s="1" t="s">
        <v>28</v>
      </c>
      <c r="E1907">
        <v>139.80000000000001</v>
      </c>
      <c r="F1907">
        <v>136.30000000000001</v>
      </c>
      <c r="G1907">
        <v>132.5</v>
      </c>
      <c r="H1907" s="1" t="s">
        <v>192</v>
      </c>
    </row>
    <row r="1908" spans="1:8" x14ac:dyDescent="0.3">
      <c r="A1908">
        <v>2018</v>
      </c>
      <c r="B1908" t="s">
        <v>43</v>
      </c>
      <c r="C1908" t="s">
        <v>124</v>
      </c>
      <c r="D1908" s="1" t="s">
        <v>13</v>
      </c>
      <c r="E1908">
        <v>134.6</v>
      </c>
      <c r="F1908">
        <v>133.6</v>
      </c>
      <c r="G1908">
        <v>127.6</v>
      </c>
      <c r="H1908" s="1" t="s">
        <v>188</v>
      </c>
    </row>
    <row r="1909" spans="1:8" x14ac:dyDescent="0.3">
      <c r="A1909">
        <v>2018</v>
      </c>
      <c r="B1909" t="s">
        <v>43</v>
      </c>
      <c r="C1909" t="s">
        <v>124</v>
      </c>
      <c r="D1909" s="1" t="s">
        <v>7</v>
      </c>
      <c r="E1909">
        <v>123.5</v>
      </c>
      <c r="F1909">
        <v>121.1</v>
      </c>
      <c r="G1909">
        <v>118</v>
      </c>
      <c r="H1909" s="1" t="s">
        <v>188</v>
      </c>
    </row>
    <row r="1910" spans="1:8" x14ac:dyDescent="0.3">
      <c r="A1910">
        <v>2018</v>
      </c>
      <c r="B1910" t="s">
        <v>43</v>
      </c>
      <c r="C1910" t="s">
        <v>124</v>
      </c>
      <c r="D1910" s="1" t="s">
        <v>16</v>
      </c>
      <c r="E1910">
        <v>159.6</v>
      </c>
      <c r="F1910">
        <v>162.6</v>
      </c>
      <c r="G1910">
        <v>164</v>
      </c>
      <c r="H1910" s="1" t="s">
        <v>192</v>
      </c>
    </row>
    <row r="1911" spans="1:8" x14ac:dyDescent="0.3">
      <c r="A1911">
        <v>2018</v>
      </c>
      <c r="B1911" t="s">
        <v>43</v>
      </c>
      <c r="C1911" t="s">
        <v>124</v>
      </c>
      <c r="D1911" s="1" t="s">
        <v>27</v>
      </c>
      <c r="E1911">
        <v>134.4</v>
      </c>
      <c r="F1911">
        <v>132</v>
      </c>
      <c r="G1911">
        <v>130.4</v>
      </c>
      <c r="H1911" s="1" t="s">
        <v>192</v>
      </c>
    </row>
    <row r="1912" spans="1:8" x14ac:dyDescent="0.3">
      <c r="A1912">
        <v>2018</v>
      </c>
      <c r="B1912" t="s">
        <v>43</v>
      </c>
      <c r="C1912" t="s">
        <v>124</v>
      </c>
      <c r="D1912" s="1" t="s">
        <v>14</v>
      </c>
      <c r="E1912">
        <v>155.19999999999999</v>
      </c>
      <c r="F1912">
        <v>154.5</v>
      </c>
      <c r="G1912">
        <v>152</v>
      </c>
      <c r="H1912" s="1" t="s">
        <v>188</v>
      </c>
    </row>
    <row r="1913" spans="1:8" x14ac:dyDescent="0.3">
      <c r="A1913">
        <v>2018</v>
      </c>
      <c r="B1913" t="s">
        <v>43</v>
      </c>
      <c r="C1913" t="s">
        <v>124</v>
      </c>
      <c r="D1913" s="1" t="s">
        <v>10</v>
      </c>
      <c r="E1913">
        <v>121.4</v>
      </c>
      <c r="F1913">
        <v>119.1</v>
      </c>
      <c r="G1913">
        <v>113.2</v>
      </c>
      <c r="H1913" s="1" t="s">
        <v>188</v>
      </c>
    </row>
    <row r="1914" spans="1:8" x14ac:dyDescent="0.3">
      <c r="A1914">
        <v>2018</v>
      </c>
      <c r="B1914" t="s">
        <v>43</v>
      </c>
      <c r="C1914" t="s">
        <v>124</v>
      </c>
      <c r="D1914" s="1" t="s">
        <v>25</v>
      </c>
      <c r="E1914">
        <v>140.1</v>
      </c>
      <c r="F1914">
        <v>136.5</v>
      </c>
      <c r="G1914">
        <v>130.69999999999999</v>
      </c>
      <c r="H1914" s="1" t="s">
        <v>195</v>
      </c>
    </row>
    <row r="1915" spans="1:8" x14ac:dyDescent="0.3">
      <c r="A1915">
        <v>2018</v>
      </c>
      <c r="B1915" t="s">
        <v>43</v>
      </c>
      <c r="C1915" t="s">
        <v>124</v>
      </c>
      <c r="D1915" s="1" t="s">
        <v>12</v>
      </c>
      <c r="E1915">
        <v>139.5</v>
      </c>
      <c r="F1915">
        <v>141</v>
      </c>
      <c r="G1915">
        <v>141.1</v>
      </c>
      <c r="H1915" s="1" t="s">
        <v>188</v>
      </c>
    </row>
    <row r="1916" spans="1:8" x14ac:dyDescent="0.3">
      <c r="A1916">
        <v>2018</v>
      </c>
      <c r="B1916" t="s">
        <v>43</v>
      </c>
      <c r="C1916" t="s">
        <v>124</v>
      </c>
      <c r="D1916" s="1" t="s">
        <v>11</v>
      </c>
      <c r="E1916">
        <v>112.3</v>
      </c>
      <c r="F1916">
        <v>111.9</v>
      </c>
      <c r="G1916">
        <v>112.8</v>
      </c>
      <c r="H1916" s="1" t="s">
        <v>188</v>
      </c>
    </row>
    <row r="1917" spans="1:8" x14ac:dyDescent="0.3">
      <c r="A1917">
        <v>2018</v>
      </c>
      <c r="B1917" t="s">
        <v>43</v>
      </c>
      <c r="C1917" t="s">
        <v>124</v>
      </c>
      <c r="D1917" s="1" t="s">
        <v>24</v>
      </c>
      <c r="E1917">
        <v>130.80000000000001</v>
      </c>
      <c r="F1917">
        <v>125.5</v>
      </c>
      <c r="G1917">
        <v>123.3</v>
      </c>
      <c r="H1917" s="1" t="s">
        <v>191</v>
      </c>
    </row>
    <row r="1918" spans="1:8" x14ac:dyDescent="0.3">
      <c r="A1918">
        <v>2018</v>
      </c>
      <c r="B1918" t="s">
        <v>43</v>
      </c>
      <c r="C1918" t="s">
        <v>124</v>
      </c>
      <c r="D1918" s="1" t="s">
        <v>9</v>
      </c>
      <c r="E1918">
        <v>147.6</v>
      </c>
      <c r="F1918">
        <v>146.69999999999999</v>
      </c>
      <c r="G1918">
        <v>153</v>
      </c>
      <c r="H1918" s="1" t="s">
        <v>188</v>
      </c>
    </row>
    <row r="1919" spans="1:8" x14ac:dyDescent="0.3">
      <c r="A1919">
        <v>2018</v>
      </c>
      <c r="B1919" t="s">
        <v>42</v>
      </c>
      <c r="C1919" t="s">
        <v>125</v>
      </c>
      <c r="D1919" s="1" t="s">
        <v>3</v>
      </c>
      <c r="E1919">
        <v>139.4</v>
      </c>
      <c r="F1919">
        <v>138.6</v>
      </c>
      <c r="G1919">
        <v>137</v>
      </c>
      <c r="H1919" s="1" t="s">
        <v>188</v>
      </c>
    </row>
    <row r="1920" spans="1:8" x14ac:dyDescent="0.3">
      <c r="A1920">
        <v>2018</v>
      </c>
      <c r="B1920" t="s">
        <v>42</v>
      </c>
      <c r="C1920" t="s">
        <v>125</v>
      </c>
      <c r="D1920" s="1" t="s">
        <v>17</v>
      </c>
      <c r="E1920">
        <v>152.1</v>
      </c>
      <c r="F1920">
        <v>147.69999999999999</v>
      </c>
      <c r="G1920">
        <v>140.80000000000001</v>
      </c>
      <c r="H1920" s="1" t="s">
        <v>189</v>
      </c>
    </row>
    <row r="1921" spans="1:8" x14ac:dyDescent="0.3">
      <c r="A1921">
        <v>2018</v>
      </c>
      <c r="B1921" t="s">
        <v>42</v>
      </c>
      <c r="C1921" t="s">
        <v>125</v>
      </c>
      <c r="D1921" s="1" t="s">
        <v>19</v>
      </c>
      <c r="E1921">
        <v>151.30000000000001</v>
      </c>
      <c r="F1921">
        <v>146.5</v>
      </c>
      <c r="G1921">
        <v>139.1</v>
      </c>
      <c r="H1921" s="1" t="s">
        <v>189</v>
      </c>
    </row>
    <row r="1922" spans="1:8" x14ac:dyDescent="0.3">
      <c r="A1922">
        <v>2018</v>
      </c>
      <c r="B1922" t="s">
        <v>42</v>
      </c>
      <c r="C1922" t="s">
        <v>125</v>
      </c>
      <c r="D1922" s="1" t="s">
        <v>26</v>
      </c>
      <c r="E1922">
        <v>147.6</v>
      </c>
      <c r="F1922">
        <v>146.19999999999999</v>
      </c>
      <c r="G1922">
        <v>145.19999999999999</v>
      </c>
      <c r="H1922" s="1" t="s">
        <v>26</v>
      </c>
    </row>
    <row r="1923" spans="1:8" x14ac:dyDescent="0.3">
      <c r="A1923">
        <v>2018</v>
      </c>
      <c r="B1923" t="s">
        <v>42</v>
      </c>
      <c r="C1923" t="s">
        <v>125</v>
      </c>
      <c r="D1923" s="1" t="s">
        <v>5</v>
      </c>
      <c r="E1923">
        <v>136.6</v>
      </c>
      <c r="F1923">
        <v>135.1</v>
      </c>
      <c r="G1923">
        <v>132.80000000000001</v>
      </c>
      <c r="H1923" s="1" t="s">
        <v>188</v>
      </c>
    </row>
    <row r="1924" spans="1:8" x14ac:dyDescent="0.3">
      <c r="A1924">
        <v>2018</v>
      </c>
      <c r="B1924" t="s">
        <v>42</v>
      </c>
      <c r="C1924" t="s">
        <v>125</v>
      </c>
      <c r="D1924" s="1" t="s">
        <v>15</v>
      </c>
      <c r="E1924">
        <v>141.30000000000001</v>
      </c>
      <c r="F1924">
        <v>140.4</v>
      </c>
      <c r="G1924">
        <v>138.9</v>
      </c>
      <c r="H1924" s="1" t="s">
        <v>188</v>
      </c>
    </row>
    <row r="1925" spans="1:8" x14ac:dyDescent="0.3">
      <c r="A1925">
        <v>2018</v>
      </c>
      <c r="B1925" t="s">
        <v>42</v>
      </c>
      <c r="C1925" t="s">
        <v>125</v>
      </c>
      <c r="D1925" s="1" t="s">
        <v>18</v>
      </c>
      <c r="E1925">
        <v>146.1</v>
      </c>
      <c r="F1925">
        <v>139.1</v>
      </c>
      <c r="G1925">
        <v>129.30000000000001</v>
      </c>
      <c r="H1925" s="1" t="s">
        <v>189</v>
      </c>
    </row>
    <row r="1926" spans="1:8" x14ac:dyDescent="0.3">
      <c r="A1926">
        <v>2018</v>
      </c>
      <c r="B1926" t="s">
        <v>42</v>
      </c>
      <c r="C1926" t="s">
        <v>125</v>
      </c>
      <c r="D1926" s="1" t="s">
        <v>8</v>
      </c>
      <c r="E1926">
        <v>150.1</v>
      </c>
      <c r="F1926">
        <v>145.4</v>
      </c>
      <c r="G1926">
        <v>140</v>
      </c>
      <c r="H1926" s="1" t="s">
        <v>188</v>
      </c>
    </row>
    <row r="1927" spans="1:8" x14ac:dyDescent="0.3">
      <c r="A1927">
        <v>2018</v>
      </c>
      <c r="B1927" t="s">
        <v>42</v>
      </c>
      <c r="C1927" t="s">
        <v>125</v>
      </c>
      <c r="D1927" s="1" t="s">
        <v>21</v>
      </c>
      <c r="E1927">
        <v>149</v>
      </c>
      <c r="F1927">
        <v>142.30000000000001</v>
      </c>
      <c r="G1927">
        <v>131.19999999999999</v>
      </c>
      <c r="H1927" s="1" t="s">
        <v>190</v>
      </c>
    </row>
    <row r="1928" spans="1:8" x14ac:dyDescent="0.3">
      <c r="A1928">
        <v>2018</v>
      </c>
      <c r="B1928" t="s">
        <v>42</v>
      </c>
      <c r="C1928" t="s">
        <v>125</v>
      </c>
      <c r="D1928" s="1" t="s">
        <v>29</v>
      </c>
      <c r="E1928">
        <v>142.1</v>
      </c>
      <c r="F1928">
        <v>140.19999999999999</v>
      </c>
      <c r="G1928">
        <v>138.1</v>
      </c>
      <c r="H1928" s="1" t="s">
        <v>206</v>
      </c>
    </row>
    <row r="1929" spans="1:8" x14ac:dyDescent="0.3">
      <c r="A1929">
        <v>2018</v>
      </c>
      <c r="B1929" t="s">
        <v>42</v>
      </c>
      <c r="C1929" t="s">
        <v>125</v>
      </c>
      <c r="D1929" s="1" t="s">
        <v>23</v>
      </c>
      <c r="E1929">
        <v>140</v>
      </c>
      <c r="F1929">
        <v>138.4</v>
      </c>
      <c r="G1929">
        <v>135.69999999999999</v>
      </c>
      <c r="H1929" s="1" t="s">
        <v>23</v>
      </c>
    </row>
    <row r="1930" spans="1:8" x14ac:dyDescent="0.3">
      <c r="A1930">
        <v>2018</v>
      </c>
      <c r="B1930" t="s">
        <v>42</v>
      </c>
      <c r="C1930" t="s">
        <v>125</v>
      </c>
      <c r="D1930" s="1" t="s">
        <v>22</v>
      </c>
      <c r="E1930">
        <v>144</v>
      </c>
      <c r="F1930">
        <v>139.69999999999999</v>
      </c>
      <c r="G1930">
        <v>134.9</v>
      </c>
      <c r="H1930" s="1" t="s">
        <v>20</v>
      </c>
    </row>
    <row r="1931" spans="1:8" x14ac:dyDescent="0.3">
      <c r="A1931">
        <v>2018</v>
      </c>
      <c r="B1931" t="s">
        <v>42</v>
      </c>
      <c r="C1931" t="s">
        <v>125</v>
      </c>
      <c r="D1931" s="1" t="s">
        <v>20</v>
      </c>
      <c r="E1931">
        <v>0</v>
      </c>
      <c r="F1931">
        <v>145.30000000000001</v>
      </c>
      <c r="G1931">
        <v>145.30000000000001</v>
      </c>
      <c r="H1931" s="1" t="s">
        <v>20</v>
      </c>
    </row>
    <row r="1932" spans="1:8" x14ac:dyDescent="0.3">
      <c r="A1932">
        <v>2018</v>
      </c>
      <c r="B1932" t="s">
        <v>42</v>
      </c>
      <c r="C1932" t="s">
        <v>125</v>
      </c>
      <c r="D1932" s="1" t="s">
        <v>4</v>
      </c>
      <c r="E1932">
        <v>147.19999999999999</v>
      </c>
      <c r="F1932">
        <v>145.80000000000001</v>
      </c>
      <c r="G1932">
        <v>143.1</v>
      </c>
      <c r="H1932" s="1" t="s">
        <v>188</v>
      </c>
    </row>
    <row r="1933" spans="1:8" x14ac:dyDescent="0.3">
      <c r="A1933">
        <v>2018</v>
      </c>
      <c r="B1933" t="s">
        <v>42</v>
      </c>
      <c r="C1933" t="s">
        <v>125</v>
      </c>
      <c r="D1933" s="1" t="s">
        <v>6</v>
      </c>
      <c r="E1933">
        <v>143.69999999999999</v>
      </c>
      <c r="F1933">
        <v>142.9</v>
      </c>
      <c r="G1933">
        <v>141.5</v>
      </c>
      <c r="H1933" s="1" t="s">
        <v>188</v>
      </c>
    </row>
    <row r="1934" spans="1:8" x14ac:dyDescent="0.3">
      <c r="A1934">
        <v>2018</v>
      </c>
      <c r="B1934" t="s">
        <v>42</v>
      </c>
      <c r="C1934" t="s">
        <v>125</v>
      </c>
      <c r="D1934" s="1" t="s">
        <v>28</v>
      </c>
      <c r="E1934">
        <v>137.4</v>
      </c>
      <c r="F1934">
        <v>134.69999999999999</v>
      </c>
      <c r="G1934">
        <v>131.9</v>
      </c>
      <c r="H1934" s="1" t="s">
        <v>192</v>
      </c>
    </row>
    <row r="1935" spans="1:8" x14ac:dyDescent="0.3">
      <c r="A1935">
        <v>2018</v>
      </c>
      <c r="B1935" t="s">
        <v>42</v>
      </c>
      <c r="C1935" t="s">
        <v>125</v>
      </c>
      <c r="D1935" s="1" t="s">
        <v>13</v>
      </c>
      <c r="E1935">
        <v>133.1</v>
      </c>
      <c r="F1935">
        <v>130.80000000000001</v>
      </c>
      <c r="G1935">
        <v>127.7</v>
      </c>
      <c r="H1935" s="1" t="s">
        <v>188</v>
      </c>
    </row>
    <row r="1936" spans="1:8" x14ac:dyDescent="0.3">
      <c r="A1936">
        <v>2018</v>
      </c>
      <c r="B1936" t="s">
        <v>42</v>
      </c>
      <c r="C1936" t="s">
        <v>125</v>
      </c>
      <c r="D1936" s="1" t="s">
        <v>7</v>
      </c>
      <c r="E1936">
        <v>124.6</v>
      </c>
      <c r="F1936">
        <v>122.1</v>
      </c>
      <c r="G1936">
        <v>117.8</v>
      </c>
      <c r="H1936" s="1" t="s">
        <v>188</v>
      </c>
    </row>
    <row r="1937" spans="1:8" x14ac:dyDescent="0.3">
      <c r="A1937">
        <v>2018</v>
      </c>
      <c r="B1937" t="s">
        <v>42</v>
      </c>
      <c r="C1937" t="s">
        <v>125</v>
      </c>
      <c r="D1937" s="1" t="s">
        <v>16</v>
      </c>
      <c r="E1937">
        <v>157.69999999999999</v>
      </c>
      <c r="F1937">
        <v>159.19999999999999</v>
      </c>
      <c r="G1937">
        <v>163.30000000000001</v>
      </c>
      <c r="H1937" s="1" t="s">
        <v>192</v>
      </c>
    </row>
    <row r="1938" spans="1:8" x14ac:dyDescent="0.3">
      <c r="A1938">
        <v>2018</v>
      </c>
      <c r="B1938" t="s">
        <v>42</v>
      </c>
      <c r="C1938" t="s">
        <v>125</v>
      </c>
      <c r="D1938" s="1" t="s">
        <v>27</v>
      </c>
      <c r="E1938">
        <v>132</v>
      </c>
      <c r="F1938">
        <v>130.9</v>
      </c>
      <c r="G1938">
        <v>129.30000000000001</v>
      </c>
      <c r="H1938" s="1" t="s">
        <v>192</v>
      </c>
    </row>
    <row r="1939" spans="1:8" x14ac:dyDescent="0.3">
      <c r="A1939">
        <v>2018</v>
      </c>
      <c r="B1939" t="s">
        <v>42</v>
      </c>
      <c r="C1939" t="s">
        <v>125</v>
      </c>
      <c r="D1939" s="1" t="s">
        <v>14</v>
      </c>
      <c r="E1939">
        <v>155.9</v>
      </c>
      <c r="F1939">
        <v>153.80000000000001</v>
      </c>
      <c r="G1939">
        <v>151.30000000000001</v>
      </c>
      <c r="H1939" s="1" t="s">
        <v>188</v>
      </c>
    </row>
    <row r="1940" spans="1:8" x14ac:dyDescent="0.3">
      <c r="A1940">
        <v>2018</v>
      </c>
      <c r="B1940" t="s">
        <v>42</v>
      </c>
      <c r="C1940" t="s">
        <v>125</v>
      </c>
      <c r="D1940" s="1" t="s">
        <v>10</v>
      </c>
      <c r="E1940">
        <v>125.4</v>
      </c>
      <c r="F1940">
        <v>121.4</v>
      </c>
      <c r="G1940">
        <v>113.5</v>
      </c>
      <c r="H1940" s="1" t="s">
        <v>188</v>
      </c>
    </row>
    <row r="1941" spans="1:8" x14ac:dyDescent="0.3">
      <c r="A1941">
        <v>2018</v>
      </c>
      <c r="B1941" t="s">
        <v>42</v>
      </c>
      <c r="C1941" t="s">
        <v>125</v>
      </c>
      <c r="D1941" s="1" t="s">
        <v>25</v>
      </c>
      <c r="E1941">
        <v>140</v>
      </c>
      <c r="F1941">
        <v>134.5</v>
      </c>
      <c r="G1941">
        <v>130.19999999999999</v>
      </c>
      <c r="H1941" s="1" t="s">
        <v>195</v>
      </c>
    </row>
    <row r="1942" spans="1:8" x14ac:dyDescent="0.3">
      <c r="A1942">
        <v>2018</v>
      </c>
      <c r="B1942" t="s">
        <v>42</v>
      </c>
      <c r="C1942" t="s">
        <v>125</v>
      </c>
      <c r="D1942" s="1" t="s">
        <v>12</v>
      </c>
      <c r="E1942">
        <v>138.69999999999999</v>
      </c>
      <c r="F1942">
        <v>139.5</v>
      </c>
      <c r="G1942">
        <v>141.19999999999999</v>
      </c>
      <c r="H1942" s="1" t="s">
        <v>188</v>
      </c>
    </row>
    <row r="1943" spans="1:8" x14ac:dyDescent="0.3">
      <c r="A1943">
        <v>2018</v>
      </c>
      <c r="B1943" t="s">
        <v>42</v>
      </c>
      <c r="C1943" t="s">
        <v>125</v>
      </c>
      <c r="D1943" s="1" t="s">
        <v>11</v>
      </c>
      <c r="E1943">
        <v>114.4</v>
      </c>
      <c r="F1943">
        <v>113.7</v>
      </c>
      <c r="G1943">
        <v>112.3</v>
      </c>
      <c r="H1943" s="1" t="s">
        <v>188</v>
      </c>
    </row>
    <row r="1944" spans="1:8" x14ac:dyDescent="0.3">
      <c r="A1944">
        <v>2018</v>
      </c>
      <c r="B1944" t="s">
        <v>42</v>
      </c>
      <c r="C1944" t="s">
        <v>125</v>
      </c>
      <c r="D1944" s="1" t="s">
        <v>24</v>
      </c>
      <c r="E1944">
        <v>129.9</v>
      </c>
      <c r="F1944">
        <v>126</v>
      </c>
      <c r="G1944">
        <v>122.5</v>
      </c>
      <c r="H1944" s="1" t="s">
        <v>191</v>
      </c>
    </row>
    <row r="1945" spans="1:8" x14ac:dyDescent="0.3">
      <c r="A1945">
        <v>2018</v>
      </c>
      <c r="B1945" t="s">
        <v>42</v>
      </c>
      <c r="C1945" t="s">
        <v>125</v>
      </c>
      <c r="D1945" s="1" t="s">
        <v>9</v>
      </c>
      <c r="E1945">
        <v>149.4</v>
      </c>
      <c r="F1945">
        <v>150</v>
      </c>
      <c r="G1945">
        <v>151.30000000000001</v>
      </c>
      <c r="H1945" s="1" t="s">
        <v>188</v>
      </c>
    </row>
    <row r="1946" spans="1:8" x14ac:dyDescent="0.3">
      <c r="A1946">
        <v>2019</v>
      </c>
      <c r="B1946" t="s">
        <v>41</v>
      </c>
      <c r="C1946" t="s">
        <v>126</v>
      </c>
      <c r="D1946" s="1" t="s">
        <v>3</v>
      </c>
      <c r="E1946">
        <v>139.19999999999999</v>
      </c>
      <c r="F1946">
        <v>140.1</v>
      </c>
      <c r="G1946">
        <v>142.1</v>
      </c>
      <c r="H1946" s="1" t="s">
        <v>188</v>
      </c>
    </row>
    <row r="1947" spans="1:8" x14ac:dyDescent="0.3">
      <c r="A1947">
        <v>2019</v>
      </c>
      <c r="B1947" t="s">
        <v>41</v>
      </c>
      <c r="C1947" t="s">
        <v>126</v>
      </c>
      <c r="D1947" s="1" t="s">
        <v>17</v>
      </c>
      <c r="E1947">
        <v>151.80000000000001</v>
      </c>
      <c r="F1947">
        <v>149.1</v>
      </c>
      <c r="G1947">
        <v>145</v>
      </c>
      <c r="H1947" s="1" t="s">
        <v>189</v>
      </c>
    </row>
    <row r="1948" spans="1:8" x14ac:dyDescent="0.3">
      <c r="A1948">
        <v>2019</v>
      </c>
      <c r="B1948" t="s">
        <v>41</v>
      </c>
      <c r="C1948" t="s">
        <v>126</v>
      </c>
      <c r="D1948" s="1" t="s">
        <v>19</v>
      </c>
      <c r="E1948">
        <v>151.1</v>
      </c>
      <c r="F1948">
        <v>147.9</v>
      </c>
      <c r="G1948">
        <v>143</v>
      </c>
      <c r="H1948" s="1" t="s">
        <v>189</v>
      </c>
    </row>
    <row r="1949" spans="1:8" x14ac:dyDescent="0.3">
      <c r="A1949">
        <v>2019</v>
      </c>
      <c r="B1949" t="s">
        <v>41</v>
      </c>
      <c r="C1949" t="s">
        <v>126</v>
      </c>
      <c r="D1949" s="1" t="s">
        <v>26</v>
      </c>
      <c r="E1949">
        <v>159.69999999999999</v>
      </c>
      <c r="F1949">
        <v>154.9</v>
      </c>
      <c r="G1949">
        <v>151.5</v>
      </c>
      <c r="H1949" s="1" t="s">
        <v>26</v>
      </c>
    </row>
    <row r="1950" spans="1:8" x14ac:dyDescent="0.3">
      <c r="A1950">
        <v>2019</v>
      </c>
      <c r="B1950" t="s">
        <v>41</v>
      </c>
      <c r="C1950" t="s">
        <v>126</v>
      </c>
      <c r="D1950" s="1" t="s">
        <v>5</v>
      </c>
      <c r="E1950">
        <v>137.1</v>
      </c>
      <c r="F1950">
        <v>138.5</v>
      </c>
      <c r="G1950">
        <v>140.80000000000001</v>
      </c>
      <c r="H1950" s="1" t="s">
        <v>188</v>
      </c>
    </row>
    <row r="1951" spans="1:8" x14ac:dyDescent="0.3">
      <c r="A1951">
        <v>2019</v>
      </c>
      <c r="B1951" t="s">
        <v>41</v>
      </c>
      <c r="C1951" t="s">
        <v>126</v>
      </c>
      <c r="D1951" s="1" t="s">
        <v>15</v>
      </c>
      <c r="E1951">
        <v>144</v>
      </c>
      <c r="F1951">
        <v>145.9</v>
      </c>
      <c r="G1951">
        <v>149.1</v>
      </c>
      <c r="H1951" s="1" t="s">
        <v>188</v>
      </c>
    </row>
    <row r="1952" spans="1:8" x14ac:dyDescent="0.3">
      <c r="A1952">
        <v>2019</v>
      </c>
      <c r="B1952" t="s">
        <v>41</v>
      </c>
      <c r="C1952" t="s">
        <v>126</v>
      </c>
      <c r="D1952" s="1" t="s">
        <v>18</v>
      </c>
      <c r="E1952">
        <v>146.6</v>
      </c>
      <c r="F1952">
        <v>140.6</v>
      </c>
      <c r="G1952">
        <v>132.19999999999999</v>
      </c>
      <c r="H1952" s="1" t="s">
        <v>189</v>
      </c>
    </row>
    <row r="1953" spans="1:8" x14ac:dyDescent="0.3">
      <c r="A1953">
        <v>2019</v>
      </c>
      <c r="B1953" t="s">
        <v>41</v>
      </c>
      <c r="C1953" t="s">
        <v>126</v>
      </c>
      <c r="D1953" s="1" t="s">
        <v>8</v>
      </c>
      <c r="E1953">
        <v>145.5</v>
      </c>
      <c r="F1953">
        <v>149.4</v>
      </c>
      <c r="G1953">
        <v>153.9</v>
      </c>
      <c r="H1953" s="1" t="s">
        <v>188</v>
      </c>
    </row>
    <row r="1954" spans="1:8" x14ac:dyDescent="0.3">
      <c r="A1954">
        <v>2019</v>
      </c>
      <c r="B1954" t="s">
        <v>41</v>
      </c>
      <c r="C1954" t="s">
        <v>126</v>
      </c>
      <c r="D1954" s="1" t="s">
        <v>21</v>
      </c>
      <c r="E1954">
        <v>146.4</v>
      </c>
      <c r="F1954">
        <v>138.5</v>
      </c>
      <c r="G1954">
        <v>125.5</v>
      </c>
      <c r="H1954" s="1" t="s">
        <v>190</v>
      </c>
    </row>
    <row r="1955" spans="1:8" x14ac:dyDescent="0.3">
      <c r="A1955">
        <v>2019</v>
      </c>
      <c r="B1955" t="s">
        <v>41</v>
      </c>
      <c r="C1955" t="s">
        <v>126</v>
      </c>
      <c r="D1955" s="1" t="s">
        <v>29</v>
      </c>
      <c r="E1955">
        <v>145.69999999999999</v>
      </c>
      <c r="F1955">
        <v>145</v>
      </c>
      <c r="G1955">
        <v>144.19999999999999</v>
      </c>
      <c r="H1955" s="1" t="s">
        <v>206</v>
      </c>
    </row>
    <row r="1956" spans="1:8" x14ac:dyDescent="0.3">
      <c r="A1956">
        <v>2019</v>
      </c>
      <c r="B1956" t="s">
        <v>41</v>
      </c>
      <c r="C1956" t="s">
        <v>126</v>
      </c>
      <c r="D1956" s="1" t="s">
        <v>23</v>
      </c>
      <c r="E1956">
        <v>152.69999999999999</v>
      </c>
      <c r="F1956">
        <v>148.5</v>
      </c>
      <c r="G1956">
        <v>141.5</v>
      </c>
      <c r="H1956" s="1" t="s">
        <v>23</v>
      </c>
    </row>
    <row r="1957" spans="1:8" x14ac:dyDescent="0.3">
      <c r="A1957">
        <v>2019</v>
      </c>
      <c r="B1957" t="s">
        <v>41</v>
      </c>
      <c r="C1957" t="s">
        <v>126</v>
      </c>
      <c r="D1957" s="1" t="s">
        <v>22</v>
      </c>
      <c r="E1957">
        <v>150.19999999999999</v>
      </c>
      <c r="F1957">
        <v>144.5</v>
      </c>
      <c r="G1957">
        <v>138.1</v>
      </c>
      <c r="H1957" s="1" t="s">
        <v>20</v>
      </c>
    </row>
    <row r="1958" spans="1:8" x14ac:dyDescent="0.3">
      <c r="A1958">
        <v>2019</v>
      </c>
      <c r="B1958" t="s">
        <v>41</v>
      </c>
      <c r="C1958" t="s">
        <v>126</v>
      </c>
      <c r="D1958" s="1" t="s">
        <v>20</v>
      </c>
      <c r="E1958">
        <v>0</v>
      </c>
      <c r="F1958">
        <v>151.6</v>
      </c>
      <c r="G1958">
        <v>151.6</v>
      </c>
      <c r="H1958" s="1" t="s">
        <v>20</v>
      </c>
    </row>
    <row r="1959" spans="1:8" x14ac:dyDescent="0.3">
      <c r="A1959">
        <v>2019</v>
      </c>
      <c r="B1959" t="s">
        <v>41</v>
      </c>
      <c r="C1959" t="s">
        <v>126</v>
      </c>
      <c r="D1959" s="1" t="s">
        <v>4</v>
      </c>
      <c r="E1959">
        <v>161.9</v>
      </c>
      <c r="F1959">
        <v>160.6</v>
      </c>
      <c r="G1959">
        <v>158.30000000000001</v>
      </c>
      <c r="H1959" s="1" t="s">
        <v>188</v>
      </c>
    </row>
    <row r="1960" spans="1:8" x14ac:dyDescent="0.3">
      <c r="A1960">
        <v>2019</v>
      </c>
      <c r="B1960" t="s">
        <v>41</v>
      </c>
      <c r="C1960" t="s">
        <v>126</v>
      </c>
      <c r="D1960" s="1" t="s">
        <v>6</v>
      </c>
      <c r="E1960">
        <v>144.6</v>
      </c>
      <c r="F1960">
        <v>144.69999999999999</v>
      </c>
      <c r="G1960">
        <v>144.9</v>
      </c>
      <c r="H1960" s="1" t="s">
        <v>188</v>
      </c>
    </row>
    <row r="1961" spans="1:8" x14ac:dyDescent="0.3">
      <c r="A1961">
        <v>2019</v>
      </c>
      <c r="B1961" t="s">
        <v>41</v>
      </c>
      <c r="C1961" t="s">
        <v>126</v>
      </c>
      <c r="D1961" s="1" t="s">
        <v>28</v>
      </c>
      <c r="E1961">
        <v>144.9</v>
      </c>
      <c r="F1961">
        <v>140.19999999999999</v>
      </c>
      <c r="G1961">
        <v>135.30000000000001</v>
      </c>
      <c r="H1961" s="1" t="s">
        <v>192</v>
      </c>
    </row>
    <row r="1962" spans="1:8" x14ac:dyDescent="0.3">
      <c r="A1962">
        <v>2019</v>
      </c>
      <c r="B1962" t="s">
        <v>41</v>
      </c>
      <c r="C1962" t="s">
        <v>126</v>
      </c>
      <c r="D1962" s="1" t="s">
        <v>13</v>
      </c>
      <c r="E1962">
        <v>138.5</v>
      </c>
      <c r="F1962">
        <v>134.9</v>
      </c>
      <c r="G1962">
        <v>129.80000000000001</v>
      </c>
      <c r="H1962" s="1" t="s">
        <v>188</v>
      </c>
    </row>
    <row r="1963" spans="1:8" x14ac:dyDescent="0.3">
      <c r="A1963">
        <v>2019</v>
      </c>
      <c r="B1963" t="s">
        <v>41</v>
      </c>
      <c r="C1963" t="s">
        <v>126</v>
      </c>
      <c r="D1963" s="1" t="s">
        <v>7</v>
      </c>
      <c r="E1963">
        <v>124.7</v>
      </c>
      <c r="F1963">
        <v>122.9</v>
      </c>
      <c r="G1963">
        <v>119.9</v>
      </c>
      <c r="H1963" s="1" t="s">
        <v>188</v>
      </c>
    </row>
    <row r="1964" spans="1:8" x14ac:dyDescent="0.3">
      <c r="A1964">
        <v>2019</v>
      </c>
      <c r="B1964" t="s">
        <v>41</v>
      </c>
      <c r="C1964" t="s">
        <v>126</v>
      </c>
      <c r="D1964" s="1" t="s">
        <v>16</v>
      </c>
      <c r="E1964">
        <v>165.1</v>
      </c>
      <c r="F1964">
        <v>165.8</v>
      </c>
      <c r="G1964">
        <v>167.9</v>
      </c>
      <c r="H1964" s="1" t="s">
        <v>192</v>
      </c>
    </row>
    <row r="1965" spans="1:8" x14ac:dyDescent="0.3">
      <c r="A1965">
        <v>2019</v>
      </c>
      <c r="B1965" t="s">
        <v>41</v>
      </c>
      <c r="C1965" t="s">
        <v>126</v>
      </c>
      <c r="D1965" s="1" t="s">
        <v>27</v>
      </c>
      <c r="E1965">
        <v>138.80000000000001</v>
      </c>
      <c r="F1965">
        <v>138.4</v>
      </c>
      <c r="G1965">
        <v>137.80000000000001</v>
      </c>
      <c r="H1965" s="1" t="s">
        <v>192</v>
      </c>
    </row>
    <row r="1966" spans="1:8" x14ac:dyDescent="0.3">
      <c r="A1966">
        <v>2019</v>
      </c>
      <c r="B1966" t="s">
        <v>41</v>
      </c>
      <c r="C1966" t="s">
        <v>126</v>
      </c>
      <c r="D1966" s="1" t="s">
        <v>14</v>
      </c>
      <c r="E1966">
        <v>156.9</v>
      </c>
      <c r="F1966">
        <v>156.6</v>
      </c>
      <c r="G1966">
        <v>156.19999999999999</v>
      </c>
      <c r="H1966" s="1" t="s">
        <v>188</v>
      </c>
    </row>
    <row r="1967" spans="1:8" x14ac:dyDescent="0.3">
      <c r="A1967">
        <v>2019</v>
      </c>
      <c r="B1967" t="s">
        <v>41</v>
      </c>
      <c r="C1967" t="s">
        <v>126</v>
      </c>
      <c r="D1967" s="1" t="s">
        <v>10</v>
      </c>
      <c r="E1967">
        <v>131.5</v>
      </c>
      <c r="F1967">
        <v>130.9</v>
      </c>
      <c r="G1967">
        <v>129.80000000000001</v>
      </c>
      <c r="H1967" s="1" t="s">
        <v>188</v>
      </c>
    </row>
    <row r="1968" spans="1:8" x14ac:dyDescent="0.3">
      <c r="A1968">
        <v>2019</v>
      </c>
      <c r="B1968" t="s">
        <v>41</v>
      </c>
      <c r="C1968" t="s">
        <v>126</v>
      </c>
      <c r="D1968" s="1" t="s">
        <v>25</v>
      </c>
      <c r="E1968">
        <v>148</v>
      </c>
      <c r="F1968">
        <v>140.9</v>
      </c>
      <c r="G1968">
        <v>135.4</v>
      </c>
      <c r="H1968" s="1" t="s">
        <v>195</v>
      </c>
    </row>
    <row r="1969" spans="1:8" x14ac:dyDescent="0.3">
      <c r="A1969">
        <v>2019</v>
      </c>
      <c r="B1969" t="s">
        <v>41</v>
      </c>
      <c r="C1969" t="s">
        <v>126</v>
      </c>
      <c r="D1969" s="1" t="s">
        <v>12</v>
      </c>
      <c r="E1969">
        <v>142.69999999999999</v>
      </c>
      <c r="F1969">
        <v>142.6</v>
      </c>
      <c r="G1969">
        <v>142.5</v>
      </c>
      <c r="H1969" s="1" t="s">
        <v>188</v>
      </c>
    </row>
    <row r="1970" spans="1:8" x14ac:dyDescent="0.3">
      <c r="A1970">
        <v>2019</v>
      </c>
      <c r="B1970" t="s">
        <v>41</v>
      </c>
      <c r="C1970" t="s">
        <v>126</v>
      </c>
      <c r="D1970" s="1" t="s">
        <v>11</v>
      </c>
      <c r="E1970">
        <v>111.7</v>
      </c>
      <c r="F1970">
        <v>112</v>
      </c>
      <c r="G1970">
        <v>112.7</v>
      </c>
      <c r="H1970" s="1" t="s">
        <v>188</v>
      </c>
    </row>
    <row r="1971" spans="1:8" x14ac:dyDescent="0.3">
      <c r="A1971">
        <v>2019</v>
      </c>
      <c r="B1971" t="s">
        <v>41</v>
      </c>
      <c r="C1971" t="s">
        <v>126</v>
      </c>
      <c r="D1971" s="1" t="s">
        <v>24</v>
      </c>
      <c r="E1971">
        <v>131.4</v>
      </c>
      <c r="F1971">
        <v>125.8</v>
      </c>
      <c r="G1971">
        <v>120.8</v>
      </c>
      <c r="H1971" s="1" t="s">
        <v>191</v>
      </c>
    </row>
    <row r="1972" spans="1:8" x14ac:dyDescent="0.3">
      <c r="A1972">
        <v>2019</v>
      </c>
      <c r="B1972" t="s">
        <v>41</v>
      </c>
      <c r="C1972" t="s">
        <v>126</v>
      </c>
      <c r="D1972" s="1" t="s">
        <v>9</v>
      </c>
      <c r="E1972">
        <v>156.19999999999999</v>
      </c>
      <c r="F1972">
        <v>167.4</v>
      </c>
      <c r="G1972">
        <v>189.1</v>
      </c>
      <c r="H1972" s="1" t="s">
        <v>188</v>
      </c>
    </row>
    <row r="1973" spans="1:8" x14ac:dyDescent="0.3">
      <c r="A1973">
        <v>2019</v>
      </c>
      <c r="B1973" t="s">
        <v>45</v>
      </c>
      <c r="C1973" t="s">
        <v>127</v>
      </c>
      <c r="D1973" s="1" t="s">
        <v>3</v>
      </c>
      <c r="E1973">
        <v>142.80000000000001</v>
      </c>
      <c r="F1973">
        <v>143.5</v>
      </c>
      <c r="G1973">
        <v>144.9</v>
      </c>
      <c r="H1973" s="1" t="s">
        <v>188</v>
      </c>
    </row>
    <row r="1974" spans="1:8" x14ac:dyDescent="0.3">
      <c r="A1974">
        <v>2019</v>
      </c>
      <c r="B1974" t="s">
        <v>45</v>
      </c>
      <c r="C1974" t="s">
        <v>127</v>
      </c>
      <c r="D1974" s="1" t="s">
        <v>17</v>
      </c>
      <c r="E1974">
        <v>152.6</v>
      </c>
      <c r="F1974">
        <v>150.30000000000001</v>
      </c>
      <c r="G1974">
        <v>146.80000000000001</v>
      </c>
      <c r="H1974" s="1" t="s">
        <v>189</v>
      </c>
    </row>
    <row r="1975" spans="1:8" x14ac:dyDescent="0.3">
      <c r="A1975">
        <v>2019</v>
      </c>
      <c r="B1975" t="s">
        <v>45</v>
      </c>
      <c r="C1975" t="s">
        <v>127</v>
      </c>
      <c r="D1975" s="1" t="s">
        <v>19</v>
      </c>
      <c r="E1975">
        <v>151.9</v>
      </c>
      <c r="F1975">
        <v>149</v>
      </c>
      <c r="G1975">
        <v>144.6</v>
      </c>
      <c r="H1975" s="1" t="s">
        <v>189</v>
      </c>
    </row>
    <row r="1976" spans="1:8" x14ac:dyDescent="0.3">
      <c r="A1976">
        <v>2019</v>
      </c>
      <c r="B1976" t="s">
        <v>45</v>
      </c>
      <c r="C1976" t="s">
        <v>127</v>
      </c>
      <c r="D1976" s="1" t="s">
        <v>26</v>
      </c>
      <c r="E1976">
        <v>161.1</v>
      </c>
      <c r="F1976">
        <v>155.69999999999999</v>
      </c>
      <c r="G1976">
        <v>151.9</v>
      </c>
      <c r="H1976" s="1" t="s">
        <v>26</v>
      </c>
    </row>
    <row r="1977" spans="1:8" x14ac:dyDescent="0.3">
      <c r="A1977">
        <v>2019</v>
      </c>
      <c r="B1977" t="s">
        <v>45</v>
      </c>
      <c r="C1977" t="s">
        <v>127</v>
      </c>
      <c r="D1977" s="1" t="s">
        <v>5</v>
      </c>
      <c r="E1977">
        <v>149.5</v>
      </c>
      <c r="F1977">
        <v>151.1</v>
      </c>
      <c r="G1977">
        <v>153.69999999999999</v>
      </c>
      <c r="H1977" s="1" t="s">
        <v>188</v>
      </c>
    </row>
    <row r="1978" spans="1:8" x14ac:dyDescent="0.3">
      <c r="A1978">
        <v>2019</v>
      </c>
      <c r="B1978" t="s">
        <v>45</v>
      </c>
      <c r="C1978" t="s">
        <v>127</v>
      </c>
      <c r="D1978" s="1" t="s">
        <v>15</v>
      </c>
      <c r="E1978">
        <v>154.30000000000001</v>
      </c>
      <c r="F1978">
        <v>155</v>
      </c>
      <c r="G1978">
        <v>156.30000000000001</v>
      </c>
      <c r="H1978" s="1" t="s">
        <v>188</v>
      </c>
    </row>
    <row r="1979" spans="1:8" x14ac:dyDescent="0.3">
      <c r="A1979">
        <v>2019</v>
      </c>
      <c r="B1979" t="s">
        <v>45</v>
      </c>
      <c r="C1979" t="s">
        <v>127</v>
      </c>
      <c r="D1979" s="1" t="s">
        <v>18</v>
      </c>
      <c r="E1979">
        <v>147.30000000000001</v>
      </c>
      <c r="F1979">
        <v>141.30000000000001</v>
      </c>
      <c r="G1979">
        <v>132.80000000000001</v>
      </c>
      <c r="H1979" s="1" t="s">
        <v>189</v>
      </c>
    </row>
    <row r="1980" spans="1:8" x14ac:dyDescent="0.3">
      <c r="A1980">
        <v>2019</v>
      </c>
      <c r="B1980" t="s">
        <v>45</v>
      </c>
      <c r="C1980" t="s">
        <v>127</v>
      </c>
      <c r="D1980" s="1" t="s">
        <v>8</v>
      </c>
      <c r="E1980">
        <v>144.30000000000001</v>
      </c>
      <c r="F1980">
        <v>145.69999999999999</v>
      </c>
      <c r="G1980">
        <v>147.19999999999999</v>
      </c>
      <c r="H1980" s="1" t="s">
        <v>188</v>
      </c>
    </row>
    <row r="1981" spans="1:8" x14ac:dyDescent="0.3">
      <c r="A1981">
        <v>2019</v>
      </c>
      <c r="B1981" t="s">
        <v>45</v>
      </c>
      <c r="C1981" t="s">
        <v>127</v>
      </c>
      <c r="D1981" s="1" t="s">
        <v>21</v>
      </c>
      <c r="E1981">
        <v>149.9</v>
      </c>
      <c r="F1981">
        <v>143.69999999999999</v>
      </c>
      <c r="G1981">
        <v>133.6</v>
      </c>
      <c r="H1981" s="1" t="s">
        <v>190</v>
      </c>
    </row>
    <row r="1982" spans="1:8" x14ac:dyDescent="0.3">
      <c r="A1982">
        <v>2019</v>
      </c>
      <c r="B1982" t="s">
        <v>45</v>
      </c>
      <c r="C1982" t="s">
        <v>127</v>
      </c>
      <c r="D1982" s="1" t="s">
        <v>29</v>
      </c>
      <c r="E1982">
        <v>152.30000000000001</v>
      </c>
      <c r="F1982">
        <v>150.4</v>
      </c>
      <c r="G1982">
        <v>148.30000000000001</v>
      </c>
      <c r="H1982" s="1" t="s">
        <v>206</v>
      </c>
    </row>
    <row r="1983" spans="1:8" x14ac:dyDescent="0.3">
      <c r="A1983">
        <v>2019</v>
      </c>
      <c r="B1983" t="s">
        <v>45</v>
      </c>
      <c r="C1983" t="s">
        <v>127</v>
      </c>
      <c r="D1983" s="1" t="s">
        <v>23</v>
      </c>
      <c r="E1983">
        <v>154.80000000000001</v>
      </c>
      <c r="F1983">
        <v>150.4</v>
      </c>
      <c r="G1983">
        <v>143.19999999999999</v>
      </c>
      <c r="H1983" s="1" t="s">
        <v>23</v>
      </c>
    </row>
    <row r="1984" spans="1:8" x14ac:dyDescent="0.3">
      <c r="A1984">
        <v>2019</v>
      </c>
      <c r="B1984" t="s">
        <v>45</v>
      </c>
      <c r="C1984" t="s">
        <v>127</v>
      </c>
      <c r="D1984" s="1" t="s">
        <v>22</v>
      </c>
      <c r="E1984">
        <v>151.19999999999999</v>
      </c>
      <c r="F1984">
        <v>145.80000000000001</v>
      </c>
      <c r="G1984">
        <v>139.80000000000001</v>
      </c>
      <c r="H1984" s="1" t="s">
        <v>20</v>
      </c>
    </row>
    <row r="1985" spans="1:8" x14ac:dyDescent="0.3">
      <c r="A1985">
        <v>2019</v>
      </c>
      <c r="B1985" t="s">
        <v>45</v>
      </c>
      <c r="C1985" t="s">
        <v>127</v>
      </c>
      <c r="D1985" s="1" t="s">
        <v>20</v>
      </c>
      <c r="E1985">
        <v>0</v>
      </c>
      <c r="F1985">
        <v>152.80000000000001</v>
      </c>
      <c r="G1985">
        <v>152.80000000000001</v>
      </c>
      <c r="H1985" s="1" t="s">
        <v>20</v>
      </c>
    </row>
    <row r="1986" spans="1:8" x14ac:dyDescent="0.3">
      <c r="A1986">
        <v>2019</v>
      </c>
      <c r="B1986" t="s">
        <v>45</v>
      </c>
      <c r="C1986" t="s">
        <v>127</v>
      </c>
      <c r="D1986" s="1" t="s">
        <v>4</v>
      </c>
      <c r="E1986">
        <v>165.3</v>
      </c>
      <c r="F1986">
        <v>165</v>
      </c>
      <c r="G1986">
        <v>164.5</v>
      </c>
      <c r="H1986" s="1" t="s">
        <v>188</v>
      </c>
    </row>
    <row r="1987" spans="1:8" x14ac:dyDescent="0.3">
      <c r="A1987">
        <v>2019</v>
      </c>
      <c r="B1987" t="s">
        <v>45</v>
      </c>
      <c r="C1987" t="s">
        <v>127</v>
      </c>
      <c r="D1987" s="1" t="s">
        <v>6</v>
      </c>
      <c r="E1987">
        <v>148.69999999999999</v>
      </c>
      <c r="F1987">
        <v>148.30000000000001</v>
      </c>
      <c r="G1987">
        <v>147.5</v>
      </c>
      <c r="H1987" s="1" t="s">
        <v>188</v>
      </c>
    </row>
    <row r="1988" spans="1:8" x14ac:dyDescent="0.3">
      <c r="A1988">
        <v>2019</v>
      </c>
      <c r="B1988" t="s">
        <v>45</v>
      </c>
      <c r="C1988" t="s">
        <v>127</v>
      </c>
      <c r="D1988" s="1" t="s">
        <v>28</v>
      </c>
      <c r="E1988">
        <v>147.1</v>
      </c>
      <c r="F1988">
        <v>142.5</v>
      </c>
      <c r="G1988">
        <v>137.69999999999999</v>
      </c>
      <c r="H1988" s="1" t="s">
        <v>192</v>
      </c>
    </row>
    <row r="1989" spans="1:8" x14ac:dyDescent="0.3">
      <c r="A1989">
        <v>2019</v>
      </c>
      <c r="B1989" t="s">
        <v>45</v>
      </c>
      <c r="C1989" t="s">
        <v>127</v>
      </c>
      <c r="D1989" s="1" t="s">
        <v>13</v>
      </c>
      <c r="E1989">
        <v>139.30000000000001</v>
      </c>
      <c r="F1989">
        <v>135.80000000000001</v>
      </c>
      <c r="G1989">
        <v>130.80000000000001</v>
      </c>
      <c r="H1989" s="1" t="s">
        <v>188</v>
      </c>
    </row>
    <row r="1990" spans="1:8" x14ac:dyDescent="0.3">
      <c r="A1990">
        <v>2019</v>
      </c>
      <c r="B1990" t="s">
        <v>45</v>
      </c>
      <c r="C1990" t="s">
        <v>127</v>
      </c>
      <c r="D1990" s="1" t="s">
        <v>7</v>
      </c>
      <c r="E1990">
        <v>127.5</v>
      </c>
      <c r="F1990">
        <v>125.7</v>
      </c>
      <c r="G1990">
        <v>122.7</v>
      </c>
      <c r="H1990" s="1" t="s">
        <v>188</v>
      </c>
    </row>
    <row r="1991" spans="1:8" x14ac:dyDescent="0.3">
      <c r="A1991">
        <v>2019</v>
      </c>
      <c r="B1991" t="s">
        <v>45</v>
      </c>
      <c r="C1991" t="s">
        <v>127</v>
      </c>
      <c r="D1991" s="1" t="s">
        <v>16</v>
      </c>
      <c r="E1991">
        <v>167.8</v>
      </c>
      <c r="F1991">
        <v>168.5</v>
      </c>
      <c r="G1991">
        <v>170.4</v>
      </c>
      <c r="H1991" s="1" t="s">
        <v>192</v>
      </c>
    </row>
    <row r="1992" spans="1:8" x14ac:dyDescent="0.3">
      <c r="A1992">
        <v>2019</v>
      </c>
      <c r="B1992" t="s">
        <v>45</v>
      </c>
      <c r="C1992" t="s">
        <v>127</v>
      </c>
      <c r="D1992" s="1" t="s">
        <v>27</v>
      </c>
      <c r="E1992">
        <v>140.6</v>
      </c>
      <c r="F1992">
        <v>140.4</v>
      </c>
      <c r="G1992">
        <v>140.19999999999999</v>
      </c>
      <c r="H1992" s="1" t="s">
        <v>192</v>
      </c>
    </row>
    <row r="1993" spans="1:8" x14ac:dyDescent="0.3">
      <c r="A1993">
        <v>2019</v>
      </c>
      <c r="B1993" t="s">
        <v>45</v>
      </c>
      <c r="C1993" t="s">
        <v>127</v>
      </c>
      <c r="D1993" s="1" t="s">
        <v>14</v>
      </c>
      <c r="E1993">
        <v>158.30000000000001</v>
      </c>
      <c r="F1993">
        <v>158</v>
      </c>
      <c r="G1993">
        <v>157.69999999999999</v>
      </c>
      <c r="H1993" s="1" t="s">
        <v>188</v>
      </c>
    </row>
    <row r="1994" spans="1:8" x14ac:dyDescent="0.3">
      <c r="A1994">
        <v>2019</v>
      </c>
      <c r="B1994" t="s">
        <v>45</v>
      </c>
      <c r="C1994" t="s">
        <v>127</v>
      </c>
      <c r="D1994" s="1" t="s">
        <v>10</v>
      </c>
      <c r="E1994">
        <v>138.80000000000001</v>
      </c>
      <c r="F1994">
        <v>138.30000000000001</v>
      </c>
      <c r="G1994">
        <v>137.19999999999999</v>
      </c>
      <c r="H1994" s="1" t="s">
        <v>188</v>
      </c>
    </row>
    <row r="1995" spans="1:8" x14ac:dyDescent="0.3">
      <c r="A1995">
        <v>2019</v>
      </c>
      <c r="B1995" t="s">
        <v>45</v>
      </c>
      <c r="C1995" t="s">
        <v>127</v>
      </c>
      <c r="D1995" s="1" t="s">
        <v>25</v>
      </c>
      <c r="E1995">
        <v>149.5</v>
      </c>
      <c r="F1995">
        <v>142.30000000000001</v>
      </c>
      <c r="G1995">
        <v>136.80000000000001</v>
      </c>
      <c r="H1995" s="1" t="s">
        <v>195</v>
      </c>
    </row>
    <row r="1996" spans="1:8" x14ac:dyDescent="0.3">
      <c r="A1996">
        <v>2019</v>
      </c>
      <c r="B1996" t="s">
        <v>45</v>
      </c>
      <c r="C1996" t="s">
        <v>127</v>
      </c>
      <c r="D1996" s="1" t="s">
        <v>12</v>
      </c>
      <c r="E1996">
        <v>149.1</v>
      </c>
      <c r="F1996">
        <v>148.69999999999999</v>
      </c>
      <c r="G1996">
        <v>148</v>
      </c>
      <c r="H1996" s="1" t="s">
        <v>188</v>
      </c>
    </row>
    <row r="1997" spans="1:8" x14ac:dyDescent="0.3">
      <c r="A1997">
        <v>2019</v>
      </c>
      <c r="B1997" t="s">
        <v>45</v>
      </c>
      <c r="C1997" t="s">
        <v>127</v>
      </c>
      <c r="D1997" s="1" t="s">
        <v>11</v>
      </c>
      <c r="E1997">
        <v>113.6</v>
      </c>
      <c r="F1997">
        <v>114</v>
      </c>
      <c r="G1997">
        <v>114.7</v>
      </c>
      <c r="H1997" s="1" t="s">
        <v>188</v>
      </c>
    </row>
    <row r="1998" spans="1:8" x14ac:dyDescent="0.3">
      <c r="A1998">
        <v>2019</v>
      </c>
      <c r="B1998" t="s">
        <v>45</v>
      </c>
      <c r="C1998" t="s">
        <v>127</v>
      </c>
      <c r="D1998" s="1" t="s">
        <v>24</v>
      </c>
      <c r="E1998">
        <v>135</v>
      </c>
      <c r="F1998">
        <v>129.80000000000001</v>
      </c>
      <c r="G1998">
        <v>125.2</v>
      </c>
      <c r="H1998" s="1" t="s">
        <v>191</v>
      </c>
    </row>
    <row r="1999" spans="1:8" x14ac:dyDescent="0.3">
      <c r="A1999">
        <v>2019</v>
      </c>
      <c r="B1999" t="s">
        <v>45</v>
      </c>
      <c r="C1999" t="s">
        <v>127</v>
      </c>
      <c r="D1999" s="1" t="s">
        <v>9</v>
      </c>
      <c r="E1999">
        <v>209.5</v>
      </c>
      <c r="F1999">
        <v>217</v>
      </c>
      <c r="G1999">
        <v>231.5</v>
      </c>
      <c r="H1999" s="1" t="s">
        <v>188</v>
      </c>
    </row>
    <row r="2000" spans="1:8" x14ac:dyDescent="0.3">
      <c r="A2000">
        <v>2019</v>
      </c>
      <c r="B2000" t="s">
        <v>35</v>
      </c>
      <c r="C2000" t="s">
        <v>128</v>
      </c>
      <c r="D2000" s="1" t="s">
        <v>3</v>
      </c>
      <c r="E2000">
        <v>136.80000000000001</v>
      </c>
      <c r="F2000">
        <v>137.6</v>
      </c>
      <c r="G2000">
        <v>139.4</v>
      </c>
      <c r="H2000" s="1" t="s">
        <v>188</v>
      </c>
    </row>
    <row r="2001" spans="1:8" x14ac:dyDescent="0.3">
      <c r="A2001">
        <v>2019</v>
      </c>
      <c r="B2001" t="s">
        <v>35</v>
      </c>
      <c r="C2001" t="s">
        <v>128</v>
      </c>
      <c r="D2001" s="1" t="s">
        <v>17</v>
      </c>
      <c r="E2001">
        <v>150.5</v>
      </c>
      <c r="F2001">
        <v>147.69999999999999</v>
      </c>
      <c r="G2001">
        <v>143.30000000000001</v>
      </c>
      <c r="H2001" s="1" t="s">
        <v>189</v>
      </c>
    </row>
    <row r="2002" spans="1:8" x14ac:dyDescent="0.3">
      <c r="A2002">
        <v>2019</v>
      </c>
      <c r="B2002" t="s">
        <v>35</v>
      </c>
      <c r="C2002" t="s">
        <v>128</v>
      </c>
      <c r="D2002" s="1" t="s">
        <v>19</v>
      </c>
      <c r="E2002">
        <v>149.9</v>
      </c>
      <c r="F2002">
        <v>146.5</v>
      </c>
      <c r="G2002">
        <v>141.4</v>
      </c>
      <c r="H2002" s="1" t="s">
        <v>189</v>
      </c>
    </row>
    <row r="2003" spans="1:8" x14ac:dyDescent="0.3">
      <c r="A2003">
        <v>2019</v>
      </c>
      <c r="B2003" t="s">
        <v>35</v>
      </c>
      <c r="C2003" t="s">
        <v>128</v>
      </c>
      <c r="D2003" s="1" t="s">
        <v>26</v>
      </c>
      <c r="E2003">
        <v>155.5</v>
      </c>
      <c r="F2003">
        <v>150.30000000000001</v>
      </c>
      <c r="G2003">
        <v>146.6</v>
      </c>
      <c r="H2003" s="1" t="s">
        <v>26</v>
      </c>
    </row>
    <row r="2004" spans="1:8" x14ac:dyDescent="0.3">
      <c r="A2004">
        <v>2019</v>
      </c>
      <c r="B2004" t="s">
        <v>35</v>
      </c>
      <c r="C2004" t="s">
        <v>128</v>
      </c>
      <c r="D2004" s="1" t="s">
        <v>5</v>
      </c>
      <c r="E2004">
        <v>139.1</v>
      </c>
      <c r="F2004">
        <v>141.5</v>
      </c>
      <c r="G2004">
        <v>145.30000000000001</v>
      </c>
      <c r="H2004" s="1" t="s">
        <v>188</v>
      </c>
    </row>
    <row r="2005" spans="1:8" x14ac:dyDescent="0.3">
      <c r="A2005">
        <v>2019</v>
      </c>
      <c r="B2005" t="s">
        <v>35</v>
      </c>
      <c r="C2005" t="s">
        <v>128</v>
      </c>
      <c r="D2005" s="1" t="s">
        <v>15</v>
      </c>
      <c r="E2005">
        <v>137.19999999999999</v>
      </c>
      <c r="F2005">
        <v>137.5</v>
      </c>
      <c r="G2005">
        <v>138</v>
      </c>
      <c r="H2005" s="1" t="s">
        <v>188</v>
      </c>
    </row>
    <row r="2006" spans="1:8" x14ac:dyDescent="0.3">
      <c r="A2006">
        <v>2019</v>
      </c>
      <c r="B2006" t="s">
        <v>35</v>
      </c>
      <c r="C2006" t="s">
        <v>128</v>
      </c>
      <c r="D2006" s="1" t="s">
        <v>18</v>
      </c>
      <c r="E2006">
        <v>146.1</v>
      </c>
      <c r="F2006">
        <v>139.69999999999999</v>
      </c>
      <c r="G2006">
        <v>130.80000000000001</v>
      </c>
      <c r="H2006" s="1" t="s">
        <v>189</v>
      </c>
    </row>
    <row r="2007" spans="1:8" x14ac:dyDescent="0.3">
      <c r="A2007">
        <v>2019</v>
      </c>
      <c r="B2007" t="s">
        <v>35</v>
      </c>
      <c r="C2007" t="s">
        <v>128</v>
      </c>
      <c r="D2007" s="1" t="s">
        <v>8</v>
      </c>
      <c r="E2007">
        <v>135.80000000000001</v>
      </c>
      <c r="F2007">
        <v>136.4</v>
      </c>
      <c r="G2007">
        <v>137</v>
      </c>
      <c r="H2007" s="1" t="s">
        <v>188</v>
      </c>
    </row>
    <row r="2008" spans="1:8" x14ac:dyDescent="0.3">
      <c r="A2008">
        <v>2019</v>
      </c>
      <c r="B2008" t="s">
        <v>35</v>
      </c>
      <c r="C2008" t="s">
        <v>128</v>
      </c>
      <c r="D2008" s="1" t="s">
        <v>21</v>
      </c>
      <c r="E2008">
        <v>145.30000000000001</v>
      </c>
      <c r="F2008">
        <v>138.4</v>
      </c>
      <c r="G2008">
        <v>127.1</v>
      </c>
      <c r="H2008" s="1" t="s">
        <v>190</v>
      </c>
    </row>
    <row r="2009" spans="1:8" x14ac:dyDescent="0.3">
      <c r="A2009">
        <v>2019</v>
      </c>
      <c r="B2009" t="s">
        <v>35</v>
      </c>
      <c r="C2009" t="s">
        <v>128</v>
      </c>
      <c r="D2009" s="1" t="s">
        <v>29</v>
      </c>
      <c r="E2009">
        <v>141</v>
      </c>
      <c r="F2009">
        <v>139.9</v>
      </c>
      <c r="G2009">
        <v>138.6</v>
      </c>
      <c r="H2009" s="1" t="s">
        <v>206</v>
      </c>
    </row>
    <row r="2010" spans="1:8" x14ac:dyDescent="0.3">
      <c r="A2010">
        <v>2019</v>
      </c>
      <c r="B2010" t="s">
        <v>35</v>
      </c>
      <c r="C2010" t="s">
        <v>128</v>
      </c>
      <c r="D2010" s="1" t="s">
        <v>23</v>
      </c>
      <c r="E2010">
        <v>149.9</v>
      </c>
      <c r="F2010">
        <v>145.6</v>
      </c>
      <c r="G2010">
        <v>138.5</v>
      </c>
      <c r="H2010" s="1" t="s">
        <v>23</v>
      </c>
    </row>
    <row r="2011" spans="1:8" x14ac:dyDescent="0.3">
      <c r="A2011">
        <v>2019</v>
      </c>
      <c r="B2011" t="s">
        <v>35</v>
      </c>
      <c r="C2011" t="s">
        <v>128</v>
      </c>
      <c r="D2011" s="1" t="s">
        <v>22</v>
      </c>
      <c r="E2011">
        <v>150.1</v>
      </c>
      <c r="F2011">
        <v>143.69999999999999</v>
      </c>
      <c r="G2011">
        <v>136.6</v>
      </c>
      <c r="H2011" s="1" t="s">
        <v>20</v>
      </c>
    </row>
    <row r="2012" spans="1:8" x14ac:dyDescent="0.3">
      <c r="A2012">
        <v>2019</v>
      </c>
      <c r="B2012" t="s">
        <v>35</v>
      </c>
      <c r="C2012" t="s">
        <v>128</v>
      </c>
      <c r="D2012" s="1" t="s">
        <v>20</v>
      </c>
      <c r="E2012">
        <v>0</v>
      </c>
      <c r="F2012">
        <v>148.5</v>
      </c>
      <c r="G2012">
        <v>148.5</v>
      </c>
      <c r="H2012" s="1" t="s">
        <v>20</v>
      </c>
    </row>
    <row r="2013" spans="1:8" x14ac:dyDescent="0.3">
      <c r="A2013">
        <v>2019</v>
      </c>
      <c r="B2013" t="s">
        <v>35</v>
      </c>
      <c r="C2013" t="s">
        <v>128</v>
      </c>
      <c r="D2013" s="1" t="s">
        <v>4</v>
      </c>
      <c r="E2013">
        <v>153</v>
      </c>
      <c r="F2013">
        <v>152</v>
      </c>
      <c r="G2013">
        <v>150.1</v>
      </c>
      <c r="H2013" s="1" t="s">
        <v>188</v>
      </c>
    </row>
    <row r="2014" spans="1:8" x14ac:dyDescent="0.3">
      <c r="A2014">
        <v>2019</v>
      </c>
      <c r="B2014" t="s">
        <v>35</v>
      </c>
      <c r="C2014" t="s">
        <v>128</v>
      </c>
      <c r="D2014" s="1" t="s">
        <v>6</v>
      </c>
      <c r="E2014">
        <v>142.5</v>
      </c>
      <c r="F2014">
        <v>142.19999999999999</v>
      </c>
      <c r="G2014">
        <v>141.69999999999999</v>
      </c>
      <c r="H2014" s="1" t="s">
        <v>188</v>
      </c>
    </row>
    <row r="2015" spans="1:8" x14ac:dyDescent="0.3">
      <c r="A2015">
        <v>2019</v>
      </c>
      <c r="B2015" t="s">
        <v>35</v>
      </c>
      <c r="C2015" t="s">
        <v>128</v>
      </c>
      <c r="D2015" s="1" t="s">
        <v>28</v>
      </c>
      <c r="E2015">
        <v>142.19999999999999</v>
      </c>
      <c r="F2015">
        <v>137.4</v>
      </c>
      <c r="G2015">
        <v>132.4</v>
      </c>
      <c r="H2015" s="1" t="s">
        <v>192</v>
      </c>
    </row>
    <row r="2016" spans="1:8" x14ac:dyDescent="0.3">
      <c r="A2016">
        <v>2019</v>
      </c>
      <c r="B2016" t="s">
        <v>35</v>
      </c>
      <c r="C2016" t="s">
        <v>128</v>
      </c>
      <c r="D2016" s="1" t="s">
        <v>13</v>
      </c>
      <c r="E2016">
        <v>137.4</v>
      </c>
      <c r="F2016">
        <v>133.6</v>
      </c>
      <c r="G2016">
        <v>128.30000000000001</v>
      </c>
      <c r="H2016" s="1" t="s">
        <v>188</v>
      </c>
    </row>
    <row r="2017" spans="1:8" x14ac:dyDescent="0.3">
      <c r="A2017">
        <v>2019</v>
      </c>
      <c r="B2017" t="s">
        <v>35</v>
      </c>
      <c r="C2017" t="s">
        <v>128</v>
      </c>
      <c r="D2017" s="1" t="s">
        <v>7</v>
      </c>
      <c r="E2017">
        <v>124.1</v>
      </c>
      <c r="F2017">
        <v>122</v>
      </c>
      <c r="G2017">
        <v>118.4</v>
      </c>
      <c r="H2017" s="1" t="s">
        <v>188</v>
      </c>
    </row>
    <row r="2018" spans="1:8" x14ac:dyDescent="0.3">
      <c r="A2018">
        <v>2019</v>
      </c>
      <c r="B2018" t="s">
        <v>35</v>
      </c>
      <c r="C2018" t="s">
        <v>128</v>
      </c>
      <c r="D2018" s="1" t="s">
        <v>16</v>
      </c>
      <c r="E2018">
        <v>162.80000000000001</v>
      </c>
      <c r="F2018">
        <v>163.4</v>
      </c>
      <c r="G2018">
        <v>164.9</v>
      </c>
      <c r="H2018" s="1" t="s">
        <v>192</v>
      </c>
    </row>
    <row r="2019" spans="1:8" x14ac:dyDescent="0.3">
      <c r="A2019">
        <v>2019</v>
      </c>
      <c r="B2019" t="s">
        <v>35</v>
      </c>
      <c r="C2019" t="s">
        <v>128</v>
      </c>
      <c r="D2019" s="1" t="s">
        <v>27</v>
      </c>
      <c r="E2019">
        <v>134.9</v>
      </c>
      <c r="F2019">
        <v>134.1</v>
      </c>
      <c r="G2019">
        <v>133</v>
      </c>
      <c r="H2019" s="1" t="s">
        <v>192</v>
      </c>
    </row>
    <row r="2020" spans="1:8" x14ac:dyDescent="0.3">
      <c r="A2020">
        <v>2019</v>
      </c>
      <c r="B2020" t="s">
        <v>35</v>
      </c>
      <c r="C2020" t="s">
        <v>128</v>
      </c>
      <c r="D2020" s="1" t="s">
        <v>14</v>
      </c>
      <c r="E2020">
        <v>156.19999999999999</v>
      </c>
      <c r="F2020">
        <v>154.9</v>
      </c>
      <c r="G2020">
        <v>153.5</v>
      </c>
      <c r="H2020" s="1" t="s">
        <v>188</v>
      </c>
    </row>
    <row r="2021" spans="1:8" x14ac:dyDescent="0.3">
      <c r="A2021">
        <v>2019</v>
      </c>
      <c r="B2021" t="s">
        <v>35</v>
      </c>
      <c r="C2021" t="s">
        <v>128</v>
      </c>
      <c r="D2021" s="1" t="s">
        <v>10</v>
      </c>
      <c r="E2021">
        <v>121.5</v>
      </c>
      <c r="F2021">
        <v>121</v>
      </c>
      <c r="G2021">
        <v>119.9</v>
      </c>
      <c r="H2021" s="1" t="s">
        <v>188</v>
      </c>
    </row>
    <row r="2022" spans="1:8" x14ac:dyDescent="0.3">
      <c r="A2022">
        <v>2019</v>
      </c>
      <c r="B2022" t="s">
        <v>35</v>
      </c>
      <c r="C2022" t="s">
        <v>128</v>
      </c>
      <c r="D2022" s="1" t="s">
        <v>25</v>
      </c>
      <c r="E2022">
        <v>143.4</v>
      </c>
      <c r="F2022">
        <v>137.1</v>
      </c>
      <c r="G2022">
        <v>132.19999999999999</v>
      </c>
      <c r="H2022" s="1" t="s">
        <v>195</v>
      </c>
    </row>
    <row r="2023" spans="1:8" x14ac:dyDescent="0.3">
      <c r="A2023">
        <v>2019</v>
      </c>
      <c r="B2023" t="s">
        <v>35</v>
      </c>
      <c r="C2023" t="s">
        <v>128</v>
      </c>
      <c r="D2023" s="1" t="s">
        <v>12</v>
      </c>
      <c r="E2023">
        <v>139.19999999999999</v>
      </c>
      <c r="F2023">
        <v>139.69999999999999</v>
      </c>
      <c r="G2023">
        <v>140.80000000000001</v>
      </c>
      <c r="H2023" s="1" t="s">
        <v>188</v>
      </c>
    </row>
    <row r="2024" spans="1:8" x14ac:dyDescent="0.3">
      <c r="A2024">
        <v>2019</v>
      </c>
      <c r="B2024" t="s">
        <v>35</v>
      </c>
      <c r="C2024" t="s">
        <v>128</v>
      </c>
      <c r="D2024" s="1" t="s">
        <v>11</v>
      </c>
      <c r="E2024">
        <v>108.3</v>
      </c>
      <c r="F2024">
        <v>109</v>
      </c>
      <c r="G2024">
        <v>110.4</v>
      </c>
      <c r="H2024" s="1" t="s">
        <v>188</v>
      </c>
    </row>
    <row r="2025" spans="1:8" x14ac:dyDescent="0.3">
      <c r="A2025">
        <v>2019</v>
      </c>
      <c r="B2025" t="s">
        <v>35</v>
      </c>
      <c r="C2025" t="s">
        <v>128</v>
      </c>
      <c r="D2025" s="1" t="s">
        <v>24</v>
      </c>
      <c r="E2025">
        <v>129.19999999999999</v>
      </c>
      <c r="F2025">
        <v>123.9</v>
      </c>
      <c r="G2025">
        <v>119.2</v>
      </c>
      <c r="H2025" s="1" t="s">
        <v>191</v>
      </c>
    </row>
    <row r="2026" spans="1:8" x14ac:dyDescent="0.3">
      <c r="A2026">
        <v>2019</v>
      </c>
      <c r="B2026" t="s">
        <v>35</v>
      </c>
      <c r="C2026" t="s">
        <v>128</v>
      </c>
      <c r="D2026" s="1" t="s">
        <v>9</v>
      </c>
      <c r="E2026">
        <v>128.69999999999999</v>
      </c>
      <c r="F2026">
        <v>129.69999999999999</v>
      </c>
      <c r="G2026">
        <v>131.6</v>
      </c>
      <c r="H2026" s="1" t="s">
        <v>188</v>
      </c>
    </row>
    <row r="2027" spans="1:8" x14ac:dyDescent="0.3">
      <c r="A2027">
        <v>2019</v>
      </c>
      <c r="B2027" t="s">
        <v>31</v>
      </c>
      <c r="C2027" t="s">
        <v>129</v>
      </c>
      <c r="D2027" s="1" t="s">
        <v>3</v>
      </c>
      <c r="E2027">
        <v>136.6</v>
      </c>
      <c r="F2027">
        <v>137.1</v>
      </c>
      <c r="G2027">
        <v>138.30000000000001</v>
      </c>
      <c r="H2027" s="1" t="s">
        <v>188</v>
      </c>
    </row>
    <row r="2028" spans="1:8" x14ac:dyDescent="0.3">
      <c r="A2028">
        <v>2019</v>
      </c>
      <c r="B2028" t="s">
        <v>31</v>
      </c>
      <c r="C2028" t="s">
        <v>129</v>
      </c>
      <c r="D2028" s="1" t="s">
        <v>17</v>
      </c>
      <c r="E2028">
        <v>150.6</v>
      </c>
      <c r="F2028">
        <v>147.6</v>
      </c>
      <c r="G2028">
        <v>143</v>
      </c>
      <c r="H2028" s="1" t="s">
        <v>189</v>
      </c>
    </row>
    <row r="2029" spans="1:8" x14ac:dyDescent="0.3">
      <c r="A2029">
        <v>2019</v>
      </c>
      <c r="B2029" t="s">
        <v>31</v>
      </c>
      <c r="C2029" t="s">
        <v>129</v>
      </c>
      <c r="D2029" s="1" t="s">
        <v>19</v>
      </c>
      <c r="E2029">
        <v>149.9</v>
      </c>
      <c r="F2029">
        <v>146.4</v>
      </c>
      <c r="G2029">
        <v>141.1</v>
      </c>
      <c r="H2029" s="1" t="s">
        <v>189</v>
      </c>
    </row>
    <row r="2030" spans="1:8" x14ac:dyDescent="0.3">
      <c r="A2030">
        <v>2019</v>
      </c>
      <c r="B2030" t="s">
        <v>31</v>
      </c>
      <c r="C2030" t="s">
        <v>129</v>
      </c>
      <c r="D2030" s="1" t="s">
        <v>26</v>
      </c>
      <c r="E2030">
        <v>155.19999999999999</v>
      </c>
      <c r="F2030">
        <v>150.19999999999999</v>
      </c>
      <c r="G2030">
        <v>146.6</v>
      </c>
      <c r="H2030" s="1" t="s">
        <v>26</v>
      </c>
    </row>
    <row r="2031" spans="1:8" x14ac:dyDescent="0.3">
      <c r="A2031">
        <v>2019</v>
      </c>
      <c r="B2031" t="s">
        <v>31</v>
      </c>
      <c r="C2031" t="s">
        <v>129</v>
      </c>
      <c r="D2031" s="1" t="s">
        <v>5</v>
      </c>
      <c r="E2031">
        <v>138.19999999999999</v>
      </c>
      <c r="F2031">
        <v>140.19999999999999</v>
      </c>
      <c r="G2031">
        <v>143.5</v>
      </c>
      <c r="H2031" s="1" t="s">
        <v>188</v>
      </c>
    </row>
    <row r="2032" spans="1:8" x14ac:dyDescent="0.3">
      <c r="A2032">
        <v>2019</v>
      </c>
      <c r="B2032" t="s">
        <v>31</v>
      </c>
      <c r="C2032" t="s">
        <v>129</v>
      </c>
      <c r="D2032" s="1" t="s">
        <v>15</v>
      </c>
      <c r="E2032">
        <v>137.4</v>
      </c>
      <c r="F2032">
        <v>137.4</v>
      </c>
      <c r="G2032">
        <v>137.30000000000001</v>
      </c>
      <c r="H2032" s="1" t="s">
        <v>188</v>
      </c>
    </row>
    <row r="2033" spans="1:8" x14ac:dyDescent="0.3">
      <c r="A2033">
        <v>2019</v>
      </c>
      <c r="B2033" t="s">
        <v>31</v>
      </c>
      <c r="C2033" t="s">
        <v>129</v>
      </c>
      <c r="D2033" s="1" t="s">
        <v>18</v>
      </c>
      <c r="E2033">
        <v>145.1</v>
      </c>
      <c r="F2033">
        <v>139</v>
      </c>
      <c r="G2033">
        <v>130.4</v>
      </c>
      <c r="H2033" s="1" t="s">
        <v>189</v>
      </c>
    </row>
    <row r="2034" spans="1:8" x14ac:dyDescent="0.3">
      <c r="A2034">
        <v>2019</v>
      </c>
      <c r="B2034" t="s">
        <v>31</v>
      </c>
      <c r="C2034" t="s">
        <v>129</v>
      </c>
      <c r="D2034" s="1" t="s">
        <v>8</v>
      </c>
      <c r="E2034">
        <v>135.5</v>
      </c>
      <c r="F2034">
        <v>135.4</v>
      </c>
      <c r="G2034">
        <v>135.19999999999999</v>
      </c>
      <c r="H2034" s="1" t="s">
        <v>188</v>
      </c>
    </row>
    <row r="2035" spans="1:8" x14ac:dyDescent="0.3">
      <c r="A2035">
        <v>2019</v>
      </c>
      <c r="B2035" t="s">
        <v>31</v>
      </c>
      <c r="C2035" t="s">
        <v>129</v>
      </c>
      <c r="D2035" s="1" t="s">
        <v>21</v>
      </c>
      <c r="E2035">
        <v>146.19999999999999</v>
      </c>
      <c r="F2035">
        <v>139.5</v>
      </c>
      <c r="G2035">
        <v>128.6</v>
      </c>
      <c r="H2035" s="1" t="s">
        <v>190</v>
      </c>
    </row>
    <row r="2036" spans="1:8" x14ac:dyDescent="0.3">
      <c r="A2036">
        <v>2019</v>
      </c>
      <c r="B2036" t="s">
        <v>31</v>
      </c>
      <c r="C2036" t="s">
        <v>129</v>
      </c>
      <c r="D2036" s="1" t="s">
        <v>29</v>
      </c>
      <c r="E2036">
        <v>141</v>
      </c>
      <c r="F2036">
        <v>139.6</v>
      </c>
      <c r="G2036">
        <v>138</v>
      </c>
      <c r="H2036" s="1" t="s">
        <v>206</v>
      </c>
    </row>
    <row r="2037" spans="1:8" x14ac:dyDescent="0.3">
      <c r="A2037">
        <v>2019</v>
      </c>
      <c r="B2037" t="s">
        <v>31</v>
      </c>
      <c r="C2037" t="s">
        <v>129</v>
      </c>
      <c r="D2037" s="1" t="s">
        <v>23</v>
      </c>
      <c r="E2037">
        <v>149.6</v>
      </c>
      <c r="F2037">
        <v>145.1</v>
      </c>
      <c r="G2037">
        <v>137.80000000000001</v>
      </c>
      <c r="H2037" s="1" t="s">
        <v>23</v>
      </c>
    </row>
    <row r="2038" spans="1:8" x14ac:dyDescent="0.3">
      <c r="A2038">
        <v>2019</v>
      </c>
      <c r="B2038" t="s">
        <v>31</v>
      </c>
      <c r="C2038" t="s">
        <v>129</v>
      </c>
      <c r="D2038" s="1" t="s">
        <v>22</v>
      </c>
      <c r="E2038">
        <v>150.1</v>
      </c>
      <c r="F2038">
        <v>143.6</v>
      </c>
      <c r="G2038">
        <v>136.30000000000001</v>
      </c>
      <c r="H2038" s="1" t="s">
        <v>20</v>
      </c>
    </row>
    <row r="2039" spans="1:8" x14ac:dyDescent="0.3">
      <c r="A2039">
        <v>2019</v>
      </c>
      <c r="B2039" t="s">
        <v>31</v>
      </c>
      <c r="C2039" t="s">
        <v>129</v>
      </c>
      <c r="D2039" s="1" t="s">
        <v>20</v>
      </c>
      <c r="E2039">
        <v>0</v>
      </c>
      <c r="F2039">
        <v>147.69999999999999</v>
      </c>
      <c r="G2039">
        <v>147.69999999999999</v>
      </c>
      <c r="H2039" s="1" t="s">
        <v>20</v>
      </c>
    </row>
    <row r="2040" spans="1:8" x14ac:dyDescent="0.3">
      <c r="A2040">
        <v>2019</v>
      </c>
      <c r="B2040" t="s">
        <v>31</v>
      </c>
      <c r="C2040" t="s">
        <v>129</v>
      </c>
      <c r="D2040" s="1" t="s">
        <v>4</v>
      </c>
      <c r="E2040">
        <v>152.5</v>
      </c>
      <c r="F2040">
        <v>151.4</v>
      </c>
      <c r="G2040">
        <v>149.4</v>
      </c>
      <c r="H2040" s="1" t="s">
        <v>188</v>
      </c>
    </row>
    <row r="2041" spans="1:8" x14ac:dyDescent="0.3">
      <c r="A2041">
        <v>2019</v>
      </c>
      <c r="B2041" t="s">
        <v>31</v>
      </c>
      <c r="C2041" t="s">
        <v>129</v>
      </c>
      <c r="D2041" s="1" t="s">
        <v>6</v>
      </c>
      <c r="E2041">
        <v>142.4</v>
      </c>
      <c r="F2041">
        <v>142.1</v>
      </c>
      <c r="G2041">
        <v>141.69999999999999</v>
      </c>
      <c r="H2041" s="1" t="s">
        <v>188</v>
      </c>
    </row>
    <row r="2042" spans="1:8" x14ac:dyDescent="0.3">
      <c r="A2042">
        <v>2019</v>
      </c>
      <c r="B2042" t="s">
        <v>31</v>
      </c>
      <c r="C2042" t="s">
        <v>129</v>
      </c>
      <c r="D2042" s="1" t="s">
        <v>28</v>
      </c>
      <c r="E2042">
        <v>141.69999999999999</v>
      </c>
      <c r="F2042">
        <v>136.9</v>
      </c>
      <c r="G2042">
        <v>131.80000000000001</v>
      </c>
      <c r="H2042" s="1" t="s">
        <v>192</v>
      </c>
    </row>
    <row r="2043" spans="1:8" x14ac:dyDescent="0.3">
      <c r="A2043">
        <v>2019</v>
      </c>
      <c r="B2043" t="s">
        <v>31</v>
      </c>
      <c r="C2043" t="s">
        <v>129</v>
      </c>
      <c r="D2043" s="1" t="s">
        <v>13</v>
      </c>
      <c r="E2043">
        <v>137</v>
      </c>
      <c r="F2043">
        <v>133.30000000000001</v>
      </c>
      <c r="G2043">
        <v>128.1</v>
      </c>
      <c r="H2043" s="1" t="s">
        <v>188</v>
      </c>
    </row>
    <row r="2044" spans="1:8" x14ac:dyDescent="0.3">
      <c r="A2044">
        <v>2019</v>
      </c>
      <c r="B2044" t="s">
        <v>31</v>
      </c>
      <c r="C2044" t="s">
        <v>129</v>
      </c>
      <c r="D2044" s="1" t="s">
        <v>7</v>
      </c>
      <c r="E2044">
        <v>123.9</v>
      </c>
      <c r="F2044">
        <v>121.8</v>
      </c>
      <c r="G2044">
        <v>118.1</v>
      </c>
      <c r="H2044" s="1" t="s">
        <v>188</v>
      </c>
    </row>
    <row r="2045" spans="1:8" x14ac:dyDescent="0.3">
      <c r="A2045">
        <v>2019</v>
      </c>
      <c r="B2045" t="s">
        <v>31</v>
      </c>
      <c r="C2045" t="s">
        <v>129</v>
      </c>
      <c r="D2045" s="1" t="s">
        <v>16</v>
      </c>
      <c r="E2045">
        <v>162.69999999999999</v>
      </c>
      <c r="F2045">
        <v>163.19999999999999</v>
      </c>
      <c r="G2045">
        <v>164.7</v>
      </c>
      <c r="H2045" s="1" t="s">
        <v>192</v>
      </c>
    </row>
    <row r="2046" spans="1:8" x14ac:dyDescent="0.3">
      <c r="A2046">
        <v>2019</v>
      </c>
      <c r="B2046" t="s">
        <v>31</v>
      </c>
      <c r="C2046" t="s">
        <v>129</v>
      </c>
      <c r="D2046" s="1" t="s">
        <v>27</v>
      </c>
      <c r="E2046">
        <v>133.5</v>
      </c>
      <c r="F2046">
        <v>132.80000000000001</v>
      </c>
      <c r="G2046">
        <v>131.69999999999999</v>
      </c>
      <c r="H2046" s="1" t="s">
        <v>192</v>
      </c>
    </row>
    <row r="2047" spans="1:8" x14ac:dyDescent="0.3">
      <c r="A2047">
        <v>2019</v>
      </c>
      <c r="B2047" t="s">
        <v>31</v>
      </c>
      <c r="C2047" t="s">
        <v>129</v>
      </c>
      <c r="D2047" s="1" t="s">
        <v>14</v>
      </c>
      <c r="E2047">
        <v>155.80000000000001</v>
      </c>
      <c r="F2047">
        <v>154.6</v>
      </c>
      <c r="G2047">
        <v>153.19999999999999</v>
      </c>
      <c r="H2047" s="1" t="s">
        <v>188</v>
      </c>
    </row>
    <row r="2048" spans="1:8" x14ac:dyDescent="0.3">
      <c r="A2048">
        <v>2019</v>
      </c>
      <c r="B2048" t="s">
        <v>31</v>
      </c>
      <c r="C2048" t="s">
        <v>129</v>
      </c>
      <c r="D2048" s="1" t="s">
        <v>10</v>
      </c>
      <c r="E2048">
        <v>121.3</v>
      </c>
      <c r="F2048">
        <v>120.3</v>
      </c>
      <c r="G2048">
        <v>118.2</v>
      </c>
      <c r="H2048" s="1" t="s">
        <v>188</v>
      </c>
    </row>
    <row r="2049" spans="1:8" x14ac:dyDescent="0.3">
      <c r="A2049">
        <v>2019</v>
      </c>
      <c r="B2049" t="s">
        <v>31</v>
      </c>
      <c r="C2049" t="s">
        <v>129</v>
      </c>
      <c r="D2049" s="1" t="s">
        <v>25</v>
      </c>
      <c r="E2049">
        <v>142.9</v>
      </c>
      <c r="F2049">
        <v>136.69999999999999</v>
      </c>
      <c r="G2049">
        <v>131.9</v>
      </c>
      <c r="H2049" s="1" t="s">
        <v>195</v>
      </c>
    </row>
    <row r="2050" spans="1:8" x14ac:dyDescent="0.3">
      <c r="A2050">
        <v>2019</v>
      </c>
      <c r="B2050" t="s">
        <v>31</v>
      </c>
      <c r="C2050" t="s">
        <v>129</v>
      </c>
      <c r="D2050" s="1" t="s">
        <v>12</v>
      </c>
      <c r="E2050">
        <v>138.9</v>
      </c>
      <c r="F2050">
        <v>139.4</v>
      </c>
      <c r="G2050">
        <v>140.4</v>
      </c>
      <c r="H2050" s="1" t="s">
        <v>188</v>
      </c>
    </row>
    <row r="2051" spans="1:8" x14ac:dyDescent="0.3">
      <c r="A2051">
        <v>2019</v>
      </c>
      <c r="B2051" t="s">
        <v>31</v>
      </c>
      <c r="C2051" t="s">
        <v>129</v>
      </c>
      <c r="D2051" s="1" t="s">
        <v>11</v>
      </c>
      <c r="E2051">
        <v>108.4</v>
      </c>
      <c r="F2051">
        <v>109.1</v>
      </c>
      <c r="G2051">
        <v>110.4</v>
      </c>
      <c r="H2051" s="1" t="s">
        <v>188</v>
      </c>
    </row>
    <row r="2052" spans="1:8" x14ac:dyDescent="0.3">
      <c r="A2052">
        <v>2019</v>
      </c>
      <c r="B2052" t="s">
        <v>31</v>
      </c>
      <c r="C2052" t="s">
        <v>129</v>
      </c>
      <c r="D2052" s="1" t="s">
        <v>24</v>
      </c>
      <c r="E2052">
        <v>128.6</v>
      </c>
      <c r="F2052">
        <v>123.3</v>
      </c>
      <c r="G2052">
        <v>118.6</v>
      </c>
      <c r="H2052" s="1" t="s">
        <v>191</v>
      </c>
    </row>
    <row r="2053" spans="1:8" x14ac:dyDescent="0.3">
      <c r="A2053">
        <v>2019</v>
      </c>
      <c r="B2053" t="s">
        <v>31</v>
      </c>
      <c r="C2053" t="s">
        <v>129</v>
      </c>
      <c r="D2053" s="1" t="s">
        <v>9</v>
      </c>
      <c r="E2053">
        <v>131.69999999999999</v>
      </c>
      <c r="F2053">
        <v>131.30000000000001</v>
      </c>
      <c r="G2053">
        <v>130.5</v>
      </c>
      <c r="H2053" s="1" t="s">
        <v>188</v>
      </c>
    </row>
    <row r="2054" spans="1:8" x14ac:dyDescent="0.3">
      <c r="A2054">
        <v>2019</v>
      </c>
      <c r="B2054" t="s">
        <v>40</v>
      </c>
      <c r="C2054" t="s">
        <v>130</v>
      </c>
      <c r="D2054" s="1" t="s">
        <v>3</v>
      </c>
      <c r="E2054">
        <v>138.4</v>
      </c>
      <c r="F2054">
        <v>139.30000000000001</v>
      </c>
      <c r="G2054">
        <v>141.4</v>
      </c>
      <c r="H2054" s="1" t="s">
        <v>188</v>
      </c>
    </row>
    <row r="2055" spans="1:8" x14ac:dyDescent="0.3">
      <c r="A2055">
        <v>2019</v>
      </c>
      <c r="B2055" t="s">
        <v>40</v>
      </c>
      <c r="C2055" t="s">
        <v>130</v>
      </c>
      <c r="D2055" s="1" t="s">
        <v>17</v>
      </c>
      <c r="E2055">
        <v>151.6</v>
      </c>
      <c r="F2055">
        <v>148.9</v>
      </c>
      <c r="G2055">
        <v>144.69999999999999</v>
      </c>
      <c r="H2055" s="1" t="s">
        <v>189</v>
      </c>
    </row>
    <row r="2056" spans="1:8" x14ac:dyDescent="0.3">
      <c r="A2056">
        <v>2019</v>
      </c>
      <c r="B2056" t="s">
        <v>40</v>
      </c>
      <c r="C2056" t="s">
        <v>130</v>
      </c>
      <c r="D2056" s="1" t="s">
        <v>19</v>
      </c>
      <c r="E2056">
        <v>150.9</v>
      </c>
      <c r="F2056">
        <v>147.6</v>
      </c>
      <c r="G2056">
        <v>142.69999999999999</v>
      </c>
      <c r="H2056" s="1" t="s">
        <v>189</v>
      </c>
    </row>
    <row r="2057" spans="1:8" x14ac:dyDescent="0.3">
      <c r="A2057">
        <v>2019</v>
      </c>
      <c r="B2057" t="s">
        <v>40</v>
      </c>
      <c r="C2057" t="s">
        <v>130</v>
      </c>
      <c r="D2057" s="1" t="s">
        <v>26</v>
      </c>
      <c r="E2057">
        <v>159.1</v>
      </c>
      <c r="F2057">
        <v>154</v>
      </c>
      <c r="G2057">
        <v>150.4</v>
      </c>
      <c r="H2057" s="1" t="s">
        <v>26</v>
      </c>
    </row>
    <row r="2058" spans="1:8" x14ac:dyDescent="0.3">
      <c r="A2058">
        <v>2019</v>
      </c>
      <c r="B2058" t="s">
        <v>40</v>
      </c>
      <c r="C2058" t="s">
        <v>130</v>
      </c>
      <c r="D2058" s="1" t="s">
        <v>5</v>
      </c>
      <c r="E2058">
        <v>138.4</v>
      </c>
      <c r="F2058">
        <v>140</v>
      </c>
      <c r="G2058">
        <v>142.5</v>
      </c>
      <c r="H2058" s="1" t="s">
        <v>188</v>
      </c>
    </row>
    <row r="2059" spans="1:8" x14ac:dyDescent="0.3">
      <c r="A2059">
        <v>2019</v>
      </c>
      <c r="B2059" t="s">
        <v>40</v>
      </c>
      <c r="C2059" t="s">
        <v>130</v>
      </c>
      <c r="D2059" s="1" t="s">
        <v>15</v>
      </c>
      <c r="E2059">
        <v>143</v>
      </c>
      <c r="F2059">
        <v>144.69999999999999</v>
      </c>
      <c r="G2059">
        <v>147.69999999999999</v>
      </c>
      <c r="H2059" s="1" t="s">
        <v>188</v>
      </c>
    </row>
    <row r="2060" spans="1:8" x14ac:dyDescent="0.3">
      <c r="A2060">
        <v>2019</v>
      </c>
      <c r="B2060" t="s">
        <v>40</v>
      </c>
      <c r="C2060" t="s">
        <v>130</v>
      </c>
      <c r="D2060" s="1" t="s">
        <v>18</v>
      </c>
      <c r="E2060">
        <v>146.6</v>
      </c>
      <c r="F2060">
        <v>140.5</v>
      </c>
      <c r="G2060">
        <v>131.9</v>
      </c>
      <c r="H2060" s="1" t="s">
        <v>189</v>
      </c>
    </row>
    <row r="2061" spans="1:8" x14ac:dyDescent="0.3">
      <c r="A2061">
        <v>2019</v>
      </c>
      <c r="B2061" t="s">
        <v>40</v>
      </c>
      <c r="C2061" t="s">
        <v>130</v>
      </c>
      <c r="D2061" s="1" t="s">
        <v>8</v>
      </c>
      <c r="E2061">
        <v>146.4</v>
      </c>
      <c r="F2061">
        <v>150.30000000000001</v>
      </c>
      <c r="G2061">
        <v>154.69999999999999</v>
      </c>
      <c r="H2061" s="1" t="s">
        <v>188</v>
      </c>
    </row>
    <row r="2062" spans="1:8" x14ac:dyDescent="0.3">
      <c r="A2062">
        <v>2019</v>
      </c>
      <c r="B2062" t="s">
        <v>40</v>
      </c>
      <c r="C2062" t="s">
        <v>130</v>
      </c>
      <c r="D2062" s="1" t="s">
        <v>21</v>
      </c>
      <c r="E2062">
        <v>146.80000000000001</v>
      </c>
      <c r="F2062">
        <v>139.30000000000001</v>
      </c>
      <c r="G2062">
        <v>127</v>
      </c>
      <c r="H2062" s="1" t="s">
        <v>190</v>
      </c>
    </row>
    <row r="2063" spans="1:8" x14ac:dyDescent="0.3">
      <c r="A2063">
        <v>2019</v>
      </c>
      <c r="B2063" t="s">
        <v>40</v>
      </c>
      <c r="C2063" t="s">
        <v>130</v>
      </c>
      <c r="D2063" s="1" t="s">
        <v>29</v>
      </c>
      <c r="E2063">
        <v>144.9</v>
      </c>
      <c r="F2063">
        <v>144.19999999999999</v>
      </c>
      <c r="G2063">
        <v>143.30000000000001</v>
      </c>
      <c r="H2063" s="1" t="s">
        <v>206</v>
      </c>
    </row>
    <row r="2064" spans="1:8" x14ac:dyDescent="0.3">
      <c r="A2064">
        <v>2019</v>
      </c>
      <c r="B2064" t="s">
        <v>40</v>
      </c>
      <c r="C2064" t="s">
        <v>130</v>
      </c>
      <c r="D2064" s="1" t="s">
        <v>23</v>
      </c>
      <c r="E2064">
        <v>152.19999999999999</v>
      </c>
      <c r="F2064">
        <v>147.9</v>
      </c>
      <c r="G2064">
        <v>140.80000000000001</v>
      </c>
      <c r="H2064" s="1" t="s">
        <v>23</v>
      </c>
    </row>
    <row r="2065" spans="1:8" x14ac:dyDescent="0.3">
      <c r="A2065">
        <v>2019</v>
      </c>
      <c r="B2065" t="s">
        <v>40</v>
      </c>
      <c r="C2065" t="s">
        <v>130</v>
      </c>
      <c r="D2065" s="1" t="s">
        <v>22</v>
      </c>
      <c r="E2065">
        <v>150</v>
      </c>
      <c r="F2065">
        <v>144.19999999999999</v>
      </c>
      <c r="G2065">
        <v>137.69999999999999</v>
      </c>
      <c r="H2065" s="1" t="s">
        <v>20</v>
      </c>
    </row>
    <row r="2066" spans="1:8" x14ac:dyDescent="0.3">
      <c r="A2066">
        <v>2019</v>
      </c>
      <c r="B2066" t="s">
        <v>40</v>
      </c>
      <c r="C2066" t="s">
        <v>130</v>
      </c>
      <c r="D2066" s="1" t="s">
        <v>20</v>
      </c>
      <c r="E2066">
        <v>0</v>
      </c>
      <c r="F2066">
        <v>150.6</v>
      </c>
      <c r="G2066">
        <v>150.6</v>
      </c>
      <c r="H2066" s="1" t="s">
        <v>20</v>
      </c>
    </row>
    <row r="2067" spans="1:8" x14ac:dyDescent="0.3">
      <c r="A2067">
        <v>2019</v>
      </c>
      <c r="B2067" t="s">
        <v>40</v>
      </c>
      <c r="C2067" t="s">
        <v>130</v>
      </c>
      <c r="D2067" s="1" t="s">
        <v>4</v>
      </c>
      <c r="E2067">
        <v>164</v>
      </c>
      <c r="F2067">
        <v>162.69999999999999</v>
      </c>
      <c r="G2067">
        <v>160.19999999999999</v>
      </c>
      <c r="H2067" s="1" t="s">
        <v>188</v>
      </c>
    </row>
    <row r="2068" spans="1:8" x14ac:dyDescent="0.3">
      <c r="A2068">
        <v>2019</v>
      </c>
      <c r="B2068" t="s">
        <v>40</v>
      </c>
      <c r="C2068" t="s">
        <v>130</v>
      </c>
      <c r="D2068" s="1" t="s">
        <v>6</v>
      </c>
      <c r="E2068">
        <v>143.9</v>
      </c>
      <c r="F2068">
        <v>144</v>
      </c>
      <c r="G2068">
        <v>144.1</v>
      </c>
      <c r="H2068" s="1" t="s">
        <v>188</v>
      </c>
    </row>
    <row r="2069" spans="1:8" x14ac:dyDescent="0.3">
      <c r="A2069">
        <v>2019</v>
      </c>
      <c r="B2069" t="s">
        <v>40</v>
      </c>
      <c r="C2069" t="s">
        <v>130</v>
      </c>
      <c r="D2069" s="1" t="s">
        <v>28</v>
      </c>
      <c r="E2069">
        <v>144.19999999999999</v>
      </c>
      <c r="F2069">
        <v>139.5</v>
      </c>
      <c r="G2069">
        <v>134.5</v>
      </c>
      <c r="H2069" s="1" t="s">
        <v>192</v>
      </c>
    </row>
    <row r="2070" spans="1:8" x14ac:dyDescent="0.3">
      <c r="A2070">
        <v>2019</v>
      </c>
      <c r="B2070" t="s">
        <v>40</v>
      </c>
      <c r="C2070" t="s">
        <v>130</v>
      </c>
      <c r="D2070" s="1" t="s">
        <v>13</v>
      </c>
      <c r="E2070">
        <v>138.5</v>
      </c>
      <c r="F2070">
        <v>134.69999999999999</v>
      </c>
      <c r="G2070">
        <v>129.5</v>
      </c>
      <c r="H2070" s="1" t="s">
        <v>188</v>
      </c>
    </row>
    <row r="2071" spans="1:8" x14ac:dyDescent="0.3">
      <c r="A2071">
        <v>2019</v>
      </c>
      <c r="B2071" t="s">
        <v>40</v>
      </c>
      <c r="C2071" t="s">
        <v>130</v>
      </c>
      <c r="D2071" s="1" t="s">
        <v>7</v>
      </c>
      <c r="E2071">
        <v>124.4</v>
      </c>
      <c r="F2071">
        <v>122.5</v>
      </c>
      <c r="G2071">
        <v>119.3</v>
      </c>
      <c r="H2071" s="1" t="s">
        <v>188</v>
      </c>
    </row>
    <row r="2072" spans="1:8" x14ac:dyDescent="0.3">
      <c r="A2072">
        <v>2019</v>
      </c>
      <c r="B2072" t="s">
        <v>40</v>
      </c>
      <c r="C2072" t="s">
        <v>130</v>
      </c>
      <c r="D2072" s="1" t="s">
        <v>16</v>
      </c>
      <c r="E2072">
        <v>164.5</v>
      </c>
      <c r="F2072">
        <v>165.2</v>
      </c>
      <c r="G2072">
        <v>167.2</v>
      </c>
      <c r="H2072" s="1" t="s">
        <v>192</v>
      </c>
    </row>
    <row r="2073" spans="1:8" x14ac:dyDescent="0.3">
      <c r="A2073">
        <v>2019</v>
      </c>
      <c r="B2073" t="s">
        <v>40</v>
      </c>
      <c r="C2073" t="s">
        <v>130</v>
      </c>
      <c r="D2073" s="1" t="s">
        <v>27</v>
      </c>
      <c r="E2073">
        <v>136.1</v>
      </c>
      <c r="F2073">
        <v>135.69999999999999</v>
      </c>
      <c r="G2073">
        <v>135.1</v>
      </c>
      <c r="H2073" s="1" t="s">
        <v>192</v>
      </c>
    </row>
    <row r="2074" spans="1:8" x14ac:dyDescent="0.3">
      <c r="A2074">
        <v>2019</v>
      </c>
      <c r="B2074" t="s">
        <v>40</v>
      </c>
      <c r="C2074" t="s">
        <v>130</v>
      </c>
      <c r="D2074" s="1" t="s">
        <v>14</v>
      </c>
      <c r="E2074">
        <v>156.69999999999999</v>
      </c>
      <c r="F2074">
        <v>156.19999999999999</v>
      </c>
      <c r="G2074">
        <v>155.6</v>
      </c>
      <c r="H2074" s="1" t="s">
        <v>188</v>
      </c>
    </row>
    <row r="2075" spans="1:8" x14ac:dyDescent="0.3">
      <c r="A2075">
        <v>2019</v>
      </c>
      <c r="B2075" t="s">
        <v>40</v>
      </c>
      <c r="C2075" t="s">
        <v>130</v>
      </c>
      <c r="D2075" s="1" t="s">
        <v>10</v>
      </c>
      <c r="E2075">
        <v>130.6</v>
      </c>
      <c r="F2075">
        <v>130</v>
      </c>
      <c r="G2075">
        <v>128.9</v>
      </c>
      <c r="H2075" s="1" t="s">
        <v>188</v>
      </c>
    </row>
    <row r="2076" spans="1:8" x14ac:dyDescent="0.3">
      <c r="A2076">
        <v>2019</v>
      </c>
      <c r="B2076" t="s">
        <v>40</v>
      </c>
      <c r="C2076" t="s">
        <v>130</v>
      </c>
      <c r="D2076" s="1" t="s">
        <v>25</v>
      </c>
      <c r="E2076">
        <v>147.5</v>
      </c>
      <c r="F2076">
        <v>140.5</v>
      </c>
      <c r="G2076">
        <v>135</v>
      </c>
      <c r="H2076" s="1" t="s">
        <v>195</v>
      </c>
    </row>
    <row r="2077" spans="1:8" x14ac:dyDescent="0.3">
      <c r="A2077">
        <v>2019</v>
      </c>
      <c r="B2077" t="s">
        <v>40</v>
      </c>
      <c r="C2077" t="s">
        <v>130</v>
      </c>
      <c r="D2077" s="1" t="s">
        <v>12</v>
      </c>
      <c r="E2077">
        <v>141.69999999999999</v>
      </c>
      <c r="F2077">
        <v>141.69999999999999</v>
      </c>
      <c r="G2077">
        <v>141.6</v>
      </c>
      <c r="H2077" s="1" t="s">
        <v>188</v>
      </c>
    </row>
    <row r="2078" spans="1:8" x14ac:dyDescent="0.3">
      <c r="A2078">
        <v>2019</v>
      </c>
      <c r="B2078" t="s">
        <v>40</v>
      </c>
      <c r="C2078" t="s">
        <v>130</v>
      </c>
      <c r="D2078" s="1" t="s">
        <v>11</v>
      </c>
      <c r="E2078">
        <v>110.8</v>
      </c>
      <c r="F2078">
        <v>111.1</v>
      </c>
      <c r="G2078">
        <v>111.8</v>
      </c>
      <c r="H2078" s="1" t="s">
        <v>188</v>
      </c>
    </row>
    <row r="2079" spans="1:8" x14ac:dyDescent="0.3">
      <c r="A2079">
        <v>2019</v>
      </c>
      <c r="B2079" t="s">
        <v>40</v>
      </c>
      <c r="C2079" t="s">
        <v>130</v>
      </c>
      <c r="D2079" s="1" t="s">
        <v>24</v>
      </c>
      <c r="E2079">
        <v>131.19999999999999</v>
      </c>
      <c r="F2079">
        <v>125.6</v>
      </c>
      <c r="G2079">
        <v>120.6</v>
      </c>
      <c r="H2079" s="1" t="s">
        <v>191</v>
      </c>
    </row>
    <row r="2080" spans="1:8" x14ac:dyDescent="0.3">
      <c r="A2080">
        <v>2019</v>
      </c>
      <c r="B2080" t="s">
        <v>40</v>
      </c>
      <c r="C2080" t="s">
        <v>130</v>
      </c>
      <c r="D2080" s="1" t="s">
        <v>9</v>
      </c>
      <c r="E2080">
        <v>150.1</v>
      </c>
      <c r="F2080">
        <v>160.30000000000001</v>
      </c>
      <c r="G2080">
        <v>180.1</v>
      </c>
      <c r="H2080" s="1" t="s">
        <v>188</v>
      </c>
    </row>
    <row r="2081" spans="1:8" x14ac:dyDescent="0.3">
      <c r="A2081">
        <v>2019</v>
      </c>
      <c r="B2081" t="s">
        <v>39</v>
      </c>
      <c r="C2081" t="s">
        <v>131</v>
      </c>
      <c r="D2081" s="1" t="s">
        <v>3</v>
      </c>
      <c r="E2081">
        <v>137.80000000000001</v>
      </c>
      <c r="F2081">
        <v>138.69999999999999</v>
      </c>
      <c r="G2081">
        <v>140.69999999999999</v>
      </c>
      <c r="H2081" s="1" t="s">
        <v>188</v>
      </c>
    </row>
    <row r="2082" spans="1:8" x14ac:dyDescent="0.3">
      <c r="A2082">
        <v>2019</v>
      </c>
      <c r="B2082" t="s">
        <v>39</v>
      </c>
      <c r="C2082" t="s">
        <v>131</v>
      </c>
      <c r="D2082" s="1" t="s">
        <v>17</v>
      </c>
      <c r="E2082">
        <v>151.4</v>
      </c>
      <c r="F2082">
        <v>148.6</v>
      </c>
      <c r="G2082">
        <v>144.30000000000001</v>
      </c>
      <c r="H2082" s="1" t="s">
        <v>189</v>
      </c>
    </row>
    <row r="2083" spans="1:8" x14ac:dyDescent="0.3">
      <c r="A2083">
        <v>2019</v>
      </c>
      <c r="B2083" t="s">
        <v>39</v>
      </c>
      <c r="C2083" t="s">
        <v>131</v>
      </c>
      <c r="D2083" s="1" t="s">
        <v>19</v>
      </c>
      <c r="E2083">
        <v>150.69999999999999</v>
      </c>
      <c r="F2083">
        <v>147.4</v>
      </c>
      <c r="G2083">
        <v>142.4</v>
      </c>
      <c r="H2083" s="1" t="s">
        <v>189</v>
      </c>
    </row>
    <row r="2084" spans="1:8" x14ac:dyDescent="0.3">
      <c r="A2084">
        <v>2019</v>
      </c>
      <c r="B2084" t="s">
        <v>39</v>
      </c>
      <c r="C2084" t="s">
        <v>131</v>
      </c>
      <c r="D2084" s="1" t="s">
        <v>26</v>
      </c>
      <c r="E2084">
        <v>157.69999999999999</v>
      </c>
      <c r="F2084">
        <v>152.5</v>
      </c>
      <c r="G2084">
        <v>148.9</v>
      </c>
      <c r="H2084" s="1" t="s">
        <v>26</v>
      </c>
    </row>
    <row r="2085" spans="1:8" x14ac:dyDescent="0.3">
      <c r="A2085">
        <v>2019</v>
      </c>
      <c r="B2085" t="s">
        <v>39</v>
      </c>
      <c r="C2085" t="s">
        <v>131</v>
      </c>
      <c r="D2085" s="1" t="s">
        <v>5</v>
      </c>
      <c r="E2085">
        <v>136.19999999999999</v>
      </c>
      <c r="F2085">
        <v>137.80000000000001</v>
      </c>
      <c r="G2085">
        <v>140.4</v>
      </c>
      <c r="H2085" s="1" t="s">
        <v>188</v>
      </c>
    </row>
    <row r="2086" spans="1:8" x14ac:dyDescent="0.3">
      <c r="A2086">
        <v>2019</v>
      </c>
      <c r="B2086" t="s">
        <v>39</v>
      </c>
      <c r="C2086" t="s">
        <v>131</v>
      </c>
      <c r="D2086" s="1" t="s">
        <v>15</v>
      </c>
      <c r="E2086">
        <v>141</v>
      </c>
      <c r="F2086">
        <v>142.69999999999999</v>
      </c>
      <c r="G2086">
        <v>145.6</v>
      </c>
      <c r="H2086" s="1" t="s">
        <v>188</v>
      </c>
    </row>
    <row r="2087" spans="1:8" x14ac:dyDescent="0.3">
      <c r="A2087">
        <v>2019</v>
      </c>
      <c r="B2087" t="s">
        <v>39</v>
      </c>
      <c r="C2087" t="s">
        <v>131</v>
      </c>
      <c r="D2087" s="1" t="s">
        <v>18</v>
      </c>
      <c r="E2087">
        <v>146.5</v>
      </c>
      <c r="F2087">
        <v>140.4</v>
      </c>
      <c r="G2087">
        <v>131.69999999999999</v>
      </c>
      <c r="H2087" s="1" t="s">
        <v>189</v>
      </c>
    </row>
    <row r="2088" spans="1:8" x14ac:dyDescent="0.3">
      <c r="A2088">
        <v>2019</v>
      </c>
      <c r="B2088" t="s">
        <v>39</v>
      </c>
      <c r="C2088" t="s">
        <v>131</v>
      </c>
      <c r="D2088" s="1" t="s">
        <v>8</v>
      </c>
      <c r="E2088">
        <v>143.30000000000001</v>
      </c>
      <c r="F2088">
        <v>146.80000000000001</v>
      </c>
      <c r="G2088">
        <v>150.9</v>
      </c>
      <c r="H2088" s="1" t="s">
        <v>188</v>
      </c>
    </row>
    <row r="2089" spans="1:8" x14ac:dyDescent="0.3">
      <c r="A2089">
        <v>2019</v>
      </c>
      <c r="B2089" t="s">
        <v>39</v>
      </c>
      <c r="C2089" t="s">
        <v>131</v>
      </c>
      <c r="D2089" s="1" t="s">
        <v>21</v>
      </c>
      <c r="E2089">
        <v>147.80000000000001</v>
      </c>
      <c r="F2089">
        <v>141.19999999999999</v>
      </c>
      <c r="G2089">
        <v>130.5</v>
      </c>
      <c r="H2089" s="1" t="s">
        <v>190</v>
      </c>
    </row>
    <row r="2090" spans="1:8" x14ac:dyDescent="0.3">
      <c r="A2090">
        <v>2019</v>
      </c>
      <c r="B2090" t="s">
        <v>39</v>
      </c>
      <c r="C2090" t="s">
        <v>131</v>
      </c>
      <c r="D2090" s="1" t="s">
        <v>29</v>
      </c>
      <c r="E2090">
        <v>143.6</v>
      </c>
      <c r="F2090">
        <v>142.9</v>
      </c>
      <c r="G2090">
        <v>142.1</v>
      </c>
      <c r="H2090" s="1" t="s">
        <v>206</v>
      </c>
    </row>
    <row r="2091" spans="1:8" x14ac:dyDescent="0.3">
      <c r="A2091">
        <v>2019</v>
      </c>
      <c r="B2091" t="s">
        <v>39</v>
      </c>
      <c r="C2091" t="s">
        <v>131</v>
      </c>
      <c r="D2091" s="1" t="s">
        <v>23</v>
      </c>
      <c r="E2091">
        <v>151.69999999999999</v>
      </c>
      <c r="F2091">
        <v>147.4</v>
      </c>
      <c r="G2091">
        <v>140.30000000000001</v>
      </c>
      <c r="H2091" s="1" t="s">
        <v>23</v>
      </c>
    </row>
    <row r="2092" spans="1:8" x14ac:dyDescent="0.3">
      <c r="A2092">
        <v>2019</v>
      </c>
      <c r="B2092" t="s">
        <v>39</v>
      </c>
      <c r="C2092" t="s">
        <v>131</v>
      </c>
      <c r="D2092" s="1" t="s">
        <v>22</v>
      </c>
      <c r="E2092">
        <v>149.6</v>
      </c>
      <c r="F2092">
        <v>143.80000000000001</v>
      </c>
      <c r="G2092">
        <v>137.4</v>
      </c>
      <c r="H2092" s="1" t="s">
        <v>20</v>
      </c>
    </row>
    <row r="2093" spans="1:8" x14ac:dyDescent="0.3">
      <c r="A2093">
        <v>2019</v>
      </c>
      <c r="B2093" t="s">
        <v>39</v>
      </c>
      <c r="C2093" t="s">
        <v>131</v>
      </c>
      <c r="D2093" s="1" t="s">
        <v>20</v>
      </c>
      <c r="E2093">
        <v>0</v>
      </c>
      <c r="F2093">
        <v>149.4</v>
      </c>
      <c r="G2093">
        <v>149.4</v>
      </c>
      <c r="H2093" s="1" t="s">
        <v>20</v>
      </c>
    </row>
    <row r="2094" spans="1:8" x14ac:dyDescent="0.3">
      <c r="A2094">
        <v>2019</v>
      </c>
      <c r="B2094" t="s">
        <v>39</v>
      </c>
      <c r="C2094" t="s">
        <v>131</v>
      </c>
      <c r="D2094" s="1" t="s">
        <v>4</v>
      </c>
      <c r="E2094">
        <v>163.5</v>
      </c>
      <c r="F2094">
        <v>162.1</v>
      </c>
      <c r="G2094">
        <v>159.6</v>
      </c>
      <c r="H2094" s="1" t="s">
        <v>188</v>
      </c>
    </row>
    <row r="2095" spans="1:8" x14ac:dyDescent="0.3">
      <c r="A2095">
        <v>2019</v>
      </c>
      <c r="B2095" t="s">
        <v>39</v>
      </c>
      <c r="C2095" t="s">
        <v>131</v>
      </c>
      <c r="D2095" s="1" t="s">
        <v>6</v>
      </c>
      <c r="E2095">
        <v>143.19999999999999</v>
      </c>
      <c r="F2095">
        <v>143.30000000000001</v>
      </c>
      <c r="G2095">
        <v>143.4</v>
      </c>
      <c r="H2095" s="1" t="s">
        <v>188</v>
      </c>
    </row>
    <row r="2096" spans="1:8" x14ac:dyDescent="0.3">
      <c r="A2096">
        <v>2019</v>
      </c>
      <c r="B2096" t="s">
        <v>39</v>
      </c>
      <c r="C2096" t="s">
        <v>131</v>
      </c>
      <c r="D2096" s="1" t="s">
        <v>28</v>
      </c>
      <c r="E2096">
        <v>143.30000000000001</v>
      </c>
      <c r="F2096">
        <v>138.6</v>
      </c>
      <c r="G2096">
        <v>133.6</v>
      </c>
      <c r="H2096" s="1" t="s">
        <v>192</v>
      </c>
    </row>
    <row r="2097" spans="1:8" x14ac:dyDescent="0.3">
      <c r="A2097">
        <v>2019</v>
      </c>
      <c r="B2097" t="s">
        <v>39</v>
      </c>
      <c r="C2097" t="s">
        <v>131</v>
      </c>
      <c r="D2097" s="1" t="s">
        <v>13</v>
      </c>
      <c r="E2097">
        <v>138</v>
      </c>
      <c r="F2097">
        <v>134.19999999999999</v>
      </c>
      <c r="G2097">
        <v>129</v>
      </c>
      <c r="H2097" s="1" t="s">
        <v>188</v>
      </c>
    </row>
    <row r="2098" spans="1:8" x14ac:dyDescent="0.3">
      <c r="A2098">
        <v>2019</v>
      </c>
      <c r="B2098" t="s">
        <v>39</v>
      </c>
      <c r="C2098" t="s">
        <v>131</v>
      </c>
      <c r="D2098" s="1" t="s">
        <v>7</v>
      </c>
      <c r="E2098">
        <v>124.3</v>
      </c>
      <c r="F2098">
        <v>122.2</v>
      </c>
      <c r="G2098">
        <v>118.6</v>
      </c>
      <c r="H2098" s="1" t="s">
        <v>188</v>
      </c>
    </row>
    <row r="2099" spans="1:8" x14ac:dyDescent="0.3">
      <c r="A2099">
        <v>2019</v>
      </c>
      <c r="B2099" t="s">
        <v>39</v>
      </c>
      <c r="C2099" t="s">
        <v>131</v>
      </c>
      <c r="D2099" s="1" t="s">
        <v>16</v>
      </c>
      <c r="E2099">
        <v>164.2</v>
      </c>
      <c r="F2099">
        <v>164.9</v>
      </c>
      <c r="G2099">
        <v>166.7</v>
      </c>
      <c r="H2099" s="1" t="s">
        <v>192</v>
      </c>
    </row>
    <row r="2100" spans="1:8" x14ac:dyDescent="0.3">
      <c r="A2100">
        <v>2019</v>
      </c>
      <c r="B2100" t="s">
        <v>39</v>
      </c>
      <c r="C2100" t="s">
        <v>131</v>
      </c>
      <c r="D2100" s="1" t="s">
        <v>27</v>
      </c>
      <c r="E2100">
        <v>134.80000000000001</v>
      </c>
      <c r="F2100">
        <v>134.30000000000001</v>
      </c>
      <c r="G2100">
        <v>133.69999999999999</v>
      </c>
      <c r="H2100" s="1" t="s">
        <v>192</v>
      </c>
    </row>
    <row r="2101" spans="1:8" x14ac:dyDescent="0.3">
      <c r="A2101">
        <v>2019</v>
      </c>
      <c r="B2101" t="s">
        <v>39</v>
      </c>
      <c r="C2101" t="s">
        <v>131</v>
      </c>
      <c r="D2101" s="1" t="s">
        <v>14</v>
      </c>
      <c r="E2101">
        <v>156.6</v>
      </c>
      <c r="F2101">
        <v>155.9</v>
      </c>
      <c r="G2101">
        <v>155.1</v>
      </c>
      <c r="H2101" s="1" t="s">
        <v>188</v>
      </c>
    </row>
    <row r="2102" spans="1:8" x14ac:dyDescent="0.3">
      <c r="A2102">
        <v>2019</v>
      </c>
      <c r="B2102" t="s">
        <v>39</v>
      </c>
      <c r="C2102" t="s">
        <v>131</v>
      </c>
      <c r="D2102" s="1" t="s">
        <v>10</v>
      </c>
      <c r="E2102">
        <v>128.69999999999999</v>
      </c>
      <c r="F2102">
        <v>128.30000000000001</v>
      </c>
      <c r="G2102">
        <v>127.4</v>
      </c>
      <c r="H2102" s="1" t="s">
        <v>188</v>
      </c>
    </row>
    <row r="2103" spans="1:8" x14ac:dyDescent="0.3">
      <c r="A2103">
        <v>2019</v>
      </c>
      <c r="B2103" t="s">
        <v>39</v>
      </c>
      <c r="C2103" t="s">
        <v>131</v>
      </c>
      <c r="D2103" s="1" t="s">
        <v>25</v>
      </c>
      <c r="E2103">
        <v>146.4</v>
      </c>
      <c r="F2103">
        <v>139.6</v>
      </c>
      <c r="G2103">
        <v>134.30000000000001</v>
      </c>
      <c r="H2103" s="1" t="s">
        <v>195</v>
      </c>
    </row>
    <row r="2104" spans="1:8" x14ac:dyDescent="0.3">
      <c r="A2104">
        <v>2019</v>
      </c>
      <c r="B2104" t="s">
        <v>39</v>
      </c>
      <c r="C2104" t="s">
        <v>131</v>
      </c>
      <c r="D2104" s="1" t="s">
        <v>12</v>
      </c>
      <c r="E2104">
        <v>140.4</v>
      </c>
      <c r="F2104">
        <v>140.6</v>
      </c>
      <c r="G2104">
        <v>141</v>
      </c>
      <c r="H2104" s="1" t="s">
        <v>188</v>
      </c>
    </row>
    <row r="2105" spans="1:8" x14ac:dyDescent="0.3">
      <c r="A2105">
        <v>2019</v>
      </c>
      <c r="B2105" t="s">
        <v>39</v>
      </c>
      <c r="C2105" t="s">
        <v>131</v>
      </c>
      <c r="D2105" s="1" t="s">
        <v>11</v>
      </c>
      <c r="E2105">
        <v>110.6</v>
      </c>
      <c r="F2105">
        <v>111</v>
      </c>
      <c r="G2105">
        <v>111.8</v>
      </c>
      <c r="H2105" s="1" t="s">
        <v>188</v>
      </c>
    </row>
    <row r="2106" spans="1:8" x14ac:dyDescent="0.3">
      <c r="A2106">
        <v>2019</v>
      </c>
      <c r="B2106" t="s">
        <v>39</v>
      </c>
      <c r="C2106" t="s">
        <v>131</v>
      </c>
      <c r="D2106" s="1" t="s">
        <v>24</v>
      </c>
      <c r="E2106">
        <v>130.19999999999999</v>
      </c>
      <c r="F2106">
        <v>124.6</v>
      </c>
      <c r="G2106">
        <v>119.6</v>
      </c>
      <c r="H2106" s="1" t="s">
        <v>191</v>
      </c>
    </row>
    <row r="2107" spans="1:8" x14ac:dyDescent="0.3">
      <c r="A2107">
        <v>2019</v>
      </c>
      <c r="B2107" t="s">
        <v>39</v>
      </c>
      <c r="C2107" t="s">
        <v>131</v>
      </c>
      <c r="D2107" s="1" t="s">
        <v>9</v>
      </c>
      <c r="E2107">
        <v>140.6</v>
      </c>
      <c r="F2107">
        <v>150.5</v>
      </c>
      <c r="G2107">
        <v>169.8</v>
      </c>
      <c r="H2107" s="1" t="s">
        <v>188</v>
      </c>
    </row>
    <row r="2108" spans="1:8" x14ac:dyDescent="0.3">
      <c r="A2108">
        <v>2019</v>
      </c>
      <c r="B2108" t="s">
        <v>36</v>
      </c>
      <c r="C2108" t="s">
        <v>132</v>
      </c>
      <c r="D2108" s="1" t="s">
        <v>3</v>
      </c>
      <c r="E2108">
        <v>136.9</v>
      </c>
      <c r="F2108">
        <v>137.80000000000001</v>
      </c>
      <c r="G2108">
        <v>139.69999999999999</v>
      </c>
      <c r="H2108" s="1" t="s">
        <v>188</v>
      </c>
    </row>
    <row r="2109" spans="1:8" x14ac:dyDescent="0.3">
      <c r="A2109">
        <v>2019</v>
      </c>
      <c r="B2109" t="s">
        <v>36</v>
      </c>
      <c r="C2109" t="s">
        <v>132</v>
      </c>
      <c r="D2109" s="1" t="s">
        <v>17</v>
      </c>
      <c r="E2109">
        <v>150.80000000000001</v>
      </c>
      <c r="F2109">
        <v>147.9</v>
      </c>
      <c r="G2109">
        <v>143.5</v>
      </c>
      <c r="H2109" s="1" t="s">
        <v>189</v>
      </c>
    </row>
    <row r="2110" spans="1:8" x14ac:dyDescent="0.3">
      <c r="A2110">
        <v>2019</v>
      </c>
      <c r="B2110" t="s">
        <v>36</v>
      </c>
      <c r="C2110" t="s">
        <v>132</v>
      </c>
      <c r="D2110" s="1" t="s">
        <v>19</v>
      </c>
      <c r="E2110">
        <v>150.1</v>
      </c>
      <c r="F2110">
        <v>146.69999999999999</v>
      </c>
      <c r="G2110">
        <v>141.6</v>
      </c>
      <c r="H2110" s="1" t="s">
        <v>189</v>
      </c>
    </row>
    <row r="2111" spans="1:8" x14ac:dyDescent="0.3">
      <c r="A2111">
        <v>2019</v>
      </c>
      <c r="B2111" t="s">
        <v>36</v>
      </c>
      <c r="C2111" t="s">
        <v>132</v>
      </c>
      <c r="D2111" s="1" t="s">
        <v>26</v>
      </c>
      <c r="E2111">
        <v>155.5</v>
      </c>
      <c r="F2111">
        <v>150.30000000000001</v>
      </c>
      <c r="G2111">
        <v>146.69999999999999</v>
      </c>
      <c r="H2111" s="1" t="s">
        <v>26</v>
      </c>
    </row>
    <row r="2112" spans="1:8" x14ac:dyDescent="0.3">
      <c r="A2112">
        <v>2019</v>
      </c>
      <c r="B2112" t="s">
        <v>36</v>
      </c>
      <c r="C2112" t="s">
        <v>132</v>
      </c>
      <c r="D2112" s="1" t="s">
        <v>5</v>
      </c>
      <c r="E2112">
        <v>138.69999999999999</v>
      </c>
      <c r="F2112">
        <v>140.30000000000001</v>
      </c>
      <c r="G2112">
        <v>142.9</v>
      </c>
      <c r="H2112" s="1" t="s">
        <v>188</v>
      </c>
    </row>
    <row r="2113" spans="1:8" x14ac:dyDescent="0.3">
      <c r="A2113">
        <v>2019</v>
      </c>
      <c r="B2113" t="s">
        <v>36</v>
      </c>
      <c r="C2113" t="s">
        <v>132</v>
      </c>
      <c r="D2113" s="1" t="s">
        <v>15</v>
      </c>
      <c r="E2113">
        <v>137.30000000000001</v>
      </c>
      <c r="F2113">
        <v>138.1</v>
      </c>
      <c r="G2113">
        <v>139.6</v>
      </c>
      <c r="H2113" s="1" t="s">
        <v>188</v>
      </c>
    </row>
    <row r="2114" spans="1:8" x14ac:dyDescent="0.3">
      <c r="A2114">
        <v>2019</v>
      </c>
      <c r="B2114" t="s">
        <v>36</v>
      </c>
      <c r="C2114" t="s">
        <v>132</v>
      </c>
      <c r="D2114" s="1" t="s">
        <v>18</v>
      </c>
      <c r="E2114">
        <v>146.1</v>
      </c>
      <c r="F2114">
        <v>139.9</v>
      </c>
      <c r="G2114">
        <v>131.19999999999999</v>
      </c>
      <c r="H2114" s="1" t="s">
        <v>189</v>
      </c>
    </row>
    <row r="2115" spans="1:8" x14ac:dyDescent="0.3">
      <c r="A2115">
        <v>2019</v>
      </c>
      <c r="B2115" t="s">
        <v>36</v>
      </c>
      <c r="C2115" t="s">
        <v>132</v>
      </c>
      <c r="D2115" s="1" t="s">
        <v>8</v>
      </c>
      <c r="E2115">
        <v>136.1</v>
      </c>
      <c r="F2115">
        <v>137.6</v>
      </c>
      <c r="G2115">
        <v>139.4</v>
      </c>
      <c r="H2115" s="1" t="s">
        <v>188</v>
      </c>
    </row>
    <row r="2116" spans="1:8" x14ac:dyDescent="0.3">
      <c r="A2116">
        <v>2019</v>
      </c>
      <c r="B2116" t="s">
        <v>36</v>
      </c>
      <c r="C2116" t="s">
        <v>132</v>
      </c>
      <c r="D2116" s="1" t="s">
        <v>21</v>
      </c>
      <c r="E2116">
        <v>146.4</v>
      </c>
      <c r="F2116">
        <v>139.69999999999999</v>
      </c>
      <c r="G2116">
        <v>128.80000000000001</v>
      </c>
      <c r="H2116" s="1" t="s">
        <v>190</v>
      </c>
    </row>
    <row r="2117" spans="1:8" x14ac:dyDescent="0.3">
      <c r="A2117">
        <v>2019</v>
      </c>
      <c r="B2117" t="s">
        <v>36</v>
      </c>
      <c r="C2117" t="s">
        <v>132</v>
      </c>
      <c r="D2117" s="1" t="s">
        <v>29</v>
      </c>
      <c r="E2117">
        <v>141.19999999999999</v>
      </c>
      <c r="F2117">
        <v>140.4</v>
      </c>
      <c r="G2117">
        <v>139.5</v>
      </c>
      <c r="H2117" s="1" t="s">
        <v>206</v>
      </c>
    </row>
    <row r="2118" spans="1:8" x14ac:dyDescent="0.3">
      <c r="A2118">
        <v>2019</v>
      </c>
      <c r="B2118" t="s">
        <v>36</v>
      </c>
      <c r="C2118" t="s">
        <v>132</v>
      </c>
      <c r="D2118" s="1" t="s">
        <v>23</v>
      </c>
      <c r="E2118">
        <v>150.4</v>
      </c>
      <c r="F2118">
        <v>146.19999999999999</v>
      </c>
      <c r="G2118">
        <v>139.19999999999999</v>
      </c>
      <c r="H2118" s="1" t="s">
        <v>23</v>
      </c>
    </row>
    <row r="2119" spans="1:8" x14ac:dyDescent="0.3">
      <c r="A2119">
        <v>2019</v>
      </c>
      <c r="B2119" t="s">
        <v>36</v>
      </c>
      <c r="C2119" t="s">
        <v>132</v>
      </c>
      <c r="D2119" s="1" t="s">
        <v>22</v>
      </c>
      <c r="E2119">
        <v>150</v>
      </c>
      <c r="F2119">
        <v>143.80000000000001</v>
      </c>
      <c r="G2119">
        <v>136.80000000000001</v>
      </c>
      <c r="H2119" s="1" t="s">
        <v>20</v>
      </c>
    </row>
    <row r="2120" spans="1:8" x14ac:dyDescent="0.3">
      <c r="A2120">
        <v>2019</v>
      </c>
      <c r="B2120" t="s">
        <v>36</v>
      </c>
      <c r="C2120" t="s">
        <v>132</v>
      </c>
      <c r="D2120" s="1" t="s">
        <v>20</v>
      </c>
      <c r="E2120">
        <v>0</v>
      </c>
      <c r="F2120">
        <v>149</v>
      </c>
      <c r="G2120">
        <v>149</v>
      </c>
      <c r="H2120" s="1" t="s">
        <v>20</v>
      </c>
    </row>
    <row r="2121" spans="1:8" x14ac:dyDescent="0.3">
      <c r="A2121">
        <v>2019</v>
      </c>
      <c r="B2121" t="s">
        <v>36</v>
      </c>
      <c r="C2121" t="s">
        <v>132</v>
      </c>
      <c r="D2121" s="1" t="s">
        <v>4</v>
      </c>
      <c r="E2121">
        <v>154.1</v>
      </c>
      <c r="F2121">
        <v>153</v>
      </c>
      <c r="G2121">
        <v>151.1</v>
      </c>
      <c r="H2121" s="1" t="s">
        <v>188</v>
      </c>
    </row>
    <row r="2122" spans="1:8" x14ac:dyDescent="0.3">
      <c r="A2122">
        <v>2019</v>
      </c>
      <c r="B2122" t="s">
        <v>36</v>
      </c>
      <c r="C2122" t="s">
        <v>132</v>
      </c>
      <c r="D2122" s="1" t="s">
        <v>6</v>
      </c>
      <c r="E2122">
        <v>142.5</v>
      </c>
      <c r="F2122">
        <v>142.30000000000001</v>
      </c>
      <c r="G2122">
        <v>141.9</v>
      </c>
      <c r="H2122" s="1" t="s">
        <v>188</v>
      </c>
    </row>
    <row r="2123" spans="1:8" x14ac:dyDescent="0.3">
      <c r="A2123">
        <v>2019</v>
      </c>
      <c r="B2123" t="s">
        <v>36</v>
      </c>
      <c r="C2123" t="s">
        <v>132</v>
      </c>
      <c r="D2123" s="1" t="s">
        <v>28</v>
      </c>
      <c r="E2123">
        <v>142.4</v>
      </c>
      <c r="F2123">
        <v>137.69999999999999</v>
      </c>
      <c r="G2123">
        <v>132.80000000000001</v>
      </c>
      <c r="H2123" s="1" t="s">
        <v>192</v>
      </c>
    </row>
    <row r="2124" spans="1:8" x14ac:dyDescent="0.3">
      <c r="A2124">
        <v>2019</v>
      </c>
      <c r="B2124" t="s">
        <v>36</v>
      </c>
      <c r="C2124" t="s">
        <v>132</v>
      </c>
      <c r="D2124" s="1" t="s">
        <v>13</v>
      </c>
      <c r="E2124">
        <v>137.4</v>
      </c>
      <c r="F2124">
        <v>133.69999999999999</v>
      </c>
      <c r="G2124">
        <v>128.5</v>
      </c>
      <c r="H2124" s="1" t="s">
        <v>188</v>
      </c>
    </row>
    <row r="2125" spans="1:8" x14ac:dyDescent="0.3">
      <c r="A2125">
        <v>2019</v>
      </c>
      <c r="B2125" t="s">
        <v>36</v>
      </c>
      <c r="C2125" t="s">
        <v>132</v>
      </c>
      <c r="D2125" s="1" t="s">
        <v>7</v>
      </c>
      <c r="E2125">
        <v>124.1</v>
      </c>
      <c r="F2125">
        <v>122</v>
      </c>
      <c r="G2125">
        <v>118.4</v>
      </c>
      <c r="H2125" s="1" t="s">
        <v>188</v>
      </c>
    </row>
    <row r="2126" spans="1:8" x14ac:dyDescent="0.3">
      <c r="A2126">
        <v>2019</v>
      </c>
      <c r="B2126" t="s">
        <v>36</v>
      </c>
      <c r="C2126" t="s">
        <v>132</v>
      </c>
      <c r="D2126" s="1" t="s">
        <v>16</v>
      </c>
      <c r="E2126">
        <v>162.9</v>
      </c>
      <c r="F2126">
        <v>163.5</v>
      </c>
      <c r="G2126">
        <v>165.3</v>
      </c>
      <c r="H2126" s="1" t="s">
        <v>192</v>
      </c>
    </row>
    <row r="2127" spans="1:8" x14ac:dyDescent="0.3">
      <c r="A2127">
        <v>2019</v>
      </c>
      <c r="B2127" t="s">
        <v>36</v>
      </c>
      <c r="C2127" t="s">
        <v>132</v>
      </c>
      <c r="D2127" s="1" t="s">
        <v>27</v>
      </c>
      <c r="E2127">
        <v>134</v>
      </c>
      <c r="F2127">
        <v>133.4</v>
      </c>
      <c r="G2127">
        <v>132.5</v>
      </c>
      <c r="H2127" s="1" t="s">
        <v>192</v>
      </c>
    </row>
    <row r="2128" spans="1:8" x14ac:dyDescent="0.3">
      <c r="A2128">
        <v>2019</v>
      </c>
      <c r="B2128" t="s">
        <v>36</v>
      </c>
      <c r="C2128" t="s">
        <v>132</v>
      </c>
      <c r="D2128" s="1" t="s">
        <v>14</v>
      </c>
      <c r="E2128">
        <v>156.4</v>
      </c>
      <c r="F2128">
        <v>155.19999999999999</v>
      </c>
      <c r="G2128">
        <v>153.9</v>
      </c>
      <c r="H2128" s="1" t="s">
        <v>188</v>
      </c>
    </row>
    <row r="2129" spans="1:8" x14ac:dyDescent="0.3">
      <c r="A2129">
        <v>2019</v>
      </c>
      <c r="B2129" t="s">
        <v>36</v>
      </c>
      <c r="C2129" t="s">
        <v>132</v>
      </c>
      <c r="D2129" s="1" t="s">
        <v>10</v>
      </c>
      <c r="E2129">
        <v>122.3</v>
      </c>
      <c r="F2129">
        <v>121.8</v>
      </c>
      <c r="G2129">
        <v>120.7</v>
      </c>
      <c r="H2129" s="1" t="s">
        <v>188</v>
      </c>
    </row>
    <row r="2130" spans="1:8" x14ac:dyDescent="0.3">
      <c r="A2130">
        <v>2019</v>
      </c>
      <c r="B2130" t="s">
        <v>36</v>
      </c>
      <c r="C2130" t="s">
        <v>132</v>
      </c>
      <c r="D2130" s="1" t="s">
        <v>25</v>
      </c>
      <c r="E2130">
        <v>143.80000000000001</v>
      </c>
      <c r="F2130">
        <v>137.69999999999999</v>
      </c>
      <c r="G2130">
        <v>133</v>
      </c>
      <c r="H2130" s="1" t="s">
        <v>195</v>
      </c>
    </row>
    <row r="2131" spans="1:8" x14ac:dyDescent="0.3">
      <c r="A2131">
        <v>2019</v>
      </c>
      <c r="B2131" t="s">
        <v>36</v>
      </c>
      <c r="C2131" t="s">
        <v>132</v>
      </c>
      <c r="D2131" s="1" t="s">
        <v>12</v>
      </c>
      <c r="E2131">
        <v>138.9</v>
      </c>
      <c r="F2131">
        <v>139.5</v>
      </c>
      <c r="G2131">
        <v>140.69999999999999</v>
      </c>
      <c r="H2131" s="1" t="s">
        <v>188</v>
      </c>
    </row>
    <row r="2132" spans="1:8" x14ac:dyDescent="0.3">
      <c r="A2132">
        <v>2019</v>
      </c>
      <c r="B2132" t="s">
        <v>36</v>
      </c>
      <c r="C2132" t="s">
        <v>132</v>
      </c>
      <c r="D2132" s="1" t="s">
        <v>11</v>
      </c>
      <c r="E2132">
        <v>108.3</v>
      </c>
      <c r="F2132">
        <v>109</v>
      </c>
      <c r="G2132">
        <v>110.4</v>
      </c>
      <c r="H2132" s="1" t="s">
        <v>188</v>
      </c>
    </row>
    <row r="2133" spans="1:8" x14ac:dyDescent="0.3">
      <c r="A2133">
        <v>2019</v>
      </c>
      <c r="B2133" t="s">
        <v>36</v>
      </c>
      <c r="C2133" t="s">
        <v>132</v>
      </c>
      <c r="D2133" s="1" t="s">
        <v>24</v>
      </c>
      <c r="E2133">
        <v>129.9</v>
      </c>
      <c r="F2133">
        <v>124.6</v>
      </c>
      <c r="G2133">
        <v>119.9</v>
      </c>
      <c r="H2133" s="1" t="s">
        <v>191</v>
      </c>
    </row>
    <row r="2134" spans="1:8" x14ac:dyDescent="0.3">
      <c r="A2134">
        <v>2019</v>
      </c>
      <c r="B2134" t="s">
        <v>36</v>
      </c>
      <c r="C2134" t="s">
        <v>132</v>
      </c>
      <c r="D2134" s="1" t="s">
        <v>9</v>
      </c>
      <c r="E2134">
        <v>128.19999999999999</v>
      </c>
      <c r="F2134">
        <v>132.6</v>
      </c>
      <c r="G2134">
        <v>141.19999999999999</v>
      </c>
      <c r="H2134" s="1" t="s">
        <v>188</v>
      </c>
    </row>
    <row r="2135" spans="1:8" x14ac:dyDescent="0.3">
      <c r="A2135">
        <v>2019</v>
      </c>
      <c r="B2135" t="s">
        <v>38</v>
      </c>
      <c r="C2135" t="s">
        <v>133</v>
      </c>
      <c r="D2135" s="1" t="s">
        <v>3</v>
      </c>
      <c r="E2135">
        <v>137.4</v>
      </c>
      <c r="F2135">
        <v>138.30000000000001</v>
      </c>
      <c r="G2135">
        <v>140.4</v>
      </c>
      <c r="H2135" s="1" t="s">
        <v>188</v>
      </c>
    </row>
    <row r="2136" spans="1:8" x14ac:dyDescent="0.3">
      <c r="A2136">
        <v>2019</v>
      </c>
      <c r="B2136" t="s">
        <v>38</v>
      </c>
      <c r="C2136" t="s">
        <v>133</v>
      </c>
      <c r="D2136" s="1" t="s">
        <v>17</v>
      </c>
      <c r="E2136">
        <v>151.30000000000001</v>
      </c>
      <c r="F2136">
        <v>148.4</v>
      </c>
      <c r="G2136">
        <v>144</v>
      </c>
      <c r="H2136" s="1" t="s">
        <v>189</v>
      </c>
    </row>
    <row r="2137" spans="1:8" x14ac:dyDescent="0.3">
      <c r="A2137">
        <v>2019</v>
      </c>
      <c r="B2137" t="s">
        <v>38</v>
      </c>
      <c r="C2137" t="s">
        <v>133</v>
      </c>
      <c r="D2137" s="1" t="s">
        <v>19</v>
      </c>
      <c r="E2137">
        <v>150.69999999999999</v>
      </c>
      <c r="F2137">
        <v>147.30000000000001</v>
      </c>
      <c r="G2137">
        <v>142.19999999999999</v>
      </c>
      <c r="H2137" s="1" t="s">
        <v>189</v>
      </c>
    </row>
    <row r="2138" spans="1:8" x14ac:dyDescent="0.3">
      <c r="A2138">
        <v>2019</v>
      </c>
      <c r="B2138" t="s">
        <v>38</v>
      </c>
      <c r="C2138" t="s">
        <v>133</v>
      </c>
      <c r="D2138" s="1" t="s">
        <v>26</v>
      </c>
      <c r="E2138">
        <v>156.69999999999999</v>
      </c>
      <c r="F2138">
        <v>151.6</v>
      </c>
      <c r="G2138">
        <v>148</v>
      </c>
      <c r="H2138" s="1" t="s">
        <v>26</v>
      </c>
    </row>
    <row r="2139" spans="1:8" x14ac:dyDescent="0.3">
      <c r="A2139">
        <v>2019</v>
      </c>
      <c r="B2139" t="s">
        <v>38</v>
      </c>
      <c r="C2139" t="s">
        <v>133</v>
      </c>
      <c r="D2139" s="1" t="s">
        <v>5</v>
      </c>
      <c r="E2139">
        <v>134.5</v>
      </c>
      <c r="F2139">
        <v>136</v>
      </c>
      <c r="G2139">
        <v>138.30000000000001</v>
      </c>
      <c r="H2139" s="1" t="s">
        <v>188</v>
      </c>
    </row>
    <row r="2140" spans="1:8" x14ac:dyDescent="0.3">
      <c r="A2140">
        <v>2019</v>
      </c>
      <c r="B2140" t="s">
        <v>38</v>
      </c>
      <c r="C2140" t="s">
        <v>133</v>
      </c>
      <c r="D2140" s="1" t="s">
        <v>15</v>
      </c>
      <c r="E2140">
        <v>139.19999999999999</v>
      </c>
      <c r="F2140">
        <v>140.9</v>
      </c>
      <c r="G2140">
        <v>143.80000000000001</v>
      </c>
      <c r="H2140" s="1" t="s">
        <v>188</v>
      </c>
    </row>
    <row r="2141" spans="1:8" x14ac:dyDescent="0.3">
      <c r="A2141">
        <v>2019</v>
      </c>
      <c r="B2141" t="s">
        <v>38</v>
      </c>
      <c r="C2141" t="s">
        <v>133</v>
      </c>
      <c r="D2141" s="1" t="s">
        <v>18</v>
      </c>
      <c r="E2141">
        <v>146.6</v>
      </c>
      <c r="F2141">
        <v>140.4</v>
      </c>
      <c r="G2141">
        <v>131.69999999999999</v>
      </c>
      <c r="H2141" s="1" t="s">
        <v>189</v>
      </c>
    </row>
    <row r="2142" spans="1:8" x14ac:dyDescent="0.3">
      <c r="A2142">
        <v>2019</v>
      </c>
      <c r="B2142" t="s">
        <v>38</v>
      </c>
      <c r="C2142" t="s">
        <v>133</v>
      </c>
      <c r="D2142" s="1" t="s">
        <v>8</v>
      </c>
      <c r="E2142">
        <v>143.69999999999999</v>
      </c>
      <c r="F2142">
        <v>146.5</v>
      </c>
      <c r="G2142">
        <v>149.69999999999999</v>
      </c>
      <c r="H2142" s="1" t="s">
        <v>188</v>
      </c>
    </row>
    <row r="2143" spans="1:8" x14ac:dyDescent="0.3">
      <c r="A2143">
        <v>2019</v>
      </c>
      <c r="B2143" t="s">
        <v>38</v>
      </c>
      <c r="C2143" t="s">
        <v>133</v>
      </c>
      <c r="D2143" s="1" t="s">
        <v>21</v>
      </c>
      <c r="E2143">
        <v>146.9</v>
      </c>
      <c r="F2143">
        <v>140.30000000000001</v>
      </c>
      <c r="G2143">
        <v>129.4</v>
      </c>
      <c r="H2143" s="1" t="s">
        <v>190</v>
      </c>
    </row>
    <row r="2144" spans="1:8" x14ac:dyDescent="0.3">
      <c r="A2144">
        <v>2019</v>
      </c>
      <c r="B2144" t="s">
        <v>38</v>
      </c>
      <c r="C2144" t="s">
        <v>133</v>
      </c>
      <c r="D2144" s="1" t="s">
        <v>29</v>
      </c>
      <c r="E2144">
        <v>142.4</v>
      </c>
      <c r="F2144">
        <v>142</v>
      </c>
      <c r="G2144">
        <v>141.5</v>
      </c>
      <c r="H2144" s="1" t="s">
        <v>206</v>
      </c>
    </row>
    <row r="2145" spans="1:8" x14ac:dyDescent="0.3">
      <c r="A2145">
        <v>2019</v>
      </c>
      <c r="B2145" t="s">
        <v>38</v>
      </c>
      <c r="C2145" t="s">
        <v>133</v>
      </c>
      <c r="D2145" s="1" t="s">
        <v>23</v>
      </c>
      <c r="E2145">
        <v>151.30000000000001</v>
      </c>
      <c r="F2145">
        <v>146.9</v>
      </c>
      <c r="G2145">
        <v>139.80000000000001</v>
      </c>
      <c r="H2145" s="1" t="s">
        <v>23</v>
      </c>
    </row>
    <row r="2146" spans="1:8" x14ac:dyDescent="0.3">
      <c r="A2146">
        <v>2019</v>
      </c>
      <c r="B2146" t="s">
        <v>38</v>
      </c>
      <c r="C2146" t="s">
        <v>133</v>
      </c>
      <c r="D2146" s="1" t="s">
        <v>22</v>
      </c>
      <c r="E2146">
        <v>149.5</v>
      </c>
      <c r="F2146">
        <v>143.69999999999999</v>
      </c>
      <c r="G2146">
        <v>137.19999999999999</v>
      </c>
      <c r="H2146" s="1" t="s">
        <v>20</v>
      </c>
    </row>
    <row r="2147" spans="1:8" x14ac:dyDescent="0.3">
      <c r="A2147">
        <v>2019</v>
      </c>
      <c r="B2147" t="s">
        <v>38</v>
      </c>
      <c r="C2147" t="s">
        <v>133</v>
      </c>
      <c r="D2147" s="1" t="s">
        <v>20</v>
      </c>
      <c r="E2147">
        <v>0</v>
      </c>
      <c r="F2147">
        <v>150.1</v>
      </c>
      <c r="G2147">
        <v>150.1</v>
      </c>
      <c r="H2147" s="1" t="s">
        <v>20</v>
      </c>
    </row>
    <row r="2148" spans="1:8" x14ac:dyDescent="0.3">
      <c r="A2148">
        <v>2019</v>
      </c>
      <c r="B2148" t="s">
        <v>38</v>
      </c>
      <c r="C2148" t="s">
        <v>133</v>
      </c>
      <c r="D2148" s="1" t="s">
        <v>4</v>
      </c>
      <c r="E2148">
        <v>159.5</v>
      </c>
      <c r="F2148">
        <v>158.5</v>
      </c>
      <c r="G2148">
        <v>156.69999999999999</v>
      </c>
      <c r="H2148" s="1" t="s">
        <v>188</v>
      </c>
    </row>
    <row r="2149" spans="1:8" x14ac:dyDescent="0.3">
      <c r="A2149">
        <v>2019</v>
      </c>
      <c r="B2149" t="s">
        <v>38</v>
      </c>
      <c r="C2149" t="s">
        <v>133</v>
      </c>
      <c r="D2149" s="1" t="s">
        <v>6</v>
      </c>
      <c r="E2149">
        <v>142.6</v>
      </c>
      <c r="F2149">
        <v>142.5</v>
      </c>
      <c r="G2149">
        <v>142.4</v>
      </c>
      <c r="H2149" s="1" t="s">
        <v>188</v>
      </c>
    </row>
    <row r="2150" spans="1:8" x14ac:dyDescent="0.3">
      <c r="A2150">
        <v>2019</v>
      </c>
      <c r="B2150" t="s">
        <v>38</v>
      </c>
      <c r="C2150" t="s">
        <v>133</v>
      </c>
      <c r="D2150" s="1" t="s">
        <v>28</v>
      </c>
      <c r="E2150">
        <v>142.9</v>
      </c>
      <c r="F2150">
        <v>138.19999999999999</v>
      </c>
      <c r="G2150">
        <v>133.30000000000001</v>
      </c>
      <c r="H2150" s="1" t="s">
        <v>192</v>
      </c>
    </row>
    <row r="2151" spans="1:8" x14ac:dyDescent="0.3">
      <c r="A2151">
        <v>2019</v>
      </c>
      <c r="B2151" t="s">
        <v>38</v>
      </c>
      <c r="C2151" t="s">
        <v>133</v>
      </c>
      <c r="D2151" s="1" t="s">
        <v>13</v>
      </c>
      <c r="E2151">
        <v>137.69999999999999</v>
      </c>
      <c r="F2151">
        <v>134</v>
      </c>
      <c r="G2151">
        <v>128.9</v>
      </c>
      <c r="H2151" s="1" t="s">
        <v>188</v>
      </c>
    </row>
    <row r="2152" spans="1:8" x14ac:dyDescent="0.3">
      <c r="A2152">
        <v>2019</v>
      </c>
      <c r="B2152" t="s">
        <v>38</v>
      </c>
      <c r="C2152" t="s">
        <v>133</v>
      </c>
      <c r="D2152" s="1" t="s">
        <v>7</v>
      </c>
      <c r="E2152">
        <v>124</v>
      </c>
      <c r="F2152">
        <v>122</v>
      </c>
      <c r="G2152">
        <v>118.6</v>
      </c>
      <c r="H2152" s="1" t="s">
        <v>188</v>
      </c>
    </row>
    <row r="2153" spans="1:8" x14ac:dyDescent="0.3">
      <c r="A2153">
        <v>2019</v>
      </c>
      <c r="B2153" t="s">
        <v>38</v>
      </c>
      <c r="C2153" t="s">
        <v>133</v>
      </c>
      <c r="D2153" s="1" t="s">
        <v>16</v>
      </c>
      <c r="E2153">
        <v>163.30000000000001</v>
      </c>
      <c r="F2153">
        <v>164.1</v>
      </c>
      <c r="G2153">
        <v>166.2</v>
      </c>
      <c r="H2153" s="1" t="s">
        <v>192</v>
      </c>
    </row>
    <row r="2154" spans="1:8" x14ac:dyDescent="0.3">
      <c r="A2154">
        <v>2019</v>
      </c>
      <c r="B2154" t="s">
        <v>38</v>
      </c>
      <c r="C2154" t="s">
        <v>133</v>
      </c>
      <c r="D2154" s="1" t="s">
        <v>27</v>
      </c>
      <c r="E2154">
        <v>133.9</v>
      </c>
      <c r="F2154">
        <v>133.4</v>
      </c>
      <c r="G2154">
        <v>132.6</v>
      </c>
      <c r="H2154" s="1" t="s">
        <v>192</v>
      </c>
    </row>
    <row r="2155" spans="1:8" x14ac:dyDescent="0.3">
      <c r="A2155">
        <v>2019</v>
      </c>
      <c r="B2155" t="s">
        <v>38</v>
      </c>
      <c r="C2155" t="s">
        <v>133</v>
      </c>
      <c r="D2155" s="1" t="s">
        <v>14</v>
      </c>
      <c r="E2155">
        <v>156.4</v>
      </c>
      <c r="F2155">
        <v>155.5</v>
      </c>
      <c r="G2155">
        <v>154.5</v>
      </c>
      <c r="H2155" s="1" t="s">
        <v>188</v>
      </c>
    </row>
    <row r="2156" spans="1:8" x14ac:dyDescent="0.3">
      <c r="A2156">
        <v>2019</v>
      </c>
      <c r="B2156" t="s">
        <v>38</v>
      </c>
      <c r="C2156" t="s">
        <v>133</v>
      </c>
      <c r="D2156" s="1" t="s">
        <v>10</v>
      </c>
      <c r="E2156">
        <v>125.1</v>
      </c>
      <c r="F2156">
        <v>124.9</v>
      </c>
      <c r="G2156">
        <v>124.4</v>
      </c>
      <c r="H2156" s="1" t="s">
        <v>188</v>
      </c>
    </row>
    <row r="2157" spans="1:8" x14ac:dyDescent="0.3">
      <c r="A2157">
        <v>2019</v>
      </c>
      <c r="B2157" t="s">
        <v>38</v>
      </c>
      <c r="C2157" t="s">
        <v>133</v>
      </c>
      <c r="D2157" s="1" t="s">
        <v>25</v>
      </c>
      <c r="E2157">
        <v>145.9</v>
      </c>
      <c r="F2157">
        <v>139.19999999999999</v>
      </c>
      <c r="G2157">
        <v>134</v>
      </c>
      <c r="H2157" s="1" t="s">
        <v>195</v>
      </c>
    </row>
    <row r="2158" spans="1:8" x14ac:dyDescent="0.3">
      <c r="A2158">
        <v>2019</v>
      </c>
      <c r="B2158" t="s">
        <v>38</v>
      </c>
      <c r="C2158" t="s">
        <v>133</v>
      </c>
      <c r="D2158" s="1" t="s">
        <v>12</v>
      </c>
      <c r="E2158">
        <v>139.30000000000001</v>
      </c>
      <c r="F2158">
        <v>139.9</v>
      </c>
      <c r="G2158">
        <v>141</v>
      </c>
      <c r="H2158" s="1" t="s">
        <v>188</v>
      </c>
    </row>
    <row r="2159" spans="1:8" x14ac:dyDescent="0.3">
      <c r="A2159">
        <v>2019</v>
      </c>
      <c r="B2159" t="s">
        <v>38</v>
      </c>
      <c r="C2159" t="s">
        <v>133</v>
      </c>
      <c r="D2159" s="1" t="s">
        <v>11</v>
      </c>
      <c r="E2159">
        <v>109.3</v>
      </c>
      <c r="F2159">
        <v>109.9</v>
      </c>
      <c r="G2159">
        <v>111.2</v>
      </c>
      <c r="H2159" s="1" t="s">
        <v>188</v>
      </c>
    </row>
    <row r="2160" spans="1:8" x14ac:dyDescent="0.3">
      <c r="A2160">
        <v>2019</v>
      </c>
      <c r="B2160" t="s">
        <v>38</v>
      </c>
      <c r="C2160" t="s">
        <v>133</v>
      </c>
      <c r="D2160" s="1" t="s">
        <v>24</v>
      </c>
      <c r="E2160">
        <v>130.19999999999999</v>
      </c>
      <c r="F2160">
        <v>124.9</v>
      </c>
      <c r="G2160">
        <v>120.1</v>
      </c>
      <c r="H2160" s="1" t="s">
        <v>191</v>
      </c>
    </row>
    <row r="2161" spans="1:8" x14ac:dyDescent="0.3">
      <c r="A2161">
        <v>2019</v>
      </c>
      <c r="B2161" t="s">
        <v>38</v>
      </c>
      <c r="C2161" t="s">
        <v>133</v>
      </c>
      <c r="D2161" s="1" t="s">
        <v>9</v>
      </c>
      <c r="E2161">
        <v>133.4</v>
      </c>
      <c r="F2161">
        <v>143</v>
      </c>
      <c r="G2161">
        <v>161.6</v>
      </c>
      <c r="H2161" s="1" t="s">
        <v>188</v>
      </c>
    </row>
    <row r="2162" spans="1:8" x14ac:dyDescent="0.3">
      <c r="A2162">
        <v>2019</v>
      </c>
      <c r="B2162" t="s">
        <v>44</v>
      </c>
      <c r="C2162" t="s">
        <v>134</v>
      </c>
      <c r="D2162" s="1" t="s">
        <v>3</v>
      </c>
      <c r="E2162">
        <v>141.80000000000001</v>
      </c>
      <c r="F2162">
        <v>142.5</v>
      </c>
      <c r="G2162">
        <v>144.1</v>
      </c>
      <c r="H2162" s="1" t="s">
        <v>188</v>
      </c>
    </row>
    <row r="2163" spans="1:8" x14ac:dyDescent="0.3">
      <c r="A2163">
        <v>2019</v>
      </c>
      <c r="B2163" t="s">
        <v>44</v>
      </c>
      <c r="C2163" t="s">
        <v>134</v>
      </c>
      <c r="D2163" s="1" t="s">
        <v>17</v>
      </c>
      <c r="E2163">
        <v>152.30000000000001</v>
      </c>
      <c r="F2163">
        <v>149.9</v>
      </c>
      <c r="G2163">
        <v>146.30000000000001</v>
      </c>
      <c r="H2163" s="1" t="s">
        <v>189</v>
      </c>
    </row>
    <row r="2164" spans="1:8" x14ac:dyDescent="0.3">
      <c r="A2164">
        <v>2019</v>
      </c>
      <c r="B2164" t="s">
        <v>44</v>
      </c>
      <c r="C2164" t="s">
        <v>134</v>
      </c>
      <c r="D2164" s="1" t="s">
        <v>19</v>
      </c>
      <c r="E2164">
        <v>151.5</v>
      </c>
      <c r="F2164">
        <v>148.6</v>
      </c>
      <c r="G2164">
        <v>144.19999999999999</v>
      </c>
      <c r="H2164" s="1" t="s">
        <v>189</v>
      </c>
    </row>
    <row r="2165" spans="1:8" x14ac:dyDescent="0.3">
      <c r="A2165">
        <v>2019</v>
      </c>
      <c r="B2165" t="s">
        <v>44</v>
      </c>
      <c r="C2165" t="s">
        <v>134</v>
      </c>
      <c r="D2165" s="1" t="s">
        <v>26</v>
      </c>
      <c r="E2165">
        <v>160.80000000000001</v>
      </c>
      <c r="F2165">
        <v>155.5</v>
      </c>
      <c r="G2165">
        <v>151.80000000000001</v>
      </c>
      <c r="H2165" s="1" t="s">
        <v>26</v>
      </c>
    </row>
    <row r="2166" spans="1:8" x14ac:dyDescent="0.3">
      <c r="A2166">
        <v>2019</v>
      </c>
      <c r="B2166" t="s">
        <v>44</v>
      </c>
      <c r="C2166" t="s">
        <v>134</v>
      </c>
      <c r="D2166" s="1" t="s">
        <v>5</v>
      </c>
      <c r="E2166">
        <v>143.80000000000001</v>
      </c>
      <c r="F2166">
        <v>145.6</v>
      </c>
      <c r="G2166">
        <v>148.4</v>
      </c>
      <c r="H2166" s="1" t="s">
        <v>188</v>
      </c>
    </row>
    <row r="2167" spans="1:8" x14ac:dyDescent="0.3">
      <c r="A2167">
        <v>2019</v>
      </c>
      <c r="B2167" t="s">
        <v>44</v>
      </c>
      <c r="C2167" t="s">
        <v>134</v>
      </c>
      <c r="D2167" s="1" t="s">
        <v>15</v>
      </c>
      <c r="E2167">
        <v>150.9</v>
      </c>
      <c r="F2167">
        <v>151.9</v>
      </c>
      <c r="G2167">
        <v>153.6</v>
      </c>
      <c r="H2167" s="1" t="s">
        <v>188</v>
      </c>
    </row>
    <row r="2168" spans="1:8" x14ac:dyDescent="0.3">
      <c r="A2168">
        <v>2019</v>
      </c>
      <c r="B2168" t="s">
        <v>44</v>
      </c>
      <c r="C2168" t="s">
        <v>134</v>
      </c>
      <c r="D2168" s="1" t="s">
        <v>18</v>
      </c>
      <c r="E2168">
        <v>147</v>
      </c>
      <c r="F2168">
        <v>141</v>
      </c>
      <c r="G2168">
        <v>132.6</v>
      </c>
      <c r="H2168" s="1" t="s">
        <v>189</v>
      </c>
    </row>
    <row r="2169" spans="1:8" x14ac:dyDescent="0.3">
      <c r="A2169">
        <v>2019</v>
      </c>
      <c r="B2169" t="s">
        <v>44</v>
      </c>
      <c r="C2169" t="s">
        <v>134</v>
      </c>
      <c r="D2169" s="1" t="s">
        <v>8</v>
      </c>
      <c r="E2169">
        <v>146.19999999999999</v>
      </c>
      <c r="F2169">
        <v>147.4</v>
      </c>
      <c r="G2169">
        <v>148.80000000000001</v>
      </c>
      <c r="H2169" s="1" t="s">
        <v>188</v>
      </c>
    </row>
    <row r="2170" spans="1:8" x14ac:dyDescent="0.3">
      <c r="A2170">
        <v>2019</v>
      </c>
      <c r="B2170" t="s">
        <v>44</v>
      </c>
      <c r="C2170" t="s">
        <v>134</v>
      </c>
      <c r="D2170" s="1" t="s">
        <v>21</v>
      </c>
      <c r="E2170">
        <v>148.4</v>
      </c>
      <c r="F2170">
        <v>142.30000000000001</v>
      </c>
      <c r="G2170">
        <v>132.19999999999999</v>
      </c>
      <c r="H2170" s="1" t="s">
        <v>190</v>
      </c>
    </row>
    <row r="2171" spans="1:8" x14ac:dyDescent="0.3">
      <c r="A2171">
        <v>2019</v>
      </c>
      <c r="B2171" t="s">
        <v>44</v>
      </c>
      <c r="C2171" t="s">
        <v>134</v>
      </c>
      <c r="D2171" s="1" t="s">
        <v>29</v>
      </c>
      <c r="E2171">
        <v>149.9</v>
      </c>
      <c r="F2171">
        <v>148.6</v>
      </c>
      <c r="G2171">
        <v>147</v>
      </c>
      <c r="H2171" s="1" t="s">
        <v>206</v>
      </c>
    </row>
    <row r="2172" spans="1:8" x14ac:dyDescent="0.3">
      <c r="A2172">
        <v>2019</v>
      </c>
      <c r="B2172" t="s">
        <v>44</v>
      </c>
      <c r="C2172" t="s">
        <v>134</v>
      </c>
      <c r="D2172" s="1" t="s">
        <v>23</v>
      </c>
      <c r="E2172">
        <v>154.30000000000001</v>
      </c>
      <c r="F2172">
        <v>149.9</v>
      </c>
      <c r="G2172">
        <v>142.80000000000001</v>
      </c>
      <c r="H2172" s="1" t="s">
        <v>23</v>
      </c>
    </row>
    <row r="2173" spans="1:8" x14ac:dyDescent="0.3">
      <c r="A2173">
        <v>2019</v>
      </c>
      <c r="B2173" t="s">
        <v>44</v>
      </c>
      <c r="C2173" t="s">
        <v>134</v>
      </c>
      <c r="D2173" s="1" t="s">
        <v>22</v>
      </c>
      <c r="E2173">
        <v>150.9</v>
      </c>
      <c r="F2173">
        <v>145.30000000000001</v>
      </c>
      <c r="G2173">
        <v>139.1</v>
      </c>
      <c r="H2173" s="1" t="s">
        <v>20</v>
      </c>
    </row>
    <row r="2174" spans="1:8" x14ac:dyDescent="0.3">
      <c r="A2174">
        <v>2019</v>
      </c>
      <c r="B2174" t="s">
        <v>44</v>
      </c>
      <c r="C2174" t="s">
        <v>134</v>
      </c>
      <c r="D2174" s="1" t="s">
        <v>20</v>
      </c>
      <c r="E2174">
        <v>0</v>
      </c>
      <c r="F2174">
        <v>153.5</v>
      </c>
      <c r="G2174">
        <v>153.5</v>
      </c>
      <c r="H2174" s="1" t="s">
        <v>20</v>
      </c>
    </row>
    <row r="2175" spans="1:8" x14ac:dyDescent="0.3">
      <c r="A2175">
        <v>2019</v>
      </c>
      <c r="B2175" t="s">
        <v>44</v>
      </c>
      <c r="C2175" t="s">
        <v>134</v>
      </c>
      <c r="D2175" s="1" t="s">
        <v>4</v>
      </c>
      <c r="E2175">
        <v>163.69999999999999</v>
      </c>
      <c r="F2175">
        <v>163.19999999999999</v>
      </c>
      <c r="G2175">
        <v>162.4</v>
      </c>
      <c r="H2175" s="1" t="s">
        <v>188</v>
      </c>
    </row>
    <row r="2176" spans="1:8" x14ac:dyDescent="0.3">
      <c r="A2176">
        <v>2019</v>
      </c>
      <c r="B2176" t="s">
        <v>44</v>
      </c>
      <c r="C2176" t="s">
        <v>134</v>
      </c>
      <c r="D2176" s="1" t="s">
        <v>6</v>
      </c>
      <c r="E2176">
        <v>147.1</v>
      </c>
      <c r="F2176">
        <v>146.69999999999999</v>
      </c>
      <c r="G2176">
        <v>145.9</v>
      </c>
      <c r="H2176" s="1" t="s">
        <v>188</v>
      </c>
    </row>
    <row r="2177" spans="1:8" x14ac:dyDescent="0.3">
      <c r="A2177">
        <v>2019</v>
      </c>
      <c r="B2177" t="s">
        <v>44</v>
      </c>
      <c r="C2177" t="s">
        <v>134</v>
      </c>
      <c r="D2177" s="1" t="s">
        <v>28</v>
      </c>
      <c r="E2177">
        <v>146.1</v>
      </c>
      <c r="F2177">
        <v>141.30000000000001</v>
      </c>
      <c r="G2177">
        <v>136.30000000000001</v>
      </c>
      <c r="H2177" s="1" t="s">
        <v>192</v>
      </c>
    </row>
    <row r="2178" spans="1:8" x14ac:dyDescent="0.3">
      <c r="A2178">
        <v>2019</v>
      </c>
      <c r="B2178" t="s">
        <v>44</v>
      </c>
      <c r="C2178" t="s">
        <v>134</v>
      </c>
      <c r="D2178" s="1" t="s">
        <v>13</v>
      </c>
      <c r="E2178">
        <v>138.69999999999999</v>
      </c>
      <c r="F2178">
        <v>135.30000000000001</v>
      </c>
      <c r="G2178">
        <v>130.5</v>
      </c>
      <c r="H2178" s="1" t="s">
        <v>188</v>
      </c>
    </row>
    <row r="2179" spans="1:8" x14ac:dyDescent="0.3">
      <c r="A2179">
        <v>2019</v>
      </c>
      <c r="B2179" t="s">
        <v>44</v>
      </c>
      <c r="C2179" t="s">
        <v>134</v>
      </c>
      <c r="D2179" s="1" t="s">
        <v>7</v>
      </c>
      <c r="E2179">
        <v>126</v>
      </c>
      <c r="F2179">
        <v>124.3</v>
      </c>
      <c r="G2179">
        <v>121.5</v>
      </c>
      <c r="H2179" s="1" t="s">
        <v>188</v>
      </c>
    </row>
    <row r="2180" spans="1:8" x14ac:dyDescent="0.3">
      <c r="A2180">
        <v>2019</v>
      </c>
      <c r="B2180" t="s">
        <v>44</v>
      </c>
      <c r="C2180" t="s">
        <v>134</v>
      </c>
      <c r="D2180" s="1" t="s">
        <v>16</v>
      </c>
      <c r="E2180">
        <v>167.2</v>
      </c>
      <c r="F2180">
        <v>167.9</v>
      </c>
      <c r="G2180">
        <v>169.9</v>
      </c>
      <c r="H2180" s="1" t="s">
        <v>192</v>
      </c>
    </row>
    <row r="2181" spans="1:8" x14ac:dyDescent="0.3">
      <c r="A2181">
        <v>2019</v>
      </c>
      <c r="B2181" t="s">
        <v>44</v>
      </c>
      <c r="C2181" t="s">
        <v>134</v>
      </c>
      <c r="D2181" s="1" t="s">
        <v>27</v>
      </c>
      <c r="E2181">
        <v>140.6</v>
      </c>
      <c r="F2181">
        <v>140.30000000000001</v>
      </c>
      <c r="G2181">
        <v>139.80000000000001</v>
      </c>
      <c r="H2181" s="1" t="s">
        <v>192</v>
      </c>
    </row>
    <row r="2182" spans="1:8" x14ac:dyDescent="0.3">
      <c r="A2182">
        <v>2019</v>
      </c>
      <c r="B2182" t="s">
        <v>44</v>
      </c>
      <c r="C2182" t="s">
        <v>134</v>
      </c>
      <c r="D2182" s="1" t="s">
        <v>14</v>
      </c>
      <c r="E2182">
        <v>157.69999999999999</v>
      </c>
      <c r="F2182">
        <v>157.5</v>
      </c>
      <c r="G2182">
        <v>157.19999999999999</v>
      </c>
      <c r="H2182" s="1" t="s">
        <v>188</v>
      </c>
    </row>
    <row r="2183" spans="1:8" x14ac:dyDescent="0.3">
      <c r="A2183">
        <v>2019</v>
      </c>
      <c r="B2183" t="s">
        <v>44</v>
      </c>
      <c r="C2183" t="s">
        <v>134</v>
      </c>
      <c r="D2183" s="1" t="s">
        <v>10</v>
      </c>
      <c r="E2183">
        <v>136.19999999999999</v>
      </c>
      <c r="F2183">
        <v>135.69999999999999</v>
      </c>
      <c r="G2183">
        <v>134.6</v>
      </c>
      <c r="H2183" s="1" t="s">
        <v>188</v>
      </c>
    </row>
    <row r="2184" spans="1:8" x14ac:dyDescent="0.3">
      <c r="A2184">
        <v>2019</v>
      </c>
      <c r="B2184" t="s">
        <v>44</v>
      </c>
      <c r="C2184" t="s">
        <v>134</v>
      </c>
      <c r="D2184" s="1" t="s">
        <v>25</v>
      </c>
      <c r="E2184">
        <v>149.1</v>
      </c>
      <c r="F2184">
        <v>142.1</v>
      </c>
      <c r="G2184">
        <v>136.69999999999999</v>
      </c>
      <c r="H2184" s="1" t="s">
        <v>195</v>
      </c>
    </row>
    <row r="2185" spans="1:8" x14ac:dyDescent="0.3">
      <c r="A2185">
        <v>2019</v>
      </c>
      <c r="B2185" t="s">
        <v>44</v>
      </c>
      <c r="C2185" t="s">
        <v>134</v>
      </c>
      <c r="D2185" s="1" t="s">
        <v>12</v>
      </c>
      <c r="E2185">
        <v>147.30000000000001</v>
      </c>
      <c r="F2185">
        <v>147</v>
      </c>
      <c r="G2185">
        <v>146.30000000000001</v>
      </c>
      <c r="H2185" s="1" t="s">
        <v>188</v>
      </c>
    </row>
    <row r="2186" spans="1:8" x14ac:dyDescent="0.3">
      <c r="A2186">
        <v>2019</v>
      </c>
      <c r="B2186" t="s">
        <v>44</v>
      </c>
      <c r="C2186" t="s">
        <v>134</v>
      </c>
      <c r="D2186" s="1" t="s">
        <v>11</v>
      </c>
      <c r="E2186">
        <v>113.8</v>
      </c>
      <c r="F2186">
        <v>114.2</v>
      </c>
      <c r="G2186">
        <v>115</v>
      </c>
      <c r="H2186" s="1" t="s">
        <v>188</v>
      </c>
    </row>
    <row r="2187" spans="1:8" x14ac:dyDescent="0.3">
      <c r="A2187">
        <v>2019</v>
      </c>
      <c r="B2187" t="s">
        <v>44</v>
      </c>
      <c r="C2187" t="s">
        <v>134</v>
      </c>
      <c r="D2187" s="1" t="s">
        <v>24</v>
      </c>
      <c r="E2187">
        <v>132.1</v>
      </c>
      <c r="F2187">
        <v>126.6</v>
      </c>
      <c r="G2187">
        <v>121.7</v>
      </c>
      <c r="H2187" s="1" t="s">
        <v>191</v>
      </c>
    </row>
    <row r="2188" spans="1:8" x14ac:dyDescent="0.3">
      <c r="A2188">
        <v>2019</v>
      </c>
      <c r="B2188" t="s">
        <v>44</v>
      </c>
      <c r="C2188" t="s">
        <v>134</v>
      </c>
      <c r="D2188" s="1" t="s">
        <v>9</v>
      </c>
      <c r="E2188">
        <v>191.4</v>
      </c>
      <c r="F2188">
        <v>199.6</v>
      </c>
      <c r="G2188">
        <v>215.7</v>
      </c>
      <c r="H2188" s="1" t="s">
        <v>188</v>
      </c>
    </row>
    <row r="2189" spans="1:8" x14ac:dyDescent="0.3">
      <c r="A2189">
        <v>2019</v>
      </c>
      <c r="B2189" t="s">
        <v>43</v>
      </c>
      <c r="C2189" t="s">
        <v>135</v>
      </c>
      <c r="D2189" s="1" t="s">
        <v>3</v>
      </c>
      <c r="E2189">
        <v>141</v>
      </c>
      <c r="F2189">
        <v>141.80000000000001</v>
      </c>
      <c r="G2189">
        <v>143.5</v>
      </c>
      <c r="H2189" s="1" t="s">
        <v>188</v>
      </c>
    </row>
    <row r="2190" spans="1:8" x14ac:dyDescent="0.3">
      <c r="A2190">
        <v>2019</v>
      </c>
      <c r="B2190" t="s">
        <v>43</v>
      </c>
      <c r="C2190" t="s">
        <v>135</v>
      </c>
      <c r="D2190" s="1" t="s">
        <v>17</v>
      </c>
      <c r="E2190">
        <v>151.69999999999999</v>
      </c>
      <c r="F2190">
        <v>149.4</v>
      </c>
      <c r="G2190">
        <v>145.9</v>
      </c>
      <c r="H2190" s="1" t="s">
        <v>189</v>
      </c>
    </row>
    <row r="2191" spans="1:8" x14ac:dyDescent="0.3">
      <c r="A2191">
        <v>2019</v>
      </c>
      <c r="B2191" t="s">
        <v>43</v>
      </c>
      <c r="C2191" t="s">
        <v>135</v>
      </c>
      <c r="D2191" s="1" t="s">
        <v>19</v>
      </c>
      <c r="E2191">
        <v>151</v>
      </c>
      <c r="F2191">
        <v>148.19999999999999</v>
      </c>
      <c r="G2191">
        <v>143.9</v>
      </c>
      <c r="H2191" s="1" t="s">
        <v>189</v>
      </c>
    </row>
    <row r="2192" spans="1:8" x14ac:dyDescent="0.3">
      <c r="A2192">
        <v>2019</v>
      </c>
      <c r="B2192" t="s">
        <v>43</v>
      </c>
      <c r="C2192" t="s">
        <v>135</v>
      </c>
      <c r="D2192" s="1" t="s">
        <v>26</v>
      </c>
      <c r="E2192">
        <v>160.69999999999999</v>
      </c>
      <c r="F2192">
        <v>155.4</v>
      </c>
      <c r="G2192">
        <v>151.69999999999999</v>
      </c>
      <c r="H2192" s="1" t="s">
        <v>26</v>
      </c>
    </row>
    <row r="2193" spans="1:8" x14ac:dyDescent="0.3">
      <c r="A2193">
        <v>2019</v>
      </c>
      <c r="B2193" t="s">
        <v>43</v>
      </c>
      <c r="C2193" t="s">
        <v>135</v>
      </c>
      <c r="D2193" s="1" t="s">
        <v>5</v>
      </c>
      <c r="E2193">
        <v>141.19999999999999</v>
      </c>
      <c r="F2193">
        <v>142.6</v>
      </c>
      <c r="G2193">
        <v>144.69999999999999</v>
      </c>
      <c r="H2193" s="1" t="s">
        <v>188</v>
      </c>
    </row>
    <row r="2194" spans="1:8" x14ac:dyDescent="0.3">
      <c r="A2194">
        <v>2019</v>
      </c>
      <c r="B2194" t="s">
        <v>43</v>
      </c>
      <c r="C2194" t="s">
        <v>135</v>
      </c>
      <c r="D2194" s="1" t="s">
        <v>15</v>
      </c>
      <c r="E2194">
        <v>148.30000000000001</v>
      </c>
      <c r="F2194">
        <v>149.6</v>
      </c>
      <c r="G2194">
        <v>151.9</v>
      </c>
      <c r="H2194" s="1" t="s">
        <v>188</v>
      </c>
    </row>
    <row r="2195" spans="1:8" x14ac:dyDescent="0.3">
      <c r="A2195">
        <v>2019</v>
      </c>
      <c r="B2195" t="s">
        <v>43</v>
      </c>
      <c r="C2195" t="s">
        <v>135</v>
      </c>
      <c r="D2195" s="1" t="s">
        <v>18</v>
      </c>
      <c r="E2195">
        <v>146.69999999999999</v>
      </c>
      <c r="F2195">
        <v>140.80000000000001</v>
      </c>
      <c r="G2195">
        <v>132.4</v>
      </c>
      <c r="H2195" s="1" t="s">
        <v>189</v>
      </c>
    </row>
    <row r="2196" spans="1:8" x14ac:dyDescent="0.3">
      <c r="A2196">
        <v>2019</v>
      </c>
      <c r="B2196" t="s">
        <v>43</v>
      </c>
      <c r="C2196" t="s">
        <v>135</v>
      </c>
      <c r="D2196" s="1" t="s">
        <v>8</v>
      </c>
      <c r="E2196">
        <v>145.69999999999999</v>
      </c>
      <c r="F2196">
        <v>148</v>
      </c>
      <c r="G2196">
        <v>150.6</v>
      </c>
      <c r="H2196" s="1" t="s">
        <v>188</v>
      </c>
    </row>
    <row r="2197" spans="1:8" x14ac:dyDescent="0.3">
      <c r="A2197">
        <v>2019</v>
      </c>
      <c r="B2197" t="s">
        <v>43</v>
      </c>
      <c r="C2197" t="s">
        <v>135</v>
      </c>
      <c r="D2197" s="1" t="s">
        <v>21</v>
      </c>
      <c r="E2197">
        <v>147.69999999999999</v>
      </c>
      <c r="F2197">
        <v>140.6</v>
      </c>
      <c r="G2197">
        <v>128.9</v>
      </c>
      <c r="H2197" s="1" t="s">
        <v>190</v>
      </c>
    </row>
    <row r="2198" spans="1:8" x14ac:dyDescent="0.3">
      <c r="A2198">
        <v>2019</v>
      </c>
      <c r="B2198" t="s">
        <v>43</v>
      </c>
      <c r="C2198" t="s">
        <v>135</v>
      </c>
      <c r="D2198" s="1" t="s">
        <v>29</v>
      </c>
      <c r="E2198">
        <v>148.30000000000001</v>
      </c>
      <c r="F2198">
        <v>147.19999999999999</v>
      </c>
      <c r="G2198">
        <v>146</v>
      </c>
      <c r="H2198" s="1" t="s">
        <v>206</v>
      </c>
    </row>
    <row r="2199" spans="1:8" x14ac:dyDescent="0.3">
      <c r="A2199">
        <v>2019</v>
      </c>
      <c r="B2199" t="s">
        <v>43</v>
      </c>
      <c r="C2199" t="s">
        <v>135</v>
      </c>
      <c r="D2199" s="1" t="s">
        <v>23</v>
      </c>
      <c r="E2199">
        <v>153.69999999999999</v>
      </c>
      <c r="F2199">
        <v>149.4</v>
      </c>
      <c r="G2199">
        <v>142.4</v>
      </c>
      <c r="H2199" s="1" t="s">
        <v>23</v>
      </c>
    </row>
    <row r="2200" spans="1:8" x14ac:dyDescent="0.3">
      <c r="A2200">
        <v>2019</v>
      </c>
      <c r="B2200" t="s">
        <v>43</v>
      </c>
      <c r="C2200" t="s">
        <v>135</v>
      </c>
      <c r="D2200" s="1" t="s">
        <v>22</v>
      </c>
      <c r="E2200">
        <v>150.6</v>
      </c>
      <c r="F2200">
        <v>145</v>
      </c>
      <c r="G2200">
        <v>138.69999999999999</v>
      </c>
      <c r="H2200" s="1" t="s">
        <v>20</v>
      </c>
    </row>
    <row r="2201" spans="1:8" x14ac:dyDescent="0.3">
      <c r="A2201">
        <v>2019</v>
      </c>
      <c r="B2201" t="s">
        <v>43</v>
      </c>
      <c r="C2201" t="s">
        <v>135</v>
      </c>
      <c r="D2201" s="1" t="s">
        <v>20</v>
      </c>
      <c r="E2201">
        <v>0</v>
      </c>
      <c r="F2201">
        <v>153</v>
      </c>
      <c r="G2201">
        <v>153</v>
      </c>
      <c r="H2201" s="1" t="s">
        <v>20</v>
      </c>
    </row>
    <row r="2202" spans="1:8" x14ac:dyDescent="0.3">
      <c r="A2202">
        <v>2019</v>
      </c>
      <c r="B2202" t="s">
        <v>43</v>
      </c>
      <c r="C2202" t="s">
        <v>135</v>
      </c>
      <c r="D2202" s="1" t="s">
        <v>4</v>
      </c>
      <c r="E2202">
        <v>161.6</v>
      </c>
      <c r="F2202">
        <v>161</v>
      </c>
      <c r="G2202">
        <v>159.80000000000001</v>
      </c>
      <c r="H2202" s="1" t="s">
        <v>188</v>
      </c>
    </row>
    <row r="2203" spans="1:8" x14ac:dyDescent="0.3">
      <c r="A2203">
        <v>2019</v>
      </c>
      <c r="B2203" t="s">
        <v>43</v>
      </c>
      <c r="C2203" t="s">
        <v>135</v>
      </c>
      <c r="D2203" s="1" t="s">
        <v>6</v>
      </c>
      <c r="E2203">
        <v>146.5</v>
      </c>
      <c r="F2203">
        <v>146.19999999999999</v>
      </c>
      <c r="G2203">
        <v>145.6</v>
      </c>
      <c r="H2203" s="1" t="s">
        <v>188</v>
      </c>
    </row>
    <row r="2204" spans="1:8" x14ac:dyDescent="0.3">
      <c r="A2204">
        <v>2019</v>
      </c>
      <c r="B2204" t="s">
        <v>43</v>
      </c>
      <c r="C2204" t="s">
        <v>135</v>
      </c>
      <c r="D2204" s="1" t="s">
        <v>28</v>
      </c>
      <c r="E2204">
        <v>145.69999999999999</v>
      </c>
      <c r="F2204">
        <v>141</v>
      </c>
      <c r="G2204">
        <v>136</v>
      </c>
      <c r="H2204" s="1" t="s">
        <v>192</v>
      </c>
    </row>
    <row r="2205" spans="1:8" x14ac:dyDescent="0.3">
      <c r="A2205">
        <v>2019</v>
      </c>
      <c r="B2205" t="s">
        <v>43</v>
      </c>
      <c r="C2205" t="s">
        <v>135</v>
      </c>
      <c r="D2205" s="1" t="s">
        <v>13</v>
      </c>
      <c r="E2205">
        <v>138.6</v>
      </c>
      <c r="F2205">
        <v>135.1</v>
      </c>
      <c r="G2205">
        <v>130.19999999999999</v>
      </c>
      <c r="H2205" s="1" t="s">
        <v>188</v>
      </c>
    </row>
    <row r="2206" spans="1:8" x14ac:dyDescent="0.3">
      <c r="A2206">
        <v>2019</v>
      </c>
      <c r="B2206" t="s">
        <v>43</v>
      </c>
      <c r="C2206" t="s">
        <v>135</v>
      </c>
      <c r="D2206" s="1" t="s">
        <v>7</v>
      </c>
      <c r="E2206">
        <v>125.6</v>
      </c>
      <c r="F2206">
        <v>123.9</v>
      </c>
      <c r="G2206">
        <v>121.1</v>
      </c>
      <c r="H2206" s="1" t="s">
        <v>188</v>
      </c>
    </row>
    <row r="2207" spans="1:8" x14ac:dyDescent="0.3">
      <c r="A2207">
        <v>2019</v>
      </c>
      <c r="B2207" t="s">
        <v>43</v>
      </c>
      <c r="C2207" t="s">
        <v>135</v>
      </c>
      <c r="D2207" s="1" t="s">
        <v>16</v>
      </c>
      <c r="E2207">
        <v>166.3</v>
      </c>
      <c r="F2207">
        <v>167.1</v>
      </c>
      <c r="G2207">
        <v>169.3</v>
      </c>
      <c r="H2207" s="1" t="s">
        <v>192</v>
      </c>
    </row>
    <row r="2208" spans="1:8" x14ac:dyDescent="0.3">
      <c r="A2208">
        <v>2019</v>
      </c>
      <c r="B2208" t="s">
        <v>43</v>
      </c>
      <c r="C2208" t="s">
        <v>135</v>
      </c>
      <c r="D2208" s="1" t="s">
        <v>27</v>
      </c>
      <c r="E2208">
        <v>140.30000000000001</v>
      </c>
      <c r="F2208">
        <v>140</v>
      </c>
      <c r="G2208">
        <v>139.5</v>
      </c>
      <c r="H2208" s="1" t="s">
        <v>192</v>
      </c>
    </row>
    <row r="2209" spans="1:8" x14ac:dyDescent="0.3">
      <c r="A2209">
        <v>2019</v>
      </c>
      <c r="B2209" t="s">
        <v>43</v>
      </c>
      <c r="C2209" t="s">
        <v>135</v>
      </c>
      <c r="D2209" s="1" t="s">
        <v>14</v>
      </c>
      <c r="E2209">
        <v>157.4</v>
      </c>
      <c r="F2209">
        <v>157.1</v>
      </c>
      <c r="G2209">
        <v>156.80000000000001</v>
      </c>
      <c r="H2209" s="1" t="s">
        <v>188</v>
      </c>
    </row>
    <row r="2210" spans="1:8" x14ac:dyDescent="0.3">
      <c r="A2210">
        <v>2019</v>
      </c>
      <c r="B2210" t="s">
        <v>43</v>
      </c>
      <c r="C2210" t="s">
        <v>135</v>
      </c>
      <c r="D2210" s="1" t="s">
        <v>10</v>
      </c>
      <c r="E2210">
        <v>133.1</v>
      </c>
      <c r="F2210">
        <v>132.5</v>
      </c>
      <c r="G2210">
        <v>131.19999999999999</v>
      </c>
      <c r="H2210" s="1" t="s">
        <v>188</v>
      </c>
    </row>
    <row r="2211" spans="1:8" x14ac:dyDescent="0.3">
      <c r="A2211">
        <v>2019</v>
      </c>
      <c r="B2211" t="s">
        <v>43</v>
      </c>
      <c r="C2211" t="s">
        <v>135</v>
      </c>
      <c r="D2211" s="1" t="s">
        <v>25</v>
      </c>
      <c r="E2211">
        <v>148.69999999999999</v>
      </c>
      <c r="F2211">
        <v>141.69999999999999</v>
      </c>
      <c r="G2211">
        <v>136.19999999999999</v>
      </c>
      <c r="H2211" s="1" t="s">
        <v>195</v>
      </c>
    </row>
    <row r="2212" spans="1:8" x14ac:dyDescent="0.3">
      <c r="A2212">
        <v>2019</v>
      </c>
      <c r="B2212" t="s">
        <v>43</v>
      </c>
      <c r="C2212" t="s">
        <v>135</v>
      </c>
      <c r="D2212" s="1" t="s">
        <v>12</v>
      </c>
      <c r="E2212">
        <v>145.5</v>
      </c>
      <c r="F2212">
        <v>145.4</v>
      </c>
      <c r="G2212">
        <v>145.19999999999999</v>
      </c>
      <c r="H2212" s="1" t="s">
        <v>188</v>
      </c>
    </row>
    <row r="2213" spans="1:8" x14ac:dyDescent="0.3">
      <c r="A2213">
        <v>2019</v>
      </c>
      <c r="B2213" t="s">
        <v>43</v>
      </c>
      <c r="C2213" t="s">
        <v>135</v>
      </c>
      <c r="D2213" s="1" t="s">
        <v>11</v>
      </c>
      <c r="E2213">
        <v>113.6</v>
      </c>
      <c r="F2213">
        <v>114</v>
      </c>
      <c r="G2213">
        <v>114.8</v>
      </c>
      <c r="H2213" s="1" t="s">
        <v>188</v>
      </c>
    </row>
    <row r="2214" spans="1:8" x14ac:dyDescent="0.3">
      <c r="A2214">
        <v>2019</v>
      </c>
      <c r="B2214" t="s">
        <v>43</v>
      </c>
      <c r="C2214" t="s">
        <v>135</v>
      </c>
      <c r="D2214" s="1" t="s">
        <v>24</v>
      </c>
      <c r="E2214">
        <v>131.69999999999999</v>
      </c>
      <c r="F2214">
        <v>126.3</v>
      </c>
      <c r="G2214">
        <v>121.5</v>
      </c>
      <c r="H2214" s="1" t="s">
        <v>191</v>
      </c>
    </row>
    <row r="2215" spans="1:8" x14ac:dyDescent="0.3">
      <c r="A2215">
        <v>2019</v>
      </c>
      <c r="B2215" t="s">
        <v>43</v>
      </c>
      <c r="C2215" t="s">
        <v>135</v>
      </c>
      <c r="D2215" s="1" t="s">
        <v>9</v>
      </c>
      <c r="E2215">
        <v>178.8</v>
      </c>
      <c r="F2215">
        <v>188.4</v>
      </c>
      <c r="G2215">
        <v>207.2</v>
      </c>
      <c r="H2215" s="1" t="s">
        <v>188</v>
      </c>
    </row>
    <row r="2216" spans="1:8" x14ac:dyDescent="0.3">
      <c r="A2216">
        <v>2019</v>
      </c>
      <c r="B2216" t="s">
        <v>42</v>
      </c>
      <c r="C2216" t="s">
        <v>136</v>
      </c>
      <c r="D2216" s="1" t="s">
        <v>3</v>
      </c>
      <c r="E2216">
        <v>140.1</v>
      </c>
      <c r="F2216">
        <v>140.9</v>
      </c>
      <c r="G2216">
        <v>142.69999999999999</v>
      </c>
      <c r="H2216" s="1" t="s">
        <v>188</v>
      </c>
    </row>
    <row r="2217" spans="1:8" x14ac:dyDescent="0.3">
      <c r="A2217">
        <v>2019</v>
      </c>
      <c r="B2217" t="s">
        <v>42</v>
      </c>
      <c r="C2217" t="s">
        <v>136</v>
      </c>
      <c r="D2217" s="1" t="s">
        <v>17</v>
      </c>
      <c r="E2217">
        <v>151.69999999999999</v>
      </c>
      <c r="F2217">
        <v>149.19999999999999</v>
      </c>
      <c r="G2217">
        <v>145.30000000000001</v>
      </c>
      <c r="H2217" s="1" t="s">
        <v>189</v>
      </c>
    </row>
    <row r="2218" spans="1:8" x14ac:dyDescent="0.3">
      <c r="A2218">
        <v>2019</v>
      </c>
      <c r="B2218" t="s">
        <v>42</v>
      </c>
      <c r="C2218" t="s">
        <v>136</v>
      </c>
      <c r="D2218" s="1" t="s">
        <v>19</v>
      </c>
      <c r="E2218">
        <v>151</v>
      </c>
      <c r="F2218">
        <v>147.9</v>
      </c>
      <c r="G2218">
        <v>143.30000000000001</v>
      </c>
      <c r="H2218" s="1" t="s">
        <v>189</v>
      </c>
    </row>
    <row r="2219" spans="1:8" x14ac:dyDescent="0.3">
      <c r="A2219">
        <v>2019</v>
      </c>
      <c r="B2219" t="s">
        <v>42</v>
      </c>
      <c r="C2219" t="s">
        <v>136</v>
      </c>
      <c r="D2219" s="1" t="s">
        <v>26</v>
      </c>
      <c r="E2219">
        <v>160.19999999999999</v>
      </c>
      <c r="F2219">
        <v>155.19999999999999</v>
      </c>
      <c r="G2219">
        <v>151.6</v>
      </c>
      <c r="H2219" s="1" t="s">
        <v>26</v>
      </c>
    </row>
    <row r="2220" spans="1:8" x14ac:dyDescent="0.3">
      <c r="A2220">
        <v>2019</v>
      </c>
      <c r="B2220" t="s">
        <v>42</v>
      </c>
      <c r="C2220" t="s">
        <v>136</v>
      </c>
      <c r="D2220" s="1" t="s">
        <v>5</v>
      </c>
      <c r="E2220">
        <v>138.30000000000001</v>
      </c>
      <c r="F2220">
        <v>139.6</v>
      </c>
      <c r="G2220">
        <v>141.6</v>
      </c>
      <c r="H2220" s="1" t="s">
        <v>188</v>
      </c>
    </row>
    <row r="2221" spans="1:8" x14ac:dyDescent="0.3">
      <c r="A2221">
        <v>2019</v>
      </c>
      <c r="B2221" t="s">
        <v>42</v>
      </c>
      <c r="C2221" t="s">
        <v>136</v>
      </c>
      <c r="D2221" s="1" t="s">
        <v>15</v>
      </c>
      <c r="E2221">
        <v>145.5</v>
      </c>
      <c r="F2221">
        <v>147</v>
      </c>
      <c r="G2221">
        <v>149.5</v>
      </c>
      <c r="H2221" s="1" t="s">
        <v>188</v>
      </c>
    </row>
    <row r="2222" spans="1:8" x14ac:dyDescent="0.3">
      <c r="A2222">
        <v>2019</v>
      </c>
      <c r="B2222" t="s">
        <v>42</v>
      </c>
      <c r="C2222" t="s">
        <v>136</v>
      </c>
      <c r="D2222" s="1" t="s">
        <v>18</v>
      </c>
      <c r="E2222">
        <v>146.6</v>
      </c>
      <c r="F2222">
        <v>140.6</v>
      </c>
      <c r="G2222">
        <v>132.19999999999999</v>
      </c>
      <c r="H2222" s="1" t="s">
        <v>189</v>
      </c>
    </row>
    <row r="2223" spans="1:8" x14ac:dyDescent="0.3">
      <c r="A2223">
        <v>2019</v>
      </c>
      <c r="B2223" t="s">
        <v>42</v>
      </c>
      <c r="C2223" t="s">
        <v>136</v>
      </c>
      <c r="D2223" s="1" t="s">
        <v>8</v>
      </c>
      <c r="E2223">
        <v>143.80000000000001</v>
      </c>
      <c r="F2223">
        <v>146.6</v>
      </c>
      <c r="G2223">
        <v>149.80000000000001</v>
      </c>
      <c r="H2223" s="1" t="s">
        <v>188</v>
      </c>
    </row>
    <row r="2224" spans="1:8" x14ac:dyDescent="0.3">
      <c r="A2224">
        <v>2019</v>
      </c>
      <c r="B2224" t="s">
        <v>42</v>
      </c>
      <c r="C2224" t="s">
        <v>136</v>
      </c>
      <c r="D2224" s="1" t="s">
        <v>21</v>
      </c>
      <c r="E2224">
        <v>146.9</v>
      </c>
      <c r="F2224">
        <v>139.19999999999999</v>
      </c>
      <c r="G2224">
        <v>126.6</v>
      </c>
      <c r="H2224" s="1" t="s">
        <v>190</v>
      </c>
    </row>
    <row r="2225" spans="1:8" x14ac:dyDescent="0.3">
      <c r="A2225">
        <v>2019</v>
      </c>
      <c r="B2225" t="s">
        <v>42</v>
      </c>
      <c r="C2225" t="s">
        <v>136</v>
      </c>
      <c r="D2225" s="1" t="s">
        <v>29</v>
      </c>
      <c r="E2225">
        <v>146.69999999999999</v>
      </c>
      <c r="F2225">
        <v>145.80000000000001</v>
      </c>
      <c r="G2225">
        <v>144.69999999999999</v>
      </c>
      <c r="H2225" s="1" t="s">
        <v>206</v>
      </c>
    </row>
    <row r="2226" spans="1:8" x14ac:dyDescent="0.3">
      <c r="A2226">
        <v>2019</v>
      </c>
      <c r="B2226" t="s">
        <v>42</v>
      </c>
      <c r="C2226" t="s">
        <v>136</v>
      </c>
      <c r="D2226" s="1" t="s">
        <v>23</v>
      </c>
      <c r="E2226">
        <v>153.4</v>
      </c>
      <c r="F2226">
        <v>149</v>
      </c>
      <c r="G2226">
        <v>141.9</v>
      </c>
      <c r="H2226" s="1" t="s">
        <v>23</v>
      </c>
    </row>
    <row r="2227" spans="1:8" x14ac:dyDescent="0.3">
      <c r="A2227">
        <v>2019</v>
      </c>
      <c r="B2227" t="s">
        <v>42</v>
      </c>
      <c r="C2227" t="s">
        <v>136</v>
      </c>
      <c r="D2227" s="1" t="s">
        <v>22</v>
      </c>
      <c r="E2227">
        <v>150.30000000000001</v>
      </c>
      <c r="F2227">
        <v>144.6</v>
      </c>
      <c r="G2227">
        <v>138.30000000000001</v>
      </c>
      <c r="H2227" s="1" t="s">
        <v>20</v>
      </c>
    </row>
    <row r="2228" spans="1:8" x14ac:dyDescent="0.3">
      <c r="A2228">
        <v>2019</v>
      </c>
      <c r="B2228" t="s">
        <v>42</v>
      </c>
      <c r="C2228" t="s">
        <v>136</v>
      </c>
      <c r="D2228" s="1" t="s">
        <v>20</v>
      </c>
      <c r="E2228">
        <v>0</v>
      </c>
      <c r="F2228">
        <v>152.19999999999999</v>
      </c>
      <c r="G2228">
        <v>152.19999999999999</v>
      </c>
      <c r="H2228" s="1" t="s">
        <v>20</v>
      </c>
    </row>
    <row r="2229" spans="1:8" x14ac:dyDescent="0.3">
      <c r="A2229">
        <v>2019</v>
      </c>
      <c r="B2229" t="s">
        <v>42</v>
      </c>
      <c r="C2229" t="s">
        <v>136</v>
      </c>
      <c r="D2229" s="1" t="s">
        <v>4</v>
      </c>
      <c r="E2229">
        <v>161.9</v>
      </c>
      <c r="F2229">
        <v>160.80000000000001</v>
      </c>
      <c r="G2229">
        <v>158.69999999999999</v>
      </c>
      <c r="H2229" s="1" t="s">
        <v>188</v>
      </c>
    </row>
    <row r="2230" spans="1:8" x14ac:dyDescent="0.3">
      <c r="A2230">
        <v>2019</v>
      </c>
      <c r="B2230" t="s">
        <v>42</v>
      </c>
      <c r="C2230" t="s">
        <v>136</v>
      </c>
      <c r="D2230" s="1" t="s">
        <v>6</v>
      </c>
      <c r="E2230">
        <v>145.69999999999999</v>
      </c>
      <c r="F2230">
        <v>145.4</v>
      </c>
      <c r="G2230">
        <v>144.9</v>
      </c>
      <c r="H2230" s="1" t="s">
        <v>188</v>
      </c>
    </row>
    <row r="2231" spans="1:8" x14ac:dyDescent="0.3">
      <c r="A2231">
        <v>2019</v>
      </c>
      <c r="B2231" t="s">
        <v>42</v>
      </c>
      <c r="C2231" t="s">
        <v>136</v>
      </c>
      <c r="D2231" s="1" t="s">
        <v>28</v>
      </c>
      <c r="E2231">
        <v>145.4</v>
      </c>
      <c r="F2231">
        <v>140.69999999999999</v>
      </c>
      <c r="G2231">
        <v>135.69999999999999</v>
      </c>
      <c r="H2231" s="1" t="s">
        <v>192</v>
      </c>
    </row>
    <row r="2232" spans="1:8" x14ac:dyDescent="0.3">
      <c r="A2232">
        <v>2019</v>
      </c>
      <c r="B2232" t="s">
        <v>42</v>
      </c>
      <c r="C2232" t="s">
        <v>136</v>
      </c>
      <c r="D2232" s="1" t="s">
        <v>13</v>
      </c>
      <c r="E2232">
        <v>138.5</v>
      </c>
      <c r="F2232">
        <v>135</v>
      </c>
      <c r="G2232">
        <v>130</v>
      </c>
      <c r="H2232" s="1" t="s">
        <v>188</v>
      </c>
    </row>
    <row r="2233" spans="1:8" x14ac:dyDescent="0.3">
      <c r="A2233">
        <v>2019</v>
      </c>
      <c r="B2233" t="s">
        <v>42</v>
      </c>
      <c r="C2233" t="s">
        <v>136</v>
      </c>
      <c r="D2233" s="1" t="s">
        <v>7</v>
      </c>
      <c r="E2233">
        <v>125.1</v>
      </c>
      <c r="F2233">
        <v>123.5</v>
      </c>
      <c r="G2233">
        <v>120.8</v>
      </c>
      <c r="H2233" s="1" t="s">
        <v>188</v>
      </c>
    </row>
    <row r="2234" spans="1:8" x14ac:dyDescent="0.3">
      <c r="A2234">
        <v>2019</v>
      </c>
      <c r="B2234" t="s">
        <v>42</v>
      </c>
      <c r="C2234" t="s">
        <v>136</v>
      </c>
      <c r="D2234" s="1" t="s">
        <v>16</v>
      </c>
      <c r="E2234">
        <v>165.7</v>
      </c>
      <c r="F2234">
        <v>166.5</v>
      </c>
      <c r="G2234">
        <v>168.6</v>
      </c>
      <c r="H2234" s="1" t="s">
        <v>192</v>
      </c>
    </row>
    <row r="2235" spans="1:8" x14ac:dyDescent="0.3">
      <c r="A2235">
        <v>2019</v>
      </c>
      <c r="B2235" t="s">
        <v>42</v>
      </c>
      <c r="C2235" t="s">
        <v>136</v>
      </c>
      <c r="D2235" s="1" t="s">
        <v>27</v>
      </c>
      <c r="E2235">
        <v>140.19999999999999</v>
      </c>
      <c r="F2235">
        <v>139.69999999999999</v>
      </c>
      <c r="G2235">
        <v>139</v>
      </c>
      <c r="H2235" s="1" t="s">
        <v>192</v>
      </c>
    </row>
    <row r="2236" spans="1:8" x14ac:dyDescent="0.3">
      <c r="A2236">
        <v>2019</v>
      </c>
      <c r="B2236" t="s">
        <v>42</v>
      </c>
      <c r="C2236" t="s">
        <v>136</v>
      </c>
      <c r="D2236" s="1" t="s">
        <v>14</v>
      </c>
      <c r="E2236">
        <v>157.19999999999999</v>
      </c>
      <c r="F2236">
        <v>156.80000000000001</v>
      </c>
      <c r="G2236">
        <v>156.4</v>
      </c>
      <c r="H2236" s="1" t="s">
        <v>188</v>
      </c>
    </row>
    <row r="2237" spans="1:8" x14ac:dyDescent="0.3">
      <c r="A2237">
        <v>2019</v>
      </c>
      <c r="B2237" t="s">
        <v>42</v>
      </c>
      <c r="C2237" t="s">
        <v>136</v>
      </c>
      <c r="D2237" s="1" t="s">
        <v>10</v>
      </c>
      <c r="E2237">
        <v>132.19999999999999</v>
      </c>
      <c r="F2237">
        <v>131.6</v>
      </c>
      <c r="G2237">
        <v>130.30000000000001</v>
      </c>
      <c r="H2237" s="1" t="s">
        <v>188</v>
      </c>
    </row>
    <row r="2238" spans="1:8" x14ac:dyDescent="0.3">
      <c r="A2238">
        <v>2019</v>
      </c>
      <c r="B2238" t="s">
        <v>42</v>
      </c>
      <c r="C2238" t="s">
        <v>136</v>
      </c>
      <c r="D2238" s="1" t="s">
        <v>25</v>
      </c>
      <c r="E2238">
        <v>148.30000000000001</v>
      </c>
      <c r="F2238">
        <v>141.30000000000001</v>
      </c>
      <c r="G2238">
        <v>135.9</v>
      </c>
      <c r="H2238" s="1" t="s">
        <v>195</v>
      </c>
    </row>
    <row r="2239" spans="1:8" x14ac:dyDescent="0.3">
      <c r="A2239">
        <v>2019</v>
      </c>
      <c r="B2239" t="s">
        <v>42</v>
      </c>
      <c r="C2239" t="s">
        <v>136</v>
      </c>
      <c r="D2239" s="1" t="s">
        <v>12</v>
      </c>
      <c r="E2239">
        <v>144.19999999999999</v>
      </c>
      <c r="F2239">
        <v>144.1</v>
      </c>
      <c r="G2239">
        <v>143.80000000000001</v>
      </c>
      <c r="H2239" s="1" t="s">
        <v>188</v>
      </c>
    </row>
    <row r="2240" spans="1:8" x14ac:dyDescent="0.3">
      <c r="A2240">
        <v>2019</v>
      </c>
      <c r="B2240" t="s">
        <v>42</v>
      </c>
      <c r="C2240" t="s">
        <v>136</v>
      </c>
      <c r="D2240" s="1" t="s">
        <v>11</v>
      </c>
      <c r="E2240">
        <v>112.8</v>
      </c>
      <c r="F2240">
        <v>113.2</v>
      </c>
      <c r="G2240">
        <v>114</v>
      </c>
      <c r="H2240" s="1" t="s">
        <v>188</v>
      </c>
    </row>
    <row r="2241" spans="1:8" x14ac:dyDescent="0.3">
      <c r="A2241">
        <v>2019</v>
      </c>
      <c r="B2241" t="s">
        <v>42</v>
      </c>
      <c r="C2241" t="s">
        <v>136</v>
      </c>
      <c r="D2241" s="1" t="s">
        <v>24</v>
      </c>
      <c r="E2241">
        <v>131.6</v>
      </c>
      <c r="F2241">
        <v>126.1</v>
      </c>
      <c r="G2241">
        <v>121.2</v>
      </c>
      <c r="H2241" s="1" t="s">
        <v>191</v>
      </c>
    </row>
    <row r="2242" spans="1:8" x14ac:dyDescent="0.3">
      <c r="A2242">
        <v>2019</v>
      </c>
      <c r="B2242" t="s">
        <v>42</v>
      </c>
      <c r="C2242" t="s">
        <v>136</v>
      </c>
      <c r="D2242" s="1" t="s">
        <v>9</v>
      </c>
      <c r="E2242">
        <v>163.4</v>
      </c>
      <c r="F2242">
        <v>173.2</v>
      </c>
      <c r="G2242">
        <v>192.4</v>
      </c>
      <c r="H2242" s="1" t="s">
        <v>188</v>
      </c>
    </row>
    <row r="2243" spans="1:8" x14ac:dyDescent="0.3">
      <c r="A2243">
        <v>2020</v>
      </c>
      <c r="B2243" t="s">
        <v>37</v>
      </c>
      <c r="C2243" t="s">
        <v>51</v>
      </c>
      <c r="D2243" s="1" t="s">
        <v>3</v>
      </c>
      <c r="E2243">
        <v>147.19999999999999</v>
      </c>
      <c r="F2243">
        <v>148.69999999999999</v>
      </c>
      <c r="G2243">
        <v>151.80000000000001</v>
      </c>
      <c r="H2243" s="1" t="s">
        <v>188</v>
      </c>
    </row>
    <row r="2244" spans="1:8" x14ac:dyDescent="0.3">
      <c r="A2244">
        <v>2020</v>
      </c>
      <c r="B2244" t="s">
        <v>37</v>
      </c>
      <c r="C2244" t="s">
        <v>51</v>
      </c>
      <c r="D2244" s="1" t="s">
        <v>17</v>
      </c>
      <c r="E2244">
        <f>VLOOKUP(CPI_Inflation_Data_Structured[[#This Row],[Attribute]],'Moving Average'!$A$4:$D$32,2,0)</f>
        <v>153.06666666666669</v>
      </c>
      <c r="F2244">
        <f>VLOOKUP(CPI_Inflation_Data_Structured[[#This Row],[Attribute]],'Moving Average'!$A$4:$D$32,3,0)</f>
        <v>150.83333333333334</v>
      </c>
      <c r="G2244">
        <f>VLOOKUP(CPI_Inflation_Data_Structured[[#This Row],[Attribute]],'Moving Average'!$A$4:$D$32,4,0)</f>
        <v>147.33333333333334</v>
      </c>
      <c r="H2244" s="1" t="s">
        <v>189</v>
      </c>
    </row>
    <row r="2245" spans="1:8" x14ac:dyDescent="0.3">
      <c r="A2245">
        <v>2020</v>
      </c>
      <c r="B2245" t="s">
        <v>37</v>
      </c>
      <c r="C2245" t="s">
        <v>51</v>
      </c>
      <c r="D2245" s="1" t="s">
        <v>19</v>
      </c>
      <c r="E2245">
        <f>VLOOKUP(CPI_Inflation_Data_Structured[[#This Row],[Attribute]],'Moving Average'!$A$4:$D$32,2,0)</f>
        <v>152.30000000000001</v>
      </c>
      <c r="F2245">
        <f>VLOOKUP(CPI_Inflation_Data_Structured[[#This Row],[Attribute]],'Moving Average'!$A$4:$D$32,3,0)</f>
        <v>149.5</v>
      </c>
      <c r="G2245">
        <f>VLOOKUP(CPI_Inflation_Data_Structured[[#This Row],[Attribute]],'Moving Average'!$A$4:$D$32,4,0)</f>
        <v>145.23333333333332</v>
      </c>
      <c r="H2245" s="1" t="s">
        <v>189</v>
      </c>
    </row>
    <row r="2246" spans="1:8" x14ac:dyDescent="0.3">
      <c r="A2246">
        <v>2020</v>
      </c>
      <c r="B2246" t="s">
        <v>37</v>
      </c>
      <c r="C2246" t="s">
        <v>51</v>
      </c>
      <c r="D2246" s="1" t="s">
        <v>26</v>
      </c>
      <c r="E2246">
        <f>VLOOKUP(CPI_Inflation_Data_Structured[[#This Row],[Attribute]],'Moving Average'!$A$4:$D$32,2,0)</f>
        <v>161.6</v>
      </c>
      <c r="F2246">
        <f>VLOOKUP(CPI_Inflation_Data_Structured[[#This Row],[Attribute]],'Moving Average'!$A$4:$D$32,3,0)</f>
        <v>156.13333333333333</v>
      </c>
      <c r="G2246">
        <f>VLOOKUP(CPI_Inflation_Data_Structured[[#This Row],[Attribute]],'Moving Average'!$A$4:$D$32,4,0)</f>
        <v>152.26666666666668</v>
      </c>
      <c r="H2246" s="1" t="s">
        <v>26</v>
      </c>
    </row>
    <row r="2247" spans="1:8" x14ac:dyDescent="0.3">
      <c r="A2247">
        <v>2020</v>
      </c>
      <c r="B2247" t="s">
        <v>37</v>
      </c>
      <c r="C2247" t="s">
        <v>51</v>
      </c>
      <c r="D2247" s="1" t="s">
        <v>5</v>
      </c>
      <c r="E2247">
        <v>146.9</v>
      </c>
      <c r="F2247">
        <v>148.80000000000001</v>
      </c>
      <c r="G2247">
        <v>151.9</v>
      </c>
      <c r="H2247" s="1" t="s">
        <v>188</v>
      </c>
    </row>
    <row r="2248" spans="1:8" x14ac:dyDescent="0.3">
      <c r="A2248">
        <v>2020</v>
      </c>
      <c r="B2248" t="s">
        <v>37</v>
      </c>
      <c r="C2248" t="s">
        <v>51</v>
      </c>
      <c r="D2248" s="1" t="s">
        <v>15</v>
      </c>
      <c r="E2248">
        <v>150.1</v>
      </c>
      <c r="F2248">
        <v>151.4</v>
      </c>
      <c r="G2248">
        <v>153.5</v>
      </c>
      <c r="H2248" s="1" t="s">
        <v>188</v>
      </c>
    </row>
    <row r="2249" spans="1:8" x14ac:dyDescent="0.3">
      <c r="A2249">
        <v>2020</v>
      </c>
      <c r="B2249" t="s">
        <v>37</v>
      </c>
      <c r="C2249" t="s">
        <v>51</v>
      </c>
      <c r="D2249" s="1" t="s">
        <v>18</v>
      </c>
      <c r="E2249">
        <f>VLOOKUP(CPI_Inflation_Data_Structured[[#This Row],[Attribute]],'Moving Average'!$A$4:$D$32,2,0)</f>
        <v>147.5</v>
      </c>
      <c r="F2249">
        <f>VLOOKUP(CPI_Inflation_Data_Structured[[#This Row],[Attribute]],'Moving Average'!$A$4:$D$32,3,0)</f>
        <v>141.69999999999999</v>
      </c>
      <c r="G2249">
        <f>VLOOKUP(CPI_Inflation_Data_Structured[[#This Row],[Attribute]],'Moving Average'!$A$4:$D$32,4,0)</f>
        <v>133.5</v>
      </c>
      <c r="H2249" s="1" t="s">
        <v>189</v>
      </c>
    </row>
    <row r="2250" spans="1:8" x14ac:dyDescent="0.3">
      <c r="A2250">
        <v>2020</v>
      </c>
      <c r="B2250" t="s">
        <v>37</v>
      </c>
      <c r="C2250" t="s">
        <v>51</v>
      </c>
      <c r="D2250" s="1" t="s">
        <v>8</v>
      </c>
      <c r="E2250">
        <v>147.30000000000001</v>
      </c>
      <c r="F2250">
        <v>149.9</v>
      </c>
      <c r="G2250">
        <v>152.9</v>
      </c>
      <c r="H2250" s="1" t="s">
        <v>188</v>
      </c>
    </row>
    <row r="2251" spans="1:8" x14ac:dyDescent="0.3">
      <c r="A2251">
        <v>2020</v>
      </c>
      <c r="B2251" t="s">
        <v>37</v>
      </c>
      <c r="C2251" t="s">
        <v>51</v>
      </c>
      <c r="D2251" s="1" t="s">
        <v>21</v>
      </c>
      <c r="E2251">
        <v>148.4</v>
      </c>
      <c r="F2251">
        <v>144.1</v>
      </c>
      <c r="G2251">
        <v>137.1</v>
      </c>
      <c r="H2251" s="1" t="s">
        <v>190</v>
      </c>
    </row>
    <row r="2252" spans="1:8" x14ac:dyDescent="0.3">
      <c r="A2252">
        <v>2020</v>
      </c>
      <c r="B2252" t="s">
        <v>37</v>
      </c>
      <c r="C2252" t="s">
        <v>51</v>
      </c>
      <c r="D2252" s="1" t="s">
        <v>29</v>
      </c>
      <c r="E2252">
        <f>VLOOKUP(CPI_Inflation_Data_Structured[[#This Row],[Attribute]],'Moving Average'!$A$4:$D$32,2,0)</f>
        <v>150.70000000000002</v>
      </c>
      <c r="F2252">
        <f>VLOOKUP(CPI_Inflation_Data_Structured[[#This Row],[Attribute]],'Moving Average'!$A$4:$D$32,3,0)</f>
        <v>149.29999999999998</v>
      </c>
      <c r="G2252">
        <f>VLOOKUP(CPI_Inflation_Data_Structured[[#This Row],[Attribute]],'Moving Average'!$A$4:$D$32,4,0)</f>
        <v>147.73333333333332</v>
      </c>
      <c r="H2252" s="1" t="s">
        <v>206</v>
      </c>
    </row>
    <row r="2253" spans="1:8" x14ac:dyDescent="0.3">
      <c r="A2253">
        <v>2020</v>
      </c>
      <c r="B2253" t="s">
        <v>37</v>
      </c>
      <c r="C2253" t="s">
        <v>51</v>
      </c>
      <c r="D2253" s="1" t="s">
        <v>23</v>
      </c>
      <c r="E2253">
        <v>154.30000000000001</v>
      </c>
      <c r="F2253">
        <v>150.69999999999999</v>
      </c>
      <c r="G2253">
        <v>144.80000000000001</v>
      </c>
      <c r="H2253" s="1" t="s">
        <v>23</v>
      </c>
    </row>
    <row r="2254" spans="1:8" x14ac:dyDescent="0.3">
      <c r="A2254">
        <v>2020</v>
      </c>
      <c r="B2254" t="s">
        <v>37</v>
      </c>
      <c r="C2254" t="s">
        <v>51</v>
      </c>
      <c r="D2254" s="1" t="s">
        <v>22</v>
      </c>
      <c r="E2254">
        <f>VLOOKUP(CPI_Inflation_Data_Structured[[#This Row],[Attribute]],'Moving Average'!$A$4:$D$32,2,0)</f>
        <v>151.66666666666666</v>
      </c>
      <c r="F2254">
        <f>VLOOKUP(CPI_Inflation_Data_Structured[[#This Row],[Attribute]],'Moving Average'!$A$4:$D$32,3,0)</f>
        <v>146.33333333333334</v>
      </c>
      <c r="G2254">
        <f>VLOOKUP(CPI_Inflation_Data_Structured[[#This Row],[Attribute]],'Moving Average'!$A$4:$D$32,4,0)</f>
        <v>140.43333333333331</v>
      </c>
      <c r="H2254" s="1" t="s">
        <v>20</v>
      </c>
    </row>
    <row r="2255" spans="1:8" x14ac:dyDescent="0.3">
      <c r="A2255">
        <v>2020</v>
      </c>
      <c r="B2255" t="s">
        <v>37</v>
      </c>
      <c r="C2255" t="s">
        <v>51</v>
      </c>
      <c r="D2255" s="1" t="s">
        <v>20</v>
      </c>
      <c r="E2255">
        <v>0</v>
      </c>
      <c r="F2255">
        <v>155.6</v>
      </c>
      <c r="G2255">
        <v>155.6</v>
      </c>
      <c r="H2255" s="1" t="s">
        <v>20</v>
      </c>
    </row>
    <row r="2256" spans="1:8" x14ac:dyDescent="0.3">
      <c r="A2256">
        <v>2020</v>
      </c>
      <c r="B2256" t="s">
        <v>37</v>
      </c>
      <c r="C2256" t="s">
        <v>51</v>
      </c>
      <c r="D2256" s="1" t="s">
        <v>4</v>
      </c>
      <c r="E2256">
        <f>VLOOKUP(CPI_Inflation_Data_Structured[[#This Row],[Attribute]],'Moving Average'!$A$4:$D$32,2,0)</f>
        <v>167.20000000000002</v>
      </c>
      <c r="F2256">
        <f>VLOOKUP(CPI_Inflation_Data_Structured[[#This Row],[Attribute]],'Moving Average'!$A$4:$D$32,3,0)</f>
        <v>167.29999999999998</v>
      </c>
      <c r="G2256">
        <f>VLOOKUP(CPI_Inflation_Data_Structured[[#This Row],[Attribute]],'Moving Average'!$A$4:$D$32,4,0)</f>
        <v>167.56666666666669</v>
      </c>
      <c r="H2256" s="1" t="s">
        <v>188</v>
      </c>
    </row>
    <row r="2257" spans="1:8" x14ac:dyDescent="0.3">
      <c r="A2257">
        <v>2020</v>
      </c>
      <c r="B2257" t="s">
        <v>37</v>
      </c>
      <c r="C2257" t="s">
        <v>51</v>
      </c>
      <c r="D2257" s="1" t="s">
        <v>6</v>
      </c>
      <c r="E2257">
        <v>155.6</v>
      </c>
      <c r="F2257">
        <v>155.6</v>
      </c>
      <c r="G2257">
        <v>155.5</v>
      </c>
      <c r="H2257" s="1" t="s">
        <v>188</v>
      </c>
    </row>
    <row r="2258" spans="1:8" x14ac:dyDescent="0.3">
      <c r="A2258">
        <v>2020</v>
      </c>
      <c r="B2258" t="s">
        <v>37</v>
      </c>
      <c r="C2258" t="s">
        <v>51</v>
      </c>
      <c r="D2258" s="1" t="s">
        <v>28</v>
      </c>
      <c r="E2258">
        <f>VLOOKUP(CPI_Inflation_Data_Structured[[#This Row],[Attribute]],'Moving Average'!$A$4:$D$32,2,0)</f>
        <v>148.36666666666667</v>
      </c>
      <c r="F2258">
        <f>VLOOKUP(CPI_Inflation_Data_Structured[[#This Row],[Attribute]],'Moving Average'!$A$4:$D$32,3,0)</f>
        <v>143.60000000000002</v>
      </c>
      <c r="G2258">
        <f>VLOOKUP(CPI_Inflation_Data_Structured[[#This Row],[Attribute]],'Moving Average'!$A$4:$D$32,4,0)</f>
        <v>138.5</v>
      </c>
      <c r="H2258" s="1" t="s">
        <v>192</v>
      </c>
    </row>
    <row r="2259" spans="1:8" x14ac:dyDescent="0.3">
      <c r="A2259">
        <v>2020</v>
      </c>
      <c r="B2259" t="s">
        <v>37</v>
      </c>
      <c r="C2259" t="s">
        <v>51</v>
      </c>
      <c r="D2259" s="1" t="s">
        <v>13</v>
      </c>
      <c r="E2259">
        <v>139.19999999999999</v>
      </c>
      <c r="F2259">
        <v>136.80000000000001</v>
      </c>
      <c r="G2259">
        <v>133.5</v>
      </c>
      <c r="H2259" s="1" t="s">
        <v>188</v>
      </c>
    </row>
    <row r="2260" spans="1:8" x14ac:dyDescent="0.3">
      <c r="A2260">
        <v>2020</v>
      </c>
      <c r="B2260" t="s">
        <v>37</v>
      </c>
      <c r="C2260" t="s">
        <v>51</v>
      </c>
      <c r="D2260" s="1" t="s">
        <v>7</v>
      </c>
      <c r="E2260">
        <v>137.1</v>
      </c>
      <c r="F2260">
        <v>135.1</v>
      </c>
      <c r="G2260">
        <v>131.6</v>
      </c>
      <c r="H2260" s="1" t="s">
        <v>188</v>
      </c>
    </row>
    <row r="2261" spans="1:8" x14ac:dyDescent="0.3">
      <c r="A2261">
        <v>2020</v>
      </c>
      <c r="B2261" t="s">
        <v>37</v>
      </c>
      <c r="C2261" t="s">
        <v>51</v>
      </c>
      <c r="D2261" s="1" t="s">
        <v>16</v>
      </c>
      <c r="E2261">
        <f>VLOOKUP(CPI_Inflation_Data_Structured[[#This Row],[Attribute]],'Moving Average'!$A$4:$D$32,2,0)</f>
        <v>169.5</v>
      </c>
      <c r="F2261">
        <f>VLOOKUP(CPI_Inflation_Data_Structured[[#This Row],[Attribute]],'Moving Average'!$A$4:$D$32,3,0)</f>
        <v>170.16666666666666</v>
      </c>
      <c r="G2261">
        <f>VLOOKUP(CPI_Inflation_Data_Structured[[#This Row],[Attribute]],'Moving Average'!$A$4:$D$32,4,0)</f>
        <v>172.03333333333333</v>
      </c>
      <c r="H2261" s="1" t="s">
        <v>192</v>
      </c>
    </row>
    <row r="2262" spans="1:8" x14ac:dyDescent="0.3">
      <c r="A2262">
        <v>2020</v>
      </c>
      <c r="B2262" t="s">
        <v>37</v>
      </c>
      <c r="C2262" t="s">
        <v>51</v>
      </c>
      <c r="D2262" s="1" t="s">
        <v>27</v>
      </c>
      <c r="E2262">
        <f>VLOOKUP(CPI_Inflation_Data_Structured[[#This Row],[Attribute]],'Moving Average'!$A$4:$D$32,2,0)</f>
        <v>143.66666666666666</v>
      </c>
      <c r="F2262">
        <f>VLOOKUP(CPI_Inflation_Data_Structured[[#This Row],[Attribute]],'Moving Average'!$A$4:$D$32,3,0)</f>
        <v>143.63333333333333</v>
      </c>
      <c r="G2262">
        <f>VLOOKUP(CPI_Inflation_Data_Structured[[#This Row],[Attribute]],'Moving Average'!$A$4:$D$32,4,0)</f>
        <v>143.63333333333333</v>
      </c>
      <c r="H2262" s="1" t="s">
        <v>192</v>
      </c>
    </row>
    <row r="2263" spans="1:8" x14ac:dyDescent="0.3">
      <c r="A2263">
        <v>2020</v>
      </c>
      <c r="B2263" t="s">
        <v>37</v>
      </c>
      <c r="C2263" t="s">
        <v>51</v>
      </c>
      <c r="D2263" s="1" t="s">
        <v>14</v>
      </c>
      <c r="E2263">
        <f>VLOOKUP(CPI_Inflation_Data_Structured[[#This Row],[Attribute]],'Moving Average'!$A$4:$D$32,2,0)</f>
        <v>159.29999999999998</v>
      </c>
      <c r="F2263">
        <f>VLOOKUP(CPI_Inflation_Data_Structured[[#This Row],[Attribute]],'Moving Average'!$A$4:$D$32,3,0)</f>
        <v>159.1</v>
      </c>
      <c r="G2263">
        <f>VLOOKUP(CPI_Inflation_Data_Structured[[#This Row],[Attribute]],'Moving Average'!$A$4:$D$32,4,0)</f>
        <v>158.86666666666667</v>
      </c>
      <c r="H2263" s="1" t="s">
        <v>188</v>
      </c>
    </row>
    <row r="2264" spans="1:8" x14ac:dyDescent="0.3">
      <c r="A2264">
        <v>2020</v>
      </c>
      <c r="B2264" t="s">
        <v>37</v>
      </c>
      <c r="C2264" t="s">
        <v>51</v>
      </c>
      <c r="D2264" s="1" t="s">
        <v>10</v>
      </c>
      <c r="E2264">
        <v>150.19999999999999</v>
      </c>
      <c r="F2264">
        <v>150.4</v>
      </c>
      <c r="G2264">
        <v>150.80000000000001</v>
      </c>
      <c r="H2264" s="1" t="s">
        <v>188</v>
      </c>
    </row>
    <row r="2265" spans="1:8" x14ac:dyDescent="0.3">
      <c r="A2265">
        <v>2020</v>
      </c>
      <c r="B2265" t="s">
        <v>37</v>
      </c>
      <c r="C2265" t="s">
        <v>51</v>
      </c>
      <c r="D2265" s="1" t="s">
        <v>25</v>
      </c>
      <c r="E2265">
        <f>VLOOKUP(CPI_Inflation_Data_Structured[[#This Row],[Attribute]],'Moving Average'!$A$4:$D$32,2,0)</f>
        <v>150.56666666666663</v>
      </c>
      <c r="F2265">
        <f>VLOOKUP(CPI_Inflation_Data_Structured[[#This Row],[Attribute]],'Moving Average'!$A$4:$D$32,3,0)</f>
        <v>143.23333333333332</v>
      </c>
      <c r="G2265">
        <f>VLOOKUP(CPI_Inflation_Data_Structured[[#This Row],[Attribute]],'Moving Average'!$A$4:$D$32,4,0)</f>
        <v>137.6</v>
      </c>
      <c r="H2265" s="1" t="s">
        <v>195</v>
      </c>
    </row>
    <row r="2266" spans="1:8" x14ac:dyDescent="0.3">
      <c r="A2266">
        <v>2020</v>
      </c>
      <c r="B2266" t="s">
        <v>37</v>
      </c>
      <c r="C2266" t="s">
        <v>51</v>
      </c>
      <c r="D2266" s="1" t="s">
        <v>12</v>
      </c>
      <c r="E2266">
        <v>158.69999999999999</v>
      </c>
      <c r="F2266">
        <v>157.1</v>
      </c>
      <c r="G2266">
        <v>154</v>
      </c>
      <c r="H2266" s="1" t="s">
        <v>188</v>
      </c>
    </row>
    <row r="2267" spans="1:8" x14ac:dyDescent="0.3">
      <c r="A2267">
        <v>2020</v>
      </c>
      <c r="B2267" t="s">
        <v>37</v>
      </c>
      <c r="C2267" t="s">
        <v>51</v>
      </c>
      <c r="D2267" s="1" t="s">
        <v>11</v>
      </c>
      <c r="E2267">
        <v>119.8</v>
      </c>
      <c r="F2267">
        <v>120.3</v>
      </c>
      <c r="G2267">
        <v>121.2</v>
      </c>
      <c r="H2267" s="1" t="s">
        <v>188</v>
      </c>
    </row>
    <row r="2268" spans="1:8" x14ac:dyDescent="0.3">
      <c r="A2268">
        <v>2020</v>
      </c>
      <c r="B2268" t="s">
        <v>37</v>
      </c>
      <c r="C2268" t="s">
        <v>51</v>
      </c>
      <c r="D2268" s="1" t="s">
        <v>24</v>
      </c>
      <c r="E2268">
        <f>VLOOKUP(CPI_Inflation_Data_Structured[[#This Row],[Attribute]],'Moving Average'!$A$4:$D$32,2,0)</f>
        <v>136.03333333333333</v>
      </c>
      <c r="F2268">
        <f>VLOOKUP(CPI_Inflation_Data_Structured[[#This Row],[Attribute]],'Moving Average'!$A$4:$D$32,3,0)</f>
        <v>130.36666666666667</v>
      </c>
      <c r="G2268">
        <f>VLOOKUP(CPI_Inflation_Data_Structured[[#This Row],[Attribute]],'Moving Average'!$A$4:$D$32,4,0)</f>
        <v>125.3</v>
      </c>
      <c r="H2268" s="1" t="s">
        <v>191</v>
      </c>
    </row>
    <row r="2269" spans="1:8" x14ac:dyDescent="0.3">
      <c r="A2269">
        <v>2020</v>
      </c>
      <c r="B2269" t="s">
        <v>37</v>
      </c>
      <c r="C2269" t="s">
        <v>51</v>
      </c>
      <c r="D2269" s="1" t="s">
        <v>9</v>
      </c>
      <c r="E2269">
        <v>162.69999999999999</v>
      </c>
      <c r="F2269">
        <v>168.6</v>
      </c>
      <c r="G2269">
        <v>180</v>
      </c>
      <c r="H2269" s="1" t="s">
        <v>188</v>
      </c>
    </row>
    <row r="2270" spans="1:8" x14ac:dyDescent="0.3">
      <c r="A2270">
        <v>2020</v>
      </c>
      <c r="B2270" t="s">
        <v>41</v>
      </c>
      <c r="C2270" t="s">
        <v>137</v>
      </c>
      <c r="D2270" s="1" t="s">
        <v>3</v>
      </c>
      <c r="E2270">
        <v>147.6</v>
      </c>
      <c r="F2270">
        <v>148.9</v>
      </c>
      <c r="G2270">
        <v>151.6</v>
      </c>
      <c r="H2270" s="1" t="s">
        <v>188</v>
      </c>
    </row>
    <row r="2271" spans="1:8" x14ac:dyDescent="0.3">
      <c r="A2271">
        <v>2020</v>
      </c>
      <c r="B2271" t="s">
        <v>41</v>
      </c>
      <c r="C2271" t="s">
        <v>137</v>
      </c>
      <c r="D2271" s="1" t="s">
        <v>17</v>
      </c>
      <c r="E2271">
        <v>155.1</v>
      </c>
      <c r="F2271">
        <v>153.1</v>
      </c>
      <c r="G2271">
        <v>150</v>
      </c>
      <c r="H2271" s="1" t="s">
        <v>189</v>
      </c>
    </row>
    <row r="2272" spans="1:8" x14ac:dyDescent="0.3">
      <c r="A2272">
        <v>2020</v>
      </c>
      <c r="B2272" t="s">
        <v>41</v>
      </c>
      <c r="C2272" t="s">
        <v>137</v>
      </c>
      <c r="D2272" s="1" t="s">
        <v>19</v>
      </c>
      <c r="E2272">
        <v>154.30000000000001</v>
      </c>
      <c r="F2272">
        <v>151.69999999999999</v>
      </c>
      <c r="G2272">
        <v>147.80000000000001</v>
      </c>
      <c r="H2272" s="1" t="s">
        <v>189</v>
      </c>
    </row>
    <row r="2273" spans="1:8" x14ac:dyDescent="0.3">
      <c r="A2273">
        <v>2020</v>
      </c>
      <c r="B2273" t="s">
        <v>41</v>
      </c>
      <c r="C2273" t="s">
        <v>137</v>
      </c>
      <c r="D2273" s="1" t="s">
        <v>26</v>
      </c>
      <c r="E2273">
        <v>162.69999999999999</v>
      </c>
      <c r="F2273">
        <v>158.5</v>
      </c>
      <c r="G2273">
        <v>155.5</v>
      </c>
      <c r="H2273" s="1" t="s">
        <v>26</v>
      </c>
    </row>
    <row r="2274" spans="1:8" x14ac:dyDescent="0.3">
      <c r="A2274">
        <v>2020</v>
      </c>
      <c r="B2274" t="s">
        <v>41</v>
      </c>
      <c r="C2274" t="s">
        <v>137</v>
      </c>
      <c r="D2274" s="1" t="s">
        <v>5</v>
      </c>
      <c r="E2274">
        <v>148.4</v>
      </c>
      <c r="F2274">
        <v>150.80000000000001</v>
      </c>
      <c r="G2274">
        <v>154.5</v>
      </c>
      <c r="H2274" s="1" t="s">
        <v>188</v>
      </c>
    </row>
    <row r="2275" spans="1:8" x14ac:dyDescent="0.3">
      <c r="A2275">
        <v>2020</v>
      </c>
      <c r="B2275" t="s">
        <v>41</v>
      </c>
      <c r="C2275" t="s">
        <v>137</v>
      </c>
      <c r="D2275" s="1" t="s">
        <v>15</v>
      </c>
      <c r="E2275">
        <v>155.30000000000001</v>
      </c>
      <c r="F2275">
        <v>157</v>
      </c>
      <c r="G2275">
        <v>159.9</v>
      </c>
      <c r="H2275" s="1" t="s">
        <v>188</v>
      </c>
    </row>
    <row r="2276" spans="1:8" x14ac:dyDescent="0.3">
      <c r="A2276">
        <v>2020</v>
      </c>
      <c r="B2276" t="s">
        <v>41</v>
      </c>
      <c r="C2276" t="s">
        <v>137</v>
      </c>
      <c r="D2276" s="1" t="s">
        <v>18</v>
      </c>
      <c r="E2276">
        <v>149.30000000000001</v>
      </c>
      <c r="F2276">
        <v>143.4</v>
      </c>
      <c r="G2276">
        <v>135.19999999999999</v>
      </c>
      <c r="H2276" s="1" t="s">
        <v>189</v>
      </c>
    </row>
    <row r="2277" spans="1:8" x14ac:dyDescent="0.3">
      <c r="A2277">
        <v>2020</v>
      </c>
      <c r="B2277" t="s">
        <v>41</v>
      </c>
      <c r="C2277" t="s">
        <v>137</v>
      </c>
      <c r="D2277" s="1" t="s">
        <v>8</v>
      </c>
      <c r="E2277">
        <v>146.9</v>
      </c>
      <c r="F2277">
        <v>150.4</v>
      </c>
      <c r="G2277">
        <v>154.5</v>
      </c>
      <c r="H2277" s="1" t="s">
        <v>188</v>
      </c>
    </row>
    <row r="2278" spans="1:8" x14ac:dyDescent="0.3">
      <c r="A2278">
        <v>2020</v>
      </c>
      <c r="B2278" t="s">
        <v>41</v>
      </c>
      <c r="C2278" t="s">
        <v>137</v>
      </c>
      <c r="D2278" s="1" t="s">
        <v>21</v>
      </c>
      <c r="E2278">
        <v>145.80000000000001</v>
      </c>
      <c r="F2278">
        <v>143</v>
      </c>
      <c r="G2278">
        <v>138.30000000000001</v>
      </c>
      <c r="H2278" s="1" t="s">
        <v>190</v>
      </c>
    </row>
    <row r="2279" spans="1:8" x14ac:dyDescent="0.3">
      <c r="A2279">
        <v>2020</v>
      </c>
      <c r="B2279" t="s">
        <v>41</v>
      </c>
      <c r="C2279" t="s">
        <v>137</v>
      </c>
      <c r="D2279" s="1" t="s">
        <v>29</v>
      </c>
      <c r="E2279">
        <v>154.69999999999999</v>
      </c>
      <c r="F2279">
        <v>153.9</v>
      </c>
      <c r="G2279">
        <v>152.9</v>
      </c>
      <c r="H2279" s="1" t="s">
        <v>206</v>
      </c>
    </row>
    <row r="2280" spans="1:8" x14ac:dyDescent="0.3">
      <c r="A2280">
        <v>2020</v>
      </c>
      <c r="B2280" t="s">
        <v>41</v>
      </c>
      <c r="C2280" t="s">
        <v>137</v>
      </c>
      <c r="D2280" s="1" t="s">
        <v>23</v>
      </c>
      <c r="E2280">
        <v>158.80000000000001</v>
      </c>
      <c r="F2280">
        <v>155</v>
      </c>
      <c r="G2280">
        <v>148.69999999999999</v>
      </c>
      <c r="H2280" s="1" t="s">
        <v>23</v>
      </c>
    </row>
    <row r="2281" spans="1:8" x14ac:dyDescent="0.3">
      <c r="A2281">
        <v>2020</v>
      </c>
      <c r="B2281" t="s">
        <v>41</v>
      </c>
      <c r="C2281" t="s">
        <v>137</v>
      </c>
      <c r="D2281" s="1" t="s">
        <v>22</v>
      </c>
      <c r="E2281">
        <v>151.9</v>
      </c>
      <c r="F2281">
        <v>148.4</v>
      </c>
      <c r="G2281">
        <v>144.5</v>
      </c>
      <c r="H2281" s="1" t="s">
        <v>20</v>
      </c>
    </row>
    <row r="2282" spans="1:8" x14ac:dyDescent="0.3">
      <c r="A2282">
        <v>2020</v>
      </c>
      <c r="B2282" t="s">
        <v>41</v>
      </c>
      <c r="C2282" t="s">
        <v>137</v>
      </c>
      <c r="D2282" s="1" t="s">
        <v>20</v>
      </c>
      <c r="E2282">
        <v>0</v>
      </c>
      <c r="F2282">
        <v>155.5</v>
      </c>
      <c r="G2282">
        <v>155.5</v>
      </c>
      <c r="H2282" s="1" t="s">
        <v>20</v>
      </c>
    </row>
    <row r="2283" spans="1:8" x14ac:dyDescent="0.3">
      <c r="A2283">
        <v>2020</v>
      </c>
      <c r="B2283" t="s">
        <v>41</v>
      </c>
      <c r="C2283" t="s">
        <v>137</v>
      </c>
      <c r="D2283" s="1" t="s">
        <v>4</v>
      </c>
      <c r="E2283">
        <v>187.2</v>
      </c>
      <c r="F2283">
        <v>190.9</v>
      </c>
      <c r="G2283">
        <v>197.8</v>
      </c>
      <c r="H2283" s="1" t="s">
        <v>188</v>
      </c>
    </row>
    <row r="2284" spans="1:8" x14ac:dyDescent="0.3">
      <c r="A2284">
        <v>2020</v>
      </c>
      <c r="B2284" t="s">
        <v>41</v>
      </c>
      <c r="C2284" t="s">
        <v>137</v>
      </c>
      <c r="D2284" s="1" t="s">
        <v>6</v>
      </c>
      <c r="E2284">
        <v>153.30000000000001</v>
      </c>
      <c r="F2284">
        <v>153.30000000000001</v>
      </c>
      <c r="G2284">
        <v>153.4</v>
      </c>
      <c r="H2284" s="1" t="s">
        <v>188</v>
      </c>
    </row>
    <row r="2285" spans="1:8" x14ac:dyDescent="0.3">
      <c r="A2285">
        <v>2020</v>
      </c>
      <c r="B2285" t="s">
        <v>41</v>
      </c>
      <c r="C2285" t="s">
        <v>137</v>
      </c>
      <c r="D2285" s="1" t="s">
        <v>28</v>
      </c>
      <c r="E2285">
        <v>153</v>
      </c>
      <c r="F2285">
        <v>149</v>
      </c>
      <c r="G2285">
        <v>144.80000000000001</v>
      </c>
      <c r="H2285" s="1" t="s">
        <v>192</v>
      </c>
    </row>
    <row r="2286" spans="1:8" x14ac:dyDescent="0.3">
      <c r="A2286">
        <v>2020</v>
      </c>
      <c r="B2286" t="s">
        <v>41</v>
      </c>
      <c r="C2286" t="s">
        <v>137</v>
      </c>
      <c r="D2286" s="1" t="s">
        <v>13</v>
      </c>
      <c r="E2286">
        <v>143.5</v>
      </c>
      <c r="F2286">
        <v>140.6</v>
      </c>
      <c r="G2286">
        <v>136.5</v>
      </c>
      <c r="H2286" s="1" t="s">
        <v>188</v>
      </c>
    </row>
    <row r="2287" spans="1:8" x14ac:dyDescent="0.3">
      <c r="A2287">
        <v>2020</v>
      </c>
      <c r="B2287" t="s">
        <v>41</v>
      </c>
      <c r="C2287" t="s">
        <v>137</v>
      </c>
      <c r="D2287" s="1" t="s">
        <v>7</v>
      </c>
      <c r="E2287">
        <v>139.80000000000001</v>
      </c>
      <c r="F2287">
        <v>137.4</v>
      </c>
      <c r="G2287">
        <v>133.4</v>
      </c>
      <c r="H2287" s="1" t="s">
        <v>188</v>
      </c>
    </row>
    <row r="2288" spans="1:8" x14ac:dyDescent="0.3">
      <c r="A2288">
        <v>2020</v>
      </c>
      <c r="B2288" t="s">
        <v>41</v>
      </c>
      <c r="C2288" t="s">
        <v>137</v>
      </c>
      <c r="D2288" s="1" t="s">
        <v>16</v>
      </c>
      <c r="E2288">
        <v>180.9</v>
      </c>
      <c r="F2288">
        <v>182.6</v>
      </c>
      <c r="G2288">
        <v>187.2</v>
      </c>
      <c r="H2288" s="1" t="s">
        <v>192</v>
      </c>
    </row>
    <row r="2289" spans="1:8" x14ac:dyDescent="0.3">
      <c r="A2289">
        <v>2020</v>
      </c>
      <c r="B2289" t="s">
        <v>41</v>
      </c>
      <c r="C2289" t="s">
        <v>137</v>
      </c>
      <c r="D2289" s="1" t="s">
        <v>27</v>
      </c>
      <c r="E2289">
        <v>153.6</v>
      </c>
      <c r="F2289">
        <v>154.30000000000001</v>
      </c>
      <c r="G2289">
        <v>155.19999999999999</v>
      </c>
      <c r="H2289" s="1" t="s">
        <v>192</v>
      </c>
    </row>
    <row r="2290" spans="1:8" x14ac:dyDescent="0.3">
      <c r="A2290">
        <v>2020</v>
      </c>
      <c r="B2290" t="s">
        <v>41</v>
      </c>
      <c r="C2290" t="s">
        <v>137</v>
      </c>
      <c r="D2290" s="1" t="s">
        <v>14</v>
      </c>
      <c r="E2290">
        <v>161.5</v>
      </c>
      <c r="F2290">
        <v>162.30000000000001</v>
      </c>
      <c r="G2290">
        <v>163.30000000000001</v>
      </c>
      <c r="H2290" s="1" t="s">
        <v>188</v>
      </c>
    </row>
    <row r="2291" spans="1:8" x14ac:dyDescent="0.3">
      <c r="A2291">
        <v>2020</v>
      </c>
      <c r="B2291" t="s">
        <v>41</v>
      </c>
      <c r="C2291" t="s">
        <v>137</v>
      </c>
      <c r="D2291" s="1" t="s">
        <v>10</v>
      </c>
      <c r="E2291">
        <v>149.9</v>
      </c>
      <c r="F2291">
        <v>150.4</v>
      </c>
      <c r="G2291">
        <v>151.30000000000001</v>
      </c>
      <c r="H2291" s="1" t="s">
        <v>188</v>
      </c>
    </row>
    <row r="2292" spans="1:8" x14ac:dyDescent="0.3">
      <c r="A2292">
        <v>2020</v>
      </c>
      <c r="B2292" t="s">
        <v>41</v>
      </c>
      <c r="C2292" t="s">
        <v>137</v>
      </c>
      <c r="D2292" s="1" t="s">
        <v>25</v>
      </c>
      <c r="E2292">
        <v>152.19999999999999</v>
      </c>
      <c r="F2292">
        <v>146</v>
      </c>
      <c r="G2292">
        <v>141.19999999999999</v>
      </c>
      <c r="H2292" s="1" t="s">
        <v>195</v>
      </c>
    </row>
    <row r="2293" spans="1:8" x14ac:dyDescent="0.3">
      <c r="A2293">
        <v>2020</v>
      </c>
      <c r="B2293" t="s">
        <v>41</v>
      </c>
      <c r="C2293" t="s">
        <v>137</v>
      </c>
      <c r="D2293" s="1" t="s">
        <v>12</v>
      </c>
      <c r="E2293">
        <v>160</v>
      </c>
      <c r="F2293">
        <v>160</v>
      </c>
      <c r="G2293">
        <v>160</v>
      </c>
      <c r="H2293" s="1" t="s">
        <v>188</v>
      </c>
    </row>
    <row r="2294" spans="1:8" x14ac:dyDescent="0.3">
      <c r="A2294">
        <v>2020</v>
      </c>
      <c r="B2294" t="s">
        <v>41</v>
      </c>
      <c r="C2294" t="s">
        <v>137</v>
      </c>
      <c r="D2294" s="1" t="s">
        <v>11</v>
      </c>
      <c r="E2294">
        <v>114.2</v>
      </c>
      <c r="F2294">
        <v>115.1</v>
      </c>
      <c r="G2294">
        <v>116.8</v>
      </c>
      <c r="H2294" s="1" t="s">
        <v>188</v>
      </c>
    </row>
    <row r="2295" spans="1:8" x14ac:dyDescent="0.3">
      <c r="A2295">
        <v>2020</v>
      </c>
      <c r="B2295" t="s">
        <v>41</v>
      </c>
      <c r="C2295" t="s">
        <v>137</v>
      </c>
      <c r="D2295" s="1" t="s">
        <v>24</v>
      </c>
      <c r="E2295">
        <v>143.6</v>
      </c>
      <c r="F2295">
        <v>138.5</v>
      </c>
      <c r="G2295">
        <v>133.9</v>
      </c>
      <c r="H2295" s="1" t="s">
        <v>191</v>
      </c>
    </row>
    <row r="2296" spans="1:8" x14ac:dyDescent="0.3">
      <c r="A2296">
        <v>2020</v>
      </c>
      <c r="B2296" t="s">
        <v>41</v>
      </c>
      <c r="C2296" t="s">
        <v>137</v>
      </c>
      <c r="D2296" s="1" t="s">
        <v>9</v>
      </c>
      <c r="E2296">
        <v>171</v>
      </c>
      <c r="F2296">
        <v>178.1</v>
      </c>
      <c r="G2296">
        <v>191.9</v>
      </c>
      <c r="H2296" s="1" t="s">
        <v>188</v>
      </c>
    </row>
    <row r="2297" spans="1:8" x14ac:dyDescent="0.3">
      <c r="A2297">
        <v>2020</v>
      </c>
      <c r="B2297" t="s">
        <v>45</v>
      </c>
      <c r="C2297" t="s">
        <v>138</v>
      </c>
      <c r="D2297" s="1" t="s">
        <v>3</v>
      </c>
      <c r="E2297">
        <v>144.6</v>
      </c>
      <c r="F2297">
        <v>146</v>
      </c>
      <c r="G2297">
        <v>149</v>
      </c>
      <c r="H2297" s="1" t="s">
        <v>188</v>
      </c>
    </row>
    <row r="2298" spans="1:8" x14ac:dyDescent="0.3">
      <c r="A2298">
        <v>2020</v>
      </c>
      <c r="B2298" t="s">
        <v>45</v>
      </c>
      <c r="C2298" t="s">
        <v>138</v>
      </c>
      <c r="D2298" s="1" t="s">
        <v>17</v>
      </c>
      <c r="E2298">
        <v>157</v>
      </c>
      <c r="F2298">
        <v>155</v>
      </c>
      <c r="G2298">
        <v>151.9</v>
      </c>
      <c r="H2298" s="1" t="s">
        <v>189</v>
      </c>
    </row>
    <row r="2299" spans="1:8" x14ac:dyDescent="0.3">
      <c r="A2299">
        <v>2020</v>
      </c>
      <c r="B2299" t="s">
        <v>45</v>
      </c>
      <c r="C2299" t="s">
        <v>138</v>
      </c>
      <c r="D2299" s="1" t="s">
        <v>19</v>
      </c>
      <c r="E2299">
        <v>156.30000000000001</v>
      </c>
      <c r="F2299">
        <v>153.6</v>
      </c>
      <c r="G2299">
        <v>149.6</v>
      </c>
      <c r="H2299" s="1" t="s">
        <v>189</v>
      </c>
    </row>
    <row r="2300" spans="1:8" x14ac:dyDescent="0.3">
      <c r="A2300">
        <v>2020</v>
      </c>
      <c r="B2300" t="s">
        <v>45</v>
      </c>
      <c r="C2300" t="s">
        <v>138</v>
      </c>
      <c r="D2300" s="1" t="s">
        <v>26</v>
      </c>
      <c r="E2300">
        <v>162.9</v>
      </c>
      <c r="F2300">
        <v>159.4</v>
      </c>
      <c r="G2300">
        <v>156.9</v>
      </c>
      <c r="H2300" s="1" t="s">
        <v>26</v>
      </c>
    </row>
    <row r="2301" spans="1:8" x14ac:dyDescent="0.3">
      <c r="A2301">
        <v>2020</v>
      </c>
      <c r="B2301" t="s">
        <v>45</v>
      </c>
      <c r="C2301" t="s">
        <v>138</v>
      </c>
      <c r="D2301" s="1" t="s">
        <v>5</v>
      </c>
      <c r="E2301">
        <v>173.4</v>
      </c>
      <c r="F2301">
        <v>175.3</v>
      </c>
      <c r="G2301">
        <v>178.3</v>
      </c>
      <c r="H2301" s="1" t="s">
        <v>188</v>
      </c>
    </row>
    <row r="2302" spans="1:8" x14ac:dyDescent="0.3">
      <c r="A2302">
        <v>2020</v>
      </c>
      <c r="B2302" t="s">
        <v>45</v>
      </c>
      <c r="C2302" t="s">
        <v>138</v>
      </c>
      <c r="D2302" s="1" t="s">
        <v>15</v>
      </c>
      <c r="E2302">
        <v>164.5</v>
      </c>
      <c r="F2302">
        <v>165.4</v>
      </c>
      <c r="G2302">
        <v>167</v>
      </c>
      <c r="H2302" s="1" t="s">
        <v>188</v>
      </c>
    </row>
    <row r="2303" spans="1:8" x14ac:dyDescent="0.3">
      <c r="A2303">
        <v>2020</v>
      </c>
      <c r="B2303" t="s">
        <v>45</v>
      </c>
      <c r="C2303" t="s">
        <v>138</v>
      </c>
      <c r="D2303" s="1" t="s">
        <v>18</v>
      </c>
      <c r="E2303">
        <v>151.6</v>
      </c>
      <c r="F2303">
        <v>145.4</v>
      </c>
      <c r="G2303">
        <v>136.69999999999999</v>
      </c>
      <c r="H2303" s="1" t="s">
        <v>189</v>
      </c>
    </row>
    <row r="2304" spans="1:8" x14ac:dyDescent="0.3">
      <c r="A2304">
        <v>2020</v>
      </c>
      <c r="B2304" t="s">
        <v>45</v>
      </c>
      <c r="C2304" t="s">
        <v>138</v>
      </c>
      <c r="D2304" s="1" t="s">
        <v>8</v>
      </c>
      <c r="E2304">
        <v>145.9</v>
      </c>
      <c r="F2304">
        <v>147.69999999999999</v>
      </c>
      <c r="G2304">
        <v>149.69999999999999</v>
      </c>
      <c r="H2304" s="1" t="s">
        <v>188</v>
      </c>
    </row>
    <row r="2305" spans="1:8" x14ac:dyDescent="0.3">
      <c r="A2305">
        <v>2020</v>
      </c>
      <c r="B2305" t="s">
        <v>45</v>
      </c>
      <c r="C2305" t="s">
        <v>138</v>
      </c>
      <c r="D2305" s="1" t="s">
        <v>21</v>
      </c>
      <c r="E2305">
        <v>148.69999999999999</v>
      </c>
      <c r="F2305">
        <v>144.6</v>
      </c>
      <c r="G2305">
        <v>137.9</v>
      </c>
      <c r="H2305" s="1" t="s">
        <v>190</v>
      </c>
    </row>
    <row r="2306" spans="1:8" x14ac:dyDescent="0.3">
      <c r="A2306">
        <v>2020</v>
      </c>
      <c r="B2306" t="s">
        <v>45</v>
      </c>
      <c r="C2306" t="s">
        <v>138</v>
      </c>
      <c r="D2306" s="1" t="s">
        <v>29</v>
      </c>
      <c r="E2306">
        <v>160.69999999999999</v>
      </c>
      <c r="F2306">
        <v>158.9</v>
      </c>
      <c r="G2306">
        <v>156.9</v>
      </c>
      <c r="H2306" s="1" t="s">
        <v>206</v>
      </c>
    </row>
    <row r="2307" spans="1:8" x14ac:dyDescent="0.3">
      <c r="A2307">
        <v>2020</v>
      </c>
      <c r="B2307" t="s">
        <v>45</v>
      </c>
      <c r="C2307" t="s">
        <v>138</v>
      </c>
      <c r="D2307" s="1" t="s">
        <v>23</v>
      </c>
      <c r="E2307">
        <v>161.6</v>
      </c>
      <c r="F2307">
        <v>158.30000000000001</v>
      </c>
      <c r="G2307">
        <v>152.9</v>
      </c>
      <c r="H2307" s="1" t="s">
        <v>23</v>
      </c>
    </row>
    <row r="2308" spans="1:8" x14ac:dyDescent="0.3">
      <c r="A2308">
        <v>2020</v>
      </c>
      <c r="B2308" t="s">
        <v>45</v>
      </c>
      <c r="C2308" t="s">
        <v>138</v>
      </c>
      <c r="D2308" s="1" t="s">
        <v>22</v>
      </c>
      <c r="E2308">
        <v>153.4</v>
      </c>
      <c r="F2308">
        <v>149.69999999999999</v>
      </c>
      <c r="G2308">
        <v>145.5</v>
      </c>
      <c r="H2308" s="1" t="s">
        <v>20</v>
      </c>
    </row>
    <row r="2309" spans="1:8" x14ac:dyDescent="0.3">
      <c r="A2309">
        <v>2020</v>
      </c>
      <c r="B2309" t="s">
        <v>45</v>
      </c>
      <c r="C2309" t="s">
        <v>138</v>
      </c>
      <c r="D2309" s="1" t="s">
        <v>20</v>
      </c>
      <c r="E2309">
        <v>0</v>
      </c>
      <c r="F2309">
        <v>158.4</v>
      </c>
      <c r="G2309">
        <v>158.4</v>
      </c>
      <c r="H2309" s="1" t="s">
        <v>20</v>
      </c>
    </row>
    <row r="2310" spans="1:8" x14ac:dyDescent="0.3">
      <c r="A2310">
        <v>2020</v>
      </c>
      <c r="B2310" t="s">
        <v>45</v>
      </c>
      <c r="C2310" t="s">
        <v>138</v>
      </c>
      <c r="D2310" s="1" t="s">
        <v>4</v>
      </c>
      <c r="E2310">
        <v>188.5</v>
      </c>
      <c r="F2310">
        <v>191</v>
      </c>
      <c r="G2310">
        <v>195.7</v>
      </c>
      <c r="H2310" s="1" t="s">
        <v>188</v>
      </c>
    </row>
    <row r="2311" spans="1:8" x14ac:dyDescent="0.3">
      <c r="A2311">
        <v>2020</v>
      </c>
      <c r="B2311" t="s">
        <v>45</v>
      </c>
      <c r="C2311" t="s">
        <v>138</v>
      </c>
      <c r="D2311" s="1" t="s">
        <v>6</v>
      </c>
      <c r="E2311">
        <v>154</v>
      </c>
      <c r="F2311">
        <v>154.1</v>
      </c>
      <c r="G2311">
        <v>154.19999999999999</v>
      </c>
      <c r="H2311" s="1" t="s">
        <v>188</v>
      </c>
    </row>
    <row r="2312" spans="1:8" x14ac:dyDescent="0.3">
      <c r="A2312">
        <v>2020</v>
      </c>
      <c r="B2312" t="s">
        <v>45</v>
      </c>
      <c r="C2312" t="s">
        <v>138</v>
      </c>
      <c r="D2312" s="1" t="s">
        <v>28</v>
      </c>
      <c r="E2312">
        <v>155.19999999999999</v>
      </c>
      <c r="F2312">
        <v>151.19999999999999</v>
      </c>
      <c r="G2312">
        <v>146.9</v>
      </c>
      <c r="H2312" s="1" t="s">
        <v>192</v>
      </c>
    </row>
    <row r="2313" spans="1:8" x14ac:dyDescent="0.3">
      <c r="A2313">
        <v>2020</v>
      </c>
      <c r="B2313" t="s">
        <v>45</v>
      </c>
      <c r="C2313" t="s">
        <v>138</v>
      </c>
      <c r="D2313" s="1" t="s">
        <v>13</v>
      </c>
      <c r="E2313">
        <v>153.4</v>
      </c>
      <c r="F2313">
        <v>149.19999999999999</v>
      </c>
      <c r="G2313">
        <v>143.30000000000001</v>
      </c>
      <c r="H2313" s="1" t="s">
        <v>188</v>
      </c>
    </row>
    <row r="2314" spans="1:8" x14ac:dyDescent="0.3">
      <c r="A2314">
        <v>2020</v>
      </c>
      <c r="B2314" t="s">
        <v>45</v>
      </c>
      <c r="C2314" t="s">
        <v>138</v>
      </c>
      <c r="D2314" s="1" t="s">
        <v>7</v>
      </c>
      <c r="E2314">
        <v>150</v>
      </c>
      <c r="F2314">
        <v>146.6</v>
      </c>
      <c r="G2314">
        <v>140.69999999999999</v>
      </c>
      <c r="H2314" s="1" t="s">
        <v>188</v>
      </c>
    </row>
    <row r="2315" spans="1:8" x14ac:dyDescent="0.3">
      <c r="A2315">
        <v>2020</v>
      </c>
      <c r="B2315" t="s">
        <v>45</v>
      </c>
      <c r="C2315" t="s">
        <v>138</v>
      </c>
      <c r="D2315" s="1" t="s">
        <v>16</v>
      </c>
      <c r="E2315">
        <v>183.6</v>
      </c>
      <c r="F2315">
        <v>185.4</v>
      </c>
      <c r="G2315">
        <v>190.2</v>
      </c>
      <c r="H2315" s="1" t="s">
        <v>192</v>
      </c>
    </row>
    <row r="2316" spans="1:8" x14ac:dyDescent="0.3">
      <c r="A2316">
        <v>2020</v>
      </c>
      <c r="B2316" t="s">
        <v>45</v>
      </c>
      <c r="C2316" t="s">
        <v>138</v>
      </c>
      <c r="D2316" s="1" t="s">
        <v>27</v>
      </c>
      <c r="E2316">
        <v>156.6</v>
      </c>
      <c r="F2316">
        <v>157.1</v>
      </c>
      <c r="G2316">
        <v>157.9</v>
      </c>
      <c r="H2316" s="1" t="s">
        <v>192</v>
      </c>
    </row>
    <row r="2317" spans="1:8" x14ac:dyDescent="0.3">
      <c r="A2317">
        <v>2020</v>
      </c>
      <c r="B2317" t="s">
        <v>45</v>
      </c>
      <c r="C2317" t="s">
        <v>138</v>
      </c>
      <c r="D2317" s="1" t="s">
        <v>14</v>
      </c>
      <c r="E2317">
        <v>163.6</v>
      </c>
      <c r="F2317">
        <v>164.8</v>
      </c>
      <c r="G2317">
        <v>166.1</v>
      </c>
      <c r="H2317" s="1" t="s">
        <v>188</v>
      </c>
    </row>
    <row r="2318" spans="1:8" x14ac:dyDescent="0.3">
      <c r="A2318">
        <v>2020</v>
      </c>
      <c r="B2318" t="s">
        <v>45</v>
      </c>
      <c r="C2318" t="s">
        <v>138</v>
      </c>
      <c r="D2318" s="1" t="s">
        <v>10</v>
      </c>
      <c r="E2318">
        <v>159.5</v>
      </c>
      <c r="F2318">
        <v>160.19999999999999</v>
      </c>
      <c r="G2318">
        <v>161.5</v>
      </c>
      <c r="H2318" s="1" t="s">
        <v>188</v>
      </c>
    </row>
    <row r="2319" spans="1:8" x14ac:dyDescent="0.3">
      <c r="A2319">
        <v>2020</v>
      </c>
      <c r="B2319" t="s">
        <v>45</v>
      </c>
      <c r="C2319" t="s">
        <v>138</v>
      </c>
      <c r="D2319" s="1" t="s">
        <v>25</v>
      </c>
      <c r="E2319">
        <v>153.9</v>
      </c>
      <c r="F2319">
        <v>148.5</v>
      </c>
      <c r="G2319">
        <v>144.30000000000001</v>
      </c>
      <c r="H2319" s="1" t="s">
        <v>195</v>
      </c>
    </row>
    <row r="2320" spans="1:8" x14ac:dyDescent="0.3">
      <c r="A2320">
        <v>2020</v>
      </c>
      <c r="B2320" t="s">
        <v>45</v>
      </c>
      <c r="C2320" t="s">
        <v>138</v>
      </c>
      <c r="D2320" s="1" t="s">
        <v>12</v>
      </c>
      <c r="E2320">
        <v>163.5</v>
      </c>
      <c r="F2320">
        <v>163</v>
      </c>
      <c r="G2320">
        <v>161.9</v>
      </c>
      <c r="H2320" s="1" t="s">
        <v>188</v>
      </c>
    </row>
    <row r="2321" spans="1:8" x14ac:dyDescent="0.3">
      <c r="A2321">
        <v>2020</v>
      </c>
      <c r="B2321" t="s">
        <v>45</v>
      </c>
      <c r="C2321" t="s">
        <v>138</v>
      </c>
      <c r="D2321" s="1" t="s">
        <v>11</v>
      </c>
      <c r="E2321">
        <v>114.4</v>
      </c>
      <c r="F2321">
        <v>115.3</v>
      </c>
      <c r="G2321">
        <v>117.1</v>
      </c>
      <c r="H2321" s="1" t="s">
        <v>188</v>
      </c>
    </row>
    <row r="2322" spans="1:8" x14ac:dyDescent="0.3">
      <c r="A2322">
        <v>2020</v>
      </c>
      <c r="B2322" t="s">
        <v>45</v>
      </c>
      <c r="C2322" t="s">
        <v>138</v>
      </c>
      <c r="D2322" s="1" t="s">
        <v>24</v>
      </c>
      <c r="E2322">
        <v>146.4</v>
      </c>
      <c r="F2322">
        <v>140.69999999999999</v>
      </c>
      <c r="G2322">
        <v>135.5</v>
      </c>
      <c r="H2322" s="1" t="s">
        <v>191</v>
      </c>
    </row>
    <row r="2323" spans="1:8" x14ac:dyDescent="0.3">
      <c r="A2323">
        <v>2020</v>
      </c>
      <c r="B2323" t="s">
        <v>45</v>
      </c>
      <c r="C2323" t="s">
        <v>138</v>
      </c>
      <c r="D2323" s="1" t="s">
        <v>9</v>
      </c>
      <c r="E2323">
        <v>225.2</v>
      </c>
      <c r="F2323">
        <v>230.5</v>
      </c>
      <c r="G2323">
        <v>240.9</v>
      </c>
      <c r="H2323" s="1" t="s">
        <v>188</v>
      </c>
    </row>
    <row r="2324" spans="1:8" x14ac:dyDescent="0.3">
      <c r="A2324">
        <v>2020</v>
      </c>
      <c r="B2324" t="s">
        <v>35</v>
      </c>
      <c r="C2324" t="s">
        <v>49</v>
      </c>
      <c r="D2324" s="1" t="s">
        <v>3</v>
      </c>
      <c r="E2324">
        <v>144.19999999999999</v>
      </c>
      <c r="F2324">
        <v>144.80000000000001</v>
      </c>
      <c r="G2324">
        <v>146.19999999999999</v>
      </c>
      <c r="H2324" s="1" t="s">
        <v>188</v>
      </c>
    </row>
    <row r="2325" spans="1:8" x14ac:dyDescent="0.3">
      <c r="A2325">
        <v>2020</v>
      </c>
      <c r="B2325" t="s">
        <v>35</v>
      </c>
      <c r="C2325" t="s">
        <v>49</v>
      </c>
      <c r="D2325" s="1" t="s">
        <v>17</v>
      </c>
      <c r="E2325">
        <v>153</v>
      </c>
      <c r="F2325">
        <v>150.80000000000001</v>
      </c>
      <c r="G2325">
        <v>147.30000000000001</v>
      </c>
      <c r="H2325" s="1" t="s">
        <v>189</v>
      </c>
    </row>
    <row r="2326" spans="1:8" x14ac:dyDescent="0.3">
      <c r="A2326">
        <v>2020</v>
      </c>
      <c r="B2326" t="s">
        <v>35</v>
      </c>
      <c r="C2326" t="s">
        <v>49</v>
      </c>
      <c r="D2326" s="1" t="s">
        <v>19</v>
      </c>
      <c r="E2326">
        <v>152.30000000000001</v>
      </c>
      <c r="F2326">
        <v>149.5</v>
      </c>
      <c r="G2326">
        <v>145.19999999999999</v>
      </c>
      <c r="H2326" s="1" t="s">
        <v>189</v>
      </c>
    </row>
    <row r="2327" spans="1:8" x14ac:dyDescent="0.3">
      <c r="A2327">
        <v>2020</v>
      </c>
      <c r="B2327" t="s">
        <v>35</v>
      </c>
      <c r="C2327" t="s">
        <v>49</v>
      </c>
      <c r="D2327" s="1" t="s">
        <v>26</v>
      </c>
      <c r="E2327">
        <v>161.9</v>
      </c>
      <c r="F2327">
        <v>156.19999999999999</v>
      </c>
      <c r="G2327">
        <v>152.19999999999999</v>
      </c>
      <c r="H2327" s="1" t="s">
        <v>26</v>
      </c>
    </row>
    <row r="2328" spans="1:8" x14ac:dyDescent="0.3">
      <c r="A2328">
        <v>2020</v>
      </c>
      <c r="B2328" t="s">
        <v>35</v>
      </c>
      <c r="C2328" t="s">
        <v>49</v>
      </c>
      <c r="D2328" s="1" t="s">
        <v>5</v>
      </c>
      <c r="E2328">
        <v>150.9</v>
      </c>
      <c r="F2328">
        <v>151.80000000000001</v>
      </c>
      <c r="G2328">
        <v>153.1</v>
      </c>
      <c r="H2328" s="1" t="s">
        <v>188</v>
      </c>
    </row>
    <row r="2329" spans="1:8" x14ac:dyDescent="0.3">
      <c r="A2329">
        <v>2020</v>
      </c>
      <c r="B2329" t="s">
        <v>35</v>
      </c>
      <c r="C2329" t="s">
        <v>49</v>
      </c>
      <c r="D2329" s="1" t="s">
        <v>15</v>
      </c>
      <c r="E2329">
        <v>149.80000000000001</v>
      </c>
      <c r="F2329">
        <v>150.5</v>
      </c>
      <c r="G2329">
        <v>151.69999999999999</v>
      </c>
      <c r="H2329" s="1" t="s">
        <v>188</v>
      </c>
    </row>
    <row r="2330" spans="1:8" x14ac:dyDescent="0.3">
      <c r="A2330">
        <v>2020</v>
      </c>
      <c r="B2330" t="s">
        <v>35</v>
      </c>
      <c r="C2330" t="s">
        <v>49</v>
      </c>
      <c r="D2330" s="1" t="s">
        <v>18</v>
      </c>
      <c r="E2330">
        <v>147.5</v>
      </c>
      <c r="F2330">
        <v>141.69999999999999</v>
      </c>
      <c r="G2330">
        <v>133.5</v>
      </c>
      <c r="H2330" s="1" t="s">
        <v>189</v>
      </c>
    </row>
    <row r="2331" spans="1:8" x14ac:dyDescent="0.3">
      <c r="A2331">
        <v>2020</v>
      </c>
      <c r="B2331" t="s">
        <v>35</v>
      </c>
      <c r="C2331" t="s">
        <v>49</v>
      </c>
      <c r="D2331" s="1" t="s">
        <v>8</v>
      </c>
      <c r="E2331">
        <v>140.69999999999999</v>
      </c>
      <c r="F2331">
        <v>141.80000000000001</v>
      </c>
      <c r="G2331">
        <v>143.1</v>
      </c>
      <c r="H2331" s="1" t="s">
        <v>188</v>
      </c>
    </row>
    <row r="2332" spans="1:8" x14ac:dyDescent="0.3">
      <c r="A2332">
        <v>2020</v>
      </c>
      <c r="B2332" t="s">
        <v>35</v>
      </c>
      <c r="C2332" t="s">
        <v>49</v>
      </c>
      <c r="D2332" s="1" t="s">
        <v>21</v>
      </c>
      <c r="E2332">
        <v>152.30000000000001</v>
      </c>
      <c r="F2332">
        <v>147.19999999999999</v>
      </c>
      <c r="G2332">
        <v>138.9</v>
      </c>
      <c r="H2332" s="1" t="s">
        <v>190</v>
      </c>
    </row>
    <row r="2333" spans="1:8" x14ac:dyDescent="0.3">
      <c r="A2333">
        <v>2020</v>
      </c>
      <c r="B2333" t="s">
        <v>35</v>
      </c>
      <c r="C2333" t="s">
        <v>49</v>
      </c>
      <c r="D2333" s="1" t="s">
        <v>29</v>
      </c>
      <c r="E2333">
        <v>150.4</v>
      </c>
      <c r="F2333">
        <v>149.1</v>
      </c>
      <c r="G2333">
        <v>147.69999999999999</v>
      </c>
      <c r="H2333" s="1" t="s">
        <v>206</v>
      </c>
    </row>
    <row r="2334" spans="1:8" x14ac:dyDescent="0.3">
      <c r="A2334">
        <v>2020</v>
      </c>
      <c r="B2334" t="s">
        <v>35</v>
      </c>
      <c r="C2334" t="s">
        <v>49</v>
      </c>
      <c r="D2334" s="1" t="s">
        <v>23</v>
      </c>
      <c r="E2334">
        <v>156.19999999999999</v>
      </c>
      <c r="F2334">
        <v>151.69999999999999</v>
      </c>
      <c r="G2334">
        <v>144.4</v>
      </c>
      <c r="H2334" s="1" t="s">
        <v>23</v>
      </c>
    </row>
    <row r="2335" spans="1:8" x14ac:dyDescent="0.3">
      <c r="A2335">
        <v>2020</v>
      </c>
      <c r="B2335" t="s">
        <v>35</v>
      </c>
      <c r="C2335" t="s">
        <v>49</v>
      </c>
      <c r="D2335" s="1" t="s">
        <v>22</v>
      </c>
      <c r="E2335">
        <v>151.80000000000001</v>
      </c>
      <c r="F2335">
        <v>146.4</v>
      </c>
      <c r="G2335">
        <v>140.4</v>
      </c>
      <c r="H2335" s="1" t="s">
        <v>20</v>
      </c>
    </row>
    <row r="2336" spans="1:8" x14ac:dyDescent="0.3">
      <c r="A2336">
        <v>2020</v>
      </c>
      <c r="B2336" t="s">
        <v>35</v>
      </c>
      <c r="C2336" t="s">
        <v>49</v>
      </c>
      <c r="D2336" s="1" t="s">
        <v>20</v>
      </c>
      <c r="E2336">
        <v>0</v>
      </c>
      <c r="F2336">
        <v>154.80000000000001</v>
      </c>
      <c r="G2336">
        <v>154.80000000000001</v>
      </c>
      <c r="H2336" s="1" t="s">
        <v>20</v>
      </c>
    </row>
    <row r="2337" spans="1:8" x14ac:dyDescent="0.3">
      <c r="A2337">
        <v>2020</v>
      </c>
      <c r="B2337" t="s">
        <v>35</v>
      </c>
      <c r="C2337" t="s">
        <v>49</v>
      </c>
      <c r="D2337" s="1" t="s">
        <v>4</v>
      </c>
      <c r="E2337">
        <v>167.5</v>
      </c>
      <c r="F2337">
        <v>167.5</v>
      </c>
      <c r="G2337">
        <v>167.6</v>
      </c>
      <c r="H2337" s="1" t="s">
        <v>188</v>
      </c>
    </row>
    <row r="2338" spans="1:8" x14ac:dyDescent="0.3">
      <c r="A2338">
        <v>2020</v>
      </c>
      <c r="B2338" t="s">
        <v>35</v>
      </c>
      <c r="C2338" t="s">
        <v>49</v>
      </c>
      <c r="D2338" s="1" t="s">
        <v>6</v>
      </c>
      <c r="E2338">
        <v>150.9</v>
      </c>
      <c r="F2338">
        <v>150.80000000000001</v>
      </c>
      <c r="G2338">
        <v>150.69999999999999</v>
      </c>
      <c r="H2338" s="1" t="s">
        <v>188</v>
      </c>
    </row>
    <row r="2339" spans="1:8" x14ac:dyDescent="0.3">
      <c r="A2339">
        <v>2020</v>
      </c>
      <c r="B2339" t="s">
        <v>35</v>
      </c>
      <c r="C2339" t="s">
        <v>49</v>
      </c>
      <c r="D2339" s="1" t="s">
        <v>28</v>
      </c>
      <c r="E2339">
        <v>148.4</v>
      </c>
      <c r="F2339">
        <v>143.6</v>
      </c>
      <c r="G2339">
        <v>138.4</v>
      </c>
      <c r="H2339" s="1" t="s">
        <v>192</v>
      </c>
    </row>
    <row r="2340" spans="1:8" x14ac:dyDescent="0.3">
      <c r="A2340">
        <v>2020</v>
      </c>
      <c r="B2340" t="s">
        <v>35</v>
      </c>
      <c r="C2340" t="s">
        <v>49</v>
      </c>
      <c r="D2340" s="1" t="s">
        <v>13</v>
      </c>
      <c r="E2340">
        <v>140.1</v>
      </c>
      <c r="F2340">
        <v>136.5</v>
      </c>
      <c r="G2340">
        <v>131.5</v>
      </c>
      <c r="H2340" s="1" t="s">
        <v>188</v>
      </c>
    </row>
    <row r="2341" spans="1:8" x14ac:dyDescent="0.3">
      <c r="A2341">
        <v>2020</v>
      </c>
      <c r="B2341" t="s">
        <v>35</v>
      </c>
      <c r="C2341" t="s">
        <v>49</v>
      </c>
      <c r="D2341" s="1" t="s">
        <v>7</v>
      </c>
      <c r="E2341">
        <v>133.69999999999999</v>
      </c>
      <c r="F2341">
        <v>131.4</v>
      </c>
      <c r="G2341">
        <v>127.4</v>
      </c>
      <c r="H2341" s="1" t="s">
        <v>188</v>
      </c>
    </row>
    <row r="2342" spans="1:8" x14ac:dyDescent="0.3">
      <c r="A2342">
        <v>2020</v>
      </c>
      <c r="B2342" t="s">
        <v>35</v>
      </c>
      <c r="C2342" t="s">
        <v>49</v>
      </c>
      <c r="D2342" s="1" t="s">
        <v>16</v>
      </c>
      <c r="E2342">
        <v>169.4</v>
      </c>
      <c r="F2342">
        <v>170.1</v>
      </c>
      <c r="G2342">
        <v>172</v>
      </c>
      <c r="H2342" s="1" t="s">
        <v>192</v>
      </c>
    </row>
    <row r="2343" spans="1:8" x14ac:dyDescent="0.3">
      <c r="A2343">
        <v>2020</v>
      </c>
      <c r="B2343" t="s">
        <v>35</v>
      </c>
      <c r="C2343" t="s">
        <v>49</v>
      </c>
      <c r="D2343" s="1" t="s">
        <v>27</v>
      </c>
      <c r="E2343">
        <v>143.4</v>
      </c>
      <c r="F2343">
        <v>143.4</v>
      </c>
      <c r="G2343">
        <v>143.5</v>
      </c>
      <c r="H2343" s="1" t="s">
        <v>192</v>
      </c>
    </row>
    <row r="2344" spans="1:8" x14ac:dyDescent="0.3">
      <c r="A2344">
        <v>2020</v>
      </c>
      <c r="B2344" t="s">
        <v>35</v>
      </c>
      <c r="C2344" t="s">
        <v>49</v>
      </c>
      <c r="D2344" s="1" t="s">
        <v>14</v>
      </c>
      <c r="E2344">
        <v>159.19999999999999</v>
      </c>
      <c r="F2344">
        <v>159.1</v>
      </c>
      <c r="G2344">
        <v>159</v>
      </c>
      <c r="H2344" s="1" t="s">
        <v>188</v>
      </c>
    </row>
    <row r="2345" spans="1:8" x14ac:dyDescent="0.3">
      <c r="A2345">
        <v>2020</v>
      </c>
      <c r="B2345" t="s">
        <v>35</v>
      </c>
      <c r="C2345" t="s">
        <v>49</v>
      </c>
      <c r="D2345" s="1" t="s">
        <v>10</v>
      </c>
      <c r="E2345">
        <v>141.80000000000001</v>
      </c>
      <c r="F2345">
        <v>141.1</v>
      </c>
      <c r="G2345">
        <v>139.6</v>
      </c>
      <c r="H2345" s="1" t="s">
        <v>188</v>
      </c>
    </row>
    <row r="2346" spans="1:8" x14ac:dyDescent="0.3">
      <c r="A2346">
        <v>2020</v>
      </c>
      <c r="B2346" t="s">
        <v>35</v>
      </c>
      <c r="C2346" t="s">
        <v>49</v>
      </c>
      <c r="D2346" s="1" t="s">
        <v>25</v>
      </c>
      <c r="E2346">
        <v>150.4</v>
      </c>
      <c r="F2346">
        <v>143.19999999999999</v>
      </c>
      <c r="G2346">
        <v>137.69999999999999</v>
      </c>
      <c r="H2346" s="1" t="s">
        <v>195</v>
      </c>
    </row>
    <row r="2347" spans="1:8" x14ac:dyDescent="0.3">
      <c r="A2347">
        <v>2020</v>
      </c>
      <c r="B2347" t="s">
        <v>35</v>
      </c>
      <c r="C2347" t="s">
        <v>49</v>
      </c>
      <c r="D2347" s="1" t="s">
        <v>12</v>
      </c>
      <c r="E2347">
        <v>152.80000000000001</v>
      </c>
      <c r="F2347">
        <v>152</v>
      </c>
      <c r="G2347">
        <v>150.4</v>
      </c>
      <c r="H2347" s="1" t="s">
        <v>188</v>
      </c>
    </row>
    <row r="2348" spans="1:8" x14ac:dyDescent="0.3">
      <c r="A2348">
        <v>2020</v>
      </c>
      <c r="B2348" t="s">
        <v>35</v>
      </c>
      <c r="C2348" t="s">
        <v>49</v>
      </c>
      <c r="D2348" s="1" t="s">
        <v>11</v>
      </c>
      <c r="E2348">
        <v>113.1</v>
      </c>
      <c r="F2348">
        <v>113.6</v>
      </c>
      <c r="G2348">
        <v>114.6</v>
      </c>
      <c r="H2348" s="1" t="s">
        <v>188</v>
      </c>
    </row>
    <row r="2349" spans="1:8" x14ac:dyDescent="0.3">
      <c r="A2349">
        <v>2020</v>
      </c>
      <c r="B2349" t="s">
        <v>35</v>
      </c>
      <c r="C2349" t="s">
        <v>49</v>
      </c>
      <c r="D2349" s="1" t="s">
        <v>24</v>
      </c>
      <c r="E2349">
        <v>136</v>
      </c>
      <c r="F2349">
        <v>130.30000000000001</v>
      </c>
      <c r="G2349">
        <v>125.2</v>
      </c>
      <c r="H2349" s="1" t="s">
        <v>191</v>
      </c>
    </row>
    <row r="2350" spans="1:8" x14ac:dyDescent="0.3">
      <c r="A2350">
        <v>2020</v>
      </c>
      <c r="B2350" t="s">
        <v>35</v>
      </c>
      <c r="C2350" t="s">
        <v>49</v>
      </c>
      <c r="D2350" s="1" t="s">
        <v>9</v>
      </c>
      <c r="E2350">
        <v>165.1</v>
      </c>
      <c r="F2350">
        <v>170.7</v>
      </c>
      <c r="G2350">
        <v>181.7</v>
      </c>
      <c r="H2350" s="1" t="s">
        <v>188</v>
      </c>
    </row>
    <row r="2351" spans="1:8" x14ac:dyDescent="0.3">
      <c r="A2351">
        <v>2020</v>
      </c>
      <c r="B2351" t="s">
        <v>31</v>
      </c>
      <c r="C2351" t="s">
        <v>48</v>
      </c>
      <c r="D2351" s="1" t="s">
        <v>3</v>
      </c>
      <c r="E2351">
        <v>143.69999999999999</v>
      </c>
      <c r="F2351">
        <v>144.30000000000001</v>
      </c>
      <c r="G2351">
        <v>145.6</v>
      </c>
      <c r="H2351" s="1" t="s">
        <v>188</v>
      </c>
    </row>
    <row r="2352" spans="1:8" x14ac:dyDescent="0.3">
      <c r="A2352">
        <v>2020</v>
      </c>
      <c r="B2352" t="s">
        <v>31</v>
      </c>
      <c r="C2352" t="s">
        <v>48</v>
      </c>
      <c r="D2352" s="1" t="s">
        <v>17</v>
      </c>
      <c r="E2352">
        <v>152.80000000000001</v>
      </c>
      <c r="F2352">
        <v>150.5</v>
      </c>
      <c r="G2352">
        <v>147</v>
      </c>
      <c r="H2352" s="1" t="s">
        <v>189</v>
      </c>
    </row>
    <row r="2353" spans="1:8" x14ac:dyDescent="0.3">
      <c r="A2353">
        <v>2020</v>
      </c>
      <c r="B2353" t="s">
        <v>31</v>
      </c>
      <c r="C2353" t="s">
        <v>48</v>
      </c>
      <c r="D2353" s="1" t="s">
        <v>19</v>
      </c>
      <c r="E2353">
        <v>152.1</v>
      </c>
      <c r="F2353">
        <v>149.19999999999999</v>
      </c>
      <c r="G2353">
        <v>144.9</v>
      </c>
      <c r="H2353" s="1" t="s">
        <v>189</v>
      </c>
    </row>
    <row r="2354" spans="1:8" x14ac:dyDescent="0.3">
      <c r="A2354">
        <v>2020</v>
      </c>
      <c r="B2354" t="s">
        <v>31</v>
      </c>
      <c r="C2354" t="s">
        <v>48</v>
      </c>
      <c r="D2354" s="1" t="s">
        <v>26</v>
      </c>
      <c r="E2354">
        <v>161.69999999999999</v>
      </c>
      <c r="F2354">
        <v>156.1</v>
      </c>
      <c r="G2354">
        <v>152.1</v>
      </c>
      <c r="H2354" s="1" t="s">
        <v>26</v>
      </c>
    </row>
    <row r="2355" spans="1:8" x14ac:dyDescent="0.3">
      <c r="A2355">
        <v>2020</v>
      </c>
      <c r="B2355" t="s">
        <v>31</v>
      </c>
      <c r="C2355" t="s">
        <v>48</v>
      </c>
      <c r="D2355" s="1" t="s">
        <v>5</v>
      </c>
      <c r="E2355">
        <v>153.5</v>
      </c>
      <c r="F2355">
        <v>154.9</v>
      </c>
      <c r="G2355">
        <v>157</v>
      </c>
      <c r="H2355" s="1" t="s">
        <v>188</v>
      </c>
    </row>
    <row r="2356" spans="1:8" x14ac:dyDescent="0.3">
      <c r="A2356">
        <v>2020</v>
      </c>
      <c r="B2356" t="s">
        <v>31</v>
      </c>
      <c r="C2356" t="s">
        <v>48</v>
      </c>
      <c r="D2356" s="1" t="s">
        <v>15</v>
      </c>
      <c r="E2356">
        <v>153</v>
      </c>
      <c r="F2356">
        <v>153.5</v>
      </c>
      <c r="G2356">
        <v>154.4</v>
      </c>
      <c r="H2356" s="1" t="s">
        <v>188</v>
      </c>
    </row>
    <row r="2357" spans="1:8" x14ac:dyDescent="0.3">
      <c r="A2357">
        <v>2020</v>
      </c>
      <c r="B2357" t="s">
        <v>31</v>
      </c>
      <c r="C2357" t="s">
        <v>48</v>
      </c>
      <c r="D2357" s="1" t="s">
        <v>18</v>
      </c>
      <c r="E2357">
        <v>147.4</v>
      </c>
      <c r="F2357">
        <v>141.5</v>
      </c>
      <c r="G2357">
        <v>133.19999999999999</v>
      </c>
      <c r="H2357" s="1" t="s">
        <v>189</v>
      </c>
    </row>
    <row r="2358" spans="1:8" x14ac:dyDescent="0.3">
      <c r="A2358">
        <v>2020</v>
      </c>
      <c r="B2358" t="s">
        <v>31</v>
      </c>
      <c r="C2358" t="s">
        <v>48</v>
      </c>
      <c r="D2358" s="1" t="s">
        <v>8</v>
      </c>
      <c r="E2358">
        <v>142.19999999999999</v>
      </c>
      <c r="F2358">
        <v>143.19999999999999</v>
      </c>
      <c r="G2358">
        <v>144.4</v>
      </c>
      <c r="H2358" s="1" t="s">
        <v>188</v>
      </c>
    </row>
    <row r="2359" spans="1:8" x14ac:dyDescent="0.3">
      <c r="A2359">
        <v>2020</v>
      </c>
      <c r="B2359" t="s">
        <v>31</v>
      </c>
      <c r="C2359" t="s">
        <v>48</v>
      </c>
      <c r="D2359" s="1" t="s">
        <v>21</v>
      </c>
      <c r="E2359">
        <v>150.4</v>
      </c>
      <c r="F2359">
        <v>144.6</v>
      </c>
      <c r="G2359">
        <v>135.1</v>
      </c>
      <c r="H2359" s="1" t="s">
        <v>190</v>
      </c>
    </row>
    <row r="2360" spans="1:8" x14ac:dyDescent="0.3">
      <c r="A2360">
        <v>2020</v>
      </c>
      <c r="B2360" t="s">
        <v>31</v>
      </c>
      <c r="C2360" t="s">
        <v>48</v>
      </c>
      <c r="D2360" s="1" t="s">
        <v>29</v>
      </c>
      <c r="E2360">
        <v>151.9</v>
      </c>
      <c r="F2360">
        <v>150.19999999999999</v>
      </c>
      <c r="G2360">
        <v>148.19999999999999</v>
      </c>
      <c r="H2360" s="1" t="s">
        <v>206</v>
      </c>
    </row>
    <row r="2361" spans="1:8" x14ac:dyDescent="0.3">
      <c r="A2361">
        <v>2020</v>
      </c>
      <c r="B2361" t="s">
        <v>31</v>
      </c>
      <c r="C2361" t="s">
        <v>48</v>
      </c>
      <c r="D2361" s="1" t="s">
        <v>23</v>
      </c>
      <c r="E2361">
        <v>155.69999999999999</v>
      </c>
      <c r="F2361">
        <v>151.19999999999999</v>
      </c>
      <c r="G2361">
        <v>143.80000000000001</v>
      </c>
      <c r="H2361" s="1" t="s">
        <v>23</v>
      </c>
    </row>
    <row r="2362" spans="1:8" x14ac:dyDescent="0.3">
      <c r="A2362">
        <v>2020</v>
      </c>
      <c r="B2362" t="s">
        <v>31</v>
      </c>
      <c r="C2362" t="s">
        <v>48</v>
      </c>
      <c r="D2362" s="1" t="s">
        <v>22</v>
      </c>
      <c r="E2362">
        <v>151.69999999999999</v>
      </c>
      <c r="F2362">
        <v>146.19999999999999</v>
      </c>
      <c r="G2362">
        <v>140.1</v>
      </c>
      <c r="H2362" s="1" t="s">
        <v>20</v>
      </c>
    </row>
    <row r="2363" spans="1:8" x14ac:dyDescent="0.3">
      <c r="A2363">
        <v>2020</v>
      </c>
      <c r="B2363" t="s">
        <v>31</v>
      </c>
      <c r="C2363" t="s">
        <v>48</v>
      </c>
      <c r="D2363" s="1" t="s">
        <v>20</v>
      </c>
      <c r="E2363">
        <v>0</v>
      </c>
      <c r="F2363">
        <v>153.9</v>
      </c>
      <c r="G2363">
        <v>153.9</v>
      </c>
      <c r="H2363" s="1" t="s">
        <v>20</v>
      </c>
    </row>
    <row r="2364" spans="1:8" x14ac:dyDescent="0.3">
      <c r="A2364">
        <v>2020</v>
      </c>
      <c r="B2364" t="s">
        <v>31</v>
      </c>
      <c r="C2364" t="s">
        <v>48</v>
      </c>
      <c r="D2364" s="1" t="s">
        <v>4</v>
      </c>
      <c r="E2364">
        <v>167.3</v>
      </c>
      <c r="F2364">
        <v>167.4</v>
      </c>
      <c r="G2364">
        <v>167.6</v>
      </c>
      <c r="H2364" s="1" t="s">
        <v>188</v>
      </c>
    </row>
    <row r="2365" spans="1:8" x14ac:dyDescent="0.3">
      <c r="A2365">
        <v>2020</v>
      </c>
      <c r="B2365" t="s">
        <v>31</v>
      </c>
      <c r="C2365" t="s">
        <v>48</v>
      </c>
      <c r="D2365" s="1" t="s">
        <v>6</v>
      </c>
      <c r="E2365">
        <v>150.5</v>
      </c>
      <c r="F2365">
        <v>150.1</v>
      </c>
      <c r="G2365">
        <v>149.30000000000001</v>
      </c>
      <c r="H2365" s="1" t="s">
        <v>188</v>
      </c>
    </row>
    <row r="2366" spans="1:8" x14ac:dyDescent="0.3">
      <c r="A2366">
        <v>2020</v>
      </c>
      <c r="B2366" t="s">
        <v>31</v>
      </c>
      <c r="C2366" t="s">
        <v>48</v>
      </c>
      <c r="D2366" s="1" t="s">
        <v>28</v>
      </c>
      <c r="E2366">
        <v>148.1</v>
      </c>
      <c r="F2366">
        <v>143.4</v>
      </c>
      <c r="G2366">
        <v>138.4</v>
      </c>
      <c r="H2366" s="1" t="s">
        <v>192</v>
      </c>
    </row>
    <row r="2367" spans="1:8" x14ac:dyDescent="0.3">
      <c r="A2367">
        <v>2020</v>
      </c>
      <c r="B2367" t="s">
        <v>31</v>
      </c>
      <c r="C2367" t="s">
        <v>48</v>
      </c>
      <c r="D2367" s="1" t="s">
        <v>13</v>
      </c>
      <c r="E2367">
        <v>139.69999999999999</v>
      </c>
      <c r="F2367">
        <v>136.1</v>
      </c>
      <c r="G2367">
        <v>131.1</v>
      </c>
      <c r="H2367" s="1" t="s">
        <v>188</v>
      </c>
    </row>
    <row r="2368" spans="1:8" x14ac:dyDescent="0.3">
      <c r="A2368">
        <v>2020</v>
      </c>
      <c r="B2368" t="s">
        <v>31</v>
      </c>
      <c r="C2368" t="s">
        <v>48</v>
      </c>
      <c r="D2368" s="1" t="s">
        <v>7</v>
      </c>
      <c r="E2368">
        <v>132</v>
      </c>
      <c r="F2368">
        <v>129.9</v>
      </c>
      <c r="G2368">
        <v>126.3</v>
      </c>
      <c r="H2368" s="1" t="s">
        <v>188</v>
      </c>
    </row>
    <row r="2369" spans="1:8" x14ac:dyDescent="0.3">
      <c r="A2369">
        <v>2020</v>
      </c>
      <c r="B2369" t="s">
        <v>31</v>
      </c>
      <c r="C2369" t="s">
        <v>48</v>
      </c>
      <c r="D2369" s="1" t="s">
        <v>16</v>
      </c>
      <c r="E2369">
        <v>168.6</v>
      </c>
      <c r="F2369">
        <v>169.2</v>
      </c>
      <c r="G2369">
        <v>170.8</v>
      </c>
      <c r="H2369" s="1" t="s">
        <v>192</v>
      </c>
    </row>
    <row r="2370" spans="1:8" x14ac:dyDescent="0.3">
      <c r="A2370">
        <v>2020</v>
      </c>
      <c r="B2370" t="s">
        <v>31</v>
      </c>
      <c r="C2370" t="s">
        <v>48</v>
      </c>
      <c r="D2370" s="1" t="s">
        <v>27</v>
      </c>
      <c r="E2370">
        <v>142.5</v>
      </c>
      <c r="F2370">
        <v>142.30000000000001</v>
      </c>
      <c r="G2370">
        <v>142.1</v>
      </c>
      <c r="H2370" s="1" t="s">
        <v>192</v>
      </c>
    </row>
    <row r="2371" spans="1:8" x14ac:dyDescent="0.3">
      <c r="A2371">
        <v>2020</v>
      </c>
      <c r="B2371" t="s">
        <v>31</v>
      </c>
      <c r="C2371" t="s">
        <v>48</v>
      </c>
      <c r="D2371" s="1" t="s">
        <v>14</v>
      </c>
      <c r="E2371">
        <v>158.69999999999999</v>
      </c>
      <c r="F2371">
        <v>158.6</v>
      </c>
      <c r="G2371">
        <v>158.5</v>
      </c>
      <c r="H2371" s="1" t="s">
        <v>188</v>
      </c>
    </row>
    <row r="2372" spans="1:8" x14ac:dyDescent="0.3">
      <c r="A2372">
        <v>2020</v>
      </c>
      <c r="B2372" t="s">
        <v>31</v>
      </c>
      <c r="C2372" t="s">
        <v>48</v>
      </c>
      <c r="D2372" s="1" t="s">
        <v>10</v>
      </c>
      <c r="E2372">
        <v>141.1</v>
      </c>
      <c r="F2372">
        <v>140.4</v>
      </c>
      <c r="G2372">
        <v>139.1</v>
      </c>
      <c r="H2372" s="1" t="s">
        <v>188</v>
      </c>
    </row>
    <row r="2373" spans="1:8" x14ac:dyDescent="0.3">
      <c r="A2373">
        <v>2020</v>
      </c>
      <c r="B2373" t="s">
        <v>31</v>
      </c>
      <c r="C2373" t="s">
        <v>48</v>
      </c>
      <c r="D2373" s="1" t="s">
        <v>25</v>
      </c>
      <c r="E2373">
        <v>150.1</v>
      </c>
      <c r="F2373">
        <v>142.80000000000001</v>
      </c>
      <c r="G2373">
        <v>137.19999999999999</v>
      </c>
      <c r="H2373" s="1" t="s">
        <v>195</v>
      </c>
    </row>
    <row r="2374" spans="1:8" x14ac:dyDescent="0.3">
      <c r="A2374">
        <v>2020</v>
      </c>
      <c r="B2374" t="s">
        <v>31</v>
      </c>
      <c r="C2374" t="s">
        <v>48</v>
      </c>
      <c r="D2374" s="1" t="s">
        <v>12</v>
      </c>
      <c r="E2374">
        <v>151.6</v>
      </c>
      <c r="F2374">
        <v>150.9</v>
      </c>
      <c r="G2374">
        <v>149.5</v>
      </c>
      <c r="H2374" s="1" t="s">
        <v>188</v>
      </c>
    </row>
    <row r="2375" spans="1:8" x14ac:dyDescent="0.3">
      <c r="A2375">
        <v>2020</v>
      </c>
      <c r="B2375" t="s">
        <v>31</v>
      </c>
      <c r="C2375" t="s">
        <v>48</v>
      </c>
      <c r="D2375" s="1" t="s">
        <v>11</v>
      </c>
      <c r="E2375">
        <v>113.8</v>
      </c>
      <c r="F2375">
        <v>114.1</v>
      </c>
      <c r="G2375">
        <v>114.8</v>
      </c>
      <c r="H2375" s="1" t="s">
        <v>188</v>
      </c>
    </row>
    <row r="2376" spans="1:8" x14ac:dyDescent="0.3">
      <c r="A2376">
        <v>2020</v>
      </c>
      <c r="B2376" t="s">
        <v>31</v>
      </c>
      <c r="C2376" t="s">
        <v>48</v>
      </c>
      <c r="D2376" s="1" t="s">
        <v>24</v>
      </c>
      <c r="E2376">
        <v>136.30000000000001</v>
      </c>
      <c r="F2376">
        <v>130.9</v>
      </c>
      <c r="G2376">
        <v>126.1</v>
      </c>
      <c r="H2376" s="1" t="s">
        <v>191</v>
      </c>
    </row>
    <row r="2377" spans="1:8" x14ac:dyDescent="0.3">
      <c r="A2377">
        <v>2020</v>
      </c>
      <c r="B2377" t="s">
        <v>31</v>
      </c>
      <c r="C2377" t="s">
        <v>48</v>
      </c>
      <c r="D2377" s="1" t="s">
        <v>9</v>
      </c>
      <c r="E2377">
        <v>191.5</v>
      </c>
      <c r="F2377">
        <v>197</v>
      </c>
      <c r="G2377">
        <v>207.8</v>
      </c>
      <c r="H2377" s="1" t="s">
        <v>188</v>
      </c>
    </row>
    <row r="2378" spans="1:8" x14ac:dyDescent="0.3">
      <c r="A2378">
        <v>2020</v>
      </c>
      <c r="B2378" t="s">
        <v>40</v>
      </c>
      <c r="C2378" t="s">
        <v>139</v>
      </c>
      <c r="D2378" s="1" t="s">
        <v>3</v>
      </c>
      <c r="E2378">
        <v>148.19999999999999</v>
      </c>
      <c r="F2378">
        <v>149.6</v>
      </c>
      <c r="G2378">
        <v>152.69999999999999</v>
      </c>
      <c r="H2378" s="1" t="s">
        <v>188</v>
      </c>
    </row>
    <row r="2379" spans="1:8" x14ac:dyDescent="0.3">
      <c r="A2379">
        <v>2020</v>
      </c>
      <c r="B2379" t="s">
        <v>40</v>
      </c>
      <c r="C2379" t="s">
        <v>139</v>
      </c>
      <c r="D2379" s="1" t="s">
        <v>17</v>
      </c>
      <c r="E2379">
        <v>154.69999999999999</v>
      </c>
      <c r="F2379">
        <v>152.5</v>
      </c>
      <c r="G2379">
        <v>149.1</v>
      </c>
      <c r="H2379" s="1" t="s">
        <v>189</v>
      </c>
    </row>
    <row r="2380" spans="1:8" x14ac:dyDescent="0.3">
      <c r="A2380">
        <v>2020</v>
      </c>
      <c r="B2380" t="s">
        <v>40</v>
      </c>
      <c r="C2380" t="s">
        <v>139</v>
      </c>
      <c r="D2380" s="1" t="s">
        <v>19</v>
      </c>
      <c r="E2380">
        <v>154.1</v>
      </c>
      <c r="F2380">
        <v>151.4</v>
      </c>
      <c r="G2380">
        <v>147.19999999999999</v>
      </c>
      <c r="H2380" s="1" t="s">
        <v>189</v>
      </c>
    </row>
    <row r="2381" spans="1:8" x14ac:dyDescent="0.3">
      <c r="A2381">
        <v>2020</v>
      </c>
      <c r="B2381" t="s">
        <v>40</v>
      </c>
      <c r="C2381" t="s">
        <v>139</v>
      </c>
      <c r="D2381" s="1" t="s">
        <v>26</v>
      </c>
      <c r="E2381">
        <v>161.80000000000001</v>
      </c>
      <c r="F2381">
        <v>156.4</v>
      </c>
      <c r="G2381">
        <v>152.5</v>
      </c>
      <c r="H2381" s="1" t="s">
        <v>26</v>
      </c>
    </row>
    <row r="2382" spans="1:8" x14ac:dyDescent="0.3">
      <c r="A2382">
        <v>2020</v>
      </c>
      <c r="B2382" t="s">
        <v>40</v>
      </c>
      <c r="C2382" t="s">
        <v>139</v>
      </c>
      <c r="D2382" s="1" t="s">
        <v>5</v>
      </c>
      <c r="E2382">
        <v>149.4</v>
      </c>
      <c r="F2382">
        <v>151.4</v>
      </c>
      <c r="G2382">
        <v>154.6</v>
      </c>
      <c r="H2382" s="1" t="s">
        <v>188</v>
      </c>
    </row>
    <row r="2383" spans="1:8" x14ac:dyDescent="0.3">
      <c r="A2383">
        <v>2020</v>
      </c>
      <c r="B2383" t="s">
        <v>40</v>
      </c>
      <c r="C2383" t="s">
        <v>139</v>
      </c>
      <c r="D2383" s="1" t="s">
        <v>15</v>
      </c>
      <c r="E2383">
        <v>152.30000000000001</v>
      </c>
      <c r="F2383">
        <v>154</v>
      </c>
      <c r="G2383">
        <v>157</v>
      </c>
      <c r="H2383" s="1" t="s">
        <v>188</v>
      </c>
    </row>
    <row r="2384" spans="1:8" x14ac:dyDescent="0.3">
      <c r="A2384">
        <v>2020</v>
      </c>
      <c r="B2384" t="s">
        <v>40</v>
      </c>
      <c r="C2384" t="s">
        <v>139</v>
      </c>
      <c r="D2384" s="1" t="s">
        <v>18</v>
      </c>
      <c r="E2384">
        <v>150</v>
      </c>
      <c r="F2384">
        <v>144.4</v>
      </c>
      <c r="G2384">
        <v>136.6</v>
      </c>
      <c r="H2384" s="1" t="s">
        <v>189</v>
      </c>
    </row>
    <row r="2385" spans="1:8" x14ac:dyDescent="0.3">
      <c r="A2385">
        <v>2020</v>
      </c>
      <c r="B2385" t="s">
        <v>40</v>
      </c>
      <c r="C2385" t="s">
        <v>139</v>
      </c>
      <c r="D2385" s="1" t="s">
        <v>8</v>
      </c>
      <c r="E2385">
        <v>143.19999999999999</v>
      </c>
      <c r="F2385">
        <v>147.19999999999999</v>
      </c>
      <c r="G2385">
        <v>151.80000000000001</v>
      </c>
      <c r="H2385" s="1" t="s">
        <v>188</v>
      </c>
    </row>
    <row r="2386" spans="1:8" x14ac:dyDescent="0.3">
      <c r="A2386">
        <v>2020</v>
      </c>
      <c r="B2386" t="s">
        <v>40</v>
      </c>
      <c r="C2386" t="s">
        <v>139</v>
      </c>
      <c r="D2386" s="1" t="s">
        <v>21</v>
      </c>
      <c r="E2386">
        <v>144.9</v>
      </c>
      <c r="F2386">
        <v>141.9</v>
      </c>
      <c r="G2386">
        <v>137.1</v>
      </c>
      <c r="H2386" s="1" t="s">
        <v>190</v>
      </c>
    </row>
    <row r="2387" spans="1:8" x14ac:dyDescent="0.3">
      <c r="A2387">
        <v>2020</v>
      </c>
      <c r="B2387" t="s">
        <v>40</v>
      </c>
      <c r="C2387" t="s">
        <v>139</v>
      </c>
      <c r="D2387" s="1" t="s">
        <v>29</v>
      </c>
      <c r="E2387">
        <v>152.69999999999999</v>
      </c>
      <c r="F2387">
        <v>151.80000000000001</v>
      </c>
      <c r="G2387">
        <v>150.80000000000001</v>
      </c>
      <c r="H2387" s="1" t="s">
        <v>206</v>
      </c>
    </row>
    <row r="2388" spans="1:8" x14ac:dyDescent="0.3">
      <c r="A2388">
        <v>2020</v>
      </c>
      <c r="B2388" t="s">
        <v>40</v>
      </c>
      <c r="C2388" t="s">
        <v>139</v>
      </c>
      <c r="D2388" s="1" t="s">
        <v>23</v>
      </c>
      <c r="E2388">
        <v>158.19999999999999</v>
      </c>
      <c r="F2388">
        <v>154.4</v>
      </c>
      <c r="G2388">
        <v>148.1</v>
      </c>
      <c r="H2388" s="1" t="s">
        <v>23</v>
      </c>
    </row>
    <row r="2389" spans="1:8" x14ac:dyDescent="0.3">
      <c r="A2389">
        <v>2020</v>
      </c>
      <c r="B2389" t="s">
        <v>40</v>
      </c>
      <c r="C2389" t="s">
        <v>139</v>
      </c>
      <c r="D2389" s="1" t="s">
        <v>22</v>
      </c>
      <c r="E2389">
        <v>151.69999999999999</v>
      </c>
      <c r="F2389">
        <v>146.4</v>
      </c>
      <c r="G2389">
        <v>140.4</v>
      </c>
      <c r="H2389" s="1" t="s">
        <v>20</v>
      </c>
    </row>
    <row r="2390" spans="1:8" x14ac:dyDescent="0.3">
      <c r="A2390">
        <v>2020</v>
      </c>
      <c r="B2390" t="s">
        <v>40</v>
      </c>
      <c r="C2390" t="s">
        <v>139</v>
      </c>
      <c r="D2390" s="1" t="s">
        <v>20</v>
      </c>
      <c r="E2390">
        <v>0</v>
      </c>
      <c r="F2390">
        <v>154.69999999999999</v>
      </c>
      <c r="G2390">
        <v>154.69999999999999</v>
      </c>
      <c r="H2390" s="1" t="s">
        <v>20</v>
      </c>
    </row>
    <row r="2391" spans="1:8" x14ac:dyDescent="0.3">
      <c r="A2391">
        <v>2020</v>
      </c>
      <c r="B2391" t="s">
        <v>40</v>
      </c>
      <c r="C2391" t="s">
        <v>139</v>
      </c>
      <c r="D2391" s="1" t="s">
        <v>4</v>
      </c>
      <c r="E2391">
        <v>190.3</v>
      </c>
      <c r="F2391">
        <v>192.7</v>
      </c>
      <c r="G2391">
        <v>197</v>
      </c>
      <c r="H2391" s="1" t="s">
        <v>188</v>
      </c>
    </row>
    <row r="2392" spans="1:8" x14ac:dyDescent="0.3">
      <c r="A2392">
        <v>2020</v>
      </c>
      <c r="B2392" t="s">
        <v>40</v>
      </c>
      <c r="C2392" t="s">
        <v>139</v>
      </c>
      <c r="D2392" s="1" t="s">
        <v>6</v>
      </c>
      <c r="E2392">
        <v>153.30000000000001</v>
      </c>
      <c r="F2392">
        <v>153.30000000000001</v>
      </c>
      <c r="G2392">
        <v>153.4</v>
      </c>
      <c r="H2392" s="1" t="s">
        <v>188</v>
      </c>
    </row>
    <row r="2393" spans="1:8" x14ac:dyDescent="0.3">
      <c r="A2393">
        <v>2020</v>
      </c>
      <c r="B2393" t="s">
        <v>40</v>
      </c>
      <c r="C2393" t="s">
        <v>139</v>
      </c>
      <c r="D2393" s="1" t="s">
        <v>28</v>
      </c>
      <c r="E2393">
        <v>151.69999999999999</v>
      </c>
      <c r="F2393">
        <v>147</v>
      </c>
      <c r="G2393">
        <v>142</v>
      </c>
      <c r="H2393" s="1" t="s">
        <v>192</v>
      </c>
    </row>
    <row r="2394" spans="1:8" x14ac:dyDescent="0.3">
      <c r="A2394">
        <v>2020</v>
      </c>
      <c r="B2394" t="s">
        <v>40</v>
      </c>
      <c r="C2394" t="s">
        <v>139</v>
      </c>
      <c r="D2394" s="1" t="s">
        <v>13</v>
      </c>
      <c r="E2394">
        <v>142.1</v>
      </c>
      <c r="F2394">
        <v>139.4</v>
      </c>
      <c r="G2394">
        <v>135.6</v>
      </c>
      <c r="H2394" s="1" t="s">
        <v>188</v>
      </c>
    </row>
    <row r="2395" spans="1:8" x14ac:dyDescent="0.3">
      <c r="A2395">
        <v>2020</v>
      </c>
      <c r="B2395" t="s">
        <v>40</v>
      </c>
      <c r="C2395" t="s">
        <v>139</v>
      </c>
      <c r="D2395" s="1" t="s">
        <v>7</v>
      </c>
      <c r="E2395">
        <v>138.19999999999999</v>
      </c>
      <c r="F2395">
        <v>136.30000000000001</v>
      </c>
      <c r="G2395">
        <v>132.9</v>
      </c>
      <c r="H2395" s="1" t="s">
        <v>188</v>
      </c>
    </row>
    <row r="2396" spans="1:8" x14ac:dyDescent="0.3">
      <c r="A2396">
        <v>2020</v>
      </c>
      <c r="B2396" t="s">
        <v>40</v>
      </c>
      <c r="C2396" t="s">
        <v>139</v>
      </c>
      <c r="D2396" s="1" t="s">
        <v>16</v>
      </c>
      <c r="E2396">
        <v>182.4</v>
      </c>
      <c r="F2396">
        <v>183.5</v>
      </c>
      <c r="G2396">
        <v>186.7</v>
      </c>
      <c r="H2396" s="1" t="s">
        <v>192</v>
      </c>
    </row>
    <row r="2397" spans="1:8" x14ac:dyDescent="0.3">
      <c r="A2397">
        <v>2020</v>
      </c>
      <c r="B2397" t="s">
        <v>40</v>
      </c>
      <c r="C2397" t="s">
        <v>139</v>
      </c>
      <c r="D2397" s="1" t="s">
        <v>27</v>
      </c>
      <c r="E2397">
        <v>151.19999999999999</v>
      </c>
      <c r="F2397">
        <v>151.6</v>
      </c>
      <c r="G2397">
        <v>152.19999999999999</v>
      </c>
      <c r="H2397" s="1" t="s">
        <v>192</v>
      </c>
    </row>
    <row r="2398" spans="1:8" x14ac:dyDescent="0.3">
      <c r="A2398">
        <v>2020</v>
      </c>
      <c r="B2398" t="s">
        <v>40</v>
      </c>
      <c r="C2398" t="s">
        <v>139</v>
      </c>
      <c r="D2398" s="1" t="s">
        <v>14</v>
      </c>
      <c r="E2398">
        <v>161.80000000000001</v>
      </c>
      <c r="F2398">
        <v>161.80000000000001</v>
      </c>
      <c r="G2398">
        <v>161.69999999999999</v>
      </c>
      <c r="H2398" s="1" t="s">
        <v>188</v>
      </c>
    </row>
    <row r="2399" spans="1:8" x14ac:dyDescent="0.3">
      <c r="A2399">
        <v>2020</v>
      </c>
      <c r="B2399" t="s">
        <v>40</v>
      </c>
      <c r="C2399" t="s">
        <v>139</v>
      </c>
      <c r="D2399" s="1" t="s">
        <v>10</v>
      </c>
      <c r="E2399">
        <v>150.30000000000001</v>
      </c>
      <c r="F2399">
        <v>150.9</v>
      </c>
      <c r="G2399">
        <v>152</v>
      </c>
      <c r="H2399" s="1" t="s">
        <v>188</v>
      </c>
    </row>
    <row r="2400" spans="1:8" x14ac:dyDescent="0.3">
      <c r="A2400">
        <v>2020</v>
      </c>
      <c r="B2400" t="s">
        <v>40</v>
      </c>
      <c r="C2400" t="s">
        <v>139</v>
      </c>
      <c r="D2400" s="1" t="s">
        <v>25</v>
      </c>
      <c r="E2400">
        <v>153.19999999999999</v>
      </c>
      <c r="F2400">
        <v>148.30000000000001</v>
      </c>
      <c r="G2400">
        <v>144.5</v>
      </c>
      <c r="H2400" s="1" t="s">
        <v>195</v>
      </c>
    </row>
    <row r="2401" spans="1:8" x14ac:dyDescent="0.3">
      <c r="A2401">
        <v>2020</v>
      </c>
      <c r="B2401" t="s">
        <v>40</v>
      </c>
      <c r="C2401" t="s">
        <v>139</v>
      </c>
      <c r="D2401" s="1" t="s">
        <v>12</v>
      </c>
      <c r="E2401">
        <v>159.80000000000001</v>
      </c>
      <c r="F2401">
        <v>159.5</v>
      </c>
      <c r="G2401">
        <v>158.80000000000001</v>
      </c>
      <c r="H2401" s="1" t="s">
        <v>188</v>
      </c>
    </row>
    <row r="2402" spans="1:8" x14ac:dyDescent="0.3">
      <c r="A2402">
        <v>2020</v>
      </c>
      <c r="B2402" t="s">
        <v>40</v>
      </c>
      <c r="C2402" t="s">
        <v>139</v>
      </c>
      <c r="D2402" s="1" t="s">
        <v>11</v>
      </c>
      <c r="E2402">
        <v>113.2</v>
      </c>
      <c r="F2402">
        <v>114.2</v>
      </c>
      <c r="G2402">
        <v>116.3</v>
      </c>
      <c r="H2402" s="1" t="s">
        <v>188</v>
      </c>
    </row>
    <row r="2403" spans="1:8" x14ac:dyDescent="0.3">
      <c r="A2403">
        <v>2020</v>
      </c>
      <c r="B2403" t="s">
        <v>40</v>
      </c>
      <c r="C2403" t="s">
        <v>139</v>
      </c>
      <c r="D2403" s="1" t="s">
        <v>24</v>
      </c>
      <c r="E2403">
        <v>141.4</v>
      </c>
      <c r="F2403">
        <v>135</v>
      </c>
      <c r="G2403">
        <v>129.30000000000001</v>
      </c>
      <c r="H2403" s="1" t="s">
        <v>191</v>
      </c>
    </row>
    <row r="2404" spans="1:8" x14ac:dyDescent="0.3">
      <c r="A2404">
        <v>2020</v>
      </c>
      <c r="B2404" t="s">
        <v>40</v>
      </c>
      <c r="C2404" t="s">
        <v>139</v>
      </c>
      <c r="D2404" s="1" t="s">
        <v>9</v>
      </c>
      <c r="E2404">
        <v>148.9</v>
      </c>
      <c r="F2404">
        <v>156.5</v>
      </c>
      <c r="G2404">
        <v>171.2</v>
      </c>
      <c r="H2404" s="1" t="s">
        <v>188</v>
      </c>
    </row>
    <row r="2405" spans="1:8" x14ac:dyDescent="0.3">
      <c r="A2405">
        <v>2020</v>
      </c>
      <c r="B2405" t="s">
        <v>39</v>
      </c>
      <c r="C2405" t="s">
        <v>140</v>
      </c>
      <c r="D2405" s="1" t="s">
        <v>3</v>
      </c>
      <c r="E2405">
        <v>148.19999999999999</v>
      </c>
      <c r="F2405">
        <v>149.6</v>
      </c>
      <c r="G2405">
        <v>152.69999999999999</v>
      </c>
      <c r="H2405" s="1" t="s">
        <v>188</v>
      </c>
    </row>
    <row r="2406" spans="1:8" x14ac:dyDescent="0.3">
      <c r="A2406">
        <v>2020</v>
      </c>
      <c r="B2406" t="s">
        <v>39</v>
      </c>
      <c r="C2406" t="s">
        <v>140</v>
      </c>
      <c r="D2406" s="1" t="s">
        <v>17</v>
      </c>
      <c r="E2406">
        <v>154.69999999999999</v>
      </c>
      <c r="F2406">
        <v>152.5</v>
      </c>
      <c r="G2406">
        <v>149.1</v>
      </c>
      <c r="H2406" s="1" t="s">
        <v>189</v>
      </c>
    </row>
    <row r="2407" spans="1:8" x14ac:dyDescent="0.3">
      <c r="A2407">
        <v>2020</v>
      </c>
      <c r="B2407" t="s">
        <v>39</v>
      </c>
      <c r="C2407" t="s">
        <v>140</v>
      </c>
      <c r="D2407" s="1" t="s">
        <v>19</v>
      </c>
      <c r="E2407">
        <v>154.1</v>
      </c>
      <c r="F2407">
        <v>151.4</v>
      </c>
      <c r="G2407">
        <v>147.19999999999999</v>
      </c>
      <c r="H2407" s="1" t="s">
        <v>189</v>
      </c>
    </row>
    <row r="2408" spans="1:8" x14ac:dyDescent="0.3">
      <c r="A2408">
        <v>2020</v>
      </c>
      <c r="B2408" t="s">
        <v>39</v>
      </c>
      <c r="C2408" t="s">
        <v>140</v>
      </c>
      <c r="D2408" s="1" t="s">
        <v>26</v>
      </c>
      <c r="E2408">
        <v>161.80000000000001</v>
      </c>
      <c r="F2408">
        <v>156.4</v>
      </c>
      <c r="G2408">
        <v>152.5</v>
      </c>
      <c r="H2408" s="1" t="s">
        <v>26</v>
      </c>
    </row>
    <row r="2409" spans="1:8" x14ac:dyDescent="0.3">
      <c r="A2409">
        <v>2020</v>
      </c>
      <c r="B2409" t="s">
        <v>39</v>
      </c>
      <c r="C2409" t="s">
        <v>140</v>
      </c>
      <c r="D2409" s="1" t="s">
        <v>5</v>
      </c>
      <c r="E2409">
        <v>149.4</v>
      </c>
      <c r="F2409">
        <v>151.4</v>
      </c>
      <c r="G2409">
        <v>154.6</v>
      </c>
      <c r="H2409" s="1" t="s">
        <v>188</v>
      </c>
    </row>
    <row r="2410" spans="1:8" x14ac:dyDescent="0.3">
      <c r="A2410">
        <v>2020</v>
      </c>
      <c r="B2410" t="s">
        <v>39</v>
      </c>
      <c r="C2410" t="s">
        <v>140</v>
      </c>
      <c r="D2410" s="1" t="s">
        <v>15</v>
      </c>
      <c r="E2410">
        <v>152.30000000000001</v>
      </c>
      <c r="F2410">
        <v>154</v>
      </c>
      <c r="G2410">
        <v>157</v>
      </c>
      <c r="H2410" s="1" t="s">
        <v>188</v>
      </c>
    </row>
    <row r="2411" spans="1:8" x14ac:dyDescent="0.3">
      <c r="A2411">
        <v>2020</v>
      </c>
      <c r="B2411" t="s">
        <v>39</v>
      </c>
      <c r="C2411" t="s">
        <v>140</v>
      </c>
      <c r="D2411" s="1" t="s">
        <v>18</v>
      </c>
      <c r="E2411">
        <v>150</v>
      </c>
      <c r="F2411">
        <v>144.4</v>
      </c>
      <c r="G2411">
        <v>136.6</v>
      </c>
      <c r="H2411" s="1" t="s">
        <v>189</v>
      </c>
    </row>
    <row r="2412" spans="1:8" x14ac:dyDescent="0.3">
      <c r="A2412">
        <v>2020</v>
      </c>
      <c r="B2412" t="s">
        <v>39</v>
      </c>
      <c r="C2412" t="s">
        <v>140</v>
      </c>
      <c r="D2412" s="1" t="s">
        <v>8</v>
      </c>
      <c r="E2412">
        <v>143.19999999999999</v>
      </c>
      <c r="F2412">
        <v>147.19999999999999</v>
      </c>
      <c r="G2412">
        <v>151.80000000000001</v>
      </c>
      <c r="H2412" s="1" t="s">
        <v>188</v>
      </c>
    </row>
    <row r="2413" spans="1:8" x14ac:dyDescent="0.3">
      <c r="A2413">
        <v>2020</v>
      </c>
      <c r="B2413" t="s">
        <v>39</v>
      </c>
      <c r="C2413" t="s">
        <v>140</v>
      </c>
      <c r="D2413" s="1" t="s">
        <v>21</v>
      </c>
      <c r="E2413">
        <v>144.9</v>
      </c>
      <c r="F2413">
        <v>141.9</v>
      </c>
      <c r="G2413">
        <v>137.1</v>
      </c>
      <c r="H2413" s="1" t="s">
        <v>190</v>
      </c>
    </row>
    <row r="2414" spans="1:8" x14ac:dyDescent="0.3">
      <c r="A2414">
        <v>2020</v>
      </c>
      <c r="B2414" t="s">
        <v>39</v>
      </c>
      <c r="C2414" t="s">
        <v>140</v>
      </c>
      <c r="D2414" s="1" t="s">
        <v>29</v>
      </c>
      <c r="E2414">
        <v>152.69999999999999</v>
      </c>
      <c r="F2414">
        <v>151.80000000000001</v>
      </c>
      <c r="G2414">
        <v>150.80000000000001</v>
      </c>
      <c r="H2414" s="1" t="s">
        <v>206</v>
      </c>
    </row>
    <row r="2415" spans="1:8" x14ac:dyDescent="0.3">
      <c r="A2415">
        <v>2020</v>
      </c>
      <c r="B2415" t="s">
        <v>39</v>
      </c>
      <c r="C2415" t="s">
        <v>140</v>
      </c>
      <c r="D2415" s="1" t="s">
        <v>23</v>
      </c>
      <c r="E2415">
        <v>158.19999999999999</v>
      </c>
      <c r="F2415">
        <v>154.4</v>
      </c>
      <c r="G2415">
        <v>148.1</v>
      </c>
      <c r="H2415" s="1" t="s">
        <v>23</v>
      </c>
    </row>
    <row r="2416" spans="1:8" x14ac:dyDescent="0.3">
      <c r="A2416">
        <v>2020</v>
      </c>
      <c r="B2416" t="s">
        <v>39</v>
      </c>
      <c r="C2416" t="s">
        <v>140</v>
      </c>
      <c r="D2416" s="1" t="s">
        <v>22</v>
      </c>
      <c r="E2416">
        <v>151.69999999999999</v>
      </c>
      <c r="F2416">
        <v>146.4</v>
      </c>
      <c r="G2416">
        <v>140.4</v>
      </c>
      <c r="H2416" s="1" t="s">
        <v>20</v>
      </c>
    </row>
    <row r="2417" spans="1:8" x14ac:dyDescent="0.3">
      <c r="A2417">
        <v>2020</v>
      </c>
      <c r="B2417" t="s">
        <v>39</v>
      </c>
      <c r="C2417" t="s">
        <v>140</v>
      </c>
      <c r="D2417" s="1" t="s">
        <v>20</v>
      </c>
      <c r="E2417">
        <v>0</v>
      </c>
      <c r="F2417">
        <v>154.69999999999999</v>
      </c>
      <c r="G2417">
        <v>154.69999999999999</v>
      </c>
      <c r="H2417" s="1" t="s">
        <v>20</v>
      </c>
    </row>
    <row r="2418" spans="1:8" x14ac:dyDescent="0.3">
      <c r="A2418">
        <v>2020</v>
      </c>
      <c r="B2418" t="s">
        <v>39</v>
      </c>
      <c r="C2418" t="s">
        <v>140</v>
      </c>
      <c r="D2418" s="1" t="s">
        <v>4</v>
      </c>
      <c r="E2418">
        <v>190.3</v>
      </c>
      <c r="F2418">
        <v>192.7</v>
      </c>
      <c r="G2418">
        <v>197</v>
      </c>
      <c r="H2418" s="1" t="s">
        <v>188</v>
      </c>
    </row>
    <row r="2419" spans="1:8" x14ac:dyDescent="0.3">
      <c r="A2419">
        <v>2020</v>
      </c>
      <c r="B2419" t="s">
        <v>39</v>
      </c>
      <c r="C2419" t="s">
        <v>140</v>
      </c>
      <c r="D2419" s="1" t="s">
        <v>6</v>
      </c>
      <c r="E2419">
        <v>153.30000000000001</v>
      </c>
      <c r="F2419">
        <v>153.30000000000001</v>
      </c>
      <c r="G2419">
        <v>153.4</v>
      </c>
      <c r="H2419" s="1" t="s">
        <v>188</v>
      </c>
    </row>
    <row r="2420" spans="1:8" x14ac:dyDescent="0.3">
      <c r="A2420">
        <v>2020</v>
      </c>
      <c r="B2420" t="s">
        <v>39</v>
      </c>
      <c r="C2420" t="s">
        <v>140</v>
      </c>
      <c r="D2420" s="1" t="s">
        <v>28</v>
      </c>
      <c r="E2420">
        <v>151.69999999999999</v>
      </c>
      <c r="F2420">
        <v>147</v>
      </c>
      <c r="G2420">
        <v>142</v>
      </c>
      <c r="H2420" s="1" t="s">
        <v>192</v>
      </c>
    </row>
    <row r="2421" spans="1:8" x14ac:dyDescent="0.3">
      <c r="A2421">
        <v>2020</v>
      </c>
      <c r="B2421" t="s">
        <v>39</v>
      </c>
      <c r="C2421" t="s">
        <v>140</v>
      </c>
      <c r="D2421" s="1" t="s">
        <v>13</v>
      </c>
      <c r="E2421">
        <v>142.1</v>
      </c>
      <c r="F2421">
        <v>139.4</v>
      </c>
      <c r="G2421">
        <v>135.6</v>
      </c>
      <c r="H2421" s="1" t="s">
        <v>188</v>
      </c>
    </row>
    <row r="2422" spans="1:8" x14ac:dyDescent="0.3">
      <c r="A2422">
        <v>2020</v>
      </c>
      <c r="B2422" t="s">
        <v>39</v>
      </c>
      <c r="C2422" t="s">
        <v>140</v>
      </c>
      <c r="D2422" s="1" t="s">
        <v>7</v>
      </c>
      <c r="E2422">
        <v>138.19999999999999</v>
      </c>
      <c r="F2422">
        <v>136.30000000000001</v>
      </c>
      <c r="G2422">
        <v>132.9</v>
      </c>
      <c r="H2422" s="1" t="s">
        <v>188</v>
      </c>
    </row>
    <row r="2423" spans="1:8" x14ac:dyDescent="0.3">
      <c r="A2423">
        <v>2020</v>
      </c>
      <c r="B2423" t="s">
        <v>39</v>
      </c>
      <c r="C2423" t="s">
        <v>140</v>
      </c>
      <c r="D2423" s="1" t="s">
        <v>16</v>
      </c>
      <c r="E2423">
        <v>182.4</v>
      </c>
      <c r="F2423">
        <v>183.5</v>
      </c>
      <c r="G2423">
        <v>186.7</v>
      </c>
      <c r="H2423" s="1" t="s">
        <v>192</v>
      </c>
    </row>
    <row r="2424" spans="1:8" x14ac:dyDescent="0.3">
      <c r="A2424">
        <v>2020</v>
      </c>
      <c r="B2424" t="s">
        <v>39</v>
      </c>
      <c r="C2424" t="s">
        <v>140</v>
      </c>
      <c r="D2424" s="1" t="s">
        <v>27</v>
      </c>
      <c r="E2424">
        <v>151.19999999999999</v>
      </c>
      <c r="F2424">
        <v>151.6</v>
      </c>
      <c r="G2424">
        <v>152.19999999999999</v>
      </c>
      <c r="H2424" s="1" t="s">
        <v>192</v>
      </c>
    </row>
    <row r="2425" spans="1:8" x14ac:dyDescent="0.3">
      <c r="A2425">
        <v>2020</v>
      </c>
      <c r="B2425" t="s">
        <v>39</v>
      </c>
      <c r="C2425" t="s">
        <v>140</v>
      </c>
      <c r="D2425" s="1" t="s">
        <v>14</v>
      </c>
      <c r="E2425">
        <v>161.80000000000001</v>
      </c>
      <c r="F2425">
        <v>161.80000000000001</v>
      </c>
      <c r="G2425">
        <v>161.69999999999999</v>
      </c>
      <c r="H2425" s="1" t="s">
        <v>188</v>
      </c>
    </row>
    <row r="2426" spans="1:8" x14ac:dyDescent="0.3">
      <c r="A2426">
        <v>2020</v>
      </c>
      <c r="B2426" t="s">
        <v>39</v>
      </c>
      <c r="C2426" t="s">
        <v>140</v>
      </c>
      <c r="D2426" s="1" t="s">
        <v>10</v>
      </c>
      <c r="E2426">
        <v>150.30000000000001</v>
      </c>
      <c r="F2426">
        <v>150.9</v>
      </c>
      <c r="G2426">
        <v>152</v>
      </c>
      <c r="H2426" s="1" t="s">
        <v>188</v>
      </c>
    </row>
    <row r="2427" spans="1:8" x14ac:dyDescent="0.3">
      <c r="A2427">
        <v>2020</v>
      </c>
      <c r="B2427" t="s">
        <v>39</v>
      </c>
      <c r="C2427" t="s">
        <v>140</v>
      </c>
      <c r="D2427" s="1" t="s">
        <v>25</v>
      </c>
      <c r="E2427">
        <v>153.19999999999999</v>
      </c>
      <c r="F2427">
        <v>148.30000000000001</v>
      </c>
      <c r="G2427">
        <v>144.5</v>
      </c>
      <c r="H2427" s="1" t="s">
        <v>195</v>
      </c>
    </row>
    <row r="2428" spans="1:8" x14ac:dyDescent="0.3">
      <c r="A2428">
        <v>2020</v>
      </c>
      <c r="B2428" t="s">
        <v>39</v>
      </c>
      <c r="C2428" t="s">
        <v>140</v>
      </c>
      <c r="D2428" s="1" t="s">
        <v>12</v>
      </c>
      <c r="E2428">
        <v>159.80000000000001</v>
      </c>
      <c r="F2428">
        <v>159.5</v>
      </c>
      <c r="G2428">
        <v>158.80000000000001</v>
      </c>
      <c r="H2428" s="1" t="s">
        <v>188</v>
      </c>
    </row>
    <row r="2429" spans="1:8" x14ac:dyDescent="0.3">
      <c r="A2429">
        <v>2020</v>
      </c>
      <c r="B2429" t="s">
        <v>39</v>
      </c>
      <c r="C2429" t="s">
        <v>140</v>
      </c>
      <c r="D2429" s="1" t="s">
        <v>11</v>
      </c>
      <c r="E2429">
        <v>113.2</v>
      </c>
      <c r="F2429">
        <v>114.2</v>
      </c>
      <c r="G2429">
        <v>116.3</v>
      </c>
      <c r="H2429" s="1" t="s">
        <v>188</v>
      </c>
    </row>
    <row r="2430" spans="1:8" x14ac:dyDescent="0.3">
      <c r="A2430">
        <v>2020</v>
      </c>
      <c r="B2430" t="s">
        <v>39</v>
      </c>
      <c r="C2430" t="s">
        <v>140</v>
      </c>
      <c r="D2430" s="1" t="s">
        <v>24</v>
      </c>
      <c r="E2430">
        <v>141.4</v>
      </c>
      <c r="F2430">
        <v>135</v>
      </c>
      <c r="G2430">
        <v>129.30000000000001</v>
      </c>
      <c r="H2430" s="1" t="s">
        <v>191</v>
      </c>
    </row>
    <row r="2431" spans="1:8" x14ac:dyDescent="0.3">
      <c r="A2431">
        <v>2020</v>
      </c>
      <c r="B2431" t="s">
        <v>39</v>
      </c>
      <c r="C2431" t="s">
        <v>140</v>
      </c>
      <c r="D2431" s="1" t="s">
        <v>9</v>
      </c>
      <c r="E2431">
        <v>148.9</v>
      </c>
      <c r="F2431">
        <v>156.5</v>
      </c>
      <c r="G2431">
        <v>171.2</v>
      </c>
      <c r="H2431" s="1" t="s">
        <v>188</v>
      </c>
    </row>
    <row r="2432" spans="1:8" x14ac:dyDescent="0.3">
      <c r="A2432">
        <v>2020</v>
      </c>
      <c r="B2432" t="s">
        <v>36</v>
      </c>
      <c r="C2432" t="s">
        <v>50</v>
      </c>
      <c r="D2432" s="1" t="s">
        <v>3</v>
      </c>
      <c r="E2432">
        <v>144.4</v>
      </c>
      <c r="F2432">
        <v>145.1</v>
      </c>
      <c r="G2432">
        <v>146.5</v>
      </c>
      <c r="H2432" s="1" t="s">
        <v>188</v>
      </c>
    </row>
    <row r="2433" spans="1:8" x14ac:dyDescent="0.3">
      <c r="A2433">
        <v>2020</v>
      </c>
      <c r="B2433" t="s">
        <v>36</v>
      </c>
      <c r="C2433" t="s">
        <v>50</v>
      </c>
      <c r="D2433" s="1" t="s">
        <v>17</v>
      </c>
      <c r="E2433">
        <v>153.4</v>
      </c>
      <c r="F2433">
        <v>151.19999999999999</v>
      </c>
      <c r="G2433">
        <v>147.69999999999999</v>
      </c>
      <c r="H2433" s="1" t="s">
        <v>189</v>
      </c>
    </row>
    <row r="2434" spans="1:8" x14ac:dyDescent="0.3">
      <c r="A2434">
        <v>2020</v>
      </c>
      <c r="B2434" t="s">
        <v>36</v>
      </c>
      <c r="C2434" t="s">
        <v>50</v>
      </c>
      <c r="D2434" s="1" t="s">
        <v>19</v>
      </c>
      <c r="E2434">
        <v>152.5</v>
      </c>
      <c r="F2434">
        <v>149.80000000000001</v>
      </c>
      <c r="G2434">
        <v>145.6</v>
      </c>
      <c r="H2434" s="1" t="s">
        <v>189</v>
      </c>
    </row>
    <row r="2435" spans="1:8" x14ac:dyDescent="0.3">
      <c r="A2435">
        <v>2020</v>
      </c>
      <c r="B2435" t="s">
        <v>36</v>
      </c>
      <c r="C2435" t="s">
        <v>50</v>
      </c>
      <c r="D2435" s="1" t="s">
        <v>26</v>
      </c>
      <c r="E2435">
        <v>161.19999999999999</v>
      </c>
      <c r="F2435">
        <v>156.1</v>
      </c>
      <c r="G2435">
        <v>152.5</v>
      </c>
      <c r="H2435" s="1" t="s">
        <v>26</v>
      </c>
    </row>
    <row r="2436" spans="1:8" x14ac:dyDescent="0.3">
      <c r="A2436">
        <v>2020</v>
      </c>
      <c r="B2436" t="s">
        <v>36</v>
      </c>
      <c r="C2436" t="s">
        <v>50</v>
      </c>
      <c r="D2436" s="1" t="s">
        <v>5</v>
      </c>
      <c r="E2436">
        <v>147.6</v>
      </c>
      <c r="F2436">
        <v>148.1</v>
      </c>
      <c r="G2436">
        <v>148.9</v>
      </c>
      <c r="H2436" s="1" t="s">
        <v>188</v>
      </c>
    </row>
    <row r="2437" spans="1:8" x14ac:dyDescent="0.3">
      <c r="A2437">
        <v>2020</v>
      </c>
      <c r="B2437" t="s">
        <v>36</v>
      </c>
      <c r="C2437" t="s">
        <v>50</v>
      </c>
      <c r="D2437" s="1" t="s">
        <v>15</v>
      </c>
      <c r="E2437">
        <v>148.19999999999999</v>
      </c>
      <c r="F2437">
        <v>148.9</v>
      </c>
      <c r="G2437">
        <v>150.1</v>
      </c>
      <c r="H2437" s="1" t="s">
        <v>188</v>
      </c>
    </row>
    <row r="2438" spans="1:8" x14ac:dyDescent="0.3">
      <c r="A2438">
        <v>2020</v>
      </c>
      <c r="B2438" t="s">
        <v>36</v>
      </c>
      <c r="C2438" t="s">
        <v>50</v>
      </c>
      <c r="D2438" s="1" t="s">
        <v>18</v>
      </c>
      <c r="E2438">
        <v>147.6</v>
      </c>
      <c r="F2438">
        <v>141.9</v>
      </c>
      <c r="G2438">
        <v>133.80000000000001</v>
      </c>
      <c r="H2438" s="1" t="s">
        <v>189</v>
      </c>
    </row>
    <row r="2439" spans="1:8" x14ac:dyDescent="0.3">
      <c r="A2439">
        <v>2020</v>
      </c>
      <c r="B2439" t="s">
        <v>36</v>
      </c>
      <c r="C2439" t="s">
        <v>50</v>
      </c>
      <c r="D2439" s="1" t="s">
        <v>8</v>
      </c>
      <c r="E2439">
        <v>141.80000000000001</v>
      </c>
      <c r="F2439">
        <v>142.5</v>
      </c>
      <c r="G2439">
        <v>143.30000000000001</v>
      </c>
      <c r="H2439" s="1" t="s">
        <v>188</v>
      </c>
    </row>
    <row r="2440" spans="1:8" x14ac:dyDescent="0.3">
      <c r="A2440">
        <v>2020</v>
      </c>
      <c r="B2440" t="s">
        <v>36</v>
      </c>
      <c r="C2440" t="s">
        <v>50</v>
      </c>
      <c r="D2440" s="1" t="s">
        <v>21</v>
      </c>
      <c r="E2440">
        <v>153.4</v>
      </c>
      <c r="F2440">
        <v>148.9</v>
      </c>
      <c r="G2440">
        <v>141.4</v>
      </c>
      <c r="H2440" s="1" t="s">
        <v>190</v>
      </c>
    </row>
    <row r="2441" spans="1:8" x14ac:dyDescent="0.3">
      <c r="A2441">
        <v>2020</v>
      </c>
      <c r="B2441" t="s">
        <v>36</v>
      </c>
      <c r="C2441" t="s">
        <v>50</v>
      </c>
      <c r="D2441" s="1" t="s">
        <v>29</v>
      </c>
      <c r="E2441">
        <v>149.80000000000001</v>
      </c>
      <c r="F2441">
        <v>148.6</v>
      </c>
      <c r="G2441">
        <v>147.30000000000001</v>
      </c>
      <c r="H2441" s="1" t="s">
        <v>206</v>
      </c>
    </row>
    <row r="2442" spans="1:8" x14ac:dyDescent="0.3">
      <c r="A2442">
        <v>2020</v>
      </c>
      <c r="B2442" t="s">
        <v>36</v>
      </c>
      <c r="C2442" t="s">
        <v>50</v>
      </c>
      <c r="D2442" s="1" t="s">
        <v>23</v>
      </c>
      <c r="E2442">
        <v>156.69999999999999</v>
      </c>
      <c r="F2442">
        <v>152.30000000000001</v>
      </c>
      <c r="G2442">
        <v>145</v>
      </c>
      <c r="H2442" s="1" t="s">
        <v>23</v>
      </c>
    </row>
    <row r="2443" spans="1:8" x14ac:dyDescent="0.3">
      <c r="A2443">
        <v>2020</v>
      </c>
      <c r="B2443" t="s">
        <v>36</v>
      </c>
      <c r="C2443" t="s">
        <v>50</v>
      </c>
      <c r="D2443" s="1" t="s">
        <v>22</v>
      </c>
      <c r="E2443">
        <v>151.5</v>
      </c>
      <c r="F2443">
        <v>146.4</v>
      </c>
      <c r="G2443">
        <v>140.80000000000001</v>
      </c>
      <c r="H2443" s="1" t="s">
        <v>20</v>
      </c>
    </row>
    <row r="2444" spans="1:8" x14ac:dyDescent="0.3">
      <c r="A2444">
        <v>2020</v>
      </c>
      <c r="B2444" t="s">
        <v>36</v>
      </c>
      <c r="C2444" t="s">
        <v>50</v>
      </c>
      <c r="D2444" s="1" t="s">
        <v>20</v>
      </c>
      <c r="E2444">
        <v>0</v>
      </c>
      <c r="F2444">
        <v>154.5</v>
      </c>
      <c r="G2444">
        <v>154.5</v>
      </c>
      <c r="H2444" s="1" t="s">
        <v>20</v>
      </c>
    </row>
    <row r="2445" spans="1:8" x14ac:dyDescent="0.3">
      <c r="A2445">
        <v>2020</v>
      </c>
      <c r="B2445" t="s">
        <v>36</v>
      </c>
      <c r="C2445" t="s">
        <v>50</v>
      </c>
      <c r="D2445" s="1" t="s">
        <v>4</v>
      </c>
      <c r="E2445">
        <v>166.8</v>
      </c>
      <c r="F2445">
        <v>167</v>
      </c>
      <c r="G2445">
        <v>167.5</v>
      </c>
      <c r="H2445" s="1" t="s">
        <v>188</v>
      </c>
    </row>
    <row r="2446" spans="1:8" x14ac:dyDescent="0.3">
      <c r="A2446">
        <v>2020</v>
      </c>
      <c r="B2446" t="s">
        <v>36</v>
      </c>
      <c r="C2446" t="s">
        <v>50</v>
      </c>
      <c r="D2446" s="1" t="s">
        <v>6</v>
      </c>
      <c r="E2446">
        <v>151.69999999999999</v>
      </c>
      <c r="F2446">
        <v>151.5</v>
      </c>
      <c r="G2446">
        <v>151.1</v>
      </c>
      <c r="H2446" s="1" t="s">
        <v>188</v>
      </c>
    </row>
    <row r="2447" spans="1:8" x14ac:dyDescent="0.3">
      <c r="A2447">
        <v>2020</v>
      </c>
      <c r="B2447" t="s">
        <v>36</v>
      </c>
      <c r="C2447" t="s">
        <v>50</v>
      </c>
      <c r="D2447" s="1" t="s">
        <v>28</v>
      </c>
      <c r="E2447">
        <v>148.6</v>
      </c>
      <c r="F2447">
        <v>143.80000000000001</v>
      </c>
      <c r="G2447">
        <v>138.69999999999999</v>
      </c>
      <c r="H2447" s="1" t="s">
        <v>192</v>
      </c>
    </row>
    <row r="2448" spans="1:8" x14ac:dyDescent="0.3">
      <c r="A2448">
        <v>2020</v>
      </c>
      <c r="B2448" t="s">
        <v>36</v>
      </c>
      <c r="C2448" t="s">
        <v>50</v>
      </c>
      <c r="D2448" s="1" t="s">
        <v>13</v>
      </c>
      <c r="E2448">
        <v>140.1</v>
      </c>
      <c r="F2448">
        <v>136.69999999999999</v>
      </c>
      <c r="G2448">
        <v>131.9</v>
      </c>
      <c r="H2448" s="1" t="s">
        <v>188</v>
      </c>
    </row>
    <row r="2449" spans="1:8" x14ac:dyDescent="0.3">
      <c r="A2449">
        <v>2020</v>
      </c>
      <c r="B2449" t="s">
        <v>36</v>
      </c>
      <c r="C2449" t="s">
        <v>50</v>
      </c>
      <c r="D2449" s="1" t="s">
        <v>7</v>
      </c>
      <c r="E2449">
        <v>133.30000000000001</v>
      </c>
      <c r="F2449">
        <v>131.19999999999999</v>
      </c>
      <c r="G2449">
        <v>127.5</v>
      </c>
      <c r="H2449" s="1" t="s">
        <v>188</v>
      </c>
    </row>
    <row r="2450" spans="1:8" x14ac:dyDescent="0.3">
      <c r="A2450">
        <v>2020</v>
      </c>
      <c r="B2450" t="s">
        <v>36</v>
      </c>
      <c r="C2450" t="s">
        <v>50</v>
      </c>
      <c r="D2450" s="1" t="s">
        <v>16</v>
      </c>
      <c r="E2450">
        <v>170.5</v>
      </c>
      <c r="F2450">
        <v>171.2</v>
      </c>
      <c r="G2450">
        <v>173.3</v>
      </c>
      <c r="H2450" s="1" t="s">
        <v>192</v>
      </c>
    </row>
    <row r="2451" spans="1:8" x14ac:dyDescent="0.3">
      <c r="A2451">
        <v>2020</v>
      </c>
      <c r="B2451" t="s">
        <v>36</v>
      </c>
      <c r="C2451" t="s">
        <v>50</v>
      </c>
      <c r="D2451" s="1" t="s">
        <v>27</v>
      </c>
      <c r="E2451">
        <v>145.1</v>
      </c>
      <c r="F2451">
        <v>145.19999999999999</v>
      </c>
      <c r="G2451">
        <v>145.30000000000001</v>
      </c>
      <c r="H2451" s="1" t="s">
        <v>192</v>
      </c>
    </row>
    <row r="2452" spans="1:8" x14ac:dyDescent="0.3">
      <c r="A2452">
        <v>2020</v>
      </c>
      <c r="B2452" t="s">
        <v>36</v>
      </c>
      <c r="C2452" t="s">
        <v>50</v>
      </c>
      <c r="D2452" s="1" t="s">
        <v>14</v>
      </c>
      <c r="E2452">
        <v>160</v>
      </c>
      <c r="F2452">
        <v>159.6</v>
      </c>
      <c r="G2452">
        <v>159.1</v>
      </c>
      <c r="H2452" s="1" t="s">
        <v>188</v>
      </c>
    </row>
    <row r="2453" spans="1:8" x14ac:dyDescent="0.3">
      <c r="A2453">
        <v>2020</v>
      </c>
      <c r="B2453" t="s">
        <v>36</v>
      </c>
      <c r="C2453" t="s">
        <v>50</v>
      </c>
      <c r="D2453" s="1" t="s">
        <v>10</v>
      </c>
      <c r="E2453">
        <v>141.80000000000001</v>
      </c>
      <c r="F2453">
        <v>141.1</v>
      </c>
      <c r="G2453">
        <v>139.69999999999999</v>
      </c>
      <c r="H2453" s="1" t="s">
        <v>188</v>
      </c>
    </row>
    <row r="2454" spans="1:8" x14ac:dyDescent="0.3">
      <c r="A2454">
        <v>2020</v>
      </c>
      <c r="B2454" t="s">
        <v>36</v>
      </c>
      <c r="C2454" t="s">
        <v>50</v>
      </c>
      <c r="D2454" s="1" t="s">
        <v>25</v>
      </c>
      <c r="E2454">
        <v>151.19999999999999</v>
      </c>
      <c r="F2454">
        <v>143.69999999999999</v>
      </c>
      <c r="G2454">
        <v>137.9</v>
      </c>
      <c r="H2454" s="1" t="s">
        <v>195</v>
      </c>
    </row>
    <row r="2455" spans="1:8" x14ac:dyDescent="0.3">
      <c r="A2455">
        <v>2020</v>
      </c>
      <c r="B2455" t="s">
        <v>36</v>
      </c>
      <c r="C2455" t="s">
        <v>50</v>
      </c>
      <c r="D2455" s="1" t="s">
        <v>12</v>
      </c>
      <c r="E2455">
        <v>154</v>
      </c>
      <c r="F2455">
        <v>153.19999999999999</v>
      </c>
      <c r="G2455">
        <v>151.5</v>
      </c>
      <c r="H2455" s="1" t="s">
        <v>188</v>
      </c>
    </row>
    <row r="2456" spans="1:8" x14ac:dyDescent="0.3">
      <c r="A2456">
        <v>2020</v>
      </c>
      <c r="B2456" t="s">
        <v>36</v>
      </c>
      <c r="C2456" t="s">
        <v>50</v>
      </c>
      <c r="D2456" s="1" t="s">
        <v>11</v>
      </c>
      <c r="E2456">
        <v>112.6</v>
      </c>
      <c r="F2456">
        <v>113.2</v>
      </c>
      <c r="G2456">
        <v>114.4</v>
      </c>
      <c r="H2456" s="1" t="s">
        <v>188</v>
      </c>
    </row>
    <row r="2457" spans="1:8" x14ac:dyDescent="0.3">
      <c r="A2457">
        <v>2020</v>
      </c>
      <c r="B2457" t="s">
        <v>36</v>
      </c>
      <c r="C2457" t="s">
        <v>50</v>
      </c>
      <c r="D2457" s="1" t="s">
        <v>24</v>
      </c>
      <c r="E2457">
        <v>135.80000000000001</v>
      </c>
      <c r="F2457">
        <v>129.9</v>
      </c>
      <c r="G2457">
        <v>124.6</v>
      </c>
      <c r="H2457" s="1" t="s">
        <v>191</v>
      </c>
    </row>
    <row r="2458" spans="1:8" x14ac:dyDescent="0.3">
      <c r="A2458">
        <v>2020</v>
      </c>
      <c r="B2458" t="s">
        <v>36</v>
      </c>
      <c r="C2458" t="s">
        <v>50</v>
      </c>
      <c r="D2458" s="1" t="s">
        <v>9</v>
      </c>
      <c r="E2458">
        <v>152.30000000000001</v>
      </c>
      <c r="F2458">
        <v>157.30000000000001</v>
      </c>
      <c r="G2458">
        <v>167</v>
      </c>
      <c r="H2458" s="1" t="s">
        <v>188</v>
      </c>
    </row>
    <row r="2459" spans="1:8" x14ac:dyDescent="0.3">
      <c r="A2459">
        <v>2020</v>
      </c>
      <c r="B2459" t="s">
        <v>38</v>
      </c>
      <c r="C2459" t="s">
        <v>52</v>
      </c>
      <c r="D2459" s="1" t="s">
        <v>3</v>
      </c>
      <c r="E2459">
        <f>VLOOKUP(CPI_Inflation_Data_Structured[[#This Row],[Attribute]],'Moving Average'!$F$4:$I$32,2,0)</f>
        <v>145.26666666666668</v>
      </c>
      <c r="F2459">
        <f>VLOOKUP(CPI_Inflation_Data_Structured[[#This Row],[Attribute]],'Moving Average'!$F$4:$I$32,3,0)</f>
        <v>146.19999999999999</v>
      </c>
      <c r="G2459">
        <f>VLOOKUP(CPI_Inflation_Data_Structured[[#This Row],[Attribute]],'Moving Average'!$F$4:$I$32,4,0)</f>
        <v>148.16666666666666</v>
      </c>
      <c r="H2459" s="1" t="s">
        <v>188</v>
      </c>
    </row>
    <row r="2460" spans="1:8" x14ac:dyDescent="0.3">
      <c r="A2460">
        <v>2020</v>
      </c>
      <c r="B2460" t="s">
        <v>38</v>
      </c>
      <c r="C2460" t="s">
        <v>52</v>
      </c>
      <c r="D2460" s="1" t="s">
        <v>17</v>
      </c>
      <c r="E2460">
        <f>VLOOKUP(CPI_Inflation_Data_Structured[[#This Row],[Attribute]],'Moving Average'!$F$4:$I$32,2,0)</f>
        <v>153.15555555555557</v>
      </c>
      <c r="F2460">
        <f>VLOOKUP(CPI_Inflation_Data_Structured[[#This Row],[Attribute]],'Moving Average'!$F$4:$I$32,3,0)</f>
        <v>149.7777777777778</v>
      </c>
      <c r="G2460">
        <f>VLOOKUP(CPI_Inflation_Data_Structured[[#This Row],[Attribute]],'Moving Average'!$F$4:$I$32,4,0)</f>
        <v>148.61111111111111</v>
      </c>
      <c r="H2460" s="1" t="s">
        <v>189</v>
      </c>
    </row>
    <row r="2461" spans="1:8" x14ac:dyDescent="0.3">
      <c r="A2461">
        <v>2020</v>
      </c>
      <c r="B2461" t="s">
        <v>38</v>
      </c>
      <c r="C2461" t="s">
        <v>52</v>
      </c>
      <c r="D2461" s="1" t="s">
        <v>19</v>
      </c>
      <c r="E2461">
        <f>VLOOKUP(CPI_Inflation_Data_Structured[[#This Row],[Attribute]],'Moving Average'!$F$4:$I$32,2,0)</f>
        <v>152.36666666666667</v>
      </c>
      <c r="F2461">
        <f>VLOOKUP(CPI_Inflation_Data_Structured[[#This Row],[Attribute]],'Moving Average'!$F$4:$I$32,3,0)</f>
        <v>148.17777777777778</v>
      </c>
      <c r="G2461">
        <f>VLOOKUP(CPI_Inflation_Data_Structured[[#This Row],[Attribute]],'Moving Average'!$F$4:$I$32,4,0)</f>
        <v>146.76666666666665</v>
      </c>
      <c r="H2461" s="1" t="s">
        <v>189</v>
      </c>
    </row>
    <row r="2462" spans="1:8" x14ac:dyDescent="0.3">
      <c r="A2462">
        <v>2020</v>
      </c>
      <c r="B2462" t="s">
        <v>38</v>
      </c>
      <c r="C2462" t="s">
        <v>52</v>
      </c>
      <c r="D2462" s="1" t="s">
        <v>26</v>
      </c>
      <c r="E2462">
        <f>VLOOKUP(CPI_Inflation_Data_Structured[[#This Row],[Attribute]],'Moving Average'!$F$4:$I$32,2,0)</f>
        <v>161.56666666666669</v>
      </c>
      <c r="F2462">
        <f>VLOOKUP(CPI_Inflation_Data_Structured[[#This Row],[Attribute]],'Moving Average'!$F$4:$I$32,3,0)</f>
        <v>154.85555555555553</v>
      </c>
      <c r="G2462">
        <f>VLOOKUP(CPI_Inflation_Data_Structured[[#This Row],[Attribute]],'Moving Average'!$F$4:$I$32,4,0)</f>
        <v>153.61111111111111</v>
      </c>
      <c r="H2462" s="1" t="s">
        <v>26</v>
      </c>
    </row>
    <row r="2463" spans="1:8" x14ac:dyDescent="0.3">
      <c r="A2463">
        <v>2020</v>
      </c>
      <c r="B2463" t="s">
        <v>38</v>
      </c>
      <c r="C2463" t="s">
        <v>52</v>
      </c>
      <c r="D2463" s="1" t="s">
        <v>5</v>
      </c>
      <c r="E2463">
        <f>VLOOKUP(CPI_Inflation_Data_Structured[[#This Row],[Attribute]],'Moving Average'!$F$4:$I$32,2,0)</f>
        <v>148.46666666666667</v>
      </c>
      <c r="F2463">
        <f>VLOOKUP(CPI_Inflation_Data_Structured[[#This Row],[Attribute]],'Moving Average'!$F$4:$I$32,3,0)</f>
        <v>149.56666666666666</v>
      </c>
      <c r="G2463">
        <f>VLOOKUP(CPI_Inflation_Data_Structured[[#This Row],[Attribute]],'Moving Average'!$F$4:$I$32,4,0)</f>
        <v>151.29999999999998</v>
      </c>
      <c r="H2463" s="1" t="s">
        <v>188</v>
      </c>
    </row>
    <row r="2464" spans="1:8" x14ac:dyDescent="0.3">
      <c r="A2464">
        <v>2020</v>
      </c>
      <c r="B2464" t="s">
        <v>38</v>
      </c>
      <c r="C2464" t="s">
        <v>52</v>
      </c>
      <c r="D2464" s="1" t="s">
        <v>15</v>
      </c>
      <c r="E2464">
        <f>VLOOKUP(CPI_Inflation_Data_Structured[[#This Row],[Attribute]],'Moving Average'!$F$4:$I$32,2,0)</f>
        <v>149.36666666666667</v>
      </c>
      <c r="F2464">
        <f>VLOOKUP(CPI_Inflation_Data_Structured[[#This Row],[Attribute]],'Moving Average'!$F$4:$I$32,3,0)</f>
        <v>150.26666666666665</v>
      </c>
      <c r="G2464">
        <f>VLOOKUP(CPI_Inflation_Data_Structured[[#This Row],[Attribute]],'Moving Average'!$F$4:$I$32,4,0)</f>
        <v>151.76666666666665</v>
      </c>
      <c r="H2464" s="1" t="s">
        <v>188</v>
      </c>
    </row>
    <row r="2465" spans="1:8" x14ac:dyDescent="0.3">
      <c r="A2465">
        <v>2020</v>
      </c>
      <c r="B2465" t="s">
        <v>38</v>
      </c>
      <c r="C2465" t="s">
        <v>52</v>
      </c>
      <c r="D2465" s="1" t="s">
        <v>18</v>
      </c>
      <c r="E2465">
        <f>VLOOKUP(CPI_Inflation_Data_Structured[[#This Row],[Attribute]],'Moving Average'!$F$4:$I$32,2,0)</f>
        <v>147.53333333333333</v>
      </c>
      <c r="F2465">
        <f>VLOOKUP(CPI_Inflation_Data_Structured[[#This Row],[Attribute]],'Moving Average'!$F$4:$I$32,3,0)</f>
        <v>139.03333333333333</v>
      </c>
      <c r="G2465">
        <f>VLOOKUP(CPI_Inflation_Data_Structured[[#This Row],[Attribute]],'Moving Average'!$F$4:$I$32,4,0)</f>
        <v>136.33333333333334</v>
      </c>
      <c r="H2465" s="1" t="s">
        <v>189</v>
      </c>
    </row>
    <row r="2466" spans="1:8" x14ac:dyDescent="0.3">
      <c r="A2466">
        <v>2020</v>
      </c>
      <c r="B2466" t="s">
        <v>38</v>
      </c>
      <c r="C2466" t="s">
        <v>52</v>
      </c>
      <c r="D2466" s="1" t="s">
        <v>8</v>
      </c>
      <c r="E2466">
        <f>VLOOKUP(CPI_Inflation_Data_Structured[[#This Row],[Attribute]],'Moving Average'!$F$4:$I$32,2,0)</f>
        <v>143.26666666666668</v>
      </c>
      <c r="F2466">
        <f>VLOOKUP(CPI_Inflation_Data_Structured[[#This Row],[Attribute]],'Moving Average'!$F$4:$I$32,3,0)</f>
        <v>144.73333333333335</v>
      </c>
      <c r="G2466">
        <f>VLOOKUP(CPI_Inflation_Data_Structured[[#This Row],[Attribute]],'Moving Average'!$F$4:$I$32,4,0)</f>
        <v>146.43333333333331</v>
      </c>
      <c r="H2466" s="1" t="s">
        <v>188</v>
      </c>
    </row>
    <row r="2467" spans="1:8" x14ac:dyDescent="0.3">
      <c r="A2467">
        <v>2020</v>
      </c>
      <c r="B2467" t="s">
        <v>38</v>
      </c>
      <c r="C2467" t="s">
        <v>52</v>
      </c>
      <c r="D2467" s="1" t="s">
        <v>21</v>
      </c>
      <c r="E2467">
        <f>VLOOKUP(CPI_Inflation_Data_Structured[[#This Row],[Attribute]],'Moving Average'!$F$4:$I$32,2,0)</f>
        <v>151.36666666666667</v>
      </c>
      <c r="F2467">
        <f>VLOOKUP(CPI_Inflation_Data_Structured[[#This Row],[Attribute]],'Moving Average'!$F$4:$I$32,3,0)</f>
        <v>146.73333333333335</v>
      </c>
      <c r="G2467">
        <f>VLOOKUP(CPI_Inflation_Data_Structured[[#This Row],[Attribute]],'Moving Average'!$F$4:$I$32,4,0)</f>
        <v>139.13333333333333</v>
      </c>
      <c r="H2467" s="1" t="s">
        <v>190</v>
      </c>
    </row>
    <row r="2468" spans="1:8" x14ac:dyDescent="0.3">
      <c r="A2468">
        <v>2020</v>
      </c>
      <c r="B2468" t="s">
        <v>38</v>
      </c>
      <c r="C2468" t="s">
        <v>52</v>
      </c>
      <c r="D2468" s="1" t="s">
        <v>29</v>
      </c>
      <c r="E2468">
        <f>VLOOKUP(CPI_Inflation_Data_Structured[[#This Row],[Attribute]],'Moving Average'!$F$4:$I$32,2,0)</f>
        <v>150.30000000000004</v>
      </c>
      <c r="F2468">
        <f>VLOOKUP(CPI_Inflation_Data_Structured[[#This Row],[Attribute]],'Moving Average'!$F$4:$I$32,3,0)</f>
        <v>148.47777777777776</v>
      </c>
      <c r="G2468">
        <f>VLOOKUP(CPI_Inflation_Data_Structured[[#This Row],[Attribute]],'Moving Average'!$F$4:$I$32,4,0)</f>
        <v>148.1</v>
      </c>
      <c r="H2468" s="1" t="s">
        <v>206</v>
      </c>
    </row>
    <row r="2469" spans="1:8" x14ac:dyDescent="0.3">
      <c r="A2469">
        <v>2020</v>
      </c>
      <c r="B2469" t="s">
        <v>38</v>
      </c>
      <c r="C2469" t="s">
        <v>52</v>
      </c>
      <c r="D2469" s="1" t="s">
        <v>23</v>
      </c>
      <c r="E2469">
        <f>VLOOKUP(CPI_Inflation_Data_Structured[[#This Row],[Attribute]],'Moving Average'!$F$4:$I$32,2,0)</f>
        <v>155.73333333333332</v>
      </c>
      <c r="F2469">
        <f>VLOOKUP(CPI_Inflation_Data_Structured[[#This Row],[Attribute]],'Moving Average'!$F$4:$I$32,3,0)</f>
        <v>151.56666666666666</v>
      </c>
      <c r="G2469">
        <f>VLOOKUP(CPI_Inflation_Data_Structured[[#This Row],[Attribute]],'Moving Average'!$F$4:$I$32,4,0)</f>
        <v>144.73333333333332</v>
      </c>
      <c r="H2469" s="1" t="s">
        <v>23</v>
      </c>
    </row>
    <row r="2470" spans="1:8" x14ac:dyDescent="0.3">
      <c r="A2470">
        <v>2020</v>
      </c>
      <c r="B2470" t="s">
        <v>38</v>
      </c>
      <c r="C2470" t="s">
        <v>52</v>
      </c>
      <c r="D2470" s="1" t="s">
        <v>22</v>
      </c>
      <c r="E2470">
        <f>VLOOKUP(CPI_Inflation_Data_Structured[[#This Row],[Attribute]],'Moving Average'!$F$4:$I$32,2,0)</f>
        <v>151.65555555555557</v>
      </c>
      <c r="F2470">
        <f>VLOOKUP(CPI_Inflation_Data_Structured[[#This Row],[Attribute]],'Moving Average'!$F$4:$I$32,3,0)</f>
        <v>144.41111111111113</v>
      </c>
      <c r="G2470">
        <f>VLOOKUP(CPI_Inflation_Data_Structured[[#This Row],[Attribute]],'Moving Average'!$F$4:$I$32,4,0)</f>
        <v>142.51111111111115</v>
      </c>
      <c r="H2470" s="1" t="s">
        <v>20</v>
      </c>
    </row>
    <row r="2471" spans="1:8" x14ac:dyDescent="0.3">
      <c r="A2471">
        <v>2020</v>
      </c>
      <c r="B2471" t="s">
        <v>38</v>
      </c>
      <c r="C2471" t="s">
        <v>52</v>
      </c>
      <c r="D2471" s="1" t="s">
        <v>20</v>
      </c>
      <c r="E2471">
        <f>VLOOKUP(CPI_Inflation_Data_Structured[[#This Row],[Attribute]],'Moving Average'!$F$4:$I$32,2,0)</f>
        <v>0</v>
      </c>
      <c r="F2471">
        <f>VLOOKUP(CPI_Inflation_Data_Structured[[#This Row],[Attribute]],'Moving Average'!$F$4:$I$32,3,0)</f>
        <v>154.96666666666667</v>
      </c>
      <c r="G2471">
        <f>VLOOKUP(CPI_Inflation_Data_Structured[[#This Row],[Attribute]],'Moving Average'!$F$4:$I$32,4,0)</f>
        <v>154.96666666666667</v>
      </c>
      <c r="H2471" s="1" t="s">
        <v>20</v>
      </c>
    </row>
    <row r="2472" spans="1:8" x14ac:dyDescent="0.3">
      <c r="A2472">
        <v>2020</v>
      </c>
      <c r="B2472" t="s">
        <v>38</v>
      </c>
      <c r="C2472" t="s">
        <v>52</v>
      </c>
      <c r="D2472" s="1" t="s">
        <v>4</v>
      </c>
      <c r="E2472">
        <f>VLOOKUP(CPI_Inflation_Data_Structured[[#This Row],[Attribute]],'Moving Average'!$F$4:$I$32,2,0)</f>
        <v>167.16666666666666</v>
      </c>
      <c r="F2472">
        <f>VLOOKUP(CPI_Inflation_Data_Structured[[#This Row],[Attribute]],'Moving Average'!$F$4:$I$32,3,0)</f>
        <v>167.35555555555558</v>
      </c>
      <c r="G2472">
        <f>VLOOKUP(CPI_Inflation_Data_Structured[[#This Row],[Attribute]],'Moving Average'!$F$4:$I$32,4,0)</f>
        <v>167.46666666666667</v>
      </c>
      <c r="H2472" s="1" t="s">
        <v>188</v>
      </c>
    </row>
    <row r="2473" spans="1:8" x14ac:dyDescent="0.3">
      <c r="A2473">
        <v>2020</v>
      </c>
      <c r="B2473" t="s">
        <v>38</v>
      </c>
      <c r="C2473" t="s">
        <v>52</v>
      </c>
      <c r="D2473" s="1" t="s">
        <v>6</v>
      </c>
      <c r="E2473">
        <f>VLOOKUP(CPI_Inflation_Data_Structured[[#This Row],[Attribute]],'Moving Average'!$F$4:$I$32,2,0)</f>
        <v>152.73333333333335</v>
      </c>
      <c r="F2473">
        <f>VLOOKUP(CPI_Inflation_Data_Structured[[#This Row],[Attribute]],'Moving Average'!$F$4:$I$32,3,0)</f>
        <v>152.63333333333333</v>
      </c>
      <c r="G2473">
        <f>VLOOKUP(CPI_Inflation_Data_Structured[[#This Row],[Attribute]],'Moving Average'!$F$4:$I$32,4,0)</f>
        <v>152.43333333333331</v>
      </c>
      <c r="H2473" s="1" t="s">
        <v>188</v>
      </c>
    </row>
    <row r="2474" spans="1:8" x14ac:dyDescent="0.3">
      <c r="A2474">
        <v>2020</v>
      </c>
      <c r="B2474" t="s">
        <v>38</v>
      </c>
      <c r="C2474" t="s">
        <v>52</v>
      </c>
      <c r="D2474" s="1" t="s">
        <v>28</v>
      </c>
      <c r="E2474">
        <f>VLOOKUP(CPI_Inflation_Data_Structured[[#This Row],[Attribute]],'Moving Average'!$F$4:$I$32,2,0)</f>
        <v>148.45555555555555</v>
      </c>
      <c r="F2474">
        <f>VLOOKUP(CPI_Inflation_Data_Structured[[#This Row],[Attribute]],'Moving Average'!$F$4:$I$32,3,0)</f>
        <v>141.96666666666667</v>
      </c>
      <c r="G2474">
        <f>VLOOKUP(CPI_Inflation_Data_Structured[[#This Row],[Attribute]],'Moving Average'!$F$4:$I$32,4,0)</f>
        <v>140.23333333333335</v>
      </c>
      <c r="H2474" s="1" t="s">
        <v>192</v>
      </c>
    </row>
    <row r="2475" spans="1:8" x14ac:dyDescent="0.3">
      <c r="A2475">
        <v>2020</v>
      </c>
      <c r="B2475" t="s">
        <v>38</v>
      </c>
      <c r="C2475" t="s">
        <v>52</v>
      </c>
      <c r="D2475" s="1" t="s">
        <v>13</v>
      </c>
      <c r="E2475">
        <f>VLOOKUP(CPI_Inflation_Data_Structured[[#This Row],[Attribute]],'Moving Average'!$F$4:$I$32,2,0)</f>
        <v>139.79999999999998</v>
      </c>
      <c r="F2475">
        <f>VLOOKUP(CPI_Inflation_Data_Structured[[#This Row],[Attribute]],'Moving Average'!$F$4:$I$32,3,0)</f>
        <v>136.66666666666666</v>
      </c>
      <c r="G2475">
        <f>VLOOKUP(CPI_Inflation_Data_Structured[[#This Row],[Attribute]],'Moving Average'!$F$4:$I$32,4,0)</f>
        <v>132.29999999999998</v>
      </c>
      <c r="H2475" s="1" t="s">
        <v>188</v>
      </c>
    </row>
    <row r="2476" spans="1:8" x14ac:dyDescent="0.3">
      <c r="A2476">
        <v>2020</v>
      </c>
      <c r="B2476" t="s">
        <v>38</v>
      </c>
      <c r="C2476" t="s">
        <v>52</v>
      </c>
      <c r="D2476" s="1" t="s">
        <v>7</v>
      </c>
      <c r="E2476">
        <f>VLOOKUP(CPI_Inflation_Data_Structured[[#This Row],[Attribute]],'Moving Average'!$F$4:$I$32,2,0)</f>
        <v>134.70000000000002</v>
      </c>
      <c r="F2476">
        <f>VLOOKUP(CPI_Inflation_Data_Structured[[#This Row],[Attribute]],'Moving Average'!$F$4:$I$32,3,0)</f>
        <v>132.56666666666669</v>
      </c>
      <c r="G2476">
        <f>VLOOKUP(CPI_Inflation_Data_Structured[[#This Row],[Attribute]],'Moving Average'!$F$4:$I$32,4,0)</f>
        <v>128.83333333333334</v>
      </c>
      <c r="H2476" s="1" t="s">
        <v>188</v>
      </c>
    </row>
    <row r="2477" spans="1:8" x14ac:dyDescent="0.3">
      <c r="A2477">
        <v>2020</v>
      </c>
      <c r="B2477" t="s">
        <v>38</v>
      </c>
      <c r="C2477" t="s">
        <v>52</v>
      </c>
      <c r="D2477" s="1" t="s">
        <v>16</v>
      </c>
      <c r="E2477">
        <f>VLOOKUP(CPI_Inflation_Data_Structured[[#This Row],[Attribute]],'Moving Average'!$F$4:$I$32,2,0)</f>
        <v>169.79999999999998</v>
      </c>
      <c r="F2477">
        <f>VLOOKUP(CPI_Inflation_Data_Structured[[#This Row],[Attribute]],'Moving Average'!$F$4:$I$32,3,0)</f>
        <v>171.11111111111109</v>
      </c>
      <c r="G2477">
        <f>VLOOKUP(CPI_Inflation_Data_Structured[[#This Row],[Attribute]],'Moving Average'!$F$4:$I$32,4,0)</f>
        <v>171.82222222222222</v>
      </c>
      <c r="H2477" s="1" t="s">
        <v>192</v>
      </c>
    </row>
    <row r="2478" spans="1:8" x14ac:dyDescent="0.3">
      <c r="A2478">
        <v>2020</v>
      </c>
      <c r="B2478" t="s">
        <v>38</v>
      </c>
      <c r="C2478" t="s">
        <v>52</v>
      </c>
      <c r="D2478" s="1" t="s">
        <v>27</v>
      </c>
      <c r="E2478">
        <f>VLOOKUP(CPI_Inflation_Data_Structured[[#This Row],[Attribute]],'Moving Average'!$F$4:$I$32,2,0)</f>
        <v>144.05555555555554</v>
      </c>
      <c r="F2478">
        <f>VLOOKUP(CPI_Inflation_Data_Structured[[#This Row],[Attribute]],'Moving Average'!$F$4:$I$32,3,0)</f>
        <v>144.07777777777778</v>
      </c>
      <c r="G2478">
        <f>VLOOKUP(CPI_Inflation_Data_Structured[[#This Row],[Attribute]],'Moving Average'!$F$4:$I$32,4,0)</f>
        <v>144.14444444444445</v>
      </c>
      <c r="H2478" s="1" t="s">
        <v>192</v>
      </c>
    </row>
    <row r="2479" spans="1:8" x14ac:dyDescent="0.3">
      <c r="A2479">
        <v>2020</v>
      </c>
      <c r="B2479" t="s">
        <v>38</v>
      </c>
      <c r="C2479" t="s">
        <v>52</v>
      </c>
      <c r="D2479" s="1" t="s">
        <v>14</v>
      </c>
      <c r="E2479">
        <f>VLOOKUP(CPI_Inflation_Data_Structured[[#This Row],[Attribute]],'Moving Average'!$F$4:$I$32,2,0)</f>
        <v>159.5</v>
      </c>
      <c r="F2479">
        <f>VLOOKUP(CPI_Inflation_Data_Structured[[#This Row],[Attribute]],'Moving Average'!$F$4:$I$32,3,0)</f>
        <v>159.1888888888889</v>
      </c>
      <c r="G2479">
        <f>VLOOKUP(CPI_Inflation_Data_Structured[[#This Row],[Attribute]],'Moving Average'!$F$4:$I$32,4,0)</f>
        <v>159.06666666666669</v>
      </c>
      <c r="H2479" s="1" t="s">
        <v>188</v>
      </c>
    </row>
    <row r="2480" spans="1:8" x14ac:dyDescent="0.3">
      <c r="A2480">
        <v>2020</v>
      </c>
      <c r="B2480" t="s">
        <v>38</v>
      </c>
      <c r="C2480" t="s">
        <v>52</v>
      </c>
      <c r="D2480" s="1" t="s">
        <v>10</v>
      </c>
      <c r="E2480">
        <f>VLOOKUP(CPI_Inflation_Data_Structured[[#This Row],[Attribute]],'Moving Average'!$F$4:$I$32,2,0)</f>
        <v>144.6</v>
      </c>
      <c r="F2480">
        <f>VLOOKUP(CPI_Inflation_Data_Structured[[#This Row],[Attribute]],'Moving Average'!$F$4:$I$32,3,0)</f>
        <v>144.20000000000002</v>
      </c>
      <c r="G2480">
        <f>VLOOKUP(CPI_Inflation_Data_Structured[[#This Row],[Attribute]],'Moving Average'!$F$4:$I$32,4,0)</f>
        <v>143.36666666666665</v>
      </c>
      <c r="H2480" s="1" t="s">
        <v>188</v>
      </c>
    </row>
    <row r="2481" spans="1:8" x14ac:dyDescent="0.3">
      <c r="A2481">
        <v>2020</v>
      </c>
      <c r="B2481" t="s">
        <v>38</v>
      </c>
      <c r="C2481" t="s">
        <v>52</v>
      </c>
      <c r="D2481" s="1" t="s">
        <v>25</v>
      </c>
      <c r="E2481">
        <f>VLOOKUP(CPI_Inflation_Data_Structured[[#This Row],[Attribute]],'Moving Average'!$F$4:$I$32,2,0)</f>
        <v>150.7222222222222</v>
      </c>
      <c r="F2481">
        <f>VLOOKUP(CPI_Inflation_Data_Structured[[#This Row],[Attribute]],'Moving Average'!$F$4:$I$32,3,0)</f>
        <v>141.5</v>
      </c>
      <c r="G2481">
        <f>VLOOKUP(CPI_Inflation_Data_Structured[[#This Row],[Attribute]],'Moving Average'!$F$4:$I$32,4,0)</f>
        <v>139.61111111111111</v>
      </c>
      <c r="H2481" s="1" t="s">
        <v>195</v>
      </c>
    </row>
    <row r="2482" spans="1:8" x14ac:dyDescent="0.3">
      <c r="A2482">
        <v>2020</v>
      </c>
      <c r="B2482" t="s">
        <v>38</v>
      </c>
      <c r="C2482" t="s">
        <v>52</v>
      </c>
      <c r="D2482" s="1" t="s">
        <v>12</v>
      </c>
      <c r="E2482">
        <f>VLOOKUP(CPI_Inflation_Data_Structured[[#This Row],[Attribute]],'Moving Average'!$F$4:$I$32,2,0)</f>
        <v>155.16666666666666</v>
      </c>
      <c r="F2482">
        <f>VLOOKUP(CPI_Inflation_Data_Structured[[#This Row],[Attribute]],'Moving Average'!$F$4:$I$32,3,0)</f>
        <v>154.1</v>
      </c>
      <c r="G2482">
        <f>VLOOKUP(CPI_Inflation_Data_Structured[[#This Row],[Attribute]],'Moving Average'!$F$4:$I$32,4,0)</f>
        <v>151.96666666666667</v>
      </c>
      <c r="H2482" s="1" t="s">
        <v>188</v>
      </c>
    </row>
    <row r="2483" spans="1:8" x14ac:dyDescent="0.3">
      <c r="A2483">
        <v>2020</v>
      </c>
      <c r="B2483" t="s">
        <v>38</v>
      </c>
      <c r="C2483" t="s">
        <v>52</v>
      </c>
      <c r="D2483" s="1" t="s">
        <v>11</v>
      </c>
      <c r="E2483">
        <f>VLOOKUP(CPI_Inflation_Data_Structured[[#This Row],[Attribute]],'Moving Average'!$F$4:$I$32,2,0)</f>
        <v>115.16666666666667</v>
      </c>
      <c r="F2483">
        <f>VLOOKUP(CPI_Inflation_Data_Structured[[#This Row],[Attribute]],'Moving Average'!$F$4:$I$32,3,0)</f>
        <v>115.7</v>
      </c>
      <c r="G2483">
        <f>VLOOKUP(CPI_Inflation_Data_Structured[[#This Row],[Attribute]],'Moving Average'!$F$4:$I$32,4,0)</f>
        <v>116.73333333333333</v>
      </c>
      <c r="H2483" s="1" t="s">
        <v>188</v>
      </c>
    </row>
    <row r="2484" spans="1:8" x14ac:dyDescent="0.3">
      <c r="A2484">
        <v>2020</v>
      </c>
      <c r="B2484" t="s">
        <v>38</v>
      </c>
      <c r="C2484" t="s">
        <v>52</v>
      </c>
      <c r="D2484" s="1" t="s">
        <v>24</v>
      </c>
      <c r="E2484">
        <f>VLOOKUP(CPI_Inflation_Data_Structured[[#This Row],[Attribute]],'Moving Average'!$F$4:$I$32,2,0)</f>
        <v>135.94444444444446</v>
      </c>
      <c r="F2484">
        <f>VLOOKUP(CPI_Inflation_Data_Structured[[#This Row],[Attribute]],'Moving Average'!$F$4:$I$32,3,0)</f>
        <v>128.50000000000003</v>
      </c>
      <c r="G2484">
        <f>VLOOKUP(CPI_Inflation_Data_Structured[[#This Row],[Attribute]],'Moving Average'!$F$4:$I$32,4,0)</f>
        <v>126.72222222222223</v>
      </c>
      <c r="H2484" s="1" t="s">
        <v>191</v>
      </c>
    </row>
    <row r="2485" spans="1:8" x14ac:dyDescent="0.3">
      <c r="A2485">
        <v>2020</v>
      </c>
      <c r="B2485" t="s">
        <v>38</v>
      </c>
      <c r="C2485" t="s">
        <v>52</v>
      </c>
      <c r="D2485" s="1" t="s">
        <v>9</v>
      </c>
      <c r="E2485">
        <f>VLOOKUP(CPI_Inflation_Data_Structured[[#This Row],[Attribute]],'Moving Average'!$F$4:$I$32,2,0)</f>
        <v>160.03333333333333</v>
      </c>
      <c r="F2485">
        <f>VLOOKUP(CPI_Inflation_Data_Structured[[#This Row],[Attribute]],'Moving Average'!$F$4:$I$32,3,0)</f>
        <v>165.53333333333333</v>
      </c>
      <c r="G2485">
        <f>VLOOKUP(CPI_Inflation_Data_Structured[[#This Row],[Attribute]],'Moving Average'!$F$4:$I$32,4,0)</f>
        <v>176.23333333333335</v>
      </c>
      <c r="H2485" s="1" t="s">
        <v>188</v>
      </c>
    </row>
    <row r="2486" spans="1:8" x14ac:dyDescent="0.3">
      <c r="A2486">
        <v>2020</v>
      </c>
      <c r="B2486" t="s">
        <v>44</v>
      </c>
      <c r="C2486" t="s">
        <v>141</v>
      </c>
      <c r="D2486" s="1" t="s">
        <v>3</v>
      </c>
      <c r="E2486">
        <v>145.4</v>
      </c>
      <c r="F2486">
        <v>146.80000000000001</v>
      </c>
      <c r="G2486">
        <v>149.69999999999999</v>
      </c>
      <c r="H2486" s="1" t="s">
        <v>188</v>
      </c>
    </row>
    <row r="2487" spans="1:8" x14ac:dyDescent="0.3">
      <c r="A2487">
        <v>2020</v>
      </c>
      <c r="B2487" t="s">
        <v>44</v>
      </c>
      <c r="C2487" t="s">
        <v>141</v>
      </c>
      <c r="D2487" s="1" t="s">
        <v>17</v>
      </c>
      <c r="E2487">
        <v>156.30000000000001</v>
      </c>
      <c r="F2487">
        <v>154.30000000000001</v>
      </c>
      <c r="G2487">
        <v>151.1</v>
      </c>
      <c r="H2487" s="1" t="s">
        <v>189</v>
      </c>
    </row>
    <row r="2488" spans="1:8" x14ac:dyDescent="0.3">
      <c r="A2488">
        <v>2020</v>
      </c>
      <c r="B2488" t="s">
        <v>44</v>
      </c>
      <c r="C2488" t="s">
        <v>141</v>
      </c>
      <c r="D2488" s="1" t="s">
        <v>19</v>
      </c>
      <c r="E2488">
        <v>155.5</v>
      </c>
      <c r="F2488">
        <v>152.80000000000001</v>
      </c>
      <c r="G2488">
        <v>148.80000000000001</v>
      </c>
      <c r="H2488" s="1" t="s">
        <v>189</v>
      </c>
    </row>
    <row r="2489" spans="1:8" x14ac:dyDescent="0.3">
      <c r="A2489">
        <v>2020</v>
      </c>
      <c r="B2489" t="s">
        <v>44</v>
      </c>
      <c r="C2489" t="s">
        <v>141</v>
      </c>
      <c r="D2489" s="1" t="s">
        <v>26</v>
      </c>
      <c r="E2489">
        <v>161.6</v>
      </c>
      <c r="F2489">
        <v>158.6</v>
      </c>
      <c r="G2489">
        <v>156.4</v>
      </c>
      <c r="H2489" s="1" t="s">
        <v>26</v>
      </c>
    </row>
    <row r="2490" spans="1:8" x14ac:dyDescent="0.3">
      <c r="A2490">
        <v>2020</v>
      </c>
      <c r="B2490" t="s">
        <v>44</v>
      </c>
      <c r="C2490" t="s">
        <v>141</v>
      </c>
      <c r="D2490" s="1" t="s">
        <v>5</v>
      </c>
      <c r="E2490">
        <v>171.6</v>
      </c>
      <c r="F2490">
        <v>173.6</v>
      </c>
      <c r="G2490">
        <v>176.9</v>
      </c>
      <c r="H2490" s="1" t="s">
        <v>188</v>
      </c>
    </row>
    <row r="2491" spans="1:8" x14ac:dyDescent="0.3">
      <c r="A2491">
        <v>2020</v>
      </c>
      <c r="B2491" t="s">
        <v>44</v>
      </c>
      <c r="C2491" t="s">
        <v>141</v>
      </c>
      <c r="D2491" s="1" t="s">
        <v>15</v>
      </c>
      <c r="E2491">
        <v>163.4</v>
      </c>
      <c r="F2491">
        <v>164.7</v>
      </c>
      <c r="G2491">
        <v>167</v>
      </c>
      <c r="H2491" s="1" t="s">
        <v>188</v>
      </c>
    </row>
    <row r="2492" spans="1:8" x14ac:dyDescent="0.3">
      <c r="A2492">
        <v>2020</v>
      </c>
      <c r="B2492" t="s">
        <v>44</v>
      </c>
      <c r="C2492" t="s">
        <v>141</v>
      </c>
      <c r="D2492" s="1" t="s">
        <v>18</v>
      </c>
      <c r="E2492">
        <v>151</v>
      </c>
      <c r="F2492">
        <v>144.9</v>
      </c>
      <c r="G2492">
        <v>136.4</v>
      </c>
      <c r="H2492" s="1" t="s">
        <v>189</v>
      </c>
    </row>
    <row r="2493" spans="1:8" x14ac:dyDescent="0.3">
      <c r="A2493">
        <v>2020</v>
      </c>
      <c r="B2493" t="s">
        <v>44</v>
      </c>
      <c r="C2493" t="s">
        <v>141</v>
      </c>
      <c r="D2493" s="1" t="s">
        <v>8</v>
      </c>
      <c r="E2493">
        <v>146.5</v>
      </c>
      <c r="F2493">
        <v>148.4</v>
      </c>
      <c r="G2493">
        <v>150.5</v>
      </c>
      <c r="H2493" s="1" t="s">
        <v>188</v>
      </c>
    </row>
    <row r="2494" spans="1:8" x14ac:dyDescent="0.3">
      <c r="A2494">
        <v>2020</v>
      </c>
      <c r="B2494" t="s">
        <v>44</v>
      </c>
      <c r="C2494" t="s">
        <v>141</v>
      </c>
      <c r="D2494" s="1" t="s">
        <v>21</v>
      </c>
      <c r="E2494">
        <v>147.5</v>
      </c>
      <c r="F2494">
        <v>143.6</v>
      </c>
      <c r="G2494">
        <v>137.30000000000001</v>
      </c>
      <c r="H2494" s="1" t="s">
        <v>190</v>
      </c>
    </row>
    <row r="2495" spans="1:8" x14ac:dyDescent="0.3">
      <c r="A2495">
        <v>2020</v>
      </c>
      <c r="B2495" t="s">
        <v>44</v>
      </c>
      <c r="C2495" t="s">
        <v>141</v>
      </c>
      <c r="D2495" s="1" t="s">
        <v>29</v>
      </c>
      <c r="E2495">
        <v>159.80000000000001</v>
      </c>
      <c r="F2495">
        <v>158.4</v>
      </c>
      <c r="G2495">
        <v>156.69999999999999</v>
      </c>
      <c r="H2495" s="1" t="s">
        <v>206</v>
      </c>
    </row>
    <row r="2496" spans="1:8" x14ac:dyDescent="0.3">
      <c r="A2496">
        <v>2020</v>
      </c>
      <c r="B2496" t="s">
        <v>44</v>
      </c>
      <c r="C2496" t="s">
        <v>141</v>
      </c>
      <c r="D2496" s="1" t="s">
        <v>23</v>
      </c>
      <c r="E2496">
        <v>160.4</v>
      </c>
      <c r="F2496">
        <v>157.19999999999999</v>
      </c>
      <c r="G2496">
        <v>152</v>
      </c>
      <c r="H2496" s="1" t="s">
        <v>23</v>
      </c>
    </row>
    <row r="2497" spans="1:8" x14ac:dyDescent="0.3">
      <c r="A2497">
        <v>2020</v>
      </c>
      <c r="B2497" t="s">
        <v>44</v>
      </c>
      <c r="C2497" t="s">
        <v>141</v>
      </c>
      <c r="D2497" s="1" t="s">
        <v>22</v>
      </c>
      <c r="E2497">
        <v>152.80000000000001</v>
      </c>
      <c r="F2497">
        <v>149.19999999999999</v>
      </c>
      <c r="G2497">
        <v>145.1</v>
      </c>
      <c r="H2497" s="1" t="s">
        <v>20</v>
      </c>
    </row>
    <row r="2498" spans="1:8" x14ac:dyDescent="0.3">
      <c r="A2498">
        <v>2020</v>
      </c>
      <c r="B2498" t="s">
        <v>44</v>
      </c>
      <c r="C2498" t="s">
        <v>141</v>
      </c>
      <c r="D2498" s="1" t="s">
        <v>20</v>
      </c>
      <c r="E2498">
        <v>0</v>
      </c>
      <c r="F2498">
        <v>158</v>
      </c>
      <c r="G2498">
        <v>158</v>
      </c>
      <c r="H2498" s="1" t="s">
        <v>20</v>
      </c>
    </row>
    <row r="2499" spans="1:8" x14ac:dyDescent="0.3">
      <c r="A2499">
        <v>2020</v>
      </c>
      <c r="B2499" t="s">
        <v>44</v>
      </c>
      <c r="C2499" t="s">
        <v>141</v>
      </c>
      <c r="D2499" s="1" t="s">
        <v>4</v>
      </c>
      <c r="E2499">
        <v>188.6</v>
      </c>
      <c r="F2499">
        <v>191</v>
      </c>
      <c r="G2499">
        <v>195.5</v>
      </c>
      <c r="H2499" s="1" t="s">
        <v>188</v>
      </c>
    </row>
    <row r="2500" spans="1:8" x14ac:dyDescent="0.3">
      <c r="A2500">
        <v>2020</v>
      </c>
      <c r="B2500" t="s">
        <v>44</v>
      </c>
      <c r="C2500" t="s">
        <v>141</v>
      </c>
      <c r="D2500" s="1" t="s">
        <v>6</v>
      </c>
      <c r="E2500">
        <v>153.80000000000001</v>
      </c>
      <c r="F2500">
        <v>153.80000000000001</v>
      </c>
      <c r="G2500">
        <v>153.9</v>
      </c>
      <c r="H2500" s="1" t="s">
        <v>188</v>
      </c>
    </row>
    <row r="2501" spans="1:8" x14ac:dyDescent="0.3">
      <c r="A2501">
        <v>2020</v>
      </c>
      <c r="B2501" t="s">
        <v>44</v>
      </c>
      <c r="C2501" t="s">
        <v>141</v>
      </c>
      <c r="D2501" s="1" t="s">
        <v>28</v>
      </c>
      <c r="E2501">
        <v>154.5</v>
      </c>
      <c r="F2501">
        <v>150.69999999999999</v>
      </c>
      <c r="G2501">
        <v>146.6</v>
      </c>
      <c r="H2501" s="1" t="s">
        <v>192</v>
      </c>
    </row>
    <row r="2502" spans="1:8" x14ac:dyDescent="0.3">
      <c r="A2502">
        <v>2020</v>
      </c>
      <c r="B2502" t="s">
        <v>44</v>
      </c>
      <c r="C2502" t="s">
        <v>141</v>
      </c>
      <c r="D2502" s="1" t="s">
        <v>13</v>
      </c>
      <c r="E2502">
        <v>150</v>
      </c>
      <c r="F2502">
        <v>146.5</v>
      </c>
      <c r="G2502">
        <v>141.5</v>
      </c>
      <c r="H2502" s="1" t="s">
        <v>188</v>
      </c>
    </row>
    <row r="2503" spans="1:8" x14ac:dyDescent="0.3">
      <c r="A2503">
        <v>2020</v>
      </c>
      <c r="B2503" t="s">
        <v>44</v>
      </c>
      <c r="C2503" t="s">
        <v>141</v>
      </c>
      <c r="D2503" s="1" t="s">
        <v>7</v>
      </c>
      <c r="E2503">
        <v>145.4</v>
      </c>
      <c r="F2503">
        <v>142.69999999999999</v>
      </c>
      <c r="G2503">
        <v>138</v>
      </c>
      <c r="H2503" s="1" t="s">
        <v>188</v>
      </c>
    </row>
    <row r="2504" spans="1:8" x14ac:dyDescent="0.3">
      <c r="A2504">
        <v>2020</v>
      </c>
      <c r="B2504" t="s">
        <v>44</v>
      </c>
      <c r="C2504" t="s">
        <v>141</v>
      </c>
      <c r="D2504" s="1" t="s">
        <v>16</v>
      </c>
      <c r="E2504">
        <v>183.4</v>
      </c>
      <c r="F2504">
        <v>184.8</v>
      </c>
      <c r="G2504">
        <v>188.8</v>
      </c>
      <c r="H2504" s="1" t="s">
        <v>192</v>
      </c>
    </row>
    <row r="2505" spans="1:8" x14ac:dyDescent="0.3">
      <c r="A2505">
        <v>2020</v>
      </c>
      <c r="B2505" t="s">
        <v>44</v>
      </c>
      <c r="C2505" t="s">
        <v>141</v>
      </c>
      <c r="D2505" s="1" t="s">
        <v>27</v>
      </c>
      <c r="E2505">
        <v>156.19999999999999</v>
      </c>
      <c r="F2505">
        <v>156.9</v>
      </c>
      <c r="G2505">
        <v>157.9</v>
      </c>
      <c r="H2505" s="1" t="s">
        <v>192</v>
      </c>
    </row>
    <row r="2506" spans="1:8" x14ac:dyDescent="0.3">
      <c r="A2506">
        <v>2020</v>
      </c>
      <c r="B2506" t="s">
        <v>44</v>
      </c>
      <c r="C2506" t="s">
        <v>141</v>
      </c>
      <c r="D2506" s="1" t="s">
        <v>14</v>
      </c>
      <c r="E2506">
        <v>162.69999999999999</v>
      </c>
      <c r="F2506">
        <v>163.80000000000001</v>
      </c>
      <c r="G2506">
        <v>165.1</v>
      </c>
      <c r="H2506" s="1" t="s">
        <v>188</v>
      </c>
    </row>
    <row r="2507" spans="1:8" x14ac:dyDescent="0.3">
      <c r="A2507">
        <v>2020</v>
      </c>
      <c r="B2507" t="s">
        <v>44</v>
      </c>
      <c r="C2507" t="s">
        <v>141</v>
      </c>
      <c r="D2507" s="1" t="s">
        <v>10</v>
      </c>
      <c r="E2507">
        <v>155.9</v>
      </c>
      <c r="F2507">
        <v>156.80000000000001</v>
      </c>
      <c r="G2507">
        <v>158.69999999999999</v>
      </c>
      <c r="H2507" s="1" t="s">
        <v>188</v>
      </c>
    </row>
    <row r="2508" spans="1:8" x14ac:dyDescent="0.3">
      <c r="A2508">
        <v>2020</v>
      </c>
      <c r="B2508" t="s">
        <v>44</v>
      </c>
      <c r="C2508" t="s">
        <v>141</v>
      </c>
      <c r="D2508" s="1" t="s">
        <v>25</v>
      </c>
      <c r="E2508">
        <v>153.6</v>
      </c>
      <c r="F2508">
        <v>148.4</v>
      </c>
      <c r="G2508">
        <v>144.4</v>
      </c>
      <c r="H2508" s="1" t="s">
        <v>195</v>
      </c>
    </row>
    <row r="2509" spans="1:8" x14ac:dyDescent="0.3">
      <c r="A2509">
        <v>2020</v>
      </c>
      <c r="B2509" t="s">
        <v>44</v>
      </c>
      <c r="C2509" t="s">
        <v>141</v>
      </c>
      <c r="D2509" s="1" t="s">
        <v>12</v>
      </c>
      <c r="E2509">
        <v>162</v>
      </c>
      <c r="F2509">
        <v>161.80000000000001</v>
      </c>
      <c r="G2509">
        <v>161.4</v>
      </c>
      <c r="H2509" s="1" t="s">
        <v>188</v>
      </c>
    </row>
    <row r="2510" spans="1:8" x14ac:dyDescent="0.3">
      <c r="A2510">
        <v>2020</v>
      </c>
      <c r="B2510" t="s">
        <v>44</v>
      </c>
      <c r="C2510" t="s">
        <v>141</v>
      </c>
      <c r="D2510" s="1" t="s">
        <v>11</v>
      </c>
      <c r="E2510">
        <v>114.9</v>
      </c>
      <c r="F2510">
        <v>115.7</v>
      </c>
      <c r="G2510">
        <v>117.2</v>
      </c>
      <c r="H2510" s="1" t="s">
        <v>188</v>
      </c>
    </row>
    <row r="2511" spans="1:8" x14ac:dyDescent="0.3">
      <c r="A2511">
        <v>2020</v>
      </c>
      <c r="B2511" t="s">
        <v>44</v>
      </c>
      <c r="C2511" t="s">
        <v>141</v>
      </c>
      <c r="D2511" s="1" t="s">
        <v>24</v>
      </c>
      <c r="E2511">
        <v>146.1</v>
      </c>
      <c r="F2511">
        <v>140.4</v>
      </c>
      <c r="G2511">
        <v>135.19999999999999</v>
      </c>
      <c r="H2511" s="1" t="s">
        <v>191</v>
      </c>
    </row>
    <row r="2512" spans="1:8" x14ac:dyDescent="0.3">
      <c r="A2512">
        <v>2020</v>
      </c>
      <c r="B2512" t="s">
        <v>44</v>
      </c>
      <c r="C2512" t="s">
        <v>141</v>
      </c>
      <c r="D2512" s="1" t="s">
        <v>9</v>
      </c>
      <c r="E2512">
        <v>222.2</v>
      </c>
      <c r="F2512">
        <v>230</v>
      </c>
      <c r="G2512">
        <v>245.3</v>
      </c>
      <c r="H2512" s="1" t="s">
        <v>188</v>
      </c>
    </row>
    <row r="2513" spans="1:8" x14ac:dyDescent="0.3">
      <c r="A2513">
        <v>2020</v>
      </c>
      <c r="B2513" t="s">
        <v>43</v>
      </c>
      <c r="C2513" t="s">
        <v>142</v>
      </c>
      <c r="D2513" s="1" t="s">
        <v>3</v>
      </c>
      <c r="E2513">
        <v>146</v>
      </c>
      <c r="F2513">
        <v>147.5</v>
      </c>
      <c r="G2513">
        <v>150.6</v>
      </c>
      <c r="H2513" s="1" t="s">
        <v>188</v>
      </c>
    </row>
    <row r="2514" spans="1:8" x14ac:dyDescent="0.3">
      <c r="A2514">
        <v>2020</v>
      </c>
      <c r="B2514" t="s">
        <v>43</v>
      </c>
      <c r="C2514" t="s">
        <v>142</v>
      </c>
      <c r="D2514" s="1" t="s">
        <v>17</v>
      </c>
      <c r="E2514">
        <v>155.69999999999999</v>
      </c>
      <c r="F2514">
        <v>153.69999999999999</v>
      </c>
      <c r="G2514">
        <v>150.5</v>
      </c>
      <c r="H2514" s="1" t="s">
        <v>189</v>
      </c>
    </row>
    <row r="2515" spans="1:8" x14ac:dyDescent="0.3">
      <c r="A2515">
        <v>2020</v>
      </c>
      <c r="B2515" t="s">
        <v>43</v>
      </c>
      <c r="C2515" t="s">
        <v>142</v>
      </c>
      <c r="D2515" s="1" t="s">
        <v>19</v>
      </c>
      <c r="E2515">
        <v>155</v>
      </c>
      <c r="F2515">
        <v>152.30000000000001</v>
      </c>
      <c r="G2515">
        <v>148.30000000000001</v>
      </c>
      <c r="H2515" s="1" t="s">
        <v>189</v>
      </c>
    </row>
    <row r="2516" spans="1:8" x14ac:dyDescent="0.3">
      <c r="A2516">
        <v>2020</v>
      </c>
      <c r="B2516" t="s">
        <v>43</v>
      </c>
      <c r="C2516" t="s">
        <v>142</v>
      </c>
      <c r="D2516" s="1" t="s">
        <v>26</v>
      </c>
      <c r="E2516">
        <v>162.5</v>
      </c>
      <c r="F2516">
        <v>158.5</v>
      </c>
      <c r="G2516">
        <v>155.69999999999999</v>
      </c>
      <c r="H2516" s="1" t="s">
        <v>26</v>
      </c>
    </row>
    <row r="2517" spans="1:8" x14ac:dyDescent="0.3">
      <c r="A2517">
        <v>2020</v>
      </c>
      <c r="B2517" t="s">
        <v>43</v>
      </c>
      <c r="C2517" t="s">
        <v>142</v>
      </c>
      <c r="D2517" s="1" t="s">
        <v>5</v>
      </c>
      <c r="E2517">
        <v>159.19999999999999</v>
      </c>
      <c r="F2517">
        <v>161.4</v>
      </c>
      <c r="G2517">
        <v>164.8</v>
      </c>
      <c r="H2517" s="1" t="s">
        <v>188</v>
      </c>
    </row>
    <row r="2518" spans="1:8" x14ac:dyDescent="0.3">
      <c r="A2518">
        <v>2020</v>
      </c>
      <c r="B2518" t="s">
        <v>43</v>
      </c>
      <c r="C2518" t="s">
        <v>142</v>
      </c>
      <c r="D2518" s="1" t="s">
        <v>15</v>
      </c>
      <c r="E2518">
        <v>159.6</v>
      </c>
      <c r="F2518">
        <v>161.4</v>
      </c>
      <c r="G2518">
        <v>164.4</v>
      </c>
      <c r="H2518" s="1" t="s">
        <v>188</v>
      </c>
    </row>
    <row r="2519" spans="1:8" x14ac:dyDescent="0.3">
      <c r="A2519">
        <v>2020</v>
      </c>
      <c r="B2519" t="s">
        <v>43</v>
      </c>
      <c r="C2519" t="s">
        <v>142</v>
      </c>
      <c r="D2519" s="1" t="s">
        <v>18</v>
      </c>
      <c r="E2519">
        <v>150.6</v>
      </c>
      <c r="F2519">
        <v>144.6</v>
      </c>
      <c r="G2519">
        <v>136.1</v>
      </c>
      <c r="H2519" s="1" t="s">
        <v>189</v>
      </c>
    </row>
    <row r="2520" spans="1:8" x14ac:dyDescent="0.3">
      <c r="A2520">
        <v>2020</v>
      </c>
      <c r="B2520" t="s">
        <v>43</v>
      </c>
      <c r="C2520" t="s">
        <v>142</v>
      </c>
      <c r="D2520" s="1" t="s">
        <v>8</v>
      </c>
      <c r="E2520">
        <v>147.19999999999999</v>
      </c>
      <c r="F2520">
        <v>151.19999999999999</v>
      </c>
      <c r="G2520">
        <v>155.69999999999999</v>
      </c>
      <c r="H2520" s="1" t="s">
        <v>188</v>
      </c>
    </row>
    <row r="2521" spans="1:8" x14ac:dyDescent="0.3">
      <c r="A2521">
        <v>2020</v>
      </c>
      <c r="B2521" t="s">
        <v>43</v>
      </c>
      <c r="C2521" t="s">
        <v>142</v>
      </c>
      <c r="D2521" s="1" t="s">
        <v>21</v>
      </c>
      <c r="E2521">
        <v>146.80000000000001</v>
      </c>
      <c r="F2521">
        <v>143.1</v>
      </c>
      <c r="G2521">
        <v>137.1</v>
      </c>
      <c r="H2521" s="1" t="s">
        <v>190</v>
      </c>
    </row>
    <row r="2522" spans="1:8" x14ac:dyDescent="0.3">
      <c r="A2522">
        <v>2020</v>
      </c>
      <c r="B2522" t="s">
        <v>43</v>
      </c>
      <c r="C2522" t="s">
        <v>142</v>
      </c>
      <c r="D2522" s="1" t="s">
        <v>29</v>
      </c>
      <c r="E2522">
        <v>157.5</v>
      </c>
      <c r="F2522">
        <v>156.4</v>
      </c>
      <c r="G2522">
        <v>155.19999999999999</v>
      </c>
      <c r="H2522" s="1" t="s">
        <v>206</v>
      </c>
    </row>
    <row r="2523" spans="1:8" x14ac:dyDescent="0.3">
      <c r="A2523">
        <v>2020</v>
      </c>
      <c r="B2523" t="s">
        <v>43</v>
      </c>
      <c r="C2523" t="s">
        <v>142</v>
      </c>
      <c r="D2523" s="1" t="s">
        <v>23</v>
      </c>
      <c r="E2523">
        <v>159.5</v>
      </c>
      <c r="F2523">
        <v>156.30000000000001</v>
      </c>
      <c r="G2523">
        <v>151</v>
      </c>
      <c r="H2523" s="1" t="s">
        <v>23</v>
      </c>
    </row>
    <row r="2524" spans="1:8" x14ac:dyDescent="0.3">
      <c r="A2524">
        <v>2020</v>
      </c>
      <c r="B2524" t="s">
        <v>43</v>
      </c>
      <c r="C2524" t="s">
        <v>142</v>
      </c>
      <c r="D2524" s="1" t="s">
        <v>22</v>
      </c>
      <c r="E2524">
        <v>152</v>
      </c>
      <c r="F2524">
        <v>148.69999999999999</v>
      </c>
      <c r="G2524">
        <v>145.1</v>
      </c>
      <c r="H2524" s="1" t="s">
        <v>20</v>
      </c>
    </row>
    <row r="2525" spans="1:8" x14ac:dyDescent="0.3">
      <c r="A2525">
        <v>2020</v>
      </c>
      <c r="B2525" t="s">
        <v>43</v>
      </c>
      <c r="C2525" t="s">
        <v>142</v>
      </c>
      <c r="D2525" s="1" t="s">
        <v>20</v>
      </c>
      <c r="E2525">
        <v>0</v>
      </c>
      <c r="F2525">
        <v>156.5</v>
      </c>
      <c r="G2525">
        <v>156.5</v>
      </c>
      <c r="H2525" s="1" t="s">
        <v>20</v>
      </c>
    </row>
    <row r="2526" spans="1:8" x14ac:dyDescent="0.3">
      <c r="A2526">
        <v>2020</v>
      </c>
      <c r="B2526" t="s">
        <v>43</v>
      </c>
      <c r="C2526" t="s">
        <v>142</v>
      </c>
      <c r="D2526" s="1" t="s">
        <v>4</v>
      </c>
      <c r="E2526">
        <v>186.3</v>
      </c>
      <c r="F2526">
        <v>188.9</v>
      </c>
      <c r="G2526">
        <v>193.7</v>
      </c>
      <c r="H2526" s="1" t="s">
        <v>188</v>
      </c>
    </row>
    <row r="2527" spans="1:8" x14ac:dyDescent="0.3">
      <c r="A2527">
        <v>2020</v>
      </c>
      <c r="B2527" t="s">
        <v>43</v>
      </c>
      <c r="C2527" t="s">
        <v>142</v>
      </c>
      <c r="D2527" s="1" t="s">
        <v>6</v>
      </c>
      <c r="E2527">
        <v>153.6</v>
      </c>
      <c r="F2527">
        <v>153.6</v>
      </c>
      <c r="G2527">
        <v>153.69999999999999</v>
      </c>
      <c r="H2527" s="1" t="s">
        <v>188</v>
      </c>
    </row>
    <row r="2528" spans="1:8" x14ac:dyDescent="0.3">
      <c r="A2528">
        <v>2020</v>
      </c>
      <c r="B2528" t="s">
        <v>43</v>
      </c>
      <c r="C2528" t="s">
        <v>142</v>
      </c>
      <c r="D2528" s="1" t="s">
        <v>28</v>
      </c>
      <c r="E2528">
        <v>154.30000000000001</v>
      </c>
      <c r="F2528">
        <v>150.4</v>
      </c>
      <c r="G2528">
        <v>146.19999999999999</v>
      </c>
      <c r="H2528" s="1" t="s">
        <v>192</v>
      </c>
    </row>
    <row r="2529" spans="1:8" x14ac:dyDescent="0.3">
      <c r="A2529">
        <v>2020</v>
      </c>
      <c r="B2529" t="s">
        <v>43</v>
      </c>
      <c r="C2529" t="s">
        <v>142</v>
      </c>
      <c r="D2529" s="1" t="s">
        <v>13</v>
      </c>
      <c r="E2529">
        <v>147.4</v>
      </c>
      <c r="F2529">
        <v>144</v>
      </c>
      <c r="G2529">
        <v>139.19999999999999</v>
      </c>
      <c r="H2529" s="1" t="s">
        <v>188</v>
      </c>
    </row>
    <row r="2530" spans="1:8" x14ac:dyDescent="0.3">
      <c r="A2530">
        <v>2020</v>
      </c>
      <c r="B2530" t="s">
        <v>43</v>
      </c>
      <c r="C2530" t="s">
        <v>142</v>
      </c>
      <c r="D2530" s="1" t="s">
        <v>7</v>
      </c>
      <c r="E2530">
        <v>142.6</v>
      </c>
      <c r="F2530">
        <v>140.1</v>
      </c>
      <c r="G2530">
        <v>135.69999999999999</v>
      </c>
      <c r="H2530" s="1" t="s">
        <v>188</v>
      </c>
    </row>
    <row r="2531" spans="1:8" x14ac:dyDescent="0.3">
      <c r="A2531">
        <v>2020</v>
      </c>
      <c r="B2531" t="s">
        <v>43</v>
      </c>
      <c r="C2531" t="s">
        <v>142</v>
      </c>
      <c r="D2531" s="1" t="s">
        <v>16</v>
      </c>
      <c r="E2531">
        <v>182.7</v>
      </c>
      <c r="F2531">
        <v>184.3</v>
      </c>
      <c r="G2531">
        <v>188.7</v>
      </c>
      <c r="H2531" s="1" t="s">
        <v>192</v>
      </c>
    </row>
    <row r="2532" spans="1:8" x14ac:dyDescent="0.3">
      <c r="A2532">
        <v>2020</v>
      </c>
      <c r="B2532" t="s">
        <v>43</v>
      </c>
      <c r="C2532" t="s">
        <v>142</v>
      </c>
      <c r="D2532" s="1" t="s">
        <v>27</v>
      </c>
      <c r="E2532">
        <v>156.19999999999999</v>
      </c>
      <c r="F2532">
        <v>157</v>
      </c>
      <c r="G2532">
        <v>158.1</v>
      </c>
      <c r="H2532" s="1" t="s">
        <v>192</v>
      </c>
    </row>
    <row r="2533" spans="1:8" x14ac:dyDescent="0.3">
      <c r="A2533">
        <v>2020</v>
      </c>
      <c r="B2533" t="s">
        <v>43</v>
      </c>
      <c r="C2533" t="s">
        <v>142</v>
      </c>
      <c r="D2533" s="1" t="s">
        <v>14</v>
      </c>
      <c r="E2533">
        <v>161.9</v>
      </c>
      <c r="F2533">
        <v>163.19999999999999</v>
      </c>
      <c r="G2533">
        <v>164.8</v>
      </c>
      <c r="H2533" s="1" t="s">
        <v>188</v>
      </c>
    </row>
    <row r="2534" spans="1:8" x14ac:dyDescent="0.3">
      <c r="A2534">
        <v>2020</v>
      </c>
      <c r="B2534" t="s">
        <v>43</v>
      </c>
      <c r="C2534" t="s">
        <v>142</v>
      </c>
      <c r="D2534" s="1" t="s">
        <v>10</v>
      </c>
      <c r="E2534">
        <v>150.30000000000001</v>
      </c>
      <c r="F2534">
        <v>150.9</v>
      </c>
      <c r="G2534">
        <v>152.19999999999999</v>
      </c>
      <c r="H2534" s="1" t="s">
        <v>188</v>
      </c>
    </row>
    <row r="2535" spans="1:8" x14ac:dyDescent="0.3">
      <c r="A2535">
        <v>2020</v>
      </c>
      <c r="B2535" t="s">
        <v>43</v>
      </c>
      <c r="C2535" t="s">
        <v>142</v>
      </c>
      <c r="D2535" s="1" t="s">
        <v>25</v>
      </c>
      <c r="E2535">
        <v>152.4</v>
      </c>
      <c r="F2535">
        <v>146.5</v>
      </c>
      <c r="G2535">
        <v>142</v>
      </c>
      <c r="H2535" s="1" t="s">
        <v>195</v>
      </c>
    </row>
    <row r="2536" spans="1:8" x14ac:dyDescent="0.3">
      <c r="A2536">
        <v>2020</v>
      </c>
      <c r="B2536" t="s">
        <v>43</v>
      </c>
      <c r="C2536" t="s">
        <v>142</v>
      </c>
      <c r="D2536" s="1" t="s">
        <v>12</v>
      </c>
      <c r="E2536">
        <v>160.9</v>
      </c>
      <c r="F2536">
        <v>161</v>
      </c>
      <c r="G2536">
        <v>161.30000000000001</v>
      </c>
      <c r="H2536" s="1" t="s">
        <v>188</v>
      </c>
    </row>
    <row r="2537" spans="1:8" x14ac:dyDescent="0.3">
      <c r="A2537">
        <v>2020</v>
      </c>
      <c r="B2537" t="s">
        <v>43</v>
      </c>
      <c r="C2537" t="s">
        <v>142</v>
      </c>
      <c r="D2537" s="1" t="s">
        <v>11</v>
      </c>
      <c r="E2537">
        <v>115.3</v>
      </c>
      <c r="F2537">
        <v>116.2</v>
      </c>
      <c r="G2537">
        <v>118.1</v>
      </c>
      <c r="H2537" s="1" t="s">
        <v>188</v>
      </c>
    </row>
    <row r="2538" spans="1:8" x14ac:dyDescent="0.3">
      <c r="A2538">
        <v>2020</v>
      </c>
      <c r="B2538" t="s">
        <v>43</v>
      </c>
      <c r="C2538" t="s">
        <v>142</v>
      </c>
      <c r="D2538" s="1" t="s">
        <v>24</v>
      </c>
      <c r="E2538">
        <v>146.4</v>
      </c>
      <c r="F2538">
        <v>140.6</v>
      </c>
      <c r="G2538">
        <v>135.4</v>
      </c>
      <c r="H2538" s="1" t="s">
        <v>191</v>
      </c>
    </row>
    <row r="2539" spans="1:8" x14ac:dyDescent="0.3">
      <c r="A2539">
        <v>2020</v>
      </c>
      <c r="B2539" t="s">
        <v>43</v>
      </c>
      <c r="C2539" t="s">
        <v>142</v>
      </c>
      <c r="D2539" s="1" t="s">
        <v>9</v>
      </c>
      <c r="E2539">
        <v>200.6</v>
      </c>
      <c r="F2539">
        <v>209.2</v>
      </c>
      <c r="G2539">
        <v>226</v>
      </c>
      <c r="H2539" s="1" t="s">
        <v>188</v>
      </c>
    </row>
    <row r="2540" spans="1:8" x14ac:dyDescent="0.3">
      <c r="A2540">
        <v>2020</v>
      </c>
      <c r="B2540" t="s">
        <v>42</v>
      </c>
      <c r="C2540" t="s">
        <v>143</v>
      </c>
      <c r="D2540" s="1" t="s">
        <v>3</v>
      </c>
      <c r="E2540">
        <v>146.9</v>
      </c>
      <c r="F2540">
        <v>148.4</v>
      </c>
      <c r="G2540">
        <v>151.5</v>
      </c>
      <c r="H2540" s="1" t="s">
        <v>188</v>
      </c>
    </row>
    <row r="2541" spans="1:8" x14ac:dyDescent="0.3">
      <c r="A2541">
        <v>2020</v>
      </c>
      <c r="B2541" t="s">
        <v>42</v>
      </c>
      <c r="C2541" t="s">
        <v>143</v>
      </c>
      <c r="D2541" s="1" t="s">
        <v>17</v>
      </c>
      <c r="E2541">
        <v>155.4</v>
      </c>
      <c r="F2541">
        <v>153.4</v>
      </c>
      <c r="G2541">
        <v>150.19999999999999</v>
      </c>
      <c r="H2541" s="1" t="s">
        <v>189</v>
      </c>
    </row>
    <row r="2542" spans="1:8" x14ac:dyDescent="0.3">
      <c r="A2542">
        <v>2020</v>
      </c>
      <c r="B2542" t="s">
        <v>42</v>
      </c>
      <c r="C2542" t="s">
        <v>143</v>
      </c>
      <c r="D2542" s="1" t="s">
        <v>19</v>
      </c>
      <c r="E2542">
        <v>154.6</v>
      </c>
      <c r="F2542">
        <v>152</v>
      </c>
      <c r="G2542">
        <v>148.1</v>
      </c>
      <c r="H2542" s="1" t="s">
        <v>189</v>
      </c>
    </row>
    <row r="2543" spans="1:8" x14ac:dyDescent="0.3">
      <c r="A2543">
        <v>2020</v>
      </c>
      <c r="B2543" t="s">
        <v>42</v>
      </c>
      <c r="C2543" t="s">
        <v>143</v>
      </c>
      <c r="D2543" s="1" t="s">
        <v>26</v>
      </c>
      <c r="E2543">
        <v>161.1</v>
      </c>
      <c r="F2543">
        <v>157.5</v>
      </c>
      <c r="G2543">
        <v>154.9</v>
      </c>
      <c r="H2543" s="1" t="s">
        <v>26</v>
      </c>
    </row>
    <row r="2544" spans="1:8" x14ac:dyDescent="0.3">
      <c r="A2544">
        <v>2020</v>
      </c>
      <c r="B2544" t="s">
        <v>42</v>
      </c>
      <c r="C2544" t="s">
        <v>143</v>
      </c>
      <c r="D2544" s="1" t="s">
        <v>5</v>
      </c>
      <c r="E2544">
        <v>149.5</v>
      </c>
      <c r="F2544">
        <v>152.5</v>
      </c>
      <c r="G2544">
        <v>157.30000000000001</v>
      </c>
      <c r="H2544" s="1" t="s">
        <v>188</v>
      </c>
    </row>
    <row r="2545" spans="1:8" x14ac:dyDescent="0.3">
      <c r="A2545">
        <v>2020</v>
      </c>
      <c r="B2545" t="s">
        <v>42</v>
      </c>
      <c r="C2545" t="s">
        <v>143</v>
      </c>
      <c r="D2545" s="1" t="s">
        <v>15</v>
      </c>
      <c r="E2545">
        <v>156.1</v>
      </c>
      <c r="F2545">
        <v>158</v>
      </c>
      <c r="G2545">
        <v>161.30000000000001</v>
      </c>
      <c r="H2545" s="1" t="s">
        <v>188</v>
      </c>
    </row>
    <row r="2546" spans="1:8" x14ac:dyDescent="0.3">
      <c r="A2546">
        <v>2020</v>
      </c>
      <c r="B2546" t="s">
        <v>42</v>
      </c>
      <c r="C2546" t="s">
        <v>143</v>
      </c>
      <c r="D2546" s="1" t="s">
        <v>18</v>
      </c>
      <c r="E2546">
        <v>149.9</v>
      </c>
      <c r="F2546">
        <v>144.30000000000001</v>
      </c>
      <c r="G2546">
        <v>136.30000000000001</v>
      </c>
      <c r="H2546" s="1" t="s">
        <v>189</v>
      </c>
    </row>
    <row r="2547" spans="1:8" x14ac:dyDescent="0.3">
      <c r="A2547">
        <v>2020</v>
      </c>
      <c r="B2547" t="s">
        <v>42</v>
      </c>
      <c r="C2547" t="s">
        <v>143</v>
      </c>
      <c r="D2547" s="1" t="s">
        <v>8</v>
      </c>
      <c r="E2547">
        <v>147</v>
      </c>
      <c r="F2547">
        <v>150.9</v>
      </c>
      <c r="G2547">
        <v>155.4</v>
      </c>
      <c r="H2547" s="1" t="s">
        <v>188</v>
      </c>
    </row>
    <row r="2548" spans="1:8" x14ac:dyDescent="0.3">
      <c r="A2548">
        <v>2020</v>
      </c>
      <c r="B2548" t="s">
        <v>42</v>
      </c>
      <c r="C2548" t="s">
        <v>143</v>
      </c>
      <c r="D2548" s="1" t="s">
        <v>21</v>
      </c>
      <c r="E2548">
        <v>146.4</v>
      </c>
      <c r="F2548">
        <v>142.9</v>
      </c>
      <c r="G2548">
        <v>137.19999999999999</v>
      </c>
      <c r="H2548" s="1" t="s">
        <v>190</v>
      </c>
    </row>
    <row r="2549" spans="1:8" x14ac:dyDescent="0.3">
      <c r="A2549">
        <v>2020</v>
      </c>
      <c r="B2549" t="s">
        <v>42</v>
      </c>
      <c r="C2549" t="s">
        <v>143</v>
      </c>
      <c r="D2549" s="1" t="s">
        <v>29</v>
      </c>
      <c r="E2549">
        <v>155.4</v>
      </c>
      <c r="F2549">
        <v>154.69999999999999</v>
      </c>
      <c r="G2549">
        <v>154</v>
      </c>
      <c r="H2549" s="1" t="s">
        <v>206</v>
      </c>
    </row>
    <row r="2550" spans="1:8" x14ac:dyDescent="0.3">
      <c r="A2550">
        <v>2020</v>
      </c>
      <c r="B2550" t="s">
        <v>42</v>
      </c>
      <c r="C2550" t="s">
        <v>143</v>
      </c>
      <c r="D2550" s="1" t="s">
        <v>23</v>
      </c>
      <c r="E2550">
        <v>159.1</v>
      </c>
      <c r="F2550">
        <v>155.6</v>
      </c>
      <c r="G2550">
        <v>150</v>
      </c>
      <c r="H2550" s="1" t="s">
        <v>23</v>
      </c>
    </row>
    <row r="2551" spans="1:8" x14ac:dyDescent="0.3">
      <c r="A2551">
        <v>2020</v>
      </c>
      <c r="B2551" t="s">
        <v>42</v>
      </c>
      <c r="C2551" t="s">
        <v>143</v>
      </c>
      <c r="D2551" s="1" t="s">
        <v>22</v>
      </c>
      <c r="E2551">
        <v>151.6</v>
      </c>
      <c r="F2551">
        <v>148.69999999999999</v>
      </c>
      <c r="G2551">
        <v>145.4</v>
      </c>
      <c r="H2551" s="1" t="s">
        <v>20</v>
      </c>
    </row>
    <row r="2552" spans="1:8" x14ac:dyDescent="0.3">
      <c r="A2552">
        <v>2020</v>
      </c>
      <c r="B2552" t="s">
        <v>42</v>
      </c>
      <c r="C2552" t="s">
        <v>143</v>
      </c>
      <c r="D2552" s="1" t="s">
        <v>20</v>
      </c>
      <c r="E2552">
        <v>0</v>
      </c>
      <c r="F2552">
        <v>156.30000000000001</v>
      </c>
      <c r="G2552">
        <v>156.30000000000001</v>
      </c>
      <c r="H2552" s="1" t="s">
        <v>20</v>
      </c>
    </row>
    <row r="2553" spans="1:8" x14ac:dyDescent="0.3">
      <c r="A2553">
        <v>2020</v>
      </c>
      <c r="B2553" t="s">
        <v>42</v>
      </c>
      <c r="C2553" t="s">
        <v>143</v>
      </c>
      <c r="D2553" s="1" t="s">
        <v>4</v>
      </c>
      <c r="E2553">
        <v>183.9</v>
      </c>
      <c r="F2553">
        <v>187.1</v>
      </c>
      <c r="G2553">
        <v>193.1</v>
      </c>
      <c r="H2553" s="1" t="s">
        <v>188</v>
      </c>
    </row>
    <row r="2554" spans="1:8" x14ac:dyDescent="0.3">
      <c r="A2554">
        <v>2020</v>
      </c>
      <c r="B2554" t="s">
        <v>42</v>
      </c>
      <c r="C2554" t="s">
        <v>143</v>
      </c>
      <c r="D2554" s="1" t="s">
        <v>6</v>
      </c>
      <c r="E2554">
        <v>153.4</v>
      </c>
      <c r="F2554">
        <v>153.6</v>
      </c>
      <c r="G2554">
        <v>153.9</v>
      </c>
      <c r="H2554" s="1" t="s">
        <v>188</v>
      </c>
    </row>
    <row r="2555" spans="1:8" x14ac:dyDescent="0.3">
      <c r="A2555">
        <v>2020</v>
      </c>
      <c r="B2555" t="s">
        <v>42</v>
      </c>
      <c r="C2555" t="s">
        <v>143</v>
      </c>
      <c r="D2555" s="1" t="s">
        <v>28</v>
      </c>
      <c r="E2555">
        <v>153.69999999999999</v>
      </c>
      <c r="F2555">
        <v>150</v>
      </c>
      <c r="G2555">
        <v>146</v>
      </c>
      <c r="H2555" s="1" t="s">
        <v>192</v>
      </c>
    </row>
    <row r="2556" spans="1:8" x14ac:dyDescent="0.3">
      <c r="A2556">
        <v>2020</v>
      </c>
      <c r="B2556" t="s">
        <v>42</v>
      </c>
      <c r="C2556" t="s">
        <v>143</v>
      </c>
      <c r="D2556" s="1" t="s">
        <v>13</v>
      </c>
      <c r="E2556">
        <v>145.4</v>
      </c>
      <c r="F2556">
        <v>142.19999999999999</v>
      </c>
      <c r="G2556">
        <v>137.69999999999999</v>
      </c>
      <c r="H2556" s="1" t="s">
        <v>188</v>
      </c>
    </row>
    <row r="2557" spans="1:8" x14ac:dyDescent="0.3">
      <c r="A2557">
        <v>2020</v>
      </c>
      <c r="B2557" t="s">
        <v>42</v>
      </c>
      <c r="C2557" t="s">
        <v>143</v>
      </c>
      <c r="D2557" s="1" t="s">
        <v>7</v>
      </c>
      <c r="E2557">
        <v>140.4</v>
      </c>
      <c r="F2557">
        <v>138.19999999999999</v>
      </c>
      <c r="G2557">
        <v>134.4</v>
      </c>
      <c r="H2557" s="1" t="s">
        <v>188</v>
      </c>
    </row>
    <row r="2558" spans="1:8" x14ac:dyDescent="0.3">
      <c r="A2558">
        <v>2020</v>
      </c>
      <c r="B2558" t="s">
        <v>42</v>
      </c>
      <c r="C2558" t="s">
        <v>143</v>
      </c>
      <c r="D2558" s="1" t="s">
        <v>16</v>
      </c>
      <c r="E2558">
        <v>182.9</v>
      </c>
      <c r="F2558">
        <v>184.4</v>
      </c>
      <c r="G2558">
        <v>188.7</v>
      </c>
      <c r="H2558" s="1" t="s">
        <v>192</v>
      </c>
    </row>
    <row r="2559" spans="1:8" x14ac:dyDescent="0.3">
      <c r="A2559">
        <v>2020</v>
      </c>
      <c r="B2559" t="s">
        <v>42</v>
      </c>
      <c r="C2559" t="s">
        <v>143</v>
      </c>
      <c r="D2559" s="1" t="s">
        <v>27</v>
      </c>
      <c r="E2559">
        <v>157.4</v>
      </c>
      <c r="F2559">
        <v>158.4</v>
      </c>
      <c r="G2559">
        <v>159.80000000000001</v>
      </c>
      <c r="H2559" s="1" t="s">
        <v>192</v>
      </c>
    </row>
    <row r="2560" spans="1:8" x14ac:dyDescent="0.3">
      <c r="A2560">
        <v>2020</v>
      </c>
      <c r="B2560" t="s">
        <v>42</v>
      </c>
      <c r="C2560" t="s">
        <v>143</v>
      </c>
      <c r="D2560" s="1" t="s">
        <v>14</v>
      </c>
      <c r="E2560">
        <v>161.6</v>
      </c>
      <c r="F2560">
        <v>162.9</v>
      </c>
      <c r="G2560">
        <v>164.4</v>
      </c>
      <c r="H2560" s="1" t="s">
        <v>188</v>
      </c>
    </row>
    <row r="2561" spans="1:8" x14ac:dyDescent="0.3">
      <c r="A2561">
        <v>2020</v>
      </c>
      <c r="B2561" t="s">
        <v>42</v>
      </c>
      <c r="C2561" t="s">
        <v>143</v>
      </c>
      <c r="D2561" s="1" t="s">
        <v>10</v>
      </c>
      <c r="E2561">
        <v>149.30000000000001</v>
      </c>
      <c r="F2561">
        <v>149.80000000000001</v>
      </c>
      <c r="G2561">
        <v>150.80000000000001</v>
      </c>
      <c r="H2561" s="1" t="s">
        <v>188</v>
      </c>
    </row>
    <row r="2562" spans="1:8" x14ac:dyDescent="0.3">
      <c r="A2562">
        <v>2020</v>
      </c>
      <c r="B2562" t="s">
        <v>42</v>
      </c>
      <c r="C2562" t="s">
        <v>143</v>
      </c>
      <c r="D2562" s="1" t="s">
        <v>25</v>
      </c>
      <c r="E2562">
        <v>152.80000000000001</v>
      </c>
      <c r="F2562">
        <v>146.6</v>
      </c>
      <c r="G2562">
        <v>141.80000000000001</v>
      </c>
      <c r="H2562" s="1" t="s">
        <v>195</v>
      </c>
    </row>
    <row r="2563" spans="1:8" x14ac:dyDescent="0.3">
      <c r="A2563">
        <v>2020</v>
      </c>
      <c r="B2563" t="s">
        <v>42</v>
      </c>
      <c r="C2563" t="s">
        <v>143</v>
      </c>
      <c r="D2563" s="1" t="s">
        <v>12</v>
      </c>
      <c r="E2563">
        <v>160</v>
      </c>
      <c r="F2563">
        <v>160.30000000000001</v>
      </c>
      <c r="G2563">
        <v>160.9</v>
      </c>
      <c r="H2563" s="1" t="s">
        <v>188</v>
      </c>
    </row>
    <row r="2564" spans="1:8" x14ac:dyDescent="0.3">
      <c r="A2564">
        <v>2020</v>
      </c>
      <c r="B2564" t="s">
        <v>42</v>
      </c>
      <c r="C2564" t="s">
        <v>143</v>
      </c>
      <c r="D2564" s="1" t="s">
        <v>11</v>
      </c>
      <c r="E2564">
        <v>115.1</v>
      </c>
      <c r="F2564">
        <v>116.4</v>
      </c>
      <c r="G2564">
        <v>118.9</v>
      </c>
      <c r="H2564" s="1" t="s">
        <v>188</v>
      </c>
    </row>
    <row r="2565" spans="1:8" x14ac:dyDescent="0.3">
      <c r="A2565">
        <v>2020</v>
      </c>
      <c r="B2565" t="s">
        <v>42</v>
      </c>
      <c r="C2565" t="s">
        <v>143</v>
      </c>
      <c r="D2565" s="1" t="s">
        <v>24</v>
      </c>
      <c r="E2565">
        <v>144.6</v>
      </c>
      <c r="F2565">
        <v>139.6</v>
      </c>
      <c r="G2565">
        <v>135.1</v>
      </c>
      <c r="H2565" s="1" t="s">
        <v>191</v>
      </c>
    </row>
    <row r="2566" spans="1:8" x14ac:dyDescent="0.3">
      <c r="A2566">
        <v>2020</v>
      </c>
      <c r="B2566" t="s">
        <v>42</v>
      </c>
      <c r="C2566" t="s">
        <v>143</v>
      </c>
      <c r="D2566" s="1" t="s">
        <v>9</v>
      </c>
      <c r="E2566">
        <v>178.8</v>
      </c>
      <c r="F2566">
        <v>186.7</v>
      </c>
      <c r="G2566">
        <v>202</v>
      </c>
      <c r="H2566" s="1" t="s">
        <v>188</v>
      </c>
    </row>
    <row r="2567" spans="1:8" x14ac:dyDescent="0.3">
      <c r="A2567">
        <v>2021</v>
      </c>
      <c r="B2567" t="s">
        <v>37</v>
      </c>
      <c r="C2567" t="s">
        <v>144</v>
      </c>
      <c r="D2567" s="1" t="s">
        <v>3</v>
      </c>
      <c r="E2567">
        <v>142.69999999999999</v>
      </c>
      <c r="F2567">
        <v>144.30000000000001</v>
      </c>
      <c r="G2567">
        <v>147.6</v>
      </c>
      <c r="H2567" s="1" t="s">
        <v>188</v>
      </c>
    </row>
    <row r="2568" spans="1:8" x14ac:dyDescent="0.3">
      <c r="A2568">
        <v>2021</v>
      </c>
      <c r="B2568" t="s">
        <v>37</v>
      </c>
      <c r="C2568" t="s">
        <v>144</v>
      </c>
      <c r="D2568" s="1" t="s">
        <v>17</v>
      </c>
      <c r="E2568">
        <v>160.69999999999999</v>
      </c>
      <c r="F2568">
        <v>158.80000000000001</v>
      </c>
      <c r="G2568">
        <v>155.9</v>
      </c>
      <c r="H2568" s="1" t="s">
        <v>189</v>
      </c>
    </row>
    <row r="2569" spans="1:8" x14ac:dyDescent="0.3">
      <c r="A2569">
        <v>2021</v>
      </c>
      <c r="B2569" t="s">
        <v>37</v>
      </c>
      <c r="C2569" t="s">
        <v>144</v>
      </c>
      <c r="D2569" s="1" t="s">
        <v>19</v>
      </c>
      <c r="E2569">
        <v>159.9</v>
      </c>
      <c r="F2569">
        <v>157.30000000000001</v>
      </c>
      <c r="G2569">
        <v>153.4</v>
      </c>
      <c r="H2569" s="1" t="s">
        <v>189</v>
      </c>
    </row>
    <row r="2570" spans="1:8" x14ac:dyDescent="0.3">
      <c r="A2570">
        <v>2021</v>
      </c>
      <c r="B2570" t="s">
        <v>37</v>
      </c>
      <c r="C2570" t="s">
        <v>144</v>
      </c>
      <c r="D2570" s="1" t="s">
        <v>26</v>
      </c>
      <c r="E2570">
        <v>164.1</v>
      </c>
      <c r="F2570">
        <v>160.30000000000001</v>
      </c>
      <c r="G2570">
        <v>157.6</v>
      </c>
      <c r="H2570" s="1" t="s">
        <v>26</v>
      </c>
    </row>
    <row r="2571" spans="1:8" x14ac:dyDescent="0.3">
      <c r="A2571">
        <v>2021</v>
      </c>
      <c r="B2571" t="s">
        <v>37</v>
      </c>
      <c r="C2571" t="s">
        <v>144</v>
      </c>
      <c r="D2571" s="1" t="s">
        <v>5</v>
      </c>
      <c r="E2571">
        <v>163.4</v>
      </c>
      <c r="F2571">
        <v>164.6</v>
      </c>
      <c r="G2571">
        <v>166.4</v>
      </c>
      <c r="H2571" s="1" t="s">
        <v>188</v>
      </c>
    </row>
    <row r="2572" spans="1:8" x14ac:dyDescent="0.3">
      <c r="A2572">
        <v>2021</v>
      </c>
      <c r="B2572" t="s">
        <v>37</v>
      </c>
      <c r="C2572" t="s">
        <v>144</v>
      </c>
      <c r="D2572" s="1" t="s">
        <v>15</v>
      </c>
      <c r="E2572">
        <v>155.6</v>
      </c>
      <c r="F2572">
        <v>158</v>
      </c>
      <c r="G2572">
        <v>162</v>
      </c>
      <c r="H2572" s="1" t="s">
        <v>188</v>
      </c>
    </row>
    <row r="2573" spans="1:8" x14ac:dyDescent="0.3">
      <c r="A2573">
        <v>2021</v>
      </c>
      <c r="B2573" t="s">
        <v>37</v>
      </c>
      <c r="C2573" t="s">
        <v>144</v>
      </c>
      <c r="D2573" s="1" t="s">
        <v>18</v>
      </c>
      <c r="E2573">
        <v>155.1</v>
      </c>
      <c r="F2573">
        <v>148.5</v>
      </c>
      <c r="G2573">
        <v>139.30000000000001</v>
      </c>
      <c r="H2573" s="1" t="s">
        <v>189</v>
      </c>
    </row>
    <row r="2574" spans="1:8" x14ac:dyDescent="0.3">
      <c r="A2574">
        <v>2021</v>
      </c>
      <c r="B2574" t="s">
        <v>37</v>
      </c>
      <c r="C2574" t="s">
        <v>144</v>
      </c>
      <c r="D2574" s="1" t="s">
        <v>8</v>
      </c>
      <c r="E2574">
        <v>160.6</v>
      </c>
      <c r="F2574">
        <v>164.4</v>
      </c>
      <c r="G2574">
        <v>168.8</v>
      </c>
      <c r="H2574" s="1" t="s">
        <v>188</v>
      </c>
    </row>
    <row r="2575" spans="1:8" x14ac:dyDescent="0.3">
      <c r="A2575">
        <v>2021</v>
      </c>
      <c r="B2575" t="s">
        <v>37</v>
      </c>
      <c r="C2575" t="s">
        <v>144</v>
      </c>
      <c r="D2575" s="1" t="s">
        <v>21</v>
      </c>
      <c r="E2575">
        <v>156</v>
      </c>
      <c r="F2575">
        <v>155.6</v>
      </c>
      <c r="G2575">
        <v>154.9</v>
      </c>
      <c r="H2575" s="1" t="s">
        <v>190</v>
      </c>
    </row>
    <row r="2576" spans="1:8" x14ac:dyDescent="0.3">
      <c r="A2576">
        <v>2021</v>
      </c>
      <c r="B2576" t="s">
        <v>37</v>
      </c>
      <c r="C2576" t="s">
        <v>144</v>
      </c>
      <c r="D2576" s="1" t="s">
        <v>29</v>
      </c>
      <c r="E2576">
        <v>157.6</v>
      </c>
      <c r="F2576">
        <v>157.80000000000001</v>
      </c>
      <c r="G2576">
        <v>158</v>
      </c>
      <c r="H2576" s="1" t="s">
        <v>206</v>
      </c>
    </row>
    <row r="2577" spans="1:8" x14ac:dyDescent="0.3">
      <c r="A2577">
        <v>2021</v>
      </c>
      <c r="B2577" t="s">
        <v>37</v>
      </c>
      <c r="C2577" t="s">
        <v>144</v>
      </c>
      <c r="D2577" s="1" t="s">
        <v>23</v>
      </c>
      <c r="E2577">
        <v>165.3</v>
      </c>
      <c r="F2577">
        <v>162.30000000000001</v>
      </c>
      <c r="G2577">
        <v>157.5</v>
      </c>
      <c r="H2577" s="1" t="s">
        <v>23</v>
      </c>
    </row>
    <row r="2578" spans="1:8" x14ac:dyDescent="0.3">
      <c r="A2578">
        <v>2021</v>
      </c>
      <c r="B2578" t="s">
        <v>37</v>
      </c>
      <c r="C2578" t="s">
        <v>144</v>
      </c>
      <c r="D2578" s="1" t="s">
        <v>22</v>
      </c>
      <c r="E2578">
        <v>155.5</v>
      </c>
      <c r="F2578">
        <v>151.80000000000001</v>
      </c>
      <c r="G2578">
        <v>147.6</v>
      </c>
      <c r="H2578" s="1" t="s">
        <v>20</v>
      </c>
    </row>
    <row r="2579" spans="1:8" x14ac:dyDescent="0.3">
      <c r="A2579">
        <v>2021</v>
      </c>
      <c r="B2579" t="s">
        <v>37</v>
      </c>
      <c r="C2579" t="s">
        <v>144</v>
      </c>
      <c r="D2579" s="1" t="s">
        <v>20</v>
      </c>
      <c r="E2579">
        <v>0</v>
      </c>
      <c r="F2579">
        <v>161.4</v>
      </c>
      <c r="G2579">
        <v>161.4</v>
      </c>
      <c r="H2579" s="1" t="s">
        <v>20</v>
      </c>
    </row>
    <row r="2580" spans="1:8" x14ac:dyDescent="0.3">
      <c r="A2580">
        <v>2021</v>
      </c>
      <c r="B2580" t="s">
        <v>37</v>
      </c>
      <c r="C2580" t="s">
        <v>144</v>
      </c>
      <c r="D2580" s="1" t="s">
        <v>4</v>
      </c>
      <c r="E2580">
        <v>195.5</v>
      </c>
      <c r="F2580">
        <v>198</v>
      </c>
      <c r="G2580">
        <v>202.5</v>
      </c>
      <c r="H2580" s="1" t="s">
        <v>188</v>
      </c>
    </row>
    <row r="2581" spans="1:8" x14ac:dyDescent="0.3">
      <c r="A2581">
        <v>2021</v>
      </c>
      <c r="B2581" t="s">
        <v>37</v>
      </c>
      <c r="C2581" t="s">
        <v>144</v>
      </c>
      <c r="D2581" s="1" t="s">
        <v>6</v>
      </c>
      <c r="E2581">
        <v>155</v>
      </c>
      <c r="F2581">
        <v>155.4</v>
      </c>
      <c r="G2581">
        <v>156</v>
      </c>
      <c r="H2581" s="1" t="s">
        <v>188</v>
      </c>
    </row>
    <row r="2582" spans="1:8" x14ac:dyDescent="0.3">
      <c r="A2582">
        <v>2021</v>
      </c>
      <c r="B2582" t="s">
        <v>37</v>
      </c>
      <c r="C2582" t="s">
        <v>144</v>
      </c>
      <c r="D2582" s="1" t="s">
        <v>28</v>
      </c>
      <c r="E2582">
        <v>158</v>
      </c>
      <c r="F2582">
        <v>154.4</v>
      </c>
      <c r="G2582">
        <v>150.5</v>
      </c>
      <c r="H2582" s="1" t="s">
        <v>192</v>
      </c>
    </row>
    <row r="2583" spans="1:8" x14ac:dyDescent="0.3">
      <c r="A2583">
        <v>2021</v>
      </c>
      <c r="B2583" t="s">
        <v>37</v>
      </c>
      <c r="C2583" t="s">
        <v>144</v>
      </c>
      <c r="D2583" s="1" t="s">
        <v>13</v>
      </c>
      <c r="E2583">
        <v>161.9</v>
      </c>
      <c r="F2583">
        <v>157.6</v>
      </c>
      <c r="G2583">
        <v>151.5</v>
      </c>
      <c r="H2583" s="1" t="s">
        <v>188</v>
      </c>
    </row>
    <row r="2584" spans="1:8" x14ac:dyDescent="0.3">
      <c r="A2584">
        <v>2021</v>
      </c>
      <c r="B2584" t="s">
        <v>37</v>
      </c>
      <c r="C2584" t="s">
        <v>144</v>
      </c>
      <c r="D2584" s="1" t="s">
        <v>7</v>
      </c>
      <c r="E2584">
        <v>175.2</v>
      </c>
      <c r="F2584">
        <v>170.1</v>
      </c>
      <c r="G2584">
        <v>161.4</v>
      </c>
      <c r="H2584" s="1" t="s">
        <v>188</v>
      </c>
    </row>
    <row r="2585" spans="1:8" x14ac:dyDescent="0.3">
      <c r="A2585">
        <v>2021</v>
      </c>
      <c r="B2585" t="s">
        <v>37</v>
      </c>
      <c r="C2585" t="s">
        <v>144</v>
      </c>
      <c r="D2585" s="1" t="s">
        <v>16</v>
      </c>
      <c r="E2585">
        <v>186.8</v>
      </c>
      <c r="F2585">
        <v>188.8</v>
      </c>
      <c r="G2585">
        <v>194.4</v>
      </c>
      <c r="H2585" s="1" t="s">
        <v>192</v>
      </c>
    </row>
    <row r="2586" spans="1:8" x14ac:dyDescent="0.3">
      <c r="A2586">
        <v>2021</v>
      </c>
      <c r="B2586" t="s">
        <v>37</v>
      </c>
      <c r="C2586" t="s">
        <v>144</v>
      </c>
      <c r="D2586" s="1" t="s">
        <v>27</v>
      </c>
      <c r="E2586">
        <v>154.6</v>
      </c>
      <c r="F2586">
        <v>155.4</v>
      </c>
      <c r="G2586">
        <v>156.6</v>
      </c>
      <c r="H2586" s="1" t="s">
        <v>192</v>
      </c>
    </row>
    <row r="2587" spans="1:8" x14ac:dyDescent="0.3">
      <c r="A2587">
        <v>2021</v>
      </c>
      <c r="B2587" t="s">
        <v>37</v>
      </c>
      <c r="C2587" t="s">
        <v>144</v>
      </c>
      <c r="D2587" s="1" t="s">
        <v>14</v>
      </c>
      <c r="E2587">
        <v>166.8</v>
      </c>
      <c r="F2587">
        <v>168.9</v>
      </c>
      <c r="G2587">
        <v>171.4</v>
      </c>
      <c r="H2587" s="1" t="s">
        <v>188</v>
      </c>
    </row>
    <row r="2588" spans="1:8" x14ac:dyDescent="0.3">
      <c r="A2588">
        <v>2021</v>
      </c>
      <c r="B2588" t="s">
        <v>37</v>
      </c>
      <c r="C2588" t="s">
        <v>144</v>
      </c>
      <c r="D2588" s="1" t="s">
        <v>10</v>
      </c>
      <c r="E2588">
        <v>161.1</v>
      </c>
      <c r="F2588">
        <v>161.69999999999999</v>
      </c>
      <c r="G2588">
        <v>162.80000000000001</v>
      </c>
      <c r="H2588" s="1" t="s">
        <v>188</v>
      </c>
    </row>
    <row r="2589" spans="1:8" x14ac:dyDescent="0.3">
      <c r="A2589">
        <v>2021</v>
      </c>
      <c r="B2589" t="s">
        <v>37</v>
      </c>
      <c r="C2589" t="s">
        <v>144</v>
      </c>
      <c r="D2589" s="1" t="s">
        <v>25</v>
      </c>
      <c r="E2589">
        <v>158.6</v>
      </c>
      <c r="F2589">
        <v>153.19999999999999</v>
      </c>
      <c r="G2589">
        <v>149.1</v>
      </c>
      <c r="H2589" s="1" t="s">
        <v>195</v>
      </c>
    </row>
    <row r="2590" spans="1:8" x14ac:dyDescent="0.3">
      <c r="A2590">
        <v>2021</v>
      </c>
      <c r="B2590" t="s">
        <v>37</v>
      </c>
      <c r="C2590" t="s">
        <v>144</v>
      </c>
      <c r="D2590" s="1" t="s">
        <v>12</v>
      </c>
      <c r="E2590">
        <v>164.4</v>
      </c>
      <c r="F2590">
        <v>163.9</v>
      </c>
      <c r="G2590">
        <v>162.80000000000001</v>
      </c>
      <c r="H2590" s="1" t="s">
        <v>188</v>
      </c>
    </row>
    <row r="2591" spans="1:8" x14ac:dyDescent="0.3">
      <c r="A2591">
        <v>2021</v>
      </c>
      <c r="B2591" t="s">
        <v>37</v>
      </c>
      <c r="C2591" t="s">
        <v>144</v>
      </c>
      <c r="D2591" s="1" t="s">
        <v>11</v>
      </c>
      <c r="E2591">
        <v>112.2</v>
      </c>
      <c r="F2591">
        <v>113.1</v>
      </c>
      <c r="G2591">
        <v>114.8</v>
      </c>
      <c r="H2591" s="1" t="s">
        <v>188</v>
      </c>
    </row>
    <row r="2592" spans="1:8" x14ac:dyDescent="0.3">
      <c r="A2592">
        <v>2021</v>
      </c>
      <c r="B2592" t="s">
        <v>37</v>
      </c>
      <c r="C2592" t="s">
        <v>144</v>
      </c>
      <c r="D2592" s="1" t="s">
        <v>24</v>
      </c>
      <c r="E2592">
        <v>151.69999999999999</v>
      </c>
      <c r="F2592">
        <v>146.6</v>
      </c>
      <c r="G2592">
        <v>142.1</v>
      </c>
      <c r="H2592" s="1" t="s">
        <v>191</v>
      </c>
    </row>
    <row r="2593" spans="1:8" x14ac:dyDescent="0.3">
      <c r="A2593">
        <v>2021</v>
      </c>
      <c r="B2593" t="s">
        <v>37</v>
      </c>
      <c r="C2593" t="s">
        <v>144</v>
      </c>
      <c r="D2593" s="1" t="s">
        <v>9</v>
      </c>
      <c r="E2593">
        <v>135.1</v>
      </c>
      <c r="F2593">
        <v>144.1</v>
      </c>
      <c r="G2593">
        <v>161.6</v>
      </c>
      <c r="H2593" s="1" t="s">
        <v>188</v>
      </c>
    </row>
    <row r="2594" spans="1:8" x14ac:dyDescent="0.3">
      <c r="A2594">
        <v>2021</v>
      </c>
      <c r="B2594" t="s">
        <v>41</v>
      </c>
      <c r="C2594" t="s">
        <v>145</v>
      </c>
      <c r="D2594" s="1" t="s">
        <v>3</v>
      </c>
      <c r="E2594">
        <v>144.9</v>
      </c>
      <c r="F2594">
        <v>146.6</v>
      </c>
      <c r="G2594">
        <v>149.30000000000001</v>
      </c>
      <c r="H2594" s="1" t="s">
        <v>188</v>
      </c>
    </row>
    <row r="2595" spans="1:8" x14ac:dyDescent="0.3">
      <c r="A2595">
        <v>2021</v>
      </c>
      <c r="B2595" t="s">
        <v>41</v>
      </c>
      <c r="C2595" t="s">
        <v>145</v>
      </c>
      <c r="D2595" s="1" t="s">
        <v>17</v>
      </c>
      <c r="E2595">
        <v>167</v>
      </c>
      <c r="F2595">
        <v>164.5</v>
      </c>
      <c r="G2595">
        <v>159.80000000000001</v>
      </c>
      <c r="H2595" s="1" t="s">
        <v>189</v>
      </c>
    </row>
    <row r="2596" spans="1:8" x14ac:dyDescent="0.3">
      <c r="A2596">
        <v>2021</v>
      </c>
      <c r="B2596" t="s">
        <v>41</v>
      </c>
      <c r="C2596" t="s">
        <v>145</v>
      </c>
      <c r="D2596" s="1" t="s">
        <v>19</v>
      </c>
      <c r="E2596">
        <v>166.3</v>
      </c>
      <c r="F2596">
        <v>163.19999999999999</v>
      </c>
      <c r="G2596">
        <v>157.30000000000001</v>
      </c>
      <c r="H2596" s="1" t="s">
        <v>189</v>
      </c>
    </row>
    <row r="2597" spans="1:8" x14ac:dyDescent="0.3">
      <c r="A2597">
        <v>2021</v>
      </c>
      <c r="B2597" t="s">
        <v>41</v>
      </c>
      <c r="C2597" t="s">
        <v>145</v>
      </c>
      <c r="D2597" s="1" t="s">
        <v>26</v>
      </c>
      <c r="E2597">
        <v>167.5</v>
      </c>
      <c r="F2597">
        <v>163.80000000000001</v>
      </c>
      <c r="G2597">
        <v>160.4</v>
      </c>
      <c r="H2597" s="1" t="s">
        <v>26</v>
      </c>
    </row>
    <row r="2598" spans="1:8" x14ac:dyDescent="0.3">
      <c r="A2598">
        <v>2021</v>
      </c>
      <c r="B2598" t="s">
        <v>41</v>
      </c>
      <c r="C2598" t="s">
        <v>145</v>
      </c>
      <c r="D2598" s="1" t="s">
        <v>5</v>
      </c>
      <c r="E2598">
        <v>176.5</v>
      </c>
      <c r="F2598">
        <v>172.8</v>
      </c>
      <c r="G2598">
        <v>174.1</v>
      </c>
      <c r="H2598" s="1" t="s">
        <v>188</v>
      </c>
    </row>
    <row r="2599" spans="1:8" x14ac:dyDescent="0.3">
      <c r="A2599">
        <v>2021</v>
      </c>
      <c r="B2599" t="s">
        <v>41</v>
      </c>
      <c r="C2599" t="s">
        <v>145</v>
      </c>
      <c r="D2599" s="1" t="s">
        <v>15</v>
      </c>
      <c r="E2599">
        <v>161.80000000000001</v>
      </c>
      <c r="F2599">
        <v>164</v>
      </c>
      <c r="G2599">
        <v>167.3</v>
      </c>
      <c r="H2599" s="1" t="s">
        <v>188</v>
      </c>
    </row>
    <row r="2600" spans="1:8" x14ac:dyDescent="0.3">
      <c r="A2600">
        <v>2021</v>
      </c>
      <c r="B2600" t="s">
        <v>41</v>
      </c>
      <c r="C2600" t="s">
        <v>145</v>
      </c>
      <c r="D2600" s="1" t="s">
        <v>18</v>
      </c>
      <c r="E2600">
        <v>162.6</v>
      </c>
      <c r="F2600">
        <v>155.30000000000001</v>
      </c>
      <c r="G2600">
        <v>143.6</v>
      </c>
      <c r="H2600" s="1" t="s">
        <v>189</v>
      </c>
    </row>
    <row r="2601" spans="1:8" x14ac:dyDescent="0.3">
      <c r="A2601">
        <v>2021</v>
      </c>
      <c r="B2601" t="s">
        <v>41</v>
      </c>
      <c r="C2601" t="s">
        <v>145</v>
      </c>
      <c r="D2601" s="1" t="s">
        <v>8</v>
      </c>
      <c r="E2601">
        <v>155.69999999999999</v>
      </c>
      <c r="F2601">
        <v>156.80000000000001</v>
      </c>
      <c r="G2601">
        <v>161.30000000000001</v>
      </c>
      <c r="H2601" s="1" t="s">
        <v>188</v>
      </c>
    </row>
    <row r="2602" spans="1:8" x14ac:dyDescent="0.3">
      <c r="A2602">
        <v>2021</v>
      </c>
      <c r="B2602" t="s">
        <v>41</v>
      </c>
      <c r="C2602" t="s">
        <v>145</v>
      </c>
      <c r="D2602" s="1" t="s">
        <v>21</v>
      </c>
      <c r="E2602">
        <v>163.1</v>
      </c>
      <c r="F2602">
        <v>162.6</v>
      </c>
      <c r="G2602">
        <v>160.69999999999999</v>
      </c>
      <c r="H2602" s="1" t="s">
        <v>190</v>
      </c>
    </row>
    <row r="2603" spans="1:8" x14ac:dyDescent="0.3">
      <c r="A2603">
        <v>2021</v>
      </c>
      <c r="B2603" t="s">
        <v>41</v>
      </c>
      <c r="C2603" t="s">
        <v>145</v>
      </c>
      <c r="D2603" s="1" t="s">
        <v>29</v>
      </c>
      <c r="E2603">
        <v>163.6</v>
      </c>
      <c r="F2603">
        <v>163.19999999999999</v>
      </c>
      <c r="G2603">
        <v>162.30000000000001</v>
      </c>
      <c r="H2603" s="1" t="s">
        <v>206</v>
      </c>
    </row>
    <row r="2604" spans="1:8" x14ac:dyDescent="0.3">
      <c r="A2604">
        <v>2021</v>
      </c>
      <c r="B2604" t="s">
        <v>41</v>
      </c>
      <c r="C2604" t="s">
        <v>145</v>
      </c>
      <c r="D2604" s="1" t="s">
        <v>23</v>
      </c>
      <c r="E2604">
        <v>171.1</v>
      </c>
      <c r="F2604">
        <v>168.4</v>
      </c>
      <c r="G2604">
        <v>162.80000000000001</v>
      </c>
      <c r="H2604" s="1" t="s">
        <v>23</v>
      </c>
    </row>
    <row r="2605" spans="1:8" x14ac:dyDescent="0.3">
      <c r="A2605">
        <v>2021</v>
      </c>
      <c r="B2605" t="s">
        <v>41</v>
      </c>
      <c r="C2605" t="s">
        <v>145</v>
      </c>
      <c r="D2605" s="1" t="s">
        <v>22</v>
      </c>
      <c r="E2605">
        <v>160.9</v>
      </c>
      <c r="F2605">
        <v>157.5</v>
      </c>
      <c r="G2605">
        <v>153.19999999999999</v>
      </c>
      <c r="H2605" s="1" t="s">
        <v>20</v>
      </c>
    </row>
    <row r="2606" spans="1:8" x14ac:dyDescent="0.3">
      <c r="A2606">
        <v>2021</v>
      </c>
      <c r="B2606" t="s">
        <v>41</v>
      </c>
      <c r="C2606" t="s">
        <v>145</v>
      </c>
      <c r="D2606" s="1" t="s">
        <v>20</v>
      </c>
      <c r="E2606">
        <v>0</v>
      </c>
      <c r="F2606">
        <v>162.1</v>
      </c>
      <c r="G2606">
        <v>162.1</v>
      </c>
      <c r="H2606" s="1" t="s">
        <v>20</v>
      </c>
    </row>
    <row r="2607" spans="1:8" x14ac:dyDescent="0.3">
      <c r="A2607">
        <v>2021</v>
      </c>
      <c r="B2607" t="s">
        <v>41</v>
      </c>
      <c r="C2607" t="s">
        <v>145</v>
      </c>
      <c r="D2607" s="1" t="s">
        <v>4</v>
      </c>
      <c r="E2607">
        <v>202.3</v>
      </c>
      <c r="F2607">
        <v>204</v>
      </c>
      <c r="G2607">
        <v>207.4</v>
      </c>
      <c r="H2607" s="1" t="s">
        <v>188</v>
      </c>
    </row>
    <row r="2608" spans="1:8" x14ac:dyDescent="0.3">
      <c r="A2608">
        <v>2021</v>
      </c>
      <c r="B2608" t="s">
        <v>41</v>
      </c>
      <c r="C2608" t="s">
        <v>145</v>
      </c>
      <c r="D2608" s="1" t="s">
        <v>6</v>
      </c>
      <c r="E2608">
        <v>157.5</v>
      </c>
      <c r="F2608">
        <v>158.4</v>
      </c>
      <c r="G2608">
        <v>159.19999999999999</v>
      </c>
      <c r="H2608" s="1" t="s">
        <v>188</v>
      </c>
    </row>
    <row r="2609" spans="1:8" x14ac:dyDescent="0.3">
      <c r="A2609">
        <v>2021</v>
      </c>
      <c r="B2609" t="s">
        <v>41</v>
      </c>
      <c r="C2609" t="s">
        <v>145</v>
      </c>
      <c r="D2609" s="1" t="s">
        <v>28</v>
      </c>
      <c r="E2609">
        <v>163.30000000000001</v>
      </c>
      <c r="F2609">
        <v>160</v>
      </c>
      <c r="G2609">
        <v>156</v>
      </c>
      <c r="H2609" s="1" t="s">
        <v>192</v>
      </c>
    </row>
    <row r="2610" spans="1:8" x14ac:dyDescent="0.3">
      <c r="A2610">
        <v>2021</v>
      </c>
      <c r="B2610" t="s">
        <v>41</v>
      </c>
      <c r="C2610" t="s">
        <v>145</v>
      </c>
      <c r="D2610" s="1" t="s">
        <v>13</v>
      </c>
      <c r="E2610">
        <v>167.6</v>
      </c>
      <c r="F2610">
        <v>162.69999999999999</v>
      </c>
      <c r="G2610">
        <v>154.80000000000001</v>
      </c>
      <c r="H2610" s="1" t="s">
        <v>188</v>
      </c>
    </row>
    <row r="2611" spans="1:8" x14ac:dyDescent="0.3">
      <c r="A2611">
        <v>2021</v>
      </c>
      <c r="B2611" t="s">
        <v>41</v>
      </c>
      <c r="C2611" t="s">
        <v>145</v>
      </c>
      <c r="D2611" s="1" t="s">
        <v>7</v>
      </c>
      <c r="E2611">
        <v>190.9</v>
      </c>
      <c r="F2611">
        <v>188</v>
      </c>
      <c r="G2611">
        <v>175</v>
      </c>
      <c r="H2611" s="1" t="s">
        <v>188</v>
      </c>
    </row>
    <row r="2612" spans="1:8" x14ac:dyDescent="0.3">
      <c r="A2612">
        <v>2021</v>
      </c>
      <c r="B2612" t="s">
        <v>41</v>
      </c>
      <c r="C2612" t="s">
        <v>145</v>
      </c>
      <c r="D2612" s="1" t="s">
        <v>16</v>
      </c>
      <c r="E2612">
        <v>190.2</v>
      </c>
      <c r="F2612">
        <v>192.1</v>
      </c>
      <c r="G2612">
        <v>196.5</v>
      </c>
      <c r="H2612" s="1" t="s">
        <v>192</v>
      </c>
    </row>
    <row r="2613" spans="1:8" x14ac:dyDescent="0.3">
      <c r="A2613">
        <v>2021</v>
      </c>
      <c r="B2613" t="s">
        <v>41</v>
      </c>
      <c r="C2613" t="s">
        <v>145</v>
      </c>
      <c r="D2613" s="1" t="s">
        <v>27</v>
      </c>
      <c r="E2613">
        <v>160.30000000000001</v>
      </c>
      <c r="F2613">
        <v>160</v>
      </c>
      <c r="G2613">
        <v>159.6</v>
      </c>
      <c r="H2613" s="1" t="s">
        <v>192</v>
      </c>
    </row>
    <row r="2614" spans="1:8" x14ac:dyDescent="0.3">
      <c r="A2614">
        <v>2021</v>
      </c>
      <c r="B2614" t="s">
        <v>41</v>
      </c>
      <c r="C2614" t="s">
        <v>145</v>
      </c>
      <c r="D2614" s="1" t="s">
        <v>14</v>
      </c>
      <c r="E2614">
        <v>171.9</v>
      </c>
      <c r="F2614">
        <v>173.9</v>
      </c>
      <c r="G2614">
        <v>175.1</v>
      </c>
      <c r="H2614" s="1" t="s">
        <v>188</v>
      </c>
    </row>
    <row r="2615" spans="1:8" x14ac:dyDescent="0.3">
      <c r="A2615">
        <v>2021</v>
      </c>
      <c r="B2615" t="s">
        <v>41</v>
      </c>
      <c r="C2615" t="s">
        <v>145</v>
      </c>
      <c r="D2615" s="1" t="s">
        <v>10</v>
      </c>
      <c r="E2615">
        <v>162.80000000000001</v>
      </c>
      <c r="F2615">
        <v>164.1</v>
      </c>
      <c r="G2615">
        <v>164.5</v>
      </c>
      <c r="H2615" s="1" t="s">
        <v>188</v>
      </c>
    </row>
    <row r="2616" spans="1:8" x14ac:dyDescent="0.3">
      <c r="A2616">
        <v>2021</v>
      </c>
      <c r="B2616" t="s">
        <v>41</v>
      </c>
      <c r="C2616" t="s">
        <v>145</v>
      </c>
      <c r="D2616" s="1" t="s">
        <v>25</v>
      </c>
      <c r="E2616">
        <v>161.1</v>
      </c>
      <c r="F2616">
        <v>157.6</v>
      </c>
      <c r="G2616">
        <v>153.69999999999999</v>
      </c>
      <c r="H2616" s="1" t="s">
        <v>195</v>
      </c>
    </row>
    <row r="2617" spans="1:8" x14ac:dyDescent="0.3">
      <c r="A2617">
        <v>2021</v>
      </c>
      <c r="B2617" t="s">
        <v>41</v>
      </c>
      <c r="C2617" t="s">
        <v>145</v>
      </c>
      <c r="D2617" s="1" t="s">
        <v>12</v>
      </c>
      <c r="E2617">
        <v>169.8</v>
      </c>
      <c r="F2617">
        <v>168.8</v>
      </c>
      <c r="G2617">
        <v>166.2</v>
      </c>
      <c r="H2617" s="1" t="s">
        <v>188</v>
      </c>
    </row>
    <row r="2618" spans="1:8" x14ac:dyDescent="0.3">
      <c r="A2618">
        <v>2021</v>
      </c>
      <c r="B2618" t="s">
        <v>41</v>
      </c>
      <c r="C2618" t="s">
        <v>145</v>
      </c>
      <c r="D2618" s="1" t="s">
        <v>11</v>
      </c>
      <c r="E2618">
        <v>115.2</v>
      </c>
      <c r="F2618">
        <v>119.7</v>
      </c>
      <c r="G2618">
        <v>120.4</v>
      </c>
      <c r="H2618" s="1" t="s">
        <v>188</v>
      </c>
    </row>
    <row r="2619" spans="1:8" x14ac:dyDescent="0.3">
      <c r="A2619">
        <v>2021</v>
      </c>
      <c r="B2619" t="s">
        <v>41</v>
      </c>
      <c r="C2619" t="s">
        <v>145</v>
      </c>
      <c r="D2619" s="1" t="s">
        <v>24</v>
      </c>
      <c r="E2619">
        <v>157.69999999999999</v>
      </c>
      <c r="F2619">
        <v>154</v>
      </c>
      <c r="G2619">
        <v>150.4</v>
      </c>
      <c r="H2619" s="1" t="s">
        <v>191</v>
      </c>
    </row>
    <row r="2620" spans="1:8" x14ac:dyDescent="0.3">
      <c r="A2620">
        <v>2021</v>
      </c>
      <c r="B2620" t="s">
        <v>41</v>
      </c>
      <c r="C2620" t="s">
        <v>145</v>
      </c>
      <c r="D2620" s="1" t="s">
        <v>9</v>
      </c>
      <c r="E2620">
        <v>153.9</v>
      </c>
      <c r="F2620">
        <v>162.19999999999999</v>
      </c>
      <c r="G2620">
        <v>183.3</v>
      </c>
      <c r="H2620" s="1" t="s">
        <v>188</v>
      </c>
    </row>
    <row r="2621" spans="1:8" x14ac:dyDescent="0.3">
      <c r="A2621">
        <v>2021</v>
      </c>
      <c r="B2621" t="s">
        <v>45</v>
      </c>
      <c r="C2621" t="s">
        <v>146</v>
      </c>
      <c r="D2621" s="1" t="s">
        <v>3</v>
      </c>
      <c r="E2621">
        <v>147.4</v>
      </c>
      <c r="F2621">
        <v>148.69999999999999</v>
      </c>
      <c r="G2621">
        <v>151.6</v>
      </c>
      <c r="H2621" s="1" t="s">
        <v>188</v>
      </c>
    </row>
    <row r="2622" spans="1:8" x14ac:dyDescent="0.3">
      <c r="A2622">
        <v>2021</v>
      </c>
      <c r="B2622" t="s">
        <v>45</v>
      </c>
      <c r="C2622" t="s">
        <v>146</v>
      </c>
      <c r="D2622" s="1" t="s">
        <v>17</v>
      </c>
      <c r="E2622">
        <v>171.8</v>
      </c>
      <c r="F2622">
        <v>168.5</v>
      </c>
      <c r="G2622">
        <v>163.30000000000001</v>
      </c>
      <c r="H2622" s="1" t="s">
        <v>189</v>
      </c>
    </row>
    <row r="2623" spans="1:8" x14ac:dyDescent="0.3">
      <c r="A2623">
        <v>2021</v>
      </c>
      <c r="B2623" t="s">
        <v>45</v>
      </c>
      <c r="C2623" t="s">
        <v>146</v>
      </c>
      <c r="D2623" s="1" t="s">
        <v>19</v>
      </c>
      <c r="E2623">
        <v>171.2</v>
      </c>
      <c r="F2623">
        <v>167</v>
      </c>
      <c r="G2623">
        <v>160.69999999999999</v>
      </c>
      <c r="H2623" s="1" t="s">
        <v>189</v>
      </c>
    </row>
    <row r="2624" spans="1:8" x14ac:dyDescent="0.3">
      <c r="A2624">
        <v>2021</v>
      </c>
      <c r="B2624" t="s">
        <v>45</v>
      </c>
      <c r="C2624" t="s">
        <v>146</v>
      </c>
      <c r="D2624" s="1" t="s">
        <v>26</v>
      </c>
      <c r="E2624">
        <v>169.7</v>
      </c>
      <c r="F2624">
        <v>164.4</v>
      </c>
      <c r="G2624">
        <v>160.6</v>
      </c>
      <c r="H2624" s="1" t="s">
        <v>26</v>
      </c>
    </row>
    <row r="2625" spans="1:8" x14ac:dyDescent="0.3">
      <c r="A2625">
        <v>2021</v>
      </c>
      <c r="B2625" t="s">
        <v>45</v>
      </c>
      <c r="C2625" t="s">
        <v>146</v>
      </c>
      <c r="D2625" s="1" t="s">
        <v>5</v>
      </c>
      <c r="E2625">
        <v>176.5</v>
      </c>
      <c r="F2625">
        <v>177.9</v>
      </c>
      <c r="G2625">
        <v>180</v>
      </c>
      <c r="H2625" s="1" t="s">
        <v>188</v>
      </c>
    </row>
    <row r="2626" spans="1:8" x14ac:dyDescent="0.3">
      <c r="A2626">
        <v>2021</v>
      </c>
      <c r="B2626" t="s">
        <v>45</v>
      </c>
      <c r="C2626" t="s">
        <v>146</v>
      </c>
      <c r="D2626" s="1" t="s">
        <v>15</v>
      </c>
      <c r="E2626">
        <v>165.8</v>
      </c>
      <c r="F2626">
        <v>168.2</v>
      </c>
      <c r="G2626">
        <v>172.2</v>
      </c>
      <c r="H2626" s="1" t="s">
        <v>188</v>
      </c>
    </row>
    <row r="2627" spans="1:8" x14ac:dyDescent="0.3">
      <c r="A2627">
        <v>2021</v>
      </c>
      <c r="B2627" t="s">
        <v>45</v>
      </c>
      <c r="C2627" t="s">
        <v>146</v>
      </c>
      <c r="D2627" s="1" t="s">
        <v>18</v>
      </c>
      <c r="E2627">
        <v>167.3</v>
      </c>
      <c r="F2627">
        <v>158.69999999999999</v>
      </c>
      <c r="G2627">
        <v>146.69999999999999</v>
      </c>
      <c r="H2627" s="1" t="s">
        <v>189</v>
      </c>
    </row>
    <row r="2628" spans="1:8" x14ac:dyDescent="0.3">
      <c r="A2628">
        <v>2021</v>
      </c>
      <c r="B2628" t="s">
        <v>45</v>
      </c>
      <c r="C2628" t="s">
        <v>146</v>
      </c>
      <c r="D2628" s="1" t="s">
        <v>8</v>
      </c>
      <c r="E2628">
        <v>152</v>
      </c>
      <c r="F2628">
        <v>154.9</v>
      </c>
      <c r="G2628">
        <v>158.30000000000001</v>
      </c>
      <c r="H2628" s="1" t="s">
        <v>188</v>
      </c>
    </row>
    <row r="2629" spans="1:8" x14ac:dyDescent="0.3">
      <c r="A2629">
        <v>2021</v>
      </c>
      <c r="B2629" t="s">
        <v>45</v>
      </c>
      <c r="C2629" t="s">
        <v>146</v>
      </c>
      <c r="D2629" s="1" t="s">
        <v>21</v>
      </c>
      <c r="E2629">
        <v>165.6</v>
      </c>
      <c r="F2629">
        <v>164.1</v>
      </c>
      <c r="G2629">
        <v>161.69999999999999</v>
      </c>
      <c r="H2629" s="1" t="s">
        <v>190</v>
      </c>
    </row>
    <row r="2630" spans="1:8" x14ac:dyDescent="0.3">
      <c r="A2630">
        <v>2021</v>
      </c>
      <c r="B2630" t="s">
        <v>45</v>
      </c>
      <c r="C2630" t="s">
        <v>146</v>
      </c>
      <c r="D2630" s="1" t="s">
        <v>29</v>
      </c>
      <c r="E2630">
        <v>167</v>
      </c>
      <c r="F2630">
        <v>166.2</v>
      </c>
      <c r="G2630">
        <v>165.2</v>
      </c>
      <c r="H2630" s="1" t="s">
        <v>206</v>
      </c>
    </row>
    <row r="2631" spans="1:8" x14ac:dyDescent="0.3">
      <c r="A2631">
        <v>2021</v>
      </c>
      <c r="B2631" t="s">
        <v>45</v>
      </c>
      <c r="C2631" t="s">
        <v>146</v>
      </c>
      <c r="D2631" s="1" t="s">
        <v>23</v>
      </c>
      <c r="E2631">
        <v>174</v>
      </c>
      <c r="F2631">
        <v>170.6</v>
      </c>
      <c r="G2631">
        <v>165.1</v>
      </c>
      <c r="H2631" s="1" t="s">
        <v>23</v>
      </c>
    </row>
    <row r="2632" spans="1:8" x14ac:dyDescent="0.3">
      <c r="A2632">
        <v>2021</v>
      </c>
      <c r="B2632" t="s">
        <v>45</v>
      </c>
      <c r="C2632" t="s">
        <v>146</v>
      </c>
      <c r="D2632" s="1" t="s">
        <v>22</v>
      </c>
      <c r="E2632">
        <v>163.9</v>
      </c>
      <c r="F2632">
        <v>160.19999999999999</v>
      </c>
      <c r="G2632">
        <v>156</v>
      </c>
      <c r="H2632" s="1" t="s">
        <v>20</v>
      </c>
    </row>
    <row r="2633" spans="1:8" x14ac:dyDescent="0.3">
      <c r="A2633">
        <v>2021</v>
      </c>
      <c r="B2633" t="s">
        <v>45</v>
      </c>
      <c r="C2633" t="s">
        <v>146</v>
      </c>
      <c r="D2633" s="1" t="s">
        <v>20</v>
      </c>
      <c r="E2633">
        <v>0</v>
      </c>
      <c r="F2633">
        <v>163.4</v>
      </c>
      <c r="G2633">
        <v>163.4</v>
      </c>
      <c r="H2633" s="1" t="s">
        <v>20</v>
      </c>
    </row>
    <row r="2634" spans="1:8" x14ac:dyDescent="0.3">
      <c r="A2634">
        <v>2021</v>
      </c>
      <c r="B2634" t="s">
        <v>45</v>
      </c>
      <c r="C2634" t="s">
        <v>146</v>
      </c>
      <c r="D2634" s="1" t="s">
        <v>4</v>
      </c>
      <c r="E2634">
        <v>197</v>
      </c>
      <c r="F2634">
        <v>198.8</v>
      </c>
      <c r="G2634">
        <v>202.2</v>
      </c>
      <c r="H2634" s="1" t="s">
        <v>188</v>
      </c>
    </row>
    <row r="2635" spans="1:8" x14ac:dyDescent="0.3">
      <c r="A2635">
        <v>2021</v>
      </c>
      <c r="B2635" t="s">
        <v>45</v>
      </c>
      <c r="C2635" t="s">
        <v>146</v>
      </c>
      <c r="D2635" s="1" t="s">
        <v>6</v>
      </c>
      <c r="E2635">
        <v>159.80000000000001</v>
      </c>
      <c r="F2635">
        <v>159.9</v>
      </c>
      <c r="G2635">
        <v>160</v>
      </c>
      <c r="H2635" s="1" t="s">
        <v>188</v>
      </c>
    </row>
    <row r="2636" spans="1:8" x14ac:dyDescent="0.3">
      <c r="A2636">
        <v>2021</v>
      </c>
      <c r="B2636" t="s">
        <v>45</v>
      </c>
      <c r="C2636" t="s">
        <v>146</v>
      </c>
      <c r="D2636" s="1" t="s">
        <v>28</v>
      </c>
      <c r="E2636">
        <v>166</v>
      </c>
      <c r="F2636">
        <v>162</v>
      </c>
      <c r="G2636">
        <v>157.80000000000001</v>
      </c>
      <c r="H2636" s="1" t="s">
        <v>192</v>
      </c>
    </row>
    <row r="2637" spans="1:8" x14ac:dyDescent="0.3">
      <c r="A2637">
        <v>2021</v>
      </c>
      <c r="B2637" t="s">
        <v>45</v>
      </c>
      <c r="C2637" t="s">
        <v>146</v>
      </c>
      <c r="D2637" s="1" t="s">
        <v>13</v>
      </c>
      <c r="E2637">
        <v>169.7</v>
      </c>
      <c r="F2637">
        <v>164.2</v>
      </c>
      <c r="G2637">
        <v>156.5</v>
      </c>
      <c r="H2637" s="1" t="s">
        <v>188</v>
      </c>
    </row>
    <row r="2638" spans="1:8" x14ac:dyDescent="0.3">
      <c r="A2638">
        <v>2021</v>
      </c>
      <c r="B2638" t="s">
        <v>45</v>
      </c>
      <c r="C2638" t="s">
        <v>146</v>
      </c>
      <c r="D2638" s="1" t="s">
        <v>7</v>
      </c>
      <c r="E2638">
        <v>195.8</v>
      </c>
      <c r="F2638">
        <v>187.6</v>
      </c>
      <c r="G2638">
        <v>173.5</v>
      </c>
      <c r="H2638" s="1" t="s">
        <v>188</v>
      </c>
    </row>
    <row r="2639" spans="1:8" x14ac:dyDescent="0.3">
      <c r="A2639">
        <v>2021</v>
      </c>
      <c r="B2639" t="s">
        <v>45</v>
      </c>
      <c r="C2639" t="s">
        <v>146</v>
      </c>
      <c r="D2639" s="1" t="s">
        <v>16</v>
      </c>
      <c r="E2639">
        <v>190.8</v>
      </c>
      <c r="F2639">
        <v>192.4</v>
      </c>
      <c r="G2639">
        <v>196.8</v>
      </c>
      <c r="H2639" s="1" t="s">
        <v>192</v>
      </c>
    </row>
    <row r="2640" spans="1:8" x14ac:dyDescent="0.3">
      <c r="A2640">
        <v>2021</v>
      </c>
      <c r="B2640" t="s">
        <v>45</v>
      </c>
      <c r="C2640" t="s">
        <v>146</v>
      </c>
      <c r="D2640" s="1" t="s">
        <v>27</v>
      </c>
      <c r="E2640">
        <v>162.80000000000001</v>
      </c>
      <c r="F2640">
        <v>162.6</v>
      </c>
      <c r="G2640">
        <v>162.4</v>
      </c>
      <c r="H2640" s="1" t="s">
        <v>192</v>
      </c>
    </row>
    <row r="2641" spans="1:8" x14ac:dyDescent="0.3">
      <c r="A2641">
        <v>2021</v>
      </c>
      <c r="B2641" t="s">
        <v>45</v>
      </c>
      <c r="C2641" t="s">
        <v>146</v>
      </c>
      <c r="D2641" s="1" t="s">
        <v>14</v>
      </c>
      <c r="E2641">
        <v>175.1</v>
      </c>
      <c r="F2641">
        <v>176.5</v>
      </c>
      <c r="G2641">
        <v>178.2</v>
      </c>
      <c r="H2641" s="1" t="s">
        <v>188</v>
      </c>
    </row>
    <row r="2642" spans="1:8" x14ac:dyDescent="0.3">
      <c r="A2642">
        <v>2021</v>
      </c>
      <c r="B2642" t="s">
        <v>45</v>
      </c>
      <c r="C2642" t="s">
        <v>146</v>
      </c>
      <c r="D2642" s="1" t="s">
        <v>10</v>
      </c>
      <c r="E2642">
        <v>164.5</v>
      </c>
      <c r="F2642">
        <v>164.4</v>
      </c>
      <c r="G2642">
        <v>164.2</v>
      </c>
      <c r="H2642" s="1" t="s">
        <v>188</v>
      </c>
    </row>
    <row r="2643" spans="1:8" x14ac:dyDescent="0.3">
      <c r="A2643">
        <v>2021</v>
      </c>
      <c r="B2643" t="s">
        <v>45</v>
      </c>
      <c r="C2643" t="s">
        <v>146</v>
      </c>
      <c r="D2643" s="1" t="s">
        <v>25</v>
      </c>
      <c r="E2643">
        <v>164.5</v>
      </c>
      <c r="F2643">
        <v>160.6</v>
      </c>
      <c r="G2643">
        <v>157.6</v>
      </c>
      <c r="H2643" s="1" t="s">
        <v>195</v>
      </c>
    </row>
    <row r="2644" spans="1:8" x14ac:dyDescent="0.3">
      <c r="A2644">
        <v>2021</v>
      </c>
      <c r="B2644" t="s">
        <v>45</v>
      </c>
      <c r="C2644" t="s">
        <v>146</v>
      </c>
      <c r="D2644" s="1" t="s">
        <v>12</v>
      </c>
      <c r="E2644">
        <v>171.7</v>
      </c>
      <c r="F2644">
        <v>170.5</v>
      </c>
      <c r="G2644">
        <v>168.2</v>
      </c>
      <c r="H2644" s="1" t="s">
        <v>188</v>
      </c>
    </row>
    <row r="2645" spans="1:8" x14ac:dyDescent="0.3">
      <c r="A2645">
        <v>2021</v>
      </c>
      <c r="B2645" t="s">
        <v>45</v>
      </c>
      <c r="C2645" t="s">
        <v>146</v>
      </c>
      <c r="D2645" s="1" t="s">
        <v>11</v>
      </c>
      <c r="E2645">
        <v>120.6</v>
      </c>
      <c r="F2645">
        <v>121</v>
      </c>
      <c r="G2645">
        <v>121.9</v>
      </c>
      <c r="H2645" s="1" t="s">
        <v>188</v>
      </c>
    </row>
    <row r="2646" spans="1:8" x14ac:dyDescent="0.3">
      <c r="A2646">
        <v>2021</v>
      </c>
      <c r="B2646" t="s">
        <v>45</v>
      </c>
      <c r="C2646" t="s">
        <v>146</v>
      </c>
      <c r="D2646" s="1" t="s">
        <v>24</v>
      </c>
      <c r="E2646">
        <v>160.1</v>
      </c>
      <c r="F2646">
        <v>155.69999999999999</v>
      </c>
      <c r="G2646">
        <v>151.80000000000001</v>
      </c>
      <c r="H2646" s="1" t="s">
        <v>191</v>
      </c>
    </row>
    <row r="2647" spans="1:8" x14ac:dyDescent="0.3">
      <c r="A2647">
        <v>2021</v>
      </c>
      <c r="B2647" t="s">
        <v>45</v>
      </c>
      <c r="C2647" t="s">
        <v>146</v>
      </c>
      <c r="D2647" s="1" t="s">
        <v>9</v>
      </c>
      <c r="E2647">
        <v>172.3</v>
      </c>
      <c r="F2647">
        <v>188.3</v>
      </c>
      <c r="G2647">
        <v>219.5</v>
      </c>
      <c r="H2647" s="1" t="s">
        <v>188</v>
      </c>
    </row>
    <row r="2648" spans="1:8" x14ac:dyDescent="0.3">
      <c r="A2648">
        <v>2021</v>
      </c>
      <c r="B2648" t="s">
        <v>35</v>
      </c>
      <c r="C2648" t="s">
        <v>147</v>
      </c>
      <c r="D2648" s="1" t="s">
        <v>3</v>
      </c>
      <c r="E2648">
        <v>142.80000000000001</v>
      </c>
      <c r="F2648">
        <v>144.30000000000001</v>
      </c>
      <c r="G2648">
        <v>147.6</v>
      </c>
      <c r="H2648" s="1" t="s">
        <v>188</v>
      </c>
    </row>
    <row r="2649" spans="1:8" x14ac:dyDescent="0.3">
      <c r="A2649">
        <v>2021</v>
      </c>
      <c r="B2649" t="s">
        <v>35</v>
      </c>
      <c r="C2649" t="s">
        <v>147</v>
      </c>
      <c r="D2649" s="1" t="s">
        <v>17</v>
      </c>
      <c r="E2649">
        <v>159.1</v>
      </c>
      <c r="F2649">
        <v>157.19999999999999</v>
      </c>
      <c r="G2649">
        <v>154.19999999999999</v>
      </c>
      <c r="H2649" s="1" t="s">
        <v>189</v>
      </c>
    </row>
    <row r="2650" spans="1:8" x14ac:dyDescent="0.3">
      <c r="A2650">
        <v>2021</v>
      </c>
      <c r="B2650" t="s">
        <v>35</v>
      </c>
      <c r="C2650" t="s">
        <v>147</v>
      </c>
      <c r="D2650" s="1" t="s">
        <v>19</v>
      </c>
      <c r="E2650">
        <v>158.4</v>
      </c>
      <c r="F2650">
        <v>155.80000000000001</v>
      </c>
      <c r="G2650">
        <v>151.80000000000001</v>
      </c>
      <c r="H2650" s="1" t="s">
        <v>189</v>
      </c>
    </row>
    <row r="2651" spans="1:8" x14ac:dyDescent="0.3">
      <c r="A2651">
        <v>2021</v>
      </c>
      <c r="B2651" t="s">
        <v>35</v>
      </c>
      <c r="C2651" t="s">
        <v>147</v>
      </c>
      <c r="D2651" s="1" t="s">
        <v>26</v>
      </c>
      <c r="E2651">
        <v>163.6</v>
      </c>
      <c r="F2651">
        <v>159.5</v>
      </c>
      <c r="G2651">
        <v>156.6</v>
      </c>
      <c r="H2651" s="1" t="s">
        <v>26</v>
      </c>
    </row>
    <row r="2652" spans="1:8" x14ac:dyDescent="0.3">
      <c r="A2652">
        <v>2021</v>
      </c>
      <c r="B2652" t="s">
        <v>35</v>
      </c>
      <c r="C2652" t="s">
        <v>147</v>
      </c>
      <c r="D2652" s="1" t="s">
        <v>5</v>
      </c>
      <c r="E2652">
        <v>168</v>
      </c>
      <c r="F2652">
        <v>168.7</v>
      </c>
      <c r="G2652">
        <v>169.9</v>
      </c>
      <c r="H2652" s="1" t="s">
        <v>188</v>
      </c>
    </row>
    <row r="2653" spans="1:8" x14ac:dyDescent="0.3">
      <c r="A2653">
        <v>2021</v>
      </c>
      <c r="B2653" t="s">
        <v>35</v>
      </c>
      <c r="C2653" t="s">
        <v>147</v>
      </c>
      <c r="D2653" s="1" t="s">
        <v>15</v>
      </c>
      <c r="E2653">
        <v>154.69999999999999</v>
      </c>
      <c r="F2653">
        <v>156.9</v>
      </c>
      <c r="G2653">
        <v>160.80000000000001</v>
      </c>
      <c r="H2653" s="1" t="s">
        <v>188</v>
      </c>
    </row>
    <row r="2654" spans="1:8" x14ac:dyDescent="0.3">
      <c r="A2654">
        <v>2021</v>
      </c>
      <c r="B2654" t="s">
        <v>35</v>
      </c>
      <c r="C2654" t="s">
        <v>147</v>
      </c>
      <c r="D2654" s="1" t="s">
        <v>18</v>
      </c>
      <c r="E2654">
        <v>153.9</v>
      </c>
      <c r="F2654">
        <v>147.4</v>
      </c>
      <c r="G2654">
        <v>138.19999999999999</v>
      </c>
      <c r="H2654" s="1" t="s">
        <v>189</v>
      </c>
    </row>
    <row r="2655" spans="1:8" x14ac:dyDescent="0.3">
      <c r="A2655">
        <v>2021</v>
      </c>
      <c r="B2655" t="s">
        <v>35</v>
      </c>
      <c r="C2655" t="s">
        <v>147</v>
      </c>
      <c r="D2655" s="1" t="s">
        <v>8</v>
      </c>
      <c r="E2655">
        <v>147.80000000000001</v>
      </c>
      <c r="F2655">
        <v>150.69999999999999</v>
      </c>
      <c r="G2655">
        <v>154</v>
      </c>
      <c r="H2655" s="1" t="s">
        <v>188</v>
      </c>
    </row>
    <row r="2656" spans="1:8" x14ac:dyDescent="0.3">
      <c r="A2656">
        <v>2021</v>
      </c>
      <c r="B2656" t="s">
        <v>35</v>
      </c>
      <c r="C2656" t="s">
        <v>147</v>
      </c>
      <c r="D2656" s="1" t="s">
        <v>21</v>
      </c>
      <c r="E2656">
        <v>154.4</v>
      </c>
      <c r="F2656">
        <v>152.4</v>
      </c>
      <c r="G2656">
        <v>149.1</v>
      </c>
      <c r="H2656" s="1" t="s">
        <v>190</v>
      </c>
    </row>
    <row r="2657" spans="1:8" x14ac:dyDescent="0.3">
      <c r="A2657">
        <v>2021</v>
      </c>
      <c r="B2657" t="s">
        <v>35</v>
      </c>
      <c r="C2657" t="s">
        <v>147</v>
      </c>
      <c r="D2657" s="1" t="s">
        <v>29</v>
      </c>
      <c r="E2657">
        <v>156.69999999999999</v>
      </c>
      <c r="F2657">
        <v>156.6</v>
      </c>
      <c r="G2657">
        <v>156.5</v>
      </c>
      <c r="H2657" s="1" t="s">
        <v>206</v>
      </c>
    </row>
    <row r="2658" spans="1:8" x14ac:dyDescent="0.3">
      <c r="A2658">
        <v>2021</v>
      </c>
      <c r="B2658" t="s">
        <v>35</v>
      </c>
      <c r="C2658" t="s">
        <v>147</v>
      </c>
      <c r="D2658" s="1" t="s">
        <v>23</v>
      </c>
      <c r="E2658">
        <v>164.3</v>
      </c>
      <c r="F2658">
        <v>161.30000000000001</v>
      </c>
      <c r="G2658">
        <v>156.30000000000001</v>
      </c>
      <c r="H2658" s="1" t="s">
        <v>23</v>
      </c>
    </row>
    <row r="2659" spans="1:8" x14ac:dyDescent="0.3">
      <c r="A2659">
        <v>2021</v>
      </c>
      <c r="B2659" t="s">
        <v>35</v>
      </c>
      <c r="C2659" t="s">
        <v>147</v>
      </c>
      <c r="D2659" s="1" t="s">
        <v>22</v>
      </c>
      <c r="E2659">
        <v>154.80000000000001</v>
      </c>
      <c r="F2659">
        <v>150.9</v>
      </c>
      <c r="G2659">
        <v>146.5</v>
      </c>
      <c r="H2659" s="1" t="s">
        <v>20</v>
      </c>
    </row>
    <row r="2660" spans="1:8" x14ac:dyDescent="0.3">
      <c r="A2660">
        <v>2021</v>
      </c>
      <c r="B2660" t="s">
        <v>35</v>
      </c>
      <c r="C2660" t="s">
        <v>147</v>
      </c>
      <c r="D2660" s="1" t="s">
        <v>20</v>
      </c>
      <c r="E2660">
        <v>0</v>
      </c>
      <c r="F2660">
        <v>159.80000000000001</v>
      </c>
      <c r="G2660">
        <v>159.80000000000001</v>
      </c>
      <c r="H2660" s="1" t="s">
        <v>20</v>
      </c>
    </row>
    <row r="2661" spans="1:8" x14ac:dyDescent="0.3">
      <c r="A2661">
        <v>2021</v>
      </c>
      <c r="B2661" t="s">
        <v>35</v>
      </c>
      <c r="C2661" t="s">
        <v>147</v>
      </c>
      <c r="D2661" s="1" t="s">
        <v>4</v>
      </c>
      <c r="E2661">
        <v>184</v>
      </c>
      <c r="F2661">
        <v>186.5</v>
      </c>
      <c r="G2661">
        <v>191.2</v>
      </c>
      <c r="H2661" s="1" t="s">
        <v>188</v>
      </c>
    </row>
    <row r="2662" spans="1:8" x14ac:dyDescent="0.3">
      <c r="A2662">
        <v>2021</v>
      </c>
      <c r="B2662" t="s">
        <v>35</v>
      </c>
      <c r="C2662" t="s">
        <v>147</v>
      </c>
      <c r="D2662" s="1" t="s">
        <v>6</v>
      </c>
      <c r="E2662">
        <v>154.4</v>
      </c>
      <c r="F2662">
        <v>154.69999999999999</v>
      </c>
      <c r="G2662">
        <v>155.1</v>
      </c>
      <c r="H2662" s="1" t="s">
        <v>188</v>
      </c>
    </row>
    <row r="2663" spans="1:8" x14ac:dyDescent="0.3">
      <c r="A2663">
        <v>2021</v>
      </c>
      <c r="B2663" t="s">
        <v>35</v>
      </c>
      <c r="C2663" t="s">
        <v>147</v>
      </c>
      <c r="D2663" s="1" t="s">
        <v>28</v>
      </c>
      <c r="E2663">
        <v>157.19999999999999</v>
      </c>
      <c r="F2663">
        <v>153.4</v>
      </c>
      <c r="G2663">
        <v>149.30000000000001</v>
      </c>
      <c r="H2663" s="1" t="s">
        <v>192</v>
      </c>
    </row>
    <row r="2664" spans="1:8" x14ac:dyDescent="0.3">
      <c r="A2664">
        <v>2021</v>
      </c>
      <c r="B2664" t="s">
        <v>35</v>
      </c>
      <c r="C2664" t="s">
        <v>147</v>
      </c>
      <c r="D2664" s="1" t="s">
        <v>13</v>
      </c>
      <c r="E2664">
        <v>160</v>
      </c>
      <c r="F2664">
        <v>155.5</v>
      </c>
      <c r="G2664">
        <v>149.19999999999999</v>
      </c>
      <c r="H2664" s="1" t="s">
        <v>188</v>
      </c>
    </row>
    <row r="2665" spans="1:8" x14ac:dyDescent="0.3">
      <c r="A2665">
        <v>2021</v>
      </c>
      <c r="B2665" t="s">
        <v>35</v>
      </c>
      <c r="C2665" t="s">
        <v>147</v>
      </c>
      <c r="D2665" s="1" t="s">
        <v>7</v>
      </c>
      <c r="E2665">
        <v>163</v>
      </c>
      <c r="F2665">
        <v>158.69999999999999</v>
      </c>
      <c r="G2665">
        <v>151.4</v>
      </c>
      <c r="H2665" s="1" t="s">
        <v>188</v>
      </c>
    </row>
    <row r="2666" spans="1:8" x14ac:dyDescent="0.3">
      <c r="A2666">
        <v>2021</v>
      </c>
      <c r="B2666" t="s">
        <v>35</v>
      </c>
      <c r="C2666" t="s">
        <v>147</v>
      </c>
      <c r="D2666" s="1" t="s">
        <v>16</v>
      </c>
      <c r="E2666">
        <v>186.5</v>
      </c>
      <c r="F2666">
        <v>188.3</v>
      </c>
      <c r="G2666">
        <v>193.3</v>
      </c>
      <c r="H2666" s="1" t="s">
        <v>192</v>
      </c>
    </row>
    <row r="2667" spans="1:8" x14ac:dyDescent="0.3">
      <c r="A2667">
        <v>2021</v>
      </c>
      <c r="B2667" t="s">
        <v>35</v>
      </c>
      <c r="C2667" t="s">
        <v>147</v>
      </c>
      <c r="D2667" s="1" t="s">
        <v>27</v>
      </c>
      <c r="E2667">
        <v>155.19999999999999</v>
      </c>
      <c r="F2667">
        <v>155.80000000000001</v>
      </c>
      <c r="G2667">
        <v>156.69999999999999</v>
      </c>
      <c r="H2667" s="1" t="s">
        <v>192</v>
      </c>
    </row>
    <row r="2668" spans="1:8" x14ac:dyDescent="0.3">
      <c r="A2668">
        <v>2021</v>
      </c>
      <c r="B2668" t="s">
        <v>35</v>
      </c>
      <c r="C2668" t="s">
        <v>147</v>
      </c>
      <c r="D2668" s="1" t="s">
        <v>14</v>
      </c>
      <c r="E2668">
        <v>165.8</v>
      </c>
      <c r="F2668">
        <v>167.5</v>
      </c>
      <c r="G2668">
        <v>169.4</v>
      </c>
      <c r="H2668" s="1" t="s">
        <v>188</v>
      </c>
    </row>
    <row r="2669" spans="1:8" x14ac:dyDescent="0.3">
      <c r="A2669">
        <v>2021</v>
      </c>
      <c r="B2669" t="s">
        <v>35</v>
      </c>
      <c r="C2669" t="s">
        <v>147</v>
      </c>
      <c r="D2669" s="1" t="s">
        <v>10</v>
      </c>
      <c r="E2669">
        <v>158.30000000000001</v>
      </c>
      <c r="F2669">
        <v>158.80000000000001</v>
      </c>
      <c r="G2669">
        <v>159.80000000000001</v>
      </c>
      <c r="H2669" s="1" t="s">
        <v>188</v>
      </c>
    </row>
    <row r="2670" spans="1:8" x14ac:dyDescent="0.3">
      <c r="A2670">
        <v>2021</v>
      </c>
      <c r="B2670" t="s">
        <v>35</v>
      </c>
      <c r="C2670" t="s">
        <v>147</v>
      </c>
      <c r="D2670" s="1" t="s">
        <v>25</v>
      </c>
      <c r="E2670">
        <v>157</v>
      </c>
      <c r="F2670">
        <v>151.5</v>
      </c>
      <c r="G2670">
        <v>147.30000000000001</v>
      </c>
      <c r="H2670" s="1" t="s">
        <v>195</v>
      </c>
    </row>
    <row r="2671" spans="1:8" x14ac:dyDescent="0.3">
      <c r="A2671">
        <v>2021</v>
      </c>
      <c r="B2671" t="s">
        <v>35</v>
      </c>
      <c r="C2671" t="s">
        <v>147</v>
      </c>
      <c r="D2671" s="1" t="s">
        <v>12</v>
      </c>
      <c r="E2671">
        <v>165</v>
      </c>
      <c r="F2671">
        <v>164.2</v>
      </c>
      <c r="G2671">
        <v>162.5</v>
      </c>
      <c r="H2671" s="1" t="s">
        <v>188</v>
      </c>
    </row>
    <row r="2672" spans="1:8" x14ac:dyDescent="0.3">
      <c r="A2672">
        <v>2021</v>
      </c>
      <c r="B2672" t="s">
        <v>35</v>
      </c>
      <c r="C2672" t="s">
        <v>147</v>
      </c>
      <c r="D2672" s="1" t="s">
        <v>11</v>
      </c>
      <c r="E2672">
        <v>111.8</v>
      </c>
      <c r="F2672">
        <v>112.8</v>
      </c>
      <c r="G2672">
        <v>114.9</v>
      </c>
      <c r="H2672" s="1" t="s">
        <v>188</v>
      </c>
    </row>
    <row r="2673" spans="1:8" x14ac:dyDescent="0.3">
      <c r="A2673">
        <v>2021</v>
      </c>
      <c r="B2673" t="s">
        <v>35</v>
      </c>
      <c r="C2673" t="s">
        <v>147</v>
      </c>
      <c r="D2673" s="1" t="s">
        <v>24</v>
      </c>
      <c r="E2673">
        <v>150.19999999999999</v>
      </c>
      <c r="F2673">
        <v>145.1</v>
      </c>
      <c r="G2673">
        <v>140.5</v>
      </c>
      <c r="H2673" s="1" t="s">
        <v>191</v>
      </c>
    </row>
    <row r="2674" spans="1:8" x14ac:dyDescent="0.3">
      <c r="A2674">
        <v>2021</v>
      </c>
      <c r="B2674" t="s">
        <v>35</v>
      </c>
      <c r="C2674" t="s">
        <v>147</v>
      </c>
      <c r="D2674" s="1" t="s">
        <v>9</v>
      </c>
      <c r="E2674">
        <v>149.69999999999999</v>
      </c>
      <c r="F2674">
        <v>160</v>
      </c>
      <c r="G2674">
        <v>180.2</v>
      </c>
      <c r="H2674" s="1" t="s">
        <v>188</v>
      </c>
    </row>
    <row r="2675" spans="1:8" x14ac:dyDescent="0.3">
      <c r="A2675">
        <v>2021</v>
      </c>
      <c r="B2675" t="s">
        <v>31</v>
      </c>
      <c r="C2675" t="s">
        <v>148</v>
      </c>
      <c r="D2675" s="1" t="s">
        <v>3</v>
      </c>
      <c r="E2675">
        <v>143.4</v>
      </c>
      <c r="F2675">
        <v>144.9</v>
      </c>
      <c r="G2675">
        <v>148</v>
      </c>
      <c r="H2675" s="1" t="s">
        <v>188</v>
      </c>
    </row>
    <row r="2676" spans="1:8" x14ac:dyDescent="0.3">
      <c r="A2676">
        <v>2021</v>
      </c>
      <c r="B2676" t="s">
        <v>31</v>
      </c>
      <c r="C2676" t="s">
        <v>148</v>
      </c>
      <c r="D2676" s="1" t="s">
        <v>17</v>
      </c>
      <c r="E2676">
        <v>157.5</v>
      </c>
      <c r="F2676">
        <v>155.5</v>
      </c>
      <c r="G2676">
        <v>152.5</v>
      </c>
      <c r="H2676" s="1" t="s">
        <v>189</v>
      </c>
    </row>
    <row r="2677" spans="1:8" x14ac:dyDescent="0.3">
      <c r="A2677">
        <v>2021</v>
      </c>
      <c r="B2677" t="s">
        <v>31</v>
      </c>
      <c r="C2677" t="s">
        <v>148</v>
      </c>
      <c r="D2677" s="1" t="s">
        <v>19</v>
      </c>
      <c r="E2677">
        <v>156.80000000000001</v>
      </c>
      <c r="F2677">
        <v>154.19999999999999</v>
      </c>
      <c r="G2677">
        <v>150.19999999999999</v>
      </c>
      <c r="H2677" s="1" t="s">
        <v>189</v>
      </c>
    </row>
    <row r="2678" spans="1:8" x14ac:dyDescent="0.3">
      <c r="A2678">
        <v>2021</v>
      </c>
      <c r="B2678" t="s">
        <v>31</v>
      </c>
      <c r="C2678" t="s">
        <v>148</v>
      </c>
      <c r="D2678" s="1" t="s">
        <v>26</v>
      </c>
      <c r="E2678">
        <v>163.5</v>
      </c>
      <c r="F2678">
        <v>159.19999999999999</v>
      </c>
      <c r="G2678">
        <v>156.1</v>
      </c>
      <c r="H2678" s="1" t="s">
        <v>26</v>
      </c>
    </row>
    <row r="2679" spans="1:8" x14ac:dyDescent="0.3">
      <c r="A2679">
        <v>2021</v>
      </c>
      <c r="B2679" t="s">
        <v>31</v>
      </c>
      <c r="C2679" t="s">
        <v>148</v>
      </c>
      <c r="D2679" s="1" t="s">
        <v>5</v>
      </c>
      <c r="E2679">
        <v>173.4</v>
      </c>
      <c r="F2679">
        <v>175.3</v>
      </c>
      <c r="G2679">
        <v>178.4</v>
      </c>
      <c r="H2679" s="1" t="s">
        <v>188</v>
      </c>
    </row>
    <row r="2680" spans="1:8" x14ac:dyDescent="0.3">
      <c r="A2680">
        <v>2021</v>
      </c>
      <c r="B2680" t="s">
        <v>31</v>
      </c>
      <c r="C2680" t="s">
        <v>148</v>
      </c>
      <c r="D2680" s="1" t="s">
        <v>15</v>
      </c>
      <c r="E2680">
        <v>159.6</v>
      </c>
      <c r="F2680">
        <v>161</v>
      </c>
      <c r="G2680">
        <v>163.4</v>
      </c>
      <c r="H2680" s="1" t="s">
        <v>188</v>
      </c>
    </row>
    <row r="2681" spans="1:8" x14ac:dyDescent="0.3">
      <c r="A2681">
        <v>2021</v>
      </c>
      <c r="B2681" t="s">
        <v>31</v>
      </c>
      <c r="C2681" t="s">
        <v>148</v>
      </c>
      <c r="D2681" s="1" t="s">
        <v>18</v>
      </c>
      <c r="E2681">
        <v>152.4</v>
      </c>
      <c r="F2681">
        <v>146.1</v>
      </c>
      <c r="G2681">
        <v>137.30000000000001</v>
      </c>
      <c r="H2681" s="1" t="s">
        <v>189</v>
      </c>
    </row>
    <row r="2682" spans="1:8" x14ac:dyDescent="0.3">
      <c r="A2682">
        <v>2021</v>
      </c>
      <c r="B2682" t="s">
        <v>31</v>
      </c>
      <c r="C2682" t="s">
        <v>148</v>
      </c>
      <c r="D2682" s="1" t="s">
        <v>8</v>
      </c>
      <c r="E2682">
        <v>147</v>
      </c>
      <c r="F2682">
        <v>149.6</v>
      </c>
      <c r="G2682">
        <v>152.6</v>
      </c>
      <c r="H2682" s="1" t="s">
        <v>188</v>
      </c>
    </row>
    <row r="2683" spans="1:8" x14ac:dyDescent="0.3">
      <c r="A2683">
        <v>2021</v>
      </c>
      <c r="B2683" t="s">
        <v>31</v>
      </c>
      <c r="C2683" t="s">
        <v>148</v>
      </c>
      <c r="D2683" s="1" t="s">
        <v>21</v>
      </c>
      <c r="E2683">
        <v>150.9</v>
      </c>
      <c r="F2683">
        <v>147.9</v>
      </c>
      <c r="G2683">
        <v>142.9</v>
      </c>
      <c r="H2683" s="1" t="s">
        <v>190</v>
      </c>
    </row>
    <row r="2684" spans="1:8" x14ac:dyDescent="0.3">
      <c r="A2684">
        <v>2021</v>
      </c>
      <c r="B2684" t="s">
        <v>31</v>
      </c>
      <c r="C2684" t="s">
        <v>148</v>
      </c>
      <c r="D2684" s="1" t="s">
        <v>29</v>
      </c>
      <c r="E2684">
        <v>158.5</v>
      </c>
      <c r="F2684">
        <v>157.30000000000001</v>
      </c>
      <c r="G2684">
        <v>156</v>
      </c>
      <c r="H2684" s="1" t="s">
        <v>206</v>
      </c>
    </row>
    <row r="2685" spans="1:8" x14ac:dyDescent="0.3">
      <c r="A2685">
        <v>2021</v>
      </c>
      <c r="B2685" t="s">
        <v>31</v>
      </c>
      <c r="C2685" t="s">
        <v>148</v>
      </c>
      <c r="D2685" s="1" t="s">
        <v>23</v>
      </c>
      <c r="E2685">
        <v>162.5</v>
      </c>
      <c r="F2685">
        <v>159.30000000000001</v>
      </c>
      <c r="G2685">
        <v>154.1</v>
      </c>
      <c r="H2685" s="1" t="s">
        <v>23</v>
      </c>
    </row>
    <row r="2686" spans="1:8" x14ac:dyDescent="0.3">
      <c r="A2686">
        <v>2021</v>
      </c>
      <c r="B2686" t="s">
        <v>31</v>
      </c>
      <c r="C2686" t="s">
        <v>148</v>
      </c>
      <c r="D2686" s="1" t="s">
        <v>22</v>
      </c>
      <c r="E2686">
        <v>153.9</v>
      </c>
      <c r="F2686">
        <v>150</v>
      </c>
      <c r="G2686">
        <v>145.69999999999999</v>
      </c>
      <c r="H2686" s="1" t="s">
        <v>20</v>
      </c>
    </row>
    <row r="2687" spans="1:8" x14ac:dyDescent="0.3">
      <c r="A2687">
        <v>2021</v>
      </c>
      <c r="B2687" t="s">
        <v>31</v>
      </c>
      <c r="C2687" t="s">
        <v>148</v>
      </c>
      <c r="D2687" s="1" t="s">
        <v>20</v>
      </c>
      <c r="E2687">
        <v>0</v>
      </c>
      <c r="F2687">
        <v>157.69999999999999</v>
      </c>
      <c r="G2687">
        <v>157.69999999999999</v>
      </c>
      <c r="H2687" s="1" t="s">
        <v>20</v>
      </c>
    </row>
    <row r="2688" spans="1:8" x14ac:dyDescent="0.3">
      <c r="A2688">
        <v>2021</v>
      </c>
      <c r="B2688" t="s">
        <v>31</v>
      </c>
      <c r="C2688" t="s">
        <v>148</v>
      </c>
      <c r="D2688" s="1" t="s">
        <v>4</v>
      </c>
      <c r="E2688">
        <v>187.5</v>
      </c>
      <c r="F2688">
        <v>190.1</v>
      </c>
      <c r="G2688">
        <v>194.8</v>
      </c>
      <c r="H2688" s="1" t="s">
        <v>188</v>
      </c>
    </row>
    <row r="2689" spans="1:8" x14ac:dyDescent="0.3">
      <c r="A2689">
        <v>2021</v>
      </c>
      <c r="B2689" t="s">
        <v>31</v>
      </c>
      <c r="C2689" t="s">
        <v>148</v>
      </c>
      <c r="D2689" s="1" t="s">
        <v>6</v>
      </c>
      <c r="E2689">
        <v>154</v>
      </c>
      <c r="F2689">
        <v>154.1</v>
      </c>
      <c r="G2689">
        <v>154.4</v>
      </c>
      <c r="H2689" s="1" t="s">
        <v>188</v>
      </c>
    </row>
    <row r="2690" spans="1:8" x14ac:dyDescent="0.3">
      <c r="A2690">
        <v>2021</v>
      </c>
      <c r="B2690" t="s">
        <v>31</v>
      </c>
      <c r="C2690" t="s">
        <v>148</v>
      </c>
      <c r="D2690" s="1" t="s">
        <v>28</v>
      </c>
      <c r="E2690">
        <v>155.9</v>
      </c>
      <c r="F2690">
        <v>151.9</v>
      </c>
      <c r="G2690">
        <v>147.6</v>
      </c>
      <c r="H2690" s="1" t="s">
        <v>192</v>
      </c>
    </row>
    <row r="2691" spans="1:8" x14ac:dyDescent="0.3">
      <c r="A2691">
        <v>2021</v>
      </c>
      <c r="B2691" t="s">
        <v>31</v>
      </c>
      <c r="C2691" t="s">
        <v>148</v>
      </c>
      <c r="D2691" s="1" t="s">
        <v>13</v>
      </c>
      <c r="E2691">
        <v>156.1</v>
      </c>
      <c r="F2691">
        <v>151.80000000000001</v>
      </c>
      <c r="G2691">
        <v>145.9</v>
      </c>
      <c r="H2691" s="1" t="s">
        <v>188</v>
      </c>
    </row>
    <row r="2692" spans="1:8" x14ac:dyDescent="0.3">
      <c r="A2692">
        <v>2021</v>
      </c>
      <c r="B2692" t="s">
        <v>31</v>
      </c>
      <c r="C2692" t="s">
        <v>148</v>
      </c>
      <c r="D2692" s="1" t="s">
        <v>7</v>
      </c>
      <c r="E2692">
        <v>154.80000000000001</v>
      </c>
      <c r="F2692">
        <v>150.9</v>
      </c>
      <c r="G2692">
        <v>144.1</v>
      </c>
      <c r="H2692" s="1" t="s">
        <v>188</v>
      </c>
    </row>
    <row r="2693" spans="1:8" x14ac:dyDescent="0.3">
      <c r="A2693">
        <v>2021</v>
      </c>
      <c r="B2693" t="s">
        <v>31</v>
      </c>
      <c r="C2693" t="s">
        <v>148</v>
      </c>
      <c r="D2693" s="1" t="s">
        <v>16</v>
      </c>
      <c r="E2693">
        <v>184.6</v>
      </c>
      <c r="F2693">
        <v>186.5</v>
      </c>
      <c r="G2693">
        <v>191.8</v>
      </c>
      <c r="H2693" s="1" t="s">
        <v>192</v>
      </c>
    </row>
    <row r="2694" spans="1:8" x14ac:dyDescent="0.3">
      <c r="A2694">
        <v>2021</v>
      </c>
      <c r="B2694" t="s">
        <v>31</v>
      </c>
      <c r="C2694" t="s">
        <v>148</v>
      </c>
      <c r="D2694" s="1" t="s">
        <v>27</v>
      </c>
      <c r="E2694">
        <v>156.19999999999999</v>
      </c>
      <c r="F2694">
        <v>156.80000000000001</v>
      </c>
      <c r="G2694">
        <v>157.69999999999999</v>
      </c>
      <c r="H2694" s="1" t="s">
        <v>192</v>
      </c>
    </row>
    <row r="2695" spans="1:8" x14ac:dyDescent="0.3">
      <c r="A2695">
        <v>2021</v>
      </c>
      <c r="B2695" t="s">
        <v>31</v>
      </c>
      <c r="C2695" t="s">
        <v>148</v>
      </c>
      <c r="D2695" s="1" t="s">
        <v>14</v>
      </c>
      <c r="E2695">
        <v>164.3</v>
      </c>
      <c r="F2695">
        <v>165.6</v>
      </c>
      <c r="G2695">
        <v>167.2</v>
      </c>
      <c r="H2695" s="1" t="s">
        <v>188</v>
      </c>
    </row>
    <row r="2696" spans="1:8" x14ac:dyDescent="0.3">
      <c r="A2696">
        <v>2021</v>
      </c>
      <c r="B2696" t="s">
        <v>31</v>
      </c>
      <c r="C2696" t="s">
        <v>148</v>
      </c>
      <c r="D2696" s="1" t="s">
        <v>10</v>
      </c>
      <c r="E2696">
        <v>159.5</v>
      </c>
      <c r="F2696">
        <v>160.4</v>
      </c>
      <c r="G2696">
        <v>162.1</v>
      </c>
      <c r="H2696" s="1" t="s">
        <v>188</v>
      </c>
    </row>
    <row r="2697" spans="1:8" x14ac:dyDescent="0.3">
      <c r="A2697">
        <v>2021</v>
      </c>
      <c r="B2697" t="s">
        <v>31</v>
      </c>
      <c r="C2697" t="s">
        <v>148</v>
      </c>
      <c r="D2697" s="1" t="s">
        <v>25</v>
      </c>
      <c r="E2697">
        <v>155.1</v>
      </c>
      <c r="F2697">
        <v>149.6</v>
      </c>
      <c r="G2697">
        <v>145.4</v>
      </c>
      <c r="H2697" s="1" t="s">
        <v>195</v>
      </c>
    </row>
    <row r="2698" spans="1:8" x14ac:dyDescent="0.3">
      <c r="A2698">
        <v>2021</v>
      </c>
      <c r="B2698" t="s">
        <v>31</v>
      </c>
      <c r="C2698" t="s">
        <v>148</v>
      </c>
      <c r="D2698" s="1" t="s">
        <v>12</v>
      </c>
      <c r="E2698">
        <v>164.5</v>
      </c>
      <c r="F2698">
        <v>164</v>
      </c>
      <c r="G2698">
        <v>163</v>
      </c>
      <c r="H2698" s="1" t="s">
        <v>188</v>
      </c>
    </row>
    <row r="2699" spans="1:8" x14ac:dyDescent="0.3">
      <c r="A2699">
        <v>2021</v>
      </c>
      <c r="B2699" t="s">
        <v>31</v>
      </c>
      <c r="C2699" t="s">
        <v>148</v>
      </c>
      <c r="D2699" s="1" t="s">
        <v>11</v>
      </c>
      <c r="E2699">
        <v>113.8</v>
      </c>
      <c r="F2699">
        <v>114.6</v>
      </c>
      <c r="G2699">
        <v>116.3</v>
      </c>
      <c r="H2699" s="1" t="s">
        <v>188</v>
      </c>
    </row>
    <row r="2700" spans="1:8" x14ac:dyDescent="0.3">
      <c r="A2700">
        <v>2021</v>
      </c>
      <c r="B2700" t="s">
        <v>31</v>
      </c>
      <c r="C2700" t="s">
        <v>148</v>
      </c>
      <c r="D2700" s="1" t="s">
        <v>24</v>
      </c>
      <c r="E2700">
        <v>147.5</v>
      </c>
      <c r="F2700">
        <v>141.9</v>
      </c>
      <c r="G2700">
        <v>136.9</v>
      </c>
      <c r="H2700" s="1" t="s">
        <v>191</v>
      </c>
    </row>
    <row r="2701" spans="1:8" x14ac:dyDescent="0.3">
      <c r="A2701">
        <v>2021</v>
      </c>
      <c r="B2701" t="s">
        <v>31</v>
      </c>
      <c r="C2701" t="s">
        <v>148</v>
      </c>
      <c r="D2701" s="1" t="s">
        <v>9</v>
      </c>
      <c r="E2701">
        <v>187.8</v>
      </c>
      <c r="F2701">
        <v>194.2</v>
      </c>
      <c r="G2701">
        <v>206.8</v>
      </c>
      <c r="H2701" s="1" t="s">
        <v>188</v>
      </c>
    </row>
    <row r="2702" spans="1:8" x14ac:dyDescent="0.3">
      <c r="A2702">
        <v>2021</v>
      </c>
      <c r="B2702" t="s">
        <v>40</v>
      </c>
      <c r="C2702" t="s">
        <v>149</v>
      </c>
      <c r="D2702" s="1" t="s">
        <v>3</v>
      </c>
      <c r="E2702">
        <v>145.1</v>
      </c>
      <c r="F2702">
        <v>146.4</v>
      </c>
      <c r="G2702">
        <v>149.1</v>
      </c>
      <c r="H2702" s="1" t="s">
        <v>188</v>
      </c>
    </row>
    <row r="2703" spans="1:8" x14ac:dyDescent="0.3">
      <c r="A2703">
        <v>2021</v>
      </c>
      <c r="B2703" t="s">
        <v>40</v>
      </c>
      <c r="C2703" t="s">
        <v>149</v>
      </c>
      <c r="D2703" s="1" t="s">
        <v>17</v>
      </c>
      <c r="E2703">
        <v>166</v>
      </c>
      <c r="F2703">
        <v>162.80000000000001</v>
      </c>
      <c r="G2703">
        <v>157.9</v>
      </c>
      <c r="H2703" s="1" t="s">
        <v>189</v>
      </c>
    </row>
    <row r="2704" spans="1:8" x14ac:dyDescent="0.3">
      <c r="A2704">
        <v>2021</v>
      </c>
      <c r="B2704" t="s">
        <v>40</v>
      </c>
      <c r="C2704" t="s">
        <v>149</v>
      </c>
      <c r="D2704" s="1" t="s">
        <v>19</v>
      </c>
      <c r="E2704">
        <v>165.3</v>
      </c>
      <c r="F2704">
        <v>161.4</v>
      </c>
      <c r="G2704">
        <v>155.5</v>
      </c>
      <c r="H2704" s="1" t="s">
        <v>189</v>
      </c>
    </row>
    <row r="2705" spans="1:8" x14ac:dyDescent="0.3">
      <c r="A2705">
        <v>2021</v>
      </c>
      <c r="B2705" t="s">
        <v>40</v>
      </c>
      <c r="C2705" t="s">
        <v>149</v>
      </c>
      <c r="D2705" s="1" t="s">
        <v>26</v>
      </c>
      <c r="E2705">
        <v>167.2</v>
      </c>
      <c r="F2705">
        <v>163.19999999999999</v>
      </c>
      <c r="G2705">
        <v>160.30000000000001</v>
      </c>
      <c r="H2705" s="1" t="s">
        <v>26</v>
      </c>
    </row>
    <row r="2706" spans="1:8" x14ac:dyDescent="0.3">
      <c r="A2706">
        <v>2021</v>
      </c>
      <c r="B2706" t="s">
        <v>40</v>
      </c>
      <c r="C2706" t="s">
        <v>149</v>
      </c>
      <c r="D2706" s="1" t="s">
        <v>5</v>
      </c>
      <c r="E2706">
        <v>180.4</v>
      </c>
      <c r="F2706">
        <v>182.2</v>
      </c>
      <c r="G2706">
        <v>185</v>
      </c>
      <c r="H2706" s="1" t="s">
        <v>188</v>
      </c>
    </row>
    <row r="2707" spans="1:8" x14ac:dyDescent="0.3">
      <c r="A2707">
        <v>2021</v>
      </c>
      <c r="B2707" t="s">
        <v>40</v>
      </c>
      <c r="C2707" t="s">
        <v>149</v>
      </c>
      <c r="D2707" s="1" t="s">
        <v>15</v>
      </c>
      <c r="E2707">
        <v>161.69999999999999</v>
      </c>
      <c r="F2707">
        <v>164</v>
      </c>
      <c r="G2707">
        <v>167.9</v>
      </c>
      <c r="H2707" s="1" t="s">
        <v>188</v>
      </c>
    </row>
    <row r="2708" spans="1:8" x14ac:dyDescent="0.3">
      <c r="A2708">
        <v>2021</v>
      </c>
      <c r="B2708" t="s">
        <v>40</v>
      </c>
      <c r="C2708" t="s">
        <v>149</v>
      </c>
      <c r="D2708" s="1" t="s">
        <v>18</v>
      </c>
      <c r="E2708">
        <v>161.1</v>
      </c>
      <c r="F2708">
        <v>153.1</v>
      </c>
      <c r="G2708">
        <v>141.9</v>
      </c>
      <c r="H2708" s="1" t="s">
        <v>189</v>
      </c>
    </row>
    <row r="2709" spans="1:8" x14ac:dyDescent="0.3">
      <c r="A2709">
        <v>2021</v>
      </c>
      <c r="B2709" t="s">
        <v>40</v>
      </c>
      <c r="C2709" t="s">
        <v>149</v>
      </c>
      <c r="D2709" s="1" t="s">
        <v>8</v>
      </c>
      <c r="E2709">
        <v>157.69999999999999</v>
      </c>
      <c r="F2709">
        <v>163.9</v>
      </c>
      <c r="G2709">
        <v>170.9</v>
      </c>
      <c r="H2709" s="1" t="s">
        <v>188</v>
      </c>
    </row>
    <row r="2710" spans="1:8" x14ac:dyDescent="0.3">
      <c r="A2710">
        <v>2021</v>
      </c>
      <c r="B2710" t="s">
        <v>40</v>
      </c>
      <c r="C2710" t="s">
        <v>149</v>
      </c>
      <c r="D2710" s="1" t="s">
        <v>21</v>
      </c>
      <c r="E2710">
        <v>162.5</v>
      </c>
      <c r="F2710">
        <v>160.69999999999999</v>
      </c>
      <c r="G2710">
        <v>157.69999999999999</v>
      </c>
      <c r="H2710" s="1" t="s">
        <v>190</v>
      </c>
    </row>
    <row r="2711" spans="1:8" x14ac:dyDescent="0.3">
      <c r="A2711">
        <v>2021</v>
      </c>
      <c r="B2711" t="s">
        <v>40</v>
      </c>
      <c r="C2711" t="s">
        <v>149</v>
      </c>
      <c r="D2711" s="1" t="s">
        <v>29</v>
      </c>
      <c r="E2711">
        <v>163.19999999999999</v>
      </c>
      <c r="F2711">
        <v>162.5</v>
      </c>
      <c r="G2711">
        <v>161.80000000000001</v>
      </c>
      <c r="H2711" s="1" t="s">
        <v>206</v>
      </c>
    </row>
    <row r="2712" spans="1:8" x14ac:dyDescent="0.3">
      <c r="A2712">
        <v>2021</v>
      </c>
      <c r="B2712" t="s">
        <v>40</v>
      </c>
      <c r="C2712" t="s">
        <v>149</v>
      </c>
      <c r="D2712" s="1" t="s">
        <v>23</v>
      </c>
      <c r="E2712">
        <v>170.4</v>
      </c>
      <c r="F2712">
        <v>167</v>
      </c>
      <c r="G2712">
        <v>161.5</v>
      </c>
      <c r="H2712" s="1" t="s">
        <v>23</v>
      </c>
    </row>
    <row r="2713" spans="1:8" x14ac:dyDescent="0.3">
      <c r="A2713">
        <v>2021</v>
      </c>
      <c r="B2713" t="s">
        <v>40</v>
      </c>
      <c r="C2713" t="s">
        <v>149</v>
      </c>
      <c r="D2713" s="1" t="s">
        <v>22</v>
      </c>
      <c r="E2713">
        <v>160.30000000000001</v>
      </c>
      <c r="F2713">
        <v>155.80000000000001</v>
      </c>
      <c r="G2713">
        <v>150.69999999999999</v>
      </c>
      <c r="H2713" s="1" t="s">
        <v>20</v>
      </c>
    </row>
    <row r="2714" spans="1:8" x14ac:dyDescent="0.3">
      <c r="A2714">
        <v>2021</v>
      </c>
      <c r="B2714" t="s">
        <v>40</v>
      </c>
      <c r="C2714" t="s">
        <v>149</v>
      </c>
      <c r="D2714" s="1" t="s">
        <v>20</v>
      </c>
      <c r="E2714">
        <v>0</v>
      </c>
      <c r="F2714">
        <v>161.5</v>
      </c>
      <c r="G2714">
        <v>161.5</v>
      </c>
      <c r="H2714" s="1" t="s">
        <v>20</v>
      </c>
    </row>
    <row r="2715" spans="1:8" x14ac:dyDescent="0.3">
      <c r="A2715">
        <v>2021</v>
      </c>
      <c r="B2715" t="s">
        <v>40</v>
      </c>
      <c r="C2715" t="s">
        <v>149</v>
      </c>
      <c r="D2715" s="1" t="s">
        <v>4</v>
      </c>
      <c r="E2715">
        <v>204.5</v>
      </c>
      <c r="F2715">
        <v>206.8</v>
      </c>
      <c r="G2715">
        <v>210.9</v>
      </c>
      <c r="H2715" s="1" t="s">
        <v>188</v>
      </c>
    </row>
    <row r="2716" spans="1:8" x14ac:dyDescent="0.3">
      <c r="A2716">
        <v>2021</v>
      </c>
      <c r="B2716" t="s">
        <v>40</v>
      </c>
      <c r="C2716" t="s">
        <v>149</v>
      </c>
      <c r="D2716" s="1" t="s">
        <v>6</v>
      </c>
      <c r="E2716">
        <v>157.1</v>
      </c>
      <c r="F2716">
        <v>157.5</v>
      </c>
      <c r="G2716">
        <v>158.19999999999999</v>
      </c>
      <c r="H2716" s="1" t="s">
        <v>188</v>
      </c>
    </row>
    <row r="2717" spans="1:8" x14ac:dyDescent="0.3">
      <c r="A2717">
        <v>2021</v>
      </c>
      <c r="B2717" t="s">
        <v>40</v>
      </c>
      <c r="C2717" t="s">
        <v>149</v>
      </c>
      <c r="D2717" s="1" t="s">
        <v>28</v>
      </c>
      <c r="E2717">
        <v>162.80000000000001</v>
      </c>
      <c r="F2717">
        <v>159</v>
      </c>
      <c r="G2717">
        <v>155</v>
      </c>
      <c r="H2717" s="1" t="s">
        <v>192</v>
      </c>
    </row>
    <row r="2718" spans="1:8" x14ac:dyDescent="0.3">
      <c r="A2718">
        <v>2021</v>
      </c>
      <c r="B2718" t="s">
        <v>40</v>
      </c>
      <c r="C2718" t="s">
        <v>149</v>
      </c>
      <c r="D2718" s="1" t="s">
        <v>13</v>
      </c>
      <c r="E2718">
        <v>166.2</v>
      </c>
      <c r="F2718">
        <v>160.9</v>
      </c>
      <c r="G2718">
        <v>153.4</v>
      </c>
      <c r="H2718" s="1" t="s">
        <v>188</v>
      </c>
    </row>
    <row r="2719" spans="1:8" x14ac:dyDescent="0.3">
      <c r="A2719">
        <v>2021</v>
      </c>
      <c r="B2719" t="s">
        <v>40</v>
      </c>
      <c r="C2719" t="s">
        <v>149</v>
      </c>
      <c r="D2719" s="1" t="s">
        <v>7</v>
      </c>
      <c r="E2719">
        <v>188.7</v>
      </c>
      <c r="F2719">
        <v>182.1</v>
      </c>
      <c r="G2719">
        <v>170.6</v>
      </c>
      <c r="H2719" s="1" t="s">
        <v>188</v>
      </c>
    </row>
    <row r="2720" spans="1:8" x14ac:dyDescent="0.3">
      <c r="A2720">
        <v>2021</v>
      </c>
      <c r="B2720" t="s">
        <v>40</v>
      </c>
      <c r="C2720" t="s">
        <v>149</v>
      </c>
      <c r="D2720" s="1" t="s">
        <v>16</v>
      </c>
      <c r="E2720">
        <v>189.7</v>
      </c>
      <c r="F2720">
        <v>191.2</v>
      </c>
      <c r="G2720">
        <v>195.5</v>
      </c>
      <c r="H2720" s="1" t="s">
        <v>192</v>
      </c>
    </row>
    <row r="2721" spans="1:8" x14ac:dyDescent="0.3">
      <c r="A2721">
        <v>2021</v>
      </c>
      <c r="B2721" t="s">
        <v>40</v>
      </c>
      <c r="C2721" t="s">
        <v>149</v>
      </c>
      <c r="D2721" s="1" t="s">
        <v>27</v>
      </c>
      <c r="E2721">
        <v>160.4</v>
      </c>
      <c r="F2721">
        <v>160.1</v>
      </c>
      <c r="G2721">
        <v>159.6</v>
      </c>
      <c r="H2721" s="1" t="s">
        <v>192</v>
      </c>
    </row>
    <row r="2722" spans="1:8" x14ac:dyDescent="0.3">
      <c r="A2722">
        <v>2021</v>
      </c>
      <c r="B2722" t="s">
        <v>40</v>
      </c>
      <c r="C2722" t="s">
        <v>149</v>
      </c>
      <c r="D2722" s="1" t="s">
        <v>14</v>
      </c>
      <c r="E2722">
        <v>171</v>
      </c>
      <c r="F2722">
        <v>172.2</v>
      </c>
      <c r="G2722">
        <v>173.5</v>
      </c>
      <c r="H2722" s="1" t="s">
        <v>188</v>
      </c>
    </row>
    <row r="2723" spans="1:8" x14ac:dyDescent="0.3">
      <c r="A2723">
        <v>2021</v>
      </c>
      <c r="B2723" t="s">
        <v>40</v>
      </c>
      <c r="C2723" t="s">
        <v>149</v>
      </c>
      <c r="D2723" s="1" t="s">
        <v>10</v>
      </c>
      <c r="E2723">
        <v>163.6</v>
      </c>
      <c r="F2723">
        <v>164</v>
      </c>
      <c r="G2723">
        <v>164.7</v>
      </c>
      <c r="H2723" s="1" t="s">
        <v>188</v>
      </c>
    </row>
    <row r="2724" spans="1:8" x14ac:dyDescent="0.3">
      <c r="A2724">
        <v>2021</v>
      </c>
      <c r="B2724" t="s">
        <v>40</v>
      </c>
      <c r="C2724" t="s">
        <v>149</v>
      </c>
      <c r="D2724" s="1" t="s">
        <v>25</v>
      </c>
      <c r="E2724">
        <v>160.69999999999999</v>
      </c>
      <c r="F2724">
        <v>155.30000000000001</v>
      </c>
      <c r="G2724">
        <v>151.19999999999999</v>
      </c>
      <c r="H2724" s="1" t="s">
        <v>195</v>
      </c>
    </row>
    <row r="2725" spans="1:8" x14ac:dyDescent="0.3">
      <c r="A2725">
        <v>2021</v>
      </c>
      <c r="B2725" t="s">
        <v>40</v>
      </c>
      <c r="C2725" t="s">
        <v>149</v>
      </c>
      <c r="D2725" s="1" t="s">
        <v>12</v>
      </c>
      <c r="E2725">
        <v>169.7</v>
      </c>
      <c r="F2725">
        <v>168.3</v>
      </c>
      <c r="G2725">
        <v>165.5</v>
      </c>
      <c r="H2725" s="1" t="s">
        <v>188</v>
      </c>
    </row>
    <row r="2726" spans="1:8" x14ac:dyDescent="0.3">
      <c r="A2726">
        <v>2021</v>
      </c>
      <c r="B2726" t="s">
        <v>40</v>
      </c>
      <c r="C2726" t="s">
        <v>149</v>
      </c>
      <c r="D2726" s="1" t="s">
        <v>11</v>
      </c>
      <c r="E2726">
        <v>113.9</v>
      </c>
      <c r="F2726">
        <v>114.5</v>
      </c>
      <c r="G2726">
        <v>115.7</v>
      </c>
      <c r="H2726" s="1" t="s">
        <v>188</v>
      </c>
    </row>
    <row r="2727" spans="1:8" x14ac:dyDescent="0.3">
      <c r="A2727">
        <v>2021</v>
      </c>
      <c r="B2727" t="s">
        <v>40</v>
      </c>
      <c r="C2727" t="s">
        <v>149</v>
      </c>
      <c r="D2727" s="1" t="s">
        <v>24</v>
      </c>
      <c r="E2727">
        <v>157.1</v>
      </c>
      <c r="F2727">
        <v>153.1</v>
      </c>
      <c r="G2727">
        <v>149.5</v>
      </c>
      <c r="H2727" s="1" t="s">
        <v>191</v>
      </c>
    </row>
    <row r="2728" spans="1:8" x14ac:dyDescent="0.3">
      <c r="A2728">
        <v>2021</v>
      </c>
      <c r="B2728" t="s">
        <v>40</v>
      </c>
      <c r="C2728" t="s">
        <v>149</v>
      </c>
      <c r="D2728" s="1" t="s">
        <v>9</v>
      </c>
      <c r="E2728">
        <v>152.80000000000001</v>
      </c>
      <c r="F2728">
        <v>164.2</v>
      </c>
      <c r="G2728">
        <v>186.4</v>
      </c>
      <c r="H2728" s="1" t="s">
        <v>188</v>
      </c>
    </row>
    <row r="2729" spans="1:8" x14ac:dyDescent="0.3">
      <c r="A2729">
        <v>2021</v>
      </c>
      <c r="B2729" t="s">
        <v>39</v>
      </c>
      <c r="C2729" t="s">
        <v>150</v>
      </c>
      <c r="D2729" s="1" t="s">
        <v>3</v>
      </c>
      <c r="E2729">
        <v>145.6</v>
      </c>
      <c r="F2729">
        <v>146.69999999999999</v>
      </c>
      <c r="G2729">
        <v>149.19999999999999</v>
      </c>
      <c r="H2729" s="1" t="s">
        <v>188</v>
      </c>
    </row>
    <row r="2730" spans="1:8" x14ac:dyDescent="0.3">
      <c r="A2730">
        <v>2021</v>
      </c>
      <c r="B2730" t="s">
        <v>39</v>
      </c>
      <c r="C2730" t="s">
        <v>150</v>
      </c>
      <c r="D2730" s="1" t="s">
        <v>17</v>
      </c>
      <c r="E2730">
        <v>165.3</v>
      </c>
      <c r="F2730">
        <v>162.19999999999999</v>
      </c>
      <c r="G2730">
        <v>157.30000000000001</v>
      </c>
      <c r="H2730" s="1" t="s">
        <v>189</v>
      </c>
    </row>
    <row r="2731" spans="1:8" x14ac:dyDescent="0.3">
      <c r="A2731">
        <v>2021</v>
      </c>
      <c r="B2731" t="s">
        <v>39</v>
      </c>
      <c r="C2731" t="s">
        <v>150</v>
      </c>
      <c r="D2731" s="1" t="s">
        <v>19</v>
      </c>
      <c r="E2731">
        <v>164.6</v>
      </c>
      <c r="F2731">
        <v>160.69999999999999</v>
      </c>
      <c r="G2731">
        <v>154.80000000000001</v>
      </c>
      <c r="H2731" s="1" t="s">
        <v>189</v>
      </c>
    </row>
    <row r="2732" spans="1:8" x14ac:dyDescent="0.3">
      <c r="A2732">
        <v>2021</v>
      </c>
      <c r="B2732" t="s">
        <v>39</v>
      </c>
      <c r="C2732" t="s">
        <v>150</v>
      </c>
      <c r="D2732" s="1" t="s">
        <v>26</v>
      </c>
      <c r="E2732">
        <v>166.8</v>
      </c>
      <c r="F2732">
        <v>161.69999999999999</v>
      </c>
      <c r="G2732">
        <v>158.1</v>
      </c>
      <c r="H2732" s="1" t="s">
        <v>26</v>
      </c>
    </row>
    <row r="2733" spans="1:8" x14ac:dyDescent="0.3">
      <c r="A2733">
        <v>2021</v>
      </c>
      <c r="B2733" t="s">
        <v>39</v>
      </c>
      <c r="C2733" t="s">
        <v>150</v>
      </c>
      <c r="D2733" s="1" t="s">
        <v>5</v>
      </c>
      <c r="E2733">
        <v>179.3</v>
      </c>
      <c r="F2733">
        <v>180.7</v>
      </c>
      <c r="G2733">
        <v>182.8</v>
      </c>
      <c r="H2733" s="1" t="s">
        <v>188</v>
      </c>
    </row>
    <row r="2734" spans="1:8" x14ac:dyDescent="0.3">
      <c r="A2734">
        <v>2021</v>
      </c>
      <c r="B2734" t="s">
        <v>39</v>
      </c>
      <c r="C2734" t="s">
        <v>150</v>
      </c>
      <c r="D2734" s="1" t="s">
        <v>15</v>
      </c>
      <c r="E2734">
        <v>160.5</v>
      </c>
      <c r="F2734">
        <v>162.6</v>
      </c>
      <c r="G2734">
        <v>166.2</v>
      </c>
      <c r="H2734" s="1" t="s">
        <v>188</v>
      </c>
    </row>
    <row r="2735" spans="1:8" x14ac:dyDescent="0.3">
      <c r="A2735">
        <v>2021</v>
      </c>
      <c r="B2735" t="s">
        <v>39</v>
      </c>
      <c r="C2735" t="s">
        <v>150</v>
      </c>
      <c r="D2735" s="1" t="s">
        <v>18</v>
      </c>
      <c r="E2735">
        <v>159.9</v>
      </c>
      <c r="F2735">
        <v>151.80000000000001</v>
      </c>
      <c r="G2735">
        <v>140.5</v>
      </c>
      <c r="H2735" s="1" t="s">
        <v>189</v>
      </c>
    </row>
    <row r="2736" spans="1:8" x14ac:dyDescent="0.3">
      <c r="A2736">
        <v>2021</v>
      </c>
      <c r="B2736" t="s">
        <v>39</v>
      </c>
      <c r="C2736" t="s">
        <v>150</v>
      </c>
      <c r="D2736" s="1" t="s">
        <v>8</v>
      </c>
      <c r="E2736">
        <v>158.6</v>
      </c>
      <c r="F2736">
        <v>164.6</v>
      </c>
      <c r="G2736">
        <v>171.5</v>
      </c>
      <c r="H2736" s="1" t="s">
        <v>188</v>
      </c>
    </row>
    <row r="2737" spans="1:8" x14ac:dyDescent="0.3">
      <c r="A2737">
        <v>2021</v>
      </c>
      <c r="B2737" t="s">
        <v>39</v>
      </c>
      <c r="C2737" t="s">
        <v>150</v>
      </c>
      <c r="D2737" s="1" t="s">
        <v>21</v>
      </c>
      <c r="E2737">
        <v>162.1</v>
      </c>
      <c r="F2737">
        <v>159.80000000000001</v>
      </c>
      <c r="G2737">
        <v>156.1</v>
      </c>
      <c r="H2737" s="1" t="s">
        <v>190</v>
      </c>
    </row>
    <row r="2738" spans="1:8" x14ac:dyDescent="0.3">
      <c r="A2738">
        <v>2021</v>
      </c>
      <c r="B2738" t="s">
        <v>39</v>
      </c>
      <c r="C2738" t="s">
        <v>150</v>
      </c>
      <c r="D2738" s="1" t="s">
        <v>29</v>
      </c>
      <c r="E2738">
        <v>162.1</v>
      </c>
      <c r="F2738">
        <v>161.30000000000001</v>
      </c>
      <c r="G2738">
        <v>160.4</v>
      </c>
      <c r="H2738" s="1" t="s">
        <v>206</v>
      </c>
    </row>
    <row r="2739" spans="1:8" x14ac:dyDescent="0.3">
      <c r="A2739">
        <v>2021</v>
      </c>
      <c r="B2739" t="s">
        <v>39</v>
      </c>
      <c r="C2739" t="s">
        <v>150</v>
      </c>
      <c r="D2739" s="1" t="s">
        <v>23</v>
      </c>
      <c r="E2739">
        <v>169.7</v>
      </c>
      <c r="F2739">
        <v>166.3</v>
      </c>
      <c r="G2739">
        <v>160.80000000000001</v>
      </c>
      <c r="H2739" s="1" t="s">
        <v>23</v>
      </c>
    </row>
    <row r="2740" spans="1:8" x14ac:dyDescent="0.3">
      <c r="A2740">
        <v>2021</v>
      </c>
      <c r="B2740" t="s">
        <v>39</v>
      </c>
      <c r="C2740" t="s">
        <v>150</v>
      </c>
      <c r="D2740" s="1" t="s">
        <v>22</v>
      </c>
      <c r="E2740">
        <v>159.19999999999999</v>
      </c>
      <c r="F2740">
        <v>154.80000000000001</v>
      </c>
      <c r="G2740">
        <v>149.80000000000001</v>
      </c>
      <c r="H2740" s="1" t="s">
        <v>20</v>
      </c>
    </row>
    <row r="2741" spans="1:8" x14ac:dyDescent="0.3">
      <c r="A2741">
        <v>2021</v>
      </c>
      <c r="B2741" t="s">
        <v>39</v>
      </c>
      <c r="C2741" t="s">
        <v>150</v>
      </c>
      <c r="D2741" s="1" t="s">
        <v>20</v>
      </c>
      <c r="E2741">
        <v>0</v>
      </c>
      <c r="F2741">
        <v>160.5</v>
      </c>
      <c r="G2741">
        <v>160.5</v>
      </c>
      <c r="H2741" s="1" t="s">
        <v>20</v>
      </c>
    </row>
    <row r="2742" spans="1:8" x14ac:dyDescent="0.3">
      <c r="A2742">
        <v>2021</v>
      </c>
      <c r="B2742" t="s">
        <v>39</v>
      </c>
      <c r="C2742" t="s">
        <v>150</v>
      </c>
      <c r="D2742" s="1" t="s">
        <v>4</v>
      </c>
      <c r="E2742">
        <v>200.1</v>
      </c>
      <c r="F2742">
        <v>202</v>
      </c>
      <c r="G2742">
        <v>205.5</v>
      </c>
      <c r="H2742" s="1" t="s">
        <v>188</v>
      </c>
    </row>
    <row r="2743" spans="1:8" x14ac:dyDescent="0.3">
      <c r="A2743">
        <v>2021</v>
      </c>
      <c r="B2743" t="s">
        <v>39</v>
      </c>
      <c r="C2743" t="s">
        <v>150</v>
      </c>
      <c r="D2743" s="1" t="s">
        <v>6</v>
      </c>
      <c r="E2743">
        <v>156.1</v>
      </c>
      <c r="F2743">
        <v>156.19999999999999</v>
      </c>
      <c r="G2743">
        <v>156.5</v>
      </c>
      <c r="H2743" s="1" t="s">
        <v>188</v>
      </c>
    </row>
    <row r="2744" spans="1:8" x14ac:dyDescent="0.3">
      <c r="A2744">
        <v>2021</v>
      </c>
      <c r="B2744" t="s">
        <v>39</v>
      </c>
      <c r="C2744" t="s">
        <v>150</v>
      </c>
      <c r="D2744" s="1" t="s">
        <v>28</v>
      </c>
      <c r="E2744">
        <v>161.5</v>
      </c>
      <c r="F2744">
        <v>157.6</v>
      </c>
      <c r="G2744">
        <v>153.4</v>
      </c>
      <c r="H2744" s="1" t="s">
        <v>192</v>
      </c>
    </row>
    <row r="2745" spans="1:8" x14ac:dyDescent="0.3">
      <c r="A2745">
        <v>2021</v>
      </c>
      <c r="B2745" t="s">
        <v>39</v>
      </c>
      <c r="C2745" t="s">
        <v>150</v>
      </c>
      <c r="D2745" s="1" t="s">
        <v>13</v>
      </c>
      <c r="E2745">
        <v>165.5</v>
      </c>
      <c r="F2745">
        <v>160</v>
      </c>
      <c r="G2745">
        <v>152.30000000000001</v>
      </c>
      <c r="H2745" s="1" t="s">
        <v>188</v>
      </c>
    </row>
    <row r="2746" spans="1:8" x14ac:dyDescent="0.3">
      <c r="A2746">
        <v>2021</v>
      </c>
      <c r="B2746" t="s">
        <v>39</v>
      </c>
      <c r="C2746" t="s">
        <v>150</v>
      </c>
      <c r="D2746" s="1" t="s">
        <v>7</v>
      </c>
      <c r="E2746">
        <v>190.4</v>
      </c>
      <c r="F2746">
        <v>183.7</v>
      </c>
      <c r="G2746">
        <v>172.2</v>
      </c>
      <c r="H2746" s="1" t="s">
        <v>188</v>
      </c>
    </row>
    <row r="2747" spans="1:8" x14ac:dyDescent="0.3">
      <c r="A2747">
        <v>2021</v>
      </c>
      <c r="B2747" t="s">
        <v>39</v>
      </c>
      <c r="C2747" t="s">
        <v>150</v>
      </c>
      <c r="D2747" s="1" t="s">
        <v>16</v>
      </c>
      <c r="E2747">
        <v>189.1</v>
      </c>
      <c r="F2747">
        <v>190.8</v>
      </c>
      <c r="G2747">
        <v>195.6</v>
      </c>
      <c r="H2747" s="1" t="s">
        <v>192</v>
      </c>
    </row>
    <row r="2748" spans="1:8" x14ac:dyDescent="0.3">
      <c r="A2748">
        <v>2021</v>
      </c>
      <c r="B2748" t="s">
        <v>39</v>
      </c>
      <c r="C2748" t="s">
        <v>150</v>
      </c>
      <c r="D2748" s="1" t="s">
        <v>27</v>
      </c>
      <c r="E2748">
        <v>159.4</v>
      </c>
      <c r="F2748">
        <v>158.80000000000001</v>
      </c>
      <c r="G2748">
        <v>158</v>
      </c>
      <c r="H2748" s="1" t="s">
        <v>192</v>
      </c>
    </row>
    <row r="2749" spans="1:8" x14ac:dyDescent="0.3">
      <c r="A2749">
        <v>2021</v>
      </c>
      <c r="B2749" t="s">
        <v>39</v>
      </c>
      <c r="C2749" t="s">
        <v>150</v>
      </c>
      <c r="D2749" s="1" t="s">
        <v>14</v>
      </c>
      <c r="E2749">
        <v>171.7</v>
      </c>
      <c r="F2749">
        <v>172.4</v>
      </c>
      <c r="G2749">
        <v>173.3</v>
      </c>
      <c r="H2749" s="1" t="s">
        <v>188</v>
      </c>
    </row>
    <row r="2750" spans="1:8" x14ac:dyDescent="0.3">
      <c r="A2750">
        <v>2021</v>
      </c>
      <c r="B2750" t="s">
        <v>39</v>
      </c>
      <c r="C2750" t="s">
        <v>150</v>
      </c>
      <c r="D2750" s="1" t="s">
        <v>10</v>
      </c>
      <c r="E2750">
        <v>165.5</v>
      </c>
      <c r="F2750">
        <v>166</v>
      </c>
      <c r="G2750">
        <v>166.9</v>
      </c>
      <c r="H2750" s="1" t="s">
        <v>188</v>
      </c>
    </row>
    <row r="2751" spans="1:8" x14ac:dyDescent="0.3">
      <c r="A2751">
        <v>2021</v>
      </c>
      <c r="B2751" t="s">
        <v>39</v>
      </c>
      <c r="C2751" t="s">
        <v>150</v>
      </c>
      <c r="D2751" s="1" t="s">
        <v>25</v>
      </c>
      <c r="E2751">
        <v>160.4</v>
      </c>
      <c r="F2751">
        <v>154.9</v>
      </c>
      <c r="G2751">
        <v>150.69999999999999</v>
      </c>
      <c r="H2751" s="1" t="s">
        <v>195</v>
      </c>
    </row>
    <row r="2752" spans="1:8" x14ac:dyDescent="0.3">
      <c r="A2752">
        <v>2021</v>
      </c>
      <c r="B2752" t="s">
        <v>39</v>
      </c>
      <c r="C2752" t="s">
        <v>150</v>
      </c>
      <c r="D2752" s="1" t="s">
        <v>12</v>
      </c>
      <c r="E2752">
        <v>170</v>
      </c>
      <c r="F2752">
        <v>168.5</v>
      </c>
      <c r="G2752">
        <v>165.5</v>
      </c>
      <c r="H2752" s="1" t="s">
        <v>188</v>
      </c>
    </row>
    <row r="2753" spans="1:8" x14ac:dyDescent="0.3">
      <c r="A2753">
        <v>2021</v>
      </c>
      <c r="B2753" t="s">
        <v>39</v>
      </c>
      <c r="C2753" t="s">
        <v>150</v>
      </c>
      <c r="D2753" s="1" t="s">
        <v>11</v>
      </c>
      <c r="E2753">
        <v>114.6</v>
      </c>
      <c r="F2753">
        <v>115.1</v>
      </c>
      <c r="G2753">
        <v>116.1</v>
      </c>
      <c r="H2753" s="1" t="s">
        <v>188</v>
      </c>
    </row>
    <row r="2754" spans="1:8" x14ac:dyDescent="0.3">
      <c r="A2754">
        <v>2021</v>
      </c>
      <c r="B2754" t="s">
        <v>39</v>
      </c>
      <c r="C2754" t="s">
        <v>150</v>
      </c>
      <c r="D2754" s="1" t="s">
        <v>24</v>
      </c>
      <c r="E2754">
        <v>154.19999999999999</v>
      </c>
      <c r="F2754">
        <v>150.69999999999999</v>
      </c>
      <c r="G2754">
        <v>147.5</v>
      </c>
      <c r="H2754" s="1" t="s">
        <v>191</v>
      </c>
    </row>
    <row r="2755" spans="1:8" x14ac:dyDescent="0.3">
      <c r="A2755">
        <v>2021</v>
      </c>
      <c r="B2755" t="s">
        <v>39</v>
      </c>
      <c r="C2755" t="s">
        <v>150</v>
      </c>
      <c r="D2755" s="1" t="s">
        <v>9</v>
      </c>
      <c r="E2755">
        <v>144.69999999999999</v>
      </c>
      <c r="F2755">
        <v>155.4</v>
      </c>
      <c r="G2755">
        <v>176.2</v>
      </c>
      <c r="H2755" s="1" t="s">
        <v>188</v>
      </c>
    </row>
    <row r="2756" spans="1:8" x14ac:dyDescent="0.3">
      <c r="A2756">
        <v>2021</v>
      </c>
      <c r="B2756" t="s">
        <v>36</v>
      </c>
      <c r="C2756" t="s">
        <v>151</v>
      </c>
      <c r="D2756" s="1" t="s">
        <v>3</v>
      </c>
      <c r="E2756">
        <v>142.5</v>
      </c>
      <c r="F2756">
        <v>144.1</v>
      </c>
      <c r="G2756">
        <v>147.5</v>
      </c>
      <c r="H2756" s="1" t="s">
        <v>188</v>
      </c>
    </row>
    <row r="2757" spans="1:8" x14ac:dyDescent="0.3">
      <c r="A2757">
        <v>2021</v>
      </c>
      <c r="B2757" t="s">
        <v>36</v>
      </c>
      <c r="C2757" t="s">
        <v>151</v>
      </c>
      <c r="D2757" s="1" t="s">
        <v>17</v>
      </c>
      <c r="E2757">
        <v>159.6</v>
      </c>
      <c r="F2757">
        <v>157.80000000000001</v>
      </c>
      <c r="G2757">
        <v>155.1</v>
      </c>
      <c r="H2757" s="1" t="s">
        <v>189</v>
      </c>
    </row>
    <row r="2758" spans="1:8" x14ac:dyDescent="0.3">
      <c r="A2758">
        <v>2021</v>
      </c>
      <c r="B2758" t="s">
        <v>36</v>
      </c>
      <c r="C2758" t="s">
        <v>151</v>
      </c>
      <c r="D2758" s="1" t="s">
        <v>19</v>
      </c>
      <c r="E2758">
        <v>158.9</v>
      </c>
      <c r="F2758">
        <v>156.4</v>
      </c>
      <c r="G2758">
        <v>152.6</v>
      </c>
      <c r="H2758" s="1" t="s">
        <v>189</v>
      </c>
    </row>
    <row r="2759" spans="1:8" x14ac:dyDescent="0.3">
      <c r="A2759">
        <v>2021</v>
      </c>
      <c r="B2759" t="s">
        <v>36</v>
      </c>
      <c r="C2759" t="s">
        <v>151</v>
      </c>
      <c r="D2759" s="1" t="s">
        <v>26</v>
      </c>
      <c r="E2759">
        <v>163.80000000000001</v>
      </c>
      <c r="F2759">
        <v>160.19999999999999</v>
      </c>
      <c r="G2759">
        <v>157.6</v>
      </c>
      <c r="H2759" s="1" t="s">
        <v>26</v>
      </c>
    </row>
    <row r="2760" spans="1:8" x14ac:dyDescent="0.3">
      <c r="A2760">
        <v>2021</v>
      </c>
      <c r="B2760" t="s">
        <v>36</v>
      </c>
      <c r="C2760" t="s">
        <v>151</v>
      </c>
      <c r="D2760" s="1" t="s">
        <v>5</v>
      </c>
      <c r="E2760">
        <v>163.19999999999999</v>
      </c>
      <c r="F2760">
        <v>163.80000000000001</v>
      </c>
      <c r="G2760">
        <v>164.7</v>
      </c>
      <c r="H2760" s="1" t="s">
        <v>188</v>
      </c>
    </row>
    <row r="2761" spans="1:8" x14ac:dyDescent="0.3">
      <c r="A2761">
        <v>2021</v>
      </c>
      <c r="B2761" t="s">
        <v>36</v>
      </c>
      <c r="C2761" t="s">
        <v>151</v>
      </c>
      <c r="D2761" s="1" t="s">
        <v>15</v>
      </c>
      <c r="E2761">
        <v>154.5</v>
      </c>
      <c r="F2761">
        <v>156.69999999999999</v>
      </c>
      <c r="G2761">
        <v>160.4</v>
      </c>
      <c r="H2761" s="1" t="s">
        <v>188</v>
      </c>
    </row>
    <row r="2762" spans="1:8" x14ac:dyDescent="0.3">
      <c r="A2762">
        <v>2021</v>
      </c>
      <c r="B2762" t="s">
        <v>36</v>
      </c>
      <c r="C2762" t="s">
        <v>151</v>
      </c>
      <c r="D2762" s="1" t="s">
        <v>18</v>
      </c>
      <c r="E2762">
        <v>154.4</v>
      </c>
      <c r="F2762">
        <v>147.9</v>
      </c>
      <c r="G2762">
        <v>138.69999999999999</v>
      </c>
      <c r="H2762" s="1" t="s">
        <v>189</v>
      </c>
    </row>
    <row r="2763" spans="1:8" x14ac:dyDescent="0.3">
      <c r="A2763">
        <v>2021</v>
      </c>
      <c r="B2763" t="s">
        <v>36</v>
      </c>
      <c r="C2763" t="s">
        <v>151</v>
      </c>
      <c r="D2763" s="1" t="s">
        <v>8</v>
      </c>
      <c r="E2763">
        <v>150.5</v>
      </c>
      <c r="F2763">
        <v>153.69999999999999</v>
      </c>
      <c r="G2763">
        <v>157.30000000000001</v>
      </c>
      <c r="H2763" s="1" t="s">
        <v>188</v>
      </c>
    </row>
    <row r="2764" spans="1:8" x14ac:dyDescent="0.3">
      <c r="A2764">
        <v>2021</v>
      </c>
      <c r="B2764" t="s">
        <v>36</v>
      </c>
      <c r="C2764" t="s">
        <v>151</v>
      </c>
      <c r="D2764" s="1" t="s">
        <v>21</v>
      </c>
      <c r="E2764">
        <v>156</v>
      </c>
      <c r="F2764">
        <v>155.5</v>
      </c>
      <c r="G2764">
        <v>154.80000000000001</v>
      </c>
      <c r="H2764" s="1" t="s">
        <v>190</v>
      </c>
    </row>
    <row r="2765" spans="1:8" x14ac:dyDescent="0.3">
      <c r="A2765">
        <v>2021</v>
      </c>
      <c r="B2765" t="s">
        <v>36</v>
      </c>
      <c r="C2765" t="s">
        <v>151</v>
      </c>
      <c r="D2765" s="1" t="s">
        <v>29</v>
      </c>
      <c r="E2765">
        <v>156.69999999999999</v>
      </c>
      <c r="F2765">
        <v>156.80000000000001</v>
      </c>
      <c r="G2765">
        <v>156.9</v>
      </c>
      <c r="H2765" s="1" t="s">
        <v>206</v>
      </c>
    </row>
    <row r="2766" spans="1:8" x14ac:dyDescent="0.3">
      <c r="A2766">
        <v>2021</v>
      </c>
      <c r="B2766" t="s">
        <v>36</v>
      </c>
      <c r="C2766" t="s">
        <v>151</v>
      </c>
      <c r="D2766" s="1" t="s">
        <v>23</v>
      </c>
      <c r="E2766">
        <v>164.6</v>
      </c>
      <c r="F2766">
        <v>161.69999999999999</v>
      </c>
      <c r="G2766">
        <v>156.9</v>
      </c>
      <c r="H2766" s="1" t="s">
        <v>23</v>
      </c>
    </row>
    <row r="2767" spans="1:8" x14ac:dyDescent="0.3">
      <c r="A2767">
        <v>2021</v>
      </c>
      <c r="B2767" t="s">
        <v>36</v>
      </c>
      <c r="C2767" t="s">
        <v>151</v>
      </c>
      <c r="D2767" s="1" t="s">
        <v>22</v>
      </c>
      <c r="E2767">
        <v>154.80000000000001</v>
      </c>
      <c r="F2767">
        <v>151.19999999999999</v>
      </c>
      <c r="G2767">
        <v>147.19999999999999</v>
      </c>
      <c r="H2767" s="1" t="s">
        <v>20</v>
      </c>
    </row>
    <row r="2768" spans="1:8" x14ac:dyDescent="0.3">
      <c r="A2768">
        <v>2021</v>
      </c>
      <c r="B2768" t="s">
        <v>36</v>
      </c>
      <c r="C2768" t="s">
        <v>151</v>
      </c>
      <c r="D2768" s="1" t="s">
        <v>20</v>
      </c>
      <c r="E2768">
        <v>0</v>
      </c>
      <c r="F2768">
        <v>159.9</v>
      </c>
      <c r="G2768">
        <v>159.9</v>
      </c>
      <c r="H2768" s="1" t="s">
        <v>20</v>
      </c>
    </row>
    <row r="2769" spans="1:8" x14ac:dyDescent="0.3">
      <c r="A2769">
        <v>2021</v>
      </c>
      <c r="B2769" t="s">
        <v>36</v>
      </c>
      <c r="C2769" t="s">
        <v>151</v>
      </c>
      <c r="D2769" s="1" t="s">
        <v>4</v>
      </c>
      <c r="E2769">
        <v>189.4</v>
      </c>
      <c r="F2769">
        <v>192.2</v>
      </c>
      <c r="G2769">
        <v>197.5</v>
      </c>
      <c r="H2769" s="1" t="s">
        <v>188</v>
      </c>
    </row>
    <row r="2770" spans="1:8" x14ac:dyDescent="0.3">
      <c r="A2770">
        <v>2021</v>
      </c>
      <c r="B2770" t="s">
        <v>36</v>
      </c>
      <c r="C2770" t="s">
        <v>151</v>
      </c>
      <c r="D2770" s="1" t="s">
        <v>6</v>
      </c>
      <c r="E2770">
        <v>154.5</v>
      </c>
      <c r="F2770">
        <v>154.9</v>
      </c>
      <c r="G2770">
        <v>155.6</v>
      </c>
      <c r="H2770" s="1" t="s">
        <v>188</v>
      </c>
    </row>
    <row r="2771" spans="1:8" x14ac:dyDescent="0.3">
      <c r="A2771">
        <v>2021</v>
      </c>
      <c r="B2771" t="s">
        <v>36</v>
      </c>
      <c r="C2771" t="s">
        <v>151</v>
      </c>
      <c r="D2771" s="1" t="s">
        <v>28</v>
      </c>
      <c r="E2771">
        <v>157.30000000000001</v>
      </c>
      <c r="F2771">
        <v>153.80000000000001</v>
      </c>
      <c r="G2771">
        <v>150</v>
      </c>
      <c r="H2771" s="1" t="s">
        <v>192</v>
      </c>
    </row>
    <row r="2772" spans="1:8" x14ac:dyDescent="0.3">
      <c r="A2772">
        <v>2021</v>
      </c>
      <c r="B2772" t="s">
        <v>36</v>
      </c>
      <c r="C2772" t="s">
        <v>151</v>
      </c>
      <c r="D2772" s="1" t="s">
        <v>13</v>
      </c>
      <c r="E2772">
        <v>160.6</v>
      </c>
      <c r="F2772">
        <v>156.5</v>
      </c>
      <c r="G2772">
        <v>150.69999999999999</v>
      </c>
      <c r="H2772" s="1" t="s">
        <v>188</v>
      </c>
    </row>
    <row r="2773" spans="1:8" x14ac:dyDescent="0.3">
      <c r="A2773">
        <v>2021</v>
      </c>
      <c r="B2773" t="s">
        <v>36</v>
      </c>
      <c r="C2773" t="s">
        <v>151</v>
      </c>
      <c r="D2773" s="1" t="s">
        <v>7</v>
      </c>
      <c r="E2773">
        <v>168.2</v>
      </c>
      <c r="F2773">
        <v>163.9</v>
      </c>
      <c r="G2773">
        <v>156.4</v>
      </c>
      <c r="H2773" s="1" t="s">
        <v>188</v>
      </c>
    </row>
    <row r="2774" spans="1:8" x14ac:dyDescent="0.3">
      <c r="A2774">
        <v>2021</v>
      </c>
      <c r="B2774" t="s">
        <v>36</v>
      </c>
      <c r="C2774" t="s">
        <v>151</v>
      </c>
      <c r="D2774" s="1" t="s">
        <v>16</v>
      </c>
      <c r="E2774">
        <v>186.1</v>
      </c>
      <c r="F2774">
        <v>188.1</v>
      </c>
      <c r="G2774">
        <v>193.5</v>
      </c>
      <c r="H2774" s="1" t="s">
        <v>192</v>
      </c>
    </row>
    <row r="2775" spans="1:8" x14ac:dyDescent="0.3">
      <c r="A2775">
        <v>2021</v>
      </c>
      <c r="B2775" t="s">
        <v>36</v>
      </c>
      <c r="C2775" t="s">
        <v>151</v>
      </c>
      <c r="D2775" s="1" t="s">
        <v>27</v>
      </c>
      <c r="E2775">
        <v>153.1</v>
      </c>
      <c r="F2775">
        <v>153.80000000000001</v>
      </c>
      <c r="G2775">
        <v>154.9</v>
      </c>
      <c r="H2775" s="1" t="s">
        <v>192</v>
      </c>
    </row>
    <row r="2776" spans="1:8" x14ac:dyDescent="0.3">
      <c r="A2776">
        <v>2021</v>
      </c>
      <c r="B2776" t="s">
        <v>36</v>
      </c>
      <c r="C2776" t="s">
        <v>151</v>
      </c>
      <c r="D2776" s="1" t="s">
        <v>14</v>
      </c>
      <c r="E2776">
        <v>166.4</v>
      </c>
      <c r="F2776">
        <v>168.2</v>
      </c>
      <c r="G2776">
        <v>170.3</v>
      </c>
      <c r="H2776" s="1" t="s">
        <v>188</v>
      </c>
    </row>
    <row r="2777" spans="1:8" x14ac:dyDescent="0.3">
      <c r="A2777">
        <v>2021</v>
      </c>
      <c r="B2777" t="s">
        <v>36</v>
      </c>
      <c r="C2777" t="s">
        <v>151</v>
      </c>
      <c r="D2777" s="1" t="s">
        <v>10</v>
      </c>
      <c r="E2777">
        <v>159.19999999999999</v>
      </c>
      <c r="F2777">
        <v>159.80000000000001</v>
      </c>
      <c r="G2777">
        <v>161.1</v>
      </c>
      <c r="H2777" s="1" t="s">
        <v>188</v>
      </c>
    </row>
    <row r="2778" spans="1:8" x14ac:dyDescent="0.3">
      <c r="A2778">
        <v>2021</v>
      </c>
      <c r="B2778" t="s">
        <v>36</v>
      </c>
      <c r="C2778" t="s">
        <v>151</v>
      </c>
      <c r="D2778" s="1" t="s">
        <v>25</v>
      </c>
      <c r="E2778">
        <v>157.80000000000001</v>
      </c>
      <c r="F2778">
        <v>152.6</v>
      </c>
      <c r="G2778">
        <v>148.6</v>
      </c>
      <c r="H2778" s="1" t="s">
        <v>195</v>
      </c>
    </row>
    <row r="2779" spans="1:8" x14ac:dyDescent="0.3">
      <c r="A2779">
        <v>2021</v>
      </c>
      <c r="B2779" t="s">
        <v>36</v>
      </c>
      <c r="C2779" t="s">
        <v>151</v>
      </c>
      <c r="D2779" s="1" t="s">
        <v>12</v>
      </c>
      <c r="E2779">
        <v>164</v>
      </c>
      <c r="F2779">
        <v>163.5</v>
      </c>
      <c r="G2779">
        <v>162.6</v>
      </c>
      <c r="H2779" s="1" t="s">
        <v>188</v>
      </c>
    </row>
    <row r="2780" spans="1:8" x14ac:dyDescent="0.3">
      <c r="A2780">
        <v>2021</v>
      </c>
      <c r="B2780" t="s">
        <v>36</v>
      </c>
      <c r="C2780" t="s">
        <v>151</v>
      </c>
      <c r="D2780" s="1" t="s">
        <v>11</v>
      </c>
      <c r="E2780">
        <v>111.7</v>
      </c>
      <c r="F2780">
        <v>112.6</v>
      </c>
      <c r="G2780">
        <v>114.3</v>
      </c>
      <c r="H2780" s="1" t="s">
        <v>188</v>
      </c>
    </row>
    <row r="2781" spans="1:8" x14ac:dyDescent="0.3">
      <c r="A2781">
        <v>2021</v>
      </c>
      <c r="B2781" t="s">
        <v>36</v>
      </c>
      <c r="C2781" t="s">
        <v>151</v>
      </c>
      <c r="D2781" s="1" t="s">
        <v>24</v>
      </c>
      <c r="E2781">
        <v>151.30000000000001</v>
      </c>
      <c r="F2781">
        <v>146.19999999999999</v>
      </c>
      <c r="G2781">
        <v>141.69999999999999</v>
      </c>
      <c r="H2781" s="1" t="s">
        <v>191</v>
      </c>
    </row>
    <row r="2782" spans="1:8" x14ac:dyDescent="0.3">
      <c r="A2782">
        <v>2021</v>
      </c>
      <c r="B2782" t="s">
        <v>36</v>
      </c>
      <c r="C2782" t="s">
        <v>151</v>
      </c>
      <c r="D2782" s="1" t="s">
        <v>9</v>
      </c>
      <c r="E2782">
        <v>141</v>
      </c>
      <c r="F2782">
        <v>149.5</v>
      </c>
      <c r="G2782">
        <v>166.1</v>
      </c>
      <c r="H2782" s="1" t="s">
        <v>188</v>
      </c>
    </row>
    <row r="2783" spans="1:8" x14ac:dyDescent="0.3">
      <c r="A2783">
        <v>2021</v>
      </c>
      <c r="B2783" t="s">
        <v>38</v>
      </c>
      <c r="C2783" t="s">
        <v>152</v>
      </c>
      <c r="D2783" s="1" t="s">
        <v>3</v>
      </c>
      <c r="E2783">
        <v>145.1</v>
      </c>
      <c r="F2783">
        <v>146.30000000000001</v>
      </c>
      <c r="G2783">
        <v>148.80000000000001</v>
      </c>
      <c r="H2783" s="1" t="s">
        <v>188</v>
      </c>
    </row>
    <row r="2784" spans="1:8" x14ac:dyDescent="0.3">
      <c r="A2784">
        <v>2021</v>
      </c>
      <c r="B2784" t="s">
        <v>38</v>
      </c>
      <c r="C2784" t="s">
        <v>152</v>
      </c>
      <c r="D2784" s="1" t="s">
        <v>17</v>
      </c>
      <c r="E2784">
        <v>165.3</v>
      </c>
      <c r="F2784">
        <v>161.80000000000001</v>
      </c>
      <c r="G2784">
        <v>156.5</v>
      </c>
      <c r="H2784" s="1" t="s">
        <v>189</v>
      </c>
    </row>
    <row r="2785" spans="1:8" x14ac:dyDescent="0.3">
      <c r="A2785">
        <v>2021</v>
      </c>
      <c r="B2785" t="s">
        <v>38</v>
      </c>
      <c r="C2785" t="s">
        <v>152</v>
      </c>
      <c r="D2785" s="1" t="s">
        <v>19</v>
      </c>
      <c r="E2785">
        <v>164.5</v>
      </c>
      <c r="F2785">
        <v>160.4</v>
      </c>
      <c r="G2785">
        <v>154.1</v>
      </c>
      <c r="H2785" s="1" t="s">
        <v>189</v>
      </c>
    </row>
    <row r="2786" spans="1:8" x14ac:dyDescent="0.3">
      <c r="A2786">
        <v>2021</v>
      </c>
      <c r="B2786" t="s">
        <v>38</v>
      </c>
      <c r="C2786" t="s">
        <v>152</v>
      </c>
      <c r="D2786" s="1" t="s">
        <v>26</v>
      </c>
      <c r="E2786">
        <v>167.6</v>
      </c>
      <c r="F2786">
        <v>161.19999999999999</v>
      </c>
      <c r="G2786">
        <v>156.6</v>
      </c>
      <c r="H2786" s="1" t="s">
        <v>26</v>
      </c>
    </row>
    <row r="2787" spans="1:8" x14ac:dyDescent="0.3">
      <c r="A2787">
        <v>2021</v>
      </c>
      <c r="B2787" t="s">
        <v>38</v>
      </c>
      <c r="C2787" t="s">
        <v>152</v>
      </c>
      <c r="D2787" s="1" t="s">
        <v>5</v>
      </c>
      <c r="E2787">
        <v>168.6</v>
      </c>
      <c r="F2787">
        <v>170.3</v>
      </c>
      <c r="G2787">
        <v>173</v>
      </c>
      <c r="H2787" s="1" t="s">
        <v>188</v>
      </c>
    </row>
    <row r="2788" spans="1:8" x14ac:dyDescent="0.3">
      <c r="A2788">
        <v>2021</v>
      </c>
      <c r="B2788" t="s">
        <v>38</v>
      </c>
      <c r="C2788" t="s">
        <v>152</v>
      </c>
      <c r="D2788" s="1" t="s">
        <v>15</v>
      </c>
      <c r="E2788">
        <v>158.69999999999999</v>
      </c>
      <c r="F2788">
        <v>160.69999999999999</v>
      </c>
      <c r="G2788">
        <v>164.2</v>
      </c>
      <c r="H2788" s="1" t="s">
        <v>188</v>
      </c>
    </row>
    <row r="2789" spans="1:8" x14ac:dyDescent="0.3">
      <c r="A2789">
        <v>2021</v>
      </c>
      <c r="B2789" t="s">
        <v>38</v>
      </c>
      <c r="C2789" t="s">
        <v>152</v>
      </c>
      <c r="D2789" s="1" t="s">
        <v>18</v>
      </c>
      <c r="E2789">
        <v>160.6</v>
      </c>
      <c r="F2789">
        <v>152.1</v>
      </c>
      <c r="G2789">
        <v>140.19999999999999</v>
      </c>
      <c r="H2789" s="1" t="s">
        <v>189</v>
      </c>
    </row>
    <row r="2790" spans="1:8" x14ac:dyDescent="0.3">
      <c r="A2790">
        <v>2021</v>
      </c>
      <c r="B2790" t="s">
        <v>38</v>
      </c>
      <c r="C2790" t="s">
        <v>152</v>
      </c>
      <c r="D2790" s="1" t="s">
        <v>8</v>
      </c>
      <c r="E2790">
        <v>162.30000000000001</v>
      </c>
      <c r="F2790">
        <v>167.1</v>
      </c>
      <c r="G2790">
        <v>172.5</v>
      </c>
      <c r="H2790" s="1" t="s">
        <v>188</v>
      </c>
    </row>
    <row r="2791" spans="1:8" x14ac:dyDescent="0.3">
      <c r="A2791">
        <v>2021</v>
      </c>
      <c r="B2791" t="s">
        <v>38</v>
      </c>
      <c r="C2791" t="s">
        <v>152</v>
      </c>
      <c r="D2791" s="1" t="s">
        <v>21</v>
      </c>
      <c r="E2791">
        <v>161.69999999999999</v>
      </c>
      <c r="F2791">
        <v>159.4</v>
      </c>
      <c r="G2791">
        <v>155.5</v>
      </c>
      <c r="H2791" s="1" t="s">
        <v>190</v>
      </c>
    </row>
    <row r="2792" spans="1:8" x14ac:dyDescent="0.3">
      <c r="A2792">
        <v>2021</v>
      </c>
      <c r="B2792" t="s">
        <v>38</v>
      </c>
      <c r="C2792" t="s">
        <v>152</v>
      </c>
      <c r="D2792" s="1" t="s">
        <v>29</v>
      </c>
      <c r="E2792">
        <v>161.1</v>
      </c>
      <c r="F2792">
        <v>160.4</v>
      </c>
      <c r="G2792">
        <v>159.5</v>
      </c>
      <c r="H2792" s="1" t="s">
        <v>206</v>
      </c>
    </row>
    <row r="2793" spans="1:8" x14ac:dyDescent="0.3">
      <c r="A2793">
        <v>2021</v>
      </c>
      <c r="B2793" t="s">
        <v>38</v>
      </c>
      <c r="C2793" t="s">
        <v>152</v>
      </c>
      <c r="D2793" s="1" t="s">
        <v>23</v>
      </c>
      <c r="E2793">
        <v>169.1</v>
      </c>
      <c r="F2793">
        <v>165.8</v>
      </c>
      <c r="G2793">
        <v>160.4</v>
      </c>
      <c r="H2793" s="1" t="s">
        <v>23</v>
      </c>
    </row>
    <row r="2794" spans="1:8" x14ac:dyDescent="0.3">
      <c r="A2794">
        <v>2021</v>
      </c>
      <c r="B2794" t="s">
        <v>38</v>
      </c>
      <c r="C2794" t="s">
        <v>152</v>
      </c>
      <c r="D2794" s="1" t="s">
        <v>22</v>
      </c>
      <c r="E2794">
        <v>158.80000000000001</v>
      </c>
      <c r="F2794">
        <v>154.69999999999999</v>
      </c>
      <c r="G2794">
        <v>150.1</v>
      </c>
      <c r="H2794" s="1" t="s">
        <v>20</v>
      </c>
    </row>
    <row r="2795" spans="1:8" x14ac:dyDescent="0.3">
      <c r="A2795">
        <v>2021</v>
      </c>
      <c r="B2795" t="s">
        <v>38</v>
      </c>
      <c r="C2795" t="s">
        <v>152</v>
      </c>
      <c r="D2795" s="1" t="s">
        <v>20</v>
      </c>
      <c r="E2795">
        <v>0</v>
      </c>
      <c r="F2795">
        <v>161.6</v>
      </c>
      <c r="G2795">
        <v>161.6</v>
      </c>
      <c r="H2795" s="1" t="s">
        <v>20</v>
      </c>
    </row>
    <row r="2796" spans="1:8" x14ac:dyDescent="0.3">
      <c r="A2796">
        <v>2021</v>
      </c>
      <c r="B2796" t="s">
        <v>38</v>
      </c>
      <c r="C2796" t="s">
        <v>152</v>
      </c>
      <c r="D2796" s="1" t="s">
        <v>4</v>
      </c>
      <c r="E2796">
        <v>198.5</v>
      </c>
      <c r="F2796">
        <v>200.5</v>
      </c>
      <c r="G2796">
        <v>204.3</v>
      </c>
      <c r="H2796" s="1" t="s">
        <v>188</v>
      </c>
    </row>
    <row r="2797" spans="1:8" x14ac:dyDescent="0.3">
      <c r="A2797">
        <v>2021</v>
      </c>
      <c r="B2797" t="s">
        <v>38</v>
      </c>
      <c r="C2797" t="s">
        <v>152</v>
      </c>
      <c r="D2797" s="1" t="s">
        <v>6</v>
      </c>
      <c r="E2797">
        <v>155.80000000000001</v>
      </c>
      <c r="F2797">
        <v>156.1</v>
      </c>
      <c r="G2797">
        <v>156.5</v>
      </c>
      <c r="H2797" s="1" t="s">
        <v>188</v>
      </c>
    </row>
    <row r="2798" spans="1:8" x14ac:dyDescent="0.3">
      <c r="A2798">
        <v>2021</v>
      </c>
      <c r="B2798" t="s">
        <v>38</v>
      </c>
      <c r="C2798" t="s">
        <v>152</v>
      </c>
      <c r="D2798" s="1" t="s">
        <v>28</v>
      </c>
      <c r="E2798">
        <v>161.1</v>
      </c>
      <c r="F2798">
        <v>156.80000000000001</v>
      </c>
      <c r="G2798">
        <v>152.30000000000001</v>
      </c>
      <c r="H2798" s="1" t="s">
        <v>192</v>
      </c>
    </row>
    <row r="2799" spans="1:8" x14ac:dyDescent="0.3">
      <c r="A2799">
        <v>2021</v>
      </c>
      <c r="B2799" t="s">
        <v>38</v>
      </c>
      <c r="C2799" t="s">
        <v>152</v>
      </c>
      <c r="D2799" s="1" t="s">
        <v>13</v>
      </c>
      <c r="E2799">
        <v>164.6</v>
      </c>
      <c r="F2799">
        <v>159.30000000000001</v>
      </c>
      <c r="G2799">
        <v>152</v>
      </c>
      <c r="H2799" s="1" t="s">
        <v>188</v>
      </c>
    </row>
    <row r="2800" spans="1:8" x14ac:dyDescent="0.3">
      <c r="A2800">
        <v>2021</v>
      </c>
      <c r="B2800" t="s">
        <v>38</v>
      </c>
      <c r="C2800" t="s">
        <v>152</v>
      </c>
      <c r="D2800" s="1" t="s">
        <v>7</v>
      </c>
      <c r="E2800">
        <v>184.4</v>
      </c>
      <c r="F2800">
        <v>178.7</v>
      </c>
      <c r="G2800">
        <v>168.8</v>
      </c>
      <c r="H2800" s="1" t="s">
        <v>188</v>
      </c>
    </row>
    <row r="2801" spans="1:8" x14ac:dyDescent="0.3">
      <c r="A2801">
        <v>2021</v>
      </c>
      <c r="B2801" t="s">
        <v>38</v>
      </c>
      <c r="C2801" t="s">
        <v>152</v>
      </c>
      <c r="D2801" s="1" t="s">
        <v>16</v>
      </c>
      <c r="E2801">
        <v>189.6</v>
      </c>
      <c r="F2801">
        <v>191.9</v>
      </c>
      <c r="G2801">
        <v>198.2</v>
      </c>
      <c r="H2801" s="1" t="s">
        <v>192</v>
      </c>
    </row>
    <row r="2802" spans="1:8" x14ac:dyDescent="0.3">
      <c r="A2802">
        <v>2021</v>
      </c>
      <c r="B2802" t="s">
        <v>38</v>
      </c>
      <c r="C2802" t="s">
        <v>152</v>
      </c>
      <c r="D2802" s="1" t="s">
        <v>27</v>
      </c>
      <c r="E2802">
        <v>159.30000000000001</v>
      </c>
      <c r="F2802">
        <v>158.6</v>
      </c>
      <c r="G2802">
        <v>157.5</v>
      </c>
      <c r="H2802" s="1" t="s">
        <v>192</v>
      </c>
    </row>
    <row r="2803" spans="1:8" x14ac:dyDescent="0.3">
      <c r="A2803">
        <v>2021</v>
      </c>
      <c r="B2803" t="s">
        <v>38</v>
      </c>
      <c r="C2803" t="s">
        <v>152</v>
      </c>
      <c r="D2803" s="1" t="s">
        <v>14</v>
      </c>
      <c r="E2803">
        <v>169.8</v>
      </c>
      <c r="F2803">
        <v>170.4</v>
      </c>
      <c r="G2803">
        <v>171.1</v>
      </c>
      <c r="H2803" s="1" t="s">
        <v>188</v>
      </c>
    </row>
    <row r="2804" spans="1:8" x14ac:dyDescent="0.3">
      <c r="A2804">
        <v>2021</v>
      </c>
      <c r="B2804" t="s">
        <v>38</v>
      </c>
      <c r="C2804" t="s">
        <v>152</v>
      </c>
      <c r="D2804" s="1" t="s">
        <v>10</v>
      </c>
      <c r="E2804">
        <v>165.1</v>
      </c>
      <c r="F2804">
        <v>165.4</v>
      </c>
      <c r="G2804">
        <v>165.9</v>
      </c>
      <c r="H2804" s="1" t="s">
        <v>188</v>
      </c>
    </row>
    <row r="2805" spans="1:8" x14ac:dyDescent="0.3">
      <c r="A2805">
        <v>2021</v>
      </c>
      <c r="B2805" t="s">
        <v>38</v>
      </c>
      <c r="C2805" t="s">
        <v>152</v>
      </c>
      <c r="D2805" s="1" t="s">
        <v>25</v>
      </c>
      <c r="E2805">
        <v>160</v>
      </c>
      <c r="F2805">
        <v>155.80000000000001</v>
      </c>
      <c r="G2805">
        <v>152.6</v>
      </c>
      <c r="H2805" s="1" t="s">
        <v>195</v>
      </c>
    </row>
    <row r="2806" spans="1:8" x14ac:dyDescent="0.3">
      <c r="A2806">
        <v>2021</v>
      </c>
      <c r="B2806" t="s">
        <v>38</v>
      </c>
      <c r="C2806" t="s">
        <v>152</v>
      </c>
      <c r="D2806" s="1" t="s">
        <v>12</v>
      </c>
      <c r="E2806">
        <v>169.7</v>
      </c>
      <c r="F2806">
        <v>168.2</v>
      </c>
      <c r="G2806">
        <v>165.2</v>
      </c>
      <c r="H2806" s="1" t="s">
        <v>188</v>
      </c>
    </row>
    <row r="2807" spans="1:8" x14ac:dyDescent="0.3">
      <c r="A2807">
        <v>2021</v>
      </c>
      <c r="B2807" t="s">
        <v>38</v>
      </c>
      <c r="C2807" t="s">
        <v>152</v>
      </c>
      <c r="D2807" s="1" t="s">
        <v>11</v>
      </c>
      <c r="E2807">
        <v>114.3</v>
      </c>
      <c r="F2807">
        <v>114.8</v>
      </c>
      <c r="G2807">
        <v>115.9</v>
      </c>
      <c r="H2807" s="1" t="s">
        <v>188</v>
      </c>
    </row>
    <row r="2808" spans="1:8" x14ac:dyDescent="0.3">
      <c r="A2808">
        <v>2021</v>
      </c>
      <c r="B2808" t="s">
        <v>38</v>
      </c>
      <c r="C2808" t="s">
        <v>152</v>
      </c>
      <c r="D2808" s="1" t="s">
        <v>24</v>
      </c>
      <c r="E2808">
        <v>153.19999999999999</v>
      </c>
      <c r="F2808">
        <v>148.9</v>
      </c>
      <c r="G2808">
        <v>145</v>
      </c>
      <c r="H2808" s="1" t="s">
        <v>191</v>
      </c>
    </row>
    <row r="2809" spans="1:8" x14ac:dyDescent="0.3">
      <c r="A2809">
        <v>2021</v>
      </c>
      <c r="B2809" t="s">
        <v>38</v>
      </c>
      <c r="C2809" t="s">
        <v>152</v>
      </c>
      <c r="D2809" s="1" t="s">
        <v>9</v>
      </c>
      <c r="E2809">
        <v>138.4</v>
      </c>
      <c r="F2809">
        <v>147.9</v>
      </c>
      <c r="G2809">
        <v>166.5</v>
      </c>
      <c r="H2809" s="1" t="s">
        <v>188</v>
      </c>
    </row>
    <row r="2810" spans="1:8" x14ac:dyDescent="0.3">
      <c r="A2810">
        <v>2021</v>
      </c>
      <c r="B2810" t="s">
        <v>44</v>
      </c>
      <c r="C2810" t="s">
        <v>153</v>
      </c>
      <c r="D2810" s="1" t="s">
        <v>3</v>
      </c>
      <c r="E2810">
        <v>146.9</v>
      </c>
      <c r="F2810">
        <v>148.19999999999999</v>
      </c>
      <c r="G2810">
        <v>151</v>
      </c>
      <c r="H2810" s="1" t="s">
        <v>188</v>
      </c>
    </row>
    <row r="2811" spans="1:8" x14ac:dyDescent="0.3">
      <c r="A2811">
        <v>2021</v>
      </c>
      <c r="B2811" t="s">
        <v>44</v>
      </c>
      <c r="C2811" t="s">
        <v>153</v>
      </c>
      <c r="D2811" s="1" t="s">
        <v>17</v>
      </c>
      <c r="E2811">
        <v>170.4</v>
      </c>
      <c r="F2811">
        <v>167.2</v>
      </c>
      <c r="G2811">
        <v>162.30000000000001</v>
      </c>
      <c r="H2811" s="1" t="s">
        <v>189</v>
      </c>
    </row>
    <row r="2812" spans="1:8" x14ac:dyDescent="0.3">
      <c r="A2812">
        <v>2021</v>
      </c>
      <c r="B2812" t="s">
        <v>44</v>
      </c>
      <c r="C2812" t="s">
        <v>153</v>
      </c>
      <c r="D2812" s="1" t="s">
        <v>19</v>
      </c>
      <c r="E2812">
        <v>169.8</v>
      </c>
      <c r="F2812">
        <v>165.8</v>
      </c>
      <c r="G2812">
        <v>159.69999999999999</v>
      </c>
      <c r="H2812" s="1" t="s">
        <v>189</v>
      </c>
    </row>
    <row r="2813" spans="1:8" x14ac:dyDescent="0.3">
      <c r="A2813">
        <v>2021</v>
      </c>
      <c r="B2813" t="s">
        <v>44</v>
      </c>
      <c r="C2813" t="s">
        <v>153</v>
      </c>
      <c r="D2813" s="1" t="s">
        <v>26</v>
      </c>
      <c r="E2813">
        <v>169.3</v>
      </c>
      <c r="F2813">
        <v>164.3</v>
      </c>
      <c r="G2813">
        <v>160.80000000000001</v>
      </c>
      <c r="H2813" s="1" t="s">
        <v>26</v>
      </c>
    </row>
    <row r="2814" spans="1:8" x14ac:dyDescent="0.3">
      <c r="A2814">
        <v>2021</v>
      </c>
      <c r="B2814" t="s">
        <v>44</v>
      </c>
      <c r="C2814" t="s">
        <v>153</v>
      </c>
      <c r="D2814" s="1" t="s">
        <v>5</v>
      </c>
      <c r="E2814">
        <v>171.5</v>
      </c>
      <c r="F2814">
        <v>173</v>
      </c>
      <c r="G2814">
        <v>175.4</v>
      </c>
      <c r="H2814" s="1" t="s">
        <v>188</v>
      </c>
    </row>
    <row r="2815" spans="1:8" x14ac:dyDescent="0.3">
      <c r="A2815">
        <v>2021</v>
      </c>
      <c r="B2815" t="s">
        <v>44</v>
      </c>
      <c r="C2815" t="s">
        <v>153</v>
      </c>
      <c r="D2815" s="1" t="s">
        <v>15</v>
      </c>
      <c r="E2815">
        <v>167.5</v>
      </c>
      <c r="F2815">
        <v>169.7</v>
      </c>
      <c r="G2815">
        <v>173.5</v>
      </c>
      <c r="H2815" s="1" t="s">
        <v>188</v>
      </c>
    </row>
    <row r="2816" spans="1:8" x14ac:dyDescent="0.3">
      <c r="A2816">
        <v>2021</v>
      </c>
      <c r="B2816" t="s">
        <v>44</v>
      </c>
      <c r="C2816" t="s">
        <v>153</v>
      </c>
      <c r="D2816" s="1" t="s">
        <v>18</v>
      </c>
      <c r="E2816">
        <v>166</v>
      </c>
      <c r="F2816">
        <v>157.4</v>
      </c>
      <c r="G2816">
        <v>145.30000000000001</v>
      </c>
      <c r="H2816" s="1" t="s">
        <v>189</v>
      </c>
    </row>
    <row r="2817" spans="1:8" x14ac:dyDescent="0.3">
      <c r="A2817">
        <v>2021</v>
      </c>
      <c r="B2817" t="s">
        <v>44</v>
      </c>
      <c r="C2817" t="s">
        <v>153</v>
      </c>
      <c r="D2817" s="1" t="s">
        <v>8</v>
      </c>
      <c r="E2817">
        <v>153.19999999999999</v>
      </c>
      <c r="F2817">
        <v>156.5</v>
      </c>
      <c r="G2817">
        <v>160.30000000000001</v>
      </c>
      <c r="H2817" s="1" t="s">
        <v>188</v>
      </c>
    </row>
    <row r="2818" spans="1:8" x14ac:dyDescent="0.3">
      <c r="A2818">
        <v>2021</v>
      </c>
      <c r="B2818" t="s">
        <v>44</v>
      </c>
      <c r="C2818" t="s">
        <v>153</v>
      </c>
      <c r="D2818" s="1" t="s">
        <v>21</v>
      </c>
      <c r="E2818">
        <v>165.3</v>
      </c>
      <c r="F2818">
        <v>163.9</v>
      </c>
      <c r="G2818">
        <v>161.6</v>
      </c>
      <c r="H2818" s="1" t="s">
        <v>190</v>
      </c>
    </row>
    <row r="2819" spans="1:8" x14ac:dyDescent="0.3">
      <c r="A2819">
        <v>2021</v>
      </c>
      <c r="B2819" t="s">
        <v>44</v>
      </c>
      <c r="C2819" t="s">
        <v>153</v>
      </c>
      <c r="D2819" s="1" t="s">
        <v>29</v>
      </c>
      <c r="E2819">
        <v>167.6</v>
      </c>
      <c r="F2819">
        <v>166.7</v>
      </c>
      <c r="G2819">
        <v>165.6</v>
      </c>
      <c r="H2819" s="1" t="s">
        <v>206</v>
      </c>
    </row>
    <row r="2820" spans="1:8" x14ac:dyDescent="0.3">
      <c r="A2820">
        <v>2021</v>
      </c>
      <c r="B2820" t="s">
        <v>44</v>
      </c>
      <c r="C2820" t="s">
        <v>153</v>
      </c>
      <c r="D2820" s="1" t="s">
        <v>23</v>
      </c>
      <c r="E2820">
        <v>173.4</v>
      </c>
      <c r="F2820">
        <v>169.9</v>
      </c>
      <c r="G2820">
        <v>164.2</v>
      </c>
      <c r="H2820" s="1" t="s">
        <v>23</v>
      </c>
    </row>
    <row r="2821" spans="1:8" x14ac:dyDescent="0.3">
      <c r="A2821">
        <v>2021</v>
      </c>
      <c r="B2821" t="s">
        <v>44</v>
      </c>
      <c r="C2821" t="s">
        <v>153</v>
      </c>
      <c r="D2821" s="1" t="s">
        <v>22</v>
      </c>
      <c r="E2821">
        <v>162.9</v>
      </c>
      <c r="F2821">
        <v>159.30000000000001</v>
      </c>
      <c r="G2821">
        <v>155.19999999999999</v>
      </c>
      <c r="H2821" s="1" t="s">
        <v>20</v>
      </c>
    </row>
    <row r="2822" spans="1:8" x14ac:dyDescent="0.3">
      <c r="A2822">
        <v>2021</v>
      </c>
      <c r="B2822" t="s">
        <v>44</v>
      </c>
      <c r="C2822" t="s">
        <v>153</v>
      </c>
      <c r="D2822" s="1" t="s">
        <v>20</v>
      </c>
      <c r="E2822">
        <v>0</v>
      </c>
      <c r="F2822">
        <v>164.2</v>
      </c>
      <c r="G2822">
        <v>164.2</v>
      </c>
      <c r="H2822" s="1" t="s">
        <v>20</v>
      </c>
    </row>
    <row r="2823" spans="1:8" x14ac:dyDescent="0.3">
      <c r="A2823">
        <v>2021</v>
      </c>
      <c r="B2823" t="s">
        <v>44</v>
      </c>
      <c r="C2823" t="s">
        <v>153</v>
      </c>
      <c r="D2823" s="1" t="s">
        <v>4</v>
      </c>
      <c r="E2823">
        <v>199.8</v>
      </c>
      <c r="F2823">
        <v>201.6</v>
      </c>
      <c r="G2823">
        <v>204.9</v>
      </c>
      <c r="H2823" s="1" t="s">
        <v>188</v>
      </c>
    </row>
    <row r="2824" spans="1:8" x14ac:dyDescent="0.3">
      <c r="A2824">
        <v>2021</v>
      </c>
      <c r="B2824" t="s">
        <v>44</v>
      </c>
      <c r="C2824" t="s">
        <v>153</v>
      </c>
      <c r="D2824" s="1" t="s">
        <v>6</v>
      </c>
      <c r="E2824">
        <v>159.1</v>
      </c>
      <c r="F2824">
        <v>159.30000000000001</v>
      </c>
      <c r="G2824">
        <v>159.6</v>
      </c>
      <c r="H2824" s="1" t="s">
        <v>188</v>
      </c>
    </row>
    <row r="2825" spans="1:8" x14ac:dyDescent="0.3">
      <c r="A2825">
        <v>2021</v>
      </c>
      <c r="B2825" t="s">
        <v>44</v>
      </c>
      <c r="C2825" t="s">
        <v>153</v>
      </c>
      <c r="D2825" s="1" t="s">
        <v>28</v>
      </c>
      <c r="E2825">
        <v>165.2</v>
      </c>
      <c r="F2825">
        <v>161.4</v>
      </c>
      <c r="G2825">
        <v>157.30000000000001</v>
      </c>
      <c r="H2825" s="1" t="s">
        <v>192</v>
      </c>
    </row>
    <row r="2826" spans="1:8" x14ac:dyDescent="0.3">
      <c r="A2826">
        <v>2021</v>
      </c>
      <c r="B2826" t="s">
        <v>44</v>
      </c>
      <c r="C2826" t="s">
        <v>153</v>
      </c>
      <c r="D2826" s="1" t="s">
        <v>13</v>
      </c>
      <c r="E2826">
        <v>169.1</v>
      </c>
      <c r="F2826">
        <v>163.69999999999999</v>
      </c>
      <c r="G2826">
        <v>156.1</v>
      </c>
      <c r="H2826" s="1" t="s">
        <v>188</v>
      </c>
    </row>
    <row r="2827" spans="1:8" x14ac:dyDescent="0.3">
      <c r="A2827">
        <v>2021</v>
      </c>
      <c r="B2827" t="s">
        <v>44</v>
      </c>
      <c r="C2827" t="s">
        <v>153</v>
      </c>
      <c r="D2827" s="1" t="s">
        <v>7</v>
      </c>
      <c r="E2827">
        <v>198.4</v>
      </c>
      <c r="F2827">
        <v>190.1</v>
      </c>
      <c r="G2827">
        <v>175.8</v>
      </c>
      <c r="H2827" s="1" t="s">
        <v>188</v>
      </c>
    </row>
    <row r="2828" spans="1:8" x14ac:dyDescent="0.3">
      <c r="A2828">
        <v>2021</v>
      </c>
      <c r="B2828" t="s">
        <v>44</v>
      </c>
      <c r="C2828" t="s">
        <v>153</v>
      </c>
      <c r="D2828" s="1" t="s">
        <v>16</v>
      </c>
      <c r="E2828">
        <v>191.4</v>
      </c>
      <c r="F2828">
        <v>192.9</v>
      </c>
      <c r="G2828">
        <v>197</v>
      </c>
      <c r="H2828" s="1" t="s">
        <v>192</v>
      </c>
    </row>
    <row r="2829" spans="1:8" x14ac:dyDescent="0.3">
      <c r="A2829">
        <v>2021</v>
      </c>
      <c r="B2829" t="s">
        <v>44</v>
      </c>
      <c r="C2829" t="s">
        <v>153</v>
      </c>
      <c r="D2829" s="1" t="s">
        <v>27</v>
      </c>
      <c r="E2829">
        <v>162.4</v>
      </c>
      <c r="F2829">
        <v>162.19999999999999</v>
      </c>
      <c r="G2829">
        <v>161.80000000000001</v>
      </c>
      <c r="H2829" s="1" t="s">
        <v>192</v>
      </c>
    </row>
    <row r="2830" spans="1:8" x14ac:dyDescent="0.3">
      <c r="A2830">
        <v>2021</v>
      </c>
      <c r="B2830" t="s">
        <v>44</v>
      </c>
      <c r="C2830" t="s">
        <v>153</v>
      </c>
      <c r="D2830" s="1" t="s">
        <v>14</v>
      </c>
      <c r="E2830">
        <v>174.3</v>
      </c>
      <c r="F2830">
        <v>175.5</v>
      </c>
      <c r="G2830">
        <v>176.8</v>
      </c>
      <c r="H2830" s="1" t="s">
        <v>188</v>
      </c>
    </row>
    <row r="2831" spans="1:8" x14ac:dyDescent="0.3">
      <c r="A2831">
        <v>2021</v>
      </c>
      <c r="B2831" t="s">
        <v>44</v>
      </c>
      <c r="C2831" t="s">
        <v>153</v>
      </c>
      <c r="D2831" s="1" t="s">
        <v>10</v>
      </c>
      <c r="E2831">
        <v>165.4</v>
      </c>
      <c r="F2831">
        <v>165.3</v>
      </c>
      <c r="G2831">
        <v>165.1</v>
      </c>
      <c r="H2831" s="1" t="s">
        <v>188</v>
      </c>
    </row>
    <row r="2832" spans="1:8" x14ac:dyDescent="0.3">
      <c r="A2832">
        <v>2021</v>
      </c>
      <c r="B2832" t="s">
        <v>44</v>
      </c>
      <c r="C2832" t="s">
        <v>153</v>
      </c>
      <c r="D2832" s="1" t="s">
        <v>25</v>
      </c>
      <c r="E2832">
        <v>163.80000000000001</v>
      </c>
      <c r="F2832">
        <v>159.80000000000001</v>
      </c>
      <c r="G2832">
        <v>156.69999999999999</v>
      </c>
      <c r="H2832" s="1" t="s">
        <v>195</v>
      </c>
    </row>
    <row r="2833" spans="1:8" x14ac:dyDescent="0.3">
      <c r="A2833">
        <v>2021</v>
      </c>
      <c r="B2833" t="s">
        <v>44</v>
      </c>
      <c r="C2833" t="s">
        <v>153</v>
      </c>
      <c r="D2833" s="1" t="s">
        <v>12</v>
      </c>
      <c r="E2833">
        <v>170.8</v>
      </c>
      <c r="F2833">
        <v>169.6</v>
      </c>
      <c r="G2833">
        <v>167.2</v>
      </c>
      <c r="H2833" s="1" t="s">
        <v>188</v>
      </c>
    </row>
    <row r="2834" spans="1:8" x14ac:dyDescent="0.3">
      <c r="A2834">
        <v>2021</v>
      </c>
      <c r="B2834" t="s">
        <v>44</v>
      </c>
      <c r="C2834" t="s">
        <v>153</v>
      </c>
      <c r="D2834" s="1" t="s">
        <v>11</v>
      </c>
      <c r="E2834">
        <v>122.1</v>
      </c>
      <c r="F2834">
        <v>122.4</v>
      </c>
      <c r="G2834">
        <v>123.1</v>
      </c>
      <c r="H2834" s="1" t="s">
        <v>188</v>
      </c>
    </row>
    <row r="2835" spans="1:8" x14ac:dyDescent="0.3">
      <c r="A2835">
        <v>2021</v>
      </c>
      <c r="B2835" t="s">
        <v>44</v>
      </c>
      <c r="C2835" t="s">
        <v>153</v>
      </c>
      <c r="D2835" s="1" t="s">
        <v>24</v>
      </c>
      <c r="E2835">
        <v>158.9</v>
      </c>
      <c r="F2835">
        <v>154.80000000000001</v>
      </c>
      <c r="G2835">
        <v>151.19999999999999</v>
      </c>
      <c r="H2835" s="1" t="s">
        <v>191</v>
      </c>
    </row>
    <row r="2836" spans="1:8" x14ac:dyDescent="0.3">
      <c r="A2836">
        <v>2021</v>
      </c>
      <c r="B2836" t="s">
        <v>44</v>
      </c>
      <c r="C2836" t="s">
        <v>153</v>
      </c>
      <c r="D2836" s="1" t="s">
        <v>9</v>
      </c>
      <c r="E2836">
        <v>183.9</v>
      </c>
      <c r="F2836">
        <v>199.2</v>
      </c>
      <c r="G2836">
        <v>229.1</v>
      </c>
      <c r="H2836" s="1" t="s">
        <v>188</v>
      </c>
    </row>
    <row r="2837" spans="1:8" x14ac:dyDescent="0.3">
      <c r="A2837">
        <v>2021</v>
      </c>
      <c r="B2837" t="s">
        <v>43</v>
      </c>
      <c r="C2837" t="s">
        <v>154</v>
      </c>
      <c r="D2837" s="1" t="s">
        <v>3</v>
      </c>
      <c r="E2837">
        <v>146.1</v>
      </c>
      <c r="F2837">
        <v>147.4</v>
      </c>
      <c r="G2837">
        <v>150.1</v>
      </c>
      <c r="H2837" s="1" t="s">
        <v>188</v>
      </c>
    </row>
    <row r="2838" spans="1:8" x14ac:dyDescent="0.3">
      <c r="A2838">
        <v>2021</v>
      </c>
      <c r="B2838" t="s">
        <v>43</v>
      </c>
      <c r="C2838" t="s">
        <v>154</v>
      </c>
      <c r="D2838" s="1" t="s">
        <v>17</v>
      </c>
      <c r="E2838">
        <v>168.9</v>
      </c>
      <c r="F2838">
        <v>165.7</v>
      </c>
      <c r="G2838">
        <v>160.80000000000001</v>
      </c>
      <c r="H2838" s="1" t="s">
        <v>189</v>
      </c>
    </row>
    <row r="2839" spans="1:8" x14ac:dyDescent="0.3">
      <c r="A2839">
        <v>2021</v>
      </c>
      <c r="B2839" t="s">
        <v>43</v>
      </c>
      <c r="C2839" t="s">
        <v>154</v>
      </c>
      <c r="D2839" s="1" t="s">
        <v>19</v>
      </c>
      <c r="E2839">
        <v>168.3</v>
      </c>
      <c r="F2839">
        <v>164.3</v>
      </c>
      <c r="G2839">
        <v>158.30000000000001</v>
      </c>
      <c r="H2839" s="1" t="s">
        <v>189</v>
      </c>
    </row>
    <row r="2840" spans="1:8" x14ac:dyDescent="0.3">
      <c r="A2840">
        <v>2021</v>
      </c>
      <c r="B2840" t="s">
        <v>43</v>
      </c>
      <c r="C2840" t="s">
        <v>154</v>
      </c>
      <c r="D2840" s="1" t="s">
        <v>26</v>
      </c>
      <c r="E2840">
        <v>169</v>
      </c>
      <c r="F2840">
        <v>163.9</v>
      </c>
      <c r="G2840">
        <v>160.30000000000001</v>
      </c>
      <c r="H2840" s="1" t="s">
        <v>26</v>
      </c>
    </row>
    <row r="2841" spans="1:8" x14ac:dyDescent="0.3">
      <c r="A2841">
        <v>2021</v>
      </c>
      <c r="B2841" t="s">
        <v>43</v>
      </c>
      <c r="C2841" t="s">
        <v>154</v>
      </c>
      <c r="D2841" s="1" t="s">
        <v>5</v>
      </c>
      <c r="E2841">
        <v>170.1</v>
      </c>
      <c r="F2841">
        <v>171.2</v>
      </c>
      <c r="G2841">
        <v>173</v>
      </c>
      <c r="H2841" s="1" t="s">
        <v>188</v>
      </c>
    </row>
    <row r="2842" spans="1:8" x14ac:dyDescent="0.3">
      <c r="A2842">
        <v>2021</v>
      </c>
      <c r="B2842" t="s">
        <v>43</v>
      </c>
      <c r="C2842" t="s">
        <v>154</v>
      </c>
      <c r="D2842" s="1" t="s">
        <v>15</v>
      </c>
      <c r="E2842">
        <v>165.5</v>
      </c>
      <c r="F2842">
        <v>167.7</v>
      </c>
      <c r="G2842">
        <v>171.5</v>
      </c>
      <c r="H2842" s="1" t="s">
        <v>188</v>
      </c>
    </row>
    <row r="2843" spans="1:8" x14ac:dyDescent="0.3">
      <c r="A2843">
        <v>2021</v>
      </c>
      <c r="B2843" t="s">
        <v>43</v>
      </c>
      <c r="C2843" t="s">
        <v>154</v>
      </c>
      <c r="D2843" s="1" t="s">
        <v>18</v>
      </c>
      <c r="E2843">
        <v>164.8</v>
      </c>
      <c r="F2843">
        <v>156.30000000000001</v>
      </c>
      <c r="G2843">
        <v>144.4</v>
      </c>
      <c r="H2843" s="1" t="s">
        <v>189</v>
      </c>
    </row>
    <row r="2844" spans="1:8" x14ac:dyDescent="0.3">
      <c r="A2844">
        <v>2021</v>
      </c>
      <c r="B2844" t="s">
        <v>43</v>
      </c>
      <c r="C2844" t="s">
        <v>154</v>
      </c>
      <c r="D2844" s="1" t="s">
        <v>8</v>
      </c>
      <c r="E2844">
        <v>152.6</v>
      </c>
      <c r="F2844">
        <v>155.69999999999999</v>
      </c>
      <c r="G2844">
        <v>159.30000000000001</v>
      </c>
      <c r="H2844" s="1" t="s">
        <v>188</v>
      </c>
    </row>
    <row r="2845" spans="1:8" x14ac:dyDescent="0.3">
      <c r="A2845">
        <v>2021</v>
      </c>
      <c r="B2845" t="s">
        <v>43</v>
      </c>
      <c r="C2845" t="s">
        <v>154</v>
      </c>
      <c r="D2845" s="1" t="s">
        <v>21</v>
      </c>
      <c r="E2845">
        <v>165.5</v>
      </c>
      <c r="F2845">
        <v>164.2</v>
      </c>
      <c r="G2845">
        <v>162.19999999999999</v>
      </c>
      <c r="H2845" s="1" t="s">
        <v>190</v>
      </c>
    </row>
    <row r="2846" spans="1:8" x14ac:dyDescent="0.3">
      <c r="A2846">
        <v>2021</v>
      </c>
      <c r="B2846" t="s">
        <v>43</v>
      </c>
      <c r="C2846" t="s">
        <v>154</v>
      </c>
      <c r="D2846" s="1" t="s">
        <v>29</v>
      </c>
      <c r="E2846">
        <v>166.3</v>
      </c>
      <c r="F2846">
        <v>165.5</v>
      </c>
      <c r="G2846">
        <v>164.6</v>
      </c>
      <c r="H2846" s="1" t="s">
        <v>206</v>
      </c>
    </row>
    <row r="2847" spans="1:8" x14ac:dyDescent="0.3">
      <c r="A2847">
        <v>2021</v>
      </c>
      <c r="B2847" t="s">
        <v>43</v>
      </c>
      <c r="C2847" t="s">
        <v>154</v>
      </c>
      <c r="D2847" s="1" t="s">
        <v>23</v>
      </c>
      <c r="E2847">
        <v>172.5</v>
      </c>
      <c r="F2847">
        <v>169.1</v>
      </c>
      <c r="G2847">
        <v>163.5</v>
      </c>
      <c r="H2847" s="1" t="s">
        <v>23</v>
      </c>
    </row>
    <row r="2848" spans="1:8" x14ac:dyDescent="0.3">
      <c r="A2848">
        <v>2021</v>
      </c>
      <c r="B2848" t="s">
        <v>43</v>
      </c>
      <c r="C2848" t="s">
        <v>154</v>
      </c>
      <c r="D2848" s="1" t="s">
        <v>22</v>
      </c>
      <c r="E2848">
        <v>162</v>
      </c>
      <c r="F2848">
        <v>158.4</v>
      </c>
      <c r="G2848">
        <v>154.30000000000001</v>
      </c>
      <c r="H2848" s="1" t="s">
        <v>20</v>
      </c>
    </row>
    <row r="2849" spans="1:8" x14ac:dyDescent="0.3">
      <c r="A2849">
        <v>2021</v>
      </c>
      <c r="B2849" t="s">
        <v>43</v>
      </c>
      <c r="C2849" t="s">
        <v>154</v>
      </c>
      <c r="D2849" s="1" t="s">
        <v>20</v>
      </c>
      <c r="E2849">
        <v>0</v>
      </c>
      <c r="F2849">
        <v>163.6</v>
      </c>
      <c r="G2849">
        <v>163.6</v>
      </c>
      <c r="H2849" s="1" t="s">
        <v>20</v>
      </c>
    </row>
    <row r="2850" spans="1:8" x14ac:dyDescent="0.3">
      <c r="A2850">
        <v>2021</v>
      </c>
      <c r="B2850" t="s">
        <v>43</v>
      </c>
      <c r="C2850" t="s">
        <v>154</v>
      </c>
      <c r="D2850" s="1" t="s">
        <v>4</v>
      </c>
      <c r="E2850">
        <v>202.5</v>
      </c>
      <c r="F2850">
        <v>204.6</v>
      </c>
      <c r="G2850">
        <v>208.4</v>
      </c>
      <c r="H2850" s="1" t="s">
        <v>188</v>
      </c>
    </row>
    <row r="2851" spans="1:8" x14ac:dyDescent="0.3">
      <c r="A2851">
        <v>2021</v>
      </c>
      <c r="B2851" t="s">
        <v>43</v>
      </c>
      <c r="C2851" t="s">
        <v>154</v>
      </c>
      <c r="D2851" s="1" t="s">
        <v>6</v>
      </c>
      <c r="E2851">
        <v>158.4</v>
      </c>
      <c r="F2851">
        <v>158.69999999999999</v>
      </c>
      <c r="G2851">
        <v>159.19999999999999</v>
      </c>
      <c r="H2851" s="1" t="s">
        <v>188</v>
      </c>
    </row>
    <row r="2852" spans="1:8" x14ac:dyDescent="0.3">
      <c r="A2852">
        <v>2021</v>
      </c>
      <c r="B2852" t="s">
        <v>43</v>
      </c>
      <c r="C2852" t="s">
        <v>154</v>
      </c>
      <c r="D2852" s="1" t="s">
        <v>28</v>
      </c>
      <c r="E2852">
        <v>164.7</v>
      </c>
      <c r="F2852">
        <v>161</v>
      </c>
      <c r="G2852">
        <v>157</v>
      </c>
      <c r="H2852" s="1" t="s">
        <v>192</v>
      </c>
    </row>
    <row r="2853" spans="1:8" x14ac:dyDescent="0.3">
      <c r="A2853">
        <v>2021</v>
      </c>
      <c r="B2853" t="s">
        <v>43</v>
      </c>
      <c r="C2853" t="s">
        <v>154</v>
      </c>
      <c r="D2853" s="1" t="s">
        <v>13</v>
      </c>
      <c r="E2853">
        <v>168.8</v>
      </c>
      <c r="F2853">
        <v>163.19999999999999</v>
      </c>
      <c r="G2853">
        <v>155.4</v>
      </c>
      <c r="H2853" s="1" t="s">
        <v>188</v>
      </c>
    </row>
    <row r="2854" spans="1:8" x14ac:dyDescent="0.3">
      <c r="A2854">
        <v>2021</v>
      </c>
      <c r="B2854" t="s">
        <v>43</v>
      </c>
      <c r="C2854" t="s">
        <v>154</v>
      </c>
      <c r="D2854" s="1" t="s">
        <v>7</v>
      </c>
      <c r="E2854">
        <v>198.8</v>
      </c>
      <c r="F2854">
        <v>190.6</v>
      </c>
      <c r="G2854">
        <v>176.6</v>
      </c>
      <c r="H2854" s="1" t="s">
        <v>188</v>
      </c>
    </row>
    <row r="2855" spans="1:8" x14ac:dyDescent="0.3">
      <c r="A2855">
        <v>2021</v>
      </c>
      <c r="B2855" t="s">
        <v>43</v>
      </c>
      <c r="C2855" t="s">
        <v>154</v>
      </c>
      <c r="D2855" s="1" t="s">
        <v>16</v>
      </c>
      <c r="E2855">
        <v>191.2</v>
      </c>
      <c r="F2855">
        <v>192.7</v>
      </c>
      <c r="G2855">
        <v>197</v>
      </c>
      <c r="H2855" s="1" t="s">
        <v>192</v>
      </c>
    </row>
    <row r="2856" spans="1:8" x14ac:dyDescent="0.3">
      <c r="A2856">
        <v>2021</v>
      </c>
      <c r="B2856" t="s">
        <v>43</v>
      </c>
      <c r="C2856" t="s">
        <v>154</v>
      </c>
      <c r="D2856" s="1" t="s">
        <v>27</v>
      </c>
      <c r="E2856">
        <v>161.1</v>
      </c>
      <c r="F2856">
        <v>160.80000000000001</v>
      </c>
      <c r="G2856">
        <v>160.30000000000001</v>
      </c>
      <c r="H2856" s="1" t="s">
        <v>192</v>
      </c>
    </row>
    <row r="2857" spans="1:8" x14ac:dyDescent="0.3">
      <c r="A2857">
        <v>2021</v>
      </c>
      <c r="B2857" t="s">
        <v>43</v>
      </c>
      <c r="C2857" t="s">
        <v>154</v>
      </c>
      <c r="D2857" s="1" t="s">
        <v>14</v>
      </c>
      <c r="E2857">
        <v>173.6</v>
      </c>
      <c r="F2857">
        <v>174.7</v>
      </c>
      <c r="G2857">
        <v>175.9</v>
      </c>
      <c r="H2857" s="1" t="s">
        <v>188</v>
      </c>
    </row>
    <row r="2858" spans="1:8" x14ac:dyDescent="0.3">
      <c r="A2858">
        <v>2021</v>
      </c>
      <c r="B2858" t="s">
        <v>43</v>
      </c>
      <c r="C2858" t="s">
        <v>154</v>
      </c>
      <c r="D2858" s="1" t="s">
        <v>10</v>
      </c>
      <c r="E2858">
        <v>165.2</v>
      </c>
      <c r="F2858">
        <v>165.2</v>
      </c>
      <c r="G2858">
        <v>165.3</v>
      </c>
      <c r="H2858" s="1" t="s">
        <v>188</v>
      </c>
    </row>
    <row r="2859" spans="1:8" x14ac:dyDescent="0.3">
      <c r="A2859">
        <v>2021</v>
      </c>
      <c r="B2859" t="s">
        <v>43</v>
      </c>
      <c r="C2859" t="s">
        <v>154</v>
      </c>
      <c r="D2859" s="1" t="s">
        <v>25</v>
      </c>
      <c r="E2859">
        <v>163.19999999999999</v>
      </c>
      <c r="F2859">
        <v>158.6</v>
      </c>
      <c r="G2859">
        <v>155.1</v>
      </c>
      <c r="H2859" s="1" t="s">
        <v>195</v>
      </c>
    </row>
    <row r="2860" spans="1:8" x14ac:dyDescent="0.3">
      <c r="A2860">
        <v>2021</v>
      </c>
      <c r="B2860" t="s">
        <v>43</v>
      </c>
      <c r="C2860" t="s">
        <v>154</v>
      </c>
      <c r="D2860" s="1" t="s">
        <v>12</v>
      </c>
      <c r="E2860">
        <v>170.6</v>
      </c>
      <c r="F2860">
        <v>169.3</v>
      </c>
      <c r="G2860">
        <v>166.8</v>
      </c>
      <c r="H2860" s="1" t="s">
        <v>188</v>
      </c>
    </row>
    <row r="2861" spans="1:8" x14ac:dyDescent="0.3">
      <c r="A2861">
        <v>2021</v>
      </c>
      <c r="B2861" t="s">
        <v>43</v>
      </c>
      <c r="C2861" t="s">
        <v>154</v>
      </c>
      <c r="D2861" s="1" t="s">
        <v>11</v>
      </c>
      <c r="E2861">
        <v>121.6</v>
      </c>
      <c r="F2861">
        <v>121.9</v>
      </c>
      <c r="G2861">
        <v>122.5</v>
      </c>
      <c r="H2861" s="1" t="s">
        <v>188</v>
      </c>
    </row>
    <row r="2862" spans="1:8" x14ac:dyDescent="0.3">
      <c r="A2862">
        <v>2021</v>
      </c>
      <c r="B2862" t="s">
        <v>43</v>
      </c>
      <c r="C2862" t="s">
        <v>154</v>
      </c>
      <c r="D2862" s="1" t="s">
        <v>24</v>
      </c>
      <c r="E2862">
        <v>159.5</v>
      </c>
      <c r="F2862">
        <v>155.69999999999999</v>
      </c>
      <c r="G2862">
        <v>152.19999999999999</v>
      </c>
      <c r="H2862" s="1" t="s">
        <v>191</v>
      </c>
    </row>
    <row r="2863" spans="1:8" x14ac:dyDescent="0.3">
      <c r="A2863">
        <v>2021</v>
      </c>
      <c r="B2863" t="s">
        <v>43</v>
      </c>
      <c r="C2863" t="s">
        <v>154</v>
      </c>
      <c r="D2863" s="1" t="s">
        <v>9</v>
      </c>
      <c r="E2863">
        <v>170.4</v>
      </c>
      <c r="F2863">
        <v>185.3</v>
      </c>
      <c r="G2863">
        <v>214.4</v>
      </c>
      <c r="H2863" s="1" t="s">
        <v>188</v>
      </c>
    </row>
    <row r="2864" spans="1:8" x14ac:dyDescent="0.3">
      <c r="A2864">
        <v>2021</v>
      </c>
      <c r="B2864" t="s">
        <v>42</v>
      </c>
      <c r="C2864" t="s">
        <v>155</v>
      </c>
      <c r="D2864" s="1" t="s">
        <v>3</v>
      </c>
      <c r="E2864">
        <v>145.4</v>
      </c>
      <c r="F2864">
        <v>146.6</v>
      </c>
      <c r="G2864">
        <v>149.30000000000001</v>
      </c>
      <c r="H2864" s="1" t="s">
        <v>188</v>
      </c>
    </row>
    <row r="2865" spans="1:8" x14ac:dyDescent="0.3">
      <c r="A2865">
        <v>2021</v>
      </c>
      <c r="B2865" t="s">
        <v>42</v>
      </c>
      <c r="C2865" t="s">
        <v>155</v>
      </c>
      <c r="D2865" s="1" t="s">
        <v>17</v>
      </c>
      <c r="E2865">
        <v>167.7</v>
      </c>
      <c r="F2865">
        <v>164.6</v>
      </c>
      <c r="G2865">
        <v>159.80000000000001</v>
      </c>
      <c r="H2865" s="1" t="s">
        <v>189</v>
      </c>
    </row>
    <row r="2866" spans="1:8" x14ac:dyDescent="0.3">
      <c r="A2866">
        <v>2021</v>
      </c>
      <c r="B2866" t="s">
        <v>42</v>
      </c>
      <c r="C2866" t="s">
        <v>155</v>
      </c>
      <c r="D2866" s="1" t="s">
        <v>19</v>
      </c>
      <c r="E2866">
        <v>167.1</v>
      </c>
      <c r="F2866">
        <v>163.30000000000001</v>
      </c>
      <c r="G2866">
        <v>157.4</v>
      </c>
      <c r="H2866" s="1" t="s">
        <v>189</v>
      </c>
    </row>
    <row r="2867" spans="1:8" x14ac:dyDescent="0.3">
      <c r="A2867">
        <v>2021</v>
      </c>
      <c r="B2867" t="s">
        <v>42</v>
      </c>
      <c r="C2867" t="s">
        <v>155</v>
      </c>
      <c r="D2867" s="1" t="s">
        <v>26</v>
      </c>
      <c r="E2867">
        <v>168.5</v>
      </c>
      <c r="F2867">
        <v>163.69999999999999</v>
      </c>
      <c r="G2867">
        <v>160.30000000000001</v>
      </c>
      <c r="H2867" s="1" t="s">
        <v>26</v>
      </c>
    </row>
    <row r="2868" spans="1:8" x14ac:dyDescent="0.3">
      <c r="A2868">
        <v>2021</v>
      </c>
      <c r="B2868" t="s">
        <v>42</v>
      </c>
      <c r="C2868" t="s">
        <v>155</v>
      </c>
      <c r="D2868" s="1" t="s">
        <v>5</v>
      </c>
      <c r="E2868">
        <v>172</v>
      </c>
      <c r="F2868">
        <v>172.8</v>
      </c>
      <c r="G2868">
        <v>174.1</v>
      </c>
      <c r="H2868" s="1" t="s">
        <v>188</v>
      </c>
    </row>
    <row r="2869" spans="1:8" x14ac:dyDescent="0.3">
      <c r="A2869">
        <v>2021</v>
      </c>
      <c r="B2869" t="s">
        <v>42</v>
      </c>
      <c r="C2869" t="s">
        <v>155</v>
      </c>
      <c r="D2869" s="1" t="s">
        <v>15</v>
      </c>
      <c r="E2869">
        <v>162.1</v>
      </c>
      <c r="F2869">
        <v>164</v>
      </c>
      <c r="G2869">
        <v>167.3</v>
      </c>
      <c r="H2869" s="1" t="s">
        <v>188</v>
      </c>
    </row>
    <row r="2870" spans="1:8" x14ac:dyDescent="0.3">
      <c r="A2870">
        <v>2021</v>
      </c>
      <c r="B2870" t="s">
        <v>42</v>
      </c>
      <c r="C2870" t="s">
        <v>155</v>
      </c>
      <c r="D2870" s="1" t="s">
        <v>18</v>
      </c>
      <c r="E2870">
        <v>163.6</v>
      </c>
      <c r="F2870">
        <v>155.30000000000001</v>
      </c>
      <c r="G2870">
        <v>143.6</v>
      </c>
      <c r="H2870" s="1" t="s">
        <v>189</v>
      </c>
    </row>
    <row r="2871" spans="1:8" x14ac:dyDescent="0.3">
      <c r="A2871">
        <v>2021</v>
      </c>
      <c r="B2871" t="s">
        <v>42</v>
      </c>
      <c r="C2871" t="s">
        <v>155</v>
      </c>
      <c r="D2871" s="1" t="s">
        <v>8</v>
      </c>
      <c r="E2871">
        <v>152.69999999999999</v>
      </c>
      <c r="F2871">
        <v>156.69999999999999</v>
      </c>
      <c r="G2871">
        <v>161.19999999999999</v>
      </c>
      <c r="H2871" s="1" t="s">
        <v>188</v>
      </c>
    </row>
    <row r="2872" spans="1:8" x14ac:dyDescent="0.3">
      <c r="A2872">
        <v>2021</v>
      </c>
      <c r="B2872" t="s">
        <v>42</v>
      </c>
      <c r="C2872" t="s">
        <v>155</v>
      </c>
      <c r="D2872" s="1" t="s">
        <v>21</v>
      </c>
      <c r="E2872">
        <v>163.69999999999999</v>
      </c>
      <c r="F2872">
        <v>162.6</v>
      </c>
      <c r="G2872">
        <v>160.80000000000001</v>
      </c>
      <c r="H2872" s="1" t="s">
        <v>190</v>
      </c>
    </row>
    <row r="2873" spans="1:8" x14ac:dyDescent="0.3">
      <c r="A2873">
        <v>2021</v>
      </c>
      <c r="B2873" t="s">
        <v>42</v>
      </c>
      <c r="C2873" t="s">
        <v>155</v>
      </c>
      <c r="D2873" s="1" t="s">
        <v>29</v>
      </c>
      <c r="E2873">
        <v>164</v>
      </c>
      <c r="F2873">
        <v>163.19999999999999</v>
      </c>
      <c r="G2873">
        <v>162.30000000000001</v>
      </c>
      <c r="H2873" s="1" t="s">
        <v>206</v>
      </c>
    </row>
    <row r="2874" spans="1:8" x14ac:dyDescent="0.3">
      <c r="A2874">
        <v>2021</v>
      </c>
      <c r="B2874" t="s">
        <v>42</v>
      </c>
      <c r="C2874" t="s">
        <v>155</v>
      </c>
      <c r="D2874" s="1" t="s">
        <v>23</v>
      </c>
      <c r="E2874">
        <v>171.9</v>
      </c>
      <c r="F2874">
        <v>168.4</v>
      </c>
      <c r="G2874">
        <v>162.80000000000001</v>
      </c>
      <c r="H2874" s="1" t="s">
        <v>23</v>
      </c>
    </row>
    <row r="2875" spans="1:8" x14ac:dyDescent="0.3">
      <c r="A2875">
        <v>2021</v>
      </c>
      <c r="B2875" t="s">
        <v>42</v>
      </c>
      <c r="C2875" t="s">
        <v>155</v>
      </c>
      <c r="D2875" s="1" t="s">
        <v>22</v>
      </c>
      <c r="E2875">
        <v>161.30000000000001</v>
      </c>
      <c r="F2875">
        <v>157.5</v>
      </c>
      <c r="G2875">
        <v>153.30000000000001</v>
      </c>
      <c r="H2875" s="1" t="s">
        <v>20</v>
      </c>
    </row>
    <row r="2876" spans="1:8" x14ac:dyDescent="0.3">
      <c r="A2876">
        <v>2021</v>
      </c>
      <c r="B2876" t="s">
        <v>42</v>
      </c>
      <c r="C2876" t="s">
        <v>155</v>
      </c>
      <c r="D2876" s="1" t="s">
        <v>20</v>
      </c>
      <c r="E2876">
        <v>0</v>
      </c>
      <c r="F2876">
        <v>162.1</v>
      </c>
      <c r="G2876">
        <v>162.1</v>
      </c>
      <c r="H2876" s="1" t="s">
        <v>20</v>
      </c>
    </row>
    <row r="2877" spans="1:8" x14ac:dyDescent="0.3">
      <c r="A2877">
        <v>2021</v>
      </c>
      <c r="B2877" t="s">
        <v>42</v>
      </c>
      <c r="C2877" t="s">
        <v>155</v>
      </c>
      <c r="D2877" s="1" t="s">
        <v>4</v>
      </c>
      <c r="E2877">
        <v>202.1</v>
      </c>
      <c r="F2877">
        <v>204</v>
      </c>
      <c r="G2877">
        <v>207.4</v>
      </c>
      <c r="H2877" s="1" t="s">
        <v>188</v>
      </c>
    </row>
    <row r="2878" spans="1:8" x14ac:dyDescent="0.3">
      <c r="A2878">
        <v>2021</v>
      </c>
      <c r="B2878" t="s">
        <v>42</v>
      </c>
      <c r="C2878" t="s">
        <v>155</v>
      </c>
      <c r="D2878" s="1" t="s">
        <v>6</v>
      </c>
      <c r="E2878">
        <v>158</v>
      </c>
      <c r="F2878">
        <v>158.4</v>
      </c>
      <c r="G2878">
        <v>159.1</v>
      </c>
      <c r="H2878" s="1" t="s">
        <v>188</v>
      </c>
    </row>
    <row r="2879" spans="1:8" x14ac:dyDescent="0.3">
      <c r="A2879">
        <v>2021</v>
      </c>
      <c r="B2879" t="s">
        <v>42</v>
      </c>
      <c r="C2879" t="s">
        <v>155</v>
      </c>
      <c r="D2879" s="1" t="s">
        <v>28</v>
      </c>
      <c r="E2879">
        <v>163.80000000000001</v>
      </c>
      <c r="F2879">
        <v>160</v>
      </c>
      <c r="G2879">
        <v>156</v>
      </c>
      <c r="H2879" s="1" t="s">
        <v>192</v>
      </c>
    </row>
    <row r="2880" spans="1:8" x14ac:dyDescent="0.3">
      <c r="A2880">
        <v>2021</v>
      </c>
      <c r="B2880" t="s">
        <v>42</v>
      </c>
      <c r="C2880" t="s">
        <v>155</v>
      </c>
      <c r="D2880" s="1" t="s">
        <v>13</v>
      </c>
      <c r="E2880">
        <v>168.3</v>
      </c>
      <c r="F2880">
        <v>162.69999999999999</v>
      </c>
      <c r="G2880">
        <v>154.80000000000001</v>
      </c>
      <c r="H2880" s="1" t="s">
        <v>188</v>
      </c>
    </row>
    <row r="2881" spans="1:8" x14ac:dyDescent="0.3">
      <c r="A2881">
        <v>2021</v>
      </c>
      <c r="B2881" t="s">
        <v>42</v>
      </c>
      <c r="C2881" t="s">
        <v>155</v>
      </c>
      <c r="D2881" s="1" t="s">
        <v>7</v>
      </c>
      <c r="E2881">
        <v>195.5</v>
      </c>
      <c r="F2881">
        <v>188</v>
      </c>
      <c r="G2881">
        <v>175</v>
      </c>
      <c r="H2881" s="1" t="s">
        <v>188</v>
      </c>
    </row>
    <row r="2882" spans="1:8" x14ac:dyDescent="0.3">
      <c r="A2882">
        <v>2021</v>
      </c>
      <c r="B2882" t="s">
        <v>42</v>
      </c>
      <c r="C2882" t="s">
        <v>155</v>
      </c>
      <c r="D2882" s="1" t="s">
        <v>16</v>
      </c>
      <c r="E2882">
        <v>190.5</v>
      </c>
      <c r="F2882">
        <v>192.1</v>
      </c>
      <c r="G2882">
        <v>196.5</v>
      </c>
      <c r="H2882" s="1" t="s">
        <v>192</v>
      </c>
    </row>
    <row r="2883" spans="1:8" x14ac:dyDescent="0.3">
      <c r="A2883">
        <v>2021</v>
      </c>
      <c r="B2883" t="s">
        <v>42</v>
      </c>
      <c r="C2883" t="s">
        <v>155</v>
      </c>
      <c r="D2883" s="1" t="s">
        <v>27</v>
      </c>
      <c r="E2883">
        <v>160.19999999999999</v>
      </c>
      <c r="F2883">
        <v>160</v>
      </c>
      <c r="G2883">
        <v>159.6</v>
      </c>
      <c r="H2883" s="1" t="s">
        <v>192</v>
      </c>
    </row>
    <row r="2884" spans="1:8" x14ac:dyDescent="0.3">
      <c r="A2884">
        <v>2021</v>
      </c>
      <c r="B2884" t="s">
        <v>42</v>
      </c>
      <c r="C2884" t="s">
        <v>155</v>
      </c>
      <c r="D2884" s="1" t="s">
        <v>14</v>
      </c>
      <c r="E2884">
        <v>172.8</v>
      </c>
      <c r="F2884">
        <v>173.9</v>
      </c>
      <c r="G2884">
        <v>175.1</v>
      </c>
      <c r="H2884" s="1" t="s">
        <v>188</v>
      </c>
    </row>
    <row r="2885" spans="1:8" x14ac:dyDescent="0.3">
      <c r="A2885">
        <v>2021</v>
      </c>
      <c r="B2885" t="s">
        <v>42</v>
      </c>
      <c r="C2885" t="s">
        <v>155</v>
      </c>
      <c r="D2885" s="1" t="s">
        <v>10</v>
      </c>
      <c r="E2885">
        <v>163.9</v>
      </c>
      <c r="F2885">
        <v>164.1</v>
      </c>
      <c r="G2885">
        <v>164.5</v>
      </c>
      <c r="H2885" s="1" t="s">
        <v>188</v>
      </c>
    </row>
    <row r="2886" spans="1:8" x14ac:dyDescent="0.3">
      <c r="A2886">
        <v>2021</v>
      </c>
      <c r="B2886" t="s">
        <v>42</v>
      </c>
      <c r="C2886" t="s">
        <v>155</v>
      </c>
      <c r="D2886" s="1" t="s">
        <v>25</v>
      </c>
      <c r="E2886">
        <v>162.69999999999999</v>
      </c>
      <c r="F2886">
        <v>157.69999999999999</v>
      </c>
      <c r="G2886">
        <v>153.9</v>
      </c>
      <c r="H2886" s="1" t="s">
        <v>195</v>
      </c>
    </row>
    <row r="2887" spans="1:8" x14ac:dyDescent="0.3">
      <c r="A2887">
        <v>2021</v>
      </c>
      <c r="B2887" t="s">
        <v>42</v>
      </c>
      <c r="C2887" t="s">
        <v>155</v>
      </c>
      <c r="D2887" s="1" t="s">
        <v>12</v>
      </c>
      <c r="E2887">
        <v>170.1</v>
      </c>
      <c r="F2887">
        <v>168.8</v>
      </c>
      <c r="G2887">
        <v>166.2</v>
      </c>
      <c r="H2887" s="1" t="s">
        <v>188</v>
      </c>
    </row>
    <row r="2888" spans="1:8" x14ac:dyDescent="0.3">
      <c r="A2888">
        <v>2021</v>
      </c>
      <c r="B2888" t="s">
        <v>42</v>
      </c>
      <c r="C2888" t="s">
        <v>155</v>
      </c>
      <c r="D2888" s="1" t="s">
        <v>11</v>
      </c>
      <c r="E2888">
        <v>119.3</v>
      </c>
      <c r="F2888">
        <v>119.7</v>
      </c>
      <c r="G2888">
        <v>120.4</v>
      </c>
      <c r="H2888" s="1" t="s">
        <v>188</v>
      </c>
    </row>
    <row r="2889" spans="1:8" x14ac:dyDescent="0.3">
      <c r="A2889">
        <v>2021</v>
      </c>
      <c r="B2889" t="s">
        <v>42</v>
      </c>
      <c r="C2889" t="s">
        <v>155</v>
      </c>
      <c r="D2889" s="1" t="s">
        <v>24</v>
      </c>
      <c r="E2889">
        <v>157.80000000000001</v>
      </c>
      <c r="F2889">
        <v>154</v>
      </c>
      <c r="G2889">
        <v>150.5</v>
      </c>
      <c r="H2889" s="1" t="s">
        <v>191</v>
      </c>
    </row>
    <row r="2890" spans="1:8" x14ac:dyDescent="0.3">
      <c r="A2890">
        <v>2021</v>
      </c>
      <c r="B2890" t="s">
        <v>42</v>
      </c>
      <c r="C2890" t="s">
        <v>155</v>
      </c>
      <c r="D2890" s="1" t="s">
        <v>9</v>
      </c>
      <c r="E2890">
        <v>151.4</v>
      </c>
      <c r="F2890">
        <v>162.30000000000001</v>
      </c>
      <c r="G2890">
        <v>183.5</v>
      </c>
      <c r="H2890" s="1" t="s">
        <v>188</v>
      </c>
    </row>
    <row r="2891" spans="1:8" x14ac:dyDescent="0.3">
      <c r="A2891">
        <v>2022</v>
      </c>
      <c r="B2891" t="s">
        <v>37</v>
      </c>
      <c r="C2891" t="s">
        <v>156</v>
      </c>
      <c r="D2891" s="1" t="s">
        <v>3</v>
      </c>
      <c r="E2891">
        <v>151.80000000000001</v>
      </c>
      <c r="F2891">
        <v>152.9</v>
      </c>
      <c r="G2891">
        <v>155.4</v>
      </c>
      <c r="H2891" s="1" t="s">
        <v>188</v>
      </c>
    </row>
    <row r="2892" spans="1:8" x14ac:dyDescent="0.3">
      <c r="A2892">
        <v>2022</v>
      </c>
      <c r="B2892" t="s">
        <v>37</v>
      </c>
      <c r="C2892" t="s">
        <v>156</v>
      </c>
      <c r="D2892" s="1" t="s">
        <v>17</v>
      </c>
      <c r="E2892">
        <v>177.5</v>
      </c>
      <c r="F2892">
        <v>173.9</v>
      </c>
      <c r="G2892">
        <v>168.4</v>
      </c>
      <c r="H2892" s="1" t="s">
        <v>189</v>
      </c>
    </row>
    <row r="2893" spans="1:8" x14ac:dyDescent="0.3">
      <c r="A2893">
        <v>2022</v>
      </c>
      <c r="B2893" t="s">
        <v>37</v>
      </c>
      <c r="C2893" t="s">
        <v>156</v>
      </c>
      <c r="D2893" s="1" t="s">
        <v>19</v>
      </c>
      <c r="E2893">
        <v>177.1</v>
      </c>
      <c r="F2893">
        <v>172.8</v>
      </c>
      <c r="G2893">
        <v>166.3</v>
      </c>
      <c r="H2893" s="1" t="s">
        <v>189</v>
      </c>
    </row>
    <row r="2894" spans="1:8" x14ac:dyDescent="0.3">
      <c r="A2894">
        <v>2022</v>
      </c>
      <c r="B2894" t="s">
        <v>37</v>
      </c>
      <c r="C2894" t="s">
        <v>156</v>
      </c>
      <c r="D2894" s="1" t="s">
        <v>26</v>
      </c>
      <c r="E2894">
        <v>170.9</v>
      </c>
      <c r="F2894">
        <v>166.9</v>
      </c>
      <c r="G2894">
        <v>164</v>
      </c>
      <c r="H2894" s="1" t="s">
        <v>26</v>
      </c>
    </row>
    <row r="2895" spans="1:8" x14ac:dyDescent="0.3">
      <c r="A2895">
        <v>2022</v>
      </c>
      <c r="B2895" t="s">
        <v>37</v>
      </c>
      <c r="C2895" t="s">
        <v>156</v>
      </c>
      <c r="D2895" s="1" t="s">
        <v>5</v>
      </c>
      <c r="E2895">
        <v>164.5</v>
      </c>
      <c r="F2895">
        <v>164.5</v>
      </c>
      <c r="G2895">
        <v>164.6</v>
      </c>
      <c r="H2895" s="1" t="s">
        <v>188</v>
      </c>
    </row>
    <row r="2896" spans="1:8" x14ac:dyDescent="0.3">
      <c r="A2896">
        <v>2022</v>
      </c>
      <c r="B2896" t="s">
        <v>37</v>
      </c>
      <c r="C2896" t="s">
        <v>156</v>
      </c>
      <c r="D2896" s="1" t="s">
        <v>15</v>
      </c>
      <c r="E2896">
        <v>168.6</v>
      </c>
      <c r="F2896">
        <v>170.8</v>
      </c>
      <c r="G2896">
        <v>174.5</v>
      </c>
      <c r="H2896" s="1" t="s">
        <v>188</v>
      </c>
    </row>
    <row r="2897" spans="1:8" x14ac:dyDescent="0.3">
      <c r="A2897">
        <v>2022</v>
      </c>
      <c r="B2897" t="s">
        <v>37</v>
      </c>
      <c r="C2897" t="s">
        <v>156</v>
      </c>
      <c r="D2897" s="1" t="s">
        <v>18</v>
      </c>
      <c r="E2897">
        <v>175.1</v>
      </c>
      <c r="F2897">
        <v>166.5</v>
      </c>
      <c r="G2897">
        <v>154.5</v>
      </c>
      <c r="H2897" s="1" t="s">
        <v>189</v>
      </c>
    </row>
    <row r="2898" spans="1:8" x14ac:dyDescent="0.3">
      <c r="A2898">
        <v>2022</v>
      </c>
      <c r="B2898" t="s">
        <v>37</v>
      </c>
      <c r="C2898" t="s">
        <v>156</v>
      </c>
      <c r="D2898" s="1" t="s">
        <v>8</v>
      </c>
      <c r="E2898">
        <v>169.7</v>
      </c>
      <c r="F2898">
        <v>172.6</v>
      </c>
      <c r="G2898">
        <v>175.9</v>
      </c>
      <c r="H2898" s="1" t="s">
        <v>188</v>
      </c>
    </row>
    <row r="2899" spans="1:8" x14ac:dyDescent="0.3">
      <c r="A2899">
        <v>2022</v>
      </c>
      <c r="B2899" t="s">
        <v>37</v>
      </c>
      <c r="C2899" t="s">
        <v>156</v>
      </c>
      <c r="D2899" s="1" t="s">
        <v>21</v>
      </c>
      <c r="E2899">
        <v>173.3</v>
      </c>
      <c r="F2899">
        <v>172.2</v>
      </c>
      <c r="G2899">
        <v>170.5</v>
      </c>
      <c r="H2899" s="1" t="s">
        <v>190</v>
      </c>
    </row>
    <row r="2900" spans="1:8" x14ac:dyDescent="0.3">
      <c r="A2900">
        <v>2022</v>
      </c>
      <c r="B2900" t="s">
        <v>37</v>
      </c>
      <c r="C2900" t="s">
        <v>156</v>
      </c>
      <c r="D2900" s="1" t="s">
        <v>29</v>
      </c>
      <c r="E2900">
        <v>170.8</v>
      </c>
      <c r="F2900">
        <v>170.1</v>
      </c>
      <c r="G2900">
        <v>169.2</v>
      </c>
      <c r="H2900" s="1" t="s">
        <v>206</v>
      </c>
    </row>
    <row r="2901" spans="1:8" x14ac:dyDescent="0.3">
      <c r="A2901">
        <v>2022</v>
      </c>
      <c r="B2901" t="s">
        <v>37</v>
      </c>
      <c r="C2901" t="s">
        <v>156</v>
      </c>
      <c r="D2901" s="1" t="s">
        <v>23</v>
      </c>
      <c r="E2901">
        <v>177</v>
      </c>
      <c r="F2901">
        <v>174</v>
      </c>
      <c r="G2901">
        <v>169</v>
      </c>
      <c r="H2901" s="1" t="s">
        <v>23</v>
      </c>
    </row>
    <row r="2902" spans="1:8" x14ac:dyDescent="0.3">
      <c r="A2902">
        <v>2022</v>
      </c>
      <c r="B2902" t="s">
        <v>37</v>
      </c>
      <c r="C2902" t="s">
        <v>156</v>
      </c>
      <c r="D2902" s="1" t="s">
        <v>22</v>
      </c>
      <c r="E2902">
        <v>167.7</v>
      </c>
      <c r="F2902">
        <v>164</v>
      </c>
      <c r="G2902">
        <v>159.80000000000001</v>
      </c>
      <c r="H2902" s="1" t="s">
        <v>20</v>
      </c>
    </row>
    <row r="2903" spans="1:8" x14ac:dyDescent="0.3">
      <c r="A2903">
        <v>2022</v>
      </c>
      <c r="B2903" t="s">
        <v>37</v>
      </c>
      <c r="C2903" t="s">
        <v>156</v>
      </c>
      <c r="D2903" s="1" t="s">
        <v>20</v>
      </c>
      <c r="E2903">
        <v>0</v>
      </c>
      <c r="F2903">
        <v>167</v>
      </c>
      <c r="G2903">
        <v>167</v>
      </c>
      <c r="H2903" s="1" t="s">
        <v>20</v>
      </c>
    </row>
    <row r="2904" spans="1:8" x14ac:dyDescent="0.3">
      <c r="A2904">
        <v>2022</v>
      </c>
      <c r="B2904" t="s">
        <v>37</v>
      </c>
      <c r="C2904" t="s">
        <v>156</v>
      </c>
      <c r="D2904" s="1" t="s">
        <v>4</v>
      </c>
      <c r="E2904">
        <v>209.7</v>
      </c>
      <c r="F2904">
        <v>211.8</v>
      </c>
      <c r="G2904">
        <v>215.8</v>
      </c>
      <c r="H2904" s="1" t="s">
        <v>188</v>
      </c>
    </row>
    <row r="2905" spans="1:8" x14ac:dyDescent="0.3">
      <c r="A2905">
        <v>2022</v>
      </c>
      <c r="B2905" t="s">
        <v>37</v>
      </c>
      <c r="C2905" t="s">
        <v>156</v>
      </c>
      <c r="D2905" s="1" t="s">
        <v>6</v>
      </c>
      <c r="E2905">
        <v>163.80000000000001</v>
      </c>
      <c r="F2905">
        <v>163.9</v>
      </c>
      <c r="G2905">
        <v>164.2</v>
      </c>
      <c r="H2905" s="1" t="s">
        <v>188</v>
      </c>
    </row>
    <row r="2906" spans="1:8" x14ac:dyDescent="0.3">
      <c r="A2906">
        <v>2022</v>
      </c>
      <c r="B2906" t="s">
        <v>37</v>
      </c>
      <c r="C2906" t="s">
        <v>156</v>
      </c>
      <c r="D2906" s="1" t="s">
        <v>28</v>
      </c>
      <c r="E2906">
        <v>170.2</v>
      </c>
      <c r="F2906">
        <v>166.8</v>
      </c>
      <c r="G2906">
        <v>163.1</v>
      </c>
      <c r="H2906" s="1" t="s">
        <v>192</v>
      </c>
    </row>
    <row r="2907" spans="1:8" x14ac:dyDescent="0.3">
      <c r="A2907">
        <v>2022</v>
      </c>
      <c r="B2907" t="s">
        <v>37</v>
      </c>
      <c r="C2907" t="s">
        <v>156</v>
      </c>
      <c r="D2907" s="1" t="s">
        <v>13</v>
      </c>
      <c r="E2907">
        <v>172.4</v>
      </c>
      <c r="F2907">
        <v>166.2</v>
      </c>
      <c r="G2907">
        <v>157.5</v>
      </c>
      <c r="H2907" s="1" t="s">
        <v>188</v>
      </c>
    </row>
    <row r="2908" spans="1:8" x14ac:dyDescent="0.3">
      <c r="A2908">
        <v>2022</v>
      </c>
      <c r="B2908" t="s">
        <v>37</v>
      </c>
      <c r="C2908" t="s">
        <v>156</v>
      </c>
      <c r="D2908" s="1" t="s">
        <v>7</v>
      </c>
      <c r="E2908">
        <v>207.4</v>
      </c>
      <c r="F2908">
        <v>199.5</v>
      </c>
      <c r="G2908">
        <v>186</v>
      </c>
      <c r="H2908" s="1" t="s">
        <v>188</v>
      </c>
    </row>
    <row r="2909" spans="1:8" x14ac:dyDescent="0.3">
      <c r="A2909">
        <v>2022</v>
      </c>
      <c r="B2909" t="s">
        <v>37</v>
      </c>
      <c r="C2909" t="s">
        <v>156</v>
      </c>
      <c r="D2909" s="1" t="s">
        <v>16</v>
      </c>
      <c r="E2909">
        <v>192.8</v>
      </c>
      <c r="F2909">
        <v>193.9</v>
      </c>
      <c r="G2909">
        <v>197.1</v>
      </c>
      <c r="H2909" s="1" t="s">
        <v>192</v>
      </c>
    </row>
    <row r="2910" spans="1:8" x14ac:dyDescent="0.3">
      <c r="A2910">
        <v>2022</v>
      </c>
      <c r="B2910" t="s">
        <v>37</v>
      </c>
      <c r="C2910" t="s">
        <v>156</v>
      </c>
      <c r="D2910" s="1" t="s">
        <v>27</v>
      </c>
      <c r="E2910">
        <v>169</v>
      </c>
      <c r="F2910">
        <v>168.8</v>
      </c>
      <c r="G2910">
        <v>168.4</v>
      </c>
      <c r="H2910" s="1" t="s">
        <v>192</v>
      </c>
    </row>
    <row r="2911" spans="1:8" x14ac:dyDescent="0.3">
      <c r="A2911">
        <v>2022</v>
      </c>
      <c r="B2911" t="s">
        <v>37</v>
      </c>
      <c r="C2911" t="s">
        <v>156</v>
      </c>
      <c r="D2911" s="1" t="s">
        <v>14</v>
      </c>
      <c r="E2911">
        <v>178.9</v>
      </c>
      <c r="F2911">
        <v>180.9</v>
      </c>
      <c r="G2911">
        <v>183.3</v>
      </c>
      <c r="H2911" s="1" t="s">
        <v>188</v>
      </c>
    </row>
    <row r="2912" spans="1:8" x14ac:dyDescent="0.3">
      <c r="A2912">
        <v>2022</v>
      </c>
      <c r="B2912" t="s">
        <v>37</v>
      </c>
      <c r="C2912" t="s">
        <v>156</v>
      </c>
      <c r="D2912" s="1" t="s">
        <v>10</v>
      </c>
      <c r="E2912">
        <v>165.1</v>
      </c>
      <c r="F2912">
        <v>164.7</v>
      </c>
      <c r="G2912">
        <v>164</v>
      </c>
      <c r="H2912" s="1" t="s">
        <v>188</v>
      </c>
    </row>
    <row r="2913" spans="1:8" x14ac:dyDescent="0.3">
      <c r="A2913">
        <v>2022</v>
      </c>
      <c r="B2913" t="s">
        <v>37</v>
      </c>
      <c r="C2913" t="s">
        <v>156</v>
      </c>
      <c r="D2913" s="1" t="s">
        <v>25</v>
      </c>
      <c r="E2913">
        <v>167.2</v>
      </c>
      <c r="F2913">
        <v>164.4</v>
      </c>
      <c r="G2913">
        <v>162.19999999999999</v>
      </c>
      <c r="H2913" s="1" t="s">
        <v>195</v>
      </c>
    </row>
    <row r="2914" spans="1:8" x14ac:dyDescent="0.3">
      <c r="A2914">
        <v>2022</v>
      </c>
      <c r="B2914" t="s">
        <v>37</v>
      </c>
      <c r="C2914" t="s">
        <v>156</v>
      </c>
      <c r="D2914" s="1" t="s">
        <v>12</v>
      </c>
      <c r="E2914">
        <v>182.9</v>
      </c>
      <c r="F2914">
        <v>181.3</v>
      </c>
      <c r="G2914">
        <v>178</v>
      </c>
      <c r="H2914" s="1" t="s">
        <v>188</v>
      </c>
    </row>
    <row r="2915" spans="1:8" x14ac:dyDescent="0.3">
      <c r="A2915">
        <v>2022</v>
      </c>
      <c r="B2915" t="s">
        <v>37</v>
      </c>
      <c r="C2915" t="s">
        <v>156</v>
      </c>
      <c r="D2915" s="1" t="s">
        <v>11</v>
      </c>
      <c r="E2915">
        <v>118.2</v>
      </c>
      <c r="F2915">
        <v>119</v>
      </c>
      <c r="G2915">
        <v>120.5</v>
      </c>
      <c r="H2915" s="1" t="s">
        <v>188</v>
      </c>
    </row>
    <row r="2916" spans="1:8" x14ac:dyDescent="0.3">
      <c r="A2916">
        <v>2022</v>
      </c>
      <c r="B2916" t="s">
        <v>37</v>
      </c>
      <c r="C2916" t="s">
        <v>156</v>
      </c>
      <c r="D2916" s="1" t="s">
        <v>24</v>
      </c>
      <c r="E2916">
        <v>166.2</v>
      </c>
      <c r="F2916">
        <v>162.6</v>
      </c>
      <c r="G2916">
        <v>159.30000000000001</v>
      </c>
      <c r="H2916" s="1" t="s">
        <v>191</v>
      </c>
    </row>
    <row r="2917" spans="1:8" x14ac:dyDescent="0.3">
      <c r="A2917">
        <v>2022</v>
      </c>
      <c r="B2917" t="s">
        <v>37</v>
      </c>
      <c r="C2917" t="s">
        <v>156</v>
      </c>
      <c r="D2917" s="1" t="s">
        <v>9</v>
      </c>
      <c r="E2917">
        <v>153.6</v>
      </c>
      <c r="F2917">
        <v>166.2</v>
      </c>
      <c r="G2917">
        <v>190.7</v>
      </c>
      <c r="H2917" s="1" t="s">
        <v>188</v>
      </c>
    </row>
    <row r="2918" spans="1:8" x14ac:dyDescent="0.3">
      <c r="A2918">
        <v>2022</v>
      </c>
      <c r="B2918" t="s">
        <v>41</v>
      </c>
      <c r="C2918" t="s">
        <v>157</v>
      </c>
      <c r="D2918" s="1" t="s">
        <v>3</v>
      </c>
      <c r="E2918">
        <v>159.5</v>
      </c>
      <c r="F2918">
        <v>160.30000000000001</v>
      </c>
      <c r="G2918">
        <v>162.1</v>
      </c>
      <c r="H2918" s="1" t="s">
        <v>188</v>
      </c>
    </row>
    <row r="2919" spans="1:8" x14ac:dyDescent="0.3">
      <c r="A2919">
        <v>2022</v>
      </c>
      <c r="B2919" t="s">
        <v>41</v>
      </c>
      <c r="C2919" t="s">
        <v>157</v>
      </c>
      <c r="D2919" s="1" t="s">
        <v>17</v>
      </c>
      <c r="E2919">
        <v>183.2</v>
      </c>
      <c r="F2919">
        <v>179.5</v>
      </c>
      <c r="G2919">
        <v>173.7</v>
      </c>
      <c r="H2919" s="1" t="s">
        <v>189</v>
      </c>
    </row>
    <row r="2920" spans="1:8" x14ac:dyDescent="0.3">
      <c r="A2920">
        <v>2022</v>
      </c>
      <c r="B2920" t="s">
        <v>41</v>
      </c>
      <c r="C2920" t="s">
        <v>157</v>
      </c>
      <c r="D2920" s="1" t="s">
        <v>19</v>
      </c>
      <c r="E2920">
        <v>183</v>
      </c>
      <c r="F2920">
        <v>178.5</v>
      </c>
      <c r="G2920">
        <v>171.6</v>
      </c>
      <c r="H2920" s="1" t="s">
        <v>189</v>
      </c>
    </row>
    <row r="2921" spans="1:8" x14ac:dyDescent="0.3">
      <c r="A2921">
        <v>2022</v>
      </c>
      <c r="B2921" t="s">
        <v>41</v>
      </c>
      <c r="C2921" t="s">
        <v>157</v>
      </c>
      <c r="D2921" s="1" t="s">
        <v>26</v>
      </c>
      <c r="E2921">
        <v>175.7</v>
      </c>
      <c r="F2921">
        <v>172.3</v>
      </c>
      <c r="G2921">
        <v>169.9</v>
      </c>
      <c r="H2921" s="1" t="s">
        <v>26</v>
      </c>
    </row>
    <row r="2922" spans="1:8" x14ac:dyDescent="0.3">
      <c r="A2922">
        <v>2022</v>
      </c>
      <c r="B2922" t="s">
        <v>41</v>
      </c>
      <c r="C2922" t="s">
        <v>157</v>
      </c>
      <c r="D2922" s="1" t="s">
        <v>5</v>
      </c>
      <c r="E2922">
        <v>168.3</v>
      </c>
      <c r="F2922">
        <v>169.2</v>
      </c>
      <c r="G2922">
        <v>170.6</v>
      </c>
      <c r="H2922" s="1" t="s">
        <v>188</v>
      </c>
    </row>
    <row r="2923" spans="1:8" x14ac:dyDescent="0.3">
      <c r="A2923">
        <v>2022</v>
      </c>
      <c r="B2923" t="s">
        <v>41</v>
      </c>
      <c r="C2923" t="s">
        <v>157</v>
      </c>
      <c r="D2923" s="1" t="s">
        <v>15</v>
      </c>
      <c r="E2923">
        <v>173.9</v>
      </c>
      <c r="F2923">
        <v>176.3</v>
      </c>
      <c r="G2923">
        <v>180.4</v>
      </c>
      <c r="H2923" s="1" t="s">
        <v>188</v>
      </c>
    </row>
    <row r="2924" spans="1:8" x14ac:dyDescent="0.3">
      <c r="A2924">
        <v>2022</v>
      </c>
      <c r="B2924" t="s">
        <v>41</v>
      </c>
      <c r="C2924" t="s">
        <v>157</v>
      </c>
      <c r="D2924" s="1" t="s">
        <v>18</v>
      </c>
      <c r="E2924">
        <v>181.7</v>
      </c>
      <c r="F2924">
        <v>172.7</v>
      </c>
      <c r="G2924">
        <v>160</v>
      </c>
      <c r="H2924" s="1" t="s">
        <v>189</v>
      </c>
    </row>
    <row r="2925" spans="1:8" x14ac:dyDescent="0.3">
      <c r="A2925">
        <v>2022</v>
      </c>
      <c r="B2925" t="s">
        <v>41</v>
      </c>
      <c r="C2925" t="s">
        <v>157</v>
      </c>
      <c r="D2925" s="1" t="s">
        <v>8</v>
      </c>
      <c r="E2925">
        <v>169.2</v>
      </c>
      <c r="F2925">
        <v>172.9</v>
      </c>
      <c r="G2925">
        <v>177.1</v>
      </c>
      <c r="H2925" s="1" t="s">
        <v>188</v>
      </c>
    </row>
    <row r="2926" spans="1:8" x14ac:dyDescent="0.3">
      <c r="A2926">
        <v>2022</v>
      </c>
      <c r="B2926" t="s">
        <v>41</v>
      </c>
      <c r="C2926" t="s">
        <v>157</v>
      </c>
      <c r="D2926" s="1" t="s">
        <v>21</v>
      </c>
      <c r="E2926">
        <v>179.1</v>
      </c>
      <c r="F2926">
        <v>178.8</v>
      </c>
      <c r="G2926">
        <v>178.4</v>
      </c>
      <c r="H2926" s="1" t="s">
        <v>190</v>
      </c>
    </row>
    <row r="2927" spans="1:8" x14ac:dyDescent="0.3">
      <c r="A2927">
        <v>2022</v>
      </c>
      <c r="B2927" t="s">
        <v>41</v>
      </c>
      <c r="C2927" t="s">
        <v>157</v>
      </c>
      <c r="D2927" s="1" t="s">
        <v>29</v>
      </c>
      <c r="E2927">
        <v>175.3</v>
      </c>
      <c r="F2927">
        <v>174.3</v>
      </c>
      <c r="G2927">
        <v>173.1</v>
      </c>
      <c r="H2927" s="1" t="s">
        <v>206</v>
      </c>
    </row>
    <row r="2928" spans="1:8" x14ac:dyDescent="0.3">
      <c r="A2928">
        <v>2022</v>
      </c>
      <c r="B2928" t="s">
        <v>41</v>
      </c>
      <c r="C2928" t="s">
        <v>157</v>
      </c>
      <c r="D2928" s="1" t="s">
        <v>23</v>
      </c>
      <c r="E2928">
        <v>179.4</v>
      </c>
      <c r="F2928">
        <v>176.8</v>
      </c>
      <c r="G2928">
        <v>172.6</v>
      </c>
      <c r="H2928" s="1" t="s">
        <v>23</v>
      </c>
    </row>
    <row r="2929" spans="1:8" x14ac:dyDescent="0.3">
      <c r="A2929">
        <v>2022</v>
      </c>
      <c r="B2929" t="s">
        <v>41</v>
      </c>
      <c r="C2929" t="s">
        <v>157</v>
      </c>
      <c r="D2929" s="1" t="s">
        <v>22</v>
      </c>
      <c r="E2929">
        <v>172.3</v>
      </c>
      <c r="F2929">
        <v>168.5</v>
      </c>
      <c r="G2929">
        <v>164.2</v>
      </c>
      <c r="H2929" s="1" t="s">
        <v>20</v>
      </c>
    </row>
    <row r="2930" spans="1:8" x14ac:dyDescent="0.3">
      <c r="A2930">
        <v>2022</v>
      </c>
      <c r="B2930" t="s">
        <v>41</v>
      </c>
      <c r="C2930" t="s">
        <v>157</v>
      </c>
      <c r="D2930" s="1" t="s">
        <v>20</v>
      </c>
      <c r="E2930">
        <v>0</v>
      </c>
      <c r="F2930">
        <v>169</v>
      </c>
      <c r="G2930">
        <v>169</v>
      </c>
      <c r="H2930" s="1" t="s">
        <v>20</v>
      </c>
    </row>
    <row r="2931" spans="1:8" x14ac:dyDescent="0.3">
      <c r="A2931">
        <v>2022</v>
      </c>
      <c r="B2931" t="s">
        <v>41</v>
      </c>
      <c r="C2931" t="s">
        <v>157</v>
      </c>
      <c r="D2931" s="1" t="s">
        <v>4</v>
      </c>
      <c r="E2931">
        <v>204.1</v>
      </c>
      <c r="F2931">
        <v>206.5</v>
      </c>
      <c r="G2931">
        <v>210.9</v>
      </c>
      <c r="H2931" s="1" t="s">
        <v>188</v>
      </c>
    </row>
    <row r="2932" spans="1:8" x14ac:dyDescent="0.3">
      <c r="A2932">
        <v>2022</v>
      </c>
      <c r="B2932" t="s">
        <v>41</v>
      </c>
      <c r="C2932" t="s">
        <v>157</v>
      </c>
      <c r="D2932" s="1" t="s">
        <v>6</v>
      </c>
      <c r="E2932">
        <v>167.9</v>
      </c>
      <c r="F2932">
        <v>168.1</v>
      </c>
      <c r="G2932">
        <v>168.4</v>
      </c>
      <c r="H2932" s="1" t="s">
        <v>188</v>
      </c>
    </row>
    <row r="2933" spans="1:8" x14ac:dyDescent="0.3">
      <c r="A2933">
        <v>2022</v>
      </c>
      <c r="B2933" t="s">
        <v>41</v>
      </c>
      <c r="C2933" t="s">
        <v>157</v>
      </c>
      <c r="D2933" s="1" t="s">
        <v>28</v>
      </c>
      <c r="E2933">
        <v>172.6</v>
      </c>
      <c r="F2933">
        <v>169.1</v>
      </c>
      <c r="G2933">
        <v>165.4</v>
      </c>
      <c r="H2933" s="1" t="s">
        <v>192</v>
      </c>
    </row>
    <row r="2934" spans="1:8" x14ac:dyDescent="0.3">
      <c r="A2934">
        <v>2022</v>
      </c>
      <c r="B2934" t="s">
        <v>41</v>
      </c>
      <c r="C2934" t="s">
        <v>157</v>
      </c>
      <c r="D2934" s="1" t="s">
        <v>13</v>
      </c>
      <c r="E2934">
        <v>174.8</v>
      </c>
      <c r="F2934">
        <v>168.8</v>
      </c>
      <c r="G2934">
        <v>160.5</v>
      </c>
      <c r="H2934" s="1" t="s">
        <v>188</v>
      </c>
    </row>
    <row r="2935" spans="1:8" x14ac:dyDescent="0.3">
      <c r="A2935">
        <v>2022</v>
      </c>
      <c r="B2935" t="s">
        <v>41</v>
      </c>
      <c r="C2935" t="s">
        <v>157</v>
      </c>
      <c r="D2935" s="1" t="s">
        <v>7</v>
      </c>
      <c r="E2935">
        <v>198.1</v>
      </c>
      <c r="F2935">
        <v>192.4</v>
      </c>
      <c r="G2935">
        <v>182.5</v>
      </c>
      <c r="H2935" s="1" t="s">
        <v>188</v>
      </c>
    </row>
    <row r="2936" spans="1:8" x14ac:dyDescent="0.3">
      <c r="A2936">
        <v>2022</v>
      </c>
      <c r="B2936" t="s">
        <v>41</v>
      </c>
      <c r="C2936" t="s">
        <v>157</v>
      </c>
      <c r="D2936" s="1" t="s">
        <v>16</v>
      </c>
      <c r="E2936">
        <v>193.7</v>
      </c>
      <c r="F2936">
        <v>195</v>
      </c>
      <c r="G2936">
        <v>198.7</v>
      </c>
      <c r="H2936" s="1" t="s">
        <v>192</v>
      </c>
    </row>
    <row r="2937" spans="1:8" x14ac:dyDescent="0.3">
      <c r="A2937">
        <v>2022</v>
      </c>
      <c r="B2937" t="s">
        <v>41</v>
      </c>
      <c r="C2937" t="s">
        <v>157</v>
      </c>
      <c r="D2937" s="1" t="s">
        <v>27</v>
      </c>
      <c r="E2937">
        <v>171.1</v>
      </c>
      <c r="F2937">
        <v>171.2</v>
      </c>
      <c r="G2937">
        <v>171.4</v>
      </c>
      <c r="H2937" s="1" t="s">
        <v>192</v>
      </c>
    </row>
    <row r="2938" spans="1:8" x14ac:dyDescent="0.3">
      <c r="A2938">
        <v>2022</v>
      </c>
      <c r="B2938" t="s">
        <v>41</v>
      </c>
      <c r="C2938" t="s">
        <v>157</v>
      </c>
      <c r="D2938" s="1" t="s">
        <v>14</v>
      </c>
      <c r="E2938">
        <v>184</v>
      </c>
      <c r="F2938">
        <v>186.3</v>
      </c>
      <c r="G2938">
        <v>188.9</v>
      </c>
      <c r="H2938" s="1" t="s">
        <v>188</v>
      </c>
    </row>
    <row r="2939" spans="1:8" x14ac:dyDescent="0.3">
      <c r="A2939">
        <v>2022</v>
      </c>
      <c r="B2939" t="s">
        <v>41</v>
      </c>
      <c r="C2939" t="s">
        <v>157</v>
      </c>
      <c r="D2939" s="1" t="s">
        <v>10</v>
      </c>
      <c r="E2939">
        <v>167.1</v>
      </c>
      <c r="F2939">
        <v>167.2</v>
      </c>
      <c r="G2939">
        <v>167.3</v>
      </c>
      <c r="H2939" s="1" t="s">
        <v>188</v>
      </c>
    </row>
    <row r="2940" spans="1:8" x14ac:dyDescent="0.3">
      <c r="A2940">
        <v>2022</v>
      </c>
      <c r="B2940" t="s">
        <v>41</v>
      </c>
      <c r="C2940" t="s">
        <v>157</v>
      </c>
      <c r="D2940" s="1" t="s">
        <v>25</v>
      </c>
      <c r="E2940">
        <v>169.3</v>
      </c>
      <c r="F2940">
        <v>166.9</v>
      </c>
      <c r="G2940">
        <v>165.1</v>
      </c>
      <c r="H2940" s="1" t="s">
        <v>195</v>
      </c>
    </row>
    <row r="2941" spans="1:8" x14ac:dyDescent="0.3">
      <c r="A2941">
        <v>2022</v>
      </c>
      <c r="B2941" t="s">
        <v>41</v>
      </c>
      <c r="C2941" t="s">
        <v>157</v>
      </c>
      <c r="D2941" s="1" t="s">
        <v>12</v>
      </c>
      <c r="E2941">
        <v>195.6</v>
      </c>
      <c r="F2941">
        <v>193.6</v>
      </c>
      <c r="G2941">
        <v>189.7</v>
      </c>
      <c r="H2941" s="1" t="s">
        <v>188</v>
      </c>
    </row>
    <row r="2942" spans="1:8" x14ac:dyDescent="0.3">
      <c r="A2942">
        <v>2022</v>
      </c>
      <c r="B2942" t="s">
        <v>41</v>
      </c>
      <c r="C2942" t="s">
        <v>157</v>
      </c>
      <c r="D2942" s="1" t="s">
        <v>11</v>
      </c>
      <c r="E2942">
        <v>120.2</v>
      </c>
      <c r="F2942">
        <v>120.9</v>
      </c>
      <c r="G2942">
        <v>122.2</v>
      </c>
      <c r="H2942" s="1" t="s">
        <v>188</v>
      </c>
    </row>
    <row r="2943" spans="1:8" x14ac:dyDescent="0.3">
      <c r="A2943">
        <v>2022</v>
      </c>
      <c r="B2943" t="s">
        <v>41</v>
      </c>
      <c r="C2943" t="s">
        <v>157</v>
      </c>
      <c r="D2943" s="1" t="s">
        <v>24</v>
      </c>
      <c r="E2943">
        <v>166.6</v>
      </c>
      <c r="F2943">
        <v>161.9</v>
      </c>
      <c r="G2943">
        <v>157.69999999999999</v>
      </c>
      <c r="H2943" s="1" t="s">
        <v>191</v>
      </c>
    </row>
    <row r="2944" spans="1:8" x14ac:dyDescent="0.3">
      <c r="A2944">
        <v>2022</v>
      </c>
      <c r="B2944" t="s">
        <v>41</v>
      </c>
      <c r="C2944" t="s">
        <v>157</v>
      </c>
      <c r="D2944" s="1" t="s">
        <v>9</v>
      </c>
      <c r="E2944">
        <v>173.1</v>
      </c>
      <c r="F2944">
        <v>186.7</v>
      </c>
      <c r="G2944">
        <v>213.1</v>
      </c>
      <c r="H2944" s="1" t="s">
        <v>188</v>
      </c>
    </row>
    <row r="2945" spans="1:8" x14ac:dyDescent="0.3">
      <c r="A2945">
        <v>2022</v>
      </c>
      <c r="B2945" t="s">
        <v>45</v>
      </c>
      <c r="C2945" t="s">
        <v>158</v>
      </c>
      <c r="D2945" s="1" t="s">
        <v>3</v>
      </c>
      <c r="E2945">
        <v>168.8</v>
      </c>
      <c r="F2945">
        <v>169.2</v>
      </c>
      <c r="G2945">
        <v>170.2</v>
      </c>
      <c r="H2945" s="1" t="s">
        <v>188</v>
      </c>
    </row>
    <row r="2946" spans="1:8" x14ac:dyDescent="0.3">
      <c r="A2946">
        <v>2022</v>
      </c>
      <c r="B2946" t="s">
        <v>45</v>
      </c>
      <c r="C2946" t="s">
        <v>158</v>
      </c>
      <c r="D2946" s="1" t="s">
        <v>17</v>
      </c>
      <c r="E2946">
        <v>188.1</v>
      </c>
      <c r="F2946">
        <v>184</v>
      </c>
      <c r="G2946">
        <v>177.7</v>
      </c>
      <c r="H2946" s="1" t="s">
        <v>189</v>
      </c>
    </row>
    <row r="2947" spans="1:8" x14ac:dyDescent="0.3">
      <c r="A2947">
        <v>2022</v>
      </c>
      <c r="B2947" t="s">
        <v>45</v>
      </c>
      <c r="C2947" t="s">
        <v>158</v>
      </c>
      <c r="D2947" s="1" t="s">
        <v>19</v>
      </c>
      <c r="E2947">
        <v>187.8</v>
      </c>
      <c r="F2947">
        <v>183</v>
      </c>
      <c r="G2947">
        <v>175.7</v>
      </c>
      <c r="H2947" s="1" t="s">
        <v>189</v>
      </c>
    </row>
    <row r="2948" spans="1:8" x14ac:dyDescent="0.3">
      <c r="A2948">
        <v>2022</v>
      </c>
      <c r="B2948" t="s">
        <v>45</v>
      </c>
      <c r="C2948" t="s">
        <v>158</v>
      </c>
      <c r="D2948" s="1" t="s">
        <v>26</v>
      </c>
      <c r="E2948">
        <v>177.3</v>
      </c>
      <c r="F2948">
        <v>174.1</v>
      </c>
      <c r="G2948">
        <v>171.8</v>
      </c>
      <c r="H2948" s="1" t="s">
        <v>26</v>
      </c>
    </row>
    <row r="2949" spans="1:8" x14ac:dyDescent="0.3">
      <c r="A2949">
        <v>2022</v>
      </c>
      <c r="B2949" t="s">
        <v>45</v>
      </c>
      <c r="C2949" t="s">
        <v>158</v>
      </c>
      <c r="D2949" s="1" t="s">
        <v>5</v>
      </c>
      <c r="E2949">
        <v>189.1</v>
      </c>
      <c r="F2949">
        <v>190.2</v>
      </c>
      <c r="G2949">
        <v>191.9</v>
      </c>
      <c r="H2949" s="1" t="s">
        <v>188</v>
      </c>
    </row>
    <row r="2950" spans="1:8" x14ac:dyDescent="0.3">
      <c r="A2950">
        <v>2022</v>
      </c>
      <c r="B2950" t="s">
        <v>45</v>
      </c>
      <c r="C2950" t="s">
        <v>158</v>
      </c>
      <c r="D2950" s="1" t="s">
        <v>15</v>
      </c>
      <c r="E2950">
        <v>174.4</v>
      </c>
      <c r="F2950">
        <v>175.9</v>
      </c>
      <c r="G2950">
        <v>178.6</v>
      </c>
      <c r="H2950" s="1" t="s">
        <v>188</v>
      </c>
    </row>
    <row r="2951" spans="1:8" x14ac:dyDescent="0.3">
      <c r="A2951">
        <v>2022</v>
      </c>
      <c r="B2951" t="s">
        <v>45</v>
      </c>
      <c r="C2951" t="s">
        <v>158</v>
      </c>
      <c r="D2951" s="1" t="s">
        <v>18</v>
      </c>
      <c r="E2951">
        <v>185.9</v>
      </c>
      <c r="F2951">
        <v>177</v>
      </c>
      <c r="G2951">
        <v>164.5</v>
      </c>
      <c r="H2951" s="1" t="s">
        <v>189</v>
      </c>
    </row>
    <row r="2952" spans="1:8" x14ac:dyDescent="0.3">
      <c r="A2952">
        <v>2022</v>
      </c>
      <c r="B2952" t="s">
        <v>45</v>
      </c>
      <c r="C2952" t="s">
        <v>158</v>
      </c>
      <c r="D2952" s="1" t="s">
        <v>8</v>
      </c>
      <c r="E2952">
        <v>156.69999999999999</v>
      </c>
      <c r="F2952">
        <v>158</v>
      </c>
      <c r="G2952">
        <v>159.5</v>
      </c>
      <c r="H2952" s="1" t="s">
        <v>188</v>
      </c>
    </row>
    <row r="2953" spans="1:8" x14ac:dyDescent="0.3">
      <c r="A2953">
        <v>2022</v>
      </c>
      <c r="B2953" t="s">
        <v>45</v>
      </c>
      <c r="C2953" t="s">
        <v>158</v>
      </c>
      <c r="D2953" s="1" t="s">
        <v>21</v>
      </c>
      <c r="E2953">
        <v>182.8</v>
      </c>
      <c r="F2953">
        <v>182</v>
      </c>
      <c r="G2953">
        <v>180.6</v>
      </c>
      <c r="H2953" s="1" t="s">
        <v>190</v>
      </c>
    </row>
    <row r="2954" spans="1:8" x14ac:dyDescent="0.3">
      <c r="A2954">
        <v>2022</v>
      </c>
      <c r="B2954" t="s">
        <v>45</v>
      </c>
      <c r="C2954" t="s">
        <v>158</v>
      </c>
      <c r="D2954" s="1" t="s">
        <v>29</v>
      </c>
      <c r="E2954">
        <v>177.1</v>
      </c>
      <c r="F2954">
        <v>175.7</v>
      </c>
      <c r="G2954">
        <v>174.1</v>
      </c>
      <c r="H2954" s="1" t="s">
        <v>206</v>
      </c>
    </row>
    <row r="2955" spans="1:8" x14ac:dyDescent="0.3">
      <c r="A2955">
        <v>2022</v>
      </c>
      <c r="B2955" t="s">
        <v>45</v>
      </c>
      <c r="C2955" t="s">
        <v>158</v>
      </c>
      <c r="D2955" s="1" t="s">
        <v>23</v>
      </c>
      <c r="E2955">
        <v>183.5</v>
      </c>
      <c r="F2955">
        <v>181.1</v>
      </c>
      <c r="G2955">
        <v>177.2</v>
      </c>
      <c r="H2955" s="1" t="s">
        <v>23</v>
      </c>
    </row>
    <row r="2956" spans="1:8" x14ac:dyDescent="0.3">
      <c r="A2956">
        <v>2022</v>
      </c>
      <c r="B2956" t="s">
        <v>45</v>
      </c>
      <c r="C2956" t="s">
        <v>158</v>
      </c>
      <c r="D2956" s="1" t="s">
        <v>22</v>
      </c>
      <c r="E2956">
        <v>176.4</v>
      </c>
      <c r="F2956">
        <v>172.1</v>
      </c>
      <c r="G2956">
        <v>167.3</v>
      </c>
      <c r="H2956" s="1" t="s">
        <v>20</v>
      </c>
    </row>
    <row r="2957" spans="1:8" x14ac:dyDescent="0.3">
      <c r="A2957">
        <v>2022</v>
      </c>
      <c r="B2957" t="s">
        <v>45</v>
      </c>
      <c r="C2957" t="s">
        <v>158</v>
      </c>
      <c r="D2957" s="1" t="s">
        <v>20</v>
      </c>
      <c r="E2957">
        <v>0</v>
      </c>
      <c r="F2957">
        <v>170.7</v>
      </c>
      <c r="G2957">
        <v>170.7</v>
      </c>
      <c r="H2957" s="1" t="s">
        <v>20</v>
      </c>
    </row>
    <row r="2958" spans="1:8" x14ac:dyDescent="0.3">
      <c r="A2958">
        <v>2022</v>
      </c>
      <c r="B2958" t="s">
        <v>45</v>
      </c>
      <c r="C2958" t="s">
        <v>158</v>
      </c>
      <c r="D2958" s="1" t="s">
        <v>4</v>
      </c>
      <c r="E2958">
        <v>206.9</v>
      </c>
      <c r="F2958">
        <v>209</v>
      </c>
      <c r="G2958">
        <v>212.9</v>
      </c>
      <c r="H2958" s="1" t="s">
        <v>188</v>
      </c>
    </row>
    <row r="2959" spans="1:8" x14ac:dyDescent="0.3">
      <c r="A2959">
        <v>2022</v>
      </c>
      <c r="B2959" t="s">
        <v>45</v>
      </c>
      <c r="C2959" t="s">
        <v>158</v>
      </c>
      <c r="D2959" s="1" t="s">
        <v>6</v>
      </c>
      <c r="E2959">
        <v>173.4</v>
      </c>
      <c r="F2959">
        <v>173.6</v>
      </c>
      <c r="G2959">
        <v>173.9</v>
      </c>
      <c r="H2959" s="1" t="s">
        <v>188</v>
      </c>
    </row>
    <row r="2960" spans="1:8" x14ac:dyDescent="0.3">
      <c r="A2960">
        <v>2022</v>
      </c>
      <c r="B2960" t="s">
        <v>45</v>
      </c>
      <c r="C2960" t="s">
        <v>158</v>
      </c>
      <c r="D2960" s="1" t="s">
        <v>28</v>
      </c>
      <c r="E2960">
        <v>175.5</v>
      </c>
      <c r="F2960">
        <v>172</v>
      </c>
      <c r="G2960">
        <v>168.2</v>
      </c>
      <c r="H2960" s="1" t="s">
        <v>192</v>
      </c>
    </row>
    <row r="2961" spans="1:8" x14ac:dyDescent="0.3">
      <c r="A2961">
        <v>2022</v>
      </c>
      <c r="B2961" t="s">
        <v>45</v>
      </c>
      <c r="C2961" t="s">
        <v>158</v>
      </c>
      <c r="D2961" s="1" t="s">
        <v>13</v>
      </c>
      <c r="E2961">
        <v>176.8</v>
      </c>
      <c r="F2961">
        <v>171</v>
      </c>
      <c r="G2961">
        <v>162.80000000000001</v>
      </c>
      <c r="H2961" s="1" t="s">
        <v>188</v>
      </c>
    </row>
    <row r="2962" spans="1:8" x14ac:dyDescent="0.3">
      <c r="A2962">
        <v>2022</v>
      </c>
      <c r="B2962" t="s">
        <v>45</v>
      </c>
      <c r="C2962" t="s">
        <v>158</v>
      </c>
      <c r="D2962" s="1" t="s">
        <v>7</v>
      </c>
      <c r="E2962">
        <v>193.9</v>
      </c>
      <c r="F2962">
        <v>188.5</v>
      </c>
      <c r="G2962">
        <v>179.1</v>
      </c>
      <c r="H2962" s="1" t="s">
        <v>188</v>
      </c>
    </row>
    <row r="2963" spans="1:8" x14ac:dyDescent="0.3">
      <c r="A2963">
        <v>2022</v>
      </c>
      <c r="B2963" t="s">
        <v>45</v>
      </c>
      <c r="C2963" t="s">
        <v>158</v>
      </c>
      <c r="D2963" s="1" t="s">
        <v>16</v>
      </c>
      <c r="E2963">
        <v>195.9</v>
      </c>
      <c r="F2963">
        <v>197.3</v>
      </c>
      <c r="G2963">
        <v>201.1</v>
      </c>
      <c r="H2963" s="1" t="s">
        <v>192</v>
      </c>
    </row>
    <row r="2964" spans="1:8" x14ac:dyDescent="0.3">
      <c r="A2964">
        <v>2022</v>
      </c>
      <c r="B2964" t="s">
        <v>45</v>
      </c>
      <c r="C2964" t="s">
        <v>158</v>
      </c>
      <c r="D2964" s="1" t="s">
        <v>27</v>
      </c>
      <c r="E2964">
        <v>175.7</v>
      </c>
      <c r="F2964">
        <v>175.8</v>
      </c>
      <c r="G2964">
        <v>176</v>
      </c>
      <c r="H2964" s="1" t="s">
        <v>192</v>
      </c>
    </row>
    <row r="2965" spans="1:8" x14ac:dyDescent="0.3">
      <c r="A2965">
        <v>2022</v>
      </c>
      <c r="B2965" t="s">
        <v>45</v>
      </c>
      <c r="C2965" t="s">
        <v>158</v>
      </c>
      <c r="D2965" s="1" t="s">
        <v>14</v>
      </c>
      <c r="E2965">
        <v>187.7</v>
      </c>
      <c r="F2965">
        <v>190.3</v>
      </c>
      <c r="G2965">
        <v>193.3</v>
      </c>
      <c r="H2965" s="1" t="s">
        <v>188</v>
      </c>
    </row>
    <row r="2966" spans="1:8" x14ac:dyDescent="0.3">
      <c r="A2966">
        <v>2022</v>
      </c>
      <c r="B2966" t="s">
        <v>45</v>
      </c>
      <c r="C2966" t="s">
        <v>158</v>
      </c>
      <c r="D2966" s="1" t="s">
        <v>10</v>
      </c>
      <c r="E2966">
        <v>170.5</v>
      </c>
      <c r="F2966">
        <v>170.8</v>
      </c>
      <c r="G2966">
        <v>171.3</v>
      </c>
      <c r="H2966" s="1" t="s">
        <v>188</v>
      </c>
    </row>
    <row r="2967" spans="1:8" x14ac:dyDescent="0.3">
      <c r="A2967">
        <v>2022</v>
      </c>
      <c r="B2967" t="s">
        <v>45</v>
      </c>
      <c r="C2967" t="s">
        <v>158</v>
      </c>
      <c r="D2967" s="1" t="s">
        <v>25</v>
      </c>
      <c r="E2967">
        <v>171.2</v>
      </c>
      <c r="F2967">
        <v>168.9</v>
      </c>
      <c r="G2967">
        <v>167.1</v>
      </c>
      <c r="H2967" s="1" t="s">
        <v>195</v>
      </c>
    </row>
    <row r="2968" spans="1:8" x14ac:dyDescent="0.3">
      <c r="A2968">
        <v>2022</v>
      </c>
      <c r="B2968" t="s">
        <v>45</v>
      </c>
      <c r="C2968" t="s">
        <v>158</v>
      </c>
      <c r="D2968" s="1" t="s">
        <v>12</v>
      </c>
      <c r="E2968">
        <v>207.5</v>
      </c>
      <c r="F2968">
        <v>205.2</v>
      </c>
      <c r="G2968">
        <v>200.5</v>
      </c>
      <c r="H2968" s="1" t="s">
        <v>188</v>
      </c>
    </row>
    <row r="2969" spans="1:8" x14ac:dyDescent="0.3">
      <c r="A2969">
        <v>2022</v>
      </c>
      <c r="B2969" t="s">
        <v>45</v>
      </c>
      <c r="C2969" t="s">
        <v>158</v>
      </c>
      <c r="D2969" s="1" t="s">
        <v>11</v>
      </c>
      <c r="E2969">
        <v>121.2</v>
      </c>
      <c r="F2969">
        <v>121.8</v>
      </c>
      <c r="G2969">
        <v>123.1</v>
      </c>
      <c r="H2969" s="1" t="s">
        <v>188</v>
      </c>
    </row>
    <row r="2970" spans="1:8" x14ac:dyDescent="0.3">
      <c r="A2970">
        <v>2022</v>
      </c>
      <c r="B2970" t="s">
        <v>45</v>
      </c>
      <c r="C2970" t="s">
        <v>158</v>
      </c>
      <c r="D2970" s="1" t="s">
        <v>24</v>
      </c>
      <c r="E2970">
        <v>167.8</v>
      </c>
      <c r="F2970">
        <v>163.4</v>
      </c>
      <c r="G2970">
        <v>159.4</v>
      </c>
      <c r="H2970" s="1" t="s">
        <v>191</v>
      </c>
    </row>
    <row r="2971" spans="1:8" x14ac:dyDescent="0.3">
      <c r="A2971">
        <v>2022</v>
      </c>
      <c r="B2971" t="s">
        <v>45</v>
      </c>
      <c r="C2971" t="s">
        <v>158</v>
      </c>
      <c r="D2971" s="1" t="s">
        <v>9</v>
      </c>
      <c r="E2971">
        <v>150.19999999999999</v>
      </c>
      <c r="F2971">
        <v>159.9</v>
      </c>
      <c r="G2971">
        <v>178.7</v>
      </c>
      <c r="H2971" s="1" t="s">
        <v>188</v>
      </c>
    </row>
    <row r="2972" spans="1:8" x14ac:dyDescent="0.3">
      <c r="A2972">
        <v>2022</v>
      </c>
      <c r="B2972" t="s">
        <v>35</v>
      </c>
      <c r="C2972" t="s">
        <v>159</v>
      </c>
      <c r="D2972" s="1" t="s">
        <v>3</v>
      </c>
      <c r="E2972">
        <v>148.80000000000001</v>
      </c>
      <c r="F2972">
        <v>150</v>
      </c>
      <c r="G2972">
        <v>152.5</v>
      </c>
      <c r="H2972" s="1" t="s">
        <v>188</v>
      </c>
    </row>
    <row r="2973" spans="1:8" x14ac:dyDescent="0.3">
      <c r="A2973">
        <v>2022</v>
      </c>
      <c r="B2973" t="s">
        <v>35</v>
      </c>
      <c r="C2973" t="s">
        <v>159</v>
      </c>
      <c r="D2973" s="1" t="s">
        <v>17</v>
      </c>
      <c r="E2973">
        <v>174.1</v>
      </c>
      <c r="F2973">
        <v>170.8</v>
      </c>
      <c r="G2973">
        <v>165.7</v>
      </c>
      <c r="H2973" s="1" t="s">
        <v>189</v>
      </c>
    </row>
    <row r="2974" spans="1:8" x14ac:dyDescent="0.3">
      <c r="A2974">
        <v>2022</v>
      </c>
      <c r="B2974" t="s">
        <v>35</v>
      </c>
      <c r="C2974" t="s">
        <v>159</v>
      </c>
      <c r="D2974" s="1" t="s">
        <v>19</v>
      </c>
      <c r="E2974">
        <v>173.7</v>
      </c>
      <c r="F2974">
        <v>169.6</v>
      </c>
      <c r="G2974">
        <v>163.4</v>
      </c>
      <c r="H2974" s="1" t="s">
        <v>189</v>
      </c>
    </row>
    <row r="2975" spans="1:8" x14ac:dyDescent="0.3">
      <c r="A2975">
        <v>2022</v>
      </c>
      <c r="B2975" t="s">
        <v>35</v>
      </c>
      <c r="C2975" t="s">
        <v>159</v>
      </c>
      <c r="D2975" s="1" t="s">
        <v>26</v>
      </c>
      <c r="E2975">
        <v>170.3</v>
      </c>
      <c r="F2975">
        <v>165.4</v>
      </c>
      <c r="G2975">
        <v>162</v>
      </c>
      <c r="H2975" s="1" t="s">
        <v>26</v>
      </c>
    </row>
    <row r="2976" spans="1:8" x14ac:dyDescent="0.3">
      <c r="A2976">
        <v>2022</v>
      </c>
      <c r="B2976" t="s">
        <v>35</v>
      </c>
      <c r="C2976" t="s">
        <v>159</v>
      </c>
      <c r="D2976" s="1" t="s">
        <v>5</v>
      </c>
      <c r="E2976">
        <v>175.5</v>
      </c>
      <c r="F2976">
        <v>175.8</v>
      </c>
      <c r="G2976">
        <v>176.4</v>
      </c>
      <c r="H2976" s="1" t="s">
        <v>188</v>
      </c>
    </row>
    <row r="2977" spans="1:8" x14ac:dyDescent="0.3">
      <c r="A2977">
        <v>2022</v>
      </c>
      <c r="B2977" t="s">
        <v>35</v>
      </c>
      <c r="C2977" t="s">
        <v>159</v>
      </c>
      <c r="D2977" s="1" t="s">
        <v>15</v>
      </c>
      <c r="E2977">
        <v>163.9</v>
      </c>
      <c r="F2977">
        <v>166.2</v>
      </c>
      <c r="G2977">
        <v>170.2</v>
      </c>
      <c r="H2977" s="1" t="s">
        <v>188</v>
      </c>
    </row>
    <row r="2978" spans="1:8" x14ac:dyDescent="0.3">
      <c r="A2978">
        <v>2022</v>
      </c>
      <c r="B2978" t="s">
        <v>35</v>
      </c>
      <c r="C2978" t="s">
        <v>159</v>
      </c>
      <c r="D2978" s="1" t="s">
        <v>18</v>
      </c>
      <c r="E2978">
        <v>171</v>
      </c>
      <c r="F2978">
        <v>162.4</v>
      </c>
      <c r="G2978">
        <v>150.4</v>
      </c>
      <c r="H2978" s="1" t="s">
        <v>189</v>
      </c>
    </row>
    <row r="2979" spans="1:8" x14ac:dyDescent="0.3">
      <c r="A2979">
        <v>2022</v>
      </c>
      <c r="B2979" t="s">
        <v>35</v>
      </c>
      <c r="C2979" t="s">
        <v>159</v>
      </c>
      <c r="D2979" s="1" t="s">
        <v>8</v>
      </c>
      <c r="E2979">
        <v>151.4</v>
      </c>
      <c r="F2979">
        <v>153.69999999999999</v>
      </c>
      <c r="G2979">
        <v>156.4</v>
      </c>
      <c r="H2979" s="1" t="s">
        <v>188</v>
      </c>
    </row>
    <row r="2980" spans="1:8" x14ac:dyDescent="0.3">
      <c r="A2980">
        <v>2022</v>
      </c>
      <c r="B2980" t="s">
        <v>35</v>
      </c>
      <c r="C2980" t="s">
        <v>159</v>
      </c>
      <c r="D2980" s="1" t="s">
        <v>21</v>
      </c>
      <c r="E2980">
        <v>167.4</v>
      </c>
      <c r="F2980">
        <v>165.7</v>
      </c>
      <c r="G2980">
        <v>163</v>
      </c>
      <c r="H2980" s="1" t="s">
        <v>190</v>
      </c>
    </row>
    <row r="2981" spans="1:8" x14ac:dyDescent="0.3">
      <c r="A2981">
        <v>2022</v>
      </c>
      <c r="B2981" t="s">
        <v>35</v>
      </c>
      <c r="C2981" t="s">
        <v>159</v>
      </c>
      <c r="D2981" s="1" t="s">
        <v>29</v>
      </c>
      <c r="E2981">
        <v>166.7</v>
      </c>
      <c r="F2981">
        <v>166.1</v>
      </c>
      <c r="G2981">
        <v>165.5</v>
      </c>
      <c r="H2981" s="1" t="s">
        <v>206</v>
      </c>
    </row>
    <row r="2982" spans="1:8" x14ac:dyDescent="0.3">
      <c r="A2982">
        <v>2022</v>
      </c>
      <c r="B2982" t="s">
        <v>35</v>
      </c>
      <c r="C2982" t="s">
        <v>159</v>
      </c>
      <c r="D2982" s="1" t="s">
        <v>23</v>
      </c>
      <c r="E2982">
        <v>175.3</v>
      </c>
      <c r="F2982">
        <v>172.2</v>
      </c>
      <c r="G2982">
        <v>167.2</v>
      </c>
      <c r="H2982" s="1" t="s">
        <v>23</v>
      </c>
    </row>
    <row r="2983" spans="1:8" x14ac:dyDescent="0.3">
      <c r="A2983">
        <v>2022</v>
      </c>
      <c r="B2983" t="s">
        <v>35</v>
      </c>
      <c r="C2983" t="s">
        <v>159</v>
      </c>
      <c r="D2983" s="1" t="s">
        <v>22</v>
      </c>
      <c r="E2983">
        <v>165.7</v>
      </c>
      <c r="F2983">
        <v>161.80000000000001</v>
      </c>
      <c r="G2983">
        <v>157.4</v>
      </c>
      <c r="H2983" s="1" t="s">
        <v>20</v>
      </c>
    </row>
    <row r="2984" spans="1:8" x14ac:dyDescent="0.3">
      <c r="A2984">
        <v>2022</v>
      </c>
      <c r="B2984" t="s">
        <v>35</v>
      </c>
      <c r="C2984" t="s">
        <v>159</v>
      </c>
      <c r="D2984" s="1" t="s">
        <v>20</v>
      </c>
      <c r="E2984">
        <v>0</v>
      </c>
      <c r="F2984">
        <v>165.5</v>
      </c>
      <c r="G2984">
        <v>165.5</v>
      </c>
      <c r="H2984" s="1" t="s">
        <v>20</v>
      </c>
    </row>
    <row r="2985" spans="1:8" x14ac:dyDescent="0.3">
      <c r="A2985">
        <v>2022</v>
      </c>
      <c r="B2985" t="s">
        <v>35</v>
      </c>
      <c r="C2985" t="s">
        <v>159</v>
      </c>
      <c r="D2985" s="1" t="s">
        <v>4</v>
      </c>
      <c r="E2985">
        <v>198.1</v>
      </c>
      <c r="F2985">
        <v>200.6</v>
      </c>
      <c r="G2985">
        <v>205.2</v>
      </c>
      <c r="H2985" s="1" t="s">
        <v>188</v>
      </c>
    </row>
    <row r="2986" spans="1:8" x14ac:dyDescent="0.3">
      <c r="A2986">
        <v>2022</v>
      </c>
      <c r="B2986" t="s">
        <v>35</v>
      </c>
      <c r="C2986" t="s">
        <v>159</v>
      </c>
      <c r="D2986" s="1" t="s">
        <v>6</v>
      </c>
      <c r="E2986">
        <v>160.69999999999999</v>
      </c>
      <c r="F2986">
        <v>160.69999999999999</v>
      </c>
      <c r="G2986">
        <v>160.6</v>
      </c>
      <c r="H2986" s="1" t="s">
        <v>188</v>
      </c>
    </row>
    <row r="2987" spans="1:8" x14ac:dyDescent="0.3">
      <c r="A2987">
        <v>2022</v>
      </c>
      <c r="B2987" t="s">
        <v>35</v>
      </c>
      <c r="C2987" t="s">
        <v>159</v>
      </c>
      <c r="D2987" s="1" t="s">
        <v>28</v>
      </c>
      <c r="E2987">
        <v>167.3</v>
      </c>
      <c r="F2987">
        <v>163.5</v>
      </c>
      <c r="G2987">
        <v>159.4</v>
      </c>
      <c r="H2987" s="1" t="s">
        <v>192</v>
      </c>
    </row>
    <row r="2988" spans="1:8" x14ac:dyDescent="0.3">
      <c r="A2988">
        <v>2022</v>
      </c>
      <c r="B2988" t="s">
        <v>35</v>
      </c>
      <c r="C2988" t="s">
        <v>159</v>
      </c>
      <c r="D2988" s="1" t="s">
        <v>13</v>
      </c>
      <c r="E2988">
        <v>170.5</v>
      </c>
      <c r="F2988">
        <v>164.7</v>
      </c>
      <c r="G2988">
        <v>156.69999999999999</v>
      </c>
      <c r="H2988" s="1" t="s">
        <v>188</v>
      </c>
    </row>
    <row r="2989" spans="1:8" x14ac:dyDescent="0.3">
      <c r="A2989">
        <v>2022</v>
      </c>
      <c r="B2989" t="s">
        <v>35</v>
      </c>
      <c r="C2989" t="s">
        <v>159</v>
      </c>
      <c r="D2989" s="1" t="s">
        <v>7</v>
      </c>
      <c r="E2989">
        <v>192.6</v>
      </c>
      <c r="F2989">
        <v>184.9</v>
      </c>
      <c r="G2989">
        <v>171.5</v>
      </c>
      <c r="H2989" s="1" t="s">
        <v>188</v>
      </c>
    </row>
    <row r="2990" spans="1:8" x14ac:dyDescent="0.3">
      <c r="A2990">
        <v>2022</v>
      </c>
      <c r="B2990" t="s">
        <v>35</v>
      </c>
      <c r="C2990" t="s">
        <v>159</v>
      </c>
      <c r="D2990" s="1" t="s">
        <v>16</v>
      </c>
      <c r="E2990">
        <v>191.5</v>
      </c>
      <c r="F2990">
        <v>192.8</v>
      </c>
      <c r="G2990">
        <v>196.5</v>
      </c>
      <c r="H2990" s="1" t="s">
        <v>192</v>
      </c>
    </row>
    <row r="2991" spans="1:8" x14ac:dyDescent="0.3">
      <c r="A2991">
        <v>2022</v>
      </c>
      <c r="B2991" t="s">
        <v>35</v>
      </c>
      <c r="C2991" t="s">
        <v>159</v>
      </c>
      <c r="D2991" s="1" t="s">
        <v>27</v>
      </c>
      <c r="E2991">
        <v>164.5</v>
      </c>
      <c r="F2991">
        <v>164.4</v>
      </c>
      <c r="G2991">
        <v>164.2</v>
      </c>
      <c r="H2991" s="1" t="s">
        <v>192</v>
      </c>
    </row>
    <row r="2992" spans="1:8" x14ac:dyDescent="0.3">
      <c r="A2992">
        <v>2022</v>
      </c>
      <c r="B2992" t="s">
        <v>35</v>
      </c>
      <c r="C2992" t="s">
        <v>159</v>
      </c>
      <c r="D2992" s="1" t="s">
        <v>14</v>
      </c>
      <c r="E2992">
        <v>176.3</v>
      </c>
      <c r="F2992">
        <v>178</v>
      </c>
      <c r="G2992">
        <v>180</v>
      </c>
      <c r="H2992" s="1" t="s">
        <v>188</v>
      </c>
    </row>
    <row r="2993" spans="1:8" x14ac:dyDescent="0.3">
      <c r="A2993">
        <v>2022</v>
      </c>
      <c r="B2993" t="s">
        <v>35</v>
      </c>
      <c r="C2993" t="s">
        <v>159</v>
      </c>
      <c r="D2993" s="1" t="s">
        <v>10</v>
      </c>
      <c r="E2993">
        <v>163.9</v>
      </c>
      <c r="F2993">
        <v>163.69999999999999</v>
      </c>
      <c r="G2993">
        <v>163.19999999999999</v>
      </c>
      <c r="H2993" s="1" t="s">
        <v>188</v>
      </c>
    </row>
    <row r="2994" spans="1:8" x14ac:dyDescent="0.3">
      <c r="A2994">
        <v>2022</v>
      </c>
      <c r="B2994" t="s">
        <v>35</v>
      </c>
      <c r="C2994" t="s">
        <v>159</v>
      </c>
      <c r="D2994" s="1" t="s">
        <v>25</v>
      </c>
      <c r="E2994">
        <v>165.5</v>
      </c>
      <c r="F2994">
        <v>162.1</v>
      </c>
      <c r="G2994">
        <v>159.5</v>
      </c>
      <c r="H2994" s="1" t="s">
        <v>195</v>
      </c>
    </row>
    <row r="2995" spans="1:8" x14ac:dyDescent="0.3">
      <c r="A2995">
        <v>2022</v>
      </c>
      <c r="B2995" t="s">
        <v>35</v>
      </c>
      <c r="C2995" t="s">
        <v>159</v>
      </c>
      <c r="D2995" s="1" t="s">
        <v>12</v>
      </c>
      <c r="E2995">
        <v>175.4</v>
      </c>
      <c r="F2995">
        <v>174.3</v>
      </c>
      <c r="G2995">
        <v>172.2</v>
      </c>
      <c r="H2995" s="1" t="s">
        <v>188</v>
      </c>
    </row>
    <row r="2996" spans="1:8" x14ac:dyDescent="0.3">
      <c r="A2996">
        <v>2022</v>
      </c>
      <c r="B2996" t="s">
        <v>35</v>
      </c>
      <c r="C2996" t="s">
        <v>159</v>
      </c>
      <c r="D2996" s="1" t="s">
        <v>11</v>
      </c>
      <c r="E2996">
        <v>118.1</v>
      </c>
      <c r="F2996">
        <v>118.9</v>
      </c>
      <c r="G2996">
        <v>120.6</v>
      </c>
      <c r="H2996" s="1" t="s">
        <v>188</v>
      </c>
    </row>
    <row r="2997" spans="1:8" x14ac:dyDescent="0.3">
      <c r="A2997">
        <v>2022</v>
      </c>
      <c r="B2997" t="s">
        <v>35</v>
      </c>
      <c r="C2997" t="s">
        <v>159</v>
      </c>
      <c r="D2997" s="1" t="s">
        <v>24</v>
      </c>
      <c r="E2997">
        <v>161.19999999999999</v>
      </c>
      <c r="F2997">
        <v>156.9</v>
      </c>
      <c r="G2997">
        <v>153.1</v>
      </c>
      <c r="H2997" s="1" t="s">
        <v>191</v>
      </c>
    </row>
    <row r="2998" spans="1:8" x14ac:dyDescent="0.3">
      <c r="A2998">
        <v>2022</v>
      </c>
      <c r="B2998" t="s">
        <v>35</v>
      </c>
      <c r="C2998" t="s">
        <v>159</v>
      </c>
      <c r="D2998" s="1" t="s">
        <v>9</v>
      </c>
      <c r="E2998">
        <v>155.19999999999999</v>
      </c>
      <c r="F2998">
        <v>169.7</v>
      </c>
      <c r="G2998">
        <v>198</v>
      </c>
      <c r="H2998" s="1" t="s">
        <v>188</v>
      </c>
    </row>
    <row r="2999" spans="1:8" x14ac:dyDescent="0.3">
      <c r="A2999">
        <v>2022</v>
      </c>
      <c r="B2999" t="s">
        <v>31</v>
      </c>
      <c r="C2999" t="s">
        <v>160</v>
      </c>
      <c r="D2999" s="1" t="s">
        <v>3</v>
      </c>
      <c r="E2999">
        <v>148.30000000000001</v>
      </c>
      <c r="F2999">
        <v>149.5</v>
      </c>
      <c r="G2999">
        <v>152.19999999999999</v>
      </c>
      <c r="H2999" s="1" t="s">
        <v>188</v>
      </c>
    </row>
    <row r="3000" spans="1:8" x14ac:dyDescent="0.3">
      <c r="A3000">
        <v>2022</v>
      </c>
      <c r="B3000" t="s">
        <v>31</v>
      </c>
      <c r="C3000" t="s">
        <v>160</v>
      </c>
      <c r="D3000" s="1" t="s">
        <v>17</v>
      </c>
      <c r="E3000">
        <v>173.2</v>
      </c>
      <c r="F3000">
        <v>169.9</v>
      </c>
      <c r="G3000">
        <v>164.7</v>
      </c>
      <c r="H3000" s="1" t="s">
        <v>189</v>
      </c>
    </row>
    <row r="3001" spans="1:8" x14ac:dyDescent="0.3">
      <c r="A3001">
        <v>2022</v>
      </c>
      <c r="B3001" t="s">
        <v>31</v>
      </c>
      <c r="C3001" t="s">
        <v>160</v>
      </c>
      <c r="D3001" s="1" t="s">
        <v>19</v>
      </c>
      <c r="E3001">
        <v>172.7</v>
      </c>
      <c r="F3001">
        <v>168.5</v>
      </c>
      <c r="G3001">
        <v>162.19999999999999</v>
      </c>
      <c r="H3001" s="1" t="s">
        <v>189</v>
      </c>
    </row>
    <row r="3002" spans="1:8" x14ac:dyDescent="0.3">
      <c r="A3002">
        <v>2022</v>
      </c>
      <c r="B3002" t="s">
        <v>31</v>
      </c>
      <c r="C3002" t="s">
        <v>160</v>
      </c>
      <c r="D3002" s="1" t="s">
        <v>26</v>
      </c>
      <c r="E3002">
        <v>169.9</v>
      </c>
      <c r="F3002">
        <v>164.7</v>
      </c>
      <c r="G3002">
        <v>161</v>
      </c>
      <c r="H3002" s="1" t="s">
        <v>26</v>
      </c>
    </row>
    <row r="3003" spans="1:8" x14ac:dyDescent="0.3">
      <c r="A3003">
        <v>2022</v>
      </c>
      <c r="B3003" t="s">
        <v>31</v>
      </c>
      <c r="C3003" t="s">
        <v>160</v>
      </c>
      <c r="D3003" s="1" t="s">
        <v>5</v>
      </c>
      <c r="E3003">
        <v>178</v>
      </c>
      <c r="F3003">
        <v>178.8</v>
      </c>
      <c r="G3003">
        <v>180.1</v>
      </c>
      <c r="H3003" s="1" t="s">
        <v>188</v>
      </c>
    </row>
    <row r="3004" spans="1:8" x14ac:dyDescent="0.3">
      <c r="A3004">
        <v>2022</v>
      </c>
      <c r="B3004" t="s">
        <v>31</v>
      </c>
      <c r="C3004" t="s">
        <v>160</v>
      </c>
      <c r="D3004" s="1" t="s">
        <v>15</v>
      </c>
      <c r="E3004">
        <v>164.1</v>
      </c>
      <c r="F3004">
        <v>166.4</v>
      </c>
      <c r="G3004">
        <v>170.3</v>
      </c>
      <c r="H3004" s="1" t="s">
        <v>188</v>
      </c>
    </row>
    <row r="3005" spans="1:8" x14ac:dyDescent="0.3">
      <c r="A3005">
        <v>2022</v>
      </c>
      <c r="B3005" t="s">
        <v>31</v>
      </c>
      <c r="C3005" t="s">
        <v>160</v>
      </c>
      <c r="D3005" s="1" t="s">
        <v>18</v>
      </c>
      <c r="E3005">
        <v>169.3</v>
      </c>
      <c r="F3005">
        <v>160.69999999999999</v>
      </c>
      <c r="G3005">
        <v>148.5</v>
      </c>
      <c r="H3005" s="1" t="s">
        <v>189</v>
      </c>
    </row>
    <row r="3006" spans="1:8" x14ac:dyDescent="0.3">
      <c r="A3006">
        <v>2022</v>
      </c>
      <c r="B3006" t="s">
        <v>31</v>
      </c>
      <c r="C3006" t="s">
        <v>160</v>
      </c>
      <c r="D3006" s="1" t="s">
        <v>8</v>
      </c>
      <c r="E3006">
        <v>151.19999999999999</v>
      </c>
      <c r="F3006">
        <v>153.69999999999999</v>
      </c>
      <c r="G3006">
        <v>156.5</v>
      </c>
      <c r="H3006" s="1" t="s">
        <v>188</v>
      </c>
    </row>
    <row r="3007" spans="1:8" x14ac:dyDescent="0.3">
      <c r="A3007">
        <v>2022</v>
      </c>
      <c r="B3007" t="s">
        <v>31</v>
      </c>
      <c r="C3007" t="s">
        <v>160</v>
      </c>
      <c r="D3007" s="1" t="s">
        <v>21</v>
      </c>
      <c r="E3007">
        <v>165.8</v>
      </c>
      <c r="F3007">
        <v>164.2</v>
      </c>
      <c r="G3007">
        <v>161.6</v>
      </c>
      <c r="H3007" s="1" t="s">
        <v>190</v>
      </c>
    </row>
    <row r="3008" spans="1:8" x14ac:dyDescent="0.3">
      <c r="A3008">
        <v>2022</v>
      </c>
      <c r="B3008" t="s">
        <v>31</v>
      </c>
      <c r="C3008" t="s">
        <v>160</v>
      </c>
      <c r="D3008" s="1" t="s">
        <v>29</v>
      </c>
      <c r="E3008">
        <v>166.4</v>
      </c>
      <c r="F3008">
        <v>165.7</v>
      </c>
      <c r="G3008">
        <v>165</v>
      </c>
      <c r="H3008" s="1" t="s">
        <v>206</v>
      </c>
    </row>
    <row r="3009" spans="1:8" x14ac:dyDescent="0.3">
      <c r="A3009">
        <v>2022</v>
      </c>
      <c r="B3009" t="s">
        <v>31</v>
      </c>
      <c r="C3009" t="s">
        <v>160</v>
      </c>
      <c r="D3009" s="1" t="s">
        <v>23</v>
      </c>
      <c r="E3009">
        <v>174.7</v>
      </c>
      <c r="F3009">
        <v>171.4</v>
      </c>
      <c r="G3009">
        <v>166.1</v>
      </c>
      <c r="H3009" s="1" t="s">
        <v>23</v>
      </c>
    </row>
    <row r="3010" spans="1:8" x14ac:dyDescent="0.3">
      <c r="A3010">
        <v>2022</v>
      </c>
      <c r="B3010" t="s">
        <v>31</v>
      </c>
      <c r="C3010" t="s">
        <v>160</v>
      </c>
      <c r="D3010" s="1" t="s">
        <v>22</v>
      </c>
      <c r="E3010">
        <v>164.9</v>
      </c>
      <c r="F3010">
        <v>161.1</v>
      </c>
      <c r="G3010">
        <v>156.80000000000001</v>
      </c>
      <c r="H3010" s="1" t="s">
        <v>20</v>
      </c>
    </row>
    <row r="3011" spans="1:8" x14ac:dyDescent="0.3">
      <c r="A3011">
        <v>2022</v>
      </c>
      <c r="B3011" t="s">
        <v>31</v>
      </c>
      <c r="C3011" t="s">
        <v>160</v>
      </c>
      <c r="D3011" s="1" t="s">
        <v>20</v>
      </c>
      <c r="E3011">
        <v>0</v>
      </c>
      <c r="F3011">
        <v>164.5</v>
      </c>
      <c r="G3011">
        <v>164.5</v>
      </c>
      <c r="H3011" s="1" t="s">
        <v>20</v>
      </c>
    </row>
    <row r="3012" spans="1:8" x14ac:dyDescent="0.3">
      <c r="A3012">
        <v>2022</v>
      </c>
      <c r="B3012" t="s">
        <v>31</v>
      </c>
      <c r="C3012" t="s">
        <v>160</v>
      </c>
      <c r="D3012" s="1" t="s">
        <v>4</v>
      </c>
      <c r="E3012">
        <v>196.9</v>
      </c>
      <c r="F3012">
        <v>198.7</v>
      </c>
      <c r="G3012">
        <v>202.1</v>
      </c>
      <c r="H3012" s="1" t="s">
        <v>188</v>
      </c>
    </row>
    <row r="3013" spans="1:8" x14ac:dyDescent="0.3">
      <c r="A3013">
        <v>2022</v>
      </c>
      <c r="B3013" t="s">
        <v>31</v>
      </c>
      <c r="C3013" t="s">
        <v>160</v>
      </c>
      <c r="D3013" s="1" t="s">
        <v>6</v>
      </c>
      <c r="E3013">
        <v>160.5</v>
      </c>
      <c r="F3013">
        <v>160.5</v>
      </c>
      <c r="G3013">
        <v>160.4</v>
      </c>
      <c r="H3013" s="1" t="s">
        <v>188</v>
      </c>
    </row>
    <row r="3014" spans="1:8" x14ac:dyDescent="0.3">
      <c r="A3014">
        <v>2022</v>
      </c>
      <c r="B3014" t="s">
        <v>31</v>
      </c>
      <c r="C3014" t="s">
        <v>160</v>
      </c>
      <c r="D3014" s="1" t="s">
        <v>28</v>
      </c>
      <c r="E3014">
        <v>166.6</v>
      </c>
      <c r="F3014">
        <v>162.69999999999999</v>
      </c>
      <c r="G3014">
        <v>158.6</v>
      </c>
      <c r="H3014" s="1" t="s">
        <v>192</v>
      </c>
    </row>
    <row r="3015" spans="1:8" x14ac:dyDescent="0.3">
      <c r="A3015">
        <v>2022</v>
      </c>
      <c r="B3015" t="s">
        <v>31</v>
      </c>
      <c r="C3015" t="s">
        <v>160</v>
      </c>
      <c r="D3015" s="1" t="s">
        <v>13</v>
      </c>
      <c r="E3015">
        <v>169.8</v>
      </c>
      <c r="F3015">
        <v>164.3</v>
      </c>
      <c r="G3015">
        <v>156.6</v>
      </c>
      <c r="H3015" s="1" t="s">
        <v>188</v>
      </c>
    </row>
    <row r="3016" spans="1:8" x14ac:dyDescent="0.3">
      <c r="A3016">
        <v>2022</v>
      </c>
      <c r="B3016" t="s">
        <v>31</v>
      </c>
      <c r="C3016" t="s">
        <v>160</v>
      </c>
      <c r="D3016" s="1" t="s">
        <v>7</v>
      </c>
      <c r="E3016">
        <v>192.6</v>
      </c>
      <c r="F3016">
        <v>184.7</v>
      </c>
      <c r="G3016">
        <v>171</v>
      </c>
      <c r="H3016" s="1" t="s">
        <v>188</v>
      </c>
    </row>
    <row r="3017" spans="1:8" x14ac:dyDescent="0.3">
      <c r="A3017">
        <v>2022</v>
      </c>
      <c r="B3017" t="s">
        <v>31</v>
      </c>
      <c r="C3017" t="s">
        <v>160</v>
      </c>
      <c r="D3017" s="1" t="s">
        <v>16</v>
      </c>
      <c r="E3017">
        <v>190.7</v>
      </c>
      <c r="F3017">
        <v>192.2</v>
      </c>
      <c r="G3017">
        <v>196.4</v>
      </c>
      <c r="H3017" s="1" t="s">
        <v>192</v>
      </c>
    </row>
    <row r="3018" spans="1:8" x14ac:dyDescent="0.3">
      <c r="A3018">
        <v>2022</v>
      </c>
      <c r="B3018" t="s">
        <v>31</v>
      </c>
      <c r="C3018" t="s">
        <v>160</v>
      </c>
      <c r="D3018" s="1" t="s">
        <v>27</v>
      </c>
      <c r="E3018">
        <v>163.19999999999999</v>
      </c>
      <c r="F3018">
        <v>163</v>
      </c>
      <c r="G3018">
        <v>162.80000000000001</v>
      </c>
      <c r="H3018" s="1" t="s">
        <v>192</v>
      </c>
    </row>
    <row r="3019" spans="1:8" x14ac:dyDescent="0.3">
      <c r="A3019">
        <v>2022</v>
      </c>
      <c r="B3019" t="s">
        <v>31</v>
      </c>
      <c r="C3019" t="s">
        <v>160</v>
      </c>
      <c r="D3019" s="1" t="s">
        <v>14</v>
      </c>
      <c r="E3019">
        <v>175.8</v>
      </c>
      <c r="F3019">
        <v>177.3</v>
      </c>
      <c r="G3019">
        <v>179</v>
      </c>
      <c r="H3019" s="1" t="s">
        <v>188</v>
      </c>
    </row>
    <row r="3020" spans="1:8" x14ac:dyDescent="0.3">
      <c r="A3020">
        <v>2022</v>
      </c>
      <c r="B3020" t="s">
        <v>31</v>
      </c>
      <c r="C3020" t="s">
        <v>160</v>
      </c>
      <c r="D3020" s="1" t="s">
        <v>10</v>
      </c>
      <c r="E3020">
        <v>164</v>
      </c>
      <c r="F3020">
        <v>163.9</v>
      </c>
      <c r="G3020">
        <v>163.80000000000001</v>
      </c>
      <c r="H3020" s="1" t="s">
        <v>188</v>
      </c>
    </row>
    <row r="3021" spans="1:8" x14ac:dyDescent="0.3">
      <c r="A3021">
        <v>2022</v>
      </c>
      <c r="B3021" t="s">
        <v>31</v>
      </c>
      <c r="C3021" t="s">
        <v>160</v>
      </c>
      <c r="D3021" s="1" t="s">
        <v>25</v>
      </c>
      <c r="E3021">
        <v>164.9</v>
      </c>
      <c r="F3021">
        <v>161.19999999999999</v>
      </c>
      <c r="G3021">
        <v>158.4</v>
      </c>
      <c r="H3021" s="1" t="s">
        <v>195</v>
      </c>
    </row>
    <row r="3022" spans="1:8" x14ac:dyDescent="0.3">
      <c r="A3022">
        <v>2022</v>
      </c>
      <c r="B3022" t="s">
        <v>31</v>
      </c>
      <c r="C3022" t="s">
        <v>160</v>
      </c>
      <c r="D3022" s="1" t="s">
        <v>12</v>
      </c>
      <c r="E3022">
        <v>173.3</v>
      </c>
      <c r="F3022">
        <v>172.1</v>
      </c>
      <c r="G3022">
        <v>169.8</v>
      </c>
      <c r="H3022" s="1" t="s">
        <v>188</v>
      </c>
    </row>
    <row r="3023" spans="1:8" x14ac:dyDescent="0.3">
      <c r="A3023">
        <v>2022</v>
      </c>
      <c r="B3023" t="s">
        <v>31</v>
      </c>
      <c r="C3023" t="s">
        <v>160</v>
      </c>
      <c r="D3023" s="1" t="s">
        <v>11</v>
      </c>
      <c r="E3023">
        <v>119.3</v>
      </c>
      <c r="F3023">
        <v>120</v>
      </c>
      <c r="G3023">
        <v>121.3</v>
      </c>
      <c r="H3023" s="1" t="s">
        <v>188</v>
      </c>
    </row>
    <row r="3024" spans="1:8" x14ac:dyDescent="0.3">
      <c r="A3024">
        <v>2022</v>
      </c>
      <c r="B3024" t="s">
        <v>31</v>
      </c>
      <c r="C3024" t="s">
        <v>160</v>
      </c>
      <c r="D3024" s="1" t="s">
        <v>24</v>
      </c>
      <c r="E3024">
        <v>160.80000000000001</v>
      </c>
      <c r="F3024">
        <v>156.5</v>
      </c>
      <c r="G3024">
        <v>152.69999999999999</v>
      </c>
      <c r="H3024" s="1" t="s">
        <v>191</v>
      </c>
    </row>
    <row r="3025" spans="1:8" x14ac:dyDescent="0.3">
      <c r="A3025">
        <v>2022</v>
      </c>
      <c r="B3025" t="s">
        <v>31</v>
      </c>
      <c r="C3025" t="s">
        <v>160</v>
      </c>
      <c r="D3025" s="1" t="s">
        <v>9</v>
      </c>
      <c r="E3025">
        <v>159.19999999999999</v>
      </c>
      <c r="F3025">
        <v>174.3</v>
      </c>
      <c r="G3025">
        <v>203.6</v>
      </c>
      <c r="H3025" s="1" t="s">
        <v>188</v>
      </c>
    </row>
    <row r="3026" spans="1:8" x14ac:dyDescent="0.3">
      <c r="A3026">
        <v>2022</v>
      </c>
      <c r="B3026" t="s">
        <v>40</v>
      </c>
      <c r="C3026" t="s">
        <v>161</v>
      </c>
      <c r="D3026" s="1" t="s">
        <v>3</v>
      </c>
      <c r="E3026">
        <v>155.19999999999999</v>
      </c>
      <c r="F3026">
        <v>156.5</v>
      </c>
      <c r="G3026">
        <v>159.30000000000001</v>
      </c>
      <c r="H3026" s="1" t="s">
        <v>188</v>
      </c>
    </row>
    <row r="3027" spans="1:8" x14ac:dyDescent="0.3">
      <c r="A3027">
        <v>2022</v>
      </c>
      <c r="B3027" t="s">
        <v>40</v>
      </c>
      <c r="C3027" t="s">
        <v>161</v>
      </c>
      <c r="D3027" s="1" t="s">
        <v>17</v>
      </c>
      <c r="E3027">
        <v>182</v>
      </c>
      <c r="F3027">
        <v>178.3</v>
      </c>
      <c r="G3027">
        <v>172.7</v>
      </c>
      <c r="H3027" s="1" t="s">
        <v>189</v>
      </c>
    </row>
    <row r="3028" spans="1:8" x14ac:dyDescent="0.3">
      <c r="A3028">
        <v>2022</v>
      </c>
      <c r="B3028" t="s">
        <v>40</v>
      </c>
      <c r="C3028" t="s">
        <v>161</v>
      </c>
      <c r="D3028" s="1" t="s">
        <v>19</v>
      </c>
      <c r="E3028">
        <v>181.7</v>
      </c>
      <c r="F3028">
        <v>177.3</v>
      </c>
      <c r="G3028">
        <v>170.6</v>
      </c>
      <c r="H3028" s="1" t="s">
        <v>189</v>
      </c>
    </row>
    <row r="3029" spans="1:8" x14ac:dyDescent="0.3">
      <c r="A3029">
        <v>2022</v>
      </c>
      <c r="B3029" t="s">
        <v>40</v>
      </c>
      <c r="C3029" t="s">
        <v>161</v>
      </c>
      <c r="D3029" s="1" t="s">
        <v>26</v>
      </c>
      <c r="E3029">
        <v>174.7</v>
      </c>
      <c r="F3029">
        <v>171.4</v>
      </c>
      <c r="G3029">
        <v>169.1</v>
      </c>
      <c r="H3029" s="1" t="s">
        <v>26</v>
      </c>
    </row>
    <row r="3030" spans="1:8" x14ac:dyDescent="0.3">
      <c r="A3030">
        <v>2022</v>
      </c>
      <c r="B3030" t="s">
        <v>40</v>
      </c>
      <c r="C3030" t="s">
        <v>161</v>
      </c>
      <c r="D3030" s="1" t="s">
        <v>5</v>
      </c>
      <c r="E3030">
        <v>174.3</v>
      </c>
      <c r="F3030">
        <v>175.2</v>
      </c>
      <c r="G3030">
        <v>176.6</v>
      </c>
      <c r="H3030" s="1" t="s">
        <v>188</v>
      </c>
    </row>
    <row r="3031" spans="1:8" x14ac:dyDescent="0.3">
      <c r="A3031">
        <v>2022</v>
      </c>
      <c r="B3031" t="s">
        <v>40</v>
      </c>
      <c r="C3031" t="s">
        <v>161</v>
      </c>
      <c r="D3031" s="1" t="s">
        <v>15</v>
      </c>
      <c r="E3031">
        <v>172.5</v>
      </c>
      <c r="F3031">
        <v>175</v>
      </c>
      <c r="G3031">
        <v>179.4</v>
      </c>
      <c r="H3031" s="1" t="s">
        <v>188</v>
      </c>
    </row>
    <row r="3032" spans="1:8" x14ac:dyDescent="0.3">
      <c r="A3032">
        <v>2022</v>
      </c>
      <c r="B3032" t="s">
        <v>40</v>
      </c>
      <c r="C3032" t="s">
        <v>161</v>
      </c>
      <c r="D3032" s="1" t="s">
        <v>18</v>
      </c>
      <c r="E3032">
        <v>180.3</v>
      </c>
      <c r="F3032">
        <v>171.3</v>
      </c>
      <c r="G3032">
        <v>158.69999999999999</v>
      </c>
      <c r="H3032" s="1" t="s">
        <v>189</v>
      </c>
    </row>
    <row r="3033" spans="1:8" x14ac:dyDescent="0.3">
      <c r="A3033">
        <v>2022</v>
      </c>
      <c r="B3033" t="s">
        <v>40</v>
      </c>
      <c r="C3033" t="s">
        <v>161</v>
      </c>
      <c r="D3033" s="1" t="s">
        <v>8</v>
      </c>
      <c r="E3033">
        <v>169.6</v>
      </c>
      <c r="F3033">
        <v>174.2</v>
      </c>
      <c r="G3033">
        <v>179.5</v>
      </c>
      <c r="H3033" s="1" t="s">
        <v>188</v>
      </c>
    </row>
    <row r="3034" spans="1:8" x14ac:dyDescent="0.3">
      <c r="A3034">
        <v>2022</v>
      </c>
      <c r="B3034" t="s">
        <v>40</v>
      </c>
      <c r="C3034" t="s">
        <v>161</v>
      </c>
      <c r="D3034" s="1" t="s">
        <v>21</v>
      </c>
      <c r="E3034">
        <v>179.6</v>
      </c>
      <c r="F3034">
        <v>179.6</v>
      </c>
      <c r="G3034">
        <v>179.5</v>
      </c>
      <c r="H3034" s="1" t="s">
        <v>190</v>
      </c>
    </row>
    <row r="3035" spans="1:8" x14ac:dyDescent="0.3">
      <c r="A3035">
        <v>2022</v>
      </c>
      <c r="B3035" t="s">
        <v>40</v>
      </c>
      <c r="C3035" t="s">
        <v>161</v>
      </c>
      <c r="D3035" s="1" t="s">
        <v>29</v>
      </c>
      <c r="E3035">
        <v>174.3</v>
      </c>
      <c r="F3035">
        <v>173.4</v>
      </c>
      <c r="G3035">
        <v>172.3</v>
      </c>
      <c r="H3035" s="1" t="s">
        <v>206</v>
      </c>
    </row>
    <row r="3036" spans="1:8" x14ac:dyDescent="0.3">
      <c r="A3036">
        <v>2022</v>
      </c>
      <c r="B3036" t="s">
        <v>40</v>
      </c>
      <c r="C3036" t="s">
        <v>161</v>
      </c>
      <c r="D3036" s="1" t="s">
        <v>23</v>
      </c>
      <c r="E3036">
        <v>178.8</v>
      </c>
      <c r="F3036">
        <v>176.1</v>
      </c>
      <c r="G3036">
        <v>171.7</v>
      </c>
      <c r="H3036" s="1" t="s">
        <v>23</v>
      </c>
    </row>
    <row r="3037" spans="1:8" x14ac:dyDescent="0.3">
      <c r="A3037">
        <v>2022</v>
      </c>
      <c r="B3037" t="s">
        <v>40</v>
      </c>
      <c r="C3037" t="s">
        <v>161</v>
      </c>
      <c r="D3037" s="1" t="s">
        <v>22</v>
      </c>
      <c r="E3037">
        <v>171.3</v>
      </c>
      <c r="F3037">
        <v>167.4</v>
      </c>
      <c r="G3037">
        <v>163.1</v>
      </c>
      <c r="H3037" s="1" t="s">
        <v>20</v>
      </c>
    </row>
    <row r="3038" spans="1:8" x14ac:dyDescent="0.3">
      <c r="A3038">
        <v>2022</v>
      </c>
      <c r="B3038" t="s">
        <v>40</v>
      </c>
      <c r="C3038" t="s">
        <v>161</v>
      </c>
      <c r="D3038" s="1" t="s">
        <v>20</v>
      </c>
      <c r="E3038">
        <v>0</v>
      </c>
      <c r="F3038">
        <v>167.8</v>
      </c>
      <c r="G3038">
        <v>167.8</v>
      </c>
      <c r="H3038" s="1" t="s">
        <v>20</v>
      </c>
    </row>
    <row r="3039" spans="1:8" x14ac:dyDescent="0.3">
      <c r="A3039">
        <v>2022</v>
      </c>
      <c r="B3039" t="s">
        <v>40</v>
      </c>
      <c r="C3039" t="s">
        <v>161</v>
      </c>
      <c r="D3039" s="1" t="s">
        <v>4</v>
      </c>
      <c r="E3039">
        <v>210.8</v>
      </c>
      <c r="F3039">
        <v>213</v>
      </c>
      <c r="G3039">
        <v>217.1</v>
      </c>
      <c r="H3039" s="1" t="s">
        <v>188</v>
      </c>
    </row>
    <row r="3040" spans="1:8" x14ac:dyDescent="0.3">
      <c r="A3040">
        <v>2022</v>
      </c>
      <c r="B3040" t="s">
        <v>40</v>
      </c>
      <c r="C3040" t="s">
        <v>161</v>
      </c>
      <c r="D3040" s="1" t="s">
        <v>6</v>
      </c>
      <c r="E3040">
        <v>166.3</v>
      </c>
      <c r="F3040">
        <v>166.6</v>
      </c>
      <c r="G3040">
        <v>167.1</v>
      </c>
      <c r="H3040" s="1" t="s">
        <v>188</v>
      </c>
    </row>
    <row r="3041" spans="1:8" x14ac:dyDescent="0.3">
      <c r="A3041">
        <v>2022</v>
      </c>
      <c r="B3041" t="s">
        <v>40</v>
      </c>
      <c r="C3041" t="s">
        <v>161</v>
      </c>
      <c r="D3041" s="1" t="s">
        <v>28</v>
      </c>
      <c r="E3041">
        <v>171.8</v>
      </c>
      <c r="F3041">
        <v>168.4</v>
      </c>
      <c r="G3041">
        <v>164.7</v>
      </c>
      <c r="H3041" s="1" t="s">
        <v>192</v>
      </c>
    </row>
    <row r="3042" spans="1:8" x14ac:dyDescent="0.3">
      <c r="A3042">
        <v>2022</v>
      </c>
      <c r="B3042" t="s">
        <v>40</v>
      </c>
      <c r="C3042" t="s">
        <v>161</v>
      </c>
      <c r="D3042" s="1" t="s">
        <v>13</v>
      </c>
      <c r="E3042">
        <v>174.5</v>
      </c>
      <c r="F3042">
        <v>168.4</v>
      </c>
      <c r="G3042">
        <v>159.80000000000001</v>
      </c>
      <c r="H3042" s="1" t="s">
        <v>188</v>
      </c>
    </row>
    <row r="3043" spans="1:8" x14ac:dyDescent="0.3">
      <c r="A3043">
        <v>2022</v>
      </c>
      <c r="B3043" t="s">
        <v>40</v>
      </c>
      <c r="C3043" t="s">
        <v>161</v>
      </c>
      <c r="D3043" s="1" t="s">
        <v>7</v>
      </c>
      <c r="E3043">
        <v>202.2</v>
      </c>
      <c r="F3043">
        <v>195.8</v>
      </c>
      <c r="G3043">
        <v>184.8</v>
      </c>
      <c r="H3043" s="1" t="s">
        <v>188</v>
      </c>
    </row>
    <row r="3044" spans="1:8" x14ac:dyDescent="0.3">
      <c r="A3044">
        <v>2022</v>
      </c>
      <c r="B3044" t="s">
        <v>40</v>
      </c>
      <c r="C3044" t="s">
        <v>161</v>
      </c>
      <c r="D3044" s="1" t="s">
        <v>16</v>
      </c>
      <c r="E3044">
        <v>193.2</v>
      </c>
      <c r="F3044">
        <v>194.6</v>
      </c>
      <c r="G3044">
        <v>198.6</v>
      </c>
      <c r="H3044" s="1" t="s">
        <v>192</v>
      </c>
    </row>
    <row r="3045" spans="1:8" x14ac:dyDescent="0.3">
      <c r="A3045">
        <v>2022</v>
      </c>
      <c r="B3045" t="s">
        <v>40</v>
      </c>
      <c r="C3045" t="s">
        <v>161</v>
      </c>
      <c r="D3045" s="1" t="s">
        <v>27</v>
      </c>
      <c r="E3045">
        <v>169.7</v>
      </c>
      <c r="F3045">
        <v>169.7</v>
      </c>
      <c r="G3045">
        <v>169.8</v>
      </c>
      <c r="H3045" s="1" t="s">
        <v>192</v>
      </c>
    </row>
    <row r="3046" spans="1:8" x14ac:dyDescent="0.3">
      <c r="A3046">
        <v>2022</v>
      </c>
      <c r="B3046" t="s">
        <v>40</v>
      </c>
      <c r="C3046" t="s">
        <v>161</v>
      </c>
      <c r="D3046" s="1" t="s">
        <v>14</v>
      </c>
      <c r="E3046">
        <v>183.1</v>
      </c>
      <c r="F3046">
        <v>185.2</v>
      </c>
      <c r="G3046">
        <v>187.7</v>
      </c>
      <c r="H3046" s="1" t="s">
        <v>188</v>
      </c>
    </row>
    <row r="3047" spans="1:8" x14ac:dyDescent="0.3">
      <c r="A3047">
        <v>2022</v>
      </c>
      <c r="B3047" t="s">
        <v>40</v>
      </c>
      <c r="C3047" t="s">
        <v>161</v>
      </c>
      <c r="D3047" s="1" t="s">
        <v>10</v>
      </c>
      <c r="E3047">
        <v>164.4</v>
      </c>
      <c r="F3047">
        <v>164.3</v>
      </c>
      <c r="G3047">
        <v>164</v>
      </c>
      <c r="H3047" s="1" t="s">
        <v>188</v>
      </c>
    </row>
    <row r="3048" spans="1:8" x14ac:dyDescent="0.3">
      <c r="A3048">
        <v>2022</v>
      </c>
      <c r="B3048" t="s">
        <v>40</v>
      </c>
      <c r="C3048" t="s">
        <v>161</v>
      </c>
      <c r="D3048" s="1" t="s">
        <v>25</v>
      </c>
      <c r="E3048">
        <v>168.6</v>
      </c>
      <c r="F3048">
        <v>166.3</v>
      </c>
      <c r="G3048">
        <v>164.6</v>
      </c>
      <c r="H3048" s="1" t="s">
        <v>195</v>
      </c>
    </row>
    <row r="3049" spans="1:8" x14ac:dyDescent="0.3">
      <c r="A3049">
        <v>2022</v>
      </c>
      <c r="B3049" t="s">
        <v>40</v>
      </c>
      <c r="C3049" t="s">
        <v>161</v>
      </c>
      <c r="D3049" s="1" t="s">
        <v>12</v>
      </c>
      <c r="E3049">
        <v>191.8</v>
      </c>
      <c r="F3049">
        <v>190</v>
      </c>
      <c r="G3049">
        <v>186.3</v>
      </c>
      <c r="H3049" s="1" t="s">
        <v>188</v>
      </c>
    </row>
    <row r="3050" spans="1:8" x14ac:dyDescent="0.3">
      <c r="A3050">
        <v>2022</v>
      </c>
      <c r="B3050" t="s">
        <v>40</v>
      </c>
      <c r="C3050" t="s">
        <v>161</v>
      </c>
      <c r="D3050" s="1" t="s">
        <v>11</v>
      </c>
      <c r="E3050">
        <v>119.2</v>
      </c>
      <c r="F3050">
        <v>120</v>
      </c>
      <c r="G3050">
        <v>121.5</v>
      </c>
      <c r="H3050" s="1" t="s">
        <v>188</v>
      </c>
    </row>
    <row r="3051" spans="1:8" x14ac:dyDescent="0.3">
      <c r="A3051">
        <v>2022</v>
      </c>
      <c r="B3051" t="s">
        <v>40</v>
      </c>
      <c r="C3051" t="s">
        <v>161</v>
      </c>
      <c r="D3051" s="1" t="s">
        <v>24</v>
      </c>
      <c r="E3051">
        <v>166.3</v>
      </c>
      <c r="F3051">
        <v>161.6</v>
      </c>
      <c r="G3051">
        <v>157.4</v>
      </c>
      <c r="H3051" s="1" t="s">
        <v>191</v>
      </c>
    </row>
    <row r="3052" spans="1:8" x14ac:dyDescent="0.3">
      <c r="A3052">
        <v>2022</v>
      </c>
      <c r="B3052" t="s">
        <v>40</v>
      </c>
      <c r="C3052" t="s">
        <v>161</v>
      </c>
      <c r="D3052" s="1" t="s">
        <v>9</v>
      </c>
      <c r="E3052">
        <v>168.6</v>
      </c>
      <c r="F3052">
        <v>182.1</v>
      </c>
      <c r="G3052">
        <v>208.5</v>
      </c>
      <c r="H3052" s="1" t="s">
        <v>188</v>
      </c>
    </row>
    <row r="3053" spans="1:8" x14ac:dyDescent="0.3">
      <c r="A3053">
        <v>2022</v>
      </c>
      <c r="B3053" t="s">
        <v>39</v>
      </c>
      <c r="C3053" t="s">
        <v>162</v>
      </c>
      <c r="D3053" s="1" t="s">
        <v>3</v>
      </c>
      <c r="E3053">
        <v>153.80000000000001</v>
      </c>
      <c r="F3053">
        <v>155</v>
      </c>
      <c r="G3053">
        <v>157.5</v>
      </c>
      <c r="H3053" s="1" t="s">
        <v>188</v>
      </c>
    </row>
    <row r="3054" spans="1:8" x14ac:dyDescent="0.3">
      <c r="A3054">
        <v>2022</v>
      </c>
      <c r="B3054" t="s">
        <v>39</v>
      </c>
      <c r="C3054" t="s">
        <v>162</v>
      </c>
      <c r="D3054" s="1" t="s">
        <v>17</v>
      </c>
      <c r="E3054">
        <v>180.7</v>
      </c>
      <c r="F3054">
        <v>177.1</v>
      </c>
      <c r="G3054">
        <v>171.6</v>
      </c>
      <c r="H3054" s="1" t="s">
        <v>189</v>
      </c>
    </row>
    <row r="3055" spans="1:8" x14ac:dyDescent="0.3">
      <c r="A3055">
        <v>2022</v>
      </c>
      <c r="B3055" t="s">
        <v>39</v>
      </c>
      <c r="C3055" t="s">
        <v>162</v>
      </c>
      <c r="D3055" s="1" t="s">
        <v>19</v>
      </c>
      <c r="E3055">
        <v>180.4</v>
      </c>
      <c r="F3055">
        <v>176</v>
      </c>
      <c r="G3055">
        <v>169.4</v>
      </c>
      <c r="H3055" s="1" t="s">
        <v>189</v>
      </c>
    </row>
    <row r="3056" spans="1:8" x14ac:dyDescent="0.3">
      <c r="A3056">
        <v>2022</v>
      </c>
      <c r="B3056" t="s">
        <v>39</v>
      </c>
      <c r="C3056" t="s">
        <v>162</v>
      </c>
      <c r="D3056" s="1" t="s">
        <v>26</v>
      </c>
      <c r="E3056">
        <v>172.6</v>
      </c>
      <c r="F3056">
        <v>169</v>
      </c>
      <c r="G3056">
        <v>166.5</v>
      </c>
      <c r="H3056" s="1" t="s">
        <v>26</v>
      </c>
    </row>
    <row r="3057" spans="1:8" x14ac:dyDescent="0.3">
      <c r="A3057">
        <v>2022</v>
      </c>
      <c r="B3057" t="s">
        <v>39</v>
      </c>
      <c r="C3057" t="s">
        <v>162</v>
      </c>
      <c r="D3057" s="1" t="s">
        <v>5</v>
      </c>
      <c r="E3057">
        <v>169.6</v>
      </c>
      <c r="F3057">
        <v>170.8</v>
      </c>
      <c r="G3057">
        <v>172.8</v>
      </c>
      <c r="H3057" s="1" t="s">
        <v>188</v>
      </c>
    </row>
    <row r="3058" spans="1:8" x14ac:dyDescent="0.3">
      <c r="A3058">
        <v>2022</v>
      </c>
      <c r="B3058" t="s">
        <v>39</v>
      </c>
      <c r="C3058" t="s">
        <v>162</v>
      </c>
      <c r="D3058" s="1" t="s">
        <v>15</v>
      </c>
      <c r="E3058">
        <v>172.4</v>
      </c>
      <c r="F3058">
        <v>174.9</v>
      </c>
      <c r="G3058">
        <v>179.3</v>
      </c>
      <c r="H3058" s="1" t="s">
        <v>188</v>
      </c>
    </row>
    <row r="3059" spans="1:8" x14ac:dyDescent="0.3">
      <c r="A3059">
        <v>2022</v>
      </c>
      <c r="B3059" t="s">
        <v>39</v>
      </c>
      <c r="C3059" t="s">
        <v>162</v>
      </c>
      <c r="D3059" s="1" t="s">
        <v>18</v>
      </c>
      <c r="E3059">
        <v>178.7</v>
      </c>
      <c r="F3059">
        <v>169.9</v>
      </c>
      <c r="G3059">
        <v>157.4</v>
      </c>
      <c r="H3059" s="1" t="s">
        <v>189</v>
      </c>
    </row>
    <row r="3060" spans="1:8" x14ac:dyDescent="0.3">
      <c r="A3060">
        <v>2022</v>
      </c>
      <c r="B3060" t="s">
        <v>39</v>
      </c>
      <c r="C3060" t="s">
        <v>162</v>
      </c>
      <c r="D3060" s="1" t="s">
        <v>8</v>
      </c>
      <c r="E3060">
        <v>165.8</v>
      </c>
      <c r="F3060">
        <v>169.7</v>
      </c>
      <c r="G3060">
        <v>174.1</v>
      </c>
      <c r="H3060" s="1" t="s">
        <v>188</v>
      </c>
    </row>
    <row r="3061" spans="1:8" x14ac:dyDescent="0.3">
      <c r="A3061">
        <v>2022</v>
      </c>
      <c r="B3061" t="s">
        <v>39</v>
      </c>
      <c r="C3061" t="s">
        <v>162</v>
      </c>
      <c r="D3061" s="1" t="s">
        <v>21</v>
      </c>
      <c r="E3061">
        <v>176.7</v>
      </c>
      <c r="F3061">
        <v>176</v>
      </c>
      <c r="G3061">
        <v>174.9</v>
      </c>
      <c r="H3061" s="1" t="s">
        <v>190</v>
      </c>
    </row>
    <row r="3062" spans="1:8" x14ac:dyDescent="0.3">
      <c r="A3062">
        <v>2022</v>
      </c>
      <c r="B3062" t="s">
        <v>39</v>
      </c>
      <c r="C3062" t="s">
        <v>162</v>
      </c>
      <c r="D3062" s="1" t="s">
        <v>29</v>
      </c>
      <c r="E3062">
        <v>173.6</v>
      </c>
      <c r="F3062">
        <v>172.6</v>
      </c>
      <c r="G3062">
        <v>171.4</v>
      </c>
      <c r="H3062" s="1" t="s">
        <v>206</v>
      </c>
    </row>
    <row r="3063" spans="1:8" x14ac:dyDescent="0.3">
      <c r="A3063">
        <v>2022</v>
      </c>
      <c r="B3063" t="s">
        <v>39</v>
      </c>
      <c r="C3063" t="s">
        <v>162</v>
      </c>
      <c r="D3063" s="1" t="s">
        <v>23</v>
      </c>
      <c r="E3063">
        <v>178.2</v>
      </c>
      <c r="F3063">
        <v>175.4</v>
      </c>
      <c r="G3063">
        <v>170.9</v>
      </c>
      <c r="H3063" s="1" t="s">
        <v>23</v>
      </c>
    </row>
    <row r="3064" spans="1:8" x14ac:dyDescent="0.3">
      <c r="A3064">
        <v>2022</v>
      </c>
      <c r="B3064" t="s">
        <v>39</v>
      </c>
      <c r="C3064" t="s">
        <v>162</v>
      </c>
      <c r="D3064" s="1" t="s">
        <v>22</v>
      </c>
      <c r="E3064">
        <v>170.3</v>
      </c>
      <c r="F3064">
        <v>166.4</v>
      </c>
      <c r="G3064">
        <v>162.1</v>
      </c>
      <c r="H3064" s="1" t="s">
        <v>20</v>
      </c>
    </row>
    <row r="3065" spans="1:8" x14ac:dyDescent="0.3">
      <c r="A3065">
        <v>2022</v>
      </c>
      <c r="B3065" t="s">
        <v>39</v>
      </c>
      <c r="C3065" t="s">
        <v>162</v>
      </c>
      <c r="D3065" s="1" t="s">
        <v>20</v>
      </c>
      <c r="E3065">
        <v>0</v>
      </c>
      <c r="F3065">
        <v>166.8</v>
      </c>
      <c r="G3065">
        <v>166.8</v>
      </c>
      <c r="H3065" s="1" t="s">
        <v>20</v>
      </c>
    </row>
    <row r="3066" spans="1:8" x14ac:dyDescent="0.3">
      <c r="A3066">
        <v>2022</v>
      </c>
      <c r="B3066" t="s">
        <v>39</v>
      </c>
      <c r="C3066" t="s">
        <v>162</v>
      </c>
      <c r="D3066" s="1" t="s">
        <v>4</v>
      </c>
      <c r="E3066">
        <v>217.2</v>
      </c>
      <c r="F3066">
        <v>219.4</v>
      </c>
      <c r="G3066">
        <v>223.4</v>
      </c>
      <c r="H3066" s="1" t="s">
        <v>188</v>
      </c>
    </row>
    <row r="3067" spans="1:8" x14ac:dyDescent="0.3">
      <c r="A3067">
        <v>2022</v>
      </c>
      <c r="B3067" t="s">
        <v>39</v>
      </c>
      <c r="C3067" t="s">
        <v>162</v>
      </c>
      <c r="D3067" s="1" t="s">
        <v>6</v>
      </c>
      <c r="E3067">
        <v>165.4</v>
      </c>
      <c r="F3067">
        <v>165.8</v>
      </c>
      <c r="G3067">
        <v>166.4</v>
      </c>
      <c r="H3067" s="1" t="s">
        <v>188</v>
      </c>
    </row>
    <row r="3068" spans="1:8" x14ac:dyDescent="0.3">
      <c r="A3068">
        <v>2022</v>
      </c>
      <c r="B3068" t="s">
        <v>39</v>
      </c>
      <c r="C3068" t="s">
        <v>162</v>
      </c>
      <c r="D3068" s="1" t="s">
        <v>28</v>
      </c>
      <c r="E3068">
        <v>171</v>
      </c>
      <c r="F3068">
        <v>167.5</v>
      </c>
      <c r="G3068">
        <v>163.80000000000001</v>
      </c>
      <c r="H3068" s="1" t="s">
        <v>192</v>
      </c>
    </row>
    <row r="3069" spans="1:8" x14ac:dyDescent="0.3">
      <c r="A3069">
        <v>2022</v>
      </c>
      <c r="B3069" t="s">
        <v>39</v>
      </c>
      <c r="C3069" t="s">
        <v>162</v>
      </c>
      <c r="D3069" s="1" t="s">
        <v>13</v>
      </c>
      <c r="E3069">
        <v>174.2</v>
      </c>
      <c r="F3069">
        <v>167.9</v>
      </c>
      <c r="G3069">
        <v>159.1</v>
      </c>
      <c r="H3069" s="1" t="s">
        <v>188</v>
      </c>
    </row>
    <row r="3070" spans="1:8" x14ac:dyDescent="0.3">
      <c r="A3070">
        <v>2022</v>
      </c>
      <c r="B3070" t="s">
        <v>39</v>
      </c>
      <c r="C3070" t="s">
        <v>162</v>
      </c>
      <c r="D3070" s="1" t="s">
        <v>7</v>
      </c>
      <c r="E3070">
        <v>208.1</v>
      </c>
      <c r="F3070">
        <v>200.9</v>
      </c>
      <c r="G3070">
        <v>188.6</v>
      </c>
      <c r="H3070" s="1" t="s">
        <v>188</v>
      </c>
    </row>
    <row r="3071" spans="1:8" x14ac:dyDescent="0.3">
      <c r="A3071">
        <v>2022</v>
      </c>
      <c r="B3071" t="s">
        <v>39</v>
      </c>
      <c r="C3071" t="s">
        <v>162</v>
      </c>
      <c r="D3071" s="1" t="s">
        <v>16</v>
      </c>
      <c r="E3071">
        <v>192.9</v>
      </c>
      <c r="F3071">
        <v>194.3</v>
      </c>
      <c r="G3071">
        <v>198.3</v>
      </c>
      <c r="H3071" s="1" t="s">
        <v>192</v>
      </c>
    </row>
    <row r="3072" spans="1:8" x14ac:dyDescent="0.3">
      <c r="A3072">
        <v>2022</v>
      </c>
      <c r="B3072" t="s">
        <v>39</v>
      </c>
      <c r="C3072" t="s">
        <v>162</v>
      </c>
      <c r="D3072" s="1" t="s">
        <v>27</v>
      </c>
      <c r="E3072">
        <v>169.5</v>
      </c>
      <c r="F3072">
        <v>169.4</v>
      </c>
      <c r="G3072">
        <v>169.2</v>
      </c>
      <c r="H3072" s="1" t="s">
        <v>192</v>
      </c>
    </row>
    <row r="3073" spans="1:8" x14ac:dyDescent="0.3">
      <c r="A3073">
        <v>2022</v>
      </c>
      <c r="B3073" t="s">
        <v>39</v>
      </c>
      <c r="C3073" t="s">
        <v>162</v>
      </c>
      <c r="D3073" s="1" t="s">
        <v>14</v>
      </c>
      <c r="E3073">
        <v>181.9</v>
      </c>
      <c r="F3073">
        <v>183.9</v>
      </c>
      <c r="G3073">
        <v>186.3</v>
      </c>
      <c r="H3073" s="1" t="s">
        <v>188</v>
      </c>
    </row>
    <row r="3074" spans="1:8" x14ac:dyDescent="0.3">
      <c r="A3074">
        <v>2022</v>
      </c>
      <c r="B3074" t="s">
        <v>39</v>
      </c>
      <c r="C3074" t="s">
        <v>162</v>
      </c>
      <c r="D3074" s="1" t="s">
        <v>10</v>
      </c>
      <c r="E3074">
        <v>164.6</v>
      </c>
      <c r="F3074">
        <v>164.3</v>
      </c>
      <c r="G3074">
        <v>163.6</v>
      </c>
      <c r="H3074" s="1" t="s">
        <v>188</v>
      </c>
    </row>
    <row r="3075" spans="1:8" x14ac:dyDescent="0.3">
      <c r="A3075">
        <v>2022</v>
      </c>
      <c r="B3075" t="s">
        <v>39</v>
      </c>
      <c r="C3075" t="s">
        <v>162</v>
      </c>
      <c r="D3075" s="1" t="s">
        <v>25</v>
      </c>
      <c r="E3075">
        <v>168</v>
      </c>
      <c r="F3075">
        <v>165.8</v>
      </c>
      <c r="G3075">
        <v>164.1</v>
      </c>
      <c r="H3075" s="1" t="s">
        <v>195</v>
      </c>
    </row>
    <row r="3076" spans="1:8" x14ac:dyDescent="0.3">
      <c r="A3076">
        <v>2022</v>
      </c>
      <c r="B3076" t="s">
        <v>39</v>
      </c>
      <c r="C3076" t="s">
        <v>162</v>
      </c>
      <c r="D3076" s="1" t="s">
        <v>12</v>
      </c>
      <c r="E3076">
        <v>188.9</v>
      </c>
      <c r="F3076">
        <v>187.1</v>
      </c>
      <c r="G3076">
        <v>183.5</v>
      </c>
      <c r="H3076" s="1" t="s">
        <v>188</v>
      </c>
    </row>
    <row r="3077" spans="1:8" x14ac:dyDescent="0.3">
      <c r="A3077">
        <v>2022</v>
      </c>
      <c r="B3077" t="s">
        <v>39</v>
      </c>
      <c r="C3077" t="s">
        <v>162</v>
      </c>
      <c r="D3077" s="1" t="s">
        <v>11</v>
      </c>
      <c r="E3077">
        <v>119.1</v>
      </c>
      <c r="F3077">
        <v>119.9</v>
      </c>
      <c r="G3077">
        <v>121.4</v>
      </c>
      <c r="H3077" s="1" t="s">
        <v>188</v>
      </c>
    </row>
    <row r="3078" spans="1:8" x14ac:dyDescent="0.3">
      <c r="A3078">
        <v>2022</v>
      </c>
      <c r="B3078" t="s">
        <v>39</v>
      </c>
      <c r="C3078" t="s">
        <v>162</v>
      </c>
      <c r="D3078" s="1" t="s">
        <v>24</v>
      </c>
      <c r="E3078">
        <v>165.5</v>
      </c>
      <c r="F3078">
        <v>161.1</v>
      </c>
      <c r="G3078">
        <v>157.19999999999999</v>
      </c>
      <c r="H3078" s="1" t="s">
        <v>191</v>
      </c>
    </row>
    <row r="3079" spans="1:8" x14ac:dyDescent="0.3">
      <c r="A3079">
        <v>2022</v>
      </c>
      <c r="B3079" t="s">
        <v>39</v>
      </c>
      <c r="C3079" t="s">
        <v>162</v>
      </c>
      <c r="D3079" s="1" t="s">
        <v>9</v>
      </c>
      <c r="E3079">
        <v>167.3</v>
      </c>
      <c r="F3079">
        <v>182.3</v>
      </c>
      <c r="G3079">
        <v>211.5</v>
      </c>
      <c r="H3079" s="1" t="s">
        <v>188</v>
      </c>
    </row>
    <row r="3080" spans="1:8" x14ac:dyDescent="0.3">
      <c r="A3080">
        <v>2022</v>
      </c>
      <c r="B3080" t="s">
        <v>36</v>
      </c>
      <c r="C3080" t="s">
        <v>163</v>
      </c>
      <c r="D3080" s="1" t="s">
        <v>3</v>
      </c>
      <c r="E3080">
        <v>150.19999999999999</v>
      </c>
      <c r="F3080">
        <v>151.30000000000001</v>
      </c>
      <c r="G3080">
        <v>153.69999999999999</v>
      </c>
      <c r="H3080" s="1" t="s">
        <v>188</v>
      </c>
    </row>
    <row r="3081" spans="1:8" x14ac:dyDescent="0.3">
      <c r="A3081">
        <v>2022</v>
      </c>
      <c r="B3081" t="s">
        <v>36</v>
      </c>
      <c r="C3081" t="s">
        <v>163</v>
      </c>
      <c r="D3081" s="1" t="s">
        <v>17</v>
      </c>
      <c r="E3081">
        <v>175.4</v>
      </c>
      <c r="F3081">
        <v>172.1</v>
      </c>
      <c r="G3081">
        <v>167.1</v>
      </c>
      <c r="H3081" s="1" t="s">
        <v>189</v>
      </c>
    </row>
    <row r="3082" spans="1:8" x14ac:dyDescent="0.3">
      <c r="A3082">
        <v>2022</v>
      </c>
      <c r="B3082" t="s">
        <v>36</v>
      </c>
      <c r="C3082" t="s">
        <v>163</v>
      </c>
      <c r="D3082" s="1" t="s">
        <v>19</v>
      </c>
      <c r="E3082">
        <v>175.1</v>
      </c>
      <c r="F3082">
        <v>171.1</v>
      </c>
      <c r="G3082">
        <v>164.9</v>
      </c>
      <c r="H3082" s="1" t="s">
        <v>189</v>
      </c>
    </row>
    <row r="3083" spans="1:8" x14ac:dyDescent="0.3">
      <c r="A3083">
        <v>2022</v>
      </c>
      <c r="B3083" t="s">
        <v>36</v>
      </c>
      <c r="C3083" t="s">
        <v>163</v>
      </c>
      <c r="D3083" s="1" t="s">
        <v>26</v>
      </c>
      <c r="E3083">
        <v>170.6</v>
      </c>
      <c r="F3083">
        <v>166</v>
      </c>
      <c r="G3083">
        <v>162.69999999999999</v>
      </c>
      <c r="H3083" s="1" t="s">
        <v>26</v>
      </c>
    </row>
    <row r="3084" spans="1:8" x14ac:dyDescent="0.3">
      <c r="A3084">
        <v>2022</v>
      </c>
      <c r="B3084" t="s">
        <v>36</v>
      </c>
      <c r="C3084" t="s">
        <v>163</v>
      </c>
      <c r="D3084" s="1" t="s">
        <v>5</v>
      </c>
      <c r="E3084">
        <v>167.9</v>
      </c>
      <c r="F3084">
        <v>167.8</v>
      </c>
      <c r="G3084">
        <v>167.7</v>
      </c>
      <c r="H3084" s="1" t="s">
        <v>188</v>
      </c>
    </row>
    <row r="3085" spans="1:8" x14ac:dyDescent="0.3">
      <c r="A3085">
        <v>2022</v>
      </c>
      <c r="B3085" t="s">
        <v>36</v>
      </c>
      <c r="C3085" t="s">
        <v>163</v>
      </c>
      <c r="D3085" s="1" t="s">
        <v>15</v>
      </c>
      <c r="E3085">
        <v>166.6</v>
      </c>
      <c r="F3085">
        <v>168.4</v>
      </c>
      <c r="G3085">
        <v>171.5</v>
      </c>
      <c r="H3085" s="1" t="s">
        <v>188</v>
      </c>
    </row>
    <row r="3086" spans="1:8" x14ac:dyDescent="0.3">
      <c r="A3086">
        <v>2022</v>
      </c>
      <c r="B3086" t="s">
        <v>36</v>
      </c>
      <c r="C3086" t="s">
        <v>163</v>
      </c>
      <c r="D3086" s="1" t="s">
        <v>18</v>
      </c>
      <c r="E3086">
        <v>173.2</v>
      </c>
      <c r="F3086">
        <v>164.6</v>
      </c>
      <c r="G3086">
        <v>152.6</v>
      </c>
      <c r="H3086" s="1" t="s">
        <v>189</v>
      </c>
    </row>
    <row r="3087" spans="1:8" x14ac:dyDescent="0.3">
      <c r="A3087">
        <v>2022</v>
      </c>
      <c r="B3087" t="s">
        <v>36</v>
      </c>
      <c r="C3087" t="s">
        <v>163</v>
      </c>
      <c r="D3087" s="1" t="s">
        <v>8</v>
      </c>
      <c r="E3087">
        <v>155.9</v>
      </c>
      <c r="F3087">
        <v>157.6</v>
      </c>
      <c r="G3087">
        <v>159.6</v>
      </c>
      <c r="H3087" s="1" t="s">
        <v>188</v>
      </c>
    </row>
    <row r="3088" spans="1:8" x14ac:dyDescent="0.3">
      <c r="A3088">
        <v>2022</v>
      </c>
      <c r="B3088" t="s">
        <v>36</v>
      </c>
      <c r="C3088" t="s">
        <v>163</v>
      </c>
      <c r="D3088" s="1" t="s">
        <v>21</v>
      </c>
      <c r="E3088">
        <v>168.9</v>
      </c>
      <c r="F3088">
        <v>167.2</v>
      </c>
      <c r="G3088">
        <v>164.5</v>
      </c>
      <c r="H3088" s="1" t="s">
        <v>190</v>
      </c>
    </row>
    <row r="3089" spans="1:8" x14ac:dyDescent="0.3">
      <c r="A3089">
        <v>2022</v>
      </c>
      <c r="B3089" t="s">
        <v>36</v>
      </c>
      <c r="C3089" t="s">
        <v>163</v>
      </c>
      <c r="D3089" s="1" t="s">
        <v>29</v>
      </c>
      <c r="E3089">
        <v>168.7</v>
      </c>
      <c r="F3089">
        <v>167.7</v>
      </c>
      <c r="G3089">
        <v>166.5</v>
      </c>
      <c r="H3089" s="1" t="s">
        <v>206</v>
      </c>
    </row>
    <row r="3090" spans="1:8" x14ac:dyDescent="0.3">
      <c r="A3090">
        <v>2022</v>
      </c>
      <c r="B3090" t="s">
        <v>36</v>
      </c>
      <c r="C3090" t="s">
        <v>163</v>
      </c>
      <c r="D3090" s="1" t="s">
        <v>23</v>
      </c>
      <c r="E3090">
        <v>176</v>
      </c>
      <c r="F3090">
        <v>173</v>
      </c>
      <c r="G3090">
        <v>168.2</v>
      </c>
      <c r="H3090" s="1" t="s">
        <v>23</v>
      </c>
    </row>
    <row r="3091" spans="1:8" x14ac:dyDescent="0.3">
      <c r="A3091">
        <v>2022</v>
      </c>
      <c r="B3091" t="s">
        <v>36</v>
      </c>
      <c r="C3091" t="s">
        <v>163</v>
      </c>
      <c r="D3091" s="1" t="s">
        <v>22</v>
      </c>
      <c r="E3091">
        <v>166.5</v>
      </c>
      <c r="F3091">
        <v>162.80000000000001</v>
      </c>
      <c r="G3091">
        <v>158.6</v>
      </c>
      <c r="H3091" s="1" t="s">
        <v>20</v>
      </c>
    </row>
    <row r="3092" spans="1:8" x14ac:dyDescent="0.3">
      <c r="A3092">
        <v>2022</v>
      </c>
      <c r="B3092" t="s">
        <v>36</v>
      </c>
      <c r="C3092" t="s">
        <v>163</v>
      </c>
      <c r="D3092" s="1" t="s">
        <v>20</v>
      </c>
      <c r="E3092">
        <v>0</v>
      </c>
      <c r="F3092">
        <v>165.3</v>
      </c>
      <c r="G3092">
        <v>165.3</v>
      </c>
      <c r="H3092" s="1" t="s">
        <v>20</v>
      </c>
    </row>
    <row r="3093" spans="1:8" x14ac:dyDescent="0.3">
      <c r="A3093">
        <v>2022</v>
      </c>
      <c r="B3093" t="s">
        <v>36</v>
      </c>
      <c r="C3093" t="s">
        <v>163</v>
      </c>
      <c r="D3093" s="1" t="s">
        <v>4</v>
      </c>
      <c r="E3093">
        <v>208</v>
      </c>
      <c r="F3093">
        <v>210.7</v>
      </c>
      <c r="G3093">
        <v>215.8</v>
      </c>
      <c r="H3093" s="1" t="s">
        <v>188</v>
      </c>
    </row>
    <row r="3094" spans="1:8" x14ac:dyDescent="0.3">
      <c r="A3094">
        <v>2022</v>
      </c>
      <c r="B3094" t="s">
        <v>36</v>
      </c>
      <c r="C3094" t="s">
        <v>163</v>
      </c>
      <c r="D3094" s="1" t="s">
        <v>6</v>
      </c>
      <c r="E3094">
        <v>162</v>
      </c>
      <c r="F3094">
        <v>162.19999999999999</v>
      </c>
      <c r="G3094">
        <v>162.6</v>
      </c>
      <c r="H3094" s="1" t="s">
        <v>188</v>
      </c>
    </row>
    <row r="3095" spans="1:8" x14ac:dyDescent="0.3">
      <c r="A3095">
        <v>2022</v>
      </c>
      <c r="B3095" t="s">
        <v>36</v>
      </c>
      <c r="C3095" t="s">
        <v>163</v>
      </c>
      <c r="D3095" s="1" t="s">
        <v>28</v>
      </c>
      <c r="E3095">
        <v>168.3</v>
      </c>
      <c r="F3095">
        <v>164.6</v>
      </c>
      <c r="G3095">
        <v>160.6</v>
      </c>
      <c r="H3095" s="1" t="s">
        <v>192</v>
      </c>
    </row>
    <row r="3096" spans="1:8" x14ac:dyDescent="0.3">
      <c r="A3096">
        <v>2022</v>
      </c>
      <c r="B3096" t="s">
        <v>36</v>
      </c>
      <c r="C3096" t="s">
        <v>163</v>
      </c>
      <c r="D3096" s="1" t="s">
        <v>13</v>
      </c>
      <c r="E3096">
        <v>171.2</v>
      </c>
      <c r="F3096">
        <v>165.3</v>
      </c>
      <c r="G3096">
        <v>157.1</v>
      </c>
      <c r="H3096" s="1" t="s">
        <v>188</v>
      </c>
    </row>
    <row r="3097" spans="1:8" x14ac:dyDescent="0.3">
      <c r="A3097">
        <v>2022</v>
      </c>
      <c r="B3097" t="s">
        <v>36</v>
      </c>
      <c r="C3097" t="s">
        <v>163</v>
      </c>
      <c r="D3097" s="1" t="s">
        <v>7</v>
      </c>
      <c r="E3097">
        <v>203.1</v>
      </c>
      <c r="F3097">
        <v>194.6</v>
      </c>
      <c r="G3097">
        <v>180</v>
      </c>
      <c r="H3097" s="1" t="s">
        <v>188</v>
      </c>
    </row>
    <row r="3098" spans="1:8" x14ac:dyDescent="0.3">
      <c r="A3098">
        <v>2022</v>
      </c>
      <c r="B3098" t="s">
        <v>36</v>
      </c>
      <c r="C3098" t="s">
        <v>163</v>
      </c>
      <c r="D3098" s="1" t="s">
        <v>16</v>
      </c>
      <c r="E3098">
        <v>192.3</v>
      </c>
      <c r="F3098">
        <v>193.7</v>
      </c>
      <c r="G3098">
        <v>197.5</v>
      </c>
      <c r="H3098" s="1" t="s">
        <v>192</v>
      </c>
    </row>
    <row r="3099" spans="1:8" x14ac:dyDescent="0.3">
      <c r="A3099">
        <v>2022</v>
      </c>
      <c r="B3099" t="s">
        <v>36</v>
      </c>
      <c r="C3099" t="s">
        <v>163</v>
      </c>
      <c r="D3099" s="1" t="s">
        <v>27</v>
      </c>
      <c r="E3099">
        <v>167.4</v>
      </c>
      <c r="F3099">
        <v>167.2</v>
      </c>
      <c r="G3099">
        <v>166.8</v>
      </c>
      <c r="H3099" s="1" t="s">
        <v>192</v>
      </c>
    </row>
    <row r="3100" spans="1:8" x14ac:dyDescent="0.3">
      <c r="A3100">
        <v>2022</v>
      </c>
      <c r="B3100" t="s">
        <v>36</v>
      </c>
      <c r="C3100" t="s">
        <v>163</v>
      </c>
      <c r="D3100" s="1" t="s">
        <v>14</v>
      </c>
      <c r="E3100">
        <v>177.4</v>
      </c>
      <c r="F3100">
        <v>179.3</v>
      </c>
      <c r="G3100">
        <v>181.5</v>
      </c>
      <c r="H3100" s="1" t="s">
        <v>188</v>
      </c>
    </row>
    <row r="3101" spans="1:8" x14ac:dyDescent="0.3">
      <c r="A3101">
        <v>2022</v>
      </c>
      <c r="B3101" t="s">
        <v>36</v>
      </c>
      <c r="C3101" t="s">
        <v>163</v>
      </c>
      <c r="D3101" s="1" t="s">
        <v>10</v>
      </c>
      <c r="E3101">
        <v>164.2</v>
      </c>
      <c r="F3101">
        <v>163.9</v>
      </c>
      <c r="G3101">
        <v>163.4</v>
      </c>
      <c r="H3101" s="1" t="s">
        <v>188</v>
      </c>
    </row>
    <row r="3102" spans="1:8" x14ac:dyDescent="0.3">
      <c r="A3102">
        <v>2022</v>
      </c>
      <c r="B3102" t="s">
        <v>36</v>
      </c>
      <c r="C3102" t="s">
        <v>163</v>
      </c>
      <c r="D3102" s="1" t="s">
        <v>25</v>
      </c>
      <c r="E3102">
        <v>166.6</v>
      </c>
      <c r="F3102">
        <v>163.30000000000001</v>
      </c>
      <c r="G3102">
        <v>160.80000000000001</v>
      </c>
      <c r="H3102" s="1" t="s">
        <v>195</v>
      </c>
    </row>
    <row r="3103" spans="1:8" x14ac:dyDescent="0.3">
      <c r="A3103">
        <v>2022</v>
      </c>
      <c r="B3103" t="s">
        <v>36</v>
      </c>
      <c r="C3103" t="s">
        <v>163</v>
      </c>
      <c r="D3103" s="1" t="s">
        <v>12</v>
      </c>
      <c r="E3103">
        <v>178.7</v>
      </c>
      <c r="F3103">
        <v>177.4</v>
      </c>
      <c r="G3103">
        <v>174.7</v>
      </c>
      <c r="H3103" s="1" t="s">
        <v>188</v>
      </c>
    </row>
    <row r="3104" spans="1:8" x14ac:dyDescent="0.3">
      <c r="A3104">
        <v>2022</v>
      </c>
      <c r="B3104" t="s">
        <v>36</v>
      </c>
      <c r="C3104" t="s">
        <v>163</v>
      </c>
      <c r="D3104" s="1" t="s">
        <v>11</v>
      </c>
      <c r="E3104">
        <v>118.1</v>
      </c>
      <c r="F3104">
        <v>118.8</v>
      </c>
      <c r="G3104">
        <v>120.3</v>
      </c>
      <c r="H3104" s="1" t="s">
        <v>188</v>
      </c>
    </row>
    <row r="3105" spans="1:8" x14ac:dyDescent="0.3">
      <c r="A3105">
        <v>2022</v>
      </c>
      <c r="B3105" t="s">
        <v>36</v>
      </c>
      <c r="C3105" t="s">
        <v>163</v>
      </c>
      <c r="D3105" s="1" t="s">
        <v>24</v>
      </c>
      <c r="E3105">
        <v>162</v>
      </c>
      <c r="F3105">
        <v>157.9</v>
      </c>
      <c r="G3105">
        <v>154.19999999999999</v>
      </c>
      <c r="H3105" s="1" t="s">
        <v>191</v>
      </c>
    </row>
    <row r="3106" spans="1:8" x14ac:dyDescent="0.3">
      <c r="A3106">
        <v>2022</v>
      </c>
      <c r="B3106" t="s">
        <v>36</v>
      </c>
      <c r="C3106" t="s">
        <v>163</v>
      </c>
      <c r="D3106" s="1" t="s">
        <v>9</v>
      </c>
      <c r="E3106">
        <v>155.80000000000001</v>
      </c>
      <c r="F3106">
        <v>166.9</v>
      </c>
      <c r="G3106">
        <v>188.4</v>
      </c>
      <c r="H3106" s="1" t="s">
        <v>188</v>
      </c>
    </row>
    <row r="3107" spans="1:8" x14ac:dyDescent="0.3">
      <c r="A3107">
        <v>2022</v>
      </c>
      <c r="B3107" t="s">
        <v>38</v>
      </c>
      <c r="C3107" t="s">
        <v>164</v>
      </c>
      <c r="D3107" s="1" t="s">
        <v>3</v>
      </c>
      <c r="E3107">
        <v>152.9</v>
      </c>
      <c r="F3107">
        <v>154.1</v>
      </c>
      <c r="G3107">
        <v>156.69999999999999</v>
      </c>
      <c r="H3107" s="1" t="s">
        <v>188</v>
      </c>
    </row>
    <row r="3108" spans="1:8" x14ac:dyDescent="0.3">
      <c r="A3108">
        <v>2022</v>
      </c>
      <c r="B3108" t="s">
        <v>38</v>
      </c>
      <c r="C3108" t="s">
        <v>164</v>
      </c>
      <c r="D3108" s="1" t="s">
        <v>17</v>
      </c>
      <c r="E3108">
        <v>179.3</v>
      </c>
      <c r="F3108">
        <v>175.6</v>
      </c>
      <c r="G3108">
        <v>170</v>
      </c>
      <c r="H3108" s="1" t="s">
        <v>189</v>
      </c>
    </row>
    <row r="3109" spans="1:8" x14ac:dyDescent="0.3">
      <c r="A3109">
        <v>2022</v>
      </c>
      <c r="B3109" t="s">
        <v>38</v>
      </c>
      <c r="C3109" t="s">
        <v>164</v>
      </c>
      <c r="D3109" s="1" t="s">
        <v>19</v>
      </c>
      <c r="E3109">
        <v>179</v>
      </c>
      <c r="F3109">
        <v>174.6</v>
      </c>
      <c r="G3109">
        <v>167.8</v>
      </c>
      <c r="H3109" s="1" t="s">
        <v>189</v>
      </c>
    </row>
    <row r="3110" spans="1:8" x14ac:dyDescent="0.3">
      <c r="A3110">
        <v>2022</v>
      </c>
      <c r="B3110" t="s">
        <v>38</v>
      </c>
      <c r="C3110" t="s">
        <v>164</v>
      </c>
      <c r="D3110" s="1" t="s">
        <v>26</v>
      </c>
      <c r="E3110">
        <v>171.8</v>
      </c>
      <c r="F3110">
        <v>167.9</v>
      </c>
      <c r="G3110">
        <v>165.2</v>
      </c>
      <c r="H3110" s="1" t="s">
        <v>26</v>
      </c>
    </row>
    <row r="3111" spans="1:8" x14ac:dyDescent="0.3">
      <c r="A3111">
        <v>2022</v>
      </c>
      <c r="B3111" t="s">
        <v>38</v>
      </c>
      <c r="C3111" t="s">
        <v>164</v>
      </c>
      <c r="D3111" s="1" t="s">
        <v>5</v>
      </c>
      <c r="E3111">
        <v>161.4</v>
      </c>
      <c r="F3111">
        <v>162.4</v>
      </c>
      <c r="G3111">
        <v>164.1</v>
      </c>
      <c r="H3111" s="1" t="s">
        <v>188</v>
      </c>
    </row>
    <row r="3112" spans="1:8" x14ac:dyDescent="0.3">
      <c r="A3112">
        <v>2022</v>
      </c>
      <c r="B3112" t="s">
        <v>38</v>
      </c>
      <c r="C3112" t="s">
        <v>164</v>
      </c>
      <c r="D3112" s="1" t="s">
        <v>15</v>
      </c>
      <c r="E3112">
        <v>170.8</v>
      </c>
      <c r="F3112">
        <v>173.3</v>
      </c>
      <c r="G3112">
        <v>177.5</v>
      </c>
      <c r="H3112" s="1" t="s">
        <v>188</v>
      </c>
    </row>
    <row r="3113" spans="1:8" x14ac:dyDescent="0.3">
      <c r="A3113">
        <v>2022</v>
      </c>
      <c r="B3113" t="s">
        <v>38</v>
      </c>
      <c r="C3113" t="s">
        <v>164</v>
      </c>
      <c r="D3113" s="1" t="s">
        <v>18</v>
      </c>
      <c r="E3113">
        <v>177.2</v>
      </c>
      <c r="F3113">
        <v>168.4</v>
      </c>
      <c r="G3113">
        <v>155.9</v>
      </c>
      <c r="H3113" s="1" t="s">
        <v>189</v>
      </c>
    </row>
    <row r="3114" spans="1:8" x14ac:dyDescent="0.3">
      <c r="A3114">
        <v>2022</v>
      </c>
      <c r="B3114" t="s">
        <v>38</v>
      </c>
      <c r="C3114" t="s">
        <v>164</v>
      </c>
      <c r="D3114" s="1" t="s">
        <v>8</v>
      </c>
      <c r="E3114">
        <v>168</v>
      </c>
      <c r="F3114">
        <v>171</v>
      </c>
      <c r="G3114">
        <v>174.5</v>
      </c>
      <c r="H3114" s="1" t="s">
        <v>188</v>
      </c>
    </row>
    <row r="3115" spans="1:8" x14ac:dyDescent="0.3">
      <c r="A3115">
        <v>2022</v>
      </c>
      <c r="B3115" t="s">
        <v>38</v>
      </c>
      <c r="C3115" t="s">
        <v>164</v>
      </c>
      <c r="D3115" s="1" t="s">
        <v>21</v>
      </c>
      <c r="E3115">
        <v>175.3</v>
      </c>
      <c r="F3115">
        <v>174.6</v>
      </c>
      <c r="G3115">
        <v>173.5</v>
      </c>
      <c r="H3115" s="1" t="s">
        <v>190</v>
      </c>
    </row>
    <row r="3116" spans="1:8" x14ac:dyDescent="0.3">
      <c r="A3116">
        <v>2022</v>
      </c>
      <c r="B3116" t="s">
        <v>38</v>
      </c>
      <c r="C3116" t="s">
        <v>164</v>
      </c>
      <c r="D3116" s="1" t="s">
        <v>29</v>
      </c>
      <c r="E3116">
        <v>172.5</v>
      </c>
      <c r="F3116">
        <v>171.7</v>
      </c>
      <c r="G3116">
        <v>170.8</v>
      </c>
      <c r="H3116" s="1" t="s">
        <v>206</v>
      </c>
    </row>
    <row r="3117" spans="1:8" x14ac:dyDescent="0.3">
      <c r="A3117">
        <v>2022</v>
      </c>
      <c r="B3117" t="s">
        <v>38</v>
      </c>
      <c r="C3117" t="s">
        <v>164</v>
      </c>
      <c r="D3117" s="1" t="s">
        <v>23</v>
      </c>
      <c r="E3117">
        <v>177.7</v>
      </c>
      <c r="F3117">
        <v>174.8</v>
      </c>
      <c r="G3117">
        <v>170.1</v>
      </c>
      <c r="H3117" s="1" t="s">
        <v>23</v>
      </c>
    </row>
    <row r="3118" spans="1:8" x14ac:dyDescent="0.3">
      <c r="A3118">
        <v>2022</v>
      </c>
      <c r="B3118" t="s">
        <v>38</v>
      </c>
      <c r="C3118" t="s">
        <v>164</v>
      </c>
      <c r="D3118" s="1" t="s">
        <v>22</v>
      </c>
      <c r="E3118">
        <v>168.9</v>
      </c>
      <c r="F3118">
        <v>165.2</v>
      </c>
      <c r="G3118">
        <v>161.1</v>
      </c>
      <c r="H3118" s="1" t="s">
        <v>20</v>
      </c>
    </row>
    <row r="3119" spans="1:8" x14ac:dyDescent="0.3">
      <c r="A3119">
        <v>2022</v>
      </c>
      <c r="B3119" t="s">
        <v>38</v>
      </c>
      <c r="C3119" t="s">
        <v>164</v>
      </c>
      <c r="D3119" s="1" t="s">
        <v>20</v>
      </c>
      <c r="E3119">
        <v>0</v>
      </c>
      <c r="F3119">
        <v>167.5</v>
      </c>
      <c r="G3119">
        <v>167.5</v>
      </c>
      <c r="H3119" s="1" t="s">
        <v>20</v>
      </c>
    </row>
    <row r="3120" spans="1:8" x14ac:dyDescent="0.3">
      <c r="A3120">
        <v>2022</v>
      </c>
      <c r="B3120" t="s">
        <v>38</v>
      </c>
      <c r="C3120" t="s">
        <v>164</v>
      </c>
      <c r="D3120" s="1" t="s">
        <v>4</v>
      </c>
      <c r="E3120">
        <v>214.7</v>
      </c>
      <c r="F3120">
        <v>217</v>
      </c>
      <c r="G3120">
        <v>221.2</v>
      </c>
      <c r="H3120" s="1" t="s">
        <v>188</v>
      </c>
    </row>
    <row r="3121" spans="1:8" x14ac:dyDescent="0.3">
      <c r="A3121">
        <v>2022</v>
      </c>
      <c r="B3121" t="s">
        <v>38</v>
      </c>
      <c r="C3121" t="s">
        <v>164</v>
      </c>
      <c r="D3121" s="1" t="s">
        <v>6</v>
      </c>
      <c r="E3121">
        <v>164.6</v>
      </c>
      <c r="F3121">
        <v>164.9</v>
      </c>
      <c r="G3121">
        <v>165.4</v>
      </c>
      <c r="H3121" s="1" t="s">
        <v>188</v>
      </c>
    </row>
    <row r="3122" spans="1:8" x14ac:dyDescent="0.3">
      <c r="A3122">
        <v>2022</v>
      </c>
      <c r="B3122" t="s">
        <v>38</v>
      </c>
      <c r="C3122" t="s">
        <v>164</v>
      </c>
      <c r="D3122" s="1" t="s">
        <v>28</v>
      </c>
      <c r="E3122">
        <v>170.9</v>
      </c>
      <c r="F3122">
        <v>167.5</v>
      </c>
      <c r="G3122">
        <v>163.80000000000001</v>
      </c>
      <c r="H3122" s="1" t="s">
        <v>192</v>
      </c>
    </row>
    <row r="3123" spans="1:8" x14ac:dyDescent="0.3">
      <c r="A3123">
        <v>2022</v>
      </c>
      <c r="B3123" t="s">
        <v>38</v>
      </c>
      <c r="C3123" t="s">
        <v>164</v>
      </c>
      <c r="D3123" s="1" t="s">
        <v>13</v>
      </c>
      <c r="E3123">
        <v>173.2</v>
      </c>
      <c r="F3123">
        <v>167.1</v>
      </c>
      <c r="G3123">
        <v>158.5</v>
      </c>
      <c r="H3123" s="1" t="s">
        <v>188</v>
      </c>
    </row>
    <row r="3124" spans="1:8" x14ac:dyDescent="0.3">
      <c r="A3124">
        <v>2022</v>
      </c>
      <c r="B3124" t="s">
        <v>38</v>
      </c>
      <c r="C3124" t="s">
        <v>164</v>
      </c>
      <c r="D3124" s="1" t="s">
        <v>7</v>
      </c>
      <c r="E3124">
        <v>209.9</v>
      </c>
      <c r="F3124">
        <v>202.4</v>
      </c>
      <c r="G3124">
        <v>189.5</v>
      </c>
      <c r="H3124" s="1" t="s">
        <v>188</v>
      </c>
    </row>
    <row r="3125" spans="1:8" x14ac:dyDescent="0.3">
      <c r="A3125">
        <v>2022</v>
      </c>
      <c r="B3125" t="s">
        <v>38</v>
      </c>
      <c r="C3125" t="s">
        <v>164</v>
      </c>
      <c r="D3125" s="1" t="s">
        <v>16</v>
      </c>
      <c r="E3125">
        <v>192.9</v>
      </c>
      <c r="F3125">
        <v>194.1</v>
      </c>
      <c r="G3125">
        <v>197.5</v>
      </c>
      <c r="H3125" s="1" t="s">
        <v>192</v>
      </c>
    </row>
    <row r="3126" spans="1:8" x14ac:dyDescent="0.3">
      <c r="A3126">
        <v>2022</v>
      </c>
      <c r="B3126" t="s">
        <v>38</v>
      </c>
      <c r="C3126" t="s">
        <v>164</v>
      </c>
      <c r="D3126" s="1" t="s">
        <v>27</v>
      </c>
      <c r="E3126">
        <v>168.5</v>
      </c>
      <c r="F3126">
        <v>168.4</v>
      </c>
      <c r="G3126">
        <v>168.2</v>
      </c>
      <c r="H3126" s="1" t="s">
        <v>192</v>
      </c>
    </row>
    <row r="3127" spans="1:8" x14ac:dyDescent="0.3">
      <c r="A3127">
        <v>2022</v>
      </c>
      <c r="B3127" t="s">
        <v>38</v>
      </c>
      <c r="C3127" t="s">
        <v>164</v>
      </c>
      <c r="D3127" s="1" t="s">
        <v>14</v>
      </c>
      <c r="E3127">
        <v>180.4</v>
      </c>
      <c r="F3127">
        <v>182.5</v>
      </c>
      <c r="G3127">
        <v>184.9</v>
      </c>
      <c r="H3127" s="1" t="s">
        <v>188</v>
      </c>
    </row>
    <row r="3128" spans="1:8" x14ac:dyDescent="0.3">
      <c r="A3128">
        <v>2022</v>
      </c>
      <c r="B3128" t="s">
        <v>38</v>
      </c>
      <c r="C3128" t="s">
        <v>164</v>
      </c>
      <c r="D3128" s="1" t="s">
        <v>10</v>
      </c>
      <c r="E3128">
        <v>165</v>
      </c>
      <c r="F3128">
        <v>164.7</v>
      </c>
      <c r="G3128">
        <v>164.1</v>
      </c>
      <c r="H3128" s="1" t="s">
        <v>188</v>
      </c>
    </row>
    <row r="3129" spans="1:8" x14ac:dyDescent="0.3">
      <c r="A3129">
        <v>2022</v>
      </c>
      <c r="B3129" t="s">
        <v>38</v>
      </c>
      <c r="C3129" t="s">
        <v>164</v>
      </c>
      <c r="D3129" s="1" t="s">
        <v>25</v>
      </c>
      <c r="E3129">
        <v>167.6</v>
      </c>
      <c r="F3129">
        <v>165.1</v>
      </c>
      <c r="G3129">
        <v>163.19999999999999</v>
      </c>
      <c r="H3129" s="1" t="s">
        <v>195</v>
      </c>
    </row>
    <row r="3130" spans="1:8" x14ac:dyDescent="0.3">
      <c r="A3130">
        <v>2022</v>
      </c>
      <c r="B3130" t="s">
        <v>38</v>
      </c>
      <c r="C3130" t="s">
        <v>164</v>
      </c>
      <c r="D3130" s="1" t="s">
        <v>12</v>
      </c>
      <c r="E3130">
        <v>186.6</v>
      </c>
      <c r="F3130">
        <v>184.9</v>
      </c>
      <c r="G3130">
        <v>181.4</v>
      </c>
      <c r="H3130" s="1" t="s">
        <v>188</v>
      </c>
    </row>
    <row r="3131" spans="1:8" x14ac:dyDescent="0.3">
      <c r="A3131">
        <v>2022</v>
      </c>
      <c r="B3131" t="s">
        <v>38</v>
      </c>
      <c r="C3131" t="s">
        <v>164</v>
      </c>
      <c r="D3131" s="1" t="s">
        <v>11</v>
      </c>
      <c r="E3131">
        <v>118.9</v>
      </c>
      <c r="F3131">
        <v>119.7</v>
      </c>
      <c r="G3131">
        <v>121.2</v>
      </c>
      <c r="H3131" s="1" t="s">
        <v>188</v>
      </c>
    </row>
    <row r="3132" spans="1:8" x14ac:dyDescent="0.3">
      <c r="A3132">
        <v>2022</v>
      </c>
      <c r="B3132" t="s">
        <v>38</v>
      </c>
      <c r="C3132" t="s">
        <v>164</v>
      </c>
      <c r="D3132" s="1" t="s">
        <v>24</v>
      </c>
      <c r="E3132">
        <v>167.1</v>
      </c>
      <c r="F3132">
        <v>163</v>
      </c>
      <c r="G3132">
        <v>159.4</v>
      </c>
      <c r="H3132" s="1" t="s">
        <v>191</v>
      </c>
    </row>
    <row r="3133" spans="1:8" x14ac:dyDescent="0.3">
      <c r="A3133">
        <v>2022</v>
      </c>
      <c r="B3133" t="s">
        <v>38</v>
      </c>
      <c r="C3133" t="s">
        <v>164</v>
      </c>
      <c r="D3133" s="1" t="s">
        <v>9</v>
      </c>
      <c r="E3133">
        <v>160.4</v>
      </c>
      <c r="F3133">
        <v>174.9</v>
      </c>
      <c r="G3133">
        <v>203.2</v>
      </c>
      <c r="H3133" s="1" t="s">
        <v>188</v>
      </c>
    </row>
    <row r="3134" spans="1:8" x14ac:dyDescent="0.3">
      <c r="A3134">
        <v>2022</v>
      </c>
      <c r="B3134" t="s">
        <v>44</v>
      </c>
      <c r="C3134" t="s">
        <v>165</v>
      </c>
      <c r="D3134" s="1" t="s">
        <v>3</v>
      </c>
      <c r="E3134">
        <v>166.9</v>
      </c>
      <c r="F3134">
        <v>167.4</v>
      </c>
      <c r="G3134">
        <v>168.4</v>
      </c>
      <c r="H3134" s="1" t="s">
        <v>188</v>
      </c>
    </row>
    <row r="3135" spans="1:8" x14ac:dyDescent="0.3">
      <c r="A3135">
        <v>2022</v>
      </c>
      <c r="B3135" t="s">
        <v>44</v>
      </c>
      <c r="C3135" t="s">
        <v>165</v>
      </c>
      <c r="D3135" s="1" t="s">
        <v>17</v>
      </c>
      <c r="E3135">
        <v>187.2</v>
      </c>
      <c r="F3135">
        <v>183.1</v>
      </c>
      <c r="G3135">
        <v>176.7</v>
      </c>
      <c r="H3135" s="1" t="s">
        <v>189</v>
      </c>
    </row>
    <row r="3136" spans="1:8" x14ac:dyDescent="0.3">
      <c r="A3136">
        <v>2022</v>
      </c>
      <c r="B3136" t="s">
        <v>44</v>
      </c>
      <c r="C3136" t="s">
        <v>165</v>
      </c>
      <c r="D3136" s="1" t="s">
        <v>19</v>
      </c>
      <c r="E3136">
        <v>186.9</v>
      </c>
      <c r="F3136">
        <v>182.1</v>
      </c>
      <c r="G3136">
        <v>174.7</v>
      </c>
      <c r="H3136" s="1" t="s">
        <v>189</v>
      </c>
    </row>
    <row r="3137" spans="1:8" x14ac:dyDescent="0.3">
      <c r="A3137">
        <v>2022</v>
      </c>
      <c r="B3137" t="s">
        <v>44</v>
      </c>
      <c r="C3137" t="s">
        <v>165</v>
      </c>
      <c r="D3137" s="1" t="s">
        <v>26</v>
      </c>
      <c r="E3137">
        <v>176.9</v>
      </c>
      <c r="F3137">
        <v>173.7</v>
      </c>
      <c r="G3137">
        <v>171.5</v>
      </c>
      <c r="H3137" s="1" t="s">
        <v>26</v>
      </c>
    </row>
    <row r="3138" spans="1:8" x14ac:dyDescent="0.3">
      <c r="A3138">
        <v>2022</v>
      </c>
      <c r="B3138" t="s">
        <v>44</v>
      </c>
      <c r="C3138" t="s">
        <v>165</v>
      </c>
      <c r="D3138" s="1" t="s">
        <v>5</v>
      </c>
      <c r="E3138">
        <v>180.2</v>
      </c>
      <c r="F3138">
        <v>181.4</v>
      </c>
      <c r="G3138">
        <v>183.2</v>
      </c>
      <c r="H3138" s="1" t="s">
        <v>188</v>
      </c>
    </row>
    <row r="3139" spans="1:8" x14ac:dyDescent="0.3">
      <c r="A3139">
        <v>2022</v>
      </c>
      <c r="B3139" t="s">
        <v>44</v>
      </c>
      <c r="C3139" t="s">
        <v>165</v>
      </c>
      <c r="D3139" s="1" t="s">
        <v>15</v>
      </c>
      <c r="E3139">
        <v>176.6</v>
      </c>
      <c r="F3139">
        <v>178.3</v>
      </c>
      <c r="G3139">
        <v>181.3</v>
      </c>
      <c r="H3139" s="1" t="s">
        <v>188</v>
      </c>
    </row>
    <row r="3140" spans="1:8" x14ac:dyDescent="0.3">
      <c r="A3140">
        <v>2022</v>
      </c>
      <c r="B3140" t="s">
        <v>44</v>
      </c>
      <c r="C3140" t="s">
        <v>165</v>
      </c>
      <c r="D3140" s="1" t="s">
        <v>18</v>
      </c>
      <c r="E3140">
        <v>185.2</v>
      </c>
      <c r="F3140">
        <v>176.2</v>
      </c>
      <c r="G3140">
        <v>163.5</v>
      </c>
      <c r="H3140" s="1" t="s">
        <v>189</v>
      </c>
    </row>
    <row r="3141" spans="1:8" x14ac:dyDescent="0.3">
      <c r="A3141">
        <v>2022</v>
      </c>
      <c r="B3141" t="s">
        <v>44</v>
      </c>
      <c r="C3141" t="s">
        <v>165</v>
      </c>
      <c r="D3141" s="1" t="s">
        <v>8</v>
      </c>
      <c r="E3141">
        <v>159.1</v>
      </c>
      <c r="F3141">
        <v>160.69999999999999</v>
      </c>
      <c r="G3141">
        <v>162.6</v>
      </c>
      <c r="H3141" s="1" t="s">
        <v>188</v>
      </c>
    </row>
    <row r="3142" spans="1:8" x14ac:dyDescent="0.3">
      <c r="A3142">
        <v>2022</v>
      </c>
      <c r="B3142" t="s">
        <v>44</v>
      </c>
      <c r="C3142" t="s">
        <v>165</v>
      </c>
      <c r="D3142" s="1" t="s">
        <v>21</v>
      </c>
      <c r="E3142">
        <v>181.9</v>
      </c>
      <c r="F3142">
        <v>181.3</v>
      </c>
      <c r="G3142">
        <v>180.3</v>
      </c>
      <c r="H3142" s="1" t="s">
        <v>190</v>
      </c>
    </row>
    <row r="3143" spans="1:8" x14ac:dyDescent="0.3">
      <c r="A3143">
        <v>2022</v>
      </c>
      <c r="B3143" t="s">
        <v>44</v>
      </c>
      <c r="C3143" t="s">
        <v>165</v>
      </c>
      <c r="D3143" s="1" t="s">
        <v>29</v>
      </c>
      <c r="E3143">
        <v>177.8</v>
      </c>
      <c r="F3143">
        <v>176.5</v>
      </c>
      <c r="G3143">
        <v>174.1</v>
      </c>
      <c r="H3143" s="1" t="s">
        <v>206</v>
      </c>
    </row>
    <row r="3144" spans="1:8" x14ac:dyDescent="0.3">
      <c r="A3144">
        <v>2022</v>
      </c>
      <c r="B3144" t="s">
        <v>44</v>
      </c>
      <c r="C3144" t="s">
        <v>165</v>
      </c>
      <c r="D3144" s="1" t="s">
        <v>23</v>
      </c>
      <c r="E3144">
        <v>182.3</v>
      </c>
      <c r="F3144">
        <v>179.8</v>
      </c>
      <c r="G3144">
        <v>175.8</v>
      </c>
      <c r="H3144" s="1" t="s">
        <v>23</v>
      </c>
    </row>
    <row r="3145" spans="1:8" x14ac:dyDescent="0.3">
      <c r="A3145">
        <v>2022</v>
      </c>
      <c r="B3145" t="s">
        <v>44</v>
      </c>
      <c r="C3145" t="s">
        <v>165</v>
      </c>
      <c r="D3145" s="1" t="s">
        <v>22</v>
      </c>
      <c r="E3145">
        <v>175.5</v>
      </c>
      <c r="F3145">
        <v>171.4</v>
      </c>
      <c r="G3145">
        <v>166.9</v>
      </c>
      <c r="H3145" s="1" t="s">
        <v>20</v>
      </c>
    </row>
    <row r="3146" spans="1:8" x14ac:dyDescent="0.3">
      <c r="A3146">
        <v>2022</v>
      </c>
      <c r="B3146" t="s">
        <v>44</v>
      </c>
      <c r="C3146" t="s">
        <v>165</v>
      </c>
      <c r="D3146" s="1" t="s">
        <v>20</v>
      </c>
      <c r="E3146">
        <v>0</v>
      </c>
      <c r="F3146">
        <v>171.8</v>
      </c>
      <c r="G3146">
        <v>171.8</v>
      </c>
      <c r="H3146" s="1" t="s">
        <v>20</v>
      </c>
    </row>
    <row r="3147" spans="1:8" x14ac:dyDescent="0.3">
      <c r="A3147">
        <v>2022</v>
      </c>
      <c r="B3147" t="s">
        <v>44</v>
      </c>
      <c r="C3147" t="s">
        <v>165</v>
      </c>
      <c r="D3147" s="1" t="s">
        <v>4</v>
      </c>
      <c r="E3147">
        <v>207.2</v>
      </c>
      <c r="F3147">
        <v>209.4</v>
      </c>
      <c r="G3147">
        <v>213.4</v>
      </c>
      <c r="H3147" s="1" t="s">
        <v>188</v>
      </c>
    </row>
    <row r="3148" spans="1:8" x14ac:dyDescent="0.3">
      <c r="A3148">
        <v>2022</v>
      </c>
      <c r="B3148" t="s">
        <v>44</v>
      </c>
      <c r="C3148" t="s">
        <v>165</v>
      </c>
      <c r="D3148" s="1" t="s">
        <v>6</v>
      </c>
      <c r="E3148">
        <v>172.3</v>
      </c>
      <c r="F3148">
        <v>172.3</v>
      </c>
      <c r="G3148">
        <v>172.3</v>
      </c>
      <c r="H3148" s="1" t="s">
        <v>188</v>
      </c>
    </row>
    <row r="3149" spans="1:8" x14ac:dyDescent="0.3">
      <c r="A3149">
        <v>2022</v>
      </c>
      <c r="B3149" t="s">
        <v>44</v>
      </c>
      <c r="C3149" t="s">
        <v>165</v>
      </c>
      <c r="D3149" s="1" t="s">
        <v>28</v>
      </c>
      <c r="E3149">
        <v>174.6</v>
      </c>
      <c r="F3149">
        <v>171.1</v>
      </c>
      <c r="G3149">
        <v>167.4</v>
      </c>
      <c r="H3149" s="1" t="s">
        <v>192</v>
      </c>
    </row>
    <row r="3150" spans="1:8" x14ac:dyDescent="0.3">
      <c r="A3150">
        <v>2022</v>
      </c>
      <c r="B3150" t="s">
        <v>44</v>
      </c>
      <c r="C3150" t="s">
        <v>165</v>
      </c>
      <c r="D3150" s="1" t="s">
        <v>13</v>
      </c>
      <c r="E3150">
        <v>176.4</v>
      </c>
      <c r="F3150">
        <v>170.4</v>
      </c>
      <c r="G3150">
        <v>162.1</v>
      </c>
      <c r="H3150" s="1" t="s">
        <v>188</v>
      </c>
    </row>
    <row r="3151" spans="1:8" x14ac:dyDescent="0.3">
      <c r="A3151">
        <v>2022</v>
      </c>
      <c r="B3151" t="s">
        <v>44</v>
      </c>
      <c r="C3151" t="s">
        <v>165</v>
      </c>
      <c r="D3151" s="1" t="s">
        <v>7</v>
      </c>
      <c r="E3151">
        <v>194</v>
      </c>
      <c r="F3151">
        <v>188.9</v>
      </c>
      <c r="G3151">
        <v>180</v>
      </c>
      <c r="H3151" s="1" t="s">
        <v>188</v>
      </c>
    </row>
    <row r="3152" spans="1:8" x14ac:dyDescent="0.3">
      <c r="A3152">
        <v>2022</v>
      </c>
      <c r="B3152" t="s">
        <v>44</v>
      </c>
      <c r="C3152" t="s">
        <v>165</v>
      </c>
      <c r="D3152" s="1" t="s">
        <v>16</v>
      </c>
      <c r="E3152">
        <v>195.5</v>
      </c>
      <c r="F3152">
        <v>196.9</v>
      </c>
      <c r="G3152">
        <v>200.6</v>
      </c>
      <c r="H3152" s="1" t="s">
        <v>192</v>
      </c>
    </row>
    <row r="3153" spans="1:8" x14ac:dyDescent="0.3">
      <c r="A3153">
        <v>2022</v>
      </c>
      <c r="B3153" t="s">
        <v>44</v>
      </c>
      <c r="C3153" t="s">
        <v>165</v>
      </c>
      <c r="D3153" s="1" t="s">
        <v>27</v>
      </c>
      <c r="E3153">
        <v>173.4</v>
      </c>
      <c r="F3153">
        <v>173.6</v>
      </c>
      <c r="G3153">
        <v>173.8</v>
      </c>
      <c r="H3153" s="1" t="s">
        <v>192</v>
      </c>
    </row>
    <row r="3154" spans="1:8" x14ac:dyDescent="0.3">
      <c r="A3154">
        <v>2022</v>
      </c>
      <c r="B3154" t="s">
        <v>44</v>
      </c>
      <c r="C3154" t="s">
        <v>165</v>
      </c>
      <c r="D3154" s="1" t="s">
        <v>14</v>
      </c>
      <c r="E3154">
        <v>186.9</v>
      </c>
      <c r="F3154">
        <v>189.5</v>
      </c>
      <c r="G3154">
        <v>192.4</v>
      </c>
      <c r="H3154" s="1" t="s">
        <v>188</v>
      </c>
    </row>
    <row r="3155" spans="1:8" x14ac:dyDescent="0.3">
      <c r="A3155">
        <v>2022</v>
      </c>
      <c r="B3155" t="s">
        <v>44</v>
      </c>
      <c r="C3155" t="s">
        <v>165</v>
      </c>
      <c r="D3155" s="1" t="s">
        <v>10</v>
      </c>
      <c r="E3155">
        <v>170.2</v>
      </c>
      <c r="F3155">
        <v>170.5</v>
      </c>
      <c r="G3155">
        <v>171</v>
      </c>
      <c r="H3155" s="1" t="s">
        <v>188</v>
      </c>
    </row>
    <row r="3156" spans="1:8" x14ac:dyDescent="0.3">
      <c r="A3156">
        <v>2022</v>
      </c>
      <c r="B3156" t="s">
        <v>44</v>
      </c>
      <c r="C3156" t="s">
        <v>165</v>
      </c>
      <c r="D3156" s="1" t="s">
        <v>25</v>
      </c>
      <c r="E3156">
        <v>170.8</v>
      </c>
      <c r="F3156">
        <v>168.5</v>
      </c>
      <c r="G3156">
        <v>166.7</v>
      </c>
      <c r="H3156" s="1" t="s">
        <v>195</v>
      </c>
    </row>
    <row r="3157" spans="1:8" x14ac:dyDescent="0.3">
      <c r="A3157">
        <v>2022</v>
      </c>
      <c r="B3157" t="s">
        <v>44</v>
      </c>
      <c r="C3157" t="s">
        <v>165</v>
      </c>
      <c r="D3157" s="1" t="s">
        <v>12</v>
      </c>
      <c r="E3157">
        <v>204.8</v>
      </c>
      <c r="F3157">
        <v>202.8</v>
      </c>
      <c r="G3157">
        <v>198.8</v>
      </c>
      <c r="H3157" s="1" t="s">
        <v>188</v>
      </c>
    </row>
    <row r="3158" spans="1:8" x14ac:dyDescent="0.3">
      <c r="A3158">
        <v>2022</v>
      </c>
      <c r="B3158" t="s">
        <v>44</v>
      </c>
      <c r="C3158" t="s">
        <v>165</v>
      </c>
      <c r="D3158" s="1" t="s">
        <v>11</v>
      </c>
      <c r="E3158">
        <v>121.5</v>
      </c>
      <c r="F3158">
        <v>122.1</v>
      </c>
      <c r="G3158">
        <v>123.4</v>
      </c>
      <c r="H3158" s="1" t="s">
        <v>188</v>
      </c>
    </row>
    <row r="3159" spans="1:8" x14ac:dyDescent="0.3">
      <c r="A3159">
        <v>2022</v>
      </c>
      <c r="B3159" t="s">
        <v>44</v>
      </c>
      <c r="C3159" t="s">
        <v>165</v>
      </c>
      <c r="D3159" s="1" t="s">
        <v>24</v>
      </c>
      <c r="E3159">
        <v>167.5</v>
      </c>
      <c r="F3159">
        <v>163</v>
      </c>
      <c r="G3159">
        <v>158.9</v>
      </c>
      <c r="H3159" s="1" t="s">
        <v>191</v>
      </c>
    </row>
    <row r="3160" spans="1:8" x14ac:dyDescent="0.3">
      <c r="A3160">
        <v>2022</v>
      </c>
      <c r="B3160" t="s">
        <v>44</v>
      </c>
      <c r="C3160" t="s">
        <v>165</v>
      </c>
      <c r="D3160" s="1" t="s">
        <v>9</v>
      </c>
      <c r="E3160">
        <v>171.6</v>
      </c>
      <c r="F3160">
        <v>183.1</v>
      </c>
      <c r="G3160">
        <v>205.5</v>
      </c>
      <c r="H3160" s="1" t="s">
        <v>188</v>
      </c>
    </row>
    <row r="3161" spans="1:8" x14ac:dyDescent="0.3">
      <c r="A3161">
        <v>2022</v>
      </c>
      <c r="B3161" t="s">
        <v>43</v>
      </c>
      <c r="C3161" t="s">
        <v>166</v>
      </c>
      <c r="D3161" s="1" t="s">
        <v>3</v>
      </c>
      <c r="E3161">
        <v>164.7</v>
      </c>
      <c r="F3161">
        <v>165.2</v>
      </c>
      <c r="G3161">
        <v>166.4</v>
      </c>
      <c r="H3161" s="1" t="s">
        <v>188</v>
      </c>
    </row>
    <row r="3162" spans="1:8" x14ac:dyDescent="0.3">
      <c r="A3162">
        <v>2022</v>
      </c>
      <c r="B3162" t="s">
        <v>43</v>
      </c>
      <c r="C3162" t="s">
        <v>166</v>
      </c>
      <c r="D3162" s="1" t="s">
        <v>17</v>
      </c>
      <c r="E3162">
        <v>186.1</v>
      </c>
      <c r="F3162">
        <v>181.9</v>
      </c>
      <c r="G3162">
        <v>175.5</v>
      </c>
      <c r="H3162" s="1" t="s">
        <v>189</v>
      </c>
    </row>
    <row r="3163" spans="1:8" x14ac:dyDescent="0.3">
      <c r="A3163">
        <v>2022</v>
      </c>
      <c r="B3163" t="s">
        <v>43</v>
      </c>
      <c r="C3163" t="s">
        <v>166</v>
      </c>
      <c r="D3163" s="1" t="s">
        <v>19</v>
      </c>
      <c r="E3163">
        <v>185.9</v>
      </c>
      <c r="F3163">
        <v>181</v>
      </c>
      <c r="G3163">
        <v>173.6</v>
      </c>
      <c r="H3163" s="1" t="s">
        <v>189</v>
      </c>
    </row>
    <row r="3164" spans="1:8" x14ac:dyDescent="0.3">
      <c r="A3164">
        <v>2022</v>
      </c>
      <c r="B3164" t="s">
        <v>43</v>
      </c>
      <c r="C3164" t="s">
        <v>166</v>
      </c>
      <c r="D3164" s="1" t="s">
        <v>26</v>
      </c>
      <c r="E3164">
        <v>176.5</v>
      </c>
      <c r="F3164">
        <v>173.4</v>
      </c>
      <c r="G3164">
        <v>171.2</v>
      </c>
      <c r="H3164" s="1" t="s">
        <v>26</v>
      </c>
    </row>
    <row r="3165" spans="1:8" x14ac:dyDescent="0.3">
      <c r="A3165">
        <v>2022</v>
      </c>
      <c r="B3165" t="s">
        <v>43</v>
      </c>
      <c r="C3165" t="s">
        <v>166</v>
      </c>
      <c r="D3165" s="1" t="s">
        <v>5</v>
      </c>
      <c r="E3165">
        <v>170.3</v>
      </c>
      <c r="F3165">
        <v>170.9</v>
      </c>
      <c r="G3165">
        <v>171.9</v>
      </c>
      <c r="H3165" s="1" t="s">
        <v>188</v>
      </c>
    </row>
    <row r="3166" spans="1:8" x14ac:dyDescent="0.3">
      <c r="A3166">
        <v>2022</v>
      </c>
      <c r="B3166" t="s">
        <v>43</v>
      </c>
      <c r="C3166" t="s">
        <v>166</v>
      </c>
      <c r="D3166" s="1" t="s">
        <v>15</v>
      </c>
      <c r="E3166">
        <v>177.4</v>
      </c>
      <c r="F3166">
        <v>179.6</v>
      </c>
      <c r="G3166">
        <v>183.3</v>
      </c>
      <c r="H3166" s="1" t="s">
        <v>188</v>
      </c>
    </row>
    <row r="3167" spans="1:8" x14ac:dyDescent="0.3">
      <c r="A3167">
        <v>2022</v>
      </c>
      <c r="B3167" t="s">
        <v>43</v>
      </c>
      <c r="C3167" t="s">
        <v>166</v>
      </c>
      <c r="D3167" s="1" t="s">
        <v>18</v>
      </c>
      <c r="E3167">
        <v>184.4</v>
      </c>
      <c r="F3167">
        <v>175.3</v>
      </c>
      <c r="G3167">
        <v>162.6</v>
      </c>
      <c r="H3167" s="1" t="s">
        <v>189</v>
      </c>
    </row>
    <row r="3168" spans="1:8" x14ac:dyDescent="0.3">
      <c r="A3168">
        <v>2022</v>
      </c>
      <c r="B3168" t="s">
        <v>43</v>
      </c>
      <c r="C3168" t="s">
        <v>166</v>
      </c>
      <c r="D3168" s="1" t="s">
        <v>8</v>
      </c>
      <c r="E3168">
        <v>162.19999999999999</v>
      </c>
      <c r="F3168">
        <v>163.80000000000001</v>
      </c>
      <c r="G3168">
        <v>165.7</v>
      </c>
      <c r="H3168" s="1" t="s">
        <v>188</v>
      </c>
    </row>
    <row r="3169" spans="1:8" x14ac:dyDescent="0.3">
      <c r="A3169">
        <v>2022</v>
      </c>
      <c r="B3169" t="s">
        <v>43</v>
      </c>
      <c r="C3169" t="s">
        <v>166</v>
      </c>
      <c r="D3169" s="1" t="s">
        <v>21</v>
      </c>
      <c r="E3169">
        <v>180.8</v>
      </c>
      <c r="F3169">
        <v>180.5</v>
      </c>
      <c r="G3169">
        <v>180</v>
      </c>
      <c r="H3169" s="1" t="s">
        <v>190</v>
      </c>
    </row>
    <row r="3170" spans="1:8" x14ac:dyDescent="0.3">
      <c r="A3170">
        <v>2022</v>
      </c>
      <c r="B3170" t="s">
        <v>43</v>
      </c>
      <c r="C3170" t="s">
        <v>166</v>
      </c>
      <c r="D3170" s="1" t="s">
        <v>29</v>
      </c>
      <c r="E3170">
        <v>177.9</v>
      </c>
      <c r="F3170">
        <v>176.7</v>
      </c>
      <c r="G3170">
        <v>175.3</v>
      </c>
      <c r="H3170" s="1" t="s">
        <v>206</v>
      </c>
    </row>
    <row r="3171" spans="1:8" x14ac:dyDescent="0.3">
      <c r="A3171">
        <v>2022</v>
      </c>
      <c r="B3171" t="s">
        <v>43</v>
      </c>
      <c r="C3171" t="s">
        <v>166</v>
      </c>
      <c r="D3171" s="1" t="s">
        <v>23</v>
      </c>
      <c r="E3171">
        <v>181.2</v>
      </c>
      <c r="F3171">
        <v>178.7</v>
      </c>
      <c r="G3171">
        <v>174.7</v>
      </c>
      <c r="H3171" s="1" t="s">
        <v>23</v>
      </c>
    </row>
    <row r="3172" spans="1:8" x14ac:dyDescent="0.3">
      <c r="A3172">
        <v>2022</v>
      </c>
      <c r="B3172" t="s">
        <v>43</v>
      </c>
      <c r="C3172" t="s">
        <v>166</v>
      </c>
      <c r="D3172" s="1" t="s">
        <v>22</v>
      </c>
      <c r="E3172">
        <v>174.4</v>
      </c>
      <c r="F3172">
        <v>170.4</v>
      </c>
      <c r="G3172">
        <v>166</v>
      </c>
      <c r="H3172" s="1" t="s">
        <v>20</v>
      </c>
    </row>
    <row r="3173" spans="1:8" x14ac:dyDescent="0.3">
      <c r="A3173">
        <v>2022</v>
      </c>
      <c r="B3173" t="s">
        <v>43</v>
      </c>
      <c r="C3173" t="s">
        <v>166</v>
      </c>
      <c r="D3173" s="1" t="s">
        <v>20</v>
      </c>
      <c r="E3173">
        <v>0</v>
      </c>
      <c r="F3173">
        <v>171.2</v>
      </c>
      <c r="G3173">
        <v>171.2</v>
      </c>
      <c r="H3173" s="1" t="s">
        <v>20</v>
      </c>
    </row>
    <row r="3174" spans="1:8" x14ac:dyDescent="0.3">
      <c r="A3174">
        <v>2022</v>
      </c>
      <c r="B3174" t="s">
        <v>43</v>
      </c>
      <c r="C3174" t="s">
        <v>166</v>
      </c>
      <c r="D3174" s="1" t="s">
        <v>4</v>
      </c>
      <c r="E3174">
        <v>208.8</v>
      </c>
      <c r="F3174">
        <v>210.9</v>
      </c>
      <c r="G3174">
        <v>214.9</v>
      </c>
      <c r="H3174" s="1" t="s">
        <v>188</v>
      </c>
    </row>
    <row r="3175" spans="1:8" x14ac:dyDescent="0.3">
      <c r="A3175">
        <v>2022</v>
      </c>
      <c r="B3175" t="s">
        <v>43</v>
      </c>
      <c r="C3175" t="s">
        <v>166</v>
      </c>
      <c r="D3175" s="1" t="s">
        <v>6</v>
      </c>
      <c r="E3175">
        <v>170.9</v>
      </c>
      <c r="F3175">
        <v>170.9</v>
      </c>
      <c r="G3175">
        <v>171</v>
      </c>
      <c r="H3175" s="1" t="s">
        <v>188</v>
      </c>
    </row>
    <row r="3176" spans="1:8" x14ac:dyDescent="0.3">
      <c r="A3176">
        <v>2022</v>
      </c>
      <c r="B3176" t="s">
        <v>43</v>
      </c>
      <c r="C3176" t="s">
        <v>166</v>
      </c>
      <c r="D3176" s="1" t="s">
        <v>28</v>
      </c>
      <c r="E3176">
        <v>173.9</v>
      </c>
      <c r="F3176">
        <v>170.5</v>
      </c>
      <c r="G3176">
        <v>166.8</v>
      </c>
      <c r="H3176" s="1" t="s">
        <v>192</v>
      </c>
    </row>
    <row r="3177" spans="1:8" x14ac:dyDescent="0.3">
      <c r="A3177">
        <v>2022</v>
      </c>
      <c r="B3177" t="s">
        <v>43</v>
      </c>
      <c r="C3177" t="s">
        <v>166</v>
      </c>
      <c r="D3177" s="1" t="s">
        <v>13</v>
      </c>
      <c r="E3177">
        <v>175.8</v>
      </c>
      <c r="F3177">
        <v>169.9</v>
      </c>
      <c r="G3177">
        <v>161.6</v>
      </c>
      <c r="H3177" s="1" t="s">
        <v>188</v>
      </c>
    </row>
    <row r="3178" spans="1:8" x14ac:dyDescent="0.3">
      <c r="A3178">
        <v>2022</v>
      </c>
      <c r="B3178" t="s">
        <v>43</v>
      </c>
      <c r="C3178" t="s">
        <v>166</v>
      </c>
      <c r="D3178" s="1" t="s">
        <v>7</v>
      </c>
      <c r="E3178">
        <v>191.6</v>
      </c>
      <c r="F3178">
        <v>186.5</v>
      </c>
      <c r="G3178">
        <v>177.7</v>
      </c>
      <c r="H3178" s="1" t="s">
        <v>188</v>
      </c>
    </row>
    <row r="3179" spans="1:8" x14ac:dyDescent="0.3">
      <c r="A3179">
        <v>2022</v>
      </c>
      <c r="B3179" t="s">
        <v>43</v>
      </c>
      <c r="C3179" t="s">
        <v>166</v>
      </c>
      <c r="D3179" s="1" t="s">
        <v>16</v>
      </c>
      <c r="E3179">
        <v>194.9</v>
      </c>
      <c r="F3179">
        <v>196.3</v>
      </c>
      <c r="G3179">
        <v>200.1</v>
      </c>
      <c r="H3179" s="1" t="s">
        <v>192</v>
      </c>
    </row>
    <row r="3180" spans="1:8" x14ac:dyDescent="0.3">
      <c r="A3180">
        <v>2022</v>
      </c>
      <c r="B3180" t="s">
        <v>43</v>
      </c>
      <c r="C3180" t="s">
        <v>166</v>
      </c>
      <c r="D3180" s="1" t="s">
        <v>27</v>
      </c>
      <c r="E3180">
        <v>172</v>
      </c>
      <c r="F3180">
        <v>172.1</v>
      </c>
      <c r="G3180">
        <v>172.3</v>
      </c>
      <c r="H3180" s="1" t="s">
        <v>192</v>
      </c>
    </row>
    <row r="3181" spans="1:8" x14ac:dyDescent="0.3">
      <c r="A3181">
        <v>2022</v>
      </c>
      <c r="B3181" t="s">
        <v>43</v>
      </c>
      <c r="C3181" t="s">
        <v>166</v>
      </c>
      <c r="D3181" s="1" t="s">
        <v>14</v>
      </c>
      <c r="E3181">
        <v>185.6</v>
      </c>
      <c r="F3181">
        <v>188.3</v>
      </c>
      <c r="G3181">
        <v>191.5</v>
      </c>
      <c r="H3181" s="1" t="s">
        <v>188</v>
      </c>
    </row>
    <row r="3182" spans="1:8" x14ac:dyDescent="0.3">
      <c r="A3182">
        <v>2022</v>
      </c>
      <c r="B3182" t="s">
        <v>43</v>
      </c>
      <c r="C3182" t="s">
        <v>166</v>
      </c>
      <c r="D3182" s="1" t="s">
        <v>10</v>
      </c>
      <c r="E3182">
        <v>169.7</v>
      </c>
      <c r="F3182">
        <v>169.8</v>
      </c>
      <c r="G3182">
        <v>169.9</v>
      </c>
      <c r="H3182" s="1" t="s">
        <v>188</v>
      </c>
    </row>
    <row r="3183" spans="1:8" x14ac:dyDescent="0.3">
      <c r="A3183">
        <v>2022</v>
      </c>
      <c r="B3183" t="s">
        <v>43</v>
      </c>
      <c r="C3183" t="s">
        <v>166</v>
      </c>
      <c r="D3183" s="1" t="s">
        <v>25</v>
      </c>
      <c r="E3183">
        <v>170.6</v>
      </c>
      <c r="F3183">
        <v>168.2</v>
      </c>
      <c r="G3183">
        <v>166.3</v>
      </c>
      <c r="H3183" s="1" t="s">
        <v>195</v>
      </c>
    </row>
    <row r="3184" spans="1:8" x14ac:dyDescent="0.3">
      <c r="A3184">
        <v>2022</v>
      </c>
      <c r="B3184" t="s">
        <v>43</v>
      </c>
      <c r="C3184" t="s">
        <v>166</v>
      </c>
      <c r="D3184" s="1" t="s">
        <v>12</v>
      </c>
      <c r="E3184">
        <v>201.6</v>
      </c>
      <c r="F3184">
        <v>199.9</v>
      </c>
      <c r="G3184">
        <v>196.4</v>
      </c>
      <c r="H3184" s="1" t="s">
        <v>188</v>
      </c>
    </row>
    <row r="3185" spans="1:8" x14ac:dyDescent="0.3">
      <c r="A3185">
        <v>2022</v>
      </c>
      <c r="B3185" t="s">
        <v>43</v>
      </c>
      <c r="C3185" t="s">
        <v>166</v>
      </c>
      <c r="D3185" s="1" t="s">
        <v>11</v>
      </c>
      <c r="E3185">
        <v>121.1</v>
      </c>
      <c r="F3185">
        <v>121.9</v>
      </c>
      <c r="G3185">
        <v>123.4</v>
      </c>
      <c r="H3185" s="1" t="s">
        <v>188</v>
      </c>
    </row>
    <row r="3186" spans="1:8" x14ac:dyDescent="0.3">
      <c r="A3186">
        <v>2022</v>
      </c>
      <c r="B3186" t="s">
        <v>43</v>
      </c>
      <c r="C3186" t="s">
        <v>166</v>
      </c>
      <c r="D3186" s="1" t="s">
        <v>24</v>
      </c>
      <c r="E3186">
        <v>167.4</v>
      </c>
      <c r="F3186">
        <v>162.9</v>
      </c>
      <c r="G3186">
        <v>158.80000000000001</v>
      </c>
      <c r="H3186" s="1" t="s">
        <v>191</v>
      </c>
    </row>
    <row r="3187" spans="1:8" x14ac:dyDescent="0.3">
      <c r="A3187">
        <v>2022</v>
      </c>
      <c r="B3187" t="s">
        <v>43</v>
      </c>
      <c r="C3187" t="s">
        <v>166</v>
      </c>
      <c r="D3187" s="1" t="s">
        <v>9</v>
      </c>
      <c r="E3187">
        <v>184.8</v>
      </c>
      <c r="F3187">
        <v>199.7</v>
      </c>
      <c r="G3187">
        <v>228.6</v>
      </c>
      <c r="H3187" s="1" t="s">
        <v>188</v>
      </c>
    </row>
    <row r="3188" spans="1:8" x14ac:dyDescent="0.3">
      <c r="A3188">
        <v>2022</v>
      </c>
      <c r="B3188" t="s">
        <v>42</v>
      </c>
      <c r="C3188" t="s">
        <v>167</v>
      </c>
      <c r="D3188" s="1" t="s">
        <v>3</v>
      </c>
      <c r="E3188">
        <v>162.9</v>
      </c>
      <c r="F3188">
        <v>163.5</v>
      </c>
      <c r="G3188">
        <v>164.9</v>
      </c>
      <c r="H3188" s="1" t="s">
        <v>188</v>
      </c>
    </row>
    <row r="3189" spans="1:8" x14ac:dyDescent="0.3">
      <c r="A3189">
        <v>2022</v>
      </c>
      <c r="B3189" t="s">
        <v>42</v>
      </c>
      <c r="C3189" t="s">
        <v>167</v>
      </c>
      <c r="D3189" s="1" t="s">
        <v>17</v>
      </c>
      <c r="E3189">
        <v>184.7</v>
      </c>
      <c r="F3189">
        <v>180.9</v>
      </c>
      <c r="G3189">
        <v>175</v>
      </c>
      <c r="H3189" s="1" t="s">
        <v>189</v>
      </c>
    </row>
    <row r="3190" spans="1:8" x14ac:dyDescent="0.3">
      <c r="A3190">
        <v>2022</v>
      </c>
      <c r="B3190" t="s">
        <v>42</v>
      </c>
      <c r="C3190" t="s">
        <v>167</v>
      </c>
      <c r="D3190" s="1" t="s">
        <v>19</v>
      </c>
      <c r="E3190">
        <v>184.5</v>
      </c>
      <c r="F3190">
        <v>179.9</v>
      </c>
      <c r="G3190">
        <v>173</v>
      </c>
      <c r="H3190" s="1" t="s">
        <v>189</v>
      </c>
    </row>
    <row r="3191" spans="1:8" x14ac:dyDescent="0.3">
      <c r="A3191">
        <v>2022</v>
      </c>
      <c r="B3191" t="s">
        <v>42</v>
      </c>
      <c r="C3191" t="s">
        <v>167</v>
      </c>
      <c r="D3191" s="1" t="s">
        <v>26</v>
      </c>
      <c r="E3191">
        <v>176.2</v>
      </c>
      <c r="F3191">
        <v>173.1</v>
      </c>
      <c r="G3191">
        <v>170.9</v>
      </c>
      <c r="H3191" s="1" t="s">
        <v>26</v>
      </c>
    </row>
    <row r="3192" spans="1:8" x14ac:dyDescent="0.3">
      <c r="A3192">
        <v>2022</v>
      </c>
      <c r="B3192" t="s">
        <v>42</v>
      </c>
      <c r="C3192" t="s">
        <v>167</v>
      </c>
      <c r="D3192" s="1" t="s">
        <v>5</v>
      </c>
      <c r="E3192">
        <v>169</v>
      </c>
      <c r="F3192">
        <v>169.7</v>
      </c>
      <c r="G3192">
        <v>170.9</v>
      </c>
      <c r="H3192" s="1" t="s">
        <v>188</v>
      </c>
    </row>
    <row r="3193" spans="1:8" x14ac:dyDescent="0.3">
      <c r="A3193">
        <v>2022</v>
      </c>
      <c r="B3193" t="s">
        <v>42</v>
      </c>
      <c r="C3193" t="s">
        <v>167</v>
      </c>
      <c r="D3193" s="1" t="s">
        <v>15</v>
      </c>
      <c r="E3193">
        <v>175.5</v>
      </c>
      <c r="F3193">
        <v>177.8</v>
      </c>
      <c r="G3193">
        <v>181.8</v>
      </c>
      <c r="H3193" s="1" t="s">
        <v>188</v>
      </c>
    </row>
    <row r="3194" spans="1:8" x14ac:dyDescent="0.3">
      <c r="A3194">
        <v>2022</v>
      </c>
      <c r="B3194" t="s">
        <v>42</v>
      </c>
      <c r="C3194" t="s">
        <v>167</v>
      </c>
      <c r="D3194" s="1" t="s">
        <v>18</v>
      </c>
      <c r="E3194">
        <v>183.3</v>
      </c>
      <c r="F3194">
        <v>174.3</v>
      </c>
      <c r="G3194">
        <v>161.69999999999999</v>
      </c>
      <c r="H3194" s="1" t="s">
        <v>189</v>
      </c>
    </row>
    <row r="3195" spans="1:8" x14ac:dyDescent="0.3">
      <c r="A3195">
        <v>2022</v>
      </c>
      <c r="B3195" t="s">
        <v>42</v>
      </c>
      <c r="C3195" t="s">
        <v>167</v>
      </c>
      <c r="D3195" s="1" t="s">
        <v>8</v>
      </c>
      <c r="E3195">
        <v>164.1</v>
      </c>
      <c r="F3195">
        <v>165.7</v>
      </c>
      <c r="G3195">
        <v>167.5</v>
      </c>
      <c r="H3195" s="1" t="s">
        <v>188</v>
      </c>
    </row>
    <row r="3196" spans="1:8" x14ac:dyDescent="0.3">
      <c r="A3196">
        <v>2022</v>
      </c>
      <c r="B3196" t="s">
        <v>42</v>
      </c>
      <c r="C3196" t="s">
        <v>167</v>
      </c>
      <c r="D3196" s="1" t="s">
        <v>21</v>
      </c>
      <c r="E3196">
        <v>179.7</v>
      </c>
      <c r="F3196">
        <v>179.5</v>
      </c>
      <c r="G3196">
        <v>179.2</v>
      </c>
      <c r="H3196" s="1" t="s">
        <v>190</v>
      </c>
    </row>
    <row r="3197" spans="1:8" x14ac:dyDescent="0.3">
      <c r="A3197">
        <v>2022</v>
      </c>
      <c r="B3197" t="s">
        <v>42</v>
      </c>
      <c r="C3197" t="s">
        <v>167</v>
      </c>
      <c r="D3197" s="1" t="s">
        <v>29</v>
      </c>
      <c r="E3197">
        <v>176.4</v>
      </c>
      <c r="F3197">
        <v>175.3</v>
      </c>
      <c r="G3197">
        <v>174.1</v>
      </c>
      <c r="H3197" s="1" t="s">
        <v>206</v>
      </c>
    </row>
    <row r="3198" spans="1:8" x14ac:dyDescent="0.3">
      <c r="A3198">
        <v>2022</v>
      </c>
      <c r="B3198" t="s">
        <v>42</v>
      </c>
      <c r="C3198" t="s">
        <v>167</v>
      </c>
      <c r="D3198" s="1" t="s">
        <v>23</v>
      </c>
      <c r="E3198">
        <v>180.2</v>
      </c>
      <c r="F3198">
        <v>177.8</v>
      </c>
      <c r="G3198">
        <v>173.8</v>
      </c>
      <c r="H3198" s="1" t="s">
        <v>23</v>
      </c>
    </row>
    <row r="3199" spans="1:8" x14ac:dyDescent="0.3">
      <c r="A3199">
        <v>2022</v>
      </c>
      <c r="B3199" t="s">
        <v>42</v>
      </c>
      <c r="C3199" t="s">
        <v>167</v>
      </c>
      <c r="D3199" s="1" t="s">
        <v>22</v>
      </c>
      <c r="E3199">
        <v>173.6</v>
      </c>
      <c r="F3199">
        <v>169.5</v>
      </c>
      <c r="G3199">
        <v>165</v>
      </c>
      <c r="H3199" s="1" t="s">
        <v>20</v>
      </c>
    </row>
    <row r="3200" spans="1:8" x14ac:dyDescent="0.3">
      <c r="A3200">
        <v>2022</v>
      </c>
      <c r="B3200" t="s">
        <v>42</v>
      </c>
      <c r="C3200" t="s">
        <v>167</v>
      </c>
      <c r="D3200" s="1" t="s">
        <v>20</v>
      </c>
      <c r="E3200">
        <v>0</v>
      </c>
      <c r="F3200">
        <v>169.5</v>
      </c>
      <c r="G3200">
        <v>169.5</v>
      </c>
      <c r="H3200" s="1" t="s">
        <v>20</v>
      </c>
    </row>
    <row r="3201" spans="1:8" x14ac:dyDescent="0.3">
      <c r="A3201">
        <v>2022</v>
      </c>
      <c r="B3201" t="s">
        <v>42</v>
      </c>
      <c r="C3201" t="s">
        <v>167</v>
      </c>
      <c r="D3201" s="1" t="s">
        <v>4</v>
      </c>
      <c r="E3201">
        <v>206.7</v>
      </c>
      <c r="F3201">
        <v>209.2</v>
      </c>
      <c r="G3201">
        <v>213.7</v>
      </c>
      <c r="H3201" s="1" t="s">
        <v>188</v>
      </c>
    </row>
    <row r="3202" spans="1:8" x14ac:dyDescent="0.3">
      <c r="A3202">
        <v>2022</v>
      </c>
      <c r="B3202" t="s">
        <v>42</v>
      </c>
      <c r="C3202" t="s">
        <v>167</v>
      </c>
      <c r="D3202" s="1" t="s">
        <v>6</v>
      </c>
      <c r="E3202">
        <v>169.5</v>
      </c>
      <c r="F3202">
        <v>169.7</v>
      </c>
      <c r="G3202">
        <v>170.1</v>
      </c>
      <c r="H3202" s="1" t="s">
        <v>188</v>
      </c>
    </row>
    <row r="3203" spans="1:8" x14ac:dyDescent="0.3">
      <c r="A3203">
        <v>2022</v>
      </c>
      <c r="B3203" t="s">
        <v>42</v>
      </c>
      <c r="C3203" t="s">
        <v>167</v>
      </c>
      <c r="D3203" s="1" t="s">
        <v>28</v>
      </c>
      <c r="E3203">
        <v>173.1</v>
      </c>
      <c r="F3203">
        <v>169.7</v>
      </c>
      <c r="G3203">
        <v>166.1</v>
      </c>
      <c r="H3203" s="1" t="s">
        <v>192</v>
      </c>
    </row>
    <row r="3204" spans="1:8" x14ac:dyDescent="0.3">
      <c r="A3204">
        <v>2022</v>
      </c>
      <c r="B3204" t="s">
        <v>42</v>
      </c>
      <c r="C3204" t="s">
        <v>167</v>
      </c>
      <c r="D3204" s="1" t="s">
        <v>13</v>
      </c>
      <c r="E3204">
        <v>175.4</v>
      </c>
      <c r="F3204">
        <v>169.4</v>
      </c>
      <c r="G3204">
        <v>161.1</v>
      </c>
      <c r="H3204" s="1" t="s">
        <v>188</v>
      </c>
    </row>
    <row r="3205" spans="1:8" x14ac:dyDescent="0.3">
      <c r="A3205">
        <v>2022</v>
      </c>
      <c r="B3205" t="s">
        <v>42</v>
      </c>
      <c r="C3205" t="s">
        <v>167</v>
      </c>
      <c r="D3205" s="1" t="s">
        <v>7</v>
      </c>
      <c r="E3205">
        <v>194.1</v>
      </c>
      <c r="F3205">
        <v>188.7</v>
      </c>
      <c r="G3205">
        <v>179.3</v>
      </c>
      <c r="H3205" s="1" t="s">
        <v>188</v>
      </c>
    </row>
    <row r="3206" spans="1:8" x14ac:dyDescent="0.3">
      <c r="A3206">
        <v>2022</v>
      </c>
      <c r="B3206" t="s">
        <v>42</v>
      </c>
      <c r="C3206" t="s">
        <v>167</v>
      </c>
      <c r="D3206" s="1" t="s">
        <v>16</v>
      </c>
      <c r="E3206">
        <v>194.5</v>
      </c>
      <c r="F3206">
        <v>195.9</v>
      </c>
      <c r="G3206">
        <v>199.7</v>
      </c>
      <c r="H3206" s="1" t="s">
        <v>192</v>
      </c>
    </row>
    <row r="3207" spans="1:8" x14ac:dyDescent="0.3">
      <c r="A3207">
        <v>2022</v>
      </c>
      <c r="B3207" t="s">
        <v>42</v>
      </c>
      <c r="C3207" t="s">
        <v>167</v>
      </c>
      <c r="D3207" s="1" t="s">
        <v>27</v>
      </c>
      <c r="E3207">
        <v>170.8</v>
      </c>
      <c r="F3207">
        <v>170.9</v>
      </c>
      <c r="G3207">
        <v>171.1</v>
      </c>
      <c r="H3207" s="1" t="s">
        <v>192</v>
      </c>
    </row>
    <row r="3208" spans="1:8" x14ac:dyDescent="0.3">
      <c r="A3208">
        <v>2022</v>
      </c>
      <c r="B3208" t="s">
        <v>42</v>
      </c>
      <c r="C3208" t="s">
        <v>167</v>
      </c>
      <c r="D3208" s="1" t="s">
        <v>14</v>
      </c>
      <c r="E3208">
        <v>184.8</v>
      </c>
      <c r="F3208">
        <v>187.4</v>
      </c>
      <c r="G3208">
        <v>190.4</v>
      </c>
      <c r="H3208" s="1" t="s">
        <v>188</v>
      </c>
    </row>
    <row r="3209" spans="1:8" x14ac:dyDescent="0.3">
      <c r="A3209">
        <v>2022</v>
      </c>
      <c r="B3209" t="s">
        <v>42</v>
      </c>
      <c r="C3209" t="s">
        <v>167</v>
      </c>
      <c r="D3209" s="1" t="s">
        <v>10</v>
      </c>
      <c r="E3209">
        <v>169</v>
      </c>
      <c r="F3209">
        <v>169.1</v>
      </c>
      <c r="G3209">
        <v>169.2</v>
      </c>
      <c r="H3209" s="1" t="s">
        <v>188</v>
      </c>
    </row>
    <row r="3210" spans="1:8" x14ac:dyDescent="0.3">
      <c r="A3210">
        <v>2022</v>
      </c>
      <c r="B3210" t="s">
        <v>42</v>
      </c>
      <c r="C3210" t="s">
        <v>167</v>
      </c>
      <c r="D3210" s="1" t="s">
        <v>25</v>
      </c>
      <c r="E3210">
        <v>170</v>
      </c>
      <c r="F3210">
        <v>167.6</v>
      </c>
      <c r="G3210">
        <v>165.8</v>
      </c>
      <c r="H3210" s="1" t="s">
        <v>195</v>
      </c>
    </row>
    <row r="3211" spans="1:8" x14ac:dyDescent="0.3">
      <c r="A3211">
        <v>2022</v>
      </c>
      <c r="B3211" t="s">
        <v>42</v>
      </c>
      <c r="C3211" t="s">
        <v>167</v>
      </c>
      <c r="D3211" s="1" t="s">
        <v>12</v>
      </c>
      <c r="E3211">
        <v>199.1</v>
      </c>
      <c r="F3211">
        <v>197.3</v>
      </c>
      <c r="G3211">
        <v>193.6</v>
      </c>
      <c r="H3211" s="1" t="s">
        <v>188</v>
      </c>
    </row>
    <row r="3212" spans="1:8" x14ac:dyDescent="0.3">
      <c r="A3212">
        <v>2022</v>
      </c>
      <c r="B3212" t="s">
        <v>42</v>
      </c>
      <c r="C3212" t="s">
        <v>167</v>
      </c>
      <c r="D3212" s="1" t="s">
        <v>11</v>
      </c>
      <c r="E3212">
        <v>120.8</v>
      </c>
      <c r="F3212">
        <v>121.6</v>
      </c>
      <c r="G3212">
        <v>123.1</v>
      </c>
      <c r="H3212" s="1" t="s">
        <v>188</v>
      </c>
    </row>
    <row r="3213" spans="1:8" x14ac:dyDescent="0.3">
      <c r="A3213">
        <v>2022</v>
      </c>
      <c r="B3213" t="s">
        <v>42</v>
      </c>
      <c r="C3213" t="s">
        <v>167</v>
      </c>
      <c r="D3213" s="1" t="s">
        <v>24</v>
      </c>
      <c r="E3213">
        <v>166.9</v>
      </c>
      <c r="F3213">
        <v>162.30000000000001</v>
      </c>
      <c r="G3213">
        <v>158.19999999999999</v>
      </c>
      <c r="H3213" s="1" t="s">
        <v>191</v>
      </c>
    </row>
    <row r="3214" spans="1:8" x14ac:dyDescent="0.3">
      <c r="A3214">
        <v>2022</v>
      </c>
      <c r="B3214" t="s">
        <v>42</v>
      </c>
      <c r="C3214" t="s">
        <v>167</v>
      </c>
      <c r="D3214" s="1" t="s">
        <v>9</v>
      </c>
      <c r="E3214">
        <v>176.9</v>
      </c>
      <c r="F3214">
        <v>191.8</v>
      </c>
      <c r="G3214">
        <v>220.8</v>
      </c>
      <c r="H3214" s="1" t="s">
        <v>188</v>
      </c>
    </row>
    <row r="3215" spans="1:8" x14ac:dyDescent="0.3">
      <c r="A3215">
        <v>2023</v>
      </c>
      <c r="B3215" t="s">
        <v>37</v>
      </c>
      <c r="C3215" t="s">
        <v>168</v>
      </c>
      <c r="D3215" s="1" t="s">
        <v>3</v>
      </c>
      <c r="E3215">
        <v>173.3</v>
      </c>
      <c r="F3215">
        <v>173.8</v>
      </c>
      <c r="G3215">
        <v>174.8</v>
      </c>
      <c r="H3215" s="1" t="s">
        <v>188</v>
      </c>
    </row>
    <row r="3216" spans="1:8" x14ac:dyDescent="0.3">
      <c r="A3216">
        <v>2023</v>
      </c>
      <c r="B3216" t="s">
        <v>37</v>
      </c>
      <c r="C3216" t="s">
        <v>168</v>
      </c>
      <c r="D3216" s="1" t="s">
        <v>17</v>
      </c>
      <c r="E3216">
        <v>190.7</v>
      </c>
      <c r="F3216">
        <v>186.9</v>
      </c>
      <c r="G3216">
        <v>181</v>
      </c>
      <c r="H3216" s="1" t="s">
        <v>189</v>
      </c>
    </row>
    <row r="3217" spans="1:8" x14ac:dyDescent="0.3">
      <c r="A3217">
        <v>2023</v>
      </c>
      <c r="B3217" t="s">
        <v>37</v>
      </c>
      <c r="C3217" t="s">
        <v>168</v>
      </c>
      <c r="D3217" s="1" t="s">
        <v>19</v>
      </c>
      <c r="E3217">
        <v>190.2</v>
      </c>
      <c r="F3217">
        <v>185.7</v>
      </c>
      <c r="G3217">
        <v>178.9</v>
      </c>
      <c r="H3217" s="1" t="s">
        <v>189</v>
      </c>
    </row>
    <row r="3218" spans="1:8" x14ac:dyDescent="0.3">
      <c r="A3218">
        <v>2023</v>
      </c>
      <c r="B3218" t="s">
        <v>37</v>
      </c>
      <c r="C3218" t="s">
        <v>168</v>
      </c>
      <c r="D3218" s="1" t="s">
        <v>26</v>
      </c>
      <c r="E3218">
        <v>179.4</v>
      </c>
      <c r="F3218">
        <v>176.4</v>
      </c>
      <c r="G3218">
        <v>174.2</v>
      </c>
      <c r="H3218" s="1" t="s">
        <v>26</v>
      </c>
    </row>
    <row r="3219" spans="1:8" x14ac:dyDescent="0.3">
      <c r="A3219">
        <v>2023</v>
      </c>
      <c r="B3219" t="s">
        <v>37</v>
      </c>
      <c r="C3219" t="s">
        <v>168</v>
      </c>
      <c r="D3219" s="1" t="s">
        <v>5</v>
      </c>
      <c r="E3219">
        <v>167.9</v>
      </c>
      <c r="F3219">
        <v>169.6</v>
      </c>
      <c r="G3219">
        <v>172.4</v>
      </c>
      <c r="H3219" s="1" t="s">
        <v>188</v>
      </c>
    </row>
    <row r="3220" spans="1:8" x14ac:dyDescent="0.3">
      <c r="A3220">
        <v>2023</v>
      </c>
      <c r="B3220" t="s">
        <v>37</v>
      </c>
      <c r="C3220" t="s">
        <v>168</v>
      </c>
      <c r="D3220" s="1" t="s">
        <v>15</v>
      </c>
      <c r="E3220">
        <v>175.5</v>
      </c>
      <c r="F3220">
        <v>177.9</v>
      </c>
      <c r="G3220">
        <v>182.1</v>
      </c>
      <c r="H3220" s="1" t="s">
        <v>188</v>
      </c>
    </row>
    <row r="3221" spans="1:8" x14ac:dyDescent="0.3">
      <c r="A3221">
        <v>2023</v>
      </c>
      <c r="B3221" t="s">
        <v>37</v>
      </c>
      <c r="C3221" t="s">
        <v>168</v>
      </c>
      <c r="D3221" s="1" t="s">
        <v>18</v>
      </c>
      <c r="E3221">
        <v>187.3</v>
      </c>
      <c r="F3221">
        <v>179.2</v>
      </c>
      <c r="G3221">
        <v>167.7</v>
      </c>
      <c r="H3221" s="1" t="s">
        <v>189</v>
      </c>
    </row>
    <row r="3222" spans="1:8" x14ac:dyDescent="0.3">
      <c r="A3222">
        <v>2023</v>
      </c>
      <c r="B3222" t="s">
        <v>37</v>
      </c>
      <c r="C3222" t="s">
        <v>168</v>
      </c>
      <c r="D3222" s="1" t="s">
        <v>8</v>
      </c>
      <c r="E3222">
        <v>173.7</v>
      </c>
      <c r="F3222">
        <v>176.3</v>
      </c>
      <c r="G3222">
        <v>179.2</v>
      </c>
      <c r="H3222" s="1" t="s">
        <v>188</v>
      </c>
    </row>
    <row r="3223" spans="1:8" x14ac:dyDescent="0.3">
      <c r="A3223">
        <v>2023</v>
      </c>
      <c r="B3223" t="s">
        <v>37</v>
      </c>
      <c r="C3223" t="s">
        <v>168</v>
      </c>
      <c r="D3223" s="1" t="s">
        <v>21</v>
      </c>
      <c r="E3223">
        <v>181.5</v>
      </c>
      <c r="F3223">
        <v>181.7</v>
      </c>
      <c r="G3223">
        <v>182.1</v>
      </c>
      <c r="H3223" s="1" t="s">
        <v>190</v>
      </c>
    </row>
    <row r="3224" spans="1:8" x14ac:dyDescent="0.3">
      <c r="A3224">
        <v>2023</v>
      </c>
      <c r="B3224" t="s">
        <v>37</v>
      </c>
      <c r="C3224" t="s">
        <v>168</v>
      </c>
      <c r="D3224" s="1" t="s">
        <v>29</v>
      </c>
      <c r="E3224">
        <v>178.8</v>
      </c>
      <c r="F3224">
        <v>178.1</v>
      </c>
      <c r="G3224">
        <v>177.4</v>
      </c>
      <c r="H3224" s="1" t="s">
        <v>206</v>
      </c>
    </row>
    <row r="3225" spans="1:8" x14ac:dyDescent="0.3">
      <c r="A3225">
        <v>2023</v>
      </c>
      <c r="B3225" t="s">
        <v>37</v>
      </c>
      <c r="C3225" t="s">
        <v>168</v>
      </c>
      <c r="D3225" s="1" t="s">
        <v>23</v>
      </c>
      <c r="E3225">
        <v>187.2</v>
      </c>
      <c r="F3225">
        <v>185</v>
      </c>
      <c r="G3225">
        <v>181.5</v>
      </c>
      <c r="H3225" s="1" t="s">
        <v>23</v>
      </c>
    </row>
    <row r="3226" spans="1:8" x14ac:dyDescent="0.3">
      <c r="A3226">
        <v>2023</v>
      </c>
      <c r="B3226" t="s">
        <v>37</v>
      </c>
      <c r="C3226" t="s">
        <v>168</v>
      </c>
      <c r="D3226" s="1" t="s">
        <v>22</v>
      </c>
      <c r="E3226">
        <v>179.1</v>
      </c>
      <c r="F3226">
        <v>174.6</v>
      </c>
      <c r="G3226">
        <v>169.6</v>
      </c>
      <c r="H3226" s="1" t="s">
        <v>20</v>
      </c>
    </row>
    <row r="3227" spans="1:8" x14ac:dyDescent="0.3">
      <c r="A3227">
        <v>2023</v>
      </c>
      <c r="B3227" t="s">
        <v>37</v>
      </c>
      <c r="C3227" t="s">
        <v>168</v>
      </c>
      <c r="D3227" s="1" t="s">
        <v>20</v>
      </c>
      <c r="E3227">
        <v>0</v>
      </c>
      <c r="F3227">
        <v>175.2</v>
      </c>
      <c r="G3227">
        <v>175.2</v>
      </c>
      <c r="H3227" s="1" t="s">
        <v>20</v>
      </c>
    </row>
    <row r="3228" spans="1:8" x14ac:dyDescent="0.3">
      <c r="A3228">
        <v>2023</v>
      </c>
      <c r="B3228" t="s">
        <v>37</v>
      </c>
      <c r="C3228" t="s">
        <v>168</v>
      </c>
      <c r="D3228" s="1" t="s">
        <v>4</v>
      </c>
      <c r="E3228">
        <v>206.9</v>
      </c>
      <c r="F3228">
        <v>209.3</v>
      </c>
      <c r="G3228">
        <v>213.7</v>
      </c>
      <c r="H3228" s="1" t="s">
        <v>188</v>
      </c>
    </row>
    <row r="3229" spans="1:8" x14ac:dyDescent="0.3">
      <c r="A3229">
        <v>2023</v>
      </c>
      <c r="B3229" t="s">
        <v>37</v>
      </c>
      <c r="C3229" t="s">
        <v>168</v>
      </c>
      <c r="D3229" s="1" t="s">
        <v>6</v>
      </c>
      <c r="E3229">
        <v>178.2</v>
      </c>
      <c r="F3229">
        <v>178.4</v>
      </c>
      <c r="G3229">
        <v>178.8</v>
      </c>
      <c r="H3229" s="1" t="s">
        <v>188</v>
      </c>
    </row>
    <row r="3230" spans="1:8" x14ac:dyDescent="0.3">
      <c r="A3230">
        <v>2023</v>
      </c>
      <c r="B3230" t="s">
        <v>37</v>
      </c>
      <c r="C3230" t="s">
        <v>168</v>
      </c>
      <c r="D3230" s="1" t="s">
        <v>28</v>
      </c>
      <c r="E3230">
        <v>178.9</v>
      </c>
      <c r="F3230">
        <v>175</v>
      </c>
      <c r="G3230">
        <v>170.9</v>
      </c>
      <c r="H3230" s="1" t="s">
        <v>192</v>
      </c>
    </row>
    <row r="3231" spans="1:8" x14ac:dyDescent="0.3">
      <c r="A3231">
        <v>2023</v>
      </c>
      <c r="B3231" t="s">
        <v>37</v>
      </c>
      <c r="C3231" t="s">
        <v>168</v>
      </c>
      <c r="D3231" s="1" t="s">
        <v>13</v>
      </c>
      <c r="E3231">
        <v>178.2</v>
      </c>
      <c r="F3231">
        <v>172.9</v>
      </c>
      <c r="G3231">
        <v>165.5</v>
      </c>
      <c r="H3231" s="1" t="s">
        <v>188</v>
      </c>
    </row>
    <row r="3232" spans="1:8" x14ac:dyDescent="0.3">
      <c r="A3232">
        <v>2023</v>
      </c>
      <c r="B3232" t="s">
        <v>37</v>
      </c>
      <c r="C3232" t="s">
        <v>168</v>
      </c>
      <c r="D3232" s="1" t="s">
        <v>7</v>
      </c>
      <c r="E3232">
        <v>178.5</v>
      </c>
      <c r="F3232">
        <v>174.9</v>
      </c>
      <c r="G3232">
        <v>168.7</v>
      </c>
      <c r="H3232" s="1" t="s">
        <v>188</v>
      </c>
    </row>
    <row r="3233" spans="1:8" x14ac:dyDescent="0.3">
      <c r="A3233">
        <v>2023</v>
      </c>
      <c r="B3233" t="s">
        <v>37</v>
      </c>
      <c r="C3233" t="s">
        <v>168</v>
      </c>
      <c r="D3233" s="1" t="s">
        <v>16</v>
      </c>
      <c r="E3233">
        <v>199.5</v>
      </c>
      <c r="F3233">
        <v>200.6</v>
      </c>
      <c r="G3233">
        <v>203.5</v>
      </c>
      <c r="H3233" s="1" t="s">
        <v>192</v>
      </c>
    </row>
    <row r="3234" spans="1:8" x14ac:dyDescent="0.3">
      <c r="A3234">
        <v>2023</v>
      </c>
      <c r="B3234" t="s">
        <v>37</v>
      </c>
      <c r="C3234" t="s">
        <v>168</v>
      </c>
      <c r="D3234" s="1" t="s">
        <v>27</v>
      </c>
      <c r="E3234">
        <v>183.8</v>
      </c>
      <c r="F3234">
        <v>184</v>
      </c>
      <c r="G3234">
        <v>184.4</v>
      </c>
      <c r="H3234" s="1" t="s">
        <v>192</v>
      </c>
    </row>
    <row r="3235" spans="1:8" x14ac:dyDescent="0.3">
      <c r="A3235">
        <v>2023</v>
      </c>
      <c r="B3235" t="s">
        <v>37</v>
      </c>
      <c r="C3235" t="s">
        <v>168</v>
      </c>
      <c r="D3235" s="1" t="s">
        <v>14</v>
      </c>
      <c r="E3235">
        <v>190.5</v>
      </c>
      <c r="F3235">
        <v>193.5</v>
      </c>
      <c r="G3235">
        <v>197</v>
      </c>
      <c r="H3235" s="1" t="s">
        <v>188</v>
      </c>
    </row>
    <row r="3236" spans="1:8" x14ac:dyDescent="0.3">
      <c r="A3236">
        <v>2023</v>
      </c>
      <c r="B3236" t="s">
        <v>37</v>
      </c>
      <c r="C3236" t="s">
        <v>168</v>
      </c>
      <c r="D3236" s="1" t="s">
        <v>10</v>
      </c>
      <c r="E3236">
        <v>172.8</v>
      </c>
      <c r="F3236">
        <v>173.4</v>
      </c>
      <c r="G3236">
        <v>174.7</v>
      </c>
      <c r="H3236" s="1" t="s">
        <v>188</v>
      </c>
    </row>
    <row r="3237" spans="1:8" x14ac:dyDescent="0.3">
      <c r="A3237">
        <v>2023</v>
      </c>
      <c r="B3237" t="s">
        <v>37</v>
      </c>
      <c r="C3237" t="s">
        <v>168</v>
      </c>
      <c r="D3237" s="1" t="s">
        <v>25</v>
      </c>
      <c r="E3237">
        <v>173.2</v>
      </c>
      <c r="F3237">
        <v>170.7</v>
      </c>
      <c r="G3237">
        <v>168.8</v>
      </c>
      <c r="H3237" s="1" t="s">
        <v>195</v>
      </c>
    </row>
    <row r="3238" spans="1:8" x14ac:dyDescent="0.3">
      <c r="A3238">
        <v>2023</v>
      </c>
      <c r="B3238" t="s">
        <v>37</v>
      </c>
      <c r="C3238" t="s">
        <v>168</v>
      </c>
      <c r="D3238" s="1" t="s">
        <v>12</v>
      </c>
      <c r="E3238">
        <v>215.5</v>
      </c>
      <c r="F3238">
        <v>212.9</v>
      </c>
      <c r="G3238">
        <v>207.8</v>
      </c>
      <c r="H3238" s="1" t="s">
        <v>188</v>
      </c>
    </row>
    <row r="3239" spans="1:8" x14ac:dyDescent="0.3">
      <c r="A3239">
        <v>2023</v>
      </c>
      <c r="B3239" t="s">
        <v>37</v>
      </c>
      <c r="C3239" t="s">
        <v>168</v>
      </c>
      <c r="D3239" s="1" t="s">
        <v>11</v>
      </c>
      <c r="E3239">
        <v>120.4</v>
      </c>
      <c r="F3239">
        <v>121.3</v>
      </c>
      <c r="G3239">
        <v>123.1</v>
      </c>
      <c r="H3239" s="1" t="s">
        <v>188</v>
      </c>
    </row>
    <row r="3240" spans="1:8" x14ac:dyDescent="0.3">
      <c r="A3240">
        <v>2023</v>
      </c>
      <c r="B3240" t="s">
        <v>37</v>
      </c>
      <c r="C3240" t="s">
        <v>168</v>
      </c>
      <c r="D3240" s="1" t="s">
        <v>24</v>
      </c>
      <c r="E3240">
        <v>169.4</v>
      </c>
      <c r="F3240">
        <v>164.5</v>
      </c>
      <c r="G3240">
        <v>160.1</v>
      </c>
      <c r="H3240" s="1" t="s">
        <v>191</v>
      </c>
    </row>
    <row r="3241" spans="1:8" x14ac:dyDescent="0.3">
      <c r="A3241">
        <v>2023</v>
      </c>
      <c r="B3241" t="s">
        <v>37</v>
      </c>
      <c r="C3241" t="s">
        <v>168</v>
      </c>
      <c r="D3241" s="1" t="s">
        <v>9</v>
      </c>
      <c r="E3241">
        <v>142.80000000000001</v>
      </c>
      <c r="F3241">
        <v>155.4</v>
      </c>
      <c r="G3241">
        <v>179.9</v>
      </c>
      <c r="H3241" s="1" t="s">
        <v>188</v>
      </c>
    </row>
    <row r="3242" spans="1:8" x14ac:dyDescent="0.3">
      <c r="A3242">
        <v>2023</v>
      </c>
      <c r="B3242" t="s">
        <v>35</v>
      </c>
      <c r="C3242" t="s">
        <v>169</v>
      </c>
      <c r="D3242" s="1" t="s">
        <v>3</v>
      </c>
      <c r="E3242">
        <v>174.2</v>
      </c>
      <c r="F3242">
        <v>174.4</v>
      </c>
      <c r="G3242">
        <v>174.7</v>
      </c>
      <c r="H3242" s="1" t="s">
        <v>188</v>
      </c>
    </row>
    <row r="3243" spans="1:8" x14ac:dyDescent="0.3">
      <c r="A3243">
        <v>2023</v>
      </c>
      <c r="B3243" t="s">
        <v>35</v>
      </c>
      <c r="C3243" t="s">
        <v>169</v>
      </c>
      <c r="D3243" s="1" t="s">
        <v>17</v>
      </c>
      <c r="E3243">
        <v>190</v>
      </c>
      <c r="F3243">
        <v>186.2</v>
      </c>
      <c r="G3243">
        <v>180.3</v>
      </c>
      <c r="H3243" s="1" t="s">
        <v>189</v>
      </c>
    </row>
    <row r="3244" spans="1:8" x14ac:dyDescent="0.3">
      <c r="A3244">
        <v>2023</v>
      </c>
      <c r="B3244" t="s">
        <v>35</v>
      </c>
      <c r="C3244" t="s">
        <v>169</v>
      </c>
      <c r="D3244" s="1" t="s">
        <v>19</v>
      </c>
      <c r="E3244">
        <v>189.6</v>
      </c>
      <c r="F3244">
        <v>185.1</v>
      </c>
      <c r="G3244">
        <v>178.2</v>
      </c>
      <c r="H3244" s="1" t="s">
        <v>189</v>
      </c>
    </row>
    <row r="3245" spans="1:8" x14ac:dyDescent="0.3">
      <c r="A3245">
        <v>2023</v>
      </c>
      <c r="B3245" t="s">
        <v>35</v>
      </c>
      <c r="C3245" t="s">
        <v>169</v>
      </c>
      <c r="D3245" s="1" t="s">
        <v>26</v>
      </c>
      <c r="E3245">
        <v>178.5</v>
      </c>
      <c r="F3245">
        <v>175</v>
      </c>
      <c r="G3245">
        <v>172.5</v>
      </c>
      <c r="H3245" s="1" t="s">
        <v>26</v>
      </c>
    </row>
    <row r="3246" spans="1:8" x14ac:dyDescent="0.3">
      <c r="A3246">
        <v>2023</v>
      </c>
      <c r="B3246" t="s">
        <v>35</v>
      </c>
      <c r="C3246" t="s">
        <v>169</v>
      </c>
      <c r="D3246" s="1" t="s">
        <v>5</v>
      </c>
      <c r="E3246">
        <v>173.9</v>
      </c>
      <c r="F3246">
        <v>175.2</v>
      </c>
      <c r="G3246">
        <v>177.2</v>
      </c>
      <c r="H3246" s="1" t="s">
        <v>188</v>
      </c>
    </row>
    <row r="3247" spans="1:8" x14ac:dyDescent="0.3">
      <c r="A3247">
        <v>2023</v>
      </c>
      <c r="B3247" t="s">
        <v>35</v>
      </c>
      <c r="C3247" t="s">
        <v>169</v>
      </c>
      <c r="D3247" s="1" t="s">
        <v>15</v>
      </c>
      <c r="E3247">
        <v>174.8</v>
      </c>
      <c r="F3247">
        <v>177</v>
      </c>
      <c r="G3247">
        <v>180.7</v>
      </c>
      <c r="H3247" s="1" t="s">
        <v>188</v>
      </c>
    </row>
    <row r="3248" spans="1:8" x14ac:dyDescent="0.3">
      <c r="A3248">
        <v>2023</v>
      </c>
      <c r="B3248" t="s">
        <v>35</v>
      </c>
      <c r="C3248" t="s">
        <v>169</v>
      </c>
      <c r="D3248" s="1" t="s">
        <v>18</v>
      </c>
      <c r="E3248">
        <v>187</v>
      </c>
      <c r="F3248">
        <v>178.7</v>
      </c>
      <c r="G3248">
        <v>167</v>
      </c>
      <c r="H3248" s="1" t="s">
        <v>189</v>
      </c>
    </row>
    <row r="3249" spans="1:8" x14ac:dyDescent="0.3">
      <c r="A3249">
        <v>2023</v>
      </c>
      <c r="B3249" t="s">
        <v>35</v>
      </c>
      <c r="C3249" t="s">
        <v>169</v>
      </c>
      <c r="D3249" s="1" t="s">
        <v>8</v>
      </c>
      <c r="E3249">
        <v>167.2</v>
      </c>
      <c r="F3249">
        <v>169.5</v>
      </c>
      <c r="G3249">
        <v>172.1</v>
      </c>
      <c r="H3249" s="1" t="s">
        <v>188</v>
      </c>
    </row>
    <row r="3250" spans="1:8" x14ac:dyDescent="0.3">
      <c r="A3250">
        <v>2023</v>
      </c>
      <c r="B3250" t="s">
        <v>35</v>
      </c>
      <c r="C3250" t="s">
        <v>169</v>
      </c>
      <c r="D3250" s="1" t="s">
        <v>21</v>
      </c>
      <c r="E3250">
        <v>181.6</v>
      </c>
      <c r="F3250">
        <v>182.1</v>
      </c>
      <c r="G3250">
        <v>182.8</v>
      </c>
      <c r="H3250" s="1" t="s">
        <v>190</v>
      </c>
    </row>
    <row r="3251" spans="1:8" x14ac:dyDescent="0.3">
      <c r="A3251">
        <v>2023</v>
      </c>
      <c r="B3251" t="s">
        <v>35</v>
      </c>
      <c r="C3251" t="s">
        <v>169</v>
      </c>
      <c r="D3251" s="1" t="s">
        <v>29</v>
      </c>
      <c r="E3251">
        <v>178</v>
      </c>
      <c r="F3251">
        <v>177.2</v>
      </c>
      <c r="G3251">
        <v>176.3</v>
      </c>
      <c r="H3251" s="1" t="s">
        <v>206</v>
      </c>
    </row>
    <row r="3252" spans="1:8" x14ac:dyDescent="0.3">
      <c r="A3252">
        <v>2023</v>
      </c>
      <c r="B3252" t="s">
        <v>35</v>
      </c>
      <c r="C3252" t="s">
        <v>169</v>
      </c>
      <c r="D3252" s="1" t="s">
        <v>23</v>
      </c>
      <c r="E3252">
        <v>186.6</v>
      </c>
      <c r="F3252">
        <v>184.4</v>
      </c>
      <c r="G3252">
        <v>180.8</v>
      </c>
      <c r="H3252" s="1" t="s">
        <v>23</v>
      </c>
    </row>
    <row r="3253" spans="1:8" x14ac:dyDescent="0.3">
      <c r="A3253">
        <v>2023</v>
      </c>
      <c r="B3253" t="s">
        <v>35</v>
      </c>
      <c r="C3253" t="s">
        <v>169</v>
      </c>
      <c r="D3253" s="1" t="s">
        <v>22</v>
      </c>
      <c r="E3253">
        <v>178.6</v>
      </c>
      <c r="F3253">
        <v>174.2</v>
      </c>
      <c r="G3253">
        <v>169.2</v>
      </c>
      <c r="H3253" s="1" t="s">
        <v>20</v>
      </c>
    </row>
    <row r="3254" spans="1:8" x14ac:dyDescent="0.3">
      <c r="A3254">
        <v>2023</v>
      </c>
      <c r="B3254" t="s">
        <v>35</v>
      </c>
      <c r="C3254" t="s">
        <v>169</v>
      </c>
      <c r="D3254" s="1" t="s">
        <v>20</v>
      </c>
      <c r="E3254">
        <v>0</v>
      </c>
      <c r="F3254">
        <v>173.5</v>
      </c>
      <c r="G3254">
        <v>173.5</v>
      </c>
      <c r="H3254" s="1" t="s">
        <v>20</v>
      </c>
    </row>
    <row r="3255" spans="1:8" x14ac:dyDescent="0.3">
      <c r="A3255">
        <v>2023</v>
      </c>
      <c r="B3255" t="s">
        <v>35</v>
      </c>
      <c r="C3255" t="s">
        <v>169</v>
      </c>
      <c r="D3255" s="1" t="s">
        <v>4</v>
      </c>
      <c r="E3255">
        <v>205.2</v>
      </c>
      <c r="F3255">
        <v>207.7</v>
      </c>
      <c r="G3255">
        <v>212.2</v>
      </c>
      <c r="H3255" s="1" t="s">
        <v>188</v>
      </c>
    </row>
    <row r="3256" spans="1:8" x14ac:dyDescent="0.3">
      <c r="A3256">
        <v>2023</v>
      </c>
      <c r="B3256" t="s">
        <v>35</v>
      </c>
      <c r="C3256" t="s">
        <v>169</v>
      </c>
      <c r="D3256" s="1" t="s">
        <v>6</v>
      </c>
      <c r="E3256">
        <v>177</v>
      </c>
      <c r="F3256">
        <v>177.3</v>
      </c>
      <c r="G3256">
        <v>177.9</v>
      </c>
      <c r="H3256" s="1" t="s">
        <v>188</v>
      </c>
    </row>
    <row r="3257" spans="1:8" x14ac:dyDescent="0.3">
      <c r="A3257">
        <v>2023</v>
      </c>
      <c r="B3257" t="s">
        <v>35</v>
      </c>
      <c r="C3257" t="s">
        <v>169</v>
      </c>
      <c r="D3257" s="1" t="s">
        <v>28</v>
      </c>
      <c r="E3257">
        <v>177.9</v>
      </c>
      <c r="F3257">
        <v>174.1</v>
      </c>
      <c r="G3257">
        <v>170</v>
      </c>
      <c r="H3257" s="1" t="s">
        <v>192</v>
      </c>
    </row>
    <row r="3258" spans="1:8" x14ac:dyDescent="0.3">
      <c r="A3258">
        <v>2023</v>
      </c>
      <c r="B3258" t="s">
        <v>35</v>
      </c>
      <c r="C3258" t="s">
        <v>169</v>
      </c>
      <c r="D3258" s="1" t="s">
        <v>13</v>
      </c>
      <c r="E3258">
        <v>177.6</v>
      </c>
      <c r="F3258">
        <v>172.3</v>
      </c>
      <c r="G3258">
        <v>164.9</v>
      </c>
      <c r="H3258" s="1" t="s">
        <v>188</v>
      </c>
    </row>
    <row r="3259" spans="1:8" x14ac:dyDescent="0.3">
      <c r="A3259">
        <v>2023</v>
      </c>
      <c r="B3259" t="s">
        <v>35</v>
      </c>
      <c r="C3259" t="s">
        <v>169</v>
      </c>
      <c r="D3259" s="1" t="s">
        <v>7</v>
      </c>
      <c r="E3259">
        <v>183.4</v>
      </c>
      <c r="F3259">
        <v>179.3</v>
      </c>
      <c r="G3259">
        <v>172.2</v>
      </c>
      <c r="H3259" s="1" t="s">
        <v>188</v>
      </c>
    </row>
    <row r="3260" spans="1:8" x14ac:dyDescent="0.3">
      <c r="A3260">
        <v>2023</v>
      </c>
      <c r="B3260" t="s">
        <v>35</v>
      </c>
      <c r="C3260" t="s">
        <v>169</v>
      </c>
      <c r="D3260" s="1" t="s">
        <v>16</v>
      </c>
      <c r="E3260">
        <v>198.3</v>
      </c>
      <c r="F3260">
        <v>199.5</v>
      </c>
      <c r="G3260">
        <v>202.7</v>
      </c>
      <c r="H3260" s="1" t="s">
        <v>192</v>
      </c>
    </row>
    <row r="3261" spans="1:8" x14ac:dyDescent="0.3">
      <c r="A3261">
        <v>2023</v>
      </c>
      <c r="B3261" t="s">
        <v>35</v>
      </c>
      <c r="C3261" t="s">
        <v>169</v>
      </c>
      <c r="D3261" s="1" t="s">
        <v>27</v>
      </c>
      <c r="E3261">
        <v>180.7</v>
      </c>
      <c r="F3261">
        <v>181</v>
      </c>
      <c r="G3261">
        <v>181.4</v>
      </c>
      <c r="H3261" s="1" t="s">
        <v>192</v>
      </c>
    </row>
    <row r="3262" spans="1:8" x14ac:dyDescent="0.3">
      <c r="A3262">
        <v>2023</v>
      </c>
      <c r="B3262" t="s">
        <v>35</v>
      </c>
      <c r="C3262" t="s">
        <v>169</v>
      </c>
      <c r="D3262" s="1" t="s">
        <v>14</v>
      </c>
      <c r="E3262">
        <v>189.9</v>
      </c>
      <c r="F3262">
        <v>193</v>
      </c>
      <c r="G3262">
        <v>196.6</v>
      </c>
      <c r="H3262" s="1" t="s">
        <v>188</v>
      </c>
    </row>
    <row r="3263" spans="1:8" x14ac:dyDescent="0.3">
      <c r="A3263">
        <v>2023</v>
      </c>
      <c r="B3263" t="s">
        <v>35</v>
      </c>
      <c r="C3263" t="s">
        <v>169</v>
      </c>
      <c r="D3263" s="1" t="s">
        <v>10</v>
      </c>
      <c r="E3263">
        <v>170.4</v>
      </c>
      <c r="F3263">
        <v>171</v>
      </c>
      <c r="G3263">
        <v>172.2</v>
      </c>
      <c r="H3263" s="1" t="s">
        <v>188</v>
      </c>
    </row>
    <row r="3264" spans="1:8" x14ac:dyDescent="0.3">
      <c r="A3264">
        <v>2023</v>
      </c>
      <c r="B3264" t="s">
        <v>35</v>
      </c>
      <c r="C3264" t="s">
        <v>169</v>
      </c>
      <c r="D3264" s="1" t="s">
        <v>25</v>
      </c>
      <c r="E3264">
        <v>172.8</v>
      </c>
      <c r="F3264">
        <v>170.3</v>
      </c>
      <c r="G3264">
        <v>168.4</v>
      </c>
      <c r="H3264" s="1" t="s">
        <v>195</v>
      </c>
    </row>
    <row r="3265" spans="1:8" x14ac:dyDescent="0.3">
      <c r="A3265">
        <v>2023</v>
      </c>
      <c r="B3265" t="s">
        <v>35</v>
      </c>
      <c r="C3265" t="s">
        <v>169</v>
      </c>
      <c r="D3265" s="1" t="s">
        <v>12</v>
      </c>
      <c r="E3265">
        <v>212.1</v>
      </c>
      <c r="F3265">
        <v>209.7</v>
      </c>
      <c r="G3265">
        <v>204.8</v>
      </c>
      <c r="H3265" s="1" t="s">
        <v>188</v>
      </c>
    </row>
    <row r="3266" spans="1:8" x14ac:dyDescent="0.3">
      <c r="A3266">
        <v>2023</v>
      </c>
      <c r="B3266" t="s">
        <v>35</v>
      </c>
      <c r="C3266" t="s">
        <v>169</v>
      </c>
      <c r="D3266" s="1" t="s">
        <v>11</v>
      </c>
      <c r="E3266">
        <v>119.1</v>
      </c>
      <c r="F3266">
        <v>120</v>
      </c>
      <c r="G3266">
        <v>121.9</v>
      </c>
      <c r="H3266" s="1" t="s">
        <v>188</v>
      </c>
    </row>
    <row r="3267" spans="1:8" x14ac:dyDescent="0.3">
      <c r="A3267">
        <v>2023</v>
      </c>
      <c r="B3267" t="s">
        <v>35</v>
      </c>
      <c r="C3267" t="s">
        <v>169</v>
      </c>
      <c r="D3267" s="1" t="s">
        <v>24</v>
      </c>
      <c r="E3267">
        <v>169</v>
      </c>
      <c r="F3267">
        <v>164.2</v>
      </c>
      <c r="G3267">
        <v>159.80000000000001</v>
      </c>
      <c r="H3267" s="1" t="s">
        <v>191</v>
      </c>
    </row>
    <row r="3268" spans="1:8" x14ac:dyDescent="0.3">
      <c r="A3268">
        <v>2023</v>
      </c>
      <c r="B3268" t="s">
        <v>35</v>
      </c>
      <c r="C3268" t="s">
        <v>169</v>
      </c>
      <c r="D3268" s="1" t="s">
        <v>9</v>
      </c>
      <c r="E3268">
        <v>140.9</v>
      </c>
      <c r="F3268">
        <v>152.69999999999999</v>
      </c>
      <c r="G3268">
        <v>175.8</v>
      </c>
      <c r="H3268" s="1" t="s">
        <v>188</v>
      </c>
    </row>
    <row r="3269" spans="1:8" x14ac:dyDescent="0.3">
      <c r="A3269">
        <v>2023</v>
      </c>
      <c r="B3269" t="s">
        <v>31</v>
      </c>
      <c r="C3269" t="s">
        <v>170</v>
      </c>
      <c r="D3269" s="1" t="s">
        <v>3</v>
      </c>
      <c r="E3269">
        <v>174</v>
      </c>
      <c r="F3269">
        <v>173.8</v>
      </c>
      <c r="G3269">
        <v>173.3</v>
      </c>
      <c r="H3269" s="1" t="s">
        <v>188</v>
      </c>
    </row>
    <row r="3270" spans="1:8" x14ac:dyDescent="0.3">
      <c r="A3270">
        <v>2023</v>
      </c>
      <c r="B3270" t="s">
        <v>31</v>
      </c>
      <c r="C3270" t="s">
        <v>170</v>
      </c>
      <c r="D3270" s="1" t="s">
        <v>17</v>
      </c>
      <c r="E3270">
        <v>189</v>
      </c>
      <c r="F3270">
        <v>184.9</v>
      </c>
      <c r="G3270">
        <v>178.7</v>
      </c>
      <c r="H3270" s="1" t="s">
        <v>189</v>
      </c>
    </row>
    <row r="3271" spans="1:8" x14ac:dyDescent="0.3">
      <c r="A3271">
        <v>2023</v>
      </c>
      <c r="B3271" t="s">
        <v>31</v>
      </c>
      <c r="C3271" t="s">
        <v>170</v>
      </c>
      <c r="D3271" s="1" t="s">
        <v>19</v>
      </c>
      <c r="E3271">
        <v>188.6</v>
      </c>
      <c r="F3271">
        <v>183.8</v>
      </c>
      <c r="G3271">
        <v>176.6</v>
      </c>
      <c r="H3271" s="1" t="s">
        <v>189</v>
      </c>
    </row>
    <row r="3272" spans="1:8" x14ac:dyDescent="0.3">
      <c r="A3272">
        <v>2023</v>
      </c>
      <c r="B3272" t="s">
        <v>31</v>
      </c>
      <c r="C3272" t="s">
        <v>170</v>
      </c>
      <c r="D3272" s="1" t="s">
        <v>26</v>
      </c>
      <c r="E3272">
        <v>177.8</v>
      </c>
      <c r="F3272">
        <v>174.3</v>
      </c>
      <c r="G3272">
        <v>171.8</v>
      </c>
      <c r="H3272" s="1" t="s">
        <v>26</v>
      </c>
    </row>
    <row r="3273" spans="1:8" x14ac:dyDescent="0.3">
      <c r="A3273">
        <v>2023</v>
      </c>
      <c r="B3273" t="s">
        <v>31</v>
      </c>
      <c r="C3273" t="s">
        <v>170</v>
      </c>
      <c r="D3273" s="1" t="s">
        <v>5</v>
      </c>
      <c r="E3273">
        <v>192.9</v>
      </c>
      <c r="F3273">
        <v>194.5</v>
      </c>
      <c r="G3273">
        <v>197</v>
      </c>
      <c r="H3273" s="1" t="s">
        <v>188</v>
      </c>
    </row>
    <row r="3274" spans="1:8" x14ac:dyDescent="0.3">
      <c r="A3274">
        <v>2023</v>
      </c>
      <c r="B3274" t="s">
        <v>31</v>
      </c>
      <c r="C3274" t="s">
        <v>170</v>
      </c>
      <c r="D3274" s="1" t="s">
        <v>15</v>
      </c>
      <c r="E3274">
        <v>175</v>
      </c>
      <c r="F3274">
        <v>176.7</v>
      </c>
      <c r="G3274">
        <v>179.5</v>
      </c>
      <c r="H3274" s="1" t="s">
        <v>188</v>
      </c>
    </row>
    <row r="3275" spans="1:8" x14ac:dyDescent="0.3">
      <c r="A3275">
        <v>2023</v>
      </c>
      <c r="B3275" t="s">
        <v>31</v>
      </c>
      <c r="C3275" t="s">
        <v>170</v>
      </c>
      <c r="D3275" s="1" t="s">
        <v>18</v>
      </c>
      <c r="E3275">
        <v>186.3</v>
      </c>
      <c r="F3275">
        <v>177.6</v>
      </c>
      <c r="G3275">
        <v>165.3</v>
      </c>
      <c r="H3275" s="1" t="s">
        <v>189</v>
      </c>
    </row>
    <row r="3276" spans="1:8" x14ac:dyDescent="0.3">
      <c r="A3276">
        <v>2023</v>
      </c>
      <c r="B3276" t="s">
        <v>31</v>
      </c>
      <c r="C3276" t="s">
        <v>170</v>
      </c>
      <c r="D3276" s="1" t="s">
        <v>8</v>
      </c>
      <c r="E3276">
        <v>156.30000000000001</v>
      </c>
      <c r="F3276">
        <v>158.30000000000001</v>
      </c>
      <c r="G3276">
        <v>160.5</v>
      </c>
      <c r="H3276" s="1" t="s">
        <v>188</v>
      </c>
    </row>
    <row r="3277" spans="1:8" x14ac:dyDescent="0.3">
      <c r="A3277">
        <v>2023</v>
      </c>
      <c r="B3277" t="s">
        <v>31</v>
      </c>
      <c r="C3277" t="s">
        <v>170</v>
      </c>
      <c r="D3277" s="1" t="s">
        <v>21</v>
      </c>
      <c r="E3277">
        <v>183.2</v>
      </c>
      <c r="F3277">
        <v>182</v>
      </c>
      <c r="G3277">
        <v>180.1</v>
      </c>
      <c r="H3277" s="1" t="s">
        <v>190</v>
      </c>
    </row>
    <row r="3278" spans="1:8" x14ac:dyDescent="0.3">
      <c r="A3278">
        <v>2023</v>
      </c>
      <c r="B3278" t="s">
        <v>31</v>
      </c>
      <c r="C3278" t="s">
        <v>170</v>
      </c>
      <c r="D3278" s="1" t="s">
        <v>29</v>
      </c>
      <c r="E3278">
        <v>177.8</v>
      </c>
      <c r="F3278">
        <v>176.5</v>
      </c>
      <c r="G3278">
        <v>174.9</v>
      </c>
      <c r="H3278" s="1" t="s">
        <v>206</v>
      </c>
    </row>
    <row r="3279" spans="1:8" x14ac:dyDescent="0.3">
      <c r="A3279">
        <v>2023</v>
      </c>
      <c r="B3279" t="s">
        <v>31</v>
      </c>
      <c r="C3279" t="s">
        <v>170</v>
      </c>
      <c r="D3279" s="1" t="s">
        <v>23</v>
      </c>
      <c r="E3279">
        <v>184.7</v>
      </c>
      <c r="F3279">
        <v>182.3</v>
      </c>
      <c r="G3279">
        <v>178.5</v>
      </c>
      <c r="H3279" s="1" t="s">
        <v>23</v>
      </c>
    </row>
    <row r="3280" spans="1:8" x14ac:dyDescent="0.3">
      <c r="A3280">
        <v>2023</v>
      </c>
      <c r="B3280" t="s">
        <v>31</v>
      </c>
      <c r="C3280" t="s">
        <v>170</v>
      </c>
      <c r="D3280" s="1" t="s">
        <v>22</v>
      </c>
      <c r="E3280">
        <v>177.2</v>
      </c>
      <c r="F3280">
        <v>172.9</v>
      </c>
      <c r="G3280">
        <v>168</v>
      </c>
      <c r="H3280" s="1" t="s">
        <v>20</v>
      </c>
    </row>
    <row r="3281" spans="1:8" x14ac:dyDescent="0.3">
      <c r="A3281">
        <v>2023</v>
      </c>
      <c r="B3281" t="s">
        <v>31</v>
      </c>
      <c r="C3281" t="s">
        <v>170</v>
      </c>
      <c r="D3281" s="1" t="s">
        <v>20</v>
      </c>
      <c r="E3281">
        <v>0</v>
      </c>
      <c r="F3281">
        <v>172.1</v>
      </c>
      <c r="G3281">
        <v>172.1</v>
      </c>
      <c r="H3281" s="1" t="s">
        <v>20</v>
      </c>
    </row>
    <row r="3282" spans="1:8" x14ac:dyDescent="0.3">
      <c r="A3282">
        <v>2023</v>
      </c>
      <c r="B3282" t="s">
        <v>31</v>
      </c>
      <c r="C3282" t="s">
        <v>170</v>
      </c>
      <c r="D3282" s="1" t="s">
        <v>4</v>
      </c>
      <c r="E3282">
        <v>208.3</v>
      </c>
      <c r="F3282">
        <v>210.7</v>
      </c>
      <c r="G3282">
        <v>215.2</v>
      </c>
      <c r="H3282" s="1" t="s">
        <v>188</v>
      </c>
    </row>
    <row r="3283" spans="1:8" x14ac:dyDescent="0.3">
      <c r="A3283">
        <v>2023</v>
      </c>
      <c r="B3283" t="s">
        <v>31</v>
      </c>
      <c r="C3283" t="s">
        <v>170</v>
      </c>
      <c r="D3283" s="1" t="s">
        <v>6</v>
      </c>
      <c r="E3283">
        <v>174.3</v>
      </c>
      <c r="F3283">
        <v>174.6</v>
      </c>
      <c r="G3283">
        <v>175.2</v>
      </c>
      <c r="H3283" s="1" t="s">
        <v>188</v>
      </c>
    </row>
    <row r="3284" spans="1:8" x14ac:dyDescent="0.3">
      <c r="A3284">
        <v>2023</v>
      </c>
      <c r="B3284" t="s">
        <v>31</v>
      </c>
      <c r="C3284" t="s">
        <v>170</v>
      </c>
      <c r="D3284" s="1" t="s">
        <v>28</v>
      </c>
      <c r="E3284">
        <v>176.5</v>
      </c>
      <c r="F3284">
        <v>172.8</v>
      </c>
      <c r="G3284">
        <v>168.9</v>
      </c>
      <c r="H3284" s="1" t="s">
        <v>192</v>
      </c>
    </row>
    <row r="3285" spans="1:8" x14ac:dyDescent="0.3">
      <c r="A3285">
        <v>2023</v>
      </c>
      <c r="B3285" t="s">
        <v>31</v>
      </c>
      <c r="C3285" t="s">
        <v>170</v>
      </c>
      <c r="D3285" s="1" t="s">
        <v>13</v>
      </c>
      <c r="E3285">
        <v>176.9</v>
      </c>
      <c r="F3285">
        <v>171.4</v>
      </c>
      <c r="G3285">
        <v>163.69999999999999</v>
      </c>
      <c r="H3285" s="1" t="s">
        <v>188</v>
      </c>
    </row>
    <row r="3286" spans="1:8" x14ac:dyDescent="0.3">
      <c r="A3286">
        <v>2023</v>
      </c>
      <c r="B3286" t="s">
        <v>31</v>
      </c>
      <c r="C3286" t="s">
        <v>170</v>
      </c>
      <c r="D3286" s="1" t="s">
        <v>7</v>
      </c>
      <c r="E3286">
        <v>192.6</v>
      </c>
      <c r="F3286">
        <v>187.2</v>
      </c>
      <c r="G3286">
        <v>178</v>
      </c>
      <c r="H3286" s="1" t="s">
        <v>188</v>
      </c>
    </row>
    <row r="3287" spans="1:8" x14ac:dyDescent="0.3">
      <c r="A3287">
        <v>2023</v>
      </c>
      <c r="B3287" t="s">
        <v>31</v>
      </c>
      <c r="C3287" t="s">
        <v>170</v>
      </c>
      <c r="D3287" s="1" t="s">
        <v>16</v>
      </c>
      <c r="E3287">
        <v>196.9</v>
      </c>
      <c r="F3287">
        <v>198.2</v>
      </c>
      <c r="G3287">
        <v>201.6</v>
      </c>
      <c r="H3287" s="1" t="s">
        <v>192</v>
      </c>
    </row>
    <row r="3288" spans="1:8" x14ac:dyDescent="0.3">
      <c r="A3288">
        <v>2023</v>
      </c>
      <c r="B3288" t="s">
        <v>31</v>
      </c>
      <c r="C3288" t="s">
        <v>170</v>
      </c>
      <c r="D3288" s="1" t="s">
        <v>27</v>
      </c>
      <c r="E3288">
        <v>178.4</v>
      </c>
      <c r="F3288">
        <v>178.6</v>
      </c>
      <c r="G3288">
        <v>178.8</v>
      </c>
      <c r="H3288" s="1" t="s">
        <v>192</v>
      </c>
    </row>
    <row r="3289" spans="1:8" x14ac:dyDescent="0.3">
      <c r="A3289">
        <v>2023</v>
      </c>
      <c r="B3289" t="s">
        <v>31</v>
      </c>
      <c r="C3289" t="s">
        <v>170</v>
      </c>
      <c r="D3289" s="1" t="s">
        <v>14</v>
      </c>
      <c r="E3289">
        <v>188.5</v>
      </c>
      <c r="F3289">
        <v>191.2</v>
      </c>
      <c r="G3289">
        <v>194.3</v>
      </c>
      <c r="H3289" s="1" t="s">
        <v>188</v>
      </c>
    </row>
    <row r="3290" spans="1:8" x14ac:dyDescent="0.3">
      <c r="A3290">
        <v>2023</v>
      </c>
      <c r="B3290" t="s">
        <v>31</v>
      </c>
      <c r="C3290" t="s">
        <v>170</v>
      </c>
      <c r="D3290" s="1" t="s">
        <v>10</v>
      </c>
      <c r="E3290">
        <v>170.7</v>
      </c>
      <c r="F3290">
        <v>170.9</v>
      </c>
      <c r="G3290">
        <v>171.2</v>
      </c>
      <c r="H3290" s="1" t="s">
        <v>188</v>
      </c>
    </row>
    <row r="3291" spans="1:8" x14ac:dyDescent="0.3">
      <c r="A3291">
        <v>2023</v>
      </c>
      <c r="B3291" t="s">
        <v>31</v>
      </c>
      <c r="C3291" t="s">
        <v>170</v>
      </c>
      <c r="D3291" s="1" t="s">
        <v>25</v>
      </c>
      <c r="E3291">
        <v>171.8</v>
      </c>
      <c r="F3291">
        <v>169.5</v>
      </c>
      <c r="G3291">
        <v>167.8</v>
      </c>
      <c r="H3291" s="1" t="s">
        <v>195</v>
      </c>
    </row>
    <row r="3292" spans="1:8" x14ac:dyDescent="0.3">
      <c r="A3292">
        <v>2023</v>
      </c>
      <c r="B3292" t="s">
        <v>31</v>
      </c>
      <c r="C3292" t="s">
        <v>170</v>
      </c>
      <c r="D3292" s="1" t="s">
        <v>12</v>
      </c>
      <c r="E3292">
        <v>210.5</v>
      </c>
      <c r="F3292">
        <v>208.4</v>
      </c>
      <c r="G3292">
        <v>204.3</v>
      </c>
      <c r="H3292" s="1" t="s">
        <v>188</v>
      </c>
    </row>
    <row r="3293" spans="1:8" x14ac:dyDescent="0.3">
      <c r="A3293">
        <v>2023</v>
      </c>
      <c r="B3293" t="s">
        <v>31</v>
      </c>
      <c r="C3293" t="s">
        <v>170</v>
      </c>
      <c r="D3293" s="1" t="s">
        <v>11</v>
      </c>
      <c r="E3293">
        <v>120.3</v>
      </c>
      <c r="F3293">
        <v>121.1</v>
      </c>
      <c r="G3293">
        <v>122.7</v>
      </c>
      <c r="H3293" s="1" t="s">
        <v>188</v>
      </c>
    </row>
    <row r="3294" spans="1:8" x14ac:dyDescent="0.3">
      <c r="A3294">
        <v>2023</v>
      </c>
      <c r="B3294" t="s">
        <v>31</v>
      </c>
      <c r="C3294" t="s">
        <v>170</v>
      </c>
      <c r="D3294" s="1" t="s">
        <v>24</v>
      </c>
      <c r="E3294">
        <v>168.2</v>
      </c>
      <c r="F3294">
        <v>163.6</v>
      </c>
      <c r="G3294">
        <v>159.5</v>
      </c>
      <c r="H3294" s="1" t="s">
        <v>191</v>
      </c>
    </row>
    <row r="3295" spans="1:8" x14ac:dyDescent="0.3">
      <c r="A3295">
        <v>2023</v>
      </c>
      <c r="B3295" t="s">
        <v>31</v>
      </c>
      <c r="C3295" t="s">
        <v>170</v>
      </c>
      <c r="D3295" s="1" t="s">
        <v>9</v>
      </c>
      <c r="E3295">
        <v>142.9</v>
      </c>
      <c r="F3295">
        <v>153.9</v>
      </c>
      <c r="G3295">
        <v>175.3</v>
      </c>
      <c r="H3295" s="1" t="s">
        <v>188</v>
      </c>
    </row>
    <row r="3296" spans="1:8" x14ac:dyDescent="0.3">
      <c r="A3296">
        <v>2023</v>
      </c>
      <c r="B3296" t="s">
        <v>36</v>
      </c>
      <c r="C3296" t="s">
        <v>171</v>
      </c>
      <c r="D3296" s="1" t="s">
        <v>3</v>
      </c>
      <c r="E3296">
        <v>174.3</v>
      </c>
      <c r="F3296">
        <v>174.4</v>
      </c>
      <c r="G3296">
        <v>174.7</v>
      </c>
      <c r="H3296" s="1" t="s">
        <v>188</v>
      </c>
    </row>
    <row r="3297" spans="1:8" x14ac:dyDescent="0.3">
      <c r="A3297">
        <v>2023</v>
      </c>
      <c r="B3297" t="s">
        <v>36</v>
      </c>
      <c r="C3297" t="s">
        <v>171</v>
      </c>
      <c r="D3297" s="1" t="s">
        <v>17</v>
      </c>
      <c r="E3297">
        <v>190</v>
      </c>
      <c r="F3297">
        <v>186.1</v>
      </c>
      <c r="G3297">
        <v>180.2</v>
      </c>
      <c r="H3297" s="1" t="s">
        <v>189</v>
      </c>
    </row>
    <row r="3298" spans="1:8" x14ac:dyDescent="0.3">
      <c r="A3298">
        <v>2023</v>
      </c>
      <c r="B3298" t="s">
        <v>36</v>
      </c>
      <c r="C3298" t="s">
        <v>171</v>
      </c>
      <c r="D3298" s="1" t="s">
        <v>19</v>
      </c>
      <c r="E3298">
        <v>189.6</v>
      </c>
      <c r="F3298">
        <v>185.1</v>
      </c>
      <c r="G3298">
        <v>178.2</v>
      </c>
      <c r="H3298" s="1" t="s">
        <v>189</v>
      </c>
    </row>
    <row r="3299" spans="1:8" x14ac:dyDescent="0.3">
      <c r="A3299">
        <v>2023</v>
      </c>
      <c r="B3299" t="s">
        <v>36</v>
      </c>
      <c r="C3299" t="s">
        <v>171</v>
      </c>
      <c r="D3299" s="1" t="s">
        <v>26</v>
      </c>
      <c r="E3299">
        <v>178.5</v>
      </c>
      <c r="F3299">
        <v>175</v>
      </c>
      <c r="G3299">
        <v>172.5</v>
      </c>
      <c r="H3299" s="1" t="s">
        <v>26</v>
      </c>
    </row>
    <row r="3300" spans="1:8" x14ac:dyDescent="0.3">
      <c r="A3300">
        <v>2023</v>
      </c>
      <c r="B3300" t="s">
        <v>36</v>
      </c>
      <c r="C3300" t="s">
        <v>171</v>
      </c>
      <c r="D3300" s="1" t="s">
        <v>5</v>
      </c>
      <c r="E3300">
        <v>173.9</v>
      </c>
      <c r="F3300">
        <v>175.2</v>
      </c>
      <c r="G3300">
        <v>177.2</v>
      </c>
      <c r="H3300" s="1" t="s">
        <v>188</v>
      </c>
    </row>
    <row r="3301" spans="1:8" x14ac:dyDescent="0.3">
      <c r="A3301">
        <v>2023</v>
      </c>
      <c r="B3301" t="s">
        <v>36</v>
      </c>
      <c r="C3301" t="s">
        <v>171</v>
      </c>
      <c r="D3301" s="1" t="s">
        <v>15</v>
      </c>
      <c r="E3301">
        <v>174.8</v>
      </c>
      <c r="F3301">
        <v>177</v>
      </c>
      <c r="G3301">
        <v>180.8</v>
      </c>
      <c r="H3301" s="1" t="s">
        <v>188</v>
      </c>
    </row>
    <row r="3302" spans="1:8" x14ac:dyDescent="0.3">
      <c r="A3302">
        <v>2023</v>
      </c>
      <c r="B3302" t="s">
        <v>36</v>
      </c>
      <c r="C3302" t="s">
        <v>171</v>
      </c>
      <c r="D3302" s="1" t="s">
        <v>18</v>
      </c>
      <c r="E3302">
        <v>187</v>
      </c>
      <c r="F3302">
        <v>178.7</v>
      </c>
      <c r="G3302">
        <v>167</v>
      </c>
      <c r="H3302" s="1" t="s">
        <v>189</v>
      </c>
    </row>
    <row r="3303" spans="1:8" x14ac:dyDescent="0.3">
      <c r="A3303">
        <v>2023</v>
      </c>
      <c r="B3303" t="s">
        <v>36</v>
      </c>
      <c r="C3303" t="s">
        <v>171</v>
      </c>
      <c r="D3303" s="1" t="s">
        <v>8</v>
      </c>
      <c r="E3303">
        <v>167.2</v>
      </c>
      <c r="F3303">
        <v>169.5</v>
      </c>
      <c r="G3303">
        <v>172.1</v>
      </c>
      <c r="H3303" s="1" t="s">
        <v>188</v>
      </c>
    </row>
    <row r="3304" spans="1:8" x14ac:dyDescent="0.3">
      <c r="A3304">
        <v>2023</v>
      </c>
      <c r="B3304" t="s">
        <v>36</v>
      </c>
      <c r="C3304" t="s">
        <v>171</v>
      </c>
      <c r="D3304" s="1" t="s">
        <v>21</v>
      </c>
      <c r="E3304">
        <v>181.4</v>
      </c>
      <c r="F3304">
        <v>181.9</v>
      </c>
      <c r="G3304">
        <v>182.6</v>
      </c>
      <c r="H3304" s="1" t="s">
        <v>190</v>
      </c>
    </row>
    <row r="3305" spans="1:8" x14ac:dyDescent="0.3">
      <c r="A3305">
        <v>2023</v>
      </c>
      <c r="B3305" t="s">
        <v>36</v>
      </c>
      <c r="C3305" t="s">
        <v>171</v>
      </c>
      <c r="D3305" s="1" t="s">
        <v>29</v>
      </c>
      <c r="E3305">
        <v>178</v>
      </c>
      <c r="F3305">
        <v>177.2</v>
      </c>
      <c r="G3305">
        <v>176.3</v>
      </c>
      <c r="H3305" s="1" t="s">
        <v>206</v>
      </c>
    </row>
    <row r="3306" spans="1:8" x14ac:dyDescent="0.3">
      <c r="A3306">
        <v>2023</v>
      </c>
      <c r="B3306" t="s">
        <v>36</v>
      </c>
      <c r="C3306" t="s">
        <v>171</v>
      </c>
      <c r="D3306" s="1" t="s">
        <v>23</v>
      </c>
      <c r="E3306">
        <v>186.6</v>
      </c>
      <c r="F3306">
        <v>184.4</v>
      </c>
      <c r="G3306">
        <v>180.8</v>
      </c>
      <c r="H3306" s="1" t="s">
        <v>23</v>
      </c>
    </row>
    <row r="3307" spans="1:8" x14ac:dyDescent="0.3">
      <c r="A3307">
        <v>2023</v>
      </c>
      <c r="B3307" t="s">
        <v>36</v>
      </c>
      <c r="C3307" t="s">
        <v>171</v>
      </c>
      <c r="D3307" s="1" t="s">
        <v>22</v>
      </c>
      <c r="E3307">
        <v>178.6</v>
      </c>
      <c r="F3307">
        <v>174.2</v>
      </c>
      <c r="G3307">
        <v>169.2</v>
      </c>
      <c r="H3307" s="1" t="s">
        <v>20</v>
      </c>
    </row>
    <row r="3308" spans="1:8" x14ac:dyDescent="0.3">
      <c r="A3308">
        <v>2023</v>
      </c>
      <c r="B3308" t="s">
        <v>36</v>
      </c>
      <c r="C3308" t="s">
        <v>171</v>
      </c>
      <c r="D3308" s="1" t="s">
        <v>20</v>
      </c>
      <c r="E3308">
        <v>0</v>
      </c>
      <c r="F3308">
        <v>173.5</v>
      </c>
      <c r="G3308">
        <v>173.5</v>
      </c>
      <c r="H3308" s="1" t="s">
        <v>20</v>
      </c>
    </row>
    <row r="3309" spans="1:8" x14ac:dyDescent="0.3">
      <c r="A3309">
        <v>2023</v>
      </c>
      <c r="B3309" t="s">
        <v>36</v>
      </c>
      <c r="C3309" t="s">
        <v>171</v>
      </c>
      <c r="D3309" s="1" t="s">
        <v>4</v>
      </c>
      <c r="E3309">
        <v>205.2</v>
      </c>
      <c r="F3309">
        <v>207.7</v>
      </c>
      <c r="G3309">
        <v>212.2</v>
      </c>
      <c r="H3309" s="1" t="s">
        <v>188</v>
      </c>
    </row>
    <row r="3310" spans="1:8" x14ac:dyDescent="0.3">
      <c r="A3310">
        <v>2023</v>
      </c>
      <c r="B3310" t="s">
        <v>36</v>
      </c>
      <c r="C3310" t="s">
        <v>171</v>
      </c>
      <c r="D3310" s="1" t="s">
        <v>6</v>
      </c>
      <c r="E3310">
        <v>177</v>
      </c>
      <c r="F3310">
        <v>177.3</v>
      </c>
      <c r="G3310">
        <v>177.9</v>
      </c>
      <c r="H3310" s="1" t="s">
        <v>188</v>
      </c>
    </row>
    <row r="3311" spans="1:8" x14ac:dyDescent="0.3">
      <c r="A3311">
        <v>2023</v>
      </c>
      <c r="B3311" t="s">
        <v>36</v>
      </c>
      <c r="C3311" t="s">
        <v>171</v>
      </c>
      <c r="D3311" s="1" t="s">
        <v>28</v>
      </c>
      <c r="E3311">
        <v>177.9</v>
      </c>
      <c r="F3311">
        <v>174.1</v>
      </c>
      <c r="G3311">
        <v>170</v>
      </c>
      <c r="H3311" s="1" t="s">
        <v>192</v>
      </c>
    </row>
    <row r="3312" spans="1:8" x14ac:dyDescent="0.3">
      <c r="A3312">
        <v>2023</v>
      </c>
      <c r="B3312" t="s">
        <v>36</v>
      </c>
      <c r="C3312" t="s">
        <v>171</v>
      </c>
      <c r="D3312" s="1" t="s">
        <v>13</v>
      </c>
      <c r="E3312">
        <v>177.6</v>
      </c>
      <c r="F3312">
        <v>172.3</v>
      </c>
      <c r="G3312">
        <v>164.9</v>
      </c>
      <c r="H3312" s="1" t="s">
        <v>188</v>
      </c>
    </row>
    <row r="3313" spans="1:8" x14ac:dyDescent="0.3">
      <c r="A3313">
        <v>2023</v>
      </c>
      <c r="B3313" t="s">
        <v>36</v>
      </c>
      <c r="C3313" t="s">
        <v>171</v>
      </c>
      <c r="D3313" s="1" t="s">
        <v>7</v>
      </c>
      <c r="E3313">
        <v>183.3</v>
      </c>
      <c r="F3313">
        <v>179.2</v>
      </c>
      <c r="G3313">
        <v>172.2</v>
      </c>
      <c r="H3313" s="1" t="s">
        <v>188</v>
      </c>
    </row>
    <row r="3314" spans="1:8" x14ac:dyDescent="0.3">
      <c r="A3314">
        <v>2023</v>
      </c>
      <c r="B3314" t="s">
        <v>36</v>
      </c>
      <c r="C3314" t="s">
        <v>171</v>
      </c>
      <c r="D3314" s="1" t="s">
        <v>16</v>
      </c>
      <c r="E3314">
        <v>198.4</v>
      </c>
      <c r="F3314">
        <v>199.5</v>
      </c>
      <c r="G3314">
        <v>202.7</v>
      </c>
      <c r="H3314" s="1" t="s">
        <v>192</v>
      </c>
    </row>
    <row r="3315" spans="1:8" x14ac:dyDescent="0.3">
      <c r="A3315">
        <v>2023</v>
      </c>
      <c r="B3315" t="s">
        <v>36</v>
      </c>
      <c r="C3315" t="s">
        <v>171</v>
      </c>
      <c r="D3315" s="1" t="s">
        <v>27</v>
      </c>
      <c r="E3315">
        <v>180.7</v>
      </c>
      <c r="F3315">
        <v>181</v>
      </c>
      <c r="G3315">
        <v>181.5</v>
      </c>
      <c r="H3315" s="1" t="s">
        <v>192</v>
      </c>
    </row>
    <row r="3316" spans="1:8" x14ac:dyDescent="0.3">
      <c r="A3316">
        <v>2023</v>
      </c>
      <c r="B3316" t="s">
        <v>36</v>
      </c>
      <c r="C3316" t="s">
        <v>171</v>
      </c>
      <c r="D3316" s="1" t="s">
        <v>14</v>
      </c>
      <c r="E3316">
        <v>189.9</v>
      </c>
      <c r="F3316">
        <v>193</v>
      </c>
      <c r="G3316">
        <v>196.6</v>
      </c>
      <c r="H3316" s="1" t="s">
        <v>188</v>
      </c>
    </row>
    <row r="3317" spans="1:8" x14ac:dyDescent="0.3">
      <c r="A3317">
        <v>2023</v>
      </c>
      <c r="B3317" t="s">
        <v>36</v>
      </c>
      <c r="C3317" t="s">
        <v>171</v>
      </c>
      <c r="D3317" s="1" t="s">
        <v>10</v>
      </c>
      <c r="E3317">
        <v>170.5</v>
      </c>
      <c r="F3317">
        <v>171.1</v>
      </c>
      <c r="G3317">
        <v>172.2</v>
      </c>
      <c r="H3317" s="1" t="s">
        <v>188</v>
      </c>
    </row>
    <row r="3318" spans="1:8" x14ac:dyDescent="0.3">
      <c r="A3318">
        <v>2023</v>
      </c>
      <c r="B3318" t="s">
        <v>36</v>
      </c>
      <c r="C3318" t="s">
        <v>171</v>
      </c>
      <c r="D3318" s="1" t="s">
        <v>25</v>
      </c>
      <c r="E3318">
        <v>172.8</v>
      </c>
      <c r="F3318">
        <v>170.3</v>
      </c>
      <c r="G3318">
        <v>168.4</v>
      </c>
      <c r="H3318" s="1" t="s">
        <v>195</v>
      </c>
    </row>
    <row r="3319" spans="1:8" x14ac:dyDescent="0.3">
      <c r="A3319">
        <v>2023</v>
      </c>
      <c r="B3319" t="s">
        <v>36</v>
      </c>
      <c r="C3319" t="s">
        <v>171</v>
      </c>
      <c r="D3319" s="1" t="s">
        <v>12</v>
      </c>
      <c r="E3319">
        <v>212.1</v>
      </c>
      <c r="F3319">
        <v>209.7</v>
      </c>
      <c r="G3319">
        <v>204.8</v>
      </c>
      <c r="H3319" s="1" t="s">
        <v>188</v>
      </c>
    </row>
    <row r="3320" spans="1:8" x14ac:dyDescent="0.3">
      <c r="A3320">
        <v>2023</v>
      </c>
      <c r="B3320" t="s">
        <v>36</v>
      </c>
      <c r="C3320" t="s">
        <v>171</v>
      </c>
      <c r="D3320" s="1" t="s">
        <v>11</v>
      </c>
      <c r="E3320">
        <v>119.1</v>
      </c>
      <c r="F3320">
        <v>120</v>
      </c>
      <c r="G3320">
        <v>121.9</v>
      </c>
      <c r="H3320" s="1" t="s">
        <v>188</v>
      </c>
    </row>
    <row r="3321" spans="1:8" x14ac:dyDescent="0.3">
      <c r="A3321">
        <v>2023</v>
      </c>
      <c r="B3321" t="s">
        <v>36</v>
      </c>
      <c r="C3321" t="s">
        <v>171</v>
      </c>
      <c r="D3321" s="1" t="s">
        <v>24</v>
      </c>
      <c r="E3321">
        <v>169</v>
      </c>
      <c r="F3321">
        <v>164.2</v>
      </c>
      <c r="G3321">
        <v>159.80000000000001</v>
      </c>
      <c r="H3321" s="1" t="s">
        <v>191</v>
      </c>
    </row>
    <row r="3322" spans="1:8" x14ac:dyDescent="0.3">
      <c r="A3322">
        <v>2023</v>
      </c>
      <c r="B3322" t="s">
        <v>36</v>
      </c>
      <c r="C3322" t="s">
        <v>171</v>
      </c>
      <c r="D3322" s="1" t="s">
        <v>9</v>
      </c>
      <c r="E3322">
        <v>140.9</v>
      </c>
      <c r="F3322">
        <v>152.80000000000001</v>
      </c>
      <c r="G3322">
        <v>175.9</v>
      </c>
      <c r="H3322" s="1" t="s">
        <v>188</v>
      </c>
    </row>
    <row r="3323" spans="1:8" x14ac:dyDescent="0.3">
      <c r="A3323">
        <v>2023</v>
      </c>
      <c r="B3323" t="s">
        <v>38</v>
      </c>
      <c r="C3323" t="s">
        <v>172</v>
      </c>
      <c r="D3323" s="1" t="s">
        <v>3</v>
      </c>
      <c r="E3323">
        <v>173.2</v>
      </c>
      <c r="F3323">
        <v>173.7</v>
      </c>
      <c r="G3323">
        <v>174.7</v>
      </c>
      <c r="H3323" s="1" t="s">
        <v>188</v>
      </c>
    </row>
    <row r="3324" spans="1:8" x14ac:dyDescent="0.3">
      <c r="A3324">
        <v>2023</v>
      </c>
      <c r="B3324" t="s">
        <v>38</v>
      </c>
      <c r="C3324" t="s">
        <v>172</v>
      </c>
      <c r="D3324" s="1" t="s">
        <v>17</v>
      </c>
      <c r="E3324">
        <v>191.2</v>
      </c>
      <c r="F3324">
        <v>187.3</v>
      </c>
      <c r="G3324">
        <v>181.3</v>
      </c>
      <c r="H3324" s="1" t="s">
        <v>189</v>
      </c>
    </row>
    <row r="3325" spans="1:8" x14ac:dyDescent="0.3">
      <c r="A3325">
        <v>2023</v>
      </c>
      <c r="B3325" t="s">
        <v>38</v>
      </c>
      <c r="C3325" t="s">
        <v>172</v>
      </c>
      <c r="D3325" s="1" t="s">
        <v>19</v>
      </c>
      <c r="E3325">
        <v>190.8</v>
      </c>
      <c r="F3325">
        <v>186.2</v>
      </c>
      <c r="G3325">
        <v>179.3</v>
      </c>
      <c r="H3325" s="1" t="s">
        <v>189</v>
      </c>
    </row>
    <row r="3326" spans="1:8" x14ac:dyDescent="0.3">
      <c r="A3326">
        <v>2023</v>
      </c>
      <c r="B3326" t="s">
        <v>38</v>
      </c>
      <c r="C3326" t="s">
        <v>172</v>
      </c>
      <c r="D3326" s="1" t="s">
        <v>26</v>
      </c>
      <c r="E3326">
        <v>180.3</v>
      </c>
      <c r="F3326">
        <v>177.1</v>
      </c>
      <c r="G3326">
        <v>174.8</v>
      </c>
      <c r="H3326" s="1" t="s">
        <v>26</v>
      </c>
    </row>
    <row r="3327" spans="1:8" x14ac:dyDescent="0.3">
      <c r="A3327">
        <v>2023</v>
      </c>
      <c r="B3327" t="s">
        <v>38</v>
      </c>
      <c r="C3327" t="s">
        <v>172</v>
      </c>
      <c r="D3327" s="1" t="s">
        <v>5</v>
      </c>
      <c r="E3327">
        <v>171</v>
      </c>
      <c r="F3327">
        <v>173.2</v>
      </c>
      <c r="G3327">
        <v>176.7</v>
      </c>
      <c r="H3327" s="1" t="s">
        <v>188</v>
      </c>
    </row>
    <row r="3328" spans="1:8" x14ac:dyDescent="0.3">
      <c r="A3328">
        <v>2023</v>
      </c>
      <c r="B3328" t="s">
        <v>38</v>
      </c>
      <c r="C3328" t="s">
        <v>172</v>
      </c>
      <c r="D3328" s="1" t="s">
        <v>15</v>
      </c>
      <c r="E3328">
        <v>176.8</v>
      </c>
      <c r="F3328">
        <v>179.1</v>
      </c>
      <c r="G3328">
        <v>183.1</v>
      </c>
      <c r="H3328" s="1" t="s">
        <v>188</v>
      </c>
    </row>
    <row r="3329" spans="1:8" x14ac:dyDescent="0.3">
      <c r="A3329">
        <v>2023</v>
      </c>
      <c r="B3329" t="s">
        <v>38</v>
      </c>
      <c r="C3329" t="s">
        <v>172</v>
      </c>
      <c r="D3329" s="1" t="s">
        <v>18</v>
      </c>
      <c r="E3329">
        <v>187.9</v>
      </c>
      <c r="F3329">
        <v>179.7</v>
      </c>
      <c r="G3329">
        <v>168.1</v>
      </c>
      <c r="H3329" s="1" t="s">
        <v>189</v>
      </c>
    </row>
    <row r="3330" spans="1:8" x14ac:dyDescent="0.3">
      <c r="A3330">
        <v>2023</v>
      </c>
      <c r="B3330" t="s">
        <v>38</v>
      </c>
      <c r="C3330" t="s">
        <v>172</v>
      </c>
      <c r="D3330" s="1" t="s">
        <v>8</v>
      </c>
      <c r="E3330">
        <v>169</v>
      </c>
      <c r="F3330">
        <v>172.2</v>
      </c>
      <c r="G3330">
        <v>175.8</v>
      </c>
      <c r="H3330" s="1" t="s">
        <v>188</v>
      </c>
    </row>
    <row r="3331" spans="1:8" x14ac:dyDescent="0.3">
      <c r="A3331">
        <v>2023</v>
      </c>
      <c r="B3331" t="s">
        <v>38</v>
      </c>
      <c r="C3331" t="s">
        <v>172</v>
      </c>
      <c r="D3331" s="1" t="s">
        <v>21</v>
      </c>
      <c r="E3331">
        <v>182.5</v>
      </c>
      <c r="F3331">
        <v>182.8</v>
      </c>
      <c r="G3331">
        <v>183.4</v>
      </c>
      <c r="H3331" s="1" t="s">
        <v>190</v>
      </c>
    </row>
    <row r="3332" spans="1:8" x14ac:dyDescent="0.3">
      <c r="A3332">
        <v>2023</v>
      </c>
      <c r="B3332" t="s">
        <v>38</v>
      </c>
      <c r="C3332" t="s">
        <v>172</v>
      </c>
      <c r="D3332" s="1" t="s">
        <v>29</v>
      </c>
      <c r="E3332">
        <v>179.8</v>
      </c>
      <c r="F3332">
        <v>179.1</v>
      </c>
      <c r="G3332">
        <v>178.2</v>
      </c>
      <c r="H3332" s="1" t="s">
        <v>206</v>
      </c>
    </row>
    <row r="3333" spans="1:8" x14ac:dyDescent="0.3">
      <c r="A3333">
        <v>2023</v>
      </c>
      <c r="B3333" t="s">
        <v>38</v>
      </c>
      <c r="C3333" t="s">
        <v>172</v>
      </c>
      <c r="D3333" s="1" t="s">
        <v>23</v>
      </c>
      <c r="E3333">
        <v>187.8</v>
      </c>
      <c r="F3333">
        <v>185.7</v>
      </c>
      <c r="G3333">
        <v>182.2</v>
      </c>
      <c r="H3333" s="1" t="s">
        <v>23</v>
      </c>
    </row>
    <row r="3334" spans="1:8" x14ac:dyDescent="0.3">
      <c r="A3334">
        <v>2023</v>
      </c>
      <c r="B3334" t="s">
        <v>38</v>
      </c>
      <c r="C3334" t="s">
        <v>172</v>
      </c>
      <c r="D3334" s="1" t="s">
        <v>22</v>
      </c>
      <c r="E3334">
        <v>179.8</v>
      </c>
      <c r="F3334">
        <v>175.2</v>
      </c>
      <c r="G3334">
        <v>170.1</v>
      </c>
      <c r="H3334" s="1" t="s">
        <v>20</v>
      </c>
    </row>
    <row r="3335" spans="1:8" x14ac:dyDescent="0.3">
      <c r="A3335">
        <v>2023</v>
      </c>
      <c r="B3335" t="s">
        <v>38</v>
      </c>
      <c r="C3335" t="s">
        <v>172</v>
      </c>
      <c r="D3335" s="1" t="s">
        <v>20</v>
      </c>
      <c r="E3335">
        <v>0</v>
      </c>
      <c r="F3335">
        <v>175.6</v>
      </c>
      <c r="G3335">
        <v>175.6</v>
      </c>
      <c r="H3335" s="1" t="s">
        <v>20</v>
      </c>
    </row>
    <row r="3336" spans="1:8" x14ac:dyDescent="0.3">
      <c r="A3336">
        <v>2023</v>
      </c>
      <c r="B3336" t="s">
        <v>38</v>
      </c>
      <c r="C3336" t="s">
        <v>172</v>
      </c>
      <c r="D3336" s="1" t="s">
        <v>4</v>
      </c>
      <c r="E3336">
        <v>211.5</v>
      </c>
      <c r="F3336">
        <v>214.3</v>
      </c>
      <c r="G3336">
        <v>219.4</v>
      </c>
      <c r="H3336" s="1" t="s">
        <v>188</v>
      </c>
    </row>
    <row r="3337" spans="1:8" x14ac:dyDescent="0.3">
      <c r="A3337">
        <v>2023</v>
      </c>
      <c r="B3337" t="s">
        <v>38</v>
      </c>
      <c r="C3337" t="s">
        <v>172</v>
      </c>
      <c r="D3337" s="1" t="s">
        <v>6</v>
      </c>
      <c r="E3337">
        <v>179.6</v>
      </c>
      <c r="F3337">
        <v>179.5</v>
      </c>
      <c r="G3337">
        <v>179.4</v>
      </c>
      <c r="H3337" s="1" t="s">
        <v>188</v>
      </c>
    </row>
    <row r="3338" spans="1:8" x14ac:dyDescent="0.3">
      <c r="A3338">
        <v>2023</v>
      </c>
      <c r="B3338" t="s">
        <v>38</v>
      </c>
      <c r="C3338" t="s">
        <v>172</v>
      </c>
      <c r="D3338" s="1" t="s">
        <v>28</v>
      </c>
      <c r="E3338">
        <v>179.5</v>
      </c>
      <c r="F3338">
        <v>175.7</v>
      </c>
      <c r="G3338">
        <v>171.6</v>
      </c>
      <c r="H3338" s="1" t="s">
        <v>192</v>
      </c>
    </row>
    <row r="3339" spans="1:8" x14ac:dyDescent="0.3">
      <c r="A3339">
        <v>2023</v>
      </c>
      <c r="B3339" t="s">
        <v>38</v>
      </c>
      <c r="C3339" t="s">
        <v>172</v>
      </c>
      <c r="D3339" s="1" t="s">
        <v>13</v>
      </c>
      <c r="E3339">
        <v>178.7</v>
      </c>
      <c r="F3339">
        <v>173.4</v>
      </c>
      <c r="G3339">
        <v>165.9</v>
      </c>
      <c r="H3339" s="1" t="s">
        <v>188</v>
      </c>
    </row>
    <row r="3340" spans="1:8" x14ac:dyDescent="0.3">
      <c r="A3340">
        <v>2023</v>
      </c>
      <c r="B3340" t="s">
        <v>38</v>
      </c>
      <c r="C3340" t="s">
        <v>172</v>
      </c>
      <c r="D3340" s="1" t="s">
        <v>7</v>
      </c>
      <c r="E3340">
        <v>173.3</v>
      </c>
      <c r="F3340">
        <v>170</v>
      </c>
      <c r="G3340">
        <v>164.4</v>
      </c>
      <c r="H3340" s="1" t="s">
        <v>188</v>
      </c>
    </row>
    <row r="3341" spans="1:8" x14ac:dyDescent="0.3">
      <c r="A3341">
        <v>2023</v>
      </c>
      <c r="B3341" t="s">
        <v>38</v>
      </c>
      <c r="C3341" t="s">
        <v>172</v>
      </c>
      <c r="D3341" s="1" t="s">
        <v>16</v>
      </c>
      <c r="E3341">
        <v>199.9</v>
      </c>
      <c r="F3341">
        <v>201</v>
      </c>
      <c r="G3341">
        <v>204.2</v>
      </c>
      <c r="H3341" s="1" t="s">
        <v>192</v>
      </c>
    </row>
    <row r="3342" spans="1:8" x14ac:dyDescent="0.3">
      <c r="A3342">
        <v>2023</v>
      </c>
      <c r="B3342" t="s">
        <v>38</v>
      </c>
      <c r="C3342" t="s">
        <v>172</v>
      </c>
      <c r="D3342" s="1" t="s">
        <v>27</v>
      </c>
      <c r="E3342">
        <v>184.9</v>
      </c>
      <c r="F3342">
        <v>185.2</v>
      </c>
      <c r="G3342">
        <v>185.6</v>
      </c>
      <c r="H3342" s="1" t="s">
        <v>192</v>
      </c>
    </row>
    <row r="3343" spans="1:8" x14ac:dyDescent="0.3">
      <c r="A3343">
        <v>2023</v>
      </c>
      <c r="B3343" t="s">
        <v>38</v>
      </c>
      <c r="C3343" t="s">
        <v>172</v>
      </c>
      <c r="D3343" s="1" t="s">
        <v>14</v>
      </c>
      <c r="E3343">
        <v>191.1</v>
      </c>
      <c r="F3343">
        <v>194.2</v>
      </c>
      <c r="G3343">
        <v>197.7</v>
      </c>
      <c r="H3343" s="1" t="s">
        <v>188</v>
      </c>
    </row>
    <row r="3344" spans="1:8" x14ac:dyDescent="0.3">
      <c r="A3344">
        <v>2023</v>
      </c>
      <c r="B3344" t="s">
        <v>38</v>
      </c>
      <c r="C3344" t="s">
        <v>172</v>
      </c>
      <c r="D3344" s="1" t="s">
        <v>10</v>
      </c>
      <c r="E3344">
        <v>174.9</v>
      </c>
      <c r="F3344">
        <v>175.6</v>
      </c>
      <c r="G3344">
        <v>176.9</v>
      </c>
      <c r="H3344" s="1" t="s">
        <v>188</v>
      </c>
    </row>
    <row r="3345" spans="1:8" x14ac:dyDescent="0.3">
      <c r="A3345">
        <v>2023</v>
      </c>
      <c r="B3345" t="s">
        <v>38</v>
      </c>
      <c r="C3345" t="s">
        <v>172</v>
      </c>
      <c r="D3345" s="1" t="s">
        <v>25</v>
      </c>
      <c r="E3345">
        <v>173.8</v>
      </c>
      <c r="F3345">
        <v>171.2</v>
      </c>
      <c r="G3345">
        <v>169.2</v>
      </c>
      <c r="H3345" s="1" t="s">
        <v>195</v>
      </c>
    </row>
    <row r="3346" spans="1:8" x14ac:dyDescent="0.3">
      <c r="A3346">
        <v>2023</v>
      </c>
      <c r="B3346" t="s">
        <v>38</v>
      </c>
      <c r="C3346" t="s">
        <v>172</v>
      </c>
      <c r="D3346" s="1" t="s">
        <v>12</v>
      </c>
      <c r="E3346">
        <v>221</v>
      </c>
      <c r="F3346">
        <v>218</v>
      </c>
      <c r="G3346">
        <v>211.9</v>
      </c>
      <c r="H3346" s="1" t="s">
        <v>188</v>
      </c>
    </row>
    <row r="3347" spans="1:8" x14ac:dyDescent="0.3">
      <c r="A3347">
        <v>2023</v>
      </c>
      <c r="B3347" t="s">
        <v>38</v>
      </c>
      <c r="C3347" t="s">
        <v>172</v>
      </c>
      <c r="D3347" s="1" t="s">
        <v>11</v>
      </c>
      <c r="E3347">
        <v>121.9</v>
      </c>
      <c r="F3347">
        <v>122.7</v>
      </c>
      <c r="G3347">
        <v>124.2</v>
      </c>
      <c r="H3347" s="1" t="s">
        <v>188</v>
      </c>
    </row>
    <row r="3348" spans="1:8" x14ac:dyDescent="0.3">
      <c r="A3348">
        <v>2023</v>
      </c>
      <c r="B3348" t="s">
        <v>38</v>
      </c>
      <c r="C3348" t="s">
        <v>172</v>
      </c>
      <c r="D3348" s="1" t="s">
        <v>24</v>
      </c>
      <c r="E3348">
        <v>169.7</v>
      </c>
      <c r="F3348">
        <v>164.8</v>
      </c>
      <c r="G3348">
        <v>160.4</v>
      </c>
      <c r="H3348" s="1" t="s">
        <v>191</v>
      </c>
    </row>
    <row r="3349" spans="1:8" x14ac:dyDescent="0.3">
      <c r="A3349">
        <v>2023</v>
      </c>
      <c r="B3349" t="s">
        <v>38</v>
      </c>
      <c r="C3349" t="s">
        <v>172</v>
      </c>
      <c r="D3349" s="1" t="s">
        <v>9</v>
      </c>
      <c r="E3349">
        <v>148.69999999999999</v>
      </c>
      <c r="F3349">
        <v>161</v>
      </c>
      <c r="G3349">
        <v>185</v>
      </c>
      <c r="H3349" s="1" t="s">
        <v>188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2138-9811-4F3F-A165-D949D3602AAB}">
  <dimension ref="A1:Q10045"/>
  <sheetViews>
    <sheetView workbookViewId="0">
      <selection activeCell="J1" sqref="J1"/>
    </sheetView>
  </sheetViews>
  <sheetFormatPr defaultRowHeight="14.4" x14ac:dyDescent="0.3"/>
  <cols>
    <col min="3" max="3" width="10.44140625" customWidth="1"/>
    <col min="6" max="6" width="13.44140625" customWidth="1"/>
    <col min="7" max="7" width="8.44140625" bestFit="1" customWidth="1"/>
    <col min="8" max="8" width="19.88671875" bestFit="1" customWidth="1"/>
    <col min="10" max="10" width="10.5546875" bestFit="1" customWidth="1"/>
    <col min="11" max="11" width="6.88671875" bestFit="1" customWidth="1"/>
    <col min="12" max="12" width="9.88671875" bestFit="1" customWidth="1"/>
    <col min="13" max="13" width="8.6640625" bestFit="1" customWidth="1"/>
    <col min="14" max="14" width="30.5546875" bestFit="1" customWidth="1"/>
    <col min="15" max="15" width="20" bestFit="1" customWidth="1"/>
    <col min="16" max="16" width="13" bestFit="1" customWidth="1"/>
    <col min="17" max="17" width="6.109375" bestFit="1" customWidth="1"/>
    <col min="18" max="18" width="12.88671875" bestFit="1" customWidth="1"/>
    <col min="19" max="19" width="6.88671875" bestFit="1" customWidth="1"/>
    <col min="20" max="20" width="9.77734375" bestFit="1" customWidth="1"/>
    <col min="21" max="21" width="8.6640625" bestFit="1" customWidth="1"/>
    <col min="22" max="22" width="30.44140625" bestFit="1" customWidth="1"/>
    <col min="23" max="23" width="19.88671875" bestFit="1" customWidth="1"/>
    <col min="24" max="24" width="11.21875" bestFit="1" customWidth="1"/>
    <col min="25" max="25" width="12" bestFit="1" customWidth="1"/>
  </cols>
  <sheetData>
    <row r="1" spans="1:17" x14ac:dyDescent="0.3">
      <c r="A1" t="s">
        <v>1</v>
      </c>
      <c r="B1" t="s">
        <v>2</v>
      </c>
      <c r="C1" t="s">
        <v>47</v>
      </c>
      <c r="D1" t="s">
        <v>53</v>
      </c>
      <c r="E1" t="s">
        <v>30</v>
      </c>
      <c r="F1" t="s">
        <v>34</v>
      </c>
      <c r="G1" t="s">
        <v>33</v>
      </c>
      <c r="H1" t="s">
        <v>194</v>
      </c>
      <c r="K1" t="s">
        <v>1</v>
      </c>
      <c r="L1" t="s">
        <v>2</v>
      </c>
      <c r="M1" t="s">
        <v>47</v>
      </c>
      <c r="N1" t="s">
        <v>53</v>
      </c>
      <c r="O1" t="s">
        <v>194</v>
      </c>
      <c r="P1" t="s">
        <v>0</v>
      </c>
      <c r="Q1" t="s">
        <v>212</v>
      </c>
    </row>
    <row r="2" spans="1:17" x14ac:dyDescent="0.3">
      <c r="A2">
        <v>2013</v>
      </c>
      <c r="B2" t="s">
        <v>37</v>
      </c>
      <c r="C2" t="s">
        <v>54</v>
      </c>
      <c r="D2" s="1" t="s">
        <v>3</v>
      </c>
      <c r="E2" s="4">
        <v>110.2</v>
      </c>
      <c r="F2" s="4">
        <v>111.6</v>
      </c>
      <c r="G2" s="4">
        <v>114.6</v>
      </c>
      <c r="H2" s="1" t="s">
        <v>188</v>
      </c>
      <c r="K2">
        <v>2013</v>
      </c>
      <c r="L2" t="s">
        <v>37</v>
      </c>
      <c r="M2" t="s">
        <v>54</v>
      </c>
      <c r="N2" t="s">
        <v>3</v>
      </c>
      <c r="O2" t="s">
        <v>188</v>
      </c>
      <c r="P2" s="1" t="s">
        <v>30</v>
      </c>
      <c r="Q2">
        <v>110.2</v>
      </c>
    </row>
    <row r="3" spans="1:17" x14ac:dyDescent="0.3">
      <c r="A3">
        <v>2013</v>
      </c>
      <c r="B3" t="s">
        <v>41</v>
      </c>
      <c r="C3" t="s">
        <v>55</v>
      </c>
      <c r="D3" s="1" t="s">
        <v>3</v>
      </c>
      <c r="E3" s="4">
        <v>114.3</v>
      </c>
      <c r="F3" s="4">
        <v>115.6</v>
      </c>
      <c r="G3" s="4">
        <v>118.3</v>
      </c>
      <c r="H3" s="1" t="s">
        <v>188</v>
      </c>
      <c r="K3">
        <v>2013</v>
      </c>
      <c r="L3" t="s">
        <v>37</v>
      </c>
      <c r="M3" t="s">
        <v>54</v>
      </c>
      <c r="N3" t="s">
        <v>3</v>
      </c>
      <c r="O3" t="s">
        <v>188</v>
      </c>
      <c r="P3" s="1" t="s">
        <v>34</v>
      </c>
      <c r="Q3">
        <v>111.6</v>
      </c>
    </row>
    <row r="4" spans="1:17" x14ac:dyDescent="0.3">
      <c r="A4">
        <v>2013</v>
      </c>
      <c r="B4" t="s">
        <v>37</v>
      </c>
      <c r="C4" t="s">
        <v>54</v>
      </c>
      <c r="D4" s="1" t="s">
        <v>17</v>
      </c>
      <c r="E4" s="4">
        <v>108.1</v>
      </c>
      <c r="F4" s="4">
        <v>108</v>
      </c>
      <c r="G4" s="4">
        <v>107.9</v>
      </c>
      <c r="H4" s="1" t="s">
        <v>189</v>
      </c>
      <c r="K4">
        <v>2013</v>
      </c>
      <c r="L4" t="s">
        <v>37</v>
      </c>
      <c r="M4" t="s">
        <v>54</v>
      </c>
      <c r="N4" t="s">
        <v>3</v>
      </c>
      <c r="O4" t="s">
        <v>188</v>
      </c>
      <c r="P4" s="1" t="s">
        <v>33</v>
      </c>
      <c r="Q4">
        <v>114.6</v>
      </c>
    </row>
    <row r="5" spans="1:17" x14ac:dyDescent="0.3">
      <c r="A5">
        <v>2013</v>
      </c>
      <c r="B5" t="s">
        <v>37</v>
      </c>
      <c r="C5" t="s">
        <v>54</v>
      </c>
      <c r="D5" s="1" t="s">
        <v>4</v>
      </c>
      <c r="E5" s="4">
        <v>109.5</v>
      </c>
      <c r="F5" s="4">
        <v>110.9</v>
      </c>
      <c r="G5" s="4">
        <v>113.4</v>
      </c>
      <c r="H5" s="1" t="s">
        <v>188</v>
      </c>
      <c r="K5">
        <v>2013</v>
      </c>
      <c r="L5" t="s">
        <v>41</v>
      </c>
      <c r="M5" t="s">
        <v>55</v>
      </c>
      <c r="N5" t="s">
        <v>3</v>
      </c>
      <c r="O5" t="s">
        <v>188</v>
      </c>
      <c r="P5" s="1" t="s">
        <v>30</v>
      </c>
      <c r="Q5">
        <v>114.3</v>
      </c>
    </row>
    <row r="6" spans="1:17" x14ac:dyDescent="0.3">
      <c r="A6">
        <v>2013</v>
      </c>
      <c r="B6" t="s">
        <v>37</v>
      </c>
      <c r="C6" t="s">
        <v>54</v>
      </c>
      <c r="D6" s="1" t="s">
        <v>19</v>
      </c>
      <c r="E6" s="4">
        <v>108</v>
      </c>
      <c r="F6" s="4">
        <v>107.9</v>
      </c>
      <c r="G6" s="4">
        <v>107.7</v>
      </c>
      <c r="H6" s="1" t="s">
        <v>189</v>
      </c>
      <c r="K6">
        <v>2013</v>
      </c>
      <c r="L6" t="s">
        <v>41</v>
      </c>
      <c r="M6" t="s">
        <v>55</v>
      </c>
      <c r="N6" t="s">
        <v>3</v>
      </c>
      <c r="O6" t="s">
        <v>188</v>
      </c>
      <c r="P6" s="1" t="s">
        <v>34</v>
      </c>
      <c r="Q6">
        <v>115.6</v>
      </c>
    </row>
    <row r="7" spans="1:17" x14ac:dyDescent="0.3">
      <c r="A7">
        <v>2013</v>
      </c>
      <c r="B7" t="s">
        <v>37</v>
      </c>
      <c r="C7" t="s">
        <v>54</v>
      </c>
      <c r="D7" s="1" t="s">
        <v>5</v>
      </c>
      <c r="E7" s="4">
        <v>106.9</v>
      </c>
      <c r="F7" s="4">
        <v>106.6</v>
      </c>
      <c r="G7" s="4">
        <v>106</v>
      </c>
      <c r="H7" s="1" t="s">
        <v>188</v>
      </c>
      <c r="K7">
        <v>2013</v>
      </c>
      <c r="L7" t="s">
        <v>41</v>
      </c>
      <c r="M7" t="s">
        <v>55</v>
      </c>
      <c r="N7" t="s">
        <v>3</v>
      </c>
      <c r="O7" t="s">
        <v>188</v>
      </c>
      <c r="P7" s="1" t="s">
        <v>33</v>
      </c>
      <c r="Q7">
        <v>118.3</v>
      </c>
    </row>
    <row r="8" spans="1:17" x14ac:dyDescent="0.3">
      <c r="A8">
        <v>2013</v>
      </c>
      <c r="B8" t="s">
        <v>37</v>
      </c>
      <c r="C8" t="s">
        <v>54</v>
      </c>
      <c r="D8" s="1" t="s">
        <v>26</v>
      </c>
      <c r="E8" s="4">
        <v>104.8</v>
      </c>
      <c r="F8" s="4">
        <v>105</v>
      </c>
      <c r="G8" s="4">
        <v>105.2</v>
      </c>
      <c r="H8" s="1" t="s">
        <v>26</v>
      </c>
      <c r="K8">
        <v>2013</v>
      </c>
      <c r="L8" t="s">
        <v>37</v>
      </c>
      <c r="M8" t="s">
        <v>54</v>
      </c>
      <c r="N8" t="s">
        <v>17</v>
      </c>
      <c r="O8" t="s">
        <v>189</v>
      </c>
      <c r="P8" s="1" t="s">
        <v>30</v>
      </c>
      <c r="Q8">
        <v>108.1</v>
      </c>
    </row>
    <row r="9" spans="1:17" x14ac:dyDescent="0.3">
      <c r="A9">
        <v>2013</v>
      </c>
      <c r="B9" t="s">
        <v>37</v>
      </c>
      <c r="C9" t="s">
        <v>54</v>
      </c>
      <c r="D9" s="1" t="s">
        <v>6</v>
      </c>
      <c r="E9" s="4">
        <v>106.3</v>
      </c>
      <c r="F9" s="4">
        <v>105.7</v>
      </c>
      <c r="G9" s="4">
        <v>104.7</v>
      </c>
      <c r="H9" s="1" t="s">
        <v>188</v>
      </c>
      <c r="K9">
        <v>2013</v>
      </c>
      <c r="L9" t="s">
        <v>37</v>
      </c>
      <c r="M9" t="s">
        <v>54</v>
      </c>
      <c r="N9" t="s">
        <v>17</v>
      </c>
      <c r="O9" t="s">
        <v>189</v>
      </c>
      <c r="P9" s="1" t="s">
        <v>34</v>
      </c>
      <c r="Q9">
        <v>108</v>
      </c>
    </row>
    <row r="10" spans="1:17" x14ac:dyDescent="0.3">
      <c r="A10">
        <v>2013</v>
      </c>
      <c r="B10" t="s">
        <v>37</v>
      </c>
      <c r="C10" t="s">
        <v>54</v>
      </c>
      <c r="D10" s="1" t="s">
        <v>7</v>
      </c>
      <c r="E10" s="4">
        <v>105.7</v>
      </c>
      <c r="F10" s="4">
        <v>104.4</v>
      </c>
      <c r="G10" s="4">
        <v>102.1</v>
      </c>
      <c r="H10" s="1" t="s">
        <v>188</v>
      </c>
      <c r="K10">
        <v>2013</v>
      </c>
      <c r="L10" t="s">
        <v>37</v>
      </c>
      <c r="M10" t="s">
        <v>54</v>
      </c>
      <c r="N10" t="s">
        <v>17</v>
      </c>
      <c r="O10" t="s">
        <v>189</v>
      </c>
      <c r="P10" s="1" t="s">
        <v>33</v>
      </c>
      <c r="Q10">
        <v>107.9</v>
      </c>
    </row>
    <row r="11" spans="1:17" x14ac:dyDescent="0.3">
      <c r="A11">
        <v>2013</v>
      </c>
      <c r="B11" t="s">
        <v>37</v>
      </c>
      <c r="C11" t="s">
        <v>54</v>
      </c>
      <c r="D11" s="1" t="s">
        <v>15</v>
      </c>
      <c r="E11" s="4">
        <v>107.1</v>
      </c>
      <c r="F11" s="4">
        <v>107.7</v>
      </c>
      <c r="G11" s="4">
        <v>108.8</v>
      </c>
      <c r="H11" s="1" t="s">
        <v>188</v>
      </c>
      <c r="K11">
        <v>2013</v>
      </c>
      <c r="L11" t="s">
        <v>37</v>
      </c>
      <c r="M11" t="s">
        <v>54</v>
      </c>
      <c r="N11" t="s">
        <v>4</v>
      </c>
      <c r="O11" t="s">
        <v>188</v>
      </c>
      <c r="P11" s="1" t="s">
        <v>30</v>
      </c>
      <c r="Q11">
        <v>109.5</v>
      </c>
    </row>
    <row r="12" spans="1:17" x14ac:dyDescent="0.3">
      <c r="A12">
        <v>2013</v>
      </c>
      <c r="B12" t="s">
        <v>37</v>
      </c>
      <c r="C12" t="s">
        <v>54</v>
      </c>
      <c r="D12" s="1" t="s">
        <v>8</v>
      </c>
      <c r="E12" s="4">
        <v>108.3</v>
      </c>
      <c r="F12" s="4">
        <v>108.9</v>
      </c>
      <c r="G12" s="4">
        <v>109.5</v>
      </c>
      <c r="H12" s="1" t="s">
        <v>188</v>
      </c>
      <c r="K12">
        <v>2013</v>
      </c>
      <c r="L12" t="s">
        <v>37</v>
      </c>
      <c r="M12" t="s">
        <v>54</v>
      </c>
      <c r="N12" t="s">
        <v>4</v>
      </c>
      <c r="O12" t="s">
        <v>188</v>
      </c>
      <c r="P12" s="1" t="s">
        <v>34</v>
      </c>
      <c r="Q12">
        <v>110.9</v>
      </c>
    </row>
    <row r="13" spans="1:17" x14ac:dyDescent="0.3">
      <c r="A13">
        <v>2013</v>
      </c>
      <c r="B13" t="s">
        <v>37</v>
      </c>
      <c r="C13" t="s">
        <v>54</v>
      </c>
      <c r="D13" s="1" t="s">
        <v>18</v>
      </c>
      <c r="E13" s="4">
        <v>107.4</v>
      </c>
      <c r="F13" s="4">
        <v>107</v>
      </c>
      <c r="G13" s="4">
        <v>106.4</v>
      </c>
      <c r="H13" s="1" t="s">
        <v>189</v>
      </c>
      <c r="K13">
        <v>2013</v>
      </c>
      <c r="L13" t="s">
        <v>37</v>
      </c>
      <c r="M13" t="s">
        <v>54</v>
      </c>
      <c r="N13" t="s">
        <v>4</v>
      </c>
      <c r="O13" t="s">
        <v>188</v>
      </c>
      <c r="P13" s="1" t="s">
        <v>33</v>
      </c>
      <c r="Q13">
        <v>113.4</v>
      </c>
    </row>
    <row r="14" spans="1:17" x14ac:dyDescent="0.3">
      <c r="A14">
        <v>2013</v>
      </c>
      <c r="B14" t="s">
        <v>37</v>
      </c>
      <c r="C14" t="s">
        <v>54</v>
      </c>
      <c r="D14" s="1" t="s">
        <v>9</v>
      </c>
      <c r="E14" s="4">
        <v>103.4</v>
      </c>
      <c r="F14" s="4">
        <v>105.5</v>
      </c>
      <c r="G14" s="4">
        <v>109.7</v>
      </c>
      <c r="H14" s="1" t="s">
        <v>188</v>
      </c>
      <c r="K14">
        <v>2013</v>
      </c>
      <c r="L14" t="s">
        <v>37</v>
      </c>
      <c r="M14" t="s">
        <v>54</v>
      </c>
      <c r="N14" t="s">
        <v>19</v>
      </c>
      <c r="O14" t="s">
        <v>189</v>
      </c>
      <c r="P14" s="1" t="s">
        <v>30</v>
      </c>
      <c r="Q14">
        <v>108</v>
      </c>
    </row>
    <row r="15" spans="1:17" x14ac:dyDescent="0.3">
      <c r="A15">
        <v>2013</v>
      </c>
      <c r="B15" t="s">
        <v>37</v>
      </c>
      <c r="C15" t="s">
        <v>54</v>
      </c>
      <c r="D15" s="1" t="s">
        <v>10</v>
      </c>
      <c r="E15" s="4">
        <v>105.7</v>
      </c>
      <c r="F15" s="4">
        <v>105.3</v>
      </c>
      <c r="G15" s="4">
        <v>104.6</v>
      </c>
      <c r="H15" s="1" t="s">
        <v>188</v>
      </c>
      <c r="K15">
        <v>2013</v>
      </c>
      <c r="L15" t="s">
        <v>37</v>
      </c>
      <c r="M15" t="s">
        <v>54</v>
      </c>
      <c r="N15" t="s">
        <v>19</v>
      </c>
      <c r="O15" t="s">
        <v>189</v>
      </c>
      <c r="P15" s="1" t="s">
        <v>34</v>
      </c>
      <c r="Q15">
        <v>107.9</v>
      </c>
    </row>
    <row r="16" spans="1:17" x14ac:dyDescent="0.3">
      <c r="A16">
        <v>2013</v>
      </c>
      <c r="B16" t="s">
        <v>37</v>
      </c>
      <c r="C16" t="s">
        <v>54</v>
      </c>
      <c r="D16" s="1" t="s">
        <v>21</v>
      </c>
      <c r="E16" s="4">
        <v>106.5</v>
      </c>
      <c r="F16" s="4">
        <v>106.5</v>
      </c>
      <c r="G16" s="4">
        <v>106.4</v>
      </c>
      <c r="H16" s="1" t="s">
        <v>190</v>
      </c>
      <c r="K16">
        <v>2013</v>
      </c>
      <c r="L16" t="s">
        <v>37</v>
      </c>
      <c r="M16" t="s">
        <v>54</v>
      </c>
      <c r="N16" t="s">
        <v>19</v>
      </c>
      <c r="O16" t="s">
        <v>189</v>
      </c>
      <c r="P16" s="1" t="s">
        <v>33</v>
      </c>
      <c r="Q16">
        <v>107.7</v>
      </c>
    </row>
    <row r="17" spans="1:17" x14ac:dyDescent="0.3">
      <c r="A17">
        <v>2013</v>
      </c>
      <c r="B17" t="s">
        <v>37</v>
      </c>
      <c r="C17" t="s">
        <v>54</v>
      </c>
      <c r="D17" s="1" t="s">
        <v>11</v>
      </c>
      <c r="E17" s="4">
        <v>104.2</v>
      </c>
      <c r="F17" s="4">
        <v>103.5</v>
      </c>
      <c r="G17" s="4">
        <v>102</v>
      </c>
      <c r="H17" s="1" t="s">
        <v>188</v>
      </c>
      <c r="K17">
        <v>2013</v>
      </c>
      <c r="L17" t="s">
        <v>37</v>
      </c>
      <c r="M17" t="s">
        <v>54</v>
      </c>
      <c r="N17" t="s">
        <v>5</v>
      </c>
      <c r="O17" t="s">
        <v>188</v>
      </c>
      <c r="P17" s="1" t="s">
        <v>30</v>
      </c>
      <c r="Q17">
        <v>106.9</v>
      </c>
    </row>
    <row r="18" spans="1:17" x14ac:dyDescent="0.3">
      <c r="A18">
        <v>2013</v>
      </c>
      <c r="B18" t="s">
        <v>37</v>
      </c>
      <c r="C18" t="s">
        <v>54</v>
      </c>
      <c r="D18" s="1" t="s">
        <v>29</v>
      </c>
      <c r="E18" s="4">
        <v>106.4</v>
      </c>
      <c r="F18" s="4">
        <v>106.1</v>
      </c>
      <c r="G18" s="4">
        <v>105.7</v>
      </c>
      <c r="H18" s="1" t="s">
        <v>206</v>
      </c>
      <c r="K18">
        <v>2013</v>
      </c>
      <c r="L18" t="s">
        <v>37</v>
      </c>
      <c r="M18" t="s">
        <v>54</v>
      </c>
      <c r="N18" t="s">
        <v>5</v>
      </c>
      <c r="O18" t="s">
        <v>188</v>
      </c>
      <c r="P18" s="1" t="s">
        <v>34</v>
      </c>
      <c r="Q18">
        <v>106.6</v>
      </c>
    </row>
    <row r="19" spans="1:17" x14ac:dyDescent="0.3">
      <c r="A19">
        <v>2013</v>
      </c>
      <c r="B19" t="s">
        <v>37</v>
      </c>
      <c r="C19" t="s">
        <v>54</v>
      </c>
      <c r="D19" s="1" t="s">
        <v>12</v>
      </c>
      <c r="E19" s="4">
        <v>103.2</v>
      </c>
      <c r="F19" s="4">
        <v>103.3</v>
      </c>
      <c r="G19" s="4">
        <v>103.5</v>
      </c>
      <c r="H19" s="1" t="s">
        <v>188</v>
      </c>
      <c r="K19">
        <v>2013</v>
      </c>
      <c r="L19" t="s">
        <v>37</v>
      </c>
      <c r="M19" t="s">
        <v>54</v>
      </c>
      <c r="N19" t="s">
        <v>5</v>
      </c>
      <c r="O19" t="s">
        <v>188</v>
      </c>
      <c r="P19" s="1" t="s">
        <v>33</v>
      </c>
      <c r="Q19">
        <v>106</v>
      </c>
    </row>
    <row r="20" spans="1:17" x14ac:dyDescent="0.3">
      <c r="A20">
        <v>2013</v>
      </c>
      <c r="B20" t="s">
        <v>37</v>
      </c>
      <c r="C20" t="s">
        <v>54</v>
      </c>
      <c r="D20" s="1" t="s">
        <v>23</v>
      </c>
      <c r="E20" s="4">
        <v>105.1</v>
      </c>
      <c r="F20" s="4">
        <v>105.3</v>
      </c>
      <c r="G20" s="4">
        <v>105.7</v>
      </c>
      <c r="H20" s="1" t="s">
        <v>23</v>
      </c>
      <c r="K20">
        <v>2013</v>
      </c>
      <c r="L20" t="s">
        <v>37</v>
      </c>
      <c r="M20" t="s">
        <v>54</v>
      </c>
      <c r="N20" t="s">
        <v>26</v>
      </c>
      <c r="O20" t="s">
        <v>26</v>
      </c>
      <c r="P20" s="1" t="s">
        <v>30</v>
      </c>
      <c r="Q20">
        <v>104.8</v>
      </c>
    </row>
    <row r="21" spans="1:17" x14ac:dyDescent="0.3">
      <c r="A21">
        <v>2013</v>
      </c>
      <c r="B21" t="s">
        <v>37</v>
      </c>
      <c r="C21" t="s">
        <v>54</v>
      </c>
      <c r="D21" s="1" t="s">
        <v>13</v>
      </c>
      <c r="E21" s="4">
        <v>106.5</v>
      </c>
      <c r="F21" s="4">
        <v>107.2</v>
      </c>
      <c r="G21" s="4">
        <v>108.2</v>
      </c>
      <c r="H21" s="1" t="s">
        <v>188</v>
      </c>
      <c r="K21">
        <v>2013</v>
      </c>
      <c r="L21" t="s">
        <v>37</v>
      </c>
      <c r="M21" t="s">
        <v>54</v>
      </c>
      <c r="N21" t="s">
        <v>26</v>
      </c>
      <c r="O21" t="s">
        <v>26</v>
      </c>
      <c r="P21" s="1" t="s">
        <v>34</v>
      </c>
      <c r="Q21">
        <v>105</v>
      </c>
    </row>
    <row r="22" spans="1:17" x14ac:dyDescent="0.3">
      <c r="A22">
        <v>2013</v>
      </c>
      <c r="B22" t="s">
        <v>37</v>
      </c>
      <c r="C22" t="s">
        <v>54</v>
      </c>
      <c r="D22" s="1" t="s">
        <v>22</v>
      </c>
      <c r="E22" s="4">
        <v>106.1</v>
      </c>
      <c r="F22" s="4">
        <v>106.3</v>
      </c>
      <c r="G22" s="4">
        <v>106.5</v>
      </c>
      <c r="H22" s="1" t="s">
        <v>20</v>
      </c>
      <c r="K22">
        <v>2013</v>
      </c>
      <c r="L22" t="s">
        <v>37</v>
      </c>
      <c r="M22" t="s">
        <v>54</v>
      </c>
      <c r="N22" t="s">
        <v>26</v>
      </c>
      <c r="O22" t="s">
        <v>26</v>
      </c>
      <c r="P22" s="1" t="s">
        <v>33</v>
      </c>
      <c r="Q22">
        <v>105.2</v>
      </c>
    </row>
    <row r="23" spans="1:17" x14ac:dyDescent="0.3">
      <c r="A23">
        <v>2013</v>
      </c>
      <c r="B23" t="s">
        <v>37</v>
      </c>
      <c r="C23" t="s">
        <v>54</v>
      </c>
      <c r="D23" s="1" t="s">
        <v>14</v>
      </c>
      <c r="E23" s="4">
        <v>108.8</v>
      </c>
      <c r="F23" s="4">
        <v>109.6</v>
      </c>
      <c r="G23" s="4">
        <v>110.6</v>
      </c>
      <c r="H23" s="1" t="s">
        <v>188</v>
      </c>
      <c r="K23">
        <v>2013</v>
      </c>
      <c r="L23" t="s">
        <v>37</v>
      </c>
      <c r="M23" t="s">
        <v>54</v>
      </c>
      <c r="N23" t="s">
        <v>6</v>
      </c>
      <c r="O23" t="s">
        <v>188</v>
      </c>
      <c r="P23" s="1" t="s">
        <v>30</v>
      </c>
      <c r="Q23">
        <v>106.3</v>
      </c>
    </row>
    <row r="24" spans="1:17" x14ac:dyDescent="0.3">
      <c r="A24">
        <v>2013</v>
      </c>
      <c r="B24" t="s">
        <v>37</v>
      </c>
      <c r="C24" t="s">
        <v>54</v>
      </c>
      <c r="D24" s="1" t="s">
        <v>20</v>
      </c>
      <c r="E24" s="4">
        <v>0</v>
      </c>
      <c r="F24" s="4">
        <v>100.5</v>
      </c>
      <c r="G24" s="4">
        <v>100.5</v>
      </c>
      <c r="H24" s="1" t="s">
        <v>20</v>
      </c>
      <c r="K24">
        <v>2013</v>
      </c>
      <c r="L24" t="s">
        <v>37</v>
      </c>
      <c r="M24" t="s">
        <v>54</v>
      </c>
      <c r="N24" t="s">
        <v>6</v>
      </c>
      <c r="O24" t="s">
        <v>188</v>
      </c>
      <c r="P24" s="1" t="s">
        <v>34</v>
      </c>
      <c r="Q24">
        <v>105.7</v>
      </c>
    </row>
    <row r="25" spans="1:17" x14ac:dyDescent="0.3">
      <c r="A25">
        <v>2013</v>
      </c>
      <c r="B25" t="s">
        <v>37</v>
      </c>
      <c r="C25" t="s">
        <v>54</v>
      </c>
      <c r="D25" s="1" t="s">
        <v>16</v>
      </c>
      <c r="E25" s="4">
        <v>107.1</v>
      </c>
      <c r="F25" s="4">
        <v>107.5</v>
      </c>
      <c r="G25" s="4">
        <v>108.5</v>
      </c>
      <c r="H25" s="1" t="s">
        <v>192</v>
      </c>
      <c r="K25">
        <v>2013</v>
      </c>
      <c r="L25" t="s">
        <v>37</v>
      </c>
      <c r="M25" t="s">
        <v>54</v>
      </c>
      <c r="N25" t="s">
        <v>6</v>
      </c>
      <c r="O25" t="s">
        <v>188</v>
      </c>
      <c r="P25" s="1" t="s">
        <v>33</v>
      </c>
      <c r="Q25">
        <v>104.7</v>
      </c>
    </row>
    <row r="26" spans="1:17" x14ac:dyDescent="0.3">
      <c r="A26">
        <v>2013</v>
      </c>
      <c r="B26" t="s">
        <v>37</v>
      </c>
      <c r="C26" t="s">
        <v>54</v>
      </c>
      <c r="D26" s="1" t="s">
        <v>28</v>
      </c>
      <c r="E26" s="4">
        <v>104.6</v>
      </c>
      <c r="F26" s="4">
        <v>104.8</v>
      </c>
      <c r="G26" s="4">
        <v>105.1</v>
      </c>
      <c r="H26" s="1" t="s">
        <v>192</v>
      </c>
      <c r="K26">
        <v>2013</v>
      </c>
      <c r="L26" t="s">
        <v>37</v>
      </c>
      <c r="M26" t="s">
        <v>54</v>
      </c>
      <c r="N26" t="s">
        <v>7</v>
      </c>
      <c r="O26" t="s">
        <v>188</v>
      </c>
      <c r="P26" s="1" t="s">
        <v>30</v>
      </c>
      <c r="Q26">
        <v>105.7</v>
      </c>
    </row>
    <row r="27" spans="1:17" x14ac:dyDescent="0.3">
      <c r="A27">
        <v>2013</v>
      </c>
      <c r="B27" t="s">
        <v>37</v>
      </c>
      <c r="C27" t="s">
        <v>54</v>
      </c>
      <c r="D27" s="1" t="s">
        <v>27</v>
      </c>
      <c r="E27" s="4">
        <v>102.7</v>
      </c>
      <c r="F27" s="4">
        <v>102.9</v>
      </c>
      <c r="G27" s="4">
        <v>103.2</v>
      </c>
      <c r="H27" s="1" t="s">
        <v>192</v>
      </c>
      <c r="K27">
        <v>2013</v>
      </c>
      <c r="L27" t="s">
        <v>37</v>
      </c>
      <c r="M27" t="s">
        <v>54</v>
      </c>
      <c r="N27" t="s">
        <v>7</v>
      </c>
      <c r="O27" t="s">
        <v>188</v>
      </c>
      <c r="P27" s="1" t="s">
        <v>34</v>
      </c>
      <c r="Q27">
        <v>104.4</v>
      </c>
    </row>
    <row r="28" spans="1:17" x14ac:dyDescent="0.3">
      <c r="A28">
        <v>2013</v>
      </c>
      <c r="B28" t="s">
        <v>37</v>
      </c>
      <c r="C28" t="s">
        <v>54</v>
      </c>
      <c r="D28" s="1" t="s">
        <v>24</v>
      </c>
      <c r="E28" s="4">
        <v>104.4</v>
      </c>
      <c r="F28" s="4">
        <v>104.7</v>
      </c>
      <c r="G28" s="4">
        <v>105</v>
      </c>
      <c r="H28" s="1" t="s">
        <v>191</v>
      </c>
      <c r="K28">
        <v>2013</v>
      </c>
      <c r="L28" t="s">
        <v>37</v>
      </c>
      <c r="M28" t="s">
        <v>54</v>
      </c>
      <c r="N28" t="s">
        <v>7</v>
      </c>
      <c r="O28" t="s">
        <v>188</v>
      </c>
      <c r="P28" s="1" t="s">
        <v>33</v>
      </c>
      <c r="Q28">
        <v>102.1</v>
      </c>
    </row>
    <row r="29" spans="1:17" x14ac:dyDescent="0.3">
      <c r="A29">
        <v>2013</v>
      </c>
      <c r="B29" t="s">
        <v>37</v>
      </c>
      <c r="C29" t="s">
        <v>54</v>
      </c>
      <c r="D29" s="1" t="s">
        <v>25</v>
      </c>
      <c r="E29" s="4">
        <v>104.5</v>
      </c>
      <c r="F29" s="4">
        <v>104.2</v>
      </c>
      <c r="G29" s="4">
        <v>104</v>
      </c>
      <c r="H29" s="1" t="s">
        <v>195</v>
      </c>
      <c r="K29">
        <v>2013</v>
      </c>
      <c r="L29" t="s">
        <v>37</v>
      </c>
      <c r="M29" t="s">
        <v>54</v>
      </c>
      <c r="N29" t="s">
        <v>15</v>
      </c>
      <c r="O29" t="s">
        <v>188</v>
      </c>
      <c r="P29" s="1" t="s">
        <v>30</v>
      </c>
      <c r="Q29">
        <v>107.1</v>
      </c>
    </row>
    <row r="30" spans="1:17" x14ac:dyDescent="0.3">
      <c r="A30">
        <v>2013</v>
      </c>
      <c r="B30" t="s">
        <v>41</v>
      </c>
      <c r="C30" t="s">
        <v>55</v>
      </c>
      <c r="D30" s="1" t="s">
        <v>17</v>
      </c>
      <c r="E30" s="4">
        <v>111.3</v>
      </c>
      <c r="F30" s="4">
        <v>111</v>
      </c>
      <c r="G30" s="4">
        <v>110.6</v>
      </c>
      <c r="H30" s="1" t="s">
        <v>189</v>
      </c>
      <c r="K30">
        <v>2013</v>
      </c>
      <c r="L30" t="s">
        <v>37</v>
      </c>
      <c r="M30" t="s">
        <v>54</v>
      </c>
      <c r="N30" t="s">
        <v>15</v>
      </c>
      <c r="O30" t="s">
        <v>188</v>
      </c>
      <c r="P30" s="1" t="s">
        <v>34</v>
      </c>
      <c r="Q30">
        <v>107.7</v>
      </c>
    </row>
    <row r="31" spans="1:17" x14ac:dyDescent="0.3">
      <c r="A31">
        <v>2013</v>
      </c>
      <c r="B31" t="s">
        <v>41</v>
      </c>
      <c r="C31" t="s">
        <v>55</v>
      </c>
      <c r="D31" s="1" t="s">
        <v>19</v>
      </c>
      <c r="E31" s="4">
        <v>111.1</v>
      </c>
      <c r="F31" s="4">
        <v>110.7</v>
      </c>
      <c r="G31" s="4">
        <v>110.2</v>
      </c>
      <c r="H31" s="1" t="s">
        <v>189</v>
      </c>
      <c r="K31">
        <v>2013</v>
      </c>
      <c r="L31" t="s">
        <v>37</v>
      </c>
      <c r="M31" t="s">
        <v>54</v>
      </c>
      <c r="N31" t="s">
        <v>15</v>
      </c>
      <c r="O31" t="s">
        <v>188</v>
      </c>
      <c r="P31" s="1" t="s">
        <v>33</v>
      </c>
      <c r="Q31">
        <v>108.8</v>
      </c>
    </row>
    <row r="32" spans="1:17" x14ac:dyDescent="0.3">
      <c r="A32">
        <v>2013</v>
      </c>
      <c r="B32" t="s">
        <v>41</v>
      </c>
      <c r="C32" t="s">
        <v>55</v>
      </c>
      <c r="D32" s="1" t="s">
        <v>26</v>
      </c>
      <c r="E32" s="4">
        <v>108.7</v>
      </c>
      <c r="F32" s="4">
        <v>109.9</v>
      </c>
      <c r="G32" s="4">
        <v>110.8</v>
      </c>
      <c r="H32" s="1" t="s">
        <v>26</v>
      </c>
      <c r="K32">
        <v>2013</v>
      </c>
      <c r="L32" t="s">
        <v>37</v>
      </c>
      <c r="M32" t="s">
        <v>54</v>
      </c>
      <c r="N32" t="s">
        <v>8</v>
      </c>
      <c r="O32" t="s">
        <v>188</v>
      </c>
      <c r="P32" s="1" t="s">
        <v>30</v>
      </c>
      <c r="Q32">
        <v>108.3</v>
      </c>
    </row>
    <row r="33" spans="1:17" x14ac:dyDescent="0.3">
      <c r="A33">
        <v>2013</v>
      </c>
      <c r="B33" t="s">
        <v>41</v>
      </c>
      <c r="C33" t="s">
        <v>55</v>
      </c>
      <c r="D33" s="1" t="s">
        <v>5</v>
      </c>
      <c r="E33" s="4">
        <v>111.1</v>
      </c>
      <c r="F33" s="4">
        <v>111.7</v>
      </c>
      <c r="G33" s="4">
        <v>112.7</v>
      </c>
      <c r="H33" s="1" t="s">
        <v>188</v>
      </c>
      <c r="K33">
        <v>2013</v>
      </c>
      <c r="L33" t="s">
        <v>37</v>
      </c>
      <c r="M33" t="s">
        <v>54</v>
      </c>
      <c r="N33" t="s">
        <v>8</v>
      </c>
      <c r="O33" t="s">
        <v>188</v>
      </c>
      <c r="P33" s="1" t="s">
        <v>34</v>
      </c>
      <c r="Q33">
        <v>108.9</v>
      </c>
    </row>
    <row r="34" spans="1:17" x14ac:dyDescent="0.3">
      <c r="A34">
        <v>2013</v>
      </c>
      <c r="B34" t="s">
        <v>41</v>
      </c>
      <c r="C34" t="s">
        <v>55</v>
      </c>
      <c r="D34" s="1" t="s">
        <v>15</v>
      </c>
      <c r="E34" s="4">
        <v>114.9</v>
      </c>
      <c r="F34" s="4">
        <v>116.6</v>
      </c>
      <c r="G34" s="4">
        <v>119.6</v>
      </c>
      <c r="H34" s="1" t="s">
        <v>188</v>
      </c>
      <c r="K34">
        <v>2013</v>
      </c>
      <c r="L34" t="s">
        <v>37</v>
      </c>
      <c r="M34" t="s">
        <v>54</v>
      </c>
      <c r="N34" t="s">
        <v>8</v>
      </c>
      <c r="O34" t="s">
        <v>188</v>
      </c>
      <c r="P34" s="1" t="s">
        <v>33</v>
      </c>
      <c r="Q34">
        <v>109.5</v>
      </c>
    </row>
    <row r="35" spans="1:17" x14ac:dyDescent="0.3">
      <c r="A35">
        <v>2013</v>
      </c>
      <c r="B35" t="s">
        <v>41</v>
      </c>
      <c r="C35" t="s">
        <v>55</v>
      </c>
      <c r="D35" s="1" t="s">
        <v>18</v>
      </c>
      <c r="E35" s="4">
        <v>110.2</v>
      </c>
      <c r="F35" s="4">
        <v>109.4</v>
      </c>
      <c r="G35" s="4">
        <v>108.3</v>
      </c>
      <c r="H35" s="1" t="s">
        <v>189</v>
      </c>
      <c r="K35">
        <v>2013</v>
      </c>
      <c r="L35" t="s">
        <v>37</v>
      </c>
      <c r="M35" t="s">
        <v>54</v>
      </c>
      <c r="N35" t="s">
        <v>18</v>
      </c>
      <c r="O35" t="s">
        <v>189</v>
      </c>
      <c r="P35" s="1" t="s">
        <v>30</v>
      </c>
      <c r="Q35">
        <v>107.4</v>
      </c>
    </row>
    <row r="36" spans="1:17" x14ac:dyDescent="0.3">
      <c r="A36">
        <v>2013</v>
      </c>
      <c r="B36" t="s">
        <v>41</v>
      </c>
      <c r="C36" t="s">
        <v>55</v>
      </c>
      <c r="D36" s="1" t="s">
        <v>8</v>
      </c>
      <c r="E36" s="4">
        <v>110.8</v>
      </c>
      <c r="F36" s="4">
        <v>109.8</v>
      </c>
      <c r="G36" s="4">
        <v>108.7</v>
      </c>
      <c r="H36" s="1" t="s">
        <v>188</v>
      </c>
      <c r="K36">
        <v>2013</v>
      </c>
      <c r="L36" t="s">
        <v>37</v>
      </c>
      <c r="M36" t="s">
        <v>54</v>
      </c>
      <c r="N36" t="s">
        <v>18</v>
      </c>
      <c r="O36" t="s">
        <v>189</v>
      </c>
      <c r="P36" s="1" t="s">
        <v>34</v>
      </c>
      <c r="Q36">
        <v>107</v>
      </c>
    </row>
    <row r="37" spans="1:17" x14ac:dyDescent="0.3">
      <c r="A37">
        <v>2013</v>
      </c>
      <c r="B37" t="s">
        <v>41</v>
      </c>
      <c r="C37" t="s">
        <v>55</v>
      </c>
      <c r="D37" s="1" t="s">
        <v>21</v>
      </c>
      <c r="E37" s="4">
        <v>109.9</v>
      </c>
      <c r="F37" s="4">
        <v>109.7</v>
      </c>
      <c r="G37" s="4">
        <v>109.3</v>
      </c>
      <c r="H37" s="1" t="s">
        <v>190</v>
      </c>
      <c r="K37">
        <v>2013</v>
      </c>
      <c r="L37" t="s">
        <v>37</v>
      </c>
      <c r="M37" t="s">
        <v>54</v>
      </c>
      <c r="N37" t="s">
        <v>18</v>
      </c>
      <c r="O37" t="s">
        <v>189</v>
      </c>
      <c r="P37" s="1" t="s">
        <v>33</v>
      </c>
      <c r="Q37">
        <v>106.4</v>
      </c>
    </row>
    <row r="38" spans="1:17" x14ac:dyDescent="0.3">
      <c r="A38">
        <v>2013</v>
      </c>
      <c r="B38" t="s">
        <v>41</v>
      </c>
      <c r="C38" t="s">
        <v>55</v>
      </c>
      <c r="D38" s="1" t="s">
        <v>29</v>
      </c>
      <c r="E38" s="4">
        <v>112.1</v>
      </c>
      <c r="F38" s="4">
        <v>112.4</v>
      </c>
      <c r="G38" s="4">
        <v>112.7</v>
      </c>
      <c r="H38" s="1" t="s">
        <v>206</v>
      </c>
      <c r="K38">
        <v>2013</v>
      </c>
      <c r="L38" t="s">
        <v>37</v>
      </c>
      <c r="M38" t="s">
        <v>54</v>
      </c>
      <c r="N38" t="s">
        <v>9</v>
      </c>
      <c r="O38" t="s">
        <v>188</v>
      </c>
      <c r="P38" s="1" t="s">
        <v>30</v>
      </c>
      <c r="Q38">
        <v>103.4</v>
      </c>
    </row>
    <row r="39" spans="1:17" x14ac:dyDescent="0.3">
      <c r="A39">
        <v>2013</v>
      </c>
      <c r="B39" t="s">
        <v>41</v>
      </c>
      <c r="C39" t="s">
        <v>55</v>
      </c>
      <c r="D39" s="1" t="s">
        <v>23</v>
      </c>
      <c r="E39" s="4">
        <v>107.5</v>
      </c>
      <c r="F39" s="4">
        <v>107.5</v>
      </c>
      <c r="G39" s="4">
        <v>107.6</v>
      </c>
      <c r="H39" s="1" t="s">
        <v>23</v>
      </c>
      <c r="K39">
        <v>2013</v>
      </c>
      <c r="L39" t="s">
        <v>37</v>
      </c>
      <c r="M39" t="s">
        <v>54</v>
      </c>
      <c r="N39" t="s">
        <v>9</v>
      </c>
      <c r="O39" t="s">
        <v>188</v>
      </c>
      <c r="P39" s="1" t="s">
        <v>34</v>
      </c>
      <c r="Q39">
        <v>105.5</v>
      </c>
    </row>
    <row r="40" spans="1:17" x14ac:dyDescent="0.3">
      <c r="A40">
        <v>2013</v>
      </c>
      <c r="B40" t="s">
        <v>41</v>
      </c>
      <c r="C40" t="s">
        <v>55</v>
      </c>
      <c r="D40" s="1" t="s">
        <v>22</v>
      </c>
      <c r="E40" s="4">
        <v>108.7</v>
      </c>
      <c r="F40" s="4">
        <v>108.7</v>
      </c>
      <c r="G40" s="4">
        <v>108.7</v>
      </c>
      <c r="H40" s="1" t="s">
        <v>20</v>
      </c>
      <c r="K40">
        <v>2013</v>
      </c>
      <c r="L40" t="s">
        <v>37</v>
      </c>
      <c r="M40" t="s">
        <v>54</v>
      </c>
      <c r="N40" t="s">
        <v>9</v>
      </c>
      <c r="O40" t="s">
        <v>188</v>
      </c>
      <c r="P40" s="1" t="s">
        <v>33</v>
      </c>
      <c r="Q40">
        <v>109.7</v>
      </c>
    </row>
    <row r="41" spans="1:17" x14ac:dyDescent="0.3">
      <c r="A41">
        <v>2013</v>
      </c>
      <c r="B41" t="s">
        <v>41</v>
      </c>
      <c r="C41" t="s">
        <v>55</v>
      </c>
      <c r="D41" s="1" t="s">
        <v>20</v>
      </c>
      <c r="E41" s="4">
        <v>0</v>
      </c>
      <c r="F41" s="4">
        <v>108.9</v>
      </c>
      <c r="G41" s="4">
        <v>108.9</v>
      </c>
      <c r="H41" s="1" t="s">
        <v>20</v>
      </c>
      <c r="K41">
        <v>2013</v>
      </c>
      <c r="L41" t="s">
        <v>37</v>
      </c>
      <c r="M41" t="s">
        <v>54</v>
      </c>
      <c r="N41" t="s">
        <v>10</v>
      </c>
      <c r="O41" t="s">
        <v>188</v>
      </c>
      <c r="P41" s="1" t="s">
        <v>30</v>
      </c>
      <c r="Q41">
        <v>105.7</v>
      </c>
    </row>
    <row r="42" spans="1:17" x14ac:dyDescent="0.3">
      <c r="A42">
        <v>2013</v>
      </c>
      <c r="B42" t="s">
        <v>41</v>
      </c>
      <c r="C42" t="s">
        <v>55</v>
      </c>
      <c r="D42" s="1" t="s">
        <v>4</v>
      </c>
      <c r="E42" s="4">
        <v>115.4</v>
      </c>
      <c r="F42" s="4">
        <v>117.2</v>
      </c>
      <c r="G42" s="4">
        <v>120.4</v>
      </c>
      <c r="H42" s="1" t="s">
        <v>188</v>
      </c>
      <c r="K42">
        <v>2013</v>
      </c>
      <c r="L42" t="s">
        <v>37</v>
      </c>
      <c r="M42" t="s">
        <v>54</v>
      </c>
      <c r="N42" t="s">
        <v>10</v>
      </c>
      <c r="O42" t="s">
        <v>188</v>
      </c>
      <c r="P42" s="1" t="s">
        <v>34</v>
      </c>
      <c r="Q42">
        <v>105.3</v>
      </c>
    </row>
    <row r="43" spans="1:17" x14ac:dyDescent="0.3">
      <c r="A43">
        <v>2013</v>
      </c>
      <c r="B43" t="s">
        <v>41</v>
      </c>
      <c r="C43" t="s">
        <v>55</v>
      </c>
      <c r="D43" s="1" t="s">
        <v>6</v>
      </c>
      <c r="E43" s="4">
        <v>110</v>
      </c>
      <c r="F43" s="4">
        <v>109.6</v>
      </c>
      <c r="G43" s="4">
        <v>108.9</v>
      </c>
      <c r="H43" s="1" t="s">
        <v>188</v>
      </c>
      <c r="K43">
        <v>2013</v>
      </c>
      <c r="L43" t="s">
        <v>37</v>
      </c>
      <c r="M43" t="s">
        <v>54</v>
      </c>
      <c r="N43" t="s">
        <v>10</v>
      </c>
      <c r="O43" t="s">
        <v>188</v>
      </c>
      <c r="P43" s="1" t="s">
        <v>33</v>
      </c>
      <c r="Q43">
        <v>104.6</v>
      </c>
    </row>
    <row r="44" spans="1:17" x14ac:dyDescent="0.3">
      <c r="A44">
        <v>2013</v>
      </c>
      <c r="B44" t="s">
        <v>41</v>
      </c>
      <c r="C44" t="s">
        <v>55</v>
      </c>
      <c r="D44" s="1" t="s">
        <v>28</v>
      </c>
      <c r="E44" s="4">
        <v>107.5</v>
      </c>
      <c r="F44" s="4">
        <v>107.9</v>
      </c>
      <c r="G44" s="4">
        <v>108.3</v>
      </c>
      <c r="H44" s="1" t="s">
        <v>192</v>
      </c>
      <c r="K44">
        <v>2013</v>
      </c>
      <c r="L44" t="s">
        <v>37</v>
      </c>
      <c r="M44" t="s">
        <v>54</v>
      </c>
      <c r="N44" t="s">
        <v>21</v>
      </c>
      <c r="O44" t="s">
        <v>190</v>
      </c>
      <c r="P44" s="1" t="s">
        <v>30</v>
      </c>
      <c r="Q44">
        <v>106.5</v>
      </c>
    </row>
    <row r="45" spans="1:17" x14ac:dyDescent="0.3">
      <c r="A45">
        <v>2013</v>
      </c>
      <c r="B45" t="s">
        <v>41</v>
      </c>
      <c r="C45" t="s">
        <v>55</v>
      </c>
      <c r="D45" s="1" t="s">
        <v>13</v>
      </c>
      <c r="E45" s="4">
        <v>109.7</v>
      </c>
      <c r="F45" s="4">
        <v>110.2</v>
      </c>
      <c r="G45" s="4">
        <v>110.9</v>
      </c>
      <c r="H45" s="1" t="s">
        <v>188</v>
      </c>
      <c r="K45">
        <v>2013</v>
      </c>
      <c r="L45" t="s">
        <v>37</v>
      </c>
      <c r="M45" t="s">
        <v>54</v>
      </c>
      <c r="N45" t="s">
        <v>21</v>
      </c>
      <c r="O45" t="s">
        <v>190</v>
      </c>
      <c r="P45" s="1" t="s">
        <v>34</v>
      </c>
      <c r="Q45">
        <v>106.5</v>
      </c>
    </row>
    <row r="46" spans="1:17" x14ac:dyDescent="0.3">
      <c r="A46">
        <v>2013</v>
      </c>
      <c r="B46" t="s">
        <v>41</v>
      </c>
      <c r="C46" t="s">
        <v>55</v>
      </c>
      <c r="D46" s="1" t="s">
        <v>7</v>
      </c>
      <c r="E46" s="4">
        <v>106.4</v>
      </c>
      <c r="F46" s="4">
        <v>104.5</v>
      </c>
      <c r="G46" s="4">
        <v>101.1</v>
      </c>
      <c r="H46" s="1" t="s">
        <v>188</v>
      </c>
      <c r="K46">
        <v>2013</v>
      </c>
      <c r="L46" t="s">
        <v>37</v>
      </c>
      <c r="M46" t="s">
        <v>54</v>
      </c>
      <c r="N46" t="s">
        <v>21</v>
      </c>
      <c r="O46" t="s">
        <v>190</v>
      </c>
      <c r="P46" s="1" t="s">
        <v>33</v>
      </c>
      <c r="Q46">
        <v>106.4</v>
      </c>
    </row>
    <row r="47" spans="1:17" x14ac:dyDescent="0.3">
      <c r="A47">
        <v>2013</v>
      </c>
      <c r="B47" t="s">
        <v>41</v>
      </c>
      <c r="C47" t="s">
        <v>55</v>
      </c>
      <c r="D47" s="1" t="s">
        <v>16</v>
      </c>
      <c r="E47" s="4">
        <v>110.7</v>
      </c>
      <c r="F47" s="4">
        <v>111.2</v>
      </c>
      <c r="G47" s="4">
        <v>112.4</v>
      </c>
      <c r="H47" s="1" t="s">
        <v>192</v>
      </c>
      <c r="K47">
        <v>2013</v>
      </c>
      <c r="L47" t="s">
        <v>37</v>
      </c>
      <c r="M47" t="s">
        <v>54</v>
      </c>
      <c r="N47" t="s">
        <v>11</v>
      </c>
      <c r="O47" t="s">
        <v>188</v>
      </c>
      <c r="P47" s="1" t="s">
        <v>30</v>
      </c>
      <c r="Q47">
        <v>104.2</v>
      </c>
    </row>
    <row r="48" spans="1:17" x14ac:dyDescent="0.3">
      <c r="A48">
        <v>2013</v>
      </c>
      <c r="B48" t="s">
        <v>41</v>
      </c>
      <c r="C48" t="s">
        <v>55</v>
      </c>
      <c r="D48" s="1" t="s">
        <v>27</v>
      </c>
      <c r="E48" s="4">
        <v>105</v>
      </c>
      <c r="F48" s="4">
        <v>105.4</v>
      </c>
      <c r="G48" s="4">
        <v>106</v>
      </c>
      <c r="H48" s="1" t="s">
        <v>192</v>
      </c>
      <c r="K48">
        <v>2013</v>
      </c>
      <c r="L48" t="s">
        <v>37</v>
      </c>
      <c r="M48" t="s">
        <v>54</v>
      </c>
      <c r="N48" t="s">
        <v>11</v>
      </c>
      <c r="O48" t="s">
        <v>188</v>
      </c>
      <c r="P48" s="1" t="s">
        <v>34</v>
      </c>
      <c r="Q48">
        <v>103.5</v>
      </c>
    </row>
    <row r="49" spans="1:17" x14ac:dyDescent="0.3">
      <c r="A49">
        <v>2013</v>
      </c>
      <c r="B49" t="s">
        <v>41</v>
      </c>
      <c r="C49" t="s">
        <v>55</v>
      </c>
      <c r="D49" s="1" t="s">
        <v>14</v>
      </c>
      <c r="E49" s="4">
        <v>112.6</v>
      </c>
      <c r="F49" s="4">
        <v>113.4</v>
      </c>
      <c r="G49" s="4">
        <v>114.3</v>
      </c>
      <c r="H49" s="1" t="s">
        <v>188</v>
      </c>
      <c r="K49">
        <v>2013</v>
      </c>
      <c r="L49" t="s">
        <v>37</v>
      </c>
      <c r="M49" t="s">
        <v>54</v>
      </c>
      <c r="N49" t="s">
        <v>11</v>
      </c>
      <c r="O49" t="s">
        <v>188</v>
      </c>
      <c r="P49" s="1" t="s">
        <v>33</v>
      </c>
      <c r="Q49">
        <v>102</v>
      </c>
    </row>
    <row r="50" spans="1:17" x14ac:dyDescent="0.3">
      <c r="A50">
        <v>2013</v>
      </c>
      <c r="B50" t="s">
        <v>41</v>
      </c>
      <c r="C50" t="s">
        <v>55</v>
      </c>
      <c r="D50" s="1" t="s">
        <v>10</v>
      </c>
      <c r="E50" s="4">
        <v>107.4</v>
      </c>
      <c r="F50" s="4">
        <v>106.5</v>
      </c>
      <c r="G50" s="4">
        <v>104.7</v>
      </c>
      <c r="H50" s="1" t="s">
        <v>188</v>
      </c>
      <c r="K50">
        <v>2013</v>
      </c>
      <c r="L50" t="s">
        <v>37</v>
      </c>
      <c r="M50" t="s">
        <v>54</v>
      </c>
      <c r="N50" t="s">
        <v>29</v>
      </c>
      <c r="O50" t="s">
        <v>206</v>
      </c>
      <c r="P50" s="1" t="s">
        <v>30</v>
      </c>
      <c r="Q50">
        <v>106.4</v>
      </c>
    </row>
    <row r="51" spans="1:17" x14ac:dyDescent="0.3">
      <c r="A51">
        <v>2013</v>
      </c>
      <c r="B51" t="s">
        <v>41</v>
      </c>
      <c r="C51" t="s">
        <v>55</v>
      </c>
      <c r="D51" s="1" t="s">
        <v>25</v>
      </c>
      <c r="E51" s="4">
        <v>106.8</v>
      </c>
      <c r="F51" s="4">
        <v>106.6</v>
      </c>
      <c r="G51" s="4">
        <v>106.5</v>
      </c>
      <c r="H51" s="1" t="s">
        <v>195</v>
      </c>
      <c r="K51">
        <v>2013</v>
      </c>
      <c r="L51" t="s">
        <v>37</v>
      </c>
      <c r="M51" t="s">
        <v>54</v>
      </c>
      <c r="N51" t="s">
        <v>29</v>
      </c>
      <c r="O51" t="s">
        <v>206</v>
      </c>
      <c r="P51" s="1" t="s">
        <v>34</v>
      </c>
      <c r="Q51">
        <v>106.1</v>
      </c>
    </row>
    <row r="52" spans="1:17" x14ac:dyDescent="0.3">
      <c r="A52">
        <v>2013</v>
      </c>
      <c r="B52" t="s">
        <v>41</v>
      </c>
      <c r="C52" t="s">
        <v>55</v>
      </c>
      <c r="D52" s="1" t="s">
        <v>12</v>
      </c>
      <c r="E52" s="4">
        <v>106.9</v>
      </c>
      <c r="F52" s="4">
        <v>107.4</v>
      </c>
      <c r="G52" s="4">
        <v>108.5</v>
      </c>
      <c r="H52" s="1" t="s">
        <v>188</v>
      </c>
      <c r="K52">
        <v>2013</v>
      </c>
      <c r="L52" t="s">
        <v>37</v>
      </c>
      <c r="M52" t="s">
        <v>54</v>
      </c>
      <c r="N52" t="s">
        <v>29</v>
      </c>
      <c r="O52" t="s">
        <v>206</v>
      </c>
      <c r="P52" s="1" t="s">
        <v>33</v>
      </c>
      <c r="Q52">
        <v>105.7</v>
      </c>
    </row>
    <row r="53" spans="1:17" x14ac:dyDescent="0.3">
      <c r="A53">
        <v>2013</v>
      </c>
      <c r="B53" t="s">
        <v>41</v>
      </c>
      <c r="C53" t="s">
        <v>55</v>
      </c>
      <c r="D53" s="1" t="s">
        <v>11</v>
      </c>
      <c r="E53" s="4">
        <v>104.1</v>
      </c>
      <c r="F53" s="4">
        <v>103.1</v>
      </c>
      <c r="G53" s="4">
        <v>101</v>
      </c>
      <c r="H53" s="1" t="s">
        <v>188</v>
      </c>
      <c r="K53">
        <v>2013</v>
      </c>
      <c r="L53" t="s">
        <v>37</v>
      </c>
      <c r="M53" t="s">
        <v>54</v>
      </c>
      <c r="N53" t="s">
        <v>12</v>
      </c>
      <c r="O53" t="s">
        <v>188</v>
      </c>
      <c r="P53" s="1" t="s">
        <v>30</v>
      </c>
      <c r="Q53">
        <v>103.2</v>
      </c>
    </row>
    <row r="54" spans="1:17" x14ac:dyDescent="0.3">
      <c r="A54">
        <v>2013</v>
      </c>
      <c r="B54" t="s">
        <v>41</v>
      </c>
      <c r="C54" t="s">
        <v>55</v>
      </c>
      <c r="D54" s="1" t="s">
        <v>24</v>
      </c>
      <c r="E54" s="4">
        <v>107.8</v>
      </c>
      <c r="F54" s="4">
        <v>108</v>
      </c>
      <c r="G54" s="4">
        <v>108.1</v>
      </c>
      <c r="H54" s="1" t="s">
        <v>191</v>
      </c>
      <c r="K54">
        <v>2013</v>
      </c>
      <c r="L54" t="s">
        <v>37</v>
      </c>
      <c r="M54" t="s">
        <v>54</v>
      </c>
      <c r="N54" t="s">
        <v>12</v>
      </c>
      <c r="O54" t="s">
        <v>188</v>
      </c>
      <c r="P54" s="1" t="s">
        <v>34</v>
      </c>
      <c r="Q54">
        <v>103.3</v>
      </c>
    </row>
    <row r="55" spans="1:17" x14ac:dyDescent="0.3">
      <c r="A55">
        <v>2013</v>
      </c>
      <c r="B55" t="s">
        <v>41</v>
      </c>
      <c r="C55" t="s">
        <v>55</v>
      </c>
      <c r="D55" s="1" t="s">
        <v>9</v>
      </c>
      <c r="E55" s="4">
        <v>138.9</v>
      </c>
      <c r="F55" s="4">
        <v>151.80000000000001</v>
      </c>
      <c r="G55" s="4">
        <v>177</v>
      </c>
      <c r="H55" s="1" t="s">
        <v>188</v>
      </c>
      <c r="K55">
        <v>2013</v>
      </c>
      <c r="L55" t="s">
        <v>37</v>
      </c>
      <c r="M55" t="s">
        <v>54</v>
      </c>
      <c r="N55" t="s">
        <v>12</v>
      </c>
      <c r="O55" t="s">
        <v>188</v>
      </c>
      <c r="P55" s="1" t="s">
        <v>33</v>
      </c>
      <c r="Q55">
        <v>103.5</v>
      </c>
    </row>
    <row r="56" spans="1:17" x14ac:dyDescent="0.3">
      <c r="A56">
        <v>2013</v>
      </c>
      <c r="B56" t="s">
        <v>45</v>
      </c>
      <c r="C56" t="s">
        <v>56</v>
      </c>
      <c r="D56" s="1" t="s">
        <v>3</v>
      </c>
      <c r="E56" s="4">
        <v>118.4</v>
      </c>
      <c r="F56" s="4">
        <v>119.1</v>
      </c>
      <c r="G56" s="4">
        <v>120.5</v>
      </c>
      <c r="H56" s="1" t="s">
        <v>188</v>
      </c>
      <c r="K56">
        <v>2013</v>
      </c>
      <c r="L56" t="s">
        <v>37</v>
      </c>
      <c r="M56" t="s">
        <v>54</v>
      </c>
      <c r="N56" t="s">
        <v>23</v>
      </c>
      <c r="O56" t="s">
        <v>23</v>
      </c>
      <c r="P56" s="1" t="s">
        <v>30</v>
      </c>
      <c r="Q56">
        <v>105.1</v>
      </c>
    </row>
    <row r="57" spans="1:17" x14ac:dyDescent="0.3">
      <c r="A57">
        <v>2013</v>
      </c>
      <c r="B57" t="s">
        <v>45</v>
      </c>
      <c r="C57" t="s">
        <v>56</v>
      </c>
      <c r="D57" s="1" t="s">
        <v>17</v>
      </c>
      <c r="E57" s="4">
        <v>115.8</v>
      </c>
      <c r="F57" s="4">
        <v>115.2</v>
      </c>
      <c r="G57" s="4">
        <v>114.2</v>
      </c>
      <c r="H57" s="1" t="s">
        <v>189</v>
      </c>
      <c r="K57">
        <v>2013</v>
      </c>
      <c r="L57" t="s">
        <v>37</v>
      </c>
      <c r="M57" t="s">
        <v>54</v>
      </c>
      <c r="N57" t="s">
        <v>23</v>
      </c>
      <c r="O57" t="s">
        <v>23</v>
      </c>
      <c r="P57" s="1" t="s">
        <v>34</v>
      </c>
      <c r="Q57">
        <v>105.3</v>
      </c>
    </row>
    <row r="58" spans="1:17" x14ac:dyDescent="0.3">
      <c r="A58">
        <v>2013</v>
      </c>
      <c r="B58" t="s">
        <v>45</v>
      </c>
      <c r="C58" t="s">
        <v>56</v>
      </c>
      <c r="D58" s="1" t="s">
        <v>19</v>
      </c>
      <c r="E58" s="4">
        <v>115.5</v>
      </c>
      <c r="F58" s="4">
        <v>114.8</v>
      </c>
      <c r="G58" s="4">
        <v>113.7</v>
      </c>
      <c r="H58" s="1" t="s">
        <v>189</v>
      </c>
      <c r="K58">
        <v>2013</v>
      </c>
      <c r="L58" t="s">
        <v>37</v>
      </c>
      <c r="M58" t="s">
        <v>54</v>
      </c>
      <c r="N58" t="s">
        <v>23</v>
      </c>
      <c r="O58" t="s">
        <v>23</v>
      </c>
      <c r="P58" s="1" t="s">
        <v>33</v>
      </c>
      <c r="Q58">
        <v>105.7</v>
      </c>
    </row>
    <row r="59" spans="1:17" x14ac:dyDescent="0.3">
      <c r="A59">
        <v>2013</v>
      </c>
      <c r="B59" t="s">
        <v>45</v>
      </c>
      <c r="C59" t="s">
        <v>56</v>
      </c>
      <c r="D59" s="1" t="s">
        <v>26</v>
      </c>
      <c r="E59" s="4">
        <v>111.6</v>
      </c>
      <c r="F59" s="4">
        <v>111.5</v>
      </c>
      <c r="G59" s="4">
        <v>111.4</v>
      </c>
      <c r="H59" s="1" t="s">
        <v>26</v>
      </c>
      <c r="K59">
        <v>2013</v>
      </c>
      <c r="L59" t="s">
        <v>37</v>
      </c>
      <c r="M59" t="s">
        <v>54</v>
      </c>
      <c r="N59" t="s">
        <v>13</v>
      </c>
      <c r="O59" t="s">
        <v>188</v>
      </c>
      <c r="P59" s="1" t="s">
        <v>30</v>
      </c>
      <c r="Q59">
        <v>106.5</v>
      </c>
    </row>
    <row r="60" spans="1:17" x14ac:dyDescent="0.3">
      <c r="A60">
        <v>2013</v>
      </c>
      <c r="B60" t="s">
        <v>45</v>
      </c>
      <c r="C60" t="s">
        <v>56</v>
      </c>
      <c r="D60" s="1" t="s">
        <v>5</v>
      </c>
      <c r="E60" s="4">
        <v>120.4</v>
      </c>
      <c r="F60" s="4">
        <v>123.5</v>
      </c>
      <c r="G60" s="4">
        <v>128.5</v>
      </c>
      <c r="H60" s="1" t="s">
        <v>188</v>
      </c>
      <c r="K60">
        <v>2013</v>
      </c>
      <c r="L60" t="s">
        <v>37</v>
      </c>
      <c r="M60" t="s">
        <v>54</v>
      </c>
      <c r="N60" t="s">
        <v>13</v>
      </c>
      <c r="O60" t="s">
        <v>188</v>
      </c>
      <c r="P60" s="1" t="s">
        <v>34</v>
      </c>
      <c r="Q60">
        <v>107.2</v>
      </c>
    </row>
    <row r="61" spans="1:17" x14ac:dyDescent="0.3">
      <c r="A61">
        <v>2013</v>
      </c>
      <c r="B61" t="s">
        <v>45</v>
      </c>
      <c r="C61" t="s">
        <v>56</v>
      </c>
      <c r="D61" s="1" t="s">
        <v>15</v>
      </c>
      <c r="E61" s="4">
        <v>118.7</v>
      </c>
      <c r="F61" s="4">
        <v>118.4</v>
      </c>
      <c r="G61" s="4">
        <v>117.8</v>
      </c>
      <c r="H61" s="1" t="s">
        <v>188</v>
      </c>
      <c r="K61">
        <v>2013</v>
      </c>
      <c r="L61" t="s">
        <v>37</v>
      </c>
      <c r="M61" t="s">
        <v>54</v>
      </c>
      <c r="N61" t="s">
        <v>13</v>
      </c>
      <c r="O61" t="s">
        <v>188</v>
      </c>
      <c r="P61" s="1" t="s">
        <v>33</v>
      </c>
      <c r="Q61">
        <v>108.2</v>
      </c>
    </row>
    <row r="62" spans="1:17" x14ac:dyDescent="0.3">
      <c r="A62">
        <v>2013</v>
      </c>
      <c r="B62" t="s">
        <v>45</v>
      </c>
      <c r="C62" t="s">
        <v>56</v>
      </c>
      <c r="D62" s="1" t="s">
        <v>18</v>
      </c>
      <c r="E62" s="4">
        <v>114</v>
      </c>
      <c r="F62" s="4">
        <v>112.7</v>
      </c>
      <c r="G62" s="4">
        <v>110.9</v>
      </c>
      <c r="H62" s="1" t="s">
        <v>189</v>
      </c>
      <c r="K62">
        <v>2013</v>
      </c>
      <c r="L62" t="s">
        <v>37</v>
      </c>
      <c r="M62" t="s">
        <v>54</v>
      </c>
      <c r="N62" t="s">
        <v>22</v>
      </c>
      <c r="O62" t="s">
        <v>20</v>
      </c>
      <c r="P62" s="1" t="s">
        <v>30</v>
      </c>
      <c r="Q62">
        <v>106.1</v>
      </c>
    </row>
    <row r="63" spans="1:17" x14ac:dyDescent="0.3">
      <c r="A63">
        <v>2013</v>
      </c>
      <c r="B63" t="s">
        <v>45</v>
      </c>
      <c r="C63" t="s">
        <v>56</v>
      </c>
      <c r="D63" s="1" t="s">
        <v>8</v>
      </c>
      <c r="E63" s="4">
        <v>115.5</v>
      </c>
      <c r="F63" s="4">
        <v>113.3</v>
      </c>
      <c r="G63" s="4">
        <v>110.7</v>
      </c>
      <c r="H63" s="1" t="s">
        <v>188</v>
      </c>
      <c r="K63">
        <v>2013</v>
      </c>
      <c r="L63" t="s">
        <v>37</v>
      </c>
      <c r="M63" t="s">
        <v>54</v>
      </c>
      <c r="N63" t="s">
        <v>22</v>
      </c>
      <c r="O63" t="s">
        <v>20</v>
      </c>
      <c r="P63" s="1" t="s">
        <v>34</v>
      </c>
      <c r="Q63">
        <v>106.3</v>
      </c>
    </row>
    <row r="64" spans="1:17" x14ac:dyDescent="0.3">
      <c r="A64">
        <v>2013</v>
      </c>
      <c r="B64" t="s">
        <v>45</v>
      </c>
      <c r="C64" t="s">
        <v>56</v>
      </c>
      <c r="D64" s="1" t="s">
        <v>21</v>
      </c>
      <c r="E64" s="4">
        <v>112.8</v>
      </c>
      <c r="F64" s="4">
        <v>111.9</v>
      </c>
      <c r="G64" s="4">
        <v>110.4</v>
      </c>
      <c r="H64" s="1" t="s">
        <v>190</v>
      </c>
      <c r="K64">
        <v>2013</v>
      </c>
      <c r="L64" t="s">
        <v>37</v>
      </c>
      <c r="M64" t="s">
        <v>54</v>
      </c>
      <c r="N64" t="s">
        <v>22</v>
      </c>
      <c r="O64" t="s">
        <v>20</v>
      </c>
      <c r="P64" s="1" t="s">
        <v>33</v>
      </c>
      <c r="Q64">
        <v>106.5</v>
      </c>
    </row>
    <row r="65" spans="1:17" x14ac:dyDescent="0.3">
      <c r="A65">
        <v>2013</v>
      </c>
      <c r="B65" t="s">
        <v>45</v>
      </c>
      <c r="C65" t="s">
        <v>56</v>
      </c>
      <c r="D65" s="1" t="s">
        <v>29</v>
      </c>
      <c r="E65" s="4">
        <v>115.5</v>
      </c>
      <c r="F65" s="4">
        <v>114.5</v>
      </c>
      <c r="G65" s="4">
        <v>113.3</v>
      </c>
      <c r="H65" s="1" t="s">
        <v>206</v>
      </c>
      <c r="K65">
        <v>2013</v>
      </c>
      <c r="L65" t="s">
        <v>37</v>
      </c>
      <c r="M65" t="s">
        <v>54</v>
      </c>
      <c r="N65" t="s">
        <v>14</v>
      </c>
      <c r="O65" t="s">
        <v>188</v>
      </c>
      <c r="P65" s="1" t="s">
        <v>30</v>
      </c>
      <c r="Q65">
        <v>108.8</v>
      </c>
    </row>
    <row r="66" spans="1:17" x14ac:dyDescent="0.3">
      <c r="A66">
        <v>2013</v>
      </c>
      <c r="B66" t="s">
        <v>45</v>
      </c>
      <c r="C66" t="s">
        <v>56</v>
      </c>
      <c r="D66" s="1" t="s">
        <v>23</v>
      </c>
      <c r="E66" s="4">
        <v>110.1</v>
      </c>
      <c r="F66" s="4">
        <v>109.7</v>
      </c>
      <c r="G66" s="4">
        <v>109</v>
      </c>
      <c r="H66" s="1" t="s">
        <v>23</v>
      </c>
      <c r="K66">
        <v>2013</v>
      </c>
      <c r="L66" t="s">
        <v>37</v>
      </c>
      <c r="M66" t="s">
        <v>54</v>
      </c>
      <c r="N66" t="s">
        <v>14</v>
      </c>
      <c r="O66" t="s">
        <v>188</v>
      </c>
      <c r="P66" s="1" t="s">
        <v>34</v>
      </c>
      <c r="Q66">
        <v>109.6</v>
      </c>
    </row>
    <row r="67" spans="1:17" x14ac:dyDescent="0.3">
      <c r="A67">
        <v>2013</v>
      </c>
      <c r="B67" t="s">
        <v>45</v>
      </c>
      <c r="C67" t="s">
        <v>56</v>
      </c>
      <c r="D67" s="1" t="s">
        <v>22</v>
      </c>
      <c r="E67" s="4">
        <v>112.1</v>
      </c>
      <c r="F67" s="4">
        <v>111.7</v>
      </c>
      <c r="G67" s="4">
        <v>111.3</v>
      </c>
      <c r="H67" s="1" t="s">
        <v>20</v>
      </c>
      <c r="K67">
        <v>2013</v>
      </c>
      <c r="L67" t="s">
        <v>37</v>
      </c>
      <c r="M67" t="s">
        <v>54</v>
      </c>
      <c r="N67" t="s">
        <v>14</v>
      </c>
      <c r="O67" t="s">
        <v>188</v>
      </c>
      <c r="P67" s="1" t="s">
        <v>33</v>
      </c>
      <c r="Q67">
        <v>110.6</v>
      </c>
    </row>
    <row r="68" spans="1:17" x14ac:dyDescent="0.3">
      <c r="A68">
        <v>2013</v>
      </c>
      <c r="B68" t="s">
        <v>45</v>
      </c>
      <c r="C68" t="s">
        <v>56</v>
      </c>
      <c r="D68" s="1" t="s">
        <v>20</v>
      </c>
      <c r="E68" s="4">
        <v>0</v>
      </c>
      <c r="F68" s="4">
        <v>110.7</v>
      </c>
      <c r="G68" s="4">
        <v>110.7</v>
      </c>
      <c r="H68" s="1" t="s">
        <v>20</v>
      </c>
      <c r="K68">
        <v>2013</v>
      </c>
      <c r="L68" t="s">
        <v>37</v>
      </c>
      <c r="M68" t="s">
        <v>54</v>
      </c>
      <c r="N68" t="s">
        <v>20</v>
      </c>
      <c r="O68" t="s">
        <v>20</v>
      </c>
      <c r="P68" s="1" t="s">
        <v>30</v>
      </c>
      <c r="Q68">
        <v>0</v>
      </c>
    </row>
    <row r="69" spans="1:17" x14ac:dyDescent="0.3">
      <c r="A69">
        <v>2013</v>
      </c>
      <c r="B69" t="s">
        <v>45</v>
      </c>
      <c r="C69" t="s">
        <v>56</v>
      </c>
      <c r="D69" s="1" t="s">
        <v>4</v>
      </c>
      <c r="E69" s="4">
        <v>115.9</v>
      </c>
      <c r="F69" s="4">
        <v>116.7</v>
      </c>
      <c r="G69" s="4">
        <v>118.1</v>
      </c>
      <c r="H69" s="1" t="s">
        <v>188</v>
      </c>
      <c r="K69">
        <v>2013</v>
      </c>
      <c r="L69" t="s">
        <v>37</v>
      </c>
      <c r="M69" t="s">
        <v>54</v>
      </c>
      <c r="N69" t="s">
        <v>20</v>
      </c>
      <c r="O69" t="s">
        <v>20</v>
      </c>
      <c r="P69" s="1" t="s">
        <v>34</v>
      </c>
      <c r="Q69">
        <v>100.5</v>
      </c>
    </row>
    <row r="70" spans="1:17" x14ac:dyDescent="0.3">
      <c r="A70">
        <v>2013</v>
      </c>
      <c r="B70" t="s">
        <v>45</v>
      </c>
      <c r="C70" t="s">
        <v>56</v>
      </c>
      <c r="D70" s="1" t="s">
        <v>6</v>
      </c>
      <c r="E70" s="4">
        <v>113.8</v>
      </c>
      <c r="F70" s="4">
        <v>113.4</v>
      </c>
      <c r="G70" s="4">
        <v>112.8</v>
      </c>
      <c r="H70" s="1" t="s">
        <v>188</v>
      </c>
      <c r="K70">
        <v>2013</v>
      </c>
      <c r="L70" t="s">
        <v>37</v>
      </c>
      <c r="M70" t="s">
        <v>54</v>
      </c>
      <c r="N70" t="s">
        <v>20</v>
      </c>
      <c r="O70" t="s">
        <v>20</v>
      </c>
      <c r="P70" s="1" t="s">
        <v>33</v>
      </c>
      <c r="Q70">
        <v>100.5</v>
      </c>
    </row>
    <row r="71" spans="1:17" x14ac:dyDescent="0.3">
      <c r="A71">
        <v>2013</v>
      </c>
      <c r="B71" t="s">
        <v>45</v>
      </c>
      <c r="C71" t="s">
        <v>56</v>
      </c>
      <c r="D71" s="1" t="s">
        <v>28</v>
      </c>
      <c r="E71" s="4">
        <v>110.1</v>
      </c>
      <c r="F71" s="4">
        <v>110</v>
      </c>
      <c r="G71" s="4">
        <v>109.8</v>
      </c>
      <c r="H71" s="1" t="s">
        <v>192</v>
      </c>
      <c r="K71">
        <v>2013</v>
      </c>
      <c r="L71" t="s">
        <v>37</v>
      </c>
      <c r="M71" t="s">
        <v>54</v>
      </c>
      <c r="N71" t="s">
        <v>16</v>
      </c>
      <c r="O71" t="s">
        <v>192</v>
      </c>
      <c r="P71" s="1" t="s">
        <v>30</v>
      </c>
      <c r="Q71">
        <v>107.1</v>
      </c>
    </row>
    <row r="72" spans="1:17" x14ac:dyDescent="0.3">
      <c r="A72">
        <v>2013</v>
      </c>
      <c r="B72" t="s">
        <v>45</v>
      </c>
      <c r="C72" t="s">
        <v>56</v>
      </c>
      <c r="D72" s="1" t="s">
        <v>13</v>
      </c>
      <c r="E72" s="4">
        <v>112.1</v>
      </c>
      <c r="F72" s="4">
        <v>112.1</v>
      </c>
      <c r="G72" s="4">
        <v>112.1</v>
      </c>
      <c r="H72" s="1" t="s">
        <v>188</v>
      </c>
      <c r="K72">
        <v>2013</v>
      </c>
      <c r="L72" t="s">
        <v>37</v>
      </c>
      <c r="M72" t="s">
        <v>54</v>
      </c>
      <c r="N72" t="s">
        <v>16</v>
      </c>
      <c r="O72" t="s">
        <v>192</v>
      </c>
      <c r="P72" s="1" t="s">
        <v>34</v>
      </c>
      <c r="Q72">
        <v>107.5</v>
      </c>
    </row>
    <row r="73" spans="1:17" x14ac:dyDescent="0.3">
      <c r="A73">
        <v>2013</v>
      </c>
      <c r="B73" t="s">
        <v>45</v>
      </c>
      <c r="C73" t="s">
        <v>56</v>
      </c>
      <c r="D73" s="1" t="s">
        <v>7</v>
      </c>
      <c r="E73" s="4">
        <v>109.5</v>
      </c>
      <c r="F73" s="4">
        <v>107.3</v>
      </c>
      <c r="G73" s="4">
        <v>103.4</v>
      </c>
      <c r="H73" s="1" t="s">
        <v>188</v>
      </c>
      <c r="K73">
        <v>2013</v>
      </c>
      <c r="L73" t="s">
        <v>37</v>
      </c>
      <c r="M73" t="s">
        <v>54</v>
      </c>
      <c r="N73" t="s">
        <v>16</v>
      </c>
      <c r="O73" t="s">
        <v>192</v>
      </c>
      <c r="P73" s="1" t="s">
        <v>33</v>
      </c>
      <c r="Q73">
        <v>108.5</v>
      </c>
    </row>
    <row r="74" spans="1:17" x14ac:dyDescent="0.3">
      <c r="A74">
        <v>2013</v>
      </c>
      <c r="B74" t="s">
        <v>45</v>
      </c>
      <c r="C74" t="s">
        <v>56</v>
      </c>
      <c r="D74" s="1" t="s">
        <v>16</v>
      </c>
      <c r="E74" s="4">
        <v>113.6</v>
      </c>
      <c r="F74" s="4">
        <v>114</v>
      </c>
      <c r="G74" s="4">
        <v>115</v>
      </c>
      <c r="H74" s="1" t="s">
        <v>192</v>
      </c>
      <c r="K74">
        <v>2013</v>
      </c>
      <c r="L74" t="s">
        <v>37</v>
      </c>
      <c r="M74" t="s">
        <v>54</v>
      </c>
      <c r="N74" t="s">
        <v>28</v>
      </c>
      <c r="O74" t="s">
        <v>192</v>
      </c>
      <c r="P74" s="1" t="s">
        <v>30</v>
      </c>
      <c r="Q74">
        <v>104.6</v>
      </c>
    </row>
    <row r="75" spans="1:17" x14ac:dyDescent="0.3">
      <c r="A75">
        <v>2013</v>
      </c>
      <c r="B75" t="s">
        <v>45</v>
      </c>
      <c r="C75" t="s">
        <v>56</v>
      </c>
      <c r="D75" s="1" t="s">
        <v>27</v>
      </c>
      <c r="E75" s="4">
        <v>108.1</v>
      </c>
      <c r="F75" s="4">
        <v>107.9</v>
      </c>
      <c r="G75" s="4">
        <v>107.7</v>
      </c>
      <c r="H75" s="1" t="s">
        <v>192</v>
      </c>
      <c r="K75">
        <v>2013</v>
      </c>
      <c r="L75" t="s">
        <v>37</v>
      </c>
      <c r="M75" t="s">
        <v>54</v>
      </c>
      <c r="N75" t="s">
        <v>28</v>
      </c>
      <c r="O75" t="s">
        <v>192</v>
      </c>
      <c r="P75" s="1" t="s">
        <v>34</v>
      </c>
      <c r="Q75">
        <v>104.8</v>
      </c>
    </row>
    <row r="76" spans="1:17" x14ac:dyDescent="0.3">
      <c r="A76">
        <v>2013</v>
      </c>
      <c r="B76" t="s">
        <v>45</v>
      </c>
      <c r="C76" t="s">
        <v>56</v>
      </c>
      <c r="D76" s="1" t="s">
        <v>14</v>
      </c>
      <c r="E76" s="4">
        <v>116.8</v>
      </c>
      <c r="F76" s="4">
        <v>117.4</v>
      </c>
      <c r="G76" s="4">
        <v>118.1</v>
      </c>
      <c r="H76" s="1" t="s">
        <v>188</v>
      </c>
      <c r="K76">
        <v>2013</v>
      </c>
      <c r="L76" t="s">
        <v>37</v>
      </c>
      <c r="M76" t="s">
        <v>54</v>
      </c>
      <c r="N76" t="s">
        <v>28</v>
      </c>
      <c r="O76" t="s">
        <v>192</v>
      </c>
      <c r="P76" s="1" t="s">
        <v>33</v>
      </c>
      <c r="Q76">
        <v>105.1</v>
      </c>
    </row>
    <row r="77" spans="1:17" x14ac:dyDescent="0.3">
      <c r="A77">
        <v>2013</v>
      </c>
      <c r="B77" t="s">
        <v>45</v>
      </c>
      <c r="C77" t="s">
        <v>56</v>
      </c>
      <c r="D77" s="1" t="s">
        <v>10</v>
      </c>
      <c r="E77" s="4">
        <v>109.5</v>
      </c>
      <c r="F77" s="4">
        <v>108.7</v>
      </c>
      <c r="G77" s="4">
        <v>107.1</v>
      </c>
      <c r="H77" s="1" t="s">
        <v>188</v>
      </c>
      <c r="K77">
        <v>2013</v>
      </c>
      <c r="L77" t="s">
        <v>37</v>
      </c>
      <c r="M77" t="s">
        <v>54</v>
      </c>
      <c r="N77" t="s">
        <v>27</v>
      </c>
      <c r="O77" t="s">
        <v>192</v>
      </c>
      <c r="P77" s="1" t="s">
        <v>30</v>
      </c>
      <c r="Q77">
        <v>102.7</v>
      </c>
    </row>
    <row r="78" spans="1:17" x14ac:dyDescent="0.3">
      <c r="A78">
        <v>2013</v>
      </c>
      <c r="B78" t="s">
        <v>45</v>
      </c>
      <c r="C78" t="s">
        <v>56</v>
      </c>
      <c r="D78" s="1" t="s">
        <v>25</v>
      </c>
      <c r="E78" s="4">
        <v>109.2</v>
      </c>
      <c r="F78" s="4">
        <v>109</v>
      </c>
      <c r="G78" s="4">
        <v>108.9</v>
      </c>
      <c r="H78" s="1" t="s">
        <v>195</v>
      </c>
      <c r="K78">
        <v>2013</v>
      </c>
      <c r="L78" t="s">
        <v>37</v>
      </c>
      <c r="M78" t="s">
        <v>54</v>
      </c>
      <c r="N78" t="s">
        <v>27</v>
      </c>
      <c r="O78" t="s">
        <v>192</v>
      </c>
      <c r="P78" s="1" t="s">
        <v>34</v>
      </c>
      <c r="Q78">
        <v>102.9</v>
      </c>
    </row>
    <row r="79" spans="1:17" x14ac:dyDescent="0.3">
      <c r="A79">
        <v>2013</v>
      </c>
      <c r="B79" t="s">
        <v>45</v>
      </c>
      <c r="C79" t="s">
        <v>56</v>
      </c>
      <c r="D79" s="1" t="s">
        <v>12</v>
      </c>
      <c r="E79" s="4">
        <v>109.8</v>
      </c>
      <c r="F79" s="4">
        <v>110.5</v>
      </c>
      <c r="G79" s="4">
        <v>111.9</v>
      </c>
      <c r="H79" s="1" t="s">
        <v>188</v>
      </c>
      <c r="K79">
        <v>2013</v>
      </c>
      <c r="L79" t="s">
        <v>37</v>
      </c>
      <c r="M79" t="s">
        <v>54</v>
      </c>
      <c r="N79" t="s">
        <v>27</v>
      </c>
      <c r="O79" t="s">
        <v>192</v>
      </c>
      <c r="P79" s="1" t="s">
        <v>33</v>
      </c>
      <c r="Q79">
        <v>103.2</v>
      </c>
    </row>
    <row r="80" spans="1:17" x14ac:dyDescent="0.3">
      <c r="A80">
        <v>2013</v>
      </c>
      <c r="B80" t="s">
        <v>45</v>
      </c>
      <c r="C80" t="s">
        <v>56</v>
      </c>
      <c r="D80" s="1" t="s">
        <v>11</v>
      </c>
      <c r="E80" s="4">
        <v>102.9</v>
      </c>
      <c r="F80" s="4">
        <v>101.5</v>
      </c>
      <c r="G80" s="4">
        <v>98.6</v>
      </c>
      <c r="H80" s="1" t="s">
        <v>188</v>
      </c>
      <c r="K80">
        <v>2013</v>
      </c>
      <c r="L80" t="s">
        <v>37</v>
      </c>
      <c r="M80" t="s">
        <v>54</v>
      </c>
      <c r="N80" t="s">
        <v>24</v>
      </c>
      <c r="O80" t="s">
        <v>191</v>
      </c>
      <c r="P80" s="1" t="s">
        <v>30</v>
      </c>
      <c r="Q80">
        <v>104.4</v>
      </c>
    </row>
    <row r="81" spans="1:17" x14ac:dyDescent="0.3">
      <c r="A81">
        <v>2013</v>
      </c>
      <c r="B81" t="s">
        <v>45</v>
      </c>
      <c r="C81" t="s">
        <v>56</v>
      </c>
      <c r="D81" s="1" t="s">
        <v>24</v>
      </c>
      <c r="E81" s="4">
        <v>109.9</v>
      </c>
      <c r="F81" s="4">
        <v>109.8</v>
      </c>
      <c r="G81" s="4">
        <v>109.7</v>
      </c>
      <c r="H81" s="1" t="s">
        <v>191</v>
      </c>
      <c r="K81">
        <v>2013</v>
      </c>
      <c r="L81" t="s">
        <v>37</v>
      </c>
      <c r="M81" t="s">
        <v>54</v>
      </c>
      <c r="N81" t="s">
        <v>24</v>
      </c>
      <c r="O81" t="s">
        <v>191</v>
      </c>
      <c r="P81" s="1" t="s">
        <v>34</v>
      </c>
      <c r="Q81">
        <v>104.7</v>
      </c>
    </row>
    <row r="82" spans="1:17" x14ac:dyDescent="0.3">
      <c r="A82">
        <v>2013</v>
      </c>
      <c r="B82" t="s">
        <v>45</v>
      </c>
      <c r="C82" t="s">
        <v>56</v>
      </c>
      <c r="D82" s="1" t="s">
        <v>9</v>
      </c>
      <c r="E82" s="4">
        <v>145.69999999999999</v>
      </c>
      <c r="F82" s="4">
        <v>145.4</v>
      </c>
      <c r="G82" s="4">
        <v>144.80000000000001</v>
      </c>
      <c r="H82" s="1" t="s">
        <v>188</v>
      </c>
      <c r="K82">
        <v>2013</v>
      </c>
      <c r="L82" t="s">
        <v>37</v>
      </c>
      <c r="M82" t="s">
        <v>54</v>
      </c>
      <c r="N82" t="s">
        <v>24</v>
      </c>
      <c r="O82" t="s">
        <v>191</v>
      </c>
      <c r="P82" s="1" t="s">
        <v>33</v>
      </c>
      <c r="Q82">
        <v>105</v>
      </c>
    </row>
    <row r="83" spans="1:17" x14ac:dyDescent="0.3">
      <c r="A83">
        <v>2013</v>
      </c>
      <c r="B83" t="s">
        <v>35</v>
      </c>
      <c r="C83" t="s">
        <v>57</v>
      </c>
      <c r="D83" s="1" t="s">
        <v>3</v>
      </c>
      <c r="E83" s="4">
        <v>109.2</v>
      </c>
      <c r="F83" s="4">
        <v>110.4</v>
      </c>
      <c r="G83" s="4">
        <v>112.9</v>
      </c>
      <c r="H83" s="1" t="s">
        <v>188</v>
      </c>
      <c r="K83">
        <v>2013</v>
      </c>
      <c r="L83" t="s">
        <v>37</v>
      </c>
      <c r="M83" t="s">
        <v>54</v>
      </c>
      <c r="N83" t="s">
        <v>25</v>
      </c>
      <c r="O83" t="s">
        <v>195</v>
      </c>
      <c r="P83" s="1" t="s">
        <v>30</v>
      </c>
      <c r="Q83">
        <v>104.5</v>
      </c>
    </row>
    <row r="84" spans="1:17" x14ac:dyDescent="0.3">
      <c r="A84">
        <v>2013</v>
      </c>
      <c r="B84" t="s">
        <v>35</v>
      </c>
      <c r="C84" t="s">
        <v>57</v>
      </c>
      <c r="D84" s="1" t="s">
        <v>17</v>
      </c>
      <c r="E84" s="4">
        <v>107.1</v>
      </c>
      <c r="F84" s="4">
        <v>106.9</v>
      </c>
      <c r="G84" s="4">
        <v>106.6</v>
      </c>
      <c r="H84" s="1" t="s">
        <v>189</v>
      </c>
      <c r="K84">
        <v>2013</v>
      </c>
      <c r="L84" t="s">
        <v>37</v>
      </c>
      <c r="M84" t="s">
        <v>54</v>
      </c>
      <c r="N84" t="s">
        <v>25</v>
      </c>
      <c r="O84" t="s">
        <v>195</v>
      </c>
      <c r="P84" s="1" t="s">
        <v>34</v>
      </c>
      <c r="Q84">
        <v>104.2</v>
      </c>
    </row>
    <row r="85" spans="1:17" x14ac:dyDescent="0.3">
      <c r="A85">
        <v>2013</v>
      </c>
      <c r="B85" t="s">
        <v>35</v>
      </c>
      <c r="C85" t="s">
        <v>57</v>
      </c>
      <c r="D85" s="1" t="s">
        <v>19</v>
      </c>
      <c r="E85" s="4">
        <v>107</v>
      </c>
      <c r="F85" s="4">
        <v>106.8</v>
      </c>
      <c r="G85" s="4">
        <v>106.4</v>
      </c>
      <c r="H85" s="1" t="s">
        <v>189</v>
      </c>
      <c r="K85">
        <v>2013</v>
      </c>
      <c r="L85" t="s">
        <v>37</v>
      </c>
      <c r="M85" t="s">
        <v>54</v>
      </c>
      <c r="N85" t="s">
        <v>25</v>
      </c>
      <c r="O85" t="s">
        <v>195</v>
      </c>
      <c r="P85" s="1" t="s">
        <v>33</v>
      </c>
      <c r="Q85">
        <v>104</v>
      </c>
    </row>
    <row r="86" spans="1:17" x14ac:dyDescent="0.3">
      <c r="A86">
        <v>2013</v>
      </c>
      <c r="B86" t="s">
        <v>35</v>
      </c>
      <c r="C86" t="s">
        <v>57</v>
      </c>
      <c r="D86" s="1" t="s">
        <v>26</v>
      </c>
      <c r="E86" s="4">
        <v>104.1</v>
      </c>
      <c r="F86" s="4">
        <v>103.9</v>
      </c>
      <c r="G86" s="4">
        <v>103.7</v>
      </c>
      <c r="H86" s="1" t="s">
        <v>26</v>
      </c>
      <c r="K86">
        <v>2013</v>
      </c>
      <c r="L86" t="s">
        <v>41</v>
      </c>
      <c r="M86" t="s">
        <v>55</v>
      </c>
      <c r="N86" t="s">
        <v>17</v>
      </c>
      <c r="O86" t="s">
        <v>189</v>
      </c>
      <c r="P86" s="1" t="s">
        <v>30</v>
      </c>
      <c r="Q86">
        <v>111.3</v>
      </c>
    </row>
    <row r="87" spans="1:17" x14ac:dyDescent="0.3">
      <c r="A87">
        <v>2013</v>
      </c>
      <c r="B87" t="s">
        <v>35</v>
      </c>
      <c r="C87" t="s">
        <v>57</v>
      </c>
      <c r="D87" s="1" t="s">
        <v>5</v>
      </c>
      <c r="E87" s="4">
        <v>110.2</v>
      </c>
      <c r="F87" s="4">
        <v>112.8</v>
      </c>
      <c r="G87" s="4">
        <v>116.9</v>
      </c>
      <c r="H87" s="1" t="s">
        <v>188</v>
      </c>
      <c r="K87">
        <v>2013</v>
      </c>
      <c r="L87" t="s">
        <v>41</v>
      </c>
      <c r="M87" t="s">
        <v>55</v>
      </c>
      <c r="N87" t="s">
        <v>17</v>
      </c>
      <c r="O87" t="s">
        <v>189</v>
      </c>
      <c r="P87" s="1" t="s">
        <v>34</v>
      </c>
      <c r="Q87">
        <v>111</v>
      </c>
    </row>
    <row r="88" spans="1:17" x14ac:dyDescent="0.3">
      <c r="A88">
        <v>2013</v>
      </c>
      <c r="B88" t="s">
        <v>35</v>
      </c>
      <c r="C88" t="s">
        <v>57</v>
      </c>
      <c r="D88" s="1" t="s">
        <v>15</v>
      </c>
      <c r="E88" s="4">
        <v>106.3</v>
      </c>
      <c r="F88" s="4">
        <v>106.6</v>
      </c>
      <c r="G88" s="4">
        <v>107.2</v>
      </c>
      <c r="H88" s="1" t="s">
        <v>188</v>
      </c>
      <c r="K88">
        <v>2013</v>
      </c>
      <c r="L88" t="s">
        <v>41</v>
      </c>
      <c r="M88" t="s">
        <v>55</v>
      </c>
      <c r="N88" t="s">
        <v>17</v>
      </c>
      <c r="O88" t="s">
        <v>189</v>
      </c>
      <c r="P88" s="1" t="s">
        <v>33</v>
      </c>
      <c r="Q88">
        <v>110.6</v>
      </c>
    </row>
    <row r="89" spans="1:17" x14ac:dyDescent="0.3">
      <c r="A89">
        <v>2013</v>
      </c>
      <c r="B89" t="s">
        <v>35</v>
      </c>
      <c r="C89" t="s">
        <v>57</v>
      </c>
      <c r="D89" s="1" t="s">
        <v>18</v>
      </c>
      <c r="E89" s="4">
        <v>106.3</v>
      </c>
      <c r="F89" s="4">
        <v>106</v>
      </c>
      <c r="G89" s="4">
        <v>105.5</v>
      </c>
      <c r="H89" s="1" t="s">
        <v>189</v>
      </c>
      <c r="K89">
        <v>2013</v>
      </c>
      <c r="L89" t="s">
        <v>41</v>
      </c>
      <c r="M89" t="s">
        <v>55</v>
      </c>
      <c r="N89" t="s">
        <v>19</v>
      </c>
      <c r="O89" t="s">
        <v>189</v>
      </c>
      <c r="P89" s="1" t="s">
        <v>30</v>
      </c>
      <c r="Q89">
        <v>111.1</v>
      </c>
    </row>
    <row r="90" spans="1:17" x14ac:dyDescent="0.3">
      <c r="A90">
        <v>2013</v>
      </c>
      <c r="B90" t="s">
        <v>35</v>
      </c>
      <c r="C90" t="s">
        <v>57</v>
      </c>
      <c r="D90" s="1" t="s">
        <v>8</v>
      </c>
      <c r="E90" s="4">
        <v>104</v>
      </c>
      <c r="F90" s="4">
        <v>103.6</v>
      </c>
      <c r="G90" s="4">
        <v>103.1</v>
      </c>
      <c r="H90" s="1" t="s">
        <v>188</v>
      </c>
      <c r="K90">
        <v>2013</v>
      </c>
      <c r="L90" t="s">
        <v>41</v>
      </c>
      <c r="M90" t="s">
        <v>55</v>
      </c>
      <c r="N90" t="s">
        <v>19</v>
      </c>
      <c r="O90" t="s">
        <v>189</v>
      </c>
      <c r="P90" s="1" t="s">
        <v>34</v>
      </c>
      <c r="Q90">
        <v>110.7</v>
      </c>
    </row>
    <row r="91" spans="1:17" x14ac:dyDescent="0.3">
      <c r="A91">
        <v>2013</v>
      </c>
      <c r="B91" t="s">
        <v>35</v>
      </c>
      <c r="C91" t="s">
        <v>57</v>
      </c>
      <c r="D91" s="1" t="s">
        <v>21</v>
      </c>
      <c r="E91" s="4">
        <v>106.2</v>
      </c>
      <c r="F91" s="4">
        <v>106</v>
      </c>
      <c r="G91" s="4">
        <v>105.7</v>
      </c>
      <c r="H91" s="1" t="s">
        <v>190</v>
      </c>
      <c r="K91">
        <v>2013</v>
      </c>
      <c r="L91" t="s">
        <v>41</v>
      </c>
      <c r="M91" t="s">
        <v>55</v>
      </c>
      <c r="N91" t="s">
        <v>19</v>
      </c>
      <c r="O91" t="s">
        <v>189</v>
      </c>
      <c r="P91" s="1" t="s">
        <v>33</v>
      </c>
      <c r="Q91">
        <v>110.2</v>
      </c>
    </row>
    <row r="92" spans="1:17" x14ac:dyDescent="0.3">
      <c r="A92">
        <v>2013</v>
      </c>
      <c r="B92" t="s">
        <v>35</v>
      </c>
      <c r="C92" t="s">
        <v>57</v>
      </c>
      <c r="D92" s="1" t="s">
        <v>29</v>
      </c>
      <c r="E92" s="4">
        <v>105.8</v>
      </c>
      <c r="F92" s="4">
        <v>105.3</v>
      </c>
      <c r="G92" s="4">
        <v>104.7</v>
      </c>
      <c r="H92" s="1" t="s">
        <v>206</v>
      </c>
      <c r="K92">
        <v>2013</v>
      </c>
      <c r="L92" t="s">
        <v>41</v>
      </c>
      <c r="M92" t="s">
        <v>55</v>
      </c>
      <c r="N92" t="s">
        <v>26</v>
      </c>
      <c r="O92" t="s">
        <v>26</v>
      </c>
      <c r="P92" s="1" t="s">
        <v>30</v>
      </c>
      <c r="Q92">
        <v>108.7</v>
      </c>
    </row>
    <row r="93" spans="1:17" x14ac:dyDescent="0.3">
      <c r="A93">
        <v>2013</v>
      </c>
      <c r="B93" t="s">
        <v>35</v>
      </c>
      <c r="C93" t="s">
        <v>57</v>
      </c>
      <c r="D93" s="1" t="s">
        <v>23</v>
      </c>
      <c r="E93" s="4">
        <v>104.4</v>
      </c>
      <c r="F93" s="4">
        <v>104.5</v>
      </c>
      <c r="G93" s="4">
        <v>104.7</v>
      </c>
      <c r="H93" s="1" t="s">
        <v>23</v>
      </c>
      <c r="K93">
        <v>2013</v>
      </c>
      <c r="L93" t="s">
        <v>41</v>
      </c>
      <c r="M93" t="s">
        <v>55</v>
      </c>
      <c r="N93" t="s">
        <v>26</v>
      </c>
      <c r="O93" t="s">
        <v>26</v>
      </c>
      <c r="P93" s="1" t="s">
        <v>34</v>
      </c>
      <c r="Q93">
        <v>109.9</v>
      </c>
    </row>
    <row r="94" spans="1:17" x14ac:dyDescent="0.3">
      <c r="A94">
        <v>2013</v>
      </c>
      <c r="B94" t="s">
        <v>35</v>
      </c>
      <c r="C94" t="s">
        <v>57</v>
      </c>
      <c r="D94" s="1" t="s">
        <v>22</v>
      </c>
      <c r="E94" s="4">
        <v>105.2</v>
      </c>
      <c r="F94" s="4">
        <v>105.2</v>
      </c>
      <c r="G94" s="4">
        <v>105.2</v>
      </c>
      <c r="H94" s="1" t="s">
        <v>20</v>
      </c>
      <c r="K94">
        <v>2013</v>
      </c>
      <c r="L94" t="s">
        <v>41</v>
      </c>
      <c r="M94" t="s">
        <v>55</v>
      </c>
      <c r="N94" t="s">
        <v>26</v>
      </c>
      <c r="O94" t="s">
        <v>26</v>
      </c>
      <c r="P94" s="1" t="s">
        <v>33</v>
      </c>
      <c r="Q94">
        <v>110.8</v>
      </c>
    </row>
    <row r="95" spans="1:17" x14ac:dyDescent="0.3">
      <c r="A95">
        <v>2013</v>
      </c>
      <c r="B95" t="s">
        <v>35</v>
      </c>
      <c r="C95" t="s">
        <v>57</v>
      </c>
      <c r="D95" s="1" t="s">
        <v>20</v>
      </c>
      <c r="E95" s="4">
        <v>0</v>
      </c>
      <c r="F95" s="4">
        <v>100.4</v>
      </c>
      <c r="G95" s="4">
        <v>100.4</v>
      </c>
      <c r="H95" s="1" t="s">
        <v>20</v>
      </c>
      <c r="K95">
        <v>2013</v>
      </c>
      <c r="L95" t="s">
        <v>41</v>
      </c>
      <c r="M95" t="s">
        <v>55</v>
      </c>
      <c r="N95" t="s">
        <v>5</v>
      </c>
      <c r="O95" t="s">
        <v>188</v>
      </c>
      <c r="P95" s="1" t="s">
        <v>30</v>
      </c>
      <c r="Q95">
        <v>111.1</v>
      </c>
    </row>
    <row r="96" spans="1:17" x14ac:dyDescent="0.3">
      <c r="A96">
        <v>2013</v>
      </c>
      <c r="B96" t="s">
        <v>35</v>
      </c>
      <c r="C96" t="s">
        <v>57</v>
      </c>
      <c r="D96" s="1" t="s">
        <v>4</v>
      </c>
      <c r="E96" s="4">
        <v>108.7</v>
      </c>
      <c r="F96" s="4">
        <v>110.2</v>
      </c>
      <c r="G96" s="4">
        <v>112.9</v>
      </c>
      <c r="H96" s="1" t="s">
        <v>188</v>
      </c>
      <c r="K96">
        <v>2013</v>
      </c>
      <c r="L96" t="s">
        <v>41</v>
      </c>
      <c r="M96" t="s">
        <v>55</v>
      </c>
      <c r="N96" t="s">
        <v>5</v>
      </c>
      <c r="O96" t="s">
        <v>188</v>
      </c>
      <c r="P96" s="1" t="s">
        <v>34</v>
      </c>
      <c r="Q96">
        <v>111.7</v>
      </c>
    </row>
    <row r="97" spans="1:17" x14ac:dyDescent="0.3">
      <c r="A97">
        <v>2013</v>
      </c>
      <c r="B97" t="s">
        <v>35</v>
      </c>
      <c r="C97" t="s">
        <v>57</v>
      </c>
      <c r="D97" s="1" t="s">
        <v>6</v>
      </c>
      <c r="E97" s="4">
        <v>105.4</v>
      </c>
      <c r="F97" s="4">
        <v>104.9</v>
      </c>
      <c r="G97" s="4">
        <v>104</v>
      </c>
      <c r="H97" s="1" t="s">
        <v>188</v>
      </c>
      <c r="K97">
        <v>2013</v>
      </c>
      <c r="L97" t="s">
        <v>41</v>
      </c>
      <c r="M97" t="s">
        <v>55</v>
      </c>
      <c r="N97" t="s">
        <v>5</v>
      </c>
      <c r="O97" t="s">
        <v>188</v>
      </c>
      <c r="P97" s="1" t="s">
        <v>33</v>
      </c>
      <c r="Q97">
        <v>112.7</v>
      </c>
    </row>
    <row r="98" spans="1:17" x14ac:dyDescent="0.3">
      <c r="A98">
        <v>2013</v>
      </c>
      <c r="B98" t="s">
        <v>35</v>
      </c>
      <c r="C98" t="s">
        <v>57</v>
      </c>
      <c r="D98" s="1" t="s">
        <v>28</v>
      </c>
      <c r="E98" s="4">
        <v>104.4</v>
      </c>
      <c r="F98" s="4">
        <v>104.4</v>
      </c>
      <c r="G98" s="4">
        <v>104.3</v>
      </c>
      <c r="H98" s="1" t="s">
        <v>192</v>
      </c>
      <c r="K98">
        <v>2013</v>
      </c>
      <c r="L98" t="s">
        <v>41</v>
      </c>
      <c r="M98" t="s">
        <v>55</v>
      </c>
      <c r="N98" t="s">
        <v>15</v>
      </c>
      <c r="O98" t="s">
        <v>188</v>
      </c>
      <c r="P98" s="1" t="s">
        <v>30</v>
      </c>
      <c r="Q98">
        <v>114.9</v>
      </c>
    </row>
    <row r="99" spans="1:17" x14ac:dyDescent="0.3">
      <c r="A99">
        <v>2013</v>
      </c>
      <c r="B99" t="s">
        <v>35</v>
      </c>
      <c r="C99" t="s">
        <v>57</v>
      </c>
      <c r="D99" s="1" t="s">
        <v>13</v>
      </c>
      <c r="E99" s="4">
        <v>105.1</v>
      </c>
      <c r="F99" s="4">
        <v>105.5</v>
      </c>
      <c r="G99" s="4">
        <v>106</v>
      </c>
      <c r="H99" s="1" t="s">
        <v>188</v>
      </c>
      <c r="K99">
        <v>2013</v>
      </c>
      <c r="L99" t="s">
        <v>41</v>
      </c>
      <c r="M99" t="s">
        <v>55</v>
      </c>
      <c r="N99" t="s">
        <v>15</v>
      </c>
      <c r="O99" t="s">
        <v>188</v>
      </c>
      <c r="P99" s="1" t="s">
        <v>34</v>
      </c>
      <c r="Q99">
        <v>116.6</v>
      </c>
    </row>
    <row r="100" spans="1:17" x14ac:dyDescent="0.3">
      <c r="A100">
        <v>2013</v>
      </c>
      <c r="B100" t="s">
        <v>35</v>
      </c>
      <c r="C100" t="s">
        <v>57</v>
      </c>
      <c r="D100" s="1" t="s">
        <v>7</v>
      </c>
      <c r="E100" s="4">
        <v>106.7</v>
      </c>
      <c r="F100" s="4">
        <v>105.5</v>
      </c>
      <c r="G100" s="4">
        <v>103.5</v>
      </c>
      <c r="H100" s="1" t="s">
        <v>188</v>
      </c>
      <c r="K100">
        <v>2013</v>
      </c>
      <c r="L100" t="s">
        <v>41</v>
      </c>
      <c r="M100" t="s">
        <v>55</v>
      </c>
      <c r="N100" t="s">
        <v>15</v>
      </c>
      <c r="O100" t="s">
        <v>188</v>
      </c>
      <c r="P100" s="1" t="s">
        <v>33</v>
      </c>
      <c r="Q100">
        <v>119.6</v>
      </c>
    </row>
    <row r="101" spans="1:17" x14ac:dyDescent="0.3">
      <c r="A101">
        <v>2013</v>
      </c>
      <c r="B101" t="s">
        <v>35</v>
      </c>
      <c r="C101" t="s">
        <v>57</v>
      </c>
      <c r="D101" s="1" t="s">
        <v>16</v>
      </c>
      <c r="E101" s="4">
        <v>105.6</v>
      </c>
      <c r="F101" s="4">
        <v>105.7</v>
      </c>
      <c r="G101" s="4">
        <v>106</v>
      </c>
      <c r="H101" s="1" t="s">
        <v>192</v>
      </c>
      <c r="K101">
        <v>2013</v>
      </c>
      <c r="L101" t="s">
        <v>41</v>
      </c>
      <c r="M101" t="s">
        <v>55</v>
      </c>
      <c r="N101" t="s">
        <v>18</v>
      </c>
      <c r="O101" t="s">
        <v>189</v>
      </c>
      <c r="P101" s="1" t="s">
        <v>30</v>
      </c>
      <c r="Q101">
        <v>110.2</v>
      </c>
    </row>
    <row r="102" spans="1:17" x14ac:dyDescent="0.3">
      <c r="A102">
        <v>2013</v>
      </c>
      <c r="B102" t="s">
        <v>35</v>
      </c>
      <c r="C102" t="s">
        <v>57</v>
      </c>
      <c r="D102" s="1" t="s">
        <v>27</v>
      </c>
      <c r="E102" s="4">
        <v>104.6</v>
      </c>
      <c r="F102" s="4">
        <v>104.5</v>
      </c>
      <c r="G102" s="4">
        <v>104.3</v>
      </c>
      <c r="H102" s="1" t="s">
        <v>192</v>
      </c>
      <c r="K102">
        <v>2013</v>
      </c>
      <c r="L102" t="s">
        <v>41</v>
      </c>
      <c r="M102" t="s">
        <v>55</v>
      </c>
      <c r="N102" t="s">
        <v>18</v>
      </c>
      <c r="O102" t="s">
        <v>189</v>
      </c>
      <c r="P102" s="1" t="s">
        <v>34</v>
      </c>
      <c r="Q102">
        <v>109.4</v>
      </c>
    </row>
    <row r="103" spans="1:17" x14ac:dyDescent="0.3">
      <c r="A103">
        <v>2013</v>
      </c>
      <c r="B103" t="s">
        <v>35</v>
      </c>
      <c r="C103" t="s">
        <v>57</v>
      </c>
      <c r="D103" s="1" t="s">
        <v>14</v>
      </c>
      <c r="E103" s="4">
        <v>107.7</v>
      </c>
      <c r="F103" s="4">
        <v>108.3</v>
      </c>
      <c r="G103" s="4">
        <v>109</v>
      </c>
      <c r="H103" s="1" t="s">
        <v>188</v>
      </c>
      <c r="K103">
        <v>2013</v>
      </c>
      <c r="L103" t="s">
        <v>41</v>
      </c>
      <c r="M103" t="s">
        <v>55</v>
      </c>
      <c r="N103" t="s">
        <v>18</v>
      </c>
      <c r="O103" t="s">
        <v>189</v>
      </c>
      <c r="P103" s="1" t="s">
        <v>33</v>
      </c>
      <c r="Q103">
        <v>108.3</v>
      </c>
    </row>
    <row r="104" spans="1:17" x14ac:dyDescent="0.3">
      <c r="A104">
        <v>2013</v>
      </c>
      <c r="B104" t="s">
        <v>35</v>
      </c>
      <c r="C104" t="s">
        <v>57</v>
      </c>
      <c r="D104" s="1" t="s">
        <v>10</v>
      </c>
      <c r="E104" s="4">
        <v>105.9</v>
      </c>
      <c r="F104" s="4">
        <v>105.3</v>
      </c>
      <c r="G104" s="4">
        <v>104.1</v>
      </c>
      <c r="H104" s="1" t="s">
        <v>188</v>
      </c>
      <c r="K104">
        <v>2013</v>
      </c>
      <c r="L104" t="s">
        <v>41</v>
      </c>
      <c r="M104" t="s">
        <v>55</v>
      </c>
      <c r="N104" t="s">
        <v>8</v>
      </c>
      <c r="O104" t="s">
        <v>188</v>
      </c>
      <c r="P104" s="1" t="s">
        <v>30</v>
      </c>
      <c r="Q104">
        <v>110.8</v>
      </c>
    </row>
    <row r="105" spans="1:17" x14ac:dyDescent="0.3">
      <c r="A105">
        <v>2013</v>
      </c>
      <c r="B105" t="s">
        <v>35</v>
      </c>
      <c r="C105" t="s">
        <v>57</v>
      </c>
      <c r="D105" s="1" t="s">
        <v>25</v>
      </c>
      <c r="E105" s="4">
        <v>104</v>
      </c>
      <c r="F105" s="4">
        <v>103.6</v>
      </c>
      <c r="G105" s="4">
        <v>103.3</v>
      </c>
      <c r="H105" s="1" t="s">
        <v>195</v>
      </c>
      <c r="K105">
        <v>2013</v>
      </c>
      <c r="L105" t="s">
        <v>41</v>
      </c>
      <c r="M105" t="s">
        <v>55</v>
      </c>
      <c r="N105" t="s">
        <v>8</v>
      </c>
      <c r="O105" t="s">
        <v>188</v>
      </c>
      <c r="P105" s="1" t="s">
        <v>34</v>
      </c>
      <c r="Q105">
        <v>109.8</v>
      </c>
    </row>
    <row r="106" spans="1:17" x14ac:dyDescent="0.3">
      <c r="A106">
        <v>2013</v>
      </c>
      <c r="B106" t="s">
        <v>35</v>
      </c>
      <c r="C106" t="s">
        <v>57</v>
      </c>
      <c r="D106" s="1" t="s">
        <v>12</v>
      </c>
      <c r="E106" s="4">
        <v>103.1</v>
      </c>
      <c r="F106" s="4">
        <v>102.8</v>
      </c>
      <c r="G106" s="4">
        <v>102.3</v>
      </c>
      <c r="H106" s="1" t="s">
        <v>188</v>
      </c>
      <c r="K106">
        <v>2013</v>
      </c>
      <c r="L106" t="s">
        <v>41</v>
      </c>
      <c r="M106" t="s">
        <v>55</v>
      </c>
      <c r="N106" t="s">
        <v>8</v>
      </c>
      <c r="O106" t="s">
        <v>188</v>
      </c>
      <c r="P106" s="1" t="s">
        <v>33</v>
      </c>
      <c r="Q106">
        <v>108.7</v>
      </c>
    </row>
    <row r="107" spans="1:17" x14ac:dyDescent="0.3">
      <c r="A107">
        <v>2013</v>
      </c>
      <c r="B107" t="s">
        <v>35</v>
      </c>
      <c r="C107" t="s">
        <v>57</v>
      </c>
      <c r="D107" s="1" t="s">
        <v>11</v>
      </c>
      <c r="E107" s="4">
        <v>105.7</v>
      </c>
      <c r="F107" s="4">
        <v>105.1</v>
      </c>
      <c r="G107" s="4">
        <v>103.8</v>
      </c>
      <c r="H107" s="1" t="s">
        <v>188</v>
      </c>
      <c r="K107">
        <v>2013</v>
      </c>
      <c r="L107" t="s">
        <v>41</v>
      </c>
      <c r="M107" t="s">
        <v>55</v>
      </c>
      <c r="N107" t="s">
        <v>21</v>
      </c>
      <c r="O107" t="s">
        <v>190</v>
      </c>
      <c r="P107" s="1" t="s">
        <v>30</v>
      </c>
      <c r="Q107">
        <v>109.9</v>
      </c>
    </row>
    <row r="108" spans="1:17" x14ac:dyDescent="0.3">
      <c r="A108">
        <v>2013</v>
      </c>
      <c r="B108" t="s">
        <v>35</v>
      </c>
      <c r="C108" t="s">
        <v>57</v>
      </c>
      <c r="D108" s="1" t="s">
        <v>24</v>
      </c>
      <c r="E108" s="4">
        <v>103.9</v>
      </c>
      <c r="F108" s="4">
        <v>104.2</v>
      </c>
      <c r="G108" s="4">
        <v>104.4</v>
      </c>
      <c r="H108" s="1" t="s">
        <v>191</v>
      </c>
      <c r="K108">
        <v>2013</v>
      </c>
      <c r="L108" t="s">
        <v>41</v>
      </c>
      <c r="M108" t="s">
        <v>55</v>
      </c>
      <c r="N108" t="s">
        <v>21</v>
      </c>
      <c r="O108" t="s">
        <v>190</v>
      </c>
      <c r="P108" s="1" t="s">
        <v>34</v>
      </c>
      <c r="Q108">
        <v>109.7</v>
      </c>
    </row>
    <row r="109" spans="1:17" x14ac:dyDescent="0.3">
      <c r="A109">
        <v>2013</v>
      </c>
      <c r="B109" t="s">
        <v>35</v>
      </c>
      <c r="C109" t="s">
        <v>57</v>
      </c>
      <c r="D109" s="1" t="s">
        <v>9</v>
      </c>
      <c r="E109" s="4">
        <v>102.4</v>
      </c>
      <c r="F109" s="4">
        <v>103.2</v>
      </c>
      <c r="G109" s="4">
        <v>104.9</v>
      </c>
      <c r="H109" s="1" t="s">
        <v>188</v>
      </c>
      <c r="K109">
        <v>2013</v>
      </c>
      <c r="L109" t="s">
        <v>41</v>
      </c>
      <c r="M109" t="s">
        <v>55</v>
      </c>
      <c r="N109" t="s">
        <v>21</v>
      </c>
      <c r="O109" t="s">
        <v>190</v>
      </c>
      <c r="P109" s="1" t="s">
        <v>33</v>
      </c>
      <c r="Q109">
        <v>109.3</v>
      </c>
    </row>
    <row r="110" spans="1:17" x14ac:dyDescent="0.3">
      <c r="A110">
        <v>2013</v>
      </c>
      <c r="B110" t="s">
        <v>31</v>
      </c>
      <c r="C110" t="s">
        <v>58</v>
      </c>
      <c r="D110" s="1" t="s">
        <v>3</v>
      </c>
      <c r="E110" s="4">
        <v>107.5</v>
      </c>
      <c r="F110" s="4">
        <v>108.4</v>
      </c>
      <c r="G110" s="4">
        <v>110.5</v>
      </c>
      <c r="H110" s="1" t="s">
        <v>188</v>
      </c>
      <c r="K110">
        <v>2013</v>
      </c>
      <c r="L110" t="s">
        <v>41</v>
      </c>
      <c r="M110" t="s">
        <v>55</v>
      </c>
      <c r="N110" t="s">
        <v>29</v>
      </c>
      <c r="O110" t="s">
        <v>206</v>
      </c>
      <c r="P110" s="1" t="s">
        <v>30</v>
      </c>
      <c r="Q110">
        <v>112.1</v>
      </c>
    </row>
    <row r="111" spans="1:17" x14ac:dyDescent="0.3">
      <c r="A111">
        <v>2013</v>
      </c>
      <c r="B111" t="s">
        <v>31</v>
      </c>
      <c r="C111" t="s">
        <v>58</v>
      </c>
      <c r="D111" s="1" t="s">
        <v>17</v>
      </c>
      <c r="E111" s="4">
        <v>106.5</v>
      </c>
      <c r="F111" s="4">
        <v>106.3</v>
      </c>
      <c r="G111" s="4">
        <v>105.9</v>
      </c>
      <c r="H111" s="1" t="s">
        <v>189</v>
      </c>
      <c r="K111">
        <v>2013</v>
      </c>
      <c r="L111" t="s">
        <v>41</v>
      </c>
      <c r="M111" t="s">
        <v>55</v>
      </c>
      <c r="N111" t="s">
        <v>29</v>
      </c>
      <c r="O111" t="s">
        <v>206</v>
      </c>
      <c r="P111" s="1" t="s">
        <v>34</v>
      </c>
      <c r="Q111">
        <v>112.4</v>
      </c>
    </row>
    <row r="112" spans="1:17" x14ac:dyDescent="0.3">
      <c r="A112">
        <v>2013</v>
      </c>
      <c r="B112" t="s">
        <v>31</v>
      </c>
      <c r="C112" t="s">
        <v>58</v>
      </c>
      <c r="D112" s="1" t="s">
        <v>19</v>
      </c>
      <c r="E112" s="4">
        <v>106.4</v>
      </c>
      <c r="F112" s="4">
        <v>106.2</v>
      </c>
      <c r="G112" s="4">
        <v>105.8</v>
      </c>
      <c r="H112" s="1" t="s">
        <v>189</v>
      </c>
      <c r="K112">
        <v>2013</v>
      </c>
      <c r="L112" t="s">
        <v>41</v>
      </c>
      <c r="M112" t="s">
        <v>55</v>
      </c>
      <c r="N112" t="s">
        <v>29</v>
      </c>
      <c r="O112" t="s">
        <v>206</v>
      </c>
      <c r="P112" s="1" t="s">
        <v>33</v>
      </c>
      <c r="Q112">
        <v>112.7</v>
      </c>
    </row>
    <row r="113" spans="1:17" x14ac:dyDescent="0.3">
      <c r="A113">
        <v>2013</v>
      </c>
      <c r="B113" t="s">
        <v>31</v>
      </c>
      <c r="C113" t="s">
        <v>58</v>
      </c>
      <c r="D113" s="1" t="s">
        <v>26</v>
      </c>
      <c r="E113" s="4">
        <v>103.8</v>
      </c>
      <c r="F113" s="4">
        <v>103.6</v>
      </c>
      <c r="G113" s="4">
        <v>103.5</v>
      </c>
      <c r="H113" s="1" t="s">
        <v>26</v>
      </c>
      <c r="K113">
        <v>2013</v>
      </c>
      <c r="L113" t="s">
        <v>41</v>
      </c>
      <c r="M113" t="s">
        <v>55</v>
      </c>
      <c r="N113" t="s">
        <v>23</v>
      </c>
      <c r="O113" t="s">
        <v>23</v>
      </c>
      <c r="P113" s="1" t="s">
        <v>30</v>
      </c>
      <c r="Q113">
        <v>107.5</v>
      </c>
    </row>
    <row r="114" spans="1:17" x14ac:dyDescent="0.3">
      <c r="A114">
        <v>2013</v>
      </c>
      <c r="B114" t="s">
        <v>31</v>
      </c>
      <c r="C114" t="s">
        <v>58</v>
      </c>
      <c r="D114" s="1" t="s">
        <v>5</v>
      </c>
      <c r="E114" s="4">
        <v>108.1</v>
      </c>
      <c r="F114" s="4">
        <v>110</v>
      </c>
      <c r="G114" s="4">
        <v>113</v>
      </c>
      <c r="H114" s="1" t="s">
        <v>188</v>
      </c>
      <c r="K114">
        <v>2013</v>
      </c>
      <c r="L114" t="s">
        <v>41</v>
      </c>
      <c r="M114" t="s">
        <v>55</v>
      </c>
      <c r="N114" t="s">
        <v>23</v>
      </c>
      <c r="O114" t="s">
        <v>23</v>
      </c>
      <c r="P114" s="1" t="s">
        <v>34</v>
      </c>
      <c r="Q114">
        <v>107.5</v>
      </c>
    </row>
    <row r="115" spans="1:17" x14ac:dyDescent="0.3">
      <c r="A115">
        <v>2013</v>
      </c>
      <c r="B115" t="s">
        <v>31</v>
      </c>
      <c r="C115" t="s">
        <v>58</v>
      </c>
      <c r="D115" s="1" t="s">
        <v>15</v>
      </c>
      <c r="E115" s="4">
        <v>105.5</v>
      </c>
      <c r="F115" s="4">
        <v>105.6</v>
      </c>
      <c r="G115" s="4">
        <v>105.9</v>
      </c>
      <c r="H115" s="1" t="s">
        <v>188</v>
      </c>
      <c r="K115">
        <v>2013</v>
      </c>
      <c r="L115" t="s">
        <v>41</v>
      </c>
      <c r="M115" t="s">
        <v>55</v>
      </c>
      <c r="N115" t="s">
        <v>23</v>
      </c>
      <c r="O115" t="s">
        <v>23</v>
      </c>
      <c r="P115" s="1" t="s">
        <v>33</v>
      </c>
      <c r="Q115">
        <v>107.6</v>
      </c>
    </row>
    <row r="116" spans="1:17" x14ac:dyDescent="0.3">
      <c r="A116">
        <v>2013</v>
      </c>
      <c r="B116" t="s">
        <v>31</v>
      </c>
      <c r="C116" t="s">
        <v>58</v>
      </c>
      <c r="D116" s="1" t="s">
        <v>18</v>
      </c>
      <c r="E116" s="4">
        <v>105.8</v>
      </c>
      <c r="F116" s="4">
        <v>105.5</v>
      </c>
      <c r="G116" s="4">
        <v>105</v>
      </c>
      <c r="H116" s="1" t="s">
        <v>189</v>
      </c>
      <c r="K116">
        <v>2013</v>
      </c>
      <c r="L116" t="s">
        <v>41</v>
      </c>
      <c r="M116" t="s">
        <v>55</v>
      </c>
      <c r="N116" t="s">
        <v>22</v>
      </c>
      <c r="O116" t="s">
        <v>20</v>
      </c>
      <c r="P116" s="1" t="s">
        <v>30</v>
      </c>
      <c r="Q116">
        <v>108.7</v>
      </c>
    </row>
    <row r="117" spans="1:17" x14ac:dyDescent="0.3">
      <c r="A117">
        <v>2013</v>
      </c>
      <c r="B117" t="s">
        <v>31</v>
      </c>
      <c r="C117" t="s">
        <v>58</v>
      </c>
      <c r="D117" s="1" t="s">
        <v>8</v>
      </c>
      <c r="E117" s="4">
        <v>103.9</v>
      </c>
      <c r="F117" s="4">
        <v>103.2</v>
      </c>
      <c r="G117" s="4">
        <v>102.3</v>
      </c>
      <c r="H117" s="1" t="s">
        <v>188</v>
      </c>
      <c r="K117">
        <v>2013</v>
      </c>
      <c r="L117" t="s">
        <v>41</v>
      </c>
      <c r="M117" t="s">
        <v>55</v>
      </c>
      <c r="N117" t="s">
        <v>22</v>
      </c>
      <c r="O117" t="s">
        <v>20</v>
      </c>
      <c r="P117" s="1" t="s">
        <v>34</v>
      </c>
      <c r="Q117">
        <v>108.7</v>
      </c>
    </row>
    <row r="118" spans="1:17" x14ac:dyDescent="0.3">
      <c r="A118">
        <v>2013</v>
      </c>
      <c r="B118" t="s">
        <v>31</v>
      </c>
      <c r="C118" t="s">
        <v>58</v>
      </c>
      <c r="D118" s="1" t="s">
        <v>21</v>
      </c>
      <c r="E118" s="4">
        <v>105.5</v>
      </c>
      <c r="F118" s="4">
        <v>105.5</v>
      </c>
      <c r="G118" s="4">
        <v>105.4</v>
      </c>
      <c r="H118" s="1" t="s">
        <v>190</v>
      </c>
      <c r="K118">
        <v>2013</v>
      </c>
      <c r="L118" t="s">
        <v>41</v>
      </c>
      <c r="M118" t="s">
        <v>55</v>
      </c>
      <c r="N118" t="s">
        <v>22</v>
      </c>
      <c r="O118" t="s">
        <v>20</v>
      </c>
      <c r="P118" s="1" t="s">
        <v>33</v>
      </c>
      <c r="Q118">
        <v>108.7</v>
      </c>
    </row>
    <row r="119" spans="1:17" x14ac:dyDescent="0.3">
      <c r="A119">
        <v>2013</v>
      </c>
      <c r="B119" t="s">
        <v>31</v>
      </c>
      <c r="C119" t="s">
        <v>58</v>
      </c>
      <c r="D119" s="1" t="s">
        <v>29</v>
      </c>
      <c r="E119" s="4">
        <v>105.1</v>
      </c>
      <c r="F119" s="4">
        <v>104.6</v>
      </c>
      <c r="G119" s="4">
        <v>104</v>
      </c>
      <c r="H119" s="1" t="s">
        <v>206</v>
      </c>
      <c r="K119">
        <v>2013</v>
      </c>
      <c r="L119" t="s">
        <v>41</v>
      </c>
      <c r="M119" t="s">
        <v>55</v>
      </c>
      <c r="N119" t="s">
        <v>20</v>
      </c>
      <c r="O119" t="s">
        <v>20</v>
      </c>
      <c r="P119" s="1" t="s">
        <v>30</v>
      </c>
      <c r="Q119">
        <v>0</v>
      </c>
    </row>
    <row r="120" spans="1:17" x14ac:dyDescent="0.3">
      <c r="A120">
        <v>2013</v>
      </c>
      <c r="B120" t="s">
        <v>31</v>
      </c>
      <c r="C120" t="s">
        <v>58</v>
      </c>
      <c r="D120" s="1" t="s">
        <v>23</v>
      </c>
      <c r="E120" s="4">
        <v>104</v>
      </c>
      <c r="F120" s="4">
        <v>104</v>
      </c>
      <c r="G120" s="4">
        <v>104.1</v>
      </c>
      <c r="H120" s="1" t="s">
        <v>23</v>
      </c>
      <c r="K120">
        <v>2013</v>
      </c>
      <c r="L120" t="s">
        <v>41</v>
      </c>
      <c r="M120" t="s">
        <v>55</v>
      </c>
      <c r="N120" t="s">
        <v>20</v>
      </c>
      <c r="O120" t="s">
        <v>20</v>
      </c>
      <c r="P120" s="1" t="s">
        <v>34</v>
      </c>
      <c r="Q120">
        <v>108.9</v>
      </c>
    </row>
    <row r="121" spans="1:17" x14ac:dyDescent="0.3">
      <c r="A121">
        <v>2013</v>
      </c>
      <c r="B121" t="s">
        <v>31</v>
      </c>
      <c r="C121" t="s">
        <v>58</v>
      </c>
      <c r="D121" s="1" t="s">
        <v>22</v>
      </c>
      <c r="E121" s="4">
        <v>104.8</v>
      </c>
      <c r="F121" s="4">
        <v>104.8</v>
      </c>
      <c r="G121" s="4">
        <v>104.8</v>
      </c>
      <c r="H121" s="1" t="s">
        <v>20</v>
      </c>
      <c r="K121">
        <v>2013</v>
      </c>
      <c r="L121" t="s">
        <v>41</v>
      </c>
      <c r="M121" t="s">
        <v>55</v>
      </c>
      <c r="N121" t="s">
        <v>20</v>
      </c>
      <c r="O121" t="s">
        <v>20</v>
      </c>
      <c r="P121" s="1" t="s">
        <v>33</v>
      </c>
      <c r="Q121">
        <v>108.9</v>
      </c>
    </row>
    <row r="122" spans="1:17" x14ac:dyDescent="0.3">
      <c r="A122">
        <v>2013</v>
      </c>
      <c r="B122" t="s">
        <v>31</v>
      </c>
      <c r="C122" t="s">
        <v>58</v>
      </c>
      <c r="D122" s="1" t="s">
        <v>20</v>
      </c>
      <c r="E122" s="4">
        <v>0</v>
      </c>
      <c r="F122" s="4">
        <v>100.3</v>
      </c>
      <c r="G122" s="4">
        <v>100.3</v>
      </c>
      <c r="H122" s="1" t="s">
        <v>20</v>
      </c>
      <c r="K122">
        <v>2013</v>
      </c>
      <c r="L122" t="s">
        <v>41</v>
      </c>
      <c r="M122" t="s">
        <v>55</v>
      </c>
      <c r="N122" t="s">
        <v>4</v>
      </c>
      <c r="O122" t="s">
        <v>188</v>
      </c>
      <c r="P122" s="1" t="s">
        <v>30</v>
      </c>
      <c r="Q122">
        <v>115.4</v>
      </c>
    </row>
    <row r="123" spans="1:17" x14ac:dyDescent="0.3">
      <c r="A123">
        <v>2013</v>
      </c>
      <c r="B123" t="s">
        <v>31</v>
      </c>
      <c r="C123" t="s">
        <v>58</v>
      </c>
      <c r="D123" s="1" t="s">
        <v>4</v>
      </c>
      <c r="E123" s="4">
        <v>106.3</v>
      </c>
      <c r="F123" s="4">
        <v>107.3</v>
      </c>
      <c r="G123" s="4">
        <v>109.1</v>
      </c>
      <c r="H123" s="1" t="s">
        <v>188</v>
      </c>
      <c r="K123">
        <v>2013</v>
      </c>
      <c r="L123" t="s">
        <v>41</v>
      </c>
      <c r="M123" t="s">
        <v>55</v>
      </c>
      <c r="N123" t="s">
        <v>4</v>
      </c>
      <c r="O123" t="s">
        <v>188</v>
      </c>
      <c r="P123" s="1" t="s">
        <v>34</v>
      </c>
      <c r="Q123">
        <v>117.2</v>
      </c>
    </row>
    <row r="124" spans="1:17" x14ac:dyDescent="0.3">
      <c r="A124">
        <v>2013</v>
      </c>
      <c r="B124" t="s">
        <v>31</v>
      </c>
      <c r="C124" t="s">
        <v>58</v>
      </c>
      <c r="D124" s="1" t="s">
        <v>6</v>
      </c>
      <c r="E124" s="4">
        <v>104.9</v>
      </c>
      <c r="F124" s="4">
        <v>104.4</v>
      </c>
      <c r="G124" s="4">
        <v>103.6</v>
      </c>
      <c r="H124" s="1" t="s">
        <v>188</v>
      </c>
      <c r="K124">
        <v>2013</v>
      </c>
      <c r="L124" t="s">
        <v>41</v>
      </c>
      <c r="M124" t="s">
        <v>55</v>
      </c>
      <c r="N124" t="s">
        <v>4</v>
      </c>
      <c r="O124" t="s">
        <v>188</v>
      </c>
      <c r="P124" s="1" t="s">
        <v>33</v>
      </c>
      <c r="Q124">
        <v>120.4</v>
      </c>
    </row>
    <row r="125" spans="1:17" x14ac:dyDescent="0.3">
      <c r="A125">
        <v>2013</v>
      </c>
      <c r="B125" t="s">
        <v>31</v>
      </c>
      <c r="C125" t="s">
        <v>58</v>
      </c>
      <c r="D125" s="1" t="s">
        <v>28</v>
      </c>
      <c r="E125" s="4">
        <v>104</v>
      </c>
      <c r="F125" s="4">
        <v>103.9</v>
      </c>
      <c r="G125" s="4">
        <v>103.7</v>
      </c>
      <c r="H125" s="1" t="s">
        <v>192</v>
      </c>
      <c r="K125">
        <v>2013</v>
      </c>
      <c r="L125" t="s">
        <v>41</v>
      </c>
      <c r="M125" t="s">
        <v>55</v>
      </c>
      <c r="N125" t="s">
        <v>6</v>
      </c>
      <c r="O125" t="s">
        <v>188</v>
      </c>
      <c r="P125" s="1" t="s">
        <v>30</v>
      </c>
      <c r="Q125">
        <v>110</v>
      </c>
    </row>
    <row r="126" spans="1:17" x14ac:dyDescent="0.3">
      <c r="A126">
        <v>2013</v>
      </c>
      <c r="B126" t="s">
        <v>31</v>
      </c>
      <c r="C126" t="s">
        <v>58</v>
      </c>
      <c r="D126" s="1" t="s">
        <v>13</v>
      </c>
      <c r="E126" s="4">
        <v>104.8</v>
      </c>
      <c r="F126" s="4">
        <v>104.9</v>
      </c>
      <c r="G126" s="4">
        <v>105.1</v>
      </c>
      <c r="H126" s="1" t="s">
        <v>188</v>
      </c>
      <c r="K126">
        <v>2013</v>
      </c>
      <c r="L126" t="s">
        <v>41</v>
      </c>
      <c r="M126" t="s">
        <v>55</v>
      </c>
      <c r="N126" t="s">
        <v>6</v>
      </c>
      <c r="O126" t="s">
        <v>188</v>
      </c>
      <c r="P126" s="1" t="s">
        <v>34</v>
      </c>
      <c r="Q126">
        <v>109.6</v>
      </c>
    </row>
    <row r="127" spans="1:17" x14ac:dyDescent="0.3">
      <c r="A127">
        <v>2013</v>
      </c>
      <c r="B127" t="s">
        <v>31</v>
      </c>
      <c r="C127" t="s">
        <v>58</v>
      </c>
      <c r="D127" s="1" t="s">
        <v>7</v>
      </c>
      <c r="E127" s="4">
        <v>106.1</v>
      </c>
      <c r="F127" s="4">
        <v>105.1</v>
      </c>
      <c r="G127" s="4">
        <v>103.4</v>
      </c>
      <c r="H127" s="1" t="s">
        <v>188</v>
      </c>
      <c r="K127">
        <v>2013</v>
      </c>
      <c r="L127" t="s">
        <v>41</v>
      </c>
      <c r="M127" t="s">
        <v>55</v>
      </c>
      <c r="N127" t="s">
        <v>6</v>
      </c>
      <c r="O127" t="s">
        <v>188</v>
      </c>
      <c r="P127" s="1" t="s">
        <v>33</v>
      </c>
      <c r="Q127">
        <v>108.9</v>
      </c>
    </row>
    <row r="128" spans="1:17" x14ac:dyDescent="0.3">
      <c r="A128">
        <v>2013</v>
      </c>
      <c r="B128" t="s">
        <v>31</v>
      </c>
      <c r="C128" t="s">
        <v>58</v>
      </c>
      <c r="D128" s="1" t="s">
        <v>16</v>
      </c>
      <c r="E128" s="4">
        <v>105.1</v>
      </c>
      <c r="F128" s="4">
        <v>105.1</v>
      </c>
      <c r="G128" s="4">
        <v>105.2</v>
      </c>
      <c r="H128" s="1" t="s">
        <v>192</v>
      </c>
      <c r="K128">
        <v>2013</v>
      </c>
      <c r="L128" t="s">
        <v>41</v>
      </c>
      <c r="M128" t="s">
        <v>55</v>
      </c>
      <c r="N128" t="s">
        <v>28</v>
      </c>
      <c r="O128" t="s">
        <v>192</v>
      </c>
      <c r="P128" s="1" t="s">
        <v>30</v>
      </c>
      <c r="Q128">
        <v>107.5</v>
      </c>
    </row>
    <row r="129" spans="1:17" x14ac:dyDescent="0.3">
      <c r="A129">
        <v>2013</v>
      </c>
      <c r="B129" t="s">
        <v>31</v>
      </c>
      <c r="C129" t="s">
        <v>58</v>
      </c>
      <c r="D129" s="1" t="s">
        <v>27</v>
      </c>
      <c r="E129" s="4">
        <v>104.7</v>
      </c>
      <c r="F129" s="4">
        <v>104.5</v>
      </c>
      <c r="G129" s="4">
        <v>104.3</v>
      </c>
      <c r="H129" s="1" t="s">
        <v>192</v>
      </c>
      <c r="K129">
        <v>2013</v>
      </c>
      <c r="L129" t="s">
        <v>41</v>
      </c>
      <c r="M129" t="s">
        <v>55</v>
      </c>
      <c r="N129" t="s">
        <v>28</v>
      </c>
      <c r="O129" t="s">
        <v>192</v>
      </c>
      <c r="P129" s="1" t="s">
        <v>34</v>
      </c>
      <c r="Q129">
        <v>107.9</v>
      </c>
    </row>
    <row r="130" spans="1:17" x14ac:dyDescent="0.3">
      <c r="A130">
        <v>2013</v>
      </c>
      <c r="B130" t="s">
        <v>31</v>
      </c>
      <c r="C130" t="s">
        <v>58</v>
      </c>
      <c r="D130" s="1" t="s">
        <v>14</v>
      </c>
      <c r="E130" s="4">
        <v>106.7</v>
      </c>
      <c r="F130" s="4">
        <v>107.3</v>
      </c>
      <c r="G130" s="4">
        <v>107.9</v>
      </c>
      <c r="H130" s="1" t="s">
        <v>188</v>
      </c>
      <c r="K130">
        <v>2013</v>
      </c>
      <c r="L130" t="s">
        <v>41</v>
      </c>
      <c r="M130" t="s">
        <v>55</v>
      </c>
      <c r="N130" t="s">
        <v>28</v>
      </c>
      <c r="O130" t="s">
        <v>192</v>
      </c>
      <c r="P130" s="1" t="s">
        <v>33</v>
      </c>
      <c r="Q130">
        <v>108.3</v>
      </c>
    </row>
    <row r="131" spans="1:17" x14ac:dyDescent="0.3">
      <c r="A131">
        <v>2013</v>
      </c>
      <c r="B131" t="s">
        <v>31</v>
      </c>
      <c r="C131" t="s">
        <v>58</v>
      </c>
      <c r="D131" s="1" t="s">
        <v>10</v>
      </c>
      <c r="E131" s="4">
        <v>106.1</v>
      </c>
      <c r="F131" s="4">
        <v>106</v>
      </c>
      <c r="G131" s="4">
        <v>105.8</v>
      </c>
      <c r="H131" s="1" t="s">
        <v>188</v>
      </c>
      <c r="K131">
        <v>2013</v>
      </c>
      <c r="L131" t="s">
        <v>41</v>
      </c>
      <c r="M131" t="s">
        <v>55</v>
      </c>
      <c r="N131" t="s">
        <v>13</v>
      </c>
      <c r="O131" t="s">
        <v>188</v>
      </c>
      <c r="P131" s="1" t="s">
        <v>30</v>
      </c>
      <c r="Q131">
        <v>109.7</v>
      </c>
    </row>
    <row r="132" spans="1:17" x14ac:dyDescent="0.3">
      <c r="A132">
        <v>2013</v>
      </c>
      <c r="B132" t="s">
        <v>31</v>
      </c>
      <c r="C132" t="s">
        <v>58</v>
      </c>
      <c r="D132" s="1" t="s">
        <v>25</v>
      </c>
      <c r="E132" s="4">
        <v>103.4</v>
      </c>
      <c r="F132" s="4">
        <v>103.1</v>
      </c>
      <c r="G132" s="4">
        <v>102.9</v>
      </c>
      <c r="H132" s="1" t="s">
        <v>195</v>
      </c>
      <c r="K132">
        <v>2013</v>
      </c>
      <c r="L132" t="s">
        <v>41</v>
      </c>
      <c r="M132" t="s">
        <v>55</v>
      </c>
      <c r="N132" t="s">
        <v>13</v>
      </c>
      <c r="O132" t="s">
        <v>188</v>
      </c>
      <c r="P132" s="1" t="s">
        <v>34</v>
      </c>
      <c r="Q132">
        <v>110.2</v>
      </c>
    </row>
    <row r="133" spans="1:17" x14ac:dyDescent="0.3">
      <c r="A133">
        <v>2013</v>
      </c>
      <c r="B133" t="s">
        <v>31</v>
      </c>
      <c r="C133" t="s">
        <v>58</v>
      </c>
      <c r="D133" s="1" t="s">
        <v>12</v>
      </c>
      <c r="E133" s="4">
        <v>103.1</v>
      </c>
      <c r="F133" s="4">
        <v>102.7</v>
      </c>
      <c r="G133" s="4">
        <v>101.8</v>
      </c>
      <c r="H133" s="1" t="s">
        <v>188</v>
      </c>
      <c r="K133">
        <v>2013</v>
      </c>
      <c r="L133" t="s">
        <v>41</v>
      </c>
      <c r="M133" t="s">
        <v>55</v>
      </c>
      <c r="N133" t="s">
        <v>13</v>
      </c>
      <c r="O133" t="s">
        <v>188</v>
      </c>
      <c r="P133" s="1" t="s">
        <v>33</v>
      </c>
      <c r="Q133">
        <v>110.9</v>
      </c>
    </row>
    <row r="134" spans="1:17" x14ac:dyDescent="0.3">
      <c r="A134">
        <v>2013</v>
      </c>
      <c r="B134" t="s">
        <v>31</v>
      </c>
      <c r="C134" t="s">
        <v>58</v>
      </c>
      <c r="D134" s="1" t="s">
        <v>11</v>
      </c>
      <c r="E134" s="4">
        <v>106.8</v>
      </c>
      <c r="F134" s="4">
        <v>106.2</v>
      </c>
      <c r="G134" s="4">
        <v>105.1</v>
      </c>
      <c r="H134" s="1" t="s">
        <v>188</v>
      </c>
      <c r="K134">
        <v>2013</v>
      </c>
      <c r="L134" t="s">
        <v>41</v>
      </c>
      <c r="M134" t="s">
        <v>55</v>
      </c>
      <c r="N134" t="s">
        <v>7</v>
      </c>
      <c r="O134" t="s">
        <v>188</v>
      </c>
      <c r="P134" s="1" t="s">
        <v>30</v>
      </c>
      <c r="Q134">
        <v>106.4</v>
      </c>
    </row>
    <row r="135" spans="1:17" x14ac:dyDescent="0.3">
      <c r="A135">
        <v>2013</v>
      </c>
      <c r="B135" t="s">
        <v>31</v>
      </c>
      <c r="C135" t="s">
        <v>58</v>
      </c>
      <c r="D135" s="1" t="s">
        <v>24</v>
      </c>
      <c r="E135" s="4">
        <v>103.3</v>
      </c>
      <c r="F135" s="4">
        <v>103.2</v>
      </c>
      <c r="G135" s="4">
        <v>103.2</v>
      </c>
      <c r="H135" s="1" t="s">
        <v>191</v>
      </c>
      <c r="K135">
        <v>2013</v>
      </c>
      <c r="L135" t="s">
        <v>41</v>
      </c>
      <c r="M135" t="s">
        <v>55</v>
      </c>
      <c r="N135" t="s">
        <v>7</v>
      </c>
      <c r="O135" t="s">
        <v>188</v>
      </c>
      <c r="P135" s="1" t="s">
        <v>34</v>
      </c>
      <c r="Q135">
        <v>104.5</v>
      </c>
    </row>
    <row r="136" spans="1:17" x14ac:dyDescent="0.3">
      <c r="A136">
        <v>2013</v>
      </c>
      <c r="B136" t="s">
        <v>31</v>
      </c>
      <c r="C136" t="s">
        <v>58</v>
      </c>
      <c r="D136" s="1" t="s">
        <v>9</v>
      </c>
      <c r="E136" s="4">
        <v>101.9</v>
      </c>
      <c r="F136" s="4">
        <v>102.2</v>
      </c>
      <c r="G136" s="4">
        <v>102.9</v>
      </c>
      <c r="H136" s="1" t="s">
        <v>188</v>
      </c>
      <c r="K136">
        <v>2013</v>
      </c>
      <c r="L136" t="s">
        <v>41</v>
      </c>
      <c r="M136" t="s">
        <v>55</v>
      </c>
      <c r="N136" t="s">
        <v>7</v>
      </c>
      <c r="O136" t="s">
        <v>188</v>
      </c>
      <c r="P136" s="1" t="s">
        <v>33</v>
      </c>
      <c r="Q136">
        <v>101.1</v>
      </c>
    </row>
    <row r="137" spans="1:17" x14ac:dyDescent="0.3">
      <c r="A137">
        <v>2013</v>
      </c>
      <c r="B137" t="s">
        <v>40</v>
      </c>
      <c r="C137" t="s">
        <v>59</v>
      </c>
      <c r="D137" s="1" t="s">
        <v>3</v>
      </c>
      <c r="E137" s="4">
        <v>113.4</v>
      </c>
      <c r="F137" s="4">
        <v>114.8</v>
      </c>
      <c r="G137" s="4">
        <v>117.8</v>
      </c>
      <c r="H137" s="1" t="s">
        <v>188</v>
      </c>
      <c r="K137">
        <v>2013</v>
      </c>
      <c r="L137" t="s">
        <v>41</v>
      </c>
      <c r="M137" t="s">
        <v>55</v>
      </c>
      <c r="N137" t="s">
        <v>16</v>
      </c>
      <c r="O137" t="s">
        <v>192</v>
      </c>
      <c r="P137" s="1" t="s">
        <v>30</v>
      </c>
      <c r="Q137">
        <v>110.7</v>
      </c>
    </row>
    <row r="138" spans="1:17" x14ac:dyDescent="0.3">
      <c r="A138">
        <v>2013</v>
      </c>
      <c r="B138" t="s">
        <v>40</v>
      </c>
      <c r="C138" t="s">
        <v>59</v>
      </c>
      <c r="D138" s="1" t="s">
        <v>17</v>
      </c>
      <c r="E138" s="4">
        <v>110.5</v>
      </c>
      <c r="F138" s="4">
        <v>110.2</v>
      </c>
      <c r="G138" s="4">
        <v>109.8</v>
      </c>
      <c r="H138" s="1" t="s">
        <v>189</v>
      </c>
      <c r="K138">
        <v>2013</v>
      </c>
      <c r="L138" t="s">
        <v>41</v>
      </c>
      <c r="M138" t="s">
        <v>55</v>
      </c>
      <c r="N138" t="s">
        <v>16</v>
      </c>
      <c r="O138" t="s">
        <v>192</v>
      </c>
      <c r="P138" s="1" t="s">
        <v>34</v>
      </c>
      <c r="Q138">
        <v>111.2</v>
      </c>
    </row>
    <row r="139" spans="1:17" x14ac:dyDescent="0.3">
      <c r="A139">
        <v>2013</v>
      </c>
      <c r="B139" t="s">
        <v>40</v>
      </c>
      <c r="C139" t="s">
        <v>59</v>
      </c>
      <c r="D139" s="1" t="s">
        <v>19</v>
      </c>
      <c r="E139" s="4">
        <v>110.3</v>
      </c>
      <c r="F139" s="4">
        <v>110</v>
      </c>
      <c r="G139" s="4">
        <v>109.5</v>
      </c>
      <c r="H139" s="1" t="s">
        <v>189</v>
      </c>
      <c r="K139">
        <v>2013</v>
      </c>
      <c r="L139" t="s">
        <v>41</v>
      </c>
      <c r="M139" t="s">
        <v>55</v>
      </c>
      <c r="N139" t="s">
        <v>16</v>
      </c>
      <c r="O139" t="s">
        <v>192</v>
      </c>
      <c r="P139" s="1" t="s">
        <v>33</v>
      </c>
      <c r="Q139">
        <v>112.4</v>
      </c>
    </row>
    <row r="140" spans="1:17" x14ac:dyDescent="0.3">
      <c r="A140">
        <v>2013</v>
      </c>
      <c r="B140" t="s">
        <v>40</v>
      </c>
      <c r="C140" t="s">
        <v>59</v>
      </c>
      <c r="D140" s="1" t="s">
        <v>26</v>
      </c>
      <c r="E140" s="4">
        <v>107.8</v>
      </c>
      <c r="F140" s="4">
        <v>109.1</v>
      </c>
      <c r="G140" s="4">
        <v>110.1</v>
      </c>
      <c r="H140" s="1" t="s">
        <v>26</v>
      </c>
      <c r="K140">
        <v>2013</v>
      </c>
      <c r="L140" t="s">
        <v>41</v>
      </c>
      <c r="M140" t="s">
        <v>55</v>
      </c>
      <c r="N140" t="s">
        <v>27</v>
      </c>
      <c r="O140" t="s">
        <v>192</v>
      </c>
      <c r="P140" s="1" t="s">
        <v>30</v>
      </c>
      <c r="Q140">
        <v>105</v>
      </c>
    </row>
    <row r="141" spans="1:17" x14ac:dyDescent="0.3">
      <c r="A141">
        <v>2013</v>
      </c>
      <c r="B141" t="s">
        <v>40</v>
      </c>
      <c r="C141" t="s">
        <v>59</v>
      </c>
      <c r="D141" s="1" t="s">
        <v>5</v>
      </c>
      <c r="E141" s="4">
        <v>110.5</v>
      </c>
      <c r="F141" s="4">
        <v>111.9</v>
      </c>
      <c r="G141" s="4">
        <v>114</v>
      </c>
      <c r="H141" s="1" t="s">
        <v>188</v>
      </c>
      <c r="K141">
        <v>2013</v>
      </c>
      <c r="L141" t="s">
        <v>41</v>
      </c>
      <c r="M141" t="s">
        <v>55</v>
      </c>
      <c r="N141" t="s">
        <v>27</v>
      </c>
      <c r="O141" t="s">
        <v>192</v>
      </c>
      <c r="P141" s="1" t="s">
        <v>34</v>
      </c>
      <c r="Q141">
        <v>105.4</v>
      </c>
    </row>
    <row r="142" spans="1:17" x14ac:dyDescent="0.3">
      <c r="A142">
        <v>2013</v>
      </c>
      <c r="B142" t="s">
        <v>40</v>
      </c>
      <c r="C142" t="s">
        <v>59</v>
      </c>
      <c r="D142" s="1" t="s">
        <v>15</v>
      </c>
      <c r="E142" s="4">
        <v>113.1</v>
      </c>
      <c r="F142" s="4">
        <v>114.7</v>
      </c>
      <c r="G142" s="4">
        <v>117.5</v>
      </c>
      <c r="H142" s="1" t="s">
        <v>188</v>
      </c>
      <c r="K142">
        <v>2013</v>
      </c>
      <c r="L142" t="s">
        <v>41</v>
      </c>
      <c r="M142" t="s">
        <v>55</v>
      </c>
      <c r="N142" t="s">
        <v>27</v>
      </c>
      <c r="O142" t="s">
        <v>192</v>
      </c>
      <c r="P142" s="1" t="s">
        <v>33</v>
      </c>
      <c r="Q142">
        <v>106</v>
      </c>
    </row>
    <row r="143" spans="1:17" x14ac:dyDescent="0.3">
      <c r="A143">
        <v>2013</v>
      </c>
      <c r="B143" t="s">
        <v>40</v>
      </c>
      <c r="C143" t="s">
        <v>59</v>
      </c>
      <c r="D143" s="1" t="s">
        <v>18</v>
      </c>
      <c r="E143" s="4">
        <v>109.5</v>
      </c>
      <c r="F143" s="4">
        <v>108.8</v>
      </c>
      <c r="G143" s="4">
        <v>107.8</v>
      </c>
      <c r="H143" s="1" t="s">
        <v>189</v>
      </c>
      <c r="K143">
        <v>2013</v>
      </c>
      <c r="L143" t="s">
        <v>41</v>
      </c>
      <c r="M143" t="s">
        <v>55</v>
      </c>
      <c r="N143" t="s">
        <v>14</v>
      </c>
      <c r="O143" t="s">
        <v>188</v>
      </c>
      <c r="P143" s="1" t="s">
        <v>30</v>
      </c>
      <c r="Q143">
        <v>112.6</v>
      </c>
    </row>
    <row r="144" spans="1:17" x14ac:dyDescent="0.3">
      <c r="A144">
        <v>2013</v>
      </c>
      <c r="B144" t="s">
        <v>40</v>
      </c>
      <c r="C144" t="s">
        <v>59</v>
      </c>
      <c r="D144" s="1" t="s">
        <v>8</v>
      </c>
      <c r="E144" s="4">
        <v>110.3</v>
      </c>
      <c r="F144" s="4">
        <v>111.7</v>
      </c>
      <c r="G144" s="4">
        <v>113.2</v>
      </c>
      <c r="H144" s="1" t="s">
        <v>188</v>
      </c>
      <c r="K144">
        <v>2013</v>
      </c>
      <c r="L144" t="s">
        <v>41</v>
      </c>
      <c r="M144" t="s">
        <v>55</v>
      </c>
      <c r="N144" t="s">
        <v>14</v>
      </c>
      <c r="O144" t="s">
        <v>188</v>
      </c>
      <c r="P144" s="1" t="s">
        <v>34</v>
      </c>
      <c r="Q144">
        <v>113.4</v>
      </c>
    </row>
    <row r="145" spans="1:17" x14ac:dyDescent="0.3">
      <c r="A145">
        <v>2013</v>
      </c>
      <c r="B145" t="s">
        <v>40</v>
      </c>
      <c r="C145" t="s">
        <v>59</v>
      </c>
      <c r="D145" s="1" t="s">
        <v>21</v>
      </c>
      <c r="E145" s="4">
        <v>109.5</v>
      </c>
      <c r="F145" s="4">
        <v>109.2</v>
      </c>
      <c r="G145" s="4">
        <v>108.6</v>
      </c>
      <c r="H145" s="1" t="s">
        <v>190</v>
      </c>
      <c r="K145">
        <v>2013</v>
      </c>
      <c r="L145" t="s">
        <v>41</v>
      </c>
      <c r="M145" t="s">
        <v>55</v>
      </c>
      <c r="N145" t="s">
        <v>14</v>
      </c>
      <c r="O145" t="s">
        <v>188</v>
      </c>
      <c r="P145" s="1" t="s">
        <v>33</v>
      </c>
      <c r="Q145">
        <v>114.3</v>
      </c>
    </row>
    <row r="146" spans="1:17" x14ac:dyDescent="0.3">
      <c r="A146">
        <v>2013</v>
      </c>
      <c r="B146" t="s">
        <v>40</v>
      </c>
      <c r="C146" t="s">
        <v>59</v>
      </c>
      <c r="D146" s="1" t="s">
        <v>29</v>
      </c>
      <c r="E146" s="4">
        <v>110.7</v>
      </c>
      <c r="F146" s="4">
        <v>111</v>
      </c>
      <c r="G146" s="4">
        <v>111.4</v>
      </c>
      <c r="H146" s="1" t="s">
        <v>206</v>
      </c>
      <c r="K146">
        <v>2013</v>
      </c>
      <c r="L146" t="s">
        <v>41</v>
      </c>
      <c r="M146" t="s">
        <v>55</v>
      </c>
      <c r="N146" t="s">
        <v>10</v>
      </c>
      <c r="O146" t="s">
        <v>188</v>
      </c>
      <c r="P146" s="1" t="s">
        <v>30</v>
      </c>
      <c r="Q146">
        <v>107.4</v>
      </c>
    </row>
    <row r="147" spans="1:17" x14ac:dyDescent="0.3">
      <c r="A147">
        <v>2013</v>
      </c>
      <c r="B147" t="s">
        <v>40</v>
      </c>
      <c r="C147" t="s">
        <v>59</v>
      </c>
      <c r="D147" s="1" t="s">
        <v>23</v>
      </c>
      <c r="E147" s="4">
        <v>106.9</v>
      </c>
      <c r="F147" s="4">
        <v>107</v>
      </c>
      <c r="G147" s="4">
        <v>107.1</v>
      </c>
      <c r="H147" s="1" t="s">
        <v>23</v>
      </c>
      <c r="K147">
        <v>2013</v>
      </c>
      <c r="L147" t="s">
        <v>41</v>
      </c>
      <c r="M147" t="s">
        <v>55</v>
      </c>
      <c r="N147" t="s">
        <v>10</v>
      </c>
      <c r="O147" t="s">
        <v>188</v>
      </c>
      <c r="P147" s="1" t="s">
        <v>34</v>
      </c>
      <c r="Q147">
        <v>106.5</v>
      </c>
    </row>
    <row r="148" spans="1:17" x14ac:dyDescent="0.3">
      <c r="A148">
        <v>2013</v>
      </c>
      <c r="B148" t="s">
        <v>40</v>
      </c>
      <c r="C148" t="s">
        <v>59</v>
      </c>
      <c r="D148" s="1" t="s">
        <v>22</v>
      </c>
      <c r="E148" s="4">
        <v>108.3</v>
      </c>
      <c r="F148" s="4">
        <v>108.2</v>
      </c>
      <c r="G148" s="4">
        <v>108.1</v>
      </c>
      <c r="H148" s="1" t="s">
        <v>20</v>
      </c>
      <c r="K148">
        <v>2013</v>
      </c>
      <c r="L148" t="s">
        <v>41</v>
      </c>
      <c r="M148" t="s">
        <v>55</v>
      </c>
      <c r="N148" t="s">
        <v>10</v>
      </c>
      <c r="O148" t="s">
        <v>188</v>
      </c>
      <c r="P148" s="1" t="s">
        <v>33</v>
      </c>
      <c r="Q148">
        <v>104.7</v>
      </c>
    </row>
    <row r="149" spans="1:17" x14ac:dyDescent="0.3">
      <c r="A149">
        <v>2013</v>
      </c>
      <c r="B149" t="s">
        <v>40</v>
      </c>
      <c r="C149" t="s">
        <v>59</v>
      </c>
      <c r="D149" s="1" t="s">
        <v>20</v>
      </c>
      <c r="E149" s="4">
        <v>0</v>
      </c>
      <c r="F149" s="4">
        <v>107.7</v>
      </c>
      <c r="G149" s="4">
        <v>107.7</v>
      </c>
      <c r="H149" s="1" t="s">
        <v>20</v>
      </c>
      <c r="K149">
        <v>2013</v>
      </c>
      <c r="L149" t="s">
        <v>41</v>
      </c>
      <c r="M149" t="s">
        <v>55</v>
      </c>
      <c r="N149" t="s">
        <v>25</v>
      </c>
      <c r="O149" t="s">
        <v>195</v>
      </c>
      <c r="P149" s="1" t="s">
        <v>30</v>
      </c>
      <c r="Q149">
        <v>106.8</v>
      </c>
    </row>
    <row r="150" spans="1:17" x14ac:dyDescent="0.3">
      <c r="A150">
        <v>2013</v>
      </c>
      <c r="B150" t="s">
        <v>40</v>
      </c>
      <c r="C150" t="s">
        <v>59</v>
      </c>
      <c r="D150" s="1" t="s">
        <v>4</v>
      </c>
      <c r="E150" s="4">
        <v>114.9</v>
      </c>
      <c r="F150" s="4">
        <v>116.4</v>
      </c>
      <c r="G150" s="4">
        <v>119.2</v>
      </c>
      <c r="H150" s="1" t="s">
        <v>188</v>
      </c>
      <c r="K150">
        <v>2013</v>
      </c>
      <c r="L150" t="s">
        <v>41</v>
      </c>
      <c r="M150" t="s">
        <v>55</v>
      </c>
      <c r="N150" t="s">
        <v>25</v>
      </c>
      <c r="O150" t="s">
        <v>195</v>
      </c>
      <c r="P150" s="1" t="s">
        <v>34</v>
      </c>
      <c r="Q150">
        <v>106.6</v>
      </c>
    </row>
    <row r="151" spans="1:17" x14ac:dyDescent="0.3">
      <c r="A151">
        <v>2013</v>
      </c>
      <c r="B151" t="s">
        <v>40</v>
      </c>
      <c r="C151" t="s">
        <v>59</v>
      </c>
      <c r="D151" s="1" t="s">
        <v>6</v>
      </c>
      <c r="E151" s="4">
        <v>109.3</v>
      </c>
      <c r="F151" s="4">
        <v>108.9</v>
      </c>
      <c r="G151" s="4">
        <v>108.3</v>
      </c>
      <c r="H151" s="1" t="s">
        <v>188</v>
      </c>
      <c r="K151">
        <v>2013</v>
      </c>
      <c r="L151" t="s">
        <v>41</v>
      </c>
      <c r="M151" t="s">
        <v>55</v>
      </c>
      <c r="N151" t="s">
        <v>25</v>
      </c>
      <c r="O151" t="s">
        <v>195</v>
      </c>
      <c r="P151" s="1" t="s">
        <v>33</v>
      </c>
      <c r="Q151">
        <v>106.5</v>
      </c>
    </row>
    <row r="152" spans="1:17" x14ac:dyDescent="0.3">
      <c r="A152">
        <v>2013</v>
      </c>
      <c r="B152" t="s">
        <v>40</v>
      </c>
      <c r="C152" t="s">
        <v>59</v>
      </c>
      <c r="D152" s="1" t="s">
        <v>28</v>
      </c>
      <c r="E152" s="4">
        <v>106.5</v>
      </c>
      <c r="F152" s="4">
        <v>106.9</v>
      </c>
      <c r="G152" s="4">
        <v>107.3</v>
      </c>
      <c r="H152" s="1" t="s">
        <v>192</v>
      </c>
      <c r="K152">
        <v>2013</v>
      </c>
      <c r="L152" t="s">
        <v>41</v>
      </c>
      <c r="M152" t="s">
        <v>55</v>
      </c>
      <c r="N152" t="s">
        <v>12</v>
      </c>
      <c r="O152" t="s">
        <v>188</v>
      </c>
      <c r="P152" s="1" t="s">
        <v>30</v>
      </c>
      <c r="Q152">
        <v>106.9</v>
      </c>
    </row>
    <row r="153" spans="1:17" x14ac:dyDescent="0.3">
      <c r="A153">
        <v>2013</v>
      </c>
      <c r="B153" t="s">
        <v>40</v>
      </c>
      <c r="C153" t="s">
        <v>59</v>
      </c>
      <c r="D153" s="1" t="s">
        <v>13</v>
      </c>
      <c r="E153" s="4">
        <v>109.1</v>
      </c>
      <c r="F153" s="4">
        <v>109.6</v>
      </c>
      <c r="G153" s="4">
        <v>110.4</v>
      </c>
      <c r="H153" s="1" t="s">
        <v>188</v>
      </c>
      <c r="K153">
        <v>2013</v>
      </c>
      <c r="L153" t="s">
        <v>41</v>
      </c>
      <c r="M153" t="s">
        <v>55</v>
      </c>
      <c r="N153" t="s">
        <v>12</v>
      </c>
      <c r="O153" t="s">
        <v>188</v>
      </c>
      <c r="P153" s="1" t="s">
        <v>34</v>
      </c>
      <c r="Q153">
        <v>107.4</v>
      </c>
    </row>
    <row r="154" spans="1:17" x14ac:dyDescent="0.3">
      <c r="A154">
        <v>2013</v>
      </c>
      <c r="B154" t="s">
        <v>40</v>
      </c>
      <c r="C154" t="s">
        <v>59</v>
      </c>
      <c r="D154" s="1" t="s">
        <v>7</v>
      </c>
      <c r="E154" s="4">
        <v>106.2</v>
      </c>
      <c r="F154" s="4">
        <v>104.3</v>
      </c>
      <c r="G154" s="4">
        <v>101.1</v>
      </c>
      <c r="H154" s="1" t="s">
        <v>188</v>
      </c>
      <c r="K154">
        <v>2013</v>
      </c>
      <c r="L154" t="s">
        <v>41</v>
      </c>
      <c r="M154" t="s">
        <v>55</v>
      </c>
      <c r="N154" t="s">
        <v>12</v>
      </c>
      <c r="O154" t="s">
        <v>188</v>
      </c>
      <c r="P154" s="1" t="s">
        <v>33</v>
      </c>
      <c r="Q154">
        <v>108.5</v>
      </c>
    </row>
    <row r="155" spans="1:17" x14ac:dyDescent="0.3">
      <c r="A155">
        <v>2013</v>
      </c>
      <c r="B155" t="s">
        <v>40</v>
      </c>
      <c r="C155" t="s">
        <v>59</v>
      </c>
      <c r="D155" s="1" t="s">
        <v>16</v>
      </c>
      <c r="E155" s="4">
        <v>109.8</v>
      </c>
      <c r="F155" s="4">
        <v>110.3</v>
      </c>
      <c r="G155" s="4">
        <v>111.7</v>
      </c>
      <c r="H155" s="1" t="s">
        <v>192</v>
      </c>
      <c r="K155">
        <v>2013</v>
      </c>
      <c r="L155" t="s">
        <v>41</v>
      </c>
      <c r="M155" t="s">
        <v>55</v>
      </c>
      <c r="N155" t="s">
        <v>11</v>
      </c>
      <c r="O155" t="s">
        <v>188</v>
      </c>
      <c r="P155" s="1" t="s">
        <v>30</v>
      </c>
      <c r="Q155">
        <v>104.1</v>
      </c>
    </row>
    <row r="156" spans="1:17" x14ac:dyDescent="0.3">
      <c r="A156">
        <v>2013</v>
      </c>
      <c r="B156" t="s">
        <v>40</v>
      </c>
      <c r="C156" t="s">
        <v>59</v>
      </c>
      <c r="D156" s="1" t="s">
        <v>27</v>
      </c>
      <c r="E156" s="4">
        <v>102.5</v>
      </c>
      <c r="F156" s="4">
        <v>102.8</v>
      </c>
      <c r="G156" s="4">
        <v>103.2</v>
      </c>
      <c r="H156" s="1" t="s">
        <v>192</v>
      </c>
      <c r="K156">
        <v>2013</v>
      </c>
      <c r="L156" t="s">
        <v>41</v>
      </c>
      <c r="M156" t="s">
        <v>55</v>
      </c>
      <c r="N156" t="s">
        <v>11</v>
      </c>
      <c r="O156" t="s">
        <v>188</v>
      </c>
      <c r="P156" s="1" t="s">
        <v>34</v>
      </c>
      <c r="Q156">
        <v>103.1</v>
      </c>
    </row>
    <row r="157" spans="1:17" x14ac:dyDescent="0.3">
      <c r="A157">
        <v>2013</v>
      </c>
      <c r="B157" t="s">
        <v>40</v>
      </c>
      <c r="C157" t="s">
        <v>59</v>
      </c>
      <c r="D157" s="1" t="s">
        <v>14</v>
      </c>
      <c r="E157" s="4">
        <v>112.1</v>
      </c>
      <c r="F157" s="4">
        <v>112.6</v>
      </c>
      <c r="G157" s="4">
        <v>113.1</v>
      </c>
      <c r="H157" s="1" t="s">
        <v>188</v>
      </c>
      <c r="K157">
        <v>2013</v>
      </c>
      <c r="L157" t="s">
        <v>41</v>
      </c>
      <c r="M157" t="s">
        <v>55</v>
      </c>
      <c r="N157" t="s">
        <v>11</v>
      </c>
      <c r="O157" t="s">
        <v>188</v>
      </c>
      <c r="P157" s="1" t="s">
        <v>33</v>
      </c>
      <c r="Q157">
        <v>101</v>
      </c>
    </row>
    <row r="158" spans="1:17" x14ac:dyDescent="0.3">
      <c r="A158">
        <v>2013</v>
      </c>
      <c r="B158" t="s">
        <v>40</v>
      </c>
      <c r="C158" t="s">
        <v>59</v>
      </c>
      <c r="D158" s="1" t="s">
        <v>10</v>
      </c>
      <c r="E158" s="4">
        <v>107.1</v>
      </c>
      <c r="F158" s="4">
        <v>106.4</v>
      </c>
      <c r="G158" s="4">
        <v>105.1</v>
      </c>
      <c r="H158" s="1" t="s">
        <v>188</v>
      </c>
      <c r="K158">
        <v>2013</v>
      </c>
      <c r="L158" t="s">
        <v>41</v>
      </c>
      <c r="M158" t="s">
        <v>55</v>
      </c>
      <c r="N158" t="s">
        <v>24</v>
      </c>
      <c r="O158" t="s">
        <v>191</v>
      </c>
      <c r="P158" s="1" t="s">
        <v>30</v>
      </c>
      <c r="Q158">
        <v>107.8</v>
      </c>
    </row>
    <row r="159" spans="1:17" x14ac:dyDescent="0.3">
      <c r="A159">
        <v>2013</v>
      </c>
      <c r="B159" t="s">
        <v>40</v>
      </c>
      <c r="C159" t="s">
        <v>59</v>
      </c>
      <c r="D159" s="1" t="s">
        <v>25</v>
      </c>
      <c r="E159" s="4">
        <v>106.4</v>
      </c>
      <c r="F159" s="4">
        <v>106.1</v>
      </c>
      <c r="G159" s="4">
        <v>105.9</v>
      </c>
      <c r="H159" s="1" t="s">
        <v>195</v>
      </c>
      <c r="K159">
        <v>2013</v>
      </c>
      <c r="L159" t="s">
        <v>41</v>
      </c>
      <c r="M159" t="s">
        <v>55</v>
      </c>
      <c r="N159" t="s">
        <v>24</v>
      </c>
      <c r="O159" t="s">
        <v>191</v>
      </c>
      <c r="P159" s="1" t="s">
        <v>34</v>
      </c>
      <c r="Q159">
        <v>108</v>
      </c>
    </row>
    <row r="160" spans="1:17" x14ac:dyDescent="0.3">
      <c r="A160">
        <v>2013</v>
      </c>
      <c r="B160" t="s">
        <v>40</v>
      </c>
      <c r="C160" t="s">
        <v>59</v>
      </c>
      <c r="D160" s="1" t="s">
        <v>12</v>
      </c>
      <c r="E160" s="4">
        <v>106.4</v>
      </c>
      <c r="F160" s="4">
        <v>106.8</v>
      </c>
      <c r="G160" s="4">
        <v>107.5</v>
      </c>
      <c r="H160" s="1" t="s">
        <v>188</v>
      </c>
      <c r="K160">
        <v>2013</v>
      </c>
      <c r="L160" t="s">
        <v>41</v>
      </c>
      <c r="M160" t="s">
        <v>55</v>
      </c>
      <c r="N160" t="s">
        <v>24</v>
      </c>
      <c r="O160" t="s">
        <v>191</v>
      </c>
      <c r="P160" s="1" t="s">
        <v>33</v>
      </c>
      <c r="Q160">
        <v>108.1</v>
      </c>
    </row>
    <row r="161" spans="1:17" x14ac:dyDescent="0.3">
      <c r="A161">
        <v>2013</v>
      </c>
      <c r="B161" t="s">
        <v>40</v>
      </c>
      <c r="C161" t="s">
        <v>59</v>
      </c>
      <c r="D161" s="1" t="s">
        <v>11</v>
      </c>
      <c r="E161" s="4">
        <v>104.3</v>
      </c>
      <c r="F161" s="4">
        <v>103.3</v>
      </c>
      <c r="G161" s="4">
        <v>101.3</v>
      </c>
      <c r="H161" s="1" t="s">
        <v>188</v>
      </c>
      <c r="K161">
        <v>2013</v>
      </c>
      <c r="L161" t="s">
        <v>41</v>
      </c>
      <c r="M161" t="s">
        <v>55</v>
      </c>
      <c r="N161" t="s">
        <v>9</v>
      </c>
      <c r="O161" t="s">
        <v>188</v>
      </c>
      <c r="P161" s="1" t="s">
        <v>30</v>
      </c>
      <c r="Q161">
        <v>138.9</v>
      </c>
    </row>
    <row r="162" spans="1:17" x14ac:dyDescent="0.3">
      <c r="A162">
        <v>2013</v>
      </c>
      <c r="B162" t="s">
        <v>40</v>
      </c>
      <c r="C162" t="s">
        <v>59</v>
      </c>
      <c r="D162" s="1" t="s">
        <v>24</v>
      </c>
      <c r="E162" s="4">
        <v>106.8</v>
      </c>
      <c r="F162" s="4">
        <v>107.1</v>
      </c>
      <c r="G162" s="4">
        <v>107.3</v>
      </c>
      <c r="H162" s="1" t="s">
        <v>191</v>
      </c>
      <c r="K162">
        <v>2013</v>
      </c>
      <c r="L162" t="s">
        <v>41</v>
      </c>
      <c r="M162" t="s">
        <v>55</v>
      </c>
      <c r="N162" t="s">
        <v>9</v>
      </c>
      <c r="O162" t="s">
        <v>188</v>
      </c>
      <c r="P162" s="1" t="s">
        <v>34</v>
      </c>
      <c r="Q162">
        <v>151.80000000000001</v>
      </c>
    </row>
    <row r="163" spans="1:17" x14ac:dyDescent="0.3">
      <c r="A163">
        <v>2013</v>
      </c>
      <c r="B163" t="s">
        <v>40</v>
      </c>
      <c r="C163" t="s">
        <v>59</v>
      </c>
      <c r="D163" s="1" t="s">
        <v>9</v>
      </c>
      <c r="E163" s="4">
        <v>129.19999999999999</v>
      </c>
      <c r="F163" s="4">
        <v>140</v>
      </c>
      <c r="G163" s="4">
        <v>160.9</v>
      </c>
      <c r="H163" s="1" t="s">
        <v>188</v>
      </c>
      <c r="K163">
        <v>2013</v>
      </c>
      <c r="L163" t="s">
        <v>41</v>
      </c>
      <c r="M163" t="s">
        <v>55</v>
      </c>
      <c r="N163" t="s">
        <v>9</v>
      </c>
      <c r="O163" t="s">
        <v>188</v>
      </c>
      <c r="P163" s="1" t="s">
        <v>33</v>
      </c>
      <c r="Q163">
        <v>177</v>
      </c>
    </row>
    <row r="164" spans="1:17" x14ac:dyDescent="0.3">
      <c r="A164">
        <v>2013</v>
      </c>
      <c r="B164" t="s">
        <v>39</v>
      </c>
      <c r="C164" t="s">
        <v>60</v>
      </c>
      <c r="D164" s="1" t="s">
        <v>3</v>
      </c>
      <c r="E164" s="4">
        <v>112.3</v>
      </c>
      <c r="F164" s="4">
        <v>113.8</v>
      </c>
      <c r="G164" s="4">
        <v>117</v>
      </c>
      <c r="H164" s="1" t="s">
        <v>188</v>
      </c>
      <c r="K164">
        <v>2013</v>
      </c>
      <c r="L164" t="s">
        <v>45</v>
      </c>
      <c r="M164" t="s">
        <v>56</v>
      </c>
      <c r="N164" t="s">
        <v>3</v>
      </c>
      <c r="O164" t="s">
        <v>188</v>
      </c>
      <c r="P164" s="1" t="s">
        <v>30</v>
      </c>
      <c r="Q164">
        <v>118.4</v>
      </c>
    </row>
    <row r="165" spans="1:17" x14ac:dyDescent="0.3">
      <c r="A165">
        <v>2013</v>
      </c>
      <c r="B165" t="s">
        <v>39</v>
      </c>
      <c r="C165" t="s">
        <v>60</v>
      </c>
      <c r="D165" s="1" t="s">
        <v>17</v>
      </c>
      <c r="E165" s="4">
        <v>109.7</v>
      </c>
      <c r="F165" s="4">
        <v>109.5</v>
      </c>
      <c r="G165" s="4">
        <v>109.2</v>
      </c>
      <c r="H165" s="1" t="s">
        <v>189</v>
      </c>
      <c r="K165">
        <v>2013</v>
      </c>
      <c r="L165" t="s">
        <v>45</v>
      </c>
      <c r="M165" t="s">
        <v>56</v>
      </c>
      <c r="N165" t="s">
        <v>3</v>
      </c>
      <c r="O165" t="s">
        <v>188</v>
      </c>
      <c r="P165" s="1" t="s">
        <v>34</v>
      </c>
      <c r="Q165">
        <v>119.1</v>
      </c>
    </row>
    <row r="166" spans="1:17" x14ac:dyDescent="0.3">
      <c r="A166">
        <v>2013</v>
      </c>
      <c r="B166" t="s">
        <v>39</v>
      </c>
      <c r="C166" t="s">
        <v>60</v>
      </c>
      <c r="D166" s="1" t="s">
        <v>19</v>
      </c>
      <c r="E166" s="4">
        <v>109.5</v>
      </c>
      <c r="F166" s="4">
        <v>109.3</v>
      </c>
      <c r="G166" s="4">
        <v>108.9</v>
      </c>
      <c r="H166" s="1" t="s">
        <v>189</v>
      </c>
      <c r="K166">
        <v>2013</v>
      </c>
      <c r="L166" t="s">
        <v>45</v>
      </c>
      <c r="M166" t="s">
        <v>56</v>
      </c>
      <c r="N166" t="s">
        <v>3</v>
      </c>
      <c r="O166" t="s">
        <v>188</v>
      </c>
      <c r="P166" s="1" t="s">
        <v>33</v>
      </c>
      <c r="Q166">
        <v>120.5</v>
      </c>
    </row>
    <row r="167" spans="1:17" x14ac:dyDescent="0.3">
      <c r="A167">
        <v>2013</v>
      </c>
      <c r="B167" t="s">
        <v>39</v>
      </c>
      <c r="C167" t="s">
        <v>60</v>
      </c>
      <c r="D167" s="1" t="s">
        <v>26</v>
      </c>
      <c r="E167" s="4">
        <v>106.5</v>
      </c>
      <c r="F167" s="4">
        <v>107.4</v>
      </c>
      <c r="G167" s="4">
        <v>108.1</v>
      </c>
      <c r="H167" s="1" t="s">
        <v>26</v>
      </c>
      <c r="K167">
        <v>2013</v>
      </c>
      <c r="L167" t="s">
        <v>45</v>
      </c>
      <c r="M167" t="s">
        <v>56</v>
      </c>
      <c r="N167" t="s">
        <v>17</v>
      </c>
      <c r="O167" t="s">
        <v>189</v>
      </c>
      <c r="P167" s="1" t="s">
        <v>30</v>
      </c>
      <c r="Q167">
        <v>115.8</v>
      </c>
    </row>
    <row r="168" spans="1:17" x14ac:dyDescent="0.3">
      <c r="A168">
        <v>2013</v>
      </c>
      <c r="B168" t="s">
        <v>39</v>
      </c>
      <c r="C168" t="s">
        <v>60</v>
      </c>
      <c r="D168" s="1" t="s">
        <v>5</v>
      </c>
      <c r="E168" s="4">
        <v>108.1</v>
      </c>
      <c r="F168" s="4">
        <v>109.8</v>
      </c>
      <c r="G168" s="4">
        <v>112.5</v>
      </c>
      <c r="H168" s="1" t="s">
        <v>188</v>
      </c>
      <c r="K168">
        <v>2013</v>
      </c>
      <c r="L168" t="s">
        <v>45</v>
      </c>
      <c r="M168" t="s">
        <v>56</v>
      </c>
      <c r="N168" t="s">
        <v>17</v>
      </c>
      <c r="O168" t="s">
        <v>189</v>
      </c>
      <c r="P168" s="1" t="s">
        <v>34</v>
      </c>
      <c r="Q168">
        <v>115.2</v>
      </c>
    </row>
    <row r="169" spans="1:17" x14ac:dyDescent="0.3">
      <c r="A169">
        <v>2013</v>
      </c>
      <c r="B169" t="s">
        <v>39</v>
      </c>
      <c r="C169" t="s">
        <v>60</v>
      </c>
      <c r="D169" s="1" t="s">
        <v>15</v>
      </c>
      <c r="E169" s="4">
        <v>110.6</v>
      </c>
      <c r="F169" s="4">
        <v>112.2</v>
      </c>
      <c r="G169" s="4">
        <v>115</v>
      </c>
      <c r="H169" s="1" t="s">
        <v>188</v>
      </c>
      <c r="K169">
        <v>2013</v>
      </c>
      <c r="L169" t="s">
        <v>45</v>
      </c>
      <c r="M169" t="s">
        <v>56</v>
      </c>
      <c r="N169" t="s">
        <v>17</v>
      </c>
      <c r="O169" t="s">
        <v>189</v>
      </c>
      <c r="P169" s="1" t="s">
        <v>33</v>
      </c>
      <c r="Q169">
        <v>114.2</v>
      </c>
    </row>
    <row r="170" spans="1:17" x14ac:dyDescent="0.3">
      <c r="A170">
        <v>2013</v>
      </c>
      <c r="B170" t="s">
        <v>39</v>
      </c>
      <c r="C170" t="s">
        <v>60</v>
      </c>
      <c r="D170" s="1" t="s">
        <v>18</v>
      </c>
      <c r="E170" s="4">
        <v>108.8</v>
      </c>
      <c r="F170" s="4">
        <v>108.1</v>
      </c>
      <c r="G170" s="4">
        <v>107.2</v>
      </c>
      <c r="H170" s="1" t="s">
        <v>189</v>
      </c>
      <c r="K170">
        <v>2013</v>
      </c>
      <c r="L170" t="s">
        <v>45</v>
      </c>
      <c r="M170" t="s">
        <v>56</v>
      </c>
      <c r="N170" t="s">
        <v>19</v>
      </c>
      <c r="O170" t="s">
        <v>189</v>
      </c>
      <c r="P170" s="1" t="s">
        <v>30</v>
      </c>
      <c r="Q170">
        <v>115.5</v>
      </c>
    </row>
    <row r="171" spans="1:17" x14ac:dyDescent="0.3">
      <c r="A171">
        <v>2013</v>
      </c>
      <c r="B171" t="s">
        <v>39</v>
      </c>
      <c r="C171" t="s">
        <v>60</v>
      </c>
      <c r="D171" s="1" t="s">
        <v>8</v>
      </c>
      <c r="E171" s="4">
        <v>109.2</v>
      </c>
      <c r="F171" s="4">
        <v>110.7</v>
      </c>
      <c r="G171" s="4">
        <v>112.4</v>
      </c>
      <c r="H171" s="1" t="s">
        <v>188</v>
      </c>
      <c r="K171">
        <v>2013</v>
      </c>
      <c r="L171" t="s">
        <v>45</v>
      </c>
      <c r="M171" t="s">
        <v>56</v>
      </c>
      <c r="N171" t="s">
        <v>19</v>
      </c>
      <c r="O171" t="s">
        <v>189</v>
      </c>
      <c r="P171" s="1" t="s">
        <v>34</v>
      </c>
      <c r="Q171">
        <v>114.8</v>
      </c>
    </row>
    <row r="172" spans="1:17" x14ac:dyDescent="0.3">
      <c r="A172">
        <v>2013</v>
      </c>
      <c r="B172" t="s">
        <v>39</v>
      </c>
      <c r="C172" t="s">
        <v>60</v>
      </c>
      <c r="D172" s="1" t="s">
        <v>21</v>
      </c>
      <c r="E172" s="4">
        <v>108.5</v>
      </c>
      <c r="F172" s="4">
        <v>108.3</v>
      </c>
      <c r="G172" s="4">
        <v>108</v>
      </c>
      <c r="H172" s="1" t="s">
        <v>190</v>
      </c>
      <c r="K172">
        <v>2013</v>
      </c>
      <c r="L172" t="s">
        <v>45</v>
      </c>
      <c r="M172" t="s">
        <v>56</v>
      </c>
      <c r="N172" t="s">
        <v>19</v>
      </c>
      <c r="O172" t="s">
        <v>189</v>
      </c>
      <c r="P172" s="1" t="s">
        <v>33</v>
      </c>
      <c r="Q172">
        <v>113.7</v>
      </c>
    </row>
    <row r="173" spans="1:17" x14ac:dyDescent="0.3">
      <c r="A173">
        <v>2013</v>
      </c>
      <c r="B173" t="s">
        <v>39</v>
      </c>
      <c r="C173" t="s">
        <v>60</v>
      </c>
      <c r="D173" s="1" t="s">
        <v>29</v>
      </c>
      <c r="E173" s="4">
        <v>108.9</v>
      </c>
      <c r="F173" s="4">
        <v>109.3</v>
      </c>
      <c r="G173" s="4">
        <v>109.7</v>
      </c>
      <c r="H173" s="1" t="s">
        <v>206</v>
      </c>
      <c r="K173">
        <v>2013</v>
      </c>
      <c r="L173" t="s">
        <v>45</v>
      </c>
      <c r="M173" t="s">
        <v>56</v>
      </c>
      <c r="N173" t="s">
        <v>26</v>
      </c>
      <c r="O173" t="s">
        <v>26</v>
      </c>
      <c r="P173" s="1" t="s">
        <v>30</v>
      </c>
      <c r="Q173">
        <v>111.6</v>
      </c>
    </row>
    <row r="174" spans="1:17" x14ac:dyDescent="0.3">
      <c r="A174">
        <v>2013</v>
      </c>
      <c r="B174" t="s">
        <v>39</v>
      </c>
      <c r="C174" t="s">
        <v>60</v>
      </c>
      <c r="D174" s="1" t="s">
        <v>23</v>
      </c>
      <c r="E174" s="4">
        <v>106.3</v>
      </c>
      <c r="F174" s="4">
        <v>106.4</v>
      </c>
      <c r="G174" s="4">
        <v>106.5</v>
      </c>
      <c r="H174" s="1" t="s">
        <v>23</v>
      </c>
      <c r="K174">
        <v>2013</v>
      </c>
      <c r="L174" t="s">
        <v>45</v>
      </c>
      <c r="M174" t="s">
        <v>56</v>
      </c>
      <c r="N174" t="s">
        <v>26</v>
      </c>
      <c r="O174" t="s">
        <v>26</v>
      </c>
      <c r="P174" s="1" t="s">
        <v>34</v>
      </c>
      <c r="Q174">
        <v>111.5</v>
      </c>
    </row>
    <row r="175" spans="1:17" x14ac:dyDescent="0.3">
      <c r="A175">
        <v>2013</v>
      </c>
      <c r="B175" t="s">
        <v>39</v>
      </c>
      <c r="C175" t="s">
        <v>60</v>
      </c>
      <c r="D175" s="1" t="s">
        <v>22</v>
      </c>
      <c r="E175" s="4">
        <v>107.5</v>
      </c>
      <c r="F175" s="4">
        <v>107.6</v>
      </c>
      <c r="G175" s="4">
        <v>107.7</v>
      </c>
      <c r="H175" s="1" t="s">
        <v>20</v>
      </c>
      <c r="K175">
        <v>2013</v>
      </c>
      <c r="L175" t="s">
        <v>45</v>
      </c>
      <c r="M175" t="s">
        <v>56</v>
      </c>
      <c r="N175" t="s">
        <v>26</v>
      </c>
      <c r="O175" t="s">
        <v>26</v>
      </c>
      <c r="P175" s="1" t="s">
        <v>33</v>
      </c>
      <c r="Q175">
        <v>111.4</v>
      </c>
    </row>
    <row r="176" spans="1:17" x14ac:dyDescent="0.3">
      <c r="A176">
        <v>2013</v>
      </c>
      <c r="B176" t="s">
        <v>39</v>
      </c>
      <c r="C176" t="s">
        <v>60</v>
      </c>
      <c r="D176" s="1" t="s">
        <v>20</v>
      </c>
      <c r="E176" s="4">
        <v>0</v>
      </c>
      <c r="F176" s="4">
        <v>106.6</v>
      </c>
      <c r="G176" s="4">
        <v>106.6</v>
      </c>
      <c r="H176" s="1" t="s">
        <v>20</v>
      </c>
      <c r="K176">
        <v>2013</v>
      </c>
      <c r="L176" t="s">
        <v>45</v>
      </c>
      <c r="M176" t="s">
        <v>56</v>
      </c>
      <c r="N176" t="s">
        <v>5</v>
      </c>
      <c r="O176" t="s">
        <v>188</v>
      </c>
      <c r="P176" s="1" t="s">
        <v>30</v>
      </c>
      <c r="Q176">
        <v>120.4</v>
      </c>
    </row>
    <row r="177" spans="1:17" x14ac:dyDescent="0.3">
      <c r="A177">
        <v>2013</v>
      </c>
      <c r="B177" t="s">
        <v>39</v>
      </c>
      <c r="C177" t="s">
        <v>60</v>
      </c>
      <c r="D177" s="1" t="s">
        <v>4</v>
      </c>
      <c r="E177" s="4">
        <v>112.1</v>
      </c>
      <c r="F177" s="4">
        <v>114.9</v>
      </c>
      <c r="G177" s="4">
        <v>120.1</v>
      </c>
      <c r="H177" s="1" t="s">
        <v>188</v>
      </c>
      <c r="K177">
        <v>2013</v>
      </c>
      <c r="L177" t="s">
        <v>45</v>
      </c>
      <c r="M177" t="s">
        <v>56</v>
      </c>
      <c r="N177" t="s">
        <v>5</v>
      </c>
      <c r="O177" t="s">
        <v>188</v>
      </c>
      <c r="P177" s="1" t="s">
        <v>34</v>
      </c>
      <c r="Q177">
        <v>123.5</v>
      </c>
    </row>
    <row r="178" spans="1:17" x14ac:dyDescent="0.3">
      <c r="A178">
        <v>2013</v>
      </c>
      <c r="B178" t="s">
        <v>39</v>
      </c>
      <c r="C178" t="s">
        <v>60</v>
      </c>
      <c r="D178" s="1" t="s">
        <v>6</v>
      </c>
      <c r="E178" s="4">
        <v>108.3</v>
      </c>
      <c r="F178" s="4">
        <v>107.9</v>
      </c>
      <c r="G178" s="4">
        <v>107.3</v>
      </c>
      <c r="H178" s="1" t="s">
        <v>188</v>
      </c>
      <c r="K178">
        <v>2013</v>
      </c>
      <c r="L178" t="s">
        <v>45</v>
      </c>
      <c r="M178" t="s">
        <v>56</v>
      </c>
      <c r="N178" t="s">
        <v>5</v>
      </c>
      <c r="O178" t="s">
        <v>188</v>
      </c>
      <c r="P178" s="1" t="s">
        <v>33</v>
      </c>
      <c r="Q178">
        <v>128.5</v>
      </c>
    </row>
    <row r="179" spans="1:17" x14ac:dyDescent="0.3">
      <c r="A179">
        <v>2013</v>
      </c>
      <c r="B179" t="s">
        <v>39</v>
      </c>
      <c r="C179" t="s">
        <v>60</v>
      </c>
      <c r="D179" s="1" t="s">
        <v>28</v>
      </c>
      <c r="E179" s="4">
        <v>105.5</v>
      </c>
      <c r="F179" s="4">
        <v>105.8</v>
      </c>
      <c r="G179" s="4">
        <v>106.1</v>
      </c>
      <c r="H179" s="1" t="s">
        <v>192</v>
      </c>
      <c r="K179">
        <v>2013</v>
      </c>
      <c r="L179" t="s">
        <v>45</v>
      </c>
      <c r="M179" t="s">
        <v>56</v>
      </c>
      <c r="N179" t="s">
        <v>15</v>
      </c>
      <c r="O179" t="s">
        <v>188</v>
      </c>
      <c r="P179" s="1" t="s">
        <v>30</v>
      </c>
      <c r="Q179">
        <v>118.7</v>
      </c>
    </row>
    <row r="180" spans="1:17" x14ac:dyDescent="0.3">
      <c r="A180">
        <v>2013</v>
      </c>
      <c r="B180" t="s">
        <v>39</v>
      </c>
      <c r="C180" t="s">
        <v>60</v>
      </c>
      <c r="D180" s="1" t="s">
        <v>13</v>
      </c>
      <c r="E180" s="4">
        <v>108.2</v>
      </c>
      <c r="F180" s="4">
        <v>109</v>
      </c>
      <c r="G180" s="4">
        <v>110</v>
      </c>
      <c r="H180" s="1" t="s">
        <v>188</v>
      </c>
      <c r="K180">
        <v>2013</v>
      </c>
      <c r="L180" t="s">
        <v>45</v>
      </c>
      <c r="M180" t="s">
        <v>56</v>
      </c>
      <c r="N180" t="s">
        <v>15</v>
      </c>
      <c r="O180" t="s">
        <v>188</v>
      </c>
      <c r="P180" s="1" t="s">
        <v>34</v>
      </c>
      <c r="Q180">
        <v>118.4</v>
      </c>
    </row>
    <row r="181" spans="1:17" x14ac:dyDescent="0.3">
      <c r="A181">
        <v>2013</v>
      </c>
      <c r="B181" t="s">
        <v>39</v>
      </c>
      <c r="C181" t="s">
        <v>60</v>
      </c>
      <c r="D181" s="1" t="s">
        <v>7</v>
      </c>
      <c r="E181" s="4">
        <v>105.9</v>
      </c>
      <c r="F181" s="4">
        <v>104.2</v>
      </c>
      <c r="G181" s="4">
        <v>101.3</v>
      </c>
      <c r="H181" s="1" t="s">
        <v>188</v>
      </c>
      <c r="K181">
        <v>2013</v>
      </c>
      <c r="L181" t="s">
        <v>45</v>
      </c>
      <c r="M181" t="s">
        <v>56</v>
      </c>
      <c r="N181" t="s">
        <v>15</v>
      </c>
      <c r="O181" t="s">
        <v>188</v>
      </c>
      <c r="P181" s="1" t="s">
        <v>33</v>
      </c>
      <c r="Q181">
        <v>117.8</v>
      </c>
    </row>
    <row r="182" spans="1:17" x14ac:dyDescent="0.3">
      <c r="A182">
        <v>2013</v>
      </c>
      <c r="B182" t="s">
        <v>39</v>
      </c>
      <c r="C182" t="s">
        <v>60</v>
      </c>
      <c r="D182" s="1" t="s">
        <v>16</v>
      </c>
      <c r="E182" s="4">
        <v>109</v>
      </c>
      <c r="F182" s="4">
        <v>109.5</v>
      </c>
      <c r="G182" s="4">
        <v>110.9</v>
      </c>
      <c r="H182" s="1" t="s">
        <v>192</v>
      </c>
      <c r="K182">
        <v>2013</v>
      </c>
      <c r="L182" t="s">
        <v>45</v>
      </c>
      <c r="M182" t="s">
        <v>56</v>
      </c>
      <c r="N182" t="s">
        <v>18</v>
      </c>
      <c r="O182" t="s">
        <v>189</v>
      </c>
      <c r="P182" s="1" t="s">
        <v>30</v>
      </c>
      <c r="Q182">
        <v>114</v>
      </c>
    </row>
    <row r="183" spans="1:17" x14ac:dyDescent="0.3">
      <c r="A183">
        <v>2013</v>
      </c>
      <c r="B183" t="s">
        <v>39</v>
      </c>
      <c r="C183" t="s">
        <v>60</v>
      </c>
      <c r="D183" s="1" t="s">
        <v>27</v>
      </c>
      <c r="E183" s="4">
        <v>102.5</v>
      </c>
      <c r="F183" s="4">
        <v>102.8</v>
      </c>
      <c r="G183" s="4">
        <v>103.3</v>
      </c>
      <c r="H183" s="1" t="s">
        <v>192</v>
      </c>
      <c r="K183">
        <v>2013</v>
      </c>
      <c r="L183" t="s">
        <v>45</v>
      </c>
      <c r="M183" t="s">
        <v>56</v>
      </c>
      <c r="N183" t="s">
        <v>18</v>
      </c>
      <c r="O183" t="s">
        <v>189</v>
      </c>
      <c r="P183" s="1" t="s">
        <v>34</v>
      </c>
      <c r="Q183">
        <v>112.7</v>
      </c>
    </row>
    <row r="184" spans="1:17" x14ac:dyDescent="0.3">
      <c r="A184">
        <v>2013</v>
      </c>
      <c r="B184" t="s">
        <v>39</v>
      </c>
      <c r="C184" t="s">
        <v>60</v>
      </c>
      <c r="D184" s="1" t="s">
        <v>14</v>
      </c>
      <c r="E184" s="4">
        <v>111</v>
      </c>
      <c r="F184" s="4">
        <v>111.6</v>
      </c>
      <c r="G184" s="4">
        <v>112.2</v>
      </c>
      <c r="H184" s="1" t="s">
        <v>188</v>
      </c>
      <c r="K184">
        <v>2013</v>
      </c>
      <c r="L184" t="s">
        <v>45</v>
      </c>
      <c r="M184" t="s">
        <v>56</v>
      </c>
      <c r="N184" t="s">
        <v>18</v>
      </c>
      <c r="O184" t="s">
        <v>189</v>
      </c>
      <c r="P184" s="1" t="s">
        <v>33</v>
      </c>
      <c r="Q184">
        <v>110.9</v>
      </c>
    </row>
    <row r="185" spans="1:17" x14ac:dyDescent="0.3">
      <c r="A185">
        <v>2013</v>
      </c>
      <c r="B185" t="s">
        <v>39</v>
      </c>
      <c r="C185" t="s">
        <v>60</v>
      </c>
      <c r="D185" s="1" t="s">
        <v>10</v>
      </c>
      <c r="E185" s="4">
        <v>106.8</v>
      </c>
      <c r="F185" s="4">
        <v>106.3</v>
      </c>
      <c r="G185" s="4">
        <v>105.4</v>
      </c>
      <c r="H185" s="1" t="s">
        <v>188</v>
      </c>
      <c r="K185">
        <v>2013</v>
      </c>
      <c r="L185" t="s">
        <v>45</v>
      </c>
      <c r="M185" t="s">
        <v>56</v>
      </c>
      <c r="N185" t="s">
        <v>8</v>
      </c>
      <c r="O185" t="s">
        <v>188</v>
      </c>
      <c r="P185" s="1" t="s">
        <v>30</v>
      </c>
      <c r="Q185">
        <v>115.5</v>
      </c>
    </row>
    <row r="186" spans="1:17" x14ac:dyDescent="0.3">
      <c r="A186">
        <v>2013</v>
      </c>
      <c r="B186" t="s">
        <v>39</v>
      </c>
      <c r="C186" t="s">
        <v>60</v>
      </c>
      <c r="D186" s="1" t="s">
        <v>25</v>
      </c>
      <c r="E186" s="4">
        <v>105.6</v>
      </c>
      <c r="F186" s="4">
        <v>105.4</v>
      </c>
      <c r="G186" s="4">
        <v>105.2</v>
      </c>
      <c r="H186" s="1" t="s">
        <v>195</v>
      </c>
      <c r="K186">
        <v>2013</v>
      </c>
      <c r="L186" t="s">
        <v>45</v>
      </c>
      <c r="M186" t="s">
        <v>56</v>
      </c>
      <c r="N186" t="s">
        <v>8</v>
      </c>
      <c r="O186" t="s">
        <v>188</v>
      </c>
      <c r="P186" s="1" t="s">
        <v>34</v>
      </c>
      <c r="Q186">
        <v>113.3</v>
      </c>
    </row>
    <row r="187" spans="1:17" x14ac:dyDescent="0.3">
      <c r="A187">
        <v>2013</v>
      </c>
      <c r="B187" t="s">
        <v>39</v>
      </c>
      <c r="C187" t="s">
        <v>60</v>
      </c>
      <c r="D187" s="1" t="s">
        <v>12</v>
      </c>
      <c r="E187" s="4">
        <v>105.4</v>
      </c>
      <c r="F187" s="4">
        <v>105.7</v>
      </c>
      <c r="G187" s="4">
        <v>106.4</v>
      </c>
      <c r="H187" s="1" t="s">
        <v>188</v>
      </c>
      <c r="K187">
        <v>2013</v>
      </c>
      <c r="L187" t="s">
        <v>45</v>
      </c>
      <c r="M187" t="s">
        <v>56</v>
      </c>
      <c r="N187" t="s">
        <v>8</v>
      </c>
      <c r="O187" t="s">
        <v>188</v>
      </c>
      <c r="P187" s="1" t="s">
        <v>33</v>
      </c>
      <c r="Q187">
        <v>110.7</v>
      </c>
    </row>
    <row r="188" spans="1:17" x14ac:dyDescent="0.3">
      <c r="A188">
        <v>2013</v>
      </c>
      <c r="B188" t="s">
        <v>39</v>
      </c>
      <c r="C188" t="s">
        <v>60</v>
      </c>
      <c r="D188" s="1" t="s">
        <v>11</v>
      </c>
      <c r="E188" s="4">
        <v>104.1</v>
      </c>
      <c r="F188" s="4">
        <v>103.2</v>
      </c>
      <c r="G188" s="4">
        <v>101.4</v>
      </c>
      <c r="H188" s="1" t="s">
        <v>188</v>
      </c>
      <c r="K188">
        <v>2013</v>
      </c>
      <c r="L188" t="s">
        <v>45</v>
      </c>
      <c r="M188" t="s">
        <v>56</v>
      </c>
      <c r="N188" t="s">
        <v>21</v>
      </c>
      <c r="O188" t="s">
        <v>190</v>
      </c>
      <c r="P188" s="1" t="s">
        <v>30</v>
      </c>
      <c r="Q188">
        <v>112.8</v>
      </c>
    </row>
    <row r="189" spans="1:17" x14ac:dyDescent="0.3">
      <c r="A189">
        <v>2013</v>
      </c>
      <c r="B189" t="s">
        <v>39</v>
      </c>
      <c r="C189" t="s">
        <v>60</v>
      </c>
      <c r="D189" s="1" t="s">
        <v>24</v>
      </c>
      <c r="E189" s="4">
        <v>105</v>
      </c>
      <c r="F189" s="4">
        <v>105.1</v>
      </c>
      <c r="G189" s="4">
        <v>105.2</v>
      </c>
      <c r="H189" s="1" t="s">
        <v>191</v>
      </c>
      <c r="K189">
        <v>2013</v>
      </c>
      <c r="L189" t="s">
        <v>45</v>
      </c>
      <c r="M189" t="s">
        <v>56</v>
      </c>
      <c r="N189" t="s">
        <v>21</v>
      </c>
      <c r="O189" t="s">
        <v>190</v>
      </c>
      <c r="P189" s="1" t="s">
        <v>34</v>
      </c>
      <c r="Q189">
        <v>111.9</v>
      </c>
    </row>
    <row r="190" spans="1:17" x14ac:dyDescent="0.3">
      <c r="A190">
        <v>2013</v>
      </c>
      <c r="B190" t="s">
        <v>39</v>
      </c>
      <c r="C190" t="s">
        <v>60</v>
      </c>
      <c r="D190" s="1" t="s">
        <v>9</v>
      </c>
      <c r="E190" s="4">
        <v>118</v>
      </c>
      <c r="F190" s="4">
        <v>126.7</v>
      </c>
      <c r="G190" s="4">
        <v>143.6</v>
      </c>
      <c r="H190" s="1" t="s">
        <v>188</v>
      </c>
      <c r="K190">
        <v>2013</v>
      </c>
      <c r="L190" t="s">
        <v>45</v>
      </c>
      <c r="M190" t="s">
        <v>56</v>
      </c>
      <c r="N190" t="s">
        <v>21</v>
      </c>
      <c r="O190" t="s">
        <v>190</v>
      </c>
      <c r="P190" s="1" t="s">
        <v>33</v>
      </c>
      <c r="Q190">
        <v>110.4</v>
      </c>
    </row>
    <row r="191" spans="1:17" x14ac:dyDescent="0.3">
      <c r="A191">
        <v>2013</v>
      </c>
      <c r="B191" t="s">
        <v>36</v>
      </c>
      <c r="C191" t="s">
        <v>61</v>
      </c>
      <c r="D191" s="1" t="s">
        <v>3</v>
      </c>
      <c r="E191" s="4">
        <v>110.2</v>
      </c>
      <c r="F191" s="4">
        <v>111.4</v>
      </c>
      <c r="G191" s="4">
        <v>113.9</v>
      </c>
      <c r="H191" s="1" t="s">
        <v>188</v>
      </c>
      <c r="K191">
        <v>2013</v>
      </c>
      <c r="L191" t="s">
        <v>45</v>
      </c>
      <c r="M191" t="s">
        <v>56</v>
      </c>
      <c r="N191" t="s">
        <v>29</v>
      </c>
      <c r="O191" t="s">
        <v>206</v>
      </c>
      <c r="P191" s="1" t="s">
        <v>30</v>
      </c>
      <c r="Q191">
        <v>115.5</v>
      </c>
    </row>
    <row r="192" spans="1:17" x14ac:dyDescent="0.3">
      <c r="A192">
        <v>2013</v>
      </c>
      <c r="B192" t="s">
        <v>36</v>
      </c>
      <c r="C192" t="s">
        <v>61</v>
      </c>
      <c r="D192" s="1" t="s">
        <v>17</v>
      </c>
      <c r="E192" s="4">
        <v>107.6</v>
      </c>
      <c r="F192" s="4">
        <v>107.4</v>
      </c>
      <c r="G192" s="4">
        <v>107.2</v>
      </c>
      <c r="H192" s="1" t="s">
        <v>189</v>
      </c>
      <c r="K192">
        <v>2013</v>
      </c>
      <c r="L192" t="s">
        <v>45</v>
      </c>
      <c r="M192" t="s">
        <v>56</v>
      </c>
      <c r="N192" t="s">
        <v>29</v>
      </c>
      <c r="O192" t="s">
        <v>206</v>
      </c>
      <c r="P192" s="1" t="s">
        <v>34</v>
      </c>
      <c r="Q192">
        <v>114.5</v>
      </c>
    </row>
    <row r="193" spans="1:17" x14ac:dyDescent="0.3">
      <c r="A193">
        <v>2013</v>
      </c>
      <c r="B193" t="s">
        <v>36</v>
      </c>
      <c r="C193" t="s">
        <v>61</v>
      </c>
      <c r="D193" s="1" t="s">
        <v>19</v>
      </c>
      <c r="E193" s="4">
        <v>107.5</v>
      </c>
      <c r="F193" s="4">
        <v>107.3</v>
      </c>
      <c r="G193" s="4">
        <v>107</v>
      </c>
      <c r="H193" s="1" t="s">
        <v>189</v>
      </c>
      <c r="K193">
        <v>2013</v>
      </c>
      <c r="L193" t="s">
        <v>45</v>
      </c>
      <c r="M193" t="s">
        <v>56</v>
      </c>
      <c r="N193" t="s">
        <v>29</v>
      </c>
      <c r="O193" t="s">
        <v>206</v>
      </c>
      <c r="P193" s="1" t="s">
        <v>33</v>
      </c>
      <c r="Q193">
        <v>113.3</v>
      </c>
    </row>
    <row r="194" spans="1:17" x14ac:dyDescent="0.3">
      <c r="A194">
        <v>2013</v>
      </c>
      <c r="B194" t="s">
        <v>36</v>
      </c>
      <c r="C194" t="s">
        <v>61</v>
      </c>
      <c r="D194" s="1" t="s">
        <v>26</v>
      </c>
      <c r="E194" s="4">
        <v>104.3</v>
      </c>
      <c r="F194" s="4">
        <v>104</v>
      </c>
      <c r="G194" s="4">
        <v>103.8</v>
      </c>
      <c r="H194" s="1" t="s">
        <v>26</v>
      </c>
      <c r="K194">
        <v>2013</v>
      </c>
      <c r="L194" t="s">
        <v>45</v>
      </c>
      <c r="M194" t="s">
        <v>56</v>
      </c>
      <c r="N194" t="s">
        <v>23</v>
      </c>
      <c r="O194" t="s">
        <v>23</v>
      </c>
      <c r="P194" s="1" t="s">
        <v>30</v>
      </c>
      <c r="Q194">
        <v>110.1</v>
      </c>
    </row>
    <row r="195" spans="1:17" x14ac:dyDescent="0.3">
      <c r="A195">
        <v>2013</v>
      </c>
      <c r="B195" t="s">
        <v>36</v>
      </c>
      <c r="C195" t="s">
        <v>61</v>
      </c>
      <c r="D195" s="1" t="s">
        <v>5</v>
      </c>
      <c r="E195" s="4">
        <v>109.9</v>
      </c>
      <c r="F195" s="4">
        <v>111.2</v>
      </c>
      <c r="G195" s="4">
        <v>113.2</v>
      </c>
      <c r="H195" s="1" t="s">
        <v>188</v>
      </c>
      <c r="K195">
        <v>2013</v>
      </c>
      <c r="L195" t="s">
        <v>45</v>
      </c>
      <c r="M195" t="s">
        <v>56</v>
      </c>
      <c r="N195" t="s">
        <v>23</v>
      </c>
      <c r="O195" t="s">
        <v>23</v>
      </c>
      <c r="P195" s="1" t="s">
        <v>34</v>
      </c>
      <c r="Q195">
        <v>109.7</v>
      </c>
    </row>
    <row r="196" spans="1:17" x14ac:dyDescent="0.3">
      <c r="A196">
        <v>2013</v>
      </c>
      <c r="B196" t="s">
        <v>36</v>
      </c>
      <c r="C196" t="s">
        <v>61</v>
      </c>
      <c r="D196" s="1" t="s">
        <v>15</v>
      </c>
      <c r="E196" s="4">
        <v>106.6</v>
      </c>
      <c r="F196" s="4">
        <v>106.9</v>
      </c>
      <c r="G196" s="4">
        <v>107.3</v>
      </c>
      <c r="H196" s="1" t="s">
        <v>188</v>
      </c>
      <c r="K196">
        <v>2013</v>
      </c>
      <c r="L196" t="s">
        <v>45</v>
      </c>
      <c r="M196" t="s">
        <v>56</v>
      </c>
      <c r="N196" t="s">
        <v>23</v>
      </c>
      <c r="O196" t="s">
        <v>23</v>
      </c>
      <c r="P196" s="1" t="s">
        <v>33</v>
      </c>
      <c r="Q196">
        <v>109</v>
      </c>
    </row>
    <row r="197" spans="1:17" x14ac:dyDescent="0.3">
      <c r="A197">
        <v>2013</v>
      </c>
      <c r="B197" t="s">
        <v>36</v>
      </c>
      <c r="C197" t="s">
        <v>61</v>
      </c>
      <c r="D197" s="1" t="s">
        <v>18</v>
      </c>
      <c r="E197" s="4">
        <v>106.8</v>
      </c>
      <c r="F197" s="4">
        <v>106.5</v>
      </c>
      <c r="G197" s="4">
        <v>106</v>
      </c>
      <c r="H197" s="1" t="s">
        <v>189</v>
      </c>
      <c r="K197">
        <v>2013</v>
      </c>
      <c r="L197" t="s">
        <v>45</v>
      </c>
      <c r="M197" t="s">
        <v>56</v>
      </c>
      <c r="N197" t="s">
        <v>22</v>
      </c>
      <c r="O197" t="s">
        <v>20</v>
      </c>
      <c r="P197" s="1" t="s">
        <v>30</v>
      </c>
      <c r="Q197">
        <v>112.1</v>
      </c>
    </row>
    <row r="198" spans="1:17" x14ac:dyDescent="0.3">
      <c r="A198">
        <v>2013</v>
      </c>
      <c r="B198" t="s">
        <v>36</v>
      </c>
      <c r="C198" t="s">
        <v>61</v>
      </c>
      <c r="D198" s="1" t="s">
        <v>8</v>
      </c>
      <c r="E198" s="4">
        <v>105.7</v>
      </c>
      <c r="F198" s="4">
        <v>105.3</v>
      </c>
      <c r="G198" s="4">
        <v>104.9</v>
      </c>
      <c r="H198" s="1" t="s">
        <v>188</v>
      </c>
      <c r="K198">
        <v>2013</v>
      </c>
      <c r="L198" t="s">
        <v>45</v>
      </c>
      <c r="M198" t="s">
        <v>56</v>
      </c>
      <c r="N198" t="s">
        <v>22</v>
      </c>
      <c r="O198" t="s">
        <v>20</v>
      </c>
      <c r="P198" s="1" t="s">
        <v>34</v>
      </c>
      <c r="Q198">
        <v>111.7</v>
      </c>
    </row>
    <row r="199" spans="1:17" x14ac:dyDescent="0.3">
      <c r="A199">
        <v>2013</v>
      </c>
      <c r="B199" t="s">
        <v>36</v>
      </c>
      <c r="C199" t="s">
        <v>61</v>
      </c>
      <c r="D199" s="1" t="s">
        <v>21</v>
      </c>
      <c r="E199" s="4">
        <v>106.1</v>
      </c>
      <c r="F199" s="4">
        <v>106.1</v>
      </c>
      <c r="G199" s="4">
        <v>106</v>
      </c>
      <c r="H199" s="1" t="s">
        <v>190</v>
      </c>
      <c r="K199">
        <v>2013</v>
      </c>
      <c r="L199" t="s">
        <v>45</v>
      </c>
      <c r="M199" t="s">
        <v>56</v>
      </c>
      <c r="N199" t="s">
        <v>22</v>
      </c>
      <c r="O199" t="s">
        <v>20</v>
      </c>
      <c r="P199" s="1" t="s">
        <v>33</v>
      </c>
      <c r="Q199">
        <v>111.3</v>
      </c>
    </row>
    <row r="200" spans="1:17" x14ac:dyDescent="0.3">
      <c r="A200">
        <v>2013</v>
      </c>
      <c r="B200" t="s">
        <v>36</v>
      </c>
      <c r="C200" t="s">
        <v>61</v>
      </c>
      <c r="D200" s="1" t="s">
        <v>29</v>
      </c>
      <c r="E200" s="4">
        <v>106</v>
      </c>
      <c r="F200" s="4">
        <v>105.5</v>
      </c>
      <c r="G200" s="4">
        <v>105</v>
      </c>
      <c r="H200" s="1" t="s">
        <v>206</v>
      </c>
      <c r="K200">
        <v>2013</v>
      </c>
      <c r="L200" t="s">
        <v>45</v>
      </c>
      <c r="M200" t="s">
        <v>56</v>
      </c>
      <c r="N200" t="s">
        <v>20</v>
      </c>
      <c r="O200" t="s">
        <v>20</v>
      </c>
      <c r="P200" s="1" t="s">
        <v>30</v>
      </c>
      <c r="Q200">
        <v>0</v>
      </c>
    </row>
    <row r="201" spans="1:17" x14ac:dyDescent="0.3">
      <c r="A201">
        <v>2013</v>
      </c>
      <c r="B201" t="s">
        <v>36</v>
      </c>
      <c r="C201" t="s">
        <v>61</v>
      </c>
      <c r="D201" s="1" t="s">
        <v>23</v>
      </c>
      <c r="E201" s="4">
        <v>104.7</v>
      </c>
      <c r="F201" s="4">
        <v>104.9</v>
      </c>
      <c r="G201" s="4">
        <v>105.2</v>
      </c>
      <c r="H201" s="1" t="s">
        <v>23</v>
      </c>
      <c r="K201">
        <v>2013</v>
      </c>
      <c r="L201" t="s">
        <v>45</v>
      </c>
      <c r="M201" t="s">
        <v>56</v>
      </c>
      <c r="N201" t="s">
        <v>20</v>
      </c>
      <c r="O201" t="s">
        <v>20</v>
      </c>
      <c r="P201" s="1" t="s">
        <v>34</v>
      </c>
      <c r="Q201">
        <v>110.7</v>
      </c>
    </row>
    <row r="202" spans="1:17" x14ac:dyDescent="0.3">
      <c r="A202">
        <v>2013</v>
      </c>
      <c r="B202" t="s">
        <v>36</v>
      </c>
      <c r="C202" t="s">
        <v>61</v>
      </c>
      <c r="D202" s="1" t="s">
        <v>22</v>
      </c>
      <c r="E202" s="4">
        <v>105.6</v>
      </c>
      <c r="F202" s="4">
        <v>105.6</v>
      </c>
      <c r="G202" s="4">
        <v>105.7</v>
      </c>
      <c r="H202" s="1" t="s">
        <v>20</v>
      </c>
      <c r="K202">
        <v>2013</v>
      </c>
      <c r="L202" t="s">
        <v>45</v>
      </c>
      <c r="M202" t="s">
        <v>56</v>
      </c>
      <c r="N202" t="s">
        <v>20</v>
      </c>
      <c r="O202" t="s">
        <v>20</v>
      </c>
      <c r="P202" s="1" t="s">
        <v>33</v>
      </c>
      <c r="Q202">
        <v>110.7</v>
      </c>
    </row>
    <row r="203" spans="1:17" x14ac:dyDescent="0.3">
      <c r="A203">
        <v>2013</v>
      </c>
      <c r="B203" t="s">
        <v>36</v>
      </c>
      <c r="C203" t="s">
        <v>61</v>
      </c>
      <c r="D203" s="1" t="s">
        <v>20</v>
      </c>
      <c r="E203" s="4">
        <v>0</v>
      </c>
      <c r="F203" s="4">
        <v>100.4</v>
      </c>
      <c r="G203" s="4">
        <v>100.4</v>
      </c>
      <c r="H203" s="1" t="s">
        <v>20</v>
      </c>
      <c r="K203">
        <v>2013</v>
      </c>
      <c r="L203" t="s">
        <v>45</v>
      </c>
      <c r="M203" t="s">
        <v>56</v>
      </c>
      <c r="N203" t="s">
        <v>4</v>
      </c>
      <c r="O203" t="s">
        <v>188</v>
      </c>
      <c r="P203" s="1" t="s">
        <v>30</v>
      </c>
      <c r="Q203">
        <v>115.9</v>
      </c>
    </row>
    <row r="204" spans="1:17" x14ac:dyDescent="0.3">
      <c r="A204">
        <v>2013</v>
      </c>
      <c r="B204" t="s">
        <v>36</v>
      </c>
      <c r="C204" t="s">
        <v>61</v>
      </c>
      <c r="D204" s="1" t="s">
        <v>4</v>
      </c>
      <c r="E204" s="4">
        <v>108.8</v>
      </c>
      <c r="F204" s="4">
        <v>109.7</v>
      </c>
      <c r="G204" s="4">
        <v>111.4</v>
      </c>
      <c r="H204" s="1" t="s">
        <v>188</v>
      </c>
      <c r="K204">
        <v>2013</v>
      </c>
      <c r="L204" t="s">
        <v>45</v>
      </c>
      <c r="M204" t="s">
        <v>56</v>
      </c>
      <c r="N204" t="s">
        <v>4</v>
      </c>
      <c r="O204" t="s">
        <v>188</v>
      </c>
      <c r="P204" s="1" t="s">
        <v>34</v>
      </c>
      <c r="Q204">
        <v>116.7</v>
      </c>
    </row>
    <row r="205" spans="1:17" x14ac:dyDescent="0.3">
      <c r="A205">
        <v>2013</v>
      </c>
      <c r="B205" t="s">
        <v>36</v>
      </c>
      <c r="C205" t="s">
        <v>61</v>
      </c>
      <c r="D205" s="1" t="s">
        <v>6</v>
      </c>
      <c r="E205" s="4">
        <v>105.6</v>
      </c>
      <c r="F205" s="4">
        <v>105.1</v>
      </c>
      <c r="G205" s="4">
        <v>104.3</v>
      </c>
      <c r="H205" s="1" t="s">
        <v>188</v>
      </c>
      <c r="K205">
        <v>2013</v>
      </c>
      <c r="L205" t="s">
        <v>45</v>
      </c>
      <c r="M205" t="s">
        <v>56</v>
      </c>
      <c r="N205" t="s">
        <v>4</v>
      </c>
      <c r="O205" t="s">
        <v>188</v>
      </c>
      <c r="P205" s="1" t="s">
        <v>33</v>
      </c>
      <c r="Q205">
        <v>118.1</v>
      </c>
    </row>
    <row r="206" spans="1:17" x14ac:dyDescent="0.3">
      <c r="A206">
        <v>2013</v>
      </c>
      <c r="B206" t="s">
        <v>36</v>
      </c>
      <c r="C206" t="s">
        <v>61</v>
      </c>
      <c r="D206" s="1" t="s">
        <v>28</v>
      </c>
      <c r="E206" s="4">
        <v>104.6</v>
      </c>
      <c r="F206" s="4">
        <v>104.7</v>
      </c>
      <c r="G206" s="4">
        <v>104.9</v>
      </c>
      <c r="H206" s="1" t="s">
        <v>192</v>
      </c>
      <c r="K206">
        <v>2013</v>
      </c>
      <c r="L206" t="s">
        <v>45</v>
      </c>
      <c r="M206" t="s">
        <v>56</v>
      </c>
      <c r="N206" t="s">
        <v>6</v>
      </c>
      <c r="O206" t="s">
        <v>188</v>
      </c>
      <c r="P206" s="1" t="s">
        <v>30</v>
      </c>
      <c r="Q206">
        <v>113.8</v>
      </c>
    </row>
    <row r="207" spans="1:17" x14ac:dyDescent="0.3">
      <c r="A207">
        <v>2013</v>
      </c>
      <c r="B207" t="s">
        <v>36</v>
      </c>
      <c r="C207" t="s">
        <v>61</v>
      </c>
      <c r="D207" s="1" t="s">
        <v>13</v>
      </c>
      <c r="E207" s="4">
        <v>105.6</v>
      </c>
      <c r="F207" s="4">
        <v>106.2</v>
      </c>
      <c r="G207" s="4">
        <v>107</v>
      </c>
      <c r="H207" s="1" t="s">
        <v>188</v>
      </c>
      <c r="K207">
        <v>2013</v>
      </c>
      <c r="L207" t="s">
        <v>45</v>
      </c>
      <c r="M207" t="s">
        <v>56</v>
      </c>
      <c r="N207" t="s">
        <v>6</v>
      </c>
      <c r="O207" t="s">
        <v>188</v>
      </c>
      <c r="P207" s="1" t="s">
        <v>34</v>
      </c>
      <c r="Q207">
        <v>113.4</v>
      </c>
    </row>
    <row r="208" spans="1:17" x14ac:dyDescent="0.3">
      <c r="A208">
        <v>2013</v>
      </c>
      <c r="B208" t="s">
        <v>36</v>
      </c>
      <c r="C208" t="s">
        <v>61</v>
      </c>
      <c r="D208" s="1" t="s">
        <v>7</v>
      </c>
      <c r="E208" s="4">
        <v>106.2</v>
      </c>
      <c r="F208" s="4">
        <v>104.9</v>
      </c>
      <c r="G208" s="4">
        <v>102.7</v>
      </c>
      <c r="H208" s="1" t="s">
        <v>188</v>
      </c>
      <c r="K208">
        <v>2013</v>
      </c>
      <c r="L208" t="s">
        <v>45</v>
      </c>
      <c r="M208" t="s">
        <v>56</v>
      </c>
      <c r="N208" t="s">
        <v>6</v>
      </c>
      <c r="O208" t="s">
        <v>188</v>
      </c>
      <c r="P208" s="1" t="s">
        <v>33</v>
      </c>
      <c r="Q208">
        <v>112.8</v>
      </c>
    </row>
    <row r="209" spans="1:17" x14ac:dyDescent="0.3">
      <c r="A209">
        <v>2013</v>
      </c>
      <c r="B209" t="s">
        <v>36</v>
      </c>
      <c r="C209" t="s">
        <v>61</v>
      </c>
      <c r="D209" s="1" t="s">
        <v>16</v>
      </c>
      <c r="E209" s="4">
        <v>106.5</v>
      </c>
      <c r="F209" s="4">
        <v>106.6</v>
      </c>
      <c r="G209" s="4">
        <v>106.8</v>
      </c>
      <c r="H209" s="1" t="s">
        <v>192</v>
      </c>
      <c r="K209">
        <v>2013</v>
      </c>
      <c r="L209" t="s">
        <v>45</v>
      </c>
      <c r="M209" t="s">
        <v>56</v>
      </c>
      <c r="N209" t="s">
        <v>28</v>
      </c>
      <c r="O209" t="s">
        <v>192</v>
      </c>
      <c r="P209" s="1" t="s">
        <v>30</v>
      </c>
      <c r="Q209">
        <v>110.1</v>
      </c>
    </row>
    <row r="210" spans="1:17" x14ac:dyDescent="0.3">
      <c r="A210">
        <v>2013</v>
      </c>
      <c r="B210" t="s">
        <v>36</v>
      </c>
      <c r="C210" t="s">
        <v>61</v>
      </c>
      <c r="D210" s="1" t="s">
        <v>27</v>
      </c>
      <c r="E210" s="4">
        <v>104.3</v>
      </c>
      <c r="F210" s="4">
        <v>104.3</v>
      </c>
      <c r="G210" s="4">
        <v>104.2</v>
      </c>
      <c r="H210" s="1" t="s">
        <v>192</v>
      </c>
      <c r="K210">
        <v>2013</v>
      </c>
      <c r="L210" t="s">
        <v>45</v>
      </c>
      <c r="M210" t="s">
        <v>56</v>
      </c>
      <c r="N210" t="s">
        <v>28</v>
      </c>
      <c r="O210" t="s">
        <v>192</v>
      </c>
      <c r="P210" s="1" t="s">
        <v>34</v>
      </c>
      <c r="Q210">
        <v>110</v>
      </c>
    </row>
    <row r="211" spans="1:17" x14ac:dyDescent="0.3">
      <c r="A211">
        <v>2013</v>
      </c>
      <c r="B211" t="s">
        <v>36</v>
      </c>
      <c r="C211" t="s">
        <v>61</v>
      </c>
      <c r="D211" s="1" t="s">
        <v>14</v>
      </c>
      <c r="E211" s="4">
        <v>108.2</v>
      </c>
      <c r="F211" s="4">
        <v>108.9</v>
      </c>
      <c r="G211" s="4">
        <v>109.8</v>
      </c>
      <c r="H211" s="1" t="s">
        <v>188</v>
      </c>
      <c r="K211">
        <v>2013</v>
      </c>
      <c r="L211" t="s">
        <v>45</v>
      </c>
      <c r="M211" t="s">
        <v>56</v>
      </c>
      <c r="N211" t="s">
        <v>28</v>
      </c>
      <c r="O211" t="s">
        <v>192</v>
      </c>
      <c r="P211" s="1" t="s">
        <v>33</v>
      </c>
      <c r="Q211">
        <v>109.8</v>
      </c>
    </row>
    <row r="212" spans="1:17" x14ac:dyDescent="0.3">
      <c r="A212">
        <v>2013</v>
      </c>
      <c r="B212" t="s">
        <v>36</v>
      </c>
      <c r="C212" t="s">
        <v>61</v>
      </c>
      <c r="D212" s="1" t="s">
        <v>10</v>
      </c>
      <c r="E212" s="4">
        <v>105.7</v>
      </c>
      <c r="F212" s="4">
        <v>105</v>
      </c>
      <c r="G212" s="4">
        <v>103.5</v>
      </c>
      <c r="H212" s="1" t="s">
        <v>188</v>
      </c>
      <c r="K212">
        <v>2013</v>
      </c>
      <c r="L212" t="s">
        <v>45</v>
      </c>
      <c r="M212" t="s">
        <v>56</v>
      </c>
      <c r="N212" t="s">
        <v>13</v>
      </c>
      <c r="O212" t="s">
        <v>188</v>
      </c>
      <c r="P212" s="1" t="s">
        <v>30</v>
      </c>
      <c r="Q212">
        <v>112.1</v>
      </c>
    </row>
    <row r="213" spans="1:17" x14ac:dyDescent="0.3">
      <c r="A213">
        <v>2013</v>
      </c>
      <c r="B213" t="s">
        <v>36</v>
      </c>
      <c r="C213" t="s">
        <v>61</v>
      </c>
      <c r="D213" s="1" t="s">
        <v>25</v>
      </c>
      <c r="E213" s="4">
        <v>104</v>
      </c>
      <c r="F213" s="4">
        <v>103.7</v>
      </c>
      <c r="G213" s="4">
        <v>103.5</v>
      </c>
      <c r="H213" s="1" t="s">
        <v>195</v>
      </c>
      <c r="K213">
        <v>2013</v>
      </c>
      <c r="L213" t="s">
        <v>45</v>
      </c>
      <c r="M213" t="s">
        <v>56</v>
      </c>
      <c r="N213" t="s">
        <v>13</v>
      </c>
      <c r="O213" t="s">
        <v>188</v>
      </c>
      <c r="P213" s="1" t="s">
        <v>34</v>
      </c>
      <c r="Q213">
        <v>112.1</v>
      </c>
    </row>
    <row r="214" spans="1:17" x14ac:dyDescent="0.3">
      <c r="A214">
        <v>2013</v>
      </c>
      <c r="B214" t="s">
        <v>36</v>
      </c>
      <c r="C214" t="s">
        <v>61</v>
      </c>
      <c r="D214" s="1" t="s">
        <v>12</v>
      </c>
      <c r="E214" s="4">
        <v>103.3</v>
      </c>
      <c r="F214" s="4">
        <v>103</v>
      </c>
      <c r="G214" s="4">
        <v>102.4</v>
      </c>
      <c r="H214" s="1" t="s">
        <v>188</v>
      </c>
      <c r="K214">
        <v>2013</v>
      </c>
      <c r="L214" t="s">
        <v>45</v>
      </c>
      <c r="M214" t="s">
        <v>56</v>
      </c>
      <c r="N214" t="s">
        <v>13</v>
      </c>
      <c r="O214" t="s">
        <v>188</v>
      </c>
      <c r="P214" s="1" t="s">
        <v>33</v>
      </c>
      <c r="Q214">
        <v>112.1</v>
      </c>
    </row>
    <row r="215" spans="1:17" x14ac:dyDescent="0.3">
      <c r="A215">
        <v>2013</v>
      </c>
      <c r="B215" t="s">
        <v>36</v>
      </c>
      <c r="C215" t="s">
        <v>61</v>
      </c>
      <c r="D215" s="1" t="s">
        <v>11</v>
      </c>
      <c r="E215" s="4">
        <v>105</v>
      </c>
      <c r="F215" s="4">
        <v>104.2</v>
      </c>
      <c r="G215" s="4">
        <v>102.6</v>
      </c>
      <c r="H215" s="1" t="s">
        <v>188</v>
      </c>
      <c r="K215">
        <v>2013</v>
      </c>
      <c r="L215" t="s">
        <v>45</v>
      </c>
      <c r="M215" t="s">
        <v>56</v>
      </c>
      <c r="N215" t="s">
        <v>7</v>
      </c>
      <c r="O215" t="s">
        <v>188</v>
      </c>
      <c r="P215" s="1" t="s">
        <v>30</v>
      </c>
      <c r="Q215">
        <v>109.5</v>
      </c>
    </row>
    <row r="216" spans="1:17" x14ac:dyDescent="0.3">
      <c r="A216">
        <v>2013</v>
      </c>
      <c r="B216" t="s">
        <v>36</v>
      </c>
      <c r="C216" t="s">
        <v>61</v>
      </c>
      <c r="D216" s="1" t="s">
        <v>24</v>
      </c>
      <c r="E216" s="4">
        <v>104.6</v>
      </c>
      <c r="F216" s="4">
        <v>105.1</v>
      </c>
      <c r="G216" s="4">
        <v>105.5</v>
      </c>
      <c r="H216" s="1" t="s">
        <v>191</v>
      </c>
      <c r="K216">
        <v>2013</v>
      </c>
      <c r="L216" t="s">
        <v>45</v>
      </c>
      <c r="M216" t="s">
        <v>56</v>
      </c>
      <c r="N216" t="s">
        <v>7</v>
      </c>
      <c r="O216" t="s">
        <v>188</v>
      </c>
      <c r="P216" s="1" t="s">
        <v>34</v>
      </c>
      <c r="Q216">
        <v>107.3</v>
      </c>
    </row>
    <row r="217" spans="1:17" x14ac:dyDescent="0.3">
      <c r="A217">
        <v>2013</v>
      </c>
      <c r="B217" t="s">
        <v>36</v>
      </c>
      <c r="C217" t="s">
        <v>61</v>
      </c>
      <c r="D217" s="1" t="s">
        <v>9</v>
      </c>
      <c r="E217" s="4">
        <v>101.4</v>
      </c>
      <c r="F217" s="4">
        <v>102.2</v>
      </c>
      <c r="G217" s="4">
        <v>103.8</v>
      </c>
      <c r="H217" s="1" t="s">
        <v>188</v>
      </c>
      <c r="K217">
        <v>2013</v>
      </c>
      <c r="L217" t="s">
        <v>45</v>
      </c>
      <c r="M217" t="s">
        <v>56</v>
      </c>
      <c r="N217" t="s">
        <v>7</v>
      </c>
      <c r="O217" t="s">
        <v>188</v>
      </c>
      <c r="P217" s="1" t="s">
        <v>33</v>
      </c>
      <c r="Q217">
        <v>103.4</v>
      </c>
    </row>
    <row r="218" spans="1:17" x14ac:dyDescent="0.3">
      <c r="A218">
        <v>2013</v>
      </c>
      <c r="B218" t="s">
        <v>38</v>
      </c>
      <c r="C218" t="s">
        <v>62</v>
      </c>
      <c r="D218" s="1" t="s">
        <v>3</v>
      </c>
      <c r="E218" s="4">
        <v>110.9</v>
      </c>
      <c r="F218" s="4">
        <v>112.3</v>
      </c>
      <c r="G218" s="4">
        <v>115.4</v>
      </c>
      <c r="H218" s="1" t="s">
        <v>188</v>
      </c>
      <c r="K218">
        <v>2013</v>
      </c>
      <c r="L218" t="s">
        <v>45</v>
      </c>
      <c r="M218" t="s">
        <v>56</v>
      </c>
      <c r="N218" t="s">
        <v>16</v>
      </c>
      <c r="O218" t="s">
        <v>192</v>
      </c>
      <c r="P218" s="1" t="s">
        <v>30</v>
      </c>
      <c r="Q218">
        <v>113.6</v>
      </c>
    </row>
    <row r="219" spans="1:17" x14ac:dyDescent="0.3">
      <c r="A219">
        <v>2013</v>
      </c>
      <c r="B219" t="s">
        <v>38</v>
      </c>
      <c r="C219" t="s">
        <v>62</v>
      </c>
      <c r="D219" s="1" t="s">
        <v>17</v>
      </c>
      <c r="E219" s="4">
        <v>108.8</v>
      </c>
      <c r="F219" s="4">
        <v>108.7</v>
      </c>
      <c r="G219" s="4">
        <v>108.5</v>
      </c>
      <c r="H219" s="1" t="s">
        <v>189</v>
      </c>
      <c r="K219">
        <v>2013</v>
      </c>
      <c r="L219" t="s">
        <v>45</v>
      </c>
      <c r="M219" t="s">
        <v>56</v>
      </c>
      <c r="N219" t="s">
        <v>16</v>
      </c>
      <c r="O219" t="s">
        <v>192</v>
      </c>
      <c r="P219" s="1" t="s">
        <v>34</v>
      </c>
      <c r="Q219">
        <v>114</v>
      </c>
    </row>
    <row r="220" spans="1:17" x14ac:dyDescent="0.3">
      <c r="A220">
        <v>2013</v>
      </c>
      <c r="B220" t="s">
        <v>38</v>
      </c>
      <c r="C220" t="s">
        <v>62</v>
      </c>
      <c r="D220" s="1" t="s">
        <v>19</v>
      </c>
      <c r="E220" s="4">
        <v>108.6</v>
      </c>
      <c r="F220" s="4">
        <v>108.5</v>
      </c>
      <c r="G220" s="4">
        <v>108.3</v>
      </c>
      <c r="H220" s="1" t="s">
        <v>189</v>
      </c>
      <c r="K220">
        <v>2013</v>
      </c>
      <c r="L220" t="s">
        <v>45</v>
      </c>
      <c r="M220" t="s">
        <v>56</v>
      </c>
      <c r="N220" t="s">
        <v>16</v>
      </c>
      <c r="O220" t="s">
        <v>192</v>
      </c>
      <c r="P220" s="1" t="s">
        <v>33</v>
      </c>
      <c r="Q220">
        <v>115</v>
      </c>
    </row>
    <row r="221" spans="1:17" x14ac:dyDescent="0.3">
      <c r="A221">
        <v>2013</v>
      </c>
      <c r="B221" t="s">
        <v>38</v>
      </c>
      <c r="C221" t="s">
        <v>62</v>
      </c>
      <c r="D221" s="1" t="s">
        <v>26</v>
      </c>
      <c r="E221" s="4">
        <v>105.5</v>
      </c>
      <c r="F221" s="4">
        <v>105.6</v>
      </c>
      <c r="G221" s="4">
        <v>105.7</v>
      </c>
      <c r="H221" s="1" t="s">
        <v>26</v>
      </c>
      <c r="K221">
        <v>2013</v>
      </c>
      <c r="L221" t="s">
        <v>45</v>
      </c>
      <c r="M221" t="s">
        <v>56</v>
      </c>
      <c r="N221" t="s">
        <v>27</v>
      </c>
      <c r="O221" t="s">
        <v>192</v>
      </c>
      <c r="P221" s="1" t="s">
        <v>30</v>
      </c>
      <c r="Q221">
        <v>108.1</v>
      </c>
    </row>
    <row r="222" spans="1:17" x14ac:dyDescent="0.3">
      <c r="A222">
        <v>2013</v>
      </c>
      <c r="B222" t="s">
        <v>38</v>
      </c>
      <c r="C222" t="s">
        <v>62</v>
      </c>
      <c r="D222" s="1" t="s">
        <v>5</v>
      </c>
      <c r="E222" s="4">
        <v>105.9</v>
      </c>
      <c r="F222" s="4">
        <v>104.7</v>
      </c>
      <c r="G222" s="4">
        <v>102.7</v>
      </c>
      <c r="H222" s="1" t="s">
        <v>188</v>
      </c>
      <c r="K222">
        <v>2013</v>
      </c>
      <c r="L222" t="s">
        <v>45</v>
      </c>
      <c r="M222" t="s">
        <v>56</v>
      </c>
      <c r="N222" t="s">
        <v>27</v>
      </c>
      <c r="O222" t="s">
        <v>192</v>
      </c>
      <c r="P222" s="1" t="s">
        <v>34</v>
      </c>
      <c r="Q222">
        <v>107.9</v>
      </c>
    </row>
    <row r="223" spans="1:17" x14ac:dyDescent="0.3">
      <c r="A223">
        <v>2013</v>
      </c>
      <c r="B223" t="s">
        <v>38</v>
      </c>
      <c r="C223" t="s">
        <v>62</v>
      </c>
      <c r="D223" s="1" t="s">
        <v>15</v>
      </c>
      <c r="E223" s="4">
        <v>108.1</v>
      </c>
      <c r="F223" s="4">
        <v>109.2</v>
      </c>
      <c r="G223" s="4">
        <v>111.1</v>
      </c>
      <c r="H223" s="1" t="s">
        <v>188</v>
      </c>
      <c r="K223">
        <v>2013</v>
      </c>
      <c r="L223" t="s">
        <v>45</v>
      </c>
      <c r="M223" t="s">
        <v>56</v>
      </c>
      <c r="N223" t="s">
        <v>27</v>
      </c>
      <c r="O223" t="s">
        <v>192</v>
      </c>
      <c r="P223" s="1" t="s">
        <v>33</v>
      </c>
      <c r="Q223">
        <v>107.7</v>
      </c>
    </row>
    <row r="224" spans="1:17" x14ac:dyDescent="0.3">
      <c r="A224">
        <v>2013</v>
      </c>
      <c r="B224" t="s">
        <v>38</v>
      </c>
      <c r="C224" t="s">
        <v>62</v>
      </c>
      <c r="D224" s="1" t="s">
        <v>18</v>
      </c>
      <c r="E224" s="4">
        <v>107.9</v>
      </c>
      <c r="F224" s="4">
        <v>107.4</v>
      </c>
      <c r="G224" s="4">
        <v>106.7</v>
      </c>
      <c r="H224" s="1" t="s">
        <v>189</v>
      </c>
      <c r="K224">
        <v>2013</v>
      </c>
      <c r="L224" t="s">
        <v>45</v>
      </c>
      <c r="M224" t="s">
        <v>56</v>
      </c>
      <c r="N224" t="s">
        <v>14</v>
      </c>
      <c r="O224" t="s">
        <v>188</v>
      </c>
      <c r="P224" s="1" t="s">
        <v>30</v>
      </c>
      <c r="Q224">
        <v>116.8</v>
      </c>
    </row>
    <row r="225" spans="1:17" x14ac:dyDescent="0.3">
      <c r="A225">
        <v>2013</v>
      </c>
      <c r="B225" t="s">
        <v>38</v>
      </c>
      <c r="C225" t="s">
        <v>62</v>
      </c>
      <c r="D225" s="1" t="s">
        <v>8</v>
      </c>
      <c r="E225" s="4">
        <v>108.1</v>
      </c>
      <c r="F225" s="4">
        <v>109.3</v>
      </c>
      <c r="G225" s="4">
        <v>110.6</v>
      </c>
      <c r="H225" s="1" t="s">
        <v>188</v>
      </c>
      <c r="K225">
        <v>2013</v>
      </c>
      <c r="L225" t="s">
        <v>45</v>
      </c>
      <c r="M225" t="s">
        <v>56</v>
      </c>
      <c r="N225" t="s">
        <v>14</v>
      </c>
      <c r="O225" t="s">
        <v>188</v>
      </c>
      <c r="P225" s="1" t="s">
        <v>34</v>
      </c>
      <c r="Q225">
        <v>117.4</v>
      </c>
    </row>
    <row r="226" spans="1:17" x14ac:dyDescent="0.3">
      <c r="A226">
        <v>2013</v>
      </c>
      <c r="B226" t="s">
        <v>38</v>
      </c>
      <c r="C226" t="s">
        <v>62</v>
      </c>
      <c r="D226" s="1" t="s">
        <v>21</v>
      </c>
      <c r="E226" s="4">
        <v>107.5</v>
      </c>
      <c r="F226" s="4">
        <v>107.4</v>
      </c>
      <c r="G226" s="4">
        <v>107.2</v>
      </c>
      <c r="H226" s="1" t="s">
        <v>190</v>
      </c>
      <c r="K226">
        <v>2013</v>
      </c>
      <c r="L226" t="s">
        <v>45</v>
      </c>
      <c r="M226" t="s">
        <v>56</v>
      </c>
      <c r="N226" t="s">
        <v>14</v>
      </c>
      <c r="O226" t="s">
        <v>188</v>
      </c>
      <c r="P226" s="1" t="s">
        <v>33</v>
      </c>
      <c r="Q226">
        <v>118.1</v>
      </c>
    </row>
    <row r="227" spans="1:17" x14ac:dyDescent="0.3">
      <c r="A227">
        <v>2013</v>
      </c>
      <c r="B227" t="s">
        <v>38</v>
      </c>
      <c r="C227" t="s">
        <v>62</v>
      </c>
      <c r="D227" s="1" t="s">
        <v>29</v>
      </c>
      <c r="E227" s="4">
        <v>107.2</v>
      </c>
      <c r="F227" s="4">
        <v>106.9</v>
      </c>
      <c r="G227" s="4">
        <v>106.6</v>
      </c>
      <c r="H227" s="1" t="s">
        <v>206</v>
      </c>
      <c r="K227">
        <v>2013</v>
      </c>
      <c r="L227" t="s">
        <v>45</v>
      </c>
      <c r="M227" t="s">
        <v>56</v>
      </c>
      <c r="N227" t="s">
        <v>10</v>
      </c>
      <c r="O227" t="s">
        <v>188</v>
      </c>
      <c r="P227" s="1" t="s">
        <v>30</v>
      </c>
      <c r="Q227">
        <v>109.5</v>
      </c>
    </row>
    <row r="228" spans="1:17" x14ac:dyDescent="0.3">
      <c r="A228">
        <v>2013</v>
      </c>
      <c r="B228" t="s">
        <v>38</v>
      </c>
      <c r="C228" t="s">
        <v>62</v>
      </c>
      <c r="D228" s="1" t="s">
        <v>23</v>
      </c>
      <c r="E228" s="4">
        <v>105.7</v>
      </c>
      <c r="F228" s="4">
        <v>105.9</v>
      </c>
      <c r="G228" s="4">
        <v>106.2</v>
      </c>
      <c r="H228" s="1" t="s">
        <v>23</v>
      </c>
      <c r="K228">
        <v>2013</v>
      </c>
      <c r="L228" t="s">
        <v>45</v>
      </c>
      <c r="M228" t="s">
        <v>56</v>
      </c>
      <c r="N228" t="s">
        <v>10</v>
      </c>
      <c r="O228" t="s">
        <v>188</v>
      </c>
      <c r="P228" s="1" t="s">
        <v>34</v>
      </c>
      <c r="Q228">
        <v>108.7</v>
      </c>
    </row>
    <row r="229" spans="1:17" x14ac:dyDescent="0.3">
      <c r="A229">
        <v>2013</v>
      </c>
      <c r="B229" t="s">
        <v>38</v>
      </c>
      <c r="C229" t="s">
        <v>62</v>
      </c>
      <c r="D229" s="1" t="s">
        <v>22</v>
      </c>
      <c r="E229" s="4">
        <v>106.8</v>
      </c>
      <c r="F229" s="4">
        <v>106.9</v>
      </c>
      <c r="G229" s="4">
        <v>107.1</v>
      </c>
      <c r="H229" s="1" t="s">
        <v>20</v>
      </c>
      <c r="K229">
        <v>2013</v>
      </c>
      <c r="L229" t="s">
        <v>45</v>
      </c>
      <c r="M229" t="s">
        <v>56</v>
      </c>
      <c r="N229" t="s">
        <v>10</v>
      </c>
      <c r="O229" t="s">
        <v>188</v>
      </c>
      <c r="P229" s="1" t="s">
        <v>33</v>
      </c>
      <c r="Q229">
        <v>107.1</v>
      </c>
    </row>
    <row r="230" spans="1:17" x14ac:dyDescent="0.3">
      <c r="A230">
        <v>2013</v>
      </c>
      <c r="B230" t="s">
        <v>38</v>
      </c>
      <c r="C230" t="s">
        <v>62</v>
      </c>
      <c r="D230" s="1" t="s">
        <v>20</v>
      </c>
      <c r="E230" s="4">
        <v>0</v>
      </c>
      <c r="F230" s="4">
        <v>100.5</v>
      </c>
      <c r="G230" s="4">
        <v>100.5</v>
      </c>
      <c r="H230" s="1" t="s">
        <v>20</v>
      </c>
      <c r="K230">
        <v>2013</v>
      </c>
      <c r="L230" t="s">
        <v>45</v>
      </c>
      <c r="M230" t="s">
        <v>56</v>
      </c>
      <c r="N230" t="s">
        <v>25</v>
      </c>
      <c r="O230" t="s">
        <v>195</v>
      </c>
      <c r="P230" s="1" t="s">
        <v>30</v>
      </c>
      <c r="Q230">
        <v>109.2</v>
      </c>
    </row>
    <row r="231" spans="1:17" x14ac:dyDescent="0.3">
      <c r="A231">
        <v>2013</v>
      </c>
      <c r="B231" t="s">
        <v>38</v>
      </c>
      <c r="C231" t="s">
        <v>62</v>
      </c>
      <c r="D231" s="1" t="s">
        <v>4</v>
      </c>
      <c r="E231" s="4">
        <v>109.8</v>
      </c>
      <c r="F231" s="4">
        <v>111.3</v>
      </c>
      <c r="G231" s="4">
        <v>114.2</v>
      </c>
      <c r="H231" s="1" t="s">
        <v>188</v>
      </c>
      <c r="K231">
        <v>2013</v>
      </c>
      <c r="L231" t="s">
        <v>45</v>
      </c>
      <c r="M231" t="s">
        <v>56</v>
      </c>
      <c r="N231" t="s">
        <v>25</v>
      </c>
      <c r="O231" t="s">
        <v>195</v>
      </c>
      <c r="P231" s="1" t="s">
        <v>34</v>
      </c>
      <c r="Q231">
        <v>109</v>
      </c>
    </row>
    <row r="232" spans="1:17" x14ac:dyDescent="0.3">
      <c r="A232">
        <v>2013</v>
      </c>
      <c r="B232" t="s">
        <v>38</v>
      </c>
      <c r="C232" t="s">
        <v>62</v>
      </c>
      <c r="D232" s="1" t="s">
        <v>6</v>
      </c>
      <c r="E232" s="4">
        <v>107.5</v>
      </c>
      <c r="F232" s="4">
        <v>106.8</v>
      </c>
      <c r="G232" s="4">
        <v>105.5</v>
      </c>
      <c r="H232" s="1" t="s">
        <v>188</v>
      </c>
      <c r="K232">
        <v>2013</v>
      </c>
      <c r="L232" t="s">
        <v>45</v>
      </c>
      <c r="M232" t="s">
        <v>56</v>
      </c>
      <c r="N232" t="s">
        <v>25</v>
      </c>
      <c r="O232" t="s">
        <v>195</v>
      </c>
      <c r="P232" s="1" t="s">
        <v>33</v>
      </c>
      <c r="Q232">
        <v>108.9</v>
      </c>
    </row>
    <row r="233" spans="1:17" x14ac:dyDescent="0.3">
      <c r="A233">
        <v>2013</v>
      </c>
      <c r="B233" t="s">
        <v>38</v>
      </c>
      <c r="C233" t="s">
        <v>62</v>
      </c>
      <c r="D233" s="1" t="s">
        <v>28</v>
      </c>
      <c r="E233" s="4">
        <v>104.8</v>
      </c>
      <c r="F233" s="4">
        <v>104.8</v>
      </c>
      <c r="G233" s="4">
        <v>104.9</v>
      </c>
      <c r="H233" s="1" t="s">
        <v>192</v>
      </c>
      <c r="K233">
        <v>2013</v>
      </c>
      <c r="L233" t="s">
        <v>45</v>
      </c>
      <c r="M233" t="s">
        <v>56</v>
      </c>
      <c r="N233" t="s">
        <v>12</v>
      </c>
      <c r="O233" t="s">
        <v>188</v>
      </c>
      <c r="P233" s="1" t="s">
        <v>30</v>
      </c>
      <c r="Q233">
        <v>109.8</v>
      </c>
    </row>
    <row r="234" spans="1:17" x14ac:dyDescent="0.3">
      <c r="A234">
        <v>2013</v>
      </c>
      <c r="B234" t="s">
        <v>38</v>
      </c>
      <c r="C234" t="s">
        <v>62</v>
      </c>
      <c r="D234" s="1" t="s">
        <v>13</v>
      </c>
      <c r="E234" s="4">
        <v>107.4</v>
      </c>
      <c r="F234" s="4">
        <v>108.1</v>
      </c>
      <c r="G234" s="4">
        <v>109.1</v>
      </c>
      <c r="H234" s="1" t="s">
        <v>188</v>
      </c>
      <c r="K234">
        <v>2013</v>
      </c>
      <c r="L234" t="s">
        <v>45</v>
      </c>
      <c r="M234" t="s">
        <v>56</v>
      </c>
      <c r="N234" t="s">
        <v>12</v>
      </c>
      <c r="O234" t="s">
        <v>188</v>
      </c>
      <c r="P234" s="1" t="s">
        <v>34</v>
      </c>
      <c r="Q234">
        <v>110.5</v>
      </c>
    </row>
    <row r="235" spans="1:17" x14ac:dyDescent="0.3">
      <c r="A235">
        <v>2013</v>
      </c>
      <c r="B235" t="s">
        <v>38</v>
      </c>
      <c r="C235" t="s">
        <v>62</v>
      </c>
      <c r="D235" s="1" t="s">
        <v>7</v>
      </c>
      <c r="E235" s="4">
        <v>105.3</v>
      </c>
      <c r="F235" s="4">
        <v>103.9</v>
      </c>
      <c r="G235" s="4">
        <v>101.5</v>
      </c>
      <c r="H235" s="1" t="s">
        <v>188</v>
      </c>
      <c r="K235">
        <v>2013</v>
      </c>
      <c r="L235" t="s">
        <v>45</v>
      </c>
      <c r="M235" t="s">
        <v>56</v>
      </c>
      <c r="N235" t="s">
        <v>12</v>
      </c>
      <c r="O235" t="s">
        <v>188</v>
      </c>
      <c r="P235" s="1" t="s">
        <v>33</v>
      </c>
      <c r="Q235">
        <v>111.9</v>
      </c>
    </row>
    <row r="236" spans="1:17" x14ac:dyDescent="0.3">
      <c r="A236">
        <v>2013</v>
      </c>
      <c r="B236" t="s">
        <v>38</v>
      </c>
      <c r="C236" t="s">
        <v>62</v>
      </c>
      <c r="D236" s="1" t="s">
        <v>16</v>
      </c>
      <c r="E236" s="4">
        <v>108.1</v>
      </c>
      <c r="F236" s="4">
        <v>108.6</v>
      </c>
      <c r="G236" s="4">
        <v>109.8</v>
      </c>
      <c r="H236" s="1" t="s">
        <v>192</v>
      </c>
      <c r="K236">
        <v>2013</v>
      </c>
      <c r="L236" t="s">
        <v>45</v>
      </c>
      <c r="M236" t="s">
        <v>56</v>
      </c>
      <c r="N236" t="s">
        <v>11</v>
      </c>
      <c r="O236" t="s">
        <v>188</v>
      </c>
      <c r="P236" s="1" t="s">
        <v>30</v>
      </c>
      <c r="Q236">
        <v>102.9</v>
      </c>
    </row>
    <row r="237" spans="1:17" x14ac:dyDescent="0.3">
      <c r="A237">
        <v>2013</v>
      </c>
      <c r="B237" t="s">
        <v>38</v>
      </c>
      <c r="C237" t="s">
        <v>62</v>
      </c>
      <c r="D237" s="1" t="s">
        <v>27</v>
      </c>
      <c r="E237" s="4">
        <v>102.1</v>
      </c>
      <c r="F237" s="4">
        <v>102.3</v>
      </c>
      <c r="G237" s="4">
        <v>102.6</v>
      </c>
      <c r="H237" s="1" t="s">
        <v>192</v>
      </c>
      <c r="K237">
        <v>2013</v>
      </c>
      <c r="L237" t="s">
        <v>45</v>
      </c>
      <c r="M237" t="s">
        <v>56</v>
      </c>
      <c r="N237" t="s">
        <v>11</v>
      </c>
      <c r="O237" t="s">
        <v>188</v>
      </c>
      <c r="P237" s="1" t="s">
        <v>34</v>
      </c>
      <c r="Q237">
        <v>101.5</v>
      </c>
    </row>
    <row r="238" spans="1:17" x14ac:dyDescent="0.3">
      <c r="A238">
        <v>2013</v>
      </c>
      <c r="B238" t="s">
        <v>38</v>
      </c>
      <c r="C238" t="s">
        <v>62</v>
      </c>
      <c r="D238" s="1" t="s">
        <v>14</v>
      </c>
      <c r="E238" s="4">
        <v>109.9</v>
      </c>
      <c r="F238" s="4">
        <v>110.5</v>
      </c>
      <c r="G238" s="4">
        <v>111.3</v>
      </c>
      <c r="H238" s="1" t="s">
        <v>188</v>
      </c>
      <c r="K238">
        <v>2013</v>
      </c>
      <c r="L238" t="s">
        <v>45</v>
      </c>
      <c r="M238" t="s">
        <v>56</v>
      </c>
      <c r="N238" t="s">
        <v>11</v>
      </c>
      <c r="O238" t="s">
        <v>188</v>
      </c>
      <c r="P238" s="1" t="s">
        <v>33</v>
      </c>
      <c r="Q238">
        <v>98.6</v>
      </c>
    </row>
    <row r="239" spans="1:17" x14ac:dyDescent="0.3">
      <c r="A239">
        <v>2013</v>
      </c>
      <c r="B239" t="s">
        <v>38</v>
      </c>
      <c r="C239" t="s">
        <v>62</v>
      </c>
      <c r="D239" s="1" t="s">
        <v>10</v>
      </c>
      <c r="E239" s="4">
        <v>106.1</v>
      </c>
      <c r="F239" s="4">
        <v>105.8</v>
      </c>
      <c r="G239" s="4">
        <v>105.2</v>
      </c>
      <c r="H239" s="1" t="s">
        <v>188</v>
      </c>
      <c r="K239">
        <v>2013</v>
      </c>
      <c r="L239" t="s">
        <v>45</v>
      </c>
      <c r="M239" t="s">
        <v>56</v>
      </c>
      <c r="N239" t="s">
        <v>24</v>
      </c>
      <c r="O239" t="s">
        <v>191</v>
      </c>
      <c r="P239" s="1" t="s">
        <v>30</v>
      </c>
      <c r="Q239">
        <v>109.9</v>
      </c>
    </row>
    <row r="240" spans="1:17" x14ac:dyDescent="0.3">
      <c r="A240">
        <v>2013</v>
      </c>
      <c r="B240" t="s">
        <v>38</v>
      </c>
      <c r="C240" t="s">
        <v>62</v>
      </c>
      <c r="D240" s="1" t="s">
        <v>25</v>
      </c>
      <c r="E240" s="4">
        <v>105</v>
      </c>
      <c r="F240" s="4">
        <v>104.8</v>
      </c>
      <c r="G240" s="4">
        <v>104.6</v>
      </c>
      <c r="H240" s="1" t="s">
        <v>195</v>
      </c>
      <c r="K240">
        <v>2013</v>
      </c>
      <c r="L240" t="s">
        <v>45</v>
      </c>
      <c r="M240" t="s">
        <v>56</v>
      </c>
      <c r="N240" t="s">
        <v>24</v>
      </c>
      <c r="O240" t="s">
        <v>191</v>
      </c>
      <c r="P240" s="1" t="s">
        <v>34</v>
      </c>
      <c r="Q240">
        <v>109.8</v>
      </c>
    </row>
    <row r="241" spans="1:17" x14ac:dyDescent="0.3">
      <c r="A241">
        <v>2013</v>
      </c>
      <c r="B241" t="s">
        <v>38</v>
      </c>
      <c r="C241" t="s">
        <v>62</v>
      </c>
      <c r="D241" s="1" t="s">
        <v>12</v>
      </c>
      <c r="E241" s="4">
        <v>104</v>
      </c>
      <c r="F241" s="4">
        <v>104.3</v>
      </c>
      <c r="G241" s="4">
        <v>105</v>
      </c>
      <c r="H241" s="1" t="s">
        <v>188</v>
      </c>
      <c r="K241">
        <v>2013</v>
      </c>
      <c r="L241" t="s">
        <v>45</v>
      </c>
      <c r="M241" t="s">
        <v>56</v>
      </c>
      <c r="N241" t="s">
        <v>24</v>
      </c>
      <c r="O241" t="s">
        <v>191</v>
      </c>
      <c r="P241" s="1" t="s">
        <v>33</v>
      </c>
      <c r="Q241">
        <v>109.7</v>
      </c>
    </row>
    <row r="242" spans="1:17" x14ac:dyDescent="0.3">
      <c r="A242">
        <v>2013</v>
      </c>
      <c r="B242" t="s">
        <v>38</v>
      </c>
      <c r="C242" t="s">
        <v>62</v>
      </c>
      <c r="D242" s="1" t="s">
        <v>11</v>
      </c>
      <c r="E242" s="4">
        <v>103.7</v>
      </c>
      <c r="F242" s="4">
        <v>103.1</v>
      </c>
      <c r="G242" s="4">
        <v>101.9</v>
      </c>
      <c r="H242" s="1" t="s">
        <v>188</v>
      </c>
      <c r="K242">
        <v>2013</v>
      </c>
      <c r="L242" t="s">
        <v>45</v>
      </c>
      <c r="M242" t="s">
        <v>56</v>
      </c>
      <c r="N242" t="s">
        <v>9</v>
      </c>
      <c r="O242" t="s">
        <v>188</v>
      </c>
      <c r="P242" s="1" t="s">
        <v>30</v>
      </c>
      <c r="Q242">
        <v>145.69999999999999</v>
      </c>
    </row>
    <row r="243" spans="1:17" x14ac:dyDescent="0.3">
      <c r="A243">
        <v>2013</v>
      </c>
      <c r="B243" t="s">
        <v>38</v>
      </c>
      <c r="C243" t="s">
        <v>62</v>
      </c>
      <c r="D243" s="1" t="s">
        <v>24</v>
      </c>
      <c r="E243" s="4">
        <v>104.1</v>
      </c>
      <c r="F243" s="4">
        <v>104</v>
      </c>
      <c r="G243" s="4">
        <v>103.9</v>
      </c>
      <c r="H243" s="1" t="s">
        <v>191</v>
      </c>
      <c r="K243">
        <v>2013</v>
      </c>
      <c r="L243" t="s">
        <v>45</v>
      </c>
      <c r="M243" t="s">
        <v>56</v>
      </c>
      <c r="N243" t="s">
        <v>9</v>
      </c>
      <c r="O243" t="s">
        <v>188</v>
      </c>
      <c r="P243" s="1" t="s">
        <v>34</v>
      </c>
      <c r="Q243">
        <v>145.4</v>
      </c>
    </row>
    <row r="244" spans="1:17" x14ac:dyDescent="0.3">
      <c r="A244">
        <v>2013</v>
      </c>
      <c r="B244" t="s">
        <v>38</v>
      </c>
      <c r="C244" t="s">
        <v>62</v>
      </c>
      <c r="D244" s="1" t="s">
        <v>9</v>
      </c>
      <c r="E244" s="4">
        <v>107.3</v>
      </c>
      <c r="F244" s="4">
        <v>112.9</v>
      </c>
      <c r="G244" s="4">
        <v>123.7</v>
      </c>
      <c r="H244" s="1" t="s">
        <v>188</v>
      </c>
      <c r="K244">
        <v>2013</v>
      </c>
      <c r="L244" t="s">
        <v>45</v>
      </c>
      <c r="M244" t="s">
        <v>56</v>
      </c>
      <c r="N244" t="s">
        <v>9</v>
      </c>
      <c r="O244" t="s">
        <v>188</v>
      </c>
      <c r="P244" s="1" t="s">
        <v>33</v>
      </c>
      <c r="Q244">
        <v>144.80000000000001</v>
      </c>
    </row>
    <row r="245" spans="1:17" x14ac:dyDescent="0.3">
      <c r="A245">
        <v>2013</v>
      </c>
      <c r="B245" t="s">
        <v>44</v>
      </c>
      <c r="C245" t="s">
        <v>63</v>
      </c>
      <c r="D245" s="1" t="s">
        <v>3</v>
      </c>
      <c r="E245" s="4">
        <v>117.3</v>
      </c>
      <c r="F245" s="4">
        <v>118.1</v>
      </c>
      <c r="G245" s="4">
        <v>119.8</v>
      </c>
      <c r="H245" s="1" t="s">
        <v>188</v>
      </c>
      <c r="K245">
        <v>2013</v>
      </c>
      <c r="L245" t="s">
        <v>35</v>
      </c>
      <c r="M245" t="s">
        <v>57</v>
      </c>
      <c r="N245" t="s">
        <v>3</v>
      </c>
      <c r="O245" t="s">
        <v>188</v>
      </c>
      <c r="P245" s="1" t="s">
        <v>30</v>
      </c>
      <c r="Q245">
        <v>109.2</v>
      </c>
    </row>
    <row r="246" spans="1:17" x14ac:dyDescent="0.3">
      <c r="A246">
        <v>2013</v>
      </c>
      <c r="B246" t="s">
        <v>44</v>
      </c>
      <c r="C246" t="s">
        <v>63</v>
      </c>
      <c r="D246" s="1" t="s">
        <v>17</v>
      </c>
      <c r="E246" s="4">
        <v>114.6</v>
      </c>
      <c r="F246" s="4">
        <v>114.2</v>
      </c>
      <c r="G246" s="4">
        <v>113.5</v>
      </c>
      <c r="H246" s="1" t="s">
        <v>189</v>
      </c>
      <c r="K246">
        <v>2013</v>
      </c>
      <c r="L246" t="s">
        <v>35</v>
      </c>
      <c r="M246" t="s">
        <v>57</v>
      </c>
      <c r="N246" t="s">
        <v>3</v>
      </c>
      <c r="O246" t="s">
        <v>188</v>
      </c>
      <c r="P246" s="1" t="s">
        <v>34</v>
      </c>
      <c r="Q246">
        <v>110.4</v>
      </c>
    </row>
    <row r="247" spans="1:17" x14ac:dyDescent="0.3">
      <c r="A247">
        <v>2013</v>
      </c>
      <c r="B247" t="s">
        <v>44</v>
      </c>
      <c r="C247" t="s">
        <v>63</v>
      </c>
      <c r="D247" s="1" t="s">
        <v>19</v>
      </c>
      <c r="E247" s="4">
        <v>114.4</v>
      </c>
      <c r="F247" s="4">
        <v>113.8</v>
      </c>
      <c r="G247" s="4">
        <v>113</v>
      </c>
      <c r="H247" s="1" t="s">
        <v>189</v>
      </c>
      <c r="K247">
        <v>2013</v>
      </c>
      <c r="L247" t="s">
        <v>35</v>
      </c>
      <c r="M247" t="s">
        <v>57</v>
      </c>
      <c r="N247" t="s">
        <v>3</v>
      </c>
      <c r="O247" t="s">
        <v>188</v>
      </c>
      <c r="P247" s="1" t="s">
        <v>33</v>
      </c>
      <c r="Q247">
        <v>112.9</v>
      </c>
    </row>
    <row r="248" spans="1:17" x14ac:dyDescent="0.3">
      <c r="A248">
        <v>2013</v>
      </c>
      <c r="B248" t="s">
        <v>44</v>
      </c>
      <c r="C248" t="s">
        <v>63</v>
      </c>
      <c r="D248" s="1" t="s">
        <v>26</v>
      </c>
      <c r="E248" s="4">
        <v>111</v>
      </c>
      <c r="F248" s="4">
        <v>111.2</v>
      </c>
      <c r="G248" s="4">
        <v>111.3</v>
      </c>
      <c r="H248" s="1" t="s">
        <v>26</v>
      </c>
      <c r="K248">
        <v>2013</v>
      </c>
      <c r="L248" t="s">
        <v>35</v>
      </c>
      <c r="M248" t="s">
        <v>57</v>
      </c>
      <c r="N248" t="s">
        <v>17</v>
      </c>
      <c r="O248" t="s">
        <v>189</v>
      </c>
      <c r="P248" s="1" t="s">
        <v>30</v>
      </c>
      <c r="Q248">
        <v>107.1</v>
      </c>
    </row>
    <row r="249" spans="1:17" x14ac:dyDescent="0.3">
      <c r="A249">
        <v>2013</v>
      </c>
      <c r="B249" t="s">
        <v>44</v>
      </c>
      <c r="C249" t="s">
        <v>63</v>
      </c>
      <c r="D249" s="1" t="s">
        <v>5</v>
      </c>
      <c r="E249" s="4">
        <v>116.2</v>
      </c>
      <c r="F249" s="4">
        <v>118.7</v>
      </c>
      <c r="G249" s="4">
        <v>122.6</v>
      </c>
      <c r="H249" s="1" t="s">
        <v>188</v>
      </c>
      <c r="K249">
        <v>2013</v>
      </c>
      <c r="L249" t="s">
        <v>35</v>
      </c>
      <c r="M249" t="s">
        <v>57</v>
      </c>
      <c r="N249" t="s">
        <v>17</v>
      </c>
      <c r="O249" t="s">
        <v>189</v>
      </c>
      <c r="P249" s="1" t="s">
        <v>34</v>
      </c>
      <c r="Q249">
        <v>106.9</v>
      </c>
    </row>
    <row r="250" spans="1:17" x14ac:dyDescent="0.3">
      <c r="A250">
        <v>2013</v>
      </c>
      <c r="B250" t="s">
        <v>44</v>
      </c>
      <c r="C250" t="s">
        <v>63</v>
      </c>
      <c r="D250" s="1" t="s">
        <v>15</v>
      </c>
      <c r="E250" s="4">
        <v>122.5</v>
      </c>
      <c r="F250" s="4">
        <v>122.6</v>
      </c>
      <c r="G250" s="4">
        <v>122.9</v>
      </c>
      <c r="H250" s="1" t="s">
        <v>188</v>
      </c>
      <c r="K250">
        <v>2013</v>
      </c>
      <c r="L250" t="s">
        <v>35</v>
      </c>
      <c r="M250" t="s">
        <v>57</v>
      </c>
      <c r="N250" t="s">
        <v>17</v>
      </c>
      <c r="O250" t="s">
        <v>189</v>
      </c>
      <c r="P250" s="1" t="s">
        <v>33</v>
      </c>
      <c r="Q250">
        <v>106.6</v>
      </c>
    </row>
    <row r="251" spans="1:17" x14ac:dyDescent="0.3">
      <c r="A251">
        <v>2013</v>
      </c>
      <c r="B251" t="s">
        <v>44</v>
      </c>
      <c r="C251" t="s">
        <v>63</v>
      </c>
      <c r="D251" s="1" t="s">
        <v>18</v>
      </c>
      <c r="E251" s="4">
        <v>113.1</v>
      </c>
      <c r="F251" s="4">
        <v>111.9</v>
      </c>
      <c r="G251" s="4">
        <v>110.3</v>
      </c>
      <c r="H251" s="1" t="s">
        <v>189</v>
      </c>
      <c r="K251">
        <v>2013</v>
      </c>
      <c r="L251" t="s">
        <v>35</v>
      </c>
      <c r="M251" t="s">
        <v>57</v>
      </c>
      <c r="N251" t="s">
        <v>19</v>
      </c>
      <c r="O251" t="s">
        <v>189</v>
      </c>
      <c r="P251" s="1" t="s">
        <v>30</v>
      </c>
      <c r="Q251">
        <v>107</v>
      </c>
    </row>
    <row r="252" spans="1:17" x14ac:dyDescent="0.3">
      <c r="A252">
        <v>2013</v>
      </c>
      <c r="B252" t="s">
        <v>44</v>
      </c>
      <c r="C252" t="s">
        <v>63</v>
      </c>
      <c r="D252" s="1" t="s">
        <v>8</v>
      </c>
      <c r="E252" s="4">
        <v>116.6</v>
      </c>
      <c r="F252" s="4">
        <v>113.5</v>
      </c>
      <c r="G252" s="4">
        <v>110</v>
      </c>
      <c r="H252" s="1" t="s">
        <v>188</v>
      </c>
      <c r="K252">
        <v>2013</v>
      </c>
      <c r="L252" t="s">
        <v>35</v>
      </c>
      <c r="M252" t="s">
        <v>57</v>
      </c>
      <c r="N252" t="s">
        <v>19</v>
      </c>
      <c r="O252" t="s">
        <v>189</v>
      </c>
      <c r="P252" s="1" t="s">
        <v>34</v>
      </c>
      <c r="Q252">
        <v>106.8</v>
      </c>
    </row>
    <row r="253" spans="1:17" x14ac:dyDescent="0.3">
      <c r="A253">
        <v>2013</v>
      </c>
      <c r="B253" t="s">
        <v>44</v>
      </c>
      <c r="C253" t="s">
        <v>63</v>
      </c>
      <c r="D253" s="1" t="s">
        <v>21</v>
      </c>
      <c r="E253" s="4">
        <v>112.6</v>
      </c>
      <c r="F253" s="4">
        <v>111.6</v>
      </c>
      <c r="G253" s="4">
        <v>110</v>
      </c>
      <c r="H253" s="1" t="s">
        <v>190</v>
      </c>
      <c r="K253">
        <v>2013</v>
      </c>
      <c r="L253" t="s">
        <v>35</v>
      </c>
      <c r="M253" t="s">
        <v>57</v>
      </c>
      <c r="N253" t="s">
        <v>19</v>
      </c>
      <c r="O253" t="s">
        <v>189</v>
      </c>
      <c r="P253" s="1" t="s">
        <v>33</v>
      </c>
      <c r="Q253">
        <v>106.4</v>
      </c>
    </row>
    <row r="254" spans="1:17" x14ac:dyDescent="0.3">
      <c r="A254">
        <v>2013</v>
      </c>
      <c r="B254" t="s">
        <v>44</v>
      </c>
      <c r="C254" t="s">
        <v>63</v>
      </c>
      <c r="D254" s="1" t="s">
        <v>29</v>
      </c>
      <c r="E254" s="4">
        <v>117.4</v>
      </c>
      <c r="F254" s="4">
        <v>116.3</v>
      </c>
      <c r="G254" s="4">
        <v>115</v>
      </c>
      <c r="H254" s="1" t="s">
        <v>206</v>
      </c>
      <c r="K254">
        <v>2013</v>
      </c>
      <c r="L254" t="s">
        <v>35</v>
      </c>
      <c r="M254" t="s">
        <v>57</v>
      </c>
      <c r="N254" t="s">
        <v>26</v>
      </c>
      <c r="O254" t="s">
        <v>26</v>
      </c>
      <c r="P254" s="1" t="s">
        <v>30</v>
      </c>
      <c r="Q254">
        <v>104.1</v>
      </c>
    </row>
    <row r="255" spans="1:17" x14ac:dyDescent="0.3">
      <c r="A255">
        <v>2013</v>
      </c>
      <c r="B255" t="s">
        <v>44</v>
      </c>
      <c r="C255" t="s">
        <v>63</v>
      </c>
      <c r="D255" s="1" t="s">
        <v>23</v>
      </c>
      <c r="E255" s="4">
        <v>109.7</v>
      </c>
      <c r="F255" s="4">
        <v>109.3</v>
      </c>
      <c r="G255" s="4">
        <v>108.6</v>
      </c>
      <c r="H255" s="1" t="s">
        <v>23</v>
      </c>
      <c r="K255">
        <v>2013</v>
      </c>
      <c r="L255" t="s">
        <v>35</v>
      </c>
      <c r="M255" t="s">
        <v>57</v>
      </c>
      <c r="N255" t="s">
        <v>26</v>
      </c>
      <c r="O255" t="s">
        <v>26</v>
      </c>
      <c r="P255" s="1" t="s">
        <v>34</v>
      </c>
      <c r="Q255">
        <v>103.9</v>
      </c>
    </row>
    <row r="256" spans="1:17" x14ac:dyDescent="0.3">
      <c r="A256">
        <v>2013</v>
      </c>
      <c r="B256" t="s">
        <v>44</v>
      </c>
      <c r="C256" t="s">
        <v>63</v>
      </c>
      <c r="D256" s="1" t="s">
        <v>22</v>
      </c>
      <c r="E256" s="4">
        <v>111.3</v>
      </c>
      <c r="F256" s="4">
        <v>111.1</v>
      </c>
      <c r="G256" s="4">
        <v>110.9</v>
      </c>
      <c r="H256" s="1" t="s">
        <v>20</v>
      </c>
      <c r="K256">
        <v>2013</v>
      </c>
      <c r="L256" t="s">
        <v>35</v>
      </c>
      <c r="M256" t="s">
        <v>57</v>
      </c>
      <c r="N256" t="s">
        <v>26</v>
      </c>
      <c r="O256" t="s">
        <v>26</v>
      </c>
      <c r="P256" s="1" t="s">
        <v>33</v>
      </c>
      <c r="Q256">
        <v>103.7</v>
      </c>
    </row>
    <row r="257" spans="1:17" x14ac:dyDescent="0.3">
      <c r="A257">
        <v>2013</v>
      </c>
      <c r="B257" t="s">
        <v>44</v>
      </c>
      <c r="C257" t="s">
        <v>63</v>
      </c>
      <c r="D257" s="1" t="s">
        <v>20</v>
      </c>
      <c r="E257" s="4">
        <v>0</v>
      </c>
      <c r="F257" s="4">
        <v>111.1</v>
      </c>
      <c r="G257" s="4">
        <v>111.1</v>
      </c>
      <c r="H257" s="1" t="s">
        <v>20</v>
      </c>
      <c r="K257">
        <v>2013</v>
      </c>
      <c r="L257" t="s">
        <v>35</v>
      </c>
      <c r="M257" t="s">
        <v>57</v>
      </c>
      <c r="N257" t="s">
        <v>5</v>
      </c>
      <c r="O257" t="s">
        <v>188</v>
      </c>
      <c r="P257" s="1" t="s">
        <v>30</v>
      </c>
      <c r="Q257">
        <v>110.2</v>
      </c>
    </row>
    <row r="258" spans="1:17" x14ac:dyDescent="0.3">
      <c r="A258">
        <v>2013</v>
      </c>
      <c r="B258" t="s">
        <v>44</v>
      </c>
      <c r="C258" t="s">
        <v>63</v>
      </c>
      <c r="D258" s="1" t="s">
        <v>4</v>
      </c>
      <c r="E258" s="4">
        <v>114.9</v>
      </c>
      <c r="F258" s="4">
        <v>115.4</v>
      </c>
      <c r="G258" s="4">
        <v>116.3</v>
      </c>
      <c r="H258" s="1" t="s">
        <v>188</v>
      </c>
      <c r="K258">
        <v>2013</v>
      </c>
      <c r="L258" t="s">
        <v>35</v>
      </c>
      <c r="M258" t="s">
        <v>57</v>
      </c>
      <c r="N258" t="s">
        <v>5</v>
      </c>
      <c r="O258" t="s">
        <v>188</v>
      </c>
      <c r="P258" s="1" t="s">
        <v>34</v>
      </c>
      <c r="Q258">
        <v>112.8</v>
      </c>
    </row>
    <row r="259" spans="1:17" x14ac:dyDescent="0.3">
      <c r="A259">
        <v>2013</v>
      </c>
      <c r="B259" t="s">
        <v>44</v>
      </c>
      <c r="C259" t="s">
        <v>63</v>
      </c>
      <c r="D259" s="1" t="s">
        <v>6</v>
      </c>
      <c r="E259" s="4">
        <v>112.8</v>
      </c>
      <c r="F259" s="4">
        <v>112.5</v>
      </c>
      <c r="G259" s="4">
        <v>112</v>
      </c>
      <c r="H259" s="1" t="s">
        <v>188</v>
      </c>
      <c r="K259">
        <v>2013</v>
      </c>
      <c r="L259" t="s">
        <v>35</v>
      </c>
      <c r="M259" t="s">
        <v>57</v>
      </c>
      <c r="N259" t="s">
        <v>5</v>
      </c>
      <c r="O259" t="s">
        <v>188</v>
      </c>
      <c r="P259" s="1" t="s">
        <v>33</v>
      </c>
      <c r="Q259">
        <v>116.9</v>
      </c>
    </row>
    <row r="260" spans="1:17" x14ac:dyDescent="0.3">
      <c r="A260">
        <v>2013</v>
      </c>
      <c r="B260" t="s">
        <v>44</v>
      </c>
      <c r="C260" t="s">
        <v>63</v>
      </c>
      <c r="D260" s="1" t="s">
        <v>28</v>
      </c>
      <c r="E260" s="4">
        <v>109.8</v>
      </c>
      <c r="F260" s="4">
        <v>109.7</v>
      </c>
      <c r="G260" s="4">
        <v>109.6</v>
      </c>
      <c r="H260" s="1" t="s">
        <v>192</v>
      </c>
      <c r="K260">
        <v>2013</v>
      </c>
      <c r="L260" t="s">
        <v>35</v>
      </c>
      <c r="M260" t="s">
        <v>57</v>
      </c>
      <c r="N260" t="s">
        <v>15</v>
      </c>
      <c r="O260" t="s">
        <v>188</v>
      </c>
      <c r="P260" s="1" t="s">
        <v>30</v>
      </c>
      <c r="Q260">
        <v>106.3</v>
      </c>
    </row>
    <row r="261" spans="1:17" x14ac:dyDescent="0.3">
      <c r="A261">
        <v>2013</v>
      </c>
      <c r="B261" t="s">
        <v>44</v>
      </c>
      <c r="C261" t="s">
        <v>63</v>
      </c>
      <c r="D261" s="1" t="s">
        <v>13</v>
      </c>
      <c r="E261" s="4">
        <v>111.8</v>
      </c>
      <c r="F261" s="4">
        <v>111.8</v>
      </c>
      <c r="G261" s="4">
        <v>111.8</v>
      </c>
      <c r="H261" s="1" t="s">
        <v>188</v>
      </c>
      <c r="K261">
        <v>2013</v>
      </c>
      <c r="L261" t="s">
        <v>35</v>
      </c>
      <c r="M261" t="s">
        <v>57</v>
      </c>
      <c r="N261" t="s">
        <v>15</v>
      </c>
      <c r="O261" t="s">
        <v>188</v>
      </c>
      <c r="P261" s="1" t="s">
        <v>34</v>
      </c>
      <c r="Q261">
        <v>106.6</v>
      </c>
    </row>
    <row r="262" spans="1:17" x14ac:dyDescent="0.3">
      <c r="A262">
        <v>2013</v>
      </c>
      <c r="B262" t="s">
        <v>44</v>
      </c>
      <c r="C262" t="s">
        <v>63</v>
      </c>
      <c r="D262" s="1" t="s">
        <v>7</v>
      </c>
      <c r="E262" s="4">
        <v>108.9</v>
      </c>
      <c r="F262" s="4">
        <v>106.8</v>
      </c>
      <c r="G262" s="4">
        <v>103.2</v>
      </c>
      <c r="H262" s="1" t="s">
        <v>188</v>
      </c>
      <c r="K262">
        <v>2013</v>
      </c>
      <c r="L262" t="s">
        <v>35</v>
      </c>
      <c r="M262" t="s">
        <v>57</v>
      </c>
      <c r="N262" t="s">
        <v>15</v>
      </c>
      <c r="O262" t="s">
        <v>188</v>
      </c>
      <c r="P262" s="1" t="s">
        <v>33</v>
      </c>
      <c r="Q262">
        <v>107.2</v>
      </c>
    </row>
    <row r="263" spans="1:17" x14ac:dyDescent="0.3">
      <c r="A263">
        <v>2013</v>
      </c>
      <c r="B263" t="s">
        <v>44</v>
      </c>
      <c r="C263" t="s">
        <v>63</v>
      </c>
      <c r="D263" s="1" t="s">
        <v>16</v>
      </c>
      <c r="E263" s="4">
        <v>112.8</v>
      </c>
      <c r="F263" s="4">
        <v>113.1</v>
      </c>
      <c r="G263" s="4">
        <v>114.1</v>
      </c>
      <c r="H263" s="1" t="s">
        <v>192</v>
      </c>
      <c r="K263">
        <v>2013</v>
      </c>
      <c r="L263" t="s">
        <v>35</v>
      </c>
      <c r="M263" t="s">
        <v>57</v>
      </c>
      <c r="N263" t="s">
        <v>18</v>
      </c>
      <c r="O263" t="s">
        <v>189</v>
      </c>
      <c r="P263" s="1" t="s">
        <v>30</v>
      </c>
      <c r="Q263">
        <v>106.3</v>
      </c>
    </row>
    <row r="264" spans="1:17" x14ac:dyDescent="0.3">
      <c r="A264">
        <v>2013</v>
      </c>
      <c r="B264" t="s">
        <v>44</v>
      </c>
      <c r="C264" t="s">
        <v>63</v>
      </c>
      <c r="D264" s="1" t="s">
        <v>27</v>
      </c>
      <c r="E264" s="4">
        <v>108.2</v>
      </c>
      <c r="F264" s="4">
        <v>108.1</v>
      </c>
      <c r="G264" s="4">
        <v>107.9</v>
      </c>
      <c r="H264" s="1" t="s">
        <v>192</v>
      </c>
      <c r="K264">
        <v>2013</v>
      </c>
      <c r="L264" t="s">
        <v>35</v>
      </c>
      <c r="M264" t="s">
        <v>57</v>
      </c>
      <c r="N264" t="s">
        <v>18</v>
      </c>
      <c r="O264" t="s">
        <v>189</v>
      </c>
      <c r="P264" s="1" t="s">
        <v>34</v>
      </c>
      <c r="Q264">
        <v>106</v>
      </c>
    </row>
    <row r="265" spans="1:17" x14ac:dyDescent="0.3">
      <c r="A265">
        <v>2013</v>
      </c>
      <c r="B265" t="s">
        <v>44</v>
      </c>
      <c r="C265" t="s">
        <v>63</v>
      </c>
      <c r="D265" s="1" t="s">
        <v>14</v>
      </c>
      <c r="E265" s="4">
        <v>116</v>
      </c>
      <c r="F265" s="4">
        <v>116.5</v>
      </c>
      <c r="G265" s="4">
        <v>117.1</v>
      </c>
      <c r="H265" s="1" t="s">
        <v>188</v>
      </c>
      <c r="K265">
        <v>2013</v>
      </c>
      <c r="L265" t="s">
        <v>35</v>
      </c>
      <c r="M265" t="s">
        <v>57</v>
      </c>
      <c r="N265" t="s">
        <v>18</v>
      </c>
      <c r="O265" t="s">
        <v>189</v>
      </c>
      <c r="P265" s="1" t="s">
        <v>33</v>
      </c>
      <c r="Q265">
        <v>105.5</v>
      </c>
    </row>
    <row r="266" spans="1:17" x14ac:dyDescent="0.3">
      <c r="A266">
        <v>2013</v>
      </c>
      <c r="B266" t="s">
        <v>44</v>
      </c>
      <c r="C266" t="s">
        <v>63</v>
      </c>
      <c r="D266" s="1" t="s">
        <v>10</v>
      </c>
      <c r="E266" s="4">
        <v>109.1</v>
      </c>
      <c r="F266" s="4">
        <v>108.2</v>
      </c>
      <c r="G266" s="4">
        <v>106.3</v>
      </c>
      <c r="H266" s="1" t="s">
        <v>188</v>
      </c>
      <c r="K266">
        <v>2013</v>
      </c>
      <c r="L266" t="s">
        <v>35</v>
      </c>
      <c r="M266" t="s">
        <v>57</v>
      </c>
      <c r="N266" t="s">
        <v>8</v>
      </c>
      <c r="O266" t="s">
        <v>188</v>
      </c>
      <c r="P266" s="1" t="s">
        <v>30</v>
      </c>
      <c r="Q266">
        <v>104</v>
      </c>
    </row>
    <row r="267" spans="1:17" x14ac:dyDescent="0.3">
      <c r="A267">
        <v>2013</v>
      </c>
      <c r="B267" t="s">
        <v>44</v>
      </c>
      <c r="C267" t="s">
        <v>63</v>
      </c>
      <c r="D267" s="1" t="s">
        <v>25</v>
      </c>
      <c r="E267" s="4">
        <v>108.7</v>
      </c>
      <c r="F267" s="4">
        <v>108.6</v>
      </c>
      <c r="G267" s="4">
        <v>108.5</v>
      </c>
      <c r="H267" s="1" t="s">
        <v>195</v>
      </c>
      <c r="K267">
        <v>2013</v>
      </c>
      <c r="L267" t="s">
        <v>35</v>
      </c>
      <c r="M267" t="s">
        <v>57</v>
      </c>
      <c r="N267" t="s">
        <v>8</v>
      </c>
      <c r="O267" t="s">
        <v>188</v>
      </c>
      <c r="P267" s="1" t="s">
        <v>34</v>
      </c>
      <c r="Q267">
        <v>103.6</v>
      </c>
    </row>
    <row r="268" spans="1:17" x14ac:dyDescent="0.3">
      <c r="A268">
        <v>2013</v>
      </c>
      <c r="B268" t="s">
        <v>44</v>
      </c>
      <c r="C268" t="s">
        <v>63</v>
      </c>
      <c r="D268" s="1" t="s">
        <v>12</v>
      </c>
      <c r="E268" s="4">
        <v>109</v>
      </c>
      <c r="F268" s="4">
        <v>109.4</v>
      </c>
      <c r="G268" s="4">
        <v>110.3</v>
      </c>
      <c r="H268" s="1" t="s">
        <v>188</v>
      </c>
      <c r="K268">
        <v>2013</v>
      </c>
      <c r="L268" t="s">
        <v>35</v>
      </c>
      <c r="M268" t="s">
        <v>57</v>
      </c>
      <c r="N268" t="s">
        <v>8</v>
      </c>
      <c r="O268" t="s">
        <v>188</v>
      </c>
      <c r="P268" s="1" t="s">
        <v>33</v>
      </c>
      <c r="Q268">
        <v>103.1</v>
      </c>
    </row>
    <row r="269" spans="1:17" x14ac:dyDescent="0.3">
      <c r="A269">
        <v>2013</v>
      </c>
      <c r="B269" t="s">
        <v>44</v>
      </c>
      <c r="C269" t="s">
        <v>63</v>
      </c>
      <c r="D269" s="1" t="s">
        <v>11</v>
      </c>
      <c r="E269" s="4">
        <v>103.6</v>
      </c>
      <c r="F269" s="4">
        <v>102.2</v>
      </c>
      <c r="G269" s="4">
        <v>99.5</v>
      </c>
      <c r="H269" s="1" t="s">
        <v>188</v>
      </c>
      <c r="K269">
        <v>2013</v>
      </c>
      <c r="L269" t="s">
        <v>35</v>
      </c>
      <c r="M269" t="s">
        <v>57</v>
      </c>
      <c r="N269" t="s">
        <v>21</v>
      </c>
      <c r="O269" t="s">
        <v>190</v>
      </c>
      <c r="P269" s="1" t="s">
        <v>30</v>
      </c>
      <c r="Q269">
        <v>106.2</v>
      </c>
    </row>
    <row r="270" spans="1:17" x14ac:dyDescent="0.3">
      <c r="A270">
        <v>2013</v>
      </c>
      <c r="B270" t="s">
        <v>44</v>
      </c>
      <c r="C270" t="s">
        <v>63</v>
      </c>
      <c r="D270" s="1" t="s">
        <v>24</v>
      </c>
      <c r="E270" s="4">
        <v>109.6</v>
      </c>
      <c r="F270" s="4">
        <v>109.5</v>
      </c>
      <c r="G270" s="4">
        <v>109.5</v>
      </c>
      <c r="H270" s="1" t="s">
        <v>191</v>
      </c>
      <c r="K270">
        <v>2013</v>
      </c>
      <c r="L270" t="s">
        <v>35</v>
      </c>
      <c r="M270" t="s">
        <v>57</v>
      </c>
      <c r="N270" t="s">
        <v>21</v>
      </c>
      <c r="O270" t="s">
        <v>190</v>
      </c>
      <c r="P270" s="1" t="s">
        <v>34</v>
      </c>
      <c r="Q270">
        <v>106</v>
      </c>
    </row>
    <row r="271" spans="1:17" x14ac:dyDescent="0.3">
      <c r="A271">
        <v>2013</v>
      </c>
      <c r="B271" t="s">
        <v>44</v>
      </c>
      <c r="C271" t="s">
        <v>63</v>
      </c>
      <c r="D271" s="1" t="s">
        <v>9</v>
      </c>
      <c r="E271" s="4">
        <v>178.1</v>
      </c>
      <c r="F271" s="4">
        <v>183.1</v>
      </c>
      <c r="G271" s="4">
        <v>192.8</v>
      </c>
      <c r="H271" s="1" t="s">
        <v>188</v>
      </c>
      <c r="K271">
        <v>2013</v>
      </c>
      <c r="L271" t="s">
        <v>35</v>
      </c>
      <c r="M271" t="s">
        <v>57</v>
      </c>
      <c r="N271" t="s">
        <v>21</v>
      </c>
      <c r="O271" t="s">
        <v>190</v>
      </c>
      <c r="P271" s="1" t="s">
        <v>33</v>
      </c>
      <c r="Q271">
        <v>105.7</v>
      </c>
    </row>
    <row r="272" spans="1:17" x14ac:dyDescent="0.3">
      <c r="A272">
        <v>2013</v>
      </c>
      <c r="B272" t="s">
        <v>43</v>
      </c>
      <c r="C272" t="s">
        <v>64</v>
      </c>
      <c r="D272" s="1" t="s">
        <v>3</v>
      </c>
      <c r="E272" s="4">
        <v>116.3</v>
      </c>
      <c r="F272" s="4">
        <v>117.1</v>
      </c>
      <c r="G272" s="4">
        <v>118.9</v>
      </c>
      <c r="H272" s="1" t="s">
        <v>188</v>
      </c>
      <c r="K272">
        <v>2013</v>
      </c>
      <c r="L272" t="s">
        <v>35</v>
      </c>
      <c r="M272" t="s">
        <v>57</v>
      </c>
      <c r="N272" t="s">
        <v>29</v>
      </c>
      <c r="O272" t="s">
        <v>206</v>
      </c>
      <c r="P272" s="1" t="s">
        <v>30</v>
      </c>
      <c r="Q272">
        <v>105.8</v>
      </c>
    </row>
    <row r="273" spans="1:17" x14ac:dyDescent="0.3">
      <c r="A273">
        <v>2013</v>
      </c>
      <c r="B273" t="s">
        <v>43</v>
      </c>
      <c r="C273" t="s">
        <v>64</v>
      </c>
      <c r="D273" s="1" t="s">
        <v>17</v>
      </c>
      <c r="E273" s="4">
        <v>113.6</v>
      </c>
      <c r="F273" s="4">
        <v>113.2</v>
      </c>
      <c r="G273" s="4">
        <v>112.5</v>
      </c>
      <c r="H273" s="1" t="s">
        <v>189</v>
      </c>
      <c r="K273">
        <v>2013</v>
      </c>
      <c r="L273" t="s">
        <v>35</v>
      </c>
      <c r="M273" t="s">
        <v>57</v>
      </c>
      <c r="N273" t="s">
        <v>29</v>
      </c>
      <c r="O273" t="s">
        <v>206</v>
      </c>
      <c r="P273" s="1" t="s">
        <v>34</v>
      </c>
      <c r="Q273">
        <v>105.3</v>
      </c>
    </row>
    <row r="274" spans="1:17" x14ac:dyDescent="0.3">
      <c r="A274">
        <v>2013</v>
      </c>
      <c r="B274" t="s">
        <v>43</v>
      </c>
      <c r="C274" t="s">
        <v>64</v>
      </c>
      <c r="D274" s="1" t="s">
        <v>19</v>
      </c>
      <c r="E274" s="4">
        <v>113.4</v>
      </c>
      <c r="F274" s="4">
        <v>112.8</v>
      </c>
      <c r="G274" s="4">
        <v>112</v>
      </c>
      <c r="H274" s="1" t="s">
        <v>189</v>
      </c>
      <c r="K274">
        <v>2013</v>
      </c>
      <c r="L274" t="s">
        <v>35</v>
      </c>
      <c r="M274" t="s">
        <v>57</v>
      </c>
      <c r="N274" t="s">
        <v>29</v>
      </c>
      <c r="O274" t="s">
        <v>206</v>
      </c>
      <c r="P274" s="1" t="s">
        <v>33</v>
      </c>
      <c r="Q274">
        <v>104.7</v>
      </c>
    </row>
    <row r="275" spans="1:17" x14ac:dyDescent="0.3">
      <c r="A275">
        <v>2013</v>
      </c>
      <c r="B275" t="s">
        <v>43</v>
      </c>
      <c r="C275" t="s">
        <v>64</v>
      </c>
      <c r="D275" s="1" t="s">
        <v>26</v>
      </c>
      <c r="E275" s="4">
        <v>110.2</v>
      </c>
      <c r="F275" s="4">
        <v>110.8</v>
      </c>
      <c r="G275" s="4">
        <v>111.3</v>
      </c>
      <c r="H275" s="1" t="s">
        <v>26</v>
      </c>
      <c r="K275">
        <v>2013</v>
      </c>
      <c r="L275" t="s">
        <v>35</v>
      </c>
      <c r="M275" t="s">
        <v>57</v>
      </c>
      <c r="N275" t="s">
        <v>23</v>
      </c>
      <c r="O275" t="s">
        <v>23</v>
      </c>
      <c r="P275" s="1" t="s">
        <v>30</v>
      </c>
      <c r="Q275">
        <v>104.4</v>
      </c>
    </row>
    <row r="276" spans="1:17" x14ac:dyDescent="0.3">
      <c r="A276">
        <v>2013</v>
      </c>
      <c r="B276" t="s">
        <v>43</v>
      </c>
      <c r="C276" t="s">
        <v>64</v>
      </c>
      <c r="D276" s="1" t="s">
        <v>5</v>
      </c>
      <c r="E276" s="4">
        <v>112.6</v>
      </c>
      <c r="F276" s="4">
        <v>113.3</v>
      </c>
      <c r="G276" s="4">
        <v>114.5</v>
      </c>
      <c r="H276" s="1" t="s">
        <v>188</v>
      </c>
      <c r="K276">
        <v>2013</v>
      </c>
      <c r="L276" t="s">
        <v>35</v>
      </c>
      <c r="M276" t="s">
        <v>57</v>
      </c>
      <c r="N276" t="s">
        <v>23</v>
      </c>
      <c r="O276" t="s">
        <v>23</v>
      </c>
      <c r="P276" s="1" t="s">
        <v>34</v>
      </c>
      <c r="Q276">
        <v>104.5</v>
      </c>
    </row>
    <row r="277" spans="1:17" x14ac:dyDescent="0.3">
      <c r="A277">
        <v>2013</v>
      </c>
      <c r="B277" t="s">
        <v>43</v>
      </c>
      <c r="C277" t="s">
        <v>64</v>
      </c>
      <c r="D277" s="1" t="s">
        <v>15</v>
      </c>
      <c r="E277" s="4">
        <v>119.8</v>
      </c>
      <c r="F277" s="4">
        <v>120.2</v>
      </c>
      <c r="G277" s="4">
        <v>120.8</v>
      </c>
      <c r="H277" s="1" t="s">
        <v>188</v>
      </c>
      <c r="K277">
        <v>2013</v>
      </c>
      <c r="L277" t="s">
        <v>35</v>
      </c>
      <c r="M277" t="s">
        <v>57</v>
      </c>
      <c r="N277" t="s">
        <v>23</v>
      </c>
      <c r="O277" t="s">
        <v>23</v>
      </c>
      <c r="P277" s="1" t="s">
        <v>33</v>
      </c>
      <c r="Q277">
        <v>104.7</v>
      </c>
    </row>
    <row r="278" spans="1:17" x14ac:dyDescent="0.3">
      <c r="A278">
        <v>2013</v>
      </c>
      <c r="B278" t="s">
        <v>43</v>
      </c>
      <c r="C278" t="s">
        <v>64</v>
      </c>
      <c r="D278" s="1" t="s">
        <v>18</v>
      </c>
      <c r="E278" s="4">
        <v>112.3</v>
      </c>
      <c r="F278" s="4">
        <v>111.2</v>
      </c>
      <c r="G278" s="4">
        <v>109.7</v>
      </c>
      <c r="H278" s="1" t="s">
        <v>189</v>
      </c>
      <c r="K278">
        <v>2013</v>
      </c>
      <c r="L278" t="s">
        <v>35</v>
      </c>
      <c r="M278" t="s">
        <v>57</v>
      </c>
      <c r="N278" t="s">
        <v>22</v>
      </c>
      <c r="O278" t="s">
        <v>20</v>
      </c>
      <c r="P278" s="1" t="s">
        <v>30</v>
      </c>
      <c r="Q278">
        <v>105.2</v>
      </c>
    </row>
    <row r="279" spans="1:17" x14ac:dyDescent="0.3">
      <c r="A279">
        <v>2013</v>
      </c>
      <c r="B279" t="s">
        <v>43</v>
      </c>
      <c r="C279" t="s">
        <v>64</v>
      </c>
      <c r="D279" s="1" t="s">
        <v>8</v>
      </c>
      <c r="E279" s="4">
        <v>113.2</v>
      </c>
      <c r="F279" s="4">
        <v>109.9</v>
      </c>
      <c r="G279" s="4">
        <v>106.2</v>
      </c>
      <c r="H279" s="1" t="s">
        <v>188</v>
      </c>
      <c r="K279">
        <v>2013</v>
      </c>
      <c r="L279" t="s">
        <v>35</v>
      </c>
      <c r="M279" t="s">
        <v>57</v>
      </c>
      <c r="N279" t="s">
        <v>22</v>
      </c>
      <c r="O279" t="s">
        <v>20</v>
      </c>
      <c r="P279" s="1" t="s">
        <v>34</v>
      </c>
      <c r="Q279">
        <v>105.2</v>
      </c>
    </row>
    <row r="280" spans="1:17" x14ac:dyDescent="0.3">
      <c r="A280">
        <v>2013</v>
      </c>
      <c r="B280" t="s">
        <v>43</v>
      </c>
      <c r="C280" t="s">
        <v>64</v>
      </c>
      <c r="D280" s="1" t="s">
        <v>21</v>
      </c>
      <c r="E280" s="4">
        <v>111.6</v>
      </c>
      <c r="F280" s="4">
        <v>110.9</v>
      </c>
      <c r="G280" s="4">
        <v>109.7</v>
      </c>
      <c r="H280" s="1" t="s">
        <v>190</v>
      </c>
      <c r="K280">
        <v>2013</v>
      </c>
      <c r="L280" t="s">
        <v>35</v>
      </c>
      <c r="M280" t="s">
        <v>57</v>
      </c>
      <c r="N280" t="s">
        <v>22</v>
      </c>
      <c r="O280" t="s">
        <v>20</v>
      </c>
      <c r="P280" s="1" t="s">
        <v>33</v>
      </c>
      <c r="Q280">
        <v>105.2</v>
      </c>
    </row>
    <row r="281" spans="1:17" x14ac:dyDescent="0.3">
      <c r="A281">
        <v>2013</v>
      </c>
      <c r="B281" t="s">
        <v>43</v>
      </c>
      <c r="C281" t="s">
        <v>64</v>
      </c>
      <c r="D281" s="1" t="s">
        <v>29</v>
      </c>
      <c r="E281" s="4">
        <v>115.5</v>
      </c>
      <c r="F281" s="4">
        <v>114.8</v>
      </c>
      <c r="G281" s="4">
        <v>114</v>
      </c>
      <c r="H281" s="1" t="s">
        <v>206</v>
      </c>
      <c r="K281">
        <v>2013</v>
      </c>
      <c r="L281" t="s">
        <v>35</v>
      </c>
      <c r="M281" t="s">
        <v>57</v>
      </c>
      <c r="N281" t="s">
        <v>20</v>
      </c>
      <c r="O281" t="s">
        <v>20</v>
      </c>
      <c r="P281" s="1" t="s">
        <v>30</v>
      </c>
      <c r="Q281">
        <v>0</v>
      </c>
    </row>
    <row r="282" spans="1:17" x14ac:dyDescent="0.3">
      <c r="A282">
        <v>2013</v>
      </c>
      <c r="B282" t="s">
        <v>43</v>
      </c>
      <c r="C282" t="s">
        <v>64</v>
      </c>
      <c r="D282" s="1" t="s">
        <v>23</v>
      </c>
      <c r="E282" s="4">
        <v>108.9</v>
      </c>
      <c r="F282" s="4">
        <v>108.6</v>
      </c>
      <c r="G282" s="4">
        <v>108.2</v>
      </c>
      <c r="H282" s="1" t="s">
        <v>23</v>
      </c>
      <c r="K282">
        <v>2013</v>
      </c>
      <c r="L282" t="s">
        <v>35</v>
      </c>
      <c r="M282" t="s">
        <v>57</v>
      </c>
      <c r="N282" t="s">
        <v>20</v>
      </c>
      <c r="O282" t="s">
        <v>20</v>
      </c>
      <c r="P282" s="1" t="s">
        <v>34</v>
      </c>
      <c r="Q282">
        <v>100.4</v>
      </c>
    </row>
    <row r="283" spans="1:17" x14ac:dyDescent="0.3">
      <c r="A283">
        <v>2013</v>
      </c>
      <c r="B283" t="s">
        <v>43</v>
      </c>
      <c r="C283" t="s">
        <v>64</v>
      </c>
      <c r="D283" s="1" t="s">
        <v>22</v>
      </c>
      <c r="E283" s="4">
        <v>110.4</v>
      </c>
      <c r="F283" s="4">
        <v>110.3</v>
      </c>
      <c r="G283" s="4">
        <v>110.2</v>
      </c>
      <c r="H283" s="1" t="s">
        <v>20</v>
      </c>
      <c r="K283">
        <v>2013</v>
      </c>
      <c r="L283" t="s">
        <v>35</v>
      </c>
      <c r="M283" t="s">
        <v>57</v>
      </c>
      <c r="N283" t="s">
        <v>20</v>
      </c>
      <c r="O283" t="s">
        <v>20</v>
      </c>
      <c r="P283" s="1" t="s">
        <v>33</v>
      </c>
      <c r="Q283">
        <v>100.4</v>
      </c>
    </row>
    <row r="284" spans="1:17" x14ac:dyDescent="0.3">
      <c r="A284">
        <v>2013</v>
      </c>
      <c r="B284" t="s">
        <v>43</v>
      </c>
      <c r="C284" t="s">
        <v>64</v>
      </c>
      <c r="D284" s="1" t="s">
        <v>20</v>
      </c>
      <c r="E284" s="4">
        <v>0</v>
      </c>
      <c r="F284" s="4">
        <v>110.5</v>
      </c>
      <c r="G284" s="4">
        <v>110.5</v>
      </c>
      <c r="H284" s="1" t="s">
        <v>20</v>
      </c>
      <c r="K284">
        <v>2013</v>
      </c>
      <c r="L284" t="s">
        <v>35</v>
      </c>
      <c r="M284" t="s">
        <v>57</v>
      </c>
      <c r="N284" t="s">
        <v>4</v>
      </c>
      <c r="O284" t="s">
        <v>188</v>
      </c>
      <c r="P284" s="1" t="s">
        <v>30</v>
      </c>
      <c r="Q284">
        <v>108.7</v>
      </c>
    </row>
    <row r="285" spans="1:17" x14ac:dyDescent="0.3">
      <c r="A285">
        <v>2013</v>
      </c>
      <c r="B285" t="s">
        <v>43</v>
      </c>
      <c r="C285" t="s">
        <v>64</v>
      </c>
      <c r="D285" s="1" t="s">
        <v>4</v>
      </c>
      <c r="E285" s="4">
        <v>115.4</v>
      </c>
      <c r="F285" s="4">
        <v>116.3</v>
      </c>
      <c r="G285" s="4">
        <v>118.1</v>
      </c>
      <c r="H285" s="1" t="s">
        <v>188</v>
      </c>
      <c r="K285">
        <v>2013</v>
      </c>
      <c r="L285" t="s">
        <v>35</v>
      </c>
      <c r="M285" t="s">
        <v>57</v>
      </c>
      <c r="N285" t="s">
        <v>4</v>
      </c>
      <c r="O285" t="s">
        <v>188</v>
      </c>
      <c r="P285" s="1" t="s">
        <v>34</v>
      </c>
      <c r="Q285">
        <v>110.2</v>
      </c>
    </row>
    <row r="286" spans="1:17" x14ac:dyDescent="0.3">
      <c r="A286">
        <v>2013</v>
      </c>
      <c r="B286" t="s">
        <v>43</v>
      </c>
      <c r="C286" t="s">
        <v>64</v>
      </c>
      <c r="D286" s="1" t="s">
        <v>6</v>
      </c>
      <c r="E286" s="4">
        <v>111.7</v>
      </c>
      <c r="F286" s="4">
        <v>111.2</v>
      </c>
      <c r="G286" s="4">
        <v>110.4</v>
      </c>
      <c r="H286" s="1" t="s">
        <v>188</v>
      </c>
      <c r="K286">
        <v>2013</v>
      </c>
      <c r="L286" t="s">
        <v>35</v>
      </c>
      <c r="M286" t="s">
        <v>57</v>
      </c>
      <c r="N286" t="s">
        <v>4</v>
      </c>
      <c r="O286" t="s">
        <v>188</v>
      </c>
      <c r="P286" s="1" t="s">
        <v>33</v>
      </c>
      <c r="Q286">
        <v>112.9</v>
      </c>
    </row>
    <row r="287" spans="1:17" x14ac:dyDescent="0.3">
      <c r="A287">
        <v>2013</v>
      </c>
      <c r="B287" t="s">
        <v>43</v>
      </c>
      <c r="C287" t="s">
        <v>64</v>
      </c>
      <c r="D287" s="1" t="s">
        <v>28</v>
      </c>
      <c r="E287" s="4">
        <v>109.1</v>
      </c>
      <c r="F287" s="4">
        <v>109.2</v>
      </c>
      <c r="G287" s="4">
        <v>109.4</v>
      </c>
      <c r="H287" s="1" t="s">
        <v>192</v>
      </c>
      <c r="K287">
        <v>2013</v>
      </c>
      <c r="L287" t="s">
        <v>35</v>
      </c>
      <c r="M287" t="s">
        <v>57</v>
      </c>
      <c r="N287" t="s">
        <v>6</v>
      </c>
      <c r="O287" t="s">
        <v>188</v>
      </c>
      <c r="P287" s="1" t="s">
        <v>30</v>
      </c>
      <c r="Q287">
        <v>105.4</v>
      </c>
    </row>
    <row r="288" spans="1:17" x14ac:dyDescent="0.3">
      <c r="A288">
        <v>2013</v>
      </c>
      <c r="B288" t="s">
        <v>43</v>
      </c>
      <c r="C288" t="s">
        <v>64</v>
      </c>
      <c r="D288" s="1" t="s">
        <v>13</v>
      </c>
      <c r="E288" s="4">
        <v>111.1</v>
      </c>
      <c r="F288" s="4">
        <v>111.2</v>
      </c>
      <c r="G288" s="4">
        <v>111.4</v>
      </c>
      <c r="H288" s="1" t="s">
        <v>188</v>
      </c>
      <c r="K288">
        <v>2013</v>
      </c>
      <c r="L288" t="s">
        <v>35</v>
      </c>
      <c r="M288" t="s">
        <v>57</v>
      </c>
      <c r="N288" t="s">
        <v>6</v>
      </c>
      <c r="O288" t="s">
        <v>188</v>
      </c>
      <c r="P288" s="1" t="s">
        <v>34</v>
      </c>
      <c r="Q288">
        <v>104.9</v>
      </c>
    </row>
    <row r="289" spans="1:17" x14ac:dyDescent="0.3">
      <c r="A289">
        <v>2013</v>
      </c>
      <c r="B289" t="s">
        <v>43</v>
      </c>
      <c r="C289" t="s">
        <v>64</v>
      </c>
      <c r="D289" s="1" t="s">
        <v>7</v>
      </c>
      <c r="E289" s="4">
        <v>107.7</v>
      </c>
      <c r="F289" s="4">
        <v>105.7</v>
      </c>
      <c r="G289" s="4">
        <v>102.3</v>
      </c>
      <c r="H289" s="1" t="s">
        <v>188</v>
      </c>
      <c r="K289">
        <v>2013</v>
      </c>
      <c r="L289" t="s">
        <v>35</v>
      </c>
      <c r="M289" t="s">
        <v>57</v>
      </c>
      <c r="N289" t="s">
        <v>6</v>
      </c>
      <c r="O289" t="s">
        <v>188</v>
      </c>
      <c r="P289" s="1" t="s">
        <v>33</v>
      </c>
      <c r="Q289">
        <v>104</v>
      </c>
    </row>
    <row r="290" spans="1:17" x14ac:dyDescent="0.3">
      <c r="A290">
        <v>2013</v>
      </c>
      <c r="B290" t="s">
        <v>43</v>
      </c>
      <c r="C290" t="s">
        <v>64</v>
      </c>
      <c r="D290" s="1" t="s">
        <v>16</v>
      </c>
      <c r="E290" s="4">
        <v>112.2</v>
      </c>
      <c r="F290" s="4">
        <v>112.5</v>
      </c>
      <c r="G290" s="4">
        <v>113.5</v>
      </c>
      <c r="H290" s="1" t="s">
        <v>192</v>
      </c>
      <c r="K290">
        <v>2013</v>
      </c>
      <c r="L290" t="s">
        <v>35</v>
      </c>
      <c r="M290" t="s">
        <v>57</v>
      </c>
      <c r="N290" t="s">
        <v>28</v>
      </c>
      <c r="O290" t="s">
        <v>192</v>
      </c>
      <c r="P290" s="1" t="s">
        <v>30</v>
      </c>
      <c r="Q290">
        <v>104.4</v>
      </c>
    </row>
    <row r="291" spans="1:17" x14ac:dyDescent="0.3">
      <c r="A291">
        <v>2013</v>
      </c>
      <c r="B291" t="s">
        <v>43</v>
      </c>
      <c r="C291" t="s">
        <v>64</v>
      </c>
      <c r="D291" s="1" t="s">
        <v>27</v>
      </c>
      <c r="E291" s="4">
        <v>107.5</v>
      </c>
      <c r="F291" s="4">
        <v>107.4</v>
      </c>
      <c r="G291" s="4">
        <v>107.3</v>
      </c>
      <c r="H291" s="1" t="s">
        <v>192</v>
      </c>
      <c r="K291">
        <v>2013</v>
      </c>
      <c r="L291" t="s">
        <v>35</v>
      </c>
      <c r="M291" t="s">
        <v>57</v>
      </c>
      <c r="N291" t="s">
        <v>28</v>
      </c>
      <c r="O291" t="s">
        <v>192</v>
      </c>
      <c r="P291" s="1" t="s">
        <v>34</v>
      </c>
      <c r="Q291">
        <v>104.4</v>
      </c>
    </row>
    <row r="292" spans="1:17" x14ac:dyDescent="0.3">
      <c r="A292">
        <v>2013</v>
      </c>
      <c r="B292" t="s">
        <v>43</v>
      </c>
      <c r="C292" t="s">
        <v>64</v>
      </c>
      <c r="D292" s="1" t="s">
        <v>14</v>
      </c>
      <c r="E292" s="4">
        <v>114.9</v>
      </c>
      <c r="F292" s="4">
        <v>115.4</v>
      </c>
      <c r="G292" s="4">
        <v>116</v>
      </c>
      <c r="H292" s="1" t="s">
        <v>188</v>
      </c>
      <c r="K292">
        <v>2013</v>
      </c>
      <c r="L292" t="s">
        <v>35</v>
      </c>
      <c r="M292" t="s">
        <v>57</v>
      </c>
      <c r="N292" t="s">
        <v>28</v>
      </c>
      <c r="O292" t="s">
        <v>192</v>
      </c>
      <c r="P292" s="1" t="s">
        <v>33</v>
      </c>
      <c r="Q292">
        <v>104.3</v>
      </c>
    </row>
    <row r="293" spans="1:17" x14ac:dyDescent="0.3">
      <c r="A293">
        <v>2013</v>
      </c>
      <c r="B293" t="s">
        <v>43</v>
      </c>
      <c r="C293" t="s">
        <v>64</v>
      </c>
      <c r="D293" s="1" t="s">
        <v>10</v>
      </c>
      <c r="E293" s="4">
        <v>108.3</v>
      </c>
      <c r="F293" s="4">
        <v>107.3</v>
      </c>
      <c r="G293" s="4">
        <v>105.3</v>
      </c>
      <c r="H293" s="1" t="s">
        <v>188</v>
      </c>
      <c r="K293">
        <v>2013</v>
      </c>
      <c r="L293" t="s">
        <v>35</v>
      </c>
      <c r="M293" t="s">
        <v>57</v>
      </c>
      <c r="N293" t="s">
        <v>13</v>
      </c>
      <c r="O293" t="s">
        <v>188</v>
      </c>
      <c r="P293" s="1" t="s">
        <v>30</v>
      </c>
      <c r="Q293">
        <v>105.1</v>
      </c>
    </row>
    <row r="294" spans="1:17" x14ac:dyDescent="0.3">
      <c r="A294">
        <v>2013</v>
      </c>
      <c r="B294" t="s">
        <v>43</v>
      </c>
      <c r="C294" t="s">
        <v>64</v>
      </c>
      <c r="D294" s="1" t="s">
        <v>25</v>
      </c>
      <c r="E294" s="4">
        <v>108.3</v>
      </c>
      <c r="F294" s="4">
        <v>108.1</v>
      </c>
      <c r="G294" s="4">
        <v>108</v>
      </c>
      <c r="H294" s="1" t="s">
        <v>195</v>
      </c>
      <c r="K294">
        <v>2013</v>
      </c>
      <c r="L294" t="s">
        <v>35</v>
      </c>
      <c r="M294" t="s">
        <v>57</v>
      </c>
      <c r="N294" t="s">
        <v>13</v>
      </c>
      <c r="O294" t="s">
        <v>188</v>
      </c>
      <c r="P294" s="1" t="s">
        <v>34</v>
      </c>
      <c r="Q294">
        <v>105.5</v>
      </c>
    </row>
    <row r="295" spans="1:17" x14ac:dyDescent="0.3">
      <c r="A295">
        <v>2013</v>
      </c>
      <c r="B295" t="s">
        <v>43</v>
      </c>
      <c r="C295" t="s">
        <v>64</v>
      </c>
      <c r="D295" s="1" t="s">
        <v>12</v>
      </c>
      <c r="E295" s="4">
        <v>108.2</v>
      </c>
      <c r="F295" s="4">
        <v>108.7</v>
      </c>
      <c r="G295" s="4">
        <v>109.6</v>
      </c>
      <c r="H295" s="1" t="s">
        <v>188</v>
      </c>
      <c r="K295">
        <v>2013</v>
      </c>
      <c r="L295" t="s">
        <v>35</v>
      </c>
      <c r="M295" t="s">
        <v>57</v>
      </c>
      <c r="N295" t="s">
        <v>13</v>
      </c>
      <c r="O295" t="s">
        <v>188</v>
      </c>
      <c r="P295" s="1" t="s">
        <v>33</v>
      </c>
      <c r="Q295">
        <v>106</v>
      </c>
    </row>
    <row r="296" spans="1:17" x14ac:dyDescent="0.3">
      <c r="A296">
        <v>2013</v>
      </c>
      <c r="B296" t="s">
        <v>43</v>
      </c>
      <c r="C296" t="s">
        <v>64</v>
      </c>
      <c r="D296" s="1" t="s">
        <v>11</v>
      </c>
      <c r="E296" s="4">
        <v>103.9</v>
      </c>
      <c r="F296" s="4">
        <v>102.7</v>
      </c>
      <c r="G296" s="4">
        <v>100.2</v>
      </c>
      <c r="H296" s="1" t="s">
        <v>188</v>
      </c>
      <c r="K296">
        <v>2013</v>
      </c>
      <c r="L296" t="s">
        <v>35</v>
      </c>
      <c r="M296" t="s">
        <v>57</v>
      </c>
      <c r="N296" t="s">
        <v>7</v>
      </c>
      <c r="O296" t="s">
        <v>188</v>
      </c>
      <c r="P296" s="1" t="s">
        <v>30</v>
      </c>
      <c r="Q296">
        <v>106.7</v>
      </c>
    </row>
    <row r="297" spans="1:17" x14ac:dyDescent="0.3">
      <c r="A297">
        <v>2013</v>
      </c>
      <c r="B297" t="s">
        <v>43</v>
      </c>
      <c r="C297" t="s">
        <v>64</v>
      </c>
      <c r="D297" s="1" t="s">
        <v>24</v>
      </c>
      <c r="E297" s="4">
        <v>109.3</v>
      </c>
      <c r="F297" s="4">
        <v>109.5</v>
      </c>
      <c r="G297" s="4">
        <v>109.7</v>
      </c>
      <c r="H297" s="1" t="s">
        <v>191</v>
      </c>
      <c r="K297">
        <v>2013</v>
      </c>
      <c r="L297" t="s">
        <v>35</v>
      </c>
      <c r="M297" t="s">
        <v>57</v>
      </c>
      <c r="N297" t="s">
        <v>7</v>
      </c>
      <c r="O297" t="s">
        <v>188</v>
      </c>
      <c r="P297" s="1" t="s">
        <v>34</v>
      </c>
      <c r="Q297">
        <v>105.5</v>
      </c>
    </row>
    <row r="298" spans="1:17" x14ac:dyDescent="0.3">
      <c r="A298">
        <v>2013</v>
      </c>
      <c r="B298" t="s">
        <v>43</v>
      </c>
      <c r="C298" t="s">
        <v>64</v>
      </c>
      <c r="D298" s="1" t="s">
        <v>9</v>
      </c>
      <c r="E298" s="4">
        <v>164.9</v>
      </c>
      <c r="F298" s="4">
        <v>171.2</v>
      </c>
      <c r="G298" s="4">
        <v>183.5</v>
      </c>
      <c r="H298" s="1" t="s">
        <v>188</v>
      </c>
      <c r="K298">
        <v>2013</v>
      </c>
      <c r="L298" t="s">
        <v>35</v>
      </c>
      <c r="M298" t="s">
        <v>57</v>
      </c>
      <c r="N298" t="s">
        <v>7</v>
      </c>
      <c r="O298" t="s">
        <v>188</v>
      </c>
      <c r="P298" s="1" t="s">
        <v>33</v>
      </c>
      <c r="Q298">
        <v>103.5</v>
      </c>
    </row>
    <row r="299" spans="1:17" x14ac:dyDescent="0.3">
      <c r="A299">
        <v>2013</v>
      </c>
      <c r="B299" t="s">
        <v>42</v>
      </c>
      <c r="C299" t="s">
        <v>65</v>
      </c>
      <c r="D299" s="1" t="s">
        <v>3</v>
      </c>
      <c r="E299" s="4">
        <v>115.4</v>
      </c>
      <c r="F299" s="4">
        <v>116.4</v>
      </c>
      <c r="G299" s="4">
        <v>118.6</v>
      </c>
      <c r="H299" s="1" t="s">
        <v>188</v>
      </c>
      <c r="K299">
        <v>2013</v>
      </c>
      <c r="L299" t="s">
        <v>35</v>
      </c>
      <c r="M299" t="s">
        <v>57</v>
      </c>
      <c r="N299" t="s">
        <v>16</v>
      </c>
      <c r="O299" t="s">
        <v>192</v>
      </c>
      <c r="P299" s="1" t="s">
        <v>30</v>
      </c>
      <c r="Q299">
        <v>105.6</v>
      </c>
    </row>
    <row r="300" spans="1:17" x14ac:dyDescent="0.3">
      <c r="A300">
        <v>2013</v>
      </c>
      <c r="B300" t="s">
        <v>42</v>
      </c>
      <c r="C300" t="s">
        <v>65</v>
      </c>
      <c r="D300" s="1" t="s">
        <v>17</v>
      </c>
      <c r="E300" s="4">
        <v>112.7</v>
      </c>
      <c r="F300" s="4">
        <v>112.2</v>
      </c>
      <c r="G300" s="4">
        <v>111.4</v>
      </c>
      <c r="H300" s="1" t="s">
        <v>189</v>
      </c>
      <c r="K300">
        <v>2013</v>
      </c>
      <c r="L300" t="s">
        <v>35</v>
      </c>
      <c r="M300" t="s">
        <v>57</v>
      </c>
      <c r="N300" t="s">
        <v>16</v>
      </c>
      <c r="O300" t="s">
        <v>192</v>
      </c>
      <c r="P300" s="1" t="s">
        <v>34</v>
      </c>
      <c r="Q300">
        <v>105.7</v>
      </c>
    </row>
    <row r="301" spans="1:17" x14ac:dyDescent="0.3">
      <c r="A301">
        <v>2013</v>
      </c>
      <c r="B301" t="s">
        <v>42</v>
      </c>
      <c r="C301" t="s">
        <v>65</v>
      </c>
      <c r="D301" s="1" t="s">
        <v>19</v>
      </c>
      <c r="E301" s="4">
        <v>112.5</v>
      </c>
      <c r="F301" s="4">
        <v>111.9</v>
      </c>
      <c r="G301" s="4">
        <v>111.1</v>
      </c>
      <c r="H301" s="1" t="s">
        <v>189</v>
      </c>
      <c r="K301">
        <v>2013</v>
      </c>
      <c r="L301" t="s">
        <v>35</v>
      </c>
      <c r="M301" t="s">
        <v>57</v>
      </c>
      <c r="N301" t="s">
        <v>16</v>
      </c>
      <c r="O301" t="s">
        <v>192</v>
      </c>
      <c r="P301" s="1" t="s">
        <v>33</v>
      </c>
      <c r="Q301">
        <v>106</v>
      </c>
    </row>
    <row r="302" spans="1:17" x14ac:dyDescent="0.3">
      <c r="A302">
        <v>2013</v>
      </c>
      <c r="B302" t="s">
        <v>42</v>
      </c>
      <c r="C302" t="s">
        <v>65</v>
      </c>
      <c r="D302" s="1" t="s">
        <v>26</v>
      </c>
      <c r="E302" s="4">
        <v>109.8</v>
      </c>
      <c r="F302" s="4">
        <v>110.6</v>
      </c>
      <c r="G302" s="4">
        <v>111.2</v>
      </c>
      <c r="H302" s="1" t="s">
        <v>26</v>
      </c>
      <c r="K302">
        <v>2013</v>
      </c>
      <c r="L302" t="s">
        <v>35</v>
      </c>
      <c r="M302" t="s">
        <v>57</v>
      </c>
      <c r="N302" t="s">
        <v>27</v>
      </c>
      <c r="O302" t="s">
        <v>192</v>
      </c>
      <c r="P302" s="1" t="s">
        <v>30</v>
      </c>
      <c r="Q302">
        <v>104.6</v>
      </c>
    </row>
    <row r="303" spans="1:17" x14ac:dyDescent="0.3">
      <c r="A303">
        <v>2013</v>
      </c>
      <c r="B303" t="s">
        <v>42</v>
      </c>
      <c r="C303" t="s">
        <v>65</v>
      </c>
      <c r="D303" s="1" t="s">
        <v>5</v>
      </c>
      <c r="E303" s="4">
        <v>111.7</v>
      </c>
      <c r="F303" s="4">
        <v>112.3</v>
      </c>
      <c r="G303" s="4">
        <v>113.2</v>
      </c>
      <c r="H303" s="1" t="s">
        <v>188</v>
      </c>
      <c r="K303">
        <v>2013</v>
      </c>
      <c r="L303" t="s">
        <v>35</v>
      </c>
      <c r="M303" t="s">
        <v>57</v>
      </c>
      <c r="N303" t="s">
        <v>27</v>
      </c>
      <c r="O303" t="s">
        <v>192</v>
      </c>
      <c r="P303" s="1" t="s">
        <v>34</v>
      </c>
      <c r="Q303">
        <v>104.5</v>
      </c>
    </row>
    <row r="304" spans="1:17" x14ac:dyDescent="0.3">
      <c r="A304">
        <v>2013</v>
      </c>
      <c r="B304" t="s">
        <v>42</v>
      </c>
      <c r="C304" t="s">
        <v>65</v>
      </c>
      <c r="D304" s="1" t="s">
        <v>15</v>
      </c>
      <c r="E304" s="4">
        <v>117.8</v>
      </c>
      <c r="F304" s="4">
        <v>118.3</v>
      </c>
      <c r="G304" s="4">
        <v>119.2</v>
      </c>
      <c r="H304" s="1" t="s">
        <v>188</v>
      </c>
      <c r="K304">
        <v>2013</v>
      </c>
      <c r="L304" t="s">
        <v>35</v>
      </c>
      <c r="M304" t="s">
        <v>57</v>
      </c>
      <c r="N304" t="s">
        <v>27</v>
      </c>
      <c r="O304" t="s">
        <v>192</v>
      </c>
      <c r="P304" s="1" t="s">
        <v>33</v>
      </c>
      <c r="Q304">
        <v>104.3</v>
      </c>
    </row>
    <row r="305" spans="1:17" x14ac:dyDescent="0.3">
      <c r="A305">
        <v>2013</v>
      </c>
      <c r="B305" t="s">
        <v>42</v>
      </c>
      <c r="C305" t="s">
        <v>65</v>
      </c>
      <c r="D305" s="1" t="s">
        <v>18</v>
      </c>
      <c r="E305" s="4">
        <v>111.4</v>
      </c>
      <c r="F305" s="4">
        <v>110.4</v>
      </c>
      <c r="G305" s="4">
        <v>109</v>
      </c>
      <c r="H305" s="1" t="s">
        <v>189</v>
      </c>
      <c r="K305">
        <v>2013</v>
      </c>
      <c r="L305" t="s">
        <v>35</v>
      </c>
      <c r="M305" t="s">
        <v>57</v>
      </c>
      <c r="N305" t="s">
        <v>14</v>
      </c>
      <c r="O305" t="s">
        <v>188</v>
      </c>
      <c r="P305" s="1" t="s">
        <v>30</v>
      </c>
      <c r="Q305">
        <v>107.7</v>
      </c>
    </row>
    <row r="306" spans="1:17" x14ac:dyDescent="0.3">
      <c r="A306">
        <v>2013</v>
      </c>
      <c r="B306" t="s">
        <v>42</v>
      </c>
      <c r="C306" t="s">
        <v>65</v>
      </c>
      <c r="D306" s="1" t="s">
        <v>8</v>
      </c>
      <c r="E306" s="4">
        <v>110.9</v>
      </c>
      <c r="F306" s="4">
        <v>107.3</v>
      </c>
      <c r="G306" s="4">
        <v>103.2</v>
      </c>
      <c r="H306" s="1" t="s">
        <v>188</v>
      </c>
      <c r="K306">
        <v>2013</v>
      </c>
      <c r="L306" t="s">
        <v>35</v>
      </c>
      <c r="M306" t="s">
        <v>57</v>
      </c>
      <c r="N306" t="s">
        <v>14</v>
      </c>
      <c r="O306" t="s">
        <v>188</v>
      </c>
      <c r="P306" s="1" t="s">
        <v>34</v>
      </c>
      <c r="Q306">
        <v>108.3</v>
      </c>
    </row>
    <row r="307" spans="1:17" x14ac:dyDescent="0.3">
      <c r="A307">
        <v>2013</v>
      </c>
      <c r="B307" t="s">
        <v>42</v>
      </c>
      <c r="C307" t="s">
        <v>65</v>
      </c>
      <c r="D307" s="1" t="s">
        <v>21</v>
      </c>
      <c r="E307" s="4">
        <v>111.1</v>
      </c>
      <c r="F307" s="4">
        <v>110.5</v>
      </c>
      <c r="G307" s="4">
        <v>109.5</v>
      </c>
      <c r="H307" s="1" t="s">
        <v>190</v>
      </c>
      <c r="K307">
        <v>2013</v>
      </c>
      <c r="L307" t="s">
        <v>35</v>
      </c>
      <c r="M307" t="s">
        <v>57</v>
      </c>
      <c r="N307" t="s">
        <v>14</v>
      </c>
      <c r="O307" t="s">
        <v>188</v>
      </c>
      <c r="P307" s="1" t="s">
        <v>33</v>
      </c>
      <c r="Q307">
        <v>109</v>
      </c>
    </row>
    <row r="308" spans="1:17" x14ac:dyDescent="0.3">
      <c r="A308">
        <v>2013</v>
      </c>
      <c r="B308" t="s">
        <v>42</v>
      </c>
      <c r="C308" t="s">
        <v>65</v>
      </c>
      <c r="D308" s="1" t="s">
        <v>29</v>
      </c>
      <c r="E308" s="4">
        <v>114.2</v>
      </c>
      <c r="F308" s="4">
        <v>113.7</v>
      </c>
      <c r="G308" s="4">
        <v>113.2</v>
      </c>
      <c r="H308" s="1" t="s">
        <v>206</v>
      </c>
      <c r="K308">
        <v>2013</v>
      </c>
      <c r="L308" t="s">
        <v>35</v>
      </c>
      <c r="M308" t="s">
        <v>57</v>
      </c>
      <c r="N308" t="s">
        <v>10</v>
      </c>
      <c r="O308" t="s">
        <v>188</v>
      </c>
      <c r="P308" s="1" t="s">
        <v>30</v>
      </c>
      <c r="Q308">
        <v>105.9</v>
      </c>
    </row>
    <row r="309" spans="1:17" x14ac:dyDescent="0.3">
      <c r="A309">
        <v>2013</v>
      </c>
      <c r="B309" t="s">
        <v>42</v>
      </c>
      <c r="C309" t="s">
        <v>65</v>
      </c>
      <c r="D309" s="1" t="s">
        <v>23</v>
      </c>
      <c r="E309" s="4">
        <v>108.3</v>
      </c>
      <c r="F309" s="4">
        <v>108.1</v>
      </c>
      <c r="G309" s="4">
        <v>107.9</v>
      </c>
      <c r="H309" s="1" t="s">
        <v>23</v>
      </c>
      <c r="K309">
        <v>2013</v>
      </c>
      <c r="L309" t="s">
        <v>35</v>
      </c>
      <c r="M309" t="s">
        <v>57</v>
      </c>
      <c r="N309" t="s">
        <v>10</v>
      </c>
      <c r="O309" t="s">
        <v>188</v>
      </c>
      <c r="P309" s="1" t="s">
        <v>34</v>
      </c>
      <c r="Q309">
        <v>105.3</v>
      </c>
    </row>
    <row r="310" spans="1:17" x14ac:dyDescent="0.3">
      <c r="A310">
        <v>2013</v>
      </c>
      <c r="B310" t="s">
        <v>42</v>
      </c>
      <c r="C310" t="s">
        <v>65</v>
      </c>
      <c r="D310" s="1" t="s">
        <v>22</v>
      </c>
      <c r="E310" s="4">
        <v>109.6</v>
      </c>
      <c r="F310" s="4">
        <v>109.6</v>
      </c>
      <c r="G310" s="4">
        <v>109.6</v>
      </c>
      <c r="H310" s="1" t="s">
        <v>20</v>
      </c>
      <c r="K310">
        <v>2013</v>
      </c>
      <c r="L310" t="s">
        <v>35</v>
      </c>
      <c r="M310" t="s">
        <v>57</v>
      </c>
      <c r="N310" t="s">
        <v>10</v>
      </c>
      <c r="O310" t="s">
        <v>188</v>
      </c>
      <c r="P310" s="1" t="s">
        <v>33</v>
      </c>
      <c r="Q310">
        <v>104.1</v>
      </c>
    </row>
    <row r="311" spans="1:17" x14ac:dyDescent="0.3">
      <c r="A311">
        <v>2013</v>
      </c>
      <c r="B311" t="s">
        <v>42</v>
      </c>
      <c r="C311" t="s">
        <v>65</v>
      </c>
      <c r="D311" s="1" t="s">
        <v>20</v>
      </c>
      <c r="E311" s="4">
        <v>0</v>
      </c>
      <c r="F311" s="4">
        <v>109.7</v>
      </c>
      <c r="G311" s="4">
        <v>109.7</v>
      </c>
      <c r="H311" s="1" t="s">
        <v>20</v>
      </c>
      <c r="K311">
        <v>2013</v>
      </c>
      <c r="L311" t="s">
        <v>35</v>
      </c>
      <c r="M311" t="s">
        <v>57</v>
      </c>
      <c r="N311" t="s">
        <v>25</v>
      </c>
      <c r="O311" t="s">
        <v>195</v>
      </c>
      <c r="P311" s="1" t="s">
        <v>30</v>
      </c>
      <c r="Q311">
        <v>104</v>
      </c>
    </row>
    <row r="312" spans="1:17" x14ac:dyDescent="0.3">
      <c r="A312">
        <v>2013</v>
      </c>
      <c r="B312" t="s">
        <v>42</v>
      </c>
      <c r="C312" t="s">
        <v>65</v>
      </c>
      <c r="D312" s="1" t="s">
        <v>4</v>
      </c>
      <c r="E312" s="4">
        <v>115.7</v>
      </c>
      <c r="F312" s="4">
        <v>116.9</v>
      </c>
      <c r="G312" s="4">
        <v>119.1</v>
      </c>
      <c r="H312" s="1" t="s">
        <v>188</v>
      </c>
      <c r="K312">
        <v>2013</v>
      </c>
      <c r="L312" t="s">
        <v>35</v>
      </c>
      <c r="M312" t="s">
        <v>57</v>
      </c>
      <c r="N312" t="s">
        <v>25</v>
      </c>
      <c r="O312" t="s">
        <v>195</v>
      </c>
      <c r="P312" s="1" t="s">
        <v>34</v>
      </c>
      <c r="Q312">
        <v>103.6</v>
      </c>
    </row>
    <row r="313" spans="1:17" x14ac:dyDescent="0.3">
      <c r="A313">
        <v>2013</v>
      </c>
      <c r="B313" t="s">
        <v>42</v>
      </c>
      <c r="C313" t="s">
        <v>65</v>
      </c>
      <c r="D313" s="1" t="s">
        <v>6</v>
      </c>
      <c r="E313" s="4">
        <v>111</v>
      </c>
      <c r="F313" s="4">
        <v>110.5</v>
      </c>
      <c r="G313" s="4">
        <v>109.6</v>
      </c>
      <c r="H313" s="1" t="s">
        <v>188</v>
      </c>
      <c r="K313">
        <v>2013</v>
      </c>
      <c r="L313" t="s">
        <v>35</v>
      </c>
      <c r="M313" t="s">
        <v>57</v>
      </c>
      <c r="N313" t="s">
        <v>25</v>
      </c>
      <c r="O313" t="s">
        <v>195</v>
      </c>
      <c r="P313" s="1" t="s">
        <v>33</v>
      </c>
      <c r="Q313">
        <v>103.3</v>
      </c>
    </row>
    <row r="314" spans="1:17" x14ac:dyDescent="0.3">
      <c r="A314">
        <v>2013</v>
      </c>
      <c r="B314" t="s">
        <v>42</v>
      </c>
      <c r="C314" t="s">
        <v>65</v>
      </c>
      <c r="D314" s="1" t="s">
        <v>28</v>
      </c>
      <c r="E314" s="4">
        <v>108.7</v>
      </c>
      <c r="F314" s="4">
        <v>109</v>
      </c>
      <c r="G314" s="4">
        <v>109.4</v>
      </c>
      <c r="H314" s="1" t="s">
        <v>192</v>
      </c>
      <c r="K314">
        <v>2013</v>
      </c>
      <c r="L314" t="s">
        <v>35</v>
      </c>
      <c r="M314" t="s">
        <v>57</v>
      </c>
      <c r="N314" t="s">
        <v>12</v>
      </c>
      <c r="O314" t="s">
        <v>188</v>
      </c>
      <c r="P314" s="1" t="s">
        <v>30</v>
      </c>
      <c r="Q314">
        <v>103.1</v>
      </c>
    </row>
    <row r="315" spans="1:17" x14ac:dyDescent="0.3">
      <c r="A315">
        <v>2013</v>
      </c>
      <c r="B315" t="s">
        <v>42</v>
      </c>
      <c r="C315" t="s">
        <v>65</v>
      </c>
      <c r="D315" s="1" t="s">
        <v>13</v>
      </c>
      <c r="E315" s="4">
        <v>110.4</v>
      </c>
      <c r="F315" s="4">
        <v>110.7</v>
      </c>
      <c r="G315" s="4">
        <v>111.1</v>
      </c>
      <c r="H315" s="1" t="s">
        <v>188</v>
      </c>
      <c r="K315">
        <v>2013</v>
      </c>
      <c r="L315" t="s">
        <v>35</v>
      </c>
      <c r="M315" t="s">
        <v>57</v>
      </c>
      <c r="N315" t="s">
        <v>12</v>
      </c>
      <c r="O315" t="s">
        <v>188</v>
      </c>
      <c r="P315" s="1" t="s">
        <v>34</v>
      </c>
      <c r="Q315">
        <v>102.8</v>
      </c>
    </row>
    <row r="316" spans="1:17" x14ac:dyDescent="0.3">
      <c r="A316">
        <v>2013</v>
      </c>
      <c r="B316" t="s">
        <v>42</v>
      </c>
      <c r="C316" t="s">
        <v>65</v>
      </c>
      <c r="D316" s="1" t="s">
        <v>7</v>
      </c>
      <c r="E316" s="4">
        <v>107.4</v>
      </c>
      <c r="F316" s="4">
        <v>105.3</v>
      </c>
      <c r="G316" s="4">
        <v>101.7</v>
      </c>
      <c r="H316" s="1" t="s">
        <v>188</v>
      </c>
      <c r="K316">
        <v>2013</v>
      </c>
      <c r="L316" t="s">
        <v>35</v>
      </c>
      <c r="M316" t="s">
        <v>57</v>
      </c>
      <c r="N316" t="s">
        <v>12</v>
      </c>
      <c r="O316" t="s">
        <v>188</v>
      </c>
      <c r="P316" s="1" t="s">
        <v>33</v>
      </c>
      <c r="Q316">
        <v>102.3</v>
      </c>
    </row>
    <row r="317" spans="1:17" x14ac:dyDescent="0.3">
      <c r="A317">
        <v>2013</v>
      </c>
      <c r="B317" t="s">
        <v>42</v>
      </c>
      <c r="C317" t="s">
        <v>65</v>
      </c>
      <c r="D317" s="1" t="s">
        <v>16</v>
      </c>
      <c r="E317" s="4">
        <v>111.7</v>
      </c>
      <c r="F317" s="4">
        <v>112</v>
      </c>
      <c r="G317" s="4">
        <v>112.9</v>
      </c>
      <c r="H317" s="1" t="s">
        <v>192</v>
      </c>
      <c r="K317">
        <v>2013</v>
      </c>
      <c r="L317" t="s">
        <v>35</v>
      </c>
      <c r="M317" t="s">
        <v>57</v>
      </c>
      <c r="N317" t="s">
        <v>11</v>
      </c>
      <c r="O317" t="s">
        <v>188</v>
      </c>
      <c r="P317" s="1" t="s">
        <v>30</v>
      </c>
      <c r="Q317">
        <v>105.7</v>
      </c>
    </row>
    <row r="318" spans="1:17" x14ac:dyDescent="0.3">
      <c r="A318">
        <v>2013</v>
      </c>
      <c r="B318" t="s">
        <v>42</v>
      </c>
      <c r="C318" t="s">
        <v>65</v>
      </c>
      <c r="D318" s="1" t="s">
        <v>27</v>
      </c>
      <c r="E318" s="4">
        <v>106.7</v>
      </c>
      <c r="F318" s="4">
        <v>106.8</v>
      </c>
      <c r="G318" s="4">
        <v>106.9</v>
      </c>
      <c r="H318" s="1" t="s">
        <v>192</v>
      </c>
      <c r="K318">
        <v>2013</v>
      </c>
      <c r="L318" t="s">
        <v>35</v>
      </c>
      <c r="M318" t="s">
        <v>57</v>
      </c>
      <c r="N318" t="s">
        <v>11</v>
      </c>
      <c r="O318" t="s">
        <v>188</v>
      </c>
      <c r="P318" s="1" t="s">
        <v>34</v>
      </c>
      <c r="Q318">
        <v>105.1</v>
      </c>
    </row>
    <row r="319" spans="1:17" x14ac:dyDescent="0.3">
      <c r="A319">
        <v>2013</v>
      </c>
      <c r="B319" t="s">
        <v>42</v>
      </c>
      <c r="C319" t="s">
        <v>65</v>
      </c>
      <c r="D319" s="1" t="s">
        <v>14</v>
      </c>
      <c r="E319" s="4">
        <v>114</v>
      </c>
      <c r="F319" s="4">
        <v>114.6</v>
      </c>
      <c r="G319" s="4">
        <v>115.4</v>
      </c>
      <c r="H319" s="1" t="s">
        <v>188</v>
      </c>
      <c r="K319">
        <v>2013</v>
      </c>
      <c r="L319" t="s">
        <v>35</v>
      </c>
      <c r="M319" t="s">
        <v>57</v>
      </c>
      <c r="N319" t="s">
        <v>11</v>
      </c>
      <c r="O319" t="s">
        <v>188</v>
      </c>
      <c r="P319" s="1" t="s">
        <v>33</v>
      </c>
      <c r="Q319">
        <v>103.8</v>
      </c>
    </row>
    <row r="320" spans="1:17" x14ac:dyDescent="0.3">
      <c r="A320">
        <v>2013</v>
      </c>
      <c r="B320" t="s">
        <v>42</v>
      </c>
      <c r="C320" t="s">
        <v>65</v>
      </c>
      <c r="D320" s="1" t="s">
        <v>10</v>
      </c>
      <c r="E320" s="4">
        <v>108.1</v>
      </c>
      <c r="F320" s="4">
        <v>107.1</v>
      </c>
      <c r="G320" s="4">
        <v>105.1</v>
      </c>
      <c r="H320" s="1" t="s">
        <v>188</v>
      </c>
      <c r="K320">
        <v>2013</v>
      </c>
      <c r="L320" t="s">
        <v>35</v>
      </c>
      <c r="M320" t="s">
        <v>57</v>
      </c>
      <c r="N320" t="s">
        <v>24</v>
      </c>
      <c r="O320" t="s">
        <v>191</v>
      </c>
      <c r="P320" s="1" t="s">
        <v>30</v>
      </c>
      <c r="Q320">
        <v>103.9</v>
      </c>
    </row>
    <row r="321" spans="1:17" x14ac:dyDescent="0.3">
      <c r="A321">
        <v>2013</v>
      </c>
      <c r="B321" t="s">
        <v>42</v>
      </c>
      <c r="C321" t="s">
        <v>65</v>
      </c>
      <c r="D321" s="1" t="s">
        <v>25</v>
      </c>
      <c r="E321" s="4">
        <v>107.7</v>
      </c>
      <c r="F321" s="4">
        <v>107.5</v>
      </c>
      <c r="G321" s="4">
        <v>107.4</v>
      </c>
      <c r="H321" s="1" t="s">
        <v>195</v>
      </c>
      <c r="K321">
        <v>2013</v>
      </c>
      <c r="L321" t="s">
        <v>35</v>
      </c>
      <c r="M321" t="s">
        <v>57</v>
      </c>
      <c r="N321" t="s">
        <v>24</v>
      </c>
      <c r="O321" t="s">
        <v>191</v>
      </c>
      <c r="P321" s="1" t="s">
        <v>34</v>
      </c>
      <c r="Q321">
        <v>104.2</v>
      </c>
    </row>
    <row r="322" spans="1:17" x14ac:dyDescent="0.3">
      <c r="A322">
        <v>2013</v>
      </c>
      <c r="B322" t="s">
        <v>42</v>
      </c>
      <c r="C322" t="s">
        <v>65</v>
      </c>
      <c r="D322" s="1" t="s">
        <v>12</v>
      </c>
      <c r="E322" s="4">
        <v>107.9</v>
      </c>
      <c r="F322" s="4">
        <v>108.3</v>
      </c>
      <c r="G322" s="4">
        <v>109.1</v>
      </c>
      <c r="H322" s="1" t="s">
        <v>188</v>
      </c>
      <c r="K322">
        <v>2013</v>
      </c>
      <c r="L322" t="s">
        <v>35</v>
      </c>
      <c r="M322" t="s">
        <v>57</v>
      </c>
      <c r="N322" t="s">
        <v>24</v>
      </c>
      <c r="O322" t="s">
        <v>191</v>
      </c>
      <c r="P322" s="1" t="s">
        <v>33</v>
      </c>
      <c r="Q322">
        <v>104.4</v>
      </c>
    </row>
    <row r="323" spans="1:17" x14ac:dyDescent="0.3">
      <c r="A323">
        <v>2013</v>
      </c>
      <c r="B323" t="s">
        <v>42</v>
      </c>
      <c r="C323" t="s">
        <v>65</v>
      </c>
      <c r="D323" s="1" t="s">
        <v>11</v>
      </c>
      <c r="E323" s="4">
        <v>104.2</v>
      </c>
      <c r="F323" s="4">
        <v>103.1</v>
      </c>
      <c r="G323" s="4">
        <v>100.8</v>
      </c>
      <c r="H323" s="1" t="s">
        <v>188</v>
      </c>
      <c r="K323">
        <v>2013</v>
      </c>
      <c r="L323" t="s">
        <v>35</v>
      </c>
      <c r="M323" t="s">
        <v>57</v>
      </c>
      <c r="N323" t="s">
        <v>9</v>
      </c>
      <c r="O323" t="s">
        <v>188</v>
      </c>
      <c r="P323" s="1" t="s">
        <v>30</v>
      </c>
      <c r="Q323">
        <v>102.4</v>
      </c>
    </row>
    <row r="324" spans="1:17" x14ac:dyDescent="0.3">
      <c r="A324">
        <v>2013</v>
      </c>
      <c r="B324" t="s">
        <v>42</v>
      </c>
      <c r="C324" t="s">
        <v>65</v>
      </c>
      <c r="D324" s="1" t="s">
        <v>24</v>
      </c>
      <c r="E324" s="4">
        <v>109.3</v>
      </c>
      <c r="F324" s="4">
        <v>109.9</v>
      </c>
      <c r="G324" s="4">
        <v>110.4</v>
      </c>
      <c r="H324" s="1" t="s">
        <v>191</v>
      </c>
      <c r="K324">
        <v>2013</v>
      </c>
      <c r="L324" t="s">
        <v>35</v>
      </c>
      <c r="M324" t="s">
        <v>57</v>
      </c>
      <c r="N324" t="s">
        <v>9</v>
      </c>
      <c r="O324" t="s">
        <v>188</v>
      </c>
      <c r="P324" s="1" t="s">
        <v>34</v>
      </c>
      <c r="Q324">
        <v>103.2</v>
      </c>
    </row>
    <row r="325" spans="1:17" x14ac:dyDescent="0.3">
      <c r="A325">
        <v>2013</v>
      </c>
      <c r="B325" t="s">
        <v>42</v>
      </c>
      <c r="C325" t="s">
        <v>65</v>
      </c>
      <c r="D325" s="1" t="s">
        <v>9</v>
      </c>
      <c r="E325" s="4">
        <v>154</v>
      </c>
      <c r="F325" s="4">
        <v>160.9</v>
      </c>
      <c r="G325" s="4">
        <v>174.3</v>
      </c>
      <c r="H325" s="1" t="s">
        <v>188</v>
      </c>
      <c r="K325">
        <v>2013</v>
      </c>
      <c r="L325" t="s">
        <v>35</v>
      </c>
      <c r="M325" t="s">
        <v>57</v>
      </c>
      <c r="N325" t="s">
        <v>9</v>
      </c>
      <c r="O325" t="s">
        <v>188</v>
      </c>
      <c r="P325" s="1" t="s">
        <v>33</v>
      </c>
      <c r="Q325">
        <v>104.9</v>
      </c>
    </row>
    <row r="326" spans="1:17" x14ac:dyDescent="0.3">
      <c r="A326">
        <v>2014</v>
      </c>
      <c r="B326" t="s">
        <v>37</v>
      </c>
      <c r="C326" t="s">
        <v>66</v>
      </c>
      <c r="D326" s="1" t="s">
        <v>3</v>
      </c>
      <c r="E326" s="4">
        <v>120.2</v>
      </c>
      <c r="F326" s="4">
        <v>120.9</v>
      </c>
      <c r="G326" s="4">
        <v>122.5</v>
      </c>
      <c r="H326" s="1" t="s">
        <v>188</v>
      </c>
      <c r="K326">
        <v>2013</v>
      </c>
      <c r="L326" t="s">
        <v>31</v>
      </c>
      <c r="M326" t="s">
        <v>58</v>
      </c>
      <c r="N326" t="s">
        <v>3</v>
      </c>
      <c r="O326" t="s">
        <v>188</v>
      </c>
      <c r="P326" s="1" t="s">
        <v>30</v>
      </c>
      <c r="Q326">
        <v>107.5</v>
      </c>
    </row>
    <row r="327" spans="1:17" x14ac:dyDescent="0.3">
      <c r="A327">
        <v>2014</v>
      </c>
      <c r="B327" t="s">
        <v>37</v>
      </c>
      <c r="C327" t="s">
        <v>66</v>
      </c>
      <c r="D327" s="1" t="s">
        <v>17</v>
      </c>
      <c r="E327" s="4">
        <v>118.1</v>
      </c>
      <c r="F327" s="4">
        <v>117.4</v>
      </c>
      <c r="G327" s="4">
        <v>116.3</v>
      </c>
      <c r="H327" s="1" t="s">
        <v>189</v>
      </c>
      <c r="K327">
        <v>2013</v>
      </c>
      <c r="L327" t="s">
        <v>31</v>
      </c>
      <c r="M327" t="s">
        <v>58</v>
      </c>
      <c r="N327" t="s">
        <v>3</v>
      </c>
      <c r="O327" t="s">
        <v>188</v>
      </c>
      <c r="P327" s="1" t="s">
        <v>34</v>
      </c>
      <c r="Q327">
        <v>108.4</v>
      </c>
    </row>
    <row r="328" spans="1:17" x14ac:dyDescent="0.3">
      <c r="A328">
        <v>2014</v>
      </c>
      <c r="B328" t="s">
        <v>37</v>
      </c>
      <c r="C328" t="s">
        <v>66</v>
      </c>
      <c r="D328" s="1" t="s">
        <v>19</v>
      </c>
      <c r="E328" s="4">
        <v>117.8</v>
      </c>
      <c r="F328" s="4">
        <v>117</v>
      </c>
      <c r="G328" s="4">
        <v>115.7</v>
      </c>
      <c r="H328" s="1" t="s">
        <v>189</v>
      </c>
      <c r="K328">
        <v>2013</v>
      </c>
      <c r="L328" t="s">
        <v>31</v>
      </c>
      <c r="M328" t="s">
        <v>58</v>
      </c>
      <c r="N328" t="s">
        <v>3</v>
      </c>
      <c r="O328" t="s">
        <v>188</v>
      </c>
      <c r="P328" s="1" t="s">
        <v>33</v>
      </c>
      <c r="Q328">
        <v>110.5</v>
      </c>
    </row>
    <row r="329" spans="1:17" x14ac:dyDescent="0.3">
      <c r="A329">
        <v>2014</v>
      </c>
      <c r="B329" t="s">
        <v>37</v>
      </c>
      <c r="C329" t="s">
        <v>66</v>
      </c>
      <c r="D329" s="1" t="s">
        <v>26</v>
      </c>
      <c r="E329" s="4">
        <v>113</v>
      </c>
      <c r="F329" s="4">
        <v>112.7</v>
      </c>
      <c r="G329" s="4">
        <v>112.5</v>
      </c>
      <c r="H329" s="1" t="s">
        <v>26</v>
      </c>
      <c r="K329">
        <v>2013</v>
      </c>
      <c r="L329" t="s">
        <v>31</v>
      </c>
      <c r="M329" t="s">
        <v>58</v>
      </c>
      <c r="N329" t="s">
        <v>17</v>
      </c>
      <c r="O329" t="s">
        <v>189</v>
      </c>
      <c r="P329" s="1" t="s">
        <v>30</v>
      </c>
      <c r="Q329">
        <v>106.5</v>
      </c>
    </row>
    <row r="330" spans="1:17" x14ac:dyDescent="0.3">
      <c r="A330">
        <v>2014</v>
      </c>
      <c r="B330" t="s">
        <v>37</v>
      </c>
      <c r="C330" t="s">
        <v>66</v>
      </c>
      <c r="D330" s="1" t="s">
        <v>5</v>
      </c>
      <c r="E330" s="4">
        <v>118.1</v>
      </c>
      <c r="F330" s="4">
        <v>116.2</v>
      </c>
      <c r="G330" s="4">
        <v>113.3</v>
      </c>
      <c r="H330" s="1" t="s">
        <v>188</v>
      </c>
      <c r="K330">
        <v>2013</v>
      </c>
      <c r="L330" t="s">
        <v>31</v>
      </c>
      <c r="M330" t="s">
        <v>58</v>
      </c>
      <c r="N330" t="s">
        <v>17</v>
      </c>
      <c r="O330" t="s">
        <v>189</v>
      </c>
      <c r="P330" s="1" t="s">
        <v>34</v>
      </c>
      <c r="Q330">
        <v>106.3</v>
      </c>
    </row>
    <row r="331" spans="1:17" x14ac:dyDescent="0.3">
      <c r="A331">
        <v>2014</v>
      </c>
      <c r="B331" t="s">
        <v>37</v>
      </c>
      <c r="C331" t="s">
        <v>66</v>
      </c>
      <c r="D331" s="1" t="s">
        <v>15</v>
      </c>
      <c r="E331" s="4">
        <v>117.2</v>
      </c>
      <c r="F331" s="4">
        <v>117.6</v>
      </c>
      <c r="G331" s="4">
        <v>118.2</v>
      </c>
      <c r="H331" s="1" t="s">
        <v>188</v>
      </c>
      <c r="K331">
        <v>2013</v>
      </c>
      <c r="L331" t="s">
        <v>31</v>
      </c>
      <c r="M331" t="s">
        <v>58</v>
      </c>
      <c r="N331" t="s">
        <v>17</v>
      </c>
      <c r="O331" t="s">
        <v>189</v>
      </c>
      <c r="P331" s="1" t="s">
        <v>33</v>
      </c>
      <c r="Q331">
        <v>105.9</v>
      </c>
    </row>
    <row r="332" spans="1:17" x14ac:dyDescent="0.3">
      <c r="A332">
        <v>2014</v>
      </c>
      <c r="B332" t="s">
        <v>37</v>
      </c>
      <c r="C332" t="s">
        <v>66</v>
      </c>
      <c r="D332" s="1" t="s">
        <v>18</v>
      </c>
      <c r="E332" s="4">
        <v>116.1</v>
      </c>
      <c r="F332" s="4">
        <v>114.6</v>
      </c>
      <c r="G332" s="4">
        <v>112.5</v>
      </c>
      <c r="H332" s="1" t="s">
        <v>189</v>
      </c>
      <c r="K332">
        <v>2013</v>
      </c>
      <c r="L332" t="s">
        <v>31</v>
      </c>
      <c r="M332" t="s">
        <v>58</v>
      </c>
      <c r="N332" t="s">
        <v>19</v>
      </c>
      <c r="O332" t="s">
        <v>189</v>
      </c>
      <c r="P332" s="1" t="s">
        <v>30</v>
      </c>
      <c r="Q332">
        <v>106.4</v>
      </c>
    </row>
    <row r="333" spans="1:17" x14ac:dyDescent="0.3">
      <c r="A333">
        <v>2014</v>
      </c>
      <c r="B333" t="s">
        <v>37</v>
      </c>
      <c r="C333" t="s">
        <v>66</v>
      </c>
      <c r="D333" s="1" t="s">
        <v>8</v>
      </c>
      <c r="E333" s="4">
        <v>125.5</v>
      </c>
      <c r="F333" s="4">
        <v>126.1</v>
      </c>
      <c r="G333" s="4">
        <v>126.7</v>
      </c>
      <c r="H333" s="1" t="s">
        <v>188</v>
      </c>
      <c r="K333">
        <v>2013</v>
      </c>
      <c r="L333" t="s">
        <v>31</v>
      </c>
      <c r="M333" t="s">
        <v>58</v>
      </c>
      <c r="N333" t="s">
        <v>19</v>
      </c>
      <c r="O333" t="s">
        <v>189</v>
      </c>
      <c r="P333" s="1" t="s">
        <v>34</v>
      </c>
      <c r="Q333">
        <v>106.2</v>
      </c>
    </row>
    <row r="334" spans="1:17" x14ac:dyDescent="0.3">
      <c r="A334">
        <v>2014</v>
      </c>
      <c r="B334" t="s">
        <v>37</v>
      </c>
      <c r="C334" t="s">
        <v>66</v>
      </c>
      <c r="D334" s="1" t="s">
        <v>21</v>
      </c>
      <c r="E334" s="4">
        <v>113.4</v>
      </c>
      <c r="F334" s="4">
        <v>112.5</v>
      </c>
      <c r="G334" s="4">
        <v>110.9</v>
      </c>
      <c r="H334" s="1" t="s">
        <v>190</v>
      </c>
      <c r="K334">
        <v>2013</v>
      </c>
      <c r="L334" t="s">
        <v>31</v>
      </c>
      <c r="M334" t="s">
        <v>58</v>
      </c>
      <c r="N334" t="s">
        <v>19</v>
      </c>
      <c r="O334" t="s">
        <v>189</v>
      </c>
      <c r="P334" s="1" t="s">
        <v>33</v>
      </c>
      <c r="Q334">
        <v>105.8</v>
      </c>
    </row>
    <row r="335" spans="1:17" x14ac:dyDescent="0.3">
      <c r="A335">
        <v>2014</v>
      </c>
      <c r="B335" t="s">
        <v>37</v>
      </c>
      <c r="C335" t="s">
        <v>66</v>
      </c>
      <c r="D335" s="1" t="s">
        <v>29</v>
      </c>
      <c r="E335" s="4">
        <v>115.4</v>
      </c>
      <c r="F335" s="4">
        <v>115.1</v>
      </c>
      <c r="G335" s="4">
        <v>114.7</v>
      </c>
      <c r="H335" s="1" t="s">
        <v>206</v>
      </c>
      <c r="K335">
        <v>2013</v>
      </c>
      <c r="L335" t="s">
        <v>31</v>
      </c>
      <c r="M335" t="s">
        <v>58</v>
      </c>
      <c r="N335" t="s">
        <v>26</v>
      </c>
      <c r="O335" t="s">
        <v>26</v>
      </c>
      <c r="P335" s="1" t="s">
        <v>30</v>
      </c>
      <c r="Q335">
        <v>103.8</v>
      </c>
    </row>
    <row r="336" spans="1:17" x14ac:dyDescent="0.3">
      <c r="A336">
        <v>2014</v>
      </c>
      <c r="B336" t="s">
        <v>37</v>
      </c>
      <c r="C336" t="s">
        <v>66</v>
      </c>
      <c r="D336" s="1" t="s">
        <v>23</v>
      </c>
      <c r="E336" s="4">
        <v>111.8</v>
      </c>
      <c r="F336" s="4">
        <v>111.5</v>
      </c>
      <c r="G336" s="4">
        <v>111</v>
      </c>
      <c r="H336" s="1" t="s">
        <v>23</v>
      </c>
      <c r="K336">
        <v>2013</v>
      </c>
      <c r="L336" t="s">
        <v>31</v>
      </c>
      <c r="M336" t="s">
        <v>58</v>
      </c>
      <c r="N336" t="s">
        <v>26</v>
      </c>
      <c r="O336" t="s">
        <v>26</v>
      </c>
      <c r="P336" s="1" t="s">
        <v>34</v>
      </c>
      <c r="Q336">
        <v>103.6</v>
      </c>
    </row>
    <row r="337" spans="1:17" x14ac:dyDescent="0.3">
      <c r="A337">
        <v>2014</v>
      </c>
      <c r="B337" t="s">
        <v>37</v>
      </c>
      <c r="C337" t="s">
        <v>66</v>
      </c>
      <c r="D337" s="1" t="s">
        <v>22</v>
      </c>
      <c r="E337" s="4">
        <v>113.7</v>
      </c>
      <c r="F337" s="4">
        <v>113.6</v>
      </c>
      <c r="G337" s="4">
        <v>113.4</v>
      </c>
      <c r="H337" s="1" t="s">
        <v>20</v>
      </c>
      <c r="K337">
        <v>2013</v>
      </c>
      <c r="L337" t="s">
        <v>31</v>
      </c>
      <c r="M337" t="s">
        <v>58</v>
      </c>
      <c r="N337" t="s">
        <v>26</v>
      </c>
      <c r="O337" t="s">
        <v>26</v>
      </c>
      <c r="P337" s="1" t="s">
        <v>33</v>
      </c>
      <c r="Q337">
        <v>103.5</v>
      </c>
    </row>
    <row r="338" spans="1:17" x14ac:dyDescent="0.3">
      <c r="A338">
        <v>2014</v>
      </c>
      <c r="B338" t="s">
        <v>37</v>
      </c>
      <c r="C338" t="s">
        <v>66</v>
      </c>
      <c r="D338" s="1" t="s">
        <v>20</v>
      </c>
      <c r="E338" s="4">
        <v>0</v>
      </c>
      <c r="F338" s="4">
        <v>113.9</v>
      </c>
      <c r="G338" s="4">
        <v>113.9</v>
      </c>
      <c r="H338" s="1" t="s">
        <v>20</v>
      </c>
      <c r="K338">
        <v>2013</v>
      </c>
      <c r="L338" t="s">
        <v>31</v>
      </c>
      <c r="M338" t="s">
        <v>58</v>
      </c>
      <c r="N338" t="s">
        <v>5</v>
      </c>
      <c r="O338" t="s">
        <v>188</v>
      </c>
      <c r="P338" s="1" t="s">
        <v>30</v>
      </c>
      <c r="Q338">
        <v>108.1</v>
      </c>
    </row>
    <row r="339" spans="1:17" x14ac:dyDescent="0.3">
      <c r="A339">
        <v>2014</v>
      </c>
      <c r="B339" t="s">
        <v>37</v>
      </c>
      <c r="C339" t="s">
        <v>66</v>
      </c>
      <c r="D339" s="1" t="s">
        <v>4</v>
      </c>
      <c r="E339" s="4">
        <v>118.9</v>
      </c>
      <c r="F339" s="4">
        <v>119.9</v>
      </c>
      <c r="G339" s="4">
        <v>121.7</v>
      </c>
      <c r="H339" s="1" t="s">
        <v>188</v>
      </c>
      <c r="K339">
        <v>2013</v>
      </c>
      <c r="L339" t="s">
        <v>31</v>
      </c>
      <c r="M339" t="s">
        <v>58</v>
      </c>
      <c r="N339" t="s">
        <v>5</v>
      </c>
      <c r="O339" t="s">
        <v>188</v>
      </c>
      <c r="P339" s="1" t="s">
        <v>34</v>
      </c>
      <c r="Q339">
        <v>110</v>
      </c>
    </row>
    <row r="340" spans="1:17" x14ac:dyDescent="0.3">
      <c r="A340">
        <v>2014</v>
      </c>
      <c r="B340" t="s">
        <v>37</v>
      </c>
      <c r="C340" t="s">
        <v>66</v>
      </c>
      <c r="D340" s="1" t="s">
        <v>6</v>
      </c>
      <c r="E340" s="4">
        <v>117</v>
      </c>
      <c r="F340" s="4">
        <v>117</v>
      </c>
      <c r="G340" s="4">
        <v>117</v>
      </c>
      <c r="H340" s="1" t="s">
        <v>188</v>
      </c>
      <c r="K340">
        <v>2013</v>
      </c>
      <c r="L340" t="s">
        <v>31</v>
      </c>
      <c r="M340" t="s">
        <v>58</v>
      </c>
      <c r="N340" t="s">
        <v>5</v>
      </c>
      <c r="O340" t="s">
        <v>188</v>
      </c>
      <c r="P340" s="1" t="s">
        <v>33</v>
      </c>
      <c r="Q340">
        <v>113</v>
      </c>
    </row>
    <row r="341" spans="1:17" x14ac:dyDescent="0.3">
      <c r="A341">
        <v>2014</v>
      </c>
      <c r="B341" t="s">
        <v>37</v>
      </c>
      <c r="C341" t="s">
        <v>66</v>
      </c>
      <c r="D341" s="1" t="s">
        <v>28</v>
      </c>
      <c r="E341" s="4">
        <v>111.5</v>
      </c>
      <c r="F341" s="4">
        <v>111.5</v>
      </c>
      <c r="G341" s="4">
        <v>111.4</v>
      </c>
      <c r="H341" s="1" t="s">
        <v>192</v>
      </c>
      <c r="K341">
        <v>2013</v>
      </c>
      <c r="L341" t="s">
        <v>31</v>
      </c>
      <c r="M341" t="s">
        <v>58</v>
      </c>
      <c r="N341" t="s">
        <v>15</v>
      </c>
      <c r="O341" t="s">
        <v>188</v>
      </c>
      <c r="P341" s="1" t="s">
        <v>30</v>
      </c>
      <c r="Q341">
        <v>105.5</v>
      </c>
    </row>
    <row r="342" spans="1:17" x14ac:dyDescent="0.3">
      <c r="A342">
        <v>2014</v>
      </c>
      <c r="B342" t="s">
        <v>37</v>
      </c>
      <c r="C342" t="s">
        <v>66</v>
      </c>
      <c r="D342" s="1" t="s">
        <v>13</v>
      </c>
      <c r="E342" s="4">
        <v>113.5</v>
      </c>
      <c r="F342" s="4">
        <v>113.2</v>
      </c>
      <c r="G342" s="4">
        <v>112.7</v>
      </c>
      <c r="H342" s="1" t="s">
        <v>188</v>
      </c>
      <c r="K342">
        <v>2013</v>
      </c>
      <c r="L342" t="s">
        <v>31</v>
      </c>
      <c r="M342" t="s">
        <v>58</v>
      </c>
      <c r="N342" t="s">
        <v>15</v>
      </c>
      <c r="O342" t="s">
        <v>188</v>
      </c>
      <c r="P342" s="1" t="s">
        <v>34</v>
      </c>
      <c r="Q342">
        <v>105.6</v>
      </c>
    </row>
    <row r="343" spans="1:17" x14ac:dyDescent="0.3">
      <c r="A343">
        <v>2014</v>
      </c>
      <c r="B343" t="s">
        <v>37</v>
      </c>
      <c r="C343" t="s">
        <v>66</v>
      </c>
      <c r="D343" s="1" t="s">
        <v>7</v>
      </c>
      <c r="E343" s="4">
        <v>109.7</v>
      </c>
      <c r="F343" s="4">
        <v>107.3</v>
      </c>
      <c r="G343" s="4">
        <v>103.1</v>
      </c>
      <c r="H343" s="1" t="s">
        <v>188</v>
      </c>
      <c r="K343">
        <v>2013</v>
      </c>
      <c r="L343" t="s">
        <v>31</v>
      </c>
      <c r="M343" t="s">
        <v>58</v>
      </c>
      <c r="N343" t="s">
        <v>15</v>
      </c>
      <c r="O343" t="s">
        <v>188</v>
      </c>
      <c r="P343" s="1" t="s">
        <v>33</v>
      </c>
      <c r="Q343">
        <v>105.9</v>
      </c>
    </row>
    <row r="344" spans="1:17" x14ac:dyDescent="0.3">
      <c r="A344">
        <v>2014</v>
      </c>
      <c r="B344" t="s">
        <v>37</v>
      </c>
      <c r="C344" t="s">
        <v>66</v>
      </c>
      <c r="D344" s="1" t="s">
        <v>16</v>
      </c>
      <c r="E344" s="4">
        <v>115.4</v>
      </c>
      <c r="F344" s="4">
        <v>116</v>
      </c>
      <c r="G344" s="4">
        <v>117.6</v>
      </c>
      <c r="H344" s="1" t="s">
        <v>192</v>
      </c>
      <c r="K344">
        <v>2013</v>
      </c>
      <c r="L344" t="s">
        <v>31</v>
      </c>
      <c r="M344" t="s">
        <v>58</v>
      </c>
      <c r="N344" t="s">
        <v>18</v>
      </c>
      <c r="O344" t="s">
        <v>189</v>
      </c>
      <c r="P344" s="1" t="s">
        <v>30</v>
      </c>
      <c r="Q344">
        <v>105.8</v>
      </c>
    </row>
    <row r="345" spans="1:17" x14ac:dyDescent="0.3">
      <c r="A345">
        <v>2014</v>
      </c>
      <c r="B345" t="s">
        <v>37</v>
      </c>
      <c r="C345" t="s">
        <v>66</v>
      </c>
      <c r="D345" s="1" t="s">
        <v>27</v>
      </c>
      <c r="E345" s="4">
        <v>108.9</v>
      </c>
      <c r="F345" s="4">
        <v>109</v>
      </c>
      <c r="G345" s="4">
        <v>109.1</v>
      </c>
      <c r="H345" s="1" t="s">
        <v>192</v>
      </c>
      <c r="K345">
        <v>2013</v>
      </c>
      <c r="L345" t="s">
        <v>31</v>
      </c>
      <c r="M345" t="s">
        <v>58</v>
      </c>
      <c r="N345" t="s">
        <v>18</v>
      </c>
      <c r="O345" t="s">
        <v>189</v>
      </c>
      <c r="P345" s="1" t="s">
        <v>34</v>
      </c>
      <c r="Q345">
        <v>105.5</v>
      </c>
    </row>
    <row r="346" spans="1:17" x14ac:dyDescent="0.3">
      <c r="A346">
        <v>2014</v>
      </c>
      <c r="B346" t="s">
        <v>37</v>
      </c>
      <c r="C346" t="s">
        <v>66</v>
      </c>
      <c r="D346" s="1" t="s">
        <v>14</v>
      </c>
      <c r="E346" s="4">
        <v>118.7</v>
      </c>
      <c r="F346" s="4">
        <v>119.8</v>
      </c>
      <c r="G346" s="4">
        <v>121</v>
      </c>
      <c r="H346" s="1" t="s">
        <v>188</v>
      </c>
      <c r="K346">
        <v>2013</v>
      </c>
      <c r="L346" t="s">
        <v>31</v>
      </c>
      <c r="M346" t="s">
        <v>58</v>
      </c>
      <c r="N346" t="s">
        <v>18</v>
      </c>
      <c r="O346" t="s">
        <v>189</v>
      </c>
      <c r="P346" s="1" t="s">
        <v>33</v>
      </c>
      <c r="Q346">
        <v>105</v>
      </c>
    </row>
    <row r="347" spans="1:17" x14ac:dyDescent="0.3">
      <c r="A347">
        <v>2014</v>
      </c>
      <c r="B347" t="s">
        <v>37</v>
      </c>
      <c r="C347" t="s">
        <v>66</v>
      </c>
      <c r="D347" s="1" t="s">
        <v>10</v>
      </c>
      <c r="E347" s="4">
        <v>111</v>
      </c>
      <c r="F347" s="4">
        <v>111</v>
      </c>
      <c r="G347" s="4">
        <v>111</v>
      </c>
      <c r="H347" s="1" t="s">
        <v>188</v>
      </c>
      <c r="K347">
        <v>2013</v>
      </c>
      <c r="L347" t="s">
        <v>31</v>
      </c>
      <c r="M347" t="s">
        <v>58</v>
      </c>
      <c r="N347" t="s">
        <v>8</v>
      </c>
      <c r="O347" t="s">
        <v>188</v>
      </c>
      <c r="P347" s="1" t="s">
        <v>30</v>
      </c>
      <c r="Q347">
        <v>103.9</v>
      </c>
    </row>
    <row r="348" spans="1:17" x14ac:dyDescent="0.3">
      <c r="A348">
        <v>2014</v>
      </c>
      <c r="B348" t="s">
        <v>37</v>
      </c>
      <c r="C348" t="s">
        <v>66</v>
      </c>
      <c r="D348" s="1" t="s">
        <v>25</v>
      </c>
      <c r="E348" s="4">
        <v>110.5</v>
      </c>
      <c r="F348" s="4">
        <v>110.9</v>
      </c>
      <c r="G348" s="4">
        <v>111.2</v>
      </c>
      <c r="H348" s="1" t="s">
        <v>195</v>
      </c>
      <c r="K348">
        <v>2013</v>
      </c>
      <c r="L348" t="s">
        <v>31</v>
      </c>
      <c r="M348" t="s">
        <v>58</v>
      </c>
      <c r="N348" t="s">
        <v>8</v>
      </c>
      <c r="O348" t="s">
        <v>188</v>
      </c>
      <c r="P348" s="1" t="s">
        <v>34</v>
      </c>
      <c r="Q348">
        <v>103.2</v>
      </c>
    </row>
    <row r="349" spans="1:17" x14ac:dyDescent="0.3">
      <c r="A349">
        <v>2014</v>
      </c>
      <c r="B349" t="s">
        <v>37</v>
      </c>
      <c r="C349" t="s">
        <v>66</v>
      </c>
      <c r="D349" s="1" t="s">
        <v>12</v>
      </c>
      <c r="E349" s="4">
        <v>111.2</v>
      </c>
      <c r="F349" s="4">
        <v>112.6</v>
      </c>
      <c r="G349" s="4">
        <v>115.3</v>
      </c>
      <c r="H349" s="1" t="s">
        <v>188</v>
      </c>
      <c r="K349">
        <v>2013</v>
      </c>
      <c r="L349" t="s">
        <v>31</v>
      </c>
      <c r="M349" t="s">
        <v>58</v>
      </c>
      <c r="N349" t="s">
        <v>8</v>
      </c>
      <c r="O349" t="s">
        <v>188</v>
      </c>
      <c r="P349" s="1" t="s">
        <v>33</v>
      </c>
      <c r="Q349">
        <v>102.3</v>
      </c>
    </row>
    <row r="350" spans="1:17" x14ac:dyDescent="0.3">
      <c r="A350">
        <v>2014</v>
      </c>
      <c r="B350" t="s">
        <v>37</v>
      </c>
      <c r="C350" t="s">
        <v>66</v>
      </c>
      <c r="D350" s="1" t="s">
        <v>11</v>
      </c>
      <c r="E350" s="4">
        <v>102.6</v>
      </c>
      <c r="F350" s="4">
        <v>101.8</v>
      </c>
      <c r="G350" s="4">
        <v>100.3</v>
      </c>
      <c r="H350" s="1" t="s">
        <v>188</v>
      </c>
      <c r="K350">
        <v>2013</v>
      </c>
      <c r="L350" t="s">
        <v>31</v>
      </c>
      <c r="M350" t="s">
        <v>58</v>
      </c>
      <c r="N350" t="s">
        <v>21</v>
      </c>
      <c r="O350" t="s">
        <v>190</v>
      </c>
      <c r="P350" s="1" t="s">
        <v>30</v>
      </c>
      <c r="Q350">
        <v>105.5</v>
      </c>
    </row>
    <row r="351" spans="1:17" x14ac:dyDescent="0.3">
      <c r="A351">
        <v>2014</v>
      </c>
      <c r="B351" t="s">
        <v>37</v>
      </c>
      <c r="C351" t="s">
        <v>66</v>
      </c>
      <c r="D351" s="1" t="s">
        <v>24</v>
      </c>
      <c r="E351" s="4">
        <v>111.2</v>
      </c>
      <c r="F351" s="4">
        <v>111.2</v>
      </c>
      <c r="G351" s="4">
        <v>111.2</v>
      </c>
      <c r="H351" s="1" t="s">
        <v>191</v>
      </c>
      <c r="K351">
        <v>2013</v>
      </c>
      <c r="L351" t="s">
        <v>31</v>
      </c>
      <c r="M351" t="s">
        <v>58</v>
      </c>
      <c r="N351" t="s">
        <v>21</v>
      </c>
      <c r="O351" t="s">
        <v>190</v>
      </c>
      <c r="P351" s="1" t="s">
        <v>34</v>
      </c>
      <c r="Q351">
        <v>105.5</v>
      </c>
    </row>
    <row r="352" spans="1:17" x14ac:dyDescent="0.3">
      <c r="A352">
        <v>2014</v>
      </c>
      <c r="B352" t="s">
        <v>37</v>
      </c>
      <c r="C352" t="s">
        <v>66</v>
      </c>
      <c r="D352" s="1" t="s">
        <v>9</v>
      </c>
      <c r="E352" s="4">
        <v>120.5</v>
      </c>
      <c r="F352" s="4">
        <v>120.7</v>
      </c>
      <c r="G352" s="4">
        <v>121.2</v>
      </c>
      <c r="H352" s="1" t="s">
        <v>188</v>
      </c>
      <c r="K352">
        <v>2013</v>
      </c>
      <c r="L352" t="s">
        <v>31</v>
      </c>
      <c r="M352" t="s">
        <v>58</v>
      </c>
      <c r="N352" t="s">
        <v>21</v>
      </c>
      <c r="O352" t="s">
        <v>190</v>
      </c>
      <c r="P352" s="1" t="s">
        <v>33</v>
      </c>
      <c r="Q352">
        <v>105.4</v>
      </c>
    </row>
    <row r="353" spans="1:17" x14ac:dyDescent="0.3">
      <c r="A353">
        <v>2014</v>
      </c>
      <c r="B353" t="s">
        <v>41</v>
      </c>
      <c r="C353" t="s">
        <v>67</v>
      </c>
      <c r="D353" s="1" t="s">
        <v>3</v>
      </c>
      <c r="E353" s="4">
        <v>121.8</v>
      </c>
      <c r="F353" s="4">
        <v>122.7</v>
      </c>
      <c r="G353" s="4">
        <v>124.8</v>
      </c>
      <c r="H353" s="1" t="s">
        <v>188</v>
      </c>
      <c r="K353">
        <v>2013</v>
      </c>
      <c r="L353" t="s">
        <v>31</v>
      </c>
      <c r="M353" t="s">
        <v>58</v>
      </c>
      <c r="N353" t="s">
        <v>29</v>
      </c>
      <c r="O353" t="s">
        <v>206</v>
      </c>
      <c r="P353" s="1" t="s">
        <v>30</v>
      </c>
      <c r="Q353">
        <v>105.1</v>
      </c>
    </row>
    <row r="354" spans="1:17" x14ac:dyDescent="0.3">
      <c r="A354">
        <v>2014</v>
      </c>
      <c r="B354" t="s">
        <v>41</v>
      </c>
      <c r="C354" t="s">
        <v>67</v>
      </c>
      <c r="D354" s="1" t="s">
        <v>17</v>
      </c>
      <c r="E354" s="4">
        <v>120.9</v>
      </c>
      <c r="F354" s="4">
        <v>120</v>
      </c>
      <c r="G354" s="4">
        <v>118.6</v>
      </c>
      <c r="H354" s="1" t="s">
        <v>189</v>
      </c>
      <c r="K354">
        <v>2013</v>
      </c>
      <c r="L354" t="s">
        <v>31</v>
      </c>
      <c r="M354" t="s">
        <v>58</v>
      </c>
      <c r="N354" t="s">
        <v>29</v>
      </c>
      <c r="O354" t="s">
        <v>206</v>
      </c>
      <c r="P354" s="1" t="s">
        <v>34</v>
      </c>
      <c r="Q354">
        <v>104.6</v>
      </c>
    </row>
    <row r="355" spans="1:17" x14ac:dyDescent="0.3">
      <c r="A355">
        <v>2014</v>
      </c>
      <c r="B355" t="s">
        <v>41</v>
      </c>
      <c r="C355" t="s">
        <v>67</v>
      </c>
      <c r="D355" s="1" t="s">
        <v>19</v>
      </c>
      <c r="E355" s="4">
        <v>120.7</v>
      </c>
      <c r="F355" s="4">
        <v>119.6</v>
      </c>
      <c r="G355" s="4">
        <v>117.9</v>
      </c>
      <c r="H355" s="1" t="s">
        <v>189</v>
      </c>
      <c r="K355">
        <v>2013</v>
      </c>
      <c r="L355" t="s">
        <v>31</v>
      </c>
      <c r="M355" t="s">
        <v>58</v>
      </c>
      <c r="N355" t="s">
        <v>29</v>
      </c>
      <c r="O355" t="s">
        <v>206</v>
      </c>
      <c r="P355" s="1" t="s">
        <v>33</v>
      </c>
      <c r="Q355">
        <v>104</v>
      </c>
    </row>
    <row r="356" spans="1:17" x14ac:dyDescent="0.3">
      <c r="A356">
        <v>2014</v>
      </c>
      <c r="B356" t="s">
        <v>41</v>
      </c>
      <c r="C356" t="s">
        <v>67</v>
      </c>
      <c r="D356" s="1" t="s">
        <v>26</v>
      </c>
      <c r="E356" s="4">
        <v>116.2</v>
      </c>
      <c r="F356" s="4">
        <v>118</v>
      </c>
      <c r="G356" s="4">
        <v>119.2</v>
      </c>
      <c r="H356" s="1" t="s">
        <v>26</v>
      </c>
      <c r="K356">
        <v>2013</v>
      </c>
      <c r="L356" t="s">
        <v>31</v>
      </c>
      <c r="M356" t="s">
        <v>58</v>
      </c>
      <c r="N356" t="s">
        <v>23</v>
      </c>
      <c r="O356" t="s">
        <v>23</v>
      </c>
      <c r="P356" s="1" t="s">
        <v>30</v>
      </c>
      <c r="Q356">
        <v>104</v>
      </c>
    </row>
    <row r="357" spans="1:17" x14ac:dyDescent="0.3">
      <c r="A357">
        <v>2014</v>
      </c>
      <c r="B357" t="s">
        <v>41</v>
      </c>
      <c r="C357" t="s">
        <v>67</v>
      </c>
      <c r="D357" s="1" t="s">
        <v>5</v>
      </c>
      <c r="E357" s="4">
        <v>117.8</v>
      </c>
      <c r="F357" s="4">
        <v>117.3</v>
      </c>
      <c r="G357" s="4">
        <v>116.5</v>
      </c>
      <c r="H357" s="1" t="s">
        <v>188</v>
      </c>
      <c r="K357">
        <v>2013</v>
      </c>
      <c r="L357" t="s">
        <v>31</v>
      </c>
      <c r="M357" t="s">
        <v>58</v>
      </c>
      <c r="N357" t="s">
        <v>23</v>
      </c>
      <c r="O357" t="s">
        <v>23</v>
      </c>
      <c r="P357" s="1" t="s">
        <v>34</v>
      </c>
      <c r="Q357">
        <v>104</v>
      </c>
    </row>
    <row r="358" spans="1:17" x14ac:dyDescent="0.3">
      <c r="A358">
        <v>2014</v>
      </c>
      <c r="B358" t="s">
        <v>41</v>
      </c>
      <c r="C358" t="s">
        <v>67</v>
      </c>
      <c r="D358" s="1" t="s">
        <v>15</v>
      </c>
      <c r="E358" s="4">
        <v>125.3</v>
      </c>
      <c r="F358" s="4">
        <v>126.6</v>
      </c>
      <c r="G358" s="4">
        <v>128.9</v>
      </c>
      <c r="H358" s="1" t="s">
        <v>188</v>
      </c>
      <c r="K358">
        <v>2013</v>
      </c>
      <c r="L358" t="s">
        <v>31</v>
      </c>
      <c r="M358" t="s">
        <v>58</v>
      </c>
      <c r="N358" t="s">
        <v>23</v>
      </c>
      <c r="O358" t="s">
        <v>23</v>
      </c>
      <c r="P358" s="1" t="s">
        <v>33</v>
      </c>
      <c r="Q358">
        <v>104.1</v>
      </c>
    </row>
    <row r="359" spans="1:17" x14ac:dyDescent="0.3">
      <c r="A359">
        <v>2014</v>
      </c>
      <c r="B359" t="s">
        <v>41</v>
      </c>
      <c r="C359" t="s">
        <v>67</v>
      </c>
      <c r="D359" s="1" t="s">
        <v>18</v>
      </c>
      <c r="E359" s="4">
        <v>118.8</v>
      </c>
      <c r="F359" s="4">
        <v>116.8</v>
      </c>
      <c r="G359" s="4">
        <v>114.1</v>
      </c>
      <c r="H359" s="1" t="s">
        <v>189</v>
      </c>
      <c r="K359">
        <v>2013</v>
      </c>
      <c r="L359" t="s">
        <v>31</v>
      </c>
      <c r="M359" t="s">
        <v>58</v>
      </c>
      <c r="N359" t="s">
        <v>22</v>
      </c>
      <c r="O359" t="s">
        <v>20</v>
      </c>
      <c r="P359" s="1" t="s">
        <v>30</v>
      </c>
      <c r="Q359">
        <v>104.8</v>
      </c>
    </row>
    <row r="360" spans="1:17" x14ac:dyDescent="0.3">
      <c r="A360">
        <v>2014</v>
      </c>
      <c r="B360" t="s">
        <v>41</v>
      </c>
      <c r="C360" t="s">
        <v>67</v>
      </c>
      <c r="D360" s="1" t="s">
        <v>8</v>
      </c>
      <c r="E360" s="4">
        <v>129.69999999999999</v>
      </c>
      <c r="F360" s="4">
        <v>131.1</v>
      </c>
      <c r="G360" s="4">
        <v>132.69999999999999</v>
      </c>
      <c r="H360" s="1" t="s">
        <v>188</v>
      </c>
      <c r="K360">
        <v>2013</v>
      </c>
      <c r="L360" t="s">
        <v>31</v>
      </c>
      <c r="M360" t="s">
        <v>58</v>
      </c>
      <c r="N360" t="s">
        <v>22</v>
      </c>
      <c r="O360" t="s">
        <v>20</v>
      </c>
      <c r="P360" s="1" t="s">
        <v>34</v>
      </c>
      <c r="Q360">
        <v>104.8</v>
      </c>
    </row>
    <row r="361" spans="1:17" x14ac:dyDescent="0.3">
      <c r="A361">
        <v>2014</v>
      </c>
      <c r="B361" t="s">
        <v>41</v>
      </c>
      <c r="C361" t="s">
        <v>67</v>
      </c>
      <c r="D361" s="1" t="s">
        <v>21</v>
      </c>
      <c r="E361" s="4">
        <v>115.4</v>
      </c>
      <c r="F361" s="4">
        <v>114</v>
      </c>
      <c r="G361" s="4">
        <v>111.8</v>
      </c>
      <c r="H361" s="1" t="s">
        <v>190</v>
      </c>
      <c r="K361">
        <v>2013</v>
      </c>
      <c r="L361" t="s">
        <v>31</v>
      </c>
      <c r="M361" t="s">
        <v>58</v>
      </c>
      <c r="N361" t="s">
        <v>22</v>
      </c>
      <c r="O361" t="s">
        <v>20</v>
      </c>
      <c r="P361" s="1" t="s">
        <v>33</v>
      </c>
      <c r="Q361">
        <v>104.8</v>
      </c>
    </row>
    <row r="362" spans="1:17" x14ac:dyDescent="0.3">
      <c r="A362">
        <v>2014</v>
      </c>
      <c r="B362" t="s">
        <v>41</v>
      </c>
      <c r="C362" t="s">
        <v>67</v>
      </c>
      <c r="D362" s="1" t="s">
        <v>29</v>
      </c>
      <c r="E362" s="4">
        <v>120.7</v>
      </c>
      <c r="F362" s="4">
        <v>120.3</v>
      </c>
      <c r="G362" s="4">
        <v>119.9</v>
      </c>
      <c r="H362" s="1" t="s">
        <v>206</v>
      </c>
      <c r="K362">
        <v>2013</v>
      </c>
      <c r="L362" t="s">
        <v>31</v>
      </c>
      <c r="M362" t="s">
        <v>58</v>
      </c>
      <c r="N362" t="s">
        <v>20</v>
      </c>
      <c r="O362" t="s">
        <v>20</v>
      </c>
      <c r="P362" s="1" t="s">
        <v>30</v>
      </c>
      <c r="Q362">
        <v>0</v>
      </c>
    </row>
    <row r="363" spans="1:17" x14ac:dyDescent="0.3">
      <c r="A363">
        <v>2014</v>
      </c>
      <c r="B363" t="s">
        <v>41</v>
      </c>
      <c r="C363" t="s">
        <v>67</v>
      </c>
      <c r="D363" s="1" t="s">
        <v>23</v>
      </c>
      <c r="E363" s="4">
        <v>114</v>
      </c>
      <c r="F363" s="4">
        <v>113.3</v>
      </c>
      <c r="G363" s="4">
        <v>112.2</v>
      </c>
      <c r="H363" s="1" t="s">
        <v>23</v>
      </c>
      <c r="K363">
        <v>2013</v>
      </c>
      <c r="L363" t="s">
        <v>31</v>
      </c>
      <c r="M363" t="s">
        <v>58</v>
      </c>
      <c r="N363" t="s">
        <v>20</v>
      </c>
      <c r="O363" t="s">
        <v>20</v>
      </c>
      <c r="P363" s="1" t="s">
        <v>34</v>
      </c>
      <c r="Q363">
        <v>100.3</v>
      </c>
    </row>
    <row r="364" spans="1:17" x14ac:dyDescent="0.3">
      <c r="A364">
        <v>2014</v>
      </c>
      <c r="B364" t="s">
        <v>41</v>
      </c>
      <c r="C364" t="s">
        <v>67</v>
      </c>
      <c r="D364" s="1" t="s">
        <v>22</v>
      </c>
      <c r="E364" s="4">
        <v>115.9</v>
      </c>
      <c r="F364" s="4">
        <v>115.6</v>
      </c>
      <c r="G364" s="4">
        <v>115.3</v>
      </c>
      <c r="H364" s="1" t="s">
        <v>20</v>
      </c>
      <c r="K364">
        <v>2013</v>
      </c>
      <c r="L364" t="s">
        <v>31</v>
      </c>
      <c r="M364" t="s">
        <v>58</v>
      </c>
      <c r="N364" t="s">
        <v>20</v>
      </c>
      <c r="O364" t="s">
        <v>20</v>
      </c>
      <c r="P364" s="1" t="s">
        <v>33</v>
      </c>
      <c r="Q364">
        <v>100.3</v>
      </c>
    </row>
    <row r="365" spans="1:17" x14ac:dyDescent="0.3">
      <c r="A365">
        <v>2014</v>
      </c>
      <c r="B365" t="s">
        <v>41</v>
      </c>
      <c r="C365" t="s">
        <v>67</v>
      </c>
      <c r="D365" s="1" t="s">
        <v>20</v>
      </c>
      <c r="E365" s="4">
        <v>0</v>
      </c>
      <c r="F365" s="4">
        <v>115.5</v>
      </c>
      <c r="G365" s="4">
        <v>115.5</v>
      </c>
      <c r="H365" s="1" t="s">
        <v>20</v>
      </c>
      <c r="K365">
        <v>2013</v>
      </c>
      <c r="L365" t="s">
        <v>31</v>
      </c>
      <c r="M365" t="s">
        <v>58</v>
      </c>
      <c r="N365" t="s">
        <v>4</v>
      </c>
      <c r="O365" t="s">
        <v>188</v>
      </c>
      <c r="P365" s="1" t="s">
        <v>30</v>
      </c>
      <c r="Q365">
        <v>106.3</v>
      </c>
    </row>
    <row r="366" spans="1:17" x14ac:dyDescent="0.3">
      <c r="A366">
        <v>2014</v>
      </c>
      <c r="B366" t="s">
        <v>41</v>
      </c>
      <c r="C366" t="s">
        <v>67</v>
      </c>
      <c r="D366" s="1" t="s">
        <v>4</v>
      </c>
      <c r="E366" s="4">
        <v>122.8</v>
      </c>
      <c r="F366" s="4">
        <v>124.4</v>
      </c>
      <c r="G366" s="4">
        <v>127.3</v>
      </c>
      <c r="H366" s="1" t="s">
        <v>188</v>
      </c>
      <c r="K366">
        <v>2013</v>
      </c>
      <c r="L366" t="s">
        <v>31</v>
      </c>
      <c r="M366" t="s">
        <v>58</v>
      </c>
      <c r="N366" t="s">
        <v>4</v>
      </c>
      <c r="O366" t="s">
        <v>188</v>
      </c>
      <c r="P366" s="1" t="s">
        <v>34</v>
      </c>
      <c r="Q366">
        <v>107.3</v>
      </c>
    </row>
    <row r="367" spans="1:17" x14ac:dyDescent="0.3">
      <c r="A367">
        <v>2014</v>
      </c>
      <c r="B367" t="s">
        <v>41</v>
      </c>
      <c r="C367" t="s">
        <v>67</v>
      </c>
      <c r="D367" s="1" t="s">
        <v>6</v>
      </c>
      <c r="E367" s="4">
        <v>121.9</v>
      </c>
      <c r="F367" s="4">
        <v>122</v>
      </c>
      <c r="G367" s="4">
        <v>122.2</v>
      </c>
      <c r="H367" s="1" t="s">
        <v>188</v>
      </c>
      <c r="K367">
        <v>2013</v>
      </c>
      <c r="L367" t="s">
        <v>31</v>
      </c>
      <c r="M367" t="s">
        <v>58</v>
      </c>
      <c r="N367" t="s">
        <v>4</v>
      </c>
      <c r="O367" t="s">
        <v>188</v>
      </c>
      <c r="P367" s="1" t="s">
        <v>33</v>
      </c>
      <c r="Q367">
        <v>109.1</v>
      </c>
    </row>
    <row r="368" spans="1:17" x14ac:dyDescent="0.3">
      <c r="A368">
        <v>2014</v>
      </c>
      <c r="B368" t="s">
        <v>41</v>
      </c>
      <c r="C368" t="s">
        <v>67</v>
      </c>
      <c r="D368" s="1" t="s">
        <v>28</v>
      </c>
      <c r="E368" s="4">
        <v>113.5</v>
      </c>
      <c r="F368" s="4">
        <v>113.7</v>
      </c>
      <c r="G368" s="4">
        <v>113.9</v>
      </c>
      <c r="H368" s="1" t="s">
        <v>192</v>
      </c>
      <c r="K368">
        <v>2013</v>
      </c>
      <c r="L368" t="s">
        <v>31</v>
      </c>
      <c r="M368" t="s">
        <v>58</v>
      </c>
      <c r="N368" t="s">
        <v>6</v>
      </c>
      <c r="O368" t="s">
        <v>188</v>
      </c>
      <c r="P368" s="1" t="s">
        <v>30</v>
      </c>
      <c r="Q368">
        <v>104.9</v>
      </c>
    </row>
    <row r="369" spans="1:17" x14ac:dyDescent="0.3">
      <c r="A369">
        <v>2014</v>
      </c>
      <c r="B369" t="s">
        <v>41</v>
      </c>
      <c r="C369" t="s">
        <v>67</v>
      </c>
      <c r="D369" s="1" t="s">
        <v>13</v>
      </c>
      <c r="E369" s="4">
        <v>115.8</v>
      </c>
      <c r="F369" s="4">
        <v>115.2</v>
      </c>
      <c r="G369" s="4">
        <v>114.4</v>
      </c>
      <c r="H369" s="1" t="s">
        <v>188</v>
      </c>
      <c r="K369">
        <v>2013</v>
      </c>
      <c r="L369" t="s">
        <v>31</v>
      </c>
      <c r="M369" t="s">
        <v>58</v>
      </c>
      <c r="N369" t="s">
        <v>6</v>
      </c>
      <c r="O369" t="s">
        <v>188</v>
      </c>
      <c r="P369" s="1" t="s">
        <v>34</v>
      </c>
      <c r="Q369">
        <v>104.4</v>
      </c>
    </row>
    <row r="370" spans="1:17" x14ac:dyDescent="0.3">
      <c r="A370">
        <v>2014</v>
      </c>
      <c r="B370" t="s">
        <v>41</v>
      </c>
      <c r="C370" t="s">
        <v>67</v>
      </c>
      <c r="D370" s="1" t="s">
        <v>7</v>
      </c>
      <c r="E370" s="4">
        <v>110.6</v>
      </c>
      <c r="F370" s="4">
        <v>108</v>
      </c>
      <c r="G370" s="4">
        <v>103.6</v>
      </c>
      <c r="H370" s="1" t="s">
        <v>188</v>
      </c>
      <c r="K370">
        <v>2013</v>
      </c>
      <c r="L370" t="s">
        <v>31</v>
      </c>
      <c r="M370" t="s">
        <v>58</v>
      </c>
      <c r="N370" t="s">
        <v>6</v>
      </c>
      <c r="O370" t="s">
        <v>188</v>
      </c>
      <c r="P370" s="1" t="s">
        <v>33</v>
      </c>
      <c r="Q370">
        <v>103.6</v>
      </c>
    </row>
    <row r="371" spans="1:17" x14ac:dyDescent="0.3">
      <c r="A371">
        <v>2014</v>
      </c>
      <c r="B371" t="s">
        <v>41</v>
      </c>
      <c r="C371" t="s">
        <v>67</v>
      </c>
      <c r="D371" s="1" t="s">
        <v>16</v>
      </c>
      <c r="E371" s="4">
        <v>118.8</v>
      </c>
      <c r="F371" s="4">
        <v>119.9</v>
      </c>
      <c r="G371" s="4">
        <v>123</v>
      </c>
      <c r="H371" s="1" t="s">
        <v>192</v>
      </c>
      <c r="K371">
        <v>2013</v>
      </c>
      <c r="L371" t="s">
        <v>31</v>
      </c>
      <c r="M371" t="s">
        <v>58</v>
      </c>
      <c r="N371" t="s">
        <v>28</v>
      </c>
      <c r="O371" t="s">
        <v>192</v>
      </c>
      <c r="P371" s="1" t="s">
        <v>30</v>
      </c>
      <c r="Q371">
        <v>104</v>
      </c>
    </row>
    <row r="372" spans="1:17" x14ac:dyDescent="0.3">
      <c r="A372">
        <v>2014</v>
      </c>
      <c r="B372" t="s">
        <v>41</v>
      </c>
      <c r="C372" t="s">
        <v>67</v>
      </c>
      <c r="D372" s="1" t="s">
        <v>27</v>
      </c>
      <c r="E372" s="4">
        <v>109.4</v>
      </c>
      <c r="F372" s="4">
        <v>109.9</v>
      </c>
      <c r="G372" s="4">
        <v>110.5</v>
      </c>
      <c r="H372" s="1" t="s">
        <v>192</v>
      </c>
      <c r="K372">
        <v>2013</v>
      </c>
      <c r="L372" t="s">
        <v>31</v>
      </c>
      <c r="M372" t="s">
        <v>58</v>
      </c>
      <c r="N372" t="s">
        <v>28</v>
      </c>
      <c r="O372" t="s">
        <v>192</v>
      </c>
      <c r="P372" s="1" t="s">
        <v>34</v>
      </c>
      <c r="Q372">
        <v>103.9</v>
      </c>
    </row>
    <row r="373" spans="1:17" x14ac:dyDescent="0.3">
      <c r="A373">
        <v>2014</v>
      </c>
      <c r="B373" t="s">
        <v>41</v>
      </c>
      <c r="C373" t="s">
        <v>67</v>
      </c>
      <c r="D373" s="1" t="s">
        <v>14</v>
      </c>
      <c r="E373" s="4">
        <v>121.7</v>
      </c>
      <c r="F373" s="4">
        <v>123.1</v>
      </c>
      <c r="G373" s="4">
        <v>124.7</v>
      </c>
      <c r="H373" s="1" t="s">
        <v>188</v>
      </c>
      <c r="K373">
        <v>2013</v>
      </c>
      <c r="L373" t="s">
        <v>31</v>
      </c>
      <c r="M373" t="s">
        <v>58</v>
      </c>
      <c r="N373" t="s">
        <v>28</v>
      </c>
      <c r="O373" t="s">
        <v>192</v>
      </c>
      <c r="P373" s="1" t="s">
        <v>33</v>
      </c>
      <c r="Q373">
        <v>103.7</v>
      </c>
    </row>
    <row r="374" spans="1:17" x14ac:dyDescent="0.3">
      <c r="A374">
        <v>2014</v>
      </c>
      <c r="B374" t="s">
        <v>41</v>
      </c>
      <c r="C374" t="s">
        <v>67</v>
      </c>
      <c r="D374" s="1" t="s">
        <v>10</v>
      </c>
      <c r="E374" s="4">
        <v>114.1</v>
      </c>
      <c r="F374" s="4">
        <v>114.5</v>
      </c>
      <c r="G374" s="4">
        <v>115.2</v>
      </c>
      <c r="H374" s="1" t="s">
        <v>188</v>
      </c>
      <c r="K374">
        <v>2013</v>
      </c>
      <c r="L374" t="s">
        <v>31</v>
      </c>
      <c r="M374" t="s">
        <v>58</v>
      </c>
      <c r="N374" t="s">
        <v>13</v>
      </c>
      <c r="O374" t="s">
        <v>188</v>
      </c>
      <c r="P374" s="1" t="s">
        <v>30</v>
      </c>
      <c r="Q374">
        <v>104.8</v>
      </c>
    </row>
    <row r="375" spans="1:17" x14ac:dyDescent="0.3">
      <c r="A375">
        <v>2014</v>
      </c>
      <c r="B375" t="s">
        <v>41</v>
      </c>
      <c r="C375" t="s">
        <v>67</v>
      </c>
      <c r="D375" s="1" t="s">
        <v>25</v>
      </c>
      <c r="E375" s="4">
        <v>112.2</v>
      </c>
      <c r="F375" s="4">
        <v>112.6</v>
      </c>
      <c r="G375" s="4">
        <v>112.9</v>
      </c>
      <c r="H375" s="1" t="s">
        <v>195</v>
      </c>
      <c r="K375">
        <v>2013</v>
      </c>
      <c r="L375" t="s">
        <v>31</v>
      </c>
      <c r="M375" t="s">
        <v>58</v>
      </c>
      <c r="N375" t="s">
        <v>13</v>
      </c>
      <c r="O375" t="s">
        <v>188</v>
      </c>
      <c r="P375" s="1" t="s">
        <v>34</v>
      </c>
      <c r="Q375">
        <v>104.9</v>
      </c>
    </row>
    <row r="376" spans="1:17" x14ac:dyDescent="0.3">
      <c r="A376">
        <v>2014</v>
      </c>
      <c r="B376" t="s">
        <v>41</v>
      </c>
      <c r="C376" t="s">
        <v>67</v>
      </c>
      <c r="D376" s="1" t="s">
        <v>12</v>
      </c>
      <c r="E376" s="4">
        <v>114.6</v>
      </c>
      <c r="F376" s="4">
        <v>117.1</v>
      </c>
      <c r="G376" s="4">
        <v>122.1</v>
      </c>
      <c r="H376" s="1" t="s">
        <v>188</v>
      </c>
      <c r="K376">
        <v>2013</v>
      </c>
      <c r="L376" t="s">
        <v>31</v>
      </c>
      <c r="M376" t="s">
        <v>58</v>
      </c>
      <c r="N376" t="s">
        <v>13</v>
      </c>
      <c r="O376" t="s">
        <v>188</v>
      </c>
      <c r="P376" s="1" t="s">
        <v>33</v>
      </c>
      <c r="Q376">
        <v>105.1</v>
      </c>
    </row>
    <row r="377" spans="1:17" x14ac:dyDescent="0.3">
      <c r="A377">
        <v>2014</v>
      </c>
      <c r="B377" t="s">
        <v>41</v>
      </c>
      <c r="C377" t="s">
        <v>67</v>
      </c>
      <c r="D377" s="1" t="s">
        <v>11</v>
      </c>
      <c r="E377" s="4">
        <v>105.1</v>
      </c>
      <c r="F377" s="4">
        <v>104.3</v>
      </c>
      <c r="G377" s="4">
        <v>102.7</v>
      </c>
      <c r="H377" s="1" t="s">
        <v>188</v>
      </c>
      <c r="K377">
        <v>2013</v>
      </c>
      <c r="L377" t="s">
        <v>31</v>
      </c>
      <c r="M377" t="s">
        <v>58</v>
      </c>
      <c r="N377" t="s">
        <v>7</v>
      </c>
      <c r="O377" t="s">
        <v>188</v>
      </c>
      <c r="P377" s="1" t="s">
        <v>30</v>
      </c>
      <c r="Q377">
        <v>106.1</v>
      </c>
    </row>
    <row r="378" spans="1:17" x14ac:dyDescent="0.3">
      <c r="A378">
        <v>2014</v>
      </c>
      <c r="B378" t="s">
        <v>41</v>
      </c>
      <c r="C378" t="s">
        <v>67</v>
      </c>
      <c r="D378" s="1" t="s">
        <v>24</v>
      </c>
      <c r="E378" s="4">
        <v>113.2</v>
      </c>
      <c r="F378" s="4">
        <v>112.8</v>
      </c>
      <c r="G378" s="4">
        <v>112.5</v>
      </c>
      <c r="H378" s="1" t="s">
        <v>191</v>
      </c>
      <c r="K378">
        <v>2013</v>
      </c>
      <c r="L378" t="s">
        <v>31</v>
      </c>
      <c r="M378" t="s">
        <v>58</v>
      </c>
      <c r="N378" t="s">
        <v>7</v>
      </c>
      <c r="O378" t="s">
        <v>188</v>
      </c>
      <c r="P378" s="1" t="s">
        <v>34</v>
      </c>
      <c r="Q378">
        <v>105.1</v>
      </c>
    </row>
    <row r="379" spans="1:17" x14ac:dyDescent="0.3">
      <c r="A379">
        <v>2014</v>
      </c>
      <c r="B379" t="s">
        <v>41</v>
      </c>
      <c r="C379" t="s">
        <v>67</v>
      </c>
      <c r="D379" s="1" t="s">
        <v>9</v>
      </c>
      <c r="E379" s="4">
        <v>161.1</v>
      </c>
      <c r="F379" s="4">
        <v>168.2</v>
      </c>
      <c r="G379" s="4">
        <v>181.9</v>
      </c>
      <c r="H379" s="1" t="s">
        <v>188</v>
      </c>
      <c r="K379">
        <v>2013</v>
      </c>
      <c r="L379" t="s">
        <v>31</v>
      </c>
      <c r="M379" t="s">
        <v>58</v>
      </c>
      <c r="N379" t="s">
        <v>7</v>
      </c>
      <c r="O379" t="s">
        <v>188</v>
      </c>
      <c r="P379" s="1" t="s">
        <v>33</v>
      </c>
      <c r="Q379">
        <v>103.4</v>
      </c>
    </row>
    <row r="380" spans="1:17" x14ac:dyDescent="0.3">
      <c r="A380">
        <v>2014</v>
      </c>
      <c r="B380" t="s">
        <v>45</v>
      </c>
      <c r="C380" t="s">
        <v>68</v>
      </c>
      <c r="D380" s="1" t="s">
        <v>3</v>
      </c>
      <c r="E380" s="4">
        <v>122.4</v>
      </c>
      <c r="F380" s="4">
        <v>122.9</v>
      </c>
      <c r="G380" s="4">
        <v>124</v>
      </c>
      <c r="H380" s="1" t="s">
        <v>188</v>
      </c>
      <c r="K380">
        <v>2013</v>
      </c>
      <c r="L380" t="s">
        <v>31</v>
      </c>
      <c r="M380" t="s">
        <v>58</v>
      </c>
      <c r="N380" t="s">
        <v>16</v>
      </c>
      <c r="O380" t="s">
        <v>192</v>
      </c>
      <c r="P380" s="1" t="s">
        <v>30</v>
      </c>
      <c r="Q380">
        <v>105.1</v>
      </c>
    </row>
    <row r="381" spans="1:17" x14ac:dyDescent="0.3">
      <c r="A381">
        <v>2014</v>
      </c>
      <c r="B381" t="s">
        <v>45</v>
      </c>
      <c r="C381" t="s">
        <v>68</v>
      </c>
      <c r="D381" s="1" t="s">
        <v>17</v>
      </c>
      <c r="E381" s="4">
        <v>123.8</v>
      </c>
      <c r="F381" s="4">
        <v>122.6</v>
      </c>
      <c r="G381" s="4">
        <v>120.7</v>
      </c>
      <c r="H381" s="1" t="s">
        <v>189</v>
      </c>
      <c r="K381">
        <v>2013</v>
      </c>
      <c r="L381" t="s">
        <v>31</v>
      </c>
      <c r="M381" t="s">
        <v>58</v>
      </c>
      <c r="N381" t="s">
        <v>16</v>
      </c>
      <c r="O381" t="s">
        <v>192</v>
      </c>
      <c r="P381" s="1" t="s">
        <v>34</v>
      </c>
      <c r="Q381">
        <v>105.1</v>
      </c>
    </row>
    <row r="382" spans="1:17" x14ac:dyDescent="0.3">
      <c r="A382">
        <v>2014</v>
      </c>
      <c r="B382" t="s">
        <v>45</v>
      </c>
      <c r="C382" t="s">
        <v>68</v>
      </c>
      <c r="D382" s="1" t="s">
        <v>19</v>
      </c>
      <c r="E382" s="4">
        <v>123.3</v>
      </c>
      <c r="F382" s="4">
        <v>122</v>
      </c>
      <c r="G382" s="4">
        <v>120</v>
      </c>
      <c r="H382" s="1" t="s">
        <v>189</v>
      </c>
      <c r="K382">
        <v>2013</v>
      </c>
      <c r="L382" t="s">
        <v>31</v>
      </c>
      <c r="M382" t="s">
        <v>58</v>
      </c>
      <c r="N382" t="s">
        <v>16</v>
      </c>
      <c r="O382" t="s">
        <v>192</v>
      </c>
      <c r="P382" s="1" t="s">
        <v>33</v>
      </c>
      <c r="Q382">
        <v>105.2</v>
      </c>
    </row>
    <row r="383" spans="1:17" x14ac:dyDescent="0.3">
      <c r="A383">
        <v>2014</v>
      </c>
      <c r="B383" t="s">
        <v>45</v>
      </c>
      <c r="C383" t="s">
        <v>68</v>
      </c>
      <c r="D383" s="1" t="s">
        <v>26</v>
      </c>
      <c r="E383" s="4">
        <v>117.7</v>
      </c>
      <c r="F383" s="4">
        <v>119.5</v>
      </c>
      <c r="G383" s="4">
        <v>120.7</v>
      </c>
      <c r="H383" s="1" t="s">
        <v>26</v>
      </c>
      <c r="K383">
        <v>2013</v>
      </c>
      <c r="L383" t="s">
        <v>31</v>
      </c>
      <c r="M383" t="s">
        <v>58</v>
      </c>
      <c r="N383" t="s">
        <v>27</v>
      </c>
      <c r="O383" t="s">
        <v>192</v>
      </c>
      <c r="P383" s="1" t="s">
        <v>30</v>
      </c>
      <c r="Q383">
        <v>104.7</v>
      </c>
    </row>
    <row r="384" spans="1:17" x14ac:dyDescent="0.3">
      <c r="A384">
        <v>2014</v>
      </c>
      <c r="B384" t="s">
        <v>45</v>
      </c>
      <c r="C384" t="s">
        <v>68</v>
      </c>
      <c r="D384" s="1" t="s">
        <v>5</v>
      </c>
      <c r="E384" s="4">
        <v>121.8</v>
      </c>
      <c r="F384" s="4">
        <v>123.5</v>
      </c>
      <c r="G384" s="4">
        <v>126.3</v>
      </c>
      <c r="H384" s="1" t="s">
        <v>188</v>
      </c>
      <c r="K384">
        <v>2013</v>
      </c>
      <c r="L384" t="s">
        <v>31</v>
      </c>
      <c r="M384" t="s">
        <v>58</v>
      </c>
      <c r="N384" t="s">
        <v>27</v>
      </c>
      <c r="O384" t="s">
        <v>192</v>
      </c>
      <c r="P384" s="1" t="s">
        <v>34</v>
      </c>
      <c r="Q384">
        <v>104.5</v>
      </c>
    </row>
    <row r="385" spans="1:17" x14ac:dyDescent="0.3">
      <c r="A385">
        <v>2014</v>
      </c>
      <c r="B385" t="s">
        <v>45</v>
      </c>
      <c r="C385" t="s">
        <v>68</v>
      </c>
      <c r="D385" s="1" t="s">
        <v>15</v>
      </c>
      <c r="E385" s="4">
        <v>123.3</v>
      </c>
      <c r="F385" s="4">
        <v>123.6</v>
      </c>
      <c r="G385" s="4">
        <v>124</v>
      </c>
      <c r="H385" s="1" t="s">
        <v>188</v>
      </c>
      <c r="K385">
        <v>2013</v>
      </c>
      <c r="L385" t="s">
        <v>31</v>
      </c>
      <c r="M385" t="s">
        <v>58</v>
      </c>
      <c r="N385" t="s">
        <v>27</v>
      </c>
      <c r="O385" t="s">
        <v>192</v>
      </c>
      <c r="P385" s="1" t="s">
        <v>33</v>
      </c>
      <c r="Q385">
        <v>104.3</v>
      </c>
    </row>
    <row r="386" spans="1:17" x14ac:dyDescent="0.3">
      <c r="A386">
        <v>2014</v>
      </c>
      <c r="B386" t="s">
        <v>45</v>
      </c>
      <c r="C386" t="s">
        <v>68</v>
      </c>
      <c r="D386" s="1" t="s">
        <v>18</v>
      </c>
      <c r="E386" s="4">
        <v>120.6</v>
      </c>
      <c r="F386" s="4">
        <v>118.6</v>
      </c>
      <c r="G386" s="4">
        <v>115.8</v>
      </c>
      <c r="H386" s="1" t="s">
        <v>189</v>
      </c>
      <c r="K386">
        <v>2013</v>
      </c>
      <c r="L386" t="s">
        <v>31</v>
      </c>
      <c r="M386" t="s">
        <v>58</v>
      </c>
      <c r="N386" t="s">
        <v>14</v>
      </c>
      <c r="O386" t="s">
        <v>188</v>
      </c>
      <c r="P386" s="1" t="s">
        <v>30</v>
      </c>
      <c r="Q386">
        <v>106.7</v>
      </c>
    </row>
    <row r="387" spans="1:17" x14ac:dyDescent="0.3">
      <c r="A387">
        <v>2014</v>
      </c>
      <c r="B387" t="s">
        <v>45</v>
      </c>
      <c r="C387" t="s">
        <v>68</v>
      </c>
      <c r="D387" s="1" t="s">
        <v>8</v>
      </c>
      <c r="E387" s="4">
        <v>128.6</v>
      </c>
      <c r="F387" s="4">
        <v>125.7</v>
      </c>
      <c r="G387" s="4">
        <v>122.3</v>
      </c>
      <c r="H387" s="1" t="s">
        <v>188</v>
      </c>
      <c r="K387">
        <v>2013</v>
      </c>
      <c r="L387" t="s">
        <v>31</v>
      </c>
      <c r="M387" t="s">
        <v>58</v>
      </c>
      <c r="N387" t="s">
        <v>14</v>
      </c>
      <c r="O387" t="s">
        <v>188</v>
      </c>
      <c r="P387" s="1" t="s">
        <v>34</v>
      </c>
      <c r="Q387">
        <v>107.3</v>
      </c>
    </row>
    <row r="388" spans="1:17" x14ac:dyDescent="0.3">
      <c r="A388">
        <v>2014</v>
      </c>
      <c r="B388" t="s">
        <v>45</v>
      </c>
      <c r="C388" t="s">
        <v>68</v>
      </c>
      <c r="D388" s="1" t="s">
        <v>21</v>
      </c>
      <c r="E388" s="4">
        <v>117.4</v>
      </c>
      <c r="F388" s="4">
        <v>115.7</v>
      </c>
      <c r="G388" s="4">
        <v>113</v>
      </c>
      <c r="H388" s="1" t="s">
        <v>190</v>
      </c>
      <c r="K388">
        <v>2013</v>
      </c>
      <c r="L388" t="s">
        <v>31</v>
      </c>
      <c r="M388" t="s">
        <v>58</v>
      </c>
      <c r="N388" t="s">
        <v>14</v>
      </c>
      <c r="O388" t="s">
        <v>188</v>
      </c>
      <c r="P388" s="1" t="s">
        <v>33</v>
      </c>
      <c r="Q388">
        <v>107.9</v>
      </c>
    </row>
    <row r="389" spans="1:17" x14ac:dyDescent="0.3">
      <c r="A389">
        <v>2014</v>
      </c>
      <c r="B389" t="s">
        <v>45</v>
      </c>
      <c r="C389" t="s">
        <v>68</v>
      </c>
      <c r="D389" s="1" t="s">
        <v>29</v>
      </c>
      <c r="E389" s="4">
        <v>120.3</v>
      </c>
      <c r="F389" s="4">
        <v>119.4</v>
      </c>
      <c r="G389" s="4">
        <v>118.4</v>
      </c>
      <c r="H389" s="1" t="s">
        <v>206</v>
      </c>
      <c r="K389">
        <v>2013</v>
      </c>
      <c r="L389" t="s">
        <v>31</v>
      </c>
      <c r="M389" t="s">
        <v>58</v>
      </c>
      <c r="N389" t="s">
        <v>10</v>
      </c>
      <c r="O389" t="s">
        <v>188</v>
      </c>
      <c r="P389" s="1" t="s">
        <v>30</v>
      </c>
      <c r="Q389">
        <v>106.1</v>
      </c>
    </row>
    <row r="390" spans="1:17" x14ac:dyDescent="0.3">
      <c r="A390">
        <v>2014</v>
      </c>
      <c r="B390" t="s">
        <v>45</v>
      </c>
      <c r="C390" t="s">
        <v>68</v>
      </c>
      <c r="D390" s="1" t="s">
        <v>23</v>
      </c>
      <c r="E390" s="4">
        <v>116.2</v>
      </c>
      <c r="F390" s="4">
        <v>115.1</v>
      </c>
      <c r="G390" s="4">
        <v>113.2</v>
      </c>
      <c r="H390" s="1" t="s">
        <v>23</v>
      </c>
      <c r="K390">
        <v>2013</v>
      </c>
      <c r="L390" t="s">
        <v>31</v>
      </c>
      <c r="M390" t="s">
        <v>58</v>
      </c>
      <c r="N390" t="s">
        <v>10</v>
      </c>
      <c r="O390" t="s">
        <v>188</v>
      </c>
      <c r="P390" s="1" t="s">
        <v>34</v>
      </c>
      <c r="Q390">
        <v>106</v>
      </c>
    </row>
    <row r="391" spans="1:17" x14ac:dyDescent="0.3">
      <c r="A391">
        <v>2014</v>
      </c>
      <c r="B391" t="s">
        <v>45</v>
      </c>
      <c r="C391" t="s">
        <v>68</v>
      </c>
      <c r="D391" s="1" t="s">
        <v>22</v>
      </c>
      <c r="E391" s="4">
        <v>118.2</v>
      </c>
      <c r="F391" s="4">
        <v>117.5</v>
      </c>
      <c r="G391" s="4">
        <v>116.8</v>
      </c>
      <c r="H391" s="1" t="s">
        <v>20</v>
      </c>
      <c r="K391">
        <v>2013</v>
      </c>
      <c r="L391" t="s">
        <v>31</v>
      </c>
      <c r="M391" t="s">
        <v>58</v>
      </c>
      <c r="N391" t="s">
        <v>10</v>
      </c>
      <c r="O391" t="s">
        <v>188</v>
      </c>
      <c r="P391" s="1" t="s">
        <v>33</v>
      </c>
      <c r="Q391">
        <v>105.8</v>
      </c>
    </row>
    <row r="392" spans="1:17" x14ac:dyDescent="0.3">
      <c r="A392">
        <v>2014</v>
      </c>
      <c r="B392" t="s">
        <v>45</v>
      </c>
      <c r="C392" t="s">
        <v>68</v>
      </c>
      <c r="D392" s="1" t="s">
        <v>20</v>
      </c>
      <c r="E392" s="4">
        <v>0</v>
      </c>
      <c r="F392" s="4">
        <v>116.5</v>
      </c>
      <c r="G392" s="4">
        <v>116.5</v>
      </c>
      <c r="H392" s="1" t="s">
        <v>20</v>
      </c>
      <c r="K392">
        <v>2013</v>
      </c>
      <c r="L392" t="s">
        <v>31</v>
      </c>
      <c r="M392" t="s">
        <v>58</v>
      </c>
      <c r="N392" t="s">
        <v>25</v>
      </c>
      <c r="O392" t="s">
        <v>195</v>
      </c>
      <c r="P392" s="1" t="s">
        <v>30</v>
      </c>
      <c r="Q392">
        <v>103.4</v>
      </c>
    </row>
    <row r="393" spans="1:17" x14ac:dyDescent="0.3">
      <c r="A393">
        <v>2014</v>
      </c>
      <c r="B393" t="s">
        <v>45</v>
      </c>
      <c r="C393" t="s">
        <v>68</v>
      </c>
      <c r="D393" s="1" t="s">
        <v>4</v>
      </c>
      <c r="E393" s="4">
        <v>122.4</v>
      </c>
      <c r="F393" s="4">
        <v>123.2</v>
      </c>
      <c r="G393" s="4">
        <v>124.7</v>
      </c>
      <c r="H393" s="1" t="s">
        <v>188</v>
      </c>
      <c r="K393">
        <v>2013</v>
      </c>
      <c r="L393" t="s">
        <v>31</v>
      </c>
      <c r="M393" t="s">
        <v>58</v>
      </c>
      <c r="N393" t="s">
        <v>25</v>
      </c>
      <c r="O393" t="s">
        <v>195</v>
      </c>
      <c r="P393" s="1" t="s">
        <v>34</v>
      </c>
      <c r="Q393">
        <v>103.1</v>
      </c>
    </row>
    <row r="394" spans="1:17" x14ac:dyDescent="0.3">
      <c r="A394">
        <v>2014</v>
      </c>
      <c r="B394" t="s">
        <v>45</v>
      </c>
      <c r="C394" t="s">
        <v>68</v>
      </c>
      <c r="D394" s="1" t="s">
        <v>6</v>
      </c>
      <c r="E394" s="4">
        <v>124.2</v>
      </c>
      <c r="F394" s="4">
        <v>124.5</v>
      </c>
      <c r="G394" s="4">
        <v>124.9</v>
      </c>
      <c r="H394" s="1" t="s">
        <v>188</v>
      </c>
      <c r="K394">
        <v>2013</v>
      </c>
      <c r="L394" t="s">
        <v>31</v>
      </c>
      <c r="M394" t="s">
        <v>58</v>
      </c>
      <c r="N394" t="s">
        <v>25</v>
      </c>
      <c r="O394" t="s">
        <v>195</v>
      </c>
      <c r="P394" s="1" t="s">
        <v>33</v>
      </c>
      <c r="Q394">
        <v>102.9</v>
      </c>
    </row>
    <row r="395" spans="1:17" x14ac:dyDescent="0.3">
      <c r="A395">
        <v>2014</v>
      </c>
      <c r="B395" t="s">
        <v>45</v>
      </c>
      <c r="C395" t="s">
        <v>68</v>
      </c>
      <c r="D395" s="1" t="s">
        <v>28</v>
      </c>
      <c r="E395" s="4">
        <v>114.2</v>
      </c>
      <c r="F395" s="4">
        <v>113.8</v>
      </c>
      <c r="G395" s="4">
        <v>113.4</v>
      </c>
      <c r="H395" s="1" t="s">
        <v>192</v>
      </c>
      <c r="K395">
        <v>2013</v>
      </c>
      <c r="L395" t="s">
        <v>31</v>
      </c>
      <c r="M395" t="s">
        <v>58</v>
      </c>
      <c r="N395" t="s">
        <v>12</v>
      </c>
      <c r="O395" t="s">
        <v>188</v>
      </c>
      <c r="P395" s="1" t="s">
        <v>30</v>
      </c>
      <c r="Q395">
        <v>103.1</v>
      </c>
    </row>
    <row r="396" spans="1:17" x14ac:dyDescent="0.3">
      <c r="A396">
        <v>2014</v>
      </c>
      <c r="B396" t="s">
        <v>45</v>
      </c>
      <c r="C396" t="s">
        <v>68</v>
      </c>
      <c r="D396" s="1" t="s">
        <v>13</v>
      </c>
      <c r="E396" s="4">
        <v>117.3</v>
      </c>
      <c r="F396" s="4">
        <v>116.8</v>
      </c>
      <c r="G396" s="4">
        <v>116.1</v>
      </c>
      <c r="H396" s="1" t="s">
        <v>188</v>
      </c>
      <c r="K396">
        <v>2013</v>
      </c>
      <c r="L396" t="s">
        <v>31</v>
      </c>
      <c r="M396" t="s">
        <v>58</v>
      </c>
      <c r="N396" t="s">
        <v>12</v>
      </c>
      <c r="O396" t="s">
        <v>188</v>
      </c>
      <c r="P396" s="1" t="s">
        <v>34</v>
      </c>
      <c r="Q396">
        <v>102.7</v>
      </c>
    </row>
    <row r="397" spans="1:17" x14ac:dyDescent="0.3">
      <c r="A397">
        <v>2014</v>
      </c>
      <c r="B397" t="s">
        <v>45</v>
      </c>
      <c r="C397" t="s">
        <v>68</v>
      </c>
      <c r="D397" s="1" t="s">
        <v>7</v>
      </c>
      <c r="E397" s="4">
        <v>110.2</v>
      </c>
      <c r="F397" s="4">
        <v>107.6</v>
      </c>
      <c r="G397" s="4">
        <v>103</v>
      </c>
      <c r="H397" s="1" t="s">
        <v>188</v>
      </c>
      <c r="K397">
        <v>2013</v>
      </c>
      <c r="L397" t="s">
        <v>31</v>
      </c>
      <c r="M397" t="s">
        <v>58</v>
      </c>
      <c r="N397" t="s">
        <v>12</v>
      </c>
      <c r="O397" t="s">
        <v>188</v>
      </c>
      <c r="P397" s="1" t="s">
        <v>33</v>
      </c>
      <c r="Q397">
        <v>101.8</v>
      </c>
    </row>
    <row r="398" spans="1:17" x14ac:dyDescent="0.3">
      <c r="A398">
        <v>2014</v>
      </c>
      <c r="B398" t="s">
        <v>45</v>
      </c>
      <c r="C398" t="s">
        <v>68</v>
      </c>
      <c r="D398" s="1" t="s">
        <v>16</v>
      </c>
      <c r="E398" s="4">
        <v>121.7</v>
      </c>
      <c r="F398" s="4">
        <v>123</v>
      </c>
      <c r="G398" s="4">
        <v>126.4</v>
      </c>
      <c r="H398" s="1" t="s">
        <v>192</v>
      </c>
      <c r="K398">
        <v>2013</v>
      </c>
      <c r="L398" t="s">
        <v>31</v>
      </c>
      <c r="M398" t="s">
        <v>58</v>
      </c>
      <c r="N398" t="s">
        <v>11</v>
      </c>
      <c r="O398" t="s">
        <v>188</v>
      </c>
      <c r="P398" s="1" t="s">
        <v>30</v>
      </c>
      <c r="Q398">
        <v>106.8</v>
      </c>
    </row>
    <row r="399" spans="1:17" x14ac:dyDescent="0.3">
      <c r="A399">
        <v>2014</v>
      </c>
      <c r="B399" t="s">
        <v>45</v>
      </c>
      <c r="C399" t="s">
        <v>68</v>
      </c>
      <c r="D399" s="1" t="s">
        <v>27</v>
      </c>
      <c r="E399" s="4">
        <v>109.4</v>
      </c>
      <c r="F399" s="4">
        <v>109.8</v>
      </c>
      <c r="G399" s="4">
        <v>110.4</v>
      </c>
      <c r="H399" s="1" t="s">
        <v>192</v>
      </c>
      <c r="K399">
        <v>2013</v>
      </c>
      <c r="L399" t="s">
        <v>31</v>
      </c>
      <c r="M399" t="s">
        <v>58</v>
      </c>
      <c r="N399" t="s">
        <v>11</v>
      </c>
      <c r="O399" t="s">
        <v>188</v>
      </c>
      <c r="P399" s="1" t="s">
        <v>34</v>
      </c>
      <c r="Q399">
        <v>106.2</v>
      </c>
    </row>
    <row r="400" spans="1:17" x14ac:dyDescent="0.3">
      <c r="A400">
        <v>2014</v>
      </c>
      <c r="B400" t="s">
        <v>45</v>
      </c>
      <c r="C400" t="s">
        <v>68</v>
      </c>
      <c r="D400" s="1" t="s">
        <v>14</v>
      </c>
      <c r="E400" s="4">
        <v>124.8</v>
      </c>
      <c r="F400" s="4">
        <v>126.1</v>
      </c>
      <c r="G400" s="4">
        <v>127.6</v>
      </c>
      <c r="H400" s="1" t="s">
        <v>188</v>
      </c>
      <c r="K400">
        <v>2013</v>
      </c>
      <c r="L400" t="s">
        <v>31</v>
      </c>
      <c r="M400" t="s">
        <v>58</v>
      </c>
      <c r="N400" t="s">
        <v>11</v>
      </c>
      <c r="O400" t="s">
        <v>188</v>
      </c>
      <c r="P400" s="1" t="s">
        <v>33</v>
      </c>
      <c r="Q400">
        <v>105.1</v>
      </c>
    </row>
    <row r="401" spans="1:17" x14ac:dyDescent="0.3">
      <c r="A401">
        <v>2014</v>
      </c>
      <c r="B401" t="s">
        <v>45</v>
      </c>
      <c r="C401" t="s">
        <v>68</v>
      </c>
      <c r="D401" s="1" t="s">
        <v>10</v>
      </c>
      <c r="E401" s="4">
        <v>116.3</v>
      </c>
      <c r="F401" s="4">
        <v>117.6</v>
      </c>
      <c r="G401" s="4">
        <v>120.1</v>
      </c>
      <c r="H401" s="1" t="s">
        <v>188</v>
      </c>
      <c r="K401">
        <v>2013</v>
      </c>
      <c r="L401" t="s">
        <v>31</v>
      </c>
      <c r="M401" t="s">
        <v>58</v>
      </c>
      <c r="N401" t="s">
        <v>24</v>
      </c>
      <c r="O401" t="s">
        <v>191</v>
      </c>
      <c r="P401" s="1" t="s">
        <v>30</v>
      </c>
      <c r="Q401">
        <v>103.3</v>
      </c>
    </row>
    <row r="402" spans="1:17" x14ac:dyDescent="0.3">
      <c r="A402">
        <v>2014</v>
      </c>
      <c r="B402" t="s">
        <v>45</v>
      </c>
      <c r="C402" t="s">
        <v>68</v>
      </c>
      <c r="D402" s="1" t="s">
        <v>25</v>
      </c>
      <c r="E402" s="4">
        <v>113.3</v>
      </c>
      <c r="F402" s="4">
        <v>113.9</v>
      </c>
      <c r="G402" s="4">
        <v>114.3</v>
      </c>
      <c r="H402" s="1" t="s">
        <v>195</v>
      </c>
      <c r="K402">
        <v>2013</v>
      </c>
      <c r="L402" t="s">
        <v>31</v>
      </c>
      <c r="M402" t="s">
        <v>58</v>
      </c>
      <c r="N402" t="s">
        <v>24</v>
      </c>
      <c r="O402" t="s">
        <v>191</v>
      </c>
      <c r="P402" s="1" t="s">
        <v>34</v>
      </c>
      <c r="Q402">
        <v>103.2</v>
      </c>
    </row>
    <row r="403" spans="1:17" x14ac:dyDescent="0.3">
      <c r="A403">
        <v>2014</v>
      </c>
      <c r="B403" t="s">
        <v>45</v>
      </c>
      <c r="C403" t="s">
        <v>68</v>
      </c>
      <c r="D403" s="1" t="s">
        <v>12</v>
      </c>
      <c r="E403" s="4">
        <v>116</v>
      </c>
      <c r="F403" s="4">
        <v>119.1</v>
      </c>
      <c r="G403" s="4">
        <v>125.4</v>
      </c>
      <c r="H403" s="1" t="s">
        <v>188</v>
      </c>
      <c r="K403">
        <v>2013</v>
      </c>
      <c r="L403" t="s">
        <v>31</v>
      </c>
      <c r="M403" t="s">
        <v>58</v>
      </c>
      <c r="N403" t="s">
        <v>24</v>
      </c>
      <c r="O403" t="s">
        <v>191</v>
      </c>
      <c r="P403" s="1" t="s">
        <v>33</v>
      </c>
      <c r="Q403">
        <v>103.2</v>
      </c>
    </row>
    <row r="404" spans="1:17" x14ac:dyDescent="0.3">
      <c r="A404">
        <v>2014</v>
      </c>
      <c r="B404" t="s">
        <v>45</v>
      </c>
      <c r="C404" t="s">
        <v>68</v>
      </c>
      <c r="D404" s="1" t="s">
        <v>11</v>
      </c>
      <c r="E404" s="4">
        <v>102</v>
      </c>
      <c r="F404" s="4">
        <v>100.6</v>
      </c>
      <c r="G404" s="4">
        <v>97.8</v>
      </c>
      <c r="H404" s="1" t="s">
        <v>188</v>
      </c>
      <c r="K404">
        <v>2013</v>
      </c>
      <c r="L404" t="s">
        <v>31</v>
      </c>
      <c r="M404" t="s">
        <v>58</v>
      </c>
      <c r="N404" t="s">
        <v>9</v>
      </c>
      <c r="O404" t="s">
        <v>188</v>
      </c>
      <c r="P404" s="1" t="s">
        <v>30</v>
      </c>
      <c r="Q404">
        <v>101.9</v>
      </c>
    </row>
    <row r="405" spans="1:17" x14ac:dyDescent="0.3">
      <c r="A405">
        <v>2014</v>
      </c>
      <c r="B405" t="s">
        <v>45</v>
      </c>
      <c r="C405" t="s">
        <v>68</v>
      </c>
      <c r="D405" s="1" t="s">
        <v>24</v>
      </c>
      <c r="E405" s="4">
        <v>111.5</v>
      </c>
      <c r="F405" s="4">
        <v>110.1</v>
      </c>
      <c r="G405" s="4">
        <v>108.8</v>
      </c>
      <c r="H405" s="1" t="s">
        <v>191</v>
      </c>
      <c r="K405">
        <v>2013</v>
      </c>
      <c r="L405" t="s">
        <v>31</v>
      </c>
      <c r="M405" t="s">
        <v>58</v>
      </c>
      <c r="N405" t="s">
        <v>9</v>
      </c>
      <c r="O405" t="s">
        <v>188</v>
      </c>
      <c r="P405" s="1" t="s">
        <v>34</v>
      </c>
      <c r="Q405">
        <v>102.2</v>
      </c>
    </row>
    <row r="406" spans="1:17" x14ac:dyDescent="0.3">
      <c r="A406">
        <v>2014</v>
      </c>
      <c r="B406" t="s">
        <v>45</v>
      </c>
      <c r="C406" t="s">
        <v>68</v>
      </c>
      <c r="D406" s="1" t="s">
        <v>9</v>
      </c>
      <c r="E406" s="4">
        <v>140.30000000000001</v>
      </c>
      <c r="F406" s="4">
        <v>140.5</v>
      </c>
      <c r="G406" s="4">
        <v>141</v>
      </c>
      <c r="H406" s="1" t="s">
        <v>188</v>
      </c>
      <c r="K406">
        <v>2013</v>
      </c>
      <c r="L406" t="s">
        <v>31</v>
      </c>
      <c r="M406" t="s">
        <v>58</v>
      </c>
      <c r="N406" t="s">
        <v>9</v>
      </c>
      <c r="O406" t="s">
        <v>188</v>
      </c>
      <c r="P406" s="1" t="s">
        <v>33</v>
      </c>
      <c r="Q406">
        <v>102.9</v>
      </c>
    </row>
    <row r="407" spans="1:17" x14ac:dyDescent="0.3">
      <c r="A407">
        <v>2014</v>
      </c>
      <c r="B407" t="s">
        <v>35</v>
      </c>
      <c r="C407" t="s">
        <v>69</v>
      </c>
      <c r="D407" s="1" t="s">
        <v>3</v>
      </c>
      <c r="E407" s="4">
        <v>119.4</v>
      </c>
      <c r="F407" s="4">
        <v>120.2</v>
      </c>
      <c r="G407" s="4">
        <v>121.9</v>
      </c>
      <c r="H407" s="1" t="s">
        <v>188</v>
      </c>
      <c r="K407">
        <v>2013</v>
      </c>
      <c r="L407" t="s">
        <v>40</v>
      </c>
      <c r="M407" t="s">
        <v>59</v>
      </c>
      <c r="N407" t="s">
        <v>3</v>
      </c>
      <c r="O407" t="s">
        <v>188</v>
      </c>
      <c r="P407" s="1" t="s">
        <v>30</v>
      </c>
      <c r="Q407">
        <v>113.4</v>
      </c>
    </row>
    <row r="408" spans="1:17" x14ac:dyDescent="0.3">
      <c r="A408">
        <v>2014</v>
      </c>
      <c r="B408" t="s">
        <v>35</v>
      </c>
      <c r="C408" t="s">
        <v>69</v>
      </c>
      <c r="D408" s="1" t="s">
        <v>17</v>
      </c>
      <c r="E408" s="4">
        <v>117.1</v>
      </c>
      <c r="F408" s="4">
        <v>116.4</v>
      </c>
      <c r="G408" s="4">
        <v>115.3</v>
      </c>
      <c r="H408" s="1" t="s">
        <v>189</v>
      </c>
      <c r="K408">
        <v>2013</v>
      </c>
      <c r="L408" t="s">
        <v>40</v>
      </c>
      <c r="M408" t="s">
        <v>59</v>
      </c>
      <c r="N408" t="s">
        <v>3</v>
      </c>
      <c r="O408" t="s">
        <v>188</v>
      </c>
      <c r="P408" s="1" t="s">
        <v>34</v>
      </c>
      <c r="Q408">
        <v>114.8</v>
      </c>
    </row>
    <row r="409" spans="1:17" x14ac:dyDescent="0.3">
      <c r="A409">
        <v>2014</v>
      </c>
      <c r="B409" t="s">
        <v>35</v>
      </c>
      <c r="C409" t="s">
        <v>69</v>
      </c>
      <c r="D409" s="1" t="s">
        <v>19</v>
      </c>
      <c r="E409" s="4">
        <v>116.7</v>
      </c>
      <c r="F409" s="4">
        <v>115.9</v>
      </c>
      <c r="G409" s="4">
        <v>114.7</v>
      </c>
      <c r="H409" s="1" t="s">
        <v>189</v>
      </c>
      <c r="K409">
        <v>2013</v>
      </c>
      <c r="L409" t="s">
        <v>40</v>
      </c>
      <c r="M409" t="s">
        <v>59</v>
      </c>
      <c r="N409" t="s">
        <v>3</v>
      </c>
      <c r="O409" t="s">
        <v>188</v>
      </c>
      <c r="P409" s="1" t="s">
        <v>33</v>
      </c>
      <c r="Q409">
        <v>117.8</v>
      </c>
    </row>
    <row r="410" spans="1:17" x14ac:dyDescent="0.3">
      <c r="A410">
        <v>2014</v>
      </c>
      <c r="B410" t="s">
        <v>35</v>
      </c>
      <c r="C410" t="s">
        <v>69</v>
      </c>
      <c r="D410" s="1" t="s">
        <v>26</v>
      </c>
      <c r="E410" s="4">
        <v>112</v>
      </c>
      <c r="F410" s="4">
        <v>111.8</v>
      </c>
      <c r="G410" s="4">
        <v>111.6</v>
      </c>
      <c r="H410" s="1" t="s">
        <v>26</v>
      </c>
      <c r="K410">
        <v>2013</v>
      </c>
      <c r="L410" t="s">
        <v>40</v>
      </c>
      <c r="M410" t="s">
        <v>59</v>
      </c>
      <c r="N410" t="s">
        <v>17</v>
      </c>
      <c r="O410" t="s">
        <v>189</v>
      </c>
      <c r="P410" s="1" t="s">
        <v>30</v>
      </c>
      <c r="Q410">
        <v>110.5</v>
      </c>
    </row>
    <row r="411" spans="1:17" x14ac:dyDescent="0.3">
      <c r="A411">
        <v>2014</v>
      </c>
      <c r="B411" t="s">
        <v>35</v>
      </c>
      <c r="C411" t="s">
        <v>69</v>
      </c>
      <c r="D411" s="1" t="s">
        <v>5</v>
      </c>
      <c r="E411" s="4">
        <v>121.2</v>
      </c>
      <c r="F411" s="4">
        <v>122.5</v>
      </c>
      <c r="G411" s="4">
        <v>124.5</v>
      </c>
      <c r="H411" s="1" t="s">
        <v>188</v>
      </c>
      <c r="K411">
        <v>2013</v>
      </c>
      <c r="L411" t="s">
        <v>40</v>
      </c>
      <c r="M411" t="s">
        <v>59</v>
      </c>
      <c r="N411" t="s">
        <v>17</v>
      </c>
      <c r="O411" t="s">
        <v>189</v>
      </c>
      <c r="P411" s="1" t="s">
        <v>34</v>
      </c>
      <c r="Q411">
        <v>110.2</v>
      </c>
    </row>
    <row r="412" spans="1:17" x14ac:dyDescent="0.3">
      <c r="A412">
        <v>2014</v>
      </c>
      <c r="B412" t="s">
        <v>35</v>
      </c>
      <c r="C412" t="s">
        <v>69</v>
      </c>
      <c r="D412" s="1" t="s">
        <v>15</v>
      </c>
      <c r="E412" s="4">
        <v>115.3</v>
      </c>
      <c r="F412" s="4">
        <v>115.3</v>
      </c>
      <c r="G412" s="4">
        <v>115.2</v>
      </c>
      <c r="H412" s="1" t="s">
        <v>188</v>
      </c>
      <c r="K412">
        <v>2013</v>
      </c>
      <c r="L412" t="s">
        <v>40</v>
      </c>
      <c r="M412" t="s">
        <v>59</v>
      </c>
      <c r="N412" t="s">
        <v>17</v>
      </c>
      <c r="O412" t="s">
        <v>189</v>
      </c>
      <c r="P412" s="1" t="s">
        <v>33</v>
      </c>
      <c r="Q412">
        <v>109.8</v>
      </c>
    </row>
    <row r="413" spans="1:17" x14ac:dyDescent="0.3">
      <c r="A413">
        <v>2014</v>
      </c>
      <c r="B413" t="s">
        <v>35</v>
      </c>
      <c r="C413" t="s">
        <v>69</v>
      </c>
      <c r="D413" s="1" t="s">
        <v>18</v>
      </c>
      <c r="E413" s="4">
        <v>114.5</v>
      </c>
      <c r="F413" s="4">
        <v>113.3</v>
      </c>
      <c r="G413" s="4">
        <v>111.7</v>
      </c>
      <c r="H413" s="1" t="s">
        <v>189</v>
      </c>
      <c r="K413">
        <v>2013</v>
      </c>
      <c r="L413" t="s">
        <v>40</v>
      </c>
      <c r="M413" t="s">
        <v>59</v>
      </c>
      <c r="N413" t="s">
        <v>19</v>
      </c>
      <c r="O413" t="s">
        <v>189</v>
      </c>
      <c r="P413" s="1" t="s">
        <v>30</v>
      </c>
      <c r="Q413">
        <v>110.3</v>
      </c>
    </row>
    <row r="414" spans="1:17" x14ac:dyDescent="0.3">
      <c r="A414">
        <v>2014</v>
      </c>
      <c r="B414" t="s">
        <v>35</v>
      </c>
      <c r="C414" t="s">
        <v>69</v>
      </c>
      <c r="D414" s="1" t="s">
        <v>8</v>
      </c>
      <c r="E414" s="4">
        <v>116.6</v>
      </c>
      <c r="F414" s="4">
        <v>115.4</v>
      </c>
      <c r="G414" s="4">
        <v>114.1</v>
      </c>
      <c r="H414" s="1" t="s">
        <v>188</v>
      </c>
      <c r="K414">
        <v>2013</v>
      </c>
      <c r="L414" t="s">
        <v>40</v>
      </c>
      <c r="M414" t="s">
        <v>59</v>
      </c>
      <c r="N414" t="s">
        <v>19</v>
      </c>
      <c r="O414" t="s">
        <v>189</v>
      </c>
      <c r="P414" s="1" t="s">
        <v>34</v>
      </c>
      <c r="Q414">
        <v>110</v>
      </c>
    </row>
    <row r="415" spans="1:17" x14ac:dyDescent="0.3">
      <c r="A415">
        <v>2014</v>
      </c>
      <c r="B415" t="s">
        <v>35</v>
      </c>
      <c r="C415" t="s">
        <v>69</v>
      </c>
      <c r="D415" s="1" t="s">
        <v>21</v>
      </c>
      <c r="E415" s="4">
        <v>113.2</v>
      </c>
      <c r="F415" s="4">
        <v>112.4</v>
      </c>
      <c r="G415" s="4">
        <v>111.1</v>
      </c>
      <c r="H415" s="1" t="s">
        <v>190</v>
      </c>
      <c r="K415">
        <v>2013</v>
      </c>
      <c r="L415" t="s">
        <v>40</v>
      </c>
      <c r="M415" t="s">
        <v>59</v>
      </c>
      <c r="N415" t="s">
        <v>19</v>
      </c>
      <c r="O415" t="s">
        <v>189</v>
      </c>
      <c r="P415" s="1" t="s">
        <v>33</v>
      </c>
      <c r="Q415">
        <v>109.5</v>
      </c>
    </row>
    <row r="416" spans="1:17" x14ac:dyDescent="0.3">
      <c r="A416">
        <v>2014</v>
      </c>
      <c r="B416" t="s">
        <v>35</v>
      </c>
      <c r="C416" t="s">
        <v>69</v>
      </c>
      <c r="D416" s="1" t="s">
        <v>29</v>
      </c>
      <c r="E416" s="4">
        <v>114</v>
      </c>
      <c r="F416" s="4">
        <v>113.6</v>
      </c>
      <c r="G416" s="4">
        <v>113.1</v>
      </c>
      <c r="H416" s="1" t="s">
        <v>206</v>
      </c>
      <c r="K416">
        <v>2013</v>
      </c>
      <c r="L416" t="s">
        <v>40</v>
      </c>
      <c r="M416" t="s">
        <v>59</v>
      </c>
      <c r="N416" t="s">
        <v>26</v>
      </c>
      <c r="O416" t="s">
        <v>26</v>
      </c>
      <c r="P416" s="1" t="s">
        <v>30</v>
      </c>
      <c r="Q416">
        <v>107.8</v>
      </c>
    </row>
    <row r="417" spans="1:17" x14ac:dyDescent="0.3">
      <c r="A417">
        <v>2014</v>
      </c>
      <c r="B417" t="s">
        <v>35</v>
      </c>
      <c r="C417" t="s">
        <v>69</v>
      </c>
      <c r="D417" s="1" t="s">
        <v>23</v>
      </c>
      <c r="E417" s="4">
        <v>110.9</v>
      </c>
      <c r="F417" s="4">
        <v>110.7</v>
      </c>
      <c r="G417" s="4">
        <v>110.4</v>
      </c>
      <c r="H417" s="1" t="s">
        <v>23</v>
      </c>
      <c r="K417">
        <v>2013</v>
      </c>
      <c r="L417" t="s">
        <v>40</v>
      </c>
      <c r="M417" t="s">
        <v>59</v>
      </c>
      <c r="N417" t="s">
        <v>26</v>
      </c>
      <c r="O417" t="s">
        <v>26</v>
      </c>
      <c r="P417" s="1" t="s">
        <v>34</v>
      </c>
      <c r="Q417">
        <v>109.1</v>
      </c>
    </row>
    <row r="418" spans="1:17" x14ac:dyDescent="0.3">
      <c r="A418">
        <v>2014</v>
      </c>
      <c r="B418" t="s">
        <v>35</v>
      </c>
      <c r="C418" t="s">
        <v>69</v>
      </c>
      <c r="D418" s="1" t="s">
        <v>22</v>
      </c>
      <c r="E418" s="4">
        <v>112.9</v>
      </c>
      <c r="F418" s="4">
        <v>112.8</v>
      </c>
      <c r="G418" s="4">
        <v>112.6</v>
      </c>
      <c r="H418" s="1" t="s">
        <v>20</v>
      </c>
      <c r="K418">
        <v>2013</v>
      </c>
      <c r="L418" t="s">
        <v>40</v>
      </c>
      <c r="M418" t="s">
        <v>59</v>
      </c>
      <c r="N418" t="s">
        <v>26</v>
      </c>
      <c r="O418" t="s">
        <v>26</v>
      </c>
      <c r="P418" s="1" t="s">
        <v>33</v>
      </c>
      <c r="Q418">
        <v>110.1</v>
      </c>
    </row>
    <row r="419" spans="1:17" x14ac:dyDescent="0.3">
      <c r="A419">
        <v>2014</v>
      </c>
      <c r="B419" t="s">
        <v>35</v>
      </c>
      <c r="C419" t="s">
        <v>69</v>
      </c>
      <c r="D419" s="1" t="s">
        <v>20</v>
      </c>
      <c r="E419" s="4">
        <v>0</v>
      </c>
      <c r="F419" s="4">
        <v>112.5</v>
      </c>
      <c r="G419" s="4">
        <v>112.5</v>
      </c>
      <c r="H419" s="1" t="s">
        <v>20</v>
      </c>
      <c r="K419">
        <v>2013</v>
      </c>
      <c r="L419" t="s">
        <v>40</v>
      </c>
      <c r="M419" t="s">
        <v>59</v>
      </c>
      <c r="N419" t="s">
        <v>5</v>
      </c>
      <c r="O419" t="s">
        <v>188</v>
      </c>
      <c r="P419" s="1" t="s">
        <v>30</v>
      </c>
      <c r="Q419">
        <v>110.5</v>
      </c>
    </row>
    <row r="420" spans="1:17" x14ac:dyDescent="0.3">
      <c r="A420">
        <v>2014</v>
      </c>
      <c r="B420" t="s">
        <v>35</v>
      </c>
      <c r="C420" t="s">
        <v>69</v>
      </c>
      <c r="D420" s="1" t="s">
        <v>4</v>
      </c>
      <c r="E420" s="4">
        <v>117.7</v>
      </c>
      <c r="F420" s="4">
        <v>119.2</v>
      </c>
      <c r="G420" s="4">
        <v>122</v>
      </c>
      <c r="H420" s="1" t="s">
        <v>188</v>
      </c>
      <c r="K420">
        <v>2013</v>
      </c>
      <c r="L420" t="s">
        <v>40</v>
      </c>
      <c r="M420" t="s">
        <v>59</v>
      </c>
      <c r="N420" t="s">
        <v>5</v>
      </c>
      <c r="O420" t="s">
        <v>188</v>
      </c>
      <c r="P420" s="1" t="s">
        <v>34</v>
      </c>
      <c r="Q420">
        <v>111.9</v>
      </c>
    </row>
    <row r="421" spans="1:17" x14ac:dyDescent="0.3">
      <c r="A421">
        <v>2014</v>
      </c>
      <c r="B421" t="s">
        <v>35</v>
      </c>
      <c r="C421" t="s">
        <v>69</v>
      </c>
      <c r="D421" s="1" t="s">
        <v>6</v>
      </c>
      <c r="E421" s="4">
        <v>115</v>
      </c>
      <c r="F421" s="4">
        <v>115.1</v>
      </c>
      <c r="G421" s="4">
        <v>115.2</v>
      </c>
      <c r="H421" s="1" t="s">
        <v>188</v>
      </c>
      <c r="K421">
        <v>2013</v>
      </c>
      <c r="L421" t="s">
        <v>40</v>
      </c>
      <c r="M421" t="s">
        <v>59</v>
      </c>
      <c r="N421" t="s">
        <v>5</v>
      </c>
      <c r="O421" t="s">
        <v>188</v>
      </c>
      <c r="P421" s="1" t="s">
        <v>33</v>
      </c>
      <c r="Q421">
        <v>114</v>
      </c>
    </row>
    <row r="422" spans="1:17" x14ac:dyDescent="0.3">
      <c r="A422">
        <v>2014</v>
      </c>
      <c r="B422" t="s">
        <v>35</v>
      </c>
      <c r="C422" t="s">
        <v>69</v>
      </c>
      <c r="D422" s="1" t="s">
        <v>28</v>
      </c>
      <c r="E422" s="4">
        <v>110.9</v>
      </c>
      <c r="F422" s="4">
        <v>110.9</v>
      </c>
      <c r="G422" s="4">
        <v>111</v>
      </c>
      <c r="H422" s="1" t="s">
        <v>192</v>
      </c>
      <c r="K422">
        <v>2013</v>
      </c>
      <c r="L422" t="s">
        <v>40</v>
      </c>
      <c r="M422" t="s">
        <v>59</v>
      </c>
      <c r="N422" t="s">
        <v>15</v>
      </c>
      <c r="O422" t="s">
        <v>188</v>
      </c>
      <c r="P422" s="1" t="s">
        <v>30</v>
      </c>
      <c r="Q422">
        <v>113.1</v>
      </c>
    </row>
    <row r="423" spans="1:17" x14ac:dyDescent="0.3">
      <c r="A423">
        <v>2014</v>
      </c>
      <c r="B423" t="s">
        <v>35</v>
      </c>
      <c r="C423" t="s">
        <v>69</v>
      </c>
      <c r="D423" s="1" t="s">
        <v>13</v>
      </c>
      <c r="E423" s="4">
        <v>112.9</v>
      </c>
      <c r="F423" s="4">
        <v>112.6</v>
      </c>
      <c r="G423" s="4">
        <v>112.1</v>
      </c>
      <c r="H423" s="1" t="s">
        <v>188</v>
      </c>
      <c r="K423">
        <v>2013</v>
      </c>
      <c r="L423" t="s">
        <v>40</v>
      </c>
      <c r="M423" t="s">
        <v>59</v>
      </c>
      <c r="N423" t="s">
        <v>15</v>
      </c>
      <c r="O423" t="s">
        <v>188</v>
      </c>
      <c r="P423" s="1" t="s">
        <v>34</v>
      </c>
      <c r="Q423">
        <v>114.7</v>
      </c>
    </row>
    <row r="424" spans="1:17" x14ac:dyDescent="0.3">
      <c r="A424">
        <v>2014</v>
      </c>
      <c r="B424" t="s">
        <v>35</v>
      </c>
      <c r="C424" t="s">
        <v>69</v>
      </c>
      <c r="D424" s="1" t="s">
        <v>7</v>
      </c>
      <c r="E424" s="4">
        <v>109</v>
      </c>
      <c r="F424" s="4">
        <v>106.6</v>
      </c>
      <c r="G424" s="4">
        <v>102.5</v>
      </c>
      <c r="H424" s="1" t="s">
        <v>188</v>
      </c>
      <c r="K424">
        <v>2013</v>
      </c>
      <c r="L424" t="s">
        <v>40</v>
      </c>
      <c r="M424" t="s">
        <v>59</v>
      </c>
      <c r="N424" t="s">
        <v>15</v>
      </c>
      <c r="O424" t="s">
        <v>188</v>
      </c>
      <c r="P424" s="1" t="s">
        <v>33</v>
      </c>
      <c r="Q424">
        <v>117.5</v>
      </c>
    </row>
    <row r="425" spans="1:17" x14ac:dyDescent="0.3">
      <c r="A425">
        <v>2014</v>
      </c>
      <c r="B425" t="s">
        <v>35</v>
      </c>
      <c r="C425" t="s">
        <v>69</v>
      </c>
      <c r="D425" s="1" t="s">
        <v>16</v>
      </c>
      <c r="E425" s="4">
        <v>114.2</v>
      </c>
      <c r="F425" s="4">
        <v>114.7</v>
      </c>
      <c r="G425" s="4">
        <v>116.2</v>
      </c>
      <c r="H425" s="1" t="s">
        <v>192</v>
      </c>
      <c r="K425">
        <v>2013</v>
      </c>
      <c r="L425" t="s">
        <v>40</v>
      </c>
      <c r="M425" t="s">
        <v>59</v>
      </c>
      <c r="N425" t="s">
        <v>18</v>
      </c>
      <c r="O425" t="s">
        <v>189</v>
      </c>
      <c r="P425" s="1" t="s">
        <v>30</v>
      </c>
      <c r="Q425">
        <v>109.5</v>
      </c>
    </row>
    <row r="426" spans="1:17" x14ac:dyDescent="0.3">
      <c r="A426">
        <v>2014</v>
      </c>
      <c r="B426" t="s">
        <v>35</v>
      </c>
      <c r="C426" t="s">
        <v>69</v>
      </c>
      <c r="D426" s="1" t="s">
        <v>27</v>
      </c>
      <c r="E426" s="4">
        <v>108.7</v>
      </c>
      <c r="F426" s="4">
        <v>108.7</v>
      </c>
      <c r="G426" s="4">
        <v>108.7</v>
      </c>
      <c r="H426" s="1" t="s">
        <v>192</v>
      </c>
      <c r="K426">
        <v>2013</v>
      </c>
      <c r="L426" t="s">
        <v>40</v>
      </c>
      <c r="M426" t="s">
        <v>59</v>
      </c>
      <c r="N426" t="s">
        <v>18</v>
      </c>
      <c r="O426" t="s">
        <v>189</v>
      </c>
      <c r="P426" s="1" t="s">
        <v>34</v>
      </c>
      <c r="Q426">
        <v>108.8</v>
      </c>
    </row>
    <row r="427" spans="1:17" x14ac:dyDescent="0.3">
      <c r="A427">
        <v>2014</v>
      </c>
      <c r="B427" t="s">
        <v>35</v>
      </c>
      <c r="C427" t="s">
        <v>69</v>
      </c>
      <c r="D427" s="1" t="s">
        <v>14</v>
      </c>
      <c r="E427" s="4">
        <v>117.8</v>
      </c>
      <c r="F427" s="4">
        <v>118.8</v>
      </c>
      <c r="G427" s="4">
        <v>119.9</v>
      </c>
      <c r="H427" s="1" t="s">
        <v>188</v>
      </c>
      <c r="K427">
        <v>2013</v>
      </c>
      <c r="L427" t="s">
        <v>40</v>
      </c>
      <c r="M427" t="s">
        <v>59</v>
      </c>
      <c r="N427" t="s">
        <v>18</v>
      </c>
      <c r="O427" t="s">
        <v>189</v>
      </c>
      <c r="P427" s="1" t="s">
        <v>33</v>
      </c>
      <c r="Q427">
        <v>107.8</v>
      </c>
    </row>
    <row r="428" spans="1:17" x14ac:dyDescent="0.3">
      <c r="A428">
        <v>2014</v>
      </c>
      <c r="B428" t="s">
        <v>35</v>
      </c>
      <c r="C428" t="s">
        <v>69</v>
      </c>
      <c r="D428" s="1" t="s">
        <v>10</v>
      </c>
      <c r="E428" s="4">
        <v>109.8</v>
      </c>
      <c r="F428" s="4">
        <v>109.3</v>
      </c>
      <c r="G428" s="4">
        <v>108.2</v>
      </c>
      <c r="H428" s="1" t="s">
        <v>188</v>
      </c>
      <c r="K428">
        <v>2013</v>
      </c>
      <c r="L428" t="s">
        <v>40</v>
      </c>
      <c r="M428" t="s">
        <v>59</v>
      </c>
      <c r="N428" t="s">
        <v>8</v>
      </c>
      <c r="O428" t="s">
        <v>188</v>
      </c>
      <c r="P428" s="1" t="s">
        <v>30</v>
      </c>
      <c r="Q428">
        <v>110.3</v>
      </c>
    </row>
    <row r="429" spans="1:17" x14ac:dyDescent="0.3">
      <c r="A429">
        <v>2014</v>
      </c>
      <c r="B429" t="s">
        <v>35</v>
      </c>
      <c r="C429" t="s">
        <v>69</v>
      </c>
      <c r="D429" s="1" t="s">
        <v>25</v>
      </c>
      <c r="E429" s="4">
        <v>109.9</v>
      </c>
      <c r="F429" s="4">
        <v>110.1</v>
      </c>
      <c r="G429" s="4">
        <v>110.3</v>
      </c>
      <c r="H429" s="1" t="s">
        <v>195</v>
      </c>
      <c r="K429">
        <v>2013</v>
      </c>
      <c r="L429" t="s">
        <v>40</v>
      </c>
      <c r="M429" t="s">
        <v>59</v>
      </c>
      <c r="N429" t="s">
        <v>8</v>
      </c>
      <c r="O429" t="s">
        <v>188</v>
      </c>
      <c r="P429" s="1" t="s">
        <v>34</v>
      </c>
      <c r="Q429">
        <v>111.7</v>
      </c>
    </row>
    <row r="430" spans="1:17" x14ac:dyDescent="0.3">
      <c r="A430">
        <v>2014</v>
      </c>
      <c r="B430" t="s">
        <v>35</v>
      </c>
      <c r="C430" t="s">
        <v>69</v>
      </c>
      <c r="D430" s="1" t="s">
        <v>12</v>
      </c>
      <c r="E430" s="4">
        <v>110.4</v>
      </c>
      <c r="F430" s="4">
        <v>111.4</v>
      </c>
      <c r="G430" s="4">
        <v>113.5</v>
      </c>
      <c r="H430" s="1" t="s">
        <v>188</v>
      </c>
      <c r="K430">
        <v>2013</v>
      </c>
      <c r="L430" t="s">
        <v>40</v>
      </c>
      <c r="M430" t="s">
        <v>59</v>
      </c>
      <c r="N430" t="s">
        <v>8</v>
      </c>
      <c r="O430" t="s">
        <v>188</v>
      </c>
      <c r="P430" s="1" t="s">
        <v>33</v>
      </c>
      <c r="Q430">
        <v>113.2</v>
      </c>
    </row>
    <row r="431" spans="1:17" x14ac:dyDescent="0.3">
      <c r="A431">
        <v>2014</v>
      </c>
      <c r="B431" t="s">
        <v>35</v>
      </c>
      <c r="C431" t="s">
        <v>69</v>
      </c>
      <c r="D431" s="1" t="s">
        <v>11</v>
      </c>
      <c r="E431" s="4">
        <v>101.1</v>
      </c>
      <c r="F431" s="4">
        <v>99.2</v>
      </c>
      <c r="G431" s="4">
        <v>95.4</v>
      </c>
      <c r="H431" s="1" t="s">
        <v>188</v>
      </c>
      <c r="K431">
        <v>2013</v>
      </c>
      <c r="L431" t="s">
        <v>40</v>
      </c>
      <c r="M431" t="s">
        <v>59</v>
      </c>
      <c r="N431" t="s">
        <v>21</v>
      </c>
      <c r="O431" t="s">
        <v>190</v>
      </c>
      <c r="P431" s="1" t="s">
        <v>30</v>
      </c>
      <c r="Q431">
        <v>109.5</v>
      </c>
    </row>
    <row r="432" spans="1:17" x14ac:dyDescent="0.3">
      <c r="A432">
        <v>2014</v>
      </c>
      <c r="B432" t="s">
        <v>35</v>
      </c>
      <c r="C432" t="s">
        <v>69</v>
      </c>
      <c r="D432" s="1" t="s">
        <v>24</v>
      </c>
      <c r="E432" s="4">
        <v>110.8</v>
      </c>
      <c r="F432" s="4">
        <v>111.1</v>
      </c>
      <c r="G432" s="4">
        <v>111.3</v>
      </c>
      <c r="H432" s="1" t="s">
        <v>191</v>
      </c>
      <c r="K432">
        <v>2013</v>
      </c>
      <c r="L432" t="s">
        <v>40</v>
      </c>
      <c r="M432" t="s">
        <v>59</v>
      </c>
      <c r="N432" t="s">
        <v>21</v>
      </c>
      <c r="O432" t="s">
        <v>190</v>
      </c>
      <c r="P432" s="1" t="s">
        <v>34</v>
      </c>
      <c r="Q432">
        <v>109.2</v>
      </c>
    </row>
    <row r="433" spans="1:17" x14ac:dyDescent="0.3">
      <c r="A433">
        <v>2014</v>
      </c>
      <c r="B433" t="s">
        <v>35</v>
      </c>
      <c r="C433" t="s">
        <v>69</v>
      </c>
      <c r="D433" s="1" t="s">
        <v>9</v>
      </c>
      <c r="E433" s="4">
        <v>116</v>
      </c>
      <c r="F433" s="4">
        <v>114.5</v>
      </c>
      <c r="G433" s="4">
        <v>111.5</v>
      </c>
      <c r="H433" s="1" t="s">
        <v>188</v>
      </c>
      <c r="K433">
        <v>2013</v>
      </c>
      <c r="L433" t="s">
        <v>40</v>
      </c>
      <c r="M433" t="s">
        <v>59</v>
      </c>
      <c r="N433" t="s">
        <v>21</v>
      </c>
      <c r="O433" t="s">
        <v>190</v>
      </c>
      <c r="P433" s="1" t="s">
        <v>33</v>
      </c>
      <c r="Q433">
        <v>108.6</v>
      </c>
    </row>
    <row r="434" spans="1:17" x14ac:dyDescent="0.3">
      <c r="A434">
        <v>2014</v>
      </c>
      <c r="B434" t="s">
        <v>31</v>
      </c>
      <c r="C434" t="s">
        <v>70</v>
      </c>
      <c r="D434" s="1" t="s">
        <v>3</v>
      </c>
      <c r="E434" s="4">
        <v>118.9</v>
      </c>
      <c r="F434" s="4">
        <v>119.6</v>
      </c>
      <c r="G434" s="4">
        <v>121.2</v>
      </c>
      <c r="H434" s="1" t="s">
        <v>188</v>
      </c>
      <c r="K434">
        <v>2013</v>
      </c>
      <c r="L434" t="s">
        <v>40</v>
      </c>
      <c r="M434" t="s">
        <v>59</v>
      </c>
      <c r="N434" t="s">
        <v>29</v>
      </c>
      <c r="O434" t="s">
        <v>206</v>
      </c>
      <c r="P434" s="1" t="s">
        <v>30</v>
      </c>
      <c r="Q434">
        <v>110.7</v>
      </c>
    </row>
    <row r="435" spans="1:17" x14ac:dyDescent="0.3">
      <c r="A435">
        <v>2014</v>
      </c>
      <c r="B435" t="s">
        <v>31</v>
      </c>
      <c r="C435" t="s">
        <v>70</v>
      </c>
      <c r="D435" s="1" t="s">
        <v>17</v>
      </c>
      <c r="E435" s="4">
        <v>116.5</v>
      </c>
      <c r="F435" s="4">
        <v>115.8</v>
      </c>
      <c r="G435" s="4">
        <v>114.8</v>
      </c>
      <c r="H435" s="1" t="s">
        <v>189</v>
      </c>
      <c r="K435">
        <v>2013</v>
      </c>
      <c r="L435" t="s">
        <v>40</v>
      </c>
      <c r="M435" t="s">
        <v>59</v>
      </c>
      <c r="N435" t="s">
        <v>29</v>
      </c>
      <c r="O435" t="s">
        <v>206</v>
      </c>
      <c r="P435" s="1" t="s">
        <v>34</v>
      </c>
      <c r="Q435">
        <v>111</v>
      </c>
    </row>
    <row r="436" spans="1:17" x14ac:dyDescent="0.3">
      <c r="A436">
        <v>2014</v>
      </c>
      <c r="B436" t="s">
        <v>31</v>
      </c>
      <c r="C436" t="s">
        <v>70</v>
      </c>
      <c r="D436" s="1" t="s">
        <v>19</v>
      </c>
      <c r="E436" s="4">
        <v>116.2</v>
      </c>
      <c r="F436" s="4">
        <v>115.4</v>
      </c>
      <c r="G436" s="4">
        <v>114.3</v>
      </c>
      <c r="H436" s="1" t="s">
        <v>189</v>
      </c>
      <c r="K436">
        <v>2013</v>
      </c>
      <c r="L436" t="s">
        <v>40</v>
      </c>
      <c r="M436" t="s">
        <v>59</v>
      </c>
      <c r="N436" t="s">
        <v>29</v>
      </c>
      <c r="O436" t="s">
        <v>206</v>
      </c>
      <c r="P436" s="1" t="s">
        <v>33</v>
      </c>
      <c r="Q436">
        <v>111.4</v>
      </c>
    </row>
    <row r="437" spans="1:17" x14ac:dyDescent="0.3">
      <c r="A437">
        <v>2014</v>
      </c>
      <c r="B437" t="s">
        <v>31</v>
      </c>
      <c r="C437" t="s">
        <v>70</v>
      </c>
      <c r="D437" s="1" t="s">
        <v>26</v>
      </c>
      <c r="E437" s="4">
        <v>111.8</v>
      </c>
      <c r="F437" s="4">
        <v>111.6</v>
      </c>
      <c r="G437" s="4">
        <v>111.5</v>
      </c>
      <c r="H437" s="1" t="s">
        <v>26</v>
      </c>
      <c r="K437">
        <v>2013</v>
      </c>
      <c r="L437" t="s">
        <v>40</v>
      </c>
      <c r="M437" t="s">
        <v>59</v>
      </c>
      <c r="N437" t="s">
        <v>23</v>
      </c>
      <c r="O437" t="s">
        <v>23</v>
      </c>
      <c r="P437" s="1" t="s">
        <v>30</v>
      </c>
      <c r="Q437">
        <v>106.9</v>
      </c>
    </row>
    <row r="438" spans="1:17" x14ac:dyDescent="0.3">
      <c r="A438">
        <v>2014</v>
      </c>
      <c r="B438" t="s">
        <v>31</v>
      </c>
      <c r="C438" t="s">
        <v>70</v>
      </c>
      <c r="D438" s="1" t="s">
        <v>5</v>
      </c>
      <c r="E438" s="4">
        <v>120.5</v>
      </c>
      <c r="F438" s="4">
        <v>124.1</v>
      </c>
      <c r="G438" s="4">
        <v>129.9</v>
      </c>
      <c r="H438" s="1" t="s">
        <v>188</v>
      </c>
      <c r="K438">
        <v>2013</v>
      </c>
      <c r="L438" t="s">
        <v>40</v>
      </c>
      <c r="M438" t="s">
        <v>59</v>
      </c>
      <c r="N438" t="s">
        <v>23</v>
      </c>
      <c r="O438" t="s">
        <v>23</v>
      </c>
      <c r="P438" s="1" t="s">
        <v>34</v>
      </c>
      <c r="Q438">
        <v>107</v>
      </c>
    </row>
    <row r="439" spans="1:17" x14ac:dyDescent="0.3">
      <c r="A439">
        <v>2014</v>
      </c>
      <c r="B439" t="s">
        <v>31</v>
      </c>
      <c r="C439" t="s">
        <v>70</v>
      </c>
      <c r="D439" s="1" t="s">
        <v>15</v>
      </c>
      <c r="E439" s="4">
        <v>116</v>
      </c>
      <c r="F439" s="4">
        <v>115.8</v>
      </c>
      <c r="G439" s="4">
        <v>115.5</v>
      </c>
      <c r="H439" s="1" t="s">
        <v>188</v>
      </c>
      <c r="K439">
        <v>2013</v>
      </c>
      <c r="L439" t="s">
        <v>40</v>
      </c>
      <c r="M439" t="s">
        <v>59</v>
      </c>
      <c r="N439" t="s">
        <v>23</v>
      </c>
      <c r="O439" t="s">
        <v>23</v>
      </c>
      <c r="P439" s="1" t="s">
        <v>33</v>
      </c>
      <c r="Q439">
        <v>107.1</v>
      </c>
    </row>
    <row r="440" spans="1:17" x14ac:dyDescent="0.3">
      <c r="A440">
        <v>2014</v>
      </c>
      <c r="B440" t="s">
        <v>31</v>
      </c>
      <c r="C440" t="s">
        <v>70</v>
      </c>
      <c r="D440" s="1" t="s">
        <v>18</v>
      </c>
      <c r="E440" s="4">
        <v>114.5</v>
      </c>
      <c r="F440" s="4">
        <v>113.2</v>
      </c>
      <c r="G440" s="4">
        <v>111.3</v>
      </c>
      <c r="H440" s="1" t="s">
        <v>189</v>
      </c>
      <c r="K440">
        <v>2013</v>
      </c>
      <c r="L440" t="s">
        <v>40</v>
      </c>
      <c r="M440" t="s">
        <v>59</v>
      </c>
      <c r="N440" t="s">
        <v>22</v>
      </c>
      <c r="O440" t="s">
        <v>20</v>
      </c>
      <c r="P440" s="1" t="s">
        <v>30</v>
      </c>
      <c r="Q440">
        <v>108.3</v>
      </c>
    </row>
    <row r="441" spans="1:17" x14ac:dyDescent="0.3">
      <c r="A441">
        <v>2014</v>
      </c>
      <c r="B441" t="s">
        <v>31</v>
      </c>
      <c r="C441" t="s">
        <v>70</v>
      </c>
      <c r="D441" s="1" t="s">
        <v>8</v>
      </c>
      <c r="E441" s="4">
        <v>115.5</v>
      </c>
      <c r="F441" s="4">
        <v>113.9</v>
      </c>
      <c r="G441" s="4">
        <v>112.1</v>
      </c>
      <c r="H441" s="1" t="s">
        <v>188</v>
      </c>
      <c r="K441">
        <v>2013</v>
      </c>
      <c r="L441" t="s">
        <v>40</v>
      </c>
      <c r="M441" t="s">
        <v>59</v>
      </c>
      <c r="N441" t="s">
        <v>22</v>
      </c>
      <c r="O441" t="s">
        <v>20</v>
      </c>
      <c r="P441" s="1" t="s">
        <v>34</v>
      </c>
      <c r="Q441">
        <v>108.2</v>
      </c>
    </row>
    <row r="442" spans="1:17" x14ac:dyDescent="0.3">
      <c r="A442">
        <v>2014</v>
      </c>
      <c r="B442" t="s">
        <v>31</v>
      </c>
      <c r="C442" t="s">
        <v>70</v>
      </c>
      <c r="D442" s="1" t="s">
        <v>21</v>
      </c>
      <c r="E442" s="4">
        <v>113</v>
      </c>
      <c r="F442" s="4">
        <v>112.2</v>
      </c>
      <c r="G442" s="4">
        <v>111</v>
      </c>
      <c r="H442" s="1" t="s">
        <v>190</v>
      </c>
      <c r="K442">
        <v>2013</v>
      </c>
      <c r="L442" t="s">
        <v>40</v>
      </c>
      <c r="M442" t="s">
        <v>59</v>
      </c>
      <c r="N442" t="s">
        <v>22</v>
      </c>
      <c r="O442" t="s">
        <v>20</v>
      </c>
      <c r="P442" s="1" t="s">
        <v>33</v>
      </c>
      <c r="Q442">
        <v>108.1</v>
      </c>
    </row>
    <row r="443" spans="1:17" x14ac:dyDescent="0.3">
      <c r="A443">
        <v>2014</v>
      </c>
      <c r="B443" t="s">
        <v>31</v>
      </c>
      <c r="C443" t="s">
        <v>70</v>
      </c>
      <c r="D443" s="1" t="s">
        <v>29</v>
      </c>
      <c r="E443" s="4">
        <v>114.2</v>
      </c>
      <c r="F443" s="4">
        <v>113.6</v>
      </c>
      <c r="G443" s="4">
        <v>112.9</v>
      </c>
      <c r="H443" s="1" t="s">
        <v>206</v>
      </c>
      <c r="K443">
        <v>2013</v>
      </c>
      <c r="L443" t="s">
        <v>40</v>
      </c>
      <c r="M443" t="s">
        <v>59</v>
      </c>
      <c r="N443" t="s">
        <v>20</v>
      </c>
      <c r="O443" t="s">
        <v>20</v>
      </c>
      <c r="P443" s="1" t="s">
        <v>30</v>
      </c>
      <c r="Q443">
        <v>0</v>
      </c>
    </row>
    <row r="444" spans="1:17" x14ac:dyDescent="0.3">
      <c r="A444">
        <v>2014</v>
      </c>
      <c r="B444" t="s">
        <v>31</v>
      </c>
      <c r="C444" t="s">
        <v>70</v>
      </c>
      <c r="D444" s="1" t="s">
        <v>23</v>
      </c>
      <c r="E444" s="4">
        <v>110.6</v>
      </c>
      <c r="F444" s="4">
        <v>110.3</v>
      </c>
      <c r="G444" s="4">
        <v>109.7</v>
      </c>
      <c r="H444" s="1" t="s">
        <v>23</v>
      </c>
      <c r="K444">
        <v>2013</v>
      </c>
      <c r="L444" t="s">
        <v>40</v>
      </c>
      <c r="M444" t="s">
        <v>59</v>
      </c>
      <c r="N444" t="s">
        <v>20</v>
      </c>
      <c r="O444" t="s">
        <v>20</v>
      </c>
      <c r="P444" s="1" t="s">
        <v>34</v>
      </c>
      <c r="Q444">
        <v>107.7</v>
      </c>
    </row>
    <row r="445" spans="1:17" x14ac:dyDescent="0.3">
      <c r="A445">
        <v>2014</v>
      </c>
      <c r="B445" t="s">
        <v>31</v>
      </c>
      <c r="C445" t="s">
        <v>70</v>
      </c>
      <c r="D445" s="1" t="s">
        <v>22</v>
      </c>
      <c r="E445" s="4">
        <v>112.6</v>
      </c>
      <c r="F445" s="4">
        <v>112.3</v>
      </c>
      <c r="G445" s="4">
        <v>111.9</v>
      </c>
      <c r="H445" s="1" t="s">
        <v>20</v>
      </c>
      <c r="K445">
        <v>2013</v>
      </c>
      <c r="L445" t="s">
        <v>40</v>
      </c>
      <c r="M445" t="s">
        <v>59</v>
      </c>
      <c r="N445" t="s">
        <v>20</v>
      </c>
      <c r="O445" t="s">
        <v>20</v>
      </c>
      <c r="P445" s="1" t="s">
        <v>33</v>
      </c>
      <c r="Q445">
        <v>107.7</v>
      </c>
    </row>
    <row r="446" spans="1:17" x14ac:dyDescent="0.3">
      <c r="A446">
        <v>2014</v>
      </c>
      <c r="B446" t="s">
        <v>31</v>
      </c>
      <c r="C446" t="s">
        <v>70</v>
      </c>
      <c r="D446" s="1" t="s">
        <v>20</v>
      </c>
      <c r="E446" s="4">
        <v>0</v>
      </c>
      <c r="F446" s="4">
        <v>111.6</v>
      </c>
      <c r="G446" s="4">
        <v>111.6</v>
      </c>
      <c r="H446" s="1" t="s">
        <v>20</v>
      </c>
      <c r="K446">
        <v>2013</v>
      </c>
      <c r="L446" t="s">
        <v>40</v>
      </c>
      <c r="M446" t="s">
        <v>59</v>
      </c>
      <c r="N446" t="s">
        <v>4</v>
      </c>
      <c r="O446" t="s">
        <v>188</v>
      </c>
      <c r="P446" s="1" t="s">
        <v>30</v>
      </c>
      <c r="Q446">
        <v>114.9</v>
      </c>
    </row>
    <row r="447" spans="1:17" x14ac:dyDescent="0.3">
      <c r="A447">
        <v>2014</v>
      </c>
      <c r="B447" t="s">
        <v>31</v>
      </c>
      <c r="C447" t="s">
        <v>70</v>
      </c>
      <c r="D447" s="1" t="s">
        <v>4</v>
      </c>
      <c r="E447" s="4">
        <v>117.1</v>
      </c>
      <c r="F447" s="4">
        <v>118.8</v>
      </c>
      <c r="G447" s="4">
        <v>122</v>
      </c>
      <c r="H447" s="1" t="s">
        <v>188</v>
      </c>
      <c r="K447">
        <v>2013</v>
      </c>
      <c r="L447" t="s">
        <v>40</v>
      </c>
      <c r="M447" t="s">
        <v>59</v>
      </c>
      <c r="N447" t="s">
        <v>4</v>
      </c>
      <c r="O447" t="s">
        <v>188</v>
      </c>
      <c r="P447" s="1" t="s">
        <v>34</v>
      </c>
      <c r="Q447">
        <v>116.4</v>
      </c>
    </row>
    <row r="448" spans="1:17" x14ac:dyDescent="0.3">
      <c r="A448">
        <v>2014</v>
      </c>
      <c r="B448" t="s">
        <v>31</v>
      </c>
      <c r="C448" t="s">
        <v>70</v>
      </c>
      <c r="D448" s="1" t="s">
        <v>6</v>
      </c>
      <c r="E448" s="4">
        <v>114.4</v>
      </c>
      <c r="F448" s="4">
        <v>114.1</v>
      </c>
      <c r="G448" s="4">
        <v>113.6</v>
      </c>
      <c r="H448" s="1" t="s">
        <v>188</v>
      </c>
      <c r="K448">
        <v>2013</v>
      </c>
      <c r="L448" t="s">
        <v>40</v>
      </c>
      <c r="M448" t="s">
        <v>59</v>
      </c>
      <c r="N448" t="s">
        <v>4</v>
      </c>
      <c r="O448" t="s">
        <v>188</v>
      </c>
      <c r="P448" s="1" t="s">
        <v>33</v>
      </c>
      <c r="Q448">
        <v>119.2</v>
      </c>
    </row>
    <row r="449" spans="1:17" x14ac:dyDescent="0.3">
      <c r="A449">
        <v>2014</v>
      </c>
      <c r="B449" t="s">
        <v>31</v>
      </c>
      <c r="C449" t="s">
        <v>70</v>
      </c>
      <c r="D449" s="1" t="s">
        <v>28</v>
      </c>
      <c r="E449" s="4">
        <v>110.6</v>
      </c>
      <c r="F449" s="4">
        <v>110.6</v>
      </c>
      <c r="G449" s="4">
        <v>110.5</v>
      </c>
      <c r="H449" s="1" t="s">
        <v>192</v>
      </c>
      <c r="K449">
        <v>2013</v>
      </c>
      <c r="L449" t="s">
        <v>40</v>
      </c>
      <c r="M449" t="s">
        <v>59</v>
      </c>
      <c r="N449" t="s">
        <v>6</v>
      </c>
      <c r="O449" t="s">
        <v>188</v>
      </c>
      <c r="P449" s="1" t="s">
        <v>30</v>
      </c>
      <c r="Q449">
        <v>109.3</v>
      </c>
    </row>
    <row r="450" spans="1:17" x14ac:dyDescent="0.3">
      <c r="A450">
        <v>2014</v>
      </c>
      <c r="B450" t="s">
        <v>31</v>
      </c>
      <c r="C450" t="s">
        <v>70</v>
      </c>
      <c r="D450" s="1" t="s">
        <v>13</v>
      </c>
      <c r="E450" s="4">
        <v>112.4</v>
      </c>
      <c r="F450" s="4">
        <v>112.3</v>
      </c>
      <c r="G450" s="4">
        <v>112.1</v>
      </c>
      <c r="H450" s="1" t="s">
        <v>188</v>
      </c>
      <c r="K450">
        <v>2013</v>
      </c>
      <c r="L450" t="s">
        <v>40</v>
      </c>
      <c r="M450" t="s">
        <v>59</v>
      </c>
      <c r="N450" t="s">
        <v>6</v>
      </c>
      <c r="O450" t="s">
        <v>188</v>
      </c>
      <c r="P450" s="1" t="s">
        <v>34</v>
      </c>
      <c r="Q450">
        <v>108.9</v>
      </c>
    </row>
    <row r="451" spans="1:17" x14ac:dyDescent="0.3">
      <c r="A451">
        <v>2014</v>
      </c>
      <c r="B451" t="s">
        <v>31</v>
      </c>
      <c r="C451" t="s">
        <v>70</v>
      </c>
      <c r="D451" s="1" t="s">
        <v>7</v>
      </c>
      <c r="E451" s="4">
        <v>109</v>
      </c>
      <c r="F451" s="4">
        <v>106.8</v>
      </c>
      <c r="G451" s="4">
        <v>102.9</v>
      </c>
      <c r="H451" s="1" t="s">
        <v>188</v>
      </c>
      <c r="K451">
        <v>2013</v>
      </c>
      <c r="L451" t="s">
        <v>40</v>
      </c>
      <c r="M451" t="s">
        <v>59</v>
      </c>
      <c r="N451" t="s">
        <v>6</v>
      </c>
      <c r="O451" t="s">
        <v>188</v>
      </c>
      <c r="P451" s="1" t="s">
        <v>33</v>
      </c>
      <c r="Q451">
        <v>108.3</v>
      </c>
    </row>
    <row r="452" spans="1:17" x14ac:dyDescent="0.3">
      <c r="A452">
        <v>2014</v>
      </c>
      <c r="B452" t="s">
        <v>31</v>
      </c>
      <c r="C452" t="s">
        <v>70</v>
      </c>
      <c r="D452" s="1" t="s">
        <v>16</v>
      </c>
      <c r="E452" s="4">
        <v>114</v>
      </c>
      <c r="F452" s="4">
        <v>114.5</v>
      </c>
      <c r="G452" s="4">
        <v>115.7</v>
      </c>
      <c r="H452" s="1" t="s">
        <v>192</v>
      </c>
      <c r="K452">
        <v>2013</v>
      </c>
      <c r="L452" t="s">
        <v>40</v>
      </c>
      <c r="M452" t="s">
        <v>59</v>
      </c>
      <c r="N452" t="s">
        <v>28</v>
      </c>
      <c r="O452" t="s">
        <v>192</v>
      </c>
      <c r="P452" s="1" t="s">
        <v>30</v>
      </c>
      <c r="Q452">
        <v>106.5</v>
      </c>
    </row>
    <row r="453" spans="1:17" x14ac:dyDescent="0.3">
      <c r="A453">
        <v>2014</v>
      </c>
      <c r="B453" t="s">
        <v>31</v>
      </c>
      <c r="C453" t="s">
        <v>70</v>
      </c>
      <c r="D453" s="1" t="s">
        <v>27</v>
      </c>
      <c r="E453" s="4">
        <v>108.3</v>
      </c>
      <c r="F453" s="4">
        <v>108.2</v>
      </c>
      <c r="G453" s="4">
        <v>108</v>
      </c>
      <c r="H453" s="1" t="s">
        <v>192</v>
      </c>
      <c r="K453">
        <v>2013</v>
      </c>
      <c r="L453" t="s">
        <v>40</v>
      </c>
      <c r="M453" t="s">
        <v>59</v>
      </c>
      <c r="N453" t="s">
        <v>28</v>
      </c>
      <c r="O453" t="s">
        <v>192</v>
      </c>
      <c r="P453" s="1" t="s">
        <v>34</v>
      </c>
      <c r="Q453">
        <v>106.9</v>
      </c>
    </row>
    <row r="454" spans="1:17" x14ac:dyDescent="0.3">
      <c r="A454">
        <v>2014</v>
      </c>
      <c r="B454" t="s">
        <v>31</v>
      </c>
      <c r="C454" t="s">
        <v>70</v>
      </c>
      <c r="D454" s="1" t="s">
        <v>14</v>
      </c>
      <c r="E454" s="4">
        <v>117.3</v>
      </c>
      <c r="F454" s="4">
        <v>118.1</v>
      </c>
      <c r="G454" s="4">
        <v>119</v>
      </c>
      <c r="H454" s="1" t="s">
        <v>188</v>
      </c>
      <c r="K454">
        <v>2013</v>
      </c>
      <c r="L454" t="s">
        <v>40</v>
      </c>
      <c r="M454" t="s">
        <v>59</v>
      </c>
      <c r="N454" t="s">
        <v>28</v>
      </c>
      <c r="O454" t="s">
        <v>192</v>
      </c>
      <c r="P454" s="1" t="s">
        <v>33</v>
      </c>
      <c r="Q454">
        <v>107.3</v>
      </c>
    </row>
    <row r="455" spans="1:17" x14ac:dyDescent="0.3">
      <c r="A455">
        <v>2014</v>
      </c>
      <c r="B455" t="s">
        <v>31</v>
      </c>
      <c r="C455" t="s">
        <v>70</v>
      </c>
      <c r="D455" s="1" t="s">
        <v>10</v>
      </c>
      <c r="E455" s="4">
        <v>109.6</v>
      </c>
      <c r="F455" s="4">
        <v>108.9</v>
      </c>
      <c r="G455" s="4">
        <v>107.5</v>
      </c>
      <c r="H455" s="1" t="s">
        <v>188</v>
      </c>
      <c r="K455">
        <v>2013</v>
      </c>
      <c r="L455" t="s">
        <v>40</v>
      </c>
      <c r="M455" t="s">
        <v>59</v>
      </c>
      <c r="N455" t="s">
        <v>13</v>
      </c>
      <c r="O455" t="s">
        <v>188</v>
      </c>
      <c r="P455" s="1" t="s">
        <v>30</v>
      </c>
      <c r="Q455">
        <v>109.1</v>
      </c>
    </row>
    <row r="456" spans="1:17" x14ac:dyDescent="0.3">
      <c r="A456">
        <v>2014</v>
      </c>
      <c r="B456" t="s">
        <v>31</v>
      </c>
      <c r="C456" t="s">
        <v>70</v>
      </c>
      <c r="D456" s="1" t="s">
        <v>25</v>
      </c>
      <c r="E456" s="4">
        <v>109.6</v>
      </c>
      <c r="F456" s="4">
        <v>109.7</v>
      </c>
      <c r="G456" s="4">
        <v>109.8</v>
      </c>
      <c r="H456" s="1" t="s">
        <v>195</v>
      </c>
      <c r="K456">
        <v>2013</v>
      </c>
      <c r="L456" t="s">
        <v>40</v>
      </c>
      <c r="M456" t="s">
        <v>59</v>
      </c>
      <c r="N456" t="s">
        <v>13</v>
      </c>
      <c r="O456" t="s">
        <v>188</v>
      </c>
      <c r="P456" s="1" t="s">
        <v>34</v>
      </c>
      <c r="Q456">
        <v>109.6</v>
      </c>
    </row>
    <row r="457" spans="1:17" x14ac:dyDescent="0.3">
      <c r="A457">
        <v>2014</v>
      </c>
      <c r="B457" t="s">
        <v>31</v>
      </c>
      <c r="C457" t="s">
        <v>70</v>
      </c>
      <c r="D457" s="1" t="s">
        <v>12</v>
      </c>
      <c r="E457" s="4">
        <v>110.2</v>
      </c>
      <c r="F457" s="4">
        <v>111</v>
      </c>
      <c r="G457" s="4">
        <v>112.7</v>
      </c>
      <c r="H457" s="1" t="s">
        <v>188</v>
      </c>
      <c r="K457">
        <v>2013</v>
      </c>
      <c r="L457" t="s">
        <v>40</v>
      </c>
      <c r="M457" t="s">
        <v>59</v>
      </c>
      <c r="N457" t="s">
        <v>13</v>
      </c>
      <c r="O457" t="s">
        <v>188</v>
      </c>
      <c r="P457" s="1" t="s">
        <v>33</v>
      </c>
      <c r="Q457">
        <v>110.4</v>
      </c>
    </row>
    <row r="458" spans="1:17" x14ac:dyDescent="0.3">
      <c r="A458">
        <v>2014</v>
      </c>
      <c r="B458" t="s">
        <v>31</v>
      </c>
      <c r="C458" t="s">
        <v>70</v>
      </c>
      <c r="D458" s="1" t="s">
        <v>11</v>
      </c>
      <c r="E458" s="4">
        <v>101.8</v>
      </c>
      <c r="F458" s="4">
        <v>100.2</v>
      </c>
      <c r="G458" s="4">
        <v>96.9</v>
      </c>
      <c r="H458" s="1" t="s">
        <v>188</v>
      </c>
      <c r="K458">
        <v>2013</v>
      </c>
      <c r="L458" t="s">
        <v>40</v>
      </c>
      <c r="M458" t="s">
        <v>59</v>
      </c>
      <c r="N458" t="s">
        <v>7</v>
      </c>
      <c r="O458" t="s">
        <v>188</v>
      </c>
      <c r="P458" s="1" t="s">
        <v>30</v>
      </c>
      <c r="Q458">
        <v>106.2</v>
      </c>
    </row>
    <row r="459" spans="1:17" x14ac:dyDescent="0.3">
      <c r="A459">
        <v>2014</v>
      </c>
      <c r="B459" t="s">
        <v>31</v>
      </c>
      <c r="C459" t="s">
        <v>70</v>
      </c>
      <c r="D459" s="1" t="s">
        <v>24</v>
      </c>
      <c r="E459" s="4">
        <v>110.5</v>
      </c>
      <c r="F459" s="4">
        <v>110.7</v>
      </c>
      <c r="G459" s="4">
        <v>110.8</v>
      </c>
      <c r="H459" s="1" t="s">
        <v>191</v>
      </c>
      <c r="K459">
        <v>2013</v>
      </c>
      <c r="L459" t="s">
        <v>40</v>
      </c>
      <c r="M459" t="s">
        <v>59</v>
      </c>
      <c r="N459" t="s">
        <v>7</v>
      </c>
      <c r="O459" t="s">
        <v>188</v>
      </c>
      <c r="P459" s="1" t="s">
        <v>34</v>
      </c>
      <c r="Q459">
        <v>104.3</v>
      </c>
    </row>
    <row r="460" spans="1:17" x14ac:dyDescent="0.3">
      <c r="A460">
        <v>2014</v>
      </c>
      <c r="B460" t="s">
        <v>31</v>
      </c>
      <c r="C460" t="s">
        <v>70</v>
      </c>
      <c r="D460" s="1" t="s">
        <v>9</v>
      </c>
      <c r="E460" s="4">
        <v>123.9</v>
      </c>
      <c r="F460" s="4">
        <v>122.2</v>
      </c>
      <c r="G460" s="4">
        <v>118.9</v>
      </c>
      <c r="H460" s="1" t="s">
        <v>188</v>
      </c>
      <c r="K460">
        <v>2013</v>
      </c>
      <c r="L460" t="s">
        <v>40</v>
      </c>
      <c r="M460" t="s">
        <v>59</v>
      </c>
      <c r="N460" t="s">
        <v>7</v>
      </c>
      <c r="O460" t="s">
        <v>188</v>
      </c>
      <c r="P460" s="1" t="s">
        <v>33</v>
      </c>
      <c r="Q460">
        <v>101.1</v>
      </c>
    </row>
    <row r="461" spans="1:17" x14ac:dyDescent="0.3">
      <c r="A461">
        <v>2014</v>
      </c>
      <c r="B461" t="s">
        <v>40</v>
      </c>
      <c r="C461" t="s">
        <v>71</v>
      </c>
      <c r="D461" s="1" t="s">
        <v>3</v>
      </c>
      <c r="E461" s="4">
        <v>121.7</v>
      </c>
      <c r="F461" s="4">
        <v>122.4</v>
      </c>
      <c r="G461" s="4">
        <v>123.8</v>
      </c>
      <c r="H461" s="1" t="s">
        <v>188</v>
      </c>
      <c r="K461">
        <v>2013</v>
      </c>
      <c r="L461" t="s">
        <v>40</v>
      </c>
      <c r="M461" t="s">
        <v>59</v>
      </c>
      <c r="N461" t="s">
        <v>16</v>
      </c>
      <c r="O461" t="s">
        <v>192</v>
      </c>
      <c r="P461" s="1" t="s">
        <v>30</v>
      </c>
      <c r="Q461">
        <v>109.8</v>
      </c>
    </row>
    <row r="462" spans="1:17" x14ac:dyDescent="0.3">
      <c r="A462">
        <v>2014</v>
      </c>
      <c r="B462" t="s">
        <v>40</v>
      </c>
      <c r="C462" t="s">
        <v>71</v>
      </c>
      <c r="D462" s="1" t="s">
        <v>17</v>
      </c>
      <c r="E462" s="4">
        <v>120.7</v>
      </c>
      <c r="F462" s="4">
        <v>119.6</v>
      </c>
      <c r="G462" s="4">
        <v>118</v>
      </c>
      <c r="H462" s="1" t="s">
        <v>189</v>
      </c>
      <c r="K462">
        <v>2013</v>
      </c>
      <c r="L462" t="s">
        <v>40</v>
      </c>
      <c r="M462" t="s">
        <v>59</v>
      </c>
      <c r="N462" t="s">
        <v>16</v>
      </c>
      <c r="O462" t="s">
        <v>192</v>
      </c>
      <c r="P462" s="1" t="s">
        <v>34</v>
      </c>
      <c r="Q462">
        <v>110.3</v>
      </c>
    </row>
    <row r="463" spans="1:17" x14ac:dyDescent="0.3">
      <c r="A463">
        <v>2014</v>
      </c>
      <c r="B463" t="s">
        <v>40</v>
      </c>
      <c r="C463" t="s">
        <v>71</v>
      </c>
      <c r="D463" s="1" t="s">
        <v>19</v>
      </c>
      <c r="E463" s="4">
        <v>120.3</v>
      </c>
      <c r="F463" s="4">
        <v>119.1</v>
      </c>
      <c r="G463" s="4">
        <v>117.4</v>
      </c>
      <c r="H463" s="1" t="s">
        <v>189</v>
      </c>
      <c r="K463">
        <v>2013</v>
      </c>
      <c r="L463" t="s">
        <v>40</v>
      </c>
      <c r="M463" t="s">
        <v>59</v>
      </c>
      <c r="N463" t="s">
        <v>16</v>
      </c>
      <c r="O463" t="s">
        <v>192</v>
      </c>
      <c r="P463" s="1" t="s">
        <v>33</v>
      </c>
      <c r="Q463">
        <v>111.7</v>
      </c>
    </row>
    <row r="464" spans="1:17" x14ac:dyDescent="0.3">
      <c r="A464">
        <v>2014</v>
      </c>
      <c r="B464" t="s">
        <v>40</v>
      </c>
      <c r="C464" t="s">
        <v>71</v>
      </c>
      <c r="D464" s="1" t="s">
        <v>26</v>
      </c>
      <c r="E464" s="4">
        <v>115.5</v>
      </c>
      <c r="F464" s="4">
        <v>116.8</v>
      </c>
      <c r="G464" s="4">
        <v>117.8</v>
      </c>
      <c r="H464" s="1" t="s">
        <v>26</v>
      </c>
      <c r="K464">
        <v>2013</v>
      </c>
      <c r="L464" t="s">
        <v>40</v>
      </c>
      <c r="M464" t="s">
        <v>59</v>
      </c>
      <c r="N464" t="s">
        <v>27</v>
      </c>
      <c r="O464" t="s">
        <v>192</v>
      </c>
      <c r="P464" s="1" t="s">
        <v>30</v>
      </c>
      <c r="Q464">
        <v>102.5</v>
      </c>
    </row>
    <row r="465" spans="1:17" x14ac:dyDescent="0.3">
      <c r="A465">
        <v>2014</v>
      </c>
      <c r="B465" t="s">
        <v>40</v>
      </c>
      <c r="C465" t="s">
        <v>71</v>
      </c>
      <c r="D465" s="1" t="s">
        <v>5</v>
      </c>
      <c r="E465" s="4">
        <v>117.7</v>
      </c>
      <c r="F465" s="4">
        <v>117.8</v>
      </c>
      <c r="G465" s="4">
        <v>118</v>
      </c>
      <c r="H465" s="1" t="s">
        <v>188</v>
      </c>
      <c r="K465">
        <v>2013</v>
      </c>
      <c r="L465" t="s">
        <v>40</v>
      </c>
      <c r="M465" t="s">
        <v>59</v>
      </c>
      <c r="N465" t="s">
        <v>27</v>
      </c>
      <c r="O465" t="s">
        <v>192</v>
      </c>
      <c r="P465" s="1" t="s">
        <v>34</v>
      </c>
      <c r="Q465">
        <v>102.8</v>
      </c>
    </row>
    <row r="466" spans="1:17" x14ac:dyDescent="0.3">
      <c r="A466">
        <v>2014</v>
      </c>
      <c r="B466" t="s">
        <v>40</v>
      </c>
      <c r="C466" t="s">
        <v>71</v>
      </c>
      <c r="D466" s="1" t="s">
        <v>15</v>
      </c>
      <c r="E466" s="4">
        <v>123.3</v>
      </c>
      <c r="F466" s="4">
        <v>124.7</v>
      </c>
      <c r="G466" s="4">
        <v>127.1</v>
      </c>
      <c r="H466" s="1" t="s">
        <v>188</v>
      </c>
      <c r="K466">
        <v>2013</v>
      </c>
      <c r="L466" t="s">
        <v>40</v>
      </c>
      <c r="M466" t="s">
        <v>59</v>
      </c>
      <c r="N466" t="s">
        <v>27</v>
      </c>
      <c r="O466" t="s">
        <v>192</v>
      </c>
      <c r="P466" s="1" t="s">
        <v>33</v>
      </c>
      <c r="Q466">
        <v>103.2</v>
      </c>
    </row>
    <row r="467" spans="1:17" x14ac:dyDescent="0.3">
      <c r="A467">
        <v>2014</v>
      </c>
      <c r="B467" t="s">
        <v>40</v>
      </c>
      <c r="C467" t="s">
        <v>71</v>
      </c>
      <c r="D467" s="1" t="s">
        <v>18</v>
      </c>
      <c r="E467" s="4">
        <v>118.3</v>
      </c>
      <c r="F467" s="4">
        <v>116.3</v>
      </c>
      <c r="G467" s="4">
        <v>113.6</v>
      </c>
      <c r="H467" s="1" t="s">
        <v>189</v>
      </c>
      <c r="K467">
        <v>2013</v>
      </c>
      <c r="L467" t="s">
        <v>40</v>
      </c>
      <c r="M467" t="s">
        <v>59</v>
      </c>
      <c r="N467" t="s">
        <v>14</v>
      </c>
      <c r="O467" t="s">
        <v>188</v>
      </c>
      <c r="P467" s="1" t="s">
        <v>30</v>
      </c>
      <c r="Q467">
        <v>112.1</v>
      </c>
    </row>
    <row r="468" spans="1:17" x14ac:dyDescent="0.3">
      <c r="A468">
        <v>2014</v>
      </c>
      <c r="B468" t="s">
        <v>40</v>
      </c>
      <c r="C468" t="s">
        <v>71</v>
      </c>
      <c r="D468" s="1" t="s">
        <v>8</v>
      </c>
      <c r="E468" s="4">
        <v>129.1</v>
      </c>
      <c r="F468" s="4">
        <v>131.19999999999999</v>
      </c>
      <c r="G468" s="4">
        <v>133.69999999999999</v>
      </c>
      <c r="H468" s="1" t="s">
        <v>188</v>
      </c>
      <c r="K468">
        <v>2013</v>
      </c>
      <c r="L468" t="s">
        <v>40</v>
      </c>
      <c r="M468" t="s">
        <v>59</v>
      </c>
      <c r="N468" t="s">
        <v>14</v>
      </c>
      <c r="O468" t="s">
        <v>188</v>
      </c>
      <c r="P468" s="1" t="s">
        <v>34</v>
      </c>
      <c r="Q468">
        <v>112.6</v>
      </c>
    </row>
    <row r="469" spans="1:17" x14ac:dyDescent="0.3">
      <c r="A469">
        <v>2014</v>
      </c>
      <c r="B469" t="s">
        <v>40</v>
      </c>
      <c r="C469" t="s">
        <v>71</v>
      </c>
      <c r="D469" s="1" t="s">
        <v>21</v>
      </c>
      <c r="E469" s="4">
        <v>115.3</v>
      </c>
      <c r="F469" s="4">
        <v>113.9</v>
      </c>
      <c r="G469" s="4">
        <v>111.6</v>
      </c>
      <c r="H469" s="1" t="s">
        <v>190</v>
      </c>
      <c r="K469">
        <v>2013</v>
      </c>
      <c r="L469" t="s">
        <v>40</v>
      </c>
      <c r="M469" t="s">
        <v>59</v>
      </c>
      <c r="N469" t="s">
        <v>14</v>
      </c>
      <c r="O469" t="s">
        <v>188</v>
      </c>
      <c r="P469" s="1" t="s">
        <v>33</v>
      </c>
      <c r="Q469">
        <v>113.1</v>
      </c>
    </row>
    <row r="470" spans="1:17" x14ac:dyDescent="0.3">
      <c r="A470">
        <v>2014</v>
      </c>
      <c r="B470" t="s">
        <v>40</v>
      </c>
      <c r="C470" t="s">
        <v>71</v>
      </c>
      <c r="D470" s="1" t="s">
        <v>29</v>
      </c>
      <c r="E470" s="4">
        <v>119.5</v>
      </c>
      <c r="F470" s="4">
        <v>119.2</v>
      </c>
      <c r="G470" s="4">
        <v>118.9</v>
      </c>
      <c r="H470" s="1" t="s">
        <v>206</v>
      </c>
      <c r="K470">
        <v>2013</v>
      </c>
      <c r="L470" t="s">
        <v>40</v>
      </c>
      <c r="M470" t="s">
        <v>59</v>
      </c>
      <c r="N470" t="s">
        <v>10</v>
      </c>
      <c r="O470" t="s">
        <v>188</v>
      </c>
      <c r="P470" s="1" t="s">
        <v>30</v>
      </c>
      <c r="Q470">
        <v>107.1</v>
      </c>
    </row>
    <row r="471" spans="1:17" x14ac:dyDescent="0.3">
      <c r="A471">
        <v>2014</v>
      </c>
      <c r="B471" t="s">
        <v>40</v>
      </c>
      <c r="C471" t="s">
        <v>71</v>
      </c>
      <c r="D471" s="1" t="s">
        <v>23</v>
      </c>
      <c r="E471" s="4">
        <v>113.4</v>
      </c>
      <c r="F471" s="4">
        <v>112.7</v>
      </c>
      <c r="G471" s="4">
        <v>111.5</v>
      </c>
      <c r="H471" s="1" t="s">
        <v>23</v>
      </c>
      <c r="K471">
        <v>2013</v>
      </c>
      <c r="L471" t="s">
        <v>40</v>
      </c>
      <c r="M471" t="s">
        <v>59</v>
      </c>
      <c r="N471" t="s">
        <v>10</v>
      </c>
      <c r="O471" t="s">
        <v>188</v>
      </c>
      <c r="P471" s="1" t="s">
        <v>34</v>
      </c>
      <c r="Q471">
        <v>106.4</v>
      </c>
    </row>
    <row r="472" spans="1:17" x14ac:dyDescent="0.3">
      <c r="A472">
        <v>2014</v>
      </c>
      <c r="B472" t="s">
        <v>40</v>
      </c>
      <c r="C472" t="s">
        <v>71</v>
      </c>
      <c r="D472" s="1" t="s">
        <v>22</v>
      </c>
      <c r="E472" s="4">
        <v>115.4</v>
      </c>
      <c r="F472" s="4">
        <v>115.2</v>
      </c>
      <c r="G472" s="4">
        <v>114.9</v>
      </c>
      <c r="H472" s="1" t="s">
        <v>20</v>
      </c>
      <c r="K472">
        <v>2013</v>
      </c>
      <c r="L472" t="s">
        <v>40</v>
      </c>
      <c r="M472" t="s">
        <v>59</v>
      </c>
      <c r="N472" t="s">
        <v>10</v>
      </c>
      <c r="O472" t="s">
        <v>188</v>
      </c>
      <c r="P472" s="1" t="s">
        <v>33</v>
      </c>
      <c r="Q472">
        <v>105.1</v>
      </c>
    </row>
    <row r="473" spans="1:17" x14ac:dyDescent="0.3">
      <c r="A473">
        <v>2014</v>
      </c>
      <c r="B473" t="s">
        <v>40</v>
      </c>
      <c r="C473" t="s">
        <v>71</v>
      </c>
      <c r="D473" s="1" t="s">
        <v>20</v>
      </c>
      <c r="E473" s="4">
        <v>0</v>
      </c>
      <c r="F473" s="4">
        <v>114.8</v>
      </c>
      <c r="G473" s="4">
        <v>114.8</v>
      </c>
      <c r="H473" s="1" t="s">
        <v>20</v>
      </c>
      <c r="K473">
        <v>2013</v>
      </c>
      <c r="L473" t="s">
        <v>40</v>
      </c>
      <c r="M473" t="s">
        <v>59</v>
      </c>
      <c r="N473" t="s">
        <v>25</v>
      </c>
      <c r="O473" t="s">
        <v>195</v>
      </c>
      <c r="P473" s="1" t="s">
        <v>30</v>
      </c>
      <c r="Q473">
        <v>106.4</v>
      </c>
    </row>
    <row r="474" spans="1:17" x14ac:dyDescent="0.3">
      <c r="A474">
        <v>2014</v>
      </c>
      <c r="B474" t="s">
        <v>40</v>
      </c>
      <c r="C474" t="s">
        <v>71</v>
      </c>
      <c r="D474" s="1" t="s">
        <v>4</v>
      </c>
      <c r="E474" s="4">
        <v>122.5</v>
      </c>
      <c r="F474" s="4">
        <v>123.9</v>
      </c>
      <c r="G474" s="4">
        <v>126.4</v>
      </c>
      <c r="H474" s="1" t="s">
        <v>188</v>
      </c>
      <c r="K474">
        <v>2013</v>
      </c>
      <c r="L474" t="s">
        <v>40</v>
      </c>
      <c r="M474" t="s">
        <v>59</v>
      </c>
      <c r="N474" t="s">
        <v>25</v>
      </c>
      <c r="O474" t="s">
        <v>195</v>
      </c>
      <c r="P474" s="1" t="s">
        <v>34</v>
      </c>
      <c r="Q474">
        <v>106.1</v>
      </c>
    </row>
    <row r="475" spans="1:17" x14ac:dyDescent="0.3">
      <c r="A475">
        <v>2014</v>
      </c>
      <c r="B475" t="s">
        <v>40</v>
      </c>
      <c r="C475" t="s">
        <v>71</v>
      </c>
      <c r="D475" s="1" t="s">
        <v>6</v>
      </c>
      <c r="E475" s="4">
        <v>120.6</v>
      </c>
      <c r="F475" s="4">
        <v>121</v>
      </c>
      <c r="G475" s="4">
        <v>121.6</v>
      </c>
      <c r="H475" s="1" t="s">
        <v>188</v>
      </c>
      <c r="K475">
        <v>2013</v>
      </c>
      <c r="L475" t="s">
        <v>40</v>
      </c>
      <c r="M475" t="s">
        <v>59</v>
      </c>
      <c r="N475" t="s">
        <v>25</v>
      </c>
      <c r="O475" t="s">
        <v>195</v>
      </c>
      <c r="P475" s="1" t="s">
        <v>33</v>
      </c>
      <c r="Q475">
        <v>105.9</v>
      </c>
    </row>
    <row r="476" spans="1:17" x14ac:dyDescent="0.3">
      <c r="A476">
        <v>2014</v>
      </c>
      <c r="B476" t="s">
        <v>40</v>
      </c>
      <c r="C476" t="s">
        <v>71</v>
      </c>
      <c r="D476" s="1" t="s">
        <v>28</v>
      </c>
      <c r="E476" s="4">
        <v>113.1</v>
      </c>
      <c r="F476" s="4">
        <v>113.3</v>
      </c>
      <c r="G476" s="4">
        <v>113.5</v>
      </c>
      <c r="H476" s="1" t="s">
        <v>192</v>
      </c>
      <c r="K476">
        <v>2013</v>
      </c>
      <c r="L476" t="s">
        <v>40</v>
      </c>
      <c r="M476" t="s">
        <v>59</v>
      </c>
      <c r="N476" t="s">
        <v>12</v>
      </c>
      <c r="O476" t="s">
        <v>188</v>
      </c>
      <c r="P476" s="1" t="s">
        <v>30</v>
      </c>
      <c r="Q476">
        <v>106.4</v>
      </c>
    </row>
    <row r="477" spans="1:17" x14ac:dyDescent="0.3">
      <c r="A477">
        <v>2014</v>
      </c>
      <c r="B477" t="s">
        <v>40</v>
      </c>
      <c r="C477" t="s">
        <v>71</v>
      </c>
      <c r="D477" s="1" t="s">
        <v>13</v>
      </c>
      <c r="E477" s="4">
        <v>115.6</v>
      </c>
      <c r="F477" s="4">
        <v>114.8</v>
      </c>
      <c r="G477" s="4">
        <v>113.8</v>
      </c>
      <c r="H477" s="1" t="s">
        <v>188</v>
      </c>
      <c r="K477">
        <v>2013</v>
      </c>
      <c r="L477" t="s">
        <v>40</v>
      </c>
      <c r="M477" t="s">
        <v>59</v>
      </c>
      <c r="N477" t="s">
        <v>12</v>
      </c>
      <c r="O477" t="s">
        <v>188</v>
      </c>
      <c r="P477" s="1" t="s">
        <v>34</v>
      </c>
      <c r="Q477">
        <v>106.8</v>
      </c>
    </row>
    <row r="478" spans="1:17" x14ac:dyDescent="0.3">
      <c r="A478">
        <v>2014</v>
      </c>
      <c r="B478" t="s">
        <v>40</v>
      </c>
      <c r="C478" t="s">
        <v>71</v>
      </c>
      <c r="D478" s="1" t="s">
        <v>7</v>
      </c>
      <c r="E478" s="4">
        <v>110.4</v>
      </c>
      <c r="F478" s="4">
        <v>107.9</v>
      </c>
      <c r="G478" s="4">
        <v>103.5</v>
      </c>
      <c r="H478" s="1" t="s">
        <v>188</v>
      </c>
      <c r="K478">
        <v>2013</v>
      </c>
      <c r="L478" t="s">
        <v>40</v>
      </c>
      <c r="M478" t="s">
        <v>59</v>
      </c>
      <c r="N478" t="s">
        <v>12</v>
      </c>
      <c r="O478" t="s">
        <v>188</v>
      </c>
      <c r="P478" s="1" t="s">
        <v>33</v>
      </c>
      <c r="Q478">
        <v>107.5</v>
      </c>
    </row>
    <row r="479" spans="1:17" x14ac:dyDescent="0.3">
      <c r="A479">
        <v>2014</v>
      </c>
      <c r="B479" t="s">
        <v>40</v>
      </c>
      <c r="C479" t="s">
        <v>71</v>
      </c>
      <c r="D479" s="1" t="s">
        <v>16</v>
      </c>
      <c r="E479" s="4">
        <v>118</v>
      </c>
      <c r="F479" s="4">
        <v>118.8</v>
      </c>
      <c r="G479" s="4">
        <v>121</v>
      </c>
      <c r="H479" s="1" t="s">
        <v>192</v>
      </c>
      <c r="K479">
        <v>2013</v>
      </c>
      <c r="L479" t="s">
        <v>40</v>
      </c>
      <c r="M479" t="s">
        <v>59</v>
      </c>
      <c r="N479" t="s">
        <v>11</v>
      </c>
      <c r="O479" t="s">
        <v>188</v>
      </c>
      <c r="P479" s="1" t="s">
        <v>30</v>
      </c>
      <c r="Q479">
        <v>104.3</v>
      </c>
    </row>
    <row r="480" spans="1:17" x14ac:dyDescent="0.3">
      <c r="A480">
        <v>2014</v>
      </c>
      <c r="B480" t="s">
        <v>40</v>
      </c>
      <c r="C480" t="s">
        <v>71</v>
      </c>
      <c r="D480" s="1" t="s">
        <v>27</v>
      </c>
      <c r="E480" s="4">
        <v>108.8</v>
      </c>
      <c r="F480" s="4">
        <v>109.2</v>
      </c>
      <c r="G480" s="4">
        <v>109.7</v>
      </c>
      <c r="H480" s="1" t="s">
        <v>192</v>
      </c>
      <c r="K480">
        <v>2013</v>
      </c>
      <c r="L480" t="s">
        <v>40</v>
      </c>
      <c r="M480" t="s">
        <v>59</v>
      </c>
      <c r="N480" t="s">
        <v>11</v>
      </c>
      <c r="O480" t="s">
        <v>188</v>
      </c>
      <c r="P480" s="1" t="s">
        <v>34</v>
      </c>
      <c r="Q480">
        <v>103.3</v>
      </c>
    </row>
    <row r="481" spans="1:17" x14ac:dyDescent="0.3">
      <c r="A481">
        <v>2014</v>
      </c>
      <c r="B481" t="s">
        <v>40</v>
      </c>
      <c r="C481" t="s">
        <v>71</v>
      </c>
      <c r="D481" s="1" t="s">
        <v>14</v>
      </c>
      <c r="E481" s="4">
        <v>120.9</v>
      </c>
      <c r="F481" s="4">
        <v>122.1</v>
      </c>
      <c r="G481" s="4">
        <v>123.4</v>
      </c>
      <c r="H481" s="1" t="s">
        <v>188</v>
      </c>
      <c r="K481">
        <v>2013</v>
      </c>
      <c r="L481" t="s">
        <v>40</v>
      </c>
      <c r="M481" t="s">
        <v>59</v>
      </c>
      <c r="N481" t="s">
        <v>11</v>
      </c>
      <c r="O481" t="s">
        <v>188</v>
      </c>
      <c r="P481" s="1" t="s">
        <v>33</v>
      </c>
      <c r="Q481">
        <v>101.3</v>
      </c>
    </row>
    <row r="482" spans="1:17" x14ac:dyDescent="0.3">
      <c r="A482">
        <v>2014</v>
      </c>
      <c r="B482" t="s">
        <v>40</v>
      </c>
      <c r="C482" t="s">
        <v>71</v>
      </c>
      <c r="D482" s="1" t="s">
        <v>10</v>
      </c>
      <c r="E482" s="4">
        <v>113.2</v>
      </c>
      <c r="F482" s="4">
        <v>113.2</v>
      </c>
      <c r="G482" s="4">
        <v>113.1</v>
      </c>
      <c r="H482" s="1" t="s">
        <v>188</v>
      </c>
      <c r="K482">
        <v>2013</v>
      </c>
      <c r="L482" t="s">
        <v>40</v>
      </c>
      <c r="M482" t="s">
        <v>59</v>
      </c>
      <c r="N482" t="s">
        <v>24</v>
      </c>
      <c r="O482" t="s">
        <v>191</v>
      </c>
      <c r="P482" s="1" t="s">
        <v>30</v>
      </c>
      <c r="Q482">
        <v>106.8</v>
      </c>
    </row>
    <row r="483" spans="1:17" x14ac:dyDescent="0.3">
      <c r="A483">
        <v>2014</v>
      </c>
      <c r="B483" t="s">
        <v>40</v>
      </c>
      <c r="C483" t="s">
        <v>71</v>
      </c>
      <c r="D483" s="1" t="s">
        <v>25</v>
      </c>
      <c r="E483" s="4">
        <v>111.8</v>
      </c>
      <c r="F483" s="4">
        <v>112.1</v>
      </c>
      <c r="G483" s="4">
        <v>112.4</v>
      </c>
      <c r="H483" s="1" t="s">
        <v>195</v>
      </c>
      <c r="K483">
        <v>2013</v>
      </c>
      <c r="L483" t="s">
        <v>40</v>
      </c>
      <c r="M483" t="s">
        <v>59</v>
      </c>
      <c r="N483" t="s">
        <v>24</v>
      </c>
      <c r="O483" t="s">
        <v>191</v>
      </c>
      <c r="P483" s="1" t="s">
        <v>34</v>
      </c>
      <c r="Q483">
        <v>107.1</v>
      </c>
    </row>
    <row r="484" spans="1:17" x14ac:dyDescent="0.3">
      <c r="A484">
        <v>2014</v>
      </c>
      <c r="B484" t="s">
        <v>40</v>
      </c>
      <c r="C484" t="s">
        <v>71</v>
      </c>
      <c r="D484" s="1" t="s">
        <v>12</v>
      </c>
      <c r="E484" s="4">
        <v>113.3</v>
      </c>
      <c r="F484" s="4">
        <v>115.5</v>
      </c>
      <c r="G484" s="4">
        <v>120</v>
      </c>
      <c r="H484" s="1" t="s">
        <v>188</v>
      </c>
      <c r="K484">
        <v>2013</v>
      </c>
      <c r="L484" t="s">
        <v>40</v>
      </c>
      <c r="M484" t="s">
        <v>59</v>
      </c>
      <c r="N484" t="s">
        <v>24</v>
      </c>
      <c r="O484" t="s">
        <v>191</v>
      </c>
      <c r="P484" s="1" t="s">
        <v>33</v>
      </c>
      <c r="Q484">
        <v>107.3</v>
      </c>
    </row>
    <row r="485" spans="1:17" x14ac:dyDescent="0.3">
      <c r="A485">
        <v>2014</v>
      </c>
      <c r="B485" t="s">
        <v>40</v>
      </c>
      <c r="C485" t="s">
        <v>71</v>
      </c>
      <c r="D485" s="1" t="s">
        <v>11</v>
      </c>
      <c r="E485" s="4">
        <v>104.8</v>
      </c>
      <c r="F485" s="4">
        <v>104.1</v>
      </c>
      <c r="G485" s="4">
        <v>102.7</v>
      </c>
      <c r="H485" s="1" t="s">
        <v>188</v>
      </c>
      <c r="K485">
        <v>2013</v>
      </c>
      <c r="L485" t="s">
        <v>40</v>
      </c>
      <c r="M485" t="s">
        <v>59</v>
      </c>
      <c r="N485" t="s">
        <v>9</v>
      </c>
      <c r="O485" t="s">
        <v>188</v>
      </c>
      <c r="P485" s="1" t="s">
        <v>30</v>
      </c>
      <c r="Q485">
        <v>129.19999999999999</v>
      </c>
    </row>
    <row r="486" spans="1:17" x14ac:dyDescent="0.3">
      <c r="A486">
        <v>2014</v>
      </c>
      <c r="B486" t="s">
        <v>40</v>
      </c>
      <c r="C486" t="s">
        <v>71</v>
      </c>
      <c r="D486" s="1" t="s">
        <v>24</v>
      </c>
      <c r="E486" s="4">
        <v>113.2</v>
      </c>
      <c r="F486" s="4">
        <v>113.1</v>
      </c>
      <c r="G486" s="4">
        <v>113</v>
      </c>
      <c r="H486" s="1" t="s">
        <v>191</v>
      </c>
      <c r="K486">
        <v>2013</v>
      </c>
      <c r="L486" t="s">
        <v>40</v>
      </c>
      <c r="M486" t="s">
        <v>59</v>
      </c>
      <c r="N486" t="s">
        <v>9</v>
      </c>
      <c r="O486" t="s">
        <v>188</v>
      </c>
      <c r="P486" s="1" t="s">
        <v>34</v>
      </c>
      <c r="Q486">
        <v>140</v>
      </c>
    </row>
    <row r="487" spans="1:17" x14ac:dyDescent="0.3">
      <c r="A487">
        <v>2014</v>
      </c>
      <c r="B487" t="s">
        <v>40</v>
      </c>
      <c r="C487" t="s">
        <v>71</v>
      </c>
      <c r="D487" s="1" t="s">
        <v>9</v>
      </c>
      <c r="E487" s="4">
        <v>150.1</v>
      </c>
      <c r="F487" s="4">
        <v>157.69999999999999</v>
      </c>
      <c r="G487" s="4">
        <v>172.4</v>
      </c>
      <c r="H487" s="1" t="s">
        <v>188</v>
      </c>
      <c r="K487">
        <v>2013</v>
      </c>
      <c r="L487" t="s">
        <v>40</v>
      </c>
      <c r="M487" t="s">
        <v>59</v>
      </c>
      <c r="N487" t="s">
        <v>9</v>
      </c>
      <c r="O487" t="s">
        <v>188</v>
      </c>
      <c r="P487" s="1" t="s">
        <v>33</v>
      </c>
      <c r="Q487">
        <v>160.9</v>
      </c>
    </row>
    <row r="488" spans="1:17" x14ac:dyDescent="0.3">
      <c r="A488">
        <v>2014</v>
      </c>
      <c r="B488" t="s">
        <v>39</v>
      </c>
      <c r="C488" t="s">
        <v>72</v>
      </c>
      <c r="D488" s="1" t="s">
        <v>3</v>
      </c>
      <c r="E488" s="4">
        <v>120.7</v>
      </c>
      <c r="F488" s="4">
        <v>121.5</v>
      </c>
      <c r="G488" s="4">
        <v>123.1</v>
      </c>
      <c r="H488" s="1" t="s">
        <v>188</v>
      </c>
      <c r="K488">
        <v>2013</v>
      </c>
      <c r="L488" t="s">
        <v>39</v>
      </c>
      <c r="M488" t="s">
        <v>60</v>
      </c>
      <c r="N488" t="s">
        <v>3</v>
      </c>
      <c r="O488" t="s">
        <v>188</v>
      </c>
      <c r="P488" s="1" t="s">
        <v>30</v>
      </c>
      <c r="Q488">
        <v>112.3</v>
      </c>
    </row>
    <row r="489" spans="1:17" x14ac:dyDescent="0.3">
      <c r="A489">
        <v>2014</v>
      </c>
      <c r="B489" t="s">
        <v>39</v>
      </c>
      <c r="C489" t="s">
        <v>72</v>
      </c>
      <c r="D489" s="1" t="s">
        <v>17</v>
      </c>
      <c r="E489" s="4">
        <v>119.7</v>
      </c>
      <c r="F489" s="4">
        <v>118.8</v>
      </c>
      <c r="G489" s="4">
        <v>117.4</v>
      </c>
      <c r="H489" s="1" t="s">
        <v>189</v>
      </c>
      <c r="K489">
        <v>2013</v>
      </c>
      <c r="L489" t="s">
        <v>39</v>
      </c>
      <c r="M489" t="s">
        <v>60</v>
      </c>
      <c r="N489" t="s">
        <v>3</v>
      </c>
      <c r="O489" t="s">
        <v>188</v>
      </c>
      <c r="P489" s="1" t="s">
        <v>34</v>
      </c>
      <c r="Q489">
        <v>113.8</v>
      </c>
    </row>
    <row r="490" spans="1:17" x14ac:dyDescent="0.3">
      <c r="A490">
        <v>2014</v>
      </c>
      <c r="B490" t="s">
        <v>39</v>
      </c>
      <c r="C490" t="s">
        <v>72</v>
      </c>
      <c r="D490" s="1" t="s">
        <v>19</v>
      </c>
      <c r="E490" s="4">
        <v>119.3</v>
      </c>
      <c r="F490" s="4">
        <v>118.3</v>
      </c>
      <c r="G490" s="4">
        <v>116.7</v>
      </c>
      <c r="H490" s="1" t="s">
        <v>189</v>
      </c>
      <c r="K490">
        <v>2013</v>
      </c>
      <c r="L490" t="s">
        <v>39</v>
      </c>
      <c r="M490" t="s">
        <v>60</v>
      </c>
      <c r="N490" t="s">
        <v>3</v>
      </c>
      <c r="O490" t="s">
        <v>188</v>
      </c>
      <c r="P490" s="1" t="s">
        <v>33</v>
      </c>
      <c r="Q490">
        <v>117</v>
      </c>
    </row>
    <row r="491" spans="1:17" x14ac:dyDescent="0.3">
      <c r="A491">
        <v>2014</v>
      </c>
      <c r="B491" t="s">
        <v>39</v>
      </c>
      <c r="C491" t="s">
        <v>72</v>
      </c>
      <c r="D491" s="1" t="s">
        <v>26</v>
      </c>
      <c r="E491" s="4">
        <v>114.3</v>
      </c>
      <c r="F491" s="4">
        <v>114.8</v>
      </c>
      <c r="G491" s="4">
        <v>115.1</v>
      </c>
      <c r="H491" s="1" t="s">
        <v>26</v>
      </c>
      <c r="K491">
        <v>2013</v>
      </c>
      <c r="L491" t="s">
        <v>39</v>
      </c>
      <c r="M491" t="s">
        <v>60</v>
      </c>
      <c r="N491" t="s">
        <v>17</v>
      </c>
      <c r="O491" t="s">
        <v>189</v>
      </c>
      <c r="P491" s="1" t="s">
        <v>30</v>
      </c>
      <c r="Q491">
        <v>109.7</v>
      </c>
    </row>
    <row r="492" spans="1:17" x14ac:dyDescent="0.3">
      <c r="A492">
        <v>2014</v>
      </c>
      <c r="B492" t="s">
        <v>39</v>
      </c>
      <c r="C492" t="s">
        <v>72</v>
      </c>
      <c r="D492" s="1" t="s">
        <v>5</v>
      </c>
      <c r="E492" s="4">
        <v>116.1</v>
      </c>
      <c r="F492" s="4">
        <v>115.8</v>
      </c>
      <c r="G492" s="4">
        <v>115.4</v>
      </c>
      <c r="H492" s="1" t="s">
        <v>188</v>
      </c>
      <c r="K492">
        <v>2013</v>
      </c>
      <c r="L492" t="s">
        <v>39</v>
      </c>
      <c r="M492" t="s">
        <v>60</v>
      </c>
      <c r="N492" t="s">
        <v>17</v>
      </c>
      <c r="O492" t="s">
        <v>189</v>
      </c>
      <c r="P492" s="1" t="s">
        <v>34</v>
      </c>
      <c r="Q492">
        <v>109.5</v>
      </c>
    </row>
    <row r="493" spans="1:17" x14ac:dyDescent="0.3">
      <c r="A493">
        <v>2014</v>
      </c>
      <c r="B493" t="s">
        <v>39</v>
      </c>
      <c r="C493" t="s">
        <v>72</v>
      </c>
      <c r="D493" s="1" t="s">
        <v>15</v>
      </c>
      <c r="E493" s="4">
        <v>119.5</v>
      </c>
      <c r="F493" s="4">
        <v>120.4</v>
      </c>
      <c r="G493" s="4">
        <v>122</v>
      </c>
      <c r="H493" s="1" t="s">
        <v>188</v>
      </c>
      <c r="K493">
        <v>2013</v>
      </c>
      <c r="L493" t="s">
        <v>39</v>
      </c>
      <c r="M493" t="s">
        <v>60</v>
      </c>
      <c r="N493" t="s">
        <v>17</v>
      </c>
      <c r="O493" t="s">
        <v>189</v>
      </c>
      <c r="P493" s="1" t="s">
        <v>33</v>
      </c>
      <c r="Q493">
        <v>109.2</v>
      </c>
    </row>
    <row r="494" spans="1:17" x14ac:dyDescent="0.3">
      <c r="A494">
        <v>2014</v>
      </c>
      <c r="B494" t="s">
        <v>39</v>
      </c>
      <c r="C494" t="s">
        <v>72</v>
      </c>
      <c r="D494" s="1" t="s">
        <v>18</v>
      </c>
      <c r="E494" s="4">
        <v>117.3</v>
      </c>
      <c r="F494" s="4">
        <v>115.6</v>
      </c>
      <c r="G494" s="4">
        <v>113.2</v>
      </c>
      <c r="H494" s="1" t="s">
        <v>189</v>
      </c>
      <c r="K494">
        <v>2013</v>
      </c>
      <c r="L494" t="s">
        <v>39</v>
      </c>
      <c r="M494" t="s">
        <v>60</v>
      </c>
      <c r="N494" t="s">
        <v>19</v>
      </c>
      <c r="O494" t="s">
        <v>189</v>
      </c>
      <c r="P494" s="1" t="s">
        <v>30</v>
      </c>
      <c r="Q494">
        <v>109.5</v>
      </c>
    </row>
    <row r="495" spans="1:17" x14ac:dyDescent="0.3">
      <c r="A495">
        <v>2014</v>
      </c>
      <c r="B495" t="s">
        <v>39</v>
      </c>
      <c r="C495" t="s">
        <v>72</v>
      </c>
      <c r="D495" s="1" t="s">
        <v>8</v>
      </c>
      <c r="E495" s="4">
        <v>125.8</v>
      </c>
      <c r="F495" s="4">
        <v>128.30000000000001</v>
      </c>
      <c r="G495" s="4">
        <v>131.19999999999999</v>
      </c>
      <c r="H495" s="1" t="s">
        <v>188</v>
      </c>
      <c r="K495">
        <v>2013</v>
      </c>
      <c r="L495" t="s">
        <v>39</v>
      </c>
      <c r="M495" t="s">
        <v>60</v>
      </c>
      <c r="N495" t="s">
        <v>19</v>
      </c>
      <c r="O495" t="s">
        <v>189</v>
      </c>
      <c r="P495" s="1" t="s">
        <v>34</v>
      </c>
      <c r="Q495">
        <v>109.3</v>
      </c>
    </row>
    <row r="496" spans="1:17" x14ac:dyDescent="0.3">
      <c r="A496">
        <v>2014</v>
      </c>
      <c r="B496" t="s">
        <v>39</v>
      </c>
      <c r="C496" t="s">
        <v>72</v>
      </c>
      <c r="D496" s="1" t="s">
        <v>21</v>
      </c>
      <c r="E496" s="4">
        <v>114.4</v>
      </c>
      <c r="F496" s="4">
        <v>113.2</v>
      </c>
      <c r="G496" s="4">
        <v>111.2</v>
      </c>
      <c r="H496" s="1" t="s">
        <v>190</v>
      </c>
      <c r="K496">
        <v>2013</v>
      </c>
      <c r="L496" t="s">
        <v>39</v>
      </c>
      <c r="M496" t="s">
        <v>60</v>
      </c>
      <c r="N496" t="s">
        <v>19</v>
      </c>
      <c r="O496" t="s">
        <v>189</v>
      </c>
      <c r="P496" s="1" t="s">
        <v>33</v>
      </c>
      <c r="Q496">
        <v>108.9</v>
      </c>
    </row>
    <row r="497" spans="1:17" x14ac:dyDescent="0.3">
      <c r="A497">
        <v>2014</v>
      </c>
      <c r="B497" t="s">
        <v>39</v>
      </c>
      <c r="C497" t="s">
        <v>72</v>
      </c>
      <c r="D497" s="1" t="s">
        <v>29</v>
      </c>
      <c r="E497" s="4">
        <v>117</v>
      </c>
      <c r="F497" s="4">
        <v>116.7</v>
      </c>
      <c r="G497" s="4">
        <v>116.4</v>
      </c>
      <c r="H497" s="1" t="s">
        <v>206</v>
      </c>
      <c r="K497">
        <v>2013</v>
      </c>
      <c r="L497" t="s">
        <v>39</v>
      </c>
      <c r="M497" t="s">
        <v>60</v>
      </c>
      <c r="N497" t="s">
        <v>26</v>
      </c>
      <c r="O497" t="s">
        <v>26</v>
      </c>
      <c r="P497" s="1" t="s">
        <v>30</v>
      </c>
      <c r="Q497">
        <v>106.5</v>
      </c>
    </row>
    <row r="498" spans="1:17" x14ac:dyDescent="0.3">
      <c r="A498">
        <v>2014</v>
      </c>
      <c r="B498" t="s">
        <v>39</v>
      </c>
      <c r="C498" t="s">
        <v>72</v>
      </c>
      <c r="D498" s="1" t="s">
        <v>23</v>
      </c>
      <c r="E498" s="4">
        <v>112.8</v>
      </c>
      <c r="F498" s="4">
        <v>112.3</v>
      </c>
      <c r="G498" s="4">
        <v>111.4</v>
      </c>
      <c r="H498" s="1" t="s">
        <v>23</v>
      </c>
      <c r="K498">
        <v>2013</v>
      </c>
      <c r="L498" t="s">
        <v>39</v>
      </c>
      <c r="M498" t="s">
        <v>60</v>
      </c>
      <c r="N498" t="s">
        <v>26</v>
      </c>
      <c r="O498" t="s">
        <v>26</v>
      </c>
      <c r="P498" s="1" t="s">
        <v>34</v>
      </c>
      <c r="Q498">
        <v>107.4</v>
      </c>
    </row>
    <row r="499" spans="1:17" x14ac:dyDescent="0.3">
      <c r="A499">
        <v>2014</v>
      </c>
      <c r="B499" t="s">
        <v>39</v>
      </c>
      <c r="C499" t="s">
        <v>72</v>
      </c>
      <c r="D499" s="1" t="s">
        <v>22</v>
      </c>
      <c r="E499" s="4">
        <v>114.9</v>
      </c>
      <c r="F499" s="4">
        <v>114.6</v>
      </c>
      <c r="G499" s="4">
        <v>114.3</v>
      </c>
      <c r="H499" s="1" t="s">
        <v>20</v>
      </c>
      <c r="K499">
        <v>2013</v>
      </c>
      <c r="L499" t="s">
        <v>39</v>
      </c>
      <c r="M499" t="s">
        <v>60</v>
      </c>
      <c r="N499" t="s">
        <v>26</v>
      </c>
      <c r="O499" t="s">
        <v>26</v>
      </c>
      <c r="P499" s="1" t="s">
        <v>33</v>
      </c>
      <c r="Q499">
        <v>108.1</v>
      </c>
    </row>
    <row r="500" spans="1:17" x14ac:dyDescent="0.3">
      <c r="A500">
        <v>2014</v>
      </c>
      <c r="B500" t="s">
        <v>39</v>
      </c>
      <c r="C500" t="s">
        <v>72</v>
      </c>
      <c r="D500" s="1" t="s">
        <v>20</v>
      </c>
      <c r="E500" s="4">
        <v>0</v>
      </c>
      <c r="F500" s="4">
        <v>113.9</v>
      </c>
      <c r="G500" s="4">
        <v>113.9</v>
      </c>
      <c r="H500" s="1" t="s">
        <v>20</v>
      </c>
      <c r="K500">
        <v>2013</v>
      </c>
      <c r="L500" t="s">
        <v>39</v>
      </c>
      <c r="M500" t="s">
        <v>60</v>
      </c>
      <c r="N500" t="s">
        <v>5</v>
      </c>
      <c r="O500" t="s">
        <v>188</v>
      </c>
      <c r="P500" s="1" t="s">
        <v>30</v>
      </c>
      <c r="Q500">
        <v>108.1</v>
      </c>
    </row>
    <row r="501" spans="1:17" x14ac:dyDescent="0.3">
      <c r="A501">
        <v>2014</v>
      </c>
      <c r="B501" t="s">
        <v>39</v>
      </c>
      <c r="C501" t="s">
        <v>72</v>
      </c>
      <c r="D501" s="1" t="s">
        <v>4</v>
      </c>
      <c r="E501" s="4">
        <v>121.6</v>
      </c>
      <c r="F501" s="4">
        <v>123.1</v>
      </c>
      <c r="G501" s="4">
        <v>125.9</v>
      </c>
      <c r="H501" s="1" t="s">
        <v>188</v>
      </c>
      <c r="K501">
        <v>2013</v>
      </c>
      <c r="L501" t="s">
        <v>39</v>
      </c>
      <c r="M501" t="s">
        <v>60</v>
      </c>
      <c r="N501" t="s">
        <v>5</v>
      </c>
      <c r="O501" t="s">
        <v>188</v>
      </c>
      <c r="P501" s="1" t="s">
        <v>34</v>
      </c>
      <c r="Q501">
        <v>109.8</v>
      </c>
    </row>
    <row r="502" spans="1:17" x14ac:dyDescent="0.3">
      <c r="A502">
        <v>2014</v>
      </c>
      <c r="B502" t="s">
        <v>39</v>
      </c>
      <c r="C502" t="s">
        <v>72</v>
      </c>
      <c r="D502" s="1" t="s">
        <v>6</v>
      </c>
      <c r="E502" s="4">
        <v>119.3</v>
      </c>
      <c r="F502" s="4">
        <v>119.7</v>
      </c>
      <c r="G502" s="4">
        <v>120.4</v>
      </c>
      <c r="H502" s="1" t="s">
        <v>188</v>
      </c>
      <c r="K502">
        <v>2013</v>
      </c>
      <c r="L502" t="s">
        <v>39</v>
      </c>
      <c r="M502" t="s">
        <v>60</v>
      </c>
      <c r="N502" t="s">
        <v>5</v>
      </c>
      <c r="O502" t="s">
        <v>188</v>
      </c>
      <c r="P502" s="1" t="s">
        <v>33</v>
      </c>
      <c r="Q502">
        <v>112.5</v>
      </c>
    </row>
    <row r="503" spans="1:17" x14ac:dyDescent="0.3">
      <c r="A503">
        <v>2014</v>
      </c>
      <c r="B503" t="s">
        <v>39</v>
      </c>
      <c r="C503" t="s">
        <v>72</v>
      </c>
      <c r="D503" s="1" t="s">
        <v>28</v>
      </c>
      <c r="E503" s="4">
        <v>112.3</v>
      </c>
      <c r="F503" s="4">
        <v>112.3</v>
      </c>
      <c r="G503" s="4">
        <v>112.2</v>
      </c>
      <c r="H503" s="1" t="s">
        <v>192</v>
      </c>
      <c r="K503">
        <v>2013</v>
      </c>
      <c r="L503" t="s">
        <v>39</v>
      </c>
      <c r="M503" t="s">
        <v>60</v>
      </c>
      <c r="N503" t="s">
        <v>15</v>
      </c>
      <c r="O503" t="s">
        <v>188</v>
      </c>
      <c r="P503" s="1" t="s">
        <v>30</v>
      </c>
      <c r="Q503">
        <v>110.6</v>
      </c>
    </row>
    <row r="504" spans="1:17" x14ac:dyDescent="0.3">
      <c r="A504">
        <v>2014</v>
      </c>
      <c r="B504" t="s">
        <v>39</v>
      </c>
      <c r="C504" t="s">
        <v>72</v>
      </c>
      <c r="D504" s="1" t="s">
        <v>13</v>
      </c>
      <c r="E504" s="4">
        <v>114.9</v>
      </c>
      <c r="F504" s="4">
        <v>114.2</v>
      </c>
      <c r="G504" s="4">
        <v>113.2</v>
      </c>
      <c r="H504" s="1" t="s">
        <v>188</v>
      </c>
      <c r="K504">
        <v>2013</v>
      </c>
      <c r="L504" t="s">
        <v>39</v>
      </c>
      <c r="M504" t="s">
        <v>60</v>
      </c>
      <c r="N504" t="s">
        <v>15</v>
      </c>
      <c r="O504" t="s">
        <v>188</v>
      </c>
      <c r="P504" s="1" t="s">
        <v>34</v>
      </c>
      <c r="Q504">
        <v>112.2</v>
      </c>
    </row>
    <row r="505" spans="1:17" x14ac:dyDescent="0.3">
      <c r="A505">
        <v>2014</v>
      </c>
      <c r="B505" t="s">
        <v>39</v>
      </c>
      <c r="C505" t="s">
        <v>72</v>
      </c>
      <c r="D505" s="1" t="s">
        <v>7</v>
      </c>
      <c r="E505" s="4">
        <v>110.3</v>
      </c>
      <c r="F505" s="4">
        <v>107.8</v>
      </c>
      <c r="G505" s="4">
        <v>103.4</v>
      </c>
      <c r="H505" s="1" t="s">
        <v>188</v>
      </c>
      <c r="K505">
        <v>2013</v>
      </c>
      <c r="L505" t="s">
        <v>39</v>
      </c>
      <c r="M505" t="s">
        <v>60</v>
      </c>
      <c r="N505" t="s">
        <v>15</v>
      </c>
      <c r="O505" t="s">
        <v>188</v>
      </c>
      <c r="P505" s="1" t="s">
        <v>33</v>
      </c>
      <c r="Q505">
        <v>115</v>
      </c>
    </row>
    <row r="506" spans="1:17" x14ac:dyDescent="0.3">
      <c r="A506">
        <v>2014</v>
      </c>
      <c r="B506" t="s">
        <v>39</v>
      </c>
      <c r="C506" t="s">
        <v>72</v>
      </c>
      <c r="D506" s="1" t="s">
        <v>16</v>
      </c>
      <c r="E506" s="4">
        <v>117.3</v>
      </c>
      <c r="F506" s="4">
        <v>117.8</v>
      </c>
      <c r="G506" s="4">
        <v>119</v>
      </c>
      <c r="H506" s="1" t="s">
        <v>192</v>
      </c>
      <c r="K506">
        <v>2013</v>
      </c>
      <c r="L506" t="s">
        <v>39</v>
      </c>
      <c r="M506" t="s">
        <v>60</v>
      </c>
      <c r="N506" t="s">
        <v>18</v>
      </c>
      <c r="O506" t="s">
        <v>189</v>
      </c>
      <c r="P506" s="1" t="s">
        <v>30</v>
      </c>
      <c r="Q506">
        <v>108.8</v>
      </c>
    </row>
    <row r="507" spans="1:17" x14ac:dyDescent="0.3">
      <c r="A507">
        <v>2014</v>
      </c>
      <c r="B507" t="s">
        <v>39</v>
      </c>
      <c r="C507" t="s">
        <v>72</v>
      </c>
      <c r="D507" s="1" t="s">
        <v>27</v>
      </c>
      <c r="E507" s="4">
        <v>108</v>
      </c>
      <c r="F507" s="4">
        <v>108.3</v>
      </c>
      <c r="G507" s="4">
        <v>108.7</v>
      </c>
      <c r="H507" s="1" t="s">
        <v>192</v>
      </c>
      <c r="K507">
        <v>2013</v>
      </c>
      <c r="L507" t="s">
        <v>39</v>
      </c>
      <c r="M507" t="s">
        <v>60</v>
      </c>
      <c r="N507" t="s">
        <v>18</v>
      </c>
      <c r="O507" t="s">
        <v>189</v>
      </c>
      <c r="P507" s="1" t="s">
        <v>34</v>
      </c>
      <c r="Q507">
        <v>108.1</v>
      </c>
    </row>
    <row r="508" spans="1:17" x14ac:dyDescent="0.3">
      <c r="A508">
        <v>2014</v>
      </c>
      <c r="B508" t="s">
        <v>39</v>
      </c>
      <c r="C508" t="s">
        <v>72</v>
      </c>
      <c r="D508" s="1" t="s">
        <v>14</v>
      </c>
      <c r="E508" s="4">
        <v>120.1</v>
      </c>
      <c r="F508" s="4">
        <v>121.2</v>
      </c>
      <c r="G508" s="4">
        <v>122.4</v>
      </c>
      <c r="H508" s="1" t="s">
        <v>188</v>
      </c>
      <c r="K508">
        <v>2013</v>
      </c>
      <c r="L508" t="s">
        <v>39</v>
      </c>
      <c r="M508" t="s">
        <v>60</v>
      </c>
      <c r="N508" t="s">
        <v>18</v>
      </c>
      <c r="O508" t="s">
        <v>189</v>
      </c>
      <c r="P508" s="1" t="s">
        <v>33</v>
      </c>
      <c r="Q508">
        <v>107.2</v>
      </c>
    </row>
    <row r="509" spans="1:17" x14ac:dyDescent="0.3">
      <c r="A509">
        <v>2014</v>
      </c>
      <c r="B509" t="s">
        <v>39</v>
      </c>
      <c r="C509" t="s">
        <v>72</v>
      </c>
      <c r="D509" s="1" t="s">
        <v>10</v>
      </c>
      <c r="E509" s="4">
        <v>112.2</v>
      </c>
      <c r="F509" s="4">
        <v>112.4</v>
      </c>
      <c r="G509" s="4">
        <v>112.8</v>
      </c>
      <c r="H509" s="1" t="s">
        <v>188</v>
      </c>
      <c r="K509">
        <v>2013</v>
      </c>
      <c r="L509" t="s">
        <v>39</v>
      </c>
      <c r="M509" t="s">
        <v>60</v>
      </c>
      <c r="N509" t="s">
        <v>8</v>
      </c>
      <c r="O509" t="s">
        <v>188</v>
      </c>
      <c r="P509" s="1" t="s">
        <v>30</v>
      </c>
      <c r="Q509">
        <v>109.2</v>
      </c>
    </row>
    <row r="510" spans="1:17" x14ac:dyDescent="0.3">
      <c r="A510">
        <v>2014</v>
      </c>
      <c r="B510" t="s">
        <v>39</v>
      </c>
      <c r="C510" t="s">
        <v>72</v>
      </c>
      <c r="D510" s="1" t="s">
        <v>25</v>
      </c>
      <c r="E510" s="4">
        <v>111.4</v>
      </c>
      <c r="F510" s="4">
        <v>111.6</v>
      </c>
      <c r="G510" s="4">
        <v>111.8</v>
      </c>
      <c r="H510" s="1" t="s">
        <v>195</v>
      </c>
      <c r="K510">
        <v>2013</v>
      </c>
      <c r="L510" t="s">
        <v>39</v>
      </c>
      <c r="M510" t="s">
        <v>60</v>
      </c>
      <c r="N510" t="s">
        <v>8</v>
      </c>
      <c r="O510" t="s">
        <v>188</v>
      </c>
      <c r="P510" s="1" t="s">
        <v>34</v>
      </c>
      <c r="Q510">
        <v>110.7</v>
      </c>
    </row>
    <row r="511" spans="1:17" x14ac:dyDescent="0.3">
      <c r="A511">
        <v>2014</v>
      </c>
      <c r="B511" t="s">
        <v>39</v>
      </c>
      <c r="C511" t="s">
        <v>72</v>
      </c>
      <c r="D511" s="1" t="s">
        <v>12</v>
      </c>
      <c r="E511" s="4">
        <v>112.3</v>
      </c>
      <c r="F511" s="4">
        <v>114.3</v>
      </c>
      <c r="G511" s="4">
        <v>118.3</v>
      </c>
      <c r="H511" s="1" t="s">
        <v>188</v>
      </c>
      <c r="K511">
        <v>2013</v>
      </c>
      <c r="L511" t="s">
        <v>39</v>
      </c>
      <c r="M511" t="s">
        <v>60</v>
      </c>
      <c r="N511" t="s">
        <v>8</v>
      </c>
      <c r="O511" t="s">
        <v>188</v>
      </c>
      <c r="P511" s="1" t="s">
        <v>33</v>
      </c>
      <c r="Q511">
        <v>112.4</v>
      </c>
    </row>
    <row r="512" spans="1:17" x14ac:dyDescent="0.3">
      <c r="A512">
        <v>2014</v>
      </c>
      <c r="B512" t="s">
        <v>39</v>
      </c>
      <c r="C512" t="s">
        <v>72</v>
      </c>
      <c r="D512" s="1" t="s">
        <v>11</v>
      </c>
      <c r="E512" s="4">
        <v>103.6</v>
      </c>
      <c r="F512" s="4">
        <v>102.9</v>
      </c>
      <c r="G512" s="4">
        <v>101.4</v>
      </c>
      <c r="H512" s="1" t="s">
        <v>188</v>
      </c>
      <c r="K512">
        <v>2013</v>
      </c>
      <c r="L512" t="s">
        <v>39</v>
      </c>
      <c r="M512" t="s">
        <v>60</v>
      </c>
      <c r="N512" t="s">
        <v>21</v>
      </c>
      <c r="O512" t="s">
        <v>190</v>
      </c>
      <c r="P512" s="1" t="s">
        <v>30</v>
      </c>
      <c r="Q512">
        <v>108.5</v>
      </c>
    </row>
    <row r="513" spans="1:17" x14ac:dyDescent="0.3">
      <c r="A513">
        <v>2014</v>
      </c>
      <c r="B513" t="s">
        <v>39</v>
      </c>
      <c r="C513" t="s">
        <v>72</v>
      </c>
      <c r="D513" s="1" t="s">
        <v>24</v>
      </c>
      <c r="E513" s="4">
        <v>112.2</v>
      </c>
      <c r="F513" s="4">
        <v>111.8</v>
      </c>
      <c r="G513" s="4">
        <v>111.5</v>
      </c>
      <c r="H513" s="1" t="s">
        <v>191</v>
      </c>
      <c r="K513">
        <v>2013</v>
      </c>
      <c r="L513" t="s">
        <v>39</v>
      </c>
      <c r="M513" t="s">
        <v>60</v>
      </c>
      <c r="N513" t="s">
        <v>21</v>
      </c>
      <c r="O513" t="s">
        <v>190</v>
      </c>
      <c r="P513" s="1" t="s">
        <v>34</v>
      </c>
      <c r="Q513">
        <v>108.3</v>
      </c>
    </row>
    <row r="514" spans="1:17" x14ac:dyDescent="0.3">
      <c r="A514">
        <v>2014</v>
      </c>
      <c r="B514" t="s">
        <v>39</v>
      </c>
      <c r="C514" t="s">
        <v>72</v>
      </c>
      <c r="D514" s="1" t="s">
        <v>9</v>
      </c>
      <c r="E514" s="4">
        <v>129.30000000000001</v>
      </c>
      <c r="F514" s="4">
        <v>132.1</v>
      </c>
      <c r="G514" s="4">
        <v>137.5</v>
      </c>
      <c r="H514" s="1" t="s">
        <v>188</v>
      </c>
      <c r="K514">
        <v>2013</v>
      </c>
      <c r="L514" t="s">
        <v>39</v>
      </c>
      <c r="M514" t="s">
        <v>60</v>
      </c>
      <c r="N514" t="s">
        <v>21</v>
      </c>
      <c r="O514" t="s">
        <v>190</v>
      </c>
      <c r="P514" s="1" t="s">
        <v>33</v>
      </c>
      <c r="Q514">
        <v>108</v>
      </c>
    </row>
    <row r="515" spans="1:17" x14ac:dyDescent="0.3">
      <c r="A515">
        <v>2014</v>
      </c>
      <c r="B515" t="s">
        <v>36</v>
      </c>
      <c r="C515" t="s">
        <v>73</v>
      </c>
      <c r="D515" s="1" t="s">
        <v>3</v>
      </c>
      <c r="E515" s="4">
        <v>120.1</v>
      </c>
      <c r="F515" s="4">
        <v>120.7</v>
      </c>
      <c r="G515" s="4">
        <v>122.1</v>
      </c>
      <c r="H515" s="1" t="s">
        <v>188</v>
      </c>
      <c r="K515">
        <v>2013</v>
      </c>
      <c r="L515" t="s">
        <v>39</v>
      </c>
      <c r="M515" t="s">
        <v>60</v>
      </c>
      <c r="N515" t="s">
        <v>29</v>
      </c>
      <c r="O515" t="s">
        <v>206</v>
      </c>
      <c r="P515" s="1" t="s">
        <v>30</v>
      </c>
      <c r="Q515">
        <v>108.9</v>
      </c>
    </row>
    <row r="516" spans="1:17" x14ac:dyDescent="0.3">
      <c r="A516">
        <v>2014</v>
      </c>
      <c r="B516" t="s">
        <v>36</v>
      </c>
      <c r="C516" t="s">
        <v>73</v>
      </c>
      <c r="D516" s="1" t="s">
        <v>17</v>
      </c>
      <c r="E516" s="4">
        <v>117.5</v>
      </c>
      <c r="F516" s="4">
        <v>116.8</v>
      </c>
      <c r="G516" s="4">
        <v>115.8</v>
      </c>
      <c r="H516" s="1" t="s">
        <v>189</v>
      </c>
      <c r="K516">
        <v>2013</v>
      </c>
      <c r="L516" t="s">
        <v>39</v>
      </c>
      <c r="M516" t="s">
        <v>60</v>
      </c>
      <c r="N516" t="s">
        <v>29</v>
      </c>
      <c r="O516" t="s">
        <v>206</v>
      </c>
      <c r="P516" s="1" t="s">
        <v>34</v>
      </c>
      <c r="Q516">
        <v>109.3</v>
      </c>
    </row>
    <row r="517" spans="1:17" x14ac:dyDescent="0.3">
      <c r="A517">
        <v>2014</v>
      </c>
      <c r="B517" t="s">
        <v>36</v>
      </c>
      <c r="C517" t="s">
        <v>73</v>
      </c>
      <c r="D517" s="1" t="s">
        <v>19</v>
      </c>
      <c r="E517" s="4">
        <v>117.2</v>
      </c>
      <c r="F517" s="4">
        <v>116.4</v>
      </c>
      <c r="G517" s="4">
        <v>115.2</v>
      </c>
      <c r="H517" s="1" t="s">
        <v>189</v>
      </c>
      <c r="K517">
        <v>2013</v>
      </c>
      <c r="L517" t="s">
        <v>39</v>
      </c>
      <c r="M517" t="s">
        <v>60</v>
      </c>
      <c r="N517" t="s">
        <v>29</v>
      </c>
      <c r="O517" t="s">
        <v>206</v>
      </c>
      <c r="P517" s="1" t="s">
        <v>33</v>
      </c>
      <c r="Q517">
        <v>109.7</v>
      </c>
    </row>
    <row r="518" spans="1:17" x14ac:dyDescent="0.3">
      <c r="A518">
        <v>2014</v>
      </c>
      <c r="B518" t="s">
        <v>36</v>
      </c>
      <c r="C518" t="s">
        <v>73</v>
      </c>
      <c r="D518" s="1" t="s">
        <v>26</v>
      </c>
      <c r="E518" s="4">
        <v>112.4</v>
      </c>
      <c r="F518" s="4">
        <v>112</v>
      </c>
      <c r="G518" s="4">
        <v>111.8</v>
      </c>
      <c r="H518" s="1" t="s">
        <v>26</v>
      </c>
      <c r="K518">
        <v>2013</v>
      </c>
      <c r="L518" t="s">
        <v>39</v>
      </c>
      <c r="M518" t="s">
        <v>60</v>
      </c>
      <c r="N518" t="s">
        <v>23</v>
      </c>
      <c r="O518" t="s">
        <v>23</v>
      </c>
      <c r="P518" s="1" t="s">
        <v>30</v>
      </c>
      <c r="Q518">
        <v>106.3</v>
      </c>
    </row>
    <row r="519" spans="1:17" x14ac:dyDescent="0.3">
      <c r="A519">
        <v>2014</v>
      </c>
      <c r="B519" t="s">
        <v>36</v>
      </c>
      <c r="C519" t="s">
        <v>73</v>
      </c>
      <c r="D519" s="1" t="s">
        <v>5</v>
      </c>
      <c r="E519" s="4">
        <v>120.7</v>
      </c>
      <c r="F519" s="4">
        <v>121</v>
      </c>
      <c r="G519" s="4">
        <v>121.5</v>
      </c>
      <c r="H519" s="1" t="s">
        <v>188</v>
      </c>
      <c r="K519">
        <v>2013</v>
      </c>
      <c r="L519" t="s">
        <v>39</v>
      </c>
      <c r="M519" t="s">
        <v>60</v>
      </c>
      <c r="N519" t="s">
        <v>23</v>
      </c>
      <c r="O519" t="s">
        <v>23</v>
      </c>
      <c r="P519" s="1" t="s">
        <v>34</v>
      </c>
      <c r="Q519">
        <v>106.4</v>
      </c>
    </row>
    <row r="520" spans="1:17" x14ac:dyDescent="0.3">
      <c r="A520">
        <v>2014</v>
      </c>
      <c r="B520" t="s">
        <v>36</v>
      </c>
      <c r="C520" t="s">
        <v>73</v>
      </c>
      <c r="D520" s="1" t="s">
        <v>15</v>
      </c>
      <c r="E520" s="4">
        <v>116.2</v>
      </c>
      <c r="F520" s="4">
        <v>116.1</v>
      </c>
      <c r="G520" s="4">
        <v>116</v>
      </c>
      <c r="H520" s="1" t="s">
        <v>188</v>
      </c>
      <c r="K520">
        <v>2013</v>
      </c>
      <c r="L520" t="s">
        <v>39</v>
      </c>
      <c r="M520" t="s">
        <v>60</v>
      </c>
      <c r="N520" t="s">
        <v>23</v>
      </c>
      <c r="O520" t="s">
        <v>23</v>
      </c>
      <c r="P520" s="1" t="s">
        <v>33</v>
      </c>
      <c r="Q520">
        <v>106.5</v>
      </c>
    </row>
    <row r="521" spans="1:17" x14ac:dyDescent="0.3">
      <c r="A521">
        <v>2014</v>
      </c>
      <c r="B521" t="s">
        <v>36</v>
      </c>
      <c r="C521" t="s">
        <v>73</v>
      </c>
      <c r="D521" s="1" t="s">
        <v>18</v>
      </c>
      <c r="E521" s="4">
        <v>114.9</v>
      </c>
      <c r="F521" s="4">
        <v>113.7</v>
      </c>
      <c r="G521" s="4">
        <v>112.1</v>
      </c>
      <c r="H521" s="1" t="s">
        <v>189</v>
      </c>
      <c r="K521">
        <v>2013</v>
      </c>
      <c r="L521" t="s">
        <v>39</v>
      </c>
      <c r="M521" t="s">
        <v>60</v>
      </c>
      <c r="N521" t="s">
        <v>22</v>
      </c>
      <c r="O521" t="s">
        <v>20</v>
      </c>
      <c r="P521" s="1" t="s">
        <v>30</v>
      </c>
      <c r="Q521">
        <v>107.5</v>
      </c>
    </row>
    <row r="522" spans="1:17" x14ac:dyDescent="0.3">
      <c r="A522">
        <v>2014</v>
      </c>
      <c r="B522" t="s">
        <v>36</v>
      </c>
      <c r="C522" t="s">
        <v>73</v>
      </c>
      <c r="D522" s="1" t="s">
        <v>8</v>
      </c>
      <c r="E522" s="4">
        <v>119.6</v>
      </c>
      <c r="F522" s="4">
        <v>118.7</v>
      </c>
      <c r="G522" s="4">
        <v>117.7</v>
      </c>
      <c r="H522" s="1" t="s">
        <v>188</v>
      </c>
      <c r="K522">
        <v>2013</v>
      </c>
      <c r="L522" t="s">
        <v>39</v>
      </c>
      <c r="M522" t="s">
        <v>60</v>
      </c>
      <c r="N522" t="s">
        <v>22</v>
      </c>
      <c r="O522" t="s">
        <v>20</v>
      </c>
      <c r="P522" s="1" t="s">
        <v>34</v>
      </c>
      <c r="Q522">
        <v>107.6</v>
      </c>
    </row>
    <row r="523" spans="1:17" x14ac:dyDescent="0.3">
      <c r="A523">
        <v>2014</v>
      </c>
      <c r="B523" t="s">
        <v>36</v>
      </c>
      <c r="C523" t="s">
        <v>73</v>
      </c>
      <c r="D523" s="1" t="s">
        <v>21</v>
      </c>
      <c r="E523" s="4">
        <v>113.4</v>
      </c>
      <c r="F523" s="4">
        <v>112.5</v>
      </c>
      <c r="G523" s="4">
        <v>110.9</v>
      </c>
      <c r="H523" s="1" t="s">
        <v>190</v>
      </c>
      <c r="K523">
        <v>2013</v>
      </c>
      <c r="L523" t="s">
        <v>39</v>
      </c>
      <c r="M523" t="s">
        <v>60</v>
      </c>
      <c r="N523" t="s">
        <v>22</v>
      </c>
      <c r="O523" t="s">
        <v>20</v>
      </c>
      <c r="P523" s="1" t="s">
        <v>33</v>
      </c>
      <c r="Q523">
        <v>107.7</v>
      </c>
    </row>
    <row r="524" spans="1:17" x14ac:dyDescent="0.3">
      <c r="A524">
        <v>2014</v>
      </c>
      <c r="B524" t="s">
        <v>36</v>
      </c>
      <c r="C524" t="s">
        <v>73</v>
      </c>
      <c r="D524" s="1" t="s">
        <v>29</v>
      </c>
      <c r="E524" s="4">
        <v>114.6</v>
      </c>
      <c r="F524" s="4">
        <v>114.2</v>
      </c>
      <c r="G524" s="4">
        <v>113.7</v>
      </c>
      <c r="H524" s="1" t="s">
        <v>206</v>
      </c>
      <c r="K524">
        <v>2013</v>
      </c>
      <c r="L524" t="s">
        <v>39</v>
      </c>
      <c r="M524" t="s">
        <v>60</v>
      </c>
      <c r="N524" t="s">
        <v>20</v>
      </c>
      <c r="O524" t="s">
        <v>20</v>
      </c>
      <c r="P524" s="1" t="s">
        <v>30</v>
      </c>
      <c r="Q524">
        <v>0</v>
      </c>
    </row>
    <row r="525" spans="1:17" x14ac:dyDescent="0.3">
      <c r="A525">
        <v>2014</v>
      </c>
      <c r="B525" t="s">
        <v>36</v>
      </c>
      <c r="C525" t="s">
        <v>73</v>
      </c>
      <c r="D525" s="1" t="s">
        <v>23</v>
      </c>
      <c r="E525" s="4">
        <v>111.4</v>
      </c>
      <c r="F525" s="4">
        <v>111.2</v>
      </c>
      <c r="G525" s="4">
        <v>110.8</v>
      </c>
      <c r="H525" s="1" t="s">
        <v>23</v>
      </c>
      <c r="K525">
        <v>2013</v>
      </c>
      <c r="L525" t="s">
        <v>39</v>
      </c>
      <c r="M525" t="s">
        <v>60</v>
      </c>
      <c r="N525" t="s">
        <v>20</v>
      </c>
      <c r="O525" t="s">
        <v>20</v>
      </c>
      <c r="P525" s="1" t="s">
        <v>34</v>
      </c>
      <c r="Q525">
        <v>106.6</v>
      </c>
    </row>
    <row r="526" spans="1:17" x14ac:dyDescent="0.3">
      <c r="A526">
        <v>2014</v>
      </c>
      <c r="B526" t="s">
        <v>36</v>
      </c>
      <c r="C526" t="s">
        <v>73</v>
      </c>
      <c r="D526" s="1" t="s">
        <v>22</v>
      </c>
      <c r="E526" s="4">
        <v>113.4</v>
      </c>
      <c r="F526" s="4">
        <v>113.2</v>
      </c>
      <c r="G526" s="4">
        <v>113</v>
      </c>
      <c r="H526" s="1" t="s">
        <v>20</v>
      </c>
      <c r="K526">
        <v>2013</v>
      </c>
      <c r="L526" t="s">
        <v>39</v>
      </c>
      <c r="M526" t="s">
        <v>60</v>
      </c>
      <c r="N526" t="s">
        <v>20</v>
      </c>
      <c r="O526" t="s">
        <v>20</v>
      </c>
      <c r="P526" s="1" t="s">
        <v>33</v>
      </c>
      <c r="Q526">
        <v>106.6</v>
      </c>
    </row>
    <row r="527" spans="1:17" x14ac:dyDescent="0.3">
      <c r="A527">
        <v>2014</v>
      </c>
      <c r="B527" t="s">
        <v>36</v>
      </c>
      <c r="C527" t="s">
        <v>73</v>
      </c>
      <c r="D527" s="1" t="s">
        <v>20</v>
      </c>
      <c r="E527" s="4">
        <v>0</v>
      </c>
      <c r="F527" s="4">
        <v>113.2</v>
      </c>
      <c r="G527" s="4">
        <v>113.2</v>
      </c>
      <c r="H527" s="1" t="s">
        <v>20</v>
      </c>
      <c r="K527">
        <v>2013</v>
      </c>
      <c r="L527" t="s">
        <v>39</v>
      </c>
      <c r="M527" t="s">
        <v>60</v>
      </c>
      <c r="N527" t="s">
        <v>4</v>
      </c>
      <c r="O527" t="s">
        <v>188</v>
      </c>
      <c r="P527" s="1" t="s">
        <v>30</v>
      </c>
      <c r="Q527">
        <v>112.1</v>
      </c>
    </row>
    <row r="528" spans="1:17" x14ac:dyDescent="0.3">
      <c r="A528">
        <v>2014</v>
      </c>
      <c r="B528" t="s">
        <v>36</v>
      </c>
      <c r="C528" t="s">
        <v>73</v>
      </c>
      <c r="D528" s="1" t="s">
        <v>4</v>
      </c>
      <c r="E528" s="4">
        <v>118.1</v>
      </c>
      <c r="F528" s="4">
        <v>119.3</v>
      </c>
      <c r="G528" s="4">
        <v>121.4</v>
      </c>
      <c r="H528" s="1" t="s">
        <v>188</v>
      </c>
      <c r="K528">
        <v>2013</v>
      </c>
      <c r="L528" t="s">
        <v>39</v>
      </c>
      <c r="M528" t="s">
        <v>60</v>
      </c>
      <c r="N528" t="s">
        <v>4</v>
      </c>
      <c r="O528" t="s">
        <v>188</v>
      </c>
      <c r="P528" s="1" t="s">
        <v>34</v>
      </c>
      <c r="Q528">
        <v>114.9</v>
      </c>
    </row>
    <row r="529" spans="1:17" x14ac:dyDescent="0.3">
      <c r="A529">
        <v>2014</v>
      </c>
      <c r="B529" t="s">
        <v>36</v>
      </c>
      <c r="C529" t="s">
        <v>73</v>
      </c>
      <c r="D529" s="1" t="s">
        <v>6</v>
      </c>
      <c r="E529" s="4">
        <v>116.1</v>
      </c>
      <c r="F529" s="4">
        <v>116.1</v>
      </c>
      <c r="G529" s="4">
        <v>116.2</v>
      </c>
      <c r="H529" s="1" t="s">
        <v>188</v>
      </c>
      <c r="K529">
        <v>2013</v>
      </c>
      <c r="L529" t="s">
        <v>39</v>
      </c>
      <c r="M529" t="s">
        <v>60</v>
      </c>
      <c r="N529" t="s">
        <v>4</v>
      </c>
      <c r="O529" t="s">
        <v>188</v>
      </c>
      <c r="P529" s="1" t="s">
        <v>33</v>
      </c>
      <c r="Q529">
        <v>120.1</v>
      </c>
    </row>
    <row r="530" spans="1:17" x14ac:dyDescent="0.3">
      <c r="A530">
        <v>2014</v>
      </c>
      <c r="B530" t="s">
        <v>36</v>
      </c>
      <c r="C530" t="s">
        <v>73</v>
      </c>
      <c r="D530" s="1" t="s">
        <v>28</v>
      </c>
      <c r="E530" s="4">
        <v>111.3</v>
      </c>
      <c r="F530" s="4">
        <v>111.3</v>
      </c>
      <c r="G530" s="4">
        <v>111.4</v>
      </c>
      <c r="H530" s="1" t="s">
        <v>192</v>
      </c>
      <c r="K530">
        <v>2013</v>
      </c>
      <c r="L530" t="s">
        <v>39</v>
      </c>
      <c r="M530" t="s">
        <v>60</v>
      </c>
      <c r="N530" t="s">
        <v>6</v>
      </c>
      <c r="O530" t="s">
        <v>188</v>
      </c>
      <c r="P530" s="1" t="s">
        <v>30</v>
      </c>
      <c r="Q530">
        <v>108.3</v>
      </c>
    </row>
    <row r="531" spans="1:17" x14ac:dyDescent="0.3">
      <c r="A531">
        <v>2014</v>
      </c>
      <c r="B531" t="s">
        <v>36</v>
      </c>
      <c r="C531" t="s">
        <v>73</v>
      </c>
      <c r="D531" s="1" t="s">
        <v>13</v>
      </c>
      <c r="E531" s="4">
        <v>113</v>
      </c>
      <c r="F531" s="4">
        <v>112.7</v>
      </c>
      <c r="G531" s="4">
        <v>112.2</v>
      </c>
      <c r="H531" s="1" t="s">
        <v>188</v>
      </c>
      <c r="K531">
        <v>2013</v>
      </c>
      <c r="L531" t="s">
        <v>39</v>
      </c>
      <c r="M531" t="s">
        <v>60</v>
      </c>
      <c r="N531" t="s">
        <v>6</v>
      </c>
      <c r="O531" t="s">
        <v>188</v>
      </c>
      <c r="P531" s="1" t="s">
        <v>34</v>
      </c>
      <c r="Q531">
        <v>107.9</v>
      </c>
    </row>
    <row r="532" spans="1:17" x14ac:dyDescent="0.3">
      <c r="A532">
        <v>2014</v>
      </c>
      <c r="B532" t="s">
        <v>36</v>
      </c>
      <c r="C532" t="s">
        <v>73</v>
      </c>
      <c r="D532" s="1" t="s">
        <v>7</v>
      </c>
      <c r="E532" s="4">
        <v>109.3</v>
      </c>
      <c r="F532" s="4">
        <v>106.9</v>
      </c>
      <c r="G532" s="4">
        <v>102.8</v>
      </c>
      <c r="H532" s="1" t="s">
        <v>188</v>
      </c>
      <c r="K532">
        <v>2013</v>
      </c>
      <c r="L532" t="s">
        <v>39</v>
      </c>
      <c r="M532" t="s">
        <v>60</v>
      </c>
      <c r="N532" t="s">
        <v>6</v>
      </c>
      <c r="O532" t="s">
        <v>188</v>
      </c>
      <c r="P532" s="1" t="s">
        <v>33</v>
      </c>
      <c r="Q532">
        <v>107.3</v>
      </c>
    </row>
    <row r="533" spans="1:17" x14ac:dyDescent="0.3">
      <c r="A533">
        <v>2014</v>
      </c>
      <c r="B533" t="s">
        <v>36</v>
      </c>
      <c r="C533" t="s">
        <v>73</v>
      </c>
      <c r="D533" s="1" t="s">
        <v>16</v>
      </c>
      <c r="E533" s="4">
        <v>114.6</v>
      </c>
      <c r="F533" s="4">
        <v>115.2</v>
      </c>
      <c r="G533" s="4">
        <v>116.7</v>
      </c>
      <c r="H533" s="1" t="s">
        <v>192</v>
      </c>
      <c r="K533">
        <v>2013</v>
      </c>
      <c r="L533" t="s">
        <v>39</v>
      </c>
      <c r="M533" t="s">
        <v>60</v>
      </c>
      <c r="N533" t="s">
        <v>28</v>
      </c>
      <c r="O533" t="s">
        <v>192</v>
      </c>
      <c r="P533" s="1" t="s">
        <v>30</v>
      </c>
      <c r="Q533">
        <v>105.5</v>
      </c>
    </row>
    <row r="534" spans="1:17" x14ac:dyDescent="0.3">
      <c r="A534">
        <v>2014</v>
      </c>
      <c r="B534" t="s">
        <v>36</v>
      </c>
      <c r="C534" t="s">
        <v>73</v>
      </c>
      <c r="D534" s="1" t="s">
        <v>27</v>
      </c>
      <c r="E534" s="4">
        <v>108.9</v>
      </c>
      <c r="F534" s="4">
        <v>109</v>
      </c>
      <c r="G534" s="4">
        <v>109.2</v>
      </c>
      <c r="H534" s="1" t="s">
        <v>192</v>
      </c>
      <c r="K534">
        <v>2013</v>
      </c>
      <c r="L534" t="s">
        <v>39</v>
      </c>
      <c r="M534" t="s">
        <v>60</v>
      </c>
      <c r="N534" t="s">
        <v>28</v>
      </c>
      <c r="O534" t="s">
        <v>192</v>
      </c>
      <c r="P534" s="1" t="s">
        <v>34</v>
      </c>
      <c r="Q534">
        <v>105.8</v>
      </c>
    </row>
    <row r="535" spans="1:17" x14ac:dyDescent="0.3">
      <c r="A535">
        <v>2014</v>
      </c>
      <c r="B535" t="s">
        <v>36</v>
      </c>
      <c r="C535" t="s">
        <v>73</v>
      </c>
      <c r="D535" s="1" t="s">
        <v>14</v>
      </c>
      <c r="E535" s="4">
        <v>118.3</v>
      </c>
      <c r="F535" s="4">
        <v>119.3</v>
      </c>
      <c r="G535" s="4">
        <v>120.5</v>
      </c>
      <c r="H535" s="1" t="s">
        <v>188</v>
      </c>
      <c r="K535">
        <v>2013</v>
      </c>
      <c r="L535" t="s">
        <v>39</v>
      </c>
      <c r="M535" t="s">
        <v>60</v>
      </c>
      <c r="N535" t="s">
        <v>28</v>
      </c>
      <c r="O535" t="s">
        <v>192</v>
      </c>
      <c r="P535" s="1" t="s">
        <v>33</v>
      </c>
      <c r="Q535">
        <v>106.1</v>
      </c>
    </row>
    <row r="536" spans="1:17" x14ac:dyDescent="0.3">
      <c r="A536">
        <v>2014</v>
      </c>
      <c r="B536" t="s">
        <v>36</v>
      </c>
      <c r="C536" t="s">
        <v>73</v>
      </c>
      <c r="D536" s="1" t="s">
        <v>10</v>
      </c>
      <c r="E536" s="4">
        <v>110.2</v>
      </c>
      <c r="F536" s="4">
        <v>109.8</v>
      </c>
      <c r="G536" s="4">
        <v>108.9</v>
      </c>
      <c r="H536" s="1" t="s">
        <v>188</v>
      </c>
      <c r="K536">
        <v>2013</v>
      </c>
      <c r="L536" t="s">
        <v>39</v>
      </c>
      <c r="M536" t="s">
        <v>60</v>
      </c>
      <c r="N536" t="s">
        <v>13</v>
      </c>
      <c r="O536" t="s">
        <v>188</v>
      </c>
      <c r="P536" s="1" t="s">
        <v>30</v>
      </c>
      <c r="Q536">
        <v>108.2</v>
      </c>
    </row>
    <row r="537" spans="1:17" x14ac:dyDescent="0.3">
      <c r="A537">
        <v>2014</v>
      </c>
      <c r="B537" t="s">
        <v>36</v>
      </c>
      <c r="C537" t="s">
        <v>73</v>
      </c>
      <c r="D537" s="1" t="s">
        <v>25</v>
      </c>
      <c r="E537" s="4">
        <v>110.2</v>
      </c>
      <c r="F537" s="4">
        <v>110.6</v>
      </c>
      <c r="G537" s="4">
        <v>110.9</v>
      </c>
      <c r="H537" s="1" t="s">
        <v>195</v>
      </c>
      <c r="K537">
        <v>2013</v>
      </c>
      <c r="L537" t="s">
        <v>39</v>
      </c>
      <c r="M537" t="s">
        <v>60</v>
      </c>
      <c r="N537" t="s">
        <v>13</v>
      </c>
      <c r="O537" t="s">
        <v>188</v>
      </c>
      <c r="P537" s="1" t="s">
        <v>34</v>
      </c>
      <c r="Q537">
        <v>109</v>
      </c>
    </row>
    <row r="538" spans="1:17" x14ac:dyDescent="0.3">
      <c r="A538">
        <v>2014</v>
      </c>
      <c r="B538" t="s">
        <v>36</v>
      </c>
      <c r="C538" t="s">
        <v>73</v>
      </c>
      <c r="D538" s="1" t="s">
        <v>12</v>
      </c>
      <c r="E538" s="4">
        <v>110.7</v>
      </c>
      <c r="F538" s="4">
        <v>111.8</v>
      </c>
      <c r="G538" s="4">
        <v>114.1</v>
      </c>
      <c r="H538" s="1" t="s">
        <v>188</v>
      </c>
      <c r="K538">
        <v>2013</v>
      </c>
      <c r="L538" t="s">
        <v>39</v>
      </c>
      <c r="M538" t="s">
        <v>60</v>
      </c>
      <c r="N538" t="s">
        <v>13</v>
      </c>
      <c r="O538" t="s">
        <v>188</v>
      </c>
      <c r="P538" s="1" t="s">
        <v>33</v>
      </c>
      <c r="Q538">
        <v>110</v>
      </c>
    </row>
    <row r="539" spans="1:17" x14ac:dyDescent="0.3">
      <c r="A539">
        <v>2014</v>
      </c>
      <c r="B539" t="s">
        <v>36</v>
      </c>
      <c r="C539" t="s">
        <v>73</v>
      </c>
      <c r="D539" s="1" t="s">
        <v>11</v>
      </c>
      <c r="E539" s="4">
        <v>101.2</v>
      </c>
      <c r="F539" s="4">
        <v>99.6</v>
      </c>
      <c r="G539" s="4">
        <v>96.3</v>
      </c>
      <c r="H539" s="1" t="s">
        <v>188</v>
      </c>
      <c r="K539">
        <v>2013</v>
      </c>
      <c r="L539" t="s">
        <v>39</v>
      </c>
      <c r="M539" t="s">
        <v>60</v>
      </c>
      <c r="N539" t="s">
        <v>7</v>
      </c>
      <c r="O539" t="s">
        <v>188</v>
      </c>
      <c r="P539" s="1" t="s">
        <v>30</v>
      </c>
      <c r="Q539">
        <v>105.9</v>
      </c>
    </row>
    <row r="540" spans="1:17" x14ac:dyDescent="0.3">
      <c r="A540">
        <v>2014</v>
      </c>
      <c r="B540" t="s">
        <v>36</v>
      </c>
      <c r="C540" t="s">
        <v>73</v>
      </c>
      <c r="D540" s="1" t="s">
        <v>24</v>
      </c>
      <c r="E540" s="4">
        <v>111.2</v>
      </c>
      <c r="F540" s="4">
        <v>111.4</v>
      </c>
      <c r="G540" s="4">
        <v>111.6</v>
      </c>
      <c r="H540" s="1" t="s">
        <v>191</v>
      </c>
      <c r="K540">
        <v>2013</v>
      </c>
      <c r="L540" t="s">
        <v>39</v>
      </c>
      <c r="M540" t="s">
        <v>60</v>
      </c>
      <c r="N540" t="s">
        <v>7</v>
      </c>
      <c r="O540" t="s">
        <v>188</v>
      </c>
      <c r="P540" s="1" t="s">
        <v>34</v>
      </c>
      <c r="Q540">
        <v>104.2</v>
      </c>
    </row>
    <row r="541" spans="1:17" x14ac:dyDescent="0.3">
      <c r="A541">
        <v>2014</v>
      </c>
      <c r="B541" t="s">
        <v>36</v>
      </c>
      <c r="C541" t="s">
        <v>73</v>
      </c>
      <c r="D541" s="1" t="s">
        <v>9</v>
      </c>
      <c r="E541" s="4">
        <v>117.9</v>
      </c>
      <c r="F541" s="4">
        <v>116.3</v>
      </c>
      <c r="G541" s="4">
        <v>113.3</v>
      </c>
      <c r="H541" s="1" t="s">
        <v>188</v>
      </c>
      <c r="K541">
        <v>2013</v>
      </c>
      <c r="L541" t="s">
        <v>39</v>
      </c>
      <c r="M541" t="s">
        <v>60</v>
      </c>
      <c r="N541" t="s">
        <v>7</v>
      </c>
      <c r="O541" t="s">
        <v>188</v>
      </c>
      <c r="P541" s="1" t="s">
        <v>33</v>
      </c>
      <c r="Q541">
        <v>101.3</v>
      </c>
    </row>
    <row r="542" spans="1:17" x14ac:dyDescent="0.3">
      <c r="A542">
        <v>2014</v>
      </c>
      <c r="B542" t="s">
        <v>38</v>
      </c>
      <c r="C542" t="s">
        <v>74</v>
      </c>
      <c r="D542" s="1" t="s">
        <v>3</v>
      </c>
      <c r="E542" s="4">
        <v>120.3</v>
      </c>
      <c r="F542" s="4">
        <v>121.1</v>
      </c>
      <c r="G542" s="4">
        <v>122.7</v>
      </c>
      <c r="H542" s="1" t="s">
        <v>188</v>
      </c>
      <c r="K542">
        <v>2013</v>
      </c>
      <c r="L542" t="s">
        <v>39</v>
      </c>
      <c r="M542" t="s">
        <v>60</v>
      </c>
      <c r="N542" t="s">
        <v>16</v>
      </c>
      <c r="O542" t="s">
        <v>192</v>
      </c>
      <c r="P542" s="1" t="s">
        <v>30</v>
      </c>
      <c r="Q542">
        <v>109</v>
      </c>
    </row>
    <row r="543" spans="1:17" x14ac:dyDescent="0.3">
      <c r="A543">
        <v>2014</v>
      </c>
      <c r="B543" t="s">
        <v>38</v>
      </c>
      <c r="C543" t="s">
        <v>74</v>
      </c>
      <c r="D543" s="1" t="s">
        <v>17</v>
      </c>
      <c r="E543" s="4">
        <v>118.7</v>
      </c>
      <c r="F543" s="4">
        <v>118</v>
      </c>
      <c r="G543" s="4">
        <v>116.8</v>
      </c>
      <c r="H543" s="1" t="s">
        <v>189</v>
      </c>
      <c r="K543">
        <v>2013</v>
      </c>
      <c r="L543" t="s">
        <v>39</v>
      </c>
      <c r="M543" t="s">
        <v>60</v>
      </c>
      <c r="N543" t="s">
        <v>16</v>
      </c>
      <c r="O543" t="s">
        <v>192</v>
      </c>
      <c r="P543" s="1" t="s">
        <v>34</v>
      </c>
      <c r="Q543">
        <v>109.5</v>
      </c>
    </row>
    <row r="544" spans="1:17" x14ac:dyDescent="0.3">
      <c r="A544">
        <v>2014</v>
      </c>
      <c r="B544" t="s">
        <v>38</v>
      </c>
      <c r="C544" t="s">
        <v>74</v>
      </c>
      <c r="D544" s="1" t="s">
        <v>19</v>
      </c>
      <c r="E544" s="4">
        <v>118.5</v>
      </c>
      <c r="F544" s="4">
        <v>117.6</v>
      </c>
      <c r="G544" s="4">
        <v>116.2</v>
      </c>
      <c r="H544" s="1" t="s">
        <v>189</v>
      </c>
      <c r="K544">
        <v>2013</v>
      </c>
      <c r="L544" t="s">
        <v>39</v>
      </c>
      <c r="M544" t="s">
        <v>60</v>
      </c>
      <c r="N544" t="s">
        <v>16</v>
      </c>
      <c r="O544" t="s">
        <v>192</v>
      </c>
      <c r="P544" s="1" t="s">
        <v>33</v>
      </c>
      <c r="Q544">
        <v>110.9</v>
      </c>
    </row>
    <row r="545" spans="1:17" x14ac:dyDescent="0.3">
      <c r="A545">
        <v>2014</v>
      </c>
      <c r="B545" t="s">
        <v>38</v>
      </c>
      <c r="C545" t="s">
        <v>74</v>
      </c>
      <c r="D545" s="1" t="s">
        <v>26</v>
      </c>
      <c r="E545" s="4">
        <v>113.1</v>
      </c>
      <c r="F545" s="4">
        <v>113</v>
      </c>
      <c r="G545" s="4">
        <v>112.9</v>
      </c>
      <c r="H545" s="1" t="s">
        <v>26</v>
      </c>
      <c r="K545">
        <v>2013</v>
      </c>
      <c r="L545" t="s">
        <v>39</v>
      </c>
      <c r="M545" t="s">
        <v>60</v>
      </c>
      <c r="N545" t="s">
        <v>27</v>
      </c>
      <c r="O545" t="s">
        <v>192</v>
      </c>
      <c r="P545" s="1" t="s">
        <v>30</v>
      </c>
      <c r="Q545">
        <v>102.5</v>
      </c>
    </row>
    <row r="546" spans="1:17" x14ac:dyDescent="0.3">
      <c r="A546">
        <v>2014</v>
      </c>
      <c r="B546" t="s">
        <v>38</v>
      </c>
      <c r="C546" t="s">
        <v>74</v>
      </c>
      <c r="D546" s="1" t="s">
        <v>5</v>
      </c>
      <c r="E546" s="4">
        <v>116.9</v>
      </c>
      <c r="F546" s="4">
        <v>115.9</v>
      </c>
      <c r="G546" s="4">
        <v>114.2</v>
      </c>
      <c r="H546" s="1" t="s">
        <v>188</v>
      </c>
      <c r="K546">
        <v>2013</v>
      </c>
      <c r="L546" t="s">
        <v>39</v>
      </c>
      <c r="M546" t="s">
        <v>60</v>
      </c>
      <c r="N546" t="s">
        <v>27</v>
      </c>
      <c r="O546" t="s">
        <v>192</v>
      </c>
      <c r="P546" s="1" t="s">
        <v>34</v>
      </c>
      <c r="Q546">
        <v>102.8</v>
      </c>
    </row>
    <row r="547" spans="1:17" x14ac:dyDescent="0.3">
      <c r="A547">
        <v>2014</v>
      </c>
      <c r="B547" t="s">
        <v>38</v>
      </c>
      <c r="C547" t="s">
        <v>74</v>
      </c>
      <c r="D547" s="1" t="s">
        <v>15</v>
      </c>
      <c r="E547" s="4">
        <v>118.2</v>
      </c>
      <c r="F547" s="4">
        <v>118.9</v>
      </c>
      <c r="G547" s="4">
        <v>120</v>
      </c>
      <c r="H547" s="1" t="s">
        <v>188</v>
      </c>
      <c r="K547">
        <v>2013</v>
      </c>
      <c r="L547" t="s">
        <v>39</v>
      </c>
      <c r="M547" t="s">
        <v>60</v>
      </c>
      <c r="N547" t="s">
        <v>27</v>
      </c>
      <c r="O547" t="s">
        <v>192</v>
      </c>
      <c r="P547" s="1" t="s">
        <v>33</v>
      </c>
      <c r="Q547">
        <v>103.3</v>
      </c>
    </row>
    <row r="548" spans="1:17" x14ac:dyDescent="0.3">
      <c r="A548">
        <v>2014</v>
      </c>
      <c r="B548" t="s">
        <v>38</v>
      </c>
      <c r="C548" t="s">
        <v>74</v>
      </c>
      <c r="D548" s="1" t="s">
        <v>18</v>
      </c>
      <c r="E548" s="4">
        <v>116.8</v>
      </c>
      <c r="F548" s="4">
        <v>115.2</v>
      </c>
      <c r="G548" s="4">
        <v>112.9</v>
      </c>
      <c r="H548" s="1" t="s">
        <v>189</v>
      </c>
      <c r="K548">
        <v>2013</v>
      </c>
      <c r="L548" t="s">
        <v>39</v>
      </c>
      <c r="M548" t="s">
        <v>60</v>
      </c>
      <c r="N548" t="s">
        <v>14</v>
      </c>
      <c r="O548" t="s">
        <v>188</v>
      </c>
      <c r="P548" s="1" t="s">
        <v>30</v>
      </c>
      <c r="Q548">
        <v>111</v>
      </c>
    </row>
    <row r="549" spans="1:17" x14ac:dyDescent="0.3">
      <c r="A549">
        <v>2014</v>
      </c>
      <c r="B549" t="s">
        <v>38</v>
      </c>
      <c r="C549" t="s">
        <v>74</v>
      </c>
      <c r="D549" s="1" t="s">
        <v>8</v>
      </c>
      <c r="E549" s="4">
        <v>126.3</v>
      </c>
      <c r="F549" s="4">
        <v>127.7</v>
      </c>
      <c r="G549" s="4">
        <v>129.19999999999999</v>
      </c>
      <c r="H549" s="1" t="s">
        <v>188</v>
      </c>
      <c r="K549">
        <v>2013</v>
      </c>
      <c r="L549" t="s">
        <v>39</v>
      </c>
      <c r="M549" t="s">
        <v>60</v>
      </c>
      <c r="N549" t="s">
        <v>14</v>
      </c>
      <c r="O549" t="s">
        <v>188</v>
      </c>
      <c r="P549" s="1" t="s">
        <v>34</v>
      </c>
      <c r="Q549">
        <v>111.6</v>
      </c>
    </row>
    <row r="550" spans="1:17" x14ac:dyDescent="0.3">
      <c r="A550">
        <v>2014</v>
      </c>
      <c r="B550" t="s">
        <v>38</v>
      </c>
      <c r="C550" t="s">
        <v>74</v>
      </c>
      <c r="D550" s="1" t="s">
        <v>21</v>
      </c>
      <c r="E550" s="4">
        <v>113.4</v>
      </c>
      <c r="F550" s="4">
        <v>112.5</v>
      </c>
      <c r="G550" s="4">
        <v>111.1</v>
      </c>
      <c r="H550" s="1" t="s">
        <v>190</v>
      </c>
      <c r="K550">
        <v>2013</v>
      </c>
      <c r="L550" t="s">
        <v>39</v>
      </c>
      <c r="M550" t="s">
        <v>60</v>
      </c>
      <c r="N550" t="s">
        <v>14</v>
      </c>
      <c r="O550" t="s">
        <v>188</v>
      </c>
      <c r="P550" s="1" t="s">
        <v>33</v>
      </c>
      <c r="Q550">
        <v>112.2</v>
      </c>
    </row>
    <row r="551" spans="1:17" x14ac:dyDescent="0.3">
      <c r="A551">
        <v>2014</v>
      </c>
      <c r="B551" t="s">
        <v>38</v>
      </c>
      <c r="C551" t="s">
        <v>74</v>
      </c>
      <c r="D551" s="1" t="s">
        <v>29</v>
      </c>
      <c r="E551" s="4">
        <v>116</v>
      </c>
      <c r="F551" s="4">
        <v>115.8</v>
      </c>
      <c r="G551" s="4">
        <v>115.6</v>
      </c>
      <c r="H551" s="1" t="s">
        <v>206</v>
      </c>
      <c r="K551">
        <v>2013</v>
      </c>
      <c r="L551" t="s">
        <v>39</v>
      </c>
      <c r="M551" t="s">
        <v>60</v>
      </c>
      <c r="N551" t="s">
        <v>10</v>
      </c>
      <c r="O551" t="s">
        <v>188</v>
      </c>
      <c r="P551" s="1" t="s">
        <v>30</v>
      </c>
      <c r="Q551">
        <v>106.8</v>
      </c>
    </row>
    <row r="552" spans="1:17" x14ac:dyDescent="0.3">
      <c r="A552">
        <v>2014</v>
      </c>
      <c r="B552" t="s">
        <v>38</v>
      </c>
      <c r="C552" t="s">
        <v>74</v>
      </c>
      <c r="D552" s="1" t="s">
        <v>23</v>
      </c>
      <c r="E552" s="4">
        <v>112.1</v>
      </c>
      <c r="F552" s="4">
        <v>111.8</v>
      </c>
      <c r="G552" s="4">
        <v>111.2</v>
      </c>
      <c r="H552" s="1" t="s">
        <v>23</v>
      </c>
      <c r="K552">
        <v>2013</v>
      </c>
      <c r="L552" t="s">
        <v>39</v>
      </c>
      <c r="M552" t="s">
        <v>60</v>
      </c>
      <c r="N552" t="s">
        <v>10</v>
      </c>
      <c r="O552" t="s">
        <v>188</v>
      </c>
      <c r="P552" s="1" t="s">
        <v>34</v>
      </c>
      <c r="Q552">
        <v>106.3</v>
      </c>
    </row>
    <row r="553" spans="1:17" x14ac:dyDescent="0.3">
      <c r="A553">
        <v>2014</v>
      </c>
      <c r="B553" t="s">
        <v>38</v>
      </c>
      <c r="C553" t="s">
        <v>74</v>
      </c>
      <c r="D553" s="1" t="s">
        <v>22</v>
      </c>
      <c r="E553" s="4">
        <v>114.1</v>
      </c>
      <c r="F553" s="4">
        <v>114.1</v>
      </c>
      <c r="G553" s="4">
        <v>114.1</v>
      </c>
      <c r="H553" s="1" t="s">
        <v>20</v>
      </c>
      <c r="K553">
        <v>2013</v>
      </c>
      <c r="L553" t="s">
        <v>39</v>
      </c>
      <c r="M553" t="s">
        <v>60</v>
      </c>
      <c r="N553" t="s">
        <v>10</v>
      </c>
      <c r="O553" t="s">
        <v>188</v>
      </c>
      <c r="P553" s="1" t="s">
        <v>33</v>
      </c>
      <c r="Q553">
        <v>105.4</v>
      </c>
    </row>
    <row r="554" spans="1:17" x14ac:dyDescent="0.3">
      <c r="A554">
        <v>2014</v>
      </c>
      <c r="B554" t="s">
        <v>38</v>
      </c>
      <c r="C554" t="s">
        <v>74</v>
      </c>
      <c r="D554" s="1" t="s">
        <v>20</v>
      </c>
      <c r="E554" s="4">
        <v>0</v>
      </c>
      <c r="F554" s="4">
        <v>114.3</v>
      </c>
      <c r="G554" s="4">
        <v>114.3</v>
      </c>
      <c r="H554" s="1" t="s">
        <v>20</v>
      </c>
      <c r="K554">
        <v>2013</v>
      </c>
      <c r="L554" t="s">
        <v>39</v>
      </c>
      <c r="M554" t="s">
        <v>60</v>
      </c>
      <c r="N554" t="s">
        <v>25</v>
      </c>
      <c r="O554" t="s">
        <v>195</v>
      </c>
      <c r="P554" s="1" t="s">
        <v>30</v>
      </c>
      <c r="Q554">
        <v>105.6</v>
      </c>
    </row>
    <row r="555" spans="1:17" x14ac:dyDescent="0.3">
      <c r="A555">
        <v>2014</v>
      </c>
      <c r="B555" t="s">
        <v>38</v>
      </c>
      <c r="C555" t="s">
        <v>74</v>
      </c>
      <c r="D555" s="1" t="s">
        <v>4</v>
      </c>
      <c r="E555" s="4">
        <v>120.2</v>
      </c>
      <c r="F555" s="4">
        <v>121.6</v>
      </c>
      <c r="G555" s="4">
        <v>124.1</v>
      </c>
      <c r="H555" s="1" t="s">
        <v>188</v>
      </c>
      <c r="K555">
        <v>2013</v>
      </c>
      <c r="L555" t="s">
        <v>39</v>
      </c>
      <c r="M555" t="s">
        <v>60</v>
      </c>
      <c r="N555" t="s">
        <v>25</v>
      </c>
      <c r="O555" t="s">
        <v>195</v>
      </c>
      <c r="P555" s="1" t="s">
        <v>34</v>
      </c>
      <c r="Q555">
        <v>105.4</v>
      </c>
    </row>
    <row r="556" spans="1:17" x14ac:dyDescent="0.3">
      <c r="A556">
        <v>2014</v>
      </c>
      <c r="B556" t="s">
        <v>38</v>
      </c>
      <c r="C556" t="s">
        <v>74</v>
      </c>
      <c r="D556" s="1" t="s">
        <v>6</v>
      </c>
      <c r="E556" s="4">
        <v>118</v>
      </c>
      <c r="F556" s="4">
        <v>118.4</v>
      </c>
      <c r="G556" s="4">
        <v>119.1</v>
      </c>
      <c r="H556" s="1" t="s">
        <v>188</v>
      </c>
      <c r="K556">
        <v>2013</v>
      </c>
      <c r="L556" t="s">
        <v>39</v>
      </c>
      <c r="M556" t="s">
        <v>60</v>
      </c>
      <c r="N556" t="s">
        <v>25</v>
      </c>
      <c r="O556" t="s">
        <v>195</v>
      </c>
      <c r="P556" s="1" t="s">
        <v>33</v>
      </c>
      <c r="Q556">
        <v>105.2</v>
      </c>
    </row>
    <row r="557" spans="1:17" x14ac:dyDescent="0.3">
      <c r="A557">
        <v>2014</v>
      </c>
      <c r="B557" t="s">
        <v>38</v>
      </c>
      <c r="C557" t="s">
        <v>74</v>
      </c>
      <c r="D557" s="1" t="s">
        <v>28</v>
      </c>
      <c r="E557" s="4">
        <v>111.8</v>
      </c>
      <c r="F557" s="4">
        <v>111.8</v>
      </c>
      <c r="G557" s="4">
        <v>111.7</v>
      </c>
      <c r="H557" s="1" t="s">
        <v>192</v>
      </c>
      <c r="K557">
        <v>2013</v>
      </c>
      <c r="L557" t="s">
        <v>39</v>
      </c>
      <c r="M557" t="s">
        <v>60</v>
      </c>
      <c r="N557" t="s">
        <v>12</v>
      </c>
      <c r="O557" t="s">
        <v>188</v>
      </c>
      <c r="P557" s="1" t="s">
        <v>30</v>
      </c>
      <c r="Q557">
        <v>105.4</v>
      </c>
    </row>
    <row r="558" spans="1:17" x14ac:dyDescent="0.3">
      <c r="A558">
        <v>2014</v>
      </c>
      <c r="B558" t="s">
        <v>38</v>
      </c>
      <c r="C558" t="s">
        <v>74</v>
      </c>
      <c r="D558" s="1" t="s">
        <v>13</v>
      </c>
      <c r="E558" s="4">
        <v>114.2</v>
      </c>
      <c r="F558" s="4">
        <v>113.7</v>
      </c>
      <c r="G558" s="4">
        <v>112.9</v>
      </c>
      <c r="H558" s="1" t="s">
        <v>188</v>
      </c>
      <c r="K558">
        <v>2013</v>
      </c>
      <c r="L558" t="s">
        <v>39</v>
      </c>
      <c r="M558" t="s">
        <v>60</v>
      </c>
      <c r="N558" t="s">
        <v>12</v>
      </c>
      <c r="O558" t="s">
        <v>188</v>
      </c>
      <c r="P558" s="1" t="s">
        <v>34</v>
      </c>
      <c r="Q558">
        <v>105.7</v>
      </c>
    </row>
    <row r="559" spans="1:17" x14ac:dyDescent="0.3">
      <c r="A559">
        <v>2014</v>
      </c>
      <c r="B559" t="s">
        <v>38</v>
      </c>
      <c r="C559" t="s">
        <v>74</v>
      </c>
      <c r="D559" s="1" t="s">
        <v>7</v>
      </c>
      <c r="E559" s="4">
        <v>110.1</v>
      </c>
      <c r="F559" s="4">
        <v>107.7</v>
      </c>
      <c r="G559" s="4">
        <v>103.5</v>
      </c>
      <c r="H559" s="1" t="s">
        <v>188</v>
      </c>
      <c r="K559">
        <v>2013</v>
      </c>
      <c r="L559" t="s">
        <v>39</v>
      </c>
      <c r="M559" t="s">
        <v>60</v>
      </c>
      <c r="N559" t="s">
        <v>12</v>
      </c>
      <c r="O559" t="s">
        <v>188</v>
      </c>
      <c r="P559" s="1" t="s">
        <v>33</v>
      </c>
      <c r="Q559">
        <v>106.4</v>
      </c>
    </row>
    <row r="560" spans="1:17" x14ac:dyDescent="0.3">
      <c r="A560">
        <v>2014</v>
      </c>
      <c r="B560" t="s">
        <v>38</v>
      </c>
      <c r="C560" t="s">
        <v>74</v>
      </c>
      <c r="D560" s="1" t="s">
        <v>16</v>
      </c>
      <c r="E560" s="4">
        <v>116.3</v>
      </c>
      <c r="F560" s="4">
        <v>116.8</v>
      </c>
      <c r="G560" s="4">
        <v>118.3</v>
      </c>
      <c r="H560" s="1" t="s">
        <v>192</v>
      </c>
      <c r="K560">
        <v>2013</v>
      </c>
      <c r="L560" t="s">
        <v>39</v>
      </c>
      <c r="M560" t="s">
        <v>60</v>
      </c>
      <c r="N560" t="s">
        <v>11</v>
      </c>
      <c r="O560" t="s">
        <v>188</v>
      </c>
      <c r="P560" s="1" t="s">
        <v>30</v>
      </c>
      <c r="Q560">
        <v>104.1</v>
      </c>
    </row>
    <row r="561" spans="1:17" x14ac:dyDescent="0.3">
      <c r="A561">
        <v>2014</v>
      </c>
      <c r="B561" t="s">
        <v>38</v>
      </c>
      <c r="C561" t="s">
        <v>74</v>
      </c>
      <c r="D561" s="1" t="s">
        <v>27</v>
      </c>
      <c r="E561" s="4">
        <v>108.9</v>
      </c>
      <c r="F561" s="4">
        <v>109.1</v>
      </c>
      <c r="G561" s="4">
        <v>109.3</v>
      </c>
      <c r="H561" s="1" t="s">
        <v>192</v>
      </c>
      <c r="K561">
        <v>2013</v>
      </c>
      <c r="L561" t="s">
        <v>39</v>
      </c>
      <c r="M561" t="s">
        <v>60</v>
      </c>
      <c r="N561" t="s">
        <v>11</v>
      </c>
      <c r="O561" t="s">
        <v>188</v>
      </c>
      <c r="P561" s="1" t="s">
        <v>34</v>
      </c>
      <c r="Q561">
        <v>103.2</v>
      </c>
    </row>
    <row r="562" spans="1:17" x14ac:dyDescent="0.3">
      <c r="A562">
        <v>2014</v>
      </c>
      <c r="B562" t="s">
        <v>38</v>
      </c>
      <c r="C562" t="s">
        <v>74</v>
      </c>
      <c r="D562" s="1" t="s">
        <v>14</v>
      </c>
      <c r="E562" s="4">
        <v>119.2</v>
      </c>
      <c r="F562" s="4">
        <v>120.4</v>
      </c>
      <c r="G562" s="4">
        <v>121.7</v>
      </c>
      <c r="H562" s="1" t="s">
        <v>188</v>
      </c>
      <c r="K562">
        <v>2013</v>
      </c>
      <c r="L562" t="s">
        <v>39</v>
      </c>
      <c r="M562" t="s">
        <v>60</v>
      </c>
      <c r="N562" t="s">
        <v>11</v>
      </c>
      <c r="O562" t="s">
        <v>188</v>
      </c>
      <c r="P562" s="1" t="s">
        <v>33</v>
      </c>
      <c r="Q562">
        <v>101.4</v>
      </c>
    </row>
    <row r="563" spans="1:17" x14ac:dyDescent="0.3">
      <c r="A563">
        <v>2014</v>
      </c>
      <c r="B563" t="s">
        <v>38</v>
      </c>
      <c r="C563" t="s">
        <v>74</v>
      </c>
      <c r="D563" s="1" t="s">
        <v>10</v>
      </c>
      <c r="E563" s="4">
        <v>111.5</v>
      </c>
      <c r="F563" s="4">
        <v>111.9</v>
      </c>
      <c r="G563" s="4">
        <v>112.6</v>
      </c>
      <c r="H563" s="1" t="s">
        <v>188</v>
      </c>
      <c r="K563">
        <v>2013</v>
      </c>
      <c r="L563" t="s">
        <v>39</v>
      </c>
      <c r="M563" t="s">
        <v>60</v>
      </c>
      <c r="N563" t="s">
        <v>24</v>
      </c>
      <c r="O563" t="s">
        <v>191</v>
      </c>
      <c r="P563" s="1" t="s">
        <v>30</v>
      </c>
      <c r="Q563">
        <v>105</v>
      </c>
    </row>
    <row r="564" spans="1:17" x14ac:dyDescent="0.3">
      <c r="A564">
        <v>2014</v>
      </c>
      <c r="B564" t="s">
        <v>38</v>
      </c>
      <c r="C564" t="s">
        <v>74</v>
      </c>
      <c r="D564" s="1" t="s">
        <v>25</v>
      </c>
      <c r="E564" s="4">
        <v>110.9</v>
      </c>
      <c r="F564" s="4">
        <v>111.2</v>
      </c>
      <c r="G564" s="4">
        <v>111.5</v>
      </c>
      <c r="H564" s="1" t="s">
        <v>195</v>
      </c>
      <c r="K564">
        <v>2013</v>
      </c>
      <c r="L564" t="s">
        <v>39</v>
      </c>
      <c r="M564" t="s">
        <v>60</v>
      </c>
      <c r="N564" t="s">
        <v>24</v>
      </c>
      <c r="O564" t="s">
        <v>191</v>
      </c>
      <c r="P564" s="1" t="s">
        <v>34</v>
      </c>
      <c r="Q564">
        <v>105.1</v>
      </c>
    </row>
    <row r="565" spans="1:17" x14ac:dyDescent="0.3">
      <c r="A565">
        <v>2014</v>
      </c>
      <c r="B565" t="s">
        <v>38</v>
      </c>
      <c r="C565" t="s">
        <v>74</v>
      </c>
      <c r="D565" s="1" t="s">
        <v>12</v>
      </c>
      <c r="E565" s="4">
        <v>111.6</v>
      </c>
      <c r="F565" s="4">
        <v>113.4</v>
      </c>
      <c r="G565" s="4">
        <v>117</v>
      </c>
      <c r="H565" s="1" t="s">
        <v>188</v>
      </c>
      <c r="K565">
        <v>2013</v>
      </c>
      <c r="L565" t="s">
        <v>39</v>
      </c>
      <c r="M565" t="s">
        <v>60</v>
      </c>
      <c r="N565" t="s">
        <v>24</v>
      </c>
      <c r="O565" t="s">
        <v>191</v>
      </c>
      <c r="P565" s="1" t="s">
        <v>33</v>
      </c>
      <c r="Q565">
        <v>105.2</v>
      </c>
    </row>
    <row r="566" spans="1:17" x14ac:dyDescent="0.3">
      <c r="A566">
        <v>2014</v>
      </c>
      <c r="B566" t="s">
        <v>38</v>
      </c>
      <c r="C566" t="s">
        <v>74</v>
      </c>
      <c r="D566" s="1" t="s">
        <v>11</v>
      </c>
      <c r="E566" s="4">
        <v>103.5</v>
      </c>
      <c r="F566" s="4">
        <v>102.8</v>
      </c>
      <c r="G566" s="4">
        <v>101.3</v>
      </c>
      <c r="H566" s="1" t="s">
        <v>188</v>
      </c>
      <c r="K566">
        <v>2013</v>
      </c>
      <c r="L566" t="s">
        <v>39</v>
      </c>
      <c r="M566" t="s">
        <v>60</v>
      </c>
      <c r="N566" t="s">
        <v>9</v>
      </c>
      <c r="O566" t="s">
        <v>188</v>
      </c>
      <c r="P566" s="1" t="s">
        <v>30</v>
      </c>
      <c r="Q566">
        <v>118</v>
      </c>
    </row>
    <row r="567" spans="1:17" x14ac:dyDescent="0.3">
      <c r="A567">
        <v>2014</v>
      </c>
      <c r="B567" t="s">
        <v>38</v>
      </c>
      <c r="C567" t="s">
        <v>74</v>
      </c>
      <c r="D567" s="1" t="s">
        <v>24</v>
      </c>
      <c r="E567" s="4">
        <v>111.4</v>
      </c>
      <c r="F567" s="4">
        <v>111.3</v>
      </c>
      <c r="G567" s="4">
        <v>111.3</v>
      </c>
      <c r="H567" s="1" t="s">
        <v>191</v>
      </c>
      <c r="K567">
        <v>2013</v>
      </c>
      <c r="L567" t="s">
        <v>39</v>
      </c>
      <c r="M567" t="s">
        <v>60</v>
      </c>
      <c r="N567" t="s">
        <v>9</v>
      </c>
      <c r="O567" t="s">
        <v>188</v>
      </c>
      <c r="P567" s="1" t="s">
        <v>34</v>
      </c>
      <c r="Q567">
        <v>126.7</v>
      </c>
    </row>
    <row r="568" spans="1:17" x14ac:dyDescent="0.3">
      <c r="A568">
        <v>2014</v>
      </c>
      <c r="B568" t="s">
        <v>38</v>
      </c>
      <c r="C568" t="s">
        <v>74</v>
      </c>
      <c r="D568" s="1" t="s">
        <v>9</v>
      </c>
      <c r="E568" s="4">
        <v>123.9</v>
      </c>
      <c r="F568" s="4">
        <v>125</v>
      </c>
      <c r="G568" s="4">
        <v>127</v>
      </c>
      <c r="H568" s="1" t="s">
        <v>188</v>
      </c>
      <c r="K568">
        <v>2013</v>
      </c>
      <c r="L568" t="s">
        <v>39</v>
      </c>
      <c r="M568" t="s">
        <v>60</v>
      </c>
      <c r="N568" t="s">
        <v>9</v>
      </c>
      <c r="O568" t="s">
        <v>188</v>
      </c>
      <c r="P568" s="1" t="s">
        <v>33</v>
      </c>
      <c r="Q568">
        <v>143.6</v>
      </c>
    </row>
    <row r="569" spans="1:17" x14ac:dyDescent="0.3">
      <c r="A569">
        <v>2014</v>
      </c>
      <c r="B569" t="s">
        <v>44</v>
      </c>
      <c r="C569" t="s">
        <v>75</v>
      </c>
      <c r="D569" s="1" t="s">
        <v>3</v>
      </c>
      <c r="E569" s="4">
        <v>122.7</v>
      </c>
      <c r="F569" s="4">
        <v>123.3</v>
      </c>
      <c r="G569" s="4">
        <v>124.5</v>
      </c>
      <c r="H569" s="1" t="s">
        <v>188</v>
      </c>
      <c r="K569">
        <v>2013</v>
      </c>
      <c r="L569" t="s">
        <v>36</v>
      </c>
      <c r="M569" t="s">
        <v>61</v>
      </c>
      <c r="N569" t="s">
        <v>3</v>
      </c>
      <c r="O569" t="s">
        <v>188</v>
      </c>
      <c r="P569" s="1" t="s">
        <v>30</v>
      </c>
      <c r="Q569">
        <v>110.2</v>
      </c>
    </row>
    <row r="570" spans="1:17" x14ac:dyDescent="0.3">
      <c r="A570">
        <v>2014</v>
      </c>
      <c r="B570" t="s">
        <v>44</v>
      </c>
      <c r="C570" t="s">
        <v>75</v>
      </c>
      <c r="D570" s="1" t="s">
        <v>17</v>
      </c>
      <c r="E570" s="4">
        <v>123.3</v>
      </c>
      <c r="F570" s="4">
        <v>122.1</v>
      </c>
      <c r="G570" s="4">
        <v>120.3</v>
      </c>
      <c r="H570" s="1" t="s">
        <v>189</v>
      </c>
      <c r="K570">
        <v>2013</v>
      </c>
      <c r="L570" t="s">
        <v>36</v>
      </c>
      <c r="M570" t="s">
        <v>61</v>
      </c>
      <c r="N570" t="s">
        <v>3</v>
      </c>
      <c r="O570" t="s">
        <v>188</v>
      </c>
      <c r="P570" s="1" t="s">
        <v>34</v>
      </c>
      <c r="Q570">
        <v>111.4</v>
      </c>
    </row>
    <row r="571" spans="1:17" x14ac:dyDescent="0.3">
      <c r="A571">
        <v>2014</v>
      </c>
      <c r="B571" t="s">
        <v>44</v>
      </c>
      <c r="C571" t="s">
        <v>75</v>
      </c>
      <c r="D571" s="1" t="s">
        <v>19</v>
      </c>
      <c r="E571" s="4">
        <v>122.9</v>
      </c>
      <c r="F571" s="4">
        <v>121.6</v>
      </c>
      <c r="G571" s="4">
        <v>119.5</v>
      </c>
      <c r="H571" s="1" t="s">
        <v>189</v>
      </c>
      <c r="K571">
        <v>2013</v>
      </c>
      <c r="L571" t="s">
        <v>36</v>
      </c>
      <c r="M571" t="s">
        <v>61</v>
      </c>
      <c r="N571" t="s">
        <v>3</v>
      </c>
      <c r="O571" t="s">
        <v>188</v>
      </c>
      <c r="P571" s="1" t="s">
        <v>33</v>
      </c>
      <c r="Q571">
        <v>113.9</v>
      </c>
    </row>
    <row r="572" spans="1:17" x14ac:dyDescent="0.3">
      <c r="A572">
        <v>2014</v>
      </c>
      <c r="B572" t="s">
        <v>44</v>
      </c>
      <c r="C572" t="s">
        <v>75</v>
      </c>
      <c r="D572" s="1" t="s">
        <v>26</v>
      </c>
      <c r="E572" s="4">
        <v>117.2</v>
      </c>
      <c r="F572" s="4">
        <v>119</v>
      </c>
      <c r="G572" s="4">
        <v>120.3</v>
      </c>
      <c r="H572" s="1" t="s">
        <v>26</v>
      </c>
      <c r="K572">
        <v>2013</v>
      </c>
      <c r="L572" t="s">
        <v>36</v>
      </c>
      <c r="M572" t="s">
        <v>61</v>
      </c>
      <c r="N572" t="s">
        <v>17</v>
      </c>
      <c r="O572" t="s">
        <v>189</v>
      </c>
      <c r="P572" s="1" t="s">
        <v>30</v>
      </c>
      <c r="Q572">
        <v>107.6</v>
      </c>
    </row>
    <row r="573" spans="1:17" x14ac:dyDescent="0.3">
      <c r="A573">
        <v>2014</v>
      </c>
      <c r="B573" t="s">
        <v>44</v>
      </c>
      <c r="C573" t="s">
        <v>75</v>
      </c>
      <c r="D573" s="1" t="s">
        <v>5</v>
      </c>
      <c r="E573" s="4">
        <v>119.9</v>
      </c>
      <c r="F573" s="4">
        <v>121</v>
      </c>
      <c r="G573" s="4">
        <v>122.7</v>
      </c>
      <c r="H573" s="1" t="s">
        <v>188</v>
      </c>
      <c r="K573">
        <v>2013</v>
      </c>
      <c r="L573" t="s">
        <v>36</v>
      </c>
      <c r="M573" t="s">
        <v>61</v>
      </c>
      <c r="N573" t="s">
        <v>17</v>
      </c>
      <c r="O573" t="s">
        <v>189</v>
      </c>
      <c r="P573" s="1" t="s">
        <v>34</v>
      </c>
      <c r="Q573">
        <v>107.4</v>
      </c>
    </row>
    <row r="574" spans="1:17" x14ac:dyDescent="0.3">
      <c r="A574">
        <v>2014</v>
      </c>
      <c r="B574" t="s">
        <v>44</v>
      </c>
      <c r="C574" t="s">
        <v>75</v>
      </c>
      <c r="D574" s="1" t="s">
        <v>15</v>
      </c>
      <c r="E574" s="4">
        <v>124.9</v>
      </c>
      <c r="F574" s="4">
        <v>125.1</v>
      </c>
      <c r="G574" s="4">
        <v>125.4</v>
      </c>
      <c r="H574" s="1" t="s">
        <v>188</v>
      </c>
      <c r="K574">
        <v>2013</v>
      </c>
      <c r="L574" t="s">
        <v>36</v>
      </c>
      <c r="M574" t="s">
        <v>61</v>
      </c>
      <c r="N574" t="s">
        <v>17</v>
      </c>
      <c r="O574" t="s">
        <v>189</v>
      </c>
      <c r="P574" s="1" t="s">
        <v>33</v>
      </c>
      <c r="Q574">
        <v>107.2</v>
      </c>
    </row>
    <row r="575" spans="1:17" x14ac:dyDescent="0.3">
      <c r="A575">
        <v>2014</v>
      </c>
      <c r="B575" t="s">
        <v>44</v>
      </c>
      <c r="C575" t="s">
        <v>75</v>
      </c>
      <c r="D575" s="1" t="s">
        <v>18</v>
      </c>
      <c r="E575" s="4">
        <v>120.5</v>
      </c>
      <c r="F575" s="4">
        <v>118.4</v>
      </c>
      <c r="G575" s="4">
        <v>115.4</v>
      </c>
      <c r="H575" s="1" t="s">
        <v>189</v>
      </c>
      <c r="K575">
        <v>2013</v>
      </c>
      <c r="L575" t="s">
        <v>36</v>
      </c>
      <c r="M575" t="s">
        <v>61</v>
      </c>
      <c r="N575" t="s">
        <v>19</v>
      </c>
      <c r="O575" t="s">
        <v>189</v>
      </c>
      <c r="P575" s="1" t="s">
        <v>30</v>
      </c>
      <c r="Q575">
        <v>107.5</v>
      </c>
    </row>
    <row r="576" spans="1:17" x14ac:dyDescent="0.3">
      <c r="A576">
        <v>2014</v>
      </c>
      <c r="B576" t="s">
        <v>44</v>
      </c>
      <c r="C576" t="s">
        <v>75</v>
      </c>
      <c r="D576" s="1" t="s">
        <v>8</v>
      </c>
      <c r="E576" s="4">
        <v>128.80000000000001</v>
      </c>
      <c r="F576" s="4">
        <v>125.7</v>
      </c>
      <c r="G576" s="4">
        <v>122.2</v>
      </c>
      <c r="H576" s="1" t="s">
        <v>188</v>
      </c>
      <c r="K576">
        <v>2013</v>
      </c>
      <c r="L576" t="s">
        <v>36</v>
      </c>
      <c r="M576" t="s">
        <v>61</v>
      </c>
      <c r="N576" t="s">
        <v>19</v>
      </c>
      <c r="O576" t="s">
        <v>189</v>
      </c>
      <c r="P576" s="1" t="s">
        <v>34</v>
      </c>
      <c r="Q576">
        <v>107.3</v>
      </c>
    </row>
    <row r="577" spans="1:17" x14ac:dyDescent="0.3">
      <c r="A577">
        <v>2014</v>
      </c>
      <c r="B577" t="s">
        <v>44</v>
      </c>
      <c r="C577" t="s">
        <v>75</v>
      </c>
      <c r="D577" s="1" t="s">
        <v>21</v>
      </c>
      <c r="E577" s="4">
        <v>117.3</v>
      </c>
      <c r="F577" s="4">
        <v>115.5</v>
      </c>
      <c r="G577" s="4">
        <v>112.6</v>
      </c>
      <c r="H577" s="1" t="s">
        <v>190</v>
      </c>
      <c r="K577">
        <v>2013</v>
      </c>
      <c r="L577" t="s">
        <v>36</v>
      </c>
      <c r="M577" t="s">
        <v>61</v>
      </c>
      <c r="N577" t="s">
        <v>19</v>
      </c>
      <c r="O577" t="s">
        <v>189</v>
      </c>
      <c r="P577" s="1" t="s">
        <v>33</v>
      </c>
      <c r="Q577">
        <v>107</v>
      </c>
    </row>
    <row r="578" spans="1:17" x14ac:dyDescent="0.3">
      <c r="A578">
        <v>2014</v>
      </c>
      <c r="B578" t="s">
        <v>44</v>
      </c>
      <c r="C578" t="s">
        <v>75</v>
      </c>
      <c r="D578" s="1" t="s">
        <v>29</v>
      </c>
      <c r="E578" s="4">
        <v>121.1</v>
      </c>
      <c r="F578" s="4">
        <v>120.1</v>
      </c>
      <c r="G578" s="4">
        <v>119</v>
      </c>
      <c r="H578" s="1" t="s">
        <v>206</v>
      </c>
      <c r="K578">
        <v>2013</v>
      </c>
      <c r="L578" t="s">
        <v>36</v>
      </c>
      <c r="M578" t="s">
        <v>61</v>
      </c>
      <c r="N578" t="s">
        <v>26</v>
      </c>
      <c r="O578" t="s">
        <v>26</v>
      </c>
      <c r="P578" s="1" t="s">
        <v>30</v>
      </c>
      <c r="Q578">
        <v>104.3</v>
      </c>
    </row>
    <row r="579" spans="1:17" x14ac:dyDescent="0.3">
      <c r="A579">
        <v>2014</v>
      </c>
      <c r="B579" t="s">
        <v>44</v>
      </c>
      <c r="C579" t="s">
        <v>75</v>
      </c>
      <c r="D579" s="1" t="s">
        <v>23</v>
      </c>
      <c r="E579" s="4">
        <v>115.9</v>
      </c>
      <c r="F579" s="4">
        <v>114.8</v>
      </c>
      <c r="G579" s="4">
        <v>113</v>
      </c>
      <c r="H579" s="1" t="s">
        <v>23</v>
      </c>
      <c r="K579">
        <v>2013</v>
      </c>
      <c r="L579" t="s">
        <v>36</v>
      </c>
      <c r="M579" t="s">
        <v>61</v>
      </c>
      <c r="N579" t="s">
        <v>26</v>
      </c>
      <c r="O579" t="s">
        <v>26</v>
      </c>
      <c r="P579" s="1" t="s">
        <v>34</v>
      </c>
      <c r="Q579">
        <v>104</v>
      </c>
    </row>
    <row r="580" spans="1:17" x14ac:dyDescent="0.3">
      <c r="A580">
        <v>2014</v>
      </c>
      <c r="B580" t="s">
        <v>44</v>
      </c>
      <c r="C580" t="s">
        <v>75</v>
      </c>
      <c r="D580" s="1" t="s">
        <v>22</v>
      </c>
      <c r="E580" s="4">
        <v>118.1</v>
      </c>
      <c r="F580" s="4">
        <v>117.3</v>
      </c>
      <c r="G580" s="4">
        <v>116.4</v>
      </c>
      <c r="H580" s="1" t="s">
        <v>20</v>
      </c>
      <c r="K580">
        <v>2013</v>
      </c>
      <c r="L580" t="s">
        <v>36</v>
      </c>
      <c r="M580" t="s">
        <v>61</v>
      </c>
      <c r="N580" t="s">
        <v>26</v>
      </c>
      <c r="O580" t="s">
        <v>26</v>
      </c>
      <c r="P580" s="1" t="s">
        <v>33</v>
      </c>
      <c r="Q580">
        <v>103.8</v>
      </c>
    </row>
    <row r="581" spans="1:17" x14ac:dyDescent="0.3">
      <c r="A581">
        <v>2014</v>
      </c>
      <c r="B581" t="s">
        <v>44</v>
      </c>
      <c r="C581" t="s">
        <v>75</v>
      </c>
      <c r="D581" s="1" t="s">
        <v>20</v>
      </c>
      <c r="E581" s="4">
        <v>0</v>
      </c>
      <c r="F581" s="4">
        <v>117.1</v>
      </c>
      <c r="G581" s="4">
        <v>117.1</v>
      </c>
      <c r="H581" s="1" t="s">
        <v>20</v>
      </c>
      <c r="K581">
        <v>2013</v>
      </c>
      <c r="L581" t="s">
        <v>36</v>
      </c>
      <c r="M581" t="s">
        <v>61</v>
      </c>
      <c r="N581" t="s">
        <v>5</v>
      </c>
      <c r="O581" t="s">
        <v>188</v>
      </c>
      <c r="P581" s="1" t="s">
        <v>30</v>
      </c>
      <c r="Q581">
        <v>109.9</v>
      </c>
    </row>
    <row r="582" spans="1:17" x14ac:dyDescent="0.3">
      <c r="A582">
        <v>2014</v>
      </c>
      <c r="B582" t="s">
        <v>44</v>
      </c>
      <c r="C582" t="s">
        <v>75</v>
      </c>
      <c r="D582" s="1" t="s">
        <v>4</v>
      </c>
      <c r="E582" s="4">
        <v>122.6</v>
      </c>
      <c r="F582" s="4">
        <v>123.7</v>
      </c>
      <c r="G582" s="4">
        <v>125.6</v>
      </c>
      <c r="H582" s="1" t="s">
        <v>188</v>
      </c>
      <c r="K582">
        <v>2013</v>
      </c>
      <c r="L582" t="s">
        <v>36</v>
      </c>
      <c r="M582" t="s">
        <v>61</v>
      </c>
      <c r="N582" t="s">
        <v>5</v>
      </c>
      <c r="O582" t="s">
        <v>188</v>
      </c>
      <c r="P582" s="1" t="s">
        <v>34</v>
      </c>
      <c r="Q582">
        <v>111.2</v>
      </c>
    </row>
    <row r="583" spans="1:17" x14ac:dyDescent="0.3">
      <c r="A583">
        <v>2014</v>
      </c>
      <c r="B583" t="s">
        <v>44</v>
      </c>
      <c r="C583" t="s">
        <v>75</v>
      </c>
      <c r="D583" s="1" t="s">
        <v>6</v>
      </c>
      <c r="E583" s="4">
        <v>124</v>
      </c>
      <c r="F583" s="4">
        <v>124.2</v>
      </c>
      <c r="G583" s="4">
        <v>124.6</v>
      </c>
      <c r="H583" s="1" t="s">
        <v>188</v>
      </c>
      <c r="K583">
        <v>2013</v>
      </c>
      <c r="L583" t="s">
        <v>36</v>
      </c>
      <c r="M583" t="s">
        <v>61</v>
      </c>
      <c r="N583" t="s">
        <v>5</v>
      </c>
      <c r="O583" t="s">
        <v>188</v>
      </c>
      <c r="P583" s="1" t="s">
        <v>33</v>
      </c>
      <c r="Q583">
        <v>113.2</v>
      </c>
    </row>
    <row r="584" spans="1:17" x14ac:dyDescent="0.3">
      <c r="A584">
        <v>2014</v>
      </c>
      <c r="B584" t="s">
        <v>44</v>
      </c>
      <c r="C584" t="s">
        <v>75</v>
      </c>
      <c r="D584" s="1" t="s">
        <v>28</v>
      </c>
      <c r="E584" s="4">
        <v>114.1</v>
      </c>
      <c r="F584" s="4">
        <v>113.8</v>
      </c>
      <c r="G584" s="4">
        <v>113.4</v>
      </c>
      <c r="H584" s="1" t="s">
        <v>192</v>
      </c>
      <c r="K584">
        <v>2013</v>
      </c>
      <c r="L584" t="s">
        <v>36</v>
      </c>
      <c r="M584" t="s">
        <v>61</v>
      </c>
      <c r="N584" t="s">
        <v>15</v>
      </c>
      <c r="O584" t="s">
        <v>188</v>
      </c>
      <c r="P584" s="1" t="s">
        <v>30</v>
      </c>
      <c r="Q584">
        <v>106.6</v>
      </c>
    </row>
    <row r="585" spans="1:17" x14ac:dyDescent="0.3">
      <c r="A585">
        <v>2014</v>
      </c>
      <c r="B585" t="s">
        <v>44</v>
      </c>
      <c r="C585" t="s">
        <v>75</v>
      </c>
      <c r="D585" s="1" t="s">
        <v>13</v>
      </c>
      <c r="E585" s="4">
        <v>116.8</v>
      </c>
      <c r="F585" s="4">
        <v>116.4</v>
      </c>
      <c r="G585" s="4">
        <v>115.8</v>
      </c>
      <c r="H585" s="1" t="s">
        <v>188</v>
      </c>
      <c r="K585">
        <v>2013</v>
      </c>
      <c r="L585" t="s">
        <v>36</v>
      </c>
      <c r="M585" t="s">
        <v>61</v>
      </c>
      <c r="N585" t="s">
        <v>15</v>
      </c>
      <c r="O585" t="s">
        <v>188</v>
      </c>
      <c r="P585" s="1" t="s">
        <v>34</v>
      </c>
      <c r="Q585">
        <v>106.9</v>
      </c>
    </row>
    <row r="586" spans="1:17" x14ac:dyDescent="0.3">
      <c r="A586">
        <v>2014</v>
      </c>
      <c r="B586" t="s">
        <v>44</v>
      </c>
      <c r="C586" t="s">
        <v>75</v>
      </c>
      <c r="D586" s="1" t="s">
        <v>7</v>
      </c>
      <c r="E586" s="4">
        <v>110.5</v>
      </c>
      <c r="F586" s="4">
        <v>107.8</v>
      </c>
      <c r="G586" s="4">
        <v>103.2</v>
      </c>
      <c r="H586" s="1" t="s">
        <v>188</v>
      </c>
      <c r="K586">
        <v>2013</v>
      </c>
      <c r="L586" t="s">
        <v>36</v>
      </c>
      <c r="M586" t="s">
        <v>61</v>
      </c>
      <c r="N586" t="s">
        <v>15</v>
      </c>
      <c r="O586" t="s">
        <v>188</v>
      </c>
      <c r="P586" s="1" t="s">
        <v>33</v>
      </c>
      <c r="Q586">
        <v>107.3</v>
      </c>
    </row>
    <row r="587" spans="1:17" x14ac:dyDescent="0.3">
      <c r="A587">
        <v>2014</v>
      </c>
      <c r="B587" t="s">
        <v>44</v>
      </c>
      <c r="C587" t="s">
        <v>75</v>
      </c>
      <c r="D587" s="1" t="s">
        <v>16</v>
      </c>
      <c r="E587" s="4">
        <v>120.8</v>
      </c>
      <c r="F587" s="4">
        <v>122.1</v>
      </c>
      <c r="G587" s="4">
        <v>125.8</v>
      </c>
      <c r="H587" s="1" t="s">
        <v>192</v>
      </c>
      <c r="K587">
        <v>2013</v>
      </c>
      <c r="L587" t="s">
        <v>36</v>
      </c>
      <c r="M587" t="s">
        <v>61</v>
      </c>
      <c r="N587" t="s">
        <v>18</v>
      </c>
      <c r="O587" t="s">
        <v>189</v>
      </c>
      <c r="P587" s="1" t="s">
        <v>30</v>
      </c>
      <c r="Q587">
        <v>106.8</v>
      </c>
    </row>
    <row r="588" spans="1:17" x14ac:dyDescent="0.3">
      <c r="A588">
        <v>2014</v>
      </c>
      <c r="B588" t="s">
        <v>44</v>
      </c>
      <c r="C588" t="s">
        <v>75</v>
      </c>
      <c r="D588" s="1" t="s">
        <v>27</v>
      </c>
      <c r="E588" s="4">
        <v>108.8</v>
      </c>
      <c r="F588" s="4">
        <v>109.1</v>
      </c>
      <c r="G588" s="4">
        <v>109.6</v>
      </c>
      <c r="H588" s="1" t="s">
        <v>192</v>
      </c>
      <c r="K588">
        <v>2013</v>
      </c>
      <c r="L588" t="s">
        <v>36</v>
      </c>
      <c r="M588" t="s">
        <v>61</v>
      </c>
      <c r="N588" t="s">
        <v>18</v>
      </c>
      <c r="O588" t="s">
        <v>189</v>
      </c>
      <c r="P588" s="1" t="s">
        <v>34</v>
      </c>
      <c r="Q588">
        <v>106.5</v>
      </c>
    </row>
    <row r="589" spans="1:17" x14ac:dyDescent="0.3">
      <c r="A589">
        <v>2014</v>
      </c>
      <c r="B589" t="s">
        <v>44</v>
      </c>
      <c r="C589" t="s">
        <v>75</v>
      </c>
      <c r="D589" s="1" t="s">
        <v>14</v>
      </c>
      <c r="E589" s="4">
        <v>124.5</v>
      </c>
      <c r="F589" s="4">
        <v>125.6</v>
      </c>
      <c r="G589" s="4">
        <v>126.9</v>
      </c>
      <c r="H589" s="1" t="s">
        <v>188</v>
      </c>
      <c r="K589">
        <v>2013</v>
      </c>
      <c r="L589" t="s">
        <v>36</v>
      </c>
      <c r="M589" t="s">
        <v>61</v>
      </c>
      <c r="N589" t="s">
        <v>18</v>
      </c>
      <c r="O589" t="s">
        <v>189</v>
      </c>
      <c r="P589" s="1" t="s">
        <v>33</v>
      </c>
      <c r="Q589">
        <v>106</v>
      </c>
    </row>
    <row r="590" spans="1:17" x14ac:dyDescent="0.3">
      <c r="A590">
        <v>2014</v>
      </c>
      <c r="B590" t="s">
        <v>44</v>
      </c>
      <c r="C590" t="s">
        <v>75</v>
      </c>
      <c r="D590" s="1" t="s">
        <v>10</v>
      </c>
      <c r="E590" s="4">
        <v>116.2</v>
      </c>
      <c r="F590" s="4">
        <v>117.2</v>
      </c>
      <c r="G590" s="4">
        <v>119.3</v>
      </c>
      <c r="H590" s="1" t="s">
        <v>188</v>
      </c>
      <c r="K590">
        <v>2013</v>
      </c>
      <c r="L590" t="s">
        <v>36</v>
      </c>
      <c r="M590" t="s">
        <v>61</v>
      </c>
      <c r="N590" t="s">
        <v>8</v>
      </c>
      <c r="O590" t="s">
        <v>188</v>
      </c>
      <c r="P590" s="1" t="s">
        <v>30</v>
      </c>
      <c r="Q590">
        <v>105.7</v>
      </c>
    </row>
    <row r="591" spans="1:17" x14ac:dyDescent="0.3">
      <c r="A591">
        <v>2014</v>
      </c>
      <c r="B591" t="s">
        <v>44</v>
      </c>
      <c r="C591" t="s">
        <v>75</v>
      </c>
      <c r="D591" s="1" t="s">
        <v>25</v>
      </c>
      <c r="E591" s="4">
        <v>113.3</v>
      </c>
      <c r="F591" s="4">
        <v>113.7</v>
      </c>
      <c r="G591" s="4">
        <v>114</v>
      </c>
      <c r="H591" s="1" t="s">
        <v>195</v>
      </c>
      <c r="K591">
        <v>2013</v>
      </c>
      <c r="L591" t="s">
        <v>36</v>
      </c>
      <c r="M591" t="s">
        <v>61</v>
      </c>
      <c r="N591" t="s">
        <v>8</v>
      </c>
      <c r="O591" t="s">
        <v>188</v>
      </c>
      <c r="P591" s="1" t="s">
        <v>34</v>
      </c>
      <c r="Q591">
        <v>105.3</v>
      </c>
    </row>
    <row r="592" spans="1:17" x14ac:dyDescent="0.3">
      <c r="A592">
        <v>2014</v>
      </c>
      <c r="B592" t="s">
        <v>44</v>
      </c>
      <c r="C592" t="s">
        <v>75</v>
      </c>
      <c r="D592" s="1" t="s">
        <v>12</v>
      </c>
      <c r="E592" s="4">
        <v>115.8</v>
      </c>
      <c r="F592" s="4">
        <v>118.7</v>
      </c>
      <c r="G592" s="4">
        <v>124.6</v>
      </c>
      <c r="H592" s="1" t="s">
        <v>188</v>
      </c>
      <c r="K592">
        <v>2013</v>
      </c>
      <c r="L592" t="s">
        <v>36</v>
      </c>
      <c r="M592" t="s">
        <v>61</v>
      </c>
      <c r="N592" t="s">
        <v>8</v>
      </c>
      <c r="O592" t="s">
        <v>188</v>
      </c>
      <c r="P592" s="1" t="s">
        <v>33</v>
      </c>
      <c r="Q592">
        <v>104.9</v>
      </c>
    </row>
    <row r="593" spans="1:17" x14ac:dyDescent="0.3">
      <c r="A593">
        <v>2014</v>
      </c>
      <c r="B593" t="s">
        <v>44</v>
      </c>
      <c r="C593" t="s">
        <v>75</v>
      </c>
      <c r="D593" s="1" t="s">
        <v>11</v>
      </c>
      <c r="E593" s="4">
        <v>103.3</v>
      </c>
      <c r="F593" s="4">
        <v>102.1</v>
      </c>
      <c r="G593" s="4">
        <v>99.8</v>
      </c>
      <c r="H593" s="1" t="s">
        <v>188</v>
      </c>
      <c r="K593">
        <v>2013</v>
      </c>
      <c r="L593" t="s">
        <v>36</v>
      </c>
      <c r="M593" t="s">
        <v>61</v>
      </c>
      <c r="N593" t="s">
        <v>21</v>
      </c>
      <c r="O593" t="s">
        <v>190</v>
      </c>
      <c r="P593" s="1" t="s">
        <v>30</v>
      </c>
      <c r="Q593">
        <v>106.1</v>
      </c>
    </row>
    <row r="594" spans="1:17" x14ac:dyDescent="0.3">
      <c r="A594">
        <v>2014</v>
      </c>
      <c r="B594" t="s">
        <v>44</v>
      </c>
      <c r="C594" t="s">
        <v>75</v>
      </c>
      <c r="D594" s="1" t="s">
        <v>24</v>
      </c>
      <c r="E594" s="4">
        <v>112</v>
      </c>
      <c r="F594" s="4">
        <v>110.8</v>
      </c>
      <c r="G594" s="4">
        <v>109.7</v>
      </c>
      <c r="H594" s="1" t="s">
        <v>191</v>
      </c>
      <c r="K594">
        <v>2013</v>
      </c>
      <c r="L594" t="s">
        <v>36</v>
      </c>
      <c r="M594" t="s">
        <v>61</v>
      </c>
      <c r="N594" t="s">
        <v>21</v>
      </c>
      <c r="O594" t="s">
        <v>190</v>
      </c>
      <c r="P594" s="1" t="s">
        <v>34</v>
      </c>
      <c r="Q594">
        <v>106.1</v>
      </c>
    </row>
    <row r="595" spans="1:17" x14ac:dyDescent="0.3">
      <c r="A595">
        <v>2014</v>
      </c>
      <c r="B595" t="s">
        <v>44</v>
      </c>
      <c r="C595" t="s">
        <v>75</v>
      </c>
      <c r="D595" s="1" t="s">
        <v>9</v>
      </c>
      <c r="E595" s="4">
        <v>152</v>
      </c>
      <c r="F595" s="4">
        <v>152.4</v>
      </c>
      <c r="G595" s="4">
        <v>153.19999999999999</v>
      </c>
      <c r="H595" s="1" t="s">
        <v>188</v>
      </c>
      <c r="K595">
        <v>2013</v>
      </c>
      <c r="L595" t="s">
        <v>36</v>
      </c>
      <c r="M595" t="s">
        <v>61</v>
      </c>
      <c r="N595" t="s">
        <v>21</v>
      </c>
      <c r="O595" t="s">
        <v>190</v>
      </c>
      <c r="P595" s="1" t="s">
        <v>33</v>
      </c>
      <c r="Q595">
        <v>106</v>
      </c>
    </row>
    <row r="596" spans="1:17" x14ac:dyDescent="0.3">
      <c r="A596">
        <v>2014</v>
      </c>
      <c r="B596" t="s">
        <v>43</v>
      </c>
      <c r="C596" t="s">
        <v>76</v>
      </c>
      <c r="D596" s="1" t="s">
        <v>3</v>
      </c>
      <c r="E596" s="4">
        <v>122.6</v>
      </c>
      <c r="F596" s="4">
        <v>123.2</v>
      </c>
      <c r="G596" s="4">
        <v>124.6</v>
      </c>
      <c r="H596" s="1" t="s">
        <v>188</v>
      </c>
      <c r="K596">
        <v>2013</v>
      </c>
      <c r="L596" t="s">
        <v>36</v>
      </c>
      <c r="M596" t="s">
        <v>61</v>
      </c>
      <c r="N596" t="s">
        <v>29</v>
      </c>
      <c r="O596" t="s">
        <v>206</v>
      </c>
      <c r="P596" s="1" t="s">
        <v>30</v>
      </c>
      <c r="Q596">
        <v>106</v>
      </c>
    </row>
    <row r="597" spans="1:17" x14ac:dyDescent="0.3">
      <c r="A597">
        <v>2014</v>
      </c>
      <c r="B597" t="s">
        <v>43</v>
      </c>
      <c r="C597" t="s">
        <v>76</v>
      </c>
      <c r="D597" s="1" t="s">
        <v>17</v>
      </c>
      <c r="E597" s="4">
        <v>122.7</v>
      </c>
      <c r="F597" s="4">
        <v>121.5</v>
      </c>
      <c r="G597" s="4">
        <v>119.6</v>
      </c>
      <c r="H597" s="1" t="s">
        <v>189</v>
      </c>
      <c r="K597">
        <v>2013</v>
      </c>
      <c r="L597" t="s">
        <v>36</v>
      </c>
      <c r="M597" t="s">
        <v>61</v>
      </c>
      <c r="N597" t="s">
        <v>29</v>
      </c>
      <c r="O597" t="s">
        <v>206</v>
      </c>
      <c r="P597" s="1" t="s">
        <v>34</v>
      </c>
      <c r="Q597">
        <v>105.5</v>
      </c>
    </row>
    <row r="598" spans="1:17" x14ac:dyDescent="0.3">
      <c r="A598">
        <v>2014</v>
      </c>
      <c r="B598" t="s">
        <v>43</v>
      </c>
      <c r="C598" t="s">
        <v>76</v>
      </c>
      <c r="D598" s="1" t="s">
        <v>19</v>
      </c>
      <c r="E598" s="4">
        <v>122.3</v>
      </c>
      <c r="F598" s="4">
        <v>121</v>
      </c>
      <c r="G598" s="4">
        <v>118.9</v>
      </c>
      <c r="H598" s="1" t="s">
        <v>189</v>
      </c>
      <c r="K598">
        <v>2013</v>
      </c>
      <c r="L598" t="s">
        <v>36</v>
      </c>
      <c r="M598" t="s">
        <v>61</v>
      </c>
      <c r="N598" t="s">
        <v>29</v>
      </c>
      <c r="O598" t="s">
        <v>206</v>
      </c>
      <c r="P598" s="1" t="s">
        <v>33</v>
      </c>
      <c r="Q598">
        <v>105</v>
      </c>
    </row>
    <row r="599" spans="1:17" x14ac:dyDescent="0.3">
      <c r="A599">
        <v>2014</v>
      </c>
      <c r="B599" t="s">
        <v>43</v>
      </c>
      <c r="C599" t="s">
        <v>76</v>
      </c>
      <c r="D599" s="1" t="s">
        <v>26</v>
      </c>
      <c r="E599" s="4">
        <v>116.9</v>
      </c>
      <c r="F599" s="4">
        <v>118.8</v>
      </c>
      <c r="G599" s="4">
        <v>120.2</v>
      </c>
      <c r="H599" s="1" t="s">
        <v>26</v>
      </c>
      <c r="K599">
        <v>2013</v>
      </c>
      <c r="L599" t="s">
        <v>36</v>
      </c>
      <c r="M599" t="s">
        <v>61</v>
      </c>
      <c r="N599" t="s">
        <v>23</v>
      </c>
      <c r="O599" t="s">
        <v>23</v>
      </c>
      <c r="P599" s="1" t="s">
        <v>30</v>
      </c>
      <c r="Q599">
        <v>104.7</v>
      </c>
    </row>
    <row r="600" spans="1:17" x14ac:dyDescent="0.3">
      <c r="A600">
        <v>2014</v>
      </c>
      <c r="B600" t="s">
        <v>43</v>
      </c>
      <c r="C600" t="s">
        <v>76</v>
      </c>
      <c r="D600" s="1" t="s">
        <v>5</v>
      </c>
      <c r="E600" s="4">
        <v>118.3</v>
      </c>
      <c r="F600" s="4">
        <v>118.1</v>
      </c>
      <c r="G600" s="4">
        <v>117.8</v>
      </c>
      <c r="H600" s="1" t="s">
        <v>188</v>
      </c>
      <c r="K600">
        <v>2013</v>
      </c>
      <c r="L600" t="s">
        <v>36</v>
      </c>
      <c r="M600" t="s">
        <v>61</v>
      </c>
      <c r="N600" t="s">
        <v>23</v>
      </c>
      <c r="O600" t="s">
        <v>23</v>
      </c>
      <c r="P600" s="1" t="s">
        <v>34</v>
      </c>
      <c r="Q600">
        <v>104.9</v>
      </c>
    </row>
    <row r="601" spans="1:17" x14ac:dyDescent="0.3">
      <c r="A601">
        <v>2014</v>
      </c>
      <c r="B601" t="s">
        <v>43</v>
      </c>
      <c r="C601" t="s">
        <v>76</v>
      </c>
      <c r="D601" s="1" t="s">
        <v>15</v>
      </c>
      <c r="E601" s="4">
        <v>125.1</v>
      </c>
      <c r="F601" s="4">
        <v>125.4</v>
      </c>
      <c r="G601" s="4">
        <v>125.8</v>
      </c>
      <c r="H601" s="1" t="s">
        <v>188</v>
      </c>
      <c r="K601">
        <v>2013</v>
      </c>
      <c r="L601" t="s">
        <v>36</v>
      </c>
      <c r="M601" t="s">
        <v>61</v>
      </c>
      <c r="N601" t="s">
        <v>23</v>
      </c>
      <c r="O601" t="s">
        <v>23</v>
      </c>
      <c r="P601" s="1" t="s">
        <v>33</v>
      </c>
      <c r="Q601">
        <v>105.2</v>
      </c>
    </row>
    <row r="602" spans="1:17" x14ac:dyDescent="0.3">
      <c r="A602">
        <v>2014</v>
      </c>
      <c r="B602" t="s">
        <v>43</v>
      </c>
      <c r="C602" t="s">
        <v>76</v>
      </c>
      <c r="D602" s="1" t="s">
        <v>18</v>
      </c>
      <c r="E602" s="4">
        <v>120.3</v>
      </c>
      <c r="F602" s="4">
        <v>118.1</v>
      </c>
      <c r="G602" s="4">
        <v>114.9</v>
      </c>
      <c r="H602" s="1" t="s">
        <v>189</v>
      </c>
      <c r="K602">
        <v>2013</v>
      </c>
      <c r="L602" t="s">
        <v>36</v>
      </c>
      <c r="M602" t="s">
        <v>61</v>
      </c>
      <c r="N602" t="s">
        <v>22</v>
      </c>
      <c r="O602" t="s">
        <v>20</v>
      </c>
      <c r="P602" s="1" t="s">
        <v>30</v>
      </c>
      <c r="Q602">
        <v>105.6</v>
      </c>
    </row>
    <row r="603" spans="1:17" x14ac:dyDescent="0.3">
      <c r="A603">
        <v>2014</v>
      </c>
      <c r="B603" t="s">
        <v>43</v>
      </c>
      <c r="C603" t="s">
        <v>76</v>
      </c>
      <c r="D603" s="1" t="s">
        <v>8</v>
      </c>
      <c r="E603" s="4">
        <v>128.9</v>
      </c>
      <c r="F603" s="4">
        <v>126.4</v>
      </c>
      <c r="G603" s="4">
        <v>123.5</v>
      </c>
      <c r="H603" s="1" t="s">
        <v>188</v>
      </c>
      <c r="K603">
        <v>2013</v>
      </c>
      <c r="L603" t="s">
        <v>36</v>
      </c>
      <c r="M603" t="s">
        <v>61</v>
      </c>
      <c r="N603" t="s">
        <v>22</v>
      </c>
      <c r="O603" t="s">
        <v>20</v>
      </c>
      <c r="P603" s="1" t="s">
        <v>34</v>
      </c>
      <c r="Q603">
        <v>105.6</v>
      </c>
    </row>
    <row r="604" spans="1:17" x14ac:dyDescent="0.3">
      <c r="A604">
        <v>2014</v>
      </c>
      <c r="B604" t="s">
        <v>43</v>
      </c>
      <c r="C604" t="s">
        <v>76</v>
      </c>
      <c r="D604" s="1" t="s">
        <v>21</v>
      </c>
      <c r="E604" s="4">
        <v>116.4</v>
      </c>
      <c r="F604" s="4">
        <v>114.7</v>
      </c>
      <c r="G604" s="4">
        <v>112</v>
      </c>
      <c r="H604" s="1" t="s">
        <v>190</v>
      </c>
      <c r="K604">
        <v>2013</v>
      </c>
      <c r="L604" t="s">
        <v>36</v>
      </c>
      <c r="M604" t="s">
        <v>61</v>
      </c>
      <c r="N604" t="s">
        <v>22</v>
      </c>
      <c r="O604" t="s">
        <v>20</v>
      </c>
      <c r="P604" s="1" t="s">
        <v>33</v>
      </c>
      <c r="Q604">
        <v>105.7</v>
      </c>
    </row>
    <row r="605" spans="1:17" x14ac:dyDescent="0.3">
      <c r="A605">
        <v>2014</v>
      </c>
      <c r="B605" t="s">
        <v>43</v>
      </c>
      <c r="C605" t="s">
        <v>76</v>
      </c>
      <c r="D605" s="1" t="s">
        <v>29</v>
      </c>
      <c r="E605" s="4">
        <v>121</v>
      </c>
      <c r="F605" s="4">
        <v>120.1</v>
      </c>
      <c r="G605" s="4">
        <v>119.1</v>
      </c>
      <c r="H605" s="1" t="s">
        <v>206</v>
      </c>
      <c r="K605">
        <v>2013</v>
      </c>
      <c r="L605" t="s">
        <v>36</v>
      </c>
      <c r="M605" t="s">
        <v>61</v>
      </c>
      <c r="N605" t="s">
        <v>20</v>
      </c>
      <c r="O605" t="s">
        <v>20</v>
      </c>
      <c r="P605" s="1" t="s">
        <v>30</v>
      </c>
      <c r="Q605">
        <v>0</v>
      </c>
    </row>
    <row r="606" spans="1:17" x14ac:dyDescent="0.3">
      <c r="A606">
        <v>2014</v>
      </c>
      <c r="B606" t="s">
        <v>43</v>
      </c>
      <c r="C606" t="s">
        <v>76</v>
      </c>
      <c r="D606" s="1" t="s">
        <v>23</v>
      </c>
      <c r="E606" s="4">
        <v>115.3</v>
      </c>
      <c r="F606" s="4">
        <v>114.3</v>
      </c>
      <c r="G606" s="4">
        <v>112.6</v>
      </c>
      <c r="H606" s="1" t="s">
        <v>23</v>
      </c>
      <c r="K606">
        <v>2013</v>
      </c>
      <c r="L606" t="s">
        <v>36</v>
      </c>
      <c r="M606" t="s">
        <v>61</v>
      </c>
      <c r="N606" t="s">
        <v>20</v>
      </c>
      <c r="O606" t="s">
        <v>20</v>
      </c>
      <c r="P606" s="1" t="s">
        <v>34</v>
      </c>
      <c r="Q606">
        <v>100.4</v>
      </c>
    </row>
    <row r="607" spans="1:17" x14ac:dyDescent="0.3">
      <c r="A607">
        <v>2014</v>
      </c>
      <c r="B607" t="s">
        <v>43</v>
      </c>
      <c r="C607" t="s">
        <v>76</v>
      </c>
      <c r="D607" s="1" t="s">
        <v>22</v>
      </c>
      <c r="E607" s="4">
        <v>117.5</v>
      </c>
      <c r="F607" s="4">
        <v>116.7</v>
      </c>
      <c r="G607" s="4">
        <v>115.8</v>
      </c>
      <c r="H607" s="1" t="s">
        <v>20</v>
      </c>
      <c r="K607">
        <v>2013</v>
      </c>
      <c r="L607" t="s">
        <v>36</v>
      </c>
      <c r="M607" t="s">
        <v>61</v>
      </c>
      <c r="N607" t="s">
        <v>20</v>
      </c>
      <c r="O607" t="s">
        <v>20</v>
      </c>
      <c r="P607" s="1" t="s">
        <v>33</v>
      </c>
      <c r="Q607">
        <v>100.4</v>
      </c>
    </row>
    <row r="608" spans="1:17" x14ac:dyDescent="0.3">
      <c r="A608">
        <v>2014</v>
      </c>
      <c r="B608" t="s">
        <v>43</v>
      </c>
      <c r="C608" t="s">
        <v>76</v>
      </c>
      <c r="D608" s="1" t="s">
        <v>20</v>
      </c>
      <c r="E608" s="4">
        <v>0</v>
      </c>
      <c r="F608" s="4">
        <v>116.7</v>
      </c>
      <c r="G608" s="4">
        <v>116.7</v>
      </c>
      <c r="H608" s="1" t="s">
        <v>20</v>
      </c>
      <c r="K608">
        <v>2013</v>
      </c>
      <c r="L608" t="s">
        <v>36</v>
      </c>
      <c r="M608" t="s">
        <v>61</v>
      </c>
      <c r="N608" t="s">
        <v>4</v>
      </c>
      <c r="O608" t="s">
        <v>188</v>
      </c>
      <c r="P608" s="1" t="s">
        <v>30</v>
      </c>
      <c r="Q608">
        <v>108.8</v>
      </c>
    </row>
    <row r="609" spans="1:17" x14ac:dyDescent="0.3">
      <c r="A609">
        <v>2014</v>
      </c>
      <c r="B609" t="s">
        <v>43</v>
      </c>
      <c r="C609" t="s">
        <v>76</v>
      </c>
      <c r="D609" s="1" t="s">
        <v>4</v>
      </c>
      <c r="E609" s="4">
        <v>122.5</v>
      </c>
      <c r="F609" s="4">
        <v>123.8</v>
      </c>
      <c r="G609" s="4">
        <v>126.1</v>
      </c>
      <c r="H609" s="1" t="s">
        <v>188</v>
      </c>
      <c r="K609">
        <v>2013</v>
      </c>
      <c r="L609" t="s">
        <v>36</v>
      </c>
      <c r="M609" t="s">
        <v>61</v>
      </c>
      <c r="N609" t="s">
        <v>4</v>
      </c>
      <c r="O609" t="s">
        <v>188</v>
      </c>
      <c r="P609" s="1" t="s">
        <v>34</v>
      </c>
      <c r="Q609">
        <v>109.7</v>
      </c>
    </row>
    <row r="610" spans="1:17" x14ac:dyDescent="0.3">
      <c r="A610">
        <v>2014</v>
      </c>
      <c r="B610" t="s">
        <v>43</v>
      </c>
      <c r="C610" t="s">
        <v>76</v>
      </c>
      <c r="D610" s="1" t="s">
        <v>6</v>
      </c>
      <c r="E610" s="4">
        <v>123.2</v>
      </c>
      <c r="F610" s="4">
        <v>123.2</v>
      </c>
      <c r="G610" s="4">
        <v>123.1</v>
      </c>
      <c r="H610" s="1" t="s">
        <v>188</v>
      </c>
      <c r="K610">
        <v>2013</v>
      </c>
      <c r="L610" t="s">
        <v>36</v>
      </c>
      <c r="M610" t="s">
        <v>61</v>
      </c>
      <c r="N610" t="s">
        <v>4</v>
      </c>
      <c r="O610" t="s">
        <v>188</v>
      </c>
      <c r="P610" s="1" t="s">
        <v>33</v>
      </c>
      <c r="Q610">
        <v>111.4</v>
      </c>
    </row>
    <row r="611" spans="1:17" x14ac:dyDescent="0.3">
      <c r="A611">
        <v>2014</v>
      </c>
      <c r="B611" t="s">
        <v>43</v>
      </c>
      <c r="C611" t="s">
        <v>76</v>
      </c>
      <c r="D611" s="1" t="s">
        <v>28</v>
      </c>
      <c r="E611" s="4">
        <v>114</v>
      </c>
      <c r="F611" s="4">
        <v>113.9</v>
      </c>
      <c r="G611" s="4">
        <v>113.7</v>
      </c>
      <c r="H611" s="1" t="s">
        <v>192</v>
      </c>
      <c r="K611">
        <v>2013</v>
      </c>
      <c r="L611" t="s">
        <v>36</v>
      </c>
      <c r="M611" t="s">
        <v>61</v>
      </c>
      <c r="N611" t="s">
        <v>6</v>
      </c>
      <c r="O611" t="s">
        <v>188</v>
      </c>
      <c r="P611" s="1" t="s">
        <v>30</v>
      </c>
      <c r="Q611">
        <v>105.6</v>
      </c>
    </row>
    <row r="612" spans="1:17" x14ac:dyDescent="0.3">
      <c r="A612">
        <v>2014</v>
      </c>
      <c r="B612" t="s">
        <v>43</v>
      </c>
      <c r="C612" t="s">
        <v>76</v>
      </c>
      <c r="D612" s="1" t="s">
        <v>13</v>
      </c>
      <c r="E612" s="4">
        <v>116.8</v>
      </c>
      <c r="F612" s="4">
        <v>116.1</v>
      </c>
      <c r="G612" s="4">
        <v>115.2</v>
      </c>
      <c r="H612" s="1" t="s">
        <v>188</v>
      </c>
      <c r="K612">
        <v>2013</v>
      </c>
      <c r="L612" t="s">
        <v>36</v>
      </c>
      <c r="M612" t="s">
        <v>61</v>
      </c>
      <c r="N612" t="s">
        <v>6</v>
      </c>
      <c r="O612" t="s">
        <v>188</v>
      </c>
      <c r="P612" s="1" t="s">
        <v>34</v>
      </c>
      <c r="Q612">
        <v>105.1</v>
      </c>
    </row>
    <row r="613" spans="1:17" x14ac:dyDescent="0.3">
      <c r="A613">
        <v>2014</v>
      </c>
      <c r="B613" t="s">
        <v>43</v>
      </c>
      <c r="C613" t="s">
        <v>76</v>
      </c>
      <c r="D613" s="1" t="s">
        <v>7</v>
      </c>
      <c r="E613" s="4">
        <v>110.5</v>
      </c>
      <c r="F613" s="4">
        <v>107.9</v>
      </c>
      <c r="G613" s="4">
        <v>103.5</v>
      </c>
      <c r="H613" s="1" t="s">
        <v>188</v>
      </c>
      <c r="K613">
        <v>2013</v>
      </c>
      <c r="L613" t="s">
        <v>36</v>
      </c>
      <c r="M613" t="s">
        <v>61</v>
      </c>
      <c r="N613" t="s">
        <v>6</v>
      </c>
      <c r="O613" t="s">
        <v>188</v>
      </c>
      <c r="P613" s="1" t="s">
        <v>33</v>
      </c>
      <c r="Q613">
        <v>104.3</v>
      </c>
    </row>
    <row r="614" spans="1:17" x14ac:dyDescent="0.3">
      <c r="A614">
        <v>2014</v>
      </c>
      <c r="B614" t="s">
        <v>43</v>
      </c>
      <c r="C614" t="s">
        <v>76</v>
      </c>
      <c r="D614" s="1" t="s">
        <v>16</v>
      </c>
      <c r="E614" s="4">
        <v>120</v>
      </c>
      <c r="F614" s="4">
        <v>121.1</v>
      </c>
      <c r="G614" s="4">
        <v>124.3</v>
      </c>
      <c r="H614" s="1" t="s">
        <v>192</v>
      </c>
      <c r="K614">
        <v>2013</v>
      </c>
      <c r="L614" t="s">
        <v>36</v>
      </c>
      <c r="M614" t="s">
        <v>61</v>
      </c>
      <c r="N614" t="s">
        <v>28</v>
      </c>
      <c r="O614" t="s">
        <v>192</v>
      </c>
      <c r="P614" s="1" t="s">
        <v>30</v>
      </c>
      <c r="Q614">
        <v>104.6</v>
      </c>
    </row>
    <row r="615" spans="1:17" x14ac:dyDescent="0.3">
      <c r="A615">
        <v>2014</v>
      </c>
      <c r="B615" t="s">
        <v>43</v>
      </c>
      <c r="C615" t="s">
        <v>76</v>
      </c>
      <c r="D615" s="1" t="s">
        <v>27</v>
      </c>
      <c r="E615" s="4">
        <v>109.3</v>
      </c>
      <c r="F615" s="4">
        <v>109.6</v>
      </c>
      <c r="G615" s="4">
        <v>110.1</v>
      </c>
      <c r="H615" s="1" t="s">
        <v>192</v>
      </c>
      <c r="K615">
        <v>2013</v>
      </c>
      <c r="L615" t="s">
        <v>36</v>
      </c>
      <c r="M615" t="s">
        <v>61</v>
      </c>
      <c r="N615" t="s">
        <v>28</v>
      </c>
      <c r="O615" t="s">
        <v>192</v>
      </c>
      <c r="P615" s="1" t="s">
        <v>34</v>
      </c>
      <c r="Q615">
        <v>104.7</v>
      </c>
    </row>
    <row r="616" spans="1:17" x14ac:dyDescent="0.3">
      <c r="A616">
        <v>2014</v>
      </c>
      <c r="B616" t="s">
        <v>43</v>
      </c>
      <c r="C616" t="s">
        <v>76</v>
      </c>
      <c r="D616" s="1" t="s">
        <v>14</v>
      </c>
      <c r="E616" s="4">
        <v>123.2</v>
      </c>
      <c r="F616" s="4">
        <v>124.5</v>
      </c>
      <c r="G616" s="4">
        <v>125.9</v>
      </c>
      <c r="H616" s="1" t="s">
        <v>188</v>
      </c>
      <c r="K616">
        <v>2013</v>
      </c>
      <c r="L616" t="s">
        <v>36</v>
      </c>
      <c r="M616" t="s">
        <v>61</v>
      </c>
      <c r="N616" t="s">
        <v>28</v>
      </c>
      <c r="O616" t="s">
        <v>192</v>
      </c>
      <c r="P616" s="1" t="s">
        <v>33</v>
      </c>
      <c r="Q616">
        <v>104.9</v>
      </c>
    </row>
    <row r="617" spans="1:17" x14ac:dyDescent="0.3">
      <c r="A617">
        <v>2014</v>
      </c>
      <c r="B617" t="s">
        <v>43</v>
      </c>
      <c r="C617" t="s">
        <v>76</v>
      </c>
      <c r="D617" s="1" t="s">
        <v>10</v>
      </c>
      <c r="E617" s="4">
        <v>115.5</v>
      </c>
      <c r="F617" s="4">
        <v>116.1</v>
      </c>
      <c r="G617" s="4">
        <v>117.4</v>
      </c>
      <c r="H617" s="1" t="s">
        <v>188</v>
      </c>
      <c r="K617">
        <v>2013</v>
      </c>
      <c r="L617" t="s">
        <v>36</v>
      </c>
      <c r="M617" t="s">
        <v>61</v>
      </c>
      <c r="N617" t="s">
        <v>13</v>
      </c>
      <c r="O617" t="s">
        <v>188</v>
      </c>
      <c r="P617" s="1" t="s">
        <v>30</v>
      </c>
      <c r="Q617">
        <v>105.6</v>
      </c>
    </row>
    <row r="618" spans="1:17" x14ac:dyDescent="0.3">
      <c r="A618">
        <v>2014</v>
      </c>
      <c r="B618" t="s">
        <v>43</v>
      </c>
      <c r="C618" t="s">
        <v>76</v>
      </c>
      <c r="D618" s="1" t="s">
        <v>25</v>
      </c>
      <c r="E618" s="4">
        <v>113</v>
      </c>
      <c r="F618" s="4">
        <v>113.3</v>
      </c>
      <c r="G618" s="4">
        <v>113.6</v>
      </c>
      <c r="H618" s="1" t="s">
        <v>195</v>
      </c>
      <c r="K618">
        <v>2013</v>
      </c>
      <c r="L618" t="s">
        <v>36</v>
      </c>
      <c r="M618" t="s">
        <v>61</v>
      </c>
      <c r="N618" t="s">
        <v>13</v>
      </c>
      <c r="O618" t="s">
        <v>188</v>
      </c>
      <c r="P618" s="1" t="s">
        <v>34</v>
      </c>
      <c r="Q618">
        <v>106.2</v>
      </c>
    </row>
    <row r="619" spans="1:17" x14ac:dyDescent="0.3">
      <c r="A619">
        <v>2014</v>
      </c>
      <c r="B619" t="s">
        <v>43</v>
      </c>
      <c r="C619" t="s">
        <v>76</v>
      </c>
      <c r="D619" s="1" t="s">
        <v>12</v>
      </c>
      <c r="E619" s="4">
        <v>115.3</v>
      </c>
      <c r="F619" s="4">
        <v>118.1</v>
      </c>
      <c r="G619" s="4">
        <v>123.8</v>
      </c>
      <c r="H619" s="1" t="s">
        <v>188</v>
      </c>
      <c r="K619">
        <v>2013</v>
      </c>
      <c r="L619" t="s">
        <v>36</v>
      </c>
      <c r="M619" t="s">
        <v>61</v>
      </c>
      <c r="N619" t="s">
        <v>13</v>
      </c>
      <c r="O619" t="s">
        <v>188</v>
      </c>
      <c r="P619" s="1" t="s">
        <v>33</v>
      </c>
      <c r="Q619">
        <v>107</v>
      </c>
    </row>
    <row r="620" spans="1:17" x14ac:dyDescent="0.3">
      <c r="A620">
        <v>2014</v>
      </c>
      <c r="B620" t="s">
        <v>43</v>
      </c>
      <c r="C620" t="s">
        <v>76</v>
      </c>
      <c r="D620" s="1" t="s">
        <v>11</v>
      </c>
      <c r="E620" s="4">
        <v>104</v>
      </c>
      <c r="F620" s="4">
        <v>103.1</v>
      </c>
      <c r="G620" s="4">
        <v>101.2</v>
      </c>
      <c r="H620" s="1" t="s">
        <v>188</v>
      </c>
      <c r="K620">
        <v>2013</v>
      </c>
      <c r="L620" t="s">
        <v>36</v>
      </c>
      <c r="M620" t="s">
        <v>61</v>
      </c>
      <c r="N620" t="s">
        <v>7</v>
      </c>
      <c r="O620" t="s">
        <v>188</v>
      </c>
      <c r="P620" s="1" t="s">
        <v>30</v>
      </c>
      <c r="Q620">
        <v>106.2</v>
      </c>
    </row>
    <row r="621" spans="1:17" x14ac:dyDescent="0.3">
      <c r="A621">
        <v>2014</v>
      </c>
      <c r="B621" t="s">
        <v>43</v>
      </c>
      <c r="C621" t="s">
        <v>76</v>
      </c>
      <c r="D621" s="1" t="s">
        <v>24</v>
      </c>
      <c r="E621" s="4">
        <v>112.6</v>
      </c>
      <c r="F621" s="4">
        <v>111.8</v>
      </c>
      <c r="G621" s="4">
        <v>111</v>
      </c>
      <c r="H621" s="1" t="s">
        <v>191</v>
      </c>
      <c r="K621">
        <v>2013</v>
      </c>
      <c r="L621" t="s">
        <v>36</v>
      </c>
      <c r="M621" t="s">
        <v>61</v>
      </c>
      <c r="N621" t="s">
        <v>7</v>
      </c>
      <c r="O621" t="s">
        <v>188</v>
      </c>
      <c r="P621" s="1" t="s">
        <v>34</v>
      </c>
      <c r="Q621">
        <v>104.9</v>
      </c>
    </row>
    <row r="622" spans="1:17" x14ac:dyDescent="0.3">
      <c r="A622">
        <v>2014</v>
      </c>
      <c r="B622" t="s">
        <v>43</v>
      </c>
      <c r="C622" t="s">
        <v>76</v>
      </c>
      <c r="D622" s="1" t="s">
        <v>9</v>
      </c>
      <c r="E622" s="4">
        <v>155.30000000000001</v>
      </c>
      <c r="F622" s="4">
        <v>156.80000000000001</v>
      </c>
      <c r="G622" s="4">
        <v>159.6</v>
      </c>
      <c r="H622" s="1" t="s">
        <v>188</v>
      </c>
      <c r="K622">
        <v>2013</v>
      </c>
      <c r="L622" t="s">
        <v>36</v>
      </c>
      <c r="M622" t="s">
        <v>61</v>
      </c>
      <c r="N622" t="s">
        <v>7</v>
      </c>
      <c r="O622" t="s">
        <v>188</v>
      </c>
      <c r="P622" s="1" t="s">
        <v>33</v>
      </c>
      <c r="Q622">
        <v>102.7</v>
      </c>
    </row>
    <row r="623" spans="1:17" x14ac:dyDescent="0.3">
      <c r="A623">
        <v>2014</v>
      </c>
      <c r="B623" t="s">
        <v>42</v>
      </c>
      <c r="C623" t="s">
        <v>77</v>
      </c>
      <c r="D623" s="1" t="s">
        <v>3</v>
      </c>
      <c r="E623" s="4">
        <v>122.3</v>
      </c>
      <c r="F623" s="4">
        <v>122.9</v>
      </c>
      <c r="G623" s="4">
        <v>124.2</v>
      </c>
      <c r="H623" s="1" t="s">
        <v>188</v>
      </c>
      <c r="K623">
        <v>2013</v>
      </c>
      <c r="L623" t="s">
        <v>36</v>
      </c>
      <c r="M623" t="s">
        <v>61</v>
      </c>
      <c r="N623" t="s">
        <v>16</v>
      </c>
      <c r="O623" t="s">
        <v>192</v>
      </c>
      <c r="P623" s="1" t="s">
        <v>30</v>
      </c>
      <c r="Q623">
        <v>106.5</v>
      </c>
    </row>
    <row r="624" spans="1:17" x14ac:dyDescent="0.3">
      <c r="A624">
        <v>2014</v>
      </c>
      <c r="B624" t="s">
        <v>42</v>
      </c>
      <c r="C624" t="s">
        <v>77</v>
      </c>
      <c r="D624" s="1" t="s">
        <v>17</v>
      </c>
      <c r="E624" s="4">
        <v>121.7</v>
      </c>
      <c r="F624" s="4">
        <v>120.7</v>
      </c>
      <c r="G624" s="4">
        <v>119.2</v>
      </c>
      <c r="H624" s="1" t="s">
        <v>189</v>
      </c>
      <c r="K624">
        <v>2013</v>
      </c>
      <c r="L624" t="s">
        <v>36</v>
      </c>
      <c r="M624" t="s">
        <v>61</v>
      </c>
      <c r="N624" t="s">
        <v>16</v>
      </c>
      <c r="O624" t="s">
        <v>192</v>
      </c>
      <c r="P624" s="1" t="s">
        <v>34</v>
      </c>
      <c r="Q624">
        <v>106.6</v>
      </c>
    </row>
    <row r="625" spans="1:17" x14ac:dyDescent="0.3">
      <c r="A625">
        <v>2014</v>
      </c>
      <c r="B625" t="s">
        <v>42</v>
      </c>
      <c r="C625" t="s">
        <v>77</v>
      </c>
      <c r="D625" s="1" t="s">
        <v>19</v>
      </c>
      <c r="E625" s="4">
        <v>121.3</v>
      </c>
      <c r="F625" s="4">
        <v>120.1</v>
      </c>
      <c r="G625" s="4">
        <v>118.4</v>
      </c>
      <c r="H625" s="1" t="s">
        <v>189</v>
      </c>
      <c r="K625">
        <v>2013</v>
      </c>
      <c r="L625" t="s">
        <v>36</v>
      </c>
      <c r="M625" t="s">
        <v>61</v>
      </c>
      <c r="N625" t="s">
        <v>16</v>
      </c>
      <c r="O625" t="s">
        <v>192</v>
      </c>
      <c r="P625" s="1" t="s">
        <v>33</v>
      </c>
      <c r="Q625">
        <v>106.8</v>
      </c>
    </row>
    <row r="626" spans="1:17" x14ac:dyDescent="0.3">
      <c r="A626">
        <v>2014</v>
      </c>
      <c r="B626" t="s">
        <v>42</v>
      </c>
      <c r="C626" t="s">
        <v>77</v>
      </c>
      <c r="D626" s="1" t="s">
        <v>26</v>
      </c>
      <c r="E626" s="4">
        <v>116.6</v>
      </c>
      <c r="F626" s="4">
        <v>118.6</v>
      </c>
      <c r="G626" s="4">
        <v>120</v>
      </c>
      <c r="H626" s="1" t="s">
        <v>26</v>
      </c>
      <c r="K626">
        <v>2013</v>
      </c>
      <c r="L626" t="s">
        <v>36</v>
      </c>
      <c r="M626" t="s">
        <v>61</v>
      </c>
      <c r="N626" t="s">
        <v>27</v>
      </c>
      <c r="O626" t="s">
        <v>192</v>
      </c>
      <c r="P626" s="1" t="s">
        <v>30</v>
      </c>
      <c r="Q626">
        <v>104.3</v>
      </c>
    </row>
    <row r="627" spans="1:17" x14ac:dyDescent="0.3">
      <c r="A627">
        <v>2014</v>
      </c>
      <c r="B627" t="s">
        <v>42</v>
      </c>
      <c r="C627" t="s">
        <v>77</v>
      </c>
      <c r="D627" s="1" t="s">
        <v>5</v>
      </c>
      <c r="E627" s="4">
        <v>117.8</v>
      </c>
      <c r="F627" s="4">
        <v>117.3</v>
      </c>
      <c r="G627" s="4">
        <v>116.4</v>
      </c>
      <c r="H627" s="1" t="s">
        <v>188</v>
      </c>
      <c r="K627">
        <v>2013</v>
      </c>
      <c r="L627" t="s">
        <v>36</v>
      </c>
      <c r="M627" t="s">
        <v>61</v>
      </c>
      <c r="N627" t="s">
        <v>27</v>
      </c>
      <c r="O627" t="s">
        <v>192</v>
      </c>
      <c r="P627" s="1" t="s">
        <v>34</v>
      </c>
      <c r="Q627">
        <v>104.3</v>
      </c>
    </row>
    <row r="628" spans="1:17" x14ac:dyDescent="0.3">
      <c r="A628">
        <v>2014</v>
      </c>
      <c r="B628" t="s">
        <v>42</v>
      </c>
      <c r="C628" t="s">
        <v>77</v>
      </c>
      <c r="D628" s="1" t="s">
        <v>15</v>
      </c>
      <c r="E628" s="4">
        <v>125.3</v>
      </c>
      <c r="F628" s="4">
        <v>125.8</v>
      </c>
      <c r="G628" s="4">
        <v>126.7</v>
      </c>
      <c r="H628" s="1" t="s">
        <v>188</v>
      </c>
      <c r="K628">
        <v>2013</v>
      </c>
      <c r="L628" t="s">
        <v>36</v>
      </c>
      <c r="M628" t="s">
        <v>61</v>
      </c>
      <c r="N628" t="s">
        <v>27</v>
      </c>
      <c r="O628" t="s">
        <v>192</v>
      </c>
      <c r="P628" s="1" t="s">
        <v>33</v>
      </c>
      <c r="Q628">
        <v>104.2</v>
      </c>
    </row>
    <row r="629" spans="1:17" x14ac:dyDescent="0.3">
      <c r="A629">
        <v>2014</v>
      </c>
      <c r="B629" t="s">
        <v>42</v>
      </c>
      <c r="C629" t="s">
        <v>77</v>
      </c>
      <c r="D629" s="1" t="s">
        <v>18</v>
      </c>
      <c r="E629" s="4">
        <v>119.2</v>
      </c>
      <c r="F629" s="4">
        <v>117.2</v>
      </c>
      <c r="G629" s="4">
        <v>114.5</v>
      </c>
      <c r="H629" s="1" t="s">
        <v>189</v>
      </c>
      <c r="K629">
        <v>2013</v>
      </c>
      <c r="L629" t="s">
        <v>36</v>
      </c>
      <c r="M629" t="s">
        <v>61</v>
      </c>
      <c r="N629" t="s">
        <v>14</v>
      </c>
      <c r="O629" t="s">
        <v>188</v>
      </c>
      <c r="P629" s="1" t="s">
        <v>30</v>
      </c>
      <c r="Q629">
        <v>108.2</v>
      </c>
    </row>
    <row r="630" spans="1:17" x14ac:dyDescent="0.3">
      <c r="A630">
        <v>2014</v>
      </c>
      <c r="B630" t="s">
        <v>42</v>
      </c>
      <c r="C630" t="s">
        <v>77</v>
      </c>
      <c r="D630" s="1" t="s">
        <v>8</v>
      </c>
      <c r="E630" s="4">
        <v>129.80000000000001</v>
      </c>
      <c r="F630" s="4">
        <v>127.3</v>
      </c>
      <c r="G630" s="4">
        <v>124.5</v>
      </c>
      <c r="H630" s="1" t="s">
        <v>188</v>
      </c>
      <c r="K630">
        <v>2013</v>
      </c>
      <c r="L630" t="s">
        <v>36</v>
      </c>
      <c r="M630" t="s">
        <v>61</v>
      </c>
      <c r="N630" t="s">
        <v>14</v>
      </c>
      <c r="O630" t="s">
        <v>188</v>
      </c>
      <c r="P630" s="1" t="s">
        <v>34</v>
      </c>
      <c r="Q630">
        <v>108.9</v>
      </c>
    </row>
    <row r="631" spans="1:17" x14ac:dyDescent="0.3">
      <c r="A631">
        <v>2014</v>
      </c>
      <c r="B631" t="s">
        <v>42</v>
      </c>
      <c r="C631" t="s">
        <v>77</v>
      </c>
      <c r="D631" s="1" t="s">
        <v>21</v>
      </c>
      <c r="E631" s="4">
        <v>115.8</v>
      </c>
      <c r="F631" s="4">
        <v>114.3</v>
      </c>
      <c r="G631" s="4">
        <v>111.8</v>
      </c>
      <c r="H631" s="1" t="s">
        <v>190</v>
      </c>
      <c r="K631">
        <v>2013</v>
      </c>
      <c r="L631" t="s">
        <v>36</v>
      </c>
      <c r="M631" t="s">
        <v>61</v>
      </c>
      <c r="N631" t="s">
        <v>14</v>
      </c>
      <c r="O631" t="s">
        <v>188</v>
      </c>
      <c r="P631" s="1" t="s">
        <v>33</v>
      </c>
      <c r="Q631">
        <v>109.8</v>
      </c>
    </row>
    <row r="632" spans="1:17" x14ac:dyDescent="0.3">
      <c r="A632">
        <v>2014</v>
      </c>
      <c r="B632" t="s">
        <v>42</v>
      </c>
      <c r="C632" t="s">
        <v>77</v>
      </c>
      <c r="D632" s="1" t="s">
        <v>29</v>
      </c>
      <c r="E632" s="4">
        <v>120.9</v>
      </c>
      <c r="F632" s="4">
        <v>120.1</v>
      </c>
      <c r="G632" s="4">
        <v>119.2</v>
      </c>
      <c r="H632" s="1" t="s">
        <v>206</v>
      </c>
      <c r="K632">
        <v>2013</v>
      </c>
      <c r="L632" t="s">
        <v>36</v>
      </c>
      <c r="M632" t="s">
        <v>61</v>
      </c>
      <c r="N632" t="s">
        <v>10</v>
      </c>
      <c r="O632" t="s">
        <v>188</v>
      </c>
      <c r="P632" s="1" t="s">
        <v>30</v>
      </c>
      <c r="Q632">
        <v>105.7</v>
      </c>
    </row>
    <row r="633" spans="1:17" x14ac:dyDescent="0.3">
      <c r="A633">
        <v>2014</v>
      </c>
      <c r="B633" t="s">
        <v>42</v>
      </c>
      <c r="C633" t="s">
        <v>77</v>
      </c>
      <c r="D633" s="1" t="s">
        <v>23</v>
      </c>
      <c r="E633" s="4">
        <v>114.5</v>
      </c>
      <c r="F633" s="4">
        <v>113.7</v>
      </c>
      <c r="G633" s="4">
        <v>112.3</v>
      </c>
      <c r="H633" s="1" t="s">
        <v>23</v>
      </c>
      <c r="K633">
        <v>2013</v>
      </c>
      <c r="L633" t="s">
        <v>36</v>
      </c>
      <c r="M633" t="s">
        <v>61</v>
      </c>
      <c r="N633" t="s">
        <v>10</v>
      </c>
      <c r="O633" t="s">
        <v>188</v>
      </c>
      <c r="P633" s="1" t="s">
        <v>34</v>
      </c>
      <c r="Q633">
        <v>105</v>
      </c>
    </row>
    <row r="634" spans="1:17" x14ac:dyDescent="0.3">
      <c r="A634">
        <v>2014</v>
      </c>
      <c r="B634" t="s">
        <v>42</v>
      </c>
      <c r="C634" t="s">
        <v>77</v>
      </c>
      <c r="D634" s="1" t="s">
        <v>22</v>
      </c>
      <c r="E634" s="4">
        <v>116.7</v>
      </c>
      <c r="F634" s="4">
        <v>116.1</v>
      </c>
      <c r="G634" s="4">
        <v>115.5</v>
      </c>
      <c r="H634" s="1" t="s">
        <v>20</v>
      </c>
      <c r="K634">
        <v>2013</v>
      </c>
      <c r="L634" t="s">
        <v>36</v>
      </c>
      <c r="M634" t="s">
        <v>61</v>
      </c>
      <c r="N634" t="s">
        <v>10</v>
      </c>
      <c r="O634" t="s">
        <v>188</v>
      </c>
      <c r="P634" s="1" t="s">
        <v>33</v>
      </c>
      <c r="Q634">
        <v>103.5</v>
      </c>
    </row>
    <row r="635" spans="1:17" x14ac:dyDescent="0.3">
      <c r="A635">
        <v>2014</v>
      </c>
      <c r="B635" t="s">
        <v>42</v>
      </c>
      <c r="C635" t="s">
        <v>77</v>
      </c>
      <c r="D635" s="1" t="s">
        <v>20</v>
      </c>
      <c r="E635" s="4">
        <v>0</v>
      </c>
      <c r="F635" s="4">
        <v>116.1</v>
      </c>
      <c r="G635" s="4">
        <v>116.1</v>
      </c>
      <c r="H635" s="1" t="s">
        <v>20</v>
      </c>
      <c r="K635">
        <v>2013</v>
      </c>
      <c r="L635" t="s">
        <v>36</v>
      </c>
      <c r="M635" t="s">
        <v>61</v>
      </c>
      <c r="N635" t="s">
        <v>25</v>
      </c>
      <c r="O635" t="s">
        <v>195</v>
      </c>
      <c r="P635" s="1" t="s">
        <v>30</v>
      </c>
      <c r="Q635">
        <v>104</v>
      </c>
    </row>
    <row r="636" spans="1:17" x14ac:dyDescent="0.3">
      <c r="A636">
        <v>2014</v>
      </c>
      <c r="B636" t="s">
        <v>42</v>
      </c>
      <c r="C636" t="s">
        <v>77</v>
      </c>
      <c r="D636" s="1" t="s">
        <v>4</v>
      </c>
      <c r="E636" s="4">
        <v>122.4</v>
      </c>
      <c r="F636" s="4">
        <v>123.5</v>
      </c>
      <c r="G636" s="4">
        <v>125.4</v>
      </c>
      <c r="H636" s="1" t="s">
        <v>188</v>
      </c>
      <c r="K636">
        <v>2013</v>
      </c>
      <c r="L636" t="s">
        <v>36</v>
      </c>
      <c r="M636" t="s">
        <v>61</v>
      </c>
      <c r="N636" t="s">
        <v>25</v>
      </c>
      <c r="O636" t="s">
        <v>195</v>
      </c>
      <c r="P636" s="1" t="s">
        <v>34</v>
      </c>
      <c r="Q636">
        <v>103.7</v>
      </c>
    </row>
    <row r="637" spans="1:17" x14ac:dyDescent="0.3">
      <c r="A637">
        <v>2014</v>
      </c>
      <c r="B637" t="s">
        <v>42</v>
      </c>
      <c r="C637" t="s">
        <v>77</v>
      </c>
      <c r="D637" s="1" t="s">
        <v>6</v>
      </c>
      <c r="E637" s="4">
        <v>122.7</v>
      </c>
      <c r="F637" s="4">
        <v>122.7</v>
      </c>
      <c r="G637" s="4">
        <v>122.7</v>
      </c>
      <c r="H637" s="1" t="s">
        <v>188</v>
      </c>
      <c r="K637">
        <v>2013</v>
      </c>
      <c r="L637" t="s">
        <v>36</v>
      </c>
      <c r="M637" t="s">
        <v>61</v>
      </c>
      <c r="N637" t="s">
        <v>25</v>
      </c>
      <c r="O637" t="s">
        <v>195</v>
      </c>
      <c r="P637" s="1" t="s">
        <v>33</v>
      </c>
      <c r="Q637">
        <v>103.5</v>
      </c>
    </row>
    <row r="638" spans="1:17" x14ac:dyDescent="0.3">
      <c r="A638">
        <v>2014</v>
      </c>
      <c r="B638" t="s">
        <v>42</v>
      </c>
      <c r="C638" t="s">
        <v>77</v>
      </c>
      <c r="D638" s="1" t="s">
        <v>28</v>
      </c>
      <c r="E638" s="4">
        <v>113.7</v>
      </c>
      <c r="F638" s="4">
        <v>113.7</v>
      </c>
      <c r="G638" s="4">
        <v>113.6</v>
      </c>
      <c r="H638" s="1" t="s">
        <v>192</v>
      </c>
      <c r="K638">
        <v>2013</v>
      </c>
      <c r="L638" t="s">
        <v>36</v>
      </c>
      <c r="M638" t="s">
        <v>61</v>
      </c>
      <c r="N638" t="s">
        <v>12</v>
      </c>
      <c r="O638" t="s">
        <v>188</v>
      </c>
      <c r="P638" s="1" t="s">
        <v>30</v>
      </c>
      <c r="Q638">
        <v>103.3</v>
      </c>
    </row>
    <row r="639" spans="1:17" x14ac:dyDescent="0.3">
      <c r="A639">
        <v>2014</v>
      </c>
      <c r="B639" t="s">
        <v>42</v>
      </c>
      <c r="C639" t="s">
        <v>77</v>
      </c>
      <c r="D639" s="1" t="s">
        <v>13</v>
      </c>
      <c r="E639" s="4">
        <v>116.5</v>
      </c>
      <c r="F639" s="4">
        <v>115.8</v>
      </c>
      <c r="G639" s="4">
        <v>114.8</v>
      </c>
      <c r="H639" s="1" t="s">
        <v>188</v>
      </c>
      <c r="K639">
        <v>2013</v>
      </c>
      <c r="L639" t="s">
        <v>36</v>
      </c>
      <c r="M639" t="s">
        <v>61</v>
      </c>
      <c r="N639" t="s">
        <v>12</v>
      </c>
      <c r="O639" t="s">
        <v>188</v>
      </c>
      <c r="P639" s="1" t="s">
        <v>34</v>
      </c>
      <c r="Q639">
        <v>103</v>
      </c>
    </row>
    <row r="640" spans="1:17" x14ac:dyDescent="0.3">
      <c r="A640">
        <v>2014</v>
      </c>
      <c r="B640" t="s">
        <v>42</v>
      </c>
      <c r="C640" t="s">
        <v>77</v>
      </c>
      <c r="D640" s="1" t="s">
        <v>7</v>
      </c>
      <c r="E640" s="4">
        <v>110.4</v>
      </c>
      <c r="F640" s="4">
        <v>107.9</v>
      </c>
      <c r="G640" s="4">
        <v>103.5</v>
      </c>
      <c r="H640" s="1" t="s">
        <v>188</v>
      </c>
      <c r="K640">
        <v>2013</v>
      </c>
      <c r="L640" t="s">
        <v>36</v>
      </c>
      <c r="M640" t="s">
        <v>61</v>
      </c>
      <c r="N640" t="s">
        <v>12</v>
      </c>
      <c r="O640" t="s">
        <v>188</v>
      </c>
      <c r="P640" s="1" t="s">
        <v>33</v>
      </c>
      <c r="Q640">
        <v>102.4</v>
      </c>
    </row>
    <row r="641" spans="1:17" x14ac:dyDescent="0.3">
      <c r="A641">
        <v>2014</v>
      </c>
      <c r="B641" t="s">
        <v>42</v>
      </c>
      <c r="C641" t="s">
        <v>77</v>
      </c>
      <c r="D641" s="1" t="s">
        <v>16</v>
      </c>
      <c r="E641" s="4">
        <v>119.5</v>
      </c>
      <c r="F641" s="4">
        <v>120.8</v>
      </c>
      <c r="G641" s="4">
        <v>124.3</v>
      </c>
      <c r="H641" s="1" t="s">
        <v>192</v>
      </c>
      <c r="K641">
        <v>2013</v>
      </c>
      <c r="L641" t="s">
        <v>36</v>
      </c>
      <c r="M641" t="s">
        <v>61</v>
      </c>
      <c r="N641" t="s">
        <v>11</v>
      </c>
      <c r="O641" t="s">
        <v>188</v>
      </c>
      <c r="P641" s="1" t="s">
        <v>30</v>
      </c>
      <c r="Q641">
        <v>105</v>
      </c>
    </row>
    <row r="642" spans="1:17" x14ac:dyDescent="0.3">
      <c r="A642">
        <v>2014</v>
      </c>
      <c r="B642" t="s">
        <v>42</v>
      </c>
      <c r="C642" t="s">
        <v>77</v>
      </c>
      <c r="D642" s="1" t="s">
        <v>27</v>
      </c>
      <c r="E642" s="4">
        <v>109.1</v>
      </c>
      <c r="F642" s="4">
        <v>109.5</v>
      </c>
      <c r="G642" s="4">
        <v>110</v>
      </c>
      <c r="H642" s="1" t="s">
        <v>192</v>
      </c>
      <c r="K642">
        <v>2013</v>
      </c>
      <c r="L642" t="s">
        <v>36</v>
      </c>
      <c r="M642" t="s">
        <v>61</v>
      </c>
      <c r="N642" t="s">
        <v>11</v>
      </c>
      <c r="O642" t="s">
        <v>188</v>
      </c>
      <c r="P642" s="1" t="s">
        <v>34</v>
      </c>
      <c r="Q642">
        <v>104.2</v>
      </c>
    </row>
    <row r="643" spans="1:17" x14ac:dyDescent="0.3">
      <c r="A643">
        <v>2014</v>
      </c>
      <c r="B643" t="s">
        <v>42</v>
      </c>
      <c r="C643" t="s">
        <v>77</v>
      </c>
      <c r="D643" s="1" t="s">
        <v>14</v>
      </c>
      <c r="E643" s="4">
        <v>122.6</v>
      </c>
      <c r="F643" s="4">
        <v>123.8</v>
      </c>
      <c r="G643" s="4">
        <v>125.2</v>
      </c>
      <c r="H643" s="1" t="s">
        <v>188</v>
      </c>
      <c r="K643">
        <v>2013</v>
      </c>
      <c r="L643" t="s">
        <v>36</v>
      </c>
      <c r="M643" t="s">
        <v>61</v>
      </c>
      <c r="N643" t="s">
        <v>11</v>
      </c>
      <c r="O643" t="s">
        <v>188</v>
      </c>
      <c r="P643" s="1" t="s">
        <v>33</v>
      </c>
      <c r="Q643">
        <v>102.6</v>
      </c>
    </row>
    <row r="644" spans="1:17" x14ac:dyDescent="0.3">
      <c r="A644">
        <v>2014</v>
      </c>
      <c r="B644" t="s">
        <v>42</v>
      </c>
      <c r="C644" t="s">
        <v>77</v>
      </c>
      <c r="D644" s="1" t="s">
        <v>10</v>
      </c>
      <c r="E644" s="4">
        <v>115</v>
      </c>
      <c r="F644" s="4">
        <v>115.6</v>
      </c>
      <c r="G644" s="4">
        <v>116.9</v>
      </c>
      <c r="H644" s="1" t="s">
        <v>188</v>
      </c>
      <c r="K644">
        <v>2013</v>
      </c>
      <c r="L644" t="s">
        <v>36</v>
      </c>
      <c r="M644" t="s">
        <v>61</v>
      </c>
      <c r="N644" t="s">
        <v>24</v>
      </c>
      <c r="O644" t="s">
        <v>191</v>
      </c>
      <c r="P644" s="1" t="s">
        <v>30</v>
      </c>
      <c r="Q644">
        <v>104.6</v>
      </c>
    </row>
    <row r="645" spans="1:17" x14ac:dyDescent="0.3">
      <c r="A645">
        <v>2014</v>
      </c>
      <c r="B645" t="s">
        <v>42</v>
      </c>
      <c r="C645" t="s">
        <v>77</v>
      </c>
      <c r="D645" s="1" t="s">
        <v>25</v>
      </c>
      <c r="E645" s="4">
        <v>112.6</v>
      </c>
      <c r="F645" s="4">
        <v>113.1</v>
      </c>
      <c r="G645" s="4">
        <v>113.4</v>
      </c>
      <c r="H645" s="1" t="s">
        <v>195</v>
      </c>
      <c r="K645">
        <v>2013</v>
      </c>
      <c r="L645" t="s">
        <v>36</v>
      </c>
      <c r="M645" t="s">
        <v>61</v>
      </c>
      <c r="N645" t="s">
        <v>24</v>
      </c>
      <c r="O645" t="s">
        <v>191</v>
      </c>
      <c r="P645" s="1" t="s">
        <v>34</v>
      </c>
      <c r="Q645">
        <v>105.1</v>
      </c>
    </row>
    <row r="646" spans="1:17" x14ac:dyDescent="0.3">
      <c r="A646">
        <v>2014</v>
      </c>
      <c r="B646" t="s">
        <v>42</v>
      </c>
      <c r="C646" t="s">
        <v>77</v>
      </c>
      <c r="D646" s="1" t="s">
        <v>12</v>
      </c>
      <c r="E646" s="4">
        <v>114.9</v>
      </c>
      <c r="F646" s="4">
        <v>117.6</v>
      </c>
      <c r="G646" s="4">
        <v>122.9</v>
      </c>
      <c r="H646" s="1" t="s">
        <v>188</v>
      </c>
      <c r="K646">
        <v>2013</v>
      </c>
      <c r="L646" t="s">
        <v>36</v>
      </c>
      <c r="M646" t="s">
        <v>61</v>
      </c>
      <c r="N646" t="s">
        <v>24</v>
      </c>
      <c r="O646" t="s">
        <v>191</v>
      </c>
      <c r="P646" s="1" t="s">
        <v>33</v>
      </c>
      <c r="Q646">
        <v>105.5</v>
      </c>
    </row>
    <row r="647" spans="1:17" x14ac:dyDescent="0.3">
      <c r="A647">
        <v>2014</v>
      </c>
      <c r="B647" t="s">
        <v>42</v>
      </c>
      <c r="C647" t="s">
        <v>77</v>
      </c>
      <c r="D647" s="1" t="s">
        <v>11</v>
      </c>
      <c r="E647" s="4">
        <v>104.7</v>
      </c>
      <c r="F647" s="4">
        <v>103.8</v>
      </c>
      <c r="G647" s="4">
        <v>101.9</v>
      </c>
      <c r="H647" s="1" t="s">
        <v>188</v>
      </c>
      <c r="K647">
        <v>2013</v>
      </c>
      <c r="L647" t="s">
        <v>36</v>
      </c>
      <c r="M647" t="s">
        <v>61</v>
      </c>
      <c r="N647" t="s">
        <v>9</v>
      </c>
      <c r="O647" t="s">
        <v>188</v>
      </c>
      <c r="P647" s="1" t="s">
        <v>30</v>
      </c>
      <c r="Q647">
        <v>101.4</v>
      </c>
    </row>
    <row r="648" spans="1:17" x14ac:dyDescent="0.3">
      <c r="A648">
        <v>2014</v>
      </c>
      <c r="B648" t="s">
        <v>42</v>
      </c>
      <c r="C648" t="s">
        <v>77</v>
      </c>
      <c r="D648" s="1" t="s">
        <v>24</v>
      </c>
      <c r="E648" s="4">
        <v>112.8</v>
      </c>
      <c r="F648" s="4">
        <v>112</v>
      </c>
      <c r="G648" s="4">
        <v>111.2</v>
      </c>
      <c r="H648" s="1" t="s">
        <v>191</v>
      </c>
      <c r="K648">
        <v>2013</v>
      </c>
      <c r="L648" t="s">
        <v>36</v>
      </c>
      <c r="M648" t="s">
        <v>61</v>
      </c>
      <c r="N648" t="s">
        <v>9</v>
      </c>
      <c r="O648" t="s">
        <v>188</v>
      </c>
      <c r="P648" s="1" t="s">
        <v>34</v>
      </c>
      <c r="Q648">
        <v>102.2</v>
      </c>
    </row>
    <row r="649" spans="1:17" x14ac:dyDescent="0.3">
      <c r="A649">
        <v>2014</v>
      </c>
      <c r="B649" t="s">
        <v>42</v>
      </c>
      <c r="C649" t="s">
        <v>77</v>
      </c>
      <c r="D649" s="1" t="s">
        <v>9</v>
      </c>
      <c r="E649" s="4">
        <v>158.80000000000001</v>
      </c>
      <c r="F649" s="4">
        <v>162.1</v>
      </c>
      <c r="G649" s="4">
        <v>168.6</v>
      </c>
      <c r="H649" s="1" t="s">
        <v>188</v>
      </c>
      <c r="K649">
        <v>2013</v>
      </c>
      <c r="L649" t="s">
        <v>36</v>
      </c>
      <c r="M649" t="s">
        <v>61</v>
      </c>
      <c r="N649" t="s">
        <v>9</v>
      </c>
      <c r="O649" t="s">
        <v>188</v>
      </c>
      <c r="P649" s="1" t="s">
        <v>33</v>
      </c>
      <c r="Q649">
        <v>103.8</v>
      </c>
    </row>
    <row r="650" spans="1:17" x14ac:dyDescent="0.3">
      <c r="A650">
        <v>2015</v>
      </c>
      <c r="B650" t="s">
        <v>37</v>
      </c>
      <c r="C650" t="s">
        <v>78</v>
      </c>
      <c r="D650" s="1" t="s">
        <v>3</v>
      </c>
      <c r="E650" s="4">
        <v>123.3</v>
      </c>
      <c r="F650" s="4">
        <v>123.5</v>
      </c>
      <c r="G650" s="4">
        <v>123.8</v>
      </c>
      <c r="H650" s="1" t="s">
        <v>188</v>
      </c>
      <c r="K650">
        <v>2013</v>
      </c>
      <c r="L650" t="s">
        <v>38</v>
      </c>
      <c r="M650" t="s">
        <v>62</v>
      </c>
      <c r="N650" t="s">
        <v>3</v>
      </c>
      <c r="O650" t="s">
        <v>188</v>
      </c>
      <c r="P650" s="1" t="s">
        <v>30</v>
      </c>
      <c r="Q650">
        <v>110.9</v>
      </c>
    </row>
    <row r="651" spans="1:17" x14ac:dyDescent="0.3">
      <c r="A651">
        <v>2015</v>
      </c>
      <c r="B651" t="s">
        <v>37</v>
      </c>
      <c r="C651" t="s">
        <v>78</v>
      </c>
      <c r="D651" s="1" t="s">
        <v>17</v>
      </c>
      <c r="E651" s="4">
        <v>126.4</v>
      </c>
      <c r="F651" s="4">
        <v>124.7</v>
      </c>
      <c r="G651" s="4">
        <v>122.1</v>
      </c>
      <c r="H651" s="1" t="s">
        <v>189</v>
      </c>
      <c r="K651">
        <v>2013</v>
      </c>
      <c r="L651" t="s">
        <v>38</v>
      </c>
      <c r="M651" t="s">
        <v>62</v>
      </c>
      <c r="N651" t="s">
        <v>3</v>
      </c>
      <c r="O651" t="s">
        <v>188</v>
      </c>
      <c r="P651" s="1" t="s">
        <v>34</v>
      </c>
      <c r="Q651">
        <v>112.3</v>
      </c>
    </row>
    <row r="652" spans="1:17" x14ac:dyDescent="0.3">
      <c r="A652">
        <v>2015</v>
      </c>
      <c r="B652" t="s">
        <v>37</v>
      </c>
      <c r="C652" t="s">
        <v>78</v>
      </c>
      <c r="D652" s="1" t="s">
        <v>19</v>
      </c>
      <c r="E652" s="4">
        <v>126</v>
      </c>
      <c r="F652" s="4">
        <v>124.1</v>
      </c>
      <c r="G652" s="4">
        <v>121.3</v>
      </c>
      <c r="H652" s="1" t="s">
        <v>189</v>
      </c>
      <c r="K652">
        <v>2013</v>
      </c>
      <c r="L652" t="s">
        <v>38</v>
      </c>
      <c r="M652" t="s">
        <v>62</v>
      </c>
      <c r="N652" t="s">
        <v>3</v>
      </c>
      <c r="O652" t="s">
        <v>188</v>
      </c>
      <c r="P652" s="1" t="s">
        <v>33</v>
      </c>
      <c r="Q652">
        <v>115.4</v>
      </c>
    </row>
    <row r="653" spans="1:17" x14ac:dyDescent="0.3">
      <c r="A653">
        <v>2015</v>
      </c>
      <c r="B653" t="s">
        <v>37</v>
      </c>
      <c r="C653" t="s">
        <v>78</v>
      </c>
      <c r="D653" s="1" t="s">
        <v>26</v>
      </c>
      <c r="E653" s="4">
        <v>119.9</v>
      </c>
      <c r="F653" s="4">
        <v>121</v>
      </c>
      <c r="G653" s="4">
        <v>121.7</v>
      </c>
      <c r="H653" s="1" t="s">
        <v>26</v>
      </c>
      <c r="K653">
        <v>2013</v>
      </c>
      <c r="L653" t="s">
        <v>38</v>
      </c>
      <c r="M653" t="s">
        <v>62</v>
      </c>
      <c r="N653" t="s">
        <v>17</v>
      </c>
      <c r="O653" t="s">
        <v>189</v>
      </c>
      <c r="P653" s="1" t="s">
        <v>30</v>
      </c>
      <c r="Q653">
        <v>108.8</v>
      </c>
    </row>
    <row r="654" spans="1:17" x14ac:dyDescent="0.3">
      <c r="A654">
        <v>2015</v>
      </c>
      <c r="B654" t="s">
        <v>37</v>
      </c>
      <c r="C654" t="s">
        <v>78</v>
      </c>
      <c r="D654" s="1" t="s">
        <v>5</v>
      </c>
      <c r="E654" s="4">
        <v>117.2</v>
      </c>
      <c r="F654" s="4">
        <v>114.4</v>
      </c>
      <c r="G654" s="4">
        <v>110</v>
      </c>
      <c r="H654" s="1" t="s">
        <v>188</v>
      </c>
      <c r="K654">
        <v>2013</v>
      </c>
      <c r="L654" t="s">
        <v>38</v>
      </c>
      <c r="M654" t="s">
        <v>62</v>
      </c>
      <c r="N654" t="s">
        <v>17</v>
      </c>
      <c r="O654" t="s">
        <v>189</v>
      </c>
      <c r="P654" s="1" t="s">
        <v>34</v>
      </c>
      <c r="Q654">
        <v>108.7</v>
      </c>
    </row>
    <row r="655" spans="1:17" x14ac:dyDescent="0.3">
      <c r="A655">
        <v>2015</v>
      </c>
      <c r="B655" t="s">
        <v>37</v>
      </c>
      <c r="C655" t="s">
        <v>78</v>
      </c>
      <c r="D655" s="1" t="s">
        <v>15</v>
      </c>
      <c r="E655" s="4">
        <v>123.6</v>
      </c>
      <c r="F655" s="4">
        <v>124</v>
      </c>
      <c r="G655" s="4">
        <v>124.6</v>
      </c>
      <c r="H655" s="1" t="s">
        <v>188</v>
      </c>
      <c r="K655">
        <v>2013</v>
      </c>
      <c r="L655" t="s">
        <v>38</v>
      </c>
      <c r="M655" t="s">
        <v>62</v>
      </c>
      <c r="N655" t="s">
        <v>17</v>
      </c>
      <c r="O655" t="s">
        <v>189</v>
      </c>
      <c r="P655" s="1" t="s">
        <v>33</v>
      </c>
      <c r="Q655">
        <v>108.5</v>
      </c>
    </row>
    <row r="656" spans="1:17" x14ac:dyDescent="0.3">
      <c r="A656">
        <v>2015</v>
      </c>
      <c r="B656" t="s">
        <v>37</v>
      </c>
      <c r="C656" t="s">
        <v>78</v>
      </c>
      <c r="D656" s="1" t="s">
        <v>18</v>
      </c>
      <c r="E656" s="4">
        <v>123.3</v>
      </c>
      <c r="F656" s="4">
        <v>120.8</v>
      </c>
      <c r="G656" s="4">
        <v>117.2</v>
      </c>
      <c r="H656" s="1" t="s">
        <v>189</v>
      </c>
      <c r="K656">
        <v>2013</v>
      </c>
      <c r="L656" t="s">
        <v>38</v>
      </c>
      <c r="M656" t="s">
        <v>62</v>
      </c>
      <c r="N656" t="s">
        <v>19</v>
      </c>
      <c r="O656" t="s">
        <v>189</v>
      </c>
      <c r="P656" s="1" t="s">
        <v>30</v>
      </c>
      <c r="Q656">
        <v>108.6</v>
      </c>
    </row>
    <row r="657" spans="1:17" x14ac:dyDescent="0.3">
      <c r="A657">
        <v>2015</v>
      </c>
      <c r="B657" t="s">
        <v>37</v>
      </c>
      <c r="C657" t="s">
        <v>78</v>
      </c>
      <c r="D657" s="1" t="s">
        <v>8</v>
      </c>
      <c r="E657" s="4">
        <v>134.19999999999999</v>
      </c>
      <c r="F657" s="4">
        <v>132.5</v>
      </c>
      <c r="G657" s="4">
        <v>130.6</v>
      </c>
      <c r="H657" s="1" t="s">
        <v>188</v>
      </c>
      <c r="K657">
        <v>2013</v>
      </c>
      <c r="L657" t="s">
        <v>38</v>
      </c>
      <c r="M657" t="s">
        <v>62</v>
      </c>
      <c r="N657" t="s">
        <v>19</v>
      </c>
      <c r="O657" t="s">
        <v>189</v>
      </c>
      <c r="P657" s="1" t="s">
        <v>34</v>
      </c>
      <c r="Q657">
        <v>108.5</v>
      </c>
    </row>
    <row r="658" spans="1:17" x14ac:dyDescent="0.3">
      <c r="A658">
        <v>2015</v>
      </c>
      <c r="B658" t="s">
        <v>37</v>
      </c>
      <c r="C658" t="s">
        <v>78</v>
      </c>
      <c r="D658" s="1" t="s">
        <v>21</v>
      </c>
      <c r="E658" s="4">
        <v>121.2</v>
      </c>
      <c r="F658" s="4">
        <v>118.7</v>
      </c>
      <c r="G658" s="4">
        <v>114.7</v>
      </c>
      <c r="H658" s="1" t="s">
        <v>190</v>
      </c>
      <c r="K658">
        <v>2013</v>
      </c>
      <c r="L658" t="s">
        <v>38</v>
      </c>
      <c r="M658" t="s">
        <v>62</v>
      </c>
      <c r="N658" t="s">
        <v>19</v>
      </c>
      <c r="O658" t="s">
        <v>189</v>
      </c>
      <c r="P658" s="1" t="s">
        <v>33</v>
      </c>
      <c r="Q658">
        <v>108.3</v>
      </c>
    </row>
    <row r="659" spans="1:17" x14ac:dyDescent="0.3">
      <c r="A659">
        <v>2015</v>
      </c>
      <c r="B659" t="s">
        <v>37</v>
      </c>
      <c r="C659" t="s">
        <v>78</v>
      </c>
      <c r="D659" s="1" t="s">
        <v>29</v>
      </c>
      <c r="E659" s="4">
        <v>121.5</v>
      </c>
      <c r="F659" s="4">
        <v>120.7</v>
      </c>
      <c r="G659" s="4">
        <v>119.7</v>
      </c>
      <c r="H659" s="1" t="s">
        <v>206</v>
      </c>
      <c r="K659">
        <v>2013</v>
      </c>
      <c r="L659" t="s">
        <v>38</v>
      </c>
      <c r="M659" t="s">
        <v>62</v>
      </c>
      <c r="N659" t="s">
        <v>26</v>
      </c>
      <c r="O659" t="s">
        <v>26</v>
      </c>
      <c r="P659" s="1" t="s">
        <v>30</v>
      </c>
      <c r="Q659">
        <v>105.5</v>
      </c>
    </row>
    <row r="660" spans="1:17" x14ac:dyDescent="0.3">
      <c r="A660">
        <v>2015</v>
      </c>
      <c r="B660" t="s">
        <v>37</v>
      </c>
      <c r="C660" t="s">
        <v>78</v>
      </c>
      <c r="D660" s="1" t="s">
        <v>23</v>
      </c>
      <c r="E660" s="4">
        <v>118.6</v>
      </c>
      <c r="F660" s="4">
        <v>117.1</v>
      </c>
      <c r="G660" s="4">
        <v>114.6</v>
      </c>
      <c r="H660" s="1" t="s">
        <v>23</v>
      </c>
      <c r="K660">
        <v>2013</v>
      </c>
      <c r="L660" t="s">
        <v>38</v>
      </c>
      <c r="M660" t="s">
        <v>62</v>
      </c>
      <c r="N660" t="s">
        <v>26</v>
      </c>
      <c r="O660" t="s">
        <v>26</v>
      </c>
      <c r="P660" s="1" t="s">
        <v>34</v>
      </c>
      <c r="Q660">
        <v>105.6</v>
      </c>
    </row>
    <row r="661" spans="1:17" x14ac:dyDescent="0.3">
      <c r="A661">
        <v>2015</v>
      </c>
      <c r="B661" t="s">
        <v>37</v>
      </c>
      <c r="C661" t="s">
        <v>78</v>
      </c>
      <c r="D661" s="1" t="s">
        <v>22</v>
      </c>
      <c r="E661" s="4">
        <v>120.9</v>
      </c>
      <c r="F661" s="4">
        <v>119.7</v>
      </c>
      <c r="G661" s="4">
        <v>118.4</v>
      </c>
      <c r="H661" s="1" t="s">
        <v>20</v>
      </c>
      <c r="K661">
        <v>2013</v>
      </c>
      <c r="L661" t="s">
        <v>38</v>
      </c>
      <c r="M661" t="s">
        <v>62</v>
      </c>
      <c r="N661" t="s">
        <v>26</v>
      </c>
      <c r="O661" t="s">
        <v>26</v>
      </c>
      <c r="P661" s="1" t="s">
        <v>33</v>
      </c>
      <c r="Q661">
        <v>105.7</v>
      </c>
    </row>
    <row r="662" spans="1:17" x14ac:dyDescent="0.3">
      <c r="A662">
        <v>2015</v>
      </c>
      <c r="B662" t="s">
        <v>37</v>
      </c>
      <c r="C662" t="s">
        <v>78</v>
      </c>
      <c r="D662" s="1" t="s">
        <v>20</v>
      </c>
      <c r="E662" s="4">
        <v>0</v>
      </c>
      <c r="F662" s="4">
        <v>119.2</v>
      </c>
      <c r="G662" s="4">
        <v>119.2</v>
      </c>
      <c r="H662" s="1" t="s">
        <v>20</v>
      </c>
      <c r="K662">
        <v>2013</v>
      </c>
      <c r="L662" t="s">
        <v>38</v>
      </c>
      <c r="M662" t="s">
        <v>62</v>
      </c>
      <c r="N662" t="s">
        <v>5</v>
      </c>
      <c r="O662" t="s">
        <v>188</v>
      </c>
      <c r="P662" s="1" t="s">
        <v>30</v>
      </c>
      <c r="Q662">
        <v>105.9</v>
      </c>
    </row>
    <row r="663" spans="1:17" x14ac:dyDescent="0.3">
      <c r="A663">
        <v>2015</v>
      </c>
      <c r="B663" t="s">
        <v>37</v>
      </c>
      <c r="C663" t="s">
        <v>78</v>
      </c>
      <c r="D663" s="1" t="s">
        <v>4</v>
      </c>
      <c r="E663" s="4">
        <v>125.5</v>
      </c>
      <c r="F663" s="4">
        <v>126.4</v>
      </c>
      <c r="G663" s="4">
        <v>128.19999999999999</v>
      </c>
      <c r="H663" s="1" t="s">
        <v>188</v>
      </c>
      <c r="K663">
        <v>2013</v>
      </c>
      <c r="L663" t="s">
        <v>38</v>
      </c>
      <c r="M663" t="s">
        <v>62</v>
      </c>
      <c r="N663" t="s">
        <v>5</v>
      </c>
      <c r="O663" t="s">
        <v>188</v>
      </c>
      <c r="P663" s="1" t="s">
        <v>34</v>
      </c>
      <c r="Q663">
        <v>104.7</v>
      </c>
    </row>
    <row r="664" spans="1:17" x14ac:dyDescent="0.3">
      <c r="A664">
        <v>2015</v>
      </c>
      <c r="B664" t="s">
        <v>37</v>
      </c>
      <c r="C664" t="s">
        <v>78</v>
      </c>
      <c r="D664" s="1" t="s">
        <v>6</v>
      </c>
      <c r="E664" s="4">
        <v>126.8</v>
      </c>
      <c r="F664" s="4">
        <v>126.6</v>
      </c>
      <c r="G664" s="4">
        <v>126.3</v>
      </c>
      <c r="H664" s="1" t="s">
        <v>188</v>
      </c>
      <c r="K664">
        <v>2013</v>
      </c>
      <c r="L664" t="s">
        <v>38</v>
      </c>
      <c r="M664" t="s">
        <v>62</v>
      </c>
      <c r="N664" t="s">
        <v>5</v>
      </c>
      <c r="O664" t="s">
        <v>188</v>
      </c>
      <c r="P664" s="1" t="s">
        <v>33</v>
      </c>
      <c r="Q664">
        <v>102.7</v>
      </c>
    </row>
    <row r="665" spans="1:17" x14ac:dyDescent="0.3">
      <c r="A665">
        <v>2015</v>
      </c>
      <c r="B665" t="s">
        <v>37</v>
      </c>
      <c r="C665" t="s">
        <v>78</v>
      </c>
      <c r="D665" s="1" t="s">
        <v>28</v>
      </c>
      <c r="E665" s="4">
        <v>116</v>
      </c>
      <c r="F665" s="4">
        <v>115.1</v>
      </c>
      <c r="G665" s="4">
        <v>114.2</v>
      </c>
      <c r="H665" s="1" t="s">
        <v>192</v>
      </c>
      <c r="K665">
        <v>2013</v>
      </c>
      <c r="L665" t="s">
        <v>38</v>
      </c>
      <c r="M665" t="s">
        <v>62</v>
      </c>
      <c r="N665" t="s">
        <v>15</v>
      </c>
      <c r="O665" t="s">
        <v>188</v>
      </c>
      <c r="P665" s="1" t="s">
        <v>30</v>
      </c>
      <c r="Q665">
        <v>108.1</v>
      </c>
    </row>
    <row r="666" spans="1:17" x14ac:dyDescent="0.3">
      <c r="A666">
        <v>2015</v>
      </c>
      <c r="B666" t="s">
        <v>37</v>
      </c>
      <c r="C666" t="s">
        <v>78</v>
      </c>
      <c r="D666" s="1" t="s">
        <v>13</v>
      </c>
      <c r="E666" s="4">
        <v>119.4</v>
      </c>
      <c r="F666" s="4">
        <v>118.5</v>
      </c>
      <c r="G666" s="4">
        <v>117.2</v>
      </c>
      <c r="H666" s="1" t="s">
        <v>188</v>
      </c>
      <c r="K666">
        <v>2013</v>
      </c>
      <c r="L666" t="s">
        <v>38</v>
      </c>
      <c r="M666" t="s">
        <v>62</v>
      </c>
      <c r="N666" t="s">
        <v>15</v>
      </c>
      <c r="O666" t="s">
        <v>188</v>
      </c>
      <c r="P666" s="1" t="s">
        <v>34</v>
      </c>
      <c r="Q666">
        <v>109.2</v>
      </c>
    </row>
    <row r="667" spans="1:17" x14ac:dyDescent="0.3">
      <c r="A667">
        <v>2015</v>
      </c>
      <c r="B667" t="s">
        <v>37</v>
      </c>
      <c r="C667" t="s">
        <v>78</v>
      </c>
      <c r="D667" s="1" t="s">
        <v>7</v>
      </c>
      <c r="E667" s="4">
        <v>111.9</v>
      </c>
      <c r="F667" s="4">
        <v>109.2</v>
      </c>
      <c r="G667" s="4">
        <v>104.5</v>
      </c>
      <c r="H667" s="1" t="s">
        <v>188</v>
      </c>
      <c r="K667">
        <v>2013</v>
      </c>
      <c r="L667" t="s">
        <v>38</v>
      </c>
      <c r="M667" t="s">
        <v>62</v>
      </c>
      <c r="N667" t="s">
        <v>15</v>
      </c>
      <c r="O667" t="s">
        <v>188</v>
      </c>
      <c r="P667" s="1" t="s">
        <v>33</v>
      </c>
      <c r="Q667">
        <v>111.1</v>
      </c>
    </row>
    <row r="668" spans="1:17" x14ac:dyDescent="0.3">
      <c r="A668">
        <v>2015</v>
      </c>
      <c r="B668" t="s">
        <v>37</v>
      </c>
      <c r="C668" t="s">
        <v>78</v>
      </c>
      <c r="D668" s="1" t="s">
        <v>16</v>
      </c>
      <c r="E668" s="4">
        <v>125.7</v>
      </c>
      <c r="F668" s="4">
        <v>126.9</v>
      </c>
      <c r="G668" s="4">
        <v>130.1</v>
      </c>
      <c r="H668" s="1" t="s">
        <v>192</v>
      </c>
      <c r="K668">
        <v>2013</v>
      </c>
      <c r="L668" t="s">
        <v>38</v>
      </c>
      <c r="M668" t="s">
        <v>62</v>
      </c>
      <c r="N668" t="s">
        <v>18</v>
      </c>
      <c r="O668" t="s">
        <v>189</v>
      </c>
      <c r="P668" s="1" t="s">
        <v>30</v>
      </c>
      <c r="Q668">
        <v>107.9</v>
      </c>
    </row>
    <row r="669" spans="1:17" x14ac:dyDescent="0.3">
      <c r="A669">
        <v>2015</v>
      </c>
      <c r="B669" t="s">
        <v>37</v>
      </c>
      <c r="C669" t="s">
        <v>78</v>
      </c>
      <c r="D669" s="1" t="s">
        <v>27</v>
      </c>
      <c r="E669" s="4">
        <v>111.6</v>
      </c>
      <c r="F669" s="4">
        <v>111.7</v>
      </c>
      <c r="G669" s="4">
        <v>111.8</v>
      </c>
      <c r="H669" s="1" t="s">
        <v>192</v>
      </c>
      <c r="K669">
        <v>2013</v>
      </c>
      <c r="L669" t="s">
        <v>38</v>
      </c>
      <c r="M669" t="s">
        <v>62</v>
      </c>
      <c r="N669" t="s">
        <v>18</v>
      </c>
      <c r="O669" t="s">
        <v>189</v>
      </c>
      <c r="P669" s="1" t="s">
        <v>34</v>
      </c>
      <c r="Q669">
        <v>107.4</v>
      </c>
    </row>
    <row r="670" spans="1:17" x14ac:dyDescent="0.3">
      <c r="A670">
        <v>2015</v>
      </c>
      <c r="B670" t="s">
        <v>37</v>
      </c>
      <c r="C670" t="s">
        <v>78</v>
      </c>
      <c r="D670" s="1" t="s">
        <v>14</v>
      </c>
      <c r="E670" s="4">
        <v>128.69999999999999</v>
      </c>
      <c r="F670" s="4">
        <v>129.1</v>
      </c>
      <c r="G670" s="4">
        <v>129.5</v>
      </c>
      <c r="H670" s="1" t="s">
        <v>188</v>
      </c>
      <c r="K670">
        <v>2013</v>
      </c>
      <c r="L670" t="s">
        <v>38</v>
      </c>
      <c r="M670" t="s">
        <v>62</v>
      </c>
      <c r="N670" t="s">
        <v>18</v>
      </c>
      <c r="O670" t="s">
        <v>189</v>
      </c>
      <c r="P670" s="1" t="s">
        <v>33</v>
      </c>
      <c r="Q670">
        <v>106.7</v>
      </c>
    </row>
    <row r="671" spans="1:17" x14ac:dyDescent="0.3">
      <c r="A671">
        <v>2015</v>
      </c>
      <c r="B671" t="s">
        <v>37</v>
      </c>
      <c r="C671" t="s">
        <v>78</v>
      </c>
      <c r="D671" s="1" t="s">
        <v>10</v>
      </c>
      <c r="E671" s="4">
        <v>121.5</v>
      </c>
      <c r="F671" s="4">
        <v>124.8</v>
      </c>
      <c r="G671" s="4">
        <v>131.30000000000001</v>
      </c>
      <c r="H671" s="1" t="s">
        <v>188</v>
      </c>
      <c r="K671">
        <v>2013</v>
      </c>
      <c r="L671" t="s">
        <v>38</v>
      </c>
      <c r="M671" t="s">
        <v>62</v>
      </c>
      <c r="N671" t="s">
        <v>8</v>
      </c>
      <c r="O671" t="s">
        <v>188</v>
      </c>
      <c r="P671" s="1" t="s">
        <v>30</v>
      </c>
      <c r="Q671">
        <v>108.1</v>
      </c>
    </row>
    <row r="672" spans="1:17" x14ac:dyDescent="0.3">
      <c r="A672">
        <v>2015</v>
      </c>
      <c r="B672" t="s">
        <v>37</v>
      </c>
      <c r="C672" t="s">
        <v>78</v>
      </c>
      <c r="D672" s="1" t="s">
        <v>25</v>
      </c>
      <c r="E672" s="4">
        <v>116.2</v>
      </c>
      <c r="F672" s="4">
        <v>115.9</v>
      </c>
      <c r="G672" s="4">
        <v>115.6</v>
      </c>
      <c r="H672" s="1" t="s">
        <v>195</v>
      </c>
      <c r="K672">
        <v>2013</v>
      </c>
      <c r="L672" t="s">
        <v>38</v>
      </c>
      <c r="M672" t="s">
        <v>62</v>
      </c>
      <c r="N672" t="s">
        <v>8</v>
      </c>
      <c r="O672" t="s">
        <v>188</v>
      </c>
      <c r="P672" s="1" t="s">
        <v>34</v>
      </c>
      <c r="Q672">
        <v>109.3</v>
      </c>
    </row>
    <row r="673" spans="1:17" x14ac:dyDescent="0.3">
      <c r="A673">
        <v>2015</v>
      </c>
      <c r="B673" t="s">
        <v>37</v>
      </c>
      <c r="C673" t="s">
        <v>78</v>
      </c>
      <c r="D673" s="1" t="s">
        <v>12</v>
      </c>
      <c r="E673" s="4">
        <v>119.8</v>
      </c>
      <c r="F673" s="4">
        <v>122.4</v>
      </c>
      <c r="G673" s="4">
        <v>127.7</v>
      </c>
      <c r="H673" s="1" t="s">
        <v>188</v>
      </c>
      <c r="K673">
        <v>2013</v>
      </c>
      <c r="L673" t="s">
        <v>38</v>
      </c>
      <c r="M673" t="s">
        <v>62</v>
      </c>
      <c r="N673" t="s">
        <v>8</v>
      </c>
      <c r="O673" t="s">
        <v>188</v>
      </c>
      <c r="P673" s="1" t="s">
        <v>33</v>
      </c>
      <c r="Q673">
        <v>110.6</v>
      </c>
    </row>
    <row r="674" spans="1:17" x14ac:dyDescent="0.3">
      <c r="A674">
        <v>2015</v>
      </c>
      <c r="B674" t="s">
        <v>37</v>
      </c>
      <c r="C674" t="s">
        <v>78</v>
      </c>
      <c r="D674" s="1" t="s">
        <v>11</v>
      </c>
      <c r="E674" s="4">
        <v>97.8</v>
      </c>
      <c r="F674" s="4">
        <v>95.7</v>
      </c>
      <c r="G674" s="4">
        <v>91.6</v>
      </c>
      <c r="H674" s="1" t="s">
        <v>188</v>
      </c>
      <c r="K674">
        <v>2013</v>
      </c>
      <c r="L674" t="s">
        <v>38</v>
      </c>
      <c r="M674" t="s">
        <v>62</v>
      </c>
      <c r="N674" t="s">
        <v>21</v>
      </c>
      <c r="O674" t="s">
        <v>190</v>
      </c>
      <c r="P674" s="1" t="s">
        <v>30</v>
      </c>
      <c r="Q674">
        <v>107.5</v>
      </c>
    </row>
    <row r="675" spans="1:17" x14ac:dyDescent="0.3">
      <c r="A675">
        <v>2015</v>
      </c>
      <c r="B675" t="s">
        <v>37</v>
      </c>
      <c r="C675" t="s">
        <v>78</v>
      </c>
      <c r="D675" s="1" t="s">
        <v>24</v>
      </c>
      <c r="E675" s="4">
        <v>111.9</v>
      </c>
      <c r="F675" s="4">
        <v>110.1</v>
      </c>
      <c r="G675" s="4">
        <v>108.4</v>
      </c>
      <c r="H675" s="1" t="s">
        <v>191</v>
      </c>
      <c r="K675">
        <v>2013</v>
      </c>
      <c r="L675" t="s">
        <v>38</v>
      </c>
      <c r="M675" t="s">
        <v>62</v>
      </c>
      <c r="N675" t="s">
        <v>21</v>
      </c>
      <c r="O675" t="s">
        <v>190</v>
      </c>
      <c r="P675" s="1" t="s">
        <v>34</v>
      </c>
      <c r="Q675">
        <v>107.4</v>
      </c>
    </row>
    <row r="676" spans="1:17" x14ac:dyDescent="0.3">
      <c r="A676">
        <v>2015</v>
      </c>
      <c r="B676" t="s">
        <v>37</v>
      </c>
      <c r="C676" t="s">
        <v>78</v>
      </c>
      <c r="D676" s="1" t="s">
        <v>9</v>
      </c>
      <c r="E676" s="4">
        <v>127.5</v>
      </c>
      <c r="F676" s="4">
        <v>128.6</v>
      </c>
      <c r="G676" s="4">
        <v>130.80000000000001</v>
      </c>
      <c r="H676" s="1" t="s">
        <v>188</v>
      </c>
      <c r="K676">
        <v>2013</v>
      </c>
      <c r="L676" t="s">
        <v>38</v>
      </c>
      <c r="M676" t="s">
        <v>62</v>
      </c>
      <c r="N676" t="s">
        <v>21</v>
      </c>
      <c r="O676" t="s">
        <v>190</v>
      </c>
      <c r="P676" s="1" t="s">
        <v>33</v>
      </c>
      <c r="Q676">
        <v>107.2</v>
      </c>
    </row>
    <row r="677" spans="1:17" x14ac:dyDescent="0.3">
      <c r="A677">
        <v>2015</v>
      </c>
      <c r="B677" t="s">
        <v>41</v>
      </c>
      <c r="C677" t="s">
        <v>79</v>
      </c>
      <c r="D677" s="1" t="s">
        <v>3</v>
      </c>
      <c r="E677" s="4">
        <v>124.7</v>
      </c>
      <c r="F677" s="4">
        <v>124.2</v>
      </c>
      <c r="G677" s="4">
        <v>123.1</v>
      </c>
      <c r="H677" s="1" t="s">
        <v>188</v>
      </c>
      <c r="K677">
        <v>2013</v>
      </c>
      <c r="L677" t="s">
        <v>38</v>
      </c>
      <c r="M677" t="s">
        <v>62</v>
      </c>
      <c r="N677" t="s">
        <v>29</v>
      </c>
      <c r="O677" t="s">
        <v>206</v>
      </c>
      <c r="P677" s="1" t="s">
        <v>30</v>
      </c>
      <c r="Q677">
        <v>107.2</v>
      </c>
    </row>
    <row r="678" spans="1:17" x14ac:dyDescent="0.3">
      <c r="A678">
        <v>2015</v>
      </c>
      <c r="B678" t="s">
        <v>41</v>
      </c>
      <c r="C678" t="s">
        <v>79</v>
      </c>
      <c r="D678" s="1" t="s">
        <v>17</v>
      </c>
      <c r="E678" s="4">
        <v>129.5</v>
      </c>
      <c r="F678" s="4">
        <v>127.2</v>
      </c>
      <c r="G678" s="4">
        <v>123.7</v>
      </c>
      <c r="H678" s="1" t="s">
        <v>189</v>
      </c>
      <c r="K678">
        <v>2013</v>
      </c>
      <c r="L678" t="s">
        <v>38</v>
      </c>
      <c r="M678" t="s">
        <v>62</v>
      </c>
      <c r="N678" t="s">
        <v>29</v>
      </c>
      <c r="O678" t="s">
        <v>206</v>
      </c>
      <c r="P678" s="1" t="s">
        <v>34</v>
      </c>
      <c r="Q678">
        <v>106.9</v>
      </c>
    </row>
    <row r="679" spans="1:17" x14ac:dyDescent="0.3">
      <c r="A679">
        <v>2015</v>
      </c>
      <c r="B679" t="s">
        <v>41</v>
      </c>
      <c r="C679" t="s">
        <v>79</v>
      </c>
      <c r="D679" s="1" t="s">
        <v>19</v>
      </c>
      <c r="E679" s="4">
        <v>129</v>
      </c>
      <c r="F679" s="4">
        <v>126.6</v>
      </c>
      <c r="G679" s="4">
        <v>122.9</v>
      </c>
      <c r="H679" s="1" t="s">
        <v>189</v>
      </c>
      <c r="K679">
        <v>2013</v>
      </c>
      <c r="L679" t="s">
        <v>38</v>
      </c>
      <c r="M679" t="s">
        <v>62</v>
      </c>
      <c r="N679" t="s">
        <v>29</v>
      </c>
      <c r="O679" t="s">
        <v>206</v>
      </c>
      <c r="P679" s="1" t="s">
        <v>33</v>
      </c>
      <c r="Q679">
        <v>106.6</v>
      </c>
    </row>
    <row r="680" spans="1:17" x14ac:dyDescent="0.3">
      <c r="A680">
        <v>2015</v>
      </c>
      <c r="B680" t="s">
        <v>41</v>
      </c>
      <c r="C680" t="s">
        <v>79</v>
      </c>
      <c r="D680" s="1" t="s">
        <v>26</v>
      </c>
      <c r="E680" s="4">
        <v>123.6</v>
      </c>
      <c r="F680" s="4">
        <v>125.1</v>
      </c>
      <c r="G680" s="4">
        <v>126.2</v>
      </c>
      <c r="H680" s="1" t="s">
        <v>26</v>
      </c>
      <c r="K680">
        <v>2013</v>
      </c>
      <c r="L680" t="s">
        <v>38</v>
      </c>
      <c r="M680" t="s">
        <v>62</v>
      </c>
      <c r="N680" t="s">
        <v>23</v>
      </c>
      <c r="O680" t="s">
        <v>23</v>
      </c>
      <c r="P680" s="1" t="s">
        <v>30</v>
      </c>
      <c r="Q680">
        <v>105.7</v>
      </c>
    </row>
    <row r="681" spans="1:17" x14ac:dyDescent="0.3">
      <c r="A681">
        <v>2015</v>
      </c>
      <c r="B681" t="s">
        <v>41</v>
      </c>
      <c r="C681" t="s">
        <v>79</v>
      </c>
      <c r="D681" s="1" t="s">
        <v>5</v>
      </c>
      <c r="E681" s="4">
        <v>121.3</v>
      </c>
      <c r="F681" s="4">
        <v>120.1</v>
      </c>
      <c r="G681" s="4">
        <v>118.1</v>
      </c>
      <c r="H681" s="1" t="s">
        <v>188</v>
      </c>
      <c r="K681">
        <v>2013</v>
      </c>
      <c r="L681" t="s">
        <v>38</v>
      </c>
      <c r="M681" t="s">
        <v>62</v>
      </c>
      <c r="N681" t="s">
        <v>23</v>
      </c>
      <c r="O681" t="s">
        <v>23</v>
      </c>
      <c r="P681" s="1" t="s">
        <v>34</v>
      </c>
      <c r="Q681">
        <v>105.9</v>
      </c>
    </row>
    <row r="682" spans="1:17" x14ac:dyDescent="0.3">
      <c r="A682">
        <v>2015</v>
      </c>
      <c r="B682" t="s">
        <v>41</v>
      </c>
      <c r="C682" t="s">
        <v>79</v>
      </c>
      <c r="D682" s="1" t="s">
        <v>15</v>
      </c>
      <c r="E682" s="4">
        <v>129.80000000000001</v>
      </c>
      <c r="F682" s="4">
        <v>130.30000000000001</v>
      </c>
      <c r="G682" s="4">
        <v>131.1</v>
      </c>
      <c r="H682" s="1" t="s">
        <v>188</v>
      </c>
      <c r="K682">
        <v>2013</v>
      </c>
      <c r="L682" t="s">
        <v>38</v>
      </c>
      <c r="M682" t="s">
        <v>62</v>
      </c>
      <c r="N682" t="s">
        <v>23</v>
      </c>
      <c r="O682" t="s">
        <v>23</v>
      </c>
      <c r="P682" s="1" t="s">
        <v>33</v>
      </c>
      <c r="Q682">
        <v>106.2</v>
      </c>
    </row>
    <row r="683" spans="1:17" x14ac:dyDescent="0.3">
      <c r="A683">
        <v>2015</v>
      </c>
      <c r="B683" t="s">
        <v>41</v>
      </c>
      <c r="C683" t="s">
        <v>79</v>
      </c>
      <c r="D683" s="1" t="s">
        <v>18</v>
      </c>
      <c r="E683" s="4">
        <v>126.3</v>
      </c>
      <c r="F683" s="4">
        <v>122.9</v>
      </c>
      <c r="G683" s="4">
        <v>118.2</v>
      </c>
      <c r="H683" s="1" t="s">
        <v>189</v>
      </c>
      <c r="K683">
        <v>2013</v>
      </c>
      <c r="L683" t="s">
        <v>38</v>
      </c>
      <c r="M683" t="s">
        <v>62</v>
      </c>
      <c r="N683" t="s">
        <v>22</v>
      </c>
      <c r="O683" t="s">
        <v>20</v>
      </c>
      <c r="P683" s="1" t="s">
        <v>30</v>
      </c>
      <c r="Q683">
        <v>106.8</v>
      </c>
    </row>
    <row r="684" spans="1:17" x14ac:dyDescent="0.3">
      <c r="A684">
        <v>2015</v>
      </c>
      <c r="B684" t="s">
        <v>41</v>
      </c>
      <c r="C684" t="s">
        <v>79</v>
      </c>
      <c r="D684" s="1" t="s">
        <v>8</v>
      </c>
      <c r="E684" s="4">
        <v>134.19999999999999</v>
      </c>
      <c r="F684" s="4">
        <v>132.30000000000001</v>
      </c>
      <c r="G684" s="4">
        <v>130.1</v>
      </c>
      <c r="H684" s="1" t="s">
        <v>188</v>
      </c>
      <c r="K684">
        <v>2013</v>
      </c>
      <c r="L684" t="s">
        <v>38</v>
      </c>
      <c r="M684" t="s">
        <v>62</v>
      </c>
      <c r="N684" t="s">
        <v>22</v>
      </c>
      <c r="O684" t="s">
        <v>20</v>
      </c>
      <c r="P684" s="1" t="s">
        <v>34</v>
      </c>
      <c r="Q684">
        <v>106.9</v>
      </c>
    </row>
    <row r="685" spans="1:17" x14ac:dyDescent="0.3">
      <c r="A685">
        <v>2015</v>
      </c>
      <c r="B685" t="s">
        <v>41</v>
      </c>
      <c r="C685" t="s">
        <v>79</v>
      </c>
      <c r="D685" s="1" t="s">
        <v>21</v>
      </c>
      <c r="E685" s="4">
        <v>123.8</v>
      </c>
      <c r="F685" s="4">
        <v>120.6</v>
      </c>
      <c r="G685" s="4">
        <v>115.3</v>
      </c>
      <c r="H685" s="1" t="s">
        <v>190</v>
      </c>
      <c r="K685">
        <v>2013</v>
      </c>
      <c r="L685" t="s">
        <v>38</v>
      </c>
      <c r="M685" t="s">
        <v>62</v>
      </c>
      <c r="N685" t="s">
        <v>22</v>
      </c>
      <c r="O685" t="s">
        <v>20</v>
      </c>
      <c r="P685" s="1" t="s">
        <v>33</v>
      </c>
      <c r="Q685">
        <v>107.1</v>
      </c>
    </row>
    <row r="686" spans="1:17" x14ac:dyDescent="0.3">
      <c r="A686">
        <v>2015</v>
      </c>
      <c r="B686" t="s">
        <v>41</v>
      </c>
      <c r="C686" t="s">
        <v>79</v>
      </c>
      <c r="D686" s="1" t="s">
        <v>29</v>
      </c>
      <c r="E686" s="4">
        <v>126.1</v>
      </c>
      <c r="F686" s="4">
        <v>124.8</v>
      </c>
      <c r="G686" s="4">
        <v>123.2</v>
      </c>
      <c r="H686" s="1" t="s">
        <v>206</v>
      </c>
      <c r="K686">
        <v>2013</v>
      </c>
      <c r="L686" t="s">
        <v>38</v>
      </c>
      <c r="M686" t="s">
        <v>62</v>
      </c>
      <c r="N686" t="s">
        <v>20</v>
      </c>
      <c r="O686" t="s">
        <v>20</v>
      </c>
      <c r="P686" s="1" t="s">
        <v>30</v>
      </c>
      <c r="Q686">
        <v>0</v>
      </c>
    </row>
    <row r="687" spans="1:17" x14ac:dyDescent="0.3">
      <c r="A687">
        <v>2015</v>
      </c>
      <c r="B687" t="s">
        <v>41</v>
      </c>
      <c r="C687" t="s">
        <v>79</v>
      </c>
      <c r="D687" s="1" t="s">
        <v>23</v>
      </c>
      <c r="E687" s="4">
        <v>121.1</v>
      </c>
      <c r="F687" s="4">
        <v>119.4</v>
      </c>
      <c r="G687" s="4">
        <v>116.6</v>
      </c>
      <c r="H687" s="1" t="s">
        <v>23</v>
      </c>
      <c r="K687">
        <v>2013</v>
      </c>
      <c r="L687" t="s">
        <v>38</v>
      </c>
      <c r="M687" t="s">
        <v>62</v>
      </c>
      <c r="N687" t="s">
        <v>20</v>
      </c>
      <c r="O687" t="s">
        <v>20</v>
      </c>
      <c r="P687" s="1" t="s">
        <v>34</v>
      </c>
      <c r="Q687">
        <v>100.5</v>
      </c>
    </row>
    <row r="688" spans="1:17" x14ac:dyDescent="0.3">
      <c r="A688">
        <v>2015</v>
      </c>
      <c r="B688" t="s">
        <v>41</v>
      </c>
      <c r="C688" t="s">
        <v>79</v>
      </c>
      <c r="D688" s="1" t="s">
        <v>22</v>
      </c>
      <c r="E688" s="4">
        <v>123.7</v>
      </c>
      <c r="F688" s="4">
        <v>122</v>
      </c>
      <c r="G688" s="4">
        <v>120</v>
      </c>
      <c r="H688" s="1" t="s">
        <v>20</v>
      </c>
      <c r="K688">
        <v>2013</v>
      </c>
      <c r="L688" t="s">
        <v>38</v>
      </c>
      <c r="M688" t="s">
        <v>62</v>
      </c>
      <c r="N688" t="s">
        <v>20</v>
      </c>
      <c r="O688" t="s">
        <v>20</v>
      </c>
      <c r="P688" s="1" t="s">
        <v>33</v>
      </c>
      <c r="Q688">
        <v>100.5</v>
      </c>
    </row>
    <row r="689" spans="1:17" x14ac:dyDescent="0.3">
      <c r="A689">
        <v>2015</v>
      </c>
      <c r="B689" t="s">
        <v>41</v>
      </c>
      <c r="C689" t="s">
        <v>79</v>
      </c>
      <c r="D689" s="1" t="s">
        <v>20</v>
      </c>
      <c r="E689" s="4">
        <v>0</v>
      </c>
      <c r="F689" s="4">
        <v>120.9</v>
      </c>
      <c r="G689" s="4">
        <v>120.9</v>
      </c>
      <c r="H689" s="1" t="s">
        <v>20</v>
      </c>
      <c r="K689">
        <v>2013</v>
      </c>
      <c r="L689" t="s">
        <v>38</v>
      </c>
      <c r="M689" t="s">
        <v>62</v>
      </c>
      <c r="N689" t="s">
        <v>4</v>
      </c>
      <c r="O689" t="s">
        <v>188</v>
      </c>
      <c r="P689" s="1" t="s">
        <v>30</v>
      </c>
      <c r="Q689">
        <v>109.8</v>
      </c>
    </row>
    <row r="690" spans="1:17" x14ac:dyDescent="0.3">
      <c r="A690">
        <v>2015</v>
      </c>
      <c r="B690" t="s">
        <v>41</v>
      </c>
      <c r="C690" t="s">
        <v>79</v>
      </c>
      <c r="D690" s="1" t="s">
        <v>4</v>
      </c>
      <c r="E690" s="4">
        <v>131.30000000000001</v>
      </c>
      <c r="F690" s="4">
        <v>131.4</v>
      </c>
      <c r="G690" s="4">
        <v>131.69999999999999</v>
      </c>
      <c r="H690" s="1" t="s">
        <v>188</v>
      </c>
      <c r="K690">
        <v>2013</v>
      </c>
      <c r="L690" t="s">
        <v>38</v>
      </c>
      <c r="M690" t="s">
        <v>62</v>
      </c>
      <c r="N690" t="s">
        <v>4</v>
      </c>
      <c r="O690" t="s">
        <v>188</v>
      </c>
      <c r="P690" s="1" t="s">
        <v>34</v>
      </c>
      <c r="Q690">
        <v>111.3</v>
      </c>
    </row>
    <row r="691" spans="1:17" x14ac:dyDescent="0.3">
      <c r="A691">
        <v>2015</v>
      </c>
      <c r="B691" t="s">
        <v>41</v>
      </c>
      <c r="C691" t="s">
        <v>79</v>
      </c>
      <c r="D691" s="1" t="s">
        <v>6</v>
      </c>
      <c r="E691" s="4">
        <v>128.80000000000001</v>
      </c>
      <c r="F691" s="4">
        <v>128.5</v>
      </c>
      <c r="G691" s="4">
        <v>128</v>
      </c>
      <c r="H691" s="1" t="s">
        <v>188</v>
      </c>
      <c r="K691">
        <v>2013</v>
      </c>
      <c r="L691" t="s">
        <v>38</v>
      </c>
      <c r="M691" t="s">
        <v>62</v>
      </c>
      <c r="N691" t="s">
        <v>4</v>
      </c>
      <c r="O691" t="s">
        <v>188</v>
      </c>
      <c r="P691" s="1" t="s">
        <v>33</v>
      </c>
      <c r="Q691">
        <v>114.2</v>
      </c>
    </row>
    <row r="692" spans="1:17" x14ac:dyDescent="0.3">
      <c r="A692">
        <v>2015</v>
      </c>
      <c r="B692" t="s">
        <v>41</v>
      </c>
      <c r="C692" t="s">
        <v>79</v>
      </c>
      <c r="D692" s="1" t="s">
        <v>28</v>
      </c>
      <c r="E692" s="4">
        <v>118.2</v>
      </c>
      <c r="F692" s="4">
        <v>117.2</v>
      </c>
      <c r="G692" s="4">
        <v>116.2</v>
      </c>
      <c r="H692" s="1" t="s">
        <v>192</v>
      </c>
      <c r="K692">
        <v>2013</v>
      </c>
      <c r="L692" t="s">
        <v>38</v>
      </c>
      <c r="M692" t="s">
        <v>62</v>
      </c>
      <c r="N692" t="s">
        <v>6</v>
      </c>
      <c r="O692" t="s">
        <v>188</v>
      </c>
      <c r="P692" s="1" t="s">
        <v>30</v>
      </c>
      <c r="Q692">
        <v>107.5</v>
      </c>
    </row>
    <row r="693" spans="1:17" x14ac:dyDescent="0.3">
      <c r="A693">
        <v>2015</v>
      </c>
      <c r="B693" t="s">
        <v>41</v>
      </c>
      <c r="C693" t="s">
        <v>79</v>
      </c>
      <c r="D693" s="1" t="s">
        <v>13</v>
      </c>
      <c r="E693" s="4">
        <v>121.5</v>
      </c>
      <c r="F693" s="4">
        <v>120.4</v>
      </c>
      <c r="G693" s="4">
        <v>118.8</v>
      </c>
      <c r="H693" s="1" t="s">
        <v>188</v>
      </c>
      <c r="K693">
        <v>2013</v>
      </c>
      <c r="L693" t="s">
        <v>38</v>
      </c>
      <c r="M693" t="s">
        <v>62</v>
      </c>
      <c r="N693" t="s">
        <v>6</v>
      </c>
      <c r="O693" t="s">
        <v>188</v>
      </c>
      <c r="P693" s="1" t="s">
        <v>34</v>
      </c>
      <c r="Q693">
        <v>106.8</v>
      </c>
    </row>
    <row r="694" spans="1:17" x14ac:dyDescent="0.3">
      <c r="A694">
        <v>2015</v>
      </c>
      <c r="B694" t="s">
        <v>41</v>
      </c>
      <c r="C694" t="s">
        <v>79</v>
      </c>
      <c r="D694" s="1" t="s">
        <v>7</v>
      </c>
      <c r="E694" s="4">
        <v>114</v>
      </c>
      <c r="F694" s="4">
        <v>111.4</v>
      </c>
      <c r="G694" s="4">
        <v>106.8</v>
      </c>
      <c r="H694" s="1" t="s">
        <v>188</v>
      </c>
      <c r="K694">
        <v>2013</v>
      </c>
      <c r="L694" t="s">
        <v>38</v>
      </c>
      <c r="M694" t="s">
        <v>62</v>
      </c>
      <c r="N694" t="s">
        <v>6</v>
      </c>
      <c r="O694" t="s">
        <v>188</v>
      </c>
      <c r="P694" s="1" t="s">
        <v>33</v>
      </c>
      <c r="Q694">
        <v>105.5</v>
      </c>
    </row>
    <row r="695" spans="1:17" x14ac:dyDescent="0.3">
      <c r="A695">
        <v>2015</v>
      </c>
      <c r="B695" t="s">
        <v>41</v>
      </c>
      <c r="C695" t="s">
        <v>79</v>
      </c>
      <c r="D695" s="1" t="s">
        <v>16</v>
      </c>
      <c r="E695" s="4">
        <v>130.1</v>
      </c>
      <c r="F695" s="4">
        <v>131.19999999999999</v>
      </c>
      <c r="G695" s="4">
        <v>134.19999999999999</v>
      </c>
      <c r="H695" s="1" t="s">
        <v>192</v>
      </c>
      <c r="K695">
        <v>2013</v>
      </c>
      <c r="L695" t="s">
        <v>38</v>
      </c>
      <c r="M695" t="s">
        <v>62</v>
      </c>
      <c r="N695" t="s">
        <v>28</v>
      </c>
      <c r="O695" t="s">
        <v>192</v>
      </c>
      <c r="P695" s="1" t="s">
        <v>30</v>
      </c>
      <c r="Q695">
        <v>104.8</v>
      </c>
    </row>
    <row r="696" spans="1:17" x14ac:dyDescent="0.3">
      <c r="A696">
        <v>2015</v>
      </c>
      <c r="B696" t="s">
        <v>41</v>
      </c>
      <c r="C696" t="s">
        <v>79</v>
      </c>
      <c r="D696" s="1" t="s">
        <v>27</v>
      </c>
      <c r="E696" s="4">
        <v>112.5</v>
      </c>
      <c r="F696" s="4">
        <v>112.3</v>
      </c>
      <c r="G696" s="4">
        <v>112</v>
      </c>
      <c r="H696" s="1" t="s">
        <v>192</v>
      </c>
      <c r="K696">
        <v>2013</v>
      </c>
      <c r="L696" t="s">
        <v>38</v>
      </c>
      <c r="M696" t="s">
        <v>62</v>
      </c>
      <c r="N696" t="s">
        <v>28</v>
      </c>
      <c r="O696" t="s">
        <v>192</v>
      </c>
      <c r="P696" s="1" t="s">
        <v>34</v>
      </c>
      <c r="Q696">
        <v>104.8</v>
      </c>
    </row>
    <row r="697" spans="1:17" x14ac:dyDescent="0.3">
      <c r="A697">
        <v>2015</v>
      </c>
      <c r="B697" t="s">
        <v>41</v>
      </c>
      <c r="C697" t="s">
        <v>79</v>
      </c>
      <c r="D697" s="1" t="s">
        <v>14</v>
      </c>
      <c r="E697" s="4">
        <v>132.5</v>
      </c>
      <c r="F697" s="4">
        <v>132.1</v>
      </c>
      <c r="G697" s="4">
        <v>131.69999999999999</v>
      </c>
      <c r="H697" s="1" t="s">
        <v>188</v>
      </c>
      <c r="K697">
        <v>2013</v>
      </c>
      <c r="L697" t="s">
        <v>38</v>
      </c>
      <c r="M697" t="s">
        <v>62</v>
      </c>
      <c r="N697" t="s">
        <v>28</v>
      </c>
      <c r="O697" t="s">
        <v>192</v>
      </c>
      <c r="P697" s="1" t="s">
        <v>33</v>
      </c>
      <c r="Q697">
        <v>104.9</v>
      </c>
    </row>
    <row r="698" spans="1:17" x14ac:dyDescent="0.3">
      <c r="A698">
        <v>2015</v>
      </c>
      <c r="B698" t="s">
        <v>41</v>
      </c>
      <c r="C698" t="s">
        <v>79</v>
      </c>
      <c r="D698" s="1" t="s">
        <v>10</v>
      </c>
      <c r="E698" s="4">
        <v>137.9</v>
      </c>
      <c r="F698" s="4">
        <v>144</v>
      </c>
      <c r="G698" s="4">
        <v>156</v>
      </c>
      <c r="H698" s="1" t="s">
        <v>188</v>
      </c>
      <c r="K698">
        <v>2013</v>
      </c>
      <c r="L698" t="s">
        <v>38</v>
      </c>
      <c r="M698" t="s">
        <v>62</v>
      </c>
      <c r="N698" t="s">
        <v>13</v>
      </c>
      <c r="O698" t="s">
        <v>188</v>
      </c>
      <c r="P698" s="1" t="s">
        <v>30</v>
      </c>
      <c r="Q698">
        <v>107.4</v>
      </c>
    </row>
    <row r="699" spans="1:17" x14ac:dyDescent="0.3">
      <c r="A699">
        <v>2015</v>
      </c>
      <c r="B699" t="s">
        <v>41</v>
      </c>
      <c r="C699" t="s">
        <v>79</v>
      </c>
      <c r="D699" s="1" t="s">
        <v>25</v>
      </c>
      <c r="E699" s="4">
        <v>118.5</v>
      </c>
      <c r="F699" s="4">
        <v>117.8</v>
      </c>
      <c r="G699" s="4">
        <v>117.2</v>
      </c>
      <c r="H699" s="1" t="s">
        <v>195</v>
      </c>
      <c r="K699">
        <v>2013</v>
      </c>
      <c r="L699" t="s">
        <v>38</v>
      </c>
      <c r="M699" t="s">
        <v>62</v>
      </c>
      <c r="N699" t="s">
        <v>13</v>
      </c>
      <c r="O699" t="s">
        <v>188</v>
      </c>
      <c r="P699" s="1" t="s">
        <v>34</v>
      </c>
      <c r="Q699">
        <v>108.1</v>
      </c>
    </row>
    <row r="700" spans="1:17" x14ac:dyDescent="0.3">
      <c r="A700">
        <v>2015</v>
      </c>
      <c r="B700" t="s">
        <v>41</v>
      </c>
      <c r="C700" t="s">
        <v>79</v>
      </c>
      <c r="D700" s="1" t="s">
        <v>12</v>
      </c>
      <c r="E700" s="4">
        <v>123.9</v>
      </c>
      <c r="F700" s="4">
        <v>126.8</v>
      </c>
      <c r="G700" s="4">
        <v>132.69999999999999</v>
      </c>
      <c r="H700" s="1" t="s">
        <v>188</v>
      </c>
      <c r="K700">
        <v>2013</v>
      </c>
      <c r="L700" t="s">
        <v>38</v>
      </c>
      <c r="M700" t="s">
        <v>62</v>
      </c>
      <c r="N700" t="s">
        <v>13</v>
      </c>
      <c r="O700" t="s">
        <v>188</v>
      </c>
      <c r="P700" s="1" t="s">
        <v>33</v>
      </c>
      <c r="Q700">
        <v>109.1</v>
      </c>
    </row>
    <row r="701" spans="1:17" x14ac:dyDescent="0.3">
      <c r="A701">
        <v>2015</v>
      </c>
      <c r="B701" t="s">
        <v>41</v>
      </c>
      <c r="C701" t="s">
        <v>79</v>
      </c>
      <c r="D701" s="1" t="s">
        <v>11</v>
      </c>
      <c r="E701" s="4">
        <v>93.1</v>
      </c>
      <c r="F701" s="4">
        <v>90.5</v>
      </c>
      <c r="G701" s="4">
        <v>85.3</v>
      </c>
      <c r="H701" s="1" t="s">
        <v>188</v>
      </c>
      <c r="K701">
        <v>2013</v>
      </c>
      <c r="L701" t="s">
        <v>38</v>
      </c>
      <c r="M701" t="s">
        <v>62</v>
      </c>
      <c r="N701" t="s">
        <v>7</v>
      </c>
      <c r="O701" t="s">
        <v>188</v>
      </c>
      <c r="P701" s="1" t="s">
        <v>30</v>
      </c>
      <c r="Q701">
        <v>105.3</v>
      </c>
    </row>
    <row r="702" spans="1:17" x14ac:dyDescent="0.3">
      <c r="A702">
        <v>2015</v>
      </c>
      <c r="B702" t="s">
        <v>41</v>
      </c>
      <c r="C702" t="s">
        <v>79</v>
      </c>
      <c r="D702" s="1" t="s">
        <v>24</v>
      </c>
      <c r="E702" s="4">
        <v>113.6</v>
      </c>
      <c r="F702" s="4">
        <v>111.7</v>
      </c>
      <c r="G702" s="4">
        <v>109.9</v>
      </c>
      <c r="H702" s="1" t="s">
        <v>191</v>
      </c>
      <c r="K702">
        <v>2013</v>
      </c>
      <c r="L702" t="s">
        <v>38</v>
      </c>
      <c r="M702" t="s">
        <v>62</v>
      </c>
      <c r="N702" t="s">
        <v>7</v>
      </c>
      <c r="O702" t="s">
        <v>188</v>
      </c>
      <c r="P702" s="1" t="s">
        <v>34</v>
      </c>
      <c r="Q702">
        <v>103.9</v>
      </c>
    </row>
    <row r="703" spans="1:17" x14ac:dyDescent="0.3">
      <c r="A703">
        <v>2015</v>
      </c>
      <c r="B703" t="s">
        <v>41</v>
      </c>
      <c r="C703" t="s">
        <v>79</v>
      </c>
      <c r="D703" s="1" t="s">
        <v>9</v>
      </c>
      <c r="E703" s="4">
        <v>153.6</v>
      </c>
      <c r="F703" s="4">
        <v>157.6</v>
      </c>
      <c r="G703" s="4">
        <v>165.5</v>
      </c>
      <c r="H703" s="1" t="s">
        <v>188</v>
      </c>
      <c r="K703">
        <v>2013</v>
      </c>
      <c r="L703" t="s">
        <v>38</v>
      </c>
      <c r="M703" t="s">
        <v>62</v>
      </c>
      <c r="N703" t="s">
        <v>7</v>
      </c>
      <c r="O703" t="s">
        <v>188</v>
      </c>
      <c r="P703" s="1" t="s">
        <v>33</v>
      </c>
      <c r="Q703">
        <v>101.5</v>
      </c>
    </row>
    <row r="704" spans="1:17" x14ac:dyDescent="0.3">
      <c r="A704">
        <v>2015</v>
      </c>
      <c r="B704" t="s">
        <v>45</v>
      </c>
      <c r="C704" t="s">
        <v>80</v>
      </c>
      <c r="D704" s="1" t="s">
        <v>3</v>
      </c>
      <c r="E704" s="4">
        <v>126.3</v>
      </c>
      <c r="F704" s="4">
        <v>125.7</v>
      </c>
      <c r="G704" s="4">
        <v>124.3</v>
      </c>
      <c r="H704" s="1" t="s">
        <v>188</v>
      </c>
      <c r="K704">
        <v>2013</v>
      </c>
      <c r="L704" t="s">
        <v>38</v>
      </c>
      <c r="M704" t="s">
        <v>62</v>
      </c>
      <c r="N704" t="s">
        <v>16</v>
      </c>
      <c r="O704" t="s">
        <v>192</v>
      </c>
      <c r="P704" s="1" t="s">
        <v>30</v>
      </c>
      <c r="Q704">
        <v>108.1</v>
      </c>
    </row>
    <row r="705" spans="1:17" x14ac:dyDescent="0.3">
      <c r="A705">
        <v>2015</v>
      </c>
      <c r="B705" t="s">
        <v>45</v>
      </c>
      <c r="C705" t="s">
        <v>80</v>
      </c>
      <c r="D705" s="1" t="s">
        <v>17</v>
      </c>
      <c r="E705" s="4">
        <v>132.5</v>
      </c>
      <c r="F705" s="4">
        <v>129.69999999999999</v>
      </c>
      <c r="G705" s="4">
        <v>125.4</v>
      </c>
      <c r="H705" s="1" t="s">
        <v>189</v>
      </c>
      <c r="K705">
        <v>2013</v>
      </c>
      <c r="L705" t="s">
        <v>38</v>
      </c>
      <c r="M705" t="s">
        <v>62</v>
      </c>
      <c r="N705" t="s">
        <v>16</v>
      </c>
      <c r="O705" t="s">
        <v>192</v>
      </c>
      <c r="P705" s="1" t="s">
        <v>34</v>
      </c>
      <c r="Q705">
        <v>108.6</v>
      </c>
    </row>
    <row r="706" spans="1:17" x14ac:dyDescent="0.3">
      <c r="A706">
        <v>2015</v>
      </c>
      <c r="B706" t="s">
        <v>45</v>
      </c>
      <c r="C706" t="s">
        <v>80</v>
      </c>
      <c r="D706" s="1" t="s">
        <v>19</v>
      </c>
      <c r="E706" s="4">
        <v>131.9</v>
      </c>
      <c r="F706" s="4">
        <v>129</v>
      </c>
      <c r="G706" s="4">
        <v>124.5</v>
      </c>
      <c r="H706" s="1" t="s">
        <v>189</v>
      </c>
      <c r="K706">
        <v>2013</v>
      </c>
      <c r="L706" t="s">
        <v>38</v>
      </c>
      <c r="M706" t="s">
        <v>62</v>
      </c>
      <c r="N706" t="s">
        <v>16</v>
      </c>
      <c r="O706" t="s">
        <v>192</v>
      </c>
      <c r="P706" s="1" t="s">
        <v>33</v>
      </c>
      <c r="Q706">
        <v>109.8</v>
      </c>
    </row>
    <row r="707" spans="1:17" x14ac:dyDescent="0.3">
      <c r="A707">
        <v>2015</v>
      </c>
      <c r="B707" t="s">
        <v>45</v>
      </c>
      <c r="C707" t="s">
        <v>80</v>
      </c>
      <c r="D707" s="1" t="s">
        <v>26</v>
      </c>
      <c r="E707" s="4">
        <v>125.6</v>
      </c>
      <c r="F707" s="4">
        <v>126.2</v>
      </c>
      <c r="G707" s="4">
        <v>126.6</v>
      </c>
      <c r="H707" s="1" t="s">
        <v>26</v>
      </c>
      <c r="K707">
        <v>2013</v>
      </c>
      <c r="L707" t="s">
        <v>38</v>
      </c>
      <c r="M707" t="s">
        <v>62</v>
      </c>
      <c r="N707" t="s">
        <v>27</v>
      </c>
      <c r="O707" t="s">
        <v>192</v>
      </c>
      <c r="P707" s="1" t="s">
        <v>30</v>
      </c>
      <c r="Q707">
        <v>102.1</v>
      </c>
    </row>
    <row r="708" spans="1:17" x14ac:dyDescent="0.3">
      <c r="A708">
        <v>2015</v>
      </c>
      <c r="B708" t="s">
        <v>45</v>
      </c>
      <c r="C708" t="s">
        <v>80</v>
      </c>
      <c r="D708" s="1" t="s">
        <v>5</v>
      </c>
      <c r="E708" s="4">
        <v>123.3</v>
      </c>
      <c r="F708" s="4">
        <v>124.8</v>
      </c>
      <c r="G708" s="4">
        <v>127.1</v>
      </c>
      <c r="H708" s="1" t="s">
        <v>188</v>
      </c>
      <c r="K708">
        <v>2013</v>
      </c>
      <c r="L708" t="s">
        <v>38</v>
      </c>
      <c r="M708" t="s">
        <v>62</v>
      </c>
      <c r="N708" t="s">
        <v>27</v>
      </c>
      <c r="O708" t="s">
        <v>192</v>
      </c>
      <c r="P708" s="1" t="s">
        <v>34</v>
      </c>
      <c r="Q708">
        <v>102.3</v>
      </c>
    </row>
    <row r="709" spans="1:17" x14ac:dyDescent="0.3">
      <c r="A709">
        <v>2015</v>
      </c>
      <c r="B709" t="s">
        <v>45</v>
      </c>
      <c r="C709" t="s">
        <v>80</v>
      </c>
      <c r="D709" s="1" t="s">
        <v>15</v>
      </c>
      <c r="E709" s="4">
        <v>131.4</v>
      </c>
      <c r="F709" s="4">
        <v>131.4</v>
      </c>
      <c r="G709" s="4">
        <v>131.5</v>
      </c>
      <c r="H709" s="1" t="s">
        <v>188</v>
      </c>
      <c r="K709">
        <v>2013</v>
      </c>
      <c r="L709" t="s">
        <v>38</v>
      </c>
      <c r="M709" t="s">
        <v>62</v>
      </c>
      <c r="N709" t="s">
        <v>27</v>
      </c>
      <c r="O709" t="s">
        <v>192</v>
      </c>
      <c r="P709" s="1" t="s">
        <v>33</v>
      </c>
      <c r="Q709">
        <v>102.6</v>
      </c>
    </row>
    <row r="710" spans="1:17" x14ac:dyDescent="0.3">
      <c r="A710">
        <v>2015</v>
      </c>
      <c r="B710" t="s">
        <v>45</v>
      </c>
      <c r="C710" t="s">
        <v>80</v>
      </c>
      <c r="D710" s="1" t="s">
        <v>18</v>
      </c>
      <c r="E710" s="4">
        <v>128.5</v>
      </c>
      <c r="F710" s="4">
        <v>124.8</v>
      </c>
      <c r="G710" s="4">
        <v>119.5</v>
      </c>
      <c r="H710" s="1" t="s">
        <v>189</v>
      </c>
      <c r="K710">
        <v>2013</v>
      </c>
      <c r="L710" t="s">
        <v>38</v>
      </c>
      <c r="M710" t="s">
        <v>62</v>
      </c>
      <c r="N710" t="s">
        <v>14</v>
      </c>
      <c r="O710" t="s">
        <v>188</v>
      </c>
      <c r="P710" s="1" t="s">
        <v>30</v>
      </c>
      <c r="Q710">
        <v>109.9</v>
      </c>
    </row>
    <row r="711" spans="1:17" x14ac:dyDescent="0.3">
      <c r="A711">
        <v>2015</v>
      </c>
      <c r="B711" t="s">
        <v>45</v>
      </c>
      <c r="C711" t="s">
        <v>80</v>
      </c>
      <c r="D711" s="1" t="s">
        <v>8</v>
      </c>
      <c r="E711" s="4">
        <v>131.6</v>
      </c>
      <c r="F711" s="4">
        <v>126.6</v>
      </c>
      <c r="G711" s="4">
        <v>120.8</v>
      </c>
      <c r="H711" s="1" t="s">
        <v>188</v>
      </c>
      <c r="K711">
        <v>2013</v>
      </c>
      <c r="L711" t="s">
        <v>38</v>
      </c>
      <c r="M711" t="s">
        <v>62</v>
      </c>
      <c r="N711" t="s">
        <v>14</v>
      </c>
      <c r="O711" t="s">
        <v>188</v>
      </c>
      <c r="P711" s="1" t="s">
        <v>34</v>
      </c>
      <c r="Q711">
        <v>110.5</v>
      </c>
    </row>
    <row r="712" spans="1:17" x14ac:dyDescent="0.3">
      <c r="A712">
        <v>2015</v>
      </c>
      <c r="B712" t="s">
        <v>45</v>
      </c>
      <c r="C712" t="s">
        <v>80</v>
      </c>
      <c r="D712" s="1" t="s">
        <v>21</v>
      </c>
      <c r="E712" s="4">
        <v>125.7</v>
      </c>
      <c r="F712" s="4">
        <v>122</v>
      </c>
      <c r="G712" s="4">
        <v>116</v>
      </c>
      <c r="H712" s="1" t="s">
        <v>190</v>
      </c>
      <c r="K712">
        <v>2013</v>
      </c>
      <c r="L712" t="s">
        <v>38</v>
      </c>
      <c r="M712" t="s">
        <v>62</v>
      </c>
      <c r="N712" t="s">
        <v>14</v>
      </c>
      <c r="O712" t="s">
        <v>188</v>
      </c>
      <c r="P712" s="1" t="s">
        <v>33</v>
      </c>
      <c r="Q712">
        <v>111.3</v>
      </c>
    </row>
    <row r="713" spans="1:17" x14ac:dyDescent="0.3">
      <c r="A713">
        <v>2015</v>
      </c>
      <c r="B713" t="s">
        <v>45</v>
      </c>
      <c r="C713" t="s">
        <v>80</v>
      </c>
      <c r="D713" s="1" t="s">
        <v>29</v>
      </c>
      <c r="E713" s="4">
        <v>127.9</v>
      </c>
      <c r="F713" s="4">
        <v>126.1</v>
      </c>
      <c r="G713" s="4">
        <v>124</v>
      </c>
      <c r="H713" s="1" t="s">
        <v>206</v>
      </c>
      <c r="K713">
        <v>2013</v>
      </c>
      <c r="L713" t="s">
        <v>38</v>
      </c>
      <c r="M713" t="s">
        <v>62</v>
      </c>
      <c r="N713" t="s">
        <v>10</v>
      </c>
      <c r="O713" t="s">
        <v>188</v>
      </c>
      <c r="P713" s="1" t="s">
        <v>30</v>
      </c>
      <c r="Q713">
        <v>106.1</v>
      </c>
    </row>
    <row r="714" spans="1:17" x14ac:dyDescent="0.3">
      <c r="A714">
        <v>2015</v>
      </c>
      <c r="B714" t="s">
        <v>45</v>
      </c>
      <c r="C714" t="s">
        <v>80</v>
      </c>
      <c r="D714" s="1" t="s">
        <v>23</v>
      </c>
      <c r="E714" s="4">
        <v>123.1</v>
      </c>
      <c r="F714" s="4">
        <v>121.4</v>
      </c>
      <c r="G714" s="4">
        <v>118.6</v>
      </c>
      <c r="H714" s="1" t="s">
        <v>23</v>
      </c>
      <c r="K714">
        <v>2013</v>
      </c>
      <c r="L714" t="s">
        <v>38</v>
      </c>
      <c r="M714" t="s">
        <v>62</v>
      </c>
      <c r="N714" t="s">
        <v>10</v>
      </c>
      <c r="O714" t="s">
        <v>188</v>
      </c>
      <c r="P714" s="1" t="s">
        <v>34</v>
      </c>
      <c r="Q714">
        <v>105.8</v>
      </c>
    </row>
    <row r="715" spans="1:17" x14ac:dyDescent="0.3">
      <c r="A715">
        <v>2015</v>
      </c>
      <c r="B715" t="s">
        <v>45</v>
      </c>
      <c r="C715" t="s">
        <v>80</v>
      </c>
      <c r="D715" s="1" t="s">
        <v>22</v>
      </c>
      <c r="E715" s="4">
        <v>126</v>
      </c>
      <c r="F715" s="4">
        <v>123.6</v>
      </c>
      <c r="G715" s="4">
        <v>121</v>
      </c>
      <c r="H715" s="1" t="s">
        <v>20</v>
      </c>
      <c r="K715">
        <v>2013</v>
      </c>
      <c r="L715" t="s">
        <v>38</v>
      </c>
      <c r="M715" t="s">
        <v>62</v>
      </c>
      <c r="N715" t="s">
        <v>10</v>
      </c>
      <c r="O715" t="s">
        <v>188</v>
      </c>
      <c r="P715" s="1" t="s">
        <v>33</v>
      </c>
      <c r="Q715">
        <v>105.2</v>
      </c>
    </row>
    <row r="716" spans="1:17" x14ac:dyDescent="0.3">
      <c r="A716">
        <v>2015</v>
      </c>
      <c r="B716" t="s">
        <v>45</v>
      </c>
      <c r="C716" t="s">
        <v>80</v>
      </c>
      <c r="D716" s="1" t="s">
        <v>20</v>
      </c>
      <c r="E716" s="4">
        <v>0</v>
      </c>
      <c r="F716" s="4">
        <v>122.4</v>
      </c>
      <c r="G716" s="4">
        <v>122.4</v>
      </c>
      <c r="H716" s="1" t="s">
        <v>20</v>
      </c>
      <c r="K716">
        <v>2013</v>
      </c>
      <c r="L716" t="s">
        <v>38</v>
      </c>
      <c r="M716" t="s">
        <v>62</v>
      </c>
      <c r="N716" t="s">
        <v>25</v>
      </c>
      <c r="O716" t="s">
        <v>195</v>
      </c>
      <c r="P716" s="1" t="s">
        <v>30</v>
      </c>
      <c r="Q716">
        <v>105</v>
      </c>
    </row>
    <row r="717" spans="1:17" x14ac:dyDescent="0.3">
      <c r="A717">
        <v>2015</v>
      </c>
      <c r="B717" t="s">
        <v>45</v>
      </c>
      <c r="C717" t="s">
        <v>80</v>
      </c>
      <c r="D717" s="1" t="s">
        <v>4</v>
      </c>
      <c r="E717" s="4">
        <v>131.30000000000001</v>
      </c>
      <c r="F717" s="4">
        <v>131.4</v>
      </c>
      <c r="G717" s="4">
        <v>131.69999999999999</v>
      </c>
      <c r="H717" s="1" t="s">
        <v>188</v>
      </c>
      <c r="K717">
        <v>2013</v>
      </c>
      <c r="L717" t="s">
        <v>38</v>
      </c>
      <c r="M717" t="s">
        <v>62</v>
      </c>
      <c r="N717" t="s">
        <v>25</v>
      </c>
      <c r="O717" t="s">
        <v>195</v>
      </c>
      <c r="P717" s="1" t="s">
        <v>34</v>
      </c>
      <c r="Q717">
        <v>104.8</v>
      </c>
    </row>
    <row r="718" spans="1:17" x14ac:dyDescent="0.3">
      <c r="A718">
        <v>2015</v>
      </c>
      <c r="B718" t="s">
        <v>45</v>
      </c>
      <c r="C718" t="s">
        <v>80</v>
      </c>
      <c r="D718" s="1" t="s">
        <v>6</v>
      </c>
      <c r="E718" s="4">
        <v>129.80000000000001</v>
      </c>
      <c r="F718" s="4">
        <v>129.4</v>
      </c>
      <c r="G718" s="4">
        <v>128.6</v>
      </c>
      <c r="H718" s="1" t="s">
        <v>188</v>
      </c>
      <c r="K718">
        <v>2013</v>
      </c>
      <c r="L718" t="s">
        <v>38</v>
      </c>
      <c r="M718" t="s">
        <v>62</v>
      </c>
      <c r="N718" t="s">
        <v>25</v>
      </c>
      <c r="O718" t="s">
        <v>195</v>
      </c>
      <c r="P718" s="1" t="s">
        <v>33</v>
      </c>
      <c r="Q718">
        <v>104.6</v>
      </c>
    </row>
    <row r="719" spans="1:17" x14ac:dyDescent="0.3">
      <c r="A719">
        <v>2015</v>
      </c>
      <c r="B719" t="s">
        <v>45</v>
      </c>
      <c r="C719" t="s">
        <v>80</v>
      </c>
      <c r="D719" s="1" t="s">
        <v>28</v>
      </c>
      <c r="E719" s="4">
        <v>119.8</v>
      </c>
      <c r="F719" s="4">
        <v>118.3</v>
      </c>
      <c r="G719" s="4">
        <v>116.7</v>
      </c>
      <c r="H719" s="1" t="s">
        <v>192</v>
      </c>
      <c r="K719">
        <v>2013</v>
      </c>
      <c r="L719" t="s">
        <v>38</v>
      </c>
      <c r="M719" t="s">
        <v>62</v>
      </c>
      <c r="N719" t="s">
        <v>12</v>
      </c>
      <c r="O719" t="s">
        <v>188</v>
      </c>
      <c r="P719" s="1" t="s">
        <v>30</v>
      </c>
      <c r="Q719">
        <v>104</v>
      </c>
    </row>
    <row r="720" spans="1:17" x14ac:dyDescent="0.3">
      <c r="A720">
        <v>2015</v>
      </c>
      <c r="B720" t="s">
        <v>45</v>
      </c>
      <c r="C720" t="s">
        <v>80</v>
      </c>
      <c r="D720" s="1" t="s">
        <v>13</v>
      </c>
      <c r="E720" s="4">
        <v>123.3</v>
      </c>
      <c r="F720" s="4">
        <v>122</v>
      </c>
      <c r="G720" s="4">
        <v>120.2</v>
      </c>
      <c r="H720" s="1" t="s">
        <v>188</v>
      </c>
      <c r="K720">
        <v>2013</v>
      </c>
      <c r="L720" t="s">
        <v>38</v>
      </c>
      <c r="M720" t="s">
        <v>62</v>
      </c>
      <c r="N720" t="s">
        <v>12</v>
      </c>
      <c r="O720" t="s">
        <v>188</v>
      </c>
      <c r="P720" s="1" t="s">
        <v>34</v>
      </c>
      <c r="Q720">
        <v>104.3</v>
      </c>
    </row>
    <row r="721" spans="1:17" x14ac:dyDescent="0.3">
      <c r="A721">
        <v>2015</v>
      </c>
      <c r="B721" t="s">
        <v>45</v>
      </c>
      <c r="C721" t="s">
        <v>80</v>
      </c>
      <c r="D721" s="1" t="s">
        <v>7</v>
      </c>
      <c r="E721" s="4">
        <v>118.3</v>
      </c>
      <c r="F721" s="4">
        <v>115.3</v>
      </c>
      <c r="G721" s="4">
        <v>110</v>
      </c>
      <c r="H721" s="1" t="s">
        <v>188</v>
      </c>
      <c r="K721">
        <v>2013</v>
      </c>
      <c r="L721" t="s">
        <v>38</v>
      </c>
      <c r="M721" t="s">
        <v>62</v>
      </c>
      <c r="N721" t="s">
        <v>12</v>
      </c>
      <c r="O721" t="s">
        <v>188</v>
      </c>
      <c r="P721" s="1" t="s">
        <v>33</v>
      </c>
      <c r="Q721">
        <v>105</v>
      </c>
    </row>
    <row r="722" spans="1:17" x14ac:dyDescent="0.3">
      <c r="A722">
        <v>2015</v>
      </c>
      <c r="B722" t="s">
        <v>45</v>
      </c>
      <c r="C722" t="s">
        <v>80</v>
      </c>
      <c r="D722" s="1" t="s">
        <v>16</v>
      </c>
      <c r="E722" s="4">
        <v>133.1</v>
      </c>
      <c r="F722" s="4">
        <v>134.5</v>
      </c>
      <c r="G722" s="4">
        <v>138.19999999999999</v>
      </c>
      <c r="H722" s="1" t="s">
        <v>192</v>
      </c>
      <c r="K722">
        <v>2013</v>
      </c>
      <c r="L722" t="s">
        <v>38</v>
      </c>
      <c r="M722" t="s">
        <v>62</v>
      </c>
      <c r="N722" t="s">
        <v>11</v>
      </c>
      <c r="O722" t="s">
        <v>188</v>
      </c>
      <c r="P722" s="1" t="s">
        <v>30</v>
      </c>
      <c r="Q722">
        <v>103.7</v>
      </c>
    </row>
    <row r="723" spans="1:17" x14ac:dyDescent="0.3">
      <c r="A723">
        <v>2015</v>
      </c>
      <c r="B723" t="s">
        <v>45</v>
      </c>
      <c r="C723" t="s">
        <v>80</v>
      </c>
      <c r="D723" s="1" t="s">
        <v>27</v>
      </c>
      <c r="E723" s="4">
        <v>114.1</v>
      </c>
      <c r="F723" s="4">
        <v>113.7</v>
      </c>
      <c r="G723" s="4">
        <v>113.2</v>
      </c>
      <c r="H723" s="1" t="s">
        <v>192</v>
      </c>
      <c r="K723">
        <v>2013</v>
      </c>
      <c r="L723" t="s">
        <v>38</v>
      </c>
      <c r="M723" t="s">
        <v>62</v>
      </c>
      <c r="N723" t="s">
        <v>11</v>
      </c>
      <c r="O723" t="s">
        <v>188</v>
      </c>
      <c r="P723" s="1" t="s">
        <v>34</v>
      </c>
      <c r="Q723">
        <v>103.1</v>
      </c>
    </row>
    <row r="724" spans="1:17" x14ac:dyDescent="0.3">
      <c r="A724">
        <v>2015</v>
      </c>
      <c r="B724" t="s">
        <v>45</v>
      </c>
      <c r="C724" t="s">
        <v>80</v>
      </c>
      <c r="D724" s="1" t="s">
        <v>14</v>
      </c>
      <c r="E724" s="4">
        <v>135.1</v>
      </c>
      <c r="F724" s="4">
        <v>134.69999999999999</v>
      </c>
      <c r="G724" s="4">
        <v>134.19999999999999</v>
      </c>
      <c r="H724" s="1" t="s">
        <v>188</v>
      </c>
      <c r="K724">
        <v>2013</v>
      </c>
      <c r="L724" t="s">
        <v>38</v>
      </c>
      <c r="M724" t="s">
        <v>62</v>
      </c>
      <c r="N724" t="s">
        <v>11</v>
      </c>
      <c r="O724" t="s">
        <v>188</v>
      </c>
      <c r="P724" s="1" t="s">
        <v>33</v>
      </c>
      <c r="Q724">
        <v>101.9</v>
      </c>
    </row>
    <row r="725" spans="1:17" x14ac:dyDescent="0.3">
      <c r="A725">
        <v>2015</v>
      </c>
      <c r="B725" t="s">
        <v>45</v>
      </c>
      <c r="C725" t="s">
        <v>80</v>
      </c>
      <c r="D725" s="1" t="s">
        <v>10</v>
      </c>
      <c r="E725" s="4">
        <v>162.1</v>
      </c>
      <c r="F725" s="4">
        <v>171.5</v>
      </c>
      <c r="G725" s="4">
        <v>190.1</v>
      </c>
      <c r="H725" s="1" t="s">
        <v>188</v>
      </c>
      <c r="K725">
        <v>2013</v>
      </c>
      <c r="L725" t="s">
        <v>38</v>
      </c>
      <c r="M725" t="s">
        <v>62</v>
      </c>
      <c r="N725" t="s">
        <v>24</v>
      </c>
      <c r="O725" t="s">
        <v>191</v>
      </c>
      <c r="P725" s="1" t="s">
        <v>30</v>
      </c>
      <c r="Q725">
        <v>104.1</v>
      </c>
    </row>
    <row r="726" spans="1:17" x14ac:dyDescent="0.3">
      <c r="A726">
        <v>2015</v>
      </c>
      <c r="B726" t="s">
        <v>45</v>
      </c>
      <c r="C726" t="s">
        <v>80</v>
      </c>
      <c r="D726" s="1" t="s">
        <v>25</v>
      </c>
      <c r="E726" s="4">
        <v>121.6</v>
      </c>
      <c r="F726" s="4">
        <v>119.6</v>
      </c>
      <c r="G726" s="4">
        <v>118.1</v>
      </c>
      <c r="H726" s="1" t="s">
        <v>195</v>
      </c>
      <c r="K726">
        <v>2013</v>
      </c>
      <c r="L726" t="s">
        <v>38</v>
      </c>
      <c r="M726" t="s">
        <v>62</v>
      </c>
      <c r="N726" t="s">
        <v>24</v>
      </c>
      <c r="O726" t="s">
        <v>191</v>
      </c>
      <c r="P726" s="1" t="s">
        <v>34</v>
      </c>
      <c r="Q726">
        <v>104</v>
      </c>
    </row>
    <row r="727" spans="1:17" x14ac:dyDescent="0.3">
      <c r="A727">
        <v>2015</v>
      </c>
      <c r="B727" t="s">
        <v>45</v>
      </c>
      <c r="C727" t="s">
        <v>80</v>
      </c>
      <c r="D727" s="1" t="s">
        <v>12</v>
      </c>
      <c r="E727" s="4">
        <v>128.9</v>
      </c>
      <c r="F727" s="4">
        <v>132.1</v>
      </c>
      <c r="G727" s="4">
        <v>138.6</v>
      </c>
      <c r="H727" s="1" t="s">
        <v>188</v>
      </c>
      <c r="K727">
        <v>2013</v>
      </c>
      <c r="L727" t="s">
        <v>38</v>
      </c>
      <c r="M727" t="s">
        <v>62</v>
      </c>
      <c r="N727" t="s">
        <v>24</v>
      </c>
      <c r="O727" t="s">
        <v>191</v>
      </c>
      <c r="P727" s="1" t="s">
        <v>33</v>
      </c>
      <c r="Q727">
        <v>103.9</v>
      </c>
    </row>
    <row r="728" spans="1:17" x14ac:dyDescent="0.3">
      <c r="A728">
        <v>2015</v>
      </c>
      <c r="B728" t="s">
        <v>45</v>
      </c>
      <c r="C728" t="s">
        <v>80</v>
      </c>
      <c r="D728" s="1" t="s">
        <v>11</v>
      </c>
      <c r="E728" s="4">
        <v>95.4</v>
      </c>
      <c r="F728" s="4">
        <v>94.5</v>
      </c>
      <c r="G728" s="4">
        <v>92.7</v>
      </c>
      <c r="H728" s="1" t="s">
        <v>188</v>
      </c>
      <c r="K728">
        <v>2013</v>
      </c>
      <c r="L728" t="s">
        <v>38</v>
      </c>
      <c r="M728" t="s">
        <v>62</v>
      </c>
      <c r="N728" t="s">
        <v>9</v>
      </c>
      <c r="O728" t="s">
        <v>188</v>
      </c>
      <c r="P728" s="1" t="s">
        <v>30</v>
      </c>
      <c r="Q728">
        <v>107.3</v>
      </c>
    </row>
    <row r="729" spans="1:17" x14ac:dyDescent="0.3">
      <c r="A729">
        <v>2015</v>
      </c>
      <c r="B729" t="s">
        <v>45</v>
      </c>
      <c r="C729" t="s">
        <v>80</v>
      </c>
      <c r="D729" s="1" t="s">
        <v>24</v>
      </c>
      <c r="E729" s="4">
        <v>114</v>
      </c>
      <c r="F729" s="4">
        <v>111.5</v>
      </c>
      <c r="G729" s="4">
        <v>109.3</v>
      </c>
      <c r="H729" s="1" t="s">
        <v>191</v>
      </c>
      <c r="K729">
        <v>2013</v>
      </c>
      <c r="L729" t="s">
        <v>38</v>
      </c>
      <c r="M729" t="s">
        <v>62</v>
      </c>
      <c r="N729" t="s">
        <v>9</v>
      </c>
      <c r="O729" t="s">
        <v>188</v>
      </c>
      <c r="P729" s="1" t="s">
        <v>34</v>
      </c>
      <c r="Q729">
        <v>112.9</v>
      </c>
    </row>
    <row r="730" spans="1:17" x14ac:dyDescent="0.3">
      <c r="A730">
        <v>2015</v>
      </c>
      <c r="B730" t="s">
        <v>45</v>
      </c>
      <c r="C730" t="s">
        <v>80</v>
      </c>
      <c r="D730" s="1" t="s">
        <v>9</v>
      </c>
      <c r="E730" s="4">
        <v>145.5</v>
      </c>
      <c r="F730" s="4">
        <v>146.69999999999999</v>
      </c>
      <c r="G730" s="4">
        <v>149</v>
      </c>
      <c r="H730" s="1" t="s">
        <v>188</v>
      </c>
      <c r="K730">
        <v>2013</v>
      </c>
      <c r="L730" t="s">
        <v>38</v>
      </c>
      <c r="M730" t="s">
        <v>62</v>
      </c>
      <c r="N730" t="s">
        <v>9</v>
      </c>
      <c r="O730" t="s">
        <v>188</v>
      </c>
      <c r="P730" s="1" t="s">
        <v>33</v>
      </c>
      <c r="Q730">
        <v>123.7</v>
      </c>
    </row>
    <row r="731" spans="1:17" x14ac:dyDescent="0.3">
      <c r="A731">
        <v>2015</v>
      </c>
      <c r="B731" t="s">
        <v>35</v>
      </c>
      <c r="C731" t="s">
        <v>81</v>
      </c>
      <c r="D731" s="1" t="s">
        <v>3</v>
      </c>
      <c r="E731" s="4">
        <v>123.4</v>
      </c>
      <c r="F731" s="4">
        <v>123.7</v>
      </c>
      <c r="G731" s="4">
        <v>124.3</v>
      </c>
      <c r="H731" s="1" t="s">
        <v>188</v>
      </c>
      <c r="K731">
        <v>2013</v>
      </c>
      <c r="L731" t="s">
        <v>44</v>
      </c>
      <c r="M731" t="s">
        <v>63</v>
      </c>
      <c r="N731" t="s">
        <v>3</v>
      </c>
      <c r="O731" t="s">
        <v>188</v>
      </c>
      <c r="P731" s="1" t="s">
        <v>30</v>
      </c>
      <c r="Q731">
        <v>117.3</v>
      </c>
    </row>
    <row r="732" spans="1:17" x14ac:dyDescent="0.3">
      <c r="A732">
        <v>2015</v>
      </c>
      <c r="B732" t="s">
        <v>35</v>
      </c>
      <c r="C732" t="s">
        <v>81</v>
      </c>
      <c r="D732" s="1" t="s">
        <v>17</v>
      </c>
      <c r="E732" s="4">
        <v>125.4</v>
      </c>
      <c r="F732" s="4">
        <v>123.8</v>
      </c>
      <c r="G732" s="4">
        <v>121.3</v>
      </c>
      <c r="H732" s="1" t="s">
        <v>189</v>
      </c>
      <c r="K732">
        <v>2013</v>
      </c>
      <c r="L732" t="s">
        <v>44</v>
      </c>
      <c r="M732" t="s">
        <v>63</v>
      </c>
      <c r="N732" t="s">
        <v>3</v>
      </c>
      <c r="O732" t="s">
        <v>188</v>
      </c>
      <c r="P732" s="1" t="s">
        <v>34</v>
      </c>
      <c r="Q732">
        <v>118.1</v>
      </c>
    </row>
    <row r="733" spans="1:17" x14ac:dyDescent="0.3">
      <c r="A733">
        <v>2015</v>
      </c>
      <c r="B733" t="s">
        <v>35</v>
      </c>
      <c r="C733" t="s">
        <v>81</v>
      </c>
      <c r="D733" s="1" t="s">
        <v>19</v>
      </c>
      <c r="E733" s="4">
        <v>125</v>
      </c>
      <c r="F733" s="4">
        <v>123.3</v>
      </c>
      <c r="G733" s="4">
        <v>120.6</v>
      </c>
      <c r="H733" s="1" t="s">
        <v>189</v>
      </c>
      <c r="K733">
        <v>2013</v>
      </c>
      <c r="L733" t="s">
        <v>44</v>
      </c>
      <c r="M733" t="s">
        <v>63</v>
      </c>
      <c r="N733" t="s">
        <v>3</v>
      </c>
      <c r="O733" t="s">
        <v>188</v>
      </c>
      <c r="P733" s="1" t="s">
        <v>33</v>
      </c>
      <c r="Q733">
        <v>119.8</v>
      </c>
    </row>
    <row r="734" spans="1:17" x14ac:dyDescent="0.3">
      <c r="A734">
        <v>2015</v>
      </c>
      <c r="B734" t="s">
        <v>35</v>
      </c>
      <c r="C734" t="s">
        <v>81</v>
      </c>
      <c r="D734" s="1" t="s">
        <v>26</v>
      </c>
      <c r="E734" s="4">
        <v>118.7</v>
      </c>
      <c r="F734" s="4">
        <v>119.7</v>
      </c>
      <c r="G734" s="4">
        <v>120.4</v>
      </c>
      <c r="H734" s="1" t="s">
        <v>26</v>
      </c>
      <c r="K734">
        <v>2013</v>
      </c>
      <c r="L734" t="s">
        <v>44</v>
      </c>
      <c r="M734" t="s">
        <v>63</v>
      </c>
      <c r="N734" t="s">
        <v>17</v>
      </c>
      <c r="O734" t="s">
        <v>189</v>
      </c>
      <c r="P734" s="1" t="s">
        <v>30</v>
      </c>
      <c r="Q734">
        <v>114.6</v>
      </c>
    </row>
    <row r="735" spans="1:17" x14ac:dyDescent="0.3">
      <c r="A735">
        <v>2015</v>
      </c>
      <c r="B735" t="s">
        <v>35</v>
      </c>
      <c r="C735" t="s">
        <v>81</v>
      </c>
      <c r="D735" s="1" t="s">
        <v>5</v>
      </c>
      <c r="E735" s="4">
        <v>122.1</v>
      </c>
      <c r="F735" s="4">
        <v>121.1</v>
      </c>
      <c r="G735" s="4">
        <v>119.5</v>
      </c>
      <c r="H735" s="1" t="s">
        <v>188</v>
      </c>
      <c r="K735">
        <v>2013</v>
      </c>
      <c r="L735" t="s">
        <v>44</v>
      </c>
      <c r="M735" t="s">
        <v>63</v>
      </c>
      <c r="N735" t="s">
        <v>17</v>
      </c>
      <c r="O735" t="s">
        <v>189</v>
      </c>
      <c r="P735" s="1" t="s">
        <v>34</v>
      </c>
      <c r="Q735">
        <v>114.2</v>
      </c>
    </row>
    <row r="736" spans="1:17" x14ac:dyDescent="0.3">
      <c r="A736">
        <v>2015</v>
      </c>
      <c r="B736" t="s">
        <v>35</v>
      </c>
      <c r="C736" t="s">
        <v>81</v>
      </c>
      <c r="D736" s="1" t="s">
        <v>15</v>
      </c>
      <c r="E736" s="4">
        <v>122.8</v>
      </c>
      <c r="F736" s="4">
        <v>123.1</v>
      </c>
      <c r="G736" s="4">
        <v>123.7</v>
      </c>
      <c r="H736" s="1" t="s">
        <v>188</v>
      </c>
      <c r="K736">
        <v>2013</v>
      </c>
      <c r="L736" t="s">
        <v>44</v>
      </c>
      <c r="M736" t="s">
        <v>63</v>
      </c>
      <c r="N736" t="s">
        <v>17</v>
      </c>
      <c r="O736" t="s">
        <v>189</v>
      </c>
      <c r="P736" s="1" t="s">
        <v>33</v>
      </c>
      <c r="Q736">
        <v>113.5</v>
      </c>
    </row>
    <row r="737" spans="1:17" x14ac:dyDescent="0.3">
      <c r="A737">
        <v>2015</v>
      </c>
      <c r="B737" t="s">
        <v>35</v>
      </c>
      <c r="C737" t="s">
        <v>81</v>
      </c>
      <c r="D737" s="1" t="s">
        <v>18</v>
      </c>
      <c r="E737" s="4">
        <v>122.7</v>
      </c>
      <c r="F737" s="4">
        <v>120.1</v>
      </c>
      <c r="G737" s="4">
        <v>116.5</v>
      </c>
      <c r="H737" s="1" t="s">
        <v>189</v>
      </c>
      <c r="K737">
        <v>2013</v>
      </c>
      <c r="L737" t="s">
        <v>44</v>
      </c>
      <c r="M737" t="s">
        <v>63</v>
      </c>
      <c r="N737" t="s">
        <v>19</v>
      </c>
      <c r="O737" t="s">
        <v>189</v>
      </c>
      <c r="P737" s="1" t="s">
        <v>30</v>
      </c>
      <c r="Q737">
        <v>114.4</v>
      </c>
    </row>
    <row r="738" spans="1:17" x14ac:dyDescent="0.3">
      <c r="A738">
        <v>2015</v>
      </c>
      <c r="B738" t="s">
        <v>35</v>
      </c>
      <c r="C738" t="s">
        <v>81</v>
      </c>
      <c r="D738" s="1" t="s">
        <v>8</v>
      </c>
      <c r="E738" s="4">
        <v>129.4</v>
      </c>
      <c r="F738" s="4">
        <v>125.8</v>
      </c>
      <c r="G738" s="4">
        <v>121.6</v>
      </c>
      <c r="H738" s="1" t="s">
        <v>188</v>
      </c>
      <c r="K738">
        <v>2013</v>
      </c>
      <c r="L738" t="s">
        <v>44</v>
      </c>
      <c r="M738" t="s">
        <v>63</v>
      </c>
      <c r="N738" t="s">
        <v>19</v>
      </c>
      <c r="O738" t="s">
        <v>189</v>
      </c>
      <c r="P738" s="1" t="s">
        <v>34</v>
      </c>
      <c r="Q738">
        <v>113.8</v>
      </c>
    </row>
    <row r="739" spans="1:17" x14ac:dyDescent="0.3">
      <c r="A739">
        <v>2015</v>
      </c>
      <c r="B739" t="s">
        <v>35</v>
      </c>
      <c r="C739" t="s">
        <v>81</v>
      </c>
      <c r="D739" s="1" t="s">
        <v>21</v>
      </c>
      <c r="E739" s="4">
        <v>120</v>
      </c>
      <c r="F739" s="4">
        <v>117.7</v>
      </c>
      <c r="G739" s="4">
        <v>114</v>
      </c>
      <c r="H739" s="1" t="s">
        <v>190</v>
      </c>
      <c r="K739">
        <v>2013</v>
      </c>
      <c r="L739" t="s">
        <v>44</v>
      </c>
      <c r="M739" t="s">
        <v>63</v>
      </c>
      <c r="N739" t="s">
        <v>19</v>
      </c>
      <c r="O739" t="s">
        <v>189</v>
      </c>
      <c r="P739" s="1" t="s">
        <v>33</v>
      </c>
      <c r="Q739">
        <v>113</v>
      </c>
    </row>
    <row r="740" spans="1:17" x14ac:dyDescent="0.3">
      <c r="A740">
        <v>2015</v>
      </c>
      <c r="B740" t="s">
        <v>35</v>
      </c>
      <c r="C740" t="s">
        <v>81</v>
      </c>
      <c r="D740" s="1" t="s">
        <v>29</v>
      </c>
      <c r="E740" s="4">
        <v>120.6</v>
      </c>
      <c r="F740" s="4">
        <v>119.7</v>
      </c>
      <c r="G740" s="4">
        <v>118.7</v>
      </c>
      <c r="H740" s="1" t="s">
        <v>206</v>
      </c>
      <c r="K740">
        <v>2013</v>
      </c>
      <c r="L740" t="s">
        <v>44</v>
      </c>
      <c r="M740" t="s">
        <v>63</v>
      </c>
      <c r="N740" t="s">
        <v>26</v>
      </c>
      <c r="O740" t="s">
        <v>26</v>
      </c>
      <c r="P740" s="1" t="s">
        <v>30</v>
      </c>
      <c r="Q740">
        <v>111</v>
      </c>
    </row>
    <row r="741" spans="1:17" x14ac:dyDescent="0.3">
      <c r="A741">
        <v>2015</v>
      </c>
      <c r="B741" t="s">
        <v>35</v>
      </c>
      <c r="C741" t="s">
        <v>81</v>
      </c>
      <c r="D741" s="1" t="s">
        <v>23</v>
      </c>
      <c r="E741" s="4">
        <v>117.7</v>
      </c>
      <c r="F741" s="4">
        <v>116.3</v>
      </c>
      <c r="G741" s="4">
        <v>114.1</v>
      </c>
      <c r="H741" s="1" t="s">
        <v>23</v>
      </c>
      <c r="K741">
        <v>2013</v>
      </c>
      <c r="L741" t="s">
        <v>44</v>
      </c>
      <c r="M741" t="s">
        <v>63</v>
      </c>
      <c r="N741" t="s">
        <v>26</v>
      </c>
      <c r="O741" t="s">
        <v>26</v>
      </c>
      <c r="P741" s="1" t="s">
        <v>34</v>
      </c>
      <c r="Q741">
        <v>111.2</v>
      </c>
    </row>
    <row r="742" spans="1:17" x14ac:dyDescent="0.3">
      <c r="A742">
        <v>2015</v>
      </c>
      <c r="B742" t="s">
        <v>35</v>
      </c>
      <c r="C742" t="s">
        <v>81</v>
      </c>
      <c r="D742" s="1" t="s">
        <v>22</v>
      </c>
      <c r="E742" s="4">
        <v>119.6</v>
      </c>
      <c r="F742" s="4">
        <v>118.7</v>
      </c>
      <c r="G742" s="4">
        <v>117.7</v>
      </c>
      <c r="H742" s="1" t="s">
        <v>20</v>
      </c>
      <c r="K742">
        <v>2013</v>
      </c>
      <c r="L742" t="s">
        <v>44</v>
      </c>
      <c r="M742" t="s">
        <v>63</v>
      </c>
      <c r="N742" t="s">
        <v>26</v>
      </c>
      <c r="O742" t="s">
        <v>26</v>
      </c>
      <c r="P742" s="1" t="s">
        <v>33</v>
      </c>
      <c r="Q742">
        <v>111.3</v>
      </c>
    </row>
    <row r="743" spans="1:17" x14ac:dyDescent="0.3">
      <c r="A743">
        <v>2015</v>
      </c>
      <c r="B743" t="s">
        <v>35</v>
      </c>
      <c r="C743" t="s">
        <v>81</v>
      </c>
      <c r="D743" s="1" t="s">
        <v>20</v>
      </c>
      <c r="E743" s="4">
        <v>0</v>
      </c>
      <c r="F743" s="4">
        <v>118.1</v>
      </c>
      <c r="G743" s="4">
        <v>118.1</v>
      </c>
      <c r="H743" s="1" t="s">
        <v>20</v>
      </c>
      <c r="K743">
        <v>2013</v>
      </c>
      <c r="L743" t="s">
        <v>44</v>
      </c>
      <c r="M743" t="s">
        <v>63</v>
      </c>
      <c r="N743" t="s">
        <v>5</v>
      </c>
      <c r="O743" t="s">
        <v>188</v>
      </c>
      <c r="P743" s="1" t="s">
        <v>30</v>
      </c>
      <c r="Q743">
        <v>116.2</v>
      </c>
    </row>
    <row r="744" spans="1:17" x14ac:dyDescent="0.3">
      <c r="A744">
        <v>2015</v>
      </c>
      <c r="B744" t="s">
        <v>35</v>
      </c>
      <c r="C744" t="s">
        <v>81</v>
      </c>
      <c r="D744" s="1" t="s">
        <v>4</v>
      </c>
      <c r="E744" s="4">
        <v>124.4</v>
      </c>
      <c r="F744" s="4">
        <v>125.1</v>
      </c>
      <c r="G744" s="4">
        <v>126.5</v>
      </c>
      <c r="H744" s="1" t="s">
        <v>188</v>
      </c>
      <c r="K744">
        <v>2013</v>
      </c>
      <c r="L744" t="s">
        <v>44</v>
      </c>
      <c r="M744" t="s">
        <v>63</v>
      </c>
      <c r="N744" t="s">
        <v>5</v>
      </c>
      <c r="O744" t="s">
        <v>188</v>
      </c>
      <c r="P744" s="1" t="s">
        <v>34</v>
      </c>
      <c r="Q744">
        <v>118.7</v>
      </c>
    </row>
    <row r="745" spans="1:17" x14ac:dyDescent="0.3">
      <c r="A745">
        <v>2015</v>
      </c>
      <c r="B745" t="s">
        <v>35</v>
      </c>
      <c r="C745" t="s">
        <v>81</v>
      </c>
      <c r="D745" s="1" t="s">
        <v>6</v>
      </c>
      <c r="E745" s="4">
        <v>125.8</v>
      </c>
      <c r="F745" s="4">
        <v>125.7</v>
      </c>
      <c r="G745" s="4">
        <v>125.6</v>
      </c>
      <c r="H745" s="1" t="s">
        <v>188</v>
      </c>
      <c r="K745">
        <v>2013</v>
      </c>
      <c r="L745" t="s">
        <v>44</v>
      </c>
      <c r="M745" t="s">
        <v>63</v>
      </c>
      <c r="N745" t="s">
        <v>5</v>
      </c>
      <c r="O745" t="s">
        <v>188</v>
      </c>
      <c r="P745" s="1" t="s">
        <v>33</v>
      </c>
      <c r="Q745">
        <v>122.6</v>
      </c>
    </row>
    <row r="746" spans="1:17" x14ac:dyDescent="0.3">
      <c r="A746">
        <v>2015</v>
      </c>
      <c r="B746" t="s">
        <v>35</v>
      </c>
      <c r="C746" t="s">
        <v>81</v>
      </c>
      <c r="D746" s="1" t="s">
        <v>28</v>
      </c>
      <c r="E746" s="4">
        <v>115</v>
      </c>
      <c r="F746" s="4">
        <v>114.1</v>
      </c>
      <c r="G746" s="4">
        <v>113.2</v>
      </c>
      <c r="H746" s="1" t="s">
        <v>192</v>
      </c>
      <c r="K746">
        <v>2013</v>
      </c>
      <c r="L746" t="s">
        <v>44</v>
      </c>
      <c r="M746" t="s">
        <v>63</v>
      </c>
      <c r="N746" t="s">
        <v>15</v>
      </c>
      <c r="O746" t="s">
        <v>188</v>
      </c>
      <c r="P746" s="1" t="s">
        <v>30</v>
      </c>
      <c r="Q746">
        <v>122.5</v>
      </c>
    </row>
    <row r="747" spans="1:17" x14ac:dyDescent="0.3">
      <c r="A747">
        <v>2015</v>
      </c>
      <c r="B747" t="s">
        <v>35</v>
      </c>
      <c r="C747" t="s">
        <v>81</v>
      </c>
      <c r="D747" s="1" t="s">
        <v>13</v>
      </c>
      <c r="E747" s="4">
        <v>118.8</v>
      </c>
      <c r="F747" s="4">
        <v>118</v>
      </c>
      <c r="G747" s="4">
        <v>116.8</v>
      </c>
      <c r="H747" s="1" t="s">
        <v>188</v>
      </c>
      <c r="K747">
        <v>2013</v>
      </c>
      <c r="L747" t="s">
        <v>44</v>
      </c>
      <c r="M747" t="s">
        <v>63</v>
      </c>
      <c r="N747" t="s">
        <v>15</v>
      </c>
      <c r="O747" t="s">
        <v>188</v>
      </c>
      <c r="P747" s="1" t="s">
        <v>34</v>
      </c>
      <c r="Q747">
        <v>122.6</v>
      </c>
    </row>
    <row r="748" spans="1:17" x14ac:dyDescent="0.3">
      <c r="A748">
        <v>2015</v>
      </c>
      <c r="B748" t="s">
        <v>35</v>
      </c>
      <c r="C748" t="s">
        <v>81</v>
      </c>
      <c r="D748" s="1" t="s">
        <v>7</v>
      </c>
      <c r="E748" s="4">
        <v>111.5</v>
      </c>
      <c r="F748" s="4">
        <v>109.1</v>
      </c>
      <c r="G748" s="4">
        <v>104.9</v>
      </c>
      <c r="H748" s="1" t="s">
        <v>188</v>
      </c>
      <c r="K748">
        <v>2013</v>
      </c>
      <c r="L748" t="s">
        <v>44</v>
      </c>
      <c r="M748" t="s">
        <v>63</v>
      </c>
      <c r="N748" t="s">
        <v>15</v>
      </c>
      <c r="O748" t="s">
        <v>188</v>
      </c>
      <c r="P748" s="1" t="s">
        <v>33</v>
      </c>
      <c r="Q748">
        <v>122.9</v>
      </c>
    </row>
    <row r="749" spans="1:17" x14ac:dyDescent="0.3">
      <c r="A749">
        <v>2015</v>
      </c>
      <c r="B749" t="s">
        <v>35</v>
      </c>
      <c r="C749" t="s">
        <v>81</v>
      </c>
      <c r="D749" s="1" t="s">
        <v>16</v>
      </c>
      <c r="E749" s="4">
        <v>124.2</v>
      </c>
      <c r="F749" s="4">
        <v>125.2</v>
      </c>
      <c r="G749" s="4">
        <v>128.1</v>
      </c>
      <c r="H749" s="1" t="s">
        <v>192</v>
      </c>
      <c r="K749">
        <v>2013</v>
      </c>
      <c r="L749" t="s">
        <v>44</v>
      </c>
      <c r="M749" t="s">
        <v>63</v>
      </c>
      <c r="N749" t="s">
        <v>18</v>
      </c>
      <c r="O749" t="s">
        <v>189</v>
      </c>
      <c r="P749" s="1" t="s">
        <v>30</v>
      </c>
      <c r="Q749">
        <v>113.1</v>
      </c>
    </row>
    <row r="750" spans="1:17" x14ac:dyDescent="0.3">
      <c r="A750">
        <v>2015</v>
      </c>
      <c r="B750" t="s">
        <v>35</v>
      </c>
      <c r="C750" t="s">
        <v>81</v>
      </c>
      <c r="D750" s="1" t="s">
        <v>27</v>
      </c>
      <c r="E750" s="4">
        <v>110.8</v>
      </c>
      <c r="F750" s="4">
        <v>111.2</v>
      </c>
      <c r="G750" s="4">
        <v>111.7</v>
      </c>
      <c r="H750" s="1" t="s">
        <v>192</v>
      </c>
      <c r="K750">
        <v>2013</v>
      </c>
      <c r="L750" t="s">
        <v>44</v>
      </c>
      <c r="M750" t="s">
        <v>63</v>
      </c>
      <c r="N750" t="s">
        <v>18</v>
      </c>
      <c r="O750" t="s">
        <v>189</v>
      </c>
      <c r="P750" s="1" t="s">
        <v>34</v>
      </c>
      <c r="Q750">
        <v>111.9</v>
      </c>
    </row>
    <row r="751" spans="1:17" x14ac:dyDescent="0.3">
      <c r="A751">
        <v>2015</v>
      </c>
      <c r="B751" t="s">
        <v>35</v>
      </c>
      <c r="C751" t="s">
        <v>81</v>
      </c>
      <c r="D751" s="1" t="s">
        <v>14</v>
      </c>
      <c r="E751" s="4">
        <v>126.8</v>
      </c>
      <c r="F751" s="4">
        <v>127.6</v>
      </c>
      <c r="G751" s="4">
        <v>128.6</v>
      </c>
      <c r="H751" s="1" t="s">
        <v>188</v>
      </c>
      <c r="K751">
        <v>2013</v>
      </c>
      <c r="L751" t="s">
        <v>44</v>
      </c>
      <c r="M751" t="s">
        <v>63</v>
      </c>
      <c r="N751" t="s">
        <v>18</v>
      </c>
      <c r="O751" t="s">
        <v>189</v>
      </c>
      <c r="P751" s="1" t="s">
        <v>33</v>
      </c>
      <c r="Q751">
        <v>110.3</v>
      </c>
    </row>
    <row r="752" spans="1:17" x14ac:dyDescent="0.3">
      <c r="A752">
        <v>2015</v>
      </c>
      <c r="B752" t="s">
        <v>35</v>
      </c>
      <c r="C752" t="s">
        <v>81</v>
      </c>
      <c r="D752" s="1" t="s">
        <v>10</v>
      </c>
      <c r="E752" s="4">
        <v>118.8</v>
      </c>
      <c r="F752" s="4">
        <v>120.9</v>
      </c>
      <c r="G752" s="4">
        <v>125.1</v>
      </c>
      <c r="H752" s="1" t="s">
        <v>188</v>
      </c>
      <c r="K752">
        <v>2013</v>
      </c>
      <c r="L752" t="s">
        <v>44</v>
      </c>
      <c r="M752" t="s">
        <v>63</v>
      </c>
      <c r="N752" t="s">
        <v>8</v>
      </c>
      <c r="O752" t="s">
        <v>188</v>
      </c>
      <c r="P752" s="1" t="s">
        <v>30</v>
      </c>
      <c r="Q752">
        <v>116.6</v>
      </c>
    </row>
    <row r="753" spans="1:17" x14ac:dyDescent="0.3">
      <c r="A753">
        <v>2015</v>
      </c>
      <c r="B753" t="s">
        <v>35</v>
      </c>
      <c r="C753" t="s">
        <v>81</v>
      </c>
      <c r="D753" s="1" t="s">
        <v>25</v>
      </c>
      <c r="E753" s="4">
        <v>114.8</v>
      </c>
      <c r="F753" s="4">
        <v>114.9</v>
      </c>
      <c r="G753" s="4">
        <v>114.9</v>
      </c>
      <c r="H753" s="1" t="s">
        <v>195</v>
      </c>
      <c r="K753">
        <v>2013</v>
      </c>
      <c r="L753" t="s">
        <v>44</v>
      </c>
      <c r="M753" t="s">
        <v>63</v>
      </c>
      <c r="N753" t="s">
        <v>8</v>
      </c>
      <c r="O753" t="s">
        <v>188</v>
      </c>
      <c r="P753" s="1" t="s">
        <v>34</v>
      </c>
      <c r="Q753">
        <v>113.5</v>
      </c>
    </row>
    <row r="754" spans="1:17" x14ac:dyDescent="0.3">
      <c r="A754">
        <v>2015</v>
      </c>
      <c r="B754" t="s">
        <v>35</v>
      </c>
      <c r="C754" t="s">
        <v>81</v>
      </c>
      <c r="D754" s="1" t="s">
        <v>12</v>
      </c>
      <c r="E754" s="4">
        <v>118.6</v>
      </c>
      <c r="F754" s="4">
        <v>121.6</v>
      </c>
      <c r="G754" s="4">
        <v>127.7</v>
      </c>
      <c r="H754" s="1" t="s">
        <v>188</v>
      </c>
      <c r="K754">
        <v>2013</v>
      </c>
      <c r="L754" t="s">
        <v>44</v>
      </c>
      <c r="M754" t="s">
        <v>63</v>
      </c>
      <c r="N754" t="s">
        <v>8</v>
      </c>
      <c r="O754" t="s">
        <v>188</v>
      </c>
      <c r="P754" s="1" t="s">
        <v>33</v>
      </c>
      <c r="Q754">
        <v>110</v>
      </c>
    </row>
    <row r="755" spans="1:17" x14ac:dyDescent="0.3">
      <c r="A755">
        <v>2015</v>
      </c>
      <c r="B755" t="s">
        <v>35</v>
      </c>
      <c r="C755" t="s">
        <v>81</v>
      </c>
      <c r="D755" s="1" t="s">
        <v>11</v>
      </c>
      <c r="E755" s="4">
        <v>100</v>
      </c>
      <c r="F755" s="4">
        <v>98.3</v>
      </c>
      <c r="G755" s="4">
        <v>95</v>
      </c>
      <c r="H755" s="1" t="s">
        <v>188</v>
      </c>
      <c r="K755">
        <v>2013</v>
      </c>
      <c r="L755" t="s">
        <v>44</v>
      </c>
      <c r="M755" t="s">
        <v>63</v>
      </c>
      <c r="N755" t="s">
        <v>21</v>
      </c>
      <c r="O755" t="s">
        <v>190</v>
      </c>
      <c r="P755" s="1" t="s">
        <v>30</v>
      </c>
      <c r="Q755">
        <v>112.6</v>
      </c>
    </row>
    <row r="756" spans="1:17" x14ac:dyDescent="0.3">
      <c r="A756">
        <v>2015</v>
      </c>
      <c r="B756" t="s">
        <v>35</v>
      </c>
      <c r="C756" t="s">
        <v>81</v>
      </c>
      <c r="D756" s="1" t="s">
        <v>24</v>
      </c>
      <c r="E756" s="4">
        <v>110.9</v>
      </c>
      <c r="F756" s="4">
        <v>108.7</v>
      </c>
      <c r="G756" s="4">
        <v>106.8</v>
      </c>
      <c r="H756" s="1" t="s">
        <v>191</v>
      </c>
      <c r="K756">
        <v>2013</v>
      </c>
      <c r="L756" t="s">
        <v>44</v>
      </c>
      <c r="M756" t="s">
        <v>63</v>
      </c>
      <c r="N756" t="s">
        <v>21</v>
      </c>
      <c r="O756" t="s">
        <v>190</v>
      </c>
      <c r="P756" s="1" t="s">
        <v>34</v>
      </c>
      <c r="Q756">
        <v>111.6</v>
      </c>
    </row>
    <row r="757" spans="1:17" x14ac:dyDescent="0.3">
      <c r="A757">
        <v>2015</v>
      </c>
      <c r="B757" t="s">
        <v>35</v>
      </c>
      <c r="C757" t="s">
        <v>81</v>
      </c>
      <c r="D757" s="1" t="s">
        <v>9</v>
      </c>
      <c r="E757" s="4">
        <v>128.19999999999999</v>
      </c>
      <c r="F757" s="4">
        <v>129.4</v>
      </c>
      <c r="G757" s="4">
        <v>131.80000000000001</v>
      </c>
      <c r="H757" s="1" t="s">
        <v>188</v>
      </c>
      <c r="K757">
        <v>2013</v>
      </c>
      <c r="L757" t="s">
        <v>44</v>
      </c>
      <c r="M757" t="s">
        <v>63</v>
      </c>
      <c r="N757" t="s">
        <v>21</v>
      </c>
      <c r="O757" t="s">
        <v>190</v>
      </c>
      <c r="P757" s="1" t="s">
        <v>33</v>
      </c>
      <c r="Q757">
        <v>110</v>
      </c>
    </row>
    <row r="758" spans="1:17" x14ac:dyDescent="0.3">
      <c r="A758">
        <v>2015</v>
      </c>
      <c r="B758" t="s">
        <v>31</v>
      </c>
      <c r="C758" t="s">
        <v>82</v>
      </c>
      <c r="D758" s="1" t="s">
        <v>3</v>
      </c>
      <c r="E758" s="4">
        <v>123.1</v>
      </c>
      <c r="F758" s="4">
        <v>123.4</v>
      </c>
      <c r="G758" s="4">
        <v>124</v>
      </c>
      <c r="H758" s="1" t="s">
        <v>188</v>
      </c>
      <c r="K758">
        <v>2013</v>
      </c>
      <c r="L758" t="s">
        <v>44</v>
      </c>
      <c r="M758" t="s">
        <v>63</v>
      </c>
      <c r="N758" t="s">
        <v>29</v>
      </c>
      <c r="O758" t="s">
        <v>206</v>
      </c>
      <c r="P758" s="1" t="s">
        <v>30</v>
      </c>
      <c r="Q758">
        <v>117.4</v>
      </c>
    </row>
    <row r="759" spans="1:17" x14ac:dyDescent="0.3">
      <c r="A759">
        <v>2015</v>
      </c>
      <c r="B759" t="s">
        <v>31</v>
      </c>
      <c r="C759" t="s">
        <v>82</v>
      </c>
      <c r="D759" s="1" t="s">
        <v>17</v>
      </c>
      <c r="E759" s="4">
        <v>124.4</v>
      </c>
      <c r="F759" s="4">
        <v>123.1</v>
      </c>
      <c r="G759" s="4">
        <v>121</v>
      </c>
      <c r="H759" s="1" t="s">
        <v>189</v>
      </c>
      <c r="K759">
        <v>2013</v>
      </c>
      <c r="L759" t="s">
        <v>44</v>
      </c>
      <c r="M759" t="s">
        <v>63</v>
      </c>
      <c r="N759" t="s">
        <v>29</v>
      </c>
      <c r="O759" t="s">
        <v>206</v>
      </c>
      <c r="P759" s="1" t="s">
        <v>34</v>
      </c>
      <c r="Q759">
        <v>116.3</v>
      </c>
    </row>
    <row r="760" spans="1:17" x14ac:dyDescent="0.3">
      <c r="A760">
        <v>2015</v>
      </c>
      <c r="B760" t="s">
        <v>31</v>
      </c>
      <c r="C760" t="s">
        <v>82</v>
      </c>
      <c r="D760" s="1" t="s">
        <v>19</v>
      </c>
      <c r="E760" s="4">
        <v>124</v>
      </c>
      <c r="F760" s="4">
        <v>122.5</v>
      </c>
      <c r="G760" s="4">
        <v>120.2</v>
      </c>
      <c r="H760" s="1" t="s">
        <v>189</v>
      </c>
      <c r="K760">
        <v>2013</v>
      </c>
      <c r="L760" t="s">
        <v>44</v>
      </c>
      <c r="M760" t="s">
        <v>63</v>
      </c>
      <c r="N760" t="s">
        <v>29</v>
      </c>
      <c r="O760" t="s">
        <v>206</v>
      </c>
      <c r="P760" s="1" t="s">
        <v>33</v>
      </c>
      <c r="Q760">
        <v>115</v>
      </c>
    </row>
    <row r="761" spans="1:17" x14ac:dyDescent="0.3">
      <c r="A761">
        <v>2015</v>
      </c>
      <c r="B761" t="s">
        <v>31</v>
      </c>
      <c r="C761" t="s">
        <v>82</v>
      </c>
      <c r="D761" s="1" t="s">
        <v>26</v>
      </c>
      <c r="E761" s="4">
        <v>118.2</v>
      </c>
      <c r="F761" s="4">
        <v>119.7</v>
      </c>
      <c r="G761" s="4">
        <v>120.8</v>
      </c>
      <c r="H761" s="1" t="s">
        <v>26</v>
      </c>
      <c r="K761">
        <v>2013</v>
      </c>
      <c r="L761" t="s">
        <v>44</v>
      </c>
      <c r="M761" t="s">
        <v>63</v>
      </c>
      <c r="N761" t="s">
        <v>23</v>
      </c>
      <c r="O761" t="s">
        <v>23</v>
      </c>
      <c r="P761" s="1" t="s">
        <v>30</v>
      </c>
      <c r="Q761">
        <v>109.7</v>
      </c>
    </row>
    <row r="762" spans="1:17" x14ac:dyDescent="0.3">
      <c r="A762">
        <v>2015</v>
      </c>
      <c r="B762" t="s">
        <v>31</v>
      </c>
      <c r="C762" t="s">
        <v>82</v>
      </c>
      <c r="D762" s="1" t="s">
        <v>5</v>
      </c>
      <c r="E762" s="4">
        <v>122.1</v>
      </c>
      <c r="F762" s="4">
        <v>123.8</v>
      </c>
      <c r="G762" s="4">
        <v>126.6</v>
      </c>
      <c r="H762" s="1" t="s">
        <v>188</v>
      </c>
      <c r="K762">
        <v>2013</v>
      </c>
      <c r="L762" t="s">
        <v>44</v>
      </c>
      <c r="M762" t="s">
        <v>63</v>
      </c>
      <c r="N762" t="s">
        <v>23</v>
      </c>
      <c r="O762" t="s">
        <v>23</v>
      </c>
      <c r="P762" s="1" t="s">
        <v>34</v>
      </c>
      <c r="Q762">
        <v>109.3</v>
      </c>
    </row>
    <row r="763" spans="1:17" x14ac:dyDescent="0.3">
      <c r="A763">
        <v>2015</v>
      </c>
      <c r="B763" t="s">
        <v>31</v>
      </c>
      <c r="C763" t="s">
        <v>82</v>
      </c>
      <c r="D763" s="1" t="s">
        <v>15</v>
      </c>
      <c r="E763" s="4">
        <v>122.8</v>
      </c>
      <c r="F763" s="4">
        <v>123.1</v>
      </c>
      <c r="G763" s="4">
        <v>123.5</v>
      </c>
      <c r="H763" s="1" t="s">
        <v>188</v>
      </c>
      <c r="K763">
        <v>2013</v>
      </c>
      <c r="L763" t="s">
        <v>44</v>
      </c>
      <c r="M763" t="s">
        <v>63</v>
      </c>
      <c r="N763" t="s">
        <v>23</v>
      </c>
      <c r="O763" t="s">
        <v>23</v>
      </c>
      <c r="P763" s="1" t="s">
        <v>33</v>
      </c>
      <c r="Q763">
        <v>108.6</v>
      </c>
    </row>
    <row r="764" spans="1:17" x14ac:dyDescent="0.3">
      <c r="A764">
        <v>2015</v>
      </c>
      <c r="B764" t="s">
        <v>31</v>
      </c>
      <c r="C764" t="s">
        <v>82</v>
      </c>
      <c r="D764" s="1" t="s">
        <v>18</v>
      </c>
      <c r="E764" s="4">
        <v>121.6</v>
      </c>
      <c r="F764" s="4">
        <v>119.3</v>
      </c>
      <c r="G764" s="4">
        <v>116.1</v>
      </c>
      <c r="H764" s="1" t="s">
        <v>189</v>
      </c>
      <c r="K764">
        <v>2013</v>
      </c>
      <c r="L764" t="s">
        <v>44</v>
      </c>
      <c r="M764" t="s">
        <v>63</v>
      </c>
      <c r="N764" t="s">
        <v>22</v>
      </c>
      <c r="O764" t="s">
        <v>20</v>
      </c>
      <c r="P764" s="1" t="s">
        <v>30</v>
      </c>
      <c r="Q764">
        <v>111.3</v>
      </c>
    </row>
    <row r="765" spans="1:17" x14ac:dyDescent="0.3">
      <c r="A765">
        <v>2015</v>
      </c>
      <c r="B765" t="s">
        <v>31</v>
      </c>
      <c r="C765" t="s">
        <v>82</v>
      </c>
      <c r="D765" s="1" t="s">
        <v>8</v>
      </c>
      <c r="E765" s="4">
        <v>130.4</v>
      </c>
      <c r="F765" s="4">
        <v>126.2</v>
      </c>
      <c r="G765" s="4">
        <v>121.3</v>
      </c>
      <c r="H765" s="1" t="s">
        <v>188</v>
      </c>
      <c r="K765">
        <v>2013</v>
      </c>
      <c r="L765" t="s">
        <v>44</v>
      </c>
      <c r="M765" t="s">
        <v>63</v>
      </c>
      <c r="N765" t="s">
        <v>22</v>
      </c>
      <c r="O765" t="s">
        <v>20</v>
      </c>
      <c r="P765" s="1" t="s">
        <v>34</v>
      </c>
      <c r="Q765">
        <v>111.1</v>
      </c>
    </row>
    <row r="766" spans="1:17" x14ac:dyDescent="0.3">
      <c r="A766">
        <v>2015</v>
      </c>
      <c r="B766" t="s">
        <v>31</v>
      </c>
      <c r="C766" t="s">
        <v>82</v>
      </c>
      <c r="D766" s="1" t="s">
        <v>21</v>
      </c>
      <c r="E766" s="4">
        <v>118.4</v>
      </c>
      <c r="F766" s="4">
        <v>116.5</v>
      </c>
      <c r="G766" s="4">
        <v>113.4</v>
      </c>
      <c r="H766" s="1" t="s">
        <v>190</v>
      </c>
      <c r="K766">
        <v>2013</v>
      </c>
      <c r="L766" t="s">
        <v>44</v>
      </c>
      <c r="M766" t="s">
        <v>63</v>
      </c>
      <c r="N766" t="s">
        <v>22</v>
      </c>
      <c r="O766" t="s">
        <v>20</v>
      </c>
      <c r="P766" s="1" t="s">
        <v>33</v>
      </c>
      <c r="Q766">
        <v>110.9</v>
      </c>
    </row>
    <row r="767" spans="1:17" x14ac:dyDescent="0.3">
      <c r="A767">
        <v>2015</v>
      </c>
      <c r="B767" t="s">
        <v>31</v>
      </c>
      <c r="C767" t="s">
        <v>82</v>
      </c>
      <c r="D767" s="1" t="s">
        <v>29</v>
      </c>
      <c r="E767" s="4">
        <v>120.3</v>
      </c>
      <c r="F767" s="4">
        <v>119.5</v>
      </c>
      <c r="G767" s="4">
        <v>118.5</v>
      </c>
      <c r="H767" s="1" t="s">
        <v>206</v>
      </c>
      <c r="K767">
        <v>2013</v>
      </c>
      <c r="L767" t="s">
        <v>44</v>
      </c>
      <c r="M767" t="s">
        <v>63</v>
      </c>
      <c r="N767" t="s">
        <v>20</v>
      </c>
      <c r="O767" t="s">
        <v>20</v>
      </c>
      <c r="P767" s="1" t="s">
        <v>30</v>
      </c>
      <c r="Q767">
        <v>0</v>
      </c>
    </row>
    <row r="768" spans="1:17" x14ac:dyDescent="0.3">
      <c r="A768">
        <v>2015</v>
      </c>
      <c r="B768" t="s">
        <v>31</v>
      </c>
      <c r="C768" t="s">
        <v>82</v>
      </c>
      <c r="D768" s="1" t="s">
        <v>23</v>
      </c>
      <c r="E768" s="4">
        <v>116.6</v>
      </c>
      <c r="F768" s="4">
        <v>115.5</v>
      </c>
      <c r="G768" s="4">
        <v>113.7</v>
      </c>
      <c r="H768" s="1" t="s">
        <v>23</v>
      </c>
      <c r="K768">
        <v>2013</v>
      </c>
      <c r="L768" t="s">
        <v>44</v>
      </c>
      <c r="M768" t="s">
        <v>63</v>
      </c>
      <c r="N768" t="s">
        <v>20</v>
      </c>
      <c r="O768" t="s">
        <v>20</v>
      </c>
      <c r="P768" s="1" t="s">
        <v>34</v>
      </c>
      <c r="Q768">
        <v>111.1</v>
      </c>
    </row>
    <row r="769" spans="1:17" x14ac:dyDescent="0.3">
      <c r="A769">
        <v>2015</v>
      </c>
      <c r="B769" t="s">
        <v>31</v>
      </c>
      <c r="C769" t="s">
        <v>82</v>
      </c>
      <c r="D769" s="1" t="s">
        <v>22</v>
      </c>
      <c r="E769" s="4">
        <v>118.9</v>
      </c>
      <c r="F769" s="4">
        <v>118.1</v>
      </c>
      <c r="G769" s="4">
        <v>117.2</v>
      </c>
      <c r="H769" s="1" t="s">
        <v>20</v>
      </c>
      <c r="K769">
        <v>2013</v>
      </c>
      <c r="L769" t="s">
        <v>44</v>
      </c>
      <c r="M769" t="s">
        <v>63</v>
      </c>
      <c r="N769" t="s">
        <v>20</v>
      </c>
      <c r="O769" t="s">
        <v>20</v>
      </c>
      <c r="P769" s="1" t="s">
        <v>33</v>
      </c>
      <c r="Q769">
        <v>111.1</v>
      </c>
    </row>
    <row r="770" spans="1:17" x14ac:dyDescent="0.3">
      <c r="A770">
        <v>2015</v>
      </c>
      <c r="B770" t="s">
        <v>31</v>
      </c>
      <c r="C770" t="s">
        <v>82</v>
      </c>
      <c r="D770" s="1" t="s">
        <v>20</v>
      </c>
      <c r="E770" s="4">
        <v>0</v>
      </c>
      <c r="F770" s="4">
        <v>117.3</v>
      </c>
      <c r="G770" s="4">
        <v>117.3</v>
      </c>
      <c r="H770" s="1" t="s">
        <v>20</v>
      </c>
      <c r="K770">
        <v>2013</v>
      </c>
      <c r="L770" t="s">
        <v>44</v>
      </c>
      <c r="M770" t="s">
        <v>63</v>
      </c>
      <c r="N770" t="s">
        <v>4</v>
      </c>
      <c r="O770" t="s">
        <v>188</v>
      </c>
      <c r="P770" s="1" t="s">
        <v>30</v>
      </c>
      <c r="Q770">
        <v>114.9</v>
      </c>
    </row>
    <row r="771" spans="1:17" x14ac:dyDescent="0.3">
      <c r="A771">
        <v>2015</v>
      </c>
      <c r="B771" t="s">
        <v>31</v>
      </c>
      <c r="C771" t="s">
        <v>82</v>
      </c>
      <c r="D771" s="1" t="s">
        <v>4</v>
      </c>
      <c r="E771" s="4">
        <v>123.1</v>
      </c>
      <c r="F771" s="4">
        <v>123.9</v>
      </c>
      <c r="G771" s="4">
        <v>125.5</v>
      </c>
      <c r="H771" s="1" t="s">
        <v>188</v>
      </c>
      <c r="K771">
        <v>2013</v>
      </c>
      <c r="L771" t="s">
        <v>44</v>
      </c>
      <c r="M771" t="s">
        <v>63</v>
      </c>
      <c r="N771" t="s">
        <v>4</v>
      </c>
      <c r="O771" t="s">
        <v>188</v>
      </c>
      <c r="P771" s="1" t="s">
        <v>34</v>
      </c>
      <c r="Q771">
        <v>115.4</v>
      </c>
    </row>
    <row r="772" spans="1:17" x14ac:dyDescent="0.3">
      <c r="A772">
        <v>2015</v>
      </c>
      <c r="B772" t="s">
        <v>31</v>
      </c>
      <c r="C772" t="s">
        <v>82</v>
      </c>
      <c r="D772" s="1" t="s">
        <v>6</v>
      </c>
      <c r="E772" s="4">
        <v>124.9</v>
      </c>
      <c r="F772" s="4">
        <v>125</v>
      </c>
      <c r="G772" s="4">
        <v>125.2</v>
      </c>
      <c r="H772" s="1" t="s">
        <v>188</v>
      </c>
      <c r="K772">
        <v>2013</v>
      </c>
      <c r="L772" t="s">
        <v>44</v>
      </c>
      <c r="M772" t="s">
        <v>63</v>
      </c>
      <c r="N772" t="s">
        <v>4</v>
      </c>
      <c r="O772" t="s">
        <v>188</v>
      </c>
      <c r="P772" s="1" t="s">
        <v>33</v>
      </c>
      <c r="Q772">
        <v>116.3</v>
      </c>
    </row>
    <row r="773" spans="1:17" x14ac:dyDescent="0.3">
      <c r="A773">
        <v>2015</v>
      </c>
      <c r="B773" t="s">
        <v>31</v>
      </c>
      <c r="C773" t="s">
        <v>82</v>
      </c>
      <c r="D773" s="1" t="s">
        <v>28</v>
      </c>
      <c r="E773" s="4">
        <v>114.5</v>
      </c>
      <c r="F773" s="4">
        <v>114</v>
      </c>
      <c r="G773" s="4">
        <v>113.4</v>
      </c>
      <c r="H773" s="1" t="s">
        <v>192</v>
      </c>
      <c r="K773">
        <v>2013</v>
      </c>
      <c r="L773" t="s">
        <v>44</v>
      </c>
      <c r="M773" t="s">
        <v>63</v>
      </c>
      <c r="N773" t="s">
        <v>6</v>
      </c>
      <c r="O773" t="s">
        <v>188</v>
      </c>
      <c r="P773" s="1" t="s">
        <v>30</v>
      </c>
      <c r="Q773">
        <v>112.8</v>
      </c>
    </row>
    <row r="774" spans="1:17" x14ac:dyDescent="0.3">
      <c r="A774">
        <v>2015</v>
      </c>
      <c r="B774" t="s">
        <v>31</v>
      </c>
      <c r="C774" t="s">
        <v>82</v>
      </c>
      <c r="D774" s="1" t="s">
        <v>13</v>
      </c>
      <c r="E774" s="4">
        <v>117.9</v>
      </c>
      <c r="F774" s="4">
        <v>117.3</v>
      </c>
      <c r="G774" s="4">
        <v>116.5</v>
      </c>
      <c r="H774" s="1" t="s">
        <v>188</v>
      </c>
      <c r="K774">
        <v>2013</v>
      </c>
      <c r="L774" t="s">
        <v>44</v>
      </c>
      <c r="M774" t="s">
        <v>63</v>
      </c>
      <c r="N774" t="s">
        <v>6</v>
      </c>
      <c r="O774" t="s">
        <v>188</v>
      </c>
      <c r="P774" s="1" t="s">
        <v>34</v>
      </c>
      <c r="Q774">
        <v>112.5</v>
      </c>
    </row>
    <row r="775" spans="1:17" x14ac:dyDescent="0.3">
      <c r="A775">
        <v>2015</v>
      </c>
      <c r="B775" t="s">
        <v>31</v>
      </c>
      <c r="C775" t="s">
        <v>82</v>
      </c>
      <c r="D775" s="1" t="s">
        <v>7</v>
      </c>
      <c r="E775" s="4">
        <v>111</v>
      </c>
      <c r="F775" s="4">
        <v>108.5</v>
      </c>
      <c r="G775" s="4">
        <v>104.3</v>
      </c>
      <c r="H775" s="1" t="s">
        <v>188</v>
      </c>
      <c r="K775">
        <v>2013</v>
      </c>
      <c r="L775" t="s">
        <v>44</v>
      </c>
      <c r="M775" t="s">
        <v>63</v>
      </c>
      <c r="N775" t="s">
        <v>6</v>
      </c>
      <c r="O775" t="s">
        <v>188</v>
      </c>
      <c r="P775" s="1" t="s">
        <v>33</v>
      </c>
      <c r="Q775">
        <v>112</v>
      </c>
    </row>
    <row r="776" spans="1:17" x14ac:dyDescent="0.3">
      <c r="A776">
        <v>2015</v>
      </c>
      <c r="B776" t="s">
        <v>31</v>
      </c>
      <c r="C776" t="s">
        <v>82</v>
      </c>
      <c r="D776" s="1" t="s">
        <v>16</v>
      </c>
      <c r="E776" s="4">
        <v>122.7</v>
      </c>
      <c r="F776" s="4">
        <v>124</v>
      </c>
      <c r="G776" s="4">
        <v>127.4</v>
      </c>
      <c r="H776" s="1" t="s">
        <v>192</v>
      </c>
      <c r="K776">
        <v>2013</v>
      </c>
      <c r="L776" t="s">
        <v>44</v>
      </c>
      <c r="M776" t="s">
        <v>63</v>
      </c>
      <c r="N776" t="s">
        <v>28</v>
      </c>
      <c r="O776" t="s">
        <v>192</v>
      </c>
      <c r="P776" s="1" t="s">
        <v>30</v>
      </c>
      <c r="Q776">
        <v>109.8</v>
      </c>
    </row>
    <row r="777" spans="1:17" x14ac:dyDescent="0.3">
      <c r="A777">
        <v>2015</v>
      </c>
      <c r="B777" t="s">
        <v>31</v>
      </c>
      <c r="C777" t="s">
        <v>82</v>
      </c>
      <c r="D777" s="1" t="s">
        <v>27</v>
      </c>
      <c r="E777" s="4">
        <v>110.2</v>
      </c>
      <c r="F777" s="4">
        <v>110.7</v>
      </c>
      <c r="G777" s="4">
        <v>111.4</v>
      </c>
      <c r="H777" s="1" t="s">
        <v>192</v>
      </c>
      <c r="K777">
        <v>2013</v>
      </c>
      <c r="L777" t="s">
        <v>44</v>
      </c>
      <c r="M777" t="s">
        <v>63</v>
      </c>
      <c r="N777" t="s">
        <v>28</v>
      </c>
      <c r="O777" t="s">
        <v>192</v>
      </c>
      <c r="P777" s="1" t="s">
        <v>34</v>
      </c>
      <c r="Q777">
        <v>109.7</v>
      </c>
    </row>
    <row r="778" spans="1:17" x14ac:dyDescent="0.3">
      <c r="A778">
        <v>2015</v>
      </c>
      <c r="B778" t="s">
        <v>31</v>
      </c>
      <c r="C778" t="s">
        <v>82</v>
      </c>
      <c r="D778" s="1" t="s">
        <v>14</v>
      </c>
      <c r="E778" s="4">
        <v>125.6</v>
      </c>
      <c r="F778" s="4">
        <v>126.7</v>
      </c>
      <c r="G778" s="4">
        <v>128</v>
      </c>
      <c r="H778" s="1" t="s">
        <v>188</v>
      </c>
      <c r="K778">
        <v>2013</v>
      </c>
      <c r="L778" t="s">
        <v>44</v>
      </c>
      <c r="M778" t="s">
        <v>63</v>
      </c>
      <c r="N778" t="s">
        <v>28</v>
      </c>
      <c r="O778" t="s">
        <v>192</v>
      </c>
      <c r="P778" s="1" t="s">
        <v>33</v>
      </c>
      <c r="Q778">
        <v>109.6</v>
      </c>
    </row>
    <row r="779" spans="1:17" x14ac:dyDescent="0.3">
      <c r="A779">
        <v>2015</v>
      </c>
      <c r="B779" t="s">
        <v>31</v>
      </c>
      <c r="C779" t="s">
        <v>82</v>
      </c>
      <c r="D779" s="1" t="s">
        <v>10</v>
      </c>
      <c r="E779" s="4">
        <v>117.2</v>
      </c>
      <c r="F779" s="4">
        <v>119.1</v>
      </c>
      <c r="G779" s="4">
        <v>122.9</v>
      </c>
      <c r="H779" s="1" t="s">
        <v>188</v>
      </c>
      <c r="K779">
        <v>2013</v>
      </c>
      <c r="L779" t="s">
        <v>44</v>
      </c>
      <c r="M779" t="s">
        <v>63</v>
      </c>
      <c r="N779" t="s">
        <v>13</v>
      </c>
      <c r="O779" t="s">
        <v>188</v>
      </c>
      <c r="P779" s="1" t="s">
        <v>30</v>
      </c>
      <c r="Q779">
        <v>111.8</v>
      </c>
    </row>
    <row r="780" spans="1:17" x14ac:dyDescent="0.3">
      <c r="A780">
        <v>2015</v>
      </c>
      <c r="B780" t="s">
        <v>31</v>
      </c>
      <c r="C780" t="s">
        <v>82</v>
      </c>
      <c r="D780" s="1" t="s">
        <v>25</v>
      </c>
      <c r="E780" s="4">
        <v>114</v>
      </c>
      <c r="F780" s="4">
        <v>114.3</v>
      </c>
      <c r="G780" s="4">
        <v>114.6</v>
      </c>
      <c r="H780" s="1" t="s">
        <v>195</v>
      </c>
      <c r="K780">
        <v>2013</v>
      </c>
      <c r="L780" t="s">
        <v>44</v>
      </c>
      <c r="M780" t="s">
        <v>63</v>
      </c>
      <c r="N780" t="s">
        <v>13</v>
      </c>
      <c r="O780" t="s">
        <v>188</v>
      </c>
      <c r="P780" s="1" t="s">
        <v>34</v>
      </c>
      <c r="Q780">
        <v>111.8</v>
      </c>
    </row>
    <row r="781" spans="1:17" x14ac:dyDescent="0.3">
      <c r="A781">
        <v>2015</v>
      </c>
      <c r="B781" t="s">
        <v>31</v>
      </c>
      <c r="C781" t="s">
        <v>82</v>
      </c>
      <c r="D781" s="1" t="s">
        <v>12</v>
      </c>
      <c r="E781" s="4">
        <v>117.2</v>
      </c>
      <c r="F781" s="4">
        <v>120.3</v>
      </c>
      <c r="G781" s="4">
        <v>126.6</v>
      </c>
      <c r="H781" s="1" t="s">
        <v>188</v>
      </c>
      <c r="K781">
        <v>2013</v>
      </c>
      <c r="L781" t="s">
        <v>44</v>
      </c>
      <c r="M781" t="s">
        <v>63</v>
      </c>
      <c r="N781" t="s">
        <v>13</v>
      </c>
      <c r="O781" t="s">
        <v>188</v>
      </c>
      <c r="P781" s="1" t="s">
        <v>33</v>
      </c>
      <c r="Q781">
        <v>111.8</v>
      </c>
    </row>
    <row r="782" spans="1:17" x14ac:dyDescent="0.3">
      <c r="A782">
        <v>2015</v>
      </c>
      <c r="B782" t="s">
        <v>31</v>
      </c>
      <c r="C782" t="s">
        <v>82</v>
      </c>
      <c r="D782" s="1" t="s">
        <v>11</v>
      </c>
      <c r="E782" s="4">
        <v>100.5</v>
      </c>
      <c r="F782" s="4">
        <v>99</v>
      </c>
      <c r="G782" s="4">
        <v>96.1</v>
      </c>
      <c r="H782" s="1" t="s">
        <v>188</v>
      </c>
      <c r="K782">
        <v>2013</v>
      </c>
      <c r="L782" t="s">
        <v>44</v>
      </c>
      <c r="M782" t="s">
        <v>63</v>
      </c>
      <c r="N782" t="s">
        <v>7</v>
      </c>
      <c r="O782" t="s">
        <v>188</v>
      </c>
      <c r="P782" s="1" t="s">
        <v>30</v>
      </c>
      <c r="Q782">
        <v>108.9</v>
      </c>
    </row>
    <row r="783" spans="1:17" x14ac:dyDescent="0.3">
      <c r="A783">
        <v>2015</v>
      </c>
      <c r="B783" t="s">
        <v>31</v>
      </c>
      <c r="C783" t="s">
        <v>82</v>
      </c>
      <c r="D783" s="1" t="s">
        <v>24</v>
      </c>
      <c r="E783" s="4">
        <v>111</v>
      </c>
      <c r="F783" s="4">
        <v>109.4</v>
      </c>
      <c r="G783" s="4">
        <v>107.9</v>
      </c>
      <c r="H783" s="1" t="s">
        <v>191</v>
      </c>
      <c r="K783">
        <v>2013</v>
      </c>
      <c r="L783" t="s">
        <v>44</v>
      </c>
      <c r="M783" t="s">
        <v>63</v>
      </c>
      <c r="N783" t="s">
        <v>7</v>
      </c>
      <c r="O783" t="s">
        <v>188</v>
      </c>
      <c r="P783" s="1" t="s">
        <v>34</v>
      </c>
      <c r="Q783">
        <v>106.8</v>
      </c>
    </row>
    <row r="784" spans="1:17" x14ac:dyDescent="0.3">
      <c r="A784">
        <v>2015</v>
      </c>
      <c r="B784" t="s">
        <v>31</v>
      </c>
      <c r="C784" t="s">
        <v>82</v>
      </c>
      <c r="D784" s="1" t="s">
        <v>9</v>
      </c>
      <c r="E784" s="4">
        <v>132.30000000000001</v>
      </c>
      <c r="F784" s="4">
        <v>133</v>
      </c>
      <c r="G784" s="4">
        <v>134.4</v>
      </c>
      <c r="H784" s="1" t="s">
        <v>188</v>
      </c>
      <c r="K784">
        <v>2013</v>
      </c>
      <c r="L784" t="s">
        <v>44</v>
      </c>
      <c r="M784" t="s">
        <v>63</v>
      </c>
      <c r="N784" t="s">
        <v>7</v>
      </c>
      <c r="O784" t="s">
        <v>188</v>
      </c>
      <c r="P784" s="1" t="s">
        <v>33</v>
      </c>
      <c r="Q784">
        <v>103.2</v>
      </c>
    </row>
    <row r="785" spans="1:17" x14ac:dyDescent="0.3">
      <c r="A785">
        <v>2015</v>
      </c>
      <c r="B785" t="s">
        <v>40</v>
      </c>
      <c r="C785" t="s">
        <v>83</v>
      </c>
      <c r="D785" s="1" t="s">
        <v>3</v>
      </c>
      <c r="E785" s="4">
        <v>124</v>
      </c>
      <c r="F785" s="4">
        <v>123.7</v>
      </c>
      <c r="G785" s="4">
        <v>123.2</v>
      </c>
      <c r="H785" s="1" t="s">
        <v>188</v>
      </c>
      <c r="K785">
        <v>2013</v>
      </c>
      <c r="L785" t="s">
        <v>44</v>
      </c>
      <c r="M785" t="s">
        <v>63</v>
      </c>
      <c r="N785" t="s">
        <v>16</v>
      </c>
      <c r="O785" t="s">
        <v>192</v>
      </c>
      <c r="P785" s="1" t="s">
        <v>30</v>
      </c>
      <c r="Q785">
        <v>112.8</v>
      </c>
    </row>
    <row r="786" spans="1:17" x14ac:dyDescent="0.3">
      <c r="A786">
        <v>2015</v>
      </c>
      <c r="B786" t="s">
        <v>40</v>
      </c>
      <c r="C786" t="s">
        <v>83</v>
      </c>
      <c r="D786" s="1" t="s">
        <v>17</v>
      </c>
      <c r="E786" s="4">
        <v>128.80000000000001</v>
      </c>
      <c r="F786" s="4">
        <v>126.7</v>
      </c>
      <c r="G786" s="4">
        <v>123.5</v>
      </c>
      <c r="H786" s="1" t="s">
        <v>189</v>
      </c>
      <c r="K786">
        <v>2013</v>
      </c>
      <c r="L786" t="s">
        <v>44</v>
      </c>
      <c r="M786" t="s">
        <v>63</v>
      </c>
      <c r="N786" t="s">
        <v>16</v>
      </c>
      <c r="O786" t="s">
        <v>192</v>
      </c>
      <c r="P786" s="1" t="s">
        <v>34</v>
      </c>
      <c r="Q786">
        <v>113.1</v>
      </c>
    </row>
    <row r="787" spans="1:17" x14ac:dyDescent="0.3">
      <c r="A787">
        <v>2015</v>
      </c>
      <c r="B787" t="s">
        <v>40</v>
      </c>
      <c r="C787" t="s">
        <v>83</v>
      </c>
      <c r="D787" s="1" t="s">
        <v>19</v>
      </c>
      <c r="E787" s="4">
        <v>128.30000000000001</v>
      </c>
      <c r="F787" s="4">
        <v>126.1</v>
      </c>
      <c r="G787" s="4">
        <v>122.7</v>
      </c>
      <c r="H787" s="1" t="s">
        <v>189</v>
      </c>
      <c r="K787">
        <v>2013</v>
      </c>
      <c r="L787" t="s">
        <v>44</v>
      </c>
      <c r="M787" t="s">
        <v>63</v>
      </c>
      <c r="N787" t="s">
        <v>16</v>
      </c>
      <c r="O787" t="s">
        <v>192</v>
      </c>
      <c r="P787" s="1" t="s">
        <v>33</v>
      </c>
      <c r="Q787">
        <v>114.1</v>
      </c>
    </row>
    <row r="788" spans="1:17" x14ac:dyDescent="0.3">
      <c r="A788">
        <v>2015</v>
      </c>
      <c r="B788" t="s">
        <v>40</v>
      </c>
      <c r="C788" t="s">
        <v>83</v>
      </c>
      <c r="D788" s="1" t="s">
        <v>26</v>
      </c>
      <c r="E788" s="4">
        <v>122.9</v>
      </c>
      <c r="F788" s="4">
        <v>124.4</v>
      </c>
      <c r="G788" s="4">
        <v>125.4</v>
      </c>
      <c r="H788" s="1" t="s">
        <v>26</v>
      </c>
      <c r="K788">
        <v>2013</v>
      </c>
      <c r="L788" t="s">
        <v>44</v>
      </c>
      <c r="M788" t="s">
        <v>63</v>
      </c>
      <c r="N788" t="s">
        <v>27</v>
      </c>
      <c r="O788" t="s">
        <v>192</v>
      </c>
      <c r="P788" s="1" t="s">
        <v>30</v>
      </c>
      <c r="Q788">
        <v>108.2</v>
      </c>
    </row>
    <row r="789" spans="1:17" x14ac:dyDescent="0.3">
      <c r="A789">
        <v>2015</v>
      </c>
      <c r="B789" t="s">
        <v>40</v>
      </c>
      <c r="C789" t="s">
        <v>83</v>
      </c>
      <c r="D789" s="1" t="s">
        <v>5</v>
      </c>
      <c r="E789" s="4">
        <v>122</v>
      </c>
      <c r="F789" s="4">
        <v>121</v>
      </c>
      <c r="G789" s="4">
        <v>119.5</v>
      </c>
      <c r="H789" s="1" t="s">
        <v>188</v>
      </c>
      <c r="K789">
        <v>2013</v>
      </c>
      <c r="L789" t="s">
        <v>44</v>
      </c>
      <c r="M789" t="s">
        <v>63</v>
      </c>
      <c r="N789" t="s">
        <v>27</v>
      </c>
      <c r="O789" t="s">
        <v>192</v>
      </c>
      <c r="P789" s="1" t="s">
        <v>34</v>
      </c>
      <c r="Q789">
        <v>108.1</v>
      </c>
    </row>
    <row r="790" spans="1:17" x14ac:dyDescent="0.3">
      <c r="A790">
        <v>2015</v>
      </c>
      <c r="B790" t="s">
        <v>40</v>
      </c>
      <c r="C790" t="s">
        <v>83</v>
      </c>
      <c r="D790" s="1" t="s">
        <v>15</v>
      </c>
      <c r="E790" s="4">
        <v>127.5</v>
      </c>
      <c r="F790" s="4">
        <v>128.19999999999999</v>
      </c>
      <c r="G790" s="4">
        <v>129.5</v>
      </c>
      <c r="H790" s="1" t="s">
        <v>188</v>
      </c>
      <c r="K790">
        <v>2013</v>
      </c>
      <c r="L790" t="s">
        <v>44</v>
      </c>
      <c r="M790" t="s">
        <v>63</v>
      </c>
      <c r="N790" t="s">
        <v>27</v>
      </c>
      <c r="O790" t="s">
        <v>192</v>
      </c>
      <c r="P790" s="1" t="s">
        <v>33</v>
      </c>
      <c r="Q790">
        <v>107.9</v>
      </c>
    </row>
    <row r="791" spans="1:17" x14ac:dyDescent="0.3">
      <c r="A791">
        <v>2015</v>
      </c>
      <c r="B791" t="s">
        <v>40</v>
      </c>
      <c r="C791" t="s">
        <v>83</v>
      </c>
      <c r="D791" s="1" t="s">
        <v>18</v>
      </c>
      <c r="E791" s="4">
        <v>125.5</v>
      </c>
      <c r="F791" s="4">
        <v>122.3</v>
      </c>
      <c r="G791" s="4">
        <v>117.9</v>
      </c>
      <c r="H791" s="1" t="s">
        <v>189</v>
      </c>
      <c r="K791">
        <v>2013</v>
      </c>
      <c r="L791" t="s">
        <v>44</v>
      </c>
      <c r="M791" t="s">
        <v>63</v>
      </c>
      <c r="N791" t="s">
        <v>14</v>
      </c>
      <c r="O791" t="s">
        <v>188</v>
      </c>
      <c r="P791" s="1" t="s">
        <v>30</v>
      </c>
      <c r="Q791">
        <v>116</v>
      </c>
    </row>
    <row r="792" spans="1:17" x14ac:dyDescent="0.3">
      <c r="A792">
        <v>2015</v>
      </c>
      <c r="B792" t="s">
        <v>40</v>
      </c>
      <c r="C792" t="s">
        <v>83</v>
      </c>
      <c r="D792" s="1" t="s">
        <v>8</v>
      </c>
      <c r="E792" s="4">
        <v>133.30000000000001</v>
      </c>
      <c r="F792" s="4">
        <v>133.1</v>
      </c>
      <c r="G792" s="4">
        <v>132.80000000000001</v>
      </c>
      <c r="H792" s="1" t="s">
        <v>188</v>
      </c>
      <c r="K792">
        <v>2013</v>
      </c>
      <c r="L792" t="s">
        <v>44</v>
      </c>
      <c r="M792" t="s">
        <v>63</v>
      </c>
      <c r="N792" t="s">
        <v>14</v>
      </c>
      <c r="O792" t="s">
        <v>188</v>
      </c>
      <c r="P792" s="1" t="s">
        <v>34</v>
      </c>
      <c r="Q792">
        <v>116.5</v>
      </c>
    </row>
    <row r="793" spans="1:17" x14ac:dyDescent="0.3">
      <c r="A793">
        <v>2015</v>
      </c>
      <c r="B793" t="s">
        <v>40</v>
      </c>
      <c r="C793" t="s">
        <v>83</v>
      </c>
      <c r="D793" s="1" t="s">
        <v>21</v>
      </c>
      <c r="E793" s="4">
        <v>123</v>
      </c>
      <c r="F793" s="4">
        <v>120.1</v>
      </c>
      <c r="G793" s="4">
        <v>115.3</v>
      </c>
      <c r="H793" s="1" t="s">
        <v>190</v>
      </c>
      <c r="K793">
        <v>2013</v>
      </c>
      <c r="L793" t="s">
        <v>44</v>
      </c>
      <c r="M793" t="s">
        <v>63</v>
      </c>
      <c r="N793" t="s">
        <v>14</v>
      </c>
      <c r="O793" t="s">
        <v>188</v>
      </c>
      <c r="P793" s="1" t="s">
        <v>33</v>
      </c>
      <c r="Q793">
        <v>117.1</v>
      </c>
    </row>
    <row r="794" spans="1:17" x14ac:dyDescent="0.3">
      <c r="A794">
        <v>2015</v>
      </c>
      <c r="B794" t="s">
        <v>40</v>
      </c>
      <c r="C794" t="s">
        <v>83</v>
      </c>
      <c r="D794" s="1" t="s">
        <v>29</v>
      </c>
      <c r="E794" s="4">
        <v>124.7</v>
      </c>
      <c r="F794" s="4">
        <v>123.6</v>
      </c>
      <c r="G794" s="4">
        <v>122.4</v>
      </c>
      <c r="H794" s="1" t="s">
        <v>206</v>
      </c>
      <c r="K794">
        <v>2013</v>
      </c>
      <c r="L794" t="s">
        <v>44</v>
      </c>
      <c r="M794" t="s">
        <v>63</v>
      </c>
      <c r="N794" t="s">
        <v>10</v>
      </c>
      <c r="O794" t="s">
        <v>188</v>
      </c>
      <c r="P794" s="1" t="s">
        <v>30</v>
      </c>
      <c r="Q794">
        <v>109.1</v>
      </c>
    </row>
    <row r="795" spans="1:17" x14ac:dyDescent="0.3">
      <c r="A795">
        <v>2015</v>
      </c>
      <c r="B795" t="s">
        <v>40</v>
      </c>
      <c r="C795" t="s">
        <v>83</v>
      </c>
      <c r="D795" s="1" t="s">
        <v>23</v>
      </c>
      <c r="E795" s="4">
        <v>120.8</v>
      </c>
      <c r="F795" s="4">
        <v>119</v>
      </c>
      <c r="G795" s="4">
        <v>116</v>
      </c>
      <c r="H795" s="1" t="s">
        <v>23</v>
      </c>
      <c r="K795">
        <v>2013</v>
      </c>
      <c r="L795" t="s">
        <v>44</v>
      </c>
      <c r="M795" t="s">
        <v>63</v>
      </c>
      <c r="N795" t="s">
        <v>10</v>
      </c>
      <c r="O795" t="s">
        <v>188</v>
      </c>
      <c r="P795" s="1" t="s">
        <v>34</v>
      </c>
      <c r="Q795">
        <v>108.2</v>
      </c>
    </row>
    <row r="796" spans="1:17" x14ac:dyDescent="0.3">
      <c r="A796">
        <v>2015</v>
      </c>
      <c r="B796" t="s">
        <v>40</v>
      </c>
      <c r="C796" t="s">
        <v>83</v>
      </c>
      <c r="D796" s="1" t="s">
        <v>22</v>
      </c>
      <c r="E796" s="4">
        <v>123</v>
      </c>
      <c r="F796" s="4">
        <v>121.3</v>
      </c>
      <c r="G796" s="4">
        <v>119.5</v>
      </c>
      <c r="H796" s="1" t="s">
        <v>20</v>
      </c>
      <c r="K796">
        <v>2013</v>
      </c>
      <c r="L796" t="s">
        <v>44</v>
      </c>
      <c r="M796" t="s">
        <v>63</v>
      </c>
      <c r="N796" t="s">
        <v>10</v>
      </c>
      <c r="O796" t="s">
        <v>188</v>
      </c>
      <c r="P796" s="1" t="s">
        <v>33</v>
      </c>
      <c r="Q796">
        <v>106.3</v>
      </c>
    </row>
    <row r="797" spans="1:17" x14ac:dyDescent="0.3">
      <c r="A797">
        <v>2015</v>
      </c>
      <c r="B797" t="s">
        <v>40</v>
      </c>
      <c r="C797" t="s">
        <v>83</v>
      </c>
      <c r="D797" s="1" t="s">
        <v>20</v>
      </c>
      <c r="E797" s="4">
        <v>0</v>
      </c>
      <c r="F797" s="4">
        <v>119.9</v>
      </c>
      <c r="G797" s="4">
        <v>119.9</v>
      </c>
      <c r="H797" s="1" t="s">
        <v>20</v>
      </c>
      <c r="K797">
        <v>2013</v>
      </c>
      <c r="L797" t="s">
        <v>44</v>
      </c>
      <c r="M797" t="s">
        <v>63</v>
      </c>
      <c r="N797" t="s">
        <v>25</v>
      </c>
      <c r="O797" t="s">
        <v>195</v>
      </c>
      <c r="P797" s="1" t="s">
        <v>30</v>
      </c>
      <c r="Q797">
        <v>108.7</v>
      </c>
    </row>
    <row r="798" spans="1:17" x14ac:dyDescent="0.3">
      <c r="A798">
        <v>2015</v>
      </c>
      <c r="B798" t="s">
        <v>40</v>
      </c>
      <c r="C798" t="s">
        <v>83</v>
      </c>
      <c r="D798" s="1" t="s">
        <v>4</v>
      </c>
      <c r="E798" s="4">
        <v>131.5</v>
      </c>
      <c r="F798" s="4">
        <v>132.5</v>
      </c>
      <c r="G798" s="4">
        <v>134.30000000000001</v>
      </c>
      <c r="H798" s="1" t="s">
        <v>188</v>
      </c>
      <c r="K798">
        <v>2013</v>
      </c>
      <c r="L798" t="s">
        <v>44</v>
      </c>
      <c r="M798" t="s">
        <v>63</v>
      </c>
      <c r="N798" t="s">
        <v>25</v>
      </c>
      <c r="O798" t="s">
        <v>195</v>
      </c>
      <c r="P798" s="1" t="s">
        <v>34</v>
      </c>
      <c r="Q798">
        <v>108.6</v>
      </c>
    </row>
    <row r="799" spans="1:17" x14ac:dyDescent="0.3">
      <c r="A799">
        <v>2015</v>
      </c>
      <c r="B799" t="s">
        <v>40</v>
      </c>
      <c r="C799" t="s">
        <v>83</v>
      </c>
      <c r="D799" s="1" t="s">
        <v>6</v>
      </c>
      <c r="E799" s="4">
        <v>128.69999999999999</v>
      </c>
      <c r="F799" s="4">
        <v>128.30000000000001</v>
      </c>
      <c r="G799" s="4">
        <v>127.7</v>
      </c>
      <c r="H799" s="1" t="s">
        <v>188</v>
      </c>
      <c r="K799">
        <v>2013</v>
      </c>
      <c r="L799" t="s">
        <v>44</v>
      </c>
      <c r="M799" t="s">
        <v>63</v>
      </c>
      <c r="N799" t="s">
        <v>25</v>
      </c>
      <c r="O799" t="s">
        <v>195</v>
      </c>
      <c r="P799" s="1" t="s">
        <v>33</v>
      </c>
      <c r="Q799">
        <v>108.5</v>
      </c>
    </row>
    <row r="800" spans="1:17" x14ac:dyDescent="0.3">
      <c r="A800">
        <v>2015</v>
      </c>
      <c r="B800" t="s">
        <v>40</v>
      </c>
      <c r="C800" t="s">
        <v>83</v>
      </c>
      <c r="D800" s="1" t="s">
        <v>28</v>
      </c>
      <c r="E800" s="4">
        <v>118.1</v>
      </c>
      <c r="F800" s="4">
        <v>117.2</v>
      </c>
      <c r="G800" s="4">
        <v>116.3</v>
      </c>
      <c r="H800" s="1" t="s">
        <v>192</v>
      </c>
      <c r="K800">
        <v>2013</v>
      </c>
      <c r="L800" t="s">
        <v>44</v>
      </c>
      <c r="M800" t="s">
        <v>63</v>
      </c>
      <c r="N800" t="s">
        <v>12</v>
      </c>
      <c r="O800" t="s">
        <v>188</v>
      </c>
      <c r="P800" s="1" t="s">
        <v>30</v>
      </c>
      <c r="Q800">
        <v>109</v>
      </c>
    </row>
    <row r="801" spans="1:17" x14ac:dyDescent="0.3">
      <c r="A801">
        <v>2015</v>
      </c>
      <c r="B801" t="s">
        <v>40</v>
      </c>
      <c r="C801" t="s">
        <v>83</v>
      </c>
      <c r="D801" s="1" t="s">
        <v>13</v>
      </c>
      <c r="E801" s="4">
        <v>121</v>
      </c>
      <c r="F801" s="4">
        <v>119.9</v>
      </c>
      <c r="G801" s="4">
        <v>118.3</v>
      </c>
      <c r="H801" s="1" t="s">
        <v>188</v>
      </c>
      <c r="K801">
        <v>2013</v>
      </c>
      <c r="L801" t="s">
        <v>44</v>
      </c>
      <c r="M801" t="s">
        <v>63</v>
      </c>
      <c r="N801" t="s">
        <v>12</v>
      </c>
      <c r="O801" t="s">
        <v>188</v>
      </c>
      <c r="P801" s="1" t="s">
        <v>34</v>
      </c>
      <c r="Q801">
        <v>109.4</v>
      </c>
    </row>
    <row r="802" spans="1:17" x14ac:dyDescent="0.3">
      <c r="A802">
        <v>2015</v>
      </c>
      <c r="B802" t="s">
        <v>40</v>
      </c>
      <c r="C802" t="s">
        <v>83</v>
      </c>
      <c r="D802" s="1" t="s">
        <v>7</v>
      </c>
      <c r="E802" s="4">
        <v>113.5</v>
      </c>
      <c r="F802" s="4">
        <v>110.9</v>
      </c>
      <c r="G802" s="4">
        <v>106.3</v>
      </c>
      <c r="H802" s="1" t="s">
        <v>188</v>
      </c>
      <c r="K802">
        <v>2013</v>
      </c>
      <c r="L802" t="s">
        <v>44</v>
      </c>
      <c r="M802" t="s">
        <v>63</v>
      </c>
      <c r="N802" t="s">
        <v>12</v>
      </c>
      <c r="O802" t="s">
        <v>188</v>
      </c>
      <c r="P802" s="1" t="s">
        <v>33</v>
      </c>
      <c r="Q802">
        <v>110.3</v>
      </c>
    </row>
    <row r="803" spans="1:17" x14ac:dyDescent="0.3">
      <c r="A803">
        <v>2015</v>
      </c>
      <c r="B803" t="s">
        <v>40</v>
      </c>
      <c r="C803" t="s">
        <v>83</v>
      </c>
      <c r="D803" s="1" t="s">
        <v>16</v>
      </c>
      <c r="E803" s="4">
        <v>129.4</v>
      </c>
      <c r="F803" s="4">
        <v>130.4</v>
      </c>
      <c r="G803" s="4">
        <v>133.1</v>
      </c>
      <c r="H803" s="1" t="s">
        <v>192</v>
      </c>
      <c r="K803">
        <v>2013</v>
      </c>
      <c r="L803" t="s">
        <v>44</v>
      </c>
      <c r="M803" t="s">
        <v>63</v>
      </c>
      <c r="N803" t="s">
        <v>11</v>
      </c>
      <c r="O803" t="s">
        <v>188</v>
      </c>
      <c r="P803" s="1" t="s">
        <v>30</v>
      </c>
      <c r="Q803">
        <v>103.6</v>
      </c>
    </row>
    <row r="804" spans="1:17" x14ac:dyDescent="0.3">
      <c r="A804">
        <v>2015</v>
      </c>
      <c r="B804" t="s">
        <v>40</v>
      </c>
      <c r="C804" t="s">
        <v>83</v>
      </c>
      <c r="D804" s="1" t="s">
        <v>27</v>
      </c>
      <c r="E804" s="4">
        <v>112.7</v>
      </c>
      <c r="F804" s="4">
        <v>112.3</v>
      </c>
      <c r="G804" s="4">
        <v>111.7</v>
      </c>
      <c r="H804" s="1" t="s">
        <v>192</v>
      </c>
      <c r="K804">
        <v>2013</v>
      </c>
      <c r="L804" t="s">
        <v>44</v>
      </c>
      <c r="M804" t="s">
        <v>63</v>
      </c>
      <c r="N804" t="s">
        <v>11</v>
      </c>
      <c r="O804" t="s">
        <v>188</v>
      </c>
      <c r="P804" s="1" t="s">
        <v>34</v>
      </c>
      <c r="Q804">
        <v>102.2</v>
      </c>
    </row>
    <row r="805" spans="1:17" x14ac:dyDescent="0.3">
      <c r="A805">
        <v>2015</v>
      </c>
      <c r="B805" t="s">
        <v>40</v>
      </c>
      <c r="C805" t="s">
        <v>83</v>
      </c>
      <c r="D805" s="1" t="s">
        <v>14</v>
      </c>
      <c r="E805" s="4">
        <v>131.69999999999999</v>
      </c>
      <c r="F805" s="4">
        <v>131.4</v>
      </c>
      <c r="G805" s="4">
        <v>131.1</v>
      </c>
      <c r="H805" s="1" t="s">
        <v>188</v>
      </c>
      <c r="K805">
        <v>2013</v>
      </c>
      <c r="L805" t="s">
        <v>44</v>
      </c>
      <c r="M805" t="s">
        <v>63</v>
      </c>
      <c r="N805" t="s">
        <v>11</v>
      </c>
      <c r="O805" t="s">
        <v>188</v>
      </c>
      <c r="P805" s="1" t="s">
        <v>33</v>
      </c>
      <c r="Q805">
        <v>99.5</v>
      </c>
    </row>
    <row r="806" spans="1:17" x14ac:dyDescent="0.3">
      <c r="A806">
        <v>2015</v>
      </c>
      <c r="B806" t="s">
        <v>40</v>
      </c>
      <c r="C806" t="s">
        <v>83</v>
      </c>
      <c r="D806" s="1" t="s">
        <v>10</v>
      </c>
      <c r="E806" s="4">
        <v>133.80000000000001</v>
      </c>
      <c r="F806" s="4">
        <v>139.1</v>
      </c>
      <c r="G806" s="4">
        <v>149.5</v>
      </c>
      <c r="H806" s="1" t="s">
        <v>188</v>
      </c>
      <c r="K806">
        <v>2013</v>
      </c>
      <c r="L806" t="s">
        <v>44</v>
      </c>
      <c r="M806" t="s">
        <v>63</v>
      </c>
      <c r="N806" t="s">
        <v>24</v>
      </c>
      <c r="O806" t="s">
        <v>191</v>
      </c>
      <c r="P806" s="1" t="s">
        <v>30</v>
      </c>
      <c r="Q806">
        <v>109.6</v>
      </c>
    </row>
    <row r="807" spans="1:17" x14ac:dyDescent="0.3">
      <c r="A807">
        <v>2015</v>
      </c>
      <c r="B807" t="s">
        <v>40</v>
      </c>
      <c r="C807" t="s">
        <v>83</v>
      </c>
      <c r="D807" s="1" t="s">
        <v>25</v>
      </c>
      <c r="E807" s="4">
        <v>118</v>
      </c>
      <c r="F807" s="4">
        <v>117.2</v>
      </c>
      <c r="G807" s="4">
        <v>116.6</v>
      </c>
      <c r="H807" s="1" t="s">
        <v>195</v>
      </c>
      <c r="K807">
        <v>2013</v>
      </c>
      <c r="L807" t="s">
        <v>44</v>
      </c>
      <c r="M807" t="s">
        <v>63</v>
      </c>
      <c r="N807" t="s">
        <v>24</v>
      </c>
      <c r="O807" t="s">
        <v>191</v>
      </c>
      <c r="P807" s="1" t="s">
        <v>34</v>
      </c>
      <c r="Q807">
        <v>109.5</v>
      </c>
    </row>
    <row r="808" spans="1:17" x14ac:dyDescent="0.3">
      <c r="A808">
        <v>2015</v>
      </c>
      <c r="B808" t="s">
        <v>40</v>
      </c>
      <c r="C808" t="s">
        <v>83</v>
      </c>
      <c r="D808" s="1" t="s">
        <v>12</v>
      </c>
      <c r="E808" s="4">
        <v>123.4</v>
      </c>
      <c r="F808" s="4">
        <v>126.1</v>
      </c>
      <c r="G808" s="4">
        <v>131.5</v>
      </c>
      <c r="H808" s="1" t="s">
        <v>188</v>
      </c>
      <c r="K808">
        <v>2013</v>
      </c>
      <c r="L808" t="s">
        <v>44</v>
      </c>
      <c r="M808" t="s">
        <v>63</v>
      </c>
      <c r="N808" t="s">
        <v>24</v>
      </c>
      <c r="O808" t="s">
        <v>191</v>
      </c>
      <c r="P808" s="1" t="s">
        <v>33</v>
      </c>
      <c r="Q808">
        <v>109.5</v>
      </c>
    </row>
    <row r="809" spans="1:17" x14ac:dyDescent="0.3">
      <c r="A809">
        <v>2015</v>
      </c>
      <c r="B809" t="s">
        <v>40</v>
      </c>
      <c r="C809" t="s">
        <v>83</v>
      </c>
      <c r="D809" s="1" t="s">
        <v>11</v>
      </c>
      <c r="E809" s="4">
        <v>94.1</v>
      </c>
      <c r="F809" s="4">
        <v>91.3</v>
      </c>
      <c r="G809" s="4">
        <v>85.7</v>
      </c>
      <c r="H809" s="1" t="s">
        <v>188</v>
      </c>
      <c r="K809">
        <v>2013</v>
      </c>
      <c r="L809" t="s">
        <v>44</v>
      </c>
      <c r="M809" t="s">
        <v>63</v>
      </c>
      <c r="N809" t="s">
        <v>9</v>
      </c>
      <c r="O809" t="s">
        <v>188</v>
      </c>
      <c r="P809" s="1" t="s">
        <v>30</v>
      </c>
      <c r="Q809">
        <v>178.1</v>
      </c>
    </row>
    <row r="810" spans="1:17" x14ac:dyDescent="0.3">
      <c r="A810">
        <v>2015</v>
      </c>
      <c r="B810" t="s">
        <v>40</v>
      </c>
      <c r="C810" t="s">
        <v>83</v>
      </c>
      <c r="D810" s="1" t="s">
        <v>24</v>
      </c>
      <c r="E810" s="4">
        <v>114.1</v>
      </c>
      <c r="F810" s="4">
        <v>112.7</v>
      </c>
      <c r="G810" s="4">
        <v>111.5</v>
      </c>
      <c r="H810" s="1" t="s">
        <v>191</v>
      </c>
      <c r="K810">
        <v>2013</v>
      </c>
      <c r="L810" t="s">
        <v>44</v>
      </c>
      <c r="M810" t="s">
        <v>63</v>
      </c>
      <c r="N810" t="s">
        <v>9</v>
      </c>
      <c r="O810" t="s">
        <v>188</v>
      </c>
      <c r="P810" s="1" t="s">
        <v>34</v>
      </c>
      <c r="Q810">
        <v>183.1</v>
      </c>
    </row>
    <row r="811" spans="1:17" x14ac:dyDescent="0.3">
      <c r="A811">
        <v>2015</v>
      </c>
      <c r="B811" t="s">
        <v>40</v>
      </c>
      <c r="C811" t="s">
        <v>83</v>
      </c>
      <c r="D811" s="1" t="s">
        <v>9</v>
      </c>
      <c r="E811" s="4">
        <v>140.80000000000001</v>
      </c>
      <c r="F811" s="4">
        <v>145.1</v>
      </c>
      <c r="G811" s="4">
        <v>153.5</v>
      </c>
      <c r="H811" s="1" t="s">
        <v>188</v>
      </c>
      <c r="K811">
        <v>2013</v>
      </c>
      <c r="L811" t="s">
        <v>44</v>
      </c>
      <c r="M811" t="s">
        <v>63</v>
      </c>
      <c r="N811" t="s">
        <v>9</v>
      </c>
      <c r="O811" t="s">
        <v>188</v>
      </c>
      <c r="P811" s="1" t="s">
        <v>33</v>
      </c>
      <c r="Q811">
        <v>192.8</v>
      </c>
    </row>
    <row r="812" spans="1:17" x14ac:dyDescent="0.3">
      <c r="A812">
        <v>2015</v>
      </c>
      <c r="B812" t="s">
        <v>39</v>
      </c>
      <c r="C812" t="s">
        <v>84</v>
      </c>
      <c r="D812" s="1" t="s">
        <v>3</v>
      </c>
      <c r="E812" s="4">
        <v>124.1</v>
      </c>
      <c r="F812" s="4">
        <v>123.9</v>
      </c>
      <c r="G812" s="4">
        <v>123.6</v>
      </c>
      <c r="H812" s="1" t="s">
        <v>188</v>
      </c>
      <c r="K812">
        <v>2013</v>
      </c>
      <c r="L812" t="s">
        <v>43</v>
      </c>
      <c r="M812" t="s">
        <v>64</v>
      </c>
      <c r="N812" t="s">
        <v>3</v>
      </c>
      <c r="O812" t="s">
        <v>188</v>
      </c>
      <c r="P812" s="1" t="s">
        <v>30</v>
      </c>
      <c r="Q812">
        <v>116.3</v>
      </c>
    </row>
    <row r="813" spans="1:17" x14ac:dyDescent="0.3">
      <c r="A813">
        <v>2015</v>
      </c>
      <c r="B813" t="s">
        <v>39</v>
      </c>
      <c r="C813" t="s">
        <v>84</v>
      </c>
      <c r="D813" s="1" t="s">
        <v>17</v>
      </c>
      <c r="E813" s="4">
        <v>128.4</v>
      </c>
      <c r="F813" s="4">
        <v>126.4</v>
      </c>
      <c r="G813" s="4">
        <v>123.2</v>
      </c>
      <c r="H813" s="1" t="s">
        <v>189</v>
      </c>
      <c r="K813">
        <v>2013</v>
      </c>
      <c r="L813" t="s">
        <v>43</v>
      </c>
      <c r="M813" t="s">
        <v>64</v>
      </c>
      <c r="N813" t="s">
        <v>3</v>
      </c>
      <c r="O813" t="s">
        <v>188</v>
      </c>
      <c r="P813" s="1" t="s">
        <v>34</v>
      </c>
      <c r="Q813">
        <v>117.1</v>
      </c>
    </row>
    <row r="814" spans="1:17" x14ac:dyDescent="0.3">
      <c r="A814">
        <v>2015</v>
      </c>
      <c r="B814" t="s">
        <v>39</v>
      </c>
      <c r="C814" t="s">
        <v>84</v>
      </c>
      <c r="D814" s="1" t="s">
        <v>19</v>
      </c>
      <c r="E814" s="4">
        <v>128</v>
      </c>
      <c r="F814" s="4">
        <v>125.7</v>
      </c>
      <c r="G814" s="4">
        <v>122.3</v>
      </c>
      <c r="H814" s="1" t="s">
        <v>189</v>
      </c>
      <c r="K814">
        <v>2013</v>
      </c>
      <c r="L814" t="s">
        <v>43</v>
      </c>
      <c r="M814" t="s">
        <v>64</v>
      </c>
      <c r="N814" t="s">
        <v>3</v>
      </c>
      <c r="O814" t="s">
        <v>188</v>
      </c>
      <c r="P814" s="1" t="s">
        <v>33</v>
      </c>
      <c r="Q814">
        <v>118.9</v>
      </c>
    </row>
    <row r="815" spans="1:17" x14ac:dyDescent="0.3">
      <c r="A815">
        <v>2015</v>
      </c>
      <c r="B815" t="s">
        <v>39</v>
      </c>
      <c r="C815" t="s">
        <v>84</v>
      </c>
      <c r="D815" s="1" t="s">
        <v>26</v>
      </c>
      <c r="E815" s="4">
        <v>122</v>
      </c>
      <c r="F815" s="4">
        <v>123.1</v>
      </c>
      <c r="G815" s="4">
        <v>123.8</v>
      </c>
      <c r="H815" s="1" t="s">
        <v>26</v>
      </c>
      <c r="K815">
        <v>2013</v>
      </c>
      <c r="L815" t="s">
        <v>43</v>
      </c>
      <c r="M815" t="s">
        <v>64</v>
      </c>
      <c r="N815" t="s">
        <v>17</v>
      </c>
      <c r="O815" t="s">
        <v>189</v>
      </c>
      <c r="P815" s="1" t="s">
        <v>30</v>
      </c>
      <c r="Q815">
        <v>113.6</v>
      </c>
    </row>
    <row r="816" spans="1:17" x14ac:dyDescent="0.3">
      <c r="A816">
        <v>2015</v>
      </c>
      <c r="B816" t="s">
        <v>39</v>
      </c>
      <c r="C816" t="s">
        <v>84</v>
      </c>
      <c r="D816" s="1" t="s">
        <v>5</v>
      </c>
      <c r="E816" s="4">
        <v>122.1</v>
      </c>
      <c r="F816" s="4">
        <v>121.6</v>
      </c>
      <c r="G816" s="4">
        <v>120.9</v>
      </c>
      <c r="H816" s="1" t="s">
        <v>188</v>
      </c>
      <c r="K816">
        <v>2013</v>
      </c>
      <c r="L816" t="s">
        <v>43</v>
      </c>
      <c r="M816" t="s">
        <v>64</v>
      </c>
      <c r="N816" t="s">
        <v>17</v>
      </c>
      <c r="O816" t="s">
        <v>189</v>
      </c>
      <c r="P816" s="1" t="s">
        <v>34</v>
      </c>
      <c r="Q816">
        <v>113.2</v>
      </c>
    </row>
    <row r="817" spans="1:17" x14ac:dyDescent="0.3">
      <c r="A817">
        <v>2015</v>
      </c>
      <c r="B817" t="s">
        <v>39</v>
      </c>
      <c r="C817" t="s">
        <v>84</v>
      </c>
      <c r="D817" s="1" t="s">
        <v>15</v>
      </c>
      <c r="E817" s="4">
        <v>126.6</v>
      </c>
      <c r="F817" s="4">
        <v>127.3</v>
      </c>
      <c r="G817" s="4">
        <v>128.5</v>
      </c>
      <c r="H817" s="1" t="s">
        <v>188</v>
      </c>
      <c r="K817">
        <v>2013</v>
      </c>
      <c r="L817" t="s">
        <v>43</v>
      </c>
      <c r="M817" t="s">
        <v>64</v>
      </c>
      <c r="N817" t="s">
        <v>17</v>
      </c>
      <c r="O817" t="s">
        <v>189</v>
      </c>
      <c r="P817" s="1" t="s">
        <v>33</v>
      </c>
      <c r="Q817">
        <v>112.5</v>
      </c>
    </row>
    <row r="818" spans="1:17" x14ac:dyDescent="0.3">
      <c r="A818">
        <v>2015</v>
      </c>
      <c r="B818" t="s">
        <v>39</v>
      </c>
      <c r="C818" t="s">
        <v>84</v>
      </c>
      <c r="D818" s="1" t="s">
        <v>18</v>
      </c>
      <c r="E818" s="4">
        <v>125.1</v>
      </c>
      <c r="F818" s="4">
        <v>122</v>
      </c>
      <c r="G818" s="4">
        <v>117.6</v>
      </c>
      <c r="H818" s="1" t="s">
        <v>189</v>
      </c>
      <c r="K818">
        <v>2013</v>
      </c>
      <c r="L818" t="s">
        <v>43</v>
      </c>
      <c r="M818" t="s">
        <v>64</v>
      </c>
      <c r="N818" t="s">
        <v>19</v>
      </c>
      <c r="O818" t="s">
        <v>189</v>
      </c>
      <c r="P818" s="1" t="s">
        <v>30</v>
      </c>
      <c r="Q818">
        <v>113.4</v>
      </c>
    </row>
    <row r="819" spans="1:17" x14ac:dyDescent="0.3">
      <c r="A819">
        <v>2015</v>
      </c>
      <c r="B819" t="s">
        <v>39</v>
      </c>
      <c r="C819" t="s">
        <v>84</v>
      </c>
      <c r="D819" s="1" t="s">
        <v>8</v>
      </c>
      <c r="E819" s="4">
        <v>133.19999999999999</v>
      </c>
      <c r="F819" s="4">
        <v>132.80000000000001</v>
      </c>
      <c r="G819" s="4">
        <v>132.30000000000001</v>
      </c>
      <c r="H819" s="1" t="s">
        <v>188</v>
      </c>
      <c r="K819">
        <v>2013</v>
      </c>
      <c r="L819" t="s">
        <v>43</v>
      </c>
      <c r="M819" t="s">
        <v>64</v>
      </c>
      <c r="N819" t="s">
        <v>19</v>
      </c>
      <c r="O819" t="s">
        <v>189</v>
      </c>
      <c r="P819" s="1" t="s">
        <v>34</v>
      </c>
      <c r="Q819">
        <v>112.8</v>
      </c>
    </row>
    <row r="820" spans="1:17" x14ac:dyDescent="0.3">
      <c r="A820">
        <v>2015</v>
      </c>
      <c r="B820" t="s">
        <v>39</v>
      </c>
      <c r="C820" t="s">
        <v>84</v>
      </c>
      <c r="D820" s="1" t="s">
        <v>21</v>
      </c>
      <c r="E820" s="4">
        <v>122.6</v>
      </c>
      <c r="F820" s="4">
        <v>119.8</v>
      </c>
      <c r="G820" s="4">
        <v>115.1</v>
      </c>
      <c r="H820" s="1" t="s">
        <v>190</v>
      </c>
      <c r="K820">
        <v>2013</v>
      </c>
      <c r="L820" t="s">
        <v>43</v>
      </c>
      <c r="M820" t="s">
        <v>64</v>
      </c>
      <c r="N820" t="s">
        <v>19</v>
      </c>
      <c r="O820" t="s">
        <v>189</v>
      </c>
      <c r="P820" s="1" t="s">
        <v>33</v>
      </c>
      <c r="Q820">
        <v>112</v>
      </c>
    </row>
    <row r="821" spans="1:17" x14ac:dyDescent="0.3">
      <c r="A821">
        <v>2015</v>
      </c>
      <c r="B821" t="s">
        <v>39</v>
      </c>
      <c r="C821" t="s">
        <v>84</v>
      </c>
      <c r="D821" s="1" t="s">
        <v>29</v>
      </c>
      <c r="E821" s="4">
        <v>124.1</v>
      </c>
      <c r="F821" s="4">
        <v>123</v>
      </c>
      <c r="G821" s="4">
        <v>121.7</v>
      </c>
      <c r="H821" s="1" t="s">
        <v>206</v>
      </c>
      <c r="K821">
        <v>2013</v>
      </c>
      <c r="L821" t="s">
        <v>43</v>
      </c>
      <c r="M821" t="s">
        <v>64</v>
      </c>
      <c r="N821" t="s">
        <v>26</v>
      </c>
      <c r="O821" t="s">
        <v>26</v>
      </c>
      <c r="P821" s="1" t="s">
        <v>30</v>
      </c>
      <c r="Q821">
        <v>110.2</v>
      </c>
    </row>
    <row r="822" spans="1:17" x14ac:dyDescent="0.3">
      <c r="A822">
        <v>2015</v>
      </c>
      <c r="B822" t="s">
        <v>39</v>
      </c>
      <c r="C822" t="s">
        <v>84</v>
      </c>
      <c r="D822" s="1" t="s">
        <v>23</v>
      </c>
      <c r="E822" s="4">
        <v>120.4</v>
      </c>
      <c r="F822" s="4">
        <v>118.5</v>
      </c>
      <c r="G822" s="4">
        <v>115.4</v>
      </c>
      <c r="H822" s="1" t="s">
        <v>23</v>
      </c>
      <c r="K822">
        <v>2013</v>
      </c>
      <c r="L822" t="s">
        <v>43</v>
      </c>
      <c r="M822" t="s">
        <v>64</v>
      </c>
      <c r="N822" t="s">
        <v>26</v>
      </c>
      <c r="O822" t="s">
        <v>26</v>
      </c>
      <c r="P822" s="1" t="s">
        <v>34</v>
      </c>
      <c r="Q822">
        <v>110.8</v>
      </c>
    </row>
    <row r="823" spans="1:17" x14ac:dyDescent="0.3">
      <c r="A823">
        <v>2015</v>
      </c>
      <c r="B823" t="s">
        <v>39</v>
      </c>
      <c r="C823" t="s">
        <v>84</v>
      </c>
      <c r="D823" s="1" t="s">
        <v>22</v>
      </c>
      <c r="E823" s="4">
        <v>122.8</v>
      </c>
      <c r="F823" s="4">
        <v>121.1</v>
      </c>
      <c r="G823" s="4">
        <v>119.2</v>
      </c>
      <c r="H823" s="1" t="s">
        <v>20</v>
      </c>
      <c r="K823">
        <v>2013</v>
      </c>
      <c r="L823" t="s">
        <v>43</v>
      </c>
      <c r="M823" t="s">
        <v>64</v>
      </c>
      <c r="N823" t="s">
        <v>26</v>
      </c>
      <c r="O823" t="s">
        <v>26</v>
      </c>
      <c r="P823" s="1" t="s">
        <v>33</v>
      </c>
      <c r="Q823">
        <v>111.3</v>
      </c>
    </row>
    <row r="824" spans="1:17" x14ac:dyDescent="0.3">
      <c r="A824">
        <v>2015</v>
      </c>
      <c r="B824" t="s">
        <v>39</v>
      </c>
      <c r="C824" t="s">
        <v>84</v>
      </c>
      <c r="D824" s="1" t="s">
        <v>20</v>
      </c>
      <c r="E824" s="4">
        <v>0</v>
      </c>
      <c r="F824" s="4">
        <v>119</v>
      </c>
      <c r="G824" s="4">
        <v>119</v>
      </c>
      <c r="H824" s="1" t="s">
        <v>20</v>
      </c>
      <c r="K824">
        <v>2013</v>
      </c>
      <c r="L824" t="s">
        <v>43</v>
      </c>
      <c r="M824" t="s">
        <v>64</v>
      </c>
      <c r="N824" t="s">
        <v>5</v>
      </c>
      <c r="O824" t="s">
        <v>188</v>
      </c>
      <c r="P824" s="1" t="s">
        <v>30</v>
      </c>
      <c r="Q824">
        <v>112.6</v>
      </c>
    </row>
    <row r="825" spans="1:17" x14ac:dyDescent="0.3">
      <c r="A825">
        <v>2015</v>
      </c>
      <c r="B825" t="s">
        <v>39</v>
      </c>
      <c r="C825" t="s">
        <v>84</v>
      </c>
      <c r="D825" s="1" t="s">
        <v>4</v>
      </c>
      <c r="E825" s="4">
        <v>130.4</v>
      </c>
      <c r="F825" s="4">
        <v>131.80000000000001</v>
      </c>
      <c r="G825" s="4">
        <v>134.4</v>
      </c>
      <c r="H825" s="1" t="s">
        <v>188</v>
      </c>
      <c r="K825">
        <v>2013</v>
      </c>
      <c r="L825" t="s">
        <v>43</v>
      </c>
      <c r="M825" t="s">
        <v>64</v>
      </c>
      <c r="N825" t="s">
        <v>5</v>
      </c>
      <c r="O825" t="s">
        <v>188</v>
      </c>
      <c r="P825" s="1" t="s">
        <v>34</v>
      </c>
      <c r="Q825">
        <v>113.3</v>
      </c>
    </row>
    <row r="826" spans="1:17" x14ac:dyDescent="0.3">
      <c r="A826">
        <v>2015</v>
      </c>
      <c r="B826" t="s">
        <v>39</v>
      </c>
      <c r="C826" t="s">
        <v>84</v>
      </c>
      <c r="D826" s="1" t="s">
        <v>6</v>
      </c>
      <c r="E826" s="4">
        <v>128.69999999999999</v>
      </c>
      <c r="F826" s="4">
        <v>128.19999999999999</v>
      </c>
      <c r="G826" s="4">
        <v>127.3</v>
      </c>
      <c r="H826" s="1" t="s">
        <v>188</v>
      </c>
      <c r="K826">
        <v>2013</v>
      </c>
      <c r="L826" t="s">
        <v>43</v>
      </c>
      <c r="M826" t="s">
        <v>64</v>
      </c>
      <c r="N826" t="s">
        <v>5</v>
      </c>
      <c r="O826" t="s">
        <v>188</v>
      </c>
      <c r="P826" s="1" t="s">
        <v>33</v>
      </c>
      <c r="Q826">
        <v>114.5</v>
      </c>
    </row>
    <row r="827" spans="1:17" x14ac:dyDescent="0.3">
      <c r="A827">
        <v>2015</v>
      </c>
      <c r="B827" t="s">
        <v>39</v>
      </c>
      <c r="C827" t="s">
        <v>84</v>
      </c>
      <c r="D827" s="1" t="s">
        <v>28</v>
      </c>
      <c r="E827" s="4">
        <v>117.9</v>
      </c>
      <c r="F827" s="4">
        <v>117</v>
      </c>
      <c r="G827" s="4">
        <v>116</v>
      </c>
      <c r="H827" s="1" t="s">
        <v>192</v>
      </c>
      <c r="K827">
        <v>2013</v>
      </c>
      <c r="L827" t="s">
        <v>43</v>
      </c>
      <c r="M827" t="s">
        <v>64</v>
      </c>
      <c r="N827" t="s">
        <v>15</v>
      </c>
      <c r="O827" t="s">
        <v>188</v>
      </c>
      <c r="P827" s="1" t="s">
        <v>30</v>
      </c>
      <c r="Q827">
        <v>119.8</v>
      </c>
    </row>
    <row r="828" spans="1:17" x14ac:dyDescent="0.3">
      <c r="A828">
        <v>2015</v>
      </c>
      <c r="B828" t="s">
        <v>39</v>
      </c>
      <c r="C828" t="s">
        <v>84</v>
      </c>
      <c r="D828" s="1" t="s">
        <v>13</v>
      </c>
      <c r="E828" s="4">
        <v>121.1</v>
      </c>
      <c r="F828" s="4">
        <v>119.8</v>
      </c>
      <c r="G828" s="4">
        <v>118</v>
      </c>
      <c r="H828" s="1" t="s">
        <v>188</v>
      </c>
      <c r="K828">
        <v>2013</v>
      </c>
      <c r="L828" t="s">
        <v>43</v>
      </c>
      <c r="M828" t="s">
        <v>64</v>
      </c>
      <c r="N828" t="s">
        <v>15</v>
      </c>
      <c r="O828" t="s">
        <v>188</v>
      </c>
      <c r="P828" s="1" t="s">
        <v>34</v>
      </c>
      <c r="Q828">
        <v>120.2</v>
      </c>
    </row>
    <row r="829" spans="1:17" x14ac:dyDescent="0.3">
      <c r="A829">
        <v>2015</v>
      </c>
      <c r="B829" t="s">
        <v>39</v>
      </c>
      <c r="C829" t="s">
        <v>84</v>
      </c>
      <c r="D829" s="1" t="s">
        <v>7</v>
      </c>
      <c r="E829" s="4">
        <v>114.1</v>
      </c>
      <c r="F829" s="4">
        <v>111.1</v>
      </c>
      <c r="G829" s="4">
        <v>106</v>
      </c>
      <c r="H829" s="1" t="s">
        <v>188</v>
      </c>
      <c r="K829">
        <v>2013</v>
      </c>
      <c r="L829" t="s">
        <v>43</v>
      </c>
      <c r="M829" t="s">
        <v>64</v>
      </c>
      <c r="N829" t="s">
        <v>15</v>
      </c>
      <c r="O829" t="s">
        <v>188</v>
      </c>
      <c r="P829" s="1" t="s">
        <v>33</v>
      </c>
      <c r="Q829">
        <v>120.8</v>
      </c>
    </row>
    <row r="830" spans="1:17" x14ac:dyDescent="0.3">
      <c r="A830">
        <v>2015</v>
      </c>
      <c r="B830" t="s">
        <v>39</v>
      </c>
      <c r="C830" t="s">
        <v>84</v>
      </c>
      <c r="D830" s="1" t="s">
        <v>16</v>
      </c>
      <c r="E830" s="4">
        <v>128.19999999999999</v>
      </c>
      <c r="F830" s="4">
        <v>129.19999999999999</v>
      </c>
      <c r="G830" s="4">
        <v>132.1</v>
      </c>
      <c r="H830" s="1" t="s">
        <v>192</v>
      </c>
      <c r="K830">
        <v>2013</v>
      </c>
      <c r="L830" t="s">
        <v>43</v>
      </c>
      <c r="M830" t="s">
        <v>64</v>
      </c>
      <c r="N830" t="s">
        <v>18</v>
      </c>
      <c r="O830" t="s">
        <v>189</v>
      </c>
      <c r="P830" s="1" t="s">
        <v>30</v>
      </c>
      <c r="Q830">
        <v>112.3</v>
      </c>
    </row>
    <row r="831" spans="1:17" x14ac:dyDescent="0.3">
      <c r="A831">
        <v>2015</v>
      </c>
      <c r="B831" t="s">
        <v>39</v>
      </c>
      <c r="C831" t="s">
        <v>84</v>
      </c>
      <c r="D831" s="1" t="s">
        <v>27</v>
      </c>
      <c r="E831" s="4">
        <v>113</v>
      </c>
      <c r="F831" s="4">
        <v>112.8</v>
      </c>
      <c r="G831" s="4">
        <v>112.5</v>
      </c>
      <c r="H831" s="1" t="s">
        <v>192</v>
      </c>
      <c r="K831">
        <v>2013</v>
      </c>
      <c r="L831" t="s">
        <v>43</v>
      </c>
      <c r="M831" t="s">
        <v>64</v>
      </c>
      <c r="N831" t="s">
        <v>18</v>
      </c>
      <c r="O831" t="s">
        <v>189</v>
      </c>
      <c r="P831" s="1" t="s">
        <v>34</v>
      </c>
      <c r="Q831">
        <v>111.2</v>
      </c>
    </row>
    <row r="832" spans="1:17" x14ac:dyDescent="0.3">
      <c r="A832">
        <v>2015</v>
      </c>
      <c r="B832" t="s">
        <v>39</v>
      </c>
      <c r="C832" t="s">
        <v>84</v>
      </c>
      <c r="D832" s="1" t="s">
        <v>14</v>
      </c>
      <c r="E832" s="4">
        <v>131.19999999999999</v>
      </c>
      <c r="F832" s="4">
        <v>130.9</v>
      </c>
      <c r="G832" s="4">
        <v>130.5</v>
      </c>
      <c r="H832" s="1" t="s">
        <v>188</v>
      </c>
      <c r="K832">
        <v>2013</v>
      </c>
      <c r="L832" t="s">
        <v>43</v>
      </c>
      <c r="M832" t="s">
        <v>64</v>
      </c>
      <c r="N832" t="s">
        <v>18</v>
      </c>
      <c r="O832" t="s">
        <v>189</v>
      </c>
      <c r="P832" s="1" t="s">
        <v>33</v>
      </c>
      <c r="Q832">
        <v>109.7</v>
      </c>
    </row>
    <row r="833" spans="1:17" x14ac:dyDescent="0.3">
      <c r="A833">
        <v>2015</v>
      </c>
      <c r="B833" t="s">
        <v>39</v>
      </c>
      <c r="C833" t="s">
        <v>84</v>
      </c>
      <c r="D833" s="1" t="s">
        <v>10</v>
      </c>
      <c r="E833" s="4">
        <v>131.9</v>
      </c>
      <c r="F833" s="4">
        <v>137.4</v>
      </c>
      <c r="G833" s="4">
        <v>148.1</v>
      </c>
      <c r="H833" s="1" t="s">
        <v>188</v>
      </c>
      <c r="K833">
        <v>2013</v>
      </c>
      <c r="L833" t="s">
        <v>43</v>
      </c>
      <c r="M833" t="s">
        <v>64</v>
      </c>
      <c r="N833" t="s">
        <v>8</v>
      </c>
      <c r="O833" t="s">
        <v>188</v>
      </c>
      <c r="P833" s="1" t="s">
        <v>30</v>
      </c>
      <c r="Q833">
        <v>113.2</v>
      </c>
    </row>
    <row r="834" spans="1:17" x14ac:dyDescent="0.3">
      <c r="A834">
        <v>2015</v>
      </c>
      <c r="B834" t="s">
        <v>39</v>
      </c>
      <c r="C834" t="s">
        <v>84</v>
      </c>
      <c r="D834" s="1" t="s">
        <v>25</v>
      </c>
      <c r="E834" s="4">
        <v>117.9</v>
      </c>
      <c r="F834" s="4">
        <v>116.9</v>
      </c>
      <c r="G834" s="4">
        <v>116.2</v>
      </c>
      <c r="H834" s="1" t="s">
        <v>195</v>
      </c>
      <c r="K834">
        <v>2013</v>
      </c>
      <c r="L834" t="s">
        <v>43</v>
      </c>
      <c r="M834" t="s">
        <v>64</v>
      </c>
      <c r="N834" t="s">
        <v>8</v>
      </c>
      <c r="O834" t="s">
        <v>188</v>
      </c>
      <c r="P834" s="1" t="s">
        <v>34</v>
      </c>
      <c r="Q834">
        <v>109.9</v>
      </c>
    </row>
    <row r="835" spans="1:17" x14ac:dyDescent="0.3">
      <c r="A835">
        <v>2015</v>
      </c>
      <c r="B835" t="s">
        <v>39</v>
      </c>
      <c r="C835" t="s">
        <v>84</v>
      </c>
      <c r="D835" s="1" t="s">
        <v>12</v>
      </c>
      <c r="E835" s="4">
        <v>123</v>
      </c>
      <c r="F835" s="4">
        <v>125.5</v>
      </c>
      <c r="G835" s="4">
        <v>130.5</v>
      </c>
      <c r="H835" s="1" t="s">
        <v>188</v>
      </c>
      <c r="K835">
        <v>2013</v>
      </c>
      <c r="L835" t="s">
        <v>43</v>
      </c>
      <c r="M835" t="s">
        <v>64</v>
      </c>
      <c r="N835" t="s">
        <v>8</v>
      </c>
      <c r="O835" t="s">
        <v>188</v>
      </c>
      <c r="P835" s="1" t="s">
        <v>33</v>
      </c>
      <c r="Q835">
        <v>106.2</v>
      </c>
    </row>
    <row r="836" spans="1:17" x14ac:dyDescent="0.3">
      <c r="A836">
        <v>2015</v>
      </c>
      <c r="B836" t="s">
        <v>39</v>
      </c>
      <c r="C836" t="s">
        <v>84</v>
      </c>
      <c r="D836" s="1" t="s">
        <v>11</v>
      </c>
      <c r="E836" s="4">
        <v>96.3</v>
      </c>
      <c r="F836" s="4">
        <v>94.1</v>
      </c>
      <c r="G836" s="4">
        <v>89.8</v>
      </c>
      <c r="H836" s="1" t="s">
        <v>188</v>
      </c>
      <c r="K836">
        <v>2013</v>
      </c>
      <c r="L836" t="s">
        <v>43</v>
      </c>
      <c r="M836" t="s">
        <v>64</v>
      </c>
      <c r="N836" t="s">
        <v>21</v>
      </c>
      <c r="O836" t="s">
        <v>190</v>
      </c>
      <c r="P836" s="1" t="s">
        <v>30</v>
      </c>
      <c r="Q836">
        <v>111.6</v>
      </c>
    </row>
    <row r="837" spans="1:17" x14ac:dyDescent="0.3">
      <c r="A837">
        <v>2015</v>
      </c>
      <c r="B837" t="s">
        <v>39</v>
      </c>
      <c r="C837" t="s">
        <v>84</v>
      </c>
      <c r="D837" s="1" t="s">
        <v>24</v>
      </c>
      <c r="E837" s="4">
        <v>114.2</v>
      </c>
      <c r="F837" s="4">
        <v>112.9</v>
      </c>
      <c r="G837" s="4">
        <v>111.7</v>
      </c>
      <c r="H837" s="1" t="s">
        <v>191</v>
      </c>
      <c r="K837">
        <v>2013</v>
      </c>
      <c r="L837" t="s">
        <v>43</v>
      </c>
      <c r="M837" t="s">
        <v>64</v>
      </c>
      <c r="N837" t="s">
        <v>21</v>
      </c>
      <c r="O837" t="s">
        <v>190</v>
      </c>
      <c r="P837" s="1" t="s">
        <v>34</v>
      </c>
      <c r="Q837">
        <v>110.9</v>
      </c>
    </row>
    <row r="838" spans="1:17" x14ac:dyDescent="0.3">
      <c r="A838">
        <v>2015</v>
      </c>
      <c r="B838" t="s">
        <v>39</v>
      </c>
      <c r="C838" t="s">
        <v>84</v>
      </c>
      <c r="D838" s="1" t="s">
        <v>9</v>
      </c>
      <c r="E838" s="4">
        <v>135.19999999999999</v>
      </c>
      <c r="F838" s="4">
        <v>139.1</v>
      </c>
      <c r="G838" s="4">
        <v>146.69999999999999</v>
      </c>
      <c r="H838" s="1" t="s">
        <v>188</v>
      </c>
      <c r="K838">
        <v>2013</v>
      </c>
      <c r="L838" t="s">
        <v>43</v>
      </c>
      <c r="M838" t="s">
        <v>64</v>
      </c>
      <c r="N838" t="s">
        <v>21</v>
      </c>
      <c r="O838" t="s">
        <v>190</v>
      </c>
      <c r="P838" s="1" t="s">
        <v>33</v>
      </c>
      <c r="Q838">
        <v>109.7</v>
      </c>
    </row>
    <row r="839" spans="1:17" x14ac:dyDescent="0.3">
      <c r="A839">
        <v>2015</v>
      </c>
      <c r="B839" t="s">
        <v>36</v>
      </c>
      <c r="C839" t="s">
        <v>85</v>
      </c>
      <c r="D839" s="1" t="s">
        <v>3</v>
      </c>
      <c r="E839" s="4">
        <v>123.3</v>
      </c>
      <c r="F839" s="4">
        <v>123.5</v>
      </c>
      <c r="G839" s="4">
        <v>124</v>
      </c>
      <c r="H839" s="1" t="s">
        <v>188</v>
      </c>
      <c r="K839">
        <v>2013</v>
      </c>
      <c r="L839" t="s">
        <v>43</v>
      </c>
      <c r="M839" t="s">
        <v>64</v>
      </c>
      <c r="N839" t="s">
        <v>29</v>
      </c>
      <c r="O839" t="s">
        <v>206</v>
      </c>
      <c r="P839" s="1" t="s">
        <v>30</v>
      </c>
      <c r="Q839">
        <v>115.5</v>
      </c>
    </row>
    <row r="840" spans="1:17" x14ac:dyDescent="0.3">
      <c r="A840">
        <v>2015</v>
      </c>
      <c r="B840" t="s">
        <v>36</v>
      </c>
      <c r="C840" t="s">
        <v>85</v>
      </c>
      <c r="D840" s="1" t="s">
        <v>17</v>
      </c>
      <c r="E840" s="4">
        <v>126</v>
      </c>
      <c r="F840" s="4">
        <v>124.3</v>
      </c>
      <c r="G840" s="4">
        <v>121.7</v>
      </c>
      <c r="H840" s="1" t="s">
        <v>189</v>
      </c>
      <c r="K840">
        <v>2013</v>
      </c>
      <c r="L840" t="s">
        <v>43</v>
      </c>
      <c r="M840" t="s">
        <v>64</v>
      </c>
      <c r="N840" t="s">
        <v>29</v>
      </c>
      <c r="O840" t="s">
        <v>206</v>
      </c>
      <c r="P840" s="1" t="s">
        <v>34</v>
      </c>
      <c r="Q840">
        <v>114.8</v>
      </c>
    </row>
    <row r="841" spans="1:17" x14ac:dyDescent="0.3">
      <c r="A841">
        <v>2015</v>
      </c>
      <c r="B841" t="s">
        <v>36</v>
      </c>
      <c r="C841" t="s">
        <v>85</v>
      </c>
      <c r="D841" s="1" t="s">
        <v>19</v>
      </c>
      <c r="E841" s="4">
        <v>125.5</v>
      </c>
      <c r="F841" s="4">
        <v>123.7</v>
      </c>
      <c r="G841" s="4">
        <v>120.9</v>
      </c>
      <c r="H841" s="1" t="s">
        <v>189</v>
      </c>
      <c r="K841">
        <v>2013</v>
      </c>
      <c r="L841" t="s">
        <v>43</v>
      </c>
      <c r="M841" t="s">
        <v>64</v>
      </c>
      <c r="N841" t="s">
        <v>29</v>
      </c>
      <c r="O841" t="s">
        <v>206</v>
      </c>
      <c r="P841" s="1" t="s">
        <v>33</v>
      </c>
      <c r="Q841">
        <v>114</v>
      </c>
    </row>
    <row r="842" spans="1:17" x14ac:dyDescent="0.3">
      <c r="A842">
        <v>2015</v>
      </c>
      <c r="B842" t="s">
        <v>36</v>
      </c>
      <c r="C842" t="s">
        <v>85</v>
      </c>
      <c r="D842" s="1" t="s">
        <v>26</v>
      </c>
      <c r="E842" s="4">
        <v>119.4</v>
      </c>
      <c r="F842" s="4">
        <v>120.1</v>
      </c>
      <c r="G842" s="4">
        <v>120.6</v>
      </c>
      <c r="H842" s="1" t="s">
        <v>26</v>
      </c>
      <c r="K842">
        <v>2013</v>
      </c>
      <c r="L842" t="s">
        <v>43</v>
      </c>
      <c r="M842" t="s">
        <v>64</v>
      </c>
      <c r="N842" t="s">
        <v>23</v>
      </c>
      <c r="O842" t="s">
        <v>23</v>
      </c>
      <c r="P842" s="1" t="s">
        <v>30</v>
      </c>
      <c r="Q842">
        <v>108.9</v>
      </c>
    </row>
    <row r="843" spans="1:17" x14ac:dyDescent="0.3">
      <c r="A843">
        <v>2015</v>
      </c>
      <c r="B843" t="s">
        <v>36</v>
      </c>
      <c r="C843" t="s">
        <v>85</v>
      </c>
      <c r="D843" s="1" t="s">
        <v>5</v>
      </c>
      <c r="E843" s="4">
        <v>118.9</v>
      </c>
      <c r="F843" s="4">
        <v>116.8</v>
      </c>
      <c r="G843" s="4">
        <v>113.5</v>
      </c>
      <c r="H843" s="1" t="s">
        <v>188</v>
      </c>
      <c r="K843">
        <v>2013</v>
      </c>
      <c r="L843" t="s">
        <v>43</v>
      </c>
      <c r="M843" t="s">
        <v>64</v>
      </c>
      <c r="N843" t="s">
        <v>23</v>
      </c>
      <c r="O843" t="s">
        <v>23</v>
      </c>
      <c r="P843" s="1" t="s">
        <v>34</v>
      </c>
      <c r="Q843">
        <v>108.6</v>
      </c>
    </row>
    <row r="844" spans="1:17" x14ac:dyDescent="0.3">
      <c r="A844">
        <v>2015</v>
      </c>
      <c r="B844" t="s">
        <v>36</v>
      </c>
      <c r="C844" t="s">
        <v>85</v>
      </c>
      <c r="D844" s="1" t="s">
        <v>15</v>
      </c>
      <c r="E844" s="4">
        <v>123.1</v>
      </c>
      <c r="F844" s="4">
        <v>123.4</v>
      </c>
      <c r="G844" s="4">
        <v>123.9</v>
      </c>
      <c r="H844" s="1" t="s">
        <v>188</v>
      </c>
      <c r="K844">
        <v>2013</v>
      </c>
      <c r="L844" t="s">
        <v>43</v>
      </c>
      <c r="M844" t="s">
        <v>64</v>
      </c>
      <c r="N844" t="s">
        <v>23</v>
      </c>
      <c r="O844" t="s">
        <v>23</v>
      </c>
      <c r="P844" s="1" t="s">
        <v>33</v>
      </c>
      <c r="Q844">
        <v>108.2</v>
      </c>
    </row>
    <row r="845" spans="1:17" x14ac:dyDescent="0.3">
      <c r="A845">
        <v>2015</v>
      </c>
      <c r="B845" t="s">
        <v>36</v>
      </c>
      <c r="C845" t="s">
        <v>85</v>
      </c>
      <c r="D845" s="1" t="s">
        <v>18</v>
      </c>
      <c r="E845" s="4">
        <v>122.9</v>
      </c>
      <c r="F845" s="4">
        <v>120.4</v>
      </c>
      <c r="G845" s="4">
        <v>116.9</v>
      </c>
      <c r="H845" s="1" t="s">
        <v>189</v>
      </c>
      <c r="K845">
        <v>2013</v>
      </c>
      <c r="L845" t="s">
        <v>43</v>
      </c>
      <c r="M845" t="s">
        <v>64</v>
      </c>
      <c r="N845" t="s">
        <v>22</v>
      </c>
      <c r="O845" t="s">
        <v>20</v>
      </c>
      <c r="P845" s="1" t="s">
        <v>30</v>
      </c>
      <c r="Q845">
        <v>110.4</v>
      </c>
    </row>
    <row r="846" spans="1:17" x14ac:dyDescent="0.3">
      <c r="A846">
        <v>2015</v>
      </c>
      <c r="B846" t="s">
        <v>36</v>
      </c>
      <c r="C846" t="s">
        <v>85</v>
      </c>
      <c r="D846" s="1" t="s">
        <v>8</v>
      </c>
      <c r="E846" s="4">
        <v>130.9</v>
      </c>
      <c r="F846" s="4">
        <v>127.6</v>
      </c>
      <c r="G846" s="4">
        <v>123.8</v>
      </c>
      <c r="H846" s="1" t="s">
        <v>188</v>
      </c>
      <c r="K846">
        <v>2013</v>
      </c>
      <c r="L846" t="s">
        <v>43</v>
      </c>
      <c r="M846" t="s">
        <v>64</v>
      </c>
      <c r="N846" t="s">
        <v>22</v>
      </c>
      <c r="O846" t="s">
        <v>20</v>
      </c>
      <c r="P846" s="1" t="s">
        <v>34</v>
      </c>
      <c r="Q846">
        <v>110.3</v>
      </c>
    </row>
    <row r="847" spans="1:17" x14ac:dyDescent="0.3">
      <c r="A847">
        <v>2015</v>
      </c>
      <c r="B847" t="s">
        <v>36</v>
      </c>
      <c r="C847" t="s">
        <v>85</v>
      </c>
      <c r="D847" s="1" t="s">
        <v>21</v>
      </c>
      <c r="E847" s="4">
        <v>120.6</v>
      </c>
      <c r="F847" s="4">
        <v>118.3</v>
      </c>
      <c r="G847" s="4">
        <v>114.4</v>
      </c>
      <c r="H847" s="1" t="s">
        <v>190</v>
      </c>
      <c r="K847">
        <v>2013</v>
      </c>
      <c r="L847" t="s">
        <v>43</v>
      </c>
      <c r="M847" t="s">
        <v>64</v>
      </c>
      <c r="N847" t="s">
        <v>22</v>
      </c>
      <c r="O847" t="s">
        <v>20</v>
      </c>
      <c r="P847" s="1" t="s">
        <v>33</v>
      </c>
      <c r="Q847">
        <v>110.2</v>
      </c>
    </row>
    <row r="848" spans="1:17" x14ac:dyDescent="0.3">
      <c r="A848">
        <v>2015</v>
      </c>
      <c r="B848" t="s">
        <v>36</v>
      </c>
      <c r="C848" t="s">
        <v>85</v>
      </c>
      <c r="D848" s="1" t="s">
        <v>29</v>
      </c>
      <c r="E848" s="4">
        <v>121.1</v>
      </c>
      <c r="F848" s="4">
        <v>120.2</v>
      </c>
      <c r="G848" s="4">
        <v>119.1</v>
      </c>
      <c r="H848" s="1" t="s">
        <v>206</v>
      </c>
      <c r="K848">
        <v>2013</v>
      </c>
      <c r="L848" t="s">
        <v>43</v>
      </c>
      <c r="M848" t="s">
        <v>64</v>
      </c>
      <c r="N848" t="s">
        <v>20</v>
      </c>
      <c r="O848" t="s">
        <v>20</v>
      </c>
      <c r="P848" s="1" t="s">
        <v>30</v>
      </c>
      <c r="Q848">
        <v>0</v>
      </c>
    </row>
    <row r="849" spans="1:17" x14ac:dyDescent="0.3">
      <c r="A849">
        <v>2015</v>
      </c>
      <c r="B849" t="s">
        <v>36</v>
      </c>
      <c r="C849" t="s">
        <v>85</v>
      </c>
      <c r="D849" s="1" t="s">
        <v>23</v>
      </c>
      <c r="E849" s="4">
        <v>118.2</v>
      </c>
      <c r="F849" s="4">
        <v>116.7</v>
      </c>
      <c r="G849" s="4">
        <v>114.3</v>
      </c>
      <c r="H849" s="1" t="s">
        <v>23</v>
      </c>
      <c r="K849">
        <v>2013</v>
      </c>
      <c r="L849" t="s">
        <v>43</v>
      </c>
      <c r="M849" t="s">
        <v>64</v>
      </c>
      <c r="N849" t="s">
        <v>20</v>
      </c>
      <c r="O849" t="s">
        <v>20</v>
      </c>
      <c r="P849" s="1" t="s">
        <v>34</v>
      </c>
      <c r="Q849">
        <v>110.5</v>
      </c>
    </row>
    <row r="850" spans="1:17" x14ac:dyDescent="0.3">
      <c r="A850">
        <v>2015</v>
      </c>
      <c r="B850" t="s">
        <v>36</v>
      </c>
      <c r="C850" t="s">
        <v>85</v>
      </c>
      <c r="D850" s="1" t="s">
        <v>22</v>
      </c>
      <c r="E850" s="4">
        <v>120.2</v>
      </c>
      <c r="F850" s="4">
        <v>119.2</v>
      </c>
      <c r="G850" s="4">
        <v>118</v>
      </c>
      <c r="H850" s="1" t="s">
        <v>20</v>
      </c>
      <c r="K850">
        <v>2013</v>
      </c>
      <c r="L850" t="s">
        <v>43</v>
      </c>
      <c r="M850" t="s">
        <v>64</v>
      </c>
      <c r="N850" t="s">
        <v>20</v>
      </c>
      <c r="O850" t="s">
        <v>20</v>
      </c>
      <c r="P850" s="1" t="s">
        <v>33</v>
      </c>
      <c r="Q850">
        <v>110.5</v>
      </c>
    </row>
    <row r="851" spans="1:17" x14ac:dyDescent="0.3">
      <c r="A851">
        <v>2015</v>
      </c>
      <c r="B851" t="s">
        <v>36</v>
      </c>
      <c r="C851" t="s">
        <v>85</v>
      </c>
      <c r="D851" s="1" t="s">
        <v>20</v>
      </c>
      <c r="E851" s="4">
        <v>0</v>
      </c>
      <c r="F851" s="4">
        <v>118.6</v>
      </c>
      <c r="G851" s="4">
        <v>118.6</v>
      </c>
      <c r="H851" s="1" t="s">
        <v>20</v>
      </c>
      <c r="K851">
        <v>2013</v>
      </c>
      <c r="L851" t="s">
        <v>43</v>
      </c>
      <c r="M851" t="s">
        <v>64</v>
      </c>
      <c r="N851" t="s">
        <v>4</v>
      </c>
      <c r="O851" t="s">
        <v>188</v>
      </c>
      <c r="P851" s="1" t="s">
        <v>30</v>
      </c>
      <c r="Q851">
        <v>115.4</v>
      </c>
    </row>
    <row r="852" spans="1:17" x14ac:dyDescent="0.3">
      <c r="A852">
        <v>2015</v>
      </c>
      <c r="B852" t="s">
        <v>36</v>
      </c>
      <c r="C852" t="s">
        <v>85</v>
      </c>
      <c r="D852" s="1" t="s">
        <v>4</v>
      </c>
      <c r="E852" s="4">
        <v>124.7</v>
      </c>
      <c r="F852" s="4">
        <v>125.4</v>
      </c>
      <c r="G852" s="4">
        <v>126.7</v>
      </c>
      <c r="H852" s="1" t="s">
        <v>188</v>
      </c>
      <c r="K852">
        <v>2013</v>
      </c>
      <c r="L852" t="s">
        <v>43</v>
      </c>
      <c r="M852" t="s">
        <v>64</v>
      </c>
      <c r="N852" t="s">
        <v>4</v>
      </c>
      <c r="O852" t="s">
        <v>188</v>
      </c>
      <c r="P852" s="1" t="s">
        <v>34</v>
      </c>
      <c r="Q852">
        <v>116.3</v>
      </c>
    </row>
    <row r="853" spans="1:17" x14ac:dyDescent="0.3">
      <c r="A853">
        <v>2015</v>
      </c>
      <c r="B853" t="s">
        <v>36</v>
      </c>
      <c r="C853" t="s">
        <v>85</v>
      </c>
      <c r="D853" s="1" t="s">
        <v>6</v>
      </c>
      <c r="E853" s="4">
        <v>126</v>
      </c>
      <c r="F853" s="4">
        <v>126</v>
      </c>
      <c r="G853" s="4">
        <v>125.9</v>
      </c>
      <c r="H853" s="1" t="s">
        <v>188</v>
      </c>
      <c r="K853">
        <v>2013</v>
      </c>
      <c r="L853" t="s">
        <v>43</v>
      </c>
      <c r="M853" t="s">
        <v>64</v>
      </c>
      <c r="N853" t="s">
        <v>4</v>
      </c>
      <c r="O853" t="s">
        <v>188</v>
      </c>
      <c r="P853" s="1" t="s">
        <v>33</v>
      </c>
      <c r="Q853">
        <v>118.1</v>
      </c>
    </row>
    <row r="854" spans="1:17" x14ac:dyDescent="0.3">
      <c r="A854">
        <v>2015</v>
      </c>
      <c r="B854" t="s">
        <v>36</v>
      </c>
      <c r="C854" t="s">
        <v>85</v>
      </c>
      <c r="D854" s="1" t="s">
        <v>28</v>
      </c>
      <c r="E854" s="4">
        <v>115.5</v>
      </c>
      <c r="F854" s="4">
        <v>114.7</v>
      </c>
      <c r="G854" s="4">
        <v>113.8</v>
      </c>
      <c r="H854" s="1" t="s">
        <v>192</v>
      </c>
      <c r="K854">
        <v>2013</v>
      </c>
      <c r="L854" t="s">
        <v>43</v>
      </c>
      <c r="M854" t="s">
        <v>64</v>
      </c>
      <c r="N854" t="s">
        <v>6</v>
      </c>
      <c r="O854" t="s">
        <v>188</v>
      </c>
      <c r="P854" s="1" t="s">
        <v>30</v>
      </c>
      <c r="Q854">
        <v>111.7</v>
      </c>
    </row>
    <row r="855" spans="1:17" x14ac:dyDescent="0.3">
      <c r="A855">
        <v>2015</v>
      </c>
      <c r="B855" t="s">
        <v>36</v>
      </c>
      <c r="C855" t="s">
        <v>85</v>
      </c>
      <c r="D855" s="1" t="s">
        <v>13</v>
      </c>
      <c r="E855" s="4">
        <v>118.9</v>
      </c>
      <c r="F855" s="4">
        <v>118.1</v>
      </c>
      <c r="G855" s="4">
        <v>117</v>
      </c>
      <c r="H855" s="1" t="s">
        <v>188</v>
      </c>
      <c r="K855">
        <v>2013</v>
      </c>
      <c r="L855" t="s">
        <v>43</v>
      </c>
      <c r="M855" t="s">
        <v>64</v>
      </c>
      <c r="N855" t="s">
        <v>6</v>
      </c>
      <c r="O855" t="s">
        <v>188</v>
      </c>
      <c r="P855" s="1" t="s">
        <v>34</v>
      </c>
      <c r="Q855">
        <v>111.2</v>
      </c>
    </row>
    <row r="856" spans="1:17" x14ac:dyDescent="0.3">
      <c r="A856">
        <v>2015</v>
      </c>
      <c r="B856" t="s">
        <v>36</v>
      </c>
      <c r="C856" t="s">
        <v>85</v>
      </c>
      <c r="D856" s="1" t="s">
        <v>7</v>
      </c>
      <c r="E856" s="4">
        <v>111.8</v>
      </c>
      <c r="F856" s="4">
        <v>109.2</v>
      </c>
      <c r="G856" s="4">
        <v>104.8</v>
      </c>
      <c r="H856" s="1" t="s">
        <v>188</v>
      </c>
      <c r="K856">
        <v>2013</v>
      </c>
      <c r="L856" t="s">
        <v>43</v>
      </c>
      <c r="M856" t="s">
        <v>64</v>
      </c>
      <c r="N856" t="s">
        <v>6</v>
      </c>
      <c r="O856" t="s">
        <v>188</v>
      </c>
      <c r="P856" s="1" t="s">
        <v>33</v>
      </c>
      <c r="Q856">
        <v>110.4</v>
      </c>
    </row>
    <row r="857" spans="1:17" x14ac:dyDescent="0.3">
      <c r="A857">
        <v>2015</v>
      </c>
      <c r="B857" t="s">
        <v>36</v>
      </c>
      <c r="C857" t="s">
        <v>85</v>
      </c>
      <c r="D857" s="1" t="s">
        <v>16</v>
      </c>
      <c r="E857" s="4">
        <v>124.7</v>
      </c>
      <c r="F857" s="4">
        <v>125.8</v>
      </c>
      <c r="G857" s="4">
        <v>128.80000000000001</v>
      </c>
      <c r="H857" s="1" t="s">
        <v>192</v>
      </c>
      <c r="K857">
        <v>2013</v>
      </c>
      <c r="L857" t="s">
        <v>43</v>
      </c>
      <c r="M857" t="s">
        <v>64</v>
      </c>
      <c r="N857" t="s">
        <v>28</v>
      </c>
      <c r="O857" t="s">
        <v>192</v>
      </c>
      <c r="P857" s="1" t="s">
        <v>30</v>
      </c>
      <c r="Q857">
        <v>109.1</v>
      </c>
    </row>
    <row r="858" spans="1:17" x14ac:dyDescent="0.3">
      <c r="A858">
        <v>2015</v>
      </c>
      <c r="B858" t="s">
        <v>36</v>
      </c>
      <c r="C858" t="s">
        <v>85</v>
      </c>
      <c r="D858" s="1" t="s">
        <v>27</v>
      </c>
      <c r="E858" s="4">
        <v>110.8</v>
      </c>
      <c r="F858" s="4">
        <v>111</v>
      </c>
      <c r="G858" s="4">
        <v>111.3</v>
      </c>
      <c r="H858" s="1" t="s">
        <v>192</v>
      </c>
      <c r="K858">
        <v>2013</v>
      </c>
      <c r="L858" t="s">
        <v>43</v>
      </c>
      <c r="M858" t="s">
        <v>64</v>
      </c>
      <c r="N858" t="s">
        <v>28</v>
      </c>
      <c r="O858" t="s">
        <v>192</v>
      </c>
      <c r="P858" s="1" t="s">
        <v>34</v>
      </c>
      <c r="Q858">
        <v>109.2</v>
      </c>
    </row>
    <row r="859" spans="1:17" x14ac:dyDescent="0.3">
      <c r="A859">
        <v>2015</v>
      </c>
      <c r="B859" t="s">
        <v>36</v>
      </c>
      <c r="C859" t="s">
        <v>85</v>
      </c>
      <c r="D859" s="1" t="s">
        <v>14</v>
      </c>
      <c r="E859" s="4">
        <v>127.7</v>
      </c>
      <c r="F859" s="4">
        <v>128.4</v>
      </c>
      <c r="G859" s="4">
        <v>129.19999999999999</v>
      </c>
      <c r="H859" s="1" t="s">
        <v>188</v>
      </c>
      <c r="K859">
        <v>2013</v>
      </c>
      <c r="L859" t="s">
        <v>43</v>
      </c>
      <c r="M859" t="s">
        <v>64</v>
      </c>
      <c r="N859" t="s">
        <v>28</v>
      </c>
      <c r="O859" t="s">
        <v>192</v>
      </c>
      <c r="P859" s="1" t="s">
        <v>33</v>
      </c>
      <c r="Q859">
        <v>109.4</v>
      </c>
    </row>
    <row r="860" spans="1:17" x14ac:dyDescent="0.3">
      <c r="A860">
        <v>2015</v>
      </c>
      <c r="B860" t="s">
        <v>36</v>
      </c>
      <c r="C860" t="s">
        <v>85</v>
      </c>
      <c r="D860" s="1" t="s">
        <v>10</v>
      </c>
      <c r="E860" s="4">
        <v>119.9</v>
      </c>
      <c r="F860" s="4">
        <v>122.4</v>
      </c>
      <c r="G860" s="4">
        <v>127.2</v>
      </c>
      <c r="H860" s="1" t="s">
        <v>188</v>
      </c>
      <c r="K860">
        <v>2013</v>
      </c>
      <c r="L860" t="s">
        <v>43</v>
      </c>
      <c r="M860" t="s">
        <v>64</v>
      </c>
      <c r="N860" t="s">
        <v>13</v>
      </c>
      <c r="O860" t="s">
        <v>188</v>
      </c>
      <c r="P860" s="1" t="s">
        <v>30</v>
      </c>
      <c r="Q860">
        <v>111.1</v>
      </c>
    </row>
    <row r="861" spans="1:17" x14ac:dyDescent="0.3">
      <c r="A861">
        <v>2015</v>
      </c>
      <c r="B861" t="s">
        <v>36</v>
      </c>
      <c r="C861" t="s">
        <v>85</v>
      </c>
      <c r="D861" s="1" t="s">
        <v>25</v>
      </c>
      <c r="E861" s="4">
        <v>115.5</v>
      </c>
      <c r="F861" s="4">
        <v>115.4</v>
      </c>
      <c r="G861" s="4">
        <v>115.4</v>
      </c>
      <c r="H861" s="1" t="s">
        <v>195</v>
      </c>
      <c r="K861">
        <v>2013</v>
      </c>
      <c r="L861" t="s">
        <v>43</v>
      </c>
      <c r="M861" t="s">
        <v>64</v>
      </c>
      <c r="N861" t="s">
        <v>13</v>
      </c>
      <c r="O861" t="s">
        <v>188</v>
      </c>
      <c r="P861" s="1" t="s">
        <v>34</v>
      </c>
      <c r="Q861">
        <v>111.2</v>
      </c>
    </row>
    <row r="862" spans="1:17" x14ac:dyDescent="0.3">
      <c r="A862">
        <v>2015</v>
      </c>
      <c r="B862" t="s">
        <v>36</v>
      </c>
      <c r="C862" t="s">
        <v>85</v>
      </c>
      <c r="D862" s="1" t="s">
        <v>12</v>
      </c>
      <c r="E862" s="4">
        <v>119.4</v>
      </c>
      <c r="F862" s="4">
        <v>122.1</v>
      </c>
      <c r="G862" s="4">
        <v>127.4</v>
      </c>
      <c r="H862" s="1" t="s">
        <v>188</v>
      </c>
      <c r="K862">
        <v>2013</v>
      </c>
      <c r="L862" t="s">
        <v>43</v>
      </c>
      <c r="M862" t="s">
        <v>64</v>
      </c>
      <c r="N862" t="s">
        <v>13</v>
      </c>
      <c r="O862" t="s">
        <v>188</v>
      </c>
      <c r="P862" s="1" t="s">
        <v>33</v>
      </c>
      <c r="Q862">
        <v>111.4</v>
      </c>
    </row>
    <row r="863" spans="1:17" x14ac:dyDescent="0.3">
      <c r="A863">
        <v>2015</v>
      </c>
      <c r="B863" t="s">
        <v>36</v>
      </c>
      <c r="C863" t="s">
        <v>85</v>
      </c>
      <c r="D863" s="1" t="s">
        <v>11</v>
      </c>
      <c r="E863" s="4">
        <v>98.9</v>
      </c>
      <c r="F863" s="4">
        <v>97</v>
      </c>
      <c r="G863" s="4">
        <v>93.2</v>
      </c>
      <c r="H863" s="1" t="s">
        <v>188</v>
      </c>
      <c r="K863">
        <v>2013</v>
      </c>
      <c r="L863" t="s">
        <v>43</v>
      </c>
      <c r="M863" t="s">
        <v>64</v>
      </c>
      <c r="N863" t="s">
        <v>7</v>
      </c>
      <c r="O863" t="s">
        <v>188</v>
      </c>
      <c r="P863" s="1" t="s">
        <v>30</v>
      </c>
      <c r="Q863">
        <v>107.7</v>
      </c>
    </row>
    <row r="864" spans="1:17" x14ac:dyDescent="0.3">
      <c r="A864">
        <v>2015</v>
      </c>
      <c r="B864" t="s">
        <v>36</v>
      </c>
      <c r="C864" t="s">
        <v>85</v>
      </c>
      <c r="D864" s="1" t="s">
        <v>24</v>
      </c>
      <c r="E864" s="4">
        <v>111.6</v>
      </c>
      <c r="F864" s="4">
        <v>109.9</v>
      </c>
      <c r="G864" s="4">
        <v>108.4</v>
      </c>
      <c r="H864" s="1" t="s">
        <v>191</v>
      </c>
      <c r="K864">
        <v>2013</v>
      </c>
      <c r="L864" t="s">
        <v>43</v>
      </c>
      <c r="M864" t="s">
        <v>64</v>
      </c>
      <c r="N864" t="s">
        <v>7</v>
      </c>
      <c r="O864" t="s">
        <v>188</v>
      </c>
      <c r="P864" s="1" t="s">
        <v>34</v>
      </c>
      <c r="Q864">
        <v>105.7</v>
      </c>
    </row>
    <row r="865" spans="1:17" x14ac:dyDescent="0.3">
      <c r="A865">
        <v>2015</v>
      </c>
      <c r="B865" t="s">
        <v>36</v>
      </c>
      <c r="C865" t="s">
        <v>85</v>
      </c>
      <c r="D865" s="1" t="s">
        <v>9</v>
      </c>
      <c r="E865" s="4">
        <v>128</v>
      </c>
      <c r="F865" s="4">
        <v>129.19999999999999</v>
      </c>
      <c r="G865" s="4">
        <v>131.4</v>
      </c>
      <c r="H865" s="1" t="s">
        <v>188</v>
      </c>
      <c r="K865">
        <v>2013</v>
      </c>
      <c r="L865" t="s">
        <v>43</v>
      </c>
      <c r="M865" t="s">
        <v>64</v>
      </c>
      <c r="N865" t="s">
        <v>7</v>
      </c>
      <c r="O865" t="s">
        <v>188</v>
      </c>
      <c r="P865" s="1" t="s">
        <v>33</v>
      </c>
      <c r="Q865">
        <v>102.3</v>
      </c>
    </row>
    <row r="866" spans="1:17" x14ac:dyDescent="0.3">
      <c r="A866">
        <v>2015</v>
      </c>
      <c r="B866" t="s">
        <v>38</v>
      </c>
      <c r="C866" t="s">
        <v>86</v>
      </c>
      <c r="D866" s="1" t="s">
        <v>3</v>
      </c>
      <c r="E866" s="4">
        <v>123.5</v>
      </c>
      <c r="F866" s="4">
        <v>123.6</v>
      </c>
      <c r="G866" s="4">
        <v>123.8</v>
      </c>
      <c r="H866" s="1" t="s">
        <v>188</v>
      </c>
      <c r="K866">
        <v>2013</v>
      </c>
      <c r="L866" t="s">
        <v>43</v>
      </c>
      <c r="M866" t="s">
        <v>64</v>
      </c>
      <c r="N866" t="s">
        <v>16</v>
      </c>
      <c r="O866" t="s">
        <v>192</v>
      </c>
      <c r="P866" s="1" t="s">
        <v>30</v>
      </c>
      <c r="Q866">
        <v>112.2</v>
      </c>
    </row>
    <row r="867" spans="1:17" x14ac:dyDescent="0.3">
      <c r="A867">
        <v>2015</v>
      </c>
      <c r="B867" t="s">
        <v>38</v>
      </c>
      <c r="C867" t="s">
        <v>86</v>
      </c>
      <c r="D867" s="1" t="s">
        <v>17</v>
      </c>
      <c r="E867" s="4">
        <v>127.3</v>
      </c>
      <c r="F867" s="4">
        <v>125.4</v>
      </c>
      <c r="G867" s="4">
        <v>122.4</v>
      </c>
      <c r="H867" s="1" t="s">
        <v>189</v>
      </c>
      <c r="K867">
        <v>2013</v>
      </c>
      <c r="L867" t="s">
        <v>43</v>
      </c>
      <c r="M867" t="s">
        <v>64</v>
      </c>
      <c r="N867" t="s">
        <v>16</v>
      </c>
      <c r="O867" t="s">
        <v>192</v>
      </c>
      <c r="P867" s="1" t="s">
        <v>34</v>
      </c>
      <c r="Q867">
        <v>112.5</v>
      </c>
    </row>
    <row r="868" spans="1:17" x14ac:dyDescent="0.3">
      <c r="A868">
        <v>2015</v>
      </c>
      <c r="B868" t="s">
        <v>38</v>
      </c>
      <c r="C868" t="s">
        <v>86</v>
      </c>
      <c r="D868" s="1" t="s">
        <v>19</v>
      </c>
      <c r="E868" s="4">
        <v>126.8</v>
      </c>
      <c r="F868" s="4">
        <v>124.7</v>
      </c>
      <c r="G868" s="4">
        <v>121.6</v>
      </c>
      <c r="H868" s="1" t="s">
        <v>189</v>
      </c>
      <c r="K868">
        <v>2013</v>
      </c>
      <c r="L868" t="s">
        <v>43</v>
      </c>
      <c r="M868" t="s">
        <v>64</v>
      </c>
      <c r="N868" t="s">
        <v>16</v>
      </c>
      <c r="O868" t="s">
        <v>192</v>
      </c>
      <c r="P868" s="1" t="s">
        <v>33</v>
      </c>
      <c r="Q868">
        <v>113.5</v>
      </c>
    </row>
    <row r="869" spans="1:17" x14ac:dyDescent="0.3">
      <c r="A869">
        <v>2015</v>
      </c>
      <c r="B869" t="s">
        <v>38</v>
      </c>
      <c r="C869" t="s">
        <v>86</v>
      </c>
      <c r="D869" s="1" t="s">
        <v>26</v>
      </c>
      <c r="E869" s="4">
        <v>120.5</v>
      </c>
      <c r="F869" s="4">
        <v>121.4</v>
      </c>
      <c r="G869" s="4">
        <v>122</v>
      </c>
      <c r="H869" s="1" t="s">
        <v>26</v>
      </c>
      <c r="K869">
        <v>2013</v>
      </c>
      <c r="L869" t="s">
        <v>43</v>
      </c>
      <c r="M869" t="s">
        <v>64</v>
      </c>
      <c r="N869" t="s">
        <v>27</v>
      </c>
      <c r="O869" t="s">
        <v>192</v>
      </c>
      <c r="P869" s="1" t="s">
        <v>30</v>
      </c>
      <c r="Q869">
        <v>107.5</v>
      </c>
    </row>
    <row r="870" spans="1:17" x14ac:dyDescent="0.3">
      <c r="A870">
        <v>2015</v>
      </c>
      <c r="B870" t="s">
        <v>38</v>
      </c>
      <c r="C870" t="s">
        <v>86</v>
      </c>
      <c r="D870" s="1" t="s">
        <v>5</v>
      </c>
      <c r="E870" s="4">
        <v>117.3</v>
      </c>
      <c r="F870" s="4">
        <v>115</v>
      </c>
      <c r="G870" s="4">
        <v>111.3</v>
      </c>
      <c r="H870" s="1" t="s">
        <v>188</v>
      </c>
      <c r="K870">
        <v>2013</v>
      </c>
      <c r="L870" t="s">
        <v>43</v>
      </c>
      <c r="M870" t="s">
        <v>64</v>
      </c>
      <c r="N870" t="s">
        <v>27</v>
      </c>
      <c r="O870" t="s">
        <v>192</v>
      </c>
      <c r="P870" s="1" t="s">
        <v>34</v>
      </c>
      <c r="Q870">
        <v>107.4</v>
      </c>
    </row>
    <row r="871" spans="1:17" x14ac:dyDescent="0.3">
      <c r="A871">
        <v>2015</v>
      </c>
      <c r="B871" t="s">
        <v>38</v>
      </c>
      <c r="C871" t="s">
        <v>86</v>
      </c>
      <c r="D871" s="1" t="s">
        <v>15</v>
      </c>
      <c r="E871" s="4">
        <v>124.4</v>
      </c>
      <c r="F871" s="4">
        <v>125</v>
      </c>
      <c r="G871" s="4">
        <v>126.1</v>
      </c>
      <c r="H871" s="1" t="s">
        <v>188</v>
      </c>
      <c r="K871">
        <v>2013</v>
      </c>
      <c r="L871" t="s">
        <v>43</v>
      </c>
      <c r="M871" t="s">
        <v>64</v>
      </c>
      <c r="N871" t="s">
        <v>27</v>
      </c>
      <c r="O871" t="s">
        <v>192</v>
      </c>
      <c r="P871" s="1" t="s">
        <v>33</v>
      </c>
      <c r="Q871">
        <v>107.3</v>
      </c>
    </row>
    <row r="872" spans="1:17" x14ac:dyDescent="0.3">
      <c r="A872">
        <v>2015</v>
      </c>
      <c r="B872" t="s">
        <v>38</v>
      </c>
      <c r="C872" t="s">
        <v>86</v>
      </c>
      <c r="D872" s="1" t="s">
        <v>18</v>
      </c>
      <c r="E872" s="4">
        <v>124.1</v>
      </c>
      <c r="F872" s="4">
        <v>121.3</v>
      </c>
      <c r="G872" s="4">
        <v>117.4</v>
      </c>
      <c r="H872" s="1" t="s">
        <v>189</v>
      </c>
      <c r="K872">
        <v>2013</v>
      </c>
      <c r="L872" t="s">
        <v>43</v>
      </c>
      <c r="M872" t="s">
        <v>64</v>
      </c>
      <c r="N872" t="s">
        <v>14</v>
      </c>
      <c r="O872" t="s">
        <v>188</v>
      </c>
      <c r="P872" s="1" t="s">
        <v>30</v>
      </c>
      <c r="Q872">
        <v>114.9</v>
      </c>
    </row>
    <row r="873" spans="1:17" x14ac:dyDescent="0.3">
      <c r="A873">
        <v>2015</v>
      </c>
      <c r="B873" t="s">
        <v>38</v>
      </c>
      <c r="C873" t="s">
        <v>86</v>
      </c>
      <c r="D873" s="1" t="s">
        <v>8</v>
      </c>
      <c r="E873" s="4">
        <v>134.1</v>
      </c>
      <c r="F873" s="4">
        <v>132.6</v>
      </c>
      <c r="G873" s="4">
        <v>130.80000000000001</v>
      </c>
      <c r="H873" s="1" t="s">
        <v>188</v>
      </c>
      <c r="K873">
        <v>2013</v>
      </c>
      <c r="L873" t="s">
        <v>43</v>
      </c>
      <c r="M873" t="s">
        <v>64</v>
      </c>
      <c r="N873" t="s">
        <v>14</v>
      </c>
      <c r="O873" t="s">
        <v>188</v>
      </c>
      <c r="P873" s="1" t="s">
        <v>34</v>
      </c>
      <c r="Q873">
        <v>115.4</v>
      </c>
    </row>
    <row r="874" spans="1:17" x14ac:dyDescent="0.3">
      <c r="A874">
        <v>2015</v>
      </c>
      <c r="B874" t="s">
        <v>38</v>
      </c>
      <c r="C874" t="s">
        <v>86</v>
      </c>
      <c r="D874" s="1" t="s">
        <v>21</v>
      </c>
      <c r="E874" s="4">
        <v>121.9</v>
      </c>
      <c r="F874" s="4">
        <v>119.2</v>
      </c>
      <c r="G874" s="4">
        <v>114.9</v>
      </c>
      <c r="H874" s="1" t="s">
        <v>190</v>
      </c>
      <c r="K874">
        <v>2013</v>
      </c>
      <c r="L874" t="s">
        <v>43</v>
      </c>
      <c r="M874" t="s">
        <v>64</v>
      </c>
      <c r="N874" t="s">
        <v>14</v>
      </c>
      <c r="O874" t="s">
        <v>188</v>
      </c>
      <c r="P874" s="1" t="s">
        <v>33</v>
      </c>
      <c r="Q874">
        <v>116</v>
      </c>
    </row>
    <row r="875" spans="1:17" x14ac:dyDescent="0.3">
      <c r="A875">
        <v>2015</v>
      </c>
      <c r="B875" t="s">
        <v>38</v>
      </c>
      <c r="C875" t="s">
        <v>86</v>
      </c>
      <c r="D875" s="1" t="s">
        <v>29</v>
      </c>
      <c r="E875" s="4">
        <v>122.4</v>
      </c>
      <c r="F875" s="4">
        <v>121.6</v>
      </c>
      <c r="G875" s="4">
        <v>120.7</v>
      </c>
      <c r="H875" s="1" t="s">
        <v>206</v>
      </c>
      <c r="K875">
        <v>2013</v>
      </c>
      <c r="L875" t="s">
        <v>43</v>
      </c>
      <c r="M875" t="s">
        <v>64</v>
      </c>
      <c r="N875" t="s">
        <v>10</v>
      </c>
      <c r="O875" t="s">
        <v>188</v>
      </c>
      <c r="P875" s="1" t="s">
        <v>30</v>
      </c>
      <c r="Q875">
        <v>108.3</v>
      </c>
    </row>
    <row r="876" spans="1:17" x14ac:dyDescent="0.3">
      <c r="A876">
        <v>2015</v>
      </c>
      <c r="B876" t="s">
        <v>38</v>
      </c>
      <c r="C876" t="s">
        <v>86</v>
      </c>
      <c r="D876" s="1" t="s">
        <v>23</v>
      </c>
      <c r="E876" s="4">
        <v>119.4</v>
      </c>
      <c r="F876" s="4">
        <v>117.7</v>
      </c>
      <c r="G876" s="4">
        <v>114.9</v>
      </c>
      <c r="H876" s="1" t="s">
        <v>23</v>
      </c>
      <c r="K876">
        <v>2013</v>
      </c>
      <c r="L876" t="s">
        <v>43</v>
      </c>
      <c r="M876" t="s">
        <v>64</v>
      </c>
      <c r="N876" t="s">
        <v>10</v>
      </c>
      <c r="O876" t="s">
        <v>188</v>
      </c>
      <c r="P876" s="1" t="s">
        <v>34</v>
      </c>
      <c r="Q876">
        <v>107.3</v>
      </c>
    </row>
    <row r="877" spans="1:17" x14ac:dyDescent="0.3">
      <c r="A877">
        <v>2015</v>
      </c>
      <c r="B877" t="s">
        <v>38</v>
      </c>
      <c r="C877" t="s">
        <v>86</v>
      </c>
      <c r="D877" s="1" t="s">
        <v>22</v>
      </c>
      <c r="E877" s="4">
        <v>121.5</v>
      </c>
      <c r="F877" s="4">
        <v>120.2</v>
      </c>
      <c r="G877" s="4">
        <v>118.7</v>
      </c>
      <c r="H877" s="1" t="s">
        <v>20</v>
      </c>
      <c r="K877">
        <v>2013</v>
      </c>
      <c r="L877" t="s">
        <v>43</v>
      </c>
      <c r="M877" t="s">
        <v>64</v>
      </c>
      <c r="N877" t="s">
        <v>10</v>
      </c>
      <c r="O877" t="s">
        <v>188</v>
      </c>
      <c r="P877" s="1" t="s">
        <v>33</v>
      </c>
      <c r="Q877">
        <v>105.3</v>
      </c>
    </row>
    <row r="878" spans="1:17" x14ac:dyDescent="0.3">
      <c r="A878">
        <v>2015</v>
      </c>
      <c r="B878" t="s">
        <v>38</v>
      </c>
      <c r="C878" t="s">
        <v>86</v>
      </c>
      <c r="D878" s="1" t="s">
        <v>20</v>
      </c>
      <c r="E878" s="4">
        <v>0</v>
      </c>
      <c r="F878" s="4">
        <v>119.6</v>
      </c>
      <c r="G878" s="4">
        <v>119.6</v>
      </c>
      <c r="H878" s="1" t="s">
        <v>20</v>
      </c>
      <c r="K878">
        <v>2013</v>
      </c>
      <c r="L878" t="s">
        <v>43</v>
      </c>
      <c r="M878" t="s">
        <v>64</v>
      </c>
      <c r="N878" t="s">
        <v>25</v>
      </c>
      <c r="O878" t="s">
        <v>195</v>
      </c>
      <c r="P878" s="1" t="s">
        <v>30</v>
      </c>
      <c r="Q878">
        <v>108.3</v>
      </c>
    </row>
    <row r="879" spans="1:17" x14ac:dyDescent="0.3">
      <c r="A879">
        <v>2015</v>
      </c>
      <c r="B879" t="s">
        <v>38</v>
      </c>
      <c r="C879" t="s">
        <v>86</v>
      </c>
      <c r="D879" s="1" t="s">
        <v>4</v>
      </c>
      <c r="E879" s="4">
        <v>127.1</v>
      </c>
      <c r="F879" s="4">
        <v>128</v>
      </c>
      <c r="G879" s="4">
        <v>129.69999999999999</v>
      </c>
      <c r="H879" s="1" t="s">
        <v>188</v>
      </c>
      <c r="K879">
        <v>2013</v>
      </c>
      <c r="L879" t="s">
        <v>43</v>
      </c>
      <c r="M879" t="s">
        <v>64</v>
      </c>
      <c r="N879" t="s">
        <v>25</v>
      </c>
      <c r="O879" t="s">
        <v>195</v>
      </c>
      <c r="P879" s="1" t="s">
        <v>34</v>
      </c>
      <c r="Q879">
        <v>108.1</v>
      </c>
    </row>
    <row r="880" spans="1:17" x14ac:dyDescent="0.3">
      <c r="A880">
        <v>2015</v>
      </c>
      <c r="B880" t="s">
        <v>38</v>
      </c>
      <c r="C880" t="s">
        <v>86</v>
      </c>
      <c r="D880" s="1" t="s">
        <v>6</v>
      </c>
      <c r="E880" s="4">
        <v>127.7</v>
      </c>
      <c r="F880" s="4">
        <v>127.3</v>
      </c>
      <c r="G880" s="4">
        <v>126.6</v>
      </c>
      <c r="H880" s="1" t="s">
        <v>188</v>
      </c>
      <c r="K880">
        <v>2013</v>
      </c>
      <c r="L880" t="s">
        <v>43</v>
      </c>
      <c r="M880" t="s">
        <v>64</v>
      </c>
      <c r="N880" t="s">
        <v>25</v>
      </c>
      <c r="O880" t="s">
        <v>195</v>
      </c>
      <c r="P880" s="1" t="s">
        <v>33</v>
      </c>
      <c r="Q880">
        <v>108</v>
      </c>
    </row>
    <row r="881" spans="1:17" x14ac:dyDescent="0.3">
      <c r="A881">
        <v>2015</v>
      </c>
      <c r="B881" t="s">
        <v>38</v>
      </c>
      <c r="C881" t="s">
        <v>86</v>
      </c>
      <c r="D881" s="1" t="s">
        <v>28</v>
      </c>
      <c r="E881" s="4">
        <v>116.9</v>
      </c>
      <c r="F881" s="4">
        <v>116.1</v>
      </c>
      <c r="G881" s="4">
        <v>115.2</v>
      </c>
      <c r="H881" s="1" t="s">
        <v>192</v>
      </c>
      <c r="K881">
        <v>2013</v>
      </c>
      <c r="L881" t="s">
        <v>43</v>
      </c>
      <c r="M881" t="s">
        <v>64</v>
      </c>
      <c r="N881" t="s">
        <v>12</v>
      </c>
      <c r="O881" t="s">
        <v>188</v>
      </c>
      <c r="P881" s="1" t="s">
        <v>30</v>
      </c>
      <c r="Q881">
        <v>108.2</v>
      </c>
    </row>
    <row r="882" spans="1:17" x14ac:dyDescent="0.3">
      <c r="A882">
        <v>2015</v>
      </c>
      <c r="B882" t="s">
        <v>38</v>
      </c>
      <c r="C882" t="s">
        <v>86</v>
      </c>
      <c r="D882" s="1" t="s">
        <v>13</v>
      </c>
      <c r="E882" s="4">
        <v>120.2</v>
      </c>
      <c r="F882" s="4">
        <v>119.2</v>
      </c>
      <c r="G882" s="4">
        <v>117.7</v>
      </c>
      <c r="H882" s="1" t="s">
        <v>188</v>
      </c>
      <c r="K882">
        <v>2013</v>
      </c>
      <c r="L882" t="s">
        <v>43</v>
      </c>
      <c r="M882" t="s">
        <v>64</v>
      </c>
      <c r="N882" t="s">
        <v>12</v>
      </c>
      <c r="O882" t="s">
        <v>188</v>
      </c>
      <c r="P882" s="1" t="s">
        <v>34</v>
      </c>
      <c r="Q882">
        <v>108.7</v>
      </c>
    </row>
    <row r="883" spans="1:17" x14ac:dyDescent="0.3">
      <c r="A883">
        <v>2015</v>
      </c>
      <c r="B883" t="s">
        <v>38</v>
      </c>
      <c r="C883" t="s">
        <v>86</v>
      </c>
      <c r="D883" s="1" t="s">
        <v>7</v>
      </c>
      <c r="E883" s="4">
        <v>112.5</v>
      </c>
      <c r="F883" s="4">
        <v>109.8</v>
      </c>
      <c r="G883" s="4">
        <v>105.2</v>
      </c>
      <c r="H883" s="1" t="s">
        <v>188</v>
      </c>
      <c r="K883">
        <v>2013</v>
      </c>
      <c r="L883" t="s">
        <v>43</v>
      </c>
      <c r="M883" t="s">
        <v>64</v>
      </c>
      <c r="N883" t="s">
        <v>12</v>
      </c>
      <c r="O883" t="s">
        <v>188</v>
      </c>
      <c r="P883" s="1" t="s">
        <v>33</v>
      </c>
      <c r="Q883">
        <v>109.6</v>
      </c>
    </row>
    <row r="884" spans="1:17" x14ac:dyDescent="0.3">
      <c r="A884">
        <v>2015</v>
      </c>
      <c r="B884" t="s">
        <v>38</v>
      </c>
      <c r="C884" t="s">
        <v>86</v>
      </c>
      <c r="D884" s="1" t="s">
        <v>16</v>
      </c>
      <c r="E884" s="4">
        <v>126.7</v>
      </c>
      <c r="F884" s="4">
        <v>127.9</v>
      </c>
      <c r="G884" s="4">
        <v>131.30000000000001</v>
      </c>
      <c r="H884" s="1" t="s">
        <v>192</v>
      </c>
      <c r="K884">
        <v>2013</v>
      </c>
      <c r="L884" t="s">
        <v>43</v>
      </c>
      <c r="M884" t="s">
        <v>64</v>
      </c>
      <c r="N884" t="s">
        <v>11</v>
      </c>
      <c r="O884" t="s">
        <v>188</v>
      </c>
      <c r="P884" s="1" t="s">
        <v>30</v>
      </c>
      <c r="Q884">
        <v>103.9</v>
      </c>
    </row>
    <row r="885" spans="1:17" x14ac:dyDescent="0.3">
      <c r="A885">
        <v>2015</v>
      </c>
      <c r="B885" t="s">
        <v>38</v>
      </c>
      <c r="C885" t="s">
        <v>86</v>
      </c>
      <c r="D885" s="1" t="s">
        <v>27</v>
      </c>
      <c r="E885" s="4">
        <v>112.3</v>
      </c>
      <c r="F885" s="4">
        <v>112.3</v>
      </c>
      <c r="G885" s="4">
        <v>112.4</v>
      </c>
      <c r="H885" s="1" t="s">
        <v>192</v>
      </c>
      <c r="K885">
        <v>2013</v>
      </c>
      <c r="L885" t="s">
        <v>43</v>
      </c>
      <c r="M885" t="s">
        <v>64</v>
      </c>
      <c r="N885" t="s">
        <v>11</v>
      </c>
      <c r="O885" t="s">
        <v>188</v>
      </c>
      <c r="P885" s="1" t="s">
        <v>34</v>
      </c>
      <c r="Q885">
        <v>102.7</v>
      </c>
    </row>
    <row r="886" spans="1:17" x14ac:dyDescent="0.3">
      <c r="A886">
        <v>2015</v>
      </c>
      <c r="B886" t="s">
        <v>38</v>
      </c>
      <c r="C886" t="s">
        <v>86</v>
      </c>
      <c r="D886" s="1" t="s">
        <v>14</v>
      </c>
      <c r="E886" s="4">
        <v>129.80000000000001</v>
      </c>
      <c r="F886" s="4">
        <v>129.80000000000001</v>
      </c>
      <c r="G886" s="4">
        <v>129.9</v>
      </c>
      <c r="H886" s="1" t="s">
        <v>188</v>
      </c>
      <c r="K886">
        <v>2013</v>
      </c>
      <c r="L886" t="s">
        <v>43</v>
      </c>
      <c r="M886" t="s">
        <v>64</v>
      </c>
      <c r="N886" t="s">
        <v>11</v>
      </c>
      <c r="O886" t="s">
        <v>188</v>
      </c>
      <c r="P886" s="1" t="s">
        <v>33</v>
      </c>
      <c r="Q886">
        <v>100.2</v>
      </c>
    </row>
    <row r="887" spans="1:17" x14ac:dyDescent="0.3">
      <c r="A887">
        <v>2015</v>
      </c>
      <c r="B887" t="s">
        <v>38</v>
      </c>
      <c r="C887" t="s">
        <v>86</v>
      </c>
      <c r="D887" s="1" t="s">
        <v>10</v>
      </c>
      <c r="E887" s="4">
        <v>124.3</v>
      </c>
      <c r="F887" s="4">
        <v>130.5</v>
      </c>
      <c r="G887" s="4">
        <v>142.6</v>
      </c>
      <c r="H887" s="1" t="s">
        <v>188</v>
      </c>
      <c r="K887">
        <v>2013</v>
      </c>
      <c r="L887" t="s">
        <v>43</v>
      </c>
      <c r="M887" t="s">
        <v>64</v>
      </c>
      <c r="N887" t="s">
        <v>24</v>
      </c>
      <c r="O887" t="s">
        <v>191</v>
      </c>
      <c r="P887" s="1" t="s">
        <v>30</v>
      </c>
      <c r="Q887">
        <v>109.3</v>
      </c>
    </row>
    <row r="888" spans="1:17" x14ac:dyDescent="0.3">
      <c r="A888">
        <v>2015</v>
      </c>
      <c r="B888" t="s">
        <v>38</v>
      </c>
      <c r="C888" t="s">
        <v>86</v>
      </c>
      <c r="D888" s="1" t="s">
        <v>25</v>
      </c>
      <c r="E888" s="4">
        <v>116.7</v>
      </c>
      <c r="F888" s="4">
        <v>116.3</v>
      </c>
      <c r="G888" s="4">
        <v>116</v>
      </c>
      <c r="H888" s="1" t="s">
        <v>195</v>
      </c>
      <c r="K888">
        <v>2013</v>
      </c>
      <c r="L888" t="s">
        <v>43</v>
      </c>
      <c r="M888" t="s">
        <v>64</v>
      </c>
      <c r="N888" t="s">
        <v>24</v>
      </c>
      <c r="O888" t="s">
        <v>191</v>
      </c>
      <c r="P888" s="1" t="s">
        <v>34</v>
      </c>
      <c r="Q888">
        <v>109.5</v>
      </c>
    </row>
    <row r="889" spans="1:17" x14ac:dyDescent="0.3">
      <c r="A889">
        <v>2015</v>
      </c>
      <c r="B889" t="s">
        <v>38</v>
      </c>
      <c r="C889" t="s">
        <v>86</v>
      </c>
      <c r="D889" s="1" t="s">
        <v>12</v>
      </c>
      <c r="E889" s="4">
        <v>120.7</v>
      </c>
      <c r="F889" s="4">
        <v>123.4</v>
      </c>
      <c r="G889" s="4">
        <v>128.80000000000001</v>
      </c>
      <c r="H889" s="1" t="s">
        <v>188</v>
      </c>
      <c r="K889">
        <v>2013</v>
      </c>
      <c r="L889" t="s">
        <v>43</v>
      </c>
      <c r="M889" t="s">
        <v>64</v>
      </c>
      <c r="N889" t="s">
        <v>24</v>
      </c>
      <c r="O889" t="s">
        <v>191</v>
      </c>
      <c r="P889" s="1" t="s">
        <v>33</v>
      </c>
      <c r="Q889">
        <v>109.7</v>
      </c>
    </row>
    <row r="890" spans="1:17" x14ac:dyDescent="0.3">
      <c r="A890">
        <v>2015</v>
      </c>
      <c r="B890" t="s">
        <v>38</v>
      </c>
      <c r="C890" t="s">
        <v>86</v>
      </c>
      <c r="D890" s="1" t="s">
        <v>11</v>
      </c>
      <c r="E890" s="4">
        <v>97.6</v>
      </c>
      <c r="F890" s="4">
        <v>95.3</v>
      </c>
      <c r="G890" s="4">
        <v>90.8</v>
      </c>
      <c r="H890" s="1" t="s">
        <v>188</v>
      </c>
      <c r="K890">
        <v>2013</v>
      </c>
      <c r="L890" t="s">
        <v>43</v>
      </c>
      <c r="M890" t="s">
        <v>64</v>
      </c>
      <c r="N890" t="s">
        <v>9</v>
      </c>
      <c r="O890" t="s">
        <v>188</v>
      </c>
      <c r="P890" s="1" t="s">
        <v>30</v>
      </c>
      <c r="Q890">
        <v>164.9</v>
      </c>
    </row>
    <row r="891" spans="1:17" x14ac:dyDescent="0.3">
      <c r="A891">
        <v>2015</v>
      </c>
      <c r="B891" t="s">
        <v>38</v>
      </c>
      <c r="C891" t="s">
        <v>86</v>
      </c>
      <c r="D891" s="1" t="s">
        <v>24</v>
      </c>
      <c r="E891" s="4">
        <v>113.3</v>
      </c>
      <c r="F891" s="4">
        <v>112</v>
      </c>
      <c r="G891" s="4">
        <v>110.8</v>
      </c>
      <c r="H891" s="1" t="s">
        <v>191</v>
      </c>
      <c r="K891">
        <v>2013</v>
      </c>
      <c r="L891" t="s">
        <v>43</v>
      </c>
      <c r="M891" t="s">
        <v>64</v>
      </c>
      <c r="N891" t="s">
        <v>9</v>
      </c>
      <c r="O891" t="s">
        <v>188</v>
      </c>
      <c r="P891" s="1" t="s">
        <v>34</v>
      </c>
      <c r="Q891">
        <v>171.2</v>
      </c>
    </row>
    <row r="892" spans="1:17" x14ac:dyDescent="0.3">
      <c r="A892">
        <v>2015</v>
      </c>
      <c r="B892" t="s">
        <v>38</v>
      </c>
      <c r="C892" t="s">
        <v>86</v>
      </c>
      <c r="D892" s="1" t="s">
        <v>9</v>
      </c>
      <c r="E892" s="4">
        <v>128.5</v>
      </c>
      <c r="F892" s="4">
        <v>130.9</v>
      </c>
      <c r="G892" s="4">
        <v>135.6</v>
      </c>
      <c r="H892" s="1" t="s">
        <v>188</v>
      </c>
      <c r="K892">
        <v>2013</v>
      </c>
      <c r="L892" t="s">
        <v>43</v>
      </c>
      <c r="M892" t="s">
        <v>64</v>
      </c>
      <c r="N892" t="s">
        <v>9</v>
      </c>
      <c r="O892" t="s">
        <v>188</v>
      </c>
      <c r="P892" s="1" t="s">
        <v>33</v>
      </c>
      <c r="Q892">
        <v>183.5</v>
      </c>
    </row>
    <row r="893" spans="1:17" x14ac:dyDescent="0.3">
      <c r="A893">
        <v>2015</v>
      </c>
      <c r="B893" t="s">
        <v>44</v>
      </c>
      <c r="C893" t="s">
        <v>87</v>
      </c>
      <c r="D893" s="1" t="s">
        <v>3</v>
      </c>
      <c r="E893" s="4">
        <v>126.1</v>
      </c>
      <c r="F893" s="4">
        <v>125.4</v>
      </c>
      <c r="G893" s="4">
        <v>124</v>
      </c>
      <c r="H893" s="1" t="s">
        <v>188</v>
      </c>
      <c r="K893">
        <v>2013</v>
      </c>
      <c r="L893" t="s">
        <v>42</v>
      </c>
      <c r="M893" t="s">
        <v>65</v>
      </c>
      <c r="N893" t="s">
        <v>3</v>
      </c>
      <c r="O893" t="s">
        <v>188</v>
      </c>
      <c r="P893" s="1" t="s">
        <v>30</v>
      </c>
      <c r="Q893">
        <v>115.4</v>
      </c>
    </row>
    <row r="894" spans="1:17" x14ac:dyDescent="0.3">
      <c r="A894">
        <v>2015</v>
      </c>
      <c r="B894" t="s">
        <v>44</v>
      </c>
      <c r="C894" t="s">
        <v>87</v>
      </c>
      <c r="D894" s="1" t="s">
        <v>17</v>
      </c>
      <c r="E894" s="4">
        <v>132.1</v>
      </c>
      <c r="F894" s="4">
        <v>129.30000000000001</v>
      </c>
      <c r="G894" s="4">
        <v>125</v>
      </c>
      <c r="H894" s="1" t="s">
        <v>189</v>
      </c>
      <c r="K894">
        <v>2013</v>
      </c>
      <c r="L894" t="s">
        <v>42</v>
      </c>
      <c r="M894" t="s">
        <v>65</v>
      </c>
      <c r="N894" t="s">
        <v>3</v>
      </c>
      <c r="O894" t="s">
        <v>188</v>
      </c>
      <c r="P894" s="1" t="s">
        <v>34</v>
      </c>
      <c r="Q894">
        <v>116.4</v>
      </c>
    </row>
    <row r="895" spans="1:17" x14ac:dyDescent="0.3">
      <c r="A895">
        <v>2015</v>
      </c>
      <c r="B895" t="s">
        <v>44</v>
      </c>
      <c r="C895" t="s">
        <v>87</v>
      </c>
      <c r="D895" s="1" t="s">
        <v>19</v>
      </c>
      <c r="E895" s="4">
        <v>131.5</v>
      </c>
      <c r="F895" s="4">
        <v>128.6</v>
      </c>
      <c r="G895" s="4">
        <v>124.2</v>
      </c>
      <c r="H895" s="1" t="s">
        <v>189</v>
      </c>
      <c r="K895">
        <v>2013</v>
      </c>
      <c r="L895" t="s">
        <v>42</v>
      </c>
      <c r="M895" t="s">
        <v>65</v>
      </c>
      <c r="N895" t="s">
        <v>3</v>
      </c>
      <c r="O895" t="s">
        <v>188</v>
      </c>
      <c r="P895" s="1" t="s">
        <v>33</v>
      </c>
      <c r="Q895">
        <v>118.6</v>
      </c>
    </row>
    <row r="896" spans="1:17" x14ac:dyDescent="0.3">
      <c r="A896">
        <v>2015</v>
      </c>
      <c r="B896" t="s">
        <v>44</v>
      </c>
      <c r="C896" t="s">
        <v>87</v>
      </c>
      <c r="D896" s="1" t="s">
        <v>26</v>
      </c>
      <c r="E896" s="4">
        <v>125.8</v>
      </c>
      <c r="F896" s="4">
        <v>126.3</v>
      </c>
      <c r="G896" s="4">
        <v>126.6</v>
      </c>
      <c r="H896" s="1" t="s">
        <v>26</v>
      </c>
      <c r="K896">
        <v>2013</v>
      </c>
      <c r="L896" t="s">
        <v>42</v>
      </c>
      <c r="M896" t="s">
        <v>65</v>
      </c>
      <c r="N896" t="s">
        <v>17</v>
      </c>
      <c r="O896" t="s">
        <v>189</v>
      </c>
      <c r="P896" s="1" t="s">
        <v>30</v>
      </c>
      <c r="Q896">
        <v>112.7</v>
      </c>
    </row>
    <row r="897" spans="1:17" x14ac:dyDescent="0.3">
      <c r="A897">
        <v>2015</v>
      </c>
      <c r="B897" t="s">
        <v>44</v>
      </c>
      <c r="C897" t="s">
        <v>87</v>
      </c>
      <c r="D897" s="1" t="s">
        <v>5</v>
      </c>
      <c r="E897" s="4">
        <v>121.7</v>
      </c>
      <c r="F897" s="4">
        <v>121.6</v>
      </c>
      <c r="G897" s="4">
        <v>121.5</v>
      </c>
      <c r="H897" s="1" t="s">
        <v>188</v>
      </c>
      <c r="K897">
        <v>2013</v>
      </c>
      <c r="L897" t="s">
        <v>42</v>
      </c>
      <c r="M897" t="s">
        <v>65</v>
      </c>
      <c r="N897" t="s">
        <v>17</v>
      </c>
      <c r="O897" t="s">
        <v>189</v>
      </c>
      <c r="P897" s="1" t="s">
        <v>34</v>
      </c>
      <c r="Q897">
        <v>112.2</v>
      </c>
    </row>
    <row r="898" spans="1:17" x14ac:dyDescent="0.3">
      <c r="A898">
        <v>2015</v>
      </c>
      <c r="B898" t="s">
        <v>44</v>
      </c>
      <c r="C898" t="s">
        <v>87</v>
      </c>
      <c r="D898" s="1" t="s">
        <v>15</v>
      </c>
      <c r="E898" s="4">
        <v>132.4</v>
      </c>
      <c r="F898" s="4">
        <v>132.69999999999999</v>
      </c>
      <c r="G898" s="4">
        <v>133.30000000000001</v>
      </c>
      <c r="H898" s="1" t="s">
        <v>188</v>
      </c>
      <c r="K898">
        <v>2013</v>
      </c>
      <c r="L898" t="s">
        <v>42</v>
      </c>
      <c r="M898" t="s">
        <v>65</v>
      </c>
      <c r="N898" t="s">
        <v>17</v>
      </c>
      <c r="O898" t="s">
        <v>189</v>
      </c>
      <c r="P898" s="1" t="s">
        <v>33</v>
      </c>
      <c r="Q898">
        <v>111.4</v>
      </c>
    </row>
    <row r="899" spans="1:17" x14ac:dyDescent="0.3">
      <c r="A899">
        <v>2015</v>
      </c>
      <c r="B899" t="s">
        <v>44</v>
      </c>
      <c r="C899" t="s">
        <v>87</v>
      </c>
      <c r="D899" s="1" t="s">
        <v>18</v>
      </c>
      <c r="E899" s="4">
        <v>128.19999999999999</v>
      </c>
      <c r="F899" s="4">
        <v>124.5</v>
      </c>
      <c r="G899" s="4">
        <v>119.3</v>
      </c>
      <c r="H899" s="1" t="s">
        <v>189</v>
      </c>
      <c r="K899">
        <v>2013</v>
      </c>
      <c r="L899" t="s">
        <v>42</v>
      </c>
      <c r="M899" t="s">
        <v>65</v>
      </c>
      <c r="N899" t="s">
        <v>19</v>
      </c>
      <c r="O899" t="s">
        <v>189</v>
      </c>
      <c r="P899" s="1" t="s">
        <v>30</v>
      </c>
      <c r="Q899">
        <v>112.5</v>
      </c>
    </row>
    <row r="900" spans="1:17" x14ac:dyDescent="0.3">
      <c r="A900">
        <v>2015</v>
      </c>
      <c r="B900" t="s">
        <v>44</v>
      </c>
      <c r="C900" t="s">
        <v>87</v>
      </c>
      <c r="D900" s="1" t="s">
        <v>8</v>
      </c>
      <c r="E900" s="4">
        <v>132.1</v>
      </c>
      <c r="F900" s="4">
        <v>128.19999999999999</v>
      </c>
      <c r="G900" s="4">
        <v>123.7</v>
      </c>
      <c r="H900" s="1" t="s">
        <v>188</v>
      </c>
      <c r="K900">
        <v>2013</v>
      </c>
      <c r="L900" t="s">
        <v>42</v>
      </c>
      <c r="M900" t="s">
        <v>65</v>
      </c>
      <c r="N900" t="s">
        <v>19</v>
      </c>
      <c r="O900" t="s">
        <v>189</v>
      </c>
      <c r="P900" s="1" t="s">
        <v>34</v>
      </c>
      <c r="Q900">
        <v>111.9</v>
      </c>
    </row>
    <row r="901" spans="1:17" x14ac:dyDescent="0.3">
      <c r="A901">
        <v>2015</v>
      </c>
      <c r="B901" t="s">
        <v>44</v>
      </c>
      <c r="C901" t="s">
        <v>87</v>
      </c>
      <c r="D901" s="1" t="s">
        <v>21</v>
      </c>
      <c r="E901" s="4">
        <v>125.6</v>
      </c>
      <c r="F901" s="4">
        <v>121.6</v>
      </c>
      <c r="G901" s="4">
        <v>115.1</v>
      </c>
      <c r="H901" s="1" t="s">
        <v>190</v>
      </c>
      <c r="K901">
        <v>2013</v>
      </c>
      <c r="L901" t="s">
        <v>42</v>
      </c>
      <c r="M901" t="s">
        <v>65</v>
      </c>
      <c r="N901" t="s">
        <v>19</v>
      </c>
      <c r="O901" t="s">
        <v>189</v>
      </c>
      <c r="P901" s="1" t="s">
        <v>33</v>
      </c>
      <c r="Q901">
        <v>111.1</v>
      </c>
    </row>
    <row r="902" spans="1:17" x14ac:dyDescent="0.3">
      <c r="A902">
        <v>2015</v>
      </c>
      <c r="B902" t="s">
        <v>44</v>
      </c>
      <c r="C902" t="s">
        <v>87</v>
      </c>
      <c r="D902" s="1" t="s">
        <v>29</v>
      </c>
      <c r="E902" s="4">
        <v>128.30000000000001</v>
      </c>
      <c r="F902" s="4">
        <v>126.6</v>
      </c>
      <c r="G902" s="4">
        <v>124.6</v>
      </c>
      <c r="H902" s="1" t="s">
        <v>206</v>
      </c>
      <c r="K902">
        <v>2013</v>
      </c>
      <c r="L902" t="s">
        <v>42</v>
      </c>
      <c r="M902" t="s">
        <v>65</v>
      </c>
      <c r="N902" t="s">
        <v>26</v>
      </c>
      <c r="O902" t="s">
        <v>26</v>
      </c>
      <c r="P902" s="1" t="s">
        <v>30</v>
      </c>
      <c r="Q902">
        <v>109.8</v>
      </c>
    </row>
    <row r="903" spans="1:17" x14ac:dyDescent="0.3">
      <c r="A903">
        <v>2015</v>
      </c>
      <c r="B903" t="s">
        <v>44</v>
      </c>
      <c r="C903" t="s">
        <v>87</v>
      </c>
      <c r="D903" s="1" t="s">
        <v>23</v>
      </c>
      <c r="E903" s="4">
        <v>122.6</v>
      </c>
      <c r="F903" s="4">
        <v>120.9</v>
      </c>
      <c r="G903" s="4">
        <v>118.1</v>
      </c>
      <c r="H903" s="1" t="s">
        <v>23</v>
      </c>
      <c r="K903">
        <v>2013</v>
      </c>
      <c r="L903" t="s">
        <v>42</v>
      </c>
      <c r="M903" t="s">
        <v>65</v>
      </c>
      <c r="N903" t="s">
        <v>26</v>
      </c>
      <c r="O903" t="s">
        <v>26</v>
      </c>
      <c r="P903" s="1" t="s">
        <v>34</v>
      </c>
      <c r="Q903">
        <v>110.6</v>
      </c>
    </row>
    <row r="904" spans="1:17" x14ac:dyDescent="0.3">
      <c r="A904">
        <v>2015</v>
      </c>
      <c r="B904" t="s">
        <v>44</v>
      </c>
      <c r="C904" t="s">
        <v>87</v>
      </c>
      <c r="D904" s="1" t="s">
        <v>22</v>
      </c>
      <c r="E904" s="4">
        <v>125.6</v>
      </c>
      <c r="F904" s="4">
        <v>123.4</v>
      </c>
      <c r="G904" s="4">
        <v>121</v>
      </c>
      <c r="H904" s="1" t="s">
        <v>20</v>
      </c>
      <c r="K904">
        <v>2013</v>
      </c>
      <c r="L904" t="s">
        <v>42</v>
      </c>
      <c r="M904" t="s">
        <v>65</v>
      </c>
      <c r="N904" t="s">
        <v>26</v>
      </c>
      <c r="O904" t="s">
        <v>26</v>
      </c>
      <c r="P904" s="1" t="s">
        <v>33</v>
      </c>
      <c r="Q904">
        <v>111.2</v>
      </c>
    </row>
    <row r="905" spans="1:17" x14ac:dyDescent="0.3">
      <c r="A905">
        <v>2015</v>
      </c>
      <c r="B905" t="s">
        <v>44</v>
      </c>
      <c r="C905" t="s">
        <v>87</v>
      </c>
      <c r="D905" s="1" t="s">
        <v>20</v>
      </c>
      <c r="E905" s="4">
        <v>0</v>
      </c>
      <c r="F905" s="4">
        <v>122.9</v>
      </c>
      <c r="G905" s="4">
        <v>122.9</v>
      </c>
      <c r="H905" s="1" t="s">
        <v>20</v>
      </c>
      <c r="K905">
        <v>2013</v>
      </c>
      <c r="L905" t="s">
        <v>42</v>
      </c>
      <c r="M905" t="s">
        <v>65</v>
      </c>
      <c r="N905" t="s">
        <v>5</v>
      </c>
      <c r="O905" t="s">
        <v>188</v>
      </c>
      <c r="P905" s="1" t="s">
        <v>30</v>
      </c>
      <c r="Q905">
        <v>111.7</v>
      </c>
    </row>
    <row r="906" spans="1:17" x14ac:dyDescent="0.3">
      <c r="A906">
        <v>2015</v>
      </c>
      <c r="B906" t="s">
        <v>44</v>
      </c>
      <c r="C906" t="s">
        <v>87</v>
      </c>
      <c r="D906" s="1" t="s">
        <v>4</v>
      </c>
      <c r="E906" s="4">
        <v>130.6</v>
      </c>
      <c r="F906" s="4">
        <v>130.30000000000001</v>
      </c>
      <c r="G906" s="4">
        <v>129.80000000000001</v>
      </c>
      <c r="H906" s="1" t="s">
        <v>188</v>
      </c>
      <c r="K906">
        <v>2013</v>
      </c>
      <c r="L906" t="s">
        <v>42</v>
      </c>
      <c r="M906" t="s">
        <v>65</v>
      </c>
      <c r="N906" t="s">
        <v>5</v>
      </c>
      <c r="O906" t="s">
        <v>188</v>
      </c>
      <c r="P906" s="1" t="s">
        <v>34</v>
      </c>
      <c r="Q906">
        <v>112.3</v>
      </c>
    </row>
    <row r="907" spans="1:17" x14ac:dyDescent="0.3">
      <c r="A907">
        <v>2015</v>
      </c>
      <c r="B907" t="s">
        <v>44</v>
      </c>
      <c r="C907" t="s">
        <v>87</v>
      </c>
      <c r="D907" s="1" t="s">
        <v>6</v>
      </c>
      <c r="E907" s="4">
        <v>129.5</v>
      </c>
      <c r="F907" s="4">
        <v>129.19999999999999</v>
      </c>
      <c r="G907" s="4">
        <v>128.6</v>
      </c>
      <c r="H907" s="1" t="s">
        <v>188</v>
      </c>
      <c r="K907">
        <v>2013</v>
      </c>
      <c r="L907" t="s">
        <v>42</v>
      </c>
      <c r="M907" t="s">
        <v>65</v>
      </c>
      <c r="N907" t="s">
        <v>5</v>
      </c>
      <c r="O907" t="s">
        <v>188</v>
      </c>
      <c r="P907" s="1" t="s">
        <v>33</v>
      </c>
      <c r="Q907">
        <v>113.2</v>
      </c>
    </row>
    <row r="908" spans="1:17" x14ac:dyDescent="0.3">
      <c r="A908">
        <v>2015</v>
      </c>
      <c r="B908" t="s">
        <v>44</v>
      </c>
      <c r="C908" t="s">
        <v>87</v>
      </c>
      <c r="D908" s="1" t="s">
        <v>28</v>
      </c>
      <c r="E908" s="4">
        <v>119.6</v>
      </c>
      <c r="F908" s="4">
        <v>118.1</v>
      </c>
      <c r="G908" s="4">
        <v>116.6</v>
      </c>
      <c r="H908" s="1" t="s">
        <v>192</v>
      </c>
      <c r="K908">
        <v>2013</v>
      </c>
      <c r="L908" t="s">
        <v>42</v>
      </c>
      <c r="M908" t="s">
        <v>65</v>
      </c>
      <c r="N908" t="s">
        <v>15</v>
      </c>
      <c r="O908" t="s">
        <v>188</v>
      </c>
      <c r="P908" s="1" t="s">
        <v>30</v>
      </c>
      <c r="Q908">
        <v>117.8</v>
      </c>
    </row>
    <row r="909" spans="1:17" x14ac:dyDescent="0.3">
      <c r="A909">
        <v>2015</v>
      </c>
      <c r="B909" t="s">
        <v>44</v>
      </c>
      <c r="C909" t="s">
        <v>87</v>
      </c>
      <c r="D909" s="1" t="s">
        <v>13</v>
      </c>
      <c r="E909" s="4">
        <v>123.1</v>
      </c>
      <c r="F909" s="4">
        <v>121.7</v>
      </c>
      <c r="G909" s="4">
        <v>119.8</v>
      </c>
      <c r="H909" s="1" t="s">
        <v>188</v>
      </c>
      <c r="K909">
        <v>2013</v>
      </c>
      <c r="L909" t="s">
        <v>42</v>
      </c>
      <c r="M909" t="s">
        <v>65</v>
      </c>
      <c r="N909" t="s">
        <v>15</v>
      </c>
      <c r="O909" t="s">
        <v>188</v>
      </c>
      <c r="P909" s="1" t="s">
        <v>34</v>
      </c>
      <c r="Q909">
        <v>118.3</v>
      </c>
    </row>
    <row r="910" spans="1:17" x14ac:dyDescent="0.3">
      <c r="A910">
        <v>2015</v>
      </c>
      <c r="B910" t="s">
        <v>44</v>
      </c>
      <c r="C910" t="s">
        <v>87</v>
      </c>
      <c r="D910" s="1" t="s">
        <v>7</v>
      </c>
      <c r="E910" s="4">
        <v>117.8</v>
      </c>
      <c r="F910" s="4">
        <v>114.9</v>
      </c>
      <c r="G910" s="4">
        <v>110</v>
      </c>
      <c r="H910" s="1" t="s">
        <v>188</v>
      </c>
      <c r="K910">
        <v>2013</v>
      </c>
      <c r="L910" t="s">
        <v>42</v>
      </c>
      <c r="M910" t="s">
        <v>65</v>
      </c>
      <c r="N910" t="s">
        <v>15</v>
      </c>
      <c r="O910" t="s">
        <v>188</v>
      </c>
      <c r="P910" s="1" t="s">
        <v>33</v>
      </c>
      <c r="Q910">
        <v>119.2</v>
      </c>
    </row>
    <row r="911" spans="1:17" x14ac:dyDescent="0.3">
      <c r="A911">
        <v>2015</v>
      </c>
      <c r="B911" t="s">
        <v>44</v>
      </c>
      <c r="C911" t="s">
        <v>87</v>
      </c>
      <c r="D911" s="1" t="s">
        <v>16</v>
      </c>
      <c r="E911" s="4">
        <v>132.19999999999999</v>
      </c>
      <c r="F911" s="4">
        <v>133.6</v>
      </c>
      <c r="G911" s="4">
        <v>137.6</v>
      </c>
      <c r="H911" s="1" t="s">
        <v>192</v>
      </c>
      <c r="K911">
        <v>2013</v>
      </c>
      <c r="L911" t="s">
        <v>42</v>
      </c>
      <c r="M911" t="s">
        <v>65</v>
      </c>
      <c r="N911" t="s">
        <v>18</v>
      </c>
      <c r="O911" t="s">
        <v>189</v>
      </c>
      <c r="P911" s="1" t="s">
        <v>30</v>
      </c>
      <c r="Q911">
        <v>111.4</v>
      </c>
    </row>
    <row r="912" spans="1:17" x14ac:dyDescent="0.3">
      <c r="A912">
        <v>2015</v>
      </c>
      <c r="B912" t="s">
        <v>44</v>
      </c>
      <c r="C912" t="s">
        <v>87</v>
      </c>
      <c r="D912" s="1" t="s">
        <v>27</v>
      </c>
      <c r="E912" s="4">
        <v>114.2</v>
      </c>
      <c r="F912" s="4">
        <v>113.8</v>
      </c>
      <c r="G912" s="4">
        <v>113.3</v>
      </c>
      <c r="H912" s="1" t="s">
        <v>192</v>
      </c>
      <c r="K912">
        <v>2013</v>
      </c>
      <c r="L912" t="s">
        <v>42</v>
      </c>
      <c r="M912" t="s">
        <v>65</v>
      </c>
      <c r="N912" t="s">
        <v>18</v>
      </c>
      <c r="O912" t="s">
        <v>189</v>
      </c>
      <c r="P912" s="1" t="s">
        <v>34</v>
      </c>
      <c r="Q912">
        <v>110.4</v>
      </c>
    </row>
    <row r="913" spans="1:17" x14ac:dyDescent="0.3">
      <c r="A913">
        <v>2015</v>
      </c>
      <c r="B913" t="s">
        <v>44</v>
      </c>
      <c r="C913" t="s">
        <v>87</v>
      </c>
      <c r="D913" s="1" t="s">
        <v>14</v>
      </c>
      <c r="E913" s="4">
        <v>134.19999999999999</v>
      </c>
      <c r="F913" s="4">
        <v>134</v>
      </c>
      <c r="G913" s="4">
        <v>133.69999999999999</v>
      </c>
      <c r="H913" s="1" t="s">
        <v>188</v>
      </c>
      <c r="K913">
        <v>2013</v>
      </c>
      <c r="L913" t="s">
        <v>42</v>
      </c>
      <c r="M913" t="s">
        <v>65</v>
      </c>
      <c r="N913" t="s">
        <v>18</v>
      </c>
      <c r="O913" t="s">
        <v>189</v>
      </c>
      <c r="P913" s="1" t="s">
        <v>33</v>
      </c>
      <c r="Q913">
        <v>109</v>
      </c>
    </row>
    <row r="914" spans="1:17" x14ac:dyDescent="0.3">
      <c r="A914">
        <v>2015</v>
      </c>
      <c r="B914" t="s">
        <v>44</v>
      </c>
      <c r="C914" t="s">
        <v>87</v>
      </c>
      <c r="D914" s="1" t="s">
        <v>10</v>
      </c>
      <c r="E914" s="4">
        <v>160.80000000000001</v>
      </c>
      <c r="F914" s="4">
        <v>171.2</v>
      </c>
      <c r="G914" s="4">
        <v>191.6</v>
      </c>
      <c r="H914" s="1" t="s">
        <v>188</v>
      </c>
      <c r="K914">
        <v>2013</v>
      </c>
      <c r="L914" t="s">
        <v>42</v>
      </c>
      <c r="M914" t="s">
        <v>65</v>
      </c>
      <c r="N914" t="s">
        <v>8</v>
      </c>
      <c r="O914" t="s">
        <v>188</v>
      </c>
      <c r="P914" s="1" t="s">
        <v>30</v>
      </c>
      <c r="Q914">
        <v>110.9</v>
      </c>
    </row>
    <row r="915" spans="1:17" x14ac:dyDescent="0.3">
      <c r="A915">
        <v>2015</v>
      </c>
      <c r="B915" t="s">
        <v>44</v>
      </c>
      <c r="C915" t="s">
        <v>87</v>
      </c>
      <c r="D915" s="1" t="s">
        <v>25</v>
      </c>
      <c r="E915" s="4">
        <v>120.9</v>
      </c>
      <c r="F915" s="4">
        <v>119.2</v>
      </c>
      <c r="G915" s="4">
        <v>117.9</v>
      </c>
      <c r="H915" s="1" t="s">
        <v>195</v>
      </c>
      <c r="K915">
        <v>2013</v>
      </c>
      <c r="L915" t="s">
        <v>42</v>
      </c>
      <c r="M915" t="s">
        <v>65</v>
      </c>
      <c r="N915" t="s">
        <v>8</v>
      </c>
      <c r="O915" t="s">
        <v>188</v>
      </c>
      <c r="P915" s="1" t="s">
        <v>34</v>
      </c>
      <c r="Q915">
        <v>107.3</v>
      </c>
    </row>
    <row r="916" spans="1:17" x14ac:dyDescent="0.3">
      <c r="A916">
        <v>2015</v>
      </c>
      <c r="B916" t="s">
        <v>44</v>
      </c>
      <c r="C916" t="s">
        <v>87</v>
      </c>
      <c r="D916" s="1" t="s">
        <v>12</v>
      </c>
      <c r="E916" s="4">
        <v>128.30000000000001</v>
      </c>
      <c r="F916" s="4">
        <v>131.19999999999999</v>
      </c>
      <c r="G916" s="4">
        <v>137.1</v>
      </c>
      <c r="H916" s="1" t="s">
        <v>188</v>
      </c>
      <c r="K916">
        <v>2013</v>
      </c>
      <c r="L916" t="s">
        <v>42</v>
      </c>
      <c r="M916" t="s">
        <v>65</v>
      </c>
      <c r="N916" t="s">
        <v>8</v>
      </c>
      <c r="O916" t="s">
        <v>188</v>
      </c>
      <c r="P916" s="1" t="s">
        <v>33</v>
      </c>
      <c r="Q916">
        <v>103.2</v>
      </c>
    </row>
    <row r="917" spans="1:17" x14ac:dyDescent="0.3">
      <c r="A917">
        <v>2015</v>
      </c>
      <c r="B917" t="s">
        <v>44</v>
      </c>
      <c r="C917" t="s">
        <v>87</v>
      </c>
      <c r="D917" s="1" t="s">
        <v>11</v>
      </c>
      <c r="E917" s="4">
        <v>94.5</v>
      </c>
      <c r="F917" s="4">
        <v>93.3</v>
      </c>
      <c r="G917" s="4">
        <v>90.8</v>
      </c>
      <c r="H917" s="1" t="s">
        <v>188</v>
      </c>
      <c r="K917">
        <v>2013</v>
      </c>
      <c r="L917" t="s">
        <v>42</v>
      </c>
      <c r="M917" t="s">
        <v>65</v>
      </c>
      <c r="N917" t="s">
        <v>21</v>
      </c>
      <c r="O917" t="s">
        <v>190</v>
      </c>
      <c r="P917" s="1" t="s">
        <v>30</v>
      </c>
      <c r="Q917">
        <v>111.1</v>
      </c>
    </row>
    <row r="918" spans="1:17" x14ac:dyDescent="0.3">
      <c r="A918">
        <v>2015</v>
      </c>
      <c r="B918" t="s">
        <v>44</v>
      </c>
      <c r="C918" t="s">
        <v>87</v>
      </c>
      <c r="D918" s="1" t="s">
        <v>24</v>
      </c>
      <c r="E918" s="4">
        <v>114</v>
      </c>
      <c r="F918" s="4">
        <v>111.5</v>
      </c>
      <c r="G918" s="4">
        <v>109.3</v>
      </c>
      <c r="H918" s="1" t="s">
        <v>191</v>
      </c>
      <c r="K918">
        <v>2013</v>
      </c>
      <c r="L918" t="s">
        <v>42</v>
      </c>
      <c r="M918" t="s">
        <v>65</v>
      </c>
      <c r="N918" t="s">
        <v>21</v>
      </c>
      <c r="O918" t="s">
        <v>190</v>
      </c>
      <c r="P918" s="1" t="s">
        <v>34</v>
      </c>
      <c r="Q918">
        <v>110.5</v>
      </c>
    </row>
    <row r="919" spans="1:17" x14ac:dyDescent="0.3">
      <c r="A919">
        <v>2015</v>
      </c>
      <c r="B919" t="s">
        <v>44</v>
      </c>
      <c r="C919" t="s">
        <v>87</v>
      </c>
      <c r="D919" s="1" t="s">
        <v>9</v>
      </c>
      <c r="E919" s="4">
        <v>155.19999999999999</v>
      </c>
      <c r="F919" s="4">
        <v>158.4</v>
      </c>
      <c r="G919" s="4">
        <v>164.6</v>
      </c>
      <c r="H919" s="1" t="s">
        <v>188</v>
      </c>
      <c r="K919">
        <v>2013</v>
      </c>
      <c r="L919" t="s">
        <v>42</v>
      </c>
      <c r="M919" t="s">
        <v>65</v>
      </c>
      <c r="N919" t="s">
        <v>21</v>
      </c>
      <c r="O919" t="s">
        <v>190</v>
      </c>
      <c r="P919" s="1" t="s">
        <v>33</v>
      </c>
      <c r="Q919">
        <v>109.5</v>
      </c>
    </row>
    <row r="920" spans="1:17" x14ac:dyDescent="0.3">
      <c r="A920">
        <v>2015</v>
      </c>
      <c r="B920" t="s">
        <v>43</v>
      </c>
      <c r="C920" t="s">
        <v>88</v>
      </c>
      <c r="D920" s="1" t="s">
        <v>3</v>
      </c>
      <c r="E920" s="4">
        <v>125.6</v>
      </c>
      <c r="F920" s="4">
        <v>125</v>
      </c>
      <c r="G920" s="4">
        <v>123.6</v>
      </c>
      <c r="H920" s="1" t="s">
        <v>188</v>
      </c>
      <c r="K920">
        <v>2013</v>
      </c>
      <c r="L920" t="s">
        <v>42</v>
      </c>
      <c r="M920" t="s">
        <v>65</v>
      </c>
      <c r="N920" t="s">
        <v>29</v>
      </c>
      <c r="O920" t="s">
        <v>206</v>
      </c>
      <c r="P920" s="1" t="s">
        <v>30</v>
      </c>
      <c r="Q920">
        <v>114.2</v>
      </c>
    </row>
    <row r="921" spans="1:17" x14ac:dyDescent="0.3">
      <c r="A921">
        <v>2015</v>
      </c>
      <c r="B921" t="s">
        <v>43</v>
      </c>
      <c r="C921" t="s">
        <v>88</v>
      </c>
      <c r="D921" s="1" t="s">
        <v>17</v>
      </c>
      <c r="E921" s="4">
        <v>131.1</v>
      </c>
      <c r="F921" s="4">
        <v>128.5</v>
      </c>
      <c r="G921" s="4">
        <v>124.4</v>
      </c>
      <c r="H921" s="1" t="s">
        <v>189</v>
      </c>
      <c r="K921">
        <v>2013</v>
      </c>
      <c r="L921" t="s">
        <v>42</v>
      </c>
      <c r="M921" t="s">
        <v>65</v>
      </c>
      <c r="N921" t="s">
        <v>29</v>
      </c>
      <c r="O921" t="s">
        <v>206</v>
      </c>
      <c r="P921" s="1" t="s">
        <v>34</v>
      </c>
      <c r="Q921">
        <v>113.7</v>
      </c>
    </row>
    <row r="922" spans="1:17" x14ac:dyDescent="0.3">
      <c r="A922">
        <v>2015</v>
      </c>
      <c r="B922" t="s">
        <v>43</v>
      </c>
      <c r="C922" t="s">
        <v>88</v>
      </c>
      <c r="D922" s="1" t="s">
        <v>19</v>
      </c>
      <c r="E922" s="4">
        <v>130.6</v>
      </c>
      <c r="F922" s="4">
        <v>127.8</v>
      </c>
      <c r="G922" s="4">
        <v>123.6</v>
      </c>
      <c r="H922" s="1" t="s">
        <v>189</v>
      </c>
      <c r="K922">
        <v>2013</v>
      </c>
      <c r="L922" t="s">
        <v>42</v>
      </c>
      <c r="M922" t="s">
        <v>65</v>
      </c>
      <c r="N922" t="s">
        <v>29</v>
      </c>
      <c r="O922" t="s">
        <v>206</v>
      </c>
      <c r="P922" s="1" t="s">
        <v>33</v>
      </c>
      <c r="Q922">
        <v>113.2</v>
      </c>
    </row>
    <row r="923" spans="1:17" x14ac:dyDescent="0.3">
      <c r="A923">
        <v>2015</v>
      </c>
      <c r="B923" t="s">
        <v>43</v>
      </c>
      <c r="C923" t="s">
        <v>88</v>
      </c>
      <c r="D923" s="1" t="s">
        <v>26</v>
      </c>
      <c r="E923" s="4">
        <v>125.1</v>
      </c>
      <c r="F923" s="4">
        <v>125.9</v>
      </c>
      <c r="G923" s="4">
        <v>126.5</v>
      </c>
      <c r="H923" s="1" t="s">
        <v>26</v>
      </c>
      <c r="K923">
        <v>2013</v>
      </c>
      <c r="L923" t="s">
        <v>42</v>
      </c>
      <c r="M923" t="s">
        <v>65</v>
      </c>
      <c r="N923" t="s">
        <v>23</v>
      </c>
      <c r="O923" t="s">
        <v>23</v>
      </c>
      <c r="P923" s="1" t="s">
        <v>30</v>
      </c>
      <c r="Q923">
        <v>108.3</v>
      </c>
    </row>
    <row r="924" spans="1:17" x14ac:dyDescent="0.3">
      <c r="A924">
        <v>2015</v>
      </c>
      <c r="B924" t="s">
        <v>43</v>
      </c>
      <c r="C924" t="s">
        <v>88</v>
      </c>
      <c r="D924" s="1" t="s">
        <v>5</v>
      </c>
      <c r="E924" s="4">
        <v>120.8</v>
      </c>
      <c r="F924" s="4">
        <v>118.9</v>
      </c>
      <c r="G924" s="4">
        <v>115.9</v>
      </c>
      <c r="H924" s="1" t="s">
        <v>188</v>
      </c>
      <c r="K924">
        <v>2013</v>
      </c>
      <c r="L924" t="s">
        <v>42</v>
      </c>
      <c r="M924" t="s">
        <v>65</v>
      </c>
      <c r="N924" t="s">
        <v>23</v>
      </c>
      <c r="O924" t="s">
        <v>23</v>
      </c>
      <c r="P924" s="1" t="s">
        <v>34</v>
      </c>
      <c r="Q924">
        <v>108.1</v>
      </c>
    </row>
    <row r="925" spans="1:17" x14ac:dyDescent="0.3">
      <c r="A925">
        <v>2015</v>
      </c>
      <c r="B925" t="s">
        <v>43</v>
      </c>
      <c r="C925" t="s">
        <v>88</v>
      </c>
      <c r="D925" s="1" t="s">
        <v>15</v>
      </c>
      <c r="E925" s="4">
        <v>131.80000000000001</v>
      </c>
      <c r="F925" s="4">
        <v>132.1</v>
      </c>
      <c r="G925" s="4">
        <v>132.6</v>
      </c>
      <c r="H925" s="1" t="s">
        <v>188</v>
      </c>
      <c r="K925">
        <v>2013</v>
      </c>
      <c r="L925" t="s">
        <v>42</v>
      </c>
      <c r="M925" t="s">
        <v>65</v>
      </c>
      <c r="N925" t="s">
        <v>23</v>
      </c>
      <c r="O925" t="s">
        <v>23</v>
      </c>
      <c r="P925" s="1" t="s">
        <v>33</v>
      </c>
      <c r="Q925">
        <v>107.9</v>
      </c>
    </row>
    <row r="926" spans="1:17" x14ac:dyDescent="0.3">
      <c r="A926">
        <v>2015</v>
      </c>
      <c r="B926" t="s">
        <v>43</v>
      </c>
      <c r="C926" t="s">
        <v>88</v>
      </c>
      <c r="D926" s="1" t="s">
        <v>18</v>
      </c>
      <c r="E926" s="4">
        <v>127.3</v>
      </c>
      <c r="F926" s="4">
        <v>123.8</v>
      </c>
      <c r="G926" s="4">
        <v>118.8</v>
      </c>
      <c r="H926" s="1" t="s">
        <v>189</v>
      </c>
      <c r="K926">
        <v>2013</v>
      </c>
      <c r="L926" t="s">
        <v>42</v>
      </c>
      <c r="M926" t="s">
        <v>65</v>
      </c>
      <c r="N926" t="s">
        <v>22</v>
      </c>
      <c r="O926" t="s">
        <v>20</v>
      </c>
      <c r="P926" s="1" t="s">
        <v>30</v>
      </c>
      <c r="Q926">
        <v>109.6</v>
      </c>
    </row>
    <row r="927" spans="1:17" x14ac:dyDescent="0.3">
      <c r="A927">
        <v>2015</v>
      </c>
      <c r="B927" t="s">
        <v>43</v>
      </c>
      <c r="C927" t="s">
        <v>88</v>
      </c>
      <c r="D927" s="1" t="s">
        <v>8</v>
      </c>
      <c r="E927" s="4">
        <v>133.19999999999999</v>
      </c>
      <c r="F927" s="4">
        <v>129</v>
      </c>
      <c r="G927" s="4">
        <v>124.1</v>
      </c>
      <c r="H927" s="1" t="s">
        <v>188</v>
      </c>
      <c r="K927">
        <v>2013</v>
      </c>
      <c r="L927" t="s">
        <v>42</v>
      </c>
      <c r="M927" t="s">
        <v>65</v>
      </c>
      <c r="N927" t="s">
        <v>22</v>
      </c>
      <c r="O927" t="s">
        <v>20</v>
      </c>
      <c r="P927" s="1" t="s">
        <v>34</v>
      </c>
      <c r="Q927">
        <v>109.6</v>
      </c>
    </row>
    <row r="928" spans="1:17" x14ac:dyDescent="0.3">
      <c r="A928">
        <v>2015</v>
      </c>
      <c r="B928" t="s">
        <v>43</v>
      </c>
      <c r="C928" t="s">
        <v>88</v>
      </c>
      <c r="D928" s="1" t="s">
        <v>21</v>
      </c>
      <c r="E928" s="4">
        <v>124.4</v>
      </c>
      <c r="F928" s="4">
        <v>120.8</v>
      </c>
      <c r="G928" s="4">
        <v>114.9</v>
      </c>
      <c r="H928" s="1" t="s">
        <v>190</v>
      </c>
      <c r="K928">
        <v>2013</v>
      </c>
      <c r="L928" t="s">
        <v>42</v>
      </c>
      <c r="M928" t="s">
        <v>65</v>
      </c>
      <c r="N928" t="s">
        <v>22</v>
      </c>
      <c r="O928" t="s">
        <v>20</v>
      </c>
      <c r="P928" s="1" t="s">
        <v>33</v>
      </c>
      <c r="Q928">
        <v>109.6</v>
      </c>
    </row>
    <row r="929" spans="1:17" x14ac:dyDescent="0.3">
      <c r="A929">
        <v>2015</v>
      </c>
      <c r="B929" t="s">
        <v>43</v>
      </c>
      <c r="C929" t="s">
        <v>88</v>
      </c>
      <c r="D929" s="1" t="s">
        <v>29</v>
      </c>
      <c r="E929" s="4">
        <v>127.7</v>
      </c>
      <c r="F929" s="4">
        <v>126.1</v>
      </c>
      <c r="G929" s="4">
        <v>124.2</v>
      </c>
      <c r="H929" s="1" t="s">
        <v>206</v>
      </c>
      <c r="K929">
        <v>2013</v>
      </c>
      <c r="L929" t="s">
        <v>42</v>
      </c>
      <c r="M929" t="s">
        <v>65</v>
      </c>
      <c r="N929" t="s">
        <v>20</v>
      </c>
      <c r="O929" t="s">
        <v>20</v>
      </c>
      <c r="P929" s="1" t="s">
        <v>30</v>
      </c>
      <c r="Q929">
        <v>0</v>
      </c>
    </row>
    <row r="930" spans="1:17" x14ac:dyDescent="0.3">
      <c r="A930">
        <v>2015</v>
      </c>
      <c r="B930" t="s">
        <v>43</v>
      </c>
      <c r="C930" t="s">
        <v>88</v>
      </c>
      <c r="D930" s="1" t="s">
        <v>23</v>
      </c>
      <c r="E930" s="4">
        <v>122</v>
      </c>
      <c r="F930" s="4">
        <v>120.4</v>
      </c>
      <c r="G930" s="4">
        <v>117.7</v>
      </c>
      <c r="H930" s="1" t="s">
        <v>23</v>
      </c>
      <c r="K930">
        <v>2013</v>
      </c>
      <c r="L930" t="s">
        <v>42</v>
      </c>
      <c r="M930" t="s">
        <v>65</v>
      </c>
      <c r="N930" t="s">
        <v>20</v>
      </c>
      <c r="O930" t="s">
        <v>20</v>
      </c>
      <c r="P930" s="1" t="s">
        <v>34</v>
      </c>
      <c r="Q930">
        <v>109.7</v>
      </c>
    </row>
    <row r="931" spans="1:17" x14ac:dyDescent="0.3">
      <c r="A931">
        <v>2015</v>
      </c>
      <c r="B931" t="s">
        <v>43</v>
      </c>
      <c r="C931" t="s">
        <v>88</v>
      </c>
      <c r="D931" s="1" t="s">
        <v>22</v>
      </c>
      <c r="E931" s="4">
        <v>125.1</v>
      </c>
      <c r="F931" s="4">
        <v>123</v>
      </c>
      <c r="G931" s="4">
        <v>120.7</v>
      </c>
      <c r="H931" s="1" t="s">
        <v>20</v>
      </c>
      <c r="K931">
        <v>2013</v>
      </c>
      <c r="L931" t="s">
        <v>42</v>
      </c>
      <c r="M931" t="s">
        <v>65</v>
      </c>
      <c r="N931" t="s">
        <v>20</v>
      </c>
      <c r="O931" t="s">
        <v>20</v>
      </c>
      <c r="P931" s="1" t="s">
        <v>33</v>
      </c>
      <c r="Q931">
        <v>109.7</v>
      </c>
    </row>
    <row r="932" spans="1:17" x14ac:dyDescent="0.3">
      <c r="A932">
        <v>2015</v>
      </c>
      <c r="B932" t="s">
        <v>43</v>
      </c>
      <c r="C932" t="s">
        <v>88</v>
      </c>
      <c r="D932" s="1" t="s">
        <v>20</v>
      </c>
      <c r="E932" s="4">
        <v>0</v>
      </c>
      <c r="F932" s="4">
        <v>122.4</v>
      </c>
      <c r="G932" s="4">
        <v>122.4</v>
      </c>
      <c r="H932" s="1" t="s">
        <v>20</v>
      </c>
      <c r="K932">
        <v>2013</v>
      </c>
      <c r="L932" t="s">
        <v>42</v>
      </c>
      <c r="M932" t="s">
        <v>65</v>
      </c>
      <c r="N932" t="s">
        <v>4</v>
      </c>
      <c r="O932" t="s">
        <v>188</v>
      </c>
      <c r="P932" s="1" t="s">
        <v>30</v>
      </c>
      <c r="Q932">
        <v>115.7</v>
      </c>
    </row>
    <row r="933" spans="1:17" x14ac:dyDescent="0.3">
      <c r="A933">
        <v>2015</v>
      </c>
      <c r="B933" t="s">
        <v>43</v>
      </c>
      <c r="C933" t="s">
        <v>88</v>
      </c>
      <c r="D933" s="1" t="s">
        <v>4</v>
      </c>
      <c r="E933" s="4">
        <v>130.4</v>
      </c>
      <c r="F933" s="4">
        <v>129.80000000000001</v>
      </c>
      <c r="G933" s="4">
        <v>128.6</v>
      </c>
      <c r="H933" s="1" t="s">
        <v>188</v>
      </c>
      <c r="K933">
        <v>2013</v>
      </c>
      <c r="L933" t="s">
        <v>42</v>
      </c>
      <c r="M933" t="s">
        <v>65</v>
      </c>
      <c r="N933" t="s">
        <v>4</v>
      </c>
      <c r="O933" t="s">
        <v>188</v>
      </c>
      <c r="P933" s="1" t="s">
        <v>34</v>
      </c>
      <c r="Q933">
        <v>116.9</v>
      </c>
    </row>
    <row r="934" spans="1:17" x14ac:dyDescent="0.3">
      <c r="A934">
        <v>2015</v>
      </c>
      <c r="B934" t="s">
        <v>43</v>
      </c>
      <c r="C934" t="s">
        <v>88</v>
      </c>
      <c r="D934" s="1" t="s">
        <v>6</v>
      </c>
      <c r="E934" s="4">
        <v>129.4</v>
      </c>
      <c r="F934" s="4">
        <v>129.1</v>
      </c>
      <c r="G934" s="4">
        <v>128.5</v>
      </c>
      <c r="H934" s="1" t="s">
        <v>188</v>
      </c>
      <c r="K934">
        <v>2013</v>
      </c>
      <c r="L934" t="s">
        <v>42</v>
      </c>
      <c r="M934" t="s">
        <v>65</v>
      </c>
      <c r="N934" t="s">
        <v>4</v>
      </c>
      <c r="O934" t="s">
        <v>188</v>
      </c>
      <c r="P934" s="1" t="s">
        <v>33</v>
      </c>
      <c r="Q934">
        <v>119.1</v>
      </c>
    </row>
    <row r="935" spans="1:17" x14ac:dyDescent="0.3">
      <c r="A935">
        <v>2015</v>
      </c>
      <c r="B935" t="s">
        <v>43</v>
      </c>
      <c r="C935" t="s">
        <v>88</v>
      </c>
      <c r="D935" s="1" t="s">
        <v>28</v>
      </c>
      <c r="E935" s="4">
        <v>119.2</v>
      </c>
      <c r="F935" s="4">
        <v>117.9</v>
      </c>
      <c r="G935" s="4">
        <v>116.5</v>
      </c>
      <c r="H935" s="1" t="s">
        <v>192</v>
      </c>
      <c r="K935">
        <v>2013</v>
      </c>
      <c r="L935" t="s">
        <v>42</v>
      </c>
      <c r="M935" t="s">
        <v>65</v>
      </c>
      <c r="N935" t="s">
        <v>6</v>
      </c>
      <c r="O935" t="s">
        <v>188</v>
      </c>
      <c r="P935" s="1" t="s">
        <v>30</v>
      </c>
      <c r="Q935">
        <v>111</v>
      </c>
    </row>
    <row r="936" spans="1:17" x14ac:dyDescent="0.3">
      <c r="A936">
        <v>2015</v>
      </c>
      <c r="B936" t="s">
        <v>43</v>
      </c>
      <c r="C936" t="s">
        <v>88</v>
      </c>
      <c r="D936" s="1" t="s">
        <v>13</v>
      </c>
      <c r="E936" s="4">
        <v>122.3</v>
      </c>
      <c r="F936" s="4">
        <v>121.1</v>
      </c>
      <c r="G936" s="4">
        <v>119.4</v>
      </c>
      <c r="H936" s="1" t="s">
        <v>188</v>
      </c>
      <c r="K936">
        <v>2013</v>
      </c>
      <c r="L936" t="s">
        <v>42</v>
      </c>
      <c r="M936" t="s">
        <v>65</v>
      </c>
      <c r="N936" t="s">
        <v>6</v>
      </c>
      <c r="O936" t="s">
        <v>188</v>
      </c>
      <c r="P936" s="1" t="s">
        <v>34</v>
      </c>
      <c r="Q936">
        <v>110.5</v>
      </c>
    </row>
    <row r="937" spans="1:17" x14ac:dyDescent="0.3">
      <c r="A937">
        <v>2015</v>
      </c>
      <c r="B937" t="s">
        <v>43</v>
      </c>
      <c r="C937" t="s">
        <v>88</v>
      </c>
      <c r="D937" s="1" t="s">
        <v>7</v>
      </c>
      <c r="E937" s="4">
        <v>115.8</v>
      </c>
      <c r="F937" s="4">
        <v>113.3</v>
      </c>
      <c r="G937" s="4">
        <v>109</v>
      </c>
      <c r="H937" s="1" t="s">
        <v>188</v>
      </c>
      <c r="K937">
        <v>2013</v>
      </c>
      <c r="L937" t="s">
        <v>42</v>
      </c>
      <c r="M937" t="s">
        <v>65</v>
      </c>
      <c r="N937" t="s">
        <v>6</v>
      </c>
      <c r="O937" t="s">
        <v>188</v>
      </c>
      <c r="P937" s="1" t="s">
        <v>33</v>
      </c>
      <c r="Q937">
        <v>109.6</v>
      </c>
    </row>
    <row r="938" spans="1:17" x14ac:dyDescent="0.3">
      <c r="A938">
        <v>2015</v>
      </c>
      <c r="B938" t="s">
        <v>43</v>
      </c>
      <c r="C938" t="s">
        <v>88</v>
      </c>
      <c r="D938" s="1" t="s">
        <v>16</v>
      </c>
      <c r="E938" s="4">
        <v>131.5</v>
      </c>
      <c r="F938" s="4">
        <v>132.5</v>
      </c>
      <c r="G938" s="4">
        <v>135.30000000000001</v>
      </c>
      <c r="H938" s="1" t="s">
        <v>192</v>
      </c>
      <c r="K938">
        <v>2013</v>
      </c>
      <c r="L938" t="s">
        <v>42</v>
      </c>
      <c r="M938" t="s">
        <v>65</v>
      </c>
      <c r="N938" t="s">
        <v>28</v>
      </c>
      <c r="O938" t="s">
        <v>192</v>
      </c>
      <c r="P938" s="1" t="s">
        <v>30</v>
      </c>
      <c r="Q938">
        <v>108.7</v>
      </c>
    </row>
    <row r="939" spans="1:17" x14ac:dyDescent="0.3">
      <c r="A939">
        <v>2015</v>
      </c>
      <c r="B939" t="s">
        <v>43</v>
      </c>
      <c r="C939" t="s">
        <v>88</v>
      </c>
      <c r="D939" s="1" t="s">
        <v>27</v>
      </c>
      <c r="E939" s="4">
        <v>114.2</v>
      </c>
      <c r="F939" s="4">
        <v>113.9</v>
      </c>
      <c r="G939" s="4">
        <v>113.5</v>
      </c>
      <c r="H939" s="1" t="s">
        <v>192</v>
      </c>
      <c r="K939">
        <v>2013</v>
      </c>
      <c r="L939" t="s">
        <v>42</v>
      </c>
      <c r="M939" t="s">
        <v>65</v>
      </c>
      <c r="N939" t="s">
        <v>28</v>
      </c>
      <c r="O939" t="s">
        <v>192</v>
      </c>
      <c r="P939" s="1" t="s">
        <v>34</v>
      </c>
      <c r="Q939">
        <v>109</v>
      </c>
    </row>
    <row r="940" spans="1:17" x14ac:dyDescent="0.3">
      <c r="A940">
        <v>2015</v>
      </c>
      <c r="B940" t="s">
        <v>43</v>
      </c>
      <c r="C940" t="s">
        <v>88</v>
      </c>
      <c r="D940" s="1" t="s">
        <v>14</v>
      </c>
      <c r="E940" s="4">
        <v>133.1</v>
      </c>
      <c r="F940" s="4">
        <v>133</v>
      </c>
      <c r="G940" s="4">
        <v>132.9</v>
      </c>
      <c r="H940" s="1" t="s">
        <v>188</v>
      </c>
      <c r="K940">
        <v>2013</v>
      </c>
      <c r="L940" t="s">
        <v>42</v>
      </c>
      <c r="M940" t="s">
        <v>65</v>
      </c>
      <c r="N940" t="s">
        <v>28</v>
      </c>
      <c r="O940" t="s">
        <v>192</v>
      </c>
      <c r="P940" s="1" t="s">
        <v>33</v>
      </c>
      <c r="Q940">
        <v>109.4</v>
      </c>
    </row>
    <row r="941" spans="1:17" x14ac:dyDescent="0.3">
      <c r="A941">
        <v>2015</v>
      </c>
      <c r="B941" t="s">
        <v>43</v>
      </c>
      <c r="C941" t="s">
        <v>88</v>
      </c>
      <c r="D941" s="1" t="s">
        <v>10</v>
      </c>
      <c r="E941" s="4">
        <v>154.19999999999999</v>
      </c>
      <c r="F941" s="4">
        <v>165.3</v>
      </c>
      <c r="G941" s="4">
        <v>187.2</v>
      </c>
      <c r="H941" s="1" t="s">
        <v>188</v>
      </c>
      <c r="K941">
        <v>2013</v>
      </c>
      <c r="L941" t="s">
        <v>42</v>
      </c>
      <c r="M941" t="s">
        <v>65</v>
      </c>
      <c r="N941" t="s">
        <v>13</v>
      </c>
      <c r="O941" t="s">
        <v>188</v>
      </c>
      <c r="P941" s="1" t="s">
        <v>30</v>
      </c>
      <c r="Q941">
        <v>110.4</v>
      </c>
    </row>
    <row r="942" spans="1:17" x14ac:dyDescent="0.3">
      <c r="A942">
        <v>2015</v>
      </c>
      <c r="B942" t="s">
        <v>43</v>
      </c>
      <c r="C942" t="s">
        <v>88</v>
      </c>
      <c r="D942" s="1" t="s">
        <v>25</v>
      </c>
      <c r="E942" s="4">
        <v>120.1</v>
      </c>
      <c r="F942" s="4">
        <v>118.7</v>
      </c>
      <c r="G942" s="4">
        <v>117.7</v>
      </c>
      <c r="H942" s="1" t="s">
        <v>195</v>
      </c>
      <c r="K942">
        <v>2013</v>
      </c>
      <c r="L942" t="s">
        <v>42</v>
      </c>
      <c r="M942" t="s">
        <v>65</v>
      </c>
      <c r="N942" t="s">
        <v>13</v>
      </c>
      <c r="O942" t="s">
        <v>188</v>
      </c>
      <c r="P942" s="1" t="s">
        <v>34</v>
      </c>
      <c r="Q942">
        <v>110.7</v>
      </c>
    </row>
    <row r="943" spans="1:17" x14ac:dyDescent="0.3">
      <c r="A943">
        <v>2015</v>
      </c>
      <c r="B943" t="s">
        <v>43</v>
      </c>
      <c r="C943" t="s">
        <v>88</v>
      </c>
      <c r="D943" s="1" t="s">
        <v>12</v>
      </c>
      <c r="E943" s="4">
        <v>126.6</v>
      </c>
      <c r="F943" s="4">
        <v>129.69999999999999</v>
      </c>
      <c r="G943" s="4">
        <v>135.80000000000001</v>
      </c>
      <c r="H943" s="1" t="s">
        <v>188</v>
      </c>
      <c r="K943">
        <v>2013</v>
      </c>
      <c r="L943" t="s">
        <v>42</v>
      </c>
      <c r="M943" t="s">
        <v>65</v>
      </c>
      <c r="N943" t="s">
        <v>13</v>
      </c>
      <c r="O943" t="s">
        <v>188</v>
      </c>
      <c r="P943" s="1" t="s">
        <v>33</v>
      </c>
      <c r="Q943">
        <v>111.1</v>
      </c>
    </row>
    <row r="944" spans="1:17" x14ac:dyDescent="0.3">
      <c r="A944">
        <v>2015</v>
      </c>
      <c r="B944" t="s">
        <v>43</v>
      </c>
      <c r="C944" t="s">
        <v>88</v>
      </c>
      <c r="D944" s="1" t="s">
        <v>11</v>
      </c>
      <c r="E944" s="4">
        <v>93.7</v>
      </c>
      <c r="F944" s="4">
        <v>92.3</v>
      </c>
      <c r="G944" s="4">
        <v>89.4</v>
      </c>
      <c r="H944" s="1" t="s">
        <v>188</v>
      </c>
      <c r="K944">
        <v>2013</v>
      </c>
      <c r="L944" t="s">
        <v>42</v>
      </c>
      <c r="M944" t="s">
        <v>65</v>
      </c>
      <c r="N944" t="s">
        <v>7</v>
      </c>
      <c r="O944" t="s">
        <v>188</v>
      </c>
      <c r="P944" s="1" t="s">
        <v>30</v>
      </c>
      <c r="Q944">
        <v>107.4</v>
      </c>
    </row>
    <row r="945" spans="1:17" x14ac:dyDescent="0.3">
      <c r="A945">
        <v>2015</v>
      </c>
      <c r="B945" t="s">
        <v>43</v>
      </c>
      <c r="C945" t="s">
        <v>88</v>
      </c>
      <c r="D945" s="1" t="s">
        <v>24</v>
      </c>
      <c r="E945" s="4">
        <v>113.8</v>
      </c>
      <c r="F945" s="4">
        <v>111.4</v>
      </c>
      <c r="G945" s="4">
        <v>109.3</v>
      </c>
      <c r="H945" s="1" t="s">
        <v>191</v>
      </c>
      <c r="K945">
        <v>2013</v>
      </c>
      <c r="L945" t="s">
        <v>42</v>
      </c>
      <c r="M945" t="s">
        <v>65</v>
      </c>
      <c r="N945" t="s">
        <v>7</v>
      </c>
      <c r="O945" t="s">
        <v>188</v>
      </c>
      <c r="P945" s="1" t="s">
        <v>34</v>
      </c>
      <c r="Q945">
        <v>105.3</v>
      </c>
    </row>
    <row r="946" spans="1:17" x14ac:dyDescent="0.3">
      <c r="A946">
        <v>2015</v>
      </c>
      <c r="B946" t="s">
        <v>43</v>
      </c>
      <c r="C946" t="s">
        <v>88</v>
      </c>
      <c r="D946" s="1" t="s">
        <v>9</v>
      </c>
      <c r="E946" s="4">
        <v>157.69999999999999</v>
      </c>
      <c r="F946" s="4">
        <v>160.4</v>
      </c>
      <c r="G946" s="4">
        <v>165.8</v>
      </c>
      <c r="H946" s="1" t="s">
        <v>188</v>
      </c>
      <c r="K946">
        <v>2013</v>
      </c>
      <c r="L946" t="s">
        <v>42</v>
      </c>
      <c r="M946" t="s">
        <v>65</v>
      </c>
      <c r="N946" t="s">
        <v>7</v>
      </c>
      <c r="O946" t="s">
        <v>188</v>
      </c>
      <c r="P946" s="1" t="s">
        <v>33</v>
      </c>
      <c r="Q946">
        <v>101.7</v>
      </c>
    </row>
    <row r="947" spans="1:17" x14ac:dyDescent="0.3">
      <c r="A947">
        <v>2015</v>
      </c>
      <c r="B947" t="s">
        <v>42</v>
      </c>
      <c r="C947" t="s">
        <v>89</v>
      </c>
      <c r="D947" s="1" t="s">
        <v>3</v>
      </c>
      <c r="E947" s="4">
        <v>125.1</v>
      </c>
      <c r="F947" s="4">
        <v>124.6</v>
      </c>
      <c r="G947" s="4">
        <v>123.4</v>
      </c>
      <c r="H947" s="1" t="s">
        <v>188</v>
      </c>
      <c r="K947">
        <v>2013</v>
      </c>
      <c r="L947" t="s">
        <v>42</v>
      </c>
      <c r="M947" t="s">
        <v>65</v>
      </c>
      <c r="N947" t="s">
        <v>16</v>
      </c>
      <c r="O947" t="s">
        <v>192</v>
      </c>
      <c r="P947" s="1" t="s">
        <v>30</v>
      </c>
      <c r="Q947">
        <v>111.7</v>
      </c>
    </row>
    <row r="948" spans="1:17" x14ac:dyDescent="0.3">
      <c r="A948">
        <v>2015</v>
      </c>
      <c r="B948" t="s">
        <v>42</v>
      </c>
      <c r="C948" t="s">
        <v>89</v>
      </c>
      <c r="D948" s="1" t="s">
        <v>17</v>
      </c>
      <c r="E948" s="4">
        <v>130.4</v>
      </c>
      <c r="F948" s="4">
        <v>127.9</v>
      </c>
      <c r="G948" s="4">
        <v>124</v>
      </c>
      <c r="H948" s="1" t="s">
        <v>189</v>
      </c>
      <c r="K948">
        <v>2013</v>
      </c>
      <c r="L948" t="s">
        <v>42</v>
      </c>
      <c r="M948" t="s">
        <v>65</v>
      </c>
      <c r="N948" t="s">
        <v>16</v>
      </c>
      <c r="O948" t="s">
        <v>192</v>
      </c>
      <c r="P948" s="1" t="s">
        <v>34</v>
      </c>
      <c r="Q948">
        <v>112</v>
      </c>
    </row>
    <row r="949" spans="1:17" x14ac:dyDescent="0.3">
      <c r="A949">
        <v>2015</v>
      </c>
      <c r="B949" t="s">
        <v>42</v>
      </c>
      <c r="C949" t="s">
        <v>89</v>
      </c>
      <c r="D949" s="1" t="s">
        <v>19</v>
      </c>
      <c r="E949" s="4">
        <v>129.9</v>
      </c>
      <c r="F949" s="4">
        <v>127.2</v>
      </c>
      <c r="G949" s="4">
        <v>123.2</v>
      </c>
      <c r="H949" s="1" t="s">
        <v>189</v>
      </c>
      <c r="K949">
        <v>2013</v>
      </c>
      <c r="L949" t="s">
        <v>42</v>
      </c>
      <c r="M949" t="s">
        <v>65</v>
      </c>
      <c r="N949" t="s">
        <v>16</v>
      </c>
      <c r="O949" t="s">
        <v>192</v>
      </c>
      <c r="P949" s="1" t="s">
        <v>33</v>
      </c>
      <c r="Q949">
        <v>112.9</v>
      </c>
    </row>
    <row r="950" spans="1:17" x14ac:dyDescent="0.3">
      <c r="A950">
        <v>2015</v>
      </c>
      <c r="B950" t="s">
        <v>42</v>
      </c>
      <c r="C950" t="s">
        <v>89</v>
      </c>
      <c r="D950" s="1" t="s">
        <v>26</v>
      </c>
      <c r="E950" s="4">
        <v>124.5</v>
      </c>
      <c r="F950" s="4">
        <v>125.7</v>
      </c>
      <c r="G950" s="4">
        <v>126.5</v>
      </c>
      <c r="H950" s="1" t="s">
        <v>26</v>
      </c>
      <c r="K950">
        <v>2013</v>
      </c>
      <c r="L950" t="s">
        <v>42</v>
      </c>
      <c r="M950" t="s">
        <v>65</v>
      </c>
      <c r="N950" t="s">
        <v>27</v>
      </c>
      <c r="O950" t="s">
        <v>192</v>
      </c>
      <c r="P950" s="1" t="s">
        <v>30</v>
      </c>
      <c r="Q950">
        <v>106.7</v>
      </c>
    </row>
    <row r="951" spans="1:17" x14ac:dyDescent="0.3">
      <c r="A951">
        <v>2015</v>
      </c>
      <c r="B951" t="s">
        <v>42</v>
      </c>
      <c r="C951" t="s">
        <v>89</v>
      </c>
      <c r="D951" s="1" t="s">
        <v>5</v>
      </c>
      <c r="E951" s="4">
        <v>120.7</v>
      </c>
      <c r="F951" s="4">
        <v>118.7</v>
      </c>
      <c r="G951" s="4">
        <v>115.6</v>
      </c>
      <c r="H951" s="1" t="s">
        <v>188</v>
      </c>
      <c r="K951">
        <v>2013</v>
      </c>
      <c r="L951" t="s">
        <v>42</v>
      </c>
      <c r="M951" t="s">
        <v>65</v>
      </c>
      <c r="N951" t="s">
        <v>27</v>
      </c>
      <c r="O951" t="s">
        <v>192</v>
      </c>
      <c r="P951" s="1" t="s">
        <v>34</v>
      </c>
      <c r="Q951">
        <v>106.8</v>
      </c>
    </row>
    <row r="952" spans="1:17" x14ac:dyDescent="0.3">
      <c r="A952">
        <v>2015</v>
      </c>
      <c r="B952" t="s">
        <v>42</v>
      </c>
      <c r="C952" t="s">
        <v>89</v>
      </c>
      <c r="D952" s="1" t="s">
        <v>15</v>
      </c>
      <c r="E952" s="4">
        <v>131</v>
      </c>
      <c r="F952" s="4">
        <v>131.19999999999999</v>
      </c>
      <c r="G952" s="4">
        <v>131.5</v>
      </c>
      <c r="H952" s="1" t="s">
        <v>188</v>
      </c>
      <c r="K952">
        <v>2013</v>
      </c>
      <c r="L952" t="s">
        <v>42</v>
      </c>
      <c r="M952" t="s">
        <v>65</v>
      </c>
      <c r="N952" t="s">
        <v>27</v>
      </c>
      <c r="O952" t="s">
        <v>192</v>
      </c>
      <c r="P952" s="1" t="s">
        <v>33</v>
      </c>
      <c r="Q952">
        <v>106.9</v>
      </c>
    </row>
    <row r="953" spans="1:17" x14ac:dyDescent="0.3">
      <c r="A953">
        <v>2015</v>
      </c>
      <c r="B953" t="s">
        <v>42</v>
      </c>
      <c r="C953" t="s">
        <v>89</v>
      </c>
      <c r="D953" s="1" t="s">
        <v>18</v>
      </c>
      <c r="E953" s="4">
        <v>126.8</v>
      </c>
      <c r="F953" s="4">
        <v>123.4</v>
      </c>
      <c r="G953" s="4">
        <v>118.6</v>
      </c>
      <c r="H953" s="1" t="s">
        <v>189</v>
      </c>
      <c r="K953">
        <v>2013</v>
      </c>
      <c r="L953" t="s">
        <v>42</v>
      </c>
      <c r="M953" t="s">
        <v>65</v>
      </c>
      <c r="N953" t="s">
        <v>14</v>
      </c>
      <c r="O953" t="s">
        <v>188</v>
      </c>
      <c r="P953" s="1" t="s">
        <v>30</v>
      </c>
      <c r="Q953">
        <v>114</v>
      </c>
    </row>
    <row r="954" spans="1:17" x14ac:dyDescent="0.3">
      <c r="A954">
        <v>2015</v>
      </c>
      <c r="B954" t="s">
        <v>42</v>
      </c>
      <c r="C954" t="s">
        <v>89</v>
      </c>
      <c r="D954" s="1" t="s">
        <v>8</v>
      </c>
      <c r="E954" s="4">
        <v>132.30000000000001</v>
      </c>
      <c r="F954" s="4">
        <v>128.4</v>
      </c>
      <c r="G954" s="4">
        <v>124</v>
      </c>
      <c r="H954" s="1" t="s">
        <v>188</v>
      </c>
      <c r="K954">
        <v>2013</v>
      </c>
      <c r="L954" t="s">
        <v>42</v>
      </c>
      <c r="M954" t="s">
        <v>65</v>
      </c>
      <c r="N954" t="s">
        <v>14</v>
      </c>
      <c r="O954" t="s">
        <v>188</v>
      </c>
      <c r="P954" s="1" t="s">
        <v>34</v>
      </c>
      <c r="Q954">
        <v>114.6</v>
      </c>
    </row>
    <row r="955" spans="1:17" x14ac:dyDescent="0.3">
      <c r="A955">
        <v>2015</v>
      </c>
      <c r="B955" t="s">
        <v>42</v>
      </c>
      <c r="C955" t="s">
        <v>89</v>
      </c>
      <c r="D955" s="1" t="s">
        <v>21</v>
      </c>
      <c r="E955" s="4">
        <v>123.7</v>
      </c>
      <c r="F955" s="4">
        <v>120.4</v>
      </c>
      <c r="G955" s="4">
        <v>115.1</v>
      </c>
      <c r="H955" s="1" t="s">
        <v>190</v>
      </c>
      <c r="K955">
        <v>2013</v>
      </c>
      <c r="L955" t="s">
        <v>42</v>
      </c>
      <c r="M955" t="s">
        <v>65</v>
      </c>
      <c r="N955" t="s">
        <v>14</v>
      </c>
      <c r="O955" t="s">
        <v>188</v>
      </c>
      <c r="P955" s="1" t="s">
        <v>33</v>
      </c>
      <c r="Q955">
        <v>115.4</v>
      </c>
    </row>
    <row r="956" spans="1:17" x14ac:dyDescent="0.3">
      <c r="A956">
        <v>2015</v>
      </c>
      <c r="B956" t="s">
        <v>42</v>
      </c>
      <c r="C956" t="s">
        <v>89</v>
      </c>
      <c r="D956" s="1" t="s">
        <v>29</v>
      </c>
      <c r="E956" s="4">
        <v>127</v>
      </c>
      <c r="F956" s="4">
        <v>125.4</v>
      </c>
      <c r="G956" s="4">
        <v>123.5</v>
      </c>
      <c r="H956" s="1" t="s">
        <v>206</v>
      </c>
      <c r="K956">
        <v>2013</v>
      </c>
      <c r="L956" t="s">
        <v>42</v>
      </c>
      <c r="M956" t="s">
        <v>65</v>
      </c>
      <c r="N956" t="s">
        <v>10</v>
      </c>
      <c r="O956" t="s">
        <v>188</v>
      </c>
      <c r="P956" s="1" t="s">
        <v>30</v>
      </c>
      <c r="Q956">
        <v>108.1</v>
      </c>
    </row>
    <row r="957" spans="1:17" x14ac:dyDescent="0.3">
      <c r="A957">
        <v>2015</v>
      </c>
      <c r="B957" t="s">
        <v>42</v>
      </c>
      <c r="C957" t="s">
        <v>89</v>
      </c>
      <c r="D957" s="1" t="s">
        <v>23</v>
      </c>
      <c r="E957" s="4">
        <v>121.4</v>
      </c>
      <c r="F957" s="4">
        <v>119.8</v>
      </c>
      <c r="G957" s="4">
        <v>117.1</v>
      </c>
      <c r="H957" s="1" t="s">
        <v>23</v>
      </c>
      <c r="K957">
        <v>2013</v>
      </c>
      <c r="L957" t="s">
        <v>42</v>
      </c>
      <c r="M957" t="s">
        <v>65</v>
      </c>
      <c r="N957" t="s">
        <v>10</v>
      </c>
      <c r="O957" t="s">
        <v>188</v>
      </c>
      <c r="P957" s="1" t="s">
        <v>34</v>
      </c>
      <c r="Q957">
        <v>107.1</v>
      </c>
    </row>
    <row r="958" spans="1:17" x14ac:dyDescent="0.3">
      <c r="A958">
        <v>2015</v>
      </c>
      <c r="B958" t="s">
        <v>42</v>
      </c>
      <c r="C958" t="s">
        <v>89</v>
      </c>
      <c r="D958" s="1" t="s">
        <v>22</v>
      </c>
      <c r="E958" s="4">
        <v>124.5</v>
      </c>
      <c r="F958" s="4">
        <v>122.6</v>
      </c>
      <c r="G958" s="4">
        <v>120.4</v>
      </c>
      <c r="H958" s="1" t="s">
        <v>20</v>
      </c>
      <c r="K958">
        <v>2013</v>
      </c>
      <c r="L958" t="s">
        <v>42</v>
      </c>
      <c r="M958" t="s">
        <v>65</v>
      </c>
      <c r="N958" t="s">
        <v>10</v>
      </c>
      <c r="O958" t="s">
        <v>188</v>
      </c>
      <c r="P958" s="1" t="s">
        <v>33</v>
      </c>
      <c r="Q958">
        <v>105.1</v>
      </c>
    </row>
    <row r="959" spans="1:17" x14ac:dyDescent="0.3">
      <c r="A959">
        <v>2015</v>
      </c>
      <c r="B959" t="s">
        <v>42</v>
      </c>
      <c r="C959" t="s">
        <v>89</v>
      </c>
      <c r="D959" s="1" t="s">
        <v>20</v>
      </c>
      <c r="E959" s="4">
        <v>0</v>
      </c>
      <c r="F959" s="4">
        <v>121.6</v>
      </c>
      <c r="G959" s="4">
        <v>121.6</v>
      </c>
      <c r="H959" s="1" t="s">
        <v>20</v>
      </c>
      <c r="K959">
        <v>2013</v>
      </c>
      <c r="L959" t="s">
        <v>42</v>
      </c>
      <c r="M959" t="s">
        <v>65</v>
      </c>
      <c r="N959" t="s">
        <v>25</v>
      </c>
      <c r="O959" t="s">
        <v>195</v>
      </c>
      <c r="P959" s="1" t="s">
        <v>30</v>
      </c>
      <c r="Q959">
        <v>107.7</v>
      </c>
    </row>
    <row r="960" spans="1:17" x14ac:dyDescent="0.3">
      <c r="A960">
        <v>2015</v>
      </c>
      <c r="B960" t="s">
        <v>42</v>
      </c>
      <c r="C960" t="s">
        <v>89</v>
      </c>
      <c r="D960" s="1" t="s">
        <v>4</v>
      </c>
      <c r="E960" s="4">
        <v>131.1</v>
      </c>
      <c r="F960" s="4">
        <v>130.4</v>
      </c>
      <c r="G960" s="4">
        <v>129</v>
      </c>
      <c r="H960" s="1" t="s">
        <v>188</v>
      </c>
      <c r="K960">
        <v>2013</v>
      </c>
      <c r="L960" t="s">
        <v>42</v>
      </c>
      <c r="M960" t="s">
        <v>65</v>
      </c>
      <c r="N960" t="s">
        <v>25</v>
      </c>
      <c r="O960" t="s">
        <v>195</v>
      </c>
      <c r="P960" s="1" t="s">
        <v>34</v>
      </c>
      <c r="Q960">
        <v>107.5</v>
      </c>
    </row>
    <row r="961" spans="1:17" x14ac:dyDescent="0.3">
      <c r="A961">
        <v>2015</v>
      </c>
      <c r="B961" t="s">
        <v>42</v>
      </c>
      <c r="C961" t="s">
        <v>89</v>
      </c>
      <c r="D961" s="1" t="s">
        <v>6</v>
      </c>
      <c r="E961" s="4">
        <v>129.19999999999999</v>
      </c>
      <c r="F961" s="4">
        <v>128.9</v>
      </c>
      <c r="G961" s="4">
        <v>128.30000000000001</v>
      </c>
      <c r="H961" s="1" t="s">
        <v>188</v>
      </c>
      <c r="K961">
        <v>2013</v>
      </c>
      <c r="L961" t="s">
        <v>42</v>
      </c>
      <c r="M961" t="s">
        <v>65</v>
      </c>
      <c r="N961" t="s">
        <v>25</v>
      </c>
      <c r="O961" t="s">
        <v>195</v>
      </c>
      <c r="P961" s="1" t="s">
        <v>33</v>
      </c>
      <c r="Q961">
        <v>107.4</v>
      </c>
    </row>
    <row r="962" spans="1:17" x14ac:dyDescent="0.3">
      <c r="A962">
        <v>2015</v>
      </c>
      <c r="B962" t="s">
        <v>42</v>
      </c>
      <c r="C962" t="s">
        <v>89</v>
      </c>
      <c r="D962" s="1" t="s">
        <v>28</v>
      </c>
      <c r="E962" s="4">
        <v>118.8</v>
      </c>
      <c r="F962" s="4">
        <v>117.5</v>
      </c>
      <c r="G962" s="4">
        <v>116.2</v>
      </c>
      <c r="H962" s="1" t="s">
        <v>192</v>
      </c>
      <c r="K962">
        <v>2013</v>
      </c>
      <c r="L962" t="s">
        <v>42</v>
      </c>
      <c r="M962" t="s">
        <v>65</v>
      </c>
      <c r="N962" t="s">
        <v>12</v>
      </c>
      <c r="O962" t="s">
        <v>188</v>
      </c>
      <c r="P962" s="1" t="s">
        <v>30</v>
      </c>
      <c r="Q962">
        <v>107.9</v>
      </c>
    </row>
    <row r="963" spans="1:17" x14ac:dyDescent="0.3">
      <c r="A963">
        <v>2015</v>
      </c>
      <c r="B963" t="s">
        <v>42</v>
      </c>
      <c r="C963" t="s">
        <v>89</v>
      </c>
      <c r="D963" s="1" t="s">
        <v>13</v>
      </c>
      <c r="E963" s="4">
        <v>121.9</v>
      </c>
      <c r="F963" s="4">
        <v>120.7</v>
      </c>
      <c r="G963" s="4">
        <v>119.1</v>
      </c>
      <c r="H963" s="1" t="s">
        <v>188</v>
      </c>
      <c r="K963">
        <v>2013</v>
      </c>
      <c r="L963" t="s">
        <v>42</v>
      </c>
      <c r="M963" t="s">
        <v>65</v>
      </c>
      <c r="N963" t="s">
        <v>12</v>
      </c>
      <c r="O963" t="s">
        <v>188</v>
      </c>
      <c r="P963" s="1" t="s">
        <v>34</v>
      </c>
      <c r="Q963">
        <v>108.3</v>
      </c>
    </row>
    <row r="964" spans="1:17" x14ac:dyDescent="0.3">
      <c r="A964">
        <v>2015</v>
      </c>
      <c r="B964" t="s">
        <v>42</v>
      </c>
      <c r="C964" t="s">
        <v>89</v>
      </c>
      <c r="D964" s="1" t="s">
        <v>7</v>
      </c>
      <c r="E964" s="4">
        <v>114.7</v>
      </c>
      <c r="F964" s="4">
        <v>111.9</v>
      </c>
      <c r="G964" s="4">
        <v>107</v>
      </c>
      <c r="H964" s="1" t="s">
        <v>188</v>
      </c>
      <c r="K964">
        <v>2013</v>
      </c>
      <c r="L964" t="s">
        <v>42</v>
      </c>
      <c r="M964" t="s">
        <v>65</v>
      </c>
      <c r="N964" t="s">
        <v>12</v>
      </c>
      <c r="O964" t="s">
        <v>188</v>
      </c>
      <c r="P964" s="1" t="s">
        <v>33</v>
      </c>
      <c r="Q964">
        <v>109.1</v>
      </c>
    </row>
    <row r="965" spans="1:17" x14ac:dyDescent="0.3">
      <c r="A965">
        <v>2015</v>
      </c>
      <c r="B965" t="s">
        <v>42</v>
      </c>
      <c r="C965" t="s">
        <v>89</v>
      </c>
      <c r="D965" s="1" t="s">
        <v>16</v>
      </c>
      <c r="E965" s="4">
        <v>131</v>
      </c>
      <c r="F965" s="4">
        <v>132</v>
      </c>
      <c r="G965" s="4">
        <v>134.69999999999999</v>
      </c>
      <c r="H965" s="1" t="s">
        <v>192</v>
      </c>
      <c r="K965">
        <v>2013</v>
      </c>
      <c r="L965" t="s">
        <v>42</v>
      </c>
      <c r="M965" t="s">
        <v>65</v>
      </c>
      <c r="N965" t="s">
        <v>11</v>
      </c>
      <c r="O965" t="s">
        <v>188</v>
      </c>
      <c r="P965" s="1" t="s">
        <v>30</v>
      </c>
      <c r="Q965">
        <v>104.2</v>
      </c>
    </row>
    <row r="966" spans="1:17" x14ac:dyDescent="0.3">
      <c r="A966">
        <v>2015</v>
      </c>
      <c r="B966" t="s">
        <v>42</v>
      </c>
      <c r="C966" t="s">
        <v>89</v>
      </c>
      <c r="D966" s="1" t="s">
        <v>27</v>
      </c>
      <c r="E966" s="4">
        <v>113.7</v>
      </c>
      <c r="F966" s="4">
        <v>113.4</v>
      </c>
      <c r="G966" s="4">
        <v>112.9</v>
      </c>
      <c r="H966" s="1" t="s">
        <v>192</v>
      </c>
      <c r="K966">
        <v>2013</v>
      </c>
      <c r="L966" t="s">
        <v>42</v>
      </c>
      <c r="M966" t="s">
        <v>65</v>
      </c>
      <c r="N966" t="s">
        <v>11</v>
      </c>
      <c r="O966" t="s">
        <v>188</v>
      </c>
      <c r="P966" s="1" t="s">
        <v>34</v>
      </c>
      <c r="Q966">
        <v>103.1</v>
      </c>
    </row>
    <row r="967" spans="1:17" x14ac:dyDescent="0.3">
      <c r="A967">
        <v>2015</v>
      </c>
      <c r="B967" t="s">
        <v>42</v>
      </c>
      <c r="C967" t="s">
        <v>89</v>
      </c>
      <c r="D967" s="1" t="s">
        <v>14</v>
      </c>
      <c r="E967" s="4">
        <v>132.69999999999999</v>
      </c>
      <c r="F967" s="4">
        <v>132.5</v>
      </c>
      <c r="G967" s="4">
        <v>132.30000000000001</v>
      </c>
      <c r="H967" s="1" t="s">
        <v>188</v>
      </c>
      <c r="K967">
        <v>2013</v>
      </c>
      <c r="L967" t="s">
        <v>42</v>
      </c>
      <c r="M967" t="s">
        <v>65</v>
      </c>
      <c r="N967" t="s">
        <v>11</v>
      </c>
      <c r="O967" t="s">
        <v>188</v>
      </c>
      <c r="P967" s="1" t="s">
        <v>33</v>
      </c>
      <c r="Q967">
        <v>100.8</v>
      </c>
    </row>
    <row r="968" spans="1:17" x14ac:dyDescent="0.3">
      <c r="A968">
        <v>2015</v>
      </c>
      <c r="B968" t="s">
        <v>42</v>
      </c>
      <c r="C968" t="s">
        <v>89</v>
      </c>
      <c r="D968" s="1" t="s">
        <v>10</v>
      </c>
      <c r="E968" s="4">
        <v>142.1</v>
      </c>
      <c r="F968" s="4">
        <v>150</v>
      </c>
      <c r="G968" s="4">
        <v>165.4</v>
      </c>
      <c r="H968" s="1" t="s">
        <v>188</v>
      </c>
      <c r="K968">
        <v>2013</v>
      </c>
      <c r="L968" t="s">
        <v>42</v>
      </c>
      <c r="M968" t="s">
        <v>65</v>
      </c>
      <c r="N968" t="s">
        <v>24</v>
      </c>
      <c r="O968" t="s">
        <v>191</v>
      </c>
      <c r="P968" s="1" t="s">
        <v>30</v>
      </c>
      <c r="Q968">
        <v>109.3</v>
      </c>
    </row>
    <row r="969" spans="1:17" x14ac:dyDescent="0.3">
      <c r="A969">
        <v>2015</v>
      </c>
      <c r="B969" t="s">
        <v>42</v>
      </c>
      <c r="C969" t="s">
        <v>89</v>
      </c>
      <c r="D969" s="1" t="s">
        <v>25</v>
      </c>
      <c r="E969" s="4">
        <v>119.6</v>
      </c>
      <c r="F969" s="4">
        <v>118.3</v>
      </c>
      <c r="G969" s="4">
        <v>117.3</v>
      </c>
      <c r="H969" s="1" t="s">
        <v>195</v>
      </c>
      <c r="K969">
        <v>2013</v>
      </c>
      <c r="L969" t="s">
        <v>42</v>
      </c>
      <c r="M969" t="s">
        <v>65</v>
      </c>
      <c r="N969" t="s">
        <v>24</v>
      </c>
      <c r="O969" t="s">
        <v>191</v>
      </c>
      <c r="P969" s="1" t="s">
        <v>34</v>
      </c>
      <c r="Q969">
        <v>109.9</v>
      </c>
    </row>
    <row r="970" spans="1:17" x14ac:dyDescent="0.3">
      <c r="A970">
        <v>2015</v>
      </c>
      <c r="B970" t="s">
        <v>42</v>
      </c>
      <c r="C970" t="s">
        <v>89</v>
      </c>
      <c r="D970" s="1" t="s">
        <v>12</v>
      </c>
      <c r="E970" s="4">
        <v>125.4</v>
      </c>
      <c r="F970" s="4">
        <v>128.4</v>
      </c>
      <c r="G970" s="4">
        <v>134.4</v>
      </c>
      <c r="H970" s="1" t="s">
        <v>188</v>
      </c>
      <c r="K970">
        <v>2013</v>
      </c>
      <c r="L970" t="s">
        <v>42</v>
      </c>
      <c r="M970" t="s">
        <v>65</v>
      </c>
      <c r="N970" t="s">
        <v>24</v>
      </c>
      <c r="O970" t="s">
        <v>191</v>
      </c>
      <c r="P970" s="1" t="s">
        <v>33</v>
      </c>
      <c r="Q970">
        <v>110.4</v>
      </c>
    </row>
    <row r="971" spans="1:17" x14ac:dyDescent="0.3">
      <c r="A971">
        <v>2015</v>
      </c>
      <c r="B971" t="s">
        <v>42</v>
      </c>
      <c r="C971" t="s">
        <v>89</v>
      </c>
      <c r="D971" s="1" t="s">
        <v>11</v>
      </c>
      <c r="E971" s="4">
        <v>92.5</v>
      </c>
      <c r="F971" s="4">
        <v>90.4</v>
      </c>
      <c r="G971" s="4">
        <v>86.3</v>
      </c>
      <c r="H971" s="1" t="s">
        <v>188</v>
      </c>
      <c r="K971">
        <v>2013</v>
      </c>
      <c r="L971" t="s">
        <v>42</v>
      </c>
      <c r="M971" t="s">
        <v>65</v>
      </c>
      <c r="N971" t="s">
        <v>9</v>
      </c>
      <c r="O971" t="s">
        <v>188</v>
      </c>
      <c r="P971" s="1" t="s">
        <v>30</v>
      </c>
      <c r="Q971">
        <v>154</v>
      </c>
    </row>
    <row r="972" spans="1:17" x14ac:dyDescent="0.3">
      <c r="A972">
        <v>2015</v>
      </c>
      <c r="B972" t="s">
        <v>42</v>
      </c>
      <c r="C972" t="s">
        <v>89</v>
      </c>
      <c r="D972" s="1" t="s">
        <v>24</v>
      </c>
      <c r="E972" s="4">
        <v>113.8</v>
      </c>
      <c r="F972" s="4">
        <v>111.3</v>
      </c>
      <c r="G972" s="4">
        <v>109.1</v>
      </c>
      <c r="H972" s="1" t="s">
        <v>191</v>
      </c>
      <c r="K972">
        <v>2013</v>
      </c>
      <c r="L972" t="s">
        <v>42</v>
      </c>
      <c r="M972" t="s">
        <v>65</v>
      </c>
      <c r="N972" t="s">
        <v>9</v>
      </c>
      <c r="O972" t="s">
        <v>188</v>
      </c>
      <c r="P972" s="1" t="s">
        <v>34</v>
      </c>
      <c r="Q972">
        <v>160.9</v>
      </c>
    </row>
    <row r="973" spans="1:17" x14ac:dyDescent="0.3">
      <c r="A973">
        <v>2015</v>
      </c>
      <c r="B973" t="s">
        <v>42</v>
      </c>
      <c r="C973" t="s">
        <v>89</v>
      </c>
      <c r="D973" s="1" t="s">
        <v>9</v>
      </c>
      <c r="E973" s="4">
        <v>158.9</v>
      </c>
      <c r="F973" s="4">
        <v>162.19999999999999</v>
      </c>
      <c r="G973" s="4">
        <v>168.5</v>
      </c>
      <c r="H973" s="1" t="s">
        <v>188</v>
      </c>
      <c r="K973">
        <v>2013</v>
      </c>
      <c r="L973" t="s">
        <v>42</v>
      </c>
      <c r="M973" t="s">
        <v>65</v>
      </c>
      <c r="N973" t="s">
        <v>9</v>
      </c>
      <c r="O973" t="s">
        <v>188</v>
      </c>
      <c r="P973" s="1" t="s">
        <v>33</v>
      </c>
      <c r="Q973">
        <v>174.3</v>
      </c>
    </row>
    <row r="974" spans="1:17" x14ac:dyDescent="0.3">
      <c r="A974">
        <v>2016</v>
      </c>
      <c r="B974" t="s">
        <v>37</v>
      </c>
      <c r="C974" t="s">
        <v>90</v>
      </c>
      <c r="D974" s="1" t="s">
        <v>3</v>
      </c>
      <c r="E974" s="4">
        <v>127.4</v>
      </c>
      <c r="F974" s="4">
        <v>126.6</v>
      </c>
      <c r="G974" s="4">
        <v>124.9</v>
      </c>
      <c r="H974" s="1" t="s">
        <v>188</v>
      </c>
      <c r="K974">
        <v>2014</v>
      </c>
      <c r="L974" t="s">
        <v>37</v>
      </c>
      <c r="M974" t="s">
        <v>66</v>
      </c>
      <c r="N974" t="s">
        <v>3</v>
      </c>
      <c r="O974" t="s">
        <v>188</v>
      </c>
      <c r="P974" s="1" t="s">
        <v>30</v>
      </c>
      <c r="Q974">
        <v>120.2</v>
      </c>
    </row>
    <row r="975" spans="1:17" x14ac:dyDescent="0.3">
      <c r="A975">
        <v>2016</v>
      </c>
      <c r="B975" t="s">
        <v>37</v>
      </c>
      <c r="C975" t="s">
        <v>90</v>
      </c>
      <c r="D975" s="1" t="s">
        <v>17</v>
      </c>
      <c r="E975" s="4">
        <v>135</v>
      </c>
      <c r="F975" s="4">
        <v>131.80000000000001</v>
      </c>
      <c r="G975" s="4">
        <v>126.8</v>
      </c>
      <c r="H975" s="1" t="s">
        <v>189</v>
      </c>
      <c r="K975">
        <v>2014</v>
      </c>
      <c r="L975" t="s">
        <v>37</v>
      </c>
      <c r="M975" t="s">
        <v>66</v>
      </c>
      <c r="N975" t="s">
        <v>3</v>
      </c>
      <c r="O975" t="s">
        <v>188</v>
      </c>
      <c r="P975" s="1" t="s">
        <v>34</v>
      </c>
      <c r="Q975">
        <v>120.9</v>
      </c>
    </row>
    <row r="976" spans="1:17" x14ac:dyDescent="0.3">
      <c r="A976">
        <v>2016</v>
      </c>
      <c r="B976" t="s">
        <v>37</v>
      </c>
      <c r="C976" t="s">
        <v>90</v>
      </c>
      <c r="D976" s="1" t="s">
        <v>19</v>
      </c>
      <c r="E976" s="4">
        <v>134.4</v>
      </c>
      <c r="F976" s="4">
        <v>131</v>
      </c>
      <c r="G976" s="4">
        <v>125.8</v>
      </c>
      <c r="H976" s="1" t="s">
        <v>189</v>
      </c>
      <c r="K976">
        <v>2014</v>
      </c>
      <c r="L976" t="s">
        <v>37</v>
      </c>
      <c r="M976" t="s">
        <v>66</v>
      </c>
      <c r="N976" t="s">
        <v>3</v>
      </c>
      <c r="O976" t="s">
        <v>188</v>
      </c>
      <c r="P976" s="1" t="s">
        <v>33</v>
      </c>
      <c r="Q976">
        <v>122.5</v>
      </c>
    </row>
    <row r="977" spans="1:17" x14ac:dyDescent="0.3">
      <c r="A977">
        <v>2016</v>
      </c>
      <c r="B977" t="s">
        <v>37</v>
      </c>
      <c r="C977" t="s">
        <v>90</v>
      </c>
      <c r="D977" s="1" t="s">
        <v>26</v>
      </c>
      <c r="E977" s="4">
        <v>127.9</v>
      </c>
      <c r="F977" s="4">
        <v>127.7</v>
      </c>
      <c r="G977" s="4">
        <v>127.6</v>
      </c>
      <c r="H977" s="1" t="s">
        <v>26</v>
      </c>
      <c r="K977">
        <v>2014</v>
      </c>
      <c r="L977" t="s">
        <v>37</v>
      </c>
      <c r="M977" t="s">
        <v>66</v>
      </c>
      <c r="N977" t="s">
        <v>17</v>
      </c>
      <c r="O977" t="s">
        <v>189</v>
      </c>
      <c r="P977" s="1" t="s">
        <v>30</v>
      </c>
      <c r="Q977">
        <v>118.1</v>
      </c>
    </row>
    <row r="978" spans="1:17" x14ac:dyDescent="0.3">
      <c r="A978">
        <v>2016</v>
      </c>
      <c r="B978" t="s">
        <v>37</v>
      </c>
      <c r="C978" t="s">
        <v>90</v>
      </c>
      <c r="D978" s="1" t="s">
        <v>5</v>
      </c>
      <c r="E978" s="4">
        <v>123.4</v>
      </c>
      <c r="F978" s="4">
        <v>122</v>
      </c>
      <c r="G978" s="4">
        <v>119.9</v>
      </c>
      <c r="H978" s="1" t="s">
        <v>188</v>
      </c>
      <c r="K978">
        <v>2014</v>
      </c>
      <c r="L978" t="s">
        <v>37</v>
      </c>
      <c r="M978" t="s">
        <v>66</v>
      </c>
      <c r="N978" t="s">
        <v>17</v>
      </c>
      <c r="O978" t="s">
        <v>189</v>
      </c>
      <c r="P978" s="1" t="s">
        <v>34</v>
      </c>
      <c r="Q978">
        <v>117.4</v>
      </c>
    </row>
    <row r="979" spans="1:17" x14ac:dyDescent="0.3">
      <c r="A979">
        <v>2016</v>
      </c>
      <c r="B979" t="s">
        <v>37</v>
      </c>
      <c r="C979" t="s">
        <v>90</v>
      </c>
      <c r="D979" s="1" t="s">
        <v>15</v>
      </c>
      <c r="E979" s="4">
        <v>131.80000000000001</v>
      </c>
      <c r="F979" s="4">
        <v>131.80000000000001</v>
      </c>
      <c r="G979" s="4">
        <v>131.80000000000001</v>
      </c>
      <c r="H979" s="1" t="s">
        <v>188</v>
      </c>
      <c r="K979">
        <v>2014</v>
      </c>
      <c r="L979" t="s">
        <v>37</v>
      </c>
      <c r="M979" t="s">
        <v>66</v>
      </c>
      <c r="N979" t="s">
        <v>17</v>
      </c>
      <c r="O979" t="s">
        <v>189</v>
      </c>
      <c r="P979" s="1" t="s">
        <v>33</v>
      </c>
      <c r="Q979">
        <v>116.3</v>
      </c>
    </row>
    <row r="980" spans="1:17" x14ac:dyDescent="0.3">
      <c r="A980">
        <v>2016</v>
      </c>
      <c r="B980" t="s">
        <v>37</v>
      </c>
      <c r="C980" t="s">
        <v>90</v>
      </c>
      <c r="D980" s="1" t="s">
        <v>18</v>
      </c>
      <c r="E980" s="4">
        <v>130.6</v>
      </c>
      <c r="F980" s="4">
        <v>126.4</v>
      </c>
      <c r="G980" s="4">
        <v>120.5</v>
      </c>
      <c r="H980" s="1" t="s">
        <v>189</v>
      </c>
      <c r="K980">
        <v>2014</v>
      </c>
      <c r="L980" t="s">
        <v>37</v>
      </c>
      <c r="M980" t="s">
        <v>66</v>
      </c>
      <c r="N980" t="s">
        <v>19</v>
      </c>
      <c r="O980" t="s">
        <v>189</v>
      </c>
      <c r="P980" s="1" t="s">
        <v>30</v>
      </c>
      <c r="Q980">
        <v>117.8</v>
      </c>
    </row>
    <row r="981" spans="1:17" x14ac:dyDescent="0.3">
      <c r="A981">
        <v>2016</v>
      </c>
      <c r="B981" t="s">
        <v>37</v>
      </c>
      <c r="C981" t="s">
        <v>90</v>
      </c>
      <c r="D981" s="1" t="s">
        <v>8</v>
      </c>
      <c r="E981" s="4">
        <v>138.1</v>
      </c>
      <c r="F981" s="4">
        <v>134.80000000000001</v>
      </c>
      <c r="G981" s="4">
        <v>131.1</v>
      </c>
      <c r="H981" s="1" t="s">
        <v>188</v>
      </c>
      <c r="K981">
        <v>2014</v>
      </c>
      <c r="L981" t="s">
        <v>37</v>
      </c>
      <c r="M981" t="s">
        <v>66</v>
      </c>
      <c r="N981" t="s">
        <v>19</v>
      </c>
      <c r="O981" t="s">
        <v>189</v>
      </c>
      <c r="P981" s="1" t="s">
        <v>34</v>
      </c>
      <c r="Q981">
        <v>117</v>
      </c>
    </row>
    <row r="982" spans="1:17" x14ac:dyDescent="0.3">
      <c r="A982">
        <v>2016</v>
      </c>
      <c r="B982" t="s">
        <v>37</v>
      </c>
      <c r="C982" t="s">
        <v>90</v>
      </c>
      <c r="D982" s="1" t="s">
        <v>21</v>
      </c>
      <c r="E982" s="4">
        <v>127</v>
      </c>
      <c r="F982" s="4">
        <v>122.3</v>
      </c>
      <c r="G982" s="4">
        <v>114.6</v>
      </c>
      <c r="H982" s="1" t="s">
        <v>190</v>
      </c>
      <c r="K982">
        <v>2014</v>
      </c>
      <c r="L982" t="s">
        <v>37</v>
      </c>
      <c r="M982" t="s">
        <v>66</v>
      </c>
      <c r="N982" t="s">
        <v>19</v>
      </c>
      <c r="O982" t="s">
        <v>189</v>
      </c>
      <c r="P982" s="1" t="s">
        <v>33</v>
      </c>
      <c r="Q982">
        <v>115.7</v>
      </c>
    </row>
    <row r="983" spans="1:17" x14ac:dyDescent="0.3">
      <c r="A983">
        <v>2016</v>
      </c>
      <c r="B983" t="s">
        <v>37</v>
      </c>
      <c r="C983" t="s">
        <v>90</v>
      </c>
      <c r="D983" s="1" t="s">
        <v>29</v>
      </c>
      <c r="E983" s="4">
        <v>129</v>
      </c>
      <c r="F983" s="4">
        <v>127.3</v>
      </c>
      <c r="G983" s="4">
        <v>125.3</v>
      </c>
      <c r="H983" s="1" t="s">
        <v>206</v>
      </c>
      <c r="K983">
        <v>2014</v>
      </c>
      <c r="L983" t="s">
        <v>37</v>
      </c>
      <c r="M983" t="s">
        <v>66</v>
      </c>
      <c r="N983" t="s">
        <v>26</v>
      </c>
      <c r="O983" t="s">
        <v>26</v>
      </c>
      <c r="P983" s="1" t="s">
        <v>30</v>
      </c>
      <c r="Q983">
        <v>113</v>
      </c>
    </row>
    <row r="984" spans="1:17" x14ac:dyDescent="0.3">
      <c r="A984">
        <v>2016</v>
      </c>
      <c r="B984" t="s">
        <v>37</v>
      </c>
      <c r="C984" t="s">
        <v>90</v>
      </c>
      <c r="D984" s="1" t="s">
        <v>23</v>
      </c>
      <c r="E984" s="4">
        <v>125.2</v>
      </c>
      <c r="F984" s="4">
        <v>123.2</v>
      </c>
      <c r="G984" s="4">
        <v>120</v>
      </c>
      <c r="H984" s="1" t="s">
        <v>23</v>
      </c>
      <c r="K984">
        <v>2014</v>
      </c>
      <c r="L984" t="s">
        <v>37</v>
      </c>
      <c r="M984" t="s">
        <v>66</v>
      </c>
      <c r="N984" t="s">
        <v>26</v>
      </c>
      <c r="O984" t="s">
        <v>26</v>
      </c>
      <c r="P984" s="1" t="s">
        <v>34</v>
      </c>
      <c r="Q984">
        <v>112.7</v>
      </c>
    </row>
    <row r="985" spans="1:17" x14ac:dyDescent="0.3">
      <c r="A985">
        <v>2016</v>
      </c>
      <c r="B985" t="s">
        <v>37</v>
      </c>
      <c r="C985" t="s">
        <v>90</v>
      </c>
      <c r="D985" s="1" t="s">
        <v>22</v>
      </c>
      <c r="E985" s="4">
        <v>128</v>
      </c>
      <c r="F985" s="4">
        <v>125.5</v>
      </c>
      <c r="G985" s="4">
        <v>122.8</v>
      </c>
      <c r="H985" s="1" t="s">
        <v>20</v>
      </c>
      <c r="K985">
        <v>2014</v>
      </c>
      <c r="L985" t="s">
        <v>37</v>
      </c>
      <c r="M985" t="s">
        <v>66</v>
      </c>
      <c r="N985" t="s">
        <v>26</v>
      </c>
      <c r="O985" t="s">
        <v>26</v>
      </c>
      <c r="P985" s="1" t="s">
        <v>33</v>
      </c>
      <c r="Q985">
        <v>112.5</v>
      </c>
    </row>
    <row r="986" spans="1:17" x14ac:dyDescent="0.3">
      <c r="A986">
        <v>2016</v>
      </c>
      <c r="B986" t="s">
        <v>37</v>
      </c>
      <c r="C986" t="s">
        <v>90</v>
      </c>
      <c r="D986" s="1" t="s">
        <v>20</v>
      </c>
      <c r="E986" s="4">
        <v>0</v>
      </c>
      <c r="F986" s="4">
        <v>125.6</v>
      </c>
      <c r="G986" s="4">
        <v>125.6</v>
      </c>
      <c r="H986" s="1" t="s">
        <v>20</v>
      </c>
      <c r="K986">
        <v>2014</v>
      </c>
      <c r="L986" t="s">
        <v>37</v>
      </c>
      <c r="M986" t="s">
        <v>66</v>
      </c>
      <c r="N986" t="s">
        <v>5</v>
      </c>
      <c r="O986" t="s">
        <v>188</v>
      </c>
      <c r="P986" s="1" t="s">
        <v>30</v>
      </c>
      <c r="Q986">
        <v>118.1</v>
      </c>
    </row>
    <row r="987" spans="1:17" x14ac:dyDescent="0.3">
      <c r="A987">
        <v>2016</v>
      </c>
      <c r="B987" t="s">
        <v>37</v>
      </c>
      <c r="C987" t="s">
        <v>90</v>
      </c>
      <c r="D987" s="1" t="s">
        <v>4</v>
      </c>
      <c r="E987" s="4">
        <v>135.4</v>
      </c>
      <c r="F987" s="4">
        <v>136.80000000000001</v>
      </c>
      <c r="G987" s="4">
        <v>139.30000000000001</v>
      </c>
      <c r="H987" s="1" t="s">
        <v>188</v>
      </c>
      <c r="K987">
        <v>2014</v>
      </c>
      <c r="L987" t="s">
        <v>37</v>
      </c>
      <c r="M987" t="s">
        <v>66</v>
      </c>
      <c r="N987" t="s">
        <v>5</v>
      </c>
      <c r="O987" t="s">
        <v>188</v>
      </c>
      <c r="P987" s="1" t="s">
        <v>34</v>
      </c>
      <c r="Q987">
        <v>116.2</v>
      </c>
    </row>
    <row r="988" spans="1:17" x14ac:dyDescent="0.3">
      <c r="A988">
        <v>2016</v>
      </c>
      <c r="B988" t="s">
        <v>37</v>
      </c>
      <c r="C988" t="s">
        <v>90</v>
      </c>
      <c r="D988" s="1" t="s">
        <v>6</v>
      </c>
      <c r="E988" s="4">
        <v>131.30000000000001</v>
      </c>
      <c r="F988" s="4">
        <v>130.9</v>
      </c>
      <c r="G988" s="4">
        <v>130.19999999999999</v>
      </c>
      <c r="H988" s="1" t="s">
        <v>188</v>
      </c>
      <c r="K988">
        <v>2014</v>
      </c>
      <c r="L988" t="s">
        <v>37</v>
      </c>
      <c r="M988" t="s">
        <v>66</v>
      </c>
      <c r="N988" t="s">
        <v>5</v>
      </c>
      <c r="O988" t="s">
        <v>188</v>
      </c>
      <c r="P988" s="1" t="s">
        <v>33</v>
      </c>
      <c r="Q988">
        <v>113.3</v>
      </c>
    </row>
    <row r="989" spans="1:17" x14ac:dyDescent="0.3">
      <c r="A989">
        <v>2016</v>
      </c>
      <c r="B989" t="s">
        <v>37</v>
      </c>
      <c r="C989" t="s">
        <v>90</v>
      </c>
      <c r="D989" s="1" t="s">
        <v>28</v>
      </c>
      <c r="E989" s="4">
        <v>121.7</v>
      </c>
      <c r="F989" s="4">
        <v>120</v>
      </c>
      <c r="G989" s="4">
        <v>118.2</v>
      </c>
      <c r="H989" s="1" t="s">
        <v>192</v>
      </c>
      <c r="K989">
        <v>2014</v>
      </c>
      <c r="L989" t="s">
        <v>37</v>
      </c>
      <c r="M989" t="s">
        <v>66</v>
      </c>
      <c r="N989" t="s">
        <v>15</v>
      </c>
      <c r="O989" t="s">
        <v>188</v>
      </c>
      <c r="P989" s="1" t="s">
        <v>30</v>
      </c>
      <c r="Q989">
        <v>117.2</v>
      </c>
    </row>
    <row r="990" spans="1:17" x14ac:dyDescent="0.3">
      <c r="A990">
        <v>2016</v>
      </c>
      <c r="B990" t="s">
        <v>37</v>
      </c>
      <c r="C990" t="s">
        <v>90</v>
      </c>
      <c r="D990" s="1" t="s">
        <v>13</v>
      </c>
      <c r="E990" s="4">
        <v>125.4</v>
      </c>
      <c r="F990" s="4">
        <v>123.6</v>
      </c>
      <c r="G990" s="4">
        <v>121.1</v>
      </c>
      <c r="H990" s="1" t="s">
        <v>188</v>
      </c>
      <c r="K990">
        <v>2014</v>
      </c>
      <c r="L990" t="s">
        <v>37</v>
      </c>
      <c r="M990" t="s">
        <v>66</v>
      </c>
      <c r="N990" t="s">
        <v>15</v>
      </c>
      <c r="O990" t="s">
        <v>188</v>
      </c>
      <c r="P990" s="1" t="s">
        <v>34</v>
      </c>
      <c r="Q990">
        <v>117.6</v>
      </c>
    </row>
    <row r="991" spans="1:17" x14ac:dyDescent="0.3">
      <c r="A991">
        <v>2016</v>
      </c>
      <c r="B991" t="s">
        <v>37</v>
      </c>
      <c r="C991" t="s">
        <v>90</v>
      </c>
      <c r="D991" s="1" t="s">
        <v>7</v>
      </c>
      <c r="E991" s="4">
        <v>118.2</v>
      </c>
      <c r="F991" s="4">
        <v>114.8</v>
      </c>
      <c r="G991" s="4">
        <v>108.9</v>
      </c>
      <c r="H991" s="1" t="s">
        <v>188</v>
      </c>
      <c r="K991">
        <v>2014</v>
      </c>
      <c r="L991" t="s">
        <v>37</v>
      </c>
      <c r="M991" t="s">
        <v>66</v>
      </c>
      <c r="N991" t="s">
        <v>15</v>
      </c>
      <c r="O991" t="s">
        <v>188</v>
      </c>
      <c r="P991" s="1" t="s">
        <v>33</v>
      </c>
      <c r="Q991">
        <v>118.2</v>
      </c>
    </row>
    <row r="992" spans="1:17" x14ac:dyDescent="0.3">
      <c r="A992">
        <v>2016</v>
      </c>
      <c r="B992" t="s">
        <v>37</v>
      </c>
      <c r="C992" t="s">
        <v>90</v>
      </c>
      <c r="D992" s="1" t="s">
        <v>16</v>
      </c>
      <c r="E992" s="4">
        <v>135.5</v>
      </c>
      <c r="F992" s="4">
        <v>137.1</v>
      </c>
      <c r="G992" s="4">
        <v>141.5</v>
      </c>
      <c r="H992" s="1" t="s">
        <v>192</v>
      </c>
      <c r="K992">
        <v>2014</v>
      </c>
      <c r="L992" t="s">
        <v>37</v>
      </c>
      <c r="M992" t="s">
        <v>66</v>
      </c>
      <c r="N992" t="s">
        <v>18</v>
      </c>
      <c r="O992" t="s">
        <v>189</v>
      </c>
      <c r="P992" s="1" t="s">
        <v>30</v>
      </c>
      <c r="Q992">
        <v>116.1</v>
      </c>
    </row>
    <row r="993" spans="1:17" x14ac:dyDescent="0.3">
      <c r="A993">
        <v>2016</v>
      </c>
      <c r="B993" t="s">
        <v>37</v>
      </c>
      <c r="C993" t="s">
        <v>90</v>
      </c>
      <c r="D993" s="1" t="s">
        <v>27</v>
      </c>
      <c r="E993" s="4">
        <v>118.4</v>
      </c>
      <c r="F993" s="4">
        <v>118.1</v>
      </c>
      <c r="G993" s="4">
        <v>117.6</v>
      </c>
      <c r="H993" s="1" t="s">
        <v>192</v>
      </c>
      <c r="K993">
        <v>2014</v>
      </c>
      <c r="L993" t="s">
        <v>37</v>
      </c>
      <c r="M993" t="s">
        <v>66</v>
      </c>
      <c r="N993" t="s">
        <v>18</v>
      </c>
      <c r="O993" t="s">
        <v>189</v>
      </c>
      <c r="P993" s="1" t="s">
        <v>34</v>
      </c>
      <c r="Q993">
        <v>114.6</v>
      </c>
    </row>
    <row r="994" spans="1:17" x14ac:dyDescent="0.3">
      <c r="A994">
        <v>2016</v>
      </c>
      <c r="B994" t="s">
        <v>37</v>
      </c>
      <c r="C994" t="s">
        <v>90</v>
      </c>
      <c r="D994" s="1" t="s">
        <v>14</v>
      </c>
      <c r="E994" s="4">
        <v>137.4</v>
      </c>
      <c r="F994" s="4">
        <v>136.69999999999999</v>
      </c>
      <c r="G994" s="4">
        <v>135.9</v>
      </c>
      <c r="H994" s="1" t="s">
        <v>188</v>
      </c>
      <c r="K994">
        <v>2014</v>
      </c>
      <c r="L994" t="s">
        <v>37</v>
      </c>
      <c r="M994" t="s">
        <v>66</v>
      </c>
      <c r="N994" t="s">
        <v>18</v>
      </c>
      <c r="O994" t="s">
        <v>189</v>
      </c>
      <c r="P994" s="1" t="s">
        <v>33</v>
      </c>
      <c r="Q994">
        <v>112.5</v>
      </c>
    </row>
    <row r="995" spans="1:17" x14ac:dyDescent="0.3">
      <c r="A995">
        <v>2016</v>
      </c>
      <c r="B995" t="s">
        <v>37</v>
      </c>
      <c r="C995" t="s">
        <v>90</v>
      </c>
      <c r="D995" s="1" t="s">
        <v>10</v>
      </c>
      <c r="E995" s="4">
        <v>162.69999999999999</v>
      </c>
      <c r="F995" s="4">
        <v>167.5</v>
      </c>
      <c r="G995" s="4">
        <v>176.9</v>
      </c>
      <c r="H995" s="1" t="s">
        <v>188</v>
      </c>
      <c r="K995">
        <v>2014</v>
      </c>
      <c r="L995" t="s">
        <v>37</v>
      </c>
      <c r="M995" t="s">
        <v>66</v>
      </c>
      <c r="N995" t="s">
        <v>8</v>
      </c>
      <c r="O995" t="s">
        <v>188</v>
      </c>
      <c r="P995" s="1" t="s">
        <v>30</v>
      </c>
      <c r="Q995">
        <v>125.5</v>
      </c>
    </row>
    <row r="996" spans="1:17" x14ac:dyDescent="0.3">
      <c r="A996">
        <v>2016</v>
      </c>
      <c r="B996" t="s">
        <v>37</v>
      </c>
      <c r="C996" t="s">
        <v>90</v>
      </c>
      <c r="D996" s="1" t="s">
        <v>25</v>
      </c>
      <c r="E996" s="4">
        <v>123.2</v>
      </c>
      <c r="F996" s="4">
        <v>121.1</v>
      </c>
      <c r="G996" s="4">
        <v>119.5</v>
      </c>
      <c r="H996" s="1" t="s">
        <v>195</v>
      </c>
      <c r="K996">
        <v>2014</v>
      </c>
      <c r="L996" t="s">
        <v>37</v>
      </c>
      <c r="M996" t="s">
        <v>66</v>
      </c>
      <c r="N996" t="s">
        <v>8</v>
      </c>
      <c r="O996" t="s">
        <v>188</v>
      </c>
      <c r="P996" s="1" t="s">
        <v>34</v>
      </c>
      <c r="Q996">
        <v>126.1</v>
      </c>
    </row>
    <row r="997" spans="1:17" x14ac:dyDescent="0.3">
      <c r="A997">
        <v>2016</v>
      </c>
      <c r="B997" t="s">
        <v>37</v>
      </c>
      <c r="C997" t="s">
        <v>90</v>
      </c>
      <c r="D997" s="1" t="s">
        <v>12</v>
      </c>
      <c r="E997" s="4">
        <v>131.4</v>
      </c>
      <c r="F997" s="4">
        <v>134.4</v>
      </c>
      <c r="G997" s="4">
        <v>140.4</v>
      </c>
      <c r="H997" s="1" t="s">
        <v>188</v>
      </c>
      <c r="K997">
        <v>2014</v>
      </c>
      <c r="L997" t="s">
        <v>37</v>
      </c>
      <c r="M997" t="s">
        <v>66</v>
      </c>
      <c r="N997" t="s">
        <v>8</v>
      </c>
      <c r="O997" t="s">
        <v>188</v>
      </c>
      <c r="P997" s="1" t="s">
        <v>33</v>
      </c>
      <c r="Q997">
        <v>126.7</v>
      </c>
    </row>
    <row r="998" spans="1:17" x14ac:dyDescent="0.3">
      <c r="A998">
        <v>2016</v>
      </c>
      <c r="B998" t="s">
        <v>37</v>
      </c>
      <c r="C998" t="s">
        <v>90</v>
      </c>
      <c r="D998" s="1" t="s">
        <v>11</v>
      </c>
      <c r="E998" s="4">
        <v>105</v>
      </c>
      <c r="F998" s="4">
        <v>106.4</v>
      </c>
      <c r="G998" s="4">
        <v>109.1</v>
      </c>
      <c r="H998" s="1" t="s">
        <v>188</v>
      </c>
      <c r="K998">
        <v>2014</v>
      </c>
      <c r="L998" t="s">
        <v>37</v>
      </c>
      <c r="M998" t="s">
        <v>66</v>
      </c>
      <c r="N998" t="s">
        <v>21</v>
      </c>
      <c r="O998" t="s">
        <v>190</v>
      </c>
      <c r="P998" s="1" t="s">
        <v>30</v>
      </c>
      <c r="Q998">
        <v>113.4</v>
      </c>
    </row>
    <row r="999" spans="1:17" x14ac:dyDescent="0.3">
      <c r="A999">
        <v>2016</v>
      </c>
      <c r="B999" t="s">
        <v>37</v>
      </c>
      <c r="C999" t="s">
        <v>90</v>
      </c>
      <c r="D999" s="1" t="s">
        <v>24</v>
      </c>
      <c r="E999" s="4">
        <v>114.4</v>
      </c>
      <c r="F999" s="4">
        <v>112.1</v>
      </c>
      <c r="G999" s="4">
        <v>110</v>
      </c>
      <c r="H999" s="1" t="s">
        <v>191</v>
      </c>
      <c r="K999">
        <v>2014</v>
      </c>
      <c r="L999" t="s">
        <v>37</v>
      </c>
      <c r="M999" t="s">
        <v>66</v>
      </c>
      <c r="N999" t="s">
        <v>21</v>
      </c>
      <c r="O999" t="s">
        <v>190</v>
      </c>
      <c r="P999" s="1" t="s">
        <v>34</v>
      </c>
      <c r="Q999">
        <v>112.5</v>
      </c>
    </row>
    <row r="1000" spans="1:17" x14ac:dyDescent="0.3">
      <c r="A1000">
        <v>2016</v>
      </c>
      <c r="B1000" t="s">
        <v>37</v>
      </c>
      <c r="C1000" t="s">
        <v>90</v>
      </c>
      <c r="D1000" s="1" t="s">
        <v>9</v>
      </c>
      <c r="E1000" s="4">
        <v>134.1</v>
      </c>
      <c r="F1000" s="4">
        <v>135</v>
      </c>
      <c r="G1000" s="4">
        <v>136.80000000000001</v>
      </c>
      <c r="H1000" s="1" t="s">
        <v>188</v>
      </c>
      <c r="K1000">
        <v>2014</v>
      </c>
      <c r="L1000" t="s">
        <v>37</v>
      </c>
      <c r="M1000" t="s">
        <v>66</v>
      </c>
      <c r="N1000" t="s">
        <v>21</v>
      </c>
      <c r="O1000" t="s">
        <v>190</v>
      </c>
      <c r="P1000" s="1" t="s">
        <v>33</v>
      </c>
      <c r="Q1000">
        <v>110.9</v>
      </c>
    </row>
    <row r="1001" spans="1:17" x14ac:dyDescent="0.3">
      <c r="A1001">
        <v>2016</v>
      </c>
      <c r="B1001" t="s">
        <v>41</v>
      </c>
      <c r="C1001" t="s">
        <v>91</v>
      </c>
      <c r="D1001" s="1" t="s">
        <v>3</v>
      </c>
      <c r="E1001" s="4">
        <v>130.1</v>
      </c>
      <c r="F1001" s="4">
        <v>129.30000000000001</v>
      </c>
      <c r="G1001" s="4">
        <v>127.6</v>
      </c>
      <c r="H1001" s="1" t="s">
        <v>188</v>
      </c>
      <c r="K1001">
        <v>2014</v>
      </c>
      <c r="L1001" t="s">
        <v>37</v>
      </c>
      <c r="M1001" t="s">
        <v>66</v>
      </c>
      <c r="N1001" t="s">
        <v>29</v>
      </c>
      <c r="O1001" t="s">
        <v>206</v>
      </c>
      <c r="P1001" s="1" t="s">
        <v>30</v>
      </c>
      <c r="Q1001">
        <v>115.4</v>
      </c>
    </row>
    <row r="1002" spans="1:17" x14ac:dyDescent="0.3">
      <c r="A1002">
        <v>2016</v>
      </c>
      <c r="B1002" t="s">
        <v>41</v>
      </c>
      <c r="C1002" t="s">
        <v>91</v>
      </c>
      <c r="D1002" s="1" t="s">
        <v>17</v>
      </c>
      <c r="E1002" s="4">
        <v>137.80000000000001</v>
      </c>
      <c r="F1002" s="4">
        <v>134.1</v>
      </c>
      <c r="G1002" s="4">
        <v>128.30000000000001</v>
      </c>
      <c r="H1002" s="1" t="s">
        <v>189</v>
      </c>
      <c r="K1002">
        <v>2014</v>
      </c>
      <c r="L1002" t="s">
        <v>37</v>
      </c>
      <c r="M1002" t="s">
        <v>66</v>
      </c>
      <c r="N1002" t="s">
        <v>29</v>
      </c>
      <c r="O1002" t="s">
        <v>206</v>
      </c>
      <c r="P1002" s="1" t="s">
        <v>34</v>
      </c>
      <c r="Q1002">
        <v>115.1</v>
      </c>
    </row>
    <row r="1003" spans="1:17" x14ac:dyDescent="0.3">
      <c r="A1003">
        <v>2016</v>
      </c>
      <c r="B1003" t="s">
        <v>41</v>
      </c>
      <c r="C1003" t="s">
        <v>91</v>
      </c>
      <c r="D1003" s="1" t="s">
        <v>19</v>
      </c>
      <c r="E1003" s="4">
        <v>137.1</v>
      </c>
      <c r="F1003" s="4">
        <v>133.19999999999999</v>
      </c>
      <c r="G1003" s="4">
        <v>127.3</v>
      </c>
      <c r="H1003" s="1" t="s">
        <v>189</v>
      </c>
      <c r="K1003">
        <v>2014</v>
      </c>
      <c r="L1003" t="s">
        <v>37</v>
      </c>
      <c r="M1003" t="s">
        <v>66</v>
      </c>
      <c r="N1003" t="s">
        <v>29</v>
      </c>
      <c r="O1003" t="s">
        <v>206</v>
      </c>
      <c r="P1003" s="1" t="s">
        <v>33</v>
      </c>
      <c r="Q1003">
        <v>114.7</v>
      </c>
    </row>
    <row r="1004" spans="1:17" x14ac:dyDescent="0.3">
      <c r="A1004">
        <v>2016</v>
      </c>
      <c r="B1004" t="s">
        <v>41</v>
      </c>
      <c r="C1004" t="s">
        <v>91</v>
      </c>
      <c r="D1004" s="1" t="s">
        <v>26</v>
      </c>
      <c r="E1004" s="4">
        <v>131.9</v>
      </c>
      <c r="F1004" s="4">
        <v>131.69999999999999</v>
      </c>
      <c r="G1004" s="4">
        <v>131.5</v>
      </c>
      <c r="H1004" s="1" t="s">
        <v>26</v>
      </c>
      <c r="K1004">
        <v>2014</v>
      </c>
      <c r="L1004" t="s">
        <v>37</v>
      </c>
      <c r="M1004" t="s">
        <v>66</v>
      </c>
      <c r="N1004" t="s">
        <v>23</v>
      </c>
      <c r="O1004" t="s">
        <v>23</v>
      </c>
      <c r="P1004" s="1" t="s">
        <v>30</v>
      </c>
      <c r="Q1004">
        <v>111.8</v>
      </c>
    </row>
    <row r="1005" spans="1:17" x14ac:dyDescent="0.3">
      <c r="A1005">
        <v>2016</v>
      </c>
      <c r="B1005" t="s">
        <v>41</v>
      </c>
      <c r="C1005" t="s">
        <v>91</v>
      </c>
      <c r="D1005" s="1" t="s">
        <v>5</v>
      </c>
      <c r="E1005" s="4">
        <v>130.30000000000001</v>
      </c>
      <c r="F1005" s="4">
        <v>131.6</v>
      </c>
      <c r="G1005" s="4">
        <v>133.69999999999999</v>
      </c>
      <c r="H1005" s="1" t="s">
        <v>188</v>
      </c>
      <c r="K1005">
        <v>2014</v>
      </c>
      <c r="L1005" t="s">
        <v>37</v>
      </c>
      <c r="M1005" t="s">
        <v>66</v>
      </c>
      <c r="N1005" t="s">
        <v>23</v>
      </c>
      <c r="O1005" t="s">
        <v>23</v>
      </c>
      <c r="P1005" s="1" t="s">
        <v>34</v>
      </c>
      <c r="Q1005">
        <v>111.5</v>
      </c>
    </row>
    <row r="1006" spans="1:17" x14ac:dyDescent="0.3">
      <c r="A1006">
        <v>2016</v>
      </c>
      <c r="B1006" t="s">
        <v>41</v>
      </c>
      <c r="C1006" t="s">
        <v>91</v>
      </c>
      <c r="D1006" s="1" t="s">
        <v>15</v>
      </c>
      <c r="E1006" s="4">
        <v>138</v>
      </c>
      <c r="F1006" s="4">
        <v>137.9</v>
      </c>
      <c r="G1006" s="4">
        <v>137.6</v>
      </c>
      <c r="H1006" s="1" t="s">
        <v>188</v>
      </c>
      <c r="K1006">
        <v>2014</v>
      </c>
      <c r="L1006" t="s">
        <v>37</v>
      </c>
      <c r="M1006" t="s">
        <v>66</v>
      </c>
      <c r="N1006" t="s">
        <v>23</v>
      </c>
      <c r="O1006" t="s">
        <v>23</v>
      </c>
      <c r="P1006" s="1" t="s">
        <v>33</v>
      </c>
      <c r="Q1006">
        <v>111</v>
      </c>
    </row>
    <row r="1007" spans="1:17" x14ac:dyDescent="0.3">
      <c r="A1007">
        <v>2016</v>
      </c>
      <c r="B1007" t="s">
        <v>41</v>
      </c>
      <c r="C1007" t="s">
        <v>91</v>
      </c>
      <c r="D1007" s="1" t="s">
        <v>18</v>
      </c>
      <c r="E1007" s="4">
        <v>133</v>
      </c>
      <c r="F1007" s="4">
        <v>128.19999999999999</v>
      </c>
      <c r="G1007" s="4">
        <v>121.4</v>
      </c>
      <c r="H1007" s="1" t="s">
        <v>189</v>
      </c>
      <c r="K1007">
        <v>2014</v>
      </c>
      <c r="L1007" t="s">
        <v>37</v>
      </c>
      <c r="M1007" t="s">
        <v>66</v>
      </c>
      <c r="N1007" t="s">
        <v>22</v>
      </c>
      <c r="O1007" t="s">
        <v>20</v>
      </c>
      <c r="P1007" s="1" t="s">
        <v>30</v>
      </c>
      <c r="Q1007">
        <v>113.7</v>
      </c>
    </row>
    <row r="1008" spans="1:17" x14ac:dyDescent="0.3">
      <c r="A1008">
        <v>2016</v>
      </c>
      <c r="B1008" t="s">
        <v>41</v>
      </c>
      <c r="C1008" t="s">
        <v>91</v>
      </c>
      <c r="D1008" s="1" t="s">
        <v>8</v>
      </c>
      <c r="E1008" s="4">
        <v>140.19999999999999</v>
      </c>
      <c r="F1008" s="4">
        <v>138.1</v>
      </c>
      <c r="G1008" s="4">
        <v>135.80000000000001</v>
      </c>
      <c r="H1008" s="1" t="s">
        <v>188</v>
      </c>
      <c r="K1008">
        <v>2014</v>
      </c>
      <c r="L1008" t="s">
        <v>37</v>
      </c>
      <c r="M1008" t="s">
        <v>66</v>
      </c>
      <c r="N1008" t="s">
        <v>22</v>
      </c>
      <c r="O1008" t="s">
        <v>20</v>
      </c>
      <c r="P1008" s="1" t="s">
        <v>34</v>
      </c>
      <c r="Q1008">
        <v>113.6</v>
      </c>
    </row>
    <row r="1009" spans="1:17" x14ac:dyDescent="0.3">
      <c r="A1009">
        <v>2016</v>
      </c>
      <c r="B1009" t="s">
        <v>41</v>
      </c>
      <c r="C1009" t="s">
        <v>91</v>
      </c>
      <c r="D1009" s="1" t="s">
        <v>21</v>
      </c>
      <c r="E1009" s="4">
        <v>129.1</v>
      </c>
      <c r="F1009" s="4">
        <v>123.6</v>
      </c>
      <c r="G1009" s="4">
        <v>114.7</v>
      </c>
      <c r="H1009" s="1" t="s">
        <v>190</v>
      </c>
      <c r="K1009">
        <v>2014</v>
      </c>
      <c r="L1009" t="s">
        <v>37</v>
      </c>
      <c r="M1009" t="s">
        <v>66</v>
      </c>
      <c r="N1009" t="s">
        <v>22</v>
      </c>
      <c r="O1009" t="s">
        <v>20</v>
      </c>
      <c r="P1009" s="1" t="s">
        <v>33</v>
      </c>
      <c r="Q1009">
        <v>113.4</v>
      </c>
    </row>
    <row r="1010" spans="1:17" x14ac:dyDescent="0.3">
      <c r="A1010">
        <v>2016</v>
      </c>
      <c r="B1010" t="s">
        <v>41</v>
      </c>
      <c r="C1010" t="s">
        <v>91</v>
      </c>
      <c r="D1010" s="1" t="s">
        <v>29</v>
      </c>
      <c r="E1010" s="4">
        <v>133.5</v>
      </c>
      <c r="F1010" s="4">
        <v>131.1</v>
      </c>
      <c r="G1010" s="4">
        <v>128.4</v>
      </c>
      <c r="H1010" s="1" t="s">
        <v>206</v>
      </c>
      <c r="K1010">
        <v>2014</v>
      </c>
      <c r="L1010" t="s">
        <v>37</v>
      </c>
      <c r="M1010" t="s">
        <v>66</v>
      </c>
      <c r="N1010" t="s">
        <v>20</v>
      </c>
      <c r="O1010" t="s">
        <v>20</v>
      </c>
      <c r="P1010" s="1" t="s">
        <v>30</v>
      </c>
      <c r="Q1010">
        <v>0</v>
      </c>
    </row>
    <row r="1011" spans="1:17" x14ac:dyDescent="0.3">
      <c r="A1011">
        <v>2016</v>
      </c>
      <c r="B1011" t="s">
        <v>41</v>
      </c>
      <c r="C1011" t="s">
        <v>91</v>
      </c>
      <c r="D1011" s="1" t="s">
        <v>23</v>
      </c>
      <c r="E1011" s="4">
        <v>127</v>
      </c>
      <c r="F1011" s="4">
        <v>124.8</v>
      </c>
      <c r="G1011" s="4">
        <v>121.2</v>
      </c>
      <c r="H1011" s="1" t="s">
        <v>23</v>
      </c>
      <c r="K1011">
        <v>2014</v>
      </c>
      <c r="L1011" t="s">
        <v>37</v>
      </c>
      <c r="M1011" t="s">
        <v>66</v>
      </c>
      <c r="N1011" t="s">
        <v>20</v>
      </c>
      <c r="O1011" t="s">
        <v>20</v>
      </c>
      <c r="P1011" s="1" t="s">
        <v>34</v>
      </c>
      <c r="Q1011">
        <v>113.9</v>
      </c>
    </row>
    <row r="1012" spans="1:17" x14ac:dyDescent="0.3">
      <c r="A1012">
        <v>2016</v>
      </c>
      <c r="B1012" t="s">
        <v>41</v>
      </c>
      <c r="C1012" t="s">
        <v>91</v>
      </c>
      <c r="D1012" s="1" t="s">
        <v>22</v>
      </c>
      <c r="E1012" s="4">
        <v>130.6</v>
      </c>
      <c r="F1012" s="4">
        <v>127.4</v>
      </c>
      <c r="G1012" s="4">
        <v>123.9</v>
      </c>
      <c r="H1012" s="1" t="s">
        <v>20</v>
      </c>
      <c r="K1012">
        <v>2014</v>
      </c>
      <c r="L1012" t="s">
        <v>37</v>
      </c>
      <c r="M1012" t="s">
        <v>66</v>
      </c>
      <c r="N1012" t="s">
        <v>20</v>
      </c>
      <c r="O1012" t="s">
        <v>20</v>
      </c>
      <c r="P1012" s="1" t="s">
        <v>33</v>
      </c>
      <c r="Q1012">
        <v>113.9</v>
      </c>
    </row>
    <row r="1013" spans="1:17" x14ac:dyDescent="0.3">
      <c r="A1013">
        <v>2016</v>
      </c>
      <c r="B1013" t="s">
        <v>41</v>
      </c>
      <c r="C1013" t="s">
        <v>91</v>
      </c>
      <c r="D1013" s="1" t="s">
        <v>20</v>
      </c>
      <c r="E1013" s="4">
        <v>0</v>
      </c>
      <c r="F1013" s="4">
        <v>127.3</v>
      </c>
      <c r="G1013" s="4">
        <v>127.3</v>
      </c>
      <c r="H1013" s="1" t="s">
        <v>20</v>
      </c>
      <c r="K1013">
        <v>2014</v>
      </c>
      <c r="L1013" t="s">
        <v>37</v>
      </c>
      <c r="M1013" t="s">
        <v>66</v>
      </c>
      <c r="N1013" t="s">
        <v>4</v>
      </c>
      <c r="O1013" t="s">
        <v>188</v>
      </c>
      <c r="P1013" s="1" t="s">
        <v>30</v>
      </c>
      <c r="Q1013">
        <v>118.9</v>
      </c>
    </row>
    <row r="1014" spans="1:17" x14ac:dyDescent="0.3">
      <c r="A1014">
        <v>2016</v>
      </c>
      <c r="B1014" t="s">
        <v>41</v>
      </c>
      <c r="C1014" t="s">
        <v>91</v>
      </c>
      <c r="D1014" s="1" t="s">
        <v>4</v>
      </c>
      <c r="E1014" s="4">
        <v>138.80000000000001</v>
      </c>
      <c r="F1014" s="4">
        <v>139.30000000000001</v>
      </c>
      <c r="G1014" s="4">
        <v>140.30000000000001</v>
      </c>
      <c r="H1014" s="1" t="s">
        <v>188</v>
      </c>
      <c r="K1014">
        <v>2014</v>
      </c>
      <c r="L1014" t="s">
        <v>37</v>
      </c>
      <c r="M1014" t="s">
        <v>66</v>
      </c>
      <c r="N1014" t="s">
        <v>4</v>
      </c>
      <c r="O1014" t="s">
        <v>188</v>
      </c>
      <c r="P1014" s="1" t="s">
        <v>34</v>
      </c>
      <c r="Q1014">
        <v>119.9</v>
      </c>
    </row>
    <row r="1015" spans="1:17" x14ac:dyDescent="0.3">
      <c r="A1015">
        <v>2016</v>
      </c>
      <c r="B1015" t="s">
        <v>41</v>
      </c>
      <c r="C1015" t="s">
        <v>91</v>
      </c>
      <c r="D1015" s="1" t="s">
        <v>6</v>
      </c>
      <c r="E1015" s="4">
        <v>135.30000000000001</v>
      </c>
      <c r="F1015" s="4">
        <v>134.1</v>
      </c>
      <c r="G1015" s="4">
        <v>132.19999999999999</v>
      </c>
      <c r="H1015" s="1" t="s">
        <v>188</v>
      </c>
      <c r="K1015">
        <v>2014</v>
      </c>
      <c r="L1015" t="s">
        <v>37</v>
      </c>
      <c r="M1015" t="s">
        <v>66</v>
      </c>
      <c r="N1015" t="s">
        <v>4</v>
      </c>
      <c r="O1015" t="s">
        <v>188</v>
      </c>
      <c r="P1015" s="1" t="s">
        <v>33</v>
      </c>
      <c r="Q1015">
        <v>121.7</v>
      </c>
    </row>
    <row r="1016" spans="1:17" x14ac:dyDescent="0.3">
      <c r="A1016">
        <v>2016</v>
      </c>
      <c r="B1016" t="s">
        <v>41</v>
      </c>
      <c r="C1016" t="s">
        <v>91</v>
      </c>
      <c r="D1016" s="1" t="s">
        <v>28</v>
      </c>
      <c r="E1016" s="4">
        <v>124.2</v>
      </c>
      <c r="F1016" s="4">
        <v>122.1</v>
      </c>
      <c r="G1016" s="4">
        <v>119.9</v>
      </c>
      <c r="H1016" s="1" t="s">
        <v>192</v>
      </c>
      <c r="K1016">
        <v>2014</v>
      </c>
      <c r="L1016" t="s">
        <v>37</v>
      </c>
      <c r="M1016" t="s">
        <v>66</v>
      </c>
      <c r="N1016" t="s">
        <v>6</v>
      </c>
      <c r="O1016" t="s">
        <v>188</v>
      </c>
      <c r="P1016" s="1" t="s">
        <v>30</v>
      </c>
      <c r="Q1016">
        <v>117</v>
      </c>
    </row>
    <row r="1017" spans="1:17" x14ac:dyDescent="0.3">
      <c r="A1017">
        <v>2016</v>
      </c>
      <c r="B1017" t="s">
        <v>41</v>
      </c>
      <c r="C1017" t="s">
        <v>91</v>
      </c>
      <c r="D1017" s="1" t="s">
        <v>13</v>
      </c>
      <c r="E1017" s="4">
        <v>128.1</v>
      </c>
      <c r="F1017" s="4">
        <v>125.5</v>
      </c>
      <c r="G1017" s="4">
        <v>121.9</v>
      </c>
      <c r="H1017" s="1" t="s">
        <v>188</v>
      </c>
      <c r="K1017">
        <v>2014</v>
      </c>
      <c r="L1017" t="s">
        <v>37</v>
      </c>
      <c r="M1017" t="s">
        <v>66</v>
      </c>
      <c r="N1017" t="s">
        <v>6</v>
      </c>
      <c r="O1017" t="s">
        <v>188</v>
      </c>
      <c r="P1017" s="1" t="s">
        <v>34</v>
      </c>
      <c r="Q1017">
        <v>117</v>
      </c>
    </row>
    <row r="1018" spans="1:17" x14ac:dyDescent="0.3">
      <c r="A1018">
        <v>2016</v>
      </c>
      <c r="B1018" t="s">
        <v>41</v>
      </c>
      <c r="C1018" t="s">
        <v>91</v>
      </c>
      <c r="D1018" s="1" t="s">
        <v>7</v>
      </c>
      <c r="E1018" s="4">
        <v>119.9</v>
      </c>
      <c r="F1018" s="4">
        <v>116.9</v>
      </c>
      <c r="G1018" s="4">
        <v>111.8</v>
      </c>
      <c r="H1018" s="1" t="s">
        <v>188</v>
      </c>
      <c r="K1018">
        <v>2014</v>
      </c>
      <c r="L1018" t="s">
        <v>37</v>
      </c>
      <c r="M1018" t="s">
        <v>66</v>
      </c>
      <c r="N1018" t="s">
        <v>6</v>
      </c>
      <c r="O1018" t="s">
        <v>188</v>
      </c>
      <c r="P1018" s="1" t="s">
        <v>33</v>
      </c>
      <c r="Q1018">
        <v>117</v>
      </c>
    </row>
    <row r="1019" spans="1:17" x14ac:dyDescent="0.3">
      <c r="A1019">
        <v>2016</v>
      </c>
      <c r="B1019" t="s">
        <v>41</v>
      </c>
      <c r="C1019" t="s">
        <v>91</v>
      </c>
      <c r="D1019" s="1" t="s">
        <v>16</v>
      </c>
      <c r="E1019" s="4">
        <v>138.9</v>
      </c>
      <c r="F1019" s="4">
        <v>140.19999999999999</v>
      </c>
      <c r="G1019" s="4">
        <v>143.6</v>
      </c>
      <c r="H1019" s="1" t="s">
        <v>192</v>
      </c>
      <c r="K1019">
        <v>2014</v>
      </c>
      <c r="L1019" t="s">
        <v>37</v>
      </c>
      <c r="M1019" t="s">
        <v>66</v>
      </c>
      <c r="N1019" t="s">
        <v>28</v>
      </c>
      <c r="O1019" t="s">
        <v>192</v>
      </c>
      <c r="P1019" s="1" t="s">
        <v>30</v>
      </c>
      <c r="Q1019">
        <v>111.5</v>
      </c>
    </row>
    <row r="1020" spans="1:17" x14ac:dyDescent="0.3">
      <c r="A1020">
        <v>2016</v>
      </c>
      <c r="B1020" t="s">
        <v>41</v>
      </c>
      <c r="C1020" t="s">
        <v>91</v>
      </c>
      <c r="D1020" s="1" t="s">
        <v>27</v>
      </c>
      <c r="E1020" s="4">
        <v>122</v>
      </c>
      <c r="F1020" s="4">
        <v>121.5</v>
      </c>
      <c r="G1020" s="4">
        <v>120.9</v>
      </c>
      <c r="H1020" s="1" t="s">
        <v>192</v>
      </c>
      <c r="K1020">
        <v>2014</v>
      </c>
      <c r="L1020" t="s">
        <v>37</v>
      </c>
      <c r="M1020" t="s">
        <v>66</v>
      </c>
      <c r="N1020" t="s">
        <v>28</v>
      </c>
      <c r="O1020" t="s">
        <v>192</v>
      </c>
      <c r="P1020" s="1" t="s">
        <v>34</v>
      </c>
      <c r="Q1020">
        <v>111.5</v>
      </c>
    </row>
    <row r="1021" spans="1:17" x14ac:dyDescent="0.3">
      <c r="A1021">
        <v>2016</v>
      </c>
      <c r="B1021" t="s">
        <v>41</v>
      </c>
      <c r="C1021" t="s">
        <v>91</v>
      </c>
      <c r="D1021" s="1" t="s">
        <v>14</v>
      </c>
      <c r="E1021" s="4">
        <v>140.69999999999999</v>
      </c>
      <c r="F1021" s="4">
        <v>139.5</v>
      </c>
      <c r="G1021" s="4">
        <v>138.1</v>
      </c>
      <c r="H1021" s="1" t="s">
        <v>188</v>
      </c>
      <c r="K1021">
        <v>2014</v>
      </c>
      <c r="L1021" t="s">
        <v>37</v>
      </c>
      <c r="M1021" t="s">
        <v>66</v>
      </c>
      <c r="N1021" t="s">
        <v>28</v>
      </c>
      <c r="O1021" t="s">
        <v>192</v>
      </c>
      <c r="P1021" s="1" t="s">
        <v>33</v>
      </c>
      <c r="Q1021">
        <v>111.4</v>
      </c>
    </row>
    <row r="1022" spans="1:17" x14ac:dyDescent="0.3">
      <c r="A1022">
        <v>2016</v>
      </c>
      <c r="B1022" t="s">
        <v>41</v>
      </c>
      <c r="C1022" t="s">
        <v>91</v>
      </c>
      <c r="D1022" s="1" t="s">
        <v>10</v>
      </c>
      <c r="E1022" s="4">
        <v>172.2</v>
      </c>
      <c r="F1022" s="4">
        <v>175.6</v>
      </c>
      <c r="G1022" s="4">
        <v>182.3</v>
      </c>
      <c r="H1022" s="1" t="s">
        <v>188</v>
      </c>
      <c r="K1022">
        <v>2014</v>
      </c>
      <c r="L1022" t="s">
        <v>37</v>
      </c>
      <c r="M1022" t="s">
        <v>66</v>
      </c>
      <c r="N1022" t="s">
        <v>13</v>
      </c>
      <c r="O1022" t="s">
        <v>188</v>
      </c>
      <c r="P1022" s="1" t="s">
        <v>30</v>
      </c>
      <c r="Q1022">
        <v>113.5</v>
      </c>
    </row>
    <row r="1023" spans="1:17" x14ac:dyDescent="0.3">
      <c r="A1023">
        <v>2016</v>
      </c>
      <c r="B1023" t="s">
        <v>41</v>
      </c>
      <c r="C1023" t="s">
        <v>91</v>
      </c>
      <c r="D1023" s="1" t="s">
        <v>25</v>
      </c>
      <c r="E1023" s="4">
        <v>125.5</v>
      </c>
      <c r="F1023" s="4">
        <v>122.7</v>
      </c>
      <c r="G1023" s="4">
        <v>120.6</v>
      </c>
      <c r="H1023" s="1" t="s">
        <v>195</v>
      </c>
      <c r="K1023">
        <v>2014</v>
      </c>
      <c r="L1023" t="s">
        <v>37</v>
      </c>
      <c r="M1023" t="s">
        <v>66</v>
      </c>
      <c r="N1023" t="s">
        <v>13</v>
      </c>
      <c r="O1023" t="s">
        <v>188</v>
      </c>
      <c r="P1023" s="1" t="s">
        <v>34</v>
      </c>
      <c r="Q1023">
        <v>113.2</v>
      </c>
    </row>
    <row r="1024" spans="1:17" x14ac:dyDescent="0.3">
      <c r="A1024">
        <v>2016</v>
      </c>
      <c r="B1024" t="s">
        <v>41</v>
      </c>
      <c r="C1024" t="s">
        <v>91</v>
      </c>
      <c r="D1024" s="1" t="s">
        <v>12</v>
      </c>
      <c r="E1024" s="4">
        <v>134.9</v>
      </c>
      <c r="F1024" s="4">
        <v>138.1</v>
      </c>
      <c r="G1024" s="4">
        <v>144.6</v>
      </c>
      <c r="H1024" s="1" t="s">
        <v>188</v>
      </c>
      <c r="K1024">
        <v>2014</v>
      </c>
      <c r="L1024" t="s">
        <v>37</v>
      </c>
      <c r="M1024" t="s">
        <v>66</v>
      </c>
      <c r="N1024" t="s">
        <v>13</v>
      </c>
      <c r="O1024" t="s">
        <v>188</v>
      </c>
      <c r="P1024" s="1" t="s">
        <v>33</v>
      </c>
      <c r="Q1024">
        <v>112.7</v>
      </c>
    </row>
    <row r="1025" spans="1:17" x14ac:dyDescent="0.3">
      <c r="A1025">
        <v>2016</v>
      </c>
      <c r="B1025" t="s">
        <v>41</v>
      </c>
      <c r="C1025" t="s">
        <v>91</v>
      </c>
      <c r="D1025" s="1" t="s">
        <v>11</v>
      </c>
      <c r="E1025" s="4">
        <v>112.1</v>
      </c>
      <c r="F1025" s="4">
        <v>112.9</v>
      </c>
      <c r="G1025" s="4">
        <v>114.6</v>
      </c>
      <c r="H1025" s="1" t="s">
        <v>188</v>
      </c>
      <c r="K1025">
        <v>2014</v>
      </c>
      <c r="L1025" t="s">
        <v>37</v>
      </c>
      <c r="M1025" t="s">
        <v>66</v>
      </c>
      <c r="N1025" t="s">
        <v>7</v>
      </c>
      <c r="O1025" t="s">
        <v>188</v>
      </c>
      <c r="P1025" s="1" t="s">
        <v>30</v>
      </c>
      <c r="Q1025">
        <v>109.7</v>
      </c>
    </row>
    <row r="1026" spans="1:17" x14ac:dyDescent="0.3">
      <c r="A1026">
        <v>2016</v>
      </c>
      <c r="B1026" t="s">
        <v>41</v>
      </c>
      <c r="C1026" t="s">
        <v>91</v>
      </c>
      <c r="D1026" s="1" t="s">
        <v>24</v>
      </c>
      <c r="E1026" s="4">
        <v>116</v>
      </c>
      <c r="F1026" s="4">
        <v>113.1</v>
      </c>
      <c r="G1026" s="4">
        <v>110.4</v>
      </c>
      <c r="H1026" s="1" t="s">
        <v>191</v>
      </c>
      <c r="K1026">
        <v>2014</v>
      </c>
      <c r="L1026" t="s">
        <v>37</v>
      </c>
      <c r="M1026" t="s">
        <v>66</v>
      </c>
      <c r="N1026" t="s">
        <v>7</v>
      </c>
      <c r="O1026" t="s">
        <v>188</v>
      </c>
      <c r="P1026" s="1" t="s">
        <v>34</v>
      </c>
      <c r="Q1026">
        <v>107.3</v>
      </c>
    </row>
    <row r="1027" spans="1:17" x14ac:dyDescent="0.3">
      <c r="A1027">
        <v>2016</v>
      </c>
      <c r="B1027" t="s">
        <v>41</v>
      </c>
      <c r="C1027" t="s">
        <v>91</v>
      </c>
      <c r="D1027" s="1" t="s">
        <v>9</v>
      </c>
      <c r="E1027" s="4">
        <v>156.9</v>
      </c>
      <c r="F1027" s="4">
        <v>159.1</v>
      </c>
      <c r="G1027" s="4">
        <v>163.5</v>
      </c>
      <c r="H1027" s="1" t="s">
        <v>188</v>
      </c>
      <c r="K1027">
        <v>2014</v>
      </c>
      <c r="L1027" t="s">
        <v>37</v>
      </c>
      <c r="M1027" t="s">
        <v>66</v>
      </c>
      <c r="N1027" t="s">
        <v>7</v>
      </c>
      <c r="O1027" t="s">
        <v>188</v>
      </c>
      <c r="P1027" s="1" t="s">
        <v>33</v>
      </c>
      <c r="Q1027">
        <v>103.1</v>
      </c>
    </row>
    <row r="1028" spans="1:17" x14ac:dyDescent="0.3">
      <c r="A1028">
        <v>2016</v>
      </c>
      <c r="B1028" t="s">
        <v>45</v>
      </c>
      <c r="C1028" t="s">
        <v>92</v>
      </c>
      <c r="D1028" s="1" t="s">
        <v>3</v>
      </c>
      <c r="E1028" s="4">
        <v>132.6</v>
      </c>
      <c r="F1028" s="4">
        <v>132.30000000000001</v>
      </c>
      <c r="G1028" s="4">
        <v>131.6</v>
      </c>
      <c r="H1028" s="1" t="s">
        <v>188</v>
      </c>
      <c r="K1028">
        <v>2014</v>
      </c>
      <c r="L1028" t="s">
        <v>37</v>
      </c>
      <c r="M1028" t="s">
        <v>66</v>
      </c>
      <c r="N1028" t="s">
        <v>16</v>
      </c>
      <c r="O1028" t="s">
        <v>192</v>
      </c>
      <c r="P1028" s="1" t="s">
        <v>30</v>
      </c>
      <c r="Q1028">
        <v>115.4</v>
      </c>
    </row>
    <row r="1029" spans="1:17" x14ac:dyDescent="0.3">
      <c r="A1029">
        <v>2016</v>
      </c>
      <c r="B1029" t="s">
        <v>45</v>
      </c>
      <c r="C1029" t="s">
        <v>92</v>
      </c>
      <c r="D1029" s="1" t="s">
        <v>17</v>
      </c>
      <c r="E1029" s="4">
        <v>140.4</v>
      </c>
      <c r="F1029" s="4">
        <v>136.30000000000001</v>
      </c>
      <c r="G1029" s="4">
        <v>130</v>
      </c>
      <c r="H1029" s="1" t="s">
        <v>189</v>
      </c>
      <c r="K1029">
        <v>2014</v>
      </c>
      <c r="L1029" t="s">
        <v>37</v>
      </c>
      <c r="M1029" t="s">
        <v>66</v>
      </c>
      <c r="N1029" t="s">
        <v>16</v>
      </c>
      <c r="O1029" t="s">
        <v>192</v>
      </c>
      <c r="P1029" s="1" t="s">
        <v>34</v>
      </c>
      <c r="Q1029">
        <v>116</v>
      </c>
    </row>
    <row r="1030" spans="1:17" x14ac:dyDescent="0.3">
      <c r="A1030">
        <v>2016</v>
      </c>
      <c r="B1030" t="s">
        <v>45</v>
      </c>
      <c r="C1030" t="s">
        <v>92</v>
      </c>
      <c r="D1030" s="1" t="s">
        <v>19</v>
      </c>
      <c r="E1030" s="4">
        <v>139.69999999999999</v>
      </c>
      <c r="F1030" s="4">
        <v>135.4</v>
      </c>
      <c r="G1030" s="4">
        <v>128.80000000000001</v>
      </c>
      <c r="H1030" s="1" t="s">
        <v>189</v>
      </c>
      <c r="K1030">
        <v>2014</v>
      </c>
      <c r="L1030" t="s">
        <v>37</v>
      </c>
      <c r="M1030" t="s">
        <v>66</v>
      </c>
      <c r="N1030" t="s">
        <v>16</v>
      </c>
      <c r="O1030" t="s">
        <v>192</v>
      </c>
      <c r="P1030" s="1" t="s">
        <v>33</v>
      </c>
      <c r="Q1030">
        <v>117.6</v>
      </c>
    </row>
    <row r="1031" spans="1:17" x14ac:dyDescent="0.3">
      <c r="A1031">
        <v>2016</v>
      </c>
      <c r="B1031" t="s">
        <v>45</v>
      </c>
      <c r="C1031" t="s">
        <v>92</v>
      </c>
      <c r="D1031" s="1" t="s">
        <v>26</v>
      </c>
      <c r="E1031" s="4">
        <v>134.19999999999999</v>
      </c>
      <c r="F1031" s="4">
        <v>133.1</v>
      </c>
      <c r="G1031" s="4">
        <v>132.30000000000001</v>
      </c>
      <c r="H1031" s="1" t="s">
        <v>26</v>
      </c>
      <c r="K1031">
        <v>2014</v>
      </c>
      <c r="L1031" t="s">
        <v>37</v>
      </c>
      <c r="M1031" t="s">
        <v>66</v>
      </c>
      <c r="N1031" t="s">
        <v>27</v>
      </c>
      <c r="O1031" t="s">
        <v>192</v>
      </c>
      <c r="P1031" s="1" t="s">
        <v>30</v>
      </c>
      <c r="Q1031">
        <v>108.9</v>
      </c>
    </row>
    <row r="1032" spans="1:17" x14ac:dyDescent="0.3">
      <c r="A1032">
        <v>2016</v>
      </c>
      <c r="B1032" t="s">
        <v>45</v>
      </c>
      <c r="C1032" t="s">
        <v>92</v>
      </c>
      <c r="D1032" s="1" t="s">
        <v>5</v>
      </c>
      <c r="E1032" s="4">
        <v>131.6</v>
      </c>
      <c r="F1032" s="4">
        <v>132.9</v>
      </c>
      <c r="G1032" s="4">
        <v>134.9</v>
      </c>
      <c r="H1032" s="1" t="s">
        <v>188</v>
      </c>
      <c r="K1032">
        <v>2014</v>
      </c>
      <c r="L1032" t="s">
        <v>37</v>
      </c>
      <c r="M1032" t="s">
        <v>66</v>
      </c>
      <c r="N1032" t="s">
        <v>27</v>
      </c>
      <c r="O1032" t="s">
        <v>192</v>
      </c>
      <c r="P1032" s="1" t="s">
        <v>34</v>
      </c>
      <c r="Q1032">
        <v>109</v>
      </c>
    </row>
    <row r="1033" spans="1:17" x14ac:dyDescent="0.3">
      <c r="A1033">
        <v>2016</v>
      </c>
      <c r="B1033" t="s">
        <v>45</v>
      </c>
      <c r="C1033" t="s">
        <v>92</v>
      </c>
      <c r="D1033" s="1" t="s">
        <v>15</v>
      </c>
      <c r="E1033" s="4">
        <v>134.69999999999999</v>
      </c>
      <c r="F1033" s="4">
        <v>134</v>
      </c>
      <c r="G1033" s="4">
        <v>132.80000000000001</v>
      </c>
      <c r="H1033" s="1" t="s">
        <v>188</v>
      </c>
      <c r="K1033">
        <v>2014</v>
      </c>
      <c r="L1033" t="s">
        <v>37</v>
      </c>
      <c r="M1033" t="s">
        <v>66</v>
      </c>
      <c r="N1033" t="s">
        <v>27</v>
      </c>
      <c r="O1033" t="s">
        <v>192</v>
      </c>
      <c r="P1033" s="1" t="s">
        <v>33</v>
      </c>
      <c r="Q1033">
        <v>109.1</v>
      </c>
    </row>
    <row r="1034" spans="1:17" x14ac:dyDescent="0.3">
      <c r="A1034">
        <v>2016</v>
      </c>
      <c r="B1034" t="s">
        <v>45</v>
      </c>
      <c r="C1034" t="s">
        <v>92</v>
      </c>
      <c r="D1034" s="1" t="s">
        <v>18</v>
      </c>
      <c r="E1034" s="4">
        <v>135.19999999999999</v>
      </c>
      <c r="F1034" s="4">
        <v>129.80000000000001</v>
      </c>
      <c r="G1034" s="4">
        <v>122.2</v>
      </c>
      <c r="H1034" s="1" t="s">
        <v>189</v>
      </c>
      <c r="K1034">
        <v>2014</v>
      </c>
      <c r="L1034" t="s">
        <v>37</v>
      </c>
      <c r="M1034" t="s">
        <v>66</v>
      </c>
      <c r="N1034" t="s">
        <v>14</v>
      </c>
      <c r="O1034" t="s">
        <v>188</v>
      </c>
      <c r="P1034" s="1" t="s">
        <v>30</v>
      </c>
      <c r="Q1034">
        <v>118.7</v>
      </c>
    </row>
    <row r="1035" spans="1:17" x14ac:dyDescent="0.3">
      <c r="A1035">
        <v>2016</v>
      </c>
      <c r="B1035" t="s">
        <v>45</v>
      </c>
      <c r="C1035" t="s">
        <v>92</v>
      </c>
      <c r="D1035" s="1" t="s">
        <v>8</v>
      </c>
      <c r="E1035" s="4">
        <v>135.6</v>
      </c>
      <c r="F1035" s="4">
        <v>132.69999999999999</v>
      </c>
      <c r="G1035" s="4">
        <v>129.30000000000001</v>
      </c>
      <c r="H1035" s="1" t="s">
        <v>188</v>
      </c>
      <c r="K1035">
        <v>2014</v>
      </c>
      <c r="L1035" t="s">
        <v>37</v>
      </c>
      <c r="M1035" t="s">
        <v>66</v>
      </c>
      <c r="N1035" t="s">
        <v>14</v>
      </c>
      <c r="O1035" t="s">
        <v>188</v>
      </c>
      <c r="P1035" s="1" t="s">
        <v>34</v>
      </c>
      <c r="Q1035">
        <v>119.8</v>
      </c>
    </row>
    <row r="1036" spans="1:17" x14ac:dyDescent="0.3">
      <c r="A1036">
        <v>2016</v>
      </c>
      <c r="B1036" t="s">
        <v>45</v>
      </c>
      <c r="C1036" t="s">
        <v>92</v>
      </c>
      <c r="D1036" s="1" t="s">
        <v>21</v>
      </c>
      <c r="E1036" s="4">
        <v>132</v>
      </c>
      <c r="F1036" s="4">
        <v>126.6</v>
      </c>
      <c r="G1036" s="4">
        <v>117.8</v>
      </c>
      <c r="H1036" s="1" t="s">
        <v>190</v>
      </c>
      <c r="K1036">
        <v>2014</v>
      </c>
      <c r="L1036" t="s">
        <v>37</v>
      </c>
      <c r="M1036" t="s">
        <v>66</v>
      </c>
      <c r="N1036" t="s">
        <v>14</v>
      </c>
      <c r="O1036" t="s">
        <v>188</v>
      </c>
      <c r="P1036" s="1" t="s">
        <v>33</v>
      </c>
      <c r="Q1036">
        <v>121</v>
      </c>
    </row>
    <row r="1037" spans="1:17" x14ac:dyDescent="0.3">
      <c r="A1037">
        <v>2016</v>
      </c>
      <c r="B1037" t="s">
        <v>45</v>
      </c>
      <c r="C1037" t="s">
        <v>92</v>
      </c>
      <c r="D1037" s="1" t="s">
        <v>29</v>
      </c>
      <c r="E1037" s="4">
        <v>132.80000000000001</v>
      </c>
      <c r="F1037" s="4">
        <v>130.4</v>
      </c>
      <c r="G1037" s="4">
        <v>127.6</v>
      </c>
      <c r="H1037" s="1" t="s">
        <v>206</v>
      </c>
      <c r="K1037">
        <v>2014</v>
      </c>
      <c r="L1037" t="s">
        <v>37</v>
      </c>
      <c r="M1037" t="s">
        <v>66</v>
      </c>
      <c r="N1037" t="s">
        <v>10</v>
      </c>
      <c r="O1037" t="s">
        <v>188</v>
      </c>
      <c r="P1037" s="1" t="s">
        <v>30</v>
      </c>
      <c r="Q1037">
        <v>111</v>
      </c>
    </row>
    <row r="1038" spans="1:17" x14ac:dyDescent="0.3">
      <c r="A1038">
        <v>2016</v>
      </c>
      <c r="B1038" t="s">
        <v>45</v>
      </c>
      <c r="C1038" t="s">
        <v>92</v>
      </c>
      <c r="D1038" s="1" t="s">
        <v>23</v>
      </c>
      <c r="E1038" s="4">
        <v>129.69999999999999</v>
      </c>
      <c r="F1038" s="4">
        <v>126.9</v>
      </c>
      <c r="G1038" s="4">
        <v>122.3</v>
      </c>
      <c r="H1038" s="1" t="s">
        <v>23</v>
      </c>
      <c r="K1038">
        <v>2014</v>
      </c>
      <c r="L1038" t="s">
        <v>37</v>
      </c>
      <c r="M1038" t="s">
        <v>66</v>
      </c>
      <c r="N1038" t="s">
        <v>10</v>
      </c>
      <c r="O1038" t="s">
        <v>188</v>
      </c>
      <c r="P1038" s="1" t="s">
        <v>34</v>
      </c>
      <c r="Q1038">
        <v>111</v>
      </c>
    </row>
    <row r="1039" spans="1:17" x14ac:dyDescent="0.3">
      <c r="A1039">
        <v>2016</v>
      </c>
      <c r="B1039" t="s">
        <v>45</v>
      </c>
      <c r="C1039" t="s">
        <v>92</v>
      </c>
      <c r="D1039" s="1" t="s">
        <v>22</v>
      </c>
      <c r="E1039" s="4">
        <v>132.9</v>
      </c>
      <c r="F1039" s="4">
        <v>129.19999999999999</v>
      </c>
      <c r="G1039" s="4">
        <v>125</v>
      </c>
      <c r="H1039" s="1" t="s">
        <v>20</v>
      </c>
      <c r="K1039">
        <v>2014</v>
      </c>
      <c r="L1039" t="s">
        <v>37</v>
      </c>
      <c r="M1039" t="s">
        <v>66</v>
      </c>
      <c r="N1039" t="s">
        <v>10</v>
      </c>
      <c r="O1039" t="s">
        <v>188</v>
      </c>
      <c r="P1039" s="1" t="s">
        <v>33</v>
      </c>
      <c r="Q1039">
        <v>111</v>
      </c>
    </row>
    <row r="1040" spans="1:17" x14ac:dyDescent="0.3">
      <c r="A1040">
        <v>2016</v>
      </c>
      <c r="B1040" t="s">
        <v>45</v>
      </c>
      <c r="C1040" t="s">
        <v>92</v>
      </c>
      <c r="D1040" s="1" t="s">
        <v>20</v>
      </c>
      <c r="E1040" s="4">
        <v>0</v>
      </c>
      <c r="F1040" s="4">
        <v>128.5</v>
      </c>
      <c r="G1040" s="4">
        <v>128.5</v>
      </c>
      <c r="H1040" s="1" t="s">
        <v>20</v>
      </c>
      <c r="K1040">
        <v>2014</v>
      </c>
      <c r="L1040" t="s">
        <v>37</v>
      </c>
      <c r="M1040" t="s">
        <v>66</v>
      </c>
      <c r="N1040" t="s">
        <v>25</v>
      </c>
      <c r="O1040" t="s">
        <v>195</v>
      </c>
      <c r="P1040" s="1" t="s">
        <v>30</v>
      </c>
      <c r="Q1040">
        <v>110.5</v>
      </c>
    </row>
    <row r="1041" spans="1:17" x14ac:dyDescent="0.3">
      <c r="A1041">
        <v>2016</v>
      </c>
      <c r="B1041" t="s">
        <v>45</v>
      </c>
      <c r="C1041" t="s">
        <v>92</v>
      </c>
      <c r="D1041" s="1" t="s">
        <v>4</v>
      </c>
      <c r="E1041" s="4">
        <v>137.30000000000001</v>
      </c>
      <c r="F1041" s="4">
        <v>137.6</v>
      </c>
      <c r="G1041" s="4">
        <v>138.19999999999999</v>
      </c>
      <c r="H1041" s="1" t="s">
        <v>188</v>
      </c>
      <c r="K1041">
        <v>2014</v>
      </c>
      <c r="L1041" t="s">
        <v>37</v>
      </c>
      <c r="M1041" t="s">
        <v>66</v>
      </c>
      <c r="N1041" t="s">
        <v>25</v>
      </c>
      <c r="O1041" t="s">
        <v>195</v>
      </c>
      <c r="P1041" s="1" t="s">
        <v>34</v>
      </c>
      <c r="Q1041">
        <v>110.9</v>
      </c>
    </row>
    <row r="1042" spans="1:17" x14ac:dyDescent="0.3">
      <c r="A1042">
        <v>2016</v>
      </c>
      <c r="B1042" t="s">
        <v>45</v>
      </c>
      <c r="C1042" t="s">
        <v>92</v>
      </c>
      <c r="D1042" s="1" t="s">
        <v>6</v>
      </c>
      <c r="E1042" s="4">
        <v>136.30000000000001</v>
      </c>
      <c r="F1042" s="4">
        <v>135.1</v>
      </c>
      <c r="G1042" s="4">
        <v>133.1</v>
      </c>
      <c r="H1042" s="1" t="s">
        <v>188</v>
      </c>
      <c r="K1042">
        <v>2014</v>
      </c>
      <c r="L1042" t="s">
        <v>37</v>
      </c>
      <c r="M1042" t="s">
        <v>66</v>
      </c>
      <c r="N1042" t="s">
        <v>25</v>
      </c>
      <c r="O1042" t="s">
        <v>195</v>
      </c>
      <c r="P1042" s="1" t="s">
        <v>33</v>
      </c>
      <c r="Q1042">
        <v>111.2</v>
      </c>
    </row>
    <row r="1043" spans="1:17" x14ac:dyDescent="0.3">
      <c r="A1043">
        <v>2016</v>
      </c>
      <c r="B1043" t="s">
        <v>45</v>
      </c>
      <c r="C1043" t="s">
        <v>92</v>
      </c>
      <c r="D1043" s="1" t="s">
        <v>28</v>
      </c>
      <c r="E1043" s="4">
        <v>126.3</v>
      </c>
      <c r="F1043" s="4">
        <v>123.9</v>
      </c>
      <c r="G1043" s="4">
        <v>121.4</v>
      </c>
      <c r="H1043" s="1" t="s">
        <v>192</v>
      </c>
      <c r="K1043">
        <v>2014</v>
      </c>
      <c r="L1043" t="s">
        <v>37</v>
      </c>
      <c r="M1043" t="s">
        <v>66</v>
      </c>
      <c r="N1043" t="s">
        <v>12</v>
      </c>
      <c r="O1043" t="s">
        <v>188</v>
      </c>
      <c r="P1043" s="1" t="s">
        <v>30</v>
      </c>
      <c r="Q1043">
        <v>111.2</v>
      </c>
    </row>
    <row r="1044" spans="1:17" x14ac:dyDescent="0.3">
      <c r="A1044">
        <v>2016</v>
      </c>
      <c r="B1044" t="s">
        <v>45</v>
      </c>
      <c r="C1044" t="s">
        <v>92</v>
      </c>
      <c r="D1044" s="1" t="s">
        <v>13</v>
      </c>
      <c r="E1044" s="4">
        <v>129.1</v>
      </c>
      <c r="F1044" s="4">
        <v>126.6</v>
      </c>
      <c r="G1044" s="4">
        <v>123.1</v>
      </c>
      <c r="H1044" s="1" t="s">
        <v>188</v>
      </c>
      <c r="K1044">
        <v>2014</v>
      </c>
      <c r="L1044" t="s">
        <v>37</v>
      </c>
      <c r="M1044" t="s">
        <v>66</v>
      </c>
      <c r="N1044" t="s">
        <v>12</v>
      </c>
      <c r="O1044" t="s">
        <v>188</v>
      </c>
      <c r="P1044" s="1" t="s">
        <v>34</v>
      </c>
      <c r="Q1044">
        <v>112.6</v>
      </c>
    </row>
    <row r="1045" spans="1:17" x14ac:dyDescent="0.3">
      <c r="A1045">
        <v>2016</v>
      </c>
      <c r="B1045" t="s">
        <v>45</v>
      </c>
      <c r="C1045" t="s">
        <v>92</v>
      </c>
      <c r="D1045" s="1" t="s">
        <v>7</v>
      </c>
      <c r="E1045" s="4">
        <v>121.6</v>
      </c>
      <c r="F1045" s="4">
        <v>118.6</v>
      </c>
      <c r="G1045" s="4">
        <v>113.5</v>
      </c>
      <c r="H1045" s="1" t="s">
        <v>188</v>
      </c>
      <c r="K1045">
        <v>2014</v>
      </c>
      <c r="L1045" t="s">
        <v>37</v>
      </c>
      <c r="M1045" t="s">
        <v>66</v>
      </c>
      <c r="N1045" t="s">
        <v>12</v>
      </c>
      <c r="O1045" t="s">
        <v>188</v>
      </c>
      <c r="P1045" s="1" t="s">
        <v>33</v>
      </c>
      <c r="Q1045">
        <v>115.3</v>
      </c>
    </row>
    <row r="1046" spans="1:17" x14ac:dyDescent="0.3">
      <c r="A1046">
        <v>2016</v>
      </c>
      <c r="B1046" t="s">
        <v>45</v>
      </c>
      <c r="C1046" t="s">
        <v>92</v>
      </c>
      <c r="D1046" s="1" t="s">
        <v>16</v>
      </c>
      <c r="E1046" s="4">
        <v>142.4</v>
      </c>
      <c r="F1046" s="4">
        <v>143.1</v>
      </c>
      <c r="G1046" s="4">
        <v>145</v>
      </c>
      <c r="H1046" s="1" t="s">
        <v>192</v>
      </c>
      <c r="K1046">
        <v>2014</v>
      </c>
      <c r="L1046" t="s">
        <v>37</v>
      </c>
      <c r="M1046" t="s">
        <v>66</v>
      </c>
      <c r="N1046" t="s">
        <v>11</v>
      </c>
      <c r="O1046" t="s">
        <v>188</v>
      </c>
      <c r="P1046" s="1" t="s">
        <v>30</v>
      </c>
      <c r="Q1046">
        <v>102.6</v>
      </c>
    </row>
    <row r="1047" spans="1:17" x14ac:dyDescent="0.3">
      <c r="A1047">
        <v>2016</v>
      </c>
      <c r="B1047" t="s">
        <v>45</v>
      </c>
      <c r="C1047" t="s">
        <v>92</v>
      </c>
      <c r="D1047" s="1" t="s">
        <v>27</v>
      </c>
      <c r="E1047" s="4">
        <v>121.9</v>
      </c>
      <c r="F1047" s="4">
        <v>121.1</v>
      </c>
      <c r="G1047" s="4">
        <v>119.9</v>
      </c>
      <c r="H1047" s="1" t="s">
        <v>192</v>
      </c>
      <c r="K1047">
        <v>2014</v>
      </c>
      <c r="L1047" t="s">
        <v>37</v>
      </c>
      <c r="M1047" t="s">
        <v>66</v>
      </c>
      <c r="N1047" t="s">
        <v>11</v>
      </c>
      <c r="O1047" t="s">
        <v>188</v>
      </c>
      <c r="P1047" s="1" t="s">
        <v>34</v>
      </c>
      <c r="Q1047">
        <v>101.8</v>
      </c>
    </row>
    <row r="1048" spans="1:17" x14ac:dyDescent="0.3">
      <c r="A1048">
        <v>2016</v>
      </c>
      <c r="B1048" t="s">
        <v>45</v>
      </c>
      <c r="C1048" t="s">
        <v>92</v>
      </c>
      <c r="D1048" s="1" t="s">
        <v>14</v>
      </c>
      <c r="E1048" s="4">
        <v>143.6</v>
      </c>
      <c r="F1048" s="4">
        <v>142.30000000000001</v>
      </c>
      <c r="G1048" s="4">
        <v>140.9</v>
      </c>
      <c r="H1048" s="1" t="s">
        <v>188</v>
      </c>
      <c r="K1048">
        <v>2014</v>
      </c>
      <c r="L1048" t="s">
        <v>37</v>
      </c>
      <c r="M1048" t="s">
        <v>66</v>
      </c>
      <c r="N1048" t="s">
        <v>11</v>
      </c>
      <c r="O1048" t="s">
        <v>188</v>
      </c>
      <c r="P1048" s="1" t="s">
        <v>33</v>
      </c>
      <c r="Q1048">
        <v>100.3</v>
      </c>
    </row>
    <row r="1049" spans="1:17" x14ac:dyDescent="0.3">
      <c r="A1049">
        <v>2016</v>
      </c>
      <c r="B1049" t="s">
        <v>45</v>
      </c>
      <c r="C1049" t="s">
        <v>92</v>
      </c>
      <c r="D1049" s="1" t="s">
        <v>10</v>
      </c>
      <c r="E1049" s="4">
        <v>167.9</v>
      </c>
      <c r="F1049" s="4">
        <v>168.7</v>
      </c>
      <c r="G1049" s="4">
        <v>170.3</v>
      </c>
      <c r="H1049" s="1" t="s">
        <v>188</v>
      </c>
      <c r="K1049">
        <v>2014</v>
      </c>
      <c r="L1049" t="s">
        <v>37</v>
      </c>
      <c r="M1049" t="s">
        <v>66</v>
      </c>
      <c r="N1049" t="s">
        <v>24</v>
      </c>
      <c r="O1049" t="s">
        <v>191</v>
      </c>
      <c r="P1049" s="1" t="s">
        <v>30</v>
      </c>
      <c r="Q1049">
        <v>111.2</v>
      </c>
    </row>
    <row r="1050" spans="1:17" x14ac:dyDescent="0.3">
      <c r="A1050">
        <v>2016</v>
      </c>
      <c r="B1050" t="s">
        <v>45</v>
      </c>
      <c r="C1050" t="s">
        <v>92</v>
      </c>
      <c r="D1050" s="1" t="s">
        <v>25</v>
      </c>
      <c r="E1050" s="4">
        <v>127.3</v>
      </c>
      <c r="F1050" s="4">
        <v>124.2</v>
      </c>
      <c r="G1050" s="4">
        <v>121.8</v>
      </c>
      <c r="H1050" s="1" t="s">
        <v>195</v>
      </c>
      <c r="K1050">
        <v>2014</v>
      </c>
      <c r="L1050" t="s">
        <v>37</v>
      </c>
      <c r="M1050" t="s">
        <v>66</v>
      </c>
      <c r="N1050" t="s">
        <v>24</v>
      </c>
      <c r="O1050" t="s">
        <v>191</v>
      </c>
      <c r="P1050" s="1" t="s">
        <v>34</v>
      </c>
      <c r="Q1050">
        <v>111.2</v>
      </c>
    </row>
    <row r="1051" spans="1:17" x14ac:dyDescent="0.3">
      <c r="A1051">
        <v>2016</v>
      </c>
      <c r="B1051" t="s">
        <v>45</v>
      </c>
      <c r="C1051" t="s">
        <v>92</v>
      </c>
      <c r="D1051" s="1" t="s">
        <v>12</v>
      </c>
      <c r="E1051" s="4">
        <v>137.5</v>
      </c>
      <c r="F1051" s="4">
        <v>140.19999999999999</v>
      </c>
      <c r="G1051" s="4">
        <v>145.5</v>
      </c>
      <c r="H1051" s="1" t="s">
        <v>188</v>
      </c>
      <c r="K1051">
        <v>2014</v>
      </c>
      <c r="L1051" t="s">
        <v>37</v>
      </c>
      <c r="M1051" t="s">
        <v>66</v>
      </c>
      <c r="N1051" t="s">
        <v>24</v>
      </c>
      <c r="O1051" t="s">
        <v>191</v>
      </c>
      <c r="P1051" s="1" t="s">
        <v>33</v>
      </c>
      <c r="Q1051">
        <v>111.2</v>
      </c>
    </row>
    <row r="1052" spans="1:17" x14ac:dyDescent="0.3">
      <c r="A1052">
        <v>2016</v>
      </c>
      <c r="B1052" t="s">
        <v>45</v>
      </c>
      <c r="C1052" t="s">
        <v>92</v>
      </c>
      <c r="D1052" s="1" t="s">
        <v>11</v>
      </c>
      <c r="E1052" s="4">
        <v>113.8</v>
      </c>
      <c r="F1052" s="4">
        <v>114.4</v>
      </c>
      <c r="G1052" s="4">
        <v>115.5</v>
      </c>
      <c r="H1052" s="1" t="s">
        <v>188</v>
      </c>
      <c r="K1052">
        <v>2014</v>
      </c>
      <c r="L1052" t="s">
        <v>37</v>
      </c>
      <c r="M1052" t="s">
        <v>66</v>
      </c>
      <c r="N1052" t="s">
        <v>9</v>
      </c>
      <c r="O1052" t="s">
        <v>188</v>
      </c>
      <c r="P1052" s="1" t="s">
        <v>30</v>
      </c>
      <c r="Q1052">
        <v>120.5</v>
      </c>
    </row>
    <row r="1053" spans="1:17" x14ac:dyDescent="0.3">
      <c r="A1053">
        <v>2016</v>
      </c>
      <c r="B1053" t="s">
        <v>45</v>
      </c>
      <c r="C1053" t="s">
        <v>92</v>
      </c>
      <c r="D1053" s="1" t="s">
        <v>24</v>
      </c>
      <c r="E1053" s="4">
        <v>118.6</v>
      </c>
      <c r="F1053" s="4">
        <v>116</v>
      </c>
      <c r="G1053" s="4">
        <v>113.7</v>
      </c>
      <c r="H1053" s="1" t="s">
        <v>191</v>
      </c>
      <c r="K1053">
        <v>2014</v>
      </c>
      <c r="L1053" t="s">
        <v>37</v>
      </c>
      <c r="M1053" t="s">
        <v>66</v>
      </c>
      <c r="N1053" t="s">
        <v>9</v>
      </c>
      <c r="O1053" t="s">
        <v>188</v>
      </c>
      <c r="P1053" s="1" t="s">
        <v>34</v>
      </c>
      <c r="Q1053">
        <v>120.7</v>
      </c>
    </row>
    <row r="1054" spans="1:17" x14ac:dyDescent="0.3">
      <c r="A1054">
        <v>2016</v>
      </c>
      <c r="B1054" t="s">
        <v>45</v>
      </c>
      <c r="C1054" t="s">
        <v>92</v>
      </c>
      <c r="D1054" s="1" t="s">
        <v>9</v>
      </c>
      <c r="E1054" s="4">
        <v>127.5</v>
      </c>
      <c r="F1054" s="4">
        <v>125.3</v>
      </c>
      <c r="G1054" s="4">
        <v>121.1</v>
      </c>
      <c r="H1054" s="1" t="s">
        <v>188</v>
      </c>
      <c r="K1054">
        <v>2014</v>
      </c>
      <c r="L1054" t="s">
        <v>37</v>
      </c>
      <c r="M1054" t="s">
        <v>66</v>
      </c>
      <c r="N1054" t="s">
        <v>9</v>
      </c>
      <c r="O1054" t="s">
        <v>188</v>
      </c>
      <c r="P1054" s="1" t="s">
        <v>33</v>
      </c>
      <c r="Q1054">
        <v>121.2</v>
      </c>
    </row>
    <row r="1055" spans="1:17" x14ac:dyDescent="0.3">
      <c r="A1055">
        <v>2016</v>
      </c>
      <c r="B1055" t="s">
        <v>35</v>
      </c>
      <c r="C1055" t="s">
        <v>93</v>
      </c>
      <c r="D1055" s="1" t="s">
        <v>3</v>
      </c>
      <c r="E1055" s="4">
        <v>127.1</v>
      </c>
      <c r="F1055" s="4">
        <v>126.4</v>
      </c>
      <c r="G1055" s="4">
        <v>124.8</v>
      </c>
      <c r="H1055" s="1" t="s">
        <v>188</v>
      </c>
      <c r="K1055">
        <v>2014</v>
      </c>
      <c r="L1055" t="s">
        <v>41</v>
      </c>
      <c r="M1055" t="s">
        <v>67</v>
      </c>
      <c r="N1055" t="s">
        <v>3</v>
      </c>
      <c r="O1055" t="s">
        <v>188</v>
      </c>
      <c r="P1055" s="1" t="s">
        <v>30</v>
      </c>
      <c r="Q1055">
        <v>121.8</v>
      </c>
    </row>
    <row r="1056" spans="1:17" x14ac:dyDescent="0.3">
      <c r="A1056">
        <v>2016</v>
      </c>
      <c r="B1056" t="s">
        <v>35</v>
      </c>
      <c r="C1056" t="s">
        <v>93</v>
      </c>
      <c r="D1056" s="1" t="s">
        <v>17</v>
      </c>
      <c r="E1056" s="4">
        <v>133.9</v>
      </c>
      <c r="F1056" s="4">
        <v>130.9</v>
      </c>
      <c r="G1056" s="4">
        <v>126.2</v>
      </c>
      <c r="H1056" s="1" t="s">
        <v>189</v>
      </c>
      <c r="K1056">
        <v>2014</v>
      </c>
      <c r="L1056" t="s">
        <v>41</v>
      </c>
      <c r="M1056" t="s">
        <v>67</v>
      </c>
      <c r="N1056" t="s">
        <v>3</v>
      </c>
      <c r="O1056" t="s">
        <v>188</v>
      </c>
      <c r="P1056" s="1" t="s">
        <v>34</v>
      </c>
      <c r="Q1056">
        <v>122.7</v>
      </c>
    </row>
    <row r="1057" spans="1:17" x14ac:dyDescent="0.3">
      <c r="A1057">
        <v>2016</v>
      </c>
      <c r="B1057" t="s">
        <v>35</v>
      </c>
      <c r="C1057" t="s">
        <v>93</v>
      </c>
      <c r="D1057" s="1" t="s">
        <v>19</v>
      </c>
      <c r="E1057" s="4">
        <v>133.4</v>
      </c>
      <c r="F1057" s="4">
        <v>130.19999999999999</v>
      </c>
      <c r="G1057" s="4">
        <v>125.3</v>
      </c>
      <c r="H1057" s="1" t="s">
        <v>189</v>
      </c>
      <c r="K1057">
        <v>2014</v>
      </c>
      <c r="L1057" t="s">
        <v>41</v>
      </c>
      <c r="M1057" t="s">
        <v>67</v>
      </c>
      <c r="N1057" t="s">
        <v>3</v>
      </c>
      <c r="O1057" t="s">
        <v>188</v>
      </c>
      <c r="P1057" s="1" t="s">
        <v>33</v>
      </c>
      <c r="Q1057">
        <v>124.8</v>
      </c>
    </row>
    <row r="1058" spans="1:17" x14ac:dyDescent="0.3">
      <c r="A1058">
        <v>2016</v>
      </c>
      <c r="B1058" t="s">
        <v>35</v>
      </c>
      <c r="C1058" t="s">
        <v>93</v>
      </c>
      <c r="D1058" s="1" t="s">
        <v>26</v>
      </c>
      <c r="E1058" s="4">
        <v>127.1</v>
      </c>
      <c r="F1058" s="4">
        <v>126.6</v>
      </c>
      <c r="G1058" s="4">
        <v>126.3</v>
      </c>
      <c r="H1058" s="1" t="s">
        <v>26</v>
      </c>
      <c r="K1058">
        <v>2014</v>
      </c>
      <c r="L1058" t="s">
        <v>41</v>
      </c>
      <c r="M1058" t="s">
        <v>67</v>
      </c>
      <c r="N1058" t="s">
        <v>17</v>
      </c>
      <c r="O1058" t="s">
        <v>189</v>
      </c>
      <c r="P1058" s="1" t="s">
        <v>30</v>
      </c>
      <c r="Q1058">
        <v>120.9</v>
      </c>
    </row>
    <row r="1059" spans="1:17" x14ac:dyDescent="0.3">
      <c r="A1059">
        <v>2016</v>
      </c>
      <c r="B1059" t="s">
        <v>35</v>
      </c>
      <c r="C1059" t="s">
        <v>93</v>
      </c>
      <c r="D1059" s="1" t="s">
        <v>5</v>
      </c>
      <c r="E1059" s="4">
        <v>127.7</v>
      </c>
      <c r="F1059" s="4">
        <v>128.69999999999999</v>
      </c>
      <c r="G1059" s="4">
        <v>130.30000000000001</v>
      </c>
      <c r="H1059" s="1" t="s">
        <v>188</v>
      </c>
      <c r="K1059">
        <v>2014</v>
      </c>
      <c r="L1059" t="s">
        <v>41</v>
      </c>
      <c r="M1059" t="s">
        <v>67</v>
      </c>
      <c r="N1059" t="s">
        <v>17</v>
      </c>
      <c r="O1059" t="s">
        <v>189</v>
      </c>
      <c r="P1059" s="1" t="s">
        <v>34</v>
      </c>
      <c r="Q1059">
        <v>120</v>
      </c>
    </row>
    <row r="1060" spans="1:17" x14ac:dyDescent="0.3">
      <c r="A1060">
        <v>2016</v>
      </c>
      <c r="B1060" t="s">
        <v>35</v>
      </c>
      <c r="C1060" t="s">
        <v>93</v>
      </c>
      <c r="D1060" s="1" t="s">
        <v>15</v>
      </c>
      <c r="E1060" s="4">
        <v>130.30000000000001</v>
      </c>
      <c r="F1060" s="4">
        <v>129.9</v>
      </c>
      <c r="G1060" s="4">
        <v>129.1</v>
      </c>
      <c r="H1060" s="1" t="s">
        <v>188</v>
      </c>
      <c r="K1060">
        <v>2014</v>
      </c>
      <c r="L1060" t="s">
        <v>41</v>
      </c>
      <c r="M1060" t="s">
        <v>67</v>
      </c>
      <c r="N1060" t="s">
        <v>17</v>
      </c>
      <c r="O1060" t="s">
        <v>189</v>
      </c>
      <c r="P1060" s="1" t="s">
        <v>33</v>
      </c>
      <c r="Q1060">
        <v>118.6</v>
      </c>
    </row>
    <row r="1061" spans="1:17" x14ac:dyDescent="0.3">
      <c r="A1061">
        <v>2016</v>
      </c>
      <c r="B1061" t="s">
        <v>35</v>
      </c>
      <c r="C1061" t="s">
        <v>93</v>
      </c>
      <c r="D1061" s="1" t="s">
        <v>18</v>
      </c>
      <c r="E1061" s="4">
        <v>129.80000000000001</v>
      </c>
      <c r="F1061" s="4">
        <v>125.8</v>
      </c>
      <c r="G1061" s="4">
        <v>120.1</v>
      </c>
      <c r="H1061" s="1" t="s">
        <v>189</v>
      </c>
      <c r="K1061">
        <v>2014</v>
      </c>
      <c r="L1061" t="s">
        <v>41</v>
      </c>
      <c r="M1061" t="s">
        <v>67</v>
      </c>
      <c r="N1061" t="s">
        <v>19</v>
      </c>
      <c r="O1061" t="s">
        <v>189</v>
      </c>
      <c r="P1061" s="1" t="s">
        <v>30</v>
      </c>
      <c r="Q1061">
        <v>120.7</v>
      </c>
    </row>
    <row r="1062" spans="1:17" x14ac:dyDescent="0.3">
      <c r="A1062">
        <v>2016</v>
      </c>
      <c r="B1062" t="s">
        <v>35</v>
      </c>
      <c r="C1062" t="s">
        <v>93</v>
      </c>
      <c r="D1062" s="1" t="s">
        <v>8</v>
      </c>
      <c r="E1062" s="4">
        <v>130.4</v>
      </c>
      <c r="F1062" s="4">
        <v>124.9</v>
      </c>
      <c r="G1062" s="4">
        <v>118.6</v>
      </c>
      <c r="H1062" s="1" t="s">
        <v>188</v>
      </c>
      <c r="K1062">
        <v>2014</v>
      </c>
      <c r="L1062" t="s">
        <v>41</v>
      </c>
      <c r="M1062" t="s">
        <v>67</v>
      </c>
      <c r="N1062" t="s">
        <v>19</v>
      </c>
      <c r="O1062" t="s">
        <v>189</v>
      </c>
      <c r="P1062" s="1" t="s">
        <v>34</v>
      </c>
      <c r="Q1062">
        <v>119.6</v>
      </c>
    </row>
    <row r="1063" spans="1:17" x14ac:dyDescent="0.3">
      <c r="A1063">
        <v>2016</v>
      </c>
      <c r="B1063" t="s">
        <v>35</v>
      </c>
      <c r="C1063" t="s">
        <v>93</v>
      </c>
      <c r="D1063" s="1" t="s">
        <v>21</v>
      </c>
      <c r="E1063" s="4">
        <v>127.5</v>
      </c>
      <c r="F1063" s="4">
        <v>123.1</v>
      </c>
      <c r="G1063" s="4">
        <v>116</v>
      </c>
      <c r="H1063" s="1" t="s">
        <v>190</v>
      </c>
      <c r="K1063">
        <v>2014</v>
      </c>
      <c r="L1063" t="s">
        <v>41</v>
      </c>
      <c r="M1063" t="s">
        <v>67</v>
      </c>
      <c r="N1063" t="s">
        <v>19</v>
      </c>
      <c r="O1063" t="s">
        <v>189</v>
      </c>
      <c r="P1063" s="1" t="s">
        <v>33</v>
      </c>
      <c r="Q1063">
        <v>117.9</v>
      </c>
    </row>
    <row r="1064" spans="1:17" x14ac:dyDescent="0.3">
      <c r="A1064">
        <v>2016</v>
      </c>
      <c r="B1064" t="s">
        <v>35</v>
      </c>
      <c r="C1064" t="s">
        <v>93</v>
      </c>
      <c r="D1064" s="1" t="s">
        <v>29</v>
      </c>
      <c r="E1064" s="4">
        <v>127.9</v>
      </c>
      <c r="F1064" s="4">
        <v>126</v>
      </c>
      <c r="G1064" s="4">
        <v>123.8</v>
      </c>
      <c r="H1064" s="1" t="s">
        <v>206</v>
      </c>
      <c r="K1064">
        <v>2014</v>
      </c>
      <c r="L1064" t="s">
        <v>41</v>
      </c>
      <c r="M1064" t="s">
        <v>67</v>
      </c>
      <c r="N1064" t="s">
        <v>26</v>
      </c>
      <c r="O1064" t="s">
        <v>26</v>
      </c>
      <c r="P1064" s="1" t="s">
        <v>30</v>
      </c>
      <c r="Q1064">
        <v>116.2</v>
      </c>
    </row>
    <row r="1065" spans="1:17" x14ac:dyDescent="0.3">
      <c r="A1065">
        <v>2016</v>
      </c>
      <c r="B1065" t="s">
        <v>35</v>
      </c>
      <c r="C1065" t="s">
        <v>93</v>
      </c>
      <c r="D1065" s="1" t="s">
        <v>23</v>
      </c>
      <c r="E1065" s="4">
        <v>124.3</v>
      </c>
      <c r="F1065" s="4">
        <v>122.5</v>
      </c>
      <c r="G1065" s="4">
        <v>119.5</v>
      </c>
      <c r="H1065" s="1" t="s">
        <v>23</v>
      </c>
      <c r="K1065">
        <v>2014</v>
      </c>
      <c r="L1065" t="s">
        <v>41</v>
      </c>
      <c r="M1065" t="s">
        <v>67</v>
      </c>
      <c r="N1065" t="s">
        <v>26</v>
      </c>
      <c r="O1065" t="s">
        <v>26</v>
      </c>
      <c r="P1065" s="1" t="s">
        <v>34</v>
      </c>
      <c r="Q1065">
        <v>118</v>
      </c>
    </row>
    <row r="1066" spans="1:17" x14ac:dyDescent="0.3">
      <c r="A1066">
        <v>2016</v>
      </c>
      <c r="B1066" t="s">
        <v>35</v>
      </c>
      <c r="C1066" t="s">
        <v>93</v>
      </c>
      <c r="D1066" s="1" t="s">
        <v>22</v>
      </c>
      <c r="E1066" s="4">
        <v>127.1</v>
      </c>
      <c r="F1066" s="4">
        <v>124.6</v>
      </c>
      <c r="G1066" s="4">
        <v>121.8</v>
      </c>
      <c r="H1066" s="1" t="s">
        <v>20</v>
      </c>
      <c r="K1066">
        <v>2014</v>
      </c>
      <c r="L1066" t="s">
        <v>41</v>
      </c>
      <c r="M1066" t="s">
        <v>67</v>
      </c>
      <c r="N1066" t="s">
        <v>26</v>
      </c>
      <c r="O1066" t="s">
        <v>26</v>
      </c>
      <c r="P1066" s="1" t="s">
        <v>33</v>
      </c>
      <c r="Q1066">
        <v>119.2</v>
      </c>
    </row>
    <row r="1067" spans="1:17" x14ac:dyDescent="0.3">
      <c r="A1067">
        <v>2016</v>
      </c>
      <c r="B1067" t="s">
        <v>35</v>
      </c>
      <c r="C1067" t="s">
        <v>93</v>
      </c>
      <c r="D1067" s="1" t="s">
        <v>20</v>
      </c>
      <c r="E1067" s="4">
        <v>0</v>
      </c>
      <c r="F1067" s="4">
        <v>124.4</v>
      </c>
      <c r="G1067" s="4">
        <v>124.4</v>
      </c>
      <c r="H1067" s="1" t="s">
        <v>20</v>
      </c>
      <c r="K1067">
        <v>2014</v>
      </c>
      <c r="L1067" t="s">
        <v>41</v>
      </c>
      <c r="M1067" t="s">
        <v>67</v>
      </c>
      <c r="N1067" t="s">
        <v>5</v>
      </c>
      <c r="O1067" t="s">
        <v>188</v>
      </c>
      <c r="P1067" s="1" t="s">
        <v>30</v>
      </c>
      <c r="Q1067">
        <v>117.8</v>
      </c>
    </row>
    <row r="1068" spans="1:17" x14ac:dyDescent="0.3">
      <c r="A1068">
        <v>2016</v>
      </c>
      <c r="B1068" t="s">
        <v>35</v>
      </c>
      <c r="C1068" t="s">
        <v>93</v>
      </c>
      <c r="D1068" s="1" t="s">
        <v>4</v>
      </c>
      <c r="E1068" s="4">
        <v>133.69999999999999</v>
      </c>
      <c r="F1068" s="4">
        <v>134.19999999999999</v>
      </c>
      <c r="G1068" s="4">
        <v>135.1</v>
      </c>
      <c r="H1068" s="1" t="s">
        <v>188</v>
      </c>
      <c r="K1068">
        <v>2014</v>
      </c>
      <c r="L1068" t="s">
        <v>41</v>
      </c>
      <c r="M1068" t="s">
        <v>67</v>
      </c>
      <c r="N1068" t="s">
        <v>5</v>
      </c>
      <c r="O1068" t="s">
        <v>188</v>
      </c>
      <c r="P1068" s="1" t="s">
        <v>34</v>
      </c>
      <c r="Q1068">
        <v>117.3</v>
      </c>
    </row>
    <row r="1069" spans="1:17" x14ac:dyDescent="0.3">
      <c r="A1069">
        <v>2016</v>
      </c>
      <c r="B1069" t="s">
        <v>35</v>
      </c>
      <c r="C1069" t="s">
        <v>93</v>
      </c>
      <c r="D1069" s="1" t="s">
        <v>6</v>
      </c>
      <c r="E1069" s="4">
        <v>130.69999999999999</v>
      </c>
      <c r="F1069" s="4">
        <v>130.30000000000001</v>
      </c>
      <c r="G1069" s="4">
        <v>129.6</v>
      </c>
      <c r="H1069" s="1" t="s">
        <v>188</v>
      </c>
      <c r="K1069">
        <v>2014</v>
      </c>
      <c r="L1069" t="s">
        <v>41</v>
      </c>
      <c r="M1069" t="s">
        <v>67</v>
      </c>
      <c r="N1069" t="s">
        <v>5</v>
      </c>
      <c r="O1069" t="s">
        <v>188</v>
      </c>
      <c r="P1069" s="1" t="s">
        <v>33</v>
      </c>
      <c r="Q1069">
        <v>116.5</v>
      </c>
    </row>
    <row r="1070" spans="1:17" x14ac:dyDescent="0.3">
      <c r="A1070">
        <v>2016</v>
      </c>
      <c r="B1070" t="s">
        <v>35</v>
      </c>
      <c r="C1070" t="s">
        <v>93</v>
      </c>
      <c r="D1070" s="1" t="s">
        <v>28</v>
      </c>
      <c r="E1070" s="4">
        <v>120.9</v>
      </c>
      <c r="F1070" s="4">
        <v>119.1</v>
      </c>
      <c r="G1070" s="4">
        <v>117.2</v>
      </c>
      <c r="H1070" s="1" t="s">
        <v>192</v>
      </c>
      <c r="K1070">
        <v>2014</v>
      </c>
      <c r="L1070" t="s">
        <v>41</v>
      </c>
      <c r="M1070" t="s">
        <v>67</v>
      </c>
      <c r="N1070" t="s">
        <v>15</v>
      </c>
      <c r="O1070" t="s">
        <v>188</v>
      </c>
      <c r="P1070" s="1" t="s">
        <v>30</v>
      </c>
      <c r="Q1070">
        <v>125.3</v>
      </c>
    </row>
    <row r="1071" spans="1:17" x14ac:dyDescent="0.3">
      <c r="A1071">
        <v>2016</v>
      </c>
      <c r="B1071" t="s">
        <v>35</v>
      </c>
      <c r="C1071" t="s">
        <v>93</v>
      </c>
      <c r="D1071" s="1" t="s">
        <v>13</v>
      </c>
      <c r="E1071" s="4">
        <v>124.8</v>
      </c>
      <c r="F1071" s="4">
        <v>123</v>
      </c>
      <c r="G1071" s="4">
        <v>120.6</v>
      </c>
      <c r="H1071" s="1" t="s">
        <v>188</v>
      </c>
      <c r="K1071">
        <v>2014</v>
      </c>
      <c r="L1071" t="s">
        <v>41</v>
      </c>
      <c r="M1071" t="s">
        <v>67</v>
      </c>
      <c r="N1071" t="s">
        <v>15</v>
      </c>
      <c r="O1071" t="s">
        <v>188</v>
      </c>
      <c r="P1071" s="1" t="s">
        <v>34</v>
      </c>
      <c r="Q1071">
        <v>126.6</v>
      </c>
    </row>
    <row r="1072" spans="1:17" x14ac:dyDescent="0.3">
      <c r="A1072">
        <v>2016</v>
      </c>
      <c r="B1072" t="s">
        <v>35</v>
      </c>
      <c r="C1072" t="s">
        <v>93</v>
      </c>
      <c r="D1072" s="1" t="s">
        <v>7</v>
      </c>
      <c r="E1072" s="4">
        <v>118.5</v>
      </c>
      <c r="F1072" s="4">
        <v>114.8</v>
      </c>
      <c r="G1072" s="4">
        <v>108.4</v>
      </c>
      <c r="H1072" s="1" t="s">
        <v>188</v>
      </c>
      <c r="K1072">
        <v>2014</v>
      </c>
      <c r="L1072" t="s">
        <v>41</v>
      </c>
      <c r="M1072" t="s">
        <v>67</v>
      </c>
      <c r="N1072" t="s">
        <v>15</v>
      </c>
      <c r="O1072" t="s">
        <v>188</v>
      </c>
      <c r="P1072" s="1" t="s">
        <v>33</v>
      </c>
      <c r="Q1072">
        <v>128.9</v>
      </c>
    </row>
    <row r="1073" spans="1:17" x14ac:dyDescent="0.3">
      <c r="A1073">
        <v>2016</v>
      </c>
      <c r="B1073" t="s">
        <v>35</v>
      </c>
      <c r="C1073" t="s">
        <v>93</v>
      </c>
      <c r="D1073" s="1" t="s">
        <v>16</v>
      </c>
      <c r="E1073" s="4">
        <v>134.4</v>
      </c>
      <c r="F1073" s="4">
        <v>135.9</v>
      </c>
      <c r="G1073" s="4">
        <v>140</v>
      </c>
      <c r="H1073" s="1" t="s">
        <v>192</v>
      </c>
      <c r="K1073">
        <v>2014</v>
      </c>
      <c r="L1073" t="s">
        <v>41</v>
      </c>
      <c r="M1073" t="s">
        <v>67</v>
      </c>
      <c r="N1073" t="s">
        <v>18</v>
      </c>
      <c r="O1073" t="s">
        <v>189</v>
      </c>
      <c r="P1073" s="1" t="s">
        <v>30</v>
      </c>
      <c r="Q1073">
        <v>118.8</v>
      </c>
    </row>
    <row r="1074" spans="1:17" x14ac:dyDescent="0.3">
      <c r="A1074">
        <v>2016</v>
      </c>
      <c r="B1074" t="s">
        <v>35</v>
      </c>
      <c r="C1074" t="s">
        <v>93</v>
      </c>
      <c r="D1074" s="1" t="s">
        <v>27</v>
      </c>
      <c r="E1074" s="4">
        <v>116.8</v>
      </c>
      <c r="F1074" s="4">
        <v>116.6</v>
      </c>
      <c r="G1074" s="4">
        <v>116.2</v>
      </c>
      <c r="H1074" s="1" t="s">
        <v>192</v>
      </c>
      <c r="K1074">
        <v>2014</v>
      </c>
      <c r="L1074" t="s">
        <v>41</v>
      </c>
      <c r="M1074" t="s">
        <v>67</v>
      </c>
      <c r="N1074" t="s">
        <v>18</v>
      </c>
      <c r="O1074" t="s">
        <v>189</v>
      </c>
      <c r="P1074" s="1" t="s">
        <v>34</v>
      </c>
      <c r="Q1074">
        <v>116.8</v>
      </c>
    </row>
    <row r="1075" spans="1:17" x14ac:dyDescent="0.3">
      <c r="A1075">
        <v>2016</v>
      </c>
      <c r="B1075" t="s">
        <v>35</v>
      </c>
      <c r="C1075" t="s">
        <v>93</v>
      </c>
      <c r="D1075" s="1" t="s">
        <v>14</v>
      </c>
      <c r="E1075" s="4">
        <v>136.4</v>
      </c>
      <c r="F1075" s="4">
        <v>135.80000000000001</v>
      </c>
      <c r="G1075" s="4">
        <v>135.19999999999999</v>
      </c>
      <c r="H1075" s="1" t="s">
        <v>188</v>
      </c>
      <c r="K1075">
        <v>2014</v>
      </c>
      <c r="L1075" t="s">
        <v>41</v>
      </c>
      <c r="M1075" t="s">
        <v>67</v>
      </c>
      <c r="N1075" t="s">
        <v>18</v>
      </c>
      <c r="O1075" t="s">
        <v>189</v>
      </c>
      <c r="P1075" s="1" t="s">
        <v>33</v>
      </c>
      <c r="Q1075">
        <v>114.1</v>
      </c>
    </row>
    <row r="1076" spans="1:17" x14ac:dyDescent="0.3">
      <c r="A1076">
        <v>2016</v>
      </c>
      <c r="B1076" t="s">
        <v>35</v>
      </c>
      <c r="C1076" t="s">
        <v>93</v>
      </c>
      <c r="D1076" s="1" t="s">
        <v>10</v>
      </c>
      <c r="E1076" s="4">
        <v>162.80000000000001</v>
      </c>
      <c r="F1076" s="4">
        <v>167.4</v>
      </c>
      <c r="G1076" s="4">
        <v>176.4</v>
      </c>
      <c r="H1076" s="1" t="s">
        <v>188</v>
      </c>
      <c r="K1076">
        <v>2014</v>
      </c>
      <c r="L1076" t="s">
        <v>41</v>
      </c>
      <c r="M1076" t="s">
        <v>67</v>
      </c>
      <c r="N1076" t="s">
        <v>8</v>
      </c>
      <c r="O1076" t="s">
        <v>188</v>
      </c>
      <c r="P1076" s="1" t="s">
        <v>30</v>
      </c>
      <c r="Q1076">
        <v>129.69999999999999</v>
      </c>
    </row>
    <row r="1077" spans="1:17" x14ac:dyDescent="0.3">
      <c r="A1077">
        <v>2016</v>
      </c>
      <c r="B1077" t="s">
        <v>35</v>
      </c>
      <c r="C1077" t="s">
        <v>93</v>
      </c>
      <c r="D1077" s="1" t="s">
        <v>25</v>
      </c>
      <c r="E1077" s="4">
        <v>122.3</v>
      </c>
      <c r="F1077" s="4">
        <v>120.3</v>
      </c>
      <c r="G1077" s="4">
        <v>118.8</v>
      </c>
      <c r="H1077" s="1" t="s">
        <v>195</v>
      </c>
      <c r="K1077">
        <v>2014</v>
      </c>
      <c r="L1077" t="s">
        <v>41</v>
      </c>
      <c r="M1077" t="s">
        <v>67</v>
      </c>
      <c r="N1077" t="s">
        <v>8</v>
      </c>
      <c r="O1077" t="s">
        <v>188</v>
      </c>
      <c r="P1077" s="1" t="s">
        <v>34</v>
      </c>
      <c r="Q1077">
        <v>131.1</v>
      </c>
    </row>
    <row r="1078" spans="1:17" x14ac:dyDescent="0.3">
      <c r="A1078">
        <v>2016</v>
      </c>
      <c r="B1078" t="s">
        <v>35</v>
      </c>
      <c r="C1078" t="s">
        <v>93</v>
      </c>
      <c r="D1078" s="1" t="s">
        <v>12</v>
      </c>
      <c r="E1078" s="4">
        <v>130.6</v>
      </c>
      <c r="F1078" s="4">
        <v>133.6</v>
      </c>
      <c r="G1078" s="4">
        <v>139.69999999999999</v>
      </c>
      <c r="H1078" s="1" t="s">
        <v>188</v>
      </c>
      <c r="K1078">
        <v>2014</v>
      </c>
      <c r="L1078" t="s">
        <v>41</v>
      </c>
      <c r="M1078" t="s">
        <v>67</v>
      </c>
      <c r="N1078" t="s">
        <v>8</v>
      </c>
      <c r="O1078" t="s">
        <v>188</v>
      </c>
      <c r="P1078" s="1" t="s">
        <v>33</v>
      </c>
      <c r="Q1078">
        <v>132.69999999999999</v>
      </c>
    </row>
    <row r="1079" spans="1:17" x14ac:dyDescent="0.3">
      <c r="A1079">
        <v>2016</v>
      </c>
      <c r="B1079" t="s">
        <v>35</v>
      </c>
      <c r="C1079" t="s">
        <v>93</v>
      </c>
      <c r="D1079" s="1" t="s">
        <v>11</v>
      </c>
      <c r="E1079" s="4">
        <v>98.7</v>
      </c>
      <c r="F1079" s="4">
        <v>98.8</v>
      </c>
      <c r="G1079" s="4">
        <v>99.1</v>
      </c>
      <c r="H1079" s="1" t="s">
        <v>188</v>
      </c>
      <c r="K1079">
        <v>2014</v>
      </c>
      <c r="L1079" t="s">
        <v>41</v>
      </c>
      <c r="M1079" t="s">
        <v>67</v>
      </c>
      <c r="N1079" t="s">
        <v>21</v>
      </c>
      <c r="O1079" t="s">
        <v>190</v>
      </c>
      <c r="P1079" s="1" t="s">
        <v>30</v>
      </c>
      <c r="Q1079">
        <v>115.4</v>
      </c>
    </row>
    <row r="1080" spans="1:17" x14ac:dyDescent="0.3">
      <c r="A1080">
        <v>2016</v>
      </c>
      <c r="B1080" t="s">
        <v>35</v>
      </c>
      <c r="C1080" t="s">
        <v>93</v>
      </c>
      <c r="D1080" s="1" t="s">
        <v>24</v>
      </c>
      <c r="E1080" s="4">
        <v>113.9</v>
      </c>
      <c r="F1080" s="4">
        <v>111.4</v>
      </c>
      <c r="G1080" s="4">
        <v>109.1</v>
      </c>
      <c r="H1080" s="1" t="s">
        <v>191</v>
      </c>
      <c r="K1080">
        <v>2014</v>
      </c>
      <c r="L1080" t="s">
        <v>41</v>
      </c>
      <c r="M1080" t="s">
        <v>67</v>
      </c>
      <c r="N1080" t="s">
        <v>21</v>
      </c>
      <c r="O1080" t="s">
        <v>190</v>
      </c>
      <c r="P1080" s="1" t="s">
        <v>34</v>
      </c>
      <c r="Q1080">
        <v>114</v>
      </c>
    </row>
    <row r="1081" spans="1:17" x14ac:dyDescent="0.3">
      <c r="A1081">
        <v>2016</v>
      </c>
      <c r="B1081" t="s">
        <v>35</v>
      </c>
      <c r="C1081" t="s">
        <v>93</v>
      </c>
      <c r="D1081" s="1" t="s">
        <v>9</v>
      </c>
      <c r="E1081" s="4">
        <v>130.9</v>
      </c>
      <c r="F1081" s="4">
        <v>130.30000000000001</v>
      </c>
      <c r="G1081" s="4">
        <v>129.19999999999999</v>
      </c>
      <c r="H1081" s="1" t="s">
        <v>188</v>
      </c>
      <c r="K1081">
        <v>2014</v>
      </c>
      <c r="L1081" t="s">
        <v>41</v>
      </c>
      <c r="M1081" t="s">
        <v>67</v>
      </c>
      <c r="N1081" t="s">
        <v>21</v>
      </c>
      <c r="O1081" t="s">
        <v>190</v>
      </c>
      <c r="P1081" s="1" t="s">
        <v>33</v>
      </c>
      <c r="Q1081">
        <v>111.8</v>
      </c>
    </row>
    <row r="1082" spans="1:17" x14ac:dyDescent="0.3">
      <c r="A1082">
        <v>2016</v>
      </c>
      <c r="B1082" t="s">
        <v>31</v>
      </c>
      <c r="C1082" t="s">
        <v>94</v>
      </c>
      <c r="D1082" s="1" t="s">
        <v>3</v>
      </c>
      <c r="E1082" s="4">
        <v>126.8</v>
      </c>
      <c r="F1082" s="4">
        <v>126.1</v>
      </c>
      <c r="G1082" s="4">
        <v>124.7</v>
      </c>
      <c r="H1082" s="1" t="s">
        <v>188</v>
      </c>
      <c r="K1082">
        <v>2014</v>
      </c>
      <c r="L1082" t="s">
        <v>41</v>
      </c>
      <c r="M1082" t="s">
        <v>67</v>
      </c>
      <c r="N1082" t="s">
        <v>29</v>
      </c>
      <c r="O1082" t="s">
        <v>206</v>
      </c>
      <c r="P1082" s="1" t="s">
        <v>30</v>
      </c>
      <c r="Q1082">
        <v>120.7</v>
      </c>
    </row>
    <row r="1083" spans="1:17" x14ac:dyDescent="0.3">
      <c r="A1083">
        <v>2016</v>
      </c>
      <c r="B1083" t="s">
        <v>31</v>
      </c>
      <c r="C1083" t="s">
        <v>94</v>
      </c>
      <c r="D1083" s="1" t="s">
        <v>17</v>
      </c>
      <c r="E1083" s="4">
        <v>133.19999999999999</v>
      </c>
      <c r="F1083" s="4">
        <v>130.30000000000001</v>
      </c>
      <c r="G1083" s="4">
        <v>125.8</v>
      </c>
      <c r="H1083" s="1" t="s">
        <v>189</v>
      </c>
      <c r="K1083">
        <v>2014</v>
      </c>
      <c r="L1083" t="s">
        <v>41</v>
      </c>
      <c r="M1083" t="s">
        <v>67</v>
      </c>
      <c r="N1083" t="s">
        <v>29</v>
      </c>
      <c r="O1083" t="s">
        <v>206</v>
      </c>
      <c r="P1083" s="1" t="s">
        <v>34</v>
      </c>
      <c r="Q1083">
        <v>120.3</v>
      </c>
    </row>
    <row r="1084" spans="1:17" x14ac:dyDescent="0.3">
      <c r="A1084">
        <v>2016</v>
      </c>
      <c r="B1084" t="s">
        <v>31</v>
      </c>
      <c r="C1084" t="s">
        <v>94</v>
      </c>
      <c r="D1084" s="1" t="s">
        <v>19</v>
      </c>
      <c r="E1084" s="4">
        <v>132.6</v>
      </c>
      <c r="F1084" s="4">
        <v>129.5</v>
      </c>
      <c r="G1084" s="4">
        <v>124.9</v>
      </c>
      <c r="H1084" s="1" t="s">
        <v>189</v>
      </c>
      <c r="K1084">
        <v>2014</v>
      </c>
      <c r="L1084" t="s">
        <v>41</v>
      </c>
      <c r="M1084" t="s">
        <v>67</v>
      </c>
      <c r="N1084" t="s">
        <v>29</v>
      </c>
      <c r="O1084" t="s">
        <v>206</v>
      </c>
      <c r="P1084" s="1" t="s">
        <v>33</v>
      </c>
      <c r="Q1084">
        <v>119.9</v>
      </c>
    </row>
    <row r="1085" spans="1:17" x14ac:dyDescent="0.3">
      <c r="A1085">
        <v>2016</v>
      </c>
      <c r="B1085" t="s">
        <v>31</v>
      </c>
      <c r="C1085" t="s">
        <v>94</v>
      </c>
      <c r="D1085" s="1" t="s">
        <v>26</v>
      </c>
      <c r="E1085" s="4">
        <v>126.2</v>
      </c>
      <c r="F1085" s="4">
        <v>126.3</v>
      </c>
      <c r="G1085" s="4">
        <v>126.4</v>
      </c>
      <c r="H1085" s="1" t="s">
        <v>26</v>
      </c>
      <c r="K1085">
        <v>2014</v>
      </c>
      <c r="L1085" t="s">
        <v>41</v>
      </c>
      <c r="M1085" t="s">
        <v>67</v>
      </c>
      <c r="N1085" t="s">
        <v>23</v>
      </c>
      <c r="O1085" t="s">
        <v>23</v>
      </c>
      <c r="P1085" s="1" t="s">
        <v>30</v>
      </c>
      <c r="Q1085">
        <v>114</v>
      </c>
    </row>
    <row r="1086" spans="1:17" x14ac:dyDescent="0.3">
      <c r="A1086">
        <v>2016</v>
      </c>
      <c r="B1086" t="s">
        <v>31</v>
      </c>
      <c r="C1086" t="s">
        <v>94</v>
      </c>
      <c r="D1086" s="1" t="s">
        <v>5</v>
      </c>
      <c r="E1086" s="4">
        <v>126.5</v>
      </c>
      <c r="F1086" s="4">
        <v>128.6</v>
      </c>
      <c r="G1086" s="4">
        <v>132</v>
      </c>
      <c r="H1086" s="1" t="s">
        <v>188</v>
      </c>
      <c r="K1086">
        <v>2014</v>
      </c>
      <c r="L1086" t="s">
        <v>41</v>
      </c>
      <c r="M1086" t="s">
        <v>67</v>
      </c>
      <c r="N1086" t="s">
        <v>23</v>
      </c>
      <c r="O1086" t="s">
        <v>23</v>
      </c>
      <c r="P1086" s="1" t="s">
        <v>34</v>
      </c>
      <c r="Q1086">
        <v>113.3</v>
      </c>
    </row>
    <row r="1087" spans="1:17" x14ac:dyDescent="0.3">
      <c r="A1087">
        <v>2016</v>
      </c>
      <c r="B1087" t="s">
        <v>31</v>
      </c>
      <c r="C1087" t="s">
        <v>94</v>
      </c>
      <c r="D1087" s="1" t="s">
        <v>15</v>
      </c>
      <c r="E1087" s="4">
        <v>131.4</v>
      </c>
      <c r="F1087" s="4">
        <v>131.30000000000001</v>
      </c>
      <c r="G1087" s="4">
        <v>131.19999999999999</v>
      </c>
      <c r="H1087" s="1" t="s">
        <v>188</v>
      </c>
      <c r="K1087">
        <v>2014</v>
      </c>
      <c r="L1087" t="s">
        <v>41</v>
      </c>
      <c r="M1087" t="s">
        <v>67</v>
      </c>
      <c r="N1087" t="s">
        <v>23</v>
      </c>
      <c r="O1087" t="s">
        <v>23</v>
      </c>
      <c r="P1087" s="1" t="s">
        <v>33</v>
      </c>
      <c r="Q1087">
        <v>112.2</v>
      </c>
    </row>
    <row r="1088" spans="1:17" x14ac:dyDescent="0.3">
      <c r="A1088">
        <v>2016</v>
      </c>
      <c r="B1088" t="s">
        <v>31</v>
      </c>
      <c r="C1088" t="s">
        <v>94</v>
      </c>
      <c r="D1088" s="1" t="s">
        <v>18</v>
      </c>
      <c r="E1088" s="4">
        <v>128.9</v>
      </c>
      <c r="F1088" s="4">
        <v>125.1</v>
      </c>
      <c r="G1088" s="4">
        <v>119.8</v>
      </c>
      <c r="H1088" s="1" t="s">
        <v>189</v>
      </c>
      <c r="K1088">
        <v>2014</v>
      </c>
      <c r="L1088" t="s">
        <v>41</v>
      </c>
      <c r="M1088" t="s">
        <v>67</v>
      </c>
      <c r="N1088" t="s">
        <v>22</v>
      </c>
      <c r="O1088" t="s">
        <v>20</v>
      </c>
      <c r="P1088" s="1" t="s">
        <v>30</v>
      </c>
      <c r="Q1088">
        <v>115.9</v>
      </c>
    </row>
    <row r="1089" spans="1:17" x14ac:dyDescent="0.3">
      <c r="A1089">
        <v>2016</v>
      </c>
      <c r="B1089" t="s">
        <v>31</v>
      </c>
      <c r="C1089" t="s">
        <v>94</v>
      </c>
      <c r="D1089" s="1" t="s">
        <v>8</v>
      </c>
      <c r="E1089" s="4">
        <v>131.6</v>
      </c>
      <c r="F1089" s="4">
        <v>125.7</v>
      </c>
      <c r="G1089" s="4">
        <v>119</v>
      </c>
      <c r="H1089" s="1" t="s">
        <v>188</v>
      </c>
      <c r="K1089">
        <v>2014</v>
      </c>
      <c r="L1089" t="s">
        <v>41</v>
      </c>
      <c r="M1089" t="s">
        <v>67</v>
      </c>
      <c r="N1089" t="s">
        <v>22</v>
      </c>
      <c r="O1089" t="s">
        <v>20</v>
      </c>
      <c r="P1089" s="1" t="s">
        <v>34</v>
      </c>
      <c r="Q1089">
        <v>115.6</v>
      </c>
    </row>
    <row r="1090" spans="1:17" x14ac:dyDescent="0.3">
      <c r="A1090">
        <v>2016</v>
      </c>
      <c r="B1090" t="s">
        <v>31</v>
      </c>
      <c r="C1090" t="s">
        <v>94</v>
      </c>
      <c r="D1090" s="1" t="s">
        <v>21</v>
      </c>
      <c r="E1090" s="4">
        <v>126.2</v>
      </c>
      <c r="F1090" s="4">
        <v>122.7</v>
      </c>
      <c r="G1090" s="4">
        <v>116.9</v>
      </c>
      <c r="H1090" s="1" t="s">
        <v>190</v>
      </c>
      <c r="K1090">
        <v>2014</v>
      </c>
      <c r="L1090" t="s">
        <v>41</v>
      </c>
      <c r="M1090" t="s">
        <v>67</v>
      </c>
      <c r="N1090" t="s">
        <v>22</v>
      </c>
      <c r="O1090" t="s">
        <v>20</v>
      </c>
      <c r="P1090" s="1" t="s">
        <v>33</v>
      </c>
      <c r="Q1090">
        <v>115.3</v>
      </c>
    </row>
    <row r="1091" spans="1:17" x14ac:dyDescent="0.3">
      <c r="A1091">
        <v>2016</v>
      </c>
      <c r="B1091" t="s">
        <v>31</v>
      </c>
      <c r="C1091" t="s">
        <v>94</v>
      </c>
      <c r="D1091" s="1" t="s">
        <v>29</v>
      </c>
      <c r="E1091" s="4">
        <v>128.1</v>
      </c>
      <c r="F1091" s="4">
        <v>126.3</v>
      </c>
      <c r="G1091" s="4">
        <v>124.2</v>
      </c>
      <c r="H1091" s="1" t="s">
        <v>206</v>
      </c>
      <c r="K1091">
        <v>2014</v>
      </c>
      <c r="L1091" t="s">
        <v>41</v>
      </c>
      <c r="M1091" t="s">
        <v>67</v>
      </c>
      <c r="N1091" t="s">
        <v>20</v>
      </c>
      <c r="O1091" t="s">
        <v>20</v>
      </c>
      <c r="P1091" s="1" t="s">
        <v>30</v>
      </c>
      <c r="Q1091">
        <v>0</v>
      </c>
    </row>
    <row r="1092" spans="1:17" x14ac:dyDescent="0.3">
      <c r="A1092">
        <v>2016</v>
      </c>
      <c r="B1092" t="s">
        <v>31</v>
      </c>
      <c r="C1092" t="s">
        <v>94</v>
      </c>
      <c r="D1092" s="1" t="s">
        <v>23</v>
      </c>
      <c r="E1092" s="4">
        <v>123.7</v>
      </c>
      <c r="F1092" s="4">
        <v>122</v>
      </c>
      <c r="G1092" s="4">
        <v>119.1</v>
      </c>
      <c r="H1092" s="1" t="s">
        <v>23</v>
      </c>
      <c r="K1092">
        <v>2014</v>
      </c>
      <c r="L1092" t="s">
        <v>41</v>
      </c>
      <c r="M1092" t="s">
        <v>67</v>
      </c>
      <c r="N1092" t="s">
        <v>20</v>
      </c>
      <c r="O1092" t="s">
        <v>20</v>
      </c>
      <c r="P1092" s="1" t="s">
        <v>34</v>
      </c>
      <c r="Q1092">
        <v>115.5</v>
      </c>
    </row>
    <row r="1093" spans="1:17" x14ac:dyDescent="0.3">
      <c r="A1093">
        <v>2016</v>
      </c>
      <c r="B1093" t="s">
        <v>31</v>
      </c>
      <c r="C1093" t="s">
        <v>94</v>
      </c>
      <c r="D1093" s="1" t="s">
        <v>22</v>
      </c>
      <c r="E1093" s="4">
        <v>126.6</v>
      </c>
      <c r="F1093" s="4">
        <v>124.2</v>
      </c>
      <c r="G1093" s="4">
        <v>121.6</v>
      </c>
      <c r="H1093" s="1" t="s">
        <v>20</v>
      </c>
      <c r="K1093">
        <v>2014</v>
      </c>
      <c r="L1093" t="s">
        <v>41</v>
      </c>
      <c r="M1093" t="s">
        <v>67</v>
      </c>
      <c r="N1093" t="s">
        <v>20</v>
      </c>
      <c r="O1093" t="s">
        <v>20</v>
      </c>
      <c r="P1093" s="1" t="s">
        <v>33</v>
      </c>
      <c r="Q1093">
        <v>115.5</v>
      </c>
    </row>
    <row r="1094" spans="1:17" x14ac:dyDescent="0.3">
      <c r="A1094">
        <v>2016</v>
      </c>
      <c r="B1094" t="s">
        <v>31</v>
      </c>
      <c r="C1094" t="s">
        <v>94</v>
      </c>
      <c r="D1094" s="1" t="s">
        <v>20</v>
      </c>
      <c r="E1094" s="4">
        <v>0</v>
      </c>
      <c r="F1094" s="4">
        <v>123.4</v>
      </c>
      <c r="G1094" s="4">
        <v>123.4</v>
      </c>
      <c r="H1094" s="1" t="s">
        <v>20</v>
      </c>
      <c r="K1094">
        <v>2014</v>
      </c>
      <c r="L1094" t="s">
        <v>41</v>
      </c>
      <c r="M1094" t="s">
        <v>67</v>
      </c>
      <c r="N1094" t="s">
        <v>4</v>
      </c>
      <c r="O1094" t="s">
        <v>188</v>
      </c>
      <c r="P1094" s="1" t="s">
        <v>30</v>
      </c>
      <c r="Q1094">
        <v>122.8</v>
      </c>
    </row>
    <row r="1095" spans="1:17" x14ac:dyDescent="0.3">
      <c r="A1095">
        <v>2016</v>
      </c>
      <c r="B1095" t="s">
        <v>31</v>
      </c>
      <c r="C1095" t="s">
        <v>94</v>
      </c>
      <c r="D1095" s="1" t="s">
        <v>4</v>
      </c>
      <c r="E1095" s="4">
        <v>133.19999999999999</v>
      </c>
      <c r="F1095" s="4">
        <v>134.1</v>
      </c>
      <c r="G1095" s="4">
        <v>135.9</v>
      </c>
      <c r="H1095" s="1" t="s">
        <v>188</v>
      </c>
      <c r="K1095">
        <v>2014</v>
      </c>
      <c r="L1095" t="s">
        <v>41</v>
      </c>
      <c r="M1095" t="s">
        <v>67</v>
      </c>
      <c r="N1095" t="s">
        <v>4</v>
      </c>
      <c r="O1095" t="s">
        <v>188</v>
      </c>
      <c r="P1095" s="1" t="s">
        <v>34</v>
      </c>
      <c r="Q1095">
        <v>124.4</v>
      </c>
    </row>
    <row r="1096" spans="1:17" x14ac:dyDescent="0.3">
      <c r="A1096">
        <v>2016</v>
      </c>
      <c r="B1096" t="s">
        <v>31</v>
      </c>
      <c r="C1096" t="s">
        <v>94</v>
      </c>
      <c r="D1096" s="1" t="s">
        <v>6</v>
      </c>
      <c r="E1096" s="4">
        <v>130.30000000000001</v>
      </c>
      <c r="F1096" s="4">
        <v>129.9</v>
      </c>
      <c r="G1096" s="4">
        <v>129.19999999999999</v>
      </c>
      <c r="H1096" s="1" t="s">
        <v>188</v>
      </c>
      <c r="K1096">
        <v>2014</v>
      </c>
      <c r="L1096" t="s">
        <v>41</v>
      </c>
      <c r="M1096" t="s">
        <v>67</v>
      </c>
      <c r="N1096" t="s">
        <v>4</v>
      </c>
      <c r="O1096" t="s">
        <v>188</v>
      </c>
      <c r="P1096" s="1" t="s">
        <v>33</v>
      </c>
      <c r="Q1096">
        <v>127.3</v>
      </c>
    </row>
    <row r="1097" spans="1:17" x14ac:dyDescent="0.3">
      <c r="A1097">
        <v>2016</v>
      </c>
      <c r="B1097" t="s">
        <v>31</v>
      </c>
      <c r="C1097" t="s">
        <v>94</v>
      </c>
      <c r="D1097" s="1" t="s">
        <v>28</v>
      </c>
      <c r="E1097" s="4">
        <v>120.1</v>
      </c>
      <c r="F1097" s="4">
        <v>118.5</v>
      </c>
      <c r="G1097" s="4">
        <v>116.8</v>
      </c>
      <c r="H1097" s="1" t="s">
        <v>192</v>
      </c>
      <c r="K1097">
        <v>2014</v>
      </c>
      <c r="L1097" t="s">
        <v>41</v>
      </c>
      <c r="M1097" t="s">
        <v>67</v>
      </c>
      <c r="N1097" t="s">
        <v>6</v>
      </c>
      <c r="O1097" t="s">
        <v>188</v>
      </c>
      <c r="P1097" s="1" t="s">
        <v>30</v>
      </c>
      <c r="Q1097">
        <v>121.9</v>
      </c>
    </row>
    <row r="1098" spans="1:17" x14ac:dyDescent="0.3">
      <c r="A1098">
        <v>2016</v>
      </c>
      <c r="B1098" t="s">
        <v>31</v>
      </c>
      <c r="C1098" t="s">
        <v>94</v>
      </c>
      <c r="D1098" s="1" t="s">
        <v>13</v>
      </c>
      <c r="E1098" s="4">
        <v>124.3</v>
      </c>
      <c r="F1098" s="4">
        <v>122.7</v>
      </c>
      <c r="G1098" s="4">
        <v>120.5</v>
      </c>
      <c r="H1098" s="1" t="s">
        <v>188</v>
      </c>
      <c r="K1098">
        <v>2014</v>
      </c>
      <c r="L1098" t="s">
        <v>41</v>
      </c>
      <c r="M1098" t="s">
        <v>67</v>
      </c>
      <c r="N1098" t="s">
        <v>6</v>
      </c>
      <c r="O1098" t="s">
        <v>188</v>
      </c>
      <c r="P1098" s="1" t="s">
        <v>34</v>
      </c>
      <c r="Q1098">
        <v>122</v>
      </c>
    </row>
    <row r="1099" spans="1:17" x14ac:dyDescent="0.3">
      <c r="A1099">
        <v>2016</v>
      </c>
      <c r="B1099" t="s">
        <v>31</v>
      </c>
      <c r="C1099" t="s">
        <v>94</v>
      </c>
      <c r="D1099" s="1" t="s">
        <v>7</v>
      </c>
      <c r="E1099" s="4">
        <v>118.9</v>
      </c>
      <c r="F1099" s="4">
        <v>115.5</v>
      </c>
      <c r="G1099" s="4">
        <v>109.7</v>
      </c>
      <c r="H1099" s="1" t="s">
        <v>188</v>
      </c>
      <c r="K1099">
        <v>2014</v>
      </c>
      <c r="L1099" t="s">
        <v>41</v>
      </c>
      <c r="M1099" t="s">
        <v>67</v>
      </c>
      <c r="N1099" t="s">
        <v>6</v>
      </c>
      <c r="O1099" t="s">
        <v>188</v>
      </c>
      <c r="P1099" s="1" t="s">
        <v>33</v>
      </c>
      <c r="Q1099">
        <v>122.2</v>
      </c>
    </row>
    <row r="1100" spans="1:17" x14ac:dyDescent="0.3">
      <c r="A1100">
        <v>2016</v>
      </c>
      <c r="B1100" t="s">
        <v>31</v>
      </c>
      <c r="C1100" t="s">
        <v>94</v>
      </c>
      <c r="D1100" s="1" t="s">
        <v>16</v>
      </c>
      <c r="E1100" s="4">
        <v>133.6</v>
      </c>
      <c r="F1100" s="4">
        <v>135.19999999999999</v>
      </c>
      <c r="G1100" s="4">
        <v>139.5</v>
      </c>
      <c r="H1100" s="1" t="s">
        <v>192</v>
      </c>
      <c r="K1100">
        <v>2014</v>
      </c>
      <c r="L1100" t="s">
        <v>41</v>
      </c>
      <c r="M1100" t="s">
        <v>67</v>
      </c>
      <c r="N1100" t="s">
        <v>28</v>
      </c>
      <c r="O1100" t="s">
        <v>192</v>
      </c>
      <c r="P1100" s="1" t="s">
        <v>30</v>
      </c>
      <c r="Q1100">
        <v>113.5</v>
      </c>
    </row>
    <row r="1101" spans="1:17" x14ac:dyDescent="0.3">
      <c r="A1101">
        <v>2016</v>
      </c>
      <c r="B1101" t="s">
        <v>31</v>
      </c>
      <c r="C1101" t="s">
        <v>94</v>
      </c>
      <c r="D1101" s="1" t="s">
        <v>27</v>
      </c>
      <c r="E1101" s="4">
        <v>114.9</v>
      </c>
      <c r="F1101" s="4">
        <v>114.5</v>
      </c>
      <c r="G1101" s="4">
        <v>114</v>
      </c>
      <c r="H1101" s="1" t="s">
        <v>192</v>
      </c>
      <c r="K1101">
        <v>2014</v>
      </c>
      <c r="L1101" t="s">
        <v>41</v>
      </c>
      <c r="M1101" t="s">
        <v>67</v>
      </c>
      <c r="N1101" t="s">
        <v>28</v>
      </c>
      <c r="O1101" t="s">
        <v>192</v>
      </c>
      <c r="P1101" s="1" t="s">
        <v>34</v>
      </c>
      <c r="Q1101">
        <v>113.7</v>
      </c>
    </row>
    <row r="1102" spans="1:17" x14ac:dyDescent="0.3">
      <c r="A1102">
        <v>2016</v>
      </c>
      <c r="B1102" t="s">
        <v>31</v>
      </c>
      <c r="C1102" t="s">
        <v>94</v>
      </c>
      <c r="D1102" s="1" t="s">
        <v>14</v>
      </c>
      <c r="E1102" s="4">
        <v>135.9</v>
      </c>
      <c r="F1102" s="4">
        <v>135.30000000000001</v>
      </c>
      <c r="G1102" s="4">
        <v>134.69999999999999</v>
      </c>
      <c r="H1102" s="1" t="s">
        <v>188</v>
      </c>
      <c r="K1102">
        <v>2014</v>
      </c>
      <c r="L1102" t="s">
        <v>41</v>
      </c>
      <c r="M1102" t="s">
        <v>67</v>
      </c>
      <c r="N1102" t="s">
        <v>28</v>
      </c>
      <c r="O1102" t="s">
        <v>192</v>
      </c>
      <c r="P1102" s="1" t="s">
        <v>33</v>
      </c>
      <c r="Q1102">
        <v>113.9</v>
      </c>
    </row>
    <row r="1103" spans="1:17" x14ac:dyDescent="0.3">
      <c r="A1103">
        <v>2016</v>
      </c>
      <c r="B1103" t="s">
        <v>31</v>
      </c>
      <c r="C1103" t="s">
        <v>94</v>
      </c>
      <c r="D1103" s="1" t="s">
        <v>10</v>
      </c>
      <c r="E1103" s="4">
        <v>163.80000000000001</v>
      </c>
      <c r="F1103" s="4">
        <v>170.7</v>
      </c>
      <c r="G1103" s="4">
        <v>184.2</v>
      </c>
      <c r="H1103" s="1" t="s">
        <v>188</v>
      </c>
      <c r="K1103">
        <v>2014</v>
      </c>
      <c r="L1103" t="s">
        <v>41</v>
      </c>
      <c r="M1103" t="s">
        <v>67</v>
      </c>
      <c r="N1103" t="s">
        <v>13</v>
      </c>
      <c r="O1103" t="s">
        <v>188</v>
      </c>
      <c r="P1103" s="1" t="s">
        <v>30</v>
      </c>
      <c r="Q1103">
        <v>115.8</v>
      </c>
    </row>
    <row r="1104" spans="1:17" x14ac:dyDescent="0.3">
      <c r="A1104">
        <v>2016</v>
      </c>
      <c r="B1104" t="s">
        <v>31</v>
      </c>
      <c r="C1104" t="s">
        <v>94</v>
      </c>
      <c r="D1104" s="1" t="s">
        <v>25</v>
      </c>
      <c r="E1104" s="4">
        <v>121.4</v>
      </c>
      <c r="F1104" s="4">
        <v>119.8</v>
      </c>
      <c r="G1104" s="4">
        <v>118.5</v>
      </c>
      <c r="H1104" s="1" t="s">
        <v>195</v>
      </c>
      <c r="K1104">
        <v>2014</v>
      </c>
      <c r="L1104" t="s">
        <v>41</v>
      </c>
      <c r="M1104" t="s">
        <v>67</v>
      </c>
      <c r="N1104" t="s">
        <v>13</v>
      </c>
      <c r="O1104" t="s">
        <v>188</v>
      </c>
      <c r="P1104" s="1" t="s">
        <v>34</v>
      </c>
      <c r="Q1104">
        <v>115.2</v>
      </c>
    </row>
    <row r="1105" spans="1:17" x14ac:dyDescent="0.3">
      <c r="A1105">
        <v>2016</v>
      </c>
      <c r="B1105" t="s">
        <v>31</v>
      </c>
      <c r="C1105" t="s">
        <v>94</v>
      </c>
      <c r="D1105" s="1" t="s">
        <v>12</v>
      </c>
      <c r="E1105" s="4">
        <v>129.6</v>
      </c>
      <c r="F1105" s="4">
        <v>132.9</v>
      </c>
      <c r="G1105" s="4">
        <v>139.5</v>
      </c>
      <c r="H1105" s="1" t="s">
        <v>188</v>
      </c>
      <c r="K1105">
        <v>2014</v>
      </c>
      <c r="L1105" t="s">
        <v>41</v>
      </c>
      <c r="M1105" t="s">
        <v>67</v>
      </c>
      <c r="N1105" t="s">
        <v>13</v>
      </c>
      <c r="O1105" t="s">
        <v>188</v>
      </c>
      <c r="P1105" s="1" t="s">
        <v>33</v>
      </c>
      <c r="Q1105">
        <v>114.4</v>
      </c>
    </row>
    <row r="1106" spans="1:17" x14ac:dyDescent="0.3">
      <c r="A1106">
        <v>2016</v>
      </c>
      <c r="B1106" t="s">
        <v>31</v>
      </c>
      <c r="C1106" t="s">
        <v>94</v>
      </c>
      <c r="D1106" s="1" t="s">
        <v>11</v>
      </c>
      <c r="E1106" s="4">
        <v>97.7</v>
      </c>
      <c r="F1106" s="4">
        <v>97.4</v>
      </c>
      <c r="G1106" s="4">
        <v>96.7</v>
      </c>
      <c r="H1106" s="1" t="s">
        <v>188</v>
      </c>
      <c r="K1106">
        <v>2014</v>
      </c>
      <c r="L1106" t="s">
        <v>41</v>
      </c>
      <c r="M1106" t="s">
        <v>67</v>
      </c>
      <c r="N1106" t="s">
        <v>7</v>
      </c>
      <c r="O1106" t="s">
        <v>188</v>
      </c>
      <c r="P1106" s="1" t="s">
        <v>30</v>
      </c>
      <c r="Q1106">
        <v>110.6</v>
      </c>
    </row>
    <row r="1107" spans="1:17" x14ac:dyDescent="0.3">
      <c r="A1107">
        <v>2016</v>
      </c>
      <c r="B1107" t="s">
        <v>31</v>
      </c>
      <c r="C1107" t="s">
        <v>94</v>
      </c>
      <c r="D1107" s="1" t="s">
        <v>24</v>
      </c>
      <c r="E1107" s="4">
        <v>113.6</v>
      </c>
      <c r="F1107" s="4">
        <v>111.1</v>
      </c>
      <c r="G1107" s="4">
        <v>108.9</v>
      </c>
      <c r="H1107" s="1" t="s">
        <v>191</v>
      </c>
      <c r="K1107">
        <v>2014</v>
      </c>
      <c r="L1107" t="s">
        <v>41</v>
      </c>
      <c r="M1107" t="s">
        <v>67</v>
      </c>
      <c r="N1107" t="s">
        <v>7</v>
      </c>
      <c r="O1107" t="s">
        <v>188</v>
      </c>
      <c r="P1107" s="1" t="s">
        <v>34</v>
      </c>
      <c r="Q1107">
        <v>108</v>
      </c>
    </row>
    <row r="1108" spans="1:17" x14ac:dyDescent="0.3">
      <c r="A1108">
        <v>2016</v>
      </c>
      <c r="B1108" t="s">
        <v>31</v>
      </c>
      <c r="C1108" t="s">
        <v>94</v>
      </c>
      <c r="D1108" s="1" t="s">
        <v>9</v>
      </c>
      <c r="E1108" s="4">
        <v>140.1</v>
      </c>
      <c r="F1108" s="4">
        <v>141.5</v>
      </c>
      <c r="G1108" s="4">
        <v>144.1</v>
      </c>
      <c r="H1108" s="1" t="s">
        <v>188</v>
      </c>
      <c r="K1108">
        <v>2014</v>
      </c>
      <c r="L1108" t="s">
        <v>41</v>
      </c>
      <c r="M1108" t="s">
        <v>67</v>
      </c>
      <c r="N1108" t="s">
        <v>7</v>
      </c>
      <c r="O1108" t="s">
        <v>188</v>
      </c>
      <c r="P1108" s="1" t="s">
        <v>33</v>
      </c>
      <c r="Q1108">
        <v>103.6</v>
      </c>
    </row>
    <row r="1109" spans="1:17" x14ac:dyDescent="0.3">
      <c r="A1109">
        <v>2016</v>
      </c>
      <c r="B1109" t="s">
        <v>40</v>
      </c>
      <c r="C1109" t="s">
        <v>95</v>
      </c>
      <c r="D1109" s="1" t="s">
        <v>3</v>
      </c>
      <c r="E1109" s="4">
        <v>129.30000000000001</v>
      </c>
      <c r="F1109" s="4">
        <v>128.5</v>
      </c>
      <c r="G1109" s="4">
        <v>126.8</v>
      </c>
      <c r="H1109" s="1" t="s">
        <v>188</v>
      </c>
      <c r="K1109">
        <v>2014</v>
      </c>
      <c r="L1109" t="s">
        <v>41</v>
      </c>
      <c r="M1109" t="s">
        <v>67</v>
      </c>
      <c r="N1109" t="s">
        <v>16</v>
      </c>
      <c r="O1109" t="s">
        <v>192</v>
      </c>
      <c r="P1109" s="1" t="s">
        <v>30</v>
      </c>
      <c r="Q1109">
        <v>118.8</v>
      </c>
    </row>
    <row r="1110" spans="1:17" x14ac:dyDescent="0.3">
      <c r="A1110">
        <v>2016</v>
      </c>
      <c r="B1110" t="s">
        <v>40</v>
      </c>
      <c r="C1110" t="s">
        <v>95</v>
      </c>
      <c r="D1110" s="1" t="s">
        <v>17</v>
      </c>
      <c r="E1110" s="4">
        <v>137.19999999999999</v>
      </c>
      <c r="F1110" s="4">
        <v>133.5</v>
      </c>
      <c r="G1110" s="4">
        <v>127.9</v>
      </c>
      <c r="H1110" s="1" t="s">
        <v>189</v>
      </c>
      <c r="K1110">
        <v>2014</v>
      </c>
      <c r="L1110" t="s">
        <v>41</v>
      </c>
      <c r="M1110" t="s">
        <v>67</v>
      </c>
      <c r="N1110" t="s">
        <v>16</v>
      </c>
      <c r="O1110" t="s">
        <v>192</v>
      </c>
      <c r="P1110" s="1" t="s">
        <v>34</v>
      </c>
      <c r="Q1110">
        <v>119.9</v>
      </c>
    </row>
    <row r="1111" spans="1:17" x14ac:dyDescent="0.3">
      <c r="A1111">
        <v>2016</v>
      </c>
      <c r="B1111" t="s">
        <v>40</v>
      </c>
      <c r="C1111" t="s">
        <v>95</v>
      </c>
      <c r="D1111" s="1" t="s">
        <v>19</v>
      </c>
      <c r="E1111" s="4">
        <v>136.5</v>
      </c>
      <c r="F1111" s="4">
        <v>132.69999999999999</v>
      </c>
      <c r="G1111" s="4">
        <v>126.9</v>
      </c>
      <c r="H1111" s="1" t="s">
        <v>189</v>
      </c>
      <c r="K1111">
        <v>2014</v>
      </c>
      <c r="L1111" t="s">
        <v>41</v>
      </c>
      <c r="M1111" t="s">
        <v>67</v>
      </c>
      <c r="N1111" t="s">
        <v>16</v>
      </c>
      <c r="O1111" t="s">
        <v>192</v>
      </c>
      <c r="P1111" s="1" t="s">
        <v>33</v>
      </c>
      <c r="Q1111">
        <v>123</v>
      </c>
    </row>
    <row r="1112" spans="1:17" x14ac:dyDescent="0.3">
      <c r="A1112">
        <v>2016</v>
      </c>
      <c r="B1112" t="s">
        <v>40</v>
      </c>
      <c r="C1112" t="s">
        <v>95</v>
      </c>
      <c r="D1112" s="1" t="s">
        <v>26</v>
      </c>
      <c r="E1112" s="4">
        <v>130.80000000000001</v>
      </c>
      <c r="F1112" s="4">
        <v>130.80000000000001</v>
      </c>
      <c r="G1112" s="4">
        <v>130.80000000000001</v>
      </c>
      <c r="H1112" s="1" t="s">
        <v>26</v>
      </c>
      <c r="K1112">
        <v>2014</v>
      </c>
      <c r="L1112" t="s">
        <v>41</v>
      </c>
      <c r="M1112" t="s">
        <v>67</v>
      </c>
      <c r="N1112" t="s">
        <v>27</v>
      </c>
      <c r="O1112" t="s">
        <v>192</v>
      </c>
      <c r="P1112" s="1" t="s">
        <v>30</v>
      </c>
      <c r="Q1112">
        <v>109.4</v>
      </c>
    </row>
    <row r="1113" spans="1:17" x14ac:dyDescent="0.3">
      <c r="A1113">
        <v>2016</v>
      </c>
      <c r="B1113" t="s">
        <v>40</v>
      </c>
      <c r="C1113" t="s">
        <v>95</v>
      </c>
      <c r="D1113" s="1" t="s">
        <v>5</v>
      </c>
      <c r="E1113" s="4">
        <v>129.6</v>
      </c>
      <c r="F1113" s="4">
        <v>132.30000000000001</v>
      </c>
      <c r="G1113" s="4">
        <v>136.6</v>
      </c>
      <c r="H1113" s="1" t="s">
        <v>188</v>
      </c>
      <c r="K1113">
        <v>2014</v>
      </c>
      <c r="L1113" t="s">
        <v>41</v>
      </c>
      <c r="M1113" t="s">
        <v>67</v>
      </c>
      <c r="N1113" t="s">
        <v>27</v>
      </c>
      <c r="O1113" t="s">
        <v>192</v>
      </c>
      <c r="P1113" s="1" t="s">
        <v>34</v>
      </c>
      <c r="Q1113">
        <v>109.9</v>
      </c>
    </row>
    <row r="1114" spans="1:17" x14ac:dyDescent="0.3">
      <c r="A1114">
        <v>2016</v>
      </c>
      <c r="B1114" t="s">
        <v>40</v>
      </c>
      <c r="C1114" t="s">
        <v>95</v>
      </c>
      <c r="D1114" s="1" t="s">
        <v>15</v>
      </c>
      <c r="E1114" s="4">
        <v>137.6</v>
      </c>
      <c r="F1114" s="4">
        <v>138.4</v>
      </c>
      <c r="G1114" s="4">
        <v>139.80000000000001</v>
      </c>
      <c r="H1114" s="1" t="s">
        <v>188</v>
      </c>
      <c r="K1114">
        <v>2014</v>
      </c>
      <c r="L1114" t="s">
        <v>41</v>
      </c>
      <c r="M1114" t="s">
        <v>67</v>
      </c>
      <c r="N1114" t="s">
        <v>27</v>
      </c>
      <c r="O1114" t="s">
        <v>192</v>
      </c>
      <c r="P1114" s="1" t="s">
        <v>33</v>
      </c>
      <c r="Q1114">
        <v>110.5</v>
      </c>
    </row>
    <row r="1115" spans="1:17" x14ac:dyDescent="0.3">
      <c r="A1115">
        <v>2016</v>
      </c>
      <c r="B1115" t="s">
        <v>40</v>
      </c>
      <c r="C1115" t="s">
        <v>95</v>
      </c>
      <c r="D1115" s="1" t="s">
        <v>18</v>
      </c>
      <c r="E1115" s="4">
        <v>132.19999999999999</v>
      </c>
      <c r="F1115" s="4">
        <v>127.6</v>
      </c>
      <c r="G1115" s="4">
        <v>121.1</v>
      </c>
      <c r="H1115" s="1" t="s">
        <v>189</v>
      </c>
      <c r="K1115">
        <v>2014</v>
      </c>
      <c r="L1115" t="s">
        <v>41</v>
      </c>
      <c r="M1115" t="s">
        <v>67</v>
      </c>
      <c r="N1115" t="s">
        <v>14</v>
      </c>
      <c r="O1115" t="s">
        <v>188</v>
      </c>
      <c r="P1115" s="1" t="s">
        <v>30</v>
      </c>
      <c r="Q1115">
        <v>121.7</v>
      </c>
    </row>
    <row r="1116" spans="1:17" x14ac:dyDescent="0.3">
      <c r="A1116">
        <v>2016</v>
      </c>
      <c r="B1116" t="s">
        <v>40</v>
      </c>
      <c r="C1116" t="s">
        <v>95</v>
      </c>
      <c r="D1116" s="1" t="s">
        <v>8</v>
      </c>
      <c r="E1116" s="4">
        <v>138.5</v>
      </c>
      <c r="F1116" s="4">
        <v>137.80000000000001</v>
      </c>
      <c r="G1116" s="4">
        <v>137</v>
      </c>
      <c r="H1116" s="1" t="s">
        <v>188</v>
      </c>
      <c r="K1116">
        <v>2014</v>
      </c>
      <c r="L1116" t="s">
        <v>41</v>
      </c>
      <c r="M1116" t="s">
        <v>67</v>
      </c>
      <c r="N1116" t="s">
        <v>14</v>
      </c>
      <c r="O1116" t="s">
        <v>188</v>
      </c>
      <c r="P1116" s="1" t="s">
        <v>34</v>
      </c>
      <c r="Q1116">
        <v>123.1</v>
      </c>
    </row>
    <row r="1117" spans="1:17" x14ac:dyDescent="0.3">
      <c r="A1117">
        <v>2016</v>
      </c>
      <c r="B1117" t="s">
        <v>40</v>
      </c>
      <c r="C1117" t="s">
        <v>95</v>
      </c>
      <c r="D1117" s="1" t="s">
        <v>21</v>
      </c>
      <c r="E1117" s="4">
        <v>128.19999999999999</v>
      </c>
      <c r="F1117" s="4">
        <v>123.4</v>
      </c>
      <c r="G1117" s="4">
        <v>115.5</v>
      </c>
      <c r="H1117" s="1" t="s">
        <v>190</v>
      </c>
      <c r="K1117">
        <v>2014</v>
      </c>
      <c r="L1117" t="s">
        <v>41</v>
      </c>
      <c r="M1117" t="s">
        <v>67</v>
      </c>
      <c r="N1117" t="s">
        <v>14</v>
      </c>
      <c r="O1117" t="s">
        <v>188</v>
      </c>
      <c r="P1117" s="1" t="s">
        <v>33</v>
      </c>
      <c r="Q1117">
        <v>124.7</v>
      </c>
    </row>
    <row r="1118" spans="1:17" x14ac:dyDescent="0.3">
      <c r="A1118">
        <v>2016</v>
      </c>
      <c r="B1118" t="s">
        <v>40</v>
      </c>
      <c r="C1118" t="s">
        <v>95</v>
      </c>
      <c r="D1118" s="1" t="s">
        <v>29</v>
      </c>
      <c r="E1118" s="4">
        <v>133</v>
      </c>
      <c r="F1118" s="4">
        <v>131.1</v>
      </c>
      <c r="G1118" s="4">
        <v>129</v>
      </c>
      <c r="H1118" s="1" t="s">
        <v>206</v>
      </c>
      <c r="K1118">
        <v>2014</v>
      </c>
      <c r="L1118" t="s">
        <v>41</v>
      </c>
      <c r="M1118" t="s">
        <v>67</v>
      </c>
      <c r="N1118" t="s">
        <v>10</v>
      </c>
      <c r="O1118" t="s">
        <v>188</v>
      </c>
      <c r="P1118" s="1" t="s">
        <v>30</v>
      </c>
      <c r="Q1118">
        <v>114.1</v>
      </c>
    </row>
    <row r="1119" spans="1:17" x14ac:dyDescent="0.3">
      <c r="A1119">
        <v>2016</v>
      </c>
      <c r="B1119" t="s">
        <v>40</v>
      </c>
      <c r="C1119" t="s">
        <v>95</v>
      </c>
      <c r="D1119" s="1" t="s">
        <v>23</v>
      </c>
      <c r="E1119" s="4">
        <v>126.7</v>
      </c>
      <c r="F1119" s="4">
        <v>124.5</v>
      </c>
      <c r="G1119" s="4">
        <v>120.9</v>
      </c>
      <c r="H1119" s="1" t="s">
        <v>23</v>
      </c>
      <c r="K1119">
        <v>2014</v>
      </c>
      <c r="L1119" t="s">
        <v>41</v>
      </c>
      <c r="M1119" t="s">
        <v>67</v>
      </c>
      <c r="N1119" t="s">
        <v>10</v>
      </c>
      <c r="O1119" t="s">
        <v>188</v>
      </c>
      <c r="P1119" s="1" t="s">
        <v>34</v>
      </c>
      <c r="Q1119">
        <v>114.5</v>
      </c>
    </row>
    <row r="1120" spans="1:17" x14ac:dyDescent="0.3">
      <c r="A1120">
        <v>2016</v>
      </c>
      <c r="B1120" t="s">
        <v>40</v>
      </c>
      <c r="C1120" t="s">
        <v>95</v>
      </c>
      <c r="D1120" s="1" t="s">
        <v>22</v>
      </c>
      <c r="E1120" s="4">
        <v>130</v>
      </c>
      <c r="F1120" s="4">
        <v>126.9</v>
      </c>
      <c r="G1120" s="4">
        <v>123.5</v>
      </c>
      <c r="H1120" s="1" t="s">
        <v>20</v>
      </c>
      <c r="K1120">
        <v>2014</v>
      </c>
      <c r="L1120" t="s">
        <v>41</v>
      </c>
      <c r="M1120" t="s">
        <v>67</v>
      </c>
      <c r="N1120" t="s">
        <v>10</v>
      </c>
      <c r="O1120" t="s">
        <v>188</v>
      </c>
      <c r="P1120" s="1" t="s">
        <v>33</v>
      </c>
      <c r="Q1120">
        <v>115.2</v>
      </c>
    </row>
    <row r="1121" spans="1:17" x14ac:dyDescent="0.3">
      <c r="A1121">
        <v>2016</v>
      </c>
      <c r="B1121" t="s">
        <v>40</v>
      </c>
      <c r="C1121" t="s">
        <v>95</v>
      </c>
      <c r="D1121" s="1" t="s">
        <v>20</v>
      </c>
      <c r="E1121" s="4">
        <v>0</v>
      </c>
      <c r="F1121" s="4">
        <v>126.4</v>
      </c>
      <c r="G1121" s="4">
        <v>126.4</v>
      </c>
      <c r="H1121" s="1" t="s">
        <v>20</v>
      </c>
      <c r="K1121">
        <v>2014</v>
      </c>
      <c r="L1121" t="s">
        <v>41</v>
      </c>
      <c r="M1121" t="s">
        <v>67</v>
      </c>
      <c r="N1121" t="s">
        <v>25</v>
      </c>
      <c r="O1121" t="s">
        <v>195</v>
      </c>
      <c r="P1121" s="1" t="s">
        <v>30</v>
      </c>
      <c r="Q1121">
        <v>112.2</v>
      </c>
    </row>
    <row r="1122" spans="1:17" x14ac:dyDescent="0.3">
      <c r="A1122">
        <v>2016</v>
      </c>
      <c r="B1122" t="s">
        <v>40</v>
      </c>
      <c r="C1122" t="s">
        <v>95</v>
      </c>
      <c r="D1122" s="1" t="s">
        <v>4</v>
      </c>
      <c r="E1122" s="4">
        <v>139.5</v>
      </c>
      <c r="F1122" s="4">
        <v>141.19999999999999</v>
      </c>
      <c r="G1122" s="4">
        <v>144.19999999999999</v>
      </c>
      <c r="H1122" s="1" t="s">
        <v>188</v>
      </c>
      <c r="K1122">
        <v>2014</v>
      </c>
      <c r="L1122" t="s">
        <v>41</v>
      </c>
      <c r="M1122" t="s">
        <v>67</v>
      </c>
      <c r="N1122" t="s">
        <v>25</v>
      </c>
      <c r="O1122" t="s">
        <v>195</v>
      </c>
      <c r="P1122" s="1" t="s">
        <v>34</v>
      </c>
      <c r="Q1122">
        <v>112.6</v>
      </c>
    </row>
    <row r="1123" spans="1:17" x14ac:dyDescent="0.3">
      <c r="A1123">
        <v>2016</v>
      </c>
      <c r="B1123" t="s">
        <v>40</v>
      </c>
      <c r="C1123" t="s">
        <v>95</v>
      </c>
      <c r="D1123" s="1" t="s">
        <v>6</v>
      </c>
      <c r="E1123" s="4">
        <v>134.5</v>
      </c>
      <c r="F1123" s="4">
        <v>133.5</v>
      </c>
      <c r="G1123" s="4">
        <v>131.80000000000001</v>
      </c>
      <c r="H1123" s="1" t="s">
        <v>188</v>
      </c>
      <c r="K1123">
        <v>2014</v>
      </c>
      <c r="L1123" t="s">
        <v>41</v>
      </c>
      <c r="M1123" t="s">
        <v>67</v>
      </c>
      <c r="N1123" t="s">
        <v>25</v>
      </c>
      <c r="O1123" t="s">
        <v>195</v>
      </c>
      <c r="P1123" s="1" t="s">
        <v>33</v>
      </c>
      <c r="Q1123">
        <v>112.9</v>
      </c>
    </row>
    <row r="1124" spans="1:17" x14ac:dyDescent="0.3">
      <c r="A1124">
        <v>2016</v>
      </c>
      <c r="B1124" t="s">
        <v>40</v>
      </c>
      <c r="C1124" t="s">
        <v>95</v>
      </c>
      <c r="D1124" s="1" t="s">
        <v>28</v>
      </c>
      <c r="E1124" s="4">
        <v>123.8</v>
      </c>
      <c r="F1124" s="4">
        <v>121.9</v>
      </c>
      <c r="G1124" s="4">
        <v>119.9</v>
      </c>
      <c r="H1124" s="1" t="s">
        <v>192</v>
      </c>
      <c r="K1124">
        <v>2014</v>
      </c>
      <c r="L1124" t="s">
        <v>41</v>
      </c>
      <c r="M1124" t="s">
        <v>67</v>
      </c>
      <c r="N1124" t="s">
        <v>12</v>
      </c>
      <c r="O1124" t="s">
        <v>188</v>
      </c>
      <c r="P1124" s="1" t="s">
        <v>30</v>
      </c>
      <c r="Q1124">
        <v>114.6</v>
      </c>
    </row>
    <row r="1125" spans="1:17" x14ac:dyDescent="0.3">
      <c r="A1125">
        <v>2016</v>
      </c>
      <c r="B1125" t="s">
        <v>40</v>
      </c>
      <c r="C1125" t="s">
        <v>95</v>
      </c>
      <c r="D1125" s="1" t="s">
        <v>13</v>
      </c>
      <c r="E1125" s="4">
        <v>127.3</v>
      </c>
      <c r="F1125" s="4">
        <v>125</v>
      </c>
      <c r="G1125" s="4">
        <v>121.7</v>
      </c>
      <c r="H1125" s="1" t="s">
        <v>188</v>
      </c>
      <c r="K1125">
        <v>2014</v>
      </c>
      <c r="L1125" t="s">
        <v>41</v>
      </c>
      <c r="M1125" t="s">
        <v>67</v>
      </c>
      <c r="N1125" t="s">
        <v>12</v>
      </c>
      <c r="O1125" t="s">
        <v>188</v>
      </c>
      <c r="P1125" s="1" t="s">
        <v>34</v>
      </c>
      <c r="Q1125">
        <v>117.1</v>
      </c>
    </row>
    <row r="1126" spans="1:17" x14ac:dyDescent="0.3">
      <c r="A1126">
        <v>2016</v>
      </c>
      <c r="B1126" t="s">
        <v>40</v>
      </c>
      <c r="C1126" t="s">
        <v>95</v>
      </c>
      <c r="D1126" s="1" t="s">
        <v>7</v>
      </c>
      <c r="E1126" s="4">
        <v>119.5</v>
      </c>
      <c r="F1126" s="4">
        <v>116.4</v>
      </c>
      <c r="G1126" s="4">
        <v>111</v>
      </c>
      <c r="H1126" s="1" t="s">
        <v>188</v>
      </c>
      <c r="K1126">
        <v>2014</v>
      </c>
      <c r="L1126" t="s">
        <v>41</v>
      </c>
      <c r="M1126" t="s">
        <v>67</v>
      </c>
      <c r="N1126" t="s">
        <v>12</v>
      </c>
      <c r="O1126" t="s">
        <v>188</v>
      </c>
      <c r="P1126" s="1" t="s">
        <v>33</v>
      </c>
      <c r="Q1126">
        <v>122.1</v>
      </c>
    </row>
    <row r="1127" spans="1:17" x14ac:dyDescent="0.3">
      <c r="A1127">
        <v>2016</v>
      </c>
      <c r="B1127" t="s">
        <v>40</v>
      </c>
      <c r="C1127" t="s">
        <v>95</v>
      </c>
      <c r="D1127" s="1" t="s">
        <v>16</v>
      </c>
      <c r="E1127" s="4">
        <v>138</v>
      </c>
      <c r="F1127" s="4">
        <v>139.30000000000001</v>
      </c>
      <c r="G1127" s="4">
        <v>142.9</v>
      </c>
      <c r="H1127" s="1" t="s">
        <v>192</v>
      </c>
      <c r="K1127">
        <v>2014</v>
      </c>
      <c r="L1127" t="s">
        <v>41</v>
      </c>
      <c r="M1127" t="s">
        <v>67</v>
      </c>
      <c r="N1127" t="s">
        <v>11</v>
      </c>
      <c r="O1127" t="s">
        <v>188</v>
      </c>
      <c r="P1127" s="1" t="s">
        <v>30</v>
      </c>
      <c r="Q1127">
        <v>105.1</v>
      </c>
    </row>
    <row r="1128" spans="1:17" x14ac:dyDescent="0.3">
      <c r="A1128">
        <v>2016</v>
      </c>
      <c r="B1128" t="s">
        <v>40</v>
      </c>
      <c r="C1128" t="s">
        <v>95</v>
      </c>
      <c r="D1128" s="1" t="s">
        <v>27</v>
      </c>
      <c r="E1128" s="4">
        <v>120.9</v>
      </c>
      <c r="F1128" s="4">
        <v>120.5</v>
      </c>
      <c r="G1128" s="4">
        <v>120</v>
      </c>
      <c r="H1128" s="1" t="s">
        <v>192</v>
      </c>
      <c r="K1128">
        <v>2014</v>
      </c>
      <c r="L1128" t="s">
        <v>41</v>
      </c>
      <c r="M1128" t="s">
        <v>67</v>
      </c>
      <c r="N1128" t="s">
        <v>11</v>
      </c>
      <c r="O1128" t="s">
        <v>188</v>
      </c>
      <c r="P1128" s="1" t="s">
        <v>34</v>
      </c>
      <c r="Q1128">
        <v>104.3</v>
      </c>
    </row>
    <row r="1129" spans="1:17" x14ac:dyDescent="0.3">
      <c r="A1129">
        <v>2016</v>
      </c>
      <c r="B1129" t="s">
        <v>40</v>
      </c>
      <c r="C1129" t="s">
        <v>95</v>
      </c>
      <c r="D1129" s="1" t="s">
        <v>14</v>
      </c>
      <c r="E1129" s="4">
        <v>139.9</v>
      </c>
      <c r="F1129" s="4">
        <v>138.80000000000001</v>
      </c>
      <c r="G1129" s="4">
        <v>137.5</v>
      </c>
      <c r="H1129" s="1" t="s">
        <v>188</v>
      </c>
      <c r="K1129">
        <v>2014</v>
      </c>
      <c r="L1129" t="s">
        <v>41</v>
      </c>
      <c r="M1129" t="s">
        <v>67</v>
      </c>
      <c r="N1129" t="s">
        <v>11</v>
      </c>
      <c r="O1129" t="s">
        <v>188</v>
      </c>
      <c r="P1129" s="1" t="s">
        <v>33</v>
      </c>
      <c r="Q1129">
        <v>102.7</v>
      </c>
    </row>
    <row r="1130" spans="1:17" x14ac:dyDescent="0.3">
      <c r="A1130">
        <v>2016</v>
      </c>
      <c r="B1130" t="s">
        <v>40</v>
      </c>
      <c r="C1130" t="s">
        <v>95</v>
      </c>
      <c r="D1130" s="1" t="s">
        <v>10</v>
      </c>
      <c r="E1130" s="4">
        <v>171.8</v>
      </c>
      <c r="F1130" s="4">
        <v>177.4</v>
      </c>
      <c r="G1130" s="4">
        <v>188.4</v>
      </c>
      <c r="H1130" s="1" t="s">
        <v>188</v>
      </c>
      <c r="K1130">
        <v>2014</v>
      </c>
      <c r="L1130" t="s">
        <v>41</v>
      </c>
      <c r="M1130" t="s">
        <v>67</v>
      </c>
      <c r="N1130" t="s">
        <v>24</v>
      </c>
      <c r="O1130" t="s">
        <v>191</v>
      </c>
      <c r="P1130" s="1" t="s">
        <v>30</v>
      </c>
      <c r="Q1130">
        <v>113.2</v>
      </c>
    </row>
    <row r="1131" spans="1:17" x14ac:dyDescent="0.3">
      <c r="A1131">
        <v>2016</v>
      </c>
      <c r="B1131" t="s">
        <v>40</v>
      </c>
      <c r="C1131" t="s">
        <v>95</v>
      </c>
      <c r="D1131" s="1" t="s">
        <v>25</v>
      </c>
      <c r="E1131" s="4">
        <v>125.2</v>
      </c>
      <c r="F1131" s="4">
        <v>122.4</v>
      </c>
      <c r="G1131" s="4">
        <v>120.3</v>
      </c>
      <c r="H1131" s="1" t="s">
        <v>195</v>
      </c>
      <c r="K1131">
        <v>2014</v>
      </c>
      <c r="L1131" t="s">
        <v>41</v>
      </c>
      <c r="M1131" t="s">
        <v>67</v>
      </c>
      <c r="N1131" t="s">
        <v>24</v>
      </c>
      <c r="O1131" t="s">
        <v>191</v>
      </c>
      <c r="P1131" s="1" t="s">
        <v>34</v>
      </c>
      <c r="Q1131">
        <v>112.8</v>
      </c>
    </row>
    <row r="1132" spans="1:17" x14ac:dyDescent="0.3">
      <c r="A1132">
        <v>2016</v>
      </c>
      <c r="B1132" t="s">
        <v>40</v>
      </c>
      <c r="C1132" t="s">
        <v>95</v>
      </c>
      <c r="D1132" s="1" t="s">
        <v>12</v>
      </c>
      <c r="E1132" s="4">
        <v>134.30000000000001</v>
      </c>
      <c r="F1132" s="4">
        <v>137.5</v>
      </c>
      <c r="G1132" s="4">
        <v>143.9</v>
      </c>
      <c r="H1132" s="1" t="s">
        <v>188</v>
      </c>
      <c r="K1132">
        <v>2014</v>
      </c>
      <c r="L1132" t="s">
        <v>41</v>
      </c>
      <c r="M1132" t="s">
        <v>67</v>
      </c>
      <c r="N1132" t="s">
        <v>24</v>
      </c>
      <c r="O1132" t="s">
        <v>191</v>
      </c>
      <c r="P1132" s="1" t="s">
        <v>33</v>
      </c>
      <c r="Q1132">
        <v>112.5</v>
      </c>
    </row>
    <row r="1133" spans="1:17" x14ac:dyDescent="0.3">
      <c r="A1133">
        <v>2016</v>
      </c>
      <c r="B1133" t="s">
        <v>40</v>
      </c>
      <c r="C1133" t="s">
        <v>95</v>
      </c>
      <c r="D1133" s="1" t="s">
        <v>11</v>
      </c>
      <c r="E1133" s="4">
        <v>110.3</v>
      </c>
      <c r="F1133" s="4">
        <v>111.3</v>
      </c>
      <c r="G1133" s="4">
        <v>113.3</v>
      </c>
      <c r="H1133" s="1" t="s">
        <v>188</v>
      </c>
      <c r="K1133">
        <v>2014</v>
      </c>
      <c r="L1133" t="s">
        <v>41</v>
      </c>
      <c r="M1133" t="s">
        <v>67</v>
      </c>
      <c r="N1133" t="s">
        <v>9</v>
      </c>
      <c r="O1133" t="s">
        <v>188</v>
      </c>
      <c r="P1133" s="1" t="s">
        <v>30</v>
      </c>
      <c r="Q1133">
        <v>161.1</v>
      </c>
    </row>
    <row r="1134" spans="1:17" x14ac:dyDescent="0.3">
      <c r="A1134">
        <v>2016</v>
      </c>
      <c r="B1134" t="s">
        <v>40</v>
      </c>
      <c r="C1134" t="s">
        <v>95</v>
      </c>
      <c r="D1134" s="1" t="s">
        <v>24</v>
      </c>
      <c r="E1134" s="4">
        <v>116.4</v>
      </c>
      <c r="F1134" s="4">
        <v>113.9</v>
      </c>
      <c r="G1134" s="4">
        <v>111.7</v>
      </c>
      <c r="H1134" s="1" t="s">
        <v>191</v>
      </c>
      <c r="K1134">
        <v>2014</v>
      </c>
      <c r="L1134" t="s">
        <v>41</v>
      </c>
      <c r="M1134" t="s">
        <v>67</v>
      </c>
      <c r="N1134" t="s">
        <v>9</v>
      </c>
      <c r="O1134" t="s">
        <v>188</v>
      </c>
      <c r="P1134" s="1" t="s">
        <v>34</v>
      </c>
      <c r="Q1134">
        <v>168.2</v>
      </c>
    </row>
    <row r="1135" spans="1:17" x14ac:dyDescent="0.3">
      <c r="A1135">
        <v>2016</v>
      </c>
      <c r="B1135" t="s">
        <v>40</v>
      </c>
      <c r="C1135" t="s">
        <v>95</v>
      </c>
      <c r="D1135" s="1" t="s">
        <v>9</v>
      </c>
      <c r="E1135" s="4">
        <v>158.19999999999999</v>
      </c>
      <c r="F1135" s="4">
        <v>165.4</v>
      </c>
      <c r="G1135" s="4">
        <v>179.5</v>
      </c>
      <c r="H1135" s="1" t="s">
        <v>188</v>
      </c>
      <c r="K1135">
        <v>2014</v>
      </c>
      <c r="L1135" t="s">
        <v>41</v>
      </c>
      <c r="M1135" t="s">
        <v>67</v>
      </c>
      <c r="N1135" t="s">
        <v>9</v>
      </c>
      <c r="O1135" t="s">
        <v>188</v>
      </c>
      <c r="P1135" s="1" t="s">
        <v>33</v>
      </c>
      <c r="Q1135">
        <v>181.9</v>
      </c>
    </row>
    <row r="1136" spans="1:17" x14ac:dyDescent="0.3">
      <c r="A1136">
        <v>2016</v>
      </c>
      <c r="B1136" t="s">
        <v>39</v>
      </c>
      <c r="C1136" t="s">
        <v>96</v>
      </c>
      <c r="D1136" s="1" t="s">
        <v>3</v>
      </c>
      <c r="E1136" s="4">
        <v>128.6</v>
      </c>
      <c r="F1136" s="4">
        <v>127.7</v>
      </c>
      <c r="G1136" s="4">
        <v>125.9</v>
      </c>
      <c r="H1136" s="1" t="s">
        <v>188</v>
      </c>
      <c r="K1136">
        <v>2014</v>
      </c>
      <c r="L1136" t="s">
        <v>45</v>
      </c>
      <c r="M1136" t="s">
        <v>68</v>
      </c>
      <c r="N1136" t="s">
        <v>3</v>
      </c>
      <c r="O1136" t="s">
        <v>188</v>
      </c>
      <c r="P1136" s="1" t="s">
        <v>30</v>
      </c>
      <c r="Q1136">
        <v>122.4</v>
      </c>
    </row>
    <row r="1137" spans="1:17" x14ac:dyDescent="0.3">
      <c r="A1137">
        <v>2016</v>
      </c>
      <c r="B1137" t="s">
        <v>39</v>
      </c>
      <c r="C1137" t="s">
        <v>96</v>
      </c>
      <c r="D1137" s="1" t="s">
        <v>17</v>
      </c>
      <c r="E1137" s="4">
        <v>136.30000000000001</v>
      </c>
      <c r="F1137" s="4">
        <v>132.9</v>
      </c>
      <c r="G1137" s="4">
        <v>127.6</v>
      </c>
      <c r="H1137" s="1" t="s">
        <v>189</v>
      </c>
      <c r="K1137">
        <v>2014</v>
      </c>
      <c r="L1137" t="s">
        <v>45</v>
      </c>
      <c r="M1137" t="s">
        <v>68</v>
      </c>
      <c r="N1137" t="s">
        <v>3</v>
      </c>
      <c r="O1137" t="s">
        <v>188</v>
      </c>
      <c r="P1137" s="1" t="s">
        <v>34</v>
      </c>
      <c r="Q1137">
        <v>122.9</v>
      </c>
    </row>
    <row r="1138" spans="1:17" x14ac:dyDescent="0.3">
      <c r="A1138">
        <v>2016</v>
      </c>
      <c r="B1138" t="s">
        <v>39</v>
      </c>
      <c r="C1138" t="s">
        <v>96</v>
      </c>
      <c r="D1138" s="1" t="s">
        <v>19</v>
      </c>
      <c r="E1138" s="4">
        <v>135.6</v>
      </c>
      <c r="F1138" s="4">
        <v>132</v>
      </c>
      <c r="G1138" s="4">
        <v>126.6</v>
      </c>
      <c r="H1138" s="1" t="s">
        <v>189</v>
      </c>
      <c r="K1138">
        <v>2014</v>
      </c>
      <c r="L1138" t="s">
        <v>45</v>
      </c>
      <c r="M1138" t="s">
        <v>68</v>
      </c>
      <c r="N1138" t="s">
        <v>3</v>
      </c>
      <c r="O1138" t="s">
        <v>188</v>
      </c>
      <c r="P1138" s="1" t="s">
        <v>33</v>
      </c>
      <c r="Q1138">
        <v>124</v>
      </c>
    </row>
    <row r="1139" spans="1:17" x14ac:dyDescent="0.3">
      <c r="A1139">
        <v>2016</v>
      </c>
      <c r="B1139" t="s">
        <v>39</v>
      </c>
      <c r="C1139" t="s">
        <v>96</v>
      </c>
      <c r="D1139" s="1" t="s">
        <v>26</v>
      </c>
      <c r="E1139" s="4">
        <v>130.19999999999999</v>
      </c>
      <c r="F1139" s="4">
        <v>129.69999999999999</v>
      </c>
      <c r="G1139" s="4">
        <v>129.30000000000001</v>
      </c>
      <c r="H1139" s="1" t="s">
        <v>26</v>
      </c>
      <c r="K1139">
        <v>2014</v>
      </c>
      <c r="L1139" t="s">
        <v>45</v>
      </c>
      <c r="M1139" t="s">
        <v>68</v>
      </c>
      <c r="N1139" t="s">
        <v>17</v>
      </c>
      <c r="O1139" t="s">
        <v>189</v>
      </c>
      <c r="P1139" s="1" t="s">
        <v>30</v>
      </c>
      <c r="Q1139">
        <v>123.8</v>
      </c>
    </row>
    <row r="1140" spans="1:17" x14ac:dyDescent="0.3">
      <c r="A1140">
        <v>2016</v>
      </c>
      <c r="B1140" t="s">
        <v>39</v>
      </c>
      <c r="C1140" t="s">
        <v>96</v>
      </c>
      <c r="D1140" s="1" t="s">
        <v>5</v>
      </c>
      <c r="E1140" s="4">
        <v>126.6</v>
      </c>
      <c r="F1140" s="4">
        <v>128.30000000000001</v>
      </c>
      <c r="G1140" s="4">
        <v>130.9</v>
      </c>
      <c r="H1140" s="1" t="s">
        <v>188</v>
      </c>
      <c r="K1140">
        <v>2014</v>
      </c>
      <c r="L1140" t="s">
        <v>45</v>
      </c>
      <c r="M1140" t="s">
        <v>68</v>
      </c>
      <c r="N1140" t="s">
        <v>17</v>
      </c>
      <c r="O1140" t="s">
        <v>189</v>
      </c>
      <c r="P1140" s="1" t="s">
        <v>34</v>
      </c>
      <c r="Q1140">
        <v>122.6</v>
      </c>
    </row>
    <row r="1141" spans="1:17" x14ac:dyDescent="0.3">
      <c r="A1141">
        <v>2016</v>
      </c>
      <c r="B1141" t="s">
        <v>39</v>
      </c>
      <c r="C1141" t="s">
        <v>96</v>
      </c>
      <c r="D1141" s="1" t="s">
        <v>15</v>
      </c>
      <c r="E1141" s="4">
        <v>136</v>
      </c>
      <c r="F1141" s="4">
        <v>136.80000000000001</v>
      </c>
      <c r="G1141" s="4">
        <v>138.19999999999999</v>
      </c>
      <c r="H1141" s="1" t="s">
        <v>188</v>
      </c>
      <c r="K1141">
        <v>2014</v>
      </c>
      <c r="L1141" t="s">
        <v>45</v>
      </c>
      <c r="M1141" t="s">
        <v>68</v>
      </c>
      <c r="N1141" t="s">
        <v>17</v>
      </c>
      <c r="O1141" t="s">
        <v>189</v>
      </c>
      <c r="P1141" s="1" t="s">
        <v>33</v>
      </c>
      <c r="Q1141">
        <v>120.7</v>
      </c>
    </row>
    <row r="1142" spans="1:17" x14ac:dyDescent="0.3">
      <c r="A1142">
        <v>2016</v>
      </c>
      <c r="B1142" t="s">
        <v>39</v>
      </c>
      <c r="C1142" t="s">
        <v>96</v>
      </c>
      <c r="D1142" s="1" t="s">
        <v>18</v>
      </c>
      <c r="E1142" s="4">
        <v>131.6</v>
      </c>
      <c r="F1142" s="4">
        <v>127.2</v>
      </c>
      <c r="G1142" s="4">
        <v>121.1</v>
      </c>
      <c r="H1142" s="1" t="s">
        <v>189</v>
      </c>
      <c r="K1142">
        <v>2014</v>
      </c>
      <c r="L1142" t="s">
        <v>45</v>
      </c>
      <c r="M1142" t="s">
        <v>68</v>
      </c>
      <c r="N1142" t="s">
        <v>19</v>
      </c>
      <c r="O1142" t="s">
        <v>189</v>
      </c>
      <c r="P1142" s="1" t="s">
        <v>30</v>
      </c>
      <c r="Q1142">
        <v>123.3</v>
      </c>
    </row>
    <row r="1143" spans="1:17" x14ac:dyDescent="0.3">
      <c r="A1143">
        <v>2016</v>
      </c>
      <c r="B1143" t="s">
        <v>39</v>
      </c>
      <c r="C1143" t="s">
        <v>96</v>
      </c>
      <c r="D1143" s="1" t="s">
        <v>8</v>
      </c>
      <c r="E1143" s="4">
        <v>137.4</v>
      </c>
      <c r="F1143" s="4">
        <v>136.5</v>
      </c>
      <c r="G1143" s="4">
        <v>135.5</v>
      </c>
      <c r="H1143" s="1" t="s">
        <v>188</v>
      </c>
      <c r="K1143">
        <v>2014</v>
      </c>
      <c r="L1143" t="s">
        <v>45</v>
      </c>
      <c r="M1143" t="s">
        <v>68</v>
      </c>
      <c r="N1143" t="s">
        <v>19</v>
      </c>
      <c r="O1143" t="s">
        <v>189</v>
      </c>
      <c r="P1143" s="1" t="s">
        <v>34</v>
      </c>
      <c r="Q1143">
        <v>122</v>
      </c>
    </row>
    <row r="1144" spans="1:17" x14ac:dyDescent="0.3">
      <c r="A1144">
        <v>2016</v>
      </c>
      <c r="B1144" t="s">
        <v>39</v>
      </c>
      <c r="C1144" t="s">
        <v>96</v>
      </c>
      <c r="D1144" s="1" t="s">
        <v>21</v>
      </c>
      <c r="E1144" s="4">
        <v>128</v>
      </c>
      <c r="F1144" s="4">
        <v>123.3</v>
      </c>
      <c r="G1144" s="4">
        <v>115.5</v>
      </c>
      <c r="H1144" s="1" t="s">
        <v>190</v>
      </c>
      <c r="K1144">
        <v>2014</v>
      </c>
      <c r="L1144" t="s">
        <v>45</v>
      </c>
      <c r="M1144" t="s">
        <v>68</v>
      </c>
      <c r="N1144" t="s">
        <v>19</v>
      </c>
      <c r="O1144" t="s">
        <v>189</v>
      </c>
      <c r="P1144" s="1" t="s">
        <v>33</v>
      </c>
      <c r="Q1144">
        <v>120</v>
      </c>
    </row>
    <row r="1145" spans="1:17" x14ac:dyDescent="0.3">
      <c r="A1145">
        <v>2016</v>
      </c>
      <c r="B1145" t="s">
        <v>39</v>
      </c>
      <c r="C1145" t="s">
        <v>96</v>
      </c>
      <c r="D1145" s="1" t="s">
        <v>29</v>
      </c>
      <c r="E1145" s="4">
        <v>131.9</v>
      </c>
      <c r="F1145" s="4">
        <v>130.1</v>
      </c>
      <c r="G1145" s="4">
        <v>128.1</v>
      </c>
      <c r="H1145" s="1" t="s">
        <v>206</v>
      </c>
      <c r="K1145">
        <v>2014</v>
      </c>
      <c r="L1145" t="s">
        <v>45</v>
      </c>
      <c r="M1145" t="s">
        <v>68</v>
      </c>
      <c r="N1145" t="s">
        <v>26</v>
      </c>
      <c r="O1145" t="s">
        <v>26</v>
      </c>
      <c r="P1145" s="1" t="s">
        <v>30</v>
      </c>
      <c r="Q1145">
        <v>117.7</v>
      </c>
    </row>
    <row r="1146" spans="1:17" x14ac:dyDescent="0.3">
      <c r="A1146">
        <v>2016</v>
      </c>
      <c r="B1146" t="s">
        <v>39</v>
      </c>
      <c r="C1146" t="s">
        <v>96</v>
      </c>
      <c r="D1146" s="1" t="s">
        <v>23</v>
      </c>
      <c r="E1146" s="4">
        <v>126.2</v>
      </c>
      <c r="F1146" s="4">
        <v>124.1</v>
      </c>
      <c r="G1146" s="4">
        <v>120.6</v>
      </c>
      <c r="H1146" s="1" t="s">
        <v>23</v>
      </c>
      <c r="K1146">
        <v>2014</v>
      </c>
      <c r="L1146" t="s">
        <v>45</v>
      </c>
      <c r="M1146" t="s">
        <v>68</v>
      </c>
      <c r="N1146" t="s">
        <v>26</v>
      </c>
      <c r="O1146" t="s">
        <v>26</v>
      </c>
      <c r="P1146" s="1" t="s">
        <v>34</v>
      </c>
      <c r="Q1146">
        <v>119.5</v>
      </c>
    </row>
    <row r="1147" spans="1:17" x14ac:dyDescent="0.3">
      <c r="A1147">
        <v>2016</v>
      </c>
      <c r="B1147" t="s">
        <v>39</v>
      </c>
      <c r="C1147" t="s">
        <v>96</v>
      </c>
      <c r="D1147" s="1" t="s">
        <v>22</v>
      </c>
      <c r="E1147" s="4">
        <v>129.30000000000001</v>
      </c>
      <c r="F1147" s="4">
        <v>126.4</v>
      </c>
      <c r="G1147" s="4">
        <v>123.2</v>
      </c>
      <c r="H1147" s="1" t="s">
        <v>20</v>
      </c>
      <c r="K1147">
        <v>2014</v>
      </c>
      <c r="L1147" t="s">
        <v>45</v>
      </c>
      <c r="M1147" t="s">
        <v>68</v>
      </c>
      <c r="N1147" t="s">
        <v>26</v>
      </c>
      <c r="O1147" t="s">
        <v>26</v>
      </c>
      <c r="P1147" s="1" t="s">
        <v>33</v>
      </c>
      <c r="Q1147">
        <v>120.7</v>
      </c>
    </row>
    <row r="1148" spans="1:17" x14ac:dyDescent="0.3">
      <c r="A1148">
        <v>2016</v>
      </c>
      <c r="B1148" t="s">
        <v>39</v>
      </c>
      <c r="C1148" t="s">
        <v>96</v>
      </c>
      <c r="D1148" s="1" t="s">
        <v>20</v>
      </c>
      <c r="E1148" s="4">
        <v>0</v>
      </c>
      <c r="F1148" s="4">
        <v>125.5</v>
      </c>
      <c r="G1148" s="4">
        <v>125.5</v>
      </c>
      <c r="H1148" s="1" t="s">
        <v>20</v>
      </c>
      <c r="K1148">
        <v>2014</v>
      </c>
      <c r="L1148" t="s">
        <v>45</v>
      </c>
      <c r="M1148" t="s">
        <v>68</v>
      </c>
      <c r="N1148" t="s">
        <v>5</v>
      </c>
      <c r="O1148" t="s">
        <v>188</v>
      </c>
      <c r="P1148" s="1" t="s">
        <v>30</v>
      </c>
      <c r="Q1148">
        <v>121.8</v>
      </c>
    </row>
    <row r="1149" spans="1:17" x14ac:dyDescent="0.3">
      <c r="A1149">
        <v>2016</v>
      </c>
      <c r="B1149" t="s">
        <v>39</v>
      </c>
      <c r="C1149" t="s">
        <v>96</v>
      </c>
      <c r="D1149" s="1" t="s">
        <v>4</v>
      </c>
      <c r="E1149" s="4">
        <v>138.6</v>
      </c>
      <c r="F1149" s="4">
        <v>140.5</v>
      </c>
      <c r="G1149" s="4">
        <v>143.9</v>
      </c>
      <c r="H1149" s="1" t="s">
        <v>188</v>
      </c>
      <c r="K1149">
        <v>2014</v>
      </c>
      <c r="L1149" t="s">
        <v>45</v>
      </c>
      <c r="M1149" t="s">
        <v>68</v>
      </c>
      <c r="N1149" t="s">
        <v>5</v>
      </c>
      <c r="O1149" t="s">
        <v>188</v>
      </c>
      <c r="P1149" s="1" t="s">
        <v>34</v>
      </c>
      <c r="Q1149">
        <v>123.5</v>
      </c>
    </row>
    <row r="1150" spans="1:17" x14ac:dyDescent="0.3">
      <c r="A1150">
        <v>2016</v>
      </c>
      <c r="B1150" t="s">
        <v>39</v>
      </c>
      <c r="C1150" t="s">
        <v>96</v>
      </c>
      <c r="D1150" s="1" t="s">
        <v>6</v>
      </c>
      <c r="E1150" s="4">
        <v>133.6</v>
      </c>
      <c r="F1150" s="4">
        <v>132.6</v>
      </c>
      <c r="G1150" s="4">
        <v>131</v>
      </c>
      <c r="H1150" s="1" t="s">
        <v>188</v>
      </c>
      <c r="K1150">
        <v>2014</v>
      </c>
      <c r="L1150" t="s">
        <v>45</v>
      </c>
      <c r="M1150" t="s">
        <v>68</v>
      </c>
      <c r="N1150" t="s">
        <v>5</v>
      </c>
      <c r="O1150" t="s">
        <v>188</v>
      </c>
      <c r="P1150" s="1" t="s">
        <v>33</v>
      </c>
      <c r="Q1150">
        <v>126.3</v>
      </c>
    </row>
    <row r="1151" spans="1:17" x14ac:dyDescent="0.3">
      <c r="A1151">
        <v>2016</v>
      </c>
      <c r="B1151" t="s">
        <v>39</v>
      </c>
      <c r="C1151" t="s">
        <v>96</v>
      </c>
      <c r="D1151" s="1" t="s">
        <v>28</v>
      </c>
      <c r="E1151" s="4">
        <v>123.3</v>
      </c>
      <c r="F1151" s="4">
        <v>121.5</v>
      </c>
      <c r="G1151" s="4">
        <v>119.6</v>
      </c>
      <c r="H1151" s="1" t="s">
        <v>192</v>
      </c>
      <c r="K1151">
        <v>2014</v>
      </c>
      <c r="L1151" t="s">
        <v>45</v>
      </c>
      <c r="M1151" t="s">
        <v>68</v>
      </c>
      <c r="N1151" t="s">
        <v>15</v>
      </c>
      <c r="O1151" t="s">
        <v>188</v>
      </c>
      <c r="P1151" s="1" t="s">
        <v>30</v>
      </c>
      <c r="Q1151">
        <v>123.3</v>
      </c>
    </row>
    <row r="1152" spans="1:17" x14ac:dyDescent="0.3">
      <c r="A1152">
        <v>2016</v>
      </c>
      <c r="B1152" t="s">
        <v>39</v>
      </c>
      <c r="C1152" t="s">
        <v>96</v>
      </c>
      <c r="D1152" s="1" t="s">
        <v>13</v>
      </c>
      <c r="E1152" s="4">
        <v>126.4</v>
      </c>
      <c r="F1152" s="4">
        <v>124.4</v>
      </c>
      <c r="G1152" s="4">
        <v>121.6</v>
      </c>
      <c r="H1152" s="1" t="s">
        <v>188</v>
      </c>
      <c r="K1152">
        <v>2014</v>
      </c>
      <c r="L1152" t="s">
        <v>45</v>
      </c>
      <c r="M1152" t="s">
        <v>68</v>
      </c>
      <c r="N1152" t="s">
        <v>15</v>
      </c>
      <c r="O1152" t="s">
        <v>188</v>
      </c>
      <c r="P1152" s="1" t="s">
        <v>34</v>
      </c>
      <c r="Q1152">
        <v>123.6</v>
      </c>
    </row>
    <row r="1153" spans="1:17" x14ac:dyDescent="0.3">
      <c r="A1153">
        <v>2016</v>
      </c>
      <c r="B1153" t="s">
        <v>39</v>
      </c>
      <c r="C1153" t="s">
        <v>96</v>
      </c>
      <c r="D1153" s="1" t="s">
        <v>7</v>
      </c>
      <c r="E1153" s="4">
        <v>118.6</v>
      </c>
      <c r="F1153" s="4">
        <v>115.5</v>
      </c>
      <c r="G1153" s="4">
        <v>110.2</v>
      </c>
      <c r="H1153" s="1" t="s">
        <v>188</v>
      </c>
      <c r="K1153">
        <v>2014</v>
      </c>
      <c r="L1153" t="s">
        <v>45</v>
      </c>
      <c r="M1153" t="s">
        <v>68</v>
      </c>
      <c r="N1153" t="s">
        <v>15</v>
      </c>
      <c r="O1153" t="s">
        <v>188</v>
      </c>
      <c r="P1153" s="1" t="s">
        <v>33</v>
      </c>
      <c r="Q1153">
        <v>124</v>
      </c>
    </row>
    <row r="1154" spans="1:17" x14ac:dyDescent="0.3">
      <c r="A1154">
        <v>2016</v>
      </c>
      <c r="B1154" t="s">
        <v>39</v>
      </c>
      <c r="C1154" t="s">
        <v>96</v>
      </c>
      <c r="D1154" s="1" t="s">
        <v>16</v>
      </c>
      <c r="E1154" s="4">
        <v>137.19999999999999</v>
      </c>
      <c r="F1154" s="4">
        <v>138.69999999999999</v>
      </c>
      <c r="G1154" s="4">
        <v>142.69999999999999</v>
      </c>
      <c r="H1154" s="1" t="s">
        <v>192</v>
      </c>
      <c r="K1154">
        <v>2014</v>
      </c>
      <c r="L1154" t="s">
        <v>45</v>
      </c>
      <c r="M1154" t="s">
        <v>68</v>
      </c>
      <c r="N1154" t="s">
        <v>18</v>
      </c>
      <c r="O1154" t="s">
        <v>189</v>
      </c>
      <c r="P1154" s="1" t="s">
        <v>30</v>
      </c>
      <c r="Q1154">
        <v>120.6</v>
      </c>
    </row>
    <row r="1155" spans="1:17" x14ac:dyDescent="0.3">
      <c r="A1155">
        <v>2016</v>
      </c>
      <c r="B1155" t="s">
        <v>39</v>
      </c>
      <c r="C1155" t="s">
        <v>96</v>
      </c>
      <c r="D1155" s="1" t="s">
        <v>27</v>
      </c>
      <c r="E1155" s="4">
        <v>119.9</v>
      </c>
      <c r="F1155" s="4">
        <v>119.4</v>
      </c>
      <c r="G1155" s="4">
        <v>118.8</v>
      </c>
      <c r="H1155" s="1" t="s">
        <v>192</v>
      </c>
      <c r="K1155">
        <v>2014</v>
      </c>
      <c r="L1155" t="s">
        <v>45</v>
      </c>
      <c r="M1155" t="s">
        <v>68</v>
      </c>
      <c r="N1155" t="s">
        <v>18</v>
      </c>
      <c r="O1155" t="s">
        <v>189</v>
      </c>
      <c r="P1155" s="1" t="s">
        <v>34</v>
      </c>
      <c r="Q1155">
        <v>118.6</v>
      </c>
    </row>
    <row r="1156" spans="1:17" x14ac:dyDescent="0.3">
      <c r="A1156">
        <v>2016</v>
      </c>
      <c r="B1156" t="s">
        <v>39</v>
      </c>
      <c r="C1156" t="s">
        <v>96</v>
      </c>
      <c r="D1156" s="1" t="s">
        <v>14</v>
      </c>
      <c r="E1156" s="4">
        <v>139.19999999999999</v>
      </c>
      <c r="F1156" s="4">
        <v>138.1</v>
      </c>
      <c r="G1156" s="4">
        <v>136.9</v>
      </c>
      <c r="H1156" s="1" t="s">
        <v>188</v>
      </c>
      <c r="K1156">
        <v>2014</v>
      </c>
      <c r="L1156" t="s">
        <v>45</v>
      </c>
      <c r="M1156" t="s">
        <v>68</v>
      </c>
      <c r="N1156" t="s">
        <v>18</v>
      </c>
      <c r="O1156" t="s">
        <v>189</v>
      </c>
      <c r="P1156" s="1" t="s">
        <v>33</v>
      </c>
      <c r="Q1156">
        <v>115.8</v>
      </c>
    </row>
    <row r="1157" spans="1:17" x14ac:dyDescent="0.3">
      <c r="A1157">
        <v>2016</v>
      </c>
      <c r="B1157" t="s">
        <v>39</v>
      </c>
      <c r="C1157" t="s">
        <v>96</v>
      </c>
      <c r="D1157" s="1" t="s">
        <v>10</v>
      </c>
      <c r="E1157" s="4">
        <v>169.2</v>
      </c>
      <c r="F1157" s="4">
        <v>174.3</v>
      </c>
      <c r="G1157" s="4">
        <v>184.4</v>
      </c>
      <c r="H1157" s="1" t="s">
        <v>188</v>
      </c>
      <c r="K1157">
        <v>2014</v>
      </c>
      <c r="L1157" t="s">
        <v>45</v>
      </c>
      <c r="M1157" t="s">
        <v>68</v>
      </c>
      <c r="N1157" t="s">
        <v>8</v>
      </c>
      <c r="O1157" t="s">
        <v>188</v>
      </c>
      <c r="P1157" s="1" t="s">
        <v>30</v>
      </c>
      <c r="Q1157">
        <v>128.6</v>
      </c>
    </row>
    <row r="1158" spans="1:17" x14ac:dyDescent="0.3">
      <c r="A1158">
        <v>2016</v>
      </c>
      <c r="B1158" t="s">
        <v>39</v>
      </c>
      <c r="C1158" t="s">
        <v>96</v>
      </c>
      <c r="D1158" s="1" t="s">
        <v>25</v>
      </c>
      <c r="E1158" s="4">
        <v>124.1</v>
      </c>
      <c r="F1158" s="4">
        <v>121.7</v>
      </c>
      <c r="G1158" s="4">
        <v>119.9</v>
      </c>
      <c r="H1158" s="1" t="s">
        <v>195</v>
      </c>
      <c r="K1158">
        <v>2014</v>
      </c>
      <c r="L1158" t="s">
        <v>45</v>
      </c>
      <c r="M1158" t="s">
        <v>68</v>
      </c>
      <c r="N1158" t="s">
        <v>8</v>
      </c>
      <c r="O1158" t="s">
        <v>188</v>
      </c>
      <c r="P1158" s="1" t="s">
        <v>34</v>
      </c>
      <c r="Q1158">
        <v>125.7</v>
      </c>
    </row>
    <row r="1159" spans="1:17" x14ac:dyDescent="0.3">
      <c r="A1159">
        <v>2016</v>
      </c>
      <c r="B1159" t="s">
        <v>39</v>
      </c>
      <c r="C1159" t="s">
        <v>96</v>
      </c>
      <c r="D1159" s="1" t="s">
        <v>12</v>
      </c>
      <c r="E1159" s="4">
        <v>133.1</v>
      </c>
      <c r="F1159" s="4">
        <v>136.30000000000001</v>
      </c>
      <c r="G1159" s="4">
        <v>142.80000000000001</v>
      </c>
      <c r="H1159" s="1" t="s">
        <v>188</v>
      </c>
      <c r="K1159">
        <v>2014</v>
      </c>
      <c r="L1159" t="s">
        <v>45</v>
      </c>
      <c r="M1159" t="s">
        <v>68</v>
      </c>
      <c r="N1159" t="s">
        <v>8</v>
      </c>
      <c r="O1159" t="s">
        <v>188</v>
      </c>
      <c r="P1159" s="1" t="s">
        <v>33</v>
      </c>
      <c r="Q1159">
        <v>122.3</v>
      </c>
    </row>
    <row r="1160" spans="1:17" x14ac:dyDescent="0.3">
      <c r="A1160">
        <v>2016</v>
      </c>
      <c r="B1160" t="s">
        <v>39</v>
      </c>
      <c r="C1160" t="s">
        <v>96</v>
      </c>
      <c r="D1160" s="1" t="s">
        <v>11</v>
      </c>
      <c r="E1160" s="4">
        <v>108.8</v>
      </c>
      <c r="F1160" s="4">
        <v>109.9</v>
      </c>
      <c r="G1160" s="4">
        <v>112</v>
      </c>
      <c r="H1160" s="1" t="s">
        <v>188</v>
      </c>
      <c r="K1160">
        <v>2014</v>
      </c>
      <c r="L1160" t="s">
        <v>45</v>
      </c>
      <c r="M1160" t="s">
        <v>68</v>
      </c>
      <c r="N1160" t="s">
        <v>21</v>
      </c>
      <c r="O1160" t="s">
        <v>190</v>
      </c>
      <c r="P1160" s="1" t="s">
        <v>30</v>
      </c>
      <c r="Q1160">
        <v>117.4</v>
      </c>
    </row>
    <row r="1161" spans="1:17" x14ac:dyDescent="0.3">
      <c r="A1161">
        <v>2016</v>
      </c>
      <c r="B1161" t="s">
        <v>39</v>
      </c>
      <c r="C1161" t="s">
        <v>96</v>
      </c>
      <c r="D1161" s="1" t="s">
        <v>24</v>
      </c>
      <c r="E1161" s="4">
        <v>116.3</v>
      </c>
      <c r="F1161" s="4">
        <v>114.2</v>
      </c>
      <c r="G1161" s="4">
        <v>112.3</v>
      </c>
      <c r="H1161" s="1" t="s">
        <v>191</v>
      </c>
      <c r="K1161">
        <v>2014</v>
      </c>
      <c r="L1161" t="s">
        <v>45</v>
      </c>
      <c r="M1161" t="s">
        <v>68</v>
      </c>
      <c r="N1161" t="s">
        <v>21</v>
      </c>
      <c r="O1161" t="s">
        <v>190</v>
      </c>
      <c r="P1161" s="1" t="s">
        <v>34</v>
      </c>
      <c r="Q1161">
        <v>115.7</v>
      </c>
    </row>
    <row r="1162" spans="1:17" x14ac:dyDescent="0.3">
      <c r="A1162">
        <v>2016</v>
      </c>
      <c r="B1162" t="s">
        <v>39</v>
      </c>
      <c r="C1162" t="s">
        <v>96</v>
      </c>
      <c r="D1162" s="1" t="s">
        <v>9</v>
      </c>
      <c r="E1162" s="4">
        <v>152.5</v>
      </c>
      <c r="F1162" s="4">
        <v>159.69999999999999</v>
      </c>
      <c r="G1162" s="4">
        <v>173.7</v>
      </c>
      <c r="H1162" s="1" t="s">
        <v>188</v>
      </c>
      <c r="K1162">
        <v>2014</v>
      </c>
      <c r="L1162" t="s">
        <v>45</v>
      </c>
      <c r="M1162" t="s">
        <v>68</v>
      </c>
      <c r="N1162" t="s">
        <v>21</v>
      </c>
      <c r="O1162" t="s">
        <v>190</v>
      </c>
      <c r="P1162" s="1" t="s">
        <v>33</v>
      </c>
      <c r="Q1162">
        <v>113</v>
      </c>
    </row>
    <row r="1163" spans="1:17" x14ac:dyDescent="0.3">
      <c r="A1163">
        <v>2016</v>
      </c>
      <c r="B1163" t="s">
        <v>36</v>
      </c>
      <c r="C1163" t="s">
        <v>97</v>
      </c>
      <c r="D1163" s="1" t="s">
        <v>3</v>
      </c>
      <c r="E1163" s="4">
        <v>127.3</v>
      </c>
      <c r="F1163" s="4">
        <v>126.5</v>
      </c>
      <c r="G1163" s="4">
        <v>124.8</v>
      </c>
      <c r="H1163" s="1" t="s">
        <v>188</v>
      </c>
      <c r="K1163">
        <v>2014</v>
      </c>
      <c r="L1163" t="s">
        <v>45</v>
      </c>
      <c r="M1163" t="s">
        <v>68</v>
      </c>
      <c r="N1163" t="s">
        <v>29</v>
      </c>
      <c r="O1163" t="s">
        <v>206</v>
      </c>
      <c r="P1163" s="1" t="s">
        <v>30</v>
      </c>
      <c r="Q1163">
        <v>120.3</v>
      </c>
    </row>
    <row r="1164" spans="1:17" x14ac:dyDescent="0.3">
      <c r="A1164">
        <v>2016</v>
      </c>
      <c r="B1164" t="s">
        <v>36</v>
      </c>
      <c r="C1164" t="s">
        <v>97</v>
      </c>
      <c r="D1164" s="1" t="s">
        <v>17</v>
      </c>
      <c r="E1164" s="4">
        <v>134.4</v>
      </c>
      <c r="F1164" s="4">
        <v>131.30000000000001</v>
      </c>
      <c r="G1164" s="4">
        <v>126.4</v>
      </c>
      <c r="H1164" s="1" t="s">
        <v>189</v>
      </c>
      <c r="K1164">
        <v>2014</v>
      </c>
      <c r="L1164" t="s">
        <v>45</v>
      </c>
      <c r="M1164" t="s">
        <v>68</v>
      </c>
      <c r="N1164" t="s">
        <v>29</v>
      </c>
      <c r="O1164" t="s">
        <v>206</v>
      </c>
      <c r="P1164" s="1" t="s">
        <v>34</v>
      </c>
      <c r="Q1164">
        <v>119.4</v>
      </c>
    </row>
    <row r="1165" spans="1:17" x14ac:dyDescent="0.3">
      <c r="A1165">
        <v>2016</v>
      </c>
      <c r="B1165" t="s">
        <v>36</v>
      </c>
      <c r="C1165" t="s">
        <v>97</v>
      </c>
      <c r="D1165" s="1" t="s">
        <v>19</v>
      </c>
      <c r="E1165" s="4">
        <v>133.80000000000001</v>
      </c>
      <c r="F1165" s="4">
        <v>130.5</v>
      </c>
      <c r="G1165" s="4">
        <v>125.5</v>
      </c>
      <c r="H1165" s="1" t="s">
        <v>189</v>
      </c>
      <c r="K1165">
        <v>2014</v>
      </c>
      <c r="L1165" t="s">
        <v>45</v>
      </c>
      <c r="M1165" t="s">
        <v>68</v>
      </c>
      <c r="N1165" t="s">
        <v>29</v>
      </c>
      <c r="O1165" t="s">
        <v>206</v>
      </c>
      <c r="P1165" s="1" t="s">
        <v>33</v>
      </c>
      <c r="Q1165">
        <v>118.4</v>
      </c>
    </row>
    <row r="1166" spans="1:17" x14ac:dyDescent="0.3">
      <c r="A1166">
        <v>2016</v>
      </c>
      <c r="B1166" t="s">
        <v>36</v>
      </c>
      <c r="C1166" t="s">
        <v>97</v>
      </c>
      <c r="D1166" s="1" t="s">
        <v>26</v>
      </c>
      <c r="E1166" s="4">
        <v>127.5</v>
      </c>
      <c r="F1166" s="4">
        <v>126.9</v>
      </c>
      <c r="G1166" s="4">
        <v>126.4</v>
      </c>
      <c r="H1166" s="1" t="s">
        <v>26</v>
      </c>
      <c r="K1166">
        <v>2014</v>
      </c>
      <c r="L1166" t="s">
        <v>45</v>
      </c>
      <c r="M1166" t="s">
        <v>68</v>
      </c>
      <c r="N1166" t="s">
        <v>23</v>
      </c>
      <c r="O1166" t="s">
        <v>23</v>
      </c>
      <c r="P1166" s="1" t="s">
        <v>30</v>
      </c>
      <c r="Q1166">
        <v>116.2</v>
      </c>
    </row>
    <row r="1167" spans="1:17" x14ac:dyDescent="0.3">
      <c r="A1167">
        <v>2016</v>
      </c>
      <c r="B1167" t="s">
        <v>36</v>
      </c>
      <c r="C1167" t="s">
        <v>97</v>
      </c>
      <c r="D1167" s="1" t="s">
        <v>5</v>
      </c>
      <c r="E1167" s="4">
        <v>125.1</v>
      </c>
      <c r="F1167" s="4">
        <v>124.6</v>
      </c>
      <c r="G1167" s="4">
        <v>123.7</v>
      </c>
      <c r="H1167" s="1" t="s">
        <v>188</v>
      </c>
      <c r="K1167">
        <v>2014</v>
      </c>
      <c r="L1167" t="s">
        <v>45</v>
      </c>
      <c r="M1167" t="s">
        <v>68</v>
      </c>
      <c r="N1167" t="s">
        <v>23</v>
      </c>
      <c r="O1167" t="s">
        <v>23</v>
      </c>
      <c r="P1167" s="1" t="s">
        <v>34</v>
      </c>
      <c r="Q1167">
        <v>115.1</v>
      </c>
    </row>
    <row r="1168" spans="1:17" x14ac:dyDescent="0.3">
      <c r="A1168">
        <v>2016</v>
      </c>
      <c r="B1168" t="s">
        <v>36</v>
      </c>
      <c r="C1168" t="s">
        <v>97</v>
      </c>
      <c r="D1168" s="1" t="s">
        <v>15</v>
      </c>
      <c r="E1168" s="4">
        <v>130.4</v>
      </c>
      <c r="F1168" s="4">
        <v>129.80000000000001</v>
      </c>
      <c r="G1168" s="4">
        <v>128.9</v>
      </c>
      <c r="H1168" s="1" t="s">
        <v>188</v>
      </c>
      <c r="K1168">
        <v>2014</v>
      </c>
      <c r="L1168" t="s">
        <v>45</v>
      </c>
      <c r="M1168" t="s">
        <v>68</v>
      </c>
      <c r="N1168" t="s">
        <v>23</v>
      </c>
      <c r="O1168" t="s">
        <v>23</v>
      </c>
      <c r="P1168" s="1" t="s">
        <v>33</v>
      </c>
      <c r="Q1168">
        <v>113.2</v>
      </c>
    </row>
    <row r="1169" spans="1:17" x14ac:dyDescent="0.3">
      <c r="A1169">
        <v>2016</v>
      </c>
      <c r="B1169" t="s">
        <v>36</v>
      </c>
      <c r="C1169" t="s">
        <v>97</v>
      </c>
      <c r="D1169" s="1" t="s">
        <v>18</v>
      </c>
      <c r="E1169" s="4">
        <v>130.19999999999999</v>
      </c>
      <c r="F1169" s="4">
        <v>126.1</v>
      </c>
      <c r="G1169" s="4">
        <v>120.3</v>
      </c>
      <c r="H1169" s="1" t="s">
        <v>189</v>
      </c>
      <c r="K1169">
        <v>2014</v>
      </c>
      <c r="L1169" t="s">
        <v>45</v>
      </c>
      <c r="M1169" t="s">
        <v>68</v>
      </c>
      <c r="N1169" t="s">
        <v>22</v>
      </c>
      <c r="O1169" t="s">
        <v>20</v>
      </c>
      <c r="P1169" s="1" t="s">
        <v>30</v>
      </c>
      <c r="Q1169">
        <v>118.2</v>
      </c>
    </row>
    <row r="1170" spans="1:17" x14ac:dyDescent="0.3">
      <c r="A1170">
        <v>2016</v>
      </c>
      <c r="B1170" t="s">
        <v>36</v>
      </c>
      <c r="C1170" t="s">
        <v>97</v>
      </c>
      <c r="D1170" s="1" t="s">
        <v>8</v>
      </c>
      <c r="E1170" s="4">
        <v>131.69999999999999</v>
      </c>
      <c r="F1170" s="4">
        <v>126.2</v>
      </c>
      <c r="G1170" s="4">
        <v>119.9</v>
      </c>
      <c r="H1170" s="1" t="s">
        <v>188</v>
      </c>
      <c r="K1170">
        <v>2014</v>
      </c>
      <c r="L1170" t="s">
        <v>45</v>
      </c>
      <c r="M1170" t="s">
        <v>68</v>
      </c>
      <c r="N1170" t="s">
        <v>22</v>
      </c>
      <c r="O1170" t="s">
        <v>20</v>
      </c>
      <c r="P1170" s="1" t="s">
        <v>34</v>
      </c>
      <c r="Q1170">
        <v>117.5</v>
      </c>
    </row>
    <row r="1171" spans="1:17" x14ac:dyDescent="0.3">
      <c r="A1171">
        <v>2016</v>
      </c>
      <c r="B1171" t="s">
        <v>36</v>
      </c>
      <c r="C1171" t="s">
        <v>97</v>
      </c>
      <c r="D1171" s="1" t="s">
        <v>21</v>
      </c>
      <c r="E1171" s="4">
        <v>127</v>
      </c>
      <c r="F1171" s="4">
        <v>122.4</v>
      </c>
      <c r="G1171" s="4">
        <v>114.8</v>
      </c>
      <c r="H1171" s="1" t="s">
        <v>190</v>
      </c>
      <c r="K1171">
        <v>2014</v>
      </c>
      <c r="L1171" t="s">
        <v>45</v>
      </c>
      <c r="M1171" t="s">
        <v>68</v>
      </c>
      <c r="N1171" t="s">
        <v>22</v>
      </c>
      <c r="O1171" t="s">
        <v>20</v>
      </c>
      <c r="P1171" s="1" t="s">
        <v>33</v>
      </c>
      <c r="Q1171">
        <v>116.8</v>
      </c>
    </row>
    <row r="1172" spans="1:17" x14ac:dyDescent="0.3">
      <c r="A1172">
        <v>2016</v>
      </c>
      <c r="B1172" t="s">
        <v>36</v>
      </c>
      <c r="C1172" t="s">
        <v>97</v>
      </c>
      <c r="D1172" s="1" t="s">
        <v>29</v>
      </c>
      <c r="E1172" s="4">
        <v>128</v>
      </c>
      <c r="F1172" s="4">
        <v>126</v>
      </c>
      <c r="G1172" s="4">
        <v>123.8</v>
      </c>
      <c r="H1172" s="1" t="s">
        <v>206</v>
      </c>
      <c r="K1172">
        <v>2014</v>
      </c>
      <c r="L1172" t="s">
        <v>45</v>
      </c>
      <c r="M1172" t="s">
        <v>68</v>
      </c>
      <c r="N1172" t="s">
        <v>20</v>
      </c>
      <c r="O1172" t="s">
        <v>20</v>
      </c>
      <c r="P1172" s="1" t="s">
        <v>30</v>
      </c>
      <c r="Q1172">
        <v>0</v>
      </c>
    </row>
    <row r="1173" spans="1:17" x14ac:dyDescent="0.3">
      <c r="A1173">
        <v>2016</v>
      </c>
      <c r="B1173" t="s">
        <v>36</v>
      </c>
      <c r="C1173" t="s">
        <v>97</v>
      </c>
      <c r="D1173" s="1" t="s">
        <v>23</v>
      </c>
      <c r="E1173" s="4">
        <v>124.8</v>
      </c>
      <c r="F1173" s="4">
        <v>122.9</v>
      </c>
      <c r="G1173" s="4">
        <v>119.7</v>
      </c>
      <c r="H1173" s="1" t="s">
        <v>23</v>
      </c>
      <c r="K1173">
        <v>2014</v>
      </c>
      <c r="L1173" t="s">
        <v>45</v>
      </c>
      <c r="M1173" t="s">
        <v>68</v>
      </c>
      <c r="N1173" t="s">
        <v>20</v>
      </c>
      <c r="O1173" t="s">
        <v>20</v>
      </c>
      <c r="P1173" s="1" t="s">
        <v>34</v>
      </c>
      <c r="Q1173">
        <v>116.5</v>
      </c>
    </row>
    <row r="1174" spans="1:17" x14ac:dyDescent="0.3">
      <c r="A1174">
        <v>2016</v>
      </c>
      <c r="B1174" t="s">
        <v>36</v>
      </c>
      <c r="C1174" t="s">
        <v>97</v>
      </c>
      <c r="D1174" s="1" t="s">
        <v>22</v>
      </c>
      <c r="E1174" s="4">
        <v>127.7</v>
      </c>
      <c r="F1174" s="4">
        <v>125.1</v>
      </c>
      <c r="G1174" s="4">
        <v>122.3</v>
      </c>
      <c r="H1174" s="1" t="s">
        <v>20</v>
      </c>
      <c r="K1174">
        <v>2014</v>
      </c>
      <c r="L1174" t="s">
        <v>45</v>
      </c>
      <c r="M1174" t="s">
        <v>68</v>
      </c>
      <c r="N1174" t="s">
        <v>20</v>
      </c>
      <c r="O1174" t="s">
        <v>20</v>
      </c>
      <c r="P1174" s="1" t="s">
        <v>33</v>
      </c>
      <c r="Q1174">
        <v>116.5</v>
      </c>
    </row>
    <row r="1175" spans="1:17" x14ac:dyDescent="0.3">
      <c r="A1175">
        <v>2016</v>
      </c>
      <c r="B1175" t="s">
        <v>36</v>
      </c>
      <c r="C1175" t="s">
        <v>97</v>
      </c>
      <c r="D1175" s="1" t="s">
        <v>20</v>
      </c>
      <c r="E1175" s="4">
        <v>0</v>
      </c>
      <c r="F1175" s="4">
        <v>124.9</v>
      </c>
      <c r="G1175" s="4">
        <v>124.9</v>
      </c>
      <c r="H1175" s="1" t="s">
        <v>20</v>
      </c>
      <c r="K1175">
        <v>2014</v>
      </c>
      <c r="L1175" t="s">
        <v>45</v>
      </c>
      <c r="M1175" t="s">
        <v>68</v>
      </c>
      <c r="N1175" t="s">
        <v>4</v>
      </c>
      <c r="O1175" t="s">
        <v>188</v>
      </c>
      <c r="P1175" s="1" t="s">
        <v>30</v>
      </c>
      <c r="Q1175">
        <v>122.4</v>
      </c>
    </row>
    <row r="1176" spans="1:17" x14ac:dyDescent="0.3">
      <c r="A1176">
        <v>2016</v>
      </c>
      <c r="B1176" t="s">
        <v>36</v>
      </c>
      <c r="C1176" t="s">
        <v>97</v>
      </c>
      <c r="D1176" s="1" t="s">
        <v>4</v>
      </c>
      <c r="E1176" s="4">
        <v>134.4</v>
      </c>
      <c r="F1176" s="4">
        <v>135.1</v>
      </c>
      <c r="G1176" s="4">
        <v>136.30000000000001</v>
      </c>
      <c r="H1176" s="1" t="s">
        <v>188</v>
      </c>
      <c r="K1176">
        <v>2014</v>
      </c>
      <c r="L1176" t="s">
        <v>45</v>
      </c>
      <c r="M1176" t="s">
        <v>68</v>
      </c>
      <c r="N1176" t="s">
        <v>4</v>
      </c>
      <c r="O1176" t="s">
        <v>188</v>
      </c>
      <c r="P1176" s="1" t="s">
        <v>34</v>
      </c>
      <c r="Q1176">
        <v>123.2</v>
      </c>
    </row>
    <row r="1177" spans="1:17" x14ac:dyDescent="0.3">
      <c r="A1177">
        <v>2016</v>
      </c>
      <c r="B1177" t="s">
        <v>36</v>
      </c>
      <c r="C1177" t="s">
        <v>97</v>
      </c>
      <c r="D1177" s="1" t="s">
        <v>6</v>
      </c>
      <c r="E1177" s="4">
        <v>130.5</v>
      </c>
      <c r="F1177" s="4">
        <v>130.19999999999999</v>
      </c>
      <c r="G1177" s="4">
        <v>129.69999999999999</v>
      </c>
      <c r="H1177" s="1" t="s">
        <v>188</v>
      </c>
      <c r="K1177">
        <v>2014</v>
      </c>
      <c r="L1177" t="s">
        <v>45</v>
      </c>
      <c r="M1177" t="s">
        <v>68</v>
      </c>
      <c r="N1177" t="s">
        <v>4</v>
      </c>
      <c r="O1177" t="s">
        <v>188</v>
      </c>
      <c r="P1177" s="1" t="s">
        <v>33</v>
      </c>
      <c r="Q1177">
        <v>124.7</v>
      </c>
    </row>
    <row r="1178" spans="1:17" x14ac:dyDescent="0.3">
      <c r="A1178">
        <v>2016</v>
      </c>
      <c r="B1178" t="s">
        <v>36</v>
      </c>
      <c r="C1178" t="s">
        <v>97</v>
      </c>
      <c r="D1178" s="1" t="s">
        <v>28</v>
      </c>
      <c r="E1178" s="4">
        <v>121.1</v>
      </c>
      <c r="F1178" s="4">
        <v>119.3</v>
      </c>
      <c r="G1178" s="4">
        <v>117.3</v>
      </c>
      <c r="H1178" s="1" t="s">
        <v>192</v>
      </c>
      <c r="K1178">
        <v>2014</v>
      </c>
      <c r="L1178" t="s">
        <v>45</v>
      </c>
      <c r="M1178" t="s">
        <v>68</v>
      </c>
      <c r="N1178" t="s">
        <v>6</v>
      </c>
      <c r="O1178" t="s">
        <v>188</v>
      </c>
      <c r="P1178" s="1" t="s">
        <v>30</v>
      </c>
      <c r="Q1178">
        <v>124.2</v>
      </c>
    </row>
    <row r="1179" spans="1:17" x14ac:dyDescent="0.3">
      <c r="A1179">
        <v>2016</v>
      </c>
      <c r="B1179" t="s">
        <v>36</v>
      </c>
      <c r="C1179" t="s">
        <v>97</v>
      </c>
      <c r="D1179" s="1" t="s">
        <v>13</v>
      </c>
      <c r="E1179" s="4">
        <v>124.9</v>
      </c>
      <c r="F1179" s="4">
        <v>123.1</v>
      </c>
      <c r="G1179" s="4">
        <v>120.7</v>
      </c>
      <c r="H1179" s="1" t="s">
        <v>188</v>
      </c>
      <c r="K1179">
        <v>2014</v>
      </c>
      <c r="L1179" t="s">
        <v>45</v>
      </c>
      <c r="M1179" t="s">
        <v>68</v>
      </c>
      <c r="N1179" t="s">
        <v>6</v>
      </c>
      <c r="O1179" t="s">
        <v>188</v>
      </c>
      <c r="P1179" s="1" t="s">
        <v>34</v>
      </c>
      <c r="Q1179">
        <v>124.5</v>
      </c>
    </row>
    <row r="1180" spans="1:17" x14ac:dyDescent="0.3">
      <c r="A1180">
        <v>2016</v>
      </c>
      <c r="B1180" t="s">
        <v>36</v>
      </c>
      <c r="C1180" t="s">
        <v>97</v>
      </c>
      <c r="D1180" s="1" t="s">
        <v>7</v>
      </c>
      <c r="E1180" s="4">
        <v>118.3</v>
      </c>
      <c r="F1180" s="4">
        <v>114.5</v>
      </c>
      <c r="G1180" s="4">
        <v>107.9</v>
      </c>
      <c r="H1180" s="1" t="s">
        <v>188</v>
      </c>
      <c r="K1180">
        <v>2014</v>
      </c>
      <c r="L1180" t="s">
        <v>45</v>
      </c>
      <c r="M1180" t="s">
        <v>68</v>
      </c>
      <c r="N1180" t="s">
        <v>6</v>
      </c>
      <c r="O1180" t="s">
        <v>188</v>
      </c>
      <c r="P1180" s="1" t="s">
        <v>33</v>
      </c>
      <c r="Q1180">
        <v>124.9</v>
      </c>
    </row>
    <row r="1181" spans="1:17" x14ac:dyDescent="0.3">
      <c r="A1181">
        <v>2016</v>
      </c>
      <c r="B1181" t="s">
        <v>36</v>
      </c>
      <c r="C1181" t="s">
        <v>97</v>
      </c>
      <c r="D1181" s="1" t="s">
        <v>16</v>
      </c>
      <c r="E1181" s="4">
        <v>135</v>
      </c>
      <c r="F1181" s="4">
        <v>136.5</v>
      </c>
      <c r="G1181" s="4">
        <v>140.6</v>
      </c>
      <c r="H1181" s="1" t="s">
        <v>192</v>
      </c>
      <c r="K1181">
        <v>2014</v>
      </c>
      <c r="L1181" t="s">
        <v>45</v>
      </c>
      <c r="M1181" t="s">
        <v>68</v>
      </c>
      <c r="N1181" t="s">
        <v>28</v>
      </c>
      <c r="O1181" t="s">
        <v>192</v>
      </c>
      <c r="P1181" s="1" t="s">
        <v>30</v>
      </c>
      <c r="Q1181">
        <v>114.2</v>
      </c>
    </row>
    <row r="1182" spans="1:17" x14ac:dyDescent="0.3">
      <c r="A1182">
        <v>2016</v>
      </c>
      <c r="B1182" t="s">
        <v>36</v>
      </c>
      <c r="C1182" t="s">
        <v>97</v>
      </c>
      <c r="D1182" s="1" t="s">
        <v>27</v>
      </c>
      <c r="E1182" s="4">
        <v>117.4</v>
      </c>
      <c r="F1182" s="4">
        <v>117.3</v>
      </c>
      <c r="G1182" s="4">
        <v>117.1</v>
      </c>
      <c r="H1182" s="1" t="s">
        <v>192</v>
      </c>
      <c r="K1182">
        <v>2014</v>
      </c>
      <c r="L1182" t="s">
        <v>45</v>
      </c>
      <c r="M1182" t="s">
        <v>68</v>
      </c>
      <c r="N1182" t="s">
        <v>28</v>
      </c>
      <c r="O1182" t="s">
        <v>192</v>
      </c>
      <c r="P1182" s="1" t="s">
        <v>34</v>
      </c>
      <c r="Q1182">
        <v>113.8</v>
      </c>
    </row>
    <row r="1183" spans="1:17" x14ac:dyDescent="0.3">
      <c r="A1183">
        <v>2016</v>
      </c>
      <c r="B1183" t="s">
        <v>36</v>
      </c>
      <c r="C1183" t="s">
        <v>97</v>
      </c>
      <c r="D1183" s="1" t="s">
        <v>14</v>
      </c>
      <c r="E1183" s="4">
        <v>137</v>
      </c>
      <c r="F1183" s="4">
        <v>136.30000000000001</v>
      </c>
      <c r="G1183" s="4">
        <v>135.4</v>
      </c>
      <c r="H1183" s="1" t="s">
        <v>188</v>
      </c>
      <c r="K1183">
        <v>2014</v>
      </c>
      <c r="L1183" t="s">
        <v>45</v>
      </c>
      <c r="M1183" t="s">
        <v>68</v>
      </c>
      <c r="N1183" t="s">
        <v>28</v>
      </c>
      <c r="O1183" t="s">
        <v>192</v>
      </c>
      <c r="P1183" s="1" t="s">
        <v>33</v>
      </c>
      <c r="Q1183">
        <v>113.4</v>
      </c>
    </row>
    <row r="1184" spans="1:17" x14ac:dyDescent="0.3">
      <c r="A1184">
        <v>2016</v>
      </c>
      <c r="B1184" t="s">
        <v>36</v>
      </c>
      <c r="C1184" t="s">
        <v>97</v>
      </c>
      <c r="D1184" s="1" t="s">
        <v>10</v>
      </c>
      <c r="E1184" s="4">
        <v>161.19999999999999</v>
      </c>
      <c r="F1184" s="4">
        <v>164.3</v>
      </c>
      <c r="G1184" s="4">
        <v>170.3</v>
      </c>
      <c r="H1184" s="1" t="s">
        <v>188</v>
      </c>
      <c r="K1184">
        <v>2014</v>
      </c>
      <c r="L1184" t="s">
        <v>45</v>
      </c>
      <c r="M1184" t="s">
        <v>68</v>
      </c>
      <c r="N1184" t="s">
        <v>13</v>
      </c>
      <c r="O1184" t="s">
        <v>188</v>
      </c>
      <c r="P1184" s="1" t="s">
        <v>30</v>
      </c>
      <c r="Q1184">
        <v>117.3</v>
      </c>
    </row>
    <row r="1185" spans="1:17" x14ac:dyDescent="0.3">
      <c r="A1185">
        <v>2016</v>
      </c>
      <c r="B1185" t="s">
        <v>36</v>
      </c>
      <c r="C1185" t="s">
        <v>97</v>
      </c>
      <c r="D1185" s="1" t="s">
        <v>25</v>
      </c>
      <c r="E1185" s="4">
        <v>122.5</v>
      </c>
      <c r="F1185" s="4">
        <v>120.6</v>
      </c>
      <c r="G1185" s="4">
        <v>119.1</v>
      </c>
      <c r="H1185" s="1" t="s">
        <v>195</v>
      </c>
      <c r="K1185">
        <v>2014</v>
      </c>
      <c r="L1185" t="s">
        <v>45</v>
      </c>
      <c r="M1185" t="s">
        <v>68</v>
      </c>
      <c r="N1185" t="s">
        <v>13</v>
      </c>
      <c r="O1185" t="s">
        <v>188</v>
      </c>
      <c r="P1185" s="1" t="s">
        <v>34</v>
      </c>
      <c r="Q1185">
        <v>116.8</v>
      </c>
    </row>
    <row r="1186" spans="1:17" x14ac:dyDescent="0.3">
      <c r="A1186">
        <v>2016</v>
      </c>
      <c r="B1186" t="s">
        <v>36</v>
      </c>
      <c r="C1186" t="s">
        <v>97</v>
      </c>
      <c r="D1186" s="1" t="s">
        <v>12</v>
      </c>
      <c r="E1186" s="4">
        <v>130.80000000000001</v>
      </c>
      <c r="F1186" s="4">
        <v>133.9</v>
      </c>
      <c r="G1186" s="4">
        <v>140.1</v>
      </c>
      <c r="H1186" s="1" t="s">
        <v>188</v>
      </c>
      <c r="K1186">
        <v>2014</v>
      </c>
      <c r="L1186" t="s">
        <v>45</v>
      </c>
      <c r="M1186" t="s">
        <v>68</v>
      </c>
      <c r="N1186" t="s">
        <v>13</v>
      </c>
      <c r="O1186" t="s">
        <v>188</v>
      </c>
      <c r="P1186" s="1" t="s">
        <v>33</v>
      </c>
      <c r="Q1186">
        <v>116.1</v>
      </c>
    </row>
    <row r="1187" spans="1:17" x14ac:dyDescent="0.3">
      <c r="A1187">
        <v>2016</v>
      </c>
      <c r="B1187" t="s">
        <v>36</v>
      </c>
      <c r="C1187" t="s">
        <v>97</v>
      </c>
      <c r="D1187" s="1" t="s">
        <v>11</v>
      </c>
      <c r="E1187" s="4">
        <v>100.4</v>
      </c>
      <c r="F1187" s="4">
        <v>100.9</v>
      </c>
      <c r="G1187" s="4">
        <v>101.8</v>
      </c>
      <c r="H1187" s="1" t="s">
        <v>188</v>
      </c>
      <c r="K1187">
        <v>2014</v>
      </c>
      <c r="L1187" t="s">
        <v>45</v>
      </c>
      <c r="M1187" t="s">
        <v>68</v>
      </c>
      <c r="N1187" t="s">
        <v>7</v>
      </c>
      <c r="O1187" t="s">
        <v>188</v>
      </c>
      <c r="P1187" s="1" t="s">
        <v>30</v>
      </c>
      <c r="Q1187">
        <v>110.2</v>
      </c>
    </row>
    <row r="1188" spans="1:17" x14ac:dyDescent="0.3">
      <c r="A1188">
        <v>2016</v>
      </c>
      <c r="B1188" t="s">
        <v>36</v>
      </c>
      <c r="C1188" t="s">
        <v>97</v>
      </c>
      <c r="D1188" s="1" t="s">
        <v>24</v>
      </c>
      <c r="E1188" s="4">
        <v>113.6</v>
      </c>
      <c r="F1188" s="4">
        <v>110.9</v>
      </c>
      <c r="G1188" s="4">
        <v>108.5</v>
      </c>
      <c r="H1188" s="1" t="s">
        <v>191</v>
      </c>
      <c r="K1188">
        <v>2014</v>
      </c>
      <c r="L1188" t="s">
        <v>45</v>
      </c>
      <c r="M1188" t="s">
        <v>68</v>
      </c>
      <c r="N1188" t="s">
        <v>7</v>
      </c>
      <c r="O1188" t="s">
        <v>188</v>
      </c>
      <c r="P1188" s="1" t="s">
        <v>34</v>
      </c>
      <c r="Q1188">
        <v>107.6</v>
      </c>
    </row>
    <row r="1189" spans="1:17" x14ac:dyDescent="0.3">
      <c r="A1189">
        <v>2016</v>
      </c>
      <c r="B1189" t="s">
        <v>36</v>
      </c>
      <c r="C1189" t="s">
        <v>97</v>
      </c>
      <c r="D1189" s="1" t="s">
        <v>9</v>
      </c>
      <c r="E1189" s="4">
        <v>130.69999999999999</v>
      </c>
      <c r="F1189" s="4">
        <v>129.80000000000001</v>
      </c>
      <c r="G1189" s="4">
        <v>128.1</v>
      </c>
      <c r="H1189" s="1" t="s">
        <v>188</v>
      </c>
      <c r="K1189">
        <v>2014</v>
      </c>
      <c r="L1189" t="s">
        <v>45</v>
      </c>
      <c r="M1189" t="s">
        <v>68</v>
      </c>
      <c r="N1189" t="s">
        <v>7</v>
      </c>
      <c r="O1189" t="s">
        <v>188</v>
      </c>
      <c r="P1189" s="1" t="s">
        <v>33</v>
      </c>
      <c r="Q1189">
        <v>103</v>
      </c>
    </row>
    <row r="1190" spans="1:17" x14ac:dyDescent="0.3">
      <c r="A1190">
        <v>2016</v>
      </c>
      <c r="B1190" t="s">
        <v>38</v>
      </c>
      <c r="C1190" t="s">
        <v>98</v>
      </c>
      <c r="D1190" s="1" t="s">
        <v>3</v>
      </c>
      <c r="E1190" s="4">
        <v>127.6</v>
      </c>
      <c r="F1190" s="4">
        <v>126.8</v>
      </c>
      <c r="G1190" s="4">
        <v>125</v>
      </c>
      <c r="H1190" s="1" t="s">
        <v>188</v>
      </c>
      <c r="K1190">
        <v>2014</v>
      </c>
      <c r="L1190" t="s">
        <v>45</v>
      </c>
      <c r="M1190" t="s">
        <v>68</v>
      </c>
      <c r="N1190" t="s">
        <v>16</v>
      </c>
      <c r="O1190" t="s">
        <v>192</v>
      </c>
      <c r="P1190" s="1" t="s">
        <v>30</v>
      </c>
      <c r="Q1190">
        <v>121.7</v>
      </c>
    </row>
    <row r="1191" spans="1:17" x14ac:dyDescent="0.3">
      <c r="A1191">
        <v>2016</v>
      </c>
      <c r="B1191" t="s">
        <v>38</v>
      </c>
      <c r="C1191" t="s">
        <v>98</v>
      </c>
      <c r="D1191" s="1" t="s">
        <v>17</v>
      </c>
      <c r="E1191" s="4">
        <v>135.4</v>
      </c>
      <c r="F1191" s="4">
        <v>132.19999999999999</v>
      </c>
      <c r="G1191" s="4">
        <v>127.2</v>
      </c>
      <c r="H1191" s="1" t="s">
        <v>189</v>
      </c>
      <c r="K1191">
        <v>2014</v>
      </c>
      <c r="L1191" t="s">
        <v>45</v>
      </c>
      <c r="M1191" t="s">
        <v>68</v>
      </c>
      <c r="N1191" t="s">
        <v>16</v>
      </c>
      <c r="O1191" t="s">
        <v>192</v>
      </c>
      <c r="P1191" s="1" t="s">
        <v>34</v>
      </c>
      <c r="Q1191">
        <v>123</v>
      </c>
    </row>
    <row r="1192" spans="1:17" x14ac:dyDescent="0.3">
      <c r="A1192">
        <v>2016</v>
      </c>
      <c r="B1192" t="s">
        <v>38</v>
      </c>
      <c r="C1192" t="s">
        <v>98</v>
      </c>
      <c r="D1192" s="1" t="s">
        <v>19</v>
      </c>
      <c r="E1192" s="4">
        <v>134.80000000000001</v>
      </c>
      <c r="F1192" s="4">
        <v>131.4</v>
      </c>
      <c r="G1192" s="4">
        <v>126.2</v>
      </c>
      <c r="H1192" s="1" t="s">
        <v>189</v>
      </c>
      <c r="K1192">
        <v>2014</v>
      </c>
      <c r="L1192" t="s">
        <v>45</v>
      </c>
      <c r="M1192" t="s">
        <v>68</v>
      </c>
      <c r="N1192" t="s">
        <v>16</v>
      </c>
      <c r="O1192" t="s">
        <v>192</v>
      </c>
      <c r="P1192" s="1" t="s">
        <v>33</v>
      </c>
      <c r="Q1192">
        <v>126.4</v>
      </c>
    </row>
    <row r="1193" spans="1:17" x14ac:dyDescent="0.3">
      <c r="A1193">
        <v>2016</v>
      </c>
      <c r="B1193" t="s">
        <v>38</v>
      </c>
      <c r="C1193" t="s">
        <v>98</v>
      </c>
      <c r="D1193" s="1" t="s">
        <v>26</v>
      </c>
      <c r="E1193" s="4">
        <v>129.1</v>
      </c>
      <c r="F1193" s="4">
        <v>128.5</v>
      </c>
      <c r="G1193" s="4">
        <v>128</v>
      </c>
      <c r="H1193" s="1" t="s">
        <v>26</v>
      </c>
      <c r="K1193">
        <v>2014</v>
      </c>
      <c r="L1193" t="s">
        <v>45</v>
      </c>
      <c r="M1193" t="s">
        <v>68</v>
      </c>
      <c r="N1193" t="s">
        <v>27</v>
      </c>
      <c r="O1193" t="s">
        <v>192</v>
      </c>
      <c r="P1193" s="1" t="s">
        <v>30</v>
      </c>
      <c r="Q1193">
        <v>109.4</v>
      </c>
    </row>
    <row r="1194" spans="1:17" x14ac:dyDescent="0.3">
      <c r="A1194">
        <v>2016</v>
      </c>
      <c r="B1194" t="s">
        <v>38</v>
      </c>
      <c r="C1194" t="s">
        <v>98</v>
      </c>
      <c r="D1194" s="1" t="s">
        <v>5</v>
      </c>
      <c r="E1194" s="4">
        <v>124.4</v>
      </c>
      <c r="F1194" s="4">
        <v>125.4</v>
      </c>
      <c r="G1194" s="4">
        <v>127</v>
      </c>
      <c r="H1194" s="1" t="s">
        <v>188</v>
      </c>
      <c r="K1194">
        <v>2014</v>
      </c>
      <c r="L1194" t="s">
        <v>45</v>
      </c>
      <c r="M1194" t="s">
        <v>68</v>
      </c>
      <c r="N1194" t="s">
        <v>27</v>
      </c>
      <c r="O1194" t="s">
        <v>192</v>
      </c>
      <c r="P1194" s="1" t="s">
        <v>34</v>
      </c>
      <c r="Q1194">
        <v>109.8</v>
      </c>
    </row>
    <row r="1195" spans="1:17" x14ac:dyDescent="0.3">
      <c r="A1195">
        <v>2016</v>
      </c>
      <c r="B1195" t="s">
        <v>38</v>
      </c>
      <c r="C1195" t="s">
        <v>98</v>
      </c>
      <c r="D1195" s="1" t="s">
        <v>15</v>
      </c>
      <c r="E1195" s="4">
        <v>133.6</v>
      </c>
      <c r="F1195" s="4">
        <v>134</v>
      </c>
      <c r="G1195" s="4">
        <v>134.6</v>
      </c>
      <c r="H1195" s="1" t="s">
        <v>188</v>
      </c>
      <c r="K1195">
        <v>2014</v>
      </c>
      <c r="L1195" t="s">
        <v>45</v>
      </c>
      <c r="M1195" t="s">
        <v>68</v>
      </c>
      <c r="N1195" t="s">
        <v>27</v>
      </c>
      <c r="O1195" t="s">
        <v>192</v>
      </c>
      <c r="P1195" s="1" t="s">
        <v>33</v>
      </c>
      <c r="Q1195">
        <v>110.4</v>
      </c>
    </row>
    <row r="1196" spans="1:17" x14ac:dyDescent="0.3">
      <c r="A1196">
        <v>2016</v>
      </c>
      <c r="B1196" t="s">
        <v>38</v>
      </c>
      <c r="C1196" t="s">
        <v>98</v>
      </c>
      <c r="D1196" s="1" t="s">
        <v>18</v>
      </c>
      <c r="E1196" s="4">
        <v>131.1</v>
      </c>
      <c r="F1196" s="4">
        <v>126.8</v>
      </c>
      <c r="G1196" s="4">
        <v>120.7</v>
      </c>
      <c r="H1196" s="1" t="s">
        <v>189</v>
      </c>
      <c r="K1196">
        <v>2014</v>
      </c>
      <c r="L1196" t="s">
        <v>45</v>
      </c>
      <c r="M1196" t="s">
        <v>68</v>
      </c>
      <c r="N1196" t="s">
        <v>14</v>
      </c>
      <c r="O1196" t="s">
        <v>188</v>
      </c>
      <c r="P1196" s="1" t="s">
        <v>30</v>
      </c>
      <c r="Q1196">
        <v>124.8</v>
      </c>
    </row>
    <row r="1197" spans="1:17" x14ac:dyDescent="0.3">
      <c r="A1197">
        <v>2016</v>
      </c>
      <c r="B1197" t="s">
        <v>38</v>
      </c>
      <c r="C1197" t="s">
        <v>98</v>
      </c>
      <c r="D1197" s="1" t="s">
        <v>8</v>
      </c>
      <c r="E1197" s="4">
        <v>138.1</v>
      </c>
      <c r="F1197" s="4">
        <v>136</v>
      </c>
      <c r="G1197" s="4">
        <v>133.5</v>
      </c>
      <c r="H1197" s="1" t="s">
        <v>188</v>
      </c>
      <c r="K1197">
        <v>2014</v>
      </c>
      <c r="L1197" t="s">
        <v>45</v>
      </c>
      <c r="M1197" t="s">
        <v>68</v>
      </c>
      <c r="N1197" t="s">
        <v>14</v>
      </c>
      <c r="O1197" t="s">
        <v>188</v>
      </c>
      <c r="P1197" s="1" t="s">
        <v>34</v>
      </c>
      <c r="Q1197">
        <v>126.1</v>
      </c>
    </row>
    <row r="1198" spans="1:17" x14ac:dyDescent="0.3">
      <c r="A1198">
        <v>2016</v>
      </c>
      <c r="B1198" t="s">
        <v>38</v>
      </c>
      <c r="C1198" t="s">
        <v>98</v>
      </c>
      <c r="D1198" s="1" t="s">
        <v>21</v>
      </c>
      <c r="E1198" s="4">
        <v>127.4</v>
      </c>
      <c r="F1198" s="4">
        <v>122.7</v>
      </c>
      <c r="G1198" s="4">
        <v>115</v>
      </c>
      <c r="H1198" s="1" t="s">
        <v>190</v>
      </c>
      <c r="K1198">
        <v>2014</v>
      </c>
      <c r="L1198" t="s">
        <v>45</v>
      </c>
      <c r="M1198" t="s">
        <v>68</v>
      </c>
      <c r="N1198" t="s">
        <v>14</v>
      </c>
      <c r="O1198" t="s">
        <v>188</v>
      </c>
      <c r="P1198" s="1" t="s">
        <v>33</v>
      </c>
      <c r="Q1198">
        <v>127.6</v>
      </c>
    </row>
    <row r="1199" spans="1:17" x14ac:dyDescent="0.3">
      <c r="A1199">
        <v>2016</v>
      </c>
      <c r="B1199" t="s">
        <v>38</v>
      </c>
      <c r="C1199" t="s">
        <v>98</v>
      </c>
      <c r="D1199" s="1" t="s">
        <v>29</v>
      </c>
      <c r="E1199" s="4">
        <v>130.30000000000001</v>
      </c>
      <c r="F1199" s="4">
        <v>128.6</v>
      </c>
      <c r="G1199" s="4">
        <v>126.6</v>
      </c>
      <c r="H1199" s="1" t="s">
        <v>206</v>
      </c>
      <c r="K1199">
        <v>2014</v>
      </c>
      <c r="L1199" t="s">
        <v>45</v>
      </c>
      <c r="M1199" t="s">
        <v>68</v>
      </c>
      <c r="N1199" t="s">
        <v>10</v>
      </c>
      <c r="O1199" t="s">
        <v>188</v>
      </c>
      <c r="P1199" s="1" t="s">
        <v>30</v>
      </c>
      <c r="Q1199">
        <v>116.3</v>
      </c>
    </row>
    <row r="1200" spans="1:17" x14ac:dyDescent="0.3">
      <c r="A1200">
        <v>2016</v>
      </c>
      <c r="B1200" t="s">
        <v>38</v>
      </c>
      <c r="C1200" t="s">
        <v>98</v>
      </c>
      <c r="D1200" s="1" t="s">
        <v>23</v>
      </c>
      <c r="E1200" s="4">
        <v>125.8</v>
      </c>
      <c r="F1200" s="4">
        <v>123.7</v>
      </c>
      <c r="G1200" s="4">
        <v>120.3</v>
      </c>
      <c r="H1200" s="1" t="s">
        <v>23</v>
      </c>
      <c r="K1200">
        <v>2014</v>
      </c>
      <c r="L1200" t="s">
        <v>45</v>
      </c>
      <c r="M1200" t="s">
        <v>68</v>
      </c>
      <c r="N1200" t="s">
        <v>10</v>
      </c>
      <c r="O1200" t="s">
        <v>188</v>
      </c>
      <c r="P1200" s="1" t="s">
        <v>34</v>
      </c>
      <c r="Q1200">
        <v>117.6</v>
      </c>
    </row>
    <row r="1201" spans="1:17" x14ac:dyDescent="0.3">
      <c r="A1201">
        <v>2016</v>
      </c>
      <c r="B1201" t="s">
        <v>38</v>
      </c>
      <c r="C1201" t="s">
        <v>98</v>
      </c>
      <c r="D1201" s="1" t="s">
        <v>22</v>
      </c>
      <c r="E1201" s="4">
        <v>128.5</v>
      </c>
      <c r="F1201" s="4">
        <v>126</v>
      </c>
      <c r="G1201" s="4">
        <v>123.2</v>
      </c>
      <c r="H1201" s="1" t="s">
        <v>20</v>
      </c>
      <c r="K1201">
        <v>2014</v>
      </c>
      <c r="L1201" t="s">
        <v>45</v>
      </c>
      <c r="M1201" t="s">
        <v>68</v>
      </c>
      <c r="N1201" t="s">
        <v>10</v>
      </c>
      <c r="O1201" t="s">
        <v>188</v>
      </c>
      <c r="P1201" s="1" t="s">
        <v>33</v>
      </c>
      <c r="Q1201">
        <v>120.1</v>
      </c>
    </row>
    <row r="1202" spans="1:17" x14ac:dyDescent="0.3">
      <c r="A1202">
        <v>2016</v>
      </c>
      <c r="B1202" t="s">
        <v>38</v>
      </c>
      <c r="C1202" t="s">
        <v>98</v>
      </c>
      <c r="D1202" s="1" t="s">
        <v>20</v>
      </c>
      <c r="E1202" s="4">
        <v>0</v>
      </c>
      <c r="F1202" s="4">
        <v>126</v>
      </c>
      <c r="G1202" s="4">
        <v>126</v>
      </c>
      <c r="H1202" s="1" t="s">
        <v>20</v>
      </c>
      <c r="K1202">
        <v>2014</v>
      </c>
      <c r="L1202" t="s">
        <v>45</v>
      </c>
      <c r="M1202" t="s">
        <v>68</v>
      </c>
      <c r="N1202" t="s">
        <v>25</v>
      </c>
      <c r="O1202" t="s">
        <v>195</v>
      </c>
      <c r="P1202" s="1" t="s">
        <v>30</v>
      </c>
      <c r="Q1202">
        <v>113.3</v>
      </c>
    </row>
    <row r="1203" spans="1:17" x14ac:dyDescent="0.3">
      <c r="A1203">
        <v>2016</v>
      </c>
      <c r="B1203" t="s">
        <v>38</v>
      </c>
      <c r="C1203" t="s">
        <v>98</v>
      </c>
      <c r="D1203" s="1" t="s">
        <v>4</v>
      </c>
      <c r="E1203" s="4">
        <v>137.5</v>
      </c>
      <c r="F1203" s="4">
        <v>139.1</v>
      </c>
      <c r="G1203" s="4">
        <v>142.1</v>
      </c>
      <c r="H1203" s="1" t="s">
        <v>188</v>
      </c>
      <c r="K1203">
        <v>2014</v>
      </c>
      <c r="L1203" t="s">
        <v>45</v>
      </c>
      <c r="M1203" t="s">
        <v>68</v>
      </c>
      <c r="N1203" t="s">
        <v>25</v>
      </c>
      <c r="O1203" t="s">
        <v>195</v>
      </c>
      <c r="P1203" s="1" t="s">
        <v>34</v>
      </c>
      <c r="Q1203">
        <v>113.9</v>
      </c>
    </row>
    <row r="1204" spans="1:17" x14ac:dyDescent="0.3">
      <c r="A1204">
        <v>2016</v>
      </c>
      <c r="B1204" t="s">
        <v>38</v>
      </c>
      <c r="C1204" t="s">
        <v>98</v>
      </c>
      <c r="D1204" s="1" t="s">
        <v>6</v>
      </c>
      <c r="E1204" s="4">
        <v>132.4</v>
      </c>
      <c r="F1204" s="4">
        <v>131.69999999999999</v>
      </c>
      <c r="G1204" s="4">
        <v>130.4</v>
      </c>
      <c r="H1204" s="1" t="s">
        <v>188</v>
      </c>
      <c r="K1204">
        <v>2014</v>
      </c>
      <c r="L1204" t="s">
        <v>45</v>
      </c>
      <c r="M1204" t="s">
        <v>68</v>
      </c>
      <c r="N1204" t="s">
        <v>25</v>
      </c>
      <c r="O1204" t="s">
        <v>195</v>
      </c>
      <c r="P1204" s="1" t="s">
        <v>33</v>
      </c>
      <c r="Q1204">
        <v>114.3</v>
      </c>
    </row>
    <row r="1205" spans="1:17" x14ac:dyDescent="0.3">
      <c r="A1205">
        <v>2016</v>
      </c>
      <c r="B1205" t="s">
        <v>38</v>
      </c>
      <c r="C1205" t="s">
        <v>98</v>
      </c>
      <c r="D1205" s="1" t="s">
        <v>28</v>
      </c>
      <c r="E1205" s="4">
        <v>122.5</v>
      </c>
      <c r="F1205" s="4">
        <v>120.7</v>
      </c>
      <c r="G1205" s="4">
        <v>118.7</v>
      </c>
      <c r="H1205" s="1" t="s">
        <v>192</v>
      </c>
      <c r="K1205">
        <v>2014</v>
      </c>
      <c r="L1205" t="s">
        <v>45</v>
      </c>
      <c r="M1205" t="s">
        <v>68</v>
      </c>
      <c r="N1205" t="s">
        <v>12</v>
      </c>
      <c r="O1205" t="s">
        <v>188</v>
      </c>
      <c r="P1205" s="1" t="s">
        <v>30</v>
      </c>
      <c r="Q1205">
        <v>116</v>
      </c>
    </row>
    <row r="1206" spans="1:17" x14ac:dyDescent="0.3">
      <c r="A1206">
        <v>2016</v>
      </c>
      <c r="B1206" t="s">
        <v>38</v>
      </c>
      <c r="C1206" t="s">
        <v>98</v>
      </c>
      <c r="D1206" s="1" t="s">
        <v>13</v>
      </c>
      <c r="E1206" s="4">
        <v>126.1</v>
      </c>
      <c r="F1206" s="4">
        <v>124.2</v>
      </c>
      <c r="G1206" s="4">
        <v>121.5</v>
      </c>
      <c r="H1206" s="1" t="s">
        <v>188</v>
      </c>
      <c r="K1206">
        <v>2014</v>
      </c>
      <c r="L1206" t="s">
        <v>45</v>
      </c>
      <c r="M1206" t="s">
        <v>68</v>
      </c>
      <c r="N1206" t="s">
        <v>12</v>
      </c>
      <c r="O1206" t="s">
        <v>188</v>
      </c>
      <c r="P1206" s="1" t="s">
        <v>34</v>
      </c>
      <c r="Q1206">
        <v>119.1</v>
      </c>
    </row>
    <row r="1207" spans="1:17" x14ac:dyDescent="0.3">
      <c r="A1207">
        <v>2016</v>
      </c>
      <c r="B1207" t="s">
        <v>38</v>
      </c>
      <c r="C1207" t="s">
        <v>98</v>
      </c>
      <c r="D1207" s="1" t="s">
        <v>7</v>
      </c>
      <c r="E1207" s="4">
        <v>118.2</v>
      </c>
      <c r="F1207" s="4">
        <v>115</v>
      </c>
      <c r="G1207" s="4">
        <v>109.6</v>
      </c>
      <c r="H1207" s="1" t="s">
        <v>188</v>
      </c>
      <c r="K1207">
        <v>2014</v>
      </c>
      <c r="L1207" t="s">
        <v>45</v>
      </c>
      <c r="M1207" t="s">
        <v>68</v>
      </c>
      <c r="N1207" t="s">
        <v>12</v>
      </c>
      <c r="O1207" t="s">
        <v>188</v>
      </c>
      <c r="P1207" s="1" t="s">
        <v>33</v>
      </c>
      <c r="Q1207">
        <v>125.4</v>
      </c>
    </row>
    <row r="1208" spans="1:17" x14ac:dyDescent="0.3">
      <c r="A1208">
        <v>2016</v>
      </c>
      <c r="B1208" t="s">
        <v>38</v>
      </c>
      <c r="C1208" t="s">
        <v>98</v>
      </c>
      <c r="D1208" s="1" t="s">
        <v>16</v>
      </c>
      <c r="E1208" s="4">
        <v>136</v>
      </c>
      <c r="F1208" s="4">
        <v>137.69999999999999</v>
      </c>
      <c r="G1208" s="4">
        <v>142.19999999999999</v>
      </c>
      <c r="H1208" s="1" t="s">
        <v>192</v>
      </c>
      <c r="K1208">
        <v>2014</v>
      </c>
      <c r="L1208" t="s">
        <v>45</v>
      </c>
      <c r="M1208" t="s">
        <v>68</v>
      </c>
      <c r="N1208" t="s">
        <v>11</v>
      </c>
      <c r="O1208" t="s">
        <v>188</v>
      </c>
      <c r="P1208" s="1" t="s">
        <v>30</v>
      </c>
      <c r="Q1208">
        <v>102</v>
      </c>
    </row>
    <row r="1209" spans="1:17" x14ac:dyDescent="0.3">
      <c r="A1209">
        <v>2016</v>
      </c>
      <c r="B1209" t="s">
        <v>38</v>
      </c>
      <c r="C1209" t="s">
        <v>98</v>
      </c>
      <c r="D1209" s="1" t="s">
        <v>27</v>
      </c>
      <c r="E1209" s="4">
        <v>119.7</v>
      </c>
      <c r="F1209" s="4">
        <v>119.2</v>
      </c>
      <c r="G1209" s="4">
        <v>118.5</v>
      </c>
      <c r="H1209" s="1" t="s">
        <v>192</v>
      </c>
      <c r="K1209">
        <v>2014</v>
      </c>
      <c r="L1209" t="s">
        <v>45</v>
      </c>
      <c r="M1209" t="s">
        <v>68</v>
      </c>
      <c r="N1209" t="s">
        <v>11</v>
      </c>
      <c r="O1209" t="s">
        <v>188</v>
      </c>
      <c r="P1209" s="1" t="s">
        <v>34</v>
      </c>
      <c r="Q1209">
        <v>100.6</v>
      </c>
    </row>
    <row r="1210" spans="1:17" x14ac:dyDescent="0.3">
      <c r="A1210">
        <v>2016</v>
      </c>
      <c r="B1210" t="s">
        <v>38</v>
      </c>
      <c r="C1210" t="s">
        <v>98</v>
      </c>
      <c r="D1210" s="1" t="s">
        <v>14</v>
      </c>
      <c r="E1210" s="4">
        <v>138.30000000000001</v>
      </c>
      <c r="F1210" s="4">
        <v>137.4</v>
      </c>
      <c r="G1210" s="4">
        <v>136.30000000000001</v>
      </c>
      <c r="H1210" s="1" t="s">
        <v>188</v>
      </c>
      <c r="K1210">
        <v>2014</v>
      </c>
      <c r="L1210" t="s">
        <v>45</v>
      </c>
      <c r="M1210" t="s">
        <v>68</v>
      </c>
      <c r="N1210" t="s">
        <v>11</v>
      </c>
      <c r="O1210" t="s">
        <v>188</v>
      </c>
      <c r="P1210" s="1" t="s">
        <v>33</v>
      </c>
      <c r="Q1210">
        <v>97.8</v>
      </c>
    </row>
    <row r="1211" spans="1:17" x14ac:dyDescent="0.3">
      <c r="A1211">
        <v>2016</v>
      </c>
      <c r="B1211" t="s">
        <v>38</v>
      </c>
      <c r="C1211" t="s">
        <v>98</v>
      </c>
      <c r="D1211" s="1" t="s">
        <v>10</v>
      </c>
      <c r="E1211" s="4">
        <v>166</v>
      </c>
      <c r="F1211" s="4">
        <v>171.7</v>
      </c>
      <c r="G1211" s="4">
        <v>182.8</v>
      </c>
      <c r="H1211" s="1" t="s">
        <v>188</v>
      </c>
      <c r="K1211">
        <v>2014</v>
      </c>
      <c r="L1211" t="s">
        <v>45</v>
      </c>
      <c r="M1211" t="s">
        <v>68</v>
      </c>
      <c r="N1211" t="s">
        <v>24</v>
      </c>
      <c r="O1211" t="s">
        <v>191</v>
      </c>
      <c r="P1211" s="1" t="s">
        <v>30</v>
      </c>
      <c r="Q1211">
        <v>111.5</v>
      </c>
    </row>
    <row r="1212" spans="1:17" x14ac:dyDescent="0.3">
      <c r="A1212">
        <v>2016</v>
      </c>
      <c r="B1212" t="s">
        <v>38</v>
      </c>
      <c r="C1212" t="s">
        <v>98</v>
      </c>
      <c r="D1212" s="1" t="s">
        <v>25</v>
      </c>
      <c r="E1212" s="4">
        <v>123.6</v>
      </c>
      <c r="F1212" s="4">
        <v>121.5</v>
      </c>
      <c r="G1212" s="4">
        <v>119.8</v>
      </c>
      <c r="H1212" s="1" t="s">
        <v>195</v>
      </c>
      <c r="K1212">
        <v>2014</v>
      </c>
      <c r="L1212" t="s">
        <v>45</v>
      </c>
      <c r="M1212" t="s">
        <v>68</v>
      </c>
      <c r="N1212" t="s">
        <v>24</v>
      </c>
      <c r="O1212" t="s">
        <v>191</v>
      </c>
      <c r="P1212" s="1" t="s">
        <v>34</v>
      </c>
      <c r="Q1212">
        <v>110.1</v>
      </c>
    </row>
    <row r="1213" spans="1:17" x14ac:dyDescent="0.3">
      <c r="A1213">
        <v>2016</v>
      </c>
      <c r="B1213" t="s">
        <v>38</v>
      </c>
      <c r="C1213" t="s">
        <v>98</v>
      </c>
      <c r="D1213" s="1" t="s">
        <v>12</v>
      </c>
      <c r="E1213" s="4">
        <v>132.19999999999999</v>
      </c>
      <c r="F1213" s="4">
        <v>135.30000000000001</v>
      </c>
      <c r="G1213" s="4">
        <v>141.5</v>
      </c>
      <c r="H1213" s="1" t="s">
        <v>188</v>
      </c>
      <c r="K1213">
        <v>2014</v>
      </c>
      <c r="L1213" t="s">
        <v>45</v>
      </c>
      <c r="M1213" t="s">
        <v>68</v>
      </c>
      <c r="N1213" t="s">
        <v>24</v>
      </c>
      <c r="O1213" t="s">
        <v>191</v>
      </c>
      <c r="P1213" s="1" t="s">
        <v>33</v>
      </c>
      <c r="Q1213">
        <v>108.8</v>
      </c>
    </row>
    <row r="1214" spans="1:17" x14ac:dyDescent="0.3">
      <c r="A1214">
        <v>2016</v>
      </c>
      <c r="B1214" t="s">
        <v>38</v>
      </c>
      <c r="C1214" t="s">
        <v>98</v>
      </c>
      <c r="D1214" s="1" t="s">
        <v>11</v>
      </c>
      <c r="E1214" s="4">
        <v>107.5</v>
      </c>
      <c r="F1214" s="4">
        <v>108.7</v>
      </c>
      <c r="G1214" s="4">
        <v>111.1</v>
      </c>
      <c r="H1214" s="1" t="s">
        <v>188</v>
      </c>
      <c r="K1214">
        <v>2014</v>
      </c>
      <c r="L1214" t="s">
        <v>45</v>
      </c>
      <c r="M1214" t="s">
        <v>68</v>
      </c>
      <c r="N1214" t="s">
        <v>9</v>
      </c>
      <c r="O1214" t="s">
        <v>188</v>
      </c>
      <c r="P1214" s="1" t="s">
        <v>30</v>
      </c>
      <c r="Q1214">
        <v>140.30000000000001</v>
      </c>
    </row>
    <row r="1215" spans="1:17" x14ac:dyDescent="0.3">
      <c r="A1215">
        <v>2016</v>
      </c>
      <c r="B1215" t="s">
        <v>38</v>
      </c>
      <c r="C1215" t="s">
        <v>98</v>
      </c>
      <c r="D1215" s="1" t="s">
        <v>24</v>
      </c>
      <c r="E1215" s="4">
        <v>115.1</v>
      </c>
      <c r="F1215" s="4">
        <v>112.8</v>
      </c>
      <c r="G1215" s="4">
        <v>110.7</v>
      </c>
      <c r="H1215" s="1" t="s">
        <v>191</v>
      </c>
      <c r="K1215">
        <v>2014</v>
      </c>
      <c r="L1215" t="s">
        <v>45</v>
      </c>
      <c r="M1215" t="s">
        <v>68</v>
      </c>
      <c r="N1215" t="s">
        <v>9</v>
      </c>
      <c r="O1215" t="s">
        <v>188</v>
      </c>
      <c r="P1215" s="1" t="s">
        <v>34</v>
      </c>
      <c r="Q1215">
        <v>140.5</v>
      </c>
    </row>
    <row r="1216" spans="1:17" x14ac:dyDescent="0.3">
      <c r="A1216">
        <v>2016</v>
      </c>
      <c r="B1216" t="s">
        <v>38</v>
      </c>
      <c r="C1216" t="s">
        <v>98</v>
      </c>
      <c r="D1216" s="1" t="s">
        <v>9</v>
      </c>
      <c r="E1216" s="4">
        <v>141.80000000000001</v>
      </c>
      <c r="F1216" s="4">
        <v>145.1</v>
      </c>
      <c r="G1216" s="4">
        <v>151.4</v>
      </c>
      <c r="H1216" s="1" t="s">
        <v>188</v>
      </c>
      <c r="K1216">
        <v>2014</v>
      </c>
      <c r="L1216" t="s">
        <v>45</v>
      </c>
      <c r="M1216" t="s">
        <v>68</v>
      </c>
      <c r="N1216" t="s">
        <v>9</v>
      </c>
      <c r="O1216" t="s">
        <v>188</v>
      </c>
      <c r="P1216" s="1" t="s">
        <v>33</v>
      </c>
      <c r="Q1216">
        <v>141</v>
      </c>
    </row>
    <row r="1217" spans="1:17" x14ac:dyDescent="0.3">
      <c r="A1217">
        <v>2016</v>
      </c>
      <c r="B1217" t="s">
        <v>44</v>
      </c>
      <c r="C1217" t="s">
        <v>99</v>
      </c>
      <c r="D1217" s="1" t="s">
        <v>3</v>
      </c>
      <c r="E1217" s="4">
        <v>132</v>
      </c>
      <c r="F1217" s="4">
        <v>131.4</v>
      </c>
      <c r="G1217" s="4">
        <v>130.19999999999999</v>
      </c>
      <c r="H1217" s="1" t="s">
        <v>188</v>
      </c>
      <c r="K1217">
        <v>2014</v>
      </c>
      <c r="L1217" t="s">
        <v>35</v>
      </c>
      <c r="M1217" t="s">
        <v>69</v>
      </c>
      <c r="N1217" t="s">
        <v>3</v>
      </c>
      <c r="O1217" t="s">
        <v>188</v>
      </c>
      <c r="P1217" s="1" t="s">
        <v>30</v>
      </c>
      <c r="Q1217">
        <v>119.4</v>
      </c>
    </row>
    <row r="1218" spans="1:17" x14ac:dyDescent="0.3">
      <c r="A1218">
        <v>2016</v>
      </c>
      <c r="B1218" t="s">
        <v>44</v>
      </c>
      <c r="C1218" t="s">
        <v>99</v>
      </c>
      <c r="D1218" s="1" t="s">
        <v>17</v>
      </c>
      <c r="E1218" s="4">
        <v>139.9</v>
      </c>
      <c r="F1218" s="4">
        <v>135.80000000000001</v>
      </c>
      <c r="G1218" s="4">
        <v>129.6</v>
      </c>
      <c r="H1218" s="1" t="s">
        <v>189</v>
      </c>
      <c r="K1218">
        <v>2014</v>
      </c>
      <c r="L1218" t="s">
        <v>35</v>
      </c>
      <c r="M1218" t="s">
        <v>69</v>
      </c>
      <c r="N1218" t="s">
        <v>3</v>
      </c>
      <c r="O1218" t="s">
        <v>188</v>
      </c>
      <c r="P1218" s="1" t="s">
        <v>34</v>
      </c>
      <c r="Q1218">
        <v>120.2</v>
      </c>
    </row>
    <row r="1219" spans="1:17" x14ac:dyDescent="0.3">
      <c r="A1219">
        <v>2016</v>
      </c>
      <c r="B1219" t="s">
        <v>44</v>
      </c>
      <c r="C1219" t="s">
        <v>99</v>
      </c>
      <c r="D1219" s="1" t="s">
        <v>19</v>
      </c>
      <c r="E1219" s="4">
        <v>139.19999999999999</v>
      </c>
      <c r="F1219" s="4">
        <v>135</v>
      </c>
      <c r="G1219" s="4">
        <v>128.5</v>
      </c>
      <c r="H1219" s="1" t="s">
        <v>189</v>
      </c>
      <c r="K1219">
        <v>2014</v>
      </c>
      <c r="L1219" t="s">
        <v>35</v>
      </c>
      <c r="M1219" t="s">
        <v>69</v>
      </c>
      <c r="N1219" t="s">
        <v>3</v>
      </c>
      <c r="O1219" t="s">
        <v>188</v>
      </c>
      <c r="P1219" s="1" t="s">
        <v>33</v>
      </c>
      <c r="Q1219">
        <v>121.9</v>
      </c>
    </row>
    <row r="1220" spans="1:17" x14ac:dyDescent="0.3">
      <c r="A1220">
        <v>2016</v>
      </c>
      <c r="B1220" t="s">
        <v>44</v>
      </c>
      <c r="C1220" t="s">
        <v>99</v>
      </c>
      <c r="D1220" s="1" t="s">
        <v>26</v>
      </c>
      <c r="E1220" s="4">
        <v>133.69999999999999</v>
      </c>
      <c r="F1220" s="4">
        <v>132.80000000000001</v>
      </c>
      <c r="G1220" s="4">
        <v>132.1</v>
      </c>
      <c r="H1220" s="1" t="s">
        <v>26</v>
      </c>
      <c r="K1220">
        <v>2014</v>
      </c>
      <c r="L1220" t="s">
        <v>35</v>
      </c>
      <c r="M1220" t="s">
        <v>69</v>
      </c>
      <c r="N1220" t="s">
        <v>17</v>
      </c>
      <c r="O1220" t="s">
        <v>189</v>
      </c>
      <c r="P1220" s="1" t="s">
        <v>30</v>
      </c>
      <c r="Q1220">
        <v>117.1</v>
      </c>
    </row>
    <row r="1221" spans="1:17" x14ac:dyDescent="0.3">
      <c r="A1221">
        <v>2016</v>
      </c>
      <c r="B1221" t="s">
        <v>44</v>
      </c>
      <c r="C1221" t="s">
        <v>99</v>
      </c>
      <c r="D1221" s="1" t="s">
        <v>5</v>
      </c>
      <c r="E1221" s="4">
        <v>130.6</v>
      </c>
      <c r="F1221" s="4">
        <v>132</v>
      </c>
      <c r="G1221" s="4">
        <v>134.1</v>
      </c>
      <c r="H1221" s="1" t="s">
        <v>188</v>
      </c>
      <c r="K1221">
        <v>2014</v>
      </c>
      <c r="L1221" t="s">
        <v>35</v>
      </c>
      <c r="M1221" t="s">
        <v>69</v>
      </c>
      <c r="N1221" t="s">
        <v>17</v>
      </c>
      <c r="O1221" t="s">
        <v>189</v>
      </c>
      <c r="P1221" s="1" t="s">
        <v>34</v>
      </c>
      <c r="Q1221">
        <v>116.4</v>
      </c>
    </row>
    <row r="1222" spans="1:17" x14ac:dyDescent="0.3">
      <c r="A1222">
        <v>2016</v>
      </c>
      <c r="B1222" t="s">
        <v>44</v>
      </c>
      <c r="C1222" t="s">
        <v>99</v>
      </c>
      <c r="D1222" s="1" t="s">
        <v>15</v>
      </c>
      <c r="E1222" s="4">
        <v>136.6</v>
      </c>
      <c r="F1222" s="4">
        <v>136.1</v>
      </c>
      <c r="G1222" s="4">
        <v>135.19999999999999</v>
      </c>
      <c r="H1222" s="1" t="s">
        <v>188</v>
      </c>
      <c r="K1222">
        <v>2014</v>
      </c>
      <c r="L1222" t="s">
        <v>35</v>
      </c>
      <c r="M1222" t="s">
        <v>69</v>
      </c>
      <c r="N1222" t="s">
        <v>17</v>
      </c>
      <c r="O1222" t="s">
        <v>189</v>
      </c>
      <c r="P1222" s="1" t="s">
        <v>33</v>
      </c>
      <c r="Q1222">
        <v>115.3</v>
      </c>
    </row>
    <row r="1223" spans="1:17" x14ac:dyDescent="0.3">
      <c r="A1223">
        <v>2016</v>
      </c>
      <c r="B1223" t="s">
        <v>44</v>
      </c>
      <c r="C1223" t="s">
        <v>99</v>
      </c>
      <c r="D1223" s="1" t="s">
        <v>18</v>
      </c>
      <c r="E1223" s="4">
        <v>134.5</v>
      </c>
      <c r="F1223" s="4">
        <v>129.30000000000001</v>
      </c>
      <c r="G1223" s="4">
        <v>122.1</v>
      </c>
      <c r="H1223" s="1" t="s">
        <v>189</v>
      </c>
      <c r="K1223">
        <v>2014</v>
      </c>
      <c r="L1223" t="s">
        <v>35</v>
      </c>
      <c r="M1223" t="s">
        <v>69</v>
      </c>
      <c r="N1223" t="s">
        <v>19</v>
      </c>
      <c r="O1223" t="s">
        <v>189</v>
      </c>
      <c r="P1223" s="1" t="s">
        <v>30</v>
      </c>
      <c r="Q1223">
        <v>116.7</v>
      </c>
    </row>
    <row r="1224" spans="1:17" x14ac:dyDescent="0.3">
      <c r="A1224">
        <v>2016</v>
      </c>
      <c r="B1224" t="s">
        <v>44</v>
      </c>
      <c r="C1224" t="s">
        <v>99</v>
      </c>
      <c r="D1224" s="1" t="s">
        <v>8</v>
      </c>
      <c r="E1224" s="4">
        <v>136.9</v>
      </c>
      <c r="F1224" s="4">
        <v>134.1</v>
      </c>
      <c r="G1224" s="4">
        <v>130.80000000000001</v>
      </c>
      <c r="H1224" s="1" t="s">
        <v>188</v>
      </c>
      <c r="K1224">
        <v>2014</v>
      </c>
      <c r="L1224" t="s">
        <v>35</v>
      </c>
      <c r="M1224" t="s">
        <v>69</v>
      </c>
      <c r="N1224" t="s">
        <v>19</v>
      </c>
      <c r="O1224" t="s">
        <v>189</v>
      </c>
      <c r="P1224" s="1" t="s">
        <v>34</v>
      </c>
      <c r="Q1224">
        <v>115.9</v>
      </c>
    </row>
    <row r="1225" spans="1:17" x14ac:dyDescent="0.3">
      <c r="A1225">
        <v>2016</v>
      </c>
      <c r="B1225" t="s">
        <v>44</v>
      </c>
      <c r="C1225" t="s">
        <v>99</v>
      </c>
      <c r="D1225" s="1" t="s">
        <v>21</v>
      </c>
      <c r="E1225" s="4">
        <v>130.30000000000001</v>
      </c>
      <c r="F1225" s="4">
        <v>125</v>
      </c>
      <c r="G1225" s="4">
        <v>116.2</v>
      </c>
      <c r="H1225" s="1" t="s">
        <v>190</v>
      </c>
      <c r="K1225">
        <v>2014</v>
      </c>
      <c r="L1225" t="s">
        <v>35</v>
      </c>
      <c r="M1225" t="s">
        <v>69</v>
      </c>
      <c r="N1225" t="s">
        <v>19</v>
      </c>
      <c r="O1225" t="s">
        <v>189</v>
      </c>
      <c r="P1225" s="1" t="s">
        <v>33</v>
      </c>
      <c r="Q1225">
        <v>114.7</v>
      </c>
    </row>
    <row r="1226" spans="1:17" x14ac:dyDescent="0.3">
      <c r="A1226">
        <v>2016</v>
      </c>
      <c r="B1226" t="s">
        <v>44</v>
      </c>
      <c r="C1226" t="s">
        <v>99</v>
      </c>
      <c r="D1226" s="1" t="s">
        <v>29</v>
      </c>
      <c r="E1226" s="4">
        <v>133.6</v>
      </c>
      <c r="F1226" s="4">
        <v>131.19999999999999</v>
      </c>
      <c r="G1226" s="4">
        <v>128.5</v>
      </c>
      <c r="H1226" s="1" t="s">
        <v>206</v>
      </c>
      <c r="K1226">
        <v>2014</v>
      </c>
      <c r="L1226" t="s">
        <v>35</v>
      </c>
      <c r="M1226" t="s">
        <v>69</v>
      </c>
      <c r="N1226" t="s">
        <v>26</v>
      </c>
      <c r="O1226" t="s">
        <v>26</v>
      </c>
      <c r="P1226" s="1" t="s">
        <v>30</v>
      </c>
      <c r="Q1226">
        <v>112</v>
      </c>
    </row>
    <row r="1227" spans="1:17" x14ac:dyDescent="0.3">
      <c r="A1227">
        <v>2016</v>
      </c>
      <c r="B1227" t="s">
        <v>44</v>
      </c>
      <c r="C1227" t="s">
        <v>99</v>
      </c>
      <c r="D1227" s="1" t="s">
        <v>23</v>
      </c>
      <c r="E1227" s="4">
        <v>129.1</v>
      </c>
      <c r="F1227" s="4">
        <v>126.4</v>
      </c>
      <c r="G1227" s="4">
        <v>122.1</v>
      </c>
      <c r="H1227" s="1" t="s">
        <v>23</v>
      </c>
      <c r="K1227">
        <v>2014</v>
      </c>
      <c r="L1227" t="s">
        <v>35</v>
      </c>
      <c r="M1227" t="s">
        <v>69</v>
      </c>
      <c r="N1227" t="s">
        <v>26</v>
      </c>
      <c r="O1227" t="s">
        <v>26</v>
      </c>
      <c r="P1227" s="1" t="s">
        <v>34</v>
      </c>
      <c r="Q1227">
        <v>111.8</v>
      </c>
    </row>
    <row r="1228" spans="1:17" x14ac:dyDescent="0.3">
      <c r="A1228">
        <v>2016</v>
      </c>
      <c r="B1228" t="s">
        <v>44</v>
      </c>
      <c r="C1228" t="s">
        <v>99</v>
      </c>
      <c r="D1228" s="1" t="s">
        <v>22</v>
      </c>
      <c r="E1228" s="4">
        <v>132.1</v>
      </c>
      <c r="F1228" s="4">
        <v>128.6</v>
      </c>
      <c r="G1228" s="4">
        <v>124.7</v>
      </c>
      <c r="H1228" s="1" t="s">
        <v>20</v>
      </c>
      <c r="K1228">
        <v>2014</v>
      </c>
      <c r="L1228" t="s">
        <v>35</v>
      </c>
      <c r="M1228" t="s">
        <v>69</v>
      </c>
      <c r="N1228" t="s">
        <v>26</v>
      </c>
      <c r="O1228" t="s">
        <v>26</v>
      </c>
      <c r="P1228" s="1" t="s">
        <v>33</v>
      </c>
      <c r="Q1228">
        <v>111.6</v>
      </c>
    </row>
    <row r="1229" spans="1:17" x14ac:dyDescent="0.3">
      <c r="A1229">
        <v>2016</v>
      </c>
      <c r="B1229" t="s">
        <v>44</v>
      </c>
      <c r="C1229" t="s">
        <v>99</v>
      </c>
      <c r="D1229" s="1" t="s">
        <v>20</v>
      </c>
      <c r="E1229" s="4">
        <v>0</v>
      </c>
      <c r="F1229" s="4">
        <v>129.1</v>
      </c>
      <c r="G1229" s="4">
        <v>129.1</v>
      </c>
      <c r="H1229" s="1" t="s">
        <v>20</v>
      </c>
      <c r="K1229">
        <v>2014</v>
      </c>
      <c r="L1229" t="s">
        <v>35</v>
      </c>
      <c r="M1229" t="s">
        <v>69</v>
      </c>
      <c r="N1229" t="s">
        <v>5</v>
      </c>
      <c r="O1229" t="s">
        <v>188</v>
      </c>
      <c r="P1229" s="1" t="s">
        <v>30</v>
      </c>
      <c r="Q1229">
        <v>121.2</v>
      </c>
    </row>
    <row r="1230" spans="1:17" x14ac:dyDescent="0.3">
      <c r="A1230">
        <v>2016</v>
      </c>
      <c r="B1230" t="s">
        <v>44</v>
      </c>
      <c r="C1230" t="s">
        <v>99</v>
      </c>
      <c r="D1230" s="1" t="s">
        <v>4</v>
      </c>
      <c r="E1230" s="4">
        <v>137.4</v>
      </c>
      <c r="F1230" s="4">
        <v>137.80000000000001</v>
      </c>
      <c r="G1230" s="4">
        <v>138.5</v>
      </c>
      <c r="H1230" s="1" t="s">
        <v>188</v>
      </c>
      <c r="K1230">
        <v>2014</v>
      </c>
      <c r="L1230" t="s">
        <v>35</v>
      </c>
      <c r="M1230" t="s">
        <v>69</v>
      </c>
      <c r="N1230" t="s">
        <v>5</v>
      </c>
      <c r="O1230" t="s">
        <v>188</v>
      </c>
      <c r="P1230" s="1" t="s">
        <v>34</v>
      </c>
      <c r="Q1230">
        <v>122.5</v>
      </c>
    </row>
    <row r="1231" spans="1:17" x14ac:dyDescent="0.3">
      <c r="A1231">
        <v>2016</v>
      </c>
      <c r="B1231" t="s">
        <v>44</v>
      </c>
      <c r="C1231" t="s">
        <v>99</v>
      </c>
      <c r="D1231" s="1" t="s">
        <v>6</v>
      </c>
      <c r="E1231" s="4">
        <v>136.19999999999999</v>
      </c>
      <c r="F1231" s="4">
        <v>135</v>
      </c>
      <c r="G1231" s="4">
        <v>132.9</v>
      </c>
      <c r="H1231" s="1" t="s">
        <v>188</v>
      </c>
      <c r="K1231">
        <v>2014</v>
      </c>
      <c r="L1231" t="s">
        <v>35</v>
      </c>
      <c r="M1231" t="s">
        <v>69</v>
      </c>
      <c r="N1231" t="s">
        <v>5</v>
      </c>
      <c r="O1231" t="s">
        <v>188</v>
      </c>
      <c r="P1231" s="1" t="s">
        <v>33</v>
      </c>
      <c r="Q1231">
        <v>124.5</v>
      </c>
    </row>
    <row r="1232" spans="1:17" x14ac:dyDescent="0.3">
      <c r="A1232">
        <v>2016</v>
      </c>
      <c r="B1232" t="s">
        <v>44</v>
      </c>
      <c r="C1232" t="s">
        <v>99</v>
      </c>
      <c r="D1232" s="1" t="s">
        <v>28</v>
      </c>
      <c r="E1232" s="4">
        <v>126.1</v>
      </c>
      <c r="F1232" s="4">
        <v>123.8</v>
      </c>
      <c r="G1232" s="4">
        <v>121.3</v>
      </c>
      <c r="H1232" s="1" t="s">
        <v>192</v>
      </c>
      <c r="K1232">
        <v>2014</v>
      </c>
      <c r="L1232" t="s">
        <v>35</v>
      </c>
      <c r="M1232" t="s">
        <v>69</v>
      </c>
      <c r="N1232" t="s">
        <v>15</v>
      </c>
      <c r="O1232" t="s">
        <v>188</v>
      </c>
      <c r="P1232" s="1" t="s">
        <v>30</v>
      </c>
      <c r="Q1232">
        <v>115.3</v>
      </c>
    </row>
    <row r="1233" spans="1:17" x14ac:dyDescent="0.3">
      <c r="A1233">
        <v>2016</v>
      </c>
      <c r="B1233" t="s">
        <v>44</v>
      </c>
      <c r="C1233" t="s">
        <v>99</v>
      </c>
      <c r="D1233" s="1" t="s">
        <v>13</v>
      </c>
      <c r="E1233" s="4">
        <v>128.69999999999999</v>
      </c>
      <c r="F1233" s="4">
        <v>126.2</v>
      </c>
      <c r="G1233" s="4">
        <v>122.7</v>
      </c>
      <c r="H1233" s="1" t="s">
        <v>188</v>
      </c>
      <c r="K1233">
        <v>2014</v>
      </c>
      <c r="L1233" t="s">
        <v>35</v>
      </c>
      <c r="M1233" t="s">
        <v>69</v>
      </c>
      <c r="N1233" t="s">
        <v>15</v>
      </c>
      <c r="O1233" t="s">
        <v>188</v>
      </c>
      <c r="P1233" s="1" t="s">
        <v>34</v>
      </c>
      <c r="Q1233">
        <v>115.3</v>
      </c>
    </row>
    <row r="1234" spans="1:17" x14ac:dyDescent="0.3">
      <c r="A1234">
        <v>2016</v>
      </c>
      <c r="B1234" t="s">
        <v>44</v>
      </c>
      <c r="C1234" t="s">
        <v>99</v>
      </c>
      <c r="D1234" s="1" t="s">
        <v>7</v>
      </c>
      <c r="E1234" s="4">
        <v>121.1</v>
      </c>
      <c r="F1234" s="4">
        <v>118</v>
      </c>
      <c r="G1234" s="4">
        <v>112.6</v>
      </c>
      <c r="H1234" s="1" t="s">
        <v>188</v>
      </c>
      <c r="K1234">
        <v>2014</v>
      </c>
      <c r="L1234" t="s">
        <v>35</v>
      </c>
      <c r="M1234" t="s">
        <v>69</v>
      </c>
      <c r="N1234" t="s">
        <v>15</v>
      </c>
      <c r="O1234" t="s">
        <v>188</v>
      </c>
      <c r="P1234" s="1" t="s">
        <v>33</v>
      </c>
      <c r="Q1234">
        <v>115.2</v>
      </c>
    </row>
    <row r="1235" spans="1:17" x14ac:dyDescent="0.3">
      <c r="A1235">
        <v>2016</v>
      </c>
      <c r="B1235" t="s">
        <v>44</v>
      </c>
      <c r="C1235" t="s">
        <v>99</v>
      </c>
      <c r="D1235" s="1" t="s">
        <v>16</v>
      </c>
      <c r="E1235" s="4">
        <v>141.19999999999999</v>
      </c>
      <c r="F1235" s="4">
        <v>142</v>
      </c>
      <c r="G1235" s="4">
        <v>144.30000000000001</v>
      </c>
      <c r="H1235" s="1" t="s">
        <v>192</v>
      </c>
      <c r="K1235">
        <v>2014</v>
      </c>
      <c r="L1235" t="s">
        <v>35</v>
      </c>
      <c r="M1235" t="s">
        <v>69</v>
      </c>
      <c r="N1235" t="s">
        <v>18</v>
      </c>
      <c r="O1235" t="s">
        <v>189</v>
      </c>
      <c r="P1235" s="1" t="s">
        <v>30</v>
      </c>
      <c r="Q1235">
        <v>114.5</v>
      </c>
    </row>
    <row r="1236" spans="1:17" x14ac:dyDescent="0.3">
      <c r="A1236">
        <v>2016</v>
      </c>
      <c r="B1236" t="s">
        <v>44</v>
      </c>
      <c r="C1236" t="s">
        <v>99</v>
      </c>
      <c r="D1236" s="1" t="s">
        <v>27</v>
      </c>
      <c r="E1236" s="4">
        <v>123.5</v>
      </c>
      <c r="F1236" s="4">
        <v>122.6</v>
      </c>
      <c r="G1236" s="4">
        <v>121.3</v>
      </c>
      <c r="H1236" s="1" t="s">
        <v>192</v>
      </c>
      <c r="K1236">
        <v>2014</v>
      </c>
      <c r="L1236" t="s">
        <v>35</v>
      </c>
      <c r="M1236" t="s">
        <v>69</v>
      </c>
      <c r="N1236" t="s">
        <v>18</v>
      </c>
      <c r="O1236" t="s">
        <v>189</v>
      </c>
      <c r="P1236" s="1" t="s">
        <v>34</v>
      </c>
      <c r="Q1236">
        <v>113.3</v>
      </c>
    </row>
    <row r="1237" spans="1:17" x14ac:dyDescent="0.3">
      <c r="A1237">
        <v>2016</v>
      </c>
      <c r="B1237" t="s">
        <v>44</v>
      </c>
      <c r="C1237" t="s">
        <v>99</v>
      </c>
      <c r="D1237" s="1" t="s">
        <v>14</v>
      </c>
      <c r="E1237" s="4">
        <v>143.1</v>
      </c>
      <c r="F1237" s="4">
        <v>141.80000000000001</v>
      </c>
      <c r="G1237" s="4">
        <v>140.30000000000001</v>
      </c>
      <c r="H1237" s="1" t="s">
        <v>188</v>
      </c>
      <c r="K1237">
        <v>2014</v>
      </c>
      <c r="L1237" t="s">
        <v>35</v>
      </c>
      <c r="M1237" t="s">
        <v>69</v>
      </c>
      <c r="N1237" t="s">
        <v>18</v>
      </c>
      <c r="O1237" t="s">
        <v>189</v>
      </c>
      <c r="P1237" s="1" t="s">
        <v>33</v>
      </c>
      <c r="Q1237">
        <v>111.7</v>
      </c>
    </row>
    <row r="1238" spans="1:17" x14ac:dyDescent="0.3">
      <c r="A1238">
        <v>2016</v>
      </c>
      <c r="B1238" t="s">
        <v>44</v>
      </c>
      <c r="C1238" t="s">
        <v>99</v>
      </c>
      <c r="D1238" s="1" t="s">
        <v>10</v>
      </c>
      <c r="E1238" s="4">
        <v>170</v>
      </c>
      <c r="F1238" s="4">
        <v>171.7</v>
      </c>
      <c r="G1238" s="4">
        <v>174.9</v>
      </c>
      <c r="H1238" s="1" t="s">
        <v>188</v>
      </c>
      <c r="K1238">
        <v>2014</v>
      </c>
      <c r="L1238" t="s">
        <v>35</v>
      </c>
      <c r="M1238" t="s">
        <v>69</v>
      </c>
      <c r="N1238" t="s">
        <v>8</v>
      </c>
      <c r="O1238" t="s">
        <v>188</v>
      </c>
      <c r="P1238" s="1" t="s">
        <v>30</v>
      </c>
      <c r="Q1238">
        <v>116.6</v>
      </c>
    </row>
    <row r="1239" spans="1:17" x14ac:dyDescent="0.3">
      <c r="A1239">
        <v>2016</v>
      </c>
      <c r="B1239" t="s">
        <v>44</v>
      </c>
      <c r="C1239" t="s">
        <v>99</v>
      </c>
      <c r="D1239" s="1" t="s">
        <v>25</v>
      </c>
      <c r="E1239" s="4">
        <v>126.9</v>
      </c>
      <c r="F1239" s="4">
        <v>124</v>
      </c>
      <c r="G1239" s="4">
        <v>121.7</v>
      </c>
      <c r="H1239" s="1" t="s">
        <v>195</v>
      </c>
      <c r="K1239">
        <v>2014</v>
      </c>
      <c r="L1239" t="s">
        <v>35</v>
      </c>
      <c r="M1239" t="s">
        <v>69</v>
      </c>
      <c r="N1239" t="s">
        <v>8</v>
      </c>
      <c r="O1239" t="s">
        <v>188</v>
      </c>
      <c r="P1239" s="1" t="s">
        <v>34</v>
      </c>
      <c r="Q1239">
        <v>115.4</v>
      </c>
    </row>
    <row r="1240" spans="1:17" x14ac:dyDescent="0.3">
      <c r="A1240">
        <v>2016</v>
      </c>
      <c r="B1240" t="s">
        <v>44</v>
      </c>
      <c r="C1240" t="s">
        <v>99</v>
      </c>
      <c r="D1240" s="1" t="s">
        <v>12</v>
      </c>
      <c r="E1240" s="4">
        <v>136.80000000000001</v>
      </c>
      <c r="F1240" s="4">
        <v>139.69999999999999</v>
      </c>
      <c r="G1240" s="4">
        <v>145.4</v>
      </c>
      <c r="H1240" s="1" t="s">
        <v>188</v>
      </c>
      <c r="K1240">
        <v>2014</v>
      </c>
      <c r="L1240" t="s">
        <v>35</v>
      </c>
      <c r="M1240" t="s">
        <v>69</v>
      </c>
      <c r="N1240" t="s">
        <v>8</v>
      </c>
      <c r="O1240" t="s">
        <v>188</v>
      </c>
      <c r="P1240" s="1" t="s">
        <v>33</v>
      </c>
      <c r="Q1240">
        <v>114.1</v>
      </c>
    </row>
    <row r="1241" spans="1:17" x14ac:dyDescent="0.3">
      <c r="A1241">
        <v>2016</v>
      </c>
      <c r="B1241" t="s">
        <v>44</v>
      </c>
      <c r="C1241" t="s">
        <v>99</v>
      </c>
      <c r="D1241" s="1" t="s">
        <v>11</v>
      </c>
      <c r="E1241" s="4">
        <v>113.4</v>
      </c>
      <c r="F1241" s="4">
        <v>114.1</v>
      </c>
      <c r="G1241" s="4">
        <v>115.6</v>
      </c>
      <c r="H1241" s="1" t="s">
        <v>188</v>
      </c>
      <c r="K1241">
        <v>2014</v>
      </c>
      <c r="L1241" t="s">
        <v>35</v>
      </c>
      <c r="M1241" t="s">
        <v>69</v>
      </c>
      <c r="N1241" t="s">
        <v>21</v>
      </c>
      <c r="O1241" t="s">
        <v>190</v>
      </c>
      <c r="P1241" s="1" t="s">
        <v>30</v>
      </c>
      <c r="Q1241">
        <v>113.2</v>
      </c>
    </row>
    <row r="1242" spans="1:17" x14ac:dyDescent="0.3">
      <c r="A1242">
        <v>2016</v>
      </c>
      <c r="B1242" t="s">
        <v>44</v>
      </c>
      <c r="C1242" t="s">
        <v>99</v>
      </c>
      <c r="D1242" s="1" t="s">
        <v>24</v>
      </c>
      <c r="E1242" s="4">
        <v>118.2</v>
      </c>
      <c r="F1242" s="4">
        <v>115.7</v>
      </c>
      <c r="G1242" s="4">
        <v>113.4</v>
      </c>
      <c r="H1242" s="1" t="s">
        <v>191</v>
      </c>
      <c r="K1242">
        <v>2014</v>
      </c>
      <c r="L1242" t="s">
        <v>35</v>
      </c>
      <c r="M1242" t="s">
        <v>69</v>
      </c>
      <c r="N1242" t="s">
        <v>21</v>
      </c>
      <c r="O1242" t="s">
        <v>190</v>
      </c>
      <c r="P1242" s="1" t="s">
        <v>34</v>
      </c>
      <c r="Q1242">
        <v>112.4</v>
      </c>
    </row>
    <row r="1243" spans="1:17" x14ac:dyDescent="0.3">
      <c r="A1243">
        <v>2016</v>
      </c>
      <c r="B1243" t="s">
        <v>44</v>
      </c>
      <c r="C1243" t="s">
        <v>99</v>
      </c>
      <c r="D1243" s="1" t="s">
        <v>9</v>
      </c>
      <c r="E1243" s="4">
        <v>141.80000000000001</v>
      </c>
      <c r="F1243" s="4">
        <v>141.9</v>
      </c>
      <c r="G1243" s="4">
        <v>142</v>
      </c>
      <c r="H1243" s="1" t="s">
        <v>188</v>
      </c>
      <c r="K1243">
        <v>2014</v>
      </c>
      <c r="L1243" t="s">
        <v>35</v>
      </c>
      <c r="M1243" t="s">
        <v>69</v>
      </c>
      <c r="N1243" t="s">
        <v>21</v>
      </c>
      <c r="O1243" t="s">
        <v>190</v>
      </c>
      <c r="P1243" s="1" t="s">
        <v>33</v>
      </c>
      <c r="Q1243">
        <v>111.1</v>
      </c>
    </row>
    <row r="1244" spans="1:17" x14ac:dyDescent="0.3">
      <c r="A1244">
        <v>2016</v>
      </c>
      <c r="B1244" t="s">
        <v>43</v>
      </c>
      <c r="C1244" t="s">
        <v>100</v>
      </c>
      <c r="D1244" s="1" t="s">
        <v>3</v>
      </c>
      <c r="E1244" s="4">
        <v>131.30000000000001</v>
      </c>
      <c r="F1244" s="4">
        <v>130.5</v>
      </c>
      <c r="G1244" s="4">
        <v>128.69999999999999</v>
      </c>
      <c r="H1244" s="1" t="s">
        <v>188</v>
      </c>
      <c r="K1244">
        <v>2014</v>
      </c>
      <c r="L1244" t="s">
        <v>35</v>
      </c>
      <c r="M1244" t="s">
        <v>69</v>
      </c>
      <c r="N1244" t="s">
        <v>29</v>
      </c>
      <c r="O1244" t="s">
        <v>206</v>
      </c>
      <c r="P1244" s="1" t="s">
        <v>30</v>
      </c>
      <c r="Q1244">
        <v>114</v>
      </c>
    </row>
    <row r="1245" spans="1:17" x14ac:dyDescent="0.3">
      <c r="A1245">
        <v>2016</v>
      </c>
      <c r="B1245" t="s">
        <v>43</v>
      </c>
      <c r="C1245" t="s">
        <v>100</v>
      </c>
      <c r="D1245" s="1" t="s">
        <v>17</v>
      </c>
      <c r="E1245" s="4">
        <v>139.6</v>
      </c>
      <c r="F1245" s="4">
        <v>135.5</v>
      </c>
      <c r="G1245" s="4">
        <v>129.1</v>
      </c>
      <c r="H1245" s="1" t="s">
        <v>189</v>
      </c>
      <c r="K1245">
        <v>2014</v>
      </c>
      <c r="L1245" t="s">
        <v>35</v>
      </c>
      <c r="M1245" t="s">
        <v>69</v>
      </c>
      <c r="N1245" t="s">
        <v>29</v>
      </c>
      <c r="O1245" t="s">
        <v>206</v>
      </c>
      <c r="P1245" s="1" t="s">
        <v>34</v>
      </c>
      <c r="Q1245">
        <v>113.6</v>
      </c>
    </row>
    <row r="1246" spans="1:17" x14ac:dyDescent="0.3">
      <c r="A1246">
        <v>2016</v>
      </c>
      <c r="B1246" t="s">
        <v>43</v>
      </c>
      <c r="C1246" t="s">
        <v>100</v>
      </c>
      <c r="D1246" s="1" t="s">
        <v>19</v>
      </c>
      <c r="E1246" s="4">
        <v>138.80000000000001</v>
      </c>
      <c r="F1246" s="4">
        <v>134.5</v>
      </c>
      <c r="G1246" s="4">
        <v>128</v>
      </c>
      <c r="H1246" s="1" t="s">
        <v>189</v>
      </c>
      <c r="K1246">
        <v>2014</v>
      </c>
      <c r="L1246" t="s">
        <v>35</v>
      </c>
      <c r="M1246" t="s">
        <v>69</v>
      </c>
      <c r="N1246" t="s">
        <v>29</v>
      </c>
      <c r="O1246" t="s">
        <v>206</v>
      </c>
      <c r="P1246" s="1" t="s">
        <v>33</v>
      </c>
      <c r="Q1246">
        <v>113.1</v>
      </c>
    </row>
    <row r="1247" spans="1:17" x14ac:dyDescent="0.3">
      <c r="A1247">
        <v>2016</v>
      </c>
      <c r="B1247" t="s">
        <v>43</v>
      </c>
      <c r="C1247" t="s">
        <v>100</v>
      </c>
      <c r="D1247" s="1" t="s">
        <v>26</v>
      </c>
      <c r="E1247" s="4">
        <v>133</v>
      </c>
      <c r="F1247" s="4">
        <v>132.4</v>
      </c>
      <c r="G1247" s="4">
        <v>131.9</v>
      </c>
      <c r="H1247" s="1" t="s">
        <v>26</v>
      </c>
      <c r="K1247">
        <v>2014</v>
      </c>
      <c r="L1247" t="s">
        <v>35</v>
      </c>
      <c r="M1247" t="s">
        <v>69</v>
      </c>
      <c r="N1247" t="s">
        <v>23</v>
      </c>
      <c r="O1247" t="s">
        <v>23</v>
      </c>
      <c r="P1247" s="1" t="s">
        <v>30</v>
      </c>
      <c r="Q1247">
        <v>110.9</v>
      </c>
    </row>
    <row r="1248" spans="1:17" x14ac:dyDescent="0.3">
      <c r="A1248">
        <v>2016</v>
      </c>
      <c r="B1248" t="s">
        <v>43</v>
      </c>
      <c r="C1248" t="s">
        <v>100</v>
      </c>
      <c r="D1248" s="1" t="s">
        <v>5</v>
      </c>
      <c r="E1248" s="4">
        <v>130.1</v>
      </c>
      <c r="F1248" s="4">
        <v>130.19999999999999</v>
      </c>
      <c r="G1248" s="4">
        <v>130.30000000000001</v>
      </c>
      <c r="H1248" s="1" t="s">
        <v>188</v>
      </c>
      <c r="K1248">
        <v>2014</v>
      </c>
      <c r="L1248" t="s">
        <v>35</v>
      </c>
      <c r="M1248" t="s">
        <v>69</v>
      </c>
      <c r="N1248" t="s">
        <v>23</v>
      </c>
      <c r="O1248" t="s">
        <v>23</v>
      </c>
      <c r="P1248" s="1" t="s">
        <v>34</v>
      </c>
      <c r="Q1248">
        <v>110.7</v>
      </c>
    </row>
    <row r="1249" spans="1:17" x14ac:dyDescent="0.3">
      <c r="A1249">
        <v>2016</v>
      </c>
      <c r="B1249" t="s">
        <v>43</v>
      </c>
      <c r="C1249" t="s">
        <v>100</v>
      </c>
      <c r="D1249" s="1" t="s">
        <v>15</v>
      </c>
      <c r="E1249" s="4">
        <v>137.4</v>
      </c>
      <c r="F1249" s="4">
        <v>137</v>
      </c>
      <c r="G1249" s="4">
        <v>136.30000000000001</v>
      </c>
      <c r="H1249" s="1" t="s">
        <v>188</v>
      </c>
      <c r="K1249">
        <v>2014</v>
      </c>
      <c r="L1249" t="s">
        <v>35</v>
      </c>
      <c r="M1249" t="s">
        <v>69</v>
      </c>
      <c r="N1249" t="s">
        <v>23</v>
      </c>
      <c r="O1249" t="s">
        <v>23</v>
      </c>
      <c r="P1249" s="1" t="s">
        <v>33</v>
      </c>
      <c r="Q1249">
        <v>110.4</v>
      </c>
    </row>
    <row r="1250" spans="1:17" x14ac:dyDescent="0.3">
      <c r="A1250">
        <v>2016</v>
      </c>
      <c r="B1250" t="s">
        <v>43</v>
      </c>
      <c r="C1250" t="s">
        <v>100</v>
      </c>
      <c r="D1250" s="1" t="s">
        <v>18</v>
      </c>
      <c r="E1250" s="4">
        <v>134.30000000000001</v>
      </c>
      <c r="F1250" s="4">
        <v>129.1</v>
      </c>
      <c r="G1250" s="4">
        <v>121.9</v>
      </c>
      <c r="H1250" s="1" t="s">
        <v>189</v>
      </c>
      <c r="K1250">
        <v>2014</v>
      </c>
      <c r="L1250" t="s">
        <v>35</v>
      </c>
      <c r="M1250" t="s">
        <v>69</v>
      </c>
      <c r="N1250" t="s">
        <v>22</v>
      </c>
      <c r="O1250" t="s">
        <v>20</v>
      </c>
      <c r="P1250" s="1" t="s">
        <v>30</v>
      </c>
      <c r="Q1250">
        <v>112.9</v>
      </c>
    </row>
    <row r="1251" spans="1:17" x14ac:dyDescent="0.3">
      <c r="A1251">
        <v>2016</v>
      </c>
      <c r="B1251" t="s">
        <v>43</v>
      </c>
      <c r="C1251" t="s">
        <v>100</v>
      </c>
      <c r="D1251" s="1" t="s">
        <v>8</v>
      </c>
      <c r="E1251" s="4">
        <v>138.4</v>
      </c>
      <c r="F1251" s="4">
        <v>134.69999999999999</v>
      </c>
      <c r="G1251" s="4">
        <v>130.4</v>
      </c>
      <c r="H1251" s="1" t="s">
        <v>188</v>
      </c>
      <c r="K1251">
        <v>2014</v>
      </c>
      <c r="L1251" t="s">
        <v>35</v>
      </c>
      <c r="M1251" t="s">
        <v>69</v>
      </c>
      <c r="N1251" t="s">
        <v>22</v>
      </c>
      <c r="O1251" t="s">
        <v>20</v>
      </c>
      <c r="P1251" s="1" t="s">
        <v>34</v>
      </c>
      <c r="Q1251">
        <v>112.8</v>
      </c>
    </row>
    <row r="1252" spans="1:17" x14ac:dyDescent="0.3">
      <c r="A1252">
        <v>2016</v>
      </c>
      <c r="B1252" t="s">
        <v>43</v>
      </c>
      <c r="C1252" t="s">
        <v>100</v>
      </c>
      <c r="D1252" s="1" t="s">
        <v>21</v>
      </c>
      <c r="E1252" s="4">
        <v>129.80000000000001</v>
      </c>
      <c r="F1252" s="4">
        <v>124.3</v>
      </c>
      <c r="G1252" s="4">
        <v>115.2</v>
      </c>
      <c r="H1252" s="1" t="s">
        <v>190</v>
      </c>
      <c r="K1252">
        <v>2014</v>
      </c>
      <c r="L1252" t="s">
        <v>35</v>
      </c>
      <c r="M1252" t="s">
        <v>69</v>
      </c>
      <c r="N1252" t="s">
        <v>22</v>
      </c>
      <c r="O1252" t="s">
        <v>20</v>
      </c>
      <c r="P1252" s="1" t="s">
        <v>33</v>
      </c>
      <c r="Q1252">
        <v>112.6</v>
      </c>
    </row>
    <row r="1253" spans="1:17" x14ac:dyDescent="0.3">
      <c r="A1253">
        <v>2016</v>
      </c>
      <c r="B1253" t="s">
        <v>43</v>
      </c>
      <c r="C1253" t="s">
        <v>100</v>
      </c>
      <c r="D1253" s="1" t="s">
        <v>29</v>
      </c>
      <c r="E1253" s="4">
        <v>133.80000000000001</v>
      </c>
      <c r="F1253" s="4">
        <v>131.4</v>
      </c>
      <c r="G1253" s="4">
        <v>128.6</v>
      </c>
      <c r="H1253" s="1" t="s">
        <v>206</v>
      </c>
      <c r="K1253">
        <v>2014</v>
      </c>
      <c r="L1253" t="s">
        <v>35</v>
      </c>
      <c r="M1253" t="s">
        <v>69</v>
      </c>
      <c r="N1253" t="s">
        <v>20</v>
      </c>
      <c r="O1253" t="s">
        <v>20</v>
      </c>
      <c r="P1253" s="1" t="s">
        <v>30</v>
      </c>
      <c r="Q1253">
        <v>0</v>
      </c>
    </row>
    <row r="1254" spans="1:17" x14ac:dyDescent="0.3">
      <c r="A1254">
        <v>2016</v>
      </c>
      <c r="B1254" t="s">
        <v>43</v>
      </c>
      <c r="C1254" t="s">
        <v>100</v>
      </c>
      <c r="D1254" s="1" t="s">
        <v>23</v>
      </c>
      <c r="E1254" s="4">
        <v>128.69999999999999</v>
      </c>
      <c r="F1254" s="4">
        <v>126.1</v>
      </c>
      <c r="G1254" s="4">
        <v>121.8</v>
      </c>
      <c r="H1254" s="1" t="s">
        <v>23</v>
      </c>
      <c r="K1254">
        <v>2014</v>
      </c>
      <c r="L1254" t="s">
        <v>35</v>
      </c>
      <c r="M1254" t="s">
        <v>69</v>
      </c>
      <c r="N1254" t="s">
        <v>20</v>
      </c>
      <c r="O1254" t="s">
        <v>20</v>
      </c>
      <c r="P1254" s="1" t="s">
        <v>34</v>
      </c>
      <c r="Q1254">
        <v>112.5</v>
      </c>
    </row>
    <row r="1255" spans="1:17" x14ac:dyDescent="0.3">
      <c r="A1255">
        <v>2016</v>
      </c>
      <c r="B1255" t="s">
        <v>43</v>
      </c>
      <c r="C1255" t="s">
        <v>100</v>
      </c>
      <c r="D1255" s="1" t="s">
        <v>22</v>
      </c>
      <c r="E1255" s="4">
        <v>131.80000000000001</v>
      </c>
      <c r="F1255" s="4">
        <v>128.4</v>
      </c>
      <c r="G1255" s="4">
        <v>124.5</v>
      </c>
      <c r="H1255" s="1" t="s">
        <v>20</v>
      </c>
      <c r="K1255">
        <v>2014</v>
      </c>
      <c r="L1255" t="s">
        <v>35</v>
      </c>
      <c r="M1255" t="s">
        <v>69</v>
      </c>
      <c r="N1255" t="s">
        <v>20</v>
      </c>
      <c r="O1255" t="s">
        <v>20</v>
      </c>
      <c r="P1255" s="1" t="s">
        <v>33</v>
      </c>
      <c r="Q1255">
        <v>112.5</v>
      </c>
    </row>
    <row r="1256" spans="1:17" x14ac:dyDescent="0.3">
      <c r="A1256">
        <v>2016</v>
      </c>
      <c r="B1256" t="s">
        <v>43</v>
      </c>
      <c r="C1256" t="s">
        <v>100</v>
      </c>
      <c r="D1256" s="1" t="s">
        <v>20</v>
      </c>
      <c r="E1256" s="4">
        <v>0</v>
      </c>
      <c r="F1256" s="4">
        <v>128.69999999999999</v>
      </c>
      <c r="G1256" s="4">
        <v>128.69999999999999</v>
      </c>
      <c r="H1256" s="1" t="s">
        <v>20</v>
      </c>
      <c r="K1256">
        <v>2014</v>
      </c>
      <c r="L1256" t="s">
        <v>35</v>
      </c>
      <c r="M1256" t="s">
        <v>69</v>
      </c>
      <c r="N1256" t="s">
        <v>4</v>
      </c>
      <c r="O1256" t="s">
        <v>188</v>
      </c>
      <c r="P1256" s="1" t="s">
        <v>30</v>
      </c>
      <c r="Q1256">
        <v>117.7</v>
      </c>
    </row>
    <row r="1257" spans="1:17" x14ac:dyDescent="0.3">
      <c r="A1257">
        <v>2016</v>
      </c>
      <c r="B1257" t="s">
        <v>43</v>
      </c>
      <c r="C1257" t="s">
        <v>100</v>
      </c>
      <c r="D1257" s="1" t="s">
        <v>4</v>
      </c>
      <c r="E1257" s="4">
        <v>137.6</v>
      </c>
      <c r="F1257" s="4">
        <v>137.9</v>
      </c>
      <c r="G1257" s="4">
        <v>138.4</v>
      </c>
      <c r="H1257" s="1" t="s">
        <v>188</v>
      </c>
      <c r="K1257">
        <v>2014</v>
      </c>
      <c r="L1257" t="s">
        <v>35</v>
      </c>
      <c r="M1257" t="s">
        <v>69</v>
      </c>
      <c r="N1257" t="s">
        <v>4</v>
      </c>
      <c r="O1257" t="s">
        <v>188</v>
      </c>
      <c r="P1257" s="1" t="s">
        <v>34</v>
      </c>
      <c r="Q1257">
        <v>119.2</v>
      </c>
    </row>
    <row r="1258" spans="1:17" x14ac:dyDescent="0.3">
      <c r="A1258">
        <v>2016</v>
      </c>
      <c r="B1258" t="s">
        <v>43</v>
      </c>
      <c r="C1258" t="s">
        <v>100</v>
      </c>
      <c r="D1258" s="1" t="s">
        <v>6</v>
      </c>
      <c r="E1258" s="4">
        <v>136</v>
      </c>
      <c r="F1258" s="4">
        <v>134.80000000000001</v>
      </c>
      <c r="G1258" s="4">
        <v>132.69999999999999</v>
      </c>
      <c r="H1258" s="1" t="s">
        <v>188</v>
      </c>
      <c r="K1258">
        <v>2014</v>
      </c>
      <c r="L1258" t="s">
        <v>35</v>
      </c>
      <c r="M1258" t="s">
        <v>69</v>
      </c>
      <c r="N1258" t="s">
        <v>4</v>
      </c>
      <c r="O1258" t="s">
        <v>188</v>
      </c>
      <c r="P1258" s="1" t="s">
        <v>33</v>
      </c>
      <c r="Q1258">
        <v>122</v>
      </c>
    </row>
    <row r="1259" spans="1:17" x14ac:dyDescent="0.3">
      <c r="A1259">
        <v>2016</v>
      </c>
      <c r="B1259" t="s">
        <v>43</v>
      </c>
      <c r="C1259" t="s">
        <v>100</v>
      </c>
      <c r="D1259" s="1" t="s">
        <v>28</v>
      </c>
      <c r="E1259" s="4">
        <v>125.7</v>
      </c>
      <c r="F1259" s="4">
        <v>123.4</v>
      </c>
      <c r="G1259" s="4">
        <v>120.9</v>
      </c>
      <c r="H1259" s="1" t="s">
        <v>192</v>
      </c>
      <c r="K1259">
        <v>2014</v>
      </c>
      <c r="L1259" t="s">
        <v>35</v>
      </c>
      <c r="M1259" t="s">
        <v>69</v>
      </c>
      <c r="N1259" t="s">
        <v>6</v>
      </c>
      <c r="O1259" t="s">
        <v>188</v>
      </c>
      <c r="P1259" s="1" t="s">
        <v>30</v>
      </c>
      <c r="Q1259">
        <v>115</v>
      </c>
    </row>
    <row r="1260" spans="1:17" x14ac:dyDescent="0.3">
      <c r="A1260">
        <v>2016</v>
      </c>
      <c r="B1260" t="s">
        <v>43</v>
      </c>
      <c r="C1260" t="s">
        <v>100</v>
      </c>
      <c r="D1260" s="1" t="s">
        <v>13</v>
      </c>
      <c r="E1260" s="4">
        <v>128.69999999999999</v>
      </c>
      <c r="F1260" s="4">
        <v>126.1</v>
      </c>
      <c r="G1260" s="4">
        <v>122.5</v>
      </c>
      <c r="H1260" s="1" t="s">
        <v>188</v>
      </c>
      <c r="K1260">
        <v>2014</v>
      </c>
      <c r="L1260" t="s">
        <v>35</v>
      </c>
      <c r="M1260" t="s">
        <v>69</v>
      </c>
      <c r="N1260" t="s">
        <v>6</v>
      </c>
      <c r="O1260" t="s">
        <v>188</v>
      </c>
      <c r="P1260" s="1" t="s">
        <v>34</v>
      </c>
      <c r="Q1260">
        <v>115.1</v>
      </c>
    </row>
    <row r="1261" spans="1:17" x14ac:dyDescent="0.3">
      <c r="A1261">
        <v>2016</v>
      </c>
      <c r="B1261" t="s">
        <v>43</v>
      </c>
      <c r="C1261" t="s">
        <v>100</v>
      </c>
      <c r="D1261" s="1" t="s">
        <v>7</v>
      </c>
      <c r="E1261" s="4">
        <v>120.8</v>
      </c>
      <c r="F1261" s="4">
        <v>117.8</v>
      </c>
      <c r="G1261" s="4">
        <v>112.5</v>
      </c>
      <c r="H1261" s="1" t="s">
        <v>188</v>
      </c>
      <c r="K1261">
        <v>2014</v>
      </c>
      <c r="L1261" t="s">
        <v>35</v>
      </c>
      <c r="M1261" t="s">
        <v>69</v>
      </c>
      <c r="N1261" t="s">
        <v>6</v>
      </c>
      <c r="O1261" t="s">
        <v>188</v>
      </c>
      <c r="P1261" s="1" t="s">
        <v>33</v>
      </c>
      <c r="Q1261">
        <v>115.2</v>
      </c>
    </row>
    <row r="1262" spans="1:17" x14ac:dyDescent="0.3">
      <c r="A1262">
        <v>2016</v>
      </c>
      <c r="B1262" t="s">
        <v>43</v>
      </c>
      <c r="C1262" t="s">
        <v>100</v>
      </c>
      <c r="D1262" s="1" t="s">
        <v>16</v>
      </c>
      <c r="E1262" s="4">
        <v>140.9</v>
      </c>
      <c r="F1262" s="4">
        <v>141.80000000000001</v>
      </c>
      <c r="G1262" s="4">
        <v>144.30000000000001</v>
      </c>
      <c r="H1262" s="1" t="s">
        <v>192</v>
      </c>
      <c r="K1262">
        <v>2014</v>
      </c>
      <c r="L1262" t="s">
        <v>35</v>
      </c>
      <c r="M1262" t="s">
        <v>69</v>
      </c>
      <c r="N1262" t="s">
        <v>28</v>
      </c>
      <c r="O1262" t="s">
        <v>192</v>
      </c>
      <c r="P1262" s="1" t="s">
        <v>30</v>
      </c>
      <c r="Q1262">
        <v>110.9</v>
      </c>
    </row>
    <row r="1263" spans="1:17" x14ac:dyDescent="0.3">
      <c r="A1263">
        <v>2016</v>
      </c>
      <c r="B1263" t="s">
        <v>43</v>
      </c>
      <c r="C1263" t="s">
        <v>100</v>
      </c>
      <c r="D1263" s="1" t="s">
        <v>27</v>
      </c>
      <c r="E1263" s="4">
        <v>123</v>
      </c>
      <c r="F1263" s="4">
        <v>122.1</v>
      </c>
      <c r="G1263" s="4">
        <v>120.8</v>
      </c>
      <c r="H1263" s="1" t="s">
        <v>192</v>
      </c>
      <c r="K1263">
        <v>2014</v>
      </c>
      <c r="L1263" t="s">
        <v>35</v>
      </c>
      <c r="M1263" t="s">
        <v>69</v>
      </c>
      <c r="N1263" t="s">
        <v>28</v>
      </c>
      <c r="O1263" t="s">
        <v>192</v>
      </c>
      <c r="P1263" s="1" t="s">
        <v>34</v>
      </c>
      <c r="Q1263">
        <v>110.9</v>
      </c>
    </row>
    <row r="1264" spans="1:17" x14ac:dyDescent="0.3">
      <c r="A1264">
        <v>2016</v>
      </c>
      <c r="B1264" t="s">
        <v>43</v>
      </c>
      <c r="C1264" t="s">
        <v>100</v>
      </c>
      <c r="D1264" s="1" t="s">
        <v>14</v>
      </c>
      <c r="E1264" s="4">
        <v>142.4</v>
      </c>
      <c r="F1264" s="4">
        <v>141.1</v>
      </c>
      <c r="G1264" s="4">
        <v>139.6</v>
      </c>
      <c r="H1264" s="1" t="s">
        <v>188</v>
      </c>
      <c r="K1264">
        <v>2014</v>
      </c>
      <c r="L1264" t="s">
        <v>35</v>
      </c>
      <c r="M1264" t="s">
        <v>69</v>
      </c>
      <c r="N1264" t="s">
        <v>28</v>
      </c>
      <c r="O1264" t="s">
        <v>192</v>
      </c>
      <c r="P1264" s="1" t="s">
        <v>33</v>
      </c>
      <c r="Q1264">
        <v>111</v>
      </c>
    </row>
    <row r="1265" spans="1:17" x14ac:dyDescent="0.3">
      <c r="A1265">
        <v>2016</v>
      </c>
      <c r="B1265" t="s">
        <v>43</v>
      </c>
      <c r="C1265" t="s">
        <v>100</v>
      </c>
      <c r="D1265" s="1" t="s">
        <v>10</v>
      </c>
      <c r="E1265" s="4">
        <v>170.2</v>
      </c>
      <c r="F1265" s="4">
        <v>172.1</v>
      </c>
      <c r="G1265" s="4">
        <v>175.7</v>
      </c>
      <c r="H1265" s="1" t="s">
        <v>188</v>
      </c>
      <c r="K1265">
        <v>2014</v>
      </c>
      <c r="L1265" t="s">
        <v>35</v>
      </c>
      <c r="M1265" t="s">
        <v>69</v>
      </c>
      <c r="N1265" t="s">
        <v>13</v>
      </c>
      <c r="O1265" t="s">
        <v>188</v>
      </c>
      <c r="P1265" s="1" t="s">
        <v>30</v>
      </c>
      <c r="Q1265">
        <v>112.9</v>
      </c>
    </row>
    <row r="1266" spans="1:17" x14ac:dyDescent="0.3">
      <c r="A1266">
        <v>2016</v>
      </c>
      <c r="B1266" t="s">
        <v>43</v>
      </c>
      <c r="C1266" t="s">
        <v>100</v>
      </c>
      <c r="D1266" s="1" t="s">
        <v>25</v>
      </c>
      <c r="E1266" s="4">
        <v>126.5</v>
      </c>
      <c r="F1266" s="4">
        <v>123.5</v>
      </c>
      <c r="G1266" s="4">
        <v>121.2</v>
      </c>
      <c r="H1266" s="1" t="s">
        <v>195</v>
      </c>
      <c r="K1266">
        <v>2014</v>
      </c>
      <c r="L1266" t="s">
        <v>35</v>
      </c>
      <c r="M1266" t="s">
        <v>69</v>
      </c>
      <c r="N1266" t="s">
        <v>13</v>
      </c>
      <c r="O1266" t="s">
        <v>188</v>
      </c>
      <c r="P1266" s="1" t="s">
        <v>34</v>
      </c>
      <c r="Q1266">
        <v>112.6</v>
      </c>
    </row>
    <row r="1267" spans="1:17" x14ac:dyDescent="0.3">
      <c r="A1267">
        <v>2016</v>
      </c>
      <c r="B1267" t="s">
        <v>43</v>
      </c>
      <c r="C1267" t="s">
        <v>100</v>
      </c>
      <c r="D1267" s="1" t="s">
        <v>12</v>
      </c>
      <c r="E1267" s="4">
        <v>136.30000000000001</v>
      </c>
      <c r="F1267" s="4">
        <v>139.30000000000001</v>
      </c>
      <c r="G1267" s="4">
        <v>145.30000000000001</v>
      </c>
      <c r="H1267" s="1" t="s">
        <v>188</v>
      </c>
      <c r="K1267">
        <v>2014</v>
      </c>
      <c r="L1267" t="s">
        <v>35</v>
      </c>
      <c r="M1267" t="s">
        <v>69</v>
      </c>
      <c r="N1267" t="s">
        <v>13</v>
      </c>
      <c r="O1267" t="s">
        <v>188</v>
      </c>
      <c r="P1267" s="1" t="s">
        <v>33</v>
      </c>
      <c r="Q1267">
        <v>112.1</v>
      </c>
    </row>
    <row r="1268" spans="1:17" x14ac:dyDescent="0.3">
      <c r="A1268">
        <v>2016</v>
      </c>
      <c r="B1268" t="s">
        <v>43</v>
      </c>
      <c r="C1268" t="s">
        <v>100</v>
      </c>
      <c r="D1268" s="1" t="s">
        <v>11</v>
      </c>
      <c r="E1268" s="4">
        <v>113.4</v>
      </c>
      <c r="F1268" s="4">
        <v>114.1</v>
      </c>
      <c r="G1268" s="4">
        <v>115.4</v>
      </c>
      <c r="H1268" s="1" t="s">
        <v>188</v>
      </c>
      <c r="K1268">
        <v>2014</v>
      </c>
      <c r="L1268" t="s">
        <v>35</v>
      </c>
      <c r="M1268" t="s">
        <v>69</v>
      </c>
      <c r="N1268" t="s">
        <v>7</v>
      </c>
      <c r="O1268" t="s">
        <v>188</v>
      </c>
      <c r="P1268" s="1" t="s">
        <v>30</v>
      </c>
      <c r="Q1268">
        <v>109</v>
      </c>
    </row>
    <row r="1269" spans="1:17" x14ac:dyDescent="0.3">
      <c r="A1269">
        <v>2016</v>
      </c>
      <c r="B1269" t="s">
        <v>43</v>
      </c>
      <c r="C1269" t="s">
        <v>100</v>
      </c>
      <c r="D1269" s="1" t="s">
        <v>24</v>
      </c>
      <c r="E1269" s="4">
        <v>117.8</v>
      </c>
      <c r="F1269" s="4">
        <v>115.2</v>
      </c>
      <c r="G1269" s="4">
        <v>112.8</v>
      </c>
      <c r="H1269" s="1" t="s">
        <v>191</v>
      </c>
      <c r="K1269">
        <v>2014</v>
      </c>
      <c r="L1269" t="s">
        <v>35</v>
      </c>
      <c r="M1269" t="s">
        <v>69</v>
      </c>
      <c r="N1269" t="s">
        <v>7</v>
      </c>
      <c r="O1269" t="s">
        <v>188</v>
      </c>
      <c r="P1269" s="1" t="s">
        <v>34</v>
      </c>
      <c r="Q1269">
        <v>106.6</v>
      </c>
    </row>
    <row r="1270" spans="1:17" x14ac:dyDescent="0.3">
      <c r="A1270">
        <v>2016</v>
      </c>
      <c r="B1270" t="s">
        <v>43</v>
      </c>
      <c r="C1270" t="s">
        <v>100</v>
      </c>
      <c r="D1270" s="1" t="s">
        <v>9</v>
      </c>
      <c r="E1270" s="4">
        <v>149.19999999999999</v>
      </c>
      <c r="F1270" s="4">
        <v>151.19999999999999</v>
      </c>
      <c r="G1270" s="4">
        <v>155.1</v>
      </c>
      <c r="H1270" s="1" t="s">
        <v>188</v>
      </c>
      <c r="K1270">
        <v>2014</v>
      </c>
      <c r="L1270" t="s">
        <v>35</v>
      </c>
      <c r="M1270" t="s">
        <v>69</v>
      </c>
      <c r="N1270" t="s">
        <v>7</v>
      </c>
      <c r="O1270" t="s">
        <v>188</v>
      </c>
      <c r="P1270" s="1" t="s">
        <v>33</v>
      </c>
      <c r="Q1270">
        <v>102.5</v>
      </c>
    </row>
    <row r="1271" spans="1:17" x14ac:dyDescent="0.3">
      <c r="A1271">
        <v>2016</v>
      </c>
      <c r="B1271" t="s">
        <v>42</v>
      </c>
      <c r="C1271" t="s">
        <v>101</v>
      </c>
      <c r="D1271" s="1" t="s">
        <v>3</v>
      </c>
      <c r="E1271" s="4">
        <v>130.80000000000001</v>
      </c>
      <c r="F1271" s="4">
        <v>129.9</v>
      </c>
      <c r="G1271" s="4">
        <v>128.1</v>
      </c>
      <c r="H1271" s="1" t="s">
        <v>188</v>
      </c>
      <c r="K1271">
        <v>2014</v>
      </c>
      <c r="L1271" t="s">
        <v>35</v>
      </c>
      <c r="M1271" t="s">
        <v>69</v>
      </c>
      <c r="N1271" t="s">
        <v>16</v>
      </c>
      <c r="O1271" t="s">
        <v>192</v>
      </c>
      <c r="P1271" s="1" t="s">
        <v>30</v>
      </c>
      <c r="Q1271">
        <v>114.2</v>
      </c>
    </row>
    <row r="1272" spans="1:17" x14ac:dyDescent="0.3">
      <c r="A1272">
        <v>2016</v>
      </c>
      <c r="B1272" t="s">
        <v>42</v>
      </c>
      <c r="C1272" t="s">
        <v>101</v>
      </c>
      <c r="D1272" s="1" t="s">
        <v>17</v>
      </c>
      <c r="E1272" s="4">
        <v>138.5</v>
      </c>
      <c r="F1272" s="4">
        <v>134.6</v>
      </c>
      <c r="G1272" s="4">
        <v>128.69999999999999</v>
      </c>
      <c r="H1272" s="1" t="s">
        <v>189</v>
      </c>
      <c r="K1272">
        <v>2014</v>
      </c>
      <c r="L1272" t="s">
        <v>35</v>
      </c>
      <c r="M1272" t="s">
        <v>69</v>
      </c>
      <c r="N1272" t="s">
        <v>16</v>
      </c>
      <c r="O1272" t="s">
        <v>192</v>
      </c>
      <c r="P1272" s="1" t="s">
        <v>34</v>
      </c>
      <c r="Q1272">
        <v>114.7</v>
      </c>
    </row>
    <row r="1273" spans="1:17" x14ac:dyDescent="0.3">
      <c r="A1273">
        <v>2016</v>
      </c>
      <c r="B1273" t="s">
        <v>42</v>
      </c>
      <c r="C1273" t="s">
        <v>101</v>
      </c>
      <c r="D1273" s="1" t="s">
        <v>19</v>
      </c>
      <c r="E1273" s="4">
        <v>137.80000000000001</v>
      </c>
      <c r="F1273" s="4">
        <v>133.80000000000001</v>
      </c>
      <c r="G1273" s="4">
        <v>127.7</v>
      </c>
      <c r="H1273" s="1" t="s">
        <v>189</v>
      </c>
      <c r="K1273">
        <v>2014</v>
      </c>
      <c r="L1273" t="s">
        <v>35</v>
      </c>
      <c r="M1273" t="s">
        <v>69</v>
      </c>
      <c r="N1273" t="s">
        <v>16</v>
      </c>
      <c r="O1273" t="s">
        <v>192</v>
      </c>
      <c r="P1273" s="1" t="s">
        <v>33</v>
      </c>
      <c r="Q1273">
        <v>116.2</v>
      </c>
    </row>
    <row r="1274" spans="1:17" x14ac:dyDescent="0.3">
      <c r="A1274">
        <v>2016</v>
      </c>
      <c r="B1274" t="s">
        <v>42</v>
      </c>
      <c r="C1274" t="s">
        <v>101</v>
      </c>
      <c r="D1274" s="1" t="s">
        <v>26</v>
      </c>
      <c r="E1274" s="4">
        <v>132.19999999999999</v>
      </c>
      <c r="F1274" s="4">
        <v>131.80000000000001</v>
      </c>
      <c r="G1274" s="4">
        <v>131.6</v>
      </c>
      <c r="H1274" s="1" t="s">
        <v>26</v>
      </c>
      <c r="K1274">
        <v>2014</v>
      </c>
      <c r="L1274" t="s">
        <v>35</v>
      </c>
      <c r="M1274" t="s">
        <v>69</v>
      </c>
      <c r="N1274" t="s">
        <v>27</v>
      </c>
      <c r="O1274" t="s">
        <v>192</v>
      </c>
      <c r="P1274" s="1" t="s">
        <v>30</v>
      </c>
      <c r="Q1274">
        <v>108.7</v>
      </c>
    </row>
    <row r="1275" spans="1:17" x14ac:dyDescent="0.3">
      <c r="A1275">
        <v>2016</v>
      </c>
      <c r="B1275" t="s">
        <v>42</v>
      </c>
      <c r="C1275" t="s">
        <v>101</v>
      </c>
      <c r="D1275" s="1" t="s">
        <v>5</v>
      </c>
      <c r="E1275" s="4">
        <v>130.5</v>
      </c>
      <c r="F1275" s="4">
        <v>130.5</v>
      </c>
      <c r="G1275" s="4">
        <v>130.6</v>
      </c>
      <c r="H1275" s="1" t="s">
        <v>188</v>
      </c>
      <c r="K1275">
        <v>2014</v>
      </c>
      <c r="L1275" t="s">
        <v>35</v>
      </c>
      <c r="M1275" t="s">
        <v>69</v>
      </c>
      <c r="N1275" t="s">
        <v>27</v>
      </c>
      <c r="O1275" t="s">
        <v>192</v>
      </c>
      <c r="P1275" s="1" t="s">
        <v>34</v>
      </c>
      <c r="Q1275">
        <v>108.7</v>
      </c>
    </row>
    <row r="1276" spans="1:17" x14ac:dyDescent="0.3">
      <c r="A1276">
        <v>2016</v>
      </c>
      <c r="B1276" t="s">
        <v>42</v>
      </c>
      <c r="C1276" t="s">
        <v>101</v>
      </c>
      <c r="D1276" s="1" t="s">
        <v>15</v>
      </c>
      <c r="E1276" s="4">
        <v>137.19999999999999</v>
      </c>
      <c r="F1276" s="4">
        <v>136.6</v>
      </c>
      <c r="G1276" s="4">
        <v>135.69999999999999</v>
      </c>
      <c r="H1276" s="1" t="s">
        <v>188</v>
      </c>
      <c r="K1276">
        <v>2014</v>
      </c>
      <c r="L1276" t="s">
        <v>35</v>
      </c>
      <c r="M1276" t="s">
        <v>69</v>
      </c>
      <c r="N1276" t="s">
        <v>27</v>
      </c>
      <c r="O1276" t="s">
        <v>192</v>
      </c>
      <c r="P1276" s="1" t="s">
        <v>33</v>
      </c>
      <c r="Q1276">
        <v>108.7</v>
      </c>
    </row>
    <row r="1277" spans="1:17" x14ac:dyDescent="0.3">
      <c r="A1277">
        <v>2016</v>
      </c>
      <c r="B1277" t="s">
        <v>42</v>
      </c>
      <c r="C1277" t="s">
        <v>101</v>
      </c>
      <c r="D1277" s="1" t="s">
        <v>18</v>
      </c>
      <c r="E1277" s="4">
        <v>133.5</v>
      </c>
      <c r="F1277" s="4">
        <v>128.6</v>
      </c>
      <c r="G1277" s="4">
        <v>121.6</v>
      </c>
      <c r="H1277" s="1" t="s">
        <v>189</v>
      </c>
      <c r="K1277">
        <v>2014</v>
      </c>
      <c r="L1277" t="s">
        <v>35</v>
      </c>
      <c r="M1277" t="s">
        <v>69</v>
      </c>
      <c r="N1277" t="s">
        <v>14</v>
      </c>
      <c r="O1277" t="s">
        <v>188</v>
      </c>
      <c r="P1277" s="1" t="s">
        <v>30</v>
      </c>
      <c r="Q1277">
        <v>117.8</v>
      </c>
    </row>
    <row r="1278" spans="1:17" x14ac:dyDescent="0.3">
      <c r="A1278">
        <v>2016</v>
      </c>
      <c r="B1278" t="s">
        <v>42</v>
      </c>
      <c r="C1278" t="s">
        <v>101</v>
      </c>
      <c r="D1278" s="1" t="s">
        <v>8</v>
      </c>
      <c r="E1278" s="4">
        <v>139.19999999999999</v>
      </c>
      <c r="F1278" s="4">
        <v>136.1</v>
      </c>
      <c r="G1278" s="4">
        <v>132.5</v>
      </c>
      <c r="H1278" s="1" t="s">
        <v>188</v>
      </c>
      <c r="K1278">
        <v>2014</v>
      </c>
      <c r="L1278" t="s">
        <v>35</v>
      </c>
      <c r="M1278" t="s">
        <v>69</v>
      </c>
      <c r="N1278" t="s">
        <v>14</v>
      </c>
      <c r="O1278" t="s">
        <v>188</v>
      </c>
      <c r="P1278" s="1" t="s">
        <v>34</v>
      </c>
      <c r="Q1278">
        <v>118.8</v>
      </c>
    </row>
    <row r="1279" spans="1:17" x14ac:dyDescent="0.3">
      <c r="A1279">
        <v>2016</v>
      </c>
      <c r="B1279" t="s">
        <v>42</v>
      </c>
      <c r="C1279" t="s">
        <v>101</v>
      </c>
      <c r="D1279" s="1" t="s">
        <v>21</v>
      </c>
      <c r="E1279" s="4">
        <v>129.69999999999999</v>
      </c>
      <c r="F1279" s="4">
        <v>124.1</v>
      </c>
      <c r="G1279" s="4">
        <v>114.8</v>
      </c>
      <c r="H1279" s="1" t="s">
        <v>190</v>
      </c>
      <c r="K1279">
        <v>2014</v>
      </c>
      <c r="L1279" t="s">
        <v>35</v>
      </c>
      <c r="M1279" t="s">
        <v>69</v>
      </c>
      <c r="N1279" t="s">
        <v>14</v>
      </c>
      <c r="O1279" t="s">
        <v>188</v>
      </c>
      <c r="P1279" s="1" t="s">
        <v>33</v>
      </c>
      <c r="Q1279">
        <v>119.9</v>
      </c>
    </row>
    <row r="1280" spans="1:17" x14ac:dyDescent="0.3">
      <c r="A1280">
        <v>2016</v>
      </c>
      <c r="B1280" t="s">
        <v>42</v>
      </c>
      <c r="C1280" t="s">
        <v>101</v>
      </c>
      <c r="D1280" s="1" t="s">
        <v>29</v>
      </c>
      <c r="E1280" s="4">
        <v>133.4</v>
      </c>
      <c r="F1280" s="4">
        <v>130.9</v>
      </c>
      <c r="G1280" s="4">
        <v>128</v>
      </c>
      <c r="H1280" s="1" t="s">
        <v>206</v>
      </c>
      <c r="K1280">
        <v>2014</v>
      </c>
      <c r="L1280" t="s">
        <v>35</v>
      </c>
      <c r="M1280" t="s">
        <v>69</v>
      </c>
      <c r="N1280" t="s">
        <v>10</v>
      </c>
      <c r="O1280" t="s">
        <v>188</v>
      </c>
      <c r="P1280" s="1" t="s">
        <v>30</v>
      </c>
      <c r="Q1280">
        <v>109.8</v>
      </c>
    </row>
    <row r="1281" spans="1:17" x14ac:dyDescent="0.3">
      <c r="A1281">
        <v>2016</v>
      </c>
      <c r="B1281" t="s">
        <v>42</v>
      </c>
      <c r="C1281" t="s">
        <v>101</v>
      </c>
      <c r="D1281" s="1" t="s">
        <v>23</v>
      </c>
      <c r="E1281" s="4">
        <v>127.8</v>
      </c>
      <c r="F1281" s="4">
        <v>125.4</v>
      </c>
      <c r="G1281" s="4">
        <v>121.4</v>
      </c>
      <c r="H1281" s="1" t="s">
        <v>23</v>
      </c>
      <c r="K1281">
        <v>2014</v>
      </c>
      <c r="L1281" t="s">
        <v>35</v>
      </c>
      <c r="M1281" t="s">
        <v>69</v>
      </c>
      <c r="N1281" t="s">
        <v>10</v>
      </c>
      <c r="O1281" t="s">
        <v>188</v>
      </c>
      <c r="P1281" s="1" t="s">
        <v>34</v>
      </c>
      <c r="Q1281">
        <v>109.3</v>
      </c>
    </row>
    <row r="1282" spans="1:17" x14ac:dyDescent="0.3">
      <c r="A1282">
        <v>2016</v>
      </c>
      <c r="B1282" t="s">
        <v>42</v>
      </c>
      <c r="C1282" t="s">
        <v>101</v>
      </c>
      <c r="D1282" s="1" t="s">
        <v>22</v>
      </c>
      <c r="E1282" s="4">
        <v>131.1</v>
      </c>
      <c r="F1282" s="4">
        <v>127.9</v>
      </c>
      <c r="G1282" s="4">
        <v>124.3</v>
      </c>
      <c r="H1282" s="1" t="s">
        <v>20</v>
      </c>
      <c r="K1282">
        <v>2014</v>
      </c>
      <c r="L1282" t="s">
        <v>35</v>
      </c>
      <c r="M1282" t="s">
        <v>69</v>
      </c>
      <c r="N1282" t="s">
        <v>10</v>
      </c>
      <c r="O1282" t="s">
        <v>188</v>
      </c>
      <c r="P1282" s="1" t="s">
        <v>33</v>
      </c>
      <c r="Q1282">
        <v>108.2</v>
      </c>
    </row>
    <row r="1283" spans="1:17" x14ac:dyDescent="0.3">
      <c r="A1283">
        <v>2016</v>
      </c>
      <c r="B1283" t="s">
        <v>42</v>
      </c>
      <c r="C1283" t="s">
        <v>101</v>
      </c>
      <c r="D1283" s="1" t="s">
        <v>20</v>
      </c>
      <c r="E1283" s="4">
        <v>0</v>
      </c>
      <c r="F1283" s="4">
        <v>127.9</v>
      </c>
      <c r="G1283" s="4">
        <v>127.9</v>
      </c>
      <c r="H1283" s="1" t="s">
        <v>20</v>
      </c>
      <c r="K1283">
        <v>2014</v>
      </c>
      <c r="L1283" t="s">
        <v>35</v>
      </c>
      <c r="M1283" t="s">
        <v>69</v>
      </c>
      <c r="N1283" t="s">
        <v>25</v>
      </c>
      <c r="O1283" t="s">
        <v>195</v>
      </c>
      <c r="P1283" s="1" t="s">
        <v>30</v>
      </c>
      <c r="Q1283">
        <v>109.9</v>
      </c>
    </row>
    <row r="1284" spans="1:17" x14ac:dyDescent="0.3">
      <c r="A1284">
        <v>2016</v>
      </c>
      <c r="B1284" t="s">
        <v>42</v>
      </c>
      <c r="C1284" t="s">
        <v>101</v>
      </c>
      <c r="D1284" s="1" t="s">
        <v>4</v>
      </c>
      <c r="E1284" s="4">
        <v>138.19999999999999</v>
      </c>
      <c r="F1284" s="4">
        <v>138</v>
      </c>
      <c r="G1284" s="4">
        <v>137.69999999999999</v>
      </c>
      <c r="H1284" s="1" t="s">
        <v>188</v>
      </c>
      <c r="K1284">
        <v>2014</v>
      </c>
      <c r="L1284" t="s">
        <v>35</v>
      </c>
      <c r="M1284" t="s">
        <v>69</v>
      </c>
      <c r="N1284" t="s">
        <v>25</v>
      </c>
      <c r="O1284" t="s">
        <v>195</v>
      </c>
      <c r="P1284" s="1" t="s">
        <v>34</v>
      </c>
      <c r="Q1284">
        <v>110.1</v>
      </c>
    </row>
    <row r="1285" spans="1:17" x14ac:dyDescent="0.3">
      <c r="A1285">
        <v>2016</v>
      </c>
      <c r="B1285" t="s">
        <v>42</v>
      </c>
      <c r="C1285" t="s">
        <v>101</v>
      </c>
      <c r="D1285" s="1" t="s">
        <v>6</v>
      </c>
      <c r="E1285" s="4">
        <v>135.5</v>
      </c>
      <c r="F1285" s="4">
        <v>134.4</v>
      </c>
      <c r="G1285" s="4">
        <v>132.6</v>
      </c>
      <c r="H1285" s="1" t="s">
        <v>188</v>
      </c>
      <c r="K1285">
        <v>2014</v>
      </c>
      <c r="L1285" t="s">
        <v>35</v>
      </c>
      <c r="M1285" t="s">
        <v>69</v>
      </c>
      <c r="N1285" t="s">
        <v>25</v>
      </c>
      <c r="O1285" t="s">
        <v>195</v>
      </c>
      <c r="P1285" s="1" t="s">
        <v>33</v>
      </c>
      <c r="Q1285">
        <v>110.3</v>
      </c>
    </row>
    <row r="1286" spans="1:17" x14ac:dyDescent="0.3">
      <c r="A1286">
        <v>2016</v>
      </c>
      <c r="B1286" t="s">
        <v>42</v>
      </c>
      <c r="C1286" t="s">
        <v>101</v>
      </c>
      <c r="D1286" s="1" t="s">
        <v>28</v>
      </c>
      <c r="E1286" s="4">
        <v>124.9</v>
      </c>
      <c r="F1286" s="4">
        <v>122.8</v>
      </c>
      <c r="G1286" s="4">
        <v>120.5</v>
      </c>
      <c r="H1286" s="1" t="s">
        <v>192</v>
      </c>
      <c r="K1286">
        <v>2014</v>
      </c>
      <c r="L1286" t="s">
        <v>35</v>
      </c>
      <c r="M1286" t="s">
        <v>69</v>
      </c>
      <c r="N1286" t="s">
        <v>12</v>
      </c>
      <c r="O1286" t="s">
        <v>188</v>
      </c>
      <c r="P1286" s="1" t="s">
        <v>30</v>
      </c>
      <c r="Q1286">
        <v>110.4</v>
      </c>
    </row>
    <row r="1287" spans="1:17" x14ac:dyDescent="0.3">
      <c r="A1287">
        <v>2016</v>
      </c>
      <c r="B1287" t="s">
        <v>42</v>
      </c>
      <c r="C1287" t="s">
        <v>101</v>
      </c>
      <c r="D1287" s="1" t="s">
        <v>13</v>
      </c>
      <c r="E1287" s="4">
        <v>128.80000000000001</v>
      </c>
      <c r="F1287" s="4">
        <v>126</v>
      </c>
      <c r="G1287" s="4">
        <v>122.1</v>
      </c>
      <c r="H1287" s="1" t="s">
        <v>188</v>
      </c>
      <c r="K1287">
        <v>2014</v>
      </c>
      <c r="L1287" t="s">
        <v>35</v>
      </c>
      <c r="M1287" t="s">
        <v>69</v>
      </c>
      <c r="N1287" t="s">
        <v>12</v>
      </c>
      <c r="O1287" t="s">
        <v>188</v>
      </c>
      <c r="P1287" s="1" t="s">
        <v>34</v>
      </c>
      <c r="Q1287">
        <v>111.4</v>
      </c>
    </row>
    <row r="1288" spans="1:17" x14ac:dyDescent="0.3">
      <c r="A1288">
        <v>2016</v>
      </c>
      <c r="B1288" t="s">
        <v>42</v>
      </c>
      <c r="C1288" t="s">
        <v>101</v>
      </c>
      <c r="D1288" s="1" t="s">
        <v>7</v>
      </c>
      <c r="E1288" s="4">
        <v>120.2</v>
      </c>
      <c r="F1288" s="4">
        <v>117.2</v>
      </c>
      <c r="G1288" s="4">
        <v>111.9</v>
      </c>
      <c r="H1288" s="1" t="s">
        <v>188</v>
      </c>
      <c r="K1288">
        <v>2014</v>
      </c>
      <c r="L1288" t="s">
        <v>35</v>
      </c>
      <c r="M1288" t="s">
        <v>69</v>
      </c>
      <c r="N1288" t="s">
        <v>12</v>
      </c>
      <c r="O1288" t="s">
        <v>188</v>
      </c>
      <c r="P1288" s="1" t="s">
        <v>33</v>
      </c>
      <c r="Q1288">
        <v>113.5</v>
      </c>
    </row>
    <row r="1289" spans="1:17" x14ac:dyDescent="0.3">
      <c r="A1289">
        <v>2016</v>
      </c>
      <c r="B1289" t="s">
        <v>42</v>
      </c>
      <c r="C1289" t="s">
        <v>101</v>
      </c>
      <c r="D1289" s="1" t="s">
        <v>16</v>
      </c>
      <c r="E1289" s="4">
        <v>139.9</v>
      </c>
      <c r="F1289" s="4">
        <v>141</v>
      </c>
      <c r="G1289" s="4">
        <v>143.9</v>
      </c>
      <c r="H1289" s="1" t="s">
        <v>192</v>
      </c>
      <c r="K1289">
        <v>2014</v>
      </c>
      <c r="L1289" t="s">
        <v>35</v>
      </c>
      <c r="M1289" t="s">
        <v>69</v>
      </c>
      <c r="N1289" t="s">
        <v>11</v>
      </c>
      <c r="O1289" t="s">
        <v>188</v>
      </c>
      <c r="P1289" s="1" t="s">
        <v>30</v>
      </c>
      <c r="Q1289">
        <v>101.1</v>
      </c>
    </row>
    <row r="1290" spans="1:17" x14ac:dyDescent="0.3">
      <c r="A1290">
        <v>2016</v>
      </c>
      <c r="B1290" t="s">
        <v>42</v>
      </c>
      <c r="C1290" t="s">
        <v>101</v>
      </c>
      <c r="D1290" s="1" t="s">
        <v>27</v>
      </c>
      <c r="E1290" s="4">
        <v>122.8</v>
      </c>
      <c r="F1290" s="4">
        <v>122.1</v>
      </c>
      <c r="G1290" s="4">
        <v>121.2</v>
      </c>
      <c r="H1290" s="1" t="s">
        <v>192</v>
      </c>
      <c r="K1290">
        <v>2014</v>
      </c>
      <c r="L1290" t="s">
        <v>35</v>
      </c>
      <c r="M1290" t="s">
        <v>69</v>
      </c>
      <c r="N1290" t="s">
        <v>11</v>
      </c>
      <c r="O1290" t="s">
        <v>188</v>
      </c>
      <c r="P1290" s="1" t="s">
        <v>34</v>
      </c>
      <c r="Q1290">
        <v>99.2</v>
      </c>
    </row>
    <row r="1291" spans="1:17" x14ac:dyDescent="0.3">
      <c r="A1291">
        <v>2016</v>
      </c>
      <c r="B1291" t="s">
        <v>42</v>
      </c>
      <c r="C1291" t="s">
        <v>101</v>
      </c>
      <c r="D1291" s="1" t="s">
        <v>14</v>
      </c>
      <c r="E1291" s="4">
        <v>141.5</v>
      </c>
      <c r="F1291" s="4">
        <v>140.19999999999999</v>
      </c>
      <c r="G1291" s="4">
        <v>138.80000000000001</v>
      </c>
      <c r="H1291" s="1" t="s">
        <v>188</v>
      </c>
      <c r="K1291">
        <v>2014</v>
      </c>
      <c r="L1291" t="s">
        <v>35</v>
      </c>
      <c r="M1291" t="s">
        <v>69</v>
      </c>
      <c r="N1291" t="s">
        <v>11</v>
      </c>
      <c r="O1291" t="s">
        <v>188</v>
      </c>
      <c r="P1291" s="1" t="s">
        <v>33</v>
      </c>
      <c r="Q1291">
        <v>95.4</v>
      </c>
    </row>
    <row r="1292" spans="1:17" x14ac:dyDescent="0.3">
      <c r="A1292">
        <v>2016</v>
      </c>
      <c r="B1292" t="s">
        <v>42</v>
      </c>
      <c r="C1292" t="s">
        <v>101</v>
      </c>
      <c r="D1292" s="1" t="s">
        <v>10</v>
      </c>
      <c r="E1292" s="4">
        <v>170.4</v>
      </c>
      <c r="F1292" s="4">
        <v>171.5</v>
      </c>
      <c r="G1292" s="4">
        <v>173.6</v>
      </c>
      <c r="H1292" s="1" t="s">
        <v>188</v>
      </c>
      <c r="K1292">
        <v>2014</v>
      </c>
      <c r="L1292" t="s">
        <v>35</v>
      </c>
      <c r="M1292" t="s">
        <v>69</v>
      </c>
      <c r="N1292" t="s">
        <v>24</v>
      </c>
      <c r="O1292" t="s">
        <v>191</v>
      </c>
      <c r="P1292" s="1" t="s">
        <v>30</v>
      </c>
      <c r="Q1292">
        <v>110.8</v>
      </c>
    </row>
    <row r="1293" spans="1:17" x14ac:dyDescent="0.3">
      <c r="A1293">
        <v>2016</v>
      </c>
      <c r="B1293" t="s">
        <v>42</v>
      </c>
      <c r="C1293" t="s">
        <v>101</v>
      </c>
      <c r="D1293" s="1" t="s">
        <v>25</v>
      </c>
      <c r="E1293" s="4">
        <v>125.7</v>
      </c>
      <c r="F1293" s="4">
        <v>122.9</v>
      </c>
      <c r="G1293" s="4">
        <v>120.8</v>
      </c>
      <c r="H1293" s="1" t="s">
        <v>195</v>
      </c>
      <c r="K1293">
        <v>2014</v>
      </c>
      <c r="L1293" t="s">
        <v>35</v>
      </c>
      <c r="M1293" t="s">
        <v>69</v>
      </c>
      <c r="N1293" t="s">
        <v>24</v>
      </c>
      <c r="O1293" t="s">
        <v>191</v>
      </c>
      <c r="P1293" s="1" t="s">
        <v>34</v>
      </c>
      <c r="Q1293">
        <v>111.1</v>
      </c>
    </row>
    <row r="1294" spans="1:17" x14ac:dyDescent="0.3">
      <c r="A1294">
        <v>2016</v>
      </c>
      <c r="B1294" t="s">
        <v>42</v>
      </c>
      <c r="C1294" t="s">
        <v>101</v>
      </c>
      <c r="D1294" s="1" t="s">
        <v>12</v>
      </c>
      <c r="E1294" s="4">
        <v>135.80000000000001</v>
      </c>
      <c r="F1294" s="4">
        <v>138.80000000000001</v>
      </c>
      <c r="G1294" s="4">
        <v>144.80000000000001</v>
      </c>
      <c r="H1294" s="1" t="s">
        <v>188</v>
      </c>
      <c r="K1294">
        <v>2014</v>
      </c>
      <c r="L1294" t="s">
        <v>35</v>
      </c>
      <c r="M1294" t="s">
        <v>69</v>
      </c>
      <c r="N1294" t="s">
        <v>24</v>
      </c>
      <c r="O1294" t="s">
        <v>191</v>
      </c>
      <c r="P1294" s="1" t="s">
        <v>33</v>
      </c>
      <c r="Q1294">
        <v>111.3</v>
      </c>
    </row>
    <row r="1295" spans="1:17" x14ac:dyDescent="0.3">
      <c r="A1295">
        <v>2016</v>
      </c>
      <c r="B1295" t="s">
        <v>42</v>
      </c>
      <c r="C1295" t="s">
        <v>101</v>
      </c>
      <c r="D1295" s="1" t="s">
        <v>11</v>
      </c>
      <c r="E1295" s="4">
        <v>113.1</v>
      </c>
      <c r="F1295" s="4">
        <v>113.8</v>
      </c>
      <c r="G1295" s="4">
        <v>115.1</v>
      </c>
      <c r="H1295" s="1" t="s">
        <v>188</v>
      </c>
      <c r="K1295">
        <v>2014</v>
      </c>
      <c r="L1295" t="s">
        <v>35</v>
      </c>
      <c r="M1295" t="s">
        <v>69</v>
      </c>
      <c r="N1295" t="s">
        <v>9</v>
      </c>
      <c r="O1295" t="s">
        <v>188</v>
      </c>
      <c r="P1295" s="1" t="s">
        <v>30</v>
      </c>
      <c r="Q1295">
        <v>116</v>
      </c>
    </row>
    <row r="1296" spans="1:17" x14ac:dyDescent="0.3">
      <c r="A1296">
        <v>2016</v>
      </c>
      <c r="B1296" t="s">
        <v>42</v>
      </c>
      <c r="C1296" t="s">
        <v>101</v>
      </c>
      <c r="D1296" s="1" t="s">
        <v>24</v>
      </c>
      <c r="E1296" s="4">
        <v>117</v>
      </c>
      <c r="F1296" s="4">
        <v>114.3</v>
      </c>
      <c r="G1296" s="4">
        <v>111.8</v>
      </c>
      <c r="H1296" s="1" t="s">
        <v>191</v>
      </c>
      <c r="K1296">
        <v>2014</v>
      </c>
      <c r="L1296" t="s">
        <v>35</v>
      </c>
      <c r="M1296" t="s">
        <v>69</v>
      </c>
      <c r="N1296" t="s">
        <v>9</v>
      </c>
      <c r="O1296" t="s">
        <v>188</v>
      </c>
      <c r="P1296" s="1" t="s">
        <v>34</v>
      </c>
      <c r="Q1296">
        <v>114.5</v>
      </c>
    </row>
    <row r="1297" spans="1:17" x14ac:dyDescent="0.3">
      <c r="A1297">
        <v>2016</v>
      </c>
      <c r="B1297" t="s">
        <v>42</v>
      </c>
      <c r="C1297" t="s">
        <v>101</v>
      </c>
      <c r="D1297" s="1" t="s">
        <v>9</v>
      </c>
      <c r="E1297" s="4">
        <v>149.5</v>
      </c>
      <c r="F1297" s="4">
        <v>150.69999999999999</v>
      </c>
      <c r="G1297" s="4">
        <v>152.9</v>
      </c>
      <c r="H1297" s="1" t="s">
        <v>188</v>
      </c>
      <c r="K1297">
        <v>2014</v>
      </c>
      <c r="L1297" t="s">
        <v>35</v>
      </c>
      <c r="M1297" t="s">
        <v>69</v>
      </c>
      <c r="N1297" t="s">
        <v>9</v>
      </c>
      <c r="O1297" t="s">
        <v>188</v>
      </c>
      <c r="P1297" s="1" t="s">
        <v>33</v>
      </c>
      <c r="Q1297">
        <v>111.5</v>
      </c>
    </row>
    <row r="1298" spans="1:17" x14ac:dyDescent="0.3">
      <c r="A1298">
        <v>2017</v>
      </c>
      <c r="B1298" t="s">
        <v>37</v>
      </c>
      <c r="C1298" t="s">
        <v>102</v>
      </c>
      <c r="D1298" s="1" t="s">
        <v>3</v>
      </c>
      <c r="E1298" s="4">
        <v>133.19999999999999</v>
      </c>
      <c r="F1298" s="4">
        <v>133</v>
      </c>
      <c r="G1298" s="4">
        <v>132.69999999999999</v>
      </c>
      <c r="H1298" s="1" t="s">
        <v>188</v>
      </c>
      <c r="K1298">
        <v>2014</v>
      </c>
      <c r="L1298" t="s">
        <v>31</v>
      </c>
      <c r="M1298" t="s">
        <v>70</v>
      </c>
      <c r="N1298" t="s">
        <v>3</v>
      </c>
      <c r="O1298" t="s">
        <v>188</v>
      </c>
      <c r="P1298" s="1" t="s">
        <v>30</v>
      </c>
      <c r="Q1298">
        <v>118.9</v>
      </c>
    </row>
    <row r="1299" spans="1:17" x14ac:dyDescent="0.3">
      <c r="A1299">
        <v>2017</v>
      </c>
      <c r="B1299" t="s">
        <v>37</v>
      </c>
      <c r="C1299" t="s">
        <v>102</v>
      </c>
      <c r="D1299" s="1" t="s">
        <v>17</v>
      </c>
      <c r="E1299" s="4">
        <v>142.4</v>
      </c>
      <c r="F1299" s="4">
        <v>138</v>
      </c>
      <c r="G1299" s="4">
        <v>131.19999999999999</v>
      </c>
      <c r="H1299" s="1" t="s">
        <v>189</v>
      </c>
      <c r="K1299">
        <v>2014</v>
      </c>
      <c r="L1299" t="s">
        <v>31</v>
      </c>
      <c r="M1299" t="s">
        <v>70</v>
      </c>
      <c r="N1299" t="s">
        <v>3</v>
      </c>
      <c r="O1299" t="s">
        <v>188</v>
      </c>
      <c r="P1299" s="1" t="s">
        <v>34</v>
      </c>
      <c r="Q1299">
        <v>119.6</v>
      </c>
    </row>
    <row r="1300" spans="1:17" x14ac:dyDescent="0.3">
      <c r="A1300">
        <v>2017</v>
      </c>
      <c r="B1300" t="s">
        <v>37</v>
      </c>
      <c r="C1300" t="s">
        <v>102</v>
      </c>
      <c r="D1300" s="1" t="s">
        <v>19</v>
      </c>
      <c r="E1300" s="4">
        <v>141.6</v>
      </c>
      <c r="F1300" s="4">
        <v>137</v>
      </c>
      <c r="G1300" s="4">
        <v>130</v>
      </c>
      <c r="H1300" s="1" t="s">
        <v>189</v>
      </c>
      <c r="K1300">
        <v>2014</v>
      </c>
      <c r="L1300" t="s">
        <v>31</v>
      </c>
      <c r="M1300" t="s">
        <v>70</v>
      </c>
      <c r="N1300" t="s">
        <v>3</v>
      </c>
      <c r="O1300" t="s">
        <v>188</v>
      </c>
      <c r="P1300" s="1" t="s">
        <v>33</v>
      </c>
      <c r="Q1300">
        <v>121.2</v>
      </c>
    </row>
    <row r="1301" spans="1:17" x14ac:dyDescent="0.3">
      <c r="A1301">
        <v>2017</v>
      </c>
      <c r="B1301" t="s">
        <v>37</v>
      </c>
      <c r="C1301" t="s">
        <v>102</v>
      </c>
      <c r="D1301" s="1" t="s">
        <v>26</v>
      </c>
      <c r="E1301" s="4">
        <v>135.69999999999999</v>
      </c>
      <c r="F1301" s="4">
        <v>134.5</v>
      </c>
      <c r="G1301" s="4">
        <v>133.6</v>
      </c>
      <c r="H1301" s="1" t="s">
        <v>26</v>
      </c>
      <c r="K1301">
        <v>2014</v>
      </c>
      <c r="L1301" t="s">
        <v>31</v>
      </c>
      <c r="M1301" t="s">
        <v>70</v>
      </c>
      <c r="N1301" t="s">
        <v>17</v>
      </c>
      <c r="O1301" t="s">
        <v>189</v>
      </c>
      <c r="P1301" s="1" t="s">
        <v>30</v>
      </c>
      <c r="Q1301">
        <v>116.5</v>
      </c>
    </row>
    <row r="1302" spans="1:17" x14ac:dyDescent="0.3">
      <c r="A1302">
        <v>2017</v>
      </c>
      <c r="B1302" t="s">
        <v>37</v>
      </c>
      <c r="C1302" t="s">
        <v>102</v>
      </c>
      <c r="D1302" s="1" t="s">
        <v>5</v>
      </c>
      <c r="E1302" s="4">
        <v>127.1</v>
      </c>
      <c r="F1302" s="4">
        <v>126.1</v>
      </c>
      <c r="G1302" s="4">
        <v>124.5</v>
      </c>
      <c r="H1302" s="1" t="s">
        <v>188</v>
      </c>
      <c r="K1302">
        <v>2014</v>
      </c>
      <c r="L1302" t="s">
        <v>31</v>
      </c>
      <c r="M1302" t="s">
        <v>70</v>
      </c>
      <c r="N1302" t="s">
        <v>17</v>
      </c>
      <c r="O1302" t="s">
        <v>189</v>
      </c>
      <c r="P1302" s="1" t="s">
        <v>34</v>
      </c>
      <c r="Q1302">
        <v>115.8</v>
      </c>
    </row>
    <row r="1303" spans="1:17" x14ac:dyDescent="0.3">
      <c r="A1303">
        <v>2017</v>
      </c>
      <c r="B1303" t="s">
        <v>37</v>
      </c>
      <c r="C1303" t="s">
        <v>102</v>
      </c>
      <c r="D1303" s="1" t="s">
        <v>15</v>
      </c>
      <c r="E1303" s="4">
        <v>133.5</v>
      </c>
      <c r="F1303" s="4">
        <v>133.5</v>
      </c>
      <c r="G1303" s="4">
        <v>133.4</v>
      </c>
      <c r="H1303" s="1" t="s">
        <v>188</v>
      </c>
      <c r="K1303">
        <v>2014</v>
      </c>
      <c r="L1303" t="s">
        <v>31</v>
      </c>
      <c r="M1303" t="s">
        <v>70</v>
      </c>
      <c r="N1303" t="s">
        <v>17</v>
      </c>
      <c r="O1303" t="s">
        <v>189</v>
      </c>
      <c r="P1303" s="1" t="s">
        <v>33</v>
      </c>
      <c r="Q1303">
        <v>114.8</v>
      </c>
    </row>
    <row r="1304" spans="1:17" x14ac:dyDescent="0.3">
      <c r="A1304">
        <v>2017</v>
      </c>
      <c r="B1304" t="s">
        <v>37</v>
      </c>
      <c r="C1304" t="s">
        <v>102</v>
      </c>
      <c r="D1304" s="1" t="s">
        <v>18</v>
      </c>
      <c r="E1304" s="4">
        <v>136.80000000000001</v>
      </c>
      <c r="F1304" s="4">
        <v>131.1</v>
      </c>
      <c r="G1304" s="4">
        <v>123</v>
      </c>
      <c r="H1304" s="1" t="s">
        <v>189</v>
      </c>
      <c r="K1304">
        <v>2014</v>
      </c>
      <c r="L1304" t="s">
        <v>31</v>
      </c>
      <c r="M1304" t="s">
        <v>70</v>
      </c>
      <c r="N1304" t="s">
        <v>19</v>
      </c>
      <c r="O1304" t="s">
        <v>189</v>
      </c>
      <c r="P1304" s="1" t="s">
        <v>30</v>
      </c>
      <c r="Q1304">
        <v>116.2</v>
      </c>
    </row>
    <row r="1305" spans="1:17" x14ac:dyDescent="0.3">
      <c r="A1305">
        <v>2017</v>
      </c>
      <c r="B1305" t="s">
        <v>37</v>
      </c>
      <c r="C1305" t="s">
        <v>102</v>
      </c>
      <c r="D1305" s="1" t="s">
        <v>8</v>
      </c>
      <c r="E1305" s="4">
        <v>141.80000000000001</v>
      </c>
      <c r="F1305" s="4">
        <v>139.9</v>
      </c>
      <c r="G1305" s="4">
        <v>137.69999999999999</v>
      </c>
      <c r="H1305" s="1" t="s">
        <v>188</v>
      </c>
      <c r="K1305">
        <v>2014</v>
      </c>
      <c r="L1305" t="s">
        <v>31</v>
      </c>
      <c r="M1305" t="s">
        <v>70</v>
      </c>
      <c r="N1305" t="s">
        <v>19</v>
      </c>
      <c r="O1305" t="s">
        <v>189</v>
      </c>
      <c r="P1305" s="1" t="s">
        <v>34</v>
      </c>
      <c r="Q1305">
        <v>115.4</v>
      </c>
    </row>
    <row r="1306" spans="1:17" x14ac:dyDescent="0.3">
      <c r="A1306">
        <v>2017</v>
      </c>
      <c r="B1306" t="s">
        <v>37</v>
      </c>
      <c r="C1306" t="s">
        <v>102</v>
      </c>
      <c r="D1306" s="1" t="s">
        <v>21</v>
      </c>
      <c r="E1306" s="4">
        <v>135</v>
      </c>
      <c r="F1306" s="4">
        <v>129.80000000000001</v>
      </c>
      <c r="G1306" s="4">
        <v>121.4</v>
      </c>
      <c r="H1306" s="1" t="s">
        <v>190</v>
      </c>
      <c r="K1306">
        <v>2014</v>
      </c>
      <c r="L1306" t="s">
        <v>31</v>
      </c>
      <c r="M1306" t="s">
        <v>70</v>
      </c>
      <c r="N1306" t="s">
        <v>19</v>
      </c>
      <c r="O1306" t="s">
        <v>189</v>
      </c>
      <c r="P1306" s="1" t="s">
        <v>33</v>
      </c>
      <c r="Q1306">
        <v>114.3</v>
      </c>
    </row>
    <row r="1307" spans="1:17" x14ac:dyDescent="0.3">
      <c r="A1307">
        <v>2017</v>
      </c>
      <c r="B1307" t="s">
        <v>37</v>
      </c>
      <c r="C1307" t="s">
        <v>102</v>
      </c>
      <c r="D1307" s="1" t="s">
        <v>29</v>
      </c>
      <c r="E1307" s="4">
        <v>132.9</v>
      </c>
      <c r="F1307" s="4">
        <v>131.1</v>
      </c>
      <c r="G1307" s="4">
        <v>129.1</v>
      </c>
      <c r="H1307" s="1" t="s">
        <v>206</v>
      </c>
      <c r="K1307">
        <v>2014</v>
      </c>
      <c r="L1307" t="s">
        <v>31</v>
      </c>
      <c r="M1307" t="s">
        <v>70</v>
      </c>
      <c r="N1307" t="s">
        <v>26</v>
      </c>
      <c r="O1307" t="s">
        <v>26</v>
      </c>
      <c r="P1307" s="1" t="s">
        <v>30</v>
      </c>
      <c r="Q1307">
        <v>111.8</v>
      </c>
    </row>
    <row r="1308" spans="1:17" x14ac:dyDescent="0.3">
      <c r="A1308">
        <v>2017</v>
      </c>
      <c r="B1308" t="s">
        <v>37</v>
      </c>
      <c r="C1308" t="s">
        <v>102</v>
      </c>
      <c r="D1308" s="1" t="s">
        <v>23</v>
      </c>
      <c r="E1308" s="4">
        <v>131</v>
      </c>
      <c r="F1308" s="4">
        <v>128.1</v>
      </c>
      <c r="G1308" s="4">
        <v>123.4</v>
      </c>
      <c r="H1308" s="1" t="s">
        <v>23</v>
      </c>
      <c r="K1308">
        <v>2014</v>
      </c>
      <c r="L1308" t="s">
        <v>31</v>
      </c>
      <c r="M1308" t="s">
        <v>70</v>
      </c>
      <c r="N1308" t="s">
        <v>26</v>
      </c>
      <c r="O1308" t="s">
        <v>26</v>
      </c>
      <c r="P1308" s="1" t="s">
        <v>34</v>
      </c>
      <c r="Q1308">
        <v>111.6</v>
      </c>
    </row>
    <row r="1309" spans="1:17" x14ac:dyDescent="0.3">
      <c r="A1309">
        <v>2017</v>
      </c>
      <c r="B1309" t="s">
        <v>37</v>
      </c>
      <c r="C1309" t="s">
        <v>102</v>
      </c>
      <c r="D1309" s="1" t="s">
        <v>22</v>
      </c>
      <c r="E1309" s="4">
        <v>134.30000000000001</v>
      </c>
      <c r="F1309" s="4">
        <v>130.4</v>
      </c>
      <c r="G1309" s="4">
        <v>126</v>
      </c>
      <c r="H1309" s="1" t="s">
        <v>20</v>
      </c>
      <c r="K1309">
        <v>2014</v>
      </c>
      <c r="L1309" t="s">
        <v>31</v>
      </c>
      <c r="M1309" t="s">
        <v>70</v>
      </c>
      <c r="N1309" t="s">
        <v>26</v>
      </c>
      <c r="O1309" t="s">
        <v>26</v>
      </c>
      <c r="P1309" s="1" t="s">
        <v>33</v>
      </c>
      <c r="Q1309">
        <v>111.5</v>
      </c>
    </row>
    <row r="1310" spans="1:17" x14ac:dyDescent="0.3">
      <c r="A1310">
        <v>2017</v>
      </c>
      <c r="B1310" t="s">
        <v>37</v>
      </c>
      <c r="C1310" t="s">
        <v>102</v>
      </c>
      <c r="D1310" s="1" t="s">
        <v>20</v>
      </c>
      <c r="E1310" s="4">
        <v>0</v>
      </c>
      <c r="F1310" s="4">
        <v>131.69999999999999</v>
      </c>
      <c r="G1310" s="4">
        <v>131.69999999999999</v>
      </c>
      <c r="H1310" s="1" t="s">
        <v>20</v>
      </c>
      <c r="K1310">
        <v>2014</v>
      </c>
      <c r="L1310" t="s">
        <v>31</v>
      </c>
      <c r="M1310" t="s">
        <v>70</v>
      </c>
      <c r="N1310" t="s">
        <v>5</v>
      </c>
      <c r="O1310" t="s">
        <v>188</v>
      </c>
      <c r="P1310" s="1" t="s">
        <v>30</v>
      </c>
      <c r="Q1310">
        <v>120.5</v>
      </c>
    </row>
    <row r="1311" spans="1:17" x14ac:dyDescent="0.3">
      <c r="A1311">
        <v>2017</v>
      </c>
      <c r="B1311" t="s">
        <v>37</v>
      </c>
      <c r="C1311" t="s">
        <v>102</v>
      </c>
      <c r="D1311" s="1" t="s">
        <v>4</v>
      </c>
      <c r="E1311" s="4">
        <v>138.69999999999999</v>
      </c>
      <c r="F1311" s="4">
        <v>139.4</v>
      </c>
      <c r="G1311" s="4">
        <v>140.6</v>
      </c>
      <c r="H1311" s="1" t="s">
        <v>188</v>
      </c>
      <c r="K1311">
        <v>2014</v>
      </c>
      <c r="L1311" t="s">
        <v>31</v>
      </c>
      <c r="M1311" t="s">
        <v>70</v>
      </c>
      <c r="N1311" t="s">
        <v>5</v>
      </c>
      <c r="O1311" t="s">
        <v>188</v>
      </c>
      <c r="P1311" s="1" t="s">
        <v>34</v>
      </c>
      <c r="Q1311">
        <v>124.1</v>
      </c>
    </row>
    <row r="1312" spans="1:17" x14ac:dyDescent="0.3">
      <c r="A1312">
        <v>2017</v>
      </c>
      <c r="B1312" t="s">
        <v>37</v>
      </c>
      <c r="C1312" t="s">
        <v>102</v>
      </c>
      <c r="D1312" s="1" t="s">
        <v>6</v>
      </c>
      <c r="E1312" s="4">
        <v>137.69999999999999</v>
      </c>
      <c r="F1312" s="4">
        <v>137.19999999999999</v>
      </c>
      <c r="G1312" s="4">
        <v>136.30000000000001</v>
      </c>
      <c r="H1312" s="1" t="s">
        <v>188</v>
      </c>
      <c r="K1312">
        <v>2014</v>
      </c>
      <c r="L1312" t="s">
        <v>31</v>
      </c>
      <c r="M1312" t="s">
        <v>70</v>
      </c>
      <c r="N1312" t="s">
        <v>5</v>
      </c>
      <c r="O1312" t="s">
        <v>188</v>
      </c>
      <c r="P1312" s="1" t="s">
        <v>33</v>
      </c>
      <c r="Q1312">
        <v>129.9</v>
      </c>
    </row>
    <row r="1313" spans="1:17" x14ac:dyDescent="0.3">
      <c r="A1313">
        <v>2017</v>
      </c>
      <c r="B1313" t="s">
        <v>37</v>
      </c>
      <c r="C1313" t="s">
        <v>102</v>
      </c>
      <c r="D1313" s="1" t="s">
        <v>28</v>
      </c>
      <c r="E1313" s="4">
        <v>127.5</v>
      </c>
      <c r="F1313" s="4">
        <v>125.1</v>
      </c>
      <c r="G1313" s="4">
        <v>122.5</v>
      </c>
      <c r="H1313" s="1" t="s">
        <v>192</v>
      </c>
      <c r="K1313">
        <v>2014</v>
      </c>
      <c r="L1313" t="s">
        <v>31</v>
      </c>
      <c r="M1313" t="s">
        <v>70</v>
      </c>
      <c r="N1313" t="s">
        <v>15</v>
      </c>
      <c r="O1313" t="s">
        <v>188</v>
      </c>
      <c r="P1313" s="1" t="s">
        <v>30</v>
      </c>
      <c r="Q1313">
        <v>116</v>
      </c>
    </row>
    <row r="1314" spans="1:17" x14ac:dyDescent="0.3">
      <c r="A1314">
        <v>2017</v>
      </c>
      <c r="B1314" t="s">
        <v>37</v>
      </c>
      <c r="C1314" t="s">
        <v>102</v>
      </c>
      <c r="D1314" s="1" t="s">
        <v>13</v>
      </c>
      <c r="E1314" s="4">
        <v>130</v>
      </c>
      <c r="F1314" s="4">
        <v>127.4</v>
      </c>
      <c r="G1314" s="4">
        <v>123.8</v>
      </c>
      <c r="H1314" s="1" t="s">
        <v>188</v>
      </c>
      <c r="K1314">
        <v>2014</v>
      </c>
      <c r="L1314" t="s">
        <v>31</v>
      </c>
      <c r="M1314" t="s">
        <v>70</v>
      </c>
      <c r="N1314" t="s">
        <v>15</v>
      </c>
      <c r="O1314" t="s">
        <v>188</v>
      </c>
      <c r="P1314" s="1" t="s">
        <v>34</v>
      </c>
      <c r="Q1314">
        <v>115.8</v>
      </c>
    </row>
    <row r="1315" spans="1:17" x14ac:dyDescent="0.3">
      <c r="A1315">
        <v>2017</v>
      </c>
      <c r="B1315" t="s">
        <v>37</v>
      </c>
      <c r="C1315" t="s">
        <v>102</v>
      </c>
      <c r="D1315" s="1" t="s">
        <v>7</v>
      </c>
      <c r="E1315" s="4">
        <v>121.3</v>
      </c>
      <c r="F1315" s="4">
        <v>118.4</v>
      </c>
      <c r="G1315" s="4">
        <v>113.5</v>
      </c>
      <c r="H1315" s="1" t="s">
        <v>188</v>
      </c>
      <c r="K1315">
        <v>2014</v>
      </c>
      <c r="L1315" t="s">
        <v>31</v>
      </c>
      <c r="M1315" t="s">
        <v>70</v>
      </c>
      <c r="N1315" t="s">
        <v>15</v>
      </c>
      <c r="O1315" t="s">
        <v>188</v>
      </c>
      <c r="P1315" s="1" t="s">
        <v>33</v>
      </c>
      <c r="Q1315">
        <v>115.5</v>
      </c>
    </row>
    <row r="1316" spans="1:17" x14ac:dyDescent="0.3">
      <c r="A1316">
        <v>2017</v>
      </c>
      <c r="B1316" t="s">
        <v>37</v>
      </c>
      <c r="C1316" t="s">
        <v>102</v>
      </c>
      <c r="D1316" s="1" t="s">
        <v>16</v>
      </c>
      <c r="E1316" s="4">
        <v>144.4</v>
      </c>
      <c r="F1316" s="4">
        <v>145.4</v>
      </c>
      <c r="G1316" s="4">
        <v>148</v>
      </c>
      <c r="H1316" s="1" t="s">
        <v>192</v>
      </c>
      <c r="K1316">
        <v>2014</v>
      </c>
      <c r="L1316" t="s">
        <v>31</v>
      </c>
      <c r="M1316" t="s">
        <v>70</v>
      </c>
      <c r="N1316" t="s">
        <v>18</v>
      </c>
      <c r="O1316" t="s">
        <v>189</v>
      </c>
      <c r="P1316" s="1" t="s">
        <v>30</v>
      </c>
      <c r="Q1316">
        <v>114.5</v>
      </c>
    </row>
    <row r="1317" spans="1:17" x14ac:dyDescent="0.3">
      <c r="A1317">
        <v>2017</v>
      </c>
      <c r="B1317" t="s">
        <v>37</v>
      </c>
      <c r="C1317" t="s">
        <v>102</v>
      </c>
      <c r="D1317" s="1" t="s">
        <v>27</v>
      </c>
      <c r="E1317" s="4">
        <v>123.7</v>
      </c>
      <c r="F1317" s="4">
        <v>123.1</v>
      </c>
      <c r="G1317" s="4">
        <v>122.2</v>
      </c>
      <c r="H1317" s="1" t="s">
        <v>192</v>
      </c>
      <c r="K1317">
        <v>2014</v>
      </c>
      <c r="L1317" t="s">
        <v>31</v>
      </c>
      <c r="M1317" t="s">
        <v>70</v>
      </c>
      <c r="N1317" t="s">
        <v>18</v>
      </c>
      <c r="O1317" t="s">
        <v>189</v>
      </c>
      <c r="P1317" s="1" t="s">
        <v>34</v>
      </c>
      <c r="Q1317">
        <v>113.2</v>
      </c>
    </row>
    <row r="1318" spans="1:17" x14ac:dyDescent="0.3">
      <c r="A1318">
        <v>2017</v>
      </c>
      <c r="B1318" t="s">
        <v>37</v>
      </c>
      <c r="C1318" t="s">
        <v>102</v>
      </c>
      <c r="D1318" s="1" t="s">
        <v>14</v>
      </c>
      <c r="E1318" s="4">
        <v>145.5</v>
      </c>
      <c r="F1318" s="4">
        <v>144.19999999999999</v>
      </c>
      <c r="G1318" s="4">
        <v>142.6</v>
      </c>
      <c r="H1318" s="1" t="s">
        <v>188</v>
      </c>
      <c r="K1318">
        <v>2014</v>
      </c>
      <c r="L1318" t="s">
        <v>31</v>
      </c>
      <c r="M1318" t="s">
        <v>70</v>
      </c>
      <c r="N1318" t="s">
        <v>18</v>
      </c>
      <c r="O1318" t="s">
        <v>189</v>
      </c>
      <c r="P1318" s="1" t="s">
        <v>33</v>
      </c>
      <c r="Q1318">
        <v>111.3</v>
      </c>
    </row>
    <row r="1319" spans="1:17" x14ac:dyDescent="0.3">
      <c r="A1319">
        <v>2017</v>
      </c>
      <c r="B1319" t="s">
        <v>37</v>
      </c>
      <c r="C1319" t="s">
        <v>102</v>
      </c>
      <c r="D1319" s="1" t="s">
        <v>10</v>
      </c>
      <c r="E1319" s="4">
        <v>144.5</v>
      </c>
      <c r="F1319" s="4">
        <v>140.9</v>
      </c>
      <c r="G1319" s="4">
        <v>133.80000000000001</v>
      </c>
      <c r="H1319" s="1" t="s">
        <v>188</v>
      </c>
      <c r="K1319">
        <v>2014</v>
      </c>
      <c r="L1319" t="s">
        <v>31</v>
      </c>
      <c r="M1319" t="s">
        <v>70</v>
      </c>
      <c r="N1319" t="s">
        <v>8</v>
      </c>
      <c r="O1319" t="s">
        <v>188</v>
      </c>
      <c r="P1319" s="1" t="s">
        <v>30</v>
      </c>
      <c r="Q1319">
        <v>115.5</v>
      </c>
    </row>
    <row r="1320" spans="1:17" x14ac:dyDescent="0.3">
      <c r="A1320">
        <v>2017</v>
      </c>
      <c r="B1320" t="s">
        <v>37</v>
      </c>
      <c r="C1320" t="s">
        <v>102</v>
      </c>
      <c r="D1320" s="1" t="s">
        <v>25</v>
      </c>
      <c r="E1320" s="4">
        <v>128.30000000000001</v>
      </c>
      <c r="F1320" s="4">
        <v>125.1</v>
      </c>
      <c r="G1320" s="4">
        <v>122.6</v>
      </c>
      <c r="H1320" s="1" t="s">
        <v>195</v>
      </c>
      <c r="K1320">
        <v>2014</v>
      </c>
      <c r="L1320" t="s">
        <v>31</v>
      </c>
      <c r="M1320" t="s">
        <v>70</v>
      </c>
      <c r="N1320" t="s">
        <v>8</v>
      </c>
      <c r="O1320" t="s">
        <v>188</v>
      </c>
      <c r="P1320" s="1" t="s">
        <v>34</v>
      </c>
      <c r="Q1320">
        <v>113.9</v>
      </c>
    </row>
    <row r="1321" spans="1:17" x14ac:dyDescent="0.3">
      <c r="A1321">
        <v>2017</v>
      </c>
      <c r="B1321" t="s">
        <v>37</v>
      </c>
      <c r="C1321" t="s">
        <v>102</v>
      </c>
      <c r="D1321" s="1" t="s">
        <v>12</v>
      </c>
      <c r="E1321" s="4">
        <v>134.1</v>
      </c>
      <c r="F1321" s="4">
        <v>136.5</v>
      </c>
      <c r="G1321" s="4">
        <v>141.30000000000001</v>
      </c>
      <c r="H1321" s="1" t="s">
        <v>188</v>
      </c>
      <c r="K1321">
        <v>2014</v>
      </c>
      <c r="L1321" t="s">
        <v>31</v>
      </c>
      <c r="M1321" t="s">
        <v>70</v>
      </c>
      <c r="N1321" t="s">
        <v>8</v>
      </c>
      <c r="O1321" t="s">
        <v>188</v>
      </c>
      <c r="P1321" s="1" t="s">
        <v>33</v>
      </c>
      <c r="Q1321">
        <v>112.1</v>
      </c>
    </row>
    <row r="1322" spans="1:17" x14ac:dyDescent="0.3">
      <c r="A1322">
        <v>2017</v>
      </c>
      <c r="B1322" t="s">
        <v>37</v>
      </c>
      <c r="C1322" t="s">
        <v>102</v>
      </c>
      <c r="D1322" s="1" t="s">
        <v>11</v>
      </c>
      <c r="E1322" s="4">
        <v>117.4</v>
      </c>
      <c r="F1322" s="4">
        <v>118.5</v>
      </c>
      <c r="G1322" s="4">
        <v>120.8</v>
      </c>
      <c r="H1322" s="1" t="s">
        <v>188</v>
      </c>
      <c r="K1322">
        <v>2014</v>
      </c>
      <c r="L1322" t="s">
        <v>31</v>
      </c>
      <c r="M1322" t="s">
        <v>70</v>
      </c>
      <c r="N1322" t="s">
        <v>21</v>
      </c>
      <c r="O1322" t="s">
        <v>190</v>
      </c>
      <c r="P1322" s="1" t="s">
        <v>30</v>
      </c>
      <c r="Q1322">
        <v>113</v>
      </c>
    </row>
    <row r="1323" spans="1:17" x14ac:dyDescent="0.3">
      <c r="A1323">
        <v>2017</v>
      </c>
      <c r="B1323" t="s">
        <v>37</v>
      </c>
      <c r="C1323" t="s">
        <v>102</v>
      </c>
      <c r="D1323" s="1" t="s">
        <v>24</v>
      </c>
      <c r="E1323" s="4">
        <v>119.2</v>
      </c>
      <c r="F1323" s="4">
        <v>116.6</v>
      </c>
      <c r="G1323" s="4">
        <v>114.3</v>
      </c>
      <c r="H1323" s="1" t="s">
        <v>191</v>
      </c>
      <c r="K1323">
        <v>2014</v>
      </c>
      <c r="L1323" t="s">
        <v>31</v>
      </c>
      <c r="M1323" t="s">
        <v>70</v>
      </c>
      <c r="N1323" t="s">
        <v>21</v>
      </c>
      <c r="O1323" t="s">
        <v>190</v>
      </c>
      <c r="P1323" s="1" t="s">
        <v>34</v>
      </c>
      <c r="Q1323">
        <v>112.2</v>
      </c>
    </row>
    <row r="1324" spans="1:17" x14ac:dyDescent="0.3">
      <c r="A1324">
        <v>2017</v>
      </c>
      <c r="B1324" t="s">
        <v>37</v>
      </c>
      <c r="C1324" t="s">
        <v>102</v>
      </c>
      <c r="D1324" s="1" t="s">
        <v>9</v>
      </c>
      <c r="E1324" s="4">
        <v>121.5</v>
      </c>
      <c r="F1324" s="4">
        <v>123.4</v>
      </c>
      <c r="G1324" s="4">
        <v>127.1</v>
      </c>
      <c r="H1324" s="1" t="s">
        <v>188</v>
      </c>
      <c r="K1324">
        <v>2014</v>
      </c>
      <c r="L1324" t="s">
        <v>31</v>
      </c>
      <c r="M1324" t="s">
        <v>70</v>
      </c>
      <c r="N1324" t="s">
        <v>21</v>
      </c>
      <c r="O1324" t="s">
        <v>190</v>
      </c>
      <c r="P1324" s="1" t="s">
        <v>33</v>
      </c>
      <c r="Q1324">
        <v>111</v>
      </c>
    </row>
    <row r="1325" spans="1:17" x14ac:dyDescent="0.3">
      <c r="A1325">
        <v>2017</v>
      </c>
      <c r="B1325" t="s">
        <v>41</v>
      </c>
      <c r="C1325" t="s">
        <v>103</v>
      </c>
      <c r="D1325" s="1" t="s">
        <v>3</v>
      </c>
      <c r="E1325" s="4">
        <v>134.80000000000001</v>
      </c>
      <c r="F1325" s="4">
        <v>134.30000000000001</v>
      </c>
      <c r="G1325" s="4">
        <v>133.19999999999999</v>
      </c>
      <c r="H1325" s="1" t="s">
        <v>188</v>
      </c>
      <c r="K1325">
        <v>2014</v>
      </c>
      <c r="L1325" t="s">
        <v>31</v>
      </c>
      <c r="M1325" t="s">
        <v>70</v>
      </c>
      <c r="N1325" t="s">
        <v>29</v>
      </c>
      <c r="O1325" t="s">
        <v>206</v>
      </c>
      <c r="P1325" s="1" t="s">
        <v>30</v>
      </c>
      <c r="Q1325">
        <v>114.2</v>
      </c>
    </row>
    <row r="1326" spans="1:17" x14ac:dyDescent="0.3">
      <c r="A1326">
        <v>2017</v>
      </c>
      <c r="B1326" t="s">
        <v>41</v>
      </c>
      <c r="C1326" t="s">
        <v>103</v>
      </c>
      <c r="D1326" s="1" t="s">
        <v>17</v>
      </c>
      <c r="E1326" s="4">
        <v>145.30000000000001</v>
      </c>
      <c r="F1326" s="4">
        <v>140.30000000000001</v>
      </c>
      <c r="G1326" s="4">
        <v>132.69999999999999</v>
      </c>
      <c r="H1326" s="1" t="s">
        <v>189</v>
      </c>
      <c r="K1326">
        <v>2014</v>
      </c>
      <c r="L1326" t="s">
        <v>31</v>
      </c>
      <c r="M1326" t="s">
        <v>70</v>
      </c>
      <c r="N1326" t="s">
        <v>29</v>
      </c>
      <c r="O1326" t="s">
        <v>206</v>
      </c>
      <c r="P1326" s="1" t="s">
        <v>34</v>
      </c>
      <c r="Q1326">
        <v>113.6</v>
      </c>
    </row>
    <row r="1327" spans="1:17" x14ac:dyDescent="0.3">
      <c r="A1327">
        <v>2017</v>
      </c>
      <c r="B1327" t="s">
        <v>41</v>
      </c>
      <c r="C1327" t="s">
        <v>103</v>
      </c>
      <c r="D1327" s="1" t="s">
        <v>19</v>
      </c>
      <c r="E1327" s="4">
        <v>144.5</v>
      </c>
      <c r="F1327" s="4">
        <v>139.30000000000001</v>
      </c>
      <c r="G1327" s="4">
        <v>131.4</v>
      </c>
      <c r="H1327" s="1" t="s">
        <v>189</v>
      </c>
      <c r="K1327">
        <v>2014</v>
      </c>
      <c r="L1327" t="s">
        <v>31</v>
      </c>
      <c r="M1327" t="s">
        <v>70</v>
      </c>
      <c r="N1327" t="s">
        <v>29</v>
      </c>
      <c r="O1327" t="s">
        <v>206</v>
      </c>
      <c r="P1327" s="1" t="s">
        <v>33</v>
      </c>
      <c r="Q1327">
        <v>112.9</v>
      </c>
    </row>
    <row r="1328" spans="1:17" x14ac:dyDescent="0.3">
      <c r="A1328">
        <v>2017</v>
      </c>
      <c r="B1328" t="s">
        <v>41</v>
      </c>
      <c r="C1328" t="s">
        <v>103</v>
      </c>
      <c r="D1328" s="1" t="s">
        <v>26</v>
      </c>
      <c r="E1328" s="4">
        <v>140.19999999999999</v>
      </c>
      <c r="F1328" s="4">
        <v>137.6</v>
      </c>
      <c r="G1328" s="4">
        <v>135.69999999999999</v>
      </c>
      <c r="H1328" s="1" t="s">
        <v>26</v>
      </c>
      <c r="K1328">
        <v>2014</v>
      </c>
      <c r="L1328" t="s">
        <v>31</v>
      </c>
      <c r="M1328" t="s">
        <v>70</v>
      </c>
      <c r="N1328" t="s">
        <v>23</v>
      </c>
      <c r="O1328" t="s">
        <v>23</v>
      </c>
      <c r="P1328" s="1" t="s">
        <v>30</v>
      </c>
      <c r="Q1328">
        <v>110.6</v>
      </c>
    </row>
    <row r="1329" spans="1:17" x14ac:dyDescent="0.3">
      <c r="A1329">
        <v>2017</v>
      </c>
      <c r="B1329" t="s">
        <v>41</v>
      </c>
      <c r="C1329" t="s">
        <v>103</v>
      </c>
      <c r="D1329" s="1" t="s">
        <v>5</v>
      </c>
      <c r="E1329" s="4">
        <v>130</v>
      </c>
      <c r="F1329" s="4">
        <v>129.30000000000001</v>
      </c>
      <c r="G1329" s="4">
        <v>128.30000000000001</v>
      </c>
      <c r="H1329" s="1" t="s">
        <v>188</v>
      </c>
      <c r="K1329">
        <v>2014</v>
      </c>
      <c r="L1329" t="s">
        <v>31</v>
      </c>
      <c r="M1329" t="s">
        <v>70</v>
      </c>
      <c r="N1329" t="s">
        <v>23</v>
      </c>
      <c r="O1329" t="s">
        <v>23</v>
      </c>
      <c r="P1329" s="1" t="s">
        <v>34</v>
      </c>
      <c r="Q1329">
        <v>110.3</v>
      </c>
    </row>
    <row r="1330" spans="1:17" x14ac:dyDescent="0.3">
      <c r="A1330">
        <v>2017</v>
      </c>
      <c r="B1330" t="s">
        <v>41</v>
      </c>
      <c r="C1330" t="s">
        <v>103</v>
      </c>
      <c r="D1330" s="1" t="s">
        <v>15</v>
      </c>
      <c r="E1330" s="4">
        <v>140.6</v>
      </c>
      <c r="F1330" s="4">
        <v>140.6</v>
      </c>
      <c r="G1330" s="4">
        <v>140.5</v>
      </c>
      <c r="H1330" s="1" t="s">
        <v>188</v>
      </c>
      <c r="K1330">
        <v>2014</v>
      </c>
      <c r="L1330" t="s">
        <v>31</v>
      </c>
      <c r="M1330" t="s">
        <v>70</v>
      </c>
      <c r="N1330" t="s">
        <v>23</v>
      </c>
      <c r="O1330" t="s">
        <v>23</v>
      </c>
      <c r="P1330" s="1" t="s">
        <v>33</v>
      </c>
      <c r="Q1330">
        <v>109.7</v>
      </c>
    </row>
    <row r="1331" spans="1:17" x14ac:dyDescent="0.3">
      <c r="A1331">
        <v>2017</v>
      </c>
      <c r="B1331" t="s">
        <v>41</v>
      </c>
      <c r="C1331" t="s">
        <v>103</v>
      </c>
      <c r="D1331" s="1" t="s">
        <v>18</v>
      </c>
      <c r="E1331" s="4">
        <v>139.19999999999999</v>
      </c>
      <c r="F1331" s="4">
        <v>133</v>
      </c>
      <c r="G1331" s="4">
        <v>124.3</v>
      </c>
      <c r="H1331" s="1" t="s">
        <v>189</v>
      </c>
      <c r="K1331">
        <v>2014</v>
      </c>
      <c r="L1331" t="s">
        <v>31</v>
      </c>
      <c r="M1331" t="s">
        <v>70</v>
      </c>
      <c r="N1331" t="s">
        <v>22</v>
      </c>
      <c r="O1331" t="s">
        <v>20</v>
      </c>
      <c r="P1331" s="1" t="s">
        <v>30</v>
      </c>
      <c r="Q1331">
        <v>112.6</v>
      </c>
    </row>
    <row r="1332" spans="1:17" x14ac:dyDescent="0.3">
      <c r="A1332">
        <v>2017</v>
      </c>
      <c r="B1332" t="s">
        <v>41</v>
      </c>
      <c r="C1332" t="s">
        <v>103</v>
      </c>
      <c r="D1332" s="1" t="s">
        <v>8</v>
      </c>
      <c r="E1332" s="4">
        <v>148</v>
      </c>
      <c r="F1332" s="4">
        <v>145.5</v>
      </c>
      <c r="G1332" s="4">
        <v>142.69999999999999</v>
      </c>
      <c r="H1332" s="1" t="s">
        <v>188</v>
      </c>
      <c r="K1332">
        <v>2014</v>
      </c>
      <c r="L1332" t="s">
        <v>31</v>
      </c>
      <c r="M1332" t="s">
        <v>70</v>
      </c>
      <c r="N1332" t="s">
        <v>22</v>
      </c>
      <c r="O1332" t="s">
        <v>20</v>
      </c>
      <c r="P1332" s="1" t="s">
        <v>34</v>
      </c>
      <c r="Q1332">
        <v>112.3</v>
      </c>
    </row>
    <row r="1333" spans="1:17" x14ac:dyDescent="0.3">
      <c r="A1333">
        <v>2017</v>
      </c>
      <c r="B1333" t="s">
        <v>41</v>
      </c>
      <c r="C1333" t="s">
        <v>103</v>
      </c>
      <c r="D1333" s="1" t="s">
        <v>21</v>
      </c>
      <c r="E1333" s="4">
        <v>136.4</v>
      </c>
      <c r="F1333" s="4">
        <v>129.80000000000001</v>
      </c>
      <c r="G1333" s="4">
        <v>118.9</v>
      </c>
      <c r="H1333" s="1" t="s">
        <v>190</v>
      </c>
      <c r="K1333">
        <v>2014</v>
      </c>
      <c r="L1333" t="s">
        <v>31</v>
      </c>
      <c r="M1333" t="s">
        <v>70</v>
      </c>
      <c r="N1333" t="s">
        <v>22</v>
      </c>
      <c r="O1333" t="s">
        <v>20</v>
      </c>
      <c r="P1333" s="1" t="s">
        <v>33</v>
      </c>
      <c r="Q1333">
        <v>111.9</v>
      </c>
    </row>
    <row r="1334" spans="1:17" x14ac:dyDescent="0.3">
      <c r="A1334">
        <v>2017</v>
      </c>
      <c r="B1334" t="s">
        <v>41</v>
      </c>
      <c r="C1334" t="s">
        <v>103</v>
      </c>
      <c r="D1334" s="1" t="s">
        <v>29</v>
      </c>
      <c r="E1334" s="4">
        <v>137.80000000000001</v>
      </c>
      <c r="F1334" s="4">
        <v>135.4</v>
      </c>
      <c r="G1334" s="4">
        <v>132.69999999999999</v>
      </c>
      <c r="H1334" s="1" t="s">
        <v>206</v>
      </c>
      <c r="K1334">
        <v>2014</v>
      </c>
      <c r="L1334" t="s">
        <v>31</v>
      </c>
      <c r="M1334" t="s">
        <v>70</v>
      </c>
      <c r="N1334" t="s">
        <v>20</v>
      </c>
      <c r="O1334" t="s">
        <v>20</v>
      </c>
      <c r="P1334" s="1" t="s">
        <v>30</v>
      </c>
      <c r="Q1334">
        <v>0</v>
      </c>
    </row>
    <row r="1335" spans="1:17" x14ac:dyDescent="0.3">
      <c r="A1335">
        <v>2017</v>
      </c>
      <c r="B1335" t="s">
        <v>41</v>
      </c>
      <c r="C1335" t="s">
        <v>103</v>
      </c>
      <c r="D1335" s="1" t="s">
        <v>23</v>
      </c>
      <c r="E1335" s="4">
        <v>133</v>
      </c>
      <c r="F1335" s="4">
        <v>130.19999999999999</v>
      </c>
      <c r="G1335" s="4">
        <v>125.7</v>
      </c>
      <c r="H1335" s="1" t="s">
        <v>23</v>
      </c>
      <c r="K1335">
        <v>2014</v>
      </c>
      <c r="L1335" t="s">
        <v>31</v>
      </c>
      <c r="M1335" t="s">
        <v>70</v>
      </c>
      <c r="N1335" t="s">
        <v>20</v>
      </c>
      <c r="O1335" t="s">
        <v>20</v>
      </c>
      <c r="P1335" s="1" t="s">
        <v>34</v>
      </c>
      <c r="Q1335">
        <v>111.6</v>
      </c>
    </row>
    <row r="1336" spans="1:17" x14ac:dyDescent="0.3">
      <c r="A1336">
        <v>2017</v>
      </c>
      <c r="B1336" t="s">
        <v>41</v>
      </c>
      <c r="C1336" t="s">
        <v>103</v>
      </c>
      <c r="D1336" s="1" t="s">
        <v>22</v>
      </c>
      <c r="E1336" s="4">
        <v>137.30000000000001</v>
      </c>
      <c r="F1336" s="4">
        <v>132.80000000000001</v>
      </c>
      <c r="G1336" s="4">
        <v>127.7</v>
      </c>
      <c r="H1336" s="1" t="s">
        <v>20</v>
      </c>
      <c r="K1336">
        <v>2014</v>
      </c>
      <c r="L1336" t="s">
        <v>31</v>
      </c>
      <c r="M1336" t="s">
        <v>70</v>
      </c>
      <c r="N1336" t="s">
        <v>20</v>
      </c>
      <c r="O1336" t="s">
        <v>20</v>
      </c>
      <c r="P1336" s="1" t="s">
        <v>33</v>
      </c>
      <c r="Q1336">
        <v>111.6</v>
      </c>
    </row>
    <row r="1337" spans="1:17" x14ac:dyDescent="0.3">
      <c r="A1337">
        <v>2017</v>
      </c>
      <c r="B1337" t="s">
        <v>41</v>
      </c>
      <c r="C1337" t="s">
        <v>103</v>
      </c>
      <c r="D1337" s="1" t="s">
        <v>20</v>
      </c>
      <c r="E1337" s="4">
        <v>0</v>
      </c>
      <c r="F1337" s="4">
        <v>134.4</v>
      </c>
      <c r="G1337" s="4">
        <v>134.4</v>
      </c>
      <c r="H1337" s="1" t="s">
        <v>20</v>
      </c>
      <c r="K1337">
        <v>2014</v>
      </c>
      <c r="L1337" t="s">
        <v>31</v>
      </c>
      <c r="M1337" t="s">
        <v>70</v>
      </c>
      <c r="N1337" t="s">
        <v>4</v>
      </c>
      <c r="O1337" t="s">
        <v>188</v>
      </c>
      <c r="P1337" s="1" t="s">
        <v>30</v>
      </c>
      <c r="Q1337">
        <v>117.1</v>
      </c>
    </row>
    <row r="1338" spans="1:17" x14ac:dyDescent="0.3">
      <c r="A1338">
        <v>2017</v>
      </c>
      <c r="B1338" t="s">
        <v>41</v>
      </c>
      <c r="C1338" t="s">
        <v>103</v>
      </c>
      <c r="D1338" s="1" t="s">
        <v>4</v>
      </c>
      <c r="E1338" s="4">
        <v>143.1</v>
      </c>
      <c r="F1338" s="4">
        <v>143.4</v>
      </c>
      <c r="G1338" s="4">
        <v>143.9</v>
      </c>
      <c r="H1338" s="1" t="s">
        <v>188</v>
      </c>
      <c r="K1338">
        <v>2014</v>
      </c>
      <c r="L1338" t="s">
        <v>31</v>
      </c>
      <c r="M1338" t="s">
        <v>70</v>
      </c>
      <c r="N1338" t="s">
        <v>4</v>
      </c>
      <c r="O1338" t="s">
        <v>188</v>
      </c>
      <c r="P1338" s="1" t="s">
        <v>34</v>
      </c>
      <c r="Q1338">
        <v>118.8</v>
      </c>
    </row>
    <row r="1339" spans="1:17" x14ac:dyDescent="0.3">
      <c r="A1339">
        <v>2017</v>
      </c>
      <c r="B1339" t="s">
        <v>41</v>
      </c>
      <c r="C1339" t="s">
        <v>103</v>
      </c>
      <c r="D1339" s="1" t="s">
        <v>6</v>
      </c>
      <c r="E1339" s="4">
        <v>139.4</v>
      </c>
      <c r="F1339" s="4">
        <v>139</v>
      </c>
      <c r="G1339" s="4">
        <v>138.30000000000001</v>
      </c>
      <c r="H1339" s="1" t="s">
        <v>188</v>
      </c>
      <c r="K1339">
        <v>2014</v>
      </c>
      <c r="L1339" t="s">
        <v>31</v>
      </c>
      <c r="M1339" t="s">
        <v>70</v>
      </c>
      <c r="N1339" t="s">
        <v>4</v>
      </c>
      <c r="O1339" t="s">
        <v>188</v>
      </c>
      <c r="P1339" s="1" t="s">
        <v>33</v>
      </c>
      <c r="Q1339">
        <v>122</v>
      </c>
    </row>
    <row r="1340" spans="1:17" x14ac:dyDescent="0.3">
      <c r="A1340">
        <v>2017</v>
      </c>
      <c r="B1340" t="s">
        <v>41</v>
      </c>
      <c r="C1340" t="s">
        <v>103</v>
      </c>
      <c r="D1340" s="1" t="s">
        <v>28</v>
      </c>
      <c r="E1340" s="4">
        <v>129.69999999999999</v>
      </c>
      <c r="F1340" s="4">
        <v>126.8</v>
      </c>
      <c r="G1340" s="4">
        <v>123.8</v>
      </c>
      <c r="H1340" s="1" t="s">
        <v>192</v>
      </c>
      <c r="K1340">
        <v>2014</v>
      </c>
      <c r="L1340" t="s">
        <v>31</v>
      </c>
      <c r="M1340" t="s">
        <v>70</v>
      </c>
      <c r="N1340" t="s">
        <v>6</v>
      </c>
      <c r="O1340" t="s">
        <v>188</v>
      </c>
      <c r="P1340" s="1" t="s">
        <v>30</v>
      </c>
      <c r="Q1340">
        <v>114.4</v>
      </c>
    </row>
    <row r="1341" spans="1:17" x14ac:dyDescent="0.3">
      <c r="A1341">
        <v>2017</v>
      </c>
      <c r="B1341" t="s">
        <v>41</v>
      </c>
      <c r="C1341" t="s">
        <v>103</v>
      </c>
      <c r="D1341" s="1" t="s">
        <v>13</v>
      </c>
      <c r="E1341" s="4">
        <v>131.6</v>
      </c>
      <c r="F1341" s="4">
        <v>128.69999999999999</v>
      </c>
      <c r="G1341" s="4">
        <v>124.6</v>
      </c>
      <c r="H1341" s="1" t="s">
        <v>188</v>
      </c>
      <c r="K1341">
        <v>2014</v>
      </c>
      <c r="L1341" t="s">
        <v>31</v>
      </c>
      <c r="M1341" t="s">
        <v>70</v>
      </c>
      <c r="N1341" t="s">
        <v>6</v>
      </c>
      <c r="O1341" t="s">
        <v>188</v>
      </c>
      <c r="P1341" s="1" t="s">
        <v>34</v>
      </c>
      <c r="Q1341">
        <v>114.1</v>
      </c>
    </row>
    <row r="1342" spans="1:17" x14ac:dyDescent="0.3">
      <c r="A1342">
        <v>2017</v>
      </c>
      <c r="B1342" t="s">
        <v>41</v>
      </c>
      <c r="C1342" t="s">
        <v>103</v>
      </c>
      <c r="D1342" s="1" t="s">
        <v>7</v>
      </c>
      <c r="E1342" s="4">
        <v>120.5</v>
      </c>
      <c r="F1342" s="4">
        <v>118.1</v>
      </c>
      <c r="G1342" s="4">
        <v>114.1</v>
      </c>
      <c r="H1342" s="1" t="s">
        <v>188</v>
      </c>
      <c r="K1342">
        <v>2014</v>
      </c>
      <c r="L1342" t="s">
        <v>31</v>
      </c>
      <c r="M1342" t="s">
        <v>70</v>
      </c>
      <c r="N1342" t="s">
        <v>6</v>
      </c>
      <c r="O1342" t="s">
        <v>188</v>
      </c>
      <c r="P1342" s="1" t="s">
        <v>33</v>
      </c>
      <c r="Q1342">
        <v>113.6</v>
      </c>
    </row>
    <row r="1343" spans="1:17" x14ac:dyDescent="0.3">
      <c r="A1343">
        <v>2017</v>
      </c>
      <c r="B1343" t="s">
        <v>41</v>
      </c>
      <c r="C1343" t="s">
        <v>103</v>
      </c>
      <c r="D1343" s="1" t="s">
        <v>16</v>
      </c>
      <c r="E1343" s="4">
        <v>149</v>
      </c>
      <c r="F1343" s="4">
        <v>149.80000000000001</v>
      </c>
      <c r="G1343" s="4">
        <v>152.1</v>
      </c>
      <c r="H1343" s="1" t="s">
        <v>192</v>
      </c>
      <c r="K1343">
        <v>2014</v>
      </c>
      <c r="L1343" t="s">
        <v>31</v>
      </c>
      <c r="M1343" t="s">
        <v>70</v>
      </c>
      <c r="N1343" t="s">
        <v>28</v>
      </c>
      <c r="O1343" t="s">
        <v>192</v>
      </c>
      <c r="P1343" s="1" t="s">
        <v>30</v>
      </c>
      <c r="Q1343">
        <v>110.6</v>
      </c>
    </row>
    <row r="1344" spans="1:17" x14ac:dyDescent="0.3">
      <c r="A1344">
        <v>2017</v>
      </c>
      <c r="B1344" t="s">
        <v>41</v>
      </c>
      <c r="C1344" t="s">
        <v>103</v>
      </c>
      <c r="D1344" s="1" t="s">
        <v>27</v>
      </c>
      <c r="E1344" s="4">
        <v>125.4</v>
      </c>
      <c r="F1344" s="4">
        <v>124.5</v>
      </c>
      <c r="G1344" s="4">
        <v>123.3</v>
      </c>
      <c r="H1344" s="1" t="s">
        <v>192</v>
      </c>
      <c r="K1344">
        <v>2014</v>
      </c>
      <c r="L1344" t="s">
        <v>31</v>
      </c>
      <c r="M1344" t="s">
        <v>70</v>
      </c>
      <c r="N1344" t="s">
        <v>28</v>
      </c>
      <c r="O1344" t="s">
        <v>192</v>
      </c>
      <c r="P1344" s="1" t="s">
        <v>34</v>
      </c>
      <c r="Q1344">
        <v>110.6</v>
      </c>
    </row>
    <row r="1345" spans="1:17" x14ac:dyDescent="0.3">
      <c r="A1345">
        <v>2017</v>
      </c>
      <c r="B1345" t="s">
        <v>41</v>
      </c>
      <c r="C1345" t="s">
        <v>103</v>
      </c>
      <c r="D1345" s="1" t="s">
        <v>14</v>
      </c>
      <c r="E1345" s="4">
        <v>148.69999999999999</v>
      </c>
      <c r="F1345" s="4">
        <v>146.80000000000001</v>
      </c>
      <c r="G1345" s="4">
        <v>144.5</v>
      </c>
      <c r="H1345" s="1" t="s">
        <v>188</v>
      </c>
      <c r="K1345">
        <v>2014</v>
      </c>
      <c r="L1345" t="s">
        <v>31</v>
      </c>
      <c r="M1345" t="s">
        <v>70</v>
      </c>
      <c r="N1345" t="s">
        <v>28</v>
      </c>
      <c r="O1345" t="s">
        <v>192</v>
      </c>
      <c r="P1345" s="1" t="s">
        <v>33</v>
      </c>
      <c r="Q1345">
        <v>110.5</v>
      </c>
    </row>
    <row r="1346" spans="1:17" x14ac:dyDescent="0.3">
      <c r="A1346">
        <v>2017</v>
      </c>
      <c r="B1346" t="s">
        <v>41</v>
      </c>
      <c r="C1346" t="s">
        <v>103</v>
      </c>
      <c r="D1346" s="1" t="s">
        <v>10</v>
      </c>
      <c r="E1346" s="4">
        <v>137.4</v>
      </c>
      <c r="F1346" s="4">
        <v>132.69999999999999</v>
      </c>
      <c r="G1346" s="4">
        <v>123.5</v>
      </c>
      <c r="H1346" s="1" t="s">
        <v>188</v>
      </c>
      <c r="K1346">
        <v>2014</v>
      </c>
      <c r="L1346" t="s">
        <v>31</v>
      </c>
      <c r="M1346" t="s">
        <v>70</v>
      </c>
      <c r="N1346" t="s">
        <v>13</v>
      </c>
      <c r="O1346" t="s">
        <v>188</v>
      </c>
      <c r="P1346" s="1" t="s">
        <v>30</v>
      </c>
      <c r="Q1346">
        <v>112.4</v>
      </c>
    </row>
    <row r="1347" spans="1:17" x14ac:dyDescent="0.3">
      <c r="A1347">
        <v>2017</v>
      </c>
      <c r="B1347" t="s">
        <v>41</v>
      </c>
      <c r="C1347" t="s">
        <v>103</v>
      </c>
      <c r="D1347" s="1" t="s">
        <v>25</v>
      </c>
      <c r="E1347" s="4">
        <v>131.5</v>
      </c>
      <c r="F1347" s="4">
        <v>127.3</v>
      </c>
      <c r="G1347" s="4">
        <v>124.1</v>
      </c>
      <c r="H1347" s="1" t="s">
        <v>195</v>
      </c>
      <c r="K1347">
        <v>2014</v>
      </c>
      <c r="L1347" t="s">
        <v>31</v>
      </c>
      <c r="M1347" t="s">
        <v>70</v>
      </c>
      <c r="N1347" t="s">
        <v>13</v>
      </c>
      <c r="O1347" t="s">
        <v>188</v>
      </c>
      <c r="P1347" s="1" t="s">
        <v>34</v>
      </c>
      <c r="Q1347">
        <v>112.3</v>
      </c>
    </row>
    <row r="1348" spans="1:17" x14ac:dyDescent="0.3">
      <c r="A1348">
        <v>2017</v>
      </c>
      <c r="B1348" t="s">
        <v>41</v>
      </c>
      <c r="C1348" t="s">
        <v>103</v>
      </c>
      <c r="D1348" s="1" t="s">
        <v>12</v>
      </c>
      <c r="E1348" s="4">
        <v>134.69999999999999</v>
      </c>
      <c r="F1348" s="4">
        <v>135.6</v>
      </c>
      <c r="G1348" s="4">
        <v>137.5</v>
      </c>
      <c r="H1348" s="1" t="s">
        <v>188</v>
      </c>
      <c r="K1348">
        <v>2014</v>
      </c>
      <c r="L1348" t="s">
        <v>31</v>
      </c>
      <c r="M1348" t="s">
        <v>70</v>
      </c>
      <c r="N1348" t="s">
        <v>13</v>
      </c>
      <c r="O1348" t="s">
        <v>188</v>
      </c>
      <c r="P1348" s="1" t="s">
        <v>33</v>
      </c>
      <c r="Q1348">
        <v>112.1</v>
      </c>
    </row>
    <row r="1349" spans="1:17" x14ac:dyDescent="0.3">
      <c r="A1349">
        <v>2017</v>
      </c>
      <c r="B1349" t="s">
        <v>41</v>
      </c>
      <c r="C1349" t="s">
        <v>103</v>
      </c>
      <c r="D1349" s="1" t="s">
        <v>11</v>
      </c>
      <c r="E1349" s="4">
        <v>120.8</v>
      </c>
      <c r="F1349" s="4">
        <v>121.2</v>
      </c>
      <c r="G1349" s="4">
        <v>122.1</v>
      </c>
      <c r="H1349" s="1" t="s">
        <v>188</v>
      </c>
      <c r="K1349">
        <v>2014</v>
      </c>
      <c r="L1349" t="s">
        <v>31</v>
      </c>
      <c r="M1349" t="s">
        <v>70</v>
      </c>
      <c r="N1349" t="s">
        <v>7</v>
      </c>
      <c r="O1349" t="s">
        <v>188</v>
      </c>
      <c r="P1349" s="1" t="s">
        <v>30</v>
      </c>
      <c r="Q1349">
        <v>109</v>
      </c>
    </row>
    <row r="1350" spans="1:17" x14ac:dyDescent="0.3">
      <c r="A1350">
        <v>2017</v>
      </c>
      <c r="B1350" t="s">
        <v>41</v>
      </c>
      <c r="C1350" t="s">
        <v>103</v>
      </c>
      <c r="D1350" s="1" t="s">
        <v>24</v>
      </c>
      <c r="E1350" s="4">
        <v>120.3</v>
      </c>
      <c r="F1350" s="4">
        <v>117.3</v>
      </c>
      <c r="G1350" s="4">
        <v>114.6</v>
      </c>
      <c r="H1350" s="1" t="s">
        <v>191</v>
      </c>
      <c r="K1350">
        <v>2014</v>
      </c>
      <c r="L1350" t="s">
        <v>31</v>
      </c>
      <c r="M1350" t="s">
        <v>70</v>
      </c>
      <c r="N1350" t="s">
        <v>7</v>
      </c>
      <c r="O1350" t="s">
        <v>188</v>
      </c>
      <c r="P1350" s="1" t="s">
        <v>34</v>
      </c>
      <c r="Q1350">
        <v>106.8</v>
      </c>
    </row>
    <row r="1351" spans="1:17" x14ac:dyDescent="0.3">
      <c r="A1351">
        <v>2017</v>
      </c>
      <c r="B1351" t="s">
        <v>41</v>
      </c>
      <c r="C1351" t="s">
        <v>103</v>
      </c>
      <c r="D1351" s="1" t="s">
        <v>9</v>
      </c>
      <c r="E1351" s="4">
        <v>162.9</v>
      </c>
      <c r="F1351" s="4">
        <v>168.6</v>
      </c>
      <c r="G1351" s="4">
        <v>179.8</v>
      </c>
      <c r="H1351" s="1" t="s">
        <v>188</v>
      </c>
      <c r="K1351">
        <v>2014</v>
      </c>
      <c r="L1351" t="s">
        <v>31</v>
      </c>
      <c r="M1351" t="s">
        <v>70</v>
      </c>
      <c r="N1351" t="s">
        <v>7</v>
      </c>
      <c r="O1351" t="s">
        <v>188</v>
      </c>
      <c r="P1351" s="1" t="s">
        <v>33</v>
      </c>
      <c r="Q1351">
        <v>102.9</v>
      </c>
    </row>
    <row r="1352" spans="1:17" x14ac:dyDescent="0.3">
      <c r="A1352">
        <v>2017</v>
      </c>
      <c r="B1352" t="s">
        <v>45</v>
      </c>
      <c r="C1352" t="s">
        <v>104</v>
      </c>
      <c r="D1352" s="1" t="s">
        <v>3</v>
      </c>
      <c r="E1352" s="4">
        <v>136.4</v>
      </c>
      <c r="F1352" s="4">
        <v>135.80000000000001</v>
      </c>
      <c r="G1352" s="4">
        <v>134.4</v>
      </c>
      <c r="H1352" s="1" t="s">
        <v>188</v>
      </c>
      <c r="K1352">
        <v>2014</v>
      </c>
      <c r="L1352" t="s">
        <v>31</v>
      </c>
      <c r="M1352" t="s">
        <v>70</v>
      </c>
      <c r="N1352" t="s">
        <v>16</v>
      </c>
      <c r="O1352" t="s">
        <v>192</v>
      </c>
      <c r="P1352" s="1" t="s">
        <v>30</v>
      </c>
      <c r="Q1352">
        <v>114</v>
      </c>
    </row>
    <row r="1353" spans="1:17" x14ac:dyDescent="0.3">
      <c r="A1353">
        <v>2017</v>
      </c>
      <c r="B1353" t="s">
        <v>45</v>
      </c>
      <c r="C1353" t="s">
        <v>104</v>
      </c>
      <c r="D1353" s="1" t="s">
        <v>17</v>
      </c>
      <c r="E1353" s="4">
        <v>148</v>
      </c>
      <c r="F1353" s="4">
        <v>143.1</v>
      </c>
      <c r="G1353" s="4">
        <v>135.6</v>
      </c>
      <c r="H1353" s="1" t="s">
        <v>189</v>
      </c>
      <c r="K1353">
        <v>2014</v>
      </c>
      <c r="L1353" t="s">
        <v>31</v>
      </c>
      <c r="M1353" t="s">
        <v>70</v>
      </c>
      <c r="N1353" t="s">
        <v>16</v>
      </c>
      <c r="O1353" t="s">
        <v>192</v>
      </c>
      <c r="P1353" s="1" t="s">
        <v>34</v>
      </c>
      <c r="Q1353">
        <v>114.5</v>
      </c>
    </row>
    <row r="1354" spans="1:17" x14ac:dyDescent="0.3">
      <c r="A1354">
        <v>2017</v>
      </c>
      <c r="B1354" t="s">
        <v>45</v>
      </c>
      <c r="C1354" t="s">
        <v>104</v>
      </c>
      <c r="D1354" s="1" t="s">
        <v>19</v>
      </c>
      <c r="E1354" s="4">
        <v>147.19999999999999</v>
      </c>
      <c r="F1354" s="4">
        <v>142</v>
      </c>
      <c r="G1354" s="4">
        <v>134</v>
      </c>
      <c r="H1354" s="1" t="s">
        <v>189</v>
      </c>
      <c r="K1354">
        <v>2014</v>
      </c>
      <c r="L1354" t="s">
        <v>31</v>
      </c>
      <c r="M1354" t="s">
        <v>70</v>
      </c>
      <c r="N1354" t="s">
        <v>16</v>
      </c>
      <c r="O1354" t="s">
        <v>192</v>
      </c>
      <c r="P1354" s="1" t="s">
        <v>33</v>
      </c>
      <c r="Q1354">
        <v>115.7</v>
      </c>
    </row>
    <row r="1355" spans="1:17" x14ac:dyDescent="0.3">
      <c r="A1355">
        <v>2017</v>
      </c>
      <c r="B1355" t="s">
        <v>45</v>
      </c>
      <c r="C1355" t="s">
        <v>104</v>
      </c>
      <c r="D1355" s="1" t="s">
        <v>26</v>
      </c>
      <c r="E1355" s="4">
        <v>141.1</v>
      </c>
      <c r="F1355" s="4">
        <v>138.5</v>
      </c>
      <c r="G1355" s="4">
        <v>136.69999999999999</v>
      </c>
      <c r="H1355" s="1" t="s">
        <v>26</v>
      </c>
      <c r="K1355">
        <v>2014</v>
      </c>
      <c r="L1355" t="s">
        <v>31</v>
      </c>
      <c r="M1355" t="s">
        <v>70</v>
      </c>
      <c r="N1355" t="s">
        <v>27</v>
      </c>
      <c r="O1355" t="s">
        <v>192</v>
      </c>
      <c r="P1355" s="1" t="s">
        <v>30</v>
      </c>
      <c r="Q1355">
        <v>108.3</v>
      </c>
    </row>
    <row r="1356" spans="1:17" x14ac:dyDescent="0.3">
      <c r="A1356">
        <v>2017</v>
      </c>
      <c r="B1356" t="s">
        <v>45</v>
      </c>
      <c r="C1356" t="s">
        <v>104</v>
      </c>
      <c r="D1356" s="1" t="s">
        <v>5</v>
      </c>
      <c r="E1356" s="4">
        <v>144.80000000000001</v>
      </c>
      <c r="F1356" s="4">
        <v>145.19999999999999</v>
      </c>
      <c r="G1356" s="4">
        <v>145.9</v>
      </c>
      <c r="H1356" s="1" t="s">
        <v>188</v>
      </c>
      <c r="K1356">
        <v>2014</v>
      </c>
      <c r="L1356" t="s">
        <v>31</v>
      </c>
      <c r="M1356" t="s">
        <v>70</v>
      </c>
      <c r="N1356" t="s">
        <v>27</v>
      </c>
      <c r="O1356" t="s">
        <v>192</v>
      </c>
      <c r="P1356" s="1" t="s">
        <v>34</v>
      </c>
      <c r="Q1356">
        <v>108.2</v>
      </c>
    </row>
    <row r="1357" spans="1:17" x14ac:dyDescent="0.3">
      <c r="A1357">
        <v>2017</v>
      </c>
      <c r="B1357" t="s">
        <v>45</v>
      </c>
      <c r="C1357" t="s">
        <v>104</v>
      </c>
      <c r="D1357" s="1" t="s">
        <v>15</v>
      </c>
      <c r="E1357" s="4">
        <v>141.5</v>
      </c>
      <c r="F1357" s="4">
        <v>140.5</v>
      </c>
      <c r="G1357" s="4">
        <v>138.80000000000001</v>
      </c>
      <c r="H1357" s="1" t="s">
        <v>188</v>
      </c>
      <c r="K1357">
        <v>2014</v>
      </c>
      <c r="L1357" t="s">
        <v>31</v>
      </c>
      <c r="M1357" t="s">
        <v>70</v>
      </c>
      <c r="N1357" t="s">
        <v>27</v>
      </c>
      <c r="O1357" t="s">
        <v>192</v>
      </c>
      <c r="P1357" s="1" t="s">
        <v>33</v>
      </c>
      <c r="Q1357">
        <v>108</v>
      </c>
    </row>
    <row r="1358" spans="1:17" x14ac:dyDescent="0.3">
      <c r="A1358">
        <v>2017</v>
      </c>
      <c r="B1358" t="s">
        <v>45</v>
      </c>
      <c r="C1358" t="s">
        <v>104</v>
      </c>
      <c r="D1358" s="1" t="s">
        <v>18</v>
      </c>
      <c r="E1358" s="4">
        <v>141.9</v>
      </c>
      <c r="F1358" s="4">
        <v>135.1</v>
      </c>
      <c r="G1358" s="4">
        <v>125.6</v>
      </c>
      <c r="H1358" s="1" t="s">
        <v>189</v>
      </c>
      <c r="K1358">
        <v>2014</v>
      </c>
      <c r="L1358" t="s">
        <v>31</v>
      </c>
      <c r="M1358" t="s">
        <v>70</v>
      </c>
      <c r="N1358" t="s">
        <v>14</v>
      </c>
      <c r="O1358" t="s">
        <v>188</v>
      </c>
      <c r="P1358" s="1" t="s">
        <v>30</v>
      </c>
      <c r="Q1358">
        <v>117.3</v>
      </c>
    </row>
    <row r="1359" spans="1:17" x14ac:dyDescent="0.3">
      <c r="A1359">
        <v>2017</v>
      </c>
      <c r="B1359" t="s">
        <v>45</v>
      </c>
      <c r="C1359" t="s">
        <v>104</v>
      </c>
      <c r="D1359" s="1" t="s">
        <v>8</v>
      </c>
      <c r="E1359" s="4">
        <v>147.19999999999999</v>
      </c>
      <c r="F1359" s="4">
        <v>141.5</v>
      </c>
      <c r="G1359" s="4">
        <v>135</v>
      </c>
      <c r="H1359" s="1" t="s">
        <v>188</v>
      </c>
      <c r="K1359">
        <v>2014</v>
      </c>
      <c r="L1359" t="s">
        <v>31</v>
      </c>
      <c r="M1359" t="s">
        <v>70</v>
      </c>
      <c r="N1359" t="s">
        <v>14</v>
      </c>
      <c r="O1359" t="s">
        <v>188</v>
      </c>
      <c r="P1359" s="1" t="s">
        <v>34</v>
      </c>
      <c r="Q1359">
        <v>118.1</v>
      </c>
    </row>
    <row r="1360" spans="1:17" x14ac:dyDescent="0.3">
      <c r="A1360">
        <v>2017</v>
      </c>
      <c r="B1360" t="s">
        <v>45</v>
      </c>
      <c r="C1360" t="s">
        <v>104</v>
      </c>
      <c r="D1360" s="1" t="s">
        <v>21</v>
      </c>
      <c r="E1360" s="4">
        <v>142.6</v>
      </c>
      <c r="F1360" s="4">
        <v>136.6</v>
      </c>
      <c r="G1360" s="4">
        <v>126.8</v>
      </c>
      <c r="H1360" s="1" t="s">
        <v>190</v>
      </c>
      <c r="K1360">
        <v>2014</v>
      </c>
      <c r="L1360" t="s">
        <v>31</v>
      </c>
      <c r="M1360" t="s">
        <v>70</v>
      </c>
      <c r="N1360" t="s">
        <v>14</v>
      </c>
      <c r="O1360" t="s">
        <v>188</v>
      </c>
      <c r="P1360" s="1" t="s">
        <v>33</v>
      </c>
      <c r="Q1360">
        <v>119</v>
      </c>
    </row>
    <row r="1361" spans="1:17" x14ac:dyDescent="0.3">
      <c r="A1361">
        <v>2017</v>
      </c>
      <c r="B1361" t="s">
        <v>45</v>
      </c>
      <c r="C1361" t="s">
        <v>104</v>
      </c>
      <c r="D1361" s="1" t="s">
        <v>29</v>
      </c>
      <c r="E1361" s="4">
        <v>139.80000000000001</v>
      </c>
      <c r="F1361" s="4">
        <v>137.19999999999999</v>
      </c>
      <c r="G1361" s="4">
        <v>134.1</v>
      </c>
      <c r="H1361" s="1" t="s">
        <v>206</v>
      </c>
      <c r="K1361">
        <v>2014</v>
      </c>
      <c r="L1361" t="s">
        <v>31</v>
      </c>
      <c r="M1361" t="s">
        <v>70</v>
      </c>
      <c r="N1361" t="s">
        <v>10</v>
      </c>
      <c r="O1361" t="s">
        <v>188</v>
      </c>
      <c r="P1361" s="1" t="s">
        <v>30</v>
      </c>
      <c r="Q1361">
        <v>109.6</v>
      </c>
    </row>
    <row r="1362" spans="1:17" x14ac:dyDescent="0.3">
      <c r="A1362">
        <v>2017</v>
      </c>
      <c r="B1362" t="s">
        <v>45</v>
      </c>
      <c r="C1362" t="s">
        <v>104</v>
      </c>
      <c r="D1362" s="1" t="s">
        <v>23</v>
      </c>
      <c r="E1362" s="4">
        <v>136.1</v>
      </c>
      <c r="F1362" s="4">
        <v>133.1</v>
      </c>
      <c r="G1362" s="4">
        <v>128.19999999999999</v>
      </c>
      <c r="H1362" s="1" t="s">
        <v>23</v>
      </c>
      <c r="K1362">
        <v>2014</v>
      </c>
      <c r="L1362" t="s">
        <v>31</v>
      </c>
      <c r="M1362" t="s">
        <v>70</v>
      </c>
      <c r="N1362" t="s">
        <v>10</v>
      </c>
      <c r="O1362" t="s">
        <v>188</v>
      </c>
      <c r="P1362" s="1" t="s">
        <v>34</v>
      </c>
      <c r="Q1362">
        <v>108.9</v>
      </c>
    </row>
    <row r="1363" spans="1:17" x14ac:dyDescent="0.3">
      <c r="A1363">
        <v>2017</v>
      </c>
      <c r="B1363" t="s">
        <v>45</v>
      </c>
      <c r="C1363" t="s">
        <v>104</v>
      </c>
      <c r="D1363" s="1" t="s">
        <v>22</v>
      </c>
      <c r="E1363" s="4">
        <v>139.5</v>
      </c>
      <c r="F1363" s="4">
        <v>134.69999999999999</v>
      </c>
      <c r="G1363" s="4">
        <v>129.30000000000001</v>
      </c>
      <c r="H1363" s="1" t="s">
        <v>20</v>
      </c>
      <c r="K1363">
        <v>2014</v>
      </c>
      <c r="L1363" t="s">
        <v>31</v>
      </c>
      <c r="M1363" t="s">
        <v>70</v>
      </c>
      <c r="N1363" t="s">
        <v>10</v>
      </c>
      <c r="O1363" t="s">
        <v>188</v>
      </c>
      <c r="P1363" s="1" t="s">
        <v>33</v>
      </c>
      <c r="Q1363">
        <v>107.5</v>
      </c>
    </row>
    <row r="1364" spans="1:17" x14ac:dyDescent="0.3">
      <c r="A1364">
        <v>2017</v>
      </c>
      <c r="B1364" t="s">
        <v>45</v>
      </c>
      <c r="C1364" t="s">
        <v>104</v>
      </c>
      <c r="D1364" s="1" t="s">
        <v>20</v>
      </c>
      <c r="E1364" s="4">
        <v>0</v>
      </c>
      <c r="F1364" s="4">
        <v>139.1</v>
      </c>
      <c r="G1364" s="4">
        <v>139.1</v>
      </c>
      <c r="H1364" s="1" t="s">
        <v>20</v>
      </c>
      <c r="K1364">
        <v>2014</v>
      </c>
      <c r="L1364" t="s">
        <v>31</v>
      </c>
      <c r="M1364" t="s">
        <v>70</v>
      </c>
      <c r="N1364" t="s">
        <v>25</v>
      </c>
      <c r="O1364" t="s">
        <v>195</v>
      </c>
      <c r="P1364" s="1" t="s">
        <v>30</v>
      </c>
      <c r="Q1364">
        <v>109.6</v>
      </c>
    </row>
    <row r="1365" spans="1:17" x14ac:dyDescent="0.3">
      <c r="A1365">
        <v>2017</v>
      </c>
      <c r="B1365" t="s">
        <v>45</v>
      </c>
      <c r="C1365" t="s">
        <v>104</v>
      </c>
      <c r="D1365" s="1" t="s">
        <v>4</v>
      </c>
      <c r="E1365" s="4">
        <v>143.69999999999999</v>
      </c>
      <c r="F1365" s="4">
        <v>143.30000000000001</v>
      </c>
      <c r="G1365" s="4">
        <v>142.6</v>
      </c>
      <c r="H1365" s="1" t="s">
        <v>188</v>
      </c>
      <c r="K1365">
        <v>2014</v>
      </c>
      <c r="L1365" t="s">
        <v>31</v>
      </c>
      <c r="M1365" t="s">
        <v>70</v>
      </c>
      <c r="N1365" t="s">
        <v>25</v>
      </c>
      <c r="O1365" t="s">
        <v>195</v>
      </c>
      <c r="P1365" s="1" t="s">
        <v>34</v>
      </c>
      <c r="Q1365">
        <v>109.7</v>
      </c>
    </row>
    <row r="1366" spans="1:17" x14ac:dyDescent="0.3">
      <c r="A1366">
        <v>2017</v>
      </c>
      <c r="B1366" t="s">
        <v>45</v>
      </c>
      <c r="C1366" t="s">
        <v>104</v>
      </c>
      <c r="D1366" s="1" t="s">
        <v>6</v>
      </c>
      <c r="E1366" s="4">
        <v>141.9</v>
      </c>
      <c r="F1366" s="4">
        <v>141</v>
      </c>
      <c r="G1366" s="4">
        <v>139.5</v>
      </c>
      <c r="H1366" s="1" t="s">
        <v>188</v>
      </c>
      <c r="K1366">
        <v>2014</v>
      </c>
      <c r="L1366" t="s">
        <v>31</v>
      </c>
      <c r="M1366" t="s">
        <v>70</v>
      </c>
      <c r="N1366" t="s">
        <v>25</v>
      </c>
      <c r="O1366" t="s">
        <v>195</v>
      </c>
      <c r="P1366" s="1" t="s">
        <v>33</v>
      </c>
      <c r="Q1366">
        <v>109.8</v>
      </c>
    </row>
    <row r="1367" spans="1:17" x14ac:dyDescent="0.3">
      <c r="A1367">
        <v>2017</v>
      </c>
      <c r="B1367" t="s">
        <v>45</v>
      </c>
      <c r="C1367" t="s">
        <v>104</v>
      </c>
      <c r="D1367" s="1" t="s">
        <v>28</v>
      </c>
      <c r="E1367" s="4">
        <v>131.9</v>
      </c>
      <c r="F1367" s="4">
        <v>128.6</v>
      </c>
      <c r="G1367" s="4">
        <v>125.1</v>
      </c>
      <c r="H1367" s="1" t="s">
        <v>192</v>
      </c>
      <c r="K1367">
        <v>2014</v>
      </c>
      <c r="L1367" t="s">
        <v>31</v>
      </c>
      <c r="M1367" t="s">
        <v>70</v>
      </c>
      <c r="N1367" t="s">
        <v>12</v>
      </c>
      <c r="O1367" t="s">
        <v>188</v>
      </c>
      <c r="P1367" s="1" t="s">
        <v>30</v>
      </c>
      <c r="Q1367">
        <v>110.2</v>
      </c>
    </row>
    <row r="1368" spans="1:17" x14ac:dyDescent="0.3">
      <c r="A1368">
        <v>2017</v>
      </c>
      <c r="B1368" t="s">
        <v>45</v>
      </c>
      <c r="C1368" t="s">
        <v>104</v>
      </c>
      <c r="D1368" s="1" t="s">
        <v>13</v>
      </c>
      <c r="E1368" s="4">
        <v>131.1</v>
      </c>
      <c r="F1368" s="4">
        <v>128.80000000000001</v>
      </c>
      <c r="G1368" s="4">
        <v>125.7</v>
      </c>
      <c r="H1368" s="1" t="s">
        <v>188</v>
      </c>
      <c r="K1368">
        <v>2014</v>
      </c>
      <c r="L1368" t="s">
        <v>31</v>
      </c>
      <c r="M1368" t="s">
        <v>70</v>
      </c>
      <c r="N1368" t="s">
        <v>12</v>
      </c>
      <c r="O1368" t="s">
        <v>188</v>
      </c>
      <c r="P1368" s="1" t="s">
        <v>34</v>
      </c>
      <c r="Q1368">
        <v>111</v>
      </c>
    </row>
    <row r="1369" spans="1:17" x14ac:dyDescent="0.3">
      <c r="A1369">
        <v>2017</v>
      </c>
      <c r="B1369" t="s">
        <v>45</v>
      </c>
      <c r="C1369" t="s">
        <v>104</v>
      </c>
      <c r="D1369" s="1" t="s">
        <v>7</v>
      </c>
      <c r="E1369" s="4">
        <v>123.1</v>
      </c>
      <c r="F1369" s="4">
        <v>120.5</v>
      </c>
      <c r="G1369" s="4">
        <v>115.9</v>
      </c>
      <c r="H1369" s="1" t="s">
        <v>188</v>
      </c>
      <c r="K1369">
        <v>2014</v>
      </c>
      <c r="L1369" t="s">
        <v>31</v>
      </c>
      <c r="M1369" t="s">
        <v>70</v>
      </c>
      <c r="N1369" t="s">
        <v>12</v>
      </c>
      <c r="O1369" t="s">
        <v>188</v>
      </c>
      <c r="P1369" s="1" t="s">
        <v>33</v>
      </c>
      <c r="Q1369">
        <v>112.7</v>
      </c>
    </row>
    <row r="1370" spans="1:17" x14ac:dyDescent="0.3">
      <c r="A1370">
        <v>2017</v>
      </c>
      <c r="B1370" t="s">
        <v>45</v>
      </c>
      <c r="C1370" t="s">
        <v>104</v>
      </c>
      <c r="D1370" s="1" t="s">
        <v>16</v>
      </c>
      <c r="E1370" s="4">
        <v>153.19999999999999</v>
      </c>
      <c r="F1370" s="4">
        <v>154.19999999999999</v>
      </c>
      <c r="G1370" s="4">
        <v>157</v>
      </c>
      <c r="H1370" s="1" t="s">
        <v>192</v>
      </c>
      <c r="K1370">
        <v>2014</v>
      </c>
      <c r="L1370" t="s">
        <v>31</v>
      </c>
      <c r="M1370" t="s">
        <v>70</v>
      </c>
      <c r="N1370" t="s">
        <v>11</v>
      </c>
      <c r="O1370" t="s">
        <v>188</v>
      </c>
      <c r="P1370" s="1" t="s">
        <v>30</v>
      </c>
      <c r="Q1370">
        <v>101.8</v>
      </c>
    </row>
    <row r="1371" spans="1:17" x14ac:dyDescent="0.3">
      <c r="A1371">
        <v>2017</v>
      </c>
      <c r="B1371" t="s">
        <v>45</v>
      </c>
      <c r="C1371" t="s">
        <v>104</v>
      </c>
      <c r="D1371" s="1" t="s">
        <v>27</v>
      </c>
      <c r="E1371" s="4">
        <v>127.8</v>
      </c>
      <c r="F1371" s="4">
        <v>126.5</v>
      </c>
      <c r="G1371" s="4">
        <v>124.6</v>
      </c>
      <c r="H1371" s="1" t="s">
        <v>192</v>
      </c>
      <c r="K1371">
        <v>2014</v>
      </c>
      <c r="L1371" t="s">
        <v>31</v>
      </c>
      <c r="M1371" t="s">
        <v>70</v>
      </c>
      <c r="N1371" t="s">
        <v>11</v>
      </c>
      <c r="O1371" t="s">
        <v>188</v>
      </c>
      <c r="P1371" s="1" t="s">
        <v>34</v>
      </c>
      <c r="Q1371">
        <v>100.2</v>
      </c>
    </row>
    <row r="1372" spans="1:17" x14ac:dyDescent="0.3">
      <c r="A1372">
        <v>2017</v>
      </c>
      <c r="B1372" t="s">
        <v>45</v>
      </c>
      <c r="C1372" t="s">
        <v>104</v>
      </c>
      <c r="D1372" s="1" t="s">
        <v>14</v>
      </c>
      <c r="E1372" s="4">
        <v>151.4</v>
      </c>
      <c r="F1372" s="4">
        <v>149</v>
      </c>
      <c r="G1372" s="4">
        <v>146.30000000000001</v>
      </c>
      <c r="H1372" s="1" t="s">
        <v>188</v>
      </c>
      <c r="K1372">
        <v>2014</v>
      </c>
      <c r="L1372" t="s">
        <v>31</v>
      </c>
      <c r="M1372" t="s">
        <v>70</v>
      </c>
      <c r="N1372" t="s">
        <v>11</v>
      </c>
      <c r="O1372" t="s">
        <v>188</v>
      </c>
      <c r="P1372" s="1" t="s">
        <v>33</v>
      </c>
      <c r="Q1372">
        <v>96.9</v>
      </c>
    </row>
    <row r="1373" spans="1:17" x14ac:dyDescent="0.3">
      <c r="A1373">
        <v>2017</v>
      </c>
      <c r="B1373" t="s">
        <v>45</v>
      </c>
      <c r="C1373" t="s">
        <v>104</v>
      </c>
      <c r="D1373" s="1" t="s">
        <v>10</v>
      </c>
      <c r="E1373" s="4">
        <v>133.80000000000001</v>
      </c>
      <c r="F1373" s="4">
        <v>129.1</v>
      </c>
      <c r="G1373" s="4">
        <v>119.8</v>
      </c>
      <c r="H1373" s="1" t="s">
        <v>188</v>
      </c>
      <c r="K1373">
        <v>2014</v>
      </c>
      <c r="L1373" t="s">
        <v>31</v>
      </c>
      <c r="M1373" t="s">
        <v>70</v>
      </c>
      <c r="N1373" t="s">
        <v>24</v>
      </c>
      <c r="O1373" t="s">
        <v>191</v>
      </c>
      <c r="P1373" s="1" t="s">
        <v>30</v>
      </c>
      <c r="Q1373">
        <v>110.5</v>
      </c>
    </row>
    <row r="1374" spans="1:17" x14ac:dyDescent="0.3">
      <c r="A1374">
        <v>2017</v>
      </c>
      <c r="B1374" t="s">
        <v>45</v>
      </c>
      <c r="C1374" t="s">
        <v>104</v>
      </c>
      <c r="D1374" s="1" t="s">
        <v>25</v>
      </c>
      <c r="E1374" s="4">
        <v>133.4</v>
      </c>
      <c r="F1374" s="4">
        <v>129</v>
      </c>
      <c r="G1374" s="4">
        <v>125.6</v>
      </c>
      <c r="H1374" s="1" t="s">
        <v>195</v>
      </c>
      <c r="K1374">
        <v>2014</v>
      </c>
      <c r="L1374" t="s">
        <v>31</v>
      </c>
      <c r="M1374" t="s">
        <v>70</v>
      </c>
      <c r="N1374" t="s">
        <v>24</v>
      </c>
      <c r="O1374" t="s">
        <v>191</v>
      </c>
      <c r="P1374" s="1" t="s">
        <v>34</v>
      </c>
      <c r="Q1374">
        <v>110.7</v>
      </c>
    </row>
    <row r="1375" spans="1:17" x14ac:dyDescent="0.3">
      <c r="A1375">
        <v>2017</v>
      </c>
      <c r="B1375" t="s">
        <v>45</v>
      </c>
      <c r="C1375" t="s">
        <v>104</v>
      </c>
      <c r="D1375" s="1" t="s">
        <v>12</v>
      </c>
      <c r="E1375" s="4">
        <v>135.80000000000001</v>
      </c>
      <c r="F1375" s="4">
        <v>137.1</v>
      </c>
      <c r="G1375" s="4">
        <v>139.69999999999999</v>
      </c>
      <c r="H1375" s="1" t="s">
        <v>188</v>
      </c>
      <c r="K1375">
        <v>2014</v>
      </c>
      <c r="L1375" t="s">
        <v>31</v>
      </c>
      <c r="M1375" t="s">
        <v>70</v>
      </c>
      <c r="N1375" t="s">
        <v>24</v>
      </c>
      <c r="O1375" t="s">
        <v>191</v>
      </c>
      <c r="P1375" s="1" t="s">
        <v>33</v>
      </c>
      <c r="Q1375">
        <v>110.8</v>
      </c>
    </row>
    <row r="1376" spans="1:17" x14ac:dyDescent="0.3">
      <c r="A1376">
        <v>2017</v>
      </c>
      <c r="B1376" t="s">
        <v>45</v>
      </c>
      <c r="C1376" t="s">
        <v>104</v>
      </c>
      <c r="D1376" s="1" t="s">
        <v>11</v>
      </c>
      <c r="E1376" s="4">
        <v>121.9</v>
      </c>
      <c r="F1376" s="4">
        <v>121.5</v>
      </c>
      <c r="G1376" s="4">
        <v>120.7</v>
      </c>
      <c r="H1376" s="1" t="s">
        <v>188</v>
      </c>
      <c r="K1376">
        <v>2014</v>
      </c>
      <c r="L1376" t="s">
        <v>31</v>
      </c>
      <c r="M1376" t="s">
        <v>70</v>
      </c>
      <c r="N1376" t="s">
        <v>9</v>
      </c>
      <c r="O1376" t="s">
        <v>188</v>
      </c>
      <c r="P1376" s="1" t="s">
        <v>30</v>
      </c>
      <c r="Q1376">
        <v>123.9</v>
      </c>
    </row>
    <row r="1377" spans="1:17" x14ac:dyDescent="0.3">
      <c r="A1377">
        <v>2017</v>
      </c>
      <c r="B1377" t="s">
        <v>45</v>
      </c>
      <c r="C1377" t="s">
        <v>104</v>
      </c>
      <c r="D1377" s="1" t="s">
        <v>24</v>
      </c>
      <c r="E1377" s="4">
        <v>122</v>
      </c>
      <c r="F1377" s="4">
        <v>118.5</v>
      </c>
      <c r="G1377" s="4">
        <v>115.3</v>
      </c>
      <c r="H1377" s="1" t="s">
        <v>191</v>
      </c>
      <c r="K1377">
        <v>2014</v>
      </c>
      <c r="L1377" t="s">
        <v>31</v>
      </c>
      <c r="M1377" t="s">
        <v>70</v>
      </c>
      <c r="N1377" t="s">
        <v>9</v>
      </c>
      <c r="O1377" t="s">
        <v>188</v>
      </c>
      <c r="P1377" s="1" t="s">
        <v>34</v>
      </c>
      <c r="Q1377">
        <v>122.2</v>
      </c>
    </row>
    <row r="1378" spans="1:17" x14ac:dyDescent="0.3">
      <c r="A1378">
        <v>2017</v>
      </c>
      <c r="B1378" t="s">
        <v>45</v>
      </c>
      <c r="C1378" t="s">
        <v>104</v>
      </c>
      <c r="D1378" s="1" t="s">
        <v>9</v>
      </c>
      <c r="E1378" s="4">
        <v>161</v>
      </c>
      <c r="F1378" s="4">
        <v>161.69999999999999</v>
      </c>
      <c r="G1378" s="4">
        <v>163.19999999999999</v>
      </c>
      <c r="H1378" s="1" t="s">
        <v>188</v>
      </c>
      <c r="K1378">
        <v>2014</v>
      </c>
      <c r="L1378" t="s">
        <v>31</v>
      </c>
      <c r="M1378" t="s">
        <v>70</v>
      </c>
      <c r="N1378" t="s">
        <v>9</v>
      </c>
      <c r="O1378" t="s">
        <v>188</v>
      </c>
      <c r="P1378" s="1" t="s">
        <v>33</v>
      </c>
      <c r="Q1378">
        <v>118.9</v>
      </c>
    </row>
    <row r="1379" spans="1:17" x14ac:dyDescent="0.3">
      <c r="A1379">
        <v>2017</v>
      </c>
      <c r="B1379" t="s">
        <v>35</v>
      </c>
      <c r="C1379" t="s">
        <v>105</v>
      </c>
      <c r="D1379" s="1" t="s">
        <v>3</v>
      </c>
      <c r="E1379" s="4">
        <v>133.30000000000001</v>
      </c>
      <c r="F1379" s="4">
        <v>133.1</v>
      </c>
      <c r="G1379" s="4">
        <v>132.80000000000001</v>
      </c>
      <c r="H1379" s="1" t="s">
        <v>188</v>
      </c>
      <c r="K1379">
        <v>2014</v>
      </c>
      <c r="L1379" t="s">
        <v>40</v>
      </c>
      <c r="M1379" t="s">
        <v>71</v>
      </c>
      <c r="N1379" t="s">
        <v>3</v>
      </c>
      <c r="O1379" t="s">
        <v>188</v>
      </c>
      <c r="P1379" s="1" t="s">
        <v>30</v>
      </c>
      <c r="Q1379">
        <v>121.7</v>
      </c>
    </row>
    <row r="1380" spans="1:17" x14ac:dyDescent="0.3">
      <c r="A1380">
        <v>2017</v>
      </c>
      <c r="B1380" t="s">
        <v>35</v>
      </c>
      <c r="C1380" t="s">
        <v>105</v>
      </c>
      <c r="D1380" s="1" t="s">
        <v>17</v>
      </c>
      <c r="E1380" s="4">
        <v>140.9</v>
      </c>
      <c r="F1380" s="4">
        <v>136.80000000000001</v>
      </c>
      <c r="G1380" s="4">
        <v>130.5</v>
      </c>
      <c r="H1380" s="1" t="s">
        <v>189</v>
      </c>
      <c r="K1380">
        <v>2014</v>
      </c>
      <c r="L1380" t="s">
        <v>40</v>
      </c>
      <c r="M1380" t="s">
        <v>71</v>
      </c>
      <c r="N1380" t="s">
        <v>3</v>
      </c>
      <c r="O1380" t="s">
        <v>188</v>
      </c>
      <c r="P1380" s="1" t="s">
        <v>34</v>
      </c>
      <c r="Q1380">
        <v>122.4</v>
      </c>
    </row>
    <row r="1381" spans="1:17" x14ac:dyDescent="0.3">
      <c r="A1381">
        <v>2017</v>
      </c>
      <c r="B1381" t="s">
        <v>35</v>
      </c>
      <c r="C1381" t="s">
        <v>105</v>
      </c>
      <c r="D1381" s="1" t="s">
        <v>19</v>
      </c>
      <c r="E1381" s="4">
        <v>140.19999999999999</v>
      </c>
      <c r="F1381" s="4">
        <v>135.9</v>
      </c>
      <c r="G1381" s="4">
        <v>129.30000000000001</v>
      </c>
      <c r="H1381" s="1" t="s">
        <v>189</v>
      </c>
      <c r="K1381">
        <v>2014</v>
      </c>
      <c r="L1381" t="s">
        <v>40</v>
      </c>
      <c r="M1381" t="s">
        <v>71</v>
      </c>
      <c r="N1381" t="s">
        <v>3</v>
      </c>
      <c r="O1381" t="s">
        <v>188</v>
      </c>
      <c r="P1381" s="1" t="s">
        <v>33</v>
      </c>
      <c r="Q1381">
        <v>123.8</v>
      </c>
    </row>
    <row r="1382" spans="1:17" x14ac:dyDescent="0.3">
      <c r="A1382">
        <v>2017</v>
      </c>
      <c r="B1382" t="s">
        <v>35</v>
      </c>
      <c r="C1382" t="s">
        <v>105</v>
      </c>
      <c r="D1382" s="1" t="s">
        <v>26</v>
      </c>
      <c r="E1382" s="4">
        <v>134.9</v>
      </c>
      <c r="F1382" s="4">
        <v>133.4</v>
      </c>
      <c r="G1382" s="4">
        <v>132.4</v>
      </c>
      <c r="H1382" s="1" t="s">
        <v>26</v>
      </c>
      <c r="K1382">
        <v>2014</v>
      </c>
      <c r="L1382" t="s">
        <v>40</v>
      </c>
      <c r="M1382" t="s">
        <v>71</v>
      </c>
      <c r="N1382" t="s">
        <v>17</v>
      </c>
      <c r="O1382" t="s">
        <v>189</v>
      </c>
      <c r="P1382" s="1" t="s">
        <v>30</v>
      </c>
      <c r="Q1382">
        <v>120.7</v>
      </c>
    </row>
    <row r="1383" spans="1:17" x14ac:dyDescent="0.3">
      <c r="A1383">
        <v>2017</v>
      </c>
      <c r="B1383" t="s">
        <v>35</v>
      </c>
      <c r="C1383" t="s">
        <v>105</v>
      </c>
      <c r="D1383" s="1" t="s">
        <v>5</v>
      </c>
      <c r="E1383" s="4">
        <v>129.30000000000001</v>
      </c>
      <c r="F1383" s="4">
        <v>129.30000000000001</v>
      </c>
      <c r="G1383" s="4">
        <v>129.30000000000001</v>
      </c>
      <c r="H1383" s="1" t="s">
        <v>188</v>
      </c>
      <c r="K1383">
        <v>2014</v>
      </c>
      <c r="L1383" t="s">
        <v>40</v>
      </c>
      <c r="M1383" t="s">
        <v>71</v>
      </c>
      <c r="N1383" t="s">
        <v>17</v>
      </c>
      <c r="O1383" t="s">
        <v>189</v>
      </c>
      <c r="P1383" s="1" t="s">
        <v>34</v>
      </c>
      <c r="Q1383">
        <v>119.6</v>
      </c>
    </row>
    <row r="1384" spans="1:17" x14ac:dyDescent="0.3">
      <c r="A1384">
        <v>2017</v>
      </c>
      <c r="B1384" t="s">
        <v>35</v>
      </c>
      <c r="C1384" t="s">
        <v>105</v>
      </c>
      <c r="D1384" s="1" t="s">
        <v>15</v>
      </c>
      <c r="E1384" s="4">
        <v>133.6</v>
      </c>
      <c r="F1384" s="4">
        <v>133</v>
      </c>
      <c r="G1384" s="4">
        <v>132.1</v>
      </c>
      <c r="H1384" s="1" t="s">
        <v>188</v>
      </c>
      <c r="K1384">
        <v>2014</v>
      </c>
      <c r="L1384" t="s">
        <v>40</v>
      </c>
      <c r="M1384" t="s">
        <v>71</v>
      </c>
      <c r="N1384" t="s">
        <v>17</v>
      </c>
      <c r="O1384" t="s">
        <v>189</v>
      </c>
      <c r="P1384" s="1" t="s">
        <v>33</v>
      </c>
      <c r="Q1384">
        <v>118</v>
      </c>
    </row>
    <row r="1385" spans="1:17" x14ac:dyDescent="0.3">
      <c r="A1385">
        <v>2017</v>
      </c>
      <c r="B1385" t="s">
        <v>35</v>
      </c>
      <c r="C1385" t="s">
        <v>105</v>
      </c>
      <c r="D1385" s="1" t="s">
        <v>18</v>
      </c>
      <c r="E1385" s="4">
        <v>135.80000000000001</v>
      </c>
      <c r="F1385" s="4">
        <v>130.30000000000001</v>
      </c>
      <c r="G1385" s="4">
        <v>122.5</v>
      </c>
      <c r="H1385" s="1" t="s">
        <v>189</v>
      </c>
      <c r="K1385">
        <v>2014</v>
      </c>
      <c r="L1385" t="s">
        <v>40</v>
      </c>
      <c r="M1385" t="s">
        <v>71</v>
      </c>
      <c r="N1385" t="s">
        <v>19</v>
      </c>
      <c r="O1385" t="s">
        <v>189</v>
      </c>
      <c r="P1385" s="1" t="s">
        <v>30</v>
      </c>
      <c r="Q1385">
        <v>120.3</v>
      </c>
    </row>
    <row r="1386" spans="1:17" x14ac:dyDescent="0.3">
      <c r="A1386">
        <v>2017</v>
      </c>
      <c r="B1386" t="s">
        <v>35</v>
      </c>
      <c r="C1386" t="s">
        <v>105</v>
      </c>
      <c r="D1386" s="1" t="s">
        <v>8</v>
      </c>
      <c r="E1386" s="4">
        <v>138.69999999999999</v>
      </c>
      <c r="F1386" s="4">
        <v>135.30000000000001</v>
      </c>
      <c r="G1386" s="4">
        <v>131.4</v>
      </c>
      <c r="H1386" s="1" t="s">
        <v>188</v>
      </c>
      <c r="K1386">
        <v>2014</v>
      </c>
      <c r="L1386" t="s">
        <v>40</v>
      </c>
      <c r="M1386" t="s">
        <v>71</v>
      </c>
      <c r="N1386" t="s">
        <v>19</v>
      </c>
      <c r="O1386" t="s">
        <v>189</v>
      </c>
      <c r="P1386" s="1" t="s">
        <v>34</v>
      </c>
      <c r="Q1386">
        <v>119.1</v>
      </c>
    </row>
    <row r="1387" spans="1:17" x14ac:dyDescent="0.3">
      <c r="A1387">
        <v>2017</v>
      </c>
      <c r="B1387" t="s">
        <v>35</v>
      </c>
      <c r="C1387" t="s">
        <v>105</v>
      </c>
      <c r="D1387" s="1" t="s">
        <v>21</v>
      </c>
      <c r="E1387" s="4">
        <v>133.19999999999999</v>
      </c>
      <c r="F1387" s="4">
        <v>127.9</v>
      </c>
      <c r="G1387" s="4">
        <v>119.2</v>
      </c>
      <c r="H1387" s="1" t="s">
        <v>190</v>
      </c>
      <c r="K1387">
        <v>2014</v>
      </c>
      <c r="L1387" t="s">
        <v>40</v>
      </c>
      <c r="M1387" t="s">
        <v>71</v>
      </c>
      <c r="N1387" t="s">
        <v>19</v>
      </c>
      <c r="O1387" t="s">
        <v>189</v>
      </c>
      <c r="P1387" s="1" t="s">
        <v>33</v>
      </c>
      <c r="Q1387">
        <v>117.4</v>
      </c>
    </row>
    <row r="1388" spans="1:17" x14ac:dyDescent="0.3">
      <c r="A1388">
        <v>2017</v>
      </c>
      <c r="B1388" t="s">
        <v>35</v>
      </c>
      <c r="C1388" t="s">
        <v>105</v>
      </c>
      <c r="D1388" s="1" t="s">
        <v>29</v>
      </c>
      <c r="E1388" s="4">
        <v>132.6</v>
      </c>
      <c r="F1388" s="4">
        <v>130.6</v>
      </c>
      <c r="G1388" s="4">
        <v>128.19999999999999</v>
      </c>
      <c r="H1388" s="1" t="s">
        <v>206</v>
      </c>
      <c r="K1388">
        <v>2014</v>
      </c>
      <c r="L1388" t="s">
        <v>40</v>
      </c>
      <c r="M1388" t="s">
        <v>71</v>
      </c>
      <c r="N1388" t="s">
        <v>26</v>
      </c>
      <c r="O1388" t="s">
        <v>26</v>
      </c>
      <c r="P1388" s="1" t="s">
        <v>30</v>
      </c>
      <c r="Q1388">
        <v>115.5</v>
      </c>
    </row>
    <row r="1389" spans="1:17" x14ac:dyDescent="0.3">
      <c r="A1389">
        <v>2017</v>
      </c>
      <c r="B1389" t="s">
        <v>35</v>
      </c>
      <c r="C1389" t="s">
        <v>105</v>
      </c>
      <c r="D1389" s="1" t="s">
        <v>23</v>
      </c>
      <c r="E1389" s="4">
        <v>130.1</v>
      </c>
      <c r="F1389" s="4">
        <v>127.4</v>
      </c>
      <c r="G1389" s="4">
        <v>122.9</v>
      </c>
      <c r="H1389" s="1" t="s">
        <v>23</v>
      </c>
      <c r="K1389">
        <v>2014</v>
      </c>
      <c r="L1389" t="s">
        <v>40</v>
      </c>
      <c r="M1389" t="s">
        <v>71</v>
      </c>
      <c r="N1389" t="s">
        <v>26</v>
      </c>
      <c r="O1389" t="s">
        <v>26</v>
      </c>
      <c r="P1389" s="1" t="s">
        <v>34</v>
      </c>
      <c r="Q1389">
        <v>116.8</v>
      </c>
    </row>
    <row r="1390" spans="1:17" x14ac:dyDescent="0.3">
      <c r="A1390">
        <v>2017</v>
      </c>
      <c r="B1390" t="s">
        <v>35</v>
      </c>
      <c r="C1390" t="s">
        <v>105</v>
      </c>
      <c r="D1390" s="1" t="s">
        <v>22</v>
      </c>
      <c r="E1390" s="4">
        <v>133.6</v>
      </c>
      <c r="F1390" s="4">
        <v>129.69999999999999</v>
      </c>
      <c r="G1390" s="4">
        <v>125.3</v>
      </c>
      <c r="H1390" s="1" t="s">
        <v>20</v>
      </c>
      <c r="K1390">
        <v>2014</v>
      </c>
      <c r="L1390" t="s">
        <v>40</v>
      </c>
      <c r="M1390" t="s">
        <v>71</v>
      </c>
      <c r="N1390" t="s">
        <v>26</v>
      </c>
      <c r="O1390" t="s">
        <v>26</v>
      </c>
      <c r="P1390" s="1" t="s">
        <v>33</v>
      </c>
      <c r="Q1390">
        <v>117.8</v>
      </c>
    </row>
    <row r="1391" spans="1:17" x14ac:dyDescent="0.3">
      <c r="A1391">
        <v>2017</v>
      </c>
      <c r="B1391" t="s">
        <v>35</v>
      </c>
      <c r="C1391" t="s">
        <v>105</v>
      </c>
      <c r="D1391" s="1" t="s">
        <v>20</v>
      </c>
      <c r="E1391" s="4">
        <v>0</v>
      </c>
      <c r="F1391" s="4">
        <v>130.5</v>
      </c>
      <c r="G1391" s="4">
        <v>130.5</v>
      </c>
      <c r="H1391" s="1" t="s">
        <v>20</v>
      </c>
      <c r="K1391">
        <v>2014</v>
      </c>
      <c r="L1391" t="s">
        <v>40</v>
      </c>
      <c r="M1391" t="s">
        <v>71</v>
      </c>
      <c r="N1391" t="s">
        <v>5</v>
      </c>
      <c r="O1391" t="s">
        <v>188</v>
      </c>
      <c r="P1391" s="1" t="s">
        <v>30</v>
      </c>
      <c r="Q1391">
        <v>117.7</v>
      </c>
    </row>
    <row r="1392" spans="1:17" x14ac:dyDescent="0.3">
      <c r="A1392">
        <v>2017</v>
      </c>
      <c r="B1392" t="s">
        <v>35</v>
      </c>
      <c r="C1392" t="s">
        <v>105</v>
      </c>
      <c r="D1392" s="1" t="s">
        <v>4</v>
      </c>
      <c r="E1392" s="4">
        <v>138.30000000000001</v>
      </c>
      <c r="F1392" s="4">
        <v>138.80000000000001</v>
      </c>
      <c r="G1392" s="4">
        <v>139.80000000000001</v>
      </c>
      <c r="H1392" s="1" t="s">
        <v>188</v>
      </c>
      <c r="K1392">
        <v>2014</v>
      </c>
      <c r="L1392" t="s">
        <v>40</v>
      </c>
      <c r="M1392" t="s">
        <v>71</v>
      </c>
      <c r="N1392" t="s">
        <v>5</v>
      </c>
      <c r="O1392" t="s">
        <v>188</v>
      </c>
      <c r="P1392" s="1" t="s">
        <v>34</v>
      </c>
      <c r="Q1392">
        <v>117.8</v>
      </c>
    </row>
    <row r="1393" spans="1:17" x14ac:dyDescent="0.3">
      <c r="A1393">
        <v>2017</v>
      </c>
      <c r="B1393" t="s">
        <v>35</v>
      </c>
      <c r="C1393" t="s">
        <v>105</v>
      </c>
      <c r="D1393" s="1" t="s">
        <v>6</v>
      </c>
      <c r="E1393" s="4">
        <v>137.19999999999999</v>
      </c>
      <c r="F1393" s="4">
        <v>135.80000000000001</v>
      </c>
      <c r="G1393" s="4">
        <v>133.5</v>
      </c>
      <c r="H1393" s="1" t="s">
        <v>188</v>
      </c>
      <c r="K1393">
        <v>2014</v>
      </c>
      <c r="L1393" t="s">
        <v>40</v>
      </c>
      <c r="M1393" t="s">
        <v>71</v>
      </c>
      <c r="N1393" t="s">
        <v>5</v>
      </c>
      <c r="O1393" t="s">
        <v>188</v>
      </c>
      <c r="P1393" s="1" t="s">
        <v>33</v>
      </c>
      <c r="Q1393">
        <v>118</v>
      </c>
    </row>
    <row r="1394" spans="1:17" x14ac:dyDescent="0.3">
      <c r="A1394">
        <v>2017</v>
      </c>
      <c r="B1394" t="s">
        <v>35</v>
      </c>
      <c r="C1394" t="s">
        <v>105</v>
      </c>
      <c r="D1394" s="1" t="s">
        <v>28</v>
      </c>
      <c r="E1394" s="4">
        <v>127</v>
      </c>
      <c r="F1394" s="4">
        <v>124.8</v>
      </c>
      <c r="G1394" s="4">
        <v>122.4</v>
      </c>
      <c r="H1394" s="1" t="s">
        <v>192</v>
      </c>
      <c r="K1394">
        <v>2014</v>
      </c>
      <c r="L1394" t="s">
        <v>40</v>
      </c>
      <c r="M1394" t="s">
        <v>71</v>
      </c>
      <c r="N1394" t="s">
        <v>15</v>
      </c>
      <c r="O1394" t="s">
        <v>188</v>
      </c>
      <c r="P1394" s="1" t="s">
        <v>30</v>
      </c>
      <c r="Q1394">
        <v>123.3</v>
      </c>
    </row>
    <row r="1395" spans="1:17" x14ac:dyDescent="0.3">
      <c r="A1395">
        <v>2017</v>
      </c>
      <c r="B1395" t="s">
        <v>35</v>
      </c>
      <c r="C1395" t="s">
        <v>105</v>
      </c>
      <c r="D1395" s="1" t="s">
        <v>13</v>
      </c>
      <c r="E1395" s="4">
        <v>129.4</v>
      </c>
      <c r="F1395" s="4">
        <v>126.9</v>
      </c>
      <c r="G1395" s="4">
        <v>123.4</v>
      </c>
      <c r="H1395" s="1" t="s">
        <v>188</v>
      </c>
      <c r="K1395">
        <v>2014</v>
      </c>
      <c r="L1395" t="s">
        <v>40</v>
      </c>
      <c r="M1395" t="s">
        <v>71</v>
      </c>
      <c r="N1395" t="s">
        <v>15</v>
      </c>
      <c r="O1395" t="s">
        <v>188</v>
      </c>
      <c r="P1395" s="1" t="s">
        <v>34</v>
      </c>
      <c r="Q1395">
        <v>124.7</v>
      </c>
    </row>
    <row r="1396" spans="1:17" x14ac:dyDescent="0.3">
      <c r="A1396">
        <v>2017</v>
      </c>
      <c r="B1396" t="s">
        <v>35</v>
      </c>
      <c r="C1396" t="s">
        <v>105</v>
      </c>
      <c r="D1396" s="1" t="s">
        <v>7</v>
      </c>
      <c r="E1396" s="4">
        <v>122.1</v>
      </c>
      <c r="F1396" s="4">
        <v>119.2</v>
      </c>
      <c r="G1396" s="4">
        <v>114.3</v>
      </c>
      <c r="H1396" s="1" t="s">
        <v>188</v>
      </c>
      <c r="K1396">
        <v>2014</v>
      </c>
      <c r="L1396" t="s">
        <v>40</v>
      </c>
      <c r="M1396" t="s">
        <v>71</v>
      </c>
      <c r="N1396" t="s">
        <v>15</v>
      </c>
      <c r="O1396" t="s">
        <v>188</v>
      </c>
      <c r="P1396" s="1" t="s">
        <v>33</v>
      </c>
      <c r="Q1396">
        <v>127.1</v>
      </c>
    </row>
    <row r="1397" spans="1:17" x14ac:dyDescent="0.3">
      <c r="A1397">
        <v>2017</v>
      </c>
      <c r="B1397" t="s">
        <v>35</v>
      </c>
      <c r="C1397" t="s">
        <v>105</v>
      </c>
      <c r="D1397" s="1" t="s">
        <v>16</v>
      </c>
      <c r="E1397" s="4">
        <v>143.69999999999999</v>
      </c>
      <c r="F1397" s="4">
        <v>144.4</v>
      </c>
      <c r="G1397" s="4">
        <v>146.30000000000001</v>
      </c>
      <c r="H1397" s="1" t="s">
        <v>192</v>
      </c>
      <c r="K1397">
        <v>2014</v>
      </c>
      <c r="L1397" t="s">
        <v>40</v>
      </c>
      <c r="M1397" t="s">
        <v>71</v>
      </c>
      <c r="N1397" t="s">
        <v>18</v>
      </c>
      <c r="O1397" t="s">
        <v>189</v>
      </c>
      <c r="P1397" s="1" t="s">
        <v>30</v>
      </c>
      <c r="Q1397">
        <v>118.3</v>
      </c>
    </row>
    <row r="1398" spans="1:17" x14ac:dyDescent="0.3">
      <c r="A1398">
        <v>2017</v>
      </c>
      <c r="B1398" t="s">
        <v>35</v>
      </c>
      <c r="C1398" t="s">
        <v>105</v>
      </c>
      <c r="D1398" s="1" t="s">
        <v>27</v>
      </c>
      <c r="E1398" s="4">
        <v>123.2</v>
      </c>
      <c r="F1398" s="4">
        <v>122.6</v>
      </c>
      <c r="G1398" s="4">
        <v>121.7</v>
      </c>
      <c r="H1398" s="1" t="s">
        <v>192</v>
      </c>
      <c r="K1398">
        <v>2014</v>
      </c>
      <c r="L1398" t="s">
        <v>40</v>
      </c>
      <c r="M1398" t="s">
        <v>71</v>
      </c>
      <c r="N1398" t="s">
        <v>18</v>
      </c>
      <c r="O1398" t="s">
        <v>189</v>
      </c>
      <c r="P1398" s="1" t="s">
        <v>34</v>
      </c>
      <c r="Q1398">
        <v>116.3</v>
      </c>
    </row>
    <row r="1399" spans="1:17" x14ac:dyDescent="0.3">
      <c r="A1399">
        <v>2017</v>
      </c>
      <c r="B1399" t="s">
        <v>35</v>
      </c>
      <c r="C1399" t="s">
        <v>105</v>
      </c>
      <c r="D1399" s="1" t="s">
        <v>14</v>
      </c>
      <c r="E1399" s="4">
        <v>144.4</v>
      </c>
      <c r="F1399" s="4">
        <v>143.19999999999999</v>
      </c>
      <c r="G1399" s="4">
        <v>141.9</v>
      </c>
      <c r="H1399" s="1" t="s">
        <v>188</v>
      </c>
      <c r="K1399">
        <v>2014</v>
      </c>
      <c r="L1399" t="s">
        <v>40</v>
      </c>
      <c r="M1399" t="s">
        <v>71</v>
      </c>
      <c r="N1399" t="s">
        <v>18</v>
      </c>
      <c r="O1399" t="s">
        <v>189</v>
      </c>
      <c r="P1399" s="1" t="s">
        <v>33</v>
      </c>
      <c r="Q1399">
        <v>113.6</v>
      </c>
    </row>
    <row r="1400" spans="1:17" x14ac:dyDescent="0.3">
      <c r="A1400">
        <v>2017</v>
      </c>
      <c r="B1400" t="s">
        <v>35</v>
      </c>
      <c r="C1400" t="s">
        <v>105</v>
      </c>
      <c r="D1400" s="1" t="s">
        <v>10</v>
      </c>
      <c r="E1400" s="4">
        <v>156.9</v>
      </c>
      <c r="F1400" s="4">
        <v>152.19999999999999</v>
      </c>
      <c r="G1400" s="4">
        <v>143.1</v>
      </c>
      <c r="H1400" s="1" t="s">
        <v>188</v>
      </c>
      <c r="K1400">
        <v>2014</v>
      </c>
      <c r="L1400" t="s">
        <v>40</v>
      </c>
      <c r="M1400" t="s">
        <v>71</v>
      </c>
      <c r="N1400" t="s">
        <v>8</v>
      </c>
      <c r="O1400" t="s">
        <v>188</v>
      </c>
      <c r="P1400" s="1" t="s">
        <v>30</v>
      </c>
      <c r="Q1400">
        <v>129.1</v>
      </c>
    </row>
    <row r="1401" spans="1:17" x14ac:dyDescent="0.3">
      <c r="A1401">
        <v>2017</v>
      </c>
      <c r="B1401" t="s">
        <v>35</v>
      </c>
      <c r="C1401" t="s">
        <v>105</v>
      </c>
      <c r="D1401" s="1" t="s">
        <v>25</v>
      </c>
      <c r="E1401" s="4">
        <v>127.7</v>
      </c>
      <c r="F1401" s="4">
        <v>124.6</v>
      </c>
      <c r="G1401" s="4">
        <v>122.2</v>
      </c>
      <c r="H1401" s="1" t="s">
        <v>195</v>
      </c>
      <c r="K1401">
        <v>2014</v>
      </c>
      <c r="L1401" t="s">
        <v>40</v>
      </c>
      <c r="M1401" t="s">
        <v>71</v>
      </c>
      <c r="N1401" t="s">
        <v>8</v>
      </c>
      <c r="O1401" t="s">
        <v>188</v>
      </c>
      <c r="P1401" s="1" t="s">
        <v>34</v>
      </c>
      <c r="Q1401">
        <v>131.19999999999999</v>
      </c>
    </row>
    <row r="1402" spans="1:17" x14ac:dyDescent="0.3">
      <c r="A1402">
        <v>2017</v>
      </c>
      <c r="B1402" t="s">
        <v>35</v>
      </c>
      <c r="C1402" t="s">
        <v>105</v>
      </c>
      <c r="D1402" s="1" t="s">
        <v>12</v>
      </c>
      <c r="E1402" s="4">
        <v>136</v>
      </c>
      <c r="F1402" s="4">
        <v>138.69999999999999</v>
      </c>
      <c r="G1402" s="4">
        <v>144</v>
      </c>
      <c r="H1402" s="1" t="s">
        <v>188</v>
      </c>
      <c r="K1402">
        <v>2014</v>
      </c>
      <c r="L1402" t="s">
        <v>40</v>
      </c>
      <c r="M1402" t="s">
        <v>71</v>
      </c>
      <c r="N1402" t="s">
        <v>8</v>
      </c>
      <c r="O1402" t="s">
        <v>188</v>
      </c>
      <c r="P1402" s="1" t="s">
        <v>33</v>
      </c>
      <c r="Q1402">
        <v>133.69999999999999</v>
      </c>
    </row>
    <row r="1403" spans="1:17" x14ac:dyDescent="0.3">
      <c r="A1403">
        <v>2017</v>
      </c>
      <c r="B1403" t="s">
        <v>35</v>
      </c>
      <c r="C1403" t="s">
        <v>105</v>
      </c>
      <c r="D1403" s="1" t="s">
        <v>11</v>
      </c>
      <c r="E1403" s="4">
        <v>116.2</v>
      </c>
      <c r="F1403" s="4">
        <v>117.3</v>
      </c>
      <c r="G1403" s="4">
        <v>119.5</v>
      </c>
      <c r="H1403" s="1" t="s">
        <v>188</v>
      </c>
      <c r="K1403">
        <v>2014</v>
      </c>
      <c r="L1403" t="s">
        <v>40</v>
      </c>
      <c r="M1403" t="s">
        <v>71</v>
      </c>
      <c r="N1403" t="s">
        <v>21</v>
      </c>
      <c r="O1403" t="s">
        <v>190</v>
      </c>
      <c r="P1403" s="1" t="s">
        <v>30</v>
      </c>
      <c r="Q1403">
        <v>115.3</v>
      </c>
    </row>
    <row r="1404" spans="1:17" x14ac:dyDescent="0.3">
      <c r="A1404">
        <v>2017</v>
      </c>
      <c r="B1404" t="s">
        <v>35</v>
      </c>
      <c r="C1404" t="s">
        <v>105</v>
      </c>
      <c r="D1404" s="1" t="s">
        <v>24</v>
      </c>
      <c r="E1404" s="4">
        <v>119.5</v>
      </c>
      <c r="F1404" s="4">
        <v>117.4</v>
      </c>
      <c r="G1404" s="4">
        <v>115.5</v>
      </c>
      <c r="H1404" s="1" t="s">
        <v>191</v>
      </c>
      <c r="K1404">
        <v>2014</v>
      </c>
      <c r="L1404" t="s">
        <v>40</v>
      </c>
      <c r="M1404" t="s">
        <v>71</v>
      </c>
      <c r="N1404" t="s">
        <v>21</v>
      </c>
      <c r="O1404" t="s">
        <v>190</v>
      </c>
      <c r="P1404" s="1" t="s">
        <v>34</v>
      </c>
      <c r="Q1404">
        <v>113.9</v>
      </c>
    </row>
    <row r="1405" spans="1:17" x14ac:dyDescent="0.3">
      <c r="A1405">
        <v>2017</v>
      </c>
      <c r="B1405" t="s">
        <v>35</v>
      </c>
      <c r="C1405" t="s">
        <v>105</v>
      </c>
      <c r="D1405" s="1" t="s">
        <v>9</v>
      </c>
      <c r="E1405" s="4">
        <v>119.1</v>
      </c>
      <c r="F1405" s="4">
        <v>119.5</v>
      </c>
      <c r="G1405" s="4">
        <v>120.2</v>
      </c>
      <c r="H1405" s="1" t="s">
        <v>188</v>
      </c>
      <c r="K1405">
        <v>2014</v>
      </c>
      <c r="L1405" t="s">
        <v>40</v>
      </c>
      <c r="M1405" t="s">
        <v>71</v>
      </c>
      <c r="N1405" t="s">
        <v>21</v>
      </c>
      <c r="O1405" t="s">
        <v>190</v>
      </c>
      <c r="P1405" s="1" t="s">
        <v>33</v>
      </c>
      <c r="Q1405">
        <v>111.6</v>
      </c>
    </row>
    <row r="1406" spans="1:17" x14ac:dyDescent="0.3">
      <c r="A1406">
        <v>2017</v>
      </c>
      <c r="B1406" t="s">
        <v>31</v>
      </c>
      <c r="C1406" t="s">
        <v>106</v>
      </c>
      <c r="D1406" s="1" t="s">
        <v>3</v>
      </c>
      <c r="E1406" s="4">
        <v>133.1</v>
      </c>
      <c r="F1406" s="4">
        <v>132.80000000000001</v>
      </c>
      <c r="G1406" s="4">
        <v>132.19999999999999</v>
      </c>
      <c r="H1406" s="1" t="s">
        <v>188</v>
      </c>
      <c r="K1406">
        <v>2014</v>
      </c>
      <c r="L1406" t="s">
        <v>40</v>
      </c>
      <c r="M1406" t="s">
        <v>71</v>
      </c>
      <c r="N1406" t="s">
        <v>29</v>
      </c>
      <c r="O1406" t="s">
        <v>206</v>
      </c>
      <c r="P1406" s="1" t="s">
        <v>30</v>
      </c>
      <c r="Q1406">
        <v>119.5</v>
      </c>
    </row>
    <row r="1407" spans="1:17" x14ac:dyDescent="0.3">
      <c r="A1407">
        <v>2017</v>
      </c>
      <c r="B1407" t="s">
        <v>31</v>
      </c>
      <c r="C1407" t="s">
        <v>106</v>
      </c>
      <c r="D1407" s="1" t="s">
        <v>17</v>
      </c>
      <c r="E1407" s="4">
        <v>140.69999999999999</v>
      </c>
      <c r="F1407" s="4">
        <v>136.6</v>
      </c>
      <c r="G1407" s="4">
        <v>130.19999999999999</v>
      </c>
      <c r="H1407" s="1" t="s">
        <v>189</v>
      </c>
      <c r="K1407">
        <v>2014</v>
      </c>
      <c r="L1407" t="s">
        <v>40</v>
      </c>
      <c r="M1407" t="s">
        <v>71</v>
      </c>
      <c r="N1407" t="s">
        <v>29</v>
      </c>
      <c r="O1407" t="s">
        <v>206</v>
      </c>
      <c r="P1407" s="1" t="s">
        <v>34</v>
      </c>
      <c r="Q1407">
        <v>119.2</v>
      </c>
    </row>
    <row r="1408" spans="1:17" x14ac:dyDescent="0.3">
      <c r="A1408">
        <v>2017</v>
      </c>
      <c r="B1408" t="s">
        <v>31</v>
      </c>
      <c r="C1408" t="s">
        <v>106</v>
      </c>
      <c r="D1408" s="1" t="s">
        <v>19</v>
      </c>
      <c r="E1408" s="4">
        <v>140</v>
      </c>
      <c r="F1408" s="4">
        <v>135.6</v>
      </c>
      <c r="G1408" s="4">
        <v>129</v>
      </c>
      <c r="H1408" s="1" t="s">
        <v>189</v>
      </c>
      <c r="K1408">
        <v>2014</v>
      </c>
      <c r="L1408" t="s">
        <v>40</v>
      </c>
      <c r="M1408" t="s">
        <v>71</v>
      </c>
      <c r="N1408" t="s">
        <v>29</v>
      </c>
      <c r="O1408" t="s">
        <v>206</v>
      </c>
      <c r="P1408" s="1" t="s">
        <v>33</v>
      </c>
      <c r="Q1408">
        <v>118.9</v>
      </c>
    </row>
    <row r="1409" spans="1:17" x14ac:dyDescent="0.3">
      <c r="A1409">
        <v>2017</v>
      </c>
      <c r="B1409" t="s">
        <v>31</v>
      </c>
      <c r="C1409" t="s">
        <v>106</v>
      </c>
      <c r="D1409" s="1" t="s">
        <v>26</v>
      </c>
      <c r="E1409" s="4">
        <v>134.6</v>
      </c>
      <c r="F1409" s="4">
        <v>133.30000000000001</v>
      </c>
      <c r="G1409" s="4">
        <v>132.4</v>
      </c>
      <c r="H1409" s="1" t="s">
        <v>26</v>
      </c>
      <c r="K1409">
        <v>2014</v>
      </c>
      <c r="L1409" t="s">
        <v>40</v>
      </c>
      <c r="M1409" t="s">
        <v>71</v>
      </c>
      <c r="N1409" t="s">
        <v>23</v>
      </c>
      <c r="O1409" t="s">
        <v>23</v>
      </c>
      <c r="P1409" s="1" t="s">
        <v>30</v>
      </c>
      <c r="Q1409">
        <v>113.4</v>
      </c>
    </row>
    <row r="1410" spans="1:17" x14ac:dyDescent="0.3">
      <c r="A1410">
        <v>2017</v>
      </c>
      <c r="B1410" t="s">
        <v>31</v>
      </c>
      <c r="C1410" t="s">
        <v>106</v>
      </c>
      <c r="D1410" s="1" t="s">
        <v>5</v>
      </c>
      <c r="E1410" s="4">
        <v>131.9</v>
      </c>
      <c r="F1410" s="4">
        <v>132.19999999999999</v>
      </c>
      <c r="G1410" s="4">
        <v>132.6</v>
      </c>
      <c r="H1410" s="1" t="s">
        <v>188</v>
      </c>
      <c r="K1410">
        <v>2014</v>
      </c>
      <c r="L1410" t="s">
        <v>40</v>
      </c>
      <c r="M1410" t="s">
        <v>71</v>
      </c>
      <c r="N1410" t="s">
        <v>23</v>
      </c>
      <c r="O1410" t="s">
        <v>23</v>
      </c>
      <c r="P1410" s="1" t="s">
        <v>34</v>
      </c>
      <c r="Q1410">
        <v>112.7</v>
      </c>
    </row>
    <row r="1411" spans="1:17" x14ac:dyDescent="0.3">
      <c r="A1411">
        <v>2017</v>
      </c>
      <c r="B1411" t="s">
        <v>31</v>
      </c>
      <c r="C1411" t="s">
        <v>106</v>
      </c>
      <c r="D1411" s="1" t="s">
        <v>15</v>
      </c>
      <c r="E1411" s="4">
        <v>133.69999999999999</v>
      </c>
      <c r="F1411" s="4">
        <v>133.1</v>
      </c>
      <c r="G1411" s="4">
        <v>132</v>
      </c>
      <c r="H1411" s="1" t="s">
        <v>188</v>
      </c>
      <c r="K1411">
        <v>2014</v>
      </c>
      <c r="L1411" t="s">
        <v>40</v>
      </c>
      <c r="M1411" t="s">
        <v>71</v>
      </c>
      <c r="N1411" t="s">
        <v>23</v>
      </c>
      <c r="O1411" t="s">
        <v>23</v>
      </c>
      <c r="P1411" s="1" t="s">
        <v>33</v>
      </c>
      <c r="Q1411">
        <v>111.5</v>
      </c>
    </row>
    <row r="1412" spans="1:17" x14ac:dyDescent="0.3">
      <c r="A1412">
        <v>2017</v>
      </c>
      <c r="B1412" t="s">
        <v>31</v>
      </c>
      <c r="C1412" t="s">
        <v>106</v>
      </c>
      <c r="D1412" s="1" t="s">
        <v>18</v>
      </c>
      <c r="E1412" s="4">
        <v>135.80000000000001</v>
      </c>
      <c r="F1412" s="4">
        <v>130.19999999999999</v>
      </c>
      <c r="G1412" s="4">
        <v>122.3</v>
      </c>
      <c r="H1412" s="1" t="s">
        <v>189</v>
      </c>
      <c r="K1412">
        <v>2014</v>
      </c>
      <c r="L1412" t="s">
        <v>40</v>
      </c>
      <c r="M1412" t="s">
        <v>71</v>
      </c>
      <c r="N1412" t="s">
        <v>22</v>
      </c>
      <c r="O1412" t="s">
        <v>20</v>
      </c>
      <c r="P1412" s="1" t="s">
        <v>30</v>
      </c>
      <c r="Q1412">
        <v>115.4</v>
      </c>
    </row>
    <row r="1413" spans="1:17" x14ac:dyDescent="0.3">
      <c r="A1413">
        <v>2017</v>
      </c>
      <c r="B1413" t="s">
        <v>31</v>
      </c>
      <c r="C1413" t="s">
        <v>106</v>
      </c>
      <c r="D1413" s="1" t="s">
        <v>8</v>
      </c>
      <c r="E1413" s="4">
        <v>136</v>
      </c>
      <c r="F1413" s="4">
        <v>133</v>
      </c>
      <c r="G1413" s="4">
        <v>129.6</v>
      </c>
      <c r="H1413" s="1" t="s">
        <v>188</v>
      </c>
      <c r="K1413">
        <v>2014</v>
      </c>
      <c r="L1413" t="s">
        <v>40</v>
      </c>
      <c r="M1413" t="s">
        <v>71</v>
      </c>
      <c r="N1413" t="s">
        <v>22</v>
      </c>
      <c r="O1413" t="s">
        <v>20</v>
      </c>
      <c r="P1413" s="1" t="s">
        <v>34</v>
      </c>
      <c r="Q1413">
        <v>115.2</v>
      </c>
    </row>
    <row r="1414" spans="1:17" x14ac:dyDescent="0.3">
      <c r="A1414">
        <v>2017</v>
      </c>
      <c r="B1414" t="s">
        <v>31</v>
      </c>
      <c r="C1414" t="s">
        <v>106</v>
      </c>
      <c r="D1414" s="1" t="s">
        <v>21</v>
      </c>
      <c r="E1414" s="4">
        <v>132.1</v>
      </c>
      <c r="F1414" s="4">
        <v>126.8</v>
      </c>
      <c r="G1414" s="4">
        <v>118</v>
      </c>
      <c r="H1414" s="1" t="s">
        <v>190</v>
      </c>
      <c r="K1414">
        <v>2014</v>
      </c>
      <c r="L1414" t="s">
        <v>40</v>
      </c>
      <c r="M1414" t="s">
        <v>71</v>
      </c>
      <c r="N1414" t="s">
        <v>22</v>
      </c>
      <c r="O1414" t="s">
        <v>20</v>
      </c>
      <c r="P1414" s="1" t="s">
        <v>33</v>
      </c>
      <c r="Q1414">
        <v>114.9</v>
      </c>
    </row>
    <row r="1415" spans="1:17" x14ac:dyDescent="0.3">
      <c r="A1415">
        <v>2017</v>
      </c>
      <c r="B1415" t="s">
        <v>31</v>
      </c>
      <c r="C1415" t="s">
        <v>106</v>
      </c>
      <c r="D1415" s="1" t="s">
        <v>29</v>
      </c>
      <c r="E1415" s="4">
        <v>132.4</v>
      </c>
      <c r="F1415" s="4">
        <v>130.30000000000001</v>
      </c>
      <c r="G1415" s="4">
        <v>127.8</v>
      </c>
      <c r="H1415" s="1" t="s">
        <v>206</v>
      </c>
      <c r="K1415">
        <v>2014</v>
      </c>
      <c r="L1415" t="s">
        <v>40</v>
      </c>
      <c r="M1415" t="s">
        <v>71</v>
      </c>
      <c r="N1415" t="s">
        <v>20</v>
      </c>
      <c r="O1415" t="s">
        <v>20</v>
      </c>
      <c r="P1415" s="1" t="s">
        <v>30</v>
      </c>
      <c r="Q1415">
        <v>0</v>
      </c>
    </row>
    <row r="1416" spans="1:17" x14ac:dyDescent="0.3">
      <c r="A1416">
        <v>2017</v>
      </c>
      <c r="B1416" t="s">
        <v>31</v>
      </c>
      <c r="C1416" t="s">
        <v>106</v>
      </c>
      <c r="D1416" s="1" t="s">
        <v>23</v>
      </c>
      <c r="E1416" s="4">
        <v>129.9</v>
      </c>
      <c r="F1416" s="4">
        <v>127.1</v>
      </c>
      <c r="G1416" s="4">
        <v>122.6</v>
      </c>
      <c r="H1416" s="1" t="s">
        <v>23</v>
      </c>
      <c r="K1416">
        <v>2014</v>
      </c>
      <c r="L1416" t="s">
        <v>40</v>
      </c>
      <c r="M1416" t="s">
        <v>71</v>
      </c>
      <c r="N1416" t="s">
        <v>20</v>
      </c>
      <c r="O1416" t="s">
        <v>20</v>
      </c>
      <c r="P1416" s="1" t="s">
        <v>34</v>
      </c>
      <c r="Q1416">
        <v>114.8</v>
      </c>
    </row>
    <row r="1417" spans="1:17" x14ac:dyDescent="0.3">
      <c r="A1417">
        <v>2017</v>
      </c>
      <c r="B1417" t="s">
        <v>31</v>
      </c>
      <c r="C1417" t="s">
        <v>106</v>
      </c>
      <c r="D1417" s="1" t="s">
        <v>22</v>
      </c>
      <c r="E1417" s="4">
        <v>133.19999999999999</v>
      </c>
      <c r="F1417" s="4">
        <v>129.4</v>
      </c>
      <c r="G1417" s="4">
        <v>125.1</v>
      </c>
      <c r="H1417" s="1" t="s">
        <v>20</v>
      </c>
      <c r="K1417">
        <v>2014</v>
      </c>
      <c r="L1417" t="s">
        <v>40</v>
      </c>
      <c r="M1417" t="s">
        <v>71</v>
      </c>
      <c r="N1417" t="s">
        <v>20</v>
      </c>
      <c r="O1417" t="s">
        <v>20</v>
      </c>
      <c r="P1417" s="1" t="s">
        <v>33</v>
      </c>
      <c r="Q1417">
        <v>114.8</v>
      </c>
    </row>
    <row r="1418" spans="1:17" x14ac:dyDescent="0.3">
      <c r="A1418">
        <v>2017</v>
      </c>
      <c r="B1418" t="s">
        <v>31</v>
      </c>
      <c r="C1418" t="s">
        <v>106</v>
      </c>
      <c r="D1418" s="1" t="s">
        <v>20</v>
      </c>
      <c r="E1418" s="4">
        <v>0</v>
      </c>
      <c r="F1418" s="4">
        <v>129.6</v>
      </c>
      <c r="G1418" s="4">
        <v>129.6</v>
      </c>
      <c r="H1418" s="1" t="s">
        <v>20</v>
      </c>
      <c r="K1418">
        <v>2014</v>
      </c>
      <c r="L1418" t="s">
        <v>40</v>
      </c>
      <c r="M1418" t="s">
        <v>71</v>
      </c>
      <c r="N1418" t="s">
        <v>4</v>
      </c>
      <c r="O1418" t="s">
        <v>188</v>
      </c>
      <c r="P1418" s="1" t="s">
        <v>30</v>
      </c>
      <c r="Q1418">
        <v>122.5</v>
      </c>
    </row>
    <row r="1419" spans="1:17" x14ac:dyDescent="0.3">
      <c r="A1419">
        <v>2017</v>
      </c>
      <c r="B1419" t="s">
        <v>31</v>
      </c>
      <c r="C1419" t="s">
        <v>106</v>
      </c>
      <c r="D1419" s="1" t="s">
        <v>4</v>
      </c>
      <c r="E1419" s="4">
        <v>137.80000000000001</v>
      </c>
      <c r="F1419" s="4">
        <v>138.19999999999999</v>
      </c>
      <c r="G1419" s="4">
        <v>138.9</v>
      </c>
      <c r="H1419" s="1" t="s">
        <v>188</v>
      </c>
      <c r="K1419">
        <v>2014</v>
      </c>
      <c r="L1419" t="s">
        <v>40</v>
      </c>
      <c r="M1419" t="s">
        <v>71</v>
      </c>
      <c r="N1419" t="s">
        <v>4</v>
      </c>
      <c r="O1419" t="s">
        <v>188</v>
      </c>
      <c r="P1419" s="1" t="s">
        <v>34</v>
      </c>
      <c r="Q1419">
        <v>123.9</v>
      </c>
    </row>
    <row r="1420" spans="1:17" x14ac:dyDescent="0.3">
      <c r="A1420">
        <v>2017</v>
      </c>
      <c r="B1420" t="s">
        <v>31</v>
      </c>
      <c r="C1420" t="s">
        <v>106</v>
      </c>
      <c r="D1420" s="1" t="s">
        <v>6</v>
      </c>
      <c r="E1420" s="4">
        <v>136.69999999999999</v>
      </c>
      <c r="F1420" s="4">
        <v>135.4</v>
      </c>
      <c r="G1420" s="4">
        <v>133.1</v>
      </c>
      <c r="H1420" s="1" t="s">
        <v>188</v>
      </c>
      <c r="K1420">
        <v>2014</v>
      </c>
      <c r="L1420" t="s">
        <v>40</v>
      </c>
      <c r="M1420" t="s">
        <v>71</v>
      </c>
      <c r="N1420" t="s">
        <v>4</v>
      </c>
      <c r="O1420" t="s">
        <v>188</v>
      </c>
      <c r="P1420" s="1" t="s">
        <v>33</v>
      </c>
      <c r="Q1420">
        <v>126.4</v>
      </c>
    </row>
    <row r="1421" spans="1:17" x14ac:dyDescent="0.3">
      <c r="A1421">
        <v>2017</v>
      </c>
      <c r="B1421" t="s">
        <v>31</v>
      </c>
      <c r="C1421" t="s">
        <v>106</v>
      </c>
      <c r="D1421" s="1" t="s">
        <v>28</v>
      </c>
      <c r="E1421" s="4">
        <v>126.6</v>
      </c>
      <c r="F1421" s="4">
        <v>124.4</v>
      </c>
      <c r="G1421" s="4">
        <v>122.1</v>
      </c>
      <c r="H1421" s="1" t="s">
        <v>192</v>
      </c>
      <c r="K1421">
        <v>2014</v>
      </c>
      <c r="L1421" t="s">
        <v>40</v>
      </c>
      <c r="M1421" t="s">
        <v>71</v>
      </c>
      <c r="N1421" t="s">
        <v>6</v>
      </c>
      <c r="O1421" t="s">
        <v>188</v>
      </c>
      <c r="P1421" s="1" t="s">
        <v>30</v>
      </c>
      <c r="Q1421">
        <v>120.6</v>
      </c>
    </row>
    <row r="1422" spans="1:17" x14ac:dyDescent="0.3">
      <c r="A1422">
        <v>2017</v>
      </c>
      <c r="B1422" t="s">
        <v>31</v>
      </c>
      <c r="C1422" t="s">
        <v>106</v>
      </c>
      <c r="D1422" s="1" t="s">
        <v>13</v>
      </c>
      <c r="E1422" s="4">
        <v>129</v>
      </c>
      <c r="F1422" s="4">
        <v>126.6</v>
      </c>
      <c r="G1422" s="4">
        <v>123.2</v>
      </c>
      <c r="H1422" s="1" t="s">
        <v>188</v>
      </c>
      <c r="K1422">
        <v>2014</v>
      </c>
      <c r="L1422" t="s">
        <v>40</v>
      </c>
      <c r="M1422" t="s">
        <v>71</v>
      </c>
      <c r="N1422" t="s">
        <v>6</v>
      </c>
      <c r="O1422" t="s">
        <v>188</v>
      </c>
      <c r="P1422" s="1" t="s">
        <v>34</v>
      </c>
      <c r="Q1422">
        <v>121</v>
      </c>
    </row>
    <row r="1423" spans="1:17" x14ac:dyDescent="0.3">
      <c r="A1423">
        <v>2017</v>
      </c>
      <c r="B1423" t="s">
        <v>31</v>
      </c>
      <c r="C1423" t="s">
        <v>106</v>
      </c>
      <c r="D1423" s="1" t="s">
        <v>7</v>
      </c>
      <c r="E1423" s="4">
        <v>122</v>
      </c>
      <c r="F1423" s="4">
        <v>119.1</v>
      </c>
      <c r="G1423" s="4">
        <v>114</v>
      </c>
      <c r="H1423" s="1" t="s">
        <v>188</v>
      </c>
      <c r="K1423">
        <v>2014</v>
      </c>
      <c r="L1423" t="s">
        <v>40</v>
      </c>
      <c r="M1423" t="s">
        <v>71</v>
      </c>
      <c r="N1423" t="s">
        <v>6</v>
      </c>
      <c r="O1423" t="s">
        <v>188</v>
      </c>
      <c r="P1423" s="1" t="s">
        <v>33</v>
      </c>
      <c r="Q1423">
        <v>121.6</v>
      </c>
    </row>
    <row r="1424" spans="1:17" x14ac:dyDescent="0.3">
      <c r="A1424">
        <v>2017</v>
      </c>
      <c r="B1424" t="s">
        <v>31</v>
      </c>
      <c r="C1424" t="s">
        <v>106</v>
      </c>
      <c r="D1424" s="1" t="s">
        <v>16</v>
      </c>
      <c r="E1424" s="4">
        <v>143.1</v>
      </c>
      <c r="F1424" s="4">
        <v>143.80000000000001</v>
      </c>
      <c r="G1424" s="4">
        <v>145.6</v>
      </c>
      <c r="H1424" s="1" t="s">
        <v>192</v>
      </c>
      <c r="K1424">
        <v>2014</v>
      </c>
      <c r="L1424" t="s">
        <v>40</v>
      </c>
      <c r="M1424" t="s">
        <v>71</v>
      </c>
      <c r="N1424" t="s">
        <v>28</v>
      </c>
      <c r="O1424" t="s">
        <v>192</v>
      </c>
      <c r="P1424" s="1" t="s">
        <v>30</v>
      </c>
      <c r="Q1424">
        <v>113.1</v>
      </c>
    </row>
    <row r="1425" spans="1:17" x14ac:dyDescent="0.3">
      <c r="A1425">
        <v>2017</v>
      </c>
      <c r="B1425" t="s">
        <v>31</v>
      </c>
      <c r="C1425" t="s">
        <v>106</v>
      </c>
      <c r="D1425" s="1" t="s">
        <v>27</v>
      </c>
      <c r="E1425" s="4">
        <v>122.3</v>
      </c>
      <c r="F1425" s="4">
        <v>121.7</v>
      </c>
      <c r="G1425" s="4">
        <v>120.9</v>
      </c>
      <c r="H1425" s="1" t="s">
        <v>192</v>
      </c>
      <c r="K1425">
        <v>2014</v>
      </c>
      <c r="L1425" t="s">
        <v>40</v>
      </c>
      <c r="M1425" t="s">
        <v>71</v>
      </c>
      <c r="N1425" t="s">
        <v>28</v>
      </c>
      <c r="O1425" t="s">
        <v>192</v>
      </c>
      <c r="P1425" s="1" t="s">
        <v>34</v>
      </c>
      <c r="Q1425">
        <v>113.3</v>
      </c>
    </row>
    <row r="1426" spans="1:17" x14ac:dyDescent="0.3">
      <c r="A1426">
        <v>2017</v>
      </c>
      <c r="B1426" t="s">
        <v>31</v>
      </c>
      <c r="C1426" t="s">
        <v>106</v>
      </c>
      <c r="D1426" s="1" t="s">
        <v>14</v>
      </c>
      <c r="E1426" s="4">
        <v>143.9</v>
      </c>
      <c r="F1426" s="4">
        <v>142.80000000000001</v>
      </c>
      <c r="G1426" s="4">
        <v>141.6</v>
      </c>
      <c r="H1426" s="1" t="s">
        <v>188</v>
      </c>
      <c r="K1426">
        <v>2014</v>
      </c>
      <c r="L1426" t="s">
        <v>40</v>
      </c>
      <c r="M1426" t="s">
        <v>71</v>
      </c>
      <c r="N1426" t="s">
        <v>28</v>
      </c>
      <c r="O1426" t="s">
        <v>192</v>
      </c>
      <c r="P1426" s="1" t="s">
        <v>33</v>
      </c>
      <c r="Q1426">
        <v>113.5</v>
      </c>
    </row>
    <row r="1427" spans="1:17" x14ac:dyDescent="0.3">
      <c r="A1427">
        <v>2017</v>
      </c>
      <c r="B1427" t="s">
        <v>31</v>
      </c>
      <c r="C1427" t="s">
        <v>106</v>
      </c>
      <c r="D1427" s="1" t="s">
        <v>10</v>
      </c>
      <c r="E1427" s="4">
        <v>161.69999999999999</v>
      </c>
      <c r="F1427" s="4">
        <v>159.5</v>
      </c>
      <c r="G1427" s="4">
        <v>155.1</v>
      </c>
      <c r="H1427" s="1" t="s">
        <v>188</v>
      </c>
      <c r="K1427">
        <v>2014</v>
      </c>
      <c r="L1427" t="s">
        <v>40</v>
      </c>
      <c r="M1427" t="s">
        <v>71</v>
      </c>
      <c r="N1427" t="s">
        <v>13</v>
      </c>
      <c r="O1427" t="s">
        <v>188</v>
      </c>
      <c r="P1427" s="1" t="s">
        <v>30</v>
      </c>
      <c r="Q1427">
        <v>115.6</v>
      </c>
    </row>
    <row r="1428" spans="1:17" x14ac:dyDescent="0.3">
      <c r="A1428">
        <v>2017</v>
      </c>
      <c r="B1428" t="s">
        <v>31</v>
      </c>
      <c r="C1428" t="s">
        <v>106</v>
      </c>
      <c r="D1428" s="1" t="s">
        <v>25</v>
      </c>
      <c r="E1428" s="4">
        <v>127</v>
      </c>
      <c r="F1428" s="4">
        <v>124.2</v>
      </c>
      <c r="G1428" s="4">
        <v>122</v>
      </c>
      <c r="H1428" s="1" t="s">
        <v>195</v>
      </c>
      <c r="K1428">
        <v>2014</v>
      </c>
      <c r="L1428" t="s">
        <v>40</v>
      </c>
      <c r="M1428" t="s">
        <v>71</v>
      </c>
      <c r="N1428" t="s">
        <v>13</v>
      </c>
      <c r="O1428" t="s">
        <v>188</v>
      </c>
      <c r="P1428" s="1" t="s">
        <v>34</v>
      </c>
      <c r="Q1428">
        <v>114.8</v>
      </c>
    </row>
    <row r="1429" spans="1:17" x14ac:dyDescent="0.3">
      <c r="A1429">
        <v>2017</v>
      </c>
      <c r="B1429" t="s">
        <v>31</v>
      </c>
      <c r="C1429" t="s">
        <v>106</v>
      </c>
      <c r="D1429" s="1" t="s">
        <v>12</v>
      </c>
      <c r="E1429" s="4">
        <v>136.9</v>
      </c>
      <c r="F1429" s="4">
        <v>139.6</v>
      </c>
      <c r="G1429" s="4">
        <v>144.9</v>
      </c>
      <c r="H1429" s="1" t="s">
        <v>188</v>
      </c>
      <c r="K1429">
        <v>2014</v>
      </c>
      <c r="L1429" t="s">
        <v>40</v>
      </c>
      <c r="M1429" t="s">
        <v>71</v>
      </c>
      <c r="N1429" t="s">
        <v>13</v>
      </c>
      <c r="O1429" t="s">
        <v>188</v>
      </c>
      <c r="P1429" s="1" t="s">
        <v>33</v>
      </c>
      <c r="Q1429">
        <v>113.8</v>
      </c>
    </row>
    <row r="1430" spans="1:17" x14ac:dyDescent="0.3">
      <c r="A1430">
        <v>2017</v>
      </c>
      <c r="B1430" t="s">
        <v>31</v>
      </c>
      <c r="C1430" t="s">
        <v>106</v>
      </c>
      <c r="D1430" s="1" t="s">
        <v>11</v>
      </c>
      <c r="E1430" s="4">
        <v>114.8</v>
      </c>
      <c r="F1430" s="4">
        <v>115.6</v>
      </c>
      <c r="G1430" s="4">
        <v>117.3</v>
      </c>
      <c r="H1430" s="1" t="s">
        <v>188</v>
      </c>
      <c r="K1430">
        <v>2014</v>
      </c>
      <c r="L1430" t="s">
        <v>40</v>
      </c>
      <c r="M1430" t="s">
        <v>71</v>
      </c>
      <c r="N1430" t="s">
        <v>7</v>
      </c>
      <c r="O1430" t="s">
        <v>188</v>
      </c>
      <c r="P1430" s="1" t="s">
        <v>30</v>
      </c>
      <c r="Q1430">
        <v>110.4</v>
      </c>
    </row>
    <row r="1431" spans="1:17" x14ac:dyDescent="0.3">
      <c r="A1431">
        <v>2017</v>
      </c>
      <c r="B1431" t="s">
        <v>31</v>
      </c>
      <c r="C1431" t="s">
        <v>106</v>
      </c>
      <c r="D1431" s="1" t="s">
        <v>24</v>
      </c>
      <c r="E1431" s="4">
        <v>119.1</v>
      </c>
      <c r="F1431" s="4">
        <v>117</v>
      </c>
      <c r="G1431" s="4">
        <v>115.2</v>
      </c>
      <c r="H1431" s="1" t="s">
        <v>191</v>
      </c>
      <c r="K1431">
        <v>2014</v>
      </c>
      <c r="L1431" t="s">
        <v>40</v>
      </c>
      <c r="M1431" t="s">
        <v>71</v>
      </c>
      <c r="N1431" t="s">
        <v>7</v>
      </c>
      <c r="O1431" t="s">
        <v>188</v>
      </c>
      <c r="P1431" s="1" t="s">
        <v>34</v>
      </c>
      <c r="Q1431">
        <v>107.9</v>
      </c>
    </row>
    <row r="1432" spans="1:17" x14ac:dyDescent="0.3">
      <c r="A1432">
        <v>2017</v>
      </c>
      <c r="B1432" t="s">
        <v>31</v>
      </c>
      <c r="C1432" t="s">
        <v>106</v>
      </c>
      <c r="D1432" s="1" t="s">
        <v>9</v>
      </c>
      <c r="E1432" s="4">
        <v>119.8</v>
      </c>
      <c r="F1432" s="4">
        <v>119.4</v>
      </c>
      <c r="G1432" s="4">
        <v>118.7</v>
      </c>
      <c r="H1432" s="1" t="s">
        <v>188</v>
      </c>
      <c r="K1432">
        <v>2014</v>
      </c>
      <c r="L1432" t="s">
        <v>40</v>
      </c>
      <c r="M1432" t="s">
        <v>71</v>
      </c>
      <c r="N1432" t="s">
        <v>7</v>
      </c>
      <c r="O1432" t="s">
        <v>188</v>
      </c>
      <c r="P1432" s="1" t="s">
        <v>33</v>
      </c>
      <c r="Q1432">
        <v>103.5</v>
      </c>
    </row>
    <row r="1433" spans="1:17" x14ac:dyDescent="0.3">
      <c r="A1433">
        <v>2017</v>
      </c>
      <c r="B1433" t="s">
        <v>40</v>
      </c>
      <c r="C1433" t="s">
        <v>107</v>
      </c>
      <c r="D1433" s="1" t="s">
        <v>3</v>
      </c>
      <c r="E1433" s="4">
        <v>134</v>
      </c>
      <c r="F1433" s="4">
        <v>133.6</v>
      </c>
      <c r="G1433" s="4">
        <v>132.80000000000001</v>
      </c>
      <c r="H1433" s="1" t="s">
        <v>188</v>
      </c>
      <c r="K1433">
        <v>2014</v>
      </c>
      <c r="L1433" t="s">
        <v>40</v>
      </c>
      <c r="M1433" t="s">
        <v>71</v>
      </c>
      <c r="N1433" t="s">
        <v>16</v>
      </c>
      <c r="O1433" t="s">
        <v>192</v>
      </c>
      <c r="P1433" s="1" t="s">
        <v>30</v>
      </c>
      <c r="Q1433">
        <v>118</v>
      </c>
    </row>
    <row r="1434" spans="1:17" x14ac:dyDescent="0.3">
      <c r="A1434">
        <v>2017</v>
      </c>
      <c r="B1434" t="s">
        <v>40</v>
      </c>
      <c r="C1434" t="s">
        <v>107</v>
      </c>
      <c r="D1434" s="1" t="s">
        <v>17</v>
      </c>
      <c r="E1434" s="4">
        <v>144.30000000000001</v>
      </c>
      <c r="F1434" s="4">
        <v>139.30000000000001</v>
      </c>
      <c r="G1434" s="4">
        <v>131.6</v>
      </c>
      <c r="H1434" s="1" t="s">
        <v>189</v>
      </c>
      <c r="K1434">
        <v>2014</v>
      </c>
      <c r="L1434" t="s">
        <v>40</v>
      </c>
      <c r="M1434" t="s">
        <v>71</v>
      </c>
      <c r="N1434" t="s">
        <v>16</v>
      </c>
      <c r="O1434" t="s">
        <v>192</v>
      </c>
      <c r="P1434" s="1" t="s">
        <v>34</v>
      </c>
      <c r="Q1434">
        <v>118.8</v>
      </c>
    </row>
    <row r="1435" spans="1:17" x14ac:dyDescent="0.3">
      <c r="A1435">
        <v>2017</v>
      </c>
      <c r="B1435" t="s">
        <v>40</v>
      </c>
      <c r="C1435" t="s">
        <v>107</v>
      </c>
      <c r="D1435" s="1" t="s">
        <v>19</v>
      </c>
      <c r="E1435" s="4">
        <v>143.5</v>
      </c>
      <c r="F1435" s="4">
        <v>138.30000000000001</v>
      </c>
      <c r="G1435" s="4">
        <v>130.4</v>
      </c>
      <c r="H1435" s="1" t="s">
        <v>189</v>
      </c>
      <c r="K1435">
        <v>2014</v>
      </c>
      <c r="L1435" t="s">
        <v>40</v>
      </c>
      <c r="M1435" t="s">
        <v>71</v>
      </c>
      <c r="N1435" t="s">
        <v>16</v>
      </c>
      <c r="O1435" t="s">
        <v>192</v>
      </c>
      <c r="P1435" s="1" t="s">
        <v>33</v>
      </c>
      <c r="Q1435">
        <v>121</v>
      </c>
    </row>
    <row r="1436" spans="1:17" x14ac:dyDescent="0.3">
      <c r="A1436">
        <v>2017</v>
      </c>
      <c r="B1436" t="s">
        <v>40</v>
      </c>
      <c r="C1436" t="s">
        <v>107</v>
      </c>
      <c r="D1436" s="1" t="s">
        <v>26</v>
      </c>
      <c r="E1436" s="4">
        <v>138.6</v>
      </c>
      <c r="F1436" s="4">
        <v>136.80000000000001</v>
      </c>
      <c r="G1436" s="4">
        <v>135.5</v>
      </c>
      <c r="H1436" s="1" t="s">
        <v>26</v>
      </c>
      <c r="K1436">
        <v>2014</v>
      </c>
      <c r="L1436" t="s">
        <v>40</v>
      </c>
      <c r="M1436" t="s">
        <v>71</v>
      </c>
      <c r="N1436" t="s">
        <v>27</v>
      </c>
      <c r="O1436" t="s">
        <v>192</v>
      </c>
      <c r="P1436" s="1" t="s">
        <v>30</v>
      </c>
      <c r="Q1436">
        <v>108.8</v>
      </c>
    </row>
    <row r="1437" spans="1:17" x14ac:dyDescent="0.3">
      <c r="A1437">
        <v>2017</v>
      </c>
      <c r="B1437" t="s">
        <v>40</v>
      </c>
      <c r="C1437" t="s">
        <v>107</v>
      </c>
      <c r="D1437" s="1" t="s">
        <v>5</v>
      </c>
      <c r="E1437" s="4">
        <v>129.80000000000001</v>
      </c>
      <c r="F1437" s="4">
        <v>129.6</v>
      </c>
      <c r="G1437" s="4">
        <v>129.4</v>
      </c>
      <c r="H1437" s="1" t="s">
        <v>188</v>
      </c>
      <c r="K1437">
        <v>2014</v>
      </c>
      <c r="L1437" t="s">
        <v>40</v>
      </c>
      <c r="M1437" t="s">
        <v>71</v>
      </c>
      <c r="N1437" t="s">
        <v>27</v>
      </c>
      <c r="O1437" t="s">
        <v>192</v>
      </c>
      <c r="P1437" s="1" t="s">
        <v>34</v>
      </c>
      <c r="Q1437">
        <v>109.2</v>
      </c>
    </row>
    <row r="1438" spans="1:17" x14ac:dyDescent="0.3">
      <c r="A1438">
        <v>2017</v>
      </c>
      <c r="B1438" t="s">
        <v>40</v>
      </c>
      <c r="C1438" t="s">
        <v>107</v>
      </c>
      <c r="D1438" s="1" t="s">
        <v>15</v>
      </c>
      <c r="E1438" s="4">
        <v>138.5</v>
      </c>
      <c r="F1438" s="4">
        <v>139</v>
      </c>
      <c r="G1438" s="4">
        <v>139.80000000000001</v>
      </c>
      <c r="H1438" s="1" t="s">
        <v>188</v>
      </c>
      <c r="K1438">
        <v>2014</v>
      </c>
      <c r="L1438" t="s">
        <v>40</v>
      </c>
      <c r="M1438" t="s">
        <v>71</v>
      </c>
      <c r="N1438" t="s">
        <v>27</v>
      </c>
      <c r="O1438" t="s">
        <v>192</v>
      </c>
      <c r="P1438" s="1" t="s">
        <v>33</v>
      </c>
      <c r="Q1438">
        <v>109.7</v>
      </c>
    </row>
    <row r="1439" spans="1:17" x14ac:dyDescent="0.3">
      <c r="A1439">
        <v>2017</v>
      </c>
      <c r="B1439" t="s">
        <v>40</v>
      </c>
      <c r="C1439" t="s">
        <v>107</v>
      </c>
      <c r="D1439" s="1" t="s">
        <v>18</v>
      </c>
      <c r="E1439" s="4">
        <v>138.1</v>
      </c>
      <c r="F1439" s="4">
        <v>132.1</v>
      </c>
      <c r="G1439" s="4">
        <v>123.7</v>
      </c>
      <c r="H1439" s="1" t="s">
        <v>189</v>
      </c>
      <c r="K1439">
        <v>2014</v>
      </c>
      <c r="L1439" t="s">
        <v>40</v>
      </c>
      <c r="M1439" t="s">
        <v>71</v>
      </c>
      <c r="N1439" t="s">
        <v>14</v>
      </c>
      <c r="O1439" t="s">
        <v>188</v>
      </c>
      <c r="P1439" s="1" t="s">
        <v>30</v>
      </c>
      <c r="Q1439">
        <v>120.9</v>
      </c>
    </row>
    <row r="1440" spans="1:17" x14ac:dyDescent="0.3">
      <c r="A1440">
        <v>2017</v>
      </c>
      <c r="B1440" t="s">
        <v>40</v>
      </c>
      <c r="C1440" t="s">
        <v>107</v>
      </c>
      <c r="D1440" s="1" t="s">
        <v>8</v>
      </c>
      <c r="E1440" s="4">
        <v>143.9</v>
      </c>
      <c r="F1440" s="4">
        <v>141.80000000000001</v>
      </c>
      <c r="G1440" s="4">
        <v>139.4</v>
      </c>
      <c r="H1440" s="1" t="s">
        <v>188</v>
      </c>
      <c r="K1440">
        <v>2014</v>
      </c>
      <c r="L1440" t="s">
        <v>40</v>
      </c>
      <c r="M1440" t="s">
        <v>71</v>
      </c>
      <c r="N1440" t="s">
        <v>14</v>
      </c>
      <c r="O1440" t="s">
        <v>188</v>
      </c>
      <c r="P1440" s="1" t="s">
        <v>34</v>
      </c>
      <c r="Q1440">
        <v>122.1</v>
      </c>
    </row>
    <row r="1441" spans="1:17" x14ac:dyDescent="0.3">
      <c r="A1441">
        <v>2017</v>
      </c>
      <c r="B1441" t="s">
        <v>40</v>
      </c>
      <c r="C1441" t="s">
        <v>107</v>
      </c>
      <c r="D1441" s="1" t="s">
        <v>21</v>
      </c>
      <c r="E1441" s="4">
        <v>135.30000000000001</v>
      </c>
      <c r="F1441" s="4">
        <v>129.4</v>
      </c>
      <c r="G1441" s="4">
        <v>119.7</v>
      </c>
      <c r="H1441" s="1" t="s">
        <v>190</v>
      </c>
      <c r="K1441">
        <v>2014</v>
      </c>
      <c r="L1441" t="s">
        <v>40</v>
      </c>
      <c r="M1441" t="s">
        <v>71</v>
      </c>
      <c r="N1441" t="s">
        <v>14</v>
      </c>
      <c r="O1441" t="s">
        <v>188</v>
      </c>
      <c r="P1441" s="1" t="s">
        <v>33</v>
      </c>
      <c r="Q1441">
        <v>123.4</v>
      </c>
    </row>
    <row r="1442" spans="1:17" x14ac:dyDescent="0.3">
      <c r="A1442">
        <v>2017</v>
      </c>
      <c r="B1442" t="s">
        <v>40</v>
      </c>
      <c r="C1442" t="s">
        <v>107</v>
      </c>
      <c r="D1442" s="1" t="s">
        <v>29</v>
      </c>
      <c r="E1442" s="4">
        <v>136.19999999999999</v>
      </c>
      <c r="F1442" s="4">
        <v>134.19999999999999</v>
      </c>
      <c r="G1442" s="4">
        <v>131.80000000000001</v>
      </c>
      <c r="H1442" s="1" t="s">
        <v>206</v>
      </c>
      <c r="K1442">
        <v>2014</v>
      </c>
      <c r="L1442" t="s">
        <v>40</v>
      </c>
      <c r="M1442" t="s">
        <v>71</v>
      </c>
      <c r="N1442" t="s">
        <v>10</v>
      </c>
      <c r="O1442" t="s">
        <v>188</v>
      </c>
      <c r="P1442" s="1" t="s">
        <v>30</v>
      </c>
      <c r="Q1442">
        <v>113.2</v>
      </c>
    </row>
    <row r="1443" spans="1:17" x14ac:dyDescent="0.3">
      <c r="A1443">
        <v>2017</v>
      </c>
      <c r="B1443" t="s">
        <v>40</v>
      </c>
      <c r="C1443" t="s">
        <v>107</v>
      </c>
      <c r="D1443" s="1" t="s">
        <v>23</v>
      </c>
      <c r="E1443" s="4">
        <v>132.1</v>
      </c>
      <c r="F1443" s="4">
        <v>129.4</v>
      </c>
      <c r="G1443" s="4">
        <v>125</v>
      </c>
      <c r="H1443" s="1" t="s">
        <v>23</v>
      </c>
      <c r="K1443">
        <v>2014</v>
      </c>
      <c r="L1443" t="s">
        <v>40</v>
      </c>
      <c r="M1443" t="s">
        <v>71</v>
      </c>
      <c r="N1443" t="s">
        <v>10</v>
      </c>
      <c r="O1443" t="s">
        <v>188</v>
      </c>
      <c r="P1443" s="1" t="s">
        <v>34</v>
      </c>
      <c r="Q1443">
        <v>113.2</v>
      </c>
    </row>
    <row r="1444" spans="1:17" x14ac:dyDescent="0.3">
      <c r="A1444">
        <v>2017</v>
      </c>
      <c r="B1444" t="s">
        <v>40</v>
      </c>
      <c r="C1444" t="s">
        <v>107</v>
      </c>
      <c r="D1444" s="1" t="s">
        <v>22</v>
      </c>
      <c r="E1444" s="4">
        <v>136.1</v>
      </c>
      <c r="F1444" s="4">
        <v>131.9</v>
      </c>
      <c r="G1444" s="4">
        <v>127.2</v>
      </c>
      <c r="H1444" s="1" t="s">
        <v>20</v>
      </c>
      <c r="K1444">
        <v>2014</v>
      </c>
      <c r="L1444" t="s">
        <v>40</v>
      </c>
      <c r="M1444" t="s">
        <v>71</v>
      </c>
      <c r="N1444" t="s">
        <v>10</v>
      </c>
      <c r="O1444" t="s">
        <v>188</v>
      </c>
      <c r="P1444" s="1" t="s">
        <v>33</v>
      </c>
      <c r="Q1444">
        <v>113.1</v>
      </c>
    </row>
    <row r="1445" spans="1:17" x14ac:dyDescent="0.3">
      <c r="A1445">
        <v>2017</v>
      </c>
      <c r="B1445" t="s">
        <v>40</v>
      </c>
      <c r="C1445" t="s">
        <v>107</v>
      </c>
      <c r="D1445" s="1" t="s">
        <v>20</v>
      </c>
      <c r="E1445" s="4">
        <v>0</v>
      </c>
      <c r="F1445" s="4">
        <v>132.6</v>
      </c>
      <c r="G1445" s="4">
        <v>132.6</v>
      </c>
      <c r="H1445" s="1" t="s">
        <v>20</v>
      </c>
      <c r="K1445">
        <v>2014</v>
      </c>
      <c r="L1445" t="s">
        <v>40</v>
      </c>
      <c r="M1445" t="s">
        <v>71</v>
      </c>
      <c r="N1445" t="s">
        <v>25</v>
      </c>
      <c r="O1445" t="s">
        <v>195</v>
      </c>
      <c r="P1445" s="1" t="s">
        <v>30</v>
      </c>
      <c r="Q1445">
        <v>111.8</v>
      </c>
    </row>
    <row r="1446" spans="1:17" x14ac:dyDescent="0.3">
      <c r="A1446">
        <v>2017</v>
      </c>
      <c r="B1446" t="s">
        <v>40</v>
      </c>
      <c r="C1446" t="s">
        <v>107</v>
      </c>
      <c r="D1446" s="1" t="s">
        <v>4</v>
      </c>
      <c r="E1446" s="4">
        <v>144.19999999999999</v>
      </c>
      <c r="F1446" s="4">
        <v>145.69999999999999</v>
      </c>
      <c r="G1446" s="4">
        <v>148.4</v>
      </c>
      <c r="H1446" s="1" t="s">
        <v>188</v>
      </c>
      <c r="K1446">
        <v>2014</v>
      </c>
      <c r="L1446" t="s">
        <v>40</v>
      </c>
      <c r="M1446" t="s">
        <v>71</v>
      </c>
      <c r="N1446" t="s">
        <v>25</v>
      </c>
      <c r="O1446" t="s">
        <v>195</v>
      </c>
      <c r="P1446" s="1" t="s">
        <v>34</v>
      </c>
      <c r="Q1446">
        <v>112.1</v>
      </c>
    </row>
    <row r="1447" spans="1:17" x14ac:dyDescent="0.3">
      <c r="A1447">
        <v>2017</v>
      </c>
      <c r="B1447" t="s">
        <v>40</v>
      </c>
      <c r="C1447" t="s">
        <v>107</v>
      </c>
      <c r="D1447" s="1" t="s">
        <v>6</v>
      </c>
      <c r="E1447" s="4">
        <v>139</v>
      </c>
      <c r="F1447" s="4">
        <v>138.5</v>
      </c>
      <c r="G1447" s="4">
        <v>137.69999999999999</v>
      </c>
      <c r="H1447" s="1" t="s">
        <v>188</v>
      </c>
      <c r="K1447">
        <v>2014</v>
      </c>
      <c r="L1447" t="s">
        <v>40</v>
      </c>
      <c r="M1447" t="s">
        <v>71</v>
      </c>
      <c r="N1447" t="s">
        <v>25</v>
      </c>
      <c r="O1447" t="s">
        <v>195</v>
      </c>
      <c r="P1447" s="1" t="s">
        <v>33</v>
      </c>
      <c r="Q1447">
        <v>112.4</v>
      </c>
    </row>
    <row r="1448" spans="1:17" x14ac:dyDescent="0.3">
      <c r="A1448">
        <v>2017</v>
      </c>
      <c r="B1448" t="s">
        <v>40</v>
      </c>
      <c r="C1448" t="s">
        <v>107</v>
      </c>
      <c r="D1448" s="1" t="s">
        <v>28</v>
      </c>
      <c r="E1448" s="4">
        <v>128.6</v>
      </c>
      <c r="F1448" s="4">
        <v>125.9</v>
      </c>
      <c r="G1448" s="4">
        <v>123</v>
      </c>
      <c r="H1448" s="1" t="s">
        <v>192</v>
      </c>
      <c r="K1448">
        <v>2014</v>
      </c>
      <c r="L1448" t="s">
        <v>40</v>
      </c>
      <c r="M1448" t="s">
        <v>71</v>
      </c>
      <c r="N1448" t="s">
        <v>12</v>
      </c>
      <c r="O1448" t="s">
        <v>188</v>
      </c>
      <c r="P1448" s="1" t="s">
        <v>30</v>
      </c>
      <c r="Q1448">
        <v>113.3</v>
      </c>
    </row>
    <row r="1449" spans="1:17" x14ac:dyDescent="0.3">
      <c r="A1449">
        <v>2017</v>
      </c>
      <c r="B1449" t="s">
        <v>40</v>
      </c>
      <c r="C1449" t="s">
        <v>107</v>
      </c>
      <c r="D1449" s="1" t="s">
        <v>13</v>
      </c>
      <c r="E1449" s="4">
        <v>131.4</v>
      </c>
      <c r="F1449" s="4">
        <v>128.5</v>
      </c>
      <c r="G1449" s="4">
        <v>124.4</v>
      </c>
      <c r="H1449" s="1" t="s">
        <v>188</v>
      </c>
      <c r="K1449">
        <v>2014</v>
      </c>
      <c r="L1449" t="s">
        <v>40</v>
      </c>
      <c r="M1449" t="s">
        <v>71</v>
      </c>
      <c r="N1449" t="s">
        <v>12</v>
      </c>
      <c r="O1449" t="s">
        <v>188</v>
      </c>
      <c r="P1449" s="1" t="s">
        <v>34</v>
      </c>
      <c r="Q1449">
        <v>115.5</v>
      </c>
    </row>
    <row r="1450" spans="1:17" x14ac:dyDescent="0.3">
      <c r="A1450">
        <v>2017</v>
      </c>
      <c r="B1450" t="s">
        <v>40</v>
      </c>
      <c r="C1450" t="s">
        <v>107</v>
      </c>
      <c r="D1450" s="1" t="s">
        <v>7</v>
      </c>
      <c r="E1450" s="4">
        <v>120.9</v>
      </c>
      <c r="F1450" s="4">
        <v>118.1</v>
      </c>
      <c r="G1450" s="4">
        <v>113.4</v>
      </c>
      <c r="H1450" s="1" t="s">
        <v>188</v>
      </c>
      <c r="K1450">
        <v>2014</v>
      </c>
      <c r="L1450" t="s">
        <v>40</v>
      </c>
      <c r="M1450" t="s">
        <v>71</v>
      </c>
      <c r="N1450" t="s">
        <v>12</v>
      </c>
      <c r="O1450" t="s">
        <v>188</v>
      </c>
      <c r="P1450" s="1" t="s">
        <v>33</v>
      </c>
      <c r="Q1450">
        <v>120</v>
      </c>
    </row>
    <row r="1451" spans="1:17" x14ac:dyDescent="0.3">
      <c r="A1451">
        <v>2017</v>
      </c>
      <c r="B1451" t="s">
        <v>40</v>
      </c>
      <c r="C1451" t="s">
        <v>107</v>
      </c>
      <c r="D1451" s="1" t="s">
        <v>16</v>
      </c>
      <c r="E1451" s="4">
        <v>147.4</v>
      </c>
      <c r="F1451" s="4">
        <v>148.19999999999999</v>
      </c>
      <c r="G1451" s="4">
        <v>150.5</v>
      </c>
      <c r="H1451" s="1" t="s">
        <v>192</v>
      </c>
      <c r="K1451">
        <v>2014</v>
      </c>
      <c r="L1451" t="s">
        <v>40</v>
      </c>
      <c r="M1451" t="s">
        <v>71</v>
      </c>
      <c r="N1451" t="s">
        <v>11</v>
      </c>
      <c r="O1451" t="s">
        <v>188</v>
      </c>
      <c r="P1451" s="1" t="s">
        <v>30</v>
      </c>
      <c r="Q1451">
        <v>104.8</v>
      </c>
    </row>
    <row r="1452" spans="1:17" x14ac:dyDescent="0.3">
      <c r="A1452">
        <v>2017</v>
      </c>
      <c r="B1452" t="s">
        <v>40</v>
      </c>
      <c r="C1452" t="s">
        <v>107</v>
      </c>
      <c r="D1452" s="1" t="s">
        <v>27</v>
      </c>
      <c r="E1452" s="4">
        <v>124.4</v>
      </c>
      <c r="F1452" s="4">
        <v>123.6</v>
      </c>
      <c r="G1452" s="4">
        <v>122.4</v>
      </c>
      <c r="H1452" s="1" t="s">
        <v>192</v>
      </c>
      <c r="K1452">
        <v>2014</v>
      </c>
      <c r="L1452" t="s">
        <v>40</v>
      </c>
      <c r="M1452" t="s">
        <v>71</v>
      </c>
      <c r="N1452" t="s">
        <v>11</v>
      </c>
      <c r="O1452" t="s">
        <v>188</v>
      </c>
      <c r="P1452" s="1" t="s">
        <v>34</v>
      </c>
      <c r="Q1452">
        <v>104.1</v>
      </c>
    </row>
    <row r="1453" spans="1:17" x14ac:dyDescent="0.3">
      <c r="A1453">
        <v>2017</v>
      </c>
      <c r="B1453" t="s">
        <v>40</v>
      </c>
      <c r="C1453" t="s">
        <v>107</v>
      </c>
      <c r="D1453" s="1" t="s">
        <v>14</v>
      </c>
      <c r="E1453" s="4">
        <v>147.69999999999999</v>
      </c>
      <c r="F1453" s="4">
        <v>145.80000000000001</v>
      </c>
      <c r="G1453" s="4">
        <v>143.69999999999999</v>
      </c>
      <c r="H1453" s="1" t="s">
        <v>188</v>
      </c>
      <c r="K1453">
        <v>2014</v>
      </c>
      <c r="L1453" t="s">
        <v>40</v>
      </c>
      <c r="M1453" t="s">
        <v>71</v>
      </c>
      <c r="N1453" t="s">
        <v>11</v>
      </c>
      <c r="O1453" t="s">
        <v>188</v>
      </c>
      <c r="P1453" s="1" t="s">
        <v>33</v>
      </c>
      <c r="Q1453">
        <v>102.7</v>
      </c>
    </row>
    <row r="1454" spans="1:17" x14ac:dyDescent="0.3">
      <c r="A1454">
        <v>2017</v>
      </c>
      <c r="B1454" t="s">
        <v>40</v>
      </c>
      <c r="C1454" t="s">
        <v>107</v>
      </c>
      <c r="D1454" s="1" t="s">
        <v>10</v>
      </c>
      <c r="E1454" s="4">
        <v>138.1</v>
      </c>
      <c r="F1454" s="4">
        <v>133.6</v>
      </c>
      <c r="G1454" s="4">
        <v>124.7</v>
      </c>
      <c r="H1454" s="1" t="s">
        <v>188</v>
      </c>
      <c r="K1454">
        <v>2014</v>
      </c>
      <c r="L1454" t="s">
        <v>40</v>
      </c>
      <c r="M1454" t="s">
        <v>71</v>
      </c>
      <c r="N1454" t="s">
        <v>24</v>
      </c>
      <c r="O1454" t="s">
        <v>191</v>
      </c>
      <c r="P1454" s="1" t="s">
        <v>30</v>
      </c>
      <c r="Q1454">
        <v>113.2</v>
      </c>
    </row>
    <row r="1455" spans="1:17" x14ac:dyDescent="0.3">
      <c r="A1455">
        <v>2017</v>
      </c>
      <c r="B1455" t="s">
        <v>40</v>
      </c>
      <c r="C1455" t="s">
        <v>107</v>
      </c>
      <c r="D1455" s="1" t="s">
        <v>25</v>
      </c>
      <c r="E1455" s="4">
        <v>130.6</v>
      </c>
      <c r="F1455" s="4">
        <v>126.6</v>
      </c>
      <c r="G1455" s="4">
        <v>123.5</v>
      </c>
      <c r="H1455" s="1" t="s">
        <v>195</v>
      </c>
      <c r="K1455">
        <v>2014</v>
      </c>
      <c r="L1455" t="s">
        <v>40</v>
      </c>
      <c r="M1455" t="s">
        <v>71</v>
      </c>
      <c r="N1455" t="s">
        <v>24</v>
      </c>
      <c r="O1455" t="s">
        <v>191</v>
      </c>
      <c r="P1455" s="1" t="s">
        <v>34</v>
      </c>
      <c r="Q1455">
        <v>113.1</v>
      </c>
    </row>
    <row r="1456" spans="1:17" x14ac:dyDescent="0.3">
      <c r="A1456">
        <v>2017</v>
      </c>
      <c r="B1456" t="s">
        <v>40</v>
      </c>
      <c r="C1456" t="s">
        <v>107</v>
      </c>
      <c r="D1456" s="1" t="s">
        <v>12</v>
      </c>
      <c r="E1456" s="4">
        <v>133.9</v>
      </c>
      <c r="F1456" s="4">
        <v>135.19999999999999</v>
      </c>
      <c r="G1456" s="4">
        <v>137.80000000000001</v>
      </c>
      <c r="H1456" s="1" t="s">
        <v>188</v>
      </c>
      <c r="K1456">
        <v>2014</v>
      </c>
      <c r="L1456" t="s">
        <v>40</v>
      </c>
      <c r="M1456" t="s">
        <v>71</v>
      </c>
      <c r="N1456" t="s">
        <v>24</v>
      </c>
      <c r="O1456" t="s">
        <v>191</v>
      </c>
      <c r="P1456" s="1" t="s">
        <v>33</v>
      </c>
      <c r="Q1456">
        <v>113</v>
      </c>
    </row>
    <row r="1457" spans="1:17" x14ac:dyDescent="0.3">
      <c r="A1457">
        <v>2017</v>
      </c>
      <c r="B1457" t="s">
        <v>40</v>
      </c>
      <c r="C1457" t="s">
        <v>107</v>
      </c>
      <c r="D1457" s="1" t="s">
        <v>11</v>
      </c>
      <c r="E1457" s="4">
        <v>120</v>
      </c>
      <c r="F1457" s="4">
        <v>120.5</v>
      </c>
      <c r="G1457" s="4">
        <v>121.5</v>
      </c>
      <c r="H1457" s="1" t="s">
        <v>188</v>
      </c>
      <c r="K1457">
        <v>2014</v>
      </c>
      <c r="L1457" t="s">
        <v>40</v>
      </c>
      <c r="M1457" t="s">
        <v>71</v>
      </c>
      <c r="N1457" t="s">
        <v>9</v>
      </c>
      <c r="O1457" t="s">
        <v>188</v>
      </c>
      <c r="P1457" s="1" t="s">
        <v>30</v>
      </c>
      <c r="Q1457">
        <v>150.1</v>
      </c>
    </row>
    <row r="1458" spans="1:17" x14ac:dyDescent="0.3">
      <c r="A1458">
        <v>2017</v>
      </c>
      <c r="B1458" t="s">
        <v>40</v>
      </c>
      <c r="C1458" t="s">
        <v>107</v>
      </c>
      <c r="D1458" s="1" t="s">
        <v>24</v>
      </c>
      <c r="E1458" s="4">
        <v>119.1</v>
      </c>
      <c r="F1458" s="4">
        <v>116</v>
      </c>
      <c r="G1458" s="4">
        <v>113.2</v>
      </c>
      <c r="H1458" s="1" t="s">
        <v>191</v>
      </c>
      <c r="K1458">
        <v>2014</v>
      </c>
      <c r="L1458" t="s">
        <v>40</v>
      </c>
      <c r="M1458" t="s">
        <v>71</v>
      </c>
      <c r="N1458" t="s">
        <v>9</v>
      </c>
      <c r="O1458" t="s">
        <v>188</v>
      </c>
      <c r="P1458" s="1" t="s">
        <v>34</v>
      </c>
      <c r="Q1458">
        <v>157.69999999999999</v>
      </c>
    </row>
    <row r="1459" spans="1:17" x14ac:dyDescent="0.3">
      <c r="A1459">
        <v>2017</v>
      </c>
      <c r="B1459" t="s">
        <v>40</v>
      </c>
      <c r="C1459" t="s">
        <v>107</v>
      </c>
      <c r="D1459" s="1" t="s">
        <v>9</v>
      </c>
      <c r="E1459" s="4">
        <v>151.5</v>
      </c>
      <c r="F1459" s="4">
        <v>159.5</v>
      </c>
      <c r="G1459" s="4">
        <v>175.1</v>
      </c>
      <c r="H1459" s="1" t="s">
        <v>188</v>
      </c>
      <c r="K1459">
        <v>2014</v>
      </c>
      <c r="L1459" t="s">
        <v>40</v>
      </c>
      <c r="M1459" t="s">
        <v>71</v>
      </c>
      <c r="N1459" t="s">
        <v>9</v>
      </c>
      <c r="O1459" t="s">
        <v>188</v>
      </c>
      <c r="P1459" s="1" t="s">
        <v>33</v>
      </c>
      <c r="Q1459">
        <v>172.4</v>
      </c>
    </row>
    <row r="1460" spans="1:17" x14ac:dyDescent="0.3">
      <c r="A1460">
        <v>2017</v>
      </c>
      <c r="B1460" t="s">
        <v>39</v>
      </c>
      <c r="C1460" t="s">
        <v>108</v>
      </c>
      <c r="D1460" s="1" t="s">
        <v>3</v>
      </c>
      <c r="E1460" s="4">
        <v>133.5</v>
      </c>
      <c r="F1460" s="4">
        <v>133.30000000000001</v>
      </c>
      <c r="G1460" s="4">
        <v>132.9</v>
      </c>
      <c r="H1460" s="1" t="s">
        <v>188</v>
      </c>
      <c r="K1460">
        <v>2014</v>
      </c>
      <c r="L1460" t="s">
        <v>39</v>
      </c>
      <c r="M1460" t="s">
        <v>72</v>
      </c>
      <c r="N1460" t="s">
        <v>3</v>
      </c>
      <c r="O1460" t="s">
        <v>188</v>
      </c>
      <c r="P1460" s="1" t="s">
        <v>30</v>
      </c>
      <c r="Q1460">
        <v>120.7</v>
      </c>
    </row>
    <row r="1461" spans="1:17" x14ac:dyDescent="0.3">
      <c r="A1461">
        <v>2017</v>
      </c>
      <c r="B1461" t="s">
        <v>39</v>
      </c>
      <c r="C1461" t="s">
        <v>108</v>
      </c>
      <c r="D1461" s="1" t="s">
        <v>17</v>
      </c>
      <c r="E1461" s="4">
        <v>143.1</v>
      </c>
      <c r="F1461" s="4">
        <v>138.5</v>
      </c>
      <c r="G1461" s="4">
        <v>131.5</v>
      </c>
      <c r="H1461" s="1" t="s">
        <v>189</v>
      </c>
      <c r="K1461">
        <v>2014</v>
      </c>
      <c r="L1461" t="s">
        <v>39</v>
      </c>
      <c r="M1461" t="s">
        <v>72</v>
      </c>
      <c r="N1461" t="s">
        <v>3</v>
      </c>
      <c r="O1461" t="s">
        <v>188</v>
      </c>
      <c r="P1461" s="1" t="s">
        <v>34</v>
      </c>
      <c r="Q1461">
        <v>121.5</v>
      </c>
    </row>
    <row r="1462" spans="1:17" x14ac:dyDescent="0.3">
      <c r="A1462">
        <v>2017</v>
      </c>
      <c r="B1462" t="s">
        <v>39</v>
      </c>
      <c r="C1462" t="s">
        <v>108</v>
      </c>
      <c r="D1462" s="1" t="s">
        <v>19</v>
      </c>
      <c r="E1462" s="4">
        <v>142.30000000000001</v>
      </c>
      <c r="F1462" s="4">
        <v>137.5</v>
      </c>
      <c r="G1462" s="4">
        <v>130.19999999999999</v>
      </c>
      <c r="H1462" s="1" t="s">
        <v>189</v>
      </c>
      <c r="K1462">
        <v>2014</v>
      </c>
      <c r="L1462" t="s">
        <v>39</v>
      </c>
      <c r="M1462" t="s">
        <v>72</v>
      </c>
      <c r="N1462" t="s">
        <v>3</v>
      </c>
      <c r="O1462" t="s">
        <v>188</v>
      </c>
      <c r="P1462" s="1" t="s">
        <v>33</v>
      </c>
      <c r="Q1462">
        <v>123.1</v>
      </c>
    </row>
    <row r="1463" spans="1:17" x14ac:dyDescent="0.3">
      <c r="A1463">
        <v>2017</v>
      </c>
      <c r="B1463" t="s">
        <v>39</v>
      </c>
      <c r="C1463" t="s">
        <v>108</v>
      </c>
      <c r="D1463" s="1" t="s">
        <v>26</v>
      </c>
      <c r="E1463" s="4">
        <v>136.9</v>
      </c>
      <c r="F1463" s="4">
        <v>135.4</v>
      </c>
      <c r="G1463" s="4">
        <v>134.30000000000001</v>
      </c>
      <c r="H1463" s="1" t="s">
        <v>26</v>
      </c>
      <c r="K1463">
        <v>2014</v>
      </c>
      <c r="L1463" t="s">
        <v>39</v>
      </c>
      <c r="M1463" t="s">
        <v>72</v>
      </c>
      <c r="N1463" t="s">
        <v>17</v>
      </c>
      <c r="O1463" t="s">
        <v>189</v>
      </c>
      <c r="P1463" s="1" t="s">
        <v>30</v>
      </c>
      <c r="Q1463">
        <v>119.7</v>
      </c>
    </row>
    <row r="1464" spans="1:17" x14ac:dyDescent="0.3">
      <c r="A1464">
        <v>2017</v>
      </c>
      <c r="B1464" t="s">
        <v>39</v>
      </c>
      <c r="C1464" t="s">
        <v>108</v>
      </c>
      <c r="D1464" s="1" t="s">
        <v>5</v>
      </c>
      <c r="E1464" s="4">
        <v>128</v>
      </c>
      <c r="F1464" s="4">
        <v>128.1</v>
      </c>
      <c r="G1464" s="4">
        <v>128.30000000000001</v>
      </c>
      <c r="H1464" s="1" t="s">
        <v>188</v>
      </c>
      <c r="K1464">
        <v>2014</v>
      </c>
      <c r="L1464" t="s">
        <v>39</v>
      </c>
      <c r="M1464" t="s">
        <v>72</v>
      </c>
      <c r="N1464" t="s">
        <v>17</v>
      </c>
      <c r="O1464" t="s">
        <v>189</v>
      </c>
      <c r="P1464" s="1" t="s">
        <v>34</v>
      </c>
      <c r="Q1464">
        <v>118.8</v>
      </c>
    </row>
    <row r="1465" spans="1:17" x14ac:dyDescent="0.3">
      <c r="A1465">
        <v>2017</v>
      </c>
      <c r="B1465" t="s">
        <v>39</v>
      </c>
      <c r="C1465" t="s">
        <v>108</v>
      </c>
      <c r="D1465" s="1" t="s">
        <v>15</v>
      </c>
      <c r="E1465" s="4">
        <v>134.9</v>
      </c>
      <c r="F1465" s="4">
        <v>135.19999999999999</v>
      </c>
      <c r="G1465" s="4">
        <v>135.69999999999999</v>
      </c>
      <c r="H1465" s="1" t="s">
        <v>188</v>
      </c>
      <c r="K1465">
        <v>2014</v>
      </c>
      <c r="L1465" t="s">
        <v>39</v>
      </c>
      <c r="M1465" t="s">
        <v>72</v>
      </c>
      <c r="N1465" t="s">
        <v>17</v>
      </c>
      <c r="O1465" t="s">
        <v>189</v>
      </c>
      <c r="P1465" s="1" t="s">
        <v>33</v>
      </c>
      <c r="Q1465">
        <v>117.4</v>
      </c>
    </row>
    <row r="1466" spans="1:17" x14ac:dyDescent="0.3">
      <c r="A1466">
        <v>2017</v>
      </c>
      <c r="B1466" t="s">
        <v>39</v>
      </c>
      <c r="C1466" t="s">
        <v>108</v>
      </c>
      <c r="D1466" s="1" t="s">
        <v>18</v>
      </c>
      <c r="E1466" s="4">
        <v>137.69999999999999</v>
      </c>
      <c r="F1466" s="4">
        <v>131.69999999999999</v>
      </c>
      <c r="G1466" s="4">
        <v>123.2</v>
      </c>
      <c r="H1466" s="1" t="s">
        <v>189</v>
      </c>
      <c r="K1466">
        <v>2014</v>
      </c>
      <c r="L1466" t="s">
        <v>39</v>
      </c>
      <c r="M1466" t="s">
        <v>72</v>
      </c>
      <c r="N1466" t="s">
        <v>19</v>
      </c>
      <c r="O1466" t="s">
        <v>189</v>
      </c>
      <c r="P1466" s="1" t="s">
        <v>30</v>
      </c>
      <c r="Q1466">
        <v>119.3</v>
      </c>
    </row>
    <row r="1467" spans="1:17" x14ac:dyDescent="0.3">
      <c r="A1467">
        <v>2017</v>
      </c>
      <c r="B1467" t="s">
        <v>39</v>
      </c>
      <c r="C1467" t="s">
        <v>108</v>
      </c>
      <c r="D1467" s="1" t="s">
        <v>8</v>
      </c>
      <c r="E1467" s="4">
        <v>140.9</v>
      </c>
      <c r="F1467" s="4">
        <v>139.19999999999999</v>
      </c>
      <c r="G1467" s="4">
        <v>137.19999999999999</v>
      </c>
      <c r="H1467" s="1" t="s">
        <v>188</v>
      </c>
      <c r="K1467">
        <v>2014</v>
      </c>
      <c r="L1467" t="s">
        <v>39</v>
      </c>
      <c r="M1467" t="s">
        <v>72</v>
      </c>
      <c r="N1467" t="s">
        <v>19</v>
      </c>
      <c r="O1467" t="s">
        <v>189</v>
      </c>
      <c r="P1467" s="1" t="s">
        <v>34</v>
      </c>
      <c r="Q1467">
        <v>118.3</v>
      </c>
    </row>
    <row r="1468" spans="1:17" x14ac:dyDescent="0.3">
      <c r="A1468">
        <v>2017</v>
      </c>
      <c r="B1468" t="s">
        <v>39</v>
      </c>
      <c r="C1468" t="s">
        <v>108</v>
      </c>
      <c r="D1468" s="1" t="s">
        <v>21</v>
      </c>
      <c r="E1468" s="4">
        <v>134.80000000000001</v>
      </c>
      <c r="F1468" s="4">
        <v>128.80000000000001</v>
      </c>
      <c r="G1468" s="4">
        <v>119</v>
      </c>
      <c r="H1468" s="1" t="s">
        <v>190</v>
      </c>
      <c r="K1468">
        <v>2014</v>
      </c>
      <c r="L1468" t="s">
        <v>39</v>
      </c>
      <c r="M1468" t="s">
        <v>72</v>
      </c>
      <c r="N1468" t="s">
        <v>19</v>
      </c>
      <c r="O1468" t="s">
        <v>189</v>
      </c>
      <c r="P1468" s="1" t="s">
        <v>33</v>
      </c>
      <c r="Q1468">
        <v>116.7</v>
      </c>
    </row>
    <row r="1469" spans="1:17" x14ac:dyDescent="0.3">
      <c r="A1469">
        <v>2017</v>
      </c>
      <c r="B1469" t="s">
        <v>39</v>
      </c>
      <c r="C1469" t="s">
        <v>108</v>
      </c>
      <c r="D1469" s="1" t="s">
        <v>29</v>
      </c>
      <c r="E1469" s="4">
        <v>133.9</v>
      </c>
      <c r="F1469" s="4">
        <v>132</v>
      </c>
      <c r="G1469" s="4">
        <v>129.9</v>
      </c>
      <c r="H1469" s="1" t="s">
        <v>206</v>
      </c>
      <c r="K1469">
        <v>2014</v>
      </c>
      <c r="L1469" t="s">
        <v>39</v>
      </c>
      <c r="M1469" t="s">
        <v>72</v>
      </c>
      <c r="N1469" t="s">
        <v>26</v>
      </c>
      <c r="O1469" t="s">
        <v>26</v>
      </c>
      <c r="P1469" s="1" t="s">
        <v>30</v>
      </c>
      <c r="Q1469">
        <v>114.3</v>
      </c>
    </row>
    <row r="1470" spans="1:17" x14ac:dyDescent="0.3">
      <c r="A1470">
        <v>2017</v>
      </c>
      <c r="B1470" t="s">
        <v>39</v>
      </c>
      <c r="C1470" t="s">
        <v>108</v>
      </c>
      <c r="D1470" s="1" t="s">
        <v>23</v>
      </c>
      <c r="E1470" s="4">
        <v>131.30000000000001</v>
      </c>
      <c r="F1470" s="4">
        <v>128.5</v>
      </c>
      <c r="G1470" s="4">
        <v>123.8</v>
      </c>
      <c r="H1470" s="1" t="s">
        <v>23</v>
      </c>
      <c r="K1470">
        <v>2014</v>
      </c>
      <c r="L1470" t="s">
        <v>39</v>
      </c>
      <c r="M1470" t="s">
        <v>72</v>
      </c>
      <c r="N1470" t="s">
        <v>26</v>
      </c>
      <c r="O1470" t="s">
        <v>26</v>
      </c>
      <c r="P1470" s="1" t="s">
        <v>34</v>
      </c>
      <c r="Q1470">
        <v>114.8</v>
      </c>
    </row>
    <row r="1471" spans="1:17" x14ac:dyDescent="0.3">
      <c r="A1471">
        <v>2017</v>
      </c>
      <c r="B1471" t="s">
        <v>39</v>
      </c>
      <c r="C1471" t="s">
        <v>108</v>
      </c>
      <c r="D1471" s="1" t="s">
        <v>22</v>
      </c>
      <c r="E1471" s="4">
        <v>135.19999999999999</v>
      </c>
      <c r="F1471" s="4">
        <v>131.19999999999999</v>
      </c>
      <c r="G1471" s="4">
        <v>126.8</v>
      </c>
      <c r="H1471" s="1" t="s">
        <v>20</v>
      </c>
      <c r="K1471">
        <v>2014</v>
      </c>
      <c r="L1471" t="s">
        <v>39</v>
      </c>
      <c r="M1471" t="s">
        <v>72</v>
      </c>
      <c r="N1471" t="s">
        <v>26</v>
      </c>
      <c r="O1471" t="s">
        <v>26</v>
      </c>
      <c r="P1471" s="1" t="s">
        <v>33</v>
      </c>
      <c r="Q1471">
        <v>115.1</v>
      </c>
    </row>
    <row r="1472" spans="1:17" x14ac:dyDescent="0.3">
      <c r="A1472">
        <v>2017</v>
      </c>
      <c r="B1472" t="s">
        <v>39</v>
      </c>
      <c r="C1472" t="s">
        <v>108</v>
      </c>
      <c r="D1472" s="1" t="s">
        <v>20</v>
      </c>
      <c r="E1472" s="4">
        <v>0</v>
      </c>
      <c r="F1472" s="4">
        <v>131.4</v>
      </c>
      <c r="G1472" s="4">
        <v>131.4</v>
      </c>
      <c r="H1472" s="1" t="s">
        <v>20</v>
      </c>
      <c r="K1472">
        <v>2014</v>
      </c>
      <c r="L1472" t="s">
        <v>39</v>
      </c>
      <c r="M1472" t="s">
        <v>72</v>
      </c>
      <c r="N1472" t="s">
        <v>5</v>
      </c>
      <c r="O1472" t="s">
        <v>188</v>
      </c>
      <c r="P1472" s="1" t="s">
        <v>30</v>
      </c>
      <c r="Q1472">
        <v>116.1</v>
      </c>
    </row>
    <row r="1473" spans="1:17" x14ac:dyDescent="0.3">
      <c r="A1473">
        <v>2017</v>
      </c>
      <c r="B1473" t="s">
        <v>39</v>
      </c>
      <c r="C1473" t="s">
        <v>108</v>
      </c>
      <c r="D1473" s="1" t="s">
        <v>4</v>
      </c>
      <c r="E1473" s="4">
        <v>143.69999999999999</v>
      </c>
      <c r="F1473" s="4">
        <v>145.5</v>
      </c>
      <c r="G1473" s="4">
        <v>148.69999999999999</v>
      </c>
      <c r="H1473" s="1" t="s">
        <v>188</v>
      </c>
      <c r="K1473">
        <v>2014</v>
      </c>
      <c r="L1473" t="s">
        <v>39</v>
      </c>
      <c r="M1473" t="s">
        <v>72</v>
      </c>
      <c r="N1473" t="s">
        <v>5</v>
      </c>
      <c r="O1473" t="s">
        <v>188</v>
      </c>
      <c r="P1473" s="1" t="s">
        <v>34</v>
      </c>
      <c r="Q1473">
        <v>115.8</v>
      </c>
    </row>
    <row r="1474" spans="1:17" x14ac:dyDescent="0.3">
      <c r="A1474">
        <v>2017</v>
      </c>
      <c r="B1474" t="s">
        <v>39</v>
      </c>
      <c r="C1474" t="s">
        <v>108</v>
      </c>
      <c r="D1474" s="1" t="s">
        <v>6</v>
      </c>
      <c r="E1474" s="4">
        <v>138.6</v>
      </c>
      <c r="F1474" s="4">
        <v>138.1</v>
      </c>
      <c r="G1474" s="4">
        <v>137.30000000000001</v>
      </c>
      <c r="H1474" s="1" t="s">
        <v>188</v>
      </c>
      <c r="K1474">
        <v>2014</v>
      </c>
      <c r="L1474" t="s">
        <v>39</v>
      </c>
      <c r="M1474" t="s">
        <v>72</v>
      </c>
      <c r="N1474" t="s">
        <v>5</v>
      </c>
      <c r="O1474" t="s">
        <v>188</v>
      </c>
      <c r="P1474" s="1" t="s">
        <v>33</v>
      </c>
      <c r="Q1474">
        <v>115.4</v>
      </c>
    </row>
    <row r="1475" spans="1:17" x14ac:dyDescent="0.3">
      <c r="A1475">
        <v>2017</v>
      </c>
      <c r="B1475" t="s">
        <v>39</v>
      </c>
      <c r="C1475" t="s">
        <v>108</v>
      </c>
      <c r="D1475" s="1" t="s">
        <v>28</v>
      </c>
      <c r="E1475" s="4">
        <v>128.1</v>
      </c>
      <c r="F1475" s="4">
        <v>125.5</v>
      </c>
      <c r="G1475" s="4">
        <v>122.7</v>
      </c>
      <c r="H1475" s="1" t="s">
        <v>192</v>
      </c>
      <c r="K1475">
        <v>2014</v>
      </c>
      <c r="L1475" t="s">
        <v>39</v>
      </c>
      <c r="M1475" t="s">
        <v>72</v>
      </c>
      <c r="N1475" t="s">
        <v>15</v>
      </c>
      <c r="O1475" t="s">
        <v>188</v>
      </c>
      <c r="P1475" s="1" t="s">
        <v>30</v>
      </c>
      <c r="Q1475">
        <v>119.5</v>
      </c>
    </row>
    <row r="1476" spans="1:17" x14ac:dyDescent="0.3">
      <c r="A1476">
        <v>2017</v>
      </c>
      <c r="B1476" t="s">
        <v>39</v>
      </c>
      <c r="C1476" t="s">
        <v>108</v>
      </c>
      <c r="D1476" s="1" t="s">
        <v>13</v>
      </c>
      <c r="E1476" s="4">
        <v>130.4</v>
      </c>
      <c r="F1476" s="4">
        <v>127.8</v>
      </c>
      <c r="G1476" s="4">
        <v>124.2</v>
      </c>
      <c r="H1476" s="1" t="s">
        <v>188</v>
      </c>
      <c r="K1476">
        <v>2014</v>
      </c>
      <c r="L1476" t="s">
        <v>39</v>
      </c>
      <c r="M1476" t="s">
        <v>72</v>
      </c>
      <c r="N1476" t="s">
        <v>15</v>
      </c>
      <c r="O1476" t="s">
        <v>188</v>
      </c>
      <c r="P1476" s="1" t="s">
        <v>34</v>
      </c>
      <c r="Q1476">
        <v>120.4</v>
      </c>
    </row>
    <row r="1477" spans="1:17" x14ac:dyDescent="0.3">
      <c r="A1477">
        <v>2017</v>
      </c>
      <c r="B1477" t="s">
        <v>39</v>
      </c>
      <c r="C1477" t="s">
        <v>108</v>
      </c>
      <c r="D1477" s="1" t="s">
        <v>7</v>
      </c>
      <c r="E1477" s="4">
        <v>120.9</v>
      </c>
      <c r="F1477" s="4">
        <v>118.2</v>
      </c>
      <c r="G1477" s="4">
        <v>113.5</v>
      </c>
      <c r="H1477" s="1" t="s">
        <v>188</v>
      </c>
      <c r="K1477">
        <v>2014</v>
      </c>
      <c r="L1477" t="s">
        <v>39</v>
      </c>
      <c r="M1477" t="s">
        <v>72</v>
      </c>
      <c r="N1477" t="s">
        <v>15</v>
      </c>
      <c r="O1477" t="s">
        <v>188</v>
      </c>
      <c r="P1477" s="1" t="s">
        <v>33</v>
      </c>
      <c r="Q1477">
        <v>122</v>
      </c>
    </row>
    <row r="1478" spans="1:17" x14ac:dyDescent="0.3">
      <c r="A1478">
        <v>2017</v>
      </c>
      <c r="B1478" t="s">
        <v>39</v>
      </c>
      <c r="C1478" t="s">
        <v>108</v>
      </c>
      <c r="D1478" s="1" t="s">
        <v>16</v>
      </c>
      <c r="E1478" s="4">
        <v>145.80000000000001</v>
      </c>
      <c r="F1478" s="4">
        <v>146.5</v>
      </c>
      <c r="G1478" s="4">
        <v>148.6</v>
      </c>
      <c r="H1478" s="1" t="s">
        <v>192</v>
      </c>
      <c r="K1478">
        <v>2014</v>
      </c>
      <c r="L1478" t="s">
        <v>39</v>
      </c>
      <c r="M1478" t="s">
        <v>72</v>
      </c>
      <c r="N1478" t="s">
        <v>18</v>
      </c>
      <c r="O1478" t="s">
        <v>189</v>
      </c>
      <c r="P1478" s="1" t="s">
        <v>30</v>
      </c>
      <c r="Q1478">
        <v>117.3</v>
      </c>
    </row>
    <row r="1479" spans="1:17" x14ac:dyDescent="0.3">
      <c r="A1479">
        <v>2017</v>
      </c>
      <c r="B1479" t="s">
        <v>39</v>
      </c>
      <c r="C1479" t="s">
        <v>108</v>
      </c>
      <c r="D1479" s="1" t="s">
        <v>27</v>
      </c>
      <c r="E1479" s="4">
        <v>124.1</v>
      </c>
      <c r="F1479" s="4">
        <v>123.4</v>
      </c>
      <c r="G1479" s="4">
        <v>122.5</v>
      </c>
      <c r="H1479" s="1" t="s">
        <v>192</v>
      </c>
      <c r="K1479">
        <v>2014</v>
      </c>
      <c r="L1479" t="s">
        <v>39</v>
      </c>
      <c r="M1479" t="s">
        <v>72</v>
      </c>
      <c r="N1479" t="s">
        <v>18</v>
      </c>
      <c r="O1479" t="s">
        <v>189</v>
      </c>
      <c r="P1479" s="1" t="s">
        <v>34</v>
      </c>
      <c r="Q1479">
        <v>115.6</v>
      </c>
    </row>
    <row r="1480" spans="1:17" x14ac:dyDescent="0.3">
      <c r="A1480">
        <v>2017</v>
      </c>
      <c r="B1480" t="s">
        <v>39</v>
      </c>
      <c r="C1480" t="s">
        <v>108</v>
      </c>
      <c r="D1480" s="1" t="s">
        <v>14</v>
      </c>
      <c r="E1480" s="4">
        <v>146.5</v>
      </c>
      <c r="F1480" s="4">
        <v>144.9</v>
      </c>
      <c r="G1480" s="4">
        <v>143.1</v>
      </c>
      <c r="H1480" s="1" t="s">
        <v>188</v>
      </c>
      <c r="K1480">
        <v>2014</v>
      </c>
      <c r="L1480" t="s">
        <v>39</v>
      </c>
      <c r="M1480" t="s">
        <v>72</v>
      </c>
      <c r="N1480" t="s">
        <v>18</v>
      </c>
      <c r="O1480" t="s">
        <v>189</v>
      </c>
      <c r="P1480" s="1" t="s">
        <v>33</v>
      </c>
      <c r="Q1480">
        <v>113.2</v>
      </c>
    </row>
    <row r="1481" spans="1:17" x14ac:dyDescent="0.3">
      <c r="A1481">
        <v>2017</v>
      </c>
      <c r="B1481" t="s">
        <v>39</v>
      </c>
      <c r="C1481" t="s">
        <v>108</v>
      </c>
      <c r="D1481" s="1" t="s">
        <v>10</v>
      </c>
      <c r="E1481" s="4">
        <v>140.19999999999999</v>
      </c>
      <c r="F1481" s="4">
        <v>136.19999999999999</v>
      </c>
      <c r="G1481" s="4">
        <v>128.19999999999999</v>
      </c>
      <c r="H1481" s="1" t="s">
        <v>188</v>
      </c>
      <c r="K1481">
        <v>2014</v>
      </c>
      <c r="L1481" t="s">
        <v>39</v>
      </c>
      <c r="M1481" t="s">
        <v>72</v>
      </c>
      <c r="N1481" t="s">
        <v>8</v>
      </c>
      <c r="O1481" t="s">
        <v>188</v>
      </c>
      <c r="P1481" s="1" t="s">
        <v>30</v>
      </c>
      <c r="Q1481">
        <v>125.8</v>
      </c>
    </row>
    <row r="1482" spans="1:17" x14ac:dyDescent="0.3">
      <c r="A1482">
        <v>2017</v>
      </c>
      <c r="B1482" t="s">
        <v>39</v>
      </c>
      <c r="C1482" t="s">
        <v>108</v>
      </c>
      <c r="D1482" s="1" t="s">
        <v>25</v>
      </c>
      <c r="E1482" s="4">
        <v>129.80000000000001</v>
      </c>
      <c r="F1482" s="4">
        <v>125.9</v>
      </c>
      <c r="G1482" s="4">
        <v>122.9</v>
      </c>
      <c r="H1482" s="1" t="s">
        <v>195</v>
      </c>
      <c r="K1482">
        <v>2014</v>
      </c>
      <c r="L1482" t="s">
        <v>39</v>
      </c>
      <c r="M1482" t="s">
        <v>72</v>
      </c>
      <c r="N1482" t="s">
        <v>8</v>
      </c>
      <c r="O1482" t="s">
        <v>188</v>
      </c>
      <c r="P1482" s="1" t="s">
        <v>34</v>
      </c>
      <c r="Q1482">
        <v>128.30000000000001</v>
      </c>
    </row>
    <row r="1483" spans="1:17" x14ac:dyDescent="0.3">
      <c r="A1483">
        <v>2017</v>
      </c>
      <c r="B1483" t="s">
        <v>39</v>
      </c>
      <c r="C1483" t="s">
        <v>108</v>
      </c>
      <c r="D1483" s="1" t="s">
        <v>12</v>
      </c>
      <c r="E1483" s="4">
        <v>133.5</v>
      </c>
      <c r="F1483" s="4">
        <v>135.30000000000001</v>
      </c>
      <c r="G1483" s="4">
        <v>138.80000000000001</v>
      </c>
      <c r="H1483" s="1" t="s">
        <v>188</v>
      </c>
      <c r="K1483">
        <v>2014</v>
      </c>
      <c r="L1483" t="s">
        <v>39</v>
      </c>
      <c r="M1483" t="s">
        <v>72</v>
      </c>
      <c r="N1483" t="s">
        <v>8</v>
      </c>
      <c r="O1483" t="s">
        <v>188</v>
      </c>
      <c r="P1483" s="1" t="s">
        <v>33</v>
      </c>
      <c r="Q1483">
        <v>131.19999999999999</v>
      </c>
    </row>
    <row r="1484" spans="1:17" x14ac:dyDescent="0.3">
      <c r="A1484">
        <v>2017</v>
      </c>
      <c r="B1484" t="s">
        <v>39</v>
      </c>
      <c r="C1484" t="s">
        <v>108</v>
      </c>
      <c r="D1484" s="1" t="s">
        <v>11</v>
      </c>
      <c r="E1484" s="4">
        <v>118.9</v>
      </c>
      <c r="F1484" s="4">
        <v>119.6</v>
      </c>
      <c r="G1484" s="4">
        <v>120.9</v>
      </c>
      <c r="H1484" s="1" t="s">
        <v>188</v>
      </c>
      <c r="K1484">
        <v>2014</v>
      </c>
      <c r="L1484" t="s">
        <v>39</v>
      </c>
      <c r="M1484" t="s">
        <v>72</v>
      </c>
      <c r="N1484" t="s">
        <v>21</v>
      </c>
      <c r="O1484" t="s">
        <v>190</v>
      </c>
      <c r="P1484" s="1" t="s">
        <v>30</v>
      </c>
      <c r="Q1484">
        <v>114.4</v>
      </c>
    </row>
    <row r="1485" spans="1:17" x14ac:dyDescent="0.3">
      <c r="A1485">
        <v>2017</v>
      </c>
      <c r="B1485" t="s">
        <v>39</v>
      </c>
      <c r="C1485" t="s">
        <v>108</v>
      </c>
      <c r="D1485" s="1" t="s">
        <v>24</v>
      </c>
      <c r="E1485" s="4">
        <v>119.4</v>
      </c>
      <c r="F1485" s="4">
        <v>116.5</v>
      </c>
      <c r="G1485" s="4">
        <v>113.9</v>
      </c>
      <c r="H1485" s="1" t="s">
        <v>191</v>
      </c>
      <c r="K1485">
        <v>2014</v>
      </c>
      <c r="L1485" t="s">
        <v>39</v>
      </c>
      <c r="M1485" t="s">
        <v>72</v>
      </c>
      <c r="N1485" t="s">
        <v>21</v>
      </c>
      <c r="O1485" t="s">
        <v>190</v>
      </c>
      <c r="P1485" s="1" t="s">
        <v>34</v>
      </c>
      <c r="Q1485">
        <v>113.2</v>
      </c>
    </row>
    <row r="1486" spans="1:17" x14ac:dyDescent="0.3">
      <c r="A1486">
        <v>2017</v>
      </c>
      <c r="B1486" t="s">
        <v>39</v>
      </c>
      <c r="C1486" t="s">
        <v>108</v>
      </c>
      <c r="D1486" s="1" t="s">
        <v>9</v>
      </c>
      <c r="E1486" s="4">
        <v>128.80000000000001</v>
      </c>
      <c r="F1486" s="4">
        <v>133.30000000000001</v>
      </c>
      <c r="G1486" s="4">
        <v>142.19999999999999</v>
      </c>
      <c r="H1486" s="1" t="s">
        <v>188</v>
      </c>
      <c r="K1486">
        <v>2014</v>
      </c>
      <c r="L1486" t="s">
        <v>39</v>
      </c>
      <c r="M1486" t="s">
        <v>72</v>
      </c>
      <c r="N1486" t="s">
        <v>21</v>
      </c>
      <c r="O1486" t="s">
        <v>190</v>
      </c>
      <c r="P1486" s="1" t="s">
        <v>33</v>
      </c>
      <c r="Q1486">
        <v>111.2</v>
      </c>
    </row>
    <row r="1487" spans="1:17" x14ac:dyDescent="0.3">
      <c r="A1487">
        <v>2017</v>
      </c>
      <c r="B1487" t="s">
        <v>36</v>
      </c>
      <c r="C1487" t="s">
        <v>109</v>
      </c>
      <c r="D1487" s="1" t="s">
        <v>3</v>
      </c>
      <c r="E1487" s="4">
        <v>133.6</v>
      </c>
      <c r="F1487" s="4">
        <v>133.30000000000001</v>
      </c>
      <c r="G1487" s="4">
        <v>132.69999999999999</v>
      </c>
      <c r="H1487" s="1" t="s">
        <v>188</v>
      </c>
      <c r="K1487">
        <v>2014</v>
      </c>
      <c r="L1487" t="s">
        <v>39</v>
      </c>
      <c r="M1487" t="s">
        <v>72</v>
      </c>
      <c r="N1487" t="s">
        <v>29</v>
      </c>
      <c r="O1487" t="s">
        <v>206</v>
      </c>
      <c r="P1487" s="1" t="s">
        <v>30</v>
      </c>
      <c r="Q1487">
        <v>117</v>
      </c>
    </row>
    <row r="1488" spans="1:17" x14ac:dyDescent="0.3">
      <c r="A1488">
        <v>2017</v>
      </c>
      <c r="B1488" t="s">
        <v>36</v>
      </c>
      <c r="C1488" t="s">
        <v>109</v>
      </c>
      <c r="D1488" s="1" t="s">
        <v>17</v>
      </c>
      <c r="E1488" s="4">
        <v>141.6</v>
      </c>
      <c r="F1488" s="4">
        <v>137.30000000000001</v>
      </c>
      <c r="G1488" s="4">
        <v>130.80000000000001</v>
      </c>
      <c r="H1488" s="1" t="s">
        <v>189</v>
      </c>
      <c r="K1488">
        <v>2014</v>
      </c>
      <c r="L1488" t="s">
        <v>39</v>
      </c>
      <c r="M1488" t="s">
        <v>72</v>
      </c>
      <c r="N1488" t="s">
        <v>29</v>
      </c>
      <c r="O1488" t="s">
        <v>206</v>
      </c>
      <c r="P1488" s="1" t="s">
        <v>34</v>
      </c>
      <c r="Q1488">
        <v>116.7</v>
      </c>
    </row>
    <row r="1489" spans="1:17" x14ac:dyDescent="0.3">
      <c r="A1489">
        <v>2017</v>
      </c>
      <c r="B1489" t="s">
        <v>36</v>
      </c>
      <c r="C1489" t="s">
        <v>109</v>
      </c>
      <c r="D1489" s="1" t="s">
        <v>19</v>
      </c>
      <c r="E1489" s="4">
        <v>140.80000000000001</v>
      </c>
      <c r="F1489" s="4">
        <v>136.4</v>
      </c>
      <c r="G1489" s="4">
        <v>129.6</v>
      </c>
      <c r="H1489" s="1" t="s">
        <v>189</v>
      </c>
      <c r="K1489">
        <v>2014</v>
      </c>
      <c r="L1489" t="s">
        <v>39</v>
      </c>
      <c r="M1489" t="s">
        <v>72</v>
      </c>
      <c r="N1489" t="s">
        <v>29</v>
      </c>
      <c r="O1489" t="s">
        <v>206</v>
      </c>
      <c r="P1489" s="1" t="s">
        <v>33</v>
      </c>
      <c r="Q1489">
        <v>116.4</v>
      </c>
    </row>
    <row r="1490" spans="1:17" x14ac:dyDescent="0.3">
      <c r="A1490">
        <v>2017</v>
      </c>
      <c r="B1490" t="s">
        <v>36</v>
      </c>
      <c r="C1490" t="s">
        <v>109</v>
      </c>
      <c r="D1490" s="1" t="s">
        <v>26</v>
      </c>
      <c r="E1490" s="4">
        <v>135.19999999999999</v>
      </c>
      <c r="F1490" s="4">
        <v>133.80000000000001</v>
      </c>
      <c r="G1490" s="4">
        <v>132.80000000000001</v>
      </c>
      <c r="H1490" s="1" t="s">
        <v>26</v>
      </c>
      <c r="K1490">
        <v>2014</v>
      </c>
      <c r="L1490" t="s">
        <v>39</v>
      </c>
      <c r="M1490" t="s">
        <v>72</v>
      </c>
      <c r="N1490" t="s">
        <v>23</v>
      </c>
      <c r="O1490" t="s">
        <v>23</v>
      </c>
      <c r="P1490" s="1" t="s">
        <v>30</v>
      </c>
      <c r="Q1490">
        <v>112.8</v>
      </c>
    </row>
    <row r="1491" spans="1:17" x14ac:dyDescent="0.3">
      <c r="A1491">
        <v>2017</v>
      </c>
      <c r="B1491" t="s">
        <v>36</v>
      </c>
      <c r="C1491" t="s">
        <v>109</v>
      </c>
      <c r="D1491" s="1" t="s">
        <v>5</v>
      </c>
      <c r="E1491" s="4">
        <v>128.80000000000001</v>
      </c>
      <c r="F1491" s="4">
        <v>128.6</v>
      </c>
      <c r="G1491" s="4">
        <v>128.4</v>
      </c>
      <c r="H1491" s="1" t="s">
        <v>188</v>
      </c>
      <c r="K1491">
        <v>2014</v>
      </c>
      <c r="L1491" t="s">
        <v>39</v>
      </c>
      <c r="M1491" t="s">
        <v>72</v>
      </c>
      <c r="N1491" t="s">
        <v>23</v>
      </c>
      <c r="O1491" t="s">
        <v>23</v>
      </c>
      <c r="P1491" s="1" t="s">
        <v>34</v>
      </c>
      <c r="Q1491">
        <v>112.3</v>
      </c>
    </row>
    <row r="1492" spans="1:17" x14ac:dyDescent="0.3">
      <c r="A1492">
        <v>2017</v>
      </c>
      <c r="B1492" t="s">
        <v>36</v>
      </c>
      <c r="C1492" t="s">
        <v>109</v>
      </c>
      <c r="D1492" s="1" t="s">
        <v>15</v>
      </c>
      <c r="E1492" s="4">
        <v>133.4</v>
      </c>
      <c r="F1492" s="4">
        <v>133.1</v>
      </c>
      <c r="G1492" s="4">
        <v>132.6</v>
      </c>
      <c r="H1492" s="1" t="s">
        <v>188</v>
      </c>
      <c r="K1492">
        <v>2014</v>
      </c>
      <c r="L1492" t="s">
        <v>39</v>
      </c>
      <c r="M1492" t="s">
        <v>72</v>
      </c>
      <c r="N1492" t="s">
        <v>23</v>
      </c>
      <c r="O1492" t="s">
        <v>23</v>
      </c>
      <c r="P1492" s="1" t="s">
        <v>33</v>
      </c>
      <c r="Q1492">
        <v>111.4</v>
      </c>
    </row>
    <row r="1493" spans="1:17" x14ac:dyDescent="0.3">
      <c r="A1493">
        <v>2017</v>
      </c>
      <c r="B1493" t="s">
        <v>36</v>
      </c>
      <c r="C1493" t="s">
        <v>109</v>
      </c>
      <c r="D1493" s="1" t="s">
        <v>18</v>
      </c>
      <c r="E1493" s="4">
        <v>136.19999999999999</v>
      </c>
      <c r="F1493" s="4">
        <v>130.6</v>
      </c>
      <c r="G1493" s="4">
        <v>122.8</v>
      </c>
      <c r="H1493" s="1" t="s">
        <v>189</v>
      </c>
      <c r="K1493">
        <v>2014</v>
      </c>
      <c r="L1493" t="s">
        <v>39</v>
      </c>
      <c r="M1493" t="s">
        <v>72</v>
      </c>
      <c r="N1493" t="s">
        <v>22</v>
      </c>
      <c r="O1493" t="s">
        <v>20</v>
      </c>
      <c r="P1493" s="1" t="s">
        <v>30</v>
      </c>
      <c r="Q1493">
        <v>114.9</v>
      </c>
    </row>
    <row r="1494" spans="1:17" x14ac:dyDescent="0.3">
      <c r="A1494">
        <v>2017</v>
      </c>
      <c r="B1494" t="s">
        <v>36</v>
      </c>
      <c r="C1494" t="s">
        <v>109</v>
      </c>
      <c r="D1494" s="1" t="s">
        <v>8</v>
      </c>
      <c r="E1494" s="4">
        <v>139.69999999999999</v>
      </c>
      <c r="F1494" s="4">
        <v>138.30000000000001</v>
      </c>
      <c r="G1494" s="4">
        <v>136.80000000000001</v>
      </c>
      <c r="H1494" s="1" t="s">
        <v>188</v>
      </c>
      <c r="K1494">
        <v>2014</v>
      </c>
      <c r="L1494" t="s">
        <v>39</v>
      </c>
      <c r="M1494" t="s">
        <v>72</v>
      </c>
      <c r="N1494" t="s">
        <v>22</v>
      </c>
      <c r="O1494" t="s">
        <v>20</v>
      </c>
      <c r="P1494" s="1" t="s">
        <v>34</v>
      </c>
      <c r="Q1494">
        <v>114.6</v>
      </c>
    </row>
    <row r="1495" spans="1:17" x14ac:dyDescent="0.3">
      <c r="A1495">
        <v>2017</v>
      </c>
      <c r="B1495" t="s">
        <v>36</v>
      </c>
      <c r="C1495" t="s">
        <v>109</v>
      </c>
      <c r="D1495" s="1" t="s">
        <v>21</v>
      </c>
      <c r="E1495" s="4">
        <v>134.19999999999999</v>
      </c>
      <c r="F1495" s="4">
        <v>129.1</v>
      </c>
      <c r="G1495" s="4">
        <v>120.8</v>
      </c>
      <c r="H1495" s="1" t="s">
        <v>190</v>
      </c>
      <c r="K1495">
        <v>2014</v>
      </c>
      <c r="L1495" t="s">
        <v>39</v>
      </c>
      <c r="M1495" t="s">
        <v>72</v>
      </c>
      <c r="N1495" t="s">
        <v>22</v>
      </c>
      <c r="O1495" t="s">
        <v>20</v>
      </c>
      <c r="P1495" s="1" t="s">
        <v>33</v>
      </c>
      <c r="Q1495">
        <v>114.3</v>
      </c>
    </row>
    <row r="1496" spans="1:17" x14ac:dyDescent="0.3">
      <c r="A1496">
        <v>2017</v>
      </c>
      <c r="B1496" t="s">
        <v>36</v>
      </c>
      <c r="C1496" t="s">
        <v>109</v>
      </c>
      <c r="D1496" s="1" t="s">
        <v>29</v>
      </c>
      <c r="E1496" s="4">
        <v>132.80000000000001</v>
      </c>
      <c r="F1496" s="4">
        <v>130.9</v>
      </c>
      <c r="G1496" s="4">
        <v>128.69999999999999</v>
      </c>
      <c r="H1496" s="1" t="s">
        <v>206</v>
      </c>
      <c r="K1496">
        <v>2014</v>
      </c>
      <c r="L1496" t="s">
        <v>39</v>
      </c>
      <c r="M1496" t="s">
        <v>72</v>
      </c>
      <c r="N1496" t="s">
        <v>20</v>
      </c>
      <c r="O1496" t="s">
        <v>20</v>
      </c>
      <c r="P1496" s="1" t="s">
        <v>30</v>
      </c>
      <c r="Q1496">
        <v>0</v>
      </c>
    </row>
    <row r="1497" spans="1:17" x14ac:dyDescent="0.3">
      <c r="A1497">
        <v>2017</v>
      </c>
      <c r="B1497" t="s">
        <v>36</v>
      </c>
      <c r="C1497" t="s">
        <v>109</v>
      </c>
      <c r="D1497" s="1" t="s">
        <v>23</v>
      </c>
      <c r="E1497" s="4">
        <v>130.6</v>
      </c>
      <c r="F1497" s="4">
        <v>127.8</v>
      </c>
      <c r="G1497" s="4">
        <v>123.1</v>
      </c>
      <c r="H1497" s="1" t="s">
        <v>23</v>
      </c>
      <c r="K1497">
        <v>2014</v>
      </c>
      <c r="L1497" t="s">
        <v>39</v>
      </c>
      <c r="M1497" t="s">
        <v>72</v>
      </c>
      <c r="N1497" t="s">
        <v>20</v>
      </c>
      <c r="O1497" t="s">
        <v>20</v>
      </c>
      <c r="P1497" s="1" t="s">
        <v>34</v>
      </c>
      <c r="Q1497">
        <v>113.9</v>
      </c>
    </row>
    <row r="1498" spans="1:17" x14ac:dyDescent="0.3">
      <c r="A1498">
        <v>2017</v>
      </c>
      <c r="B1498" t="s">
        <v>36</v>
      </c>
      <c r="C1498" t="s">
        <v>109</v>
      </c>
      <c r="D1498" s="1" t="s">
        <v>22</v>
      </c>
      <c r="E1498" s="4">
        <v>134.1</v>
      </c>
      <c r="F1498" s="4">
        <v>130.1</v>
      </c>
      <c r="G1498" s="4">
        <v>125.6</v>
      </c>
      <c r="H1498" s="1" t="s">
        <v>20</v>
      </c>
      <c r="K1498">
        <v>2014</v>
      </c>
      <c r="L1498" t="s">
        <v>39</v>
      </c>
      <c r="M1498" t="s">
        <v>72</v>
      </c>
      <c r="N1498" t="s">
        <v>20</v>
      </c>
      <c r="O1498" t="s">
        <v>20</v>
      </c>
      <c r="P1498" s="1" t="s">
        <v>33</v>
      </c>
      <c r="Q1498">
        <v>113.9</v>
      </c>
    </row>
    <row r="1499" spans="1:17" x14ac:dyDescent="0.3">
      <c r="A1499">
        <v>2017</v>
      </c>
      <c r="B1499" t="s">
        <v>36</v>
      </c>
      <c r="C1499" t="s">
        <v>109</v>
      </c>
      <c r="D1499" s="1" t="s">
        <v>20</v>
      </c>
      <c r="E1499" s="4">
        <v>0</v>
      </c>
      <c r="F1499" s="4">
        <v>131.1</v>
      </c>
      <c r="G1499" s="4">
        <v>131.1</v>
      </c>
      <c r="H1499" s="1" t="s">
        <v>20</v>
      </c>
      <c r="K1499">
        <v>2014</v>
      </c>
      <c r="L1499" t="s">
        <v>39</v>
      </c>
      <c r="M1499" t="s">
        <v>72</v>
      </c>
      <c r="N1499" t="s">
        <v>4</v>
      </c>
      <c r="O1499" t="s">
        <v>188</v>
      </c>
      <c r="P1499" s="1" t="s">
        <v>30</v>
      </c>
      <c r="Q1499">
        <v>121.6</v>
      </c>
    </row>
    <row r="1500" spans="1:17" x14ac:dyDescent="0.3">
      <c r="A1500">
        <v>2017</v>
      </c>
      <c r="B1500" t="s">
        <v>36</v>
      </c>
      <c r="C1500" t="s">
        <v>109</v>
      </c>
      <c r="D1500" s="1" t="s">
        <v>4</v>
      </c>
      <c r="E1500" s="4">
        <v>138.80000000000001</v>
      </c>
      <c r="F1500" s="4">
        <v>139</v>
      </c>
      <c r="G1500" s="4">
        <v>139.4</v>
      </c>
      <c r="H1500" s="1" t="s">
        <v>188</v>
      </c>
      <c r="K1500">
        <v>2014</v>
      </c>
      <c r="L1500" t="s">
        <v>39</v>
      </c>
      <c r="M1500" t="s">
        <v>72</v>
      </c>
      <c r="N1500" t="s">
        <v>4</v>
      </c>
      <c r="O1500" t="s">
        <v>188</v>
      </c>
      <c r="P1500" s="1" t="s">
        <v>34</v>
      </c>
      <c r="Q1500">
        <v>123.1</v>
      </c>
    </row>
    <row r="1501" spans="1:17" x14ac:dyDescent="0.3">
      <c r="A1501">
        <v>2017</v>
      </c>
      <c r="B1501" t="s">
        <v>36</v>
      </c>
      <c r="C1501" t="s">
        <v>109</v>
      </c>
      <c r="D1501" s="1" t="s">
        <v>6</v>
      </c>
      <c r="E1501" s="4">
        <v>137.19999999999999</v>
      </c>
      <c r="F1501" s="4">
        <v>136.30000000000001</v>
      </c>
      <c r="G1501" s="4">
        <v>134.9</v>
      </c>
      <c r="H1501" s="1" t="s">
        <v>188</v>
      </c>
      <c r="K1501">
        <v>2014</v>
      </c>
      <c r="L1501" t="s">
        <v>39</v>
      </c>
      <c r="M1501" t="s">
        <v>72</v>
      </c>
      <c r="N1501" t="s">
        <v>4</v>
      </c>
      <c r="O1501" t="s">
        <v>188</v>
      </c>
      <c r="P1501" s="1" t="s">
        <v>33</v>
      </c>
      <c r="Q1501">
        <v>125.9</v>
      </c>
    </row>
    <row r="1502" spans="1:17" x14ac:dyDescent="0.3">
      <c r="A1502">
        <v>2017</v>
      </c>
      <c r="B1502" t="s">
        <v>36</v>
      </c>
      <c r="C1502" t="s">
        <v>109</v>
      </c>
      <c r="D1502" s="1" t="s">
        <v>28</v>
      </c>
      <c r="E1502" s="4">
        <v>127.4</v>
      </c>
      <c r="F1502" s="4">
        <v>125.1</v>
      </c>
      <c r="G1502" s="4">
        <v>122.6</v>
      </c>
      <c r="H1502" s="1" t="s">
        <v>192</v>
      </c>
      <c r="K1502">
        <v>2014</v>
      </c>
      <c r="L1502" t="s">
        <v>39</v>
      </c>
      <c r="M1502" t="s">
        <v>72</v>
      </c>
      <c r="N1502" t="s">
        <v>6</v>
      </c>
      <c r="O1502" t="s">
        <v>188</v>
      </c>
      <c r="P1502" s="1" t="s">
        <v>30</v>
      </c>
      <c r="Q1502">
        <v>119.3</v>
      </c>
    </row>
    <row r="1503" spans="1:17" x14ac:dyDescent="0.3">
      <c r="A1503">
        <v>2017</v>
      </c>
      <c r="B1503" t="s">
        <v>36</v>
      </c>
      <c r="C1503" t="s">
        <v>109</v>
      </c>
      <c r="D1503" s="1" t="s">
        <v>13</v>
      </c>
      <c r="E1503" s="4">
        <v>129.80000000000001</v>
      </c>
      <c r="F1503" s="4">
        <v>127.2</v>
      </c>
      <c r="G1503" s="4">
        <v>123.6</v>
      </c>
      <c r="H1503" s="1" t="s">
        <v>188</v>
      </c>
      <c r="K1503">
        <v>2014</v>
      </c>
      <c r="L1503" t="s">
        <v>39</v>
      </c>
      <c r="M1503" t="s">
        <v>72</v>
      </c>
      <c r="N1503" t="s">
        <v>6</v>
      </c>
      <c r="O1503" t="s">
        <v>188</v>
      </c>
      <c r="P1503" s="1" t="s">
        <v>34</v>
      </c>
      <c r="Q1503">
        <v>119.7</v>
      </c>
    </row>
    <row r="1504" spans="1:17" x14ac:dyDescent="0.3">
      <c r="A1504">
        <v>2017</v>
      </c>
      <c r="B1504" t="s">
        <v>36</v>
      </c>
      <c r="C1504" t="s">
        <v>109</v>
      </c>
      <c r="D1504" s="1" t="s">
        <v>7</v>
      </c>
      <c r="E1504" s="4">
        <v>121.6</v>
      </c>
      <c r="F1504" s="4">
        <v>118.8</v>
      </c>
      <c r="G1504" s="4">
        <v>114</v>
      </c>
      <c r="H1504" s="1" t="s">
        <v>188</v>
      </c>
      <c r="K1504">
        <v>2014</v>
      </c>
      <c r="L1504" t="s">
        <v>39</v>
      </c>
      <c r="M1504" t="s">
        <v>72</v>
      </c>
      <c r="N1504" t="s">
        <v>6</v>
      </c>
      <c r="O1504" t="s">
        <v>188</v>
      </c>
      <c r="P1504" s="1" t="s">
        <v>33</v>
      </c>
      <c r="Q1504">
        <v>120.4</v>
      </c>
    </row>
    <row r="1505" spans="1:17" x14ac:dyDescent="0.3">
      <c r="A1505">
        <v>2017</v>
      </c>
      <c r="B1505" t="s">
        <v>36</v>
      </c>
      <c r="C1505" t="s">
        <v>109</v>
      </c>
      <c r="D1505" s="1" t="s">
        <v>16</v>
      </c>
      <c r="E1505" s="4">
        <v>144.19999999999999</v>
      </c>
      <c r="F1505" s="4">
        <v>145.1</v>
      </c>
      <c r="G1505" s="4">
        <v>147.5</v>
      </c>
      <c r="H1505" s="1" t="s">
        <v>192</v>
      </c>
      <c r="K1505">
        <v>2014</v>
      </c>
      <c r="L1505" t="s">
        <v>39</v>
      </c>
      <c r="M1505" t="s">
        <v>72</v>
      </c>
      <c r="N1505" t="s">
        <v>28</v>
      </c>
      <c r="O1505" t="s">
        <v>192</v>
      </c>
      <c r="P1505" s="1" t="s">
        <v>30</v>
      </c>
      <c r="Q1505">
        <v>112.3</v>
      </c>
    </row>
    <row r="1506" spans="1:17" x14ac:dyDescent="0.3">
      <c r="A1506">
        <v>2017</v>
      </c>
      <c r="B1506" t="s">
        <v>36</v>
      </c>
      <c r="C1506" t="s">
        <v>109</v>
      </c>
      <c r="D1506" s="1" t="s">
        <v>27</v>
      </c>
      <c r="E1506" s="4">
        <v>123.3</v>
      </c>
      <c r="F1506" s="4">
        <v>122.6</v>
      </c>
      <c r="G1506" s="4">
        <v>121.7</v>
      </c>
      <c r="H1506" s="1" t="s">
        <v>192</v>
      </c>
      <c r="K1506">
        <v>2014</v>
      </c>
      <c r="L1506" t="s">
        <v>39</v>
      </c>
      <c r="M1506" t="s">
        <v>72</v>
      </c>
      <c r="N1506" t="s">
        <v>28</v>
      </c>
      <c r="O1506" t="s">
        <v>192</v>
      </c>
      <c r="P1506" s="1" t="s">
        <v>34</v>
      </c>
      <c r="Q1506">
        <v>112.3</v>
      </c>
    </row>
    <row r="1507" spans="1:17" x14ac:dyDescent="0.3">
      <c r="A1507">
        <v>2017</v>
      </c>
      <c r="B1507" t="s">
        <v>36</v>
      </c>
      <c r="C1507" t="s">
        <v>109</v>
      </c>
      <c r="D1507" s="1" t="s">
        <v>14</v>
      </c>
      <c r="E1507" s="4">
        <v>145.4</v>
      </c>
      <c r="F1507" s="4">
        <v>144</v>
      </c>
      <c r="G1507" s="4">
        <v>142.4</v>
      </c>
      <c r="H1507" s="1" t="s">
        <v>188</v>
      </c>
      <c r="K1507">
        <v>2014</v>
      </c>
      <c r="L1507" t="s">
        <v>39</v>
      </c>
      <c r="M1507" t="s">
        <v>72</v>
      </c>
      <c r="N1507" t="s">
        <v>28</v>
      </c>
      <c r="O1507" t="s">
        <v>192</v>
      </c>
      <c r="P1507" s="1" t="s">
        <v>33</v>
      </c>
      <c r="Q1507">
        <v>112.2</v>
      </c>
    </row>
    <row r="1508" spans="1:17" x14ac:dyDescent="0.3">
      <c r="A1508">
        <v>2017</v>
      </c>
      <c r="B1508" t="s">
        <v>36</v>
      </c>
      <c r="C1508" t="s">
        <v>109</v>
      </c>
      <c r="D1508" s="1" t="s">
        <v>10</v>
      </c>
      <c r="E1508" s="4">
        <v>148</v>
      </c>
      <c r="F1508" s="4">
        <v>143.9</v>
      </c>
      <c r="G1508" s="4">
        <v>135.80000000000001</v>
      </c>
      <c r="H1508" s="1" t="s">
        <v>188</v>
      </c>
      <c r="K1508">
        <v>2014</v>
      </c>
      <c r="L1508" t="s">
        <v>39</v>
      </c>
      <c r="M1508" t="s">
        <v>72</v>
      </c>
      <c r="N1508" t="s">
        <v>13</v>
      </c>
      <c r="O1508" t="s">
        <v>188</v>
      </c>
      <c r="P1508" s="1" t="s">
        <v>30</v>
      </c>
      <c r="Q1508">
        <v>114.9</v>
      </c>
    </row>
    <row r="1509" spans="1:17" x14ac:dyDescent="0.3">
      <c r="A1509">
        <v>2017</v>
      </c>
      <c r="B1509" t="s">
        <v>36</v>
      </c>
      <c r="C1509" t="s">
        <v>109</v>
      </c>
      <c r="D1509" s="1" t="s">
        <v>25</v>
      </c>
      <c r="E1509" s="4">
        <v>128.30000000000001</v>
      </c>
      <c r="F1509" s="4">
        <v>125</v>
      </c>
      <c r="G1509" s="4">
        <v>122.4</v>
      </c>
      <c r="H1509" s="1" t="s">
        <v>195</v>
      </c>
      <c r="K1509">
        <v>2014</v>
      </c>
      <c r="L1509" t="s">
        <v>39</v>
      </c>
      <c r="M1509" t="s">
        <v>72</v>
      </c>
      <c r="N1509" t="s">
        <v>13</v>
      </c>
      <c r="O1509" t="s">
        <v>188</v>
      </c>
      <c r="P1509" s="1" t="s">
        <v>34</v>
      </c>
      <c r="Q1509">
        <v>114.2</v>
      </c>
    </row>
    <row r="1510" spans="1:17" x14ac:dyDescent="0.3">
      <c r="A1510">
        <v>2017</v>
      </c>
      <c r="B1510" t="s">
        <v>36</v>
      </c>
      <c r="C1510" t="s">
        <v>109</v>
      </c>
      <c r="D1510" s="1" t="s">
        <v>12</v>
      </c>
      <c r="E1510" s="4">
        <v>135.6</v>
      </c>
      <c r="F1510" s="4">
        <v>137.9</v>
      </c>
      <c r="G1510" s="4">
        <v>142.6</v>
      </c>
      <c r="H1510" s="1" t="s">
        <v>188</v>
      </c>
      <c r="K1510">
        <v>2014</v>
      </c>
      <c r="L1510" t="s">
        <v>39</v>
      </c>
      <c r="M1510" t="s">
        <v>72</v>
      </c>
      <c r="N1510" t="s">
        <v>13</v>
      </c>
      <c r="O1510" t="s">
        <v>188</v>
      </c>
      <c r="P1510" s="1" t="s">
        <v>33</v>
      </c>
      <c r="Q1510">
        <v>113.2</v>
      </c>
    </row>
    <row r="1511" spans="1:17" x14ac:dyDescent="0.3">
      <c r="A1511">
        <v>2017</v>
      </c>
      <c r="B1511" t="s">
        <v>36</v>
      </c>
      <c r="C1511" t="s">
        <v>109</v>
      </c>
      <c r="D1511" s="1" t="s">
        <v>11</v>
      </c>
      <c r="E1511" s="4">
        <v>116.9</v>
      </c>
      <c r="F1511" s="4">
        <v>118</v>
      </c>
      <c r="G1511" s="4">
        <v>120.3</v>
      </c>
      <c r="H1511" s="1" t="s">
        <v>188</v>
      </c>
      <c r="K1511">
        <v>2014</v>
      </c>
      <c r="L1511" t="s">
        <v>39</v>
      </c>
      <c r="M1511" t="s">
        <v>72</v>
      </c>
      <c r="N1511" t="s">
        <v>7</v>
      </c>
      <c r="O1511" t="s">
        <v>188</v>
      </c>
      <c r="P1511" s="1" t="s">
        <v>30</v>
      </c>
      <c r="Q1511">
        <v>110.3</v>
      </c>
    </row>
    <row r="1512" spans="1:17" x14ac:dyDescent="0.3">
      <c r="A1512">
        <v>2017</v>
      </c>
      <c r="B1512" t="s">
        <v>36</v>
      </c>
      <c r="C1512" t="s">
        <v>109</v>
      </c>
      <c r="D1512" s="1" t="s">
        <v>24</v>
      </c>
      <c r="E1512" s="4">
        <v>119.8</v>
      </c>
      <c r="F1512" s="4">
        <v>117.6</v>
      </c>
      <c r="G1512" s="4">
        <v>115.6</v>
      </c>
      <c r="H1512" s="1" t="s">
        <v>191</v>
      </c>
      <c r="K1512">
        <v>2014</v>
      </c>
      <c r="L1512" t="s">
        <v>39</v>
      </c>
      <c r="M1512" t="s">
        <v>72</v>
      </c>
      <c r="N1512" t="s">
        <v>7</v>
      </c>
      <c r="O1512" t="s">
        <v>188</v>
      </c>
      <c r="P1512" s="1" t="s">
        <v>34</v>
      </c>
      <c r="Q1512">
        <v>107.8</v>
      </c>
    </row>
    <row r="1513" spans="1:17" x14ac:dyDescent="0.3">
      <c r="A1513">
        <v>2017</v>
      </c>
      <c r="B1513" t="s">
        <v>36</v>
      </c>
      <c r="C1513" t="s">
        <v>109</v>
      </c>
      <c r="D1513" s="1" t="s">
        <v>9</v>
      </c>
      <c r="E1513" s="4">
        <v>119.7</v>
      </c>
      <c r="F1513" s="4">
        <v>120.5</v>
      </c>
      <c r="G1513" s="4">
        <v>122.2</v>
      </c>
      <c r="H1513" s="1" t="s">
        <v>188</v>
      </c>
      <c r="K1513">
        <v>2014</v>
      </c>
      <c r="L1513" t="s">
        <v>39</v>
      </c>
      <c r="M1513" t="s">
        <v>72</v>
      </c>
      <c r="N1513" t="s">
        <v>7</v>
      </c>
      <c r="O1513" t="s">
        <v>188</v>
      </c>
      <c r="P1513" s="1" t="s">
        <v>33</v>
      </c>
      <c r="Q1513">
        <v>103.4</v>
      </c>
    </row>
    <row r="1514" spans="1:17" x14ac:dyDescent="0.3">
      <c r="A1514">
        <v>2017</v>
      </c>
      <c r="B1514" t="s">
        <v>38</v>
      </c>
      <c r="C1514" t="s">
        <v>110</v>
      </c>
      <c r="D1514" s="1" t="s">
        <v>3</v>
      </c>
      <c r="E1514" s="4">
        <v>133.1</v>
      </c>
      <c r="F1514" s="4">
        <v>132.9</v>
      </c>
      <c r="G1514" s="4">
        <v>132.6</v>
      </c>
      <c r="H1514" s="1" t="s">
        <v>188</v>
      </c>
      <c r="K1514">
        <v>2014</v>
      </c>
      <c r="L1514" t="s">
        <v>39</v>
      </c>
      <c r="M1514" t="s">
        <v>72</v>
      </c>
      <c r="N1514" t="s">
        <v>16</v>
      </c>
      <c r="O1514" t="s">
        <v>192</v>
      </c>
      <c r="P1514" s="1" t="s">
        <v>30</v>
      </c>
      <c r="Q1514">
        <v>117.3</v>
      </c>
    </row>
    <row r="1515" spans="1:17" x14ac:dyDescent="0.3">
      <c r="A1515">
        <v>2017</v>
      </c>
      <c r="B1515" t="s">
        <v>38</v>
      </c>
      <c r="C1515" t="s">
        <v>110</v>
      </c>
      <c r="D1515" s="1" t="s">
        <v>17</v>
      </c>
      <c r="E1515" s="4">
        <v>142.5</v>
      </c>
      <c r="F1515" s="4">
        <v>138.19999999999999</v>
      </c>
      <c r="G1515" s="4">
        <v>131.5</v>
      </c>
      <c r="H1515" s="1" t="s">
        <v>189</v>
      </c>
      <c r="K1515">
        <v>2014</v>
      </c>
      <c r="L1515" t="s">
        <v>39</v>
      </c>
      <c r="M1515" t="s">
        <v>72</v>
      </c>
      <c r="N1515" t="s">
        <v>16</v>
      </c>
      <c r="O1515" t="s">
        <v>192</v>
      </c>
      <c r="P1515" s="1" t="s">
        <v>34</v>
      </c>
      <c r="Q1515">
        <v>117.8</v>
      </c>
    </row>
    <row r="1516" spans="1:17" x14ac:dyDescent="0.3">
      <c r="A1516">
        <v>2017</v>
      </c>
      <c r="B1516" t="s">
        <v>38</v>
      </c>
      <c r="C1516" t="s">
        <v>110</v>
      </c>
      <c r="D1516" s="1" t="s">
        <v>19</v>
      </c>
      <c r="E1516" s="4">
        <v>141.80000000000001</v>
      </c>
      <c r="F1516" s="4">
        <v>137.19999999999999</v>
      </c>
      <c r="G1516" s="4">
        <v>130.19999999999999</v>
      </c>
      <c r="H1516" s="1" t="s">
        <v>189</v>
      </c>
      <c r="K1516">
        <v>2014</v>
      </c>
      <c r="L1516" t="s">
        <v>39</v>
      </c>
      <c r="M1516" t="s">
        <v>72</v>
      </c>
      <c r="N1516" t="s">
        <v>16</v>
      </c>
      <c r="O1516" t="s">
        <v>192</v>
      </c>
      <c r="P1516" s="1" t="s">
        <v>33</v>
      </c>
      <c r="Q1516">
        <v>119</v>
      </c>
    </row>
    <row r="1517" spans="1:17" x14ac:dyDescent="0.3">
      <c r="A1517">
        <v>2017</v>
      </c>
      <c r="B1517" t="s">
        <v>38</v>
      </c>
      <c r="C1517" t="s">
        <v>110</v>
      </c>
      <c r="D1517" s="1" t="s">
        <v>26</v>
      </c>
      <c r="E1517" s="4">
        <v>136.30000000000001</v>
      </c>
      <c r="F1517" s="4">
        <v>134.80000000000001</v>
      </c>
      <c r="G1517" s="4">
        <v>133.80000000000001</v>
      </c>
      <c r="H1517" s="1" t="s">
        <v>26</v>
      </c>
      <c r="K1517">
        <v>2014</v>
      </c>
      <c r="L1517" t="s">
        <v>39</v>
      </c>
      <c r="M1517" t="s">
        <v>72</v>
      </c>
      <c r="N1517" t="s">
        <v>27</v>
      </c>
      <c r="O1517" t="s">
        <v>192</v>
      </c>
      <c r="P1517" s="1" t="s">
        <v>30</v>
      </c>
      <c r="Q1517">
        <v>108</v>
      </c>
    </row>
    <row r="1518" spans="1:17" x14ac:dyDescent="0.3">
      <c r="A1518">
        <v>2017</v>
      </c>
      <c r="B1518" t="s">
        <v>38</v>
      </c>
      <c r="C1518" t="s">
        <v>110</v>
      </c>
      <c r="D1518" s="1" t="s">
        <v>5</v>
      </c>
      <c r="E1518" s="4">
        <v>126.8</v>
      </c>
      <c r="F1518" s="4">
        <v>126.3</v>
      </c>
      <c r="G1518" s="4">
        <v>125.6</v>
      </c>
      <c r="H1518" s="1" t="s">
        <v>188</v>
      </c>
      <c r="K1518">
        <v>2014</v>
      </c>
      <c r="L1518" t="s">
        <v>39</v>
      </c>
      <c r="M1518" t="s">
        <v>72</v>
      </c>
      <c r="N1518" t="s">
        <v>27</v>
      </c>
      <c r="O1518" t="s">
        <v>192</v>
      </c>
      <c r="P1518" s="1" t="s">
        <v>34</v>
      </c>
      <c r="Q1518">
        <v>108.3</v>
      </c>
    </row>
    <row r="1519" spans="1:17" x14ac:dyDescent="0.3">
      <c r="A1519">
        <v>2017</v>
      </c>
      <c r="B1519" t="s">
        <v>38</v>
      </c>
      <c r="C1519" t="s">
        <v>110</v>
      </c>
      <c r="D1519" s="1" t="s">
        <v>15</v>
      </c>
      <c r="E1519" s="4">
        <v>133.80000000000001</v>
      </c>
      <c r="F1519" s="4">
        <v>133.69999999999999</v>
      </c>
      <c r="G1519" s="4">
        <v>133.6</v>
      </c>
      <c r="H1519" s="1" t="s">
        <v>188</v>
      </c>
      <c r="K1519">
        <v>2014</v>
      </c>
      <c r="L1519" t="s">
        <v>39</v>
      </c>
      <c r="M1519" t="s">
        <v>72</v>
      </c>
      <c r="N1519" t="s">
        <v>27</v>
      </c>
      <c r="O1519" t="s">
        <v>192</v>
      </c>
      <c r="P1519" s="1" t="s">
        <v>33</v>
      </c>
      <c r="Q1519">
        <v>108.7</v>
      </c>
    </row>
    <row r="1520" spans="1:17" x14ac:dyDescent="0.3">
      <c r="A1520">
        <v>2017</v>
      </c>
      <c r="B1520" t="s">
        <v>38</v>
      </c>
      <c r="C1520" t="s">
        <v>110</v>
      </c>
      <c r="D1520" s="1" t="s">
        <v>18</v>
      </c>
      <c r="E1520" s="4">
        <v>137.30000000000001</v>
      </c>
      <c r="F1520" s="4">
        <v>131.4</v>
      </c>
      <c r="G1520" s="4">
        <v>123.2</v>
      </c>
      <c r="H1520" s="1" t="s">
        <v>189</v>
      </c>
      <c r="K1520">
        <v>2014</v>
      </c>
      <c r="L1520" t="s">
        <v>39</v>
      </c>
      <c r="M1520" t="s">
        <v>72</v>
      </c>
      <c r="N1520" t="s">
        <v>14</v>
      </c>
      <c r="O1520" t="s">
        <v>188</v>
      </c>
      <c r="P1520" s="1" t="s">
        <v>30</v>
      </c>
      <c r="Q1520">
        <v>120.1</v>
      </c>
    </row>
    <row r="1521" spans="1:17" x14ac:dyDescent="0.3">
      <c r="A1521">
        <v>2017</v>
      </c>
      <c r="B1521" t="s">
        <v>38</v>
      </c>
      <c r="C1521" t="s">
        <v>110</v>
      </c>
      <c r="D1521" s="1" t="s">
        <v>8</v>
      </c>
      <c r="E1521" s="4">
        <v>140.19999999999999</v>
      </c>
      <c r="F1521" s="4">
        <v>137.9</v>
      </c>
      <c r="G1521" s="4">
        <v>135.19999999999999</v>
      </c>
      <c r="H1521" s="1" t="s">
        <v>188</v>
      </c>
      <c r="K1521">
        <v>2014</v>
      </c>
      <c r="L1521" t="s">
        <v>39</v>
      </c>
      <c r="M1521" t="s">
        <v>72</v>
      </c>
      <c r="N1521" t="s">
        <v>14</v>
      </c>
      <c r="O1521" t="s">
        <v>188</v>
      </c>
      <c r="P1521" s="1" t="s">
        <v>34</v>
      </c>
      <c r="Q1521">
        <v>121.2</v>
      </c>
    </row>
    <row r="1522" spans="1:17" x14ac:dyDescent="0.3">
      <c r="A1522">
        <v>2017</v>
      </c>
      <c r="B1522" t="s">
        <v>38</v>
      </c>
      <c r="C1522" t="s">
        <v>110</v>
      </c>
      <c r="D1522" s="1" t="s">
        <v>21</v>
      </c>
      <c r="E1522" s="4">
        <v>135</v>
      </c>
      <c r="F1522" s="4">
        <v>129.4</v>
      </c>
      <c r="G1522" s="4">
        <v>120.1</v>
      </c>
      <c r="H1522" s="1" t="s">
        <v>190</v>
      </c>
      <c r="K1522">
        <v>2014</v>
      </c>
      <c r="L1522" t="s">
        <v>39</v>
      </c>
      <c r="M1522" t="s">
        <v>72</v>
      </c>
      <c r="N1522" t="s">
        <v>14</v>
      </c>
      <c r="O1522" t="s">
        <v>188</v>
      </c>
      <c r="P1522" s="1" t="s">
        <v>33</v>
      </c>
      <c r="Q1522">
        <v>122.4</v>
      </c>
    </row>
    <row r="1523" spans="1:17" x14ac:dyDescent="0.3">
      <c r="A1523">
        <v>2017</v>
      </c>
      <c r="B1523" t="s">
        <v>38</v>
      </c>
      <c r="C1523" t="s">
        <v>110</v>
      </c>
      <c r="D1523" s="1" t="s">
        <v>29</v>
      </c>
      <c r="E1523" s="4">
        <v>133.30000000000001</v>
      </c>
      <c r="F1523" s="4">
        <v>131.4</v>
      </c>
      <c r="G1523" s="4">
        <v>129.30000000000001</v>
      </c>
      <c r="H1523" s="1" t="s">
        <v>206</v>
      </c>
      <c r="K1523">
        <v>2014</v>
      </c>
      <c r="L1523" t="s">
        <v>39</v>
      </c>
      <c r="M1523" t="s">
        <v>72</v>
      </c>
      <c r="N1523" t="s">
        <v>10</v>
      </c>
      <c r="O1523" t="s">
        <v>188</v>
      </c>
      <c r="P1523" s="1" t="s">
        <v>30</v>
      </c>
      <c r="Q1523">
        <v>112.2</v>
      </c>
    </row>
    <row r="1524" spans="1:17" x14ac:dyDescent="0.3">
      <c r="A1524">
        <v>2017</v>
      </c>
      <c r="B1524" t="s">
        <v>38</v>
      </c>
      <c r="C1524" t="s">
        <v>110</v>
      </c>
      <c r="D1524" s="1" t="s">
        <v>23</v>
      </c>
      <c r="E1524" s="4">
        <v>131.4</v>
      </c>
      <c r="F1524" s="4">
        <v>128.4</v>
      </c>
      <c r="G1524" s="4">
        <v>123.6</v>
      </c>
      <c r="H1524" s="1" t="s">
        <v>23</v>
      </c>
      <c r="K1524">
        <v>2014</v>
      </c>
      <c r="L1524" t="s">
        <v>39</v>
      </c>
      <c r="M1524" t="s">
        <v>72</v>
      </c>
      <c r="N1524" t="s">
        <v>10</v>
      </c>
      <c r="O1524" t="s">
        <v>188</v>
      </c>
      <c r="P1524" s="1" t="s">
        <v>34</v>
      </c>
      <c r="Q1524">
        <v>112.4</v>
      </c>
    </row>
    <row r="1525" spans="1:17" x14ac:dyDescent="0.3">
      <c r="A1525">
        <v>2017</v>
      </c>
      <c r="B1525" t="s">
        <v>38</v>
      </c>
      <c r="C1525" t="s">
        <v>110</v>
      </c>
      <c r="D1525" s="1" t="s">
        <v>22</v>
      </c>
      <c r="E1525" s="4">
        <v>134.9</v>
      </c>
      <c r="F1525" s="4">
        <v>130.9</v>
      </c>
      <c r="G1525" s="4">
        <v>126.5</v>
      </c>
      <c r="H1525" s="1" t="s">
        <v>20</v>
      </c>
      <c r="K1525">
        <v>2014</v>
      </c>
      <c r="L1525" t="s">
        <v>39</v>
      </c>
      <c r="M1525" t="s">
        <v>72</v>
      </c>
      <c r="N1525" t="s">
        <v>10</v>
      </c>
      <c r="O1525" t="s">
        <v>188</v>
      </c>
      <c r="P1525" s="1" t="s">
        <v>33</v>
      </c>
      <c r="Q1525">
        <v>112.8</v>
      </c>
    </row>
    <row r="1526" spans="1:17" x14ac:dyDescent="0.3">
      <c r="A1526">
        <v>2017</v>
      </c>
      <c r="B1526" t="s">
        <v>38</v>
      </c>
      <c r="C1526" t="s">
        <v>110</v>
      </c>
      <c r="D1526" s="1" t="s">
        <v>20</v>
      </c>
      <c r="E1526" s="4">
        <v>0</v>
      </c>
      <c r="F1526" s="4">
        <v>132.1</v>
      </c>
      <c r="G1526" s="4">
        <v>132.1</v>
      </c>
      <c r="H1526" s="1" t="s">
        <v>20</v>
      </c>
      <c r="K1526">
        <v>2014</v>
      </c>
      <c r="L1526" t="s">
        <v>39</v>
      </c>
      <c r="M1526" t="s">
        <v>72</v>
      </c>
      <c r="N1526" t="s">
        <v>25</v>
      </c>
      <c r="O1526" t="s">
        <v>195</v>
      </c>
      <c r="P1526" s="1" t="s">
        <v>30</v>
      </c>
      <c r="Q1526">
        <v>111.4</v>
      </c>
    </row>
    <row r="1527" spans="1:17" x14ac:dyDescent="0.3">
      <c r="A1527">
        <v>2017</v>
      </c>
      <c r="B1527" t="s">
        <v>38</v>
      </c>
      <c r="C1527" t="s">
        <v>110</v>
      </c>
      <c r="D1527" s="1" t="s">
        <v>4</v>
      </c>
      <c r="E1527" s="4">
        <v>140.30000000000001</v>
      </c>
      <c r="F1527" s="4">
        <v>141.6</v>
      </c>
      <c r="G1527" s="4">
        <v>144.1</v>
      </c>
      <c r="H1527" s="1" t="s">
        <v>188</v>
      </c>
      <c r="K1527">
        <v>2014</v>
      </c>
      <c r="L1527" t="s">
        <v>39</v>
      </c>
      <c r="M1527" t="s">
        <v>72</v>
      </c>
      <c r="N1527" t="s">
        <v>25</v>
      </c>
      <c r="O1527" t="s">
        <v>195</v>
      </c>
      <c r="P1527" s="1" t="s">
        <v>34</v>
      </c>
      <c r="Q1527">
        <v>111.6</v>
      </c>
    </row>
    <row r="1528" spans="1:17" x14ac:dyDescent="0.3">
      <c r="A1528">
        <v>2017</v>
      </c>
      <c r="B1528" t="s">
        <v>38</v>
      </c>
      <c r="C1528" t="s">
        <v>110</v>
      </c>
      <c r="D1528" s="1" t="s">
        <v>6</v>
      </c>
      <c r="E1528" s="4">
        <v>138.19999999999999</v>
      </c>
      <c r="F1528" s="4">
        <v>137.69999999999999</v>
      </c>
      <c r="G1528" s="4">
        <v>136.80000000000001</v>
      </c>
      <c r="H1528" s="1" t="s">
        <v>188</v>
      </c>
      <c r="K1528">
        <v>2014</v>
      </c>
      <c r="L1528" t="s">
        <v>39</v>
      </c>
      <c r="M1528" t="s">
        <v>72</v>
      </c>
      <c r="N1528" t="s">
        <v>25</v>
      </c>
      <c r="O1528" t="s">
        <v>195</v>
      </c>
      <c r="P1528" s="1" t="s">
        <v>33</v>
      </c>
      <c r="Q1528">
        <v>111.8</v>
      </c>
    </row>
    <row r="1529" spans="1:17" x14ac:dyDescent="0.3">
      <c r="A1529">
        <v>2017</v>
      </c>
      <c r="B1529" t="s">
        <v>38</v>
      </c>
      <c r="C1529" t="s">
        <v>110</v>
      </c>
      <c r="D1529" s="1" t="s">
        <v>28</v>
      </c>
      <c r="E1529" s="4">
        <v>127.9</v>
      </c>
      <c r="F1529" s="4">
        <v>125.3</v>
      </c>
      <c r="G1529" s="4">
        <v>122.6</v>
      </c>
      <c r="H1529" s="1" t="s">
        <v>192</v>
      </c>
      <c r="K1529">
        <v>2014</v>
      </c>
      <c r="L1529" t="s">
        <v>39</v>
      </c>
      <c r="M1529" t="s">
        <v>72</v>
      </c>
      <c r="N1529" t="s">
        <v>12</v>
      </c>
      <c r="O1529" t="s">
        <v>188</v>
      </c>
      <c r="P1529" s="1" t="s">
        <v>30</v>
      </c>
      <c r="Q1529">
        <v>112.3</v>
      </c>
    </row>
    <row r="1530" spans="1:17" x14ac:dyDescent="0.3">
      <c r="A1530">
        <v>2017</v>
      </c>
      <c r="B1530" t="s">
        <v>38</v>
      </c>
      <c r="C1530" t="s">
        <v>110</v>
      </c>
      <c r="D1530" s="1" t="s">
        <v>13</v>
      </c>
      <c r="E1530" s="4">
        <v>130.30000000000001</v>
      </c>
      <c r="F1530" s="4">
        <v>127.6</v>
      </c>
      <c r="G1530" s="4">
        <v>123.8</v>
      </c>
      <c r="H1530" s="1" t="s">
        <v>188</v>
      </c>
      <c r="K1530">
        <v>2014</v>
      </c>
      <c r="L1530" t="s">
        <v>39</v>
      </c>
      <c r="M1530" t="s">
        <v>72</v>
      </c>
      <c r="N1530" t="s">
        <v>12</v>
      </c>
      <c r="O1530" t="s">
        <v>188</v>
      </c>
      <c r="P1530" s="1" t="s">
        <v>34</v>
      </c>
      <c r="Q1530">
        <v>114.3</v>
      </c>
    </row>
    <row r="1531" spans="1:17" x14ac:dyDescent="0.3">
      <c r="A1531">
        <v>2017</v>
      </c>
      <c r="B1531" t="s">
        <v>38</v>
      </c>
      <c r="C1531" t="s">
        <v>110</v>
      </c>
      <c r="D1531" s="1" t="s">
        <v>7</v>
      </c>
      <c r="E1531" s="4">
        <v>120.8</v>
      </c>
      <c r="F1531" s="4">
        <v>118.1</v>
      </c>
      <c r="G1531" s="4">
        <v>113.4</v>
      </c>
      <c r="H1531" s="1" t="s">
        <v>188</v>
      </c>
      <c r="K1531">
        <v>2014</v>
      </c>
      <c r="L1531" t="s">
        <v>39</v>
      </c>
      <c r="M1531" t="s">
        <v>72</v>
      </c>
      <c r="N1531" t="s">
        <v>12</v>
      </c>
      <c r="O1531" t="s">
        <v>188</v>
      </c>
      <c r="P1531" s="1" t="s">
        <v>33</v>
      </c>
      <c r="Q1531">
        <v>118.3</v>
      </c>
    </row>
    <row r="1532" spans="1:17" x14ac:dyDescent="0.3">
      <c r="A1532">
        <v>2017</v>
      </c>
      <c r="B1532" t="s">
        <v>38</v>
      </c>
      <c r="C1532" t="s">
        <v>110</v>
      </c>
      <c r="D1532" s="1" t="s">
        <v>16</v>
      </c>
      <c r="E1532" s="4">
        <v>145.5</v>
      </c>
      <c r="F1532" s="4">
        <v>146.19999999999999</v>
      </c>
      <c r="G1532" s="4">
        <v>148.30000000000001</v>
      </c>
      <c r="H1532" s="1" t="s">
        <v>192</v>
      </c>
      <c r="K1532">
        <v>2014</v>
      </c>
      <c r="L1532" t="s">
        <v>39</v>
      </c>
      <c r="M1532" t="s">
        <v>72</v>
      </c>
      <c r="N1532" t="s">
        <v>11</v>
      </c>
      <c r="O1532" t="s">
        <v>188</v>
      </c>
      <c r="P1532" s="1" t="s">
        <v>30</v>
      </c>
      <c r="Q1532">
        <v>103.6</v>
      </c>
    </row>
    <row r="1533" spans="1:17" x14ac:dyDescent="0.3">
      <c r="A1533">
        <v>2017</v>
      </c>
      <c r="B1533" t="s">
        <v>38</v>
      </c>
      <c r="C1533" t="s">
        <v>110</v>
      </c>
      <c r="D1533" s="1" t="s">
        <v>27</v>
      </c>
      <c r="E1533" s="4">
        <v>123.7</v>
      </c>
      <c r="F1533" s="4">
        <v>123</v>
      </c>
      <c r="G1533" s="4">
        <v>122</v>
      </c>
      <c r="H1533" s="1" t="s">
        <v>192</v>
      </c>
      <c r="K1533">
        <v>2014</v>
      </c>
      <c r="L1533" t="s">
        <v>39</v>
      </c>
      <c r="M1533" t="s">
        <v>72</v>
      </c>
      <c r="N1533" t="s">
        <v>11</v>
      </c>
      <c r="O1533" t="s">
        <v>188</v>
      </c>
      <c r="P1533" s="1" t="s">
        <v>34</v>
      </c>
      <c r="Q1533">
        <v>102.9</v>
      </c>
    </row>
    <row r="1534" spans="1:17" x14ac:dyDescent="0.3">
      <c r="A1534">
        <v>2017</v>
      </c>
      <c r="B1534" t="s">
        <v>38</v>
      </c>
      <c r="C1534" t="s">
        <v>110</v>
      </c>
      <c r="D1534" s="1" t="s">
        <v>14</v>
      </c>
      <c r="E1534" s="4">
        <v>145.80000000000001</v>
      </c>
      <c r="F1534" s="4">
        <v>144.5</v>
      </c>
      <c r="G1534" s="4">
        <v>142.9</v>
      </c>
      <c r="H1534" s="1" t="s">
        <v>188</v>
      </c>
      <c r="K1534">
        <v>2014</v>
      </c>
      <c r="L1534" t="s">
        <v>39</v>
      </c>
      <c r="M1534" t="s">
        <v>72</v>
      </c>
      <c r="N1534" t="s">
        <v>11</v>
      </c>
      <c r="O1534" t="s">
        <v>188</v>
      </c>
      <c r="P1534" s="1" t="s">
        <v>33</v>
      </c>
      <c r="Q1534">
        <v>101.4</v>
      </c>
    </row>
    <row r="1535" spans="1:17" x14ac:dyDescent="0.3">
      <c r="A1535">
        <v>2017</v>
      </c>
      <c r="B1535" t="s">
        <v>38</v>
      </c>
      <c r="C1535" t="s">
        <v>110</v>
      </c>
      <c r="D1535" s="1" t="s">
        <v>10</v>
      </c>
      <c r="E1535" s="4">
        <v>141.80000000000001</v>
      </c>
      <c r="F1535" s="4">
        <v>138.30000000000001</v>
      </c>
      <c r="G1535" s="4">
        <v>131.5</v>
      </c>
      <c r="H1535" s="1" t="s">
        <v>188</v>
      </c>
      <c r="K1535">
        <v>2014</v>
      </c>
      <c r="L1535" t="s">
        <v>39</v>
      </c>
      <c r="M1535" t="s">
        <v>72</v>
      </c>
      <c r="N1535" t="s">
        <v>24</v>
      </c>
      <c r="O1535" t="s">
        <v>191</v>
      </c>
      <c r="P1535" s="1" t="s">
        <v>30</v>
      </c>
      <c r="Q1535">
        <v>112.2</v>
      </c>
    </row>
    <row r="1536" spans="1:17" x14ac:dyDescent="0.3">
      <c r="A1536">
        <v>2017</v>
      </c>
      <c r="B1536" t="s">
        <v>38</v>
      </c>
      <c r="C1536" t="s">
        <v>110</v>
      </c>
      <c r="D1536" s="1" t="s">
        <v>25</v>
      </c>
      <c r="E1536" s="4">
        <v>129.4</v>
      </c>
      <c r="F1536" s="4">
        <v>125.7</v>
      </c>
      <c r="G1536" s="4">
        <v>122.8</v>
      </c>
      <c r="H1536" s="1" t="s">
        <v>195</v>
      </c>
      <c r="K1536">
        <v>2014</v>
      </c>
      <c r="L1536" t="s">
        <v>39</v>
      </c>
      <c r="M1536" t="s">
        <v>72</v>
      </c>
      <c r="N1536" t="s">
        <v>24</v>
      </c>
      <c r="O1536" t="s">
        <v>191</v>
      </c>
      <c r="P1536" s="1" t="s">
        <v>34</v>
      </c>
      <c r="Q1536">
        <v>111.8</v>
      </c>
    </row>
    <row r="1537" spans="1:17" x14ac:dyDescent="0.3">
      <c r="A1537">
        <v>2017</v>
      </c>
      <c r="B1537" t="s">
        <v>38</v>
      </c>
      <c r="C1537" t="s">
        <v>110</v>
      </c>
      <c r="D1537" s="1" t="s">
        <v>12</v>
      </c>
      <c r="E1537" s="4">
        <v>134</v>
      </c>
      <c r="F1537" s="4">
        <v>136</v>
      </c>
      <c r="G1537" s="4">
        <v>139.9</v>
      </c>
      <c r="H1537" s="1" t="s">
        <v>188</v>
      </c>
      <c r="K1537">
        <v>2014</v>
      </c>
      <c r="L1537" t="s">
        <v>39</v>
      </c>
      <c r="M1537" t="s">
        <v>72</v>
      </c>
      <c r="N1537" t="s">
        <v>24</v>
      </c>
      <c r="O1537" t="s">
        <v>191</v>
      </c>
      <c r="P1537" s="1" t="s">
        <v>33</v>
      </c>
      <c r="Q1537">
        <v>111.5</v>
      </c>
    </row>
    <row r="1538" spans="1:17" x14ac:dyDescent="0.3">
      <c r="A1538">
        <v>2017</v>
      </c>
      <c r="B1538" t="s">
        <v>38</v>
      </c>
      <c r="C1538" t="s">
        <v>110</v>
      </c>
      <c r="D1538" s="1" t="s">
        <v>11</v>
      </c>
      <c r="E1538" s="4">
        <v>118.6</v>
      </c>
      <c r="F1538" s="4">
        <v>119.4</v>
      </c>
      <c r="G1538" s="4">
        <v>121</v>
      </c>
      <c r="H1538" s="1" t="s">
        <v>188</v>
      </c>
      <c r="K1538">
        <v>2014</v>
      </c>
      <c r="L1538" t="s">
        <v>39</v>
      </c>
      <c r="M1538" t="s">
        <v>72</v>
      </c>
      <c r="N1538" t="s">
        <v>9</v>
      </c>
      <c r="O1538" t="s">
        <v>188</v>
      </c>
      <c r="P1538" s="1" t="s">
        <v>30</v>
      </c>
      <c r="Q1538">
        <v>129.30000000000001</v>
      </c>
    </row>
    <row r="1539" spans="1:17" x14ac:dyDescent="0.3">
      <c r="A1539">
        <v>2017</v>
      </c>
      <c r="B1539" t="s">
        <v>38</v>
      </c>
      <c r="C1539" t="s">
        <v>110</v>
      </c>
      <c r="D1539" s="1" t="s">
        <v>24</v>
      </c>
      <c r="E1539" s="4">
        <v>119.4</v>
      </c>
      <c r="F1539" s="4">
        <v>116.7</v>
      </c>
      <c r="G1539" s="4">
        <v>114.3</v>
      </c>
      <c r="H1539" s="1" t="s">
        <v>191</v>
      </c>
      <c r="K1539">
        <v>2014</v>
      </c>
      <c r="L1539" t="s">
        <v>39</v>
      </c>
      <c r="M1539" t="s">
        <v>72</v>
      </c>
      <c r="N1539" t="s">
        <v>9</v>
      </c>
      <c r="O1539" t="s">
        <v>188</v>
      </c>
      <c r="P1539" s="1" t="s">
        <v>34</v>
      </c>
      <c r="Q1539">
        <v>132.1</v>
      </c>
    </row>
    <row r="1540" spans="1:17" x14ac:dyDescent="0.3">
      <c r="A1540">
        <v>2017</v>
      </c>
      <c r="B1540" t="s">
        <v>38</v>
      </c>
      <c r="C1540" t="s">
        <v>110</v>
      </c>
      <c r="D1540" s="1" t="s">
        <v>9</v>
      </c>
      <c r="E1540" s="4">
        <v>123.8</v>
      </c>
      <c r="F1540" s="4">
        <v>125.6</v>
      </c>
      <c r="G1540" s="4">
        <v>129.19999999999999</v>
      </c>
      <c r="H1540" s="1" t="s">
        <v>188</v>
      </c>
      <c r="K1540">
        <v>2014</v>
      </c>
      <c r="L1540" t="s">
        <v>39</v>
      </c>
      <c r="M1540" t="s">
        <v>72</v>
      </c>
      <c r="N1540" t="s">
        <v>9</v>
      </c>
      <c r="O1540" t="s">
        <v>188</v>
      </c>
      <c r="P1540" s="1" t="s">
        <v>33</v>
      </c>
      <c r="Q1540">
        <v>137.5</v>
      </c>
    </row>
    <row r="1541" spans="1:17" x14ac:dyDescent="0.3">
      <c r="A1541">
        <v>2017</v>
      </c>
      <c r="B1541" t="s">
        <v>44</v>
      </c>
      <c r="C1541" t="s">
        <v>111</v>
      </c>
      <c r="D1541" s="1" t="s">
        <v>3</v>
      </c>
      <c r="E1541" s="4">
        <v>136.30000000000001</v>
      </c>
      <c r="F1541" s="4">
        <v>135.69999999999999</v>
      </c>
      <c r="G1541" s="4">
        <v>134.30000000000001</v>
      </c>
      <c r="H1541" s="1" t="s">
        <v>188</v>
      </c>
      <c r="K1541">
        <v>2014</v>
      </c>
      <c r="L1541" t="s">
        <v>36</v>
      </c>
      <c r="M1541" t="s">
        <v>73</v>
      </c>
      <c r="N1541" t="s">
        <v>3</v>
      </c>
      <c r="O1541" t="s">
        <v>188</v>
      </c>
      <c r="P1541" s="1" t="s">
        <v>30</v>
      </c>
      <c r="Q1541">
        <v>120.1</v>
      </c>
    </row>
    <row r="1542" spans="1:17" x14ac:dyDescent="0.3">
      <c r="A1542">
        <v>2017</v>
      </c>
      <c r="B1542" t="s">
        <v>44</v>
      </c>
      <c r="C1542" t="s">
        <v>111</v>
      </c>
      <c r="D1542" s="1" t="s">
        <v>17</v>
      </c>
      <c r="E1542" s="4">
        <v>148.19999999999999</v>
      </c>
      <c r="F1542" s="4">
        <v>143</v>
      </c>
      <c r="G1542" s="4">
        <v>135</v>
      </c>
      <c r="H1542" s="1" t="s">
        <v>189</v>
      </c>
      <c r="K1542">
        <v>2014</v>
      </c>
      <c r="L1542" t="s">
        <v>36</v>
      </c>
      <c r="M1542" t="s">
        <v>73</v>
      </c>
      <c r="N1542" t="s">
        <v>3</v>
      </c>
      <c r="O1542" t="s">
        <v>188</v>
      </c>
      <c r="P1542" s="1" t="s">
        <v>34</v>
      </c>
      <c r="Q1542">
        <v>120.7</v>
      </c>
    </row>
    <row r="1543" spans="1:17" x14ac:dyDescent="0.3">
      <c r="A1543">
        <v>2017</v>
      </c>
      <c r="B1543" t="s">
        <v>44</v>
      </c>
      <c r="C1543" t="s">
        <v>111</v>
      </c>
      <c r="D1543" s="1" t="s">
        <v>19</v>
      </c>
      <c r="E1543" s="4">
        <v>147.30000000000001</v>
      </c>
      <c r="F1543" s="4">
        <v>141.80000000000001</v>
      </c>
      <c r="G1543" s="4">
        <v>133.5</v>
      </c>
      <c r="H1543" s="1" t="s">
        <v>189</v>
      </c>
      <c r="K1543">
        <v>2014</v>
      </c>
      <c r="L1543" t="s">
        <v>36</v>
      </c>
      <c r="M1543" t="s">
        <v>73</v>
      </c>
      <c r="N1543" t="s">
        <v>3</v>
      </c>
      <c r="O1543" t="s">
        <v>188</v>
      </c>
      <c r="P1543" s="1" t="s">
        <v>33</v>
      </c>
      <c r="Q1543">
        <v>122.1</v>
      </c>
    </row>
    <row r="1544" spans="1:17" x14ac:dyDescent="0.3">
      <c r="A1544">
        <v>2017</v>
      </c>
      <c r="B1544" t="s">
        <v>44</v>
      </c>
      <c r="C1544" t="s">
        <v>111</v>
      </c>
      <c r="D1544" s="1" t="s">
        <v>26</v>
      </c>
      <c r="E1544" s="4">
        <v>141.5</v>
      </c>
      <c r="F1544" s="4">
        <v>138.6</v>
      </c>
      <c r="G1544" s="4">
        <v>136.6</v>
      </c>
      <c r="H1544" s="1" t="s">
        <v>26</v>
      </c>
      <c r="K1544">
        <v>2014</v>
      </c>
      <c r="L1544" t="s">
        <v>36</v>
      </c>
      <c r="M1544" t="s">
        <v>73</v>
      </c>
      <c r="N1544" t="s">
        <v>17</v>
      </c>
      <c r="O1544" t="s">
        <v>189</v>
      </c>
      <c r="P1544" s="1" t="s">
        <v>30</v>
      </c>
      <c r="Q1544">
        <v>117.5</v>
      </c>
    </row>
    <row r="1545" spans="1:17" x14ac:dyDescent="0.3">
      <c r="A1545">
        <v>2017</v>
      </c>
      <c r="B1545" t="s">
        <v>44</v>
      </c>
      <c r="C1545" t="s">
        <v>111</v>
      </c>
      <c r="D1545" s="1" t="s">
        <v>5</v>
      </c>
      <c r="E1545" s="4">
        <v>140.5</v>
      </c>
      <c r="F1545" s="4">
        <v>142.9</v>
      </c>
      <c r="G1545" s="4">
        <v>146.69999999999999</v>
      </c>
      <c r="H1545" s="1" t="s">
        <v>188</v>
      </c>
      <c r="K1545">
        <v>2014</v>
      </c>
      <c r="L1545" t="s">
        <v>36</v>
      </c>
      <c r="M1545" t="s">
        <v>73</v>
      </c>
      <c r="N1545" t="s">
        <v>17</v>
      </c>
      <c r="O1545" t="s">
        <v>189</v>
      </c>
      <c r="P1545" s="1" t="s">
        <v>34</v>
      </c>
      <c r="Q1545">
        <v>116.8</v>
      </c>
    </row>
    <row r="1546" spans="1:17" x14ac:dyDescent="0.3">
      <c r="A1546">
        <v>2017</v>
      </c>
      <c r="B1546" t="s">
        <v>44</v>
      </c>
      <c r="C1546" t="s">
        <v>111</v>
      </c>
      <c r="D1546" s="1" t="s">
        <v>15</v>
      </c>
      <c r="E1546" s="4">
        <v>142.4</v>
      </c>
      <c r="F1546" s="4">
        <v>142.1</v>
      </c>
      <c r="G1546" s="4">
        <v>141.5</v>
      </c>
      <c r="H1546" s="1" t="s">
        <v>188</v>
      </c>
      <c r="K1546">
        <v>2014</v>
      </c>
      <c r="L1546" t="s">
        <v>36</v>
      </c>
      <c r="M1546" t="s">
        <v>73</v>
      </c>
      <c r="N1546" t="s">
        <v>17</v>
      </c>
      <c r="O1546" t="s">
        <v>189</v>
      </c>
      <c r="P1546" s="1" t="s">
        <v>33</v>
      </c>
      <c r="Q1546">
        <v>115.8</v>
      </c>
    </row>
    <row r="1547" spans="1:17" x14ac:dyDescent="0.3">
      <c r="A1547">
        <v>2017</v>
      </c>
      <c r="B1547" t="s">
        <v>44</v>
      </c>
      <c r="C1547" t="s">
        <v>111</v>
      </c>
      <c r="D1547" s="1" t="s">
        <v>18</v>
      </c>
      <c r="E1547" s="4">
        <v>141.5</v>
      </c>
      <c r="F1547" s="4">
        <v>134.80000000000001</v>
      </c>
      <c r="G1547" s="4">
        <v>125.4</v>
      </c>
      <c r="H1547" s="1" t="s">
        <v>189</v>
      </c>
      <c r="K1547">
        <v>2014</v>
      </c>
      <c r="L1547" t="s">
        <v>36</v>
      </c>
      <c r="M1547" t="s">
        <v>73</v>
      </c>
      <c r="N1547" t="s">
        <v>19</v>
      </c>
      <c r="O1547" t="s">
        <v>189</v>
      </c>
      <c r="P1547" s="1" t="s">
        <v>30</v>
      </c>
      <c r="Q1547">
        <v>117.2</v>
      </c>
    </row>
    <row r="1548" spans="1:17" x14ac:dyDescent="0.3">
      <c r="A1548">
        <v>2017</v>
      </c>
      <c r="B1548" t="s">
        <v>44</v>
      </c>
      <c r="C1548" t="s">
        <v>111</v>
      </c>
      <c r="D1548" s="1" t="s">
        <v>8</v>
      </c>
      <c r="E1548" s="4">
        <v>147.30000000000001</v>
      </c>
      <c r="F1548" s="4">
        <v>142.19999999999999</v>
      </c>
      <c r="G1548" s="4">
        <v>136.4</v>
      </c>
      <c r="H1548" s="1" t="s">
        <v>188</v>
      </c>
      <c r="K1548">
        <v>2014</v>
      </c>
      <c r="L1548" t="s">
        <v>36</v>
      </c>
      <c r="M1548" t="s">
        <v>73</v>
      </c>
      <c r="N1548" t="s">
        <v>19</v>
      </c>
      <c r="O1548" t="s">
        <v>189</v>
      </c>
      <c r="P1548" s="1" t="s">
        <v>34</v>
      </c>
      <c r="Q1548">
        <v>116.4</v>
      </c>
    </row>
    <row r="1549" spans="1:17" x14ac:dyDescent="0.3">
      <c r="A1549">
        <v>2017</v>
      </c>
      <c r="B1549" t="s">
        <v>44</v>
      </c>
      <c r="C1549" t="s">
        <v>111</v>
      </c>
      <c r="D1549" s="1" t="s">
        <v>21</v>
      </c>
      <c r="E1549" s="4">
        <v>141.1</v>
      </c>
      <c r="F1549" s="4">
        <v>135.30000000000001</v>
      </c>
      <c r="G1549" s="4">
        <v>125.7</v>
      </c>
      <c r="H1549" s="1" t="s">
        <v>190</v>
      </c>
      <c r="K1549">
        <v>2014</v>
      </c>
      <c r="L1549" t="s">
        <v>36</v>
      </c>
      <c r="M1549" t="s">
        <v>73</v>
      </c>
      <c r="N1549" t="s">
        <v>19</v>
      </c>
      <c r="O1549" t="s">
        <v>189</v>
      </c>
      <c r="P1549" s="1" t="s">
        <v>33</v>
      </c>
      <c r="Q1549">
        <v>115.2</v>
      </c>
    </row>
    <row r="1550" spans="1:17" x14ac:dyDescent="0.3">
      <c r="A1550">
        <v>2017</v>
      </c>
      <c r="B1550" t="s">
        <v>44</v>
      </c>
      <c r="C1550" t="s">
        <v>111</v>
      </c>
      <c r="D1550" s="1" t="s">
        <v>29</v>
      </c>
      <c r="E1550" s="4">
        <v>140</v>
      </c>
      <c r="F1550" s="4">
        <v>137.6</v>
      </c>
      <c r="G1550" s="4">
        <v>134.80000000000001</v>
      </c>
      <c r="H1550" s="1" t="s">
        <v>206</v>
      </c>
      <c r="K1550">
        <v>2014</v>
      </c>
      <c r="L1550" t="s">
        <v>36</v>
      </c>
      <c r="M1550" t="s">
        <v>73</v>
      </c>
      <c r="N1550" t="s">
        <v>26</v>
      </c>
      <c r="O1550" t="s">
        <v>26</v>
      </c>
      <c r="P1550" s="1" t="s">
        <v>30</v>
      </c>
      <c r="Q1550">
        <v>112.4</v>
      </c>
    </row>
    <row r="1551" spans="1:17" x14ac:dyDescent="0.3">
      <c r="A1551">
        <v>2017</v>
      </c>
      <c r="B1551" t="s">
        <v>44</v>
      </c>
      <c r="C1551" t="s">
        <v>111</v>
      </c>
      <c r="D1551" s="1" t="s">
        <v>23</v>
      </c>
      <c r="E1551" s="4">
        <v>135.80000000000001</v>
      </c>
      <c r="F1551" s="4">
        <v>132.6</v>
      </c>
      <c r="G1551" s="4">
        <v>127.4</v>
      </c>
      <c r="H1551" s="1" t="s">
        <v>23</v>
      </c>
      <c r="K1551">
        <v>2014</v>
      </c>
      <c r="L1551" t="s">
        <v>36</v>
      </c>
      <c r="M1551" t="s">
        <v>73</v>
      </c>
      <c r="N1551" t="s">
        <v>26</v>
      </c>
      <c r="O1551" t="s">
        <v>26</v>
      </c>
      <c r="P1551" s="1" t="s">
        <v>34</v>
      </c>
      <c r="Q1551">
        <v>112</v>
      </c>
    </row>
    <row r="1552" spans="1:17" x14ac:dyDescent="0.3">
      <c r="A1552">
        <v>2017</v>
      </c>
      <c r="B1552" t="s">
        <v>44</v>
      </c>
      <c r="C1552" t="s">
        <v>111</v>
      </c>
      <c r="D1552" s="1" t="s">
        <v>22</v>
      </c>
      <c r="E1552" s="4">
        <v>139.4</v>
      </c>
      <c r="F1552" s="4">
        <v>134.4</v>
      </c>
      <c r="G1552" s="4">
        <v>128.80000000000001</v>
      </c>
      <c r="H1552" s="1" t="s">
        <v>20</v>
      </c>
      <c r="K1552">
        <v>2014</v>
      </c>
      <c r="L1552" t="s">
        <v>36</v>
      </c>
      <c r="M1552" t="s">
        <v>73</v>
      </c>
      <c r="N1552" t="s">
        <v>26</v>
      </c>
      <c r="O1552" t="s">
        <v>26</v>
      </c>
      <c r="P1552" s="1" t="s">
        <v>33</v>
      </c>
      <c r="Q1552">
        <v>111.8</v>
      </c>
    </row>
    <row r="1553" spans="1:17" x14ac:dyDescent="0.3">
      <c r="A1553">
        <v>2017</v>
      </c>
      <c r="B1553" t="s">
        <v>44</v>
      </c>
      <c r="C1553" t="s">
        <v>111</v>
      </c>
      <c r="D1553" s="1" t="s">
        <v>20</v>
      </c>
      <c r="E1553" s="4">
        <v>0</v>
      </c>
      <c r="F1553" s="4">
        <v>138.6</v>
      </c>
      <c r="G1553" s="4">
        <v>138.6</v>
      </c>
      <c r="H1553" s="1" t="s">
        <v>20</v>
      </c>
      <c r="K1553">
        <v>2014</v>
      </c>
      <c r="L1553" t="s">
        <v>36</v>
      </c>
      <c r="M1553" t="s">
        <v>73</v>
      </c>
      <c r="N1553" t="s">
        <v>5</v>
      </c>
      <c r="O1553" t="s">
        <v>188</v>
      </c>
      <c r="P1553" s="1" t="s">
        <v>30</v>
      </c>
      <c r="Q1553">
        <v>120.7</v>
      </c>
    </row>
    <row r="1554" spans="1:17" x14ac:dyDescent="0.3">
      <c r="A1554">
        <v>2017</v>
      </c>
      <c r="B1554" t="s">
        <v>44</v>
      </c>
      <c r="C1554" t="s">
        <v>111</v>
      </c>
      <c r="D1554" s="1" t="s">
        <v>4</v>
      </c>
      <c r="E1554" s="4">
        <v>142.5</v>
      </c>
      <c r="F1554" s="4">
        <v>142.4</v>
      </c>
      <c r="G1554" s="4">
        <v>142.1</v>
      </c>
      <c r="H1554" s="1" t="s">
        <v>188</v>
      </c>
      <c r="K1554">
        <v>2014</v>
      </c>
      <c r="L1554" t="s">
        <v>36</v>
      </c>
      <c r="M1554" t="s">
        <v>73</v>
      </c>
      <c r="N1554" t="s">
        <v>5</v>
      </c>
      <c r="O1554" t="s">
        <v>188</v>
      </c>
      <c r="P1554" s="1" t="s">
        <v>34</v>
      </c>
      <c r="Q1554">
        <v>121</v>
      </c>
    </row>
    <row r="1555" spans="1:17" x14ac:dyDescent="0.3">
      <c r="A1555">
        <v>2017</v>
      </c>
      <c r="B1555" t="s">
        <v>44</v>
      </c>
      <c r="C1555" t="s">
        <v>111</v>
      </c>
      <c r="D1555" s="1" t="s">
        <v>6</v>
      </c>
      <c r="E1555" s="4">
        <v>141.5</v>
      </c>
      <c r="F1555" s="4">
        <v>140.80000000000001</v>
      </c>
      <c r="G1555" s="4">
        <v>139.5</v>
      </c>
      <c r="H1555" s="1" t="s">
        <v>188</v>
      </c>
      <c r="K1555">
        <v>2014</v>
      </c>
      <c r="L1555" t="s">
        <v>36</v>
      </c>
      <c r="M1555" t="s">
        <v>73</v>
      </c>
      <c r="N1555" t="s">
        <v>5</v>
      </c>
      <c r="O1555" t="s">
        <v>188</v>
      </c>
      <c r="P1555" s="1" t="s">
        <v>33</v>
      </c>
      <c r="Q1555">
        <v>121.5</v>
      </c>
    </row>
    <row r="1556" spans="1:17" x14ac:dyDescent="0.3">
      <c r="A1556">
        <v>2017</v>
      </c>
      <c r="B1556" t="s">
        <v>44</v>
      </c>
      <c r="C1556" t="s">
        <v>111</v>
      </c>
      <c r="D1556" s="1" t="s">
        <v>28</v>
      </c>
      <c r="E1556" s="4">
        <v>131.69999999999999</v>
      </c>
      <c r="F1556" s="4">
        <v>128.4</v>
      </c>
      <c r="G1556" s="4">
        <v>124.9</v>
      </c>
      <c r="H1556" s="1" t="s">
        <v>192</v>
      </c>
      <c r="K1556">
        <v>2014</v>
      </c>
      <c r="L1556" t="s">
        <v>36</v>
      </c>
      <c r="M1556" t="s">
        <v>73</v>
      </c>
      <c r="N1556" t="s">
        <v>15</v>
      </c>
      <c r="O1556" t="s">
        <v>188</v>
      </c>
      <c r="P1556" s="1" t="s">
        <v>30</v>
      </c>
      <c r="Q1556">
        <v>116.2</v>
      </c>
    </row>
    <row r="1557" spans="1:17" x14ac:dyDescent="0.3">
      <c r="A1557">
        <v>2017</v>
      </c>
      <c r="B1557" t="s">
        <v>44</v>
      </c>
      <c r="C1557" t="s">
        <v>111</v>
      </c>
      <c r="D1557" s="1" t="s">
        <v>13</v>
      </c>
      <c r="E1557" s="4">
        <v>131.9</v>
      </c>
      <c r="F1557" s="4">
        <v>129.19999999999999</v>
      </c>
      <c r="G1557" s="4">
        <v>125.4</v>
      </c>
      <c r="H1557" s="1" t="s">
        <v>188</v>
      </c>
      <c r="K1557">
        <v>2014</v>
      </c>
      <c r="L1557" t="s">
        <v>36</v>
      </c>
      <c r="M1557" t="s">
        <v>73</v>
      </c>
      <c r="N1557" t="s">
        <v>15</v>
      </c>
      <c r="O1557" t="s">
        <v>188</v>
      </c>
      <c r="P1557" s="1" t="s">
        <v>34</v>
      </c>
      <c r="Q1557">
        <v>116.1</v>
      </c>
    </row>
    <row r="1558" spans="1:17" x14ac:dyDescent="0.3">
      <c r="A1558">
        <v>2017</v>
      </c>
      <c r="B1558" t="s">
        <v>44</v>
      </c>
      <c r="C1558" t="s">
        <v>111</v>
      </c>
      <c r="D1558" s="1" t="s">
        <v>7</v>
      </c>
      <c r="E1558" s="4">
        <v>121.6</v>
      </c>
      <c r="F1558" s="4">
        <v>119.2</v>
      </c>
      <c r="G1558" s="4">
        <v>115.2</v>
      </c>
      <c r="H1558" s="1" t="s">
        <v>188</v>
      </c>
      <c r="K1558">
        <v>2014</v>
      </c>
      <c r="L1558" t="s">
        <v>36</v>
      </c>
      <c r="M1558" t="s">
        <v>73</v>
      </c>
      <c r="N1558" t="s">
        <v>15</v>
      </c>
      <c r="O1558" t="s">
        <v>188</v>
      </c>
      <c r="P1558" s="1" t="s">
        <v>33</v>
      </c>
      <c r="Q1558">
        <v>116</v>
      </c>
    </row>
    <row r="1559" spans="1:17" x14ac:dyDescent="0.3">
      <c r="A1559">
        <v>2017</v>
      </c>
      <c r="B1559" t="s">
        <v>44</v>
      </c>
      <c r="C1559" t="s">
        <v>111</v>
      </c>
      <c r="D1559" s="1" t="s">
        <v>16</v>
      </c>
      <c r="E1559" s="4">
        <v>152.1</v>
      </c>
      <c r="F1559" s="4">
        <v>153.19999999999999</v>
      </c>
      <c r="G1559" s="4">
        <v>156.19999999999999</v>
      </c>
      <c r="H1559" s="1" t="s">
        <v>192</v>
      </c>
      <c r="K1559">
        <v>2014</v>
      </c>
      <c r="L1559" t="s">
        <v>36</v>
      </c>
      <c r="M1559" t="s">
        <v>73</v>
      </c>
      <c r="N1559" t="s">
        <v>18</v>
      </c>
      <c r="O1559" t="s">
        <v>189</v>
      </c>
      <c r="P1559" s="1" t="s">
        <v>30</v>
      </c>
      <c r="Q1559">
        <v>114.9</v>
      </c>
    </row>
    <row r="1560" spans="1:17" x14ac:dyDescent="0.3">
      <c r="A1560">
        <v>2017</v>
      </c>
      <c r="B1560" t="s">
        <v>44</v>
      </c>
      <c r="C1560" t="s">
        <v>111</v>
      </c>
      <c r="D1560" s="1" t="s">
        <v>27</v>
      </c>
      <c r="E1560" s="4">
        <v>128.1</v>
      </c>
      <c r="F1560" s="4">
        <v>126.8</v>
      </c>
      <c r="G1560" s="4">
        <v>124.9</v>
      </c>
      <c r="H1560" s="1" t="s">
        <v>192</v>
      </c>
      <c r="K1560">
        <v>2014</v>
      </c>
      <c r="L1560" t="s">
        <v>36</v>
      </c>
      <c r="M1560" t="s">
        <v>73</v>
      </c>
      <c r="N1560" t="s">
        <v>18</v>
      </c>
      <c r="O1560" t="s">
        <v>189</v>
      </c>
      <c r="P1560" s="1" t="s">
        <v>34</v>
      </c>
      <c r="Q1560">
        <v>113.7</v>
      </c>
    </row>
    <row r="1561" spans="1:17" x14ac:dyDescent="0.3">
      <c r="A1561">
        <v>2017</v>
      </c>
      <c r="B1561" t="s">
        <v>44</v>
      </c>
      <c r="C1561" t="s">
        <v>111</v>
      </c>
      <c r="D1561" s="1" t="s">
        <v>14</v>
      </c>
      <c r="E1561" s="4">
        <v>151.4</v>
      </c>
      <c r="F1561" s="4">
        <v>148.9</v>
      </c>
      <c r="G1561" s="4">
        <v>146</v>
      </c>
      <c r="H1561" s="1" t="s">
        <v>188</v>
      </c>
      <c r="K1561">
        <v>2014</v>
      </c>
      <c r="L1561" t="s">
        <v>36</v>
      </c>
      <c r="M1561" t="s">
        <v>73</v>
      </c>
      <c r="N1561" t="s">
        <v>18</v>
      </c>
      <c r="O1561" t="s">
        <v>189</v>
      </c>
      <c r="P1561" s="1" t="s">
        <v>33</v>
      </c>
      <c r="Q1561">
        <v>112.1</v>
      </c>
    </row>
    <row r="1562" spans="1:17" x14ac:dyDescent="0.3">
      <c r="A1562">
        <v>2017</v>
      </c>
      <c r="B1562" t="s">
        <v>44</v>
      </c>
      <c r="C1562" t="s">
        <v>111</v>
      </c>
      <c r="D1562" s="1" t="s">
        <v>10</v>
      </c>
      <c r="E1562" s="4">
        <v>135.80000000000001</v>
      </c>
      <c r="F1562" s="4">
        <v>131.19999999999999</v>
      </c>
      <c r="G1562" s="4">
        <v>122.2</v>
      </c>
      <c r="H1562" s="1" t="s">
        <v>188</v>
      </c>
      <c r="K1562">
        <v>2014</v>
      </c>
      <c r="L1562" t="s">
        <v>36</v>
      </c>
      <c r="M1562" t="s">
        <v>73</v>
      </c>
      <c r="N1562" t="s">
        <v>8</v>
      </c>
      <c r="O1562" t="s">
        <v>188</v>
      </c>
      <c r="P1562" s="1" t="s">
        <v>30</v>
      </c>
      <c r="Q1562">
        <v>119.6</v>
      </c>
    </row>
    <row r="1563" spans="1:17" x14ac:dyDescent="0.3">
      <c r="A1563">
        <v>2017</v>
      </c>
      <c r="B1563" t="s">
        <v>44</v>
      </c>
      <c r="C1563" t="s">
        <v>111</v>
      </c>
      <c r="D1563" s="1" t="s">
        <v>25</v>
      </c>
      <c r="E1563" s="4">
        <v>133.69999999999999</v>
      </c>
      <c r="F1563" s="4">
        <v>128.9</v>
      </c>
      <c r="G1563" s="4">
        <v>125.1</v>
      </c>
      <c r="H1563" s="1" t="s">
        <v>195</v>
      </c>
      <c r="K1563">
        <v>2014</v>
      </c>
      <c r="L1563" t="s">
        <v>36</v>
      </c>
      <c r="M1563" t="s">
        <v>73</v>
      </c>
      <c r="N1563" t="s">
        <v>8</v>
      </c>
      <c r="O1563" t="s">
        <v>188</v>
      </c>
      <c r="P1563" s="1" t="s">
        <v>34</v>
      </c>
      <c r="Q1563">
        <v>118.7</v>
      </c>
    </row>
    <row r="1564" spans="1:17" x14ac:dyDescent="0.3">
      <c r="A1564">
        <v>2017</v>
      </c>
      <c r="B1564" t="s">
        <v>44</v>
      </c>
      <c r="C1564" t="s">
        <v>111</v>
      </c>
      <c r="D1564" s="1" t="s">
        <v>12</v>
      </c>
      <c r="E1564" s="4">
        <v>136</v>
      </c>
      <c r="F1564" s="4">
        <v>136.80000000000001</v>
      </c>
      <c r="G1564" s="4">
        <v>138.30000000000001</v>
      </c>
      <c r="H1564" s="1" t="s">
        <v>188</v>
      </c>
      <c r="K1564">
        <v>2014</v>
      </c>
      <c r="L1564" t="s">
        <v>36</v>
      </c>
      <c r="M1564" t="s">
        <v>73</v>
      </c>
      <c r="N1564" t="s">
        <v>8</v>
      </c>
      <c r="O1564" t="s">
        <v>188</v>
      </c>
      <c r="P1564" s="1" t="s">
        <v>33</v>
      </c>
      <c r="Q1564">
        <v>117.7</v>
      </c>
    </row>
    <row r="1565" spans="1:17" x14ac:dyDescent="0.3">
      <c r="A1565">
        <v>2017</v>
      </c>
      <c r="B1565" t="s">
        <v>44</v>
      </c>
      <c r="C1565" t="s">
        <v>111</v>
      </c>
      <c r="D1565" s="1" t="s">
        <v>11</v>
      </c>
      <c r="E1565" s="4">
        <v>122.5</v>
      </c>
      <c r="F1565" s="4">
        <v>123</v>
      </c>
      <c r="G1565" s="4">
        <v>123.9</v>
      </c>
      <c r="H1565" s="1" t="s">
        <v>188</v>
      </c>
      <c r="K1565">
        <v>2014</v>
      </c>
      <c r="L1565" t="s">
        <v>36</v>
      </c>
      <c r="M1565" t="s">
        <v>73</v>
      </c>
      <c r="N1565" t="s">
        <v>21</v>
      </c>
      <c r="O1565" t="s">
        <v>190</v>
      </c>
      <c r="P1565" s="1" t="s">
        <v>30</v>
      </c>
      <c r="Q1565">
        <v>113.4</v>
      </c>
    </row>
    <row r="1566" spans="1:17" x14ac:dyDescent="0.3">
      <c r="A1566">
        <v>2017</v>
      </c>
      <c r="B1566" t="s">
        <v>44</v>
      </c>
      <c r="C1566" t="s">
        <v>111</v>
      </c>
      <c r="D1566" s="1" t="s">
        <v>24</v>
      </c>
      <c r="E1566" s="4">
        <v>121.6</v>
      </c>
      <c r="F1566" s="4">
        <v>118.3</v>
      </c>
      <c r="G1566" s="4">
        <v>115.3</v>
      </c>
      <c r="H1566" s="1" t="s">
        <v>191</v>
      </c>
      <c r="K1566">
        <v>2014</v>
      </c>
      <c r="L1566" t="s">
        <v>36</v>
      </c>
      <c r="M1566" t="s">
        <v>73</v>
      </c>
      <c r="N1566" t="s">
        <v>21</v>
      </c>
      <c r="O1566" t="s">
        <v>190</v>
      </c>
      <c r="P1566" s="1" t="s">
        <v>34</v>
      </c>
      <c r="Q1566">
        <v>112.5</v>
      </c>
    </row>
    <row r="1567" spans="1:17" x14ac:dyDescent="0.3">
      <c r="A1567">
        <v>2017</v>
      </c>
      <c r="B1567" t="s">
        <v>44</v>
      </c>
      <c r="C1567" t="s">
        <v>111</v>
      </c>
      <c r="D1567" s="1" t="s">
        <v>9</v>
      </c>
      <c r="E1567" s="4">
        <v>168</v>
      </c>
      <c r="F1567" s="4">
        <v>173.8</v>
      </c>
      <c r="G1567" s="4">
        <v>185.2</v>
      </c>
      <c r="H1567" s="1" t="s">
        <v>188</v>
      </c>
      <c r="K1567">
        <v>2014</v>
      </c>
      <c r="L1567" t="s">
        <v>36</v>
      </c>
      <c r="M1567" t="s">
        <v>73</v>
      </c>
      <c r="N1567" t="s">
        <v>21</v>
      </c>
      <c r="O1567" t="s">
        <v>190</v>
      </c>
      <c r="P1567" s="1" t="s">
        <v>33</v>
      </c>
      <c r="Q1567">
        <v>110.9</v>
      </c>
    </row>
    <row r="1568" spans="1:17" x14ac:dyDescent="0.3">
      <c r="A1568">
        <v>2017</v>
      </c>
      <c r="B1568" t="s">
        <v>43</v>
      </c>
      <c r="C1568" t="s">
        <v>112</v>
      </c>
      <c r="D1568" s="1" t="s">
        <v>3</v>
      </c>
      <c r="E1568" s="4">
        <v>135.9</v>
      </c>
      <c r="F1568" s="4">
        <v>135.30000000000001</v>
      </c>
      <c r="G1568" s="4">
        <v>133.9</v>
      </c>
      <c r="H1568" s="1" t="s">
        <v>188</v>
      </c>
      <c r="K1568">
        <v>2014</v>
      </c>
      <c r="L1568" t="s">
        <v>36</v>
      </c>
      <c r="M1568" t="s">
        <v>73</v>
      </c>
      <c r="N1568" t="s">
        <v>29</v>
      </c>
      <c r="O1568" t="s">
        <v>206</v>
      </c>
      <c r="P1568" s="1" t="s">
        <v>30</v>
      </c>
      <c r="Q1568">
        <v>114.6</v>
      </c>
    </row>
    <row r="1569" spans="1:17" x14ac:dyDescent="0.3">
      <c r="A1569">
        <v>2017</v>
      </c>
      <c r="B1569" t="s">
        <v>43</v>
      </c>
      <c r="C1569" t="s">
        <v>112</v>
      </c>
      <c r="D1569" s="1" t="s">
        <v>17</v>
      </c>
      <c r="E1569" s="4">
        <v>147.19999999999999</v>
      </c>
      <c r="F1569" s="4">
        <v>142</v>
      </c>
      <c r="G1569" s="4">
        <v>134</v>
      </c>
      <c r="H1569" s="1" t="s">
        <v>189</v>
      </c>
      <c r="K1569">
        <v>2014</v>
      </c>
      <c r="L1569" t="s">
        <v>36</v>
      </c>
      <c r="M1569" t="s">
        <v>73</v>
      </c>
      <c r="N1569" t="s">
        <v>29</v>
      </c>
      <c r="O1569" t="s">
        <v>206</v>
      </c>
      <c r="P1569" s="1" t="s">
        <v>34</v>
      </c>
      <c r="Q1569">
        <v>114.2</v>
      </c>
    </row>
    <row r="1570" spans="1:17" x14ac:dyDescent="0.3">
      <c r="A1570">
        <v>2017</v>
      </c>
      <c r="B1570" t="s">
        <v>43</v>
      </c>
      <c r="C1570" t="s">
        <v>112</v>
      </c>
      <c r="D1570" s="1" t="s">
        <v>19</v>
      </c>
      <c r="E1570" s="4">
        <v>146.19999999999999</v>
      </c>
      <c r="F1570" s="4">
        <v>140.80000000000001</v>
      </c>
      <c r="G1570" s="4">
        <v>132.6</v>
      </c>
      <c r="H1570" s="1" t="s">
        <v>189</v>
      </c>
      <c r="K1570">
        <v>2014</v>
      </c>
      <c r="L1570" t="s">
        <v>36</v>
      </c>
      <c r="M1570" t="s">
        <v>73</v>
      </c>
      <c r="N1570" t="s">
        <v>29</v>
      </c>
      <c r="O1570" t="s">
        <v>206</v>
      </c>
      <c r="P1570" s="1" t="s">
        <v>33</v>
      </c>
      <c r="Q1570">
        <v>113.7</v>
      </c>
    </row>
    <row r="1571" spans="1:17" x14ac:dyDescent="0.3">
      <c r="A1571">
        <v>2017</v>
      </c>
      <c r="B1571" t="s">
        <v>43</v>
      </c>
      <c r="C1571" t="s">
        <v>112</v>
      </c>
      <c r="D1571" s="1" t="s">
        <v>26</v>
      </c>
      <c r="E1571" s="4">
        <v>140.1</v>
      </c>
      <c r="F1571" s="4">
        <v>137.9</v>
      </c>
      <c r="G1571" s="4">
        <v>136.30000000000001</v>
      </c>
      <c r="H1571" s="1" t="s">
        <v>26</v>
      </c>
      <c r="K1571">
        <v>2014</v>
      </c>
      <c r="L1571" t="s">
        <v>36</v>
      </c>
      <c r="M1571" t="s">
        <v>73</v>
      </c>
      <c r="N1571" t="s">
        <v>23</v>
      </c>
      <c r="O1571" t="s">
        <v>23</v>
      </c>
      <c r="P1571" s="1" t="s">
        <v>30</v>
      </c>
      <c r="Q1571">
        <v>111.4</v>
      </c>
    </row>
    <row r="1572" spans="1:17" x14ac:dyDescent="0.3">
      <c r="A1572">
        <v>2017</v>
      </c>
      <c r="B1572" t="s">
        <v>43</v>
      </c>
      <c r="C1572" t="s">
        <v>112</v>
      </c>
      <c r="D1572" s="1" t="s">
        <v>5</v>
      </c>
      <c r="E1572" s="4">
        <v>131</v>
      </c>
      <c r="F1572" s="4">
        <v>131.19999999999999</v>
      </c>
      <c r="G1572" s="4">
        <v>131.4</v>
      </c>
      <c r="H1572" s="1" t="s">
        <v>188</v>
      </c>
      <c r="K1572">
        <v>2014</v>
      </c>
      <c r="L1572" t="s">
        <v>36</v>
      </c>
      <c r="M1572" t="s">
        <v>73</v>
      </c>
      <c r="N1572" t="s">
        <v>23</v>
      </c>
      <c r="O1572" t="s">
        <v>23</v>
      </c>
      <c r="P1572" s="1" t="s">
        <v>34</v>
      </c>
      <c r="Q1572">
        <v>111.2</v>
      </c>
    </row>
    <row r="1573" spans="1:17" x14ac:dyDescent="0.3">
      <c r="A1573">
        <v>2017</v>
      </c>
      <c r="B1573" t="s">
        <v>43</v>
      </c>
      <c r="C1573" t="s">
        <v>112</v>
      </c>
      <c r="D1573" s="1" t="s">
        <v>15</v>
      </c>
      <c r="E1573" s="4">
        <v>140.4</v>
      </c>
      <c r="F1573" s="4">
        <v>140.1</v>
      </c>
      <c r="G1573" s="4">
        <v>139.69999999999999</v>
      </c>
      <c r="H1573" s="1" t="s">
        <v>188</v>
      </c>
      <c r="K1573">
        <v>2014</v>
      </c>
      <c r="L1573" t="s">
        <v>36</v>
      </c>
      <c r="M1573" t="s">
        <v>73</v>
      </c>
      <c r="N1573" t="s">
        <v>23</v>
      </c>
      <c r="O1573" t="s">
        <v>23</v>
      </c>
      <c r="P1573" s="1" t="s">
        <v>33</v>
      </c>
      <c r="Q1573">
        <v>110.8</v>
      </c>
    </row>
    <row r="1574" spans="1:17" x14ac:dyDescent="0.3">
      <c r="A1574">
        <v>2017</v>
      </c>
      <c r="B1574" t="s">
        <v>43</v>
      </c>
      <c r="C1574" t="s">
        <v>112</v>
      </c>
      <c r="D1574" s="1" t="s">
        <v>18</v>
      </c>
      <c r="E1574" s="4">
        <v>140.6</v>
      </c>
      <c r="F1574" s="4">
        <v>134.1</v>
      </c>
      <c r="G1574" s="4">
        <v>124.9</v>
      </c>
      <c r="H1574" s="1" t="s">
        <v>189</v>
      </c>
      <c r="K1574">
        <v>2014</v>
      </c>
      <c r="L1574" t="s">
        <v>36</v>
      </c>
      <c r="M1574" t="s">
        <v>73</v>
      </c>
      <c r="N1574" t="s">
        <v>22</v>
      </c>
      <c r="O1574" t="s">
        <v>20</v>
      </c>
      <c r="P1574" s="1" t="s">
        <v>30</v>
      </c>
      <c r="Q1574">
        <v>113.4</v>
      </c>
    </row>
    <row r="1575" spans="1:17" x14ac:dyDescent="0.3">
      <c r="A1575">
        <v>2017</v>
      </c>
      <c r="B1575" t="s">
        <v>43</v>
      </c>
      <c r="C1575" t="s">
        <v>112</v>
      </c>
      <c r="D1575" s="1" t="s">
        <v>8</v>
      </c>
      <c r="E1575" s="4">
        <v>146.69999999999999</v>
      </c>
      <c r="F1575" s="4">
        <v>141.5</v>
      </c>
      <c r="G1575" s="4">
        <v>135.6</v>
      </c>
      <c r="H1575" s="1" t="s">
        <v>188</v>
      </c>
      <c r="K1575">
        <v>2014</v>
      </c>
      <c r="L1575" t="s">
        <v>36</v>
      </c>
      <c r="M1575" t="s">
        <v>73</v>
      </c>
      <c r="N1575" t="s">
        <v>22</v>
      </c>
      <c r="O1575" t="s">
        <v>20</v>
      </c>
      <c r="P1575" s="1" t="s">
        <v>34</v>
      </c>
      <c r="Q1575">
        <v>113.2</v>
      </c>
    </row>
    <row r="1576" spans="1:17" x14ac:dyDescent="0.3">
      <c r="A1576">
        <v>2017</v>
      </c>
      <c r="B1576" t="s">
        <v>43</v>
      </c>
      <c r="C1576" t="s">
        <v>112</v>
      </c>
      <c r="D1576" s="1" t="s">
        <v>21</v>
      </c>
      <c r="E1576" s="4">
        <v>138.1</v>
      </c>
      <c r="F1576" s="4">
        <v>132.19999999999999</v>
      </c>
      <c r="G1576" s="4">
        <v>122.6</v>
      </c>
      <c r="H1576" s="1" t="s">
        <v>190</v>
      </c>
      <c r="K1576">
        <v>2014</v>
      </c>
      <c r="L1576" t="s">
        <v>36</v>
      </c>
      <c r="M1576" t="s">
        <v>73</v>
      </c>
      <c r="N1576" t="s">
        <v>22</v>
      </c>
      <c r="O1576" t="s">
        <v>20</v>
      </c>
      <c r="P1576" s="1" t="s">
        <v>33</v>
      </c>
      <c r="Q1576">
        <v>113</v>
      </c>
    </row>
    <row r="1577" spans="1:17" x14ac:dyDescent="0.3">
      <c r="A1577">
        <v>2017</v>
      </c>
      <c r="B1577" t="s">
        <v>43</v>
      </c>
      <c r="C1577" t="s">
        <v>112</v>
      </c>
      <c r="D1577" s="1" t="s">
        <v>29</v>
      </c>
      <c r="E1577" s="4">
        <v>138.30000000000001</v>
      </c>
      <c r="F1577" s="4">
        <v>136.1</v>
      </c>
      <c r="G1577" s="4">
        <v>133.5</v>
      </c>
      <c r="H1577" s="1" t="s">
        <v>206</v>
      </c>
      <c r="K1577">
        <v>2014</v>
      </c>
      <c r="L1577" t="s">
        <v>36</v>
      </c>
      <c r="M1577" t="s">
        <v>73</v>
      </c>
      <c r="N1577" t="s">
        <v>20</v>
      </c>
      <c r="O1577" t="s">
        <v>20</v>
      </c>
      <c r="P1577" s="1" t="s">
        <v>30</v>
      </c>
      <c r="Q1577">
        <v>0</v>
      </c>
    </row>
    <row r="1578" spans="1:17" x14ac:dyDescent="0.3">
      <c r="A1578">
        <v>2017</v>
      </c>
      <c r="B1578" t="s">
        <v>43</v>
      </c>
      <c r="C1578" t="s">
        <v>112</v>
      </c>
      <c r="D1578" s="1" t="s">
        <v>23</v>
      </c>
      <c r="E1578" s="4">
        <v>134.19999999999999</v>
      </c>
      <c r="F1578" s="4">
        <v>131.30000000000001</v>
      </c>
      <c r="G1578" s="4">
        <v>126.6</v>
      </c>
      <c r="H1578" s="1" t="s">
        <v>23</v>
      </c>
      <c r="K1578">
        <v>2014</v>
      </c>
      <c r="L1578" t="s">
        <v>36</v>
      </c>
      <c r="M1578" t="s">
        <v>73</v>
      </c>
      <c r="N1578" t="s">
        <v>20</v>
      </c>
      <c r="O1578" t="s">
        <v>20</v>
      </c>
      <c r="P1578" s="1" t="s">
        <v>34</v>
      </c>
      <c r="Q1578">
        <v>113.2</v>
      </c>
    </row>
    <row r="1579" spans="1:17" x14ac:dyDescent="0.3">
      <c r="A1579">
        <v>2017</v>
      </c>
      <c r="B1579" t="s">
        <v>43</v>
      </c>
      <c r="C1579" t="s">
        <v>112</v>
      </c>
      <c r="D1579" s="1" t="s">
        <v>22</v>
      </c>
      <c r="E1579" s="4">
        <v>138.4</v>
      </c>
      <c r="F1579" s="4">
        <v>133.6</v>
      </c>
      <c r="G1579" s="4">
        <v>128.30000000000001</v>
      </c>
      <c r="H1579" s="1" t="s">
        <v>20</v>
      </c>
      <c r="K1579">
        <v>2014</v>
      </c>
      <c r="L1579" t="s">
        <v>36</v>
      </c>
      <c r="M1579" t="s">
        <v>73</v>
      </c>
      <c r="N1579" t="s">
        <v>20</v>
      </c>
      <c r="O1579" t="s">
        <v>20</v>
      </c>
      <c r="P1579" s="1" t="s">
        <v>33</v>
      </c>
      <c r="Q1579">
        <v>113.2</v>
      </c>
    </row>
    <row r="1580" spans="1:17" x14ac:dyDescent="0.3">
      <c r="A1580">
        <v>2017</v>
      </c>
      <c r="B1580" t="s">
        <v>43</v>
      </c>
      <c r="C1580" t="s">
        <v>112</v>
      </c>
      <c r="D1580" s="1" t="s">
        <v>20</v>
      </c>
      <c r="E1580" s="4">
        <v>0</v>
      </c>
      <c r="F1580" s="4">
        <v>137.30000000000001</v>
      </c>
      <c r="G1580" s="4">
        <v>137.30000000000001</v>
      </c>
      <c r="H1580" s="1" t="s">
        <v>20</v>
      </c>
      <c r="K1580">
        <v>2014</v>
      </c>
      <c r="L1580" t="s">
        <v>36</v>
      </c>
      <c r="M1580" t="s">
        <v>73</v>
      </c>
      <c r="N1580" t="s">
        <v>4</v>
      </c>
      <c r="O1580" t="s">
        <v>188</v>
      </c>
      <c r="P1580" s="1" t="s">
        <v>30</v>
      </c>
      <c r="Q1580">
        <v>118.1</v>
      </c>
    </row>
    <row r="1581" spans="1:17" x14ac:dyDescent="0.3">
      <c r="A1581">
        <v>2017</v>
      </c>
      <c r="B1581" t="s">
        <v>43</v>
      </c>
      <c r="C1581" t="s">
        <v>112</v>
      </c>
      <c r="D1581" s="1" t="s">
        <v>4</v>
      </c>
      <c r="E1581" s="4">
        <v>141.9</v>
      </c>
      <c r="F1581" s="4">
        <v>142.19999999999999</v>
      </c>
      <c r="G1581" s="4">
        <v>142.80000000000001</v>
      </c>
      <c r="H1581" s="1" t="s">
        <v>188</v>
      </c>
      <c r="K1581">
        <v>2014</v>
      </c>
      <c r="L1581" t="s">
        <v>36</v>
      </c>
      <c r="M1581" t="s">
        <v>73</v>
      </c>
      <c r="N1581" t="s">
        <v>4</v>
      </c>
      <c r="O1581" t="s">
        <v>188</v>
      </c>
      <c r="P1581" s="1" t="s">
        <v>34</v>
      </c>
      <c r="Q1581">
        <v>119.3</v>
      </c>
    </row>
    <row r="1582" spans="1:17" x14ac:dyDescent="0.3">
      <c r="A1582">
        <v>2017</v>
      </c>
      <c r="B1582" t="s">
        <v>43</v>
      </c>
      <c r="C1582" t="s">
        <v>112</v>
      </c>
      <c r="D1582" s="1" t="s">
        <v>6</v>
      </c>
      <c r="E1582" s="4">
        <v>141.5</v>
      </c>
      <c r="F1582" s="4">
        <v>140.6</v>
      </c>
      <c r="G1582" s="4">
        <v>139.1</v>
      </c>
      <c r="H1582" s="1" t="s">
        <v>188</v>
      </c>
      <c r="K1582">
        <v>2014</v>
      </c>
      <c r="L1582" t="s">
        <v>36</v>
      </c>
      <c r="M1582" t="s">
        <v>73</v>
      </c>
      <c r="N1582" t="s">
        <v>4</v>
      </c>
      <c r="O1582" t="s">
        <v>188</v>
      </c>
      <c r="P1582" s="1" t="s">
        <v>33</v>
      </c>
      <c r="Q1582">
        <v>121.4</v>
      </c>
    </row>
    <row r="1583" spans="1:17" x14ac:dyDescent="0.3">
      <c r="A1583">
        <v>2017</v>
      </c>
      <c r="B1583" t="s">
        <v>43</v>
      </c>
      <c r="C1583" t="s">
        <v>112</v>
      </c>
      <c r="D1583" s="1" t="s">
        <v>28</v>
      </c>
      <c r="E1583" s="4">
        <v>130.69999999999999</v>
      </c>
      <c r="F1583" s="4">
        <v>127.7</v>
      </c>
      <c r="G1583" s="4">
        <v>124.5</v>
      </c>
      <c r="H1583" s="1" t="s">
        <v>192</v>
      </c>
      <c r="K1583">
        <v>2014</v>
      </c>
      <c r="L1583" t="s">
        <v>36</v>
      </c>
      <c r="M1583" t="s">
        <v>73</v>
      </c>
      <c r="N1583" t="s">
        <v>6</v>
      </c>
      <c r="O1583" t="s">
        <v>188</v>
      </c>
      <c r="P1583" s="1" t="s">
        <v>30</v>
      </c>
      <c r="Q1583">
        <v>116.1</v>
      </c>
    </row>
    <row r="1584" spans="1:17" x14ac:dyDescent="0.3">
      <c r="A1584">
        <v>2017</v>
      </c>
      <c r="B1584" t="s">
        <v>43</v>
      </c>
      <c r="C1584" t="s">
        <v>112</v>
      </c>
      <c r="D1584" s="1" t="s">
        <v>13</v>
      </c>
      <c r="E1584" s="4">
        <v>131.30000000000001</v>
      </c>
      <c r="F1584" s="4">
        <v>128.69999999999999</v>
      </c>
      <c r="G1584" s="4">
        <v>125.1</v>
      </c>
      <c r="H1584" s="1" t="s">
        <v>188</v>
      </c>
      <c r="K1584">
        <v>2014</v>
      </c>
      <c r="L1584" t="s">
        <v>36</v>
      </c>
      <c r="M1584" t="s">
        <v>73</v>
      </c>
      <c r="N1584" t="s">
        <v>6</v>
      </c>
      <c r="O1584" t="s">
        <v>188</v>
      </c>
      <c r="P1584" s="1" t="s">
        <v>34</v>
      </c>
      <c r="Q1584">
        <v>116.1</v>
      </c>
    </row>
    <row r="1585" spans="1:17" x14ac:dyDescent="0.3">
      <c r="A1585">
        <v>2017</v>
      </c>
      <c r="B1585" t="s">
        <v>43</v>
      </c>
      <c r="C1585" t="s">
        <v>112</v>
      </c>
      <c r="D1585" s="1" t="s">
        <v>7</v>
      </c>
      <c r="E1585" s="4">
        <v>121.4</v>
      </c>
      <c r="F1585" s="4">
        <v>119</v>
      </c>
      <c r="G1585" s="4">
        <v>114.9</v>
      </c>
      <c r="H1585" s="1" t="s">
        <v>188</v>
      </c>
      <c r="K1585">
        <v>2014</v>
      </c>
      <c r="L1585" t="s">
        <v>36</v>
      </c>
      <c r="M1585" t="s">
        <v>73</v>
      </c>
      <c r="N1585" t="s">
        <v>6</v>
      </c>
      <c r="O1585" t="s">
        <v>188</v>
      </c>
      <c r="P1585" s="1" t="s">
        <v>33</v>
      </c>
      <c r="Q1585">
        <v>116.2</v>
      </c>
    </row>
    <row r="1586" spans="1:17" x14ac:dyDescent="0.3">
      <c r="A1586">
        <v>2017</v>
      </c>
      <c r="B1586" t="s">
        <v>43</v>
      </c>
      <c r="C1586" t="s">
        <v>112</v>
      </c>
      <c r="D1586" s="1" t="s">
        <v>16</v>
      </c>
      <c r="E1586" s="4">
        <v>150.5</v>
      </c>
      <c r="F1586" s="4">
        <v>151.6</v>
      </c>
      <c r="G1586" s="4">
        <v>154.6</v>
      </c>
      <c r="H1586" s="1" t="s">
        <v>192</v>
      </c>
      <c r="K1586">
        <v>2014</v>
      </c>
      <c r="L1586" t="s">
        <v>36</v>
      </c>
      <c r="M1586" t="s">
        <v>73</v>
      </c>
      <c r="N1586" t="s">
        <v>28</v>
      </c>
      <c r="O1586" t="s">
        <v>192</v>
      </c>
      <c r="P1586" s="1" t="s">
        <v>30</v>
      </c>
      <c r="Q1586">
        <v>111.3</v>
      </c>
    </row>
    <row r="1587" spans="1:17" x14ac:dyDescent="0.3">
      <c r="A1587">
        <v>2017</v>
      </c>
      <c r="B1587" t="s">
        <v>43</v>
      </c>
      <c r="C1587" t="s">
        <v>112</v>
      </c>
      <c r="D1587" s="1" t="s">
        <v>27</v>
      </c>
      <c r="E1587" s="4">
        <v>127.4</v>
      </c>
      <c r="F1587" s="4">
        <v>126.2</v>
      </c>
      <c r="G1587" s="4">
        <v>124.6</v>
      </c>
      <c r="H1587" s="1" t="s">
        <v>192</v>
      </c>
      <c r="K1587">
        <v>2014</v>
      </c>
      <c r="L1587" t="s">
        <v>36</v>
      </c>
      <c r="M1587" t="s">
        <v>73</v>
      </c>
      <c r="N1587" t="s">
        <v>28</v>
      </c>
      <c r="O1587" t="s">
        <v>192</v>
      </c>
      <c r="P1587" s="1" t="s">
        <v>34</v>
      </c>
      <c r="Q1587">
        <v>111.3</v>
      </c>
    </row>
    <row r="1588" spans="1:17" x14ac:dyDescent="0.3">
      <c r="A1588">
        <v>2017</v>
      </c>
      <c r="B1588" t="s">
        <v>43</v>
      </c>
      <c r="C1588" t="s">
        <v>112</v>
      </c>
      <c r="D1588" s="1" t="s">
        <v>14</v>
      </c>
      <c r="E1588" s="4">
        <v>150.30000000000001</v>
      </c>
      <c r="F1588" s="4">
        <v>148.1</v>
      </c>
      <c r="G1588" s="4">
        <v>145.5</v>
      </c>
      <c r="H1588" s="1" t="s">
        <v>188</v>
      </c>
      <c r="K1588">
        <v>2014</v>
      </c>
      <c r="L1588" t="s">
        <v>36</v>
      </c>
      <c r="M1588" t="s">
        <v>73</v>
      </c>
      <c r="N1588" t="s">
        <v>28</v>
      </c>
      <c r="O1588" t="s">
        <v>192</v>
      </c>
      <c r="P1588" s="1" t="s">
        <v>33</v>
      </c>
      <c r="Q1588">
        <v>111.4</v>
      </c>
    </row>
    <row r="1589" spans="1:17" x14ac:dyDescent="0.3">
      <c r="A1589">
        <v>2017</v>
      </c>
      <c r="B1589" t="s">
        <v>43</v>
      </c>
      <c r="C1589" t="s">
        <v>112</v>
      </c>
      <c r="D1589" s="1" t="s">
        <v>10</v>
      </c>
      <c r="E1589" s="4">
        <v>136.4</v>
      </c>
      <c r="F1589" s="4">
        <v>132.30000000000001</v>
      </c>
      <c r="G1589" s="4">
        <v>124.1</v>
      </c>
      <c r="H1589" s="1" t="s">
        <v>188</v>
      </c>
      <c r="K1589">
        <v>2014</v>
      </c>
      <c r="L1589" t="s">
        <v>36</v>
      </c>
      <c r="M1589" t="s">
        <v>73</v>
      </c>
      <c r="N1589" t="s">
        <v>13</v>
      </c>
      <c r="O1589" t="s">
        <v>188</v>
      </c>
      <c r="P1589" s="1" t="s">
        <v>30</v>
      </c>
      <c r="Q1589">
        <v>113</v>
      </c>
    </row>
    <row r="1590" spans="1:17" x14ac:dyDescent="0.3">
      <c r="A1590">
        <v>2017</v>
      </c>
      <c r="B1590" t="s">
        <v>43</v>
      </c>
      <c r="C1590" t="s">
        <v>112</v>
      </c>
      <c r="D1590" s="1" t="s">
        <v>25</v>
      </c>
      <c r="E1590" s="4">
        <v>133</v>
      </c>
      <c r="F1590" s="4">
        <v>128.4</v>
      </c>
      <c r="G1590" s="4">
        <v>124.8</v>
      </c>
      <c r="H1590" s="1" t="s">
        <v>195</v>
      </c>
      <c r="K1590">
        <v>2014</v>
      </c>
      <c r="L1590" t="s">
        <v>36</v>
      </c>
      <c r="M1590" t="s">
        <v>73</v>
      </c>
      <c r="N1590" t="s">
        <v>13</v>
      </c>
      <c r="O1590" t="s">
        <v>188</v>
      </c>
      <c r="P1590" s="1" t="s">
        <v>34</v>
      </c>
      <c r="Q1590">
        <v>112.7</v>
      </c>
    </row>
    <row r="1591" spans="1:17" x14ac:dyDescent="0.3">
      <c r="A1591">
        <v>2017</v>
      </c>
      <c r="B1591" t="s">
        <v>43</v>
      </c>
      <c r="C1591" t="s">
        <v>112</v>
      </c>
      <c r="D1591" s="1" t="s">
        <v>12</v>
      </c>
      <c r="E1591" s="4">
        <v>135.6</v>
      </c>
      <c r="F1591" s="4">
        <v>136.30000000000001</v>
      </c>
      <c r="G1591" s="4">
        <v>137.80000000000001</v>
      </c>
      <c r="H1591" s="1" t="s">
        <v>188</v>
      </c>
      <c r="K1591">
        <v>2014</v>
      </c>
      <c r="L1591" t="s">
        <v>36</v>
      </c>
      <c r="M1591" t="s">
        <v>73</v>
      </c>
      <c r="N1591" t="s">
        <v>13</v>
      </c>
      <c r="O1591" t="s">
        <v>188</v>
      </c>
      <c r="P1591" s="1" t="s">
        <v>33</v>
      </c>
      <c r="Q1591">
        <v>112.2</v>
      </c>
    </row>
    <row r="1592" spans="1:17" x14ac:dyDescent="0.3">
      <c r="A1592">
        <v>2017</v>
      </c>
      <c r="B1592" t="s">
        <v>43</v>
      </c>
      <c r="C1592" t="s">
        <v>112</v>
      </c>
      <c r="D1592" s="1" t="s">
        <v>11</v>
      </c>
      <c r="E1592" s="4">
        <v>121.4</v>
      </c>
      <c r="F1592" s="4">
        <v>121.8</v>
      </c>
      <c r="G1592" s="4">
        <v>122.6</v>
      </c>
      <c r="H1592" s="1" t="s">
        <v>188</v>
      </c>
      <c r="K1592">
        <v>2014</v>
      </c>
      <c r="L1592" t="s">
        <v>36</v>
      </c>
      <c r="M1592" t="s">
        <v>73</v>
      </c>
      <c r="N1592" t="s">
        <v>7</v>
      </c>
      <c r="O1592" t="s">
        <v>188</v>
      </c>
      <c r="P1592" s="1" t="s">
        <v>30</v>
      </c>
      <c r="Q1592">
        <v>109.3</v>
      </c>
    </row>
    <row r="1593" spans="1:17" x14ac:dyDescent="0.3">
      <c r="A1593">
        <v>2017</v>
      </c>
      <c r="B1593" t="s">
        <v>43</v>
      </c>
      <c r="C1593" t="s">
        <v>112</v>
      </c>
      <c r="D1593" s="1" t="s">
        <v>24</v>
      </c>
      <c r="E1593" s="4">
        <v>121</v>
      </c>
      <c r="F1593" s="4">
        <v>117.8</v>
      </c>
      <c r="G1593" s="4">
        <v>115</v>
      </c>
      <c r="H1593" s="1" t="s">
        <v>191</v>
      </c>
      <c r="K1593">
        <v>2014</v>
      </c>
      <c r="L1593" t="s">
        <v>36</v>
      </c>
      <c r="M1593" t="s">
        <v>73</v>
      </c>
      <c r="N1593" t="s">
        <v>7</v>
      </c>
      <c r="O1593" t="s">
        <v>188</v>
      </c>
      <c r="P1593" s="1" t="s">
        <v>34</v>
      </c>
      <c r="Q1593">
        <v>106.9</v>
      </c>
    </row>
    <row r="1594" spans="1:17" x14ac:dyDescent="0.3">
      <c r="A1594">
        <v>2017</v>
      </c>
      <c r="B1594" t="s">
        <v>43</v>
      </c>
      <c r="C1594" t="s">
        <v>112</v>
      </c>
      <c r="D1594" s="1" t="s">
        <v>9</v>
      </c>
      <c r="E1594" s="4">
        <v>157.1</v>
      </c>
      <c r="F1594" s="4">
        <v>162.6</v>
      </c>
      <c r="G1594" s="4">
        <v>173.2</v>
      </c>
      <c r="H1594" s="1" t="s">
        <v>188</v>
      </c>
      <c r="K1594">
        <v>2014</v>
      </c>
      <c r="L1594" t="s">
        <v>36</v>
      </c>
      <c r="M1594" t="s">
        <v>73</v>
      </c>
      <c r="N1594" t="s">
        <v>7</v>
      </c>
      <c r="O1594" t="s">
        <v>188</v>
      </c>
      <c r="P1594" s="1" t="s">
        <v>33</v>
      </c>
      <c r="Q1594">
        <v>102.8</v>
      </c>
    </row>
    <row r="1595" spans="1:17" x14ac:dyDescent="0.3">
      <c r="A1595">
        <v>2017</v>
      </c>
      <c r="B1595" t="s">
        <v>42</v>
      </c>
      <c r="C1595" t="s">
        <v>113</v>
      </c>
      <c r="D1595" s="1" t="s">
        <v>3</v>
      </c>
      <c r="E1595" s="4">
        <v>135.19999999999999</v>
      </c>
      <c r="F1595" s="4">
        <v>134.69999999999999</v>
      </c>
      <c r="G1595" s="4">
        <v>133.6</v>
      </c>
      <c r="H1595" s="1" t="s">
        <v>188</v>
      </c>
      <c r="K1595">
        <v>2014</v>
      </c>
      <c r="L1595" t="s">
        <v>36</v>
      </c>
      <c r="M1595" t="s">
        <v>73</v>
      </c>
      <c r="N1595" t="s">
        <v>16</v>
      </c>
      <c r="O1595" t="s">
        <v>192</v>
      </c>
      <c r="P1595" s="1" t="s">
        <v>30</v>
      </c>
      <c r="Q1595">
        <v>114.6</v>
      </c>
    </row>
    <row r="1596" spans="1:17" x14ac:dyDescent="0.3">
      <c r="A1596">
        <v>2017</v>
      </c>
      <c r="B1596" t="s">
        <v>42</v>
      </c>
      <c r="C1596" t="s">
        <v>113</v>
      </c>
      <c r="D1596" s="1" t="s">
        <v>17</v>
      </c>
      <c r="E1596" s="4">
        <v>146.1</v>
      </c>
      <c r="F1596" s="4">
        <v>141.1</v>
      </c>
      <c r="G1596" s="4">
        <v>133.30000000000001</v>
      </c>
      <c r="H1596" s="1" t="s">
        <v>189</v>
      </c>
      <c r="K1596">
        <v>2014</v>
      </c>
      <c r="L1596" t="s">
        <v>36</v>
      </c>
      <c r="M1596" t="s">
        <v>73</v>
      </c>
      <c r="N1596" t="s">
        <v>16</v>
      </c>
      <c r="O1596" t="s">
        <v>192</v>
      </c>
      <c r="P1596" s="1" t="s">
        <v>34</v>
      </c>
      <c r="Q1596">
        <v>115.2</v>
      </c>
    </row>
    <row r="1597" spans="1:17" x14ac:dyDescent="0.3">
      <c r="A1597">
        <v>2017</v>
      </c>
      <c r="B1597" t="s">
        <v>42</v>
      </c>
      <c r="C1597" t="s">
        <v>113</v>
      </c>
      <c r="D1597" s="1" t="s">
        <v>19</v>
      </c>
      <c r="E1597" s="4">
        <v>145.19999999999999</v>
      </c>
      <c r="F1597" s="4">
        <v>140</v>
      </c>
      <c r="G1597" s="4">
        <v>132</v>
      </c>
      <c r="H1597" s="1" t="s">
        <v>189</v>
      </c>
      <c r="K1597">
        <v>2014</v>
      </c>
      <c r="L1597" t="s">
        <v>36</v>
      </c>
      <c r="M1597" t="s">
        <v>73</v>
      </c>
      <c r="N1597" t="s">
        <v>16</v>
      </c>
      <c r="O1597" t="s">
        <v>192</v>
      </c>
      <c r="P1597" s="1" t="s">
        <v>33</v>
      </c>
      <c r="Q1597">
        <v>116.7</v>
      </c>
    </row>
    <row r="1598" spans="1:17" x14ac:dyDescent="0.3">
      <c r="A1598">
        <v>2017</v>
      </c>
      <c r="B1598" t="s">
        <v>42</v>
      </c>
      <c r="C1598" t="s">
        <v>113</v>
      </c>
      <c r="D1598" s="1" t="s">
        <v>26</v>
      </c>
      <c r="E1598" s="4">
        <v>139.6</v>
      </c>
      <c r="F1598" s="4">
        <v>137.4</v>
      </c>
      <c r="G1598" s="4">
        <v>135.9</v>
      </c>
      <c r="H1598" s="1" t="s">
        <v>26</v>
      </c>
      <c r="K1598">
        <v>2014</v>
      </c>
      <c r="L1598" t="s">
        <v>36</v>
      </c>
      <c r="M1598" t="s">
        <v>73</v>
      </c>
      <c r="N1598" t="s">
        <v>27</v>
      </c>
      <c r="O1598" t="s">
        <v>192</v>
      </c>
      <c r="P1598" s="1" t="s">
        <v>30</v>
      </c>
      <c r="Q1598">
        <v>108.9</v>
      </c>
    </row>
    <row r="1599" spans="1:17" x14ac:dyDescent="0.3">
      <c r="A1599">
        <v>2017</v>
      </c>
      <c r="B1599" t="s">
        <v>42</v>
      </c>
      <c r="C1599" t="s">
        <v>113</v>
      </c>
      <c r="D1599" s="1" t="s">
        <v>5</v>
      </c>
      <c r="E1599" s="4">
        <v>130.5</v>
      </c>
      <c r="F1599" s="4">
        <v>130.19999999999999</v>
      </c>
      <c r="G1599" s="4">
        <v>129.69999999999999</v>
      </c>
      <c r="H1599" s="1" t="s">
        <v>188</v>
      </c>
      <c r="K1599">
        <v>2014</v>
      </c>
      <c r="L1599" t="s">
        <v>36</v>
      </c>
      <c r="M1599" t="s">
        <v>73</v>
      </c>
      <c r="N1599" t="s">
        <v>27</v>
      </c>
      <c r="O1599" t="s">
        <v>192</v>
      </c>
      <c r="P1599" s="1" t="s">
        <v>34</v>
      </c>
      <c r="Q1599">
        <v>109</v>
      </c>
    </row>
    <row r="1600" spans="1:17" x14ac:dyDescent="0.3">
      <c r="A1600">
        <v>2017</v>
      </c>
      <c r="B1600" t="s">
        <v>42</v>
      </c>
      <c r="C1600" t="s">
        <v>113</v>
      </c>
      <c r="D1600" s="1" t="s">
        <v>15</v>
      </c>
      <c r="E1600" s="4">
        <v>139.6</v>
      </c>
      <c r="F1600" s="4">
        <v>139</v>
      </c>
      <c r="G1600" s="4">
        <v>138</v>
      </c>
      <c r="H1600" s="1" t="s">
        <v>188</v>
      </c>
      <c r="K1600">
        <v>2014</v>
      </c>
      <c r="L1600" t="s">
        <v>36</v>
      </c>
      <c r="M1600" t="s">
        <v>73</v>
      </c>
      <c r="N1600" t="s">
        <v>27</v>
      </c>
      <c r="O1600" t="s">
        <v>192</v>
      </c>
      <c r="P1600" s="1" t="s">
        <v>33</v>
      </c>
      <c r="Q1600">
        <v>109.2</v>
      </c>
    </row>
    <row r="1601" spans="1:17" x14ac:dyDescent="0.3">
      <c r="A1601">
        <v>2017</v>
      </c>
      <c r="B1601" t="s">
        <v>42</v>
      </c>
      <c r="C1601" t="s">
        <v>113</v>
      </c>
      <c r="D1601" s="1" t="s">
        <v>18</v>
      </c>
      <c r="E1601" s="4">
        <v>139.69999999999999</v>
      </c>
      <c r="F1601" s="4">
        <v>133.4</v>
      </c>
      <c r="G1601" s="4">
        <v>124.6</v>
      </c>
      <c r="H1601" s="1" t="s">
        <v>189</v>
      </c>
      <c r="K1601">
        <v>2014</v>
      </c>
      <c r="L1601" t="s">
        <v>36</v>
      </c>
      <c r="M1601" t="s">
        <v>73</v>
      </c>
      <c r="N1601" t="s">
        <v>14</v>
      </c>
      <c r="O1601" t="s">
        <v>188</v>
      </c>
      <c r="P1601" s="1" t="s">
        <v>30</v>
      </c>
      <c r="Q1601">
        <v>118.3</v>
      </c>
    </row>
    <row r="1602" spans="1:17" x14ac:dyDescent="0.3">
      <c r="A1602">
        <v>2017</v>
      </c>
      <c r="B1602" t="s">
        <v>42</v>
      </c>
      <c r="C1602" t="s">
        <v>113</v>
      </c>
      <c r="D1602" s="1" t="s">
        <v>8</v>
      </c>
      <c r="E1602" s="4">
        <v>147.80000000000001</v>
      </c>
      <c r="F1602" s="4">
        <v>143</v>
      </c>
      <c r="G1602" s="4">
        <v>137.5</v>
      </c>
      <c r="H1602" s="1" t="s">
        <v>188</v>
      </c>
      <c r="K1602">
        <v>2014</v>
      </c>
      <c r="L1602" t="s">
        <v>36</v>
      </c>
      <c r="M1602" t="s">
        <v>73</v>
      </c>
      <c r="N1602" t="s">
        <v>14</v>
      </c>
      <c r="O1602" t="s">
        <v>188</v>
      </c>
      <c r="P1602" s="1" t="s">
        <v>34</v>
      </c>
      <c r="Q1602">
        <v>119.3</v>
      </c>
    </row>
    <row r="1603" spans="1:17" x14ac:dyDescent="0.3">
      <c r="A1603">
        <v>2017</v>
      </c>
      <c r="B1603" t="s">
        <v>42</v>
      </c>
      <c r="C1603" t="s">
        <v>113</v>
      </c>
      <c r="D1603" s="1" t="s">
        <v>21</v>
      </c>
      <c r="E1603" s="4">
        <v>137.4</v>
      </c>
      <c r="F1603" s="4">
        <v>131</v>
      </c>
      <c r="G1603" s="4">
        <v>120.6</v>
      </c>
      <c r="H1603" s="1" t="s">
        <v>190</v>
      </c>
      <c r="K1603">
        <v>2014</v>
      </c>
      <c r="L1603" t="s">
        <v>36</v>
      </c>
      <c r="M1603" t="s">
        <v>73</v>
      </c>
      <c r="N1603" t="s">
        <v>14</v>
      </c>
      <c r="O1603" t="s">
        <v>188</v>
      </c>
      <c r="P1603" s="1" t="s">
        <v>33</v>
      </c>
      <c r="Q1603">
        <v>120.5</v>
      </c>
    </row>
    <row r="1604" spans="1:17" x14ac:dyDescent="0.3">
      <c r="A1604">
        <v>2017</v>
      </c>
      <c r="B1604" t="s">
        <v>42</v>
      </c>
      <c r="C1604" t="s">
        <v>113</v>
      </c>
      <c r="D1604" s="1" t="s">
        <v>29</v>
      </c>
      <c r="E1604" s="4">
        <v>137.6</v>
      </c>
      <c r="F1604" s="4">
        <v>135.19999999999999</v>
      </c>
      <c r="G1604" s="4">
        <v>132.4</v>
      </c>
      <c r="H1604" s="1" t="s">
        <v>206</v>
      </c>
      <c r="K1604">
        <v>2014</v>
      </c>
      <c r="L1604" t="s">
        <v>36</v>
      </c>
      <c r="M1604" t="s">
        <v>73</v>
      </c>
      <c r="N1604" t="s">
        <v>10</v>
      </c>
      <c r="O1604" t="s">
        <v>188</v>
      </c>
      <c r="P1604" s="1" t="s">
        <v>30</v>
      </c>
      <c r="Q1604">
        <v>110.2</v>
      </c>
    </row>
    <row r="1605" spans="1:17" x14ac:dyDescent="0.3">
      <c r="A1605">
        <v>2017</v>
      </c>
      <c r="B1605" t="s">
        <v>42</v>
      </c>
      <c r="C1605" t="s">
        <v>113</v>
      </c>
      <c r="D1605" s="1" t="s">
        <v>23</v>
      </c>
      <c r="E1605" s="4">
        <v>133.4</v>
      </c>
      <c r="F1605" s="4">
        <v>130.6</v>
      </c>
      <c r="G1605" s="4">
        <v>126.1</v>
      </c>
      <c r="H1605" s="1" t="s">
        <v>23</v>
      </c>
      <c r="K1605">
        <v>2014</v>
      </c>
      <c r="L1605" t="s">
        <v>36</v>
      </c>
      <c r="M1605" t="s">
        <v>73</v>
      </c>
      <c r="N1605" t="s">
        <v>10</v>
      </c>
      <c r="O1605" t="s">
        <v>188</v>
      </c>
      <c r="P1605" s="1" t="s">
        <v>34</v>
      </c>
      <c r="Q1605">
        <v>109.8</v>
      </c>
    </row>
    <row r="1606" spans="1:17" x14ac:dyDescent="0.3">
      <c r="A1606">
        <v>2017</v>
      </c>
      <c r="B1606" t="s">
        <v>42</v>
      </c>
      <c r="C1606" t="s">
        <v>113</v>
      </c>
      <c r="D1606" s="1" t="s">
        <v>22</v>
      </c>
      <c r="E1606" s="4">
        <v>137.9</v>
      </c>
      <c r="F1606" s="4">
        <v>133.30000000000001</v>
      </c>
      <c r="G1606" s="4">
        <v>128.1</v>
      </c>
      <c r="H1606" s="1" t="s">
        <v>20</v>
      </c>
      <c r="K1606">
        <v>2014</v>
      </c>
      <c r="L1606" t="s">
        <v>36</v>
      </c>
      <c r="M1606" t="s">
        <v>73</v>
      </c>
      <c r="N1606" t="s">
        <v>10</v>
      </c>
      <c r="O1606" t="s">
        <v>188</v>
      </c>
      <c r="P1606" s="1" t="s">
        <v>33</v>
      </c>
      <c r="Q1606">
        <v>108.9</v>
      </c>
    </row>
    <row r="1607" spans="1:17" x14ac:dyDescent="0.3">
      <c r="A1607">
        <v>2017</v>
      </c>
      <c r="B1607" t="s">
        <v>42</v>
      </c>
      <c r="C1607" t="s">
        <v>113</v>
      </c>
      <c r="D1607" s="1" t="s">
        <v>20</v>
      </c>
      <c r="E1607" s="4">
        <v>0</v>
      </c>
      <c r="F1607" s="4">
        <v>135.69999999999999</v>
      </c>
      <c r="G1607" s="4">
        <v>135.69999999999999</v>
      </c>
      <c r="H1607" s="1" t="s">
        <v>20</v>
      </c>
      <c r="K1607">
        <v>2014</v>
      </c>
      <c r="L1607" t="s">
        <v>36</v>
      </c>
      <c r="M1607" t="s">
        <v>73</v>
      </c>
      <c r="N1607" t="s">
        <v>25</v>
      </c>
      <c r="O1607" t="s">
        <v>195</v>
      </c>
      <c r="P1607" s="1" t="s">
        <v>30</v>
      </c>
      <c r="Q1607">
        <v>110.2</v>
      </c>
    </row>
    <row r="1608" spans="1:17" x14ac:dyDescent="0.3">
      <c r="A1608">
        <v>2017</v>
      </c>
      <c r="B1608" t="s">
        <v>42</v>
      </c>
      <c r="C1608" t="s">
        <v>113</v>
      </c>
      <c r="D1608" s="1" t="s">
        <v>4</v>
      </c>
      <c r="E1608" s="4">
        <v>142</v>
      </c>
      <c r="F1608" s="4">
        <v>142.4</v>
      </c>
      <c r="G1608" s="4">
        <v>143</v>
      </c>
      <c r="H1608" s="1" t="s">
        <v>188</v>
      </c>
      <c r="K1608">
        <v>2014</v>
      </c>
      <c r="L1608" t="s">
        <v>36</v>
      </c>
      <c r="M1608" t="s">
        <v>73</v>
      </c>
      <c r="N1608" t="s">
        <v>25</v>
      </c>
      <c r="O1608" t="s">
        <v>195</v>
      </c>
      <c r="P1608" s="1" t="s">
        <v>34</v>
      </c>
      <c r="Q1608">
        <v>110.6</v>
      </c>
    </row>
    <row r="1609" spans="1:17" x14ac:dyDescent="0.3">
      <c r="A1609">
        <v>2017</v>
      </c>
      <c r="B1609" t="s">
        <v>42</v>
      </c>
      <c r="C1609" t="s">
        <v>113</v>
      </c>
      <c r="D1609" s="1" t="s">
        <v>6</v>
      </c>
      <c r="E1609" s="4">
        <v>140.19999999999999</v>
      </c>
      <c r="F1609" s="4">
        <v>139.6</v>
      </c>
      <c r="G1609" s="4">
        <v>138.69999999999999</v>
      </c>
      <c r="H1609" s="1" t="s">
        <v>188</v>
      </c>
      <c r="K1609">
        <v>2014</v>
      </c>
      <c r="L1609" t="s">
        <v>36</v>
      </c>
      <c r="M1609" t="s">
        <v>73</v>
      </c>
      <c r="N1609" t="s">
        <v>25</v>
      </c>
      <c r="O1609" t="s">
        <v>195</v>
      </c>
      <c r="P1609" s="1" t="s">
        <v>33</v>
      </c>
      <c r="Q1609">
        <v>110.9</v>
      </c>
    </row>
    <row r="1610" spans="1:17" x14ac:dyDescent="0.3">
      <c r="A1610">
        <v>2017</v>
      </c>
      <c r="B1610" t="s">
        <v>42</v>
      </c>
      <c r="C1610" t="s">
        <v>113</v>
      </c>
      <c r="D1610" s="1" t="s">
        <v>28</v>
      </c>
      <c r="E1610" s="4">
        <v>130.30000000000001</v>
      </c>
      <c r="F1610" s="4">
        <v>127.5</v>
      </c>
      <c r="G1610" s="4">
        <v>124.5</v>
      </c>
      <c r="H1610" s="1" t="s">
        <v>192</v>
      </c>
      <c r="K1610">
        <v>2014</v>
      </c>
      <c r="L1610" t="s">
        <v>36</v>
      </c>
      <c r="M1610" t="s">
        <v>73</v>
      </c>
      <c r="N1610" t="s">
        <v>12</v>
      </c>
      <c r="O1610" t="s">
        <v>188</v>
      </c>
      <c r="P1610" s="1" t="s">
        <v>30</v>
      </c>
      <c r="Q1610">
        <v>110.7</v>
      </c>
    </row>
    <row r="1611" spans="1:17" x14ac:dyDescent="0.3">
      <c r="A1611">
        <v>2017</v>
      </c>
      <c r="B1611" t="s">
        <v>42</v>
      </c>
      <c r="C1611" t="s">
        <v>113</v>
      </c>
      <c r="D1611" s="1" t="s">
        <v>13</v>
      </c>
      <c r="E1611" s="4">
        <v>131.69999999999999</v>
      </c>
      <c r="F1611" s="4">
        <v>128.80000000000001</v>
      </c>
      <c r="G1611" s="4">
        <v>124.8</v>
      </c>
      <c r="H1611" s="1" t="s">
        <v>188</v>
      </c>
      <c r="K1611">
        <v>2014</v>
      </c>
      <c r="L1611" t="s">
        <v>36</v>
      </c>
      <c r="M1611" t="s">
        <v>73</v>
      </c>
      <c r="N1611" t="s">
        <v>12</v>
      </c>
      <c r="O1611" t="s">
        <v>188</v>
      </c>
      <c r="P1611" s="1" t="s">
        <v>34</v>
      </c>
      <c r="Q1611">
        <v>111.8</v>
      </c>
    </row>
    <row r="1612" spans="1:17" x14ac:dyDescent="0.3">
      <c r="A1612">
        <v>2017</v>
      </c>
      <c r="B1612" t="s">
        <v>42</v>
      </c>
      <c r="C1612" t="s">
        <v>113</v>
      </c>
      <c r="D1612" s="1" t="s">
        <v>7</v>
      </c>
      <c r="E1612" s="4">
        <v>120.7</v>
      </c>
      <c r="F1612" s="4">
        <v>118.4</v>
      </c>
      <c r="G1612" s="4">
        <v>114.5</v>
      </c>
      <c r="H1612" s="1" t="s">
        <v>188</v>
      </c>
      <c r="K1612">
        <v>2014</v>
      </c>
      <c r="L1612" t="s">
        <v>36</v>
      </c>
      <c r="M1612" t="s">
        <v>73</v>
      </c>
      <c r="N1612" t="s">
        <v>12</v>
      </c>
      <c r="O1612" t="s">
        <v>188</v>
      </c>
      <c r="P1612" s="1" t="s">
        <v>33</v>
      </c>
      <c r="Q1612">
        <v>114.1</v>
      </c>
    </row>
    <row r="1613" spans="1:17" x14ac:dyDescent="0.3">
      <c r="A1613">
        <v>2017</v>
      </c>
      <c r="B1613" t="s">
        <v>42</v>
      </c>
      <c r="C1613" t="s">
        <v>113</v>
      </c>
      <c r="D1613" s="1" t="s">
        <v>16</v>
      </c>
      <c r="E1613" s="4">
        <v>149.80000000000001</v>
      </c>
      <c r="F1613" s="4">
        <v>150.80000000000001</v>
      </c>
      <c r="G1613" s="4">
        <v>153.6</v>
      </c>
      <c r="H1613" s="1" t="s">
        <v>192</v>
      </c>
      <c r="K1613">
        <v>2014</v>
      </c>
      <c r="L1613" t="s">
        <v>36</v>
      </c>
      <c r="M1613" t="s">
        <v>73</v>
      </c>
      <c r="N1613" t="s">
        <v>11</v>
      </c>
      <c r="O1613" t="s">
        <v>188</v>
      </c>
      <c r="P1613" s="1" t="s">
        <v>30</v>
      </c>
      <c r="Q1613">
        <v>101.2</v>
      </c>
    </row>
    <row r="1614" spans="1:17" x14ac:dyDescent="0.3">
      <c r="A1614">
        <v>2017</v>
      </c>
      <c r="B1614" t="s">
        <v>42</v>
      </c>
      <c r="C1614" t="s">
        <v>113</v>
      </c>
      <c r="D1614" s="1" t="s">
        <v>27</v>
      </c>
      <c r="E1614" s="4">
        <v>126.7</v>
      </c>
      <c r="F1614" s="4">
        <v>125.7</v>
      </c>
      <c r="G1614" s="4">
        <v>124.4</v>
      </c>
      <c r="H1614" s="1" t="s">
        <v>192</v>
      </c>
      <c r="K1614">
        <v>2014</v>
      </c>
      <c r="L1614" t="s">
        <v>36</v>
      </c>
      <c r="M1614" t="s">
        <v>73</v>
      </c>
      <c r="N1614" t="s">
        <v>11</v>
      </c>
      <c r="O1614" t="s">
        <v>188</v>
      </c>
      <c r="P1614" s="1" t="s">
        <v>34</v>
      </c>
      <c r="Q1614">
        <v>99.6</v>
      </c>
    </row>
    <row r="1615" spans="1:17" x14ac:dyDescent="0.3">
      <c r="A1615">
        <v>2017</v>
      </c>
      <c r="B1615" t="s">
        <v>42</v>
      </c>
      <c r="C1615" t="s">
        <v>113</v>
      </c>
      <c r="D1615" s="1" t="s">
        <v>14</v>
      </c>
      <c r="E1615" s="4">
        <v>149.30000000000001</v>
      </c>
      <c r="F1615" s="4">
        <v>147.30000000000001</v>
      </c>
      <c r="G1615" s="4">
        <v>145</v>
      </c>
      <c r="H1615" s="1" t="s">
        <v>188</v>
      </c>
      <c r="K1615">
        <v>2014</v>
      </c>
      <c r="L1615" t="s">
        <v>36</v>
      </c>
      <c r="M1615" t="s">
        <v>73</v>
      </c>
      <c r="N1615" t="s">
        <v>11</v>
      </c>
      <c r="O1615" t="s">
        <v>188</v>
      </c>
      <c r="P1615" s="1" t="s">
        <v>33</v>
      </c>
      <c r="Q1615">
        <v>96.3</v>
      </c>
    </row>
    <row r="1616" spans="1:17" x14ac:dyDescent="0.3">
      <c r="A1616">
        <v>2017</v>
      </c>
      <c r="B1616" t="s">
        <v>42</v>
      </c>
      <c r="C1616" t="s">
        <v>113</v>
      </c>
      <c r="D1616" s="1" t="s">
        <v>10</v>
      </c>
      <c r="E1616" s="4">
        <v>137.1</v>
      </c>
      <c r="F1616" s="4">
        <v>132.9</v>
      </c>
      <c r="G1616" s="4">
        <v>124.5</v>
      </c>
      <c r="H1616" s="1" t="s">
        <v>188</v>
      </c>
      <c r="K1616">
        <v>2014</v>
      </c>
      <c r="L1616" t="s">
        <v>36</v>
      </c>
      <c r="M1616" t="s">
        <v>73</v>
      </c>
      <c r="N1616" t="s">
        <v>24</v>
      </c>
      <c r="O1616" t="s">
        <v>191</v>
      </c>
      <c r="P1616" s="1" t="s">
        <v>30</v>
      </c>
      <c r="Q1616">
        <v>111.2</v>
      </c>
    </row>
    <row r="1617" spans="1:17" x14ac:dyDescent="0.3">
      <c r="A1617">
        <v>2017</v>
      </c>
      <c r="B1617" t="s">
        <v>42</v>
      </c>
      <c r="C1617" t="s">
        <v>113</v>
      </c>
      <c r="D1617" s="1" t="s">
        <v>25</v>
      </c>
      <c r="E1617" s="4">
        <v>132.30000000000001</v>
      </c>
      <c r="F1617" s="4">
        <v>127.9</v>
      </c>
      <c r="G1617" s="4">
        <v>124.5</v>
      </c>
      <c r="H1617" s="1" t="s">
        <v>195</v>
      </c>
      <c r="K1617">
        <v>2014</v>
      </c>
      <c r="L1617" t="s">
        <v>36</v>
      </c>
      <c r="M1617" t="s">
        <v>73</v>
      </c>
      <c r="N1617" t="s">
        <v>24</v>
      </c>
      <c r="O1617" t="s">
        <v>191</v>
      </c>
      <c r="P1617" s="1" t="s">
        <v>34</v>
      </c>
      <c r="Q1617">
        <v>111.4</v>
      </c>
    </row>
    <row r="1618" spans="1:17" x14ac:dyDescent="0.3">
      <c r="A1618">
        <v>2017</v>
      </c>
      <c r="B1618" t="s">
        <v>42</v>
      </c>
      <c r="C1618" t="s">
        <v>113</v>
      </c>
      <c r="D1618" s="1" t="s">
        <v>12</v>
      </c>
      <c r="E1618" s="4">
        <v>134.69999999999999</v>
      </c>
      <c r="F1618" s="4">
        <v>135.6</v>
      </c>
      <c r="G1618" s="4">
        <v>137.30000000000001</v>
      </c>
      <c r="H1618" s="1" t="s">
        <v>188</v>
      </c>
      <c r="K1618">
        <v>2014</v>
      </c>
      <c r="L1618" t="s">
        <v>36</v>
      </c>
      <c r="M1618" t="s">
        <v>73</v>
      </c>
      <c r="N1618" t="s">
        <v>24</v>
      </c>
      <c r="O1618" t="s">
        <v>191</v>
      </c>
      <c r="P1618" s="1" t="s">
        <v>33</v>
      </c>
      <c r="Q1618">
        <v>111.6</v>
      </c>
    </row>
    <row r="1619" spans="1:17" x14ac:dyDescent="0.3">
      <c r="A1619">
        <v>2017</v>
      </c>
      <c r="B1619" t="s">
        <v>42</v>
      </c>
      <c r="C1619" t="s">
        <v>113</v>
      </c>
      <c r="D1619" s="1" t="s">
        <v>11</v>
      </c>
      <c r="E1619" s="4">
        <v>121</v>
      </c>
      <c r="F1619" s="4">
        <v>121.5</v>
      </c>
      <c r="G1619" s="4">
        <v>122.4</v>
      </c>
      <c r="H1619" s="1" t="s">
        <v>188</v>
      </c>
      <c r="K1619">
        <v>2014</v>
      </c>
      <c r="L1619" t="s">
        <v>36</v>
      </c>
      <c r="M1619" t="s">
        <v>73</v>
      </c>
      <c r="N1619" t="s">
        <v>9</v>
      </c>
      <c r="O1619" t="s">
        <v>188</v>
      </c>
      <c r="P1619" s="1" t="s">
        <v>30</v>
      </c>
      <c r="Q1619">
        <v>117.9</v>
      </c>
    </row>
    <row r="1620" spans="1:17" x14ac:dyDescent="0.3">
      <c r="A1620">
        <v>2017</v>
      </c>
      <c r="B1620" t="s">
        <v>42</v>
      </c>
      <c r="C1620" t="s">
        <v>113</v>
      </c>
      <c r="D1620" s="1" t="s">
        <v>24</v>
      </c>
      <c r="E1620" s="4">
        <v>121.2</v>
      </c>
      <c r="F1620" s="4">
        <v>118.3</v>
      </c>
      <c r="G1620" s="4">
        <v>115.7</v>
      </c>
      <c r="H1620" s="1" t="s">
        <v>191</v>
      </c>
      <c r="K1620">
        <v>2014</v>
      </c>
      <c r="L1620" t="s">
        <v>36</v>
      </c>
      <c r="M1620" t="s">
        <v>73</v>
      </c>
      <c r="N1620" t="s">
        <v>9</v>
      </c>
      <c r="O1620" t="s">
        <v>188</v>
      </c>
      <c r="P1620" s="1" t="s">
        <v>34</v>
      </c>
      <c r="Q1620">
        <v>116.3</v>
      </c>
    </row>
    <row r="1621" spans="1:17" x14ac:dyDescent="0.3">
      <c r="A1621">
        <v>2017</v>
      </c>
      <c r="B1621" t="s">
        <v>42</v>
      </c>
      <c r="C1621" t="s">
        <v>113</v>
      </c>
      <c r="D1621" s="1" t="s">
        <v>9</v>
      </c>
      <c r="E1621" s="4">
        <v>154.5</v>
      </c>
      <c r="F1621" s="4">
        <v>156.6</v>
      </c>
      <c r="G1621" s="4">
        <v>160.69999999999999</v>
      </c>
      <c r="H1621" s="1" t="s">
        <v>188</v>
      </c>
      <c r="K1621">
        <v>2014</v>
      </c>
      <c r="L1621" t="s">
        <v>36</v>
      </c>
      <c r="M1621" t="s">
        <v>73</v>
      </c>
      <c r="N1621" t="s">
        <v>9</v>
      </c>
      <c r="O1621" t="s">
        <v>188</v>
      </c>
      <c r="P1621" s="1" t="s">
        <v>33</v>
      </c>
      <c r="Q1621">
        <v>113.3</v>
      </c>
    </row>
    <row r="1622" spans="1:17" x14ac:dyDescent="0.3">
      <c r="A1622">
        <v>2018</v>
      </c>
      <c r="B1622" t="s">
        <v>37</v>
      </c>
      <c r="C1622" t="s">
        <v>114</v>
      </c>
      <c r="D1622" s="1" t="s">
        <v>3</v>
      </c>
      <c r="E1622" s="4">
        <v>137.1</v>
      </c>
      <c r="F1622" s="4">
        <v>136.4</v>
      </c>
      <c r="G1622" s="4">
        <v>135</v>
      </c>
      <c r="H1622" s="1" t="s">
        <v>188</v>
      </c>
      <c r="K1622">
        <v>2014</v>
      </c>
      <c r="L1622" t="s">
        <v>38</v>
      </c>
      <c r="M1622" t="s">
        <v>74</v>
      </c>
      <c r="N1622" t="s">
        <v>3</v>
      </c>
      <c r="O1622" t="s">
        <v>188</v>
      </c>
      <c r="P1622" s="1" t="s">
        <v>30</v>
      </c>
      <c r="Q1622">
        <v>120.3</v>
      </c>
    </row>
    <row r="1623" spans="1:17" x14ac:dyDescent="0.3">
      <c r="A1623">
        <v>2018</v>
      </c>
      <c r="B1623" t="s">
        <v>37</v>
      </c>
      <c r="C1623" t="s">
        <v>114</v>
      </c>
      <c r="D1623" s="1" t="s">
        <v>17</v>
      </c>
      <c r="E1623" s="4">
        <v>150.1</v>
      </c>
      <c r="F1623" s="4">
        <v>145.30000000000001</v>
      </c>
      <c r="G1623" s="4">
        <v>137.80000000000001</v>
      </c>
      <c r="H1623" s="1" t="s">
        <v>189</v>
      </c>
      <c r="K1623">
        <v>2014</v>
      </c>
      <c r="L1623" t="s">
        <v>38</v>
      </c>
      <c r="M1623" t="s">
        <v>74</v>
      </c>
      <c r="N1623" t="s">
        <v>3</v>
      </c>
      <c r="O1623" t="s">
        <v>188</v>
      </c>
      <c r="P1623" s="1" t="s">
        <v>34</v>
      </c>
      <c r="Q1623">
        <v>121.1</v>
      </c>
    </row>
    <row r="1624" spans="1:17" x14ac:dyDescent="0.3">
      <c r="A1624">
        <v>2018</v>
      </c>
      <c r="B1624" t="s">
        <v>37</v>
      </c>
      <c r="C1624" t="s">
        <v>114</v>
      </c>
      <c r="D1624" s="1" t="s">
        <v>19</v>
      </c>
      <c r="E1624" s="4">
        <v>149.1</v>
      </c>
      <c r="F1624" s="4">
        <v>144</v>
      </c>
      <c r="G1624" s="4">
        <v>136.19999999999999</v>
      </c>
      <c r="H1624" s="1" t="s">
        <v>189</v>
      </c>
      <c r="K1624">
        <v>2014</v>
      </c>
      <c r="L1624" t="s">
        <v>38</v>
      </c>
      <c r="M1624" t="s">
        <v>74</v>
      </c>
      <c r="N1624" t="s">
        <v>3</v>
      </c>
      <c r="O1624" t="s">
        <v>188</v>
      </c>
      <c r="P1624" s="1" t="s">
        <v>33</v>
      </c>
      <c r="Q1624">
        <v>122.7</v>
      </c>
    </row>
    <row r="1625" spans="1:17" x14ac:dyDescent="0.3">
      <c r="A1625">
        <v>2018</v>
      </c>
      <c r="B1625" t="s">
        <v>37</v>
      </c>
      <c r="C1625" t="s">
        <v>114</v>
      </c>
      <c r="D1625" s="1" t="s">
        <v>26</v>
      </c>
      <c r="E1625" s="4">
        <v>143.69999999999999</v>
      </c>
      <c r="F1625" s="4">
        <v>141.4</v>
      </c>
      <c r="G1625" s="4">
        <v>139.69999999999999</v>
      </c>
      <c r="H1625" s="1" t="s">
        <v>26</v>
      </c>
      <c r="K1625">
        <v>2014</v>
      </c>
      <c r="L1625" t="s">
        <v>38</v>
      </c>
      <c r="M1625" t="s">
        <v>74</v>
      </c>
      <c r="N1625" t="s">
        <v>17</v>
      </c>
      <c r="O1625" t="s">
        <v>189</v>
      </c>
      <c r="P1625" s="1" t="s">
        <v>30</v>
      </c>
      <c r="Q1625">
        <v>118.7</v>
      </c>
    </row>
    <row r="1626" spans="1:17" x14ac:dyDescent="0.3">
      <c r="A1626">
        <v>2018</v>
      </c>
      <c r="B1626" t="s">
        <v>37</v>
      </c>
      <c r="C1626" t="s">
        <v>114</v>
      </c>
      <c r="D1626" s="1" t="s">
        <v>5</v>
      </c>
      <c r="E1626" s="4">
        <v>135.9</v>
      </c>
      <c r="F1626" s="4">
        <v>133.9</v>
      </c>
      <c r="G1626" s="4">
        <v>130.80000000000001</v>
      </c>
      <c r="H1626" s="1" t="s">
        <v>188</v>
      </c>
      <c r="K1626">
        <v>2014</v>
      </c>
      <c r="L1626" t="s">
        <v>38</v>
      </c>
      <c r="M1626" t="s">
        <v>74</v>
      </c>
      <c r="N1626" t="s">
        <v>17</v>
      </c>
      <c r="O1626" t="s">
        <v>189</v>
      </c>
      <c r="P1626" s="1" t="s">
        <v>34</v>
      </c>
      <c r="Q1626">
        <v>118</v>
      </c>
    </row>
    <row r="1627" spans="1:17" x14ac:dyDescent="0.3">
      <c r="A1627">
        <v>2018</v>
      </c>
      <c r="B1627" t="s">
        <v>37</v>
      </c>
      <c r="C1627" t="s">
        <v>114</v>
      </c>
      <c r="D1627" s="1" t="s">
        <v>15</v>
      </c>
      <c r="E1627" s="4">
        <v>138.6</v>
      </c>
      <c r="F1627" s="4">
        <v>137.5</v>
      </c>
      <c r="G1627" s="4">
        <v>135.69999999999999</v>
      </c>
      <c r="H1627" s="1" t="s">
        <v>188</v>
      </c>
      <c r="K1627">
        <v>2014</v>
      </c>
      <c r="L1627" t="s">
        <v>38</v>
      </c>
      <c r="M1627" t="s">
        <v>74</v>
      </c>
      <c r="N1627" t="s">
        <v>17</v>
      </c>
      <c r="O1627" t="s">
        <v>189</v>
      </c>
      <c r="P1627" s="1" t="s">
        <v>33</v>
      </c>
      <c r="Q1627">
        <v>116.8</v>
      </c>
    </row>
    <row r="1628" spans="1:17" x14ac:dyDescent="0.3">
      <c r="A1628">
        <v>2018</v>
      </c>
      <c r="B1628" t="s">
        <v>37</v>
      </c>
      <c r="C1628" t="s">
        <v>114</v>
      </c>
      <c r="D1628" s="1" t="s">
        <v>18</v>
      </c>
      <c r="E1628" s="4">
        <v>143.30000000000001</v>
      </c>
      <c r="F1628" s="4">
        <v>136.69999999999999</v>
      </c>
      <c r="G1628" s="4">
        <v>127.4</v>
      </c>
      <c r="H1628" s="1" t="s">
        <v>189</v>
      </c>
      <c r="K1628">
        <v>2014</v>
      </c>
      <c r="L1628" t="s">
        <v>38</v>
      </c>
      <c r="M1628" t="s">
        <v>74</v>
      </c>
      <c r="N1628" t="s">
        <v>19</v>
      </c>
      <c r="O1628" t="s">
        <v>189</v>
      </c>
      <c r="P1628" s="1" t="s">
        <v>30</v>
      </c>
      <c r="Q1628">
        <v>118.5</v>
      </c>
    </row>
    <row r="1629" spans="1:17" x14ac:dyDescent="0.3">
      <c r="A1629">
        <v>2018</v>
      </c>
      <c r="B1629" t="s">
        <v>37</v>
      </c>
      <c r="C1629" t="s">
        <v>114</v>
      </c>
      <c r="D1629" s="1" t="s">
        <v>8</v>
      </c>
      <c r="E1629" s="4">
        <v>156.4</v>
      </c>
      <c r="F1629" s="4">
        <v>153.5</v>
      </c>
      <c r="G1629" s="4">
        <v>150.1</v>
      </c>
      <c r="H1629" s="1" t="s">
        <v>188</v>
      </c>
      <c r="K1629">
        <v>2014</v>
      </c>
      <c r="L1629" t="s">
        <v>38</v>
      </c>
      <c r="M1629" t="s">
        <v>74</v>
      </c>
      <c r="N1629" t="s">
        <v>19</v>
      </c>
      <c r="O1629" t="s">
        <v>189</v>
      </c>
      <c r="P1629" s="1" t="s">
        <v>34</v>
      </c>
      <c r="Q1629">
        <v>117.6</v>
      </c>
    </row>
    <row r="1630" spans="1:17" x14ac:dyDescent="0.3">
      <c r="A1630">
        <v>2018</v>
      </c>
      <c r="B1630" t="s">
        <v>37</v>
      </c>
      <c r="C1630" t="s">
        <v>114</v>
      </c>
      <c r="D1630" s="1" t="s">
        <v>21</v>
      </c>
      <c r="E1630" s="4">
        <v>143.80000000000001</v>
      </c>
      <c r="F1630" s="4">
        <v>136.5</v>
      </c>
      <c r="G1630" s="4">
        <v>124.6</v>
      </c>
      <c r="H1630" s="1" t="s">
        <v>190</v>
      </c>
      <c r="K1630">
        <v>2014</v>
      </c>
      <c r="L1630" t="s">
        <v>38</v>
      </c>
      <c r="M1630" t="s">
        <v>74</v>
      </c>
      <c r="N1630" t="s">
        <v>19</v>
      </c>
      <c r="O1630" t="s">
        <v>189</v>
      </c>
      <c r="P1630" s="1" t="s">
        <v>33</v>
      </c>
      <c r="Q1630">
        <v>116.2</v>
      </c>
    </row>
    <row r="1631" spans="1:17" x14ac:dyDescent="0.3">
      <c r="A1631">
        <v>2018</v>
      </c>
      <c r="B1631" t="s">
        <v>37</v>
      </c>
      <c r="C1631" t="s">
        <v>114</v>
      </c>
      <c r="D1631" s="1" t="s">
        <v>29</v>
      </c>
      <c r="E1631" s="4">
        <v>139.1</v>
      </c>
      <c r="F1631" s="4">
        <v>137.1</v>
      </c>
      <c r="G1631" s="4">
        <v>134.80000000000001</v>
      </c>
      <c r="H1631" s="1" t="s">
        <v>206</v>
      </c>
      <c r="K1631">
        <v>2014</v>
      </c>
      <c r="L1631" t="s">
        <v>38</v>
      </c>
      <c r="M1631" t="s">
        <v>74</v>
      </c>
      <c r="N1631" t="s">
        <v>26</v>
      </c>
      <c r="O1631" t="s">
        <v>26</v>
      </c>
      <c r="P1631" s="1" t="s">
        <v>30</v>
      </c>
      <c r="Q1631">
        <v>113.1</v>
      </c>
    </row>
    <row r="1632" spans="1:17" x14ac:dyDescent="0.3">
      <c r="A1632">
        <v>2018</v>
      </c>
      <c r="B1632" t="s">
        <v>37</v>
      </c>
      <c r="C1632" t="s">
        <v>114</v>
      </c>
      <c r="D1632" s="1" t="s">
        <v>23</v>
      </c>
      <c r="E1632" s="4">
        <v>137.6</v>
      </c>
      <c r="F1632" s="4">
        <v>135.19999999999999</v>
      </c>
      <c r="G1632" s="4">
        <v>131.30000000000001</v>
      </c>
      <c r="H1632" s="1" t="s">
        <v>23</v>
      </c>
      <c r="K1632">
        <v>2014</v>
      </c>
      <c r="L1632" t="s">
        <v>38</v>
      </c>
      <c r="M1632" t="s">
        <v>74</v>
      </c>
      <c r="N1632" t="s">
        <v>26</v>
      </c>
      <c r="O1632" t="s">
        <v>26</v>
      </c>
      <c r="P1632" s="1" t="s">
        <v>34</v>
      </c>
      <c r="Q1632">
        <v>113</v>
      </c>
    </row>
    <row r="1633" spans="1:17" x14ac:dyDescent="0.3">
      <c r="A1633">
        <v>2018</v>
      </c>
      <c r="B1633" t="s">
        <v>37</v>
      </c>
      <c r="C1633" t="s">
        <v>114</v>
      </c>
      <c r="D1633" s="1" t="s">
        <v>22</v>
      </c>
      <c r="E1633" s="4">
        <v>140.9</v>
      </c>
      <c r="F1633" s="4">
        <v>136.6</v>
      </c>
      <c r="G1633" s="4">
        <v>131.80000000000001</v>
      </c>
      <c r="H1633" s="1" t="s">
        <v>20</v>
      </c>
      <c r="K1633">
        <v>2014</v>
      </c>
      <c r="L1633" t="s">
        <v>38</v>
      </c>
      <c r="M1633" t="s">
        <v>74</v>
      </c>
      <c r="N1633" t="s">
        <v>26</v>
      </c>
      <c r="O1633" t="s">
        <v>26</v>
      </c>
      <c r="P1633" s="1" t="s">
        <v>33</v>
      </c>
      <c r="Q1633">
        <v>112.9</v>
      </c>
    </row>
    <row r="1634" spans="1:17" x14ac:dyDescent="0.3">
      <c r="A1634">
        <v>2018</v>
      </c>
      <c r="B1634" t="s">
        <v>37</v>
      </c>
      <c r="C1634" t="s">
        <v>114</v>
      </c>
      <c r="D1634" s="1" t="s">
        <v>20</v>
      </c>
      <c r="E1634" s="4">
        <v>0</v>
      </c>
      <c r="F1634" s="4">
        <v>142.9</v>
      </c>
      <c r="G1634" s="4">
        <v>142.9</v>
      </c>
      <c r="H1634" s="1" t="s">
        <v>20</v>
      </c>
      <c r="K1634">
        <v>2014</v>
      </c>
      <c r="L1634" t="s">
        <v>38</v>
      </c>
      <c r="M1634" t="s">
        <v>74</v>
      </c>
      <c r="N1634" t="s">
        <v>5</v>
      </c>
      <c r="O1634" t="s">
        <v>188</v>
      </c>
      <c r="P1634" s="1" t="s">
        <v>30</v>
      </c>
      <c r="Q1634">
        <v>116.9</v>
      </c>
    </row>
    <row r="1635" spans="1:17" x14ac:dyDescent="0.3">
      <c r="A1635">
        <v>2018</v>
      </c>
      <c r="B1635" t="s">
        <v>37</v>
      </c>
      <c r="C1635" t="s">
        <v>114</v>
      </c>
      <c r="D1635" s="1" t="s">
        <v>4</v>
      </c>
      <c r="E1635" s="4">
        <v>144.5</v>
      </c>
      <c r="F1635" s="4">
        <v>144.4</v>
      </c>
      <c r="G1635" s="4">
        <v>144.30000000000001</v>
      </c>
      <c r="H1635" s="1" t="s">
        <v>188</v>
      </c>
      <c r="K1635">
        <v>2014</v>
      </c>
      <c r="L1635" t="s">
        <v>38</v>
      </c>
      <c r="M1635" t="s">
        <v>74</v>
      </c>
      <c r="N1635" t="s">
        <v>5</v>
      </c>
      <c r="O1635" t="s">
        <v>188</v>
      </c>
      <c r="P1635" s="1" t="s">
        <v>34</v>
      </c>
      <c r="Q1635">
        <v>115.9</v>
      </c>
    </row>
    <row r="1636" spans="1:17" x14ac:dyDescent="0.3">
      <c r="A1636">
        <v>2018</v>
      </c>
      <c r="B1636" t="s">
        <v>37</v>
      </c>
      <c r="C1636" t="s">
        <v>114</v>
      </c>
      <c r="D1636" s="1" t="s">
        <v>6</v>
      </c>
      <c r="E1636" s="4">
        <v>142.4</v>
      </c>
      <c r="F1636" s="4">
        <v>141.6</v>
      </c>
      <c r="G1636" s="4">
        <v>140.30000000000001</v>
      </c>
      <c r="H1636" s="1" t="s">
        <v>188</v>
      </c>
      <c r="K1636">
        <v>2014</v>
      </c>
      <c r="L1636" t="s">
        <v>38</v>
      </c>
      <c r="M1636" t="s">
        <v>74</v>
      </c>
      <c r="N1636" t="s">
        <v>5</v>
      </c>
      <c r="O1636" t="s">
        <v>188</v>
      </c>
      <c r="P1636" s="1" t="s">
        <v>33</v>
      </c>
      <c r="Q1636">
        <v>114.2</v>
      </c>
    </row>
    <row r="1637" spans="1:17" x14ac:dyDescent="0.3">
      <c r="A1637">
        <v>2018</v>
      </c>
      <c r="B1637" t="s">
        <v>37</v>
      </c>
      <c r="C1637" t="s">
        <v>114</v>
      </c>
      <c r="D1637" s="1" t="s">
        <v>28</v>
      </c>
      <c r="E1637" s="4">
        <v>134.19999999999999</v>
      </c>
      <c r="F1637" s="4">
        <v>131.30000000000001</v>
      </c>
      <c r="G1637" s="4">
        <v>128.19999999999999</v>
      </c>
      <c r="H1637" s="1" t="s">
        <v>192</v>
      </c>
      <c r="K1637">
        <v>2014</v>
      </c>
      <c r="L1637" t="s">
        <v>38</v>
      </c>
      <c r="M1637" t="s">
        <v>74</v>
      </c>
      <c r="N1637" t="s">
        <v>15</v>
      </c>
      <c r="O1637" t="s">
        <v>188</v>
      </c>
      <c r="P1637" s="1" t="s">
        <v>30</v>
      </c>
      <c r="Q1637">
        <v>118.2</v>
      </c>
    </row>
    <row r="1638" spans="1:17" x14ac:dyDescent="0.3">
      <c r="A1638">
        <v>2018</v>
      </c>
      <c r="B1638" t="s">
        <v>37</v>
      </c>
      <c r="C1638" t="s">
        <v>114</v>
      </c>
      <c r="D1638" s="1" t="s">
        <v>13</v>
      </c>
      <c r="E1638" s="4">
        <v>131.9</v>
      </c>
      <c r="F1638" s="4">
        <v>129.6</v>
      </c>
      <c r="G1638" s="4">
        <v>126.5</v>
      </c>
      <c r="H1638" s="1" t="s">
        <v>188</v>
      </c>
      <c r="K1638">
        <v>2014</v>
      </c>
      <c r="L1638" t="s">
        <v>38</v>
      </c>
      <c r="M1638" t="s">
        <v>74</v>
      </c>
      <c r="N1638" t="s">
        <v>15</v>
      </c>
      <c r="O1638" t="s">
        <v>188</v>
      </c>
      <c r="P1638" s="1" t="s">
        <v>34</v>
      </c>
      <c r="Q1638">
        <v>118.9</v>
      </c>
    </row>
    <row r="1639" spans="1:17" x14ac:dyDescent="0.3">
      <c r="A1639">
        <v>2018</v>
      </c>
      <c r="B1639" t="s">
        <v>37</v>
      </c>
      <c r="C1639" t="s">
        <v>114</v>
      </c>
      <c r="D1639" s="1" t="s">
        <v>7</v>
      </c>
      <c r="E1639" s="4">
        <v>123.5</v>
      </c>
      <c r="F1639" s="4">
        <v>121</v>
      </c>
      <c r="G1639" s="4">
        <v>116.6</v>
      </c>
      <c r="H1639" s="1" t="s">
        <v>188</v>
      </c>
      <c r="K1639">
        <v>2014</v>
      </c>
      <c r="L1639" t="s">
        <v>38</v>
      </c>
      <c r="M1639" t="s">
        <v>74</v>
      </c>
      <c r="N1639" t="s">
        <v>15</v>
      </c>
      <c r="O1639" t="s">
        <v>188</v>
      </c>
      <c r="P1639" s="1" t="s">
        <v>33</v>
      </c>
      <c r="Q1639">
        <v>120</v>
      </c>
    </row>
    <row r="1640" spans="1:17" x14ac:dyDescent="0.3">
      <c r="A1640">
        <v>2018</v>
      </c>
      <c r="B1640" t="s">
        <v>37</v>
      </c>
      <c r="C1640" t="s">
        <v>114</v>
      </c>
      <c r="D1640" s="1" t="s">
        <v>16</v>
      </c>
      <c r="E1640" s="4">
        <v>156.1</v>
      </c>
      <c r="F1640" s="4">
        <v>156.9</v>
      </c>
      <c r="G1640" s="4">
        <v>159.19999999999999</v>
      </c>
      <c r="H1640" s="1" t="s">
        <v>192</v>
      </c>
      <c r="K1640">
        <v>2014</v>
      </c>
      <c r="L1640" t="s">
        <v>38</v>
      </c>
      <c r="M1640" t="s">
        <v>74</v>
      </c>
      <c r="N1640" t="s">
        <v>18</v>
      </c>
      <c r="O1640" t="s">
        <v>189</v>
      </c>
      <c r="P1640" s="1" t="s">
        <v>30</v>
      </c>
      <c r="Q1640">
        <v>116.8</v>
      </c>
    </row>
    <row r="1641" spans="1:17" x14ac:dyDescent="0.3">
      <c r="A1641">
        <v>2018</v>
      </c>
      <c r="B1641" t="s">
        <v>37</v>
      </c>
      <c r="C1641" t="s">
        <v>114</v>
      </c>
      <c r="D1641" s="1" t="s">
        <v>27</v>
      </c>
      <c r="E1641" s="4">
        <v>130.4</v>
      </c>
      <c r="F1641" s="4">
        <v>129.19999999999999</v>
      </c>
      <c r="G1641" s="4">
        <v>127.6</v>
      </c>
      <c r="H1641" s="1" t="s">
        <v>192</v>
      </c>
      <c r="K1641">
        <v>2014</v>
      </c>
      <c r="L1641" t="s">
        <v>38</v>
      </c>
      <c r="M1641" t="s">
        <v>74</v>
      </c>
      <c r="N1641" t="s">
        <v>18</v>
      </c>
      <c r="O1641" t="s">
        <v>189</v>
      </c>
      <c r="P1641" s="1" t="s">
        <v>34</v>
      </c>
      <c r="Q1641">
        <v>115.2</v>
      </c>
    </row>
    <row r="1642" spans="1:17" x14ac:dyDescent="0.3">
      <c r="A1642">
        <v>2018</v>
      </c>
      <c r="B1642" t="s">
        <v>37</v>
      </c>
      <c r="C1642" t="s">
        <v>114</v>
      </c>
      <c r="D1642" s="1" t="s">
        <v>14</v>
      </c>
      <c r="E1642" s="4">
        <v>153.80000000000001</v>
      </c>
      <c r="F1642" s="4">
        <v>151.19999999999999</v>
      </c>
      <c r="G1642" s="4">
        <v>148.30000000000001</v>
      </c>
      <c r="H1642" s="1" t="s">
        <v>188</v>
      </c>
      <c r="K1642">
        <v>2014</v>
      </c>
      <c r="L1642" t="s">
        <v>38</v>
      </c>
      <c r="M1642" t="s">
        <v>74</v>
      </c>
      <c r="N1642" t="s">
        <v>18</v>
      </c>
      <c r="O1642" t="s">
        <v>189</v>
      </c>
      <c r="P1642" s="1" t="s">
        <v>33</v>
      </c>
      <c r="Q1642">
        <v>112.9</v>
      </c>
    </row>
    <row r="1643" spans="1:17" x14ac:dyDescent="0.3">
      <c r="A1643">
        <v>2018</v>
      </c>
      <c r="B1643" t="s">
        <v>37</v>
      </c>
      <c r="C1643" t="s">
        <v>114</v>
      </c>
      <c r="D1643" s="1" t="s">
        <v>10</v>
      </c>
      <c r="E1643" s="4">
        <v>128.4</v>
      </c>
      <c r="F1643" s="4">
        <v>123.5</v>
      </c>
      <c r="G1643" s="4">
        <v>114</v>
      </c>
      <c r="H1643" s="1" t="s">
        <v>188</v>
      </c>
      <c r="K1643">
        <v>2014</v>
      </c>
      <c r="L1643" t="s">
        <v>38</v>
      </c>
      <c r="M1643" t="s">
        <v>74</v>
      </c>
      <c r="N1643" t="s">
        <v>8</v>
      </c>
      <c r="O1643" t="s">
        <v>188</v>
      </c>
      <c r="P1643" s="1" t="s">
        <v>30</v>
      </c>
      <c r="Q1643">
        <v>126.3</v>
      </c>
    </row>
    <row r="1644" spans="1:17" x14ac:dyDescent="0.3">
      <c r="A1644">
        <v>2018</v>
      </c>
      <c r="B1644" t="s">
        <v>37</v>
      </c>
      <c r="C1644" t="s">
        <v>114</v>
      </c>
      <c r="D1644" s="1" t="s">
        <v>25</v>
      </c>
      <c r="E1644" s="4">
        <v>136</v>
      </c>
      <c r="F1644" s="4">
        <v>131.30000000000001</v>
      </c>
      <c r="G1644" s="4">
        <v>127.6</v>
      </c>
      <c r="H1644" s="1" t="s">
        <v>195</v>
      </c>
      <c r="K1644">
        <v>2014</v>
      </c>
      <c r="L1644" t="s">
        <v>38</v>
      </c>
      <c r="M1644" t="s">
        <v>74</v>
      </c>
      <c r="N1644" t="s">
        <v>8</v>
      </c>
      <c r="O1644" t="s">
        <v>188</v>
      </c>
      <c r="P1644" s="1" t="s">
        <v>34</v>
      </c>
      <c r="Q1644">
        <v>127.7</v>
      </c>
    </row>
    <row r="1645" spans="1:17" x14ac:dyDescent="0.3">
      <c r="A1645">
        <v>2018</v>
      </c>
      <c r="B1645" t="s">
        <v>37</v>
      </c>
      <c r="C1645" t="s">
        <v>114</v>
      </c>
      <c r="D1645" s="1" t="s">
        <v>12</v>
      </c>
      <c r="E1645" s="4">
        <v>137.19999999999999</v>
      </c>
      <c r="F1645" s="4">
        <v>138.19999999999999</v>
      </c>
      <c r="G1645" s="4">
        <v>140.19999999999999</v>
      </c>
      <c r="H1645" s="1" t="s">
        <v>188</v>
      </c>
      <c r="K1645">
        <v>2014</v>
      </c>
      <c r="L1645" t="s">
        <v>38</v>
      </c>
      <c r="M1645" t="s">
        <v>74</v>
      </c>
      <c r="N1645" t="s">
        <v>8</v>
      </c>
      <c r="O1645" t="s">
        <v>188</v>
      </c>
      <c r="P1645" s="1" t="s">
        <v>33</v>
      </c>
      <c r="Q1645">
        <v>129.19999999999999</v>
      </c>
    </row>
    <row r="1646" spans="1:17" x14ac:dyDescent="0.3">
      <c r="A1646">
        <v>2018</v>
      </c>
      <c r="B1646" t="s">
        <v>37</v>
      </c>
      <c r="C1646" t="s">
        <v>114</v>
      </c>
      <c r="D1646" s="1" t="s">
        <v>11</v>
      </c>
      <c r="E1646" s="4">
        <v>115.2</v>
      </c>
      <c r="F1646" s="4">
        <v>113.7</v>
      </c>
      <c r="G1646" s="4">
        <v>110.6</v>
      </c>
      <c r="H1646" s="1" t="s">
        <v>188</v>
      </c>
      <c r="K1646">
        <v>2014</v>
      </c>
      <c r="L1646" t="s">
        <v>38</v>
      </c>
      <c r="M1646" t="s">
        <v>74</v>
      </c>
      <c r="N1646" t="s">
        <v>21</v>
      </c>
      <c r="O1646" t="s">
        <v>190</v>
      </c>
      <c r="P1646" s="1" t="s">
        <v>30</v>
      </c>
      <c r="Q1646">
        <v>113.4</v>
      </c>
    </row>
    <row r="1647" spans="1:17" x14ac:dyDescent="0.3">
      <c r="A1647">
        <v>2018</v>
      </c>
      <c r="B1647" t="s">
        <v>37</v>
      </c>
      <c r="C1647" t="s">
        <v>114</v>
      </c>
      <c r="D1647" s="1" t="s">
        <v>24</v>
      </c>
      <c r="E1647" s="4">
        <v>125.3</v>
      </c>
      <c r="F1647" s="4">
        <v>121.9</v>
      </c>
      <c r="G1647" s="4">
        <v>118.9</v>
      </c>
      <c r="H1647" s="1" t="s">
        <v>191</v>
      </c>
      <c r="K1647">
        <v>2014</v>
      </c>
      <c r="L1647" t="s">
        <v>38</v>
      </c>
      <c r="M1647" t="s">
        <v>74</v>
      </c>
      <c r="N1647" t="s">
        <v>21</v>
      </c>
      <c r="O1647" t="s">
        <v>190</v>
      </c>
      <c r="P1647" s="1" t="s">
        <v>34</v>
      </c>
      <c r="Q1647">
        <v>112.5</v>
      </c>
    </row>
    <row r="1648" spans="1:17" x14ac:dyDescent="0.3">
      <c r="A1648">
        <v>2018</v>
      </c>
      <c r="B1648" t="s">
        <v>37</v>
      </c>
      <c r="C1648" t="s">
        <v>114</v>
      </c>
      <c r="D1648" s="1" t="s">
        <v>9</v>
      </c>
      <c r="E1648" s="4">
        <v>135.1</v>
      </c>
      <c r="F1648" s="4">
        <v>132.6</v>
      </c>
      <c r="G1648" s="4">
        <v>127.6</v>
      </c>
      <c r="H1648" s="1" t="s">
        <v>188</v>
      </c>
      <c r="K1648">
        <v>2014</v>
      </c>
      <c r="L1648" t="s">
        <v>38</v>
      </c>
      <c r="M1648" t="s">
        <v>74</v>
      </c>
      <c r="N1648" t="s">
        <v>21</v>
      </c>
      <c r="O1648" t="s">
        <v>190</v>
      </c>
      <c r="P1648" s="1" t="s">
        <v>33</v>
      </c>
      <c r="Q1648">
        <v>111.1</v>
      </c>
    </row>
    <row r="1649" spans="1:17" x14ac:dyDescent="0.3">
      <c r="A1649">
        <v>2018</v>
      </c>
      <c r="B1649" t="s">
        <v>41</v>
      </c>
      <c r="C1649" t="s">
        <v>115</v>
      </c>
      <c r="D1649" s="1" t="s">
        <v>3</v>
      </c>
      <c r="E1649" s="4">
        <v>139.19999999999999</v>
      </c>
      <c r="F1649" s="4">
        <v>138.30000000000001</v>
      </c>
      <c r="G1649" s="4">
        <v>136.5</v>
      </c>
      <c r="H1649" s="1" t="s">
        <v>188</v>
      </c>
      <c r="K1649">
        <v>2014</v>
      </c>
      <c r="L1649" t="s">
        <v>38</v>
      </c>
      <c r="M1649" t="s">
        <v>74</v>
      </c>
      <c r="N1649" t="s">
        <v>29</v>
      </c>
      <c r="O1649" t="s">
        <v>206</v>
      </c>
      <c r="P1649" s="1" t="s">
        <v>30</v>
      </c>
      <c r="Q1649">
        <v>116</v>
      </c>
    </row>
    <row r="1650" spans="1:17" x14ac:dyDescent="0.3">
      <c r="A1650">
        <v>2018</v>
      </c>
      <c r="B1650" t="s">
        <v>41</v>
      </c>
      <c r="C1650" t="s">
        <v>115</v>
      </c>
      <c r="D1650" s="1" t="s">
        <v>17</v>
      </c>
      <c r="E1650" s="4">
        <v>152.1</v>
      </c>
      <c r="F1650" s="4">
        <v>147.30000000000001</v>
      </c>
      <c r="G1650" s="4">
        <v>140</v>
      </c>
      <c r="H1650" s="1" t="s">
        <v>189</v>
      </c>
      <c r="K1650">
        <v>2014</v>
      </c>
      <c r="L1650" t="s">
        <v>38</v>
      </c>
      <c r="M1650" t="s">
        <v>74</v>
      </c>
      <c r="N1650" t="s">
        <v>29</v>
      </c>
      <c r="O1650" t="s">
        <v>206</v>
      </c>
      <c r="P1650" s="1" t="s">
        <v>34</v>
      </c>
      <c r="Q1650">
        <v>115.8</v>
      </c>
    </row>
    <row r="1651" spans="1:17" x14ac:dyDescent="0.3">
      <c r="A1651">
        <v>2018</v>
      </c>
      <c r="B1651" t="s">
        <v>41</v>
      </c>
      <c r="C1651" t="s">
        <v>115</v>
      </c>
      <c r="D1651" s="1" t="s">
        <v>19</v>
      </c>
      <c r="E1651" s="4">
        <v>151.30000000000001</v>
      </c>
      <c r="F1651" s="4">
        <v>146.1</v>
      </c>
      <c r="G1651" s="4">
        <v>138.30000000000001</v>
      </c>
      <c r="H1651" s="1" t="s">
        <v>189</v>
      </c>
      <c r="K1651">
        <v>2014</v>
      </c>
      <c r="L1651" t="s">
        <v>38</v>
      </c>
      <c r="M1651" t="s">
        <v>74</v>
      </c>
      <c r="N1651" t="s">
        <v>29</v>
      </c>
      <c r="O1651" t="s">
        <v>206</v>
      </c>
      <c r="P1651" s="1" t="s">
        <v>33</v>
      </c>
      <c r="Q1651">
        <v>115.6</v>
      </c>
    </row>
    <row r="1652" spans="1:17" x14ac:dyDescent="0.3">
      <c r="A1652">
        <v>2018</v>
      </c>
      <c r="B1652" t="s">
        <v>41</v>
      </c>
      <c r="C1652" t="s">
        <v>115</v>
      </c>
      <c r="D1652" s="1" t="s">
        <v>26</v>
      </c>
      <c r="E1652" s="4">
        <v>146.9</v>
      </c>
      <c r="F1652" s="4">
        <v>146</v>
      </c>
      <c r="G1652" s="4">
        <v>145.30000000000001</v>
      </c>
      <c r="H1652" s="1" t="s">
        <v>26</v>
      </c>
      <c r="K1652">
        <v>2014</v>
      </c>
      <c r="L1652" t="s">
        <v>38</v>
      </c>
      <c r="M1652" t="s">
        <v>74</v>
      </c>
      <c r="N1652" t="s">
        <v>23</v>
      </c>
      <c r="O1652" t="s">
        <v>23</v>
      </c>
      <c r="P1652" s="1" t="s">
        <v>30</v>
      </c>
      <c r="Q1652">
        <v>112.1</v>
      </c>
    </row>
    <row r="1653" spans="1:17" x14ac:dyDescent="0.3">
      <c r="A1653">
        <v>2018</v>
      </c>
      <c r="B1653" t="s">
        <v>41</v>
      </c>
      <c r="C1653" t="s">
        <v>115</v>
      </c>
      <c r="D1653" s="1" t="s">
        <v>5</v>
      </c>
      <c r="E1653" s="4">
        <v>139.1</v>
      </c>
      <c r="F1653" s="4">
        <v>138.1</v>
      </c>
      <c r="G1653" s="4">
        <v>136.6</v>
      </c>
      <c r="H1653" s="1" t="s">
        <v>188</v>
      </c>
      <c r="K1653">
        <v>2014</v>
      </c>
      <c r="L1653" t="s">
        <v>38</v>
      </c>
      <c r="M1653" t="s">
        <v>74</v>
      </c>
      <c r="N1653" t="s">
        <v>23</v>
      </c>
      <c r="O1653" t="s">
        <v>23</v>
      </c>
      <c r="P1653" s="1" t="s">
        <v>34</v>
      </c>
      <c r="Q1653">
        <v>111.8</v>
      </c>
    </row>
    <row r="1654" spans="1:17" x14ac:dyDescent="0.3">
      <c r="A1654">
        <v>2018</v>
      </c>
      <c r="B1654" t="s">
        <v>41</v>
      </c>
      <c r="C1654" t="s">
        <v>115</v>
      </c>
      <c r="D1654" s="1" t="s">
        <v>15</v>
      </c>
      <c r="E1654" s="4">
        <v>142.69999999999999</v>
      </c>
      <c r="F1654" s="4">
        <v>141.69999999999999</v>
      </c>
      <c r="G1654" s="4">
        <v>140.1</v>
      </c>
      <c r="H1654" s="1" t="s">
        <v>188</v>
      </c>
      <c r="K1654">
        <v>2014</v>
      </c>
      <c r="L1654" t="s">
        <v>38</v>
      </c>
      <c r="M1654" t="s">
        <v>74</v>
      </c>
      <c r="N1654" t="s">
        <v>23</v>
      </c>
      <c r="O1654" t="s">
        <v>23</v>
      </c>
      <c r="P1654" s="1" t="s">
        <v>33</v>
      </c>
      <c r="Q1654">
        <v>111.2</v>
      </c>
    </row>
    <row r="1655" spans="1:17" x14ac:dyDescent="0.3">
      <c r="A1655">
        <v>2018</v>
      </c>
      <c r="B1655" t="s">
        <v>41</v>
      </c>
      <c r="C1655" t="s">
        <v>115</v>
      </c>
      <c r="D1655" s="1" t="s">
        <v>18</v>
      </c>
      <c r="E1655" s="4">
        <v>145.80000000000001</v>
      </c>
      <c r="F1655" s="4">
        <v>138.80000000000001</v>
      </c>
      <c r="G1655" s="4">
        <v>129</v>
      </c>
      <c r="H1655" s="1" t="s">
        <v>189</v>
      </c>
      <c r="K1655">
        <v>2014</v>
      </c>
      <c r="L1655" t="s">
        <v>38</v>
      </c>
      <c r="M1655" t="s">
        <v>74</v>
      </c>
      <c r="N1655" t="s">
        <v>22</v>
      </c>
      <c r="O1655" t="s">
        <v>20</v>
      </c>
      <c r="P1655" s="1" t="s">
        <v>30</v>
      </c>
      <c r="Q1655">
        <v>114.1</v>
      </c>
    </row>
    <row r="1656" spans="1:17" x14ac:dyDescent="0.3">
      <c r="A1656">
        <v>2018</v>
      </c>
      <c r="B1656" t="s">
        <v>41</v>
      </c>
      <c r="C1656" t="s">
        <v>115</v>
      </c>
      <c r="D1656" s="1" t="s">
        <v>8</v>
      </c>
      <c r="E1656" s="4">
        <v>154.4</v>
      </c>
      <c r="F1656" s="4">
        <v>150.6</v>
      </c>
      <c r="G1656" s="4">
        <v>146.30000000000001</v>
      </c>
      <c r="H1656" s="1" t="s">
        <v>188</v>
      </c>
      <c r="K1656">
        <v>2014</v>
      </c>
      <c r="L1656" t="s">
        <v>38</v>
      </c>
      <c r="M1656" t="s">
        <v>74</v>
      </c>
      <c r="N1656" t="s">
        <v>22</v>
      </c>
      <c r="O1656" t="s">
        <v>20</v>
      </c>
      <c r="P1656" s="1" t="s">
        <v>34</v>
      </c>
      <c r="Q1656">
        <v>114.1</v>
      </c>
    </row>
    <row r="1657" spans="1:17" x14ac:dyDescent="0.3">
      <c r="A1657">
        <v>2018</v>
      </c>
      <c r="B1657" t="s">
        <v>41</v>
      </c>
      <c r="C1657" t="s">
        <v>115</v>
      </c>
      <c r="D1657" s="1" t="s">
        <v>21</v>
      </c>
      <c r="E1657" s="4">
        <v>147.69999999999999</v>
      </c>
      <c r="F1657" s="4">
        <v>140.9</v>
      </c>
      <c r="G1657" s="4">
        <v>129.80000000000001</v>
      </c>
      <c r="H1657" s="1" t="s">
        <v>190</v>
      </c>
      <c r="K1657">
        <v>2014</v>
      </c>
      <c r="L1657" t="s">
        <v>38</v>
      </c>
      <c r="M1657" t="s">
        <v>74</v>
      </c>
      <c r="N1657" t="s">
        <v>22</v>
      </c>
      <c r="O1657" t="s">
        <v>20</v>
      </c>
      <c r="P1657" s="1" t="s">
        <v>33</v>
      </c>
      <c r="Q1657">
        <v>114.1</v>
      </c>
    </row>
    <row r="1658" spans="1:17" x14ac:dyDescent="0.3">
      <c r="A1658">
        <v>2018</v>
      </c>
      <c r="B1658" t="s">
        <v>41</v>
      </c>
      <c r="C1658" t="s">
        <v>115</v>
      </c>
      <c r="D1658" s="1" t="s">
        <v>29</v>
      </c>
      <c r="E1658" s="4">
        <v>142.5</v>
      </c>
      <c r="F1658" s="4">
        <v>140.4</v>
      </c>
      <c r="G1658" s="4">
        <v>138</v>
      </c>
      <c r="H1658" s="1" t="s">
        <v>206</v>
      </c>
      <c r="K1658">
        <v>2014</v>
      </c>
      <c r="L1658" t="s">
        <v>38</v>
      </c>
      <c r="M1658" t="s">
        <v>74</v>
      </c>
      <c r="N1658" t="s">
        <v>20</v>
      </c>
      <c r="O1658" t="s">
        <v>20</v>
      </c>
      <c r="P1658" s="1" t="s">
        <v>30</v>
      </c>
      <c r="Q1658">
        <v>0</v>
      </c>
    </row>
    <row r="1659" spans="1:17" x14ac:dyDescent="0.3">
      <c r="A1659">
        <v>2018</v>
      </c>
      <c r="B1659" t="s">
        <v>41</v>
      </c>
      <c r="C1659" t="s">
        <v>115</v>
      </c>
      <c r="D1659" s="1" t="s">
        <v>23</v>
      </c>
      <c r="E1659" s="4">
        <v>139.4</v>
      </c>
      <c r="F1659" s="4">
        <v>137.69999999999999</v>
      </c>
      <c r="G1659" s="4">
        <v>134.9</v>
      </c>
      <c r="H1659" s="1" t="s">
        <v>23</v>
      </c>
      <c r="K1659">
        <v>2014</v>
      </c>
      <c r="L1659" t="s">
        <v>38</v>
      </c>
      <c r="M1659" t="s">
        <v>74</v>
      </c>
      <c r="N1659" t="s">
        <v>20</v>
      </c>
      <c r="O1659" t="s">
        <v>20</v>
      </c>
      <c r="P1659" s="1" t="s">
        <v>34</v>
      </c>
      <c r="Q1659">
        <v>114.3</v>
      </c>
    </row>
    <row r="1660" spans="1:17" x14ac:dyDescent="0.3">
      <c r="A1660">
        <v>2018</v>
      </c>
      <c r="B1660" t="s">
        <v>41</v>
      </c>
      <c r="C1660" t="s">
        <v>115</v>
      </c>
      <c r="D1660" s="1" t="s">
        <v>22</v>
      </c>
      <c r="E1660" s="4">
        <v>143.80000000000001</v>
      </c>
      <c r="F1660" s="4">
        <v>139.4</v>
      </c>
      <c r="G1660" s="4">
        <v>134.4</v>
      </c>
      <c r="H1660" s="1" t="s">
        <v>20</v>
      </c>
      <c r="K1660">
        <v>2014</v>
      </c>
      <c r="L1660" t="s">
        <v>38</v>
      </c>
      <c r="M1660" t="s">
        <v>74</v>
      </c>
      <c r="N1660" t="s">
        <v>20</v>
      </c>
      <c r="O1660" t="s">
        <v>20</v>
      </c>
      <c r="P1660" s="1" t="s">
        <v>33</v>
      </c>
      <c r="Q1660">
        <v>114.3</v>
      </c>
    </row>
    <row r="1661" spans="1:17" x14ac:dyDescent="0.3">
      <c r="A1661">
        <v>2018</v>
      </c>
      <c r="B1661" t="s">
        <v>41</v>
      </c>
      <c r="C1661" t="s">
        <v>115</v>
      </c>
      <c r="D1661" s="1" t="s">
        <v>20</v>
      </c>
      <c r="E1661" s="4">
        <v>0</v>
      </c>
      <c r="F1661" s="4">
        <v>144.6</v>
      </c>
      <c r="G1661" s="4">
        <v>144.6</v>
      </c>
      <c r="H1661" s="1" t="s">
        <v>20</v>
      </c>
      <c r="K1661">
        <v>2014</v>
      </c>
      <c r="L1661" t="s">
        <v>38</v>
      </c>
      <c r="M1661" t="s">
        <v>74</v>
      </c>
      <c r="N1661" t="s">
        <v>4</v>
      </c>
      <c r="O1661" t="s">
        <v>188</v>
      </c>
      <c r="P1661" s="1" t="s">
        <v>30</v>
      </c>
      <c r="Q1661">
        <v>120.2</v>
      </c>
    </row>
    <row r="1662" spans="1:17" x14ac:dyDescent="0.3">
      <c r="A1662">
        <v>2018</v>
      </c>
      <c r="B1662" t="s">
        <v>41</v>
      </c>
      <c r="C1662" t="s">
        <v>115</v>
      </c>
      <c r="D1662" s="1" t="s">
        <v>4</v>
      </c>
      <c r="E1662" s="4">
        <v>148.80000000000001</v>
      </c>
      <c r="F1662" s="4">
        <v>148</v>
      </c>
      <c r="G1662" s="4">
        <v>146.4</v>
      </c>
      <c r="H1662" s="1" t="s">
        <v>188</v>
      </c>
      <c r="K1662">
        <v>2014</v>
      </c>
      <c r="L1662" t="s">
        <v>38</v>
      </c>
      <c r="M1662" t="s">
        <v>74</v>
      </c>
      <c r="N1662" t="s">
        <v>4</v>
      </c>
      <c r="O1662" t="s">
        <v>188</v>
      </c>
      <c r="P1662" s="1" t="s">
        <v>34</v>
      </c>
      <c r="Q1662">
        <v>121.6</v>
      </c>
    </row>
    <row r="1663" spans="1:17" x14ac:dyDescent="0.3">
      <c r="A1663">
        <v>2018</v>
      </c>
      <c r="B1663" t="s">
        <v>41</v>
      </c>
      <c r="C1663" t="s">
        <v>115</v>
      </c>
      <c r="D1663" s="1" t="s">
        <v>6</v>
      </c>
      <c r="E1663" s="4">
        <v>143.5</v>
      </c>
      <c r="F1663" s="4">
        <v>142.6</v>
      </c>
      <c r="G1663" s="4">
        <v>141.19999999999999</v>
      </c>
      <c r="H1663" s="1" t="s">
        <v>188</v>
      </c>
      <c r="K1663">
        <v>2014</v>
      </c>
      <c r="L1663" t="s">
        <v>38</v>
      </c>
      <c r="M1663" t="s">
        <v>74</v>
      </c>
      <c r="N1663" t="s">
        <v>4</v>
      </c>
      <c r="O1663" t="s">
        <v>188</v>
      </c>
      <c r="P1663" s="1" t="s">
        <v>33</v>
      </c>
      <c r="Q1663">
        <v>124.1</v>
      </c>
    </row>
    <row r="1664" spans="1:17" x14ac:dyDescent="0.3">
      <c r="A1664">
        <v>2018</v>
      </c>
      <c r="B1664" t="s">
        <v>41</v>
      </c>
      <c r="C1664" t="s">
        <v>115</v>
      </c>
      <c r="D1664" s="1" t="s">
        <v>28</v>
      </c>
      <c r="E1664" s="4">
        <v>136.6</v>
      </c>
      <c r="F1664" s="4">
        <v>133.9</v>
      </c>
      <c r="G1664" s="4">
        <v>131</v>
      </c>
      <c r="H1664" s="1" t="s">
        <v>192</v>
      </c>
      <c r="K1664">
        <v>2014</v>
      </c>
      <c r="L1664" t="s">
        <v>38</v>
      </c>
      <c r="M1664" t="s">
        <v>74</v>
      </c>
      <c r="N1664" t="s">
        <v>6</v>
      </c>
      <c r="O1664" t="s">
        <v>188</v>
      </c>
      <c r="P1664" s="1" t="s">
        <v>30</v>
      </c>
      <c r="Q1664">
        <v>118</v>
      </c>
    </row>
    <row r="1665" spans="1:17" x14ac:dyDescent="0.3">
      <c r="A1665">
        <v>2018</v>
      </c>
      <c r="B1665" t="s">
        <v>41</v>
      </c>
      <c r="C1665" t="s">
        <v>115</v>
      </c>
      <c r="D1665" s="1" t="s">
        <v>13</v>
      </c>
      <c r="E1665" s="4">
        <v>133.80000000000001</v>
      </c>
      <c r="F1665" s="4">
        <v>131.1</v>
      </c>
      <c r="G1665" s="4">
        <v>127.4</v>
      </c>
      <c r="H1665" s="1" t="s">
        <v>188</v>
      </c>
      <c r="K1665">
        <v>2014</v>
      </c>
      <c r="L1665" t="s">
        <v>38</v>
      </c>
      <c r="M1665" t="s">
        <v>74</v>
      </c>
      <c r="N1665" t="s">
        <v>6</v>
      </c>
      <c r="O1665" t="s">
        <v>188</v>
      </c>
      <c r="P1665" s="1" t="s">
        <v>34</v>
      </c>
      <c r="Q1665">
        <v>118.4</v>
      </c>
    </row>
    <row r="1666" spans="1:17" x14ac:dyDescent="0.3">
      <c r="A1666">
        <v>2018</v>
      </c>
      <c r="B1666" t="s">
        <v>41</v>
      </c>
      <c r="C1666" t="s">
        <v>115</v>
      </c>
      <c r="D1666" s="1" t="s">
        <v>7</v>
      </c>
      <c r="E1666" s="4">
        <v>125</v>
      </c>
      <c r="F1666" s="4">
        <v>122.2</v>
      </c>
      <c r="G1666" s="4">
        <v>117.4</v>
      </c>
      <c r="H1666" s="1" t="s">
        <v>188</v>
      </c>
      <c r="K1666">
        <v>2014</v>
      </c>
      <c r="L1666" t="s">
        <v>38</v>
      </c>
      <c r="M1666" t="s">
        <v>74</v>
      </c>
      <c r="N1666" t="s">
        <v>6</v>
      </c>
      <c r="O1666" t="s">
        <v>188</v>
      </c>
      <c r="P1666" s="1" t="s">
        <v>33</v>
      </c>
      <c r="Q1666">
        <v>119.1</v>
      </c>
    </row>
    <row r="1667" spans="1:17" x14ac:dyDescent="0.3">
      <c r="A1667">
        <v>2018</v>
      </c>
      <c r="B1667" t="s">
        <v>41</v>
      </c>
      <c r="C1667" t="s">
        <v>115</v>
      </c>
      <c r="D1667" s="1" t="s">
        <v>16</v>
      </c>
      <c r="E1667" s="4">
        <v>156.4</v>
      </c>
      <c r="F1667" s="4">
        <v>157.9</v>
      </c>
      <c r="G1667" s="4">
        <v>162.1</v>
      </c>
      <c r="H1667" s="1" t="s">
        <v>192</v>
      </c>
      <c r="K1667">
        <v>2014</v>
      </c>
      <c r="L1667" t="s">
        <v>38</v>
      </c>
      <c r="M1667" t="s">
        <v>74</v>
      </c>
      <c r="N1667" t="s">
        <v>28</v>
      </c>
      <c r="O1667" t="s">
        <v>192</v>
      </c>
      <c r="P1667" s="1" t="s">
        <v>30</v>
      </c>
      <c r="Q1667">
        <v>111.8</v>
      </c>
    </row>
    <row r="1668" spans="1:17" x14ac:dyDescent="0.3">
      <c r="A1668">
        <v>2018</v>
      </c>
      <c r="B1668" t="s">
        <v>41</v>
      </c>
      <c r="C1668" t="s">
        <v>115</v>
      </c>
      <c r="D1668" s="1" t="s">
        <v>27</v>
      </c>
      <c r="E1668" s="4">
        <v>131.30000000000001</v>
      </c>
      <c r="F1668" s="4">
        <v>130.1</v>
      </c>
      <c r="G1668" s="4">
        <v>128.30000000000001</v>
      </c>
      <c r="H1668" s="1" t="s">
        <v>192</v>
      </c>
      <c r="K1668">
        <v>2014</v>
      </c>
      <c r="L1668" t="s">
        <v>38</v>
      </c>
      <c r="M1668" t="s">
        <v>74</v>
      </c>
      <c r="N1668" t="s">
        <v>28</v>
      </c>
      <c r="O1668" t="s">
        <v>192</v>
      </c>
      <c r="P1668" s="1" t="s">
        <v>34</v>
      </c>
      <c r="Q1668">
        <v>111.8</v>
      </c>
    </row>
    <row r="1669" spans="1:17" x14ac:dyDescent="0.3">
      <c r="A1669">
        <v>2018</v>
      </c>
      <c r="B1669" t="s">
        <v>41</v>
      </c>
      <c r="C1669" t="s">
        <v>115</v>
      </c>
      <c r="D1669" s="1" t="s">
        <v>14</v>
      </c>
      <c r="E1669" s="4">
        <v>155.19999999999999</v>
      </c>
      <c r="F1669" s="4">
        <v>153</v>
      </c>
      <c r="G1669" s="4">
        <v>150.4</v>
      </c>
      <c r="H1669" s="1" t="s">
        <v>188</v>
      </c>
      <c r="K1669">
        <v>2014</v>
      </c>
      <c r="L1669" t="s">
        <v>38</v>
      </c>
      <c r="M1669" t="s">
        <v>74</v>
      </c>
      <c r="N1669" t="s">
        <v>28</v>
      </c>
      <c r="O1669" t="s">
        <v>192</v>
      </c>
      <c r="P1669" s="1" t="s">
        <v>33</v>
      </c>
      <c r="Q1669">
        <v>111.7</v>
      </c>
    </row>
    <row r="1670" spans="1:17" x14ac:dyDescent="0.3">
      <c r="A1670">
        <v>2018</v>
      </c>
      <c r="B1670" t="s">
        <v>41</v>
      </c>
      <c r="C1670" t="s">
        <v>115</v>
      </c>
      <c r="D1670" s="1" t="s">
        <v>10</v>
      </c>
      <c r="E1670" s="4">
        <v>126.8</v>
      </c>
      <c r="F1670" s="4">
        <v>122.4</v>
      </c>
      <c r="G1670" s="4">
        <v>113.6</v>
      </c>
      <c r="H1670" s="1" t="s">
        <v>188</v>
      </c>
      <c r="K1670">
        <v>2014</v>
      </c>
      <c r="L1670" t="s">
        <v>38</v>
      </c>
      <c r="M1670" t="s">
        <v>74</v>
      </c>
      <c r="N1670" t="s">
        <v>13</v>
      </c>
      <c r="O1670" t="s">
        <v>188</v>
      </c>
      <c r="P1670" s="1" t="s">
        <v>30</v>
      </c>
      <c r="Q1670">
        <v>114.2</v>
      </c>
    </row>
    <row r="1671" spans="1:17" x14ac:dyDescent="0.3">
      <c r="A1671">
        <v>2018</v>
      </c>
      <c r="B1671" t="s">
        <v>41</v>
      </c>
      <c r="C1671" t="s">
        <v>115</v>
      </c>
      <c r="D1671" s="1" t="s">
        <v>25</v>
      </c>
      <c r="E1671" s="4">
        <v>138.6</v>
      </c>
      <c r="F1671" s="4">
        <v>133.6</v>
      </c>
      <c r="G1671" s="4">
        <v>129.80000000000001</v>
      </c>
      <c r="H1671" s="1" t="s">
        <v>195</v>
      </c>
      <c r="K1671">
        <v>2014</v>
      </c>
      <c r="L1671" t="s">
        <v>38</v>
      </c>
      <c r="M1671" t="s">
        <v>74</v>
      </c>
      <c r="N1671" t="s">
        <v>13</v>
      </c>
      <c r="O1671" t="s">
        <v>188</v>
      </c>
      <c r="P1671" s="1" t="s">
        <v>34</v>
      </c>
      <c r="Q1671">
        <v>113.7</v>
      </c>
    </row>
    <row r="1672" spans="1:17" x14ac:dyDescent="0.3">
      <c r="A1672">
        <v>2018</v>
      </c>
      <c r="B1672" t="s">
        <v>41</v>
      </c>
      <c r="C1672" t="s">
        <v>115</v>
      </c>
      <c r="D1672" s="1" t="s">
        <v>12</v>
      </c>
      <c r="E1672" s="4">
        <v>138.6</v>
      </c>
      <c r="F1672" s="4">
        <v>139.4</v>
      </c>
      <c r="G1672" s="4">
        <v>141.1</v>
      </c>
      <c r="H1672" s="1" t="s">
        <v>188</v>
      </c>
      <c r="K1672">
        <v>2014</v>
      </c>
      <c r="L1672" t="s">
        <v>38</v>
      </c>
      <c r="M1672" t="s">
        <v>74</v>
      </c>
      <c r="N1672" t="s">
        <v>13</v>
      </c>
      <c r="O1672" t="s">
        <v>188</v>
      </c>
      <c r="P1672" s="1" t="s">
        <v>33</v>
      </c>
      <c r="Q1672">
        <v>112.9</v>
      </c>
    </row>
    <row r="1673" spans="1:17" x14ac:dyDescent="0.3">
      <c r="A1673">
        <v>2018</v>
      </c>
      <c r="B1673" t="s">
        <v>41</v>
      </c>
      <c r="C1673" t="s">
        <v>115</v>
      </c>
      <c r="D1673" s="1" t="s">
        <v>11</v>
      </c>
      <c r="E1673" s="4">
        <v>115.4</v>
      </c>
      <c r="F1673" s="4">
        <v>114.7</v>
      </c>
      <c r="G1673" s="4">
        <v>113.3</v>
      </c>
      <c r="H1673" s="1" t="s">
        <v>188</v>
      </c>
      <c r="K1673">
        <v>2014</v>
      </c>
      <c r="L1673" t="s">
        <v>38</v>
      </c>
      <c r="M1673" t="s">
        <v>74</v>
      </c>
      <c r="N1673" t="s">
        <v>7</v>
      </c>
      <c r="O1673" t="s">
        <v>188</v>
      </c>
      <c r="P1673" s="1" t="s">
        <v>30</v>
      </c>
      <c r="Q1673">
        <v>110.1</v>
      </c>
    </row>
    <row r="1674" spans="1:17" x14ac:dyDescent="0.3">
      <c r="A1674">
        <v>2018</v>
      </c>
      <c r="B1674" t="s">
        <v>41</v>
      </c>
      <c r="C1674" t="s">
        <v>115</v>
      </c>
      <c r="D1674" s="1" t="s">
        <v>24</v>
      </c>
      <c r="E1674" s="4">
        <v>128.30000000000001</v>
      </c>
      <c r="F1674" s="4">
        <v>124.3</v>
      </c>
      <c r="G1674" s="4">
        <v>120.7</v>
      </c>
      <c r="H1674" s="1" t="s">
        <v>191</v>
      </c>
      <c r="K1674">
        <v>2014</v>
      </c>
      <c r="L1674" t="s">
        <v>38</v>
      </c>
      <c r="M1674" t="s">
        <v>74</v>
      </c>
      <c r="N1674" t="s">
        <v>7</v>
      </c>
      <c r="O1674" t="s">
        <v>188</v>
      </c>
      <c r="P1674" s="1" t="s">
        <v>34</v>
      </c>
      <c r="Q1674">
        <v>107.7</v>
      </c>
    </row>
    <row r="1675" spans="1:17" x14ac:dyDescent="0.3">
      <c r="A1675">
        <v>2018</v>
      </c>
      <c r="B1675" t="s">
        <v>41</v>
      </c>
      <c r="C1675" t="s">
        <v>115</v>
      </c>
      <c r="D1675" s="1" t="s">
        <v>9</v>
      </c>
      <c r="E1675" s="4">
        <v>156.30000000000001</v>
      </c>
      <c r="F1675" s="4">
        <v>156.6</v>
      </c>
      <c r="G1675" s="4">
        <v>157.30000000000001</v>
      </c>
      <c r="H1675" s="1" t="s">
        <v>188</v>
      </c>
      <c r="K1675">
        <v>2014</v>
      </c>
      <c r="L1675" t="s">
        <v>38</v>
      </c>
      <c r="M1675" t="s">
        <v>74</v>
      </c>
      <c r="N1675" t="s">
        <v>7</v>
      </c>
      <c r="O1675" t="s">
        <v>188</v>
      </c>
      <c r="P1675" s="1" t="s">
        <v>33</v>
      </c>
      <c r="Q1675">
        <v>103.5</v>
      </c>
    </row>
    <row r="1676" spans="1:17" x14ac:dyDescent="0.3">
      <c r="A1676">
        <v>2018</v>
      </c>
      <c r="B1676" t="s">
        <v>45</v>
      </c>
      <c r="C1676" t="s">
        <v>116</v>
      </c>
      <c r="D1676" s="1" t="s">
        <v>3</v>
      </c>
      <c r="E1676" s="4">
        <v>137.1</v>
      </c>
      <c r="F1676" s="4">
        <v>137.5</v>
      </c>
      <c r="G1676" s="4">
        <v>138.5</v>
      </c>
      <c r="H1676" s="1" t="s">
        <v>188</v>
      </c>
      <c r="K1676">
        <v>2014</v>
      </c>
      <c r="L1676" t="s">
        <v>38</v>
      </c>
      <c r="M1676" t="s">
        <v>74</v>
      </c>
      <c r="N1676" t="s">
        <v>16</v>
      </c>
      <c r="O1676" t="s">
        <v>192</v>
      </c>
      <c r="P1676" s="1" t="s">
        <v>30</v>
      </c>
      <c r="Q1676">
        <v>116.3</v>
      </c>
    </row>
    <row r="1677" spans="1:17" x14ac:dyDescent="0.3">
      <c r="A1677">
        <v>2018</v>
      </c>
      <c r="B1677" t="s">
        <v>45</v>
      </c>
      <c r="C1677" t="s">
        <v>116</v>
      </c>
      <c r="D1677" s="1" t="s">
        <v>17</v>
      </c>
      <c r="E1677" s="4">
        <v>151.6</v>
      </c>
      <c r="F1677" s="4">
        <v>148.1</v>
      </c>
      <c r="G1677" s="4">
        <v>142.69999999999999</v>
      </c>
      <c r="H1677" s="1" t="s">
        <v>189</v>
      </c>
      <c r="K1677">
        <v>2014</v>
      </c>
      <c r="L1677" t="s">
        <v>38</v>
      </c>
      <c r="M1677" t="s">
        <v>74</v>
      </c>
      <c r="N1677" t="s">
        <v>16</v>
      </c>
      <c r="O1677" t="s">
        <v>192</v>
      </c>
      <c r="P1677" s="1" t="s">
        <v>34</v>
      </c>
      <c r="Q1677">
        <v>116.8</v>
      </c>
    </row>
    <row r="1678" spans="1:17" x14ac:dyDescent="0.3">
      <c r="A1678">
        <v>2018</v>
      </c>
      <c r="B1678" t="s">
        <v>45</v>
      </c>
      <c r="C1678" t="s">
        <v>116</v>
      </c>
      <c r="D1678" s="1" t="s">
        <v>19</v>
      </c>
      <c r="E1678" s="4">
        <v>150.80000000000001</v>
      </c>
      <c r="F1678" s="4">
        <v>146.80000000000001</v>
      </c>
      <c r="G1678" s="4">
        <v>140.80000000000001</v>
      </c>
      <c r="H1678" s="1" t="s">
        <v>189</v>
      </c>
      <c r="K1678">
        <v>2014</v>
      </c>
      <c r="L1678" t="s">
        <v>38</v>
      </c>
      <c r="M1678" t="s">
        <v>74</v>
      </c>
      <c r="N1678" t="s">
        <v>16</v>
      </c>
      <c r="O1678" t="s">
        <v>192</v>
      </c>
      <c r="P1678" s="1" t="s">
        <v>33</v>
      </c>
      <c r="Q1678">
        <v>118.3</v>
      </c>
    </row>
    <row r="1679" spans="1:17" x14ac:dyDescent="0.3">
      <c r="A1679">
        <v>2018</v>
      </c>
      <c r="B1679" t="s">
        <v>45</v>
      </c>
      <c r="C1679" t="s">
        <v>116</v>
      </c>
      <c r="D1679" s="1" t="s">
        <v>26</v>
      </c>
      <c r="E1679" s="4">
        <v>155.1</v>
      </c>
      <c r="F1679" s="4">
        <v>150.1</v>
      </c>
      <c r="G1679" s="4">
        <v>146.5</v>
      </c>
      <c r="H1679" s="1" t="s">
        <v>26</v>
      </c>
      <c r="K1679">
        <v>2014</v>
      </c>
      <c r="L1679" t="s">
        <v>38</v>
      </c>
      <c r="M1679" t="s">
        <v>74</v>
      </c>
      <c r="N1679" t="s">
        <v>27</v>
      </c>
      <c r="O1679" t="s">
        <v>192</v>
      </c>
      <c r="P1679" s="1" t="s">
        <v>30</v>
      </c>
      <c r="Q1679">
        <v>108.9</v>
      </c>
    </row>
    <row r="1680" spans="1:17" x14ac:dyDescent="0.3">
      <c r="A1680">
        <v>2018</v>
      </c>
      <c r="B1680" t="s">
        <v>45</v>
      </c>
      <c r="C1680" t="s">
        <v>116</v>
      </c>
      <c r="D1680" s="1" t="s">
        <v>5</v>
      </c>
      <c r="E1680" s="4">
        <v>137.4</v>
      </c>
      <c r="F1680" s="4">
        <v>138.80000000000001</v>
      </c>
      <c r="G1680" s="4">
        <v>141.1</v>
      </c>
      <c r="H1680" s="1" t="s">
        <v>188</v>
      </c>
      <c r="K1680">
        <v>2014</v>
      </c>
      <c r="L1680" t="s">
        <v>38</v>
      </c>
      <c r="M1680" t="s">
        <v>74</v>
      </c>
      <c r="N1680" t="s">
        <v>27</v>
      </c>
      <c r="O1680" t="s">
        <v>192</v>
      </c>
      <c r="P1680" s="1" t="s">
        <v>34</v>
      </c>
      <c r="Q1680">
        <v>109.1</v>
      </c>
    </row>
    <row r="1681" spans="1:17" x14ac:dyDescent="0.3">
      <c r="A1681">
        <v>2018</v>
      </c>
      <c r="B1681" t="s">
        <v>45</v>
      </c>
      <c r="C1681" t="s">
        <v>116</v>
      </c>
      <c r="D1681" s="1" t="s">
        <v>15</v>
      </c>
      <c r="E1681" s="4">
        <v>138.5</v>
      </c>
      <c r="F1681" s="4">
        <v>138.19999999999999</v>
      </c>
      <c r="G1681" s="4">
        <v>137.6</v>
      </c>
      <c r="H1681" s="1" t="s">
        <v>188</v>
      </c>
      <c r="K1681">
        <v>2014</v>
      </c>
      <c r="L1681" t="s">
        <v>38</v>
      </c>
      <c r="M1681" t="s">
        <v>74</v>
      </c>
      <c r="N1681" t="s">
        <v>27</v>
      </c>
      <c r="O1681" t="s">
        <v>192</v>
      </c>
      <c r="P1681" s="1" t="s">
        <v>33</v>
      </c>
      <c r="Q1681">
        <v>109.3</v>
      </c>
    </row>
    <row r="1682" spans="1:17" x14ac:dyDescent="0.3">
      <c r="A1682">
        <v>2018</v>
      </c>
      <c r="B1682" t="s">
        <v>45</v>
      </c>
      <c r="C1682" t="s">
        <v>116</v>
      </c>
      <c r="D1682" s="1" t="s">
        <v>18</v>
      </c>
      <c r="E1682" s="4">
        <v>145.9</v>
      </c>
      <c r="F1682" s="4">
        <v>139.4</v>
      </c>
      <c r="G1682" s="4">
        <v>130.30000000000001</v>
      </c>
      <c r="H1682" s="1" t="s">
        <v>189</v>
      </c>
      <c r="K1682">
        <v>2014</v>
      </c>
      <c r="L1682" t="s">
        <v>38</v>
      </c>
      <c r="M1682" t="s">
        <v>74</v>
      </c>
      <c r="N1682" t="s">
        <v>14</v>
      </c>
      <c r="O1682" t="s">
        <v>188</v>
      </c>
      <c r="P1682" s="1" t="s">
        <v>30</v>
      </c>
      <c r="Q1682">
        <v>119.2</v>
      </c>
    </row>
    <row r="1683" spans="1:17" x14ac:dyDescent="0.3">
      <c r="A1683">
        <v>2018</v>
      </c>
      <c r="B1683" t="s">
        <v>45</v>
      </c>
      <c r="C1683" t="s">
        <v>116</v>
      </c>
      <c r="D1683" s="1" t="s">
        <v>8</v>
      </c>
      <c r="E1683" s="4">
        <v>140.19999999999999</v>
      </c>
      <c r="F1683" s="4">
        <v>139.4</v>
      </c>
      <c r="G1683" s="4">
        <v>138.5</v>
      </c>
      <c r="H1683" s="1" t="s">
        <v>188</v>
      </c>
      <c r="K1683">
        <v>2014</v>
      </c>
      <c r="L1683" t="s">
        <v>38</v>
      </c>
      <c r="M1683" t="s">
        <v>74</v>
      </c>
      <c r="N1683" t="s">
        <v>14</v>
      </c>
      <c r="O1683" t="s">
        <v>188</v>
      </c>
      <c r="P1683" s="1" t="s">
        <v>34</v>
      </c>
      <c r="Q1683">
        <v>120.4</v>
      </c>
    </row>
    <row r="1684" spans="1:17" x14ac:dyDescent="0.3">
      <c r="A1684">
        <v>2018</v>
      </c>
      <c r="B1684" t="s">
        <v>45</v>
      </c>
      <c r="C1684" t="s">
        <v>116</v>
      </c>
      <c r="D1684" s="1" t="s">
        <v>21</v>
      </c>
      <c r="E1684" s="4">
        <v>149</v>
      </c>
      <c r="F1684" s="4">
        <v>142.69999999999999</v>
      </c>
      <c r="G1684" s="4">
        <v>132.4</v>
      </c>
      <c r="H1684" s="1" t="s">
        <v>190</v>
      </c>
      <c r="K1684">
        <v>2014</v>
      </c>
      <c r="L1684" t="s">
        <v>38</v>
      </c>
      <c r="M1684" t="s">
        <v>74</v>
      </c>
      <c r="N1684" t="s">
        <v>14</v>
      </c>
      <c r="O1684" t="s">
        <v>188</v>
      </c>
      <c r="P1684" s="1" t="s">
        <v>33</v>
      </c>
      <c r="Q1684">
        <v>121.7</v>
      </c>
    </row>
    <row r="1685" spans="1:17" x14ac:dyDescent="0.3">
      <c r="A1685">
        <v>2018</v>
      </c>
      <c r="B1685" t="s">
        <v>45</v>
      </c>
      <c r="C1685" t="s">
        <v>116</v>
      </c>
      <c r="D1685" s="1" t="s">
        <v>29</v>
      </c>
      <c r="E1685" s="4">
        <v>141.9</v>
      </c>
      <c r="F1685" s="4">
        <v>140.1</v>
      </c>
      <c r="G1685" s="4">
        <v>138</v>
      </c>
      <c r="H1685" s="1" t="s">
        <v>206</v>
      </c>
      <c r="K1685">
        <v>2014</v>
      </c>
      <c r="L1685" t="s">
        <v>38</v>
      </c>
      <c r="M1685" t="s">
        <v>74</v>
      </c>
      <c r="N1685" t="s">
        <v>10</v>
      </c>
      <c r="O1685" t="s">
        <v>188</v>
      </c>
      <c r="P1685" s="1" t="s">
        <v>30</v>
      </c>
      <c r="Q1685">
        <v>111.5</v>
      </c>
    </row>
    <row r="1686" spans="1:17" x14ac:dyDescent="0.3">
      <c r="A1686">
        <v>2018</v>
      </c>
      <c r="B1686" t="s">
        <v>45</v>
      </c>
      <c r="C1686" t="s">
        <v>116</v>
      </c>
      <c r="D1686" s="1" t="s">
        <v>23</v>
      </c>
      <c r="E1686" s="4">
        <v>149.6</v>
      </c>
      <c r="F1686" s="4">
        <v>144.9</v>
      </c>
      <c r="G1686" s="4">
        <v>137.30000000000001</v>
      </c>
      <c r="H1686" s="1" t="s">
        <v>23</v>
      </c>
      <c r="K1686">
        <v>2014</v>
      </c>
      <c r="L1686" t="s">
        <v>38</v>
      </c>
      <c r="M1686" t="s">
        <v>74</v>
      </c>
      <c r="N1686" t="s">
        <v>10</v>
      </c>
      <c r="O1686" t="s">
        <v>188</v>
      </c>
      <c r="P1686" s="1" t="s">
        <v>34</v>
      </c>
      <c r="Q1686">
        <v>111.9</v>
      </c>
    </row>
    <row r="1687" spans="1:17" x14ac:dyDescent="0.3">
      <c r="A1687">
        <v>2018</v>
      </c>
      <c r="B1687" t="s">
        <v>45</v>
      </c>
      <c r="C1687" t="s">
        <v>116</v>
      </c>
      <c r="D1687" s="1" t="s">
        <v>22</v>
      </c>
      <c r="E1687" s="4">
        <v>149.5</v>
      </c>
      <c r="F1687" s="4">
        <v>143.19999999999999</v>
      </c>
      <c r="G1687" s="4">
        <v>136.19999999999999</v>
      </c>
      <c r="H1687" s="1" t="s">
        <v>20</v>
      </c>
      <c r="K1687">
        <v>2014</v>
      </c>
      <c r="L1687" t="s">
        <v>38</v>
      </c>
      <c r="M1687" t="s">
        <v>74</v>
      </c>
      <c r="N1687" t="s">
        <v>10</v>
      </c>
      <c r="O1687" t="s">
        <v>188</v>
      </c>
      <c r="P1687" s="1" t="s">
        <v>33</v>
      </c>
      <c r="Q1687">
        <v>112.6</v>
      </c>
    </row>
    <row r="1688" spans="1:17" x14ac:dyDescent="0.3">
      <c r="A1688">
        <v>2018</v>
      </c>
      <c r="B1688" t="s">
        <v>45</v>
      </c>
      <c r="C1688" t="s">
        <v>116</v>
      </c>
      <c r="D1688" s="1" t="s">
        <v>20</v>
      </c>
      <c r="E1688" s="4">
        <v>0</v>
      </c>
      <c r="F1688" s="4">
        <v>146.5</v>
      </c>
      <c r="G1688" s="4">
        <v>146.5</v>
      </c>
      <c r="H1688" s="1" t="s">
        <v>20</v>
      </c>
      <c r="K1688">
        <v>2014</v>
      </c>
      <c r="L1688" t="s">
        <v>38</v>
      </c>
      <c r="M1688" t="s">
        <v>74</v>
      </c>
      <c r="N1688" t="s">
        <v>25</v>
      </c>
      <c r="O1688" t="s">
        <v>195</v>
      </c>
      <c r="P1688" s="1" t="s">
        <v>30</v>
      </c>
      <c r="Q1688">
        <v>110.9</v>
      </c>
    </row>
    <row r="1689" spans="1:17" x14ac:dyDescent="0.3">
      <c r="A1689">
        <v>2018</v>
      </c>
      <c r="B1689" t="s">
        <v>45</v>
      </c>
      <c r="C1689" t="s">
        <v>116</v>
      </c>
      <c r="D1689" s="1" t="s">
        <v>4</v>
      </c>
      <c r="E1689" s="4">
        <v>151.9</v>
      </c>
      <c r="F1689" s="4">
        <v>150.5</v>
      </c>
      <c r="G1689" s="4">
        <v>147.80000000000001</v>
      </c>
      <c r="H1689" s="1" t="s">
        <v>188</v>
      </c>
      <c r="K1689">
        <v>2014</v>
      </c>
      <c r="L1689" t="s">
        <v>38</v>
      </c>
      <c r="M1689" t="s">
        <v>74</v>
      </c>
      <c r="N1689" t="s">
        <v>25</v>
      </c>
      <c r="O1689" t="s">
        <v>195</v>
      </c>
      <c r="P1689" s="1" t="s">
        <v>34</v>
      </c>
      <c r="Q1689">
        <v>111.2</v>
      </c>
    </row>
    <row r="1690" spans="1:17" x14ac:dyDescent="0.3">
      <c r="A1690">
        <v>2018</v>
      </c>
      <c r="B1690" t="s">
        <v>45</v>
      </c>
      <c r="C1690" t="s">
        <v>116</v>
      </c>
      <c r="D1690" s="1" t="s">
        <v>6</v>
      </c>
      <c r="E1690" s="4">
        <v>142.4</v>
      </c>
      <c r="F1690" s="4">
        <v>142.1</v>
      </c>
      <c r="G1690" s="4">
        <v>141.6</v>
      </c>
      <c r="H1690" s="1" t="s">
        <v>188</v>
      </c>
      <c r="K1690">
        <v>2014</v>
      </c>
      <c r="L1690" t="s">
        <v>38</v>
      </c>
      <c r="M1690" t="s">
        <v>74</v>
      </c>
      <c r="N1690" t="s">
        <v>25</v>
      </c>
      <c r="O1690" t="s">
        <v>195</v>
      </c>
      <c r="P1690" s="1" t="s">
        <v>33</v>
      </c>
      <c r="Q1690">
        <v>111.5</v>
      </c>
    </row>
    <row r="1691" spans="1:17" x14ac:dyDescent="0.3">
      <c r="A1691">
        <v>2018</v>
      </c>
      <c r="B1691" t="s">
        <v>45</v>
      </c>
      <c r="C1691" t="s">
        <v>116</v>
      </c>
      <c r="D1691" s="1" t="s">
        <v>28</v>
      </c>
      <c r="E1691" s="4">
        <v>141.6</v>
      </c>
      <c r="F1691" s="4">
        <v>136.80000000000001</v>
      </c>
      <c r="G1691" s="4">
        <v>131.69999999999999</v>
      </c>
      <c r="H1691" s="1" t="s">
        <v>192</v>
      </c>
      <c r="K1691">
        <v>2014</v>
      </c>
      <c r="L1691" t="s">
        <v>38</v>
      </c>
      <c r="M1691" t="s">
        <v>74</v>
      </c>
      <c r="N1691" t="s">
        <v>12</v>
      </c>
      <c r="O1691" t="s">
        <v>188</v>
      </c>
      <c r="P1691" s="1" t="s">
        <v>30</v>
      </c>
      <c r="Q1691">
        <v>111.6</v>
      </c>
    </row>
    <row r="1692" spans="1:17" x14ac:dyDescent="0.3">
      <c r="A1692">
        <v>2018</v>
      </c>
      <c r="B1692" t="s">
        <v>45</v>
      </c>
      <c r="C1692" t="s">
        <v>116</v>
      </c>
      <c r="D1692" s="1" t="s">
        <v>13</v>
      </c>
      <c r="E1692" s="4">
        <v>137.80000000000001</v>
      </c>
      <c r="F1692" s="4">
        <v>133.80000000000001</v>
      </c>
      <c r="G1692" s="4">
        <v>128.1</v>
      </c>
      <c r="H1692" s="1" t="s">
        <v>188</v>
      </c>
      <c r="K1692">
        <v>2014</v>
      </c>
      <c r="L1692" t="s">
        <v>38</v>
      </c>
      <c r="M1692" t="s">
        <v>74</v>
      </c>
      <c r="N1692" t="s">
        <v>12</v>
      </c>
      <c r="O1692" t="s">
        <v>188</v>
      </c>
      <c r="P1692" s="1" t="s">
        <v>34</v>
      </c>
      <c r="Q1692">
        <v>113.4</v>
      </c>
    </row>
    <row r="1693" spans="1:17" x14ac:dyDescent="0.3">
      <c r="A1693">
        <v>2018</v>
      </c>
      <c r="B1693" t="s">
        <v>45</v>
      </c>
      <c r="C1693" t="s">
        <v>116</v>
      </c>
      <c r="D1693" s="1" t="s">
        <v>7</v>
      </c>
      <c r="E1693" s="4">
        <v>124.2</v>
      </c>
      <c r="F1693" s="4">
        <v>122</v>
      </c>
      <c r="G1693" s="4">
        <v>118.1</v>
      </c>
      <c r="H1693" s="1" t="s">
        <v>188</v>
      </c>
      <c r="K1693">
        <v>2014</v>
      </c>
      <c r="L1693" t="s">
        <v>38</v>
      </c>
      <c r="M1693" t="s">
        <v>74</v>
      </c>
      <c r="N1693" t="s">
        <v>12</v>
      </c>
      <c r="O1693" t="s">
        <v>188</v>
      </c>
      <c r="P1693" s="1" t="s">
        <v>33</v>
      </c>
      <c r="Q1693">
        <v>117</v>
      </c>
    </row>
    <row r="1694" spans="1:17" x14ac:dyDescent="0.3">
      <c r="A1694">
        <v>2018</v>
      </c>
      <c r="B1694" t="s">
        <v>45</v>
      </c>
      <c r="C1694" t="s">
        <v>116</v>
      </c>
      <c r="D1694" s="1" t="s">
        <v>16</v>
      </c>
      <c r="E1694" s="4">
        <v>162.4</v>
      </c>
      <c r="F1694" s="4">
        <v>163</v>
      </c>
      <c r="G1694" s="4">
        <v>164.6</v>
      </c>
      <c r="H1694" s="1" t="s">
        <v>192</v>
      </c>
      <c r="K1694">
        <v>2014</v>
      </c>
      <c r="L1694" t="s">
        <v>38</v>
      </c>
      <c r="M1694" t="s">
        <v>74</v>
      </c>
      <c r="N1694" t="s">
        <v>11</v>
      </c>
      <c r="O1694" t="s">
        <v>188</v>
      </c>
      <c r="P1694" s="1" t="s">
        <v>30</v>
      </c>
      <c r="Q1694">
        <v>103.5</v>
      </c>
    </row>
    <row r="1695" spans="1:17" x14ac:dyDescent="0.3">
      <c r="A1695">
        <v>2018</v>
      </c>
      <c r="B1695" t="s">
        <v>45</v>
      </c>
      <c r="C1695" t="s">
        <v>116</v>
      </c>
      <c r="D1695" s="1" t="s">
        <v>27</v>
      </c>
      <c r="E1695" s="4">
        <v>133.19999999999999</v>
      </c>
      <c r="F1695" s="4">
        <v>132.19999999999999</v>
      </c>
      <c r="G1695" s="4">
        <v>130.80000000000001</v>
      </c>
      <c r="H1695" s="1" t="s">
        <v>192</v>
      </c>
      <c r="K1695">
        <v>2014</v>
      </c>
      <c r="L1695" t="s">
        <v>38</v>
      </c>
      <c r="M1695" t="s">
        <v>74</v>
      </c>
      <c r="N1695" t="s">
        <v>11</v>
      </c>
      <c r="O1695" t="s">
        <v>188</v>
      </c>
      <c r="P1695" s="1" t="s">
        <v>34</v>
      </c>
      <c r="Q1695">
        <v>102.8</v>
      </c>
    </row>
    <row r="1696" spans="1:17" x14ac:dyDescent="0.3">
      <c r="A1696">
        <v>2018</v>
      </c>
      <c r="B1696" t="s">
        <v>45</v>
      </c>
      <c r="C1696" t="s">
        <v>116</v>
      </c>
      <c r="D1696" s="1" t="s">
        <v>14</v>
      </c>
      <c r="E1696" s="4">
        <v>156</v>
      </c>
      <c r="F1696" s="4">
        <v>154.6</v>
      </c>
      <c r="G1696" s="4">
        <v>152.9</v>
      </c>
      <c r="H1696" s="1" t="s">
        <v>188</v>
      </c>
      <c r="K1696">
        <v>2014</v>
      </c>
      <c r="L1696" t="s">
        <v>38</v>
      </c>
      <c r="M1696" t="s">
        <v>74</v>
      </c>
      <c r="N1696" t="s">
        <v>11</v>
      </c>
      <c r="O1696" t="s">
        <v>188</v>
      </c>
      <c r="P1696" s="1" t="s">
        <v>33</v>
      </c>
      <c r="Q1696">
        <v>101.3</v>
      </c>
    </row>
    <row r="1697" spans="1:17" x14ac:dyDescent="0.3">
      <c r="A1697">
        <v>2018</v>
      </c>
      <c r="B1697" t="s">
        <v>45</v>
      </c>
      <c r="C1697" t="s">
        <v>116</v>
      </c>
      <c r="D1697" s="1" t="s">
        <v>10</v>
      </c>
      <c r="E1697" s="4">
        <v>120.9</v>
      </c>
      <c r="F1697" s="4">
        <v>119.8</v>
      </c>
      <c r="G1697" s="4">
        <v>117.5</v>
      </c>
      <c r="H1697" s="1" t="s">
        <v>188</v>
      </c>
      <c r="K1697">
        <v>2014</v>
      </c>
      <c r="L1697" t="s">
        <v>38</v>
      </c>
      <c r="M1697" t="s">
        <v>74</v>
      </c>
      <c r="N1697" t="s">
        <v>24</v>
      </c>
      <c r="O1697" t="s">
        <v>191</v>
      </c>
      <c r="P1697" s="1" t="s">
        <v>30</v>
      </c>
      <c r="Q1697">
        <v>111.4</v>
      </c>
    </row>
    <row r="1698" spans="1:17" x14ac:dyDescent="0.3">
      <c r="A1698">
        <v>2018</v>
      </c>
      <c r="B1698" t="s">
        <v>45</v>
      </c>
      <c r="C1698" t="s">
        <v>116</v>
      </c>
      <c r="D1698" s="1" t="s">
        <v>25</v>
      </c>
      <c r="E1698" s="4">
        <v>143.30000000000001</v>
      </c>
      <c r="F1698" s="4">
        <v>136.80000000000001</v>
      </c>
      <c r="G1698" s="4">
        <v>131.69999999999999</v>
      </c>
      <c r="H1698" s="1" t="s">
        <v>195</v>
      </c>
      <c r="K1698">
        <v>2014</v>
      </c>
      <c r="L1698" t="s">
        <v>38</v>
      </c>
      <c r="M1698" t="s">
        <v>74</v>
      </c>
      <c r="N1698" t="s">
        <v>24</v>
      </c>
      <c r="O1698" t="s">
        <v>191</v>
      </c>
      <c r="P1698" s="1" t="s">
        <v>34</v>
      </c>
      <c r="Q1698">
        <v>111.3</v>
      </c>
    </row>
    <row r="1699" spans="1:17" x14ac:dyDescent="0.3">
      <c r="A1699">
        <v>2018</v>
      </c>
      <c r="B1699" t="s">
        <v>45</v>
      </c>
      <c r="C1699" t="s">
        <v>116</v>
      </c>
      <c r="D1699" s="1" t="s">
        <v>12</v>
      </c>
      <c r="E1699" s="4">
        <v>140.19999999999999</v>
      </c>
      <c r="F1699" s="4">
        <v>140.6</v>
      </c>
      <c r="G1699" s="4">
        <v>141.5</v>
      </c>
      <c r="H1699" s="1" t="s">
        <v>188</v>
      </c>
      <c r="K1699">
        <v>2014</v>
      </c>
      <c r="L1699" t="s">
        <v>38</v>
      </c>
      <c r="M1699" t="s">
        <v>74</v>
      </c>
      <c r="N1699" t="s">
        <v>24</v>
      </c>
      <c r="O1699" t="s">
        <v>191</v>
      </c>
      <c r="P1699" s="1" t="s">
        <v>33</v>
      </c>
      <c r="Q1699">
        <v>111.3</v>
      </c>
    </row>
    <row r="1700" spans="1:17" x14ac:dyDescent="0.3">
      <c r="A1700">
        <v>2018</v>
      </c>
      <c r="B1700" t="s">
        <v>45</v>
      </c>
      <c r="C1700" t="s">
        <v>116</v>
      </c>
      <c r="D1700" s="1" t="s">
        <v>11</v>
      </c>
      <c r="E1700" s="4">
        <v>109.9</v>
      </c>
      <c r="F1700" s="4">
        <v>110.3</v>
      </c>
      <c r="G1700" s="4">
        <v>111</v>
      </c>
      <c r="H1700" s="1" t="s">
        <v>188</v>
      </c>
      <c r="K1700">
        <v>2014</v>
      </c>
      <c r="L1700" t="s">
        <v>38</v>
      </c>
      <c r="M1700" t="s">
        <v>74</v>
      </c>
      <c r="N1700" t="s">
        <v>9</v>
      </c>
      <c r="O1700" t="s">
        <v>188</v>
      </c>
      <c r="P1700" s="1" t="s">
        <v>30</v>
      </c>
      <c r="Q1700">
        <v>123.9</v>
      </c>
    </row>
    <row r="1701" spans="1:17" x14ac:dyDescent="0.3">
      <c r="A1701">
        <v>2018</v>
      </c>
      <c r="B1701" t="s">
        <v>45</v>
      </c>
      <c r="C1701" t="s">
        <v>116</v>
      </c>
      <c r="D1701" s="1" t="s">
        <v>24</v>
      </c>
      <c r="E1701" s="4">
        <v>128.9</v>
      </c>
      <c r="F1701" s="4">
        <v>123.6</v>
      </c>
      <c r="G1701" s="4">
        <v>118.8</v>
      </c>
      <c r="H1701" s="1" t="s">
        <v>191</v>
      </c>
      <c r="K1701">
        <v>2014</v>
      </c>
      <c r="L1701" t="s">
        <v>38</v>
      </c>
      <c r="M1701" t="s">
        <v>74</v>
      </c>
      <c r="N1701" t="s">
        <v>9</v>
      </c>
      <c r="O1701" t="s">
        <v>188</v>
      </c>
      <c r="P1701" s="1" t="s">
        <v>34</v>
      </c>
      <c r="Q1701">
        <v>125</v>
      </c>
    </row>
    <row r="1702" spans="1:17" x14ac:dyDescent="0.3">
      <c r="A1702">
        <v>2018</v>
      </c>
      <c r="B1702" t="s">
        <v>45</v>
      </c>
      <c r="C1702" t="s">
        <v>116</v>
      </c>
      <c r="D1702" s="1" t="s">
        <v>9</v>
      </c>
      <c r="E1702" s="4">
        <v>136.6</v>
      </c>
      <c r="F1702" s="4">
        <v>135.19999999999999</v>
      </c>
      <c r="G1702" s="4">
        <v>132.4</v>
      </c>
      <c r="H1702" s="1" t="s">
        <v>188</v>
      </c>
      <c r="K1702">
        <v>2014</v>
      </c>
      <c r="L1702" t="s">
        <v>38</v>
      </c>
      <c r="M1702" t="s">
        <v>74</v>
      </c>
      <c r="N1702" t="s">
        <v>9</v>
      </c>
      <c r="O1702" t="s">
        <v>188</v>
      </c>
      <c r="P1702" s="1" t="s">
        <v>33</v>
      </c>
      <c r="Q1702">
        <v>127</v>
      </c>
    </row>
    <row r="1703" spans="1:17" x14ac:dyDescent="0.3">
      <c r="A1703">
        <v>2018</v>
      </c>
      <c r="B1703" t="s">
        <v>35</v>
      </c>
      <c r="C1703" t="s">
        <v>117</v>
      </c>
      <c r="D1703" s="1" t="s">
        <v>3</v>
      </c>
      <c r="E1703" s="4">
        <v>136.4</v>
      </c>
      <c r="F1703" s="4">
        <v>135.9</v>
      </c>
      <c r="G1703" s="4">
        <v>134.80000000000001</v>
      </c>
      <c r="H1703" s="1" t="s">
        <v>188</v>
      </c>
      <c r="K1703">
        <v>2014</v>
      </c>
      <c r="L1703" t="s">
        <v>44</v>
      </c>
      <c r="M1703" t="s">
        <v>75</v>
      </c>
      <c r="N1703" t="s">
        <v>3</v>
      </c>
      <c r="O1703" t="s">
        <v>188</v>
      </c>
      <c r="P1703" s="1" t="s">
        <v>30</v>
      </c>
      <c r="Q1703">
        <v>122.7</v>
      </c>
    </row>
    <row r="1704" spans="1:17" x14ac:dyDescent="0.3">
      <c r="A1704">
        <v>2018</v>
      </c>
      <c r="B1704" t="s">
        <v>35</v>
      </c>
      <c r="C1704" t="s">
        <v>117</v>
      </c>
      <c r="D1704" s="1" t="s">
        <v>17</v>
      </c>
      <c r="E1704" s="4">
        <v>148.69999999999999</v>
      </c>
      <c r="F1704" s="4">
        <v>143.80000000000001</v>
      </c>
      <c r="G1704" s="4">
        <v>136.30000000000001</v>
      </c>
      <c r="H1704" s="1" t="s">
        <v>189</v>
      </c>
      <c r="K1704">
        <v>2014</v>
      </c>
      <c r="L1704" t="s">
        <v>44</v>
      </c>
      <c r="M1704" t="s">
        <v>75</v>
      </c>
      <c r="N1704" t="s">
        <v>3</v>
      </c>
      <c r="O1704" t="s">
        <v>188</v>
      </c>
      <c r="P1704" s="1" t="s">
        <v>34</v>
      </c>
      <c r="Q1704">
        <v>123.3</v>
      </c>
    </row>
    <row r="1705" spans="1:17" x14ac:dyDescent="0.3">
      <c r="A1705">
        <v>2018</v>
      </c>
      <c r="B1705" t="s">
        <v>35</v>
      </c>
      <c r="C1705" t="s">
        <v>117</v>
      </c>
      <c r="D1705" s="1" t="s">
        <v>19</v>
      </c>
      <c r="E1705" s="4">
        <v>147.80000000000001</v>
      </c>
      <c r="F1705" s="4">
        <v>142.6</v>
      </c>
      <c r="G1705" s="4">
        <v>134.69999999999999</v>
      </c>
      <c r="H1705" s="1" t="s">
        <v>189</v>
      </c>
      <c r="K1705">
        <v>2014</v>
      </c>
      <c r="L1705" t="s">
        <v>44</v>
      </c>
      <c r="M1705" t="s">
        <v>75</v>
      </c>
      <c r="N1705" t="s">
        <v>3</v>
      </c>
      <c r="O1705" t="s">
        <v>188</v>
      </c>
      <c r="P1705" s="1" t="s">
        <v>33</v>
      </c>
      <c r="Q1705">
        <v>124.5</v>
      </c>
    </row>
    <row r="1706" spans="1:17" x14ac:dyDescent="0.3">
      <c r="A1706">
        <v>2018</v>
      </c>
      <c r="B1706" t="s">
        <v>35</v>
      </c>
      <c r="C1706" t="s">
        <v>117</v>
      </c>
      <c r="D1706" s="1" t="s">
        <v>26</v>
      </c>
      <c r="E1706" s="4">
        <v>141.5</v>
      </c>
      <c r="F1706" s="4">
        <v>139</v>
      </c>
      <c r="G1706" s="4">
        <v>137.19999999999999</v>
      </c>
      <c r="H1706" s="1" t="s">
        <v>26</v>
      </c>
      <c r="K1706">
        <v>2014</v>
      </c>
      <c r="L1706" t="s">
        <v>44</v>
      </c>
      <c r="M1706" t="s">
        <v>75</v>
      </c>
      <c r="N1706" t="s">
        <v>17</v>
      </c>
      <c r="O1706" t="s">
        <v>189</v>
      </c>
      <c r="P1706" s="1" t="s">
        <v>30</v>
      </c>
      <c r="Q1706">
        <v>123.3</v>
      </c>
    </row>
    <row r="1707" spans="1:17" x14ac:dyDescent="0.3">
      <c r="A1707">
        <v>2018</v>
      </c>
      <c r="B1707" t="s">
        <v>35</v>
      </c>
      <c r="C1707" t="s">
        <v>117</v>
      </c>
      <c r="D1707" s="1" t="s">
        <v>5</v>
      </c>
      <c r="E1707" s="4">
        <v>140.6</v>
      </c>
      <c r="F1707" s="4">
        <v>140.30000000000001</v>
      </c>
      <c r="G1707" s="4">
        <v>139.9</v>
      </c>
      <c r="H1707" s="1" t="s">
        <v>188</v>
      </c>
      <c r="K1707">
        <v>2014</v>
      </c>
      <c r="L1707" t="s">
        <v>44</v>
      </c>
      <c r="M1707" t="s">
        <v>75</v>
      </c>
      <c r="N1707" t="s">
        <v>17</v>
      </c>
      <c r="O1707" t="s">
        <v>189</v>
      </c>
      <c r="P1707" s="1" t="s">
        <v>34</v>
      </c>
      <c r="Q1707">
        <v>122.1</v>
      </c>
    </row>
    <row r="1708" spans="1:17" x14ac:dyDescent="0.3">
      <c r="A1708">
        <v>2018</v>
      </c>
      <c r="B1708" t="s">
        <v>35</v>
      </c>
      <c r="C1708" t="s">
        <v>117</v>
      </c>
      <c r="D1708" s="1" t="s">
        <v>15</v>
      </c>
      <c r="E1708" s="4">
        <v>138.69999999999999</v>
      </c>
      <c r="F1708" s="4">
        <v>137.6</v>
      </c>
      <c r="G1708" s="4">
        <v>135.6</v>
      </c>
      <c r="H1708" s="1" t="s">
        <v>188</v>
      </c>
      <c r="K1708">
        <v>2014</v>
      </c>
      <c r="L1708" t="s">
        <v>44</v>
      </c>
      <c r="M1708" t="s">
        <v>75</v>
      </c>
      <c r="N1708" t="s">
        <v>17</v>
      </c>
      <c r="O1708" t="s">
        <v>189</v>
      </c>
      <c r="P1708" s="1" t="s">
        <v>33</v>
      </c>
      <c r="Q1708">
        <v>120.3</v>
      </c>
    </row>
    <row r="1709" spans="1:17" x14ac:dyDescent="0.3">
      <c r="A1709">
        <v>2018</v>
      </c>
      <c r="B1709" t="s">
        <v>35</v>
      </c>
      <c r="C1709" t="s">
        <v>117</v>
      </c>
      <c r="D1709" s="1" t="s">
        <v>18</v>
      </c>
      <c r="E1709" s="4">
        <v>142.4</v>
      </c>
      <c r="F1709" s="4">
        <v>135.6</v>
      </c>
      <c r="G1709" s="4">
        <v>126.1</v>
      </c>
      <c r="H1709" s="1" t="s">
        <v>189</v>
      </c>
      <c r="K1709">
        <v>2014</v>
      </c>
      <c r="L1709" t="s">
        <v>44</v>
      </c>
      <c r="M1709" t="s">
        <v>75</v>
      </c>
      <c r="N1709" t="s">
        <v>19</v>
      </c>
      <c r="O1709" t="s">
        <v>189</v>
      </c>
      <c r="P1709" s="1" t="s">
        <v>30</v>
      </c>
      <c r="Q1709">
        <v>122.9</v>
      </c>
    </row>
    <row r="1710" spans="1:17" x14ac:dyDescent="0.3">
      <c r="A1710">
        <v>2018</v>
      </c>
      <c r="B1710" t="s">
        <v>35</v>
      </c>
      <c r="C1710" t="s">
        <v>117</v>
      </c>
      <c r="D1710" s="1" t="s">
        <v>8</v>
      </c>
      <c r="E1710" s="4">
        <v>149.4</v>
      </c>
      <c r="F1710" s="4">
        <v>142.9</v>
      </c>
      <c r="G1710" s="4">
        <v>135.5</v>
      </c>
      <c r="H1710" s="1" t="s">
        <v>188</v>
      </c>
      <c r="K1710">
        <v>2014</v>
      </c>
      <c r="L1710" t="s">
        <v>44</v>
      </c>
      <c r="M1710" t="s">
        <v>75</v>
      </c>
      <c r="N1710" t="s">
        <v>19</v>
      </c>
      <c r="O1710" t="s">
        <v>189</v>
      </c>
      <c r="P1710" s="1" t="s">
        <v>34</v>
      </c>
      <c r="Q1710">
        <v>121.6</v>
      </c>
    </row>
    <row r="1711" spans="1:17" x14ac:dyDescent="0.3">
      <c r="A1711">
        <v>2018</v>
      </c>
      <c r="B1711" t="s">
        <v>35</v>
      </c>
      <c r="C1711" t="s">
        <v>117</v>
      </c>
      <c r="D1711" s="1" t="s">
        <v>21</v>
      </c>
      <c r="E1711" s="4">
        <v>142.4</v>
      </c>
      <c r="F1711" s="4">
        <v>136.69999999999999</v>
      </c>
      <c r="G1711" s="4">
        <v>127.3</v>
      </c>
      <c r="H1711" s="1" t="s">
        <v>190</v>
      </c>
      <c r="K1711">
        <v>2014</v>
      </c>
      <c r="L1711" t="s">
        <v>44</v>
      </c>
      <c r="M1711" t="s">
        <v>75</v>
      </c>
      <c r="N1711" t="s">
        <v>19</v>
      </c>
      <c r="O1711" t="s">
        <v>189</v>
      </c>
      <c r="P1711" s="1" t="s">
        <v>33</v>
      </c>
      <c r="Q1711">
        <v>119.5</v>
      </c>
    </row>
    <row r="1712" spans="1:17" x14ac:dyDescent="0.3">
      <c r="A1712">
        <v>2018</v>
      </c>
      <c r="B1712" t="s">
        <v>35</v>
      </c>
      <c r="C1712" t="s">
        <v>117</v>
      </c>
      <c r="D1712" s="1" t="s">
        <v>29</v>
      </c>
      <c r="E1712" s="4">
        <v>138.5</v>
      </c>
      <c r="F1712" s="4">
        <v>136.4</v>
      </c>
      <c r="G1712" s="4">
        <v>134</v>
      </c>
      <c r="H1712" s="1" t="s">
        <v>206</v>
      </c>
      <c r="K1712">
        <v>2014</v>
      </c>
      <c r="L1712" t="s">
        <v>44</v>
      </c>
      <c r="M1712" t="s">
        <v>75</v>
      </c>
      <c r="N1712" t="s">
        <v>26</v>
      </c>
      <c r="O1712" t="s">
        <v>26</v>
      </c>
      <c r="P1712" s="1" t="s">
        <v>30</v>
      </c>
      <c r="Q1712">
        <v>117.2</v>
      </c>
    </row>
    <row r="1713" spans="1:17" x14ac:dyDescent="0.3">
      <c r="A1713">
        <v>2018</v>
      </c>
      <c r="B1713" t="s">
        <v>35</v>
      </c>
      <c r="C1713" t="s">
        <v>117</v>
      </c>
      <c r="D1713" s="1" t="s">
        <v>23</v>
      </c>
      <c r="E1713" s="4">
        <v>136.19999999999999</v>
      </c>
      <c r="F1713" s="4">
        <v>133.80000000000001</v>
      </c>
      <c r="G1713" s="4">
        <v>129.80000000000001</v>
      </c>
      <c r="H1713" s="1" t="s">
        <v>23</v>
      </c>
      <c r="K1713">
        <v>2014</v>
      </c>
      <c r="L1713" t="s">
        <v>44</v>
      </c>
      <c r="M1713" t="s">
        <v>75</v>
      </c>
      <c r="N1713" t="s">
        <v>26</v>
      </c>
      <c r="O1713" t="s">
        <v>26</v>
      </c>
      <c r="P1713" s="1" t="s">
        <v>34</v>
      </c>
      <c r="Q1713">
        <v>119</v>
      </c>
    </row>
    <row r="1714" spans="1:17" x14ac:dyDescent="0.3">
      <c r="A1714">
        <v>2018</v>
      </c>
      <c r="B1714" t="s">
        <v>35</v>
      </c>
      <c r="C1714" t="s">
        <v>117</v>
      </c>
      <c r="D1714" s="1" t="s">
        <v>22</v>
      </c>
      <c r="E1714" s="4">
        <v>139.9</v>
      </c>
      <c r="F1714" s="4">
        <v>135.19999999999999</v>
      </c>
      <c r="G1714" s="4">
        <v>129.9</v>
      </c>
      <c r="H1714" s="1" t="s">
        <v>20</v>
      </c>
      <c r="K1714">
        <v>2014</v>
      </c>
      <c r="L1714" t="s">
        <v>44</v>
      </c>
      <c r="M1714" t="s">
        <v>75</v>
      </c>
      <c r="N1714" t="s">
        <v>26</v>
      </c>
      <c r="O1714" t="s">
        <v>26</v>
      </c>
      <c r="P1714" s="1" t="s">
        <v>33</v>
      </c>
      <c r="Q1714">
        <v>120.3</v>
      </c>
    </row>
    <row r="1715" spans="1:17" x14ac:dyDescent="0.3">
      <c r="A1715">
        <v>2018</v>
      </c>
      <c r="B1715" t="s">
        <v>35</v>
      </c>
      <c r="C1715" t="s">
        <v>117</v>
      </c>
      <c r="D1715" s="1" t="s">
        <v>20</v>
      </c>
      <c r="E1715" s="4">
        <v>0</v>
      </c>
      <c r="F1715" s="4">
        <v>141.30000000000001</v>
      </c>
      <c r="G1715" s="4">
        <v>141.30000000000001</v>
      </c>
      <c r="H1715" s="1" t="s">
        <v>20</v>
      </c>
      <c r="K1715">
        <v>2014</v>
      </c>
      <c r="L1715" t="s">
        <v>44</v>
      </c>
      <c r="M1715" t="s">
        <v>75</v>
      </c>
      <c r="N1715" t="s">
        <v>5</v>
      </c>
      <c r="O1715" t="s">
        <v>188</v>
      </c>
      <c r="P1715" s="1" t="s">
        <v>30</v>
      </c>
      <c r="Q1715">
        <v>119.9</v>
      </c>
    </row>
    <row r="1716" spans="1:17" x14ac:dyDescent="0.3">
      <c r="A1716">
        <v>2018</v>
      </c>
      <c r="B1716" t="s">
        <v>35</v>
      </c>
      <c r="C1716" t="s">
        <v>117</v>
      </c>
      <c r="D1716" s="1" t="s">
        <v>4</v>
      </c>
      <c r="E1716" s="4">
        <v>143.69999999999999</v>
      </c>
      <c r="F1716" s="4">
        <v>143.5</v>
      </c>
      <c r="G1716" s="4">
        <v>143</v>
      </c>
      <c r="H1716" s="1" t="s">
        <v>188</v>
      </c>
      <c r="K1716">
        <v>2014</v>
      </c>
      <c r="L1716" t="s">
        <v>44</v>
      </c>
      <c r="M1716" t="s">
        <v>75</v>
      </c>
      <c r="N1716" t="s">
        <v>5</v>
      </c>
      <c r="O1716" t="s">
        <v>188</v>
      </c>
      <c r="P1716" s="1" t="s">
        <v>34</v>
      </c>
      <c r="Q1716">
        <v>121</v>
      </c>
    </row>
    <row r="1717" spans="1:17" x14ac:dyDescent="0.3">
      <c r="A1717">
        <v>2018</v>
      </c>
      <c r="B1717" t="s">
        <v>35</v>
      </c>
      <c r="C1717" t="s">
        <v>117</v>
      </c>
      <c r="D1717" s="1" t="s">
        <v>6</v>
      </c>
      <c r="E1717" s="4">
        <v>141.5</v>
      </c>
      <c r="F1717" s="4">
        <v>140.9</v>
      </c>
      <c r="G1717" s="4">
        <v>139.9</v>
      </c>
      <c r="H1717" s="1" t="s">
        <v>188</v>
      </c>
      <c r="K1717">
        <v>2014</v>
      </c>
      <c r="L1717" t="s">
        <v>44</v>
      </c>
      <c r="M1717" t="s">
        <v>75</v>
      </c>
      <c r="N1717" t="s">
        <v>5</v>
      </c>
      <c r="O1717" t="s">
        <v>188</v>
      </c>
      <c r="P1717" s="1" t="s">
        <v>33</v>
      </c>
      <c r="Q1717">
        <v>122.7</v>
      </c>
    </row>
    <row r="1718" spans="1:17" x14ac:dyDescent="0.3">
      <c r="A1718">
        <v>2018</v>
      </c>
      <c r="B1718" t="s">
        <v>35</v>
      </c>
      <c r="C1718" t="s">
        <v>117</v>
      </c>
      <c r="D1718" s="1" t="s">
        <v>28</v>
      </c>
      <c r="E1718" s="4">
        <v>132.5</v>
      </c>
      <c r="F1718" s="4">
        <v>129.6</v>
      </c>
      <c r="G1718" s="4">
        <v>126.5</v>
      </c>
      <c r="H1718" s="1" t="s">
        <v>192</v>
      </c>
      <c r="K1718">
        <v>2014</v>
      </c>
      <c r="L1718" t="s">
        <v>44</v>
      </c>
      <c r="M1718" t="s">
        <v>75</v>
      </c>
      <c r="N1718" t="s">
        <v>15</v>
      </c>
      <c r="O1718" t="s">
        <v>188</v>
      </c>
      <c r="P1718" s="1" t="s">
        <v>30</v>
      </c>
      <c r="Q1718">
        <v>124.9</v>
      </c>
    </row>
    <row r="1719" spans="1:17" x14ac:dyDescent="0.3">
      <c r="A1719">
        <v>2018</v>
      </c>
      <c r="B1719" t="s">
        <v>35</v>
      </c>
      <c r="C1719" t="s">
        <v>117</v>
      </c>
      <c r="D1719" s="1" t="s">
        <v>13</v>
      </c>
      <c r="E1719" s="4">
        <v>130.5</v>
      </c>
      <c r="F1719" s="4">
        <v>128.6</v>
      </c>
      <c r="G1719" s="4">
        <v>125.9</v>
      </c>
      <c r="H1719" s="1" t="s">
        <v>188</v>
      </c>
      <c r="K1719">
        <v>2014</v>
      </c>
      <c r="L1719" t="s">
        <v>44</v>
      </c>
      <c r="M1719" t="s">
        <v>75</v>
      </c>
      <c r="N1719" t="s">
        <v>15</v>
      </c>
      <c r="O1719" t="s">
        <v>188</v>
      </c>
      <c r="P1719" s="1" t="s">
        <v>34</v>
      </c>
      <c r="Q1719">
        <v>125.1</v>
      </c>
    </row>
    <row r="1720" spans="1:17" x14ac:dyDescent="0.3">
      <c r="A1720">
        <v>2018</v>
      </c>
      <c r="B1720" t="s">
        <v>35</v>
      </c>
      <c r="C1720" t="s">
        <v>117</v>
      </c>
      <c r="D1720" s="1" t="s">
        <v>7</v>
      </c>
      <c r="E1720" s="4">
        <v>122.9</v>
      </c>
      <c r="F1720" s="4">
        <v>120.4</v>
      </c>
      <c r="G1720" s="4">
        <v>116.2</v>
      </c>
      <c r="H1720" s="1" t="s">
        <v>188</v>
      </c>
      <c r="K1720">
        <v>2014</v>
      </c>
      <c r="L1720" t="s">
        <v>44</v>
      </c>
      <c r="M1720" t="s">
        <v>75</v>
      </c>
      <c r="N1720" t="s">
        <v>15</v>
      </c>
      <c r="O1720" t="s">
        <v>188</v>
      </c>
      <c r="P1720" s="1" t="s">
        <v>33</v>
      </c>
      <c r="Q1720">
        <v>125.4</v>
      </c>
    </row>
    <row r="1721" spans="1:17" x14ac:dyDescent="0.3">
      <c r="A1721">
        <v>2018</v>
      </c>
      <c r="B1721" t="s">
        <v>35</v>
      </c>
      <c r="C1721" t="s">
        <v>117</v>
      </c>
      <c r="D1721" s="1" t="s">
        <v>16</v>
      </c>
      <c r="E1721" s="4">
        <v>153.30000000000001</v>
      </c>
      <c r="F1721" s="4">
        <v>154.9</v>
      </c>
      <c r="G1721" s="4">
        <v>159.30000000000001</v>
      </c>
      <c r="H1721" s="1" t="s">
        <v>192</v>
      </c>
      <c r="K1721">
        <v>2014</v>
      </c>
      <c r="L1721" t="s">
        <v>44</v>
      </c>
      <c r="M1721" t="s">
        <v>75</v>
      </c>
      <c r="N1721" t="s">
        <v>18</v>
      </c>
      <c r="O1721" t="s">
        <v>189</v>
      </c>
      <c r="P1721" s="1" t="s">
        <v>30</v>
      </c>
      <c r="Q1721">
        <v>120.5</v>
      </c>
    </row>
    <row r="1722" spans="1:17" x14ac:dyDescent="0.3">
      <c r="A1722">
        <v>2018</v>
      </c>
      <c r="B1722" t="s">
        <v>35</v>
      </c>
      <c r="C1722" t="s">
        <v>117</v>
      </c>
      <c r="D1722" s="1" t="s">
        <v>27</v>
      </c>
      <c r="E1722" s="4">
        <v>128.80000000000001</v>
      </c>
      <c r="F1722" s="4">
        <v>127.7</v>
      </c>
      <c r="G1722" s="4">
        <v>126.2</v>
      </c>
      <c r="H1722" s="1" t="s">
        <v>192</v>
      </c>
      <c r="K1722">
        <v>2014</v>
      </c>
      <c r="L1722" t="s">
        <v>44</v>
      </c>
      <c r="M1722" t="s">
        <v>75</v>
      </c>
      <c r="N1722" t="s">
        <v>18</v>
      </c>
      <c r="O1722" t="s">
        <v>189</v>
      </c>
      <c r="P1722" s="1" t="s">
        <v>34</v>
      </c>
      <c r="Q1722">
        <v>118.4</v>
      </c>
    </row>
    <row r="1723" spans="1:17" x14ac:dyDescent="0.3">
      <c r="A1723">
        <v>2018</v>
      </c>
      <c r="B1723" t="s">
        <v>35</v>
      </c>
      <c r="C1723" t="s">
        <v>117</v>
      </c>
      <c r="D1723" s="1" t="s">
        <v>14</v>
      </c>
      <c r="E1723" s="4">
        <v>151.69999999999999</v>
      </c>
      <c r="F1723" s="4">
        <v>149.6</v>
      </c>
      <c r="G1723" s="4">
        <v>147.1</v>
      </c>
      <c r="H1723" s="1" t="s">
        <v>188</v>
      </c>
      <c r="K1723">
        <v>2014</v>
      </c>
      <c r="L1723" t="s">
        <v>44</v>
      </c>
      <c r="M1723" t="s">
        <v>75</v>
      </c>
      <c r="N1723" t="s">
        <v>18</v>
      </c>
      <c r="O1723" t="s">
        <v>189</v>
      </c>
      <c r="P1723" s="1" t="s">
        <v>33</v>
      </c>
      <c r="Q1723">
        <v>115.4</v>
      </c>
    </row>
    <row r="1724" spans="1:17" x14ac:dyDescent="0.3">
      <c r="A1724">
        <v>2018</v>
      </c>
      <c r="B1724" t="s">
        <v>35</v>
      </c>
      <c r="C1724" t="s">
        <v>117</v>
      </c>
      <c r="D1724" s="1" t="s">
        <v>10</v>
      </c>
      <c r="E1724" s="4">
        <v>130.19999999999999</v>
      </c>
      <c r="F1724" s="4">
        <v>125.8</v>
      </c>
      <c r="G1724" s="4">
        <v>117</v>
      </c>
      <c r="H1724" s="1" t="s">
        <v>188</v>
      </c>
      <c r="K1724">
        <v>2014</v>
      </c>
      <c r="L1724" t="s">
        <v>44</v>
      </c>
      <c r="M1724" t="s">
        <v>75</v>
      </c>
      <c r="N1724" t="s">
        <v>8</v>
      </c>
      <c r="O1724" t="s">
        <v>188</v>
      </c>
      <c r="P1724" s="1" t="s">
        <v>30</v>
      </c>
      <c r="Q1724">
        <v>128.80000000000001</v>
      </c>
    </row>
    <row r="1725" spans="1:17" x14ac:dyDescent="0.3">
      <c r="A1725">
        <v>2018</v>
      </c>
      <c r="B1725" t="s">
        <v>35</v>
      </c>
      <c r="C1725" t="s">
        <v>117</v>
      </c>
      <c r="D1725" s="1" t="s">
        <v>25</v>
      </c>
      <c r="E1725" s="4">
        <v>134.30000000000001</v>
      </c>
      <c r="F1725" s="4">
        <v>129.9</v>
      </c>
      <c r="G1725" s="4">
        <v>126.5</v>
      </c>
      <c r="H1725" s="1" t="s">
        <v>195</v>
      </c>
      <c r="K1725">
        <v>2014</v>
      </c>
      <c r="L1725" t="s">
        <v>44</v>
      </c>
      <c r="M1725" t="s">
        <v>75</v>
      </c>
      <c r="N1725" t="s">
        <v>8</v>
      </c>
      <c r="O1725" t="s">
        <v>188</v>
      </c>
      <c r="P1725" s="1" t="s">
        <v>34</v>
      </c>
      <c r="Q1725">
        <v>125.7</v>
      </c>
    </row>
    <row r="1726" spans="1:17" x14ac:dyDescent="0.3">
      <c r="A1726">
        <v>2018</v>
      </c>
      <c r="B1726" t="s">
        <v>35</v>
      </c>
      <c r="C1726" t="s">
        <v>117</v>
      </c>
      <c r="D1726" s="1" t="s">
        <v>12</v>
      </c>
      <c r="E1726" s="4">
        <v>135.6</v>
      </c>
      <c r="F1726" s="4">
        <v>137.30000000000001</v>
      </c>
      <c r="G1726" s="4">
        <v>140.69999999999999</v>
      </c>
      <c r="H1726" s="1" t="s">
        <v>188</v>
      </c>
      <c r="K1726">
        <v>2014</v>
      </c>
      <c r="L1726" t="s">
        <v>44</v>
      </c>
      <c r="M1726" t="s">
        <v>75</v>
      </c>
      <c r="N1726" t="s">
        <v>8</v>
      </c>
      <c r="O1726" t="s">
        <v>188</v>
      </c>
      <c r="P1726" s="1" t="s">
        <v>33</v>
      </c>
      <c r="Q1726">
        <v>122.2</v>
      </c>
    </row>
    <row r="1727" spans="1:17" x14ac:dyDescent="0.3">
      <c r="A1727">
        <v>2018</v>
      </c>
      <c r="B1727" t="s">
        <v>35</v>
      </c>
      <c r="C1727" t="s">
        <v>117</v>
      </c>
      <c r="D1727" s="1" t="s">
        <v>11</v>
      </c>
      <c r="E1727" s="4">
        <v>117.9</v>
      </c>
      <c r="F1727" s="4">
        <v>117.1</v>
      </c>
      <c r="G1727" s="4">
        <v>115.4</v>
      </c>
      <c r="H1727" s="1" t="s">
        <v>188</v>
      </c>
      <c r="K1727">
        <v>2014</v>
      </c>
      <c r="L1727" t="s">
        <v>44</v>
      </c>
      <c r="M1727" t="s">
        <v>75</v>
      </c>
      <c r="N1727" t="s">
        <v>21</v>
      </c>
      <c r="O1727" t="s">
        <v>190</v>
      </c>
      <c r="P1727" s="1" t="s">
        <v>30</v>
      </c>
      <c r="Q1727">
        <v>117.3</v>
      </c>
    </row>
    <row r="1728" spans="1:17" x14ac:dyDescent="0.3">
      <c r="A1728">
        <v>2018</v>
      </c>
      <c r="B1728" t="s">
        <v>35</v>
      </c>
      <c r="C1728" t="s">
        <v>117</v>
      </c>
      <c r="D1728" s="1" t="s">
        <v>24</v>
      </c>
      <c r="E1728" s="4">
        <v>123.3</v>
      </c>
      <c r="F1728" s="4">
        <v>120.2</v>
      </c>
      <c r="G1728" s="4">
        <v>117.4</v>
      </c>
      <c r="H1728" s="1" t="s">
        <v>191</v>
      </c>
      <c r="K1728">
        <v>2014</v>
      </c>
      <c r="L1728" t="s">
        <v>44</v>
      </c>
      <c r="M1728" t="s">
        <v>75</v>
      </c>
      <c r="N1728" t="s">
        <v>21</v>
      </c>
      <c r="O1728" t="s">
        <v>190</v>
      </c>
      <c r="P1728" s="1" t="s">
        <v>34</v>
      </c>
      <c r="Q1728">
        <v>115.5</v>
      </c>
    </row>
    <row r="1729" spans="1:17" x14ac:dyDescent="0.3">
      <c r="A1729">
        <v>2018</v>
      </c>
      <c r="B1729" t="s">
        <v>35</v>
      </c>
      <c r="C1729" t="s">
        <v>117</v>
      </c>
      <c r="D1729" s="1" t="s">
        <v>9</v>
      </c>
      <c r="E1729" s="4">
        <v>142.4</v>
      </c>
      <c r="F1729" s="4">
        <v>140.5</v>
      </c>
      <c r="G1729" s="4">
        <v>136.9</v>
      </c>
      <c r="H1729" s="1" t="s">
        <v>188</v>
      </c>
      <c r="K1729">
        <v>2014</v>
      </c>
      <c r="L1729" t="s">
        <v>44</v>
      </c>
      <c r="M1729" t="s">
        <v>75</v>
      </c>
      <c r="N1729" t="s">
        <v>21</v>
      </c>
      <c r="O1729" t="s">
        <v>190</v>
      </c>
      <c r="P1729" s="1" t="s">
        <v>33</v>
      </c>
      <c r="Q1729">
        <v>112.6</v>
      </c>
    </row>
    <row r="1730" spans="1:17" x14ac:dyDescent="0.3">
      <c r="A1730">
        <v>2018</v>
      </c>
      <c r="B1730" t="s">
        <v>31</v>
      </c>
      <c r="C1730" t="s">
        <v>118</v>
      </c>
      <c r="D1730" s="1" t="s">
        <v>3</v>
      </c>
      <c r="E1730" s="4">
        <v>136.6</v>
      </c>
      <c r="F1730" s="4">
        <v>136</v>
      </c>
      <c r="G1730" s="4">
        <v>134.6</v>
      </c>
      <c r="H1730" s="1" t="s">
        <v>188</v>
      </c>
      <c r="K1730">
        <v>2014</v>
      </c>
      <c r="L1730" t="s">
        <v>44</v>
      </c>
      <c r="M1730" t="s">
        <v>75</v>
      </c>
      <c r="N1730" t="s">
        <v>29</v>
      </c>
      <c r="O1730" t="s">
        <v>206</v>
      </c>
      <c r="P1730" s="1" t="s">
        <v>30</v>
      </c>
      <c r="Q1730">
        <v>121.1</v>
      </c>
    </row>
    <row r="1731" spans="1:17" x14ac:dyDescent="0.3">
      <c r="A1731">
        <v>2018</v>
      </c>
      <c r="B1731" t="s">
        <v>31</v>
      </c>
      <c r="C1731" t="s">
        <v>118</v>
      </c>
      <c r="D1731" s="1" t="s">
        <v>17</v>
      </c>
      <c r="E1731" s="4">
        <v>148.30000000000001</v>
      </c>
      <c r="F1731" s="4">
        <v>143.5</v>
      </c>
      <c r="G1731" s="4">
        <v>136</v>
      </c>
      <c r="H1731" s="1" t="s">
        <v>189</v>
      </c>
      <c r="K1731">
        <v>2014</v>
      </c>
      <c r="L1731" t="s">
        <v>44</v>
      </c>
      <c r="M1731" t="s">
        <v>75</v>
      </c>
      <c r="N1731" t="s">
        <v>29</v>
      </c>
      <c r="O1731" t="s">
        <v>206</v>
      </c>
      <c r="P1731" s="1" t="s">
        <v>34</v>
      </c>
      <c r="Q1731">
        <v>120.1</v>
      </c>
    </row>
    <row r="1732" spans="1:17" x14ac:dyDescent="0.3">
      <c r="A1732">
        <v>2018</v>
      </c>
      <c r="B1732" t="s">
        <v>31</v>
      </c>
      <c r="C1732" t="s">
        <v>118</v>
      </c>
      <c r="D1732" s="1" t="s">
        <v>19</v>
      </c>
      <c r="E1732" s="4">
        <v>147.5</v>
      </c>
      <c r="F1732" s="4">
        <v>142.30000000000001</v>
      </c>
      <c r="G1732" s="4">
        <v>134.4</v>
      </c>
      <c r="H1732" s="1" t="s">
        <v>189</v>
      </c>
      <c r="K1732">
        <v>2014</v>
      </c>
      <c r="L1732" t="s">
        <v>44</v>
      </c>
      <c r="M1732" t="s">
        <v>75</v>
      </c>
      <c r="N1732" t="s">
        <v>29</v>
      </c>
      <c r="O1732" t="s">
        <v>206</v>
      </c>
      <c r="P1732" s="1" t="s">
        <v>33</v>
      </c>
      <c r="Q1732">
        <v>119</v>
      </c>
    </row>
    <row r="1733" spans="1:17" x14ac:dyDescent="0.3">
      <c r="A1733">
        <v>2018</v>
      </c>
      <c r="B1733" t="s">
        <v>31</v>
      </c>
      <c r="C1733" t="s">
        <v>118</v>
      </c>
      <c r="D1733" s="1" t="s">
        <v>26</v>
      </c>
      <c r="E1733" s="4">
        <v>141.6</v>
      </c>
      <c r="F1733" s="4">
        <v>139</v>
      </c>
      <c r="G1733" s="4">
        <v>137.1</v>
      </c>
      <c r="H1733" s="1" t="s">
        <v>26</v>
      </c>
      <c r="K1733">
        <v>2014</v>
      </c>
      <c r="L1733" t="s">
        <v>44</v>
      </c>
      <c r="M1733" t="s">
        <v>75</v>
      </c>
      <c r="N1733" t="s">
        <v>23</v>
      </c>
      <c r="O1733" t="s">
        <v>23</v>
      </c>
      <c r="P1733" s="1" t="s">
        <v>30</v>
      </c>
      <c r="Q1733">
        <v>115.9</v>
      </c>
    </row>
    <row r="1734" spans="1:17" x14ac:dyDescent="0.3">
      <c r="A1734">
        <v>2018</v>
      </c>
      <c r="B1734" t="s">
        <v>31</v>
      </c>
      <c r="C1734" t="s">
        <v>118</v>
      </c>
      <c r="D1734" s="1" t="s">
        <v>5</v>
      </c>
      <c r="E1734" s="4">
        <v>143.80000000000001</v>
      </c>
      <c r="F1734" s="4">
        <v>143.69999999999999</v>
      </c>
      <c r="G1734" s="4">
        <v>143.6</v>
      </c>
      <c r="H1734" s="1" t="s">
        <v>188</v>
      </c>
      <c r="K1734">
        <v>2014</v>
      </c>
      <c r="L1734" t="s">
        <v>44</v>
      </c>
      <c r="M1734" t="s">
        <v>75</v>
      </c>
      <c r="N1734" t="s">
        <v>23</v>
      </c>
      <c r="O1734" t="s">
        <v>23</v>
      </c>
      <c r="P1734" s="1" t="s">
        <v>34</v>
      </c>
      <c r="Q1734">
        <v>114.8</v>
      </c>
    </row>
    <row r="1735" spans="1:17" x14ac:dyDescent="0.3">
      <c r="A1735">
        <v>2018</v>
      </c>
      <c r="B1735" t="s">
        <v>31</v>
      </c>
      <c r="C1735" t="s">
        <v>118</v>
      </c>
      <c r="D1735" s="1" t="s">
        <v>15</v>
      </c>
      <c r="E1735" s="4">
        <v>140.4</v>
      </c>
      <c r="F1735" s="4">
        <v>139.19999999999999</v>
      </c>
      <c r="G1735" s="4">
        <v>137.19999999999999</v>
      </c>
      <c r="H1735" s="1" t="s">
        <v>188</v>
      </c>
      <c r="K1735">
        <v>2014</v>
      </c>
      <c r="L1735" t="s">
        <v>44</v>
      </c>
      <c r="M1735" t="s">
        <v>75</v>
      </c>
      <c r="N1735" t="s">
        <v>23</v>
      </c>
      <c r="O1735" t="s">
        <v>23</v>
      </c>
      <c r="P1735" s="1" t="s">
        <v>33</v>
      </c>
      <c r="Q1735">
        <v>113</v>
      </c>
    </row>
    <row r="1736" spans="1:17" x14ac:dyDescent="0.3">
      <c r="A1736">
        <v>2018</v>
      </c>
      <c r="B1736" t="s">
        <v>31</v>
      </c>
      <c r="C1736" t="s">
        <v>118</v>
      </c>
      <c r="D1736" s="1" t="s">
        <v>18</v>
      </c>
      <c r="E1736" s="4">
        <v>142.30000000000001</v>
      </c>
      <c r="F1736" s="4">
        <v>135.5</v>
      </c>
      <c r="G1736" s="4">
        <v>125.9</v>
      </c>
      <c r="H1736" s="1" t="s">
        <v>189</v>
      </c>
      <c r="K1736">
        <v>2014</v>
      </c>
      <c r="L1736" t="s">
        <v>44</v>
      </c>
      <c r="M1736" t="s">
        <v>75</v>
      </c>
      <c r="N1736" t="s">
        <v>22</v>
      </c>
      <c r="O1736" t="s">
        <v>20</v>
      </c>
      <c r="P1736" s="1" t="s">
        <v>30</v>
      </c>
      <c r="Q1736">
        <v>118.1</v>
      </c>
    </row>
    <row r="1737" spans="1:17" x14ac:dyDescent="0.3">
      <c r="A1737">
        <v>2018</v>
      </c>
      <c r="B1737" t="s">
        <v>31</v>
      </c>
      <c r="C1737" t="s">
        <v>118</v>
      </c>
      <c r="D1737" s="1" t="s">
        <v>8</v>
      </c>
      <c r="E1737" s="4">
        <v>147.9</v>
      </c>
      <c r="F1737" s="4">
        <v>141.30000000000001</v>
      </c>
      <c r="G1737" s="4">
        <v>133.80000000000001</v>
      </c>
      <c r="H1737" s="1" t="s">
        <v>188</v>
      </c>
      <c r="K1737">
        <v>2014</v>
      </c>
      <c r="L1737" t="s">
        <v>44</v>
      </c>
      <c r="M1737" t="s">
        <v>75</v>
      </c>
      <c r="N1737" t="s">
        <v>22</v>
      </c>
      <c r="O1737" t="s">
        <v>20</v>
      </c>
      <c r="P1737" s="1" t="s">
        <v>34</v>
      </c>
      <c r="Q1737">
        <v>117.3</v>
      </c>
    </row>
    <row r="1738" spans="1:17" x14ac:dyDescent="0.3">
      <c r="A1738">
        <v>2018</v>
      </c>
      <c r="B1738" t="s">
        <v>31</v>
      </c>
      <c r="C1738" t="s">
        <v>118</v>
      </c>
      <c r="D1738" s="1" t="s">
        <v>21</v>
      </c>
      <c r="E1738" s="4">
        <v>142.30000000000001</v>
      </c>
      <c r="F1738" s="4">
        <v>136.6</v>
      </c>
      <c r="G1738" s="4">
        <v>127.3</v>
      </c>
      <c r="H1738" s="1" t="s">
        <v>190</v>
      </c>
      <c r="K1738">
        <v>2014</v>
      </c>
      <c r="L1738" t="s">
        <v>44</v>
      </c>
      <c r="M1738" t="s">
        <v>75</v>
      </c>
      <c r="N1738" t="s">
        <v>22</v>
      </c>
      <c r="O1738" t="s">
        <v>20</v>
      </c>
      <c r="P1738" s="1" t="s">
        <v>33</v>
      </c>
      <c r="Q1738">
        <v>116.4</v>
      </c>
    </row>
    <row r="1739" spans="1:17" x14ac:dyDescent="0.3">
      <c r="A1739">
        <v>2018</v>
      </c>
      <c r="B1739" t="s">
        <v>31</v>
      </c>
      <c r="C1739" t="s">
        <v>118</v>
      </c>
      <c r="D1739" s="1" t="s">
        <v>29</v>
      </c>
      <c r="E1739" s="4">
        <v>139.30000000000001</v>
      </c>
      <c r="F1739" s="4">
        <v>136.9</v>
      </c>
      <c r="G1739" s="4">
        <v>134.1</v>
      </c>
      <c r="H1739" s="1" t="s">
        <v>206</v>
      </c>
      <c r="K1739">
        <v>2014</v>
      </c>
      <c r="L1739" t="s">
        <v>44</v>
      </c>
      <c r="M1739" t="s">
        <v>75</v>
      </c>
      <c r="N1739" t="s">
        <v>20</v>
      </c>
      <c r="O1739" t="s">
        <v>20</v>
      </c>
      <c r="P1739" s="1" t="s">
        <v>30</v>
      </c>
      <c r="Q1739">
        <v>0</v>
      </c>
    </row>
    <row r="1740" spans="1:17" x14ac:dyDescent="0.3">
      <c r="A1740">
        <v>2018</v>
      </c>
      <c r="B1740" t="s">
        <v>31</v>
      </c>
      <c r="C1740" t="s">
        <v>118</v>
      </c>
      <c r="D1740" s="1" t="s">
        <v>23</v>
      </c>
      <c r="E1740" s="4">
        <v>136</v>
      </c>
      <c r="F1740" s="4">
        <v>133.30000000000001</v>
      </c>
      <c r="G1740" s="4">
        <v>129</v>
      </c>
      <c r="H1740" s="1" t="s">
        <v>23</v>
      </c>
      <c r="K1740">
        <v>2014</v>
      </c>
      <c r="L1740" t="s">
        <v>44</v>
      </c>
      <c r="M1740" t="s">
        <v>75</v>
      </c>
      <c r="N1740" t="s">
        <v>20</v>
      </c>
      <c r="O1740" t="s">
        <v>20</v>
      </c>
      <c r="P1740" s="1" t="s">
        <v>34</v>
      </c>
      <c r="Q1740">
        <v>117.1</v>
      </c>
    </row>
    <row r="1741" spans="1:17" x14ac:dyDescent="0.3">
      <c r="A1741">
        <v>2018</v>
      </c>
      <c r="B1741" t="s">
        <v>31</v>
      </c>
      <c r="C1741" t="s">
        <v>118</v>
      </c>
      <c r="D1741" s="1" t="s">
        <v>22</v>
      </c>
      <c r="E1741" s="4">
        <v>139.80000000000001</v>
      </c>
      <c r="F1741" s="4">
        <v>134.9</v>
      </c>
      <c r="G1741" s="4">
        <v>129.5</v>
      </c>
      <c r="H1741" s="1" t="s">
        <v>20</v>
      </c>
      <c r="K1741">
        <v>2014</v>
      </c>
      <c r="L1741" t="s">
        <v>44</v>
      </c>
      <c r="M1741" t="s">
        <v>75</v>
      </c>
      <c r="N1741" t="s">
        <v>20</v>
      </c>
      <c r="O1741" t="s">
        <v>20</v>
      </c>
      <c r="P1741" s="1" t="s">
        <v>33</v>
      </c>
      <c r="Q1741">
        <v>117.1</v>
      </c>
    </row>
    <row r="1742" spans="1:17" x14ac:dyDescent="0.3">
      <c r="A1742">
        <v>2018</v>
      </c>
      <c r="B1742" t="s">
        <v>31</v>
      </c>
      <c r="C1742" t="s">
        <v>118</v>
      </c>
      <c r="D1742" s="1" t="s">
        <v>20</v>
      </c>
      <c r="E1742" s="4">
        <v>0</v>
      </c>
      <c r="F1742" s="4">
        <v>140.4</v>
      </c>
      <c r="G1742" s="4">
        <v>140.4</v>
      </c>
      <c r="H1742" s="1" t="s">
        <v>20</v>
      </c>
      <c r="K1742">
        <v>2014</v>
      </c>
      <c r="L1742" t="s">
        <v>44</v>
      </c>
      <c r="M1742" t="s">
        <v>75</v>
      </c>
      <c r="N1742" t="s">
        <v>4</v>
      </c>
      <c r="O1742" t="s">
        <v>188</v>
      </c>
      <c r="P1742" s="1" t="s">
        <v>30</v>
      </c>
      <c r="Q1742">
        <v>122.6</v>
      </c>
    </row>
    <row r="1743" spans="1:17" x14ac:dyDescent="0.3">
      <c r="A1743">
        <v>2018</v>
      </c>
      <c r="B1743" t="s">
        <v>31</v>
      </c>
      <c r="C1743" t="s">
        <v>118</v>
      </c>
      <c r="D1743" s="1" t="s">
        <v>4</v>
      </c>
      <c r="E1743" s="4">
        <v>144.4</v>
      </c>
      <c r="F1743" s="4">
        <v>144.19999999999999</v>
      </c>
      <c r="G1743" s="4">
        <v>143.69999999999999</v>
      </c>
      <c r="H1743" s="1" t="s">
        <v>188</v>
      </c>
      <c r="K1743">
        <v>2014</v>
      </c>
      <c r="L1743" t="s">
        <v>44</v>
      </c>
      <c r="M1743" t="s">
        <v>75</v>
      </c>
      <c r="N1743" t="s">
        <v>4</v>
      </c>
      <c r="O1743" t="s">
        <v>188</v>
      </c>
      <c r="P1743" s="1" t="s">
        <v>34</v>
      </c>
      <c r="Q1743">
        <v>123.7</v>
      </c>
    </row>
    <row r="1744" spans="1:17" x14ac:dyDescent="0.3">
      <c r="A1744">
        <v>2018</v>
      </c>
      <c r="B1744" t="s">
        <v>31</v>
      </c>
      <c r="C1744" t="s">
        <v>118</v>
      </c>
      <c r="D1744" s="1" t="s">
        <v>6</v>
      </c>
      <c r="E1744" s="4">
        <v>142</v>
      </c>
      <c r="F1744" s="4">
        <v>141.1</v>
      </c>
      <c r="G1744" s="4">
        <v>139.6</v>
      </c>
      <c r="H1744" s="1" t="s">
        <v>188</v>
      </c>
      <c r="K1744">
        <v>2014</v>
      </c>
      <c r="L1744" t="s">
        <v>44</v>
      </c>
      <c r="M1744" t="s">
        <v>75</v>
      </c>
      <c r="N1744" t="s">
        <v>4</v>
      </c>
      <c r="O1744" t="s">
        <v>188</v>
      </c>
      <c r="P1744" s="1" t="s">
        <v>33</v>
      </c>
      <c r="Q1744">
        <v>125.6</v>
      </c>
    </row>
    <row r="1745" spans="1:17" x14ac:dyDescent="0.3">
      <c r="A1745">
        <v>2018</v>
      </c>
      <c r="B1745" t="s">
        <v>31</v>
      </c>
      <c r="C1745" t="s">
        <v>118</v>
      </c>
      <c r="D1745" s="1" t="s">
        <v>28</v>
      </c>
      <c r="E1745" s="4">
        <v>132.30000000000001</v>
      </c>
      <c r="F1745" s="4">
        <v>129.1</v>
      </c>
      <c r="G1745" s="4">
        <v>125.8</v>
      </c>
      <c r="H1745" s="1" t="s">
        <v>192</v>
      </c>
      <c r="K1745">
        <v>2014</v>
      </c>
      <c r="L1745" t="s">
        <v>44</v>
      </c>
      <c r="M1745" t="s">
        <v>75</v>
      </c>
      <c r="N1745" t="s">
        <v>6</v>
      </c>
      <c r="O1745" t="s">
        <v>188</v>
      </c>
      <c r="P1745" s="1" t="s">
        <v>30</v>
      </c>
      <c r="Q1745">
        <v>124</v>
      </c>
    </row>
    <row r="1746" spans="1:17" x14ac:dyDescent="0.3">
      <c r="A1746">
        <v>2018</v>
      </c>
      <c r="B1746" t="s">
        <v>31</v>
      </c>
      <c r="C1746" t="s">
        <v>118</v>
      </c>
      <c r="D1746" s="1" t="s">
        <v>13</v>
      </c>
      <c r="E1746" s="4">
        <v>131.19999999999999</v>
      </c>
      <c r="F1746" s="4">
        <v>129</v>
      </c>
      <c r="G1746" s="4">
        <v>125.9</v>
      </c>
      <c r="H1746" s="1" t="s">
        <v>188</v>
      </c>
      <c r="K1746">
        <v>2014</v>
      </c>
      <c r="L1746" t="s">
        <v>44</v>
      </c>
      <c r="M1746" t="s">
        <v>75</v>
      </c>
      <c r="N1746" t="s">
        <v>6</v>
      </c>
      <c r="O1746" t="s">
        <v>188</v>
      </c>
      <c r="P1746" s="1" t="s">
        <v>34</v>
      </c>
      <c r="Q1746">
        <v>124.2</v>
      </c>
    </row>
    <row r="1747" spans="1:17" x14ac:dyDescent="0.3">
      <c r="A1747">
        <v>2018</v>
      </c>
      <c r="B1747" t="s">
        <v>31</v>
      </c>
      <c r="C1747" t="s">
        <v>118</v>
      </c>
      <c r="D1747" s="1" t="s">
        <v>7</v>
      </c>
      <c r="E1747" s="4">
        <v>123.2</v>
      </c>
      <c r="F1747" s="4">
        <v>120.7</v>
      </c>
      <c r="G1747" s="4">
        <v>116.4</v>
      </c>
      <c r="H1747" s="1" t="s">
        <v>188</v>
      </c>
      <c r="K1747">
        <v>2014</v>
      </c>
      <c r="L1747" t="s">
        <v>44</v>
      </c>
      <c r="M1747" t="s">
        <v>75</v>
      </c>
      <c r="N1747" t="s">
        <v>6</v>
      </c>
      <c r="O1747" t="s">
        <v>188</v>
      </c>
      <c r="P1747" s="1" t="s">
        <v>33</v>
      </c>
      <c r="Q1747">
        <v>124.6</v>
      </c>
    </row>
    <row r="1748" spans="1:17" x14ac:dyDescent="0.3">
      <c r="A1748">
        <v>2018</v>
      </c>
      <c r="B1748" t="s">
        <v>31</v>
      </c>
      <c r="C1748" t="s">
        <v>118</v>
      </c>
      <c r="D1748" s="1" t="s">
        <v>16</v>
      </c>
      <c r="E1748" s="4">
        <v>153.6</v>
      </c>
      <c r="F1748" s="4">
        <v>154.69999999999999</v>
      </c>
      <c r="G1748" s="4">
        <v>157.69999999999999</v>
      </c>
      <c r="H1748" s="1" t="s">
        <v>192</v>
      </c>
      <c r="K1748">
        <v>2014</v>
      </c>
      <c r="L1748" t="s">
        <v>44</v>
      </c>
      <c r="M1748" t="s">
        <v>75</v>
      </c>
      <c r="N1748" t="s">
        <v>28</v>
      </c>
      <c r="O1748" t="s">
        <v>192</v>
      </c>
      <c r="P1748" s="1" t="s">
        <v>30</v>
      </c>
      <c r="Q1748">
        <v>114.1</v>
      </c>
    </row>
    <row r="1749" spans="1:17" x14ac:dyDescent="0.3">
      <c r="A1749">
        <v>2018</v>
      </c>
      <c r="B1749" t="s">
        <v>31</v>
      </c>
      <c r="C1749" t="s">
        <v>118</v>
      </c>
      <c r="D1749" s="1" t="s">
        <v>27</v>
      </c>
      <c r="E1749" s="4">
        <v>128.6</v>
      </c>
      <c r="F1749" s="4">
        <v>127.3</v>
      </c>
      <c r="G1749" s="4">
        <v>125.5</v>
      </c>
      <c r="H1749" s="1" t="s">
        <v>192</v>
      </c>
      <c r="K1749">
        <v>2014</v>
      </c>
      <c r="L1749" t="s">
        <v>44</v>
      </c>
      <c r="M1749" t="s">
        <v>75</v>
      </c>
      <c r="N1749" t="s">
        <v>28</v>
      </c>
      <c r="O1749" t="s">
        <v>192</v>
      </c>
      <c r="P1749" s="1" t="s">
        <v>34</v>
      </c>
      <c r="Q1749">
        <v>113.8</v>
      </c>
    </row>
    <row r="1750" spans="1:17" x14ac:dyDescent="0.3">
      <c r="A1750">
        <v>2018</v>
      </c>
      <c r="B1750" t="s">
        <v>31</v>
      </c>
      <c r="C1750" t="s">
        <v>118</v>
      </c>
      <c r="D1750" s="1" t="s">
        <v>14</v>
      </c>
      <c r="E1750" s="4">
        <v>151.80000000000001</v>
      </c>
      <c r="F1750" s="4">
        <v>149.5</v>
      </c>
      <c r="G1750" s="4">
        <v>146.80000000000001</v>
      </c>
      <c r="H1750" s="1" t="s">
        <v>188</v>
      </c>
      <c r="K1750">
        <v>2014</v>
      </c>
      <c r="L1750" t="s">
        <v>44</v>
      </c>
      <c r="M1750" t="s">
        <v>75</v>
      </c>
      <c r="N1750" t="s">
        <v>28</v>
      </c>
      <c r="O1750" t="s">
        <v>192</v>
      </c>
      <c r="P1750" s="1" t="s">
        <v>33</v>
      </c>
      <c r="Q1750">
        <v>113.4</v>
      </c>
    </row>
    <row r="1751" spans="1:17" x14ac:dyDescent="0.3">
      <c r="A1751">
        <v>2018</v>
      </c>
      <c r="B1751" t="s">
        <v>31</v>
      </c>
      <c r="C1751" t="s">
        <v>118</v>
      </c>
      <c r="D1751" s="1" t="s">
        <v>10</v>
      </c>
      <c r="E1751" s="4">
        <v>131.80000000000001</v>
      </c>
      <c r="F1751" s="4">
        <v>127.3</v>
      </c>
      <c r="G1751" s="4">
        <v>118.4</v>
      </c>
      <c r="H1751" s="1" t="s">
        <v>188</v>
      </c>
      <c r="K1751">
        <v>2014</v>
      </c>
      <c r="L1751" t="s">
        <v>44</v>
      </c>
      <c r="M1751" t="s">
        <v>75</v>
      </c>
      <c r="N1751" t="s">
        <v>13</v>
      </c>
      <c r="O1751" t="s">
        <v>188</v>
      </c>
      <c r="P1751" s="1" t="s">
        <v>30</v>
      </c>
      <c r="Q1751">
        <v>116.8</v>
      </c>
    </row>
    <row r="1752" spans="1:17" x14ac:dyDescent="0.3">
      <c r="A1752">
        <v>2018</v>
      </c>
      <c r="B1752" t="s">
        <v>31</v>
      </c>
      <c r="C1752" t="s">
        <v>118</v>
      </c>
      <c r="D1752" s="1" t="s">
        <v>25</v>
      </c>
      <c r="E1752" s="4">
        <v>134.30000000000001</v>
      </c>
      <c r="F1752" s="4">
        <v>129.69999999999999</v>
      </c>
      <c r="G1752" s="4">
        <v>126.2</v>
      </c>
      <c r="H1752" s="1" t="s">
        <v>195</v>
      </c>
      <c r="K1752">
        <v>2014</v>
      </c>
      <c r="L1752" t="s">
        <v>44</v>
      </c>
      <c r="M1752" t="s">
        <v>75</v>
      </c>
      <c r="N1752" t="s">
        <v>13</v>
      </c>
      <c r="O1752" t="s">
        <v>188</v>
      </c>
      <c r="P1752" s="1" t="s">
        <v>34</v>
      </c>
      <c r="Q1752">
        <v>116.4</v>
      </c>
    </row>
    <row r="1753" spans="1:17" x14ac:dyDescent="0.3">
      <c r="A1753">
        <v>2018</v>
      </c>
      <c r="B1753" t="s">
        <v>31</v>
      </c>
      <c r="C1753" t="s">
        <v>118</v>
      </c>
      <c r="D1753" s="1" t="s">
        <v>12</v>
      </c>
      <c r="E1753" s="4">
        <v>136</v>
      </c>
      <c r="F1753" s="4">
        <v>137.5</v>
      </c>
      <c r="G1753" s="4">
        <v>140.5</v>
      </c>
      <c r="H1753" s="1" t="s">
        <v>188</v>
      </c>
      <c r="K1753">
        <v>2014</v>
      </c>
      <c r="L1753" t="s">
        <v>44</v>
      </c>
      <c r="M1753" t="s">
        <v>75</v>
      </c>
      <c r="N1753" t="s">
        <v>13</v>
      </c>
      <c r="O1753" t="s">
        <v>188</v>
      </c>
      <c r="P1753" s="1" t="s">
        <v>33</v>
      </c>
      <c r="Q1753">
        <v>115.8</v>
      </c>
    </row>
    <row r="1754" spans="1:17" x14ac:dyDescent="0.3">
      <c r="A1754">
        <v>2018</v>
      </c>
      <c r="B1754" t="s">
        <v>31</v>
      </c>
      <c r="C1754" t="s">
        <v>118</v>
      </c>
      <c r="D1754" s="1" t="s">
        <v>11</v>
      </c>
      <c r="E1754" s="4">
        <v>119.5</v>
      </c>
      <c r="F1754" s="4">
        <v>118.8</v>
      </c>
      <c r="G1754" s="4">
        <v>117.3</v>
      </c>
      <c r="H1754" s="1" t="s">
        <v>188</v>
      </c>
      <c r="K1754">
        <v>2014</v>
      </c>
      <c r="L1754" t="s">
        <v>44</v>
      </c>
      <c r="M1754" t="s">
        <v>75</v>
      </c>
      <c r="N1754" t="s">
        <v>7</v>
      </c>
      <c r="O1754" t="s">
        <v>188</v>
      </c>
      <c r="P1754" s="1" t="s">
        <v>30</v>
      </c>
      <c r="Q1754">
        <v>110.5</v>
      </c>
    </row>
    <row r="1755" spans="1:17" x14ac:dyDescent="0.3">
      <c r="A1755">
        <v>2018</v>
      </c>
      <c r="B1755" t="s">
        <v>31</v>
      </c>
      <c r="C1755" t="s">
        <v>118</v>
      </c>
      <c r="D1755" s="1" t="s">
        <v>24</v>
      </c>
      <c r="E1755" s="4">
        <v>122.7</v>
      </c>
      <c r="F1755" s="4">
        <v>119.3</v>
      </c>
      <c r="G1755" s="4">
        <v>116.3</v>
      </c>
      <c r="H1755" s="1" t="s">
        <v>191</v>
      </c>
      <c r="K1755">
        <v>2014</v>
      </c>
      <c r="L1755" t="s">
        <v>44</v>
      </c>
      <c r="M1755" t="s">
        <v>75</v>
      </c>
      <c r="N1755" t="s">
        <v>7</v>
      </c>
      <c r="O1755" t="s">
        <v>188</v>
      </c>
      <c r="P1755" s="1" t="s">
        <v>34</v>
      </c>
      <c r="Q1755">
        <v>107.8</v>
      </c>
    </row>
    <row r="1756" spans="1:17" x14ac:dyDescent="0.3">
      <c r="A1756">
        <v>2018</v>
      </c>
      <c r="B1756" t="s">
        <v>31</v>
      </c>
      <c r="C1756" t="s">
        <v>118</v>
      </c>
      <c r="D1756" s="1" t="s">
        <v>9</v>
      </c>
      <c r="E1756" s="4">
        <v>152.1</v>
      </c>
      <c r="F1756" s="4">
        <v>151.6</v>
      </c>
      <c r="G1756" s="4">
        <v>150.5</v>
      </c>
      <c r="H1756" s="1" t="s">
        <v>188</v>
      </c>
      <c r="K1756">
        <v>2014</v>
      </c>
      <c r="L1756" t="s">
        <v>44</v>
      </c>
      <c r="M1756" t="s">
        <v>75</v>
      </c>
      <c r="N1756" t="s">
        <v>7</v>
      </c>
      <c r="O1756" t="s">
        <v>188</v>
      </c>
      <c r="P1756" s="1" t="s">
        <v>33</v>
      </c>
      <c r="Q1756">
        <v>103.2</v>
      </c>
    </row>
    <row r="1757" spans="1:17" x14ac:dyDescent="0.3">
      <c r="A1757">
        <v>2018</v>
      </c>
      <c r="B1757" t="s">
        <v>40</v>
      </c>
      <c r="C1757" t="s">
        <v>119</v>
      </c>
      <c r="D1757" s="1" t="s">
        <v>3</v>
      </c>
      <c r="E1757" s="4">
        <v>138.4</v>
      </c>
      <c r="F1757" s="4">
        <v>137.5</v>
      </c>
      <c r="G1757" s="4">
        <v>135.6</v>
      </c>
      <c r="H1757" s="1" t="s">
        <v>188</v>
      </c>
      <c r="K1757">
        <v>2014</v>
      </c>
      <c r="L1757" t="s">
        <v>44</v>
      </c>
      <c r="M1757" t="s">
        <v>75</v>
      </c>
      <c r="N1757" t="s">
        <v>16</v>
      </c>
      <c r="O1757" t="s">
        <v>192</v>
      </c>
      <c r="P1757" s="1" t="s">
        <v>30</v>
      </c>
      <c r="Q1757">
        <v>120.8</v>
      </c>
    </row>
    <row r="1758" spans="1:17" x14ac:dyDescent="0.3">
      <c r="A1758">
        <v>2018</v>
      </c>
      <c r="B1758" t="s">
        <v>40</v>
      </c>
      <c r="C1758" t="s">
        <v>119</v>
      </c>
      <c r="D1758" s="1" t="s">
        <v>17</v>
      </c>
      <c r="E1758" s="4">
        <v>151.5</v>
      </c>
      <c r="F1758" s="4">
        <v>146.80000000000001</v>
      </c>
      <c r="G1758" s="4">
        <v>139.6</v>
      </c>
      <c r="H1758" s="1" t="s">
        <v>189</v>
      </c>
      <c r="K1758">
        <v>2014</v>
      </c>
      <c r="L1758" t="s">
        <v>44</v>
      </c>
      <c r="M1758" t="s">
        <v>75</v>
      </c>
      <c r="N1758" t="s">
        <v>16</v>
      </c>
      <c r="O1758" t="s">
        <v>192</v>
      </c>
      <c r="P1758" s="1" t="s">
        <v>34</v>
      </c>
      <c r="Q1758">
        <v>122.1</v>
      </c>
    </row>
    <row r="1759" spans="1:17" x14ac:dyDescent="0.3">
      <c r="A1759">
        <v>2018</v>
      </c>
      <c r="B1759" t="s">
        <v>40</v>
      </c>
      <c r="C1759" t="s">
        <v>119</v>
      </c>
      <c r="D1759" s="1" t="s">
        <v>19</v>
      </c>
      <c r="E1759" s="4">
        <v>150.6</v>
      </c>
      <c r="F1759" s="4">
        <v>145.6</v>
      </c>
      <c r="G1759" s="4">
        <v>137.9</v>
      </c>
      <c r="H1759" s="1" t="s">
        <v>189</v>
      </c>
      <c r="K1759">
        <v>2014</v>
      </c>
      <c r="L1759" t="s">
        <v>44</v>
      </c>
      <c r="M1759" t="s">
        <v>75</v>
      </c>
      <c r="N1759" t="s">
        <v>16</v>
      </c>
      <c r="O1759" t="s">
        <v>192</v>
      </c>
      <c r="P1759" s="1" t="s">
        <v>33</v>
      </c>
      <c r="Q1759">
        <v>125.8</v>
      </c>
    </row>
    <row r="1760" spans="1:17" x14ac:dyDescent="0.3">
      <c r="A1760">
        <v>2018</v>
      </c>
      <c r="B1760" t="s">
        <v>40</v>
      </c>
      <c r="C1760" t="s">
        <v>119</v>
      </c>
      <c r="D1760" s="1" t="s">
        <v>26</v>
      </c>
      <c r="E1760" s="4">
        <v>145.80000000000001</v>
      </c>
      <c r="F1760" s="4">
        <v>144.69999999999999</v>
      </c>
      <c r="G1760" s="4">
        <v>144</v>
      </c>
      <c r="H1760" s="1" t="s">
        <v>26</v>
      </c>
      <c r="K1760">
        <v>2014</v>
      </c>
      <c r="L1760" t="s">
        <v>44</v>
      </c>
      <c r="M1760" t="s">
        <v>75</v>
      </c>
      <c r="N1760" t="s">
        <v>27</v>
      </c>
      <c r="O1760" t="s">
        <v>192</v>
      </c>
      <c r="P1760" s="1" t="s">
        <v>30</v>
      </c>
      <c r="Q1760">
        <v>108.8</v>
      </c>
    </row>
    <row r="1761" spans="1:17" x14ac:dyDescent="0.3">
      <c r="A1761">
        <v>2018</v>
      </c>
      <c r="B1761" t="s">
        <v>40</v>
      </c>
      <c r="C1761" t="s">
        <v>119</v>
      </c>
      <c r="D1761" s="1" t="s">
        <v>5</v>
      </c>
      <c r="E1761" s="4">
        <v>139.30000000000001</v>
      </c>
      <c r="F1761" s="4">
        <v>139.19999999999999</v>
      </c>
      <c r="G1761" s="4">
        <v>139.1</v>
      </c>
      <c r="H1761" s="1" t="s">
        <v>188</v>
      </c>
      <c r="K1761">
        <v>2014</v>
      </c>
      <c r="L1761" t="s">
        <v>44</v>
      </c>
      <c r="M1761" t="s">
        <v>75</v>
      </c>
      <c r="N1761" t="s">
        <v>27</v>
      </c>
      <c r="O1761" t="s">
        <v>192</v>
      </c>
      <c r="P1761" s="1" t="s">
        <v>34</v>
      </c>
      <c r="Q1761">
        <v>109.1</v>
      </c>
    </row>
    <row r="1762" spans="1:17" x14ac:dyDescent="0.3">
      <c r="A1762">
        <v>2018</v>
      </c>
      <c r="B1762" t="s">
        <v>40</v>
      </c>
      <c r="C1762" t="s">
        <v>119</v>
      </c>
      <c r="D1762" s="1" t="s">
        <v>15</v>
      </c>
      <c r="E1762" s="4">
        <v>142</v>
      </c>
      <c r="F1762" s="4">
        <v>141.4</v>
      </c>
      <c r="G1762" s="4">
        <v>140.30000000000001</v>
      </c>
      <c r="H1762" s="1" t="s">
        <v>188</v>
      </c>
      <c r="K1762">
        <v>2014</v>
      </c>
      <c r="L1762" t="s">
        <v>44</v>
      </c>
      <c r="M1762" t="s">
        <v>75</v>
      </c>
      <c r="N1762" t="s">
        <v>27</v>
      </c>
      <c r="O1762" t="s">
        <v>192</v>
      </c>
      <c r="P1762" s="1" t="s">
        <v>33</v>
      </c>
      <c r="Q1762">
        <v>109.6</v>
      </c>
    </row>
    <row r="1763" spans="1:17" x14ac:dyDescent="0.3">
      <c r="A1763">
        <v>2018</v>
      </c>
      <c r="B1763" t="s">
        <v>40</v>
      </c>
      <c r="C1763" t="s">
        <v>119</v>
      </c>
      <c r="D1763" s="1" t="s">
        <v>18</v>
      </c>
      <c r="E1763" s="4">
        <v>145.1</v>
      </c>
      <c r="F1763" s="4">
        <v>138.4</v>
      </c>
      <c r="G1763" s="4">
        <v>128.9</v>
      </c>
      <c r="H1763" s="1" t="s">
        <v>189</v>
      </c>
      <c r="K1763">
        <v>2014</v>
      </c>
      <c r="L1763" t="s">
        <v>44</v>
      </c>
      <c r="M1763" t="s">
        <v>75</v>
      </c>
      <c r="N1763" t="s">
        <v>14</v>
      </c>
      <c r="O1763" t="s">
        <v>188</v>
      </c>
      <c r="P1763" s="1" t="s">
        <v>30</v>
      </c>
      <c r="Q1763">
        <v>124.5</v>
      </c>
    </row>
    <row r="1764" spans="1:17" x14ac:dyDescent="0.3">
      <c r="A1764">
        <v>2018</v>
      </c>
      <c r="B1764" t="s">
        <v>40</v>
      </c>
      <c r="C1764" t="s">
        <v>119</v>
      </c>
      <c r="D1764" s="1" t="s">
        <v>8</v>
      </c>
      <c r="E1764" s="4">
        <v>153.30000000000001</v>
      </c>
      <c r="F1764" s="4">
        <v>151.6</v>
      </c>
      <c r="G1764" s="4">
        <v>149.69999999999999</v>
      </c>
      <c r="H1764" s="1" t="s">
        <v>188</v>
      </c>
      <c r="K1764">
        <v>2014</v>
      </c>
      <c r="L1764" t="s">
        <v>44</v>
      </c>
      <c r="M1764" t="s">
        <v>75</v>
      </c>
      <c r="N1764" t="s">
        <v>14</v>
      </c>
      <c r="O1764" t="s">
        <v>188</v>
      </c>
      <c r="P1764" s="1" t="s">
        <v>34</v>
      </c>
      <c r="Q1764">
        <v>125.6</v>
      </c>
    </row>
    <row r="1765" spans="1:17" x14ac:dyDescent="0.3">
      <c r="A1765">
        <v>2018</v>
      </c>
      <c r="B1765" t="s">
        <v>40</v>
      </c>
      <c r="C1765" t="s">
        <v>119</v>
      </c>
      <c r="D1765" s="1" t="s">
        <v>21</v>
      </c>
      <c r="E1765" s="4">
        <v>146.80000000000001</v>
      </c>
      <c r="F1765" s="4">
        <v>139.69999999999999</v>
      </c>
      <c r="G1765" s="4">
        <v>128.1</v>
      </c>
      <c r="H1765" s="1" t="s">
        <v>190</v>
      </c>
      <c r="K1765">
        <v>2014</v>
      </c>
      <c r="L1765" t="s">
        <v>44</v>
      </c>
      <c r="M1765" t="s">
        <v>75</v>
      </c>
      <c r="N1765" t="s">
        <v>14</v>
      </c>
      <c r="O1765" t="s">
        <v>188</v>
      </c>
      <c r="P1765" s="1" t="s">
        <v>33</v>
      </c>
      <c r="Q1765">
        <v>126.9</v>
      </c>
    </row>
    <row r="1766" spans="1:17" x14ac:dyDescent="0.3">
      <c r="A1766">
        <v>2018</v>
      </c>
      <c r="B1766" t="s">
        <v>40</v>
      </c>
      <c r="C1766" t="s">
        <v>119</v>
      </c>
      <c r="D1766" s="1" t="s">
        <v>29</v>
      </c>
      <c r="E1766" s="4">
        <v>141.80000000000001</v>
      </c>
      <c r="F1766" s="4">
        <v>139.80000000000001</v>
      </c>
      <c r="G1766" s="4">
        <v>137.5</v>
      </c>
      <c r="H1766" s="1" t="s">
        <v>206</v>
      </c>
      <c r="K1766">
        <v>2014</v>
      </c>
      <c r="L1766" t="s">
        <v>44</v>
      </c>
      <c r="M1766" t="s">
        <v>75</v>
      </c>
      <c r="N1766" t="s">
        <v>10</v>
      </c>
      <c r="O1766" t="s">
        <v>188</v>
      </c>
      <c r="P1766" s="1" t="s">
        <v>30</v>
      </c>
      <c r="Q1766">
        <v>116.2</v>
      </c>
    </row>
    <row r="1767" spans="1:17" x14ac:dyDescent="0.3">
      <c r="A1767">
        <v>2018</v>
      </c>
      <c r="B1767" t="s">
        <v>40</v>
      </c>
      <c r="C1767" t="s">
        <v>119</v>
      </c>
      <c r="D1767" s="1" t="s">
        <v>23</v>
      </c>
      <c r="E1767" s="4">
        <v>139</v>
      </c>
      <c r="F1767" s="4">
        <v>137</v>
      </c>
      <c r="G1767" s="4">
        <v>133.6</v>
      </c>
      <c r="H1767" s="1" t="s">
        <v>23</v>
      </c>
      <c r="K1767">
        <v>2014</v>
      </c>
      <c r="L1767" t="s">
        <v>44</v>
      </c>
      <c r="M1767" t="s">
        <v>75</v>
      </c>
      <c r="N1767" t="s">
        <v>10</v>
      </c>
      <c r="O1767" t="s">
        <v>188</v>
      </c>
      <c r="P1767" s="1" t="s">
        <v>34</v>
      </c>
      <c r="Q1767">
        <v>117.2</v>
      </c>
    </row>
    <row r="1768" spans="1:17" x14ac:dyDescent="0.3">
      <c r="A1768">
        <v>2018</v>
      </c>
      <c r="B1768" t="s">
        <v>40</v>
      </c>
      <c r="C1768" t="s">
        <v>119</v>
      </c>
      <c r="D1768" s="1" t="s">
        <v>22</v>
      </c>
      <c r="E1768" s="4">
        <v>143.1</v>
      </c>
      <c r="F1768" s="4">
        <v>138.6</v>
      </c>
      <c r="G1768" s="4">
        <v>133.6</v>
      </c>
      <c r="H1768" s="1" t="s">
        <v>20</v>
      </c>
      <c r="K1768">
        <v>2014</v>
      </c>
      <c r="L1768" t="s">
        <v>44</v>
      </c>
      <c r="M1768" t="s">
        <v>75</v>
      </c>
      <c r="N1768" t="s">
        <v>10</v>
      </c>
      <c r="O1768" t="s">
        <v>188</v>
      </c>
      <c r="P1768" s="1" t="s">
        <v>33</v>
      </c>
      <c r="Q1768">
        <v>119.3</v>
      </c>
    </row>
    <row r="1769" spans="1:17" x14ac:dyDescent="0.3">
      <c r="A1769">
        <v>2018</v>
      </c>
      <c r="B1769" t="s">
        <v>40</v>
      </c>
      <c r="C1769" t="s">
        <v>119</v>
      </c>
      <c r="D1769" s="1" t="s">
        <v>20</v>
      </c>
      <c r="E1769" s="4">
        <v>0</v>
      </c>
      <c r="F1769" s="4">
        <v>143.6</v>
      </c>
      <c r="G1769" s="4">
        <v>143.6</v>
      </c>
      <c r="H1769" s="1" t="s">
        <v>20</v>
      </c>
      <c r="K1769">
        <v>2014</v>
      </c>
      <c r="L1769" t="s">
        <v>44</v>
      </c>
      <c r="M1769" t="s">
        <v>75</v>
      </c>
      <c r="N1769" t="s">
        <v>25</v>
      </c>
      <c r="O1769" t="s">
        <v>195</v>
      </c>
      <c r="P1769" s="1" t="s">
        <v>30</v>
      </c>
      <c r="Q1769">
        <v>113.3</v>
      </c>
    </row>
    <row r="1770" spans="1:17" x14ac:dyDescent="0.3">
      <c r="A1770">
        <v>2018</v>
      </c>
      <c r="B1770" t="s">
        <v>40</v>
      </c>
      <c r="C1770" t="s">
        <v>119</v>
      </c>
      <c r="D1770" s="1" t="s">
        <v>4</v>
      </c>
      <c r="E1770" s="4">
        <v>149.30000000000001</v>
      </c>
      <c r="F1770" s="4">
        <v>149.1</v>
      </c>
      <c r="G1770" s="4">
        <v>148.6</v>
      </c>
      <c r="H1770" s="1" t="s">
        <v>188</v>
      </c>
      <c r="K1770">
        <v>2014</v>
      </c>
      <c r="L1770" t="s">
        <v>44</v>
      </c>
      <c r="M1770" t="s">
        <v>75</v>
      </c>
      <c r="N1770" t="s">
        <v>25</v>
      </c>
      <c r="O1770" t="s">
        <v>195</v>
      </c>
      <c r="P1770" s="1" t="s">
        <v>34</v>
      </c>
      <c r="Q1770">
        <v>113.7</v>
      </c>
    </row>
    <row r="1771" spans="1:17" x14ac:dyDescent="0.3">
      <c r="A1771">
        <v>2018</v>
      </c>
      <c r="B1771" t="s">
        <v>40</v>
      </c>
      <c r="C1771" t="s">
        <v>119</v>
      </c>
      <c r="D1771" s="1" t="s">
        <v>6</v>
      </c>
      <c r="E1771" s="4">
        <v>143.4</v>
      </c>
      <c r="F1771" s="4">
        <v>142.5</v>
      </c>
      <c r="G1771" s="4">
        <v>141</v>
      </c>
      <c r="H1771" s="1" t="s">
        <v>188</v>
      </c>
      <c r="K1771">
        <v>2014</v>
      </c>
      <c r="L1771" t="s">
        <v>44</v>
      </c>
      <c r="M1771" t="s">
        <v>75</v>
      </c>
      <c r="N1771" t="s">
        <v>25</v>
      </c>
      <c r="O1771" t="s">
        <v>195</v>
      </c>
      <c r="P1771" s="1" t="s">
        <v>33</v>
      </c>
      <c r="Q1771">
        <v>114</v>
      </c>
    </row>
    <row r="1772" spans="1:17" x14ac:dyDescent="0.3">
      <c r="A1772">
        <v>2018</v>
      </c>
      <c r="B1772" t="s">
        <v>40</v>
      </c>
      <c r="C1772" t="s">
        <v>119</v>
      </c>
      <c r="D1772" s="1" t="s">
        <v>28</v>
      </c>
      <c r="E1772" s="4">
        <v>136</v>
      </c>
      <c r="F1772" s="4">
        <v>133.19999999999999</v>
      </c>
      <c r="G1772" s="4">
        <v>130.19999999999999</v>
      </c>
      <c r="H1772" s="1" t="s">
        <v>192</v>
      </c>
      <c r="K1772">
        <v>2014</v>
      </c>
      <c r="L1772" t="s">
        <v>44</v>
      </c>
      <c r="M1772" t="s">
        <v>75</v>
      </c>
      <c r="N1772" t="s">
        <v>12</v>
      </c>
      <c r="O1772" t="s">
        <v>188</v>
      </c>
      <c r="P1772" s="1" t="s">
        <v>30</v>
      </c>
      <c r="Q1772">
        <v>115.8</v>
      </c>
    </row>
    <row r="1773" spans="1:17" x14ac:dyDescent="0.3">
      <c r="A1773">
        <v>2018</v>
      </c>
      <c r="B1773" t="s">
        <v>40</v>
      </c>
      <c r="C1773" t="s">
        <v>119</v>
      </c>
      <c r="D1773" s="1" t="s">
        <v>13</v>
      </c>
      <c r="E1773" s="4">
        <v>132.80000000000001</v>
      </c>
      <c r="F1773" s="4">
        <v>130.30000000000001</v>
      </c>
      <c r="G1773" s="4">
        <v>126.8</v>
      </c>
      <c r="H1773" s="1" t="s">
        <v>188</v>
      </c>
      <c r="K1773">
        <v>2014</v>
      </c>
      <c r="L1773" t="s">
        <v>44</v>
      </c>
      <c r="M1773" t="s">
        <v>75</v>
      </c>
      <c r="N1773" t="s">
        <v>12</v>
      </c>
      <c r="O1773" t="s">
        <v>188</v>
      </c>
      <c r="P1773" s="1" t="s">
        <v>34</v>
      </c>
      <c r="Q1773">
        <v>118.7</v>
      </c>
    </row>
    <row r="1774" spans="1:17" x14ac:dyDescent="0.3">
      <c r="A1774">
        <v>2018</v>
      </c>
      <c r="B1774" t="s">
        <v>40</v>
      </c>
      <c r="C1774" t="s">
        <v>119</v>
      </c>
      <c r="D1774" s="1" t="s">
        <v>7</v>
      </c>
      <c r="E1774" s="4">
        <v>124.1</v>
      </c>
      <c r="F1774" s="4">
        <v>121.4</v>
      </c>
      <c r="G1774" s="4">
        <v>116.7</v>
      </c>
      <c r="H1774" s="1" t="s">
        <v>188</v>
      </c>
      <c r="K1774">
        <v>2014</v>
      </c>
      <c r="L1774" t="s">
        <v>44</v>
      </c>
      <c r="M1774" t="s">
        <v>75</v>
      </c>
      <c r="N1774" t="s">
        <v>12</v>
      </c>
      <c r="O1774" t="s">
        <v>188</v>
      </c>
      <c r="P1774" s="1" t="s">
        <v>33</v>
      </c>
      <c r="Q1774">
        <v>124.6</v>
      </c>
    </row>
    <row r="1775" spans="1:17" x14ac:dyDescent="0.3">
      <c r="A1775">
        <v>2018</v>
      </c>
      <c r="B1775" t="s">
        <v>40</v>
      </c>
      <c r="C1775" t="s">
        <v>119</v>
      </c>
      <c r="D1775" s="1" t="s">
        <v>16</v>
      </c>
      <c r="E1775" s="4">
        <v>156.1</v>
      </c>
      <c r="F1775" s="4">
        <v>157.5</v>
      </c>
      <c r="G1775" s="4">
        <v>161.4</v>
      </c>
      <c r="H1775" s="1" t="s">
        <v>192</v>
      </c>
      <c r="K1775">
        <v>2014</v>
      </c>
      <c r="L1775" t="s">
        <v>44</v>
      </c>
      <c r="M1775" t="s">
        <v>75</v>
      </c>
      <c r="N1775" t="s">
        <v>11</v>
      </c>
      <c r="O1775" t="s">
        <v>188</v>
      </c>
      <c r="P1775" s="1" t="s">
        <v>30</v>
      </c>
      <c r="Q1775">
        <v>103.3</v>
      </c>
    </row>
    <row r="1776" spans="1:17" x14ac:dyDescent="0.3">
      <c r="A1776">
        <v>2018</v>
      </c>
      <c r="B1776" t="s">
        <v>40</v>
      </c>
      <c r="C1776" t="s">
        <v>119</v>
      </c>
      <c r="D1776" s="1" t="s">
        <v>27</v>
      </c>
      <c r="E1776" s="4">
        <v>131.4</v>
      </c>
      <c r="F1776" s="4">
        <v>130.1</v>
      </c>
      <c r="G1776" s="4">
        <v>128.19999999999999</v>
      </c>
      <c r="H1776" s="1" t="s">
        <v>192</v>
      </c>
      <c r="K1776">
        <v>2014</v>
      </c>
      <c r="L1776" t="s">
        <v>44</v>
      </c>
      <c r="M1776" t="s">
        <v>75</v>
      </c>
      <c r="N1776" t="s">
        <v>11</v>
      </c>
      <c r="O1776" t="s">
        <v>188</v>
      </c>
      <c r="P1776" s="1" t="s">
        <v>34</v>
      </c>
      <c r="Q1776">
        <v>102.1</v>
      </c>
    </row>
    <row r="1777" spans="1:17" x14ac:dyDescent="0.3">
      <c r="A1777">
        <v>2018</v>
      </c>
      <c r="B1777" t="s">
        <v>40</v>
      </c>
      <c r="C1777" t="s">
        <v>119</v>
      </c>
      <c r="D1777" s="1" t="s">
        <v>14</v>
      </c>
      <c r="E1777" s="4">
        <v>154.80000000000001</v>
      </c>
      <c r="F1777" s="4">
        <v>152.30000000000001</v>
      </c>
      <c r="G1777" s="4">
        <v>149.4</v>
      </c>
      <c r="H1777" s="1" t="s">
        <v>188</v>
      </c>
      <c r="K1777">
        <v>2014</v>
      </c>
      <c r="L1777" t="s">
        <v>44</v>
      </c>
      <c r="M1777" t="s">
        <v>75</v>
      </c>
      <c r="N1777" t="s">
        <v>11</v>
      </c>
      <c r="O1777" t="s">
        <v>188</v>
      </c>
      <c r="P1777" s="1" t="s">
        <v>33</v>
      </c>
      <c r="Q1777">
        <v>99.8</v>
      </c>
    </row>
    <row r="1778" spans="1:17" x14ac:dyDescent="0.3">
      <c r="A1778">
        <v>2018</v>
      </c>
      <c r="B1778" t="s">
        <v>40</v>
      </c>
      <c r="C1778" t="s">
        <v>119</v>
      </c>
      <c r="D1778" s="1" t="s">
        <v>10</v>
      </c>
      <c r="E1778" s="4">
        <v>126.4</v>
      </c>
      <c r="F1778" s="4">
        <v>121.7</v>
      </c>
      <c r="G1778" s="4">
        <v>112.6</v>
      </c>
      <c r="H1778" s="1" t="s">
        <v>188</v>
      </c>
      <c r="K1778">
        <v>2014</v>
      </c>
      <c r="L1778" t="s">
        <v>44</v>
      </c>
      <c r="M1778" t="s">
        <v>75</v>
      </c>
      <c r="N1778" t="s">
        <v>24</v>
      </c>
      <c r="O1778" t="s">
        <v>191</v>
      </c>
      <c r="P1778" s="1" t="s">
        <v>30</v>
      </c>
      <c r="Q1778">
        <v>112</v>
      </c>
    </row>
    <row r="1779" spans="1:17" x14ac:dyDescent="0.3">
      <c r="A1779">
        <v>2018</v>
      </c>
      <c r="B1779" t="s">
        <v>40</v>
      </c>
      <c r="C1779" t="s">
        <v>119</v>
      </c>
      <c r="D1779" s="1" t="s">
        <v>25</v>
      </c>
      <c r="E1779" s="4">
        <v>138.4</v>
      </c>
      <c r="F1779" s="4">
        <v>133.1</v>
      </c>
      <c r="G1779" s="4">
        <v>129</v>
      </c>
      <c r="H1779" s="1" t="s">
        <v>195</v>
      </c>
      <c r="K1779">
        <v>2014</v>
      </c>
      <c r="L1779" t="s">
        <v>44</v>
      </c>
      <c r="M1779" t="s">
        <v>75</v>
      </c>
      <c r="N1779" t="s">
        <v>24</v>
      </c>
      <c r="O1779" t="s">
        <v>191</v>
      </c>
      <c r="P1779" s="1" t="s">
        <v>34</v>
      </c>
      <c r="Q1779">
        <v>110.8</v>
      </c>
    </row>
    <row r="1780" spans="1:17" x14ac:dyDescent="0.3">
      <c r="A1780">
        <v>2018</v>
      </c>
      <c r="B1780" t="s">
        <v>40</v>
      </c>
      <c r="C1780" t="s">
        <v>119</v>
      </c>
      <c r="D1780" s="1" t="s">
        <v>12</v>
      </c>
      <c r="E1780" s="4">
        <v>138.19999999999999</v>
      </c>
      <c r="F1780" s="4">
        <v>138.9</v>
      </c>
      <c r="G1780" s="4">
        <v>140.30000000000001</v>
      </c>
      <c r="H1780" s="1" t="s">
        <v>188</v>
      </c>
      <c r="K1780">
        <v>2014</v>
      </c>
      <c r="L1780" t="s">
        <v>44</v>
      </c>
      <c r="M1780" t="s">
        <v>75</v>
      </c>
      <c r="N1780" t="s">
        <v>24</v>
      </c>
      <c r="O1780" t="s">
        <v>191</v>
      </c>
      <c r="P1780" s="1" t="s">
        <v>33</v>
      </c>
      <c r="Q1780">
        <v>109.7</v>
      </c>
    </row>
    <row r="1781" spans="1:17" x14ac:dyDescent="0.3">
      <c r="A1781">
        <v>2018</v>
      </c>
      <c r="B1781" t="s">
        <v>40</v>
      </c>
      <c r="C1781" t="s">
        <v>119</v>
      </c>
      <c r="D1781" s="1" t="s">
        <v>11</v>
      </c>
      <c r="E1781" s="4">
        <v>114.3</v>
      </c>
      <c r="F1781" s="4">
        <v>113.5</v>
      </c>
      <c r="G1781" s="4">
        <v>111.8</v>
      </c>
      <c r="H1781" s="1" t="s">
        <v>188</v>
      </c>
      <c r="K1781">
        <v>2014</v>
      </c>
      <c r="L1781" t="s">
        <v>44</v>
      </c>
      <c r="M1781" t="s">
        <v>75</v>
      </c>
      <c r="N1781" t="s">
        <v>9</v>
      </c>
      <c r="O1781" t="s">
        <v>188</v>
      </c>
      <c r="P1781" s="1" t="s">
        <v>30</v>
      </c>
      <c r="Q1781">
        <v>152</v>
      </c>
    </row>
    <row r="1782" spans="1:17" x14ac:dyDescent="0.3">
      <c r="A1782">
        <v>2018</v>
      </c>
      <c r="B1782" t="s">
        <v>40</v>
      </c>
      <c r="C1782" t="s">
        <v>119</v>
      </c>
      <c r="D1782" s="1" t="s">
        <v>24</v>
      </c>
      <c r="E1782" s="4">
        <v>127.5</v>
      </c>
      <c r="F1782" s="4">
        <v>123.6</v>
      </c>
      <c r="G1782" s="4">
        <v>120.1</v>
      </c>
      <c r="H1782" s="1" t="s">
        <v>191</v>
      </c>
      <c r="K1782">
        <v>2014</v>
      </c>
      <c r="L1782" t="s">
        <v>44</v>
      </c>
      <c r="M1782" t="s">
        <v>75</v>
      </c>
      <c r="N1782" t="s">
        <v>9</v>
      </c>
      <c r="O1782" t="s">
        <v>188</v>
      </c>
      <c r="P1782" s="1" t="s">
        <v>34</v>
      </c>
      <c r="Q1782">
        <v>152.4</v>
      </c>
    </row>
    <row r="1783" spans="1:17" x14ac:dyDescent="0.3">
      <c r="A1783">
        <v>2018</v>
      </c>
      <c r="B1783" t="s">
        <v>40</v>
      </c>
      <c r="C1783" t="s">
        <v>119</v>
      </c>
      <c r="D1783" s="1" t="s">
        <v>9</v>
      </c>
      <c r="E1783" s="4">
        <v>154.19999999999999</v>
      </c>
      <c r="F1783" s="4">
        <v>155.9</v>
      </c>
      <c r="G1783" s="4">
        <v>159.19999999999999</v>
      </c>
      <c r="H1783" s="1" t="s">
        <v>188</v>
      </c>
      <c r="K1783">
        <v>2014</v>
      </c>
      <c r="L1783" t="s">
        <v>44</v>
      </c>
      <c r="M1783" t="s">
        <v>75</v>
      </c>
      <c r="N1783" t="s">
        <v>9</v>
      </c>
      <c r="O1783" t="s">
        <v>188</v>
      </c>
      <c r="P1783" s="1" t="s">
        <v>33</v>
      </c>
      <c r="Q1783">
        <v>153.19999999999999</v>
      </c>
    </row>
    <row r="1784" spans="1:17" x14ac:dyDescent="0.3">
      <c r="A1784">
        <v>2018</v>
      </c>
      <c r="B1784" t="s">
        <v>39</v>
      </c>
      <c r="C1784" t="s">
        <v>120</v>
      </c>
      <c r="D1784" s="1" t="s">
        <v>3</v>
      </c>
      <c r="E1784" s="4">
        <v>137.6</v>
      </c>
      <c r="F1784" s="4">
        <v>136.9</v>
      </c>
      <c r="G1784" s="4">
        <v>135.30000000000001</v>
      </c>
      <c r="H1784" s="1" t="s">
        <v>188</v>
      </c>
      <c r="K1784">
        <v>2014</v>
      </c>
      <c r="L1784" t="s">
        <v>43</v>
      </c>
      <c r="M1784" t="s">
        <v>76</v>
      </c>
      <c r="N1784" t="s">
        <v>3</v>
      </c>
      <c r="O1784" t="s">
        <v>188</v>
      </c>
      <c r="P1784" s="1" t="s">
        <v>30</v>
      </c>
      <c r="Q1784">
        <v>122.6</v>
      </c>
    </row>
    <row r="1785" spans="1:17" x14ac:dyDescent="0.3">
      <c r="A1785">
        <v>2018</v>
      </c>
      <c r="B1785" t="s">
        <v>39</v>
      </c>
      <c r="C1785" t="s">
        <v>120</v>
      </c>
      <c r="D1785" s="1" t="s">
        <v>17</v>
      </c>
      <c r="E1785" s="4">
        <v>151.30000000000001</v>
      </c>
      <c r="F1785" s="4">
        <v>146.4</v>
      </c>
      <c r="G1785" s="4">
        <v>138.9</v>
      </c>
      <c r="H1785" s="1" t="s">
        <v>189</v>
      </c>
      <c r="K1785">
        <v>2014</v>
      </c>
      <c r="L1785" t="s">
        <v>43</v>
      </c>
      <c r="M1785" t="s">
        <v>76</v>
      </c>
      <c r="N1785" t="s">
        <v>3</v>
      </c>
      <c r="O1785" t="s">
        <v>188</v>
      </c>
      <c r="P1785" s="1" t="s">
        <v>34</v>
      </c>
      <c r="Q1785">
        <v>123.2</v>
      </c>
    </row>
    <row r="1786" spans="1:17" x14ac:dyDescent="0.3">
      <c r="A1786">
        <v>2018</v>
      </c>
      <c r="B1786" t="s">
        <v>39</v>
      </c>
      <c r="C1786" t="s">
        <v>120</v>
      </c>
      <c r="D1786" s="1" t="s">
        <v>19</v>
      </c>
      <c r="E1786" s="4">
        <v>150.30000000000001</v>
      </c>
      <c r="F1786" s="4">
        <v>145.19999999999999</v>
      </c>
      <c r="G1786" s="4">
        <v>137.4</v>
      </c>
      <c r="H1786" s="1" t="s">
        <v>189</v>
      </c>
      <c r="K1786">
        <v>2014</v>
      </c>
      <c r="L1786" t="s">
        <v>43</v>
      </c>
      <c r="M1786" t="s">
        <v>76</v>
      </c>
      <c r="N1786" t="s">
        <v>3</v>
      </c>
      <c r="O1786" t="s">
        <v>188</v>
      </c>
      <c r="P1786" s="1" t="s">
        <v>33</v>
      </c>
      <c r="Q1786">
        <v>124.6</v>
      </c>
    </row>
    <row r="1787" spans="1:17" x14ac:dyDescent="0.3">
      <c r="A1787">
        <v>2018</v>
      </c>
      <c r="B1787" t="s">
        <v>39</v>
      </c>
      <c r="C1787" t="s">
        <v>120</v>
      </c>
      <c r="D1787" s="1" t="s">
        <v>26</v>
      </c>
      <c r="E1787" s="4">
        <v>145.1</v>
      </c>
      <c r="F1787" s="4">
        <v>142.80000000000001</v>
      </c>
      <c r="G1787" s="4">
        <v>141.19999999999999</v>
      </c>
      <c r="H1787" s="1" t="s">
        <v>26</v>
      </c>
      <c r="K1787">
        <v>2014</v>
      </c>
      <c r="L1787" t="s">
        <v>43</v>
      </c>
      <c r="M1787" t="s">
        <v>76</v>
      </c>
      <c r="N1787" t="s">
        <v>17</v>
      </c>
      <c r="O1787" t="s">
        <v>189</v>
      </c>
      <c r="P1787" s="1" t="s">
        <v>30</v>
      </c>
      <c r="Q1787">
        <v>122.7</v>
      </c>
    </row>
    <row r="1788" spans="1:17" x14ac:dyDescent="0.3">
      <c r="A1788">
        <v>2018</v>
      </c>
      <c r="B1788" t="s">
        <v>39</v>
      </c>
      <c r="C1788" t="s">
        <v>120</v>
      </c>
      <c r="D1788" s="1" t="s">
        <v>5</v>
      </c>
      <c r="E1788" s="4">
        <v>136.69999999999999</v>
      </c>
      <c r="F1788" s="4">
        <v>135.6</v>
      </c>
      <c r="G1788" s="4">
        <v>133.9</v>
      </c>
      <c r="H1788" s="1" t="s">
        <v>188</v>
      </c>
      <c r="K1788">
        <v>2014</v>
      </c>
      <c r="L1788" t="s">
        <v>43</v>
      </c>
      <c r="M1788" t="s">
        <v>76</v>
      </c>
      <c r="N1788" t="s">
        <v>17</v>
      </c>
      <c r="O1788" t="s">
        <v>189</v>
      </c>
      <c r="P1788" s="1" t="s">
        <v>34</v>
      </c>
      <c r="Q1788">
        <v>121.5</v>
      </c>
    </row>
    <row r="1789" spans="1:17" x14ac:dyDescent="0.3">
      <c r="A1789">
        <v>2018</v>
      </c>
      <c r="B1789" t="s">
        <v>39</v>
      </c>
      <c r="C1789" t="s">
        <v>120</v>
      </c>
      <c r="D1789" s="1" t="s">
        <v>15</v>
      </c>
      <c r="E1789" s="4">
        <v>140</v>
      </c>
      <c r="F1789" s="4">
        <v>139.4</v>
      </c>
      <c r="G1789" s="4">
        <v>138.4</v>
      </c>
      <c r="H1789" s="1" t="s">
        <v>188</v>
      </c>
      <c r="K1789">
        <v>2014</v>
      </c>
      <c r="L1789" t="s">
        <v>43</v>
      </c>
      <c r="M1789" t="s">
        <v>76</v>
      </c>
      <c r="N1789" t="s">
        <v>17</v>
      </c>
      <c r="O1789" t="s">
        <v>189</v>
      </c>
      <c r="P1789" s="1" t="s">
        <v>33</v>
      </c>
      <c r="Q1789">
        <v>119.6</v>
      </c>
    </row>
    <row r="1790" spans="1:17" x14ac:dyDescent="0.3">
      <c r="A1790">
        <v>2018</v>
      </c>
      <c r="B1790" t="s">
        <v>39</v>
      </c>
      <c r="C1790" t="s">
        <v>120</v>
      </c>
      <c r="D1790" s="1" t="s">
        <v>18</v>
      </c>
      <c r="E1790" s="4">
        <v>144.69999999999999</v>
      </c>
      <c r="F1790" s="4">
        <v>138.1</v>
      </c>
      <c r="G1790" s="4">
        <v>128.69999999999999</v>
      </c>
      <c r="H1790" s="1" t="s">
        <v>189</v>
      </c>
      <c r="K1790">
        <v>2014</v>
      </c>
      <c r="L1790" t="s">
        <v>43</v>
      </c>
      <c r="M1790" t="s">
        <v>76</v>
      </c>
      <c r="N1790" t="s">
        <v>19</v>
      </c>
      <c r="O1790" t="s">
        <v>189</v>
      </c>
      <c r="P1790" s="1" t="s">
        <v>30</v>
      </c>
      <c r="Q1790">
        <v>122.3</v>
      </c>
    </row>
    <row r="1791" spans="1:17" x14ac:dyDescent="0.3">
      <c r="A1791">
        <v>2018</v>
      </c>
      <c r="B1791" t="s">
        <v>39</v>
      </c>
      <c r="C1791" t="s">
        <v>120</v>
      </c>
      <c r="D1791" s="1" t="s">
        <v>8</v>
      </c>
      <c r="E1791" s="4">
        <v>154.1</v>
      </c>
      <c r="F1791" s="4">
        <v>153.19999999999999</v>
      </c>
      <c r="G1791" s="4">
        <v>152.19999999999999</v>
      </c>
      <c r="H1791" s="1" t="s">
        <v>188</v>
      </c>
      <c r="K1791">
        <v>2014</v>
      </c>
      <c r="L1791" t="s">
        <v>43</v>
      </c>
      <c r="M1791" t="s">
        <v>76</v>
      </c>
      <c r="N1791" t="s">
        <v>19</v>
      </c>
      <c r="O1791" t="s">
        <v>189</v>
      </c>
      <c r="P1791" s="1" t="s">
        <v>34</v>
      </c>
      <c r="Q1791">
        <v>121</v>
      </c>
    </row>
    <row r="1792" spans="1:17" x14ac:dyDescent="0.3">
      <c r="A1792">
        <v>2018</v>
      </c>
      <c r="B1792" t="s">
        <v>39</v>
      </c>
      <c r="C1792" t="s">
        <v>120</v>
      </c>
      <c r="D1792" s="1" t="s">
        <v>21</v>
      </c>
      <c r="E1792" s="4">
        <v>145.1</v>
      </c>
      <c r="F1792" s="4">
        <v>138.1</v>
      </c>
      <c r="G1792" s="4">
        <v>126.5</v>
      </c>
      <c r="H1792" s="1" t="s">
        <v>190</v>
      </c>
      <c r="K1792">
        <v>2014</v>
      </c>
      <c r="L1792" t="s">
        <v>43</v>
      </c>
      <c r="M1792" t="s">
        <v>76</v>
      </c>
      <c r="N1792" t="s">
        <v>19</v>
      </c>
      <c r="O1792" t="s">
        <v>189</v>
      </c>
      <c r="P1792" s="1" t="s">
        <v>33</v>
      </c>
      <c r="Q1792">
        <v>118.9</v>
      </c>
    </row>
    <row r="1793" spans="1:17" x14ac:dyDescent="0.3">
      <c r="A1793">
        <v>2018</v>
      </c>
      <c r="B1793" t="s">
        <v>39</v>
      </c>
      <c r="C1793" t="s">
        <v>120</v>
      </c>
      <c r="D1793" s="1" t="s">
        <v>29</v>
      </c>
      <c r="E1793" s="4">
        <v>140.5</v>
      </c>
      <c r="F1793" s="4">
        <v>138.5</v>
      </c>
      <c r="G1793" s="4">
        <v>136.19999999999999</v>
      </c>
      <c r="H1793" s="1" t="s">
        <v>206</v>
      </c>
      <c r="K1793">
        <v>2014</v>
      </c>
      <c r="L1793" t="s">
        <v>43</v>
      </c>
      <c r="M1793" t="s">
        <v>76</v>
      </c>
      <c r="N1793" t="s">
        <v>26</v>
      </c>
      <c r="O1793" t="s">
        <v>26</v>
      </c>
      <c r="P1793" s="1" t="s">
        <v>30</v>
      </c>
      <c r="Q1793">
        <v>116.9</v>
      </c>
    </row>
    <row r="1794" spans="1:17" x14ac:dyDescent="0.3">
      <c r="A1794">
        <v>2018</v>
      </c>
      <c r="B1794" t="s">
        <v>39</v>
      </c>
      <c r="C1794" t="s">
        <v>120</v>
      </c>
      <c r="D1794" s="1" t="s">
        <v>23</v>
      </c>
      <c r="E1794" s="4">
        <v>138.4</v>
      </c>
      <c r="F1794" s="4">
        <v>136.19999999999999</v>
      </c>
      <c r="G1794" s="4">
        <v>132.6</v>
      </c>
      <c r="H1794" s="1" t="s">
        <v>23</v>
      </c>
      <c r="K1794">
        <v>2014</v>
      </c>
      <c r="L1794" t="s">
        <v>43</v>
      </c>
      <c r="M1794" t="s">
        <v>76</v>
      </c>
      <c r="N1794" t="s">
        <v>26</v>
      </c>
      <c r="O1794" t="s">
        <v>26</v>
      </c>
      <c r="P1794" s="1" t="s">
        <v>34</v>
      </c>
      <c r="Q1794">
        <v>118.8</v>
      </c>
    </row>
    <row r="1795" spans="1:17" x14ac:dyDescent="0.3">
      <c r="A1795">
        <v>2018</v>
      </c>
      <c r="B1795" t="s">
        <v>39</v>
      </c>
      <c r="C1795" t="s">
        <v>120</v>
      </c>
      <c r="D1795" s="1" t="s">
        <v>22</v>
      </c>
      <c r="E1795" s="4">
        <v>142.19999999999999</v>
      </c>
      <c r="F1795" s="4">
        <v>137.9</v>
      </c>
      <c r="G1795" s="4">
        <v>133.1</v>
      </c>
      <c r="H1795" s="1" t="s">
        <v>20</v>
      </c>
      <c r="K1795">
        <v>2014</v>
      </c>
      <c r="L1795" t="s">
        <v>43</v>
      </c>
      <c r="M1795" t="s">
        <v>76</v>
      </c>
      <c r="N1795" t="s">
        <v>26</v>
      </c>
      <c r="O1795" t="s">
        <v>26</v>
      </c>
      <c r="P1795" s="1" t="s">
        <v>33</v>
      </c>
      <c r="Q1795">
        <v>120.2</v>
      </c>
    </row>
    <row r="1796" spans="1:17" x14ac:dyDescent="0.3">
      <c r="A1796">
        <v>2018</v>
      </c>
      <c r="B1796" t="s">
        <v>39</v>
      </c>
      <c r="C1796" t="s">
        <v>120</v>
      </c>
      <c r="D1796" s="1" t="s">
        <v>20</v>
      </c>
      <c r="E1796" s="4">
        <v>0</v>
      </c>
      <c r="F1796" s="4">
        <v>142.5</v>
      </c>
      <c r="G1796" s="4">
        <v>142.5</v>
      </c>
      <c r="H1796" s="1" t="s">
        <v>20</v>
      </c>
      <c r="K1796">
        <v>2014</v>
      </c>
      <c r="L1796" t="s">
        <v>43</v>
      </c>
      <c r="M1796" t="s">
        <v>76</v>
      </c>
      <c r="N1796" t="s">
        <v>5</v>
      </c>
      <c r="O1796" t="s">
        <v>188</v>
      </c>
      <c r="P1796" s="1" t="s">
        <v>30</v>
      </c>
      <c r="Q1796">
        <v>118.3</v>
      </c>
    </row>
    <row r="1797" spans="1:17" x14ac:dyDescent="0.3">
      <c r="A1797">
        <v>2018</v>
      </c>
      <c r="B1797" t="s">
        <v>39</v>
      </c>
      <c r="C1797" t="s">
        <v>120</v>
      </c>
      <c r="D1797" s="1" t="s">
        <v>4</v>
      </c>
      <c r="E1797" s="4">
        <v>148.1</v>
      </c>
      <c r="F1797" s="4">
        <v>148.69999999999999</v>
      </c>
      <c r="G1797" s="4">
        <v>149.69999999999999</v>
      </c>
      <c r="H1797" s="1" t="s">
        <v>188</v>
      </c>
      <c r="K1797">
        <v>2014</v>
      </c>
      <c r="L1797" t="s">
        <v>43</v>
      </c>
      <c r="M1797" t="s">
        <v>76</v>
      </c>
      <c r="N1797" t="s">
        <v>5</v>
      </c>
      <c r="O1797" t="s">
        <v>188</v>
      </c>
      <c r="P1797" s="1" t="s">
        <v>34</v>
      </c>
      <c r="Q1797">
        <v>118.1</v>
      </c>
    </row>
    <row r="1798" spans="1:17" x14ac:dyDescent="0.3">
      <c r="A1798">
        <v>2018</v>
      </c>
      <c r="B1798" t="s">
        <v>39</v>
      </c>
      <c r="C1798" t="s">
        <v>120</v>
      </c>
      <c r="D1798" s="1" t="s">
        <v>6</v>
      </c>
      <c r="E1798" s="4">
        <v>143.19999999999999</v>
      </c>
      <c r="F1798" s="4">
        <v>142.30000000000001</v>
      </c>
      <c r="G1798" s="4">
        <v>140.80000000000001</v>
      </c>
      <c r="H1798" s="1" t="s">
        <v>188</v>
      </c>
      <c r="K1798">
        <v>2014</v>
      </c>
      <c r="L1798" t="s">
        <v>43</v>
      </c>
      <c r="M1798" t="s">
        <v>76</v>
      </c>
      <c r="N1798" t="s">
        <v>5</v>
      </c>
      <c r="O1798" t="s">
        <v>188</v>
      </c>
      <c r="P1798" s="1" t="s">
        <v>33</v>
      </c>
      <c r="Q1798">
        <v>117.8</v>
      </c>
    </row>
    <row r="1799" spans="1:17" x14ac:dyDescent="0.3">
      <c r="A1799">
        <v>2018</v>
      </c>
      <c r="B1799" t="s">
        <v>39</v>
      </c>
      <c r="C1799" t="s">
        <v>120</v>
      </c>
      <c r="D1799" s="1" t="s">
        <v>28</v>
      </c>
      <c r="E1799" s="4">
        <v>135.6</v>
      </c>
      <c r="F1799" s="4">
        <v>132.6</v>
      </c>
      <c r="G1799" s="4">
        <v>129.5</v>
      </c>
      <c r="H1799" s="1" t="s">
        <v>192</v>
      </c>
      <c r="K1799">
        <v>2014</v>
      </c>
      <c r="L1799" t="s">
        <v>43</v>
      </c>
      <c r="M1799" t="s">
        <v>76</v>
      </c>
      <c r="N1799" t="s">
        <v>15</v>
      </c>
      <c r="O1799" t="s">
        <v>188</v>
      </c>
      <c r="P1799" s="1" t="s">
        <v>30</v>
      </c>
      <c r="Q1799">
        <v>125.1</v>
      </c>
    </row>
    <row r="1800" spans="1:17" x14ac:dyDescent="0.3">
      <c r="A1800">
        <v>2018</v>
      </c>
      <c r="B1800" t="s">
        <v>39</v>
      </c>
      <c r="C1800" t="s">
        <v>120</v>
      </c>
      <c r="D1800" s="1" t="s">
        <v>13</v>
      </c>
      <c r="E1800" s="4">
        <v>132.80000000000001</v>
      </c>
      <c r="F1800" s="4">
        <v>130.30000000000001</v>
      </c>
      <c r="G1800" s="4">
        <v>126.7</v>
      </c>
      <c r="H1800" s="1" t="s">
        <v>188</v>
      </c>
      <c r="K1800">
        <v>2014</v>
      </c>
      <c r="L1800" t="s">
        <v>43</v>
      </c>
      <c r="M1800" t="s">
        <v>76</v>
      </c>
      <c r="N1800" t="s">
        <v>15</v>
      </c>
      <c r="O1800" t="s">
        <v>188</v>
      </c>
      <c r="P1800" s="1" t="s">
        <v>34</v>
      </c>
      <c r="Q1800">
        <v>125.4</v>
      </c>
    </row>
    <row r="1801" spans="1:17" x14ac:dyDescent="0.3">
      <c r="A1801">
        <v>2018</v>
      </c>
      <c r="B1801" t="s">
        <v>39</v>
      </c>
      <c r="C1801" t="s">
        <v>120</v>
      </c>
      <c r="D1801" s="1" t="s">
        <v>7</v>
      </c>
      <c r="E1801" s="4">
        <v>124</v>
      </c>
      <c r="F1801" s="4">
        <v>121.3</v>
      </c>
      <c r="G1801" s="4">
        <v>116.6</v>
      </c>
      <c r="H1801" s="1" t="s">
        <v>188</v>
      </c>
      <c r="K1801">
        <v>2014</v>
      </c>
      <c r="L1801" t="s">
        <v>43</v>
      </c>
      <c r="M1801" t="s">
        <v>76</v>
      </c>
      <c r="N1801" t="s">
        <v>15</v>
      </c>
      <c r="O1801" t="s">
        <v>188</v>
      </c>
      <c r="P1801" s="1" t="s">
        <v>33</v>
      </c>
      <c r="Q1801">
        <v>125.8</v>
      </c>
    </row>
    <row r="1802" spans="1:17" x14ac:dyDescent="0.3">
      <c r="A1802">
        <v>2018</v>
      </c>
      <c r="B1802" t="s">
        <v>39</v>
      </c>
      <c r="C1802" t="s">
        <v>120</v>
      </c>
      <c r="D1802" s="1" t="s">
        <v>16</v>
      </c>
      <c r="E1802" s="4">
        <v>157.30000000000001</v>
      </c>
      <c r="F1802" s="4">
        <v>158.30000000000001</v>
      </c>
      <c r="G1802" s="4">
        <v>161</v>
      </c>
      <c r="H1802" s="1" t="s">
        <v>192</v>
      </c>
      <c r="K1802">
        <v>2014</v>
      </c>
      <c r="L1802" t="s">
        <v>43</v>
      </c>
      <c r="M1802" t="s">
        <v>76</v>
      </c>
      <c r="N1802" t="s">
        <v>18</v>
      </c>
      <c r="O1802" t="s">
        <v>189</v>
      </c>
      <c r="P1802" s="1" t="s">
        <v>30</v>
      </c>
      <c r="Q1802">
        <v>120.3</v>
      </c>
    </row>
    <row r="1803" spans="1:17" x14ac:dyDescent="0.3">
      <c r="A1803">
        <v>2018</v>
      </c>
      <c r="B1803" t="s">
        <v>39</v>
      </c>
      <c r="C1803" t="s">
        <v>120</v>
      </c>
      <c r="D1803" s="1" t="s">
        <v>27</v>
      </c>
      <c r="E1803" s="4">
        <v>131.4</v>
      </c>
      <c r="F1803" s="4">
        <v>130.1</v>
      </c>
      <c r="G1803" s="4">
        <v>128.19999999999999</v>
      </c>
      <c r="H1803" s="1" t="s">
        <v>192</v>
      </c>
      <c r="K1803">
        <v>2014</v>
      </c>
      <c r="L1803" t="s">
        <v>43</v>
      </c>
      <c r="M1803" t="s">
        <v>76</v>
      </c>
      <c r="N1803" t="s">
        <v>18</v>
      </c>
      <c r="O1803" t="s">
        <v>189</v>
      </c>
      <c r="P1803" s="1" t="s">
        <v>34</v>
      </c>
      <c r="Q1803">
        <v>118.1</v>
      </c>
    </row>
    <row r="1804" spans="1:17" x14ac:dyDescent="0.3">
      <c r="A1804">
        <v>2018</v>
      </c>
      <c r="B1804" t="s">
        <v>39</v>
      </c>
      <c r="C1804" t="s">
        <v>120</v>
      </c>
      <c r="D1804" s="1" t="s">
        <v>14</v>
      </c>
      <c r="E1804" s="4">
        <v>154.30000000000001</v>
      </c>
      <c r="F1804" s="4">
        <v>151.80000000000001</v>
      </c>
      <c r="G1804" s="4">
        <v>149</v>
      </c>
      <c r="H1804" s="1" t="s">
        <v>188</v>
      </c>
      <c r="K1804">
        <v>2014</v>
      </c>
      <c r="L1804" t="s">
        <v>43</v>
      </c>
      <c r="M1804" t="s">
        <v>76</v>
      </c>
      <c r="N1804" t="s">
        <v>18</v>
      </c>
      <c r="O1804" t="s">
        <v>189</v>
      </c>
      <c r="P1804" s="1" t="s">
        <v>33</v>
      </c>
      <c r="Q1804">
        <v>114.9</v>
      </c>
    </row>
    <row r="1805" spans="1:17" x14ac:dyDescent="0.3">
      <c r="A1805">
        <v>2018</v>
      </c>
      <c r="B1805" t="s">
        <v>39</v>
      </c>
      <c r="C1805" t="s">
        <v>120</v>
      </c>
      <c r="D1805" s="1" t="s">
        <v>10</v>
      </c>
      <c r="E1805" s="4">
        <v>126</v>
      </c>
      <c r="F1805" s="4">
        <v>121.4</v>
      </c>
      <c r="G1805" s="4">
        <v>112.3</v>
      </c>
      <c r="H1805" s="1" t="s">
        <v>188</v>
      </c>
      <c r="K1805">
        <v>2014</v>
      </c>
      <c r="L1805" t="s">
        <v>43</v>
      </c>
      <c r="M1805" t="s">
        <v>76</v>
      </c>
      <c r="N1805" t="s">
        <v>8</v>
      </c>
      <c r="O1805" t="s">
        <v>188</v>
      </c>
      <c r="P1805" s="1" t="s">
        <v>30</v>
      </c>
      <c r="Q1805">
        <v>128.9</v>
      </c>
    </row>
    <row r="1806" spans="1:17" x14ac:dyDescent="0.3">
      <c r="A1806">
        <v>2018</v>
      </c>
      <c r="B1806" t="s">
        <v>39</v>
      </c>
      <c r="C1806" t="s">
        <v>120</v>
      </c>
      <c r="D1806" s="1" t="s">
        <v>25</v>
      </c>
      <c r="E1806" s="4">
        <v>137.80000000000001</v>
      </c>
      <c r="F1806" s="4">
        <v>132.6</v>
      </c>
      <c r="G1806" s="4">
        <v>128.5</v>
      </c>
      <c r="H1806" s="1" t="s">
        <v>195</v>
      </c>
      <c r="K1806">
        <v>2014</v>
      </c>
      <c r="L1806" t="s">
        <v>43</v>
      </c>
      <c r="M1806" t="s">
        <v>76</v>
      </c>
      <c r="N1806" t="s">
        <v>8</v>
      </c>
      <c r="O1806" t="s">
        <v>188</v>
      </c>
      <c r="P1806" s="1" t="s">
        <v>34</v>
      </c>
      <c r="Q1806">
        <v>126.4</v>
      </c>
    </row>
    <row r="1807" spans="1:17" x14ac:dyDescent="0.3">
      <c r="A1807">
        <v>2018</v>
      </c>
      <c r="B1807" t="s">
        <v>39</v>
      </c>
      <c r="C1807" t="s">
        <v>120</v>
      </c>
      <c r="D1807" s="1" t="s">
        <v>12</v>
      </c>
      <c r="E1807" s="4">
        <v>137.6</v>
      </c>
      <c r="F1807" s="4">
        <v>138.4</v>
      </c>
      <c r="G1807" s="4">
        <v>140</v>
      </c>
      <c r="H1807" s="1" t="s">
        <v>188</v>
      </c>
      <c r="K1807">
        <v>2014</v>
      </c>
      <c r="L1807" t="s">
        <v>43</v>
      </c>
      <c r="M1807" t="s">
        <v>76</v>
      </c>
      <c r="N1807" t="s">
        <v>8</v>
      </c>
      <c r="O1807" t="s">
        <v>188</v>
      </c>
      <c r="P1807" s="1" t="s">
        <v>33</v>
      </c>
      <c r="Q1807">
        <v>123.5</v>
      </c>
    </row>
    <row r="1808" spans="1:17" x14ac:dyDescent="0.3">
      <c r="A1808">
        <v>2018</v>
      </c>
      <c r="B1808" t="s">
        <v>39</v>
      </c>
      <c r="C1808" t="s">
        <v>120</v>
      </c>
      <c r="D1808" s="1" t="s">
        <v>11</v>
      </c>
      <c r="E1808" s="4">
        <v>112.4</v>
      </c>
      <c r="F1808" s="4">
        <v>111.1</v>
      </c>
      <c r="G1808" s="4">
        <v>108.4</v>
      </c>
      <c r="H1808" s="1" t="s">
        <v>188</v>
      </c>
      <c r="K1808">
        <v>2014</v>
      </c>
      <c r="L1808" t="s">
        <v>43</v>
      </c>
      <c r="M1808" t="s">
        <v>76</v>
      </c>
      <c r="N1808" t="s">
        <v>21</v>
      </c>
      <c r="O1808" t="s">
        <v>190</v>
      </c>
      <c r="P1808" s="1" t="s">
        <v>30</v>
      </c>
      <c r="Q1808">
        <v>116.4</v>
      </c>
    </row>
    <row r="1809" spans="1:17" x14ac:dyDescent="0.3">
      <c r="A1809">
        <v>2018</v>
      </c>
      <c r="B1809" t="s">
        <v>39</v>
      </c>
      <c r="C1809" t="s">
        <v>120</v>
      </c>
      <c r="D1809" s="1" t="s">
        <v>24</v>
      </c>
      <c r="E1809" s="4">
        <v>127.4</v>
      </c>
      <c r="F1809" s="4">
        <v>123.7</v>
      </c>
      <c r="G1809" s="4">
        <v>120.4</v>
      </c>
      <c r="H1809" s="1" t="s">
        <v>191</v>
      </c>
      <c r="K1809">
        <v>2014</v>
      </c>
      <c r="L1809" t="s">
        <v>43</v>
      </c>
      <c r="M1809" t="s">
        <v>76</v>
      </c>
      <c r="N1809" t="s">
        <v>21</v>
      </c>
      <c r="O1809" t="s">
        <v>190</v>
      </c>
      <c r="P1809" s="1" t="s">
        <v>34</v>
      </c>
      <c r="Q1809">
        <v>114.7</v>
      </c>
    </row>
    <row r="1810" spans="1:17" x14ac:dyDescent="0.3">
      <c r="A1810">
        <v>2018</v>
      </c>
      <c r="B1810" t="s">
        <v>39</v>
      </c>
      <c r="C1810" t="s">
        <v>120</v>
      </c>
      <c r="D1810" s="1" t="s">
        <v>9</v>
      </c>
      <c r="E1810" s="4">
        <v>143.5</v>
      </c>
      <c r="F1810" s="4">
        <v>143.69999999999999</v>
      </c>
      <c r="G1810" s="4">
        <v>144</v>
      </c>
      <c r="H1810" s="1" t="s">
        <v>188</v>
      </c>
      <c r="K1810">
        <v>2014</v>
      </c>
      <c r="L1810" t="s">
        <v>43</v>
      </c>
      <c r="M1810" t="s">
        <v>76</v>
      </c>
      <c r="N1810" t="s">
        <v>21</v>
      </c>
      <c r="O1810" t="s">
        <v>190</v>
      </c>
      <c r="P1810" s="1" t="s">
        <v>33</v>
      </c>
      <c r="Q1810">
        <v>112</v>
      </c>
    </row>
    <row r="1811" spans="1:17" x14ac:dyDescent="0.3">
      <c r="A1811">
        <v>2018</v>
      </c>
      <c r="B1811" t="s">
        <v>36</v>
      </c>
      <c r="C1811" t="s">
        <v>121</v>
      </c>
      <c r="D1811" s="1" t="s">
        <v>3</v>
      </c>
      <c r="E1811" s="4">
        <v>136.80000000000001</v>
      </c>
      <c r="F1811" s="4">
        <v>136.19999999999999</v>
      </c>
      <c r="G1811" s="4">
        <v>135</v>
      </c>
      <c r="H1811" s="1" t="s">
        <v>188</v>
      </c>
      <c r="K1811">
        <v>2014</v>
      </c>
      <c r="L1811" t="s">
        <v>43</v>
      </c>
      <c r="M1811" t="s">
        <v>76</v>
      </c>
      <c r="N1811" t="s">
        <v>29</v>
      </c>
      <c r="O1811" t="s">
        <v>206</v>
      </c>
      <c r="P1811" s="1" t="s">
        <v>30</v>
      </c>
      <c r="Q1811">
        <v>121</v>
      </c>
    </row>
    <row r="1812" spans="1:17" x14ac:dyDescent="0.3">
      <c r="A1812">
        <v>2018</v>
      </c>
      <c r="B1812" t="s">
        <v>36</v>
      </c>
      <c r="C1812" t="s">
        <v>121</v>
      </c>
      <c r="D1812" s="1" t="s">
        <v>17</v>
      </c>
      <c r="E1812" s="4">
        <v>149.19999999999999</v>
      </c>
      <c r="F1812" s="4">
        <v>144.30000000000001</v>
      </c>
      <c r="G1812" s="4">
        <v>136.69999999999999</v>
      </c>
      <c r="H1812" s="1" t="s">
        <v>189</v>
      </c>
      <c r="K1812">
        <v>2014</v>
      </c>
      <c r="L1812" t="s">
        <v>43</v>
      </c>
      <c r="M1812" t="s">
        <v>76</v>
      </c>
      <c r="N1812" t="s">
        <v>29</v>
      </c>
      <c r="O1812" t="s">
        <v>206</v>
      </c>
      <c r="P1812" s="1" t="s">
        <v>34</v>
      </c>
      <c r="Q1812">
        <v>120.1</v>
      </c>
    </row>
    <row r="1813" spans="1:17" x14ac:dyDescent="0.3">
      <c r="A1813">
        <v>2018</v>
      </c>
      <c r="B1813" t="s">
        <v>36</v>
      </c>
      <c r="C1813" t="s">
        <v>121</v>
      </c>
      <c r="D1813" s="1" t="s">
        <v>19</v>
      </c>
      <c r="E1813" s="4">
        <v>148.30000000000001</v>
      </c>
      <c r="F1813" s="4">
        <v>143.1</v>
      </c>
      <c r="G1813" s="4">
        <v>135.19999999999999</v>
      </c>
      <c r="H1813" s="1" t="s">
        <v>189</v>
      </c>
      <c r="K1813">
        <v>2014</v>
      </c>
      <c r="L1813" t="s">
        <v>43</v>
      </c>
      <c r="M1813" t="s">
        <v>76</v>
      </c>
      <c r="N1813" t="s">
        <v>29</v>
      </c>
      <c r="O1813" t="s">
        <v>206</v>
      </c>
      <c r="P1813" s="1" t="s">
        <v>33</v>
      </c>
      <c r="Q1813">
        <v>119.1</v>
      </c>
    </row>
    <row r="1814" spans="1:17" x14ac:dyDescent="0.3">
      <c r="A1814">
        <v>2018</v>
      </c>
      <c r="B1814" t="s">
        <v>36</v>
      </c>
      <c r="C1814" t="s">
        <v>121</v>
      </c>
      <c r="D1814" s="1" t="s">
        <v>26</v>
      </c>
      <c r="E1814" s="4">
        <v>142.69999999999999</v>
      </c>
      <c r="F1814" s="4">
        <v>139.80000000000001</v>
      </c>
      <c r="G1814" s="4">
        <v>137.80000000000001</v>
      </c>
      <c r="H1814" s="1" t="s">
        <v>26</v>
      </c>
      <c r="K1814">
        <v>2014</v>
      </c>
      <c r="L1814" t="s">
        <v>43</v>
      </c>
      <c r="M1814" t="s">
        <v>76</v>
      </c>
      <c r="N1814" t="s">
        <v>23</v>
      </c>
      <c r="O1814" t="s">
        <v>23</v>
      </c>
      <c r="P1814" s="1" t="s">
        <v>30</v>
      </c>
      <c r="Q1814">
        <v>115.3</v>
      </c>
    </row>
    <row r="1815" spans="1:17" x14ac:dyDescent="0.3">
      <c r="A1815">
        <v>2018</v>
      </c>
      <c r="B1815" t="s">
        <v>36</v>
      </c>
      <c r="C1815" t="s">
        <v>121</v>
      </c>
      <c r="D1815" s="1" t="s">
        <v>5</v>
      </c>
      <c r="E1815" s="4">
        <v>140</v>
      </c>
      <c r="F1815" s="4">
        <v>138.30000000000001</v>
      </c>
      <c r="G1815" s="4">
        <v>135.5</v>
      </c>
      <c r="H1815" s="1" t="s">
        <v>188</v>
      </c>
      <c r="K1815">
        <v>2014</v>
      </c>
      <c r="L1815" t="s">
        <v>43</v>
      </c>
      <c r="M1815" t="s">
        <v>76</v>
      </c>
      <c r="N1815" t="s">
        <v>23</v>
      </c>
      <c r="O1815" t="s">
        <v>23</v>
      </c>
      <c r="P1815" s="1" t="s">
        <v>34</v>
      </c>
      <c r="Q1815">
        <v>114.3</v>
      </c>
    </row>
    <row r="1816" spans="1:17" x14ac:dyDescent="0.3">
      <c r="A1816">
        <v>2018</v>
      </c>
      <c r="B1816" t="s">
        <v>36</v>
      </c>
      <c r="C1816" t="s">
        <v>121</v>
      </c>
      <c r="D1816" s="1" t="s">
        <v>15</v>
      </c>
      <c r="E1816" s="4">
        <v>138.6</v>
      </c>
      <c r="F1816" s="4">
        <v>137.19999999999999</v>
      </c>
      <c r="G1816" s="4">
        <v>134.80000000000001</v>
      </c>
      <c r="H1816" s="1" t="s">
        <v>188</v>
      </c>
      <c r="K1816">
        <v>2014</v>
      </c>
      <c r="L1816" t="s">
        <v>43</v>
      </c>
      <c r="M1816" t="s">
        <v>76</v>
      </c>
      <c r="N1816" t="s">
        <v>23</v>
      </c>
      <c r="O1816" t="s">
        <v>23</v>
      </c>
      <c r="P1816" s="1" t="s">
        <v>33</v>
      </c>
      <c r="Q1816">
        <v>112.6</v>
      </c>
    </row>
    <row r="1817" spans="1:17" x14ac:dyDescent="0.3">
      <c r="A1817">
        <v>2018</v>
      </c>
      <c r="B1817" t="s">
        <v>36</v>
      </c>
      <c r="C1817" t="s">
        <v>121</v>
      </c>
      <c r="D1817" s="1" t="s">
        <v>18</v>
      </c>
      <c r="E1817" s="4">
        <v>143</v>
      </c>
      <c r="F1817" s="4">
        <v>136.19999999999999</v>
      </c>
      <c r="G1817" s="4">
        <v>126.7</v>
      </c>
      <c r="H1817" s="1" t="s">
        <v>189</v>
      </c>
      <c r="K1817">
        <v>2014</v>
      </c>
      <c r="L1817" t="s">
        <v>43</v>
      </c>
      <c r="M1817" t="s">
        <v>76</v>
      </c>
      <c r="N1817" t="s">
        <v>22</v>
      </c>
      <c r="O1817" t="s">
        <v>20</v>
      </c>
      <c r="P1817" s="1" t="s">
        <v>30</v>
      </c>
      <c r="Q1817">
        <v>117.5</v>
      </c>
    </row>
    <row r="1818" spans="1:17" x14ac:dyDescent="0.3">
      <c r="A1818">
        <v>2018</v>
      </c>
      <c r="B1818" t="s">
        <v>36</v>
      </c>
      <c r="C1818" t="s">
        <v>121</v>
      </c>
      <c r="D1818" s="1" t="s">
        <v>8</v>
      </c>
      <c r="E1818" s="4">
        <v>152.9</v>
      </c>
      <c r="F1818" s="4">
        <v>146.19999999999999</v>
      </c>
      <c r="G1818" s="4">
        <v>138.5</v>
      </c>
      <c r="H1818" s="1" t="s">
        <v>188</v>
      </c>
      <c r="K1818">
        <v>2014</v>
      </c>
      <c r="L1818" t="s">
        <v>43</v>
      </c>
      <c r="M1818" t="s">
        <v>76</v>
      </c>
      <c r="N1818" t="s">
        <v>22</v>
      </c>
      <c r="O1818" t="s">
        <v>20</v>
      </c>
      <c r="P1818" s="1" t="s">
        <v>34</v>
      </c>
      <c r="Q1818">
        <v>116.7</v>
      </c>
    </row>
    <row r="1819" spans="1:17" x14ac:dyDescent="0.3">
      <c r="A1819">
        <v>2018</v>
      </c>
      <c r="B1819" t="s">
        <v>36</v>
      </c>
      <c r="C1819" t="s">
        <v>121</v>
      </c>
      <c r="D1819" s="1" t="s">
        <v>21</v>
      </c>
      <c r="E1819" s="4">
        <v>142.6</v>
      </c>
      <c r="F1819" s="4">
        <v>136.5</v>
      </c>
      <c r="G1819" s="4">
        <v>126.4</v>
      </c>
      <c r="H1819" s="1" t="s">
        <v>190</v>
      </c>
      <c r="K1819">
        <v>2014</v>
      </c>
      <c r="L1819" t="s">
        <v>43</v>
      </c>
      <c r="M1819" t="s">
        <v>76</v>
      </c>
      <c r="N1819" t="s">
        <v>22</v>
      </c>
      <c r="O1819" t="s">
        <v>20</v>
      </c>
      <c r="P1819" s="1" t="s">
        <v>33</v>
      </c>
      <c r="Q1819">
        <v>115.8</v>
      </c>
    </row>
    <row r="1820" spans="1:17" x14ac:dyDescent="0.3">
      <c r="A1820">
        <v>2018</v>
      </c>
      <c r="B1820" t="s">
        <v>36</v>
      </c>
      <c r="C1820" t="s">
        <v>121</v>
      </c>
      <c r="D1820" s="1" t="s">
        <v>29</v>
      </c>
      <c r="E1820" s="4">
        <v>138.69999999999999</v>
      </c>
      <c r="F1820" s="4">
        <v>136.5</v>
      </c>
      <c r="G1820" s="4">
        <v>134</v>
      </c>
      <c r="H1820" s="1" t="s">
        <v>206</v>
      </c>
      <c r="K1820">
        <v>2014</v>
      </c>
      <c r="L1820" t="s">
        <v>43</v>
      </c>
      <c r="M1820" t="s">
        <v>76</v>
      </c>
      <c r="N1820" t="s">
        <v>20</v>
      </c>
      <c r="O1820" t="s">
        <v>20</v>
      </c>
      <c r="P1820" s="1" t="s">
        <v>30</v>
      </c>
      <c r="Q1820">
        <v>0</v>
      </c>
    </row>
    <row r="1821" spans="1:17" x14ac:dyDescent="0.3">
      <c r="A1821">
        <v>2018</v>
      </c>
      <c r="B1821" t="s">
        <v>36</v>
      </c>
      <c r="C1821" t="s">
        <v>121</v>
      </c>
      <c r="D1821" s="1" t="s">
        <v>23</v>
      </c>
      <c r="E1821" s="4">
        <v>136.69999999999999</v>
      </c>
      <c r="F1821" s="4">
        <v>134.30000000000001</v>
      </c>
      <c r="G1821" s="4">
        <v>130.5</v>
      </c>
      <c r="H1821" s="1" t="s">
        <v>23</v>
      </c>
      <c r="K1821">
        <v>2014</v>
      </c>
      <c r="L1821" t="s">
        <v>43</v>
      </c>
      <c r="M1821" t="s">
        <v>76</v>
      </c>
      <c r="N1821" t="s">
        <v>20</v>
      </c>
      <c r="O1821" t="s">
        <v>20</v>
      </c>
      <c r="P1821" s="1" t="s">
        <v>34</v>
      </c>
      <c r="Q1821">
        <v>116.7</v>
      </c>
    </row>
    <row r="1822" spans="1:17" x14ac:dyDescent="0.3">
      <c r="A1822">
        <v>2018</v>
      </c>
      <c r="B1822" t="s">
        <v>36</v>
      </c>
      <c r="C1822" t="s">
        <v>121</v>
      </c>
      <c r="D1822" s="1" t="s">
        <v>22</v>
      </c>
      <c r="E1822" s="4">
        <v>139.9</v>
      </c>
      <c r="F1822" s="4">
        <v>135.6</v>
      </c>
      <c r="G1822" s="4">
        <v>130.80000000000001</v>
      </c>
      <c r="H1822" s="1" t="s">
        <v>20</v>
      </c>
      <c r="K1822">
        <v>2014</v>
      </c>
      <c r="L1822" t="s">
        <v>43</v>
      </c>
      <c r="M1822" t="s">
        <v>76</v>
      </c>
      <c r="N1822" t="s">
        <v>20</v>
      </c>
      <c r="O1822" t="s">
        <v>20</v>
      </c>
      <c r="P1822" s="1" t="s">
        <v>33</v>
      </c>
      <c r="Q1822">
        <v>116.7</v>
      </c>
    </row>
    <row r="1823" spans="1:17" x14ac:dyDescent="0.3">
      <c r="A1823">
        <v>2018</v>
      </c>
      <c r="B1823" t="s">
        <v>36</v>
      </c>
      <c r="C1823" t="s">
        <v>121</v>
      </c>
      <c r="D1823" s="1" t="s">
        <v>20</v>
      </c>
      <c r="E1823" s="4">
        <v>0</v>
      </c>
      <c r="F1823" s="4">
        <v>142</v>
      </c>
      <c r="G1823" s="4">
        <v>142</v>
      </c>
      <c r="H1823" s="1" t="s">
        <v>20</v>
      </c>
      <c r="K1823">
        <v>2014</v>
      </c>
      <c r="L1823" t="s">
        <v>43</v>
      </c>
      <c r="M1823" t="s">
        <v>76</v>
      </c>
      <c r="N1823" t="s">
        <v>4</v>
      </c>
      <c r="O1823" t="s">
        <v>188</v>
      </c>
      <c r="P1823" s="1" t="s">
        <v>30</v>
      </c>
      <c r="Q1823">
        <v>122.5</v>
      </c>
    </row>
    <row r="1824" spans="1:17" x14ac:dyDescent="0.3">
      <c r="A1824">
        <v>2018</v>
      </c>
      <c r="B1824" t="s">
        <v>36</v>
      </c>
      <c r="C1824" t="s">
        <v>121</v>
      </c>
      <c r="D1824" s="1" t="s">
        <v>4</v>
      </c>
      <c r="E1824" s="4">
        <v>143.80000000000001</v>
      </c>
      <c r="F1824" s="4">
        <v>143.6</v>
      </c>
      <c r="G1824" s="4">
        <v>143.1</v>
      </c>
      <c r="H1824" s="1" t="s">
        <v>188</v>
      </c>
      <c r="K1824">
        <v>2014</v>
      </c>
      <c r="L1824" t="s">
        <v>43</v>
      </c>
      <c r="M1824" t="s">
        <v>76</v>
      </c>
      <c r="N1824" t="s">
        <v>4</v>
      </c>
      <c r="O1824" t="s">
        <v>188</v>
      </c>
      <c r="P1824" s="1" t="s">
        <v>34</v>
      </c>
      <c r="Q1824">
        <v>123.8</v>
      </c>
    </row>
    <row r="1825" spans="1:17" x14ac:dyDescent="0.3">
      <c r="A1825">
        <v>2018</v>
      </c>
      <c r="B1825" t="s">
        <v>36</v>
      </c>
      <c r="C1825" t="s">
        <v>121</v>
      </c>
      <c r="D1825" s="1" t="s">
        <v>6</v>
      </c>
      <c r="E1825" s="4">
        <v>142</v>
      </c>
      <c r="F1825" s="4">
        <v>141.19999999999999</v>
      </c>
      <c r="G1825" s="4">
        <v>139.9</v>
      </c>
      <c r="H1825" s="1" t="s">
        <v>188</v>
      </c>
      <c r="K1825">
        <v>2014</v>
      </c>
      <c r="L1825" t="s">
        <v>43</v>
      </c>
      <c r="M1825" t="s">
        <v>76</v>
      </c>
      <c r="N1825" t="s">
        <v>4</v>
      </c>
      <c r="O1825" t="s">
        <v>188</v>
      </c>
      <c r="P1825" s="1" t="s">
        <v>33</v>
      </c>
      <c r="Q1825">
        <v>126.1</v>
      </c>
    </row>
    <row r="1826" spans="1:17" x14ac:dyDescent="0.3">
      <c r="A1826">
        <v>2018</v>
      </c>
      <c r="B1826" t="s">
        <v>36</v>
      </c>
      <c r="C1826" t="s">
        <v>121</v>
      </c>
      <c r="D1826" s="1" t="s">
        <v>28</v>
      </c>
      <c r="E1826" s="4">
        <v>133.30000000000001</v>
      </c>
      <c r="F1826" s="4">
        <v>130.30000000000001</v>
      </c>
      <c r="G1826" s="4">
        <v>127.1</v>
      </c>
      <c r="H1826" s="1" t="s">
        <v>192</v>
      </c>
      <c r="K1826">
        <v>2014</v>
      </c>
      <c r="L1826" t="s">
        <v>43</v>
      </c>
      <c r="M1826" t="s">
        <v>76</v>
      </c>
      <c r="N1826" t="s">
        <v>6</v>
      </c>
      <c r="O1826" t="s">
        <v>188</v>
      </c>
      <c r="P1826" s="1" t="s">
        <v>30</v>
      </c>
      <c r="Q1826">
        <v>123.2</v>
      </c>
    </row>
    <row r="1827" spans="1:17" x14ac:dyDescent="0.3">
      <c r="A1827">
        <v>2018</v>
      </c>
      <c r="B1827" t="s">
        <v>36</v>
      </c>
      <c r="C1827" t="s">
        <v>121</v>
      </c>
      <c r="D1827" s="1" t="s">
        <v>13</v>
      </c>
      <c r="E1827" s="4">
        <v>131.19999999999999</v>
      </c>
      <c r="F1827" s="4">
        <v>129.1</v>
      </c>
      <c r="G1827" s="4">
        <v>126.2</v>
      </c>
      <c r="H1827" s="1" t="s">
        <v>188</v>
      </c>
      <c r="K1827">
        <v>2014</v>
      </c>
      <c r="L1827" t="s">
        <v>43</v>
      </c>
      <c r="M1827" t="s">
        <v>76</v>
      </c>
      <c r="N1827" t="s">
        <v>6</v>
      </c>
      <c r="O1827" t="s">
        <v>188</v>
      </c>
      <c r="P1827" s="1" t="s">
        <v>34</v>
      </c>
      <c r="Q1827">
        <v>123.2</v>
      </c>
    </row>
    <row r="1828" spans="1:17" x14ac:dyDescent="0.3">
      <c r="A1828">
        <v>2018</v>
      </c>
      <c r="B1828" t="s">
        <v>36</v>
      </c>
      <c r="C1828" t="s">
        <v>121</v>
      </c>
      <c r="D1828" s="1" t="s">
        <v>7</v>
      </c>
      <c r="E1828" s="4">
        <v>123.2</v>
      </c>
      <c r="F1828" s="4">
        <v>120.7</v>
      </c>
      <c r="G1828" s="4">
        <v>116.5</v>
      </c>
      <c r="H1828" s="1" t="s">
        <v>188</v>
      </c>
      <c r="K1828">
        <v>2014</v>
      </c>
      <c r="L1828" t="s">
        <v>43</v>
      </c>
      <c r="M1828" t="s">
        <v>76</v>
      </c>
      <c r="N1828" t="s">
        <v>6</v>
      </c>
      <c r="O1828" t="s">
        <v>188</v>
      </c>
      <c r="P1828" s="1" t="s">
        <v>33</v>
      </c>
      <c r="Q1828">
        <v>123.1</v>
      </c>
    </row>
    <row r="1829" spans="1:17" x14ac:dyDescent="0.3">
      <c r="A1829">
        <v>2018</v>
      </c>
      <c r="B1829" t="s">
        <v>36</v>
      </c>
      <c r="C1829" t="s">
        <v>121</v>
      </c>
      <c r="D1829" s="1" t="s">
        <v>16</v>
      </c>
      <c r="E1829" s="4">
        <v>155.1</v>
      </c>
      <c r="F1829" s="4">
        <v>156.30000000000001</v>
      </c>
      <c r="G1829" s="4">
        <v>159.69999999999999</v>
      </c>
      <c r="H1829" s="1" t="s">
        <v>192</v>
      </c>
      <c r="K1829">
        <v>2014</v>
      </c>
      <c r="L1829" t="s">
        <v>43</v>
      </c>
      <c r="M1829" t="s">
        <v>76</v>
      </c>
      <c r="N1829" t="s">
        <v>28</v>
      </c>
      <c r="O1829" t="s">
        <v>192</v>
      </c>
      <c r="P1829" s="1" t="s">
        <v>30</v>
      </c>
      <c r="Q1829">
        <v>114</v>
      </c>
    </row>
    <row r="1830" spans="1:17" x14ac:dyDescent="0.3">
      <c r="A1830">
        <v>2018</v>
      </c>
      <c r="B1830" t="s">
        <v>36</v>
      </c>
      <c r="C1830" t="s">
        <v>121</v>
      </c>
      <c r="D1830" s="1" t="s">
        <v>27</v>
      </c>
      <c r="E1830" s="4">
        <v>129.30000000000001</v>
      </c>
      <c r="F1830" s="4">
        <v>128.19999999999999</v>
      </c>
      <c r="G1830" s="4">
        <v>126.7</v>
      </c>
      <c r="H1830" s="1" t="s">
        <v>192</v>
      </c>
      <c r="K1830">
        <v>2014</v>
      </c>
      <c r="L1830" t="s">
        <v>43</v>
      </c>
      <c r="M1830" t="s">
        <v>76</v>
      </c>
      <c r="N1830" t="s">
        <v>28</v>
      </c>
      <c r="O1830" t="s">
        <v>192</v>
      </c>
      <c r="P1830" s="1" t="s">
        <v>34</v>
      </c>
      <c r="Q1830">
        <v>113.9</v>
      </c>
    </row>
    <row r="1831" spans="1:17" x14ac:dyDescent="0.3">
      <c r="A1831">
        <v>2018</v>
      </c>
      <c r="B1831" t="s">
        <v>36</v>
      </c>
      <c r="C1831" t="s">
        <v>121</v>
      </c>
      <c r="D1831" s="1" t="s">
        <v>14</v>
      </c>
      <c r="E1831" s="4">
        <v>152.80000000000001</v>
      </c>
      <c r="F1831" s="4">
        <v>150.4</v>
      </c>
      <c r="G1831" s="4">
        <v>147.6</v>
      </c>
      <c r="H1831" s="1" t="s">
        <v>188</v>
      </c>
      <c r="K1831">
        <v>2014</v>
      </c>
      <c r="L1831" t="s">
        <v>43</v>
      </c>
      <c r="M1831" t="s">
        <v>76</v>
      </c>
      <c r="N1831" t="s">
        <v>28</v>
      </c>
      <c r="O1831" t="s">
        <v>192</v>
      </c>
      <c r="P1831" s="1" t="s">
        <v>33</v>
      </c>
      <c r="Q1831">
        <v>113.7</v>
      </c>
    </row>
    <row r="1832" spans="1:17" x14ac:dyDescent="0.3">
      <c r="A1832">
        <v>2018</v>
      </c>
      <c r="B1832" t="s">
        <v>36</v>
      </c>
      <c r="C1832" t="s">
        <v>121</v>
      </c>
      <c r="D1832" s="1" t="s">
        <v>10</v>
      </c>
      <c r="E1832" s="4">
        <v>129.30000000000001</v>
      </c>
      <c r="F1832" s="4">
        <v>124.6</v>
      </c>
      <c r="G1832" s="4">
        <v>115.5</v>
      </c>
      <c r="H1832" s="1" t="s">
        <v>188</v>
      </c>
      <c r="K1832">
        <v>2014</v>
      </c>
      <c r="L1832" t="s">
        <v>43</v>
      </c>
      <c r="M1832" t="s">
        <v>76</v>
      </c>
      <c r="N1832" t="s">
        <v>13</v>
      </c>
      <c r="O1832" t="s">
        <v>188</v>
      </c>
      <c r="P1832" s="1" t="s">
        <v>30</v>
      </c>
      <c r="Q1832">
        <v>116.8</v>
      </c>
    </row>
    <row r="1833" spans="1:17" x14ac:dyDescent="0.3">
      <c r="A1833">
        <v>2018</v>
      </c>
      <c r="B1833" t="s">
        <v>36</v>
      </c>
      <c r="C1833" t="s">
        <v>121</v>
      </c>
      <c r="D1833" s="1" t="s">
        <v>25</v>
      </c>
      <c r="E1833" s="4">
        <v>135.1</v>
      </c>
      <c r="F1833" s="4">
        <v>130.4</v>
      </c>
      <c r="G1833" s="4">
        <v>126.8</v>
      </c>
      <c r="H1833" s="1" t="s">
        <v>195</v>
      </c>
      <c r="K1833">
        <v>2014</v>
      </c>
      <c r="L1833" t="s">
        <v>43</v>
      </c>
      <c r="M1833" t="s">
        <v>76</v>
      </c>
      <c r="N1833" t="s">
        <v>13</v>
      </c>
      <c r="O1833" t="s">
        <v>188</v>
      </c>
      <c r="P1833" s="1" t="s">
        <v>34</v>
      </c>
      <c r="Q1833">
        <v>116.1</v>
      </c>
    </row>
    <row r="1834" spans="1:17" x14ac:dyDescent="0.3">
      <c r="A1834">
        <v>2018</v>
      </c>
      <c r="B1834" t="s">
        <v>36</v>
      </c>
      <c r="C1834" t="s">
        <v>121</v>
      </c>
      <c r="D1834" s="1" t="s">
        <v>12</v>
      </c>
      <c r="E1834" s="4">
        <v>136.30000000000001</v>
      </c>
      <c r="F1834" s="4">
        <v>137.80000000000001</v>
      </c>
      <c r="G1834" s="4">
        <v>140.69999999999999</v>
      </c>
      <c r="H1834" s="1" t="s">
        <v>188</v>
      </c>
      <c r="K1834">
        <v>2014</v>
      </c>
      <c r="L1834" t="s">
        <v>43</v>
      </c>
      <c r="M1834" t="s">
        <v>76</v>
      </c>
      <c r="N1834" t="s">
        <v>13</v>
      </c>
      <c r="O1834" t="s">
        <v>188</v>
      </c>
      <c r="P1834" s="1" t="s">
        <v>33</v>
      </c>
      <c r="Q1834">
        <v>115.2</v>
      </c>
    </row>
    <row r="1835" spans="1:17" x14ac:dyDescent="0.3">
      <c r="A1835">
        <v>2018</v>
      </c>
      <c r="B1835" t="s">
        <v>36</v>
      </c>
      <c r="C1835" t="s">
        <v>121</v>
      </c>
      <c r="D1835" s="1" t="s">
        <v>11</v>
      </c>
      <c r="E1835" s="4">
        <v>117.1</v>
      </c>
      <c r="F1835" s="4">
        <v>116.1</v>
      </c>
      <c r="G1835" s="4">
        <v>114.2</v>
      </c>
      <c r="H1835" s="1" t="s">
        <v>188</v>
      </c>
      <c r="K1835">
        <v>2014</v>
      </c>
      <c r="L1835" t="s">
        <v>43</v>
      </c>
      <c r="M1835" t="s">
        <v>76</v>
      </c>
      <c r="N1835" t="s">
        <v>7</v>
      </c>
      <c r="O1835" t="s">
        <v>188</v>
      </c>
      <c r="P1835" s="1" t="s">
        <v>30</v>
      </c>
      <c r="Q1835">
        <v>110.5</v>
      </c>
    </row>
    <row r="1836" spans="1:17" x14ac:dyDescent="0.3">
      <c r="A1836">
        <v>2018</v>
      </c>
      <c r="B1836" t="s">
        <v>36</v>
      </c>
      <c r="C1836" t="s">
        <v>121</v>
      </c>
      <c r="D1836" s="1" t="s">
        <v>24</v>
      </c>
      <c r="E1836" s="4">
        <v>124.6</v>
      </c>
      <c r="F1836" s="4">
        <v>121</v>
      </c>
      <c r="G1836" s="4">
        <v>117.8</v>
      </c>
      <c r="H1836" s="1" t="s">
        <v>191</v>
      </c>
      <c r="K1836">
        <v>2014</v>
      </c>
      <c r="L1836" t="s">
        <v>43</v>
      </c>
      <c r="M1836" t="s">
        <v>76</v>
      </c>
      <c r="N1836" t="s">
        <v>7</v>
      </c>
      <c r="O1836" t="s">
        <v>188</v>
      </c>
      <c r="P1836" s="1" t="s">
        <v>34</v>
      </c>
      <c r="Q1836">
        <v>107.9</v>
      </c>
    </row>
    <row r="1837" spans="1:17" x14ac:dyDescent="0.3">
      <c r="A1837">
        <v>2018</v>
      </c>
      <c r="B1837" t="s">
        <v>36</v>
      </c>
      <c r="C1837" t="s">
        <v>121</v>
      </c>
      <c r="D1837" s="1" t="s">
        <v>9</v>
      </c>
      <c r="E1837" s="4">
        <v>138</v>
      </c>
      <c r="F1837" s="4">
        <v>134.6</v>
      </c>
      <c r="G1837" s="4">
        <v>128</v>
      </c>
      <c r="H1837" s="1" t="s">
        <v>188</v>
      </c>
      <c r="K1837">
        <v>2014</v>
      </c>
      <c r="L1837" t="s">
        <v>43</v>
      </c>
      <c r="M1837" t="s">
        <v>76</v>
      </c>
      <c r="N1837" t="s">
        <v>7</v>
      </c>
      <c r="O1837" t="s">
        <v>188</v>
      </c>
      <c r="P1837" s="1" t="s">
        <v>33</v>
      </c>
      <c r="Q1837">
        <v>103.5</v>
      </c>
    </row>
    <row r="1838" spans="1:17" x14ac:dyDescent="0.3">
      <c r="A1838">
        <v>2018</v>
      </c>
      <c r="B1838" t="s">
        <v>38</v>
      </c>
      <c r="C1838" t="s">
        <v>122</v>
      </c>
      <c r="D1838" s="1" t="s">
        <v>3</v>
      </c>
      <c r="E1838" s="4">
        <v>137.4</v>
      </c>
      <c r="F1838" s="4">
        <v>136.6</v>
      </c>
      <c r="G1838" s="4">
        <v>135</v>
      </c>
      <c r="H1838" s="1" t="s">
        <v>188</v>
      </c>
      <c r="K1838">
        <v>2014</v>
      </c>
      <c r="L1838" t="s">
        <v>43</v>
      </c>
      <c r="M1838" t="s">
        <v>76</v>
      </c>
      <c r="N1838" t="s">
        <v>16</v>
      </c>
      <c r="O1838" t="s">
        <v>192</v>
      </c>
      <c r="P1838" s="1" t="s">
        <v>30</v>
      </c>
      <c r="Q1838">
        <v>120</v>
      </c>
    </row>
    <row r="1839" spans="1:17" x14ac:dyDescent="0.3">
      <c r="A1839">
        <v>2018</v>
      </c>
      <c r="B1839" t="s">
        <v>38</v>
      </c>
      <c r="C1839" t="s">
        <v>122</v>
      </c>
      <c r="D1839" s="1" t="s">
        <v>17</v>
      </c>
      <c r="E1839" s="4">
        <v>150.80000000000001</v>
      </c>
      <c r="F1839" s="4">
        <v>146</v>
      </c>
      <c r="G1839" s="4">
        <v>138.6</v>
      </c>
      <c r="H1839" s="1" t="s">
        <v>189</v>
      </c>
      <c r="K1839">
        <v>2014</v>
      </c>
      <c r="L1839" t="s">
        <v>43</v>
      </c>
      <c r="M1839" t="s">
        <v>76</v>
      </c>
      <c r="N1839" t="s">
        <v>16</v>
      </c>
      <c r="O1839" t="s">
        <v>192</v>
      </c>
      <c r="P1839" s="1" t="s">
        <v>34</v>
      </c>
      <c r="Q1839">
        <v>121.1</v>
      </c>
    </row>
    <row r="1840" spans="1:17" x14ac:dyDescent="0.3">
      <c r="A1840">
        <v>2018</v>
      </c>
      <c r="B1840" t="s">
        <v>38</v>
      </c>
      <c r="C1840" t="s">
        <v>122</v>
      </c>
      <c r="D1840" s="1" t="s">
        <v>19</v>
      </c>
      <c r="E1840" s="4">
        <v>149.80000000000001</v>
      </c>
      <c r="F1840" s="4">
        <v>144.69999999999999</v>
      </c>
      <c r="G1840" s="4">
        <v>137</v>
      </c>
      <c r="H1840" s="1" t="s">
        <v>189</v>
      </c>
      <c r="K1840">
        <v>2014</v>
      </c>
      <c r="L1840" t="s">
        <v>43</v>
      </c>
      <c r="M1840" t="s">
        <v>76</v>
      </c>
      <c r="N1840" t="s">
        <v>16</v>
      </c>
      <c r="O1840" t="s">
        <v>192</v>
      </c>
      <c r="P1840" s="1" t="s">
        <v>33</v>
      </c>
      <c r="Q1840">
        <v>124.3</v>
      </c>
    </row>
    <row r="1841" spans="1:17" x14ac:dyDescent="0.3">
      <c r="A1841">
        <v>2018</v>
      </c>
      <c r="B1841" t="s">
        <v>38</v>
      </c>
      <c r="C1841" t="s">
        <v>122</v>
      </c>
      <c r="D1841" s="1" t="s">
        <v>26</v>
      </c>
      <c r="E1841" s="4">
        <v>144.4</v>
      </c>
      <c r="F1841" s="4">
        <v>142.1</v>
      </c>
      <c r="G1841" s="4">
        <v>140.4</v>
      </c>
      <c r="H1841" s="1" t="s">
        <v>26</v>
      </c>
      <c r="K1841">
        <v>2014</v>
      </c>
      <c r="L1841" t="s">
        <v>43</v>
      </c>
      <c r="M1841" t="s">
        <v>76</v>
      </c>
      <c r="N1841" t="s">
        <v>27</v>
      </c>
      <c r="O1841" t="s">
        <v>192</v>
      </c>
      <c r="P1841" s="1" t="s">
        <v>30</v>
      </c>
      <c r="Q1841">
        <v>109.3</v>
      </c>
    </row>
    <row r="1842" spans="1:17" x14ac:dyDescent="0.3">
      <c r="A1842">
        <v>2018</v>
      </c>
      <c r="B1842" t="s">
        <v>38</v>
      </c>
      <c r="C1842" t="s">
        <v>122</v>
      </c>
      <c r="D1842" s="1" t="s">
        <v>5</v>
      </c>
      <c r="E1842" s="4">
        <v>135.5</v>
      </c>
      <c r="F1842" s="4">
        <v>133.6</v>
      </c>
      <c r="G1842" s="4">
        <v>130.5</v>
      </c>
      <c r="H1842" s="1" t="s">
        <v>188</v>
      </c>
      <c r="K1842">
        <v>2014</v>
      </c>
      <c r="L1842" t="s">
        <v>43</v>
      </c>
      <c r="M1842" t="s">
        <v>76</v>
      </c>
      <c r="N1842" t="s">
        <v>27</v>
      </c>
      <c r="O1842" t="s">
        <v>192</v>
      </c>
      <c r="P1842" s="1" t="s">
        <v>34</v>
      </c>
      <c r="Q1842">
        <v>109.6</v>
      </c>
    </row>
    <row r="1843" spans="1:17" x14ac:dyDescent="0.3">
      <c r="A1843">
        <v>2018</v>
      </c>
      <c r="B1843" t="s">
        <v>38</v>
      </c>
      <c r="C1843" t="s">
        <v>122</v>
      </c>
      <c r="D1843" s="1" t="s">
        <v>15</v>
      </c>
      <c r="E1843" s="4">
        <v>139.1</v>
      </c>
      <c r="F1843" s="4">
        <v>138.1</v>
      </c>
      <c r="G1843" s="4">
        <v>136.4</v>
      </c>
      <c r="H1843" s="1" t="s">
        <v>188</v>
      </c>
      <c r="K1843">
        <v>2014</v>
      </c>
      <c r="L1843" t="s">
        <v>43</v>
      </c>
      <c r="M1843" t="s">
        <v>76</v>
      </c>
      <c r="N1843" t="s">
        <v>27</v>
      </c>
      <c r="O1843" t="s">
        <v>192</v>
      </c>
      <c r="P1843" s="1" t="s">
        <v>33</v>
      </c>
      <c r="Q1843">
        <v>110.1</v>
      </c>
    </row>
    <row r="1844" spans="1:17" x14ac:dyDescent="0.3">
      <c r="A1844">
        <v>2018</v>
      </c>
      <c r="B1844" t="s">
        <v>38</v>
      </c>
      <c r="C1844" t="s">
        <v>122</v>
      </c>
      <c r="D1844" s="1" t="s">
        <v>18</v>
      </c>
      <c r="E1844" s="4">
        <v>144.1</v>
      </c>
      <c r="F1844" s="4">
        <v>137.4</v>
      </c>
      <c r="G1844" s="4">
        <v>127.9</v>
      </c>
      <c r="H1844" s="1" t="s">
        <v>189</v>
      </c>
      <c r="K1844">
        <v>2014</v>
      </c>
      <c r="L1844" t="s">
        <v>43</v>
      </c>
      <c r="M1844" t="s">
        <v>76</v>
      </c>
      <c r="N1844" t="s">
        <v>14</v>
      </c>
      <c r="O1844" t="s">
        <v>188</v>
      </c>
      <c r="P1844" s="1" t="s">
        <v>30</v>
      </c>
      <c r="Q1844">
        <v>123.2</v>
      </c>
    </row>
    <row r="1845" spans="1:17" x14ac:dyDescent="0.3">
      <c r="A1845">
        <v>2018</v>
      </c>
      <c r="B1845" t="s">
        <v>38</v>
      </c>
      <c r="C1845" t="s">
        <v>122</v>
      </c>
      <c r="D1845" s="1" t="s">
        <v>8</v>
      </c>
      <c r="E1845" s="4">
        <v>157.5</v>
      </c>
      <c r="F1845" s="4">
        <v>154.6</v>
      </c>
      <c r="G1845" s="4">
        <v>151.30000000000001</v>
      </c>
      <c r="H1845" s="1" t="s">
        <v>188</v>
      </c>
      <c r="K1845">
        <v>2014</v>
      </c>
      <c r="L1845" t="s">
        <v>43</v>
      </c>
      <c r="M1845" t="s">
        <v>76</v>
      </c>
      <c r="N1845" t="s">
        <v>14</v>
      </c>
      <c r="O1845" t="s">
        <v>188</v>
      </c>
      <c r="P1845" s="1" t="s">
        <v>34</v>
      </c>
      <c r="Q1845">
        <v>124.5</v>
      </c>
    </row>
    <row r="1846" spans="1:17" x14ac:dyDescent="0.3">
      <c r="A1846">
        <v>2018</v>
      </c>
      <c r="B1846" t="s">
        <v>38</v>
      </c>
      <c r="C1846" t="s">
        <v>122</v>
      </c>
      <c r="D1846" s="1" t="s">
        <v>21</v>
      </c>
      <c r="E1846" s="4">
        <v>144.30000000000001</v>
      </c>
      <c r="F1846" s="4">
        <v>136.9</v>
      </c>
      <c r="G1846" s="4">
        <v>124.7</v>
      </c>
      <c r="H1846" s="1" t="s">
        <v>190</v>
      </c>
      <c r="K1846">
        <v>2014</v>
      </c>
      <c r="L1846" t="s">
        <v>43</v>
      </c>
      <c r="M1846" t="s">
        <v>76</v>
      </c>
      <c r="N1846" t="s">
        <v>14</v>
      </c>
      <c r="O1846" t="s">
        <v>188</v>
      </c>
      <c r="P1846" s="1" t="s">
        <v>33</v>
      </c>
      <c r="Q1846">
        <v>125.9</v>
      </c>
    </row>
    <row r="1847" spans="1:17" x14ac:dyDescent="0.3">
      <c r="A1847">
        <v>2018</v>
      </c>
      <c r="B1847" t="s">
        <v>38</v>
      </c>
      <c r="C1847" t="s">
        <v>122</v>
      </c>
      <c r="D1847" s="1" t="s">
        <v>29</v>
      </c>
      <c r="E1847" s="4">
        <v>139.80000000000001</v>
      </c>
      <c r="F1847" s="4">
        <v>137.80000000000001</v>
      </c>
      <c r="G1847" s="4">
        <v>135.4</v>
      </c>
      <c r="H1847" s="1" t="s">
        <v>206</v>
      </c>
      <c r="K1847">
        <v>2014</v>
      </c>
      <c r="L1847" t="s">
        <v>43</v>
      </c>
      <c r="M1847" t="s">
        <v>76</v>
      </c>
      <c r="N1847" t="s">
        <v>10</v>
      </c>
      <c r="O1847" t="s">
        <v>188</v>
      </c>
      <c r="P1847" s="1" t="s">
        <v>30</v>
      </c>
      <c r="Q1847">
        <v>115.5</v>
      </c>
    </row>
    <row r="1848" spans="1:17" x14ac:dyDescent="0.3">
      <c r="A1848">
        <v>2018</v>
      </c>
      <c r="B1848" t="s">
        <v>38</v>
      </c>
      <c r="C1848" t="s">
        <v>122</v>
      </c>
      <c r="D1848" s="1" t="s">
        <v>23</v>
      </c>
      <c r="E1848" s="4">
        <v>138.4</v>
      </c>
      <c r="F1848" s="4">
        <v>136</v>
      </c>
      <c r="G1848" s="4">
        <v>132</v>
      </c>
      <c r="H1848" s="1" t="s">
        <v>23</v>
      </c>
      <c r="K1848">
        <v>2014</v>
      </c>
      <c r="L1848" t="s">
        <v>43</v>
      </c>
      <c r="M1848" t="s">
        <v>76</v>
      </c>
      <c r="N1848" t="s">
        <v>10</v>
      </c>
      <c r="O1848" t="s">
        <v>188</v>
      </c>
      <c r="P1848" s="1" t="s">
        <v>34</v>
      </c>
      <c r="Q1848">
        <v>116.1</v>
      </c>
    </row>
    <row r="1849" spans="1:17" x14ac:dyDescent="0.3">
      <c r="A1849">
        <v>2018</v>
      </c>
      <c r="B1849" t="s">
        <v>38</v>
      </c>
      <c r="C1849" t="s">
        <v>122</v>
      </c>
      <c r="D1849" s="1" t="s">
        <v>22</v>
      </c>
      <c r="E1849" s="4">
        <v>141.80000000000001</v>
      </c>
      <c r="F1849" s="4">
        <v>137.4</v>
      </c>
      <c r="G1849" s="4">
        <v>132.5</v>
      </c>
      <c r="H1849" s="1" t="s">
        <v>20</v>
      </c>
      <c r="K1849">
        <v>2014</v>
      </c>
      <c r="L1849" t="s">
        <v>43</v>
      </c>
      <c r="M1849" t="s">
        <v>76</v>
      </c>
      <c r="N1849" t="s">
        <v>10</v>
      </c>
      <c r="O1849" t="s">
        <v>188</v>
      </c>
      <c r="P1849" s="1" t="s">
        <v>33</v>
      </c>
      <c r="Q1849">
        <v>117.4</v>
      </c>
    </row>
    <row r="1850" spans="1:17" x14ac:dyDescent="0.3">
      <c r="A1850">
        <v>2018</v>
      </c>
      <c r="B1850" t="s">
        <v>38</v>
      </c>
      <c r="C1850" t="s">
        <v>122</v>
      </c>
      <c r="D1850" s="1" t="s">
        <v>20</v>
      </c>
      <c r="E1850" s="4">
        <v>0</v>
      </c>
      <c r="F1850" s="4">
        <v>143.19999999999999</v>
      </c>
      <c r="G1850" s="4">
        <v>143.19999999999999</v>
      </c>
      <c r="H1850" s="1" t="s">
        <v>20</v>
      </c>
      <c r="K1850">
        <v>2014</v>
      </c>
      <c r="L1850" t="s">
        <v>43</v>
      </c>
      <c r="M1850" t="s">
        <v>76</v>
      </c>
      <c r="N1850" t="s">
        <v>25</v>
      </c>
      <c r="O1850" t="s">
        <v>195</v>
      </c>
      <c r="P1850" s="1" t="s">
        <v>30</v>
      </c>
      <c r="Q1850">
        <v>113</v>
      </c>
    </row>
    <row r="1851" spans="1:17" x14ac:dyDescent="0.3">
      <c r="A1851">
        <v>2018</v>
      </c>
      <c r="B1851" t="s">
        <v>38</v>
      </c>
      <c r="C1851" t="s">
        <v>122</v>
      </c>
      <c r="D1851" s="1" t="s">
        <v>4</v>
      </c>
      <c r="E1851" s="4">
        <v>145.69999999999999</v>
      </c>
      <c r="F1851" s="4">
        <v>146.6</v>
      </c>
      <c r="G1851" s="4">
        <v>148.19999999999999</v>
      </c>
      <c r="H1851" s="1" t="s">
        <v>188</v>
      </c>
      <c r="K1851">
        <v>2014</v>
      </c>
      <c r="L1851" t="s">
        <v>43</v>
      </c>
      <c r="M1851" t="s">
        <v>76</v>
      </c>
      <c r="N1851" t="s">
        <v>25</v>
      </c>
      <c r="O1851" t="s">
        <v>195</v>
      </c>
      <c r="P1851" s="1" t="s">
        <v>34</v>
      </c>
      <c r="Q1851">
        <v>113.3</v>
      </c>
    </row>
    <row r="1852" spans="1:17" x14ac:dyDescent="0.3">
      <c r="A1852">
        <v>2018</v>
      </c>
      <c r="B1852" t="s">
        <v>38</v>
      </c>
      <c r="C1852" t="s">
        <v>122</v>
      </c>
      <c r="D1852" s="1" t="s">
        <v>6</v>
      </c>
      <c r="E1852" s="4">
        <v>142.9</v>
      </c>
      <c r="F1852" s="4">
        <v>142.1</v>
      </c>
      <c r="G1852" s="4">
        <v>140.69999999999999</v>
      </c>
      <c r="H1852" s="1" t="s">
        <v>188</v>
      </c>
      <c r="K1852">
        <v>2014</v>
      </c>
      <c r="L1852" t="s">
        <v>43</v>
      </c>
      <c r="M1852" t="s">
        <v>76</v>
      </c>
      <c r="N1852" t="s">
        <v>25</v>
      </c>
      <c r="O1852" t="s">
        <v>195</v>
      </c>
      <c r="P1852" s="1" t="s">
        <v>33</v>
      </c>
      <c r="Q1852">
        <v>113.6</v>
      </c>
    </row>
    <row r="1853" spans="1:17" x14ac:dyDescent="0.3">
      <c r="A1853">
        <v>2018</v>
      </c>
      <c r="B1853" t="s">
        <v>38</v>
      </c>
      <c r="C1853" t="s">
        <v>122</v>
      </c>
      <c r="D1853" s="1" t="s">
        <v>28</v>
      </c>
      <c r="E1853" s="4">
        <v>135.1</v>
      </c>
      <c r="F1853" s="4">
        <v>132.1</v>
      </c>
      <c r="G1853" s="4">
        <v>128.9</v>
      </c>
      <c r="H1853" s="1" t="s">
        <v>192</v>
      </c>
      <c r="K1853">
        <v>2014</v>
      </c>
      <c r="L1853" t="s">
        <v>43</v>
      </c>
      <c r="M1853" t="s">
        <v>76</v>
      </c>
      <c r="N1853" t="s">
        <v>12</v>
      </c>
      <c r="O1853" t="s">
        <v>188</v>
      </c>
      <c r="P1853" s="1" t="s">
        <v>30</v>
      </c>
      <c r="Q1853">
        <v>115.3</v>
      </c>
    </row>
    <row r="1854" spans="1:17" x14ac:dyDescent="0.3">
      <c r="A1854">
        <v>2018</v>
      </c>
      <c r="B1854" t="s">
        <v>38</v>
      </c>
      <c r="C1854" t="s">
        <v>122</v>
      </c>
      <c r="D1854" s="1" t="s">
        <v>13</v>
      </c>
      <c r="E1854" s="4">
        <v>132.19999999999999</v>
      </c>
      <c r="F1854" s="4">
        <v>129.9</v>
      </c>
      <c r="G1854" s="4">
        <v>126.6</v>
      </c>
      <c r="H1854" s="1" t="s">
        <v>188</v>
      </c>
      <c r="K1854">
        <v>2014</v>
      </c>
      <c r="L1854" t="s">
        <v>43</v>
      </c>
      <c r="M1854" t="s">
        <v>76</v>
      </c>
      <c r="N1854" t="s">
        <v>12</v>
      </c>
      <c r="O1854" t="s">
        <v>188</v>
      </c>
      <c r="P1854" s="1" t="s">
        <v>34</v>
      </c>
      <c r="Q1854">
        <v>118.1</v>
      </c>
    </row>
    <row r="1855" spans="1:17" x14ac:dyDescent="0.3">
      <c r="A1855">
        <v>2018</v>
      </c>
      <c r="B1855" t="s">
        <v>38</v>
      </c>
      <c r="C1855" t="s">
        <v>122</v>
      </c>
      <c r="D1855" s="1" t="s">
        <v>7</v>
      </c>
      <c r="E1855" s="4">
        <v>123.6</v>
      </c>
      <c r="F1855" s="4">
        <v>121</v>
      </c>
      <c r="G1855" s="4">
        <v>116.4</v>
      </c>
      <c r="H1855" s="1" t="s">
        <v>188</v>
      </c>
      <c r="K1855">
        <v>2014</v>
      </c>
      <c r="L1855" t="s">
        <v>43</v>
      </c>
      <c r="M1855" t="s">
        <v>76</v>
      </c>
      <c r="N1855" t="s">
        <v>12</v>
      </c>
      <c r="O1855" t="s">
        <v>188</v>
      </c>
      <c r="P1855" s="1" t="s">
        <v>33</v>
      </c>
      <c r="Q1855">
        <v>123.8</v>
      </c>
    </row>
    <row r="1856" spans="1:17" x14ac:dyDescent="0.3">
      <c r="A1856">
        <v>2018</v>
      </c>
      <c r="B1856" t="s">
        <v>38</v>
      </c>
      <c r="C1856" t="s">
        <v>122</v>
      </c>
      <c r="D1856" s="1" t="s">
        <v>16</v>
      </c>
      <c r="E1856" s="4">
        <v>157</v>
      </c>
      <c r="F1856" s="4">
        <v>157.9</v>
      </c>
      <c r="G1856" s="4">
        <v>160.30000000000001</v>
      </c>
      <c r="H1856" s="1" t="s">
        <v>192</v>
      </c>
      <c r="K1856">
        <v>2014</v>
      </c>
      <c r="L1856" t="s">
        <v>43</v>
      </c>
      <c r="M1856" t="s">
        <v>76</v>
      </c>
      <c r="N1856" t="s">
        <v>11</v>
      </c>
      <c r="O1856" t="s">
        <v>188</v>
      </c>
      <c r="P1856" s="1" t="s">
        <v>30</v>
      </c>
      <c r="Q1856">
        <v>104</v>
      </c>
    </row>
    <row r="1857" spans="1:17" x14ac:dyDescent="0.3">
      <c r="A1857">
        <v>2018</v>
      </c>
      <c r="B1857" t="s">
        <v>38</v>
      </c>
      <c r="C1857" t="s">
        <v>122</v>
      </c>
      <c r="D1857" s="1" t="s">
        <v>27</v>
      </c>
      <c r="E1857" s="4">
        <v>131.19999999999999</v>
      </c>
      <c r="F1857" s="4">
        <v>129.9</v>
      </c>
      <c r="G1857" s="4">
        <v>128.1</v>
      </c>
      <c r="H1857" s="1" t="s">
        <v>192</v>
      </c>
      <c r="K1857">
        <v>2014</v>
      </c>
      <c r="L1857" t="s">
        <v>43</v>
      </c>
      <c r="M1857" t="s">
        <v>76</v>
      </c>
      <c r="N1857" t="s">
        <v>11</v>
      </c>
      <c r="O1857" t="s">
        <v>188</v>
      </c>
      <c r="P1857" s="1" t="s">
        <v>34</v>
      </c>
      <c r="Q1857">
        <v>103.1</v>
      </c>
    </row>
    <row r="1858" spans="1:17" x14ac:dyDescent="0.3">
      <c r="A1858">
        <v>2018</v>
      </c>
      <c r="B1858" t="s">
        <v>38</v>
      </c>
      <c r="C1858" t="s">
        <v>122</v>
      </c>
      <c r="D1858" s="1" t="s">
        <v>14</v>
      </c>
      <c r="E1858" s="4">
        <v>154.30000000000001</v>
      </c>
      <c r="F1858" s="4">
        <v>151.69999999999999</v>
      </c>
      <c r="G1858" s="4">
        <v>148.69999999999999</v>
      </c>
      <c r="H1858" s="1" t="s">
        <v>188</v>
      </c>
      <c r="K1858">
        <v>2014</v>
      </c>
      <c r="L1858" t="s">
        <v>43</v>
      </c>
      <c r="M1858" t="s">
        <v>76</v>
      </c>
      <c r="N1858" t="s">
        <v>11</v>
      </c>
      <c r="O1858" t="s">
        <v>188</v>
      </c>
      <c r="P1858" s="1" t="s">
        <v>33</v>
      </c>
      <c r="Q1858">
        <v>101.2</v>
      </c>
    </row>
    <row r="1859" spans="1:17" x14ac:dyDescent="0.3">
      <c r="A1859">
        <v>2018</v>
      </c>
      <c r="B1859" t="s">
        <v>38</v>
      </c>
      <c r="C1859" t="s">
        <v>122</v>
      </c>
      <c r="D1859" s="1" t="s">
        <v>10</v>
      </c>
      <c r="E1859" s="4">
        <v>127.2</v>
      </c>
      <c r="F1859" s="4">
        <v>122.3</v>
      </c>
      <c r="G1859" s="4">
        <v>112.8</v>
      </c>
      <c r="H1859" s="1" t="s">
        <v>188</v>
      </c>
      <c r="K1859">
        <v>2014</v>
      </c>
      <c r="L1859" t="s">
        <v>43</v>
      </c>
      <c r="M1859" t="s">
        <v>76</v>
      </c>
      <c r="N1859" t="s">
        <v>24</v>
      </c>
      <c r="O1859" t="s">
        <v>191</v>
      </c>
      <c r="P1859" s="1" t="s">
        <v>30</v>
      </c>
      <c r="Q1859">
        <v>112.6</v>
      </c>
    </row>
    <row r="1860" spans="1:17" x14ac:dyDescent="0.3">
      <c r="A1860">
        <v>2018</v>
      </c>
      <c r="B1860" t="s">
        <v>38</v>
      </c>
      <c r="C1860" t="s">
        <v>122</v>
      </c>
      <c r="D1860" s="1" t="s">
        <v>25</v>
      </c>
      <c r="E1860" s="4">
        <v>136.80000000000001</v>
      </c>
      <c r="F1860" s="4">
        <v>131.80000000000001</v>
      </c>
      <c r="G1860" s="4">
        <v>128</v>
      </c>
      <c r="H1860" s="1" t="s">
        <v>195</v>
      </c>
      <c r="K1860">
        <v>2014</v>
      </c>
      <c r="L1860" t="s">
        <v>43</v>
      </c>
      <c r="M1860" t="s">
        <v>76</v>
      </c>
      <c r="N1860" t="s">
        <v>24</v>
      </c>
      <c r="O1860" t="s">
        <v>191</v>
      </c>
      <c r="P1860" s="1" t="s">
        <v>34</v>
      </c>
      <c r="Q1860">
        <v>111.8</v>
      </c>
    </row>
    <row r="1861" spans="1:17" x14ac:dyDescent="0.3">
      <c r="A1861">
        <v>2018</v>
      </c>
      <c r="B1861" t="s">
        <v>38</v>
      </c>
      <c r="C1861" t="s">
        <v>122</v>
      </c>
      <c r="D1861" s="1" t="s">
        <v>12</v>
      </c>
      <c r="E1861" s="4">
        <v>137.4</v>
      </c>
      <c r="F1861" s="4">
        <v>138.1</v>
      </c>
      <c r="G1861" s="4">
        <v>139.6</v>
      </c>
      <c r="H1861" s="1" t="s">
        <v>188</v>
      </c>
      <c r="K1861">
        <v>2014</v>
      </c>
      <c r="L1861" t="s">
        <v>43</v>
      </c>
      <c r="M1861" t="s">
        <v>76</v>
      </c>
      <c r="N1861" t="s">
        <v>24</v>
      </c>
      <c r="O1861" t="s">
        <v>191</v>
      </c>
      <c r="P1861" s="1" t="s">
        <v>33</v>
      </c>
      <c r="Q1861">
        <v>111</v>
      </c>
    </row>
    <row r="1862" spans="1:17" x14ac:dyDescent="0.3">
      <c r="A1862">
        <v>2018</v>
      </c>
      <c r="B1862" t="s">
        <v>38</v>
      </c>
      <c r="C1862" t="s">
        <v>122</v>
      </c>
      <c r="D1862" s="1" t="s">
        <v>11</v>
      </c>
      <c r="E1862" s="4">
        <v>111.8</v>
      </c>
      <c r="F1862" s="4">
        <v>109.6</v>
      </c>
      <c r="G1862" s="4">
        <v>105.3</v>
      </c>
      <c r="H1862" s="1" t="s">
        <v>188</v>
      </c>
      <c r="K1862">
        <v>2014</v>
      </c>
      <c r="L1862" t="s">
        <v>43</v>
      </c>
      <c r="M1862" t="s">
        <v>76</v>
      </c>
      <c r="N1862" t="s">
        <v>9</v>
      </c>
      <c r="O1862" t="s">
        <v>188</v>
      </c>
      <c r="P1862" s="1" t="s">
        <v>30</v>
      </c>
      <c r="Q1862">
        <v>155.30000000000001</v>
      </c>
    </row>
    <row r="1863" spans="1:17" x14ac:dyDescent="0.3">
      <c r="A1863">
        <v>2018</v>
      </c>
      <c r="B1863" t="s">
        <v>38</v>
      </c>
      <c r="C1863" t="s">
        <v>122</v>
      </c>
      <c r="D1863" s="1" t="s">
        <v>24</v>
      </c>
      <c r="E1863" s="4">
        <v>126.4</v>
      </c>
      <c r="F1863" s="4">
        <v>122.9</v>
      </c>
      <c r="G1863" s="4">
        <v>119.8</v>
      </c>
      <c r="H1863" s="1" t="s">
        <v>191</v>
      </c>
      <c r="K1863">
        <v>2014</v>
      </c>
      <c r="L1863" t="s">
        <v>43</v>
      </c>
      <c r="M1863" t="s">
        <v>76</v>
      </c>
      <c r="N1863" t="s">
        <v>9</v>
      </c>
      <c r="O1863" t="s">
        <v>188</v>
      </c>
      <c r="P1863" s="1" t="s">
        <v>34</v>
      </c>
      <c r="Q1863">
        <v>156.80000000000001</v>
      </c>
    </row>
    <row r="1864" spans="1:17" x14ac:dyDescent="0.3">
      <c r="A1864">
        <v>2018</v>
      </c>
      <c r="B1864" t="s">
        <v>38</v>
      </c>
      <c r="C1864" t="s">
        <v>122</v>
      </c>
      <c r="D1864" s="1" t="s">
        <v>9</v>
      </c>
      <c r="E1864" s="4">
        <v>137.80000000000001</v>
      </c>
      <c r="F1864" s="4">
        <v>135.6</v>
      </c>
      <c r="G1864" s="4">
        <v>131.4</v>
      </c>
      <c r="H1864" s="1" t="s">
        <v>188</v>
      </c>
      <c r="K1864">
        <v>2014</v>
      </c>
      <c r="L1864" t="s">
        <v>43</v>
      </c>
      <c r="M1864" t="s">
        <v>76</v>
      </c>
      <c r="N1864" t="s">
        <v>9</v>
      </c>
      <c r="O1864" t="s">
        <v>188</v>
      </c>
      <c r="P1864" s="1" t="s">
        <v>33</v>
      </c>
      <c r="Q1864">
        <v>159.6</v>
      </c>
    </row>
    <row r="1865" spans="1:17" x14ac:dyDescent="0.3">
      <c r="A1865">
        <v>2018</v>
      </c>
      <c r="B1865" t="s">
        <v>44</v>
      </c>
      <c r="C1865" t="s">
        <v>123</v>
      </c>
      <c r="D1865" s="1" t="s">
        <v>3</v>
      </c>
      <c r="E1865" s="4">
        <v>137.1</v>
      </c>
      <c r="F1865" s="4">
        <v>137.4</v>
      </c>
      <c r="G1865" s="4">
        <v>138.1</v>
      </c>
      <c r="H1865" s="1" t="s">
        <v>188</v>
      </c>
      <c r="K1865">
        <v>2014</v>
      </c>
      <c r="L1865" t="s">
        <v>42</v>
      </c>
      <c r="M1865" t="s">
        <v>77</v>
      </c>
      <c r="N1865" t="s">
        <v>3</v>
      </c>
      <c r="O1865" t="s">
        <v>188</v>
      </c>
      <c r="P1865" s="1" t="s">
        <v>30</v>
      </c>
      <c r="Q1865">
        <v>122.3</v>
      </c>
    </row>
    <row r="1866" spans="1:17" x14ac:dyDescent="0.3">
      <c r="A1866">
        <v>2018</v>
      </c>
      <c r="B1866" t="s">
        <v>44</v>
      </c>
      <c r="C1866" t="s">
        <v>123</v>
      </c>
      <c r="D1866" s="1" t="s">
        <v>17</v>
      </c>
      <c r="E1866" s="4">
        <v>151.69999999999999</v>
      </c>
      <c r="F1866" s="4">
        <v>148</v>
      </c>
      <c r="G1866" s="4">
        <v>142.4</v>
      </c>
      <c r="H1866" s="1" t="s">
        <v>189</v>
      </c>
      <c r="K1866">
        <v>2014</v>
      </c>
      <c r="L1866" t="s">
        <v>42</v>
      </c>
      <c r="M1866" t="s">
        <v>77</v>
      </c>
      <c r="N1866" t="s">
        <v>3</v>
      </c>
      <c r="O1866" t="s">
        <v>188</v>
      </c>
      <c r="P1866" s="1" t="s">
        <v>34</v>
      </c>
      <c r="Q1866">
        <v>122.9</v>
      </c>
    </row>
    <row r="1867" spans="1:17" x14ac:dyDescent="0.3">
      <c r="A1867">
        <v>2018</v>
      </c>
      <c r="B1867" t="s">
        <v>44</v>
      </c>
      <c r="C1867" t="s">
        <v>123</v>
      </c>
      <c r="D1867" s="1" t="s">
        <v>19</v>
      </c>
      <c r="E1867" s="4">
        <v>150.80000000000001</v>
      </c>
      <c r="F1867" s="4">
        <v>146.69999999999999</v>
      </c>
      <c r="G1867" s="4">
        <v>140.5</v>
      </c>
      <c r="H1867" s="1" t="s">
        <v>189</v>
      </c>
      <c r="K1867">
        <v>2014</v>
      </c>
      <c r="L1867" t="s">
        <v>42</v>
      </c>
      <c r="M1867" t="s">
        <v>77</v>
      </c>
      <c r="N1867" t="s">
        <v>3</v>
      </c>
      <c r="O1867" t="s">
        <v>188</v>
      </c>
      <c r="P1867" s="1" t="s">
        <v>33</v>
      </c>
      <c r="Q1867">
        <v>124.2</v>
      </c>
    </row>
    <row r="1868" spans="1:17" x14ac:dyDescent="0.3">
      <c r="A1868">
        <v>2018</v>
      </c>
      <c r="B1868" t="s">
        <v>44</v>
      </c>
      <c r="C1868" t="s">
        <v>123</v>
      </c>
      <c r="D1868" s="1" t="s">
        <v>26</v>
      </c>
      <c r="E1868" s="4">
        <v>150.19999999999999</v>
      </c>
      <c r="F1868" s="4">
        <v>147.80000000000001</v>
      </c>
      <c r="G1868" s="4">
        <v>146.1</v>
      </c>
      <c r="H1868" s="1" t="s">
        <v>26</v>
      </c>
      <c r="K1868">
        <v>2014</v>
      </c>
      <c r="L1868" t="s">
        <v>42</v>
      </c>
      <c r="M1868" t="s">
        <v>77</v>
      </c>
      <c r="N1868" t="s">
        <v>17</v>
      </c>
      <c r="O1868" t="s">
        <v>189</v>
      </c>
      <c r="P1868" s="1" t="s">
        <v>30</v>
      </c>
      <c r="Q1868">
        <v>121.7</v>
      </c>
    </row>
    <row r="1869" spans="1:17" x14ac:dyDescent="0.3">
      <c r="A1869">
        <v>2018</v>
      </c>
      <c r="B1869" t="s">
        <v>44</v>
      </c>
      <c r="C1869" t="s">
        <v>123</v>
      </c>
      <c r="D1869" s="1" t="s">
        <v>5</v>
      </c>
      <c r="E1869" s="4">
        <v>136.69999999999999</v>
      </c>
      <c r="F1869" s="4">
        <v>137.1</v>
      </c>
      <c r="G1869" s="4">
        <v>137.80000000000001</v>
      </c>
      <c r="H1869" s="1" t="s">
        <v>188</v>
      </c>
      <c r="K1869">
        <v>2014</v>
      </c>
      <c r="L1869" t="s">
        <v>42</v>
      </c>
      <c r="M1869" t="s">
        <v>77</v>
      </c>
      <c r="N1869" t="s">
        <v>17</v>
      </c>
      <c r="O1869" t="s">
        <v>189</v>
      </c>
      <c r="P1869" s="1" t="s">
        <v>34</v>
      </c>
      <c r="Q1869">
        <v>120.7</v>
      </c>
    </row>
    <row r="1870" spans="1:17" x14ac:dyDescent="0.3">
      <c r="A1870">
        <v>2018</v>
      </c>
      <c r="B1870" t="s">
        <v>44</v>
      </c>
      <c r="C1870" t="s">
        <v>123</v>
      </c>
      <c r="D1870" s="1" t="s">
        <v>15</v>
      </c>
      <c r="E1870" s="4">
        <v>140</v>
      </c>
      <c r="F1870" s="4">
        <v>139.69999999999999</v>
      </c>
      <c r="G1870" s="4">
        <v>139.1</v>
      </c>
      <c r="H1870" s="1" t="s">
        <v>188</v>
      </c>
      <c r="K1870">
        <v>2014</v>
      </c>
      <c r="L1870" t="s">
        <v>42</v>
      </c>
      <c r="M1870" t="s">
        <v>77</v>
      </c>
      <c r="N1870" t="s">
        <v>17</v>
      </c>
      <c r="O1870" t="s">
        <v>189</v>
      </c>
      <c r="P1870" s="1" t="s">
        <v>33</v>
      </c>
      <c r="Q1870">
        <v>119.2</v>
      </c>
    </row>
    <row r="1871" spans="1:17" x14ac:dyDescent="0.3">
      <c r="A1871">
        <v>2018</v>
      </c>
      <c r="B1871" t="s">
        <v>44</v>
      </c>
      <c r="C1871" t="s">
        <v>123</v>
      </c>
      <c r="D1871" s="1" t="s">
        <v>18</v>
      </c>
      <c r="E1871" s="4">
        <v>145.5</v>
      </c>
      <c r="F1871" s="4">
        <v>139.1</v>
      </c>
      <c r="G1871" s="4">
        <v>130.19999999999999</v>
      </c>
      <c r="H1871" s="1" t="s">
        <v>189</v>
      </c>
      <c r="K1871">
        <v>2014</v>
      </c>
      <c r="L1871" t="s">
        <v>42</v>
      </c>
      <c r="M1871" t="s">
        <v>77</v>
      </c>
      <c r="N1871" t="s">
        <v>19</v>
      </c>
      <c r="O1871" t="s">
        <v>189</v>
      </c>
      <c r="P1871" s="1" t="s">
        <v>30</v>
      </c>
      <c r="Q1871">
        <v>121.3</v>
      </c>
    </row>
    <row r="1872" spans="1:17" x14ac:dyDescent="0.3">
      <c r="A1872">
        <v>2018</v>
      </c>
      <c r="B1872" t="s">
        <v>44</v>
      </c>
      <c r="C1872" t="s">
        <v>123</v>
      </c>
      <c r="D1872" s="1" t="s">
        <v>8</v>
      </c>
      <c r="E1872" s="4">
        <v>143.9</v>
      </c>
      <c r="F1872" s="4">
        <v>142.80000000000001</v>
      </c>
      <c r="G1872" s="4">
        <v>141.5</v>
      </c>
      <c r="H1872" s="1" t="s">
        <v>188</v>
      </c>
      <c r="K1872">
        <v>2014</v>
      </c>
      <c r="L1872" t="s">
        <v>42</v>
      </c>
      <c r="M1872" t="s">
        <v>77</v>
      </c>
      <c r="N1872" t="s">
        <v>19</v>
      </c>
      <c r="O1872" t="s">
        <v>189</v>
      </c>
      <c r="P1872" s="1" t="s">
        <v>34</v>
      </c>
      <c r="Q1872">
        <v>120.1</v>
      </c>
    </row>
    <row r="1873" spans="1:17" x14ac:dyDescent="0.3">
      <c r="A1873">
        <v>2018</v>
      </c>
      <c r="B1873" t="s">
        <v>44</v>
      </c>
      <c r="C1873" t="s">
        <v>123</v>
      </c>
      <c r="D1873" s="1" t="s">
        <v>21</v>
      </c>
      <c r="E1873" s="4">
        <v>150.30000000000001</v>
      </c>
      <c r="F1873" s="4">
        <v>145.1</v>
      </c>
      <c r="G1873" s="4">
        <v>136.69999999999999</v>
      </c>
      <c r="H1873" s="1" t="s">
        <v>190</v>
      </c>
      <c r="K1873">
        <v>2014</v>
      </c>
      <c r="L1873" t="s">
        <v>42</v>
      </c>
      <c r="M1873" t="s">
        <v>77</v>
      </c>
      <c r="N1873" t="s">
        <v>19</v>
      </c>
      <c r="O1873" t="s">
        <v>189</v>
      </c>
      <c r="P1873" s="1" t="s">
        <v>33</v>
      </c>
      <c r="Q1873">
        <v>118.4</v>
      </c>
    </row>
    <row r="1874" spans="1:17" x14ac:dyDescent="0.3">
      <c r="A1874">
        <v>2018</v>
      </c>
      <c r="B1874" t="s">
        <v>44</v>
      </c>
      <c r="C1874" t="s">
        <v>123</v>
      </c>
      <c r="D1874" s="1" t="s">
        <v>29</v>
      </c>
      <c r="E1874" s="4">
        <v>142.4</v>
      </c>
      <c r="F1874" s="4">
        <v>140.80000000000001</v>
      </c>
      <c r="G1874" s="4">
        <v>139</v>
      </c>
      <c r="H1874" s="1" t="s">
        <v>206</v>
      </c>
      <c r="K1874">
        <v>2014</v>
      </c>
      <c r="L1874" t="s">
        <v>42</v>
      </c>
      <c r="M1874" t="s">
        <v>77</v>
      </c>
      <c r="N1874" t="s">
        <v>26</v>
      </c>
      <c r="O1874" t="s">
        <v>26</v>
      </c>
      <c r="P1874" s="1" t="s">
        <v>30</v>
      </c>
      <c r="Q1874">
        <v>116.6</v>
      </c>
    </row>
    <row r="1875" spans="1:17" x14ac:dyDescent="0.3">
      <c r="A1875">
        <v>2018</v>
      </c>
      <c r="B1875" t="s">
        <v>44</v>
      </c>
      <c r="C1875" t="s">
        <v>123</v>
      </c>
      <c r="D1875" s="1" t="s">
        <v>23</v>
      </c>
      <c r="E1875" s="4">
        <v>145.4</v>
      </c>
      <c r="F1875" s="4">
        <v>142.1</v>
      </c>
      <c r="G1875" s="4">
        <v>136.80000000000001</v>
      </c>
      <c r="H1875" s="1" t="s">
        <v>23</v>
      </c>
      <c r="K1875">
        <v>2014</v>
      </c>
      <c r="L1875" t="s">
        <v>42</v>
      </c>
      <c r="M1875" t="s">
        <v>77</v>
      </c>
      <c r="N1875" t="s">
        <v>26</v>
      </c>
      <c r="O1875" t="s">
        <v>26</v>
      </c>
      <c r="P1875" s="1" t="s">
        <v>34</v>
      </c>
      <c r="Q1875">
        <v>118.6</v>
      </c>
    </row>
    <row r="1876" spans="1:17" x14ac:dyDescent="0.3">
      <c r="A1876">
        <v>2018</v>
      </c>
      <c r="B1876" t="s">
        <v>44</v>
      </c>
      <c r="C1876" t="s">
        <v>123</v>
      </c>
      <c r="D1876" s="1" t="s">
        <v>22</v>
      </c>
      <c r="E1876" s="4">
        <v>148</v>
      </c>
      <c r="F1876" s="4">
        <v>142.19999999999999</v>
      </c>
      <c r="G1876" s="4">
        <v>135.80000000000001</v>
      </c>
      <c r="H1876" s="1" t="s">
        <v>20</v>
      </c>
      <c r="K1876">
        <v>2014</v>
      </c>
      <c r="L1876" t="s">
        <v>42</v>
      </c>
      <c r="M1876" t="s">
        <v>77</v>
      </c>
      <c r="N1876" t="s">
        <v>26</v>
      </c>
      <c r="O1876" t="s">
        <v>26</v>
      </c>
      <c r="P1876" s="1" t="s">
        <v>33</v>
      </c>
      <c r="Q1876">
        <v>120</v>
      </c>
    </row>
    <row r="1877" spans="1:17" x14ac:dyDescent="0.3">
      <c r="A1877">
        <v>2018</v>
      </c>
      <c r="B1877" t="s">
        <v>44</v>
      </c>
      <c r="C1877" t="s">
        <v>123</v>
      </c>
      <c r="D1877" s="1" t="s">
        <v>20</v>
      </c>
      <c r="E1877" s="4">
        <v>0</v>
      </c>
      <c r="F1877" s="4">
        <v>146.9</v>
      </c>
      <c r="G1877" s="4">
        <v>146.9</v>
      </c>
      <c r="H1877" s="1" t="s">
        <v>20</v>
      </c>
      <c r="K1877">
        <v>2014</v>
      </c>
      <c r="L1877" t="s">
        <v>42</v>
      </c>
      <c r="M1877" t="s">
        <v>77</v>
      </c>
      <c r="N1877" t="s">
        <v>5</v>
      </c>
      <c r="O1877" t="s">
        <v>188</v>
      </c>
      <c r="P1877" s="1" t="s">
        <v>30</v>
      </c>
      <c r="Q1877">
        <v>117.8</v>
      </c>
    </row>
    <row r="1878" spans="1:17" x14ac:dyDescent="0.3">
      <c r="A1878">
        <v>2018</v>
      </c>
      <c r="B1878" t="s">
        <v>44</v>
      </c>
      <c r="C1878" t="s">
        <v>123</v>
      </c>
      <c r="D1878" s="1" t="s">
        <v>4</v>
      </c>
      <c r="E1878" s="4">
        <v>150.80000000000001</v>
      </c>
      <c r="F1878" s="4">
        <v>149.19999999999999</v>
      </c>
      <c r="G1878" s="4">
        <v>146.30000000000001</v>
      </c>
      <c r="H1878" s="1" t="s">
        <v>188</v>
      </c>
      <c r="K1878">
        <v>2014</v>
      </c>
      <c r="L1878" t="s">
        <v>42</v>
      </c>
      <c r="M1878" t="s">
        <v>77</v>
      </c>
      <c r="N1878" t="s">
        <v>5</v>
      </c>
      <c r="O1878" t="s">
        <v>188</v>
      </c>
      <c r="P1878" s="1" t="s">
        <v>34</v>
      </c>
      <c r="Q1878">
        <v>117.3</v>
      </c>
    </row>
    <row r="1879" spans="1:17" x14ac:dyDescent="0.3">
      <c r="A1879">
        <v>2018</v>
      </c>
      <c r="B1879" t="s">
        <v>44</v>
      </c>
      <c r="C1879" t="s">
        <v>123</v>
      </c>
      <c r="D1879" s="1" t="s">
        <v>6</v>
      </c>
      <c r="E1879" s="4">
        <v>141.9</v>
      </c>
      <c r="F1879" s="4">
        <v>141.80000000000001</v>
      </c>
      <c r="G1879" s="4">
        <v>141.6</v>
      </c>
      <c r="H1879" s="1" t="s">
        <v>188</v>
      </c>
      <c r="K1879">
        <v>2014</v>
      </c>
      <c r="L1879" t="s">
        <v>42</v>
      </c>
      <c r="M1879" t="s">
        <v>77</v>
      </c>
      <c r="N1879" t="s">
        <v>5</v>
      </c>
      <c r="O1879" t="s">
        <v>188</v>
      </c>
      <c r="P1879" s="1" t="s">
        <v>33</v>
      </c>
      <c r="Q1879">
        <v>116.4</v>
      </c>
    </row>
    <row r="1880" spans="1:17" x14ac:dyDescent="0.3">
      <c r="A1880">
        <v>2018</v>
      </c>
      <c r="B1880" t="s">
        <v>44</v>
      </c>
      <c r="C1880" t="s">
        <v>123</v>
      </c>
      <c r="D1880" s="1" t="s">
        <v>28</v>
      </c>
      <c r="E1880" s="4">
        <v>140.1</v>
      </c>
      <c r="F1880" s="4">
        <v>136.30000000000001</v>
      </c>
      <c r="G1880" s="4">
        <v>132.19999999999999</v>
      </c>
      <c r="H1880" s="1" t="s">
        <v>192</v>
      </c>
      <c r="K1880">
        <v>2014</v>
      </c>
      <c r="L1880" t="s">
        <v>42</v>
      </c>
      <c r="M1880" t="s">
        <v>77</v>
      </c>
      <c r="N1880" t="s">
        <v>15</v>
      </c>
      <c r="O1880" t="s">
        <v>188</v>
      </c>
      <c r="P1880" s="1" t="s">
        <v>30</v>
      </c>
      <c r="Q1880">
        <v>125.3</v>
      </c>
    </row>
    <row r="1881" spans="1:17" x14ac:dyDescent="0.3">
      <c r="A1881">
        <v>2018</v>
      </c>
      <c r="B1881" t="s">
        <v>44</v>
      </c>
      <c r="C1881" t="s">
        <v>123</v>
      </c>
      <c r="D1881" s="1" t="s">
        <v>13</v>
      </c>
      <c r="E1881" s="4">
        <v>137.5</v>
      </c>
      <c r="F1881" s="4">
        <v>133.5</v>
      </c>
      <c r="G1881" s="4">
        <v>128</v>
      </c>
      <c r="H1881" s="1" t="s">
        <v>188</v>
      </c>
      <c r="K1881">
        <v>2014</v>
      </c>
      <c r="L1881" t="s">
        <v>42</v>
      </c>
      <c r="M1881" t="s">
        <v>77</v>
      </c>
      <c r="N1881" t="s">
        <v>15</v>
      </c>
      <c r="O1881" t="s">
        <v>188</v>
      </c>
      <c r="P1881" s="1" t="s">
        <v>34</v>
      </c>
      <c r="Q1881">
        <v>125.8</v>
      </c>
    </row>
    <row r="1882" spans="1:17" x14ac:dyDescent="0.3">
      <c r="A1882">
        <v>2018</v>
      </c>
      <c r="B1882" t="s">
        <v>44</v>
      </c>
      <c r="C1882" t="s">
        <v>123</v>
      </c>
      <c r="D1882" s="1" t="s">
        <v>7</v>
      </c>
      <c r="E1882" s="4">
        <v>122.8</v>
      </c>
      <c r="F1882" s="4">
        <v>121.1</v>
      </c>
      <c r="G1882" s="4">
        <v>118.1</v>
      </c>
      <c r="H1882" s="1" t="s">
        <v>188</v>
      </c>
      <c r="K1882">
        <v>2014</v>
      </c>
      <c r="L1882" t="s">
        <v>42</v>
      </c>
      <c r="M1882" t="s">
        <v>77</v>
      </c>
      <c r="N1882" t="s">
        <v>15</v>
      </c>
      <c r="O1882" t="s">
        <v>188</v>
      </c>
      <c r="P1882" s="1" t="s">
        <v>33</v>
      </c>
      <c r="Q1882">
        <v>126.7</v>
      </c>
    </row>
    <row r="1883" spans="1:17" x14ac:dyDescent="0.3">
      <c r="A1883">
        <v>2018</v>
      </c>
      <c r="B1883" t="s">
        <v>44</v>
      </c>
      <c r="C1883" t="s">
        <v>123</v>
      </c>
      <c r="D1883" s="1" t="s">
        <v>16</v>
      </c>
      <c r="E1883" s="4">
        <v>161.9</v>
      </c>
      <c r="F1883" s="4">
        <v>162.6</v>
      </c>
      <c r="G1883" s="4">
        <v>164.4</v>
      </c>
      <c r="H1883" s="1" t="s">
        <v>192</v>
      </c>
      <c r="K1883">
        <v>2014</v>
      </c>
      <c r="L1883" t="s">
        <v>42</v>
      </c>
      <c r="M1883" t="s">
        <v>77</v>
      </c>
      <c r="N1883" t="s">
        <v>18</v>
      </c>
      <c r="O1883" t="s">
        <v>189</v>
      </c>
      <c r="P1883" s="1" t="s">
        <v>30</v>
      </c>
      <c r="Q1883">
        <v>119.2</v>
      </c>
    </row>
    <row r="1884" spans="1:17" x14ac:dyDescent="0.3">
      <c r="A1884">
        <v>2018</v>
      </c>
      <c r="B1884" t="s">
        <v>44</v>
      </c>
      <c r="C1884" t="s">
        <v>123</v>
      </c>
      <c r="D1884" s="1" t="s">
        <v>27</v>
      </c>
      <c r="E1884" s="4">
        <v>133.1</v>
      </c>
      <c r="F1884" s="4">
        <v>132</v>
      </c>
      <c r="G1884" s="4">
        <v>130.5</v>
      </c>
      <c r="H1884" s="1" t="s">
        <v>192</v>
      </c>
      <c r="K1884">
        <v>2014</v>
      </c>
      <c r="L1884" t="s">
        <v>42</v>
      </c>
      <c r="M1884" t="s">
        <v>77</v>
      </c>
      <c r="N1884" t="s">
        <v>18</v>
      </c>
      <c r="O1884" t="s">
        <v>189</v>
      </c>
      <c r="P1884" s="1" t="s">
        <v>34</v>
      </c>
      <c r="Q1884">
        <v>117.2</v>
      </c>
    </row>
    <row r="1885" spans="1:17" x14ac:dyDescent="0.3">
      <c r="A1885">
        <v>2018</v>
      </c>
      <c r="B1885" t="s">
        <v>44</v>
      </c>
      <c r="C1885" t="s">
        <v>123</v>
      </c>
      <c r="D1885" s="1" t="s">
        <v>14</v>
      </c>
      <c r="E1885" s="4">
        <v>156.1</v>
      </c>
      <c r="F1885" s="4">
        <v>154.5</v>
      </c>
      <c r="G1885" s="4">
        <v>152.6</v>
      </c>
      <c r="H1885" s="1" t="s">
        <v>188</v>
      </c>
      <c r="K1885">
        <v>2014</v>
      </c>
      <c r="L1885" t="s">
        <v>42</v>
      </c>
      <c r="M1885" t="s">
        <v>77</v>
      </c>
      <c r="N1885" t="s">
        <v>18</v>
      </c>
      <c r="O1885" t="s">
        <v>189</v>
      </c>
      <c r="P1885" s="1" t="s">
        <v>33</v>
      </c>
      <c r="Q1885">
        <v>114.5</v>
      </c>
    </row>
    <row r="1886" spans="1:17" x14ac:dyDescent="0.3">
      <c r="A1886">
        <v>2018</v>
      </c>
      <c r="B1886" t="s">
        <v>44</v>
      </c>
      <c r="C1886" t="s">
        <v>123</v>
      </c>
      <c r="D1886" s="1" t="s">
        <v>10</v>
      </c>
      <c r="E1886" s="4">
        <v>121</v>
      </c>
      <c r="F1886" s="4">
        <v>119.1</v>
      </c>
      <c r="G1886" s="4">
        <v>115.3</v>
      </c>
      <c r="H1886" s="1" t="s">
        <v>188</v>
      </c>
      <c r="K1886">
        <v>2014</v>
      </c>
      <c r="L1886" t="s">
        <v>42</v>
      </c>
      <c r="M1886" t="s">
        <v>77</v>
      </c>
      <c r="N1886" t="s">
        <v>8</v>
      </c>
      <c r="O1886" t="s">
        <v>188</v>
      </c>
      <c r="P1886" s="1" t="s">
        <v>30</v>
      </c>
      <c r="Q1886">
        <v>129.80000000000001</v>
      </c>
    </row>
    <row r="1887" spans="1:17" x14ac:dyDescent="0.3">
      <c r="A1887">
        <v>2018</v>
      </c>
      <c r="B1887" t="s">
        <v>44</v>
      </c>
      <c r="C1887" t="s">
        <v>123</v>
      </c>
      <c r="D1887" s="1" t="s">
        <v>25</v>
      </c>
      <c r="E1887" s="4">
        <v>143.1</v>
      </c>
      <c r="F1887" s="4">
        <v>136.5</v>
      </c>
      <c r="G1887" s="4">
        <v>131.30000000000001</v>
      </c>
      <c r="H1887" s="1" t="s">
        <v>195</v>
      </c>
      <c r="K1887">
        <v>2014</v>
      </c>
      <c r="L1887" t="s">
        <v>42</v>
      </c>
      <c r="M1887" t="s">
        <v>77</v>
      </c>
      <c r="N1887" t="s">
        <v>8</v>
      </c>
      <c r="O1887" t="s">
        <v>188</v>
      </c>
      <c r="P1887" s="1" t="s">
        <v>34</v>
      </c>
      <c r="Q1887">
        <v>127.3</v>
      </c>
    </row>
    <row r="1888" spans="1:17" x14ac:dyDescent="0.3">
      <c r="A1888">
        <v>2018</v>
      </c>
      <c r="B1888" t="s">
        <v>44</v>
      </c>
      <c r="C1888" t="s">
        <v>123</v>
      </c>
      <c r="D1888" s="1" t="s">
        <v>12</v>
      </c>
      <c r="E1888" s="4">
        <v>140.6</v>
      </c>
      <c r="F1888" s="4">
        <v>140.9</v>
      </c>
      <c r="G1888" s="4">
        <v>141.4</v>
      </c>
      <c r="H1888" s="1" t="s">
        <v>188</v>
      </c>
      <c r="K1888">
        <v>2014</v>
      </c>
      <c r="L1888" t="s">
        <v>42</v>
      </c>
      <c r="M1888" t="s">
        <v>77</v>
      </c>
      <c r="N1888" t="s">
        <v>8</v>
      </c>
      <c r="O1888" t="s">
        <v>188</v>
      </c>
      <c r="P1888" s="1" t="s">
        <v>33</v>
      </c>
      <c r="Q1888">
        <v>124.5</v>
      </c>
    </row>
    <row r="1889" spans="1:17" x14ac:dyDescent="0.3">
      <c r="A1889">
        <v>2018</v>
      </c>
      <c r="B1889" t="s">
        <v>44</v>
      </c>
      <c r="C1889" t="s">
        <v>123</v>
      </c>
      <c r="D1889" s="1" t="s">
        <v>11</v>
      </c>
      <c r="E1889" s="4">
        <v>111.6</v>
      </c>
      <c r="F1889" s="4">
        <v>111.9</v>
      </c>
      <c r="G1889" s="4">
        <v>112.5</v>
      </c>
      <c r="H1889" s="1" t="s">
        <v>188</v>
      </c>
      <c r="K1889">
        <v>2014</v>
      </c>
      <c r="L1889" t="s">
        <v>42</v>
      </c>
      <c r="M1889" t="s">
        <v>77</v>
      </c>
      <c r="N1889" t="s">
        <v>21</v>
      </c>
      <c r="O1889" t="s">
        <v>190</v>
      </c>
      <c r="P1889" s="1" t="s">
        <v>30</v>
      </c>
      <c r="Q1889">
        <v>115.8</v>
      </c>
    </row>
    <row r="1890" spans="1:17" x14ac:dyDescent="0.3">
      <c r="A1890">
        <v>2018</v>
      </c>
      <c r="B1890" t="s">
        <v>44</v>
      </c>
      <c r="C1890" t="s">
        <v>123</v>
      </c>
      <c r="D1890" s="1" t="s">
        <v>24</v>
      </c>
      <c r="E1890" s="4">
        <v>130.30000000000001</v>
      </c>
      <c r="F1890" s="4">
        <v>125.5</v>
      </c>
      <c r="G1890" s="4">
        <v>121.2</v>
      </c>
      <c r="H1890" s="1" t="s">
        <v>191</v>
      </c>
      <c r="K1890">
        <v>2014</v>
      </c>
      <c r="L1890" t="s">
        <v>42</v>
      </c>
      <c r="M1890" t="s">
        <v>77</v>
      </c>
      <c r="N1890" t="s">
        <v>21</v>
      </c>
      <c r="O1890" t="s">
        <v>190</v>
      </c>
      <c r="P1890" s="1" t="s">
        <v>34</v>
      </c>
      <c r="Q1890">
        <v>114.3</v>
      </c>
    </row>
    <row r="1891" spans="1:17" x14ac:dyDescent="0.3">
      <c r="A1891">
        <v>2018</v>
      </c>
      <c r="B1891" t="s">
        <v>44</v>
      </c>
      <c r="C1891" t="s">
        <v>123</v>
      </c>
      <c r="D1891" s="1" t="s">
        <v>9</v>
      </c>
      <c r="E1891" s="4">
        <v>147.5</v>
      </c>
      <c r="F1891" s="4">
        <v>146.69999999999999</v>
      </c>
      <c r="G1891" s="4">
        <v>145.19999999999999</v>
      </c>
      <c r="H1891" s="1" t="s">
        <v>188</v>
      </c>
      <c r="K1891">
        <v>2014</v>
      </c>
      <c r="L1891" t="s">
        <v>42</v>
      </c>
      <c r="M1891" t="s">
        <v>77</v>
      </c>
      <c r="N1891" t="s">
        <v>21</v>
      </c>
      <c r="O1891" t="s">
        <v>190</v>
      </c>
      <c r="P1891" s="1" t="s">
        <v>33</v>
      </c>
      <c r="Q1891">
        <v>111.8</v>
      </c>
    </row>
    <row r="1892" spans="1:17" x14ac:dyDescent="0.3">
      <c r="A1892">
        <v>2018</v>
      </c>
      <c r="B1892" t="s">
        <v>43</v>
      </c>
      <c r="C1892" t="s">
        <v>124</v>
      </c>
      <c r="D1892" s="1" t="s">
        <v>3</v>
      </c>
      <c r="E1892" s="4">
        <v>139.30000000000001</v>
      </c>
      <c r="F1892" s="4">
        <v>137.4</v>
      </c>
      <c r="G1892" s="4">
        <v>137.6</v>
      </c>
      <c r="H1892" s="1" t="s">
        <v>188</v>
      </c>
      <c r="K1892">
        <v>2014</v>
      </c>
      <c r="L1892" t="s">
        <v>42</v>
      </c>
      <c r="M1892" t="s">
        <v>77</v>
      </c>
      <c r="N1892" t="s">
        <v>29</v>
      </c>
      <c r="O1892" t="s">
        <v>206</v>
      </c>
      <c r="P1892" s="1" t="s">
        <v>30</v>
      </c>
      <c r="Q1892">
        <v>120.9</v>
      </c>
    </row>
    <row r="1893" spans="1:17" x14ac:dyDescent="0.3">
      <c r="A1893">
        <v>2018</v>
      </c>
      <c r="B1893" t="s">
        <v>43</v>
      </c>
      <c r="C1893" t="s">
        <v>124</v>
      </c>
      <c r="D1893" s="1" t="s">
        <v>17</v>
      </c>
      <c r="E1893" s="4">
        <v>150.69999999999999</v>
      </c>
      <c r="F1893" s="4">
        <v>148</v>
      </c>
      <c r="G1893" s="4">
        <v>141.5</v>
      </c>
      <c r="H1893" s="1" t="s">
        <v>189</v>
      </c>
      <c r="K1893">
        <v>2014</v>
      </c>
      <c r="L1893" t="s">
        <v>42</v>
      </c>
      <c r="M1893" t="s">
        <v>77</v>
      </c>
      <c r="N1893" t="s">
        <v>29</v>
      </c>
      <c r="O1893" t="s">
        <v>206</v>
      </c>
      <c r="P1893" s="1" t="s">
        <v>34</v>
      </c>
      <c r="Q1893">
        <v>120.1</v>
      </c>
    </row>
    <row r="1894" spans="1:17" x14ac:dyDescent="0.3">
      <c r="A1894">
        <v>2018</v>
      </c>
      <c r="B1894" t="s">
        <v>43</v>
      </c>
      <c r="C1894" t="s">
        <v>124</v>
      </c>
      <c r="D1894" s="1" t="s">
        <v>19</v>
      </c>
      <c r="E1894" s="4">
        <v>149.80000000000001</v>
      </c>
      <c r="F1894" s="4">
        <v>146.80000000000001</v>
      </c>
      <c r="G1894" s="4">
        <v>139.69999999999999</v>
      </c>
      <c r="H1894" s="1" t="s">
        <v>189</v>
      </c>
      <c r="K1894">
        <v>2014</v>
      </c>
      <c r="L1894" t="s">
        <v>42</v>
      </c>
      <c r="M1894" t="s">
        <v>77</v>
      </c>
      <c r="N1894" t="s">
        <v>29</v>
      </c>
      <c r="O1894" t="s">
        <v>206</v>
      </c>
      <c r="P1894" s="1" t="s">
        <v>33</v>
      </c>
      <c r="Q1894">
        <v>119.2</v>
      </c>
    </row>
    <row r="1895" spans="1:17" x14ac:dyDescent="0.3">
      <c r="A1895">
        <v>2018</v>
      </c>
      <c r="B1895" t="s">
        <v>43</v>
      </c>
      <c r="C1895" t="s">
        <v>124</v>
      </c>
      <c r="D1895" s="1" t="s">
        <v>26</v>
      </c>
      <c r="E1895" s="4">
        <v>148</v>
      </c>
      <c r="F1895" s="4">
        <v>147.80000000000001</v>
      </c>
      <c r="G1895" s="4">
        <v>145.5</v>
      </c>
      <c r="H1895" s="1" t="s">
        <v>26</v>
      </c>
      <c r="K1895">
        <v>2014</v>
      </c>
      <c r="L1895" t="s">
        <v>42</v>
      </c>
      <c r="M1895" t="s">
        <v>77</v>
      </c>
      <c r="N1895" t="s">
        <v>23</v>
      </c>
      <c r="O1895" t="s">
        <v>23</v>
      </c>
      <c r="P1895" s="1" t="s">
        <v>30</v>
      </c>
      <c r="Q1895">
        <v>114.5</v>
      </c>
    </row>
    <row r="1896" spans="1:17" x14ac:dyDescent="0.3">
      <c r="A1896">
        <v>2018</v>
      </c>
      <c r="B1896" t="s">
        <v>43</v>
      </c>
      <c r="C1896" t="s">
        <v>124</v>
      </c>
      <c r="D1896" s="1" t="s">
        <v>5</v>
      </c>
      <c r="E1896" s="4">
        <v>134.6</v>
      </c>
      <c r="F1896" s="4">
        <v>137.30000000000001</v>
      </c>
      <c r="G1896" s="4">
        <v>133.5</v>
      </c>
      <c r="H1896" s="1" t="s">
        <v>188</v>
      </c>
      <c r="K1896">
        <v>2014</v>
      </c>
      <c r="L1896" t="s">
        <v>42</v>
      </c>
      <c r="M1896" t="s">
        <v>77</v>
      </c>
      <c r="N1896" t="s">
        <v>23</v>
      </c>
      <c r="O1896" t="s">
        <v>23</v>
      </c>
      <c r="P1896" s="1" t="s">
        <v>34</v>
      </c>
      <c r="Q1896">
        <v>113.7</v>
      </c>
    </row>
    <row r="1897" spans="1:17" x14ac:dyDescent="0.3">
      <c r="A1897">
        <v>2018</v>
      </c>
      <c r="B1897" t="s">
        <v>43</v>
      </c>
      <c r="C1897" t="s">
        <v>124</v>
      </c>
      <c r="D1897" s="1" t="s">
        <v>15</v>
      </c>
      <c r="E1897" s="4">
        <v>140.19999999999999</v>
      </c>
      <c r="F1897" s="4">
        <v>139.69999999999999</v>
      </c>
      <c r="G1897" s="4">
        <v>139.4</v>
      </c>
      <c r="H1897" s="1" t="s">
        <v>188</v>
      </c>
      <c r="K1897">
        <v>2014</v>
      </c>
      <c r="L1897" t="s">
        <v>42</v>
      </c>
      <c r="M1897" t="s">
        <v>77</v>
      </c>
      <c r="N1897" t="s">
        <v>23</v>
      </c>
      <c r="O1897" t="s">
        <v>23</v>
      </c>
      <c r="P1897" s="1" t="s">
        <v>33</v>
      </c>
      <c r="Q1897">
        <v>112.3</v>
      </c>
    </row>
    <row r="1898" spans="1:17" x14ac:dyDescent="0.3">
      <c r="A1898">
        <v>2018</v>
      </c>
      <c r="B1898" t="s">
        <v>43</v>
      </c>
      <c r="C1898" t="s">
        <v>124</v>
      </c>
      <c r="D1898" s="1" t="s">
        <v>18</v>
      </c>
      <c r="E1898" s="4">
        <v>144.5</v>
      </c>
      <c r="F1898" s="4">
        <v>139.19999999999999</v>
      </c>
      <c r="G1898" s="4">
        <v>129.80000000000001</v>
      </c>
      <c r="H1898" s="1" t="s">
        <v>189</v>
      </c>
      <c r="K1898">
        <v>2014</v>
      </c>
      <c r="L1898" t="s">
        <v>42</v>
      </c>
      <c r="M1898" t="s">
        <v>77</v>
      </c>
      <c r="N1898" t="s">
        <v>22</v>
      </c>
      <c r="O1898" t="s">
        <v>20</v>
      </c>
      <c r="P1898" s="1" t="s">
        <v>30</v>
      </c>
      <c r="Q1898">
        <v>116.7</v>
      </c>
    </row>
    <row r="1899" spans="1:17" x14ac:dyDescent="0.3">
      <c r="A1899">
        <v>2018</v>
      </c>
      <c r="B1899" t="s">
        <v>43</v>
      </c>
      <c r="C1899" t="s">
        <v>124</v>
      </c>
      <c r="D1899" s="1" t="s">
        <v>8</v>
      </c>
      <c r="E1899" s="4">
        <v>144.5</v>
      </c>
      <c r="F1899" s="4">
        <v>142.5</v>
      </c>
      <c r="G1899" s="4">
        <v>139.5</v>
      </c>
      <c r="H1899" s="1" t="s">
        <v>188</v>
      </c>
      <c r="K1899">
        <v>2014</v>
      </c>
      <c r="L1899" t="s">
        <v>42</v>
      </c>
      <c r="M1899" t="s">
        <v>77</v>
      </c>
      <c r="N1899" t="s">
        <v>22</v>
      </c>
      <c r="O1899" t="s">
        <v>20</v>
      </c>
      <c r="P1899" s="1" t="s">
        <v>34</v>
      </c>
      <c r="Q1899">
        <v>116.1</v>
      </c>
    </row>
    <row r="1900" spans="1:17" x14ac:dyDescent="0.3">
      <c r="A1900">
        <v>2018</v>
      </c>
      <c r="B1900" t="s">
        <v>43</v>
      </c>
      <c r="C1900" t="s">
        <v>124</v>
      </c>
      <c r="D1900" s="1" t="s">
        <v>21</v>
      </c>
      <c r="E1900" s="4">
        <v>149.69999999999999</v>
      </c>
      <c r="F1900" s="4">
        <v>145.30000000000001</v>
      </c>
      <c r="G1900" s="4">
        <v>133.4</v>
      </c>
      <c r="H1900" s="1" t="s">
        <v>190</v>
      </c>
      <c r="K1900">
        <v>2014</v>
      </c>
      <c r="L1900" t="s">
        <v>42</v>
      </c>
      <c r="M1900" t="s">
        <v>77</v>
      </c>
      <c r="N1900" t="s">
        <v>22</v>
      </c>
      <c r="O1900" t="s">
        <v>20</v>
      </c>
      <c r="P1900" s="1" t="s">
        <v>33</v>
      </c>
      <c r="Q1900">
        <v>115.5</v>
      </c>
    </row>
    <row r="1901" spans="1:17" x14ac:dyDescent="0.3">
      <c r="A1901">
        <v>2018</v>
      </c>
      <c r="B1901" t="s">
        <v>43</v>
      </c>
      <c r="C1901" t="s">
        <v>124</v>
      </c>
      <c r="D1901" s="1" t="s">
        <v>29</v>
      </c>
      <c r="E1901" s="4">
        <v>142.19999999999999</v>
      </c>
      <c r="F1901" s="4">
        <v>140.80000000000001</v>
      </c>
      <c r="G1901" s="4">
        <v>138.9</v>
      </c>
      <c r="H1901" s="1" t="s">
        <v>206</v>
      </c>
      <c r="K1901">
        <v>2014</v>
      </c>
      <c r="L1901" t="s">
        <v>42</v>
      </c>
      <c r="M1901" t="s">
        <v>77</v>
      </c>
      <c r="N1901" t="s">
        <v>20</v>
      </c>
      <c r="O1901" t="s">
        <v>20</v>
      </c>
      <c r="P1901" s="1" t="s">
        <v>30</v>
      </c>
      <c r="Q1901">
        <v>0</v>
      </c>
    </row>
    <row r="1902" spans="1:17" x14ac:dyDescent="0.3">
      <c r="A1902">
        <v>2018</v>
      </c>
      <c r="B1902" t="s">
        <v>43</v>
      </c>
      <c r="C1902" t="s">
        <v>124</v>
      </c>
      <c r="D1902" s="1" t="s">
        <v>23</v>
      </c>
      <c r="E1902" s="4">
        <v>144.80000000000001</v>
      </c>
      <c r="F1902" s="4">
        <v>142.1</v>
      </c>
      <c r="G1902" s="4">
        <v>136.19999999999999</v>
      </c>
      <c r="H1902" s="1" t="s">
        <v>23</v>
      </c>
      <c r="K1902">
        <v>2014</v>
      </c>
      <c r="L1902" t="s">
        <v>42</v>
      </c>
      <c r="M1902" t="s">
        <v>77</v>
      </c>
      <c r="N1902" t="s">
        <v>20</v>
      </c>
      <c r="O1902" t="s">
        <v>20</v>
      </c>
      <c r="P1902" s="1" t="s">
        <v>34</v>
      </c>
      <c r="Q1902">
        <v>116.1</v>
      </c>
    </row>
    <row r="1903" spans="1:17" x14ac:dyDescent="0.3">
      <c r="A1903">
        <v>2018</v>
      </c>
      <c r="B1903" t="s">
        <v>43</v>
      </c>
      <c r="C1903" t="s">
        <v>124</v>
      </c>
      <c r="D1903" s="1" t="s">
        <v>22</v>
      </c>
      <c r="E1903" s="4">
        <v>147.5</v>
      </c>
      <c r="F1903" s="4">
        <v>142.19999999999999</v>
      </c>
      <c r="G1903" s="4">
        <v>135.1</v>
      </c>
      <c r="H1903" s="1" t="s">
        <v>20</v>
      </c>
      <c r="K1903">
        <v>2014</v>
      </c>
      <c r="L1903" t="s">
        <v>42</v>
      </c>
      <c r="M1903" t="s">
        <v>77</v>
      </c>
      <c r="N1903" t="s">
        <v>20</v>
      </c>
      <c r="O1903" t="s">
        <v>20</v>
      </c>
      <c r="P1903" s="1" t="s">
        <v>33</v>
      </c>
      <c r="Q1903">
        <v>116.1</v>
      </c>
    </row>
    <row r="1904" spans="1:17" x14ac:dyDescent="0.3">
      <c r="A1904">
        <v>2018</v>
      </c>
      <c r="B1904" t="s">
        <v>43</v>
      </c>
      <c r="C1904" t="s">
        <v>124</v>
      </c>
      <c r="D1904" s="1" t="s">
        <v>20</v>
      </c>
      <c r="E1904" s="4">
        <v>0</v>
      </c>
      <c r="F1904" s="4">
        <v>146.9</v>
      </c>
      <c r="G1904" s="4">
        <v>146.30000000000001</v>
      </c>
      <c r="H1904" s="1" t="s">
        <v>20</v>
      </c>
      <c r="K1904">
        <v>2014</v>
      </c>
      <c r="L1904" t="s">
        <v>42</v>
      </c>
      <c r="M1904" t="s">
        <v>77</v>
      </c>
      <c r="N1904" t="s">
        <v>4</v>
      </c>
      <c r="O1904" t="s">
        <v>188</v>
      </c>
      <c r="P1904" s="1" t="s">
        <v>30</v>
      </c>
      <c r="Q1904">
        <v>122.4</v>
      </c>
    </row>
    <row r="1905" spans="1:17" x14ac:dyDescent="0.3">
      <c r="A1905">
        <v>2018</v>
      </c>
      <c r="B1905" t="s">
        <v>43</v>
      </c>
      <c r="C1905" t="s">
        <v>124</v>
      </c>
      <c r="D1905" s="1" t="s">
        <v>4</v>
      </c>
      <c r="E1905" s="4">
        <v>147.6</v>
      </c>
      <c r="F1905" s="4">
        <v>149.5</v>
      </c>
      <c r="G1905" s="4">
        <v>144.9</v>
      </c>
      <c r="H1905" s="1" t="s">
        <v>188</v>
      </c>
      <c r="K1905">
        <v>2014</v>
      </c>
      <c r="L1905" t="s">
        <v>42</v>
      </c>
      <c r="M1905" t="s">
        <v>77</v>
      </c>
      <c r="N1905" t="s">
        <v>4</v>
      </c>
      <c r="O1905" t="s">
        <v>188</v>
      </c>
      <c r="P1905" s="1" t="s">
        <v>34</v>
      </c>
      <c r="Q1905">
        <v>123.5</v>
      </c>
    </row>
    <row r="1906" spans="1:17" x14ac:dyDescent="0.3">
      <c r="A1906">
        <v>2018</v>
      </c>
      <c r="B1906" t="s">
        <v>43</v>
      </c>
      <c r="C1906" t="s">
        <v>124</v>
      </c>
      <c r="D1906" s="1" t="s">
        <v>6</v>
      </c>
      <c r="E1906" s="4">
        <v>141.9</v>
      </c>
      <c r="F1906" s="4">
        <v>141.9</v>
      </c>
      <c r="G1906" s="4">
        <v>141.5</v>
      </c>
      <c r="H1906" s="1" t="s">
        <v>188</v>
      </c>
      <c r="K1906">
        <v>2014</v>
      </c>
      <c r="L1906" t="s">
        <v>42</v>
      </c>
      <c r="M1906" t="s">
        <v>77</v>
      </c>
      <c r="N1906" t="s">
        <v>4</v>
      </c>
      <c r="O1906" t="s">
        <v>188</v>
      </c>
      <c r="P1906" s="1" t="s">
        <v>33</v>
      </c>
      <c r="Q1906">
        <v>125.4</v>
      </c>
    </row>
    <row r="1907" spans="1:17" x14ac:dyDescent="0.3">
      <c r="A1907">
        <v>2018</v>
      </c>
      <c r="B1907" t="s">
        <v>43</v>
      </c>
      <c r="C1907" t="s">
        <v>124</v>
      </c>
      <c r="D1907" s="1" t="s">
        <v>28</v>
      </c>
      <c r="E1907" s="4">
        <v>139.80000000000001</v>
      </c>
      <c r="F1907" s="4">
        <v>136.30000000000001</v>
      </c>
      <c r="G1907" s="4">
        <v>132.5</v>
      </c>
      <c r="H1907" s="1" t="s">
        <v>192</v>
      </c>
      <c r="K1907">
        <v>2014</v>
      </c>
      <c r="L1907" t="s">
        <v>42</v>
      </c>
      <c r="M1907" t="s">
        <v>77</v>
      </c>
      <c r="N1907" t="s">
        <v>6</v>
      </c>
      <c r="O1907" t="s">
        <v>188</v>
      </c>
      <c r="P1907" s="1" t="s">
        <v>30</v>
      </c>
      <c r="Q1907">
        <v>122.7</v>
      </c>
    </row>
    <row r="1908" spans="1:17" x14ac:dyDescent="0.3">
      <c r="A1908">
        <v>2018</v>
      </c>
      <c r="B1908" t="s">
        <v>43</v>
      </c>
      <c r="C1908" t="s">
        <v>124</v>
      </c>
      <c r="D1908" s="1" t="s">
        <v>13</v>
      </c>
      <c r="E1908" s="4">
        <v>134.6</v>
      </c>
      <c r="F1908" s="4">
        <v>133.6</v>
      </c>
      <c r="G1908" s="4">
        <v>127.6</v>
      </c>
      <c r="H1908" s="1" t="s">
        <v>188</v>
      </c>
      <c r="K1908">
        <v>2014</v>
      </c>
      <c r="L1908" t="s">
        <v>42</v>
      </c>
      <c r="M1908" t="s">
        <v>77</v>
      </c>
      <c r="N1908" t="s">
        <v>6</v>
      </c>
      <c r="O1908" t="s">
        <v>188</v>
      </c>
      <c r="P1908" s="1" t="s">
        <v>34</v>
      </c>
      <c r="Q1908">
        <v>122.7</v>
      </c>
    </row>
    <row r="1909" spans="1:17" x14ac:dyDescent="0.3">
      <c r="A1909">
        <v>2018</v>
      </c>
      <c r="B1909" t="s">
        <v>43</v>
      </c>
      <c r="C1909" t="s">
        <v>124</v>
      </c>
      <c r="D1909" s="1" t="s">
        <v>7</v>
      </c>
      <c r="E1909" s="4">
        <v>123.5</v>
      </c>
      <c r="F1909" s="4">
        <v>121.1</v>
      </c>
      <c r="G1909" s="4">
        <v>118</v>
      </c>
      <c r="H1909" s="1" t="s">
        <v>188</v>
      </c>
      <c r="K1909">
        <v>2014</v>
      </c>
      <c r="L1909" t="s">
        <v>42</v>
      </c>
      <c r="M1909" t="s">
        <v>77</v>
      </c>
      <c r="N1909" t="s">
        <v>6</v>
      </c>
      <c r="O1909" t="s">
        <v>188</v>
      </c>
      <c r="P1909" s="1" t="s">
        <v>33</v>
      </c>
      <c r="Q1909">
        <v>122.7</v>
      </c>
    </row>
    <row r="1910" spans="1:17" x14ac:dyDescent="0.3">
      <c r="A1910">
        <v>2018</v>
      </c>
      <c r="B1910" t="s">
        <v>43</v>
      </c>
      <c r="C1910" t="s">
        <v>124</v>
      </c>
      <c r="D1910" s="1" t="s">
        <v>16</v>
      </c>
      <c r="E1910" s="4">
        <v>159.6</v>
      </c>
      <c r="F1910" s="4">
        <v>162.6</v>
      </c>
      <c r="G1910" s="4">
        <v>164</v>
      </c>
      <c r="H1910" s="1" t="s">
        <v>192</v>
      </c>
      <c r="K1910">
        <v>2014</v>
      </c>
      <c r="L1910" t="s">
        <v>42</v>
      </c>
      <c r="M1910" t="s">
        <v>77</v>
      </c>
      <c r="N1910" t="s">
        <v>28</v>
      </c>
      <c r="O1910" t="s">
        <v>192</v>
      </c>
      <c r="P1910" s="1" t="s">
        <v>30</v>
      </c>
      <c r="Q1910">
        <v>113.7</v>
      </c>
    </row>
    <row r="1911" spans="1:17" x14ac:dyDescent="0.3">
      <c r="A1911">
        <v>2018</v>
      </c>
      <c r="B1911" t="s">
        <v>43</v>
      </c>
      <c r="C1911" t="s">
        <v>124</v>
      </c>
      <c r="D1911" s="1" t="s">
        <v>27</v>
      </c>
      <c r="E1911" s="4">
        <v>134.4</v>
      </c>
      <c r="F1911" s="4">
        <v>132</v>
      </c>
      <c r="G1911" s="4">
        <v>130.4</v>
      </c>
      <c r="H1911" s="1" t="s">
        <v>192</v>
      </c>
      <c r="K1911">
        <v>2014</v>
      </c>
      <c r="L1911" t="s">
        <v>42</v>
      </c>
      <c r="M1911" t="s">
        <v>77</v>
      </c>
      <c r="N1911" t="s">
        <v>28</v>
      </c>
      <c r="O1911" t="s">
        <v>192</v>
      </c>
      <c r="P1911" s="1" t="s">
        <v>34</v>
      </c>
      <c r="Q1911">
        <v>113.7</v>
      </c>
    </row>
    <row r="1912" spans="1:17" x14ac:dyDescent="0.3">
      <c r="A1912">
        <v>2018</v>
      </c>
      <c r="B1912" t="s">
        <v>43</v>
      </c>
      <c r="C1912" t="s">
        <v>124</v>
      </c>
      <c r="D1912" s="1" t="s">
        <v>14</v>
      </c>
      <c r="E1912" s="4">
        <v>155.19999999999999</v>
      </c>
      <c r="F1912" s="4">
        <v>154.5</v>
      </c>
      <c r="G1912" s="4">
        <v>152</v>
      </c>
      <c r="H1912" s="1" t="s">
        <v>188</v>
      </c>
      <c r="K1912">
        <v>2014</v>
      </c>
      <c r="L1912" t="s">
        <v>42</v>
      </c>
      <c r="M1912" t="s">
        <v>77</v>
      </c>
      <c r="N1912" t="s">
        <v>28</v>
      </c>
      <c r="O1912" t="s">
        <v>192</v>
      </c>
      <c r="P1912" s="1" t="s">
        <v>33</v>
      </c>
      <c r="Q1912">
        <v>113.6</v>
      </c>
    </row>
    <row r="1913" spans="1:17" x14ac:dyDescent="0.3">
      <c r="A1913">
        <v>2018</v>
      </c>
      <c r="B1913" t="s">
        <v>43</v>
      </c>
      <c r="C1913" t="s">
        <v>124</v>
      </c>
      <c r="D1913" s="1" t="s">
        <v>10</v>
      </c>
      <c r="E1913" s="4">
        <v>121.4</v>
      </c>
      <c r="F1913" s="4">
        <v>119.1</v>
      </c>
      <c r="G1913" s="4">
        <v>113.2</v>
      </c>
      <c r="H1913" s="1" t="s">
        <v>188</v>
      </c>
      <c r="K1913">
        <v>2014</v>
      </c>
      <c r="L1913" t="s">
        <v>42</v>
      </c>
      <c r="M1913" t="s">
        <v>77</v>
      </c>
      <c r="N1913" t="s">
        <v>13</v>
      </c>
      <c r="O1913" t="s">
        <v>188</v>
      </c>
      <c r="P1913" s="1" t="s">
        <v>30</v>
      </c>
      <c r="Q1913">
        <v>116.5</v>
      </c>
    </row>
    <row r="1914" spans="1:17" x14ac:dyDescent="0.3">
      <c r="A1914">
        <v>2018</v>
      </c>
      <c r="B1914" t="s">
        <v>43</v>
      </c>
      <c r="C1914" t="s">
        <v>124</v>
      </c>
      <c r="D1914" s="1" t="s">
        <v>25</v>
      </c>
      <c r="E1914" s="4">
        <v>140.1</v>
      </c>
      <c r="F1914" s="4">
        <v>136.5</v>
      </c>
      <c r="G1914" s="4">
        <v>130.69999999999999</v>
      </c>
      <c r="H1914" s="1" t="s">
        <v>195</v>
      </c>
      <c r="K1914">
        <v>2014</v>
      </c>
      <c r="L1914" t="s">
        <v>42</v>
      </c>
      <c r="M1914" t="s">
        <v>77</v>
      </c>
      <c r="N1914" t="s">
        <v>13</v>
      </c>
      <c r="O1914" t="s">
        <v>188</v>
      </c>
      <c r="P1914" s="1" t="s">
        <v>34</v>
      </c>
      <c r="Q1914">
        <v>115.8</v>
      </c>
    </row>
    <row r="1915" spans="1:17" x14ac:dyDescent="0.3">
      <c r="A1915">
        <v>2018</v>
      </c>
      <c r="B1915" t="s">
        <v>43</v>
      </c>
      <c r="C1915" t="s">
        <v>124</v>
      </c>
      <c r="D1915" s="1" t="s">
        <v>12</v>
      </c>
      <c r="E1915" s="4">
        <v>139.5</v>
      </c>
      <c r="F1915" s="4">
        <v>141</v>
      </c>
      <c r="G1915" s="4">
        <v>141.1</v>
      </c>
      <c r="H1915" s="1" t="s">
        <v>188</v>
      </c>
      <c r="K1915">
        <v>2014</v>
      </c>
      <c r="L1915" t="s">
        <v>42</v>
      </c>
      <c r="M1915" t="s">
        <v>77</v>
      </c>
      <c r="N1915" t="s">
        <v>13</v>
      </c>
      <c r="O1915" t="s">
        <v>188</v>
      </c>
      <c r="P1915" s="1" t="s">
        <v>33</v>
      </c>
      <c r="Q1915">
        <v>114.8</v>
      </c>
    </row>
    <row r="1916" spans="1:17" x14ac:dyDescent="0.3">
      <c r="A1916">
        <v>2018</v>
      </c>
      <c r="B1916" t="s">
        <v>43</v>
      </c>
      <c r="C1916" t="s">
        <v>124</v>
      </c>
      <c r="D1916" s="1" t="s">
        <v>11</v>
      </c>
      <c r="E1916" s="4">
        <v>112.3</v>
      </c>
      <c r="F1916" s="4">
        <v>111.9</v>
      </c>
      <c r="G1916" s="4">
        <v>112.8</v>
      </c>
      <c r="H1916" s="1" t="s">
        <v>188</v>
      </c>
      <c r="K1916">
        <v>2014</v>
      </c>
      <c r="L1916" t="s">
        <v>42</v>
      </c>
      <c r="M1916" t="s">
        <v>77</v>
      </c>
      <c r="N1916" t="s">
        <v>7</v>
      </c>
      <c r="O1916" t="s">
        <v>188</v>
      </c>
      <c r="P1916" s="1" t="s">
        <v>30</v>
      </c>
      <c r="Q1916">
        <v>110.4</v>
      </c>
    </row>
    <row r="1917" spans="1:17" x14ac:dyDescent="0.3">
      <c r="A1917">
        <v>2018</v>
      </c>
      <c r="B1917" t="s">
        <v>43</v>
      </c>
      <c r="C1917" t="s">
        <v>124</v>
      </c>
      <c r="D1917" s="1" t="s">
        <v>24</v>
      </c>
      <c r="E1917" s="4">
        <v>130.80000000000001</v>
      </c>
      <c r="F1917" s="4">
        <v>125.5</v>
      </c>
      <c r="G1917" s="4">
        <v>123.3</v>
      </c>
      <c r="H1917" s="1" t="s">
        <v>191</v>
      </c>
      <c r="K1917">
        <v>2014</v>
      </c>
      <c r="L1917" t="s">
        <v>42</v>
      </c>
      <c r="M1917" t="s">
        <v>77</v>
      </c>
      <c r="N1917" t="s">
        <v>7</v>
      </c>
      <c r="O1917" t="s">
        <v>188</v>
      </c>
      <c r="P1917" s="1" t="s">
        <v>34</v>
      </c>
      <c r="Q1917">
        <v>107.9</v>
      </c>
    </row>
    <row r="1918" spans="1:17" x14ac:dyDescent="0.3">
      <c r="A1918">
        <v>2018</v>
      </c>
      <c r="B1918" t="s">
        <v>43</v>
      </c>
      <c r="C1918" t="s">
        <v>124</v>
      </c>
      <c r="D1918" s="1" t="s">
        <v>9</v>
      </c>
      <c r="E1918" s="4">
        <v>147.6</v>
      </c>
      <c r="F1918" s="4">
        <v>146.69999999999999</v>
      </c>
      <c r="G1918" s="4">
        <v>153</v>
      </c>
      <c r="H1918" s="1" t="s">
        <v>188</v>
      </c>
      <c r="K1918">
        <v>2014</v>
      </c>
      <c r="L1918" t="s">
        <v>42</v>
      </c>
      <c r="M1918" t="s">
        <v>77</v>
      </c>
      <c r="N1918" t="s">
        <v>7</v>
      </c>
      <c r="O1918" t="s">
        <v>188</v>
      </c>
      <c r="P1918" s="1" t="s">
        <v>33</v>
      </c>
      <c r="Q1918">
        <v>103.5</v>
      </c>
    </row>
    <row r="1919" spans="1:17" x14ac:dyDescent="0.3">
      <c r="A1919">
        <v>2018</v>
      </c>
      <c r="B1919" t="s">
        <v>42</v>
      </c>
      <c r="C1919" t="s">
        <v>125</v>
      </c>
      <c r="D1919" s="1" t="s">
        <v>3</v>
      </c>
      <c r="E1919" s="4">
        <v>139.4</v>
      </c>
      <c r="F1919" s="4">
        <v>138.6</v>
      </c>
      <c r="G1919" s="4">
        <v>137</v>
      </c>
      <c r="H1919" s="1" t="s">
        <v>188</v>
      </c>
      <c r="K1919">
        <v>2014</v>
      </c>
      <c r="L1919" t="s">
        <v>42</v>
      </c>
      <c r="M1919" t="s">
        <v>77</v>
      </c>
      <c r="N1919" t="s">
        <v>16</v>
      </c>
      <c r="O1919" t="s">
        <v>192</v>
      </c>
      <c r="P1919" s="1" t="s">
        <v>30</v>
      </c>
      <c r="Q1919">
        <v>119.5</v>
      </c>
    </row>
    <row r="1920" spans="1:17" x14ac:dyDescent="0.3">
      <c r="A1920">
        <v>2018</v>
      </c>
      <c r="B1920" t="s">
        <v>42</v>
      </c>
      <c r="C1920" t="s">
        <v>125</v>
      </c>
      <c r="D1920" s="1" t="s">
        <v>17</v>
      </c>
      <c r="E1920" s="4">
        <v>152.1</v>
      </c>
      <c r="F1920" s="4">
        <v>147.69999999999999</v>
      </c>
      <c r="G1920" s="4">
        <v>140.80000000000001</v>
      </c>
      <c r="H1920" s="1" t="s">
        <v>189</v>
      </c>
      <c r="K1920">
        <v>2014</v>
      </c>
      <c r="L1920" t="s">
        <v>42</v>
      </c>
      <c r="M1920" t="s">
        <v>77</v>
      </c>
      <c r="N1920" t="s">
        <v>16</v>
      </c>
      <c r="O1920" t="s">
        <v>192</v>
      </c>
      <c r="P1920" s="1" t="s">
        <v>34</v>
      </c>
      <c r="Q1920">
        <v>120.8</v>
      </c>
    </row>
    <row r="1921" spans="1:17" x14ac:dyDescent="0.3">
      <c r="A1921">
        <v>2018</v>
      </c>
      <c r="B1921" t="s">
        <v>42</v>
      </c>
      <c r="C1921" t="s">
        <v>125</v>
      </c>
      <c r="D1921" s="1" t="s">
        <v>19</v>
      </c>
      <c r="E1921" s="4">
        <v>151.30000000000001</v>
      </c>
      <c r="F1921" s="4">
        <v>146.5</v>
      </c>
      <c r="G1921" s="4">
        <v>139.1</v>
      </c>
      <c r="H1921" s="1" t="s">
        <v>189</v>
      </c>
      <c r="K1921">
        <v>2014</v>
      </c>
      <c r="L1921" t="s">
        <v>42</v>
      </c>
      <c r="M1921" t="s">
        <v>77</v>
      </c>
      <c r="N1921" t="s">
        <v>16</v>
      </c>
      <c r="O1921" t="s">
        <v>192</v>
      </c>
      <c r="P1921" s="1" t="s">
        <v>33</v>
      </c>
      <c r="Q1921">
        <v>124.3</v>
      </c>
    </row>
    <row r="1922" spans="1:17" x14ac:dyDescent="0.3">
      <c r="A1922">
        <v>2018</v>
      </c>
      <c r="B1922" t="s">
        <v>42</v>
      </c>
      <c r="C1922" t="s">
        <v>125</v>
      </c>
      <c r="D1922" s="1" t="s">
        <v>26</v>
      </c>
      <c r="E1922" s="4">
        <v>147.6</v>
      </c>
      <c r="F1922" s="4">
        <v>146.19999999999999</v>
      </c>
      <c r="G1922" s="4">
        <v>145.19999999999999</v>
      </c>
      <c r="H1922" s="1" t="s">
        <v>26</v>
      </c>
      <c r="K1922">
        <v>2014</v>
      </c>
      <c r="L1922" t="s">
        <v>42</v>
      </c>
      <c r="M1922" t="s">
        <v>77</v>
      </c>
      <c r="N1922" t="s">
        <v>27</v>
      </c>
      <c r="O1922" t="s">
        <v>192</v>
      </c>
      <c r="P1922" s="1" t="s">
        <v>30</v>
      </c>
      <c r="Q1922">
        <v>109.1</v>
      </c>
    </row>
    <row r="1923" spans="1:17" x14ac:dyDescent="0.3">
      <c r="A1923">
        <v>2018</v>
      </c>
      <c r="B1923" t="s">
        <v>42</v>
      </c>
      <c r="C1923" t="s">
        <v>125</v>
      </c>
      <c r="D1923" s="1" t="s">
        <v>5</v>
      </c>
      <c r="E1923" s="4">
        <v>136.6</v>
      </c>
      <c r="F1923" s="4">
        <v>135.1</v>
      </c>
      <c r="G1923" s="4">
        <v>132.80000000000001</v>
      </c>
      <c r="H1923" s="1" t="s">
        <v>188</v>
      </c>
      <c r="K1923">
        <v>2014</v>
      </c>
      <c r="L1923" t="s">
        <v>42</v>
      </c>
      <c r="M1923" t="s">
        <v>77</v>
      </c>
      <c r="N1923" t="s">
        <v>27</v>
      </c>
      <c r="O1923" t="s">
        <v>192</v>
      </c>
      <c r="P1923" s="1" t="s">
        <v>34</v>
      </c>
      <c r="Q1923">
        <v>109.5</v>
      </c>
    </row>
    <row r="1924" spans="1:17" x14ac:dyDescent="0.3">
      <c r="A1924">
        <v>2018</v>
      </c>
      <c r="B1924" t="s">
        <v>42</v>
      </c>
      <c r="C1924" t="s">
        <v>125</v>
      </c>
      <c r="D1924" s="1" t="s">
        <v>15</v>
      </c>
      <c r="E1924" s="4">
        <v>141.30000000000001</v>
      </c>
      <c r="F1924" s="4">
        <v>140.4</v>
      </c>
      <c r="G1924" s="4">
        <v>138.9</v>
      </c>
      <c r="H1924" s="1" t="s">
        <v>188</v>
      </c>
      <c r="K1924">
        <v>2014</v>
      </c>
      <c r="L1924" t="s">
        <v>42</v>
      </c>
      <c r="M1924" t="s">
        <v>77</v>
      </c>
      <c r="N1924" t="s">
        <v>27</v>
      </c>
      <c r="O1924" t="s">
        <v>192</v>
      </c>
      <c r="P1924" s="1" t="s">
        <v>33</v>
      </c>
      <c r="Q1924">
        <v>110</v>
      </c>
    </row>
    <row r="1925" spans="1:17" x14ac:dyDescent="0.3">
      <c r="A1925">
        <v>2018</v>
      </c>
      <c r="B1925" t="s">
        <v>42</v>
      </c>
      <c r="C1925" t="s">
        <v>125</v>
      </c>
      <c r="D1925" s="1" t="s">
        <v>18</v>
      </c>
      <c r="E1925" s="4">
        <v>146.1</v>
      </c>
      <c r="F1925" s="4">
        <v>139.1</v>
      </c>
      <c r="G1925" s="4">
        <v>129.30000000000001</v>
      </c>
      <c r="H1925" s="1" t="s">
        <v>189</v>
      </c>
      <c r="K1925">
        <v>2014</v>
      </c>
      <c r="L1925" t="s">
        <v>42</v>
      </c>
      <c r="M1925" t="s">
        <v>77</v>
      </c>
      <c r="N1925" t="s">
        <v>14</v>
      </c>
      <c r="O1925" t="s">
        <v>188</v>
      </c>
      <c r="P1925" s="1" t="s">
        <v>30</v>
      </c>
      <c r="Q1925">
        <v>122.6</v>
      </c>
    </row>
    <row r="1926" spans="1:17" x14ac:dyDescent="0.3">
      <c r="A1926">
        <v>2018</v>
      </c>
      <c r="B1926" t="s">
        <v>42</v>
      </c>
      <c r="C1926" t="s">
        <v>125</v>
      </c>
      <c r="D1926" s="1" t="s">
        <v>8</v>
      </c>
      <c r="E1926" s="4">
        <v>150.1</v>
      </c>
      <c r="F1926" s="4">
        <v>145.4</v>
      </c>
      <c r="G1926" s="4">
        <v>140</v>
      </c>
      <c r="H1926" s="1" t="s">
        <v>188</v>
      </c>
      <c r="K1926">
        <v>2014</v>
      </c>
      <c r="L1926" t="s">
        <v>42</v>
      </c>
      <c r="M1926" t="s">
        <v>77</v>
      </c>
      <c r="N1926" t="s">
        <v>14</v>
      </c>
      <c r="O1926" t="s">
        <v>188</v>
      </c>
      <c r="P1926" s="1" t="s">
        <v>34</v>
      </c>
      <c r="Q1926">
        <v>123.8</v>
      </c>
    </row>
    <row r="1927" spans="1:17" x14ac:dyDescent="0.3">
      <c r="A1927">
        <v>2018</v>
      </c>
      <c r="B1927" t="s">
        <v>42</v>
      </c>
      <c r="C1927" t="s">
        <v>125</v>
      </c>
      <c r="D1927" s="1" t="s">
        <v>21</v>
      </c>
      <c r="E1927" s="4">
        <v>149</v>
      </c>
      <c r="F1927" s="4">
        <v>142.30000000000001</v>
      </c>
      <c r="G1927" s="4">
        <v>131.19999999999999</v>
      </c>
      <c r="H1927" s="1" t="s">
        <v>190</v>
      </c>
      <c r="K1927">
        <v>2014</v>
      </c>
      <c r="L1927" t="s">
        <v>42</v>
      </c>
      <c r="M1927" t="s">
        <v>77</v>
      </c>
      <c r="N1927" t="s">
        <v>14</v>
      </c>
      <c r="O1927" t="s">
        <v>188</v>
      </c>
      <c r="P1927" s="1" t="s">
        <v>33</v>
      </c>
      <c r="Q1927">
        <v>125.2</v>
      </c>
    </row>
    <row r="1928" spans="1:17" x14ac:dyDescent="0.3">
      <c r="A1928">
        <v>2018</v>
      </c>
      <c r="B1928" t="s">
        <v>42</v>
      </c>
      <c r="C1928" t="s">
        <v>125</v>
      </c>
      <c r="D1928" s="1" t="s">
        <v>29</v>
      </c>
      <c r="E1928" s="4">
        <v>142.1</v>
      </c>
      <c r="F1928" s="4">
        <v>140.19999999999999</v>
      </c>
      <c r="G1928" s="4">
        <v>138.1</v>
      </c>
      <c r="H1928" s="1" t="s">
        <v>206</v>
      </c>
      <c r="K1928">
        <v>2014</v>
      </c>
      <c r="L1928" t="s">
        <v>42</v>
      </c>
      <c r="M1928" t="s">
        <v>77</v>
      </c>
      <c r="N1928" t="s">
        <v>10</v>
      </c>
      <c r="O1928" t="s">
        <v>188</v>
      </c>
      <c r="P1928" s="1" t="s">
        <v>30</v>
      </c>
      <c r="Q1928">
        <v>115</v>
      </c>
    </row>
    <row r="1929" spans="1:17" x14ac:dyDescent="0.3">
      <c r="A1929">
        <v>2018</v>
      </c>
      <c r="B1929" t="s">
        <v>42</v>
      </c>
      <c r="C1929" t="s">
        <v>125</v>
      </c>
      <c r="D1929" s="1" t="s">
        <v>23</v>
      </c>
      <c r="E1929" s="4">
        <v>140</v>
      </c>
      <c r="F1929" s="4">
        <v>138.4</v>
      </c>
      <c r="G1929" s="4">
        <v>135.69999999999999</v>
      </c>
      <c r="H1929" s="1" t="s">
        <v>23</v>
      </c>
      <c r="K1929">
        <v>2014</v>
      </c>
      <c r="L1929" t="s">
        <v>42</v>
      </c>
      <c r="M1929" t="s">
        <v>77</v>
      </c>
      <c r="N1929" t="s">
        <v>10</v>
      </c>
      <c r="O1929" t="s">
        <v>188</v>
      </c>
      <c r="P1929" s="1" t="s">
        <v>34</v>
      </c>
      <c r="Q1929">
        <v>115.6</v>
      </c>
    </row>
    <row r="1930" spans="1:17" x14ac:dyDescent="0.3">
      <c r="A1930">
        <v>2018</v>
      </c>
      <c r="B1930" t="s">
        <v>42</v>
      </c>
      <c r="C1930" t="s">
        <v>125</v>
      </c>
      <c r="D1930" s="1" t="s">
        <v>22</v>
      </c>
      <c r="E1930" s="4">
        <v>144</v>
      </c>
      <c r="F1930" s="4">
        <v>139.69999999999999</v>
      </c>
      <c r="G1930" s="4">
        <v>134.9</v>
      </c>
      <c r="H1930" s="1" t="s">
        <v>20</v>
      </c>
      <c r="K1930">
        <v>2014</v>
      </c>
      <c r="L1930" t="s">
        <v>42</v>
      </c>
      <c r="M1930" t="s">
        <v>77</v>
      </c>
      <c r="N1930" t="s">
        <v>10</v>
      </c>
      <c r="O1930" t="s">
        <v>188</v>
      </c>
      <c r="P1930" s="1" t="s">
        <v>33</v>
      </c>
      <c r="Q1930">
        <v>116.9</v>
      </c>
    </row>
    <row r="1931" spans="1:17" x14ac:dyDescent="0.3">
      <c r="A1931">
        <v>2018</v>
      </c>
      <c r="B1931" t="s">
        <v>42</v>
      </c>
      <c r="C1931" t="s">
        <v>125</v>
      </c>
      <c r="D1931" s="1" t="s">
        <v>20</v>
      </c>
      <c r="E1931" s="4">
        <v>0</v>
      </c>
      <c r="F1931" s="4">
        <v>145.30000000000001</v>
      </c>
      <c r="G1931" s="4">
        <v>145.30000000000001</v>
      </c>
      <c r="H1931" s="1" t="s">
        <v>20</v>
      </c>
      <c r="K1931">
        <v>2014</v>
      </c>
      <c r="L1931" t="s">
        <v>42</v>
      </c>
      <c r="M1931" t="s">
        <v>77</v>
      </c>
      <c r="N1931" t="s">
        <v>25</v>
      </c>
      <c r="O1931" t="s">
        <v>195</v>
      </c>
      <c r="P1931" s="1" t="s">
        <v>30</v>
      </c>
      <c r="Q1931">
        <v>112.6</v>
      </c>
    </row>
    <row r="1932" spans="1:17" x14ac:dyDescent="0.3">
      <c r="A1932">
        <v>2018</v>
      </c>
      <c r="B1932" t="s">
        <v>42</v>
      </c>
      <c r="C1932" t="s">
        <v>125</v>
      </c>
      <c r="D1932" s="1" t="s">
        <v>4</v>
      </c>
      <c r="E1932" s="4">
        <v>147.19999999999999</v>
      </c>
      <c r="F1932" s="4">
        <v>145.80000000000001</v>
      </c>
      <c r="G1932" s="4">
        <v>143.1</v>
      </c>
      <c r="H1932" s="1" t="s">
        <v>188</v>
      </c>
      <c r="K1932">
        <v>2014</v>
      </c>
      <c r="L1932" t="s">
        <v>42</v>
      </c>
      <c r="M1932" t="s">
        <v>77</v>
      </c>
      <c r="N1932" t="s">
        <v>25</v>
      </c>
      <c r="O1932" t="s">
        <v>195</v>
      </c>
      <c r="P1932" s="1" t="s">
        <v>34</v>
      </c>
      <c r="Q1932">
        <v>113.1</v>
      </c>
    </row>
    <row r="1933" spans="1:17" x14ac:dyDescent="0.3">
      <c r="A1933">
        <v>2018</v>
      </c>
      <c r="B1933" t="s">
        <v>42</v>
      </c>
      <c r="C1933" t="s">
        <v>125</v>
      </c>
      <c r="D1933" s="1" t="s">
        <v>6</v>
      </c>
      <c r="E1933" s="4">
        <v>143.69999999999999</v>
      </c>
      <c r="F1933" s="4">
        <v>142.9</v>
      </c>
      <c r="G1933" s="4">
        <v>141.5</v>
      </c>
      <c r="H1933" s="1" t="s">
        <v>188</v>
      </c>
      <c r="K1933">
        <v>2014</v>
      </c>
      <c r="L1933" t="s">
        <v>42</v>
      </c>
      <c r="M1933" t="s">
        <v>77</v>
      </c>
      <c r="N1933" t="s">
        <v>25</v>
      </c>
      <c r="O1933" t="s">
        <v>195</v>
      </c>
      <c r="P1933" s="1" t="s">
        <v>33</v>
      </c>
      <c r="Q1933">
        <v>113.4</v>
      </c>
    </row>
    <row r="1934" spans="1:17" x14ac:dyDescent="0.3">
      <c r="A1934">
        <v>2018</v>
      </c>
      <c r="B1934" t="s">
        <v>42</v>
      </c>
      <c r="C1934" t="s">
        <v>125</v>
      </c>
      <c r="D1934" s="1" t="s">
        <v>28</v>
      </c>
      <c r="E1934" s="4">
        <v>137.4</v>
      </c>
      <c r="F1934" s="4">
        <v>134.69999999999999</v>
      </c>
      <c r="G1934" s="4">
        <v>131.9</v>
      </c>
      <c r="H1934" s="1" t="s">
        <v>192</v>
      </c>
      <c r="K1934">
        <v>2014</v>
      </c>
      <c r="L1934" t="s">
        <v>42</v>
      </c>
      <c r="M1934" t="s">
        <v>77</v>
      </c>
      <c r="N1934" t="s">
        <v>12</v>
      </c>
      <c r="O1934" t="s">
        <v>188</v>
      </c>
      <c r="P1934" s="1" t="s">
        <v>30</v>
      </c>
      <c r="Q1934">
        <v>114.9</v>
      </c>
    </row>
    <row r="1935" spans="1:17" x14ac:dyDescent="0.3">
      <c r="A1935">
        <v>2018</v>
      </c>
      <c r="B1935" t="s">
        <v>42</v>
      </c>
      <c r="C1935" t="s">
        <v>125</v>
      </c>
      <c r="D1935" s="1" t="s">
        <v>13</v>
      </c>
      <c r="E1935" s="4">
        <v>133.1</v>
      </c>
      <c r="F1935" s="4">
        <v>130.80000000000001</v>
      </c>
      <c r="G1935" s="4">
        <v>127.7</v>
      </c>
      <c r="H1935" s="1" t="s">
        <v>188</v>
      </c>
      <c r="K1935">
        <v>2014</v>
      </c>
      <c r="L1935" t="s">
        <v>42</v>
      </c>
      <c r="M1935" t="s">
        <v>77</v>
      </c>
      <c r="N1935" t="s">
        <v>12</v>
      </c>
      <c r="O1935" t="s">
        <v>188</v>
      </c>
      <c r="P1935" s="1" t="s">
        <v>34</v>
      </c>
      <c r="Q1935">
        <v>117.6</v>
      </c>
    </row>
    <row r="1936" spans="1:17" x14ac:dyDescent="0.3">
      <c r="A1936">
        <v>2018</v>
      </c>
      <c r="B1936" t="s">
        <v>42</v>
      </c>
      <c r="C1936" t="s">
        <v>125</v>
      </c>
      <c r="D1936" s="1" t="s">
        <v>7</v>
      </c>
      <c r="E1936" s="4">
        <v>124.6</v>
      </c>
      <c r="F1936" s="4">
        <v>122.1</v>
      </c>
      <c r="G1936" s="4">
        <v>117.8</v>
      </c>
      <c r="H1936" s="1" t="s">
        <v>188</v>
      </c>
      <c r="K1936">
        <v>2014</v>
      </c>
      <c r="L1936" t="s">
        <v>42</v>
      </c>
      <c r="M1936" t="s">
        <v>77</v>
      </c>
      <c r="N1936" t="s">
        <v>12</v>
      </c>
      <c r="O1936" t="s">
        <v>188</v>
      </c>
      <c r="P1936" s="1" t="s">
        <v>33</v>
      </c>
      <c r="Q1936">
        <v>122.9</v>
      </c>
    </row>
    <row r="1937" spans="1:17" x14ac:dyDescent="0.3">
      <c r="A1937">
        <v>2018</v>
      </c>
      <c r="B1937" t="s">
        <v>42</v>
      </c>
      <c r="C1937" t="s">
        <v>125</v>
      </c>
      <c r="D1937" s="1" t="s">
        <v>16</v>
      </c>
      <c r="E1937" s="4">
        <v>157.69999999999999</v>
      </c>
      <c r="F1937" s="4">
        <v>159.19999999999999</v>
      </c>
      <c r="G1937" s="4">
        <v>163.30000000000001</v>
      </c>
      <c r="H1937" s="1" t="s">
        <v>192</v>
      </c>
      <c r="K1937">
        <v>2014</v>
      </c>
      <c r="L1937" t="s">
        <v>42</v>
      </c>
      <c r="M1937" t="s">
        <v>77</v>
      </c>
      <c r="N1937" t="s">
        <v>11</v>
      </c>
      <c r="O1937" t="s">
        <v>188</v>
      </c>
      <c r="P1937" s="1" t="s">
        <v>30</v>
      </c>
      <c r="Q1937">
        <v>104.7</v>
      </c>
    </row>
    <row r="1938" spans="1:17" x14ac:dyDescent="0.3">
      <c r="A1938">
        <v>2018</v>
      </c>
      <c r="B1938" t="s">
        <v>42</v>
      </c>
      <c r="C1938" t="s">
        <v>125</v>
      </c>
      <c r="D1938" s="1" t="s">
        <v>27</v>
      </c>
      <c r="E1938" s="4">
        <v>132</v>
      </c>
      <c r="F1938" s="4">
        <v>130.9</v>
      </c>
      <c r="G1938" s="4">
        <v>129.30000000000001</v>
      </c>
      <c r="H1938" s="1" t="s">
        <v>192</v>
      </c>
      <c r="K1938">
        <v>2014</v>
      </c>
      <c r="L1938" t="s">
        <v>42</v>
      </c>
      <c r="M1938" t="s">
        <v>77</v>
      </c>
      <c r="N1938" t="s">
        <v>11</v>
      </c>
      <c r="O1938" t="s">
        <v>188</v>
      </c>
      <c r="P1938" s="1" t="s">
        <v>34</v>
      </c>
      <c r="Q1938">
        <v>103.8</v>
      </c>
    </row>
    <row r="1939" spans="1:17" x14ac:dyDescent="0.3">
      <c r="A1939">
        <v>2018</v>
      </c>
      <c r="B1939" t="s">
        <v>42</v>
      </c>
      <c r="C1939" t="s">
        <v>125</v>
      </c>
      <c r="D1939" s="1" t="s">
        <v>14</v>
      </c>
      <c r="E1939" s="4">
        <v>155.9</v>
      </c>
      <c r="F1939" s="4">
        <v>153.80000000000001</v>
      </c>
      <c r="G1939" s="4">
        <v>151.30000000000001</v>
      </c>
      <c r="H1939" s="1" t="s">
        <v>188</v>
      </c>
      <c r="K1939">
        <v>2014</v>
      </c>
      <c r="L1939" t="s">
        <v>42</v>
      </c>
      <c r="M1939" t="s">
        <v>77</v>
      </c>
      <c r="N1939" t="s">
        <v>11</v>
      </c>
      <c r="O1939" t="s">
        <v>188</v>
      </c>
      <c r="P1939" s="1" t="s">
        <v>33</v>
      </c>
      <c r="Q1939">
        <v>101.9</v>
      </c>
    </row>
    <row r="1940" spans="1:17" x14ac:dyDescent="0.3">
      <c r="A1940">
        <v>2018</v>
      </c>
      <c r="B1940" t="s">
        <v>42</v>
      </c>
      <c r="C1940" t="s">
        <v>125</v>
      </c>
      <c r="D1940" s="1" t="s">
        <v>10</v>
      </c>
      <c r="E1940" s="4">
        <v>125.4</v>
      </c>
      <c r="F1940" s="4">
        <v>121.4</v>
      </c>
      <c r="G1940" s="4">
        <v>113.5</v>
      </c>
      <c r="H1940" s="1" t="s">
        <v>188</v>
      </c>
      <c r="K1940">
        <v>2014</v>
      </c>
      <c r="L1940" t="s">
        <v>42</v>
      </c>
      <c r="M1940" t="s">
        <v>77</v>
      </c>
      <c r="N1940" t="s">
        <v>24</v>
      </c>
      <c r="O1940" t="s">
        <v>191</v>
      </c>
      <c r="P1940" s="1" t="s">
        <v>30</v>
      </c>
      <c r="Q1940">
        <v>112.8</v>
      </c>
    </row>
    <row r="1941" spans="1:17" x14ac:dyDescent="0.3">
      <c r="A1941">
        <v>2018</v>
      </c>
      <c r="B1941" t="s">
        <v>42</v>
      </c>
      <c r="C1941" t="s">
        <v>125</v>
      </c>
      <c r="D1941" s="1" t="s">
        <v>25</v>
      </c>
      <c r="E1941" s="4">
        <v>140</v>
      </c>
      <c r="F1941" s="4">
        <v>134.5</v>
      </c>
      <c r="G1941" s="4">
        <v>130.19999999999999</v>
      </c>
      <c r="H1941" s="1" t="s">
        <v>195</v>
      </c>
      <c r="K1941">
        <v>2014</v>
      </c>
      <c r="L1941" t="s">
        <v>42</v>
      </c>
      <c r="M1941" t="s">
        <v>77</v>
      </c>
      <c r="N1941" t="s">
        <v>24</v>
      </c>
      <c r="O1941" t="s">
        <v>191</v>
      </c>
      <c r="P1941" s="1" t="s">
        <v>34</v>
      </c>
      <c r="Q1941">
        <v>112</v>
      </c>
    </row>
    <row r="1942" spans="1:17" x14ac:dyDescent="0.3">
      <c r="A1942">
        <v>2018</v>
      </c>
      <c r="B1942" t="s">
        <v>42</v>
      </c>
      <c r="C1942" t="s">
        <v>125</v>
      </c>
      <c r="D1942" s="1" t="s">
        <v>12</v>
      </c>
      <c r="E1942" s="4">
        <v>138.69999999999999</v>
      </c>
      <c r="F1942" s="4">
        <v>139.5</v>
      </c>
      <c r="G1942" s="4">
        <v>141.19999999999999</v>
      </c>
      <c r="H1942" s="1" t="s">
        <v>188</v>
      </c>
      <c r="K1942">
        <v>2014</v>
      </c>
      <c r="L1942" t="s">
        <v>42</v>
      </c>
      <c r="M1942" t="s">
        <v>77</v>
      </c>
      <c r="N1942" t="s">
        <v>24</v>
      </c>
      <c r="O1942" t="s">
        <v>191</v>
      </c>
      <c r="P1942" s="1" t="s">
        <v>33</v>
      </c>
      <c r="Q1942">
        <v>111.2</v>
      </c>
    </row>
    <row r="1943" spans="1:17" x14ac:dyDescent="0.3">
      <c r="A1943">
        <v>2018</v>
      </c>
      <c r="B1943" t="s">
        <v>42</v>
      </c>
      <c r="C1943" t="s">
        <v>125</v>
      </c>
      <c r="D1943" s="1" t="s">
        <v>11</v>
      </c>
      <c r="E1943" s="4">
        <v>114.4</v>
      </c>
      <c r="F1943" s="4">
        <v>113.7</v>
      </c>
      <c r="G1943" s="4">
        <v>112.3</v>
      </c>
      <c r="H1943" s="1" t="s">
        <v>188</v>
      </c>
      <c r="K1943">
        <v>2014</v>
      </c>
      <c r="L1943" t="s">
        <v>42</v>
      </c>
      <c r="M1943" t="s">
        <v>77</v>
      </c>
      <c r="N1943" t="s">
        <v>9</v>
      </c>
      <c r="O1943" t="s">
        <v>188</v>
      </c>
      <c r="P1943" s="1" t="s">
        <v>30</v>
      </c>
      <c r="Q1943">
        <v>158.80000000000001</v>
      </c>
    </row>
    <row r="1944" spans="1:17" x14ac:dyDescent="0.3">
      <c r="A1944">
        <v>2018</v>
      </c>
      <c r="B1944" t="s">
        <v>42</v>
      </c>
      <c r="C1944" t="s">
        <v>125</v>
      </c>
      <c r="D1944" s="1" t="s">
        <v>24</v>
      </c>
      <c r="E1944" s="4">
        <v>129.9</v>
      </c>
      <c r="F1944" s="4">
        <v>126</v>
      </c>
      <c r="G1944" s="4">
        <v>122.5</v>
      </c>
      <c r="H1944" s="1" t="s">
        <v>191</v>
      </c>
      <c r="K1944">
        <v>2014</v>
      </c>
      <c r="L1944" t="s">
        <v>42</v>
      </c>
      <c r="M1944" t="s">
        <v>77</v>
      </c>
      <c r="N1944" t="s">
        <v>9</v>
      </c>
      <c r="O1944" t="s">
        <v>188</v>
      </c>
      <c r="P1944" s="1" t="s">
        <v>34</v>
      </c>
      <c r="Q1944">
        <v>162.1</v>
      </c>
    </row>
    <row r="1945" spans="1:17" x14ac:dyDescent="0.3">
      <c r="A1945">
        <v>2018</v>
      </c>
      <c r="B1945" t="s">
        <v>42</v>
      </c>
      <c r="C1945" t="s">
        <v>125</v>
      </c>
      <c r="D1945" s="1" t="s">
        <v>9</v>
      </c>
      <c r="E1945" s="4">
        <v>149.4</v>
      </c>
      <c r="F1945" s="4">
        <v>150</v>
      </c>
      <c r="G1945" s="4">
        <v>151.30000000000001</v>
      </c>
      <c r="H1945" s="1" t="s">
        <v>188</v>
      </c>
      <c r="K1945">
        <v>2014</v>
      </c>
      <c r="L1945" t="s">
        <v>42</v>
      </c>
      <c r="M1945" t="s">
        <v>77</v>
      </c>
      <c r="N1945" t="s">
        <v>9</v>
      </c>
      <c r="O1945" t="s">
        <v>188</v>
      </c>
      <c r="P1945" s="1" t="s">
        <v>33</v>
      </c>
      <c r="Q1945">
        <v>168.6</v>
      </c>
    </row>
    <row r="1946" spans="1:17" x14ac:dyDescent="0.3">
      <c r="A1946">
        <v>2019</v>
      </c>
      <c r="B1946" t="s">
        <v>41</v>
      </c>
      <c r="C1946" t="s">
        <v>126</v>
      </c>
      <c r="D1946" s="1" t="s">
        <v>3</v>
      </c>
      <c r="E1946" s="4">
        <v>139.19999999999999</v>
      </c>
      <c r="F1946" s="4">
        <v>140.1</v>
      </c>
      <c r="G1946" s="4">
        <v>142.1</v>
      </c>
      <c r="H1946" s="1" t="s">
        <v>188</v>
      </c>
      <c r="K1946">
        <v>2015</v>
      </c>
      <c r="L1946" t="s">
        <v>37</v>
      </c>
      <c r="M1946" t="s">
        <v>78</v>
      </c>
      <c r="N1946" t="s">
        <v>3</v>
      </c>
      <c r="O1946" t="s">
        <v>188</v>
      </c>
      <c r="P1946" s="1" t="s">
        <v>30</v>
      </c>
      <c r="Q1946">
        <v>123.3</v>
      </c>
    </row>
    <row r="1947" spans="1:17" x14ac:dyDescent="0.3">
      <c r="A1947">
        <v>2019</v>
      </c>
      <c r="B1947" t="s">
        <v>41</v>
      </c>
      <c r="C1947" t="s">
        <v>126</v>
      </c>
      <c r="D1947" s="1" t="s">
        <v>17</v>
      </c>
      <c r="E1947" s="4">
        <v>151.80000000000001</v>
      </c>
      <c r="F1947" s="4">
        <v>149.1</v>
      </c>
      <c r="G1947" s="4">
        <v>145</v>
      </c>
      <c r="H1947" s="1" t="s">
        <v>189</v>
      </c>
      <c r="K1947">
        <v>2015</v>
      </c>
      <c r="L1947" t="s">
        <v>37</v>
      </c>
      <c r="M1947" t="s">
        <v>78</v>
      </c>
      <c r="N1947" t="s">
        <v>3</v>
      </c>
      <c r="O1947" t="s">
        <v>188</v>
      </c>
      <c r="P1947" s="1" t="s">
        <v>34</v>
      </c>
      <c r="Q1947">
        <v>123.5</v>
      </c>
    </row>
    <row r="1948" spans="1:17" x14ac:dyDescent="0.3">
      <c r="A1948">
        <v>2019</v>
      </c>
      <c r="B1948" t="s">
        <v>41</v>
      </c>
      <c r="C1948" t="s">
        <v>126</v>
      </c>
      <c r="D1948" s="1" t="s">
        <v>19</v>
      </c>
      <c r="E1948" s="4">
        <v>151.1</v>
      </c>
      <c r="F1948" s="4">
        <v>147.9</v>
      </c>
      <c r="G1948" s="4">
        <v>143</v>
      </c>
      <c r="H1948" s="1" t="s">
        <v>189</v>
      </c>
      <c r="K1948">
        <v>2015</v>
      </c>
      <c r="L1948" t="s">
        <v>37</v>
      </c>
      <c r="M1948" t="s">
        <v>78</v>
      </c>
      <c r="N1948" t="s">
        <v>3</v>
      </c>
      <c r="O1948" t="s">
        <v>188</v>
      </c>
      <c r="P1948" s="1" t="s">
        <v>33</v>
      </c>
      <c r="Q1948">
        <v>123.8</v>
      </c>
    </row>
    <row r="1949" spans="1:17" x14ac:dyDescent="0.3">
      <c r="A1949">
        <v>2019</v>
      </c>
      <c r="B1949" t="s">
        <v>41</v>
      </c>
      <c r="C1949" t="s">
        <v>126</v>
      </c>
      <c r="D1949" s="1" t="s">
        <v>26</v>
      </c>
      <c r="E1949" s="4">
        <v>159.69999999999999</v>
      </c>
      <c r="F1949" s="4">
        <v>154.9</v>
      </c>
      <c r="G1949" s="4">
        <v>151.5</v>
      </c>
      <c r="H1949" s="1" t="s">
        <v>26</v>
      </c>
      <c r="K1949">
        <v>2015</v>
      </c>
      <c r="L1949" t="s">
        <v>37</v>
      </c>
      <c r="M1949" t="s">
        <v>78</v>
      </c>
      <c r="N1949" t="s">
        <v>17</v>
      </c>
      <c r="O1949" t="s">
        <v>189</v>
      </c>
      <c r="P1949" s="1" t="s">
        <v>30</v>
      </c>
      <c r="Q1949">
        <v>126.4</v>
      </c>
    </row>
    <row r="1950" spans="1:17" x14ac:dyDescent="0.3">
      <c r="A1950">
        <v>2019</v>
      </c>
      <c r="B1950" t="s">
        <v>41</v>
      </c>
      <c r="C1950" t="s">
        <v>126</v>
      </c>
      <c r="D1950" s="1" t="s">
        <v>5</v>
      </c>
      <c r="E1950" s="4">
        <v>137.1</v>
      </c>
      <c r="F1950" s="4">
        <v>138.5</v>
      </c>
      <c r="G1950" s="4">
        <v>140.80000000000001</v>
      </c>
      <c r="H1950" s="1" t="s">
        <v>188</v>
      </c>
      <c r="K1950">
        <v>2015</v>
      </c>
      <c r="L1950" t="s">
        <v>37</v>
      </c>
      <c r="M1950" t="s">
        <v>78</v>
      </c>
      <c r="N1950" t="s">
        <v>17</v>
      </c>
      <c r="O1950" t="s">
        <v>189</v>
      </c>
      <c r="P1950" s="1" t="s">
        <v>34</v>
      </c>
      <c r="Q1950">
        <v>124.7</v>
      </c>
    </row>
    <row r="1951" spans="1:17" x14ac:dyDescent="0.3">
      <c r="A1951">
        <v>2019</v>
      </c>
      <c r="B1951" t="s">
        <v>41</v>
      </c>
      <c r="C1951" t="s">
        <v>126</v>
      </c>
      <c r="D1951" s="1" t="s">
        <v>15</v>
      </c>
      <c r="E1951" s="4">
        <v>144</v>
      </c>
      <c r="F1951" s="4">
        <v>145.9</v>
      </c>
      <c r="G1951" s="4">
        <v>149.1</v>
      </c>
      <c r="H1951" s="1" t="s">
        <v>188</v>
      </c>
      <c r="K1951">
        <v>2015</v>
      </c>
      <c r="L1951" t="s">
        <v>37</v>
      </c>
      <c r="M1951" t="s">
        <v>78</v>
      </c>
      <c r="N1951" t="s">
        <v>17</v>
      </c>
      <c r="O1951" t="s">
        <v>189</v>
      </c>
      <c r="P1951" s="1" t="s">
        <v>33</v>
      </c>
      <c r="Q1951">
        <v>122.1</v>
      </c>
    </row>
    <row r="1952" spans="1:17" x14ac:dyDescent="0.3">
      <c r="A1952">
        <v>2019</v>
      </c>
      <c r="B1952" t="s">
        <v>41</v>
      </c>
      <c r="C1952" t="s">
        <v>126</v>
      </c>
      <c r="D1952" s="1" t="s">
        <v>18</v>
      </c>
      <c r="E1952" s="4">
        <v>146.6</v>
      </c>
      <c r="F1952" s="4">
        <v>140.6</v>
      </c>
      <c r="G1952" s="4">
        <v>132.19999999999999</v>
      </c>
      <c r="H1952" s="1" t="s">
        <v>189</v>
      </c>
      <c r="K1952">
        <v>2015</v>
      </c>
      <c r="L1952" t="s">
        <v>37</v>
      </c>
      <c r="M1952" t="s">
        <v>78</v>
      </c>
      <c r="N1952" t="s">
        <v>19</v>
      </c>
      <c r="O1952" t="s">
        <v>189</v>
      </c>
      <c r="P1952" s="1" t="s">
        <v>30</v>
      </c>
      <c r="Q1952">
        <v>126</v>
      </c>
    </row>
    <row r="1953" spans="1:17" x14ac:dyDescent="0.3">
      <c r="A1953">
        <v>2019</v>
      </c>
      <c r="B1953" t="s">
        <v>41</v>
      </c>
      <c r="C1953" t="s">
        <v>126</v>
      </c>
      <c r="D1953" s="1" t="s">
        <v>8</v>
      </c>
      <c r="E1953" s="4">
        <v>145.5</v>
      </c>
      <c r="F1953" s="4">
        <v>149.4</v>
      </c>
      <c r="G1953" s="4">
        <v>153.9</v>
      </c>
      <c r="H1953" s="1" t="s">
        <v>188</v>
      </c>
      <c r="K1953">
        <v>2015</v>
      </c>
      <c r="L1953" t="s">
        <v>37</v>
      </c>
      <c r="M1953" t="s">
        <v>78</v>
      </c>
      <c r="N1953" t="s">
        <v>19</v>
      </c>
      <c r="O1953" t="s">
        <v>189</v>
      </c>
      <c r="P1953" s="1" t="s">
        <v>34</v>
      </c>
      <c r="Q1953">
        <v>124.1</v>
      </c>
    </row>
    <row r="1954" spans="1:17" x14ac:dyDescent="0.3">
      <c r="A1954">
        <v>2019</v>
      </c>
      <c r="B1954" t="s">
        <v>41</v>
      </c>
      <c r="C1954" t="s">
        <v>126</v>
      </c>
      <c r="D1954" s="1" t="s">
        <v>21</v>
      </c>
      <c r="E1954" s="4">
        <v>146.4</v>
      </c>
      <c r="F1954" s="4">
        <v>138.5</v>
      </c>
      <c r="G1954" s="4">
        <v>125.5</v>
      </c>
      <c r="H1954" s="1" t="s">
        <v>190</v>
      </c>
      <c r="K1954">
        <v>2015</v>
      </c>
      <c r="L1954" t="s">
        <v>37</v>
      </c>
      <c r="M1954" t="s">
        <v>78</v>
      </c>
      <c r="N1954" t="s">
        <v>19</v>
      </c>
      <c r="O1954" t="s">
        <v>189</v>
      </c>
      <c r="P1954" s="1" t="s">
        <v>33</v>
      </c>
      <c r="Q1954">
        <v>121.3</v>
      </c>
    </row>
    <row r="1955" spans="1:17" x14ac:dyDescent="0.3">
      <c r="A1955">
        <v>2019</v>
      </c>
      <c r="B1955" t="s">
        <v>41</v>
      </c>
      <c r="C1955" t="s">
        <v>126</v>
      </c>
      <c r="D1955" s="1" t="s">
        <v>29</v>
      </c>
      <c r="E1955" s="4">
        <v>145.69999999999999</v>
      </c>
      <c r="F1955" s="4">
        <v>145</v>
      </c>
      <c r="G1955" s="4">
        <v>144.19999999999999</v>
      </c>
      <c r="H1955" s="1" t="s">
        <v>206</v>
      </c>
      <c r="K1955">
        <v>2015</v>
      </c>
      <c r="L1955" t="s">
        <v>37</v>
      </c>
      <c r="M1955" t="s">
        <v>78</v>
      </c>
      <c r="N1955" t="s">
        <v>26</v>
      </c>
      <c r="O1955" t="s">
        <v>26</v>
      </c>
      <c r="P1955" s="1" t="s">
        <v>30</v>
      </c>
      <c r="Q1955">
        <v>119.9</v>
      </c>
    </row>
    <row r="1956" spans="1:17" x14ac:dyDescent="0.3">
      <c r="A1956">
        <v>2019</v>
      </c>
      <c r="B1956" t="s">
        <v>41</v>
      </c>
      <c r="C1956" t="s">
        <v>126</v>
      </c>
      <c r="D1956" s="1" t="s">
        <v>23</v>
      </c>
      <c r="E1956" s="4">
        <v>152.69999999999999</v>
      </c>
      <c r="F1956" s="4">
        <v>148.5</v>
      </c>
      <c r="G1956" s="4">
        <v>141.5</v>
      </c>
      <c r="H1956" s="1" t="s">
        <v>23</v>
      </c>
      <c r="K1956">
        <v>2015</v>
      </c>
      <c r="L1956" t="s">
        <v>37</v>
      </c>
      <c r="M1956" t="s">
        <v>78</v>
      </c>
      <c r="N1956" t="s">
        <v>26</v>
      </c>
      <c r="O1956" t="s">
        <v>26</v>
      </c>
      <c r="P1956" s="1" t="s">
        <v>34</v>
      </c>
      <c r="Q1956">
        <v>121</v>
      </c>
    </row>
    <row r="1957" spans="1:17" x14ac:dyDescent="0.3">
      <c r="A1957">
        <v>2019</v>
      </c>
      <c r="B1957" t="s">
        <v>41</v>
      </c>
      <c r="C1957" t="s">
        <v>126</v>
      </c>
      <c r="D1957" s="1" t="s">
        <v>22</v>
      </c>
      <c r="E1957" s="4">
        <v>150.19999999999999</v>
      </c>
      <c r="F1957" s="4">
        <v>144.5</v>
      </c>
      <c r="G1957" s="4">
        <v>138.1</v>
      </c>
      <c r="H1957" s="1" t="s">
        <v>20</v>
      </c>
      <c r="K1957">
        <v>2015</v>
      </c>
      <c r="L1957" t="s">
        <v>37</v>
      </c>
      <c r="M1957" t="s">
        <v>78</v>
      </c>
      <c r="N1957" t="s">
        <v>26</v>
      </c>
      <c r="O1957" t="s">
        <v>26</v>
      </c>
      <c r="P1957" s="1" t="s">
        <v>33</v>
      </c>
      <c r="Q1957">
        <v>121.7</v>
      </c>
    </row>
    <row r="1958" spans="1:17" x14ac:dyDescent="0.3">
      <c r="A1958">
        <v>2019</v>
      </c>
      <c r="B1958" t="s">
        <v>41</v>
      </c>
      <c r="C1958" t="s">
        <v>126</v>
      </c>
      <c r="D1958" s="1" t="s">
        <v>20</v>
      </c>
      <c r="E1958" s="4">
        <v>0</v>
      </c>
      <c r="F1958" s="4">
        <v>151.6</v>
      </c>
      <c r="G1958" s="4">
        <v>151.6</v>
      </c>
      <c r="H1958" s="1" t="s">
        <v>20</v>
      </c>
      <c r="K1958">
        <v>2015</v>
      </c>
      <c r="L1958" t="s">
        <v>37</v>
      </c>
      <c r="M1958" t="s">
        <v>78</v>
      </c>
      <c r="N1958" t="s">
        <v>5</v>
      </c>
      <c r="O1958" t="s">
        <v>188</v>
      </c>
      <c r="P1958" s="1" t="s">
        <v>30</v>
      </c>
      <c r="Q1958">
        <v>117.2</v>
      </c>
    </row>
    <row r="1959" spans="1:17" x14ac:dyDescent="0.3">
      <c r="A1959">
        <v>2019</v>
      </c>
      <c r="B1959" t="s">
        <v>41</v>
      </c>
      <c r="C1959" t="s">
        <v>126</v>
      </c>
      <c r="D1959" s="1" t="s">
        <v>4</v>
      </c>
      <c r="E1959" s="4">
        <v>161.9</v>
      </c>
      <c r="F1959" s="4">
        <v>160.6</v>
      </c>
      <c r="G1959" s="4">
        <v>158.30000000000001</v>
      </c>
      <c r="H1959" s="1" t="s">
        <v>188</v>
      </c>
      <c r="K1959">
        <v>2015</v>
      </c>
      <c r="L1959" t="s">
        <v>37</v>
      </c>
      <c r="M1959" t="s">
        <v>78</v>
      </c>
      <c r="N1959" t="s">
        <v>5</v>
      </c>
      <c r="O1959" t="s">
        <v>188</v>
      </c>
      <c r="P1959" s="1" t="s">
        <v>34</v>
      </c>
      <c r="Q1959">
        <v>114.4</v>
      </c>
    </row>
    <row r="1960" spans="1:17" x14ac:dyDescent="0.3">
      <c r="A1960">
        <v>2019</v>
      </c>
      <c r="B1960" t="s">
        <v>41</v>
      </c>
      <c r="C1960" t="s">
        <v>126</v>
      </c>
      <c r="D1960" s="1" t="s">
        <v>6</v>
      </c>
      <c r="E1960" s="4">
        <v>144.6</v>
      </c>
      <c r="F1960" s="4">
        <v>144.69999999999999</v>
      </c>
      <c r="G1960" s="4">
        <v>144.9</v>
      </c>
      <c r="H1960" s="1" t="s">
        <v>188</v>
      </c>
      <c r="K1960">
        <v>2015</v>
      </c>
      <c r="L1960" t="s">
        <v>37</v>
      </c>
      <c r="M1960" t="s">
        <v>78</v>
      </c>
      <c r="N1960" t="s">
        <v>5</v>
      </c>
      <c r="O1960" t="s">
        <v>188</v>
      </c>
      <c r="P1960" s="1" t="s">
        <v>33</v>
      </c>
      <c r="Q1960">
        <v>110</v>
      </c>
    </row>
    <row r="1961" spans="1:17" x14ac:dyDescent="0.3">
      <c r="A1961">
        <v>2019</v>
      </c>
      <c r="B1961" t="s">
        <v>41</v>
      </c>
      <c r="C1961" t="s">
        <v>126</v>
      </c>
      <c r="D1961" s="1" t="s">
        <v>28</v>
      </c>
      <c r="E1961" s="4">
        <v>144.9</v>
      </c>
      <c r="F1961" s="4">
        <v>140.19999999999999</v>
      </c>
      <c r="G1961" s="4">
        <v>135.30000000000001</v>
      </c>
      <c r="H1961" s="1" t="s">
        <v>192</v>
      </c>
      <c r="K1961">
        <v>2015</v>
      </c>
      <c r="L1961" t="s">
        <v>37</v>
      </c>
      <c r="M1961" t="s">
        <v>78</v>
      </c>
      <c r="N1961" t="s">
        <v>15</v>
      </c>
      <c r="O1961" t="s">
        <v>188</v>
      </c>
      <c r="P1961" s="1" t="s">
        <v>30</v>
      </c>
      <c r="Q1961">
        <v>123.6</v>
      </c>
    </row>
    <row r="1962" spans="1:17" x14ac:dyDescent="0.3">
      <c r="A1962">
        <v>2019</v>
      </c>
      <c r="B1962" t="s">
        <v>41</v>
      </c>
      <c r="C1962" t="s">
        <v>126</v>
      </c>
      <c r="D1962" s="1" t="s">
        <v>13</v>
      </c>
      <c r="E1962" s="4">
        <v>138.5</v>
      </c>
      <c r="F1962" s="4">
        <v>134.9</v>
      </c>
      <c r="G1962" s="4">
        <v>129.80000000000001</v>
      </c>
      <c r="H1962" s="1" t="s">
        <v>188</v>
      </c>
      <c r="K1962">
        <v>2015</v>
      </c>
      <c r="L1962" t="s">
        <v>37</v>
      </c>
      <c r="M1962" t="s">
        <v>78</v>
      </c>
      <c r="N1962" t="s">
        <v>15</v>
      </c>
      <c r="O1962" t="s">
        <v>188</v>
      </c>
      <c r="P1962" s="1" t="s">
        <v>34</v>
      </c>
      <c r="Q1962">
        <v>124</v>
      </c>
    </row>
    <row r="1963" spans="1:17" x14ac:dyDescent="0.3">
      <c r="A1963">
        <v>2019</v>
      </c>
      <c r="B1963" t="s">
        <v>41</v>
      </c>
      <c r="C1963" t="s">
        <v>126</v>
      </c>
      <c r="D1963" s="1" t="s">
        <v>7</v>
      </c>
      <c r="E1963" s="4">
        <v>124.7</v>
      </c>
      <c r="F1963" s="4">
        <v>122.9</v>
      </c>
      <c r="G1963" s="4">
        <v>119.9</v>
      </c>
      <c r="H1963" s="1" t="s">
        <v>188</v>
      </c>
      <c r="K1963">
        <v>2015</v>
      </c>
      <c r="L1963" t="s">
        <v>37</v>
      </c>
      <c r="M1963" t="s">
        <v>78</v>
      </c>
      <c r="N1963" t="s">
        <v>15</v>
      </c>
      <c r="O1963" t="s">
        <v>188</v>
      </c>
      <c r="P1963" s="1" t="s">
        <v>33</v>
      </c>
      <c r="Q1963">
        <v>124.6</v>
      </c>
    </row>
    <row r="1964" spans="1:17" x14ac:dyDescent="0.3">
      <c r="A1964">
        <v>2019</v>
      </c>
      <c r="B1964" t="s">
        <v>41</v>
      </c>
      <c r="C1964" t="s">
        <v>126</v>
      </c>
      <c r="D1964" s="1" t="s">
        <v>16</v>
      </c>
      <c r="E1964" s="4">
        <v>165.1</v>
      </c>
      <c r="F1964" s="4">
        <v>165.8</v>
      </c>
      <c r="G1964" s="4">
        <v>167.9</v>
      </c>
      <c r="H1964" s="1" t="s">
        <v>192</v>
      </c>
      <c r="K1964">
        <v>2015</v>
      </c>
      <c r="L1964" t="s">
        <v>37</v>
      </c>
      <c r="M1964" t="s">
        <v>78</v>
      </c>
      <c r="N1964" t="s">
        <v>18</v>
      </c>
      <c r="O1964" t="s">
        <v>189</v>
      </c>
      <c r="P1964" s="1" t="s">
        <v>30</v>
      </c>
      <c r="Q1964">
        <v>123.3</v>
      </c>
    </row>
    <row r="1965" spans="1:17" x14ac:dyDescent="0.3">
      <c r="A1965">
        <v>2019</v>
      </c>
      <c r="B1965" t="s">
        <v>41</v>
      </c>
      <c r="C1965" t="s">
        <v>126</v>
      </c>
      <c r="D1965" s="1" t="s">
        <v>27</v>
      </c>
      <c r="E1965" s="4">
        <v>138.80000000000001</v>
      </c>
      <c r="F1965" s="4">
        <v>138.4</v>
      </c>
      <c r="G1965" s="4">
        <v>137.80000000000001</v>
      </c>
      <c r="H1965" s="1" t="s">
        <v>192</v>
      </c>
      <c r="K1965">
        <v>2015</v>
      </c>
      <c r="L1965" t="s">
        <v>37</v>
      </c>
      <c r="M1965" t="s">
        <v>78</v>
      </c>
      <c r="N1965" t="s">
        <v>18</v>
      </c>
      <c r="O1965" t="s">
        <v>189</v>
      </c>
      <c r="P1965" s="1" t="s">
        <v>34</v>
      </c>
      <c r="Q1965">
        <v>120.8</v>
      </c>
    </row>
    <row r="1966" spans="1:17" x14ac:dyDescent="0.3">
      <c r="A1966">
        <v>2019</v>
      </c>
      <c r="B1966" t="s">
        <v>41</v>
      </c>
      <c r="C1966" t="s">
        <v>126</v>
      </c>
      <c r="D1966" s="1" t="s">
        <v>14</v>
      </c>
      <c r="E1966" s="4">
        <v>156.9</v>
      </c>
      <c r="F1966" s="4">
        <v>156.6</v>
      </c>
      <c r="G1966" s="4">
        <v>156.19999999999999</v>
      </c>
      <c r="H1966" s="1" t="s">
        <v>188</v>
      </c>
      <c r="K1966">
        <v>2015</v>
      </c>
      <c r="L1966" t="s">
        <v>37</v>
      </c>
      <c r="M1966" t="s">
        <v>78</v>
      </c>
      <c r="N1966" t="s">
        <v>18</v>
      </c>
      <c r="O1966" t="s">
        <v>189</v>
      </c>
      <c r="P1966" s="1" t="s">
        <v>33</v>
      </c>
      <c r="Q1966">
        <v>117.2</v>
      </c>
    </row>
    <row r="1967" spans="1:17" x14ac:dyDescent="0.3">
      <c r="A1967">
        <v>2019</v>
      </c>
      <c r="B1967" t="s">
        <v>41</v>
      </c>
      <c r="C1967" t="s">
        <v>126</v>
      </c>
      <c r="D1967" s="1" t="s">
        <v>10</v>
      </c>
      <c r="E1967" s="4">
        <v>131.5</v>
      </c>
      <c r="F1967" s="4">
        <v>130.9</v>
      </c>
      <c r="G1967" s="4">
        <v>129.80000000000001</v>
      </c>
      <c r="H1967" s="1" t="s">
        <v>188</v>
      </c>
      <c r="K1967">
        <v>2015</v>
      </c>
      <c r="L1967" t="s">
        <v>37</v>
      </c>
      <c r="M1967" t="s">
        <v>78</v>
      </c>
      <c r="N1967" t="s">
        <v>8</v>
      </c>
      <c r="O1967" t="s">
        <v>188</v>
      </c>
      <c r="P1967" s="1" t="s">
        <v>30</v>
      </c>
      <c r="Q1967">
        <v>134.19999999999999</v>
      </c>
    </row>
    <row r="1968" spans="1:17" x14ac:dyDescent="0.3">
      <c r="A1968">
        <v>2019</v>
      </c>
      <c r="B1968" t="s">
        <v>41</v>
      </c>
      <c r="C1968" t="s">
        <v>126</v>
      </c>
      <c r="D1968" s="1" t="s">
        <v>25</v>
      </c>
      <c r="E1968" s="4">
        <v>148</v>
      </c>
      <c r="F1968" s="4">
        <v>140.9</v>
      </c>
      <c r="G1968" s="4">
        <v>135.4</v>
      </c>
      <c r="H1968" s="1" t="s">
        <v>195</v>
      </c>
      <c r="K1968">
        <v>2015</v>
      </c>
      <c r="L1968" t="s">
        <v>37</v>
      </c>
      <c r="M1968" t="s">
        <v>78</v>
      </c>
      <c r="N1968" t="s">
        <v>8</v>
      </c>
      <c r="O1968" t="s">
        <v>188</v>
      </c>
      <c r="P1968" s="1" t="s">
        <v>34</v>
      </c>
      <c r="Q1968">
        <v>132.5</v>
      </c>
    </row>
    <row r="1969" spans="1:17" x14ac:dyDescent="0.3">
      <c r="A1969">
        <v>2019</v>
      </c>
      <c r="B1969" t="s">
        <v>41</v>
      </c>
      <c r="C1969" t="s">
        <v>126</v>
      </c>
      <c r="D1969" s="1" t="s">
        <v>12</v>
      </c>
      <c r="E1969" s="4">
        <v>142.69999999999999</v>
      </c>
      <c r="F1969" s="4">
        <v>142.6</v>
      </c>
      <c r="G1969" s="4">
        <v>142.5</v>
      </c>
      <c r="H1969" s="1" t="s">
        <v>188</v>
      </c>
      <c r="K1969">
        <v>2015</v>
      </c>
      <c r="L1969" t="s">
        <v>37</v>
      </c>
      <c r="M1969" t="s">
        <v>78</v>
      </c>
      <c r="N1969" t="s">
        <v>8</v>
      </c>
      <c r="O1969" t="s">
        <v>188</v>
      </c>
      <c r="P1969" s="1" t="s">
        <v>33</v>
      </c>
      <c r="Q1969">
        <v>130.6</v>
      </c>
    </row>
    <row r="1970" spans="1:17" x14ac:dyDescent="0.3">
      <c r="A1970">
        <v>2019</v>
      </c>
      <c r="B1970" t="s">
        <v>41</v>
      </c>
      <c r="C1970" t="s">
        <v>126</v>
      </c>
      <c r="D1970" s="1" t="s">
        <v>11</v>
      </c>
      <c r="E1970" s="4">
        <v>111.7</v>
      </c>
      <c r="F1970" s="4">
        <v>112</v>
      </c>
      <c r="G1970" s="4">
        <v>112.7</v>
      </c>
      <c r="H1970" s="1" t="s">
        <v>188</v>
      </c>
      <c r="K1970">
        <v>2015</v>
      </c>
      <c r="L1970" t="s">
        <v>37</v>
      </c>
      <c r="M1970" t="s">
        <v>78</v>
      </c>
      <c r="N1970" t="s">
        <v>21</v>
      </c>
      <c r="O1970" t="s">
        <v>190</v>
      </c>
      <c r="P1970" s="1" t="s">
        <v>30</v>
      </c>
      <c r="Q1970">
        <v>121.2</v>
      </c>
    </row>
    <row r="1971" spans="1:17" x14ac:dyDescent="0.3">
      <c r="A1971">
        <v>2019</v>
      </c>
      <c r="B1971" t="s">
        <v>41</v>
      </c>
      <c r="C1971" t="s">
        <v>126</v>
      </c>
      <c r="D1971" s="1" t="s">
        <v>24</v>
      </c>
      <c r="E1971" s="4">
        <v>131.4</v>
      </c>
      <c r="F1971" s="4">
        <v>125.8</v>
      </c>
      <c r="G1971" s="4">
        <v>120.8</v>
      </c>
      <c r="H1971" s="1" t="s">
        <v>191</v>
      </c>
      <c r="K1971">
        <v>2015</v>
      </c>
      <c r="L1971" t="s">
        <v>37</v>
      </c>
      <c r="M1971" t="s">
        <v>78</v>
      </c>
      <c r="N1971" t="s">
        <v>21</v>
      </c>
      <c r="O1971" t="s">
        <v>190</v>
      </c>
      <c r="P1971" s="1" t="s">
        <v>34</v>
      </c>
      <c r="Q1971">
        <v>118.7</v>
      </c>
    </row>
    <row r="1972" spans="1:17" x14ac:dyDescent="0.3">
      <c r="A1972">
        <v>2019</v>
      </c>
      <c r="B1972" t="s">
        <v>41</v>
      </c>
      <c r="C1972" t="s">
        <v>126</v>
      </c>
      <c r="D1972" s="1" t="s">
        <v>9</v>
      </c>
      <c r="E1972" s="4">
        <v>156.19999999999999</v>
      </c>
      <c r="F1972" s="4">
        <v>167.4</v>
      </c>
      <c r="G1972" s="4">
        <v>189.1</v>
      </c>
      <c r="H1972" s="1" t="s">
        <v>188</v>
      </c>
      <c r="K1972">
        <v>2015</v>
      </c>
      <c r="L1972" t="s">
        <v>37</v>
      </c>
      <c r="M1972" t="s">
        <v>78</v>
      </c>
      <c r="N1972" t="s">
        <v>21</v>
      </c>
      <c r="O1972" t="s">
        <v>190</v>
      </c>
      <c r="P1972" s="1" t="s">
        <v>33</v>
      </c>
      <c r="Q1972">
        <v>114.7</v>
      </c>
    </row>
    <row r="1973" spans="1:17" x14ac:dyDescent="0.3">
      <c r="A1973">
        <v>2019</v>
      </c>
      <c r="B1973" t="s">
        <v>45</v>
      </c>
      <c r="C1973" t="s">
        <v>127</v>
      </c>
      <c r="D1973" s="1" t="s">
        <v>3</v>
      </c>
      <c r="E1973" s="4">
        <v>142.80000000000001</v>
      </c>
      <c r="F1973" s="4">
        <v>143.5</v>
      </c>
      <c r="G1973" s="4">
        <v>144.9</v>
      </c>
      <c r="H1973" s="1" t="s">
        <v>188</v>
      </c>
      <c r="K1973">
        <v>2015</v>
      </c>
      <c r="L1973" t="s">
        <v>37</v>
      </c>
      <c r="M1973" t="s">
        <v>78</v>
      </c>
      <c r="N1973" t="s">
        <v>29</v>
      </c>
      <c r="O1973" t="s">
        <v>206</v>
      </c>
      <c r="P1973" s="1" t="s">
        <v>30</v>
      </c>
      <c r="Q1973">
        <v>121.5</v>
      </c>
    </row>
    <row r="1974" spans="1:17" x14ac:dyDescent="0.3">
      <c r="A1974">
        <v>2019</v>
      </c>
      <c r="B1974" t="s">
        <v>45</v>
      </c>
      <c r="C1974" t="s">
        <v>127</v>
      </c>
      <c r="D1974" s="1" t="s">
        <v>17</v>
      </c>
      <c r="E1974" s="4">
        <v>152.6</v>
      </c>
      <c r="F1974" s="4">
        <v>150.30000000000001</v>
      </c>
      <c r="G1974" s="4">
        <v>146.80000000000001</v>
      </c>
      <c r="H1974" s="1" t="s">
        <v>189</v>
      </c>
      <c r="K1974">
        <v>2015</v>
      </c>
      <c r="L1974" t="s">
        <v>37</v>
      </c>
      <c r="M1974" t="s">
        <v>78</v>
      </c>
      <c r="N1974" t="s">
        <v>29</v>
      </c>
      <c r="O1974" t="s">
        <v>206</v>
      </c>
      <c r="P1974" s="1" t="s">
        <v>34</v>
      </c>
      <c r="Q1974">
        <v>120.7</v>
      </c>
    </row>
    <row r="1975" spans="1:17" x14ac:dyDescent="0.3">
      <c r="A1975">
        <v>2019</v>
      </c>
      <c r="B1975" t="s">
        <v>45</v>
      </c>
      <c r="C1975" t="s">
        <v>127</v>
      </c>
      <c r="D1975" s="1" t="s">
        <v>19</v>
      </c>
      <c r="E1975" s="4">
        <v>151.9</v>
      </c>
      <c r="F1975" s="4">
        <v>149</v>
      </c>
      <c r="G1975" s="4">
        <v>144.6</v>
      </c>
      <c r="H1975" s="1" t="s">
        <v>189</v>
      </c>
      <c r="K1975">
        <v>2015</v>
      </c>
      <c r="L1975" t="s">
        <v>37</v>
      </c>
      <c r="M1975" t="s">
        <v>78</v>
      </c>
      <c r="N1975" t="s">
        <v>29</v>
      </c>
      <c r="O1975" t="s">
        <v>206</v>
      </c>
      <c r="P1975" s="1" t="s">
        <v>33</v>
      </c>
      <c r="Q1975">
        <v>119.7</v>
      </c>
    </row>
    <row r="1976" spans="1:17" x14ac:dyDescent="0.3">
      <c r="A1976">
        <v>2019</v>
      </c>
      <c r="B1976" t="s">
        <v>45</v>
      </c>
      <c r="C1976" t="s">
        <v>127</v>
      </c>
      <c r="D1976" s="1" t="s">
        <v>26</v>
      </c>
      <c r="E1976" s="4">
        <v>161.1</v>
      </c>
      <c r="F1976" s="4">
        <v>155.69999999999999</v>
      </c>
      <c r="G1976" s="4">
        <v>151.9</v>
      </c>
      <c r="H1976" s="1" t="s">
        <v>26</v>
      </c>
      <c r="K1976">
        <v>2015</v>
      </c>
      <c r="L1976" t="s">
        <v>37</v>
      </c>
      <c r="M1976" t="s">
        <v>78</v>
      </c>
      <c r="N1976" t="s">
        <v>23</v>
      </c>
      <c r="O1976" t="s">
        <v>23</v>
      </c>
      <c r="P1976" s="1" t="s">
        <v>30</v>
      </c>
      <c r="Q1976">
        <v>118.6</v>
      </c>
    </row>
    <row r="1977" spans="1:17" x14ac:dyDescent="0.3">
      <c r="A1977">
        <v>2019</v>
      </c>
      <c r="B1977" t="s">
        <v>45</v>
      </c>
      <c r="C1977" t="s">
        <v>127</v>
      </c>
      <c r="D1977" s="1" t="s">
        <v>5</v>
      </c>
      <c r="E1977" s="4">
        <v>149.5</v>
      </c>
      <c r="F1977" s="4">
        <v>151.1</v>
      </c>
      <c r="G1977" s="4">
        <v>153.69999999999999</v>
      </c>
      <c r="H1977" s="1" t="s">
        <v>188</v>
      </c>
      <c r="K1977">
        <v>2015</v>
      </c>
      <c r="L1977" t="s">
        <v>37</v>
      </c>
      <c r="M1977" t="s">
        <v>78</v>
      </c>
      <c r="N1977" t="s">
        <v>23</v>
      </c>
      <c r="O1977" t="s">
        <v>23</v>
      </c>
      <c r="P1977" s="1" t="s">
        <v>34</v>
      </c>
      <c r="Q1977">
        <v>117.1</v>
      </c>
    </row>
    <row r="1978" spans="1:17" x14ac:dyDescent="0.3">
      <c r="A1978">
        <v>2019</v>
      </c>
      <c r="B1978" t="s">
        <v>45</v>
      </c>
      <c r="C1978" t="s">
        <v>127</v>
      </c>
      <c r="D1978" s="1" t="s">
        <v>15</v>
      </c>
      <c r="E1978" s="4">
        <v>154.30000000000001</v>
      </c>
      <c r="F1978" s="4">
        <v>155</v>
      </c>
      <c r="G1978" s="4">
        <v>156.30000000000001</v>
      </c>
      <c r="H1978" s="1" t="s">
        <v>188</v>
      </c>
      <c r="K1978">
        <v>2015</v>
      </c>
      <c r="L1978" t="s">
        <v>37</v>
      </c>
      <c r="M1978" t="s">
        <v>78</v>
      </c>
      <c r="N1978" t="s">
        <v>23</v>
      </c>
      <c r="O1978" t="s">
        <v>23</v>
      </c>
      <c r="P1978" s="1" t="s">
        <v>33</v>
      </c>
      <c r="Q1978">
        <v>114.6</v>
      </c>
    </row>
    <row r="1979" spans="1:17" x14ac:dyDescent="0.3">
      <c r="A1979">
        <v>2019</v>
      </c>
      <c r="B1979" t="s">
        <v>45</v>
      </c>
      <c r="C1979" t="s">
        <v>127</v>
      </c>
      <c r="D1979" s="1" t="s">
        <v>18</v>
      </c>
      <c r="E1979" s="4">
        <v>147.30000000000001</v>
      </c>
      <c r="F1979" s="4">
        <v>141.30000000000001</v>
      </c>
      <c r="G1979" s="4">
        <v>132.80000000000001</v>
      </c>
      <c r="H1979" s="1" t="s">
        <v>189</v>
      </c>
      <c r="K1979">
        <v>2015</v>
      </c>
      <c r="L1979" t="s">
        <v>37</v>
      </c>
      <c r="M1979" t="s">
        <v>78</v>
      </c>
      <c r="N1979" t="s">
        <v>22</v>
      </c>
      <c r="O1979" t="s">
        <v>20</v>
      </c>
      <c r="P1979" s="1" t="s">
        <v>30</v>
      </c>
      <c r="Q1979">
        <v>120.9</v>
      </c>
    </row>
    <row r="1980" spans="1:17" x14ac:dyDescent="0.3">
      <c r="A1980">
        <v>2019</v>
      </c>
      <c r="B1980" t="s">
        <v>45</v>
      </c>
      <c r="C1980" t="s">
        <v>127</v>
      </c>
      <c r="D1980" s="1" t="s">
        <v>8</v>
      </c>
      <c r="E1980" s="4">
        <v>144.30000000000001</v>
      </c>
      <c r="F1980" s="4">
        <v>145.69999999999999</v>
      </c>
      <c r="G1980" s="4">
        <v>147.19999999999999</v>
      </c>
      <c r="H1980" s="1" t="s">
        <v>188</v>
      </c>
      <c r="K1980">
        <v>2015</v>
      </c>
      <c r="L1980" t="s">
        <v>37</v>
      </c>
      <c r="M1980" t="s">
        <v>78</v>
      </c>
      <c r="N1980" t="s">
        <v>22</v>
      </c>
      <c r="O1980" t="s">
        <v>20</v>
      </c>
      <c r="P1980" s="1" t="s">
        <v>34</v>
      </c>
      <c r="Q1980">
        <v>119.7</v>
      </c>
    </row>
    <row r="1981" spans="1:17" x14ac:dyDescent="0.3">
      <c r="A1981">
        <v>2019</v>
      </c>
      <c r="B1981" t="s">
        <v>45</v>
      </c>
      <c r="C1981" t="s">
        <v>127</v>
      </c>
      <c r="D1981" s="1" t="s">
        <v>21</v>
      </c>
      <c r="E1981" s="4">
        <v>149.9</v>
      </c>
      <c r="F1981" s="4">
        <v>143.69999999999999</v>
      </c>
      <c r="G1981" s="4">
        <v>133.6</v>
      </c>
      <c r="H1981" s="1" t="s">
        <v>190</v>
      </c>
      <c r="K1981">
        <v>2015</v>
      </c>
      <c r="L1981" t="s">
        <v>37</v>
      </c>
      <c r="M1981" t="s">
        <v>78</v>
      </c>
      <c r="N1981" t="s">
        <v>22</v>
      </c>
      <c r="O1981" t="s">
        <v>20</v>
      </c>
      <c r="P1981" s="1" t="s">
        <v>33</v>
      </c>
      <c r="Q1981">
        <v>118.4</v>
      </c>
    </row>
    <row r="1982" spans="1:17" x14ac:dyDescent="0.3">
      <c r="A1982">
        <v>2019</v>
      </c>
      <c r="B1982" t="s">
        <v>45</v>
      </c>
      <c r="C1982" t="s">
        <v>127</v>
      </c>
      <c r="D1982" s="1" t="s">
        <v>29</v>
      </c>
      <c r="E1982" s="4">
        <v>152.30000000000001</v>
      </c>
      <c r="F1982" s="4">
        <v>150.4</v>
      </c>
      <c r="G1982" s="4">
        <v>148.30000000000001</v>
      </c>
      <c r="H1982" s="1" t="s">
        <v>206</v>
      </c>
      <c r="K1982">
        <v>2015</v>
      </c>
      <c r="L1982" t="s">
        <v>37</v>
      </c>
      <c r="M1982" t="s">
        <v>78</v>
      </c>
      <c r="N1982" t="s">
        <v>20</v>
      </c>
      <c r="O1982" t="s">
        <v>20</v>
      </c>
      <c r="P1982" s="1" t="s">
        <v>30</v>
      </c>
      <c r="Q1982">
        <v>0</v>
      </c>
    </row>
    <row r="1983" spans="1:17" x14ac:dyDescent="0.3">
      <c r="A1983">
        <v>2019</v>
      </c>
      <c r="B1983" t="s">
        <v>45</v>
      </c>
      <c r="C1983" t="s">
        <v>127</v>
      </c>
      <c r="D1983" s="1" t="s">
        <v>23</v>
      </c>
      <c r="E1983" s="4">
        <v>154.80000000000001</v>
      </c>
      <c r="F1983" s="4">
        <v>150.4</v>
      </c>
      <c r="G1983" s="4">
        <v>143.19999999999999</v>
      </c>
      <c r="H1983" s="1" t="s">
        <v>23</v>
      </c>
      <c r="K1983">
        <v>2015</v>
      </c>
      <c r="L1983" t="s">
        <v>37</v>
      </c>
      <c r="M1983" t="s">
        <v>78</v>
      </c>
      <c r="N1983" t="s">
        <v>20</v>
      </c>
      <c r="O1983" t="s">
        <v>20</v>
      </c>
      <c r="P1983" s="1" t="s">
        <v>34</v>
      </c>
      <c r="Q1983">
        <v>119.2</v>
      </c>
    </row>
    <row r="1984" spans="1:17" x14ac:dyDescent="0.3">
      <c r="A1984">
        <v>2019</v>
      </c>
      <c r="B1984" t="s">
        <v>45</v>
      </c>
      <c r="C1984" t="s">
        <v>127</v>
      </c>
      <c r="D1984" s="1" t="s">
        <v>22</v>
      </c>
      <c r="E1984" s="4">
        <v>151.19999999999999</v>
      </c>
      <c r="F1984" s="4">
        <v>145.80000000000001</v>
      </c>
      <c r="G1984" s="4">
        <v>139.80000000000001</v>
      </c>
      <c r="H1984" s="1" t="s">
        <v>20</v>
      </c>
      <c r="K1984">
        <v>2015</v>
      </c>
      <c r="L1984" t="s">
        <v>37</v>
      </c>
      <c r="M1984" t="s">
        <v>78</v>
      </c>
      <c r="N1984" t="s">
        <v>20</v>
      </c>
      <c r="O1984" t="s">
        <v>20</v>
      </c>
      <c r="P1984" s="1" t="s">
        <v>33</v>
      </c>
      <c r="Q1984">
        <v>119.2</v>
      </c>
    </row>
    <row r="1985" spans="1:17" x14ac:dyDescent="0.3">
      <c r="A1985">
        <v>2019</v>
      </c>
      <c r="B1985" t="s">
        <v>45</v>
      </c>
      <c r="C1985" t="s">
        <v>127</v>
      </c>
      <c r="D1985" s="1" t="s">
        <v>20</v>
      </c>
      <c r="E1985" s="4">
        <v>0</v>
      </c>
      <c r="F1985" s="4">
        <v>152.80000000000001</v>
      </c>
      <c r="G1985" s="4">
        <v>152.80000000000001</v>
      </c>
      <c r="H1985" s="1" t="s">
        <v>20</v>
      </c>
      <c r="K1985">
        <v>2015</v>
      </c>
      <c r="L1985" t="s">
        <v>37</v>
      </c>
      <c r="M1985" t="s">
        <v>78</v>
      </c>
      <c r="N1985" t="s">
        <v>4</v>
      </c>
      <c r="O1985" t="s">
        <v>188</v>
      </c>
      <c r="P1985" s="1" t="s">
        <v>30</v>
      </c>
      <c r="Q1985">
        <v>125.5</v>
      </c>
    </row>
    <row r="1986" spans="1:17" x14ac:dyDescent="0.3">
      <c r="A1986">
        <v>2019</v>
      </c>
      <c r="B1986" t="s">
        <v>45</v>
      </c>
      <c r="C1986" t="s">
        <v>127</v>
      </c>
      <c r="D1986" s="1" t="s">
        <v>4</v>
      </c>
      <c r="E1986" s="4">
        <v>165.3</v>
      </c>
      <c r="F1986" s="4">
        <v>165</v>
      </c>
      <c r="G1986" s="4">
        <v>164.5</v>
      </c>
      <c r="H1986" s="1" t="s">
        <v>188</v>
      </c>
      <c r="K1986">
        <v>2015</v>
      </c>
      <c r="L1986" t="s">
        <v>37</v>
      </c>
      <c r="M1986" t="s">
        <v>78</v>
      </c>
      <c r="N1986" t="s">
        <v>4</v>
      </c>
      <c r="O1986" t="s">
        <v>188</v>
      </c>
      <c r="P1986" s="1" t="s">
        <v>34</v>
      </c>
      <c r="Q1986">
        <v>126.4</v>
      </c>
    </row>
    <row r="1987" spans="1:17" x14ac:dyDescent="0.3">
      <c r="A1987">
        <v>2019</v>
      </c>
      <c r="B1987" t="s">
        <v>45</v>
      </c>
      <c r="C1987" t="s">
        <v>127</v>
      </c>
      <c r="D1987" s="1" t="s">
        <v>6</v>
      </c>
      <c r="E1987" s="4">
        <v>148.69999999999999</v>
      </c>
      <c r="F1987" s="4">
        <v>148.30000000000001</v>
      </c>
      <c r="G1987" s="4">
        <v>147.5</v>
      </c>
      <c r="H1987" s="1" t="s">
        <v>188</v>
      </c>
      <c r="K1987">
        <v>2015</v>
      </c>
      <c r="L1987" t="s">
        <v>37</v>
      </c>
      <c r="M1987" t="s">
        <v>78</v>
      </c>
      <c r="N1987" t="s">
        <v>4</v>
      </c>
      <c r="O1987" t="s">
        <v>188</v>
      </c>
      <c r="P1987" s="1" t="s">
        <v>33</v>
      </c>
      <c r="Q1987">
        <v>128.19999999999999</v>
      </c>
    </row>
    <row r="1988" spans="1:17" x14ac:dyDescent="0.3">
      <c r="A1988">
        <v>2019</v>
      </c>
      <c r="B1988" t="s">
        <v>45</v>
      </c>
      <c r="C1988" t="s">
        <v>127</v>
      </c>
      <c r="D1988" s="1" t="s">
        <v>28</v>
      </c>
      <c r="E1988" s="4">
        <v>147.1</v>
      </c>
      <c r="F1988" s="4">
        <v>142.5</v>
      </c>
      <c r="G1988" s="4">
        <v>137.69999999999999</v>
      </c>
      <c r="H1988" s="1" t="s">
        <v>192</v>
      </c>
      <c r="K1988">
        <v>2015</v>
      </c>
      <c r="L1988" t="s">
        <v>37</v>
      </c>
      <c r="M1988" t="s">
        <v>78</v>
      </c>
      <c r="N1988" t="s">
        <v>6</v>
      </c>
      <c r="O1988" t="s">
        <v>188</v>
      </c>
      <c r="P1988" s="1" t="s">
        <v>30</v>
      </c>
      <c r="Q1988">
        <v>126.8</v>
      </c>
    </row>
    <row r="1989" spans="1:17" x14ac:dyDescent="0.3">
      <c r="A1989">
        <v>2019</v>
      </c>
      <c r="B1989" t="s">
        <v>45</v>
      </c>
      <c r="C1989" t="s">
        <v>127</v>
      </c>
      <c r="D1989" s="1" t="s">
        <v>13</v>
      </c>
      <c r="E1989" s="4">
        <v>139.30000000000001</v>
      </c>
      <c r="F1989" s="4">
        <v>135.80000000000001</v>
      </c>
      <c r="G1989" s="4">
        <v>130.80000000000001</v>
      </c>
      <c r="H1989" s="1" t="s">
        <v>188</v>
      </c>
      <c r="K1989">
        <v>2015</v>
      </c>
      <c r="L1989" t="s">
        <v>37</v>
      </c>
      <c r="M1989" t="s">
        <v>78</v>
      </c>
      <c r="N1989" t="s">
        <v>6</v>
      </c>
      <c r="O1989" t="s">
        <v>188</v>
      </c>
      <c r="P1989" s="1" t="s">
        <v>34</v>
      </c>
      <c r="Q1989">
        <v>126.6</v>
      </c>
    </row>
    <row r="1990" spans="1:17" x14ac:dyDescent="0.3">
      <c r="A1990">
        <v>2019</v>
      </c>
      <c r="B1990" t="s">
        <v>45</v>
      </c>
      <c r="C1990" t="s">
        <v>127</v>
      </c>
      <c r="D1990" s="1" t="s">
        <v>7</v>
      </c>
      <c r="E1990" s="4">
        <v>127.5</v>
      </c>
      <c r="F1990" s="4">
        <v>125.7</v>
      </c>
      <c r="G1990" s="4">
        <v>122.7</v>
      </c>
      <c r="H1990" s="1" t="s">
        <v>188</v>
      </c>
      <c r="K1990">
        <v>2015</v>
      </c>
      <c r="L1990" t="s">
        <v>37</v>
      </c>
      <c r="M1990" t="s">
        <v>78</v>
      </c>
      <c r="N1990" t="s">
        <v>6</v>
      </c>
      <c r="O1990" t="s">
        <v>188</v>
      </c>
      <c r="P1990" s="1" t="s">
        <v>33</v>
      </c>
      <c r="Q1990">
        <v>126.3</v>
      </c>
    </row>
    <row r="1991" spans="1:17" x14ac:dyDescent="0.3">
      <c r="A1991">
        <v>2019</v>
      </c>
      <c r="B1991" t="s">
        <v>45</v>
      </c>
      <c r="C1991" t="s">
        <v>127</v>
      </c>
      <c r="D1991" s="1" t="s">
        <v>16</v>
      </c>
      <c r="E1991" s="4">
        <v>167.8</v>
      </c>
      <c r="F1991" s="4">
        <v>168.5</v>
      </c>
      <c r="G1991" s="4">
        <v>170.4</v>
      </c>
      <c r="H1991" s="1" t="s">
        <v>192</v>
      </c>
      <c r="K1991">
        <v>2015</v>
      </c>
      <c r="L1991" t="s">
        <v>37</v>
      </c>
      <c r="M1991" t="s">
        <v>78</v>
      </c>
      <c r="N1991" t="s">
        <v>28</v>
      </c>
      <c r="O1991" t="s">
        <v>192</v>
      </c>
      <c r="P1991" s="1" t="s">
        <v>30</v>
      </c>
      <c r="Q1991">
        <v>116</v>
      </c>
    </row>
    <row r="1992" spans="1:17" x14ac:dyDescent="0.3">
      <c r="A1992">
        <v>2019</v>
      </c>
      <c r="B1992" t="s">
        <v>45</v>
      </c>
      <c r="C1992" t="s">
        <v>127</v>
      </c>
      <c r="D1992" s="1" t="s">
        <v>27</v>
      </c>
      <c r="E1992" s="4">
        <v>140.6</v>
      </c>
      <c r="F1992" s="4">
        <v>140.4</v>
      </c>
      <c r="G1992" s="4">
        <v>140.19999999999999</v>
      </c>
      <c r="H1992" s="1" t="s">
        <v>192</v>
      </c>
      <c r="K1992">
        <v>2015</v>
      </c>
      <c r="L1992" t="s">
        <v>37</v>
      </c>
      <c r="M1992" t="s">
        <v>78</v>
      </c>
      <c r="N1992" t="s">
        <v>28</v>
      </c>
      <c r="O1992" t="s">
        <v>192</v>
      </c>
      <c r="P1992" s="1" t="s">
        <v>34</v>
      </c>
      <c r="Q1992">
        <v>115.1</v>
      </c>
    </row>
    <row r="1993" spans="1:17" x14ac:dyDescent="0.3">
      <c r="A1993">
        <v>2019</v>
      </c>
      <c r="B1993" t="s">
        <v>45</v>
      </c>
      <c r="C1993" t="s">
        <v>127</v>
      </c>
      <c r="D1993" s="1" t="s">
        <v>14</v>
      </c>
      <c r="E1993" s="4">
        <v>158.30000000000001</v>
      </c>
      <c r="F1993" s="4">
        <v>158</v>
      </c>
      <c r="G1993" s="4">
        <v>157.69999999999999</v>
      </c>
      <c r="H1993" s="1" t="s">
        <v>188</v>
      </c>
      <c r="K1993">
        <v>2015</v>
      </c>
      <c r="L1993" t="s">
        <v>37</v>
      </c>
      <c r="M1993" t="s">
        <v>78</v>
      </c>
      <c r="N1993" t="s">
        <v>28</v>
      </c>
      <c r="O1993" t="s">
        <v>192</v>
      </c>
      <c r="P1993" s="1" t="s">
        <v>33</v>
      </c>
      <c r="Q1993">
        <v>114.2</v>
      </c>
    </row>
    <row r="1994" spans="1:17" x14ac:dyDescent="0.3">
      <c r="A1994">
        <v>2019</v>
      </c>
      <c r="B1994" t="s">
        <v>45</v>
      </c>
      <c r="C1994" t="s">
        <v>127</v>
      </c>
      <c r="D1994" s="1" t="s">
        <v>10</v>
      </c>
      <c r="E1994" s="4">
        <v>138.80000000000001</v>
      </c>
      <c r="F1994" s="4">
        <v>138.30000000000001</v>
      </c>
      <c r="G1994" s="4">
        <v>137.19999999999999</v>
      </c>
      <c r="H1994" s="1" t="s">
        <v>188</v>
      </c>
      <c r="K1994">
        <v>2015</v>
      </c>
      <c r="L1994" t="s">
        <v>37</v>
      </c>
      <c r="M1994" t="s">
        <v>78</v>
      </c>
      <c r="N1994" t="s">
        <v>13</v>
      </c>
      <c r="O1994" t="s">
        <v>188</v>
      </c>
      <c r="P1994" s="1" t="s">
        <v>30</v>
      </c>
      <c r="Q1994">
        <v>119.4</v>
      </c>
    </row>
    <row r="1995" spans="1:17" x14ac:dyDescent="0.3">
      <c r="A1995">
        <v>2019</v>
      </c>
      <c r="B1995" t="s">
        <v>45</v>
      </c>
      <c r="C1995" t="s">
        <v>127</v>
      </c>
      <c r="D1995" s="1" t="s">
        <v>25</v>
      </c>
      <c r="E1995" s="4">
        <v>149.5</v>
      </c>
      <c r="F1995" s="4">
        <v>142.30000000000001</v>
      </c>
      <c r="G1995" s="4">
        <v>136.80000000000001</v>
      </c>
      <c r="H1995" s="1" t="s">
        <v>195</v>
      </c>
      <c r="K1995">
        <v>2015</v>
      </c>
      <c r="L1995" t="s">
        <v>37</v>
      </c>
      <c r="M1995" t="s">
        <v>78</v>
      </c>
      <c r="N1995" t="s">
        <v>13</v>
      </c>
      <c r="O1995" t="s">
        <v>188</v>
      </c>
      <c r="P1995" s="1" t="s">
        <v>34</v>
      </c>
      <c r="Q1995">
        <v>118.5</v>
      </c>
    </row>
    <row r="1996" spans="1:17" x14ac:dyDescent="0.3">
      <c r="A1996">
        <v>2019</v>
      </c>
      <c r="B1996" t="s">
        <v>45</v>
      </c>
      <c r="C1996" t="s">
        <v>127</v>
      </c>
      <c r="D1996" s="1" t="s">
        <v>12</v>
      </c>
      <c r="E1996" s="4">
        <v>149.1</v>
      </c>
      <c r="F1996" s="4">
        <v>148.69999999999999</v>
      </c>
      <c r="G1996" s="4">
        <v>148</v>
      </c>
      <c r="H1996" s="1" t="s">
        <v>188</v>
      </c>
      <c r="K1996">
        <v>2015</v>
      </c>
      <c r="L1996" t="s">
        <v>37</v>
      </c>
      <c r="M1996" t="s">
        <v>78</v>
      </c>
      <c r="N1996" t="s">
        <v>13</v>
      </c>
      <c r="O1996" t="s">
        <v>188</v>
      </c>
      <c r="P1996" s="1" t="s">
        <v>33</v>
      </c>
      <c r="Q1996">
        <v>117.2</v>
      </c>
    </row>
    <row r="1997" spans="1:17" x14ac:dyDescent="0.3">
      <c r="A1997">
        <v>2019</v>
      </c>
      <c r="B1997" t="s">
        <v>45</v>
      </c>
      <c r="C1997" t="s">
        <v>127</v>
      </c>
      <c r="D1997" s="1" t="s">
        <v>11</v>
      </c>
      <c r="E1997" s="4">
        <v>113.6</v>
      </c>
      <c r="F1997" s="4">
        <v>114</v>
      </c>
      <c r="G1997" s="4">
        <v>114.7</v>
      </c>
      <c r="H1997" s="1" t="s">
        <v>188</v>
      </c>
      <c r="K1997">
        <v>2015</v>
      </c>
      <c r="L1997" t="s">
        <v>37</v>
      </c>
      <c r="M1997" t="s">
        <v>78</v>
      </c>
      <c r="N1997" t="s">
        <v>7</v>
      </c>
      <c r="O1997" t="s">
        <v>188</v>
      </c>
      <c r="P1997" s="1" t="s">
        <v>30</v>
      </c>
      <c r="Q1997">
        <v>111.9</v>
      </c>
    </row>
    <row r="1998" spans="1:17" x14ac:dyDescent="0.3">
      <c r="A1998">
        <v>2019</v>
      </c>
      <c r="B1998" t="s">
        <v>45</v>
      </c>
      <c r="C1998" t="s">
        <v>127</v>
      </c>
      <c r="D1998" s="1" t="s">
        <v>24</v>
      </c>
      <c r="E1998" s="4">
        <v>135</v>
      </c>
      <c r="F1998" s="4">
        <v>129.80000000000001</v>
      </c>
      <c r="G1998" s="4">
        <v>125.2</v>
      </c>
      <c r="H1998" s="1" t="s">
        <v>191</v>
      </c>
      <c r="K1998">
        <v>2015</v>
      </c>
      <c r="L1998" t="s">
        <v>37</v>
      </c>
      <c r="M1998" t="s">
        <v>78</v>
      </c>
      <c r="N1998" t="s">
        <v>7</v>
      </c>
      <c r="O1998" t="s">
        <v>188</v>
      </c>
      <c r="P1998" s="1" t="s">
        <v>34</v>
      </c>
      <c r="Q1998">
        <v>109.2</v>
      </c>
    </row>
    <row r="1999" spans="1:17" x14ac:dyDescent="0.3">
      <c r="A1999">
        <v>2019</v>
      </c>
      <c r="B1999" t="s">
        <v>45</v>
      </c>
      <c r="C1999" t="s">
        <v>127</v>
      </c>
      <c r="D1999" s="1" t="s">
        <v>9</v>
      </c>
      <c r="E1999" s="4">
        <v>209.5</v>
      </c>
      <c r="F1999" s="4">
        <v>217</v>
      </c>
      <c r="G1999" s="4">
        <v>231.5</v>
      </c>
      <c r="H1999" s="1" t="s">
        <v>188</v>
      </c>
      <c r="K1999">
        <v>2015</v>
      </c>
      <c r="L1999" t="s">
        <v>37</v>
      </c>
      <c r="M1999" t="s">
        <v>78</v>
      </c>
      <c r="N1999" t="s">
        <v>7</v>
      </c>
      <c r="O1999" t="s">
        <v>188</v>
      </c>
      <c r="P1999" s="1" t="s">
        <v>33</v>
      </c>
      <c r="Q1999">
        <v>104.5</v>
      </c>
    </row>
    <row r="2000" spans="1:17" x14ac:dyDescent="0.3">
      <c r="A2000">
        <v>2019</v>
      </c>
      <c r="B2000" t="s">
        <v>35</v>
      </c>
      <c r="C2000" t="s">
        <v>128</v>
      </c>
      <c r="D2000" s="1" t="s">
        <v>3</v>
      </c>
      <c r="E2000" s="4">
        <v>136.80000000000001</v>
      </c>
      <c r="F2000" s="4">
        <v>137.6</v>
      </c>
      <c r="G2000" s="4">
        <v>139.4</v>
      </c>
      <c r="H2000" s="1" t="s">
        <v>188</v>
      </c>
      <c r="K2000">
        <v>2015</v>
      </c>
      <c r="L2000" t="s">
        <v>37</v>
      </c>
      <c r="M2000" t="s">
        <v>78</v>
      </c>
      <c r="N2000" t="s">
        <v>16</v>
      </c>
      <c r="O2000" t="s">
        <v>192</v>
      </c>
      <c r="P2000" s="1" t="s">
        <v>30</v>
      </c>
      <c r="Q2000">
        <v>125.7</v>
      </c>
    </row>
    <row r="2001" spans="1:17" x14ac:dyDescent="0.3">
      <c r="A2001">
        <v>2019</v>
      </c>
      <c r="B2001" t="s">
        <v>35</v>
      </c>
      <c r="C2001" t="s">
        <v>128</v>
      </c>
      <c r="D2001" s="1" t="s">
        <v>17</v>
      </c>
      <c r="E2001" s="4">
        <v>150.5</v>
      </c>
      <c r="F2001" s="4">
        <v>147.69999999999999</v>
      </c>
      <c r="G2001" s="4">
        <v>143.30000000000001</v>
      </c>
      <c r="H2001" s="1" t="s">
        <v>189</v>
      </c>
      <c r="K2001">
        <v>2015</v>
      </c>
      <c r="L2001" t="s">
        <v>37</v>
      </c>
      <c r="M2001" t="s">
        <v>78</v>
      </c>
      <c r="N2001" t="s">
        <v>16</v>
      </c>
      <c r="O2001" t="s">
        <v>192</v>
      </c>
      <c r="P2001" s="1" t="s">
        <v>34</v>
      </c>
      <c r="Q2001">
        <v>126.9</v>
      </c>
    </row>
    <row r="2002" spans="1:17" x14ac:dyDescent="0.3">
      <c r="A2002">
        <v>2019</v>
      </c>
      <c r="B2002" t="s">
        <v>35</v>
      </c>
      <c r="C2002" t="s">
        <v>128</v>
      </c>
      <c r="D2002" s="1" t="s">
        <v>19</v>
      </c>
      <c r="E2002" s="4">
        <v>149.9</v>
      </c>
      <c r="F2002" s="4">
        <v>146.5</v>
      </c>
      <c r="G2002" s="4">
        <v>141.4</v>
      </c>
      <c r="H2002" s="1" t="s">
        <v>189</v>
      </c>
      <c r="K2002">
        <v>2015</v>
      </c>
      <c r="L2002" t="s">
        <v>37</v>
      </c>
      <c r="M2002" t="s">
        <v>78</v>
      </c>
      <c r="N2002" t="s">
        <v>16</v>
      </c>
      <c r="O2002" t="s">
        <v>192</v>
      </c>
      <c r="P2002" s="1" t="s">
        <v>33</v>
      </c>
      <c r="Q2002">
        <v>130.1</v>
      </c>
    </row>
    <row r="2003" spans="1:17" x14ac:dyDescent="0.3">
      <c r="A2003">
        <v>2019</v>
      </c>
      <c r="B2003" t="s">
        <v>35</v>
      </c>
      <c r="C2003" t="s">
        <v>128</v>
      </c>
      <c r="D2003" s="1" t="s">
        <v>26</v>
      </c>
      <c r="E2003" s="4">
        <v>155.5</v>
      </c>
      <c r="F2003" s="4">
        <v>150.30000000000001</v>
      </c>
      <c r="G2003" s="4">
        <v>146.6</v>
      </c>
      <c r="H2003" s="1" t="s">
        <v>26</v>
      </c>
      <c r="K2003">
        <v>2015</v>
      </c>
      <c r="L2003" t="s">
        <v>37</v>
      </c>
      <c r="M2003" t="s">
        <v>78</v>
      </c>
      <c r="N2003" t="s">
        <v>27</v>
      </c>
      <c r="O2003" t="s">
        <v>192</v>
      </c>
      <c r="P2003" s="1" t="s">
        <v>30</v>
      </c>
      <c r="Q2003">
        <v>111.6</v>
      </c>
    </row>
    <row r="2004" spans="1:17" x14ac:dyDescent="0.3">
      <c r="A2004">
        <v>2019</v>
      </c>
      <c r="B2004" t="s">
        <v>35</v>
      </c>
      <c r="C2004" t="s">
        <v>128</v>
      </c>
      <c r="D2004" s="1" t="s">
        <v>5</v>
      </c>
      <c r="E2004" s="4">
        <v>139.1</v>
      </c>
      <c r="F2004" s="4">
        <v>141.5</v>
      </c>
      <c r="G2004" s="4">
        <v>145.30000000000001</v>
      </c>
      <c r="H2004" s="1" t="s">
        <v>188</v>
      </c>
      <c r="K2004">
        <v>2015</v>
      </c>
      <c r="L2004" t="s">
        <v>37</v>
      </c>
      <c r="M2004" t="s">
        <v>78</v>
      </c>
      <c r="N2004" t="s">
        <v>27</v>
      </c>
      <c r="O2004" t="s">
        <v>192</v>
      </c>
      <c r="P2004" s="1" t="s">
        <v>34</v>
      </c>
      <c r="Q2004">
        <v>111.7</v>
      </c>
    </row>
    <row r="2005" spans="1:17" x14ac:dyDescent="0.3">
      <c r="A2005">
        <v>2019</v>
      </c>
      <c r="B2005" t="s">
        <v>35</v>
      </c>
      <c r="C2005" t="s">
        <v>128</v>
      </c>
      <c r="D2005" s="1" t="s">
        <v>15</v>
      </c>
      <c r="E2005" s="4">
        <v>137.19999999999999</v>
      </c>
      <c r="F2005" s="4">
        <v>137.5</v>
      </c>
      <c r="G2005" s="4">
        <v>138</v>
      </c>
      <c r="H2005" s="1" t="s">
        <v>188</v>
      </c>
      <c r="K2005">
        <v>2015</v>
      </c>
      <c r="L2005" t="s">
        <v>37</v>
      </c>
      <c r="M2005" t="s">
        <v>78</v>
      </c>
      <c r="N2005" t="s">
        <v>27</v>
      </c>
      <c r="O2005" t="s">
        <v>192</v>
      </c>
      <c r="P2005" s="1" t="s">
        <v>33</v>
      </c>
      <c r="Q2005">
        <v>111.8</v>
      </c>
    </row>
    <row r="2006" spans="1:17" x14ac:dyDescent="0.3">
      <c r="A2006">
        <v>2019</v>
      </c>
      <c r="B2006" t="s">
        <v>35</v>
      </c>
      <c r="C2006" t="s">
        <v>128</v>
      </c>
      <c r="D2006" s="1" t="s">
        <v>18</v>
      </c>
      <c r="E2006" s="4">
        <v>146.1</v>
      </c>
      <c r="F2006" s="4">
        <v>139.69999999999999</v>
      </c>
      <c r="G2006" s="4">
        <v>130.80000000000001</v>
      </c>
      <c r="H2006" s="1" t="s">
        <v>189</v>
      </c>
      <c r="K2006">
        <v>2015</v>
      </c>
      <c r="L2006" t="s">
        <v>37</v>
      </c>
      <c r="M2006" t="s">
        <v>78</v>
      </c>
      <c r="N2006" t="s">
        <v>14</v>
      </c>
      <c r="O2006" t="s">
        <v>188</v>
      </c>
      <c r="P2006" s="1" t="s">
        <v>30</v>
      </c>
      <c r="Q2006">
        <v>128.69999999999999</v>
      </c>
    </row>
    <row r="2007" spans="1:17" x14ac:dyDescent="0.3">
      <c r="A2007">
        <v>2019</v>
      </c>
      <c r="B2007" t="s">
        <v>35</v>
      </c>
      <c r="C2007" t="s">
        <v>128</v>
      </c>
      <c r="D2007" s="1" t="s">
        <v>8</v>
      </c>
      <c r="E2007" s="4">
        <v>135.80000000000001</v>
      </c>
      <c r="F2007" s="4">
        <v>136.4</v>
      </c>
      <c r="G2007" s="4">
        <v>137</v>
      </c>
      <c r="H2007" s="1" t="s">
        <v>188</v>
      </c>
      <c r="K2007">
        <v>2015</v>
      </c>
      <c r="L2007" t="s">
        <v>37</v>
      </c>
      <c r="M2007" t="s">
        <v>78</v>
      </c>
      <c r="N2007" t="s">
        <v>14</v>
      </c>
      <c r="O2007" t="s">
        <v>188</v>
      </c>
      <c r="P2007" s="1" t="s">
        <v>34</v>
      </c>
      <c r="Q2007">
        <v>129.1</v>
      </c>
    </row>
    <row r="2008" spans="1:17" x14ac:dyDescent="0.3">
      <c r="A2008">
        <v>2019</v>
      </c>
      <c r="B2008" t="s">
        <v>35</v>
      </c>
      <c r="C2008" t="s">
        <v>128</v>
      </c>
      <c r="D2008" s="1" t="s">
        <v>21</v>
      </c>
      <c r="E2008" s="4">
        <v>145.30000000000001</v>
      </c>
      <c r="F2008" s="4">
        <v>138.4</v>
      </c>
      <c r="G2008" s="4">
        <v>127.1</v>
      </c>
      <c r="H2008" s="1" t="s">
        <v>190</v>
      </c>
      <c r="K2008">
        <v>2015</v>
      </c>
      <c r="L2008" t="s">
        <v>37</v>
      </c>
      <c r="M2008" t="s">
        <v>78</v>
      </c>
      <c r="N2008" t="s">
        <v>14</v>
      </c>
      <c r="O2008" t="s">
        <v>188</v>
      </c>
      <c r="P2008" s="1" t="s">
        <v>33</v>
      </c>
      <c r="Q2008">
        <v>129.5</v>
      </c>
    </row>
    <row r="2009" spans="1:17" x14ac:dyDescent="0.3">
      <c r="A2009">
        <v>2019</v>
      </c>
      <c r="B2009" t="s">
        <v>35</v>
      </c>
      <c r="C2009" t="s">
        <v>128</v>
      </c>
      <c r="D2009" s="1" t="s">
        <v>29</v>
      </c>
      <c r="E2009" s="4">
        <v>141</v>
      </c>
      <c r="F2009" s="4">
        <v>139.9</v>
      </c>
      <c r="G2009" s="4">
        <v>138.6</v>
      </c>
      <c r="H2009" s="1" t="s">
        <v>206</v>
      </c>
      <c r="K2009">
        <v>2015</v>
      </c>
      <c r="L2009" t="s">
        <v>37</v>
      </c>
      <c r="M2009" t="s">
        <v>78</v>
      </c>
      <c r="N2009" t="s">
        <v>10</v>
      </c>
      <c r="O2009" t="s">
        <v>188</v>
      </c>
      <c r="P2009" s="1" t="s">
        <v>30</v>
      </c>
      <c r="Q2009">
        <v>121.5</v>
      </c>
    </row>
    <row r="2010" spans="1:17" x14ac:dyDescent="0.3">
      <c r="A2010">
        <v>2019</v>
      </c>
      <c r="B2010" t="s">
        <v>35</v>
      </c>
      <c r="C2010" t="s">
        <v>128</v>
      </c>
      <c r="D2010" s="1" t="s">
        <v>23</v>
      </c>
      <c r="E2010" s="4">
        <v>149.9</v>
      </c>
      <c r="F2010" s="4">
        <v>145.6</v>
      </c>
      <c r="G2010" s="4">
        <v>138.5</v>
      </c>
      <c r="H2010" s="1" t="s">
        <v>23</v>
      </c>
      <c r="K2010">
        <v>2015</v>
      </c>
      <c r="L2010" t="s">
        <v>37</v>
      </c>
      <c r="M2010" t="s">
        <v>78</v>
      </c>
      <c r="N2010" t="s">
        <v>10</v>
      </c>
      <c r="O2010" t="s">
        <v>188</v>
      </c>
      <c r="P2010" s="1" t="s">
        <v>34</v>
      </c>
      <c r="Q2010">
        <v>124.8</v>
      </c>
    </row>
    <row r="2011" spans="1:17" x14ac:dyDescent="0.3">
      <c r="A2011">
        <v>2019</v>
      </c>
      <c r="B2011" t="s">
        <v>35</v>
      </c>
      <c r="C2011" t="s">
        <v>128</v>
      </c>
      <c r="D2011" s="1" t="s">
        <v>22</v>
      </c>
      <c r="E2011" s="4">
        <v>150.1</v>
      </c>
      <c r="F2011" s="4">
        <v>143.69999999999999</v>
      </c>
      <c r="G2011" s="4">
        <v>136.6</v>
      </c>
      <c r="H2011" s="1" t="s">
        <v>20</v>
      </c>
      <c r="K2011">
        <v>2015</v>
      </c>
      <c r="L2011" t="s">
        <v>37</v>
      </c>
      <c r="M2011" t="s">
        <v>78</v>
      </c>
      <c r="N2011" t="s">
        <v>10</v>
      </c>
      <c r="O2011" t="s">
        <v>188</v>
      </c>
      <c r="P2011" s="1" t="s">
        <v>33</v>
      </c>
      <c r="Q2011">
        <v>131.30000000000001</v>
      </c>
    </row>
    <row r="2012" spans="1:17" x14ac:dyDescent="0.3">
      <c r="A2012">
        <v>2019</v>
      </c>
      <c r="B2012" t="s">
        <v>35</v>
      </c>
      <c r="C2012" t="s">
        <v>128</v>
      </c>
      <c r="D2012" s="1" t="s">
        <v>20</v>
      </c>
      <c r="E2012" s="4">
        <v>0</v>
      </c>
      <c r="F2012" s="4">
        <v>148.5</v>
      </c>
      <c r="G2012" s="4">
        <v>148.5</v>
      </c>
      <c r="H2012" s="1" t="s">
        <v>20</v>
      </c>
      <c r="K2012">
        <v>2015</v>
      </c>
      <c r="L2012" t="s">
        <v>37</v>
      </c>
      <c r="M2012" t="s">
        <v>78</v>
      </c>
      <c r="N2012" t="s">
        <v>25</v>
      </c>
      <c r="O2012" t="s">
        <v>195</v>
      </c>
      <c r="P2012" s="1" t="s">
        <v>30</v>
      </c>
      <c r="Q2012">
        <v>116.2</v>
      </c>
    </row>
    <row r="2013" spans="1:17" x14ac:dyDescent="0.3">
      <c r="A2013">
        <v>2019</v>
      </c>
      <c r="B2013" t="s">
        <v>35</v>
      </c>
      <c r="C2013" t="s">
        <v>128</v>
      </c>
      <c r="D2013" s="1" t="s">
        <v>4</v>
      </c>
      <c r="E2013" s="4">
        <v>153</v>
      </c>
      <c r="F2013" s="4">
        <v>152</v>
      </c>
      <c r="G2013" s="4">
        <v>150.1</v>
      </c>
      <c r="H2013" s="1" t="s">
        <v>188</v>
      </c>
      <c r="K2013">
        <v>2015</v>
      </c>
      <c r="L2013" t="s">
        <v>37</v>
      </c>
      <c r="M2013" t="s">
        <v>78</v>
      </c>
      <c r="N2013" t="s">
        <v>25</v>
      </c>
      <c r="O2013" t="s">
        <v>195</v>
      </c>
      <c r="P2013" s="1" t="s">
        <v>34</v>
      </c>
      <c r="Q2013">
        <v>115.9</v>
      </c>
    </row>
    <row r="2014" spans="1:17" x14ac:dyDescent="0.3">
      <c r="A2014">
        <v>2019</v>
      </c>
      <c r="B2014" t="s">
        <v>35</v>
      </c>
      <c r="C2014" t="s">
        <v>128</v>
      </c>
      <c r="D2014" s="1" t="s">
        <v>6</v>
      </c>
      <c r="E2014" s="4">
        <v>142.5</v>
      </c>
      <c r="F2014" s="4">
        <v>142.19999999999999</v>
      </c>
      <c r="G2014" s="4">
        <v>141.69999999999999</v>
      </c>
      <c r="H2014" s="1" t="s">
        <v>188</v>
      </c>
      <c r="K2014">
        <v>2015</v>
      </c>
      <c r="L2014" t="s">
        <v>37</v>
      </c>
      <c r="M2014" t="s">
        <v>78</v>
      </c>
      <c r="N2014" t="s">
        <v>25</v>
      </c>
      <c r="O2014" t="s">
        <v>195</v>
      </c>
      <c r="P2014" s="1" t="s">
        <v>33</v>
      </c>
      <c r="Q2014">
        <v>115.6</v>
      </c>
    </row>
    <row r="2015" spans="1:17" x14ac:dyDescent="0.3">
      <c r="A2015">
        <v>2019</v>
      </c>
      <c r="B2015" t="s">
        <v>35</v>
      </c>
      <c r="C2015" t="s">
        <v>128</v>
      </c>
      <c r="D2015" s="1" t="s">
        <v>28</v>
      </c>
      <c r="E2015" s="4">
        <v>142.19999999999999</v>
      </c>
      <c r="F2015" s="4">
        <v>137.4</v>
      </c>
      <c r="G2015" s="4">
        <v>132.4</v>
      </c>
      <c r="H2015" s="1" t="s">
        <v>192</v>
      </c>
      <c r="K2015">
        <v>2015</v>
      </c>
      <c r="L2015" t="s">
        <v>37</v>
      </c>
      <c r="M2015" t="s">
        <v>78</v>
      </c>
      <c r="N2015" t="s">
        <v>12</v>
      </c>
      <c r="O2015" t="s">
        <v>188</v>
      </c>
      <c r="P2015" s="1" t="s">
        <v>30</v>
      </c>
      <c r="Q2015">
        <v>119.8</v>
      </c>
    </row>
    <row r="2016" spans="1:17" x14ac:dyDescent="0.3">
      <c r="A2016">
        <v>2019</v>
      </c>
      <c r="B2016" t="s">
        <v>35</v>
      </c>
      <c r="C2016" t="s">
        <v>128</v>
      </c>
      <c r="D2016" s="1" t="s">
        <v>13</v>
      </c>
      <c r="E2016" s="4">
        <v>137.4</v>
      </c>
      <c r="F2016" s="4">
        <v>133.6</v>
      </c>
      <c r="G2016" s="4">
        <v>128.30000000000001</v>
      </c>
      <c r="H2016" s="1" t="s">
        <v>188</v>
      </c>
      <c r="K2016">
        <v>2015</v>
      </c>
      <c r="L2016" t="s">
        <v>37</v>
      </c>
      <c r="M2016" t="s">
        <v>78</v>
      </c>
      <c r="N2016" t="s">
        <v>12</v>
      </c>
      <c r="O2016" t="s">
        <v>188</v>
      </c>
      <c r="P2016" s="1" t="s">
        <v>34</v>
      </c>
      <c r="Q2016">
        <v>122.4</v>
      </c>
    </row>
    <row r="2017" spans="1:17" x14ac:dyDescent="0.3">
      <c r="A2017">
        <v>2019</v>
      </c>
      <c r="B2017" t="s">
        <v>35</v>
      </c>
      <c r="C2017" t="s">
        <v>128</v>
      </c>
      <c r="D2017" s="1" t="s">
        <v>7</v>
      </c>
      <c r="E2017" s="4">
        <v>124.1</v>
      </c>
      <c r="F2017" s="4">
        <v>122</v>
      </c>
      <c r="G2017" s="4">
        <v>118.4</v>
      </c>
      <c r="H2017" s="1" t="s">
        <v>188</v>
      </c>
      <c r="K2017">
        <v>2015</v>
      </c>
      <c r="L2017" t="s">
        <v>37</v>
      </c>
      <c r="M2017" t="s">
        <v>78</v>
      </c>
      <c r="N2017" t="s">
        <v>12</v>
      </c>
      <c r="O2017" t="s">
        <v>188</v>
      </c>
      <c r="P2017" s="1" t="s">
        <v>33</v>
      </c>
      <c r="Q2017">
        <v>127.7</v>
      </c>
    </row>
    <row r="2018" spans="1:17" x14ac:dyDescent="0.3">
      <c r="A2018">
        <v>2019</v>
      </c>
      <c r="B2018" t="s">
        <v>35</v>
      </c>
      <c r="C2018" t="s">
        <v>128</v>
      </c>
      <c r="D2018" s="1" t="s">
        <v>16</v>
      </c>
      <c r="E2018" s="4">
        <v>162.80000000000001</v>
      </c>
      <c r="F2018" s="4">
        <v>163.4</v>
      </c>
      <c r="G2018" s="4">
        <v>164.9</v>
      </c>
      <c r="H2018" s="1" t="s">
        <v>192</v>
      </c>
      <c r="K2018">
        <v>2015</v>
      </c>
      <c r="L2018" t="s">
        <v>37</v>
      </c>
      <c r="M2018" t="s">
        <v>78</v>
      </c>
      <c r="N2018" t="s">
        <v>11</v>
      </c>
      <c r="O2018" t="s">
        <v>188</v>
      </c>
      <c r="P2018" s="1" t="s">
        <v>30</v>
      </c>
      <c r="Q2018">
        <v>97.8</v>
      </c>
    </row>
    <row r="2019" spans="1:17" x14ac:dyDescent="0.3">
      <c r="A2019">
        <v>2019</v>
      </c>
      <c r="B2019" t="s">
        <v>35</v>
      </c>
      <c r="C2019" t="s">
        <v>128</v>
      </c>
      <c r="D2019" s="1" t="s">
        <v>27</v>
      </c>
      <c r="E2019" s="4">
        <v>134.9</v>
      </c>
      <c r="F2019" s="4">
        <v>134.1</v>
      </c>
      <c r="G2019" s="4">
        <v>133</v>
      </c>
      <c r="H2019" s="1" t="s">
        <v>192</v>
      </c>
      <c r="K2019">
        <v>2015</v>
      </c>
      <c r="L2019" t="s">
        <v>37</v>
      </c>
      <c r="M2019" t="s">
        <v>78</v>
      </c>
      <c r="N2019" t="s">
        <v>11</v>
      </c>
      <c r="O2019" t="s">
        <v>188</v>
      </c>
      <c r="P2019" s="1" t="s">
        <v>34</v>
      </c>
      <c r="Q2019">
        <v>95.7</v>
      </c>
    </row>
    <row r="2020" spans="1:17" x14ac:dyDescent="0.3">
      <c r="A2020">
        <v>2019</v>
      </c>
      <c r="B2020" t="s">
        <v>35</v>
      </c>
      <c r="C2020" t="s">
        <v>128</v>
      </c>
      <c r="D2020" s="1" t="s">
        <v>14</v>
      </c>
      <c r="E2020" s="4">
        <v>156.19999999999999</v>
      </c>
      <c r="F2020" s="4">
        <v>154.9</v>
      </c>
      <c r="G2020" s="4">
        <v>153.5</v>
      </c>
      <c r="H2020" s="1" t="s">
        <v>188</v>
      </c>
      <c r="K2020">
        <v>2015</v>
      </c>
      <c r="L2020" t="s">
        <v>37</v>
      </c>
      <c r="M2020" t="s">
        <v>78</v>
      </c>
      <c r="N2020" t="s">
        <v>11</v>
      </c>
      <c r="O2020" t="s">
        <v>188</v>
      </c>
      <c r="P2020" s="1" t="s">
        <v>33</v>
      </c>
      <c r="Q2020">
        <v>91.6</v>
      </c>
    </row>
    <row r="2021" spans="1:17" x14ac:dyDescent="0.3">
      <c r="A2021">
        <v>2019</v>
      </c>
      <c r="B2021" t="s">
        <v>35</v>
      </c>
      <c r="C2021" t="s">
        <v>128</v>
      </c>
      <c r="D2021" s="1" t="s">
        <v>10</v>
      </c>
      <c r="E2021" s="4">
        <v>121.5</v>
      </c>
      <c r="F2021" s="4">
        <v>121</v>
      </c>
      <c r="G2021" s="4">
        <v>119.9</v>
      </c>
      <c r="H2021" s="1" t="s">
        <v>188</v>
      </c>
      <c r="K2021">
        <v>2015</v>
      </c>
      <c r="L2021" t="s">
        <v>37</v>
      </c>
      <c r="M2021" t="s">
        <v>78</v>
      </c>
      <c r="N2021" t="s">
        <v>24</v>
      </c>
      <c r="O2021" t="s">
        <v>191</v>
      </c>
      <c r="P2021" s="1" t="s">
        <v>30</v>
      </c>
      <c r="Q2021">
        <v>111.9</v>
      </c>
    </row>
    <row r="2022" spans="1:17" x14ac:dyDescent="0.3">
      <c r="A2022">
        <v>2019</v>
      </c>
      <c r="B2022" t="s">
        <v>35</v>
      </c>
      <c r="C2022" t="s">
        <v>128</v>
      </c>
      <c r="D2022" s="1" t="s">
        <v>25</v>
      </c>
      <c r="E2022" s="4">
        <v>143.4</v>
      </c>
      <c r="F2022" s="4">
        <v>137.1</v>
      </c>
      <c r="G2022" s="4">
        <v>132.19999999999999</v>
      </c>
      <c r="H2022" s="1" t="s">
        <v>195</v>
      </c>
      <c r="K2022">
        <v>2015</v>
      </c>
      <c r="L2022" t="s">
        <v>37</v>
      </c>
      <c r="M2022" t="s">
        <v>78</v>
      </c>
      <c r="N2022" t="s">
        <v>24</v>
      </c>
      <c r="O2022" t="s">
        <v>191</v>
      </c>
      <c r="P2022" s="1" t="s">
        <v>34</v>
      </c>
      <c r="Q2022">
        <v>110.1</v>
      </c>
    </row>
    <row r="2023" spans="1:17" x14ac:dyDescent="0.3">
      <c r="A2023">
        <v>2019</v>
      </c>
      <c r="B2023" t="s">
        <v>35</v>
      </c>
      <c r="C2023" t="s">
        <v>128</v>
      </c>
      <c r="D2023" s="1" t="s">
        <v>12</v>
      </c>
      <c r="E2023" s="4">
        <v>139.19999999999999</v>
      </c>
      <c r="F2023" s="4">
        <v>139.69999999999999</v>
      </c>
      <c r="G2023" s="4">
        <v>140.80000000000001</v>
      </c>
      <c r="H2023" s="1" t="s">
        <v>188</v>
      </c>
      <c r="K2023">
        <v>2015</v>
      </c>
      <c r="L2023" t="s">
        <v>37</v>
      </c>
      <c r="M2023" t="s">
        <v>78</v>
      </c>
      <c r="N2023" t="s">
        <v>24</v>
      </c>
      <c r="O2023" t="s">
        <v>191</v>
      </c>
      <c r="P2023" s="1" t="s">
        <v>33</v>
      </c>
      <c r="Q2023">
        <v>108.4</v>
      </c>
    </row>
    <row r="2024" spans="1:17" x14ac:dyDescent="0.3">
      <c r="A2024">
        <v>2019</v>
      </c>
      <c r="B2024" t="s">
        <v>35</v>
      </c>
      <c r="C2024" t="s">
        <v>128</v>
      </c>
      <c r="D2024" s="1" t="s">
        <v>11</v>
      </c>
      <c r="E2024" s="4">
        <v>108.3</v>
      </c>
      <c r="F2024" s="4">
        <v>109</v>
      </c>
      <c r="G2024" s="4">
        <v>110.4</v>
      </c>
      <c r="H2024" s="1" t="s">
        <v>188</v>
      </c>
      <c r="K2024">
        <v>2015</v>
      </c>
      <c r="L2024" t="s">
        <v>37</v>
      </c>
      <c r="M2024" t="s">
        <v>78</v>
      </c>
      <c r="N2024" t="s">
        <v>9</v>
      </c>
      <c r="O2024" t="s">
        <v>188</v>
      </c>
      <c r="P2024" s="1" t="s">
        <v>30</v>
      </c>
      <c r="Q2024">
        <v>127.5</v>
      </c>
    </row>
    <row r="2025" spans="1:17" x14ac:dyDescent="0.3">
      <c r="A2025">
        <v>2019</v>
      </c>
      <c r="B2025" t="s">
        <v>35</v>
      </c>
      <c r="C2025" t="s">
        <v>128</v>
      </c>
      <c r="D2025" s="1" t="s">
        <v>24</v>
      </c>
      <c r="E2025" s="4">
        <v>129.19999999999999</v>
      </c>
      <c r="F2025" s="4">
        <v>123.9</v>
      </c>
      <c r="G2025" s="4">
        <v>119.2</v>
      </c>
      <c r="H2025" s="1" t="s">
        <v>191</v>
      </c>
      <c r="K2025">
        <v>2015</v>
      </c>
      <c r="L2025" t="s">
        <v>37</v>
      </c>
      <c r="M2025" t="s">
        <v>78</v>
      </c>
      <c r="N2025" t="s">
        <v>9</v>
      </c>
      <c r="O2025" t="s">
        <v>188</v>
      </c>
      <c r="P2025" s="1" t="s">
        <v>34</v>
      </c>
      <c r="Q2025">
        <v>128.6</v>
      </c>
    </row>
    <row r="2026" spans="1:17" x14ac:dyDescent="0.3">
      <c r="A2026">
        <v>2019</v>
      </c>
      <c r="B2026" t="s">
        <v>35</v>
      </c>
      <c r="C2026" t="s">
        <v>128</v>
      </c>
      <c r="D2026" s="1" t="s">
        <v>9</v>
      </c>
      <c r="E2026" s="4">
        <v>128.69999999999999</v>
      </c>
      <c r="F2026" s="4">
        <v>129.69999999999999</v>
      </c>
      <c r="G2026" s="4">
        <v>131.6</v>
      </c>
      <c r="H2026" s="1" t="s">
        <v>188</v>
      </c>
      <c r="K2026">
        <v>2015</v>
      </c>
      <c r="L2026" t="s">
        <v>37</v>
      </c>
      <c r="M2026" t="s">
        <v>78</v>
      </c>
      <c r="N2026" t="s">
        <v>9</v>
      </c>
      <c r="O2026" t="s">
        <v>188</v>
      </c>
      <c r="P2026" s="1" t="s">
        <v>33</v>
      </c>
      <c r="Q2026">
        <v>130.80000000000001</v>
      </c>
    </row>
    <row r="2027" spans="1:17" x14ac:dyDescent="0.3">
      <c r="A2027">
        <v>2019</v>
      </c>
      <c r="B2027" t="s">
        <v>31</v>
      </c>
      <c r="C2027" t="s">
        <v>129</v>
      </c>
      <c r="D2027" s="1" t="s">
        <v>3</v>
      </c>
      <c r="E2027" s="4">
        <v>136.6</v>
      </c>
      <c r="F2027" s="4">
        <v>137.1</v>
      </c>
      <c r="G2027" s="4">
        <v>138.30000000000001</v>
      </c>
      <c r="H2027" s="1" t="s">
        <v>188</v>
      </c>
      <c r="K2027">
        <v>2015</v>
      </c>
      <c r="L2027" t="s">
        <v>41</v>
      </c>
      <c r="M2027" t="s">
        <v>79</v>
      </c>
      <c r="N2027" t="s">
        <v>3</v>
      </c>
      <c r="O2027" t="s">
        <v>188</v>
      </c>
      <c r="P2027" s="1" t="s">
        <v>30</v>
      </c>
      <c r="Q2027">
        <v>124.7</v>
      </c>
    </row>
    <row r="2028" spans="1:17" x14ac:dyDescent="0.3">
      <c r="A2028">
        <v>2019</v>
      </c>
      <c r="B2028" t="s">
        <v>31</v>
      </c>
      <c r="C2028" t="s">
        <v>129</v>
      </c>
      <c r="D2028" s="1" t="s">
        <v>17</v>
      </c>
      <c r="E2028" s="4">
        <v>150.6</v>
      </c>
      <c r="F2028" s="4">
        <v>147.6</v>
      </c>
      <c r="G2028" s="4">
        <v>143</v>
      </c>
      <c r="H2028" s="1" t="s">
        <v>189</v>
      </c>
      <c r="K2028">
        <v>2015</v>
      </c>
      <c r="L2028" t="s">
        <v>41</v>
      </c>
      <c r="M2028" t="s">
        <v>79</v>
      </c>
      <c r="N2028" t="s">
        <v>3</v>
      </c>
      <c r="O2028" t="s">
        <v>188</v>
      </c>
      <c r="P2028" s="1" t="s">
        <v>34</v>
      </c>
      <c r="Q2028">
        <v>124.2</v>
      </c>
    </row>
    <row r="2029" spans="1:17" x14ac:dyDescent="0.3">
      <c r="A2029">
        <v>2019</v>
      </c>
      <c r="B2029" t="s">
        <v>31</v>
      </c>
      <c r="C2029" t="s">
        <v>129</v>
      </c>
      <c r="D2029" s="1" t="s">
        <v>19</v>
      </c>
      <c r="E2029" s="4">
        <v>149.9</v>
      </c>
      <c r="F2029" s="4">
        <v>146.4</v>
      </c>
      <c r="G2029" s="4">
        <v>141.1</v>
      </c>
      <c r="H2029" s="1" t="s">
        <v>189</v>
      </c>
      <c r="K2029">
        <v>2015</v>
      </c>
      <c r="L2029" t="s">
        <v>41</v>
      </c>
      <c r="M2029" t="s">
        <v>79</v>
      </c>
      <c r="N2029" t="s">
        <v>3</v>
      </c>
      <c r="O2029" t="s">
        <v>188</v>
      </c>
      <c r="P2029" s="1" t="s">
        <v>33</v>
      </c>
      <c r="Q2029">
        <v>123.1</v>
      </c>
    </row>
    <row r="2030" spans="1:17" x14ac:dyDescent="0.3">
      <c r="A2030">
        <v>2019</v>
      </c>
      <c r="B2030" t="s">
        <v>31</v>
      </c>
      <c r="C2030" t="s">
        <v>129</v>
      </c>
      <c r="D2030" s="1" t="s">
        <v>26</v>
      </c>
      <c r="E2030" s="4">
        <v>155.19999999999999</v>
      </c>
      <c r="F2030" s="4">
        <v>150.19999999999999</v>
      </c>
      <c r="G2030" s="4">
        <v>146.6</v>
      </c>
      <c r="H2030" s="1" t="s">
        <v>26</v>
      </c>
      <c r="K2030">
        <v>2015</v>
      </c>
      <c r="L2030" t="s">
        <v>41</v>
      </c>
      <c r="M2030" t="s">
        <v>79</v>
      </c>
      <c r="N2030" t="s">
        <v>17</v>
      </c>
      <c r="O2030" t="s">
        <v>189</v>
      </c>
      <c r="P2030" s="1" t="s">
        <v>30</v>
      </c>
      <c r="Q2030">
        <v>129.5</v>
      </c>
    </row>
    <row r="2031" spans="1:17" x14ac:dyDescent="0.3">
      <c r="A2031">
        <v>2019</v>
      </c>
      <c r="B2031" t="s">
        <v>31</v>
      </c>
      <c r="C2031" t="s">
        <v>129</v>
      </c>
      <c r="D2031" s="1" t="s">
        <v>5</v>
      </c>
      <c r="E2031" s="4">
        <v>138.19999999999999</v>
      </c>
      <c r="F2031" s="4">
        <v>140.19999999999999</v>
      </c>
      <c r="G2031" s="4">
        <v>143.5</v>
      </c>
      <c r="H2031" s="1" t="s">
        <v>188</v>
      </c>
      <c r="K2031">
        <v>2015</v>
      </c>
      <c r="L2031" t="s">
        <v>41</v>
      </c>
      <c r="M2031" t="s">
        <v>79</v>
      </c>
      <c r="N2031" t="s">
        <v>17</v>
      </c>
      <c r="O2031" t="s">
        <v>189</v>
      </c>
      <c r="P2031" s="1" t="s">
        <v>34</v>
      </c>
      <c r="Q2031">
        <v>127.2</v>
      </c>
    </row>
    <row r="2032" spans="1:17" x14ac:dyDescent="0.3">
      <c r="A2032">
        <v>2019</v>
      </c>
      <c r="B2032" t="s">
        <v>31</v>
      </c>
      <c r="C2032" t="s">
        <v>129</v>
      </c>
      <c r="D2032" s="1" t="s">
        <v>15</v>
      </c>
      <c r="E2032" s="4">
        <v>137.4</v>
      </c>
      <c r="F2032" s="4">
        <v>137.4</v>
      </c>
      <c r="G2032" s="4">
        <v>137.30000000000001</v>
      </c>
      <c r="H2032" s="1" t="s">
        <v>188</v>
      </c>
      <c r="K2032">
        <v>2015</v>
      </c>
      <c r="L2032" t="s">
        <v>41</v>
      </c>
      <c r="M2032" t="s">
        <v>79</v>
      </c>
      <c r="N2032" t="s">
        <v>17</v>
      </c>
      <c r="O2032" t="s">
        <v>189</v>
      </c>
      <c r="P2032" s="1" t="s">
        <v>33</v>
      </c>
      <c r="Q2032">
        <v>123.7</v>
      </c>
    </row>
    <row r="2033" spans="1:17" x14ac:dyDescent="0.3">
      <c r="A2033">
        <v>2019</v>
      </c>
      <c r="B2033" t="s">
        <v>31</v>
      </c>
      <c r="C2033" t="s">
        <v>129</v>
      </c>
      <c r="D2033" s="1" t="s">
        <v>18</v>
      </c>
      <c r="E2033" s="4">
        <v>145.1</v>
      </c>
      <c r="F2033" s="4">
        <v>139</v>
      </c>
      <c r="G2033" s="4">
        <v>130.4</v>
      </c>
      <c r="H2033" s="1" t="s">
        <v>189</v>
      </c>
      <c r="K2033">
        <v>2015</v>
      </c>
      <c r="L2033" t="s">
        <v>41</v>
      </c>
      <c r="M2033" t="s">
        <v>79</v>
      </c>
      <c r="N2033" t="s">
        <v>19</v>
      </c>
      <c r="O2033" t="s">
        <v>189</v>
      </c>
      <c r="P2033" s="1" t="s">
        <v>30</v>
      </c>
      <c r="Q2033">
        <v>129</v>
      </c>
    </row>
    <row r="2034" spans="1:17" x14ac:dyDescent="0.3">
      <c r="A2034">
        <v>2019</v>
      </c>
      <c r="B2034" t="s">
        <v>31</v>
      </c>
      <c r="C2034" t="s">
        <v>129</v>
      </c>
      <c r="D2034" s="1" t="s">
        <v>8</v>
      </c>
      <c r="E2034" s="4">
        <v>135.5</v>
      </c>
      <c r="F2034" s="4">
        <v>135.4</v>
      </c>
      <c r="G2034" s="4">
        <v>135.19999999999999</v>
      </c>
      <c r="H2034" s="1" t="s">
        <v>188</v>
      </c>
      <c r="K2034">
        <v>2015</v>
      </c>
      <c r="L2034" t="s">
        <v>41</v>
      </c>
      <c r="M2034" t="s">
        <v>79</v>
      </c>
      <c r="N2034" t="s">
        <v>19</v>
      </c>
      <c r="O2034" t="s">
        <v>189</v>
      </c>
      <c r="P2034" s="1" t="s">
        <v>34</v>
      </c>
      <c r="Q2034">
        <v>126.6</v>
      </c>
    </row>
    <row r="2035" spans="1:17" x14ac:dyDescent="0.3">
      <c r="A2035">
        <v>2019</v>
      </c>
      <c r="B2035" t="s">
        <v>31</v>
      </c>
      <c r="C2035" t="s">
        <v>129</v>
      </c>
      <c r="D2035" s="1" t="s">
        <v>21</v>
      </c>
      <c r="E2035" s="4">
        <v>146.19999999999999</v>
      </c>
      <c r="F2035" s="4">
        <v>139.5</v>
      </c>
      <c r="G2035" s="4">
        <v>128.6</v>
      </c>
      <c r="H2035" s="1" t="s">
        <v>190</v>
      </c>
      <c r="K2035">
        <v>2015</v>
      </c>
      <c r="L2035" t="s">
        <v>41</v>
      </c>
      <c r="M2035" t="s">
        <v>79</v>
      </c>
      <c r="N2035" t="s">
        <v>19</v>
      </c>
      <c r="O2035" t="s">
        <v>189</v>
      </c>
      <c r="P2035" s="1" t="s">
        <v>33</v>
      </c>
      <c r="Q2035">
        <v>122.9</v>
      </c>
    </row>
    <row r="2036" spans="1:17" x14ac:dyDescent="0.3">
      <c r="A2036">
        <v>2019</v>
      </c>
      <c r="B2036" t="s">
        <v>31</v>
      </c>
      <c r="C2036" t="s">
        <v>129</v>
      </c>
      <c r="D2036" s="1" t="s">
        <v>29</v>
      </c>
      <c r="E2036" s="4">
        <v>141</v>
      </c>
      <c r="F2036" s="4">
        <v>139.6</v>
      </c>
      <c r="G2036" s="4">
        <v>138</v>
      </c>
      <c r="H2036" s="1" t="s">
        <v>206</v>
      </c>
      <c r="K2036">
        <v>2015</v>
      </c>
      <c r="L2036" t="s">
        <v>41</v>
      </c>
      <c r="M2036" t="s">
        <v>79</v>
      </c>
      <c r="N2036" t="s">
        <v>26</v>
      </c>
      <c r="O2036" t="s">
        <v>26</v>
      </c>
      <c r="P2036" s="1" t="s">
        <v>30</v>
      </c>
      <c r="Q2036">
        <v>123.6</v>
      </c>
    </row>
    <row r="2037" spans="1:17" x14ac:dyDescent="0.3">
      <c r="A2037">
        <v>2019</v>
      </c>
      <c r="B2037" t="s">
        <v>31</v>
      </c>
      <c r="C2037" t="s">
        <v>129</v>
      </c>
      <c r="D2037" s="1" t="s">
        <v>23</v>
      </c>
      <c r="E2037" s="4">
        <v>149.6</v>
      </c>
      <c r="F2037" s="4">
        <v>145.1</v>
      </c>
      <c r="G2037" s="4">
        <v>137.80000000000001</v>
      </c>
      <c r="H2037" s="1" t="s">
        <v>23</v>
      </c>
      <c r="K2037">
        <v>2015</v>
      </c>
      <c r="L2037" t="s">
        <v>41</v>
      </c>
      <c r="M2037" t="s">
        <v>79</v>
      </c>
      <c r="N2037" t="s">
        <v>26</v>
      </c>
      <c r="O2037" t="s">
        <v>26</v>
      </c>
      <c r="P2037" s="1" t="s">
        <v>34</v>
      </c>
      <c r="Q2037">
        <v>125.1</v>
      </c>
    </row>
    <row r="2038" spans="1:17" x14ac:dyDescent="0.3">
      <c r="A2038">
        <v>2019</v>
      </c>
      <c r="B2038" t="s">
        <v>31</v>
      </c>
      <c r="C2038" t="s">
        <v>129</v>
      </c>
      <c r="D2038" s="1" t="s">
        <v>22</v>
      </c>
      <c r="E2038" s="4">
        <v>150.1</v>
      </c>
      <c r="F2038" s="4">
        <v>143.6</v>
      </c>
      <c r="G2038" s="4">
        <v>136.30000000000001</v>
      </c>
      <c r="H2038" s="1" t="s">
        <v>20</v>
      </c>
      <c r="K2038">
        <v>2015</v>
      </c>
      <c r="L2038" t="s">
        <v>41</v>
      </c>
      <c r="M2038" t="s">
        <v>79</v>
      </c>
      <c r="N2038" t="s">
        <v>26</v>
      </c>
      <c r="O2038" t="s">
        <v>26</v>
      </c>
      <c r="P2038" s="1" t="s">
        <v>33</v>
      </c>
      <c r="Q2038">
        <v>126.2</v>
      </c>
    </row>
    <row r="2039" spans="1:17" x14ac:dyDescent="0.3">
      <c r="A2039">
        <v>2019</v>
      </c>
      <c r="B2039" t="s">
        <v>31</v>
      </c>
      <c r="C2039" t="s">
        <v>129</v>
      </c>
      <c r="D2039" s="1" t="s">
        <v>20</v>
      </c>
      <c r="E2039" s="4">
        <v>0</v>
      </c>
      <c r="F2039" s="4">
        <v>147.69999999999999</v>
      </c>
      <c r="G2039" s="4">
        <v>147.69999999999999</v>
      </c>
      <c r="H2039" s="1" t="s">
        <v>20</v>
      </c>
      <c r="K2039">
        <v>2015</v>
      </c>
      <c r="L2039" t="s">
        <v>41</v>
      </c>
      <c r="M2039" t="s">
        <v>79</v>
      </c>
      <c r="N2039" t="s">
        <v>5</v>
      </c>
      <c r="O2039" t="s">
        <v>188</v>
      </c>
      <c r="P2039" s="1" t="s">
        <v>30</v>
      </c>
      <c r="Q2039">
        <v>121.3</v>
      </c>
    </row>
    <row r="2040" spans="1:17" x14ac:dyDescent="0.3">
      <c r="A2040">
        <v>2019</v>
      </c>
      <c r="B2040" t="s">
        <v>31</v>
      </c>
      <c r="C2040" t="s">
        <v>129</v>
      </c>
      <c r="D2040" s="1" t="s">
        <v>4</v>
      </c>
      <c r="E2040" s="4">
        <v>152.5</v>
      </c>
      <c r="F2040" s="4">
        <v>151.4</v>
      </c>
      <c r="G2040" s="4">
        <v>149.4</v>
      </c>
      <c r="H2040" s="1" t="s">
        <v>188</v>
      </c>
      <c r="K2040">
        <v>2015</v>
      </c>
      <c r="L2040" t="s">
        <v>41</v>
      </c>
      <c r="M2040" t="s">
        <v>79</v>
      </c>
      <c r="N2040" t="s">
        <v>5</v>
      </c>
      <c r="O2040" t="s">
        <v>188</v>
      </c>
      <c r="P2040" s="1" t="s">
        <v>34</v>
      </c>
      <c r="Q2040">
        <v>120.1</v>
      </c>
    </row>
    <row r="2041" spans="1:17" x14ac:dyDescent="0.3">
      <c r="A2041">
        <v>2019</v>
      </c>
      <c r="B2041" t="s">
        <v>31</v>
      </c>
      <c r="C2041" t="s">
        <v>129</v>
      </c>
      <c r="D2041" s="1" t="s">
        <v>6</v>
      </c>
      <c r="E2041" s="4">
        <v>142.4</v>
      </c>
      <c r="F2041" s="4">
        <v>142.1</v>
      </c>
      <c r="G2041" s="4">
        <v>141.69999999999999</v>
      </c>
      <c r="H2041" s="1" t="s">
        <v>188</v>
      </c>
      <c r="K2041">
        <v>2015</v>
      </c>
      <c r="L2041" t="s">
        <v>41</v>
      </c>
      <c r="M2041" t="s">
        <v>79</v>
      </c>
      <c r="N2041" t="s">
        <v>5</v>
      </c>
      <c r="O2041" t="s">
        <v>188</v>
      </c>
      <c r="P2041" s="1" t="s">
        <v>33</v>
      </c>
      <c r="Q2041">
        <v>118.1</v>
      </c>
    </row>
    <row r="2042" spans="1:17" x14ac:dyDescent="0.3">
      <c r="A2042">
        <v>2019</v>
      </c>
      <c r="B2042" t="s">
        <v>31</v>
      </c>
      <c r="C2042" t="s">
        <v>129</v>
      </c>
      <c r="D2042" s="1" t="s">
        <v>28</v>
      </c>
      <c r="E2042" s="4">
        <v>141.69999999999999</v>
      </c>
      <c r="F2042" s="4">
        <v>136.9</v>
      </c>
      <c r="G2042" s="4">
        <v>131.80000000000001</v>
      </c>
      <c r="H2042" s="1" t="s">
        <v>192</v>
      </c>
      <c r="K2042">
        <v>2015</v>
      </c>
      <c r="L2042" t="s">
        <v>41</v>
      </c>
      <c r="M2042" t="s">
        <v>79</v>
      </c>
      <c r="N2042" t="s">
        <v>15</v>
      </c>
      <c r="O2042" t="s">
        <v>188</v>
      </c>
      <c r="P2042" s="1" t="s">
        <v>30</v>
      </c>
      <c r="Q2042">
        <v>129.80000000000001</v>
      </c>
    </row>
    <row r="2043" spans="1:17" x14ac:dyDescent="0.3">
      <c r="A2043">
        <v>2019</v>
      </c>
      <c r="B2043" t="s">
        <v>31</v>
      </c>
      <c r="C2043" t="s">
        <v>129</v>
      </c>
      <c r="D2043" s="1" t="s">
        <v>13</v>
      </c>
      <c r="E2043" s="4">
        <v>137</v>
      </c>
      <c r="F2043" s="4">
        <v>133.30000000000001</v>
      </c>
      <c r="G2043" s="4">
        <v>128.1</v>
      </c>
      <c r="H2043" s="1" t="s">
        <v>188</v>
      </c>
      <c r="K2043">
        <v>2015</v>
      </c>
      <c r="L2043" t="s">
        <v>41</v>
      </c>
      <c r="M2043" t="s">
        <v>79</v>
      </c>
      <c r="N2043" t="s">
        <v>15</v>
      </c>
      <c r="O2043" t="s">
        <v>188</v>
      </c>
      <c r="P2043" s="1" t="s">
        <v>34</v>
      </c>
      <c r="Q2043">
        <v>130.30000000000001</v>
      </c>
    </row>
    <row r="2044" spans="1:17" x14ac:dyDescent="0.3">
      <c r="A2044">
        <v>2019</v>
      </c>
      <c r="B2044" t="s">
        <v>31</v>
      </c>
      <c r="C2044" t="s">
        <v>129</v>
      </c>
      <c r="D2044" s="1" t="s">
        <v>7</v>
      </c>
      <c r="E2044" s="4">
        <v>123.9</v>
      </c>
      <c r="F2044" s="4">
        <v>121.8</v>
      </c>
      <c r="G2044" s="4">
        <v>118.1</v>
      </c>
      <c r="H2044" s="1" t="s">
        <v>188</v>
      </c>
      <c r="K2044">
        <v>2015</v>
      </c>
      <c r="L2044" t="s">
        <v>41</v>
      </c>
      <c r="M2044" t="s">
        <v>79</v>
      </c>
      <c r="N2044" t="s">
        <v>15</v>
      </c>
      <c r="O2044" t="s">
        <v>188</v>
      </c>
      <c r="P2044" s="1" t="s">
        <v>33</v>
      </c>
      <c r="Q2044">
        <v>131.1</v>
      </c>
    </row>
    <row r="2045" spans="1:17" x14ac:dyDescent="0.3">
      <c r="A2045">
        <v>2019</v>
      </c>
      <c r="B2045" t="s">
        <v>31</v>
      </c>
      <c r="C2045" t="s">
        <v>129</v>
      </c>
      <c r="D2045" s="1" t="s">
        <v>16</v>
      </c>
      <c r="E2045" s="4">
        <v>162.69999999999999</v>
      </c>
      <c r="F2045" s="4">
        <v>163.19999999999999</v>
      </c>
      <c r="G2045" s="4">
        <v>164.7</v>
      </c>
      <c r="H2045" s="1" t="s">
        <v>192</v>
      </c>
      <c r="K2045">
        <v>2015</v>
      </c>
      <c r="L2045" t="s">
        <v>41</v>
      </c>
      <c r="M2045" t="s">
        <v>79</v>
      </c>
      <c r="N2045" t="s">
        <v>18</v>
      </c>
      <c r="O2045" t="s">
        <v>189</v>
      </c>
      <c r="P2045" s="1" t="s">
        <v>30</v>
      </c>
      <c r="Q2045">
        <v>126.3</v>
      </c>
    </row>
    <row r="2046" spans="1:17" x14ac:dyDescent="0.3">
      <c r="A2046">
        <v>2019</v>
      </c>
      <c r="B2046" t="s">
        <v>31</v>
      </c>
      <c r="C2046" t="s">
        <v>129</v>
      </c>
      <c r="D2046" s="1" t="s">
        <v>27</v>
      </c>
      <c r="E2046" s="4">
        <v>133.5</v>
      </c>
      <c r="F2046" s="4">
        <v>132.80000000000001</v>
      </c>
      <c r="G2046" s="4">
        <v>131.69999999999999</v>
      </c>
      <c r="H2046" s="1" t="s">
        <v>192</v>
      </c>
      <c r="K2046">
        <v>2015</v>
      </c>
      <c r="L2046" t="s">
        <v>41</v>
      </c>
      <c r="M2046" t="s">
        <v>79</v>
      </c>
      <c r="N2046" t="s">
        <v>18</v>
      </c>
      <c r="O2046" t="s">
        <v>189</v>
      </c>
      <c r="P2046" s="1" t="s">
        <v>34</v>
      </c>
      <c r="Q2046">
        <v>122.9</v>
      </c>
    </row>
    <row r="2047" spans="1:17" x14ac:dyDescent="0.3">
      <c r="A2047">
        <v>2019</v>
      </c>
      <c r="B2047" t="s">
        <v>31</v>
      </c>
      <c r="C2047" t="s">
        <v>129</v>
      </c>
      <c r="D2047" s="1" t="s">
        <v>14</v>
      </c>
      <c r="E2047" s="4">
        <v>155.80000000000001</v>
      </c>
      <c r="F2047" s="4">
        <v>154.6</v>
      </c>
      <c r="G2047" s="4">
        <v>153.19999999999999</v>
      </c>
      <c r="H2047" s="1" t="s">
        <v>188</v>
      </c>
      <c r="K2047">
        <v>2015</v>
      </c>
      <c r="L2047" t="s">
        <v>41</v>
      </c>
      <c r="M2047" t="s">
        <v>79</v>
      </c>
      <c r="N2047" t="s">
        <v>18</v>
      </c>
      <c r="O2047" t="s">
        <v>189</v>
      </c>
      <c r="P2047" s="1" t="s">
        <v>33</v>
      </c>
      <c r="Q2047">
        <v>118.2</v>
      </c>
    </row>
    <row r="2048" spans="1:17" x14ac:dyDescent="0.3">
      <c r="A2048">
        <v>2019</v>
      </c>
      <c r="B2048" t="s">
        <v>31</v>
      </c>
      <c r="C2048" t="s">
        <v>129</v>
      </c>
      <c r="D2048" s="1" t="s">
        <v>10</v>
      </c>
      <c r="E2048" s="4">
        <v>121.3</v>
      </c>
      <c r="F2048" s="4">
        <v>120.3</v>
      </c>
      <c r="G2048" s="4">
        <v>118.2</v>
      </c>
      <c r="H2048" s="1" t="s">
        <v>188</v>
      </c>
      <c r="K2048">
        <v>2015</v>
      </c>
      <c r="L2048" t="s">
        <v>41</v>
      </c>
      <c r="M2048" t="s">
        <v>79</v>
      </c>
      <c r="N2048" t="s">
        <v>8</v>
      </c>
      <c r="O2048" t="s">
        <v>188</v>
      </c>
      <c r="P2048" s="1" t="s">
        <v>30</v>
      </c>
      <c r="Q2048">
        <v>134.19999999999999</v>
      </c>
    </row>
    <row r="2049" spans="1:17" x14ac:dyDescent="0.3">
      <c r="A2049">
        <v>2019</v>
      </c>
      <c r="B2049" t="s">
        <v>31</v>
      </c>
      <c r="C2049" t="s">
        <v>129</v>
      </c>
      <c r="D2049" s="1" t="s">
        <v>25</v>
      </c>
      <c r="E2049" s="4">
        <v>142.9</v>
      </c>
      <c r="F2049" s="4">
        <v>136.69999999999999</v>
      </c>
      <c r="G2049" s="4">
        <v>131.9</v>
      </c>
      <c r="H2049" s="1" t="s">
        <v>195</v>
      </c>
      <c r="K2049">
        <v>2015</v>
      </c>
      <c r="L2049" t="s">
        <v>41</v>
      </c>
      <c r="M2049" t="s">
        <v>79</v>
      </c>
      <c r="N2049" t="s">
        <v>8</v>
      </c>
      <c r="O2049" t="s">
        <v>188</v>
      </c>
      <c r="P2049" s="1" t="s">
        <v>34</v>
      </c>
      <c r="Q2049">
        <v>132.30000000000001</v>
      </c>
    </row>
    <row r="2050" spans="1:17" x14ac:dyDescent="0.3">
      <c r="A2050">
        <v>2019</v>
      </c>
      <c r="B2050" t="s">
        <v>31</v>
      </c>
      <c r="C2050" t="s">
        <v>129</v>
      </c>
      <c r="D2050" s="1" t="s">
        <v>12</v>
      </c>
      <c r="E2050" s="4">
        <v>138.9</v>
      </c>
      <c r="F2050" s="4">
        <v>139.4</v>
      </c>
      <c r="G2050" s="4">
        <v>140.4</v>
      </c>
      <c r="H2050" s="1" t="s">
        <v>188</v>
      </c>
      <c r="K2050">
        <v>2015</v>
      </c>
      <c r="L2050" t="s">
        <v>41</v>
      </c>
      <c r="M2050" t="s">
        <v>79</v>
      </c>
      <c r="N2050" t="s">
        <v>8</v>
      </c>
      <c r="O2050" t="s">
        <v>188</v>
      </c>
      <c r="P2050" s="1" t="s">
        <v>33</v>
      </c>
      <c r="Q2050">
        <v>130.1</v>
      </c>
    </row>
    <row r="2051" spans="1:17" x14ac:dyDescent="0.3">
      <c r="A2051">
        <v>2019</v>
      </c>
      <c r="B2051" t="s">
        <v>31</v>
      </c>
      <c r="C2051" t="s">
        <v>129</v>
      </c>
      <c r="D2051" s="1" t="s">
        <v>11</v>
      </c>
      <c r="E2051" s="4">
        <v>108.4</v>
      </c>
      <c r="F2051" s="4">
        <v>109.1</v>
      </c>
      <c r="G2051" s="4">
        <v>110.4</v>
      </c>
      <c r="H2051" s="1" t="s">
        <v>188</v>
      </c>
      <c r="K2051">
        <v>2015</v>
      </c>
      <c r="L2051" t="s">
        <v>41</v>
      </c>
      <c r="M2051" t="s">
        <v>79</v>
      </c>
      <c r="N2051" t="s">
        <v>21</v>
      </c>
      <c r="O2051" t="s">
        <v>190</v>
      </c>
      <c r="P2051" s="1" t="s">
        <v>30</v>
      </c>
      <c r="Q2051">
        <v>123.8</v>
      </c>
    </row>
    <row r="2052" spans="1:17" x14ac:dyDescent="0.3">
      <c r="A2052">
        <v>2019</v>
      </c>
      <c r="B2052" t="s">
        <v>31</v>
      </c>
      <c r="C2052" t="s">
        <v>129</v>
      </c>
      <c r="D2052" s="1" t="s">
        <v>24</v>
      </c>
      <c r="E2052" s="4">
        <v>128.6</v>
      </c>
      <c r="F2052" s="4">
        <v>123.3</v>
      </c>
      <c r="G2052" s="4">
        <v>118.6</v>
      </c>
      <c r="H2052" s="1" t="s">
        <v>191</v>
      </c>
      <c r="K2052">
        <v>2015</v>
      </c>
      <c r="L2052" t="s">
        <v>41</v>
      </c>
      <c r="M2052" t="s">
        <v>79</v>
      </c>
      <c r="N2052" t="s">
        <v>21</v>
      </c>
      <c r="O2052" t="s">
        <v>190</v>
      </c>
      <c r="P2052" s="1" t="s">
        <v>34</v>
      </c>
      <c r="Q2052">
        <v>120.6</v>
      </c>
    </row>
    <row r="2053" spans="1:17" x14ac:dyDescent="0.3">
      <c r="A2053">
        <v>2019</v>
      </c>
      <c r="B2053" t="s">
        <v>31</v>
      </c>
      <c r="C2053" t="s">
        <v>129</v>
      </c>
      <c r="D2053" s="1" t="s">
        <v>9</v>
      </c>
      <c r="E2053" s="4">
        <v>131.69999999999999</v>
      </c>
      <c r="F2053" s="4">
        <v>131.30000000000001</v>
      </c>
      <c r="G2053" s="4">
        <v>130.5</v>
      </c>
      <c r="H2053" s="1" t="s">
        <v>188</v>
      </c>
      <c r="K2053">
        <v>2015</v>
      </c>
      <c r="L2053" t="s">
        <v>41</v>
      </c>
      <c r="M2053" t="s">
        <v>79</v>
      </c>
      <c r="N2053" t="s">
        <v>21</v>
      </c>
      <c r="O2053" t="s">
        <v>190</v>
      </c>
      <c r="P2053" s="1" t="s">
        <v>33</v>
      </c>
      <c r="Q2053">
        <v>115.3</v>
      </c>
    </row>
    <row r="2054" spans="1:17" x14ac:dyDescent="0.3">
      <c r="A2054">
        <v>2019</v>
      </c>
      <c r="B2054" t="s">
        <v>40</v>
      </c>
      <c r="C2054" t="s">
        <v>130</v>
      </c>
      <c r="D2054" s="1" t="s">
        <v>3</v>
      </c>
      <c r="E2054" s="4">
        <v>138.4</v>
      </c>
      <c r="F2054" s="4">
        <v>139.30000000000001</v>
      </c>
      <c r="G2054" s="4">
        <v>141.4</v>
      </c>
      <c r="H2054" s="1" t="s">
        <v>188</v>
      </c>
      <c r="K2054">
        <v>2015</v>
      </c>
      <c r="L2054" t="s">
        <v>41</v>
      </c>
      <c r="M2054" t="s">
        <v>79</v>
      </c>
      <c r="N2054" t="s">
        <v>29</v>
      </c>
      <c r="O2054" t="s">
        <v>206</v>
      </c>
      <c r="P2054" s="1" t="s">
        <v>30</v>
      </c>
      <c r="Q2054">
        <v>126.1</v>
      </c>
    </row>
    <row r="2055" spans="1:17" x14ac:dyDescent="0.3">
      <c r="A2055">
        <v>2019</v>
      </c>
      <c r="B2055" t="s">
        <v>40</v>
      </c>
      <c r="C2055" t="s">
        <v>130</v>
      </c>
      <c r="D2055" s="1" t="s">
        <v>17</v>
      </c>
      <c r="E2055" s="4">
        <v>151.6</v>
      </c>
      <c r="F2055" s="4">
        <v>148.9</v>
      </c>
      <c r="G2055" s="4">
        <v>144.69999999999999</v>
      </c>
      <c r="H2055" s="1" t="s">
        <v>189</v>
      </c>
      <c r="K2055">
        <v>2015</v>
      </c>
      <c r="L2055" t="s">
        <v>41</v>
      </c>
      <c r="M2055" t="s">
        <v>79</v>
      </c>
      <c r="N2055" t="s">
        <v>29</v>
      </c>
      <c r="O2055" t="s">
        <v>206</v>
      </c>
      <c r="P2055" s="1" t="s">
        <v>34</v>
      </c>
      <c r="Q2055">
        <v>124.8</v>
      </c>
    </row>
    <row r="2056" spans="1:17" x14ac:dyDescent="0.3">
      <c r="A2056">
        <v>2019</v>
      </c>
      <c r="B2056" t="s">
        <v>40</v>
      </c>
      <c r="C2056" t="s">
        <v>130</v>
      </c>
      <c r="D2056" s="1" t="s">
        <v>19</v>
      </c>
      <c r="E2056" s="4">
        <v>150.9</v>
      </c>
      <c r="F2056" s="4">
        <v>147.6</v>
      </c>
      <c r="G2056" s="4">
        <v>142.69999999999999</v>
      </c>
      <c r="H2056" s="1" t="s">
        <v>189</v>
      </c>
      <c r="K2056">
        <v>2015</v>
      </c>
      <c r="L2056" t="s">
        <v>41</v>
      </c>
      <c r="M2056" t="s">
        <v>79</v>
      </c>
      <c r="N2056" t="s">
        <v>29</v>
      </c>
      <c r="O2056" t="s">
        <v>206</v>
      </c>
      <c r="P2056" s="1" t="s">
        <v>33</v>
      </c>
      <c r="Q2056">
        <v>123.2</v>
      </c>
    </row>
    <row r="2057" spans="1:17" x14ac:dyDescent="0.3">
      <c r="A2057">
        <v>2019</v>
      </c>
      <c r="B2057" t="s">
        <v>40</v>
      </c>
      <c r="C2057" t="s">
        <v>130</v>
      </c>
      <c r="D2057" s="1" t="s">
        <v>26</v>
      </c>
      <c r="E2057" s="4">
        <v>159.1</v>
      </c>
      <c r="F2057" s="4">
        <v>154</v>
      </c>
      <c r="G2057" s="4">
        <v>150.4</v>
      </c>
      <c r="H2057" s="1" t="s">
        <v>26</v>
      </c>
      <c r="K2057">
        <v>2015</v>
      </c>
      <c r="L2057" t="s">
        <v>41</v>
      </c>
      <c r="M2057" t="s">
        <v>79</v>
      </c>
      <c r="N2057" t="s">
        <v>23</v>
      </c>
      <c r="O2057" t="s">
        <v>23</v>
      </c>
      <c r="P2057" s="1" t="s">
        <v>30</v>
      </c>
      <c r="Q2057">
        <v>121.1</v>
      </c>
    </row>
    <row r="2058" spans="1:17" x14ac:dyDescent="0.3">
      <c r="A2058">
        <v>2019</v>
      </c>
      <c r="B2058" t="s">
        <v>40</v>
      </c>
      <c r="C2058" t="s">
        <v>130</v>
      </c>
      <c r="D2058" s="1" t="s">
        <v>5</v>
      </c>
      <c r="E2058" s="4">
        <v>138.4</v>
      </c>
      <c r="F2058" s="4">
        <v>140</v>
      </c>
      <c r="G2058" s="4">
        <v>142.5</v>
      </c>
      <c r="H2058" s="1" t="s">
        <v>188</v>
      </c>
      <c r="K2058">
        <v>2015</v>
      </c>
      <c r="L2058" t="s">
        <v>41</v>
      </c>
      <c r="M2058" t="s">
        <v>79</v>
      </c>
      <c r="N2058" t="s">
        <v>23</v>
      </c>
      <c r="O2058" t="s">
        <v>23</v>
      </c>
      <c r="P2058" s="1" t="s">
        <v>34</v>
      </c>
      <c r="Q2058">
        <v>119.4</v>
      </c>
    </row>
    <row r="2059" spans="1:17" x14ac:dyDescent="0.3">
      <c r="A2059">
        <v>2019</v>
      </c>
      <c r="B2059" t="s">
        <v>40</v>
      </c>
      <c r="C2059" t="s">
        <v>130</v>
      </c>
      <c r="D2059" s="1" t="s">
        <v>15</v>
      </c>
      <c r="E2059" s="4">
        <v>143</v>
      </c>
      <c r="F2059" s="4">
        <v>144.69999999999999</v>
      </c>
      <c r="G2059" s="4">
        <v>147.69999999999999</v>
      </c>
      <c r="H2059" s="1" t="s">
        <v>188</v>
      </c>
      <c r="K2059">
        <v>2015</v>
      </c>
      <c r="L2059" t="s">
        <v>41</v>
      </c>
      <c r="M2059" t="s">
        <v>79</v>
      </c>
      <c r="N2059" t="s">
        <v>23</v>
      </c>
      <c r="O2059" t="s">
        <v>23</v>
      </c>
      <c r="P2059" s="1" t="s">
        <v>33</v>
      </c>
      <c r="Q2059">
        <v>116.6</v>
      </c>
    </row>
    <row r="2060" spans="1:17" x14ac:dyDescent="0.3">
      <c r="A2060">
        <v>2019</v>
      </c>
      <c r="B2060" t="s">
        <v>40</v>
      </c>
      <c r="C2060" t="s">
        <v>130</v>
      </c>
      <c r="D2060" s="1" t="s">
        <v>18</v>
      </c>
      <c r="E2060" s="4">
        <v>146.6</v>
      </c>
      <c r="F2060" s="4">
        <v>140.5</v>
      </c>
      <c r="G2060" s="4">
        <v>131.9</v>
      </c>
      <c r="H2060" s="1" t="s">
        <v>189</v>
      </c>
      <c r="K2060">
        <v>2015</v>
      </c>
      <c r="L2060" t="s">
        <v>41</v>
      </c>
      <c r="M2060" t="s">
        <v>79</v>
      </c>
      <c r="N2060" t="s">
        <v>22</v>
      </c>
      <c r="O2060" t="s">
        <v>20</v>
      </c>
      <c r="P2060" s="1" t="s">
        <v>30</v>
      </c>
      <c r="Q2060">
        <v>123.7</v>
      </c>
    </row>
    <row r="2061" spans="1:17" x14ac:dyDescent="0.3">
      <c r="A2061">
        <v>2019</v>
      </c>
      <c r="B2061" t="s">
        <v>40</v>
      </c>
      <c r="C2061" t="s">
        <v>130</v>
      </c>
      <c r="D2061" s="1" t="s">
        <v>8</v>
      </c>
      <c r="E2061" s="4">
        <v>146.4</v>
      </c>
      <c r="F2061" s="4">
        <v>150.30000000000001</v>
      </c>
      <c r="G2061" s="4">
        <v>154.69999999999999</v>
      </c>
      <c r="H2061" s="1" t="s">
        <v>188</v>
      </c>
      <c r="K2061">
        <v>2015</v>
      </c>
      <c r="L2061" t="s">
        <v>41</v>
      </c>
      <c r="M2061" t="s">
        <v>79</v>
      </c>
      <c r="N2061" t="s">
        <v>22</v>
      </c>
      <c r="O2061" t="s">
        <v>20</v>
      </c>
      <c r="P2061" s="1" t="s">
        <v>34</v>
      </c>
      <c r="Q2061">
        <v>122</v>
      </c>
    </row>
    <row r="2062" spans="1:17" x14ac:dyDescent="0.3">
      <c r="A2062">
        <v>2019</v>
      </c>
      <c r="B2062" t="s">
        <v>40</v>
      </c>
      <c r="C2062" t="s">
        <v>130</v>
      </c>
      <c r="D2062" s="1" t="s">
        <v>21</v>
      </c>
      <c r="E2062" s="4">
        <v>146.80000000000001</v>
      </c>
      <c r="F2062" s="4">
        <v>139.30000000000001</v>
      </c>
      <c r="G2062" s="4">
        <v>127</v>
      </c>
      <c r="H2062" s="1" t="s">
        <v>190</v>
      </c>
      <c r="K2062">
        <v>2015</v>
      </c>
      <c r="L2062" t="s">
        <v>41</v>
      </c>
      <c r="M2062" t="s">
        <v>79</v>
      </c>
      <c r="N2062" t="s">
        <v>22</v>
      </c>
      <c r="O2062" t="s">
        <v>20</v>
      </c>
      <c r="P2062" s="1" t="s">
        <v>33</v>
      </c>
      <c r="Q2062">
        <v>120</v>
      </c>
    </row>
    <row r="2063" spans="1:17" x14ac:dyDescent="0.3">
      <c r="A2063">
        <v>2019</v>
      </c>
      <c r="B2063" t="s">
        <v>40</v>
      </c>
      <c r="C2063" t="s">
        <v>130</v>
      </c>
      <c r="D2063" s="1" t="s">
        <v>29</v>
      </c>
      <c r="E2063" s="4">
        <v>144.9</v>
      </c>
      <c r="F2063" s="4">
        <v>144.19999999999999</v>
      </c>
      <c r="G2063" s="4">
        <v>143.30000000000001</v>
      </c>
      <c r="H2063" s="1" t="s">
        <v>206</v>
      </c>
      <c r="K2063">
        <v>2015</v>
      </c>
      <c r="L2063" t="s">
        <v>41</v>
      </c>
      <c r="M2063" t="s">
        <v>79</v>
      </c>
      <c r="N2063" t="s">
        <v>20</v>
      </c>
      <c r="O2063" t="s">
        <v>20</v>
      </c>
      <c r="P2063" s="1" t="s">
        <v>30</v>
      </c>
      <c r="Q2063">
        <v>0</v>
      </c>
    </row>
    <row r="2064" spans="1:17" x14ac:dyDescent="0.3">
      <c r="A2064">
        <v>2019</v>
      </c>
      <c r="B2064" t="s">
        <v>40</v>
      </c>
      <c r="C2064" t="s">
        <v>130</v>
      </c>
      <c r="D2064" s="1" t="s">
        <v>23</v>
      </c>
      <c r="E2064" s="4">
        <v>152.19999999999999</v>
      </c>
      <c r="F2064" s="4">
        <v>147.9</v>
      </c>
      <c r="G2064" s="4">
        <v>140.80000000000001</v>
      </c>
      <c r="H2064" s="1" t="s">
        <v>23</v>
      </c>
      <c r="K2064">
        <v>2015</v>
      </c>
      <c r="L2064" t="s">
        <v>41</v>
      </c>
      <c r="M2064" t="s">
        <v>79</v>
      </c>
      <c r="N2064" t="s">
        <v>20</v>
      </c>
      <c r="O2064" t="s">
        <v>20</v>
      </c>
      <c r="P2064" s="1" t="s">
        <v>34</v>
      </c>
      <c r="Q2064">
        <v>120.9</v>
      </c>
    </row>
    <row r="2065" spans="1:17" x14ac:dyDescent="0.3">
      <c r="A2065">
        <v>2019</v>
      </c>
      <c r="B2065" t="s">
        <v>40</v>
      </c>
      <c r="C2065" t="s">
        <v>130</v>
      </c>
      <c r="D2065" s="1" t="s">
        <v>22</v>
      </c>
      <c r="E2065" s="4">
        <v>150</v>
      </c>
      <c r="F2065" s="4">
        <v>144.19999999999999</v>
      </c>
      <c r="G2065" s="4">
        <v>137.69999999999999</v>
      </c>
      <c r="H2065" s="1" t="s">
        <v>20</v>
      </c>
      <c r="K2065">
        <v>2015</v>
      </c>
      <c r="L2065" t="s">
        <v>41</v>
      </c>
      <c r="M2065" t="s">
        <v>79</v>
      </c>
      <c r="N2065" t="s">
        <v>20</v>
      </c>
      <c r="O2065" t="s">
        <v>20</v>
      </c>
      <c r="P2065" s="1" t="s">
        <v>33</v>
      </c>
      <c r="Q2065">
        <v>120.9</v>
      </c>
    </row>
    <row r="2066" spans="1:17" x14ac:dyDescent="0.3">
      <c r="A2066">
        <v>2019</v>
      </c>
      <c r="B2066" t="s">
        <v>40</v>
      </c>
      <c r="C2066" t="s">
        <v>130</v>
      </c>
      <c r="D2066" s="1" t="s">
        <v>20</v>
      </c>
      <c r="E2066" s="4">
        <v>0</v>
      </c>
      <c r="F2066" s="4">
        <v>150.6</v>
      </c>
      <c r="G2066" s="4">
        <v>150.6</v>
      </c>
      <c r="H2066" s="1" t="s">
        <v>20</v>
      </c>
      <c r="K2066">
        <v>2015</v>
      </c>
      <c r="L2066" t="s">
        <v>41</v>
      </c>
      <c r="M2066" t="s">
        <v>79</v>
      </c>
      <c r="N2066" t="s">
        <v>4</v>
      </c>
      <c r="O2066" t="s">
        <v>188</v>
      </c>
      <c r="P2066" s="1" t="s">
        <v>30</v>
      </c>
      <c r="Q2066">
        <v>131.30000000000001</v>
      </c>
    </row>
    <row r="2067" spans="1:17" x14ac:dyDescent="0.3">
      <c r="A2067">
        <v>2019</v>
      </c>
      <c r="B2067" t="s">
        <v>40</v>
      </c>
      <c r="C2067" t="s">
        <v>130</v>
      </c>
      <c r="D2067" s="1" t="s">
        <v>4</v>
      </c>
      <c r="E2067" s="4">
        <v>164</v>
      </c>
      <c r="F2067" s="4">
        <v>162.69999999999999</v>
      </c>
      <c r="G2067" s="4">
        <v>160.19999999999999</v>
      </c>
      <c r="H2067" s="1" t="s">
        <v>188</v>
      </c>
      <c r="K2067">
        <v>2015</v>
      </c>
      <c r="L2067" t="s">
        <v>41</v>
      </c>
      <c r="M2067" t="s">
        <v>79</v>
      </c>
      <c r="N2067" t="s">
        <v>4</v>
      </c>
      <c r="O2067" t="s">
        <v>188</v>
      </c>
      <c r="P2067" s="1" t="s">
        <v>34</v>
      </c>
      <c r="Q2067">
        <v>131.4</v>
      </c>
    </row>
    <row r="2068" spans="1:17" x14ac:dyDescent="0.3">
      <c r="A2068">
        <v>2019</v>
      </c>
      <c r="B2068" t="s">
        <v>40</v>
      </c>
      <c r="C2068" t="s">
        <v>130</v>
      </c>
      <c r="D2068" s="1" t="s">
        <v>6</v>
      </c>
      <c r="E2068" s="4">
        <v>143.9</v>
      </c>
      <c r="F2068" s="4">
        <v>144</v>
      </c>
      <c r="G2068" s="4">
        <v>144.1</v>
      </c>
      <c r="H2068" s="1" t="s">
        <v>188</v>
      </c>
      <c r="K2068">
        <v>2015</v>
      </c>
      <c r="L2068" t="s">
        <v>41</v>
      </c>
      <c r="M2068" t="s">
        <v>79</v>
      </c>
      <c r="N2068" t="s">
        <v>4</v>
      </c>
      <c r="O2068" t="s">
        <v>188</v>
      </c>
      <c r="P2068" s="1" t="s">
        <v>33</v>
      </c>
      <c r="Q2068">
        <v>131.69999999999999</v>
      </c>
    </row>
    <row r="2069" spans="1:17" x14ac:dyDescent="0.3">
      <c r="A2069">
        <v>2019</v>
      </c>
      <c r="B2069" t="s">
        <v>40</v>
      </c>
      <c r="C2069" t="s">
        <v>130</v>
      </c>
      <c r="D2069" s="1" t="s">
        <v>28</v>
      </c>
      <c r="E2069" s="4">
        <v>144.19999999999999</v>
      </c>
      <c r="F2069" s="4">
        <v>139.5</v>
      </c>
      <c r="G2069" s="4">
        <v>134.5</v>
      </c>
      <c r="H2069" s="1" t="s">
        <v>192</v>
      </c>
      <c r="K2069">
        <v>2015</v>
      </c>
      <c r="L2069" t="s">
        <v>41</v>
      </c>
      <c r="M2069" t="s">
        <v>79</v>
      </c>
      <c r="N2069" t="s">
        <v>6</v>
      </c>
      <c r="O2069" t="s">
        <v>188</v>
      </c>
      <c r="P2069" s="1" t="s">
        <v>30</v>
      </c>
      <c r="Q2069">
        <v>128.80000000000001</v>
      </c>
    </row>
    <row r="2070" spans="1:17" x14ac:dyDescent="0.3">
      <c r="A2070">
        <v>2019</v>
      </c>
      <c r="B2070" t="s">
        <v>40</v>
      </c>
      <c r="C2070" t="s">
        <v>130</v>
      </c>
      <c r="D2070" s="1" t="s">
        <v>13</v>
      </c>
      <c r="E2070" s="4">
        <v>138.5</v>
      </c>
      <c r="F2070" s="4">
        <v>134.69999999999999</v>
      </c>
      <c r="G2070" s="4">
        <v>129.5</v>
      </c>
      <c r="H2070" s="1" t="s">
        <v>188</v>
      </c>
      <c r="K2070">
        <v>2015</v>
      </c>
      <c r="L2070" t="s">
        <v>41</v>
      </c>
      <c r="M2070" t="s">
        <v>79</v>
      </c>
      <c r="N2070" t="s">
        <v>6</v>
      </c>
      <c r="O2070" t="s">
        <v>188</v>
      </c>
      <c r="P2070" s="1" t="s">
        <v>34</v>
      </c>
      <c r="Q2070">
        <v>128.5</v>
      </c>
    </row>
    <row r="2071" spans="1:17" x14ac:dyDescent="0.3">
      <c r="A2071">
        <v>2019</v>
      </c>
      <c r="B2071" t="s">
        <v>40</v>
      </c>
      <c r="C2071" t="s">
        <v>130</v>
      </c>
      <c r="D2071" s="1" t="s">
        <v>7</v>
      </c>
      <c r="E2071" s="4">
        <v>124.4</v>
      </c>
      <c r="F2071" s="4">
        <v>122.5</v>
      </c>
      <c r="G2071" s="4">
        <v>119.3</v>
      </c>
      <c r="H2071" s="1" t="s">
        <v>188</v>
      </c>
      <c r="K2071">
        <v>2015</v>
      </c>
      <c r="L2071" t="s">
        <v>41</v>
      </c>
      <c r="M2071" t="s">
        <v>79</v>
      </c>
      <c r="N2071" t="s">
        <v>6</v>
      </c>
      <c r="O2071" t="s">
        <v>188</v>
      </c>
      <c r="P2071" s="1" t="s">
        <v>33</v>
      </c>
      <c r="Q2071">
        <v>128</v>
      </c>
    </row>
    <row r="2072" spans="1:17" x14ac:dyDescent="0.3">
      <c r="A2072">
        <v>2019</v>
      </c>
      <c r="B2072" t="s">
        <v>40</v>
      </c>
      <c r="C2072" t="s">
        <v>130</v>
      </c>
      <c r="D2072" s="1" t="s">
        <v>16</v>
      </c>
      <c r="E2072" s="4">
        <v>164.5</v>
      </c>
      <c r="F2072" s="4">
        <v>165.2</v>
      </c>
      <c r="G2072" s="4">
        <v>167.2</v>
      </c>
      <c r="H2072" s="1" t="s">
        <v>192</v>
      </c>
      <c r="K2072">
        <v>2015</v>
      </c>
      <c r="L2072" t="s">
        <v>41</v>
      </c>
      <c r="M2072" t="s">
        <v>79</v>
      </c>
      <c r="N2072" t="s">
        <v>28</v>
      </c>
      <c r="O2072" t="s">
        <v>192</v>
      </c>
      <c r="P2072" s="1" t="s">
        <v>30</v>
      </c>
      <c r="Q2072">
        <v>118.2</v>
      </c>
    </row>
    <row r="2073" spans="1:17" x14ac:dyDescent="0.3">
      <c r="A2073">
        <v>2019</v>
      </c>
      <c r="B2073" t="s">
        <v>40</v>
      </c>
      <c r="C2073" t="s">
        <v>130</v>
      </c>
      <c r="D2073" s="1" t="s">
        <v>27</v>
      </c>
      <c r="E2073" s="4">
        <v>136.1</v>
      </c>
      <c r="F2073" s="4">
        <v>135.69999999999999</v>
      </c>
      <c r="G2073" s="4">
        <v>135.1</v>
      </c>
      <c r="H2073" s="1" t="s">
        <v>192</v>
      </c>
      <c r="K2073">
        <v>2015</v>
      </c>
      <c r="L2073" t="s">
        <v>41</v>
      </c>
      <c r="M2073" t="s">
        <v>79</v>
      </c>
      <c r="N2073" t="s">
        <v>28</v>
      </c>
      <c r="O2073" t="s">
        <v>192</v>
      </c>
      <c r="P2073" s="1" t="s">
        <v>34</v>
      </c>
      <c r="Q2073">
        <v>117.2</v>
      </c>
    </row>
    <row r="2074" spans="1:17" x14ac:dyDescent="0.3">
      <c r="A2074">
        <v>2019</v>
      </c>
      <c r="B2074" t="s">
        <v>40</v>
      </c>
      <c r="C2074" t="s">
        <v>130</v>
      </c>
      <c r="D2074" s="1" t="s">
        <v>14</v>
      </c>
      <c r="E2074" s="4">
        <v>156.69999999999999</v>
      </c>
      <c r="F2074" s="4">
        <v>156.19999999999999</v>
      </c>
      <c r="G2074" s="4">
        <v>155.6</v>
      </c>
      <c r="H2074" s="1" t="s">
        <v>188</v>
      </c>
      <c r="K2074">
        <v>2015</v>
      </c>
      <c r="L2074" t="s">
        <v>41</v>
      </c>
      <c r="M2074" t="s">
        <v>79</v>
      </c>
      <c r="N2074" t="s">
        <v>28</v>
      </c>
      <c r="O2074" t="s">
        <v>192</v>
      </c>
      <c r="P2074" s="1" t="s">
        <v>33</v>
      </c>
      <c r="Q2074">
        <v>116.2</v>
      </c>
    </row>
    <row r="2075" spans="1:17" x14ac:dyDescent="0.3">
      <c r="A2075">
        <v>2019</v>
      </c>
      <c r="B2075" t="s">
        <v>40</v>
      </c>
      <c r="C2075" t="s">
        <v>130</v>
      </c>
      <c r="D2075" s="1" t="s">
        <v>10</v>
      </c>
      <c r="E2075" s="4">
        <v>130.6</v>
      </c>
      <c r="F2075" s="4">
        <v>130</v>
      </c>
      <c r="G2075" s="4">
        <v>128.9</v>
      </c>
      <c r="H2075" s="1" t="s">
        <v>188</v>
      </c>
      <c r="K2075">
        <v>2015</v>
      </c>
      <c r="L2075" t="s">
        <v>41</v>
      </c>
      <c r="M2075" t="s">
        <v>79</v>
      </c>
      <c r="N2075" t="s">
        <v>13</v>
      </c>
      <c r="O2075" t="s">
        <v>188</v>
      </c>
      <c r="P2075" s="1" t="s">
        <v>30</v>
      </c>
      <c r="Q2075">
        <v>121.5</v>
      </c>
    </row>
    <row r="2076" spans="1:17" x14ac:dyDescent="0.3">
      <c r="A2076">
        <v>2019</v>
      </c>
      <c r="B2076" t="s">
        <v>40</v>
      </c>
      <c r="C2076" t="s">
        <v>130</v>
      </c>
      <c r="D2076" s="1" t="s">
        <v>25</v>
      </c>
      <c r="E2076" s="4">
        <v>147.5</v>
      </c>
      <c r="F2076" s="4">
        <v>140.5</v>
      </c>
      <c r="G2076" s="4">
        <v>135</v>
      </c>
      <c r="H2076" s="1" t="s">
        <v>195</v>
      </c>
      <c r="K2076">
        <v>2015</v>
      </c>
      <c r="L2076" t="s">
        <v>41</v>
      </c>
      <c r="M2076" t="s">
        <v>79</v>
      </c>
      <c r="N2076" t="s">
        <v>13</v>
      </c>
      <c r="O2076" t="s">
        <v>188</v>
      </c>
      <c r="P2076" s="1" t="s">
        <v>34</v>
      </c>
      <c r="Q2076">
        <v>120.4</v>
      </c>
    </row>
    <row r="2077" spans="1:17" x14ac:dyDescent="0.3">
      <c r="A2077">
        <v>2019</v>
      </c>
      <c r="B2077" t="s">
        <v>40</v>
      </c>
      <c r="C2077" t="s">
        <v>130</v>
      </c>
      <c r="D2077" s="1" t="s">
        <v>12</v>
      </c>
      <c r="E2077" s="4">
        <v>141.69999999999999</v>
      </c>
      <c r="F2077" s="4">
        <v>141.69999999999999</v>
      </c>
      <c r="G2077" s="4">
        <v>141.6</v>
      </c>
      <c r="H2077" s="1" t="s">
        <v>188</v>
      </c>
      <c r="K2077">
        <v>2015</v>
      </c>
      <c r="L2077" t="s">
        <v>41</v>
      </c>
      <c r="M2077" t="s">
        <v>79</v>
      </c>
      <c r="N2077" t="s">
        <v>13</v>
      </c>
      <c r="O2077" t="s">
        <v>188</v>
      </c>
      <c r="P2077" s="1" t="s">
        <v>33</v>
      </c>
      <c r="Q2077">
        <v>118.8</v>
      </c>
    </row>
    <row r="2078" spans="1:17" x14ac:dyDescent="0.3">
      <c r="A2078">
        <v>2019</v>
      </c>
      <c r="B2078" t="s">
        <v>40</v>
      </c>
      <c r="C2078" t="s">
        <v>130</v>
      </c>
      <c r="D2078" s="1" t="s">
        <v>11</v>
      </c>
      <c r="E2078" s="4">
        <v>110.8</v>
      </c>
      <c r="F2078" s="4">
        <v>111.1</v>
      </c>
      <c r="G2078" s="4">
        <v>111.8</v>
      </c>
      <c r="H2078" s="1" t="s">
        <v>188</v>
      </c>
      <c r="K2078">
        <v>2015</v>
      </c>
      <c r="L2078" t="s">
        <v>41</v>
      </c>
      <c r="M2078" t="s">
        <v>79</v>
      </c>
      <c r="N2078" t="s">
        <v>7</v>
      </c>
      <c r="O2078" t="s">
        <v>188</v>
      </c>
      <c r="P2078" s="1" t="s">
        <v>30</v>
      </c>
      <c r="Q2078">
        <v>114</v>
      </c>
    </row>
    <row r="2079" spans="1:17" x14ac:dyDescent="0.3">
      <c r="A2079">
        <v>2019</v>
      </c>
      <c r="B2079" t="s">
        <v>40</v>
      </c>
      <c r="C2079" t="s">
        <v>130</v>
      </c>
      <c r="D2079" s="1" t="s">
        <v>24</v>
      </c>
      <c r="E2079" s="4">
        <v>131.19999999999999</v>
      </c>
      <c r="F2079" s="4">
        <v>125.6</v>
      </c>
      <c r="G2079" s="4">
        <v>120.6</v>
      </c>
      <c r="H2079" s="1" t="s">
        <v>191</v>
      </c>
      <c r="K2079">
        <v>2015</v>
      </c>
      <c r="L2079" t="s">
        <v>41</v>
      </c>
      <c r="M2079" t="s">
        <v>79</v>
      </c>
      <c r="N2079" t="s">
        <v>7</v>
      </c>
      <c r="O2079" t="s">
        <v>188</v>
      </c>
      <c r="P2079" s="1" t="s">
        <v>34</v>
      </c>
      <c r="Q2079">
        <v>111.4</v>
      </c>
    </row>
    <row r="2080" spans="1:17" x14ac:dyDescent="0.3">
      <c r="A2080">
        <v>2019</v>
      </c>
      <c r="B2080" t="s">
        <v>40</v>
      </c>
      <c r="C2080" t="s">
        <v>130</v>
      </c>
      <c r="D2080" s="1" t="s">
        <v>9</v>
      </c>
      <c r="E2080" s="4">
        <v>150.1</v>
      </c>
      <c r="F2080" s="4">
        <v>160.30000000000001</v>
      </c>
      <c r="G2080" s="4">
        <v>180.1</v>
      </c>
      <c r="H2080" s="1" t="s">
        <v>188</v>
      </c>
      <c r="K2080">
        <v>2015</v>
      </c>
      <c r="L2080" t="s">
        <v>41</v>
      </c>
      <c r="M2080" t="s">
        <v>79</v>
      </c>
      <c r="N2080" t="s">
        <v>7</v>
      </c>
      <c r="O2080" t="s">
        <v>188</v>
      </c>
      <c r="P2080" s="1" t="s">
        <v>33</v>
      </c>
      <c r="Q2080">
        <v>106.8</v>
      </c>
    </row>
    <row r="2081" spans="1:17" x14ac:dyDescent="0.3">
      <c r="A2081">
        <v>2019</v>
      </c>
      <c r="B2081" t="s">
        <v>39</v>
      </c>
      <c r="C2081" t="s">
        <v>131</v>
      </c>
      <c r="D2081" s="1" t="s">
        <v>3</v>
      </c>
      <c r="E2081" s="4">
        <v>137.80000000000001</v>
      </c>
      <c r="F2081" s="4">
        <v>138.69999999999999</v>
      </c>
      <c r="G2081" s="4">
        <v>140.69999999999999</v>
      </c>
      <c r="H2081" s="1" t="s">
        <v>188</v>
      </c>
      <c r="K2081">
        <v>2015</v>
      </c>
      <c r="L2081" t="s">
        <v>41</v>
      </c>
      <c r="M2081" t="s">
        <v>79</v>
      </c>
      <c r="N2081" t="s">
        <v>16</v>
      </c>
      <c r="O2081" t="s">
        <v>192</v>
      </c>
      <c r="P2081" s="1" t="s">
        <v>30</v>
      </c>
      <c r="Q2081">
        <v>130.1</v>
      </c>
    </row>
    <row r="2082" spans="1:17" x14ac:dyDescent="0.3">
      <c r="A2082">
        <v>2019</v>
      </c>
      <c r="B2082" t="s">
        <v>39</v>
      </c>
      <c r="C2082" t="s">
        <v>131</v>
      </c>
      <c r="D2082" s="1" t="s">
        <v>17</v>
      </c>
      <c r="E2082" s="4">
        <v>151.4</v>
      </c>
      <c r="F2082" s="4">
        <v>148.6</v>
      </c>
      <c r="G2082" s="4">
        <v>144.30000000000001</v>
      </c>
      <c r="H2082" s="1" t="s">
        <v>189</v>
      </c>
      <c r="K2082">
        <v>2015</v>
      </c>
      <c r="L2082" t="s">
        <v>41</v>
      </c>
      <c r="M2082" t="s">
        <v>79</v>
      </c>
      <c r="N2082" t="s">
        <v>16</v>
      </c>
      <c r="O2082" t="s">
        <v>192</v>
      </c>
      <c r="P2082" s="1" t="s">
        <v>34</v>
      </c>
      <c r="Q2082">
        <v>131.19999999999999</v>
      </c>
    </row>
    <row r="2083" spans="1:17" x14ac:dyDescent="0.3">
      <c r="A2083">
        <v>2019</v>
      </c>
      <c r="B2083" t="s">
        <v>39</v>
      </c>
      <c r="C2083" t="s">
        <v>131</v>
      </c>
      <c r="D2083" s="1" t="s">
        <v>19</v>
      </c>
      <c r="E2083" s="4">
        <v>150.69999999999999</v>
      </c>
      <c r="F2083" s="4">
        <v>147.4</v>
      </c>
      <c r="G2083" s="4">
        <v>142.4</v>
      </c>
      <c r="H2083" s="1" t="s">
        <v>189</v>
      </c>
      <c r="K2083">
        <v>2015</v>
      </c>
      <c r="L2083" t="s">
        <v>41</v>
      </c>
      <c r="M2083" t="s">
        <v>79</v>
      </c>
      <c r="N2083" t="s">
        <v>16</v>
      </c>
      <c r="O2083" t="s">
        <v>192</v>
      </c>
      <c r="P2083" s="1" t="s">
        <v>33</v>
      </c>
      <c r="Q2083">
        <v>134.19999999999999</v>
      </c>
    </row>
    <row r="2084" spans="1:17" x14ac:dyDescent="0.3">
      <c r="A2084">
        <v>2019</v>
      </c>
      <c r="B2084" t="s">
        <v>39</v>
      </c>
      <c r="C2084" t="s">
        <v>131</v>
      </c>
      <c r="D2084" s="1" t="s">
        <v>26</v>
      </c>
      <c r="E2084" s="4">
        <v>157.69999999999999</v>
      </c>
      <c r="F2084" s="4">
        <v>152.5</v>
      </c>
      <c r="G2084" s="4">
        <v>148.9</v>
      </c>
      <c r="H2084" s="1" t="s">
        <v>26</v>
      </c>
      <c r="K2084">
        <v>2015</v>
      </c>
      <c r="L2084" t="s">
        <v>41</v>
      </c>
      <c r="M2084" t="s">
        <v>79</v>
      </c>
      <c r="N2084" t="s">
        <v>27</v>
      </c>
      <c r="O2084" t="s">
        <v>192</v>
      </c>
      <c r="P2084" s="1" t="s">
        <v>30</v>
      </c>
      <c r="Q2084">
        <v>112.5</v>
      </c>
    </row>
    <row r="2085" spans="1:17" x14ac:dyDescent="0.3">
      <c r="A2085">
        <v>2019</v>
      </c>
      <c r="B2085" t="s">
        <v>39</v>
      </c>
      <c r="C2085" t="s">
        <v>131</v>
      </c>
      <c r="D2085" s="1" t="s">
        <v>5</v>
      </c>
      <c r="E2085" s="4">
        <v>136.19999999999999</v>
      </c>
      <c r="F2085" s="4">
        <v>137.80000000000001</v>
      </c>
      <c r="G2085" s="4">
        <v>140.4</v>
      </c>
      <c r="H2085" s="1" t="s">
        <v>188</v>
      </c>
      <c r="K2085">
        <v>2015</v>
      </c>
      <c r="L2085" t="s">
        <v>41</v>
      </c>
      <c r="M2085" t="s">
        <v>79</v>
      </c>
      <c r="N2085" t="s">
        <v>27</v>
      </c>
      <c r="O2085" t="s">
        <v>192</v>
      </c>
      <c r="P2085" s="1" t="s">
        <v>34</v>
      </c>
      <c r="Q2085">
        <v>112.3</v>
      </c>
    </row>
    <row r="2086" spans="1:17" x14ac:dyDescent="0.3">
      <c r="A2086">
        <v>2019</v>
      </c>
      <c r="B2086" t="s">
        <v>39</v>
      </c>
      <c r="C2086" t="s">
        <v>131</v>
      </c>
      <c r="D2086" s="1" t="s">
        <v>15</v>
      </c>
      <c r="E2086" s="4">
        <v>141</v>
      </c>
      <c r="F2086" s="4">
        <v>142.69999999999999</v>
      </c>
      <c r="G2086" s="4">
        <v>145.6</v>
      </c>
      <c r="H2086" s="1" t="s">
        <v>188</v>
      </c>
      <c r="K2086">
        <v>2015</v>
      </c>
      <c r="L2086" t="s">
        <v>41</v>
      </c>
      <c r="M2086" t="s">
        <v>79</v>
      </c>
      <c r="N2086" t="s">
        <v>27</v>
      </c>
      <c r="O2086" t="s">
        <v>192</v>
      </c>
      <c r="P2086" s="1" t="s">
        <v>33</v>
      </c>
      <c r="Q2086">
        <v>112</v>
      </c>
    </row>
    <row r="2087" spans="1:17" x14ac:dyDescent="0.3">
      <c r="A2087">
        <v>2019</v>
      </c>
      <c r="B2087" t="s">
        <v>39</v>
      </c>
      <c r="C2087" t="s">
        <v>131</v>
      </c>
      <c r="D2087" s="1" t="s">
        <v>18</v>
      </c>
      <c r="E2087" s="4">
        <v>146.5</v>
      </c>
      <c r="F2087" s="4">
        <v>140.4</v>
      </c>
      <c r="G2087" s="4">
        <v>131.69999999999999</v>
      </c>
      <c r="H2087" s="1" t="s">
        <v>189</v>
      </c>
      <c r="K2087">
        <v>2015</v>
      </c>
      <c r="L2087" t="s">
        <v>41</v>
      </c>
      <c r="M2087" t="s">
        <v>79</v>
      </c>
      <c r="N2087" t="s">
        <v>14</v>
      </c>
      <c r="O2087" t="s">
        <v>188</v>
      </c>
      <c r="P2087" s="1" t="s">
        <v>30</v>
      </c>
      <c r="Q2087">
        <v>132.5</v>
      </c>
    </row>
    <row r="2088" spans="1:17" x14ac:dyDescent="0.3">
      <c r="A2088">
        <v>2019</v>
      </c>
      <c r="B2088" t="s">
        <v>39</v>
      </c>
      <c r="C2088" t="s">
        <v>131</v>
      </c>
      <c r="D2088" s="1" t="s">
        <v>8</v>
      </c>
      <c r="E2088" s="4">
        <v>143.30000000000001</v>
      </c>
      <c r="F2088" s="4">
        <v>146.80000000000001</v>
      </c>
      <c r="G2088" s="4">
        <v>150.9</v>
      </c>
      <c r="H2088" s="1" t="s">
        <v>188</v>
      </c>
      <c r="K2088">
        <v>2015</v>
      </c>
      <c r="L2088" t="s">
        <v>41</v>
      </c>
      <c r="M2088" t="s">
        <v>79</v>
      </c>
      <c r="N2088" t="s">
        <v>14</v>
      </c>
      <c r="O2088" t="s">
        <v>188</v>
      </c>
      <c r="P2088" s="1" t="s">
        <v>34</v>
      </c>
      <c r="Q2088">
        <v>132.1</v>
      </c>
    </row>
    <row r="2089" spans="1:17" x14ac:dyDescent="0.3">
      <c r="A2089">
        <v>2019</v>
      </c>
      <c r="B2089" t="s">
        <v>39</v>
      </c>
      <c r="C2089" t="s">
        <v>131</v>
      </c>
      <c r="D2089" s="1" t="s">
        <v>21</v>
      </c>
      <c r="E2089" s="4">
        <v>147.80000000000001</v>
      </c>
      <c r="F2089" s="4">
        <v>141.19999999999999</v>
      </c>
      <c r="G2089" s="4">
        <v>130.5</v>
      </c>
      <c r="H2089" s="1" t="s">
        <v>190</v>
      </c>
      <c r="K2089">
        <v>2015</v>
      </c>
      <c r="L2089" t="s">
        <v>41</v>
      </c>
      <c r="M2089" t="s">
        <v>79</v>
      </c>
      <c r="N2089" t="s">
        <v>14</v>
      </c>
      <c r="O2089" t="s">
        <v>188</v>
      </c>
      <c r="P2089" s="1" t="s">
        <v>33</v>
      </c>
      <c r="Q2089">
        <v>131.69999999999999</v>
      </c>
    </row>
    <row r="2090" spans="1:17" x14ac:dyDescent="0.3">
      <c r="A2090">
        <v>2019</v>
      </c>
      <c r="B2090" t="s">
        <v>39</v>
      </c>
      <c r="C2090" t="s">
        <v>131</v>
      </c>
      <c r="D2090" s="1" t="s">
        <v>29</v>
      </c>
      <c r="E2090" s="4">
        <v>143.6</v>
      </c>
      <c r="F2090" s="4">
        <v>142.9</v>
      </c>
      <c r="G2090" s="4">
        <v>142.1</v>
      </c>
      <c r="H2090" s="1" t="s">
        <v>206</v>
      </c>
      <c r="K2090">
        <v>2015</v>
      </c>
      <c r="L2090" t="s">
        <v>41</v>
      </c>
      <c r="M2090" t="s">
        <v>79</v>
      </c>
      <c r="N2090" t="s">
        <v>10</v>
      </c>
      <c r="O2090" t="s">
        <v>188</v>
      </c>
      <c r="P2090" s="1" t="s">
        <v>30</v>
      </c>
      <c r="Q2090">
        <v>137.9</v>
      </c>
    </row>
    <row r="2091" spans="1:17" x14ac:dyDescent="0.3">
      <c r="A2091">
        <v>2019</v>
      </c>
      <c r="B2091" t="s">
        <v>39</v>
      </c>
      <c r="C2091" t="s">
        <v>131</v>
      </c>
      <c r="D2091" s="1" t="s">
        <v>23</v>
      </c>
      <c r="E2091" s="4">
        <v>151.69999999999999</v>
      </c>
      <c r="F2091" s="4">
        <v>147.4</v>
      </c>
      <c r="G2091" s="4">
        <v>140.30000000000001</v>
      </c>
      <c r="H2091" s="1" t="s">
        <v>23</v>
      </c>
      <c r="K2091">
        <v>2015</v>
      </c>
      <c r="L2091" t="s">
        <v>41</v>
      </c>
      <c r="M2091" t="s">
        <v>79</v>
      </c>
      <c r="N2091" t="s">
        <v>10</v>
      </c>
      <c r="O2091" t="s">
        <v>188</v>
      </c>
      <c r="P2091" s="1" t="s">
        <v>34</v>
      </c>
      <c r="Q2091">
        <v>144</v>
      </c>
    </row>
    <row r="2092" spans="1:17" x14ac:dyDescent="0.3">
      <c r="A2092">
        <v>2019</v>
      </c>
      <c r="B2092" t="s">
        <v>39</v>
      </c>
      <c r="C2092" t="s">
        <v>131</v>
      </c>
      <c r="D2092" s="1" t="s">
        <v>22</v>
      </c>
      <c r="E2092" s="4">
        <v>149.6</v>
      </c>
      <c r="F2092" s="4">
        <v>143.80000000000001</v>
      </c>
      <c r="G2092" s="4">
        <v>137.4</v>
      </c>
      <c r="H2092" s="1" t="s">
        <v>20</v>
      </c>
      <c r="K2092">
        <v>2015</v>
      </c>
      <c r="L2092" t="s">
        <v>41</v>
      </c>
      <c r="M2092" t="s">
        <v>79</v>
      </c>
      <c r="N2092" t="s">
        <v>10</v>
      </c>
      <c r="O2092" t="s">
        <v>188</v>
      </c>
      <c r="P2092" s="1" t="s">
        <v>33</v>
      </c>
      <c r="Q2092">
        <v>156</v>
      </c>
    </row>
    <row r="2093" spans="1:17" x14ac:dyDescent="0.3">
      <c r="A2093">
        <v>2019</v>
      </c>
      <c r="B2093" t="s">
        <v>39</v>
      </c>
      <c r="C2093" t="s">
        <v>131</v>
      </c>
      <c r="D2093" s="1" t="s">
        <v>20</v>
      </c>
      <c r="E2093" s="4">
        <v>0</v>
      </c>
      <c r="F2093" s="4">
        <v>149.4</v>
      </c>
      <c r="G2093" s="4">
        <v>149.4</v>
      </c>
      <c r="H2093" s="1" t="s">
        <v>20</v>
      </c>
      <c r="K2093">
        <v>2015</v>
      </c>
      <c r="L2093" t="s">
        <v>41</v>
      </c>
      <c r="M2093" t="s">
        <v>79</v>
      </c>
      <c r="N2093" t="s">
        <v>25</v>
      </c>
      <c r="O2093" t="s">
        <v>195</v>
      </c>
      <c r="P2093" s="1" t="s">
        <v>30</v>
      </c>
      <c r="Q2093">
        <v>118.5</v>
      </c>
    </row>
    <row r="2094" spans="1:17" x14ac:dyDescent="0.3">
      <c r="A2094">
        <v>2019</v>
      </c>
      <c r="B2094" t="s">
        <v>39</v>
      </c>
      <c r="C2094" t="s">
        <v>131</v>
      </c>
      <c r="D2094" s="1" t="s">
        <v>4</v>
      </c>
      <c r="E2094" s="4">
        <v>163.5</v>
      </c>
      <c r="F2094" s="4">
        <v>162.1</v>
      </c>
      <c r="G2094" s="4">
        <v>159.6</v>
      </c>
      <c r="H2094" s="1" t="s">
        <v>188</v>
      </c>
      <c r="K2094">
        <v>2015</v>
      </c>
      <c r="L2094" t="s">
        <v>41</v>
      </c>
      <c r="M2094" t="s">
        <v>79</v>
      </c>
      <c r="N2094" t="s">
        <v>25</v>
      </c>
      <c r="O2094" t="s">
        <v>195</v>
      </c>
      <c r="P2094" s="1" t="s">
        <v>34</v>
      </c>
      <c r="Q2094">
        <v>117.8</v>
      </c>
    </row>
    <row r="2095" spans="1:17" x14ac:dyDescent="0.3">
      <c r="A2095">
        <v>2019</v>
      </c>
      <c r="B2095" t="s">
        <v>39</v>
      </c>
      <c r="C2095" t="s">
        <v>131</v>
      </c>
      <c r="D2095" s="1" t="s">
        <v>6</v>
      </c>
      <c r="E2095" s="4">
        <v>143.19999999999999</v>
      </c>
      <c r="F2095" s="4">
        <v>143.30000000000001</v>
      </c>
      <c r="G2095" s="4">
        <v>143.4</v>
      </c>
      <c r="H2095" s="1" t="s">
        <v>188</v>
      </c>
      <c r="K2095">
        <v>2015</v>
      </c>
      <c r="L2095" t="s">
        <v>41</v>
      </c>
      <c r="M2095" t="s">
        <v>79</v>
      </c>
      <c r="N2095" t="s">
        <v>25</v>
      </c>
      <c r="O2095" t="s">
        <v>195</v>
      </c>
      <c r="P2095" s="1" t="s">
        <v>33</v>
      </c>
      <c r="Q2095">
        <v>117.2</v>
      </c>
    </row>
    <row r="2096" spans="1:17" x14ac:dyDescent="0.3">
      <c r="A2096">
        <v>2019</v>
      </c>
      <c r="B2096" t="s">
        <v>39</v>
      </c>
      <c r="C2096" t="s">
        <v>131</v>
      </c>
      <c r="D2096" s="1" t="s">
        <v>28</v>
      </c>
      <c r="E2096" s="4">
        <v>143.30000000000001</v>
      </c>
      <c r="F2096" s="4">
        <v>138.6</v>
      </c>
      <c r="G2096" s="4">
        <v>133.6</v>
      </c>
      <c r="H2096" s="1" t="s">
        <v>192</v>
      </c>
      <c r="K2096">
        <v>2015</v>
      </c>
      <c r="L2096" t="s">
        <v>41</v>
      </c>
      <c r="M2096" t="s">
        <v>79</v>
      </c>
      <c r="N2096" t="s">
        <v>12</v>
      </c>
      <c r="O2096" t="s">
        <v>188</v>
      </c>
      <c r="P2096" s="1" t="s">
        <v>30</v>
      </c>
      <c r="Q2096">
        <v>123.9</v>
      </c>
    </row>
    <row r="2097" spans="1:17" x14ac:dyDescent="0.3">
      <c r="A2097">
        <v>2019</v>
      </c>
      <c r="B2097" t="s">
        <v>39</v>
      </c>
      <c r="C2097" t="s">
        <v>131</v>
      </c>
      <c r="D2097" s="1" t="s">
        <v>13</v>
      </c>
      <c r="E2097" s="4">
        <v>138</v>
      </c>
      <c r="F2097" s="4">
        <v>134.19999999999999</v>
      </c>
      <c r="G2097" s="4">
        <v>129</v>
      </c>
      <c r="H2097" s="1" t="s">
        <v>188</v>
      </c>
      <c r="K2097">
        <v>2015</v>
      </c>
      <c r="L2097" t="s">
        <v>41</v>
      </c>
      <c r="M2097" t="s">
        <v>79</v>
      </c>
      <c r="N2097" t="s">
        <v>12</v>
      </c>
      <c r="O2097" t="s">
        <v>188</v>
      </c>
      <c r="P2097" s="1" t="s">
        <v>34</v>
      </c>
      <c r="Q2097">
        <v>126.8</v>
      </c>
    </row>
    <row r="2098" spans="1:17" x14ac:dyDescent="0.3">
      <c r="A2098">
        <v>2019</v>
      </c>
      <c r="B2098" t="s">
        <v>39</v>
      </c>
      <c r="C2098" t="s">
        <v>131</v>
      </c>
      <c r="D2098" s="1" t="s">
        <v>7</v>
      </c>
      <c r="E2098" s="4">
        <v>124.3</v>
      </c>
      <c r="F2098" s="4">
        <v>122.2</v>
      </c>
      <c r="G2098" s="4">
        <v>118.6</v>
      </c>
      <c r="H2098" s="1" t="s">
        <v>188</v>
      </c>
      <c r="K2098">
        <v>2015</v>
      </c>
      <c r="L2098" t="s">
        <v>41</v>
      </c>
      <c r="M2098" t="s">
        <v>79</v>
      </c>
      <c r="N2098" t="s">
        <v>12</v>
      </c>
      <c r="O2098" t="s">
        <v>188</v>
      </c>
      <c r="P2098" s="1" t="s">
        <v>33</v>
      </c>
      <c r="Q2098">
        <v>132.69999999999999</v>
      </c>
    </row>
    <row r="2099" spans="1:17" x14ac:dyDescent="0.3">
      <c r="A2099">
        <v>2019</v>
      </c>
      <c r="B2099" t="s">
        <v>39</v>
      </c>
      <c r="C2099" t="s">
        <v>131</v>
      </c>
      <c r="D2099" s="1" t="s">
        <v>16</v>
      </c>
      <c r="E2099" s="4">
        <v>164.2</v>
      </c>
      <c r="F2099" s="4">
        <v>164.9</v>
      </c>
      <c r="G2099" s="4">
        <v>166.7</v>
      </c>
      <c r="H2099" s="1" t="s">
        <v>192</v>
      </c>
      <c r="K2099">
        <v>2015</v>
      </c>
      <c r="L2099" t="s">
        <v>41</v>
      </c>
      <c r="M2099" t="s">
        <v>79</v>
      </c>
      <c r="N2099" t="s">
        <v>11</v>
      </c>
      <c r="O2099" t="s">
        <v>188</v>
      </c>
      <c r="P2099" s="1" t="s">
        <v>30</v>
      </c>
      <c r="Q2099">
        <v>93.1</v>
      </c>
    </row>
    <row r="2100" spans="1:17" x14ac:dyDescent="0.3">
      <c r="A2100">
        <v>2019</v>
      </c>
      <c r="B2100" t="s">
        <v>39</v>
      </c>
      <c r="C2100" t="s">
        <v>131</v>
      </c>
      <c r="D2100" s="1" t="s">
        <v>27</v>
      </c>
      <c r="E2100" s="4">
        <v>134.80000000000001</v>
      </c>
      <c r="F2100" s="4">
        <v>134.30000000000001</v>
      </c>
      <c r="G2100" s="4">
        <v>133.69999999999999</v>
      </c>
      <c r="H2100" s="1" t="s">
        <v>192</v>
      </c>
      <c r="K2100">
        <v>2015</v>
      </c>
      <c r="L2100" t="s">
        <v>41</v>
      </c>
      <c r="M2100" t="s">
        <v>79</v>
      </c>
      <c r="N2100" t="s">
        <v>11</v>
      </c>
      <c r="O2100" t="s">
        <v>188</v>
      </c>
      <c r="P2100" s="1" t="s">
        <v>34</v>
      </c>
      <c r="Q2100">
        <v>90.5</v>
      </c>
    </row>
    <row r="2101" spans="1:17" x14ac:dyDescent="0.3">
      <c r="A2101">
        <v>2019</v>
      </c>
      <c r="B2101" t="s">
        <v>39</v>
      </c>
      <c r="C2101" t="s">
        <v>131</v>
      </c>
      <c r="D2101" s="1" t="s">
        <v>14</v>
      </c>
      <c r="E2101" s="4">
        <v>156.6</v>
      </c>
      <c r="F2101" s="4">
        <v>155.9</v>
      </c>
      <c r="G2101" s="4">
        <v>155.1</v>
      </c>
      <c r="H2101" s="1" t="s">
        <v>188</v>
      </c>
      <c r="K2101">
        <v>2015</v>
      </c>
      <c r="L2101" t="s">
        <v>41</v>
      </c>
      <c r="M2101" t="s">
        <v>79</v>
      </c>
      <c r="N2101" t="s">
        <v>11</v>
      </c>
      <c r="O2101" t="s">
        <v>188</v>
      </c>
      <c r="P2101" s="1" t="s">
        <v>33</v>
      </c>
      <c r="Q2101">
        <v>85.3</v>
      </c>
    </row>
    <row r="2102" spans="1:17" x14ac:dyDescent="0.3">
      <c r="A2102">
        <v>2019</v>
      </c>
      <c r="B2102" t="s">
        <v>39</v>
      </c>
      <c r="C2102" t="s">
        <v>131</v>
      </c>
      <c r="D2102" s="1" t="s">
        <v>10</v>
      </c>
      <c r="E2102" s="4">
        <v>128.69999999999999</v>
      </c>
      <c r="F2102" s="4">
        <v>128.30000000000001</v>
      </c>
      <c r="G2102" s="4">
        <v>127.4</v>
      </c>
      <c r="H2102" s="1" t="s">
        <v>188</v>
      </c>
      <c r="K2102">
        <v>2015</v>
      </c>
      <c r="L2102" t="s">
        <v>41</v>
      </c>
      <c r="M2102" t="s">
        <v>79</v>
      </c>
      <c r="N2102" t="s">
        <v>24</v>
      </c>
      <c r="O2102" t="s">
        <v>191</v>
      </c>
      <c r="P2102" s="1" t="s">
        <v>30</v>
      </c>
      <c r="Q2102">
        <v>113.6</v>
      </c>
    </row>
    <row r="2103" spans="1:17" x14ac:dyDescent="0.3">
      <c r="A2103">
        <v>2019</v>
      </c>
      <c r="B2103" t="s">
        <v>39</v>
      </c>
      <c r="C2103" t="s">
        <v>131</v>
      </c>
      <c r="D2103" s="1" t="s">
        <v>25</v>
      </c>
      <c r="E2103" s="4">
        <v>146.4</v>
      </c>
      <c r="F2103" s="4">
        <v>139.6</v>
      </c>
      <c r="G2103" s="4">
        <v>134.30000000000001</v>
      </c>
      <c r="H2103" s="1" t="s">
        <v>195</v>
      </c>
      <c r="K2103">
        <v>2015</v>
      </c>
      <c r="L2103" t="s">
        <v>41</v>
      </c>
      <c r="M2103" t="s">
        <v>79</v>
      </c>
      <c r="N2103" t="s">
        <v>24</v>
      </c>
      <c r="O2103" t="s">
        <v>191</v>
      </c>
      <c r="P2103" s="1" t="s">
        <v>34</v>
      </c>
      <c r="Q2103">
        <v>111.7</v>
      </c>
    </row>
    <row r="2104" spans="1:17" x14ac:dyDescent="0.3">
      <c r="A2104">
        <v>2019</v>
      </c>
      <c r="B2104" t="s">
        <v>39</v>
      </c>
      <c r="C2104" t="s">
        <v>131</v>
      </c>
      <c r="D2104" s="1" t="s">
        <v>12</v>
      </c>
      <c r="E2104" s="4">
        <v>140.4</v>
      </c>
      <c r="F2104" s="4">
        <v>140.6</v>
      </c>
      <c r="G2104" s="4">
        <v>141</v>
      </c>
      <c r="H2104" s="1" t="s">
        <v>188</v>
      </c>
      <c r="K2104">
        <v>2015</v>
      </c>
      <c r="L2104" t="s">
        <v>41</v>
      </c>
      <c r="M2104" t="s">
        <v>79</v>
      </c>
      <c r="N2104" t="s">
        <v>24</v>
      </c>
      <c r="O2104" t="s">
        <v>191</v>
      </c>
      <c r="P2104" s="1" t="s">
        <v>33</v>
      </c>
      <c r="Q2104">
        <v>109.9</v>
      </c>
    </row>
    <row r="2105" spans="1:17" x14ac:dyDescent="0.3">
      <c r="A2105">
        <v>2019</v>
      </c>
      <c r="B2105" t="s">
        <v>39</v>
      </c>
      <c r="C2105" t="s">
        <v>131</v>
      </c>
      <c r="D2105" s="1" t="s">
        <v>11</v>
      </c>
      <c r="E2105" s="4">
        <v>110.6</v>
      </c>
      <c r="F2105" s="4">
        <v>111</v>
      </c>
      <c r="G2105" s="4">
        <v>111.8</v>
      </c>
      <c r="H2105" s="1" t="s">
        <v>188</v>
      </c>
      <c r="K2105">
        <v>2015</v>
      </c>
      <c r="L2105" t="s">
        <v>41</v>
      </c>
      <c r="M2105" t="s">
        <v>79</v>
      </c>
      <c r="N2105" t="s">
        <v>9</v>
      </c>
      <c r="O2105" t="s">
        <v>188</v>
      </c>
      <c r="P2105" s="1" t="s">
        <v>30</v>
      </c>
      <c r="Q2105">
        <v>153.6</v>
      </c>
    </row>
    <row r="2106" spans="1:17" x14ac:dyDescent="0.3">
      <c r="A2106">
        <v>2019</v>
      </c>
      <c r="B2106" t="s">
        <v>39</v>
      </c>
      <c r="C2106" t="s">
        <v>131</v>
      </c>
      <c r="D2106" s="1" t="s">
        <v>24</v>
      </c>
      <c r="E2106" s="4">
        <v>130.19999999999999</v>
      </c>
      <c r="F2106" s="4">
        <v>124.6</v>
      </c>
      <c r="G2106" s="4">
        <v>119.6</v>
      </c>
      <c r="H2106" s="1" t="s">
        <v>191</v>
      </c>
      <c r="K2106">
        <v>2015</v>
      </c>
      <c r="L2106" t="s">
        <v>41</v>
      </c>
      <c r="M2106" t="s">
        <v>79</v>
      </c>
      <c r="N2106" t="s">
        <v>9</v>
      </c>
      <c r="O2106" t="s">
        <v>188</v>
      </c>
      <c r="P2106" s="1" t="s">
        <v>34</v>
      </c>
      <c r="Q2106">
        <v>157.6</v>
      </c>
    </row>
    <row r="2107" spans="1:17" x14ac:dyDescent="0.3">
      <c r="A2107">
        <v>2019</v>
      </c>
      <c r="B2107" t="s">
        <v>39</v>
      </c>
      <c r="C2107" t="s">
        <v>131</v>
      </c>
      <c r="D2107" s="1" t="s">
        <v>9</v>
      </c>
      <c r="E2107" s="4">
        <v>140.6</v>
      </c>
      <c r="F2107" s="4">
        <v>150.5</v>
      </c>
      <c r="G2107" s="4">
        <v>169.8</v>
      </c>
      <c r="H2107" s="1" t="s">
        <v>188</v>
      </c>
      <c r="K2107">
        <v>2015</v>
      </c>
      <c r="L2107" t="s">
        <v>41</v>
      </c>
      <c r="M2107" t="s">
        <v>79</v>
      </c>
      <c r="N2107" t="s">
        <v>9</v>
      </c>
      <c r="O2107" t="s">
        <v>188</v>
      </c>
      <c r="P2107" s="1" t="s">
        <v>33</v>
      </c>
      <c r="Q2107">
        <v>165.5</v>
      </c>
    </row>
    <row r="2108" spans="1:17" x14ac:dyDescent="0.3">
      <c r="A2108">
        <v>2019</v>
      </c>
      <c r="B2108" t="s">
        <v>36</v>
      </c>
      <c r="C2108" t="s">
        <v>132</v>
      </c>
      <c r="D2108" s="1" t="s">
        <v>3</v>
      </c>
      <c r="E2108" s="4">
        <v>136.9</v>
      </c>
      <c r="F2108" s="4">
        <v>137.80000000000001</v>
      </c>
      <c r="G2108" s="4">
        <v>139.69999999999999</v>
      </c>
      <c r="H2108" s="1" t="s">
        <v>188</v>
      </c>
      <c r="K2108">
        <v>2015</v>
      </c>
      <c r="L2108" t="s">
        <v>45</v>
      </c>
      <c r="M2108" t="s">
        <v>80</v>
      </c>
      <c r="N2108" t="s">
        <v>3</v>
      </c>
      <c r="O2108" t="s">
        <v>188</v>
      </c>
      <c r="P2108" s="1" t="s">
        <v>30</v>
      </c>
      <c r="Q2108">
        <v>126.3</v>
      </c>
    </row>
    <row r="2109" spans="1:17" x14ac:dyDescent="0.3">
      <c r="A2109">
        <v>2019</v>
      </c>
      <c r="B2109" t="s">
        <v>36</v>
      </c>
      <c r="C2109" t="s">
        <v>132</v>
      </c>
      <c r="D2109" s="1" t="s">
        <v>17</v>
      </c>
      <c r="E2109" s="4">
        <v>150.80000000000001</v>
      </c>
      <c r="F2109" s="4">
        <v>147.9</v>
      </c>
      <c r="G2109" s="4">
        <v>143.5</v>
      </c>
      <c r="H2109" s="1" t="s">
        <v>189</v>
      </c>
      <c r="K2109">
        <v>2015</v>
      </c>
      <c r="L2109" t="s">
        <v>45</v>
      </c>
      <c r="M2109" t="s">
        <v>80</v>
      </c>
      <c r="N2109" t="s">
        <v>3</v>
      </c>
      <c r="O2109" t="s">
        <v>188</v>
      </c>
      <c r="P2109" s="1" t="s">
        <v>34</v>
      </c>
      <c r="Q2109">
        <v>125.7</v>
      </c>
    </row>
    <row r="2110" spans="1:17" x14ac:dyDescent="0.3">
      <c r="A2110">
        <v>2019</v>
      </c>
      <c r="B2110" t="s">
        <v>36</v>
      </c>
      <c r="C2110" t="s">
        <v>132</v>
      </c>
      <c r="D2110" s="1" t="s">
        <v>19</v>
      </c>
      <c r="E2110" s="4">
        <v>150.1</v>
      </c>
      <c r="F2110" s="4">
        <v>146.69999999999999</v>
      </c>
      <c r="G2110" s="4">
        <v>141.6</v>
      </c>
      <c r="H2110" s="1" t="s">
        <v>189</v>
      </c>
      <c r="K2110">
        <v>2015</v>
      </c>
      <c r="L2110" t="s">
        <v>45</v>
      </c>
      <c r="M2110" t="s">
        <v>80</v>
      </c>
      <c r="N2110" t="s">
        <v>3</v>
      </c>
      <c r="O2110" t="s">
        <v>188</v>
      </c>
      <c r="P2110" s="1" t="s">
        <v>33</v>
      </c>
      <c r="Q2110">
        <v>124.3</v>
      </c>
    </row>
    <row r="2111" spans="1:17" x14ac:dyDescent="0.3">
      <c r="A2111">
        <v>2019</v>
      </c>
      <c r="B2111" t="s">
        <v>36</v>
      </c>
      <c r="C2111" t="s">
        <v>132</v>
      </c>
      <c r="D2111" s="1" t="s">
        <v>26</v>
      </c>
      <c r="E2111" s="4">
        <v>155.5</v>
      </c>
      <c r="F2111" s="4">
        <v>150.30000000000001</v>
      </c>
      <c r="G2111" s="4">
        <v>146.69999999999999</v>
      </c>
      <c r="H2111" s="1" t="s">
        <v>26</v>
      </c>
      <c r="K2111">
        <v>2015</v>
      </c>
      <c r="L2111" t="s">
        <v>45</v>
      </c>
      <c r="M2111" t="s">
        <v>80</v>
      </c>
      <c r="N2111" t="s">
        <v>17</v>
      </c>
      <c r="O2111" t="s">
        <v>189</v>
      </c>
      <c r="P2111" s="1" t="s">
        <v>30</v>
      </c>
      <c r="Q2111">
        <v>132.5</v>
      </c>
    </row>
    <row r="2112" spans="1:17" x14ac:dyDescent="0.3">
      <c r="A2112">
        <v>2019</v>
      </c>
      <c r="B2112" t="s">
        <v>36</v>
      </c>
      <c r="C2112" t="s">
        <v>132</v>
      </c>
      <c r="D2112" s="1" t="s">
        <v>5</v>
      </c>
      <c r="E2112" s="4">
        <v>138.69999999999999</v>
      </c>
      <c r="F2112" s="4">
        <v>140.30000000000001</v>
      </c>
      <c r="G2112" s="4">
        <v>142.9</v>
      </c>
      <c r="H2112" s="1" t="s">
        <v>188</v>
      </c>
      <c r="K2112">
        <v>2015</v>
      </c>
      <c r="L2112" t="s">
        <v>45</v>
      </c>
      <c r="M2112" t="s">
        <v>80</v>
      </c>
      <c r="N2112" t="s">
        <v>17</v>
      </c>
      <c r="O2112" t="s">
        <v>189</v>
      </c>
      <c r="P2112" s="1" t="s">
        <v>34</v>
      </c>
      <c r="Q2112">
        <v>129.69999999999999</v>
      </c>
    </row>
    <row r="2113" spans="1:17" x14ac:dyDescent="0.3">
      <c r="A2113">
        <v>2019</v>
      </c>
      <c r="B2113" t="s">
        <v>36</v>
      </c>
      <c r="C2113" t="s">
        <v>132</v>
      </c>
      <c r="D2113" s="1" t="s">
        <v>15</v>
      </c>
      <c r="E2113" s="4">
        <v>137.30000000000001</v>
      </c>
      <c r="F2113" s="4">
        <v>138.1</v>
      </c>
      <c r="G2113" s="4">
        <v>139.6</v>
      </c>
      <c r="H2113" s="1" t="s">
        <v>188</v>
      </c>
      <c r="K2113">
        <v>2015</v>
      </c>
      <c r="L2113" t="s">
        <v>45</v>
      </c>
      <c r="M2113" t="s">
        <v>80</v>
      </c>
      <c r="N2113" t="s">
        <v>17</v>
      </c>
      <c r="O2113" t="s">
        <v>189</v>
      </c>
      <c r="P2113" s="1" t="s">
        <v>33</v>
      </c>
      <c r="Q2113">
        <v>125.4</v>
      </c>
    </row>
    <row r="2114" spans="1:17" x14ac:dyDescent="0.3">
      <c r="A2114">
        <v>2019</v>
      </c>
      <c r="B2114" t="s">
        <v>36</v>
      </c>
      <c r="C2114" t="s">
        <v>132</v>
      </c>
      <c r="D2114" s="1" t="s">
        <v>18</v>
      </c>
      <c r="E2114" s="4">
        <v>146.1</v>
      </c>
      <c r="F2114" s="4">
        <v>139.9</v>
      </c>
      <c r="G2114" s="4">
        <v>131.19999999999999</v>
      </c>
      <c r="H2114" s="1" t="s">
        <v>189</v>
      </c>
      <c r="K2114">
        <v>2015</v>
      </c>
      <c r="L2114" t="s">
        <v>45</v>
      </c>
      <c r="M2114" t="s">
        <v>80</v>
      </c>
      <c r="N2114" t="s">
        <v>19</v>
      </c>
      <c r="O2114" t="s">
        <v>189</v>
      </c>
      <c r="P2114" s="1" t="s">
        <v>30</v>
      </c>
      <c r="Q2114">
        <v>131.9</v>
      </c>
    </row>
    <row r="2115" spans="1:17" x14ac:dyDescent="0.3">
      <c r="A2115">
        <v>2019</v>
      </c>
      <c r="B2115" t="s">
        <v>36</v>
      </c>
      <c r="C2115" t="s">
        <v>132</v>
      </c>
      <c r="D2115" s="1" t="s">
        <v>8</v>
      </c>
      <c r="E2115" s="4">
        <v>136.1</v>
      </c>
      <c r="F2115" s="4">
        <v>137.6</v>
      </c>
      <c r="G2115" s="4">
        <v>139.4</v>
      </c>
      <c r="H2115" s="1" t="s">
        <v>188</v>
      </c>
      <c r="K2115">
        <v>2015</v>
      </c>
      <c r="L2115" t="s">
        <v>45</v>
      </c>
      <c r="M2115" t="s">
        <v>80</v>
      </c>
      <c r="N2115" t="s">
        <v>19</v>
      </c>
      <c r="O2115" t="s">
        <v>189</v>
      </c>
      <c r="P2115" s="1" t="s">
        <v>34</v>
      </c>
      <c r="Q2115">
        <v>129</v>
      </c>
    </row>
    <row r="2116" spans="1:17" x14ac:dyDescent="0.3">
      <c r="A2116">
        <v>2019</v>
      </c>
      <c r="B2116" t="s">
        <v>36</v>
      </c>
      <c r="C2116" t="s">
        <v>132</v>
      </c>
      <c r="D2116" s="1" t="s">
        <v>21</v>
      </c>
      <c r="E2116" s="4">
        <v>146.4</v>
      </c>
      <c r="F2116" s="4">
        <v>139.69999999999999</v>
      </c>
      <c r="G2116" s="4">
        <v>128.80000000000001</v>
      </c>
      <c r="H2116" s="1" t="s">
        <v>190</v>
      </c>
      <c r="K2116">
        <v>2015</v>
      </c>
      <c r="L2116" t="s">
        <v>45</v>
      </c>
      <c r="M2116" t="s">
        <v>80</v>
      </c>
      <c r="N2116" t="s">
        <v>19</v>
      </c>
      <c r="O2116" t="s">
        <v>189</v>
      </c>
      <c r="P2116" s="1" t="s">
        <v>33</v>
      </c>
      <c r="Q2116">
        <v>124.5</v>
      </c>
    </row>
    <row r="2117" spans="1:17" x14ac:dyDescent="0.3">
      <c r="A2117">
        <v>2019</v>
      </c>
      <c r="B2117" t="s">
        <v>36</v>
      </c>
      <c r="C2117" t="s">
        <v>132</v>
      </c>
      <c r="D2117" s="1" t="s">
        <v>29</v>
      </c>
      <c r="E2117" s="4">
        <v>141.19999999999999</v>
      </c>
      <c r="F2117" s="4">
        <v>140.4</v>
      </c>
      <c r="G2117" s="4">
        <v>139.5</v>
      </c>
      <c r="H2117" s="1" t="s">
        <v>206</v>
      </c>
      <c r="K2117">
        <v>2015</v>
      </c>
      <c r="L2117" t="s">
        <v>45</v>
      </c>
      <c r="M2117" t="s">
        <v>80</v>
      </c>
      <c r="N2117" t="s">
        <v>26</v>
      </c>
      <c r="O2117" t="s">
        <v>26</v>
      </c>
      <c r="P2117" s="1" t="s">
        <v>30</v>
      </c>
      <c r="Q2117">
        <v>125.6</v>
      </c>
    </row>
    <row r="2118" spans="1:17" x14ac:dyDescent="0.3">
      <c r="A2118">
        <v>2019</v>
      </c>
      <c r="B2118" t="s">
        <v>36</v>
      </c>
      <c r="C2118" t="s">
        <v>132</v>
      </c>
      <c r="D2118" s="1" t="s">
        <v>23</v>
      </c>
      <c r="E2118" s="4">
        <v>150.4</v>
      </c>
      <c r="F2118" s="4">
        <v>146.19999999999999</v>
      </c>
      <c r="G2118" s="4">
        <v>139.19999999999999</v>
      </c>
      <c r="H2118" s="1" t="s">
        <v>23</v>
      </c>
      <c r="K2118">
        <v>2015</v>
      </c>
      <c r="L2118" t="s">
        <v>45</v>
      </c>
      <c r="M2118" t="s">
        <v>80</v>
      </c>
      <c r="N2118" t="s">
        <v>26</v>
      </c>
      <c r="O2118" t="s">
        <v>26</v>
      </c>
      <c r="P2118" s="1" t="s">
        <v>34</v>
      </c>
      <c r="Q2118">
        <v>126.2</v>
      </c>
    </row>
    <row r="2119" spans="1:17" x14ac:dyDescent="0.3">
      <c r="A2119">
        <v>2019</v>
      </c>
      <c r="B2119" t="s">
        <v>36</v>
      </c>
      <c r="C2119" t="s">
        <v>132</v>
      </c>
      <c r="D2119" s="1" t="s">
        <v>22</v>
      </c>
      <c r="E2119" s="4">
        <v>150</v>
      </c>
      <c r="F2119" s="4">
        <v>143.80000000000001</v>
      </c>
      <c r="G2119" s="4">
        <v>136.80000000000001</v>
      </c>
      <c r="H2119" s="1" t="s">
        <v>20</v>
      </c>
      <c r="K2119">
        <v>2015</v>
      </c>
      <c r="L2119" t="s">
        <v>45</v>
      </c>
      <c r="M2119" t="s">
        <v>80</v>
      </c>
      <c r="N2119" t="s">
        <v>26</v>
      </c>
      <c r="O2119" t="s">
        <v>26</v>
      </c>
      <c r="P2119" s="1" t="s">
        <v>33</v>
      </c>
      <c r="Q2119">
        <v>126.6</v>
      </c>
    </row>
    <row r="2120" spans="1:17" x14ac:dyDescent="0.3">
      <c r="A2120">
        <v>2019</v>
      </c>
      <c r="B2120" t="s">
        <v>36</v>
      </c>
      <c r="C2120" t="s">
        <v>132</v>
      </c>
      <c r="D2120" s="1" t="s">
        <v>20</v>
      </c>
      <c r="E2120" s="4">
        <v>0</v>
      </c>
      <c r="F2120" s="4">
        <v>149</v>
      </c>
      <c r="G2120" s="4">
        <v>149</v>
      </c>
      <c r="H2120" s="1" t="s">
        <v>20</v>
      </c>
      <c r="K2120">
        <v>2015</v>
      </c>
      <c r="L2120" t="s">
        <v>45</v>
      </c>
      <c r="M2120" t="s">
        <v>80</v>
      </c>
      <c r="N2120" t="s">
        <v>5</v>
      </c>
      <c r="O2120" t="s">
        <v>188</v>
      </c>
      <c r="P2120" s="1" t="s">
        <v>30</v>
      </c>
      <c r="Q2120">
        <v>123.3</v>
      </c>
    </row>
    <row r="2121" spans="1:17" x14ac:dyDescent="0.3">
      <c r="A2121">
        <v>2019</v>
      </c>
      <c r="B2121" t="s">
        <v>36</v>
      </c>
      <c r="C2121" t="s">
        <v>132</v>
      </c>
      <c r="D2121" s="1" t="s">
        <v>4</v>
      </c>
      <c r="E2121" s="4">
        <v>154.1</v>
      </c>
      <c r="F2121" s="4">
        <v>153</v>
      </c>
      <c r="G2121" s="4">
        <v>151.1</v>
      </c>
      <c r="H2121" s="1" t="s">
        <v>188</v>
      </c>
      <c r="K2121">
        <v>2015</v>
      </c>
      <c r="L2121" t="s">
        <v>45</v>
      </c>
      <c r="M2121" t="s">
        <v>80</v>
      </c>
      <c r="N2121" t="s">
        <v>5</v>
      </c>
      <c r="O2121" t="s">
        <v>188</v>
      </c>
      <c r="P2121" s="1" t="s">
        <v>34</v>
      </c>
      <c r="Q2121">
        <v>124.8</v>
      </c>
    </row>
    <row r="2122" spans="1:17" x14ac:dyDescent="0.3">
      <c r="A2122">
        <v>2019</v>
      </c>
      <c r="B2122" t="s">
        <v>36</v>
      </c>
      <c r="C2122" t="s">
        <v>132</v>
      </c>
      <c r="D2122" s="1" t="s">
        <v>6</v>
      </c>
      <c r="E2122" s="4">
        <v>142.5</v>
      </c>
      <c r="F2122" s="4">
        <v>142.30000000000001</v>
      </c>
      <c r="G2122" s="4">
        <v>141.9</v>
      </c>
      <c r="H2122" s="1" t="s">
        <v>188</v>
      </c>
      <c r="K2122">
        <v>2015</v>
      </c>
      <c r="L2122" t="s">
        <v>45</v>
      </c>
      <c r="M2122" t="s">
        <v>80</v>
      </c>
      <c r="N2122" t="s">
        <v>5</v>
      </c>
      <c r="O2122" t="s">
        <v>188</v>
      </c>
      <c r="P2122" s="1" t="s">
        <v>33</v>
      </c>
      <c r="Q2122">
        <v>127.1</v>
      </c>
    </row>
    <row r="2123" spans="1:17" x14ac:dyDescent="0.3">
      <c r="A2123">
        <v>2019</v>
      </c>
      <c r="B2123" t="s">
        <v>36</v>
      </c>
      <c r="C2123" t="s">
        <v>132</v>
      </c>
      <c r="D2123" s="1" t="s">
        <v>28</v>
      </c>
      <c r="E2123" s="4">
        <v>142.4</v>
      </c>
      <c r="F2123" s="4">
        <v>137.69999999999999</v>
      </c>
      <c r="G2123" s="4">
        <v>132.80000000000001</v>
      </c>
      <c r="H2123" s="1" t="s">
        <v>192</v>
      </c>
      <c r="K2123">
        <v>2015</v>
      </c>
      <c r="L2123" t="s">
        <v>45</v>
      </c>
      <c r="M2123" t="s">
        <v>80</v>
      </c>
      <c r="N2123" t="s">
        <v>15</v>
      </c>
      <c r="O2123" t="s">
        <v>188</v>
      </c>
      <c r="P2123" s="1" t="s">
        <v>30</v>
      </c>
      <c r="Q2123">
        <v>131.4</v>
      </c>
    </row>
    <row r="2124" spans="1:17" x14ac:dyDescent="0.3">
      <c r="A2124">
        <v>2019</v>
      </c>
      <c r="B2124" t="s">
        <v>36</v>
      </c>
      <c r="C2124" t="s">
        <v>132</v>
      </c>
      <c r="D2124" s="1" t="s">
        <v>13</v>
      </c>
      <c r="E2124" s="4">
        <v>137.4</v>
      </c>
      <c r="F2124" s="4">
        <v>133.69999999999999</v>
      </c>
      <c r="G2124" s="4">
        <v>128.5</v>
      </c>
      <c r="H2124" s="1" t="s">
        <v>188</v>
      </c>
      <c r="K2124">
        <v>2015</v>
      </c>
      <c r="L2124" t="s">
        <v>45</v>
      </c>
      <c r="M2124" t="s">
        <v>80</v>
      </c>
      <c r="N2124" t="s">
        <v>15</v>
      </c>
      <c r="O2124" t="s">
        <v>188</v>
      </c>
      <c r="P2124" s="1" t="s">
        <v>34</v>
      </c>
      <c r="Q2124">
        <v>131.4</v>
      </c>
    </row>
    <row r="2125" spans="1:17" x14ac:dyDescent="0.3">
      <c r="A2125">
        <v>2019</v>
      </c>
      <c r="B2125" t="s">
        <v>36</v>
      </c>
      <c r="C2125" t="s">
        <v>132</v>
      </c>
      <c r="D2125" s="1" t="s">
        <v>7</v>
      </c>
      <c r="E2125" s="4">
        <v>124.1</v>
      </c>
      <c r="F2125" s="4">
        <v>122</v>
      </c>
      <c r="G2125" s="4">
        <v>118.4</v>
      </c>
      <c r="H2125" s="1" t="s">
        <v>188</v>
      </c>
      <c r="K2125">
        <v>2015</v>
      </c>
      <c r="L2125" t="s">
        <v>45</v>
      </c>
      <c r="M2125" t="s">
        <v>80</v>
      </c>
      <c r="N2125" t="s">
        <v>15</v>
      </c>
      <c r="O2125" t="s">
        <v>188</v>
      </c>
      <c r="P2125" s="1" t="s">
        <v>33</v>
      </c>
      <c r="Q2125">
        <v>131.5</v>
      </c>
    </row>
    <row r="2126" spans="1:17" x14ac:dyDescent="0.3">
      <c r="A2126">
        <v>2019</v>
      </c>
      <c r="B2126" t="s">
        <v>36</v>
      </c>
      <c r="C2126" t="s">
        <v>132</v>
      </c>
      <c r="D2126" s="1" t="s">
        <v>16</v>
      </c>
      <c r="E2126" s="4">
        <v>162.9</v>
      </c>
      <c r="F2126" s="4">
        <v>163.5</v>
      </c>
      <c r="G2126" s="4">
        <v>165.3</v>
      </c>
      <c r="H2126" s="1" t="s">
        <v>192</v>
      </c>
      <c r="K2126">
        <v>2015</v>
      </c>
      <c r="L2126" t="s">
        <v>45</v>
      </c>
      <c r="M2126" t="s">
        <v>80</v>
      </c>
      <c r="N2126" t="s">
        <v>18</v>
      </c>
      <c r="O2126" t="s">
        <v>189</v>
      </c>
      <c r="P2126" s="1" t="s">
        <v>30</v>
      </c>
      <c r="Q2126">
        <v>128.5</v>
      </c>
    </row>
    <row r="2127" spans="1:17" x14ac:dyDescent="0.3">
      <c r="A2127">
        <v>2019</v>
      </c>
      <c r="B2127" t="s">
        <v>36</v>
      </c>
      <c r="C2127" t="s">
        <v>132</v>
      </c>
      <c r="D2127" s="1" t="s">
        <v>27</v>
      </c>
      <c r="E2127" s="4">
        <v>134</v>
      </c>
      <c r="F2127" s="4">
        <v>133.4</v>
      </c>
      <c r="G2127" s="4">
        <v>132.5</v>
      </c>
      <c r="H2127" s="1" t="s">
        <v>192</v>
      </c>
      <c r="K2127">
        <v>2015</v>
      </c>
      <c r="L2127" t="s">
        <v>45</v>
      </c>
      <c r="M2127" t="s">
        <v>80</v>
      </c>
      <c r="N2127" t="s">
        <v>18</v>
      </c>
      <c r="O2127" t="s">
        <v>189</v>
      </c>
      <c r="P2127" s="1" t="s">
        <v>34</v>
      </c>
      <c r="Q2127">
        <v>124.8</v>
      </c>
    </row>
    <row r="2128" spans="1:17" x14ac:dyDescent="0.3">
      <c r="A2128">
        <v>2019</v>
      </c>
      <c r="B2128" t="s">
        <v>36</v>
      </c>
      <c r="C2128" t="s">
        <v>132</v>
      </c>
      <c r="D2128" s="1" t="s">
        <v>14</v>
      </c>
      <c r="E2128" s="4">
        <v>156.4</v>
      </c>
      <c r="F2128" s="4">
        <v>155.19999999999999</v>
      </c>
      <c r="G2128" s="4">
        <v>153.9</v>
      </c>
      <c r="H2128" s="1" t="s">
        <v>188</v>
      </c>
      <c r="K2128">
        <v>2015</v>
      </c>
      <c r="L2128" t="s">
        <v>45</v>
      </c>
      <c r="M2128" t="s">
        <v>80</v>
      </c>
      <c r="N2128" t="s">
        <v>18</v>
      </c>
      <c r="O2128" t="s">
        <v>189</v>
      </c>
      <c r="P2128" s="1" t="s">
        <v>33</v>
      </c>
      <c r="Q2128">
        <v>119.5</v>
      </c>
    </row>
    <row r="2129" spans="1:17" x14ac:dyDescent="0.3">
      <c r="A2129">
        <v>2019</v>
      </c>
      <c r="B2129" t="s">
        <v>36</v>
      </c>
      <c r="C2129" t="s">
        <v>132</v>
      </c>
      <c r="D2129" s="1" t="s">
        <v>10</v>
      </c>
      <c r="E2129" s="4">
        <v>122.3</v>
      </c>
      <c r="F2129" s="4">
        <v>121.8</v>
      </c>
      <c r="G2129" s="4">
        <v>120.7</v>
      </c>
      <c r="H2129" s="1" t="s">
        <v>188</v>
      </c>
      <c r="K2129">
        <v>2015</v>
      </c>
      <c r="L2129" t="s">
        <v>45</v>
      </c>
      <c r="M2129" t="s">
        <v>80</v>
      </c>
      <c r="N2129" t="s">
        <v>8</v>
      </c>
      <c r="O2129" t="s">
        <v>188</v>
      </c>
      <c r="P2129" s="1" t="s">
        <v>30</v>
      </c>
      <c r="Q2129">
        <v>131.6</v>
      </c>
    </row>
    <row r="2130" spans="1:17" x14ac:dyDescent="0.3">
      <c r="A2130">
        <v>2019</v>
      </c>
      <c r="B2130" t="s">
        <v>36</v>
      </c>
      <c r="C2130" t="s">
        <v>132</v>
      </c>
      <c r="D2130" s="1" t="s">
        <v>25</v>
      </c>
      <c r="E2130" s="4">
        <v>143.80000000000001</v>
      </c>
      <c r="F2130" s="4">
        <v>137.69999999999999</v>
      </c>
      <c r="G2130" s="4">
        <v>133</v>
      </c>
      <c r="H2130" s="1" t="s">
        <v>195</v>
      </c>
      <c r="K2130">
        <v>2015</v>
      </c>
      <c r="L2130" t="s">
        <v>45</v>
      </c>
      <c r="M2130" t="s">
        <v>80</v>
      </c>
      <c r="N2130" t="s">
        <v>8</v>
      </c>
      <c r="O2130" t="s">
        <v>188</v>
      </c>
      <c r="P2130" s="1" t="s">
        <v>34</v>
      </c>
      <c r="Q2130">
        <v>126.6</v>
      </c>
    </row>
    <row r="2131" spans="1:17" x14ac:dyDescent="0.3">
      <c r="A2131">
        <v>2019</v>
      </c>
      <c r="B2131" t="s">
        <v>36</v>
      </c>
      <c r="C2131" t="s">
        <v>132</v>
      </c>
      <c r="D2131" s="1" t="s">
        <v>12</v>
      </c>
      <c r="E2131" s="4">
        <v>138.9</v>
      </c>
      <c r="F2131" s="4">
        <v>139.5</v>
      </c>
      <c r="G2131" s="4">
        <v>140.69999999999999</v>
      </c>
      <c r="H2131" s="1" t="s">
        <v>188</v>
      </c>
      <c r="K2131">
        <v>2015</v>
      </c>
      <c r="L2131" t="s">
        <v>45</v>
      </c>
      <c r="M2131" t="s">
        <v>80</v>
      </c>
      <c r="N2131" t="s">
        <v>8</v>
      </c>
      <c r="O2131" t="s">
        <v>188</v>
      </c>
      <c r="P2131" s="1" t="s">
        <v>33</v>
      </c>
      <c r="Q2131">
        <v>120.8</v>
      </c>
    </row>
    <row r="2132" spans="1:17" x14ac:dyDescent="0.3">
      <c r="A2132">
        <v>2019</v>
      </c>
      <c r="B2132" t="s">
        <v>36</v>
      </c>
      <c r="C2132" t="s">
        <v>132</v>
      </c>
      <c r="D2132" s="1" t="s">
        <v>11</v>
      </c>
      <c r="E2132" s="4">
        <v>108.3</v>
      </c>
      <c r="F2132" s="4">
        <v>109</v>
      </c>
      <c r="G2132" s="4">
        <v>110.4</v>
      </c>
      <c r="H2132" s="1" t="s">
        <v>188</v>
      </c>
      <c r="K2132">
        <v>2015</v>
      </c>
      <c r="L2132" t="s">
        <v>45</v>
      </c>
      <c r="M2132" t="s">
        <v>80</v>
      </c>
      <c r="N2132" t="s">
        <v>21</v>
      </c>
      <c r="O2132" t="s">
        <v>190</v>
      </c>
      <c r="P2132" s="1" t="s">
        <v>30</v>
      </c>
      <c r="Q2132">
        <v>125.7</v>
      </c>
    </row>
    <row r="2133" spans="1:17" x14ac:dyDescent="0.3">
      <c r="A2133">
        <v>2019</v>
      </c>
      <c r="B2133" t="s">
        <v>36</v>
      </c>
      <c r="C2133" t="s">
        <v>132</v>
      </c>
      <c r="D2133" s="1" t="s">
        <v>24</v>
      </c>
      <c r="E2133" s="4">
        <v>129.9</v>
      </c>
      <c r="F2133" s="4">
        <v>124.6</v>
      </c>
      <c r="G2133" s="4">
        <v>119.9</v>
      </c>
      <c r="H2133" s="1" t="s">
        <v>191</v>
      </c>
      <c r="K2133">
        <v>2015</v>
      </c>
      <c r="L2133" t="s">
        <v>45</v>
      </c>
      <c r="M2133" t="s">
        <v>80</v>
      </c>
      <c r="N2133" t="s">
        <v>21</v>
      </c>
      <c r="O2133" t="s">
        <v>190</v>
      </c>
      <c r="P2133" s="1" t="s">
        <v>34</v>
      </c>
      <c r="Q2133">
        <v>122</v>
      </c>
    </row>
    <row r="2134" spans="1:17" x14ac:dyDescent="0.3">
      <c r="A2134">
        <v>2019</v>
      </c>
      <c r="B2134" t="s">
        <v>36</v>
      </c>
      <c r="C2134" t="s">
        <v>132</v>
      </c>
      <c r="D2134" s="1" t="s">
        <v>9</v>
      </c>
      <c r="E2134" s="4">
        <v>128.19999999999999</v>
      </c>
      <c r="F2134" s="4">
        <v>132.6</v>
      </c>
      <c r="G2134" s="4">
        <v>141.19999999999999</v>
      </c>
      <c r="H2134" s="1" t="s">
        <v>188</v>
      </c>
      <c r="K2134">
        <v>2015</v>
      </c>
      <c r="L2134" t="s">
        <v>45</v>
      </c>
      <c r="M2134" t="s">
        <v>80</v>
      </c>
      <c r="N2134" t="s">
        <v>21</v>
      </c>
      <c r="O2134" t="s">
        <v>190</v>
      </c>
      <c r="P2134" s="1" t="s">
        <v>33</v>
      </c>
      <c r="Q2134">
        <v>116</v>
      </c>
    </row>
    <row r="2135" spans="1:17" x14ac:dyDescent="0.3">
      <c r="A2135">
        <v>2019</v>
      </c>
      <c r="B2135" t="s">
        <v>38</v>
      </c>
      <c r="C2135" t="s">
        <v>133</v>
      </c>
      <c r="D2135" s="1" t="s">
        <v>3</v>
      </c>
      <c r="E2135" s="4">
        <v>137.4</v>
      </c>
      <c r="F2135" s="4">
        <v>138.30000000000001</v>
      </c>
      <c r="G2135" s="4">
        <v>140.4</v>
      </c>
      <c r="H2135" s="1" t="s">
        <v>188</v>
      </c>
      <c r="K2135">
        <v>2015</v>
      </c>
      <c r="L2135" t="s">
        <v>45</v>
      </c>
      <c r="M2135" t="s">
        <v>80</v>
      </c>
      <c r="N2135" t="s">
        <v>29</v>
      </c>
      <c r="O2135" t="s">
        <v>206</v>
      </c>
      <c r="P2135" s="1" t="s">
        <v>30</v>
      </c>
      <c r="Q2135">
        <v>127.9</v>
      </c>
    </row>
    <row r="2136" spans="1:17" x14ac:dyDescent="0.3">
      <c r="A2136">
        <v>2019</v>
      </c>
      <c r="B2136" t="s">
        <v>38</v>
      </c>
      <c r="C2136" t="s">
        <v>133</v>
      </c>
      <c r="D2136" s="1" t="s">
        <v>17</v>
      </c>
      <c r="E2136" s="4">
        <v>151.30000000000001</v>
      </c>
      <c r="F2136" s="4">
        <v>148.4</v>
      </c>
      <c r="G2136" s="4">
        <v>144</v>
      </c>
      <c r="H2136" s="1" t="s">
        <v>189</v>
      </c>
      <c r="K2136">
        <v>2015</v>
      </c>
      <c r="L2136" t="s">
        <v>45</v>
      </c>
      <c r="M2136" t="s">
        <v>80</v>
      </c>
      <c r="N2136" t="s">
        <v>29</v>
      </c>
      <c r="O2136" t="s">
        <v>206</v>
      </c>
      <c r="P2136" s="1" t="s">
        <v>34</v>
      </c>
      <c r="Q2136">
        <v>126.1</v>
      </c>
    </row>
    <row r="2137" spans="1:17" x14ac:dyDescent="0.3">
      <c r="A2137">
        <v>2019</v>
      </c>
      <c r="B2137" t="s">
        <v>38</v>
      </c>
      <c r="C2137" t="s">
        <v>133</v>
      </c>
      <c r="D2137" s="1" t="s">
        <v>19</v>
      </c>
      <c r="E2137" s="4">
        <v>150.69999999999999</v>
      </c>
      <c r="F2137" s="4">
        <v>147.30000000000001</v>
      </c>
      <c r="G2137" s="4">
        <v>142.19999999999999</v>
      </c>
      <c r="H2137" s="1" t="s">
        <v>189</v>
      </c>
      <c r="K2137">
        <v>2015</v>
      </c>
      <c r="L2137" t="s">
        <v>45</v>
      </c>
      <c r="M2137" t="s">
        <v>80</v>
      </c>
      <c r="N2137" t="s">
        <v>29</v>
      </c>
      <c r="O2137" t="s">
        <v>206</v>
      </c>
      <c r="P2137" s="1" t="s">
        <v>33</v>
      </c>
      <c r="Q2137">
        <v>124</v>
      </c>
    </row>
    <row r="2138" spans="1:17" x14ac:dyDescent="0.3">
      <c r="A2138">
        <v>2019</v>
      </c>
      <c r="B2138" t="s">
        <v>38</v>
      </c>
      <c r="C2138" t="s">
        <v>133</v>
      </c>
      <c r="D2138" s="1" t="s">
        <v>26</v>
      </c>
      <c r="E2138" s="4">
        <v>156.69999999999999</v>
      </c>
      <c r="F2138" s="4">
        <v>151.6</v>
      </c>
      <c r="G2138" s="4">
        <v>148</v>
      </c>
      <c r="H2138" s="1" t="s">
        <v>26</v>
      </c>
      <c r="K2138">
        <v>2015</v>
      </c>
      <c r="L2138" t="s">
        <v>45</v>
      </c>
      <c r="M2138" t="s">
        <v>80</v>
      </c>
      <c r="N2138" t="s">
        <v>23</v>
      </c>
      <c r="O2138" t="s">
        <v>23</v>
      </c>
      <c r="P2138" s="1" t="s">
        <v>30</v>
      </c>
      <c r="Q2138">
        <v>123.1</v>
      </c>
    </row>
    <row r="2139" spans="1:17" x14ac:dyDescent="0.3">
      <c r="A2139">
        <v>2019</v>
      </c>
      <c r="B2139" t="s">
        <v>38</v>
      </c>
      <c r="C2139" t="s">
        <v>133</v>
      </c>
      <c r="D2139" s="1" t="s">
        <v>5</v>
      </c>
      <c r="E2139" s="4">
        <v>134.5</v>
      </c>
      <c r="F2139" s="4">
        <v>136</v>
      </c>
      <c r="G2139" s="4">
        <v>138.30000000000001</v>
      </c>
      <c r="H2139" s="1" t="s">
        <v>188</v>
      </c>
      <c r="K2139">
        <v>2015</v>
      </c>
      <c r="L2139" t="s">
        <v>45</v>
      </c>
      <c r="M2139" t="s">
        <v>80</v>
      </c>
      <c r="N2139" t="s">
        <v>23</v>
      </c>
      <c r="O2139" t="s">
        <v>23</v>
      </c>
      <c r="P2139" s="1" t="s">
        <v>34</v>
      </c>
      <c r="Q2139">
        <v>121.4</v>
      </c>
    </row>
    <row r="2140" spans="1:17" x14ac:dyDescent="0.3">
      <c r="A2140">
        <v>2019</v>
      </c>
      <c r="B2140" t="s">
        <v>38</v>
      </c>
      <c r="C2140" t="s">
        <v>133</v>
      </c>
      <c r="D2140" s="1" t="s">
        <v>15</v>
      </c>
      <c r="E2140" s="4">
        <v>139.19999999999999</v>
      </c>
      <c r="F2140" s="4">
        <v>140.9</v>
      </c>
      <c r="G2140" s="4">
        <v>143.80000000000001</v>
      </c>
      <c r="H2140" s="1" t="s">
        <v>188</v>
      </c>
      <c r="K2140">
        <v>2015</v>
      </c>
      <c r="L2140" t="s">
        <v>45</v>
      </c>
      <c r="M2140" t="s">
        <v>80</v>
      </c>
      <c r="N2140" t="s">
        <v>23</v>
      </c>
      <c r="O2140" t="s">
        <v>23</v>
      </c>
      <c r="P2140" s="1" t="s">
        <v>33</v>
      </c>
      <c r="Q2140">
        <v>118.6</v>
      </c>
    </row>
    <row r="2141" spans="1:17" x14ac:dyDescent="0.3">
      <c r="A2141">
        <v>2019</v>
      </c>
      <c r="B2141" t="s">
        <v>38</v>
      </c>
      <c r="C2141" t="s">
        <v>133</v>
      </c>
      <c r="D2141" s="1" t="s">
        <v>18</v>
      </c>
      <c r="E2141" s="4">
        <v>146.6</v>
      </c>
      <c r="F2141" s="4">
        <v>140.4</v>
      </c>
      <c r="G2141" s="4">
        <v>131.69999999999999</v>
      </c>
      <c r="H2141" s="1" t="s">
        <v>189</v>
      </c>
      <c r="K2141">
        <v>2015</v>
      </c>
      <c r="L2141" t="s">
        <v>45</v>
      </c>
      <c r="M2141" t="s">
        <v>80</v>
      </c>
      <c r="N2141" t="s">
        <v>22</v>
      </c>
      <c r="O2141" t="s">
        <v>20</v>
      </c>
      <c r="P2141" s="1" t="s">
        <v>30</v>
      </c>
      <c r="Q2141">
        <v>126</v>
      </c>
    </row>
    <row r="2142" spans="1:17" x14ac:dyDescent="0.3">
      <c r="A2142">
        <v>2019</v>
      </c>
      <c r="B2142" t="s">
        <v>38</v>
      </c>
      <c r="C2142" t="s">
        <v>133</v>
      </c>
      <c r="D2142" s="1" t="s">
        <v>8</v>
      </c>
      <c r="E2142" s="4">
        <v>143.69999999999999</v>
      </c>
      <c r="F2142" s="4">
        <v>146.5</v>
      </c>
      <c r="G2142" s="4">
        <v>149.69999999999999</v>
      </c>
      <c r="H2142" s="1" t="s">
        <v>188</v>
      </c>
      <c r="K2142">
        <v>2015</v>
      </c>
      <c r="L2142" t="s">
        <v>45</v>
      </c>
      <c r="M2142" t="s">
        <v>80</v>
      </c>
      <c r="N2142" t="s">
        <v>22</v>
      </c>
      <c r="O2142" t="s">
        <v>20</v>
      </c>
      <c r="P2142" s="1" t="s">
        <v>34</v>
      </c>
      <c r="Q2142">
        <v>123.6</v>
      </c>
    </row>
    <row r="2143" spans="1:17" x14ac:dyDescent="0.3">
      <c r="A2143">
        <v>2019</v>
      </c>
      <c r="B2143" t="s">
        <v>38</v>
      </c>
      <c r="C2143" t="s">
        <v>133</v>
      </c>
      <c r="D2143" s="1" t="s">
        <v>21</v>
      </c>
      <c r="E2143" s="4">
        <v>146.9</v>
      </c>
      <c r="F2143" s="4">
        <v>140.30000000000001</v>
      </c>
      <c r="G2143" s="4">
        <v>129.4</v>
      </c>
      <c r="H2143" s="1" t="s">
        <v>190</v>
      </c>
      <c r="K2143">
        <v>2015</v>
      </c>
      <c r="L2143" t="s">
        <v>45</v>
      </c>
      <c r="M2143" t="s">
        <v>80</v>
      </c>
      <c r="N2143" t="s">
        <v>22</v>
      </c>
      <c r="O2143" t="s">
        <v>20</v>
      </c>
      <c r="P2143" s="1" t="s">
        <v>33</v>
      </c>
      <c r="Q2143">
        <v>121</v>
      </c>
    </row>
    <row r="2144" spans="1:17" x14ac:dyDescent="0.3">
      <c r="A2144">
        <v>2019</v>
      </c>
      <c r="B2144" t="s">
        <v>38</v>
      </c>
      <c r="C2144" t="s">
        <v>133</v>
      </c>
      <c r="D2144" s="1" t="s">
        <v>29</v>
      </c>
      <c r="E2144" s="4">
        <v>142.4</v>
      </c>
      <c r="F2144" s="4">
        <v>142</v>
      </c>
      <c r="G2144" s="4">
        <v>141.5</v>
      </c>
      <c r="H2144" s="1" t="s">
        <v>206</v>
      </c>
      <c r="K2144">
        <v>2015</v>
      </c>
      <c r="L2144" t="s">
        <v>45</v>
      </c>
      <c r="M2144" t="s">
        <v>80</v>
      </c>
      <c r="N2144" t="s">
        <v>20</v>
      </c>
      <c r="O2144" t="s">
        <v>20</v>
      </c>
      <c r="P2144" s="1" t="s">
        <v>30</v>
      </c>
      <c r="Q2144">
        <v>0</v>
      </c>
    </row>
    <row r="2145" spans="1:17" x14ac:dyDescent="0.3">
      <c r="A2145">
        <v>2019</v>
      </c>
      <c r="B2145" t="s">
        <v>38</v>
      </c>
      <c r="C2145" t="s">
        <v>133</v>
      </c>
      <c r="D2145" s="1" t="s">
        <v>23</v>
      </c>
      <c r="E2145" s="4">
        <v>151.30000000000001</v>
      </c>
      <c r="F2145" s="4">
        <v>146.9</v>
      </c>
      <c r="G2145" s="4">
        <v>139.80000000000001</v>
      </c>
      <c r="H2145" s="1" t="s">
        <v>23</v>
      </c>
      <c r="K2145">
        <v>2015</v>
      </c>
      <c r="L2145" t="s">
        <v>45</v>
      </c>
      <c r="M2145" t="s">
        <v>80</v>
      </c>
      <c r="N2145" t="s">
        <v>20</v>
      </c>
      <c r="O2145" t="s">
        <v>20</v>
      </c>
      <c r="P2145" s="1" t="s">
        <v>34</v>
      </c>
      <c r="Q2145">
        <v>122.4</v>
      </c>
    </row>
    <row r="2146" spans="1:17" x14ac:dyDescent="0.3">
      <c r="A2146">
        <v>2019</v>
      </c>
      <c r="B2146" t="s">
        <v>38</v>
      </c>
      <c r="C2146" t="s">
        <v>133</v>
      </c>
      <c r="D2146" s="1" t="s">
        <v>22</v>
      </c>
      <c r="E2146" s="4">
        <v>149.5</v>
      </c>
      <c r="F2146" s="4">
        <v>143.69999999999999</v>
      </c>
      <c r="G2146" s="4">
        <v>137.19999999999999</v>
      </c>
      <c r="H2146" s="1" t="s">
        <v>20</v>
      </c>
      <c r="K2146">
        <v>2015</v>
      </c>
      <c r="L2146" t="s">
        <v>45</v>
      </c>
      <c r="M2146" t="s">
        <v>80</v>
      </c>
      <c r="N2146" t="s">
        <v>20</v>
      </c>
      <c r="O2146" t="s">
        <v>20</v>
      </c>
      <c r="P2146" s="1" t="s">
        <v>33</v>
      </c>
      <c r="Q2146">
        <v>122.4</v>
      </c>
    </row>
    <row r="2147" spans="1:17" x14ac:dyDescent="0.3">
      <c r="A2147">
        <v>2019</v>
      </c>
      <c r="B2147" t="s">
        <v>38</v>
      </c>
      <c r="C2147" t="s">
        <v>133</v>
      </c>
      <c r="D2147" s="1" t="s">
        <v>20</v>
      </c>
      <c r="E2147" s="4">
        <v>0</v>
      </c>
      <c r="F2147" s="4">
        <v>150.1</v>
      </c>
      <c r="G2147" s="4">
        <v>150.1</v>
      </c>
      <c r="H2147" s="1" t="s">
        <v>20</v>
      </c>
      <c r="K2147">
        <v>2015</v>
      </c>
      <c r="L2147" t="s">
        <v>45</v>
      </c>
      <c r="M2147" t="s">
        <v>80</v>
      </c>
      <c r="N2147" t="s">
        <v>4</v>
      </c>
      <c r="O2147" t="s">
        <v>188</v>
      </c>
      <c r="P2147" s="1" t="s">
        <v>30</v>
      </c>
      <c r="Q2147">
        <v>131.30000000000001</v>
      </c>
    </row>
    <row r="2148" spans="1:17" x14ac:dyDescent="0.3">
      <c r="A2148">
        <v>2019</v>
      </c>
      <c r="B2148" t="s">
        <v>38</v>
      </c>
      <c r="C2148" t="s">
        <v>133</v>
      </c>
      <c r="D2148" s="1" t="s">
        <v>4</v>
      </c>
      <c r="E2148" s="4">
        <v>159.5</v>
      </c>
      <c r="F2148" s="4">
        <v>158.5</v>
      </c>
      <c r="G2148" s="4">
        <v>156.69999999999999</v>
      </c>
      <c r="H2148" s="1" t="s">
        <v>188</v>
      </c>
      <c r="K2148">
        <v>2015</v>
      </c>
      <c r="L2148" t="s">
        <v>45</v>
      </c>
      <c r="M2148" t="s">
        <v>80</v>
      </c>
      <c r="N2148" t="s">
        <v>4</v>
      </c>
      <c r="O2148" t="s">
        <v>188</v>
      </c>
      <c r="P2148" s="1" t="s">
        <v>34</v>
      </c>
      <c r="Q2148">
        <v>131.4</v>
      </c>
    </row>
    <row r="2149" spans="1:17" x14ac:dyDescent="0.3">
      <c r="A2149">
        <v>2019</v>
      </c>
      <c r="B2149" t="s">
        <v>38</v>
      </c>
      <c r="C2149" t="s">
        <v>133</v>
      </c>
      <c r="D2149" s="1" t="s">
        <v>6</v>
      </c>
      <c r="E2149" s="4">
        <v>142.6</v>
      </c>
      <c r="F2149" s="4">
        <v>142.5</v>
      </c>
      <c r="G2149" s="4">
        <v>142.4</v>
      </c>
      <c r="H2149" s="1" t="s">
        <v>188</v>
      </c>
      <c r="K2149">
        <v>2015</v>
      </c>
      <c r="L2149" t="s">
        <v>45</v>
      </c>
      <c r="M2149" t="s">
        <v>80</v>
      </c>
      <c r="N2149" t="s">
        <v>4</v>
      </c>
      <c r="O2149" t="s">
        <v>188</v>
      </c>
      <c r="P2149" s="1" t="s">
        <v>33</v>
      </c>
      <c r="Q2149">
        <v>131.69999999999999</v>
      </c>
    </row>
    <row r="2150" spans="1:17" x14ac:dyDescent="0.3">
      <c r="A2150">
        <v>2019</v>
      </c>
      <c r="B2150" t="s">
        <v>38</v>
      </c>
      <c r="C2150" t="s">
        <v>133</v>
      </c>
      <c r="D2150" s="1" t="s">
        <v>28</v>
      </c>
      <c r="E2150" s="4">
        <v>142.9</v>
      </c>
      <c r="F2150" s="4">
        <v>138.19999999999999</v>
      </c>
      <c r="G2150" s="4">
        <v>133.30000000000001</v>
      </c>
      <c r="H2150" s="1" t="s">
        <v>192</v>
      </c>
      <c r="K2150">
        <v>2015</v>
      </c>
      <c r="L2150" t="s">
        <v>45</v>
      </c>
      <c r="M2150" t="s">
        <v>80</v>
      </c>
      <c r="N2150" t="s">
        <v>6</v>
      </c>
      <c r="O2150" t="s">
        <v>188</v>
      </c>
      <c r="P2150" s="1" t="s">
        <v>30</v>
      </c>
      <c r="Q2150">
        <v>129.80000000000001</v>
      </c>
    </row>
    <row r="2151" spans="1:17" x14ac:dyDescent="0.3">
      <c r="A2151">
        <v>2019</v>
      </c>
      <c r="B2151" t="s">
        <v>38</v>
      </c>
      <c r="C2151" t="s">
        <v>133</v>
      </c>
      <c r="D2151" s="1" t="s">
        <v>13</v>
      </c>
      <c r="E2151" s="4">
        <v>137.69999999999999</v>
      </c>
      <c r="F2151" s="4">
        <v>134</v>
      </c>
      <c r="G2151" s="4">
        <v>128.9</v>
      </c>
      <c r="H2151" s="1" t="s">
        <v>188</v>
      </c>
      <c r="K2151">
        <v>2015</v>
      </c>
      <c r="L2151" t="s">
        <v>45</v>
      </c>
      <c r="M2151" t="s">
        <v>80</v>
      </c>
      <c r="N2151" t="s">
        <v>6</v>
      </c>
      <c r="O2151" t="s">
        <v>188</v>
      </c>
      <c r="P2151" s="1" t="s">
        <v>34</v>
      </c>
      <c r="Q2151">
        <v>129.4</v>
      </c>
    </row>
    <row r="2152" spans="1:17" x14ac:dyDescent="0.3">
      <c r="A2152">
        <v>2019</v>
      </c>
      <c r="B2152" t="s">
        <v>38</v>
      </c>
      <c r="C2152" t="s">
        <v>133</v>
      </c>
      <c r="D2152" s="1" t="s">
        <v>7</v>
      </c>
      <c r="E2152" s="4">
        <v>124</v>
      </c>
      <c r="F2152" s="4">
        <v>122</v>
      </c>
      <c r="G2152" s="4">
        <v>118.6</v>
      </c>
      <c r="H2152" s="1" t="s">
        <v>188</v>
      </c>
      <c r="K2152">
        <v>2015</v>
      </c>
      <c r="L2152" t="s">
        <v>45</v>
      </c>
      <c r="M2152" t="s">
        <v>80</v>
      </c>
      <c r="N2152" t="s">
        <v>6</v>
      </c>
      <c r="O2152" t="s">
        <v>188</v>
      </c>
      <c r="P2152" s="1" t="s">
        <v>33</v>
      </c>
      <c r="Q2152">
        <v>128.6</v>
      </c>
    </row>
    <row r="2153" spans="1:17" x14ac:dyDescent="0.3">
      <c r="A2153">
        <v>2019</v>
      </c>
      <c r="B2153" t="s">
        <v>38</v>
      </c>
      <c r="C2153" t="s">
        <v>133</v>
      </c>
      <c r="D2153" s="1" t="s">
        <v>16</v>
      </c>
      <c r="E2153" s="4">
        <v>163.30000000000001</v>
      </c>
      <c r="F2153" s="4">
        <v>164.1</v>
      </c>
      <c r="G2153" s="4">
        <v>166.2</v>
      </c>
      <c r="H2153" s="1" t="s">
        <v>192</v>
      </c>
      <c r="K2153">
        <v>2015</v>
      </c>
      <c r="L2153" t="s">
        <v>45</v>
      </c>
      <c r="M2153" t="s">
        <v>80</v>
      </c>
      <c r="N2153" t="s">
        <v>28</v>
      </c>
      <c r="O2153" t="s">
        <v>192</v>
      </c>
      <c r="P2153" s="1" t="s">
        <v>30</v>
      </c>
      <c r="Q2153">
        <v>119.8</v>
      </c>
    </row>
    <row r="2154" spans="1:17" x14ac:dyDescent="0.3">
      <c r="A2154">
        <v>2019</v>
      </c>
      <c r="B2154" t="s">
        <v>38</v>
      </c>
      <c r="C2154" t="s">
        <v>133</v>
      </c>
      <c r="D2154" s="1" t="s">
        <v>27</v>
      </c>
      <c r="E2154" s="4">
        <v>133.9</v>
      </c>
      <c r="F2154" s="4">
        <v>133.4</v>
      </c>
      <c r="G2154" s="4">
        <v>132.6</v>
      </c>
      <c r="H2154" s="1" t="s">
        <v>192</v>
      </c>
      <c r="K2154">
        <v>2015</v>
      </c>
      <c r="L2154" t="s">
        <v>45</v>
      </c>
      <c r="M2154" t="s">
        <v>80</v>
      </c>
      <c r="N2154" t="s">
        <v>28</v>
      </c>
      <c r="O2154" t="s">
        <v>192</v>
      </c>
      <c r="P2154" s="1" t="s">
        <v>34</v>
      </c>
      <c r="Q2154">
        <v>118.3</v>
      </c>
    </row>
    <row r="2155" spans="1:17" x14ac:dyDescent="0.3">
      <c r="A2155">
        <v>2019</v>
      </c>
      <c r="B2155" t="s">
        <v>38</v>
      </c>
      <c r="C2155" t="s">
        <v>133</v>
      </c>
      <c r="D2155" s="1" t="s">
        <v>14</v>
      </c>
      <c r="E2155" s="4">
        <v>156.4</v>
      </c>
      <c r="F2155" s="4">
        <v>155.5</v>
      </c>
      <c r="G2155" s="4">
        <v>154.5</v>
      </c>
      <c r="H2155" s="1" t="s">
        <v>188</v>
      </c>
      <c r="K2155">
        <v>2015</v>
      </c>
      <c r="L2155" t="s">
        <v>45</v>
      </c>
      <c r="M2155" t="s">
        <v>80</v>
      </c>
      <c r="N2155" t="s">
        <v>28</v>
      </c>
      <c r="O2155" t="s">
        <v>192</v>
      </c>
      <c r="P2155" s="1" t="s">
        <v>33</v>
      </c>
      <c r="Q2155">
        <v>116.7</v>
      </c>
    </row>
    <row r="2156" spans="1:17" x14ac:dyDescent="0.3">
      <c r="A2156">
        <v>2019</v>
      </c>
      <c r="B2156" t="s">
        <v>38</v>
      </c>
      <c r="C2156" t="s">
        <v>133</v>
      </c>
      <c r="D2156" s="1" t="s">
        <v>10</v>
      </c>
      <c r="E2156" s="4">
        <v>125.1</v>
      </c>
      <c r="F2156" s="4">
        <v>124.9</v>
      </c>
      <c r="G2156" s="4">
        <v>124.4</v>
      </c>
      <c r="H2156" s="1" t="s">
        <v>188</v>
      </c>
      <c r="K2156">
        <v>2015</v>
      </c>
      <c r="L2156" t="s">
        <v>45</v>
      </c>
      <c r="M2156" t="s">
        <v>80</v>
      </c>
      <c r="N2156" t="s">
        <v>13</v>
      </c>
      <c r="O2156" t="s">
        <v>188</v>
      </c>
      <c r="P2156" s="1" t="s">
        <v>30</v>
      </c>
      <c r="Q2156">
        <v>123.3</v>
      </c>
    </row>
    <row r="2157" spans="1:17" x14ac:dyDescent="0.3">
      <c r="A2157">
        <v>2019</v>
      </c>
      <c r="B2157" t="s">
        <v>38</v>
      </c>
      <c r="C2157" t="s">
        <v>133</v>
      </c>
      <c r="D2157" s="1" t="s">
        <v>25</v>
      </c>
      <c r="E2157" s="4">
        <v>145.9</v>
      </c>
      <c r="F2157" s="4">
        <v>139.19999999999999</v>
      </c>
      <c r="G2157" s="4">
        <v>134</v>
      </c>
      <c r="H2157" s="1" t="s">
        <v>195</v>
      </c>
      <c r="K2157">
        <v>2015</v>
      </c>
      <c r="L2157" t="s">
        <v>45</v>
      </c>
      <c r="M2157" t="s">
        <v>80</v>
      </c>
      <c r="N2157" t="s">
        <v>13</v>
      </c>
      <c r="O2157" t="s">
        <v>188</v>
      </c>
      <c r="P2157" s="1" t="s">
        <v>34</v>
      </c>
      <c r="Q2157">
        <v>122</v>
      </c>
    </row>
    <row r="2158" spans="1:17" x14ac:dyDescent="0.3">
      <c r="A2158">
        <v>2019</v>
      </c>
      <c r="B2158" t="s">
        <v>38</v>
      </c>
      <c r="C2158" t="s">
        <v>133</v>
      </c>
      <c r="D2158" s="1" t="s">
        <v>12</v>
      </c>
      <c r="E2158" s="4">
        <v>139.30000000000001</v>
      </c>
      <c r="F2158" s="4">
        <v>139.9</v>
      </c>
      <c r="G2158" s="4">
        <v>141</v>
      </c>
      <c r="H2158" s="1" t="s">
        <v>188</v>
      </c>
      <c r="K2158">
        <v>2015</v>
      </c>
      <c r="L2158" t="s">
        <v>45</v>
      </c>
      <c r="M2158" t="s">
        <v>80</v>
      </c>
      <c r="N2158" t="s">
        <v>13</v>
      </c>
      <c r="O2158" t="s">
        <v>188</v>
      </c>
      <c r="P2158" s="1" t="s">
        <v>33</v>
      </c>
      <c r="Q2158">
        <v>120.2</v>
      </c>
    </row>
    <row r="2159" spans="1:17" x14ac:dyDescent="0.3">
      <c r="A2159">
        <v>2019</v>
      </c>
      <c r="B2159" t="s">
        <v>38</v>
      </c>
      <c r="C2159" t="s">
        <v>133</v>
      </c>
      <c r="D2159" s="1" t="s">
        <v>11</v>
      </c>
      <c r="E2159" s="4">
        <v>109.3</v>
      </c>
      <c r="F2159" s="4">
        <v>109.9</v>
      </c>
      <c r="G2159" s="4">
        <v>111.2</v>
      </c>
      <c r="H2159" s="1" t="s">
        <v>188</v>
      </c>
      <c r="K2159">
        <v>2015</v>
      </c>
      <c r="L2159" t="s">
        <v>45</v>
      </c>
      <c r="M2159" t="s">
        <v>80</v>
      </c>
      <c r="N2159" t="s">
        <v>7</v>
      </c>
      <c r="O2159" t="s">
        <v>188</v>
      </c>
      <c r="P2159" s="1" t="s">
        <v>30</v>
      </c>
      <c r="Q2159">
        <v>118.3</v>
      </c>
    </row>
    <row r="2160" spans="1:17" x14ac:dyDescent="0.3">
      <c r="A2160">
        <v>2019</v>
      </c>
      <c r="B2160" t="s">
        <v>38</v>
      </c>
      <c r="C2160" t="s">
        <v>133</v>
      </c>
      <c r="D2160" s="1" t="s">
        <v>24</v>
      </c>
      <c r="E2160" s="4">
        <v>130.19999999999999</v>
      </c>
      <c r="F2160" s="4">
        <v>124.9</v>
      </c>
      <c r="G2160" s="4">
        <v>120.1</v>
      </c>
      <c r="H2160" s="1" t="s">
        <v>191</v>
      </c>
      <c r="K2160">
        <v>2015</v>
      </c>
      <c r="L2160" t="s">
        <v>45</v>
      </c>
      <c r="M2160" t="s">
        <v>80</v>
      </c>
      <c r="N2160" t="s">
        <v>7</v>
      </c>
      <c r="O2160" t="s">
        <v>188</v>
      </c>
      <c r="P2160" s="1" t="s">
        <v>34</v>
      </c>
      <c r="Q2160">
        <v>115.3</v>
      </c>
    </row>
    <row r="2161" spans="1:17" x14ac:dyDescent="0.3">
      <c r="A2161">
        <v>2019</v>
      </c>
      <c r="B2161" t="s">
        <v>38</v>
      </c>
      <c r="C2161" t="s">
        <v>133</v>
      </c>
      <c r="D2161" s="1" t="s">
        <v>9</v>
      </c>
      <c r="E2161" s="4">
        <v>133.4</v>
      </c>
      <c r="F2161" s="4">
        <v>143</v>
      </c>
      <c r="G2161" s="4">
        <v>161.6</v>
      </c>
      <c r="H2161" s="1" t="s">
        <v>188</v>
      </c>
      <c r="K2161">
        <v>2015</v>
      </c>
      <c r="L2161" t="s">
        <v>45</v>
      </c>
      <c r="M2161" t="s">
        <v>80</v>
      </c>
      <c r="N2161" t="s">
        <v>7</v>
      </c>
      <c r="O2161" t="s">
        <v>188</v>
      </c>
      <c r="P2161" s="1" t="s">
        <v>33</v>
      </c>
      <c r="Q2161">
        <v>110</v>
      </c>
    </row>
    <row r="2162" spans="1:17" x14ac:dyDescent="0.3">
      <c r="A2162">
        <v>2019</v>
      </c>
      <c r="B2162" t="s">
        <v>44</v>
      </c>
      <c r="C2162" t="s">
        <v>134</v>
      </c>
      <c r="D2162" s="1" t="s">
        <v>3</v>
      </c>
      <c r="E2162" s="4">
        <v>141.80000000000001</v>
      </c>
      <c r="F2162" s="4">
        <v>142.5</v>
      </c>
      <c r="G2162" s="4">
        <v>144.1</v>
      </c>
      <c r="H2162" s="1" t="s">
        <v>188</v>
      </c>
      <c r="K2162">
        <v>2015</v>
      </c>
      <c r="L2162" t="s">
        <v>45</v>
      </c>
      <c r="M2162" t="s">
        <v>80</v>
      </c>
      <c r="N2162" t="s">
        <v>16</v>
      </c>
      <c r="O2162" t="s">
        <v>192</v>
      </c>
      <c r="P2162" s="1" t="s">
        <v>30</v>
      </c>
      <c r="Q2162">
        <v>133.1</v>
      </c>
    </row>
    <row r="2163" spans="1:17" x14ac:dyDescent="0.3">
      <c r="A2163">
        <v>2019</v>
      </c>
      <c r="B2163" t="s">
        <v>44</v>
      </c>
      <c r="C2163" t="s">
        <v>134</v>
      </c>
      <c r="D2163" s="1" t="s">
        <v>17</v>
      </c>
      <c r="E2163" s="4">
        <v>152.30000000000001</v>
      </c>
      <c r="F2163" s="4">
        <v>149.9</v>
      </c>
      <c r="G2163" s="4">
        <v>146.30000000000001</v>
      </c>
      <c r="H2163" s="1" t="s">
        <v>189</v>
      </c>
      <c r="K2163">
        <v>2015</v>
      </c>
      <c r="L2163" t="s">
        <v>45</v>
      </c>
      <c r="M2163" t="s">
        <v>80</v>
      </c>
      <c r="N2163" t="s">
        <v>16</v>
      </c>
      <c r="O2163" t="s">
        <v>192</v>
      </c>
      <c r="P2163" s="1" t="s">
        <v>34</v>
      </c>
      <c r="Q2163">
        <v>134.5</v>
      </c>
    </row>
    <row r="2164" spans="1:17" x14ac:dyDescent="0.3">
      <c r="A2164">
        <v>2019</v>
      </c>
      <c r="B2164" t="s">
        <v>44</v>
      </c>
      <c r="C2164" t="s">
        <v>134</v>
      </c>
      <c r="D2164" s="1" t="s">
        <v>19</v>
      </c>
      <c r="E2164" s="4">
        <v>151.5</v>
      </c>
      <c r="F2164" s="4">
        <v>148.6</v>
      </c>
      <c r="G2164" s="4">
        <v>144.19999999999999</v>
      </c>
      <c r="H2164" s="1" t="s">
        <v>189</v>
      </c>
      <c r="K2164">
        <v>2015</v>
      </c>
      <c r="L2164" t="s">
        <v>45</v>
      </c>
      <c r="M2164" t="s">
        <v>80</v>
      </c>
      <c r="N2164" t="s">
        <v>16</v>
      </c>
      <c r="O2164" t="s">
        <v>192</v>
      </c>
      <c r="P2164" s="1" t="s">
        <v>33</v>
      </c>
      <c r="Q2164">
        <v>138.19999999999999</v>
      </c>
    </row>
    <row r="2165" spans="1:17" x14ac:dyDescent="0.3">
      <c r="A2165">
        <v>2019</v>
      </c>
      <c r="B2165" t="s">
        <v>44</v>
      </c>
      <c r="C2165" t="s">
        <v>134</v>
      </c>
      <c r="D2165" s="1" t="s">
        <v>26</v>
      </c>
      <c r="E2165" s="4">
        <v>160.80000000000001</v>
      </c>
      <c r="F2165" s="4">
        <v>155.5</v>
      </c>
      <c r="G2165" s="4">
        <v>151.80000000000001</v>
      </c>
      <c r="H2165" s="1" t="s">
        <v>26</v>
      </c>
      <c r="K2165">
        <v>2015</v>
      </c>
      <c r="L2165" t="s">
        <v>45</v>
      </c>
      <c r="M2165" t="s">
        <v>80</v>
      </c>
      <c r="N2165" t="s">
        <v>27</v>
      </c>
      <c r="O2165" t="s">
        <v>192</v>
      </c>
      <c r="P2165" s="1" t="s">
        <v>30</v>
      </c>
      <c r="Q2165">
        <v>114.1</v>
      </c>
    </row>
    <row r="2166" spans="1:17" x14ac:dyDescent="0.3">
      <c r="A2166">
        <v>2019</v>
      </c>
      <c r="B2166" t="s">
        <v>44</v>
      </c>
      <c r="C2166" t="s">
        <v>134</v>
      </c>
      <c r="D2166" s="1" t="s">
        <v>5</v>
      </c>
      <c r="E2166" s="4">
        <v>143.80000000000001</v>
      </c>
      <c r="F2166" s="4">
        <v>145.6</v>
      </c>
      <c r="G2166" s="4">
        <v>148.4</v>
      </c>
      <c r="H2166" s="1" t="s">
        <v>188</v>
      </c>
      <c r="K2166">
        <v>2015</v>
      </c>
      <c r="L2166" t="s">
        <v>45</v>
      </c>
      <c r="M2166" t="s">
        <v>80</v>
      </c>
      <c r="N2166" t="s">
        <v>27</v>
      </c>
      <c r="O2166" t="s">
        <v>192</v>
      </c>
      <c r="P2166" s="1" t="s">
        <v>34</v>
      </c>
      <c r="Q2166">
        <v>113.7</v>
      </c>
    </row>
    <row r="2167" spans="1:17" x14ac:dyDescent="0.3">
      <c r="A2167">
        <v>2019</v>
      </c>
      <c r="B2167" t="s">
        <v>44</v>
      </c>
      <c r="C2167" t="s">
        <v>134</v>
      </c>
      <c r="D2167" s="1" t="s">
        <v>15</v>
      </c>
      <c r="E2167" s="4">
        <v>150.9</v>
      </c>
      <c r="F2167" s="4">
        <v>151.9</v>
      </c>
      <c r="G2167" s="4">
        <v>153.6</v>
      </c>
      <c r="H2167" s="1" t="s">
        <v>188</v>
      </c>
      <c r="K2167">
        <v>2015</v>
      </c>
      <c r="L2167" t="s">
        <v>45</v>
      </c>
      <c r="M2167" t="s">
        <v>80</v>
      </c>
      <c r="N2167" t="s">
        <v>27</v>
      </c>
      <c r="O2167" t="s">
        <v>192</v>
      </c>
      <c r="P2167" s="1" t="s">
        <v>33</v>
      </c>
      <c r="Q2167">
        <v>113.2</v>
      </c>
    </row>
    <row r="2168" spans="1:17" x14ac:dyDescent="0.3">
      <c r="A2168">
        <v>2019</v>
      </c>
      <c r="B2168" t="s">
        <v>44</v>
      </c>
      <c r="C2168" t="s">
        <v>134</v>
      </c>
      <c r="D2168" s="1" t="s">
        <v>18</v>
      </c>
      <c r="E2168" s="4">
        <v>147</v>
      </c>
      <c r="F2168" s="4">
        <v>141</v>
      </c>
      <c r="G2168" s="4">
        <v>132.6</v>
      </c>
      <c r="H2168" s="1" t="s">
        <v>189</v>
      </c>
      <c r="K2168">
        <v>2015</v>
      </c>
      <c r="L2168" t="s">
        <v>45</v>
      </c>
      <c r="M2168" t="s">
        <v>80</v>
      </c>
      <c r="N2168" t="s">
        <v>14</v>
      </c>
      <c r="O2168" t="s">
        <v>188</v>
      </c>
      <c r="P2168" s="1" t="s">
        <v>30</v>
      </c>
      <c r="Q2168">
        <v>135.1</v>
      </c>
    </row>
    <row r="2169" spans="1:17" x14ac:dyDescent="0.3">
      <c r="A2169">
        <v>2019</v>
      </c>
      <c r="B2169" t="s">
        <v>44</v>
      </c>
      <c r="C2169" t="s">
        <v>134</v>
      </c>
      <c r="D2169" s="1" t="s">
        <v>8</v>
      </c>
      <c r="E2169" s="4">
        <v>146.19999999999999</v>
      </c>
      <c r="F2169" s="4">
        <v>147.4</v>
      </c>
      <c r="G2169" s="4">
        <v>148.80000000000001</v>
      </c>
      <c r="H2169" s="1" t="s">
        <v>188</v>
      </c>
      <c r="K2169">
        <v>2015</v>
      </c>
      <c r="L2169" t="s">
        <v>45</v>
      </c>
      <c r="M2169" t="s">
        <v>80</v>
      </c>
      <c r="N2169" t="s">
        <v>14</v>
      </c>
      <c r="O2169" t="s">
        <v>188</v>
      </c>
      <c r="P2169" s="1" t="s">
        <v>34</v>
      </c>
      <c r="Q2169">
        <v>134.69999999999999</v>
      </c>
    </row>
    <row r="2170" spans="1:17" x14ac:dyDescent="0.3">
      <c r="A2170">
        <v>2019</v>
      </c>
      <c r="B2170" t="s">
        <v>44</v>
      </c>
      <c r="C2170" t="s">
        <v>134</v>
      </c>
      <c r="D2170" s="1" t="s">
        <v>21</v>
      </c>
      <c r="E2170" s="4">
        <v>148.4</v>
      </c>
      <c r="F2170" s="4">
        <v>142.30000000000001</v>
      </c>
      <c r="G2170" s="4">
        <v>132.19999999999999</v>
      </c>
      <c r="H2170" s="1" t="s">
        <v>190</v>
      </c>
      <c r="K2170">
        <v>2015</v>
      </c>
      <c r="L2170" t="s">
        <v>45</v>
      </c>
      <c r="M2170" t="s">
        <v>80</v>
      </c>
      <c r="N2170" t="s">
        <v>14</v>
      </c>
      <c r="O2170" t="s">
        <v>188</v>
      </c>
      <c r="P2170" s="1" t="s">
        <v>33</v>
      </c>
      <c r="Q2170">
        <v>134.19999999999999</v>
      </c>
    </row>
    <row r="2171" spans="1:17" x14ac:dyDescent="0.3">
      <c r="A2171">
        <v>2019</v>
      </c>
      <c r="B2171" t="s">
        <v>44</v>
      </c>
      <c r="C2171" t="s">
        <v>134</v>
      </c>
      <c r="D2171" s="1" t="s">
        <v>29</v>
      </c>
      <c r="E2171" s="4">
        <v>149.9</v>
      </c>
      <c r="F2171" s="4">
        <v>148.6</v>
      </c>
      <c r="G2171" s="4">
        <v>147</v>
      </c>
      <c r="H2171" s="1" t="s">
        <v>206</v>
      </c>
      <c r="K2171">
        <v>2015</v>
      </c>
      <c r="L2171" t="s">
        <v>45</v>
      </c>
      <c r="M2171" t="s">
        <v>80</v>
      </c>
      <c r="N2171" t="s">
        <v>10</v>
      </c>
      <c r="O2171" t="s">
        <v>188</v>
      </c>
      <c r="P2171" s="1" t="s">
        <v>30</v>
      </c>
      <c r="Q2171">
        <v>162.1</v>
      </c>
    </row>
    <row r="2172" spans="1:17" x14ac:dyDescent="0.3">
      <c r="A2172">
        <v>2019</v>
      </c>
      <c r="B2172" t="s">
        <v>44</v>
      </c>
      <c r="C2172" t="s">
        <v>134</v>
      </c>
      <c r="D2172" s="1" t="s">
        <v>23</v>
      </c>
      <c r="E2172" s="4">
        <v>154.30000000000001</v>
      </c>
      <c r="F2172" s="4">
        <v>149.9</v>
      </c>
      <c r="G2172" s="4">
        <v>142.80000000000001</v>
      </c>
      <c r="H2172" s="1" t="s">
        <v>23</v>
      </c>
      <c r="K2172">
        <v>2015</v>
      </c>
      <c r="L2172" t="s">
        <v>45</v>
      </c>
      <c r="M2172" t="s">
        <v>80</v>
      </c>
      <c r="N2172" t="s">
        <v>10</v>
      </c>
      <c r="O2172" t="s">
        <v>188</v>
      </c>
      <c r="P2172" s="1" t="s">
        <v>34</v>
      </c>
      <c r="Q2172">
        <v>171.5</v>
      </c>
    </row>
    <row r="2173" spans="1:17" x14ac:dyDescent="0.3">
      <c r="A2173">
        <v>2019</v>
      </c>
      <c r="B2173" t="s">
        <v>44</v>
      </c>
      <c r="C2173" t="s">
        <v>134</v>
      </c>
      <c r="D2173" s="1" t="s">
        <v>22</v>
      </c>
      <c r="E2173" s="4">
        <v>150.9</v>
      </c>
      <c r="F2173" s="4">
        <v>145.30000000000001</v>
      </c>
      <c r="G2173" s="4">
        <v>139.1</v>
      </c>
      <c r="H2173" s="1" t="s">
        <v>20</v>
      </c>
      <c r="K2173">
        <v>2015</v>
      </c>
      <c r="L2173" t="s">
        <v>45</v>
      </c>
      <c r="M2173" t="s">
        <v>80</v>
      </c>
      <c r="N2173" t="s">
        <v>10</v>
      </c>
      <c r="O2173" t="s">
        <v>188</v>
      </c>
      <c r="P2173" s="1" t="s">
        <v>33</v>
      </c>
      <c r="Q2173">
        <v>190.1</v>
      </c>
    </row>
    <row r="2174" spans="1:17" x14ac:dyDescent="0.3">
      <c r="A2174">
        <v>2019</v>
      </c>
      <c r="B2174" t="s">
        <v>44</v>
      </c>
      <c r="C2174" t="s">
        <v>134</v>
      </c>
      <c r="D2174" s="1" t="s">
        <v>20</v>
      </c>
      <c r="E2174" s="4">
        <v>0</v>
      </c>
      <c r="F2174" s="4">
        <v>153.5</v>
      </c>
      <c r="G2174" s="4">
        <v>153.5</v>
      </c>
      <c r="H2174" s="1" t="s">
        <v>20</v>
      </c>
      <c r="K2174">
        <v>2015</v>
      </c>
      <c r="L2174" t="s">
        <v>45</v>
      </c>
      <c r="M2174" t="s">
        <v>80</v>
      </c>
      <c r="N2174" t="s">
        <v>25</v>
      </c>
      <c r="O2174" t="s">
        <v>195</v>
      </c>
      <c r="P2174" s="1" t="s">
        <v>30</v>
      </c>
      <c r="Q2174">
        <v>121.6</v>
      </c>
    </row>
    <row r="2175" spans="1:17" x14ac:dyDescent="0.3">
      <c r="A2175">
        <v>2019</v>
      </c>
      <c r="B2175" t="s">
        <v>44</v>
      </c>
      <c r="C2175" t="s">
        <v>134</v>
      </c>
      <c r="D2175" s="1" t="s">
        <v>4</v>
      </c>
      <c r="E2175" s="4">
        <v>163.69999999999999</v>
      </c>
      <c r="F2175" s="4">
        <v>163.19999999999999</v>
      </c>
      <c r="G2175" s="4">
        <v>162.4</v>
      </c>
      <c r="H2175" s="1" t="s">
        <v>188</v>
      </c>
      <c r="K2175">
        <v>2015</v>
      </c>
      <c r="L2175" t="s">
        <v>45</v>
      </c>
      <c r="M2175" t="s">
        <v>80</v>
      </c>
      <c r="N2175" t="s">
        <v>25</v>
      </c>
      <c r="O2175" t="s">
        <v>195</v>
      </c>
      <c r="P2175" s="1" t="s">
        <v>34</v>
      </c>
      <c r="Q2175">
        <v>119.6</v>
      </c>
    </row>
    <row r="2176" spans="1:17" x14ac:dyDescent="0.3">
      <c r="A2176">
        <v>2019</v>
      </c>
      <c r="B2176" t="s">
        <v>44</v>
      </c>
      <c r="C2176" t="s">
        <v>134</v>
      </c>
      <c r="D2176" s="1" t="s">
        <v>6</v>
      </c>
      <c r="E2176" s="4">
        <v>147.1</v>
      </c>
      <c r="F2176" s="4">
        <v>146.69999999999999</v>
      </c>
      <c r="G2176" s="4">
        <v>145.9</v>
      </c>
      <c r="H2176" s="1" t="s">
        <v>188</v>
      </c>
      <c r="K2176">
        <v>2015</v>
      </c>
      <c r="L2176" t="s">
        <v>45</v>
      </c>
      <c r="M2176" t="s">
        <v>80</v>
      </c>
      <c r="N2176" t="s">
        <v>25</v>
      </c>
      <c r="O2176" t="s">
        <v>195</v>
      </c>
      <c r="P2176" s="1" t="s">
        <v>33</v>
      </c>
      <c r="Q2176">
        <v>118.1</v>
      </c>
    </row>
    <row r="2177" spans="1:17" x14ac:dyDescent="0.3">
      <c r="A2177">
        <v>2019</v>
      </c>
      <c r="B2177" t="s">
        <v>44</v>
      </c>
      <c r="C2177" t="s">
        <v>134</v>
      </c>
      <c r="D2177" s="1" t="s">
        <v>28</v>
      </c>
      <c r="E2177" s="4">
        <v>146.1</v>
      </c>
      <c r="F2177" s="4">
        <v>141.30000000000001</v>
      </c>
      <c r="G2177" s="4">
        <v>136.30000000000001</v>
      </c>
      <c r="H2177" s="1" t="s">
        <v>192</v>
      </c>
      <c r="K2177">
        <v>2015</v>
      </c>
      <c r="L2177" t="s">
        <v>45</v>
      </c>
      <c r="M2177" t="s">
        <v>80</v>
      </c>
      <c r="N2177" t="s">
        <v>12</v>
      </c>
      <c r="O2177" t="s">
        <v>188</v>
      </c>
      <c r="P2177" s="1" t="s">
        <v>30</v>
      </c>
      <c r="Q2177">
        <v>128.9</v>
      </c>
    </row>
    <row r="2178" spans="1:17" x14ac:dyDescent="0.3">
      <c r="A2178">
        <v>2019</v>
      </c>
      <c r="B2178" t="s">
        <v>44</v>
      </c>
      <c r="C2178" t="s">
        <v>134</v>
      </c>
      <c r="D2178" s="1" t="s">
        <v>13</v>
      </c>
      <c r="E2178" s="4">
        <v>138.69999999999999</v>
      </c>
      <c r="F2178" s="4">
        <v>135.30000000000001</v>
      </c>
      <c r="G2178" s="4">
        <v>130.5</v>
      </c>
      <c r="H2178" s="1" t="s">
        <v>188</v>
      </c>
      <c r="K2178">
        <v>2015</v>
      </c>
      <c r="L2178" t="s">
        <v>45</v>
      </c>
      <c r="M2178" t="s">
        <v>80</v>
      </c>
      <c r="N2178" t="s">
        <v>12</v>
      </c>
      <c r="O2178" t="s">
        <v>188</v>
      </c>
      <c r="P2178" s="1" t="s">
        <v>34</v>
      </c>
      <c r="Q2178">
        <v>132.1</v>
      </c>
    </row>
    <row r="2179" spans="1:17" x14ac:dyDescent="0.3">
      <c r="A2179">
        <v>2019</v>
      </c>
      <c r="B2179" t="s">
        <v>44</v>
      </c>
      <c r="C2179" t="s">
        <v>134</v>
      </c>
      <c r="D2179" s="1" t="s">
        <v>7</v>
      </c>
      <c r="E2179" s="4">
        <v>126</v>
      </c>
      <c r="F2179" s="4">
        <v>124.3</v>
      </c>
      <c r="G2179" s="4">
        <v>121.5</v>
      </c>
      <c r="H2179" s="1" t="s">
        <v>188</v>
      </c>
      <c r="K2179">
        <v>2015</v>
      </c>
      <c r="L2179" t="s">
        <v>45</v>
      </c>
      <c r="M2179" t="s">
        <v>80</v>
      </c>
      <c r="N2179" t="s">
        <v>12</v>
      </c>
      <c r="O2179" t="s">
        <v>188</v>
      </c>
      <c r="P2179" s="1" t="s">
        <v>33</v>
      </c>
      <c r="Q2179">
        <v>138.6</v>
      </c>
    </row>
    <row r="2180" spans="1:17" x14ac:dyDescent="0.3">
      <c r="A2180">
        <v>2019</v>
      </c>
      <c r="B2180" t="s">
        <v>44</v>
      </c>
      <c r="C2180" t="s">
        <v>134</v>
      </c>
      <c r="D2180" s="1" t="s">
        <v>16</v>
      </c>
      <c r="E2180" s="4">
        <v>167.2</v>
      </c>
      <c r="F2180" s="4">
        <v>167.9</v>
      </c>
      <c r="G2180" s="4">
        <v>169.9</v>
      </c>
      <c r="H2180" s="1" t="s">
        <v>192</v>
      </c>
      <c r="K2180">
        <v>2015</v>
      </c>
      <c r="L2180" t="s">
        <v>45</v>
      </c>
      <c r="M2180" t="s">
        <v>80</v>
      </c>
      <c r="N2180" t="s">
        <v>11</v>
      </c>
      <c r="O2180" t="s">
        <v>188</v>
      </c>
      <c r="P2180" s="1" t="s">
        <v>30</v>
      </c>
      <c r="Q2180">
        <v>95.4</v>
      </c>
    </row>
    <row r="2181" spans="1:17" x14ac:dyDescent="0.3">
      <c r="A2181">
        <v>2019</v>
      </c>
      <c r="B2181" t="s">
        <v>44</v>
      </c>
      <c r="C2181" t="s">
        <v>134</v>
      </c>
      <c r="D2181" s="1" t="s">
        <v>27</v>
      </c>
      <c r="E2181" s="4">
        <v>140.6</v>
      </c>
      <c r="F2181" s="4">
        <v>140.30000000000001</v>
      </c>
      <c r="G2181" s="4">
        <v>139.80000000000001</v>
      </c>
      <c r="H2181" s="1" t="s">
        <v>192</v>
      </c>
      <c r="K2181">
        <v>2015</v>
      </c>
      <c r="L2181" t="s">
        <v>45</v>
      </c>
      <c r="M2181" t="s">
        <v>80</v>
      </c>
      <c r="N2181" t="s">
        <v>11</v>
      </c>
      <c r="O2181" t="s">
        <v>188</v>
      </c>
      <c r="P2181" s="1" t="s">
        <v>34</v>
      </c>
      <c r="Q2181">
        <v>94.5</v>
      </c>
    </row>
    <row r="2182" spans="1:17" x14ac:dyDescent="0.3">
      <c r="A2182">
        <v>2019</v>
      </c>
      <c r="B2182" t="s">
        <v>44</v>
      </c>
      <c r="C2182" t="s">
        <v>134</v>
      </c>
      <c r="D2182" s="1" t="s">
        <v>14</v>
      </c>
      <c r="E2182" s="4">
        <v>157.69999999999999</v>
      </c>
      <c r="F2182" s="4">
        <v>157.5</v>
      </c>
      <c r="G2182" s="4">
        <v>157.19999999999999</v>
      </c>
      <c r="H2182" s="1" t="s">
        <v>188</v>
      </c>
      <c r="K2182">
        <v>2015</v>
      </c>
      <c r="L2182" t="s">
        <v>45</v>
      </c>
      <c r="M2182" t="s">
        <v>80</v>
      </c>
      <c r="N2182" t="s">
        <v>11</v>
      </c>
      <c r="O2182" t="s">
        <v>188</v>
      </c>
      <c r="P2182" s="1" t="s">
        <v>33</v>
      </c>
      <c r="Q2182">
        <v>92.7</v>
      </c>
    </row>
    <row r="2183" spans="1:17" x14ac:dyDescent="0.3">
      <c r="A2183">
        <v>2019</v>
      </c>
      <c r="B2183" t="s">
        <v>44</v>
      </c>
      <c r="C2183" t="s">
        <v>134</v>
      </c>
      <c r="D2183" s="1" t="s">
        <v>10</v>
      </c>
      <c r="E2183" s="4">
        <v>136.19999999999999</v>
      </c>
      <c r="F2183" s="4">
        <v>135.69999999999999</v>
      </c>
      <c r="G2183" s="4">
        <v>134.6</v>
      </c>
      <c r="H2183" s="1" t="s">
        <v>188</v>
      </c>
      <c r="K2183">
        <v>2015</v>
      </c>
      <c r="L2183" t="s">
        <v>45</v>
      </c>
      <c r="M2183" t="s">
        <v>80</v>
      </c>
      <c r="N2183" t="s">
        <v>24</v>
      </c>
      <c r="O2183" t="s">
        <v>191</v>
      </c>
      <c r="P2183" s="1" t="s">
        <v>30</v>
      </c>
      <c r="Q2183">
        <v>114</v>
      </c>
    </row>
    <row r="2184" spans="1:17" x14ac:dyDescent="0.3">
      <c r="A2184">
        <v>2019</v>
      </c>
      <c r="B2184" t="s">
        <v>44</v>
      </c>
      <c r="C2184" t="s">
        <v>134</v>
      </c>
      <c r="D2184" s="1" t="s">
        <v>25</v>
      </c>
      <c r="E2184" s="4">
        <v>149.1</v>
      </c>
      <c r="F2184" s="4">
        <v>142.1</v>
      </c>
      <c r="G2184" s="4">
        <v>136.69999999999999</v>
      </c>
      <c r="H2184" s="1" t="s">
        <v>195</v>
      </c>
      <c r="K2184">
        <v>2015</v>
      </c>
      <c r="L2184" t="s">
        <v>45</v>
      </c>
      <c r="M2184" t="s">
        <v>80</v>
      </c>
      <c r="N2184" t="s">
        <v>24</v>
      </c>
      <c r="O2184" t="s">
        <v>191</v>
      </c>
      <c r="P2184" s="1" t="s">
        <v>34</v>
      </c>
      <c r="Q2184">
        <v>111.5</v>
      </c>
    </row>
    <row r="2185" spans="1:17" x14ac:dyDescent="0.3">
      <c r="A2185">
        <v>2019</v>
      </c>
      <c r="B2185" t="s">
        <v>44</v>
      </c>
      <c r="C2185" t="s">
        <v>134</v>
      </c>
      <c r="D2185" s="1" t="s">
        <v>12</v>
      </c>
      <c r="E2185" s="4">
        <v>147.30000000000001</v>
      </c>
      <c r="F2185" s="4">
        <v>147</v>
      </c>
      <c r="G2185" s="4">
        <v>146.30000000000001</v>
      </c>
      <c r="H2185" s="1" t="s">
        <v>188</v>
      </c>
      <c r="K2185">
        <v>2015</v>
      </c>
      <c r="L2185" t="s">
        <v>45</v>
      </c>
      <c r="M2185" t="s">
        <v>80</v>
      </c>
      <c r="N2185" t="s">
        <v>24</v>
      </c>
      <c r="O2185" t="s">
        <v>191</v>
      </c>
      <c r="P2185" s="1" t="s">
        <v>33</v>
      </c>
      <c r="Q2185">
        <v>109.3</v>
      </c>
    </row>
    <row r="2186" spans="1:17" x14ac:dyDescent="0.3">
      <c r="A2186">
        <v>2019</v>
      </c>
      <c r="B2186" t="s">
        <v>44</v>
      </c>
      <c r="C2186" t="s">
        <v>134</v>
      </c>
      <c r="D2186" s="1" t="s">
        <v>11</v>
      </c>
      <c r="E2186" s="4">
        <v>113.8</v>
      </c>
      <c r="F2186" s="4">
        <v>114.2</v>
      </c>
      <c r="G2186" s="4">
        <v>115</v>
      </c>
      <c r="H2186" s="1" t="s">
        <v>188</v>
      </c>
      <c r="K2186">
        <v>2015</v>
      </c>
      <c r="L2186" t="s">
        <v>45</v>
      </c>
      <c r="M2186" t="s">
        <v>80</v>
      </c>
      <c r="N2186" t="s">
        <v>9</v>
      </c>
      <c r="O2186" t="s">
        <v>188</v>
      </c>
      <c r="P2186" s="1" t="s">
        <v>30</v>
      </c>
      <c r="Q2186">
        <v>145.5</v>
      </c>
    </row>
    <row r="2187" spans="1:17" x14ac:dyDescent="0.3">
      <c r="A2187">
        <v>2019</v>
      </c>
      <c r="B2187" t="s">
        <v>44</v>
      </c>
      <c r="C2187" t="s">
        <v>134</v>
      </c>
      <c r="D2187" s="1" t="s">
        <v>24</v>
      </c>
      <c r="E2187" s="4">
        <v>132.1</v>
      </c>
      <c r="F2187" s="4">
        <v>126.6</v>
      </c>
      <c r="G2187" s="4">
        <v>121.7</v>
      </c>
      <c r="H2187" s="1" t="s">
        <v>191</v>
      </c>
      <c r="K2187">
        <v>2015</v>
      </c>
      <c r="L2187" t="s">
        <v>45</v>
      </c>
      <c r="M2187" t="s">
        <v>80</v>
      </c>
      <c r="N2187" t="s">
        <v>9</v>
      </c>
      <c r="O2187" t="s">
        <v>188</v>
      </c>
      <c r="P2187" s="1" t="s">
        <v>34</v>
      </c>
      <c r="Q2187">
        <v>146.69999999999999</v>
      </c>
    </row>
    <row r="2188" spans="1:17" x14ac:dyDescent="0.3">
      <c r="A2188">
        <v>2019</v>
      </c>
      <c r="B2188" t="s">
        <v>44</v>
      </c>
      <c r="C2188" t="s">
        <v>134</v>
      </c>
      <c r="D2188" s="1" t="s">
        <v>9</v>
      </c>
      <c r="E2188" s="4">
        <v>191.4</v>
      </c>
      <c r="F2188" s="4">
        <v>199.6</v>
      </c>
      <c r="G2188" s="4">
        <v>215.7</v>
      </c>
      <c r="H2188" s="1" t="s">
        <v>188</v>
      </c>
      <c r="K2188">
        <v>2015</v>
      </c>
      <c r="L2188" t="s">
        <v>45</v>
      </c>
      <c r="M2188" t="s">
        <v>80</v>
      </c>
      <c r="N2188" t="s">
        <v>9</v>
      </c>
      <c r="O2188" t="s">
        <v>188</v>
      </c>
      <c r="P2188" s="1" t="s">
        <v>33</v>
      </c>
      <c r="Q2188">
        <v>149</v>
      </c>
    </row>
    <row r="2189" spans="1:17" x14ac:dyDescent="0.3">
      <c r="A2189">
        <v>2019</v>
      </c>
      <c r="B2189" t="s">
        <v>43</v>
      </c>
      <c r="C2189" t="s">
        <v>135</v>
      </c>
      <c r="D2189" s="1" t="s">
        <v>3</v>
      </c>
      <c r="E2189" s="4">
        <v>141</v>
      </c>
      <c r="F2189" s="4">
        <v>141.80000000000001</v>
      </c>
      <c r="G2189" s="4">
        <v>143.5</v>
      </c>
      <c r="H2189" s="1" t="s">
        <v>188</v>
      </c>
      <c r="K2189">
        <v>2015</v>
      </c>
      <c r="L2189" t="s">
        <v>35</v>
      </c>
      <c r="M2189" t="s">
        <v>81</v>
      </c>
      <c r="N2189" t="s">
        <v>3</v>
      </c>
      <c r="O2189" t="s">
        <v>188</v>
      </c>
      <c r="P2189" s="1" t="s">
        <v>30</v>
      </c>
      <c r="Q2189">
        <v>123.4</v>
      </c>
    </row>
    <row r="2190" spans="1:17" x14ac:dyDescent="0.3">
      <c r="A2190">
        <v>2019</v>
      </c>
      <c r="B2190" t="s">
        <v>43</v>
      </c>
      <c r="C2190" t="s">
        <v>135</v>
      </c>
      <c r="D2190" s="1" t="s">
        <v>17</v>
      </c>
      <c r="E2190" s="4">
        <v>151.69999999999999</v>
      </c>
      <c r="F2190" s="4">
        <v>149.4</v>
      </c>
      <c r="G2190" s="4">
        <v>145.9</v>
      </c>
      <c r="H2190" s="1" t="s">
        <v>189</v>
      </c>
      <c r="K2190">
        <v>2015</v>
      </c>
      <c r="L2190" t="s">
        <v>35</v>
      </c>
      <c r="M2190" t="s">
        <v>81</v>
      </c>
      <c r="N2190" t="s">
        <v>3</v>
      </c>
      <c r="O2190" t="s">
        <v>188</v>
      </c>
      <c r="P2190" s="1" t="s">
        <v>34</v>
      </c>
      <c r="Q2190">
        <v>123.7</v>
      </c>
    </row>
    <row r="2191" spans="1:17" x14ac:dyDescent="0.3">
      <c r="A2191">
        <v>2019</v>
      </c>
      <c r="B2191" t="s">
        <v>43</v>
      </c>
      <c r="C2191" t="s">
        <v>135</v>
      </c>
      <c r="D2191" s="1" t="s">
        <v>19</v>
      </c>
      <c r="E2191" s="4">
        <v>151</v>
      </c>
      <c r="F2191" s="4">
        <v>148.19999999999999</v>
      </c>
      <c r="G2191" s="4">
        <v>143.9</v>
      </c>
      <c r="H2191" s="1" t="s">
        <v>189</v>
      </c>
      <c r="K2191">
        <v>2015</v>
      </c>
      <c r="L2191" t="s">
        <v>35</v>
      </c>
      <c r="M2191" t="s">
        <v>81</v>
      </c>
      <c r="N2191" t="s">
        <v>3</v>
      </c>
      <c r="O2191" t="s">
        <v>188</v>
      </c>
      <c r="P2191" s="1" t="s">
        <v>33</v>
      </c>
      <c r="Q2191">
        <v>124.3</v>
      </c>
    </row>
    <row r="2192" spans="1:17" x14ac:dyDescent="0.3">
      <c r="A2192">
        <v>2019</v>
      </c>
      <c r="B2192" t="s">
        <v>43</v>
      </c>
      <c r="C2192" t="s">
        <v>135</v>
      </c>
      <c r="D2192" s="1" t="s">
        <v>26</v>
      </c>
      <c r="E2192" s="4">
        <v>160.69999999999999</v>
      </c>
      <c r="F2192" s="4">
        <v>155.4</v>
      </c>
      <c r="G2192" s="4">
        <v>151.69999999999999</v>
      </c>
      <c r="H2192" s="1" t="s">
        <v>26</v>
      </c>
      <c r="K2192">
        <v>2015</v>
      </c>
      <c r="L2192" t="s">
        <v>35</v>
      </c>
      <c r="M2192" t="s">
        <v>81</v>
      </c>
      <c r="N2192" t="s">
        <v>17</v>
      </c>
      <c r="O2192" t="s">
        <v>189</v>
      </c>
      <c r="P2192" s="1" t="s">
        <v>30</v>
      </c>
      <c r="Q2192">
        <v>125.4</v>
      </c>
    </row>
    <row r="2193" spans="1:17" x14ac:dyDescent="0.3">
      <c r="A2193">
        <v>2019</v>
      </c>
      <c r="B2193" t="s">
        <v>43</v>
      </c>
      <c r="C2193" t="s">
        <v>135</v>
      </c>
      <c r="D2193" s="1" t="s">
        <v>5</v>
      </c>
      <c r="E2193" s="4">
        <v>141.19999999999999</v>
      </c>
      <c r="F2193" s="4">
        <v>142.6</v>
      </c>
      <c r="G2193" s="4">
        <v>144.69999999999999</v>
      </c>
      <c r="H2193" s="1" t="s">
        <v>188</v>
      </c>
      <c r="K2193">
        <v>2015</v>
      </c>
      <c r="L2193" t="s">
        <v>35</v>
      </c>
      <c r="M2193" t="s">
        <v>81</v>
      </c>
      <c r="N2193" t="s">
        <v>17</v>
      </c>
      <c r="O2193" t="s">
        <v>189</v>
      </c>
      <c r="P2193" s="1" t="s">
        <v>34</v>
      </c>
      <c r="Q2193">
        <v>123.8</v>
      </c>
    </row>
    <row r="2194" spans="1:17" x14ac:dyDescent="0.3">
      <c r="A2194">
        <v>2019</v>
      </c>
      <c r="B2194" t="s">
        <v>43</v>
      </c>
      <c r="C2194" t="s">
        <v>135</v>
      </c>
      <c r="D2194" s="1" t="s">
        <v>15</v>
      </c>
      <c r="E2194" s="4">
        <v>148.30000000000001</v>
      </c>
      <c r="F2194" s="4">
        <v>149.6</v>
      </c>
      <c r="G2194" s="4">
        <v>151.9</v>
      </c>
      <c r="H2194" s="1" t="s">
        <v>188</v>
      </c>
      <c r="K2194">
        <v>2015</v>
      </c>
      <c r="L2194" t="s">
        <v>35</v>
      </c>
      <c r="M2194" t="s">
        <v>81</v>
      </c>
      <c r="N2194" t="s">
        <v>17</v>
      </c>
      <c r="O2194" t="s">
        <v>189</v>
      </c>
      <c r="P2194" s="1" t="s">
        <v>33</v>
      </c>
      <c r="Q2194">
        <v>121.3</v>
      </c>
    </row>
    <row r="2195" spans="1:17" x14ac:dyDescent="0.3">
      <c r="A2195">
        <v>2019</v>
      </c>
      <c r="B2195" t="s">
        <v>43</v>
      </c>
      <c r="C2195" t="s">
        <v>135</v>
      </c>
      <c r="D2195" s="1" t="s">
        <v>18</v>
      </c>
      <c r="E2195" s="4">
        <v>146.69999999999999</v>
      </c>
      <c r="F2195" s="4">
        <v>140.80000000000001</v>
      </c>
      <c r="G2195" s="4">
        <v>132.4</v>
      </c>
      <c r="H2195" s="1" t="s">
        <v>189</v>
      </c>
      <c r="K2195">
        <v>2015</v>
      </c>
      <c r="L2195" t="s">
        <v>35</v>
      </c>
      <c r="M2195" t="s">
        <v>81</v>
      </c>
      <c r="N2195" t="s">
        <v>19</v>
      </c>
      <c r="O2195" t="s">
        <v>189</v>
      </c>
      <c r="P2195" s="1" t="s">
        <v>30</v>
      </c>
      <c r="Q2195">
        <v>125</v>
      </c>
    </row>
    <row r="2196" spans="1:17" x14ac:dyDescent="0.3">
      <c r="A2196">
        <v>2019</v>
      </c>
      <c r="B2196" t="s">
        <v>43</v>
      </c>
      <c r="C2196" t="s">
        <v>135</v>
      </c>
      <c r="D2196" s="1" t="s">
        <v>8</v>
      </c>
      <c r="E2196" s="4">
        <v>145.69999999999999</v>
      </c>
      <c r="F2196" s="4">
        <v>148</v>
      </c>
      <c r="G2196" s="4">
        <v>150.6</v>
      </c>
      <c r="H2196" s="1" t="s">
        <v>188</v>
      </c>
      <c r="K2196">
        <v>2015</v>
      </c>
      <c r="L2196" t="s">
        <v>35</v>
      </c>
      <c r="M2196" t="s">
        <v>81</v>
      </c>
      <c r="N2196" t="s">
        <v>19</v>
      </c>
      <c r="O2196" t="s">
        <v>189</v>
      </c>
      <c r="P2196" s="1" t="s">
        <v>34</v>
      </c>
      <c r="Q2196">
        <v>123.3</v>
      </c>
    </row>
    <row r="2197" spans="1:17" x14ac:dyDescent="0.3">
      <c r="A2197">
        <v>2019</v>
      </c>
      <c r="B2197" t="s">
        <v>43</v>
      </c>
      <c r="C2197" t="s">
        <v>135</v>
      </c>
      <c r="D2197" s="1" t="s">
        <v>21</v>
      </c>
      <c r="E2197" s="4">
        <v>147.69999999999999</v>
      </c>
      <c r="F2197" s="4">
        <v>140.6</v>
      </c>
      <c r="G2197" s="4">
        <v>128.9</v>
      </c>
      <c r="H2197" s="1" t="s">
        <v>190</v>
      </c>
      <c r="K2197">
        <v>2015</v>
      </c>
      <c r="L2197" t="s">
        <v>35</v>
      </c>
      <c r="M2197" t="s">
        <v>81</v>
      </c>
      <c r="N2197" t="s">
        <v>19</v>
      </c>
      <c r="O2197" t="s">
        <v>189</v>
      </c>
      <c r="P2197" s="1" t="s">
        <v>33</v>
      </c>
      <c r="Q2197">
        <v>120.6</v>
      </c>
    </row>
    <row r="2198" spans="1:17" x14ac:dyDescent="0.3">
      <c r="A2198">
        <v>2019</v>
      </c>
      <c r="B2198" t="s">
        <v>43</v>
      </c>
      <c r="C2198" t="s">
        <v>135</v>
      </c>
      <c r="D2198" s="1" t="s">
        <v>29</v>
      </c>
      <c r="E2198" s="4">
        <v>148.30000000000001</v>
      </c>
      <c r="F2198" s="4">
        <v>147.19999999999999</v>
      </c>
      <c r="G2198" s="4">
        <v>146</v>
      </c>
      <c r="H2198" s="1" t="s">
        <v>206</v>
      </c>
      <c r="K2198">
        <v>2015</v>
      </c>
      <c r="L2198" t="s">
        <v>35</v>
      </c>
      <c r="M2198" t="s">
        <v>81</v>
      </c>
      <c r="N2198" t="s">
        <v>26</v>
      </c>
      <c r="O2198" t="s">
        <v>26</v>
      </c>
      <c r="P2198" s="1" t="s">
        <v>30</v>
      </c>
      <c r="Q2198">
        <v>118.7</v>
      </c>
    </row>
    <row r="2199" spans="1:17" x14ac:dyDescent="0.3">
      <c r="A2199">
        <v>2019</v>
      </c>
      <c r="B2199" t="s">
        <v>43</v>
      </c>
      <c r="C2199" t="s">
        <v>135</v>
      </c>
      <c r="D2199" s="1" t="s">
        <v>23</v>
      </c>
      <c r="E2199" s="4">
        <v>153.69999999999999</v>
      </c>
      <c r="F2199" s="4">
        <v>149.4</v>
      </c>
      <c r="G2199" s="4">
        <v>142.4</v>
      </c>
      <c r="H2199" s="1" t="s">
        <v>23</v>
      </c>
      <c r="K2199">
        <v>2015</v>
      </c>
      <c r="L2199" t="s">
        <v>35</v>
      </c>
      <c r="M2199" t="s">
        <v>81</v>
      </c>
      <c r="N2199" t="s">
        <v>26</v>
      </c>
      <c r="O2199" t="s">
        <v>26</v>
      </c>
      <c r="P2199" s="1" t="s">
        <v>34</v>
      </c>
      <c r="Q2199">
        <v>119.7</v>
      </c>
    </row>
    <row r="2200" spans="1:17" x14ac:dyDescent="0.3">
      <c r="A2200">
        <v>2019</v>
      </c>
      <c r="B2200" t="s">
        <v>43</v>
      </c>
      <c r="C2200" t="s">
        <v>135</v>
      </c>
      <c r="D2200" s="1" t="s">
        <v>22</v>
      </c>
      <c r="E2200" s="4">
        <v>150.6</v>
      </c>
      <c r="F2200" s="4">
        <v>145</v>
      </c>
      <c r="G2200" s="4">
        <v>138.69999999999999</v>
      </c>
      <c r="H2200" s="1" t="s">
        <v>20</v>
      </c>
      <c r="K2200">
        <v>2015</v>
      </c>
      <c r="L2200" t="s">
        <v>35</v>
      </c>
      <c r="M2200" t="s">
        <v>81</v>
      </c>
      <c r="N2200" t="s">
        <v>26</v>
      </c>
      <c r="O2200" t="s">
        <v>26</v>
      </c>
      <c r="P2200" s="1" t="s">
        <v>33</v>
      </c>
      <c r="Q2200">
        <v>120.4</v>
      </c>
    </row>
    <row r="2201" spans="1:17" x14ac:dyDescent="0.3">
      <c r="A2201">
        <v>2019</v>
      </c>
      <c r="B2201" t="s">
        <v>43</v>
      </c>
      <c r="C2201" t="s">
        <v>135</v>
      </c>
      <c r="D2201" s="1" t="s">
        <v>20</v>
      </c>
      <c r="E2201" s="4">
        <v>0</v>
      </c>
      <c r="F2201" s="4">
        <v>153</v>
      </c>
      <c r="G2201" s="4">
        <v>153</v>
      </c>
      <c r="H2201" s="1" t="s">
        <v>20</v>
      </c>
      <c r="K2201">
        <v>2015</v>
      </c>
      <c r="L2201" t="s">
        <v>35</v>
      </c>
      <c r="M2201" t="s">
        <v>81</v>
      </c>
      <c r="N2201" t="s">
        <v>5</v>
      </c>
      <c r="O2201" t="s">
        <v>188</v>
      </c>
      <c r="P2201" s="1" t="s">
        <v>30</v>
      </c>
      <c r="Q2201">
        <v>122.1</v>
      </c>
    </row>
    <row r="2202" spans="1:17" x14ac:dyDescent="0.3">
      <c r="A2202">
        <v>2019</v>
      </c>
      <c r="B2202" t="s">
        <v>43</v>
      </c>
      <c r="C2202" t="s">
        <v>135</v>
      </c>
      <c r="D2202" s="1" t="s">
        <v>4</v>
      </c>
      <c r="E2202" s="4">
        <v>161.6</v>
      </c>
      <c r="F2202" s="4">
        <v>161</v>
      </c>
      <c r="G2202" s="4">
        <v>159.80000000000001</v>
      </c>
      <c r="H2202" s="1" t="s">
        <v>188</v>
      </c>
      <c r="K2202">
        <v>2015</v>
      </c>
      <c r="L2202" t="s">
        <v>35</v>
      </c>
      <c r="M2202" t="s">
        <v>81</v>
      </c>
      <c r="N2202" t="s">
        <v>5</v>
      </c>
      <c r="O2202" t="s">
        <v>188</v>
      </c>
      <c r="P2202" s="1" t="s">
        <v>34</v>
      </c>
      <c r="Q2202">
        <v>121.1</v>
      </c>
    </row>
    <row r="2203" spans="1:17" x14ac:dyDescent="0.3">
      <c r="A2203">
        <v>2019</v>
      </c>
      <c r="B2203" t="s">
        <v>43</v>
      </c>
      <c r="C2203" t="s">
        <v>135</v>
      </c>
      <c r="D2203" s="1" t="s">
        <v>6</v>
      </c>
      <c r="E2203" s="4">
        <v>146.5</v>
      </c>
      <c r="F2203" s="4">
        <v>146.19999999999999</v>
      </c>
      <c r="G2203" s="4">
        <v>145.6</v>
      </c>
      <c r="H2203" s="1" t="s">
        <v>188</v>
      </c>
      <c r="K2203">
        <v>2015</v>
      </c>
      <c r="L2203" t="s">
        <v>35</v>
      </c>
      <c r="M2203" t="s">
        <v>81</v>
      </c>
      <c r="N2203" t="s">
        <v>5</v>
      </c>
      <c r="O2203" t="s">
        <v>188</v>
      </c>
      <c r="P2203" s="1" t="s">
        <v>33</v>
      </c>
      <c r="Q2203">
        <v>119.5</v>
      </c>
    </row>
    <row r="2204" spans="1:17" x14ac:dyDescent="0.3">
      <c r="A2204">
        <v>2019</v>
      </c>
      <c r="B2204" t="s">
        <v>43</v>
      </c>
      <c r="C2204" t="s">
        <v>135</v>
      </c>
      <c r="D2204" s="1" t="s">
        <v>28</v>
      </c>
      <c r="E2204" s="4">
        <v>145.69999999999999</v>
      </c>
      <c r="F2204" s="4">
        <v>141</v>
      </c>
      <c r="G2204" s="4">
        <v>136</v>
      </c>
      <c r="H2204" s="1" t="s">
        <v>192</v>
      </c>
      <c r="K2204">
        <v>2015</v>
      </c>
      <c r="L2204" t="s">
        <v>35</v>
      </c>
      <c r="M2204" t="s">
        <v>81</v>
      </c>
      <c r="N2204" t="s">
        <v>15</v>
      </c>
      <c r="O2204" t="s">
        <v>188</v>
      </c>
      <c r="P2204" s="1" t="s">
        <v>30</v>
      </c>
      <c r="Q2204">
        <v>122.8</v>
      </c>
    </row>
    <row r="2205" spans="1:17" x14ac:dyDescent="0.3">
      <c r="A2205">
        <v>2019</v>
      </c>
      <c r="B2205" t="s">
        <v>43</v>
      </c>
      <c r="C2205" t="s">
        <v>135</v>
      </c>
      <c r="D2205" s="1" t="s">
        <v>13</v>
      </c>
      <c r="E2205" s="4">
        <v>138.6</v>
      </c>
      <c r="F2205" s="4">
        <v>135.1</v>
      </c>
      <c r="G2205" s="4">
        <v>130.19999999999999</v>
      </c>
      <c r="H2205" s="1" t="s">
        <v>188</v>
      </c>
      <c r="K2205">
        <v>2015</v>
      </c>
      <c r="L2205" t="s">
        <v>35</v>
      </c>
      <c r="M2205" t="s">
        <v>81</v>
      </c>
      <c r="N2205" t="s">
        <v>15</v>
      </c>
      <c r="O2205" t="s">
        <v>188</v>
      </c>
      <c r="P2205" s="1" t="s">
        <v>34</v>
      </c>
      <c r="Q2205">
        <v>123.1</v>
      </c>
    </row>
    <row r="2206" spans="1:17" x14ac:dyDescent="0.3">
      <c r="A2206">
        <v>2019</v>
      </c>
      <c r="B2206" t="s">
        <v>43</v>
      </c>
      <c r="C2206" t="s">
        <v>135</v>
      </c>
      <c r="D2206" s="1" t="s">
        <v>7</v>
      </c>
      <c r="E2206" s="4">
        <v>125.6</v>
      </c>
      <c r="F2206" s="4">
        <v>123.9</v>
      </c>
      <c r="G2206" s="4">
        <v>121.1</v>
      </c>
      <c r="H2206" s="1" t="s">
        <v>188</v>
      </c>
      <c r="K2206">
        <v>2015</v>
      </c>
      <c r="L2206" t="s">
        <v>35</v>
      </c>
      <c r="M2206" t="s">
        <v>81</v>
      </c>
      <c r="N2206" t="s">
        <v>15</v>
      </c>
      <c r="O2206" t="s">
        <v>188</v>
      </c>
      <c r="P2206" s="1" t="s">
        <v>33</v>
      </c>
      <c r="Q2206">
        <v>123.7</v>
      </c>
    </row>
    <row r="2207" spans="1:17" x14ac:dyDescent="0.3">
      <c r="A2207">
        <v>2019</v>
      </c>
      <c r="B2207" t="s">
        <v>43</v>
      </c>
      <c r="C2207" t="s">
        <v>135</v>
      </c>
      <c r="D2207" s="1" t="s">
        <v>16</v>
      </c>
      <c r="E2207" s="4">
        <v>166.3</v>
      </c>
      <c r="F2207" s="4">
        <v>167.1</v>
      </c>
      <c r="G2207" s="4">
        <v>169.3</v>
      </c>
      <c r="H2207" s="1" t="s">
        <v>192</v>
      </c>
      <c r="K2207">
        <v>2015</v>
      </c>
      <c r="L2207" t="s">
        <v>35</v>
      </c>
      <c r="M2207" t="s">
        <v>81</v>
      </c>
      <c r="N2207" t="s">
        <v>18</v>
      </c>
      <c r="O2207" t="s">
        <v>189</v>
      </c>
      <c r="P2207" s="1" t="s">
        <v>30</v>
      </c>
      <c r="Q2207">
        <v>122.7</v>
      </c>
    </row>
    <row r="2208" spans="1:17" x14ac:dyDescent="0.3">
      <c r="A2208">
        <v>2019</v>
      </c>
      <c r="B2208" t="s">
        <v>43</v>
      </c>
      <c r="C2208" t="s">
        <v>135</v>
      </c>
      <c r="D2208" s="1" t="s">
        <v>27</v>
      </c>
      <c r="E2208" s="4">
        <v>140.30000000000001</v>
      </c>
      <c r="F2208" s="4">
        <v>140</v>
      </c>
      <c r="G2208" s="4">
        <v>139.5</v>
      </c>
      <c r="H2208" s="1" t="s">
        <v>192</v>
      </c>
      <c r="K2208">
        <v>2015</v>
      </c>
      <c r="L2208" t="s">
        <v>35</v>
      </c>
      <c r="M2208" t="s">
        <v>81</v>
      </c>
      <c r="N2208" t="s">
        <v>18</v>
      </c>
      <c r="O2208" t="s">
        <v>189</v>
      </c>
      <c r="P2208" s="1" t="s">
        <v>34</v>
      </c>
      <c r="Q2208">
        <v>120.1</v>
      </c>
    </row>
    <row r="2209" spans="1:17" x14ac:dyDescent="0.3">
      <c r="A2209">
        <v>2019</v>
      </c>
      <c r="B2209" t="s">
        <v>43</v>
      </c>
      <c r="C2209" t="s">
        <v>135</v>
      </c>
      <c r="D2209" s="1" t="s">
        <v>14</v>
      </c>
      <c r="E2209" s="4">
        <v>157.4</v>
      </c>
      <c r="F2209" s="4">
        <v>157.1</v>
      </c>
      <c r="G2209" s="4">
        <v>156.80000000000001</v>
      </c>
      <c r="H2209" s="1" t="s">
        <v>188</v>
      </c>
      <c r="K2209">
        <v>2015</v>
      </c>
      <c r="L2209" t="s">
        <v>35</v>
      </c>
      <c r="M2209" t="s">
        <v>81</v>
      </c>
      <c r="N2209" t="s">
        <v>18</v>
      </c>
      <c r="O2209" t="s">
        <v>189</v>
      </c>
      <c r="P2209" s="1" t="s">
        <v>33</v>
      </c>
      <c r="Q2209">
        <v>116.5</v>
      </c>
    </row>
    <row r="2210" spans="1:17" x14ac:dyDescent="0.3">
      <c r="A2210">
        <v>2019</v>
      </c>
      <c r="B2210" t="s">
        <v>43</v>
      </c>
      <c r="C2210" t="s">
        <v>135</v>
      </c>
      <c r="D2210" s="1" t="s">
        <v>10</v>
      </c>
      <c r="E2210" s="4">
        <v>133.1</v>
      </c>
      <c r="F2210" s="4">
        <v>132.5</v>
      </c>
      <c r="G2210" s="4">
        <v>131.19999999999999</v>
      </c>
      <c r="H2210" s="1" t="s">
        <v>188</v>
      </c>
      <c r="K2210">
        <v>2015</v>
      </c>
      <c r="L2210" t="s">
        <v>35</v>
      </c>
      <c r="M2210" t="s">
        <v>81</v>
      </c>
      <c r="N2210" t="s">
        <v>8</v>
      </c>
      <c r="O2210" t="s">
        <v>188</v>
      </c>
      <c r="P2210" s="1" t="s">
        <v>30</v>
      </c>
      <c r="Q2210">
        <v>129.4</v>
      </c>
    </row>
    <row r="2211" spans="1:17" x14ac:dyDescent="0.3">
      <c r="A2211">
        <v>2019</v>
      </c>
      <c r="B2211" t="s">
        <v>43</v>
      </c>
      <c r="C2211" t="s">
        <v>135</v>
      </c>
      <c r="D2211" s="1" t="s">
        <v>25</v>
      </c>
      <c r="E2211" s="4">
        <v>148.69999999999999</v>
      </c>
      <c r="F2211" s="4">
        <v>141.69999999999999</v>
      </c>
      <c r="G2211" s="4">
        <v>136.19999999999999</v>
      </c>
      <c r="H2211" s="1" t="s">
        <v>195</v>
      </c>
      <c r="K2211">
        <v>2015</v>
      </c>
      <c r="L2211" t="s">
        <v>35</v>
      </c>
      <c r="M2211" t="s">
        <v>81</v>
      </c>
      <c r="N2211" t="s">
        <v>8</v>
      </c>
      <c r="O2211" t="s">
        <v>188</v>
      </c>
      <c r="P2211" s="1" t="s">
        <v>34</v>
      </c>
      <c r="Q2211">
        <v>125.8</v>
      </c>
    </row>
    <row r="2212" spans="1:17" x14ac:dyDescent="0.3">
      <c r="A2212">
        <v>2019</v>
      </c>
      <c r="B2212" t="s">
        <v>43</v>
      </c>
      <c r="C2212" t="s">
        <v>135</v>
      </c>
      <c r="D2212" s="1" t="s">
        <v>12</v>
      </c>
      <c r="E2212" s="4">
        <v>145.5</v>
      </c>
      <c r="F2212" s="4">
        <v>145.4</v>
      </c>
      <c r="G2212" s="4">
        <v>145.19999999999999</v>
      </c>
      <c r="H2212" s="1" t="s">
        <v>188</v>
      </c>
      <c r="K2212">
        <v>2015</v>
      </c>
      <c r="L2212" t="s">
        <v>35</v>
      </c>
      <c r="M2212" t="s">
        <v>81</v>
      </c>
      <c r="N2212" t="s">
        <v>8</v>
      </c>
      <c r="O2212" t="s">
        <v>188</v>
      </c>
      <c r="P2212" s="1" t="s">
        <v>33</v>
      </c>
      <c r="Q2212">
        <v>121.6</v>
      </c>
    </row>
    <row r="2213" spans="1:17" x14ac:dyDescent="0.3">
      <c r="A2213">
        <v>2019</v>
      </c>
      <c r="B2213" t="s">
        <v>43</v>
      </c>
      <c r="C2213" t="s">
        <v>135</v>
      </c>
      <c r="D2213" s="1" t="s">
        <v>11</v>
      </c>
      <c r="E2213" s="4">
        <v>113.6</v>
      </c>
      <c r="F2213" s="4">
        <v>114</v>
      </c>
      <c r="G2213" s="4">
        <v>114.8</v>
      </c>
      <c r="H2213" s="1" t="s">
        <v>188</v>
      </c>
      <c r="K2213">
        <v>2015</v>
      </c>
      <c r="L2213" t="s">
        <v>35</v>
      </c>
      <c r="M2213" t="s">
        <v>81</v>
      </c>
      <c r="N2213" t="s">
        <v>21</v>
      </c>
      <c r="O2213" t="s">
        <v>190</v>
      </c>
      <c r="P2213" s="1" t="s">
        <v>30</v>
      </c>
      <c r="Q2213">
        <v>120</v>
      </c>
    </row>
    <row r="2214" spans="1:17" x14ac:dyDescent="0.3">
      <c r="A2214">
        <v>2019</v>
      </c>
      <c r="B2214" t="s">
        <v>43</v>
      </c>
      <c r="C2214" t="s">
        <v>135</v>
      </c>
      <c r="D2214" s="1" t="s">
        <v>24</v>
      </c>
      <c r="E2214" s="4">
        <v>131.69999999999999</v>
      </c>
      <c r="F2214" s="4">
        <v>126.3</v>
      </c>
      <c r="G2214" s="4">
        <v>121.5</v>
      </c>
      <c r="H2214" s="1" t="s">
        <v>191</v>
      </c>
      <c r="K2214">
        <v>2015</v>
      </c>
      <c r="L2214" t="s">
        <v>35</v>
      </c>
      <c r="M2214" t="s">
        <v>81</v>
      </c>
      <c r="N2214" t="s">
        <v>21</v>
      </c>
      <c r="O2214" t="s">
        <v>190</v>
      </c>
      <c r="P2214" s="1" t="s">
        <v>34</v>
      </c>
      <c r="Q2214">
        <v>117.7</v>
      </c>
    </row>
    <row r="2215" spans="1:17" x14ac:dyDescent="0.3">
      <c r="A2215">
        <v>2019</v>
      </c>
      <c r="B2215" t="s">
        <v>43</v>
      </c>
      <c r="C2215" t="s">
        <v>135</v>
      </c>
      <c r="D2215" s="1" t="s">
        <v>9</v>
      </c>
      <c r="E2215" s="4">
        <v>178.8</v>
      </c>
      <c r="F2215" s="4">
        <v>188.4</v>
      </c>
      <c r="G2215" s="4">
        <v>207.2</v>
      </c>
      <c r="H2215" s="1" t="s">
        <v>188</v>
      </c>
      <c r="K2215">
        <v>2015</v>
      </c>
      <c r="L2215" t="s">
        <v>35</v>
      </c>
      <c r="M2215" t="s">
        <v>81</v>
      </c>
      <c r="N2215" t="s">
        <v>21</v>
      </c>
      <c r="O2215" t="s">
        <v>190</v>
      </c>
      <c r="P2215" s="1" t="s">
        <v>33</v>
      </c>
      <c r="Q2215">
        <v>114</v>
      </c>
    </row>
    <row r="2216" spans="1:17" x14ac:dyDescent="0.3">
      <c r="A2216">
        <v>2019</v>
      </c>
      <c r="B2216" t="s">
        <v>42</v>
      </c>
      <c r="C2216" t="s">
        <v>136</v>
      </c>
      <c r="D2216" s="1" t="s">
        <v>3</v>
      </c>
      <c r="E2216" s="4">
        <v>140.1</v>
      </c>
      <c r="F2216" s="4">
        <v>140.9</v>
      </c>
      <c r="G2216" s="4">
        <v>142.69999999999999</v>
      </c>
      <c r="H2216" s="1" t="s">
        <v>188</v>
      </c>
      <c r="K2216">
        <v>2015</v>
      </c>
      <c r="L2216" t="s">
        <v>35</v>
      </c>
      <c r="M2216" t="s">
        <v>81</v>
      </c>
      <c r="N2216" t="s">
        <v>29</v>
      </c>
      <c r="O2216" t="s">
        <v>206</v>
      </c>
      <c r="P2216" s="1" t="s">
        <v>30</v>
      </c>
      <c r="Q2216">
        <v>120.6</v>
      </c>
    </row>
    <row r="2217" spans="1:17" x14ac:dyDescent="0.3">
      <c r="A2217">
        <v>2019</v>
      </c>
      <c r="B2217" t="s">
        <v>42</v>
      </c>
      <c r="C2217" t="s">
        <v>136</v>
      </c>
      <c r="D2217" s="1" t="s">
        <v>17</v>
      </c>
      <c r="E2217" s="4">
        <v>151.69999999999999</v>
      </c>
      <c r="F2217" s="4">
        <v>149.19999999999999</v>
      </c>
      <c r="G2217" s="4">
        <v>145.30000000000001</v>
      </c>
      <c r="H2217" s="1" t="s">
        <v>189</v>
      </c>
      <c r="K2217">
        <v>2015</v>
      </c>
      <c r="L2217" t="s">
        <v>35</v>
      </c>
      <c r="M2217" t="s">
        <v>81</v>
      </c>
      <c r="N2217" t="s">
        <v>29</v>
      </c>
      <c r="O2217" t="s">
        <v>206</v>
      </c>
      <c r="P2217" s="1" t="s">
        <v>34</v>
      </c>
      <c r="Q2217">
        <v>119.7</v>
      </c>
    </row>
    <row r="2218" spans="1:17" x14ac:dyDescent="0.3">
      <c r="A2218">
        <v>2019</v>
      </c>
      <c r="B2218" t="s">
        <v>42</v>
      </c>
      <c r="C2218" t="s">
        <v>136</v>
      </c>
      <c r="D2218" s="1" t="s">
        <v>19</v>
      </c>
      <c r="E2218" s="4">
        <v>151</v>
      </c>
      <c r="F2218" s="4">
        <v>147.9</v>
      </c>
      <c r="G2218" s="4">
        <v>143.30000000000001</v>
      </c>
      <c r="H2218" s="1" t="s">
        <v>189</v>
      </c>
      <c r="K2218">
        <v>2015</v>
      </c>
      <c r="L2218" t="s">
        <v>35</v>
      </c>
      <c r="M2218" t="s">
        <v>81</v>
      </c>
      <c r="N2218" t="s">
        <v>29</v>
      </c>
      <c r="O2218" t="s">
        <v>206</v>
      </c>
      <c r="P2218" s="1" t="s">
        <v>33</v>
      </c>
      <c r="Q2218">
        <v>118.7</v>
      </c>
    </row>
    <row r="2219" spans="1:17" x14ac:dyDescent="0.3">
      <c r="A2219">
        <v>2019</v>
      </c>
      <c r="B2219" t="s">
        <v>42</v>
      </c>
      <c r="C2219" t="s">
        <v>136</v>
      </c>
      <c r="D2219" s="1" t="s">
        <v>26</v>
      </c>
      <c r="E2219" s="4">
        <v>160.19999999999999</v>
      </c>
      <c r="F2219" s="4">
        <v>155.19999999999999</v>
      </c>
      <c r="G2219" s="4">
        <v>151.6</v>
      </c>
      <c r="H2219" s="1" t="s">
        <v>26</v>
      </c>
      <c r="K2219">
        <v>2015</v>
      </c>
      <c r="L2219" t="s">
        <v>35</v>
      </c>
      <c r="M2219" t="s">
        <v>81</v>
      </c>
      <c r="N2219" t="s">
        <v>23</v>
      </c>
      <c r="O2219" t="s">
        <v>23</v>
      </c>
      <c r="P2219" s="1" t="s">
        <v>30</v>
      </c>
      <c r="Q2219">
        <v>117.7</v>
      </c>
    </row>
    <row r="2220" spans="1:17" x14ac:dyDescent="0.3">
      <c r="A2220">
        <v>2019</v>
      </c>
      <c r="B2220" t="s">
        <v>42</v>
      </c>
      <c r="C2220" t="s">
        <v>136</v>
      </c>
      <c r="D2220" s="1" t="s">
        <v>5</v>
      </c>
      <c r="E2220" s="4">
        <v>138.30000000000001</v>
      </c>
      <c r="F2220" s="4">
        <v>139.6</v>
      </c>
      <c r="G2220" s="4">
        <v>141.6</v>
      </c>
      <c r="H2220" s="1" t="s">
        <v>188</v>
      </c>
      <c r="K2220">
        <v>2015</v>
      </c>
      <c r="L2220" t="s">
        <v>35</v>
      </c>
      <c r="M2220" t="s">
        <v>81</v>
      </c>
      <c r="N2220" t="s">
        <v>23</v>
      </c>
      <c r="O2220" t="s">
        <v>23</v>
      </c>
      <c r="P2220" s="1" t="s">
        <v>34</v>
      </c>
      <c r="Q2220">
        <v>116.3</v>
      </c>
    </row>
    <row r="2221" spans="1:17" x14ac:dyDescent="0.3">
      <c r="A2221">
        <v>2019</v>
      </c>
      <c r="B2221" t="s">
        <v>42</v>
      </c>
      <c r="C2221" t="s">
        <v>136</v>
      </c>
      <c r="D2221" s="1" t="s">
        <v>15</v>
      </c>
      <c r="E2221" s="4">
        <v>145.5</v>
      </c>
      <c r="F2221" s="4">
        <v>147</v>
      </c>
      <c r="G2221" s="4">
        <v>149.5</v>
      </c>
      <c r="H2221" s="1" t="s">
        <v>188</v>
      </c>
      <c r="K2221">
        <v>2015</v>
      </c>
      <c r="L2221" t="s">
        <v>35</v>
      </c>
      <c r="M2221" t="s">
        <v>81</v>
      </c>
      <c r="N2221" t="s">
        <v>23</v>
      </c>
      <c r="O2221" t="s">
        <v>23</v>
      </c>
      <c r="P2221" s="1" t="s">
        <v>33</v>
      </c>
      <c r="Q2221">
        <v>114.1</v>
      </c>
    </row>
    <row r="2222" spans="1:17" x14ac:dyDescent="0.3">
      <c r="A2222">
        <v>2019</v>
      </c>
      <c r="B2222" t="s">
        <v>42</v>
      </c>
      <c r="C2222" t="s">
        <v>136</v>
      </c>
      <c r="D2222" s="1" t="s">
        <v>18</v>
      </c>
      <c r="E2222" s="4">
        <v>146.6</v>
      </c>
      <c r="F2222" s="4">
        <v>140.6</v>
      </c>
      <c r="G2222" s="4">
        <v>132.19999999999999</v>
      </c>
      <c r="H2222" s="1" t="s">
        <v>189</v>
      </c>
      <c r="K2222">
        <v>2015</v>
      </c>
      <c r="L2222" t="s">
        <v>35</v>
      </c>
      <c r="M2222" t="s">
        <v>81</v>
      </c>
      <c r="N2222" t="s">
        <v>22</v>
      </c>
      <c r="O2222" t="s">
        <v>20</v>
      </c>
      <c r="P2222" s="1" t="s">
        <v>30</v>
      </c>
      <c r="Q2222">
        <v>119.6</v>
      </c>
    </row>
    <row r="2223" spans="1:17" x14ac:dyDescent="0.3">
      <c r="A2223">
        <v>2019</v>
      </c>
      <c r="B2223" t="s">
        <v>42</v>
      </c>
      <c r="C2223" t="s">
        <v>136</v>
      </c>
      <c r="D2223" s="1" t="s">
        <v>8</v>
      </c>
      <c r="E2223" s="4">
        <v>143.80000000000001</v>
      </c>
      <c r="F2223" s="4">
        <v>146.6</v>
      </c>
      <c r="G2223" s="4">
        <v>149.80000000000001</v>
      </c>
      <c r="H2223" s="1" t="s">
        <v>188</v>
      </c>
      <c r="K2223">
        <v>2015</v>
      </c>
      <c r="L2223" t="s">
        <v>35</v>
      </c>
      <c r="M2223" t="s">
        <v>81</v>
      </c>
      <c r="N2223" t="s">
        <v>22</v>
      </c>
      <c r="O2223" t="s">
        <v>20</v>
      </c>
      <c r="P2223" s="1" t="s">
        <v>34</v>
      </c>
      <c r="Q2223">
        <v>118.7</v>
      </c>
    </row>
    <row r="2224" spans="1:17" x14ac:dyDescent="0.3">
      <c r="A2224">
        <v>2019</v>
      </c>
      <c r="B2224" t="s">
        <v>42</v>
      </c>
      <c r="C2224" t="s">
        <v>136</v>
      </c>
      <c r="D2224" s="1" t="s">
        <v>21</v>
      </c>
      <c r="E2224" s="4">
        <v>146.9</v>
      </c>
      <c r="F2224" s="4">
        <v>139.19999999999999</v>
      </c>
      <c r="G2224" s="4">
        <v>126.6</v>
      </c>
      <c r="H2224" s="1" t="s">
        <v>190</v>
      </c>
      <c r="K2224">
        <v>2015</v>
      </c>
      <c r="L2224" t="s">
        <v>35</v>
      </c>
      <c r="M2224" t="s">
        <v>81</v>
      </c>
      <c r="N2224" t="s">
        <v>22</v>
      </c>
      <c r="O2224" t="s">
        <v>20</v>
      </c>
      <c r="P2224" s="1" t="s">
        <v>33</v>
      </c>
      <c r="Q2224">
        <v>117.7</v>
      </c>
    </row>
    <row r="2225" spans="1:17" x14ac:dyDescent="0.3">
      <c r="A2225">
        <v>2019</v>
      </c>
      <c r="B2225" t="s">
        <v>42</v>
      </c>
      <c r="C2225" t="s">
        <v>136</v>
      </c>
      <c r="D2225" s="1" t="s">
        <v>29</v>
      </c>
      <c r="E2225" s="4">
        <v>146.69999999999999</v>
      </c>
      <c r="F2225" s="4">
        <v>145.80000000000001</v>
      </c>
      <c r="G2225" s="4">
        <v>144.69999999999999</v>
      </c>
      <c r="H2225" s="1" t="s">
        <v>206</v>
      </c>
      <c r="K2225">
        <v>2015</v>
      </c>
      <c r="L2225" t="s">
        <v>35</v>
      </c>
      <c r="M2225" t="s">
        <v>81</v>
      </c>
      <c r="N2225" t="s">
        <v>20</v>
      </c>
      <c r="O2225" t="s">
        <v>20</v>
      </c>
      <c r="P2225" s="1" t="s">
        <v>30</v>
      </c>
      <c r="Q2225">
        <v>0</v>
      </c>
    </row>
    <row r="2226" spans="1:17" x14ac:dyDescent="0.3">
      <c r="A2226">
        <v>2019</v>
      </c>
      <c r="B2226" t="s">
        <v>42</v>
      </c>
      <c r="C2226" t="s">
        <v>136</v>
      </c>
      <c r="D2226" s="1" t="s">
        <v>23</v>
      </c>
      <c r="E2226" s="4">
        <v>153.4</v>
      </c>
      <c r="F2226" s="4">
        <v>149</v>
      </c>
      <c r="G2226" s="4">
        <v>141.9</v>
      </c>
      <c r="H2226" s="1" t="s">
        <v>23</v>
      </c>
      <c r="K2226">
        <v>2015</v>
      </c>
      <c r="L2226" t="s">
        <v>35</v>
      </c>
      <c r="M2226" t="s">
        <v>81</v>
      </c>
      <c r="N2226" t="s">
        <v>20</v>
      </c>
      <c r="O2226" t="s">
        <v>20</v>
      </c>
      <c r="P2226" s="1" t="s">
        <v>34</v>
      </c>
      <c r="Q2226">
        <v>118.1</v>
      </c>
    </row>
    <row r="2227" spans="1:17" x14ac:dyDescent="0.3">
      <c r="A2227">
        <v>2019</v>
      </c>
      <c r="B2227" t="s">
        <v>42</v>
      </c>
      <c r="C2227" t="s">
        <v>136</v>
      </c>
      <c r="D2227" s="1" t="s">
        <v>22</v>
      </c>
      <c r="E2227" s="4">
        <v>150.30000000000001</v>
      </c>
      <c r="F2227" s="4">
        <v>144.6</v>
      </c>
      <c r="G2227" s="4">
        <v>138.30000000000001</v>
      </c>
      <c r="H2227" s="1" t="s">
        <v>20</v>
      </c>
      <c r="K2227">
        <v>2015</v>
      </c>
      <c r="L2227" t="s">
        <v>35</v>
      </c>
      <c r="M2227" t="s">
        <v>81</v>
      </c>
      <c r="N2227" t="s">
        <v>20</v>
      </c>
      <c r="O2227" t="s">
        <v>20</v>
      </c>
      <c r="P2227" s="1" t="s">
        <v>33</v>
      </c>
      <c r="Q2227">
        <v>118.1</v>
      </c>
    </row>
    <row r="2228" spans="1:17" x14ac:dyDescent="0.3">
      <c r="A2228">
        <v>2019</v>
      </c>
      <c r="B2228" t="s">
        <v>42</v>
      </c>
      <c r="C2228" t="s">
        <v>136</v>
      </c>
      <c r="D2228" s="1" t="s">
        <v>20</v>
      </c>
      <c r="E2228" s="4">
        <v>0</v>
      </c>
      <c r="F2228" s="4">
        <v>152.19999999999999</v>
      </c>
      <c r="G2228" s="4">
        <v>152.19999999999999</v>
      </c>
      <c r="H2228" s="1" t="s">
        <v>20</v>
      </c>
      <c r="K2228">
        <v>2015</v>
      </c>
      <c r="L2228" t="s">
        <v>35</v>
      </c>
      <c r="M2228" t="s">
        <v>81</v>
      </c>
      <c r="N2228" t="s">
        <v>4</v>
      </c>
      <c r="O2228" t="s">
        <v>188</v>
      </c>
      <c r="P2228" s="1" t="s">
        <v>30</v>
      </c>
      <c r="Q2228">
        <v>124.4</v>
      </c>
    </row>
    <row r="2229" spans="1:17" x14ac:dyDescent="0.3">
      <c r="A2229">
        <v>2019</v>
      </c>
      <c r="B2229" t="s">
        <v>42</v>
      </c>
      <c r="C2229" t="s">
        <v>136</v>
      </c>
      <c r="D2229" s="1" t="s">
        <v>4</v>
      </c>
      <c r="E2229" s="4">
        <v>161.9</v>
      </c>
      <c r="F2229" s="4">
        <v>160.80000000000001</v>
      </c>
      <c r="G2229" s="4">
        <v>158.69999999999999</v>
      </c>
      <c r="H2229" s="1" t="s">
        <v>188</v>
      </c>
      <c r="K2229">
        <v>2015</v>
      </c>
      <c r="L2229" t="s">
        <v>35</v>
      </c>
      <c r="M2229" t="s">
        <v>81</v>
      </c>
      <c r="N2229" t="s">
        <v>4</v>
      </c>
      <c r="O2229" t="s">
        <v>188</v>
      </c>
      <c r="P2229" s="1" t="s">
        <v>34</v>
      </c>
      <c r="Q2229">
        <v>125.1</v>
      </c>
    </row>
    <row r="2230" spans="1:17" x14ac:dyDescent="0.3">
      <c r="A2230">
        <v>2019</v>
      </c>
      <c r="B2230" t="s">
        <v>42</v>
      </c>
      <c r="C2230" t="s">
        <v>136</v>
      </c>
      <c r="D2230" s="1" t="s">
        <v>6</v>
      </c>
      <c r="E2230" s="4">
        <v>145.69999999999999</v>
      </c>
      <c r="F2230" s="4">
        <v>145.4</v>
      </c>
      <c r="G2230" s="4">
        <v>144.9</v>
      </c>
      <c r="H2230" s="1" t="s">
        <v>188</v>
      </c>
      <c r="K2230">
        <v>2015</v>
      </c>
      <c r="L2230" t="s">
        <v>35</v>
      </c>
      <c r="M2230" t="s">
        <v>81</v>
      </c>
      <c r="N2230" t="s">
        <v>4</v>
      </c>
      <c r="O2230" t="s">
        <v>188</v>
      </c>
      <c r="P2230" s="1" t="s">
        <v>33</v>
      </c>
      <c r="Q2230">
        <v>126.5</v>
      </c>
    </row>
    <row r="2231" spans="1:17" x14ac:dyDescent="0.3">
      <c r="A2231">
        <v>2019</v>
      </c>
      <c r="B2231" t="s">
        <v>42</v>
      </c>
      <c r="C2231" t="s">
        <v>136</v>
      </c>
      <c r="D2231" s="1" t="s">
        <v>28</v>
      </c>
      <c r="E2231" s="4">
        <v>145.4</v>
      </c>
      <c r="F2231" s="4">
        <v>140.69999999999999</v>
      </c>
      <c r="G2231" s="4">
        <v>135.69999999999999</v>
      </c>
      <c r="H2231" s="1" t="s">
        <v>192</v>
      </c>
      <c r="K2231">
        <v>2015</v>
      </c>
      <c r="L2231" t="s">
        <v>35</v>
      </c>
      <c r="M2231" t="s">
        <v>81</v>
      </c>
      <c r="N2231" t="s">
        <v>6</v>
      </c>
      <c r="O2231" t="s">
        <v>188</v>
      </c>
      <c r="P2231" s="1" t="s">
        <v>30</v>
      </c>
      <c r="Q2231">
        <v>125.8</v>
      </c>
    </row>
    <row r="2232" spans="1:17" x14ac:dyDescent="0.3">
      <c r="A2232">
        <v>2019</v>
      </c>
      <c r="B2232" t="s">
        <v>42</v>
      </c>
      <c r="C2232" t="s">
        <v>136</v>
      </c>
      <c r="D2232" s="1" t="s">
        <v>13</v>
      </c>
      <c r="E2232" s="4">
        <v>138.5</v>
      </c>
      <c r="F2232" s="4">
        <v>135</v>
      </c>
      <c r="G2232" s="4">
        <v>130</v>
      </c>
      <c r="H2232" s="1" t="s">
        <v>188</v>
      </c>
      <c r="K2232">
        <v>2015</v>
      </c>
      <c r="L2232" t="s">
        <v>35</v>
      </c>
      <c r="M2232" t="s">
        <v>81</v>
      </c>
      <c r="N2232" t="s">
        <v>6</v>
      </c>
      <c r="O2232" t="s">
        <v>188</v>
      </c>
      <c r="P2232" s="1" t="s">
        <v>34</v>
      </c>
      <c r="Q2232">
        <v>125.7</v>
      </c>
    </row>
    <row r="2233" spans="1:17" x14ac:dyDescent="0.3">
      <c r="A2233">
        <v>2019</v>
      </c>
      <c r="B2233" t="s">
        <v>42</v>
      </c>
      <c r="C2233" t="s">
        <v>136</v>
      </c>
      <c r="D2233" s="1" t="s">
        <v>7</v>
      </c>
      <c r="E2233" s="4">
        <v>125.1</v>
      </c>
      <c r="F2233" s="4">
        <v>123.5</v>
      </c>
      <c r="G2233" s="4">
        <v>120.8</v>
      </c>
      <c r="H2233" s="1" t="s">
        <v>188</v>
      </c>
      <c r="K2233">
        <v>2015</v>
      </c>
      <c r="L2233" t="s">
        <v>35</v>
      </c>
      <c r="M2233" t="s">
        <v>81</v>
      </c>
      <c r="N2233" t="s">
        <v>6</v>
      </c>
      <c r="O2233" t="s">
        <v>188</v>
      </c>
      <c r="P2233" s="1" t="s">
        <v>33</v>
      </c>
      <c r="Q2233">
        <v>125.6</v>
      </c>
    </row>
    <row r="2234" spans="1:17" x14ac:dyDescent="0.3">
      <c r="A2234">
        <v>2019</v>
      </c>
      <c r="B2234" t="s">
        <v>42</v>
      </c>
      <c r="C2234" t="s">
        <v>136</v>
      </c>
      <c r="D2234" s="1" t="s">
        <v>16</v>
      </c>
      <c r="E2234" s="4">
        <v>165.7</v>
      </c>
      <c r="F2234" s="4">
        <v>166.5</v>
      </c>
      <c r="G2234" s="4">
        <v>168.6</v>
      </c>
      <c r="H2234" s="1" t="s">
        <v>192</v>
      </c>
      <c r="K2234">
        <v>2015</v>
      </c>
      <c r="L2234" t="s">
        <v>35</v>
      </c>
      <c r="M2234" t="s">
        <v>81</v>
      </c>
      <c r="N2234" t="s">
        <v>28</v>
      </c>
      <c r="O2234" t="s">
        <v>192</v>
      </c>
      <c r="P2234" s="1" t="s">
        <v>30</v>
      </c>
      <c r="Q2234">
        <v>115</v>
      </c>
    </row>
    <row r="2235" spans="1:17" x14ac:dyDescent="0.3">
      <c r="A2235">
        <v>2019</v>
      </c>
      <c r="B2235" t="s">
        <v>42</v>
      </c>
      <c r="C2235" t="s">
        <v>136</v>
      </c>
      <c r="D2235" s="1" t="s">
        <v>27</v>
      </c>
      <c r="E2235" s="4">
        <v>140.19999999999999</v>
      </c>
      <c r="F2235" s="4">
        <v>139.69999999999999</v>
      </c>
      <c r="G2235" s="4">
        <v>139</v>
      </c>
      <c r="H2235" s="1" t="s">
        <v>192</v>
      </c>
      <c r="K2235">
        <v>2015</v>
      </c>
      <c r="L2235" t="s">
        <v>35</v>
      </c>
      <c r="M2235" t="s">
        <v>81</v>
      </c>
      <c r="N2235" t="s">
        <v>28</v>
      </c>
      <c r="O2235" t="s">
        <v>192</v>
      </c>
      <c r="P2235" s="1" t="s">
        <v>34</v>
      </c>
      <c r="Q2235">
        <v>114.1</v>
      </c>
    </row>
    <row r="2236" spans="1:17" x14ac:dyDescent="0.3">
      <c r="A2236">
        <v>2019</v>
      </c>
      <c r="B2236" t="s">
        <v>42</v>
      </c>
      <c r="C2236" t="s">
        <v>136</v>
      </c>
      <c r="D2236" s="1" t="s">
        <v>14</v>
      </c>
      <c r="E2236" s="4">
        <v>157.19999999999999</v>
      </c>
      <c r="F2236" s="4">
        <v>156.80000000000001</v>
      </c>
      <c r="G2236" s="4">
        <v>156.4</v>
      </c>
      <c r="H2236" s="1" t="s">
        <v>188</v>
      </c>
      <c r="K2236">
        <v>2015</v>
      </c>
      <c r="L2236" t="s">
        <v>35</v>
      </c>
      <c r="M2236" t="s">
        <v>81</v>
      </c>
      <c r="N2236" t="s">
        <v>28</v>
      </c>
      <c r="O2236" t="s">
        <v>192</v>
      </c>
      <c r="P2236" s="1" t="s">
        <v>33</v>
      </c>
      <c r="Q2236">
        <v>113.2</v>
      </c>
    </row>
    <row r="2237" spans="1:17" x14ac:dyDescent="0.3">
      <c r="A2237">
        <v>2019</v>
      </c>
      <c r="B2237" t="s">
        <v>42</v>
      </c>
      <c r="C2237" t="s">
        <v>136</v>
      </c>
      <c r="D2237" s="1" t="s">
        <v>10</v>
      </c>
      <c r="E2237" s="4">
        <v>132.19999999999999</v>
      </c>
      <c r="F2237" s="4">
        <v>131.6</v>
      </c>
      <c r="G2237" s="4">
        <v>130.30000000000001</v>
      </c>
      <c r="H2237" s="1" t="s">
        <v>188</v>
      </c>
      <c r="K2237">
        <v>2015</v>
      </c>
      <c r="L2237" t="s">
        <v>35</v>
      </c>
      <c r="M2237" t="s">
        <v>81</v>
      </c>
      <c r="N2237" t="s">
        <v>13</v>
      </c>
      <c r="O2237" t="s">
        <v>188</v>
      </c>
      <c r="P2237" s="1" t="s">
        <v>30</v>
      </c>
      <c r="Q2237">
        <v>118.8</v>
      </c>
    </row>
    <row r="2238" spans="1:17" x14ac:dyDescent="0.3">
      <c r="A2238">
        <v>2019</v>
      </c>
      <c r="B2238" t="s">
        <v>42</v>
      </c>
      <c r="C2238" t="s">
        <v>136</v>
      </c>
      <c r="D2238" s="1" t="s">
        <v>25</v>
      </c>
      <c r="E2238" s="4">
        <v>148.30000000000001</v>
      </c>
      <c r="F2238" s="4">
        <v>141.30000000000001</v>
      </c>
      <c r="G2238" s="4">
        <v>135.9</v>
      </c>
      <c r="H2238" s="1" t="s">
        <v>195</v>
      </c>
      <c r="K2238">
        <v>2015</v>
      </c>
      <c r="L2238" t="s">
        <v>35</v>
      </c>
      <c r="M2238" t="s">
        <v>81</v>
      </c>
      <c r="N2238" t="s">
        <v>13</v>
      </c>
      <c r="O2238" t="s">
        <v>188</v>
      </c>
      <c r="P2238" s="1" t="s">
        <v>34</v>
      </c>
      <c r="Q2238">
        <v>118</v>
      </c>
    </row>
    <row r="2239" spans="1:17" x14ac:dyDescent="0.3">
      <c r="A2239">
        <v>2019</v>
      </c>
      <c r="B2239" t="s">
        <v>42</v>
      </c>
      <c r="C2239" t="s">
        <v>136</v>
      </c>
      <c r="D2239" s="1" t="s">
        <v>12</v>
      </c>
      <c r="E2239" s="4">
        <v>144.19999999999999</v>
      </c>
      <c r="F2239" s="4">
        <v>144.1</v>
      </c>
      <c r="G2239" s="4">
        <v>143.80000000000001</v>
      </c>
      <c r="H2239" s="1" t="s">
        <v>188</v>
      </c>
      <c r="K2239">
        <v>2015</v>
      </c>
      <c r="L2239" t="s">
        <v>35</v>
      </c>
      <c r="M2239" t="s">
        <v>81</v>
      </c>
      <c r="N2239" t="s">
        <v>13</v>
      </c>
      <c r="O2239" t="s">
        <v>188</v>
      </c>
      <c r="P2239" s="1" t="s">
        <v>33</v>
      </c>
      <c r="Q2239">
        <v>116.8</v>
      </c>
    </row>
    <row r="2240" spans="1:17" x14ac:dyDescent="0.3">
      <c r="A2240">
        <v>2019</v>
      </c>
      <c r="B2240" t="s">
        <v>42</v>
      </c>
      <c r="C2240" t="s">
        <v>136</v>
      </c>
      <c r="D2240" s="1" t="s">
        <v>11</v>
      </c>
      <c r="E2240" s="4">
        <v>112.8</v>
      </c>
      <c r="F2240" s="4">
        <v>113.2</v>
      </c>
      <c r="G2240" s="4">
        <v>114</v>
      </c>
      <c r="H2240" s="1" t="s">
        <v>188</v>
      </c>
      <c r="K2240">
        <v>2015</v>
      </c>
      <c r="L2240" t="s">
        <v>35</v>
      </c>
      <c r="M2240" t="s">
        <v>81</v>
      </c>
      <c r="N2240" t="s">
        <v>7</v>
      </c>
      <c r="O2240" t="s">
        <v>188</v>
      </c>
      <c r="P2240" s="1" t="s">
        <v>30</v>
      </c>
      <c r="Q2240">
        <v>111.5</v>
      </c>
    </row>
    <row r="2241" spans="1:17" x14ac:dyDescent="0.3">
      <c r="A2241">
        <v>2019</v>
      </c>
      <c r="B2241" t="s">
        <v>42</v>
      </c>
      <c r="C2241" t="s">
        <v>136</v>
      </c>
      <c r="D2241" s="1" t="s">
        <v>24</v>
      </c>
      <c r="E2241" s="4">
        <v>131.6</v>
      </c>
      <c r="F2241" s="4">
        <v>126.1</v>
      </c>
      <c r="G2241" s="4">
        <v>121.2</v>
      </c>
      <c r="H2241" s="1" t="s">
        <v>191</v>
      </c>
      <c r="K2241">
        <v>2015</v>
      </c>
      <c r="L2241" t="s">
        <v>35</v>
      </c>
      <c r="M2241" t="s">
        <v>81</v>
      </c>
      <c r="N2241" t="s">
        <v>7</v>
      </c>
      <c r="O2241" t="s">
        <v>188</v>
      </c>
      <c r="P2241" s="1" t="s">
        <v>34</v>
      </c>
      <c r="Q2241">
        <v>109.1</v>
      </c>
    </row>
    <row r="2242" spans="1:17" x14ac:dyDescent="0.3">
      <c r="A2242">
        <v>2019</v>
      </c>
      <c r="B2242" t="s">
        <v>42</v>
      </c>
      <c r="C2242" t="s">
        <v>136</v>
      </c>
      <c r="D2242" s="1" t="s">
        <v>9</v>
      </c>
      <c r="E2242" s="4">
        <v>163.4</v>
      </c>
      <c r="F2242" s="4">
        <v>173.2</v>
      </c>
      <c r="G2242" s="4">
        <v>192.4</v>
      </c>
      <c r="H2242" s="1" t="s">
        <v>188</v>
      </c>
      <c r="K2242">
        <v>2015</v>
      </c>
      <c r="L2242" t="s">
        <v>35</v>
      </c>
      <c r="M2242" t="s">
        <v>81</v>
      </c>
      <c r="N2242" t="s">
        <v>7</v>
      </c>
      <c r="O2242" t="s">
        <v>188</v>
      </c>
      <c r="P2242" s="1" t="s">
        <v>33</v>
      </c>
      <c r="Q2242">
        <v>104.9</v>
      </c>
    </row>
    <row r="2243" spans="1:17" x14ac:dyDescent="0.3">
      <c r="A2243">
        <v>2020</v>
      </c>
      <c r="B2243" t="s">
        <v>37</v>
      </c>
      <c r="C2243" t="s">
        <v>51</v>
      </c>
      <c r="D2243" s="1" t="s">
        <v>3</v>
      </c>
      <c r="E2243" s="4">
        <v>147.19999999999999</v>
      </c>
      <c r="F2243" s="4">
        <v>148.69999999999999</v>
      </c>
      <c r="G2243" s="4">
        <v>151.80000000000001</v>
      </c>
      <c r="H2243" s="1" t="s">
        <v>188</v>
      </c>
      <c r="K2243">
        <v>2015</v>
      </c>
      <c r="L2243" t="s">
        <v>35</v>
      </c>
      <c r="M2243" t="s">
        <v>81</v>
      </c>
      <c r="N2243" t="s">
        <v>16</v>
      </c>
      <c r="O2243" t="s">
        <v>192</v>
      </c>
      <c r="P2243" s="1" t="s">
        <v>30</v>
      </c>
      <c r="Q2243">
        <v>124.2</v>
      </c>
    </row>
    <row r="2244" spans="1:17" x14ac:dyDescent="0.3">
      <c r="A2244">
        <v>2020</v>
      </c>
      <c r="B2244" t="s">
        <v>37</v>
      </c>
      <c r="C2244" t="s">
        <v>51</v>
      </c>
      <c r="D2244" s="1" t="s">
        <v>17</v>
      </c>
      <c r="E2244" s="4">
        <v>153.06666666666669</v>
      </c>
      <c r="F2244" s="4">
        <v>150.83333333333334</v>
      </c>
      <c r="G2244" s="4">
        <v>147.33333333333334</v>
      </c>
      <c r="H2244" s="1" t="s">
        <v>189</v>
      </c>
      <c r="K2244">
        <v>2015</v>
      </c>
      <c r="L2244" t="s">
        <v>35</v>
      </c>
      <c r="M2244" t="s">
        <v>81</v>
      </c>
      <c r="N2244" t="s">
        <v>16</v>
      </c>
      <c r="O2244" t="s">
        <v>192</v>
      </c>
      <c r="P2244" s="1" t="s">
        <v>34</v>
      </c>
      <c r="Q2244">
        <v>125.2</v>
      </c>
    </row>
    <row r="2245" spans="1:17" x14ac:dyDescent="0.3">
      <c r="A2245">
        <v>2020</v>
      </c>
      <c r="B2245" t="s">
        <v>37</v>
      </c>
      <c r="C2245" t="s">
        <v>51</v>
      </c>
      <c r="D2245" s="1" t="s">
        <v>19</v>
      </c>
      <c r="E2245" s="4">
        <v>152.30000000000001</v>
      </c>
      <c r="F2245" s="4">
        <v>149.5</v>
      </c>
      <c r="G2245" s="4">
        <v>145.23333333333332</v>
      </c>
      <c r="H2245" s="1" t="s">
        <v>189</v>
      </c>
      <c r="K2245">
        <v>2015</v>
      </c>
      <c r="L2245" t="s">
        <v>35</v>
      </c>
      <c r="M2245" t="s">
        <v>81</v>
      </c>
      <c r="N2245" t="s">
        <v>16</v>
      </c>
      <c r="O2245" t="s">
        <v>192</v>
      </c>
      <c r="P2245" s="1" t="s">
        <v>33</v>
      </c>
      <c r="Q2245">
        <v>128.1</v>
      </c>
    </row>
    <row r="2246" spans="1:17" x14ac:dyDescent="0.3">
      <c r="A2246">
        <v>2020</v>
      </c>
      <c r="B2246" t="s">
        <v>37</v>
      </c>
      <c r="C2246" t="s">
        <v>51</v>
      </c>
      <c r="D2246" s="1" t="s">
        <v>26</v>
      </c>
      <c r="E2246" s="4">
        <v>161.6</v>
      </c>
      <c r="F2246" s="4">
        <v>156.13333333333333</v>
      </c>
      <c r="G2246" s="4">
        <v>152.26666666666668</v>
      </c>
      <c r="H2246" s="1" t="s">
        <v>26</v>
      </c>
      <c r="K2246">
        <v>2015</v>
      </c>
      <c r="L2246" t="s">
        <v>35</v>
      </c>
      <c r="M2246" t="s">
        <v>81</v>
      </c>
      <c r="N2246" t="s">
        <v>27</v>
      </c>
      <c r="O2246" t="s">
        <v>192</v>
      </c>
      <c r="P2246" s="1" t="s">
        <v>30</v>
      </c>
      <c r="Q2246">
        <v>110.8</v>
      </c>
    </row>
    <row r="2247" spans="1:17" x14ac:dyDescent="0.3">
      <c r="A2247">
        <v>2020</v>
      </c>
      <c r="B2247" t="s">
        <v>37</v>
      </c>
      <c r="C2247" t="s">
        <v>51</v>
      </c>
      <c r="D2247" s="1" t="s">
        <v>5</v>
      </c>
      <c r="E2247" s="4">
        <v>146.9</v>
      </c>
      <c r="F2247" s="4">
        <v>148.80000000000001</v>
      </c>
      <c r="G2247" s="4">
        <v>151.9</v>
      </c>
      <c r="H2247" s="1" t="s">
        <v>188</v>
      </c>
      <c r="K2247">
        <v>2015</v>
      </c>
      <c r="L2247" t="s">
        <v>35</v>
      </c>
      <c r="M2247" t="s">
        <v>81</v>
      </c>
      <c r="N2247" t="s">
        <v>27</v>
      </c>
      <c r="O2247" t="s">
        <v>192</v>
      </c>
      <c r="P2247" s="1" t="s">
        <v>34</v>
      </c>
      <c r="Q2247">
        <v>111.2</v>
      </c>
    </row>
    <row r="2248" spans="1:17" x14ac:dyDescent="0.3">
      <c r="A2248">
        <v>2020</v>
      </c>
      <c r="B2248" t="s">
        <v>37</v>
      </c>
      <c r="C2248" t="s">
        <v>51</v>
      </c>
      <c r="D2248" s="1" t="s">
        <v>15</v>
      </c>
      <c r="E2248" s="4">
        <v>150.1</v>
      </c>
      <c r="F2248" s="4">
        <v>151.4</v>
      </c>
      <c r="G2248" s="4">
        <v>153.5</v>
      </c>
      <c r="H2248" s="1" t="s">
        <v>188</v>
      </c>
      <c r="K2248">
        <v>2015</v>
      </c>
      <c r="L2248" t="s">
        <v>35</v>
      </c>
      <c r="M2248" t="s">
        <v>81</v>
      </c>
      <c r="N2248" t="s">
        <v>27</v>
      </c>
      <c r="O2248" t="s">
        <v>192</v>
      </c>
      <c r="P2248" s="1" t="s">
        <v>33</v>
      </c>
      <c r="Q2248">
        <v>111.7</v>
      </c>
    </row>
    <row r="2249" spans="1:17" x14ac:dyDescent="0.3">
      <c r="A2249">
        <v>2020</v>
      </c>
      <c r="B2249" t="s">
        <v>37</v>
      </c>
      <c r="C2249" t="s">
        <v>51</v>
      </c>
      <c r="D2249" s="1" t="s">
        <v>18</v>
      </c>
      <c r="E2249" s="4">
        <v>147.5</v>
      </c>
      <c r="F2249" s="4">
        <v>141.69999999999999</v>
      </c>
      <c r="G2249" s="4">
        <v>133.5</v>
      </c>
      <c r="H2249" s="1" t="s">
        <v>189</v>
      </c>
      <c r="K2249">
        <v>2015</v>
      </c>
      <c r="L2249" t="s">
        <v>35</v>
      </c>
      <c r="M2249" t="s">
        <v>81</v>
      </c>
      <c r="N2249" t="s">
        <v>14</v>
      </c>
      <c r="O2249" t="s">
        <v>188</v>
      </c>
      <c r="P2249" s="1" t="s">
        <v>30</v>
      </c>
      <c r="Q2249">
        <v>126.8</v>
      </c>
    </row>
    <row r="2250" spans="1:17" x14ac:dyDescent="0.3">
      <c r="A2250">
        <v>2020</v>
      </c>
      <c r="B2250" t="s">
        <v>37</v>
      </c>
      <c r="C2250" t="s">
        <v>51</v>
      </c>
      <c r="D2250" s="1" t="s">
        <v>8</v>
      </c>
      <c r="E2250" s="4">
        <v>147.30000000000001</v>
      </c>
      <c r="F2250" s="4">
        <v>149.9</v>
      </c>
      <c r="G2250" s="4">
        <v>152.9</v>
      </c>
      <c r="H2250" s="1" t="s">
        <v>188</v>
      </c>
      <c r="K2250">
        <v>2015</v>
      </c>
      <c r="L2250" t="s">
        <v>35</v>
      </c>
      <c r="M2250" t="s">
        <v>81</v>
      </c>
      <c r="N2250" t="s">
        <v>14</v>
      </c>
      <c r="O2250" t="s">
        <v>188</v>
      </c>
      <c r="P2250" s="1" t="s">
        <v>34</v>
      </c>
      <c r="Q2250">
        <v>127.6</v>
      </c>
    </row>
    <row r="2251" spans="1:17" x14ac:dyDescent="0.3">
      <c r="A2251">
        <v>2020</v>
      </c>
      <c r="B2251" t="s">
        <v>37</v>
      </c>
      <c r="C2251" t="s">
        <v>51</v>
      </c>
      <c r="D2251" s="1" t="s">
        <v>21</v>
      </c>
      <c r="E2251" s="4">
        <v>148.4</v>
      </c>
      <c r="F2251" s="4">
        <v>144.1</v>
      </c>
      <c r="G2251" s="4">
        <v>137.1</v>
      </c>
      <c r="H2251" s="1" t="s">
        <v>190</v>
      </c>
      <c r="K2251">
        <v>2015</v>
      </c>
      <c r="L2251" t="s">
        <v>35</v>
      </c>
      <c r="M2251" t="s">
        <v>81</v>
      </c>
      <c r="N2251" t="s">
        <v>14</v>
      </c>
      <c r="O2251" t="s">
        <v>188</v>
      </c>
      <c r="P2251" s="1" t="s">
        <v>33</v>
      </c>
      <c r="Q2251">
        <v>128.6</v>
      </c>
    </row>
    <row r="2252" spans="1:17" x14ac:dyDescent="0.3">
      <c r="A2252">
        <v>2020</v>
      </c>
      <c r="B2252" t="s">
        <v>37</v>
      </c>
      <c r="C2252" t="s">
        <v>51</v>
      </c>
      <c r="D2252" s="1" t="s">
        <v>29</v>
      </c>
      <c r="E2252" s="4">
        <v>150.70000000000002</v>
      </c>
      <c r="F2252" s="4">
        <v>149.29999999999998</v>
      </c>
      <c r="G2252" s="4">
        <v>147.73333333333332</v>
      </c>
      <c r="H2252" s="1" t="s">
        <v>206</v>
      </c>
      <c r="K2252">
        <v>2015</v>
      </c>
      <c r="L2252" t="s">
        <v>35</v>
      </c>
      <c r="M2252" t="s">
        <v>81</v>
      </c>
      <c r="N2252" t="s">
        <v>10</v>
      </c>
      <c r="O2252" t="s">
        <v>188</v>
      </c>
      <c r="P2252" s="1" t="s">
        <v>30</v>
      </c>
      <c r="Q2252">
        <v>118.8</v>
      </c>
    </row>
    <row r="2253" spans="1:17" x14ac:dyDescent="0.3">
      <c r="A2253">
        <v>2020</v>
      </c>
      <c r="B2253" t="s">
        <v>37</v>
      </c>
      <c r="C2253" t="s">
        <v>51</v>
      </c>
      <c r="D2253" s="1" t="s">
        <v>23</v>
      </c>
      <c r="E2253" s="4">
        <v>154.30000000000001</v>
      </c>
      <c r="F2253" s="4">
        <v>150.69999999999999</v>
      </c>
      <c r="G2253" s="4">
        <v>144.80000000000001</v>
      </c>
      <c r="H2253" s="1" t="s">
        <v>23</v>
      </c>
      <c r="K2253">
        <v>2015</v>
      </c>
      <c r="L2253" t="s">
        <v>35</v>
      </c>
      <c r="M2253" t="s">
        <v>81</v>
      </c>
      <c r="N2253" t="s">
        <v>10</v>
      </c>
      <c r="O2253" t="s">
        <v>188</v>
      </c>
      <c r="P2253" s="1" t="s">
        <v>34</v>
      </c>
      <c r="Q2253">
        <v>120.9</v>
      </c>
    </row>
    <row r="2254" spans="1:17" x14ac:dyDescent="0.3">
      <c r="A2254">
        <v>2020</v>
      </c>
      <c r="B2254" t="s">
        <v>37</v>
      </c>
      <c r="C2254" t="s">
        <v>51</v>
      </c>
      <c r="D2254" s="1" t="s">
        <v>22</v>
      </c>
      <c r="E2254" s="4">
        <v>151.66666666666666</v>
      </c>
      <c r="F2254" s="4">
        <v>146.33333333333334</v>
      </c>
      <c r="G2254" s="4">
        <v>140.43333333333331</v>
      </c>
      <c r="H2254" s="1" t="s">
        <v>20</v>
      </c>
      <c r="K2254">
        <v>2015</v>
      </c>
      <c r="L2254" t="s">
        <v>35</v>
      </c>
      <c r="M2254" t="s">
        <v>81</v>
      </c>
      <c r="N2254" t="s">
        <v>10</v>
      </c>
      <c r="O2254" t="s">
        <v>188</v>
      </c>
      <c r="P2254" s="1" t="s">
        <v>33</v>
      </c>
      <c r="Q2254">
        <v>125.1</v>
      </c>
    </row>
    <row r="2255" spans="1:17" x14ac:dyDescent="0.3">
      <c r="A2255">
        <v>2020</v>
      </c>
      <c r="B2255" t="s">
        <v>37</v>
      </c>
      <c r="C2255" t="s">
        <v>51</v>
      </c>
      <c r="D2255" s="1" t="s">
        <v>20</v>
      </c>
      <c r="E2255" s="4">
        <v>0</v>
      </c>
      <c r="F2255" s="4">
        <v>155.6</v>
      </c>
      <c r="G2255" s="4">
        <v>155.6</v>
      </c>
      <c r="H2255" s="1" t="s">
        <v>20</v>
      </c>
      <c r="K2255">
        <v>2015</v>
      </c>
      <c r="L2255" t="s">
        <v>35</v>
      </c>
      <c r="M2255" t="s">
        <v>81</v>
      </c>
      <c r="N2255" t="s">
        <v>25</v>
      </c>
      <c r="O2255" t="s">
        <v>195</v>
      </c>
      <c r="P2255" s="1" t="s">
        <v>30</v>
      </c>
      <c r="Q2255">
        <v>114.8</v>
      </c>
    </row>
    <row r="2256" spans="1:17" x14ac:dyDescent="0.3">
      <c r="A2256">
        <v>2020</v>
      </c>
      <c r="B2256" t="s">
        <v>37</v>
      </c>
      <c r="C2256" t="s">
        <v>51</v>
      </c>
      <c r="D2256" s="1" t="s">
        <v>4</v>
      </c>
      <c r="E2256" s="4">
        <v>167.20000000000002</v>
      </c>
      <c r="F2256" s="4">
        <v>167.29999999999998</v>
      </c>
      <c r="G2256" s="4">
        <v>167.56666666666669</v>
      </c>
      <c r="H2256" s="1" t="s">
        <v>188</v>
      </c>
      <c r="K2256">
        <v>2015</v>
      </c>
      <c r="L2256" t="s">
        <v>35</v>
      </c>
      <c r="M2256" t="s">
        <v>81</v>
      </c>
      <c r="N2256" t="s">
        <v>25</v>
      </c>
      <c r="O2256" t="s">
        <v>195</v>
      </c>
      <c r="P2256" s="1" t="s">
        <v>34</v>
      </c>
      <c r="Q2256">
        <v>114.9</v>
      </c>
    </row>
    <row r="2257" spans="1:17" x14ac:dyDescent="0.3">
      <c r="A2257">
        <v>2020</v>
      </c>
      <c r="B2257" t="s">
        <v>37</v>
      </c>
      <c r="C2257" t="s">
        <v>51</v>
      </c>
      <c r="D2257" s="1" t="s">
        <v>6</v>
      </c>
      <c r="E2257" s="4">
        <v>155.6</v>
      </c>
      <c r="F2257" s="4">
        <v>155.6</v>
      </c>
      <c r="G2257" s="4">
        <v>155.5</v>
      </c>
      <c r="H2257" s="1" t="s">
        <v>188</v>
      </c>
      <c r="K2257">
        <v>2015</v>
      </c>
      <c r="L2257" t="s">
        <v>35</v>
      </c>
      <c r="M2257" t="s">
        <v>81</v>
      </c>
      <c r="N2257" t="s">
        <v>25</v>
      </c>
      <c r="O2257" t="s">
        <v>195</v>
      </c>
      <c r="P2257" s="1" t="s">
        <v>33</v>
      </c>
      <c r="Q2257">
        <v>114.9</v>
      </c>
    </row>
    <row r="2258" spans="1:17" x14ac:dyDescent="0.3">
      <c r="A2258">
        <v>2020</v>
      </c>
      <c r="B2258" t="s">
        <v>37</v>
      </c>
      <c r="C2258" t="s">
        <v>51</v>
      </c>
      <c r="D2258" s="1" t="s">
        <v>28</v>
      </c>
      <c r="E2258" s="4">
        <v>148.36666666666667</v>
      </c>
      <c r="F2258" s="4">
        <v>143.60000000000002</v>
      </c>
      <c r="G2258" s="4">
        <v>138.5</v>
      </c>
      <c r="H2258" s="1" t="s">
        <v>192</v>
      </c>
      <c r="K2258">
        <v>2015</v>
      </c>
      <c r="L2258" t="s">
        <v>35</v>
      </c>
      <c r="M2258" t="s">
        <v>81</v>
      </c>
      <c r="N2258" t="s">
        <v>12</v>
      </c>
      <c r="O2258" t="s">
        <v>188</v>
      </c>
      <c r="P2258" s="1" t="s">
        <v>30</v>
      </c>
      <c r="Q2258">
        <v>118.6</v>
      </c>
    </row>
    <row r="2259" spans="1:17" x14ac:dyDescent="0.3">
      <c r="A2259">
        <v>2020</v>
      </c>
      <c r="B2259" t="s">
        <v>37</v>
      </c>
      <c r="C2259" t="s">
        <v>51</v>
      </c>
      <c r="D2259" s="1" t="s">
        <v>13</v>
      </c>
      <c r="E2259" s="4">
        <v>139.19999999999999</v>
      </c>
      <c r="F2259" s="4">
        <v>136.80000000000001</v>
      </c>
      <c r="G2259" s="4">
        <v>133.5</v>
      </c>
      <c r="H2259" s="1" t="s">
        <v>188</v>
      </c>
      <c r="K2259">
        <v>2015</v>
      </c>
      <c r="L2259" t="s">
        <v>35</v>
      </c>
      <c r="M2259" t="s">
        <v>81</v>
      </c>
      <c r="N2259" t="s">
        <v>12</v>
      </c>
      <c r="O2259" t="s">
        <v>188</v>
      </c>
      <c r="P2259" s="1" t="s">
        <v>34</v>
      </c>
      <c r="Q2259">
        <v>121.6</v>
      </c>
    </row>
    <row r="2260" spans="1:17" x14ac:dyDescent="0.3">
      <c r="A2260">
        <v>2020</v>
      </c>
      <c r="B2260" t="s">
        <v>37</v>
      </c>
      <c r="C2260" t="s">
        <v>51</v>
      </c>
      <c r="D2260" s="1" t="s">
        <v>7</v>
      </c>
      <c r="E2260" s="4">
        <v>137.1</v>
      </c>
      <c r="F2260" s="4">
        <v>135.1</v>
      </c>
      <c r="G2260" s="4">
        <v>131.6</v>
      </c>
      <c r="H2260" s="1" t="s">
        <v>188</v>
      </c>
      <c r="K2260">
        <v>2015</v>
      </c>
      <c r="L2260" t="s">
        <v>35</v>
      </c>
      <c r="M2260" t="s">
        <v>81</v>
      </c>
      <c r="N2260" t="s">
        <v>12</v>
      </c>
      <c r="O2260" t="s">
        <v>188</v>
      </c>
      <c r="P2260" s="1" t="s">
        <v>33</v>
      </c>
      <c r="Q2260">
        <v>127.7</v>
      </c>
    </row>
    <row r="2261" spans="1:17" x14ac:dyDescent="0.3">
      <c r="A2261">
        <v>2020</v>
      </c>
      <c r="B2261" t="s">
        <v>37</v>
      </c>
      <c r="C2261" t="s">
        <v>51</v>
      </c>
      <c r="D2261" s="1" t="s">
        <v>16</v>
      </c>
      <c r="E2261" s="4">
        <v>169.5</v>
      </c>
      <c r="F2261" s="4">
        <v>170.16666666666666</v>
      </c>
      <c r="G2261" s="4">
        <v>172.03333333333333</v>
      </c>
      <c r="H2261" s="1" t="s">
        <v>192</v>
      </c>
      <c r="K2261">
        <v>2015</v>
      </c>
      <c r="L2261" t="s">
        <v>35</v>
      </c>
      <c r="M2261" t="s">
        <v>81</v>
      </c>
      <c r="N2261" t="s">
        <v>11</v>
      </c>
      <c r="O2261" t="s">
        <v>188</v>
      </c>
      <c r="P2261" s="1" t="s">
        <v>30</v>
      </c>
      <c r="Q2261">
        <v>100</v>
      </c>
    </row>
    <row r="2262" spans="1:17" x14ac:dyDescent="0.3">
      <c r="A2262">
        <v>2020</v>
      </c>
      <c r="B2262" t="s">
        <v>37</v>
      </c>
      <c r="C2262" t="s">
        <v>51</v>
      </c>
      <c r="D2262" s="1" t="s">
        <v>27</v>
      </c>
      <c r="E2262" s="4">
        <v>143.66666666666666</v>
      </c>
      <c r="F2262" s="4">
        <v>143.63333333333333</v>
      </c>
      <c r="G2262" s="4">
        <v>143.63333333333333</v>
      </c>
      <c r="H2262" s="1" t="s">
        <v>192</v>
      </c>
      <c r="K2262">
        <v>2015</v>
      </c>
      <c r="L2262" t="s">
        <v>35</v>
      </c>
      <c r="M2262" t="s">
        <v>81</v>
      </c>
      <c r="N2262" t="s">
        <v>11</v>
      </c>
      <c r="O2262" t="s">
        <v>188</v>
      </c>
      <c r="P2262" s="1" t="s">
        <v>34</v>
      </c>
      <c r="Q2262">
        <v>98.3</v>
      </c>
    </row>
    <row r="2263" spans="1:17" x14ac:dyDescent="0.3">
      <c r="A2263">
        <v>2020</v>
      </c>
      <c r="B2263" t="s">
        <v>37</v>
      </c>
      <c r="C2263" t="s">
        <v>51</v>
      </c>
      <c r="D2263" s="1" t="s">
        <v>14</v>
      </c>
      <c r="E2263" s="4">
        <v>159.29999999999998</v>
      </c>
      <c r="F2263" s="4">
        <v>159.1</v>
      </c>
      <c r="G2263" s="4">
        <v>158.86666666666667</v>
      </c>
      <c r="H2263" s="1" t="s">
        <v>188</v>
      </c>
      <c r="K2263">
        <v>2015</v>
      </c>
      <c r="L2263" t="s">
        <v>35</v>
      </c>
      <c r="M2263" t="s">
        <v>81</v>
      </c>
      <c r="N2263" t="s">
        <v>11</v>
      </c>
      <c r="O2263" t="s">
        <v>188</v>
      </c>
      <c r="P2263" s="1" t="s">
        <v>33</v>
      </c>
      <c r="Q2263">
        <v>95</v>
      </c>
    </row>
    <row r="2264" spans="1:17" x14ac:dyDescent="0.3">
      <c r="A2264">
        <v>2020</v>
      </c>
      <c r="B2264" t="s">
        <v>37</v>
      </c>
      <c r="C2264" t="s">
        <v>51</v>
      </c>
      <c r="D2264" s="1" t="s">
        <v>10</v>
      </c>
      <c r="E2264" s="4">
        <v>150.19999999999999</v>
      </c>
      <c r="F2264" s="4">
        <v>150.4</v>
      </c>
      <c r="G2264" s="4">
        <v>150.80000000000001</v>
      </c>
      <c r="H2264" s="1" t="s">
        <v>188</v>
      </c>
      <c r="K2264">
        <v>2015</v>
      </c>
      <c r="L2264" t="s">
        <v>35</v>
      </c>
      <c r="M2264" t="s">
        <v>81</v>
      </c>
      <c r="N2264" t="s">
        <v>24</v>
      </c>
      <c r="O2264" t="s">
        <v>191</v>
      </c>
      <c r="P2264" s="1" t="s">
        <v>30</v>
      </c>
      <c r="Q2264">
        <v>110.9</v>
      </c>
    </row>
    <row r="2265" spans="1:17" x14ac:dyDescent="0.3">
      <c r="A2265">
        <v>2020</v>
      </c>
      <c r="B2265" t="s">
        <v>37</v>
      </c>
      <c r="C2265" t="s">
        <v>51</v>
      </c>
      <c r="D2265" s="1" t="s">
        <v>25</v>
      </c>
      <c r="E2265" s="4">
        <v>150.56666666666663</v>
      </c>
      <c r="F2265" s="4">
        <v>143.23333333333332</v>
      </c>
      <c r="G2265" s="4">
        <v>137.6</v>
      </c>
      <c r="H2265" s="1" t="s">
        <v>195</v>
      </c>
      <c r="K2265">
        <v>2015</v>
      </c>
      <c r="L2265" t="s">
        <v>35</v>
      </c>
      <c r="M2265" t="s">
        <v>81</v>
      </c>
      <c r="N2265" t="s">
        <v>24</v>
      </c>
      <c r="O2265" t="s">
        <v>191</v>
      </c>
      <c r="P2265" s="1" t="s">
        <v>34</v>
      </c>
      <c r="Q2265">
        <v>108.7</v>
      </c>
    </row>
    <row r="2266" spans="1:17" x14ac:dyDescent="0.3">
      <c r="A2266">
        <v>2020</v>
      </c>
      <c r="B2266" t="s">
        <v>37</v>
      </c>
      <c r="C2266" t="s">
        <v>51</v>
      </c>
      <c r="D2266" s="1" t="s">
        <v>12</v>
      </c>
      <c r="E2266" s="4">
        <v>158.69999999999999</v>
      </c>
      <c r="F2266" s="4">
        <v>157.1</v>
      </c>
      <c r="G2266" s="4">
        <v>154</v>
      </c>
      <c r="H2266" s="1" t="s">
        <v>188</v>
      </c>
      <c r="K2266">
        <v>2015</v>
      </c>
      <c r="L2266" t="s">
        <v>35</v>
      </c>
      <c r="M2266" t="s">
        <v>81</v>
      </c>
      <c r="N2266" t="s">
        <v>24</v>
      </c>
      <c r="O2266" t="s">
        <v>191</v>
      </c>
      <c r="P2266" s="1" t="s">
        <v>33</v>
      </c>
      <c r="Q2266">
        <v>106.8</v>
      </c>
    </row>
    <row r="2267" spans="1:17" x14ac:dyDescent="0.3">
      <c r="A2267">
        <v>2020</v>
      </c>
      <c r="B2267" t="s">
        <v>37</v>
      </c>
      <c r="C2267" t="s">
        <v>51</v>
      </c>
      <c r="D2267" s="1" t="s">
        <v>11</v>
      </c>
      <c r="E2267" s="4">
        <v>119.8</v>
      </c>
      <c r="F2267" s="4">
        <v>120.3</v>
      </c>
      <c r="G2267" s="4">
        <v>121.2</v>
      </c>
      <c r="H2267" s="1" t="s">
        <v>188</v>
      </c>
      <c r="K2267">
        <v>2015</v>
      </c>
      <c r="L2267" t="s">
        <v>35</v>
      </c>
      <c r="M2267" t="s">
        <v>81</v>
      </c>
      <c r="N2267" t="s">
        <v>9</v>
      </c>
      <c r="O2267" t="s">
        <v>188</v>
      </c>
      <c r="P2267" s="1" t="s">
        <v>30</v>
      </c>
      <c r="Q2267">
        <v>128.19999999999999</v>
      </c>
    </row>
    <row r="2268" spans="1:17" x14ac:dyDescent="0.3">
      <c r="A2268">
        <v>2020</v>
      </c>
      <c r="B2268" t="s">
        <v>37</v>
      </c>
      <c r="C2268" t="s">
        <v>51</v>
      </c>
      <c r="D2268" s="1" t="s">
        <v>24</v>
      </c>
      <c r="E2268" s="4">
        <v>136.03333333333333</v>
      </c>
      <c r="F2268" s="4">
        <v>130.36666666666667</v>
      </c>
      <c r="G2268" s="4">
        <v>125.3</v>
      </c>
      <c r="H2268" s="1" t="s">
        <v>191</v>
      </c>
      <c r="K2268">
        <v>2015</v>
      </c>
      <c r="L2268" t="s">
        <v>35</v>
      </c>
      <c r="M2268" t="s">
        <v>81</v>
      </c>
      <c r="N2268" t="s">
        <v>9</v>
      </c>
      <c r="O2268" t="s">
        <v>188</v>
      </c>
      <c r="P2268" s="1" t="s">
        <v>34</v>
      </c>
      <c r="Q2268">
        <v>129.4</v>
      </c>
    </row>
    <row r="2269" spans="1:17" x14ac:dyDescent="0.3">
      <c r="A2269">
        <v>2020</v>
      </c>
      <c r="B2269" t="s">
        <v>37</v>
      </c>
      <c r="C2269" t="s">
        <v>51</v>
      </c>
      <c r="D2269" s="1" t="s">
        <v>9</v>
      </c>
      <c r="E2269" s="4">
        <v>162.69999999999999</v>
      </c>
      <c r="F2269" s="4">
        <v>168.6</v>
      </c>
      <c r="G2269" s="4">
        <v>180</v>
      </c>
      <c r="H2269" s="1" t="s">
        <v>188</v>
      </c>
      <c r="K2269">
        <v>2015</v>
      </c>
      <c r="L2269" t="s">
        <v>35</v>
      </c>
      <c r="M2269" t="s">
        <v>81</v>
      </c>
      <c r="N2269" t="s">
        <v>9</v>
      </c>
      <c r="O2269" t="s">
        <v>188</v>
      </c>
      <c r="P2269" s="1" t="s">
        <v>33</v>
      </c>
      <c r="Q2269">
        <v>131.80000000000001</v>
      </c>
    </row>
    <row r="2270" spans="1:17" x14ac:dyDescent="0.3">
      <c r="A2270">
        <v>2020</v>
      </c>
      <c r="B2270" t="s">
        <v>41</v>
      </c>
      <c r="C2270" t="s">
        <v>137</v>
      </c>
      <c r="D2270" s="1" t="s">
        <v>3</v>
      </c>
      <c r="E2270" s="4">
        <v>147.6</v>
      </c>
      <c r="F2270" s="4">
        <v>148.9</v>
      </c>
      <c r="G2270" s="4">
        <v>151.6</v>
      </c>
      <c r="H2270" s="1" t="s">
        <v>188</v>
      </c>
      <c r="K2270">
        <v>2015</v>
      </c>
      <c r="L2270" t="s">
        <v>31</v>
      </c>
      <c r="M2270" t="s">
        <v>82</v>
      </c>
      <c r="N2270" t="s">
        <v>3</v>
      </c>
      <c r="O2270" t="s">
        <v>188</v>
      </c>
      <c r="P2270" s="1" t="s">
        <v>30</v>
      </c>
      <c r="Q2270">
        <v>123.1</v>
      </c>
    </row>
    <row r="2271" spans="1:17" x14ac:dyDescent="0.3">
      <c r="A2271">
        <v>2020</v>
      </c>
      <c r="B2271" t="s">
        <v>41</v>
      </c>
      <c r="C2271" t="s">
        <v>137</v>
      </c>
      <c r="D2271" s="1" t="s">
        <v>17</v>
      </c>
      <c r="E2271" s="4">
        <v>155.1</v>
      </c>
      <c r="F2271" s="4">
        <v>153.1</v>
      </c>
      <c r="G2271" s="4">
        <v>150</v>
      </c>
      <c r="H2271" s="1" t="s">
        <v>189</v>
      </c>
      <c r="K2271">
        <v>2015</v>
      </c>
      <c r="L2271" t="s">
        <v>31</v>
      </c>
      <c r="M2271" t="s">
        <v>82</v>
      </c>
      <c r="N2271" t="s">
        <v>3</v>
      </c>
      <c r="O2271" t="s">
        <v>188</v>
      </c>
      <c r="P2271" s="1" t="s">
        <v>34</v>
      </c>
      <c r="Q2271">
        <v>123.4</v>
      </c>
    </row>
    <row r="2272" spans="1:17" x14ac:dyDescent="0.3">
      <c r="A2272">
        <v>2020</v>
      </c>
      <c r="B2272" t="s">
        <v>41</v>
      </c>
      <c r="C2272" t="s">
        <v>137</v>
      </c>
      <c r="D2272" s="1" t="s">
        <v>19</v>
      </c>
      <c r="E2272" s="4">
        <v>154.30000000000001</v>
      </c>
      <c r="F2272" s="4">
        <v>151.69999999999999</v>
      </c>
      <c r="G2272" s="4">
        <v>147.80000000000001</v>
      </c>
      <c r="H2272" s="1" t="s">
        <v>189</v>
      </c>
      <c r="K2272">
        <v>2015</v>
      </c>
      <c r="L2272" t="s">
        <v>31</v>
      </c>
      <c r="M2272" t="s">
        <v>82</v>
      </c>
      <c r="N2272" t="s">
        <v>3</v>
      </c>
      <c r="O2272" t="s">
        <v>188</v>
      </c>
      <c r="P2272" s="1" t="s">
        <v>33</v>
      </c>
      <c r="Q2272">
        <v>124</v>
      </c>
    </row>
    <row r="2273" spans="1:17" x14ac:dyDescent="0.3">
      <c r="A2273">
        <v>2020</v>
      </c>
      <c r="B2273" t="s">
        <v>41</v>
      </c>
      <c r="C2273" t="s">
        <v>137</v>
      </c>
      <c r="D2273" s="1" t="s">
        <v>26</v>
      </c>
      <c r="E2273" s="4">
        <v>162.69999999999999</v>
      </c>
      <c r="F2273" s="4">
        <v>158.5</v>
      </c>
      <c r="G2273" s="4">
        <v>155.5</v>
      </c>
      <c r="H2273" s="1" t="s">
        <v>26</v>
      </c>
      <c r="K2273">
        <v>2015</v>
      </c>
      <c r="L2273" t="s">
        <v>31</v>
      </c>
      <c r="M2273" t="s">
        <v>82</v>
      </c>
      <c r="N2273" t="s">
        <v>17</v>
      </c>
      <c r="O2273" t="s">
        <v>189</v>
      </c>
      <c r="P2273" s="1" t="s">
        <v>30</v>
      </c>
      <c r="Q2273">
        <v>124.4</v>
      </c>
    </row>
    <row r="2274" spans="1:17" x14ac:dyDescent="0.3">
      <c r="A2274">
        <v>2020</v>
      </c>
      <c r="B2274" t="s">
        <v>41</v>
      </c>
      <c r="C2274" t="s">
        <v>137</v>
      </c>
      <c r="D2274" s="1" t="s">
        <v>5</v>
      </c>
      <c r="E2274" s="4">
        <v>148.4</v>
      </c>
      <c r="F2274" s="4">
        <v>150.80000000000001</v>
      </c>
      <c r="G2274" s="4">
        <v>154.5</v>
      </c>
      <c r="H2274" s="1" t="s">
        <v>188</v>
      </c>
      <c r="K2274">
        <v>2015</v>
      </c>
      <c r="L2274" t="s">
        <v>31</v>
      </c>
      <c r="M2274" t="s">
        <v>82</v>
      </c>
      <c r="N2274" t="s">
        <v>17</v>
      </c>
      <c r="O2274" t="s">
        <v>189</v>
      </c>
      <c r="P2274" s="1" t="s">
        <v>34</v>
      </c>
      <c r="Q2274">
        <v>123.1</v>
      </c>
    </row>
    <row r="2275" spans="1:17" x14ac:dyDescent="0.3">
      <c r="A2275">
        <v>2020</v>
      </c>
      <c r="B2275" t="s">
        <v>41</v>
      </c>
      <c r="C2275" t="s">
        <v>137</v>
      </c>
      <c r="D2275" s="1" t="s">
        <v>15</v>
      </c>
      <c r="E2275" s="4">
        <v>155.30000000000001</v>
      </c>
      <c r="F2275" s="4">
        <v>157</v>
      </c>
      <c r="G2275" s="4">
        <v>159.9</v>
      </c>
      <c r="H2275" s="1" t="s">
        <v>188</v>
      </c>
      <c r="K2275">
        <v>2015</v>
      </c>
      <c r="L2275" t="s">
        <v>31</v>
      </c>
      <c r="M2275" t="s">
        <v>82</v>
      </c>
      <c r="N2275" t="s">
        <v>17</v>
      </c>
      <c r="O2275" t="s">
        <v>189</v>
      </c>
      <c r="P2275" s="1" t="s">
        <v>33</v>
      </c>
      <c r="Q2275">
        <v>121</v>
      </c>
    </row>
    <row r="2276" spans="1:17" x14ac:dyDescent="0.3">
      <c r="A2276">
        <v>2020</v>
      </c>
      <c r="B2276" t="s">
        <v>41</v>
      </c>
      <c r="C2276" t="s">
        <v>137</v>
      </c>
      <c r="D2276" s="1" t="s">
        <v>18</v>
      </c>
      <c r="E2276" s="4">
        <v>149.30000000000001</v>
      </c>
      <c r="F2276" s="4">
        <v>143.4</v>
      </c>
      <c r="G2276" s="4">
        <v>135.19999999999999</v>
      </c>
      <c r="H2276" s="1" t="s">
        <v>189</v>
      </c>
      <c r="K2276">
        <v>2015</v>
      </c>
      <c r="L2276" t="s">
        <v>31</v>
      </c>
      <c r="M2276" t="s">
        <v>82</v>
      </c>
      <c r="N2276" t="s">
        <v>19</v>
      </c>
      <c r="O2276" t="s">
        <v>189</v>
      </c>
      <c r="P2276" s="1" t="s">
        <v>30</v>
      </c>
      <c r="Q2276">
        <v>124</v>
      </c>
    </row>
    <row r="2277" spans="1:17" x14ac:dyDescent="0.3">
      <c r="A2277">
        <v>2020</v>
      </c>
      <c r="B2277" t="s">
        <v>41</v>
      </c>
      <c r="C2277" t="s">
        <v>137</v>
      </c>
      <c r="D2277" s="1" t="s">
        <v>8</v>
      </c>
      <c r="E2277" s="4">
        <v>146.9</v>
      </c>
      <c r="F2277" s="4">
        <v>150.4</v>
      </c>
      <c r="G2277" s="4">
        <v>154.5</v>
      </c>
      <c r="H2277" s="1" t="s">
        <v>188</v>
      </c>
      <c r="K2277">
        <v>2015</v>
      </c>
      <c r="L2277" t="s">
        <v>31</v>
      </c>
      <c r="M2277" t="s">
        <v>82</v>
      </c>
      <c r="N2277" t="s">
        <v>19</v>
      </c>
      <c r="O2277" t="s">
        <v>189</v>
      </c>
      <c r="P2277" s="1" t="s">
        <v>34</v>
      </c>
      <c r="Q2277">
        <v>122.5</v>
      </c>
    </row>
    <row r="2278" spans="1:17" x14ac:dyDescent="0.3">
      <c r="A2278">
        <v>2020</v>
      </c>
      <c r="B2278" t="s">
        <v>41</v>
      </c>
      <c r="C2278" t="s">
        <v>137</v>
      </c>
      <c r="D2278" s="1" t="s">
        <v>21</v>
      </c>
      <c r="E2278" s="4">
        <v>145.80000000000001</v>
      </c>
      <c r="F2278" s="4">
        <v>143</v>
      </c>
      <c r="G2278" s="4">
        <v>138.30000000000001</v>
      </c>
      <c r="H2278" s="1" t="s">
        <v>190</v>
      </c>
      <c r="K2278">
        <v>2015</v>
      </c>
      <c r="L2278" t="s">
        <v>31</v>
      </c>
      <c r="M2278" t="s">
        <v>82</v>
      </c>
      <c r="N2278" t="s">
        <v>19</v>
      </c>
      <c r="O2278" t="s">
        <v>189</v>
      </c>
      <c r="P2278" s="1" t="s">
        <v>33</v>
      </c>
      <c r="Q2278">
        <v>120.2</v>
      </c>
    </row>
    <row r="2279" spans="1:17" x14ac:dyDescent="0.3">
      <c r="A2279">
        <v>2020</v>
      </c>
      <c r="B2279" t="s">
        <v>41</v>
      </c>
      <c r="C2279" t="s">
        <v>137</v>
      </c>
      <c r="D2279" s="1" t="s">
        <v>29</v>
      </c>
      <c r="E2279" s="4">
        <v>154.69999999999999</v>
      </c>
      <c r="F2279" s="4">
        <v>153.9</v>
      </c>
      <c r="G2279" s="4">
        <v>152.9</v>
      </c>
      <c r="H2279" s="1" t="s">
        <v>206</v>
      </c>
      <c r="K2279">
        <v>2015</v>
      </c>
      <c r="L2279" t="s">
        <v>31</v>
      </c>
      <c r="M2279" t="s">
        <v>82</v>
      </c>
      <c r="N2279" t="s">
        <v>26</v>
      </c>
      <c r="O2279" t="s">
        <v>26</v>
      </c>
      <c r="P2279" s="1" t="s">
        <v>30</v>
      </c>
      <c r="Q2279">
        <v>118.2</v>
      </c>
    </row>
    <row r="2280" spans="1:17" x14ac:dyDescent="0.3">
      <c r="A2280">
        <v>2020</v>
      </c>
      <c r="B2280" t="s">
        <v>41</v>
      </c>
      <c r="C2280" t="s">
        <v>137</v>
      </c>
      <c r="D2280" s="1" t="s">
        <v>23</v>
      </c>
      <c r="E2280" s="4">
        <v>158.80000000000001</v>
      </c>
      <c r="F2280" s="4">
        <v>155</v>
      </c>
      <c r="G2280" s="4">
        <v>148.69999999999999</v>
      </c>
      <c r="H2280" s="1" t="s">
        <v>23</v>
      </c>
      <c r="K2280">
        <v>2015</v>
      </c>
      <c r="L2280" t="s">
        <v>31</v>
      </c>
      <c r="M2280" t="s">
        <v>82</v>
      </c>
      <c r="N2280" t="s">
        <v>26</v>
      </c>
      <c r="O2280" t="s">
        <v>26</v>
      </c>
      <c r="P2280" s="1" t="s">
        <v>34</v>
      </c>
      <c r="Q2280">
        <v>119.7</v>
      </c>
    </row>
    <row r="2281" spans="1:17" x14ac:dyDescent="0.3">
      <c r="A2281">
        <v>2020</v>
      </c>
      <c r="B2281" t="s">
        <v>41</v>
      </c>
      <c r="C2281" t="s">
        <v>137</v>
      </c>
      <c r="D2281" s="1" t="s">
        <v>22</v>
      </c>
      <c r="E2281" s="4">
        <v>151.9</v>
      </c>
      <c r="F2281" s="4">
        <v>148.4</v>
      </c>
      <c r="G2281" s="4">
        <v>144.5</v>
      </c>
      <c r="H2281" s="1" t="s">
        <v>20</v>
      </c>
      <c r="K2281">
        <v>2015</v>
      </c>
      <c r="L2281" t="s">
        <v>31</v>
      </c>
      <c r="M2281" t="s">
        <v>82</v>
      </c>
      <c r="N2281" t="s">
        <v>26</v>
      </c>
      <c r="O2281" t="s">
        <v>26</v>
      </c>
      <c r="P2281" s="1" t="s">
        <v>33</v>
      </c>
      <c r="Q2281">
        <v>120.8</v>
      </c>
    </row>
    <row r="2282" spans="1:17" x14ac:dyDescent="0.3">
      <c r="A2282">
        <v>2020</v>
      </c>
      <c r="B2282" t="s">
        <v>41</v>
      </c>
      <c r="C2282" t="s">
        <v>137</v>
      </c>
      <c r="D2282" s="1" t="s">
        <v>20</v>
      </c>
      <c r="E2282" s="4">
        <v>0</v>
      </c>
      <c r="F2282" s="4">
        <v>155.5</v>
      </c>
      <c r="G2282" s="4">
        <v>155.5</v>
      </c>
      <c r="H2282" s="1" t="s">
        <v>20</v>
      </c>
      <c r="K2282">
        <v>2015</v>
      </c>
      <c r="L2282" t="s">
        <v>31</v>
      </c>
      <c r="M2282" t="s">
        <v>82</v>
      </c>
      <c r="N2282" t="s">
        <v>5</v>
      </c>
      <c r="O2282" t="s">
        <v>188</v>
      </c>
      <c r="P2282" s="1" t="s">
        <v>30</v>
      </c>
      <c r="Q2282">
        <v>122.1</v>
      </c>
    </row>
    <row r="2283" spans="1:17" x14ac:dyDescent="0.3">
      <c r="A2283">
        <v>2020</v>
      </c>
      <c r="B2283" t="s">
        <v>41</v>
      </c>
      <c r="C2283" t="s">
        <v>137</v>
      </c>
      <c r="D2283" s="1" t="s">
        <v>4</v>
      </c>
      <c r="E2283" s="4">
        <v>187.2</v>
      </c>
      <c r="F2283" s="4">
        <v>190.9</v>
      </c>
      <c r="G2283" s="4">
        <v>197.8</v>
      </c>
      <c r="H2283" s="1" t="s">
        <v>188</v>
      </c>
      <c r="K2283">
        <v>2015</v>
      </c>
      <c r="L2283" t="s">
        <v>31</v>
      </c>
      <c r="M2283" t="s">
        <v>82</v>
      </c>
      <c r="N2283" t="s">
        <v>5</v>
      </c>
      <c r="O2283" t="s">
        <v>188</v>
      </c>
      <c r="P2283" s="1" t="s">
        <v>34</v>
      </c>
      <c r="Q2283">
        <v>123.8</v>
      </c>
    </row>
    <row r="2284" spans="1:17" x14ac:dyDescent="0.3">
      <c r="A2284">
        <v>2020</v>
      </c>
      <c r="B2284" t="s">
        <v>41</v>
      </c>
      <c r="C2284" t="s">
        <v>137</v>
      </c>
      <c r="D2284" s="1" t="s">
        <v>6</v>
      </c>
      <c r="E2284" s="4">
        <v>153.30000000000001</v>
      </c>
      <c r="F2284" s="4">
        <v>153.30000000000001</v>
      </c>
      <c r="G2284" s="4">
        <v>153.4</v>
      </c>
      <c r="H2284" s="1" t="s">
        <v>188</v>
      </c>
      <c r="K2284">
        <v>2015</v>
      </c>
      <c r="L2284" t="s">
        <v>31</v>
      </c>
      <c r="M2284" t="s">
        <v>82</v>
      </c>
      <c r="N2284" t="s">
        <v>5</v>
      </c>
      <c r="O2284" t="s">
        <v>188</v>
      </c>
      <c r="P2284" s="1" t="s">
        <v>33</v>
      </c>
      <c r="Q2284">
        <v>126.6</v>
      </c>
    </row>
    <row r="2285" spans="1:17" x14ac:dyDescent="0.3">
      <c r="A2285">
        <v>2020</v>
      </c>
      <c r="B2285" t="s">
        <v>41</v>
      </c>
      <c r="C2285" t="s">
        <v>137</v>
      </c>
      <c r="D2285" s="1" t="s">
        <v>28</v>
      </c>
      <c r="E2285" s="4">
        <v>153</v>
      </c>
      <c r="F2285" s="4">
        <v>149</v>
      </c>
      <c r="G2285" s="4">
        <v>144.80000000000001</v>
      </c>
      <c r="H2285" s="1" t="s">
        <v>192</v>
      </c>
      <c r="K2285">
        <v>2015</v>
      </c>
      <c r="L2285" t="s">
        <v>31</v>
      </c>
      <c r="M2285" t="s">
        <v>82</v>
      </c>
      <c r="N2285" t="s">
        <v>15</v>
      </c>
      <c r="O2285" t="s">
        <v>188</v>
      </c>
      <c r="P2285" s="1" t="s">
        <v>30</v>
      </c>
      <c r="Q2285">
        <v>122.8</v>
      </c>
    </row>
    <row r="2286" spans="1:17" x14ac:dyDescent="0.3">
      <c r="A2286">
        <v>2020</v>
      </c>
      <c r="B2286" t="s">
        <v>41</v>
      </c>
      <c r="C2286" t="s">
        <v>137</v>
      </c>
      <c r="D2286" s="1" t="s">
        <v>13</v>
      </c>
      <c r="E2286" s="4">
        <v>143.5</v>
      </c>
      <c r="F2286" s="4">
        <v>140.6</v>
      </c>
      <c r="G2286" s="4">
        <v>136.5</v>
      </c>
      <c r="H2286" s="1" t="s">
        <v>188</v>
      </c>
      <c r="K2286">
        <v>2015</v>
      </c>
      <c r="L2286" t="s">
        <v>31</v>
      </c>
      <c r="M2286" t="s">
        <v>82</v>
      </c>
      <c r="N2286" t="s">
        <v>15</v>
      </c>
      <c r="O2286" t="s">
        <v>188</v>
      </c>
      <c r="P2286" s="1" t="s">
        <v>34</v>
      </c>
      <c r="Q2286">
        <v>123.1</v>
      </c>
    </row>
    <row r="2287" spans="1:17" x14ac:dyDescent="0.3">
      <c r="A2287">
        <v>2020</v>
      </c>
      <c r="B2287" t="s">
        <v>41</v>
      </c>
      <c r="C2287" t="s">
        <v>137</v>
      </c>
      <c r="D2287" s="1" t="s">
        <v>7</v>
      </c>
      <c r="E2287" s="4">
        <v>139.80000000000001</v>
      </c>
      <c r="F2287" s="4">
        <v>137.4</v>
      </c>
      <c r="G2287" s="4">
        <v>133.4</v>
      </c>
      <c r="H2287" s="1" t="s">
        <v>188</v>
      </c>
      <c r="K2287">
        <v>2015</v>
      </c>
      <c r="L2287" t="s">
        <v>31</v>
      </c>
      <c r="M2287" t="s">
        <v>82</v>
      </c>
      <c r="N2287" t="s">
        <v>15</v>
      </c>
      <c r="O2287" t="s">
        <v>188</v>
      </c>
      <c r="P2287" s="1" t="s">
        <v>33</v>
      </c>
      <c r="Q2287">
        <v>123.5</v>
      </c>
    </row>
    <row r="2288" spans="1:17" x14ac:dyDescent="0.3">
      <c r="A2288">
        <v>2020</v>
      </c>
      <c r="B2288" t="s">
        <v>41</v>
      </c>
      <c r="C2288" t="s">
        <v>137</v>
      </c>
      <c r="D2288" s="1" t="s">
        <v>16</v>
      </c>
      <c r="E2288" s="4">
        <v>180.9</v>
      </c>
      <c r="F2288" s="4">
        <v>182.6</v>
      </c>
      <c r="G2288" s="4">
        <v>187.2</v>
      </c>
      <c r="H2288" s="1" t="s">
        <v>192</v>
      </c>
      <c r="K2288">
        <v>2015</v>
      </c>
      <c r="L2288" t="s">
        <v>31</v>
      </c>
      <c r="M2288" t="s">
        <v>82</v>
      </c>
      <c r="N2288" t="s">
        <v>18</v>
      </c>
      <c r="O2288" t="s">
        <v>189</v>
      </c>
      <c r="P2288" s="1" t="s">
        <v>30</v>
      </c>
      <c r="Q2288">
        <v>121.6</v>
      </c>
    </row>
    <row r="2289" spans="1:17" x14ac:dyDescent="0.3">
      <c r="A2289">
        <v>2020</v>
      </c>
      <c r="B2289" t="s">
        <v>41</v>
      </c>
      <c r="C2289" t="s">
        <v>137</v>
      </c>
      <c r="D2289" s="1" t="s">
        <v>27</v>
      </c>
      <c r="E2289" s="4">
        <v>153.6</v>
      </c>
      <c r="F2289" s="4">
        <v>154.30000000000001</v>
      </c>
      <c r="G2289" s="4">
        <v>155.19999999999999</v>
      </c>
      <c r="H2289" s="1" t="s">
        <v>192</v>
      </c>
      <c r="K2289">
        <v>2015</v>
      </c>
      <c r="L2289" t="s">
        <v>31</v>
      </c>
      <c r="M2289" t="s">
        <v>82</v>
      </c>
      <c r="N2289" t="s">
        <v>18</v>
      </c>
      <c r="O2289" t="s">
        <v>189</v>
      </c>
      <c r="P2289" s="1" t="s">
        <v>34</v>
      </c>
      <c r="Q2289">
        <v>119.3</v>
      </c>
    </row>
    <row r="2290" spans="1:17" x14ac:dyDescent="0.3">
      <c r="A2290">
        <v>2020</v>
      </c>
      <c r="B2290" t="s">
        <v>41</v>
      </c>
      <c r="C2290" t="s">
        <v>137</v>
      </c>
      <c r="D2290" s="1" t="s">
        <v>14</v>
      </c>
      <c r="E2290" s="4">
        <v>161.5</v>
      </c>
      <c r="F2290" s="4">
        <v>162.30000000000001</v>
      </c>
      <c r="G2290" s="4">
        <v>163.30000000000001</v>
      </c>
      <c r="H2290" s="1" t="s">
        <v>188</v>
      </c>
      <c r="K2290">
        <v>2015</v>
      </c>
      <c r="L2290" t="s">
        <v>31</v>
      </c>
      <c r="M2290" t="s">
        <v>82</v>
      </c>
      <c r="N2290" t="s">
        <v>18</v>
      </c>
      <c r="O2290" t="s">
        <v>189</v>
      </c>
      <c r="P2290" s="1" t="s">
        <v>33</v>
      </c>
      <c r="Q2290">
        <v>116.1</v>
      </c>
    </row>
    <row r="2291" spans="1:17" x14ac:dyDescent="0.3">
      <c r="A2291">
        <v>2020</v>
      </c>
      <c r="B2291" t="s">
        <v>41</v>
      </c>
      <c r="C2291" t="s">
        <v>137</v>
      </c>
      <c r="D2291" s="1" t="s">
        <v>10</v>
      </c>
      <c r="E2291" s="4">
        <v>149.9</v>
      </c>
      <c r="F2291" s="4">
        <v>150.4</v>
      </c>
      <c r="G2291" s="4">
        <v>151.30000000000001</v>
      </c>
      <c r="H2291" s="1" t="s">
        <v>188</v>
      </c>
      <c r="K2291">
        <v>2015</v>
      </c>
      <c r="L2291" t="s">
        <v>31</v>
      </c>
      <c r="M2291" t="s">
        <v>82</v>
      </c>
      <c r="N2291" t="s">
        <v>8</v>
      </c>
      <c r="O2291" t="s">
        <v>188</v>
      </c>
      <c r="P2291" s="1" t="s">
        <v>30</v>
      </c>
      <c r="Q2291">
        <v>130.4</v>
      </c>
    </row>
    <row r="2292" spans="1:17" x14ac:dyDescent="0.3">
      <c r="A2292">
        <v>2020</v>
      </c>
      <c r="B2292" t="s">
        <v>41</v>
      </c>
      <c r="C2292" t="s">
        <v>137</v>
      </c>
      <c r="D2292" s="1" t="s">
        <v>25</v>
      </c>
      <c r="E2292" s="4">
        <v>152.19999999999999</v>
      </c>
      <c r="F2292" s="4">
        <v>146</v>
      </c>
      <c r="G2292" s="4">
        <v>141.19999999999999</v>
      </c>
      <c r="H2292" s="1" t="s">
        <v>195</v>
      </c>
      <c r="K2292">
        <v>2015</v>
      </c>
      <c r="L2292" t="s">
        <v>31</v>
      </c>
      <c r="M2292" t="s">
        <v>82</v>
      </c>
      <c r="N2292" t="s">
        <v>8</v>
      </c>
      <c r="O2292" t="s">
        <v>188</v>
      </c>
      <c r="P2292" s="1" t="s">
        <v>34</v>
      </c>
      <c r="Q2292">
        <v>126.2</v>
      </c>
    </row>
    <row r="2293" spans="1:17" x14ac:dyDescent="0.3">
      <c r="A2293">
        <v>2020</v>
      </c>
      <c r="B2293" t="s">
        <v>41</v>
      </c>
      <c r="C2293" t="s">
        <v>137</v>
      </c>
      <c r="D2293" s="1" t="s">
        <v>12</v>
      </c>
      <c r="E2293" s="4">
        <v>160</v>
      </c>
      <c r="F2293" s="4">
        <v>160</v>
      </c>
      <c r="G2293" s="4">
        <v>160</v>
      </c>
      <c r="H2293" s="1" t="s">
        <v>188</v>
      </c>
      <c r="K2293">
        <v>2015</v>
      </c>
      <c r="L2293" t="s">
        <v>31</v>
      </c>
      <c r="M2293" t="s">
        <v>82</v>
      </c>
      <c r="N2293" t="s">
        <v>8</v>
      </c>
      <c r="O2293" t="s">
        <v>188</v>
      </c>
      <c r="P2293" s="1" t="s">
        <v>33</v>
      </c>
      <c r="Q2293">
        <v>121.3</v>
      </c>
    </row>
    <row r="2294" spans="1:17" x14ac:dyDescent="0.3">
      <c r="A2294">
        <v>2020</v>
      </c>
      <c r="B2294" t="s">
        <v>41</v>
      </c>
      <c r="C2294" t="s">
        <v>137</v>
      </c>
      <c r="D2294" s="1" t="s">
        <v>11</v>
      </c>
      <c r="E2294" s="4">
        <v>114.2</v>
      </c>
      <c r="F2294" s="4">
        <v>115.1</v>
      </c>
      <c r="G2294" s="4">
        <v>116.8</v>
      </c>
      <c r="H2294" s="1" t="s">
        <v>188</v>
      </c>
      <c r="K2294">
        <v>2015</v>
      </c>
      <c r="L2294" t="s">
        <v>31</v>
      </c>
      <c r="M2294" t="s">
        <v>82</v>
      </c>
      <c r="N2294" t="s">
        <v>21</v>
      </c>
      <c r="O2294" t="s">
        <v>190</v>
      </c>
      <c r="P2294" s="1" t="s">
        <v>30</v>
      </c>
      <c r="Q2294">
        <v>118.4</v>
      </c>
    </row>
    <row r="2295" spans="1:17" x14ac:dyDescent="0.3">
      <c r="A2295">
        <v>2020</v>
      </c>
      <c r="B2295" t="s">
        <v>41</v>
      </c>
      <c r="C2295" t="s">
        <v>137</v>
      </c>
      <c r="D2295" s="1" t="s">
        <v>24</v>
      </c>
      <c r="E2295" s="4">
        <v>143.6</v>
      </c>
      <c r="F2295" s="4">
        <v>138.5</v>
      </c>
      <c r="G2295" s="4">
        <v>133.9</v>
      </c>
      <c r="H2295" s="1" t="s">
        <v>191</v>
      </c>
      <c r="K2295">
        <v>2015</v>
      </c>
      <c r="L2295" t="s">
        <v>31</v>
      </c>
      <c r="M2295" t="s">
        <v>82</v>
      </c>
      <c r="N2295" t="s">
        <v>21</v>
      </c>
      <c r="O2295" t="s">
        <v>190</v>
      </c>
      <c r="P2295" s="1" t="s">
        <v>34</v>
      </c>
      <c r="Q2295">
        <v>116.5</v>
      </c>
    </row>
    <row r="2296" spans="1:17" x14ac:dyDescent="0.3">
      <c r="A2296">
        <v>2020</v>
      </c>
      <c r="B2296" t="s">
        <v>41</v>
      </c>
      <c r="C2296" t="s">
        <v>137</v>
      </c>
      <c r="D2296" s="1" t="s">
        <v>9</v>
      </c>
      <c r="E2296" s="4">
        <v>171</v>
      </c>
      <c r="F2296" s="4">
        <v>178.1</v>
      </c>
      <c r="G2296" s="4">
        <v>191.9</v>
      </c>
      <c r="H2296" s="1" t="s">
        <v>188</v>
      </c>
      <c r="K2296">
        <v>2015</v>
      </c>
      <c r="L2296" t="s">
        <v>31</v>
      </c>
      <c r="M2296" t="s">
        <v>82</v>
      </c>
      <c r="N2296" t="s">
        <v>21</v>
      </c>
      <c r="O2296" t="s">
        <v>190</v>
      </c>
      <c r="P2296" s="1" t="s">
        <v>33</v>
      </c>
      <c r="Q2296">
        <v>113.4</v>
      </c>
    </row>
    <row r="2297" spans="1:17" x14ac:dyDescent="0.3">
      <c r="A2297">
        <v>2020</v>
      </c>
      <c r="B2297" t="s">
        <v>45</v>
      </c>
      <c r="C2297" t="s">
        <v>138</v>
      </c>
      <c r="D2297" s="1" t="s">
        <v>3</v>
      </c>
      <c r="E2297" s="4">
        <v>144.6</v>
      </c>
      <c r="F2297" s="4">
        <v>146</v>
      </c>
      <c r="G2297" s="4">
        <v>149</v>
      </c>
      <c r="H2297" s="1" t="s">
        <v>188</v>
      </c>
      <c r="K2297">
        <v>2015</v>
      </c>
      <c r="L2297" t="s">
        <v>31</v>
      </c>
      <c r="M2297" t="s">
        <v>82</v>
      </c>
      <c r="N2297" t="s">
        <v>29</v>
      </c>
      <c r="O2297" t="s">
        <v>206</v>
      </c>
      <c r="P2297" s="1" t="s">
        <v>30</v>
      </c>
      <c r="Q2297">
        <v>120.3</v>
      </c>
    </row>
    <row r="2298" spans="1:17" x14ac:dyDescent="0.3">
      <c r="A2298">
        <v>2020</v>
      </c>
      <c r="B2298" t="s">
        <v>45</v>
      </c>
      <c r="C2298" t="s">
        <v>138</v>
      </c>
      <c r="D2298" s="1" t="s">
        <v>17</v>
      </c>
      <c r="E2298" s="4">
        <v>157</v>
      </c>
      <c r="F2298" s="4">
        <v>155</v>
      </c>
      <c r="G2298" s="4">
        <v>151.9</v>
      </c>
      <c r="H2298" s="1" t="s">
        <v>189</v>
      </c>
      <c r="K2298">
        <v>2015</v>
      </c>
      <c r="L2298" t="s">
        <v>31</v>
      </c>
      <c r="M2298" t="s">
        <v>82</v>
      </c>
      <c r="N2298" t="s">
        <v>29</v>
      </c>
      <c r="O2298" t="s">
        <v>206</v>
      </c>
      <c r="P2298" s="1" t="s">
        <v>34</v>
      </c>
      <c r="Q2298">
        <v>119.5</v>
      </c>
    </row>
    <row r="2299" spans="1:17" x14ac:dyDescent="0.3">
      <c r="A2299">
        <v>2020</v>
      </c>
      <c r="B2299" t="s">
        <v>45</v>
      </c>
      <c r="C2299" t="s">
        <v>138</v>
      </c>
      <c r="D2299" s="1" t="s">
        <v>19</v>
      </c>
      <c r="E2299" s="4">
        <v>156.30000000000001</v>
      </c>
      <c r="F2299" s="4">
        <v>153.6</v>
      </c>
      <c r="G2299" s="4">
        <v>149.6</v>
      </c>
      <c r="H2299" s="1" t="s">
        <v>189</v>
      </c>
      <c r="K2299">
        <v>2015</v>
      </c>
      <c r="L2299" t="s">
        <v>31</v>
      </c>
      <c r="M2299" t="s">
        <v>82</v>
      </c>
      <c r="N2299" t="s">
        <v>29</v>
      </c>
      <c r="O2299" t="s">
        <v>206</v>
      </c>
      <c r="P2299" s="1" t="s">
        <v>33</v>
      </c>
      <c r="Q2299">
        <v>118.5</v>
      </c>
    </row>
    <row r="2300" spans="1:17" x14ac:dyDescent="0.3">
      <c r="A2300">
        <v>2020</v>
      </c>
      <c r="B2300" t="s">
        <v>45</v>
      </c>
      <c r="C2300" t="s">
        <v>138</v>
      </c>
      <c r="D2300" s="1" t="s">
        <v>26</v>
      </c>
      <c r="E2300" s="4">
        <v>162.9</v>
      </c>
      <c r="F2300" s="4">
        <v>159.4</v>
      </c>
      <c r="G2300" s="4">
        <v>156.9</v>
      </c>
      <c r="H2300" s="1" t="s">
        <v>26</v>
      </c>
      <c r="K2300">
        <v>2015</v>
      </c>
      <c r="L2300" t="s">
        <v>31</v>
      </c>
      <c r="M2300" t="s">
        <v>82</v>
      </c>
      <c r="N2300" t="s">
        <v>23</v>
      </c>
      <c r="O2300" t="s">
        <v>23</v>
      </c>
      <c r="P2300" s="1" t="s">
        <v>30</v>
      </c>
      <c r="Q2300">
        <v>116.6</v>
      </c>
    </row>
    <row r="2301" spans="1:17" x14ac:dyDescent="0.3">
      <c r="A2301">
        <v>2020</v>
      </c>
      <c r="B2301" t="s">
        <v>45</v>
      </c>
      <c r="C2301" t="s">
        <v>138</v>
      </c>
      <c r="D2301" s="1" t="s">
        <v>5</v>
      </c>
      <c r="E2301" s="4">
        <v>173.4</v>
      </c>
      <c r="F2301" s="4">
        <v>175.3</v>
      </c>
      <c r="G2301" s="4">
        <v>178.3</v>
      </c>
      <c r="H2301" s="1" t="s">
        <v>188</v>
      </c>
      <c r="K2301">
        <v>2015</v>
      </c>
      <c r="L2301" t="s">
        <v>31</v>
      </c>
      <c r="M2301" t="s">
        <v>82</v>
      </c>
      <c r="N2301" t="s">
        <v>23</v>
      </c>
      <c r="O2301" t="s">
        <v>23</v>
      </c>
      <c r="P2301" s="1" t="s">
        <v>34</v>
      </c>
      <c r="Q2301">
        <v>115.5</v>
      </c>
    </row>
    <row r="2302" spans="1:17" x14ac:dyDescent="0.3">
      <c r="A2302">
        <v>2020</v>
      </c>
      <c r="B2302" t="s">
        <v>45</v>
      </c>
      <c r="C2302" t="s">
        <v>138</v>
      </c>
      <c r="D2302" s="1" t="s">
        <v>15</v>
      </c>
      <c r="E2302" s="4">
        <v>164.5</v>
      </c>
      <c r="F2302" s="4">
        <v>165.4</v>
      </c>
      <c r="G2302" s="4">
        <v>167</v>
      </c>
      <c r="H2302" s="1" t="s">
        <v>188</v>
      </c>
      <c r="K2302">
        <v>2015</v>
      </c>
      <c r="L2302" t="s">
        <v>31</v>
      </c>
      <c r="M2302" t="s">
        <v>82</v>
      </c>
      <c r="N2302" t="s">
        <v>23</v>
      </c>
      <c r="O2302" t="s">
        <v>23</v>
      </c>
      <c r="P2302" s="1" t="s">
        <v>33</v>
      </c>
      <c r="Q2302">
        <v>113.7</v>
      </c>
    </row>
    <row r="2303" spans="1:17" x14ac:dyDescent="0.3">
      <c r="A2303">
        <v>2020</v>
      </c>
      <c r="B2303" t="s">
        <v>45</v>
      </c>
      <c r="C2303" t="s">
        <v>138</v>
      </c>
      <c r="D2303" s="1" t="s">
        <v>18</v>
      </c>
      <c r="E2303" s="4">
        <v>151.6</v>
      </c>
      <c r="F2303" s="4">
        <v>145.4</v>
      </c>
      <c r="G2303" s="4">
        <v>136.69999999999999</v>
      </c>
      <c r="H2303" s="1" t="s">
        <v>189</v>
      </c>
      <c r="K2303">
        <v>2015</v>
      </c>
      <c r="L2303" t="s">
        <v>31</v>
      </c>
      <c r="M2303" t="s">
        <v>82</v>
      </c>
      <c r="N2303" t="s">
        <v>22</v>
      </c>
      <c r="O2303" t="s">
        <v>20</v>
      </c>
      <c r="P2303" s="1" t="s">
        <v>30</v>
      </c>
      <c r="Q2303">
        <v>118.9</v>
      </c>
    </row>
    <row r="2304" spans="1:17" x14ac:dyDescent="0.3">
      <c r="A2304">
        <v>2020</v>
      </c>
      <c r="B2304" t="s">
        <v>45</v>
      </c>
      <c r="C2304" t="s">
        <v>138</v>
      </c>
      <c r="D2304" s="1" t="s">
        <v>8</v>
      </c>
      <c r="E2304" s="4">
        <v>145.9</v>
      </c>
      <c r="F2304" s="4">
        <v>147.69999999999999</v>
      </c>
      <c r="G2304" s="4">
        <v>149.69999999999999</v>
      </c>
      <c r="H2304" s="1" t="s">
        <v>188</v>
      </c>
      <c r="K2304">
        <v>2015</v>
      </c>
      <c r="L2304" t="s">
        <v>31</v>
      </c>
      <c r="M2304" t="s">
        <v>82</v>
      </c>
      <c r="N2304" t="s">
        <v>22</v>
      </c>
      <c r="O2304" t="s">
        <v>20</v>
      </c>
      <c r="P2304" s="1" t="s">
        <v>34</v>
      </c>
      <c r="Q2304">
        <v>118.1</v>
      </c>
    </row>
    <row r="2305" spans="1:17" x14ac:dyDescent="0.3">
      <c r="A2305">
        <v>2020</v>
      </c>
      <c r="B2305" t="s">
        <v>45</v>
      </c>
      <c r="C2305" t="s">
        <v>138</v>
      </c>
      <c r="D2305" s="1" t="s">
        <v>21</v>
      </c>
      <c r="E2305" s="4">
        <v>148.69999999999999</v>
      </c>
      <c r="F2305" s="4">
        <v>144.6</v>
      </c>
      <c r="G2305" s="4">
        <v>137.9</v>
      </c>
      <c r="H2305" s="1" t="s">
        <v>190</v>
      </c>
      <c r="K2305">
        <v>2015</v>
      </c>
      <c r="L2305" t="s">
        <v>31</v>
      </c>
      <c r="M2305" t="s">
        <v>82</v>
      </c>
      <c r="N2305" t="s">
        <v>22</v>
      </c>
      <c r="O2305" t="s">
        <v>20</v>
      </c>
      <c r="P2305" s="1" t="s">
        <v>33</v>
      </c>
      <c r="Q2305">
        <v>117.2</v>
      </c>
    </row>
    <row r="2306" spans="1:17" x14ac:dyDescent="0.3">
      <c r="A2306">
        <v>2020</v>
      </c>
      <c r="B2306" t="s">
        <v>45</v>
      </c>
      <c r="C2306" t="s">
        <v>138</v>
      </c>
      <c r="D2306" s="1" t="s">
        <v>29</v>
      </c>
      <c r="E2306" s="4">
        <v>160.69999999999999</v>
      </c>
      <c r="F2306" s="4">
        <v>158.9</v>
      </c>
      <c r="G2306" s="4">
        <v>156.9</v>
      </c>
      <c r="H2306" s="1" t="s">
        <v>206</v>
      </c>
      <c r="K2306">
        <v>2015</v>
      </c>
      <c r="L2306" t="s">
        <v>31</v>
      </c>
      <c r="M2306" t="s">
        <v>82</v>
      </c>
      <c r="N2306" t="s">
        <v>20</v>
      </c>
      <c r="O2306" t="s">
        <v>20</v>
      </c>
      <c r="P2306" s="1" t="s">
        <v>30</v>
      </c>
      <c r="Q2306">
        <v>0</v>
      </c>
    </row>
    <row r="2307" spans="1:17" x14ac:dyDescent="0.3">
      <c r="A2307">
        <v>2020</v>
      </c>
      <c r="B2307" t="s">
        <v>45</v>
      </c>
      <c r="C2307" t="s">
        <v>138</v>
      </c>
      <c r="D2307" s="1" t="s">
        <v>23</v>
      </c>
      <c r="E2307" s="4">
        <v>161.6</v>
      </c>
      <c r="F2307" s="4">
        <v>158.30000000000001</v>
      </c>
      <c r="G2307" s="4">
        <v>152.9</v>
      </c>
      <c r="H2307" s="1" t="s">
        <v>23</v>
      </c>
      <c r="K2307">
        <v>2015</v>
      </c>
      <c r="L2307" t="s">
        <v>31</v>
      </c>
      <c r="M2307" t="s">
        <v>82</v>
      </c>
      <c r="N2307" t="s">
        <v>20</v>
      </c>
      <c r="O2307" t="s">
        <v>20</v>
      </c>
      <c r="P2307" s="1" t="s">
        <v>34</v>
      </c>
      <c r="Q2307">
        <v>117.3</v>
      </c>
    </row>
    <row r="2308" spans="1:17" x14ac:dyDescent="0.3">
      <c r="A2308">
        <v>2020</v>
      </c>
      <c r="B2308" t="s">
        <v>45</v>
      </c>
      <c r="C2308" t="s">
        <v>138</v>
      </c>
      <c r="D2308" s="1" t="s">
        <v>22</v>
      </c>
      <c r="E2308" s="4">
        <v>153.4</v>
      </c>
      <c r="F2308" s="4">
        <v>149.69999999999999</v>
      </c>
      <c r="G2308" s="4">
        <v>145.5</v>
      </c>
      <c r="H2308" s="1" t="s">
        <v>20</v>
      </c>
      <c r="K2308">
        <v>2015</v>
      </c>
      <c r="L2308" t="s">
        <v>31</v>
      </c>
      <c r="M2308" t="s">
        <v>82</v>
      </c>
      <c r="N2308" t="s">
        <v>20</v>
      </c>
      <c r="O2308" t="s">
        <v>20</v>
      </c>
      <c r="P2308" s="1" t="s">
        <v>33</v>
      </c>
      <c r="Q2308">
        <v>117.3</v>
      </c>
    </row>
    <row r="2309" spans="1:17" x14ac:dyDescent="0.3">
      <c r="A2309">
        <v>2020</v>
      </c>
      <c r="B2309" t="s">
        <v>45</v>
      </c>
      <c r="C2309" t="s">
        <v>138</v>
      </c>
      <c r="D2309" s="1" t="s">
        <v>20</v>
      </c>
      <c r="E2309" s="4">
        <v>0</v>
      </c>
      <c r="F2309" s="4">
        <v>158.4</v>
      </c>
      <c r="G2309" s="4">
        <v>158.4</v>
      </c>
      <c r="H2309" s="1" t="s">
        <v>20</v>
      </c>
      <c r="K2309">
        <v>2015</v>
      </c>
      <c r="L2309" t="s">
        <v>31</v>
      </c>
      <c r="M2309" t="s">
        <v>82</v>
      </c>
      <c r="N2309" t="s">
        <v>4</v>
      </c>
      <c r="O2309" t="s">
        <v>188</v>
      </c>
      <c r="P2309" s="1" t="s">
        <v>30</v>
      </c>
      <c r="Q2309">
        <v>123.1</v>
      </c>
    </row>
    <row r="2310" spans="1:17" x14ac:dyDescent="0.3">
      <c r="A2310">
        <v>2020</v>
      </c>
      <c r="B2310" t="s">
        <v>45</v>
      </c>
      <c r="C2310" t="s">
        <v>138</v>
      </c>
      <c r="D2310" s="1" t="s">
        <v>4</v>
      </c>
      <c r="E2310" s="4">
        <v>188.5</v>
      </c>
      <c r="F2310" s="4">
        <v>191</v>
      </c>
      <c r="G2310" s="4">
        <v>195.7</v>
      </c>
      <c r="H2310" s="1" t="s">
        <v>188</v>
      </c>
      <c r="K2310">
        <v>2015</v>
      </c>
      <c r="L2310" t="s">
        <v>31</v>
      </c>
      <c r="M2310" t="s">
        <v>82</v>
      </c>
      <c r="N2310" t="s">
        <v>4</v>
      </c>
      <c r="O2310" t="s">
        <v>188</v>
      </c>
      <c r="P2310" s="1" t="s">
        <v>34</v>
      </c>
      <c r="Q2310">
        <v>123.9</v>
      </c>
    </row>
    <row r="2311" spans="1:17" x14ac:dyDescent="0.3">
      <c r="A2311">
        <v>2020</v>
      </c>
      <c r="B2311" t="s">
        <v>45</v>
      </c>
      <c r="C2311" t="s">
        <v>138</v>
      </c>
      <c r="D2311" s="1" t="s">
        <v>6</v>
      </c>
      <c r="E2311" s="4">
        <v>154</v>
      </c>
      <c r="F2311" s="4">
        <v>154.1</v>
      </c>
      <c r="G2311" s="4">
        <v>154.19999999999999</v>
      </c>
      <c r="H2311" s="1" t="s">
        <v>188</v>
      </c>
      <c r="K2311">
        <v>2015</v>
      </c>
      <c r="L2311" t="s">
        <v>31</v>
      </c>
      <c r="M2311" t="s">
        <v>82</v>
      </c>
      <c r="N2311" t="s">
        <v>4</v>
      </c>
      <c r="O2311" t="s">
        <v>188</v>
      </c>
      <c r="P2311" s="1" t="s">
        <v>33</v>
      </c>
      <c r="Q2311">
        <v>125.5</v>
      </c>
    </row>
    <row r="2312" spans="1:17" x14ac:dyDescent="0.3">
      <c r="A2312">
        <v>2020</v>
      </c>
      <c r="B2312" t="s">
        <v>45</v>
      </c>
      <c r="C2312" t="s">
        <v>138</v>
      </c>
      <c r="D2312" s="1" t="s">
        <v>28</v>
      </c>
      <c r="E2312" s="4">
        <v>155.19999999999999</v>
      </c>
      <c r="F2312" s="4">
        <v>151.19999999999999</v>
      </c>
      <c r="G2312" s="4">
        <v>146.9</v>
      </c>
      <c r="H2312" s="1" t="s">
        <v>192</v>
      </c>
      <c r="K2312">
        <v>2015</v>
      </c>
      <c r="L2312" t="s">
        <v>31</v>
      </c>
      <c r="M2312" t="s">
        <v>82</v>
      </c>
      <c r="N2312" t="s">
        <v>6</v>
      </c>
      <c r="O2312" t="s">
        <v>188</v>
      </c>
      <c r="P2312" s="1" t="s">
        <v>30</v>
      </c>
      <c r="Q2312">
        <v>124.9</v>
      </c>
    </row>
    <row r="2313" spans="1:17" x14ac:dyDescent="0.3">
      <c r="A2313">
        <v>2020</v>
      </c>
      <c r="B2313" t="s">
        <v>45</v>
      </c>
      <c r="C2313" t="s">
        <v>138</v>
      </c>
      <c r="D2313" s="1" t="s">
        <v>13</v>
      </c>
      <c r="E2313" s="4">
        <v>153.4</v>
      </c>
      <c r="F2313" s="4">
        <v>149.19999999999999</v>
      </c>
      <c r="G2313" s="4">
        <v>143.30000000000001</v>
      </c>
      <c r="H2313" s="1" t="s">
        <v>188</v>
      </c>
      <c r="K2313">
        <v>2015</v>
      </c>
      <c r="L2313" t="s">
        <v>31</v>
      </c>
      <c r="M2313" t="s">
        <v>82</v>
      </c>
      <c r="N2313" t="s">
        <v>6</v>
      </c>
      <c r="O2313" t="s">
        <v>188</v>
      </c>
      <c r="P2313" s="1" t="s">
        <v>34</v>
      </c>
      <c r="Q2313">
        <v>125</v>
      </c>
    </row>
    <row r="2314" spans="1:17" x14ac:dyDescent="0.3">
      <c r="A2314">
        <v>2020</v>
      </c>
      <c r="B2314" t="s">
        <v>45</v>
      </c>
      <c r="C2314" t="s">
        <v>138</v>
      </c>
      <c r="D2314" s="1" t="s">
        <v>7</v>
      </c>
      <c r="E2314" s="4">
        <v>150</v>
      </c>
      <c r="F2314" s="4">
        <v>146.6</v>
      </c>
      <c r="G2314" s="4">
        <v>140.69999999999999</v>
      </c>
      <c r="H2314" s="1" t="s">
        <v>188</v>
      </c>
      <c r="K2314">
        <v>2015</v>
      </c>
      <c r="L2314" t="s">
        <v>31</v>
      </c>
      <c r="M2314" t="s">
        <v>82</v>
      </c>
      <c r="N2314" t="s">
        <v>6</v>
      </c>
      <c r="O2314" t="s">
        <v>188</v>
      </c>
      <c r="P2314" s="1" t="s">
        <v>33</v>
      </c>
      <c r="Q2314">
        <v>125.2</v>
      </c>
    </row>
    <row r="2315" spans="1:17" x14ac:dyDescent="0.3">
      <c r="A2315">
        <v>2020</v>
      </c>
      <c r="B2315" t="s">
        <v>45</v>
      </c>
      <c r="C2315" t="s">
        <v>138</v>
      </c>
      <c r="D2315" s="1" t="s">
        <v>16</v>
      </c>
      <c r="E2315" s="4">
        <v>183.6</v>
      </c>
      <c r="F2315" s="4">
        <v>185.4</v>
      </c>
      <c r="G2315" s="4">
        <v>190.2</v>
      </c>
      <c r="H2315" s="1" t="s">
        <v>192</v>
      </c>
      <c r="K2315">
        <v>2015</v>
      </c>
      <c r="L2315" t="s">
        <v>31</v>
      </c>
      <c r="M2315" t="s">
        <v>82</v>
      </c>
      <c r="N2315" t="s">
        <v>28</v>
      </c>
      <c r="O2315" t="s">
        <v>192</v>
      </c>
      <c r="P2315" s="1" t="s">
        <v>30</v>
      </c>
      <c r="Q2315">
        <v>114.5</v>
      </c>
    </row>
    <row r="2316" spans="1:17" x14ac:dyDescent="0.3">
      <c r="A2316">
        <v>2020</v>
      </c>
      <c r="B2316" t="s">
        <v>45</v>
      </c>
      <c r="C2316" t="s">
        <v>138</v>
      </c>
      <c r="D2316" s="1" t="s">
        <v>27</v>
      </c>
      <c r="E2316" s="4">
        <v>156.6</v>
      </c>
      <c r="F2316" s="4">
        <v>157.1</v>
      </c>
      <c r="G2316" s="4">
        <v>157.9</v>
      </c>
      <c r="H2316" s="1" t="s">
        <v>192</v>
      </c>
      <c r="K2316">
        <v>2015</v>
      </c>
      <c r="L2316" t="s">
        <v>31</v>
      </c>
      <c r="M2316" t="s">
        <v>82</v>
      </c>
      <c r="N2316" t="s">
        <v>28</v>
      </c>
      <c r="O2316" t="s">
        <v>192</v>
      </c>
      <c r="P2316" s="1" t="s">
        <v>34</v>
      </c>
      <c r="Q2316">
        <v>114</v>
      </c>
    </row>
    <row r="2317" spans="1:17" x14ac:dyDescent="0.3">
      <c r="A2317">
        <v>2020</v>
      </c>
      <c r="B2317" t="s">
        <v>45</v>
      </c>
      <c r="C2317" t="s">
        <v>138</v>
      </c>
      <c r="D2317" s="1" t="s">
        <v>14</v>
      </c>
      <c r="E2317" s="4">
        <v>163.6</v>
      </c>
      <c r="F2317" s="4">
        <v>164.8</v>
      </c>
      <c r="G2317" s="4">
        <v>166.1</v>
      </c>
      <c r="H2317" s="1" t="s">
        <v>188</v>
      </c>
      <c r="K2317">
        <v>2015</v>
      </c>
      <c r="L2317" t="s">
        <v>31</v>
      </c>
      <c r="M2317" t="s">
        <v>82</v>
      </c>
      <c r="N2317" t="s">
        <v>28</v>
      </c>
      <c r="O2317" t="s">
        <v>192</v>
      </c>
      <c r="P2317" s="1" t="s">
        <v>33</v>
      </c>
      <c r="Q2317">
        <v>113.4</v>
      </c>
    </row>
    <row r="2318" spans="1:17" x14ac:dyDescent="0.3">
      <c r="A2318">
        <v>2020</v>
      </c>
      <c r="B2318" t="s">
        <v>45</v>
      </c>
      <c r="C2318" t="s">
        <v>138</v>
      </c>
      <c r="D2318" s="1" t="s">
        <v>10</v>
      </c>
      <c r="E2318" s="4">
        <v>159.5</v>
      </c>
      <c r="F2318" s="4">
        <v>160.19999999999999</v>
      </c>
      <c r="G2318" s="4">
        <v>161.5</v>
      </c>
      <c r="H2318" s="1" t="s">
        <v>188</v>
      </c>
      <c r="K2318">
        <v>2015</v>
      </c>
      <c r="L2318" t="s">
        <v>31</v>
      </c>
      <c r="M2318" t="s">
        <v>82</v>
      </c>
      <c r="N2318" t="s">
        <v>13</v>
      </c>
      <c r="O2318" t="s">
        <v>188</v>
      </c>
      <c r="P2318" s="1" t="s">
        <v>30</v>
      </c>
      <c r="Q2318">
        <v>117.9</v>
      </c>
    </row>
    <row r="2319" spans="1:17" x14ac:dyDescent="0.3">
      <c r="A2319">
        <v>2020</v>
      </c>
      <c r="B2319" t="s">
        <v>45</v>
      </c>
      <c r="C2319" t="s">
        <v>138</v>
      </c>
      <c r="D2319" s="1" t="s">
        <v>25</v>
      </c>
      <c r="E2319" s="4">
        <v>153.9</v>
      </c>
      <c r="F2319" s="4">
        <v>148.5</v>
      </c>
      <c r="G2319" s="4">
        <v>144.30000000000001</v>
      </c>
      <c r="H2319" s="1" t="s">
        <v>195</v>
      </c>
      <c r="K2319">
        <v>2015</v>
      </c>
      <c r="L2319" t="s">
        <v>31</v>
      </c>
      <c r="M2319" t="s">
        <v>82</v>
      </c>
      <c r="N2319" t="s">
        <v>13</v>
      </c>
      <c r="O2319" t="s">
        <v>188</v>
      </c>
      <c r="P2319" s="1" t="s">
        <v>34</v>
      </c>
      <c r="Q2319">
        <v>117.3</v>
      </c>
    </row>
    <row r="2320" spans="1:17" x14ac:dyDescent="0.3">
      <c r="A2320">
        <v>2020</v>
      </c>
      <c r="B2320" t="s">
        <v>45</v>
      </c>
      <c r="C2320" t="s">
        <v>138</v>
      </c>
      <c r="D2320" s="1" t="s">
        <v>12</v>
      </c>
      <c r="E2320" s="4">
        <v>163.5</v>
      </c>
      <c r="F2320" s="4">
        <v>163</v>
      </c>
      <c r="G2320" s="4">
        <v>161.9</v>
      </c>
      <c r="H2320" s="1" t="s">
        <v>188</v>
      </c>
      <c r="K2320">
        <v>2015</v>
      </c>
      <c r="L2320" t="s">
        <v>31</v>
      </c>
      <c r="M2320" t="s">
        <v>82</v>
      </c>
      <c r="N2320" t="s">
        <v>13</v>
      </c>
      <c r="O2320" t="s">
        <v>188</v>
      </c>
      <c r="P2320" s="1" t="s">
        <v>33</v>
      </c>
      <c r="Q2320">
        <v>116.5</v>
      </c>
    </row>
    <row r="2321" spans="1:17" x14ac:dyDescent="0.3">
      <c r="A2321">
        <v>2020</v>
      </c>
      <c r="B2321" t="s">
        <v>45</v>
      </c>
      <c r="C2321" t="s">
        <v>138</v>
      </c>
      <c r="D2321" s="1" t="s">
        <v>11</v>
      </c>
      <c r="E2321" s="4">
        <v>114.4</v>
      </c>
      <c r="F2321" s="4">
        <v>115.3</v>
      </c>
      <c r="G2321" s="4">
        <v>117.1</v>
      </c>
      <c r="H2321" s="1" t="s">
        <v>188</v>
      </c>
      <c r="K2321">
        <v>2015</v>
      </c>
      <c r="L2321" t="s">
        <v>31</v>
      </c>
      <c r="M2321" t="s">
        <v>82</v>
      </c>
      <c r="N2321" t="s">
        <v>7</v>
      </c>
      <c r="O2321" t="s">
        <v>188</v>
      </c>
      <c r="P2321" s="1" t="s">
        <v>30</v>
      </c>
      <c r="Q2321">
        <v>111</v>
      </c>
    </row>
    <row r="2322" spans="1:17" x14ac:dyDescent="0.3">
      <c r="A2322">
        <v>2020</v>
      </c>
      <c r="B2322" t="s">
        <v>45</v>
      </c>
      <c r="C2322" t="s">
        <v>138</v>
      </c>
      <c r="D2322" s="1" t="s">
        <v>24</v>
      </c>
      <c r="E2322" s="4">
        <v>146.4</v>
      </c>
      <c r="F2322" s="4">
        <v>140.69999999999999</v>
      </c>
      <c r="G2322" s="4">
        <v>135.5</v>
      </c>
      <c r="H2322" s="1" t="s">
        <v>191</v>
      </c>
      <c r="K2322">
        <v>2015</v>
      </c>
      <c r="L2322" t="s">
        <v>31</v>
      </c>
      <c r="M2322" t="s">
        <v>82</v>
      </c>
      <c r="N2322" t="s">
        <v>7</v>
      </c>
      <c r="O2322" t="s">
        <v>188</v>
      </c>
      <c r="P2322" s="1" t="s">
        <v>34</v>
      </c>
      <c r="Q2322">
        <v>108.5</v>
      </c>
    </row>
    <row r="2323" spans="1:17" x14ac:dyDescent="0.3">
      <c r="A2323">
        <v>2020</v>
      </c>
      <c r="B2323" t="s">
        <v>45</v>
      </c>
      <c r="C2323" t="s">
        <v>138</v>
      </c>
      <c r="D2323" s="1" t="s">
        <v>9</v>
      </c>
      <c r="E2323" s="4">
        <v>225.2</v>
      </c>
      <c r="F2323" s="4">
        <v>230.5</v>
      </c>
      <c r="G2323" s="4">
        <v>240.9</v>
      </c>
      <c r="H2323" s="1" t="s">
        <v>188</v>
      </c>
      <c r="K2323">
        <v>2015</v>
      </c>
      <c r="L2323" t="s">
        <v>31</v>
      </c>
      <c r="M2323" t="s">
        <v>82</v>
      </c>
      <c r="N2323" t="s">
        <v>7</v>
      </c>
      <c r="O2323" t="s">
        <v>188</v>
      </c>
      <c r="P2323" s="1" t="s">
        <v>33</v>
      </c>
      <c r="Q2323">
        <v>104.3</v>
      </c>
    </row>
    <row r="2324" spans="1:17" x14ac:dyDescent="0.3">
      <c r="A2324">
        <v>2020</v>
      </c>
      <c r="B2324" t="s">
        <v>35</v>
      </c>
      <c r="C2324" t="s">
        <v>49</v>
      </c>
      <c r="D2324" s="1" t="s">
        <v>3</v>
      </c>
      <c r="E2324" s="4">
        <v>144.19999999999999</v>
      </c>
      <c r="F2324" s="4">
        <v>144.80000000000001</v>
      </c>
      <c r="G2324" s="4">
        <v>146.19999999999999</v>
      </c>
      <c r="H2324" s="1" t="s">
        <v>188</v>
      </c>
      <c r="K2324">
        <v>2015</v>
      </c>
      <c r="L2324" t="s">
        <v>31</v>
      </c>
      <c r="M2324" t="s">
        <v>82</v>
      </c>
      <c r="N2324" t="s">
        <v>16</v>
      </c>
      <c r="O2324" t="s">
        <v>192</v>
      </c>
      <c r="P2324" s="1" t="s">
        <v>30</v>
      </c>
      <c r="Q2324">
        <v>122.7</v>
      </c>
    </row>
    <row r="2325" spans="1:17" x14ac:dyDescent="0.3">
      <c r="A2325">
        <v>2020</v>
      </c>
      <c r="B2325" t="s">
        <v>35</v>
      </c>
      <c r="C2325" t="s">
        <v>49</v>
      </c>
      <c r="D2325" s="1" t="s">
        <v>17</v>
      </c>
      <c r="E2325" s="4">
        <v>153</v>
      </c>
      <c r="F2325" s="4">
        <v>150.80000000000001</v>
      </c>
      <c r="G2325" s="4">
        <v>147.30000000000001</v>
      </c>
      <c r="H2325" s="1" t="s">
        <v>189</v>
      </c>
      <c r="K2325">
        <v>2015</v>
      </c>
      <c r="L2325" t="s">
        <v>31</v>
      </c>
      <c r="M2325" t="s">
        <v>82</v>
      </c>
      <c r="N2325" t="s">
        <v>16</v>
      </c>
      <c r="O2325" t="s">
        <v>192</v>
      </c>
      <c r="P2325" s="1" t="s">
        <v>34</v>
      </c>
      <c r="Q2325">
        <v>124</v>
      </c>
    </row>
    <row r="2326" spans="1:17" x14ac:dyDescent="0.3">
      <c r="A2326">
        <v>2020</v>
      </c>
      <c r="B2326" t="s">
        <v>35</v>
      </c>
      <c r="C2326" t="s">
        <v>49</v>
      </c>
      <c r="D2326" s="1" t="s">
        <v>19</v>
      </c>
      <c r="E2326" s="4">
        <v>152.30000000000001</v>
      </c>
      <c r="F2326" s="4">
        <v>149.5</v>
      </c>
      <c r="G2326" s="4">
        <v>145.19999999999999</v>
      </c>
      <c r="H2326" s="1" t="s">
        <v>189</v>
      </c>
      <c r="K2326">
        <v>2015</v>
      </c>
      <c r="L2326" t="s">
        <v>31</v>
      </c>
      <c r="M2326" t="s">
        <v>82</v>
      </c>
      <c r="N2326" t="s">
        <v>16</v>
      </c>
      <c r="O2326" t="s">
        <v>192</v>
      </c>
      <c r="P2326" s="1" t="s">
        <v>33</v>
      </c>
      <c r="Q2326">
        <v>127.4</v>
      </c>
    </row>
    <row r="2327" spans="1:17" x14ac:dyDescent="0.3">
      <c r="A2327">
        <v>2020</v>
      </c>
      <c r="B2327" t="s">
        <v>35</v>
      </c>
      <c r="C2327" t="s">
        <v>49</v>
      </c>
      <c r="D2327" s="1" t="s">
        <v>26</v>
      </c>
      <c r="E2327" s="4">
        <v>161.9</v>
      </c>
      <c r="F2327" s="4">
        <v>156.19999999999999</v>
      </c>
      <c r="G2327" s="4">
        <v>152.19999999999999</v>
      </c>
      <c r="H2327" s="1" t="s">
        <v>26</v>
      </c>
      <c r="K2327">
        <v>2015</v>
      </c>
      <c r="L2327" t="s">
        <v>31</v>
      </c>
      <c r="M2327" t="s">
        <v>82</v>
      </c>
      <c r="N2327" t="s">
        <v>27</v>
      </c>
      <c r="O2327" t="s">
        <v>192</v>
      </c>
      <c r="P2327" s="1" t="s">
        <v>30</v>
      </c>
      <c r="Q2327">
        <v>110.2</v>
      </c>
    </row>
    <row r="2328" spans="1:17" x14ac:dyDescent="0.3">
      <c r="A2328">
        <v>2020</v>
      </c>
      <c r="B2328" t="s">
        <v>35</v>
      </c>
      <c r="C2328" t="s">
        <v>49</v>
      </c>
      <c r="D2328" s="1" t="s">
        <v>5</v>
      </c>
      <c r="E2328" s="4">
        <v>150.9</v>
      </c>
      <c r="F2328" s="4">
        <v>151.80000000000001</v>
      </c>
      <c r="G2328" s="4">
        <v>153.1</v>
      </c>
      <c r="H2328" s="1" t="s">
        <v>188</v>
      </c>
      <c r="K2328">
        <v>2015</v>
      </c>
      <c r="L2328" t="s">
        <v>31</v>
      </c>
      <c r="M2328" t="s">
        <v>82</v>
      </c>
      <c r="N2328" t="s">
        <v>27</v>
      </c>
      <c r="O2328" t="s">
        <v>192</v>
      </c>
      <c r="P2328" s="1" t="s">
        <v>34</v>
      </c>
      <c r="Q2328">
        <v>110.7</v>
      </c>
    </row>
    <row r="2329" spans="1:17" x14ac:dyDescent="0.3">
      <c r="A2329">
        <v>2020</v>
      </c>
      <c r="B2329" t="s">
        <v>35</v>
      </c>
      <c r="C2329" t="s">
        <v>49</v>
      </c>
      <c r="D2329" s="1" t="s">
        <v>15</v>
      </c>
      <c r="E2329" s="4">
        <v>149.80000000000001</v>
      </c>
      <c r="F2329" s="4">
        <v>150.5</v>
      </c>
      <c r="G2329" s="4">
        <v>151.69999999999999</v>
      </c>
      <c r="H2329" s="1" t="s">
        <v>188</v>
      </c>
      <c r="K2329">
        <v>2015</v>
      </c>
      <c r="L2329" t="s">
        <v>31</v>
      </c>
      <c r="M2329" t="s">
        <v>82</v>
      </c>
      <c r="N2329" t="s">
        <v>27</v>
      </c>
      <c r="O2329" t="s">
        <v>192</v>
      </c>
      <c r="P2329" s="1" t="s">
        <v>33</v>
      </c>
      <c r="Q2329">
        <v>111.4</v>
      </c>
    </row>
    <row r="2330" spans="1:17" x14ac:dyDescent="0.3">
      <c r="A2330">
        <v>2020</v>
      </c>
      <c r="B2330" t="s">
        <v>35</v>
      </c>
      <c r="C2330" t="s">
        <v>49</v>
      </c>
      <c r="D2330" s="1" t="s">
        <v>18</v>
      </c>
      <c r="E2330" s="4">
        <v>147.5</v>
      </c>
      <c r="F2330" s="4">
        <v>141.69999999999999</v>
      </c>
      <c r="G2330" s="4">
        <v>133.5</v>
      </c>
      <c r="H2330" s="1" t="s">
        <v>189</v>
      </c>
      <c r="K2330">
        <v>2015</v>
      </c>
      <c r="L2330" t="s">
        <v>31</v>
      </c>
      <c r="M2330" t="s">
        <v>82</v>
      </c>
      <c r="N2330" t="s">
        <v>14</v>
      </c>
      <c r="O2330" t="s">
        <v>188</v>
      </c>
      <c r="P2330" s="1" t="s">
        <v>30</v>
      </c>
      <c r="Q2330">
        <v>125.6</v>
      </c>
    </row>
    <row r="2331" spans="1:17" x14ac:dyDescent="0.3">
      <c r="A2331">
        <v>2020</v>
      </c>
      <c r="B2331" t="s">
        <v>35</v>
      </c>
      <c r="C2331" t="s">
        <v>49</v>
      </c>
      <c r="D2331" s="1" t="s">
        <v>8</v>
      </c>
      <c r="E2331" s="4">
        <v>140.69999999999999</v>
      </c>
      <c r="F2331" s="4">
        <v>141.80000000000001</v>
      </c>
      <c r="G2331" s="4">
        <v>143.1</v>
      </c>
      <c r="H2331" s="1" t="s">
        <v>188</v>
      </c>
      <c r="K2331">
        <v>2015</v>
      </c>
      <c r="L2331" t="s">
        <v>31</v>
      </c>
      <c r="M2331" t="s">
        <v>82</v>
      </c>
      <c r="N2331" t="s">
        <v>14</v>
      </c>
      <c r="O2331" t="s">
        <v>188</v>
      </c>
      <c r="P2331" s="1" t="s">
        <v>34</v>
      </c>
      <c r="Q2331">
        <v>126.7</v>
      </c>
    </row>
    <row r="2332" spans="1:17" x14ac:dyDescent="0.3">
      <c r="A2332">
        <v>2020</v>
      </c>
      <c r="B2332" t="s">
        <v>35</v>
      </c>
      <c r="C2332" t="s">
        <v>49</v>
      </c>
      <c r="D2332" s="1" t="s">
        <v>21</v>
      </c>
      <c r="E2332" s="4">
        <v>152.30000000000001</v>
      </c>
      <c r="F2332" s="4">
        <v>147.19999999999999</v>
      </c>
      <c r="G2332" s="4">
        <v>138.9</v>
      </c>
      <c r="H2332" s="1" t="s">
        <v>190</v>
      </c>
      <c r="K2332">
        <v>2015</v>
      </c>
      <c r="L2332" t="s">
        <v>31</v>
      </c>
      <c r="M2332" t="s">
        <v>82</v>
      </c>
      <c r="N2332" t="s">
        <v>14</v>
      </c>
      <c r="O2332" t="s">
        <v>188</v>
      </c>
      <c r="P2332" s="1" t="s">
        <v>33</v>
      </c>
      <c r="Q2332">
        <v>128</v>
      </c>
    </row>
    <row r="2333" spans="1:17" x14ac:dyDescent="0.3">
      <c r="A2333">
        <v>2020</v>
      </c>
      <c r="B2333" t="s">
        <v>35</v>
      </c>
      <c r="C2333" t="s">
        <v>49</v>
      </c>
      <c r="D2333" s="1" t="s">
        <v>29</v>
      </c>
      <c r="E2333" s="4">
        <v>150.4</v>
      </c>
      <c r="F2333" s="4">
        <v>149.1</v>
      </c>
      <c r="G2333" s="4">
        <v>147.69999999999999</v>
      </c>
      <c r="H2333" s="1" t="s">
        <v>206</v>
      </c>
      <c r="K2333">
        <v>2015</v>
      </c>
      <c r="L2333" t="s">
        <v>31</v>
      </c>
      <c r="M2333" t="s">
        <v>82</v>
      </c>
      <c r="N2333" t="s">
        <v>10</v>
      </c>
      <c r="O2333" t="s">
        <v>188</v>
      </c>
      <c r="P2333" s="1" t="s">
        <v>30</v>
      </c>
      <c r="Q2333">
        <v>117.2</v>
      </c>
    </row>
    <row r="2334" spans="1:17" x14ac:dyDescent="0.3">
      <c r="A2334">
        <v>2020</v>
      </c>
      <c r="B2334" t="s">
        <v>35</v>
      </c>
      <c r="C2334" t="s">
        <v>49</v>
      </c>
      <c r="D2334" s="1" t="s">
        <v>23</v>
      </c>
      <c r="E2334" s="4">
        <v>156.19999999999999</v>
      </c>
      <c r="F2334" s="4">
        <v>151.69999999999999</v>
      </c>
      <c r="G2334" s="4">
        <v>144.4</v>
      </c>
      <c r="H2334" s="1" t="s">
        <v>23</v>
      </c>
      <c r="K2334">
        <v>2015</v>
      </c>
      <c r="L2334" t="s">
        <v>31</v>
      </c>
      <c r="M2334" t="s">
        <v>82</v>
      </c>
      <c r="N2334" t="s">
        <v>10</v>
      </c>
      <c r="O2334" t="s">
        <v>188</v>
      </c>
      <c r="P2334" s="1" t="s">
        <v>34</v>
      </c>
      <c r="Q2334">
        <v>119.1</v>
      </c>
    </row>
    <row r="2335" spans="1:17" x14ac:dyDescent="0.3">
      <c r="A2335">
        <v>2020</v>
      </c>
      <c r="B2335" t="s">
        <v>35</v>
      </c>
      <c r="C2335" t="s">
        <v>49</v>
      </c>
      <c r="D2335" s="1" t="s">
        <v>22</v>
      </c>
      <c r="E2335" s="4">
        <v>151.80000000000001</v>
      </c>
      <c r="F2335" s="4">
        <v>146.4</v>
      </c>
      <c r="G2335" s="4">
        <v>140.4</v>
      </c>
      <c r="H2335" s="1" t="s">
        <v>20</v>
      </c>
      <c r="K2335">
        <v>2015</v>
      </c>
      <c r="L2335" t="s">
        <v>31</v>
      </c>
      <c r="M2335" t="s">
        <v>82</v>
      </c>
      <c r="N2335" t="s">
        <v>10</v>
      </c>
      <c r="O2335" t="s">
        <v>188</v>
      </c>
      <c r="P2335" s="1" t="s">
        <v>33</v>
      </c>
      <c r="Q2335">
        <v>122.9</v>
      </c>
    </row>
    <row r="2336" spans="1:17" x14ac:dyDescent="0.3">
      <c r="A2336">
        <v>2020</v>
      </c>
      <c r="B2336" t="s">
        <v>35</v>
      </c>
      <c r="C2336" t="s">
        <v>49</v>
      </c>
      <c r="D2336" s="1" t="s">
        <v>20</v>
      </c>
      <c r="E2336" s="4">
        <v>0</v>
      </c>
      <c r="F2336" s="4">
        <v>154.80000000000001</v>
      </c>
      <c r="G2336" s="4">
        <v>154.80000000000001</v>
      </c>
      <c r="H2336" s="1" t="s">
        <v>20</v>
      </c>
      <c r="K2336">
        <v>2015</v>
      </c>
      <c r="L2336" t="s">
        <v>31</v>
      </c>
      <c r="M2336" t="s">
        <v>82</v>
      </c>
      <c r="N2336" t="s">
        <v>25</v>
      </c>
      <c r="O2336" t="s">
        <v>195</v>
      </c>
      <c r="P2336" s="1" t="s">
        <v>30</v>
      </c>
      <c r="Q2336">
        <v>114</v>
      </c>
    </row>
    <row r="2337" spans="1:17" x14ac:dyDescent="0.3">
      <c r="A2337">
        <v>2020</v>
      </c>
      <c r="B2337" t="s">
        <v>35</v>
      </c>
      <c r="C2337" t="s">
        <v>49</v>
      </c>
      <c r="D2337" s="1" t="s">
        <v>4</v>
      </c>
      <c r="E2337" s="4">
        <v>167.5</v>
      </c>
      <c r="F2337" s="4">
        <v>167.5</v>
      </c>
      <c r="G2337" s="4">
        <v>167.6</v>
      </c>
      <c r="H2337" s="1" t="s">
        <v>188</v>
      </c>
      <c r="K2337">
        <v>2015</v>
      </c>
      <c r="L2337" t="s">
        <v>31</v>
      </c>
      <c r="M2337" t="s">
        <v>82</v>
      </c>
      <c r="N2337" t="s">
        <v>25</v>
      </c>
      <c r="O2337" t="s">
        <v>195</v>
      </c>
      <c r="P2337" s="1" t="s">
        <v>34</v>
      </c>
      <c r="Q2337">
        <v>114.3</v>
      </c>
    </row>
    <row r="2338" spans="1:17" x14ac:dyDescent="0.3">
      <c r="A2338">
        <v>2020</v>
      </c>
      <c r="B2338" t="s">
        <v>35</v>
      </c>
      <c r="C2338" t="s">
        <v>49</v>
      </c>
      <c r="D2338" s="1" t="s">
        <v>6</v>
      </c>
      <c r="E2338" s="4">
        <v>150.9</v>
      </c>
      <c r="F2338" s="4">
        <v>150.80000000000001</v>
      </c>
      <c r="G2338" s="4">
        <v>150.69999999999999</v>
      </c>
      <c r="H2338" s="1" t="s">
        <v>188</v>
      </c>
      <c r="K2338">
        <v>2015</v>
      </c>
      <c r="L2338" t="s">
        <v>31</v>
      </c>
      <c r="M2338" t="s">
        <v>82</v>
      </c>
      <c r="N2338" t="s">
        <v>25</v>
      </c>
      <c r="O2338" t="s">
        <v>195</v>
      </c>
      <c r="P2338" s="1" t="s">
        <v>33</v>
      </c>
      <c r="Q2338">
        <v>114.6</v>
      </c>
    </row>
    <row r="2339" spans="1:17" x14ac:dyDescent="0.3">
      <c r="A2339">
        <v>2020</v>
      </c>
      <c r="B2339" t="s">
        <v>35</v>
      </c>
      <c r="C2339" t="s">
        <v>49</v>
      </c>
      <c r="D2339" s="1" t="s">
        <v>28</v>
      </c>
      <c r="E2339" s="4">
        <v>148.4</v>
      </c>
      <c r="F2339" s="4">
        <v>143.6</v>
      </c>
      <c r="G2339" s="4">
        <v>138.4</v>
      </c>
      <c r="H2339" s="1" t="s">
        <v>192</v>
      </c>
      <c r="K2339">
        <v>2015</v>
      </c>
      <c r="L2339" t="s">
        <v>31</v>
      </c>
      <c r="M2339" t="s">
        <v>82</v>
      </c>
      <c r="N2339" t="s">
        <v>12</v>
      </c>
      <c r="O2339" t="s">
        <v>188</v>
      </c>
      <c r="P2339" s="1" t="s">
        <v>30</v>
      </c>
      <c r="Q2339">
        <v>117.2</v>
      </c>
    </row>
    <row r="2340" spans="1:17" x14ac:dyDescent="0.3">
      <c r="A2340">
        <v>2020</v>
      </c>
      <c r="B2340" t="s">
        <v>35</v>
      </c>
      <c r="C2340" t="s">
        <v>49</v>
      </c>
      <c r="D2340" s="1" t="s">
        <v>13</v>
      </c>
      <c r="E2340" s="4">
        <v>140.1</v>
      </c>
      <c r="F2340" s="4">
        <v>136.5</v>
      </c>
      <c r="G2340" s="4">
        <v>131.5</v>
      </c>
      <c r="H2340" s="1" t="s">
        <v>188</v>
      </c>
      <c r="K2340">
        <v>2015</v>
      </c>
      <c r="L2340" t="s">
        <v>31</v>
      </c>
      <c r="M2340" t="s">
        <v>82</v>
      </c>
      <c r="N2340" t="s">
        <v>12</v>
      </c>
      <c r="O2340" t="s">
        <v>188</v>
      </c>
      <c r="P2340" s="1" t="s">
        <v>34</v>
      </c>
      <c r="Q2340">
        <v>120.3</v>
      </c>
    </row>
    <row r="2341" spans="1:17" x14ac:dyDescent="0.3">
      <c r="A2341">
        <v>2020</v>
      </c>
      <c r="B2341" t="s">
        <v>35</v>
      </c>
      <c r="C2341" t="s">
        <v>49</v>
      </c>
      <c r="D2341" s="1" t="s">
        <v>7</v>
      </c>
      <c r="E2341" s="4">
        <v>133.69999999999999</v>
      </c>
      <c r="F2341" s="4">
        <v>131.4</v>
      </c>
      <c r="G2341" s="4">
        <v>127.4</v>
      </c>
      <c r="H2341" s="1" t="s">
        <v>188</v>
      </c>
      <c r="K2341">
        <v>2015</v>
      </c>
      <c r="L2341" t="s">
        <v>31</v>
      </c>
      <c r="M2341" t="s">
        <v>82</v>
      </c>
      <c r="N2341" t="s">
        <v>12</v>
      </c>
      <c r="O2341" t="s">
        <v>188</v>
      </c>
      <c r="P2341" s="1" t="s">
        <v>33</v>
      </c>
      <c r="Q2341">
        <v>126.6</v>
      </c>
    </row>
    <row r="2342" spans="1:17" x14ac:dyDescent="0.3">
      <c r="A2342">
        <v>2020</v>
      </c>
      <c r="B2342" t="s">
        <v>35</v>
      </c>
      <c r="C2342" t="s">
        <v>49</v>
      </c>
      <c r="D2342" s="1" t="s">
        <v>16</v>
      </c>
      <c r="E2342" s="4">
        <v>169.4</v>
      </c>
      <c r="F2342" s="4">
        <v>170.1</v>
      </c>
      <c r="G2342" s="4">
        <v>172</v>
      </c>
      <c r="H2342" s="1" t="s">
        <v>192</v>
      </c>
      <c r="K2342">
        <v>2015</v>
      </c>
      <c r="L2342" t="s">
        <v>31</v>
      </c>
      <c r="M2342" t="s">
        <v>82</v>
      </c>
      <c r="N2342" t="s">
        <v>11</v>
      </c>
      <c r="O2342" t="s">
        <v>188</v>
      </c>
      <c r="P2342" s="1" t="s">
        <v>30</v>
      </c>
      <c r="Q2342">
        <v>100.5</v>
      </c>
    </row>
    <row r="2343" spans="1:17" x14ac:dyDescent="0.3">
      <c r="A2343">
        <v>2020</v>
      </c>
      <c r="B2343" t="s">
        <v>35</v>
      </c>
      <c r="C2343" t="s">
        <v>49</v>
      </c>
      <c r="D2343" s="1" t="s">
        <v>27</v>
      </c>
      <c r="E2343" s="4">
        <v>143.4</v>
      </c>
      <c r="F2343" s="4">
        <v>143.4</v>
      </c>
      <c r="G2343" s="4">
        <v>143.5</v>
      </c>
      <c r="H2343" s="1" t="s">
        <v>192</v>
      </c>
      <c r="K2343">
        <v>2015</v>
      </c>
      <c r="L2343" t="s">
        <v>31</v>
      </c>
      <c r="M2343" t="s">
        <v>82</v>
      </c>
      <c r="N2343" t="s">
        <v>11</v>
      </c>
      <c r="O2343" t="s">
        <v>188</v>
      </c>
      <c r="P2343" s="1" t="s">
        <v>34</v>
      </c>
      <c r="Q2343">
        <v>99</v>
      </c>
    </row>
    <row r="2344" spans="1:17" x14ac:dyDescent="0.3">
      <c r="A2344">
        <v>2020</v>
      </c>
      <c r="B2344" t="s">
        <v>35</v>
      </c>
      <c r="C2344" t="s">
        <v>49</v>
      </c>
      <c r="D2344" s="1" t="s">
        <v>14</v>
      </c>
      <c r="E2344" s="4">
        <v>159.19999999999999</v>
      </c>
      <c r="F2344" s="4">
        <v>159.1</v>
      </c>
      <c r="G2344" s="4">
        <v>159</v>
      </c>
      <c r="H2344" s="1" t="s">
        <v>188</v>
      </c>
      <c r="K2344">
        <v>2015</v>
      </c>
      <c r="L2344" t="s">
        <v>31</v>
      </c>
      <c r="M2344" t="s">
        <v>82</v>
      </c>
      <c r="N2344" t="s">
        <v>11</v>
      </c>
      <c r="O2344" t="s">
        <v>188</v>
      </c>
      <c r="P2344" s="1" t="s">
        <v>33</v>
      </c>
      <c r="Q2344">
        <v>96.1</v>
      </c>
    </row>
    <row r="2345" spans="1:17" x14ac:dyDescent="0.3">
      <c r="A2345">
        <v>2020</v>
      </c>
      <c r="B2345" t="s">
        <v>35</v>
      </c>
      <c r="C2345" t="s">
        <v>49</v>
      </c>
      <c r="D2345" s="1" t="s">
        <v>10</v>
      </c>
      <c r="E2345" s="4">
        <v>141.80000000000001</v>
      </c>
      <c r="F2345" s="4">
        <v>141.1</v>
      </c>
      <c r="G2345" s="4">
        <v>139.6</v>
      </c>
      <c r="H2345" s="1" t="s">
        <v>188</v>
      </c>
      <c r="K2345">
        <v>2015</v>
      </c>
      <c r="L2345" t="s">
        <v>31</v>
      </c>
      <c r="M2345" t="s">
        <v>82</v>
      </c>
      <c r="N2345" t="s">
        <v>24</v>
      </c>
      <c r="O2345" t="s">
        <v>191</v>
      </c>
      <c r="P2345" s="1" t="s">
        <v>30</v>
      </c>
      <c r="Q2345">
        <v>111</v>
      </c>
    </row>
    <row r="2346" spans="1:17" x14ac:dyDescent="0.3">
      <c r="A2346">
        <v>2020</v>
      </c>
      <c r="B2346" t="s">
        <v>35</v>
      </c>
      <c r="C2346" t="s">
        <v>49</v>
      </c>
      <c r="D2346" s="1" t="s">
        <v>25</v>
      </c>
      <c r="E2346" s="4">
        <v>150.4</v>
      </c>
      <c r="F2346" s="4">
        <v>143.19999999999999</v>
      </c>
      <c r="G2346" s="4">
        <v>137.69999999999999</v>
      </c>
      <c r="H2346" s="1" t="s">
        <v>195</v>
      </c>
      <c r="K2346">
        <v>2015</v>
      </c>
      <c r="L2346" t="s">
        <v>31</v>
      </c>
      <c r="M2346" t="s">
        <v>82</v>
      </c>
      <c r="N2346" t="s">
        <v>24</v>
      </c>
      <c r="O2346" t="s">
        <v>191</v>
      </c>
      <c r="P2346" s="1" t="s">
        <v>34</v>
      </c>
      <c r="Q2346">
        <v>109.4</v>
      </c>
    </row>
    <row r="2347" spans="1:17" x14ac:dyDescent="0.3">
      <c r="A2347">
        <v>2020</v>
      </c>
      <c r="B2347" t="s">
        <v>35</v>
      </c>
      <c r="C2347" t="s">
        <v>49</v>
      </c>
      <c r="D2347" s="1" t="s">
        <v>12</v>
      </c>
      <c r="E2347" s="4">
        <v>152.80000000000001</v>
      </c>
      <c r="F2347" s="4">
        <v>152</v>
      </c>
      <c r="G2347" s="4">
        <v>150.4</v>
      </c>
      <c r="H2347" s="1" t="s">
        <v>188</v>
      </c>
      <c r="K2347">
        <v>2015</v>
      </c>
      <c r="L2347" t="s">
        <v>31</v>
      </c>
      <c r="M2347" t="s">
        <v>82</v>
      </c>
      <c r="N2347" t="s">
        <v>24</v>
      </c>
      <c r="O2347" t="s">
        <v>191</v>
      </c>
      <c r="P2347" s="1" t="s">
        <v>33</v>
      </c>
      <c r="Q2347">
        <v>107.9</v>
      </c>
    </row>
    <row r="2348" spans="1:17" x14ac:dyDescent="0.3">
      <c r="A2348">
        <v>2020</v>
      </c>
      <c r="B2348" t="s">
        <v>35</v>
      </c>
      <c r="C2348" t="s">
        <v>49</v>
      </c>
      <c r="D2348" s="1" t="s">
        <v>11</v>
      </c>
      <c r="E2348" s="4">
        <v>113.1</v>
      </c>
      <c r="F2348" s="4">
        <v>113.6</v>
      </c>
      <c r="G2348" s="4">
        <v>114.6</v>
      </c>
      <c r="H2348" s="1" t="s">
        <v>188</v>
      </c>
      <c r="K2348">
        <v>2015</v>
      </c>
      <c r="L2348" t="s">
        <v>31</v>
      </c>
      <c r="M2348" t="s">
        <v>82</v>
      </c>
      <c r="N2348" t="s">
        <v>9</v>
      </c>
      <c r="O2348" t="s">
        <v>188</v>
      </c>
      <c r="P2348" s="1" t="s">
        <v>30</v>
      </c>
      <c r="Q2348">
        <v>132.30000000000001</v>
      </c>
    </row>
    <row r="2349" spans="1:17" x14ac:dyDescent="0.3">
      <c r="A2349">
        <v>2020</v>
      </c>
      <c r="B2349" t="s">
        <v>35</v>
      </c>
      <c r="C2349" t="s">
        <v>49</v>
      </c>
      <c r="D2349" s="1" t="s">
        <v>24</v>
      </c>
      <c r="E2349" s="4">
        <v>136</v>
      </c>
      <c r="F2349" s="4">
        <v>130.30000000000001</v>
      </c>
      <c r="G2349" s="4">
        <v>125.2</v>
      </c>
      <c r="H2349" s="1" t="s">
        <v>191</v>
      </c>
      <c r="K2349">
        <v>2015</v>
      </c>
      <c r="L2349" t="s">
        <v>31</v>
      </c>
      <c r="M2349" t="s">
        <v>82</v>
      </c>
      <c r="N2349" t="s">
        <v>9</v>
      </c>
      <c r="O2349" t="s">
        <v>188</v>
      </c>
      <c r="P2349" s="1" t="s">
        <v>34</v>
      </c>
      <c r="Q2349">
        <v>133</v>
      </c>
    </row>
    <row r="2350" spans="1:17" x14ac:dyDescent="0.3">
      <c r="A2350">
        <v>2020</v>
      </c>
      <c r="B2350" t="s">
        <v>35</v>
      </c>
      <c r="C2350" t="s">
        <v>49</v>
      </c>
      <c r="D2350" s="1" t="s">
        <v>9</v>
      </c>
      <c r="E2350" s="4">
        <v>165.1</v>
      </c>
      <c r="F2350" s="4">
        <v>170.7</v>
      </c>
      <c r="G2350" s="4">
        <v>181.7</v>
      </c>
      <c r="H2350" s="1" t="s">
        <v>188</v>
      </c>
      <c r="K2350">
        <v>2015</v>
      </c>
      <c r="L2350" t="s">
        <v>31</v>
      </c>
      <c r="M2350" t="s">
        <v>82</v>
      </c>
      <c r="N2350" t="s">
        <v>9</v>
      </c>
      <c r="O2350" t="s">
        <v>188</v>
      </c>
      <c r="P2350" s="1" t="s">
        <v>33</v>
      </c>
      <c r="Q2350">
        <v>134.4</v>
      </c>
    </row>
    <row r="2351" spans="1:17" x14ac:dyDescent="0.3">
      <c r="A2351">
        <v>2020</v>
      </c>
      <c r="B2351" t="s">
        <v>31</v>
      </c>
      <c r="C2351" t="s">
        <v>48</v>
      </c>
      <c r="D2351" s="1" t="s">
        <v>3</v>
      </c>
      <c r="E2351" s="4">
        <v>143.69999999999999</v>
      </c>
      <c r="F2351" s="4">
        <v>144.30000000000001</v>
      </c>
      <c r="G2351" s="4">
        <v>145.6</v>
      </c>
      <c r="H2351" s="1" t="s">
        <v>188</v>
      </c>
      <c r="K2351">
        <v>2015</v>
      </c>
      <c r="L2351" t="s">
        <v>40</v>
      </c>
      <c r="M2351" t="s">
        <v>83</v>
      </c>
      <c r="N2351" t="s">
        <v>3</v>
      </c>
      <c r="O2351" t="s">
        <v>188</v>
      </c>
      <c r="P2351" s="1" t="s">
        <v>30</v>
      </c>
      <c r="Q2351">
        <v>124</v>
      </c>
    </row>
    <row r="2352" spans="1:17" x14ac:dyDescent="0.3">
      <c r="A2352">
        <v>2020</v>
      </c>
      <c r="B2352" t="s">
        <v>31</v>
      </c>
      <c r="C2352" t="s">
        <v>48</v>
      </c>
      <c r="D2352" s="1" t="s">
        <v>17</v>
      </c>
      <c r="E2352" s="4">
        <v>152.80000000000001</v>
      </c>
      <c r="F2352" s="4">
        <v>150.5</v>
      </c>
      <c r="G2352" s="4">
        <v>147</v>
      </c>
      <c r="H2352" s="1" t="s">
        <v>189</v>
      </c>
      <c r="K2352">
        <v>2015</v>
      </c>
      <c r="L2352" t="s">
        <v>40</v>
      </c>
      <c r="M2352" t="s">
        <v>83</v>
      </c>
      <c r="N2352" t="s">
        <v>3</v>
      </c>
      <c r="O2352" t="s">
        <v>188</v>
      </c>
      <c r="P2352" s="1" t="s">
        <v>34</v>
      </c>
      <c r="Q2352">
        <v>123.7</v>
      </c>
    </row>
    <row r="2353" spans="1:17" x14ac:dyDescent="0.3">
      <c r="A2353">
        <v>2020</v>
      </c>
      <c r="B2353" t="s">
        <v>31</v>
      </c>
      <c r="C2353" t="s">
        <v>48</v>
      </c>
      <c r="D2353" s="1" t="s">
        <v>19</v>
      </c>
      <c r="E2353" s="4">
        <v>152.1</v>
      </c>
      <c r="F2353" s="4">
        <v>149.19999999999999</v>
      </c>
      <c r="G2353" s="4">
        <v>144.9</v>
      </c>
      <c r="H2353" s="1" t="s">
        <v>189</v>
      </c>
      <c r="K2353">
        <v>2015</v>
      </c>
      <c r="L2353" t="s">
        <v>40</v>
      </c>
      <c r="M2353" t="s">
        <v>83</v>
      </c>
      <c r="N2353" t="s">
        <v>3</v>
      </c>
      <c r="O2353" t="s">
        <v>188</v>
      </c>
      <c r="P2353" s="1" t="s">
        <v>33</v>
      </c>
      <c r="Q2353">
        <v>123.2</v>
      </c>
    </row>
    <row r="2354" spans="1:17" x14ac:dyDescent="0.3">
      <c r="A2354">
        <v>2020</v>
      </c>
      <c r="B2354" t="s">
        <v>31</v>
      </c>
      <c r="C2354" t="s">
        <v>48</v>
      </c>
      <c r="D2354" s="1" t="s">
        <v>26</v>
      </c>
      <c r="E2354" s="4">
        <v>161.69999999999999</v>
      </c>
      <c r="F2354" s="4">
        <v>156.1</v>
      </c>
      <c r="G2354" s="4">
        <v>152.1</v>
      </c>
      <c r="H2354" s="1" t="s">
        <v>26</v>
      </c>
      <c r="K2354">
        <v>2015</v>
      </c>
      <c r="L2354" t="s">
        <v>40</v>
      </c>
      <c r="M2354" t="s">
        <v>83</v>
      </c>
      <c r="N2354" t="s">
        <v>17</v>
      </c>
      <c r="O2354" t="s">
        <v>189</v>
      </c>
      <c r="P2354" s="1" t="s">
        <v>30</v>
      </c>
      <c r="Q2354">
        <v>128.80000000000001</v>
      </c>
    </row>
    <row r="2355" spans="1:17" x14ac:dyDescent="0.3">
      <c r="A2355">
        <v>2020</v>
      </c>
      <c r="B2355" t="s">
        <v>31</v>
      </c>
      <c r="C2355" t="s">
        <v>48</v>
      </c>
      <c r="D2355" s="1" t="s">
        <v>5</v>
      </c>
      <c r="E2355" s="4">
        <v>153.5</v>
      </c>
      <c r="F2355" s="4">
        <v>154.9</v>
      </c>
      <c r="G2355" s="4">
        <v>157</v>
      </c>
      <c r="H2355" s="1" t="s">
        <v>188</v>
      </c>
      <c r="K2355">
        <v>2015</v>
      </c>
      <c r="L2355" t="s">
        <v>40</v>
      </c>
      <c r="M2355" t="s">
        <v>83</v>
      </c>
      <c r="N2355" t="s">
        <v>17</v>
      </c>
      <c r="O2355" t="s">
        <v>189</v>
      </c>
      <c r="P2355" s="1" t="s">
        <v>34</v>
      </c>
      <c r="Q2355">
        <v>126.7</v>
      </c>
    </row>
    <row r="2356" spans="1:17" x14ac:dyDescent="0.3">
      <c r="A2356">
        <v>2020</v>
      </c>
      <c r="B2356" t="s">
        <v>31</v>
      </c>
      <c r="C2356" t="s">
        <v>48</v>
      </c>
      <c r="D2356" s="1" t="s">
        <v>15</v>
      </c>
      <c r="E2356" s="4">
        <v>153</v>
      </c>
      <c r="F2356" s="4">
        <v>153.5</v>
      </c>
      <c r="G2356" s="4">
        <v>154.4</v>
      </c>
      <c r="H2356" s="1" t="s">
        <v>188</v>
      </c>
      <c r="K2356">
        <v>2015</v>
      </c>
      <c r="L2356" t="s">
        <v>40</v>
      </c>
      <c r="M2356" t="s">
        <v>83</v>
      </c>
      <c r="N2356" t="s">
        <v>17</v>
      </c>
      <c r="O2356" t="s">
        <v>189</v>
      </c>
      <c r="P2356" s="1" t="s">
        <v>33</v>
      </c>
      <c r="Q2356">
        <v>123.5</v>
      </c>
    </row>
    <row r="2357" spans="1:17" x14ac:dyDescent="0.3">
      <c r="A2357">
        <v>2020</v>
      </c>
      <c r="B2357" t="s">
        <v>31</v>
      </c>
      <c r="C2357" t="s">
        <v>48</v>
      </c>
      <c r="D2357" s="1" t="s">
        <v>18</v>
      </c>
      <c r="E2357" s="4">
        <v>147.4</v>
      </c>
      <c r="F2357" s="4">
        <v>141.5</v>
      </c>
      <c r="G2357" s="4">
        <v>133.19999999999999</v>
      </c>
      <c r="H2357" s="1" t="s">
        <v>189</v>
      </c>
      <c r="K2357">
        <v>2015</v>
      </c>
      <c r="L2357" t="s">
        <v>40</v>
      </c>
      <c r="M2357" t="s">
        <v>83</v>
      </c>
      <c r="N2357" t="s">
        <v>19</v>
      </c>
      <c r="O2357" t="s">
        <v>189</v>
      </c>
      <c r="P2357" s="1" t="s">
        <v>30</v>
      </c>
      <c r="Q2357">
        <v>128.30000000000001</v>
      </c>
    </row>
    <row r="2358" spans="1:17" x14ac:dyDescent="0.3">
      <c r="A2358">
        <v>2020</v>
      </c>
      <c r="B2358" t="s">
        <v>31</v>
      </c>
      <c r="C2358" t="s">
        <v>48</v>
      </c>
      <c r="D2358" s="1" t="s">
        <v>8</v>
      </c>
      <c r="E2358" s="4">
        <v>142.19999999999999</v>
      </c>
      <c r="F2358" s="4">
        <v>143.19999999999999</v>
      </c>
      <c r="G2358" s="4">
        <v>144.4</v>
      </c>
      <c r="H2358" s="1" t="s">
        <v>188</v>
      </c>
      <c r="K2358">
        <v>2015</v>
      </c>
      <c r="L2358" t="s">
        <v>40</v>
      </c>
      <c r="M2358" t="s">
        <v>83</v>
      </c>
      <c r="N2358" t="s">
        <v>19</v>
      </c>
      <c r="O2358" t="s">
        <v>189</v>
      </c>
      <c r="P2358" s="1" t="s">
        <v>34</v>
      </c>
      <c r="Q2358">
        <v>126.1</v>
      </c>
    </row>
    <row r="2359" spans="1:17" x14ac:dyDescent="0.3">
      <c r="A2359">
        <v>2020</v>
      </c>
      <c r="B2359" t="s">
        <v>31</v>
      </c>
      <c r="C2359" t="s">
        <v>48</v>
      </c>
      <c r="D2359" s="1" t="s">
        <v>21</v>
      </c>
      <c r="E2359" s="4">
        <v>150.4</v>
      </c>
      <c r="F2359" s="4">
        <v>144.6</v>
      </c>
      <c r="G2359" s="4">
        <v>135.1</v>
      </c>
      <c r="H2359" s="1" t="s">
        <v>190</v>
      </c>
      <c r="K2359">
        <v>2015</v>
      </c>
      <c r="L2359" t="s">
        <v>40</v>
      </c>
      <c r="M2359" t="s">
        <v>83</v>
      </c>
      <c r="N2359" t="s">
        <v>19</v>
      </c>
      <c r="O2359" t="s">
        <v>189</v>
      </c>
      <c r="P2359" s="1" t="s">
        <v>33</v>
      </c>
      <c r="Q2359">
        <v>122.7</v>
      </c>
    </row>
    <row r="2360" spans="1:17" x14ac:dyDescent="0.3">
      <c r="A2360">
        <v>2020</v>
      </c>
      <c r="B2360" t="s">
        <v>31</v>
      </c>
      <c r="C2360" t="s">
        <v>48</v>
      </c>
      <c r="D2360" s="1" t="s">
        <v>29</v>
      </c>
      <c r="E2360" s="4">
        <v>151.9</v>
      </c>
      <c r="F2360" s="4">
        <v>150.19999999999999</v>
      </c>
      <c r="G2360" s="4">
        <v>148.19999999999999</v>
      </c>
      <c r="H2360" s="1" t="s">
        <v>206</v>
      </c>
      <c r="K2360">
        <v>2015</v>
      </c>
      <c r="L2360" t="s">
        <v>40</v>
      </c>
      <c r="M2360" t="s">
        <v>83</v>
      </c>
      <c r="N2360" t="s">
        <v>26</v>
      </c>
      <c r="O2360" t="s">
        <v>26</v>
      </c>
      <c r="P2360" s="1" t="s">
        <v>30</v>
      </c>
      <c r="Q2360">
        <v>122.9</v>
      </c>
    </row>
    <row r="2361" spans="1:17" x14ac:dyDescent="0.3">
      <c r="A2361">
        <v>2020</v>
      </c>
      <c r="B2361" t="s">
        <v>31</v>
      </c>
      <c r="C2361" t="s">
        <v>48</v>
      </c>
      <c r="D2361" s="1" t="s">
        <v>23</v>
      </c>
      <c r="E2361" s="4">
        <v>155.69999999999999</v>
      </c>
      <c r="F2361" s="4">
        <v>151.19999999999999</v>
      </c>
      <c r="G2361" s="4">
        <v>143.80000000000001</v>
      </c>
      <c r="H2361" s="1" t="s">
        <v>23</v>
      </c>
      <c r="K2361">
        <v>2015</v>
      </c>
      <c r="L2361" t="s">
        <v>40</v>
      </c>
      <c r="M2361" t="s">
        <v>83</v>
      </c>
      <c r="N2361" t="s">
        <v>26</v>
      </c>
      <c r="O2361" t="s">
        <v>26</v>
      </c>
      <c r="P2361" s="1" t="s">
        <v>34</v>
      </c>
      <c r="Q2361">
        <v>124.4</v>
      </c>
    </row>
    <row r="2362" spans="1:17" x14ac:dyDescent="0.3">
      <c r="A2362">
        <v>2020</v>
      </c>
      <c r="B2362" t="s">
        <v>31</v>
      </c>
      <c r="C2362" t="s">
        <v>48</v>
      </c>
      <c r="D2362" s="1" t="s">
        <v>22</v>
      </c>
      <c r="E2362" s="4">
        <v>151.69999999999999</v>
      </c>
      <c r="F2362" s="4">
        <v>146.19999999999999</v>
      </c>
      <c r="G2362" s="4">
        <v>140.1</v>
      </c>
      <c r="H2362" s="1" t="s">
        <v>20</v>
      </c>
      <c r="K2362">
        <v>2015</v>
      </c>
      <c r="L2362" t="s">
        <v>40</v>
      </c>
      <c r="M2362" t="s">
        <v>83</v>
      </c>
      <c r="N2362" t="s">
        <v>26</v>
      </c>
      <c r="O2362" t="s">
        <v>26</v>
      </c>
      <c r="P2362" s="1" t="s">
        <v>33</v>
      </c>
      <c r="Q2362">
        <v>125.4</v>
      </c>
    </row>
    <row r="2363" spans="1:17" x14ac:dyDescent="0.3">
      <c r="A2363">
        <v>2020</v>
      </c>
      <c r="B2363" t="s">
        <v>31</v>
      </c>
      <c r="C2363" t="s">
        <v>48</v>
      </c>
      <c r="D2363" s="1" t="s">
        <v>20</v>
      </c>
      <c r="E2363" s="4">
        <v>0</v>
      </c>
      <c r="F2363" s="4">
        <v>153.9</v>
      </c>
      <c r="G2363" s="4">
        <v>153.9</v>
      </c>
      <c r="H2363" s="1" t="s">
        <v>20</v>
      </c>
      <c r="K2363">
        <v>2015</v>
      </c>
      <c r="L2363" t="s">
        <v>40</v>
      </c>
      <c r="M2363" t="s">
        <v>83</v>
      </c>
      <c r="N2363" t="s">
        <v>5</v>
      </c>
      <c r="O2363" t="s">
        <v>188</v>
      </c>
      <c r="P2363" s="1" t="s">
        <v>30</v>
      </c>
      <c r="Q2363">
        <v>122</v>
      </c>
    </row>
    <row r="2364" spans="1:17" x14ac:dyDescent="0.3">
      <c r="A2364">
        <v>2020</v>
      </c>
      <c r="B2364" t="s">
        <v>31</v>
      </c>
      <c r="C2364" t="s">
        <v>48</v>
      </c>
      <c r="D2364" s="1" t="s">
        <v>4</v>
      </c>
      <c r="E2364" s="4">
        <v>167.3</v>
      </c>
      <c r="F2364" s="4">
        <v>167.4</v>
      </c>
      <c r="G2364" s="4">
        <v>167.6</v>
      </c>
      <c r="H2364" s="1" t="s">
        <v>188</v>
      </c>
      <c r="K2364">
        <v>2015</v>
      </c>
      <c r="L2364" t="s">
        <v>40</v>
      </c>
      <c r="M2364" t="s">
        <v>83</v>
      </c>
      <c r="N2364" t="s">
        <v>5</v>
      </c>
      <c r="O2364" t="s">
        <v>188</v>
      </c>
      <c r="P2364" s="1" t="s">
        <v>34</v>
      </c>
      <c r="Q2364">
        <v>121</v>
      </c>
    </row>
    <row r="2365" spans="1:17" x14ac:dyDescent="0.3">
      <c r="A2365">
        <v>2020</v>
      </c>
      <c r="B2365" t="s">
        <v>31</v>
      </c>
      <c r="C2365" t="s">
        <v>48</v>
      </c>
      <c r="D2365" s="1" t="s">
        <v>6</v>
      </c>
      <c r="E2365" s="4">
        <v>150.5</v>
      </c>
      <c r="F2365" s="4">
        <v>150.1</v>
      </c>
      <c r="G2365" s="4">
        <v>149.30000000000001</v>
      </c>
      <c r="H2365" s="1" t="s">
        <v>188</v>
      </c>
      <c r="K2365">
        <v>2015</v>
      </c>
      <c r="L2365" t="s">
        <v>40</v>
      </c>
      <c r="M2365" t="s">
        <v>83</v>
      </c>
      <c r="N2365" t="s">
        <v>5</v>
      </c>
      <c r="O2365" t="s">
        <v>188</v>
      </c>
      <c r="P2365" s="1" t="s">
        <v>33</v>
      </c>
      <c r="Q2365">
        <v>119.5</v>
      </c>
    </row>
    <row r="2366" spans="1:17" x14ac:dyDescent="0.3">
      <c r="A2366">
        <v>2020</v>
      </c>
      <c r="B2366" t="s">
        <v>31</v>
      </c>
      <c r="C2366" t="s">
        <v>48</v>
      </c>
      <c r="D2366" s="1" t="s">
        <v>28</v>
      </c>
      <c r="E2366" s="4">
        <v>148.1</v>
      </c>
      <c r="F2366" s="4">
        <v>143.4</v>
      </c>
      <c r="G2366" s="4">
        <v>138.4</v>
      </c>
      <c r="H2366" s="1" t="s">
        <v>192</v>
      </c>
      <c r="K2366">
        <v>2015</v>
      </c>
      <c r="L2366" t="s">
        <v>40</v>
      </c>
      <c r="M2366" t="s">
        <v>83</v>
      </c>
      <c r="N2366" t="s">
        <v>15</v>
      </c>
      <c r="O2366" t="s">
        <v>188</v>
      </c>
      <c r="P2366" s="1" t="s">
        <v>30</v>
      </c>
      <c r="Q2366">
        <v>127.5</v>
      </c>
    </row>
    <row r="2367" spans="1:17" x14ac:dyDescent="0.3">
      <c r="A2367">
        <v>2020</v>
      </c>
      <c r="B2367" t="s">
        <v>31</v>
      </c>
      <c r="C2367" t="s">
        <v>48</v>
      </c>
      <c r="D2367" s="1" t="s">
        <v>13</v>
      </c>
      <c r="E2367" s="4">
        <v>139.69999999999999</v>
      </c>
      <c r="F2367" s="4">
        <v>136.1</v>
      </c>
      <c r="G2367" s="4">
        <v>131.1</v>
      </c>
      <c r="H2367" s="1" t="s">
        <v>188</v>
      </c>
      <c r="K2367">
        <v>2015</v>
      </c>
      <c r="L2367" t="s">
        <v>40</v>
      </c>
      <c r="M2367" t="s">
        <v>83</v>
      </c>
      <c r="N2367" t="s">
        <v>15</v>
      </c>
      <c r="O2367" t="s">
        <v>188</v>
      </c>
      <c r="P2367" s="1" t="s">
        <v>34</v>
      </c>
      <c r="Q2367">
        <v>128.19999999999999</v>
      </c>
    </row>
    <row r="2368" spans="1:17" x14ac:dyDescent="0.3">
      <c r="A2368">
        <v>2020</v>
      </c>
      <c r="B2368" t="s">
        <v>31</v>
      </c>
      <c r="C2368" t="s">
        <v>48</v>
      </c>
      <c r="D2368" s="1" t="s">
        <v>7</v>
      </c>
      <c r="E2368" s="4">
        <v>132</v>
      </c>
      <c r="F2368" s="4">
        <v>129.9</v>
      </c>
      <c r="G2368" s="4">
        <v>126.3</v>
      </c>
      <c r="H2368" s="1" t="s">
        <v>188</v>
      </c>
      <c r="K2368">
        <v>2015</v>
      </c>
      <c r="L2368" t="s">
        <v>40</v>
      </c>
      <c r="M2368" t="s">
        <v>83</v>
      </c>
      <c r="N2368" t="s">
        <v>15</v>
      </c>
      <c r="O2368" t="s">
        <v>188</v>
      </c>
      <c r="P2368" s="1" t="s">
        <v>33</v>
      </c>
      <c r="Q2368">
        <v>129.5</v>
      </c>
    </row>
    <row r="2369" spans="1:17" x14ac:dyDescent="0.3">
      <c r="A2369">
        <v>2020</v>
      </c>
      <c r="B2369" t="s">
        <v>31</v>
      </c>
      <c r="C2369" t="s">
        <v>48</v>
      </c>
      <c r="D2369" s="1" t="s">
        <v>16</v>
      </c>
      <c r="E2369" s="4">
        <v>168.6</v>
      </c>
      <c r="F2369" s="4">
        <v>169.2</v>
      </c>
      <c r="G2369" s="4">
        <v>170.8</v>
      </c>
      <c r="H2369" s="1" t="s">
        <v>192</v>
      </c>
      <c r="K2369">
        <v>2015</v>
      </c>
      <c r="L2369" t="s">
        <v>40</v>
      </c>
      <c r="M2369" t="s">
        <v>83</v>
      </c>
      <c r="N2369" t="s">
        <v>18</v>
      </c>
      <c r="O2369" t="s">
        <v>189</v>
      </c>
      <c r="P2369" s="1" t="s">
        <v>30</v>
      </c>
      <c r="Q2369">
        <v>125.5</v>
      </c>
    </row>
    <row r="2370" spans="1:17" x14ac:dyDescent="0.3">
      <c r="A2370">
        <v>2020</v>
      </c>
      <c r="B2370" t="s">
        <v>31</v>
      </c>
      <c r="C2370" t="s">
        <v>48</v>
      </c>
      <c r="D2370" s="1" t="s">
        <v>27</v>
      </c>
      <c r="E2370" s="4">
        <v>142.5</v>
      </c>
      <c r="F2370" s="4">
        <v>142.30000000000001</v>
      </c>
      <c r="G2370" s="4">
        <v>142.1</v>
      </c>
      <c r="H2370" s="1" t="s">
        <v>192</v>
      </c>
      <c r="K2370">
        <v>2015</v>
      </c>
      <c r="L2370" t="s">
        <v>40</v>
      </c>
      <c r="M2370" t="s">
        <v>83</v>
      </c>
      <c r="N2370" t="s">
        <v>18</v>
      </c>
      <c r="O2370" t="s">
        <v>189</v>
      </c>
      <c r="P2370" s="1" t="s">
        <v>34</v>
      </c>
      <c r="Q2370">
        <v>122.3</v>
      </c>
    </row>
    <row r="2371" spans="1:17" x14ac:dyDescent="0.3">
      <c r="A2371">
        <v>2020</v>
      </c>
      <c r="B2371" t="s">
        <v>31</v>
      </c>
      <c r="C2371" t="s">
        <v>48</v>
      </c>
      <c r="D2371" s="1" t="s">
        <v>14</v>
      </c>
      <c r="E2371" s="4">
        <v>158.69999999999999</v>
      </c>
      <c r="F2371" s="4">
        <v>158.6</v>
      </c>
      <c r="G2371" s="4">
        <v>158.5</v>
      </c>
      <c r="H2371" s="1" t="s">
        <v>188</v>
      </c>
      <c r="K2371">
        <v>2015</v>
      </c>
      <c r="L2371" t="s">
        <v>40</v>
      </c>
      <c r="M2371" t="s">
        <v>83</v>
      </c>
      <c r="N2371" t="s">
        <v>18</v>
      </c>
      <c r="O2371" t="s">
        <v>189</v>
      </c>
      <c r="P2371" s="1" t="s">
        <v>33</v>
      </c>
      <c r="Q2371">
        <v>117.9</v>
      </c>
    </row>
    <row r="2372" spans="1:17" x14ac:dyDescent="0.3">
      <c r="A2372">
        <v>2020</v>
      </c>
      <c r="B2372" t="s">
        <v>31</v>
      </c>
      <c r="C2372" t="s">
        <v>48</v>
      </c>
      <c r="D2372" s="1" t="s">
        <v>10</v>
      </c>
      <c r="E2372" s="4">
        <v>141.1</v>
      </c>
      <c r="F2372" s="4">
        <v>140.4</v>
      </c>
      <c r="G2372" s="4">
        <v>139.1</v>
      </c>
      <c r="H2372" s="1" t="s">
        <v>188</v>
      </c>
      <c r="K2372">
        <v>2015</v>
      </c>
      <c r="L2372" t="s">
        <v>40</v>
      </c>
      <c r="M2372" t="s">
        <v>83</v>
      </c>
      <c r="N2372" t="s">
        <v>8</v>
      </c>
      <c r="O2372" t="s">
        <v>188</v>
      </c>
      <c r="P2372" s="1" t="s">
        <v>30</v>
      </c>
      <c r="Q2372">
        <v>133.30000000000001</v>
      </c>
    </row>
    <row r="2373" spans="1:17" x14ac:dyDescent="0.3">
      <c r="A2373">
        <v>2020</v>
      </c>
      <c r="B2373" t="s">
        <v>31</v>
      </c>
      <c r="C2373" t="s">
        <v>48</v>
      </c>
      <c r="D2373" s="1" t="s">
        <v>25</v>
      </c>
      <c r="E2373" s="4">
        <v>150.1</v>
      </c>
      <c r="F2373" s="4">
        <v>142.80000000000001</v>
      </c>
      <c r="G2373" s="4">
        <v>137.19999999999999</v>
      </c>
      <c r="H2373" s="1" t="s">
        <v>195</v>
      </c>
      <c r="K2373">
        <v>2015</v>
      </c>
      <c r="L2373" t="s">
        <v>40</v>
      </c>
      <c r="M2373" t="s">
        <v>83</v>
      </c>
      <c r="N2373" t="s">
        <v>8</v>
      </c>
      <c r="O2373" t="s">
        <v>188</v>
      </c>
      <c r="P2373" s="1" t="s">
        <v>34</v>
      </c>
      <c r="Q2373">
        <v>133.1</v>
      </c>
    </row>
    <row r="2374" spans="1:17" x14ac:dyDescent="0.3">
      <c r="A2374">
        <v>2020</v>
      </c>
      <c r="B2374" t="s">
        <v>31</v>
      </c>
      <c r="C2374" t="s">
        <v>48</v>
      </c>
      <c r="D2374" s="1" t="s">
        <v>12</v>
      </c>
      <c r="E2374" s="4">
        <v>151.6</v>
      </c>
      <c r="F2374" s="4">
        <v>150.9</v>
      </c>
      <c r="G2374" s="4">
        <v>149.5</v>
      </c>
      <c r="H2374" s="1" t="s">
        <v>188</v>
      </c>
      <c r="K2374">
        <v>2015</v>
      </c>
      <c r="L2374" t="s">
        <v>40</v>
      </c>
      <c r="M2374" t="s">
        <v>83</v>
      </c>
      <c r="N2374" t="s">
        <v>8</v>
      </c>
      <c r="O2374" t="s">
        <v>188</v>
      </c>
      <c r="P2374" s="1" t="s">
        <v>33</v>
      </c>
      <c r="Q2374">
        <v>132.80000000000001</v>
      </c>
    </row>
    <row r="2375" spans="1:17" x14ac:dyDescent="0.3">
      <c r="A2375">
        <v>2020</v>
      </c>
      <c r="B2375" t="s">
        <v>31</v>
      </c>
      <c r="C2375" t="s">
        <v>48</v>
      </c>
      <c r="D2375" s="1" t="s">
        <v>11</v>
      </c>
      <c r="E2375" s="4">
        <v>113.8</v>
      </c>
      <c r="F2375" s="4">
        <v>114.1</v>
      </c>
      <c r="G2375" s="4">
        <v>114.8</v>
      </c>
      <c r="H2375" s="1" t="s">
        <v>188</v>
      </c>
      <c r="K2375">
        <v>2015</v>
      </c>
      <c r="L2375" t="s">
        <v>40</v>
      </c>
      <c r="M2375" t="s">
        <v>83</v>
      </c>
      <c r="N2375" t="s">
        <v>21</v>
      </c>
      <c r="O2375" t="s">
        <v>190</v>
      </c>
      <c r="P2375" s="1" t="s">
        <v>30</v>
      </c>
      <c r="Q2375">
        <v>123</v>
      </c>
    </row>
    <row r="2376" spans="1:17" x14ac:dyDescent="0.3">
      <c r="A2376">
        <v>2020</v>
      </c>
      <c r="B2376" t="s">
        <v>31</v>
      </c>
      <c r="C2376" t="s">
        <v>48</v>
      </c>
      <c r="D2376" s="1" t="s">
        <v>24</v>
      </c>
      <c r="E2376" s="4">
        <v>136.30000000000001</v>
      </c>
      <c r="F2376" s="4">
        <v>130.9</v>
      </c>
      <c r="G2376" s="4">
        <v>126.1</v>
      </c>
      <c r="H2376" s="1" t="s">
        <v>191</v>
      </c>
      <c r="K2376">
        <v>2015</v>
      </c>
      <c r="L2376" t="s">
        <v>40</v>
      </c>
      <c r="M2376" t="s">
        <v>83</v>
      </c>
      <c r="N2376" t="s">
        <v>21</v>
      </c>
      <c r="O2376" t="s">
        <v>190</v>
      </c>
      <c r="P2376" s="1" t="s">
        <v>34</v>
      </c>
      <c r="Q2376">
        <v>120.1</v>
      </c>
    </row>
    <row r="2377" spans="1:17" x14ac:dyDescent="0.3">
      <c r="A2377">
        <v>2020</v>
      </c>
      <c r="B2377" t="s">
        <v>31</v>
      </c>
      <c r="C2377" t="s">
        <v>48</v>
      </c>
      <c r="D2377" s="1" t="s">
        <v>9</v>
      </c>
      <c r="E2377" s="4">
        <v>191.5</v>
      </c>
      <c r="F2377" s="4">
        <v>197</v>
      </c>
      <c r="G2377" s="4">
        <v>207.8</v>
      </c>
      <c r="H2377" s="1" t="s">
        <v>188</v>
      </c>
      <c r="K2377">
        <v>2015</v>
      </c>
      <c r="L2377" t="s">
        <v>40</v>
      </c>
      <c r="M2377" t="s">
        <v>83</v>
      </c>
      <c r="N2377" t="s">
        <v>21</v>
      </c>
      <c r="O2377" t="s">
        <v>190</v>
      </c>
      <c r="P2377" s="1" t="s">
        <v>33</v>
      </c>
      <c r="Q2377">
        <v>115.3</v>
      </c>
    </row>
    <row r="2378" spans="1:17" x14ac:dyDescent="0.3">
      <c r="A2378">
        <v>2020</v>
      </c>
      <c r="B2378" t="s">
        <v>40</v>
      </c>
      <c r="C2378" t="s">
        <v>139</v>
      </c>
      <c r="D2378" s="1" t="s">
        <v>3</v>
      </c>
      <c r="E2378" s="4">
        <v>148.19999999999999</v>
      </c>
      <c r="F2378" s="4">
        <v>149.6</v>
      </c>
      <c r="G2378" s="4">
        <v>152.69999999999999</v>
      </c>
      <c r="H2378" s="1" t="s">
        <v>188</v>
      </c>
      <c r="K2378">
        <v>2015</v>
      </c>
      <c r="L2378" t="s">
        <v>40</v>
      </c>
      <c r="M2378" t="s">
        <v>83</v>
      </c>
      <c r="N2378" t="s">
        <v>29</v>
      </c>
      <c r="O2378" t="s">
        <v>206</v>
      </c>
      <c r="P2378" s="1" t="s">
        <v>30</v>
      </c>
      <c r="Q2378">
        <v>124.7</v>
      </c>
    </row>
    <row r="2379" spans="1:17" x14ac:dyDescent="0.3">
      <c r="A2379">
        <v>2020</v>
      </c>
      <c r="B2379" t="s">
        <v>40</v>
      </c>
      <c r="C2379" t="s">
        <v>139</v>
      </c>
      <c r="D2379" s="1" t="s">
        <v>17</v>
      </c>
      <c r="E2379" s="4">
        <v>154.69999999999999</v>
      </c>
      <c r="F2379" s="4">
        <v>152.5</v>
      </c>
      <c r="G2379" s="4">
        <v>149.1</v>
      </c>
      <c r="H2379" s="1" t="s">
        <v>189</v>
      </c>
      <c r="K2379">
        <v>2015</v>
      </c>
      <c r="L2379" t="s">
        <v>40</v>
      </c>
      <c r="M2379" t="s">
        <v>83</v>
      </c>
      <c r="N2379" t="s">
        <v>29</v>
      </c>
      <c r="O2379" t="s">
        <v>206</v>
      </c>
      <c r="P2379" s="1" t="s">
        <v>34</v>
      </c>
      <c r="Q2379">
        <v>123.6</v>
      </c>
    </row>
    <row r="2380" spans="1:17" x14ac:dyDescent="0.3">
      <c r="A2380">
        <v>2020</v>
      </c>
      <c r="B2380" t="s">
        <v>40</v>
      </c>
      <c r="C2380" t="s">
        <v>139</v>
      </c>
      <c r="D2380" s="1" t="s">
        <v>19</v>
      </c>
      <c r="E2380" s="4">
        <v>154.1</v>
      </c>
      <c r="F2380" s="4">
        <v>151.4</v>
      </c>
      <c r="G2380" s="4">
        <v>147.19999999999999</v>
      </c>
      <c r="H2380" s="1" t="s">
        <v>189</v>
      </c>
      <c r="K2380">
        <v>2015</v>
      </c>
      <c r="L2380" t="s">
        <v>40</v>
      </c>
      <c r="M2380" t="s">
        <v>83</v>
      </c>
      <c r="N2380" t="s">
        <v>29</v>
      </c>
      <c r="O2380" t="s">
        <v>206</v>
      </c>
      <c r="P2380" s="1" t="s">
        <v>33</v>
      </c>
      <c r="Q2380">
        <v>122.4</v>
      </c>
    </row>
    <row r="2381" spans="1:17" x14ac:dyDescent="0.3">
      <c r="A2381">
        <v>2020</v>
      </c>
      <c r="B2381" t="s">
        <v>40</v>
      </c>
      <c r="C2381" t="s">
        <v>139</v>
      </c>
      <c r="D2381" s="1" t="s">
        <v>26</v>
      </c>
      <c r="E2381" s="4">
        <v>161.80000000000001</v>
      </c>
      <c r="F2381" s="4">
        <v>156.4</v>
      </c>
      <c r="G2381" s="4">
        <v>152.5</v>
      </c>
      <c r="H2381" s="1" t="s">
        <v>26</v>
      </c>
      <c r="K2381">
        <v>2015</v>
      </c>
      <c r="L2381" t="s">
        <v>40</v>
      </c>
      <c r="M2381" t="s">
        <v>83</v>
      </c>
      <c r="N2381" t="s">
        <v>23</v>
      </c>
      <c r="O2381" t="s">
        <v>23</v>
      </c>
      <c r="P2381" s="1" t="s">
        <v>30</v>
      </c>
      <c r="Q2381">
        <v>120.8</v>
      </c>
    </row>
    <row r="2382" spans="1:17" x14ac:dyDescent="0.3">
      <c r="A2382">
        <v>2020</v>
      </c>
      <c r="B2382" t="s">
        <v>40</v>
      </c>
      <c r="C2382" t="s">
        <v>139</v>
      </c>
      <c r="D2382" s="1" t="s">
        <v>5</v>
      </c>
      <c r="E2382" s="4">
        <v>149.4</v>
      </c>
      <c r="F2382" s="4">
        <v>151.4</v>
      </c>
      <c r="G2382" s="4">
        <v>154.6</v>
      </c>
      <c r="H2382" s="1" t="s">
        <v>188</v>
      </c>
      <c r="K2382">
        <v>2015</v>
      </c>
      <c r="L2382" t="s">
        <v>40</v>
      </c>
      <c r="M2382" t="s">
        <v>83</v>
      </c>
      <c r="N2382" t="s">
        <v>23</v>
      </c>
      <c r="O2382" t="s">
        <v>23</v>
      </c>
      <c r="P2382" s="1" t="s">
        <v>34</v>
      </c>
      <c r="Q2382">
        <v>119</v>
      </c>
    </row>
    <row r="2383" spans="1:17" x14ac:dyDescent="0.3">
      <c r="A2383">
        <v>2020</v>
      </c>
      <c r="B2383" t="s">
        <v>40</v>
      </c>
      <c r="C2383" t="s">
        <v>139</v>
      </c>
      <c r="D2383" s="1" t="s">
        <v>15</v>
      </c>
      <c r="E2383" s="4">
        <v>152.30000000000001</v>
      </c>
      <c r="F2383" s="4">
        <v>154</v>
      </c>
      <c r="G2383" s="4">
        <v>157</v>
      </c>
      <c r="H2383" s="1" t="s">
        <v>188</v>
      </c>
      <c r="K2383">
        <v>2015</v>
      </c>
      <c r="L2383" t="s">
        <v>40</v>
      </c>
      <c r="M2383" t="s">
        <v>83</v>
      </c>
      <c r="N2383" t="s">
        <v>23</v>
      </c>
      <c r="O2383" t="s">
        <v>23</v>
      </c>
      <c r="P2383" s="1" t="s">
        <v>33</v>
      </c>
      <c r="Q2383">
        <v>116</v>
      </c>
    </row>
    <row r="2384" spans="1:17" x14ac:dyDescent="0.3">
      <c r="A2384">
        <v>2020</v>
      </c>
      <c r="B2384" t="s">
        <v>40</v>
      </c>
      <c r="C2384" t="s">
        <v>139</v>
      </c>
      <c r="D2384" s="1" t="s">
        <v>18</v>
      </c>
      <c r="E2384" s="4">
        <v>150</v>
      </c>
      <c r="F2384" s="4">
        <v>144.4</v>
      </c>
      <c r="G2384" s="4">
        <v>136.6</v>
      </c>
      <c r="H2384" s="1" t="s">
        <v>189</v>
      </c>
      <c r="K2384">
        <v>2015</v>
      </c>
      <c r="L2384" t="s">
        <v>40</v>
      </c>
      <c r="M2384" t="s">
        <v>83</v>
      </c>
      <c r="N2384" t="s">
        <v>22</v>
      </c>
      <c r="O2384" t="s">
        <v>20</v>
      </c>
      <c r="P2384" s="1" t="s">
        <v>30</v>
      </c>
      <c r="Q2384">
        <v>123</v>
      </c>
    </row>
    <row r="2385" spans="1:17" x14ac:dyDescent="0.3">
      <c r="A2385">
        <v>2020</v>
      </c>
      <c r="B2385" t="s">
        <v>40</v>
      </c>
      <c r="C2385" t="s">
        <v>139</v>
      </c>
      <c r="D2385" s="1" t="s">
        <v>8</v>
      </c>
      <c r="E2385" s="4">
        <v>143.19999999999999</v>
      </c>
      <c r="F2385" s="4">
        <v>147.19999999999999</v>
      </c>
      <c r="G2385" s="4">
        <v>151.80000000000001</v>
      </c>
      <c r="H2385" s="1" t="s">
        <v>188</v>
      </c>
      <c r="K2385">
        <v>2015</v>
      </c>
      <c r="L2385" t="s">
        <v>40</v>
      </c>
      <c r="M2385" t="s">
        <v>83</v>
      </c>
      <c r="N2385" t="s">
        <v>22</v>
      </c>
      <c r="O2385" t="s">
        <v>20</v>
      </c>
      <c r="P2385" s="1" t="s">
        <v>34</v>
      </c>
      <c r="Q2385">
        <v>121.3</v>
      </c>
    </row>
    <row r="2386" spans="1:17" x14ac:dyDescent="0.3">
      <c r="A2386">
        <v>2020</v>
      </c>
      <c r="B2386" t="s">
        <v>40</v>
      </c>
      <c r="C2386" t="s">
        <v>139</v>
      </c>
      <c r="D2386" s="1" t="s">
        <v>21</v>
      </c>
      <c r="E2386" s="4">
        <v>144.9</v>
      </c>
      <c r="F2386" s="4">
        <v>141.9</v>
      </c>
      <c r="G2386" s="4">
        <v>137.1</v>
      </c>
      <c r="H2386" s="1" t="s">
        <v>190</v>
      </c>
      <c r="K2386">
        <v>2015</v>
      </c>
      <c r="L2386" t="s">
        <v>40</v>
      </c>
      <c r="M2386" t="s">
        <v>83</v>
      </c>
      <c r="N2386" t="s">
        <v>22</v>
      </c>
      <c r="O2386" t="s">
        <v>20</v>
      </c>
      <c r="P2386" s="1" t="s">
        <v>33</v>
      </c>
      <c r="Q2386">
        <v>119.5</v>
      </c>
    </row>
    <row r="2387" spans="1:17" x14ac:dyDescent="0.3">
      <c r="A2387">
        <v>2020</v>
      </c>
      <c r="B2387" t="s">
        <v>40</v>
      </c>
      <c r="C2387" t="s">
        <v>139</v>
      </c>
      <c r="D2387" s="1" t="s">
        <v>29</v>
      </c>
      <c r="E2387" s="4">
        <v>152.69999999999999</v>
      </c>
      <c r="F2387" s="4">
        <v>151.80000000000001</v>
      </c>
      <c r="G2387" s="4">
        <v>150.80000000000001</v>
      </c>
      <c r="H2387" s="1" t="s">
        <v>206</v>
      </c>
      <c r="K2387">
        <v>2015</v>
      </c>
      <c r="L2387" t="s">
        <v>40</v>
      </c>
      <c r="M2387" t="s">
        <v>83</v>
      </c>
      <c r="N2387" t="s">
        <v>20</v>
      </c>
      <c r="O2387" t="s">
        <v>20</v>
      </c>
      <c r="P2387" s="1" t="s">
        <v>30</v>
      </c>
      <c r="Q2387">
        <v>0</v>
      </c>
    </row>
    <row r="2388" spans="1:17" x14ac:dyDescent="0.3">
      <c r="A2388">
        <v>2020</v>
      </c>
      <c r="B2388" t="s">
        <v>40</v>
      </c>
      <c r="C2388" t="s">
        <v>139</v>
      </c>
      <c r="D2388" s="1" t="s">
        <v>23</v>
      </c>
      <c r="E2388" s="4">
        <v>158.19999999999999</v>
      </c>
      <c r="F2388" s="4">
        <v>154.4</v>
      </c>
      <c r="G2388" s="4">
        <v>148.1</v>
      </c>
      <c r="H2388" s="1" t="s">
        <v>23</v>
      </c>
      <c r="K2388">
        <v>2015</v>
      </c>
      <c r="L2388" t="s">
        <v>40</v>
      </c>
      <c r="M2388" t="s">
        <v>83</v>
      </c>
      <c r="N2388" t="s">
        <v>20</v>
      </c>
      <c r="O2388" t="s">
        <v>20</v>
      </c>
      <c r="P2388" s="1" t="s">
        <v>34</v>
      </c>
      <c r="Q2388">
        <v>119.9</v>
      </c>
    </row>
    <row r="2389" spans="1:17" x14ac:dyDescent="0.3">
      <c r="A2389">
        <v>2020</v>
      </c>
      <c r="B2389" t="s">
        <v>40</v>
      </c>
      <c r="C2389" t="s">
        <v>139</v>
      </c>
      <c r="D2389" s="1" t="s">
        <v>22</v>
      </c>
      <c r="E2389" s="4">
        <v>151.69999999999999</v>
      </c>
      <c r="F2389" s="4">
        <v>146.4</v>
      </c>
      <c r="G2389" s="4">
        <v>140.4</v>
      </c>
      <c r="H2389" s="1" t="s">
        <v>20</v>
      </c>
      <c r="K2389">
        <v>2015</v>
      </c>
      <c r="L2389" t="s">
        <v>40</v>
      </c>
      <c r="M2389" t="s">
        <v>83</v>
      </c>
      <c r="N2389" t="s">
        <v>20</v>
      </c>
      <c r="O2389" t="s">
        <v>20</v>
      </c>
      <c r="P2389" s="1" t="s">
        <v>33</v>
      </c>
      <c r="Q2389">
        <v>119.9</v>
      </c>
    </row>
    <row r="2390" spans="1:17" x14ac:dyDescent="0.3">
      <c r="A2390">
        <v>2020</v>
      </c>
      <c r="B2390" t="s">
        <v>40</v>
      </c>
      <c r="C2390" t="s">
        <v>139</v>
      </c>
      <c r="D2390" s="1" t="s">
        <v>20</v>
      </c>
      <c r="E2390" s="4">
        <v>0</v>
      </c>
      <c r="F2390" s="4">
        <v>154.69999999999999</v>
      </c>
      <c r="G2390" s="4">
        <v>154.69999999999999</v>
      </c>
      <c r="H2390" s="1" t="s">
        <v>20</v>
      </c>
      <c r="K2390">
        <v>2015</v>
      </c>
      <c r="L2390" t="s">
        <v>40</v>
      </c>
      <c r="M2390" t="s">
        <v>83</v>
      </c>
      <c r="N2390" t="s">
        <v>4</v>
      </c>
      <c r="O2390" t="s">
        <v>188</v>
      </c>
      <c r="P2390" s="1" t="s">
        <v>30</v>
      </c>
      <c r="Q2390">
        <v>131.5</v>
      </c>
    </row>
    <row r="2391" spans="1:17" x14ac:dyDescent="0.3">
      <c r="A2391">
        <v>2020</v>
      </c>
      <c r="B2391" t="s">
        <v>40</v>
      </c>
      <c r="C2391" t="s">
        <v>139</v>
      </c>
      <c r="D2391" s="1" t="s">
        <v>4</v>
      </c>
      <c r="E2391" s="4">
        <v>190.3</v>
      </c>
      <c r="F2391" s="4">
        <v>192.7</v>
      </c>
      <c r="G2391" s="4">
        <v>197</v>
      </c>
      <c r="H2391" s="1" t="s">
        <v>188</v>
      </c>
      <c r="K2391">
        <v>2015</v>
      </c>
      <c r="L2391" t="s">
        <v>40</v>
      </c>
      <c r="M2391" t="s">
        <v>83</v>
      </c>
      <c r="N2391" t="s">
        <v>4</v>
      </c>
      <c r="O2391" t="s">
        <v>188</v>
      </c>
      <c r="P2391" s="1" t="s">
        <v>34</v>
      </c>
      <c r="Q2391">
        <v>132.5</v>
      </c>
    </row>
    <row r="2392" spans="1:17" x14ac:dyDescent="0.3">
      <c r="A2392">
        <v>2020</v>
      </c>
      <c r="B2392" t="s">
        <v>40</v>
      </c>
      <c r="C2392" t="s">
        <v>139</v>
      </c>
      <c r="D2392" s="1" t="s">
        <v>6</v>
      </c>
      <c r="E2392" s="4">
        <v>153.30000000000001</v>
      </c>
      <c r="F2392" s="4">
        <v>153.30000000000001</v>
      </c>
      <c r="G2392" s="4">
        <v>153.4</v>
      </c>
      <c r="H2392" s="1" t="s">
        <v>188</v>
      </c>
      <c r="K2392">
        <v>2015</v>
      </c>
      <c r="L2392" t="s">
        <v>40</v>
      </c>
      <c r="M2392" t="s">
        <v>83</v>
      </c>
      <c r="N2392" t="s">
        <v>4</v>
      </c>
      <c r="O2392" t="s">
        <v>188</v>
      </c>
      <c r="P2392" s="1" t="s">
        <v>33</v>
      </c>
      <c r="Q2392">
        <v>134.30000000000001</v>
      </c>
    </row>
    <row r="2393" spans="1:17" x14ac:dyDescent="0.3">
      <c r="A2393">
        <v>2020</v>
      </c>
      <c r="B2393" t="s">
        <v>40</v>
      </c>
      <c r="C2393" t="s">
        <v>139</v>
      </c>
      <c r="D2393" s="1" t="s">
        <v>28</v>
      </c>
      <c r="E2393" s="4">
        <v>151.69999999999999</v>
      </c>
      <c r="F2393" s="4">
        <v>147</v>
      </c>
      <c r="G2393" s="4">
        <v>142</v>
      </c>
      <c r="H2393" s="1" t="s">
        <v>192</v>
      </c>
      <c r="K2393">
        <v>2015</v>
      </c>
      <c r="L2393" t="s">
        <v>40</v>
      </c>
      <c r="M2393" t="s">
        <v>83</v>
      </c>
      <c r="N2393" t="s">
        <v>6</v>
      </c>
      <c r="O2393" t="s">
        <v>188</v>
      </c>
      <c r="P2393" s="1" t="s">
        <v>30</v>
      </c>
      <c r="Q2393">
        <v>128.69999999999999</v>
      </c>
    </row>
    <row r="2394" spans="1:17" x14ac:dyDescent="0.3">
      <c r="A2394">
        <v>2020</v>
      </c>
      <c r="B2394" t="s">
        <v>40</v>
      </c>
      <c r="C2394" t="s">
        <v>139</v>
      </c>
      <c r="D2394" s="1" t="s">
        <v>13</v>
      </c>
      <c r="E2394" s="4">
        <v>142.1</v>
      </c>
      <c r="F2394" s="4">
        <v>139.4</v>
      </c>
      <c r="G2394" s="4">
        <v>135.6</v>
      </c>
      <c r="H2394" s="1" t="s">
        <v>188</v>
      </c>
      <c r="K2394">
        <v>2015</v>
      </c>
      <c r="L2394" t="s">
        <v>40</v>
      </c>
      <c r="M2394" t="s">
        <v>83</v>
      </c>
      <c r="N2394" t="s">
        <v>6</v>
      </c>
      <c r="O2394" t="s">
        <v>188</v>
      </c>
      <c r="P2394" s="1" t="s">
        <v>34</v>
      </c>
      <c r="Q2394">
        <v>128.30000000000001</v>
      </c>
    </row>
    <row r="2395" spans="1:17" x14ac:dyDescent="0.3">
      <c r="A2395">
        <v>2020</v>
      </c>
      <c r="B2395" t="s">
        <v>40</v>
      </c>
      <c r="C2395" t="s">
        <v>139</v>
      </c>
      <c r="D2395" s="1" t="s">
        <v>7</v>
      </c>
      <c r="E2395" s="4">
        <v>138.19999999999999</v>
      </c>
      <c r="F2395" s="4">
        <v>136.30000000000001</v>
      </c>
      <c r="G2395" s="4">
        <v>132.9</v>
      </c>
      <c r="H2395" s="1" t="s">
        <v>188</v>
      </c>
      <c r="K2395">
        <v>2015</v>
      </c>
      <c r="L2395" t="s">
        <v>40</v>
      </c>
      <c r="M2395" t="s">
        <v>83</v>
      </c>
      <c r="N2395" t="s">
        <v>6</v>
      </c>
      <c r="O2395" t="s">
        <v>188</v>
      </c>
      <c r="P2395" s="1" t="s">
        <v>33</v>
      </c>
      <c r="Q2395">
        <v>127.7</v>
      </c>
    </row>
    <row r="2396" spans="1:17" x14ac:dyDescent="0.3">
      <c r="A2396">
        <v>2020</v>
      </c>
      <c r="B2396" t="s">
        <v>40</v>
      </c>
      <c r="C2396" t="s">
        <v>139</v>
      </c>
      <c r="D2396" s="1" t="s">
        <v>16</v>
      </c>
      <c r="E2396" s="4">
        <v>182.4</v>
      </c>
      <c r="F2396" s="4">
        <v>183.5</v>
      </c>
      <c r="G2396" s="4">
        <v>186.7</v>
      </c>
      <c r="H2396" s="1" t="s">
        <v>192</v>
      </c>
      <c r="K2396">
        <v>2015</v>
      </c>
      <c r="L2396" t="s">
        <v>40</v>
      </c>
      <c r="M2396" t="s">
        <v>83</v>
      </c>
      <c r="N2396" t="s">
        <v>28</v>
      </c>
      <c r="O2396" t="s">
        <v>192</v>
      </c>
      <c r="P2396" s="1" t="s">
        <v>30</v>
      </c>
      <c r="Q2396">
        <v>118.1</v>
      </c>
    </row>
    <row r="2397" spans="1:17" x14ac:dyDescent="0.3">
      <c r="A2397">
        <v>2020</v>
      </c>
      <c r="B2397" t="s">
        <v>40</v>
      </c>
      <c r="C2397" t="s">
        <v>139</v>
      </c>
      <c r="D2397" s="1" t="s">
        <v>27</v>
      </c>
      <c r="E2397" s="4">
        <v>151.19999999999999</v>
      </c>
      <c r="F2397" s="4">
        <v>151.6</v>
      </c>
      <c r="G2397" s="4">
        <v>152.19999999999999</v>
      </c>
      <c r="H2397" s="1" t="s">
        <v>192</v>
      </c>
      <c r="K2397">
        <v>2015</v>
      </c>
      <c r="L2397" t="s">
        <v>40</v>
      </c>
      <c r="M2397" t="s">
        <v>83</v>
      </c>
      <c r="N2397" t="s">
        <v>28</v>
      </c>
      <c r="O2397" t="s">
        <v>192</v>
      </c>
      <c r="P2397" s="1" t="s">
        <v>34</v>
      </c>
      <c r="Q2397">
        <v>117.2</v>
      </c>
    </row>
    <row r="2398" spans="1:17" x14ac:dyDescent="0.3">
      <c r="A2398">
        <v>2020</v>
      </c>
      <c r="B2398" t="s">
        <v>40</v>
      </c>
      <c r="C2398" t="s">
        <v>139</v>
      </c>
      <c r="D2398" s="1" t="s">
        <v>14</v>
      </c>
      <c r="E2398" s="4">
        <v>161.80000000000001</v>
      </c>
      <c r="F2398" s="4">
        <v>161.80000000000001</v>
      </c>
      <c r="G2398" s="4">
        <v>161.69999999999999</v>
      </c>
      <c r="H2398" s="1" t="s">
        <v>188</v>
      </c>
      <c r="K2398">
        <v>2015</v>
      </c>
      <c r="L2398" t="s">
        <v>40</v>
      </c>
      <c r="M2398" t="s">
        <v>83</v>
      </c>
      <c r="N2398" t="s">
        <v>28</v>
      </c>
      <c r="O2398" t="s">
        <v>192</v>
      </c>
      <c r="P2398" s="1" t="s">
        <v>33</v>
      </c>
      <c r="Q2398">
        <v>116.3</v>
      </c>
    </row>
    <row r="2399" spans="1:17" x14ac:dyDescent="0.3">
      <c r="A2399">
        <v>2020</v>
      </c>
      <c r="B2399" t="s">
        <v>40</v>
      </c>
      <c r="C2399" t="s">
        <v>139</v>
      </c>
      <c r="D2399" s="1" t="s">
        <v>10</v>
      </c>
      <c r="E2399" s="4">
        <v>150.30000000000001</v>
      </c>
      <c r="F2399" s="4">
        <v>150.9</v>
      </c>
      <c r="G2399" s="4">
        <v>152</v>
      </c>
      <c r="H2399" s="1" t="s">
        <v>188</v>
      </c>
      <c r="K2399">
        <v>2015</v>
      </c>
      <c r="L2399" t="s">
        <v>40</v>
      </c>
      <c r="M2399" t="s">
        <v>83</v>
      </c>
      <c r="N2399" t="s">
        <v>13</v>
      </c>
      <c r="O2399" t="s">
        <v>188</v>
      </c>
      <c r="P2399" s="1" t="s">
        <v>30</v>
      </c>
      <c r="Q2399">
        <v>121</v>
      </c>
    </row>
    <row r="2400" spans="1:17" x14ac:dyDescent="0.3">
      <c r="A2400">
        <v>2020</v>
      </c>
      <c r="B2400" t="s">
        <v>40</v>
      </c>
      <c r="C2400" t="s">
        <v>139</v>
      </c>
      <c r="D2400" s="1" t="s">
        <v>25</v>
      </c>
      <c r="E2400" s="4">
        <v>153.19999999999999</v>
      </c>
      <c r="F2400" s="4">
        <v>148.30000000000001</v>
      </c>
      <c r="G2400" s="4">
        <v>144.5</v>
      </c>
      <c r="H2400" s="1" t="s">
        <v>195</v>
      </c>
      <c r="K2400">
        <v>2015</v>
      </c>
      <c r="L2400" t="s">
        <v>40</v>
      </c>
      <c r="M2400" t="s">
        <v>83</v>
      </c>
      <c r="N2400" t="s">
        <v>13</v>
      </c>
      <c r="O2400" t="s">
        <v>188</v>
      </c>
      <c r="P2400" s="1" t="s">
        <v>34</v>
      </c>
      <c r="Q2400">
        <v>119.9</v>
      </c>
    </row>
    <row r="2401" spans="1:17" x14ac:dyDescent="0.3">
      <c r="A2401">
        <v>2020</v>
      </c>
      <c r="B2401" t="s">
        <v>40</v>
      </c>
      <c r="C2401" t="s">
        <v>139</v>
      </c>
      <c r="D2401" s="1" t="s">
        <v>12</v>
      </c>
      <c r="E2401" s="4">
        <v>159.80000000000001</v>
      </c>
      <c r="F2401" s="4">
        <v>159.5</v>
      </c>
      <c r="G2401" s="4">
        <v>158.80000000000001</v>
      </c>
      <c r="H2401" s="1" t="s">
        <v>188</v>
      </c>
      <c r="K2401">
        <v>2015</v>
      </c>
      <c r="L2401" t="s">
        <v>40</v>
      </c>
      <c r="M2401" t="s">
        <v>83</v>
      </c>
      <c r="N2401" t="s">
        <v>13</v>
      </c>
      <c r="O2401" t="s">
        <v>188</v>
      </c>
      <c r="P2401" s="1" t="s">
        <v>33</v>
      </c>
      <c r="Q2401">
        <v>118.3</v>
      </c>
    </row>
    <row r="2402" spans="1:17" x14ac:dyDescent="0.3">
      <c r="A2402">
        <v>2020</v>
      </c>
      <c r="B2402" t="s">
        <v>40</v>
      </c>
      <c r="C2402" t="s">
        <v>139</v>
      </c>
      <c r="D2402" s="1" t="s">
        <v>11</v>
      </c>
      <c r="E2402" s="4">
        <v>113.2</v>
      </c>
      <c r="F2402" s="4">
        <v>114.2</v>
      </c>
      <c r="G2402" s="4">
        <v>116.3</v>
      </c>
      <c r="H2402" s="1" t="s">
        <v>188</v>
      </c>
      <c r="K2402">
        <v>2015</v>
      </c>
      <c r="L2402" t="s">
        <v>40</v>
      </c>
      <c r="M2402" t="s">
        <v>83</v>
      </c>
      <c r="N2402" t="s">
        <v>7</v>
      </c>
      <c r="O2402" t="s">
        <v>188</v>
      </c>
      <c r="P2402" s="1" t="s">
        <v>30</v>
      </c>
      <c r="Q2402">
        <v>113.5</v>
      </c>
    </row>
    <row r="2403" spans="1:17" x14ac:dyDescent="0.3">
      <c r="A2403">
        <v>2020</v>
      </c>
      <c r="B2403" t="s">
        <v>40</v>
      </c>
      <c r="C2403" t="s">
        <v>139</v>
      </c>
      <c r="D2403" s="1" t="s">
        <v>24</v>
      </c>
      <c r="E2403" s="4">
        <v>141.4</v>
      </c>
      <c r="F2403" s="4">
        <v>135</v>
      </c>
      <c r="G2403" s="4">
        <v>129.30000000000001</v>
      </c>
      <c r="H2403" s="1" t="s">
        <v>191</v>
      </c>
      <c r="K2403">
        <v>2015</v>
      </c>
      <c r="L2403" t="s">
        <v>40</v>
      </c>
      <c r="M2403" t="s">
        <v>83</v>
      </c>
      <c r="N2403" t="s">
        <v>7</v>
      </c>
      <c r="O2403" t="s">
        <v>188</v>
      </c>
      <c r="P2403" s="1" t="s">
        <v>34</v>
      </c>
      <c r="Q2403">
        <v>110.9</v>
      </c>
    </row>
    <row r="2404" spans="1:17" x14ac:dyDescent="0.3">
      <c r="A2404">
        <v>2020</v>
      </c>
      <c r="B2404" t="s">
        <v>40</v>
      </c>
      <c r="C2404" t="s">
        <v>139</v>
      </c>
      <c r="D2404" s="1" t="s">
        <v>9</v>
      </c>
      <c r="E2404" s="4">
        <v>148.9</v>
      </c>
      <c r="F2404" s="4">
        <v>156.5</v>
      </c>
      <c r="G2404" s="4">
        <v>171.2</v>
      </c>
      <c r="H2404" s="1" t="s">
        <v>188</v>
      </c>
      <c r="K2404">
        <v>2015</v>
      </c>
      <c r="L2404" t="s">
        <v>40</v>
      </c>
      <c r="M2404" t="s">
        <v>83</v>
      </c>
      <c r="N2404" t="s">
        <v>7</v>
      </c>
      <c r="O2404" t="s">
        <v>188</v>
      </c>
      <c r="P2404" s="1" t="s">
        <v>33</v>
      </c>
      <c r="Q2404">
        <v>106.3</v>
      </c>
    </row>
    <row r="2405" spans="1:17" x14ac:dyDescent="0.3">
      <c r="A2405">
        <v>2020</v>
      </c>
      <c r="B2405" t="s">
        <v>39</v>
      </c>
      <c r="C2405" t="s">
        <v>140</v>
      </c>
      <c r="D2405" s="1" t="s">
        <v>3</v>
      </c>
      <c r="E2405" s="4">
        <v>148.19999999999999</v>
      </c>
      <c r="F2405" s="4">
        <v>149.6</v>
      </c>
      <c r="G2405" s="4">
        <v>152.69999999999999</v>
      </c>
      <c r="H2405" s="1" t="s">
        <v>188</v>
      </c>
      <c r="K2405">
        <v>2015</v>
      </c>
      <c r="L2405" t="s">
        <v>40</v>
      </c>
      <c r="M2405" t="s">
        <v>83</v>
      </c>
      <c r="N2405" t="s">
        <v>16</v>
      </c>
      <c r="O2405" t="s">
        <v>192</v>
      </c>
      <c r="P2405" s="1" t="s">
        <v>30</v>
      </c>
      <c r="Q2405">
        <v>129.4</v>
      </c>
    </row>
    <row r="2406" spans="1:17" x14ac:dyDescent="0.3">
      <c r="A2406">
        <v>2020</v>
      </c>
      <c r="B2406" t="s">
        <v>39</v>
      </c>
      <c r="C2406" t="s">
        <v>140</v>
      </c>
      <c r="D2406" s="1" t="s">
        <v>17</v>
      </c>
      <c r="E2406" s="4">
        <v>154.69999999999999</v>
      </c>
      <c r="F2406" s="4">
        <v>152.5</v>
      </c>
      <c r="G2406" s="4">
        <v>149.1</v>
      </c>
      <c r="H2406" s="1" t="s">
        <v>189</v>
      </c>
      <c r="K2406">
        <v>2015</v>
      </c>
      <c r="L2406" t="s">
        <v>40</v>
      </c>
      <c r="M2406" t="s">
        <v>83</v>
      </c>
      <c r="N2406" t="s">
        <v>16</v>
      </c>
      <c r="O2406" t="s">
        <v>192</v>
      </c>
      <c r="P2406" s="1" t="s">
        <v>34</v>
      </c>
      <c r="Q2406">
        <v>130.4</v>
      </c>
    </row>
    <row r="2407" spans="1:17" x14ac:dyDescent="0.3">
      <c r="A2407">
        <v>2020</v>
      </c>
      <c r="B2407" t="s">
        <v>39</v>
      </c>
      <c r="C2407" t="s">
        <v>140</v>
      </c>
      <c r="D2407" s="1" t="s">
        <v>19</v>
      </c>
      <c r="E2407" s="4">
        <v>154.1</v>
      </c>
      <c r="F2407" s="4">
        <v>151.4</v>
      </c>
      <c r="G2407" s="4">
        <v>147.19999999999999</v>
      </c>
      <c r="H2407" s="1" t="s">
        <v>189</v>
      </c>
      <c r="K2407">
        <v>2015</v>
      </c>
      <c r="L2407" t="s">
        <v>40</v>
      </c>
      <c r="M2407" t="s">
        <v>83</v>
      </c>
      <c r="N2407" t="s">
        <v>16</v>
      </c>
      <c r="O2407" t="s">
        <v>192</v>
      </c>
      <c r="P2407" s="1" t="s">
        <v>33</v>
      </c>
      <c r="Q2407">
        <v>133.1</v>
      </c>
    </row>
    <row r="2408" spans="1:17" x14ac:dyDescent="0.3">
      <c r="A2408">
        <v>2020</v>
      </c>
      <c r="B2408" t="s">
        <v>39</v>
      </c>
      <c r="C2408" t="s">
        <v>140</v>
      </c>
      <c r="D2408" s="1" t="s">
        <v>26</v>
      </c>
      <c r="E2408" s="4">
        <v>161.80000000000001</v>
      </c>
      <c r="F2408" s="4">
        <v>156.4</v>
      </c>
      <c r="G2408" s="4">
        <v>152.5</v>
      </c>
      <c r="H2408" s="1" t="s">
        <v>26</v>
      </c>
      <c r="K2408">
        <v>2015</v>
      </c>
      <c r="L2408" t="s">
        <v>40</v>
      </c>
      <c r="M2408" t="s">
        <v>83</v>
      </c>
      <c r="N2408" t="s">
        <v>27</v>
      </c>
      <c r="O2408" t="s">
        <v>192</v>
      </c>
      <c r="P2408" s="1" t="s">
        <v>30</v>
      </c>
      <c r="Q2408">
        <v>112.7</v>
      </c>
    </row>
    <row r="2409" spans="1:17" x14ac:dyDescent="0.3">
      <c r="A2409">
        <v>2020</v>
      </c>
      <c r="B2409" t="s">
        <v>39</v>
      </c>
      <c r="C2409" t="s">
        <v>140</v>
      </c>
      <c r="D2409" s="1" t="s">
        <v>5</v>
      </c>
      <c r="E2409" s="4">
        <v>149.4</v>
      </c>
      <c r="F2409" s="4">
        <v>151.4</v>
      </c>
      <c r="G2409" s="4">
        <v>154.6</v>
      </c>
      <c r="H2409" s="1" t="s">
        <v>188</v>
      </c>
      <c r="K2409">
        <v>2015</v>
      </c>
      <c r="L2409" t="s">
        <v>40</v>
      </c>
      <c r="M2409" t="s">
        <v>83</v>
      </c>
      <c r="N2409" t="s">
        <v>27</v>
      </c>
      <c r="O2409" t="s">
        <v>192</v>
      </c>
      <c r="P2409" s="1" t="s">
        <v>34</v>
      </c>
      <c r="Q2409">
        <v>112.3</v>
      </c>
    </row>
    <row r="2410" spans="1:17" x14ac:dyDescent="0.3">
      <c r="A2410">
        <v>2020</v>
      </c>
      <c r="B2410" t="s">
        <v>39</v>
      </c>
      <c r="C2410" t="s">
        <v>140</v>
      </c>
      <c r="D2410" s="1" t="s">
        <v>15</v>
      </c>
      <c r="E2410" s="4">
        <v>152.30000000000001</v>
      </c>
      <c r="F2410" s="4">
        <v>154</v>
      </c>
      <c r="G2410" s="4">
        <v>157</v>
      </c>
      <c r="H2410" s="1" t="s">
        <v>188</v>
      </c>
      <c r="K2410">
        <v>2015</v>
      </c>
      <c r="L2410" t="s">
        <v>40</v>
      </c>
      <c r="M2410" t="s">
        <v>83</v>
      </c>
      <c r="N2410" t="s">
        <v>27</v>
      </c>
      <c r="O2410" t="s">
        <v>192</v>
      </c>
      <c r="P2410" s="1" t="s">
        <v>33</v>
      </c>
      <c r="Q2410">
        <v>111.7</v>
      </c>
    </row>
    <row r="2411" spans="1:17" x14ac:dyDescent="0.3">
      <c r="A2411">
        <v>2020</v>
      </c>
      <c r="B2411" t="s">
        <v>39</v>
      </c>
      <c r="C2411" t="s">
        <v>140</v>
      </c>
      <c r="D2411" s="1" t="s">
        <v>18</v>
      </c>
      <c r="E2411" s="4">
        <v>150</v>
      </c>
      <c r="F2411" s="4">
        <v>144.4</v>
      </c>
      <c r="G2411" s="4">
        <v>136.6</v>
      </c>
      <c r="H2411" s="1" t="s">
        <v>189</v>
      </c>
      <c r="K2411">
        <v>2015</v>
      </c>
      <c r="L2411" t="s">
        <v>40</v>
      </c>
      <c r="M2411" t="s">
        <v>83</v>
      </c>
      <c r="N2411" t="s">
        <v>14</v>
      </c>
      <c r="O2411" t="s">
        <v>188</v>
      </c>
      <c r="P2411" s="1" t="s">
        <v>30</v>
      </c>
      <c r="Q2411">
        <v>131.69999999999999</v>
      </c>
    </row>
    <row r="2412" spans="1:17" x14ac:dyDescent="0.3">
      <c r="A2412">
        <v>2020</v>
      </c>
      <c r="B2412" t="s">
        <v>39</v>
      </c>
      <c r="C2412" t="s">
        <v>140</v>
      </c>
      <c r="D2412" s="1" t="s">
        <v>8</v>
      </c>
      <c r="E2412" s="4">
        <v>143.19999999999999</v>
      </c>
      <c r="F2412" s="4">
        <v>147.19999999999999</v>
      </c>
      <c r="G2412" s="4">
        <v>151.80000000000001</v>
      </c>
      <c r="H2412" s="1" t="s">
        <v>188</v>
      </c>
      <c r="K2412">
        <v>2015</v>
      </c>
      <c r="L2412" t="s">
        <v>40</v>
      </c>
      <c r="M2412" t="s">
        <v>83</v>
      </c>
      <c r="N2412" t="s">
        <v>14</v>
      </c>
      <c r="O2412" t="s">
        <v>188</v>
      </c>
      <c r="P2412" s="1" t="s">
        <v>34</v>
      </c>
      <c r="Q2412">
        <v>131.4</v>
      </c>
    </row>
    <row r="2413" spans="1:17" x14ac:dyDescent="0.3">
      <c r="A2413">
        <v>2020</v>
      </c>
      <c r="B2413" t="s">
        <v>39</v>
      </c>
      <c r="C2413" t="s">
        <v>140</v>
      </c>
      <c r="D2413" s="1" t="s">
        <v>21</v>
      </c>
      <c r="E2413" s="4">
        <v>144.9</v>
      </c>
      <c r="F2413" s="4">
        <v>141.9</v>
      </c>
      <c r="G2413" s="4">
        <v>137.1</v>
      </c>
      <c r="H2413" s="1" t="s">
        <v>190</v>
      </c>
      <c r="K2413">
        <v>2015</v>
      </c>
      <c r="L2413" t="s">
        <v>40</v>
      </c>
      <c r="M2413" t="s">
        <v>83</v>
      </c>
      <c r="N2413" t="s">
        <v>14</v>
      </c>
      <c r="O2413" t="s">
        <v>188</v>
      </c>
      <c r="P2413" s="1" t="s">
        <v>33</v>
      </c>
      <c r="Q2413">
        <v>131.1</v>
      </c>
    </row>
    <row r="2414" spans="1:17" x14ac:dyDescent="0.3">
      <c r="A2414">
        <v>2020</v>
      </c>
      <c r="B2414" t="s">
        <v>39</v>
      </c>
      <c r="C2414" t="s">
        <v>140</v>
      </c>
      <c r="D2414" s="1" t="s">
        <v>29</v>
      </c>
      <c r="E2414" s="4">
        <v>152.69999999999999</v>
      </c>
      <c r="F2414" s="4">
        <v>151.80000000000001</v>
      </c>
      <c r="G2414" s="4">
        <v>150.80000000000001</v>
      </c>
      <c r="H2414" s="1" t="s">
        <v>206</v>
      </c>
      <c r="K2414">
        <v>2015</v>
      </c>
      <c r="L2414" t="s">
        <v>40</v>
      </c>
      <c r="M2414" t="s">
        <v>83</v>
      </c>
      <c r="N2414" t="s">
        <v>10</v>
      </c>
      <c r="O2414" t="s">
        <v>188</v>
      </c>
      <c r="P2414" s="1" t="s">
        <v>30</v>
      </c>
      <c r="Q2414">
        <v>133.80000000000001</v>
      </c>
    </row>
    <row r="2415" spans="1:17" x14ac:dyDescent="0.3">
      <c r="A2415">
        <v>2020</v>
      </c>
      <c r="B2415" t="s">
        <v>39</v>
      </c>
      <c r="C2415" t="s">
        <v>140</v>
      </c>
      <c r="D2415" s="1" t="s">
        <v>23</v>
      </c>
      <c r="E2415" s="4">
        <v>158.19999999999999</v>
      </c>
      <c r="F2415" s="4">
        <v>154.4</v>
      </c>
      <c r="G2415" s="4">
        <v>148.1</v>
      </c>
      <c r="H2415" s="1" t="s">
        <v>23</v>
      </c>
      <c r="K2415">
        <v>2015</v>
      </c>
      <c r="L2415" t="s">
        <v>40</v>
      </c>
      <c r="M2415" t="s">
        <v>83</v>
      </c>
      <c r="N2415" t="s">
        <v>10</v>
      </c>
      <c r="O2415" t="s">
        <v>188</v>
      </c>
      <c r="P2415" s="1" t="s">
        <v>34</v>
      </c>
      <c r="Q2415">
        <v>139.1</v>
      </c>
    </row>
    <row r="2416" spans="1:17" x14ac:dyDescent="0.3">
      <c r="A2416">
        <v>2020</v>
      </c>
      <c r="B2416" t="s">
        <v>39</v>
      </c>
      <c r="C2416" t="s">
        <v>140</v>
      </c>
      <c r="D2416" s="1" t="s">
        <v>22</v>
      </c>
      <c r="E2416" s="4">
        <v>151.69999999999999</v>
      </c>
      <c r="F2416" s="4">
        <v>146.4</v>
      </c>
      <c r="G2416" s="4">
        <v>140.4</v>
      </c>
      <c r="H2416" s="1" t="s">
        <v>20</v>
      </c>
      <c r="K2416">
        <v>2015</v>
      </c>
      <c r="L2416" t="s">
        <v>40</v>
      </c>
      <c r="M2416" t="s">
        <v>83</v>
      </c>
      <c r="N2416" t="s">
        <v>10</v>
      </c>
      <c r="O2416" t="s">
        <v>188</v>
      </c>
      <c r="P2416" s="1" t="s">
        <v>33</v>
      </c>
      <c r="Q2416">
        <v>149.5</v>
      </c>
    </row>
    <row r="2417" spans="1:17" x14ac:dyDescent="0.3">
      <c r="A2417">
        <v>2020</v>
      </c>
      <c r="B2417" t="s">
        <v>39</v>
      </c>
      <c r="C2417" t="s">
        <v>140</v>
      </c>
      <c r="D2417" s="1" t="s">
        <v>20</v>
      </c>
      <c r="E2417" s="4">
        <v>0</v>
      </c>
      <c r="F2417" s="4">
        <v>154.69999999999999</v>
      </c>
      <c r="G2417" s="4">
        <v>154.69999999999999</v>
      </c>
      <c r="H2417" s="1" t="s">
        <v>20</v>
      </c>
      <c r="K2417">
        <v>2015</v>
      </c>
      <c r="L2417" t="s">
        <v>40</v>
      </c>
      <c r="M2417" t="s">
        <v>83</v>
      </c>
      <c r="N2417" t="s">
        <v>25</v>
      </c>
      <c r="O2417" t="s">
        <v>195</v>
      </c>
      <c r="P2417" s="1" t="s">
        <v>30</v>
      </c>
      <c r="Q2417">
        <v>118</v>
      </c>
    </row>
    <row r="2418" spans="1:17" x14ac:dyDescent="0.3">
      <c r="A2418">
        <v>2020</v>
      </c>
      <c r="B2418" t="s">
        <v>39</v>
      </c>
      <c r="C2418" t="s">
        <v>140</v>
      </c>
      <c r="D2418" s="1" t="s">
        <v>4</v>
      </c>
      <c r="E2418" s="4">
        <v>190.3</v>
      </c>
      <c r="F2418" s="4">
        <v>192.7</v>
      </c>
      <c r="G2418" s="4">
        <v>197</v>
      </c>
      <c r="H2418" s="1" t="s">
        <v>188</v>
      </c>
      <c r="K2418">
        <v>2015</v>
      </c>
      <c r="L2418" t="s">
        <v>40</v>
      </c>
      <c r="M2418" t="s">
        <v>83</v>
      </c>
      <c r="N2418" t="s">
        <v>25</v>
      </c>
      <c r="O2418" t="s">
        <v>195</v>
      </c>
      <c r="P2418" s="1" t="s">
        <v>34</v>
      </c>
      <c r="Q2418">
        <v>117.2</v>
      </c>
    </row>
    <row r="2419" spans="1:17" x14ac:dyDescent="0.3">
      <c r="A2419">
        <v>2020</v>
      </c>
      <c r="B2419" t="s">
        <v>39</v>
      </c>
      <c r="C2419" t="s">
        <v>140</v>
      </c>
      <c r="D2419" s="1" t="s">
        <v>6</v>
      </c>
      <c r="E2419" s="4">
        <v>153.30000000000001</v>
      </c>
      <c r="F2419" s="4">
        <v>153.30000000000001</v>
      </c>
      <c r="G2419" s="4">
        <v>153.4</v>
      </c>
      <c r="H2419" s="1" t="s">
        <v>188</v>
      </c>
      <c r="K2419">
        <v>2015</v>
      </c>
      <c r="L2419" t="s">
        <v>40</v>
      </c>
      <c r="M2419" t="s">
        <v>83</v>
      </c>
      <c r="N2419" t="s">
        <v>25</v>
      </c>
      <c r="O2419" t="s">
        <v>195</v>
      </c>
      <c r="P2419" s="1" t="s">
        <v>33</v>
      </c>
      <c r="Q2419">
        <v>116.6</v>
      </c>
    </row>
    <row r="2420" spans="1:17" x14ac:dyDescent="0.3">
      <c r="A2420">
        <v>2020</v>
      </c>
      <c r="B2420" t="s">
        <v>39</v>
      </c>
      <c r="C2420" t="s">
        <v>140</v>
      </c>
      <c r="D2420" s="1" t="s">
        <v>28</v>
      </c>
      <c r="E2420" s="4">
        <v>151.69999999999999</v>
      </c>
      <c r="F2420" s="4">
        <v>147</v>
      </c>
      <c r="G2420" s="4">
        <v>142</v>
      </c>
      <c r="H2420" s="1" t="s">
        <v>192</v>
      </c>
      <c r="K2420">
        <v>2015</v>
      </c>
      <c r="L2420" t="s">
        <v>40</v>
      </c>
      <c r="M2420" t="s">
        <v>83</v>
      </c>
      <c r="N2420" t="s">
        <v>12</v>
      </c>
      <c r="O2420" t="s">
        <v>188</v>
      </c>
      <c r="P2420" s="1" t="s">
        <v>30</v>
      </c>
      <c r="Q2420">
        <v>123.4</v>
      </c>
    </row>
    <row r="2421" spans="1:17" x14ac:dyDescent="0.3">
      <c r="A2421">
        <v>2020</v>
      </c>
      <c r="B2421" t="s">
        <v>39</v>
      </c>
      <c r="C2421" t="s">
        <v>140</v>
      </c>
      <c r="D2421" s="1" t="s">
        <v>13</v>
      </c>
      <c r="E2421" s="4">
        <v>142.1</v>
      </c>
      <c r="F2421" s="4">
        <v>139.4</v>
      </c>
      <c r="G2421" s="4">
        <v>135.6</v>
      </c>
      <c r="H2421" s="1" t="s">
        <v>188</v>
      </c>
      <c r="K2421">
        <v>2015</v>
      </c>
      <c r="L2421" t="s">
        <v>40</v>
      </c>
      <c r="M2421" t="s">
        <v>83</v>
      </c>
      <c r="N2421" t="s">
        <v>12</v>
      </c>
      <c r="O2421" t="s">
        <v>188</v>
      </c>
      <c r="P2421" s="1" t="s">
        <v>34</v>
      </c>
      <c r="Q2421">
        <v>126.1</v>
      </c>
    </row>
    <row r="2422" spans="1:17" x14ac:dyDescent="0.3">
      <c r="A2422">
        <v>2020</v>
      </c>
      <c r="B2422" t="s">
        <v>39</v>
      </c>
      <c r="C2422" t="s">
        <v>140</v>
      </c>
      <c r="D2422" s="1" t="s">
        <v>7</v>
      </c>
      <c r="E2422" s="4">
        <v>138.19999999999999</v>
      </c>
      <c r="F2422" s="4">
        <v>136.30000000000001</v>
      </c>
      <c r="G2422" s="4">
        <v>132.9</v>
      </c>
      <c r="H2422" s="1" t="s">
        <v>188</v>
      </c>
      <c r="K2422">
        <v>2015</v>
      </c>
      <c r="L2422" t="s">
        <v>40</v>
      </c>
      <c r="M2422" t="s">
        <v>83</v>
      </c>
      <c r="N2422" t="s">
        <v>12</v>
      </c>
      <c r="O2422" t="s">
        <v>188</v>
      </c>
      <c r="P2422" s="1" t="s">
        <v>33</v>
      </c>
      <c r="Q2422">
        <v>131.5</v>
      </c>
    </row>
    <row r="2423" spans="1:17" x14ac:dyDescent="0.3">
      <c r="A2423">
        <v>2020</v>
      </c>
      <c r="B2423" t="s">
        <v>39</v>
      </c>
      <c r="C2423" t="s">
        <v>140</v>
      </c>
      <c r="D2423" s="1" t="s">
        <v>16</v>
      </c>
      <c r="E2423" s="4">
        <v>182.4</v>
      </c>
      <c r="F2423" s="4">
        <v>183.5</v>
      </c>
      <c r="G2423" s="4">
        <v>186.7</v>
      </c>
      <c r="H2423" s="1" t="s">
        <v>192</v>
      </c>
      <c r="K2423">
        <v>2015</v>
      </c>
      <c r="L2423" t="s">
        <v>40</v>
      </c>
      <c r="M2423" t="s">
        <v>83</v>
      </c>
      <c r="N2423" t="s">
        <v>11</v>
      </c>
      <c r="O2423" t="s">
        <v>188</v>
      </c>
      <c r="P2423" s="1" t="s">
        <v>30</v>
      </c>
      <c r="Q2423">
        <v>94.1</v>
      </c>
    </row>
    <row r="2424" spans="1:17" x14ac:dyDescent="0.3">
      <c r="A2424">
        <v>2020</v>
      </c>
      <c r="B2424" t="s">
        <v>39</v>
      </c>
      <c r="C2424" t="s">
        <v>140</v>
      </c>
      <c r="D2424" s="1" t="s">
        <v>27</v>
      </c>
      <c r="E2424" s="4">
        <v>151.19999999999999</v>
      </c>
      <c r="F2424" s="4">
        <v>151.6</v>
      </c>
      <c r="G2424" s="4">
        <v>152.19999999999999</v>
      </c>
      <c r="H2424" s="1" t="s">
        <v>192</v>
      </c>
      <c r="K2424">
        <v>2015</v>
      </c>
      <c r="L2424" t="s">
        <v>40</v>
      </c>
      <c r="M2424" t="s">
        <v>83</v>
      </c>
      <c r="N2424" t="s">
        <v>11</v>
      </c>
      <c r="O2424" t="s">
        <v>188</v>
      </c>
      <c r="P2424" s="1" t="s">
        <v>34</v>
      </c>
      <c r="Q2424">
        <v>91.3</v>
      </c>
    </row>
    <row r="2425" spans="1:17" x14ac:dyDescent="0.3">
      <c r="A2425">
        <v>2020</v>
      </c>
      <c r="B2425" t="s">
        <v>39</v>
      </c>
      <c r="C2425" t="s">
        <v>140</v>
      </c>
      <c r="D2425" s="1" t="s">
        <v>14</v>
      </c>
      <c r="E2425" s="4">
        <v>161.80000000000001</v>
      </c>
      <c r="F2425" s="4">
        <v>161.80000000000001</v>
      </c>
      <c r="G2425" s="4">
        <v>161.69999999999999</v>
      </c>
      <c r="H2425" s="1" t="s">
        <v>188</v>
      </c>
      <c r="K2425">
        <v>2015</v>
      </c>
      <c r="L2425" t="s">
        <v>40</v>
      </c>
      <c r="M2425" t="s">
        <v>83</v>
      </c>
      <c r="N2425" t="s">
        <v>11</v>
      </c>
      <c r="O2425" t="s">
        <v>188</v>
      </c>
      <c r="P2425" s="1" t="s">
        <v>33</v>
      </c>
      <c r="Q2425">
        <v>85.7</v>
      </c>
    </row>
    <row r="2426" spans="1:17" x14ac:dyDescent="0.3">
      <c r="A2426">
        <v>2020</v>
      </c>
      <c r="B2426" t="s">
        <v>39</v>
      </c>
      <c r="C2426" t="s">
        <v>140</v>
      </c>
      <c r="D2426" s="1" t="s">
        <v>10</v>
      </c>
      <c r="E2426" s="4">
        <v>150.30000000000001</v>
      </c>
      <c r="F2426" s="4">
        <v>150.9</v>
      </c>
      <c r="G2426" s="4">
        <v>152</v>
      </c>
      <c r="H2426" s="1" t="s">
        <v>188</v>
      </c>
      <c r="K2426">
        <v>2015</v>
      </c>
      <c r="L2426" t="s">
        <v>40</v>
      </c>
      <c r="M2426" t="s">
        <v>83</v>
      </c>
      <c r="N2426" t="s">
        <v>24</v>
      </c>
      <c r="O2426" t="s">
        <v>191</v>
      </c>
      <c r="P2426" s="1" t="s">
        <v>30</v>
      </c>
      <c r="Q2426">
        <v>114.1</v>
      </c>
    </row>
    <row r="2427" spans="1:17" x14ac:dyDescent="0.3">
      <c r="A2427">
        <v>2020</v>
      </c>
      <c r="B2427" t="s">
        <v>39</v>
      </c>
      <c r="C2427" t="s">
        <v>140</v>
      </c>
      <c r="D2427" s="1" t="s">
        <v>25</v>
      </c>
      <c r="E2427" s="4">
        <v>153.19999999999999</v>
      </c>
      <c r="F2427" s="4">
        <v>148.30000000000001</v>
      </c>
      <c r="G2427" s="4">
        <v>144.5</v>
      </c>
      <c r="H2427" s="1" t="s">
        <v>195</v>
      </c>
      <c r="K2427">
        <v>2015</v>
      </c>
      <c r="L2427" t="s">
        <v>40</v>
      </c>
      <c r="M2427" t="s">
        <v>83</v>
      </c>
      <c r="N2427" t="s">
        <v>24</v>
      </c>
      <c r="O2427" t="s">
        <v>191</v>
      </c>
      <c r="P2427" s="1" t="s">
        <v>34</v>
      </c>
      <c r="Q2427">
        <v>112.7</v>
      </c>
    </row>
    <row r="2428" spans="1:17" x14ac:dyDescent="0.3">
      <c r="A2428">
        <v>2020</v>
      </c>
      <c r="B2428" t="s">
        <v>39</v>
      </c>
      <c r="C2428" t="s">
        <v>140</v>
      </c>
      <c r="D2428" s="1" t="s">
        <v>12</v>
      </c>
      <c r="E2428" s="4">
        <v>159.80000000000001</v>
      </c>
      <c r="F2428" s="4">
        <v>159.5</v>
      </c>
      <c r="G2428" s="4">
        <v>158.80000000000001</v>
      </c>
      <c r="H2428" s="1" t="s">
        <v>188</v>
      </c>
      <c r="K2428">
        <v>2015</v>
      </c>
      <c r="L2428" t="s">
        <v>40</v>
      </c>
      <c r="M2428" t="s">
        <v>83</v>
      </c>
      <c r="N2428" t="s">
        <v>24</v>
      </c>
      <c r="O2428" t="s">
        <v>191</v>
      </c>
      <c r="P2428" s="1" t="s">
        <v>33</v>
      </c>
      <c r="Q2428">
        <v>111.5</v>
      </c>
    </row>
    <row r="2429" spans="1:17" x14ac:dyDescent="0.3">
      <c r="A2429">
        <v>2020</v>
      </c>
      <c r="B2429" t="s">
        <v>39</v>
      </c>
      <c r="C2429" t="s">
        <v>140</v>
      </c>
      <c r="D2429" s="1" t="s">
        <v>11</v>
      </c>
      <c r="E2429" s="4">
        <v>113.2</v>
      </c>
      <c r="F2429" s="4">
        <v>114.2</v>
      </c>
      <c r="G2429" s="4">
        <v>116.3</v>
      </c>
      <c r="H2429" s="1" t="s">
        <v>188</v>
      </c>
      <c r="K2429">
        <v>2015</v>
      </c>
      <c r="L2429" t="s">
        <v>40</v>
      </c>
      <c r="M2429" t="s">
        <v>83</v>
      </c>
      <c r="N2429" t="s">
        <v>9</v>
      </c>
      <c r="O2429" t="s">
        <v>188</v>
      </c>
      <c r="P2429" s="1" t="s">
        <v>30</v>
      </c>
      <c r="Q2429">
        <v>140.80000000000001</v>
      </c>
    </row>
    <row r="2430" spans="1:17" x14ac:dyDescent="0.3">
      <c r="A2430">
        <v>2020</v>
      </c>
      <c r="B2430" t="s">
        <v>39</v>
      </c>
      <c r="C2430" t="s">
        <v>140</v>
      </c>
      <c r="D2430" s="1" t="s">
        <v>24</v>
      </c>
      <c r="E2430" s="4">
        <v>141.4</v>
      </c>
      <c r="F2430" s="4">
        <v>135</v>
      </c>
      <c r="G2430" s="4">
        <v>129.30000000000001</v>
      </c>
      <c r="H2430" s="1" t="s">
        <v>191</v>
      </c>
      <c r="K2430">
        <v>2015</v>
      </c>
      <c r="L2430" t="s">
        <v>40</v>
      </c>
      <c r="M2430" t="s">
        <v>83</v>
      </c>
      <c r="N2430" t="s">
        <v>9</v>
      </c>
      <c r="O2430" t="s">
        <v>188</v>
      </c>
      <c r="P2430" s="1" t="s">
        <v>34</v>
      </c>
      <c r="Q2430">
        <v>145.1</v>
      </c>
    </row>
    <row r="2431" spans="1:17" x14ac:dyDescent="0.3">
      <c r="A2431">
        <v>2020</v>
      </c>
      <c r="B2431" t="s">
        <v>39</v>
      </c>
      <c r="C2431" t="s">
        <v>140</v>
      </c>
      <c r="D2431" s="1" t="s">
        <v>9</v>
      </c>
      <c r="E2431" s="4">
        <v>148.9</v>
      </c>
      <c r="F2431" s="4">
        <v>156.5</v>
      </c>
      <c r="G2431" s="4">
        <v>171.2</v>
      </c>
      <c r="H2431" s="1" t="s">
        <v>188</v>
      </c>
      <c r="K2431">
        <v>2015</v>
      </c>
      <c r="L2431" t="s">
        <v>40</v>
      </c>
      <c r="M2431" t="s">
        <v>83</v>
      </c>
      <c r="N2431" t="s">
        <v>9</v>
      </c>
      <c r="O2431" t="s">
        <v>188</v>
      </c>
      <c r="P2431" s="1" t="s">
        <v>33</v>
      </c>
      <c r="Q2431">
        <v>153.5</v>
      </c>
    </row>
    <row r="2432" spans="1:17" x14ac:dyDescent="0.3">
      <c r="A2432">
        <v>2020</v>
      </c>
      <c r="B2432" t="s">
        <v>36</v>
      </c>
      <c r="C2432" t="s">
        <v>50</v>
      </c>
      <c r="D2432" s="1" t="s">
        <v>3</v>
      </c>
      <c r="E2432" s="4">
        <v>144.4</v>
      </c>
      <c r="F2432" s="4">
        <v>145.1</v>
      </c>
      <c r="G2432" s="4">
        <v>146.5</v>
      </c>
      <c r="H2432" s="1" t="s">
        <v>188</v>
      </c>
      <c r="K2432">
        <v>2015</v>
      </c>
      <c r="L2432" t="s">
        <v>39</v>
      </c>
      <c r="M2432" t="s">
        <v>84</v>
      </c>
      <c r="N2432" t="s">
        <v>3</v>
      </c>
      <c r="O2432" t="s">
        <v>188</v>
      </c>
      <c r="P2432" s="1" t="s">
        <v>30</v>
      </c>
      <c r="Q2432">
        <v>124.1</v>
      </c>
    </row>
    <row r="2433" spans="1:17" x14ac:dyDescent="0.3">
      <c r="A2433">
        <v>2020</v>
      </c>
      <c r="B2433" t="s">
        <v>36</v>
      </c>
      <c r="C2433" t="s">
        <v>50</v>
      </c>
      <c r="D2433" s="1" t="s">
        <v>17</v>
      </c>
      <c r="E2433" s="4">
        <v>153.4</v>
      </c>
      <c r="F2433" s="4">
        <v>151.19999999999999</v>
      </c>
      <c r="G2433" s="4">
        <v>147.69999999999999</v>
      </c>
      <c r="H2433" s="1" t="s">
        <v>189</v>
      </c>
      <c r="K2433">
        <v>2015</v>
      </c>
      <c r="L2433" t="s">
        <v>39</v>
      </c>
      <c r="M2433" t="s">
        <v>84</v>
      </c>
      <c r="N2433" t="s">
        <v>3</v>
      </c>
      <c r="O2433" t="s">
        <v>188</v>
      </c>
      <c r="P2433" s="1" t="s">
        <v>34</v>
      </c>
      <c r="Q2433">
        <v>123.9</v>
      </c>
    </row>
    <row r="2434" spans="1:17" x14ac:dyDescent="0.3">
      <c r="A2434">
        <v>2020</v>
      </c>
      <c r="B2434" t="s">
        <v>36</v>
      </c>
      <c r="C2434" t="s">
        <v>50</v>
      </c>
      <c r="D2434" s="1" t="s">
        <v>19</v>
      </c>
      <c r="E2434" s="4">
        <v>152.5</v>
      </c>
      <c r="F2434" s="4">
        <v>149.80000000000001</v>
      </c>
      <c r="G2434" s="4">
        <v>145.6</v>
      </c>
      <c r="H2434" s="1" t="s">
        <v>189</v>
      </c>
      <c r="K2434">
        <v>2015</v>
      </c>
      <c r="L2434" t="s">
        <v>39</v>
      </c>
      <c r="M2434" t="s">
        <v>84</v>
      </c>
      <c r="N2434" t="s">
        <v>3</v>
      </c>
      <c r="O2434" t="s">
        <v>188</v>
      </c>
      <c r="P2434" s="1" t="s">
        <v>33</v>
      </c>
      <c r="Q2434">
        <v>123.6</v>
      </c>
    </row>
    <row r="2435" spans="1:17" x14ac:dyDescent="0.3">
      <c r="A2435">
        <v>2020</v>
      </c>
      <c r="B2435" t="s">
        <v>36</v>
      </c>
      <c r="C2435" t="s">
        <v>50</v>
      </c>
      <c r="D2435" s="1" t="s">
        <v>26</v>
      </c>
      <c r="E2435" s="4">
        <v>161.19999999999999</v>
      </c>
      <c r="F2435" s="4">
        <v>156.1</v>
      </c>
      <c r="G2435" s="4">
        <v>152.5</v>
      </c>
      <c r="H2435" s="1" t="s">
        <v>26</v>
      </c>
      <c r="K2435">
        <v>2015</v>
      </c>
      <c r="L2435" t="s">
        <v>39</v>
      </c>
      <c r="M2435" t="s">
        <v>84</v>
      </c>
      <c r="N2435" t="s">
        <v>17</v>
      </c>
      <c r="O2435" t="s">
        <v>189</v>
      </c>
      <c r="P2435" s="1" t="s">
        <v>30</v>
      </c>
      <c r="Q2435">
        <v>128.4</v>
      </c>
    </row>
    <row r="2436" spans="1:17" x14ac:dyDescent="0.3">
      <c r="A2436">
        <v>2020</v>
      </c>
      <c r="B2436" t="s">
        <v>36</v>
      </c>
      <c r="C2436" t="s">
        <v>50</v>
      </c>
      <c r="D2436" s="1" t="s">
        <v>5</v>
      </c>
      <c r="E2436" s="4">
        <v>147.6</v>
      </c>
      <c r="F2436" s="4">
        <v>148.1</v>
      </c>
      <c r="G2436" s="4">
        <v>148.9</v>
      </c>
      <c r="H2436" s="1" t="s">
        <v>188</v>
      </c>
      <c r="K2436">
        <v>2015</v>
      </c>
      <c r="L2436" t="s">
        <v>39</v>
      </c>
      <c r="M2436" t="s">
        <v>84</v>
      </c>
      <c r="N2436" t="s">
        <v>17</v>
      </c>
      <c r="O2436" t="s">
        <v>189</v>
      </c>
      <c r="P2436" s="1" t="s">
        <v>34</v>
      </c>
      <c r="Q2436">
        <v>126.4</v>
      </c>
    </row>
    <row r="2437" spans="1:17" x14ac:dyDescent="0.3">
      <c r="A2437">
        <v>2020</v>
      </c>
      <c r="B2437" t="s">
        <v>36</v>
      </c>
      <c r="C2437" t="s">
        <v>50</v>
      </c>
      <c r="D2437" s="1" t="s">
        <v>15</v>
      </c>
      <c r="E2437" s="4">
        <v>148.19999999999999</v>
      </c>
      <c r="F2437" s="4">
        <v>148.9</v>
      </c>
      <c r="G2437" s="4">
        <v>150.1</v>
      </c>
      <c r="H2437" s="1" t="s">
        <v>188</v>
      </c>
      <c r="K2437">
        <v>2015</v>
      </c>
      <c r="L2437" t="s">
        <v>39</v>
      </c>
      <c r="M2437" t="s">
        <v>84</v>
      </c>
      <c r="N2437" t="s">
        <v>17</v>
      </c>
      <c r="O2437" t="s">
        <v>189</v>
      </c>
      <c r="P2437" s="1" t="s">
        <v>33</v>
      </c>
      <c r="Q2437">
        <v>123.2</v>
      </c>
    </row>
    <row r="2438" spans="1:17" x14ac:dyDescent="0.3">
      <c r="A2438">
        <v>2020</v>
      </c>
      <c r="B2438" t="s">
        <v>36</v>
      </c>
      <c r="C2438" t="s">
        <v>50</v>
      </c>
      <c r="D2438" s="1" t="s">
        <v>18</v>
      </c>
      <c r="E2438" s="4">
        <v>147.6</v>
      </c>
      <c r="F2438" s="4">
        <v>141.9</v>
      </c>
      <c r="G2438" s="4">
        <v>133.80000000000001</v>
      </c>
      <c r="H2438" s="1" t="s">
        <v>189</v>
      </c>
      <c r="K2438">
        <v>2015</v>
      </c>
      <c r="L2438" t="s">
        <v>39</v>
      </c>
      <c r="M2438" t="s">
        <v>84</v>
      </c>
      <c r="N2438" t="s">
        <v>19</v>
      </c>
      <c r="O2438" t="s">
        <v>189</v>
      </c>
      <c r="P2438" s="1" t="s">
        <v>30</v>
      </c>
      <c r="Q2438">
        <v>128</v>
      </c>
    </row>
    <row r="2439" spans="1:17" x14ac:dyDescent="0.3">
      <c r="A2439">
        <v>2020</v>
      </c>
      <c r="B2439" t="s">
        <v>36</v>
      </c>
      <c r="C2439" t="s">
        <v>50</v>
      </c>
      <c r="D2439" s="1" t="s">
        <v>8</v>
      </c>
      <c r="E2439" s="4">
        <v>141.80000000000001</v>
      </c>
      <c r="F2439" s="4">
        <v>142.5</v>
      </c>
      <c r="G2439" s="4">
        <v>143.30000000000001</v>
      </c>
      <c r="H2439" s="1" t="s">
        <v>188</v>
      </c>
      <c r="K2439">
        <v>2015</v>
      </c>
      <c r="L2439" t="s">
        <v>39</v>
      </c>
      <c r="M2439" t="s">
        <v>84</v>
      </c>
      <c r="N2439" t="s">
        <v>19</v>
      </c>
      <c r="O2439" t="s">
        <v>189</v>
      </c>
      <c r="P2439" s="1" t="s">
        <v>34</v>
      </c>
      <c r="Q2439">
        <v>125.7</v>
      </c>
    </row>
    <row r="2440" spans="1:17" x14ac:dyDescent="0.3">
      <c r="A2440">
        <v>2020</v>
      </c>
      <c r="B2440" t="s">
        <v>36</v>
      </c>
      <c r="C2440" t="s">
        <v>50</v>
      </c>
      <c r="D2440" s="1" t="s">
        <v>21</v>
      </c>
      <c r="E2440" s="4">
        <v>153.4</v>
      </c>
      <c r="F2440" s="4">
        <v>148.9</v>
      </c>
      <c r="G2440" s="4">
        <v>141.4</v>
      </c>
      <c r="H2440" s="1" t="s">
        <v>190</v>
      </c>
      <c r="K2440">
        <v>2015</v>
      </c>
      <c r="L2440" t="s">
        <v>39</v>
      </c>
      <c r="M2440" t="s">
        <v>84</v>
      </c>
      <c r="N2440" t="s">
        <v>19</v>
      </c>
      <c r="O2440" t="s">
        <v>189</v>
      </c>
      <c r="P2440" s="1" t="s">
        <v>33</v>
      </c>
      <c r="Q2440">
        <v>122.3</v>
      </c>
    </row>
    <row r="2441" spans="1:17" x14ac:dyDescent="0.3">
      <c r="A2441">
        <v>2020</v>
      </c>
      <c r="B2441" t="s">
        <v>36</v>
      </c>
      <c r="C2441" t="s">
        <v>50</v>
      </c>
      <c r="D2441" s="1" t="s">
        <v>29</v>
      </c>
      <c r="E2441" s="4">
        <v>149.80000000000001</v>
      </c>
      <c r="F2441" s="4">
        <v>148.6</v>
      </c>
      <c r="G2441" s="4">
        <v>147.30000000000001</v>
      </c>
      <c r="H2441" s="1" t="s">
        <v>206</v>
      </c>
      <c r="K2441">
        <v>2015</v>
      </c>
      <c r="L2441" t="s">
        <v>39</v>
      </c>
      <c r="M2441" t="s">
        <v>84</v>
      </c>
      <c r="N2441" t="s">
        <v>26</v>
      </c>
      <c r="O2441" t="s">
        <v>26</v>
      </c>
      <c r="P2441" s="1" t="s">
        <v>30</v>
      </c>
      <c r="Q2441">
        <v>122</v>
      </c>
    </row>
    <row r="2442" spans="1:17" x14ac:dyDescent="0.3">
      <c r="A2442">
        <v>2020</v>
      </c>
      <c r="B2442" t="s">
        <v>36</v>
      </c>
      <c r="C2442" t="s">
        <v>50</v>
      </c>
      <c r="D2442" s="1" t="s">
        <v>23</v>
      </c>
      <c r="E2442" s="4">
        <v>156.69999999999999</v>
      </c>
      <c r="F2442" s="4">
        <v>152.30000000000001</v>
      </c>
      <c r="G2442" s="4">
        <v>145</v>
      </c>
      <c r="H2442" s="1" t="s">
        <v>23</v>
      </c>
      <c r="K2442">
        <v>2015</v>
      </c>
      <c r="L2442" t="s">
        <v>39</v>
      </c>
      <c r="M2442" t="s">
        <v>84</v>
      </c>
      <c r="N2442" t="s">
        <v>26</v>
      </c>
      <c r="O2442" t="s">
        <v>26</v>
      </c>
      <c r="P2442" s="1" t="s">
        <v>34</v>
      </c>
      <c r="Q2442">
        <v>123.1</v>
      </c>
    </row>
    <row r="2443" spans="1:17" x14ac:dyDescent="0.3">
      <c r="A2443">
        <v>2020</v>
      </c>
      <c r="B2443" t="s">
        <v>36</v>
      </c>
      <c r="C2443" t="s">
        <v>50</v>
      </c>
      <c r="D2443" s="1" t="s">
        <v>22</v>
      </c>
      <c r="E2443" s="4">
        <v>151.5</v>
      </c>
      <c r="F2443" s="4">
        <v>146.4</v>
      </c>
      <c r="G2443" s="4">
        <v>140.80000000000001</v>
      </c>
      <c r="H2443" s="1" t="s">
        <v>20</v>
      </c>
      <c r="K2443">
        <v>2015</v>
      </c>
      <c r="L2443" t="s">
        <v>39</v>
      </c>
      <c r="M2443" t="s">
        <v>84</v>
      </c>
      <c r="N2443" t="s">
        <v>26</v>
      </c>
      <c r="O2443" t="s">
        <v>26</v>
      </c>
      <c r="P2443" s="1" t="s">
        <v>33</v>
      </c>
      <c r="Q2443">
        <v>123.8</v>
      </c>
    </row>
    <row r="2444" spans="1:17" x14ac:dyDescent="0.3">
      <c r="A2444">
        <v>2020</v>
      </c>
      <c r="B2444" t="s">
        <v>36</v>
      </c>
      <c r="C2444" t="s">
        <v>50</v>
      </c>
      <c r="D2444" s="1" t="s">
        <v>20</v>
      </c>
      <c r="E2444" s="4">
        <v>0</v>
      </c>
      <c r="F2444" s="4">
        <v>154.5</v>
      </c>
      <c r="G2444" s="4">
        <v>154.5</v>
      </c>
      <c r="H2444" s="1" t="s">
        <v>20</v>
      </c>
      <c r="K2444">
        <v>2015</v>
      </c>
      <c r="L2444" t="s">
        <v>39</v>
      </c>
      <c r="M2444" t="s">
        <v>84</v>
      </c>
      <c r="N2444" t="s">
        <v>5</v>
      </c>
      <c r="O2444" t="s">
        <v>188</v>
      </c>
      <c r="P2444" s="1" t="s">
        <v>30</v>
      </c>
      <c r="Q2444">
        <v>122.1</v>
      </c>
    </row>
    <row r="2445" spans="1:17" x14ac:dyDescent="0.3">
      <c r="A2445">
        <v>2020</v>
      </c>
      <c r="B2445" t="s">
        <v>36</v>
      </c>
      <c r="C2445" t="s">
        <v>50</v>
      </c>
      <c r="D2445" s="1" t="s">
        <v>4</v>
      </c>
      <c r="E2445" s="4">
        <v>166.8</v>
      </c>
      <c r="F2445" s="4">
        <v>167</v>
      </c>
      <c r="G2445" s="4">
        <v>167.5</v>
      </c>
      <c r="H2445" s="1" t="s">
        <v>188</v>
      </c>
      <c r="K2445">
        <v>2015</v>
      </c>
      <c r="L2445" t="s">
        <v>39</v>
      </c>
      <c r="M2445" t="s">
        <v>84</v>
      </c>
      <c r="N2445" t="s">
        <v>5</v>
      </c>
      <c r="O2445" t="s">
        <v>188</v>
      </c>
      <c r="P2445" s="1" t="s">
        <v>34</v>
      </c>
      <c r="Q2445">
        <v>121.6</v>
      </c>
    </row>
    <row r="2446" spans="1:17" x14ac:dyDescent="0.3">
      <c r="A2446">
        <v>2020</v>
      </c>
      <c r="B2446" t="s">
        <v>36</v>
      </c>
      <c r="C2446" t="s">
        <v>50</v>
      </c>
      <c r="D2446" s="1" t="s">
        <v>6</v>
      </c>
      <c r="E2446" s="4">
        <v>151.69999999999999</v>
      </c>
      <c r="F2446" s="4">
        <v>151.5</v>
      </c>
      <c r="G2446" s="4">
        <v>151.1</v>
      </c>
      <c r="H2446" s="1" t="s">
        <v>188</v>
      </c>
      <c r="K2446">
        <v>2015</v>
      </c>
      <c r="L2446" t="s">
        <v>39</v>
      </c>
      <c r="M2446" t="s">
        <v>84</v>
      </c>
      <c r="N2446" t="s">
        <v>5</v>
      </c>
      <c r="O2446" t="s">
        <v>188</v>
      </c>
      <c r="P2446" s="1" t="s">
        <v>33</v>
      </c>
      <c r="Q2446">
        <v>120.9</v>
      </c>
    </row>
    <row r="2447" spans="1:17" x14ac:dyDescent="0.3">
      <c r="A2447">
        <v>2020</v>
      </c>
      <c r="B2447" t="s">
        <v>36</v>
      </c>
      <c r="C2447" t="s">
        <v>50</v>
      </c>
      <c r="D2447" s="1" t="s">
        <v>28</v>
      </c>
      <c r="E2447" s="4">
        <v>148.6</v>
      </c>
      <c r="F2447" s="4">
        <v>143.80000000000001</v>
      </c>
      <c r="G2447" s="4">
        <v>138.69999999999999</v>
      </c>
      <c r="H2447" s="1" t="s">
        <v>192</v>
      </c>
      <c r="K2447">
        <v>2015</v>
      </c>
      <c r="L2447" t="s">
        <v>39</v>
      </c>
      <c r="M2447" t="s">
        <v>84</v>
      </c>
      <c r="N2447" t="s">
        <v>15</v>
      </c>
      <c r="O2447" t="s">
        <v>188</v>
      </c>
      <c r="P2447" s="1" t="s">
        <v>30</v>
      </c>
      <c r="Q2447">
        <v>126.6</v>
      </c>
    </row>
    <row r="2448" spans="1:17" x14ac:dyDescent="0.3">
      <c r="A2448">
        <v>2020</v>
      </c>
      <c r="B2448" t="s">
        <v>36</v>
      </c>
      <c r="C2448" t="s">
        <v>50</v>
      </c>
      <c r="D2448" s="1" t="s">
        <v>13</v>
      </c>
      <c r="E2448" s="4">
        <v>140.1</v>
      </c>
      <c r="F2448" s="4">
        <v>136.69999999999999</v>
      </c>
      <c r="G2448" s="4">
        <v>131.9</v>
      </c>
      <c r="H2448" s="1" t="s">
        <v>188</v>
      </c>
      <c r="K2448">
        <v>2015</v>
      </c>
      <c r="L2448" t="s">
        <v>39</v>
      </c>
      <c r="M2448" t="s">
        <v>84</v>
      </c>
      <c r="N2448" t="s">
        <v>15</v>
      </c>
      <c r="O2448" t="s">
        <v>188</v>
      </c>
      <c r="P2448" s="1" t="s">
        <v>34</v>
      </c>
      <c r="Q2448">
        <v>127.3</v>
      </c>
    </row>
    <row r="2449" spans="1:17" x14ac:dyDescent="0.3">
      <c r="A2449">
        <v>2020</v>
      </c>
      <c r="B2449" t="s">
        <v>36</v>
      </c>
      <c r="C2449" t="s">
        <v>50</v>
      </c>
      <c r="D2449" s="1" t="s">
        <v>7</v>
      </c>
      <c r="E2449" s="4">
        <v>133.30000000000001</v>
      </c>
      <c r="F2449" s="4">
        <v>131.19999999999999</v>
      </c>
      <c r="G2449" s="4">
        <v>127.5</v>
      </c>
      <c r="H2449" s="1" t="s">
        <v>188</v>
      </c>
      <c r="K2449">
        <v>2015</v>
      </c>
      <c r="L2449" t="s">
        <v>39</v>
      </c>
      <c r="M2449" t="s">
        <v>84</v>
      </c>
      <c r="N2449" t="s">
        <v>15</v>
      </c>
      <c r="O2449" t="s">
        <v>188</v>
      </c>
      <c r="P2449" s="1" t="s">
        <v>33</v>
      </c>
      <c r="Q2449">
        <v>128.5</v>
      </c>
    </row>
    <row r="2450" spans="1:17" x14ac:dyDescent="0.3">
      <c r="A2450">
        <v>2020</v>
      </c>
      <c r="B2450" t="s">
        <v>36</v>
      </c>
      <c r="C2450" t="s">
        <v>50</v>
      </c>
      <c r="D2450" s="1" t="s">
        <v>16</v>
      </c>
      <c r="E2450" s="4">
        <v>170.5</v>
      </c>
      <c r="F2450" s="4">
        <v>171.2</v>
      </c>
      <c r="G2450" s="4">
        <v>173.3</v>
      </c>
      <c r="H2450" s="1" t="s">
        <v>192</v>
      </c>
      <c r="K2450">
        <v>2015</v>
      </c>
      <c r="L2450" t="s">
        <v>39</v>
      </c>
      <c r="M2450" t="s">
        <v>84</v>
      </c>
      <c r="N2450" t="s">
        <v>18</v>
      </c>
      <c r="O2450" t="s">
        <v>189</v>
      </c>
      <c r="P2450" s="1" t="s">
        <v>30</v>
      </c>
      <c r="Q2450">
        <v>125.1</v>
      </c>
    </row>
    <row r="2451" spans="1:17" x14ac:dyDescent="0.3">
      <c r="A2451">
        <v>2020</v>
      </c>
      <c r="B2451" t="s">
        <v>36</v>
      </c>
      <c r="C2451" t="s">
        <v>50</v>
      </c>
      <c r="D2451" s="1" t="s">
        <v>27</v>
      </c>
      <c r="E2451" s="4">
        <v>145.1</v>
      </c>
      <c r="F2451" s="4">
        <v>145.19999999999999</v>
      </c>
      <c r="G2451" s="4">
        <v>145.30000000000001</v>
      </c>
      <c r="H2451" s="1" t="s">
        <v>192</v>
      </c>
      <c r="K2451">
        <v>2015</v>
      </c>
      <c r="L2451" t="s">
        <v>39</v>
      </c>
      <c r="M2451" t="s">
        <v>84</v>
      </c>
      <c r="N2451" t="s">
        <v>18</v>
      </c>
      <c r="O2451" t="s">
        <v>189</v>
      </c>
      <c r="P2451" s="1" t="s">
        <v>34</v>
      </c>
      <c r="Q2451">
        <v>122</v>
      </c>
    </row>
    <row r="2452" spans="1:17" x14ac:dyDescent="0.3">
      <c r="A2452">
        <v>2020</v>
      </c>
      <c r="B2452" t="s">
        <v>36</v>
      </c>
      <c r="C2452" t="s">
        <v>50</v>
      </c>
      <c r="D2452" s="1" t="s">
        <v>14</v>
      </c>
      <c r="E2452" s="4">
        <v>160</v>
      </c>
      <c r="F2452" s="4">
        <v>159.6</v>
      </c>
      <c r="G2452" s="4">
        <v>159.1</v>
      </c>
      <c r="H2452" s="1" t="s">
        <v>188</v>
      </c>
      <c r="K2452">
        <v>2015</v>
      </c>
      <c r="L2452" t="s">
        <v>39</v>
      </c>
      <c r="M2452" t="s">
        <v>84</v>
      </c>
      <c r="N2452" t="s">
        <v>18</v>
      </c>
      <c r="O2452" t="s">
        <v>189</v>
      </c>
      <c r="P2452" s="1" t="s">
        <v>33</v>
      </c>
      <c r="Q2452">
        <v>117.6</v>
      </c>
    </row>
    <row r="2453" spans="1:17" x14ac:dyDescent="0.3">
      <c r="A2453">
        <v>2020</v>
      </c>
      <c r="B2453" t="s">
        <v>36</v>
      </c>
      <c r="C2453" t="s">
        <v>50</v>
      </c>
      <c r="D2453" s="1" t="s">
        <v>10</v>
      </c>
      <c r="E2453" s="4">
        <v>141.80000000000001</v>
      </c>
      <c r="F2453" s="4">
        <v>141.1</v>
      </c>
      <c r="G2453" s="4">
        <v>139.69999999999999</v>
      </c>
      <c r="H2453" s="1" t="s">
        <v>188</v>
      </c>
      <c r="K2453">
        <v>2015</v>
      </c>
      <c r="L2453" t="s">
        <v>39</v>
      </c>
      <c r="M2453" t="s">
        <v>84</v>
      </c>
      <c r="N2453" t="s">
        <v>8</v>
      </c>
      <c r="O2453" t="s">
        <v>188</v>
      </c>
      <c r="P2453" s="1" t="s">
        <v>30</v>
      </c>
      <c r="Q2453">
        <v>133.19999999999999</v>
      </c>
    </row>
    <row r="2454" spans="1:17" x14ac:dyDescent="0.3">
      <c r="A2454">
        <v>2020</v>
      </c>
      <c r="B2454" t="s">
        <v>36</v>
      </c>
      <c r="C2454" t="s">
        <v>50</v>
      </c>
      <c r="D2454" s="1" t="s">
        <v>25</v>
      </c>
      <c r="E2454" s="4">
        <v>151.19999999999999</v>
      </c>
      <c r="F2454" s="4">
        <v>143.69999999999999</v>
      </c>
      <c r="G2454" s="4">
        <v>137.9</v>
      </c>
      <c r="H2454" s="1" t="s">
        <v>195</v>
      </c>
      <c r="K2454">
        <v>2015</v>
      </c>
      <c r="L2454" t="s">
        <v>39</v>
      </c>
      <c r="M2454" t="s">
        <v>84</v>
      </c>
      <c r="N2454" t="s">
        <v>8</v>
      </c>
      <c r="O2454" t="s">
        <v>188</v>
      </c>
      <c r="P2454" s="1" t="s">
        <v>34</v>
      </c>
      <c r="Q2454">
        <v>132.80000000000001</v>
      </c>
    </row>
    <row r="2455" spans="1:17" x14ac:dyDescent="0.3">
      <c r="A2455">
        <v>2020</v>
      </c>
      <c r="B2455" t="s">
        <v>36</v>
      </c>
      <c r="C2455" t="s">
        <v>50</v>
      </c>
      <c r="D2455" s="1" t="s">
        <v>12</v>
      </c>
      <c r="E2455" s="4">
        <v>154</v>
      </c>
      <c r="F2455" s="4">
        <v>153.19999999999999</v>
      </c>
      <c r="G2455" s="4">
        <v>151.5</v>
      </c>
      <c r="H2455" s="1" t="s">
        <v>188</v>
      </c>
      <c r="K2455">
        <v>2015</v>
      </c>
      <c r="L2455" t="s">
        <v>39</v>
      </c>
      <c r="M2455" t="s">
        <v>84</v>
      </c>
      <c r="N2455" t="s">
        <v>8</v>
      </c>
      <c r="O2455" t="s">
        <v>188</v>
      </c>
      <c r="P2455" s="1" t="s">
        <v>33</v>
      </c>
      <c r="Q2455">
        <v>132.30000000000001</v>
      </c>
    </row>
    <row r="2456" spans="1:17" x14ac:dyDescent="0.3">
      <c r="A2456">
        <v>2020</v>
      </c>
      <c r="B2456" t="s">
        <v>36</v>
      </c>
      <c r="C2456" t="s">
        <v>50</v>
      </c>
      <c r="D2456" s="1" t="s">
        <v>11</v>
      </c>
      <c r="E2456" s="4">
        <v>112.6</v>
      </c>
      <c r="F2456" s="4">
        <v>113.2</v>
      </c>
      <c r="G2456" s="4">
        <v>114.4</v>
      </c>
      <c r="H2456" s="1" t="s">
        <v>188</v>
      </c>
      <c r="K2456">
        <v>2015</v>
      </c>
      <c r="L2456" t="s">
        <v>39</v>
      </c>
      <c r="M2456" t="s">
        <v>84</v>
      </c>
      <c r="N2456" t="s">
        <v>21</v>
      </c>
      <c r="O2456" t="s">
        <v>190</v>
      </c>
      <c r="P2456" s="1" t="s">
        <v>30</v>
      </c>
      <c r="Q2456">
        <v>122.6</v>
      </c>
    </row>
    <row r="2457" spans="1:17" x14ac:dyDescent="0.3">
      <c r="A2457">
        <v>2020</v>
      </c>
      <c r="B2457" t="s">
        <v>36</v>
      </c>
      <c r="C2457" t="s">
        <v>50</v>
      </c>
      <c r="D2457" s="1" t="s">
        <v>24</v>
      </c>
      <c r="E2457" s="4">
        <v>135.80000000000001</v>
      </c>
      <c r="F2457" s="4">
        <v>129.9</v>
      </c>
      <c r="G2457" s="4">
        <v>124.6</v>
      </c>
      <c r="H2457" s="1" t="s">
        <v>191</v>
      </c>
      <c r="K2457">
        <v>2015</v>
      </c>
      <c r="L2457" t="s">
        <v>39</v>
      </c>
      <c r="M2457" t="s">
        <v>84</v>
      </c>
      <c r="N2457" t="s">
        <v>21</v>
      </c>
      <c r="O2457" t="s">
        <v>190</v>
      </c>
      <c r="P2457" s="1" t="s">
        <v>34</v>
      </c>
      <c r="Q2457">
        <v>119.8</v>
      </c>
    </row>
    <row r="2458" spans="1:17" x14ac:dyDescent="0.3">
      <c r="A2458">
        <v>2020</v>
      </c>
      <c r="B2458" t="s">
        <v>36</v>
      </c>
      <c r="C2458" t="s">
        <v>50</v>
      </c>
      <c r="D2458" s="1" t="s">
        <v>9</v>
      </c>
      <c r="E2458" s="4">
        <v>152.30000000000001</v>
      </c>
      <c r="F2458" s="4">
        <v>157.30000000000001</v>
      </c>
      <c r="G2458" s="4">
        <v>167</v>
      </c>
      <c r="H2458" s="1" t="s">
        <v>188</v>
      </c>
      <c r="K2458">
        <v>2015</v>
      </c>
      <c r="L2458" t="s">
        <v>39</v>
      </c>
      <c r="M2458" t="s">
        <v>84</v>
      </c>
      <c r="N2458" t="s">
        <v>21</v>
      </c>
      <c r="O2458" t="s">
        <v>190</v>
      </c>
      <c r="P2458" s="1" t="s">
        <v>33</v>
      </c>
      <c r="Q2458">
        <v>115.1</v>
      </c>
    </row>
    <row r="2459" spans="1:17" x14ac:dyDescent="0.3">
      <c r="A2459">
        <v>2020</v>
      </c>
      <c r="B2459" t="s">
        <v>38</v>
      </c>
      <c r="C2459" t="s">
        <v>52</v>
      </c>
      <c r="D2459" s="1" t="s">
        <v>3</v>
      </c>
      <c r="E2459" s="4">
        <v>145.26666666666668</v>
      </c>
      <c r="F2459" s="4">
        <v>146.19999999999999</v>
      </c>
      <c r="G2459" s="4">
        <v>148.16666666666666</v>
      </c>
      <c r="H2459" s="1" t="s">
        <v>188</v>
      </c>
      <c r="K2459">
        <v>2015</v>
      </c>
      <c r="L2459" t="s">
        <v>39</v>
      </c>
      <c r="M2459" t="s">
        <v>84</v>
      </c>
      <c r="N2459" t="s">
        <v>29</v>
      </c>
      <c r="O2459" t="s">
        <v>206</v>
      </c>
      <c r="P2459" s="1" t="s">
        <v>30</v>
      </c>
      <c r="Q2459">
        <v>124.1</v>
      </c>
    </row>
    <row r="2460" spans="1:17" x14ac:dyDescent="0.3">
      <c r="A2460">
        <v>2020</v>
      </c>
      <c r="B2460" t="s">
        <v>38</v>
      </c>
      <c r="C2460" t="s">
        <v>52</v>
      </c>
      <c r="D2460" s="1" t="s">
        <v>17</v>
      </c>
      <c r="E2460" s="4">
        <v>153.15555555555557</v>
      </c>
      <c r="F2460" s="4">
        <v>149.7777777777778</v>
      </c>
      <c r="G2460" s="4">
        <v>148.61111111111111</v>
      </c>
      <c r="H2460" s="1" t="s">
        <v>189</v>
      </c>
      <c r="K2460">
        <v>2015</v>
      </c>
      <c r="L2460" t="s">
        <v>39</v>
      </c>
      <c r="M2460" t="s">
        <v>84</v>
      </c>
      <c r="N2460" t="s">
        <v>29</v>
      </c>
      <c r="O2460" t="s">
        <v>206</v>
      </c>
      <c r="P2460" s="1" t="s">
        <v>34</v>
      </c>
      <c r="Q2460">
        <v>123</v>
      </c>
    </row>
    <row r="2461" spans="1:17" x14ac:dyDescent="0.3">
      <c r="A2461">
        <v>2020</v>
      </c>
      <c r="B2461" t="s">
        <v>38</v>
      </c>
      <c r="C2461" t="s">
        <v>52</v>
      </c>
      <c r="D2461" s="1" t="s">
        <v>19</v>
      </c>
      <c r="E2461" s="4">
        <v>152.36666666666667</v>
      </c>
      <c r="F2461" s="4">
        <v>148.17777777777778</v>
      </c>
      <c r="G2461" s="4">
        <v>146.76666666666665</v>
      </c>
      <c r="H2461" s="1" t="s">
        <v>189</v>
      </c>
      <c r="K2461">
        <v>2015</v>
      </c>
      <c r="L2461" t="s">
        <v>39</v>
      </c>
      <c r="M2461" t="s">
        <v>84</v>
      </c>
      <c r="N2461" t="s">
        <v>29</v>
      </c>
      <c r="O2461" t="s">
        <v>206</v>
      </c>
      <c r="P2461" s="1" t="s">
        <v>33</v>
      </c>
      <c r="Q2461">
        <v>121.7</v>
      </c>
    </row>
    <row r="2462" spans="1:17" x14ac:dyDescent="0.3">
      <c r="A2462">
        <v>2020</v>
      </c>
      <c r="B2462" t="s">
        <v>38</v>
      </c>
      <c r="C2462" t="s">
        <v>52</v>
      </c>
      <c r="D2462" s="1" t="s">
        <v>26</v>
      </c>
      <c r="E2462" s="4">
        <v>161.56666666666669</v>
      </c>
      <c r="F2462" s="4">
        <v>154.85555555555553</v>
      </c>
      <c r="G2462" s="4">
        <v>153.61111111111111</v>
      </c>
      <c r="H2462" s="1" t="s">
        <v>26</v>
      </c>
      <c r="K2462">
        <v>2015</v>
      </c>
      <c r="L2462" t="s">
        <v>39</v>
      </c>
      <c r="M2462" t="s">
        <v>84</v>
      </c>
      <c r="N2462" t="s">
        <v>23</v>
      </c>
      <c r="O2462" t="s">
        <v>23</v>
      </c>
      <c r="P2462" s="1" t="s">
        <v>30</v>
      </c>
      <c r="Q2462">
        <v>120.4</v>
      </c>
    </row>
    <row r="2463" spans="1:17" x14ac:dyDescent="0.3">
      <c r="A2463">
        <v>2020</v>
      </c>
      <c r="B2463" t="s">
        <v>38</v>
      </c>
      <c r="C2463" t="s">
        <v>52</v>
      </c>
      <c r="D2463" s="1" t="s">
        <v>5</v>
      </c>
      <c r="E2463" s="4">
        <v>148.46666666666667</v>
      </c>
      <c r="F2463" s="4">
        <v>149.56666666666666</v>
      </c>
      <c r="G2463" s="4">
        <v>151.29999999999998</v>
      </c>
      <c r="H2463" s="1" t="s">
        <v>188</v>
      </c>
      <c r="K2463">
        <v>2015</v>
      </c>
      <c r="L2463" t="s">
        <v>39</v>
      </c>
      <c r="M2463" t="s">
        <v>84</v>
      </c>
      <c r="N2463" t="s">
        <v>23</v>
      </c>
      <c r="O2463" t="s">
        <v>23</v>
      </c>
      <c r="P2463" s="1" t="s">
        <v>34</v>
      </c>
      <c r="Q2463">
        <v>118.5</v>
      </c>
    </row>
    <row r="2464" spans="1:17" x14ac:dyDescent="0.3">
      <c r="A2464">
        <v>2020</v>
      </c>
      <c r="B2464" t="s">
        <v>38</v>
      </c>
      <c r="C2464" t="s">
        <v>52</v>
      </c>
      <c r="D2464" s="1" t="s">
        <v>15</v>
      </c>
      <c r="E2464" s="4">
        <v>149.36666666666667</v>
      </c>
      <c r="F2464" s="4">
        <v>150.26666666666665</v>
      </c>
      <c r="G2464" s="4">
        <v>151.76666666666665</v>
      </c>
      <c r="H2464" s="1" t="s">
        <v>188</v>
      </c>
      <c r="K2464">
        <v>2015</v>
      </c>
      <c r="L2464" t="s">
        <v>39</v>
      </c>
      <c r="M2464" t="s">
        <v>84</v>
      </c>
      <c r="N2464" t="s">
        <v>23</v>
      </c>
      <c r="O2464" t="s">
        <v>23</v>
      </c>
      <c r="P2464" s="1" t="s">
        <v>33</v>
      </c>
      <c r="Q2464">
        <v>115.4</v>
      </c>
    </row>
    <row r="2465" spans="1:17" x14ac:dyDescent="0.3">
      <c r="A2465">
        <v>2020</v>
      </c>
      <c r="B2465" t="s">
        <v>38</v>
      </c>
      <c r="C2465" t="s">
        <v>52</v>
      </c>
      <c r="D2465" s="1" t="s">
        <v>18</v>
      </c>
      <c r="E2465" s="4">
        <v>147.53333333333333</v>
      </c>
      <c r="F2465" s="4">
        <v>139.03333333333333</v>
      </c>
      <c r="G2465" s="4">
        <v>136.33333333333334</v>
      </c>
      <c r="H2465" s="1" t="s">
        <v>189</v>
      </c>
      <c r="K2465">
        <v>2015</v>
      </c>
      <c r="L2465" t="s">
        <v>39</v>
      </c>
      <c r="M2465" t="s">
        <v>84</v>
      </c>
      <c r="N2465" t="s">
        <v>22</v>
      </c>
      <c r="O2465" t="s">
        <v>20</v>
      </c>
      <c r="P2465" s="1" t="s">
        <v>30</v>
      </c>
      <c r="Q2465">
        <v>122.8</v>
      </c>
    </row>
    <row r="2466" spans="1:17" x14ac:dyDescent="0.3">
      <c r="A2466">
        <v>2020</v>
      </c>
      <c r="B2466" t="s">
        <v>38</v>
      </c>
      <c r="C2466" t="s">
        <v>52</v>
      </c>
      <c r="D2466" s="1" t="s">
        <v>8</v>
      </c>
      <c r="E2466" s="4">
        <v>143.26666666666668</v>
      </c>
      <c r="F2466" s="4">
        <v>144.73333333333335</v>
      </c>
      <c r="G2466" s="4">
        <v>146.43333333333331</v>
      </c>
      <c r="H2466" s="1" t="s">
        <v>188</v>
      </c>
      <c r="K2466">
        <v>2015</v>
      </c>
      <c r="L2466" t="s">
        <v>39</v>
      </c>
      <c r="M2466" t="s">
        <v>84</v>
      </c>
      <c r="N2466" t="s">
        <v>22</v>
      </c>
      <c r="O2466" t="s">
        <v>20</v>
      </c>
      <c r="P2466" s="1" t="s">
        <v>34</v>
      </c>
      <c r="Q2466">
        <v>121.1</v>
      </c>
    </row>
    <row r="2467" spans="1:17" x14ac:dyDescent="0.3">
      <c r="A2467">
        <v>2020</v>
      </c>
      <c r="B2467" t="s">
        <v>38</v>
      </c>
      <c r="C2467" t="s">
        <v>52</v>
      </c>
      <c r="D2467" s="1" t="s">
        <v>21</v>
      </c>
      <c r="E2467" s="4">
        <v>151.36666666666667</v>
      </c>
      <c r="F2467" s="4">
        <v>146.73333333333335</v>
      </c>
      <c r="G2467" s="4">
        <v>139.13333333333333</v>
      </c>
      <c r="H2467" s="1" t="s">
        <v>190</v>
      </c>
      <c r="K2467">
        <v>2015</v>
      </c>
      <c r="L2467" t="s">
        <v>39</v>
      </c>
      <c r="M2467" t="s">
        <v>84</v>
      </c>
      <c r="N2467" t="s">
        <v>22</v>
      </c>
      <c r="O2467" t="s">
        <v>20</v>
      </c>
      <c r="P2467" s="1" t="s">
        <v>33</v>
      </c>
      <c r="Q2467">
        <v>119.2</v>
      </c>
    </row>
    <row r="2468" spans="1:17" x14ac:dyDescent="0.3">
      <c r="A2468">
        <v>2020</v>
      </c>
      <c r="B2468" t="s">
        <v>38</v>
      </c>
      <c r="C2468" t="s">
        <v>52</v>
      </c>
      <c r="D2468" s="1" t="s">
        <v>29</v>
      </c>
      <c r="E2468" s="4">
        <v>150.30000000000004</v>
      </c>
      <c r="F2468" s="4">
        <v>148.47777777777776</v>
      </c>
      <c r="G2468" s="4">
        <v>148.1</v>
      </c>
      <c r="H2468" s="1" t="s">
        <v>206</v>
      </c>
      <c r="K2468">
        <v>2015</v>
      </c>
      <c r="L2468" t="s">
        <v>39</v>
      </c>
      <c r="M2468" t="s">
        <v>84</v>
      </c>
      <c r="N2468" t="s">
        <v>20</v>
      </c>
      <c r="O2468" t="s">
        <v>20</v>
      </c>
      <c r="P2468" s="1" t="s">
        <v>30</v>
      </c>
      <c r="Q2468">
        <v>0</v>
      </c>
    </row>
    <row r="2469" spans="1:17" x14ac:dyDescent="0.3">
      <c r="A2469">
        <v>2020</v>
      </c>
      <c r="B2469" t="s">
        <v>38</v>
      </c>
      <c r="C2469" t="s">
        <v>52</v>
      </c>
      <c r="D2469" s="1" t="s">
        <v>23</v>
      </c>
      <c r="E2469" s="4">
        <v>155.73333333333332</v>
      </c>
      <c r="F2469" s="4">
        <v>151.56666666666666</v>
      </c>
      <c r="G2469" s="4">
        <v>144.73333333333332</v>
      </c>
      <c r="H2469" s="1" t="s">
        <v>23</v>
      </c>
      <c r="K2469">
        <v>2015</v>
      </c>
      <c r="L2469" t="s">
        <v>39</v>
      </c>
      <c r="M2469" t="s">
        <v>84</v>
      </c>
      <c r="N2469" t="s">
        <v>20</v>
      </c>
      <c r="O2469" t="s">
        <v>20</v>
      </c>
      <c r="P2469" s="1" t="s">
        <v>34</v>
      </c>
      <c r="Q2469">
        <v>119</v>
      </c>
    </row>
    <row r="2470" spans="1:17" x14ac:dyDescent="0.3">
      <c r="A2470">
        <v>2020</v>
      </c>
      <c r="B2470" t="s">
        <v>38</v>
      </c>
      <c r="C2470" t="s">
        <v>52</v>
      </c>
      <c r="D2470" s="1" t="s">
        <v>22</v>
      </c>
      <c r="E2470" s="4">
        <v>151.65555555555557</v>
      </c>
      <c r="F2470" s="4">
        <v>144.41111111111113</v>
      </c>
      <c r="G2470" s="4">
        <v>142.51111111111115</v>
      </c>
      <c r="H2470" s="1" t="s">
        <v>20</v>
      </c>
      <c r="K2470">
        <v>2015</v>
      </c>
      <c r="L2470" t="s">
        <v>39</v>
      </c>
      <c r="M2470" t="s">
        <v>84</v>
      </c>
      <c r="N2470" t="s">
        <v>20</v>
      </c>
      <c r="O2470" t="s">
        <v>20</v>
      </c>
      <c r="P2470" s="1" t="s">
        <v>33</v>
      </c>
      <c r="Q2470">
        <v>119</v>
      </c>
    </row>
    <row r="2471" spans="1:17" x14ac:dyDescent="0.3">
      <c r="A2471">
        <v>2020</v>
      </c>
      <c r="B2471" t="s">
        <v>38</v>
      </c>
      <c r="C2471" t="s">
        <v>52</v>
      </c>
      <c r="D2471" s="1" t="s">
        <v>20</v>
      </c>
      <c r="E2471" s="4">
        <v>0</v>
      </c>
      <c r="F2471" s="4">
        <v>154.96666666666667</v>
      </c>
      <c r="G2471" s="4">
        <v>154.96666666666667</v>
      </c>
      <c r="H2471" s="1" t="s">
        <v>20</v>
      </c>
      <c r="K2471">
        <v>2015</v>
      </c>
      <c r="L2471" t="s">
        <v>39</v>
      </c>
      <c r="M2471" t="s">
        <v>84</v>
      </c>
      <c r="N2471" t="s">
        <v>4</v>
      </c>
      <c r="O2471" t="s">
        <v>188</v>
      </c>
      <c r="P2471" s="1" t="s">
        <v>30</v>
      </c>
      <c r="Q2471">
        <v>130.4</v>
      </c>
    </row>
    <row r="2472" spans="1:17" x14ac:dyDescent="0.3">
      <c r="A2472">
        <v>2020</v>
      </c>
      <c r="B2472" t="s">
        <v>38</v>
      </c>
      <c r="C2472" t="s">
        <v>52</v>
      </c>
      <c r="D2472" s="1" t="s">
        <v>4</v>
      </c>
      <c r="E2472" s="4">
        <v>167.16666666666666</v>
      </c>
      <c r="F2472" s="4">
        <v>167.35555555555558</v>
      </c>
      <c r="G2472" s="4">
        <v>167.46666666666667</v>
      </c>
      <c r="H2472" s="1" t="s">
        <v>188</v>
      </c>
      <c r="K2472">
        <v>2015</v>
      </c>
      <c r="L2472" t="s">
        <v>39</v>
      </c>
      <c r="M2472" t="s">
        <v>84</v>
      </c>
      <c r="N2472" t="s">
        <v>4</v>
      </c>
      <c r="O2472" t="s">
        <v>188</v>
      </c>
      <c r="P2472" s="1" t="s">
        <v>34</v>
      </c>
      <c r="Q2472">
        <v>131.80000000000001</v>
      </c>
    </row>
    <row r="2473" spans="1:17" x14ac:dyDescent="0.3">
      <c r="A2473">
        <v>2020</v>
      </c>
      <c r="B2473" t="s">
        <v>38</v>
      </c>
      <c r="C2473" t="s">
        <v>52</v>
      </c>
      <c r="D2473" s="1" t="s">
        <v>6</v>
      </c>
      <c r="E2473" s="4">
        <v>152.73333333333335</v>
      </c>
      <c r="F2473" s="4">
        <v>152.63333333333333</v>
      </c>
      <c r="G2473" s="4">
        <v>152.43333333333331</v>
      </c>
      <c r="H2473" s="1" t="s">
        <v>188</v>
      </c>
      <c r="K2473">
        <v>2015</v>
      </c>
      <c r="L2473" t="s">
        <v>39</v>
      </c>
      <c r="M2473" t="s">
        <v>84</v>
      </c>
      <c r="N2473" t="s">
        <v>4</v>
      </c>
      <c r="O2473" t="s">
        <v>188</v>
      </c>
      <c r="P2473" s="1" t="s">
        <v>33</v>
      </c>
      <c r="Q2473">
        <v>134.4</v>
      </c>
    </row>
    <row r="2474" spans="1:17" x14ac:dyDescent="0.3">
      <c r="A2474">
        <v>2020</v>
      </c>
      <c r="B2474" t="s">
        <v>38</v>
      </c>
      <c r="C2474" t="s">
        <v>52</v>
      </c>
      <c r="D2474" s="1" t="s">
        <v>28</v>
      </c>
      <c r="E2474" s="4">
        <v>148.45555555555555</v>
      </c>
      <c r="F2474" s="4">
        <v>141.96666666666667</v>
      </c>
      <c r="G2474" s="4">
        <v>140.23333333333335</v>
      </c>
      <c r="H2474" s="1" t="s">
        <v>192</v>
      </c>
      <c r="K2474">
        <v>2015</v>
      </c>
      <c r="L2474" t="s">
        <v>39</v>
      </c>
      <c r="M2474" t="s">
        <v>84</v>
      </c>
      <c r="N2474" t="s">
        <v>6</v>
      </c>
      <c r="O2474" t="s">
        <v>188</v>
      </c>
      <c r="P2474" s="1" t="s">
        <v>30</v>
      </c>
      <c r="Q2474">
        <v>128.69999999999999</v>
      </c>
    </row>
    <row r="2475" spans="1:17" x14ac:dyDescent="0.3">
      <c r="A2475">
        <v>2020</v>
      </c>
      <c r="B2475" t="s">
        <v>38</v>
      </c>
      <c r="C2475" t="s">
        <v>52</v>
      </c>
      <c r="D2475" s="1" t="s">
        <v>13</v>
      </c>
      <c r="E2475" s="4">
        <v>139.79999999999998</v>
      </c>
      <c r="F2475" s="4">
        <v>136.66666666666666</v>
      </c>
      <c r="G2475" s="4">
        <v>132.29999999999998</v>
      </c>
      <c r="H2475" s="1" t="s">
        <v>188</v>
      </c>
      <c r="K2475">
        <v>2015</v>
      </c>
      <c r="L2475" t="s">
        <v>39</v>
      </c>
      <c r="M2475" t="s">
        <v>84</v>
      </c>
      <c r="N2475" t="s">
        <v>6</v>
      </c>
      <c r="O2475" t="s">
        <v>188</v>
      </c>
      <c r="P2475" s="1" t="s">
        <v>34</v>
      </c>
      <c r="Q2475">
        <v>128.19999999999999</v>
      </c>
    </row>
    <row r="2476" spans="1:17" x14ac:dyDescent="0.3">
      <c r="A2476">
        <v>2020</v>
      </c>
      <c r="B2476" t="s">
        <v>38</v>
      </c>
      <c r="C2476" t="s">
        <v>52</v>
      </c>
      <c r="D2476" s="1" t="s">
        <v>7</v>
      </c>
      <c r="E2476" s="4">
        <v>134.70000000000002</v>
      </c>
      <c r="F2476" s="4">
        <v>132.56666666666669</v>
      </c>
      <c r="G2476" s="4">
        <v>128.83333333333334</v>
      </c>
      <c r="H2476" s="1" t="s">
        <v>188</v>
      </c>
      <c r="K2476">
        <v>2015</v>
      </c>
      <c r="L2476" t="s">
        <v>39</v>
      </c>
      <c r="M2476" t="s">
        <v>84</v>
      </c>
      <c r="N2476" t="s">
        <v>6</v>
      </c>
      <c r="O2476" t="s">
        <v>188</v>
      </c>
      <c r="P2476" s="1" t="s">
        <v>33</v>
      </c>
      <c r="Q2476">
        <v>127.3</v>
      </c>
    </row>
    <row r="2477" spans="1:17" x14ac:dyDescent="0.3">
      <c r="A2477">
        <v>2020</v>
      </c>
      <c r="B2477" t="s">
        <v>38</v>
      </c>
      <c r="C2477" t="s">
        <v>52</v>
      </c>
      <c r="D2477" s="1" t="s">
        <v>16</v>
      </c>
      <c r="E2477" s="4">
        <v>169.79999999999998</v>
      </c>
      <c r="F2477" s="4">
        <v>171.11111111111109</v>
      </c>
      <c r="G2477" s="4">
        <v>171.82222222222222</v>
      </c>
      <c r="H2477" s="1" t="s">
        <v>192</v>
      </c>
      <c r="K2477">
        <v>2015</v>
      </c>
      <c r="L2477" t="s">
        <v>39</v>
      </c>
      <c r="M2477" t="s">
        <v>84</v>
      </c>
      <c r="N2477" t="s">
        <v>28</v>
      </c>
      <c r="O2477" t="s">
        <v>192</v>
      </c>
      <c r="P2477" s="1" t="s">
        <v>30</v>
      </c>
      <c r="Q2477">
        <v>117.9</v>
      </c>
    </row>
    <row r="2478" spans="1:17" x14ac:dyDescent="0.3">
      <c r="A2478">
        <v>2020</v>
      </c>
      <c r="B2478" t="s">
        <v>38</v>
      </c>
      <c r="C2478" t="s">
        <v>52</v>
      </c>
      <c r="D2478" s="1" t="s">
        <v>27</v>
      </c>
      <c r="E2478" s="4">
        <v>144.05555555555554</v>
      </c>
      <c r="F2478" s="4">
        <v>144.07777777777778</v>
      </c>
      <c r="G2478" s="4">
        <v>144.14444444444445</v>
      </c>
      <c r="H2478" s="1" t="s">
        <v>192</v>
      </c>
      <c r="K2478">
        <v>2015</v>
      </c>
      <c r="L2478" t="s">
        <v>39</v>
      </c>
      <c r="M2478" t="s">
        <v>84</v>
      </c>
      <c r="N2478" t="s">
        <v>28</v>
      </c>
      <c r="O2478" t="s">
        <v>192</v>
      </c>
      <c r="P2478" s="1" t="s">
        <v>34</v>
      </c>
      <c r="Q2478">
        <v>117</v>
      </c>
    </row>
    <row r="2479" spans="1:17" x14ac:dyDescent="0.3">
      <c r="A2479">
        <v>2020</v>
      </c>
      <c r="B2479" t="s">
        <v>38</v>
      </c>
      <c r="C2479" t="s">
        <v>52</v>
      </c>
      <c r="D2479" s="1" t="s">
        <v>14</v>
      </c>
      <c r="E2479" s="4">
        <v>159.5</v>
      </c>
      <c r="F2479" s="4">
        <v>159.1888888888889</v>
      </c>
      <c r="G2479" s="4">
        <v>159.06666666666669</v>
      </c>
      <c r="H2479" s="1" t="s">
        <v>188</v>
      </c>
      <c r="K2479">
        <v>2015</v>
      </c>
      <c r="L2479" t="s">
        <v>39</v>
      </c>
      <c r="M2479" t="s">
        <v>84</v>
      </c>
      <c r="N2479" t="s">
        <v>28</v>
      </c>
      <c r="O2479" t="s">
        <v>192</v>
      </c>
      <c r="P2479" s="1" t="s">
        <v>33</v>
      </c>
      <c r="Q2479">
        <v>116</v>
      </c>
    </row>
    <row r="2480" spans="1:17" x14ac:dyDescent="0.3">
      <c r="A2480">
        <v>2020</v>
      </c>
      <c r="B2480" t="s">
        <v>38</v>
      </c>
      <c r="C2480" t="s">
        <v>52</v>
      </c>
      <c r="D2480" s="1" t="s">
        <v>10</v>
      </c>
      <c r="E2480" s="4">
        <v>144.6</v>
      </c>
      <c r="F2480" s="4">
        <v>144.20000000000002</v>
      </c>
      <c r="G2480" s="4">
        <v>143.36666666666665</v>
      </c>
      <c r="H2480" s="1" t="s">
        <v>188</v>
      </c>
      <c r="K2480">
        <v>2015</v>
      </c>
      <c r="L2480" t="s">
        <v>39</v>
      </c>
      <c r="M2480" t="s">
        <v>84</v>
      </c>
      <c r="N2480" t="s">
        <v>13</v>
      </c>
      <c r="O2480" t="s">
        <v>188</v>
      </c>
      <c r="P2480" s="1" t="s">
        <v>30</v>
      </c>
      <c r="Q2480">
        <v>121.1</v>
      </c>
    </row>
    <row r="2481" spans="1:17" x14ac:dyDescent="0.3">
      <c r="A2481">
        <v>2020</v>
      </c>
      <c r="B2481" t="s">
        <v>38</v>
      </c>
      <c r="C2481" t="s">
        <v>52</v>
      </c>
      <c r="D2481" s="1" t="s">
        <v>25</v>
      </c>
      <c r="E2481" s="4">
        <v>150.7222222222222</v>
      </c>
      <c r="F2481" s="4">
        <v>141.5</v>
      </c>
      <c r="G2481" s="4">
        <v>139.61111111111111</v>
      </c>
      <c r="H2481" s="1" t="s">
        <v>195</v>
      </c>
      <c r="K2481">
        <v>2015</v>
      </c>
      <c r="L2481" t="s">
        <v>39</v>
      </c>
      <c r="M2481" t="s">
        <v>84</v>
      </c>
      <c r="N2481" t="s">
        <v>13</v>
      </c>
      <c r="O2481" t="s">
        <v>188</v>
      </c>
      <c r="P2481" s="1" t="s">
        <v>34</v>
      </c>
      <c r="Q2481">
        <v>119.8</v>
      </c>
    </row>
    <row r="2482" spans="1:17" x14ac:dyDescent="0.3">
      <c r="A2482">
        <v>2020</v>
      </c>
      <c r="B2482" t="s">
        <v>38</v>
      </c>
      <c r="C2482" t="s">
        <v>52</v>
      </c>
      <c r="D2482" s="1" t="s">
        <v>12</v>
      </c>
      <c r="E2482" s="4">
        <v>155.16666666666666</v>
      </c>
      <c r="F2482" s="4">
        <v>154.1</v>
      </c>
      <c r="G2482" s="4">
        <v>151.96666666666667</v>
      </c>
      <c r="H2482" s="1" t="s">
        <v>188</v>
      </c>
      <c r="K2482">
        <v>2015</v>
      </c>
      <c r="L2482" t="s">
        <v>39</v>
      </c>
      <c r="M2482" t="s">
        <v>84</v>
      </c>
      <c r="N2482" t="s">
        <v>13</v>
      </c>
      <c r="O2482" t="s">
        <v>188</v>
      </c>
      <c r="P2482" s="1" t="s">
        <v>33</v>
      </c>
      <c r="Q2482">
        <v>118</v>
      </c>
    </row>
    <row r="2483" spans="1:17" x14ac:dyDescent="0.3">
      <c r="A2483">
        <v>2020</v>
      </c>
      <c r="B2483" t="s">
        <v>38</v>
      </c>
      <c r="C2483" t="s">
        <v>52</v>
      </c>
      <c r="D2483" s="1" t="s">
        <v>11</v>
      </c>
      <c r="E2483" s="4">
        <v>115.16666666666667</v>
      </c>
      <c r="F2483" s="4">
        <v>115.7</v>
      </c>
      <c r="G2483" s="4">
        <v>116.73333333333333</v>
      </c>
      <c r="H2483" s="1" t="s">
        <v>188</v>
      </c>
      <c r="K2483">
        <v>2015</v>
      </c>
      <c r="L2483" t="s">
        <v>39</v>
      </c>
      <c r="M2483" t="s">
        <v>84</v>
      </c>
      <c r="N2483" t="s">
        <v>7</v>
      </c>
      <c r="O2483" t="s">
        <v>188</v>
      </c>
      <c r="P2483" s="1" t="s">
        <v>30</v>
      </c>
      <c r="Q2483">
        <v>114.1</v>
      </c>
    </row>
    <row r="2484" spans="1:17" x14ac:dyDescent="0.3">
      <c r="A2484">
        <v>2020</v>
      </c>
      <c r="B2484" t="s">
        <v>38</v>
      </c>
      <c r="C2484" t="s">
        <v>52</v>
      </c>
      <c r="D2484" s="1" t="s">
        <v>24</v>
      </c>
      <c r="E2484" s="4">
        <v>135.94444444444446</v>
      </c>
      <c r="F2484" s="4">
        <v>128.50000000000003</v>
      </c>
      <c r="G2484" s="4">
        <v>126.72222222222223</v>
      </c>
      <c r="H2484" s="1" t="s">
        <v>191</v>
      </c>
      <c r="K2484">
        <v>2015</v>
      </c>
      <c r="L2484" t="s">
        <v>39</v>
      </c>
      <c r="M2484" t="s">
        <v>84</v>
      </c>
      <c r="N2484" t="s">
        <v>7</v>
      </c>
      <c r="O2484" t="s">
        <v>188</v>
      </c>
      <c r="P2484" s="1" t="s">
        <v>34</v>
      </c>
      <c r="Q2484">
        <v>111.1</v>
      </c>
    </row>
    <row r="2485" spans="1:17" x14ac:dyDescent="0.3">
      <c r="A2485">
        <v>2020</v>
      </c>
      <c r="B2485" t="s">
        <v>38</v>
      </c>
      <c r="C2485" t="s">
        <v>52</v>
      </c>
      <c r="D2485" s="1" t="s">
        <v>9</v>
      </c>
      <c r="E2485" s="4">
        <v>160.03333333333333</v>
      </c>
      <c r="F2485" s="4">
        <v>165.53333333333333</v>
      </c>
      <c r="G2485" s="4">
        <v>176.23333333333335</v>
      </c>
      <c r="H2485" s="1" t="s">
        <v>188</v>
      </c>
      <c r="K2485">
        <v>2015</v>
      </c>
      <c r="L2485" t="s">
        <v>39</v>
      </c>
      <c r="M2485" t="s">
        <v>84</v>
      </c>
      <c r="N2485" t="s">
        <v>7</v>
      </c>
      <c r="O2485" t="s">
        <v>188</v>
      </c>
      <c r="P2485" s="1" t="s">
        <v>33</v>
      </c>
      <c r="Q2485">
        <v>106</v>
      </c>
    </row>
    <row r="2486" spans="1:17" x14ac:dyDescent="0.3">
      <c r="A2486">
        <v>2020</v>
      </c>
      <c r="B2486" t="s">
        <v>44</v>
      </c>
      <c r="C2486" t="s">
        <v>141</v>
      </c>
      <c r="D2486" s="1" t="s">
        <v>3</v>
      </c>
      <c r="E2486" s="4">
        <v>145.4</v>
      </c>
      <c r="F2486" s="4">
        <v>146.80000000000001</v>
      </c>
      <c r="G2486" s="4">
        <v>149.69999999999999</v>
      </c>
      <c r="H2486" s="1" t="s">
        <v>188</v>
      </c>
      <c r="K2486">
        <v>2015</v>
      </c>
      <c r="L2486" t="s">
        <v>39</v>
      </c>
      <c r="M2486" t="s">
        <v>84</v>
      </c>
      <c r="N2486" t="s">
        <v>16</v>
      </c>
      <c r="O2486" t="s">
        <v>192</v>
      </c>
      <c r="P2486" s="1" t="s">
        <v>30</v>
      </c>
      <c r="Q2486">
        <v>128.19999999999999</v>
      </c>
    </row>
    <row r="2487" spans="1:17" x14ac:dyDescent="0.3">
      <c r="A2487">
        <v>2020</v>
      </c>
      <c r="B2487" t="s">
        <v>44</v>
      </c>
      <c r="C2487" t="s">
        <v>141</v>
      </c>
      <c r="D2487" s="1" t="s">
        <v>17</v>
      </c>
      <c r="E2487" s="4">
        <v>156.30000000000001</v>
      </c>
      <c r="F2487" s="4">
        <v>154.30000000000001</v>
      </c>
      <c r="G2487" s="4">
        <v>151.1</v>
      </c>
      <c r="H2487" s="1" t="s">
        <v>189</v>
      </c>
      <c r="K2487">
        <v>2015</v>
      </c>
      <c r="L2487" t="s">
        <v>39</v>
      </c>
      <c r="M2487" t="s">
        <v>84</v>
      </c>
      <c r="N2487" t="s">
        <v>16</v>
      </c>
      <c r="O2487" t="s">
        <v>192</v>
      </c>
      <c r="P2487" s="1" t="s">
        <v>34</v>
      </c>
      <c r="Q2487">
        <v>129.19999999999999</v>
      </c>
    </row>
    <row r="2488" spans="1:17" x14ac:dyDescent="0.3">
      <c r="A2488">
        <v>2020</v>
      </c>
      <c r="B2488" t="s">
        <v>44</v>
      </c>
      <c r="C2488" t="s">
        <v>141</v>
      </c>
      <c r="D2488" s="1" t="s">
        <v>19</v>
      </c>
      <c r="E2488" s="4">
        <v>155.5</v>
      </c>
      <c r="F2488" s="4">
        <v>152.80000000000001</v>
      </c>
      <c r="G2488" s="4">
        <v>148.80000000000001</v>
      </c>
      <c r="H2488" s="1" t="s">
        <v>189</v>
      </c>
      <c r="K2488">
        <v>2015</v>
      </c>
      <c r="L2488" t="s">
        <v>39</v>
      </c>
      <c r="M2488" t="s">
        <v>84</v>
      </c>
      <c r="N2488" t="s">
        <v>16</v>
      </c>
      <c r="O2488" t="s">
        <v>192</v>
      </c>
      <c r="P2488" s="1" t="s">
        <v>33</v>
      </c>
      <c r="Q2488">
        <v>132.1</v>
      </c>
    </row>
    <row r="2489" spans="1:17" x14ac:dyDescent="0.3">
      <c r="A2489">
        <v>2020</v>
      </c>
      <c r="B2489" t="s">
        <v>44</v>
      </c>
      <c r="C2489" t="s">
        <v>141</v>
      </c>
      <c r="D2489" s="1" t="s">
        <v>26</v>
      </c>
      <c r="E2489" s="4">
        <v>161.6</v>
      </c>
      <c r="F2489" s="4">
        <v>158.6</v>
      </c>
      <c r="G2489" s="4">
        <v>156.4</v>
      </c>
      <c r="H2489" s="1" t="s">
        <v>26</v>
      </c>
      <c r="K2489">
        <v>2015</v>
      </c>
      <c r="L2489" t="s">
        <v>39</v>
      </c>
      <c r="M2489" t="s">
        <v>84</v>
      </c>
      <c r="N2489" t="s">
        <v>27</v>
      </c>
      <c r="O2489" t="s">
        <v>192</v>
      </c>
      <c r="P2489" s="1" t="s">
        <v>30</v>
      </c>
      <c r="Q2489">
        <v>113</v>
      </c>
    </row>
    <row r="2490" spans="1:17" x14ac:dyDescent="0.3">
      <c r="A2490">
        <v>2020</v>
      </c>
      <c r="B2490" t="s">
        <v>44</v>
      </c>
      <c r="C2490" t="s">
        <v>141</v>
      </c>
      <c r="D2490" s="1" t="s">
        <v>5</v>
      </c>
      <c r="E2490" s="4">
        <v>171.6</v>
      </c>
      <c r="F2490" s="4">
        <v>173.6</v>
      </c>
      <c r="G2490" s="4">
        <v>176.9</v>
      </c>
      <c r="H2490" s="1" t="s">
        <v>188</v>
      </c>
      <c r="K2490">
        <v>2015</v>
      </c>
      <c r="L2490" t="s">
        <v>39</v>
      </c>
      <c r="M2490" t="s">
        <v>84</v>
      </c>
      <c r="N2490" t="s">
        <v>27</v>
      </c>
      <c r="O2490" t="s">
        <v>192</v>
      </c>
      <c r="P2490" s="1" t="s">
        <v>34</v>
      </c>
      <c r="Q2490">
        <v>112.8</v>
      </c>
    </row>
    <row r="2491" spans="1:17" x14ac:dyDescent="0.3">
      <c r="A2491">
        <v>2020</v>
      </c>
      <c r="B2491" t="s">
        <v>44</v>
      </c>
      <c r="C2491" t="s">
        <v>141</v>
      </c>
      <c r="D2491" s="1" t="s">
        <v>15</v>
      </c>
      <c r="E2491" s="4">
        <v>163.4</v>
      </c>
      <c r="F2491" s="4">
        <v>164.7</v>
      </c>
      <c r="G2491" s="4">
        <v>167</v>
      </c>
      <c r="H2491" s="1" t="s">
        <v>188</v>
      </c>
      <c r="K2491">
        <v>2015</v>
      </c>
      <c r="L2491" t="s">
        <v>39</v>
      </c>
      <c r="M2491" t="s">
        <v>84</v>
      </c>
      <c r="N2491" t="s">
        <v>27</v>
      </c>
      <c r="O2491" t="s">
        <v>192</v>
      </c>
      <c r="P2491" s="1" t="s">
        <v>33</v>
      </c>
      <c r="Q2491">
        <v>112.5</v>
      </c>
    </row>
    <row r="2492" spans="1:17" x14ac:dyDescent="0.3">
      <c r="A2492">
        <v>2020</v>
      </c>
      <c r="B2492" t="s">
        <v>44</v>
      </c>
      <c r="C2492" t="s">
        <v>141</v>
      </c>
      <c r="D2492" s="1" t="s">
        <v>18</v>
      </c>
      <c r="E2492" s="4">
        <v>151</v>
      </c>
      <c r="F2492" s="4">
        <v>144.9</v>
      </c>
      <c r="G2492" s="4">
        <v>136.4</v>
      </c>
      <c r="H2492" s="1" t="s">
        <v>189</v>
      </c>
      <c r="K2492">
        <v>2015</v>
      </c>
      <c r="L2492" t="s">
        <v>39</v>
      </c>
      <c r="M2492" t="s">
        <v>84</v>
      </c>
      <c r="N2492" t="s">
        <v>14</v>
      </c>
      <c r="O2492" t="s">
        <v>188</v>
      </c>
      <c r="P2492" s="1" t="s">
        <v>30</v>
      </c>
      <c r="Q2492">
        <v>131.19999999999999</v>
      </c>
    </row>
    <row r="2493" spans="1:17" x14ac:dyDescent="0.3">
      <c r="A2493">
        <v>2020</v>
      </c>
      <c r="B2493" t="s">
        <v>44</v>
      </c>
      <c r="C2493" t="s">
        <v>141</v>
      </c>
      <c r="D2493" s="1" t="s">
        <v>8</v>
      </c>
      <c r="E2493" s="4">
        <v>146.5</v>
      </c>
      <c r="F2493" s="4">
        <v>148.4</v>
      </c>
      <c r="G2493" s="4">
        <v>150.5</v>
      </c>
      <c r="H2493" s="1" t="s">
        <v>188</v>
      </c>
      <c r="K2493">
        <v>2015</v>
      </c>
      <c r="L2493" t="s">
        <v>39</v>
      </c>
      <c r="M2493" t="s">
        <v>84</v>
      </c>
      <c r="N2493" t="s">
        <v>14</v>
      </c>
      <c r="O2493" t="s">
        <v>188</v>
      </c>
      <c r="P2493" s="1" t="s">
        <v>34</v>
      </c>
      <c r="Q2493">
        <v>130.9</v>
      </c>
    </row>
    <row r="2494" spans="1:17" x14ac:dyDescent="0.3">
      <c r="A2494">
        <v>2020</v>
      </c>
      <c r="B2494" t="s">
        <v>44</v>
      </c>
      <c r="C2494" t="s">
        <v>141</v>
      </c>
      <c r="D2494" s="1" t="s">
        <v>21</v>
      </c>
      <c r="E2494" s="4">
        <v>147.5</v>
      </c>
      <c r="F2494" s="4">
        <v>143.6</v>
      </c>
      <c r="G2494" s="4">
        <v>137.30000000000001</v>
      </c>
      <c r="H2494" s="1" t="s">
        <v>190</v>
      </c>
      <c r="K2494">
        <v>2015</v>
      </c>
      <c r="L2494" t="s">
        <v>39</v>
      </c>
      <c r="M2494" t="s">
        <v>84</v>
      </c>
      <c r="N2494" t="s">
        <v>14</v>
      </c>
      <c r="O2494" t="s">
        <v>188</v>
      </c>
      <c r="P2494" s="1" t="s">
        <v>33</v>
      </c>
      <c r="Q2494">
        <v>130.5</v>
      </c>
    </row>
    <row r="2495" spans="1:17" x14ac:dyDescent="0.3">
      <c r="A2495">
        <v>2020</v>
      </c>
      <c r="B2495" t="s">
        <v>44</v>
      </c>
      <c r="C2495" t="s">
        <v>141</v>
      </c>
      <c r="D2495" s="1" t="s">
        <v>29</v>
      </c>
      <c r="E2495" s="4">
        <v>159.80000000000001</v>
      </c>
      <c r="F2495" s="4">
        <v>158.4</v>
      </c>
      <c r="G2495" s="4">
        <v>156.69999999999999</v>
      </c>
      <c r="H2495" s="1" t="s">
        <v>206</v>
      </c>
      <c r="K2495">
        <v>2015</v>
      </c>
      <c r="L2495" t="s">
        <v>39</v>
      </c>
      <c r="M2495" t="s">
        <v>84</v>
      </c>
      <c r="N2495" t="s">
        <v>10</v>
      </c>
      <c r="O2495" t="s">
        <v>188</v>
      </c>
      <c r="P2495" s="1" t="s">
        <v>30</v>
      </c>
      <c r="Q2495">
        <v>131.9</v>
      </c>
    </row>
    <row r="2496" spans="1:17" x14ac:dyDescent="0.3">
      <c r="A2496">
        <v>2020</v>
      </c>
      <c r="B2496" t="s">
        <v>44</v>
      </c>
      <c r="C2496" t="s">
        <v>141</v>
      </c>
      <c r="D2496" s="1" t="s">
        <v>23</v>
      </c>
      <c r="E2496" s="4">
        <v>160.4</v>
      </c>
      <c r="F2496" s="4">
        <v>157.19999999999999</v>
      </c>
      <c r="G2496" s="4">
        <v>152</v>
      </c>
      <c r="H2496" s="1" t="s">
        <v>23</v>
      </c>
      <c r="K2496">
        <v>2015</v>
      </c>
      <c r="L2496" t="s">
        <v>39</v>
      </c>
      <c r="M2496" t="s">
        <v>84</v>
      </c>
      <c r="N2496" t="s">
        <v>10</v>
      </c>
      <c r="O2496" t="s">
        <v>188</v>
      </c>
      <c r="P2496" s="1" t="s">
        <v>34</v>
      </c>
      <c r="Q2496">
        <v>137.4</v>
      </c>
    </row>
    <row r="2497" spans="1:17" x14ac:dyDescent="0.3">
      <c r="A2497">
        <v>2020</v>
      </c>
      <c r="B2497" t="s">
        <v>44</v>
      </c>
      <c r="C2497" t="s">
        <v>141</v>
      </c>
      <c r="D2497" s="1" t="s">
        <v>22</v>
      </c>
      <c r="E2497" s="4">
        <v>152.80000000000001</v>
      </c>
      <c r="F2497" s="4">
        <v>149.19999999999999</v>
      </c>
      <c r="G2497" s="4">
        <v>145.1</v>
      </c>
      <c r="H2497" s="1" t="s">
        <v>20</v>
      </c>
      <c r="K2497">
        <v>2015</v>
      </c>
      <c r="L2497" t="s">
        <v>39</v>
      </c>
      <c r="M2497" t="s">
        <v>84</v>
      </c>
      <c r="N2497" t="s">
        <v>10</v>
      </c>
      <c r="O2497" t="s">
        <v>188</v>
      </c>
      <c r="P2497" s="1" t="s">
        <v>33</v>
      </c>
      <c r="Q2497">
        <v>148.1</v>
      </c>
    </row>
    <row r="2498" spans="1:17" x14ac:dyDescent="0.3">
      <c r="A2498">
        <v>2020</v>
      </c>
      <c r="B2498" t="s">
        <v>44</v>
      </c>
      <c r="C2498" t="s">
        <v>141</v>
      </c>
      <c r="D2498" s="1" t="s">
        <v>20</v>
      </c>
      <c r="E2498" s="4">
        <v>0</v>
      </c>
      <c r="F2498" s="4">
        <v>158</v>
      </c>
      <c r="G2498" s="4">
        <v>158</v>
      </c>
      <c r="H2498" s="1" t="s">
        <v>20</v>
      </c>
      <c r="K2498">
        <v>2015</v>
      </c>
      <c r="L2498" t="s">
        <v>39</v>
      </c>
      <c r="M2498" t="s">
        <v>84</v>
      </c>
      <c r="N2498" t="s">
        <v>25</v>
      </c>
      <c r="O2498" t="s">
        <v>195</v>
      </c>
      <c r="P2498" s="1" t="s">
        <v>30</v>
      </c>
      <c r="Q2498">
        <v>117.9</v>
      </c>
    </row>
    <row r="2499" spans="1:17" x14ac:dyDescent="0.3">
      <c r="A2499">
        <v>2020</v>
      </c>
      <c r="B2499" t="s">
        <v>44</v>
      </c>
      <c r="C2499" t="s">
        <v>141</v>
      </c>
      <c r="D2499" s="1" t="s">
        <v>4</v>
      </c>
      <c r="E2499" s="4">
        <v>188.6</v>
      </c>
      <c r="F2499" s="4">
        <v>191</v>
      </c>
      <c r="G2499" s="4">
        <v>195.5</v>
      </c>
      <c r="H2499" s="1" t="s">
        <v>188</v>
      </c>
      <c r="K2499">
        <v>2015</v>
      </c>
      <c r="L2499" t="s">
        <v>39</v>
      </c>
      <c r="M2499" t="s">
        <v>84</v>
      </c>
      <c r="N2499" t="s">
        <v>25</v>
      </c>
      <c r="O2499" t="s">
        <v>195</v>
      </c>
      <c r="P2499" s="1" t="s">
        <v>34</v>
      </c>
      <c r="Q2499">
        <v>116.9</v>
      </c>
    </row>
    <row r="2500" spans="1:17" x14ac:dyDescent="0.3">
      <c r="A2500">
        <v>2020</v>
      </c>
      <c r="B2500" t="s">
        <v>44</v>
      </c>
      <c r="C2500" t="s">
        <v>141</v>
      </c>
      <c r="D2500" s="1" t="s">
        <v>6</v>
      </c>
      <c r="E2500" s="4">
        <v>153.80000000000001</v>
      </c>
      <c r="F2500" s="4">
        <v>153.80000000000001</v>
      </c>
      <c r="G2500" s="4">
        <v>153.9</v>
      </c>
      <c r="H2500" s="1" t="s">
        <v>188</v>
      </c>
      <c r="K2500">
        <v>2015</v>
      </c>
      <c r="L2500" t="s">
        <v>39</v>
      </c>
      <c r="M2500" t="s">
        <v>84</v>
      </c>
      <c r="N2500" t="s">
        <v>25</v>
      </c>
      <c r="O2500" t="s">
        <v>195</v>
      </c>
      <c r="P2500" s="1" t="s">
        <v>33</v>
      </c>
      <c r="Q2500">
        <v>116.2</v>
      </c>
    </row>
    <row r="2501" spans="1:17" x14ac:dyDescent="0.3">
      <c r="A2501">
        <v>2020</v>
      </c>
      <c r="B2501" t="s">
        <v>44</v>
      </c>
      <c r="C2501" t="s">
        <v>141</v>
      </c>
      <c r="D2501" s="1" t="s">
        <v>28</v>
      </c>
      <c r="E2501" s="4">
        <v>154.5</v>
      </c>
      <c r="F2501" s="4">
        <v>150.69999999999999</v>
      </c>
      <c r="G2501" s="4">
        <v>146.6</v>
      </c>
      <c r="H2501" s="1" t="s">
        <v>192</v>
      </c>
      <c r="K2501">
        <v>2015</v>
      </c>
      <c r="L2501" t="s">
        <v>39</v>
      </c>
      <c r="M2501" t="s">
        <v>84</v>
      </c>
      <c r="N2501" t="s">
        <v>12</v>
      </c>
      <c r="O2501" t="s">
        <v>188</v>
      </c>
      <c r="P2501" s="1" t="s">
        <v>30</v>
      </c>
      <c r="Q2501">
        <v>123</v>
      </c>
    </row>
    <row r="2502" spans="1:17" x14ac:dyDescent="0.3">
      <c r="A2502">
        <v>2020</v>
      </c>
      <c r="B2502" t="s">
        <v>44</v>
      </c>
      <c r="C2502" t="s">
        <v>141</v>
      </c>
      <c r="D2502" s="1" t="s">
        <v>13</v>
      </c>
      <c r="E2502" s="4">
        <v>150</v>
      </c>
      <c r="F2502" s="4">
        <v>146.5</v>
      </c>
      <c r="G2502" s="4">
        <v>141.5</v>
      </c>
      <c r="H2502" s="1" t="s">
        <v>188</v>
      </c>
      <c r="K2502">
        <v>2015</v>
      </c>
      <c r="L2502" t="s">
        <v>39</v>
      </c>
      <c r="M2502" t="s">
        <v>84</v>
      </c>
      <c r="N2502" t="s">
        <v>12</v>
      </c>
      <c r="O2502" t="s">
        <v>188</v>
      </c>
      <c r="P2502" s="1" t="s">
        <v>34</v>
      </c>
      <c r="Q2502">
        <v>125.5</v>
      </c>
    </row>
    <row r="2503" spans="1:17" x14ac:dyDescent="0.3">
      <c r="A2503">
        <v>2020</v>
      </c>
      <c r="B2503" t="s">
        <v>44</v>
      </c>
      <c r="C2503" t="s">
        <v>141</v>
      </c>
      <c r="D2503" s="1" t="s">
        <v>7</v>
      </c>
      <c r="E2503" s="4">
        <v>145.4</v>
      </c>
      <c r="F2503" s="4">
        <v>142.69999999999999</v>
      </c>
      <c r="G2503" s="4">
        <v>138</v>
      </c>
      <c r="H2503" s="1" t="s">
        <v>188</v>
      </c>
      <c r="K2503">
        <v>2015</v>
      </c>
      <c r="L2503" t="s">
        <v>39</v>
      </c>
      <c r="M2503" t="s">
        <v>84</v>
      </c>
      <c r="N2503" t="s">
        <v>12</v>
      </c>
      <c r="O2503" t="s">
        <v>188</v>
      </c>
      <c r="P2503" s="1" t="s">
        <v>33</v>
      </c>
      <c r="Q2503">
        <v>130.5</v>
      </c>
    </row>
    <row r="2504" spans="1:17" x14ac:dyDescent="0.3">
      <c r="A2504">
        <v>2020</v>
      </c>
      <c r="B2504" t="s">
        <v>44</v>
      </c>
      <c r="C2504" t="s">
        <v>141</v>
      </c>
      <c r="D2504" s="1" t="s">
        <v>16</v>
      </c>
      <c r="E2504" s="4">
        <v>183.4</v>
      </c>
      <c r="F2504" s="4">
        <v>184.8</v>
      </c>
      <c r="G2504" s="4">
        <v>188.8</v>
      </c>
      <c r="H2504" s="1" t="s">
        <v>192</v>
      </c>
      <c r="K2504">
        <v>2015</v>
      </c>
      <c r="L2504" t="s">
        <v>39</v>
      </c>
      <c r="M2504" t="s">
        <v>84</v>
      </c>
      <c r="N2504" t="s">
        <v>11</v>
      </c>
      <c r="O2504" t="s">
        <v>188</v>
      </c>
      <c r="P2504" s="1" t="s">
        <v>30</v>
      </c>
      <c r="Q2504">
        <v>96.3</v>
      </c>
    </row>
    <row r="2505" spans="1:17" x14ac:dyDescent="0.3">
      <c r="A2505">
        <v>2020</v>
      </c>
      <c r="B2505" t="s">
        <v>44</v>
      </c>
      <c r="C2505" t="s">
        <v>141</v>
      </c>
      <c r="D2505" s="1" t="s">
        <v>27</v>
      </c>
      <c r="E2505" s="4">
        <v>156.19999999999999</v>
      </c>
      <c r="F2505" s="4">
        <v>156.9</v>
      </c>
      <c r="G2505" s="4">
        <v>157.9</v>
      </c>
      <c r="H2505" s="1" t="s">
        <v>192</v>
      </c>
      <c r="K2505">
        <v>2015</v>
      </c>
      <c r="L2505" t="s">
        <v>39</v>
      </c>
      <c r="M2505" t="s">
        <v>84</v>
      </c>
      <c r="N2505" t="s">
        <v>11</v>
      </c>
      <c r="O2505" t="s">
        <v>188</v>
      </c>
      <c r="P2505" s="1" t="s">
        <v>34</v>
      </c>
      <c r="Q2505">
        <v>94.1</v>
      </c>
    </row>
    <row r="2506" spans="1:17" x14ac:dyDescent="0.3">
      <c r="A2506">
        <v>2020</v>
      </c>
      <c r="B2506" t="s">
        <v>44</v>
      </c>
      <c r="C2506" t="s">
        <v>141</v>
      </c>
      <c r="D2506" s="1" t="s">
        <v>14</v>
      </c>
      <c r="E2506" s="4">
        <v>162.69999999999999</v>
      </c>
      <c r="F2506" s="4">
        <v>163.80000000000001</v>
      </c>
      <c r="G2506" s="4">
        <v>165.1</v>
      </c>
      <c r="H2506" s="1" t="s">
        <v>188</v>
      </c>
      <c r="K2506">
        <v>2015</v>
      </c>
      <c r="L2506" t="s">
        <v>39</v>
      </c>
      <c r="M2506" t="s">
        <v>84</v>
      </c>
      <c r="N2506" t="s">
        <v>11</v>
      </c>
      <c r="O2506" t="s">
        <v>188</v>
      </c>
      <c r="P2506" s="1" t="s">
        <v>33</v>
      </c>
      <c r="Q2506">
        <v>89.8</v>
      </c>
    </row>
    <row r="2507" spans="1:17" x14ac:dyDescent="0.3">
      <c r="A2507">
        <v>2020</v>
      </c>
      <c r="B2507" t="s">
        <v>44</v>
      </c>
      <c r="C2507" t="s">
        <v>141</v>
      </c>
      <c r="D2507" s="1" t="s">
        <v>10</v>
      </c>
      <c r="E2507" s="4">
        <v>155.9</v>
      </c>
      <c r="F2507" s="4">
        <v>156.80000000000001</v>
      </c>
      <c r="G2507" s="4">
        <v>158.69999999999999</v>
      </c>
      <c r="H2507" s="1" t="s">
        <v>188</v>
      </c>
      <c r="K2507">
        <v>2015</v>
      </c>
      <c r="L2507" t="s">
        <v>39</v>
      </c>
      <c r="M2507" t="s">
        <v>84</v>
      </c>
      <c r="N2507" t="s">
        <v>24</v>
      </c>
      <c r="O2507" t="s">
        <v>191</v>
      </c>
      <c r="P2507" s="1" t="s">
        <v>30</v>
      </c>
      <c r="Q2507">
        <v>114.2</v>
      </c>
    </row>
    <row r="2508" spans="1:17" x14ac:dyDescent="0.3">
      <c r="A2508">
        <v>2020</v>
      </c>
      <c r="B2508" t="s">
        <v>44</v>
      </c>
      <c r="C2508" t="s">
        <v>141</v>
      </c>
      <c r="D2508" s="1" t="s">
        <v>25</v>
      </c>
      <c r="E2508" s="4">
        <v>153.6</v>
      </c>
      <c r="F2508" s="4">
        <v>148.4</v>
      </c>
      <c r="G2508" s="4">
        <v>144.4</v>
      </c>
      <c r="H2508" s="1" t="s">
        <v>195</v>
      </c>
      <c r="K2508">
        <v>2015</v>
      </c>
      <c r="L2508" t="s">
        <v>39</v>
      </c>
      <c r="M2508" t="s">
        <v>84</v>
      </c>
      <c r="N2508" t="s">
        <v>24</v>
      </c>
      <c r="O2508" t="s">
        <v>191</v>
      </c>
      <c r="P2508" s="1" t="s">
        <v>34</v>
      </c>
      <c r="Q2508">
        <v>112.9</v>
      </c>
    </row>
    <row r="2509" spans="1:17" x14ac:dyDescent="0.3">
      <c r="A2509">
        <v>2020</v>
      </c>
      <c r="B2509" t="s">
        <v>44</v>
      </c>
      <c r="C2509" t="s">
        <v>141</v>
      </c>
      <c r="D2509" s="1" t="s">
        <v>12</v>
      </c>
      <c r="E2509" s="4">
        <v>162</v>
      </c>
      <c r="F2509" s="4">
        <v>161.80000000000001</v>
      </c>
      <c r="G2509" s="4">
        <v>161.4</v>
      </c>
      <c r="H2509" s="1" t="s">
        <v>188</v>
      </c>
      <c r="K2509">
        <v>2015</v>
      </c>
      <c r="L2509" t="s">
        <v>39</v>
      </c>
      <c r="M2509" t="s">
        <v>84</v>
      </c>
      <c r="N2509" t="s">
        <v>24</v>
      </c>
      <c r="O2509" t="s">
        <v>191</v>
      </c>
      <c r="P2509" s="1" t="s">
        <v>33</v>
      </c>
      <c r="Q2509">
        <v>111.7</v>
      </c>
    </row>
    <row r="2510" spans="1:17" x14ac:dyDescent="0.3">
      <c r="A2510">
        <v>2020</v>
      </c>
      <c r="B2510" t="s">
        <v>44</v>
      </c>
      <c r="C2510" t="s">
        <v>141</v>
      </c>
      <c r="D2510" s="1" t="s">
        <v>11</v>
      </c>
      <c r="E2510" s="4">
        <v>114.9</v>
      </c>
      <c r="F2510" s="4">
        <v>115.7</v>
      </c>
      <c r="G2510" s="4">
        <v>117.2</v>
      </c>
      <c r="H2510" s="1" t="s">
        <v>188</v>
      </c>
      <c r="K2510">
        <v>2015</v>
      </c>
      <c r="L2510" t="s">
        <v>39</v>
      </c>
      <c r="M2510" t="s">
        <v>84</v>
      </c>
      <c r="N2510" t="s">
        <v>9</v>
      </c>
      <c r="O2510" t="s">
        <v>188</v>
      </c>
      <c r="P2510" s="1" t="s">
        <v>30</v>
      </c>
      <c r="Q2510">
        <v>135.19999999999999</v>
      </c>
    </row>
    <row r="2511" spans="1:17" x14ac:dyDescent="0.3">
      <c r="A2511">
        <v>2020</v>
      </c>
      <c r="B2511" t="s">
        <v>44</v>
      </c>
      <c r="C2511" t="s">
        <v>141</v>
      </c>
      <c r="D2511" s="1" t="s">
        <v>24</v>
      </c>
      <c r="E2511" s="4">
        <v>146.1</v>
      </c>
      <c r="F2511" s="4">
        <v>140.4</v>
      </c>
      <c r="G2511" s="4">
        <v>135.19999999999999</v>
      </c>
      <c r="H2511" s="1" t="s">
        <v>191</v>
      </c>
      <c r="K2511">
        <v>2015</v>
      </c>
      <c r="L2511" t="s">
        <v>39</v>
      </c>
      <c r="M2511" t="s">
        <v>84</v>
      </c>
      <c r="N2511" t="s">
        <v>9</v>
      </c>
      <c r="O2511" t="s">
        <v>188</v>
      </c>
      <c r="P2511" s="1" t="s">
        <v>34</v>
      </c>
      <c r="Q2511">
        <v>139.1</v>
      </c>
    </row>
    <row r="2512" spans="1:17" x14ac:dyDescent="0.3">
      <c r="A2512">
        <v>2020</v>
      </c>
      <c r="B2512" t="s">
        <v>44</v>
      </c>
      <c r="C2512" t="s">
        <v>141</v>
      </c>
      <c r="D2512" s="1" t="s">
        <v>9</v>
      </c>
      <c r="E2512" s="4">
        <v>222.2</v>
      </c>
      <c r="F2512" s="4">
        <v>230</v>
      </c>
      <c r="G2512" s="4">
        <v>245.3</v>
      </c>
      <c r="H2512" s="1" t="s">
        <v>188</v>
      </c>
      <c r="K2512">
        <v>2015</v>
      </c>
      <c r="L2512" t="s">
        <v>39</v>
      </c>
      <c r="M2512" t="s">
        <v>84</v>
      </c>
      <c r="N2512" t="s">
        <v>9</v>
      </c>
      <c r="O2512" t="s">
        <v>188</v>
      </c>
      <c r="P2512" s="1" t="s">
        <v>33</v>
      </c>
      <c r="Q2512">
        <v>146.69999999999999</v>
      </c>
    </row>
    <row r="2513" spans="1:17" x14ac:dyDescent="0.3">
      <c r="A2513">
        <v>2020</v>
      </c>
      <c r="B2513" t="s">
        <v>43</v>
      </c>
      <c r="C2513" t="s">
        <v>142</v>
      </c>
      <c r="D2513" s="1" t="s">
        <v>3</v>
      </c>
      <c r="E2513" s="4">
        <v>146</v>
      </c>
      <c r="F2513" s="4">
        <v>147.5</v>
      </c>
      <c r="G2513" s="4">
        <v>150.6</v>
      </c>
      <c r="H2513" s="1" t="s">
        <v>188</v>
      </c>
      <c r="K2513">
        <v>2015</v>
      </c>
      <c r="L2513" t="s">
        <v>36</v>
      </c>
      <c r="M2513" t="s">
        <v>85</v>
      </c>
      <c r="N2513" t="s">
        <v>3</v>
      </c>
      <c r="O2513" t="s">
        <v>188</v>
      </c>
      <c r="P2513" s="1" t="s">
        <v>30</v>
      </c>
      <c r="Q2513">
        <v>123.3</v>
      </c>
    </row>
    <row r="2514" spans="1:17" x14ac:dyDescent="0.3">
      <c r="A2514">
        <v>2020</v>
      </c>
      <c r="B2514" t="s">
        <v>43</v>
      </c>
      <c r="C2514" t="s">
        <v>142</v>
      </c>
      <c r="D2514" s="1" t="s">
        <v>17</v>
      </c>
      <c r="E2514" s="4">
        <v>155.69999999999999</v>
      </c>
      <c r="F2514" s="4">
        <v>153.69999999999999</v>
      </c>
      <c r="G2514" s="4">
        <v>150.5</v>
      </c>
      <c r="H2514" s="1" t="s">
        <v>189</v>
      </c>
      <c r="K2514">
        <v>2015</v>
      </c>
      <c r="L2514" t="s">
        <v>36</v>
      </c>
      <c r="M2514" t="s">
        <v>85</v>
      </c>
      <c r="N2514" t="s">
        <v>3</v>
      </c>
      <c r="O2514" t="s">
        <v>188</v>
      </c>
      <c r="P2514" s="1" t="s">
        <v>34</v>
      </c>
      <c r="Q2514">
        <v>123.5</v>
      </c>
    </row>
    <row r="2515" spans="1:17" x14ac:dyDescent="0.3">
      <c r="A2515">
        <v>2020</v>
      </c>
      <c r="B2515" t="s">
        <v>43</v>
      </c>
      <c r="C2515" t="s">
        <v>142</v>
      </c>
      <c r="D2515" s="1" t="s">
        <v>19</v>
      </c>
      <c r="E2515" s="4">
        <v>155</v>
      </c>
      <c r="F2515" s="4">
        <v>152.30000000000001</v>
      </c>
      <c r="G2515" s="4">
        <v>148.30000000000001</v>
      </c>
      <c r="H2515" s="1" t="s">
        <v>189</v>
      </c>
      <c r="K2515">
        <v>2015</v>
      </c>
      <c r="L2515" t="s">
        <v>36</v>
      </c>
      <c r="M2515" t="s">
        <v>85</v>
      </c>
      <c r="N2515" t="s">
        <v>3</v>
      </c>
      <c r="O2515" t="s">
        <v>188</v>
      </c>
      <c r="P2515" s="1" t="s">
        <v>33</v>
      </c>
      <c r="Q2515">
        <v>124</v>
      </c>
    </row>
    <row r="2516" spans="1:17" x14ac:dyDescent="0.3">
      <c r="A2516">
        <v>2020</v>
      </c>
      <c r="B2516" t="s">
        <v>43</v>
      </c>
      <c r="C2516" t="s">
        <v>142</v>
      </c>
      <c r="D2516" s="1" t="s">
        <v>26</v>
      </c>
      <c r="E2516" s="4">
        <v>162.5</v>
      </c>
      <c r="F2516" s="4">
        <v>158.5</v>
      </c>
      <c r="G2516" s="4">
        <v>155.69999999999999</v>
      </c>
      <c r="H2516" s="1" t="s">
        <v>26</v>
      </c>
      <c r="K2516">
        <v>2015</v>
      </c>
      <c r="L2516" t="s">
        <v>36</v>
      </c>
      <c r="M2516" t="s">
        <v>85</v>
      </c>
      <c r="N2516" t="s">
        <v>17</v>
      </c>
      <c r="O2516" t="s">
        <v>189</v>
      </c>
      <c r="P2516" s="1" t="s">
        <v>30</v>
      </c>
      <c r="Q2516">
        <v>126</v>
      </c>
    </row>
    <row r="2517" spans="1:17" x14ac:dyDescent="0.3">
      <c r="A2517">
        <v>2020</v>
      </c>
      <c r="B2517" t="s">
        <v>43</v>
      </c>
      <c r="C2517" t="s">
        <v>142</v>
      </c>
      <c r="D2517" s="1" t="s">
        <v>5</v>
      </c>
      <c r="E2517" s="4">
        <v>159.19999999999999</v>
      </c>
      <c r="F2517" s="4">
        <v>161.4</v>
      </c>
      <c r="G2517" s="4">
        <v>164.8</v>
      </c>
      <c r="H2517" s="1" t="s">
        <v>188</v>
      </c>
      <c r="K2517">
        <v>2015</v>
      </c>
      <c r="L2517" t="s">
        <v>36</v>
      </c>
      <c r="M2517" t="s">
        <v>85</v>
      </c>
      <c r="N2517" t="s">
        <v>17</v>
      </c>
      <c r="O2517" t="s">
        <v>189</v>
      </c>
      <c r="P2517" s="1" t="s">
        <v>34</v>
      </c>
      <c r="Q2517">
        <v>124.3</v>
      </c>
    </row>
    <row r="2518" spans="1:17" x14ac:dyDescent="0.3">
      <c r="A2518">
        <v>2020</v>
      </c>
      <c r="B2518" t="s">
        <v>43</v>
      </c>
      <c r="C2518" t="s">
        <v>142</v>
      </c>
      <c r="D2518" s="1" t="s">
        <v>15</v>
      </c>
      <c r="E2518" s="4">
        <v>159.6</v>
      </c>
      <c r="F2518" s="4">
        <v>161.4</v>
      </c>
      <c r="G2518" s="4">
        <v>164.4</v>
      </c>
      <c r="H2518" s="1" t="s">
        <v>188</v>
      </c>
      <c r="K2518">
        <v>2015</v>
      </c>
      <c r="L2518" t="s">
        <v>36</v>
      </c>
      <c r="M2518" t="s">
        <v>85</v>
      </c>
      <c r="N2518" t="s">
        <v>17</v>
      </c>
      <c r="O2518" t="s">
        <v>189</v>
      </c>
      <c r="P2518" s="1" t="s">
        <v>33</v>
      </c>
      <c r="Q2518">
        <v>121.7</v>
      </c>
    </row>
    <row r="2519" spans="1:17" x14ac:dyDescent="0.3">
      <c r="A2519">
        <v>2020</v>
      </c>
      <c r="B2519" t="s">
        <v>43</v>
      </c>
      <c r="C2519" t="s">
        <v>142</v>
      </c>
      <c r="D2519" s="1" t="s">
        <v>18</v>
      </c>
      <c r="E2519" s="4">
        <v>150.6</v>
      </c>
      <c r="F2519" s="4">
        <v>144.6</v>
      </c>
      <c r="G2519" s="4">
        <v>136.1</v>
      </c>
      <c r="H2519" s="1" t="s">
        <v>189</v>
      </c>
      <c r="K2519">
        <v>2015</v>
      </c>
      <c r="L2519" t="s">
        <v>36</v>
      </c>
      <c r="M2519" t="s">
        <v>85</v>
      </c>
      <c r="N2519" t="s">
        <v>19</v>
      </c>
      <c r="O2519" t="s">
        <v>189</v>
      </c>
      <c r="P2519" s="1" t="s">
        <v>30</v>
      </c>
      <c r="Q2519">
        <v>125.5</v>
      </c>
    </row>
    <row r="2520" spans="1:17" x14ac:dyDescent="0.3">
      <c r="A2520">
        <v>2020</v>
      </c>
      <c r="B2520" t="s">
        <v>43</v>
      </c>
      <c r="C2520" t="s">
        <v>142</v>
      </c>
      <c r="D2520" s="1" t="s">
        <v>8</v>
      </c>
      <c r="E2520" s="4">
        <v>147.19999999999999</v>
      </c>
      <c r="F2520" s="4">
        <v>151.19999999999999</v>
      </c>
      <c r="G2520" s="4">
        <v>155.69999999999999</v>
      </c>
      <c r="H2520" s="1" t="s">
        <v>188</v>
      </c>
      <c r="K2520">
        <v>2015</v>
      </c>
      <c r="L2520" t="s">
        <v>36</v>
      </c>
      <c r="M2520" t="s">
        <v>85</v>
      </c>
      <c r="N2520" t="s">
        <v>19</v>
      </c>
      <c r="O2520" t="s">
        <v>189</v>
      </c>
      <c r="P2520" s="1" t="s">
        <v>34</v>
      </c>
      <c r="Q2520">
        <v>123.7</v>
      </c>
    </row>
    <row r="2521" spans="1:17" x14ac:dyDescent="0.3">
      <c r="A2521">
        <v>2020</v>
      </c>
      <c r="B2521" t="s">
        <v>43</v>
      </c>
      <c r="C2521" t="s">
        <v>142</v>
      </c>
      <c r="D2521" s="1" t="s">
        <v>21</v>
      </c>
      <c r="E2521" s="4">
        <v>146.80000000000001</v>
      </c>
      <c r="F2521" s="4">
        <v>143.1</v>
      </c>
      <c r="G2521" s="4">
        <v>137.1</v>
      </c>
      <c r="H2521" s="1" t="s">
        <v>190</v>
      </c>
      <c r="K2521">
        <v>2015</v>
      </c>
      <c r="L2521" t="s">
        <v>36</v>
      </c>
      <c r="M2521" t="s">
        <v>85</v>
      </c>
      <c r="N2521" t="s">
        <v>19</v>
      </c>
      <c r="O2521" t="s">
        <v>189</v>
      </c>
      <c r="P2521" s="1" t="s">
        <v>33</v>
      </c>
      <c r="Q2521">
        <v>120.9</v>
      </c>
    </row>
    <row r="2522" spans="1:17" x14ac:dyDescent="0.3">
      <c r="A2522">
        <v>2020</v>
      </c>
      <c r="B2522" t="s">
        <v>43</v>
      </c>
      <c r="C2522" t="s">
        <v>142</v>
      </c>
      <c r="D2522" s="1" t="s">
        <v>29</v>
      </c>
      <c r="E2522" s="4">
        <v>157.5</v>
      </c>
      <c r="F2522" s="4">
        <v>156.4</v>
      </c>
      <c r="G2522" s="4">
        <v>155.19999999999999</v>
      </c>
      <c r="H2522" s="1" t="s">
        <v>206</v>
      </c>
      <c r="K2522">
        <v>2015</v>
      </c>
      <c r="L2522" t="s">
        <v>36</v>
      </c>
      <c r="M2522" t="s">
        <v>85</v>
      </c>
      <c r="N2522" t="s">
        <v>26</v>
      </c>
      <c r="O2522" t="s">
        <v>26</v>
      </c>
      <c r="P2522" s="1" t="s">
        <v>30</v>
      </c>
      <c r="Q2522">
        <v>119.4</v>
      </c>
    </row>
    <row r="2523" spans="1:17" x14ac:dyDescent="0.3">
      <c r="A2523">
        <v>2020</v>
      </c>
      <c r="B2523" t="s">
        <v>43</v>
      </c>
      <c r="C2523" t="s">
        <v>142</v>
      </c>
      <c r="D2523" s="1" t="s">
        <v>23</v>
      </c>
      <c r="E2523" s="4">
        <v>159.5</v>
      </c>
      <c r="F2523" s="4">
        <v>156.30000000000001</v>
      </c>
      <c r="G2523" s="4">
        <v>151</v>
      </c>
      <c r="H2523" s="1" t="s">
        <v>23</v>
      </c>
      <c r="K2523">
        <v>2015</v>
      </c>
      <c r="L2523" t="s">
        <v>36</v>
      </c>
      <c r="M2523" t="s">
        <v>85</v>
      </c>
      <c r="N2523" t="s">
        <v>26</v>
      </c>
      <c r="O2523" t="s">
        <v>26</v>
      </c>
      <c r="P2523" s="1" t="s">
        <v>34</v>
      </c>
      <c r="Q2523">
        <v>120.1</v>
      </c>
    </row>
    <row r="2524" spans="1:17" x14ac:dyDescent="0.3">
      <c r="A2524">
        <v>2020</v>
      </c>
      <c r="B2524" t="s">
        <v>43</v>
      </c>
      <c r="C2524" t="s">
        <v>142</v>
      </c>
      <c r="D2524" s="1" t="s">
        <v>22</v>
      </c>
      <c r="E2524" s="4">
        <v>152</v>
      </c>
      <c r="F2524" s="4">
        <v>148.69999999999999</v>
      </c>
      <c r="G2524" s="4">
        <v>145.1</v>
      </c>
      <c r="H2524" s="1" t="s">
        <v>20</v>
      </c>
      <c r="K2524">
        <v>2015</v>
      </c>
      <c r="L2524" t="s">
        <v>36</v>
      </c>
      <c r="M2524" t="s">
        <v>85</v>
      </c>
      <c r="N2524" t="s">
        <v>26</v>
      </c>
      <c r="O2524" t="s">
        <v>26</v>
      </c>
      <c r="P2524" s="1" t="s">
        <v>33</v>
      </c>
      <c r="Q2524">
        <v>120.6</v>
      </c>
    </row>
    <row r="2525" spans="1:17" x14ac:dyDescent="0.3">
      <c r="A2525">
        <v>2020</v>
      </c>
      <c r="B2525" t="s">
        <v>43</v>
      </c>
      <c r="C2525" t="s">
        <v>142</v>
      </c>
      <c r="D2525" s="1" t="s">
        <v>20</v>
      </c>
      <c r="E2525" s="4">
        <v>0</v>
      </c>
      <c r="F2525" s="4">
        <v>156.5</v>
      </c>
      <c r="G2525" s="4">
        <v>156.5</v>
      </c>
      <c r="H2525" s="1" t="s">
        <v>20</v>
      </c>
      <c r="K2525">
        <v>2015</v>
      </c>
      <c r="L2525" t="s">
        <v>36</v>
      </c>
      <c r="M2525" t="s">
        <v>85</v>
      </c>
      <c r="N2525" t="s">
        <v>5</v>
      </c>
      <c r="O2525" t="s">
        <v>188</v>
      </c>
      <c r="P2525" s="1" t="s">
        <v>30</v>
      </c>
      <c r="Q2525">
        <v>118.9</v>
      </c>
    </row>
    <row r="2526" spans="1:17" x14ac:dyDescent="0.3">
      <c r="A2526">
        <v>2020</v>
      </c>
      <c r="B2526" t="s">
        <v>43</v>
      </c>
      <c r="C2526" t="s">
        <v>142</v>
      </c>
      <c r="D2526" s="1" t="s">
        <v>4</v>
      </c>
      <c r="E2526" s="4">
        <v>186.3</v>
      </c>
      <c r="F2526" s="4">
        <v>188.9</v>
      </c>
      <c r="G2526" s="4">
        <v>193.7</v>
      </c>
      <c r="H2526" s="1" t="s">
        <v>188</v>
      </c>
      <c r="K2526">
        <v>2015</v>
      </c>
      <c r="L2526" t="s">
        <v>36</v>
      </c>
      <c r="M2526" t="s">
        <v>85</v>
      </c>
      <c r="N2526" t="s">
        <v>5</v>
      </c>
      <c r="O2526" t="s">
        <v>188</v>
      </c>
      <c r="P2526" s="1" t="s">
        <v>34</v>
      </c>
      <c r="Q2526">
        <v>116.8</v>
      </c>
    </row>
    <row r="2527" spans="1:17" x14ac:dyDescent="0.3">
      <c r="A2527">
        <v>2020</v>
      </c>
      <c r="B2527" t="s">
        <v>43</v>
      </c>
      <c r="C2527" t="s">
        <v>142</v>
      </c>
      <c r="D2527" s="1" t="s">
        <v>6</v>
      </c>
      <c r="E2527" s="4">
        <v>153.6</v>
      </c>
      <c r="F2527" s="4">
        <v>153.6</v>
      </c>
      <c r="G2527" s="4">
        <v>153.69999999999999</v>
      </c>
      <c r="H2527" s="1" t="s">
        <v>188</v>
      </c>
      <c r="K2527">
        <v>2015</v>
      </c>
      <c r="L2527" t="s">
        <v>36</v>
      </c>
      <c r="M2527" t="s">
        <v>85</v>
      </c>
      <c r="N2527" t="s">
        <v>5</v>
      </c>
      <c r="O2527" t="s">
        <v>188</v>
      </c>
      <c r="P2527" s="1" t="s">
        <v>33</v>
      </c>
      <c r="Q2527">
        <v>113.5</v>
      </c>
    </row>
    <row r="2528" spans="1:17" x14ac:dyDescent="0.3">
      <c r="A2528">
        <v>2020</v>
      </c>
      <c r="B2528" t="s">
        <v>43</v>
      </c>
      <c r="C2528" t="s">
        <v>142</v>
      </c>
      <c r="D2528" s="1" t="s">
        <v>28</v>
      </c>
      <c r="E2528" s="4">
        <v>154.30000000000001</v>
      </c>
      <c r="F2528" s="4">
        <v>150.4</v>
      </c>
      <c r="G2528" s="4">
        <v>146.19999999999999</v>
      </c>
      <c r="H2528" s="1" t="s">
        <v>192</v>
      </c>
      <c r="K2528">
        <v>2015</v>
      </c>
      <c r="L2528" t="s">
        <v>36</v>
      </c>
      <c r="M2528" t="s">
        <v>85</v>
      </c>
      <c r="N2528" t="s">
        <v>15</v>
      </c>
      <c r="O2528" t="s">
        <v>188</v>
      </c>
      <c r="P2528" s="1" t="s">
        <v>30</v>
      </c>
      <c r="Q2528">
        <v>123.1</v>
      </c>
    </row>
    <row r="2529" spans="1:17" x14ac:dyDescent="0.3">
      <c r="A2529">
        <v>2020</v>
      </c>
      <c r="B2529" t="s">
        <v>43</v>
      </c>
      <c r="C2529" t="s">
        <v>142</v>
      </c>
      <c r="D2529" s="1" t="s">
        <v>13</v>
      </c>
      <c r="E2529" s="4">
        <v>147.4</v>
      </c>
      <c r="F2529" s="4">
        <v>144</v>
      </c>
      <c r="G2529" s="4">
        <v>139.19999999999999</v>
      </c>
      <c r="H2529" s="1" t="s">
        <v>188</v>
      </c>
      <c r="K2529">
        <v>2015</v>
      </c>
      <c r="L2529" t="s">
        <v>36</v>
      </c>
      <c r="M2529" t="s">
        <v>85</v>
      </c>
      <c r="N2529" t="s">
        <v>15</v>
      </c>
      <c r="O2529" t="s">
        <v>188</v>
      </c>
      <c r="P2529" s="1" t="s">
        <v>34</v>
      </c>
      <c r="Q2529">
        <v>123.4</v>
      </c>
    </row>
    <row r="2530" spans="1:17" x14ac:dyDescent="0.3">
      <c r="A2530">
        <v>2020</v>
      </c>
      <c r="B2530" t="s">
        <v>43</v>
      </c>
      <c r="C2530" t="s">
        <v>142</v>
      </c>
      <c r="D2530" s="1" t="s">
        <v>7</v>
      </c>
      <c r="E2530" s="4">
        <v>142.6</v>
      </c>
      <c r="F2530" s="4">
        <v>140.1</v>
      </c>
      <c r="G2530" s="4">
        <v>135.69999999999999</v>
      </c>
      <c r="H2530" s="1" t="s">
        <v>188</v>
      </c>
      <c r="K2530">
        <v>2015</v>
      </c>
      <c r="L2530" t="s">
        <v>36</v>
      </c>
      <c r="M2530" t="s">
        <v>85</v>
      </c>
      <c r="N2530" t="s">
        <v>15</v>
      </c>
      <c r="O2530" t="s">
        <v>188</v>
      </c>
      <c r="P2530" s="1" t="s">
        <v>33</v>
      </c>
      <c r="Q2530">
        <v>123.9</v>
      </c>
    </row>
    <row r="2531" spans="1:17" x14ac:dyDescent="0.3">
      <c r="A2531">
        <v>2020</v>
      </c>
      <c r="B2531" t="s">
        <v>43</v>
      </c>
      <c r="C2531" t="s">
        <v>142</v>
      </c>
      <c r="D2531" s="1" t="s">
        <v>16</v>
      </c>
      <c r="E2531" s="4">
        <v>182.7</v>
      </c>
      <c r="F2531" s="4">
        <v>184.3</v>
      </c>
      <c r="G2531" s="4">
        <v>188.7</v>
      </c>
      <c r="H2531" s="1" t="s">
        <v>192</v>
      </c>
      <c r="K2531">
        <v>2015</v>
      </c>
      <c r="L2531" t="s">
        <v>36</v>
      </c>
      <c r="M2531" t="s">
        <v>85</v>
      </c>
      <c r="N2531" t="s">
        <v>18</v>
      </c>
      <c r="O2531" t="s">
        <v>189</v>
      </c>
      <c r="P2531" s="1" t="s">
        <v>30</v>
      </c>
      <c r="Q2531">
        <v>122.9</v>
      </c>
    </row>
    <row r="2532" spans="1:17" x14ac:dyDescent="0.3">
      <c r="A2532">
        <v>2020</v>
      </c>
      <c r="B2532" t="s">
        <v>43</v>
      </c>
      <c r="C2532" t="s">
        <v>142</v>
      </c>
      <c r="D2532" s="1" t="s">
        <v>27</v>
      </c>
      <c r="E2532" s="4">
        <v>156.19999999999999</v>
      </c>
      <c r="F2532" s="4">
        <v>157</v>
      </c>
      <c r="G2532" s="4">
        <v>158.1</v>
      </c>
      <c r="H2532" s="1" t="s">
        <v>192</v>
      </c>
      <c r="K2532">
        <v>2015</v>
      </c>
      <c r="L2532" t="s">
        <v>36</v>
      </c>
      <c r="M2532" t="s">
        <v>85</v>
      </c>
      <c r="N2532" t="s">
        <v>18</v>
      </c>
      <c r="O2532" t="s">
        <v>189</v>
      </c>
      <c r="P2532" s="1" t="s">
        <v>34</v>
      </c>
      <c r="Q2532">
        <v>120.4</v>
      </c>
    </row>
    <row r="2533" spans="1:17" x14ac:dyDescent="0.3">
      <c r="A2533">
        <v>2020</v>
      </c>
      <c r="B2533" t="s">
        <v>43</v>
      </c>
      <c r="C2533" t="s">
        <v>142</v>
      </c>
      <c r="D2533" s="1" t="s">
        <v>14</v>
      </c>
      <c r="E2533" s="4">
        <v>161.9</v>
      </c>
      <c r="F2533" s="4">
        <v>163.19999999999999</v>
      </c>
      <c r="G2533" s="4">
        <v>164.8</v>
      </c>
      <c r="H2533" s="1" t="s">
        <v>188</v>
      </c>
      <c r="K2533">
        <v>2015</v>
      </c>
      <c r="L2533" t="s">
        <v>36</v>
      </c>
      <c r="M2533" t="s">
        <v>85</v>
      </c>
      <c r="N2533" t="s">
        <v>18</v>
      </c>
      <c r="O2533" t="s">
        <v>189</v>
      </c>
      <c r="P2533" s="1" t="s">
        <v>33</v>
      </c>
      <c r="Q2533">
        <v>116.9</v>
      </c>
    </row>
    <row r="2534" spans="1:17" x14ac:dyDescent="0.3">
      <c r="A2534">
        <v>2020</v>
      </c>
      <c r="B2534" t="s">
        <v>43</v>
      </c>
      <c r="C2534" t="s">
        <v>142</v>
      </c>
      <c r="D2534" s="1" t="s">
        <v>10</v>
      </c>
      <c r="E2534" s="4">
        <v>150.30000000000001</v>
      </c>
      <c r="F2534" s="4">
        <v>150.9</v>
      </c>
      <c r="G2534" s="4">
        <v>152.19999999999999</v>
      </c>
      <c r="H2534" s="1" t="s">
        <v>188</v>
      </c>
      <c r="K2534">
        <v>2015</v>
      </c>
      <c r="L2534" t="s">
        <v>36</v>
      </c>
      <c r="M2534" t="s">
        <v>85</v>
      </c>
      <c r="N2534" t="s">
        <v>8</v>
      </c>
      <c r="O2534" t="s">
        <v>188</v>
      </c>
      <c r="P2534" s="1" t="s">
        <v>30</v>
      </c>
      <c r="Q2534">
        <v>130.9</v>
      </c>
    </row>
    <row r="2535" spans="1:17" x14ac:dyDescent="0.3">
      <c r="A2535">
        <v>2020</v>
      </c>
      <c r="B2535" t="s">
        <v>43</v>
      </c>
      <c r="C2535" t="s">
        <v>142</v>
      </c>
      <c r="D2535" s="1" t="s">
        <v>25</v>
      </c>
      <c r="E2535" s="4">
        <v>152.4</v>
      </c>
      <c r="F2535" s="4">
        <v>146.5</v>
      </c>
      <c r="G2535" s="4">
        <v>142</v>
      </c>
      <c r="H2535" s="1" t="s">
        <v>195</v>
      </c>
      <c r="K2535">
        <v>2015</v>
      </c>
      <c r="L2535" t="s">
        <v>36</v>
      </c>
      <c r="M2535" t="s">
        <v>85</v>
      </c>
      <c r="N2535" t="s">
        <v>8</v>
      </c>
      <c r="O2535" t="s">
        <v>188</v>
      </c>
      <c r="P2535" s="1" t="s">
        <v>34</v>
      </c>
      <c r="Q2535">
        <v>127.6</v>
      </c>
    </row>
    <row r="2536" spans="1:17" x14ac:dyDescent="0.3">
      <c r="A2536">
        <v>2020</v>
      </c>
      <c r="B2536" t="s">
        <v>43</v>
      </c>
      <c r="C2536" t="s">
        <v>142</v>
      </c>
      <c r="D2536" s="1" t="s">
        <v>12</v>
      </c>
      <c r="E2536" s="4">
        <v>160.9</v>
      </c>
      <c r="F2536" s="4">
        <v>161</v>
      </c>
      <c r="G2536" s="4">
        <v>161.30000000000001</v>
      </c>
      <c r="H2536" s="1" t="s">
        <v>188</v>
      </c>
      <c r="K2536">
        <v>2015</v>
      </c>
      <c r="L2536" t="s">
        <v>36</v>
      </c>
      <c r="M2536" t="s">
        <v>85</v>
      </c>
      <c r="N2536" t="s">
        <v>8</v>
      </c>
      <c r="O2536" t="s">
        <v>188</v>
      </c>
      <c r="P2536" s="1" t="s">
        <v>33</v>
      </c>
      <c r="Q2536">
        <v>123.8</v>
      </c>
    </row>
    <row r="2537" spans="1:17" x14ac:dyDescent="0.3">
      <c r="A2537">
        <v>2020</v>
      </c>
      <c r="B2537" t="s">
        <v>43</v>
      </c>
      <c r="C2537" t="s">
        <v>142</v>
      </c>
      <c r="D2537" s="1" t="s">
        <v>11</v>
      </c>
      <c r="E2537" s="4">
        <v>115.3</v>
      </c>
      <c r="F2537" s="4">
        <v>116.2</v>
      </c>
      <c r="G2537" s="4">
        <v>118.1</v>
      </c>
      <c r="H2537" s="1" t="s">
        <v>188</v>
      </c>
      <c r="K2537">
        <v>2015</v>
      </c>
      <c r="L2537" t="s">
        <v>36</v>
      </c>
      <c r="M2537" t="s">
        <v>85</v>
      </c>
      <c r="N2537" t="s">
        <v>21</v>
      </c>
      <c r="O2537" t="s">
        <v>190</v>
      </c>
      <c r="P2537" s="1" t="s">
        <v>30</v>
      </c>
      <c r="Q2537">
        <v>120.6</v>
      </c>
    </row>
    <row r="2538" spans="1:17" x14ac:dyDescent="0.3">
      <c r="A2538">
        <v>2020</v>
      </c>
      <c r="B2538" t="s">
        <v>43</v>
      </c>
      <c r="C2538" t="s">
        <v>142</v>
      </c>
      <c r="D2538" s="1" t="s">
        <v>24</v>
      </c>
      <c r="E2538" s="4">
        <v>146.4</v>
      </c>
      <c r="F2538" s="4">
        <v>140.6</v>
      </c>
      <c r="G2538" s="4">
        <v>135.4</v>
      </c>
      <c r="H2538" s="1" t="s">
        <v>191</v>
      </c>
      <c r="K2538">
        <v>2015</v>
      </c>
      <c r="L2538" t="s">
        <v>36</v>
      </c>
      <c r="M2538" t="s">
        <v>85</v>
      </c>
      <c r="N2538" t="s">
        <v>21</v>
      </c>
      <c r="O2538" t="s">
        <v>190</v>
      </c>
      <c r="P2538" s="1" t="s">
        <v>34</v>
      </c>
      <c r="Q2538">
        <v>118.3</v>
      </c>
    </row>
    <row r="2539" spans="1:17" x14ac:dyDescent="0.3">
      <c r="A2539">
        <v>2020</v>
      </c>
      <c r="B2539" t="s">
        <v>43</v>
      </c>
      <c r="C2539" t="s">
        <v>142</v>
      </c>
      <c r="D2539" s="1" t="s">
        <v>9</v>
      </c>
      <c r="E2539" s="4">
        <v>200.6</v>
      </c>
      <c r="F2539" s="4">
        <v>209.2</v>
      </c>
      <c r="G2539" s="4">
        <v>226</v>
      </c>
      <c r="H2539" s="1" t="s">
        <v>188</v>
      </c>
      <c r="K2539">
        <v>2015</v>
      </c>
      <c r="L2539" t="s">
        <v>36</v>
      </c>
      <c r="M2539" t="s">
        <v>85</v>
      </c>
      <c r="N2539" t="s">
        <v>21</v>
      </c>
      <c r="O2539" t="s">
        <v>190</v>
      </c>
      <c r="P2539" s="1" t="s">
        <v>33</v>
      </c>
      <c r="Q2539">
        <v>114.4</v>
      </c>
    </row>
    <row r="2540" spans="1:17" x14ac:dyDescent="0.3">
      <c r="A2540">
        <v>2020</v>
      </c>
      <c r="B2540" t="s">
        <v>42</v>
      </c>
      <c r="C2540" t="s">
        <v>143</v>
      </c>
      <c r="D2540" s="1" t="s">
        <v>3</v>
      </c>
      <c r="E2540" s="4">
        <v>146.9</v>
      </c>
      <c r="F2540" s="4">
        <v>148.4</v>
      </c>
      <c r="G2540" s="4">
        <v>151.5</v>
      </c>
      <c r="H2540" s="1" t="s">
        <v>188</v>
      </c>
      <c r="K2540">
        <v>2015</v>
      </c>
      <c r="L2540" t="s">
        <v>36</v>
      </c>
      <c r="M2540" t="s">
        <v>85</v>
      </c>
      <c r="N2540" t="s">
        <v>29</v>
      </c>
      <c r="O2540" t="s">
        <v>206</v>
      </c>
      <c r="P2540" s="1" t="s">
        <v>30</v>
      </c>
      <c r="Q2540">
        <v>121.1</v>
      </c>
    </row>
    <row r="2541" spans="1:17" x14ac:dyDescent="0.3">
      <c r="A2541">
        <v>2020</v>
      </c>
      <c r="B2541" t="s">
        <v>42</v>
      </c>
      <c r="C2541" t="s">
        <v>143</v>
      </c>
      <c r="D2541" s="1" t="s">
        <v>17</v>
      </c>
      <c r="E2541" s="4">
        <v>155.4</v>
      </c>
      <c r="F2541" s="4">
        <v>153.4</v>
      </c>
      <c r="G2541" s="4">
        <v>150.19999999999999</v>
      </c>
      <c r="H2541" s="1" t="s">
        <v>189</v>
      </c>
      <c r="K2541">
        <v>2015</v>
      </c>
      <c r="L2541" t="s">
        <v>36</v>
      </c>
      <c r="M2541" t="s">
        <v>85</v>
      </c>
      <c r="N2541" t="s">
        <v>29</v>
      </c>
      <c r="O2541" t="s">
        <v>206</v>
      </c>
      <c r="P2541" s="1" t="s">
        <v>34</v>
      </c>
      <c r="Q2541">
        <v>120.2</v>
      </c>
    </row>
    <row r="2542" spans="1:17" x14ac:dyDescent="0.3">
      <c r="A2542">
        <v>2020</v>
      </c>
      <c r="B2542" t="s">
        <v>42</v>
      </c>
      <c r="C2542" t="s">
        <v>143</v>
      </c>
      <c r="D2542" s="1" t="s">
        <v>19</v>
      </c>
      <c r="E2542" s="4">
        <v>154.6</v>
      </c>
      <c r="F2542" s="4">
        <v>152</v>
      </c>
      <c r="G2542" s="4">
        <v>148.1</v>
      </c>
      <c r="H2542" s="1" t="s">
        <v>189</v>
      </c>
      <c r="K2542">
        <v>2015</v>
      </c>
      <c r="L2542" t="s">
        <v>36</v>
      </c>
      <c r="M2542" t="s">
        <v>85</v>
      </c>
      <c r="N2542" t="s">
        <v>29</v>
      </c>
      <c r="O2542" t="s">
        <v>206</v>
      </c>
      <c r="P2542" s="1" t="s">
        <v>33</v>
      </c>
      <c r="Q2542">
        <v>119.1</v>
      </c>
    </row>
    <row r="2543" spans="1:17" x14ac:dyDescent="0.3">
      <c r="A2543">
        <v>2020</v>
      </c>
      <c r="B2543" t="s">
        <v>42</v>
      </c>
      <c r="C2543" t="s">
        <v>143</v>
      </c>
      <c r="D2543" s="1" t="s">
        <v>26</v>
      </c>
      <c r="E2543" s="4">
        <v>161.1</v>
      </c>
      <c r="F2543" s="4">
        <v>157.5</v>
      </c>
      <c r="G2543" s="4">
        <v>154.9</v>
      </c>
      <c r="H2543" s="1" t="s">
        <v>26</v>
      </c>
      <c r="K2543">
        <v>2015</v>
      </c>
      <c r="L2543" t="s">
        <v>36</v>
      </c>
      <c r="M2543" t="s">
        <v>85</v>
      </c>
      <c r="N2543" t="s">
        <v>23</v>
      </c>
      <c r="O2543" t="s">
        <v>23</v>
      </c>
      <c r="P2543" s="1" t="s">
        <v>30</v>
      </c>
      <c r="Q2543">
        <v>118.2</v>
      </c>
    </row>
    <row r="2544" spans="1:17" x14ac:dyDescent="0.3">
      <c r="A2544">
        <v>2020</v>
      </c>
      <c r="B2544" t="s">
        <v>42</v>
      </c>
      <c r="C2544" t="s">
        <v>143</v>
      </c>
      <c r="D2544" s="1" t="s">
        <v>5</v>
      </c>
      <c r="E2544" s="4">
        <v>149.5</v>
      </c>
      <c r="F2544" s="4">
        <v>152.5</v>
      </c>
      <c r="G2544" s="4">
        <v>157.30000000000001</v>
      </c>
      <c r="H2544" s="1" t="s">
        <v>188</v>
      </c>
      <c r="K2544">
        <v>2015</v>
      </c>
      <c r="L2544" t="s">
        <v>36</v>
      </c>
      <c r="M2544" t="s">
        <v>85</v>
      </c>
      <c r="N2544" t="s">
        <v>23</v>
      </c>
      <c r="O2544" t="s">
        <v>23</v>
      </c>
      <c r="P2544" s="1" t="s">
        <v>34</v>
      </c>
      <c r="Q2544">
        <v>116.7</v>
      </c>
    </row>
    <row r="2545" spans="1:17" x14ac:dyDescent="0.3">
      <c r="A2545">
        <v>2020</v>
      </c>
      <c r="B2545" t="s">
        <v>42</v>
      </c>
      <c r="C2545" t="s">
        <v>143</v>
      </c>
      <c r="D2545" s="1" t="s">
        <v>15</v>
      </c>
      <c r="E2545" s="4">
        <v>156.1</v>
      </c>
      <c r="F2545" s="4">
        <v>158</v>
      </c>
      <c r="G2545" s="4">
        <v>161.30000000000001</v>
      </c>
      <c r="H2545" s="1" t="s">
        <v>188</v>
      </c>
      <c r="K2545">
        <v>2015</v>
      </c>
      <c r="L2545" t="s">
        <v>36</v>
      </c>
      <c r="M2545" t="s">
        <v>85</v>
      </c>
      <c r="N2545" t="s">
        <v>23</v>
      </c>
      <c r="O2545" t="s">
        <v>23</v>
      </c>
      <c r="P2545" s="1" t="s">
        <v>33</v>
      </c>
      <c r="Q2545">
        <v>114.3</v>
      </c>
    </row>
    <row r="2546" spans="1:17" x14ac:dyDescent="0.3">
      <c r="A2546">
        <v>2020</v>
      </c>
      <c r="B2546" t="s">
        <v>42</v>
      </c>
      <c r="C2546" t="s">
        <v>143</v>
      </c>
      <c r="D2546" s="1" t="s">
        <v>18</v>
      </c>
      <c r="E2546" s="4">
        <v>149.9</v>
      </c>
      <c r="F2546" s="4">
        <v>144.30000000000001</v>
      </c>
      <c r="G2546" s="4">
        <v>136.30000000000001</v>
      </c>
      <c r="H2546" s="1" t="s">
        <v>189</v>
      </c>
      <c r="K2546">
        <v>2015</v>
      </c>
      <c r="L2546" t="s">
        <v>36</v>
      </c>
      <c r="M2546" t="s">
        <v>85</v>
      </c>
      <c r="N2546" t="s">
        <v>22</v>
      </c>
      <c r="O2546" t="s">
        <v>20</v>
      </c>
      <c r="P2546" s="1" t="s">
        <v>30</v>
      </c>
      <c r="Q2546">
        <v>120.2</v>
      </c>
    </row>
    <row r="2547" spans="1:17" x14ac:dyDescent="0.3">
      <c r="A2547">
        <v>2020</v>
      </c>
      <c r="B2547" t="s">
        <v>42</v>
      </c>
      <c r="C2547" t="s">
        <v>143</v>
      </c>
      <c r="D2547" s="1" t="s">
        <v>8</v>
      </c>
      <c r="E2547" s="4">
        <v>147</v>
      </c>
      <c r="F2547" s="4">
        <v>150.9</v>
      </c>
      <c r="G2547" s="4">
        <v>155.4</v>
      </c>
      <c r="H2547" s="1" t="s">
        <v>188</v>
      </c>
      <c r="K2547">
        <v>2015</v>
      </c>
      <c r="L2547" t="s">
        <v>36</v>
      </c>
      <c r="M2547" t="s">
        <v>85</v>
      </c>
      <c r="N2547" t="s">
        <v>22</v>
      </c>
      <c r="O2547" t="s">
        <v>20</v>
      </c>
      <c r="P2547" s="1" t="s">
        <v>34</v>
      </c>
      <c r="Q2547">
        <v>119.2</v>
      </c>
    </row>
    <row r="2548" spans="1:17" x14ac:dyDescent="0.3">
      <c r="A2548">
        <v>2020</v>
      </c>
      <c r="B2548" t="s">
        <v>42</v>
      </c>
      <c r="C2548" t="s">
        <v>143</v>
      </c>
      <c r="D2548" s="1" t="s">
        <v>21</v>
      </c>
      <c r="E2548" s="4">
        <v>146.4</v>
      </c>
      <c r="F2548" s="4">
        <v>142.9</v>
      </c>
      <c r="G2548" s="4">
        <v>137.19999999999999</v>
      </c>
      <c r="H2548" s="1" t="s">
        <v>190</v>
      </c>
      <c r="K2548">
        <v>2015</v>
      </c>
      <c r="L2548" t="s">
        <v>36</v>
      </c>
      <c r="M2548" t="s">
        <v>85</v>
      </c>
      <c r="N2548" t="s">
        <v>22</v>
      </c>
      <c r="O2548" t="s">
        <v>20</v>
      </c>
      <c r="P2548" s="1" t="s">
        <v>33</v>
      </c>
      <c r="Q2548">
        <v>118</v>
      </c>
    </row>
    <row r="2549" spans="1:17" x14ac:dyDescent="0.3">
      <c r="A2549">
        <v>2020</v>
      </c>
      <c r="B2549" t="s">
        <v>42</v>
      </c>
      <c r="C2549" t="s">
        <v>143</v>
      </c>
      <c r="D2549" s="1" t="s">
        <v>29</v>
      </c>
      <c r="E2549" s="4">
        <v>155.4</v>
      </c>
      <c r="F2549" s="4">
        <v>154.69999999999999</v>
      </c>
      <c r="G2549" s="4">
        <v>154</v>
      </c>
      <c r="H2549" s="1" t="s">
        <v>206</v>
      </c>
      <c r="K2549">
        <v>2015</v>
      </c>
      <c r="L2549" t="s">
        <v>36</v>
      </c>
      <c r="M2549" t="s">
        <v>85</v>
      </c>
      <c r="N2549" t="s">
        <v>20</v>
      </c>
      <c r="O2549" t="s">
        <v>20</v>
      </c>
      <c r="P2549" s="1" t="s">
        <v>30</v>
      </c>
      <c r="Q2549">
        <v>0</v>
      </c>
    </row>
    <row r="2550" spans="1:17" x14ac:dyDescent="0.3">
      <c r="A2550">
        <v>2020</v>
      </c>
      <c r="B2550" t="s">
        <v>42</v>
      </c>
      <c r="C2550" t="s">
        <v>143</v>
      </c>
      <c r="D2550" s="1" t="s">
        <v>23</v>
      </c>
      <c r="E2550" s="4">
        <v>159.1</v>
      </c>
      <c r="F2550" s="4">
        <v>155.6</v>
      </c>
      <c r="G2550" s="4">
        <v>150</v>
      </c>
      <c r="H2550" s="1" t="s">
        <v>23</v>
      </c>
      <c r="K2550">
        <v>2015</v>
      </c>
      <c r="L2550" t="s">
        <v>36</v>
      </c>
      <c r="M2550" t="s">
        <v>85</v>
      </c>
      <c r="N2550" t="s">
        <v>20</v>
      </c>
      <c r="O2550" t="s">
        <v>20</v>
      </c>
      <c r="P2550" s="1" t="s">
        <v>34</v>
      </c>
      <c r="Q2550">
        <v>118.6</v>
      </c>
    </row>
    <row r="2551" spans="1:17" x14ac:dyDescent="0.3">
      <c r="A2551">
        <v>2020</v>
      </c>
      <c r="B2551" t="s">
        <v>42</v>
      </c>
      <c r="C2551" t="s">
        <v>143</v>
      </c>
      <c r="D2551" s="1" t="s">
        <v>22</v>
      </c>
      <c r="E2551" s="4">
        <v>151.6</v>
      </c>
      <c r="F2551" s="4">
        <v>148.69999999999999</v>
      </c>
      <c r="G2551" s="4">
        <v>145.4</v>
      </c>
      <c r="H2551" s="1" t="s">
        <v>20</v>
      </c>
      <c r="K2551">
        <v>2015</v>
      </c>
      <c r="L2551" t="s">
        <v>36</v>
      </c>
      <c r="M2551" t="s">
        <v>85</v>
      </c>
      <c r="N2551" t="s">
        <v>20</v>
      </c>
      <c r="O2551" t="s">
        <v>20</v>
      </c>
      <c r="P2551" s="1" t="s">
        <v>33</v>
      </c>
      <c r="Q2551">
        <v>118.6</v>
      </c>
    </row>
    <row r="2552" spans="1:17" x14ac:dyDescent="0.3">
      <c r="A2552">
        <v>2020</v>
      </c>
      <c r="B2552" t="s">
        <v>42</v>
      </c>
      <c r="C2552" t="s">
        <v>143</v>
      </c>
      <c r="D2552" s="1" t="s">
        <v>20</v>
      </c>
      <c r="E2552" s="4">
        <v>0</v>
      </c>
      <c r="F2552" s="4">
        <v>156.30000000000001</v>
      </c>
      <c r="G2552" s="4">
        <v>156.30000000000001</v>
      </c>
      <c r="H2552" s="1" t="s">
        <v>20</v>
      </c>
      <c r="K2552">
        <v>2015</v>
      </c>
      <c r="L2552" t="s">
        <v>36</v>
      </c>
      <c r="M2552" t="s">
        <v>85</v>
      </c>
      <c r="N2552" t="s">
        <v>4</v>
      </c>
      <c r="O2552" t="s">
        <v>188</v>
      </c>
      <c r="P2552" s="1" t="s">
        <v>30</v>
      </c>
      <c r="Q2552">
        <v>124.7</v>
      </c>
    </row>
    <row r="2553" spans="1:17" x14ac:dyDescent="0.3">
      <c r="A2553">
        <v>2020</v>
      </c>
      <c r="B2553" t="s">
        <v>42</v>
      </c>
      <c r="C2553" t="s">
        <v>143</v>
      </c>
      <c r="D2553" s="1" t="s">
        <v>4</v>
      </c>
      <c r="E2553" s="4">
        <v>183.9</v>
      </c>
      <c r="F2553" s="4">
        <v>187.1</v>
      </c>
      <c r="G2553" s="4">
        <v>193.1</v>
      </c>
      <c r="H2553" s="1" t="s">
        <v>188</v>
      </c>
      <c r="K2553">
        <v>2015</v>
      </c>
      <c r="L2553" t="s">
        <v>36</v>
      </c>
      <c r="M2553" t="s">
        <v>85</v>
      </c>
      <c r="N2553" t="s">
        <v>4</v>
      </c>
      <c r="O2553" t="s">
        <v>188</v>
      </c>
      <c r="P2553" s="1" t="s">
        <v>34</v>
      </c>
      <c r="Q2553">
        <v>125.4</v>
      </c>
    </row>
    <row r="2554" spans="1:17" x14ac:dyDescent="0.3">
      <c r="A2554">
        <v>2020</v>
      </c>
      <c r="B2554" t="s">
        <v>42</v>
      </c>
      <c r="C2554" t="s">
        <v>143</v>
      </c>
      <c r="D2554" s="1" t="s">
        <v>6</v>
      </c>
      <c r="E2554" s="4">
        <v>153.4</v>
      </c>
      <c r="F2554" s="4">
        <v>153.6</v>
      </c>
      <c r="G2554" s="4">
        <v>153.9</v>
      </c>
      <c r="H2554" s="1" t="s">
        <v>188</v>
      </c>
      <c r="K2554">
        <v>2015</v>
      </c>
      <c r="L2554" t="s">
        <v>36</v>
      </c>
      <c r="M2554" t="s">
        <v>85</v>
      </c>
      <c r="N2554" t="s">
        <v>4</v>
      </c>
      <c r="O2554" t="s">
        <v>188</v>
      </c>
      <c r="P2554" s="1" t="s">
        <v>33</v>
      </c>
      <c r="Q2554">
        <v>126.7</v>
      </c>
    </row>
    <row r="2555" spans="1:17" x14ac:dyDescent="0.3">
      <c r="A2555">
        <v>2020</v>
      </c>
      <c r="B2555" t="s">
        <v>42</v>
      </c>
      <c r="C2555" t="s">
        <v>143</v>
      </c>
      <c r="D2555" s="1" t="s">
        <v>28</v>
      </c>
      <c r="E2555" s="4">
        <v>153.69999999999999</v>
      </c>
      <c r="F2555" s="4">
        <v>150</v>
      </c>
      <c r="G2555" s="4">
        <v>146</v>
      </c>
      <c r="H2555" s="1" t="s">
        <v>192</v>
      </c>
      <c r="K2555">
        <v>2015</v>
      </c>
      <c r="L2555" t="s">
        <v>36</v>
      </c>
      <c r="M2555" t="s">
        <v>85</v>
      </c>
      <c r="N2555" t="s">
        <v>6</v>
      </c>
      <c r="O2555" t="s">
        <v>188</v>
      </c>
      <c r="P2555" s="1" t="s">
        <v>30</v>
      </c>
      <c r="Q2555">
        <v>126</v>
      </c>
    </row>
    <row r="2556" spans="1:17" x14ac:dyDescent="0.3">
      <c r="A2556">
        <v>2020</v>
      </c>
      <c r="B2556" t="s">
        <v>42</v>
      </c>
      <c r="C2556" t="s">
        <v>143</v>
      </c>
      <c r="D2556" s="1" t="s">
        <v>13</v>
      </c>
      <c r="E2556" s="4">
        <v>145.4</v>
      </c>
      <c r="F2556" s="4">
        <v>142.19999999999999</v>
      </c>
      <c r="G2556" s="4">
        <v>137.69999999999999</v>
      </c>
      <c r="H2556" s="1" t="s">
        <v>188</v>
      </c>
      <c r="K2556">
        <v>2015</v>
      </c>
      <c r="L2556" t="s">
        <v>36</v>
      </c>
      <c r="M2556" t="s">
        <v>85</v>
      </c>
      <c r="N2556" t="s">
        <v>6</v>
      </c>
      <c r="O2556" t="s">
        <v>188</v>
      </c>
      <c r="P2556" s="1" t="s">
        <v>34</v>
      </c>
      <c r="Q2556">
        <v>126</v>
      </c>
    </row>
    <row r="2557" spans="1:17" x14ac:dyDescent="0.3">
      <c r="A2557">
        <v>2020</v>
      </c>
      <c r="B2557" t="s">
        <v>42</v>
      </c>
      <c r="C2557" t="s">
        <v>143</v>
      </c>
      <c r="D2557" s="1" t="s">
        <v>7</v>
      </c>
      <c r="E2557" s="4">
        <v>140.4</v>
      </c>
      <c r="F2557" s="4">
        <v>138.19999999999999</v>
      </c>
      <c r="G2557" s="4">
        <v>134.4</v>
      </c>
      <c r="H2557" s="1" t="s">
        <v>188</v>
      </c>
      <c r="K2557">
        <v>2015</v>
      </c>
      <c r="L2557" t="s">
        <v>36</v>
      </c>
      <c r="M2557" t="s">
        <v>85</v>
      </c>
      <c r="N2557" t="s">
        <v>6</v>
      </c>
      <c r="O2557" t="s">
        <v>188</v>
      </c>
      <c r="P2557" s="1" t="s">
        <v>33</v>
      </c>
      <c r="Q2557">
        <v>125.9</v>
      </c>
    </row>
    <row r="2558" spans="1:17" x14ac:dyDescent="0.3">
      <c r="A2558">
        <v>2020</v>
      </c>
      <c r="B2558" t="s">
        <v>42</v>
      </c>
      <c r="C2558" t="s">
        <v>143</v>
      </c>
      <c r="D2558" s="1" t="s">
        <v>16</v>
      </c>
      <c r="E2558" s="4">
        <v>182.9</v>
      </c>
      <c r="F2558" s="4">
        <v>184.4</v>
      </c>
      <c r="G2558" s="4">
        <v>188.7</v>
      </c>
      <c r="H2558" s="1" t="s">
        <v>192</v>
      </c>
      <c r="K2558">
        <v>2015</v>
      </c>
      <c r="L2558" t="s">
        <v>36</v>
      </c>
      <c r="M2558" t="s">
        <v>85</v>
      </c>
      <c r="N2558" t="s">
        <v>28</v>
      </c>
      <c r="O2558" t="s">
        <v>192</v>
      </c>
      <c r="P2558" s="1" t="s">
        <v>30</v>
      </c>
      <c r="Q2558">
        <v>115.5</v>
      </c>
    </row>
    <row r="2559" spans="1:17" x14ac:dyDescent="0.3">
      <c r="A2559">
        <v>2020</v>
      </c>
      <c r="B2559" t="s">
        <v>42</v>
      </c>
      <c r="C2559" t="s">
        <v>143</v>
      </c>
      <c r="D2559" s="1" t="s">
        <v>27</v>
      </c>
      <c r="E2559" s="4">
        <v>157.4</v>
      </c>
      <c r="F2559" s="4">
        <v>158.4</v>
      </c>
      <c r="G2559" s="4">
        <v>159.80000000000001</v>
      </c>
      <c r="H2559" s="1" t="s">
        <v>192</v>
      </c>
      <c r="K2559">
        <v>2015</v>
      </c>
      <c r="L2559" t="s">
        <v>36</v>
      </c>
      <c r="M2559" t="s">
        <v>85</v>
      </c>
      <c r="N2559" t="s">
        <v>28</v>
      </c>
      <c r="O2559" t="s">
        <v>192</v>
      </c>
      <c r="P2559" s="1" t="s">
        <v>34</v>
      </c>
      <c r="Q2559">
        <v>114.7</v>
      </c>
    </row>
    <row r="2560" spans="1:17" x14ac:dyDescent="0.3">
      <c r="A2560">
        <v>2020</v>
      </c>
      <c r="B2560" t="s">
        <v>42</v>
      </c>
      <c r="C2560" t="s">
        <v>143</v>
      </c>
      <c r="D2560" s="1" t="s">
        <v>14</v>
      </c>
      <c r="E2560" s="4">
        <v>161.6</v>
      </c>
      <c r="F2560" s="4">
        <v>162.9</v>
      </c>
      <c r="G2560" s="4">
        <v>164.4</v>
      </c>
      <c r="H2560" s="1" t="s">
        <v>188</v>
      </c>
      <c r="K2560">
        <v>2015</v>
      </c>
      <c r="L2560" t="s">
        <v>36</v>
      </c>
      <c r="M2560" t="s">
        <v>85</v>
      </c>
      <c r="N2560" t="s">
        <v>28</v>
      </c>
      <c r="O2560" t="s">
        <v>192</v>
      </c>
      <c r="P2560" s="1" t="s">
        <v>33</v>
      </c>
      <c r="Q2560">
        <v>113.8</v>
      </c>
    </row>
    <row r="2561" spans="1:17" x14ac:dyDescent="0.3">
      <c r="A2561">
        <v>2020</v>
      </c>
      <c r="B2561" t="s">
        <v>42</v>
      </c>
      <c r="C2561" t="s">
        <v>143</v>
      </c>
      <c r="D2561" s="1" t="s">
        <v>10</v>
      </c>
      <c r="E2561" s="4">
        <v>149.30000000000001</v>
      </c>
      <c r="F2561" s="4">
        <v>149.80000000000001</v>
      </c>
      <c r="G2561" s="4">
        <v>150.80000000000001</v>
      </c>
      <c r="H2561" s="1" t="s">
        <v>188</v>
      </c>
      <c r="K2561">
        <v>2015</v>
      </c>
      <c r="L2561" t="s">
        <v>36</v>
      </c>
      <c r="M2561" t="s">
        <v>85</v>
      </c>
      <c r="N2561" t="s">
        <v>13</v>
      </c>
      <c r="O2561" t="s">
        <v>188</v>
      </c>
      <c r="P2561" s="1" t="s">
        <v>30</v>
      </c>
      <c r="Q2561">
        <v>118.9</v>
      </c>
    </row>
    <row r="2562" spans="1:17" x14ac:dyDescent="0.3">
      <c r="A2562">
        <v>2020</v>
      </c>
      <c r="B2562" t="s">
        <v>42</v>
      </c>
      <c r="C2562" t="s">
        <v>143</v>
      </c>
      <c r="D2562" s="1" t="s">
        <v>25</v>
      </c>
      <c r="E2562" s="4">
        <v>152.80000000000001</v>
      </c>
      <c r="F2562" s="4">
        <v>146.6</v>
      </c>
      <c r="G2562" s="4">
        <v>141.80000000000001</v>
      </c>
      <c r="H2562" s="1" t="s">
        <v>195</v>
      </c>
      <c r="K2562">
        <v>2015</v>
      </c>
      <c r="L2562" t="s">
        <v>36</v>
      </c>
      <c r="M2562" t="s">
        <v>85</v>
      </c>
      <c r="N2562" t="s">
        <v>13</v>
      </c>
      <c r="O2562" t="s">
        <v>188</v>
      </c>
      <c r="P2562" s="1" t="s">
        <v>34</v>
      </c>
      <c r="Q2562">
        <v>118.1</v>
      </c>
    </row>
    <row r="2563" spans="1:17" x14ac:dyDescent="0.3">
      <c r="A2563">
        <v>2020</v>
      </c>
      <c r="B2563" t="s">
        <v>42</v>
      </c>
      <c r="C2563" t="s">
        <v>143</v>
      </c>
      <c r="D2563" s="1" t="s">
        <v>12</v>
      </c>
      <c r="E2563" s="4">
        <v>160</v>
      </c>
      <c r="F2563" s="4">
        <v>160.30000000000001</v>
      </c>
      <c r="G2563" s="4">
        <v>160.9</v>
      </c>
      <c r="H2563" s="1" t="s">
        <v>188</v>
      </c>
      <c r="K2563">
        <v>2015</v>
      </c>
      <c r="L2563" t="s">
        <v>36</v>
      </c>
      <c r="M2563" t="s">
        <v>85</v>
      </c>
      <c r="N2563" t="s">
        <v>13</v>
      </c>
      <c r="O2563" t="s">
        <v>188</v>
      </c>
      <c r="P2563" s="1" t="s">
        <v>33</v>
      </c>
      <c r="Q2563">
        <v>117</v>
      </c>
    </row>
    <row r="2564" spans="1:17" x14ac:dyDescent="0.3">
      <c r="A2564">
        <v>2020</v>
      </c>
      <c r="B2564" t="s">
        <v>42</v>
      </c>
      <c r="C2564" t="s">
        <v>143</v>
      </c>
      <c r="D2564" s="1" t="s">
        <v>11</v>
      </c>
      <c r="E2564" s="4">
        <v>115.1</v>
      </c>
      <c r="F2564" s="4">
        <v>116.4</v>
      </c>
      <c r="G2564" s="4">
        <v>118.9</v>
      </c>
      <c r="H2564" s="1" t="s">
        <v>188</v>
      </c>
      <c r="K2564">
        <v>2015</v>
      </c>
      <c r="L2564" t="s">
        <v>36</v>
      </c>
      <c r="M2564" t="s">
        <v>85</v>
      </c>
      <c r="N2564" t="s">
        <v>7</v>
      </c>
      <c r="O2564" t="s">
        <v>188</v>
      </c>
      <c r="P2564" s="1" t="s">
        <v>30</v>
      </c>
      <c r="Q2564">
        <v>111.8</v>
      </c>
    </row>
    <row r="2565" spans="1:17" x14ac:dyDescent="0.3">
      <c r="A2565">
        <v>2020</v>
      </c>
      <c r="B2565" t="s">
        <v>42</v>
      </c>
      <c r="C2565" t="s">
        <v>143</v>
      </c>
      <c r="D2565" s="1" t="s">
        <v>24</v>
      </c>
      <c r="E2565" s="4">
        <v>144.6</v>
      </c>
      <c r="F2565" s="4">
        <v>139.6</v>
      </c>
      <c r="G2565" s="4">
        <v>135.1</v>
      </c>
      <c r="H2565" s="1" t="s">
        <v>191</v>
      </c>
      <c r="K2565">
        <v>2015</v>
      </c>
      <c r="L2565" t="s">
        <v>36</v>
      </c>
      <c r="M2565" t="s">
        <v>85</v>
      </c>
      <c r="N2565" t="s">
        <v>7</v>
      </c>
      <c r="O2565" t="s">
        <v>188</v>
      </c>
      <c r="P2565" s="1" t="s">
        <v>34</v>
      </c>
      <c r="Q2565">
        <v>109.2</v>
      </c>
    </row>
    <row r="2566" spans="1:17" x14ac:dyDescent="0.3">
      <c r="A2566">
        <v>2020</v>
      </c>
      <c r="B2566" t="s">
        <v>42</v>
      </c>
      <c r="C2566" t="s">
        <v>143</v>
      </c>
      <c r="D2566" s="1" t="s">
        <v>9</v>
      </c>
      <c r="E2566" s="4">
        <v>178.8</v>
      </c>
      <c r="F2566" s="4">
        <v>186.7</v>
      </c>
      <c r="G2566" s="4">
        <v>202</v>
      </c>
      <c r="H2566" s="1" t="s">
        <v>188</v>
      </c>
      <c r="K2566">
        <v>2015</v>
      </c>
      <c r="L2566" t="s">
        <v>36</v>
      </c>
      <c r="M2566" t="s">
        <v>85</v>
      </c>
      <c r="N2566" t="s">
        <v>7</v>
      </c>
      <c r="O2566" t="s">
        <v>188</v>
      </c>
      <c r="P2566" s="1" t="s">
        <v>33</v>
      </c>
      <c r="Q2566">
        <v>104.8</v>
      </c>
    </row>
    <row r="2567" spans="1:17" x14ac:dyDescent="0.3">
      <c r="A2567">
        <v>2021</v>
      </c>
      <c r="B2567" t="s">
        <v>37</v>
      </c>
      <c r="C2567" t="s">
        <v>144</v>
      </c>
      <c r="D2567" s="1" t="s">
        <v>3</v>
      </c>
      <c r="E2567" s="4">
        <v>142.69999999999999</v>
      </c>
      <c r="F2567" s="4">
        <v>144.30000000000001</v>
      </c>
      <c r="G2567" s="4">
        <v>147.6</v>
      </c>
      <c r="H2567" s="1" t="s">
        <v>188</v>
      </c>
      <c r="K2567">
        <v>2015</v>
      </c>
      <c r="L2567" t="s">
        <v>36</v>
      </c>
      <c r="M2567" t="s">
        <v>85</v>
      </c>
      <c r="N2567" t="s">
        <v>16</v>
      </c>
      <c r="O2567" t="s">
        <v>192</v>
      </c>
      <c r="P2567" s="1" t="s">
        <v>30</v>
      </c>
      <c r="Q2567">
        <v>124.7</v>
      </c>
    </row>
    <row r="2568" spans="1:17" x14ac:dyDescent="0.3">
      <c r="A2568">
        <v>2021</v>
      </c>
      <c r="B2568" t="s">
        <v>37</v>
      </c>
      <c r="C2568" t="s">
        <v>144</v>
      </c>
      <c r="D2568" s="1" t="s">
        <v>17</v>
      </c>
      <c r="E2568" s="4">
        <v>160.69999999999999</v>
      </c>
      <c r="F2568" s="4">
        <v>158.80000000000001</v>
      </c>
      <c r="G2568" s="4">
        <v>155.9</v>
      </c>
      <c r="H2568" s="1" t="s">
        <v>189</v>
      </c>
      <c r="K2568">
        <v>2015</v>
      </c>
      <c r="L2568" t="s">
        <v>36</v>
      </c>
      <c r="M2568" t="s">
        <v>85</v>
      </c>
      <c r="N2568" t="s">
        <v>16</v>
      </c>
      <c r="O2568" t="s">
        <v>192</v>
      </c>
      <c r="P2568" s="1" t="s">
        <v>34</v>
      </c>
      <c r="Q2568">
        <v>125.8</v>
      </c>
    </row>
    <row r="2569" spans="1:17" x14ac:dyDescent="0.3">
      <c r="A2569">
        <v>2021</v>
      </c>
      <c r="B2569" t="s">
        <v>37</v>
      </c>
      <c r="C2569" t="s">
        <v>144</v>
      </c>
      <c r="D2569" s="1" t="s">
        <v>19</v>
      </c>
      <c r="E2569" s="4">
        <v>159.9</v>
      </c>
      <c r="F2569" s="4">
        <v>157.30000000000001</v>
      </c>
      <c r="G2569" s="4">
        <v>153.4</v>
      </c>
      <c r="H2569" s="1" t="s">
        <v>189</v>
      </c>
      <c r="K2569">
        <v>2015</v>
      </c>
      <c r="L2569" t="s">
        <v>36</v>
      </c>
      <c r="M2569" t="s">
        <v>85</v>
      </c>
      <c r="N2569" t="s">
        <v>16</v>
      </c>
      <c r="O2569" t="s">
        <v>192</v>
      </c>
      <c r="P2569" s="1" t="s">
        <v>33</v>
      </c>
      <c r="Q2569">
        <v>128.80000000000001</v>
      </c>
    </row>
    <row r="2570" spans="1:17" x14ac:dyDescent="0.3">
      <c r="A2570">
        <v>2021</v>
      </c>
      <c r="B2570" t="s">
        <v>37</v>
      </c>
      <c r="C2570" t="s">
        <v>144</v>
      </c>
      <c r="D2570" s="1" t="s">
        <v>26</v>
      </c>
      <c r="E2570" s="4">
        <v>164.1</v>
      </c>
      <c r="F2570" s="4">
        <v>160.30000000000001</v>
      </c>
      <c r="G2570" s="4">
        <v>157.6</v>
      </c>
      <c r="H2570" s="1" t="s">
        <v>26</v>
      </c>
      <c r="K2570">
        <v>2015</v>
      </c>
      <c r="L2570" t="s">
        <v>36</v>
      </c>
      <c r="M2570" t="s">
        <v>85</v>
      </c>
      <c r="N2570" t="s">
        <v>27</v>
      </c>
      <c r="O2570" t="s">
        <v>192</v>
      </c>
      <c r="P2570" s="1" t="s">
        <v>30</v>
      </c>
      <c r="Q2570">
        <v>110.8</v>
      </c>
    </row>
    <row r="2571" spans="1:17" x14ac:dyDescent="0.3">
      <c r="A2571">
        <v>2021</v>
      </c>
      <c r="B2571" t="s">
        <v>37</v>
      </c>
      <c r="C2571" t="s">
        <v>144</v>
      </c>
      <c r="D2571" s="1" t="s">
        <v>5</v>
      </c>
      <c r="E2571" s="4">
        <v>163.4</v>
      </c>
      <c r="F2571" s="4">
        <v>164.6</v>
      </c>
      <c r="G2571" s="4">
        <v>166.4</v>
      </c>
      <c r="H2571" s="1" t="s">
        <v>188</v>
      </c>
      <c r="K2571">
        <v>2015</v>
      </c>
      <c r="L2571" t="s">
        <v>36</v>
      </c>
      <c r="M2571" t="s">
        <v>85</v>
      </c>
      <c r="N2571" t="s">
        <v>27</v>
      </c>
      <c r="O2571" t="s">
        <v>192</v>
      </c>
      <c r="P2571" s="1" t="s">
        <v>34</v>
      </c>
      <c r="Q2571">
        <v>111</v>
      </c>
    </row>
    <row r="2572" spans="1:17" x14ac:dyDescent="0.3">
      <c r="A2572">
        <v>2021</v>
      </c>
      <c r="B2572" t="s">
        <v>37</v>
      </c>
      <c r="C2572" t="s">
        <v>144</v>
      </c>
      <c r="D2572" s="1" t="s">
        <v>15</v>
      </c>
      <c r="E2572" s="4">
        <v>155.6</v>
      </c>
      <c r="F2572" s="4">
        <v>158</v>
      </c>
      <c r="G2572" s="4">
        <v>162</v>
      </c>
      <c r="H2572" s="1" t="s">
        <v>188</v>
      </c>
      <c r="K2572">
        <v>2015</v>
      </c>
      <c r="L2572" t="s">
        <v>36</v>
      </c>
      <c r="M2572" t="s">
        <v>85</v>
      </c>
      <c r="N2572" t="s">
        <v>27</v>
      </c>
      <c r="O2572" t="s">
        <v>192</v>
      </c>
      <c r="P2572" s="1" t="s">
        <v>33</v>
      </c>
      <c r="Q2572">
        <v>111.3</v>
      </c>
    </row>
    <row r="2573" spans="1:17" x14ac:dyDescent="0.3">
      <c r="A2573">
        <v>2021</v>
      </c>
      <c r="B2573" t="s">
        <v>37</v>
      </c>
      <c r="C2573" t="s">
        <v>144</v>
      </c>
      <c r="D2573" s="1" t="s">
        <v>18</v>
      </c>
      <c r="E2573" s="4">
        <v>155.1</v>
      </c>
      <c r="F2573" s="4">
        <v>148.5</v>
      </c>
      <c r="G2573" s="4">
        <v>139.30000000000001</v>
      </c>
      <c r="H2573" s="1" t="s">
        <v>189</v>
      </c>
      <c r="K2573">
        <v>2015</v>
      </c>
      <c r="L2573" t="s">
        <v>36</v>
      </c>
      <c r="M2573" t="s">
        <v>85</v>
      </c>
      <c r="N2573" t="s">
        <v>14</v>
      </c>
      <c r="O2573" t="s">
        <v>188</v>
      </c>
      <c r="P2573" s="1" t="s">
        <v>30</v>
      </c>
      <c r="Q2573">
        <v>127.7</v>
      </c>
    </row>
    <row r="2574" spans="1:17" x14ac:dyDescent="0.3">
      <c r="A2574">
        <v>2021</v>
      </c>
      <c r="B2574" t="s">
        <v>37</v>
      </c>
      <c r="C2574" t="s">
        <v>144</v>
      </c>
      <c r="D2574" s="1" t="s">
        <v>8</v>
      </c>
      <c r="E2574" s="4">
        <v>160.6</v>
      </c>
      <c r="F2574" s="4">
        <v>164.4</v>
      </c>
      <c r="G2574" s="4">
        <v>168.8</v>
      </c>
      <c r="H2574" s="1" t="s">
        <v>188</v>
      </c>
      <c r="K2574">
        <v>2015</v>
      </c>
      <c r="L2574" t="s">
        <v>36</v>
      </c>
      <c r="M2574" t="s">
        <v>85</v>
      </c>
      <c r="N2574" t="s">
        <v>14</v>
      </c>
      <c r="O2574" t="s">
        <v>188</v>
      </c>
      <c r="P2574" s="1" t="s">
        <v>34</v>
      </c>
      <c r="Q2574">
        <v>128.4</v>
      </c>
    </row>
    <row r="2575" spans="1:17" x14ac:dyDescent="0.3">
      <c r="A2575">
        <v>2021</v>
      </c>
      <c r="B2575" t="s">
        <v>37</v>
      </c>
      <c r="C2575" t="s">
        <v>144</v>
      </c>
      <c r="D2575" s="1" t="s">
        <v>21</v>
      </c>
      <c r="E2575" s="4">
        <v>156</v>
      </c>
      <c r="F2575" s="4">
        <v>155.6</v>
      </c>
      <c r="G2575" s="4">
        <v>154.9</v>
      </c>
      <c r="H2575" s="1" t="s">
        <v>190</v>
      </c>
      <c r="K2575">
        <v>2015</v>
      </c>
      <c r="L2575" t="s">
        <v>36</v>
      </c>
      <c r="M2575" t="s">
        <v>85</v>
      </c>
      <c r="N2575" t="s">
        <v>14</v>
      </c>
      <c r="O2575" t="s">
        <v>188</v>
      </c>
      <c r="P2575" s="1" t="s">
        <v>33</v>
      </c>
      <c r="Q2575">
        <v>129.19999999999999</v>
      </c>
    </row>
    <row r="2576" spans="1:17" x14ac:dyDescent="0.3">
      <c r="A2576">
        <v>2021</v>
      </c>
      <c r="B2576" t="s">
        <v>37</v>
      </c>
      <c r="C2576" t="s">
        <v>144</v>
      </c>
      <c r="D2576" s="1" t="s">
        <v>29</v>
      </c>
      <c r="E2576" s="4">
        <v>157.6</v>
      </c>
      <c r="F2576" s="4">
        <v>157.80000000000001</v>
      </c>
      <c r="G2576" s="4">
        <v>158</v>
      </c>
      <c r="H2576" s="1" t="s">
        <v>206</v>
      </c>
      <c r="K2576">
        <v>2015</v>
      </c>
      <c r="L2576" t="s">
        <v>36</v>
      </c>
      <c r="M2576" t="s">
        <v>85</v>
      </c>
      <c r="N2576" t="s">
        <v>10</v>
      </c>
      <c r="O2576" t="s">
        <v>188</v>
      </c>
      <c r="P2576" s="1" t="s">
        <v>30</v>
      </c>
      <c r="Q2576">
        <v>119.9</v>
      </c>
    </row>
    <row r="2577" spans="1:17" x14ac:dyDescent="0.3">
      <c r="A2577">
        <v>2021</v>
      </c>
      <c r="B2577" t="s">
        <v>37</v>
      </c>
      <c r="C2577" t="s">
        <v>144</v>
      </c>
      <c r="D2577" s="1" t="s">
        <v>23</v>
      </c>
      <c r="E2577" s="4">
        <v>165.3</v>
      </c>
      <c r="F2577" s="4">
        <v>162.30000000000001</v>
      </c>
      <c r="G2577" s="4">
        <v>157.5</v>
      </c>
      <c r="H2577" s="1" t="s">
        <v>23</v>
      </c>
      <c r="K2577">
        <v>2015</v>
      </c>
      <c r="L2577" t="s">
        <v>36</v>
      </c>
      <c r="M2577" t="s">
        <v>85</v>
      </c>
      <c r="N2577" t="s">
        <v>10</v>
      </c>
      <c r="O2577" t="s">
        <v>188</v>
      </c>
      <c r="P2577" s="1" t="s">
        <v>34</v>
      </c>
      <c r="Q2577">
        <v>122.4</v>
      </c>
    </row>
    <row r="2578" spans="1:17" x14ac:dyDescent="0.3">
      <c r="A2578">
        <v>2021</v>
      </c>
      <c r="B2578" t="s">
        <v>37</v>
      </c>
      <c r="C2578" t="s">
        <v>144</v>
      </c>
      <c r="D2578" s="1" t="s">
        <v>22</v>
      </c>
      <c r="E2578" s="4">
        <v>155.5</v>
      </c>
      <c r="F2578" s="4">
        <v>151.80000000000001</v>
      </c>
      <c r="G2578" s="4">
        <v>147.6</v>
      </c>
      <c r="H2578" s="1" t="s">
        <v>20</v>
      </c>
      <c r="K2578">
        <v>2015</v>
      </c>
      <c r="L2578" t="s">
        <v>36</v>
      </c>
      <c r="M2578" t="s">
        <v>85</v>
      </c>
      <c r="N2578" t="s">
        <v>10</v>
      </c>
      <c r="O2578" t="s">
        <v>188</v>
      </c>
      <c r="P2578" s="1" t="s">
        <v>33</v>
      </c>
      <c r="Q2578">
        <v>127.2</v>
      </c>
    </row>
    <row r="2579" spans="1:17" x14ac:dyDescent="0.3">
      <c r="A2579">
        <v>2021</v>
      </c>
      <c r="B2579" t="s">
        <v>37</v>
      </c>
      <c r="C2579" t="s">
        <v>144</v>
      </c>
      <c r="D2579" s="1" t="s">
        <v>20</v>
      </c>
      <c r="E2579" s="4">
        <v>0</v>
      </c>
      <c r="F2579" s="4">
        <v>161.4</v>
      </c>
      <c r="G2579" s="4">
        <v>161.4</v>
      </c>
      <c r="H2579" s="1" t="s">
        <v>20</v>
      </c>
      <c r="K2579">
        <v>2015</v>
      </c>
      <c r="L2579" t="s">
        <v>36</v>
      </c>
      <c r="M2579" t="s">
        <v>85</v>
      </c>
      <c r="N2579" t="s">
        <v>25</v>
      </c>
      <c r="O2579" t="s">
        <v>195</v>
      </c>
      <c r="P2579" s="1" t="s">
        <v>30</v>
      </c>
      <c r="Q2579">
        <v>115.5</v>
      </c>
    </row>
    <row r="2580" spans="1:17" x14ac:dyDescent="0.3">
      <c r="A2580">
        <v>2021</v>
      </c>
      <c r="B2580" t="s">
        <v>37</v>
      </c>
      <c r="C2580" t="s">
        <v>144</v>
      </c>
      <c r="D2580" s="1" t="s">
        <v>4</v>
      </c>
      <c r="E2580" s="4">
        <v>195.5</v>
      </c>
      <c r="F2580" s="4">
        <v>198</v>
      </c>
      <c r="G2580" s="4">
        <v>202.5</v>
      </c>
      <c r="H2580" s="1" t="s">
        <v>188</v>
      </c>
      <c r="K2580">
        <v>2015</v>
      </c>
      <c r="L2580" t="s">
        <v>36</v>
      </c>
      <c r="M2580" t="s">
        <v>85</v>
      </c>
      <c r="N2580" t="s">
        <v>25</v>
      </c>
      <c r="O2580" t="s">
        <v>195</v>
      </c>
      <c r="P2580" s="1" t="s">
        <v>34</v>
      </c>
      <c r="Q2580">
        <v>115.4</v>
      </c>
    </row>
    <row r="2581" spans="1:17" x14ac:dyDescent="0.3">
      <c r="A2581">
        <v>2021</v>
      </c>
      <c r="B2581" t="s">
        <v>37</v>
      </c>
      <c r="C2581" t="s">
        <v>144</v>
      </c>
      <c r="D2581" s="1" t="s">
        <v>6</v>
      </c>
      <c r="E2581" s="4">
        <v>155</v>
      </c>
      <c r="F2581" s="4">
        <v>155.4</v>
      </c>
      <c r="G2581" s="4">
        <v>156</v>
      </c>
      <c r="H2581" s="1" t="s">
        <v>188</v>
      </c>
      <c r="K2581">
        <v>2015</v>
      </c>
      <c r="L2581" t="s">
        <v>36</v>
      </c>
      <c r="M2581" t="s">
        <v>85</v>
      </c>
      <c r="N2581" t="s">
        <v>25</v>
      </c>
      <c r="O2581" t="s">
        <v>195</v>
      </c>
      <c r="P2581" s="1" t="s">
        <v>33</v>
      </c>
      <c r="Q2581">
        <v>115.4</v>
      </c>
    </row>
    <row r="2582" spans="1:17" x14ac:dyDescent="0.3">
      <c r="A2582">
        <v>2021</v>
      </c>
      <c r="B2582" t="s">
        <v>37</v>
      </c>
      <c r="C2582" t="s">
        <v>144</v>
      </c>
      <c r="D2582" s="1" t="s">
        <v>28</v>
      </c>
      <c r="E2582" s="4">
        <v>158</v>
      </c>
      <c r="F2582" s="4">
        <v>154.4</v>
      </c>
      <c r="G2582" s="4">
        <v>150.5</v>
      </c>
      <c r="H2582" s="1" t="s">
        <v>192</v>
      </c>
      <c r="K2582">
        <v>2015</v>
      </c>
      <c r="L2582" t="s">
        <v>36</v>
      </c>
      <c r="M2582" t="s">
        <v>85</v>
      </c>
      <c r="N2582" t="s">
        <v>12</v>
      </c>
      <c r="O2582" t="s">
        <v>188</v>
      </c>
      <c r="P2582" s="1" t="s">
        <v>30</v>
      </c>
      <c r="Q2582">
        <v>119.4</v>
      </c>
    </row>
    <row r="2583" spans="1:17" x14ac:dyDescent="0.3">
      <c r="A2583">
        <v>2021</v>
      </c>
      <c r="B2583" t="s">
        <v>37</v>
      </c>
      <c r="C2583" t="s">
        <v>144</v>
      </c>
      <c r="D2583" s="1" t="s">
        <v>13</v>
      </c>
      <c r="E2583" s="4">
        <v>161.9</v>
      </c>
      <c r="F2583" s="4">
        <v>157.6</v>
      </c>
      <c r="G2583" s="4">
        <v>151.5</v>
      </c>
      <c r="H2583" s="1" t="s">
        <v>188</v>
      </c>
      <c r="K2583">
        <v>2015</v>
      </c>
      <c r="L2583" t="s">
        <v>36</v>
      </c>
      <c r="M2583" t="s">
        <v>85</v>
      </c>
      <c r="N2583" t="s">
        <v>12</v>
      </c>
      <c r="O2583" t="s">
        <v>188</v>
      </c>
      <c r="P2583" s="1" t="s">
        <v>34</v>
      </c>
      <c r="Q2583">
        <v>122.1</v>
      </c>
    </row>
    <row r="2584" spans="1:17" x14ac:dyDescent="0.3">
      <c r="A2584">
        <v>2021</v>
      </c>
      <c r="B2584" t="s">
        <v>37</v>
      </c>
      <c r="C2584" t="s">
        <v>144</v>
      </c>
      <c r="D2584" s="1" t="s">
        <v>7</v>
      </c>
      <c r="E2584" s="4">
        <v>175.2</v>
      </c>
      <c r="F2584" s="4">
        <v>170.1</v>
      </c>
      <c r="G2584" s="4">
        <v>161.4</v>
      </c>
      <c r="H2584" s="1" t="s">
        <v>188</v>
      </c>
      <c r="K2584">
        <v>2015</v>
      </c>
      <c r="L2584" t="s">
        <v>36</v>
      </c>
      <c r="M2584" t="s">
        <v>85</v>
      </c>
      <c r="N2584" t="s">
        <v>12</v>
      </c>
      <c r="O2584" t="s">
        <v>188</v>
      </c>
      <c r="P2584" s="1" t="s">
        <v>33</v>
      </c>
      <c r="Q2584">
        <v>127.4</v>
      </c>
    </row>
    <row r="2585" spans="1:17" x14ac:dyDescent="0.3">
      <c r="A2585">
        <v>2021</v>
      </c>
      <c r="B2585" t="s">
        <v>37</v>
      </c>
      <c r="C2585" t="s">
        <v>144</v>
      </c>
      <c r="D2585" s="1" t="s">
        <v>16</v>
      </c>
      <c r="E2585" s="4">
        <v>186.8</v>
      </c>
      <c r="F2585" s="4">
        <v>188.8</v>
      </c>
      <c r="G2585" s="4">
        <v>194.4</v>
      </c>
      <c r="H2585" s="1" t="s">
        <v>192</v>
      </c>
      <c r="K2585">
        <v>2015</v>
      </c>
      <c r="L2585" t="s">
        <v>36</v>
      </c>
      <c r="M2585" t="s">
        <v>85</v>
      </c>
      <c r="N2585" t="s">
        <v>11</v>
      </c>
      <c r="O2585" t="s">
        <v>188</v>
      </c>
      <c r="P2585" s="1" t="s">
        <v>30</v>
      </c>
      <c r="Q2585">
        <v>98.9</v>
      </c>
    </row>
    <row r="2586" spans="1:17" x14ac:dyDescent="0.3">
      <c r="A2586">
        <v>2021</v>
      </c>
      <c r="B2586" t="s">
        <v>37</v>
      </c>
      <c r="C2586" t="s">
        <v>144</v>
      </c>
      <c r="D2586" s="1" t="s">
        <v>27</v>
      </c>
      <c r="E2586" s="4">
        <v>154.6</v>
      </c>
      <c r="F2586" s="4">
        <v>155.4</v>
      </c>
      <c r="G2586" s="4">
        <v>156.6</v>
      </c>
      <c r="H2586" s="1" t="s">
        <v>192</v>
      </c>
      <c r="K2586">
        <v>2015</v>
      </c>
      <c r="L2586" t="s">
        <v>36</v>
      </c>
      <c r="M2586" t="s">
        <v>85</v>
      </c>
      <c r="N2586" t="s">
        <v>11</v>
      </c>
      <c r="O2586" t="s">
        <v>188</v>
      </c>
      <c r="P2586" s="1" t="s">
        <v>34</v>
      </c>
      <c r="Q2586">
        <v>97</v>
      </c>
    </row>
    <row r="2587" spans="1:17" x14ac:dyDescent="0.3">
      <c r="A2587">
        <v>2021</v>
      </c>
      <c r="B2587" t="s">
        <v>37</v>
      </c>
      <c r="C2587" t="s">
        <v>144</v>
      </c>
      <c r="D2587" s="1" t="s">
        <v>14</v>
      </c>
      <c r="E2587" s="4">
        <v>166.8</v>
      </c>
      <c r="F2587" s="4">
        <v>168.9</v>
      </c>
      <c r="G2587" s="4">
        <v>171.4</v>
      </c>
      <c r="H2587" s="1" t="s">
        <v>188</v>
      </c>
      <c r="K2587">
        <v>2015</v>
      </c>
      <c r="L2587" t="s">
        <v>36</v>
      </c>
      <c r="M2587" t="s">
        <v>85</v>
      </c>
      <c r="N2587" t="s">
        <v>11</v>
      </c>
      <c r="O2587" t="s">
        <v>188</v>
      </c>
      <c r="P2587" s="1" t="s">
        <v>33</v>
      </c>
      <c r="Q2587">
        <v>93.2</v>
      </c>
    </row>
    <row r="2588" spans="1:17" x14ac:dyDescent="0.3">
      <c r="A2588">
        <v>2021</v>
      </c>
      <c r="B2588" t="s">
        <v>37</v>
      </c>
      <c r="C2588" t="s">
        <v>144</v>
      </c>
      <c r="D2588" s="1" t="s">
        <v>10</v>
      </c>
      <c r="E2588" s="4">
        <v>161.1</v>
      </c>
      <c r="F2588" s="4">
        <v>161.69999999999999</v>
      </c>
      <c r="G2588" s="4">
        <v>162.80000000000001</v>
      </c>
      <c r="H2588" s="1" t="s">
        <v>188</v>
      </c>
      <c r="K2588">
        <v>2015</v>
      </c>
      <c r="L2588" t="s">
        <v>36</v>
      </c>
      <c r="M2588" t="s">
        <v>85</v>
      </c>
      <c r="N2588" t="s">
        <v>24</v>
      </c>
      <c r="O2588" t="s">
        <v>191</v>
      </c>
      <c r="P2588" s="1" t="s">
        <v>30</v>
      </c>
      <c r="Q2588">
        <v>111.6</v>
      </c>
    </row>
    <row r="2589" spans="1:17" x14ac:dyDescent="0.3">
      <c r="A2589">
        <v>2021</v>
      </c>
      <c r="B2589" t="s">
        <v>37</v>
      </c>
      <c r="C2589" t="s">
        <v>144</v>
      </c>
      <c r="D2589" s="1" t="s">
        <v>25</v>
      </c>
      <c r="E2589" s="4">
        <v>158.6</v>
      </c>
      <c r="F2589" s="4">
        <v>153.19999999999999</v>
      </c>
      <c r="G2589" s="4">
        <v>149.1</v>
      </c>
      <c r="H2589" s="1" t="s">
        <v>195</v>
      </c>
      <c r="K2589">
        <v>2015</v>
      </c>
      <c r="L2589" t="s">
        <v>36</v>
      </c>
      <c r="M2589" t="s">
        <v>85</v>
      </c>
      <c r="N2589" t="s">
        <v>24</v>
      </c>
      <c r="O2589" t="s">
        <v>191</v>
      </c>
      <c r="P2589" s="1" t="s">
        <v>34</v>
      </c>
      <c r="Q2589">
        <v>109.9</v>
      </c>
    </row>
    <row r="2590" spans="1:17" x14ac:dyDescent="0.3">
      <c r="A2590">
        <v>2021</v>
      </c>
      <c r="B2590" t="s">
        <v>37</v>
      </c>
      <c r="C2590" t="s">
        <v>144</v>
      </c>
      <c r="D2590" s="1" t="s">
        <v>12</v>
      </c>
      <c r="E2590" s="4">
        <v>164.4</v>
      </c>
      <c r="F2590" s="4">
        <v>163.9</v>
      </c>
      <c r="G2590" s="4">
        <v>162.80000000000001</v>
      </c>
      <c r="H2590" s="1" t="s">
        <v>188</v>
      </c>
      <c r="K2590">
        <v>2015</v>
      </c>
      <c r="L2590" t="s">
        <v>36</v>
      </c>
      <c r="M2590" t="s">
        <v>85</v>
      </c>
      <c r="N2590" t="s">
        <v>24</v>
      </c>
      <c r="O2590" t="s">
        <v>191</v>
      </c>
      <c r="P2590" s="1" t="s">
        <v>33</v>
      </c>
      <c r="Q2590">
        <v>108.4</v>
      </c>
    </row>
    <row r="2591" spans="1:17" x14ac:dyDescent="0.3">
      <c r="A2591">
        <v>2021</v>
      </c>
      <c r="B2591" t="s">
        <v>37</v>
      </c>
      <c r="C2591" t="s">
        <v>144</v>
      </c>
      <c r="D2591" s="1" t="s">
        <v>11</v>
      </c>
      <c r="E2591" s="4">
        <v>112.2</v>
      </c>
      <c r="F2591" s="4">
        <v>113.1</v>
      </c>
      <c r="G2591" s="4">
        <v>114.8</v>
      </c>
      <c r="H2591" s="1" t="s">
        <v>188</v>
      </c>
      <c r="K2591">
        <v>2015</v>
      </c>
      <c r="L2591" t="s">
        <v>36</v>
      </c>
      <c r="M2591" t="s">
        <v>85</v>
      </c>
      <c r="N2591" t="s">
        <v>9</v>
      </c>
      <c r="O2591" t="s">
        <v>188</v>
      </c>
      <c r="P2591" s="1" t="s">
        <v>30</v>
      </c>
      <c r="Q2591">
        <v>128</v>
      </c>
    </row>
    <row r="2592" spans="1:17" x14ac:dyDescent="0.3">
      <c r="A2592">
        <v>2021</v>
      </c>
      <c r="B2592" t="s">
        <v>37</v>
      </c>
      <c r="C2592" t="s">
        <v>144</v>
      </c>
      <c r="D2592" s="1" t="s">
        <v>24</v>
      </c>
      <c r="E2592" s="4">
        <v>151.69999999999999</v>
      </c>
      <c r="F2592" s="4">
        <v>146.6</v>
      </c>
      <c r="G2592" s="4">
        <v>142.1</v>
      </c>
      <c r="H2592" s="1" t="s">
        <v>191</v>
      </c>
      <c r="K2592">
        <v>2015</v>
      </c>
      <c r="L2592" t="s">
        <v>36</v>
      </c>
      <c r="M2592" t="s">
        <v>85</v>
      </c>
      <c r="N2592" t="s">
        <v>9</v>
      </c>
      <c r="O2592" t="s">
        <v>188</v>
      </c>
      <c r="P2592" s="1" t="s">
        <v>34</v>
      </c>
      <c r="Q2592">
        <v>129.19999999999999</v>
      </c>
    </row>
    <row r="2593" spans="1:17" x14ac:dyDescent="0.3">
      <c r="A2593">
        <v>2021</v>
      </c>
      <c r="B2593" t="s">
        <v>37</v>
      </c>
      <c r="C2593" t="s">
        <v>144</v>
      </c>
      <c r="D2593" s="1" t="s">
        <v>9</v>
      </c>
      <c r="E2593" s="4">
        <v>135.1</v>
      </c>
      <c r="F2593" s="4">
        <v>144.1</v>
      </c>
      <c r="G2593" s="4">
        <v>161.6</v>
      </c>
      <c r="H2593" s="1" t="s">
        <v>188</v>
      </c>
      <c r="K2593">
        <v>2015</v>
      </c>
      <c r="L2593" t="s">
        <v>36</v>
      </c>
      <c r="M2593" t="s">
        <v>85</v>
      </c>
      <c r="N2593" t="s">
        <v>9</v>
      </c>
      <c r="O2593" t="s">
        <v>188</v>
      </c>
      <c r="P2593" s="1" t="s">
        <v>33</v>
      </c>
      <c r="Q2593">
        <v>131.4</v>
      </c>
    </row>
    <row r="2594" spans="1:17" x14ac:dyDescent="0.3">
      <c r="A2594">
        <v>2021</v>
      </c>
      <c r="B2594" t="s">
        <v>41</v>
      </c>
      <c r="C2594" t="s">
        <v>145</v>
      </c>
      <c r="D2594" s="1" t="s">
        <v>3</v>
      </c>
      <c r="E2594" s="4">
        <v>144.9</v>
      </c>
      <c r="F2594" s="4">
        <v>146.6</v>
      </c>
      <c r="G2594" s="4">
        <v>149.30000000000001</v>
      </c>
      <c r="H2594" s="1" t="s">
        <v>188</v>
      </c>
      <c r="K2594">
        <v>2015</v>
      </c>
      <c r="L2594" t="s">
        <v>38</v>
      </c>
      <c r="M2594" t="s">
        <v>86</v>
      </c>
      <c r="N2594" t="s">
        <v>3</v>
      </c>
      <c r="O2594" t="s">
        <v>188</v>
      </c>
      <c r="P2594" s="1" t="s">
        <v>30</v>
      </c>
      <c r="Q2594">
        <v>123.5</v>
      </c>
    </row>
    <row r="2595" spans="1:17" x14ac:dyDescent="0.3">
      <c r="A2595">
        <v>2021</v>
      </c>
      <c r="B2595" t="s">
        <v>41</v>
      </c>
      <c r="C2595" t="s">
        <v>145</v>
      </c>
      <c r="D2595" s="1" t="s">
        <v>17</v>
      </c>
      <c r="E2595" s="4">
        <v>167</v>
      </c>
      <c r="F2595" s="4">
        <v>164.5</v>
      </c>
      <c r="G2595" s="4">
        <v>159.80000000000001</v>
      </c>
      <c r="H2595" s="1" t="s">
        <v>189</v>
      </c>
      <c r="K2595">
        <v>2015</v>
      </c>
      <c r="L2595" t="s">
        <v>38</v>
      </c>
      <c r="M2595" t="s">
        <v>86</v>
      </c>
      <c r="N2595" t="s">
        <v>3</v>
      </c>
      <c r="O2595" t="s">
        <v>188</v>
      </c>
      <c r="P2595" s="1" t="s">
        <v>34</v>
      </c>
      <c r="Q2595">
        <v>123.6</v>
      </c>
    </row>
    <row r="2596" spans="1:17" x14ac:dyDescent="0.3">
      <c r="A2596">
        <v>2021</v>
      </c>
      <c r="B2596" t="s">
        <v>41</v>
      </c>
      <c r="C2596" t="s">
        <v>145</v>
      </c>
      <c r="D2596" s="1" t="s">
        <v>19</v>
      </c>
      <c r="E2596" s="4">
        <v>166.3</v>
      </c>
      <c r="F2596" s="4">
        <v>163.19999999999999</v>
      </c>
      <c r="G2596" s="4">
        <v>157.30000000000001</v>
      </c>
      <c r="H2596" s="1" t="s">
        <v>189</v>
      </c>
      <c r="K2596">
        <v>2015</v>
      </c>
      <c r="L2596" t="s">
        <v>38</v>
      </c>
      <c r="M2596" t="s">
        <v>86</v>
      </c>
      <c r="N2596" t="s">
        <v>3</v>
      </c>
      <c r="O2596" t="s">
        <v>188</v>
      </c>
      <c r="P2596" s="1" t="s">
        <v>33</v>
      </c>
      <c r="Q2596">
        <v>123.8</v>
      </c>
    </row>
    <row r="2597" spans="1:17" x14ac:dyDescent="0.3">
      <c r="A2597">
        <v>2021</v>
      </c>
      <c r="B2597" t="s">
        <v>41</v>
      </c>
      <c r="C2597" t="s">
        <v>145</v>
      </c>
      <c r="D2597" s="1" t="s">
        <v>26</v>
      </c>
      <c r="E2597" s="4">
        <v>167.5</v>
      </c>
      <c r="F2597" s="4">
        <v>163.80000000000001</v>
      </c>
      <c r="G2597" s="4">
        <v>160.4</v>
      </c>
      <c r="H2597" s="1" t="s">
        <v>26</v>
      </c>
      <c r="K2597">
        <v>2015</v>
      </c>
      <c r="L2597" t="s">
        <v>38</v>
      </c>
      <c r="M2597" t="s">
        <v>86</v>
      </c>
      <c r="N2597" t="s">
        <v>17</v>
      </c>
      <c r="O2597" t="s">
        <v>189</v>
      </c>
      <c r="P2597" s="1" t="s">
        <v>30</v>
      </c>
      <c r="Q2597">
        <v>127.3</v>
      </c>
    </row>
    <row r="2598" spans="1:17" x14ac:dyDescent="0.3">
      <c r="A2598">
        <v>2021</v>
      </c>
      <c r="B2598" t="s">
        <v>41</v>
      </c>
      <c r="C2598" t="s">
        <v>145</v>
      </c>
      <c r="D2598" s="1" t="s">
        <v>5</v>
      </c>
      <c r="E2598" s="4">
        <v>176.5</v>
      </c>
      <c r="F2598" s="4">
        <v>172.8</v>
      </c>
      <c r="G2598" s="4">
        <v>174.1</v>
      </c>
      <c r="H2598" s="1" t="s">
        <v>188</v>
      </c>
      <c r="K2598">
        <v>2015</v>
      </c>
      <c r="L2598" t="s">
        <v>38</v>
      </c>
      <c r="M2598" t="s">
        <v>86</v>
      </c>
      <c r="N2598" t="s">
        <v>17</v>
      </c>
      <c r="O2598" t="s">
        <v>189</v>
      </c>
      <c r="P2598" s="1" t="s">
        <v>34</v>
      </c>
      <c r="Q2598">
        <v>125.4</v>
      </c>
    </row>
    <row r="2599" spans="1:17" x14ac:dyDescent="0.3">
      <c r="A2599">
        <v>2021</v>
      </c>
      <c r="B2599" t="s">
        <v>41</v>
      </c>
      <c r="C2599" t="s">
        <v>145</v>
      </c>
      <c r="D2599" s="1" t="s">
        <v>15</v>
      </c>
      <c r="E2599" s="4">
        <v>161.80000000000001</v>
      </c>
      <c r="F2599" s="4">
        <v>164</v>
      </c>
      <c r="G2599" s="4">
        <v>167.3</v>
      </c>
      <c r="H2599" s="1" t="s">
        <v>188</v>
      </c>
      <c r="K2599">
        <v>2015</v>
      </c>
      <c r="L2599" t="s">
        <v>38</v>
      </c>
      <c r="M2599" t="s">
        <v>86</v>
      </c>
      <c r="N2599" t="s">
        <v>17</v>
      </c>
      <c r="O2599" t="s">
        <v>189</v>
      </c>
      <c r="P2599" s="1" t="s">
        <v>33</v>
      </c>
      <c r="Q2599">
        <v>122.4</v>
      </c>
    </row>
    <row r="2600" spans="1:17" x14ac:dyDescent="0.3">
      <c r="A2600">
        <v>2021</v>
      </c>
      <c r="B2600" t="s">
        <v>41</v>
      </c>
      <c r="C2600" t="s">
        <v>145</v>
      </c>
      <c r="D2600" s="1" t="s">
        <v>18</v>
      </c>
      <c r="E2600" s="4">
        <v>162.6</v>
      </c>
      <c r="F2600" s="4">
        <v>155.30000000000001</v>
      </c>
      <c r="G2600" s="4">
        <v>143.6</v>
      </c>
      <c r="H2600" s="1" t="s">
        <v>189</v>
      </c>
      <c r="K2600">
        <v>2015</v>
      </c>
      <c r="L2600" t="s">
        <v>38</v>
      </c>
      <c r="M2600" t="s">
        <v>86</v>
      </c>
      <c r="N2600" t="s">
        <v>19</v>
      </c>
      <c r="O2600" t="s">
        <v>189</v>
      </c>
      <c r="P2600" s="1" t="s">
        <v>30</v>
      </c>
      <c r="Q2600">
        <v>126.8</v>
      </c>
    </row>
    <row r="2601" spans="1:17" x14ac:dyDescent="0.3">
      <c r="A2601">
        <v>2021</v>
      </c>
      <c r="B2601" t="s">
        <v>41</v>
      </c>
      <c r="C2601" t="s">
        <v>145</v>
      </c>
      <c r="D2601" s="1" t="s">
        <v>8</v>
      </c>
      <c r="E2601" s="4">
        <v>155.69999999999999</v>
      </c>
      <c r="F2601" s="4">
        <v>156.80000000000001</v>
      </c>
      <c r="G2601" s="4">
        <v>161.30000000000001</v>
      </c>
      <c r="H2601" s="1" t="s">
        <v>188</v>
      </c>
      <c r="K2601">
        <v>2015</v>
      </c>
      <c r="L2601" t="s">
        <v>38</v>
      </c>
      <c r="M2601" t="s">
        <v>86</v>
      </c>
      <c r="N2601" t="s">
        <v>19</v>
      </c>
      <c r="O2601" t="s">
        <v>189</v>
      </c>
      <c r="P2601" s="1" t="s">
        <v>34</v>
      </c>
      <c r="Q2601">
        <v>124.7</v>
      </c>
    </row>
    <row r="2602" spans="1:17" x14ac:dyDescent="0.3">
      <c r="A2602">
        <v>2021</v>
      </c>
      <c r="B2602" t="s">
        <v>41</v>
      </c>
      <c r="C2602" t="s">
        <v>145</v>
      </c>
      <c r="D2602" s="1" t="s">
        <v>21</v>
      </c>
      <c r="E2602" s="4">
        <v>163.1</v>
      </c>
      <c r="F2602" s="4">
        <v>162.6</v>
      </c>
      <c r="G2602" s="4">
        <v>160.69999999999999</v>
      </c>
      <c r="H2602" s="1" t="s">
        <v>190</v>
      </c>
      <c r="K2602">
        <v>2015</v>
      </c>
      <c r="L2602" t="s">
        <v>38</v>
      </c>
      <c r="M2602" t="s">
        <v>86</v>
      </c>
      <c r="N2602" t="s">
        <v>19</v>
      </c>
      <c r="O2602" t="s">
        <v>189</v>
      </c>
      <c r="P2602" s="1" t="s">
        <v>33</v>
      </c>
      <c r="Q2602">
        <v>121.6</v>
      </c>
    </row>
    <row r="2603" spans="1:17" x14ac:dyDescent="0.3">
      <c r="A2603">
        <v>2021</v>
      </c>
      <c r="B2603" t="s">
        <v>41</v>
      </c>
      <c r="C2603" t="s">
        <v>145</v>
      </c>
      <c r="D2603" s="1" t="s">
        <v>29</v>
      </c>
      <c r="E2603" s="4">
        <v>163.6</v>
      </c>
      <c r="F2603" s="4">
        <v>163.19999999999999</v>
      </c>
      <c r="G2603" s="4">
        <v>162.30000000000001</v>
      </c>
      <c r="H2603" s="1" t="s">
        <v>206</v>
      </c>
      <c r="K2603">
        <v>2015</v>
      </c>
      <c r="L2603" t="s">
        <v>38</v>
      </c>
      <c r="M2603" t="s">
        <v>86</v>
      </c>
      <c r="N2603" t="s">
        <v>26</v>
      </c>
      <c r="O2603" t="s">
        <v>26</v>
      </c>
      <c r="P2603" s="1" t="s">
        <v>30</v>
      </c>
      <c r="Q2603">
        <v>120.5</v>
      </c>
    </row>
    <row r="2604" spans="1:17" x14ac:dyDescent="0.3">
      <c r="A2604">
        <v>2021</v>
      </c>
      <c r="B2604" t="s">
        <v>41</v>
      </c>
      <c r="C2604" t="s">
        <v>145</v>
      </c>
      <c r="D2604" s="1" t="s">
        <v>23</v>
      </c>
      <c r="E2604" s="4">
        <v>171.1</v>
      </c>
      <c r="F2604" s="4">
        <v>168.4</v>
      </c>
      <c r="G2604" s="4">
        <v>162.80000000000001</v>
      </c>
      <c r="H2604" s="1" t="s">
        <v>23</v>
      </c>
      <c r="K2604">
        <v>2015</v>
      </c>
      <c r="L2604" t="s">
        <v>38</v>
      </c>
      <c r="M2604" t="s">
        <v>86</v>
      </c>
      <c r="N2604" t="s">
        <v>26</v>
      </c>
      <c r="O2604" t="s">
        <v>26</v>
      </c>
      <c r="P2604" s="1" t="s">
        <v>34</v>
      </c>
      <c r="Q2604">
        <v>121.4</v>
      </c>
    </row>
    <row r="2605" spans="1:17" x14ac:dyDescent="0.3">
      <c r="A2605">
        <v>2021</v>
      </c>
      <c r="B2605" t="s">
        <v>41</v>
      </c>
      <c r="C2605" t="s">
        <v>145</v>
      </c>
      <c r="D2605" s="1" t="s">
        <v>22</v>
      </c>
      <c r="E2605" s="4">
        <v>160.9</v>
      </c>
      <c r="F2605" s="4">
        <v>157.5</v>
      </c>
      <c r="G2605" s="4">
        <v>153.19999999999999</v>
      </c>
      <c r="H2605" s="1" t="s">
        <v>20</v>
      </c>
      <c r="K2605">
        <v>2015</v>
      </c>
      <c r="L2605" t="s">
        <v>38</v>
      </c>
      <c r="M2605" t="s">
        <v>86</v>
      </c>
      <c r="N2605" t="s">
        <v>26</v>
      </c>
      <c r="O2605" t="s">
        <v>26</v>
      </c>
      <c r="P2605" s="1" t="s">
        <v>33</v>
      </c>
      <c r="Q2605">
        <v>122</v>
      </c>
    </row>
    <row r="2606" spans="1:17" x14ac:dyDescent="0.3">
      <c r="A2606">
        <v>2021</v>
      </c>
      <c r="B2606" t="s">
        <v>41</v>
      </c>
      <c r="C2606" t="s">
        <v>145</v>
      </c>
      <c r="D2606" s="1" t="s">
        <v>20</v>
      </c>
      <c r="E2606" s="4">
        <v>0</v>
      </c>
      <c r="F2606" s="4">
        <v>162.1</v>
      </c>
      <c r="G2606" s="4">
        <v>162.1</v>
      </c>
      <c r="H2606" s="1" t="s">
        <v>20</v>
      </c>
      <c r="K2606">
        <v>2015</v>
      </c>
      <c r="L2606" t="s">
        <v>38</v>
      </c>
      <c r="M2606" t="s">
        <v>86</v>
      </c>
      <c r="N2606" t="s">
        <v>5</v>
      </c>
      <c r="O2606" t="s">
        <v>188</v>
      </c>
      <c r="P2606" s="1" t="s">
        <v>30</v>
      </c>
      <c r="Q2606">
        <v>117.3</v>
      </c>
    </row>
    <row r="2607" spans="1:17" x14ac:dyDescent="0.3">
      <c r="A2607">
        <v>2021</v>
      </c>
      <c r="B2607" t="s">
        <v>41</v>
      </c>
      <c r="C2607" t="s">
        <v>145</v>
      </c>
      <c r="D2607" s="1" t="s">
        <v>4</v>
      </c>
      <c r="E2607" s="4">
        <v>202.3</v>
      </c>
      <c r="F2607" s="4">
        <v>204</v>
      </c>
      <c r="G2607" s="4">
        <v>207.4</v>
      </c>
      <c r="H2607" s="1" t="s">
        <v>188</v>
      </c>
      <c r="K2607">
        <v>2015</v>
      </c>
      <c r="L2607" t="s">
        <v>38</v>
      </c>
      <c r="M2607" t="s">
        <v>86</v>
      </c>
      <c r="N2607" t="s">
        <v>5</v>
      </c>
      <c r="O2607" t="s">
        <v>188</v>
      </c>
      <c r="P2607" s="1" t="s">
        <v>34</v>
      </c>
      <c r="Q2607">
        <v>115</v>
      </c>
    </row>
    <row r="2608" spans="1:17" x14ac:dyDescent="0.3">
      <c r="A2608">
        <v>2021</v>
      </c>
      <c r="B2608" t="s">
        <v>41</v>
      </c>
      <c r="C2608" t="s">
        <v>145</v>
      </c>
      <c r="D2608" s="1" t="s">
        <v>6</v>
      </c>
      <c r="E2608" s="4">
        <v>157.5</v>
      </c>
      <c r="F2608" s="4">
        <v>158.4</v>
      </c>
      <c r="G2608" s="4">
        <v>159.19999999999999</v>
      </c>
      <c r="H2608" s="1" t="s">
        <v>188</v>
      </c>
      <c r="K2608">
        <v>2015</v>
      </c>
      <c r="L2608" t="s">
        <v>38</v>
      </c>
      <c r="M2608" t="s">
        <v>86</v>
      </c>
      <c r="N2608" t="s">
        <v>5</v>
      </c>
      <c r="O2608" t="s">
        <v>188</v>
      </c>
      <c r="P2608" s="1" t="s">
        <v>33</v>
      </c>
      <c r="Q2608">
        <v>111.3</v>
      </c>
    </row>
    <row r="2609" spans="1:17" x14ac:dyDescent="0.3">
      <c r="A2609">
        <v>2021</v>
      </c>
      <c r="B2609" t="s">
        <v>41</v>
      </c>
      <c r="C2609" t="s">
        <v>145</v>
      </c>
      <c r="D2609" s="1" t="s">
        <v>28</v>
      </c>
      <c r="E2609" s="4">
        <v>163.30000000000001</v>
      </c>
      <c r="F2609" s="4">
        <v>160</v>
      </c>
      <c r="G2609" s="4">
        <v>156</v>
      </c>
      <c r="H2609" s="1" t="s">
        <v>192</v>
      </c>
      <c r="K2609">
        <v>2015</v>
      </c>
      <c r="L2609" t="s">
        <v>38</v>
      </c>
      <c r="M2609" t="s">
        <v>86</v>
      </c>
      <c r="N2609" t="s">
        <v>15</v>
      </c>
      <c r="O2609" t="s">
        <v>188</v>
      </c>
      <c r="P2609" s="1" t="s">
        <v>30</v>
      </c>
      <c r="Q2609">
        <v>124.4</v>
      </c>
    </row>
    <row r="2610" spans="1:17" x14ac:dyDescent="0.3">
      <c r="A2610">
        <v>2021</v>
      </c>
      <c r="B2610" t="s">
        <v>41</v>
      </c>
      <c r="C2610" t="s">
        <v>145</v>
      </c>
      <c r="D2610" s="1" t="s">
        <v>13</v>
      </c>
      <c r="E2610" s="4">
        <v>167.6</v>
      </c>
      <c r="F2610" s="4">
        <v>162.69999999999999</v>
      </c>
      <c r="G2610" s="4">
        <v>154.80000000000001</v>
      </c>
      <c r="H2610" s="1" t="s">
        <v>188</v>
      </c>
      <c r="K2610">
        <v>2015</v>
      </c>
      <c r="L2610" t="s">
        <v>38</v>
      </c>
      <c r="M2610" t="s">
        <v>86</v>
      </c>
      <c r="N2610" t="s">
        <v>15</v>
      </c>
      <c r="O2610" t="s">
        <v>188</v>
      </c>
      <c r="P2610" s="1" t="s">
        <v>34</v>
      </c>
      <c r="Q2610">
        <v>125</v>
      </c>
    </row>
    <row r="2611" spans="1:17" x14ac:dyDescent="0.3">
      <c r="A2611">
        <v>2021</v>
      </c>
      <c r="B2611" t="s">
        <v>41</v>
      </c>
      <c r="C2611" t="s">
        <v>145</v>
      </c>
      <c r="D2611" s="1" t="s">
        <v>7</v>
      </c>
      <c r="E2611" s="4">
        <v>190.9</v>
      </c>
      <c r="F2611" s="4">
        <v>188</v>
      </c>
      <c r="G2611" s="4">
        <v>175</v>
      </c>
      <c r="H2611" s="1" t="s">
        <v>188</v>
      </c>
      <c r="K2611">
        <v>2015</v>
      </c>
      <c r="L2611" t="s">
        <v>38</v>
      </c>
      <c r="M2611" t="s">
        <v>86</v>
      </c>
      <c r="N2611" t="s">
        <v>15</v>
      </c>
      <c r="O2611" t="s">
        <v>188</v>
      </c>
      <c r="P2611" s="1" t="s">
        <v>33</v>
      </c>
      <c r="Q2611">
        <v>126.1</v>
      </c>
    </row>
    <row r="2612" spans="1:17" x14ac:dyDescent="0.3">
      <c r="A2612">
        <v>2021</v>
      </c>
      <c r="B2612" t="s">
        <v>41</v>
      </c>
      <c r="C2612" t="s">
        <v>145</v>
      </c>
      <c r="D2612" s="1" t="s">
        <v>16</v>
      </c>
      <c r="E2612" s="4">
        <v>190.2</v>
      </c>
      <c r="F2612" s="4">
        <v>192.1</v>
      </c>
      <c r="G2612" s="4">
        <v>196.5</v>
      </c>
      <c r="H2612" s="1" t="s">
        <v>192</v>
      </c>
      <c r="K2612">
        <v>2015</v>
      </c>
      <c r="L2612" t="s">
        <v>38</v>
      </c>
      <c r="M2612" t="s">
        <v>86</v>
      </c>
      <c r="N2612" t="s">
        <v>18</v>
      </c>
      <c r="O2612" t="s">
        <v>189</v>
      </c>
      <c r="P2612" s="1" t="s">
        <v>30</v>
      </c>
      <c r="Q2612">
        <v>124.1</v>
      </c>
    </row>
    <row r="2613" spans="1:17" x14ac:dyDescent="0.3">
      <c r="A2613">
        <v>2021</v>
      </c>
      <c r="B2613" t="s">
        <v>41</v>
      </c>
      <c r="C2613" t="s">
        <v>145</v>
      </c>
      <c r="D2613" s="1" t="s">
        <v>27</v>
      </c>
      <c r="E2613" s="4">
        <v>160.30000000000001</v>
      </c>
      <c r="F2613" s="4">
        <v>160</v>
      </c>
      <c r="G2613" s="4">
        <v>159.6</v>
      </c>
      <c r="H2613" s="1" t="s">
        <v>192</v>
      </c>
      <c r="K2613">
        <v>2015</v>
      </c>
      <c r="L2613" t="s">
        <v>38</v>
      </c>
      <c r="M2613" t="s">
        <v>86</v>
      </c>
      <c r="N2613" t="s">
        <v>18</v>
      </c>
      <c r="O2613" t="s">
        <v>189</v>
      </c>
      <c r="P2613" s="1" t="s">
        <v>34</v>
      </c>
      <c r="Q2613">
        <v>121.3</v>
      </c>
    </row>
    <row r="2614" spans="1:17" x14ac:dyDescent="0.3">
      <c r="A2614">
        <v>2021</v>
      </c>
      <c r="B2614" t="s">
        <v>41</v>
      </c>
      <c r="C2614" t="s">
        <v>145</v>
      </c>
      <c r="D2614" s="1" t="s">
        <v>14</v>
      </c>
      <c r="E2614" s="4">
        <v>171.9</v>
      </c>
      <c r="F2614" s="4">
        <v>173.9</v>
      </c>
      <c r="G2614" s="4">
        <v>175.1</v>
      </c>
      <c r="H2614" s="1" t="s">
        <v>188</v>
      </c>
      <c r="K2614">
        <v>2015</v>
      </c>
      <c r="L2614" t="s">
        <v>38</v>
      </c>
      <c r="M2614" t="s">
        <v>86</v>
      </c>
      <c r="N2614" t="s">
        <v>18</v>
      </c>
      <c r="O2614" t="s">
        <v>189</v>
      </c>
      <c r="P2614" s="1" t="s">
        <v>33</v>
      </c>
      <c r="Q2614">
        <v>117.4</v>
      </c>
    </row>
    <row r="2615" spans="1:17" x14ac:dyDescent="0.3">
      <c r="A2615">
        <v>2021</v>
      </c>
      <c r="B2615" t="s">
        <v>41</v>
      </c>
      <c r="C2615" t="s">
        <v>145</v>
      </c>
      <c r="D2615" s="1" t="s">
        <v>10</v>
      </c>
      <c r="E2615" s="4">
        <v>162.80000000000001</v>
      </c>
      <c r="F2615" s="4">
        <v>164.1</v>
      </c>
      <c r="G2615" s="4">
        <v>164.5</v>
      </c>
      <c r="H2615" s="1" t="s">
        <v>188</v>
      </c>
      <c r="K2615">
        <v>2015</v>
      </c>
      <c r="L2615" t="s">
        <v>38</v>
      </c>
      <c r="M2615" t="s">
        <v>86</v>
      </c>
      <c r="N2615" t="s">
        <v>8</v>
      </c>
      <c r="O2615" t="s">
        <v>188</v>
      </c>
      <c r="P2615" s="1" t="s">
        <v>30</v>
      </c>
      <c r="Q2615">
        <v>134.1</v>
      </c>
    </row>
    <row r="2616" spans="1:17" x14ac:dyDescent="0.3">
      <c r="A2616">
        <v>2021</v>
      </c>
      <c r="B2616" t="s">
        <v>41</v>
      </c>
      <c r="C2616" t="s">
        <v>145</v>
      </c>
      <c r="D2616" s="1" t="s">
        <v>25</v>
      </c>
      <c r="E2616" s="4">
        <v>161.1</v>
      </c>
      <c r="F2616" s="4">
        <v>157.6</v>
      </c>
      <c r="G2616" s="4">
        <v>153.69999999999999</v>
      </c>
      <c r="H2616" s="1" t="s">
        <v>195</v>
      </c>
      <c r="K2616">
        <v>2015</v>
      </c>
      <c r="L2616" t="s">
        <v>38</v>
      </c>
      <c r="M2616" t="s">
        <v>86</v>
      </c>
      <c r="N2616" t="s">
        <v>8</v>
      </c>
      <c r="O2616" t="s">
        <v>188</v>
      </c>
      <c r="P2616" s="1" t="s">
        <v>34</v>
      </c>
      <c r="Q2616">
        <v>132.6</v>
      </c>
    </row>
    <row r="2617" spans="1:17" x14ac:dyDescent="0.3">
      <c r="A2617">
        <v>2021</v>
      </c>
      <c r="B2617" t="s">
        <v>41</v>
      </c>
      <c r="C2617" t="s">
        <v>145</v>
      </c>
      <c r="D2617" s="1" t="s">
        <v>12</v>
      </c>
      <c r="E2617" s="4">
        <v>169.8</v>
      </c>
      <c r="F2617" s="4">
        <v>168.8</v>
      </c>
      <c r="G2617" s="4">
        <v>166.2</v>
      </c>
      <c r="H2617" s="1" t="s">
        <v>188</v>
      </c>
      <c r="K2617">
        <v>2015</v>
      </c>
      <c r="L2617" t="s">
        <v>38</v>
      </c>
      <c r="M2617" t="s">
        <v>86</v>
      </c>
      <c r="N2617" t="s">
        <v>8</v>
      </c>
      <c r="O2617" t="s">
        <v>188</v>
      </c>
      <c r="P2617" s="1" t="s">
        <v>33</v>
      </c>
      <c r="Q2617">
        <v>130.80000000000001</v>
      </c>
    </row>
    <row r="2618" spans="1:17" x14ac:dyDescent="0.3">
      <c r="A2618">
        <v>2021</v>
      </c>
      <c r="B2618" t="s">
        <v>41</v>
      </c>
      <c r="C2618" t="s">
        <v>145</v>
      </c>
      <c r="D2618" s="1" t="s">
        <v>11</v>
      </c>
      <c r="E2618" s="4">
        <v>115.2</v>
      </c>
      <c r="F2618" s="4">
        <v>119.7</v>
      </c>
      <c r="G2618" s="4">
        <v>120.4</v>
      </c>
      <c r="H2618" s="1" t="s">
        <v>188</v>
      </c>
      <c r="K2618">
        <v>2015</v>
      </c>
      <c r="L2618" t="s">
        <v>38</v>
      </c>
      <c r="M2618" t="s">
        <v>86</v>
      </c>
      <c r="N2618" t="s">
        <v>21</v>
      </c>
      <c r="O2618" t="s">
        <v>190</v>
      </c>
      <c r="P2618" s="1" t="s">
        <v>30</v>
      </c>
      <c r="Q2618">
        <v>121.9</v>
      </c>
    </row>
    <row r="2619" spans="1:17" x14ac:dyDescent="0.3">
      <c r="A2619">
        <v>2021</v>
      </c>
      <c r="B2619" t="s">
        <v>41</v>
      </c>
      <c r="C2619" t="s">
        <v>145</v>
      </c>
      <c r="D2619" s="1" t="s">
        <v>24</v>
      </c>
      <c r="E2619" s="4">
        <v>157.69999999999999</v>
      </c>
      <c r="F2619" s="4">
        <v>154</v>
      </c>
      <c r="G2619" s="4">
        <v>150.4</v>
      </c>
      <c r="H2619" s="1" t="s">
        <v>191</v>
      </c>
      <c r="K2619">
        <v>2015</v>
      </c>
      <c r="L2619" t="s">
        <v>38</v>
      </c>
      <c r="M2619" t="s">
        <v>86</v>
      </c>
      <c r="N2619" t="s">
        <v>21</v>
      </c>
      <c r="O2619" t="s">
        <v>190</v>
      </c>
      <c r="P2619" s="1" t="s">
        <v>34</v>
      </c>
      <c r="Q2619">
        <v>119.2</v>
      </c>
    </row>
    <row r="2620" spans="1:17" x14ac:dyDescent="0.3">
      <c r="A2620">
        <v>2021</v>
      </c>
      <c r="B2620" t="s">
        <v>41</v>
      </c>
      <c r="C2620" t="s">
        <v>145</v>
      </c>
      <c r="D2620" s="1" t="s">
        <v>9</v>
      </c>
      <c r="E2620" s="4">
        <v>153.9</v>
      </c>
      <c r="F2620" s="4">
        <v>162.19999999999999</v>
      </c>
      <c r="G2620" s="4">
        <v>183.3</v>
      </c>
      <c r="H2620" s="1" t="s">
        <v>188</v>
      </c>
      <c r="K2620">
        <v>2015</v>
      </c>
      <c r="L2620" t="s">
        <v>38</v>
      </c>
      <c r="M2620" t="s">
        <v>86</v>
      </c>
      <c r="N2620" t="s">
        <v>21</v>
      </c>
      <c r="O2620" t="s">
        <v>190</v>
      </c>
      <c r="P2620" s="1" t="s">
        <v>33</v>
      </c>
      <c r="Q2620">
        <v>114.9</v>
      </c>
    </row>
    <row r="2621" spans="1:17" x14ac:dyDescent="0.3">
      <c r="A2621">
        <v>2021</v>
      </c>
      <c r="B2621" t="s">
        <v>45</v>
      </c>
      <c r="C2621" t="s">
        <v>146</v>
      </c>
      <c r="D2621" s="1" t="s">
        <v>3</v>
      </c>
      <c r="E2621" s="4">
        <v>147.4</v>
      </c>
      <c r="F2621" s="4">
        <v>148.69999999999999</v>
      </c>
      <c r="G2621" s="4">
        <v>151.6</v>
      </c>
      <c r="H2621" s="1" t="s">
        <v>188</v>
      </c>
      <c r="K2621">
        <v>2015</v>
      </c>
      <c r="L2621" t="s">
        <v>38</v>
      </c>
      <c r="M2621" t="s">
        <v>86</v>
      </c>
      <c r="N2621" t="s">
        <v>29</v>
      </c>
      <c r="O2621" t="s">
        <v>206</v>
      </c>
      <c r="P2621" s="1" t="s">
        <v>30</v>
      </c>
      <c r="Q2621">
        <v>122.4</v>
      </c>
    </row>
    <row r="2622" spans="1:17" x14ac:dyDescent="0.3">
      <c r="A2622">
        <v>2021</v>
      </c>
      <c r="B2622" t="s">
        <v>45</v>
      </c>
      <c r="C2622" t="s">
        <v>146</v>
      </c>
      <c r="D2622" s="1" t="s">
        <v>17</v>
      </c>
      <c r="E2622" s="4">
        <v>171.8</v>
      </c>
      <c r="F2622" s="4">
        <v>168.5</v>
      </c>
      <c r="G2622" s="4">
        <v>163.30000000000001</v>
      </c>
      <c r="H2622" s="1" t="s">
        <v>189</v>
      </c>
      <c r="K2622">
        <v>2015</v>
      </c>
      <c r="L2622" t="s">
        <v>38</v>
      </c>
      <c r="M2622" t="s">
        <v>86</v>
      </c>
      <c r="N2622" t="s">
        <v>29</v>
      </c>
      <c r="O2622" t="s">
        <v>206</v>
      </c>
      <c r="P2622" s="1" t="s">
        <v>34</v>
      </c>
      <c r="Q2622">
        <v>121.6</v>
      </c>
    </row>
    <row r="2623" spans="1:17" x14ac:dyDescent="0.3">
      <c r="A2623">
        <v>2021</v>
      </c>
      <c r="B2623" t="s">
        <v>45</v>
      </c>
      <c r="C2623" t="s">
        <v>146</v>
      </c>
      <c r="D2623" s="1" t="s">
        <v>19</v>
      </c>
      <c r="E2623" s="4">
        <v>171.2</v>
      </c>
      <c r="F2623" s="4">
        <v>167</v>
      </c>
      <c r="G2623" s="4">
        <v>160.69999999999999</v>
      </c>
      <c r="H2623" s="1" t="s">
        <v>189</v>
      </c>
      <c r="K2623">
        <v>2015</v>
      </c>
      <c r="L2623" t="s">
        <v>38</v>
      </c>
      <c r="M2623" t="s">
        <v>86</v>
      </c>
      <c r="N2623" t="s">
        <v>29</v>
      </c>
      <c r="O2623" t="s">
        <v>206</v>
      </c>
      <c r="P2623" s="1" t="s">
        <v>33</v>
      </c>
      <c r="Q2623">
        <v>120.7</v>
      </c>
    </row>
    <row r="2624" spans="1:17" x14ac:dyDescent="0.3">
      <c r="A2624">
        <v>2021</v>
      </c>
      <c r="B2624" t="s">
        <v>45</v>
      </c>
      <c r="C2624" t="s">
        <v>146</v>
      </c>
      <c r="D2624" s="1" t="s">
        <v>26</v>
      </c>
      <c r="E2624" s="4">
        <v>169.7</v>
      </c>
      <c r="F2624" s="4">
        <v>164.4</v>
      </c>
      <c r="G2624" s="4">
        <v>160.6</v>
      </c>
      <c r="H2624" s="1" t="s">
        <v>26</v>
      </c>
      <c r="K2624">
        <v>2015</v>
      </c>
      <c r="L2624" t="s">
        <v>38</v>
      </c>
      <c r="M2624" t="s">
        <v>86</v>
      </c>
      <c r="N2624" t="s">
        <v>23</v>
      </c>
      <c r="O2624" t="s">
        <v>23</v>
      </c>
      <c r="P2624" s="1" t="s">
        <v>30</v>
      </c>
      <c r="Q2624">
        <v>119.4</v>
      </c>
    </row>
    <row r="2625" spans="1:17" x14ac:dyDescent="0.3">
      <c r="A2625">
        <v>2021</v>
      </c>
      <c r="B2625" t="s">
        <v>45</v>
      </c>
      <c r="C2625" t="s">
        <v>146</v>
      </c>
      <c r="D2625" s="1" t="s">
        <v>5</v>
      </c>
      <c r="E2625" s="4">
        <v>176.5</v>
      </c>
      <c r="F2625" s="4">
        <v>177.9</v>
      </c>
      <c r="G2625" s="4">
        <v>180</v>
      </c>
      <c r="H2625" s="1" t="s">
        <v>188</v>
      </c>
      <c r="K2625">
        <v>2015</v>
      </c>
      <c r="L2625" t="s">
        <v>38</v>
      </c>
      <c r="M2625" t="s">
        <v>86</v>
      </c>
      <c r="N2625" t="s">
        <v>23</v>
      </c>
      <c r="O2625" t="s">
        <v>23</v>
      </c>
      <c r="P2625" s="1" t="s">
        <v>34</v>
      </c>
      <c r="Q2625">
        <v>117.7</v>
      </c>
    </row>
    <row r="2626" spans="1:17" x14ac:dyDescent="0.3">
      <c r="A2626">
        <v>2021</v>
      </c>
      <c r="B2626" t="s">
        <v>45</v>
      </c>
      <c r="C2626" t="s">
        <v>146</v>
      </c>
      <c r="D2626" s="1" t="s">
        <v>15</v>
      </c>
      <c r="E2626" s="4">
        <v>165.8</v>
      </c>
      <c r="F2626" s="4">
        <v>168.2</v>
      </c>
      <c r="G2626" s="4">
        <v>172.2</v>
      </c>
      <c r="H2626" s="1" t="s">
        <v>188</v>
      </c>
      <c r="K2626">
        <v>2015</v>
      </c>
      <c r="L2626" t="s">
        <v>38</v>
      </c>
      <c r="M2626" t="s">
        <v>86</v>
      </c>
      <c r="N2626" t="s">
        <v>23</v>
      </c>
      <c r="O2626" t="s">
        <v>23</v>
      </c>
      <c r="P2626" s="1" t="s">
        <v>33</v>
      </c>
      <c r="Q2626">
        <v>114.9</v>
      </c>
    </row>
    <row r="2627" spans="1:17" x14ac:dyDescent="0.3">
      <c r="A2627">
        <v>2021</v>
      </c>
      <c r="B2627" t="s">
        <v>45</v>
      </c>
      <c r="C2627" t="s">
        <v>146</v>
      </c>
      <c r="D2627" s="1" t="s">
        <v>18</v>
      </c>
      <c r="E2627" s="4">
        <v>167.3</v>
      </c>
      <c r="F2627" s="4">
        <v>158.69999999999999</v>
      </c>
      <c r="G2627" s="4">
        <v>146.69999999999999</v>
      </c>
      <c r="H2627" s="1" t="s">
        <v>189</v>
      </c>
      <c r="K2627">
        <v>2015</v>
      </c>
      <c r="L2627" t="s">
        <v>38</v>
      </c>
      <c r="M2627" t="s">
        <v>86</v>
      </c>
      <c r="N2627" t="s">
        <v>22</v>
      </c>
      <c r="O2627" t="s">
        <v>20</v>
      </c>
      <c r="P2627" s="1" t="s">
        <v>30</v>
      </c>
      <c r="Q2627">
        <v>121.5</v>
      </c>
    </row>
    <row r="2628" spans="1:17" x14ac:dyDescent="0.3">
      <c r="A2628">
        <v>2021</v>
      </c>
      <c r="B2628" t="s">
        <v>45</v>
      </c>
      <c r="C2628" t="s">
        <v>146</v>
      </c>
      <c r="D2628" s="1" t="s">
        <v>8</v>
      </c>
      <c r="E2628" s="4">
        <v>152</v>
      </c>
      <c r="F2628" s="4">
        <v>154.9</v>
      </c>
      <c r="G2628" s="4">
        <v>158.30000000000001</v>
      </c>
      <c r="H2628" s="1" t="s">
        <v>188</v>
      </c>
      <c r="K2628">
        <v>2015</v>
      </c>
      <c r="L2628" t="s">
        <v>38</v>
      </c>
      <c r="M2628" t="s">
        <v>86</v>
      </c>
      <c r="N2628" t="s">
        <v>22</v>
      </c>
      <c r="O2628" t="s">
        <v>20</v>
      </c>
      <c r="P2628" s="1" t="s">
        <v>34</v>
      </c>
      <c r="Q2628">
        <v>120.2</v>
      </c>
    </row>
    <row r="2629" spans="1:17" x14ac:dyDescent="0.3">
      <c r="A2629">
        <v>2021</v>
      </c>
      <c r="B2629" t="s">
        <v>45</v>
      </c>
      <c r="C2629" t="s">
        <v>146</v>
      </c>
      <c r="D2629" s="1" t="s">
        <v>21</v>
      </c>
      <c r="E2629" s="4">
        <v>165.6</v>
      </c>
      <c r="F2629" s="4">
        <v>164.1</v>
      </c>
      <c r="G2629" s="4">
        <v>161.69999999999999</v>
      </c>
      <c r="H2629" s="1" t="s">
        <v>190</v>
      </c>
      <c r="K2629">
        <v>2015</v>
      </c>
      <c r="L2629" t="s">
        <v>38</v>
      </c>
      <c r="M2629" t="s">
        <v>86</v>
      </c>
      <c r="N2629" t="s">
        <v>22</v>
      </c>
      <c r="O2629" t="s">
        <v>20</v>
      </c>
      <c r="P2629" s="1" t="s">
        <v>33</v>
      </c>
      <c r="Q2629">
        <v>118.7</v>
      </c>
    </row>
    <row r="2630" spans="1:17" x14ac:dyDescent="0.3">
      <c r="A2630">
        <v>2021</v>
      </c>
      <c r="B2630" t="s">
        <v>45</v>
      </c>
      <c r="C2630" t="s">
        <v>146</v>
      </c>
      <c r="D2630" s="1" t="s">
        <v>29</v>
      </c>
      <c r="E2630" s="4">
        <v>167</v>
      </c>
      <c r="F2630" s="4">
        <v>166.2</v>
      </c>
      <c r="G2630" s="4">
        <v>165.2</v>
      </c>
      <c r="H2630" s="1" t="s">
        <v>206</v>
      </c>
      <c r="K2630">
        <v>2015</v>
      </c>
      <c r="L2630" t="s">
        <v>38</v>
      </c>
      <c r="M2630" t="s">
        <v>86</v>
      </c>
      <c r="N2630" t="s">
        <v>20</v>
      </c>
      <c r="O2630" t="s">
        <v>20</v>
      </c>
      <c r="P2630" s="1" t="s">
        <v>30</v>
      </c>
      <c r="Q2630">
        <v>0</v>
      </c>
    </row>
    <row r="2631" spans="1:17" x14ac:dyDescent="0.3">
      <c r="A2631">
        <v>2021</v>
      </c>
      <c r="B2631" t="s">
        <v>45</v>
      </c>
      <c r="C2631" t="s">
        <v>146</v>
      </c>
      <c r="D2631" s="1" t="s">
        <v>23</v>
      </c>
      <c r="E2631" s="4">
        <v>174</v>
      </c>
      <c r="F2631" s="4">
        <v>170.6</v>
      </c>
      <c r="G2631" s="4">
        <v>165.1</v>
      </c>
      <c r="H2631" s="1" t="s">
        <v>23</v>
      </c>
      <c r="K2631">
        <v>2015</v>
      </c>
      <c r="L2631" t="s">
        <v>38</v>
      </c>
      <c r="M2631" t="s">
        <v>86</v>
      </c>
      <c r="N2631" t="s">
        <v>20</v>
      </c>
      <c r="O2631" t="s">
        <v>20</v>
      </c>
      <c r="P2631" s="1" t="s">
        <v>34</v>
      </c>
      <c r="Q2631">
        <v>119.6</v>
      </c>
    </row>
    <row r="2632" spans="1:17" x14ac:dyDescent="0.3">
      <c r="A2632">
        <v>2021</v>
      </c>
      <c r="B2632" t="s">
        <v>45</v>
      </c>
      <c r="C2632" t="s">
        <v>146</v>
      </c>
      <c r="D2632" s="1" t="s">
        <v>22</v>
      </c>
      <c r="E2632" s="4">
        <v>163.9</v>
      </c>
      <c r="F2632" s="4">
        <v>160.19999999999999</v>
      </c>
      <c r="G2632" s="4">
        <v>156</v>
      </c>
      <c r="H2632" s="1" t="s">
        <v>20</v>
      </c>
      <c r="K2632">
        <v>2015</v>
      </c>
      <c r="L2632" t="s">
        <v>38</v>
      </c>
      <c r="M2632" t="s">
        <v>86</v>
      </c>
      <c r="N2632" t="s">
        <v>20</v>
      </c>
      <c r="O2632" t="s">
        <v>20</v>
      </c>
      <c r="P2632" s="1" t="s">
        <v>33</v>
      </c>
      <c r="Q2632">
        <v>119.6</v>
      </c>
    </row>
    <row r="2633" spans="1:17" x14ac:dyDescent="0.3">
      <c r="A2633">
        <v>2021</v>
      </c>
      <c r="B2633" t="s">
        <v>45</v>
      </c>
      <c r="C2633" t="s">
        <v>146</v>
      </c>
      <c r="D2633" s="1" t="s">
        <v>20</v>
      </c>
      <c r="E2633" s="4">
        <v>0</v>
      </c>
      <c r="F2633" s="4">
        <v>163.4</v>
      </c>
      <c r="G2633" s="4">
        <v>163.4</v>
      </c>
      <c r="H2633" s="1" t="s">
        <v>20</v>
      </c>
      <c r="K2633">
        <v>2015</v>
      </c>
      <c r="L2633" t="s">
        <v>38</v>
      </c>
      <c r="M2633" t="s">
        <v>86</v>
      </c>
      <c r="N2633" t="s">
        <v>4</v>
      </c>
      <c r="O2633" t="s">
        <v>188</v>
      </c>
      <c r="P2633" s="1" t="s">
        <v>30</v>
      </c>
      <c r="Q2633">
        <v>127.1</v>
      </c>
    </row>
    <row r="2634" spans="1:17" x14ac:dyDescent="0.3">
      <c r="A2634">
        <v>2021</v>
      </c>
      <c r="B2634" t="s">
        <v>45</v>
      </c>
      <c r="C2634" t="s">
        <v>146</v>
      </c>
      <c r="D2634" s="1" t="s">
        <v>4</v>
      </c>
      <c r="E2634" s="4">
        <v>197</v>
      </c>
      <c r="F2634" s="4">
        <v>198.8</v>
      </c>
      <c r="G2634" s="4">
        <v>202.2</v>
      </c>
      <c r="H2634" s="1" t="s">
        <v>188</v>
      </c>
      <c r="K2634">
        <v>2015</v>
      </c>
      <c r="L2634" t="s">
        <v>38</v>
      </c>
      <c r="M2634" t="s">
        <v>86</v>
      </c>
      <c r="N2634" t="s">
        <v>4</v>
      </c>
      <c r="O2634" t="s">
        <v>188</v>
      </c>
      <c r="P2634" s="1" t="s">
        <v>34</v>
      </c>
      <c r="Q2634">
        <v>128</v>
      </c>
    </row>
    <row r="2635" spans="1:17" x14ac:dyDescent="0.3">
      <c r="A2635">
        <v>2021</v>
      </c>
      <c r="B2635" t="s">
        <v>45</v>
      </c>
      <c r="C2635" t="s">
        <v>146</v>
      </c>
      <c r="D2635" s="1" t="s">
        <v>6</v>
      </c>
      <c r="E2635" s="4">
        <v>159.80000000000001</v>
      </c>
      <c r="F2635" s="4">
        <v>159.9</v>
      </c>
      <c r="G2635" s="4">
        <v>160</v>
      </c>
      <c r="H2635" s="1" t="s">
        <v>188</v>
      </c>
      <c r="K2635">
        <v>2015</v>
      </c>
      <c r="L2635" t="s">
        <v>38</v>
      </c>
      <c r="M2635" t="s">
        <v>86</v>
      </c>
      <c r="N2635" t="s">
        <v>4</v>
      </c>
      <c r="O2635" t="s">
        <v>188</v>
      </c>
      <c r="P2635" s="1" t="s">
        <v>33</v>
      </c>
      <c r="Q2635">
        <v>129.69999999999999</v>
      </c>
    </row>
    <row r="2636" spans="1:17" x14ac:dyDescent="0.3">
      <c r="A2636">
        <v>2021</v>
      </c>
      <c r="B2636" t="s">
        <v>45</v>
      </c>
      <c r="C2636" t="s">
        <v>146</v>
      </c>
      <c r="D2636" s="1" t="s">
        <v>28</v>
      </c>
      <c r="E2636" s="4">
        <v>166</v>
      </c>
      <c r="F2636" s="4">
        <v>162</v>
      </c>
      <c r="G2636" s="4">
        <v>157.80000000000001</v>
      </c>
      <c r="H2636" s="1" t="s">
        <v>192</v>
      </c>
      <c r="K2636">
        <v>2015</v>
      </c>
      <c r="L2636" t="s">
        <v>38</v>
      </c>
      <c r="M2636" t="s">
        <v>86</v>
      </c>
      <c r="N2636" t="s">
        <v>6</v>
      </c>
      <c r="O2636" t="s">
        <v>188</v>
      </c>
      <c r="P2636" s="1" t="s">
        <v>30</v>
      </c>
      <c r="Q2636">
        <v>127.7</v>
      </c>
    </row>
    <row r="2637" spans="1:17" x14ac:dyDescent="0.3">
      <c r="A2637">
        <v>2021</v>
      </c>
      <c r="B2637" t="s">
        <v>45</v>
      </c>
      <c r="C2637" t="s">
        <v>146</v>
      </c>
      <c r="D2637" s="1" t="s">
        <v>13</v>
      </c>
      <c r="E2637" s="4">
        <v>169.7</v>
      </c>
      <c r="F2637" s="4">
        <v>164.2</v>
      </c>
      <c r="G2637" s="4">
        <v>156.5</v>
      </c>
      <c r="H2637" s="1" t="s">
        <v>188</v>
      </c>
      <c r="K2637">
        <v>2015</v>
      </c>
      <c r="L2637" t="s">
        <v>38</v>
      </c>
      <c r="M2637" t="s">
        <v>86</v>
      </c>
      <c r="N2637" t="s">
        <v>6</v>
      </c>
      <c r="O2637" t="s">
        <v>188</v>
      </c>
      <c r="P2637" s="1" t="s">
        <v>34</v>
      </c>
      <c r="Q2637">
        <v>127.3</v>
      </c>
    </row>
    <row r="2638" spans="1:17" x14ac:dyDescent="0.3">
      <c r="A2638">
        <v>2021</v>
      </c>
      <c r="B2638" t="s">
        <v>45</v>
      </c>
      <c r="C2638" t="s">
        <v>146</v>
      </c>
      <c r="D2638" s="1" t="s">
        <v>7</v>
      </c>
      <c r="E2638" s="4">
        <v>195.8</v>
      </c>
      <c r="F2638" s="4">
        <v>187.6</v>
      </c>
      <c r="G2638" s="4">
        <v>173.5</v>
      </c>
      <c r="H2638" s="1" t="s">
        <v>188</v>
      </c>
      <c r="K2638">
        <v>2015</v>
      </c>
      <c r="L2638" t="s">
        <v>38</v>
      </c>
      <c r="M2638" t="s">
        <v>86</v>
      </c>
      <c r="N2638" t="s">
        <v>6</v>
      </c>
      <c r="O2638" t="s">
        <v>188</v>
      </c>
      <c r="P2638" s="1" t="s">
        <v>33</v>
      </c>
      <c r="Q2638">
        <v>126.6</v>
      </c>
    </row>
    <row r="2639" spans="1:17" x14ac:dyDescent="0.3">
      <c r="A2639">
        <v>2021</v>
      </c>
      <c r="B2639" t="s">
        <v>45</v>
      </c>
      <c r="C2639" t="s">
        <v>146</v>
      </c>
      <c r="D2639" s="1" t="s">
        <v>16</v>
      </c>
      <c r="E2639" s="4">
        <v>190.8</v>
      </c>
      <c r="F2639" s="4">
        <v>192.4</v>
      </c>
      <c r="G2639" s="4">
        <v>196.8</v>
      </c>
      <c r="H2639" s="1" t="s">
        <v>192</v>
      </c>
      <c r="K2639">
        <v>2015</v>
      </c>
      <c r="L2639" t="s">
        <v>38</v>
      </c>
      <c r="M2639" t="s">
        <v>86</v>
      </c>
      <c r="N2639" t="s">
        <v>28</v>
      </c>
      <c r="O2639" t="s">
        <v>192</v>
      </c>
      <c r="P2639" s="1" t="s">
        <v>30</v>
      </c>
      <c r="Q2639">
        <v>116.9</v>
      </c>
    </row>
    <row r="2640" spans="1:17" x14ac:dyDescent="0.3">
      <c r="A2640">
        <v>2021</v>
      </c>
      <c r="B2640" t="s">
        <v>45</v>
      </c>
      <c r="C2640" t="s">
        <v>146</v>
      </c>
      <c r="D2640" s="1" t="s">
        <v>27</v>
      </c>
      <c r="E2640" s="4">
        <v>162.80000000000001</v>
      </c>
      <c r="F2640" s="4">
        <v>162.6</v>
      </c>
      <c r="G2640" s="4">
        <v>162.4</v>
      </c>
      <c r="H2640" s="1" t="s">
        <v>192</v>
      </c>
      <c r="K2640">
        <v>2015</v>
      </c>
      <c r="L2640" t="s">
        <v>38</v>
      </c>
      <c r="M2640" t="s">
        <v>86</v>
      </c>
      <c r="N2640" t="s">
        <v>28</v>
      </c>
      <c r="O2640" t="s">
        <v>192</v>
      </c>
      <c r="P2640" s="1" t="s">
        <v>34</v>
      </c>
      <c r="Q2640">
        <v>116.1</v>
      </c>
    </row>
    <row r="2641" spans="1:17" x14ac:dyDescent="0.3">
      <c r="A2641">
        <v>2021</v>
      </c>
      <c r="B2641" t="s">
        <v>45</v>
      </c>
      <c r="C2641" t="s">
        <v>146</v>
      </c>
      <c r="D2641" s="1" t="s">
        <v>14</v>
      </c>
      <c r="E2641" s="4">
        <v>175.1</v>
      </c>
      <c r="F2641" s="4">
        <v>176.5</v>
      </c>
      <c r="G2641" s="4">
        <v>178.2</v>
      </c>
      <c r="H2641" s="1" t="s">
        <v>188</v>
      </c>
      <c r="K2641">
        <v>2015</v>
      </c>
      <c r="L2641" t="s">
        <v>38</v>
      </c>
      <c r="M2641" t="s">
        <v>86</v>
      </c>
      <c r="N2641" t="s">
        <v>28</v>
      </c>
      <c r="O2641" t="s">
        <v>192</v>
      </c>
      <c r="P2641" s="1" t="s">
        <v>33</v>
      </c>
      <c r="Q2641">
        <v>115.2</v>
      </c>
    </row>
    <row r="2642" spans="1:17" x14ac:dyDescent="0.3">
      <c r="A2642">
        <v>2021</v>
      </c>
      <c r="B2642" t="s">
        <v>45</v>
      </c>
      <c r="C2642" t="s">
        <v>146</v>
      </c>
      <c r="D2642" s="1" t="s">
        <v>10</v>
      </c>
      <c r="E2642" s="4">
        <v>164.5</v>
      </c>
      <c r="F2642" s="4">
        <v>164.4</v>
      </c>
      <c r="G2642" s="4">
        <v>164.2</v>
      </c>
      <c r="H2642" s="1" t="s">
        <v>188</v>
      </c>
      <c r="K2642">
        <v>2015</v>
      </c>
      <c r="L2642" t="s">
        <v>38</v>
      </c>
      <c r="M2642" t="s">
        <v>86</v>
      </c>
      <c r="N2642" t="s">
        <v>13</v>
      </c>
      <c r="O2642" t="s">
        <v>188</v>
      </c>
      <c r="P2642" s="1" t="s">
        <v>30</v>
      </c>
      <c r="Q2642">
        <v>120.2</v>
      </c>
    </row>
    <row r="2643" spans="1:17" x14ac:dyDescent="0.3">
      <c r="A2643">
        <v>2021</v>
      </c>
      <c r="B2643" t="s">
        <v>45</v>
      </c>
      <c r="C2643" t="s">
        <v>146</v>
      </c>
      <c r="D2643" s="1" t="s">
        <v>25</v>
      </c>
      <c r="E2643" s="4">
        <v>164.5</v>
      </c>
      <c r="F2643" s="4">
        <v>160.6</v>
      </c>
      <c r="G2643" s="4">
        <v>157.6</v>
      </c>
      <c r="H2643" s="1" t="s">
        <v>195</v>
      </c>
      <c r="K2643">
        <v>2015</v>
      </c>
      <c r="L2643" t="s">
        <v>38</v>
      </c>
      <c r="M2643" t="s">
        <v>86</v>
      </c>
      <c r="N2643" t="s">
        <v>13</v>
      </c>
      <c r="O2643" t="s">
        <v>188</v>
      </c>
      <c r="P2643" s="1" t="s">
        <v>34</v>
      </c>
      <c r="Q2643">
        <v>119.2</v>
      </c>
    </row>
    <row r="2644" spans="1:17" x14ac:dyDescent="0.3">
      <c r="A2644">
        <v>2021</v>
      </c>
      <c r="B2644" t="s">
        <v>45</v>
      </c>
      <c r="C2644" t="s">
        <v>146</v>
      </c>
      <c r="D2644" s="1" t="s">
        <v>12</v>
      </c>
      <c r="E2644" s="4">
        <v>171.7</v>
      </c>
      <c r="F2644" s="4">
        <v>170.5</v>
      </c>
      <c r="G2644" s="4">
        <v>168.2</v>
      </c>
      <c r="H2644" s="1" t="s">
        <v>188</v>
      </c>
      <c r="K2644">
        <v>2015</v>
      </c>
      <c r="L2644" t="s">
        <v>38</v>
      </c>
      <c r="M2644" t="s">
        <v>86</v>
      </c>
      <c r="N2644" t="s">
        <v>13</v>
      </c>
      <c r="O2644" t="s">
        <v>188</v>
      </c>
      <c r="P2644" s="1" t="s">
        <v>33</v>
      </c>
      <c r="Q2644">
        <v>117.7</v>
      </c>
    </row>
    <row r="2645" spans="1:17" x14ac:dyDescent="0.3">
      <c r="A2645">
        <v>2021</v>
      </c>
      <c r="B2645" t="s">
        <v>45</v>
      </c>
      <c r="C2645" t="s">
        <v>146</v>
      </c>
      <c r="D2645" s="1" t="s">
        <v>11</v>
      </c>
      <c r="E2645" s="4">
        <v>120.6</v>
      </c>
      <c r="F2645" s="4">
        <v>121</v>
      </c>
      <c r="G2645" s="4">
        <v>121.9</v>
      </c>
      <c r="H2645" s="1" t="s">
        <v>188</v>
      </c>
      <c r="K2645">
        <v>2015</v>
      </c>
      <c r="L2645" t="s">
        <v>38</v>
      </c>
      <c r="M2645" t="s">
        <v>86</v>
      </c>
      <c r="N2645" t="s">
        <v>7</v>
      </c>
      <c r="O2645" t="s">
        <v>188</v>
      </c>
      <c r="P2645" s="1" t="s">
        <v>30</v>
      </c>
      <c r="Q2645">
        <v>112.5</v>
      </c>
    </row>
    <row r="2646" spans="1:17" x14ac:dyDescent="0.3">
      <c r="A2646">
        <v>2021</v>
      </c>
      <c r="B2646" t="s">
        <v>45</v>
      </c>
      <c r="C2646" t="s">
        <v>146</v>
      </c>
      <c r="D2646" s="1" t="s">
        <v>24</v>
      </c>
      <c r="E2646" s="4">
        <v>160.1</v>
      </c>
      <c r="F2646" s="4">
        <v>155.69999999999999</v>
      </c>
      <c r="G2646" s="4">
        <v>151.80000000000001</v>
      </c>
      <c r="H2646" s="1" t="s">
        <v>191</v>
      </c>
      <c r="K2646">
        <v>2015</v>
      </c>
      <c r="L2646" t="s">
        <v>38</v>
      </c>
      <c r="M2646" t="s">
        <v>86</v>
      </c>
      <c r="N2646" t="s">
        <v>7</v>
      </c>
      <c r="O2646" t="s">
        <v>188</v>
      </c>
      <c r="P2646" s="1" t="s">
        <v>34</v>
      </c>
      <c r="Q2646">
        <v>109.8</v>
      </c>
    </row>
    <row r="2647" spans="1:17" x14ac:dyDescent="0.3">
      <c r="A2647">
        <v>2021</v>
      </c>
      <c r="B2647" t="s">
        <v>45</v>
      </c>
      <c r="C2647" t="s">
        <v>146</v>
      </c>
      <c r="D2647" s="1" t="s">
        <v>9</v>
      </c>
      <c r="E2647" s="4">
        <v>172.3</v>
      </c>
      <c r="F2647" s="4">
        <v>188.3</v>
      </c>
      <c r="G2647" s="4">
        <v>219.5</v>
      </c>
      <c r="H2647" s="1" t="s">
        <v>188</v>
      </c>
      <c r="K2647">
        <v>2015</v>
      </c>
      <c r="L2647" t="s">
        <v>38</v>
      </c>
      <c r="M2647" t="s">
        <v>86</v>
      </c>
      <c r="N2647" t="s">
        <v>7</v>
      </c>
      <c r="O2647" t="s">
        <v>188</v>
      </c>
      <c r="P2647" s="1" t="s">
        <v>33</v>
      </c>
      <c r="Q2647">
        <v>105.2</v>
      </c>
    </row>
    <row r="2648" spans="1:17" x14ac:dyDescent="0.3">
      <c r="A2648">
        <v>2021</v>
      </c>
      <c r="B2648" t="s">
        <v>35</v>
      </c>
      <c r="C2648" t="s">
        <v>147</v>
      </c>
      <c r="D2648" s="1" t="s">
        <v>3</v>
      </c>
      <c r="E2648" s="4">
        <v>142.80000000000001</v>
      </c>
      <c r="F2648" s="4">
        <v>144.30000000000001</v>
      </c>
      <c r="G2648" s="4">
        <v>147.6</v>
      </c>
      <c r="H2648" s="1" t="s">
        <v>188</v>
      </c>
      <c r="K2648">
        <v>2015</v>
      </c>
      <c r="L2648" t="s">
        <v>38</v>
      </c>
      <c r="M2648" t="s">
        <v>86</v>
      </c>
      <c r="N2648" t="s">
        <v>16</v>
      </c>
      <c r="O2648" t="s">
        <v>192</v>
      </c>
      <c r="P2648" s="1" t="s">
        <v>30</v>
      </c>
      <c r="Q2648">
        <v>126.7</v>
      </c>
    </row>
    <row r="2649" spans="1:17" x14ac:dyDescent="0.3">
      <c r="A2649">
        <v>2021</v>
      </c>
      <c r="B2649" t="s">
        <v>35</v>
      </c>
      <c r="C2649" t="s">
        <v>147</v>
      </c>
      <c r="D2649" s="1" t="s">
        <v>17</v>
      </c>
      <c r="E2649" s="4">
        <v>159.1</v>
      </c>
      <c r="F2649" s="4">
        <v>157.19999999999999</v>
      </c>
      <c r="G2649" s="4">
        <v>154.19999999999999</v>
      </c>
      <c r="H2649" s="1" t="s">
        <v>189</v>
      </c>
      <c r="K2649">
        <v>2015</v>
      </c>
      <c r="L2649" t="s">
        <v>38</v>
      </c>
      <c r="M2649" t="s">
        <v>86</v>
      </c>
      <c r="N2649" t="s">
        <v>16</v>
      </c>
      <c r="O2649" t="s">
        <v>192</v>
      </c>
      <c r="P2649" s="1" t="s">
        <v>34</v>
      </c>
      <c r="Q2649">
        <v>127.9</v>
      </c>
    </row>
    <row r="2650" spans="1:17" x14ac:dyDescent="0.3">
      <c r="A2650">
        <v>2021</v>
      </c>
      <c r="B2650" t="s">
        <v>35</v>
      </c>
      <c r="C2650" t="s">
        <v>147</v>
      </c>
      <c r="D2650" s="1" t="s">
        <v>19</v>
      </c>
      <c r="E2650" s="4">
        <v>158.4</v>
      </c>
      <c r="F2650" s="4">
        <v>155.80000000000001</v>
      </c>
      <c r="G2650" s="4">
        <v>151.80000000000001</v>
      </c>
      <c r="H2650" s="1" t="s">
        <v>189</v>
      </c>
      <c r="K2650">
        <v>2015</v>
      </c>
      <c r="L2650" t="s">
        <v>38</v>
      </c>
      <c r="M2650" t="s">
        <v>86</v>
      </c>
      <c r="N2650" t="s">
        <v>16</v>
      </c>
      <c r="O2650" t="s">
        <v>192</v>
      </c>
      <c r="P2650" s="1" t="s">
        <v>33</v>
      </c>
      <c r="Q2650">
        <v>131.30000000000001</v>
      </c>
    </row>
    <row r="2651" spans="1:17" x14ac:dyDescent="0.3">
      <c r="A2651">
        <v>2021</v>
      </c>
      <c r="B2651" t="s">
        <v>35</v>
      </c>
      <c r="C2651" t="s">
        <v>147</v>
      </c>
      <c r="D2651" s="1" t="s">
        <v>26</v>
      </c>
      <c r="E2651" s="4">
        <v>163.6</v>
      </c>
      <c r="F2651" s="4">
        <v>159.5</v>
      </c>
      <c r="G2651" s="4">
        <v>156.6</v>
      </c>
      <c r="H2651" s="1" t="s">
        <v>26</v>
      </c>
      <c r="K2651">
        <v>2015</v>
      </c>
      <c r="L2651" t="s">
        <v>38</v>
      </c>
      <c r="M2651" t="s">
        <v>86</v>
      </c>
      <c r="N2651" t="s">
        <v>27</v>
      </c>
      <c r="O2651" t="s">
        <v>192</v>
      </c>
      <c r="P2651" s="1" t="s">
        <v>30</v>
      </c>
      <c r="Q2651">
        <v>112.3</v>
      </c>
    </row>
    <row r="2652" spans="1:17" x14ac:dyDescent="0.3">
      <c r="A2652">
        <v>2021</v>
      </c>
      <c r="B2652" t="s">
        <v>35</v>
      </c>
      <c r="C2652" t="s">
        <v>147</v>
      </c>
      <c r="D2652" s="1" t="s">
        <v>5</v>
      </c>
      <c r="E2652" s="4">
        <v>168</v>
      </c>
      <c r="F2652" s="4">
        <v>168.7</v>
      </c>
      <c r="G2652" s="4">
        <v>169.9</v>
      </c>
      <c r="H2652" s="1" t="s">
        <v>188</v>
      </c>
      <c r="K2652">
        <v>2015</v>
      </c>
      <c r="L2652" t="s">
        <v>38</v>
      </c>
      <c r="M2652" t="s">
        <v>86</v>
      </c>
      <c r="N2652" t="s">
        <v>27</v>
      </c>
      <c r="O2652" t="s">
        <v>192</v>
      </c>
      <c r="P2652" s="1" t="s">
        <v>34</v>
      </c>
      <c r="Q2652">
        <v>112.3</v>
      </c>
    </row>
    <row r="2653" spans="1:17" x14ac:dyDescent="0.3">
      <c r="A2653">
        <v>2021</v>
      </c>
      <c r="B2653" t="s">
        <v>35</v>
      </c>
      <c r="C2653" t="s">
        <v>147</v>
      </c>
      <c r="D2653" s="1" t="s">
        <v>15</v>
      </c>
      <c r="E2653" s="4">
        <v>154.69999999999999</v>
      </c>
      <c r="F2653" s="4">
        <v>156.9</v>
      </c>
      <c r="G2653" s="4">
        <v>160.80000000000001</v>
      </c>
      <c r="H2653" s="1" t="s">
        <v>188</v>
      </c>
      <c r="K2653">
        <v>2015</v>
      </c>
      <c r="L2653" t="s">
        <v>38</v>
      </c>
      <c r="M2653" t="s">
        <v>86</v>
      </c>
      <c r="N2653" t="s">
        <v>27</v>
      </c>
      <c r="O2653" t="s">
        <v>192</v>
      </c>
      <c r="P2653" s="1" t="s">
        <v>33</v>
      </c>
      <c r="Q2653">
        <v>112.4</v>
      </c>
    </row>
    <row r="2654" spans="1:17" x14ac:dyDescent="0.3">
      <c r="A2654">
        <v>2021</v>
      </c>
      <c r="B2654" t="s">
        <v>35</v>
      </c>
      <c r="C2654" t="s">
        <v>147</v>
      </c>
      <c r="D2654" s="1" t="s">
        <v>18</v>
      </c>
      <c r="E2654" s="4">
        <v>153.9</v>
      </c>
      <c r="F2654" s="4">
        <v>147.4</v>
      </c>
      <c r="G2654" s="4">
        <v>138.19999999999999</v>
      </c>
      <c r="H2654" s="1" t="s">
        <v>189</v>
      </c>
      <c r="K2654">
        <v>2015</v>
      </c>
      <c r="L2654" t="s">
        <v>38</v>
      </c>
      <c r="M2654" t="s">
        <v>86</v>
      </c>
      <c r="N2654" t="s">
        <v>14</v>
      </c>
      <c r="O2654" t="s">
        <v>188</v>
      </c>
      <c r="P2654" s="1" t="s">
        <v>30</v>
      </c>
      <c r="Q2654">
        <v>129.80000000000001</v>
      </c>
    </row>
    <row r="2655" spans="1:17" x14ac:dyDescent="0.3">
      <c r="A2655">
        <v>2021</v>
      </c>
      <c r="B2655" t="s">
        <v>35</v>
      </c>
      <c r="C2655" t="s">
        <v>147</v>
      </c>
      <c r="D2655" s="1" t="s">
        <v>8</v>
      </c>
      <c r="E2655" s="4">
        <v>147.80000000000001</v>
      </c>
      <c r="F2655" s="4">
        <v>150.69999999999999</v>
      </c>
      <c r="G2655" s="4">
        <v>154</v>
      </c>
      <c r="H2655" s="1" t="s">
        <v>188</v>
      </c>
      <c r="K2655">
        <v>2015</v>
      </c>
      <c r="L2655" t="s">
        <v>38</v>
      </c>
      <c r="M2655" t="s">
        <v>86</v>
      </c>
      <c r="N2655" t="s">
        <v>14</v>
      </c>
      <c r="O2655" t="s">
        <v>188</v>
      </c>
      <c r="P2655" s="1" t="s">
        <v>34</v>
      </c>
      <c r="Q2655">
        <v>129.80000000000001</v>
      </c>
    </row>
    <row r="2656" spans="1:17" x14ac:dyDescent="0.3">
      <c r="A2656">
        <v>2021</v>
      </c>
      <c r="B2656" t="s">
        <v>35</v>
      </c>
      <c r="C2656" t="s">
        <v>147</v>
      </c>
      <c r="D2656" s="1" t="s">
        <v>21</v>
      </c>
      <c r="E2656" s="4">
        <v>154.4</v>
      </c>
      <c r="F2656" s="4">
        <v>152.4</v>
      </c>
      <c r="G2656" s="4">
        <v>149.1</v>
      </c>
      <c r="H2656" s="1" t="s">
        <v>190</v>
      </c>
      <c r="K2656">
        <v>2015</v>
      </c>
      <c r="L2656" t="s">
        <v>38</v>
      </c>
      <c r="M2656" t="s">
        <v>86</v>
      </c>
      <c r="N2656" t="s">
        <v>14</v>
      </c>
      <c r="O2656" t="s">
        <v>188</v>
      </c>
      <c r="P2656" s="1" t="s">
        <v>33</v>
      </c>
      <c r="Q2656">
        <v>129.9</v>
      </c>
    </row>
    <row r="2657" spans="1:17" x14ac:dyDescent="0.3">
      <c r="A2657">
        <v>2021</v>
      </c>
      <c r="B2657" t="s">
        <v>35</v>
      </c>
      <c r="C2657" t="s">
        <v>147</v>
      </c>
      <c r="D2657" s="1" t="s">
        <v>29</v>
      </c>
      <c r="E2657" s="4">
        <v>156.69999999999999</v>
      </c>
      <c r="F2657" s="4">
        <v>156.6</v>
      </c>
      <c r="G2657" s="4">
        <v>156.5</v>
      </c>
      <c r="H2657" s="1" t="s">
        <v>206</v>
      </c>
      <c r="K2657">
        <v>2015</v>
      </c>
      <c r="L2657" t="s">
        <v>38</v>
      </c>
      <c r="M2657" t="s">
        <v>86</v>
      </c>
      <c r="N2657" t="s">
        <v>10</v>
      </c>
      <c r="O2657" t="s">
        <v>188</v>
      </c>
      <c r="P2657" s="1" t="s">
        <v>30</v>
      </c>
      <c r="Q2657">
        <v>124.3</v>
      </c>
    </row>
    <row r="2658" spans="1:17" x14ac:dyDescent="0.3">
      <c r="A2658">
        <v>2021</v>
      </c>
      <c r="B2658" t="s">
        <v>35</v>
      </c>
      <c r="C2658" t="s">
        <v>147</v>
      </c>
      <c r="D2658" s="1" t="s">
        <v>23</v>
      </c>
      <c r="E2658" s="4">
        <v>164.3</v>
      </c>
      <c r="F2658" s="4">
        <v>161.30000000000001</v>
      </c>
      <c r="G2658" s="4">
        <v>156.30000000000001</v>
      </c>
      <c r="H2658" s="1" t="s">
        <v>23</v>
      </c>
      <c r="K2658">
        <v>2015</v>
      </c>
      <c r="L2658" t="s">
        <v>38</v>
      </c>
      <c r="M2658" t="s">
        <v>86</v>
      </c>
      <c r="N2658" t="s">
        <v>10</v>
      </c>
      <c r="O2658" t="s">
        <v>188</v>
      </c>
      <c r="P2658" s="1" t="s">
        <v>34</v>
      </c>
      <c r="Q2658">
        <v>130.5</v>
      </c>
    </row>
    <row r="2659" spans="1:17" x14ac:dyDescent="0.3">
      <c r="A2659">
        <v>2021</v>
      </c>
      <c r="B2659" t="s">
        <v>35</v>
      </c>
      <c r="C2659" t="s">
        <v>147</v>
      </c>
      <c r="D2659" s="1" t="s">
        <v>22</v>
      </c>
      <c r="E2659" s="4">
        <v>154.80000000000001</v>
      </c>
      <c r="F2659" s="4">
        <v>150.9</v>
      </c>
      <c r="G2659" s="4">
        <v>146.5</v>
      </c>
      <c r="H2659" s="1" t="s">
        <v>20</v>
      </c>
      <c r="K2659">
        <v>2015</v>
      </c>
      <c r="L2659" t="s">
        <v>38</v>
      </c>
      <c r="M2659" t="s">
        <v>86</v>
      </c>
      <c r="N2659" t="s">
        <v>10</v>
      </c>
      <c r="O2659" t="s">
        <v>188</v>
      </c>
      <c r="P2659" s="1" t="s">
        <v>33</v>
      </c>
      <c r="Q2659">
        <v>142.6</v>
      </c>
    </row>
    <row r="2660" spans="1:17" x14ac:dyDescent="0.3">
      <c r="A2660">
        <v>2021</v>
      </c>
      <c r="B2660" t="s">
        <v>35</v>
      </c>
      <c r="C2660" t="s">
        <v>147</v>
      </c>
      <c r="D2660" s="1" t="s">
        <v>20</v>
      </c>
      <c r="E2660" s="4">
        <v>0</v>
      </c>
      <c r="F2660" s="4">
        <v>159.80000000000001</v>
      </c>
      <c r="G2660" s="4">
        <v>159.80000000000001</v>
      </c>
      <c r="H2660" s="1" t="s">
        <v>20</v>
      </c>
      <c r="K2660">
        <v>2015</v>
      </c>
      <c r="L2660" t="s">
        <v>38</v>
      </c>
      <c r="M2660" t="s">
        <v>86</v>
      </c>
      <c r="N2660" t="s">
        <v>25</v>
      </c>
      <c r="O2660" t="s">
        <v>195</v>
      </c>
      <c r="P2660" s="1" t="s">
        <v>30</v>
      </c>
      <c r="Q2660">
        <v>116.7</v>
      </c>
    </row>
    <row r="2661" spans="1:17" x14ac:dyDescent="0.3">
      <c r="A2661">
        <v>2021</v>
      </c>
      <c r="B2661" t="s">
        <v>35</v>
      </c>
      <c r="C2661" t="s">
        <v>147</v>
      </c>
      <c r="D2661" s="1" t="s">
        <v>4</v>
      </c>
      <c r="E2661" s="4">
        <v>184</v>
      </c>
      <c r="F2661" s="4">
        <v>186.5</v>
      </c>
      <c r="G2661" s="4">
        <v>191.2</v>
      </c>
      <c r="H2661" s="1" t="s">
        <v>188</v>
      </c>
      <c r="K2661">
        <v>2015</v>
      </c>
      <c r="L2661" t="s">
        <v>38</v>
      </c>
      <c r="M2661" t="s">
        <v>86</v>
      </c>
      <c r="N2661" t="s">
        <v>25</v>
      </c>
      <c r="O2661" t="s">
        <v>195</v>
      </c>
      <c r="P2661" s="1" t="s">
        <v>34</v>
      </c>
      <c r="Q2661">
        <v>116.3</v>
      </c>
    </row>
    <row r="2662" spans="1:17" x14ac:dyDescent="0.3">
      <c r="A2662">
        <v>2021</v>
      </c>
      <c r="B2662" t="s">
        <v>35</v>
      </c>
      <c r="C2662" t="s">
        <v>147</v>
      </c>
      <c r="D2662" s="1" t="s">
        <v>6</v>
      </c>
      <c r="E2662" s="4">
        <v>154.4</v>
      </c>
      <c r="F2662" s="4">
        <v>154.69999999999999</v>
      </c>
      <c r="G2662" s="4">
        <v>155.1</v>
      </c>
      <c r="H2662" s="1" t="s">
        <v>188</v>
      </c>
      <c r="K2662">
        <v>2015</v>
      </c>
      <c r="L2662" t="s">
        <v>38</v>
      </c>
      <c r="M2662" t="s">
        <v>86</v>
      </c>
      <c r="N2662" t="s">
        <v>25</v>
      </c>
      <c r="O2662" t="s">
        <v>195</v>
      </c>
      <c r="P2662" s="1" t="s">
        <v>33</v>
      </c>
      <c r="Q2662">
        <v>116</v>
      </c>
    </row>
    <row r="2663" spans="1:17" x14ac:dyDescent="0.3">
      <c r="A2663">
        <v>2021</v>
      </c>
      <c r="B2663" t="s">
        <v>35</v>
      </c>
      <c r="C2663" t="s">
        <v>147</v>
      </c>
      <c r="D2663" s="1" t="s">
        <v>28</v>
      </c>
      <c r="E2663" s="4">
        <v>157.19999999999999</v>
      </c>
      <c r="F2663" s="4">
        <v>153.4</v>
      </c>
      <c r="G2663" s="4">
        <v>149.30000000000001</v>
      </c>
      <c r="H2663" s="1" t="s">
        <v>192</v>
      </c>
      <c r="K2663">
        <v>2015</v>
      </c>
      <c r="L2663" t="s">
        <v>38</v>
      </c>
      <c r="M2663" t="s">
        <v>86</v>
      </c>
      <c r="N2663" t="s">
        <v>12</v>
      </c>
      <c r="O2663" t="s">
        <v>188</v>
      </c>
      <c r="P2663" s="1" t="s">
        <v>30</v>
      </c>
      <c r="Q2663">
        <v>120.7</v>
      </c>
    </row>
    <row r="2664" spans="1:17" x14ac:dyDescent="0.3">
      <c r="A2664">
        <v>2021</v>
      </c>
      <c r="B2664" t="s">
        <v>35</v>
      </c>
      <c r="C2664" t="s">
        <v>147</v>
      </c>
      <c r="D2664" s="1" t="s">
        <v>13</v>
      </c>
      <c r="E2664" s="4">
        <v>160</v>
      </c>
      <c r="F2664" s="4">
        <v>155.5</v>
      </c>
      <c r="G2664" s="4">
        <v>149.19999999999999</v>
      </c>
      <c r="H2664" s="1" t="s">
        <v>188</v>
      </c>
      <c r="K2664">
        <v>2015</v>
      </c>
      <c r="L2664" t="s">
        <v>38</v>
      </c>
      <c r="M2664" t="s">
        <v>86</v>
      </c>
      <c r="N2664" t="s">
        <v>12</v>
      </c>
      <c r="O2664" t="s">
        <v>188</v>
      </c>
      <c r="P2664" s="1" t="s">
        <v>34</v>
      </c>
      <c r="Q2664">
        <v>123.4</v>
      </c>
    </row>
    <row r="2665" spans="1:17" x14ac:dyDescent="0.3">
      <c r="A2665">
        <v>2021</v>
      </c>
      <c r="B2665" t="s">
        <v>35</v>
      </c>
      <c r="C2665" t="s">
        <v>147</v>
      </c>
      <c r="D2665" s="1" t="s">
        <v>7</v>
      </c>
      <c r="E2665" s="4">
        <v>163</v>
      </c>
      <c r="F2665" s="4">
        <v>158.69999999999999</v>
      </c>
      <c r="G2665" s="4">
        <v>151.4</v>
      </c>
      <c r="H2665" s="1" t="s">
        <v>188</v>
      </c>
      <c r="K2665">
        <v>2015</v>
      </c>
      <c r="L2665" t="s">
        <v>38</v>
      </c>
      <c r="M2665" t="s">
        <v>86</v>
      </c>
      <c r="N2665" t="s">
        <v>12</v>
      </c>
      <c r="O2665" t="s">
        <v>188</v>
      </c>
      <c r="P2665" s="1" t="s">
        <v>33</v>
      </c>
      <c r="Q2665">
        <v>128.80000000000001</v>
      </c>
    </row>
    <row r="2666" spans="1:17" x14ac:dyDescent="0.3">
      <c r="A2666">
        <v>2021</v>
      </c>
      <c r="B2666" t="s">
        <v>35</v>
      </c>
      <c r="C2666" t="s">
        <v>147</v>
      </c>
      <c r="D2666" s="1" t="s">
        <v>16</v>
      </c>
      <c r="E2666" s="4">
        <v>186.5</v>
      </c>
      <c r="F2666" s="4">
        <v>188.3</v>
      </c>
      <c r="G2666" s="4">
        <v>193.3</v>
      </c>
      <c r="H2666" s="1" t="s">
        <v>192</v>
      </c>
      <c r="K2666">
        <v>2015</v>
      </c>
      <c r="L2666" t="s">
        <v>38</v>
      </c>
      <c r="M2666" t="s">
        <v>86</v>
      </c>
      <c r="N2666" t="s">
        <v>11</v>
      </c>
      <c r="O2666" t="s">
        <v>188</v>
      </c>
      <c r="P2666" s="1" t="s">
        <v>30</v>
      </c>
      <c r="Q2666">
        <v>97.6</v>
      </c>
    </row>
    <row r="2667" spans="1:17" x14ac:dyDescent="0.3">
      <c r="A2667">
        <v>2021</v>
      </c>
      <c r="B2667" t="s">
        <v>35</v>
      </c>
      <c r="C2667" t="s">
        <v>147</v>
      </c>
      <c r="D2667" s="1" t="s">
        <v>27</v>
      </c>
      <c r="E2667" s="4">
        <v>155.19999999999999</v>
      </c>
      <c r="F2667" s="4">
        <v>155.80000000000001</v>
      </c>
      <c r="G2667" s="4">
        <v>156.69999999999999</v>
      </c>
      <c r="H2667" s="1" t="s">
        <v>192</v>
      </c>
      <c r="K2667">
        <v>2015</v>
      </c>
      <c r="L2667" t="s">
        <v>38</v>
      </c>
      <c r="M2667" t="s">
        <v>86</v>
      </c>
      <c r="N2667" t="s">
        <v>11</v>
      </c>
      <c r="O2667" t="s">
        <v>188</v>
      </c>
      <c r="P2667" s="1" t="s">
        <v>34</v>
      </c>
      <c r="Q2667">
        <v>95.3</v>
      </c>
    </row>
    <row r="2668" spans="1:17" x14ac:dyDescent="0.3">
      <c r="A2668">
        <v>2021</v>
      </c>
      <c r="B2668" t="s">
        <v>35</v>
      </c>
      <c r="C2668" t="s">
        <v>147</v>
      </c>
      <c r="D2668" s="1" t="s">
        <v>14</v>
      </c>
      <c r="E2668" s="4">
        <v>165.8</v>
      </c>
      <c r="F2668" s="4">
        <v>167.5</v>
      </c>
      <c r="G2668" s="4">
        <v>169.4</v>
      </c>
      <c r="H2668" s="1" t="s">
        <v>188</v>
      </c>
      <c r="K2668">
        <v>2015</v>
      </c>
      <c r="L2668" t="s">
        <v>38</v>
      </c>
      <c r="M2668" t="s">
        <v>86</v>
      </c>
      <c r="N2668" t="s">
        <v>11</v>
      </c>
      <c r="O2668" t="s">
        <v>188</v>
      </c>
      <c r="P2668" s="1" t="s">
        <v>33</v>
      </c>
      <c r="Q2668">
        <v>90.8</v>
      </c>
    </row>
    <row r="2669" spans="1:17" x14ac:dyDescent="0.3">
      <c r="A2669">
        <v>2021</v>
      </c>
      <c r="B2669" t="s">
        <v>35</v>
      </c>
      <c r="C2669" t="s">
        <v>147</v>
      </c>
      <c r="D2669" s="1" t="s">
        <v>10</v>
      </c>
      <c r="E2669" s="4">
        <v>158.30000000000001</v>
      </c>
      <c r="F2669" s="4">
        <v>158.80000000000001</v>
      </c>
      <c r="G2669" s="4">
        <v>159.80000000000001</v>
      </c>
      <c r="H2669" s="1" t="s">
        <v>188</v>
      </c>
      <c r="K2669">
        <v>2015</v>
      </c>
      <c r="L2669" t="s">
        <v>38</v>
      </c>
      <c r="M2669" t="s">
        <v>86</v>
      </c>
      <c r="N2669" t="s">
        <v>24</v>
      </c>
      <c r="O2669" t="s">
        <v>191</v>
      </c>
      <c r="P2669" s="1" t="s">
        <v>30</v>
      </c>
      <c r="Q2669">
        <v>113.3</v>
      </c>
    </row>
    <row r="2670" spans="1:17" x14ac:dyDescent="0.3">
      <c r="A2670">
        <v>2021</v>
      </c>
      <c r="B2670" t="s">
        <v>35</v>
      </c>
      <c r="C2670" t="s">
        <v>147</v>
      </c>
      <c r="D2670" s="1" t="s">
        <v>25</v>
      </c>
      <c r="E2670" s="4">
        <v>157</v>
      </c>
      <c r="F2670" s="4">
        <v>151.5</v>
      </c>
      <c r="G2670" s="4">
        <v>147.30000000000001</v>
      </c>
      <c r="H2670" s="1" t="s">
        <v>195</v>
      </c>
      <c r="K2670">
        <v>2015</v>
      </c>
      <c r="L2670" t="s">
        <v>38</v>
      </c>
      <c r="M2670" t="s">
        <v>86</v>
      </c>
      <c r="N2670" t="s">
        <v>24</v>
      </c>
      <c r="O2670" t="s">
        <v>191</v>
      </c>
      <c r="P2670" s="1" t="s">
        <v>34</v>
      </c>
      <c r="Q2670">
        <v>112</v>
      </c>
    </row>
    <row r="2671" spans="1:17" x14ac:dyDescent="0.3">
      <c r="A2671">
        <v>2021</v>
      </c>
      <c r="B2671" t="s">
        <v>35</v>
      </c>
      <c r="C2671" t="s">
        <v>147</v>
      </c>
      <c r="D2671" s="1" t="s">
        <v>12</v>
      </c>
      <c r="E2671" s="4">
        <v>165</v>
      </c>
      <c r="F2671" s="4">
        <v>164.2</v>
      </c>
      <c r="G2671" s="4">
        <v>162.5</v>
      </c>
      <c r="H2671" s="1" t="s">
        <v>188</v>
      </c>
      <c r="K2671">
        <v>2015</v>
      </c>
      <c r="L2671" t="s">
        <v>38</v>
      </c>
      <c r="M2671" t="s">
        <v>86</v>
      </c>
      <c r="N2671" t="s">
        <v>24</v>
      </c>
      <c r="O2671" t="s">
        <v>191</v>
      </c>
      <c r="P2671" s="1" t="s">
        <v>33</v>
      </c>
      <c r="Q2671">
        <v>110.8</v>
      </c>
    </row>
    <row r="2672" spans="1:17" x14ac:dyDescent="0.3">
      <c r="A2672">
        <v>2021</v>
      </c>
      <c r="B2672" t="s">
        <v>35</v>
      </c>
      <c r="C2672" t="s">
        <v>147</v>
      </c>
      <c r="D2672" s="1" t="s">
        <v>11</v>
      </c>
      <c r="E2672" s="4">
        <v>111.8</v>
      </c>
      <c r="F2672" s="4">
        <v>112.8</v>
      </c>
      <c r="G2672" s="4">
        <v>114.9</v>
      </c>
      <c r="H2672" s="1" t="s">
        <v>188</v>
      </c>
      <c r="K2672">
        <v>2015</v>
      </c>
      <c r="L2672" t="s">
        <v>38</v>
      </c>
      <c r="M2672" t="s">
        <v>86</v>
      </c>
      <c r="N2672" t="s">
        <v>9</v>
      </c>
      <c r="O2672" t="s">
        <v>188</v>
      </c>
      <c r="P2672" s="1" t="s">
        <v>30</v>
      </c>
      <c r="Q2672">
        <v>128.5</v>
      </c>
    </row>
    <row r="2673" spans="1:17" x14ac:dyDescent="0.3">
      <c r="A2673">
        <v>2021</v>
      </c>
      <c r="B2673" t="s">
        <v>35</v>
      </c>
      <c r="C2673" t="s">
        <v>147</v>
      </c>
      <c r="D2673" s="1" t="s">
        <v>24</v>
      </c>
      <c r="E2673" s="4">
        <v>150.19999999999999</v>
      </c>
      <c r="F2673" s="4">
        <v>145.1</v>
      </c>
      <c r="G2673" s="4">
        <v>140.5</v>
      </c>
      <c r="H2673" s="1" t="s">
        <v>191</v>
      </c>
      <c r="K2673">
        <v>2015</v>
      </c>
      <c r="L2673" t="s">
        <v>38</v>
      </c>
      <c r="M2673" t="s">
        <v>86</v>
      </c>
      <c r="N2673" t="s">
        <v>9</v>
      </c>
      <c r="O2673" t="s">
        <v>188</v>
      </c>
      <c r="P2673" s="1" t="s">
        <v>34</v>
      </c>
      <c r="Q2673">
        <v>130.9</v>
      </c>
    </row>
    <row r="2674" spans="1:17" x14ac:dyDescent="0.3">
      <c r="A2674">
        <v>2021</v>
      </c>
      <c r="B2674" t="s">
        <v>35</v>
      </c>
      <c r="C2674" t="s">
        <v>147</v>
      </c>
      <c r="D2674" s="1" t="s">
        <v>9</v>
      </c>
      <c r="E2674" s="4">
        <v>149.69999999999999</v>
      </c>
      <c r="F2674" s="4">
        <v>160</v>
      </c>
      <c r="G2674" s="4">
        <v>180.2</v>
      </c>
      <c r="H2674" s="1" t="s">
        <v>188</v>
      </c>
      <c r="K2674">
        <v>2015</v>
      </c>
      <c r="L2674" t="s">
        <v>38</v>
      </c>
      <c r="M2674" t="s">
        <v>86</v>
      </c>
      <c r="N2674" t="s">
        <v>9</v>
      </c>
      <c r="O2674" t="s">
        <v>188</v>
      </c>
      <c r="P2674" s="1" t="s">
        <v>33</v>
      </c>
      <c r="Q2674">
        <v>135.6</v>
      </c>
    </row>
    <row r="2675" spans="1:17" x14ac:dyDescent="0.3">
      <c r="A2675">
        <v>2021</v>
      </c>
      <c r="B2675" t="s">
        <v>31</v>
      </c>
      <c r="C2675" t="s">
        <v>148</v>
      </c>
      <c r="D2675" s="1" t="s">
        <v>3</v>
      </c>
      <c r="E2675" s="4">
        <v>143.4</v>
      </c>
      <c r="F2675" s="4">
        <v>144.9</v>
      </c>
      <c r="G2675" s="4">
        <v>148</v>
      </c>
      <c r="H2675" s="1" t="s">
        <v>188</v>
      </c>
      <c r="K2675">
        <v>2015</v>
      </c>
      <c r="L2675" t="s">
        <v>44</v>
      </c>
      <c r="M2675" t="s">
        <v>87</v>
      </c>
      <c r="N2675" t="s">
        <v>3</v>
      </c>
      <c r="O2675" t="s">
        <v>188</v>
      </c>
      <c r="P2675" s="1" t="s">
        <v>30</v>
      </c>
      <c r="Q2675">
        <v>126.1</v>
      </c>
    </row>
    <row r="2676" spans="1:17" x14ac:dyDescent="0.3">
      <c r="A2676">
        <v>2021</v>
      </c>
      <c r="B2676" t="s">
        <v>31</v>
      </c>
      <c r="C2676" t="s">
        <v>148</v>
      </c>
      <c r="D2676" s="1" t="s">
        <v>17</v>
      </c>
      <c r="E2676" s="4">
        <v>157.5</v>
      </c>
      <c r="F2676" s="4">
        <v>155.5</v>
      </c>
      <c r="G2676" s="4">
        <v>152.5</v>
      </c>
      <c r="H2676" s="1" t="s">
        <v>189</v>
      </c>
      <c r="K2676">
        <v>2015</v>
      </c>
      <c r="L2676" t="s">
        <v>44</v>
      </c>
      <c r="M2676" t="s">
        <v>87</v>
      </c>
      <c r="N2676" t="s">
        <v>3</v>
      </c>
      <c r="O2676" t="s">
        <v>188</v>
      </c>
      <c r="P2676" s="1" t="s">
        <v>34</v>
      </c>
      <c r="Q2676">
        <v>125.4</v>
      </c>
    </row>
    <row r="2677" spans="1:17" x14ac:dyDescent="0.3">
      <c r="A2677">
        <v>2021</v>
      </c>
      <c r="B2677" t="s">
        <v>31</v>
      </c>
      <c r="C2677" t="s">
        <v>148</v>
      </c>
      <c r="D2677" s="1" t="s">
        <v>19</v>
      </c>
      <c r="E2677" s="4">
        <v>156.80000000000001</v>
      </c>
      <c r="F2677" s="4">
        <v>154.19999999999999</v>
      </c>
      <c r="G2677" s="4">
        <v>150.19999999999999</v>
      </c>
      <c r="H2677" s="1" t="s">
        <v>189</v>
      </c>
      <c r="K2677">
        <v>2015</v>
      </c>
      <c r="L2677" t="s">
        <v>44</v>
      </c>
      <c r="M2677" t="s">
        <v>87</v>
      </c>
      <c r="N2677" t="s">
        <v>3</v>
      </c>
      <c r="O2677" t="s">
        <v>188</v>
      </c>
      <c r="P2677" s="1" t="s">
        <v>33</v>
      </c>
      <c r="Q2677">
        <v>124</v>
      </c>
    </row>
    <row r="2678" spans="1:17" x14ac:dyDescent="0.3">
      <c r="A2678">
        <v>2021</v>
      </c>
      <c r="B2678" t="s">
        <v>31</v>
      </c>
      <c r="C2678" t="s">
        <v>148</v>
      </c>
      <c r="D2678" s="1" t="s">
        <v>26</v>
      </c>
      <c r="E2678" s="4">
        <v>163.5</v>
      </c>
      <c r="F2678" s="4">
        <v>159.19999999999999</v>
      </c>
      <c r="G2678" s="4">
        <v>156.1</v>
      </c>
      <c r="H2678" s="1" t="s">
        <v>26</v>
      </c>
      <c r="K2678">
        <v>2015</v>
      </c>
      <c r="L2678" t="s">
        <v>44</v>
      </c>
      <c r="M2678" t="s">
        <v>87</v>
      </c>
      <c r="N2678" t="s">
        <v>17</v>
      </c>
      <c r="O2678" t="s">
        <v>189</v>
      </c>
      <c r="P2678" s="1" t="s">
        <v>30</v>
      </c>
      <c r="Q2678">
        <v>132.1</v>
      </c>
    </row>
    <row r="2679" spans="1:17" x14ac:dyDescent="0.3">
      <c r="A2679">
        <v>2021</v>
      </c>
      <c r="B2679" t="s">
        <v>31</v>
      </c>
      <c r="C2679" t="s">
        <v>148</v>
      </c>
      <c r="D2679" s="1" t="s">
        <v>5</v>
      </c>
      <c r="E2679" s="4">
        <v>173.4</v>
      </c>
      <c r="F2679" s="4">
        <v>175.3</v>
      </c>
      <c r="G2679" s="4">
        <v>178.4</v>
      </c>
      <c r="H2679" s="1" t="s">
        <v>188</v>
      </c>
      <c r="K2679">
        <v>2015</v>
      </c>
      <c r="L2679" t="s">
        <v>44</v>
      </c>
      <c r="M2679" t="s">
        <v>87</v>
      </c>
      <c r="N2679" t="s">
        <v>17</v>
      </c>
      <c r="O2679" t="s">
        <v>189</v>
      </c>
      <c r="P2679" s="1" t="s">
        <v>34</v>
      </c>
      <c r="Q2679">
        <v>129.30000000000001</v>
      </c>
    </row>
    <row r="2680" spans="1:17" x14ac:dyDescent="0.3">
      <c r="A2680">
        <v>2021</v>
      </c>
      <c r="B2680" t="s">
        <v>31</v>
      </c>
      <c r="C2680" t="s">
        <v>148</v>
      </c>
      <c r="D2680" s="1" t="s">
        <v>15</v>
      </c>
      <c r="E2680" s="4">
        <v>159.6</v>
      </c>
      <c r="F2680" s="4">
        <v>161</v>
      </c>
      <c r="G2680" s="4">
        <v>163.4</v>
      </c>
      <c r="H2680" s="1" t="s">
        <v>188</v>
      </c>
      <c r="K2680">
        <v>2015</v>
      </c>
      <c r="L2680" t="s">
        <v>44</v>
      </c>
      <c r="M2680" t="s">
        <v>87</v>
      </c>
      <c r="N2680" t="s">
        <v>17</v>
      </c>
      <c r="O2680" t="s">
        <v>189</v>
      </c>
      <c r="P2680" s="1" t="s">
        <v>33</v>
      </c>
      <c r="Q2680">
        <v>125</v>
      </c>
    </row>
    <row r="2681" spans="1:17" x14ac:dyDescent="0.3">
      <c r="A2681">
        <v>2021</v>
      </c>
      <c r="B2681" t="s">
        <v>31</v>
      </c>
      <c r="C2681" t="s">
        <v>148</v>
      </c>
      <c r="D2681" s="1" t="s">
        <v>18</v>
      </c>
      <c r="E2681" s="4">
        <v>152.4</v>
      </c>
      <c r="F2681" s="4">
        <v>146.1</v>
      </c>
      <c r="G2681" s="4">
        <v>137.30000000000001</v>
      </c>
      <c r="H2681" s="1" t="s">
        <v>189</v>
      </c>
      <c r="K2681">
        <v>2015</v>
      </c>
      <c r="L2681" t="s">
        <v>44</v>
      </c>
      <c r="M2681" t="s">
        <v>87</v>
      </c>
      <c r="N2681" t="s">
        <v>19</v>
      </c>
      <c r="O2681" t="s">
        <v>189</v>
      </c>
      <c r="P2681" s="1" t="s">
        <v>30</v>
      </c>
      <c r="Q2681">
        <v>131.5</v>
      </c>
    </row>
    <row r="2682" spans="1:17" x14ac:dyDescent="0.3">
      <c r="A2682">
        <v>2021</v>
      </c>
      <c r="B2682" t="s">
        <v>31</v>
      </c>
      <c r="C2682" t="s">
        <v>148</v>
      </c>
      <c r="D2682" s="1" t="s">
        <v>8</v>
      </c>
      <c r="E2682" s="4">
        <v>147</v>
      </c>
      <c r="F2682" s="4">
        <v>149.6</v>
      </c>
      <c r="G2682" s="4">
        <v>152.6</v>
      </c>
      <c r="H2682" s="1" t="s">
        <v>188</v>
      </c>
      <c r="K2682">
        <v>2015</v>
      </c>
      <c r="L2682" t="s">
        <v>44</v>
      </c>
      <c r="M2682" t="s">
        <v>87</v>
      </c>
      <c r="N2682" t="s">
        <v>19</v>
      </c>
      <c r="O2682" t="s">
        <v>189</v>
      </c>
      <c r="P2682" s="1" t="s">
        <v>34</v>
      </c>
      <c r="Q2682">
        <v>128.6</v>
      </c>
    </row>
    <row r="2683" spans="1:17" x14ac:dyDescent="0.3">
      <c r="A2683">
        <v>2021</v>
      </c>
      <c r="B2683" t="s">
        <v>31</v>
      </c>
      <c r="C2683" t="s">
        <v>148</v>
      </c>
      <c r="D2683" s="1" t="s">
        <v>21</v>
      </c>
      <c r="E2683" s="4">
        <v>150.9</v>
      </c>
      <c r="F2683" s="4">
        <v>147.9</v>
      </c>
      <c r="G2683" s="4">
        <v>142.9</v>
      </c>
      <c r="H2683" s="1" t="s">
        <v>190</v>
      </c>
      <c r="K2683">
        <v>2015</v>
      </c>
      <c r="L2683" t="s">
        <v>44</v>
      </c>
      <c r="M2683" t="s">
        <v>87</v>
      </c>
      <c r="N2683" t="s">
        <v>19</v>
      </c>
      <c r="O2683" t="s">
        <v>189</v>
      </c>
      <c r="P2683" s="1" t="s">
        <v>33</v>
      </c>
      <c r="Q2683">
        <v>124.2</v>
      </c>
    </row>
    <row r="2684" spans="1:17" x14ac:dyDescent="0.3">
      <c r="A2684">
        <v>2021</v>
      </c>
      <c r="B2684" t="s">
        <v>31</v>
      </c>
      <c r="C2684" t="s">
        <v>148</v>
      </c>
      <c r="D2684" s="1" t="s">
        <v>29</v>
      </c>
      <c r="E2684" s="4">
        <v>158.5</v>
      </c>
      <c r="F2684" s="4">
        <v>157.30000000000001</v>
      </c>
      <c r="G2684" s="4">
        <v>156</v>
      </c>
      <c r="H2684" s="1" t="s">
        <v>206</v>
      </c>
      <c r="K2684">
        <v>2015</v>
      </c>
      <c r="L2684" t="s">
        <v>44</v>
      </c>
      <c r="M2684" t="s">
        <v>87</v>
      </c>
      <c r="N2684" t="s">
        <v>26</v>
      </c>
      <c r="O2684" t="s">
        <v>26</v>
      </c>
      <c r="P2684" s="1" t="s">
        <v>30</v>
      </c>
      <c r="Q2684">
        <v>125.8</v>
      </c>
    </row>
    <row r="2685" spans="1:17" x14ac:dyDescent="0.3">
      <c r="A2685">
        <v>2021</v>
      </c>
      <c r="B2685" t="s">
        <v>31</v>
      </c>
      <c r="C2685" t="s">
        <v>148</v>
      </c>
      <c r="D2685" s="1" t="s">
        <v>23</v>
      </c>
      <c r="E2685" s="4">
        <v>162.5</v>
      </c>
      <c r="F2685" s="4">
        <v>159.30000000000001</v>
      </c>
      <c r="G2685" s="4">
        <v>154.1</v>
      </c>
      <c r="H2685" s="1" t="s">
        <v>23</v>
      </c>
      <c r="K2685">
        <v>2015</v>
      </c>
      <c r="L2685" t="s">
        <v>44</v>
      </c>
      <c r="M2685" t="s">
        <v>87</v>
      </c>
      <c r="N2685" t="s">
        <v>26</v>
      </c>
      <c r="O2685" t="s">
        <v>26</v>
      </c>
      <c r="P2685" s="1" t="s">
        <v>34</v>
      </c>
      <c r="Q2685">
        <v>126.3</v>
      </c>
    </row>
    <row r="2686" spans="1:17" x14ac:dyDescent="0.3">
      <c r="A2686">
        <v>2021</v>
      </c>
      <c r="B2686" t="s">
        <v>31</v>
      </c>
      <c r="C2686" t="s">
        <v>148</v>
      </c>
      <c r="D2686" s="1" t="s">
        <v>22</v>
      </c>
      <c r="E2686" s="4">
        <v>153.9</v>
      </c>
      <c r="F2686" s="4">
        <v>150</v>
      </c>
      <c r="G2686" s="4">
        <v>145.69999999999999</v>
      </c>
      <c r="H2686" s="1" t="s">
        <v>20</v>
      </c>
      <c r="K2686">
        <v>2015</v>
      </c>
      <c r="L2686" t="s">
        <v>44</v>
      </c>
      <c r="M2686" t="s">
        <v>87</v>
      </c>
      <c r="N2686" t="s">
        <v>26</v>
      </c>
      <c r="O2686" t="s">
        <v>26</v>
      </c>
      <c r="P2686" s="1" t="s">
        <v>33</v>
      </c>
      <c r="Q2686">
        <v>126.6</v>
      </c>
    </row>
    <row r="2687" spans="1:17" x14ac:dyDescent="0.3">
      <c r="A2687">
        <v>2021</v>
      </c>
      <c r="B2687" t="s">
        <v>31</v>
      </c>
      <c r="C2687" t="s">
        <v>148</v>
      </c>
      <c r="D2687" s="1" t="s">
        <v>20</v>
      </c>
      <c r="E2687" s="4">
        <v>0</v>
      </c>
      <c r="F2687" s="4">
        <v>157.69999999999999</v>
      </c>
      <c r="G2687" s="4">
        <v>157.69999999999999</v>
      </c>
      <c r="H2687" s="1" t="s">
        <v>20</v>
      </c>
      <c r="K2687">
        <v>2015</v>
      </c>
      <c r="L2687" t="s">
        <v>44</v>
      </c>
      <c r="M2687" t="s">
        <v>87</v>
      </c>
      <c r="N2687" t="s">
        <v>5</v>
      </c>
      <c r="O2687" t="s">
        <v>188</v>
      </c>
      <c r="P2687" s="1" t="s">
        <v>30</v>
      </c>
      <c r="Q2687">
        <v>121.7</v>
      </c>
    </row>
    <row r="2688" spans="1:17" x14ac:dyDescent="0.3">
      <c r="A2688">
        <v>2021</v>
      </c>
      <c r="B2688" t="s">
        <v>31</v>
      </c>
      <c r="C2688" t="s">
        <v>148</v>
      </c>
      <c r="D2688" s="1" t="s">
        <v>4</v>
      </c>
      <c r="E2688" s="4">
        <v>187.5</v>
      </c>
      <c r="F2688" s="4">
        <v>190.1</v>
      </c>
      <c r="G2688" s="4">
        <v>194.8</v>
      </c>
      <c r="H2688" s="1" t="s">
        <v>188</v>
      </c>
      <c r="K2688">
        <v>2015</v>
      </c>
      <c r="L2688" t="s">
        <v>44</v>
      </c>
      <c r="M2688" t="s">
        <v>87</v>
      </c>
      <c r="N2688" t="s">
        <v>5</v>
      </c>
      <c r="O2688" t="s">
        <v>188</v>
      </c>
      <c r="P2688" s="1" t="s">
        <v>34</v>
      </c>
      <c r="Q2688">
        <v>121.6</v>
      </c>
    </row>
    <row r="2689" spans="1:17" x14ac:dyDescent="0.3">
      <c r="A2689">
        <v>2021</v>
      </c>
      <c r="B2689" t="s">
        <v>31</v>
      </c>
      <c r="C2689" t="s">
        <v>148</v>
      </c>
      <c r="D2689" s="1" t="s">
        <v>6</v>
      </c>
      <c r="E2689" s="4">
        <v>154</v>
      </c>
      <c r="F2689" s="4">
        <v>154.1</v>
      </c>
      <c r="G2689" s="4">
        <v>154.4</v>
      </c>
      <c r="H2689" s="1" t="s">
        <v>188</v>
      </c>
      <c r="K2689">
        <v>2015</v>
      </c>
      <c r="L2689" t="s">
        <v>44</v>
      </c>
      <c r="M2689" t="s">
        <v>87</v>
      </c>
      <c r="N2689" t="s">
        <v>5</v>
      </c>
      <c r="O2689" t="s">
        <v>188</v>
      </c>
      <c r="P2689" s="1" t="s">
        <v>33</v>
      </c>
      <c r="Q2689">
        <v>121.5</v>
      </c>
    </row>
    <row r="2690" spans="1:17" x14ac:dyDescent="0.3">
      <c r="A2690">
        <v>2021</v>
      </c>
      <c r="B2690" t="s">
        <v>31</v>
      </c>
      <c r="C2690" t="s">
        <v>148</v>
      </c>
      <c r="D2690" s="1" t="s">
        <v>28</v>
      </c>
      <c r="E2690" s="4">
        <v>155.9</v>
      </c>
      <c r="F2690" s="4">
        <v>151.9</v>
      </c>
      <c r="G2690" s="4">
        <v>147.6</v>
      </c>
      <c r="H2690" s="1" t="s">
        <v>192</v>
      </c>
      <c r="K2690">
        <v>2015</v>
      </c>
      <c r="L2690" t="s">
        <v>44</v>
      </c>
      <c r="M2690" t="s">
        <v>87</v>
      </c>
      <c r="N2690" t="s">
        <v>15</v>
      </c>
      <c r="O2690" t="s">
        <v>188</v>
      </c>
      <c r="P2690" s="1" t="s">
        <v>30</v>
      </c>
      <c r="Q2690">
        <v>132.4</v>
      </c>
    </row>
    <row r="2691" spans="1:17" x14ac:dyDescent="0.3">
      <c r="A2691">
        <v>2021</v>
      </c>
      <c r="B2691" t="s">
        <v>31</v>
      </c>
      <c r="C2691" t="s">
        <v>148</v>
      </c>
      <c r="D2691" s="1" t="s">
        <v>13</v>
      </c>
      <c r="E2691" s="4">
        <v>156.1</v>
      </c>
      <c r="F2691" s="4">
        <v>151.80000000000001</v>
      </c>
      <c r="G2691" s="4">
        <v>145.9</v>
      </c>
      <c r="H2691" s="1" t="s">
        <v>188</v>
      </c>
      <c r="K2691">
        <v>2015</v>
      </c>
      <c r="L2691" t="s">
        <v>44</v>
      </c>
      <c r="M2691" t="s">
        <v>87</v>
      </c>
      <c r="N2691" t="s">
        <v>15</v>
      </c>
      <c r="O2691" t="s">
        <v>188</v>
      </c>
      <c r="P2691" s="1" t="s">
        <v>34</v>
      </c>
      <c r="Q2691">
        <v>132.69999999999999</v>
      </c>
    </row>
    <row r="2692" spans="1:17" x14ac:dyDescent="0.3">
      <c r="A2692">
        <v>2021</v>
      </c>
      <c r="B2692" t="s">
        <v>31</v>
      </c>
      <c r="C2692" t="s">
        <v>148</v>
      </c>
      <c r="D2692" s="1" t="s">
        <v>7</v>
      </c>
      <c r="E2692" s="4">
        <v>154.80000000000001</v>
      </c>
      <c r="F2692" s="4">
        <v>150.9</v>
      </c>
      <c r="G2692" s="4">
        <v>144.1</v>
      </c>
      <c r="H2692" s="1" t="s">
        <v>188</v>
      </c>
      <c r="K2692">
        <v>2015</v>
      </c>
      <c r="L2692" t="s">
        <v>44</v>
      </c>
      <c r="M2692" t="s">
        <v>87</v>
      </c>
      <c r="N2692" t="s">
        <v>15</v>
      </c>
      <c r="O2692" t="s">
        <v>188</v>
      </c>
      <c r="P2692" s="1" t="s">
        <v>33</v>
      </c>
      <c r="Q2692">
        <v>133.30000000000001</v>
      </c>
    </row>
    <row r="2693" spans="1:17" x14ac:dyDescent="0.3">
      <c r="A2693">
        <v>2021</v>
      </c>
      <c r="B2693" t="s">
        <v>31</v>
      </c>
      <c r="C2693" t="s">
        <v>148</v>
      </c>
      <c r="D2693" s="1" t="s">
        <v>16</v>
      </c>
      <c r="E2693" s="4">
        <v>184.6</v>
      </c>
      <c r="F2693" s="4">
        <v>186.5</v>
      </c>
      <c r="G2693" s="4">
        <v>191.8</v>
      </c>
      <c r="H2693" s="1" t="s">
        <v>192</v>
      </c>
      <c r="K2693">
        <v>2015</v>
      </c>
      <c r="L2693" t="s">
        <v>44</v>
      </c>
      <c r="M2693" t="s">
        <v>87</v>
      </c>
      <c r="N2693" t="s">
        <v>18</v>
      </c>
      <c r="O2693" t="s">
        <v>189</v>
      </c>
      <c r="P2693" s="1" t="s">
        <v>30</v>
      </c>
      <c r="Q2693">
        <v>128.19999999999999</v>
      </c>
    </row>
    <row r="2694" spans="1:17" x14ac:dyDescent="0.3">
      <c r="A2694">
        <v>2021</v>
      </c>
      <c r="B2694" t="s">
        <v>31</v>
      </c>
      <c r="C2694" t="s">
        <v>148</v>
      </c>
      <c r="D2694" s="1" t="s">
        <v>27</v>
      </c>
      <c r="E2694" s="4">
        <v>156.19999999999999</v>
      </c>
      <c r="F2694" s="4">
        <v>156.80000000000001</v>
      </c>
      <c r="G2694" s="4">
        <v>157.69999999999999</v>
      </c>
      <c r="H2694" s="1" t="s">
        <v>192</v>
      </c>
      <c r="K2694">
        <v>2015</v>
      </c>
      <c r="L2694" t="s">
        <v>44</v>
      </c>
      <c r="M2694" t="s">
        <v>87</v>
      </c>
      <c r="N2694" t="s">
        <v>18</v>
      </c>
      <c r="O2694" t="s">
        <v>189</v>
      </c>
      <c r="P2694" s="1" t="s">
        <v>34</v>
      </c>
      <c r="Q2694">
        <v>124.5</v>
      </c>
    </row>
    <row r="2695" spans="1:17" x14ac:dyDescent="0.3">
      <c r="A2695">
        <v>2021</v>
      </c>
      <c r="B2695" t="s">
        <v>31</v>
      </c>
      <c r="C2695" t="s">
        <v>148</v>
      </c>
      <c r="D2695" s="1" t="s">
        <v>14</v>
      </c>
      <c r="E2695" s="4">
        <v>164.3</v>
      </c>
      <c r="F2695" s="4">
        <v>165.6</v>
      </c>
      <c r="G2695" s="4">
        <v>167.2</v>
      </c>
      <c r="H2695" s="1" t="s">
        <v>188</v>
      </c>
      <c r="K2695">
        <v>2015</v>
      </c>
      <c r="L2695" t="s">
        <v>44</v>
      </c>
      <c r="M2695" t="s">
        <v>87</v>
      </c>
      <c r="N2695" t="s">
        <v>18</v>
      </c>
      <c r="O2695" t="s">
        <v>189</v>
      </c>
      <c r="P2695" s="1" t="s">
        <v>33</v>
      </c>
      <c r="Q2695">
        <v>119.3</v>
      </c>
    </row>
    <row r="2696" spans="1:17" x14ac:dyDescent="0.3">
      <c r="A2696">
        <v>2021</v>
      </c>
      <c r="B2696" t="s">
        <v>31</v>
      </c>
      <c r="C2696" t="s">
        <v>148</v>
      </c>
      <c r="D2696" s="1" t="s">
        <v>10</v>
      </c>
      <c r="E2696" s="4">
        <v>159.5</v>
      </c>
      <c r="F2696" s="4">
        <v>160.4</v>
      </c>
      <c r="G2696" s="4">
        <v>162.1</v>
      </c>
      <c r="H2696" s="1" t="s">
        <v>188</v>
      </c>
      <c r="K2696">
        <v>2015</v>
      </c>
      <c r="L2696" t="s">
        <v>44</v>
      </c>
      <c r="M2696" t="s">
        <v>87</v>
      </c>
      <c r="N2696" t="s">
        <v>8</v>
      </c>
      <c r="O2696" t="s">
        <v>188</v>
      </c>
      <c r="P2696" s="1" t="s">
        <v>30</v>
      </c>
      <c r="Q2696">
        <v>132.1</v>
      </c>
    </row>
    <row r="2697" spans="1:17" x14ac:dyDescent="0.3">
      <c r="A2697">
        <v>2021</v>
      </c>
      <c r="B2697" t="s">
        <v>31</v>
      </c>
      <c r="C2697" t="s">
        <v>148</v>
      </c>
      <c r="D2697" s="1" t="s">
        <v>25</v>
      </c>
      <c r="E2697" s="4">
        <v>155.1</v>
      </c>
      <c r="F2697" s="4">
        <v>149.6</v>
      </c>
      <c r="G2697" s="4">
        <v>145.4</v>
      </c>
      <c r="H2697" s="1" t="s">
        <v>195</v>
      </c>
      <c r="K2697">
        <v>2015</v>
      </c>
      <c r="L2697" t="s">
        <v>44</v>
      </c>
      <c r="M2697" t="s">
        <v>87</v>
      </c>
      <c r="N2697" t="s">
        <v>8</v>
      </c>
      <c r="O2697" t="s">
        <v>188</v>
      </c>
      <c r="P2697" s="1" t="s">
        <v>34</v>
      </c>
      <c r="Q2697">
        <v>128.19999999999999</v>
      </c>
    </row>
    <row r="2698" spans="1:17" x14ac:dyDescent="0.3">
      <c r="A2698">
        <v>2021</v>
      </c>
      <c r="B2698" t="s">
        <v>31</v>
      </c>
      <c r="C2698" t="s">
        <v>148</v>
      </c>
      <c r="D2698" s="1" t="s">
        <v>12</v>
      </c>
      <c r="E2698" s="4">
        <v>164.5</v>
      </c>
      <c r="F2698" s="4">
        <v>164</v>
      </c>
      <c r="G2698" s="4">
        <v>163</v>
      </c>
      <c r="H2698" s="1" t="s">
        <v>188</v>
      </c>
      <c r="K2698">
        <v>2015</v>
      </c>
      <c r="L2698" t="s">
        <v>44</v>
      </c>
      <c r="M2698" t="s">
        <v>87</v>
      </c>
      <c r="N2698" t="s">
        <v>8</v>
      </c>
      <c r="O2698" t="s">
        <v>188</v>
      </c>
      <c r="P2698" s="1" t="s">
        <v>33</v>
      </c>
      <c r="Q2698">
        <v>123.7</v>
      </c>
    </row>
    <row r="2699" spans="1:17" x14ac:dyDescent="0.3">
      <c r="A2699">
        <v>2021</v>
      </c>
      <c r="B2699" t="s">
        <v>31</v>
      </c>
      <c r="C2699" t="s">
        <v>148</v>
      </c>
      <c r="D2699" s="1" t="s">
        <v>11</v>
      </c>
      <c r="E2699" s="4">
        <v>113.8</v>
      </c>
      <c r="F2699" s="4">
        <v>114.6</v>
      </c>
      <c r="G2699" s="4">
        <v>116.3</v>
      </c>
      <c r="H2699" s="1" t="s">
        <v>188</v>
      </c>
      <c r="K2699">
        <v>2015</v>
      </c>
      <c r="L2699" t="s">
        <v>44</v>
      </c>
      <c r="M2699" t="s">
        <v>87</v>
      </c>
      <c r="N2699" t="s">
        <v>21</v>
      </c>
      <c r="O2699" t="s">
        <v>190</v>
      </c>
      <c r="P2699" s="1" t="s">
        <v>30</v>
      </c>
      <c r="Q2699">
        <v>125.6</v>
      </c>
    </row>
    <row r="2700" spans="1:17" x14ac:dyDescent="0.3">
      <c r="A2700">
        <v>2021</v>
      </c>
      <c r="B2700" t="s">
        <v>31</v>
      </c>
      <c r="C2700" t="s">
        <v>148</v>
      </c>
      <c r="D2700" s="1" t="s">
        <v>24</v>
      </c>
      <c r="E2700" s="4">
        <v>147.5</v>
      </c>
      <c r="F2700" s="4">
        <v>141.9</v>
      </c>
      <c r="G2700" s="4">
        <v>136.9</v>
      </c>
      <c r="H2700" s="1" t="s">
        <v>191</v>
      </c>
      <c r="K2700">
        <v>2015</v>
      </c>
      <c r="L2700" t="s">
        <v>44</v>
      </c>
      <c r="M2700" t="s">
        <v>87</v>
      </c>
      <c r="N2700" t="s">
        <v>21</v>
      </c>
      <c r="O2700" t="s">
        <v>190</v>
      </c>
      <c r="P2700" s="1" t="s">
        <v>34</v>
      </c>
      <c r="Q2700">
        <v>121.6</v>
      </c>
    </row>
    <row r="2701" spans="1:17" x14ac:dyDescent="0.3">
      <c r="A2701">
        <v>2021</v>
      </c>
      <c r="B2701" t="s">
        <v>31</v>
      </c>
      <c r="C2701" t="s">
        <v>148</v>
      </c>
      <c r="D2701" s="1" t="s">
        <v>9</v>
      </c>
      <c r="E2701" s="4">
        <v>187.8</v>
      </c>
      <c r="F2701" s="4">
        <v>194.2</v>
      </c>
      <c r="G2701" s="4">
        <v>206.8</v>
      </c>
      <c r="H2701" s="1" t="s">
        <v>188</v>
      </c>
      <c r="K2701">
        <v>2015</v>
      </c>
      <c r="L2701" t="s">
        <v>44</v>
      </c>
      <c r="M2701" t="s">
        <v>87</v>
      </c>
      <c r="N2701" t="s">
        <v>21</v>
      </c>
      <c r="O2701" t="s">
        <v>190</v>
      </c>
      <c r="P2701" s="1" t="s">
        <v>33</v>
      </c>
      <c r="Q2701">
        <v>115.1</v>
      </c>
    </row>
    <row r="2702" spans="1:17" x14ac:dyDescent="0.3">
      <c r="A2702">
        <v>2021</v>
      </c>
      <c r="B2702" t="s">
        <v>40</v>
      </c>
      <c r="C2702" t="s">
        <v>149</v>
      </c>
      <c r="D2702" s="1" t="s">
        <v>3</v>
      </c>
      <c r="E2702" s="4">
        <v>145.1</v>
      </c>
      <c r="F2702" s="4">
        <v>146.4</v>
      </c>
      <c r="G2702" s="4">
        <v>149.1</v>
      </c>
      <c r="H2702" s="1" t="s">
        <v>188</v>
      </c>
      <c r="K2702">
        <v>2015</v>
      </c>
      <c r="L2702" t="s">
        <v>44</v>
      </c>
      <c r="M2702" t="s">
        <v>87</v>
      </c>
      <c r="N2702" t="s">
        <v>29</v>
      </c>
      <c r="O2702" t="s">
        <v>206</v>
      </c>
      <c r="P2702" s="1" t="s">
        <v>30</v>
      </c>
      <c r="Q2702">
        <v>128.30000000000001</v>
      </c>
    </row>
    <row r="2703" spans="1:17" x14ac:dyDescent="0.3">
      <c r="A2703">
        <v>2021</v>
      </c>
      <c r="B2703" t="s">
        <v>40</v>
      </c>
      <c r="C2703" t="s">
        <v>149</v>
      </c>
      <c r="D2703" s="1" t="s">
        <v>17</v>
      </c>
      <c r="E2703" s="4">
        <v>166</v>
      </c>
      <c r="F2703" s="4">
        <v>162.80000000000001</v>
      </c>
      <c r="G2703" s="4">
        <v>157.9</v>
      </c>
      <c r="H2703" s="1" t="s">
        <v>189</v>
      </c>
      <c r="K2703">
        <v>2015</v>
      </c>
      <c r="L2703" t="s">
        <v>44</v>
      </c>
      <c r="M2703" t="s">
        <v>87</v>
      </c>
      <c r="N2703" t="s">
        <v>29</v>
      </c>
      <c r="O2703" t="s">
        <v>206</v>
      </c>
      <c r="P2703" s="1" t="s">
        <v>34</v>
      </c>
      <c r="Q2703">
        <v>126.6</v>
      </c>
    </row>
    <row r="2704" spans="1:17" x14ac:dyDescent="0.3">
      <c r="A2704">
        <v>2021</v>
      </c>
      <c r="B2704" t="s">
        <v>40</v>
      </c>
      <c r="C2704" t="s">
        <v>149</v>
      </c>
      <c r="D2704" s="1" t="s">
        <v>19</v>
      </c>
      <c r="E2704" s="4">
        <v>165.3</v>
      </c>
      <c r="F2704" s="4">
        <v>161.4</v>
      </c>
      <c r="G2704" s="4">
        <v>155.5</v>
      </c>
      <c r="H2704" s="1" t="s">
        <v>189</v>
      </c>
      <c r="K2704">
        <v>2015</v>
      </c>
      <c r="L2704" t="s">
        <v>44</v>
      </c>
      <c r="M2704" t="s">
        <v>87</v>
      </c>
      <c r="N2704" t="s">
        <v>29</v>
      </c>
      <c r="O2704" t="s">
        <v>206</v>
      </c>
      <c r="P2704" s="1" t="s">
        <v>33</v>
      </c>
      <c r="Q2704">
        <v>124.6</v>
      </c>
    </row>
    <row r="2705" spans="1:17" x14ac:dyDescent="0.3">
      <c r="A2705">
        <v>2021</v>
      </c>
      <c r="B2705" t="s">
        <v>40</v>
      </c>
      <c r="C2705" t="s">
        <v>149</v>
      </c>
      <c r="D2705" s="1" t="s">
        <v>26</v>
      </c>
      <c r="E2705" s="4">
        <v>167.2</v>
      </c>
      <c r="F2705" s="4">
        <v>163.19999999999999</v>
      </c>
      <c r="G2705" s="4">
        <v>160.30000000000001</v>
      </c>
      <c r="H2705" s="1" t="s">
        <v>26</v>
      </c>
      <c r="K2705">
        <v>2015</v>
      </c>
      <c r="L2705" t="s">
        <v>44</v>
      </c>
      <c r="M2705" t="s">
        <v>87</v>
      </c>
      <c r="N2705" t="s">
        <v>23</v>
      </c>
      <c r="O2705" t="s">
        <v>23</v>
      </c>
      <c r="P2705" s="1" t="s">
        <v>30</v>
      </c>
      <c r="Q2705">
        <v>122.6</v>
      </c>
    </row>
    <row r="2706" spans="1:17" x14ac:dyDescent="0.3">
      <c r="A2706">
        <v>2021</v>
      </c>
      <c r="B2706" t="s">
        <v>40</v>
      </c>
      <c r="C2706" t="s">
        <v>149</v>
      </c>
      <c r="D2706" s="1" t="s">
        <v>5</v>
      </c>
      <c r="E2706" s="4">
        <v>180.4</v>
      </c>
      <c r="F2706" s="4">
        <v>182.2</v>
      </c>
      <c r="G2706" s="4">
        <v>185</v>
      </c>
      <c r="H2706" s="1" t="s">
        <v>188</v>
      </c>
      <c r="K2706">
        <v>2015</v>
      </c>
      <c r="L2706" t="s">
        <v>44</v>
      </c>
      <c r="M2706" t="s">
        <v>87</v>
      </c>
      <c r="N2706" t="s">
        <v>23</v>
      </c>
      <c r="O2706" t="s">
        <v>23</v>
      </c>
      <c r="P2706" s="1" t="s">
        <v>34</v>
      </c>
      <c r="Q2706">
        <v>120.9</v>
      </c>
    </row>
    <row r="2707" spans="1:17" x14ac:dyDescent="0.3">
      <c r="A2707">
        <v>2021</v>
      </c>
      <c r="B2707" t="s">
        <v>40</v>
      </c>
      <c r="C2707" t="s">
        <v>149</v>
      </c>
      <c r="D2707" s="1" t="s">
        <v>15</v>
      </c>
      <c r="E2707" s="4">
        <v>161.69999999999999</v>
      </c>
      <c r="F2707" s="4">
        <v>164</v>
      </c>
      <c r="G2707" s="4">
        <v>167.9</v>
      </c>
      <c r="H2707" s="1" t="s">
        <v>188</v>
      </c>
      <c r="K2707">
        <v>2015</v>
      </c>
      <c r="L2707" t="s">
        <v>44</v>
      </c>
      <c r="M2707" t="s">
        <v>87</v>
      </c>
      <c r="N2707" t="s">
        <v>23</v>
      </c>
      <c r="O2707" t="s">
        <v>23</v>
      </c>
      <c r="P2707" s="1" t="s">
        <v>33</v>
      </c>
      <c r="Q2707">
        <v>118.1</v>
      </c>
    </row>
    <row r="2708" spans="1:17" x14ac:dyDescent="0.3">
      <c r="A2708">
        <v>2021</v>
      </c>
      <c r="B2708" t="s">
        <v>40</v>
      </c>
      <c r="C2708" t="s">
        <v>149</v>
      </c>
      <c r="D2708" s="1" t="s">
        <v>18</v>
      </c>
      <c r="E2708" s="4">
        <v>161.1</v>
      </c>
      <c r="F2708" s="4">
        <v>153.1</v>
      </c>
      <c r="G2708" s="4">
        <v>141.9</v>
      </c>
      <c r="H2708" s="1" t="s">
        <v>189</v>
      </c>
      <c r="K2708">
        <v>2015</v>
      </c>
      <c r="L2708" t="s">
        <v>44</v>
      </c>
      <c r="M2708" t="s">
        <v>87</v>
      </c>
      <c r="N2708" t="s">
        <v>22</v>
      </c>
      <c r="O2708" t="s">
        <v>20</v>
      </c>
      <c r="P2708" s="1" t="s">
        <v>30</v>
      </c>
      <c r="Q2708">
        <v>125.6</v>
      </c>
    </row>
    <row r="2709" spans="1:17" x14ac:dyDescent="0.3">
      <c r="A2709">
        <v>2021</v>
      </c>
      <c r="B2709" t="s">
        <v>40</v>
      </c>
      <c r="C2709" t="s">
        <v>149</v>
      </c>
      <c r="D2709" s="1" t="s">
        <v>8</v>
      </c>
      <c r="E2709" s="4">
        <v>157.69999999999999</v>
      </c>
      <c r="F2709" s="4">
        <v>163.9</v>
      </c>
      <c r="G2709" s="4">
        <v>170.9</v>
      </c>
      <c r="H2709" s="1" t="s">
        <v>188</v>
      </c>
      <c r="K2709">
        <v>2015</v>
      </c>
      <c r="L2709" t="s">
        <v>44</v>
      </c>
      <c r="M2709" t="s">
        <v>87</v>
      </c>
      <c r="N2709" t="s">
        <v>22</v>
      </c>
      <c r="O2709" t="s">
        <v>20</v>
      </c>
      <c r="P2709" s="1" t="s">
        <v>34</v>
      </c>
      <c r="Q2709">
        <v>123.4</v>
      </c>
    </row>
    <row r="2710" spans="1:17" x14ac:dyDescent="0.3">
      <c r="A2710">
        <v>2021</v>
      </c>
      <c r="B2710" t="s">
        <v>40</v>
      </c>
      <c r="C2710" t="s">
        <v>149</v>
      </c>
      <c r="D2710" s="1" t="s">
        <v>21</v>
      </c>
      <c r="E2710" s="4">
        <v>162.5</v>
      </c>
      <c r="F2710" s="4">
        <v>160.69999999999999</v>
      </c>
      <c r="G2710" s="4">
        <v>157.69999999999999</v>
      </c>
      <c r="H2710" s="1" t="s">
        <v>190</v>
      </c>
      <c r="K2710">
        <v>2015</v>
      </c>
      <c r="L2710" t="s">
        <v>44</v>
      </c>
      <c r="M2710" t="s">
        <v>87</v>
      </c>
      <c r="N2710" t="s">
        <v>22</v>
      </c>
      <c r="O2710" t="s">
        <v>20</v>
      </c>
      <c r="P2710" s="1" t="s">
        <v>33</v>
      </c>
      <c r="Q2710">
        <v>121</v>
      </c>
    </row>
    <row r="2711" spans="1:17" x14ac:dyDescent="0.3">
      <c r="A2711">
        <v>2021</v>
      </c>
      <c r="B2711" t="s">
        <v>40</v>
      </c>
      <c r="C2711" t="s">
        <v>149</v>
      </c>
      <c r="D2711" s="1" t="s">
        <v>29</v>
      </c>
      <c r="E2711" s="4">
        <v>163.19999999999999</v>
      </c>
      <c r="F2711" s="4">
        <v>162.5</v>
      </c>
      <c r="G2711" s="4">
        <v>161.80000000000001</v>
      </c>
      <c r="H2711" s="1" t="s">
        <v>206</v>
      </c>
      <c r="K2711">
        <v>2015</v>
      </c>
      <c r="L2711" t="s">
        <v>44</v>
      </c>
      <c r="M2711" t="s">
        <v>87</v>
      </c>
      <c r="N2711" t="s">
        <v>20</v>
      </c>
      <c r="O2711" t="s">
        <v>20</v>
      </c>
      <c r="P2711" s="1" t="s">
        <v>30</v>
      </c>
      <c r="Q2711">
        <v>0</v>
      </c>
    </row>
    <row r="2712" spans="1:17" x14ac:dyDescent="0.3">
      <c r="A2712">
        <v>2021</v>
      </c>
      <c r="B2712" t="s">
        <v>40</v>
      </c>
      <c r="C2712" t="s">
        <v>149</v>
      </c>
      <c r="D2712" s="1" t="s">
        <v>23</v>
      </c>
      <c r="E2712" s="4">
        <v>170.4</v>
      </c>
      <c r="F2712" s="4">
        <v>167</v>
      </c>
      <c r="G2712" s="4">
        <v>161.5</v>
      </c>
      <c r="H2712" s="1" t="s">
        <v>23</v>
      </c>
      <c r="K2712">
        <v>2015</v>
      </c>
      <c r="L2712" t="s">
        <v>44</v>
      </c>
      <c r="M2712" t="s">
        <v>87</v>
      </c>
      <c r="N2712" t="s">
        <v>20</v>
      </c>
      <c r="O2712" t="s">
        <v>20</v>
      </c>
      <c r="P2712" s="1" t="s">
        <v>34</v>
      </c>
      <c r="Q2712">
        <v>122.9</v>
      </c>
    </row>
    <row r="2713" spans="1:17" x14ac:dyDescent="0.3">
      <c r="A2713">
        <v>2021</v>
      </c>
      <c r="B2713" t="s">
        <v>40</v>
      </c>
      <c r="C2713" t="s">
        <v>149</v>
      </c>
      <c r="D2713" s="1" t="s">
        <v>22</v>
      </c>
      <c r="E2713" s="4">
        <v>160.30000000000001</v>
      </c>
      <c r="F2713" s="4">
        <v>155.80000000000001</v>
      </c>
      <c r="G2713" s="4">
        <v>150.69999999999999</v>
      </c>
      <c r="H2713" s="1" t="s">
        <v>20</v>
      </c>
      <c r="K2713">
        <v>2015</v>
      </c>
      <c r="L2713" t="s">
        <v>44</v>
      </c>
      <c r="M2713" t="s">
        <v>87</v>
      </c>
      <c r="N2713" t="s">
        <v>20</v>
      </c>
      <c r="O2713" t="s">
        <v>20</v>
      </c>
      <c r="P2713" s="1" t="s">
        <v>33</v>
      </c>
      <c r="Q2713">
        <v>122.9</v>
      </c>
    </row>
    <row r="2714" spans="1:17" x14ac:dyDescent="0.3">
      <c r="A2714">
        <v>2021</v>
      </c>
      <c r="B2714" t="s">
        <v>40</v>
      </c>
      <c r="C2714" t="s">
        <v>149</v>
      </c>
      <c r="D2714" s="1" t="s">
        <v>20</v>
      </c>
      <c r="E2714" s="4">
        <v>0</v>
      </c>
      <c r="F2714" s="4">
        <v>161.5</v>
      </c>
      <c r="G2714" s="4">
        <v>161.5</v>
      </c>
      <c r="H2714" s="1" t="s">
        <v>20</v>
      </c>
      <c r="K2714">
        <v>2015</v>
      </c>
      <c r="L2714" t="s">
        <v>44</v>
      </c>
      <c r="M2714" t="s">
        <v>87</v>
      </c>
      <c r="N2714" t="s">
        <v>4</v>
      </c>
      <c r="O2714" t="s">
        <v>188</v>
      </c>
      <c r="P2714" s="1" t="s">
        <v>30</v>
      </c>
      <c r="Q2714">
        <v>130.6</v>
      </c>
    </row>
    <row r="2715" spans="1:17" x14ac:dyDescent="0.3">
      <c r="A2715">
        <v>2021</v>
      </c>
      <c r="B2715" t="s">
        <v>40</v>
      </c>
      <c r="C2715" t="s">
        <v>149</v>
      </c>
      <c r="D2715" s="1" t="s">
        <v>4</v>
      </c>
      <c r="E2715" s="4">
        <v>204.5</v>
      </c>
      <c r="F2715" s="4">
        <v>206.8</v>
      </c>
      <c r="G2715" s="4">
        <v>210.9</v>
      </c>
      <c r="H2715" s="1" t="s">
        <v>188</v>
      </c>
      <c r="K2715">
        <v>2015</v>
      </c>
      <c r="L2715" t="s">
        <v>44</v>
      </c>
      <c r="M2715" t="s">
        <v>87</v>
      </c>
      <c r="N2715" t="s">
        <v>4</v>
      </c>
      <c r="O2715" t="s">
        <v>188</v>
      </c>
      <c r="P2715" s="1" t="s">
        <v>34</v>
      </c>
      <c r="Q2715">
        <v>130.30000000000001</v>
      </c>
    </row>
    <row r="2716" spans="1:17" x14ac:dyDescent="0.3">
      <c r="A2716">
        <v>2021</v>
      </c>
      <c r="B2716" t="s">
        <v>40</v>
      </c>
      <c r="C2716" t="s">
        <v>149</v>
      </c>
      <c r="D2716" s="1" t="s">
        <v>6</v>
      </c>
      <c r="E2716" s="4">
        <v>157.1</v>
      </c>
      <c r="F2716" s="4">
        <v>157.5</v>
      </c>
      <c r="G2716" s="4">
        <v>158.19999999999999</v>
      </c>
      <c r="H2716" s="1" t="s">
        <v>188</v>
      </c>
      <c r="K2716">
        <v>2015</v>
      </c>
      <c r="L2716" t="s">
        <v>44</v>
      </c>
      <c r="M2716" t="s">
        <v>87</v>
      </c>
      <c r="N2716" t="s">
        <v>4</v>
      </c>
      <c r="O2716" t="s">
        <v>188</v>
      </c>
      <c r="P2716" s="1" t="s">
        <v>33</v>
      </c>
      <c r="Q2716">
        <v>129.80000000000001</v>
      </c>
    </row>
    <row r="2717" spans="1:17" x14ac:dyDescent="0.3">
      <c r="A2717">
        <v>2021</v>
      </c>
      <c r="B2717" t="s">
        <v>40</v>
      </c>
      <c r="C2717" t="s">
        <v>149</v>
      </c>
      <c r="D2717" s="1" t="s">
        <v>28</v>
      </c>
      <c r="E2717" s="4">
        <v>162.80000000000001</v>
      </c>
      <c r="F2717" s="4">
        <v>159</v>
      </c>
      <c r="G2717" s="4">
        <v>155</v>
      </c>
      <c r="H2717" s="1" t="s">
        <v>192</v>
      </c>
      <c r="K2717">
        <v>2015</v>
      </c>
      <c r="L2717" t="s">
        <v>44</v>
      </c>
      <c r="M2717" t="s">
        <v>87</v>
      </c>
      <c r="N2717" t="s">
        <v>6</v>
      </c>
      <c r="O2717" t="s">
        <v>188</v>
      </c>
      <c r="P2717" s="1" t="s">
        <v>30</v>
      </c>
      <c r="Q2717">
        <v>129.5</v>
      </c>
    </row>
    <row r="2718" spans="1:17" x14ac:dyDescent="0.3">
      <c r="A2718">
        <v>2021</v>
      </c>
      <c r="B2718" t="s">
        <v>40</v>
      </c>
      <c r="C2718" t="s">
        <v>149</v>
      </c>
      <c r="D2718" s="1" t="s">
        <v>13</v>
      </c>
      <c r="E2718" s="4">
        <v>166.2</v>
      </c>
      <c r="F2718" s="4">
        <v>160.9</v>
      </c>
      <c r="G2718" s="4">
        <v>153.4</v>
      </c>
      <c r="H2718" s="1" t="s">
        <v>188</v>
      </c>
      <c r="K2718">
        <v>2015</v>
      </c>
      <c r="L2718" t="s">
        <v>44</v>
      </c>
      <c r="M2718" t="s">
        <v>87</v>
      </c>
      <c r="N2718" t="s">
        <v>6</v>
      </c>
      <c r="O2718" t="s">
        <v>188</v>
      </c>
      <c r="P2718" s="1" t="s">
        <v>34</v>
      </c>
      <c r="Q2718">
        <v>129.19999999999999</v>
      </c>
    </row>
    <row r="2719" spans="1:17" x14ac:dyDescent="0.3">
      <c r="A2719">
        <v>2021</v>
      </c>
      <c r="B2719" t="s">
        <v>40</v>
      </c>
      <c r="C2719" t="s">
        <v>149</v>
      </c>
      <c r="D2719" s="1" t="s">
        <v>7</v>
      </c>
      <c r="E2719" s="4">
        <v>188.7</v>
      </c>
      <c r="F2719" s="4">
        <v>182.1</v>
      </c>
      <c r="G2719" s="4">
        <v>170.6</v>
      </c>
      <c r="H2719" s="1" t="s">
        <v>188</v>
      </c>
      <c r="K2719">
        <v>2015</v>
      </c>
      <c r="L2719" t="s">
        <v>44</v>
      </c>
      <c r="M2719" t="s">
        <v>87</v>
      </c>
      <c r="N2719" t="s">
        <v>6</v>
      </c>
      <c r="O2719" t="s">
        <v>188</v>
      </c>
      <c r="P2719" s="1" t="s">
        <v>33</v>
      </c>
      <c r="Q2719">
        <v>128.6</v>
      </c>
    </row>
    <row r="2720" spans="1:17" x14ac:dyDescent="0.3">
      <c r="A2720">
        <v>2021</v>
      </c>
      <c r="B2720" t="s">
        <v>40</v>
      </c>
      <c r="C2720" t="s">
        <v>149</v>
      </c>
      <c r="D2720" s="1" t="s">
        <v>16</v>
      </c>
      <c r="E2720" s="4">
        <v>189.7</v>
      </c>
      <c r="F2720" s="4">
        <v>191.2</v>
      </c>
      <c r="G2720" s="4">
        <v>195.5</v>
      </c>
      <c r="H2720" s="1" t="s">
        <v>192</v>
      </c>
      <c r="K2720">
        <v>2015</v>
      </c>
      <c r="L2720" t="s">
        <v>44</v>
      </c>
      <c r="M2720" t="s">
        <v>87</v>
      </c>
      <c r="N2720" t="s">
        <v>28</v>
      </c>
      <c r="O2720" t="s">
        <v>192</v>
      </c>
      <c r="P2720" s="1" t="s">
        <v>30</v>
      </c>
      <c r="Q2720">
        <v>119.6</v>
      </c>
    </row>
    <row r="2721" spans="1:17" x14ac:dyDescent="0.3">
      <c r="A2721">
        <v>2021</v>
      </c>
      <c r="B2721" t="s">
        <v>40</v>
      </c>
      <c r="C2721" t="s">
        <v>149</v>
      </c>
      <c r="D2721" s="1" t="s">
        <v>27</v>
      </c>
      <c r="E2721" s="4">
        <v>160.4</v>
      </c>
      <c r="F2721" s="4">
        <v>160.1</v>
      </c>
      <c r="G2721" s="4">
        <v>159.6</v>
      </c>
      <c r="H2721" s="1" t="s">
        <v>192</v>
      </c>
      <c r="K2721">
        <v>2015</v>
      </c>
      <c r="L2721" t="s">
        <v>44</v>
      </c>
      <c r="M2721" t="s">
        <v>87</v>
      </c>
      <c r="N2721" t="s">
        <v>28</v>
      </c>
      <c r="O2721" t="s">
        <v>192</v>
      </c>
      <c r="P2721" s="1" t="s">
        <v>34</v>
      </c>
      <c r="Q2721">
        <v>118.1</v>
      </c>
    </row>
    <row r="2722" spans="1:17" x14ac:dyDescent="0.3">
      <c r="A2722">
        <v>2021</v>
      </c>
      <c r="B2722" t="s">
        <v>40</v>
      </c>
      <c r="C2722" t="s">
        <v>149</v>
      </c>
      <c r="D2722" s="1" t="s">
        <v>14</v>
      </c>
      <c r="E2722" s="4">
        <v>171</v>
      </c>
      <c r="F2722" s="4">
        <v>172.2</v>
      </c>
      <c r="G2722" s="4">
        <v>173.5</v>
      </c>
      <c r="H2722" s="1" t="s">
        <v>188</v>
      </c>
      <c r="K2722">
        <v>2015</v>
      </c>
      <c r="L2722" t="s">
        <v>44</v>
      </c>
      <c r="M2722" t="s">
        <v>87</v>
      </c>
      <c r="N2722" t="s">
        <v>28</v>
      </c>
      <c r="O2722" t="s">
        <v>192</v>
      </c>
      <c r="P2722" s="1" t="s">
        <v>33</v>
      </c>
      <c r="Q2722">
        <v>116.6</v>
      </c>
    </row>
    <row r="2723" spans="1:17" x14ac:dyDescent="0.3">
      <c r="A2723">
        <v>2021</v>
      </c>
      <c r="B2723" t="s">
        <v>40</v>
      </c>
      <c r="C2723" t="s">
        <v>149</v>
      </c>
      <c r="D2723" s="1" t="s">
        <v>10</v>
      </c>
      <c r="E2723" s="4">
        <v>163.6</v>
      </c>
      <c r="F2723" s="4">
        <v>164</v>
      </c>
      <c r="G2723" s="4">
        <v>164.7</v>
      </c>
      <c r="H2723" s="1" t="s">
        <v>188</v>
      </c>
      <c r="K2723">
        <v>2015</v>
      </c>
      <c r="L2723" t="s">
        <v>44</v>
      </c>
      <c r="M2723" t="s">
        <v>87</v>
      </c>
      <c r="N2723" t="s">
        <v>13</v>
      </c>
      <c r="O2723" t="s">
        <v>188</v>
      </c>
      <c r="P2723" s="1" t="s">
        <v>30</v>
      </c>
      <c r="Q2723">
        <v>123.1</v>
      </c>
    </row>
    <row r="2724" spans="1:17" x14ac:dyDescent="0.3">
      <c r="A2724">
        <v>2021</v>
      </c>
      <c r="B2724" t="s">
        <v>40</v>
      </c>
      <c r="C2724" t="s">
        <v>149</v>
      </c>
      <c r="D2724" s="1" t="s">
        <v>25</v>
      </c>
      <c r="E2724" s="4">
        <v>160.69999999999999</v>
      </c>
      <c r="F2724" s="4">
        <v>155.30000000000001</v>
      </c>
      <c r="G2724" s="4">
        <v>151.19999999999999</v>
      </c>
      <c r="H2724" s="1" t="s">
        <v>195</v>
      </c>
      <c r="K2724">
        <v>2015</v>
      </c>
      <c r="L2724" t="s">
        <v>44</v>
      </c>
      <c r="M2724" t="s">
        <v>87</v>
      </c>
      <c r="N2724" t="s">
        <v>13</v>
      </c>
      <c r="O2724" t="s">
        <v>188</v>
      </c>
      <c r="P2724" s="1" t="s">
        <v>34</v>
      </c>
      <c r="Q2724">
        <v>121.7</v>
      </c>
    </row>
    <row r="2725" spans="1:17" x14ac:dyDescent="0.3">
      <c r="A2725">
        <v>2021</v>
      </c>
      <c r="B2725" t="s">
        <v>40</v>
      </c>
      <c r="C2725" t="s">
        <v>149</v>
      </c>
      <c r="D2725" s="1" t="s">
        <v>12</v>
      </c>
      <c r="E2725" s="4">
        <v>169.7</v>
      </c>
      <c r="F2725" s="4">
        <v>168.3</v>
      </c>
      <c r="G2725" s="4">
        <v>165.5</v>
      </c>
      <c r="H2725" s="1" t="s">
        <v>188</v>
      </c>
      <c r="K2725">
        <v>2015</v>
      </c>
      <c r="L2725" t="s">
        <v>44</v>
      </c>
      <c r="M2725" t="s">
        <v>87</v>
      </c>
      <c r="N2725" t="s">
        <v>13</v>
      </c>
      <c r="O2725" t="s">
        <v>188</v>
      </c>
      <c r="P2725" s="1" t="s">
        <v>33</v>
      </c>
      <c r="Q2725">
        <v>119.8</v>
      </c>
    </row>
    <row r="2726" spans="1:17" x14ac:dyDescent="0.3">
      <c r="A2726">
        <v>2021</v>
      </c>
      <c r="B2726" t="s">
        <v>40</v>
      </c>
      <c r="C2726" t="s">
        <v>149</v>
      </c>
      <c r="D2726" s="1" t="s">
        <v>11</v>
      </c>
      <c r="E2726" s="4">
        <v>113.9</v>
      </c>
      <c r="F2726" s="4">
        <v>114.5</v>
      </c>
      <c r="G2726" s="4">
        <v>115.7</v>
      </c>
      <c r="H2726" s="1" t="s">
        <v>188</v>
      </c>
      <c r="K2726">
        <v>2015</v>
      </c>
      <c r="L2726" t="s">
        <v>44</v>
      </c>
      <c r="M2726" t="s">
        <v>87</v>
      </c>
      <c r="N2726" t="s">
        <v>7</v>
      </c>
      <c r="O2726" t="s">
        <v>188</v>
      </c>
      <c r="P2726" s="1" t="s">
        <v>30</v>
      </c>
      <c r="Q2726">
        <v>117.8</v>
      </c>
    </row>
    <row r="2727" spans="1:17" x14ac:dyDescent="0.3">
      <c r="A2727">
        <v>2021</v>
      </c>
      <c r="B2727" t="s">
        <v>40</v>
      </c>
      <c r="C2727" t="s">
        <v>149</v>
      </c>
      <c r="D2727" s="1" t="s">
        <v>24</v>
      </c>
      <c r="E2727" s="4">
        <v>157.1</v>
      </c>
      <c r="F2727" s="4">
        <v>153.1</v>
      </c>
      <c r="G2727" s="4">
        <v>149.5</v>
      </c>
      <c r="H2727" s="1" t="s">
        <v>191</v>
      </c>
      <c r="K2727">
        <v>2015</v>
      </c>
      <c r="L2727" t="s">
        <v>44</v>
      </c>
      <c r="M2727" t="s">
        <v>87</v>
      </c>
      <c r="N2727" t="s">
        <v>7</v>
      </c>
      <c r="O2727" t="s">
        <v>188</v>
      </c>
      <c r="P2727" s="1" t="s">
        <v>34</v>
      </c>
      <c r="Q2727">
        <v>114.9</v>
      </c>
    </row>
    <row r="2728" spans="1:17" x14ac:dyDescent="0.3">
      <c r="A2728">
        <v>2021</v>
      </c>
      <c r="B2728" t="s">
        <v>40</v>
      </c>
      <c r="C2728" t="s">
        <v>149</v>
      </c>
      <c r="D2728" s="1" t="s">
        <v>9</v>
      </c>
      <c r="E2728" s="4">
        <v>152.80000000000001</v>
      </c>
      <c r="F2728" s="4">
        <v>164.2</v>
      </c>
      <c r="G2728" s="4">
        <v>186.4</v>
      </c>
      <c r="H2728" s="1" t="s">
        <v>188</v>
      </c>
      <c r="K2728">
        <v>2015</v>
      </c>
      <c r="L2728" t="s">
        <v>44</v>
      </c>
      <c r="M2728" t="s">
        <v>87</v>
      </c>
      <c r="N2728" t="s">
        <v>7</v>
      </c>
      <c r="O2728" t="s">
        <v>188</v>
      </c>
      <c r="P2728" s="1" t="s">
        <v>33</v>
      </c>
      <c r="Q2728">
        <v>110</v>
      </c>
    </row>
    <row r="2729" spans="1:17" x14ac:dyDescent="0.3">
      <c r="A2729">
        <v>2021</v>
      </c>
      <c r="B2729" t="s">
        <v>39</v>
      </c>
      <c r="C2729" t="s">
        <v>150</v>
      </c>
      <c r="D2729" s="1" t="s">
        <v>3</v>
      </c>
      <c r="E2729" s="4">
        <v>145.6</v>
      </c>
      <c r="F2729" s="4">
        <v>146.69999999999999</v>
      </c>
      <c r="G2729" s="4">
        <v>149.19999999999999</v>
      </c>
      <c r="H2729" s="1" t="s">
        <v>188</v>
      </c>
      <c r="K2729">
        <v>2015</v>
      </c>
      <c r="L2729" t="s">
        <v>44</v>
      </c>
      <c r="M2729" t="s">
        <v>87</v>
      </c>
      <c r="N2729" t="s">
        <v>16</v>
      </c>
      <c r="O2729" t="s">
        <v>192</v>
      </c>
      <c r="P2729" s="1" t="s">
        <v>30</v>
      </c>
      <c r="Q2729">
        <v>132.19999999999999</v>
      </c>
    </row>
    <row r="2730" spans="1:17" x14ac:dyDescent="0.3">
      <c r="A2730">
        <v>2021</v>
      </c>
      <c r="B2730" t="s">
        <v>39</v>
      </c>
      <c r="C2730" t="s">
        <v>150</v>
      </c>
      <c r="D2730" s="1" t="s">
        <v>17</v>
      </c>
      <c r="E2730" s="4">
        <v>165.3</v>
      </c>
      <c r="F2730" s="4">
        <v>162.19999999999999</v>
      </c>
      <c r="G2730" s="4">
        <v>157.30000000000001</v>
      </c>
      <c r="H2730" s="1" t="s">
        <v>189</v>
      </c>
      <c r="K2730">
        <v>2015</v>
      </c>
      <c r="L2730" t="s">
        <v>44</v>
      </c>
      <c r="M2730" t="s">
        <v>87</v>
      </c>
      <c r="N2730" t="s">
        <v>16</v>
      </c>
      <c r="O2730" t="s">
        <v>192</v>
      </c>
      <c r="P2730" s="1" t="s">
        <v>34</v>
      </c>
      <c r="Q2730">
        <v>133.6</v>
      </c>
    </row>
    <row r="2731" spans="1:17" x14ac:dyDescent="0.3">
      <c r="A2731">
        <v>2021</v>
      </c>
      <c r="B2731" t="s">
        <v>39</v>
      </c>
      <c r="C2731" t="s">
        <v>150</v>
      </c>
      <c r="D2731" s="1" t="s">
        <v>19</v>
      </c>
      <c r="E2731" s="4">
        <v>164.6</v>
      </c>
      <c r="F2731" s="4">
        <v>160.69999999999999</v>
      </c>
      <c r="G2731" s="4">
        <v>154.80000000000001</v>
      </c>
      <c r="H2731" s="1" t="s">
        <v>189</v>
      </c>
      <c r="K2731">
        <v>2015</v>
      </c>
      <c r="L2731" t="s">
        <v>44</v>
      </c>
      <c r="M2731" t="s">
        <v>87</v>
      </c>
      <c r="N2731" t="s">
        <v>16</v>
      </c>
      <c r="O2731" t="s">
        <v>192</v>
      </c>
      <c r="P2731" s="1" t="s">
        <v>33</v>
      </c>
      <c r="Q2731">
        <v>137.6</v>
      </c>
    </row>
    <row r="2732" spans="1:17" x14ac:dyDescent="0.3">
      <c r="A2732">
        <v>2021</v>
      </c>
      <c r="B2732" t="s">
        <v>39</v>
      </c>
      <c r="C2732" t="s">
        <v>150</v>
      </c>
      <c r="D2732" s="1" t="s">
        <v>26</v>
      </c>
      <c r="E2732" s="4">
        <v>166.8</v>
      </c>
      <c r="F2732" s="4">
        <v>161.69999999999999</v>
      </c>
      <c r="G2732" s="4">
        <v>158.1</v>
      </c>
      <c r="H2732" s="1" t="s">
        <v>26</v>
      </c>
      <c r="K2732">
        <v>2015</v>
      </c>
      <c r="L2732" t="s">
        <v>44</v>
      </c>
      <c r="M2732" t="s">
        <v>87</v>
      </c>
      <c r="N2732" t="s">
        <v>27</v>
      </c>
      <c r="O2732" t="s">
        <v>192</v>
      </c>
      <c r="P2732" s="1" t="s">
        <v>30</v>
      </c>
      <c r="Q2732">
        <v>114.2</v>
      </c>
    </row>
    <row r="2733" spans="1:17" x14ac:dyDescent="0.3">
      <c r="A2733">
        <v>2021</v>
      </c>
      <c r="B2733" t="s">
        <v>39</v>
      </c>
      <c r="C2733" t="s">
        <v>150</v>
      </c>
      <c r="D2733" s="1" t="s">
        <v>5</v>
      </c>
      <c r="E2733" s="4">
        <v>179.3</v>
      </c>
      <c r="F2733" s="4">
        <v>180.7</v>
      </c>
      <c r="G2733" s="4">
        <v>182.8</v>
      </c>
      <c r="H2733" s="1" t="s">
        <v>188</v>
      </c>
      <c r="K2733">
        <v>2015</v>
      </c>
      <c r="L2733" t="s">
        <v>44</v>
      </c>
      <c r="M2733" t="s">
        <v>87</v>
      </c>
      <c r="N2733" t="s">
        <v>27</v>
      </c>
      <c r="O2733" t="s">
        <v>192</v>
      </c>
      <c r="P2733" s="1" t="s">
        <v>34</v>
      </c>
      <c r="Q2733">
        <v>113.8</v>
      </c>
    </row>
    <row r="2734" spans="1:17" x14ac:dyDescent="0.3">
      <c r="A2734">
        <v>2021</v>
      </c>
      <c r="B2734" t="s">
        <v>39</v>
      </c>
      <c r="C2734" t="s">
        <v>150</v>
      </c>
      <c r="D2734" s="1" t="s">
        <v>15</v>
      </c>
      <c r="E2734" s="4">
        <v>160.5</v>
      </c>
      <c r="F2734" s="4">
        <v>162.6</v>
      </c>
      <c r="G2734" s="4">
        <v>166.2</v>
      </c>
      <c r="H2734" s="1" t="s">
        <v>188</v>
      </c>
      <c r="K2734">
        <v>2015</v>
      </c>
      <c r="L2734" t="s">
        <v>44</v>
      </c>
      <c r="M2734" t="s">
        <v>87</v>
      </c>
      <c r="N2734" t="s">
        <v>27</v>
      </c>
      <c r="O2734" t="s">
        <v>192</v>
      </c>
      <c r="P2734" s="1" t="s">
        <v>33</v>
      </c>
      <c r="Q2734">
        <v>113.3</v>
      </c>
    </row>
    <row r="2735" spans="1:17" x14ac:dyDescent="0.3">
      <c r="A2735">
        <v>2021</v>
      </c>
      <c r="B2735" t="s">
        <v>39</v>
      </c>
      <c r="C2735" t="s">
        <v>150</v>
      </c>
      <c r="D2735" s="1" t="s">
        <v>18</v>
      </c>
      <c r="E2735" s="4">
        <v>159.9</v>
      </c>
      <c r="F2735" s="4">
        <v>151.80000000000001</v>
      </c>
      <c r="G2735" s="4">
        <v>140.5</v>
      </c>
      <c r="H2735" s="1" t="s">
        <v>189</v>
      </c>
      <c r="K2735">
        <v>2015</v>
      </c>
      <c r="L2735" t="s">
        <v>44</v>
      </c>
      <c r="M2735" t="s">
        <v>87</v>
      </c>
      <c r="N2735" t="s">
        <v>14</v>
      </c>
      <c r="O2735" t="s">
        <v>188</v>
      </c>
      <c r="P2735" s="1" t="s">
        <v>30</v>
      </c>
      <c r="Q2735">
        <v>134.19999999999999</v>
      </c>
    </row>
    <row r="2736" spans="1:17" x14ac:dyDescent="0.3">
      <c r="A2736">
        <v>2021</v>
      </c>
      <c r="B2736" t="s">
        <v>39</v>
      </c>
      <c r="C2736" t="s">
        <v>150</v>
      </c>
      <c r="D2736" s="1" t="s">
        <v>8</v>
      </c>
      <c r="E2736" s="4">
        <v>158.6</v>
      </c>
      <c r="F2736" s="4">
        <v>164.6</v>
      </c>
      <c r="G2736" s="4">
        <v>171.5</v>
      </c>
      <c r="H2736" s="1" t="s">
        <v>188</v>
      </c>
      <c r="K2736">
        <v>2015</v>
      </c>
      <c r="L2736" t="s">
        <v>44</v>
      </c>
      <c r="M2736" t="s">
        <v>87</v>
      </c>
      <c r="N2736" t="s">
        <v>14</v>
      </c>
      <c r="O2736" t="s">
        <v>188</v>
      </c>
      <c r="P2736" s="1" t="s">
        <v>34</v>
      </c>
      <c r="Q2736">
        <v>134</v>
      </c>
    </row>
    <row r="2737" spans="1:17" x14ac:dyDescent="0.3">
      <c r="A2737">
        <v>2021</v>
      </c>
      <c r="B2737" t="s">
        <v>39</v>
      </c>
      <c r="C2737" t="s">
        <v>150</v>
      </c>
      <c r="D2737" s="1" t="s">
        <v>21</v>
      </c>
      <c r="E2737" s="4">
        <v>162.1</v>
      </c>
      <c r="F2737" s="4">
        <v>159.80000000000001</v>
      </c>
      <c r="G2737" s="4">
        <v>156.1</v>
      </c>
      <c r="H2737" s="1" t="s">
        <v>190</v>
      </c>
      <c r="K2737">
        <v>2015</v>
      </c>
      <c r="L2737" t="s">
        <v>44</v>
      </c>
      <c r="M2737" t="s">
        <v>87</v>
      </c>
      <c r="N2737" t="s">
        <v>14</v>
      </c>
      <c r="O2737" t="s">
        <v>188</v>
      </c>
      <c r="P2737" s="1" t="s">
        <v>33</v>
      </c>
      <c r="Q2737">
        <v>133.69999999999999</v>
      </c>
    </row>
    <row r="2738" spans="1:17" x14ac:dyDescent="0.3">
      <c r="A2738">
        <v>2021</v>
      </c>
      <c r="B2738" t="s">
        <v>39</v>
      </c>
      <c r="C2738" t="s">
        <v>150</v>
      </c>
      <c r="D2738" s="1" t="s">
        <v>29</v>
      </c>
      <c r="E2738" s="4">
        <v>162.1</v>
      </c>
      <c r="F2738" s="4">
        <v>161.30000000000001</v>
      </c>
      <c r="G2738" s="4">
        <v>160.4</v>
      </c>
      <c r="H2738" s="1" t="s">
        <v>206</v>
      </c>
      <c r="K2738">
        <v>2015</v>
      </c>
      <c r="L2738" t="s">
        <v>44</v>
      </c>
      <c r="M2738" t="s">
        <v>87</v>
      </c>
      <c r="N2738" t="s">
        <v>10</v>
      </c>
      <c r="O2738" t="s">
        <v>188</v>
      </c>
      <c r="P2738" s="1" t="s">
        <v>30</v>
      </c>
      <c r="Q2738">
        <v>160.80000000000001</v>
      </c>
    </row>
    <row r="2739" spans="1:17" x14ac:dyDescent="0.3">
      <c r="A2739">
        <v>2021</v>
      </c>
      <c r="B2739" t="s">
        <v>39</v>
      </c>
      <c r="C2739" t="s">
        <v>150</v>
      </c>
      <c r="D2739" s="1" t="s">
        <v>23</v>
      </c>
      <c r="E2739" s="4">
        <v>169.7</v>
      </c>
      <c r="F2739" s="4">
        <v>166.3</v>
      </c>
      <c r="G2739" s="4">
        <v>160.80000000000001</v>
      </c>
      <c r="H2739" s="1" t="s">
        <v>23</v>
      </c>
      <c r="K2739">
        <v>2015</v>
      </c>
      <c r="L2739" t="s">
        <v>44</v>
      </c>
      <c r="M2739" t="s">
        <v>87</v>
      </c>
      <c r="N2739" t="s">
        <v>10</v>
      </c>
      <c r="O2739" t="s">
        <v>188</v>
      </c>
      <c r="P2739" s="1" t="s">
        <v>34</v>
      </c>
      <c r="Q2739">
        <v>171.2</v>
      </c>
    </row>
    <row r="2740" spans="1:17" x14ac:dyDescent="0.3">
      <c r="A2740">
        <v>2021</v>
      </c>
      <c r="B2740" t="s">
        <v>39</v>
      </c>
      <c r="C2740" t="s">
        <v>150</v>
      </c>
      <c r="D2740" s="1" t="s">
        <v>22</v>
      </c>
      <c r="E2740" s="4">
        <v>159.19999999999999</v>
      </c>
      <c r="F2740" s="4">
        <v>154.80000000000001</v>
      </c>
      <c r="G2740" s="4">
        <v>149.80000000000001</v>
      </c>
      <c r="H2740" s="1" t="s">
        <v>20</v>
      </c>
      <c r="K2740">
        <v>2015</v>
      </c>
      <c r="L2740" t="s">
        <v>44</v>
      </c>
      <c r="M2740" t="s">
        <v>87</v>
      </c>
      <c r="N2740" t="s">
        <v>10</v>
      </c>
      <c r="O2740" t="s">
        <v>188</v>
      </c>
      <c r="P2740" s="1" t="s">
        <v>33</v>
      </c>
      <c r="Q2740">
        <v>191.6</v>
      </c>
    </row>
    <row r="2741" spans="1:17" x14ac:dyDescent="0.3">
      <c r="A2741">
        <v>2021</v>
      </c>
      <c r="B2741" t="s">
        <v>39</v>
      </c>
      <c r="C2741" t="s">
        <v>150</v>
      </c>
      <c r="D2741" s="1" t="s">
        <v>20</v>
      </c>
      <c r="E2741" s="4">
        <v>0</v>
      </c>
      <c r="F2741" s="4">
        <v>160.5</v>
      </c>
      <c r="G2741" s="4">
        <v>160.5</v>
      </c>
      <c r="H2741" s="1" t="s">
        <v>20</v>
      </c>
      <c r="K2741">
        <v>2015</v>
      </c>
      <c r="L2741" t="s">
        <v>44</v>
      </c>
      <c r="M2741" t="s">
        <v>87</v>
      </c>
      <c r="N2741" t="s">
        <v>25</v>
      </c>
      <c r="O2741" t="s">
        <v>195</v>
      </c>
      <c r="P2741" s="1" t="s">
        <v>30</v>
      </c>
      <c r="Q2741">
        <v>120.9</v>
      </c>
    </row>
    <row r="2742" spans="1:17" x14ac:dyDescent="0.3">
      <c r="A2742">
        <v>2021</v>
      </c>
      <c r="B2742" t="s">
        <v>39</v>
      </c>
      <c r="C2742" t="s">
        <v>150</v>
      </c>
      <c r="D2742" s="1" t="s">
        <v>4</v>
      </c>
      <c r="E2742" s="4">
        <v>200.1</v>
      </c>
      <c r="F2742" s="4">
        <v>202</v>
      </c>
      <c r="G2742" s="4">
        <v>205.5</v>
      </c>
      <c r="H2742" s="1" t="s">
        <v>188</v>
      </c>
      <c r="K2742">
        <v>2015</v>
      </c>
      <c r="L2742" t="s">
        <v>44</v>
      </c>
      <c r="M2742" t="s">
        <v>87</v>
      </c>
      <c r="N2742" t="s">
        <v>25</v>
      </c>
      <c r="O2742" t="s">
        <v>195</v>
      </c>
      <c r="P2742" s="1" t="s">
        <v>34</v>
      </c>
      <c r="Q2742">
        <v>119.2</v>
      </c>
    </row>
    <row r="2743" spans="1:17" x14ac:dyDescent="0.3">
      <c r="A2743">
        <v>2021</v>
      </c>
      <c r="B2743" t="s">
        <v>39</v>
      </c>
      <c r="C2743" t="s">
        <v>150</v>
      </c>
      <c r="D2743" s="1" t="s">
        <v>6</v>
      </c>
      <c r="E2743" s="4">
        <v>156.1</v>
      </c>
      <c r="F2743" s="4">
        <v>156.19999999999999</v>
      </c>
      <c r="G2743" s="4">
        <v>156.5</v>
      </c>
      <c r="H2743" s="1" t="s">
        <v>188</v>
      </c>
      <c r="K2743">
        <v>2015</v>
      </c>
      <c r="L2743" t="s">
        <v>44</v>
      </c>
      <c r="M2743" t="s">
        <v>87</v>
      </c>
      <c r="N2743" t="s">
        <v>25</v>
      </c>
      <c r="O2743" t="s">
        <v>195</v>
      </c>
      <c r="P2743" s="1" t="s">
        <v>33</v>
      </c>
      <c r="Q2743">
        <v>117.9</v>
      </c>
    </row>
    <row r="2744" spans="1:17" x14ac:dyDescent="0.3">
      <c r="A2744">
        <v>2021</v>
      </c>
      <c r="B2744" t="s">
        <v>39</v>
      </c>
      <c r="C2744" t="s">
        <v>150</v>
      </c>
      <c r="D2744" s="1" t="s">
        <v>28</v>
      </c>
      <c r="E2744" s="4">
        <v>161.5</v>
      </c>
      <c r="F2744" s="4">
        <v>157.6</v>
      </c>
      <c r="G2744" s="4">
        <v>153.4</v>
      </c>
      <c r="H2744" s="1" t="s">
        <v>192</v>
      </c>
      <c r="K2744">
        <v>2015</v>
      </c>
      <c r="L2744" t="s">
        <v>44</v>
      </c>
      <c r="M2744" t="s">
        <v>87</v>
      </c>
      <c r="N2744" t="s">
        <v>12</v>
      </c>
      <c r="O2744" t="s">
        <v>188</v>
      </c>
      <c r="P2744" s="1" t="s">
        <v>30</v>
      </c>
      <c r="Q2744">
        <v>128.30000000000001</v>
      </c>
    </row>
    <row r="2745" spans="1:17" x14ac:dyDescent="0.3">
      <c r="A2745">
        <v>2021</v>
      </c>
      <c r="B2745" t="s">
        <v>39</v>
      </c>
      <c r="C2745" t="s">
        <v>150</v>
      </c>
      <c r="D2745" s="1" t="s">
        <v>13</v>
      </c>
      <c r="E2745" s="4">
        <v>165.5</v>
      </c>
      <c r="F2745" s="4">
        <v>160</v>
      </c>
      <c r="G2745" s="4">
        <v>152.30000000000001</v>
      </c>
      <c r="H2745" s="1" t="s">
        <v>188</v>
      </c>
      <c r="K2745">
        <v>2015</v>
      </c>
      <c r="L2745" t="s">
        <v>44</v>
      </c>
      <c r="M2745" t="s">
        <v>87</v>
      </c>
      <c r="N2745" t="s">
        <v>12</v>
      </c>
      <c r="O2745" t="s">
        <v>188</v>
      </c>
      <c r="P2745" s="1" t="s">
        <v>34</v>
      </c>
      <c r="Q2745">
        <v>131.19999999999999</v>
      </c>
    </row>
    <row r="2746" spans="1:17" x14ac:dyDescent="0.3">
      <c r="A2746">
        <v>2021</v>
      </c>
      <c r="B2746" t="s">
        <v>39</v>
      </c>
      <c r="C2746" t="s">
        <v>150</v>
      </c>
      <c r="D2746" s="1" t="s">
        <v>7</v>
      </c>
      <c r="E2746" s="4">
        <v>190.4</v>
      </c>
      <c r="F2746" s="4">
        <v>183.7</v>
      </c>
      <c r="G2746" s="4">
        <v>172.2</v>
      </c>
      <c r="H2746" s="1" t="s">
        <v>188</v>
      </c>
      <c r="K2746">
        <v>2015</v>
      </c>
      <c r="L2746" t="s">
        <v>44</v>
      </c>
      <c r="M2746" t="s">
        <v>87</v>
      </c>
      <c r="N2746" t="s">
        <v>12</v>
      </c>
      <c r="O2746" t="s">
        <v>188</v>
      </c>
      <c r="P2746" s="1" t="s">
        <v>33</v>
      </c>
      <c r="Q2746">
        <v>137.1</v>
      </c>
    </row>
    <row r="2747" spans="1:17" x14ac:dyDescent="0.3">
      <c r="A2747">
        <v>2021</v>
      </c>
      <c r="B2747" t="s">
        <v>39</v>
      </c>
      <c r="C2747" t="s">
        <v>150</v>
      </c>
      <c r="D2747" s="1" t="s">
        <v>16</v>
      </c>
      <c r="E2747" s="4">
        <v>189.1</v>
      </c>
      <c r="F2747" s="4">
        <v>190.8</v>
      </c>
      <c r="G2747" s="4">
        <v>195.6</v>
      </c>
      <c r="H2747" s="1" t="s">
        <v>192</v>
      </c>
      <c r="K2747">
        <v>2015</v>
      </c>
      <c r="L2747" t="s">
        <v>44</v>
      </c>
      <c r="M2747" t="s">
        <v>87</v>
      </c>
      <c r="N2747" t="s">
        <v>11</v>
      </c>
      <c r="O2747" t="s">
        <v>188</v>
      </c>
      <c r="P2747" s="1" t="s">
        <v>30</v>
      </c>
      <c r="Q2747">
        <v>94.5</v>
      </c>
    </row>
    <row r="2748" spans="1:17" x14ac:dyDescent="0.3">
      <c r="A2748">
        <v>2021</v>
      </c>
      <c r="B2748" t="s">
        <v>39</v>
      </c>
      <c r="C2748" t="s">
        <v>150</v>
      </c>
      <c r="D2748" s="1" t="s">
        <v>27</v>
      </c>
      <c r="E2748" s="4">
        <v>159.4</v>
      </c>
      <c r="F2748" s="4">
        <v>158.80000000000001</v>
      </c>
      <c r="G2748" s="4">
        <v>158</v>
      </c>
      <c r="H2748" s="1" t="s">
        <v>192</v>
      </c>
      <c r="K2748">
        <v>2015</v>
      </c>
      <c r="L2748" t="s">
        <v>44</v>
      </c>
      <c r="M2748" t="s">
        <v>87</v>
      </c>
      <c r="N2748" t="s">
        <v>11</v>
      </c>
      <c r="O2748" t="s">
        <v>188</v>
      </c>
      <c r="P2748" s="1" t="s">
        <v>34</v>
      </c>
      <c r="Q2748">
        <v>93.3</v>
      </c>
    </row>
    <row r="2749" spans="1:17" x14ac:dyDescent="0.3">
      <c r="A2749">
        <v>2021</v>
      </c>
      <c r="B2749" t="s">
        <v>39</v>
      </c>
      <c r="C2749" t="s">
        <v>150</v>
      </c>
      <c r="D2749" s="1" t="s">
        <v>14</v>
      </c>
      <c r="E2749" s="4">
        <v>171.7</v>
      </c>
      <c r="F2749" s="4">
        <v>172.4</v>
      </c>
      <c r="G2749" s="4">
        <v>173.3</v>
      </c>
      <c r="H2749" s="1" t="s">
        <v>188</v>
      </c>
      <c r="K2749">
        <v>2015</v>
      </c>
      <c r="L2749" t="s">
        <v>44</v>
      </c>
      <c r="M2749" t="s">
        <v>87</v>
      </c>
      <c r="N2749" t="s">
        <v>11</v>
      </c>
      <c r="O2749" t="s">
        <v>188</v>
      </c>
      <c r="P2749" s="1" t="s">
        <v>33</v>
      </c>
      <c r="Q2749">
        <v>90.8</v>
      </c>
    </row>
    <row r="2750" spans="1:17" x14ac:dyDescent="0.3">
      <c r="A2750">
        <v>2021</v>
      </c>
      <c r="B2750" t="s">
        <v>39</v>
      </c>
      <c r="C2750" t="s">
        <v>150</v>
      </c>
      <c r="D2750" s="1" t="s">
        <v>10</v>
      </c>
      <c r="E2750" s="4">
        <v>165.5</v>
      </c>
      <c r="F2750" s="4">
        <v>166</v>
      </c>
      <c r="G2750" s="4">
        <v>166.9</v>
      </c>
      <c r="H2750" s="1" t="s">
        <v>188</v>
      </c>
      <c r="K2750">
        <v>2015</v>
      </c>
      <c r="L2750" t="s">
        <v>44</v>
      </c>
      <c r="M2750" t="s">
        <v>87</v>
      </c>
      <c r="N2750" t="s">
        <v>24</v>
      </c>
      <c r="O2750" t="s">
        <v>191</v>
      </c>
      <c r="P2750" s="1" t="s">
        <v>30</v>
      </c>
      <c r="Q2750">
        <v>114</v>
      </c>
    </row>
    <row r="2751" spans="1:17" x14ac:dyDescent="0.3">
      <c r="A2751">
        <v>2021</v>
      </c>
      <c r="B2751" t="s">
        <v>39</v>
      </c>
      <c r="C2751" t="s">
        <v>150</v>
      </c>
      <c r="D2751" s="1" t="s">
        <v>25</v>
      </c>
      <c r="E2751" s="4">
        <v>160.4</v>
      </c>
      <c r="F2751" s="4">
        <v>154.9</v>
      </c>
      <c r="G2751" s="4">
        <v>150.69999999999999</v>
      </c>
      <c r="H2751" s="1" t="s">
        <v>195</v>
      </c>
      <c r="K2751">
        <v>2015</v>
      </c>
      <c r="L2751" t="s">
        <v>44</v>
      </c>
      <c r="M2751" t="s">
        <v>87</v>
      </c>
      <c r="N2751" t="s">
        <v>24</v>
      </c>
      <c r="O2751" t="s">
        <v>191</v>
      </c>
      <c r="P2751" s="1" t="s">
        <v>34</v>
      </c>
      <c r="Q2751">
        <v>111.5</v>
      </c>
    </row>
    <row r="2752" spans="1:17" x14ac:dyDescent="0.3">
      <c r="A2752">
        <v>2021</v>
      </c>
      <c r="B2752" t="s">
        <v>39</v>
      </c>
      <c r="C2752" t="s">
        <v>150</v>
      </c>
      <c r="D2752" s="1" t="s">
        <v>12</v>
      </c>
      <c r="E2752" s="4">
        <v>170</v>
      </c>
      <c r="F2752" s="4">
        <v>168.5</v>
      </c>
      <c r="G2752" s="4">
        <v>165.5</v>
      </c>
      <c r="H2752" s="1" t="s">
        <v>188</v>
      </c>
      <c r="K2752">
        <v>2015</v>
      </c>
      <c r="L2752" t="s">
        <v>44</v>
      </c>
      <c r="M2752" t="s">
        <v>87</v>
      </c>
      <c r="N2752" t="s">
        <v>24</v>
      </c>
      <c r="O2752" t="s">
        <v>191</v>
      </c>
      <c r="P2752" s="1" t="s">
        <v>33</v>
      </c>
      <c r="Q2752">
        <v>109.3</v>
      </c>
    </row>
    <row r="2753" spans="1:17" x14ac:dyDescent="0.3">
      <c r="A2753">
        <v>2021</v>
      </c>
      <c r="B2753" t="s">
        <v>39</v>
      </c>
      <c r="C2753" t="s">
        <v>150</v>
      </c>
      <c r="D2753" s="1" t="s">
        <v>11</v>
      </c>
      <c r="E2753" s="4">
        <v>114.6</v>
      </c>
      <c r="F2753" s="4">
        <v>115.1</v>
      </c>
      <c r="G2753" s="4">
        <v>116.1</v>
      </c>
      <c r="H2753" s="1" t="s">
        <v>188</v>
      </c>
      <c r="K2753">
        <v>2015</v>
      </c>
      <c r="L2753" t="s">
        <v>44</v>
      </c>
      <c r="M2753" t="s">
        <v>87</v>
      </c>
      <c r="N2753" t="s">
        <v>9</v>
      </c>
      <c r="O2753" t="s">
        <v>188</v>
      </c>
      <c r="P2753" s="1" t="s">
        <v>30</v>
      </c>
      <c r="Q2753">
        <v>155.19999999999999</v>
      </c>
    </row>
    <row r="2754" spans="1:17" x14ac:dyDescent="0.3">
      <c r="A2754">
        <v>2021</v>
      </c>
      <c r="B2754" t="s">
        <v>39</v>
      </c>
      <c r="C2754" t="s">
        <v>150</v>
      </c>
      <c r="D2754" s="1" t="s">
        <v>24</v>
      </c>
      <c r="E2754" s="4">
        <v>154.19999999999999</v>
      </c>
      <c r="F2754" s="4">
        <v>150.69999999999999</v>
      </c>
      <c r="G2754" s="4">
        <v>147.5</v>
      </c>
      <c r="H2754" s="1" t="s">
        <v>191</v>
      </c>
      <c r="K2754">
        <v>2015</v>
      </c>
      <c r="L2754" t="s">
        <v>44</v>
      </c>
      <c r="M2754" t="s">
        <v>87</v>
      </c>
      <c r="N2754" t="s">
        <v>9</v>
      </c>
      <c r="O2754" t="s">
        <v>188</v>
      </c>
      <c r="P2754" s="1" t="s">
        <v>34</v>
      </c>
      <c r="Q2754">
        <v>158.4</v>
      </c>
    </row>
    <row r="2755" spans="1:17" x14ac:dyDescent="0.3">
      <c r="A2755">
        <v>2021</v>
      </c>
      <c r="B2755" t="s">
        <v>39</v>
      </c>
      <c r="C2755" t="s">
        <v>150</v>
      </c>
      <c r="D2755" s="1" t="s">
        <v>9</v>
      </c>
      <c r="E2755" s="4">
        <v>144.69999999999999</v>
      </c>
      <c r="F2755" s="4">
        <v>155.4</v>
      </c>
      <c r="G2755" s="4">
        <v>176.2</v>
      </c>
      <c r="H2755" s="1" t="s">
        <v>188</v>
      </c>
      <c r="K2755">
        <v>2015</v>
      </c>
      <c r="L2755" t="s">
        <v>44</v>
      </c>
      <c r="M2755" t="s">
        <v>87</v>
      </c>
      <c r="N2755" t="s">
        <v>9</v>
      </c>
      <c r="O2755" t="s">
        <v>188</v>
      </c>
      <c r="P2755" s="1" t="s">
        <v>33</v>
      </c>
      <c r="Q2755">
        <v>164.6</v>
      </c>
    </row>
    <row r="2756" spans="1:17" x14ac:dyDescent="0.3">
      <c r="A2756">
        <v>2021</v>
      </c>
      <c r="B2756" t="s">
        <v>36</v>
      </c>
      <c r="C2756" t="s">
        <v>151</v>
      </c>
      <c r="D2756" s="1" t="s">
        <v>3</v>
      </c>
      <c r="E2756" s="4">
        <v>142.5</v>
      </c>
      <c r="F2756" s="4">
        <v>144.1</v>
      </c>
      <c r="G2756" s="4">
        <v>147.5</v>
      </c>
      <c r="H2756" s="1" t="s">
        <v>188</v>
      </c>
      <c r="K2756">
        <v>2015</v>
      </c>
      <c r="L2756" t="s">
        <v>43</v>
      </c>
      <c r="M2756" t="s">
        <v>88</v>
      </c>
      <c r="N2756" t="s">
        <v>3</v>
      </c>
      <c r="O2756" t="s">
        <v>188</v>
      </c>
      <c r="P2756" s="1" t="s">
        <v>30</v>
      </c>
      <c r="Q2756">
        <v>125.6</v>
      </c>
    </row>
    <row r="2757" spans="1:17" x14ac:dyDescent="0.3">
      <c r="A2757">
        <v>2021</v>
      </c>
      <c r="B2757" t="s">
        <v>36</v>
      </c>
      <c r="C2757" t="s">
        <v>151</v>
      </c>
      <c r="D2757" s="1" t="s">
        <v>17</v>
      </c>
      <c r="E2757" s="4">
        <v>159.6</v>
      </c>
      <c r="F2757" s="4">
        <v>157.80000000000001</v>
      </c>
      <c r="G2757" s="4">
        <v>155.1</v>
      </c>
      <c r="H2757" s="1" t="s">
        <v>189</v>
      </c>
      <c r="K2757">
        <v>2015</v>
      </c>
      <c r="L2757" t="s">
        <v>43</v>
      </c>
      <c r="M2757" t="s">
        <v>88</v>
      </c>
      <c r="N2757" t="s">
        <v>3</v>
      </c>
      <c r="O2757" t="s">
        <v>188</v>
      </c>
      <c r="P2757" s="1" t="s">
        <v>34</v>
      </c>
      <c r="Q2757">
        <v>125</v>
      </c>
    </row>
    <row r="2758" spans="1:17" x14ac:dyDescent="0.3">
      <c r="A2758">
        <v>2021</v>
      </c>
      <c r="B2758" t="s">
        <v>36</v>
      </c>
      <c r="C2758" t="s">
        <v>151</v>
      </c>
      <c r="D2758" s="1" t="s">
        <v>19</v>
      </c>
      <c r="E2758" s="4">
        <v>158.9</v>
      </c>
      <c r="F2758" s="4">
        <v>156.4</v>
      </c>
      <c r="G2758" s="4">
        <v>152.6</v>
      </c>
      <c r="H2758" s="1" t="s">
        <v>189</v>
      </c>
      <c r="K2758">
        <v>2015</v>
      </c>
      <c r="L2758" t="s">
        <v>43</v>
      </c>
      <c r="M2758" t="s">
        <v>88</v>
      </c>
      <c r="N2758" t="s">
        <v>3</v>
      </c>
      <c r="O2758" t="s">
        <v>188</v>
      </c>
      <c r="P2758" s="1" t="s">
        <v>33</v>
      </c>
      <c r="Q2758">
        <v>123.6</v>
      </c>
    </row>
    <row r="2759" spans="1:17" x14ac:dyDescent="0.3">
      <c r="A2759">
        <v>2021</v>
      </c>
      <c r="B2759" t="s">
        <v>36</v>
      </c>
      <c r="C2759" t="s">
        <v>151</v>
      </c>
      <c r="D2759" s="1" t="s">
        <v>26</v>
      </c>
      <c r="E2759" s="4">
        <v>163.80000000000001</v>
      </c>
      <c r="F2759" s="4">
        <v>160.19999999999999</v>
      </c>
      <c r="G2759" s="4">
        <v>157.6</v>
      </c>
      <c r="H2759" s="1" t="s">
        <v>26</v>
      </c>
      <c r="K2759">
        <v>2015</v>
      </c>
      <c r="L2759" t="s">
        <v>43</v>
      </c>
      <c r="M2759" t="s">
        <v>88</v>
      </c>
      <c r="N2759" t="s">
        <v>17</v>
      </c>
      <c r="O2759" t="s">
        <v>189</v>
      </c>
      <c r="P2759" s="1" t="s">
        <v>30</v>
      </c>
      <c r="Q2759">
        <v>131.1</v>
      </c>
    </row>
    <row r="2760" spans="1:17" x14ac:dyDescent="0.3">
      <c r="A2760">
        <v>2021</v>
      </c>
      <c r="B2760" t="s">
        <v>36</v>
      </c>
      <c r="C2760" t="s">
        <v>151</v>
      </c>
      <c r="D2760" s="1" t="s">
        <v>5</v>
      </c>
      <c r="E2760" s="4">
        <v>163.19999999999999</v>
      </c>
      <c r="F2760" s="4">
        <v>163.80000000000001</v>
      </c>
      <c r="G2760" s="4">
        <v>164.7</v>
      </c>
      <c r="H2760" s="1" t="s">
        <v>188</v>
      </c>
      <c r="K2760">
        <v>2015</v>
      </c>
      <c r="L2760" t="s">
        <v>43</v>
      </c>
      <c r="M2760" t="s">
        <v>88</v>
      </c>
      <c r="N2760" t="s">
        <v>17</v>
      </c>
      <c r="O2760" t="s">
        <v>189</v>
      </c>
      <c r="P2760" s="1" t="s">
        <v>34</v>
      </c>
      <c r="Q2760">
        <v>128.5</v>
      </c>
    </row>
    <row r="2761" spans="1:17" x14ac:dyDescent="0.3">
      <c r="A2761">
        <v>2021</v>
      </c>
      <c r="B2761" t="s">
        <v>36</v>
      </c>
      <c r="C2761" t="s">
        <v>151</v>
      </c>
      <c r="D2761" s="1" t="s">
        <v>15</v>
      </c>
      <c r="E2761" s="4">
        <v>154.5</v>
      </c>
      <c r="F2761" s="4">
        <v>156.69999999999999</v>
      </c>
      <c r="G2761" s="4">
        <v>160.4</v>
      </c>
      <c r="H2761" s="1" t="s">
        <v>188</v>
      </c>
      <c r="K2761">
        <v>2015</v>
      </c>
      <c r="L2761" t="s">
        <v>43</v>
      </c>
      <c r="M2761" t="s">
        <v>88</v>
      </c>
      <c r="N2761" t="s">
        <v>17</v>
      </c>
      <c r="O2761" t="s">
        <v>189</v>
      </c>
      <c r="P2761" s="1" t="s">
        <v>33</v>
      </c>
      <c r="Q2761">
        <v>124.4</v>
      </c>
    </row>
    <row r="2762" spans="1:17" x14ac:dyDescent="0.3">
      <c r="A2762">
        <v>2021</v>
      </c>
      <c r="B2762" t="s">
        <v>36</v>
      </c>
      <c r="C2762" t="s">
        <v>151</v>
      </c>
      <c r="D2762" s="1" t="s">
        <v>18</v>
      </c>
      <c r="E2762" s="4">
        <v>154.4</v>
      </c>
      <c r="F2762" s="4">
        <v>147.9</v>
      </c>
      <c r="G2762" s="4">
        <v>138.69999999999999</v>
      </c>
      <c r="H2762" s="1" t="s">
        <v>189</v>
      </c>
      <c r="K2762">
        <v>2015</v>
      </c>
      <c r="L2762" t="s">
        <v>43</v>
      </c>
      <c r="M2762" t="s">
        <v>88</v>
      </c>
      <c r="N2762" t="s">
        <v>19</v>
      </c>
      <c r="O2762" t="s">
        <v>189</v>
      </c>
      <c r="P2762" s="1" t="s">
        <v>30</v>
      </c>
      <c r="Q2762">
        <v>130.6</v>
      </c>
    </row>
    <row r="2763" spans="1:17" x14ac:dyDescent="0.3">
      <c r="A2763">
        <v>2021</v>
      </c>
      <c r="B2763" t="s">
        <v>36</v>
      </c>
      <c r="C2763" t="s">
        <v>151</v>
      </c>
      <c r="D2763" s="1" t="s">
        <v>8</v>
      </c>
      <c r="E2763" s="4">
        <v>150.5</v>
      </c>
      <c r="F2763" s="4">
        <v>153.69999999999999</v>
      </c>
      <c r="G2763" s="4">
        <v>157.30000000000001</v>
      </c>
      <c r="H2763" s="1" t="s">
        <v>188</v>
      </c>
      <c r="K2763">
        <v>2015</v>
      </c>
      <c r="L2763" t="s">
        <v>43</v>
      </c>
      <c r="M2763" t="s">
        <v>88</v>
      </c>
      <c r="N2763" t="s">
        <v>19</v>
      </c>
      <c r="O2763" t="s">
        <v>189</v>
      </c>
      <c r="P2763" s="1" t="s">
        <v>34</v>
      </c>
      <c r="Q2763">
        <v>127.8</v>
      </c>
    </row>
    <row r="2764" spans="1:17" x14ac:dyDescent="0.3">
      <c r="A2764">
        <v>2021</v>
      </c>
      <c r="B2764" t="s">
        <v>36</v>
      </c>
      <c r="C2764" t="s">
        <v>151</v>
      </c>
      <c r="D2764" s="1" t="s">
        <v>21</v>
      </c>
      <c r="E2764" s="4">
        <v>156</v>
      </c>
      <c r="F2764" s="4">
        <v>155.5</v>
      </c>
      <c r="G2764" s="4">
        <v>154.80000000000001</v>
      </c>
      <c r="H2764" s="1" t="s">
        <v>190</v>
      </c>
      <c r="K2764">
        <v>2015</v>
      </c>
      <c r="L2764" t="s">
        <v>43</v>
      </c>
      <c r="M2764" t="s">
        <v>88</v>
      </c>
      <c r="N2764" t="s">
        <v>19</v>
      </c>
      <c r="O2764" t="s">
        <v>189</v>
      </c>
      <c r="P2764" s="1" t="s">
        <v>33</v>
      </c>
      <c r="Q2764">
        <v>123.6</v>
      </c>
    </row>
    <row r="2765" spans="1:17" x14ac:dyDescent="0.3">
      <c r="A2765">
        <v>2021</v>
      </c>
      <c r="B2765" t="s">
        <v>36</v>
      </c>
      <c r="C2765" t="s">
        <v>151</v>
      </c>
      <c r="D2765" s="1" t="s">
        <v>29</v>
      </c>
      <c r="E2765" s="4">
        <v>156.69999999999999</v>
      </c>
      <c r="F2765" s="4">
        <v>156.80000000000001</v>
      </c>
      <c r="G2765" s="4">
        <v>156.9</v>
      </c>
      <c r="H2765" s="1" t="s">
        <v>206</v>
      </c>
      <c r="K2765">
        <v>2015</v>
      </c>
      <c r="L2765" t="s">
        <v>43</v>
      </c>
      <c r="M2765" t="s">
        <v>88</v>
      </c>
      <c r="N2765" t="s">
        <v>26</v>
      </c>
      <c r="O2765" t="s">
        <v>26</v>
      </c>
      <c r="P2765" s="1" t="s">
        <v>30</v>
      </c>
      <c r="Q2765">
        <v>125.1</v>
      </c>
    </row>
    <row r="2766" spans="1:17" x14ac:dyDescent="0.3">
      <c r="A2766">
        <v>2021</v>
      </c>
      <c r="B2766" t="s">
        <v>36</v>
      </c>
      <c r="C2766" t="s">
        <v>151</v>
      </c>
      <c r="D2766" s="1" t="s">
        <v>23</v>
      </c>
      <c r="E2766" s="4">
        <v>164.6</v>
      </c>
      <c r="F2766" s="4">
        <v>161.69999999999999</v>
      </c>
      <c r="G2766" s="4">
        <v>156.9</v>
      </c>
      <c r="H2766" s="1" t="s">
        <v>23</v>
      </c>
      <c r="K2766">
        <v>2015</v>
      </c>
      <c r="L2766" t="s">
        <v>43</v>
      </c>
      <c r="M2766" t="s">
        <v>88</v>
      </c>
      <c r="N2766" t="s">
        <v>26</v>
      </c>
      <c r="O2766" t="s">
        <v>26</v>
      </c>
      <c r="P2766" s="1" t="s">
        <v>34</v>
      </c>
      <c r="Q2766">
        <v>125.9</v>
      </c>
    </row>
    <row r="2767" spans="1:17" x14ac:dyDescent="0.3">
      <c r="A2767">
        <v>2021</v>
      </c>
      <c r="B2767" t="s">
        <v>36</v>
      </c>
      <c r="C2767" t="s">
        <v>151</v>
      </c>
      <c r="D2767" s="1" t="s">
        <v>22</v>
      </c>
      <c r="E2767" s="4">
        <v>154.80000000000001</v>
      </c>
      <c r="F2767" s="4">
        <v>151.19999999999999</v>
      </c>
      <c r="G2767" s="4">
        <v>147.19999999999999</v>
      </c>
      <c r="H2767" s="1" t="s">
        <v>20</v>
      </c>
      <c r="K2767">
        <v>2015</v>
      </c>
      <c r="L2767" t="s">
        <v>43</v>
      </c>
      <c r="M2767" t="s">
        <v>88</v>
      </c>
      <c r="N2767" t="s">
        <v>26</v>
      </c>
      <c r="O2767" t="s">
        <v>26</v>
      </c>
      <c r="P2767" s="1" t="s">
        <v>33</v>
      </c>
      <c r="Q2767">
        <v>126.5</v>
      </c>
    </row>
    <row r="2768" spans="1:17" x14ac:dyDescent="0.3">
      <c r="A2768">
        <v>2021</v>
      </c>
      <c r="B2768" t="s">
        <v>36</v>
      </c>
      <c r="C2768" t="s">
        <v>151</v>
      </c>
      <c r="D2768" s="1" t="s">
        <v>20</v>
      </c>
      <c r="E2768" s="4">
        <v>0</v>
      </c>
      <c r="F2768" s="4">
        <v>159.9</v>
      </c>
      <c r="G2768" s="4">
        <v>159.9</v>
      </c>
      <c r="H2768" s="1" t="s">
        <v>20</v>
      </c>
      <c r="K2768">
        <v>2015</v>
      </c>
      <c r="L2768" t="s">
        <v>43</v>
      </c>
      <c r="M2768" t="s">
        <v>88</v>
      </c>
      <c r="N2768" t="s">
        <v>5</v>
      </c>
      <c r="O2768" t="s">
        <v>188</v>
      </c>
      <c r="P2768" s="1" t="s">
        <v>30</v>
      </c>
      <c r="Q2768">
        <v>120.8</v>
      </c>
    </row>
    <row r="2769" spans="1:17" x14ac:dyDescent="0.3">
      <c r="A2769">
        <v>2021</v>
      </c>
      <c r="B2769" t="s">
        <v>36</v>
      </c>
      <c r="C2769" t="s">
        <v>151</v>
      </c>
      <c r="D2769" s="1" t="s">
        <v>4</v>
      </c>
      <c r="E2769" s="4">
        <v>189.4</v>
      </c>
      <c r="F2769" s="4">
        <v>192.2</v>
      </c>
      <c r="G2769" s="4">
        <v>197.5</v>
      </c>
      <c r="H2769" s="1" t="s">
        <v>188</v>
      </c>
      <c r="K2769">
        <v>2015</v>
      </c>
      <c r="L2769" t="s">
        <v>43</v>
      </c>
      <c r="M2769" t="s">
        <v>88</v>
      </c>
      <c r="N2769" t="s">
        <v>5</v>
      </c>
      <c r="O2769" t="s">
        <v>188</v>
      </c>
      <c r="P2769" s="1" t="s">
        <v>34</v>
      </c>
      <c r="Q2769">
        <v>118.9</v>
      </c>
    </row>
    <row r="2770" spans="1:17" x14ac:dyDescent="0.3">
      <c r="A2770">
        <v>2021</v>
      </c>
      <c r="B2770" t="s">
        <v>36</v>
      </c>
      <c r="C2770" t="s">
        <v>151</v>
      </c>
      <c r="D2770" s="1" t="s">
        <v>6</v>
      </c>
      <c r="E2770" s="4">
        <v>154.5</v>
      </c>
      <c r="F2770" s="4">
        <v>154.9</v>
      </c>
      <c r="G2770" s="4">
        <v>155.6</v>
      </c>
      <c r="H2770" s="1" t="s">
        <v>188</v>
      </c>
      <c r="K2770">
        <v>2015</v>
      </c>
      <c r="L2770" t="s">
        <v>43</v>
      </c>
      <c r="M2770" t="s">
        <v>88</v>
      </c>
      <c r="N2770" t="s">
        <v>5</v>
      </c>
      <c r="O2770" t="s">
        <v>188</v>
      </c>
      <c r="P2770" s="1" t="s">
        <v>33</v>
      </c>
      <c r="Q2770">
        <v>115.9</v>
      </c>
    </row>
    <row r="2771" spans="1:17" x14ac:dyDescent="0.3">
      <c r="A2771">
        <v>2021</v>
      </c>
      <c r="B2771" t="s">
        <v>36</v>
      </c>
      <c r="C2771" t="s">
        <v>151</v>
      </c>
      <c r="D2771" s="1" t="s">
        <v>28</v>
      </c>
      <c r="E2771" s="4">
        <v>157.30000000000001</v>
      </c>
      <c r="F2771" s="4">
        <v>153.80000000000001</v>
      </c>
      <c r="G2771" s="4">
        <v>150</v>
      </c>
      <c r="H2771" s="1" t="s">
        <v>192</v>
      </c>
      <c r="K2771">
        <v>2015</v>
      </c>
      <c r="L2771" t="s">
        <v>43</v>
      </c>
      <c r="M2771" t="s">
        <v>88</v>
      </c>
      <c r="N2771" t="s">
        <v>15</v>
      </c>
      <c r="O2771" t="s">
        <v>188</v>
      </c>
      <c r="P2771" s="1" t="s">
        <v>30</v>
      </c>
      <c r="Q2771">
        <v>131.80000000000001</v>
      </c>
    </row>
    <row r="2772" spans="1:17" x14ac:dyDescent="0.3">
      <c r="A2772">
        <v>2021</v>
      </c>
      <c r="B2772" t="s">
        <v>36</v>
      </c>
      <c r="C2772" t="s">
        <v>151</v>
      </c>
      <c r="D2772" s="1" t="s">
        <v>13</v>
      </c>
      <c r="E2772" s="4">
        <v>160.6</v>
      </c>
      <c r="F2772" s="4">
        <v>156.5</v>
      </c>
      <c r="G2772" s="4">
        <v>150.69999999999999</v>
      </c>
      <c r="H2772" s="1" t="s">
        <v>188</v>
      </c>
      <c r="K2772">
        <v>2015</v>
      </c>
      <c r="L2772" t="s">
        <v>43</v>
      </c>
      <c r="M2772" t="s">
        <v>88</v>
      </c>
      <c r="N2772" t="s">
        <v>15</v>
      </c>
      <c r="O2772" t="s">
        <v>188</v>
      </c>
      <c r="P2772" s="1" t="s">
        <v>34</v>
      </c>
      <c r="Q2772">
        <v>132.1</v>
      </c>
    </row>
    <row r="2773" spans="1:17" x14ac:dyDescent="0.3">
      <c r="A2773">
        <v>2021</v>
      </c>
      <c r="B2773" t="s">
        <v>36</v>
      </c>
      <c r="C2773" t="s">
        <v>151</v>
      </c>
      <c r="D2773" s="1" t="s">
        <v>7</v>
      </c>
      <c r="E2773" s="4">
        <v>168.2</v>
      </c>
      <c r="F2773" s="4">
        <v>163.9</v>
      </c>
      <c r="G2773" s="4">
        <v>156.4</v>
      </c>
      <c r="H2773" s="1" t="s">
        <v>188</v>
      </c>
      <c r="K2773">
        <v>2015</v>
      </c>
      <c r="L2773" t="s">
        <v>43</v>
      </c>
      <c r="M2773" t="s">
        <v>88</v>
      </c>
      <c r="N2773" t="s">
        <v>15</v>
      </c>
      <c r="O2773" t="s">
        <v>188</v>
      </c>
      <c r="P2773" s="1" t="s">
        <v>33</v>
      </c>
      <c r="Q2773">
        <v>132.6</v>
      </c>
    </row>
    <row r="2774" spans="1:17" x14ac:dyDescent="0.3">
      <c r="A2774">
        <v>2021</v>
      </c>
      <c r="B2774" t="s">
        <v>36</v>
      </c>
      <c r="C2774" t="s">
        <v>151</v>
      </c>
      <c r="D2774" s="1" t="s">
        <v>16</v>
      </c>
      <c r="E2774" s="4">
        <v>186.1</v>
      </c>
      <c r="F2774" s="4">
        <v>188.1</v>
      </c>
      <c r="G2774" s="4">
        <v>193.5</v>
      </c>
      <c r="H2774" s="1" t="s">
        <v>192</v>
      </c>
      <c r="K2774">
        <v>2015</v>
      </c>
      <c r="L2774" t="s">
        <v>43</v>
      </c>
      <c r="M2774" t="s">
        <v>88</v>
      </c>
      <c r="N2774" t="s">
        <v>18</v>
      </c>
      <c r="O2774" t="s">
        <v>189</v>
      </c>
      <c r="P2774" s="1" t="s">
        <v>30</v>
      </c>
      <c r="Q2774">
        <v>127.3</v>
      </c>
    </row>
    <row r="2775" spans="1:17" x14ac:dyDescent="0.3">
      <c r="A2775">
        <v>2021</v>
      </c>
      <c r="B2775" t="s">
        <v>36</v>
      </c>
      <c r="C2775" t="s">
        <v>151</v>
      </c>
      <c r="D2775" s="1" t="s">
        <v>27</v>
      </c>
      <c r="E2775" s="4">
        <v>153.1</v>
      </c>
      <c r="F2775" s="4">
        <v>153.80000000000001</v>
      </c>
      <c r="G2775" s="4">
        <v>154.9</v>
      </c>
      <c r="H2775" s="1" t="s">
        <v>192</v>
      </c>
      <c r="K2775">
        <v>2015</v>
      </c>
      <c r="L2775" t="s">
        <v>43</v>
      </c>
      <c r="M2775" t="s">
        <v>88</v>
      </c>
      <c r="N2775" t="s">
        <v>18</v>
      </c>
      <c r="O2775" t="s">
        <v>189</v>
      </c>
      <c r="P2775" s="1" t="s">
        <v>34</v>
      </c>
      <c r="Q2775">
        <v>123.8</v>
      </c>
    </row>
    <row r="2776" spans="1:17" x14ac:dyDescent="0.3">
      <c r="A2776">
        <v>2021</v>
      </c>
      <c r="B2776" t="s">
        <v>36</v>
      </c>
      <c r="C2776" t="s">
        <v>151</v>
      </c>
      <c r="D2776" s="1" t="s">
        <v>14</v>
      </c>
      <c r="E2776" s="4">
        <v>166.4</v>
      </c>
      <c r="F2776" s="4">
        <v>168.2</v>
      </c>
      <c r="G2776" s="4">
        <v>170.3</v>
      </c>
      <c r="H2776" s="1" t="s">
        <v>188</v>
      </c>
      <c r="K2776">
        <v>2015</v>
      </c>
      <c r="L2776" t="s">
        <v>43</v>
      </c>
      <c r="M2776" t="s">
        <v>88</v>
      </c>
      <c r="N2776" t="s">
        <v>18</v>
      </c>
      <c r="O2776" t="s">
        <v>189</v>
      </c>
      <c r="P2776" s="1" t="s">
        <v>33</v>
      </c>
      <c r="Q2776">
        <v>118.8</v>
      </c>
    </row>
    <row r="2777" spans="1:17" x14ac:dyDescent="0.3">
      <c r="A2777">
        <v>2021</v>
      </c>
      <c r="B2777" t="s">
        <v>36</v>
      </c>
      <c r="C2777" t="s">
        <v>151</v>
      </c>
      <c r="D2777" s="1" t="s">
        <v>10</v>
      </c>
      <c r="E2777" s="4">
        <v>159.19999999999999</v>
      </c>
      <c r="F2777" s="4">
        <v>159.80000000000001</v>
      </c>
      <c r="G2777" s="4">
        <v>161.1</v>
      </c>
      <c r="H2777" s="1" t="s">
        <v>188</v>
      </c>
      <c r="K2777">
        <v>2015</v>
      </c>
      <c r="L2777" t="s">
        <v>43</v>
      </c>
      <c r="M2777" t="s">
        <v>88</v>
      </c>
      <c r="N2777" t="s">
        <v>8</v>
      </c>
      <c r="O2777" t="s">
        <v>188</v>
      </c>
      <c r="P2777" s="1" t="s">
        <v>30</v>
      </c>
      <c r="Q2777">
        <v>133.19999999999999</v>
      </c>
    </row>
    <row r="2778" spans="1:17" x14ac:dyDescent="0.3">
      <c r="A2778">
        <v>2021</v>
      </c>
      <c r="B2778" t="s">
        <v>36</v>
      </c>
      <c r="C2778" t="s">
        <v>151</v>
      </c>
      <c r="D2778" s="1" t="s">
        <v>25</v>
      </c>
      <c r="E2778" s="4">
        <v>157.80000000000001</v>
      </c>
      <c r="F2778" s="4">
        <v>152.6</v>
      </c>
      <c r="G2778" s="4">
        <v>148.6</v>
      </c>
      <c r="H2778" s="1" t="s">
        <v>195</v>
      </c>
      <c r="K2778">
        <v>2015</v>
      </c>
      <c r="L2778" t="s">
        <v>43</v>
      </c>
      <c r="M2778" t="s">
        <v>88</v>
      </c>
      <c r="N2778" t="s">
        <v>8</v>
      </c>
      <c r="O2778" t="s">
        <v>188</v>
      </c>
      <c r="P2778" s="1" t="s">
        <v>34</v>
      </c>
      <c r="Q2778">
        <v>129</v>
      </c>
    </row>
    <row r="2779" spans="1:17" x14ac:dyDescent="0.3">
      <c r="A2779">
        <v>2021</v>
      </c>
      <c r="B2779" t="s">
        <v>36</v>
      </c>
      <c r="C2779" t="s">
        <v>151</v>
      </c>
      <c r="D2779" s="1" t="s">
        <v>12</v>
      </c>
      <c r="E2779" s="4">
        <v>164</v>
      </c>
      <c r="F2779" s="4">
        <v>163.5</v>
      </c>
      <c r="G2779" s="4">
        <v>162.6</v>
      </c>
      <c r="H2779" s="1" t="s">
        <v>188</v>
      </c>
      <c r="K2779">
        <v>2015</v>
      </c>
      <c r="L2779" t="s">
        <v>43</v>
      </c>
      <c r="M2779" t="s">
        <v>88</v>
      </c>
      <c r="N2779" t="s">
        <v>8</v>
      </c>
      <c r="O2779" t="s">
        <v>188</v>
      </c>
      <c r="P2779" s="1" t="s">
        <v>33</v>
      </c>
      <c r="Q2779">
        <v>124.1</v>
      </c>
    </row>
    <row r="2780" spans="1:17" x14ac:dyDescent="0.3">
      <c r="A2780">
        <v>2021</v>
      </c>
      <c r="B2780" t="s">
        <v>36</v>
      </c>
      <c r="C2780" t="s">
        <v>151</v>
      </c>
      <c r="D2780" s="1" t="s">
        <v>11</v>
      </c>
      <c r="E2780" s="4">
        <v>111.7</v>
      </c>
      <c r="F2780" s="4">
        <v>112.6</v>
      </c>
      <c r="G2780" s="4">
        <v>114.3</v>
      </c>
      <c r="H2780" s="1" t="s">
        <v>188</v>
      </c>
      <c r="K2780">
        <v>2015</v>
      </c>
      <c r="L2780" t="s">
        <v>43</v>
      </c>
      <c r="M2780" t="s">
        <v>88</v>
      </c>
      <c r="N2780" t="s">
        <v>21</v>
      </c>
      <c r="O2780" t="s">
        <v>190</v>
      </c>
      <c r="P2780" s="1" t="s">
        <v>30</v>
      </c>
      <c r="Q2780">
        <v>124.4</v>
      </c>
    </row>
    <row r="2781" spans="1:17" x14ac:dyDescent="0.3">
      <c r="A2781">
        <v>2021</v>
      </c>
      <c r="B2781" t="s">
        <v>36</v>
      </c>
      <c r="C2781" t="s">
        <v>151</v>
      </c>
      <c r="D2781" s="1" t="s">
        <v>24</v>
      </c>
      <c r="E2781" s="4">
        <v>151.30000000000001</v>
      </c>
      <c r="F2781" s="4">
        <v>146.19999999999999</v>
      </c>
      <c r="G2781" s="4">
        <v>141.69999999999999</v>
      </c>
      <c r="H2781" s="1" t="s">
        <v>191</v>
      </c>
      <c r="K2781">
        <v>2015</v>
      </c>
      <c r="L2781" t="s">
        <v>43</v>
      </c>
      <c r="M2781" t="s">
        <v>88</v>
      </c>
      <c r="N2781" t="s">
        <v>21</v>
      </c>
      <c r="O2781" t="s">
        <v>190</v>
      </c>
      <c r="P2781" s="1" t="s">
        <v>34</v>
      </c>
      <c r="Q2781">
        <v>120.8</v>
      </c>
    </row>
    <row r="2782" spans="1:17" x14ac:dyDescent="0.3">
      <c r="A2782">
        <v>2021</v>
      </c>
      <c r="B2782" t="s">
        <v>36</v>
      </c>
      <c r="C2782" t="s">
        <v>151</v>
      </c>
      <c r="D2782" s="1" t="s">
        <v>9</v>
      </c>
      <c r="E2782" s="4">
        <v>141</v>
      </c>
      <c r="F2782" s="4">
        <v>149.5</v>
      </c>
      <c r="G2782" s="4">
        <v>166.1</v>
      </c>
      <c r="H2782" s="1" t="s">
        <v>188</v>
      </c>
      <c r="K2782">
        <v>2015</v>
      </c>
      <c r="L2782" t="s">
        <v>43</v>
      </c>
      <c r="M2782" t="s">
        <v>88</v>
      </c>
      <c r="N2782" t="s">
        <v>21</v>
      </c>
      <c r="O2782" t="s">
        <v>190</v>
      </c>
      <c r="P2782" s="1" t="s">
        <v>33</v>
      </c>
      <c r="Q2782">
        <v>114.9</v>
      </c>
    </row>
    <row r="2783" spans="1:17" x14ac:dyDescent="0.3">
      <c r="A2783">
        <v>2021</v>
      </c>
      <c r="B2783" t="s">
        <v>38</v>
      </c>
      <c r="C2783" t="s">
        <v>152</v>
      </c>
      <c r="D2783" s="1" t="s">
        <v>3</v>
      </c>
      <c r="E2783" s="4">
        <v>145.1</v>
      </c>
      <c r="F2783" s="4">
        <v>146.30000000000001</v>
      </c>
      <c r="G2783" s="4">
        <v>148.80000000000001</v>
      </c>
      <c r="H2783" s="1" t="s">
        <v>188</v>
      </c>
      <c r="K2783">
        <v>2015</v>
      </c>
      <c r="L2783" t="s">
        <v>43</v>
      </c>
      <c r="M2783" t="s">
        <v>88</v>
      </c>
      <c r="N2783" t="s">
        <v>29</v>
      </c>
      <c r="O2783" t="s">
        <v>206</v>
      </c>
      <c r="P2783" s="1" t="s">
        <v>30</v>
      </c>
      <c r="Q2783">
        <v>127.7</v>
      </c>
    </row>
    <row r="2784" spans="1:17" x14ac:dyDescent="0.3">
      <c r="A2784">
        <v>2021</v>
      </c>
      <c r="B2784" t="s">
        <v>38</v>
      </c>
      <c r="C2784" t="s">
        <v>152</v>
      </c>
      <c r="D2784" s="1" t="s">
        <v>17</v>
      </c>
      <c r="E2784" s="4">
        <v>165.3</v>
      </c>
      <c r="F2784" s="4">
        <v>161.80000000000001</v>
      </c>
      <c r="G2784" s="4">
        <v>156.5</v>
      </c>
      <c r="H2784" s="1" t="s">
        <v>189</v>
      </c>
      <c r="K2784">
        <v>2015</v>
      </c>
      <c r="L2784" t="s">
        <v>43</v>
      </c>
      <c r="M2784" t="s">
        <v>88</v>
      </c>
      <c r="N2784" t="s">
        <v>29</v>
      </c>
      <c r="O2784" t="s">
        <v>206</v>
      </c>
      <c r="P2784" s="1" t="s">
        <v>34</v>
      </c>
      <c r="Q2784">
        <v>126.1</v>
      </c>
    </row>
    <row r="2785" spans="1:17" x14ac:dyDescent="0.3">
      <c r="A2785">
        <v>2021</v>
      </c>
      <c r="B2785" t="s">
        <v>38</v>
      </c>
      <c r="C2785" t="s">
        <v>152</v>
      </c>
      <c r="D2785" s="1" t="s">
        <v>19</v>
      </c>
      <c r="E2785" s="4">
        <v>164.5</v>
      </c>
      <c r="F2785" s="4">
        <v>160.4</v>
      </c>
      <c r="G2785" s="4">
        <v>154.1</v>
      </c>
      <c r="H2785" s="1" t="s">
        <v>189</v>
      </c>
      <c r="K2785">
        <v>2015</v>
      </c>
      <c r="L2785" t="s">
        <v>43</v>
      </c>
      <c r="M2785" t="s">
        <v>88</v>
      </c>
      <c r="N2785" t="s">
        <v>29</v>
      </c>
      <c r="O2785" t="s">
        <v>206</v>
      </c>
      <c r="P2785" s="1" t="s">
        <v>33</v>
      </c>
      <c r="Q2785">
        <v>124.2</v>
      </c>
    </row>
    <row r="2786" spans="1:17" x14ac:dyDescent="0.3">
      <c r="A2786">
        <v>2021</v>
      </c>
      <c r="B2786" t="s">
        <v>38</v>
      </c>
      <c r="C2786" t="s">
        <v>152</v>
      </c>
      <c r="D2786" s="1" t="s">
        <v>26</v>
      </c>
      <c r="E2786" s="4">
        <v>167.6</v>
      </c>
      <c r="F2786" s="4">
        <v>161.19999999999999</v>
      </c>
      <c r="G2786" s="4">
        <v>156.6</v>
      </c>
      <c r="H2786" s="1" t="s">
        <v>26</v>
      </c>
      <c r="K2786">
        <v>2015</v>
      </c>
      <c r="L2786" t="s">
        <v>43</v>
      </c>
      <c r="M2786" t="s">
        <v>88</v>
      </c>
      <c r="N2786" t="s">
        <v>23</v>
      </c>
      <c r="O2786" t="s">
        <v>23</v>
      </c>
      <c r="P2786" s="1" t="s">
        <v>30</v>
      </c>
      <c r="Q2786">
        <v>122</v>
      </c>
    </row>
    <row r="2787" spans="1:17" x14ac:dyDescent="0.3">
      <c r="A2787">
        <v>2021</v>
      </c>
      <c r="B2787" t="s">
        <v>38</v>
      </c>
      <c r="C2787" t="s">
        <v>152</v>
      </c>
      <c r="D2787" s="1" t="s">
        <v>5</v>
      </c>
      <c r="E2787" s="4">
        <v>168.6</v>
      </c>
      <c r="F2787" s="4">
        <v>170.3</v>
      </c>
      <c r="G2787" s="4">
        <v>173</v>
      </c>
      <c r="H2787" s="1" t="s">
        <v>188</v>
      </c>
      <c r="K2787">
        <v>2015</v>
      </c>
      <c r="L2787" t="s">
        <v>43</v>
      </c>
      <c r="M2787" t="s">
        <v>88</v>
      </c>
      <c r="N2787" t="s">
        <v>23</v>
      </c>
      <c r="O2787" t="s">
        <v>23</v>
      </c>
      <c r="P2787" s="1" t="s">
        <v>34</v>
      </c>
      <c r="Q2787">
        <v>120.4</v>
      </c>
    </row>
    <row r="2788" spans="1:17" x14ac:dyDescent="0.3">
      <c r="A2788">
        <v>2021</v>
      </c>
      <c r="B2788" t="s">
        <v>38</v>
      </c>
      <c r="C2788" t="s">
        <v>152</v>
      </c>
      <c r="D2788" s="1" t="s">
        <v>15</v>
      </c>
      <c r="E2788" s="4">
        <v>158.69999999999999</v>
      </c>
      <c r="F2788" s="4">
        <v>160.69999999999999</v>
      </c>
      <c r="G2788" s="4">
        <v>164.2</v>
      </c>
      <c r="H2788" s="1" t="s">
        <v>188</v>
      </c>
      <c r="K2788">
        <v>2015</v>
      </c>
      <c r="L2788" t="s">
        <v>43</v>
      </c>
      <c r="M2788" t="s">
        <v>88</v>
      </c>
      <c r="N2788" t="s">
        <v>23</v>
      </c>
      <c r="O2788" t="s">
        <v>23</v>
      </c>
      <c r="P2788" s="1" t="s">
        <v>33</v>
      </c>
      <c r="Q2788">
        <v>117.7</v>
      </c>
    </row>
    <row r="2789" spans="1:17" x14ac:dyDescent="0.3">
      <c r="A2789">
        <v>2021</v>
      </c>
      <c r="B2789" t="s">
        <v>38</v>
      </c>
      <c r="C2789" t="s">
        <v>152</v>
      </c>
      <c r="D2789" s="1" t="s">
        <v>18</v>
      </c>
      <c r="E2789" s="4">
        <v>160.6</v>
      </c>
      <c r="F2789" s="4">
        <v>152.1</v>
      </c>
      <c r="G2789" s="4">
        <v>140.19999999999999</v>
      </c>
      <c r="H2789" s="1" t="s">
        <v>189</v>
      </c>
      <c r="K2789">
        <v>2015</v>
      </c>
      <c r="L2789" t="s">
        <v>43</v>
      </c>
      <c r="M2789" t="s">
        <v>88</v>
      </c>
      <c r="N2789" t="s">
        <v>22</v>
      </c>
      <c r="O2789" t="s">
        <v>20</v>
      </c>
      <c r="P2789" s="1" t="s">
        <v>30</v>
      </c>
      <c r="Q2789">
        <v>125.1</v>
      </c>
    </row>
    <row r="2790" spans="1:17" x14ac:dyDescent="0.3">
      <c r="A2790">
        <v>2021</v>
      </c>
      <c r="B2790" t="s">
        <v>38</v>
      </c>
      <c r="C2790" t="s">
        <v>152</v>
      </c>
      <c r="D2790" s="1" t="s">
        <v>8</v>
      </c>
      <c r="E2790" s="4">
        <v>162.30000000000001</v>
      </c>
      <c r="F2790" s="4">
        <v>167.1</v>
      </c>
      <c r="G2790" s="4">
        <v>172.5</v>
      </c>
      <c r="H2790" s="1" t="s">
        <v>188</v>
      </c>
      <c r="K2790">
        <v>2015</v>
      </c>
      <c r="L2790" t="s">
        <v>43</v>
      </c>
      <c r="M2790" t="s">
        <v>88</v>
      </c>
      <c r="N2790" t="s">
        <v>22</v>
      </c>
      <c r="O2790" t="s">
        <v>20</v>
      </c>
      <c r="P2790" s="1" t="s">
        <v>34</v>
      </c>
      <c r="Q2790">
        <v>123</v>
      </c>
    </row>
    <row r="2791" spans="1:17" x14ac:dyDescent="0.3">
      <c r="A2791">
        <v>2021</v>
      </c>
      <c r="B2791" t="s">
        <v>38</v>
      </c>
      <c r="C2791" t="s">
        <v>152</v>
      </c>
      <c r="D2791" s="1" t="s">
        <v>21</v>
      </c>
      <c r="E2791" s="4">
        <v>161.69999999999999</v>
      </c>
      <c r="F2791" s="4">
        <v>159.4</v>
      </c>
      <c r="G2791" s="4">
        <v>155.5</v>
      </c>
      <c r="H2791" s="1" t="s">
        <v>190</v>
      </c>
      <c r="K2791">
        <v>2015</v>
      </c>
      <c r="L2791" t="s">
        <v>43</v>
      </c>
      <c r="M2791" t="s">
        <v>88</v>
      </c>
      <c r="N2791" t="s">
        <v>22</v>
      </c>
      <c r="O2791" t="s">
        <v>20</v>
      </c>
      <c r="P2791" s="1" t="s">
        <v>33</v>
      </c>
      <c r="Q2791">
        <v>120.7</v>
      </c>
    </row>
    <row r="2792" spans="1:17" x14ac:dyDescent="0.3">
      <c r="A2792">
        <v>2021</v>
      </c>
      <c r="B2792" t="s">
        <v>38</v>
      </c>
      <c r="C2792" t="s">
        <v>152</v>
      </c>
      <c r="D2792" s="1" t="s">
        <v>29</v>
      </c>
      <c r="E2792" s="4">
        <v>161.1</v>
      </c>
      <c r="F2792" s="4">
        <v>160.4</v>
      </c>
      <c r="G2792" s="4">
        <v>159.5</v>
      </c>
      <c r="H2792" s="1" t="s">
        <v>206</v>
      </c>
      <c r="K2792">
        <v>2015</v>
      </c>
      <c r="L2792" t="s">
        <v>43</v>
      </c>
      <c r="M2792" t="s">
        <v>88</v>
      </c>
      <c r="N2792" t="s">
        <v>20</v>
      </c>
      <c r="O2792" t="s">
        <v>20</v>
      </c>
      <c r="P2792" s="1" t="s">
        <v>30</v>
      </c>
      <c r="Q2792">
        <v>0</v>
      </c>
    </row>
    <row r="2793" spans="1:17" x14ac:dyDescent="0.3">
      <c r="A2793">
        <v>2021</v>
      </c>
      <c r="B2793" t="s">
        <v>38</v>
      </c>
      <c r="C2793" t="s">
        <v>152</v>
      </c>
      <c r="D2793" s="1" t="s">
        <v>23</v>
      </c>
      <c r="E2793" s="4">
        <v>169.1</v>
      </c>
      <c r="F2793" s="4">
        <v>165.8</v>
      </c>
      <c r="G2793" s="4">
        <v>160.4</v>
      </c>
      <c r="H2793" s="1" t="s">
        <v>23</v>
      </c>
      <c r="K2793">
        <v>2015</v>
      </c>
      <c r="L2793" t="s">
        <v>43</v>
      </c>
      <c r="M2793" t="s">
        <v>88</v>
      </c>
      <c r="N2793" t="s">
        <v>20</v>
      </c>
      <c r="O2793" t="s">
        <v>20</v>
      </c>
      <c r="P2793" s="1" t="s">
        <v>34</v>
      </c>
      <c r="Q2793">
        <v>122.4</v>
      </c>
    </row>
    <row r="2794" spans="1:17" x14ac:dyDescent="0.3">
      <c r="A2794">
        <v>2021</v>
      </c>
      <c r="B2794" t="s">
        <v>38</v>
      </c>
      <c r="C2794" t="s">
        <v>152</v>
      </c>
      <c r="D2794" s="1" t="s">
        <v>22</v>
      </c>
      <c r="E2794" s="4">
        <v>158.80000000000001</v>
      </c>
      <c r="F2794" s="4">
        <v>154.69999999999999</v>
      </c>
      <c r="G2794" s="4">
        <v>150.1</v>
      </c>
      <c r="H2794" s="1" t="s">
        <v>20</v>
      </c>
      <c r="K2794">
        <v>2015</v>
      </c>
      <c r="L2794" t="s">
        <v>43</v>
      </c>
      <c r="M2794" t="s">
        <v>88</v>
      </c>
      <c r="N2794" t="s">
        <v>20</v>
      </c>
      <c r="O2794" t="s">
        <v>20</v>
      </c>
      <c r="P2794" s="1" t="s">
        <v>33</v>
      </c>
      <c r="Q2794">
        <v>122.4</v>
      </c>
    </row>
    <row r="2795" spans="1:17" x14ac:dyDescent="0.3">
      <c r="A2795">
        <v>2021</v>
      </c>
      <c r="B2795" t="s">
        <v>38</v>
      </c>
      <c r="C2795" t="s">
        <v>152</v>
      </c>
      <c r="D2795" s="1" t="s">
        <v>20</v>
      </c>
      <c r="E2795" s="4">
        <v>0</v>
      </c>
      <c r="F2795" s="4">
        <v>161.6</v>
      </c>
      <c r="G2795" s="4">
        <v>161.6</v>
      </c>
      <c r="H2795" s="1" t="s">
        <v>20</v>
      </c>
      <c r="K2795">
        <v>2015</v>
      </c>
      <c r="L2795" t="s">
        <v>43</v>
      </c>
      <c r="M2795" t="s">
        <v>88</v>
      </c>
      <c r="N2795" t="s">
        <v>4</v>
      </c>
      <c r="O2795" t="s">
        <v>188</v>
      </c>
      <c r="P2795" s="1" t="s">
        <v>30</v>
      </c>
      <c r="Q2795">
        <v>130.4</v>
      </c>
    </row>
    <row r="2796" spans="1:17" x14ac:dyDescent="0.3">
      <c r="A2796">
        <v>2021</v>
      </c>
      <c r="B2796" t="s">
        <v>38</v>
      </c>
      <c r="C2796" t="s">
        <v>152</v>
      </c>
      <c r="D2796" s="1" t="s">
        <v>4</v>
      </c>
      <c r="E2796" s="4">
        <v>198.5</v>
      </c>
      <c r="F2796" s="4">
        <v>200.5</v>
      </c>
      <c r="G2796" s="4">
        <v>204.3</v>
      </c>
      <c r="H2796" s="1" t="s">
        <v>188</v>
      </c>
      <c r="K2796">
        <v>2015</v>
      </c>
      <c r="L2796" t="s">
        <v>43</v>
      </c>
      <c r="M2796" t="s">
        <v>88</v>
      </c>
      <c r="N2796" t="s">
        <v>4</v>
      </c>
      <c r="O2796" t="s">
        <v>188</v>
      </c>
      <c r="P2796" s="1" t="s">
        <v>34</v>
      </c>
      <c r="Q2796">
        <v>129.80000000000001</v>
      </c>
    </row>
    <row r="2797" spans="1:17" x14ac:dyDescent="0.3">
      <c r="A2797">
        <v>2021</v>
      </c>
      <c r="B2797" t="s">
        <v>38</v>
      </c>
      <c r="C2797" t="s">
        <v>152</v>
      </c>
      <c r="D2797" s="1" t="s">
        <v>6</v>
      </c>
      <c r="E2797" s="4">
        <v>155.80000000000001</v>
      </c>
      <c r="F2797" s="4">
        <v>156.1</v>
      </c>
      <c r="G2797" s="4">
        <v>156.5</v>
      </c>
      <c r="H2797" s="1" t="s">
        <v>188</v>
      </c>
      <c r="K2797">
        <v>2015</v>
      </c>
      <c r="L2797" t="s">
        <v>43</v>
      </c>
      <c r="M2797" t="s">
        <v>88</v>
      </c>
      <c r="N2797" t="s">
        <v>4</v>
      </c>
      <c r="O2797" t="s">
        <v>188</v>
      </c>
      <c r="P2797" s="1" t="s">
        <v>33</v>
      </c>
      <c r="Q2797">
        <v>128.6</v>
      </c>
    </row>
    <row r="2798" spans="1:17" x14ac:dyDescent="0.3">
      <c r="A2798">
        <v>2021</v>
      </c>
      <c r="B2798" t="s">
        <v>38</v>
      </c>
      <c r="C2798" t="s">
        <v>152</v>
      </c>
      <c r="D2798" s="1" t="s">
        <v>28</v>
      </c>
      <c r="E2798" s="4">
        <v>161.1</v>
      </c>
      <c r="F2798" s="4">
        <v>156.80000000000001</v>
      </c>
      <c r="G2798" s="4">
        <v>152.30000000000001</v>
      </c>
      <c r="H2798" s="1" t="s">
        <v>192</v>
      </c>
      <c r="K2798">
        <v>2015</v>
      </c>
      <c r="L2798" t="s">
        <v>43</v>
      </c>
      <c r="M2798" t="s">
        <v>88</v>
      </c>
      <c r="N2798" t="s">
        <v>6</v>
      </c>
      <c r="O2798" t="s">
        <v>188</v>
      </c>
      <c r="P2798" s="1" t="s">
        <v>30</v>
      </c>
      <c r="Q2798">
        <v>129.4</v>
      </c>
    </row>
    <row r="2799" spans="1:17" x14ac:dyDescent="0.3">
      <c r="A2799">
        <v>2021</v>
      </c>
      <c r="B2799" t="s">
        <v>38</v>
      </c>
      <c r="C2799" t="s">
        <v>152</v>
      </c>
      <c r="D2799" s="1" t="s">
        <v>13</v>
      </c>
      <c r="E2799" s="4">
        <v>164.6</v>
      </c>
      <c r="F2799" s="4">
        <v>159.30000000000001</v>
      </c>
      <c r="G2799" s="4">
        <v>152</v>
      </c>
      <c r="H2799" s="1" t="s">
        <v>188</v>
      </c>
      <c r="K2799">
        <v>2015</v>
      </c>
      <c r="L2799" t="s">
        <v>43</v>
      </c>
      <c r="M2799" t="s">
        <v>88</v>
      </c>
      <c r="N2799" t="s">
        <v>6</v>
      </c>
      <c r="O2799" t="s">
        <v>188</v>
      </c>
      <c r="P2799" s="1" t="s">
        <v>34</v>
      </c>
      <c r="Q2799">
        <v>129.1</v>
      </c>
    </row>
    <row r="2800" spans="1:17" x14ac:dyDescent="0.3">
      <c r="A2800">
        <v>2021</v>
      </c>
      <c r="B2800" t="s">
        <v>38</v>
      </c>
      <c r="C2800" t="s">
        <v>152</v>
      </c>
      <c r="D2800" s="1" t="s">
        <v>7</v>
      </c>
      <c r="E2800" s="4">
        <v>184.4</v>
      </c>
      <c r="F2800" s="4">
        <v>178.7</v>
      </c>
      <c r="G2800" s="4">
        <v>168.8</v>
      </c>
      <c r="H2800" s="1" t="s">
        <v>188</v>
      </c>
      <c r="K2800">
        <v>2015</v>
      </c>
      <c r="L2800" t="s">
        <v>43</v>
      </c>
      <c r="M2800" t="s">
        <v>88</v>
      </c>
      <c r="N2800" t="s">
        <v>6</v>
      </c>
      <c r="O2800" t="s">
        <v>188</v>
      </c>
      <c r="P2800" s="1" t="s">
        <v>33</v>
      </c>
      <c r="Q2800">
        <v>128.5</v>
      </c>
    </row>
    <row r="2801" spans="1:17" x14ac:dyDescent="0.3">
      <c r="A2801">
        <v>2021</v>
      </c>
      <c r="B2801" t="s">
        <v>38</v>
      </c>
      <c r="C2801" t="s">
        <v>152</v>
      </c>
      <c r="D2801" s="1" t="s">
        <v>16</v>
      </c>
      <c r="E2801" s="4">
        <v>189.6</v>
      </c>
      <c r="F2801" s="4">
        <v>191.9</v>
      </c>
      <c r="G2801" s="4">
        <v>198.2</v>
      </c>
      <c r="H2801" s="1" t="s">
        <v>192</v>
      </c>
      <c r="K2801">
        <v>2015</v>
      </c>
      <c r="L2801" t="s">
        <v>43</v>
      </c>
      <c r="M2801" t="s">
        <v>88</v>
      </c>
      <c r="N2801" t="s">
        <v>28</v>
      </c>
      <c r="O2801" t="s">
        <v>192</v>
      </c>
      <c r="P2801" s="1" t="s">
        <v>30</v>
      </c>
      <c r="Q2801">
        <v>119.2</v>
      </c>
    </row>
    <row r="2802" spans="1:17" x14ac:dyDescent="0.3">
      <c r="A2802">
        <v>2021</v>
      </c>
      <c r="B2802" t="s">
        <v>38</v>
      </c>
      <c r="C2802" t="s">
        <v>152</v>
      </c>
      <c r="D2802" s="1" t="s">
        <v>27</v>
      </c>
      <c r="E2802" s="4">
        <v>159.30000000000001</v>
      </c>
      <c r="F2802" s="4">
        <v>158.6</v>
      </c>
      <c r="G2802" s="4">
        <v>157.5</v>
      </c>
      <c r="H2802" s="1" t="s">
        <v>192</v>
      </c>
      <c r="K2802">
        <v>2015</v>
      </c>
      <c r="L2802" t="s">
        <v>43</v>
      </c>
      <c r="M2802" t="s">
        <v>88</v>
      </c>
      <c r="N2802" t="s">
        <v>28</v>
      </c>
      <c r="O2802" t="s">
        <v>192</v>
      </c>
      <c r="P2802" s="1" t="s">
        <v>34</v>
      </c>
      <c r="Q2802">
        <v>117.9</v>
      </c>
    </row>
    <row r="2803" spans="1:17" x14ac:dyDescent="0.3">
      <c r="A2803">
        <v>2021</v>
      </c>
      <c r="B2803" t="s">
        <v>38</v>
      </c>
      <c r="C2803" t="s">
        <v>152</v>
      </c>
      <c r="D2803" s="1" t="s">
        <v>14</v>
      </c>
      <c r="E2803" s="4">
        <v>169.8</v>
      </c>
      <c r="F2803" s="4">
        <v>170.4</v>
      </c>
      <c r="G2803" s="4">
        <v>171.1</v>
      </c>
      <c r="H2803" s="1" t="s">
        <v>188</v>
      </c>
      <c r="K2803">
        <v>2015</v>
      </c>
      <c r="L2803" t="s">
        <v>43</v>
      </c>
      <c r="M2803" t="s">
        <v>88</v>
      </c>
      <c r="N2803" t="s">
        <v>28</v>
      </c>
      <c r="O2803" t="s">
        <v>192</v>
      </c>
      <c r="P2803" s="1" t="s">
        <v>33</v>
      </c>
      <c r="Q2803">
        <v>116.5</v>
      </c>
    </row>
    <row r="2804" spans="1:17" x14ac:dyDescent="0.3">
      <c r="A2804">
        <v>2021</v>
      </c>
      <c r="B2804" t="s">
        <v>38</v>
      </c>
      <c r="C2804" t="s">
        <v>152</v>
      </c>
      <c r="D2804" s="1" t="s">
        <v>10</v>
      </c>
      <c r="E2804" s="4">
        <v>165.1</v>
      </c>
      <c r="F2804" s="4">
        <v>165.4</v>
      </c>
      <c r="G2804" s="4">
        <v>165.9</v>
      </c>
      <c r="H2804" s="1" t="s">
        <v>188</v>
      </c>
      <c r="K2804">
        <v>2015</v>
      </c>
      <c r="L2804" t="s">
        <v>43</v>
      </c>
      <c r="M2804" t="s">
        <v>88</v>
      </c>
      <c r="N2804" t="s">
        <v>13</v>
      </c>
      <c r="O2804" t="s">
        <v>188</v>
      </c>
      <c r="P2804" s="1" t="s">
        <v>30</v>
      </c>
      <c r="Q2804">
        <v>122.3</v>
      </c>
    </row>
    <row r="2805" spans="1:17" x14ac:dyDescent="0.3">
      <c r="A2805">
        <v>2021</v>
      </c>
      <c r="B2805" t="s">
        <v>38</v>
      </c>
      <c r="C2805" t="s">
        <v>152</v>
      </c>
      <c r="D2805" s="1" t="s">
        <v>25</v>
      </c>
      <c r="E2805" s="4">
        <v>160</v>
      </c>
      <c r="F2805" s="4">
        <v>155.80000000000001</v>
      </c>
      <c r="G2805" s="4">
        <v>152.6</v>
      </c>
      <c r="H2805" s="1" t="s">
        <v>195</v>
      </c>
      <c r="K2805">
        <v>2015</v>
      </c>
      <c r="L2805" t="s">
        <v>43</v>
      </c>
      <c r="M2805" t="s">
        <v>88</v>
      </c>
      <c r="N2805" t="s">
        <v>13</v>
      </c>
      <c r="O2805" t="s">
        <v>188</v>
      </c>
      <c r="P2805" s="1" t="s">
        <v>34</v>
      </c>
      <c r="Q2805">
        <v>121.1</v>
      </c>
    </row>
    <row r="2806" spans="1:17" x14ac:dyDescent="0.3">
      <c r="A2806">
        <v>2021</v>
      </c>
      <c r="B2806" t="s">
        <v>38</v>
      </c>
      <c r="C2806" t="s">
        <v>152</v>
      </c>
      <c r="D2806" s="1" t="s">
        <v>12</v>
      </c>
      <c r="E2806" s="4">
        <v>169.7</v>
      </c>
      <c r="F2806" s="4">
        <v>168.2</v>
      </c>
      <c r="G2806" s="4">
        <v>165.2</v>
      </c>
      <c r="H2806" s="1" t="s">
        <v>188</v>
      </c>
      <c r="K2806">
        <v>2015</v>
      </c>
      <c r="L2806" t="s">
        <v>43</v>
      </c>
      <c r="M2806" t="s">
        <v>88</v>
      </c>
      <c r="N2806" t="s">
        <v>13</v>
      </c>
      <c r="O2806" t="s">
        <v>188</v>
      </c>
      <c r="P2806" s="1" t="s">
        <v>33</v>
      </c>
      <c r="Q2806">
        <v>119.4</v>
      </c>
    </row>
    <row r="2807" spans="1:17" x14ac:dyDescent="0.3">
      <c r="A2807">
        <v>2021</v>
      </c>
      <c r="B2807" t="s">
        <v>38</v>
      </c>
      <c r="C2807" t="s">
        <v>152</v>
      </c>
      <c r="D2807" s="1" t="s">
        <v>11</v>
      </c>
      <c r="E2807" s="4">
        <v>114.3</v>
      </c>
      <c r="F2807" s="4">
        <v>114.8</v>
      </c>
      <c r="G2807" s="4">
        <v>115.9</v>
      </c>
      <c r="H2807" s="1" t="s">
        <v>188</v>
      </c>
      <c r="K2807">
        <v>2015</v>
      </c>
      <c r="L2807" t="s">
        <v>43</v>
      </c>
      <c r="M2807" t="s">
        <v>88</v>
      </c>
      <c r="N2807" t="s">
        <v>7</v>
      </c>
      <c r="O2807" t="s">
        <v>188</v>
      </c>
      <c r="P2807" s="1" t="s">
        <v>30</v>
      </c>
      <c r="Q2807">
        <v>115.8</v>
      </c>
    </row>
    <row r="2808" spans="1:17" x14ac:dyDescent="0.3">
      <c r="A2808">
        <v>2021</v>
      </c>
      <c r="B2808" t="s">
        <v>38</v>
      </c>
      <c r="C2808" t="s">
        <v>152</v>
      </c>
      <c r="D2808" s="1" t="s">
        <v>24</v>
      </c>
      <c r="E2808" s="4">
        <v>153.19999999999999</v>
      </c>
      <c r="F2808" s="4">
        <v>148.9</v>
      </c>
      <c r="G2808" s="4">
        <v>145</v>
      </c>
      <c r="H2808" s="1" t="s">
        <v>191</v>
      </c>
      <c r="K2808">
        <v>2015</v>
      </c>
      <c r="L2808" t="s">
        <v>43</v>
      </c>
      <c r="M2808" t="s">
        <v>88</v>
      </c>
      <c r="N2808" t="s">
        <v>7</v>
      </c>
      <c r="O2808" t="s">
        <v>188</v>
      </c>
      <c r="P2808" s="1" t="s">
        <v>34</v>
      </c>
      <c r="Q2808">
        <v>113.3</v>
      </c>
    </row>
    <row r="2809" spans="1:17" x14ac:dyDescent="0.3">
      <c r="A2809">
        <v>2021</v>
      </c>
      <c r="B2809" t="s">
        <v>38</v>
      </c>
      <c r="C2809" t="s">
        <v>152</v>
      </c>
      <c r="D2809" s="1" t="s">
        <v>9</v>
      </c>
      <c r="E2809" s="4">
        <v>138.4</v>
      </c>
      <c r="F2809" s="4">
        <v>147.9</v>
      </c>
      <c r="G2809" s="4">
        <v>166.5</v>
      </c>
      <c r="H2809" s="1" t="s">
        <v>188</v>
      </c>
      <c r="K2809">
        <v>2015</v>
      </c>
      <c r="L2809" t="s">
        <v>43</v>
      </c>
      <c r="M2809" t="s">
        <v>88</v>
      </c>
      <c r="N2809" t="s">
        <v>7</v>
      </c>
      <c r="O2809" t="s">
        <v>188</v>
      </c>
      <c r="P2809" s="1" t="s">
        <v>33</v>
      </c>
      <c r="Q2809">
        <v>109</v>
      </c>
    </row>
    <row r="2810" spans="1:17" x14ac:dyDescent="0.3">
      <c r="A2810">
        <v>2021</v>
      </c>
      <c r="B2810" t="s">
        <v>44</v>
      </c>
      <c r="C2810" t="s">
        <v>153</v>
      </c>
      <c r="D2810" s="1" t="s">
        <v>3</v>
      </c>
      <c r="E2810" s="4">
        <v>146.9</v>
      </c>
      <c r="F2810" s="4">
        <v>148.19999999999999</v>
      </c>
      <c r="G2810" s="4">
        <v>151</v>
      </c>
      <c r="H2810" s="1" t="s">
        <v>188</v>
      </c>
      <c r="K2810">
        <v>2015</v>
      </c>
      <c r="L2810" t="s">
        <v>43</v>
      </c>
      <c r="M2810" t="s">
        <v>88</v>
      </c>
      <c r="N2810" t="s">
        <v>16</v>
      </c>
      <c r="O2810" t="s">
        <v>192</v>
      </c>
      <c r="P2810" s="1" t="s">
        <v>30</v>
      </c>
      <c r="Q2810">
        <v>131.5</v>
      </c>
    </row>
    <row r="2811" spans="1:17" x14ac:dyDescent="0.3">
      <c r="A2811">
        <v>2021</v>
      </c>
      <c r="B2811" t="s">
        <v>44</v>
      </c>
      <c r="C2811" t="s">
        <v>153</v>
      </c>
      <c r="D2811" s="1" t="s">
        <v>17</v>
      </c>
      <c r="E2811" s="4">
        <v>170.4</v>
      </c>
      <c r="F2811" s="4">
        <v>167.2</v>
      </c>
      <c r="G2811" s="4">
        <v>162.30000000000001</v>
      </c>
      <c r="H2811" s="1" t="s">
        <v>189</v>
      </c>
      <c r="K2811">
        <v>2015</v>
      </c>
      <c r="L2811" t="s">
        <v>43</v>
      </c>
      <c r="M2811" t="s">
        <v>88</v>
      </c>
      <c r="N2811" t="s">
        <v>16</v>
      </c>
      <c r="O2811" t="s">
        <v>192</v>
      </c>
      <c r="P2811" s="1" t="s">
        <v>34</v>
      </c>
      <c r="Q2811">
        <v>132.5</v>
      </c>
    </row>
    <row r="2812" spans="1:17" x14ac:dyDescent="0.3">
      <c r="A2812">
        <v>2021</v>
      </c>
      <c r="B2812" t="s">
        <v>44</v>
      </c>
      <c r="C2812" t="s">
        <v>153</v>
      </c>
      <c r="D2812" s="1" t="s">
        <v>19</v>
      </c>
      <c r="E2812" s="4">
        <v>169.8</v>
      </c>
      <c r="F2812" s="4">
        <v>165.8</v>
      </c>
      <c r="G2812" s="4">
        <v>159.69999999999999</v>
      </c>
      <c r="H2812" s="1" t="s">
        <v>189</v>
      </c>
      <c r="K2812">
        <v>2015</v>
      </c>
      <c r="L2812" t="s">
        <v>43</v>
      </c>
      <c r="M2812" t="s">
        <v>88</v>
      </c>
      <c r="N2812" t="s">
        <v>16</v>
      </c>
      <c r="O2812" t="s">
        <v>192</v>
      </c>
      <c r="P2812" s="1" t="s">
        <v>33</v>
      </c>
      <c r="Q2812">
        <v>135.30000000000001</v>
      </c>
    </row>
    <row r="2813" spans="1:17" x14ac:dyDescent="0.3">
      <c r="A2813">
        <v>2021</v>
      </c>
      <c r="B2813" t="s">
        <v>44</v>
      </c>
      <c r="C2813" t="s">
        <v>153</v>
      </c>
      <c r="D2813" s="1" t="s">
        <v>26</v>
      </c>
      <c r="E2813" s="4">
        <v>169.3</v>
      </c>
      <c r="F2813" s="4">
        <v>164.3</v>
      </c>
      <c r="G2813" s="4">
        <v>160.80000000000001</v>
      </c>
      <c r="H2813" s="1" t="s">
        <v>26</v>
      </c>
      <c r="K2813">
        <v>2015</v>
      </c>
      <c r="L2813" t="s">
        <v>43</v>
      </c>
      <c r="M2813" t="s">
        <v>88</v>
      </c>
      <c r="N2813" t="s">
        <v>27</v>
      </c>
      <c r="O2813" t="s">
        <v>192</v>
      </c>
      <c r="P2813" s="1" t="s">
        <v>30</v>
      </c>
      <c r="Q2813">
        <v>114.2</v>
      </c>
    </row>
    <row r="2814" spans="1:17" x14ac:dyDescent="0.3">
      <c r="A2814">
        <v>2021</v>
      </c>
      <c r="B2814" t="s">
        <v>44</v>
      </c>
      <c r="C2814" t="s">
        <v>153</v>
      </c>
      <c r="D2814" s="1" t="s">
        <v>5</v>
      </c>
      <c r="E2814" s="4">
        <v>171.5</v>
      </c>
      <c r="F2814" s="4">
        <v>173</v>
      </c>
      <c r="G2814" s="4">
        <v>175.4</v>
      </c>
      <c r="H2814" s="1" t="s">
        <v>188</v>
      </c>
      <c r="K2814">
        <v>2015</v>
      </c>
      <c r="L2814" t="s">
        <v>43</v>
      </c>
      <c r="M2814" t="s">
        <v>88</v>
      </c>
      <c r="N2814" t="s">
        <v>27</v>
      </c>
      <c r="O2814" t="s">
        <v>192</v>
      </c>
      <c r="P2814" s="1" t="s">
        <v>34</v>
      </c>
      <c r="Q2814">
        <v>113.9</v>
      </c>
    </row>
    <row r="2815" spans="1:17" x14ac:dyDescent="0.3">
      <c r="A2815">
        <v>2021</v>
      </c>
      <c r="B2815" t="s">
        <v>44</v>
      </c>
      <c r="C2815" t="s">
        <v>153</v>
      </c>
      <c r="D2815" s="1" t="s">
        <v>15</v>
      </c>
      <c r="E2815" s="4">
        <v>167.5</v>
      </c>
      <c r="F2815" s="4">
        <v>169.7</v>
      </c>
      <c r="G2815" s="4">
        <v>173.5</v>
      </c>
      <c r="H2815" s="1" t="s">
        <v>188</v>
      </c>
      <c r="K2815">
        <v>2015</v>
      </c>
      <c r="L2815" t="s">
        <v>43</v>
      </c>
      <c r="M2815" t="s">
        <v>88</v>
      </c>
      <c r="N2815" t="s">
        <v>27</v>
      </c>
      <c r="O2815" t="s">
        <v>192</v>
      </c>
      <c r="P2815" s="1" t="s">
        <v>33</v>
      </c>
      <c r="Q2815">
        <v>113.5</v>
      </c>
    </row>
    <row r="2816" spans="1:17" x14ac:dyDescent="0.3">
      <c r="A2816">
        <v>2021</v>
      </c>
      <c r="B2816" t="s">
        <v>44</v>
      </c>
      <c r="C2816" t="s">
        <v>153</v>
      </c>
      <c r="D2816" s="1" t="s">
        <v>18</v>
      </c>
      <c r="E2816" s="4">
        <v>166</v>
      </c>
      <c r="F2816" s="4">
        <v>157.4</v>
      </c>
      <c r="G2816" s="4">
        <v>145.30000000000001</v>
      </c>
      <c r="H2816" s="1" t="s">
        <v>189</v>
      </c>
      <c r="K2816">
        <v>2015</v>
      </c>
      <c r="L2816" t="s">
        <v>43</v>
      </c>
      <c r="M2816" t="s">
        <v>88</v>
      </c>
      <c r="N2816" t="s">
        <v>14</v>
      </c>
      <c r="O2816" t="s">
        <v>188</v>
      </c>
      <c r="P2816" s="1" t="s">
        <v>30</v>
      </c>
      <c r="Q2816">
        <v>133.1</v>
      </c>
    </row>
    <row r="2817" spans="1:17" x14ac:dyDescent="0.3">
      <c r="A2817">
        <v>2021</v>
      </c>
      <c r="B2817" t="s">
        <v>44</v>
      </c>
      <c r="C2817" t="s">
        <v>153</v>
      </c>
      <c r="D2817" s="1" t="s">
        <v>8</v>
      </c>
      <c r="E2817" s="4">
        <v>153.19999999999999</v>
      </c>
      <c r="F2817" s="4">
        <v>156.5</v>
      </c>
      <c r="G2817" s="4">
        <v>160.30000000000001</v>
      </c>
      <c r="H2817" s="1" t="s">
        <v>188</v>
      </c>
      <c r="K2817">
        <v>2015</v>
      </c>
      <c r="L2817" t="s">
        <v>43</v>
      </c>
      <c r="M2817" t="s">
        <v>88</v>
      </c>
      <c r="N2817" t="s">
        <v>14</v>
      </c>
      <c r="O2817" t="s">
        <v>188</v>
      </c>
      <c r="P2817" s="1" t="s">
        <v>34</v>
      </c>
      <c r="Q2817">
        <v>133</v>
      </c>
    </row>
    <row r="2818" spans="1:17" x14ac:dyDescent="0.3">
      <c r="A2818">
        <v>2021</v>
      </c>
      <c r="B2818" t="s">
        <v>44</v>
      </c>
      <c r="C2818" t="s">
        <v>153</v>
      </c>
      <c r="D2818" s="1" t="s">
        <v>21</v>
      </c>
      <c r="E2818" s="4">
        <v>165.3</v>
      </c>
      <c r="F2818" s="4">
        <v>163.9</v>
      </c>
      <c r="G2818" s="4">
        <v>161.6</v>
      </c>
      <c r="H2818" s="1" t="s">
        <v>190</v>
      </c>
      <c r="K2818">
        <v>2015</v>
      </c>
      <c r="L2818" t="s">
        <v>43</v>
      </c>
      <c r="M2818" t="s">
        <v>88</v>
      </c>
      <c r="N2818" t="s">
        <v>14</v>
      </c>
      <c r="O2818" t="s">
        <v>188</v>
      </c>
      <c r="P2818" s="1" t="s">
        <v>33</v>
      </c>
      <c r="Q2818">
        <v>132.9</v>
      </c>
    </row>
    <row r="2819" spans="1:17" x14ac:dyDescent="0.3">
      <c r="A2819">
        <v>2021</v>
      </c>
      <c r="B2819" t="s">
        <v>44</v>
      </c>
      <c r="C2819" t="s">
        <v>153</v>
      </c>
      <c r="D2819" s="1" t="s">
        <v>29</v>
      </c>
      <c r="E2819" s="4">
        <v>167.6</v>
      </c>
      <c r="F2819" s="4">
        <v>166.7</v>
      </c>
      <c r="G2819" s="4">
        <v>165.6</v>
      </c>
      <c r="H2819" s="1" t="s">
        <v>206</v>
      </c>
      <c r="K2819">
        <v>2015</v>
      </c>
      <c r="L2819" t="s">
        <v>43</v>
      </c>
      <c r="M2819" t="s">
        <v>88</v>
      </c>
      <c r="N2819" t="s">
        <v>10</v>
      </c>
      <c r="O2819" t="s">
        <v>188</v>
      </c>
      <c r="P2819" s="1" t="s">
        <v>30</v>
      </c>
      <c r="Q2819">
        <v>154.19999999999999</v>
      </c>
    </row>
    <row r="2820" spans="1:17" x14ac:dyDescent="0.3">
      <c r="A2820">
        <v>2021</v>
      </c>
      <c r="B2820" t="s">
        <v>44</v>
      </c>
      <c r="C2820" t="s">
        <v>153</v>
      </c>
      <c r="D2820" s="1" t="s">
        <v>23</v>
      </c>
      <c r="E2820" s="4">
        <v>173.4</v>
      </c>
      <c r="F2820" s="4">
        <v>169.9</v>
      </c>
      <c r="G2820" s="4">
        <v>164.2</v>
      </c>
      <c r="H2820" s="1" t="s">
        <v>23</v>
      </c>
      <c r="K2820">
        <v>2015</v>
      </c>
      <c r="L2820" t="s">
        <v>43</v>
      </c>
      <c r="M2820" t="s">
        <v>88</v>
      </c>
      <c r="N2820" t="s">
        <v>10</v>
      </c>
      <c r="O2820" t="s">
        <v>188</v>
      </c>
      <c r="P2820" s="1" t="s">
        <v>34</v>
      </c>
      <c r="Q2820">
        <v>165.3</v>
      </c>
    </row>
    <row r="2821" spans="1:17" x14ac:dyDescent="0.3">
      <c r="A2821">
        <v>2021</v>
      </c>
      <c r="B2821" t="s">
        <v>44</v>
      </c>
      <c r="C2821" t="s">
        <v>153</v>
      </c>
      <c r="D2821" s="1" t="s">
        <v>22</v>
      </c>
      <c r="E2821" s="4">
        <v>162.9</v>
      </c>
      <c r="F2821" s="4">
        <v>159.30000000000001</v>
      </c>
      <c r="G2821" s="4">
        <v>155.19999999999999</v>
      </c>
      <c r="H2821" s="1" t="s">
        <v>20</v>
      </c>
      <c r="K2821">
        <v>2015</v>
      </c>
      <c r="L2821" t="s">
        <v>43</v>
      </c>
      <c r="M2821" t="s">
        <v>88</v>
      </c>
      <c r="N2821" t="s">
        <v>10</v>
      </c>
      <c r="O2821" t="s">
        <v>188</v>
      </c>
      <c r="P2821" s="1" t="s">
        <v>33</v>
      </c>
      <c r="Q2821">
        <v>187.2</v>
      </c>
    </row>
    <row r="2822" spans="1:17" x14ac:dyDescent="0.3">
      <c r="A2822">
        <v>2021</v>
      </c>
      <c r="B2822" t="s">
        <v>44</v>
      </c>
      <c r="C2822" t="s">
        <v>153</v>
      </c>
      <c r="D2822" s="1" t="s">
        <v>20</v>
      </c>
      <c r="E2822" s="4">
        <v>0</v>
      </c>
      <c r="F2822" s="4">
        <v>164.2</v>
      </c>
      <c r="G2822" s="4">
        <v>164.2</v>
      </c>
      <c r="H2822" s="1" t="s">
        <v>20</v>
      </c>
      <c r="K2822">
        <v>2015</v>
      </c>
      <c r="L2822" t="s">
        <v>43</v>
      </c>
      <c r="M2822" t="s">
        <v>88</v>
      </c>
      <c r="N2822" t="s">
        <v>25</v>
      </c>
      <c r="O2822" t="s">
        <v>195</v>
      </c>
      <c r="P2822" s="1" t="s">
        <v>30</v>
      </c>
      <c r="Q2822">
        <v>120.1</v>
      </c>
    </row>
    <row r="2823" spans="1:17" x14ac:dyDescent="0.3">
      <c r="A2823">
        <v>2021</v>
      </c>
      <c r="B2823" t="s">
        <v>44</v>
      </c>
      <c r="C2823" t="s">
        <v>153</v>
      </c>
      <c r="D2823" s="1" t="s">
        <v>4</v>
      </c>
      <c r="E2823" s="4">
        <v>199.8</v>
      </c>
      <c r="F2823" s="4">
        <v>201.6</v>
      </c>
      <c r="G2823" s="4">
        <v>204.9</v>
      </c>
      <c r="H2823" s="1" t="s">
        <v>188</v>
      </c>
      <c r="K2823">
        <v>2015</v>
      </c>
      <c r="L2823" t="s">
        <v>43</v>
      </c>
      <c r="M2823" t="s">
        <v>88</v>
      </c>
      <c r="N2823" t="s">
        <v>25</v>
      </c>
      <c r="O2823" t="s">
        <v>195</v>
      </c>
      <c r="P2823" s="1" t="s">
        <v>34</v>
      </c>
      <c r="Q2823">
        <v>118.7</v>
      </c>
    </row>
    <row r="2824" spans="1:17" x14ac:dyDescent="0.3">
      <c r="A2824">
        <v>2021</v>
      </c>
      <c r="B2824" t="s">
        <v>44</v>
      </c>
      <c r="C2824" t="s">
        <v>153</v>
      </c>
      <c r="D2824" s="1" t="s">
        <v>6</v>
      </c>
      <c r="E2824" s="4">
        <v>159.1</v>
      </c>
      <c r="F2824" s="4">
        <v>159.30000000000001</v>
      </c>
      <c r="G2824" s="4">
        <v>159.6</v>
      </c>
      <c r="H2824" s="1" t="s">
        <v>188</v>
      </c>
      <c r="K2824">
        <v>2015</v>
      </c>
      <c r="L2824" t="s">
        <v>43</v>
      </c>
      <c r="M2824" t="s">
        <v>88</v>
      </c>
      <c r="N2824" t="s">
        <v>25</v>
      </c>
      <c r="O2824" t="s">
        <v>195</v>
      </c>
      <c r="P2824" s="1" t="s">
        <v>33</v>
      </c>
      <c r="Q2824">
        <v>117.7</v>
      </c>
    </row>
    <row r="2825" spans="1:17" x14ac:dyDescent="0.3">
      <c r="A2825">
        <v>2021</v>
      </c>
      <c r="B2825" t="s">
        <v>44</v>
      </c>
      <c r="C2825" t="s">
        <v>153</v>
      </c>
      <c r="D2825" s="1" t="s">
        <v>28</v>
      </c>
      <c r="E2825" s="4">
        <v>165.2</v>
      </c>
      <c r="F2825" s="4">
        <v>161.4</v>
      </c>
      <c r="G2825" s="4">
        <v>157.30000000000001</v>
      </c>
      <c r="H2825" s="1" t="s">
        <v>192</v>
      </c>
      <c r="K2825">
        <v>2015</v>
      </c>
      <c r="L2825" t="s">
        <v>43</v>
      </c>
      <c r="M2825" t="s">
        <v>88</v>
      </c>
      <c r="N2825" t="s">
        <v>12</v>
      </c>
      <c r="O2825" t="s">
        <v>188</v>
      </c>
      <c r="P2825" s="1" t="s">
        <v>30</v>
      </c>
      <c r="Q2825">
        <v>126.6</v>
      </c>
    </row>
    <row r="2826" spans="1:17" x14ac:dyDescent="0.3">
      <c r="A2826">
        <v>2021</v>
      </c>
      <c r="B2826" t="s">
        <v>44</v>
      </c>
      <c r="C2826" t="s">
        <v>153</v>
      </c>
      <c r="D2826" s="1" t="s">
        <v>13</v>
      </c>
      <c r="E2826" s="4">
        <v>169.1</v>
      </c>
      <c r="F2826" s="4">
        <v>163.69999999999999</v>
      </c>
      <c r="G2826" s="4">
        <v>156.1</v>
      </c>
      <c r="H2826" s="1" t="s">
        <v>188</v>
      </c>
      <c r="K2826">
        <v>2015</v>
      </c>
      <c r="L2826" t="s">
        <v>43</v>
      </c>
      <c r="M2826" t="s">
        <v>88</v>
      </c>
      <c r="N2826" t="s">
        <v>12</v>
      </c>
      <c r="O2826" t="s">
        <v>188</v>
      </c>
      <c r="P2826" s="1" t="s">
        <v>34</v>
      </c>
      <c r="Q2826">
        <v>129.69999999999999</v>
      </c>
    </row>
    <row r="2827" spans="1:17" x14ac:dyDescent="0.3">
      <c r="A2827">
        <v>2021</v>
      </c>
      <c r="B2827" t="s">
        <v>44</v>
      </c>
      <c r="C2827" t="s">
        <v>153</v>
      </c>
      <c r="D2827" s="1" t="s">
        <v>7</v>
      </c>
      <c r="E2827" s="4">
        <v>198.4</v>
      </c>
      <c r="F2827" s="4">
        <v>190.1</v>
      </c>
      <c r="G2827" s="4">
        <v>175.8</v>
      </c>
      <c r="H2827" s="1" t="s">
        <v>188</v>
      </c>
      <c r="K2827">
        <v>2015</v>
      </c>
      <c r="L2827" t="s">
        <v>43</v>
      </c>
      <c r="M2827" t="s">
        <v>88</v>
      </c>
      <c r="N2827" t="s">
        <v>12</v>
      </c>
      <c r="O2827" t="s">
        <v>188</v>
      </c>
      <c r="P2827" s="1" t="s">
        <v>33</v>
      </c>
      <c r="Q2827">
        <v>135.80000000000001</v>
      </c>
    </row>
    <row r="2828" spans="1:17" x14ac:dyDescent="0.3">
      <c r="A2828">
        <v>2021</v>
      </c>
      <c r="B2828" t="s">
        <v>44</v>
      </c>
      <c r="C2828" t="s">
        <v>153</v>
      </c>
      <c r="D2828" s="1" t="s">
        <v>16</v>
      </c>
      <c r="E2828" s="4">
        <v>191.4</v>
      </c>
      <c r="F2828" s="4">
        <v>192.9</v>
      </c>
      <c r="G2828" s="4">
        <v>197</v>
      </c>
      <c r="H2828" s="1" t="s">
        <v>192</v>
      </c>
      <c r="K2828">
        <v>2015</v>
      </c>
      <c r="L2828" t="s">
        <v>43</v>
      </c>
      <c r="M2828" t="s">
        <v>88</v>
      </c>
      <c r="N2828" t="s">
        <v>11</v>
      </c>
      <c r="O2828" t="s">
        <v>188</v>
      </c>
      <c r="P2828" s="1" t="s">
        <v>30</v>
      </c>
      <c r="Q2828">
        <v>93.7</v>
      </c>
    </row>
    <row r="2829" spans="1:17" x14ac:dyDescent="0.3">
      <c r="A2829">
        <v>2021</v>
      </c>
      <c r="B2829" t="s">
        <v>44</v>
      </c>
      <c r="C2829" t="s">
        <v>153</v>
      </c>
      <c r="D2829" s="1" t="s">
        <v>27</v>
      </c>
      <c r="E2829" s="4">
        <v>162.4</v>
      </c>
      <c r="F2829" s="4">
        <v>162.19999999999999</v>
      </c>
      <c r="G2829" s="4">
        <v>161.80000000000001</v>
      </c>
      <c r="H2829" s="1" t="s">
        <v>192</v>
      </c>
      <c r="K2829">
        <v>2015</v>
      </c>
      <c r="L2829" t="s">
        <v>43</v>
      </c>
      <c r="M2829" t="s">
        <v>88</v>
      </c>
      <c r="N2829" t="s">
        <v>11</v>
      </c>
      <c r="O2829" t="s">
        <v>188</v>
      </c>
      <c r="P2829" s="1" t="s">
        <v>34</v>
      </c>
      <c r="Q2829">
        <v>92.3</v>
      </c>
    </row>
    <row r="2830" spans="1:17" x14ac:dyDescent="0.3">
      <c r="A2830">
        <v>2021</v>
      </c>
      <c r="B2830" t="s">
        <v>44</v>
      </c>
      <c r="C2830" t="s">
        <v>153</v>
      </c>
      <c r="D2830" s="1" t="s">
        <v>14</v>
      </c>
      <c r="E2830" s="4">
        <v>174.3</v>
      </c>
      <c r="F2830" s="4">
        <v>175.5</v>
      </c>
      <c r="G2830" s="4">
        <v>176.8</v>
      </c>
      <c r="H2830" s="1" t="s">
        <v>188</v>
      </c>
      <c r="K2830">
        <v>2015</v>
      </c>
      <c r="L2830" t="s">
        <v>43</v>
      </c>
      <c r="M2830" t="s">
        <v>88</v>
      </c>
      <c r="N2830" t="s">
        <v>11</v>
      </c>
      <c r="O2830" t="s">
        <v>188</v>
      </c>
      <c r="P2830" s="1" t="s">
        <v>33</v>
      </c>
      <c r="Q2830">
        <v>89.4</v>
      </c>
    </row>
    <row r="2831" spans="1:17" x14ac:dyDescent="0.3">
      <c r="A2831">
        <v>2021</v>
      </c>
      <c r="B2831" t="s">
        <v>44</v>
      </c>
      <c r="C2831" t="s">
        <v>153</v>
      </c>
      <c r="D2831" s="1" t="s">
        <v>10</v>
      </c>
      <c r="E2831" s="4">
        <v>165.4</v>
      </c>
      <c r="F2831" s="4">
        <v>165.3</v>
      </c>
      <c r="G2831" s="4">
        <v>165.1</v>
      </c>
      <c r="H2831" s="1" t="s">
        <v>188</v>
      </c>
      <c r="K2831">
        <v>2015</v>
      </c>
      <c r="L2831" t="s">
        <v>43</v>
      </c>
      <c r="M2831" t="s">
        <v>88</v>
      </c>
      <c r="N2831" t="s">
        <v>24</v>
      </c>
      <c r="O2831" t="s">
        <v>191</v>
      </c>
      <c r="P2831" s="1" t="s">
        <v>30</v>
      </c>
      <c r="Q2831">
        <v>113.8</v>
      </c>
    </row>
    <row r="2832" spans="1:17" x14ac:dyDescent="0.3">
      <c r="A2832">
        <v>2021</v>
      </c>
      <c r="B2832" t="s">
        <v>44</v>
      </c>
      <c r="C2832" t="s">
        <v>153</v>
      </c>
      <c r="D2832" s="1" t="s">
        <v>25</v>
      </c>
      <c r="E2832" s="4">
        <v>163.80000000000001</v>
      </c>
      <c r="F2832" s="4">
        <v>159.80000000000001</v>
      </c>
      <c r="G2832" s="4">
        <v>156.69999999999999</v>
      </c>
      <c r="H2832" s="1" t="s">
        <v>195</v>
      </c>
      <c r="K2832">
        <v>2015</v>
      </c>
      <c r="L2832" t="s">
        <v>43</v>
      </c>
      <c r="M2832" t="s">
        <v>88</v>
      </c>
      <c r="N2832" t="s">
        <v>24</v>
      </c>
      <c r="O2832" t="s">
        <v>191</v>
      </c>
      <c r="P2832" s="1" t="s">
        <v>34</v>
      </c>
      <c r="Q2832">
        <v>111.4</v>
      </c>
    </row>
    <row r="2833" spans="1:17" x14ac:dyDescent="0.3">
      <c r="A2833">
        <v>2021</v>
      </c>
      <c r="B2833" t="s">
        <v>44</v>
      </c>
      <c r="C2833" t="s">
        <v>153</v>
      </c>
      <c r="D2833" s="1" t="s">
        <v>12</v>
      </c>
      <c r="E2833" s="4">
        <v>170.8</v>
      </c>
      <c r="F2833" s="4">
        <v>169.6</v>
      </c>
      <c r="G2833" s="4">
        <v>167.2</v>
      </c>
      <c r="H2833" s="1" t="s">
        <v>188</v>
      </c>
      <c r="K2833">
        <v>2015</v>
      </c>
      <c r="L2833" t="s">
        <v>43</v>
      </c>
      <c r="M2833" t="s">
        <v>88</v>
      </c>
      <c r="N2833" t="s">
        <v>24</v>
      </c>
      <c r="O2833" t="s">
        <v>191</v>
      </c>
      <c r="P2833" s="1" t="s">
        <v>33</v>
      </c>
      <c r="Q2833">
        <v>109.3</v>
      </c>
    </row>
    <row r="2834" spans="1:17" x14ac:dyDescent="0.3">
      <c r="A2834">
        <v>2021</v>
      </c>
      <c r="B2834" t="s">
        <v>44</v>
      </c>
      <c r="C2834" t="s">
        <v>153</v>
      </c>
      <c r="D2834" s="1" t="s">
        <v>11</v>
      </c>
      <c r="E2834" s="4">
        <v>122.1</v>
      </c>
      <c r="F2834" s="4">
        <v>122.4</v>
      </c>
      <c r="G2834" s="4">
        <v>123.1</v>
      </c>
      <c r="H2834" s="1" t="s">
        <v>188</v>
      </c>
      <c r="K2834">
        <v>2015</v>
      </c>
      <c r="L2834" t="s">
        <v>43</v>
      </c>
      <c r="M2834" t="s">
        <v>88</v>
      </c>
      <c r="N2834" t="s">
        <v>9</v>
      </c>
      <c r="O2834" t="s">
        <v>188</v>
      </c>
      <c r="P2834" s="1" t="s">
        <v>30</v>
      </c>
      <c r="Q2834">
        <v>157.69999999999999</v>
      </c>
    </row>
    <row r="2835" spans="1:17" x14ac:dyDescent="0.3">
      <c r="A2835">
        <v>2021</v>
      </c>
      <c r="B2835" t="s">
        <v>44</v>
      </c>
      <c r="C2835" t="s">
        <v>153</v>
      </c>
      <c r="D2835" s="1" t="s">
        <v>24</v>
      </c>
      <c r="E2835" s="4">
        <v>158.9</v>
      </c>
      <c r="F2835" s="4">
        <v>154.80000000000001</v>
      </c>
      <c r="G2835" s="4">
        <v>151.19999999999999</v>
      </c>
      <c r="H2835" s="1" t="s">
        <v>191</v>
      </c>
      <c r="K2835">
        <v>2015</v>
      </c>
      <c r="L2835" t="s">
        <v>43</v>
      </c>
      <c r="M2835" t="s">
        <v>88</v>
      </c>
      <c r="N2835" t="s">
        <v>9</v>
      </c>
      <c r="O2835" t="s">
        <v>188</v>
      </c>
      <c r="P2835" s="1" t="s">
        <v>34</v>
      </c>
      <c r="Q2835">
        <v>160.4</v>
      </c>
    </row>
    <row r="2836" spans="1:17" x14ac:dyDescent="0.3">
      <c r="A2836">
        <v>2021</v>
      </c>
      <c r="B2836" t="s">
        <v>44</v>
      </c>
      <c r="C2836" t="s">
        <v>153</v>
      </c>
      <c r="D2836" s="1" t="s">
        <v>9</v>
      </c>
      <c r="E2836" s="4">
        <v>183.9</v>
      </c>
      <c r="F2836" s="4">
        <v>199.2</v>
      </c>
      <c r="G2836" s="4">
        <v>229.1</v>
      </c>
      <c r="H2836" s="1" t="s">
        <v>188</v>
      </c>
      <c r="K2836">
        <v>2015</v>
      </c>
      <c r="L2836" t="s">
        <v>43</v>
      </c>
      <c r="M2836" t="s">
        <v>88</v>
      </c>
      <c r="N2836" t="s">
        <v>9</v>
      </c>
      <c r="O2836" t="s">
        <v>188</v>
      </c>
      <c r="P2836" s="1" t="s">
        <v>33</v>
      </c>
      <c r="Q2836">
        <v>165.8</v>
      </c>
    </row>
    <row r="2837" spans="1:17" x14ac:dyDescent="0.3">
      <c r="A2837">
        <v>2021</v>
      </c>
      <c r="B2837" t="s">
        <v>43</v>
      </c>
      <c r="C2837" t="s">
        <v>154</v>
      </c>
      <c r="D2837" s="1" t="s">
        <v>3</v>
      </c>
      <c r="E2837" s="4">
        <v>146.1</v>
      </c>
      <c r="F2837" s="4">
        <v>147.4</v>
      </c>
      <c r="G2837" s="4">
        <v>150.1</v>
      </c>
      <c r="H2837" s="1" t="s">
        <v>188</v>
      </c>
      <c r="K2837">
        <v>2015</v>
      </c>
      <c r="L2837" t="s">
        <v>42</v>
      </c>
      <c r="M2837" t="s">
        <v>89</v>
      </c>
      <c r="N2837" t="s">
        <v>3</v>
      </c>
      <c r="O2837" t="s">
        <v>188</v>
      </c>
      <c r="P2837" s="1" t="s">
        <v>30</v>
      </c>
      <c r="Q2837">
        <v>125.1</v>
      </c>
    </row>
    <row r="2838" spans="1:17" x14ac:dyDescent="0.3">
      <c r="A2838">
        <v>2021</v>
      </c>
      <c r="B2838" t="s">
        <v>43</v>
      </c>
      <c r="C2838" t="s">
        <v>154</v>
      </c>
      <c r="D2838" s="1" t="s">
        <v>17</v>
      </c>
      <c r="E2838" s="4">
        <v>168.9</v>
      </c>
      <c r="F2838" s="4">
        <v>165.7</v>
      </c>
      <c r="G2838" s="4">
        <v>160.80000000000001</v>
      </c>
      <c r="H2838" s="1" t="s">
        <v>189</v>
      </c>
      <c r="K2838">
        <v>2015</v>
      </c>
      <c r="L2838" t="s">
        <v>42</v>
      </c>
      <c r="M2838" t="s">
        <v>89</v>
      </c>
      <c r="N2838" t="s">
        <v>3</v>
      </c>
      <c r="O2838" t="s">
        <v>188</v>
      </c>
      <c r="P2838" s="1" t="s">
        <v>34</v>
      </c>
      <c r="Q2838">
        <v>124.6</v>
      </c>
    </row>
    <row r="2839" spans="1:17" x14ac:dyDescent="0.3">
      <c r="A2839">
        <v>2021</v>
      </c>
      <c r="B2839" t="s">
        <v>43</v>
      </c>
      <c r="C2839" t="s">
        <v>154</v>
      </c>
      <c r="D2839" s="1" t="s">
        <v>19</v>
      </c>
      <c r="E2839" s="4">
        <v>168.3</v>
      </c>
      <c r="F2839" s="4">
        <v>164.3</v>
      </c>
      <c r="G2839" s="4">
        <v>158.30000000000001</v>
      </c>
      <c r="H2839" s="1" t="s">
        <v>189</v>
      </c>
      <c r="K2839">
        <v>2015</v>
      </c>
      <c r="L2839" t="s">
        <v>42</v>
      </c>
      <c r="M2839" t="s">
        <v>89</v>
      </c>
      <c r="N2839" t="s">
        <v>3</v>
      </c>
      <c r="O2839" t="s">
        <v>188</v>
      </c>
      <c r="P2839" s="1" t="s">
        <v>33</v>
      </c>
      <c r="Q2839">
        <v>123.4</v>
      </c>
    </row>
    <row r="2840" spans="1:17" x14ac:dyDescent="0.3">
      <c r="A2840">
        <v>2021</v>
      </c>
      <c r="B2840" t="s">
        <v>43</v>
      </c>
      <c r="C2840" t="s">
        <v>154</v>
      </c>
      <c r="D2840" s="1" t="s">
        <v>26</v>
      </c>
      <c r="E2840" s="4">
        <v>169</v>
      </c>
      <c r="F2840" s="4">
        <v>163.9</v>
      </c>
      <c r="G2840" s="4">
        <v>160.30000000000001</v>
      </c>
      <c r="H2840" s="1" t="s">
        <v>26</v>
      </c>
      <c r="K2840">
        <v>2015</v>
      </c>
      <c r="L2840" t="s">
        <v>42</v>
      </c>
      <c r="M2840" t="s">
        <v>89</v>
      </c>
      <c r="N2840" t="s">
        <v>17</v>
      </c>
      <c r="O2840" t="s">
        <v>189</v>
      </c>
      <c r="P2840" s="1" t="s">
        <v>30</v>
      </c>
      <c r="Q2840">
        <v>130.4</v>
      </c>
    </row>
    <row r="2841" spans="1:17" x14ac:dyDescent="0.3">
      <c r="A2841">
        <v>2021</v>
      </c>
      <c r="B2841" t="s">
        <v>43</v>
      </c>
      <c r="C2841" t="s">
        <v>154</v>
      </c>
      <c r="D2841" s="1" t="s">
        <v>5</v>
      </c>
      <c r="E2841" s="4">
        <v>170.1</v>
      </c>
      <c r="F2841" s="4">
        <v>171.2</v>
      </c>
      <c r="G2841" s="4">
        <v>173</v>
      </c>
      <c r="H2841" s="1" t="s">
        <v>188</v>
      </c>
      <c r="K2841">
        <v>2015</v>
      </c>
      <c r="L2841" t="s">
        <v>42</v>
      </c>
      <c r="M2841" t="s">
        <v>89</v>
      </c>
      <c r="N2841" t="s">
        <v>17</v>
      </c>
      <c r="O2841" t="s">
        <v>189</v>
      </c>
      <c r="P2841" s="1" t="s">
        <v>34</v>
      </c>
      <c r="Q2841">
        <v>127.9</v>
      </c>
    </row>
    <row r="2842" spans="1:17" x14ac:dyDescent="0.3">
      <c r="A2842">
        <v>2021</v>
      </c>
      <c r="B2842" t="s">
        <v>43</v>
      </c>
      <c r="C2842" t="s">
        <v>154</v>
      </c>
      <c r="D2842" s="1" t="s">
        <v>15</v>
      </c>
      <c r="E2842" s="4">
        <v>165.5</v>
      </c>
      <c r="F2842" s="4">
        <v>167.7</v>
      </c>
      <c r="G2842" s="4">
        <v>171.5</v>
      </c>
      <c r="H2842" s="1" t="s">
        <v>188</v>
      </c>
      <c r="K2842">
        <v>2015</v>
      </c>
      <c r="L2842" t="s">
        <v>42</v>
      </c>
      <c r="M2842" t="s">
        <v>89</v>
      </c>
      <c r="N2842" t="s">
        <v>17</v>
      </c>
      <c r="O2842" t="s">
        <v>189</v>
      </c>
      <c r="P2842" s="1" t="s">
        <v>33</v>
      </c>
      <c r="Q2842">
        <v>124</v>
      </c>
    </row>
    <row r="2843" spans="1:17" x14ac:dyDescent="0.3">
      <c r="A2843">
        <v>2021</v>
      </c>
      <c r="B2843" t="s">
        <v>43</v>
      </c>
      <c r="C2843" t="s">
        <v>154</v>
      </c>
      <c r="D2843" s="1" t="s">
        <v>18</v>
      </c>
      <c r="E2843" s="4">
        <v>164.8</v>
      </c>
      <c r="F2843" s="4">
        <v>156.30000000000001</v>
      </c>
      <c r="G2843" s="4">
        <v>144.4</v>
      </c>
      <c r="H2843" s="1" t="s">
        <v>189</v>
      </c>
      <c r="K2843">
        <v>2015</v>
      </c>
      <c r="L2843" t="s">
        <v>42</v>
      </c>
      <c r="M2843" t="s">
        <v>89</v>
      </c>
      <c r="N2843" t="s">
        <v>19</v>
      </c>
      <c r="O2843" t="s">
        <v>189</v>
      </c>
      <c r="P2843" s="1" t="s">
        <v>30</v>
      </c>
      <c r="Q2843">
        <v>129.9</v>
      </c>
    </row>
    <row r="2844" spans="1:17" x14ac:dyDescent="0.3">
      <c r="A2844">
        <v>2021</v>
      </c>
      <c r="B2844" t="s">
        <v>43</v>
      </c>
      <c r="C2844" t="s">
        <v>154</v>
      </c>
      <c r="D2844" s="1" t="s">
        <v>8</v>
      </c>
      <c r="E2844" s="4">
        <v>152.6</v>
      </c>
      <c r="F2844" s="4">
        <v>155.69999999999999</v>
      </c>
      <c r="G2844" s="4">
        <v>159.30000000000001</v>
      </c>
      <c r="H2844" s="1" t="s">
        <v>188</v>
      </c>
      <c r="K2844">
        <v>2015</v>
      </c>
      <c r="L2844" t="s">
        <v>42</v>
      </c>
      <c r="M2844" t="s">
        <v>89</v>
      </c>
      <c r="N2844" t="s">
        <v>19</v>
      </c>
      <c r="O2844" t="s">
        <v>189</v>
      </c>
      <c r="P2844" s="1" t="s">
        <v>34</v>
      </c>
      <c r="Q2844">
        <v>127.2</v>
      </c>
    </row>
    <row r="2845" spans="1:17" x14ac:dyDescent="0.3">
      <c r="A2845">
        <v>2021</v>
      </c>
      <c r="B2845" t="s">
        <v>43</v>
      </c>
      <c r="C2845" t="s">
        <v>154</v>
      </c>
      <c r="D2845" s="1" t="s">
        <v>21</v>
      </c>
      <c r="E2845" s="4">
        <v>165.5</v>
      </c>
      <c r="F2845" s="4">
        <v>164.2</v>
      </c>
      <c r="G2845" s="4">
        <v>162.19999999999999</v>
      </c>
      <c r="H2845" s="1" t="s">
        <v>190</v>
      </c>
      <c r="K2845">
        <v>2015</v>
      </c>
      <c r="L2845" t="s">
        <v>42</v>
      </c>
      <c r="M2845" t="s">
        <v>89</v>
      </c>
      <c r="N2845" t="s">
        <v>19</v>
      </c>
      <c r="O2845" t="s">
        <v>189</v>
      </c>
      <c r="P2845" s="1" t="s">
        <v>33</v>
      </c>
      <c r="Q2845">
        <v>123.2</v>
      </c>
    </row>
    <row r="2846" spans="1:17" x14ac:dyDescent="0.3">
      <c r="A2846">
        <v>2021</v>
      </c>
      <c r="B2846" t="s">
        <v>43</v>
      </c>
      <c r="C2846" t="s">
        <v>154</v>
      </c>
      <c r="D2846" s="1" t="s">
        <v>29</v>
      </c>
      <c r="E2846" s="4">
        <v>166.3</v>
      </c>
      <c r="F2846" s="4">
        <v>165.5</v>
      </c>
      <c r="G2846" s="4">
        <v>164.6</v>
      </c>
      <c r="H2846" s="1" t="s">
        <v>206</v>
      </c>
      <c r="K2846">
        <v>2015</v>
      </c>
      <c r="L2846" t="s">
        <v>42</v>
      </c>
      <c r="M2846" t="s">
        <v>89</v>
      </c>
      <c r="N2846" t="s">
        <v>26</v>
      </c>
      <c r="O2846" t="s">
        <v>26</v>
      </c>
      <c r="P2846" s="1" t="s">
        <v>30</v>
      </c>
      <c r="Q2846">
        <v>124.5</v>
      </c>
    </row>
    <row r="2847" spans="1:17" x14ac:dyDescent="0.3">
      <c r="A2847">
        <v>2021</v>
      </c>
      <c r="B2847" t="s">
        <v>43</v>
      </c>
      <c r="C2847" t="s">
        <v>154</v>
      </c>
      <c r="D2847" s="1" t="s">
        <v>23</v>
      </c>
      <c r="E2847" s="4">
        <v>172.5</v>
      </c>
      <c r="F2847" s="4">
        <v>169.1</v>
      </c>
      <c r="G2847" s="4">
        <v>163.5</v>
      </c>
      <c r="H2847" s="1" t="s">
        <v>23</v>
      </c>
      <c r="K2847">
        <v>2015</v>
      </c>
      <c r="L2847" t="s">
        <v>42</v>
      </c>
      <c r="M2847" t="s">
        <v>89</v>
      </c>
      <c r="N2847" t="s">
        <v>26</v>
      </c>
      <c r="O2847" t="s">
        <v>26</v>
      </c>
      <c r="P2847" s="1" t="s">
        <v>34</v>
      </c>
      <c r="Q2847">
        <v>125.7</v>
      </c>
    </row>
    <row r="2848" spans="1:17" x14ac:dyDescent="0.3">
      <c r="A2848">
        <v>2021</v>
      </c>
      <c r="B2848" t="s">
        <v>43</v>
      </c>
      <c r="C2848" t="s">
        <v>154</v>
      </c>
      <c r="D2848" s="1" t="s">
        <v>22</v>
      </c>
      <c r="E2848" s="4">
        <v>162</v>
      </c>
      <c r="F2848" s="4">
        <v>158.4</v>
      </c>
      <c r="G2848" s="4">
        <v>154.30000000000001</v>
      </c>
      <c r="H2848" s="1" t="s">
        <v>20</v>
      </c>
      <c r="K2848">
        <v>2015</v>
      </c>
      <c r="L2848" t="s">
        <v>42</v>
      </c>
      <c r="M2848" t="s">
        <v>89</v>
      </c>
      <c r="N2848" t="s">
        <v>26</v>
      </c>
      <c r="O2848" t="s">
        <v>26</v>
      </c>
      <c r="P2848" s="1" t="s">
        <v>33</v>
      </c>
      <c r="Q2848">
        <v>126.5</v>
      </c>
    </row>
    <row r="2849" spans="1:17" x14ac:dyDescent="0.3">
      <c r="A2849">
        <v>2021</v>
      </c>
      <c r="B2849" t="s">
        <v>43</v>
      </c>
      <c r="C2849" t="s">
        <v>154</v>
      </c>
      <c r="D2849" s="1" t="s">
        <v>20</v>
      </c>
      <c r="E2849" s="4">
        <v>0</v>
      </c>
      <c r="F2849" s="4">
        <v>163.6</v>
      </c>
      <c r="G2849" s="4">
        <v>163.6</v>
      </c>
      <c r="H2849" s="1" t="s">
        <v>20</v>
      </c>
      <c r="K2849">
        <v>2015</v>
      </c>
      <c r="L2849" t="s">
        <v>42</v>
      </c>
      <c r="M2849" t="s">
        <v>89</v>
      </c>
      <c r="N2849" t="s">
        <v>5</v>
      </c>
      <c r="O2849" t="s">
        <v>188</v>
      </c>
      <c r="P2849" s="1" t="s">
        <v>30</v>
      </c>
      <c r="Q2849">
        <v>120.7</v>
      </c>
    </row>
    <row r="2850" spans="1:17" x14ac:dyDescent="0.3">
      <c r="A2850">
        <v>2021</v>
      </c>
      <c r="B2850" t="s">
        <v>43</v>
      </c>
      <c r="C2850" t="s">
        <v>154</v>
      </c>
      <c r="D2850" s="1" t="s">
        <v>4</v>
      </c>
      <c r="E2850" s="4">
        <v>202.5</v>
      </c>
      <c r="F2850" s="4">
        <v>204.6</v>
      </c>
      <c r="G2850" s="4">
        <v>208.4</v>
      </c>
      <c r="H2850" s="1" t="s">
        <v>188</v>
      </c>
      <c r="K2850">
        <v>2015</v>
      </c>
      <c r="L2850" t="s">
        <v>42</v>
      </c>
      <c r="M2850" t="s">
        <v>89</v>
      </c>
      <c r="N2850" t="s">
        <v>5</v>
      </c>
      <c r="O2850" t="s">
        <v>188</v>
      </c>
      <c r="P2850" s="1" t="s">
        <v>34</v>
      </c>
      <c r="Q2850">
        <v>118.7</v>
      </c>
    </row>
    <row r="2851" spans="1:17" x14ac:dyDescent="0.3">
      <c r="A2851">
        <v>2021</v>
      </c>
      <c r="B2851" t="s">
        <v>43</v>
      </c>
      <c r="C2851" t="s">
        <v>154</v>
      </c>
      <c r="D2851" s="1" t="s">
        <v>6</v>
      </c>
      <c r="E2851" s="4">
        <v>158.4</v>
      </c>
      <c r="F2851" s="4">
        <v>158.69999999999999</v>
      </c>
      <c r="G2851" s="4">
        <v>159.19999999999999</v>
      </c>
      <c r="H2851" s="1" t="s">
        <v>188</v>
      </c>
      <c r="K2851">
        <v>2015</v>
      </c>
      <c r="L2851" t="s">
        <v>42</v>
      </c>
      <c r="M2851" t="s">
        <v>89</v>
      </c>
      <c r="N2851" t="s">
        <v>5</v>
      </c>
      <c r="O2851" t="s">
        <v>188</v>
      </c>
      <c r="P2851" s="1" t="s">
        <v>33</v>
      </c>
      <c r="Q2851">
        <v>115.6</v>
      </c>
    </row>
    <row r="2852" spans="1:17" x14ac:dyDescent="0.3">
      <c r="A2852">
        <v>2021</v>
      </c>
      <c r="B2852" t="s">
        <v>43</v>
      </c>
      <c r="C2852" t="s">
        <v>154</v>
      </c>
      <c r="D2852" s="1" t="s">
        <v>28</v>
      </c>
      <c r="E2852" s="4">
        <v>164.7</v>
      </c>
      <c r="F2852" s="4">
        <v>161</v>
      </c>
      <c r="G2852" s="4">
        <v>157</v>
      </c>
      <c r="H2852" s="1" t="s">
        <v>192</v>
      </c>
      <c r="K2852">
        <v>2015</v>
      </c>
      <c r="L2852" t="s">
        <v>42</v>
      </c>
      <c r="M2852" t="s">
        <v>89</v>
      </c>
      <c r="N2852" t="s">
        <v>15</v>
      </c>
      <c r="O2852" t="s">
        <v>188</v>
      </c>
      <c r="P2852" s="1" t="s">
        <v>30</v>
      </c>
      <c r="Q2852">
        <v>131</v>
      </c>
    </row>
    <row r="2853" spans="1:17" x14ac:dyDescent="0.3">
      <c r="A2853">
        <v>2021</v>
      </c>
      <c r="B2853" t="s">
        <v>43</v>
      </c>
      <c r="C2853" t="s">
        <v>154</v>
      </c>
      <c r="D2853" s="1" t="s">
        <v>13</v>
      </c>
      <c r="E2853" s="4">
        <v>168.8</v>
      </c>
      <c r="F2853" s="4">
        <v>163.19999999999999</v>
      </c>
      <c r="G2853" s="4">
        <v>155.4</v>
      </c>
      <c r="H2853" s="1" t="s">
        <v>188</v>
      </c>
      <c r="K2853">
        <v>2015</v>
      </c>
      <c r="L2853" t="s">
        <v>42</v>
      </c>
      <c r="M2853" t="s">
        <v>89</v>
      </c>
      <c r="N2853" t="s">
        <v>15</v>
      </c>
      <c r="O2853" t="s">
        <v>188</v>
      </c>
      <c r="P2853" s="1" t="s">
        <v>34</v>
      </c>
      <c r="Q2853">
        <v>131.19999999999999</v>
      </c>
    </row>
    <row r="2854" spans="1:17" x14ac:dyDescent="0.3">
      <c r="A2854">
        <v>2021</v>
      </c>
      <c r="B2854" t="s">
        <v>43</v>
      </c>
      <c r="C2854" t="s">
        <v>154</v>
      </c>
      <c r="D2854" s="1" t="s">
        <v>7</v>
      </c>
      <c r="E2854" s="4">
        <v>198.8</v>
      </c>
      <c r="F2854" s="4">
        <v>190.6</v>
      </c>
      <c r="G2854" s="4">
        <v>176.6</v>
      </c>
      <c r="H2854" s="1" t="s">
        <v>188</v>
      </c>
      <c r="K2854">
        <v>2015</v>
      </c>
      <c r="L2854" t="s">
        <v>42</v>
      </c>
      <c r="M2854" t="s">
        <v>89</v>
      </c>
      <c r="N2854" t="s">
        <v>15</v>
      </c>
      <c r="O2854" t="s">
        <v>188</v>
      </c>
      <c r="P2854" s="1" t="s">
        <v>33</v>
      </c>
      <c r="Q2854">
        <v>131.5</v>
      </c>
    </row>
    <row r="2855" spans="1:17" x14ac:dyDescent="0.3">
      <c r="A2855">
        <v>2021</v>
      </c>
      <c r="B2855" t="s">
        <v>43</v>
      </c>
      <c r="C2855" t="s">
        <v>154</v>
      </c>
      <c r="D2855" s="1" t="s">
        <v>16</v>
      </c>
      <c r="E2855" s="4">
        <v>191.2</v>
      </c>
      <c r="F2855" s="4">
        <v>192.7</v>
      </c>
      <c r="G2855" s="4">
        <v>197</v>
      </c>
      <c r="H2855" s="1" t="s">
        <v>192</v>
      </c>
      <c r="K2855">
        <v>2015</v>
      </c>
      <c r="L2855" t="s">
        <v>42</v>
      </c>
      <c r="M2855" t="s">
        <v>89</v>
      </c>
      <c r="N2855" t="s">
        <v>18</v>
      </c>
      <c r="O2855" t="s">
        <v>189</v>
      </c>
      <c r="P2855" s="1" t="s">
        <v>30</v>
      </c>
      <c r="Q2855">
        <v>126.8</v>
      </c>
    </row>
    <row r="2856" spans="1:17" x14ac:dyDescent="0.3">
      <c r="A2856">
        <v>2021</v>
      </c>
      <c r="B2856" t="s">
        <v>43</v>
      </c>
      <c r="C2856" t="s">
        <v>154</v>
      </c>
      <c r="D2856" s="1" t="s">
        <v>27</v>
      </c>
      <c r="E2856" s="4">
        <v>161.1</v>
      </c>
      <c r="F2856" s="4">
        <v>160.80000000000001</v>
      </c>
      <c r="G2856" s="4">
        <v>160.30000000000001</v>
      </c>
      <c r="H2856" s="1" t="s">
        <v>192</v>
      </c>
      <c r="K2856">
        <v>2015</v>
      </c>
      <c r="L2856" t="s">
        <v>42</v>
      </c>
      <c r="M2856" t="s">
        <v>89</v>
      </c>
      <c r="N2856" t="s">
        <v>18</v>
      </c>
      <c r="O2856" t="s">
        <v>189</v>
      </c>
      <c r="P2856" s="1" t="s">
        <v>34</v>
      </c>
      <c r="Q2856">
        <v>123.4</v>
      </c>
    </row>
    <row r="2857" spans="1:17" x14ac:dyDescent="0.3">
      <c r="A2857">
        <v>2021</v>
      </c>
      <c r="B2857" t="s">
        <v>43</v>
      </c>
      <c r="C2857" t="s">
        <v>154</v>
      </c>
      <c r="D2857" s="1" t="s">
        <v>14</v>
      </c>
      <c r="E2857" s="4">
        <v>173.6</v>
      </c>
      <c r="F2857" s="4">
        <v>174.7</v>
      </c>
      <c r="G2857" s="4">
        <v>175.9</v>
      </c>
      <c r="H2857" s="1" t="s">
        <v>188</v>
      </c>
      <c r="K2857">
        <v>2015</v>
      </c>
      <c r="L2857" t="s">
        <v>42</v>
      </c>
      <c r="M2857" t="s">
        <v>89</v>
      </c>
      <c r="N2857" t="s">
        <v>18</v>
      </c>
      <c r="O2857" t="s">
        <v>189</v>
      </c>
      <c r="P2857" s="1" t="s">
        <v>33</v>
      </c>
      <c r="Q2857">
        <v>118.6</v>
      </c>
    </row>
    <row r="2858" spans="1:17" x14ac:dyDescent="0.3">
      <c r="A2858">
        <v>2021</v>
      </c>
      <c r="B2858" t="s">
        <v>43</v>
      </c>
      <c r="C2858" t="s">
        <v>154</v>
      </c>
      <c r="D2858" s="1" t="s">
        <v>10</v>
      </c>
      <c r="E2858" s="4">
        <v>165.2</v>
      </c>
      <c r="F2858" s="4">
        <v>165.2</v>
      </c>
      <c r="G2858" s="4">
        <v>165.3</v>
      </c>
      <c r="H2858" s="1" t="s">
        <v>188</v>
      </c>
      <c r="K2858">
        <v>2015</v>
      </c>
      <c r="L2858" t="s">
        <v>42</v>
      </c>
      <c r="M2858" t="s">
        <v>89</v>
      </c>
      <c r="N2858" t="s">
        <v>8</v>
      </c>
      <c r="O2858" t="s">
        <v>188</v>
      </c>
      <c r="P2858" s="1" t="s">
        <v>30</v>
      </c>
      <c r="Q2858">
        <v>132.30000000000001</v>
      </c>
    </row>
    <row r="2859" spans="1:17" x14ac:dyDescent="0.3">
      <c r="A2859">
        <v>2021</v>
      </c>
      <c r="B2859" t="s">
        <v>43</v>
      </c>
      <c r="C2859" t="s">
        <v>154</v>
      </c>
      <c r="D2859" s="1" t="s">
        <v>25</v>
      </c>
      <c r="E2859" s="4">
        <v>163.19999999999999</v>
      </c>
      <c r="F2859" s="4">
        <v>158.6</v>
      </c>
      <c r="G2859" s="4">
        <v>155.1</v>
      </c>
      <c r="H2859" s="1" t="s">
        <v>195</v>
      </c>
      <c r="K2859">
        <v>2015</v>
      </c>
      <c r="L2859" t="s">
        <v>42</v>
      </c>
      <c r="M2859" t="s">
        <v>89</v>
      </c>
      <c r="N2859" t="s">
        <v>8</v>
      </c>
      <c r="O2859" t="s">
        <v>188</v>
      </c>
      <c r="P2859" s="1" t="s">
        <v>34</v>
      </c>
      <c r="Q2859">
        <v>128.4</v>
      </c>
    </row>
    <row r="2860" spans="1:17" x14ac:dyDescent="0.3">
      <c r="A2860">
        <v>2021</v>
      </c>
      <c r="B2860" t="s">
        <v>43</v>
      </c>
      <c r="C2860" t="s">
        <v>154</v>
      </c>
      <c r="D2860" s="1" t="s">
        <v>12</v>
      </c>
      <c r="E2860" s="4">
        <v>170.6</v>
      </c>
      <c r="F2860" s="4">
        <v>169.3</v>
      </c>
      <c r="G2860" s="4">
        <v>166.8</v>
      </c>
      <c r="H2860" s="1" t="s">
        <v>188</v>
      </c>
      <c r="K2860">
        <v>2015</v>
      </c>
      <c r="L2860" t="s">
        <v>42</v>
      </c>
      <c r="M2860" t="s">
        <v>89</v>
      </c>
      <c r="N2860" t="s">
        <v>8</v>
      </c>
      <c r="O2860" t="s">
        <v>188</v>
      </c>
      <c r="P2860" s="1" t="s">
        <v>33</v>
      </c>
      <c r="Q2860">
        <v>124</v>
      </c>
    </row>
    <row r="2861" spans="1:17" x14ac:dyDescent="0.3">
      <c r="A2861">
        <v>2021</v>
      </c>
      <c r="B2861" t="s">
        <v>43</v>
      </c>
      <c r="C2861" t="s">
        <v>154</v>
      </c>
      <c r="D2861" s="1" t="s">
        <v>11</v>
      </c>
      <c r="E2861" s="4">
        <v>121.6</v>
      </c>
      <c r="F2861" s="4">
        <v>121.9</v>
      </c>
      <c r="G2861" s="4">
        <v>122.5</v>
      </c>
      <c r="H2861" s="1" t="s">
        <v>188</v>
      </c>
      <c r="K2861">
        <v>2015</v>
      </c>
      <c r="L2861" t="s">
        <v>42</v>
      </c>
      <c r="M2861" t="s">
        <v>89</v>
      </c>
      <c r="N2861" t="s">
        <v>21</v>
      </c>
      <c r="O2861" t="s">
        <v>190</v>
      </c>
      <c r="P2861" s="1" t="s">
        <v>30</v>
      </c>
      <c r="Q2861">
        <v>123.7</v>
      </c>
    </row>
    <row r="2862" spans="1:17" x14ac:dyDescent="0.3">
      <c r="A2862">
        <v>2021</v>
      </c>
      <c r="B2862" t="s">
        <v>43</v>
      </c>
      <c r="C2862" t="s">
        <v>154</v>
      </c>
      <c r="D2862" s="1" t="s">
        <v>24</v>
      </c>
      <c r="E2862" s="4">
        <v>159.5</v>
      </c>
      <c r="F2862" s="4">
        <v>155.69999999999999</v>
      </c>
      <c r="G2862" s="4">
        <v>152.19999999999999</v>
      </c>
      <c r="H2862" s="1" t="s">
        <v>191</v>
      </c>
      <c r="K2862">
        <v>2015</v>
      </c>
      <c r="L2862" t="s">
        <v>42</v>
      </c>
      <c r="M2862" t="s">
        <v>89</v>
      </c>
      <c r="N2862" t="s">
        <v>21</v>
      </c>
      <c r="O2862" t="s">
        <v>190</v>
      </c>
      <c r="P2862" s="1" t="s">
        <v>34</v>
      </c>
      <c r="Q2862">
        <v>120.4</v>
      </c>
    </row>
    <row r="2863" spans="1:17" x14ac:dyDescent="0.3">
      <c r="A2863">
        <v>2021</v>
      </c>
      <c r="B2863" t="s">
        <v>43</v>
      </c>
      <c r="C2863" t="s">
        <v>154</v>
      </c>
      <c r="D2863" s="1" t="s">
        <v>9</v>
      </c>
      <c r="E2863" s="4">
        <v>170.4</v>
      </c>
      <c r="F2863" s="4">
        <v>185.3</v>
      </c>
      <c r="G2863" s="4">
        <v>214.4</v>
      </c>
      <c r="H2863" s="1" t="s">
        <v>188</v>
      </c>
      <c r="K2863">
        <v>2015</v>
      </c>
      <c r="L2863" t="s">
        <v>42</v>
      </c>
      <c r="M2863" t="s">
        <v>89</v>
      </c>
      <c r="N2863" t="s">
        <v>21</v>
      </c>
      <c r="O2863" t="s">
        <v>190</v>
      </c>
      <c r="P2863" s="1" t="s">
        <v>33</v>
      </c>
      <c r="Q2863">
        <v>115.1</v>
      </c>
    </row>
    <row r="2864" spans="1:17" x14ac:dyDescent="0.3">
      <c r="A2864">
        <v>2021</v>
      </c>
      <c r="B2864" t="s">
        <v>42</v>
      </c>
      <c r="C2864" t="s">
        <v>155</v>
      </c>
      <c r="D2864" s="1" t="s">
        <v>3</v>
      </c>
      <c r="E2864" s="4">
        <v>145.4</v>
      </c>
      <c r="F2864" s="4">
        <v>146.6</v>
      </c>
      <c r="G2864" s="4">
        <v>149.30000000000001</v>
      </c>
      <c r="H2864" s="1" t="s">
        <v>188</v>
      </c>
      <c r="K2864">
        <v>2015</v>
      </c>
      <c r="L2864" t="s">
        <v>42</v>
      </c>
      <c r="M2864" t="s">
        <v>89</v>
      </c>
      <c r="N2864" t="s">
        <v>29</v>
      </c>
      <c r="O2864" t="s">
        <v>206</v>
      </c>
      <c r="P2864" s="1" t="s">
        <v>30</v>
      </c>
      <c r="Q2864">
        <v>127</v>
      </c>
    </row>
    <row r="2865" spans="1:17" x14ac:dyDescent="0.3">
      <c r="A2865">
        <v>2021</v>
      </c>
      <c r="B2865" t="s">
        <v>42</v>
      </c>
      <c r="C2865" t="s">
        <v>155</v>
      </c>
      <c r="D2865" s="1" t="s">
        <v>17</v>
      </c>
      <c r="E2865" s="4">
        <v>167.7</v>
      </c>
      <c r="F2865" s="4">
        <v>164.6</v>
      </c>
      <c r="G2865" s="4">
        <v>159.80000000000001</v>
      </c>
      <c r="H2865" s="1" t="s">
        <v>189</v>
      </c>
      <c r="K2865">
        <v>2015</v>
      </c>
      <c r="L2865" t="s">
        <v>42</v>
      </c>
      <c r="M2865" t="s">
        <v>89</v>
      </c>
      <c r="N2865" t="s">
        <v>29</v>
      </c>
      <c r="O2865" t="s">
        <v>206</v>
      </c>
      <c r="P2865" s="1" t="s">
        <v>34</v>
      </c>
      <c r="Q2865">
        <v>125.4</v>
      </c>
    </row>
    <row r="2866" spans="1:17" x14ac:dyDescent="0.3">
      <c r="A2866">
        <v>2021</v>
      </c>
      <c r="B2866" t="s">
        <v>42</v>
      </c>
      <c r="C2866" t="s">
        <v>155</v>
      </c>
      <c r="D2866" s="1" t="s">
        <v>19</v>
      </c>
      <c r="E2866" s="4">
        <v>167.1</v>
      </c>
      <c r="F2866" s="4">
        <v>163.30000000000001</v>
      </c>
      <c r="G2866" s="4">
        <v>157.4</v>
      </c>
      <c r="H2866" s="1" t="s">
        <v>189</v>
      </c>
      <c r="K2866">
        <v>2015</v>
      </c>
      <c r="L2866" t="s">
        <v>42</v>
      </c>
      <c r="M2866" t="s">
        <v>89</v>
      </c>
      <c r="N2866" t="s">
        <v>29</v>
      </c>
      <c r="O2866" t="s">
        <v>206</v>
      </c>
      <c r="P2866" s="1" t="s">
        <v>33</v>
      </c>
      <c r="Q2866">
        <v>123.5</v>
      </c>
    </row>
    <row r="2867" spans="1:17" x14ac:dyDescent="0.3">
      <c r="A2867">
        <v>2021</v>
      </c>
      <c r="B2867" t="s">
        <v>42</v>
      </c>
      <c r="C2867" t="s">
        <v>155</v>
      </c>
      <c r="D2867" s="1" t="s">
        <v>26</v>
      </c>
      <c r="E2867" s="4">
        <v>168.5</v>
      </c>
      <c r="F2867" s="4">
        <v>163.69999999999999</v>
      </c>
      <c r="G2867" s="4">
        <v>160.30000000000001</v>
      </c>
      <c r="H2867" s="1" t="s">
        <v>26</v>
      </c>
      <c r="K2867">
        <v>2015</v>
      </c>
      <c r="L2867" t="s">
        <v>42</v>
      </c>
      <c r="M2867" t="s">
        <v>89</v>
      </c>
      <c r="N2867" t="s">
        <v>23</v>
      </c>
      <c r="O2867" t="s">
        <v>23</v>
      </c>
      <c r="P2867" s="1" t="s">
        <v>30</v>
      </c>
      <c r="Q2867">
        <v>121.4</v>
      </c>
    </row>
    <row r="2868" spans="1:17" x14ac:dyDescent="0.3">
      <c r="A2868">
        <v>2021</v>
      </c>
      <c r="B2868" t="s">
        <v>42</v>
      </c>
      <c r="C2868" t="s">
        <v>155</v>
      </c>
      <c r="D2868" s="1" t="s">
        <v>5</v>
      </c>
      <c r="E2868" s="4">
        <v>172</v>
      </c>
      <c r="F2868" s="4">
        <v>172.8</v>
      </c>
      <c r="G2868" s="4">
        <v>174.1</v>
      </c>
      <c r="H2868" s="1" t="s">
        <v>188</v>
      </c>
      <c r="K2868">
        <v>2015</v>
      </c>
      <c r="L2868" t="s">
        <v>42</v>
      </c>
      <c r="M2868" t="s">
        <v>89</v>
      </c>
      <c r="N2868" t="s">
        <v>23</v>
      </c>
      <c r="O2868" t="s">
        <v>23</v>
      </c>
      <c r="P2868" s="1" t="s">
        <v>34</v>
      </c>
      <c r="Q2868">
        <v>119.8</v>
      </c>
    </row>
    <row r="2869" spans="1:17" x14ac:dyDescent="0.3">
      <c r="A2869">
        <v>2021</v>
      </c>
      <c r="B2869" t="s">
        <v>42</v>
      </c>
      <c r="C2869" t="s">
        <v>155</v>
      </c>
      <c r="D2869" s="1" t="s">
        <v>15</v>
      </c>
      <c r="E2869" s="4">
        <v>162.1</v>
      </c>
      <c r="F2869" s="4">
        <v>164</v>
      </c>
      <c r="G2869" s="4">
        <v>167.3</v>
      </c>
      <c r="H2869" s="1" t="s">
        <v>188</v>
      </c>
      <c r="K2869">
        <v>2015</v>
      </c>
      <c r="L2869" t="s">
        <v>42</v>
      </c>
      <c r="M2869" t="s">
        <v>89</v>
      </c>
      <c r="N2869" t="s">
        <v>23</v>
      </c>
      <c r="O2869" t="s">
        <v>23</v>
      </c>
      <c r="P2869" s="1" t="s">
        <v>33</v>
      </c>
      <c r="Q2869">
        <v>117.1</v>
      </c>
    </row>
    <row r="2870" spans="1:17" x14ac:dyDescent="0.3">
      <c r="A2870">
        <v>2021</v>
      </c>
      <c r="B2870" t="s">
        <v>42</v>
      </c>
      <c r="C2870" t="s">
        <v>155</v>
      </c>
      <c r="D2870" s="1" t="s">
        <v>18</v>
      </c>
      <c r="E2870" s="4">
        <v>163.6</v>
      </c>
      <c r="F2870" s="4">
        <v>155.30000000000001</v>
      </c>
      <c r="G2870" s="4">
        <v>143.6</v>
      </c>
      <c r="H2870" s="1" t="s">
        <v>189</v>
      </c>
      <c r="K2870">
        <v>2015</v>
      </c>
      <c r="L2870" t="s">
        <v>42</v>
      </c>
      <c r="M2870" t="s">
        <v>89</v>
      </c>
      <c r="N2870" t="s">
        <v>22</v>
      </c>
      <c r="O2870" t="s">
        <v>20</v>
      </c>
      <c r="P2870" s="1" t="s">
        <v>30</v>
      </c>
      <c r="Q2870">
        <v>124.5</v>
      </c>
    </row>
    <row r="2871" spans="1:17" x14ac:dyDescent="0.3">
      <c r="A2871">
        <v>2021</v>
      </c>
      <c r="B2871" t="s">
        <v>42</v>
      </c>
      <c r="C2871" t="s">
        <v>155</v>
      </c>
      <c r="D2871" s="1" t="s">
        <v>8</v>
      </c>
      <c r="E2871" s="4">
        <v>152.69999999999999</v>
      </c>
      <c r="F2871" s="4">
        <v>156.69999999999999</v>
      </c>
      <c r="G2871" s="4">
        <v>161.19999999999999</v>
      </c>
      <c r="H2871" s="1" t="s">
        <v>188</v>
      </c>
      <c r="K2871">
        <v>2015</v>
      </c>
      <c r="L2871" t="s">
        <v>42</v>
      </c>
      <c r="M2871" t="s">
        <v>89</v>
      </c>
      <c r="N2871" t="s">
        <v>22</v>
      </c>
      <c r="O2871" t="s">
        <v>20</v>
      </c>
      <c r="P2871" s="1" t="s">
        <v>34</v>
      </c>
      <c r="Q2871">
        <v>122.6</v>
      </c>
    </row>
    <row r="2872" spans="1:17" x14ac:dyDescent="0.3">
      <c r="A2872">
        <v>2021</v>
      </c>
      <c r="B2872" t="s">
        <v>42</v>
      </c>
      <c r="C2872" t="s">
        <v>155</v>
      </c>
      <c r="D2872" s="1" t="s">
        <v>21</v>
      </c>
      <c r="E2872" s="4">
        <v>163.69999999999999</v>
      </c>
      <c r="F2872" s="4">
        <v>162.6</v>
      </c>
      <c r="G2872" s="4">
        <v>160.80000000000001</v>
      </c>
      <c r="H2872" s="1" t="s">
        <v>190</v>
      </c>
      <c r="K2872">
        <v>2015</v>
      </c>
      <c r="L2872" t="s">
        <v>42</v>
      </c>
      <c r="M2872" t="s">
        <v>89</v>
      </c>
      <c r="N2872" t="s">
        <v>22</v>
      </c>
      <c r="O2872" t="s">
        <v>20</v>
      </c>
      <c r="P2872" s="1" t="s">
        <v>33</v>
      </c>
      <c r="Q2872">
        <v>120.4</v>
      </c>
    </row>
    <row r="2873" spans="1:17" x14ac:dyDescent="0.3">
      <c r="A2873">
        <v>2021</v>
      </c>
      <c r="B2873" t="s">
        <v>42</v>
      </c>
      <c r="C2873" t="s">
        <v>155</v>
      </c>
      <c r="D2873" s="1" t="s">
        <v>29</v>
      </c>
      <c r="E2873" s="4">
        <v>164</v>
      </c>
      <c r="F2873" s="4">
        <v>163.19999999999999</v>
      </c>
      <c r="G2873" s="4">
        <v>162.30000000000001</v>
      </c>
      <c r="H2873" s="1" t="s">
        <v>206</v>
      </c>
      <c r="K2873">
        <v>2015</v>
      </c>
      <c r="L2873" t="s">
        <v>42</v>
      </c>
      <c r="M2873" t="s">
        <v>89</v>
      </c>
      <c r="N2873" t="s">
        <v>20</v>
      </c>
      <c r="O2873" t="s">
        <v>20</v>
      </c>
      <c r="P2873" s="1" t="s">
        <v>30</v>
      </c>
      <c r="Q2873">
        <v>0</v>
      </c>
    </row>
    <row r="2874" spans="1:17" x14ac:dyDescent="0.3">
      <c r="A2874">
        <v>2021</v>
      </c>
      <c r="B2874" t="s">
        <v>42</v>
      </c>
      <c r="C2874" t="s">
        <v>155</v>
      </c>
      <c r="D2874" s="1" t="s">
        <v>23</v>
      </c>
      <c r="E2874" s="4">
        <v>171.9</v>
      </c>
      <c r="F2874" s="4">
        <v>168.4</v>
      </c>
      <c r="G2874" s="4">
        <v>162.80000000000001</v>
      </c>
      <c r="H2874" s="1" t="s">
        <v>23</v>
      </c>
      <c r="K2874">
        <v>2015</v>
      </c>
      <c r="L2874" t="s">
        <v>42</v>
      </c>
      <c r="M2874" t="s">
        <v>89</v>
      </c>
      <c r="N2874" t="s">
        <v>20</v>
      </c>
      <c r="O2874" t="s">
        <v>20</v>
      </c>
      <c r="P2874" s="1" t="s">
        <v>34</v>
      </c>
      <c r="Q2874">
        <v>121.6</v>
      </c>
    </row>
    <row r="2875" spans="1:17" x14ac:dyDescent="0.3">
      <c r="A2875">
        <v>2021</v>
      </c>
      <c r="B2875" t="s">
        <v>42</v>
      </c>
      <c r="C2875" t="s">
        <v>155</v>
      </c>
      <c r="D2875" s="1" t="s">
        <v>22</v>
      </c>
      <c r="E2875" s="4">
        <v>161.30000000000001</v>
      </c>
      <c r="F2875" s="4">
        <v>157.5</v>
      </c>
      <c r="G2875" s="4">
        <v>153.30000000000001</v>
      </c>
      <c r="H2875" s="1" t="s">
        <v>20</v>
      </c>
      <c r="K2875">
        <v>2015</v>
      </c>
      <c r="L2875" t="s">
        <v>42</v>
      </c>
      <c r="M2875" t="s">
        <v>89</v>
      </c>
      <c r="N2875" t="s">
        <v>20</v>
      </c>
      <c r="O2875" t="s">
        <v>20</v>
      </c>
      <c r="P2875" s="1" t="s">
        <v>33</v>
      </c>
      <c r="Q2875">
        <v>121.6</v>
      </c>
    </row>
    <row r="2876" spans="1:17" x14ac:dyDescent="0.3">
      <c r="A2876">
        <v>2021</v>
      </c>
      <c r="B2876" t="s">
        <v>42</v>
      </c>
      <c r="C2876" t="s">
        <v>155</v>
      </c>
      <c r="D2876" s="1" t="s">
        <v>20</v>
      </c>
      <c r="E2876" s="4">
        <v>0</v>
      </c>
      <c r="F2876" s="4">
        <v>162.1</v>
      </c>
      <c r="G2876" s="4">
        <v>162.1</v>
      </c>
      <c r="H2876" s="1" t="s">
        <v>20</v>
      </c>
      <c r="K2876">
        <v>2015</v>
      </c>
      <c r="L2876" t="s">
        <v>42</v>
      </c>
      <c r="M2876" t="s">
        <v>89</v>
      </c>
      <c r="N2876" t="s">
        <v>4</v>
      </c>
      <c r="O2876" t="s">
        <v>188</v>
      </c>
      <c r="P2876" s="1" t="s">
        <v>30</v>
      </c>
      <c r="Q2876">
        <v>131.1</v>
      </c>
    </row>
    <row r="2877" spans="1:17" x14ac:dyDescent="0.3">
      <c r="A2877">
        <v>2021</v>
      </c>
      <c r="B2877" t="s">
        <v>42</v>
      </c>
      <c r="C2877" t="s">
        <v>155</v>
      </c>
      <c r="D2877" s="1" t="s">
        <v>4</v>
      </c>
      <c r="E2877" s="4">
        <v>202.1</v>
      </c>
      <c r="F2877" s="4">
        <v>204</v>
      </c>
      <c r="G2877" s="4">
        <v>207.4</v>
      </c>
      <c r="H2877" s="1" t="s">
        <v>188</v>
      </c>
      <c r="K2877">
        <v>2015</v>
      </c>
      <c r="L2877" t="s">
        <v>42</v>
      </c>
      <c r="M2877" t="s">
        <v>89</v>
      </c>
      <c r="N2877" t="s">
        <v>4</v>
      </c>
      <c r="O2877" t="s">
        <v>188</v>
      </c>
      <c r="P2877" s="1" t="s">
        <v>34</v>
      </c>
      <c r="Q2877">
        <v>130.4</v>
      </c>
    </row>
    <row r="2878" spans="1:17" x14ac:dyDescent="0.3">
      <c r="A2878">
        <v>2021</v>
      </c>
      <c r="B2878" t="s">
        <v>42</v>
      </c>
      <c r="C2878" t="s">
        <v>155</v>
      </c>
      <c r="D2878" s="1" t="s">
        <v>6</v>
      </c>
      <c r="E2878" s="4">
        <v>158</v>
      </c>
      <c r="F2878" s="4">
        <v>158.4</v>
      </c>
      <c r="G2878" s="4">
        <v>159.1</v>
      </c>
      <c r="H2878" s="1" t="s">
        <v>188</v>
      </c>
      <c r="K2878">
        <v>2015</v>
      </c>
      <c r="L2878" t="s">
        <v>42</v>
      </c>
      <c r="M2878" t="s">
        <v>89</v>
      </c>
      <c r="N2878" t="s">
        <v>4</v>
      </c>
      <c r="O2878" t="s">
        <v>188</v>
      </c>
      <c r="P2878" s="1" t="s">
        <v>33</v>
      </c>
      <c r="Q2878">
        <v>129</v>
      </c>
    </row>
    <row r="2879" spans="1:17" x14ac:dyDescent="0.3">
      <c r="A2879">
        <v>2021</v>
      </c>
      <c r="B2879" t="s">
        <v>42</v>
      </c>
      <c r="C2879" t="s">
        <v>155</v>
      </c>
      <c r="D2879" s="1" t="s">
        <v>28</v>
      </c>
      <c r="E2879" s="4">
        <v>163.80000000000001</v>
      </c>
      <c r="F2879" s="4">
        <v>160</v>
      </c>
      <c r="G2879" s="4">
        <v>156</v>
      </c>
      <c r="H2879" s="1" t="s">
        <v>192</v>
      </c>
      <c r="K2879">
        <v>2015</v>
      </c>
      <c r="L2879" t="s">
        <v>42</v>
      </c>
      <c r="M2879" t="s">
        <v>89</v>
      </c>
      <c r="N2879" t="s">
        <v>6</v>
      </c>
      <c r="O2879" t="s">
        <v>188</v>
      </c>
      <c r="P2879" s="1" t="s">
        <v>30</v>
      </c>
      <c r="Q2879">
        <v>129.19999999999999</v>
      </c>
    </row>
    <row r="2880" spans="1:17" x14ac:dyDescent="0.3">
      <c r="A2880">
        <v>2021</v>
      </c>
      <c r="B2880" t="s">
        <v>42</v>
      </c>
      <c r="C2880" t="s">
        <v>155</v>
      </c>
      <c r="D2880" s="1" t="s">
        <v>13</v>
      </c>
      <c r="E2880" s="4">
        <v>168.3</v>
      </c>
      <c r="F2880" s="4">
        <v>162.69999999999999</v>
      </c>
      <c r="G2880" s="4">
        <v>154.80000000000001</v>
      </c>
      <c r="H2880" s="1" t="s">
        <v>188</v>
      </c>
      <c r="K2880">
        <v>2015</v>
      </c>
      <c r="L2880" t="s">
        <v>42</v>
      </c>
      <c r="M2880" t="s">
        <v>89</v>
      </c>
      <c r="N2880" t="s">
        <v>6</v>
      </c>
      <c r="O2880" t="s">
        <v>188</v>
      </c>
      <c r="P2880" s="1" t="s">
        <v>34</v>
      </c>
      <c r="Q2880">
        <v>128.9</v>
      </c>
    </row>
    <row r="2881" spans="1:17" x14ac:dyDescent="0.3">
      <c r="A2881">
        <v>2021</v>
      </c>
      <c r="B2881" t="s">
        <v>42</v>
      </c>
      <c r="C2881" t="s">
        <v>155</v>
      </c>
      <c r="D2881" s="1" t="s">
        <v>7</v>
      </c>
      <c r="E2881" s="4">
        <v>195.5</v>
      </c>
      <c r="F2881" s="4">
        <v>188</v>
      </c>
      <c r="G2881" s="4">
        <v>175</v>
      </c>
      <c r="H2881" s="1" t="s">
        <v>188</v>
      </c>
      <c r="K2881">
        <v>2015</v>
      </c>
      <c r="L2881" t="s">
        <v>42</v>
      </c>
      <c r="M2881" t="s">
        <v>89</v>
      </c>
      <c r="N2881" t="s">
        <v>6</v>
      </c>
      <c r="O2881" t="s">
        <v>188</v>
      </c>
      <c r="P2881" s="1" t="s">
        <v>33</v>
      </c>
      <c r="Q2881">
        <v>128.30000000000001</v>
      </c>
    </row>
    <row r="2882" spans="1:17" x14ac:dyDescent="0.3">
      <c r="A2882">
        <v>2021</v>
      </c>
      <c r="B2882" t="s">
        <v>42</v>
      </c>
      <c r="C2882" t="s">
        <v>155</v>
      </c>
      <c r="D2882" s="1" t="s">
        <v>16</v>
      </c>
      <c r="E2882" s="4">
        <v>190.5</v>
      </c>
      <c r="F2882" s="4">
        <v>192.1</v>
      </c>
      <c r="G2882" s="4">
        <v>196.5</v>
      </c>
      <c r="H2882" s="1" t="s">
        <v>192</v>
      </c>
      <c r="K2882">
        <v>2015</v>
      </c>
      <c r="L2882" t="s">
        <v>42</v>
      </c>
      <c r="M2882" t="s">
        <v>89</v>
      </c>
      <c r="N2882" t="s">
        <v>28</v>
      </c>
      <c r="O2882" t="s">
        <v>192</v>
      </c>
      <c r="P2882" s="1" t="s">
        <v>30</v>
      </c>
      <c r="Q2882">
        <v>118.8</v>
      </c>
    </row>
    <row r="2883" spans="1:17" x14ac:dyDescent="0.3">
      <c r="A2883">
        <v>2021</v>
      </c>
      <c r="B2883" t="s">
        <v>42</v>
      </c>
      <c r="C2883" t="s">
        <v>155</v>
      </c>
      <c r="D2883" s="1" t="s">
        <v>27</v>
      </c>
      <c r="E2883" s="4">
        <v>160.19999999999999</v>
      </c>
      <c r="F2883" s="4">
        <v>160</v>
      </c>
      <c r="G2883" s="4">
        <v>159.6</v>
      </c>
      <c r="H2883" s="1" t="s">
        <v>192</v>
      </c>
      <c r="K2883">
        <v>2015</v>
      </c>
      <c r="L2883" t="s">
        <v>42</v>
      </c>
      <c r="M2883" t="s">
        <v>89</v>
      </c>
      <c r="N2883" t="s">
        <v>28</v>
      </c>
      <c r="O2883" t="s">
        <v>192</v>
      </c>
      <c r="P2883" s="1" t="s">
        <v>34</v>
      </c>
      <c r="Q2883">
        <v>117.5</v>
      </c>
    </row>
    <row r="2884" spans="1:17" x14ac:dyDescent="0.3">
      <c r="A2884">
        <v>2021</v>
      </c>
      <c r="B2884" t="s">
        <v>42</v>
      </c>
      <c r="C2884" t="s">
        <v>155</v>
      </c>
      <c r="D2884" s="1" t="s">
        <v>14</v>
      </c>
      <c r="E2884" s="4">
        <v>172.8</v>
      </c>
      <c r="F2884" s="4">
        <v>173.9</v>
      </c>
      <c r="G2884" s="4">
        <v>175.1</v>
      </c>
      <c r="H2884" s="1" t="s">
        <v>188</v>
      </c>
      <c r="K2884">
        <v>2015</v>
      </c>
      <c r="L2884" t="s">
        <v>42</v>
      </c>
      <c r="M2884" t="s">
        <v>89</v>
      </c>
      <c r="N2884" t="s">
        <v>28</v>
      </c>
      <c r="O2884" t="s">
        <v>192</v>
      </c>
      <c r="P2884" s="1" t="s">
        <v>33</v>
      </c>
      <c r="Q2884">
        <v>116.2</v>
      </c>
    </row>
    <row r="2885" spans="1:17" x14ac:dyDescent="0.3">
      <c r="A2885">
        <v>2021</v>
      </c>
      <c r="B2885" t="s">
        <v>42</v>
      </c>
      <c r="C2885" t="s">
        <v>155</v>
      </c>
      <c r="D2885" s="1" t="s">
        <v>10</v>
      </c>
      <c r="E2885" s="4">
        <v>163.9</v>
      </c>
      <c r="F2885" s="4">
        <v>164.1</v>
      </c>
      <c r="G2885" s="4">
        <v>164.5</v>
      </c>
      <c r="H2885" s="1" t="s">
        <v>188</v>
      </c>
      <c r="K2885">
        <v>2015</v>
      </c>
      <c r="L2885" t="s">
        <v>42</v>
      </c>
      <c r="M2885" t="s">
        <v>89</v>
      </c>
      <c r="N2885" t="s">
        <v>13</v>
      </c>
      <c r="O2885" t="s">
        <v>188</v>
      </c>
      <c r="P2885" s="1" t="s">
        <v>30</v>
      </c>
      <c r="Q2885">
        <v>121.9</v>
      </c>
    </row>
    <row r="2886" spans="1:17" x14ac:dyDescent="0.3">
      <c r="A2886">
        <v>2021</v>
      </c>
      <c r="B2886" t="s">
        <v>42</v>
      </c>
      <c r="C2886" t="s">
        <v>155</v>
      </c>
      <c r="D2886" s="1" t="s">
        <v>25</v>
      </c>
      <c r="E2886" s="4">
        <v>162.69999999999999</v>
      </c>
      <c r="F2886" s="4">
        <v>157.69999999999999</v>
      </c>
      <c r="G2886" s="4">
        <v>153.9</v>
      </c>
      <c r="H2886" s="1" t="s">
        <v>195</v>
      </c>
      <c r="K2886">
        <v>2015</v>
      </c>
      <c r="L2886" t="s">
        <v>42</v>
      </c>
      <c r="M2886" t="s">
        <v>89</v>
      </c>
      <c r="N2886" t="s">
        <v>13</v>
      </c>
      <c r="O2886" t="s">
        <v>188</v>
      </c>
      <c r="P2886" s="1" t="s">
        <v>34</v>
      </c>
      <c r="Q2886">
        <v>120.7</v>
      </c>
    </row>
    <row r="2887" spans="1:17" x14ac:dyDescent="0.3">
      <c r="A2887">
        <v>2021</v>
      </c>
      <c r="B2887" t="s">
        <v>42</v>
      </c>
      <c r="C2887" t="s">
        <v>155</v>
      </c>
      <c r="D2887" s="1" t="s">
        <v>12</v>
      </c>
      <c r="E2887" s="4">
        <v>170.1</v>
      </c>
      <c r="F2887" s="4">
        <v>168.8</v>
      </c>
      <c r="G2887" s="4">
        <v>166.2</v>
      </c>
      <c r="H2887" s="1" t="s">
        <v>188</v>
      </c>
      <c r="K2887">
        <v>2015</v>
      </c>
      <c r="L2887" t="s">
        <v>42</v>
      </c>
      <c r="M2887" t="s">
        <v>89</v>
      </c>
      <c r="N2887" t="s">
        <v>13</v>
      </c>
      <c r="O2887" t="s">
        <v>188</v>
      </c>
      <c r="P2887" s="1" t="s">
        <v>33</v>
      </c>
      <c r="Q2887">
        <v>119.1</v>
      </c>
    </row>
    <row r="2888" spans="1:17" x14ac:dyDescent="0.3">
      <c r="A2888">
        <v>2021</v>
      </c>
      <c r="B2888" t="s">
        <v>42</v>
      </c>
      <c r="C2888" t="s">
        <v>155</v>
      </c>
      <c r="D2888" s="1" t="s">
        <v>11</v>
      </c>
      <c r="E2888" s="4">
        <v>119.3</v>
      </c>
      <c r="F2888" s="4">
        <v>119.7</v>
      </c>
      <c r="G2888" s="4">
        <v>120.4</v>
      </c>
      <c r="H2888" s="1" t="s">
        <v>188</v>
      </c>
      <c r="K2888">
        <v>2015</v>
      </c>
      <c r="L2888" t="s">
        <v>42</v>
      </c>
      <c r="M2888" t="s">
        <v>89</v>
      </c>
      <c r="N2888" t="s">
        <v>7</v>
      </c>
      <c r="O2888" t="s">
        <v>188</v>
      </c>
      <c r="P2888" s="1" t="s">
        <v>30</v>
      </c>
      <c r="Q2888">
        <v>114.7</v>
      </c>
    </row>
    <row r="2889" spans="1:17" x14ac:dyDescent="0.3">
      <c r="A2889">
        <v>2021</v>
      </c>
      <c r="B2889" t="s">
        <v>42</v>
      </c>
      <c r="C2889" t="s">
        <v>155</v>
      </c>
      <c r="D2889" s="1" t="s">
        <v>24</v>
      </c>
      <c r="E2889" s="4">
        <v>157.80000000000001</v>
      </c>
      <c r="F2889" s="4">
        <v>154</v>
      </c>
      <c r="G2889" s="4">
        <v>150.5</v>
      </c>
      <c r="H2889" s="1" t="s">
        <v>191</v>
      </c>
      <c r="K2889">
        <v>2015</v>
      </c>
      <c r="L2889" t="s">
        <v>42</v>
      </c>
      <c r="M2889" t="s">
        <v>89</v>
      </c>
      <c r="N2889" t="s">
        <v>7</v>
      </c>
      <c r="O2889" t="s">
        <v>188</v>
      </c>
      <c r="P2889" s="1" t="s">
        <v>34</v>
      </c>
      <c r="Q2889">
        <v>111.9</v>
      </c>
    </row>
    <row r="2890" spans="1:17" x14ac:dyDescent="0.3">
      <c r="A2890">
        <v>2021</v>
      </c>
      <c r="B2890" t="s">
        <v>42</v>
      </c>
      <c r="C2890" t="s">
        <v>155</v>
      </c>
      <c r="D2890" s="1" t="s">
        <v>9</v>
      </c>
      <c r="E2890" s="4">
        <v>151.4</v>
      </c>
      <c r="F2890" s="4">
        <v>162.30000000000001</v>
      </c>
      <c r="G2890" s="4">
        <v>183.5</v>
      </c>
      <c r="H2890" s="1" t="s">
        <v>188</v>
      </c>
      <c r="K2890">
        <v>2015</v>
      </c>
      <c r="L2890" t="s">
        <v>42</v>
      </c>
      <c r="M2890" t="s">
        <v>89</v>
      </c>
      <c r="N2890" t="s">
        <v>7</v>
      </c>
      <c r="O2890" t="s">
        <v>188</v>
      </c>
      <c r="P2890" s="1" t="s">
        <v>33</v>
      </c>
      <c r="Q2890">
        <v>107</v>
      </c>
    </row>
    <row r="2891" spans="1:17" x14ac:dyDescent="0.3">
      <c r="A2891">
        <v>2022</v>
      </c>
      <c r="B2891" t="s">
        <v>37</v>
      </c>
      <c r="C2891" t="s">
        <v>156</v>
      </c>
      <c r="D2891" s="1" t="s">
        <v>3</v>
      </c>
      <c r="E2891" s="4">
        <v>151.80000000000001</v>
      </c>
      <c r="F2891" s="4">
        <v>152.9</v>
      </c>
      <c r="G2891" s="4">
        <v>155.4</v>
      </c>
      <c r="H2891" s="1" t="s">
        <v>188</v>
      </c>
      <c r="K2891">
        <v>2015</v>
      </c>
      <c r="L2891" t="s">
        <v>42</v>
      </c>
      <c r="M2891" t="s">
        <v>89</v>
      </c>
      <c r="N2891" t="s">
        <v>16</v>
      </c>
      <c r="O2891" t="s">
        <v>192</v>
      </c>
      <c r="P2891" s="1" t="s">
        <v>30</v>
      </c>
      <c r="Q2891">
        <v>131</v>
      </c>
    </row>
    <row r="2892" spans="1:17" x14ac:dyDescent="0.3">
      <c r="A2892">
        <v>2022</v>
      </c>
      <c r="B2892" t="s">
        <v>37</v>
      </c>
      <c r="C2892" t="s">
        <v>156</v>
      </c>
      <c r="D2892" s="1" t="s">
        <v>17</v>
      </c>
      <c r="E2892" s="4">
        <v>177.5</v>
      </c>
      <c r="F2892" s="4">
        <v>173.9</v>
      </c>
      <c r="G2892" s="4">
        <v>168.4</v>
      </c>
      <c r="H2892" s="1" t="s">
        <v>189</v>
      </c>
      <c r="K2892">
        <v>2015</v>
      </c>
      <c r="L2892" t="s">
        <v>42</v>
      </c>
      <c r="M2892" t="s">
        <v>89</v>
      </c>
      <c r="N2892" t="s">
        <v>16</v>
      </c>
      <c r="O2892" t="s">
        <v>192</v>
      </c>
      <c r="P2892" s="1" t="s">
        <v>34</v>
      </c>
      <c r="Q2892">
        <v>132</v>
      </c>
    </row>
    <row r="2893" spans="1:17" x14ac:dyDescent="0.3">
      <c r="A2893">
        <v>2022</v>
      </c>
      <c r="B2893" t="s">
        <v>37</v>
      </c>
      <c r="C2893" t="s">
        <v>156</v>
      </c>
      <c r="D2893" s="1" t="s">
        <v>19</v>
      </c>
      <c r="E2893" s="4">
        <v>177.1</v>
      </c>
      <c r="F2893" s="4">
        <v>172.8</v>
      </c>
      <c r="G2893" s="4">
        <v>166.3</v>
      </c>
      <c r="H2893" s="1" t="s">
        <v>189</v>
      </c>
      <c r="K2893">
        <v>2015</v>
      </c>
      <c r="L2893" t="s">
        <v>42</v>
      </c>
      <c r="M2893" t="s">
        <v>89</v>
      </c>
      <c r="N2893" t="s">
        <v>16</v>
      </c>
      <c r="O2893" t="s">
        <v>192</v>
      </c>
      <c r="P2893" s="1" t="s">
        <v>33</v>
      </c>
      <c r="Q2893">
        <v>134.69999999999999</v>
      </c>
    </row>
    <row r="2894" spans="1:17" x14ac:dyDescent="0.3">
      <c r="A2894">
        <v>2022</v>
      </c>
      <c r="B2894" t="s">
        <v>37</v>
      </c>
      <c r="C2894" t="s">
        <v>156</v>
      </c>
      <c r="D2894" s="1" t="s">
        <v>26</v>
      </c>
      <c r="E2894" s="4">
        <v>170.9</v>
      </c>
      <c r="F2894" s="4">
        <v>166.9</v>
      </c>
      <c r="G2894" s="4">
        <v>164</v>
      </c>
      <c r="H2894" s="1" t="s">
        <v>26</v>
      </c>
      <c r="K2894">
        <v>2015</v>
      </c>
      <c r="L2894" t="s">
        <v>42</v>
      </c>
      <c r="M2894" t="s">
        <v>89</v>
      </c>
      <c r="N2894" t="s">
        <v>27</v>
      </c>
      <c r="O2894" t="s">
        <v>192</v>
      </c>
      <c r="P2894" s="1" t="s">
        <v>30</v>
      </c>
      <c r="Q2894">
        <v>113.7</v>
      </c>
    </row>
    <row r="2895" spans="1:17" x14ac:dyDescent="0.3">
      <c r="A2895">
        <v>2022</v>
      </c>
      <c r="B2895" t="s">
        <v>37</v>
      </c>
      <c r="C2895" t="s">
        <v>156</v>
      </c>
      <c r="D2895" s="1" t="s">
        <v>5</v>
      </c>
      <c r="E2895" s="4">
        <v>164.5</v>
      </c>
      <c r="F2895" s="4">
        <v>164.5</v>
      </c>
      <c r="G2895" s="4">
        <v>164.6</v>
      </c>
      <c r="H2895" s="1" t="s">
        <v>188</v>
      </c>
      <c r="K2895">
        <v>2015</v>
      </c>
      <c r="L2895" t="s">
        <v>42</v>
      </c>
      <c r="M2895" t="s">
        <v>89</v>
      </c>
      <c r="N2895" t="s">
        <v>27</v>
      </c>
      <c r="O2895" t="s">
        <v>192</v>
      </c>
      <c r="P2895" s="1" t="s">
        <v>34</v>
      </c>
      <c r="Q2895">
        <v>113.4</v>
      </c>
    </row>
    <row r="2896" spans="1:17" x14ac:dyDescent="0.3">
      <c r="A2896">
        <v>2022</v>
      </c>
      <c r="B2896" t="s">
        <v>37</v>
      </c>
      <c r="C2896" t="s">
        <v>156</v>
      </c>
      <c r="D2896" s="1" t="s">
        <v>15</v>
      </c>
      <c r="E2896" s="4">
        <v>168.6</v>
      </c>
      <c r="F2896" s="4">
        <v>170.8</v>
      </c>
      <c r="G2896" s="4">
        <v>174.5</v>
      </c>
      <c r="H2896" s="1" t="s">
        <v>188</v>
      </c>
      <c r="K2896">
        <v>2015</v>
      </c>
      <c r="L2896" t="s">
        <v>42</v>
      </c>
      <c r="M2896" t="s">
        <v>89</v>
      </c>
      <c r="N2896" t="s">
        <v>27</v>
      </c>
      <c r="O2896" t="s">
        <v>192</v>
      </c>
      <c r="P2896" s="1" t="s">
        <v>33</v>
      </c>
      <c r="Q2896">
        <v>112.9</v>
      </c>
    </row>
    <row r="2897" spans="1:17" x14ac:dyDescent="0.3">
      <c r="A2897">
        <v>2022</v>
      </c>
      <c r="B2897" t="s">
        <v>37</v>
      </c>
      <c r="C2897" t="s">
        <v>156</v>
      </c>
      <c r="D2897" s="1" t="s">
        <v>18</v>
      </c>
      <c r="E2897" s="4">
        <v>175.1</v>
      </c>
      <c r="F2897" s="4">
        <v>166.5</v>
      </c>
      <c r="G2897" s="4">
        <v>154.5</v>
      </c>
      <c r="H2897" s="1" t="s">
        <v>189</v>
      </c>
      <c r="K2897">
        <v>2015</v>
      </c>
      <c r="L2897" t="s">
        <v>42</v>
      </c>
      <c r="M2897" t="s">
        <v>89</v>
      </c>
      <c r="N2897" t="s">
        <v>14</v>
      </c>
      <c r="O2897" t="s">
        <v>188</v>
      </c>
      <c r="P2897" s="1" t="s">
        <v>30</v>
      </c>
      <c r="Q2897">
        <v>132.69999999999999</v>
      </c>
    </row>
    <row r="2898" spans="1:17" x14ac:dyDescent="0.3">
      <c r="A2898">
        <v>2022</v>
      </c>
      <c r="B2898" t="s">
        <v>37</v>
      </c>
      <c r="C2898" t="s">
        <v>156</v>
      </c>
      <c r="D2898" s="1" t="s">
        <v>8</v>
      </c>
      <c r="E2898" s="4">
        <v>169.7</v>
      </c>
      <c r="F2898" s="4">
        <v>172.6</v>
      </c>
      <c r="G2898" s="4">
        <v>175.9</v>
      </c>
      <c r="H2898" s="1" t="s">
        <v>188</v>
      </c>
      <c r="K2898">
        <v>2015</v>
      </c>
      <c r="L2898" t="s">
        <v>42</v>
      </c>
      <c r="M2898" t="s">
        <v>89</v>
      </c>
      <c r="N2898" t="s">
        <v>14</v>
      </c>
      <c r="O2898" t="s">
        <v>188</v>
      </c>
      <c r="P2898" s="1" t="s">
        <v>34</v>
      </c>
      <c r="Q2898">
        <v>132.5</v>
      </c>
    </row>
    <row r="2899" spans="1:17" x14ac:dyDescent="0.3">
      <c r="A2899">
        <v>2022</v>
      </c>
      <c r="B2899" t="s">
        <v>37</v>
      </c>
      <c r="C2899" t="s">
        <v>156</v>
      </c>
      <c r="D2899" s="1" t="s">
        <v>21</v>
      </c>
      <c r="E2899" s="4">
        <v>173.3</v>
      </c>
      <c r="F2899" s="4">
        <v>172.2</v>
      </c>
      <c r="G2899" s="4">
        <v>170.5</v>
      </c>
      <c r="H2899" s="1" t="s">
        <v>190</v>
      </c>
      <c r="K2899">
        <v>2015</v>
      </c>
      <c r="L2899" t="s">
        <v>42</v>
      </c>
      <c r="M2899" t="s">
        <v>89</v>
      </c>
      <c r="N2899" t="s">
        <v>14</v>
      </c>
      <c r="O2899" t="s">
        <v>188</v>
      </c>
      <c r="P2899" s="1" t="s">
        <v>33</v>
      </c>
      <c r="Q2899">
        <v>132.30000000000001</v>
      </c>
    </row>
    <row r="2900" spans="1:17" x14ac:dyDescent="0.3">
      <c r="A2900">
        <v>2022</v>
      </c>
      <c r="B2900" t="s">
        <v>37</v>
      </c>
      <c r="C2900" t="s">
        <v>156</v>
      </c>
      <c r="D2900" s="1" t="s">
        <v>29</v>
      </c>
      <c r="E2900" s="4">
        <v>170.8</v>
      </c>
      <c r="F2900" s="4">
        <v>170.1</v>
      </c>
      <c r="G2900" s="4">
        <v>169.2</v>
      </c>
      <c r="H2900" s="1" t="s">
        <v>206</v>
      </c>
      <c r="K2900">
        <v>2015</v>
      </c>
      <c r="L2900" t="s">
        <v>42</v>
      </c>
      <c r="M2900" t="s">
        <v>89</v>
      </c>
      <c r="N2900" t="s">
        <v>10</v>
      </c>
      <c r="O2900" t="s">
        <v>188</v>
      </c>
      <c r="P2900" s="1" t="s">
        <v>30</v>
      </c>
      <c r="Q2900">
        <v>142.1</v>
      </c>
    </row>
    <row r="2901" spans="1:17" x14ac:dyDescent="0.3">
      <c r="A2901">
        <v>2022</v>
      </c>
      <c r="B2901" t="s">
        <v>37</v>
      </c>
      <c r="C2901" t="s">
        <v>156</v>
      </c>
      <c r="D2901" s="1" t="s">
        <v>23</v>
      </c>
      <c r="E2901" s="4">
        <v>177</v>
      </c>
      <c r="F2901" s="4">
        <v>174</v>
      </c>
      <c r="G2901" s="4">
        <v>169</v>
      </c>
      <c r="H2901" s="1" t="s">
        <v>23</v>
      </c>
      <c r="K2901">
        <v>2015</v>
      </c>
      <c r="L2901" t="s">
        <v>42</v>
      </c>
      <c r="M2901" t="s">
        <v>89</v>
      </c>
      <c r="N2901" t="s">
        <v>10</v>
      </c>
      <c r="O2901" t="s">
        <v>188</v>
      </c>
      <c r="P2901" s="1" t="s">
        <v>34</v>
      </c>
      <c r="Q2901">
        <v>150</v>
      </c>
    </row>
    <row r="2902" spans="1:17" x14ac:dyDescent="0.3">
      <c r="A2902">
        <v>2022</v>
      </c>
      <c r="B2902" t="s">
        <v>37</v>
      </c>
      <c r="C2902" t="s">
        <v>156</v>
      </c>
      <c r="D2902" s="1" t="s">
        <v>22</v>
      </c>
      <c r="E2902" s="4">
        <v>167.7</v>
      </c>
      <c r="F2902" s="4">
        <v>164</v>
      </c>
      <c r="G2902" s="4">
        <v>159.80000000000001</v>
      </c>
      <c r="H2902" s="1" t="s">
        <v>20</v>
      </c>
      <c r="K2902">
        <v>2015</v>
      </c>
      <c r="L2902" t="s">
        <v>42</v>
      </c>
      <c r="M2902" t="s">
        <v>89</v>
      </c>
      <c r="N2902" t="s">
        <v>10</v>
      </c>
      <c r="O2902" t="s">
        <v>188</v>
      </c>
      <c r="P2902" s="1" t="s">
        <v>33</v>
      </c>
      <c r="Q2902">
        <v>165.4</v>
      </c>
    </row>
    <row r="2903" spans="1:17" x14ac:dyDescent="0.3">
      <c r="A2903">
        <v>2022</v>
      </c>
      <c r="B2903" t="s">
        <v>37</v>
      </c>
      <c r="C2903" t="s">
        <v>156</v>
      </c>
      <c r="D2903" s="1" t="s">
        <v>20</v>
      </c>
      <c r="E2903" s="4">
        <v>0</v>
      </c>
      <c r="F2903" s="4">
        <v>167</v>
      </c>
      <c r="G2903" s="4">
        <v>167</v>
      </c>
      <c r="H2903" s="1" t="s">
        <v>20</v>
      </c>
      <c r="K2903">
        <v>2015</v>
      </c>
      <c r="L2903" t="s">
        <v>42</v>
      </c>
      <c r="M2903" t="s">
        <v>89</v>
      </c>
      <c r="N2903" t="s">
        <v>25</v>
      </c>
      <c r="O2903" t="s">
        <v>195</v>
      </c>
      <c r="P2903" s="1" t="s">
        <v>30</v>
      </c>
      <c r="Q2903">
        <v>119.6</v>
      </c>
    </row>
    <row r="2904" spans="1:17" x14ac:dyDescent="0.3">
      <c r="A2904">
        <v>2022</v>
      </c>
      <c r="B2904" t="s">
        <v>37</v>
      </c>
      <c r="C2904" t="s">
        <v>156</v>
      </c>
      <c r="D2904" s="1" t="s">
        <v>4</v>
      </c>
      <c r="E2904" s="4">
        <v>209.7</v>
      </c>
      <c r="F2904" s="4">
        <v>211.8</v>
      </c>
      <c r="G2904" s="4">
        <v>215.8</v>
      </c>
      <c r="H2904" s="1" t="s">
        <v>188</v>
      </c>
      <c r="K2904">
        <v>2015</v>
      </c>
      <c r="L2904" t="s">
        <v>42</v>
      </c>
      <c r="M2904" t="s">
        <v>89</v>
      </c>
      <c r="N2904" t="s">
        <v>25</v>
      </c>
      <c r="O2904" t="s">
        <v>195</v>
      </c>
      <c r="P2904" s="1" t="s">
        <v>34</v>
      </c>
      <c r="Q2904">
        <v>118.3</v>
      </c>
    </row>
    <row r="2905" spans="1:17" x14ac:dyDescent="0.3">
      <c r="A2905">
        <v>2022</v>
      </c>
      <c r="B2905" t="s">
        <v>37</v>
      </c>
      <c r="C2905" t="s">
        <v>156</v>
      </c>
      <c r="D2905" s="1" t="s">
        <v>6</v>
      </c>
      <c r="E2905" s="4">
        <v>163.80000000000001</v>
      </c>
      <c r="F2905" s="4">
        <v>163.9</v>
      </c>
      <c r="G2905" s="4">
        <v>164.2</v>
      </c>
      <c r="H2905" s="1" t="s">
        <v>188</v>
      </c>
      <c r="K2905">
        <v>2015</v>
      </c>
      <c r="L2905" t="s">
        <v>42</v>
      </c>
      <c r="M2905" t="s">
        <v>89</v>
      </c>
      <c r="N2905" t="s">
        <v>25</v>
      </c>
      <c r="O2905" t="s">
        <v>195</v>
      </c>
      <c r="P2905" s="1" t="s">
        <v>33</v>
      </c>
      <c r="Q2905">
        <v>117.3</v>
      </c>
    </row>
    <row r="2906" spans="1:17" x14ac:dyDescent="0.3">
      <c r="A2906">
        <v>2022</v>
      </c>
      <c r="B2906" t="s">
        <v>37</v>
      </c>
      <c r="C2906" t="s">
        <v>156</v>
      </c>
      <c r="D2906" s="1" t="s">
        <v>28</v>
      </c>
      <c r="E2906" s="4">
        <v>170.2</v>
      </c>
      <c r="F2906" s="4">
        <v>166.8</v>
      </c>
      <c r="G2906" s="4">
        <v>163.1</v>
      </c>
      <c r="H2906" s="1" t="s">
        <v>192</v>
      </c>
      <c r="K2906">
        <v>2015</v>
      </c>
      <c r="L2906" t="s">
        <v>42</v>
      </c>
      <c r="M2906" t="s">
        <v>89</v>
      </c>
      <c r="N2906" t="s">
        <v>12</v>
      </c>
      <c r="O2906" t="s">
        <v>188</v>
      </c>
      <c r="P2906" s="1" t="s">
        <v>30</v>
      </c>
      <c r="Q2906">
        <v>125.4</v>
      </c>
    </row>
    <row r="2907" spans="1:17" x14ac:dyDescent="0.3">
      <c r="A2907">
        <v>2022</v>
      </c>
      <c r="B2907" t="s">
        <v>37</v>
      </c>
      <c r="C2907" t="s">
        <v>156</v>
      </c>
      <c r="D2907" s="1" t="s">
        <v>13</v>
      </c>
      <c r="E2907" s="4">
        <v>172.4</v>
      </c>
      <c r="F2907" s="4">
        <v>166.2</v>
      </c>
      <c r="G2907" s="4">
        <v>157.5</v>
      </c>
      <c r="H2907" s="1" t="s">
        <v>188</v>
      </c>
      <c r="K2907">
        <v>2015</v>
      </c>
      <c r="L2907" t="s">
        <v>42</v>
      </c>
      <c r="M2907" t="s">
        <v>89</v>
      </c>
      <c r="N2907" t="s">
        <v>12</v>
      </c>
      <c r="O2907" t="s">
        <v>188</v>
      </c>
      <c r="P2907" s="1" t="s">
        <v>34</v>
      </c>
      <c r="Q2907">
        <v>128.4</v>
      </c>
    </row>
    <row r="2908" spans="1:17" x14ac:dyDescent="0.3">
      <c r="A2908">
        <v>2022</v>
      </c>
      <c r="B2908" t="s">
        <v>37</v>
      </c>
      <c r="C2908" t="s">
        <v>156</v>
      </c>
      <c r="D2908" s="1" t="s">
        <v>7</v>
      </c>
      <c r="E2908" s="4">
        <v>207.4</v>
      </c>
      <c r="F2908" s="4">
        <v>199.5</v>
      </c>
      <c r="G2908" s="4">
        <v>186</v>
      </c>
      <c r="H2908" s="1" t="s">
        <v>188</v>
      </c>
      <c r="K2908">
        <v>2015</v>
      </c>
      <c r="L2908" t="s">
        <v>42</v>
      </c>
      <c r="M2908" t="s">
        <v>89</v>
      </c>
      <c r="N2908" t="s">
        <v>12</v>
      </c>
      <c r="O2908" t="s">
        <v>188</v>
      </c>
      <c r="P2908" s="1" t="s">
        <v>33</v>
      </c>
      <c r="Q2908">
        <v>134.4</v>
      </c>
    </row>
    <row r="2909" spans="1:17" x14ac:dyDescent="0.3">
      <c r="A2909">
        <v>2022</v>
      </c>
      <c r="B2909" t="s">
        <v>37</v>
      </c>
      <c r="C2909" t="s">
        <v>156</v>
      </c>
      <c r="D2909" s="1" t="s">
        <v>16</v>
      </c>
      <c r="E2909" s="4">
        <v>192.8</v>
      </c>
      <c r="F2909" s="4">
        <v>193.9</v>
      </c>
      <c r="G2909" s="4">
        <v>197.1</v>
      </c>
      <c r="H2909" s="1" t="s">
        <v>192</v>
      </c>
      <c r="K2909">
        <v>2015</v>
      </c>
      <c r="L2909" t="s">
        <v>42</v>
      </c>
      <c r="M2909" t="s">
        <v>89</v>
      </c>
      <c r="N2909" t="s">
        <v>11</v>
      </c>
      <c r="O2909" t="s">
        <v>188</v>
      </c>
      <c r="P2909" s="1" t="s">
        <v>30</v>
      </c>
      <c r="Q2909">
        <v>92.5</v>
      </c>
    </row>
    <row r="2910" spans="1:17" x14ac:dyDescent="0.3">
      <c r="A2910">
        <v>2022</v>
      </c>
      <c r="B2910" t="s">
        <v>37</v>
      </c>
      <c r="C2910" t="s">
        <v>156</v>
      </c>
      <c r="D2910" s="1" t="s">
        <v>27</v>
      </c>
      <c r="E2910" s="4">
        <v>169</v>
      </c>
      <c r="F2910" s="4">
        <v>168.8</v>
      </c>
      <c r="G2910" s="4">
        <v>168.4</v>
      </c>
      <c r="H2910" s="1" t="s">
        <v>192</v>
      </c>
      <c r="K2910">
        <v>2015</v>
      </c>
      <c r="L2910" t="s">
        <v>42</v>
      </c>
      <c r="M2910" t="s">
        <v>89</v>
      </c>
      <c r="N2910" t="s">
        <v>11</v>
      </c>
      <c r="O2910" t="s">
        <v>188</v>
      </c>
      <c r="P2910" s="1" t="s">
        <v>34</v>
      </c>
      <c r="Q2910">
        <v>90.4</v>
      </c>
    </row>
    <row r="2911" spans="1:17" x14ac:dyDescent="0.3">
      <c r="A2911">
        <v>2022</v>
      </c>
      <c r="B2911" t="s">
        <v>37</v>
      </c>
      <c r="C2911" t="s">
        <v>156</v>
      </c>
      <c r="D2911" s="1" t="s">
        <v>14</v>
      </c>
      <c r="E2911" s="4">
        <v>178.9</v>
      </c>
      <c r="F2911" s="4">
        <v>180.9</v>
      </c>
      <c r="G2911" s="4">
        <v>183.3</v>
      </c>
      <c r="H2911" s="1" t="s">
        <v>188</v>
      </c>
      <c r="K2911">
        <v>2015</v>
      </c>
      <c r="L2911" t="s">
        <v>42</v>
      </c>
      <c r="M2911" t="s">
        <v>89</v>
      </c>
      <c r="N2911" t="s">
        <v>11</v>
      </c>
      <c r="O2911" t="s">
        <v>188</v>
      </c>
      <c r="P2911" s="1" t="s">
        <v>33</v>
      </c>
      <c r="Q2911">
        <v>86.3</v>
      </c>
    </row>
    <row r="2912" spans="1:17" x14ac:dyDescent="0.3">
      <c r="A2912">
        <v>2022</v>
      </c>
      <c r="B2912" t="s">
        <v>37</v>
      </c>
      <c r="C2912" t="s">
        <v>156</v>
      </c>
      <c r="D2912" s="1" t="s">
        <v>10</v>
      </c>
      <c r="E2912" s="4">
        <v>165.1</v>
      </c>
      <c r="F2912" s="4">
        <v>164.7</v>
      </c>
      <c r="G2912" s="4">
        <v>164</v>
      </c>
      <c r="H2912" s="1" t="s">
        <v>188</v>
      </c>
      <c r="K2912">
        <v>2015</v>
      </c>
      <c r="L2912" t="s">
        <v>42</v>
      </c>
      <c r="M2912" t="s">
        <v>89</v>
      </c>
      <c r="N2912" t="s">
        <v>24</v>
      </c>
      <c r="O2912" t="s">
        <v>191</v>
      </c>
      <c r="P2912" s="1" t="s">
        <v>30</v>
      </c>
      <c r="Q2912">
        <v>113.8</v>
      </c>
    </row>
    <row r="2913" spans="1:17" x14ac:dyDescent="0.3">
      <c r="A2913">
        <v>2022</v>
      </c>
      <c r="B2913" t="s">
        <v>37</v>
      </c>
      <c r="C2913" t="s">
        <v>156</v>
      </c>
      <c r="D2913" s="1" t="s">
        <v>25</v>
      </c>
      <c r="E2913" s="4">
        <v>167.2</v>
      </c>
      <c r="F2913" s="4">
        <v>164.4</v>
      </c>
      <c r="G2913" s="4">
        <v>162.19999999999999</v>
      </c>
      <c r="H2913" s="1" t="s">
        <v>195</v>
      </c>
      <c r="K2913">
        <v>2015</v>
      </c>
      <c r="L2913" t="s">
        <v>42</v>
      </c>
      <c r="M2913" t="s">
        <v>89</v>
      </c>
      <c r="N2913" t="s">
        <v>24</v>
      </c>
      <c r="O2913" t="s">
        <v>191</v>
      </c>
      <c r="P2913" s="1" t="s">
        <v>34</v>
      </c>
      <c r="Q2913">
        <v>111.3</v>
      </c>
    </row>
    <row r="2914" spans="1:17" x14ac:dyDescent="0.3">
      <c r="A2914">
        <v>2022</v>
      </c>
      <c r="B2914" t="s">
        <v>37</v>
      </c>
      <c r="C2914" t="s">
        <v>156</v>
      </c>
      <c r="D2914" s="1" t="s">
        <v>12</v>
      </c>
      <c r="E2914" s="4">
        <v>182.9</v>
      </c>
      <c r="F2914" s="4">
        <v>181.3</v>
      </c>
      <c r="G2914" s="4">
        <v>178</v>
      </c>
      <c r="H2914" s="1" t="s">
        <v>188</v>
      </c>
      <c r="K2914">
        <v>2015</v>
      </c>
      <c r="L2914" t="s">
        <v>42</v>
      </c>
      <c r="M2914" t="s">
        <v>89</v>
      </c>
      <c r="N2914" t="s">
        <v>24</v>
      </c>
      <c r="O2914" t="s">
        <v>191</v>
      </c>
      <c r="P2914" s="1" t="s">
        <v>33</v>
      </c>
      <c r="Q2914">
        <v>109.1</v>
      </c>
    </row>
    <row r="2915" spans="1:17" x14ac:dyDescent="0.3">
      <c r="A2915">
        <v>2022</v>
      </c>
      <c r="B2915" t="s">
        <v>37</v>
      </c>
      <c r="C2915" t="s">
        <v>156</v>
      </c>
      <c r="D2915" s="1" t="s">
        <v>11</v>
      </c>
      <c r="E2915" s="4">
        <v>118.2</v>
      </c>
      <c r="F2915" s="4">
        <v>119</v>
      </c>
      <c r="G2915" s="4">
        <v>120.5</v>
      </c>
      <c r="H2915" s="1" t="s">
        <v>188</v>
      </c>
      <c r="K2915">
        <v>2015</v>
      </c>
      <c r="L2915" t="s">
        <v>42</v>
      </c>
      <c r="M2915" t="s">
        <v>89</v>
      </c>
      <c r="N2915" t="s">
        <v>9</v>
      </c>
      <c r="O2915" t="s">
        <v>188</v>
      </c>
      <c r="P2915" s="1" t="s">
        <v>30</v>
      </c>
      <c r="Q2915">
        <v>158.9</v>
      </c>
    </row>
    <row r="2916" spans="1:17" x14ac:dyDescent="0.3">
      <c r="A2916">
        <v>2022</v>
      </c>
      <c r="B2916" t="s">
        <v>37</v>
      </c>
      <c r="C2916" t="s">
        <v>156</v>
      </c>
      <c r="D2916" s="1" t="s">
        <v>24</v>
      </c>
      <c r="E2916" s="4">
        <v>166.2</v>
      </c>
      <c r="F2916" s="4">
        <v>162.6</v>
      </c>
      <c r="G2916" s="4">
        <v>159.30000000000001</v>
      </c>
      <c r="H2916" s="1" t="s">
        <v>191</v>
      </c>
      <c r="K2916">
        <v>2015</v>
      </c>
      <c r="L2916" t="s">
        <v>42</v>
      </c>
      <c r="M2916" t="s">
        <v>89</v>
      </c>
      <c r="N2916" t="s">
        <v>9</v>
      </c>
      <c r="O2916" t="s">
        <v>188</v>
      </c>
      <c r="P2916" s="1" t="s">
        <v>34</v>
      </c>
      <c r="Q2916">
        <v>162.19999999999999</v>
      </c>
    </row>
    <row r="2917" spans="1:17" x14ac:dyDescent="0.3">
      <c r="A2917">
        <v>2022</v>
      </c>
      <c r="B2917" t="s">
        <v>37</v>
      </c>
      <c r="C2917" t="s">
        <v>156</v>
      </c>
      <c r="D2917" s="1" t="s">
        <v>9</v>
      </c>
      <c r="E2917" s="4">
        <v>153.6</v>
      </c>
      <c r="F2917" s="4">
        <v>166.2</v>
      </c>
      <c r="G2917" s="4">
        <v>190.7</v>
      </c>
      <c r="H2917" s="1" t="s">
        <v>188</v>
      </c>
      <c r="K2917">
        <v>2015</v>
      </c>
      <c r="L2917" t="s">
        <v>42</v>
      </c>
      <c r="M2917" t="s">
        <v>89</v>
      </c>
      <c r="N2917" t="s">
        <v>9</v>
      </c>
      <c r="O2917" t="s">
        <v>188</v>
      </c>
      <c r="P2917" s="1" t="s">
        <v>33</v>
      </c>
      <c r="Q2917">
        <v>168.5</v>
      </c>
    </row>
    <row r="2918" spans="1:17" x14ac:dyDescent="0.3">
      <c r="A2918">
        <v>2022</v>
      </c>
      <c r="B2918" t="s">
        <v>41</v>
      </c>
      <c r="C2918" t="s">
        <v>157</v>
      </c>
      <c r="D2918" s="1" t="s">
        <v>3</v>
      </c>
      <c r="E2918" s="4">
        <v>159.5</v>
      </c>
      <c r="F2918" s="4">
        <v>160.30000000000001</v>
      </c>
      <c r="G2918" s="4">
        <v>162.1</v>
      </c>
      <c r="H2918" s="1" t="s">
        <v>188</v>
      </c>
      <c r="K2918">
        <v>2016</v>
      </c>
      <c r="L2918" t="s">
        <v>37</v>
      </c>
      <c r="M2918" t="s">
        <v>90</v>
      </c>
      <c r="N2918" t="s">
        <v>3</v>
      </c>
      <c r="O2918" t="s">
        <v>188</v>
      </c>
      <c r="P2918" s="1" t="s">
        <v>30</v>
      </c>
      <c r="Q2918">
        <v>127.4</v>
      </c>
    </row>
    <row r="2919" spans="1:17" x14ac:dyDescent="0.3">
      <c r="A2919">
        <v>2022</v>
      </c>
      <c r="B2919" t="s">
        <v>41</v>
      </c>
      <c r="C2919" t="s">
        <v>157</v>
      </c>
      <c r="D2919" s="1" t="s">
        <v>17</v>
      </c>
      <c r="E2919" s="4">
        <v>183.2</v>
      </c>
      <c r="F2919" s="4">
        <v>179.5</v>
      </c>
      <c r="G2919" s="4">
        <v>173.7</v>
      </c>
      <c r="H2919" s="1" t="s">
        <v>189</v>
      </c>
      <c r="K2919">
        <v>2016</v>
      </c>
      <c r="L2919" t="s">
        <v>37</v>
      </c>
      <c r="M2919" t="s">
        <v>90</v>
      </c>
      <c r="N2919" t="s">
        <v>3</v>
      </c>
      <c r="O2919" t="s">
        <v>188</v>
      </c>
      <c r="P2919" s="1" t="s">
        <v>34</v>
      </c>
      <c r="Q2919">
        <v>126.6</v>
      </c>
    </row>
    <row r="2920" spans="1:17" x14ac:dyDescent="0.3">
      <c r="A2920">
        <v>2022</v>
      </c>
      <c r="B2920" t="s">
        <v>41</v>
      </c>
      <c r="C2920" t="s">
        <v>157</v>
      </c>
      <c r="D2920" s="1" t="s">
        <v>19</v>
      </c>
      <c r="E2920" s="4">
        <v>183</v>
      </c>
      <c r="F2920" s="4">
        <v>178.5</v>
      </c>
      <c r="G2920" s="4">
        <v>171.6</v>
      </c>
      <c r="H2920" s="1" t="s">
        <v>189</v>
      </c>
      <c r="K2920">
        <v>2016</v>
      </c>
      <c r="L2920" t="s">
        <v>37</v>
      </c>
      <c r="M2920" t="s">
        <v>90</v>
      </c>
      <c r="N2920" t="s">
        <v>3</v>
      </c>
      <c r="O2920" t="s">
        <v>188</v>
      </c>
      <c r="P2920" s="1" t="s">
        <v>33</v>
      </c>
      <c r="Q2920">
        <v>124.9</v>
      </c>
    </row>
    <row r="2921" spans="1:17" x14ac:dyDescent="0.3">
      <c r="A2921">
        <v>2022</v>
      </c>
      <c r="B2921" t="s">
        <v>41</v>
      </c>
      <c r="C2921" t="s">
        <v>157</v>
      </c>
      <c r="D2921" s="1" t="s">
        <v>26</v>
      </c>
      <c r="E2921" s="4">
        <v>175.7</v>
      </c>
      <c r="F2921" s="4">
        <v>172.3</v>
      </c>
      <c r="G2921" s="4">
        <v>169.9</v>
      </c>
      <c r="H2921" s="1" t="s">
        <v>26</v>
      </c>
      <c r="K2921">
        <v>2016</v>
      </c>
      <c r="L2921" t="s">
        <v>37</v>
      </c>
      <c r="M2921" t="s">
        <v>90</v>
      </c>
      <c r="N2921" t="s">
        <v>17</v>
      </c>
      <c r="O2921" t="s">
        <v>189</v>
      </c>
      <c r="P2921" s="1" t="s">
        <v>30</v>
      </c>
      <c r="Q2921">
        <v>135</v>
      </c>
    </row>
    <row r="2922" spans="1:17" x14ac:dyDescent="0.3">
      <c r="A2922">
        <v>2022</v>
      </c>
      <c r="B2922" t="s">
        <v>41</v>
      </c>
      <c r="C2922" t="s">
        <v>157</v>
      </c>
      <c r="D2922" s="1" t="s">
        <v>5</v>
      </c>
      <c r="E2922" s="4">
        <v>168.3</v>
      </c>
      <c r="F2922" s="4">
        <v>169.2</v>
      </c>
      <c r="G2922" s="4">
        <v>170.6</v>
      </c>
      <c r="H2922" s="1" t="s">
        <v>188</v>
      </c>
      <c r="K2922">
        <v>2016</v>
      </c>
      <c r="L2922" t="s">
        <v>37</v>
      </c>
      <c r="M2922" t="s">
        <v>90</v>
      </c>
      <c r="N2922" t="s">
        <v>17</v>
      </c>
      <c r="O2922" t="s">
        <v>189</v>
      </c>
      <c r="P2922" s="1" t="s">
        <v>34</v>
      </c>
      <c r="Q2922">
        <v>131.80000000000001</v>
      </c>
    </row>
    <row r="2923" spans="1:17" x14ac:dyDescent="0.3">
      <c r="A2923">
        <v>2022</v>
      </c>
      <c r="B2923" t="s">
        <v>41</v>
      </c>
      <c r="C2923" t="s">
        <v>157</v>
      </c>
      <c r="D2923" s="1" t="s">
        <v>15</v>
      </c>
      <c r="E2923" s="4">
        <v>173.9</v>
      </c>
      <c r="F2923" s="4">
        <v>176.3</v>
      </c>
      <c r="G2923" s="4">
        <v>180.4</v>
      </c>
      <c r="H2923" s="1" t="s">
        <v>188</v>
      </c>
      <c r="K2923">
        <v>2016</v>
      </c>
      <c r="L2923" t="s">
        <v>37</v>
      </c>
      <c r="M2923" t="s">
        <v>90</v>
      </c>
      <c r="N2923" t="s">
        <v>17</v>
      </c>
      <c r="O2923" t="s">
        <v>189</v>
      </c>
      <c r="P2923" s="1" t="s">
        <v>33</v>
      </c>
      <c r="Q2923">
        <v>126.8</v>
      </c>
    </row>
    <row r="2924" spans="1:17" x14ac:dyDescent="0.3">
      <c r="A2924">
        <v>2022</v>
      </c>
      <c r="B2924" t="s">
        <v>41</v>
      </c>
      <c r="C2924" t="s">
        <v>157</v>
      </c>
      <c r="D2924" s="1" t="s">
        <v>18</v>
      </c>
      <c r="E2924" s="4">
        <v>181.7</v>
      </c>
      <c r="F2924" s="4">
        <v>172.7</v>
      </c>
      <c r="G2924" s="4">
        <v>160</v>
      </c>
      <c r="H2924" s="1" t="s">
        <v>189</v>
      </c>
      <c r="K2924">
        <v>2016</v>
      </c>
      <c r="L2924" t="s">
        <v>37</v>
      </c>
      <c r="M2924" t="s">
        <v>90</v>
      </c>
      <c r="N2924" t="s">
        <v>19</v>
      </c>
      <c r="O2924" t="s">
        <v>189</v>
      </c>
      <c r="P2924" s="1" t="s">
        <v>30</v>
      </c>
      <c r="Q2924">
        <v>134.4</v>
      </c>
    </row>
    <row r="2925" spans="1:17" x14ac:dyDescent="0.3">
      <c r="A2925">
        <v>2022</v>
      </c>
      <c r="B2925" t="s">
        <v>41</v>
      </c>
      <c r="C2925" t="s">
        <v>157</v>
      </c>
      <c r="D2925" s="1" t="s">
        <v>8</v>
      </c>
      <c r="E2925" s="4">
        <v>169.2</v>
      </c>
      <c r="F2925" s="4">
        <v>172.9</v>
      </c>
      <c r="G2925" s="4">
        <v>177.1</v>
      </c>
      <c r="H2925" s="1" t="s">
        <v>188</v>
      </c>
      <c r="K2925">
        <v>2016</v>
      </c>
      <c r="L2925" t="s">
        <v>37</v>
      </c>
      <c r="M2925" t="s">
        <v>90</v>
      </c>
      <c r="N2925" t="s">
        <v>19</v>
      </c>
      <c r="O2925" t="s">
        <v>189</v>
      </c>
      <c r="P2925" s="1" t="s">
        <v>34</v>
      </c>
      <c r="Q2925">
        <v>131</v>
      </c>
    </row>
    <row r="2926" spans="1:17" x14ac:dyDescent="0.3">
      <c r="A2926">
        <v>2022</v>
      </c>
      <c r="B2926" t="s">
        <v>41</v>
      </c>
      <c r="C2926" t="s">
        <v>157</v>
      </c>
      <c r="D2926" s="1" t="s">
        <v>21</v>
      </c>
      <c r="E2926" s="4">
        <v>179.1</v>
      </c>
      <c r="F2926" s="4">
        <v>178.8</v>
      </c>
      <c r="G2926" s="4">
        <v>178.4</v>
      </c>
      <c r="H2926" s="1" t="s">
        <v>190</v>
      </c>
      <c r="K2926">
        <v>2016</v>
      </c>
      <c r="L2926" t="s">
        <v>37</v>
      </c>
      <c r="M2926" t="s">
        <v>90</v>
      </c>
      <c r="N2926" t="s">
        <v>19</v>
      </c>
      <c r="O2926" t="s">
        <v>189</v>
      </c>
      <c r="P2926" s="1" t="s">
        <v>33</v>
      </c>
      <c r="Q2926">
        <v>125.8</v>
      </c>
    </row>
    <row r="2927" spans="1:17" x14ac:dyDescent="0.3">
      <c r="A2927">
        <v>2022</v>
      </c>
      <c r="B2927" t="s">
        <v>41</v>
      </c>
      <c r="C2927" t="s">
        <v>157</v>
      </c>
      <c r="D2927" s="1" t="s">
        <v>29</v>
      </c>
      <c r="E2927" s="4">
        <v>175.3</v>
      </c>
      <c r="F2927" s="4">
        <v>174.3</v>
      </c>
      <c r="G2927" s="4">
        <v>173.1</v>
      </c>
      <c r="H2927" s="1" t="s">
        <v>206</v>
      </c>
      <c r="K2927">
        <v>2016</v>
      </c>
      <c r="L2927" t="s">
        <v>37</v>
      </c>
      <c r="M2927" t="s">
        <v>90</v>
      </c>
      <c r="N2927" t="s">
        <v>26</v>
      </c>
      <c r="O2927" t="s">
        <v>26</v>
      </c>
      <c r="P2927" s="1" t="s">
        <v>30</v>
      </c>
      <c r="Q2927">
        <v>127.9</v>
      </c>
    </row>
    <row r="2928" spans="1:17" x14ac:dyDescent="0.3">
      <c r="A2928">
        <v>2022</v>
      </c>
      <c r="B2928" t="s">
        <v>41</v>
      </c>
      <c r="C2928" t="s">
        <v>157</v>
      </c>
      <c r="D2928" s="1" t="s">
        <v>23</v>
      </c>
      <c r="E2928" s="4">
        <v>179.4</v>
      </c>
      <c r="F2928" s="4">
        <v>176.8</v>
      </c>
      <c r="G2928" s="4">
        <v>172.6</v>
      </c>
      <c r="H2928" s="1" t="s">
        <v>23</v>
      </c>
      <c r="K2928">
        <v>2016</v>
      </c>
      <c r="L2928" t="s">
        <v>37</v>
      </c>
      <c r="M2928" t="s">
        <v>90</v>
      </c>
      <c r="N2928" t="s">
        <v>26</v>
      </c>
      <c r="O2928" t="s">
        <v>26</v>
      </c>
      <c r="P2928" s="1" t="s">
        <v>34</v>
      </c>
      <c r="Q2928">
        <v>127.7</v>
      </c>
    </row>
    <row r="2929" spans="1:17" x14ac:dyDescent="0.3">
      <c r="A2929">
        <v>2022</v>
      </c>
      <c r="B2929" t="s">
        <v>41</v>
      </c>
      <c r="C2929" t="s">
        <v>157</v>
      </c>
      <c r="D2929" s="1" t="s">
        <v>22</v>
      </c>
      <c r="E2929" s="4">
        <v>172.3</v>
      </c>
      <c r="F2929" s="4">
        <v>168.5</v>
      </c>
      <c r="G2929" s="4">
        <v>164.2</v>
      </c>
      <c r="H2929" s="1" t="s">
        <v>20</v>
      </c>
      <c r="K2929">
        <v>2016</v>
      </c>
      <c r="L2929" t="s">
        <v>37</v>
      </c>
      <c r="M2929" t="s">
        <v>90</v>
      </c>
      <c r="N2929" t="s">
        <v>26</v>
      </c>
      <c r="O2929" t="s">
        <v>26</v>
      </c>
      <c r="P2929" s="1" t="s">
        <v>33</v>
      </c>
      <c r="Q2929">
        <v>127.6</v>
      </c>
    </row>
    <row r="2930" spans="1:17" x14ac:dyDescent="0.3">
      <c r="A2930">
        <v>2022</v>
      </c>
      <c r="B2930" t="s">
        <v>41</v>
      </c>
      <c r="C2930" t="s">
        <v>157</v>
      </c>
      <c r="D2930" s="1" t="s">
        <v>20</v>
      </c>
      <c r="E2930" s="4">
        <v>0</v>
      </c>
      <c r="F2930" s="4">
        <v>169</v>
      </c>
      <c r="G2930" s="4">
        <v>169</v>
      </c>
      <c r="H2930" s="1" t="s">
        <v>20</v>
      </c>
      <c r="K2930">
        <v>2016</v>
      </c>
      <c r="L2930" t="s">
        <v>37</v>
      </c>
      <c r="M2930" t="s">
        <v>90</v>
      </c>
      <c r="N2930" t="s">
        <v>5</v>
      </c>
      <c r="O2930" t="s">
        <v>188</v>
      </c>
      <c r="P2930" s="1" t="s">
        <v>30</v>
      </c>
      <c r="Q2930">
        <v>123.4</v>
      </c>
    </row>
    <row r="2931" spans="1:17" x14ac:dyDescent="0.3">
      <c r="A2931">
        <v>2022</v>
      </c>
      <c r="B2931" t="s">
        <v>41</v>
      </c>
      <c r="C2931" t="s">
        <v>157</v>
      </c>
      <c r="D2931" s="1" t="s">
        <v>4</v>
      </c>
      <c r="E2931" s="4">
        <v>204.1</v>
      </c>
      <c r="F2931" s="4">
        <v>206.5</v>
      </c>
      <c r="G2931" s="4">
        <v>210.9</v>
      </c>
      <c r="H2931" s="1" t="s">
        <v>188</v>
      </c>
      <c r="K2931">
        <v>2016</v>
      </c>
      <c r="L2931" t="s">
        <v>37</v>
      </c>
      <c r="M2931" t="s">
        <v>90</v>
      </c>
      <c r="N2931" t="s">
        <v>5</v>
      </c>
      <c r="O2931" t="s">
        <v>188</v>
      </c>
      <c r="P2931" s="1" t="s">
        <v>34</v>
      </c>
      <c r="Q2931">
        <v>122</v>
      </c>
    </row>
    <row r="2932" spans="1:17" x14ac:dyDescent="0.3">
      <c r="A2932">
        <v>2022</v>
      </c>
      <c r="B2932" t="s">
        <v>41</v>
      </c>
      <c r="C2932" t="s">
        <v>157</v>
      </c>
      <c r="D2932" s="1" t="s">
        <v>6</v>
      </c>
      <c r="E2932" s="4">
        <v>167.9</v>
      </c>
      <c r="F2932" s="4">
        <v>168.1</v>
      </c>
      <c r="G2932" s="4">
        <v>168.4</v>
      </c>
      <c r="H2932" s="1" t="s">
        <v>188</v>
      </c>
      <c r="K2932">
        <v>2016</v>
      </c>
      <c r="L2932" t="s">
        <v>37</v>
      </c>
      <c r="M2932" t="s">
        <v>90</v>
      </c>
      <c r="N2932" t="s">
        <v>5</v>
      </c>
      <c r="O2932" t="s">
        <v>188</v>
      </c>
      <c r="P2932" s="1" t="s">
        <v>33</v>
      </c>
      <c r="Q2932">
        <v>119.9</v>
      </c>
    </row>
    <row r="2933" spans="1:17" x14ac:dyDescent="0.3">
      <c r="A2933">
        <v>2022</v>
      </c>
      <c r="B2933" t="s">
        <v>41</v>
      </c>
      <c r="C2933" t="s">
        <v>157</v>
      </c>
      <c r="D2933" s="1" t="s">
        <v>28</v>
      </c>
      <c r="E2933" s="4">
        <v>172.6</v>
      </c>
      <c r="F2933" s="4">
        <v>169.1</v>
      </c>
      <c r="G2933" s="4">
        <v>165.4</v>
      </c>
      <c r="H2933" s="1" t="s">
        <v>192</v>
      </c>
      <c r="K2933">
        <v>2016</v>
      </c>
      <c r="L2933" t="s">
        <v>37</v>
      </c>
      <c r="M2933" t="s">
        <v>90</v>
      </c>
      <c r="N2933" t="s">
        <v>15</v>
      </c>
      <c r="O2933" t="s">
        <v>188</v>
      </c>
      <c r="P2933" s="1" t="s">
        <v>30</v>
      </c>
      <c r="Q2933">
        <v>131.80000000000001</v>
      </c>
    </row>
    <row r="2934" spans="1:17" x14ac:dyDescent="0.3">
      <c r="A2934">
        <v>2022</v>
      </c>
      <c r="B2934" t="s">
        <v>41</v>
      </c>
      <c r="C2934" t="s">
        <v>157</v>
      </c>
      <c r="D2934" s="1" t="s">
        <v>13</v>
      </c>
      <c r="E2934" s="4">
        <v>174.8</v>
      </c>
      <c r="F2934" s="4">
        <v>168.8</v>
      </c>
      <c r="G2934" s="4">
        <v>160.5</v>
      </c>
      <c r="H2934" s="1" t="s">
        <v>188</v>
      </c>
      <c r="K2934">
        <v>2016</v>
      </c>
      <c r="L2934" t="s">
        <v>37</v>
      </c>
      <c r="M2934" t="s">
        <v>90</v>
      </c>
      <c r="N2934" t="s">
        <v>15</v>
      </c>
      <c r="O2934" t="s">
        <v>188</v>
      </c>
      <c r="P2934" s="1" t="s">
        <v>34</v>
      </c>
      <c r="Q2934">
        <v>131.80000000000001</v>
      </c>
    </row>
    <row r="2935" spans="1:17" x14ac:dyDescent="0.3">
      <c r="A2935">
        <v>2022</v>
      </c>
      <c r="B2935" t="s">
        <v>41</v>
      </c>
      <c r="C2935" t="s">
        <v>157</v>
      </c>
      <c r="D2935" s="1" t="s">
        <v>7</v>
      </c>
      <c r="E2935" s="4">
        <v>198.1</v>
      </c>
      <c r="F2935" s="4">
        <v>192.4</v>
      </c>
      <c r="G2935" s="4">
        <v>182.5</v>
      </c>
      <c r="H2935" s="1" t="s">
        <v>188</v>
      </c>
      <c r="K2935">
        <v>2016</v>
      </c>
      <c r="L2935" t="s">
        <v>37</v>
      </c>
      <c r="M2935" t="s">
        <v>90</v>
      </c>
      <c r="N2935" t="s">
        <v>15</v>
      </c>
      <c r="O2935" t="s">
        <v>188</v>
      </c>
      <c r="P2935" s="1" t="s">
        <v>33</v>
      </c>
      <c r="Q2935">
        <v>131.80000000000001</v>
      </c>
    </row>
    <row r="2936" spans="1:17" x14ac:dyDescent="0.3">
      <c r="A2936">
        <v>2022</v>
      </c>
      <c r="B2936" t="s">
        <v>41</v>
      </c>
      <c r="C2936" t="s">
        <v>157</v>
      </c>
      <c r="D2936" s="1" t="s">
        <v>16</v>
      </c>
      <c r="E2936" s="4">
        <v>193.7</v>
      </c>
      <c r="F2936" s="4">
        <v>195</v>
      </c>
      <c r="G2936" s="4">
        <v>198.7</v>
      </c>
      <c r="H2936" s="1" t="s">
        <v>192</v>
      </c>
      <c r="K2936">
        <v>2016</v>
      </c>
      <c r="L2936" t="s">
        <v>37</v>
      </c>
      <c r="M2936" t="s">
        <v>90</v>
      </c>
      <c r="N2936" t="s">
        <v>18</v>
      </c>
      <c r="O2936" t="s">
        <v>189</v>
      </c>
      <c r="P2936" s="1" t="s">
        <v>30</v>
      </c>
      <c r="Q2936">
        <v>130.6</v>
      </c>
    </row>
    <row r="2937" spans="1:17" x14ac:dyDescent="0.3">
      <c r="A2937">
        <v>2022</v>
      </c>
      <c r="B2937" t="s">
        <v>41</v>
      </c>
      <c r="C2937" t="s">
        <v>157</v>
      </c>
      <c r="D2937" s="1" t="s">
        <v>27</v>
      </c>
      <c r="E2937" s="4">
        <v>171.1</v>
      </c>
      <c r="F2937" s="4">
        <v>171.2</v>
      </c>
      <c r="G2937" s="4">
        <v>171.4</v>
      </c>
      <c r="H2937" s="1" t="s">
        <v>192</v>
      </c>
      <c r="K2937">
        <v>2016</v>
      </c>
      <c r="L2937" t="s">
        <v>37</v>
      </c>
      <c r="M2937" t="s">
        <v>90</v>
      </c>
      <c r="N2937" t="s">
        <v>18</v>
      </c>
      <c r="O2937" t="s">
        <v>189</v>
      </c>
      <c r="P2937" s="1" t="s">
        <v>34</v>
      </c>
      <c r="Q2937">
        <v>126.4</v>
      </c>
    </row>
    <row r="2938" spans="1:17" x14ac:dyDescent="0.3">
      <c r="A2938">
        <v>2022</v>
      </c>
      <c r="B2938" t="s">
        <v>41</v>
      </c>
      <c r="C2938" t="s">
        <v>157</v>
      </c>
      <c r="D2938" s="1" t="s">
        <v>14</v>
      </c>
      <c r="E2938" s="4">
        <v>184</v>
      </c>
      <c r="F2938" s="4">
        <v>186.3</v>
      </c>
      <c r="G2938" s="4">
        <v>188.9</v>
      </c>
      <c r="H2938" s="1" t="s">
        <v>188</v>
      </c>
      <c r="K2938">
        <v>2016</v>
      </c>
      <c r="L2938" t="s">
        <v>37</v>
      </c>
      <c r="M2938" t="s">
        <v>90</v>
      </c>
      <c r="N2938" t="s">
        <v>18</v>
      </c>
      <c r="O2938" t="s">
        <v>189</v>
      </c>
      <c r="P2938" s="1" t="s">
        <v>33</v>
      </c>
      <c r="Q2938">
        <v>120.5</v>
      </c>
    </row>
    <row r="2939" spans="1:17" x14ac:dyDescent="0.3">
      <c r="A2939">
        <v>2022</v>
      </c>
      <c r="B2939" t="s">
        <v>41</v>
      </c>
      <c r="C2939" t="s">
        <v>157</v>
      </c>
      <c r="D2939" s="1" t="s">
        <v>10</v>
      </c>
      <c r="E2939" s="4">
        <v>167.1</v>
      </c>
      <c r="F2939" s="4">
        <v>167.2</v>
      </c>
      <c r="G2939" s="4">
        <v>167.3</v>
      </c>
      <c r="H2939" s="1" t="s">
        <v>188</v>
      </c>
      <c r="K2939">
        <v>2016</v>
      </c>
      <c r="L2939" t="s">
        <v>37</v>
      </c>
      <c r="M2939" t="s">
        <v>90</v>
      </c>
      <c r="N2939" t="s">
        <v>8</v>
      </c>
      <c r="O2939" t="s">
        <v>188</v>
      </c>
      <c r="P2939" s="1" t="s">
        <v>30</v>
      </c>
      <c r="Q2939">
        <v>138.1</v>
      </c>
    </row>
    <row r="2940" spans="1:17" x14ac:dyDescent="0.3">
      <c r="A2940">
        <v>2022</v>
      </c>
      <c r="B2940" t="s">
        <v>41</v>
      </c>
      <c r="C2940" t="s">
        <v>157</v>
      </c>
      <c r="D2940" s="1" t="s">
        <v>25</v>
      </c>
      <c r="E2940" s="4">
        <v>169.3</v>
      </c>
      <c r="F2940" s="4">
        <v>166.9</v>
      </c>
      <c r="G2940" s="4">
        <v>165.1</v>
      </c>
      <c r="H2940" s="1" t="s">
        <v>195</v>
      </c>
      <c r="K2940">
        <v>2016</v>
      </c>
      <c r="L2940" t="s">
        <v>37</v>
      </c>
      <c r="M2940" t="s">
        <v>90</v>
      </c>
      <c r="N2940" t="s">
        <v>8</v>
      </c>
      <c r="O2940" t="s">
        <v>188</v>
      </c>
      <c r="P2940" s="1" t="s">
        <v>34</v>
      </c>
      <c r="Q2940">
        <v>134.80000000000001</v>
      </c>
    </row>
    <row r="2941" spans="1:17" x14ac:dyDescent="0.3">
      <c r="A2941">
        <v>2022</v>
      </c>
      <c r="B2941" t="s">
        <v>41</v>
      </c>
      <c r="C2941" t="s">
        <v>157</v>
      </c>
      <c r="D2941" s="1" t="s">
        <v>12</v>
      </c>
      <c r="E2941" s="4">
        <v>195.6</v>
      </c>
      <c r="F2941" s="4">
        <v>193.6</v>
      </c>
      <c r="G2941" s="4">
        <v>189.7</v>
      </c>
      <c r="H2941" s="1" t="s">
        <v>188</v>
      </c>
      <c r="K2941">
        <v>2016</v>
      </c>
      <c r="L2941" t="s">
        <v>37</v>
      </c>
      <c r="M2941" t="s">
        <v>90</v>
      </c>
      <c r="N2941" t="s">
        <v>8</v>
      </c>
      <c r="O2941" t="s">
        <v>188</v>
      </c>
      <c r="P2941" s="1" t="s">
        <v>33</v>
      </c>
      <c r="Q2941">
        <v>131.1</v>
      </c>
    </row>
    <row r="2942" spans="1:17" x14ac:dyDescent="0.3">
      <c r="A2942">
        <v>2022</v>
      </c>
      <c r="B2942" t="s">
        <v>41</v>
      </c>
      <c r="C2942" t="s">
        <v>157</v>
      </c>
      <c r="D2942" s="1" t="s">
        <v>11</v>
      </c>
      <c r="E2942" s="4">
        <v>120.2</v>
      </c>
      <c r="F2942" s="4">
        <v>120.9</v>
      </c>
      <c r="G2942" s="4">
        <v>122.2</v>
      </c>
      <c r="H2942" s="1" t="s">
        <v>188</v>
      </c>
      <c r="K2942">
        <v>2016</v>
      </c>
      <c r="L2942" t="s">
        <v>37</v>
      </c>
      <c r="M2942" t="s">
        <v>90</v>
      </c>
      <c r="N2942" t="s">
        <v>21</v>
      </c>
      <c r="O2942" t="s">
        <v>190</v>
      </c>
      <c r="P2942" s="1" t="s">
        <v>30</v>
      </c>
      <c r="Q2942">
        <v>127</v>
      </c>
    </row>
    <row r="2943" spans="1:17" x14ac:dyDescent="0.3">
      <c r="A2943">
        <v>2022</v>
      </c>
      <c r="B2943" t="s">
        <v>41</v>
      </c>
      <c r="C2943" t="s">
        <v>157</v>
      </c>
      <c r="D2943" s="1" t="s">
        <v>24</v>
      </c>
      <c r="E2943" s="4">
        <v>166.6</v>
      </c>
      <c r="F2943" s="4">
        <v>161.9</v>
      </c>
      <c r="G2943" s="4">
        <v>157.69999999999999</v>
      </c>
      <c r="H2943" s="1" t="s">
        <v>191</v>
      </c>
      <c r="K2943">
        <v>2016</v>
      </c>
      <c r="L2943" t="s">
        <v>37</v>
      </c>
      <c r="M2943" t="s">
        <v>90</v>
      </c>
      <c r="N2943" t="s">
        <v>21</v>
      </c>
      <c r="O2943" t="s">
        <v>190</v>
      </c>
      <c r="P2943" s="1" t="s">
        <v>34</v>
      </c>
      <c r="Q2943">
        <v>122.3</v>
      </c>
    </row>
    <row r="2944" spans="1:17" x14ac:dyDescent="0.3">
      <c r="A2944">
        <v>2022</v>
      </c>
      <c r="B2944" t="s">
        <v>41</v>
      </c>
      <c r="C2944" t="s">
        <v>157</v>
      </c>
      <c r="D2944" s="1" t="s">
        <v>9</v>
      </c>
      <c r="E2944" s="4">
        <v>173.1</v>
      </c>
      <c r="F2944" s="4">
        <v>186.7</v>
      </c>
      <c r="G2944" s="4">
        <v>213.1</v>
      </c>
      <c r="H2944" s="1" t="s">
        <v>188</v>
      </c>
      <c r="K2944">
        <v>2016</v>
      </c>
      <c r="L2944" t="s">
        <v>37</v>
      </c>
      <c r="M2944" t="s">
        <v>90</v>
      </c>
      <c r="N2944" t="s">
        <v>21</v>
      </c>
      <c r="O2944" t="s">
        <v>190</v>
      </c>
      <c r="P2944" s="1" t="s">
        <v>33</v>
      </c>
      <c r="Q2944">
        <v>114.6</v>
      </c>
    </row>
    <row r="2945" spans="1:17" x14ac:dyDescent="0.3">
      <c r="A2945">
        <v>2022</v>
      </c>
      <c r="B2945" t="s">
        <v>45</v>
      </c>
      <c r="C2945" t="s">
        <v>158</v>
      </c>
      <c r="D2945" s="1" t="s">
        <v>3</v>
      </c>
      <c r="E2945" s="4">
        <v>168.8</v>
      </c>
      <c r="F2945" s="4">
        <v>169.2</v>
      </c>
      <c r="G2945" s="4">
        <v>170.2</v>
      </c>
      <c r="H2945" s="1" t="s">
        <v>188</v>
      </c>
      <c r="K2945">
        <v>2016</v>
      </c>
      <c r="L2945" t="s">
        <v>37</v>
      </c>
      <c r="M2945" t="s">
        <v>90</v>
      </c>
      <c r="N2945" t="s">
        <v>29</v>
      </c>
      <c r="O2945" t="s">
        <v>206</v>
      </c>
      <c r="P2945" s="1" t="s">
        <v>30</v>
      </c>
      <c r="Q2945">
        <v>129</v>
      </c>
    </row>
    <row r="2946" spans="1:17" x14ac:dyDescent="0.3">
      <c r="A2946">
        <v>2022</v>
      </c>
      <c r="B2946" t="s">
        <v>45</v>
      </c>
      <c r="C2946" t="s">
        <v>158</v>
      </c>
      <c r="D2946" s="1" t="s">
        <v>17</v>
      </c>
      <c r="E2946" s="4">
        <v>188.1</v>
      </c>
      <c r="F2946" s="4">
        <v>184</v>
      </c>
      <c r="G2946" s="4">
        <v>177.7</v>
      </c>
      <c r="H2946" s="1" t="s">
        <v>189</v>
      </c>
      <c r="K2946">
        <v>2016</v>
      </c>
      <c r="L2946" t="s">
        <v>37</v>
      </c>
      <c r="M2946" t="s">
        <v>90</v>
      </c>
      <c r="N2946" t="s">
        <v>29</v>
      </c>
      <c r="O2946" t="s">
        <v>206</v>
      </c>
      <c r="P2946" s="1" t="s">
        <v>34</v>
      </c>
      <c r="Q2946">
        <v>127.3</v>
      </c>
    </row>
    <row r="2947" spans="1:17" x14ac:dyDescent="0.3">
      <c r="A2947">
        <v>2022</v>
      </c>
      <c r="B2947" t="s">
        <v>45</v>
      </c>
      <c r="C2947" t="s">
        <v>158</v>
      </c>
      <c r="D2947" s="1" t="s">
        <v>19</v>
      </c>
      <c r="E2947" s="4">
        <v>187.8</v>
      </c>
      <c r="F2947" s="4">
        <v>183</v>
      </c>
      <c r="G2947" s="4">
        <v>175.7</v>
      </c>
      <c r="H2947" s="1" t="s">
        <v>189</v>
      </c>
      <c r="K2947">
        <v>2016</v>
      </c>
      <c r="L2947" t="s">
        <v>37</v>
      </c>
      <c r="M2947" t="s">
        <v>90</v>
      </c>
      <c r="N2947" t="s">
        <v>29</v>
      </c>
      <c r="O2947" t="s">
        <v>206</v>
      </c>
      <c r="P2947" s="1" t="s">
        <v>33</v>
      </c>
      <c r="Q2947">
        <v>125.3</v>
      </c>
    </row>
    <row r="2948" spans="1:17" x14ac:dyDescent="0.3">
      <c r="A2948">
        <v>2022</v>
      </c>
      <c r="B2948" t="s">
        <v>45</v>
      </c>
      <c r="C2948" t="s">
        <v>158</v>
      </c>
      <c r="D2948" s="1" t="s">
        <v>26</v>
      </c>
      <c r="E2948" s="4">
        <v>177.3</v>
      </c>
      <c r="F2948" s="4">
        <v>174.1</v>
      </c>
      <c r="G2948" s="4">
        <v>171.8</v>
      </c>
      <c r="H2948" s="1" t="s">
        <v>26</v>
      </c>
      <c r="K2948">
        <v>2016</v>
      </c>
      <c r="L2948" t="s">
        <v>37</v>
      </c>
      <c r="M2948" t="s">
        <v>90</v>
      </c>
      <c r="N2948" t="s">
        <v>23</v>
      </c>
      <c r="O2948" t="s">
        <v>23</v>
      </c>
      <c r="P2948" s="1" t="s">
        <v>30</v>
      </c>
      <c r="Q2948">
        <v>125.2</v>
      </c>
    </row>
    <row r="2949" spans="1:17" x14ac:dyDescent="0.3">
      <c r="A2949">
        <v>2022</v>
      </c>
      <c r="B2949" t="s">
        <v>45</v>
      </c>
      <c r="C2949" t="s">
        <v>158</v>
      </c>
      <c r="D2949" s="1" t="s">
        <v>5</v>
      </c>
      <c r="E2949" s="4">
        <v>189.1</v>
      </c>
      <c r="F2949" s="4">
        <v>190.2</v>
      </c>
      <c r="G2949" s="4">
        <v>191.9</v>
      </c>
      <c r="H2949" s="1" t="s">
        <v>188</v>
      </c>
      <c r="K2949">
        <v>2016</v>
      </c>
      <c r="L2949" t="s">
        <v>37</v>
      </c>
      <c r="M2949" t="s">
        <v>90</v>
      </c>
      <c r="N2949" t="s">
        <v>23</v>
      </c>
      <c r="O2949" t="s">
        <v>23</v>
      </c>
      <c r="P2949" s="1" t="s">
        <v>34</v>
      </c>
      <c r="Q2949">
        <v>123.2</v>
      </c>
    </row>
    <row r="2950" spans="1:17" x14ac:dyDescent="0.3">
      <c r="A2950">
        <v>2022</v>
      </c>
      <c r="B2950" t="s">
        <v>45</v>
      </c>
      <c r="C2950" t="s">
        <v>158</v>
      </c>
      <c r="D2950" s="1" t="s">
        <v>15</v>
      </c>
      <c r="E2950" s="4">
        <v>174.4</v>
      </c>
      <c r="F2950" s="4">
        <v>175.9</v>
      </c>
      <c r="G2950" s="4">
        <v>178.6</v>
      </c>
      <c r="H2950" s="1" t="s">
        <v>188</v>
      </c>
      <c r="K2950">
        <v>2016</v>
      </c>
      <c r="L2950" t="s">
        <v>37</v>
      </c>
      <c r="M2950" t="s">
        <v>90</v>
      </c>
      <c r="N2950" t="s">
        <v>23</v>
      </c>
      <c r="O2950" t="s">
        <v>23</v>
      </c>
      <c r="P2950" s="1" t="s">
        <v>33</v>
      </c>
      <c r="Q2950">
        <v>120</v>
      </c>
    </row>
    <row r="2951" spans="1:17" x14ac:dyDescent="0.3">
      <c r="A2951">
        <v>2022</v>
      </c>
      <c r="B2951" t="s">
        <v>45</v>
      </c>
      <c r="C2951" t="s">
        <v>158</v>
      </c>
      <c r="D2951" s="1" t="s">
        <v>18</v>
      </c>
      <c r="E2951" s="4">
        <v>185.9</v>
      </c>
      <c r="F2951" s="4">
        <v>177</v>
      </c>
      <c r="G2951" s="4">
        <v>164.5</v>
      </c>
      <c r="H2951" s="1" t="s">
        <v>189</v>
      </c>
      <c r="K2951">
        <v>2016</v>
      </c>
      <c r="L2951" t="s">
        <v>37</v>
      </c>
      <c r="M2951" t="s">
        <v>90</v>
      </c>
      <c r="N2951" t="s">
        <v>22</v>
      </c>
      <c r="O2951" t="s">
        <v>20</v>
      </c>
      <c r="P2951" s="1" t="s">
        <v>30</v>
      </c>
      <c r="Q2951">
        <v>128</v>
      </c>
    </row>
    <row r="2952" spans="1:17" x14ac:dyDescent="0.3">
      <c r="A2952">
        <v>2022</v>
      </c>
      <c r="B2952" t="s">
        <v>45</v>
      </c>
      <c r="C2952" t="s">
        <v>158</v>
      </c>
      <c r="D2952" s="1" t="s">
        <v>8</v>
      </c>
      <c r="E2952" s="4">
        <v>156.69999999999999</v>
      </c>
      <c r="F2952" s="4">
        <v>158</v>
      </c>
      <c r="G2952" s="4">
        <v>159.5</v>
      </c>
      <c r="H2952" s="1" t="s">
        <v>188</v>
      </c>
      <c r="K2952">
        <v>2016</v>
      </c>
      <c r="L2952" t="s">
        <v>37</v>
      </c>
      <c r="M2952" t="s">
        <v>90</v>
      </c>
      <c r="N2952" t="s">
        <v>22</v>
      </c>
      <c r="O2952" t="s">
        <v>20</v>
      </c>
      <c r="P2952" s="1" t="s">
        <v>34</v>
      </c>
      <c r="Q2952">
        <v>125.5</v>
      </c>
    </row>
    <row r="2953" spans="1:17" x14ac:dyDescent="0.3">
      <c r="A2953">
        <v>2022</v>
      </c>
      <c r="B2953" t="s">
        <v>45</v>
      </c>
      <c r="C2953" t="s">
        <v>158</v>
      </c>
      <c r="D2953" s="1" t="s">
        <v>21</v>
      </c>
      <c r="E2953" s="4">
        <v>182.8</v>
      </c>
      <c r="F2953" s="4">
        <v>182</v>
      </c>
      <c r="G2953" s="4">
        <v>180.6</v>
      </c>
      <c r="H2953" s="1" t="s">
        <v>190</v>
      </c>
      <c r="K2953">
        <v>2016</v>
      </c>
      <c r="L2953" t="s">
        <v>37</v>
      </c>
      <c r="M2953" t="s">
        <v>90</v>
      </c>
      <c r="N2953" t="s">
        <v>22</v>
      </c>
      <c r="O2953" t="s">
        <v>20</v>
      </c>
      <c r="P2953" s="1" t="s">
        <v>33</v>
      </c>
      <c r="Q2953">
        <v>122.8</v>
      </c>
    </row>
    <row r="2954" spans="1:17" x14ac:dyDescent="0.3">
      <c r="A2954">
        <v>2022</v>
      </c>
      <c r="B2954" t="s">
        <v>45</v>
      </c>
      <c r="C2954" t="s">
        <v>158</v>
      </c>
      <c r="D2954" s="1" t="s">
        <v>29</v>
      </c>
      <c r="E2954" s="4">
        <v>177.1</v>
      </c>
      <c r="F2954" s="4">
        <v>175.7</v>
      </c>
      <c r="G2954" s="4">
        <v>174.1</v>
      </c>
      <c r="H2954" s="1" t="s">
        <v>206</v>
      </c>
      <c r="K2954">
        <v>2016</v>
      </c>
      <c r="L2954" t="s">
        <v>37</v>
      </c>
      <c r="M2954" t="s">
        <v>90</v>
      </c>
      <c r="N2954" t="s">
        <v>20</v>
      </c>
      <c r="O2954" t="s">
        <v>20</v>
      </c>
      <c r="P2954" s="1" t="s">
        <v>30</v>
      </c>
      <c r="Q2954">
        <v>0</v>
      </c>
    </row>
    <row r="2955" spans="1:17" x14ac:dyDescent="0.3">
      <c r="A2955">
        <v>2022</v>
      </c>
      <c r="B2955" t="s">
        <v>45</v>
      </c>
      <c r="C2955" t="s">
        <v>158</v>
      </c>
      <c r="D2955" s="1" t="s">
        <v>23</v>
      </c>
      <c r="E2955" s="4">
        <v>183.5</v>
      </c>
      <c r="F2955" s="4">
        <v>181.1</v>
      </c>
      <c r="G2955" s="4">
        <v>177.2</v>
      </c>
      <c r="H2955" s="1" t="s">
        <v>23</v>
      </c>
      <c r="K2955">
        <v>2016</v>
      </c>
      <c r="L2955" t="s">
        <v>37</v>
      </c>
      <c r="M2955" t="s">
        <v>90</v>
      </c>
      <c r="N2955" t="s">
        <v>20</v>
      </c>
      <c r="O2955" t="s">
        <v>20</v>
      </c>
      <c r="P2955" s="1" t="s">
        <v>34</v>
      </c>
      <c r="Q2955">
        <v>125.6</v>
      </c>
    </row>
    <row r="2956" spans="1:17" x14ac:dyDescent="0.3">
      <c r="A2956">
        <v>2022</v>
      </c>
      <c r="B2956" t="s">
        <v>45</v>
      </c>
      <c r="C2956" t="s">
        <v>158</v>
      </c>
      <c r="D2956" s="1" t="s">
        <v>22</v>
      </c>
      <c r="E2956" s="4">
        <v>176.4</v>
      </c>
      <c r="F2956" s="4">
        <v>172.1</v>
      </c>
      <c r="G2956" s="4">
        <v>167.3</v>
      </c>
      <c r="H2956" s="1" t="s">
        <v>20</v>
      </c>
      <c r="K2956">
        <v>2016</v>
      </c>
      <c r="L2956" t="s">
        <v>37</v>
      </c>
      <c r="M2956" t="s">
        <v>90</v>
      </c>
      <c r="N2956" t="s">
        <v>20</v>
      </c>
      <c r="O2956" t="s">
        <v>20</v>
      </c>
      <c r="P2956" s="1" t="s">
        <v>33</v>
      </c>
      <c r="Q2956">
        <v>125.6</v>
      </c>
    </row>
    <row r="2957" spans="1:17" x14ac:dyDescent="0.3">
      <c r="A2957">
        <v>2022</v>
      </c>
      <c r="B2957" t="s">
        <v>45</v>
      </c>
      <c r="C2957" t="s">
        <v>158</v>
      </c>
      <c r="D2957" s="1" t="s">
        <v>20</v>
      </c>
      <c r="E2957" s="4">
        <v>0</v>
      </c>
      <c r="F2957" s="4">
        <v>170.7</v>
      </c>
      <c r="G2957" s="4">
        <v>170.7</v>
      </c>
      <c r="H2957" s="1" t="s">
        <v>20</v>
      </c>
      <c r="K2957">
        <v>2016</v>
      </c>
      <c r="L2957" t="s">
        <v>37</v>
      </c>
      <c r="M2957" t="s">
        <v>90</v>
      </c>
      <c r="N2957" t="s">
        <v>4</v>
      </c>
      <c r="O2957" t="s">
        <v>188</v>
      </c>
      <c r="P2957" s="1" t="s">
        <v>30</v>
      </c>
      <c r="Q2957">
        <v>135.4</v>
      </c>
    </row>
    <row r="2958" spans="1:17" x14ac:dyDescent="0.3">
      <c r="A2958">
        <v>2022</v>
      </c>
      <c r="B2958" t="s">
        <v>45</v>
      </c>
      <c r="C2958" t="s">
        <v>158</v>
      </c>
      <c r="D2958" s="1" t="s">
        <v>4</v>
      </c>
      <c r="E2958" s="4">
        <v>206.9</v>
      </c>
      <c r="F2958" s="4">
        <v>209</v>
      </c>
      <c r="G2958" s="4">
        <v>212.9</v>
      </c>
      <c r="H2958" s="1" t="s">
        <v>188</v>
      </c>
      <c r="K2958">
        <v>2016</v>
      </c>
      <c r="L2958" t="s">
        <v>37</v>
      </c>
      <c r="M2958" t="s">
        <v>90</v>
      </c>
      <c r="N2958" t="s">
        <v>4</v>
      </c>
      <c r="O2958" t="s">
        <v>188</v>
      </c>
      <c r="P2958" s="1" t="s">
        <v>34</v>
      </c>
      <c r="Q2958">
        <v>136.80000000000001</v>
      </c>
    </row>
    <row r="2959" spans="1:17" x14ac:dyDescent="0.3">
      <c r="A2959">
        <v>2022</v>
      </c>
      <c r="B2959" t="s">
        <v>45</v>
      </c>
      <c r="C2959" t="s">
        <v>158</v>
      </c>
      <c r="D2959" s="1" t="s">
        <v>6</v>
      </c>
      <c r="E2959" s="4">
        <v>173.4</v>
      </c>
      <c r="F2959" s="4">
        <v>173.6</v>
      </c>
      <c r="G2959" s="4">
        <v>173.9</v>
      </c>
      <c r="H2959" s="1" t="s">
        <v>188</v>
      </c>
      <c r="K2959">
        <v>2016</v>
      </c>
      <c r="L2959" t="s">
        <v>37</v>
      </c>
      <c r="M2959" t="s">
        <v>90</v>
      </c>
      <c r="N2959" t="s">
        <v>4</v>
      </c>
      <c r="O2959" t="s">
        <v>188</v>
      </c>
      <c r="P2959" s="1" t="s">
        <v>33</v>
      </c>
      <c r="Q2959">
        <v>139.30000000000001</v>
      </c>
    </row>
    <row r="2960" spans="1:17" x14ac:dyDescent="0.3">
      <c r="A2960">
        <v>2022</v>
      </c>
      <c r="B2960" t="s">
        <v>45</v>
      </c>
      <c r="C2960" t="s">
        <v>158</v>
      </c>
      <c r="D2960" s="1" t="s">
        <v>28</v>
      </c>
      <c r="E2960" s="4">
        <v>175.5</v>
      </c>
      <c r="F2960" s="4">
        <v>172</v>
      </c>
      <c r="G2960" s="4">
        <v>168.2</v>
      </c>
      <c r="H2960" s="1" t="s">
        <v>192</v>
      </c>
      <c r="K2960">
        <v>2016</v>
      </c>
      <c r="L2960" t="s">
        <v>37</v>
      </c>
      <c r="M2960" t="s">
        <v>90</v>
      </c>
      <c r="N2960" t="s">
        <v>6</v>
      </c>
      <c r="O2960" t="s">
        <v>188</v>
      </c>
      <c r="P2960" s="1" t="s">
        <v>30</v>
      </c>
      <c r="Q2960">
        <v>131.30000000000001</v>
      </c>
    </row>
    <row r="2961" spans="1:17" x14ac:dyDescent="0.3">
      <c r="A2961">
        <v>2022</v>
      </c>
      <c r="B2961" t="s">
        <v>45</v>
      </c>
      <c r="C2961" t="s">
        <v>158</v>
      </c>
      <c r="D2961" s="1" t="s">
        <v>13</v>
      </c>
      <c r="E2961" s="4">
        <v>176.8</v>
      </c>
      <c r="F2961" s="4">
        <v>171</v>
      </c>
      <c r="G2961" s="4">
        <v>162.80000000000001</v>
      </c>
      <c r="H2961" s="1" t="s">
        <v>188</v>
      </c>
      <c r="K2961">
        <v>2016</v>
      </c>
      <c r="L2961" t="s">
        <v>37</v>
      </c>
      <c r="M2961" t="s">
        <v>90</v>
      </c>
      <c r="N2961" t="s">
        <v>6</v>
      </c>
      <c r="O2961" t="s">
        <v>188</v>
      </c>
      <c r="P2961" s="1" t="s">
        <v>34</v>
      </c>
      <c r="Q2961">
        <v>130.9</v>
      </c>
    </row>
    <row r="2962" spans="1:17" x14ac:dyDescent="0.3">
      <c r="A2962">
        <v>2022</v>
      </c>
      <c r="B2962" t="s">
        <v>45</v>
      </c>
      <c r="C2962" t="s">
        <v>158</v>
      </c>
      <c r="D2962" s="1" t="s">
        <v>7</v>
      </c>
      <c r="E2962" s="4">
        <v>193.9</v>
      </c>
      <c r="F2962" s="4">
        <v>188.5</v>
      </c>
      <c r="G2962" s="4">
        <v>179.1</v>
      </c>
      <c r="H2962" s="1" t="s">
        <v>188</v>
      </c>
      <c r="K2962">
        <v>2016</v>
      </c>
      <c r="L2962" t="s">
        <v>37</v>
      </c>
      <c r="M2962" t="s">
        <v>90</v>
      </c>
      <c r="N2962" t="s">
        <v>6</v>
      </c>
      <c r="O2962" t="s">
        <v>188</v>
      </c>
      <c r="P2962" s="1" t="s">
        <v>33</v>
      </c>
      <c r="Q2962">
        <v>130.19999999999999</v>
      </c>
    </row>
    <row r="2963" spans="1:17" x14ac:dyDescent="0.3">
      <c r="A2963">
        <v>2022</v>
      </c>
      <c r="B2963" t="s">
        <v>45</v>
      </c>
      <c r="C2963" t="s">
        <v>158</v>
      </c>
      <c r="D2963" s="1" t="s">
        <v>16</v>
      </c>
      <c r="E2963" s="4">
        <v>195.9</v>
      </c>
      <c r="F2963" s="4">
        <v>197.3</v>
      </c>
      <c r="G2963" s="4">
        <v>201.1</v>
      </c>
      <c r="H2963" s="1" t="s">
        <v>192</v>
      </c>
      <c r="K2963">
        <v>2016</v>
      </c>
      <c r="L2963" t="s">
        <v>37</v>
      </c>
      <c r="M2963" t="s">
        <v>90</v>
      </c>
      <c r="N2963" t="s">
        <v>28</v>
      </c>
      <c r="O2963" t="s">
        <v>192</v>
      </c>
      <c r="P2963" s="1" t="s">
        <v>30</v>
      </c>
      <c r="Q2963">
        <v>121.7</v>
      </c>
    </row>
    <row r="2964" spans="1:17" x14ac:dyDescent="0.3">
      <c r="A2964">
        <v>2022</v>
      </c>
      <c r="B2964" t="s">
        <v>45</v>
      </c>
      <c r="C2964" t="s">
        <v>158</v>
      </c>
      <c r="D2964" s="1" t="s">
        <v>27</v>
      </c>
      <c r="E2964" s="4">
        <v>175.7</v>
      </c>
      <c r="F2964" s="4">
        <v>175.8</v>
      </c>
      <c r="G2964" s="4">
        <v>176</v>
      </c>
      <c r="H2964" s="1" t="s">
        <v>192</v>
      </c>
      <c r="K2964">
        <v>2016</v>
      </c>
      <c r="L2964" t="s">
        <v>37</v>
      </c>
      <c r="M2964" t="s">
        <v>90</v>
      </c>
      <c r="N2964" t="s">
        <v>28</v>
      </c>
      <c r="O2964" t="s">
        <v>192</v>
      </c>
      <c r="P2964" s="1" t="s">
        <v>34</v>
      </c>
      <c r="Q2964">
        <v>120</v>
      </c>
    </row>
    <row r="2965" spans="1:17" x14ac:dyDescent="0.3">
      <c r="A2965">
        <v>2022</v>
      </c>
      <c r="B2965" t="s">
        <v>45</v>
      </c>
      <c r="C2965" t="s">
        <v>158</v>
      </c>
      <c r="D2965" s="1" t="s">
        <v>14</v>
      </c>
      <c r="E2965" s="4">
        <v>187.7</v>
      </c>
      <c r="F2965" s="4">
        <v>190.3</v>
      </c>
      <c r="G2965" s="4">
        <v>193.3</v>
      </c>
      <c r="H2965" s="1" t="s">
        <v>188</v>
      </c>
      <c r="K2965">
        <v>2016</v>
      </c>
      <c r="L2965" t="s">
        <v>37</v>
      </c>
      <c r="M2965" t="s">
        <v>90</v>
      </c>
      <c r="N2965" t="s">
        <v>28</v>
      </c>
      <c r="O2965" t="s">
        <v>192</v>
      </c>
      <c r="P2965" s="1" t="s">
        <v>33</v>
      </c>
      <c r="Q2965">
        <v>118.2</v>
      </c>
    </row>
    <row r="2966" spans="1:17" x14ac:dyDescent="0.3">
      <c r="A2966">
        <v>2022</v>
      </c>
      <c r="B2966" t="s">
        <v>45</v>
      </c>
      <c r="C2966" t="s">
        <v>158</v>
      </c>
      <c r="D2966" s="1" t="s">
        <v>10</v>
      </c>
      <c r="E2966" s="4">
        <v>170.5</v>
      </c>
      <c r="F2966" s="4">
        <v>170.8</v>
      </c>
      <c r="G2966" s="4">
        <v>171.3</v>
      </c>
      <c r="H2966" s="1" t="s">
        <v>188</v>
      </c>
      <c r="K2966">
        <v>2016</v>
      </c>
      <c r="L2966" t="s">
        <v>37</v>
      </c>
      <c r="M2966" t="s">
        <v>90</v>
      </c>
      <c r="N2966" t="s">
        <v>13</v>
      </c>
      <c r="O2966" t="s">
        <v>188</v>
      </c>
      <c r="P2966" s="1" t="s">
        <v>30</v>
      </c>
      <c r="Q2966">
        <v>125.4</v>
      </c>
    </row>
    <row r="2967" spans="1:17" x14ac:dyDescent="0.3">
      <c r="A2967">
        <v>2022</v>
      </c>
      <c r="B2967" t="s">
        <v>45</v>
      </c>
      <c r="C2967" t="s">
        <v>158</v>
      </c>
      <c r="D2967" s="1" t="s">
        <v>25</v>
      </c>
      <c r="E2967" s="4">
        <v>171.2</v>
      </c>
      <c r="F2967" s="4">
        <v>168.9</v>
      </c>
      <c r="G2967" s="4">
        <v>167.1</v>
      </c>
      <c r="H2967" s="1" t="s">
        <v>195</v>
      </c>
      <c r="K2967">
        <v>2016</v>
      </c>
      <c r="L2967" t="s">
        <v>37</v>
      </c>
      <c r="M2967" t="s">
        <v>90</v>
      </c>
      <c r="N2967" t="s">
        <v>13</v>
      </c>
      <c r="O2967" t="s">
        <v>188</v>
      </c>
      <c r="P2967" s="1" t="s">
        <v>34</v>
      </c>
      <c r="Q2967">
        <v>123.6</v>
      </c>
    </row>
    <row r="2968" spans="1:17" x14ac:dyDescent="0.3">
      <c r="A2968">
        <v>2022</v>
      </c>
      <c r="B2968" t="s">
        <v>45</v>
      </c>
      <c r="C2968" t="s">
        <v>158</v>
      </c>
      <c r="D2968" s="1" t="s">
        <v>12</v>
      </c>
      <c r="E2968" s="4">
        <v>207.5</v>
      </c>
      <c r="F2968" s="4">
        <v>205.2</v>
      </c>
      <c r="G2968" s="4">
        <v>200.5</v>
      </c>
      <c r="H2968" s="1" t="s">
        <v>188</v>
      </c>
      <c r="K2968">
        <v>2016</v>
      </c>
      <c r="L2968" t="s">
        <v>37</v>
      </c>
      <c r="M2968" t="s">
        <v>90</v>
      </c>
      <c r="N2968" t="s">
        <v>13</v>
      </c>
      <c r="O2968" t="s">
        <v>188</v>
      </c>
      <c r="P2968" s="1" t="s">
        <v>33</v>
      </c>
      <c r="Q2968">
        <v>121.1</v>
      </c>
    </row>
    <row r="2969" spans="1:17" x14ac:dyDescent="0.3">
      <c r="A2969">
        <v>2022</v>
      </c>
      <c r="B2969" t="s">
        <v>45</v>
      </c>
      <c r="C2969" t="s">
        <v>158</v>
      </c>
      <c r="D2969" s="1" t="s">
        <v>11</v>
      </c>
      <c r="E2969" s="4">
        <v>121.2</v>
      </c>
      <c r="F2969" s="4">
        <v>121.8</v>
      </c>
      <c r="G2969" s="4">
        <v>123.1</v>
      </c>
      <c r="H2969" s="1" t="s">
        <v>188</v>
      </c>
      <c r="K2969">
        <v>2016</v>
      </c>
      <c r="L2969" t="s">
        <v>37</v>
      </c>
      <c r="M2969" t="s">
        <v>90</v>
      </c>
      <c r="N2969" t="s">
        <v>7</v>
      </c>
      <c r="O2969" t="s">
        <v>188</v>
      </c>
      <c r="P2969" s="1" t="s">
        <v>30</v>
      </c>
      <c r="Q2969">
        <v>118.2</v>
      </c>
    </row>
    <row r="2970" spans="1:17" x14ac:dyDescent="0.3">
      <c r="A2970">
        <v>2022</v>
      </c>
      <c r="B2970" t="s">
        <v>45</v>
      </c>
      <c r="C2970" t="s">
        <v>158</v>
      </c>
      <c r="D2970" s="1" t="s">
        <v>24</v>
      </c>
      <c r="E2970" s="4">
        <v>167.8</v>
      </c>
      <c r="F2970" s="4">
        <v>163.4</v>
      </c>
      <c r="G2970" s="4">
        <v>159.4</v>
      </c>
      <c r="H2970" s="1" t="s">
        <v>191</v>
      </c>
      <c r="K2970">
        <v>2016</v>
      </c>
      <c r="L2970" t="s">
        <v>37</v>
      </c>
      <c r="M2970" t="s">
        <v>90</v>
      </c>
      <c r="N2970" t="s">
        <v>7</v>
      </c>
      <c r="O2970" t="s">
        <v>188</v>
      </c>
      <c r="P2970" s="1" t="s">
        <v>34</v>
      </c>
      <c r="Q2970">
        <v>114.8</v>
      </c>
    </row>
    <row r="2971" spans="1:17" x14ac:dyDescent="0.3">
      <c r="A2971">
        <v>2022</v>
      </c>
      <c r="B2971" t="s">
        <v>45</v>
      </c>
      <c r="C2971" t="s">
        <v>158</v>
      </c>
      <c r="D2971" s="1" t="s">
        <v>9</v>
      </c>
      <c r="E2971" s="4">
        <v>150.19999999999999</v>
      </c>
      <c r="F2971" s="4">
        <v>159.9</v>
      </c>
      <c r="G2971" s="4">
        <v>178.7</v>
      </c>
      <c r="H2971" s="1" t="s">
        <v>188</v>
      </c>
      <c r="K2971">
        <v>2016</v>
      </c>
      <c r="L2971" t="s">
        <v>37</v>
      </c>
      <c r="M2971" t="s">
        <v>90</v>
      </c>
      <c r="N2971" t="s">
        <v>7</v>
      </c>
      <c r="O2971" t="s">
        <v>188</v>
      </c>
      <c r="P2971" s="1" t="s">
        <v>33</v>
      </c>
      <c r="Q2971">
        <v>108.9</v>
      </c>
    </row>
    <row r="2972" spans="1:17" x14ac:dyDescent="0.3">
      <c r="A2972">
        <v>2022</v>
      </c>
      <c r="B2972" t="s">
        <v>35</v>
      </c>
      <c r="C2972" t="s">
        <v>159</v>
      </c>
      <c r="D2972" s="1" t="s">
        <v>3</v>
      </c>
      <c r="E2972" s="4">
        <v>148.80000000000001</v>
      </c>
      <c r="F2972" s="4">
        <v>150</v>
      </c>
      <c r="G2972" s="4">
        <v>152.5</v>
      </c>
      <c r="H2972" s="1" t="s">
        <v>188</v>
      </c>
      <c r="K2972">
        <v>2016</v>
      </c>
      <c r="L2972" t="s">
        <v>37</v>
      </c>
      <c r="M2972" t="s">
        <v>90</v>
      </c>
      <c r="N2972" t="s">
        <v>16</v>
      </c>
      <c r="O2972" t="s">
        <v>192</v>
      </c>
      <c r="P2972" s="1" t="s">
        <v>30</v>
      </c>
      <c r="Q2972">
        <v>135.5</v>
      </c>
    </row>
    <row r="2973" spans="1:17" x14ac:dyDescent="0.3">
      <c r="A2973">
        <v>2022</v>
      </c>
      <c r="B2973" t="s">
        <v>35</v>
      </c>
      <c r="C2973" t="s">
        <v>159</v>
      </c>
      <c r="D2973" s="1" t="s">
        <v>17</v>
      </c>
      <c r="E2973" s="4">
        <v>174.1</v>
      </c>
      <c r="F2973" s="4">
        <v>170.8</v>
      </c>
      <c r="G2973" s="4">
        <v>165.7</v>
      </c>
      <c r="H2973" s="1" t="s">
        <v>189</v>
      </c>
      <c r="K2973">
        <v>2016</v>
      </c>
      <c r="L2973" t="s">
        <v>37</v>
      </c>
      <c r="M2973" t="s">
        <v>90</v>
      </c>
      <c r="N2973" t="s">
        <v>16</v>
      </c>
      <c r="O2973" t="s">
        <v>192</v>
      </c>
      <c r="P2973" s="1" t="s">
        <v>34</v>
      </c>
      <c r="Q2973">
        <v>137.1</v>
      </c>
    </row>
    <row r="2974" spans="1:17" x14ac:dyDescent="0.3">
      <c r="A2974">
        <v>2022</v>
      </c>
      <c r="B2974" t="s">
        <v>35</v>
      </c>
      <c r="C2974" t="s">
        <v>159</v>
      </c>
      <c r="D2974" s="1" t="s">
        <v>19</v>
      </c>
      <c r="E2974" s="4">
        <v>173.7</v>
      </c>
      <c r="F2974" s="4">
        <v>169.6</v>
      </c>
      <c r="G2974" s="4">
        <v>163.4</v>
      </c>
      <c r="H2974" s="1" t="s">
        <v>189</v>
      </c>
      <c r="K2974">
        <v>2016</v>
      </c>
      <c r="L2974" t="s">
        <v>37</v>
      </c>
      <c r="M2974" t="s">
        <v>90</v>
      </c>
      <c r="N2974" t="s">
        <v>16</v>
      </c>
      <c r="O2974" t="s">
        <v>192</v>
      </c>
      <c r="P2974" s="1" t="s">
        <v>33</v>
      </c>
      <c r="Q2974">
        <v>141.5</v>
      </c>
    </row>
    <row r="2975" spans="1:17" x14ac:dyDescent="0.3">
      <c r="A2975">
        <v>2022</v>
      </c>
      <c r="B2975" t="s">
        <v>35</v>
      </c>
      <c r="C2975" t="s">
        <v>159</v>
      </c>
      <c r="D2975" s="1" t="s">
        <v>26</v>
      </c>
      <c r="E2975" s="4">
        <v>170.3</v>
      </c>
      <c r="F2975" s="4">
        <v>165.4</v>
      </c>
      <c r="G2975" s="4">
        <v>162</v>
      </c>
      <c r="H2975" s="1" t="s">
        <v>26</v>
      </c>
      <c r="K2975">
        <v>2016</v>
      </c>
      <c r="L2975" t="s">
        <v>37</v>
      </c>
      <c r="M2975" t="s">
        <v>90</v>
      </c>
      <c r="N2975" t="s">
        <v>27</v>
      </c>
      <c r="O2975" t="s">
        <v>192</v>
      </c>
      <c r="P2975" s="1" t="s">
        <v>30</v>
      </c>
      <c r="Q2975">
        <v>118.4</v>
      </c>
    </row>
    <row r="2976" spans="1:17" x14ac:dyDescent="0.3">
      <c r="A2976">
        <v>2022</v>
      </c>
      <c r="B2976" t="s">
        <v>35</v>
      </c>
      <c r="C2976" t="s">
        <v>159</v>
      </c>
      <c r="D2976" s="1" t="s">
        <v>5</v>
      </c>
      <c r="E2976" s="4">
        <v>175.5</v>
      </c>
      <c r="F2976" s="4">
        <v>175.8</v>
      </c>
      <c r="G2976" s="4">
        <v>176.4</v>
      </c>
      <c r="H2976" s="1" t="s">
        <v>188</v>
      </c>
      <c r="K2976">
        <v>2016</v>
      </c>
      <c r="L2976" t="s">
        <v>37</v>
      </c>
      <c r="M2976" t="s">
        <v>90</v>
      </c>
      <c r="N2976" t="s">
        <v>27</v>
      </c>
      <c r="O2976" t="s">
        <v>192</v>
      </c>
      <c r="P2976" s="1" t="s">
        <v>34</v>
      </c>
      <c r="Q2976">
        <v>118.1</v>
      </c>
    </row>
    <row r="2977" spans="1:17" x14ac:dyDescent="0.3">
      <c r="A2977">
        <v>2022</v>
      </c>
      <c r="B2977" t="s">
        <v>35</v>
      </c>
      <c r="C2977" t="s">
        <v>159</v>
      </c>
      <c r="D2977" s="1" t="s">
        <v>15</v>
      </c>
      <c r="E2977" s="4">
        <v>163.9</v>
      </c>
      <c r="F2977" s="4">
        <v>166.2</v>
      </c>
      <c r="G2977" s="4">
        <v>170.2</v>
      </c>
      <c r="H2977" s="1" t="s">
        <v>188</v>
      </c>
      <c r="K2977">
        <v>2016</v>
      </c>
      <c r="L2977" t="s">
        <v>37</v>
      </c>
      <c r="M2977" t="s">
        <v>90</v>
      </c>
      <c r="N2977" t="s">
        <v>27</v>
      </c>
      <c r="O2977" t="s">
        <v>192</v>
      </c>
      <c r="P2977" s="1" t="s">
        <v>33</v>
      </c>
      <c r="Q2977">
        <v>117.6</v>
      </c>
    </row>
    <row r="2978" spans="1:17" x14ac:dyDescent="0.3">
      <c r="A2978">
        <v>2022</v>
      </c>
      <c r="B2978" t="s">
        <v>35</v>
      </c>
      <c r="C2978" t="s">
        <v>159</v>
      </c>
      <c r="D2978" s="1" t="s">
        <v>18</v>
      </c>
      <c r="E2978" s="4">
        <v>171</v>
      </c>
      <c r="F2978" s="4">
        <v>162.4</v>
      </c>
      <c r="G2978" s="4">
        <v>150.4</v>
      </c>
      <c r="H2978" s="1" t="s">
        <v>189</v>
      </c>
      <c r="K2978">
        <v>2016</v>
      </c>
      <c r="L2978" t="s">
        <v>37</v>
      </c>
      <c r="M2978" t="s">
        <v>90</v>
      </c>
      <c r="N2978" t="s">
        <v>14</v>
      </c>
      <c r="O2978" t="s">
        <v>188</v>
      </c>
      <c r="P2978" s="1" t="s">
        <v>30</v>
      </c>
      <c r="Q2978">
        <v>137.4</v>
      </c>
    </row>
    <row r="2979" spans="1:17" x14ac:dyDescent="0.3">
      <c r="A2979">
        <v>2022</v>
      </c>
      <c r="B2979" t="s">
        <v>35</v>
      </c>
      <c r="C2979" t="s">
        <v>159</v>
      </c>
      <c r="D2979" s="1" t="s">
        <v>8</v>
      </c>
      <c r="E2979" s="4">
        <v>151.4</v>
      </c>
      <c r="F2979" s="4">
        <v>153.69999999999999</v>
      </c>
      <c r="G2979" s="4">
        <v>156.4</v>
      </c>
      <c r="H2979" s="1" t="s">
        <v>188</v>
      </c>
      <c r="K2979">
        <v>2016</v>
      </c>
      <c r="L2979" t="s">
        <v>37</v>
      </c>
      <c r="M2979" t="s">
        <v>90</v>
      </c>
      <c r="N2979" t="s">
        <v>14</v>
      </c>
      <c r="O2979" t="s">
        <v>188</v>
      </c>
      <c r="P2979" s="1" t="s">
        <v>34</v>
      </c>
      <c r="Q2979">
        <v>136.69999999999999</v>
      </c>
    </row>
    <row r="2980" spans="1:17" x14ac:dyDescent="0.3">
      <c r="A2980">
        <v>2022</v>
      </c>
      <c r="B2980" t="s">
        <v>35</v>
      </c>
      <c r="C2980" t="s">
        <v>159</v>
      </c>
      <c r="D2980" s="1" t="s">
        <v>21</v>
      </c>
      <c r="E2980" s="4">
        <v>167.4</v>
      </c>
      <c r="F2980" s="4">
        <v>165.7</v>
      </c>
      <c r="G2980" s="4">
        <v>163</v>
      </c>
      <c r="H2980" s="1" t="s">
        <v>190</v>
      </c>
      <c r="K2980">
        <v>2016</v>
      </c>
      <c r="L2980" t="s">
        <v>37</v>
      </c>
      <c r="M2980" t="s">
        <v>90</v>
      </c>
      <c r="N2980" t="s">
        <v>14</v>
      </c>
      <c r="O2980" t="s">
        <v>188</v>
      </c>
      <c r="P2980" s="1" t="s">
        <v>33</v>
      </c>
      <c r="Q2980">
        <v>135.9</v>
      </c>
    </row>
    <row r="2981" spans="1:17" x14ac:dyDescent="0.3">
      <c r="A2981">
        <v>2022</v>
      </c>
      <c r="B2981" t="s">
        <v>35</v>
      </c>
      <c r="C2981" t="s">
        <v>159</v>
      </c>
      <c r="D2981" s="1" t="s">
        <v>29</v>
      </c>
      <c r="E2981" s="4">
        <v>166.7</v>
      </c>
      <c r="F2981" s="4">
        <v>166.1</v>
      </c>
      <c r="G2981" s="4">
        <v>165.5</v>
      </c>
      <c r="H2981" s="1" t="s">
        <v>206</v>
      </c>
      <c r="K2981">
        <v>2016</v>
      </c>
      <c r="L2981" t="s">
        <v>37</v>
      </c>
      <c r="M2981" t="s">
        <v>90</v>
      </c>
      <c r="N2981" t="s">
        <v>10</v>
      </c>
      <c r="O2981" t="s">
        <v>188</v>
      </c>
      <c r="P2981" s="1" t="s">
        <v>30</v>
      </c>
      <c r="Q2981">
        <v>162.69999999999999</v>
      </c>
    </row>
    <row r="2982" spans="1:17" x14ac:dyDescent="0.3">
      <c r="A2982">
        <v>2022</v>
      </c>
      <c r="B2982" t="s">
        <v>35</v>
      </c>
      <c r="C2982" t="s">
        <v>159</v>
      </c>
      <c r="D2982" s="1" t="s">
        <v>23</v>
      </c>
      <c r="E2982" s="4">
        <v>175.3</v>
      </c>
      <c r="F2982" s="4">
        <v>172.2</v>
      </c>
      <c r="G2982" s="4">
        <v>167.2</v>
      </c>
      <c r="H2982" s="1" t="s">
        <v>23</v>
      </c>
      <c r="K2982">
        <v>2016</v>
      </c>
      <c r="L2982" t="s">
        <v>37</v>
      </c>
      <c r="M2982" t="s">
        <v>90</v>
      </c>
      <c r="N2982" t="s">
        <v>10</v>
      </c>
      <c r="O2982" t="s">
        <v>188</v>
      </c>
      <c r="P2982" s="1" t="s">
        <v>34</v>
      </c>
      <c r="Q2982">
        <v>167.5</v>
      </c>
    </row>
    <row r="2983" spans="1:17" x14ac:dyDescent="0.3">
      <c r="A2983">
        <v>2022</v>
      </c>
      <c r="B2983" t="s">
        <v>35</v>
      </c>
      <c r="C2983" t="s">
        <v>159</v>
      </c>
      <c r="D2983" s="1" t="s">
        <v>22</v>
      </c>
      <c r="E2983" s="4">
        <v>165.7</v>
      </c>
      <c r="F2983" s="4">
        <v>161.80000000000001</v>
      </c>
      <c r="G2983" s="4">
        <v>157.4</v>
      </c>
      <c r="H2983" s="1" t="s">
        <v>20</v>
      </c>
      <c r="K2983">
        <v>2016</v>
      </c>
      <c r="L2983" t="s">
        <v>37</v>
      </c>
      <c r="M2983" t="s">
        <v>90</v>
      </c>
      <c r="N2983" t="s">
        <v>10</v>
      </c>
      <c r="O2983" t="s">
        <v>188</v>
      </c>
      <c r="P2983" s="1" t="s">
        <v>33</v>
      </c>
      <c r="Q2983">
        <v>176.9</v>
      </c>
    </row>
    <row r="2984" spans="1:17" x14ac:dyDescent="0.3">
      <c r="A2984">
        <v>2022</v>
      </c>
      <c r="B2984" t="s">
        <v>35</v>
      </c>
      <c r="C2984" t="s">
        <v>159</v>
      </c>
      <c r="D2984" s="1" t="s">
        <v>20</v>
      </c>
      <c r="E2984" s="4">
        <v>0</v>
      </c>
      <c r="F2984" s="4">
        <v>165.5</v>
      </c>
      <c r="G2984" s="4">
        <v>165.5</v>
      </c>
      <c r="H2984" s="1" t="s">
        <v>20</v>
      </c>
      <c r="K2984">
        <v>2016</v>
      </c>
      <c r="L2984" t="s">
        <v>37</v>
      </c>
      <c r="M2984" t="s">
        <v>90</v>
      </c>
      <c r="N2984" t="s">
        <v>25</v>
      </c>
      <c r="O2984" t="s">
        <v>195</v>
      </c>
      <c r="P2984" s="1" t="s">
        <v>30</v>
      </c>
      <c r="Q2984">
        <v>123.2</v>
      </c>
    </row>
    <row r="2985" spans="1:17" x14ac:dyDescent="0.3">
      <c r="A2985">
        <v>2022</v>
      </c>
      <c r="B2985" t="s">
        <v>35</v>
      </c>
      <c r="C2985" t="s">
        <v>159</v>
      </c>
      <c r="D2985" s="1" t="s">
        <v>4</v>
      </c>
      <c r="E2985" s="4">
        <v>198.1</v>
      </c>
      <c r="F2985" s="4">
        <v>200.6</v>
      </c>
      <c r="G2985" s="4">
        <v>205.2</v>
      </c>
      <c r="H2985" s="1" t="s">
        <v>188</v>
      </c>
      <c r="K2985">
        <v>2016</v>
      </c>
      <c r="L2985" t="s">
        <v>37</v>
      </c>
      <c r="M2985" t="s">
        <v>90</v>
      </c>
      <c r="N2985" t="s">
        <v>25</v>
      </c>
      <c r="O2985" t="s">
        <v>195</v>
      </c>
      <c r="P2985" s="1" t="s">
        <v>34</v>
      </c>
      <c r="Q2985">
        <v>121.1</v>
      </c>
    </row>
    <row r="2986" spans="1:17" x14ac:dyDescent="0.3">
      <c r="A2986">
        <v>2022</v>
      </c>
      <c r="B2986" t="s">
        <v>35</v>
      </c>
      <c r="C2986" t="s">
        <v>159</v>
      </c>
      <c r="D2986" s="1" t="s">
        <v>6</v>
      </c>
      <c r="E2986" s="4">
        <v>160.69999999999999</v>
      </c>
      <c r="F2986" s="4">
        <v>160.69999999999999</v>
      </c>
      <c r="G2986" s="4">
        <v>160.6</v>
      </c>
      <c r="H2986" s="1" t="s">
        <v>188</v>
      </c>
      <c r="K2986">
        <v>2016</v>
      </c>
      <c r="L2986" t="s">
        <v>37</v>
      </c>
      <c r="M2986" t="s">
        <v>90</v>
      </c>
      <c r="N2986" t="s">
        <v>25</v>
      </c>
      <c r="O2986" t="s">
        <v>195</v>
      </c>
      <c r="P2986" s="1" t="s">
        <v>33</v>
      </c>
      <c r="Q2986">
        <v>119.5</v>
      </c>
    </row>
    <row r="2987" spans="1:17" x14ac:dyDescent="0.3">
      <c r="A2987">
        <v>2022</v>
      </c>
      <c r="B2987" t="s">
        <v>35</v>
      </c>
      <c r="C2987" t="s">
        <v>159</v>
      </c>
      <c r="D2987" s="1" t="s">
        <v>28</v>
      </c>
      <c r="E2987" s="4">
        <v>167.3</v>
      </c>
      <c r="F2987" s="4">
        <v>163.5</v>
      </c>
      <c r="G2987" s="4">
        <v>159.4</v>
      </c>
      <c r="H2987" s="1" t="s">
        <v>192</v>
      </c>
      <c r="K2987">
        <v>2016</v>
      </c>
      <c r="L2987" t="s">
        <v>37</v>
      </c>
      <c r="M2987" t="s">
        <v>90</v>
      </c>
      <c r="N2987" t="s">
        <v>12</v>
      </c>
      <c r="O2987" t="s">
        <v>188</v>
      </c>
      <c r="P2987" s="1" t="s">
        <v>30</v>
      </c>
      <c r="Q2987">
        <v>131.4</v>
      </c>
    </row>
    <row r="2988" spans="1:17" x14ac:dyDescent="0.3">
      <c r="A2988">
        <v>2022</v>
      </c>
      <c r="B2988" t="s">
        <v>35</v>
      </c>
      <c r="C2988" t="s">
        <v>159</v>
      </c>
      <c r="D2988" s="1" t="s">
        <v>13</v>
      </c>
      <c r="E2988" s="4">
        <v>170.5</v>
      </c>
      <c r="F2988" s="4">
        <v>164.7</v>
      </c>
      <c r="G2988" s="4">
        <v>156.69999999999999</v>
      </c>
      <c r="H2988" s="1" t="s">
        <v>188</v>
      </c>
      <c r="K2988">
        <v>2016</v>
      </c>
      <c r="L2988" t="s">
        <v>37</v>
      </c>
      <c r="M2988" t="s">
        <v>90</v>
      </c>
      <c r="N2988" t="s">
        <v>12</v>
      </c>
      <c r="O2988" t="s">
        <v>188</v>
      </c>
      <c r="P2988" s="1" t="s">
        <v>34</v>
      </c>
      <c r="Q2988">
        <v>134.4</v>
      </c>
    </row>
    <row r="2989" spans="1:17" x14ac:dyDescent="0.3">
      <c r="A2989">
        <v>2022</v>
      </c>
      <c r="B2989" t="s">
        <v>35</v>
      </c>
      <c r="C2989" t="s">
        <v>159</v>
      </c>
      <c r="D2989" s="1" t="s">
        <v>7</v>
      </c>
      <c r="E2989" s="4">
        <v>192.6</v>
      </c>
      <c r="F2989" s="4">
        <v>184.9</v>
      </c>
      <c r="G2989" s="4">
        <v>171.5</v>
      </c>
      <c r="H2989" s="1" t="s">
        <v>188</v>
      </c>
      <c r="K2989">
        <v>2016</v>
      </c>
      <c r="L2989" t="s">
        <v>37</v>
      </c>
      <c r="M2989" t="s">
        <v>90</v>
      </c>
      <c r="N2989" t="s">
        <v>12</v>
      </c>
      <c r="O2989" t="s">
        <v>188</v>
      </c>
      <c r="P2989" s="1" t="s">
        <v>33</v>
      </c>
      <c r="Q2989">
        <v>140.4</v>
      </c>
    </row>
    <row r="2990" spans="1:17" x14ac:dyDescent="0.3">
      <c r="A2990">
        <v>2022</v>
      </c>
      <c r="B2990" t="s">
        <v>35</v>
      </c>
      <c r="C2990" t="s">
        <v>159</v>
      </c>
      <c r="D2990" s="1" t="s">
        <v>16</v>
      </c>
      <c r="E2990" s="4">
        <v>191.5</v>
      </c>
      <c r="F2990" s="4">
        <v>192.8</v>
      </c>
      <c r="G2990" s="4">
        <v>196.5</v>
      </c>
      <c r="H2990" s="1" t="s">
        <v>192</v>
      </c>
      <c r="K2990">
        <v>2016</v>
      </c>
      <c r="L2990" t="s">
        <v>37</v>
      </c>
      <c r="M2990" t="s">
        <v>90</v>
      </c>
      <c r="N2990" t="s">
        <v>11</v>
      </c>
      <c r="O2990" t="s">
        <v>188</v>
      </c>
      <c r="P2990" s="1" t="s">
        <v>30</v>
      </c>
      <c r="Q2990">
        <v>105</v>
      </c>
    </row>
    <row r="2991" spans="1:17" x14ac:dyDescent="0.3">
      <c r="A2991">
        <v>2022</v>
      </c>
      <c r="B2991" t="s">
        <v>35</v>
      </c>
      <c r="C2991" t="s">
        <v>159</v>
      </c>
      <c r="D2991" s="1" t="s">
        <v>27</v>
      </c>
      <c r="E2991" s="4">
        <v>164.5</v>
      </c>
      <c r="F2991" s="4">
        <v>164.4</v>
      </c>
      <c r="G2991" s="4">
        <v>164.2</v>
      </c>
      <c r="H2991" s="1" t="s">
        <v>192</v>
      </c>
      <c r="K2991">
        <v>2016</v>
      </c>
      <c r="L2991" t="s">
        <v>37</v>
      </c>
      <c r="M2991" t="s">
        <v>90</v>
      </c>
      <c r="N2991" t="s">
        <v>11</v>
      </c>
      <c r="O2991" t="s">
        <v>188</v>
      </c>
      <c r="P2991" s="1" t="s">
        <v>34</v>
      </c>
      <c r="Q2991">
        <v>106.4</v>
      </c>
    </row>
    <row r="2992" spans="1:17" x14ac:dyDescent="0.3">
      <c r="A2992">
        <v>2022</v>
      </c>
      <c r="B2992" t="s">
        <v>35</v>
      </c>
      <c r="C2992" t="s">
        <v>159</v>
      </c>
      <c r="D2992" s="1" t="s">
        <v>14</v>
      </c>
      <c r="E2992" s="4">
        <v>176.3</v>
      </c>
      <c r="F2992" s="4">
        <v>178</v>
      </c>
      <c r="G2992" s="4">
        <v>180</v>
      </c>
      <c r="H2992" s="1" t="s">
        <v>188</v>
      </c>
      <c r="K2992">
        <v>2016</v>
      </c>
      <c r="L2992" t="s">
        <v>37</v>
      </c>
      <c r="M2992" t="s">
        <v>90</v>
      </c>
      <c r="N2992" t="s">
        <v>11</v>
      </c>
      <c r="O2992" t="s">
        <v>188</v>
      </c>
      <c r="P2992" s="1" t="s">
        <v>33</v>
      </c>
      <c r="Q2992">
        <v>109.1</v>
      </c>
    </row>
    <row r="2993" spans="1:17" x14ac:dyDescent="0.3">
      <c r="A2993">
        <v>2022</v>
      </c>
      <c r="B2993" t="s">
        <v>35</v>
      </c>
      <c r="C2993" t="s">
        <v>159</v>
      </c>
      <c r="D2993" s="1" t="s">
        <v>10</v>
      </c>
      <c r="E2993" s="4">
        <v>163.9</v>
      </c>
      <c r="F2993" s="4">
        <v>163.69999999999999</v>
      </c>
      <c r="G2993" s="4">
        <v>163.19999999999999</v>
      </c>
      <c r="H2993" s="1" t="s">
        <v>188</v>
      </c>
      <c r="K2993">
        <v>2016</v>
      </c>
      <c r="L2993" t="s">
        <v>37</v>
      </c>
      <c r="M2993" t="s">
        <v>90</v>
      </c>
      <c r="N2993" t="s">
        <v>24</v>
      </c>
      <c r="O2993" t="s">
        <v>191</v>
      </c>
      <c r="P2993" s="1" t="s">
        <v>30</v>
      </c>
      <c r="Q2993">
        <v>114.4</v>
      </c>
    </row>
    <row r="2994" spans="1:17" x14ac:dyDescent="0.3">
      <c r="A2994">
        <v>2022</v>
      </c>
      <c r="B2994" t="s">
        <v>35</v>
      </c>
      <c r="C2994" t="s">
        <v>159</v>
      </c>
      <c r="D2994" s="1" t="s">
        <v>25</v>
      </c>
      <c r="E2994" s="4">
        <v>165.5</v>
      </c>
      <c r="F2994" s="4">
        <v>162.1</v>
      </c>
      <c r="G2994" s="4">
        <v>159.5</v>
      </c>
      <c r="H2994" s="1" t="s">
        <v>195</v>
      </c>
      <c r="K2994">
        <v>2016</v>
      </c>
      <c r="L2994" t="s">
        <v>37</v>
      </c>
      <c r="M2994" t="s">
        <v>90</v>
      </c>
      <c r="N2994" t="s">
        <v>24</v>
      </c>
      <c r="O2994" t="s">
        <v>191</v>
      </c>
      <c r="P2994" s="1" t="s">
        <v>34</v>
      </c>
      <c r="Q2994">
        <v>112.1</v>
      </c>
    </row>
    <row r="2995" spans="1:17" x14ac:dyDescent="0.3">
      <c r="A2995">
        <v>2022</v>
      </c>
      <c r="B2995" t="s">
        <v>35</v>
      </c>
      <c r="C2995" t="s">
        <v>159</v>
      </c>
      <c r="D2995" s="1" t="s">
        <v>12</v>
      </c>
      <c r="E2995" s="4">
        <v>175.4</v>
      </c>
      <c r="F2995" s="4">
        <v>174.3</v>
      </c>
      <c r="G2995" s="4">
        <v>172.2</v>
      </c>
      <c r="H2995" s="1" t="s">
        <v>188</v>
      </c>
      <c r="K2995">
        <v>2016</v>
      </c>
      <c r="L2995" t="s">
        <v>37</v>
      </c>
      <c r="M2995" t="s">
        <v>90</v>
      </c>
      <c r="N2995" t="s">
        <v>24</v>
      </c>
      <c r="O2995" t="s">
        <v>191</v>
      </c>
      <c r="P2995" s="1" t="s">
        <v>33</v>
      </c>
      <c r="Q2995">
        <v>110</v>
      </c>
    </row>
    <row r="2996" spans="1:17" x14ac:dyDescent="0.3">
      <c r="A2996">
        <v>2022</v>
      </c>
      <c r="B2996" t="s">
        <v>35</v>
      </c>
      <c r="C2996" t="s">
        <v>159</v>
      </c>
      <c r="D2996" s="1" t="s">
        <v>11</v>
      </c>
      <c r="E2996" s="4">
        <v>118.1</v>
      </c>
      <c r="F2996" s="4">
        <v>118.9</v>
      </c>
      <c r="G2996" s="4">
        <v>120.6</v>
      </c>
      <c r="H2996" s="1" t="s">
        <v>188</v>
      </c>
      <c r="K2996">
        <v>2016</v>
      </c>
      <c r="L2996" t="s">
        <v>37</v>
      </c>
      <c r="M2996" t="s">
        <v>90</v>
      </c>
      <c r="N2996" t="s">
        <v>9</v>
      </c>
      <c r="O2996" t="s">
        <v>188</v>
      </c>
      <c r="P2996" s="1" t="s">
        <v>30</v>
      </c>
      <c r="Q2996">
        <v>134.1</v>
      </c>
    </row>
    <row r="2997" spans="1:17" x14ac:dyDescent="0.3">
      <c r="A2997">
        <v>2022</v>
      </c>
      <c r="B2997" t="s">
        <v>35</v>
      </c>
      <c r="C2997" t="s">
        <v>159</v>
      </c>
      <c r="D2997" s="1" t="s">
        <v>24</v>
      </c>
      <c r="E2997" s="4">
        <v>161.19999999999999</v>
      </c>
      <c r="F2997" s="4">
        <v>156.9</v>
      </c>
      <c r="G2997" s="4">
        <v>153.1</v>
      </c>
      <c r="H2997" s="1" t="s">
        <v>191</v>
      </c>
      <c r="K2997">
        <v>2016</v>
      </c>
      <c r="L2997" t="s">
        <v>37</v>
      </c>
      <c r="M2997" t="s">
        <v>90</v>
      </c>
      <c r="N2997" t="s">
        <v>9</v>
      </c>
      <c r="O2997" t="s">
        <v>188</v>
      </c>
      <c r="P2997" s="1" t="s">
        <v>34</v>
      </c>
      <c r="Q2997">
        <v>135</v>
      </c>
    </row>
    <row r="2998" spans="1:17" x14ac:dyDescent="0.3">
      <c r="A2998">
        <v>2022</v>
      </c>
      <c r="B2998" t="s">
        <v>35</v>
      </c>
      <c r="C2998" t="s">
        <v>159</v>
      </c>
      <c r="D2998" s="1" t="s">
        <v>9</v>
      </c>
      <c r="E2998" s="4">
        <v>155.19999999999999</v>
      </c>
      <c r="F2998" s="4">
        <v>169.7</v>
      </c>
      <c r="G2998" s="4">
        <v>198</v>
      </c>
      <c r="H2998" s="1" t="s">
        <v>188</v>
      </c>
      <c r="K2998">
        <v>2016</v>
      </c>
      <c r="L2998" t="s">
        <v>37</v>
      </c>
      <c r="M2998" t="s">
        <v>90</v>
      </c>
      <c r="N2998" t="s">
        <v>9</v>
      </c>
      <c r="O2998" t="s">
        <v>188</v>
      </c>
      <c r="P2998" s="1" t="s">
        <v>33</v>
      </c>
      <c r="Q2998">
        <v>136.80000000000001</v>
      </c>
    </row>
    <row r="2999" spans="1:17" x14ac:dyDescent="0.3">
      <c r="A2999">
        <v>2022</v>
      </c>
      <c r="B2999" t="s">
        <v>31</v>
      </c>
      <c r="C2999" t="s">
        <v>160</v>
      </c>
      <c r="D2999" s="1" t="s">
        <v>3</v>
      </c>
      <c r="E2999" s="4">
        <v>148.30000000000001</v>
      </c>
      <c r="F2999" s="4">
        <v>149.5</v>
      </c>
      <c r="G2999" s="4">
        <v>152.19999999999999</v>
      </c>
      <c r="H2999" s="1" t="s">
        <v>188</v>
      </c>
      <c r="K2999">
        <v>2016</v>
      </c>
      <c r="L2999" t="s">
        <v>41</v>
      </c>
      <c r="M2999" t="s">
        <v>91</v>
      </c>
      <c r="N2999" t="s">
        <v>3</v>
      </c>
      <c r="O2999" t="s">
        <v>188</v>
      </c>
      <c r="P2999" s="1" t="s">
        <v>30</v>
      </c>
      <c r="Q2999">
        <v>130.1</v>
      </c>
    </row>
    <row r="3000" spans="1:17" x14ac:dyDescent="0.3">
      <c r="A3000">
        <v>2022</v>
      </c>
      <c r="B3000" t="s">
        <v>31</v>
      </c>
      <c r="C3000" t="s">
        <v>160</v>
      </c>
      <c r="D3000" s="1" t="s">
        <v>17</v>
      </c>
      <c r="E3000" s="4">
        <v>173.2</v>
      </c>
      <c r="F3000" s="4">
        <v>169.9</v>
      </c>
      <c r="G3000" s="4">
        <v>164.7</v>
      </c>
      <c r="H3000" s="1" t="s">
        <v>189</v>
      </c>
      <c r="K3000">
        <v>2016</v>
      </c>
      <c r="L3000" t="s">
        <v>41</v>
      </c>
      <c r="M3000" t="s">
        <v>91</v>
      </c>
      <c r="N3000" t="s">
        <v>3</v>
      </c>
      <c r="O3000" t="s">
        <v>188</v>
      </c>
      <c r="P3000" s="1" t="s">
        <v>34</v>
      </c>
      <c r="Q3000">
        <v>129.30000000000001</v>
      </c>
    </row>
    <row r="3001" spans="1:17" x14ac:dyDescent="0.3">
      <c r="A3001">
        <v>2022</v>
      </c>
      <c r="B3001" t="s">
        <v>31</v>
      </c>
      <c r="C3001" t="s">
        <v>160</v>
      </c>
      <c r="D3001" s="1" t="s">
        <v>19</v>
      </c>
      <c r="E3001" s="4">
        <v>172.7</v>
      </c>
      <c r="F3001" s="4">
        <v>168.5</v>
      </c>
      <c r="G3001" s="4">
        <v>162.19999999999999</v>
      </c>
      <c r="H3001" s="1" t="s">
        <v>189</v>
      </c>
      <c r="K3001">
        <v>2016</v>
      </c>
      <c r="L3001" t="s">
        <v>41</v>
      </c>
      <c r="M3001" t="s">
        <v>91</v>
      </c>
      <c r="N3001" t="s">
        <v>3</v>
      </c>
      <c r="O3001" t="s">
        <v>188</v>
      </c>
      <c r="P3001" s="1" t="s">
        <v>33</v>
      </c>
      <c r="Q3001">
        <v>127.6</v>
      </c>
    </row>
    <row r="3002" spans="1:17" x14ac:dyDescent="0.3">
      <c r="A3002">
        <v>2022</v>
      </c>
      <c r="B3002" t="s">
        <v>31</v>
      </c>
      <c r="C3002" t="s">
        <v>160</v>
      </c>
      <c r="D3002" s="1" t="s">
        <v>26</v>
      </c>
      <c r="E3002" s="4">
        <v>169.9</v>
      </c>
      <c r="F3002" s="4">
        <v>164.7</v>
      </c>
      <c r="G3002" s="4">
        <v>161</v>
      </c>
      <c r="H3002" s="1" t="s">
        <v>26</v>
      </c>
      <c r="K3002">
        <v>2016</v>
      </c>
      <c r="L3002" t="s">
        <v>41</v>
      </c>
      <c r="M3002" t="s">
        <v>91</v>
      </c>
      <c r="N3002" t="s">
        <v>17</v>
      </c>
      <c r="O3002" t="s">
        <v>189</v>
      </c>
      <c r="P3002" s="1" t="s">
        <v>30</v>
      </c>
      <c r="Q3002">
        <v>137.80000000000001</v>
      </c>
    </row>
    <row r="3003" spans="1:17" x14ac:dyDescent="0.3">
      <c r="A3003">
        <v>2022</v>
      </c>
      <c r="B3003" t="s">
        <v>31</v>
      </c>
      <c r="C3003" t="s">
        <v>160</v>
      </c>
      <c r="D3003" s="1" t="s">
        <v>5</v>
      </c>
      <c r="E3003" s="4">
        <v>178</v>
      </c>
      <c r="F3003" s="4">
        <v>178.8</v>
      </c>
      <c r="G3003" s="4">
        <v>180.1</v>
      </c>
      <c r="H3003" s="1" t="s">
        <v>188</v>
      </c>
      <c r="K3003">
        <v>2016</v>
      </c>
      <c r="L3003" t="s">
        <v>41</v>
      </c>
      <c r="M3003" t="s">
        <v>91</v>
      </c>
      <c r="N3003" t="s">
        <v>17</v>
      </c>
      <c r="O3003" t="s">
        <v>189</v>
      </c>
      <c r="P3003" s="1" t="s">
        <v>34</v>
      </c>
      <c r="Q3003">
        <v>134.1</v>
      </c>
    </row>
    <row r="3004" spans="1:17" x14ac:dyDescent="0.3">
      <c r="A3004">
        <v>2022</v>
      </c>
      <c r="B3004" t="s">
        <v>31</v>
      </c>
      <c r="C3004" t="s">
        <v>160</v>
      </c>
      <c r="D3004" s="1" t="s">
        <v>15</v>
      </c>
      <c r="E3004" s="4">
        <v>164.1</v>
      </c>
      <c r="F3004" s="4">
        <v>166.4</v>
      </c>
      <c r="G3004" s="4">
        <v>170.3</v>
      </c>
      <c r="H3004" s="1" t="s">
        <v>188</v>
      </c>
      <c r="K3004">
        <v>2016</v>
      </c>
      <c r="L3004" t="s">
        <v>41</v>
      </c>
      <c r="M3004" t="s">
        <v>91</v>
      </c>
      <c r="N3004" t="s">
        <v>17</v>
      </c>
      <c r="O3004" t="s">
        <v>189</v>
      </c>
      <c r="P3004" s="1" t="s">
        <v>33</v>
      </c>
      <c r="Q3004">
        <v>128.30000000000001</v>
      </c>
    </row>
    <row r="3005" spans="1:17" x14ac:dyDescent="0.3">
      <c r="A3005">
        <v>2022</v>
      </c>
      <c r="B3005" t="s">
        <v>31</v>
      </c>
      <c r="C3005" t="s">
        <v>160</v>
      </c>
      <c r="D3005" s="1" t="s">
        <v>18</v>
      </c>
      <c r="E3005" s="4">
        <v>169.3</v>
      </c>
      <c r="F3005" s="4">
        <v>160.69999999999999</v>
      </c>
      <c r="G3005" s="4">
        <v>148.5</v>
      </c>
      <c r="H3005" s="1" t="s">
        <v>189</v>
      </c>
      <c r="K3005">
        <v>2016</v>
      </c>
      <c r="L3005" t="s">
        <v>41</v>
      </c>
      <c r="M3005" t="s">
        <v>91</v>
      </c>
      <c r="N3005" t="s">
        <v>19</v>
      </c>
      <c r="O3005" t="s">
        <v>189</v>
      </c>
      <c r="P3005" s="1" t="s">
        <v>30</v>
      </c>
      <c r="Q3005">
        <v>137.1</v>
      </c>
    </row>
    <row r="3006" spans="1:17" x14ac:dyDescent="0.3">
      <c r="A3006">
        <v>2022</v>
      </c>
      <c r="B3006" t="s">
        <v>31</v>
      </c>
      <c r="C3006" t="s">
        <v>160</v>
      </c>
      <c r="D3006" s="1" t="s">
        <v>8</v>
      </c>
      <c r="E3006" s="4">
        <v>151.19999999999999</v>
      </c>
      <c r="F3006" s="4">
        <v>153.69999999999999</v>
      </c>
      <c r="G3006" s="4">
        <v>156.5</v>
      </c>
      <c r="H3006" s="1" t="s">
        <v>188</v>
      </c>
      <c r="K3006">
        <v>2016</v>
      </c>
      <c r="L3006" t="s">
        <v>41</v>
      </c>
      <c r="M3006" t="s">
        <v>91</v>
      </c>
      <c r="N3006" t="s">
        <v>19</v>
      </c>
      <c r="O3006" t="s">
        <v>189</v>
      </c>
      <c r="P3006" s="1" t="s">
        <v>34</v>
      </c>
      <c r="Q3006">
        <v>133.19999999999999</v>
      </c>
    </row>
    <row r="3007" spans="1:17" x14ac:dyDescent="0.3">
      <c r="A3007">
        <v>2022</v>
      </c>
      <c r="B3007" t="s">
        <v>31</v>
      </c>
      <c r="C3007" t="s">
        <v>160</v>
      </c>
      <c r="D3007" s="1" t="s">
        <v>21</v>
      </c>
      <c r="E3007" s="4">
        <v>165.8</v>
      </c>
      <c r="F3007" s="4">
        <v>164.2</v>
      </c>
      <c r="G3007" s="4">
        <v>161.6</v>
      </c>
      <c r="H3007" s="1" t="s">
        <v>190</v>
      </c>
      <c r="K3007">
        <v>2016</v>
      </c>
      <c r="L3007" t="s">
        <v>41</v>
      </c>
      <c r="M3007" t="s">
        <v>91</v>
      </c>
      <c r="N3007" t="s">
        <v>19</v>
      </c>
      <c r="O3007" t="s">
        <v>189</v>
      </c>
      <c r="P3007" s="1" t="s">
        <v>33</v>
      </c>
      <c r="Q3007">
        <v>127.3</v>
      </c>
    </row>
    <row r="3008" spans="1:17" x14ac:dyDescent="0.3">
      <c r="A3008">
        <v>2022</v>
      </c>
      <c r="B3008" t="s">
        <v>31</v>
      </c>
      <c r="C3008" t="s">
        <v>160</v>
      </c>
      <c r="D3008" s="1" t="s">
        <v>29</v>
      </c>
      <c r="E3008" s="4">
        <v>166.4</v>
      </c>
      <c r="F3008" s="4">
        <v>165.7</v>
      </c>
      <c r="G3008" s="4">
        <v>165</v>
      </c>
      <c r="H3008" s="1" t="s">
        <v>206</v>
      </c>
      <c r="K3008">
        <v>2016</v>
      </c>
      <c r="L3008" t="s">
        <v>41</v>
      </c>
      <c r="M3008" t="s">
        <v>91</v>
      </c>
      <c r="N3008" t="s">
        <v>26</v>
      </c>
      <c r="O3008" t="s">
        <v>26</v>
      </c>
      <c r="P3008" s="1" t="s">
        <v>30</v>
      </c>
      <c r="Q3008">
        <v>131.9</v>
      </c>
    </row>
    <row r="3009" spans="1:17" x14ac:dyDescent="0.3">
      <c r="A3009">
        <v>2022</v>
      </c>
      <c r="B3009" t="s">
        <v>31</v>
      </c>
      <c r="C3009" t="s">
        <v>160</v>
      </c>
      <c r="D3009" s="1" t="s">
        <v>23</v>
      </c>
      <c r="E3009" s="4">
        <v>174.7</v>
      </c>
      <c r="F3009" s="4">
        <v>171.4</v>
      </c>
      <c r="G3009" s="4">
        <v>166.1</v>
      </c>
      <c r="H3009" s="1" t="s">
        <v>23</v>
      </c>
      <c r="K3009">
        <v>2016</v>
      </c>
      <c r="L3009" t="s">
        <v>41</v>
      </c>
      <c r="M3009" t="s">
        <v>91</v>
      </c>
      <c r="N3009" t="s">
        <v>26</v>
      </c>
      <c r="O3009" t="s">
        <v>26</v>
      </c>
      <c r="P3009" s="1" t="s">
        <v>34</v>
      </c>
      <c r="Q3009">
        <v>131.69999999999999</v>
      </c>
    </row>
    <row r="3010" spans="1:17" x14ac:dyDescent="0.3">
      <c r="A3010">
        <v>2022</v>
      </c>
      <c r="B3010" t="s">
        <v>31</v>
      </c>
      <c r="C3010" t="s">
        <v>160</v>
      </c>
      <c r="D3010" s="1" t="s">
        <v>22</v>
      </c>
      <c r="E3010" s="4">
        <v>164.9</v>
      </c>
      <c r="F3010" s="4">
        <v>161.1</v>
      </c>
      <c r="G3010" s="4">
        <v>156.80000000000001</v>
      </c>
      <c r="H3010" s="1" t="s">
        <v>20</v>
      </c>
      <c r="K3010">
        <v>2016</v>
      </c>
      <c r="L3010" t="s">
        <v>41</v>
      </c>
      <c r="M3010" t="s">
        <v>91</v>
      </c>
      <c r="N3010" t="s">
        <v>26</v>
      </c>
      <c r="O3010" t="s">
        <v>26</v>
      </c>
      <c r="P3010" s="1" t="s">
        <v>33</v>
      </c>
      <c r="Q3010">
        <v>131.5</v>
      </c>
    </row>
    <row r="3011" spans="1:17" x14ac:dyDescent="0.3">
      <c r="A3011">
        <v>2022</v>
      </c>
      <c r="B3011" t="s">
        <v>31</v>
      </c>
      <c r="C3011" t="s">
        <v>160</v>
      </c>
      <c r="D3011" s="1" t="s">
        <v>20</v>
      </c>
      <c r="E3011" s="4">
        <v>0</v>
      </c>
      <c r="F3011" s="4">
        <v>164.5</v>
      </c>
      <c r="G3011" s="4">
        <v>164.5</v>
      </c>
      <c r="H3011" s="1" t="s">
        <v>20</v>
      </c>
      <c r="K3011">
        <v>2016</v>
      </c>
      <c r="L3011" t="s">
        <v>41</v>
      </c>
      <c r="M3011" t="s">
        <v>91</v>
      </c>
      <c r="N3011" t="s">
        <v>5</v>
      </c>
      <c r="O3011" t="s">
        <v>188</v>
      </c>
      <c r="P3011" s="1" t="s">
        <v>30</v>
      </c>
      <c r="Q3011">
        <v>130.30000000000001</v>
      </c>
    </row>
    <row r="3012" spans="1:17" x14ac:dyDescent="0.3">
      <c r="A3012">
        <v>2022</v>
      </c>
      <c r="B3012" t="s">
        <v>31</v>
      </c>
      <c r="C3012" t="s">
        <v>160</v>
      </c>
      <c r="D3012" s="1" t="s">
        <v>4</v>
      </c>
      <c r="E3012" s="4">
        <v>196.9</v>
      </c>
      <c r="F3012" s="4">
        <v>198.7</v>
      </c>
      <c r="G3012" s="4">
        <v>202.1</v>
      </c>
      <c r="H3012" s="1" t="s">
        <v>188</v>
      </c>
      <c r="K3012">
        <v>2016</v>
      </c>
      <c r="L3012" t="s">
        <v>41</v>
      </c>
      <c r="M3012" t="s">
        <v>91</v>
      </c>
      <c r="N3012" t="s">
        <v>5</v>
      </c>
      <c r="O3012" t="s">
        <v>188</v>
      </c>
      <c r="P3012" s="1" t="s">
        <v>34</v>
      </c>
      <c r="Q3012">
        <v>131.6</v>
      </c>
    </row>
    <row r="3013" spans="1:17" x14ac:dyDescent="0.3">
      <c r="A3013">
        <v>2022</v>
      </c>
      <c r="B3013" t="s">
        <v>31</v>
      </c>
      <c r="C3013" t="s">
        <v>160</v>
      </c>
      <c r="D3013" s="1" t="s">
        <v>6</v>
      </c>
      <c r="E3013" s="4">
        <v>160.5</v>
      </c>
      <c r="F3013" s="4">
        <v>160.5</v>
      </c>
      <c r="G3013" s="4">
        <v>160.4</v>
      </c>
      <c r="H3013" s="1" t="s">
        <v>188</v>
      </c>
      <c r="K3013">
        <v>2016</v>
      </c>
      <c r="L3013" t="s">
        <v>41</v>
      </c>
      <c r="M3013" t="s">
        <v>91</v>
      </c>
      <c r="N3013" t="s">
        <v>5</v>
      </c>
      <c r="O3013" t="s">
        <v>188</v>
      </c>
      <c r="P3013" s="1" t="s">
        <v>33</v>
      </c>
      <c r="Q3013">
        <v>133.69999999999999</v>
      </c>
    </row>
    <row r="3014" spans="1:17" x14ac:dyDescent="0.3">
      <c r="A3014">
        <v>2022</v>
      </c>
      <c r="B3014" t="s">
        <v>31</v>
      </c>
      <c r="C3014" t="s">
        <v>160</v>
      </c>
      <c r="D3014" s="1" t="s">
        <v>28</v>
      </c>
      <c r="E3014" s="4">
        <v>166.6</v>
      </c>
      <c r="F3014" s="4">
        <v>162.69999999999999</v>
      </c>
      <c r="G3014" s="4">
        <v>158.6</v>
      </c>
      <c r="H3014" s="1" t="s">
        <v>192</v>
      </c>
      <c r="K3014">
        <v>2016</v>
      </c>
      <c r="L3014" t="s">
        <v>41</v>
      </c>
      <c r="M3014" t="s">
        <v>91</v>
      </c>
      <c r="N3014" t="s">
        <v>15</v>
      </c>
      <c r="O3014" t="s">
        <v>188</v>
      </c>
      <c r="P3014" s="1" t="s">
        <v>30</v>
      </c>
      <c r="Q3014">
        <v>138</v>
      </c>
    </row>
    <row r="3015" spans="1:17" x14ac:dyDescent="0.3">
      <c r="A3015">
        <v>2022</v>
      </c>
      <c r="B3015" t="s">
        <v>31</v>
      </c>
      <c r="C3015" t="s">
        <v>160</v>
      </c>
      <c r="D3015" s="1" t="s">
        <v>13</v>
      </c>
      <c r="E3015" s="4">
        <v>169.8</v>
      </c>
      <c r="F3015" s="4">
        <v>164.3</v>
      </c>
      <c r="G3015" s="4">
        <v>156.6</v>
      </c>
      <c r="H3015" s="1" t="s">
        <v>188</v>
      </c>
      <c r="K3015">
        <v>2016</v>
      </c>
      <c r="L3015" t="s">
        <v>41</v>
      </c>
      <c r="M3015" t="s">
        <v>91</v>
      </c>
      <c r="N3015" t="s">
        <v>15</v>
      </c>
      <c r="O3015" t="s">
        <v>188</v>
      </c>
      <c r="P3015" s="1" t="s">
        <v>34</v>
      </c>
      <c r="Q3015">
        <v>137.9</v>
      </c>
    </row>
    <row r="3016" spans="1:17" x14ac:dyDescent="0.3">
      <c r="A3016">
        <v>2022</v>
      </c>
      <c r="B3016" t="s">
        <v>31</v>
      </c>
      <c r="C3016" t="s">
        <v>160</v>
      </c>
      <c r="D3016" s="1" t="s">
        <v>7</v>
      </c>
      <c r="E3016" s="4">
        <v>192.6</v>
      </c>
      <c r="F3016" s="4">
        <v>184.7</v>
      </c>
      <c r="G3016" s="4">
        <v>171</v>
      </c>
      <c r="H3016" s="1" t="s">
        <v>188</v>
      </c>
      <c r="K3016">
        <v>2016</v>
      </c>
      <c r="L3016" t="s">
        <v>41</v>
      </c>
      <c r="M3016" t="s">
        <v>91</v>
      </c>
      <c r="N3016" t="s">
        <v>15</v>
      </c>
      <c r="O3016" t="s">
        <v>188</v>
      </c>
      <c r="P3016" s="1" t="s">
        <v>33</v>
      </c>
      <c r="Q3016">
        <v>137.6</v>
      </c>
    </row>
    <row r="3017" spans="1:17" x14ac:dyDescent="0.3">
      <c r="A3017">
        <v>2022</v>
      </c>
      <c r="B3017" t="s">
        <v>31</v>
      </c>
      <c r="C3017" t="s">
        <v>160</v>
      </c>
      <c r="D3017" s="1" t="s">
        <v>16</v>
      </c>
      <c r="E3017" s="4">
        <v>190.7</v>
      </c>
      <c r="F3017" s="4">
        <v>192.2</v>
      </c>
      <c r="G3017" s="4">
        <v>196.4</v>
      </c>
      <c r="H3017" s="1" t="s">
        <v>192</v>
      </c>
      <c r="K3017">
        <v>2016</v>
      </c>
      <c r="L3017" t="s">
        <v>41</v>
      </c>
      <c r="M3017" t="s">
        <v>91</v>
      </c>
      <c r="N3017" t="s">
        <v>18</v>
      </c>
      <c r="O3017" t="s">
        <v>189</v>
      </c>
      <c r="P3017" s="1" t="s">
        <v>30</v>
      </c>
      <c r="Q3017">
        <v>133</v>
      </c>
    </row>
    <row r="3018" spans="1:17" x14ac:dyDescent="0.3">
      <c r="A3018">
        <v>2022</v>
      </c>
      <c r="B3018" t="s">
        <v>31</v>
      </c>
      <c r="C3018" t="s">
        <v>160</v>
      </c>
      <c r="D3018" s="1" t="s">
        <v>27</v>
      </c>
      <c r="E3018" s="4">
        <v>163.19999999999999</v>
      </c>
      <c r="F3018" s="4">
        <v>163</v>
      </c>
      <c r="G3018" s="4">
        <v>162.80000000000001</v>
      </c>
      <c r="H3018" s="1" t="s">
        <v>192</v>
      </c>
      <c r="K3018">
        <v>2016</v>
      </c>
      <c r="L3018" t="s">
        <v>41</v>
      </c>
      <c r="M3018" t="s">
        <v>91</v>
      </c>
      <c r="N3018" t="s">
        <v>18</v>
      </c>
      <c r="O3018" t="s">
        <v>189</v>
      </c>
      <c r="P3018" s="1" t="s">
        <v>34</v>
      </c>
      <c r="Q3018">
        <v>128.19999999999999</v>
      </c>
    </row>
    <row r="3019" spans="1:17" x14ac:dyDescent="0.3">
      <c r="A3019">
        <v>2022</v>
      </c>
      <c r="B3019" t="s">
        <v>31</v>
      </c>
      <c r="C3019" t="s">
        <v>160</v>
      </c>
      <c r="D3019" s="1" t="s">
        <v>14</v>
      </c>
      <c r="E3019" s="4">
        <v>175.8</v>
      </c>
      <c r="F3019" s="4">
        <v>177.3</v>
      </c>
      <c r="G3019" s="4">
        <v>179</v>
      </c>
      <c r="H3019" s="1" t="s">
        <v>188</v>
      </c>
      <c r="K3019">
        <v>2016</v>
      </c>
      <c r="L3019" t="s">
        <v>41</v>
      </c>
      <c r="M3019" t="s">
        <v>91</v>
      </c>
      <c r="N3019" t="s">
        <v>18</v>
      </c>
      <c r="O3019" t="s">
        <v>189</v>
      </c>
      <c r="P3019" s="1" t="s">
        <v>33</v>
      </c>
      <c r="Q3019">
        <v>121.4</v>
      </c>
    </row>
    <row r="3020" spans="1:17" x14ac:dyDescent="0.3">
      <c r="A3020">
        <v>2022</v>
      </c>
      <c r="B3020" t="s">
        <v>31</v>
      </c>
      <c r="C3020" t="s">
        <v>160</v>
      </c>
      <c r="D3020" s="1" t="s">
        <v>10</v>
      </c>
      <c r="E3020" s="4">
        <v>164</v>
      </c>
      <c r="F3020" s="4">
        <v>163.9</v>
      </c>
      <c r="G3020" s="4">
        <v>163.80000000000001</v>
      </c>
      <c r="H3020" s="1" t="s">
        <v>188</v>
      </c>
      <c r="K3020">
        <v>2016</v>
      </c>
      <c r="L3020" t="s">
        <v>41</v>
      </c>
      <c r="M3020" t="s">
        <v>91</v>
      </c>
      <c r="N3020" t="s">
        <v>8</v>
      </c>
      <c r="O3020" t="s">
        <v>188</v>
      </c>
      <c r="P3020" s="1" t="s">
        <v>30</v>
      </c>
      <c r="Q3020">
        <v>140.19999999999999</v>
      </c>
    </row>
    <row r="3021" spans="1:17" x14ac:dyDescent="0.3">
      <c r="A3021">
        <v>2022</v>
      </c>
      <c r="B3021" t="s">
        <v>31</v>
      </c>
      <c r="C3021" t="s">
        <v>160</v>
      </c>
      <c r="D3021" s="1" t="s">
        <v>25</v>
      </c>
      <c r="E3021" s="4">
        <v>164.9</v>
      </c>
      <c r="F3021" s="4">
        <v>161.19999999999999</v>
      </c>
      <c r="G3021" s="4">
        <v>158.4</v>
      </c>
      <c r="H3021" s="1" t="s">
        <v>195</v>
      </c>
      <c r="K3021">
        <v>2016</v>
      </c>
      <c r="L3021" t="s">
        <v>41</v>
      </c>
      <c r="M3021" t="s">
        <v>91</v>
      </c>
      <c r="N3021" t="s">
        <v>8</v>
      </c>
      <c r="O3021" t="s">
        <v>188</v>
      </c>
      <c r="P3021" s="1" t="s">
        <v>34</v>
      </c>
      <c r="Q3021">
        <v>138.1</v>
      </c>
    </row>
    <row r="3022" spans="1:17" x14ac:dyDescent="0.3">
      <c r="A3022">
        <v>2022</v>
      </c>
      <c r="B3022" t="s">
        <v>31</v>
      </c>
      <c r="C3022" t="s">
        <v>160</v>
      </c>
      <c r="D3022" s="1" t="s">
        <v>12</v>
      </c>
      <c r="E3022" s="4">
        <v>173.3</v>
      </c>
      <c r="F3022" s="4">
        <v>172.1</v>
      </c>
      <c r="G3022" s="4">
        <v>169.8</v>
      </c>
      <c r="H3022" s="1" t="s">
        <v>188</v>
      </c>
      <c r="K3022">
        <v>2016</v>
      </c>
      <c r="L3022" t="s">
        <v>41</v>
      </c>
      <c r="M3022" t="s">
        <v>91</v>
      </c>
      <c r="N3022" t="s">
        <v>8</v>
      </c>
      <c r="O3022" t="s">
        <v>188</v>
      </c>
      <c r="P3022" s="1" t="s">
        <v>33</v>
      </c>
      <c r="Q3022">
        <v>135.80000000000001</v>
      </c>
    </row>
    <row r="3023" spans="1:17" x14ac:dyDescent="0.3">
      <c r="A3023">
        <v>2022</v>
      </c>
      <c r="B3023" t="s">
        <v>31</v>
      </c>
      <c r="C3023" t="s">
        <v>160</v>
      </c>
      <c r="D3023" s="1" t="s">
        <v>11</v>
      </c>
      <c r="E3023" s="4">
        <v>119.3</v>
      </c>
      <c r="F3023" s="4">
        <v>120</v>
      </c>
      <c r="G3023" s="4">
        <v>121.3</v>
      </c>
      <c r="H3023" s="1" t="s">
        <v>188</v>
      </c>
      <c r="K3023">
        <v>2016</v>
      </c>
      <c r="L3023" t="s">
        <v>41</v>
      </c>
      <c r="M3023" t="s">
        <v>91</v>
      </c>
      <c r="N3023" t="s">
        <v>21</v>
      </c>
      <c r="O3023" t="s">
        <v>190</v>
      </c>
      <c r="P3023" s="1" t="s">
        <v>30</v>
      </c>
      <c r="Q3023">
        <v>129.1</v>
      </c>
    </row>
    <row r="3024" spans="1:17" x14ac:dyDescent="0.3">
      <c r="A3024">
        <v>2022</v>
      </c>
      <c r="B3024" t="s">
        <v>31</v>
      </c>
      <c r="C3024" t="s">
        <v>160</v>
      </c>
      <c r="D3024" s="1" t="s">
        <v>24</v>
      </c>
      <c r="E3024" s="4">
        <v>160.80000000000001</v>
      </c>
      <c r="F3024" s="4">
        <v>156.5</v>
      </c>
      <c r="G3024" s="4">
        <v>152.69999999999999</v>
      </c>
      <c r="H3024" s="1" t="s">
        <v>191</v>
      </c>
      <c r="K3024">
        <v>2016</v>
      </c>
      <c r="L3024" t="s">
        <v>41</v>
      </c>
      <c r="M3024" t="s">
        <v>91</v>
      </c>
      <c r="N3024" t="s">
        <v>21</v>
      </c>
      <c r="O3024" t="s">
        <v>190</v>
      </c>
      <c r="P3024" s="1" t="s">
        <v>34</v>
      </c>
      <c r="Q3024">
        <v>123.6</v>
      </c>
    </row>
    <row r="3025" spans="1:17" x14ac:dyDescent="0.3">
      <c r="A3025">
        <v>2022</v>
      </c>
      <c r="B3025" t="s">
        <v>31</v>
      </c>
      <c r="C3025" t="s">
        <v>160</v>
      </c>
      <c r="D3025" s="1" t="s">
        <v>9</v>
      </c>
      <c r="E3025" s="4">
        <v>159.19999999999999</v>
      </c>
      <c r="F3025" s="4">
        <v>174.3</v>
      </c>
      <c r="G3025" s="4">
        <v>203.6</v>
      </c>
      <c r="H3025" s="1" t="s">
        <v>188</v>
      </c>
      <c r="K3025">
        <v>2016</v>
      </c>
      <c r="L3025" t="s">
        <v>41</v>
      </c>
      <c r="M3025" t="s">
        <v>91</v>
      </c>
      <c r="N3025" t="s">
        <v>21</v>
      </c>
      <c r="O3025" t="s">
        <v>190</v>
      </c>
      <c r="P3025" s="1" t="s">
        <v>33</v>
      </c>
      <c r="Q3025">
        <v>114.7</v>
      </c>
    </row>
    <row r="3026" spans="1:17" x14ac:dyDescent="0.3">
      <c r="A3026">
        <v>2022</v>
      </c>
      <c r="B3026" t="s">
        <v>40</v>
      </c>
      <c r="C3026" t="s">
        <v>161</v>
      </c>
      <c r="D3026" s="1" t="s">
        <v>3</v>
      </c>
      <c r="E3026" s="4">
        <v>155.19999999999999</v>
      </c>
      <c r="F3026" s="4">
        <v>156.5</v>
      </c>
      <c r="G3026" s="4">
        <v>159.30000000000001</v>
      </c>
      <c r="H3026" s="1" t="s">
        <v>188</v>
      </c>
      <c r="K3026">
        <v>2016</v>
      </c>
      <c r="L3026" t="s">
        <v>41</v>
      </c>
      <c r="M3026" t="s">
        <v>91</v>
      </c>
      <c r="N3026" t="s">
        <v>29</v>
      </c>
      <c r="O3026" t="s">
        <v>206</v>
      </c>
      <c r="P3026" s="1" t="s">
        <v>30</v>
      </c>
      <c r="Q3026">
        <v>133.5</v>
      </c>
    </row>
    <row r="3027" spans="1:17" x14ac:dyDescent="0.3">
      <c r="A3027">
        <v>2022</v>
      </c>
      <c r="B3027" t="s">
        <v>40</v>
      </c>
      <c r="C3027" t="s">
        <v>161</v>
      </c>
      <c r="D3027" s="1" t="s">
        <v>17</v>
      </c>
      <c r="E3027" s="4">
        <v>182</v>
      </c>
      <c r="F3027" s="4">
        <v>178.3</v>
      </c>
      <c r="G3027" s="4">
        <v>172.7</v>
      </c>
      <c r="H3027" s="1" t="s">
        <v>189</v>
      </c>
      <c r="K3027">
        <v>2016</v>
      </c>
      <c r="L3027" t="s">
        <v>41</v>
      </c>
      <c r="M3027" t="s">
        <v>91</v>
      </c>
      <c r="N3027" t="s">
        <v>29</v>
      </c>
      <c r="O3027" t="s">
        <v>206</v>
      </c>
      <c r="P3027" s="1" t="s">
        <v>34</v>
      </c>
      <c r="Q3027">
        <v>131.1</v>
      </c>
    </row>
    <row r="3028" spans="1:17" x14ac:dyDescent="0.3">
      <c r="A3028">
        <v>2022</v>
      </c>
      <c r="B3028" t="s">
        <v>40</v>
      </c>
      <c r="C3028" t="s">
        <v>161</v>
      </c>
      <c r="D3028" s="1" t="s">
        <v>19</v>
      </c>
      <c r="E3028" s="4">
        <v>181.7</v>
      </c>
      <c r="F3028" s="4">
        <v>177.3</v>
      </c>
      <c r="G3028" s="4">
        <v>170.6</v>
      </c>
      <c r="H3028" s="1" t="s">
        <v>189</v>
      </c>
      <c r="K3028">
        <v>2016</v>
      </c>
      <c r="L3028" t="s">
        <v>41</v>
      </c>
      <c r="M3028" t="s">
        <v>91</v>
      </c>
      <c r="N3028" t="s">
        <v>29</v>
      </c>
      <c r="O3028" t="s">
        <v>206</v>
      </c>
      <c r="P3028" s="1" t="s">
        <v>33</v>
      </c>
      <c r="Q3028">
        <v>128.4</v>
      </c>
    </row>
    <row r="3029" spans="1:17" x14ac:dyDescent="0.3">
      <c r="A3029">
        <v>2022</v>
      </c>
      <c r="B3029" t="s">
        <v>40</v>
      </c>
      <c r="C3029" t="s">
        <v>161</v>
      </c>
      <c r="D3029" s="1" t="s">
        <v>26</v>
      </c>
      <c r="E3029" s="4">
        <v>174.7</v>
      </c>
      <c r="F3029" s="4">
        <v>171.4</v>
      </c>
      <c r="G3029" s="4">
        <v>169.1</v>
      </c>
      <c r="H3029" s="1" t="s">
        <v>26</v>
      </c>
      <c r="K3029">
        <v>2016</v>
      </c>
      <c r="L3029" t="s">
        <v>41</v>
      </c>
      <c r="M3029" t="s">
        <v>91</v>
      </c>
      <c r="N3029" t="s">
        <v>23</v>
      </c>
      <c r="O3029" t="s">
        <v>23</v>
      </c>
      <c r="P3029" s="1" t="s">
        <v>30</v>
      </c>
      <c r="Q3029">
        <v>127</v>
      </c>
    </row>
    <row r="3030" spans="1:17" x14ac:dyDescent="0.3">
      <c r="A3030">
        <v>2022</v>
      </c>
      <c r="B3030" t="s">
        <v>40</v>
      </c>
      <c r="C3030" t="s">
        <v>161</v>
      </c>
      <c r="D3030" s="1" t="s">
        <v>5</v>
      </c>
      <c r="E3030" s="4">
        <v>174.3</v>
      </c>
      <c r="F3030" s="4">
        <v>175.2</v>
      </c>
      <c r="G3030" s="4">
        <v>176.6</v>
      </c>
      <c r="H3030" s="1" t="s">
        <v>188</v>
      </c>
      <c r="K3030">
        <v>2016</v>
      </c>
      <c r="L3030" t="s">
        <v>41</v>
      </c>
      <c r="M3030" t="s">
        <v>91</v>
      </c>
      <c r="N3030" t="s">
        <v>23</v>
      </c>
      <c r="O3030" t="s">
        <v>23</v>
      </c>
      <c r="P3030" s="1" t="s">
        <v>34</v>
      </c>
      <c r="Q3030">
        <v>124.8</v>
      </c>
    </row>
    <row r="3031" spans="1:17" x14ac:dyDescent="0.3">
      <c r="A3031">
        <v>2022</v>
      </c>
      <c r="B3031" t="s">
        <v>40</v>
      </c>
      <c r="C3031" t="s">
        <v>161</v>
      </c>
      <c r="D3031" s="1" t="s">
        <v>15</v>
      </c>
      <c r="E3031" s="4">
        <v>172.5</v>
      </c>
      <c r="F3031" s="4">
        <v>175</v>
      </c>
      <c r="G3031" s="4">
        <v>179.4</v>
      </c>
      <c r="H3031" s="1" t="s">
        <v>188</v>
      </c>
      <c r="K3031">
        <v>2016</v>
      </c>
      <c r="L3031" t="s">
        <v>41</v>
      </c>
      <c r="M3031" t="s">
        <v>91</v>
      </c>
      <c r="N3031" t="s">
        <v>23</v>
      </c>
      <c r="O3031" t="s">
        <v>23</v>
      </c>
      <c r="P3031" s="1" t="s">
        <v>33</v>
      </c>
      <c r="Q3031">
        <v>121.2</v>
      </c>
    </row>
    <row r="3032" spans="1:17" x14ac:dyDescent="0.3">
      <c r="A3032">
        <v>2022</v>
      </c>
      <c r="B3032" t="s">
        <v>40</v>
      </c>
      <c r="C3032" t="s">
        <v>161</v>
      </c>
      <c r="D3032" s="1" t="s">
        <v>18</v>
      </c>
      <c r="E3032" s="4">
        <v>180.3</v>
      </c>
      <c r="F3032" s="4">
        <v>171.3</v>
      </c>
      <c r="G3032" s="4">
        <v>158.69999999999999</v>
      </c>
      <c r="H3032" s="1" t="s">
        <v>189</v>
      </c>
      <c r="K3032">
        <v>2016</v>
      </c>
      <c r="L3032" t="s">
        <v>41</v>
      </c>
      <c r="M3032" t="s">
        <v>91</v>
      </c>
      <c r="N3032" t="s">
        <v>22</v>
      </c>
      <c r="O3032" t="s">
        <v>20</v>
      </c>
      <c r="P3032" s="1" t="s">
        <v>30</v>
      </c>
      <c r="Q3032">
        <v>130.6</v>
      </c>
    </row>
    <row r="3033" spans="1:17" x14ac:dyDescent="0.3">
      <c r="A3033">
        <v>2022</v>
      </c>
      <c r="B3033" t="s">
        <v>40</v>
      </c>
      <c r="C3033" t="s">
        <v>161</v>
      </c>
      <c r="D3033" s="1" t="s">
        <v>8</v>
      </c>
      <c r="E3033" s="4">
        <v>169.6</v>
      </c>
      <c r="F3033" s="4">
        <v>174.2</v>
      </c>
      <c r="G3033" s="4">
        <v>179.5</v>
      </c>
      <c r="H3033" s="1" t="s">
        <v>188</v>
      </c>
      <c r="K3033">
        <v>2016</v>
      </c>
      <c r="L3033" t="s">
        <v>41</v>
      </c>
      <c r="M3033" t="s">
        <v>91</v>
      </c>
      <c r="N3033" t="s">
        <v>22</v>
      </c>
      <c r="O3033" t="s">
        <v>20</v>
      </c>
      <c r="P3033" s="1" t="s">
        <v>34</v>
      </c>
      <c r="Q3033">
        <v>127.4</v>
      </c>
    </row>
    <row r="3034" spans="1:17" x14ac:dyDescent="0.3">
      <c r="A3034">
        <v>2022</v>
      </c>
      <c r="B3034" t="s">
        <v>40</v>
      </c>
      <c r="C3034" t="s">
        <v>161</v>
      </c>
      <c r="D3034" s="1" t="s">
        <v>21</v>
      </c>
      <c r="E3034" s="4">
        <v>179.6</v>
      </c>
      <c r="F3034" s="4">
        <v>179.6</v>
      </c>
      <c r="G3034" s="4">
        <v>179.5</v>
      </c>
      <c r="H3034" s="1" t="s">
        <v>190</v>
      </c>
      <c r="K3034">
        <v>2016</v>
      </c>
      <c r="L3034" t="s">
        <v>41</v>
      </c>
      <c r="M3034" t="s">
        <v>91</v>
      </c>
      <c r="N3034" t="s">
        <v>22</v>
      </c>
      <c r="O3034" t="s">
        <v>20</v>
      </c>
      <c r="P3034" s="1" t="s">
        <v>33</v>
      </c>
      <c r="Q3034">
        <v>123.9</v>
      </c>
    </row>
    <row r="3035" spans="1:17" x14ac:dyDescent="0.3">
      <c r="A3035">
        <v>2022</v>
      </c>
      <c r="B3035" t="s">
        <v>40</v>
      </c>
      <c r="C3035" t="s">
        <v>161</v>
      </c>
      <c r="D3035" s="1" t="s">
        <v>29</v>
      </c>
      <c r="E3035" s="4">
        <v>174.3</v>
      </c>
      <c r="F3035" s="4">
        <v>173.4</v>
      </c>
      <c r="G3035" s="4">
        <v>172.3</v>
      </c>
      <c r="H3035" s="1" t="s">
        <v>206</v>
      </c>
      <c r="K3035">
        <v>2016</v>
      </c>
      <c r="L3035" t="s">
        <v>41</v>
      </c>
      <c r="M3035" t="s">
        <v>91</v>
      </c>
      <c r="N3035" t="s">
        <v>20</v>
      </c>
      <c r="O3035" t="s">
        <v>20</v>
      </c>
      <c r="P3035" s="1" t="s">
        <v>30</v>
      </c>
      <c r="Q3035">
        <v>0</v>
      </c>
    </row>
    <row r="3036" spans="1:17" x14ac:dyDescent="0.3">
      <c r="A3036">
        <v>2022</v>
      </c>
      <c r="B3036" t="s">
        <v>40</v>
      </c>
      <c r="C3036" t="s">
        <v>161</v>
      </c>
      <c r="D3036" s="1" t="s">
        <v>23</v>
      </c>
      <c r="E3036" s="4">
        <v>178.8</v>
      </c>
      <c r="F3036" s="4">
        <v>176.1</v>
      </c>
      <c r="G3036" s="4">
        <v>171.7</v>
      </c>
      <c r="H3036" s="1" t="s">
        <v>23</v>
      </c>
      <c r="K3036">
        <v>2016</v>
      </c>
      <c r="L3036" t="s">
        <v>41</v>
      </c>
      <c r="M3036" t="s">
        <v>91</v>
      </c>
      <c r="N3036" t="s">
        <v>20</v>
      </c>
      <c r="O3036" t="s">
        <v>20</v>
      </c>
      <c r="P3036" s="1" t="s">
        <v>34</v>
      </c>
      <c r="Q3036">
        <v>127.3</v>
      </c>
    </row>
    <row r="3037" spans="1:17" x14ac:dyDescent="0.3">
      <c r="A3037">
        <v>2022</v>
      </c>
      <c r="B3037" t="s">
        <v>40</v>
      </c>
      <c r="C3037" t="s">
        <v>161</v>
      </c>
      <c r="D3037" s="1" t="s">
        <v>22</v>
      </c>
      <c r="E3037" s="4">
        <v>171.3</v>
      </c>
      <c r="F3037" s="4">
        <v>167.4</v>
      </c>
      <c r="G3037" s="4">
        <v>163.1</v>
      </c>
      <c r="H3037" s="1" t="s">
        <v>20</v>
      </c>
      <c r="K3037">
        <v>2016</v>
      </c>
      <c r="L3037" t="s">
        <v>41</v>
      </c>
      <c r="M3037" t="s">
        <v>91</v>
      </c>
      <c r="N3037" t="s">
        <v>20</v>
      </c>
      <c r="O3037" t="s">
        <v>20</v>
      </c>
      <c r="P3037" s="1" t="s">
        <v>33</v>
      </c>
      <c r="Q3037">
        <v>127.3</v>
      </c>
    </row>
    <row r="3038" spans="1:17" x14ac:dyDescent="0.3">
      <c r="A3038">
        <v>2022</v>
      </c>
      <c r="B3038" t="s">
        <v>40</v>
      </c>
      <c r="C3038" t="s">
        <v>161</v>
      </c>
      <c r="D3038" s="1" t="s">
        <v>20</v>
      </c>
      <c r="E3038" s="4">
        <v>0</v>
      </c>
      <c r="F3038" s="4">
        <v>167.8</v>
      </c>
      <c r="G3038" s="4">
        <v>167.8</v>
      </c>
      <c r="H3038" s="1" t="s">
        <v>20</v>
      </c>
      <c r="K3038">
        <v>2016</v>
      </c>
      <c r="L3038" t="s">
        <v>41</v>
      </c>
      <c r="M3038" t="s">
        <v>91</v>
      </c>
      <c r="N3038" t="s">
        <v>4</v>
      </c>
      <c r="O3038" t="s">
        <v>188</v>
      </c>
      <c r="P3038" s="1" t="s">
        <v>30</v>
      </c>
      <c r="Q3038">
        <v>138.80000000000001</v>
      </c>
    </row>
    <row r="3039" spans="1:17" x14ac:dyDescent="0.3">
      <c r="A3039">
        <v>2022</v>
      </c>
      <c r="B3039" t="s">
        <v>40</v>
      </c>
      <c r="C3039" t="s">
        <v>161</v>
      </c>
      <c r="D3039" s="1" t="s">
        <v>4</v>
      </c>
      <c r="E3039" s="4">
        <v>210.8</v>
      </c>
      <c r="F3039" s="4">
        <v>213</v>
      </c>
      <c r="G3039" s="4">
        <v>217.1</v>
      </c>
      <c r="H3039" s="1" t="s">
        <v>188</v>
      </c>
      <c r="K3039">
        <v>2016</v>
      </c>
      <c r="L3039" t="s">
        <v>41</v>
      </c>
      <c r="M3039" t="s">
        <v>91</v>
      </c>
      <c r="N3039" t="s">
        <v>4</v>
      </c>
      <c r="O3039" t="s">
        <v>188</v>
      </c>
      <c r="P3039" s="1" t="s">
        <v>34</v>
      </c>
      <c r="Q3039">
        <v>139.30000000000001</v>
      </c>
    </row>
    <row r="3040" spans="1:17" x14ac:dyDescent="0.3">
      <c r="A3040">
        <v>2022</v>
      </c>
      <c r="B3040" t="s">
        <v>40</v>
      </c>
      <c r="C3040" t="s">
        <v>161</v>
      </c>
      <c r="D3040" s="1" t="s">
        <v>6</v>
      </c>
      <c r="E3040" s="4">
        <v>166.3</v>
      </c>
      <c r="F3040" s="4">
        <v>166.6</v>
      </c>
      <c r="G3040" s="4">
        <v>167.1</v>
      </c>
      <c r="H3040" s="1" t="s">
        <v>188</v>
      </c>
      <c r="K3040">
        <v>2016</v>
      </c>
      <c r="L3040" t="s">
        <v>41</v>
      </c>
      <c r="M3040" t="s">
        <v>91</v>
      </c>
      <c r="N3040" t="s">
        <v>4</v>
      </c>
      <c r="O3040" t="s">
        <v>188</v>
      </c>
      <c r="P3040" s="1" t="s">
        <v>33</v>
      </c>
      <c r="Q3040">
        <v>140.30000000000001</v>
      </c>
    </row>
    <row r="3041" spans="1:17" x14ac:dyDescent="0.3">
      <c r="A3041">
        <v>2022</v>
      </c>
      <c r="B3041" t="s">
        <v>40</v>
      </c>
      <c r="C3041" t="s">
        <v>161</v>
      </c>
      <c r="D3041" s="1" t="s">
        <v>28</v>
      </c>
      <c r="E3041" s="4">
        <v>171.8</v>
      </c>
      <c r="F3041" s="4">
        <v>168.4</v>
      </c>
      <c r="G3041" s="4">
        <v>164.7</v>
      </c>
      <c r="H3041" s="1" t="s">
        <v>192</v>
      </c>
      <c r="K3041">
        <v>2016</v>
      </c>
      <c r="L3041" t="s">
        <v>41</v>
      </c>
      <c r="M3041" t="s">
        <v>91</v>
      </c>
      <c r="N3041" t="s">
        <v>6</v>
      </c>
      <c r="O3041" t="s">
        <v>188</v>
      </c>
      <c r="P3041" s="1" t="s">
        <v>30</v>
      </c>
      <c r="Q3041">
        <v>135.30000000000001</v>
      </c>
    </row>
    <row r="3042" spans="1:17" x14ac:dyDescent="0.3">
      <c r="A3042">
        <v>2022</v>
      </c>
      <c r="B3042" t="s">
        <v>40</v>
      </c>
      <c r="C3042" t="s">
        <v>161</v>
      </c>
      <c r="D3042" s="1" t="s">
        <v>13</v>
      </c>
      <c r="E3042" s="4">
        <v>174.5</v>
      </c>
      <c r="F3042" s="4">
        <v>168.4</v>
      </c>
      <c r="G3042" s="4">
        <v>159.80000000000001</v>
      </c>
      <c r="H3042" s="1" t="s">
        <v>188</v>
      </c>
      <c r="K3042">
        <v>2016</v>
      </c>
      <c r="L3042" t="s">
        <v>41</v>
      </c>
      <c r="M3042" t="s">
        <v>91</v>
      </c>
      <c r="N3042" t="s">
        <v>6</v>
      </c>
      <c r="O3042" t="s">
        <v>188</v>
      </c>
      <c r="P3042" s="1" t="s">
        <v>34</v>
      </c>
      <c r="Q3042">
        <v>134.1</v>
      </c>
    </row>
    <row r="3043" spans="1:17" x14ac:dyDescent="0.3">
      <c r="A3043">
        <v>2022</v>
      </c>
      <c r="B3043" t="s">
        <v>40</v>
      </c>
      <c r="C3043" t="s">
        <v>161</v>
      </c>
      <c r="D3043" s="1" t="s">
        <v>7</v>
      </c>
      <c r="E3043" s="4">
        <v>202.2</v>
      </c>
      <c r="F3043" s="4">
        <v>195.8</v>
      </c>
      <c r="G3043" s="4">
        <v>184.8</v>
      </c>
      <c r="H3043" s="1" t="s">
        <v>188</v>
      </c>
      <c r="K3043">
        <v>2016</v>
      </c>
      <c r="L3043" t="s">
        <v>41</v>
      </c>
      <c r="M3043" t="s">
        <v>91</v>
      </c>
      <c r="N3043" t="s">
        <v>6</v>
      </c>
      <c r="O3043" t="s">
        <v>188</v>
      </c>
      <c r="P3043" s="1" t="s">
        <v>33</v>
      </c>
      <c r="Q3043">
        <v>132.19999999999999</v>
      </c>
    </row>
    <row r="3044" spans="1:17" x14ac:dyDescent="0.3">
      <c r="A3044">
        <v>2022</v>
      </c>
      <c r="B3044" t="s">
        <v>40</v>
      </c>
      <c r="C3044" t="s">
        <v>161</v>
      </c>
      <c r="D3044" s="1" t="s">
        <v>16</v>
      </c>
      <c r="E3044" s="4">
        <v>193.2</v>
      </c>
      <c r="F3044" s="4">
        <v>194.6</v>
      </c>
      <c r="G3044" s="4">
        <v>198.6</v>
      </c>
      <c r="H3044" s="1" t="s">
        <v>192</v>
      </c>
      <c r="K3044">
        <v>2016</v>
      </c>
      <c r="L3044" t="s">
        <v>41</v>
      </c>
      <c r="M3044" t="s">
        <v>91</v>
      </c>
      <c r="N3044" t="s">
        <v>28</v>
      </c>
      <c r="O3044" t="s">
        <v>192</v>
      </c>
      <c r="P3044" s="1" t="s">
        <v>30</v>
      </c>
      <c r="Q3044">
        <v>124.2</v>
      </c>
    </row>
    <row r="3045" spans="1:17" x14ac:dyDescent="0.3">
      <c r="A3045">
        <v>2022</v>
      </c>
      <c r="B3045" t="s">
        <v>40</v>
      </c>
      <c r="C3045" t="s">
        <v>161</v>
      </c>
      <c r="D3045" s="1" t="s">
        <v>27</v>
      </c>
      <c r="E3045" s="4">
        <v>169.7</v>
      </c>
      <c r="F3045" s="4">
        <v>169.7</v>
      </c>
      <c r="G3045" s="4">
        <v>169.8</v>
      </c>
      <c r="H3045" s="1" t="s">
        <v>192</v>
      </c>
      <c r="K3045">
        <v>2016</v>
      </c>
      <c r="L3045" t="s">
        <v>41</v>
      </c>
      <c r="M3045" t="s">
        <v>91</v>
      </c>
      <c r="N3045" t="s">
        <v>28</v>
      </c>
      <c r="O3045" t="s">
        <v>192</v>
      </c>
      <c r="P3045" s="1" t="s">
        <v>34</v>
      </c>
      <c r="Q3045">
        <v>122.1</v>
      </c>
    </row>
    <row r="3046" spans="1:17" x14ac:dyDescent="0.3">
      <c r="A3046">
        <v>2022</v>
      </c>
      <c r="B3046" t="s">
        <v>40</v>
      </c>
      <c r="C3046" t="s">
        <v>161</v>
      </c>
      <c r="D3046" s="1" t="s">
        <v>14</v>
      </c>
      <c r="E3046" s="4">
        <v>183.1</v>
      </c>
      <c r="F3046" s="4">
        <v>185.2</v>
      </c>
      <c r="G3046" s="4">
        <v>187.7</v>
      </c>
      <c r="H3046" s="1" t="s">
        <v>188</v>
      </c>
      <c r="K3046">
        <v>2016</v>
      </c>
      <c r="L3046" t="s">
        <v>41</v>
      </c>
      <c r="M3046" t="s">
        <v>91</v>
      </c>
      <c r="N3046" t="s">
        <v>28</v>
      </c>
      <c r="O3046" t="s">
        <v>192</v>
      </c>
      <c r="P3046" s="1" t="s">
        <v>33</v>
      </c>
      <c r="Q3046">
        <v>119.9</v>
      </c>
    </row>
    <row r="3047" spans="1:17" x14ac:dyDescent="0.3">
      <c r="A3047">
        <v>2022</v>
      </c>
      <c r="B3047" t="s">
        <v>40</v>
      </c>
      <c r="C3047" t="s">
        <v>161</v>
      </c>
      <c r="D3047" s="1" t="s">
        <v>10</v>
      </c>
      <c r="E3047" s="4">
        <v>164.4</v>
      </c>
      <c r="F3047" s="4">
        <v>164.3</v>
      </c>
      <c r="G3047" s="4">
        <v>164</v>
      </c>
      <c r="H3047" s="1" t="s">
        <v>188</v>
      </c>
      <c r="K3047">
        <v>2016</v>
      </c>
      <c r="L3047" t="s">
        <v>41</v>
      </c>
      <c r="M3047" t="s">
        <v>91</v>
      </c>
      <c r="N3047" t="s">
        <v>13</v>
      </c>
      <c r="O3047" t="s">
        <v>188</v>
      </c>
      <c r="P3047" s="1" t="s">
        <v>30</v>
      </c>
      <c r="Q3047">
        <v>128.1</v>
      </c>
    </row>
    <row r="3048" spans="1:17" x14ac:dyDescent="0.3">
      <c r="A3048">
        <v>2022</v>
      </c>
      <c r="B3048" t="s">
        <v>40</v>
      </c>
      <c r="C3048" t="s">
        <v>161</v>
      </c>
      <c r="D3048" s="1" t="s">
        <v>25</v>
      </c>
      <c r="E3048" s="4">
        <v>168.6</v>
      </c>
      <c r="F3048" s="4">
        <v>166.3</v>
      </c>
      <c r="G3048" s="4">
        <v>164.6</v>
      </c>
      <c r="H3048" s="1" t="s">
        <v>195</v>
      </c>
      <c r="K3048">
        <v>2016</v>
      </c>
      <c r="L3048" t="s">
        <v>41</v>
      </c>
      <c r="M3048" t="s">
        <v>91</v>
      </c>
      <c r="N3048" t="s">
        <v>13</v>
      </c>
      <c r="O3048" t="s">
        <v>188</v>
      </c>
      <c r="P3048" s="1" t="s">
        <v>34</v>
      </c>
      <c r="Q3048">
        <v>125.5</v>
      </c>
    </row>
    <row r="3049" spans="1:17" x14ac:dyDescent="0.3">
      <c r="A3049">
        <v>2022</v>
      </c>
      <c r="B3049" t="s">
        <v>40</v>
      </c>
      <c r="C3049" t="s">
        <v>161</v>
      </c>
      <c r="D3049" s="1" t="s">
        <v>12</v>
      </c>
      <c r="E3049" s="4">
        <v>191.8</v>
      </c>
      <c r="F3049" s="4">
        <v>190</v>
      </c>
      <c r="G3049" s="4">
        <v>186.3</v>
      </c>
      <c r="H3049" s="1" t="s">
        <v>188</v>
      </c>
      <c r="K3049">
        <v>2016</v>
      </c>
      <c r="L3049" t="s">
        <v>41</v>
      </c>
      <c r="M3049" t="s">
        <v>91</v>
      </c>
      <c r="N3049" t="s">
        <v>13</v>
      </c>
      <c r="O3049" t="s">
        <v>188</v>
      </c>
      <c r="P3049" s="1" t="s">
        <v>33</v>
      </c>
      <c r="Q3049">
        <v>121.9</v>
      </c>
    </row>
    <row r="3050" spans="1:17" x14ac:dyDescent="0.3">
      <c r="A3050">
        <v>2022</v>
      </c>
      <c r="B3050" t="s">
        <v>40</v>
      </c>
      <c r="C3050" t="s">
        <v>161</v>
      </c>
      <c r="D3050" s="1" t="s">
        <v>11</v>
      </c>
      <c r="E3050" s="4">
        <v>119.2</v>
      </c>
      <c r="F3050" s="4">
        <v>120</v>
      </c>
      <c r="G3050" s="4">
        <v>121.5</v>
      </c>
      <c r="H3050" s="1" t="s">
        <v>188</v>
      </c>
      <c r="K3050">
        <v>2016</v>
      </c>
      <c r="L3050" t="s">
        <v>41</v>
      </c>
      <c r="M3050" t="s">
        <v>91</v>
      </c>
      <c r="N3050" t="s">
        <v>7</v>
      </c>
      <c r="O3050" t="s">
        <v>188</v>
      </c>
      <c r="P3050" s="1" t="s">
        <v>30</v>
      </c>
      <c r="Q3050">
        <v>119.9</v>
      </c>
    </row>
    <row r="3051" spans="1:17" x14ac:dyDescent="0.3">
      <c r="A3051">
        <v>2022</v>
      </c>
      <c r="B3051" t="s">
        <v>40</v>
      </c>
      <c r="C3051" t="s">
        <v>161</v>
      </c>
      <c r="D3051" s="1" t="s">
        <v>24</v>
      </c>
      <c r="E3051" s="4">
        <v>166.3</v>
      </c>
      <c r="F3051" s="4">
        <v>161.6</v>
      </c>
      <c r="G3051" s="4">
        <v>157.4</v>
      </c>
      <c r="H3051" s="1" t="s">
        <v>191</v>
      </c>
      <c r="K3051">
        <v>2016</v>
      </c>
      <c r="L3051" t="s">
        <v>41</v>
      </c>
      <c r="M3051" t="s">
        <v>91</v>
      </c>
      <c r="N3051" t="s">
        <v>7</v>
      </c>
      <c r="O3051" t="s">
        <v>188</v>
      </c>
      <c r="P3051" s="1" t="s">
        <v>34</v>
      </c>
      <c r="Q3051">
        <v>116.9</v>
      </c>
    </row>
    <row r="3052" spans="1:17" x14ac:dyDescent="0.3">
      <c r="A3052">
        <v>2022</v>
      </c>
      <c r="B3052" t="s">
        <v>40</v>
      </c>
      <c r="C3052" t="s">
        <v>161</v>
      </c>
      <c r="D3052" s="1" t="s">
        <v>9</v>
      </c>
      <c r="E3052" s="4">
        <v>168.6</v>
      </c>
      <c r="F3052" s="4">
        <v>182.1</v>
      </c>
      <c r="G3052" s="4">
        <v>208.5</v>
      </c>
      <c r="H3052" s="1" t="s">
        <v>188</v>
      </c>
      <c r="K3052">
        <v>2016</v>
      </c>
      <c r="L3052" t="s">
        <v>41</v>
      </c>
      <c r="M3052" t="s">
        <v>91</v>
      </c>
      <c r="N3052" t="s">
        <v>7</v>
      </c>
      <c r="O3052" t="s">
        <v>188</v>
      </c>
      <c r="P3052" s="1" t="s">
        <v>33</v>
      </c>
      <c r="Q3052">
        <v>111.8</v>
      </c>
    </row>
    <row r="3053" spans="1:17" x14ac:dyDescent="0.3">
      <c r="A3053">
        <v>2022</v>
      </c>
      <c r="B3053" t="s">
        <v>39</v>
      </c>
      <c r="C3053" t="s">
        <v>162</v>
      </c>
      <c r="D3053" s="1" t="s">
        <v>3</v>
      </c>
      <c r="E3053" s="4">
        <v>153.80000000000001</v>
      </c>
      <c r="F3053" s="4">
        <v>155</v>
      </c>
      <c r="G3053" s="4">
        <v>157.5</v>
      </c>
      <c r="H3053" s="1" t="s">
        <v>188</v>
      </c>
      <c r="K3053">
        <v>2016</v>
      </c>
      <c r="L3053" t="s">
        <v>41</v>
      </c>
      <c r="M3053" t="s">
        <v>91</v>
      </c>
      <c r="N3053" t="s">
        <v>16</v>
      </c>
      <c r="O3053" t="s">
        <v>192</v>
      </c>
      <c r="P3053" s="1" t="s">
        <v>30</v>
      </c>
      <c r="Q3053">
        <v>138.9</v>
      </c>
    </row>
    <row r="3054" spans="1:17" x14ac:dyDescent="0.3">
      <c r="A3054">
        <v>2022</v>
      </c>
      <c r="B3054" t="s">
        <v>39</v>
      </c>
      <c r="C3054" t="s">
        <v>162</v>
      </c>
      <c r="D3054" s="1" t="s">
        <v>17</v>
      </c>
      <c r="E3054" s="4">
        <v>180.7</v>
      </c>
      <c r="F3054" s="4">
        <v>177.1</v>
      </c>
      <c r="G3054" s="4">
        <v>171.6</v>
      </c>
      <c r="H3054" s="1" t="s">
        <v>189</v>
      </c>
      <c r="K3054">
        <v>2016</v>
      </c>
      <c r="L3054" t="s">
        <v>41</v>
      </c>
      <c r="M3054" t="s">
        <v>91</v>
      </c>
      <c r="N3054" t="s">
        <v>16</v>
      </c>
      <c r="O3054" t="s">
        <v>192</v>
      </c>
      <c r="P3054" s="1" t="s">
        <v>34</v>
      </c>
      <c r="Q3054">
        <v>140.19999999999999</v>
      </c>
    </row>
    <row r="3055" spans="1:17" x14ac:dyDescent="0.3">
      <c r="A3055">
        <v>2022</v>
      </c>
      <c r="B3055" t="s">
        <v>39</v>
      </c>
      <c r="C3055" t="s">
        <v>162</v>
      </c>
      <c r="D3055" s="1" t="s">
        <v>19</v>
      </c>
      <c r="E3055" s="4">
        <v>180.4</v>
      </c>
      <c r="F3055" s="4">
        <v>176</v>
      </c>
      <c r="G3055" s="4">
        <v>169.4</v>
      </c>
      <c r="H3055" s="1" t="s">
        <v>189</v>
      </c>
      <c r="K3055">
        <v>2016</v>
      </c>
      <c r="L3055" t="s">
        <v>41</v>
      </c>
      <c r="M3055" t="s">
        <v>91</v>
      </c>
      <c r="N3055" t="s">
        <v>16</v>
      </c>
      <c r="O3055" t="s">
        <v>192</v>
      </c>
      <c r="P3055" s="1" t="s">
        <v>33</v>
      </c>
      <c r="Q3055">
        <v>143.6</v>
      </c>
    </row>
    <row r="3056" spans="1:17" x14ac:dyDescent="0.3">
      <c r="A3056">
        <v>2022</v>
      </c>
      <c r="B3056" t="s">
        <v>39</v>
      </c>
      <c r="C3056" t="s">
        <v>162</v>
      </c>
      <c r="D3056" s="1" t="s">
        <v>26</v>
      </c>
      <c r="E3056" s="4">
        <v>172.6</v>
      </c>
      <c r="F3056" s="4">
        <v>169</v>
      </c>
      <c r="G3056" s="4">
        <v>166.5</v>
      </c>
      <c r="H3056" s="1" t="s">
        <v>26</v>
      </c>
      <c r="K3056">
        <v>2016</v>
      </c>
      <c r="L3056" t="s">
        <v>41</v>
      </c>
      <c r="M3056" t="s">
        <v>91</v>
      </c>
      <c r="N3056" t="s">
        <v>27</v>
      </c>
      <c r="O3056" t="s">
        <v>192</v>
      </c>
      <c r="P3056" s="1" t="s">
        <v>30</v>
      </c>
      <c r="Q3056">
        <v>122</v>
      </c>
    </row>
    <row r="3057" spans="1:17" x14ac:dyDescent="0.3">
      <c r="A3057">
        <v>2022</v>
      </c>
      <c r="B3057" t="s">
        <v>39</v>
      </c>
      <c r="C3057" t="s">
        <v>162</v>
      </c>
      <c r="D3057" s="1" t="s">
        <v>5</v>
      </c>
      <c r="E3057" s="4">
        <v>169.6</v>
      </c>
      <c r="F3057" s="4">
        <v>170.8</v>
      </c>
      <c r="G3057" s="4">
        <v>172.8</v>
      </c>
      <c r="H3057" s="1" t="s">
        <v>188</v>
      </c>
      <c r="K3057">
        <v>2016</v>
      </c>
      <c r="L3057" t="s">
        <v>41</v>
      </c>
      <c r="M3057" t="s">
        <v>91</v>
      </c>
      <c r="N3057" t="s">
        <v>27</v>
      </c>
      <c r="O3057" t="s">
        <v>192</v>
      </c>
      <c r="P3057" s="1" t="s">
        <v>34</v>
      </c>
      <c r="Q3057">
        <v>121.5</v>
      </c>
    </row>
    <row r="3058" spans="1:17" x14ac:dyDescent="0.3">
      <c r="A3058">
        <v>2022</v>
      </c>
      <c r="B3058" t="s">
        <v>39</v>
      </c>
      <c r="C3058" t="s">
        <v>162</v>
      </c>
      <c r="D3058" s="1" t="s">
        <v>15</v>
      </c>
      <c r="E3058" s="4">
        <v>172.4</v>
      </c>
      <c r="F3058" s="4">
        <v>174.9</v>
      </c>
      <c r="G3058" s="4">
        <v>179.3</v>
      </c>
      <c r="H3058" s="1" t="s">
        <v>188</v>
      </c>
      <c r="K3058">
        <v>2016</v>
      </c>
      <c r="L3058" t="s">
        <v>41</v>
      </c>
      <c r="M3058" t="s">
        <v>91</v>
      </c>
      <c r="N3058" t="s">
        <v>27</v>
      </c>
      <c r="O3058" t="s">
        <v>192</v>
      </c>
      <c r="P3058" s="1" t="s">
        <v>33</v>
      </c>
      <c r="Q3058">
        <v>120.9</v>
      </c>
    </row>
    <row r="3059" spans="1:17" x14ac:dyDescent="0.3">
      <c r="A3059">
        <v>2022</v>
      </c>
      <c r="B3059" t="s">
        <v>39</v>
      </c>
      <c r="C3059" t="s">
        <v>162</v>
      </c>
      <c r="D3059" s="1" t="s">
        <v>18</v>
      </c>
      <c r="E3059" s="4">
        <v>178.7</v>
      </c>
      <c r="F3059" s="4">
        <v>169.9</v>
      </c>
      <c r="G3059" s="4">
        <v>157.4</v>
      </c>
      <c r="H3059" s="1" t="s">
        <v>189</v>
      </c>
      <c r="K3059">
        <v>2016</v>
      </c>
      <c r="L3059" t="s">
        <v>41</v>
      </c>
      <c r="M3059" t="s">
        <v>91</v>
      </c>
      <c r="N3059" t="s">
        <v>14</v>
      </c>
      <c r="O3059" t="s">
        <v>188</v>
      </c>
      <c r="P3059" s="1" t="s">
        <v>30</v>
      </c>
      <c r="Q3059">
        <v>140.69999999999999</v>
      </c>
    </row>
    <row r="3060" spans="1:17" x14ac:dyDescent="0.3">
      <c r="A3060">
        <v>2022</v>
      </c>
      <c r="B3060" t="s">
        <v>39</v>
      </c>
      <c r="C3060" t="s">
        <v>162</v>
      </c>
      <c r="D3060" s="1" t="s">
        <v>8</v>
      </c>
      <c r="E3060" s="4">
        <v>165.8</v>
      </c>
      <c r="F3060" s="4">
        <v>169.7</v>
      </c>
      <c r="G3060" s="4">
        <v>174.1</v>
      </c>
      <c r="H3060" s="1" t="s">
        <v>188</v>
      </c>
      <c r="K3060">
        <v>2016</v>
      </c>
      <c r="L3060" t="s">
        <v>41</v>
      </c>
      <c r="M3060" t="s">
        <v>91</v>
      </c>
      <c r="N3060" t="s">
        <v>14</v>
      </c>
      <c r="O3060" t="s">
        <v>188</v>
      </c>
      <c r="P3060" s="1" t="s">
        <v>34</v>
      </c>
      <c r="Q3060">
        <v>139.5</v>
      </c>
    </row>
    <row r="3061" spans="1:17" x14ac:dyDescent="0.3">
      <c r="A3061">
        <v>2022</v>
      </c>
      <c r="B3061" t="s">
        <v>39</v>
      </c>
      <c r="C3061" t="s">
        <v>162</v>
      </c>
      <c r="D3061" s="1" t="s">
        <v>21</v>
      </c>
      <c r="E3061" s="4">
        <v>176.7</v>
      </c>
      <c r="F3061" s="4">
        <v>176</v>
      </c>
      <c r="G3061" s="4">
        <v>174.9</v>
      </c>
      <c r="H3061" s="1" t="s">
        <v>190</v>
      </c>
      <c r="K3061">
        <v>2016</v>
      </c>
      <c r="L3061" t="s">
        <v>41</v>
      </c>
      <c r="M3061" t="s">
        <v>91</v>
      </c>
      <c r="N3061" t="s">
        <v>14</v>
      </c>
      <c r="O3061" t="s">
        <v>188</v>
      </c>
      <c r="P3061" s="1" t="s">
        <v>33</v>
      </c>
      <c r="Q3061">
        <v>138.1</v>
      </c>
    </row>
    <row r="3062" spans="1:17" x14ac:dyDescent="0.3">
      <c r="A3062">
        <v>2022</v>
      </c>
      <c r="B3062" t="s">
        <v>39</v>
      </c>
      <c r="C3062" t="s">
        <v>162</v>
      </c>
      <c r="D3062" s="1" t="s">
        <v>29</v>
      </c>
      <c r="E3062" s="4">
        <v>173.6</v>
      </c>
      <c r="F3062" s="4">
        <v>172.6</v>
      </c>
      <c r="G3062" s="4">
        <v>171.4</v>
      </c>
      <c r="H3062" s="1" t="s">
        <v>206</v>
      </c>
      <c r="K3062">
        <v>2016</v>
      </c>
      <c r="L3062" t="s">
        <v>41</v>
      </c>
      <c r="M3062" t="s">
        <v>91</v>
      </c>
      <c r="N3062" t="s">
        <v>10</v>
      </c>
      <c r="O3062" t="s">
        <v>188</v>
      </c>
      <c r="P3062" s="1" t="s">
        <v>30</v>
      </c>
      <c r="Q3062">
        <v>172.2</v>
      </c>
    </row>
    <row r="3063" spans="1:17" x14ac:dyDescent="0.3">
      <c r="A3063">
        <v>2022</v>
      </c>
      <c r="B3063" t="s">
        <v>39</v>
      </c>
      <c r="C3063" t="s">
        <v>162</v>
      </c>
      <c r="D3063" s="1" t="s">
        <v>23</v>
      </c>
      <c r="E3063" s="4">
        <v>178.2</v>
      </c>
      <c r="F3063" s="4">
        <v>175.4</v>
      </c>
      <c r="G3063" s="4">
        <v>170.9</v>
      </c>
      <c r="H3063" s="1" t="s">
        <v>23</v>
      </c>
      <c r="K3063">
        <v>2016</v>
      </c>
      <c r="L3063" t="s">
        <v>41</v>
      </c>
      <c r="M3063" t="s">
        <v>91</v>
      </c>
      <c r="N3063" t="s">
        <v>10</v>
      </c>
      <c r="O3063" t="s">
        <v>188</v>
      </c>
      <c r="P3063" s="1" t="s">
        <v>34</v>
      </c>
      <c r="Q3063">
        <v>175.6</v>
      </c>
    </row>
    <row r="3064" spans="1:17" x14ac:dyDescent="0.3">
      <c r="A3064">
        <v>2022</v>
      </c>
      <c r="B3064" t="s">
        <v>39</v>
      </c>
      <c r="C3064" t="s">
        <v>162</v>
      </c>
      <c r="D3064" s="1" t="s">
        <v>22</v>
      </c>
      <c r="E3064" s="4">
        <v>170.3</v>
      </c>
      <c r="F3064" s="4">
        <v>166.4</v>
      </c>
      <c r="G3064" s="4">
        <v>162.1</v>
      </c>
      <c r="H3064" s="1" t="s">
        <v>20</v>
      </c>
      <c r="K3064">
        <v>2016</v>
      </c>
      <c r="L3064" t="s">
        <v>41</v>
      </c>
      <c r="M3064" t="s">
        <v>91</v>
      </c>
      <c r="N3064" t="s">
        <v>10</v>
      </c>
      <c r="O3064" t="s">
        <v>188</v>
      </c>
      <c r="P3064" s="1" t="s">
        <v>33</v>
      </c>
      <c r="Q3064">
        <v>182.3</v>
      </c>
    </row>
    <row r="3065" spans="1:17" x14ac:dyDescent="0.3">
      <c r="A3065">
        <v>2022</v>
      </c>
      <c r="B3065" t="s">
        <v>39</v>
      </c>
      <c r="C3065" t="s">
        <v>162</v>
      </c>
      <c r="D3065" s="1" t="s">
        <v>20</v>
      </c>
      <c r="E3065" s="4">
        <v>0</v>
      </c>
      <c r="F3065" s="4">
        <v>166.8</v>
      </c>
      <c r="G3065" s="4">
        <v>166.8</v>
      </c>
      <c r="H3065" s="1" t="s">
        <v>20</v>
      </c>
      <c r="K3065">
        <v>2016</v>
      </c>
      <c r="L3065" t="s">
        <v>41</v>
      </c>
      <c r="M3065" t="s">
        <v>91</v>
      </c>
      <c r="N3065" t="s">
        <v>25</v>
      </c>
      <c r="O3065" t="s">
        <v>195</v>
      </c>
      <c r="P3065" s="1" t="s">
        <v>30</v>
      </c>
      <c r="Q3065">
        <v>125.5</v>
      </c>
    </row>
    <row r="3066" spans="1:17" x14ac:dyDescent="0.3">
      <c r="A3066">
        <v>2022</v>
      </c>
      <c r="B3066" t="s">
        <v>39</v>
      </c>
      <c r="C3066" t="s">
        <v>162</v>
      </c>
      <c r="D3066" s="1" t="s">
        <v>4</v>
      </c>
      <c r="E3066" s="4">
        <v>217.2</v>
      </c>
      <c r="F3066" s="4">
        <v>219.4</v>
      </c>
      <c r="G3066" s="4">
        <v>223.4</v>
      </c>
      <c r="H3066" s="1" t="s">
        <v>188</v>
      </c>
      <c r="K3066">
        <v>2016</v>
      </c>
      <c r="L3066" t="s">
        <v>41</v>
      </c>
      <c r="M3066" t="s">
        <v>91</v>
      </c>
      <c r="N3066" t="s">
        <v>25</v>
      </c>
      <c r="O3066" t="s">
        <v>195</v>
      </c>
      <c r="P3066" s="1" t="s">
        <v>34</v>
      </c>
      <c r="Q3066">
        <v>122.7</v>
      </c>
    </row>
    <row r="3067" spans="1:17" x14ac:dyDescent="0.3">
      <c r="A3067">
        <v>2022</v>
      </c>
      <c r="B3067" t="s">
        <v>39</v>
      </c>
      <c r="C3067" t="s">
        <v>162</v>
      </c>
      <c r="D3067" s="1" t="s">
        <v>6</v>
      </c>
      <c r="E3067" s="4">
        <v>165.4</v>
      </c>
      <c r="F3067" s="4">
        <v>165.8</v>
      </c>
      <c r="G3067" s="4">
        <v>166.4</v>
      </c>
      <c r="H3067" s="1" t="s">
        <v>188</v>
      </c>
      <c r="K3067">
        <v>2016</v>
      </c>
      <c r="L3067" t="s">
        <v>41</v>
      </c>
      <c r="M3067" t="s">
        <v>91</v>
      </c>
      <c r="N3067" t="s">
        <v>25</v>
      </c>
      <c r="O3067" t="s">
        <v>195</v>
      </c>
      <c r="P3067" s="1" t="s">
        <v>33</v>
      </c>
      <c r="Q3067">
        <v>120.6</v>
      </c>
    </row>
    <row r="3068" spans="1:17" x14ac:dyDescent="0.3">
      <c r="A3068">
        <v>2022</v>
      </c>
      <c r="B3068" t="s">
        <v>39</v>
      </c>
      <c r="C3068" t="s">
        <v>162</v>
      </c>
      <c r="D3068" s="1" t="s">
        <v>28</v>
      </c>
      <c r="E3068" s="4">
        <v>171</v>
      </c>
      <c r="F3068" s="4">
        <v>167.5</v>
      </c>
      <c r="G3068" s="4">
        <v>163.80000000000001</v>
      </c>
      <c r="H3068" s="1" t="s">
        <v>192</v>
      </c>
      <c r="K3068">
        <v>2016</v>
      </c>
      <c r="L3068" t="s">
        <v>41</v>
      </c>
      <c r="M3068" t="s">
        <v>91</v>
      </c>
      <c r="N3068" t="s">
        <v>12</v>
      </c>
      <c r="O3068" t="s">
        <v>188</v>
      </c>
      <c r="P3068" s="1" t="s">
        <v>30</v>
      </c>
      <c r="Q3068">
        <v>134.9</v>
      </c>
    </row>
    <row r="3069" spans="1:17" x14ac:dyDescent="0.3">
      <c r="A3069">
        <v>2022</v>
      </c>
      <c r="B3069" t="s">
        <v>39</v>
      </c>
      <c r="C3069" t="s">
        <v>162</v>
      </c>
      <c r="D3069" s="1" t="s">
        <v>13</v>
      </c>
      <c r="E3069" s="4">
        <v>174.2</v>
      </c>
      <c r="F3069" s="4">
        <v>167.9</v>
      </c>
      <c r="G3069" s="4">
        <v>159.1</v>
      </c>
      <c r="H3069" s="1" t="s">
        <v>188</v>
      </c>
      <c r="K3069">
        <v>2016</v>
      </c>
      <c r="L3069" t="s">
        <v>41</v>
      </c>
      <c r="M3069" t="s">
        <v>91</v>
      </c>
      <c r="N3069" t="s">
        <v>12</v>
      </c>
      <c r="O3069" t="s">
        <v>188</v>
      </c>
      <c r="P3069" s="1" t="s">
        <v>34</v>
      </c>
      <c r="Q3069">
        <v>138.1</v>
      </c>
    </row>
    <row r="3070" spans="1:17" x14ac:dyDescent="0.3">
      <c r="A3070">
        <v>2022</v>
      </c>
      <c r="B3070" t="s">
        <v>39</v>
      </c>
      <c r="C3070" t="s">
        <v>162</v>
      </c>
      <c r="D3070" s="1" t="s">
        <v>7</v>
      </c>
      <c r="E3070" s="4">
        <v>208.1</v>
      </c>
      <c r="F3070" s="4">
        <v>200.9</v>
      </c>
      <c r="G3070" s="4">
        <v>188.6</v>
      </c>
      <c r="H3070" s="1" t="s">
        <v>188</v>
      </c>
      <c r="K3070">
        <v>2016</v>
      </c>
      <c r="L3070" t="s">
        <v>41</v>
      </c>
      <c r="M3070" t="s">
        <v>91</v>
      </c>
      <c r="N3070" t="s">
        <v>12</v>
      </c>
      <c r="O3070" t="s">
        <v>188</v>
      </c>
      <c r="P3070" s="1" t="s">
        <v>33</v>
      </c>
      <c r="Q3070">
        <v>144.6</v>
      </c>
    </row>
    <row r="3071" spans="1:17" x14ac:dyDescent="0.3">
      <c r="A3071">
        <v>2022</v>
      </c>
      <c r="B3071" t="s">
        <v>39</v>
      </c>
      <c r="C3071" t="s">
        <v>162</v>
      </c>
      <c r="D3071" s="1" t="s">
        <v>16</v>
      </c>
      <c r="E3071" s="4">
        <v>192.9</v>
      </c>
      <c r="F3071" s="4">
        <v>194.3</v>
      </c>
      <c r="G3071" s="4">
        <v>198.3</v>
      </c>
      <c r="H3071" s="1" t="s">
        <v>192</v>
      </c>
      <c r="K3071">
        <v>2016</v>
      </c>
      <c r="L3071" t="s">
        <v>41</v>
      </c>
      <c r="M3071" t="s">
        <v>91</v>
      </c>
      <c r="N3071" t="s">
        <v>11</v>
      </c>
      <c r="O3071" t="s">
        <v>188</v>
      </c>
      <c r="P3071" s="1" t="s">
        <v>30</v>
      </c>
      <c r="Q3071">
        <v>112.1</v>
      </c>
    </row>
    <row r="3072" spans="1:17" x14ac:dyDescent="0.3">
      <c r="A3072">
        <v>2022</v>
      </c>
      <c r="B3072" t="s">
        <v>39</v>
      </c>
      <c r="C3072" t="s">
        <v>162</v>
      </c>
      <c r="D3072" s="1" t="s">
        <v>27</v>
      </c>
      <c r="E3072" s="4">
        <v>169.5</v>
      </c>
      <c r="F3072" s="4">
        <v>169.4</v>
      </c>
      <c r="G3072" s="4">
        <v>169.2</v>
      </c>
      <c r="H3072" s="1" t="s">
        <v>192</v>
      </c>
      <c r="K3072">
        <v>2016</v>
      </c>
      <c r="L3072" t="s">
        <v>41</v>
      </c>
      <c r="M3072" t="s">
        <v>91</v>
      </c>
      <c r="N3072" t="s">
        <v>11</v>
      </c>
      <c r="O3072" t="s">
        <v>188</v>
      </c>
      <c r="P3072" s="1" t="s">
        <v>34</v>
      </c>
      <c r="Q3072">
        <v>112.9</v>
      </c>
    </row>
    <row r="3073" spans="1:17" x14ac:dyDescent="0.3">
      <c r="A3073">
        <v>2022</v>
      </c>
      <c r="B3073" t="s">
        <v>39</v>
      </c>
      <c r="C3073" t="s">
        <v>162</v>
      </c>
      <c r="D3073" s="1" t="s">
        <v>14</v>
      </c>
      <c r="E3073" s="4">
        <v>181.9</v>
      </c>
      <c r="F3073" s="4">
        <v>183.9</v>
      </c>
      <c r="G3073" s="4">
        <v>186.3</v>
      </c>
      <c r="H3073" s="1" t="s">
        <v>188</v>
      </c>
      <c r="K3073">
        <v>2016</v>
      </c>
      <c r="L3073" t="s">
        <v>41</v>
      </c>
      <c r="M3073" t="s">
        <v>91</v>
      </c>
      <c r="N3073" t="s">
        <v>11</v>
      </c>
      <c r="O3073" t="s">
        <v>188</v>
      </c>
      <c r="P3073" s="1" t="s">
        <v>33</v>
      </c>
      <c r="Q3073">
        <v>114.6</v>
      </c>
    </row>
    <row r="3074" spans="1:17" x14ac:dyDescent="0.3">
      <c r="A3074">
        <v>2022</v>
      </c>
      <c r="B3074" t="s">
        <v>39</v>
      </c>
      <c r="C3074" t="s">
        <v>162</v>
      </c>
      <c r="D3074" s="1" t="s">
        <v>10</v>
      </c>
      <c r="E3074" s="4">
        <v>164.6</v>
      </c>
      <c r="F3074" s="4">
        <v>164.3</v>
      </c>
      <c r="G3074" s="4">
        <v>163.6</v>
      </c>
      <c r="H3074" s="1" t="s">
        <v>188</v>
      </c>
      <c r="K3074">
        <v>2016</v>
      </c>
      <c r="L3074" t="s">
        <v>41</v>
      </c>
      <c r="M3074" t="s">
        <v>91</v>
      </c>
      <c r="N3074" t="s">
        <v>24</v>
      </c>
      <c r="O3074" t="s">
        <v>191</v>
      </c>
      <c r="P3074" s="1" t="s">
        <v>30</v>
      </c>
      <c r="Q3074">
        <v>116</v>
      </c>
    </row>
    <row r="3075" spans="1:17" x14ac:dyDescent="0.3">
      <c r="A3075">
        <v>2022</v>
      </c>
      <c r="B3075" t="s">
        <v>39</v>
      </c>
      <c r="C3075" t="s">
        <v>162</v>
      </c>
      <c r="D3075" s="1" t="s">
        <v>25</v>
      </c>
      <c r="E3075" s="4">
        <v>168</v>
      </c>
      <c r="F3075" s="4">
        <v>165.8</v>
      </c>
      <c r="G3075" s="4">
        <v>164.1</v>
      </c>
      <c r="H3075" s="1" t="s">
        <v>195</v>
      </c>
      <c r="K3075">
        <v>2016</v>
      </c>
      <c r="L3075" t="s">
        <v>41</v>
      </c>
      <c r="M3075" t="s">
        <v>91</v>
      </c>
      <c r="N3075" t="s">
        <v>24</v>
      </c>
      <c r="O3075" t="s">
        <v>191</v>
      </c>
      <c r="P3075" s="1" t="s">
        <v>34</v>
      </c>
      <c r="Q3075">
        <v>113.1</v>
      </c>
    </row>
    <row r="3076" spans="1:17" x14ac:dyDescent="0.3">
      <c r="A3076">
        <v>2022</v>
      </c>
      <c r="B3076" t="s">
        <v>39</v>
      </c>
      <c r="C3076" t="s">
        <v>162</v>
      </c>
      <c r="D3076" s="1" t="s">
        <v>12</v>
      </c>
      <c r="E3076" s="4">
        <v>188.9</v>
      </c>
      <c r="F3076" s="4">
        <v>187.1</v>
      </c>
      <c r="G3076" s="4">
        <v>183.5</v>
      </c>
      <c r="H3076" s="1" t="s">
        <v>188</v>
      </c>
      <c r="K3076">
        <v>2016</v>
      </c>
      <c r="L3076" t="s">
        <v>41</v>
      </c>
      <c r="M3076" t="s">
        <v>91</v>
      </c>
      <c r="N3076" t="s">
        <v>24</v>
      </c>
      <c r="O3076" t="s">
        <v>191</v>
      </c>
      <c r="P3076" s="1" t="s">
        <v>33</v>
      </c>
      <c r="Q3076">
        <v>110.4</v>
      </c>
    </row>
    <row r="3077" spans="1:17" x14ac:dyDescent="0.3">
      <c r="A3077">
        <v>2022</v>
      </c>
      <c r="B3077" t="s">
        <v>39</v>
      </c>
      <c r="C3077" t="s">
        <v>162</v>
      </c>
      <c r="D3077" s="1" t="s">
        <v>11</v>
      </c>
      <c r="E3077" s="4">
        <v>119.1</v>
      </c>
      <c r="F3077" s="4">
        <v>119.9</v>
      </c>
      <c r="G3077" s="4">
        <v>121.4</v>
      </c>
      <c r="H3077" s="1" t="s">
        <v>188</v>
      </c>
      <c r="K3077">
        <v>2016</v>
      </c>
      <c r="L3077" t="s">
        <v>41</v>
      </c>
      <c r="M3077" t="s">
        <v>91</v>
      </c>
      <c r="N3077" t="s">
        <v>9</v>
      </c>
      <c r="O3077" t="s">
        <v>188</v>
      </c>
      <c r="P3077" s="1" t="s">
        <v>30</v>
      </c>
      <c r="Q3077">
        <v>156.9</v>
      </c>
    </row>
    <row r="3078" spans="1:17" x14ac:dyDescent="0.3">
      <c r="A3078">
        <v>2022</v>
      </c>
      <c r="B3078" t="s">
        <v>39</v>
      </c>
      <c r="C3078" t="s">
        <v>162</v>
      </c>
      <c r="D3078" s="1" t="s">
        <v>24</v>
      </c>
      <c r="E3078" s="4">
        <v>165.5</v>
      </c>
      <c r="F3078" s="4">
        <v>161.1</v>
      </c>
      <c r="G3078" s="4">
        <v>157.19999999999999</v>
      </c>
      <c r="H3078" s="1" t="s">
        <v>191</v>
      </c>
      <c r="K3078">
        <v>2016</v>
      </c>
      <c r="L3078" t="s">
        <v>41</v>
      </c>
      <c r="M3078" t="s">
        <v>91</v>
      </c>
      <c r="N3078" t="s">
        <v>9</v>
      </c>
      <c r="O3078" t="s">
        <v>188</v>
      </c>
      <c r="P3078" s="1" t="s">
        <v>34</v>
      </c>
      <c r="Q3078">
        <v>159.1</v>
      </c>
    </row>
    <row r="3079" spans="1:17" x14ac:dyDescent="0.3">
      <c r="A3079">
        <v>2022</v>
      </c>
      <c r="B3079" t="s">
        <v>39</v>
      </c>
      <c r="C3079" t="s">
        <v>162</v>
      </c>
      <c r="D3079" s="1" t="s">
        <v>9</v>
      </c>
      <c r="E3079" s="4">
        <v>167.3</v>
      </c>
      <c r="F3079" s="4">
        <v>182.3</v>
      </c>
      <c r="G3079" s="4">
        <v>211.5</v>
      </c>
      <c r="H3079" s="1" t="s">
        <v>188</v>
      </c>
      <c r="K3079">
        <v>2016</v>
      </c>
      <c r="L3079" t="s">
        <v>41</v>
      </c>
      <c r="M3079" t="s">
        <v>91</v>
      </c>
      <c r="N3079" t="s">
        <v>9</v>
      </c>
      <c r="O3079" t="s">
        <v>188</v>
      </c>
      <c r="P3079" s="1" t="s">
        <v>33</v>
      </c>
      <c r="Q3079">
        <v>163.5</v>
      </c>
    </row>
    <row r="3080" spans="1:17" x14ac:dyDescent="0.3">
      <c r="A3080">
        <v>2022</v>
      </c>
      <c r="B3080" t="s">
        <v>36</v>
      </c>
      <c r="C3080" t="s">
        <v>163</v>
      </c>
      <c r="D3080" s="1" t="s">
        <v>3</v>
      </c>
      <c r="E3080" s="4">
        <v>150.19999999999999</v>
      </c>
      <c r="F3080" s="4">
        <v>151.30000000000001</v>
      </c>
      <c r="G3080" s="4">
        <v>153.69999999999999</v>
      </c>
      <c r="H3080" s="1" t="s">
        <v>188</v>
      </c>
      <c r="K3080">
        <v>2016</v>
      </c>
      <c r="L3080" t="s">
        <v>45</v>
      </c>
      <c r="M3080" t="s">
        <v>92</v>
      </c>
      <c r="N3080" t="s">
        <v>3</v>
      </c>
      <c r="O3080" t="s">
        <v>188</v>
      </c>
      <c r="P3080" s="1" t="s">
        <v>30</v>
      </c>
      <c r="Q3080">
        <v>132.6</v>
      </c>
    </row>
    <row r="3081" spans="1:17" x14ac:dyDescent="0.3">
      <c r="A3081">
        <v>2022</v>
      </c>
      <c r="B3081" t="s">
        <v>36</v>
      </c>
      <c r="C3081" t="s">
        <v>163</v>
      </c>
      <c r="D3081" s="1" t="s">
        <v>17</v>
      </c>
      <c r="E3081" s="4">
        <v>175.4</v>
      </c>
      <c r="F3081" s="4">
        <v>172.1</v>
      </c>
      <c r="G3081" s="4">
        <v>167.1</v>
      </c>
      <c r="H3081" s="1" t="s">
        <v>189</v>
      </c>
      <c r="K3081">
        <v>2016</v>
      </c>
      <c r="L3081" t="s">
        <v>45</v>
      </c>
      <c r="M3081" t="s">
        <v>92</v>
      </c>
      <c r="N3081" t="s">
        <v>3</v>
      </c>
      <c r="O3081" t="s">
        <v>188</v>
      </c>
      <c r="P3081" s="1" t="s">
        <v>34</v>
      </c>
      <c r="Q3081">
        <v>132.30000000000001</v>
      </c>
    </row>
    <row r="3082" spans="1:17" x14ac:dyDescent="0.3">
      <c r="A3082">
        <v>2022</v>
      </c>
      <c r="B3082" t="s">
        <v>36</v>
      </c>
      <c r="C3082" t="s">
        <v>163</v>
      </c>
      <c r="D3082" s="1" t="s">
        <v>19</v>
      </c>
      <c r="E3082" s="4">
        <v>175.1</v>
      </c>
      <c r="F3082" s="4">
        <v>171.1</v>
      </c>
      <c r="G3082" s="4">
        <v>164.9</v>
      </c>
      <c r="H3082" s="1" t="s">
        <v>189</v>
      </c>
      <c r="K3082">
        <v>2016</v>
      </c>
      <c r="L3082" t="s">
        <v>45</v>
      </c>
      <c r="M3082" t="s">
        <v>92</v>
      </c>
      <c r="N3082" t="s">
        <v>3</v>
      </c>
      <c r="O3082" t="s">
        <v>188</v>
      </c>
      <c r="P3082" s="1" t="s">
        <v>33</v>
      </c>
      <c r="Q3082">
        <v>131.6</v>
      </c>
    </row>
    <row r="3083" spans="1:17" x14ac:dyDescent="0.3">
      <c r="A3083">
        <v>2022</v>
      </c>
      <c r="B3083" t="s">
        <v>36</v>
      </c>
      <c r="C3083" t="s">
        <v>163</v>
      </c>
      <c r="D3083" s="1" t="s">
        <v>26</v>
      </c>
      <c r="E3083" s="4">
        <v>170.6</v>
      </c>
      <c r="F3083" s="4">
        <v>166</v>
      </c>
      <c r="G3083" s="4">
        <v>162.69999999999999</v>
      </c>
      <c r="H3083" s="1" t="s">
        <v>26</v>
      </c>
      <c r="K3083">
        <v>2016</v>
      </c>
      <c r="L3083" t="s">
        <v>45</v>
      </c>
      <c r="M3083" t="s">
        <v>92</v>
      </c>
      <c r="N3083" t="s">
        <v>17</v>
      </c>
      <c r="O3083" t="s">
        <v>189</v>
      </c>
      <c r="P3083" s="1" t="s">
        <v>30</v>
      </c>
      <c r="Q3083">
        <v>140.4</v>
      </c>
    </row>
    <row r="3084" spans="1:17" x14ac:dyDescent="0.3">
      <c r="A3084">
        <v>2022</v>
      </c>
      <c r="B3084" t="s">
        <v>36</v>
      </c>
      <c r="C3084" t="s">
        <v>163</v>
      </c>
      <c r="D3084" s="1" t="s">
        <v>5</v>
      </c>
      <c r="E3084" s="4">
        <v>167.9</v>
      </c>
      <c r="F3084" s="4">
        <v>167.8</v>
      </c>
      <c r="G3084" s="4">
        <v>167.7</v>
      </c>
      <c r="H3084" s="1" t="s">
        <v>188</v>
      </c>
      <c r="K3084">
        <v>2016</v>
      </c>
      <c r="L3084" t="s">
        <v>45</v>
      </c>
      <c r="M3084" t="s">
        <v>92</v>
      </c>
      <c r="N3084" t="s">
        <v>17</v>
      </c>
      <c r="O3084" t="s">
        <v>189</v>
      </c>
      <c r="P3084" s="1" t="s">
        <v>34</v>
      </c>
      <c r="Q3084">
        <v>136.30000000000001</v>
      </c>
    </row>
    <row r="3085" spans="1:17" x14ac:dyDescent="0.3">
      <c r="A3085">
        <v>2022</v>
      </c>
      <c r="B3085" t="s">
        <v>36</v>
      </c>
      <c r="C3085" t="s">
        <v>163</v>
      </c>
      <c r="D3085" s="1" t="s">
        <v>15</v>
      </c>
      <c r="E3085" s="4">
        <v>166.6</v>
      </c>
      <c r="F3085" s="4">
        <v>168.4</v>
      </c>
      <c r="G3085" s="4">
        <v>171.5</v>
      </c>
      <c r="H3085" s="1" t="s">
        <v>188</v>
      </c>
      <c r="K3085">
        <v>2016</v>
      </c>
      <c r="L3085" t="s">
        <v>45</v>
      </c>
      <c r="M3085" t="s">
        <v>92</v>
      </c>
      <c r="N3085" t="s">
        <v>17</v>
      </c>
      <c r="O3085" t="s">
        <v>189</v>
      </c>
      <c r="P3085" s="1" t="s">
        <v>33</v>
      </c>
      <c r="Q3085">
        <v>130</v>
      </c>
    </row>
    <row r="3086" spans="1:17" x14ac:dyDescent="0.3">
      <c r="A3086">
        <v>2022</v>
      </c>
      <c r="B3086" t="s">
        <v>36</v>
      </c>
      <c r="C3086" t="s">
        <v>163</v>
      </c>
      <c r="D3086" s="1" t="s">
        <v>18</v>
      </c>
      <c r="E3086" s="4">
        <v>173.2</v>
      </c>
      <c r="F3086" s="4">
        <v>164.6</v>
      </c>
      <c r="G3086" s="4">
        <v>152.6</v>
      </c>
      <c r="H3086" s="1" t="s">
        <v>189</v>
      </c>
      <c r="K3086">
        <v>2016</v>
      </c>
      <c r="L3086" t="s">
        <v>45</v>
      </c>
      <c r="M3086" t="s">
        <v>92</v>
      </c>
      <c r="N3086" t="s">
        <v>19</v>
      </c>
      <c r="O3086" t="s">
        <v>189</v>
      </c>
      <c r="P3086" s="1" t="s">
        <v>30</v>
      </c>
      <c r="Q3086">
        <v>139.69999999999999</v>
      </c>
    </row>
    <row r="3087" spans="1:17" x14ac:dyDescent="0.3">
      <c r="A3087">
        <v>2022</v>
      </c>
      <c r="B3087" t="s">
        <v>36</v>
      </c>
      <c r="C3087" t="s">
        <v>163</v>
      </c>
      <c r="D3087" s="1" t="s">
        <v>8</v>
      </c>
      <c r="E3087" s="4">
        <v>155.9</v>
      </c>
      <c r="F3087" s="4">
        <v>157.6</v>
      </c>
      <c r="G3087" s="4">
        <v>159.6</v>
      </c>
      <c r="H3087" s="1" t="s">
        <v>188</v>
      </c>
      <c r="K3087">
        <v>2016</v>
      </c>
      <c r="L3087" t="s">
        <v>45</v>
      </c>
      <c r="M3087" t="s">
        <v>92</v>
      </c>
      <c r="N3087" t="s">
        <v>19</v>
      </c>
      <c r="O3087" t="s">
        <v>189</v>
      </c>
      <c r="P3087" s="1" t="s">
        <v>34</v>
      </c>
      <c r="Q3087">
        <v>135.4</v>
      </c>
    </row>
    <row r="3088" spans="1:17" x14ac:dyDescent="0.3">
      <c r="A3088">
        <v>2022</v>
      </c>
      <c r="B3088" t="s">
        <v>36</v>
      </c>
      <c r="C3088" t="s">
        <v>163</v>
      </c>
      <c r="D3088" s="1" t="s">
        <v>21</v>
      </c>
      <c r="E3088" s="4">
        <v>168.9</v>
      </c>
      <c r="F3088" s="4">
        <v>167.2</v>
      </c>
      <c r="G3088" s="4">
        <v>164.5</v>
      </c>
      <c r="H3088" s="1" t="s">
        <v>190</v>
      </c>
      <c r="K3088">
        <v>2016</v>
      </c>
      <c r="L3088" t="s">
        <v>45</v>
      </c>
      <c r="M3088" t="s">
        <v>92</v>
      </c>
      <c r="N3088" t="s">
        <v>19</v>
      </c>
      <c r="O3088" t="s">
        <v>189</v>
      </c>
      <c r="P3088" s="1" t="s">
        <v>33</v>
      </c>
      <c r="Q3088">
        <v>128.80000000000001</v>
      </c>
    </row>
    <row r="3089" spans="1:17" x14ac:dyDescent="0.3">
      <c r="A3089">
        <v>2022</v>
      </c>
      <c r="B3089" t="s">
        <v>36</v>
      </c>
      <c r="C3089" t="s">
        <v>163</v>
      </c>
      <c r="D3089" s="1" t="s">
        <v>29</v>
      </c>
      <c r="E3089" s="4">
        <v>168.7</v>
      </c>
      <c r="F3089" s="4">
        <v>167.7</v>
      </c>
      <c r="G3089" s="4">
        <v>166.5</v>
      </c>
      <c r="H3089" s="1" t="s">
        <v>206</v>
      </c>
      <c r="K3089">
        <v>2016</v>
      </c>
      <c r="L3089" t="s">
        <v>45</v>
      </c>
      <c r="M3089" t="s">
        <v>92</v>
      </c>
      <c r="N3089" t="s">
        <v>26</v>
      </c>
      <c r="O3089" t="s">
        <v>26</v>
      </c>
      <c r="P3089" s="1" t="s">
        <v>30</v>
      </c>
      <c r="Q3089">
        <v>134.19999999999999</v>
      </c>
    </row>
    <row r="3090" spans="1:17" x14ac:dyDescent="0.3">
      <c r="A3090">
        <v>2022</v>
      </c>
      <c r="B3090" t="s">
        <v>36</v>
      </c>
      <c r="C3090" t="s">
        <v>163</v>
      </c>
      <c r="D3090" s="1" t="s">
        <v>23</v>
      </c>
      <c r="E3090" s="4">
        <v>176</v>
      </c>
      <c r="F3090" s="4">
        <v>173</v>
      </c>
      <c r="G3090" s="4">
        <v>168.2</v>
      </c>
      <c r="H3090" s="1" t="s">
        <v>23</v>
      </c>
      <c r="K3090">
        <v>2016</v>
      </c>
      <c r="L3090" t="s">
        <v>45</v>
      </c>
      <c r="M3090" t="s">
        <v>92</v>
      </c>
      <c r="N3090" t="s">
        <v>26</v>
      </c>
      <c r="O3090" t="s">
        <v>26</v>
      </c>
      <c r="P3090" s="1" t="s">
        <v>34</v>
      </c>
      <c r="Q3090">
        <v>133.1</v>
      </c>
    </row>
    <row r="3091" spans="1:17" x14ac:dyDescent="0.3">
      <c r="A3091">
        <v>2022</v>
      </c>
      <c r="B3091" t="s">
        <v>36</v>
      </c>
      <c r="C3091" t="s">
        <v>163</v>
      </c>
      <c r="D3091" s="1" t="s">
        <v>22</v>
      </c>
      <c r="E3091" s="4">
        <v>166.5</v>
      </c>
      <c r="F3091" s="4">
        <v>162.80000000000001</v>
      </c>
      <c r="G3091" s="4">
        <v>158.6</v>
      </c>
      <c r="H3091" s="1" t="s">
        <v>20</v>
      </c>
      <c r="K3091">
        <v>2016</v>
      </c>
      <c r="L3091" t="s">
        <v>45</v>
      </c>
      <c r="M3091" t="s">
        <v>92</v>
      </c>
      <c r="N3091" t="s">
        <v>26</v>
      </c>
      <c r="O3091" t="s">
        <v>26</v>
      </c>
      <c r="P3091" s="1" t="s">
        <v>33</v>
      </c>
      <c r="Q3091">
        <v>132.30000000000001</v>
      </c>
    </row>
    <row r="3092" spans="1:17" x14ac:dyDescent="0.3">
      <c r="A3092">
        <v>2022</v>
      </c>
      <c r="B3092" t="s">
        <v>36</v>
      </c>
      <c r="C3092" t="s">
        <v>163</v>
      </c>
      <c r="D3092" s="1" t="s">
        <v>20</v>
      </c>
      <c r="E3092" s="4">
        <v>0</v>
      </c>
      <c r="F3092" s="4">
        <v>165.3</v>
      </c>
      <c r="G3092" s="4">
        <v>165.3</v>
      </c>
      <c r="H3092" s="1" t="s">
        <v>20</v>
      </c>
      <c r="K3092">
        <v>2016</v>
      </c>
      <c r="L3092" t="s">
        <v>45</v>
      </c>
      <c r="M3092" t="s">
        <v>92</v>
      </c>
      <c r="N3092" t="s">
        <v>5</v>
      </c>
      <c r="O3092" t="s">
        <v>188</v>
      </c>
      <c r="P3092" s="1" t="s">
        <v>30</v>
      </c>
      <c r="Q3092">
        <v>131.6</v>
      </c>
    </row>
    <row r="3093" spans="1:17" x14ac:dyDescent="0.3">
      <c r="A3093">
        <v>2022</v>
      </c>
      <c r="B3093" t="s">
        <v>36</v>
      </c>
      <c r="C3093" t="s">
        <v>163</v>
      </c>
      <c r="D3093" s="1" t="s">
        <v>4</v>
      </c>
      <c r="E3093" s="4">
        <v>208</v>
      </c>
      <c r="F3093" s="4">
        <v>210.7</v>
      </c>
      <c r="G3093" s="4">
        <v>215.8</v>
      </c>
      <c r="H3093" s="1" t="s">
        <v>188</v>
      </c>
      <c r="K3093">
        <v>2016</v>
      </c>
      <c r="L3093" t="s">
        <v>45</v>
      </c>
      <c r="M3093" t="s">
        <v>92</v>
      </c>
      <c r="N3093" t="s">
        <v>5</v>
      </c>
      <c r="O3093" t="s">
        <v>188</v>
      </c>
      <c r="P3093" s="1" t="s">
        <v>34</v>
      </c>
      <c r="Q3093">
        <v>132.9</v>
      </c>
    </row>
    <row r="3094" spans="1:17" x14ac:dyDescent="0.3">
      <c r="A3094">
        <v>2022</v>
      </c>
      <c r="B3094" t="s">
        <v>36</v>
      </c>
      <c r="C3094" t="s">
        <v>163</v>
      </c>
      <c r="D3094" s="1" t="s">
        <v>6</v>
      </c>
      <c r="E3094" s="4">
        <v>162</v>
      </c>
      <c r="F3094" s="4">
        <v>162.19999999999999</v>
      </c>
      <c r="G3094" s="4">
        <v>162.6</v>
      </c>
      <c r="H3094" s="1" t="s">
        <v>188</v>
      </c>
      <c r="K3094">
        <v>2016</v>
      </c>
      <c r="L3094" t="s">
        <v>45</v>
      </c>
      <c r="M3094" t="s">
        <v>92</v>
      </c>
      <c r="N3094" t="s">
        <v>5</v>
      </c>
      <c r="O3094" t="s">
        <v>188</v>
      </c>
      <c r="P3094" s="1" t="s">
        <v>33</v>
      </c>
      <c r="Q3094">
        <v>134.9</v>
      </c>
    </row>
    <row r="3095" spans="1:17" x14ac:dyDescent="0.3">
      <c r="A3095">
        <v>2022</v>
      </c>
      <c r="B3095" t="s">
        <v>36</v>
      </c>
      <c r="C3095" t="s">
        <v>163</v>
      </c>
      <c r="D3095" s="1" t="s">
        <v>28</v>
      </c>
      <c r="E3095" s="4">
        <v>168.3</v>
      </c>
      <c r="F3095" s="4">
        <v>164.6</v>
      </c>
      <c r="G3095" s="4">
        <v>160.6</v>
      </c>
      <c r="H3095" s="1" t="s">
        <v>192</v>
      </c>
      <c r="K3095">
        <v>2016</v>
      </c>
      <c r="L3095" t="s">
        <v>45</v>
      </c>
      <c r="M3095" t="s">
        <v>92</v>
      </c>
      <c r="N3095" t="s">
        <v>15</v>
      </c>
      <c r="O3095" t="s">
        <v>188</v>
      </c>
      <c r="P3095" s="1" t="s">
        <v>30</v>
      </c>
      <c r="Q3095">
        <v>134.69999999999999</v>
      </c>
    </row>
    <row r="3096" spans="1:17" x14ac:dyDescent="0.3">
      <c r="A3096">
        <v>2022</v>
      </c>
      <c r="B3096" t="s">
        <v>36</v>
      </c>
      <c r="C3096" t="s">
        <v>163</v>
      </c>
      <c r="D3096" s="1" t="s">
        <v>13</v>
      </c>
      <c r="E3096" s="4">
        <v>171.2</v>
      </c>
      <c r="F3096" s="4">
        <v>165.3</v>
      </c>
      <c r="G3096" s="4">
        <v>157.1</v>
      </c>
      <c r="H3096" s="1" t="s">
        <v>188</v>
      </c>
      <c r="K3096">
        <v>2016</v>
      </c>
      <c r="L3096" t="s">
        <v>45</v>
      </c>
      <c r="M3096" t="s">
        <v>92</v>
      </c>
      <c r="N3096" t="s">
        <v>15</v>
      </c>
      <c r="O3096" t="s">
        <v>188</v>
      </c>
      <c r="P3096" s="1" t="s">
        <v>34</v>
      </c>
      <c r="Q3096">
        <v>134</v>
      </c>
    </row>
    <row r="3097" spans="1:17" x14ac:dyDescent="0.3">
      <c r="A3097">
        <v>2022</v>
      </c>
      <c r="B3097" t="s">
        <v>36</v>
      </c>
      <c r="C3097" t="s">
        <v>163</v>
      </c>
      <c r="D3097" s="1" t="s">
        <v>7</v>
      </c>
      <c r="E3097" s="4">
        <v>203.1</v>
      </c>
      <c r="F3097" s="4">
        <v>194.6</v>
      </c>
      <c r="G3097" s="4">
        <v>180</v>
      </c>
      <c r="H3097" s="1" t="s">
        <v>188</v>
      </c>
      <c r="K3097">
        <v>2016</v>
      </c>
      <c r="L3097" t="s">
        <v>45</v>
      </c>
      <c r="M3097" t="s">
        <v>92</v>
      </c>
      <c r="N3097" t="s">
        <v>15</v>
      </c>
      <c r="O3097" t="s">
        <v>188</v>
      </c>
      <c r="P3097" s="1" t="s">
        <v>33</v>
      </c>
      <c r="Q3097">
        <v>132.80000000000001</v>
      </c>
    </row>
    <row r="3098" spans="1:17" x14ac:dyDescent="0.3">
      <c r="A3098">
        <v>2022</v>
      </c>
      <c r="B3098" t="s">
        <v>36</v>
      </c>
      <c r="C3098" t="s">
        <v>163</v>
      </c>
      <c r="D3098" s="1" t="s">
        <v>16</v>
      </c>
      <c r="E3098" s="4">
        <v>192.3</v>
      </c>
      <c r="F3098" s="4">
        <v>193.7</v>
      </c>
      <c r="G3098" s="4">
        <v>197.5</v>
      </c>
      <c r="H3098" s="1" t="s">
        <v>192</v>
      </c>
      <c r="K3098">
        <v>2016</v>
      </c>
      <c r="L3098" t="s">
        <v>45</v>
      </c>
      <c r="M3098" t="s">
        <v>92</v>
      </c>
      <c r="N3098" t="s">
        <v>18</v>
      </c>
      <c r="O3098" t="s">
        <v>189</v>
      </c>
      <c r="P3098" s="1" t="s">
        <v>30</v>
      </c>
      <c r="Q3098">
        <v>135.19999999999999</v>
      </c>
    </row>
    <row r="3099" spans="1:17" x14ac:dyDescent="0.3">
      <c r="A3099">
        <v>2022</v>
      </c>
      <c r="B3099" t="s">
        <v>36</v>
      </c>
      <c r="C3099" t="s">
        <v>163</v>
      </c>
      <c r="D3099" s="1" t="s">
        <v>27</v>
      </c>
      <c r="E3099" s="4">
        <v>167.4</v>
      </c>
      <c r="F3099" s="4">
        <v>167.2</v>
      </c>
      <c r="G3099" s="4">
        <v>166.8</v>
      </c>
      <c r="H3099" s="1" t="s">
        <v>192</v>
      </c>
      <c r="K3099">
        <v>2016</v>
      </c>
      <c r="L3099" t="s">
        <v>45</v>
      </c>
      <c r="M3099" t="s">
        <v>92</v>
      </c>
      <c r="N3099" t="s">
        <v>18</v>
      </c>
      <c r="O3099" t="s">
        <v>189</v>
      </c>
      <c r="P3099" s="1" t="s">
        <v>34</v>
      </c>
      <c r="Q3099">
        <v>129.80000000000001</v>
      </c>
    </row>
    <row r="3100" spans="1:17" x14ac:dyDescent="0.3">
      <c r="A3100">
        <v>2022</v>
      </c>
      <c r="B3100" t="s">
        <v>36</v>
      </c>
      <c r="C3100" t="s">
        <v>163</v>
      </c>
      <c r="D3100" s="1" t="s">
        <v>14</v>
      </c>
      <c r="E3100" s="4">
        <v>177.4</v>
      </c>
      <c r="F3100" s="4">
        <v>179.3</v>
      </c>
      <c r="G3100" s="4">
        <v>181.5</v>
      </c>
      <c r="H3100" s="1" t="s">
        <v>188</v>
      </c>
      <c r="K3100">
        <v>2016</v>
      </c>
      <c r="L3100" t="s">
        <v>45</v>
      </c>
      <c r="M3100" t="s">
        <v>92</v>
      </c>
      <c r="N3100" t="s">
        <v>18</v>
      </c>
      <c r="O3100" t="s">
        <v>189</v>
      </c>
      <c r="P3100" s="1" t="s">
        <v>33</v>
      </c>
      <c r="Q3100">
        <v>122.2</v>
      </c>
    </row>
    <row r="3101" spans="1:17" x14ac:dyDescent="0.3">
      <c r="A3101">
        <v>2022</v>
      </c>
      <c r="B3101" t="s">
        <v>36</v>
      </c>
      <c r="C3101" t="s">
        <v>163</v>
      </c>
      <c r="D3101" s="1" t="s">
        <v>10</v>
      </c>
      <c r="E3101" s="4">
        <v>164.2</v>
      </c>
      <c r="F3101" s="4">
        <v>163.9</v>
      </c>
      <c r="G3101" s="4">
        <v>163.4</v>
      </c>
      <c r="H3101" s="1" t="s">
        <v>188</v>
      </c>
      <c r="K3101">
        <v>2016</v>
      </c>
      <c r="L3101" t="s">
        <v>45</v>
      </c>
      <c r="M3101" t="s">
        <v>92</v>
      </c>
      <c r="N3101" t="s">
        <v>8</v>
      </c>
      <c r="O3101" t="s">
        <v>188</v>
      </c>
      <c r="P3101" s="1" t="s">
        <v>30</v>
      </c>
      <c r="Q3101">
        <v>135.6</v>
      </c>
    </row>
    <row r="3102" spans="1:17" x14ac:dyDescent="0.3">
      <c r="A3102">
        <v>2022</v>
      </c>
      <c r="B3102" t="s">
        <v>36</v>
      </c>
      <c r="C3102" t="s">
        <v>163</v>
      </c>
      <c r="D3102" s="1" t="s">
        <v>25</v>
      </c>
      <c r="E3102" s="4">
        <v>166.6</v>
      </c>
      <c r="F3102" s="4">
        <v>163.30000000000001</v>
      </c>
      <c r="G3102" s="4">
        <v>160.80000000000001</v>
      </c>
      <c r="H3102" s="1" t="s">
        <v>195</v>
      </c>
      <c r="K3102">
        <v>2016</v>
      </c>
      <c r="L3102" t="s">
        <v>45</v>
      </c>
      <c r="M3102" t="s">
        <v>92</v>
      </c>
      <c r="N3102" t="s">
        <v>8</v>
      </c>
      <c r="O3102" t="s">
        <v>188</v>
      </c>
      <c r="P3102" s="1" t="s">
        <v>34</v>
      </c>
      <c r="Q3102">
        <v>132.69999999999999</v>
      </c>
    </row>
    <row r="3103" spans="1:17" x14ac:dyDescent="0.3">
      <c r="A3103">
        <v>2022</v>
      </c>
      <c r="B3103" t="s">
        <v>36</v>
      </c>
      <c r="C3103" t="s">
        <v>163</v>
      </c>
      <c r="D3103" s="1" t="s">
        <v>12</v>
      </c>
      <c r="E3103" s="4">
        <v>178.7</v>
      </c>
      <c r="F3103" s="4">
        <v>177.4</v>
      </c>
      <c r="G3103" s="4">
        <v>174.7</v>
      </c>
      <c r="H3103" s="1" t="s">
        <v>188</v>
      </c>
      <c r="K3103">
        <v>2016</v>
      </c>
      <c r="L3103" t="s">
        <v>45</v>
      </c>
      <c r="M3103" t="s">
        <v>92</v>
      </c>
      <c r="N3103" t="s">
        <v>8</v>
      </c>
      <c r="O3103" t="s">
        <v>188</v>
      </c>
      <c r="P3103" s="1" t="s">
        <v>33</v>
      </c>
      <c r="Q3103">
        <v>129.30000000000001</v>
      </c>
    </row>
    <row r="3104" spans="1:17" x14ac:dyDescent="0.3">
      <c r="A3104">
        <v>2022</v>
      </c>
      <c r="B3104" t="s">
        <v>36</v>
      </c>
      <c r="C3104" t="s">
        <v>163</v>
      </c>
      <c r="D3104" s="1" t="s">
        <v>11</v>
      </c>
      <c r="E3104" s="4">
        <v>118.1</v>
      </c>
      <c r="F3104" s="4">
        <v>118.8</v>
      </c>
      <c r="G3104" s="4">
        <v>120.3</v>
      </c>
      <c r="H3104" s="1" t="s">
        <v>188</v>
      </c>
      <c r="K3104">
        <v>2016</v>
      </c>
      <c r="L3104" t="s">
        <v>45</v>
      </c>
      <c r="M3104" t="s">
        <v>92</v>
      </c>
      <c r="N3104" t="s">
        <v>21</v>
      </c>
      <c r="O3104" t="s">
        <v>190</v>
      </c>
      <c r="P3104" s="1" t="s">
        <v>30</v>
      </c>
      <c r="Q3104">
        <v>132</v>
      </c>
    </row>
    <row r="3105" spans="1:17" x14ac:dyDescent="0.3">
      <c r="A3105">
        <v>2022</v>
      </c>
      <c r="B3105" t="s">
        <v>36</v>
      </c>
      <c r="C3105" t="s">
        <v>163</v>
      </c>
      <c r="D3105" s="1" t="s">
        <v>24</v>
      </c>
      <c r="E3105" s="4">
        <v>162</v>
      </c>
      <c r="F3105" s="4">
        <v>157.9</v>
      </c>
      <c r="G3105" s="4">
        <v>154.19999999999999</v>
      </c>
      <c r="H3105" s="1" t="s">
        <v>191</v>
      </c>
      <c r="K3105">
        <v>2016</v>
      </c>
      <c r="L3105" t="s">
        <v>45</v>
      </c>
      <c r="M3105" t="s">
        <v>92</v>
      </c>
      <c r="N3105" t="s">
        <v>21</v>
      </c>
      <c r="O3105" t="s">
        <v>190</v>
      </c>
      <c r="P3105" s="1" t="s">
        <v>34</v>
      </c>
      <c r="Q3105">
        <v>126.6</v>
      </c>
    </row>
    <row r="3106" spans="1:17" x14ac:dyDescent="0.3">
      <c r="A3106">
        <v>2022</v>
      </c>
      <c r="B3106" t="s">
        <v>36</v>
      </c>
      <c r="C3106" t="s">
        <v>163</v>
      </c>
      <c r="D3106" s="1" t="s">
        <v>9</v>
      </c>
      <c r="E3106" s="4">
        <v>155.80000000000001</v>
      </c>
      <c r="F3106" s="4">
        <v>166.9</v>
      </c>
      <c r="G3106" s="4">
        <v>188.4</v>
      </c>
      <c r="H3106" s="1" t="s">
        <v>188</v>
      </c>
      <c r="K3106">
        <v>2016</v>
      </c>
      <c r="L3106" t="s">
        <v>45</v>
      </c>
      <c r="M3106" t="s">
        <v>92</v>
      </c>
      <c r="N3106" t="s">
        <v>21</v>
      </c>
      <c r="O3106" t="s">
        <v>190</v>
      </c>
      <c r="P3106" s="1" t="s">
        <v>33</v>
      </c>
      <c r="Q3106">
        <v>117.8</v>
      </c>
    </row>
    <row r="3107" spans="1:17" x14ac:dyDescent="0.3">
      <c r="A3107">
        <v>2022</v>
      </c>
      <c r="B3107" t="s">
        <v>38</v>
      </c>
      <c r="C3107" t="s">
        <v>164</v>
      </c>
      <c r="D3107" s="1" t="s">
        <v>3</v>
      </c>
      <c r="E3107" s="4">
        <v>152.9</v>
      </c>
      <c r="F3107" s="4">
        <v>154.1</v>
      </c>
      <c r="G3107" s="4">
        <v>156.69999999999999</v>
      </c>
      <c r="H3107" s="1" t="s">
        <v>188</v>
      </c>
      <c r="K3107">
        <v>2016</v>
      </c>
      <c r="L3107" t="s">
        <v>45</v>
      </c>
      <c r="M3107" t="s">
        <v>92</v>
      </c>
      <c r="N3107" t="s">
        <v>29</v>
      </c>
      <c r="O3107" t="s">
        <v>206</v>
      </c>
      <c r="P3107" s="1" t="s">
        <v>30</v>
      </c>
      <c r="Q3107">
        <v>132.80000000000001</v>
      </c>
    </row>
    <row r="3108" spans="1:17" x14ac:dyDescent="0.3">
      <c r="A3108">
        <v>2022</v>
      </c>
      <c r="B3108" t="s">
        <v>38</v>
      </c>
      <c r="C3108" t="s">
        <v>164</v>
      </c>
      <c r="D3108" s="1" t="s">
        <v>17</v>
      </c>
      <c r="E3108" s="4">
        <v>179.3</v>
      </c>
      <c r="F3108" s="4">
        <v>175.6</v>
      </c>
      <c r="G3108" s="4">
        <v>170</v>
      </c>
      <c r="H3108" s="1" t="s">
        <v>189</v>
      </c>
      <c r="K3108">
        <v>2016</v>
      </c>
      <c r="L3108" t="s">
        <v>45</v>
      </c>
      <c r="M3108" t="s">
        <v>92</v>
      </c>
      <c r="N3108" t="s">
        <v>29</v>
      </c>
      <c r="O3108" t="s">
        <v>206</v>
      </c>
      <c r="P3108" s="1" t="s">
        <v>34</v>
      </c>
      <c r="Q3108">
        <v>130.4</v>
      </c>
    </row>
    <row r="3109" spans="1:17" x14ac:dyDescent="0.3">
      <c r="A3109">
        <v>2022</v>
      </c>
      <c r="B3109" t="s">
        <v>38</v>
      </c>
      <c r="C3109" t="s">
        <v>164</v>
      </c>
      <c r="D3109" s="1" t="s">
        <v>19</v>
      </c>
      <c r="E3109" s="4">
        <v>179</v>
      </c>
      <c r="F3109" s="4">
        <v>174.6</v>
      </c>
      <c r="G3109" s="4">
        <v>167.8</v>
      </c>
      <c r="H3109" s="1" t="s">
        <v>189</v>
      </c>
      <c r="K3109">
        <v>2016</v>
      </c>
      <c r="L3109" t="s">
        <v>45</v>
      </c>
      <c r="M3109" t="s">
        <v>92</v>
      </c>
      <c r="N3109" t="s">
        <v>29</v>
      </c>
      <c r="O3109" t="s">
        <v>206</v>
      </c>
      <c r="P3109" s="1" t="s">
        <v>33</v>
      </c>
      <c r="Q3109">
        <v>127.6</v>
      </c>
    </row>
    <row r="3110" spans="1:17" x14ac:dyDescent="0.3">
      <c r="A3110">
        <v>2022</v>
      </c>
      <c r="B3110" t="s">
        <v>38</v>
      </c>
      <c r="C3110" t="s">
        <v>164</v>
      </c>
      <c r="D3110" s="1" t="s">
        <v>26</v>
      </c>
      <c r="E3110" s="4">
        <v>171.8</v>
      </c>
      <c r="F3110" s="4">
        <v>167.9</v>
      </c>
      <c r="G3110" s="4">
        <v>165.2</v>
      </c>
      <c r="H3110" s="1" t="s">
        <v>26</v>
      </c>
      <c r="K3110">
        <v>2016</v>
      </c>
      <c r="L3110" t="s">
        <v>45</v>
      </c>
      <c r="M3110" t="s">
        <v>92</v>
      </c>
      <c r="N3110" t="s">
        <v>23</v>
      </c>
      <c r="O3110" t="s">
        <v>23</v>
      </c>
      <c r="P3110" s="1" t="s">
        <v>30</v>
      </c>
      <c r="Q3110">
        <v>129.69999999999999</v>
      </c>
    </row>
    <row r="3111" spans="1:17" x14ac:dyDescent="0.3">
      <c r="A3111">
        <v>2022</v>
      </c>
      <c r="B3111" t="s">
        <v>38</v>
      </c>
      <c r="C3111" t="s">
        <v>164</v>
      </c>
      <c r="D3111" s="1" t="s">
        <v>5</v>
      </c>
      <c r="E3111" s="4">
        <v>161.4</v>
      </c>
      <c r="F3111" s="4">
        <v>162.4</v>
      </c>
      <c r="G3111" s="4">
        <v>164.1</v>
      </c>
      <c r="H3111" s="1" t="s">
        <v>188</v>
      </c>
      <c r="K3111">
        <v>2016</v>
      </c>
      <c r="L3111" t="s">
        <v>45</v>
      </c>
      <c r="M3111" t="s">
        <v>92</v>
      </c>
      <c r="N3111" t="s">
        <v>23</v>
      </c>
      <c r="O3111" t="s">
        <v>23</v>
      </c>
      <c r="P3111" s="1" t="s">
        <v>34</v>
      </c>
      <c r="Q3111">
        <v>126.9</v>
      </c>
    </row>
    <row r="3112" spans="1:17" x14ac:dyDescent="0.3">
      <c r="A3112">
        <v>2022</v>
      </c>
      <c r="B3112" t="s">
        <v>38</v>
      </c>
      <c r="C3112" t="s">
        <v>164</v>
      </c>
      <c r="D3112" s="1" t="s">
        <v>15</v>
      </c>
      <c r="E3112" s="4">
        <v>170.8</v>
      </c>
      <c r="F3112" s="4">
        <v>173.3</v>
      </c>
      <c r="G3112" s="4">
        <v>177.5</v>
      </c>
      <c r="H3112" s="1" t="s">
        <v>188</v>
      </c>
      <c r="K3112">
        <v>2016</v>
      </c>
      <c r="L3112" t="s">
        <v>45</v>
      </c>
      <c r="M3112" t="s">
        <v>92</v>
      </c>
      <c r="N3112" t="s">
        <v>23</v>
      </c>
      <c r="O3112" t="s">
        <v>23</v>
      </c>
      <c r="P3112" s="1" t="s">
        <v>33</v>
      </c>
      <c r="Q3112">
        <v>122.3</v>
      </c>
    </row>
    <row r="3113" spans="1:17" x14ac:dyDescent="0.3">
      <c r="A3113">
        <v>2022</v>
      </c>
      <c r="B3113" t="s">
        <v>38</v>
      </c>
      <c r="C3113" t="s">
        <v>164</v>
      </c>
      <c r="D3113" s="1" t="s">
        <v>18</v>
      </c>
      <c r="E3113" s="4">
        <v>177.2</v>
      </c>
      <c r="F3113" s="4">
        <v>168.4</v>
      </c>
      <c r="G3113" s="4">
        <v>155.9</v>
      </c>
      <c r="H3113" s="1" t="s">
        <v>189</v>
      </c>
      <c r="K3113">
        <v>2016</v>
      </c>
      <c r="L3113" t="s">
        <v>45</v>
      </c>
      <c r="M3113" t="s">
        <v>92</v>
      </c>
      <c r="N3113" t="s">
        <v>22</v>
      </c>
      <c r="O3113" t="s">
        <v>20</v>
      </c>
      <c r="P3113" s="1" t="s">
        <v>30</v>
      </c>
      <c r="Q3113">
        <v>132.9</v>
      </c>
    </row>
    <row r="3114" spans="1:17" x14ac:dyDescent="0.3">
      <c r="A3114">
        <v>2022</v>
      </c>
      <c r="B3114" t="s">
        <v>38</v>
      </c>
      <c r="C3114" t="s">
        <v>164</v>
      </c>
      <c r="D3114" s="1" t="s">
        <v>8</v>
      </c>
      <c r="E3114" s="4">
        <v>168</v>
      </c>
      <c r="F3114" s="4">
        <v>171</v>
      </c>
      <c r="G3114" s="4">
        <v>174.5</v>
      </c>
      <c r="H3114" s="1" t="s">
        <v>188</v>
      </c>
      <c r="K3114">
        <v>2016</v>
      </c>
      <c r="L3114" t="s">
        <v>45</v>
      </c>
      <c r="M3114" t="s">
        <v>92</v>
      </c>
      <c r="N3114" t="s">
        <v>22</v>
      </c>
      <c r="O3114" t="s">
        <v>20</v>
      </c>
      <c r="P3114" s="1" t="s">
        <v>34</v>
      </c>
      <c r="Q3114">
        <v>129.19999999999999</v>
      </c>
    </row>
    <row r="3115" spans="1:17" x14ac:dyDescent="0.3">
      <c r="A3115">
        <v>2022</v>
      </c>
      <c r="B3115" t="s">
        <v>38</v>
      </c>
      <c r="C3115" t="s">
        <v>164</v>
      </c>
      <c r="D3115" s="1" t="s">
        <v>21</v>
      </c>
      <c r="E3115" s="4">
        <v>175.3</v>
      </c>
      <c r="F3115" s="4">
        <v>174.6</v>
      </c>
      <c r="G3115" s="4">
        <v>173.5</v>
      </c>
      <c r="H3115" s="1" t="s">
        <v>190</v>
      </c>
      <c r="K3115">
        <v>2016</v>
      </c>
      <c r="L3115" t="s">
        <v>45</v>
      </c>
      <c r="M3115" t="s">
        <v>92</v>
      </c>
      <c r="N3115" t="s">
        <v>22</v>
      </c>
      <c r="O3115" t="s">
        <v>20</v>
      </c>
      <c r="P3115" s="1" t="s">
        <v>33</v>
      </c>
      <c r="Q3115">
        <v>125</v>
      </c>
    </row>
    <row r="3116" spans="1:17" x14ac:dyDescent="0.3">
      <c r="A3116">
        <v>2022</v>
      </c>
      <c r="B3116" t="s">
        <v>38</v>
      </c>
      <c r="C3116" t="s">
        <v>164</v>
      </c>
      <c r="D3116" s="1" t="s">
        <v>29</v>
      </c>
      <c r="E3116" s="4">
        <v>172.5</v>
      </c>
      <c r="F3116" s="4">
        <v>171.7</v>
      </c>
      <c r="G3116" s="4">
        <v>170.8</v>
      </c>
      <c r="H3116" s="1" t="s">
        <v>206</v>
      </c>
      <c r="K3116">
        <v>2016</v>
      </c>
      <c r="L3116" t="s">
        <v>45</v>
      </c>
      <c r="M3116" t="s">
        <v>92</v>
      </c>
      <c r="N3116" t="s">
        <v>20</v>
      </c>
      <c r="O3116" t="s">
        <v>20</v>
      </c>
      <c r="P3116" s="1" t="s">
        <v>30</v>
      </c>
      <c r="Q3116">
        <v>0</v>
      </c>
    </row>
    <row r="3117" spans="1:17" x14ac:dyDescent="0.3">
      <c r="A3117">
        <v>2022</v>
      </c>
      <c r="B3117" t="s">
        <v>38</v>
      </c>
      <c r="C3117" t="s">
        <v>164</v>
      </c>
      <c r="D3117" s="1" t="s">
        <v>23</v>
      </c>
      <c r="E3117" s="4">
        <v>177.7</v>
      </c>
      <c r="F3117" s="4">
        <v>174.8</v>
      </c>
      <c r="G3117" s="4">
        <v>170.1</v>
      </c>
      <c r="H3117" s="1" t="s">
        <v>23</v>
      </c>
      <c r="K3117">
        <v>2016</v>
      </c>
      <c r="L3117" t="s">
        <v>45</v>
      </c>
      <c r="M3117" t="s">
        <v>92</v>
      </c>
      <c r="N3117" t="s">
        <v>20</v>
      </c>
      <c r="O3117" t="s">
        <v>20</v>
      </c>
      <c r="P3117" s="1" t="s">
        <v>34</v>
      </c>
      <c r="Q3117">
        <v>128.5</v>
      </c>
    </row>
    <row r="3118" spans="1:17" x14ac:dyDescent="0.3">
      <c r="A3118">
        <v>2022</v>
      </c>
      <c r="B3118" t="s">
        <v>38</v>
      </c>
      <c r="C3118" t="s">
        <v>164</v>
      </c>
      <c r="D3118" s="1" t="s">
        <v>22</v>
      </c>
      <c r="E3118" s="4">
        <v>168.9</v>
      </c>
      <c r="F3118" s="4">
        <v>165.2</v>
      </c>
      <c r="G3118" s="4">
        <v>161.1</v>
      </c>
      <c r="H3118" s="1" t="s">
        <v>20</v>
      </c>
      <c r="K3118">
        <v>2016</v>
      </c>
      <c r="L3118" t="s">
        <v>45</v>
      </c>
      <c r="M3118" t="s">
        <v>92</v>
      </c>
      <c r="N3118" t="s">
        <v>20</v>
      </c>
      <c r="O3118" t="s">
        <v>20</v>
      </c>
      <c r="P3118" s="1" t="s">
        <v>33</v>
      </c>
      <c r="Q3118">
        <v>128.5</v>
      </c>
    </row>
    <row r="3119" spans="1:17" x14ac:dyDescent="0.3">
      <c r="A3119">
        <v>2022</v>
      </c>
      <c r="B3119" t="s">
        <v>38</v>
      </c>
      <c r="C3119" t="s">
        <v>164</v>
      </c>
      <c r="D3119" s="1" t="s">
        <v>20</v>
      </c>
      <c r="E3119" s="4">
        <v>0</v>
      </c>
      <c r="F3119" s="4">
        <v>167.5</v>
      </c>
      <c r="G3119" s="4">
        <v>167.5</v>
      </c>
      <c r="H3119" s="1" t="s">
        <v>20</v>
      </c>
      <c r="K3119">
        <v>2016</v>
      </c>
      <c r="L3119" t="s">
        <v>45</v>
      </c>
      <c r="M3119" t="s">
        <v>92</v>
      </c>
      <c r="N3119" t="s">
        <v>4</v>
      </c>
      <c r="O3119" t="s">
        <v>188</v>
      </c>
      <c r="P3119" s="1" t="s">
        <v>30</v>
      </c>
      <c r="Q3119">
        <v>137.30000000000001</v>
      </c>
    </row>
    <row r="3120" spans="1:17" x14ac:dyDescent="0.3">
      <c r="A3120">
        <v>2022</v>
      </c>
      <c r="B3120" t="s">
        <v>38</v>
      </c>
      <c r="C3120" t="s">
        <v>164</v>
      </c>
      <c r="D3120" s="1" t="s">
        <v>4</v>
      </c>
      <c r="E3120" s="4">
        <v>214.7</v>
      </c>
      <c r="F3120" s="4">
        <v>217</v>
      </c>
      <c r="G3120" s="4">
        <v>221.2</v>
      </c>
      <c r="H3120" s="1" t="s">
        <v>188</v>
      </c>
      <c r="K3120">
        <v>2016</v>
      </c>
      <c r="L3120" t="s">
        <v>45</v>
      </c>
      <c r="M3120" t="s">
        <v>92</v>
      </c>
      <c r="N3120" t="s">
        <v>4</v>
      </c>
      <c r="O3120" t="s">
        <v>188</v>
      </c>
      <c r="P3120" s="1" t="s">
        <v>34</v>
      </c>
      <c r="Q3120">
        <v>137.6</v>
      </c>
    </row>
    <row r="3121" spans="1:17" x14ac:dyDescent="0.3">
      <c r="A3121">
        <v>2022</v>
      </c>
      <c r="B3121" t="s">
        <v>38</v>
      </c>
      <c r="C3121" t="s">
        <v>164</v>
      </c>
      <c r="D3121" s="1" t="s">
        <v>6</v>
      </c>
      <c r="E3121" s="4">
        <v>164.6</v>
      </c>
      <c r="F3121" s="4">
        <v>164.9</v>
      </c>
      <c r="G3121" s="4">
        <v>165.4</v>
      </c>
      <c r="H3121" s="1" t="s">
        <v>188</v>
      </c>
      <c r="K3121">
        <v>2016</v>
      </c>
      <c r="L3121" t="s">
        <v>45</v>
      </c>
      <c r="M3121" t="s">
        <v>92</v>
      </c>
      <c r="N3121" t="s">
        <v>4</v>
      </c>
      <c r="O3121" t="s">
        <v>188</v>
      </c>
      <c r="P3121" s="1" t="s">
        <v>33</v>
      </c>
      <c r="Q3121">
        <v>138.19999999999999</v>
      </c>
    </row>
    <row r="3122" spans="1:17" x14ac:dyDescent="0.3">
      <c r="A3122">
        <v>2022</v>
      </c>
      <c r="B3122" t="s">
        <v>38</v>
      </c>
      <c r="C3122" t="s">
        <v>164</v>
      </c>
      <c r="D3122" s="1" t="s">
        <v>28</v>
      </c>
      <c r="E3122" s="4">
        <v>170.9</v>
      </c>
      <c r="F3122" s="4">
        <v>167.5</v>
      </c>
      <c r="G3122" s="4">
        <v>163.80000000000001</v>
      </c>
      <c r="H3122" s="1" t="s">
        <v>192</v>
      </c>
      <c r="K3122">
        <v>2016</v>
      </c>
      <c r="L3122" t="s">
        <v>45</v>
      </c>
      <c r="M3122" t="s">
        <v>92</v>
      </c>
      <c r="N3122" t="s">
        <v>6</v>
      </c>
      <c r="O3122" t="s">
        <v>188</v>
      </c>
      <c r="P3122" s="1" t="s">
        <v>30</v>
      </c>
      <c r="Q3122">
        <v>136.30000000000001</v>
      </c>
    </row>
    <row r="3123" spans="1:17" x14ac:dyDescent="0.3">
      <c r="A3123">
        <v>2022</v>
      </c>
      <c r="B3123" t="s">
        <v>38</v>
      </c>
      <c r="C3123" t="s">
        <v>164</v>
      </c>
      <c r="D3123" s="1" t="s">
        <v>13</v>
      </c>
      <c r="E3123" s="4">
        <v>173.2</v>
      </c>
      <c r="F3123" s="4">
        <v>167.1</v>
      </c>
      <c r="G3123" s="4">
        <v>158.5</v>
      </c>
      <c r="H3123" s="1" t="s">
        <v>188</v>
      </c>
      <c r="K3123">
        <v>2016</v>
      </c>
      <c r="L3123" t="s">
        <v>45</v>
      </c>
      <c r="M3123" t="s">
        <v>92</v>
      </c>
      <c r="N3123" t="s">
        <v>6</v>
      </c>
      <c r="O3123" t="s">
        <v>188</v>
      </c>
      <c r="P3123" s="1" t="s">
        <v>34</v>
      </c>
      <c r="Q3123">
        <v>135.1</v>
      </c>
    </row>
    <row r="3124" spans="1:17" x14ac:dyDescent="0.3">
      <c r="A3124">
        <v>2022</v>
      </c>
      <c r="B3124" t="s">
        <v>38</v>
      </c>
      <c r="C3124" t="s">
        <v>164</v>
      </c>
      <c r="D3124" s="1" t="s">
        <v>7</v>
      </c>
      <c r="E3124" s="4">
        <v>209.9</v>
      </c>
      <c r="F3124" s="4">
        <v>202.4</v>
      </c>
      <c r="G3124" s="4">
        <v>189.5</v>
      </c>
      <c r="H3124" s="1" t="s">
        <v>188</v>
      </c>
      <c r="K3124">
        <v>2016</v>
      </c>
      <c r="L3124" t="s">
        <v>45</v>
      </c>
      <c r="M3124" t="s">
        <v>92</v>
      </c>
      <c r="N3124" t="s">
        <v>6</v>
      </c>
      <c r="O3124" t="s">
        <v>188</v>
      </c>
      <c r="P3124" s="1" t="s">
        <v>33</v>
      </c>
      <c r="Q3124">
        <v>133.1</v>
      </c>
    </row>
    <row r="3125" spans="1:17" x14ac:dyDescent="0.3">
      <c r="A3125">
        <v>2022</v>
      </c>
      <c r="B3125" t="s">
        <v>38</v>
      </c>
      <c r="C3125" t="s">
        <v>164</v>
      </c>
      <c r="D3125" s="1" t="s">
        <v>16</v>
      </c>
      <c r="E3125" s="4">
        <v>192.9</v>
      </c>
      <c r="F3125" s="4">
        <v>194.1</v>
      </c>
      <c r="G3125" s="4">
        <v>197.5</v>
      </c>
      <c r="H3125" s="1" t="s">
        <v>192</v>
      </c>
      <c r="K3125">
        <v>2016</v>
      </c>
      <c r="L3125" t="s">
        <v>45</v>
      </c>
      <c r="M3125" t="s">
        <v>92</v>
      </c>
      <c r="N3125" t="s">
        <v>28</v>
      </c>
      <c r="O3125" t="s">
        <v>192</v>
      </c>
      <c r="P3125" s="1" t="s">
        <v>30</v>
      </c>
      <c r="Q3125">
        <v>126.3</v>
      </c>
    </row>
    <row r="3126" spans="1:17" x14ac:dyDescent="0.3">
      <c r="A3126">
        <v>2022</v>
      </c>
      <c r="B3126" t="s">
        <v>38</v>
      </c>
      <c r="C3126" t="s">
        <v>164</v>
      </c>
      <c r="D3126" s="1" t="s">
        <v>27</v>
      </c>
      <c r="E3126" s="4">
        <v>168.5</v>
      </c>
      <c r="F3126" s="4">
        <v>168.4</v>
      </c>
      <c r="G3126" s="4">
        <v>168.2</v>
      </c>
      <c r="H3126" s="1" t="s">
        <v>192</v>
      </c>
      <c r="K3126">
        <v>2016</v>
      </c>
      <c r="L3126" t="s">
        <v>45</v>
      </c>
      <c r="M3126" t="s">
        <v>92</v>
      </c>
      <c r="N3126" t="s">
        <v>28</v>
      </c>
      <c r="O3126" t="s">
        <v>192</v>
      </c>
      <c r="P3126" s="1" t="s">
        <v>34</v>
      </c>
      <c r="Q3126">
        <v>123.9</v>
      </c>
    </row>
    <row r="3127" spans="1:17" x14ac:dyDescent="0.3">
      <c r="A3127">
        <v>2022</v>
      </c>
      <c r="B3127" t="s">
        <v>38</v>
      </c>
      <c r="C3127" t="s">
        <v>164</v>
      </c>
      <c r="D3127" s="1" t="s">
        <v>14</v>
      </c>
      <c r="E3127" s="4">
        <v>180.4</v>
      </c>
      <c r="F3127" s="4">
        <v>182.5</v>
      </c>
      <c r="G3127" s="4">
        <v>184.9</v>
      </c>
      <c r="H3127" s="1" t="s">
        <v>188</v>
      </c>
      <c r="K3127">
        <v>2016</v>
      </c>
      <c r="L3127" t="s">
        <v>45</v>
      </c>
      <c r="M3127" t="s">
        <v>92</v>
      </c>
      <c r="N3127" t="s">
        <v>28</v>
      </c>
      <c r="O3127" t="s">
        <v>192</v>
      </c>
      <c r="P3127" s="1" t="s">
        <v>33</v>
      </c>
      <c r="Q3127">
        <v>121.4</v>
      </c>
    </row>
    <row r="3128" spans="1:17" x14ac:dyDescent="0.3">
      <c r="A3128">
        <v>2022</v>
      </c>
      <c r="B3128" t="s">
        <v>38</v>
      </c>
      <c r="C3128" t="s">
        <v>164</v>
      </c>
      <c r="D3128" s="1" t="s">
        <v>10</v>
      </c>
      <c r="E3128" s="4">
        <v>165</v>
      </c>
      <c r="F3128" s="4">
        <v>164.7</v>
      </c>
      <c r="G3128" s="4">
        <v>164.1</v>
      </c>
      <c r="H3128" s="1" t="s">
        <v>188</v>
      </c>
      <c r="K3128">
        <v>2016</v>
      </c>
      <c r="L3128" t="s">
        <v>45</v>
      </c>
      <c r="M3128" t="s">
        <v>92</v>
      </c>
      <c r="N3128" t="s">
        <v>13</v>
      </c>
      <c r="O3128" t="s">
        <v>188</v>
      </c>
      <c r="P3128" s="1" t="s">
        <v>30</v>
      </c>
      <c r="Q3128">
        <v>129.1</v>
      </c>
    </row>
    <row r="3129" spans="1:17" x14ac:dyDescent="0.3">
      <c r="A3129">
        <v>2022</v>
      </c>
      <c r="B3129" t="s">
        <v>38</v>
      </c>
      <c r="C3129" t="s">
        <v>164</v>
      </c>
      <c r="D3129" s="1" t="s">
        <v>25</v>
      </c>
      <c r="E3129" s="4">
        <v>167.6</v>
      </c>
      <c r="F3129" s="4">
        <v>165.1</v>
      </c>
      <c r="G3129" s="4">
        <v>163.19999999999999</v>
      </c>
      <c r="H3129" s="1" t="s">
        <v>195</v>
      </c>
      <c r="K3129">
        <v>2016</v>
      </c>
      <c r="L3129" t="s">
        <v>45</v>
      </c>
      <c r="M3129" t="s">
        <v>92</v>
      </c>
      <c r="N3129" t="s">
        <v>13</v>
      </c>
      <c r="O3129" t="s">
        <v>188</v>
      </c>
      <c r="P3129" s="1" t="s">
        <v>34</v>
      </c>
      <c r="Q3129">
        <v>126.6</v>
      </c>
    </row>
    <row r="3130" spans="1:17" x14ac:dyDescent="0.3">
      <c r="A3130">
        <v>2022</v>
      </c>
      <c r="B3130" t="s">
        <v>38</v>
      </c>
      <c r="C3130" t="s">
        <v>164</v>
      </c>
      <c r="D3130" s="1" t="s">
        <v>12</v>
      </c>
      <c r="E3130" s="4">
        <v>186.6</v>
      </c>
      <c r="F3130" s="4">
        <v>184.9</v>
      </c>
      <c r="G3130" s="4">
        <v>181.4</v>
      </c>
      <c r="H3130" s="1" t="s">
        <v>188</v>
      </c>
      <c r="K3130">
        <v>2016</v>
      </c>
      <c r="L3130" t="s">
        <v>45</v>
      </c>
      <c r="M3130" t="s">
        <v>92</v>
      </c>
      <c r="N3130" t="s">
        <v>13</v>
      </c>
      <c r="O3130" t="s">
        <v>188</v>
      </c>
      <c r="P3130" s="1" t="s">
        <v>33</v>
      </c>
      <c r="Q3130">
        <v>123.1</v>
      </c>
    </row>
    <row r="3131" spans="1:17" x14ac:dyDescent="0.3">
      <c r="A3131">
        <v>2022</v>
      </c>
      <c r="B3131" t="s">
        <v>38</v>
      </c>
      <c r="C3131" t="s">
        <v>164</v>
      </c>
      <c r="D3131" s="1" t="s">
        <v>11</v>
      </c>
      <c r="E3131" s="4">
        <v>118.9</v>
      </c>
      <c r="F3131" s="4">
        <v>119.7</v>
      </c>
      <c r="G3131" s="4">
        <v>121.2</v>
      </c>
      <c r="H3131" s="1" t="s">
        <v>188</v>
      </c>
      <c r="K3131">
        <v>2016</v>
      </c>
      <c r="L3131" t="s">
        <v>45</v>
      </c>
      <c r="M3131" t="s">
        <v>92</v>
      </c>
      <c r="N3131" t="s">
        <v>7</v>
      </c>
      <c r="O3131" t="s">
        <v>188</v>
      </c>
      <c r="P3131" s="1" t="s">
        <v>30</v>
      </c>
      <c r="Q3131">
        <v>121.6</v>
      </c>
    </row>
    <row r="3132" spans="1:17" x14ac:dyDescent="0.3">
      <c r="A3132">
        <v>2022</v>
      </c>
      <c r="B3132" t="s">
        <v>38</v>
      </c>
      <c r="C3132" t="s">
        <v>164</v>
      </c>
      <c r="D3132" s="1" t="s">
        <v>24</v>
      </c>
      <c r="E3132" s="4">
        <v>167.1</v>
      </c>
      <c r="F3132" s="4">
        <v>163</v>
      </c>
      <c r="G3132" s="4">
        <v>159.4</v>
      </c>
      <c r="H3132" s="1" t="s">
        <v>191</v>
      </c>
      <c r="K3132">
        <v>2016</v>
      </c>
      <c r="L3132" t="s">
        <v>45</v>
      </c>
      <c r="M3132" t="s">
        <v>92</v>
      </c>
      <c r="N3132" t="s">
        <v>7</v>
      </c>
      <c r="O3132" t="s">
        <v>188</v>
      </c>
      <c r="P3132" s="1" t="s">
        <v>34</v>
      </c>
      <c r="Q3132">
        <v>118.6</v>
      </c>
    </row>
    <row r="3133" spans="1:17" x14ac:dyDescent="0.3">
      <c r="A3133">
        <v>2022</v>
      </c>
      <c r="B3133" t="s">
        <v>38</v>
      </c>
      <c r="C3133" t="s">
        <v>164</v>
      </c>
      <c r="D3133" s="1" t="s">
        <v>9</v>
      </c>
      <c r="E3133" s="4">
        <v>160.4</v>
      </c>
      <c r="F3133" s="4">
        <v>174.9</v>
      </c>
      <c r="G3133" s="4">
        <v>203.2</v>
      </c>
      <c r="H3133" s="1" t="s">
        <v>188</v>
      </c>
      <c r="K3133">
        <v>2016</v>
      </c>
      <c r="L3133" t="s">
        <v>45</v>
      </c>
      <c r="M3133" t="s">
        <v>92</v>
      </c>
      <c r="N3133" t="s">
        <v>7</v>
      </c>
      <c r="O3133" t="s">
        <v>188</v>
      </c>
      <c r="P3133" s="1" t="s">
        <v>33</v>
      </c>
      <c r="Q3133">
        <v>113.5</v>
      </c>
    </row>
    <row r="3134" spans="1:17" x14ac:dyDescent="0.3">
      <c r="A3134">
        <v>2022</v>
      </c>
      <c r="B3134" t="s">
        <v>44</v>
      </c>
      <c r="C3134" t="s">
        <v>165</v>
      </c>
      <c r="D3134" s="1" t="s">
        <v>3</v>
      </c>
      <c r="E3134" s="4">
        <v>166.9</v>
      </c>
      <c r="F3134" s="4">
        <v>167.4</v>
      </c>
      <c r="G3134" s="4">
        <v>168.4</v>
      </c>
      <c r="H3134" s="1" t="s">
        <v>188</v>
      </c>
      <c r="K3134">
        <v>2016</v>
      </c>
      <c r="L3134" t="s">
        <v>45</v>
      </c>
      <c r="M3134" t="s">
        <v>92</v>
      </c>
      <c r="N3134" t="s">
        <v>16</v>
      </c>
      <c r="O3134" t="s">
        <v>192</v>
      </c>
      <c r="P3134" s="1" t="s">
        <v>30</v>
      </c>
      <c r="Q3134">
        <v>142.4</v>
      </c>
    </row>
    <row r="3135" spans="1:17" x14ac:dyDescent="0.3">
      <c r="A3135">
        <v>2022</v>
      </c>
      <c r="B3135" t="s">
        <v>44</v>
      </c>
      <c r="C3135" t="s">
        <v>165</v>
      </c>
      <c r="D3135" s="1" t="s">
        <v>17</v>
      </c>
      <c r="E3135" s="4">
        <v>187.2</v>
      </c>
      <c r="F3135" s="4">
        <v>183.1</v>
      </c>
      <c r="G3135" s="4">
        <v>176.7</v>
      </c>
      <c r="H3135" s="1" t="s">
        <v>189</v>
      </c>
      <c r="K3135">
        <v>2016</v>
      </c>
      <c r="L3135" t="s">
        <v>45</v>
      </c>
      <c r="M3135" t="s">
        <v>92</v>
      </c>
      <c r="N3135" t="s">
        <v>16</v>
      </c>
      <c r="O3135" t="s">
        <v>192</v>
      </c>
      <c r="P3135" s="1" t="s">
        <v>34</v>
      </c>
      <c r="Q3135">
        <v>143.1</v>
      </c>
    </row>
    <row r="3136" spans="1:17" x14ac:dyDescent="0.3">
      <c r="A3136">
        <v>2022</v>
      </c>
      <c r="B3136" t="s">
        <v>44</v>
      </c>
      <c r="C3136" t="s">
        <v>165</v>
      </c>
      <c r="D3136" s="1" t="s">
        <v>19</v>
      </c>
      <c r="E3136" s="4">
        <v>186.9</v>
      </c>
      <c r="F3136" s="4">
        <v>182.1</v>
      </c>
      <c r="G3136" s="4">
        <v>174.7</v>
      </c>
      <c r="H3136" s="1" t="s">
        <v>189</v>
      </c>
      <c r="K3136">
        <v>2016</v>
      </c>
      <c r="L3136" t="s">
        <v>45</v>
      </c>
      <c r="M3136" t="s">
        <v>92</v>
      </c>
      <c r="N3136" t="s">
        <v>16</v>
      </c>
      <c r="O3136" t="s">
        <v>192</v>
      </c>
      <c r="P3136" s="1" t="s">
        <v>33</v>
      </c>
      <c r="Q3136">
        <v>145</v>
      </c>
    </row>
    <row r="3137" spans="1:17" x14ac:dyDescent="0.3">
      <c r="A3137">
        <v>2022</v>
      </c>
      <c r="B3137" t="s">
        <v>44</v>
      </c>
      <c r="C3137" t="s">
        <v>165</v>
      </c>
      <c r="D3137" s="1" t="s">
        <v>26</v>
      </c>
      <c r="E3137" s="4">
        <v>176.9</v>
      </c>
      <c r="F3137" s="4">
        <v>173.7</v>
      </c>
      <c r="G3137" s="4">
        <v>171.5</v>
      </c>
      <c r="H3137" s="1" t="s">
        <v>26</v>
      </c>
      <c r="K3137">
        <v>2016</v>
      </c>
      <c r="L3137" t="s">
        <v>45</v>
      </c>
      <c r="M3137" t="s">
        <v>92</v>
      </c>
      <c r="N3137" t="s">
        <v>27</v>
      </c>
      <c r="O3137" t="s">
        <v>192</v>
      </c>
      <c r="P3137" s="1" t="s">
        <v>30</v>
      </c>
      <c r="Q3137">
        <v>121.9</v>
      </c>
    </row>
    <row r="3138" spans="1:17" x14ac:dyDescent="0.3">
      <c r="A3138">
        <v>2022</v>
      </c>
      <c r="B3138" t="s">
        <v>44</v>
      </c>
      <c r="C3138" t="s">
        <v>165</v>
      </c>
      <c r="D3138" s="1" t="s">
        <v>5</v>
      </c>
      <c r="E3138" s="4">
        <v>180.2</v>
      </c>
      <c r="F3138" s="4">
        <v>181.4</v>
      </c>
      <c r="G3138" s="4">
        <v>183.2</v>
      </c>
      <c r="H3138" s="1" t="s">
        <v>188</v>
      </c>
      <c r="K3138">
        <v>2016</v>
      </c>
      <c r="L3138" t="s">
        <v>45</v>
      </c>
      <c r="M3138" t="s">
        <v>92</v>
      </c>
      <c r="N3138" t="s">
        <v>27</v>
      </c>
      <c r="O3138" t="s">
        <v>192</v>
      </c>
      <c r="P3138" s="1" t="s">
        <v>34</v>
      </c>
      <c r="Q3138">
        <v>121.1</v>
      </c>
    </row>
    <row r="3139" spans="1:17" x14ac:dyDescent="0.3">
      <c r="A3139">
        <v>2022</v>
      </c>
      <c r="B3139" t="s">
        <v>44</v>
      </c>
      <c r="C3139" t="s">
        <v>165</v>
      </c>
      <c r="D3139" s="1" t="s">
        <v>15</v>
      </c>
      <c r="E3139" s="4">
        <v>176.6</v>
      </c>
      <c r="F3139" s="4">
        <v>178.3</v>
      </c>
      <c r="G3139" s="4">
        <v>181.3</v>
      </c>
      <c r="H3139" s="1" t="s">
        <v>188</v>
      </c>
      <c r="K3139">
        <v>2016</v>
      </c>
      <c r="L3139" t="s">
        <v>45</v>
      </c>
      <c r="M3139" t="s">
        <v>92</v>
      </c>
      <c r="N3139" t="s">
        <v>27</v>
      </c>
      <c r="O3139" t="s">
        <v>192</v>
      </c>
      <c r="P3139" s="1" t="s">
        <v>33</v>
      </c>
      <c r="Q3139">
        <v>119.9</v>
      </c>
    </row>
    <row r="3140" spans="1:17" x14ac:dyDescent="0.3">
      <c r="A3140">
        <v>2022</v>
      </c>
      <c r="B3140" t="s">
        <v>44</v>
      </c>
      <c r="C3140" t="s">
        <v>165</v>
      </c>
      <c r="D3140" s="1" t="s">
        <v>18</v>
      </c>
      <c r="E3140" s="4">
        <v>185.2</v>
      </c>
      <c r="F3140" s="4">
        <v>176.2</v>
      </c>
      <c r="G3140" s="4">
        <v>163.5</v>
      </c>
      <c r="H3140" s="1" t="s">
        <v>189</v>
      </c>
      <c r="K3140">
        <v>2016</v>
      </c>
      <c r="L3140" t="s">
        <v>45</v>
      </c>
      <c r="M3140" t="s">
        <v>92</v>
      </c>
      <c r="N3140" t="s">
        <v>14</v>
      </c>
      <c r="O3140" t="s">
        <v>188</v>
      </c>
      <c r="P3140" s="1" t="s">
        <v>30</v>
      </c>
      <c r="Q3140">
        <v>143.6</v>
      </c>
    </row>
    <row r="3141" spans="1:17" x14ac:dyDescent="0.3">
      <c r="A3141">
        <v>2022</v>
      </c>
      <c r="B3141" t="s">
        <v>44</v>
      </c>
      <c r="C3141" t="s">
        <v>165</v>
      </c>
      <c r="D3141" s="1" t="s">
        <v>8</v>
      </c>
      <c r="E3141" s="4">
        <v>159.1</v>
      </c>
      <c r="F3141" s="4">
        <v>160.69999999999999</v>
      </c>
      <c r="G3141" s="4">
        <v>162.6</v>
      </c>
      <c r="H3141" s="1" t="s">
        <v>188</v>
      </c>
      <c r="K3141">
        <v>2016</v>
      </c>
      <c r="L3141" t="s">
        <v>45</v>
      </c>
      <c r="M3141" t="s">
        <v>92</v>
      </c>
      <c r="N3141" t="s">
        <v>14</v>
      </c>
      <c r="O3141" t="s">
        <v>188</v>
      </c>
      <c r="P3141" s="1" t="s">
        <v>34</v>
      </c>
      <c r="Q3141">
        <v>142.30000000000001</v>
      </c>
    </row>
    <row r="3142" spans="1:17" x14ac:dyDescent="0.3">
      <c r="A3142">
        <v>2022</v>
      </c>
      <c r="B3142" t="s">
        <v>44</v>
      </c>
      <c r="C3142" t="s">
        <v>165</v>
      </c>
      <c r="D3142" s="1" t="s">
        <v>21</v>
      </c>
      <c r="E3142" s="4">
        <v>181.9</v>
      </c>
      <c r="F3142" s="4">
        <v>181.3</v>
      </c>
      <c r="G3142" s="4">
        <v>180.3</v>
      </c>
      <c r="H3142" s="1" t="s">
        <v>190</v>
      </c>
      <c r="K3142">
        <v>2016</v>
      </c>
      <c r="L3142" t="s">
        <v>45</v>
      </c>
      <c r="M3142" t="s">
        <v>92</v>
      </c>
      <c r="N3142" t="s">
        <v>14</v>
      </c>
      <c r="O3142" t="s">
        <v>188</v>
      </c>
      <c r="P3142" s="1" t="s">
        <v>33</v>
      </c>
      <c r="Q3142">
        <v>140.9</v>
      </c>
    </row>
    <row r="3143" spans="1:17" x14ac:dyDescent="0.3">
      <c r="A3143">
        <v>2022</v>
      </c>
      <c r="B3143" t="s">
        <v>44</v>
      </c>
      <c r="C3143" t="s">
        <v>165</v>
      </c>
      <c r="D3143" s="1" t="s">
        <v>29</v>
      </c>
      <c r="E3143" s="4">
        <v>177.8</v>
      </c>
      <c r="F3143" s="4">
        <v>176.5</v>
      </c>
      <c r="G3143" s="4">
        <v>174.1</v>
      </c>
      <c r="H3143" s="1" t="s">
        <v>206</v>
      </c>
      <c r="K3143">
        <v>2016</v>
      </c>
      <c r="L3143" t="s">
        <v>45</v>
      </c>
      <c r="M3143" t="s">
        <v>92</v>
      </c>
      <c r="N3143" t="s">
        <v>10</v>
      </c>
      <c r="O3143" t="s">
        <v>188</v>
      </c>
      <c r="P3143" s="1" t="s">
        <v>30</v>
      </c>
      <c r="Q3143">
        <v>167.9</v>
      </c>
    </row>
    <row r="3144" spans="1:17" x14ac:dyDescent="0.3">
      <c r="A3144">
        <v>2022</v>
      </c>
      <c r="B3144" t="s">
        <v>44</v>
      </c>
      <c r="C3144" t="s">
        <v>165</v>
      </c>
      <c r="D3144" s="1" t="s">
        <v>23</v>
      </c>
      <c r="E3144" s="4">
        <v>182.3</v>
      </c>
      <c r="F3144" s="4">
        <v>179.8</v>
      </c>
      <c r="G3144" s="4">
        <v>175.8</v>
      </c>
      <c r="H3144" s="1" t="s">
        <v>23</v>
      </c>
      <c r="K3144">
        <v>2016</v>
      </c>
      <c r="L3144" t="s">
        <v>45</v>
      </c>
      <c r="M3144" t="s">
        <v>92</v>
      </c>
      <c r="N3144" t="s">
        <v>10</v>
      </c>
      <c r="O3144" t="s">
        <v>188</v>
      </c>
      <c r="P3144" s="1" t="s">
        <v>34</v>
      </c>
      <c r="Q3144">
        <v>168.7</v>
      </c>
    </row>
    <row r="3145" spans="1:17" x14ac:dyDescent="0.3">
      <c r="A3145">
        <v>2022</v>
      </c>
      <c r="B3145" t="s">
        <v>44</v>
      </c>
      <c r="C3145" t="s">
        <v>165</v>
      </c>
      <c r="D3145" s="1" t="s">
        <v>22</v>
      </c>
      <c r="E3145" s="4">
        <v>175.5</v>
      </c>
      <c r="F3145" s="4">
        <v>171.4</v>
      </c>
      <c r="G3145" s="4">
        <v>166.9</v>
      </c>
      <c r="H3145" s="1" t="s">
        <v>20</v>
      </c>
      <c r="K3145">
        <v>2016</v>
      </c>
      <c r="L3145" t="s">
        <v>45</v>
      </c>
      <c r="M3145" t="s">
        <v>92</v>
      </c>
      <c r="N3145" t="s">
        <v>10</v>
      </c>
      <c r="O3145" t="s">
        <v>188</v>
      </c>
      <c r="P3145" s="1" t="s">
        <v>33</v>
      </c>
      <c r="Q3145">
        <v>170.3</v>
      </c>
    </row>
    <row r="3146" spans="1:17" x14ac:dyDescent="0.3">
      <c r="A3146">
        <v>2022</v>
      </c>
      <c r="B3146" t="s">
        <v>44</v>
      </c>
      <c r="C3146" t="s">
        <v>165</v>
      </c>
      <c r="D3146" s="1" t="s">
        <v>20</v>
      </c>
      <c r="E3146" s="4">
        <v>0</v>
      </c>
      <c r="F3146" s="4">
        <v>171.8</v>
      </c>
      <c r="G3146" s="4">
        <v>171.8</v>
      </c>
      <c r="H3146" s="1" t="s">
        <v>20</v>
      </c>
      <c r="K3146">
        <v>2016</v>
      </c>
      <c r="L3146" t="s">
        <v>45</v>
      </c>
      <c r="M3146" t="s">
        <v>92</v>
      </c>
      <c r="N3146" t="s">
        <v>25</v>
      </c>
      <c r="O3146" t="s">
        <v>195</v>
      </c>
      <c r="P3146" s="1" t="s">
        <v>30</v>
      </c>
      <c r="Q3146">
        <v>127.3</v>
      </c>
    </row>
    <row r="3147" spans="1:17" x14ac:dyDescent="0.3">
      <c r="A3147">
        <v>2022</v>
      </c>
      <c r="B3147" t="s">
        <v>44</v>
      </c>
      <c r="C3147" t="s">
        <v>165</v>
      </c>
      <c r="D3147" s="1" t="s">
        <v>4</v>
      </c>
      <c r="E3147" s="4">
        <v>207.2</v>
      </c>
      <c r="F3147" s="4">
        <v>209.4</v>
      </c>
      <c r="G3147" s="4">
        <v>213.4</v>
      </c>
      <c r="H3147" s="1" t="s">
        <v>188</v>
      </c>
      <c r="K3147">
        <v>2016</v>
      </c>
      <c r="L3147" t="s">
        <v>45</v>
      </c>
      <c r="M3147" t="s">
        <v>92</v>
      </c>
      <c r="N3147" t="s">
        <v>25</v>
      </c>
      <c r="O3147" t="s">
        <v>195</v>
      </c>
      <c r="P3147" s="1" t="s">
        <v>34</v>
      </c>
      <c r="Q3147">
        <v>124.2</v>
      </c>
    </row>
    <row r="3148" spans="1:17" x14ac:dyDescent="0.3">
      <c r="A3148">
        <v>2022</v>
      </c>
      <c r="B3148" t="s">
        <v>44</v>
      </c>
      <c r="C3148" t="s">
        <v>165</v>
      </c>
      <c r="D3148" s="1" t="s">
        <v>6</v>
      </c>
      <c r="E3148" s="4">
        <v>172.3</v>
      </c>
      <c r="F3148" s="4">
        <v>172.3</v>
      </c>
      <c r="G3148" s="4">
        <v>172.3</v>
      </c>
      <c r="H3148" s="1" t="s">
        <v>188</v>
      </c>
      <c r="K3148">
        <v>2016</v>
      </c>
      <c r="L3148" t="s">
        <v>45</v>
      </c>
      <c r="M3148" t="s">
        <v>92</v>
      </c>
      <c r="N3148" t="s">
        <v>25</v>
      </c>
      <c r="O3148" t="s">
        <v>195</v>
      </c>
      <c r="P3148" s="1" t="s">
        <v>33</v>
      </c>
      <c r="Q3148">
        <v>121.8</v>
      </c>
    </row>
    <row r="3149" spans="1:17" x14ac:dyDescent="0.3">
      <c r="A3149">
        <v>2022</v>
      </c>
      <c r="B3149" t="s">
        <v>44</v>
      </c>
      <c r="C3149" t="s">
        <v>165</v>
      </c>
      <c r="D3149" s="1" t="s">
        <v>28</v>
      </c>
      <c r="E3149" s="4">
        <v>174.6</v>
      </c>
      <c r="F3149" s="4">
        <v>171.1</v>
      </c>
      <c r="G3149" s="4">
        <v>167.4</v>
      </c>
      <c r="H3149" s="1" t="s">
        <v>192</v>
      </c>
      <c r="K3149">
        <v>2016</v>
      </c>
      <c r="L3149" t="s">
        <v>45</v>
      </c>
      <c r="M3149" t="s">
        <v>92</v>
      </c>
      <c r="N3149" t="s">
        <v>12</v>
      </c>
      <c r="O3149" t="s">
        <v>188</v>
      </c>
      <c r="P3149" s="1" t="s">
        <v>30</v>
      </c>
      <c r="Q3149">
        <v>137.5</v>
      </c>
    </row>
    <row r="3150" spans="1:17" x14ac:dyDescent="0.3">
      <c r="A3150">
        <v>2022</v>
      </c>
      <c r="B3150" t="s">
        <v>44</v>
      </c>
      <c r="C3150" t="s">
        <v>165</v>
      </c>
      <c r="D3150" s="1" t="s">
        <v>13</v>
      </c>
      <c r="E3150" s="4">
        <v>176.4</v>
      </c>
      <c r="F3150" s="4">
        <v>170.4</v>
      </c>
      <c r="G3150" s="4">
        <v>162.1</v>
      </c>
      <c r="H3150" s="1" t="s">
        <v>188</v>
      </c>
      <c r="K3150">
        <v>2016</v>
      </c>
      <c r="L3150" t="s">
        <v>45</v>
      </c>
      <c r="M3150" t="s">
        <v>92</v>
      </c>
      <c r="N3150" t="s">
        <v>12</v>
      </c>
      <c r="O3150" t="s">
        <v>188</v>
      </c>
      <c r="P3150" s="1" t="s">
        <v>34</v>
      </c>
      <c r="Q3150">
        <v>140.19999999999999</v>
      </c>
    </row>
    <row r="3151" spans="1:17" x14ac:dyDescent="0.3">
      <c r="A3151">
        <v>2022</v>
      </c>
      <c r="B3151" t="s">
        <v>44</v>
      </c>
      <c r="C3151" t="s">
        <v>165</v>
      </c>
      <c r="D3151" s="1" t="s">
        <v>7</v>
      </c>
      <c r="E3151" s="4">
        <v>194</v>
      </c>
      <c r="F3151" s="4">
        <v>188.9</v>
      </c>
      <c r="G3151" s="4">
        <v>180</v>
      </c>
      <c r="H3151" s="1" t="s">
        <v>188</v>
      </c>
      <c r="K3151">
        <v>2016</v>
      </c>
      <c r="L3151" t="s">
        <v>45</v>
      </c>
      <c r="M3151" t="s">
        <v>92</v>
      </c>
      <c r="N3151" t="s">
        <v>12</v>
      </c>
      <c r="O3151" t="s">
        <v>188</v>
      </c>
      <c r="P3151" s="1" t="s">
        <v>33</v>
      </c>
      <c r="Q3151">
        <v>145.5</v>
      </c>
    </row>
    <row r="3152" spans="1:17" x14ac:dyDescent="0.3">
      <c r="A3152">
        <v>2022</v>
      </c>
      <c r="B3152" t="s">
        <v>44</v>
      </c>
      <c r="C3152" t="s">
        <v>165</v>
      </c>
      <c r="D3152" s="1" t="s">
        <v>16</v>
      </c>
      <c r="E3152" s="4">
        <v>195.5</v>
      </c>
      <c r="F3152" s="4">
        <v>196.9</v>
      </c>
      <c r="G3152" s="4">
        <v>200.6</v>
      </c>
      <c r="H3152" s="1" t="s">
        <v>192</v>
      </c>
      <c r="K3152">
        <v>2016</v>
      </c>
      <c r="L3152" t="s">
        <v>45</v>
      </c>
      <c r="M3152" t="s">
        <v>92</v>
      </c>
      <c r="N3152" t="s">
        <v>11</v>
      </c>
      <c r="O3152" t="s">
        <v>188</v>
      </c>
      <c r="P3152" s="1" t="s">
        <v>30</v>
      </c>
      <c r="Q3152">
        <v>113.8</v>
      </c>
    </row>
    <row r="3153" spans="1:17" x14ac:dyDescent="0.3">
      <c r="A3153">
        <v>2022</v>
      </c>
      <c r="B3153" t="s">
        <v>44</v>
      </c>
      <c r="C3153" t="s">
        <v>165</v>
      </c>
      <c r="D3153" s="1" t="s">
        <v>27</v>
      </c>
      <c r="E3153" s="4">
        <v>173.4</v>
      </c>
      <c r="F3153" s="4">
        <v>173.6</v>
      </c>
      <c r="G3153" s="4">
        <v>173.8</v>
      </c>
      <c r="H3153" s="1" t="s">
        <v>192</v>
      </c>
      <c r="K3153">
        <v>2016</v>
      </c>
      <c r="L3153" t="s">
        <v>45</v>
      </c>
      <c r="M3153" t="s">
        <v>92</v>
      </c>
      <c r="N3153" t="s">
        <v>11</v>
      </c>
      <c r="O3153" t="s">
        <v>188</v>
      </c>
      <c r="P3153" s="1" t="s">
        <v>34</v>
      </c>
      <c r="Q3153">
        <v>114.4</v>
      </c>
    </row>
    <row r="3154" spans="1:17" x14ac:dyDescent="0.3">
      <c r="A3154">
        <v>2022</v>
      </c>
      <c r="B3154" t="s">
        <v>44</v>
      </c>
      <c r="C3154" t="s">
        <v>165</v>
      </c>
      <c r="D3154" s="1" t="s">
        <v>14</v>
      </c>
      <c r="E3154" s="4">
        <v>186.9</v>
      </c>
      <c r="F3154" s="4">
        <v>189.5</v>
      </c>
      <c r="G3154" s="4">
        <v>192.4</v>
      </c>
      <c r="H3154" s="1" t="s">
        <v>188</v>
      </c>
      <c r="K3154">
        <v>2016</v>
      </c>
      <c r="L3154" t="s">
        <v>45</v>
      </c>
      <c r="M3154" t="s">
        <v>92</v>
      </c>
      <c r="N3154" t="s">
        <v>11</v>
      </c>
      <c r="O3154" t="s">
        <v>188</v>
      </c>
      <c r="P3154" s="1" t="s">
        <v>33</v>
      </c>
      <c r="Q3154">
        <v>115.5</v>
      </c>
    </row>
    <row r="3155" spans="1:17" x14ac:dyDescent="0.3">
      <c r="A3155">
        <v>2022</v>
      </c>
      <c r="B3155" t="s">
        <v>44</v>
      </c>
      <c r="C3155" t="s">
        <v>165</v>
      </c>
      <c r="D3155" s="1" t="s">
        <v>10</v>
      </c>
      <c r="E3155" s="4">
        <v>170.2</v>
      </c>
      <c r="F3155" s="4">
        <v>170.5</v>
      </c>
      <c r="G3155" s="4">
        <v>171</v>
      </c>
      <c r="H3155" s="1" t="s">
        <v>188</v>
      </c>
      <c r="K3155">
        <v>2016</v>
      </c>
      <c r="L3155" t="s">
        <v>45</v>
      </c>
      <c r="M3155" t="s">
        <v>92</v>
      </c>
      <c r="N3155" t="s">
        <v>24</v>
      </c>
      <c r="O3155" t="s">
        <v>191</v>
      </c>
      <c r="P3155" s="1" t="s">
        <v>30</v>
      </c>
      <c r="Q3155">
        <v>118.6</v>
      </c>
    </row>
    <row r="3156" spans="1:17" x14ac:dyDescent="0.3">
      <c r="A3156">
        <v>2022</v>
      </c>
      <c r="B3156" t="s">
        <v>44</v>
      </c>
      <c r="C3156" t="s">
        <v>165</v>
      </c>
      <c r="D3156" s="1" t="s">
        <v>25</v>
      </c>
      <c r="E3156" s="4">
        <v>170.8</v>
      </c>
      <c r="F3156" s="4">
        <v>168.5</v>
      </c>
      <c r="G3156" s="4">
        <v>166.7</v>
      </c>
      <c r="H3156" s="1" t="s">
        <v>195</v>
      </c>
      <c r="K3156">
        <v>2016</v>
      </c>
      <c r="L3156" t="s">
        <v>45</v>
      </c>
      <c r="M3156" t="s">
        <v>92</v>
      </c>
      <c r="N3156" t="s">
        <v>24</v>
      </c>
      <c r="O3156" t="s">
        <v>191</v>
      </c>
      <c r="P3156" s="1" t="s">
        <v>34</v>
      </c>
      <c r="Q3156">
        <v>116</v>
      </c>
    </row>
    <row r="3157" spans="1:17" x14ac:dyDescent="0.3">
      <c r="A3157">
        <v>2022</v>
      </c>
      <c r="B3157" t="s">
        <v>44</v>
      </c>
      <c r="C3157" t="s">
        <v>165</v>
      </c>
      <c r="D3157" s="1" t="s">
        <v>12</v>
      </c>
      <c r="E3157" s="4">
        <v>204.8</v>
      </c>
      <c r="F3157" s="4">
        <v>202.8</v>
      </c>
      <c r="G3157" s="4">
        <v>198.8</v>
      </c>
      <c r="H3157" s="1" t="s">
        <v>188</v>
      </c>
      <c r="K3157">
        <v>2016</v>
      </c>
      <c r="L3157" t="s">
        <v>45</v>
      </c>
      <c r="M3157" t="s">
        <v>92</v>
      </c>
      <c r="N3157" t="s">
        <v>24</v>
      </c>
      <c r="O3157" t="s">
        <v>191</v>
      </c>
      <c r="P3157" s="1" t="s">
        <v>33</v>
      </c>
      <c r="Q3157">
        <v>113.7</v>
      </c>
    </row>
    <row r="3158" spans="1:17" x14ac:dyDescent="0.3">
      <c r="A3158">
        <v>2022</v>
      </c>
      <c r="B3158" t="s">
        <v>44</v>
      </c>
      <c r="C3158" t="s">
        <v>165</v>
      </c>
      <c r="D3158" s="1" t="s">
        <v>11</v>
      </c>
      <c r="E3158" s="4">
        <v>121.5</v>
      </c>
      <c r="F3158" s="4">
        <v>122.1</v>
      </c>
      <c r="G3158" s="4">
        <v>123.4</v>
      </c>
      <c r="H3158" s="1" t="s">
        <v>188</v>
      </c>
      <c r="K3158">
        <v>2016</v>
      </c>
      <c r="L3158" t="s">
        <v>45</v>
      </c>
      <c r="M3158" t="s">
        <v>92</v>
      </c>
      <c r="N3158" t="s">
        <v>9</v>
      </c>
      <c r="O3158" t="s">
        <v>188</v>
      </c>
      <c r="P3158" s="1" t="s">
        <v>30</v>
      </c>
      <c r="Q3158">
        <v>127.5</v>
      </c>
    </row>
    <row r="3159" spans="1:17" x14ac:dyDescent="0.3">
      <c r="A3159">
        <v>2022</v>
      </c>
      <c r="B3159" t="s">
        <v>44</v>
      </c>
      <c r="C3159" t="s">
        <v>165</v>
      </c>
      <c r="D3159" s="1" t="s">
        <v>24</v>
      </c>
      <c r="E3159" s="4">
        <v>167.5</v>
      </c>
      <c r="F3159" s="4">
        <v>163</v>
      </c>
      <c r="G3159" s="4">
        <v>158.9</v>
      </c>
      <c r="H3159" s="1" t="s">
        <v>191</v>
      </c>
      <c r="K3159">
        <v>2016</v>
      </c>
      <c r="L3159" t="s">
        <v>45</v>
      </c>
      <c r="M3159" t="s">
        <v>92</v>
      </c>
      <c r="N3159" t="s">
        <v>9</v>
      </c>
      <c r="O3159" t="s">
        <v>188</v>
      </c>
      <c r="P3159" s="1" t="s">
        <v>34</v>
      </c>
      <c r="Q3159">
        <v>125.3</v>
      </c>
    </row>
    <row r="3160" spans="1:17" x14ac:dyDescent="0.3">
      <c r="A3160">
        <v>2022</v>
      </c>
      <c r="B3160" t="s">
        <v>44</v>
      </c>
      <c r="C3160" t="s">
        <v>165</v>
      </c>
      <c r="D3160" s="1" t="s">
        <v>9</v>
      </c>
      <c r="E3160" s="4">
        <v>171.6</v>
      </c>
      <c r="F3160" s="4">
        <v>183.1</v>
      </c>
      <c r="G3160" s="4">
        <v>205.5</v>
      </c>
      <c r="H3160" s="1" t="s">
        <v>188</v>
      </c>
      <c r="K3160">
        <v>2016</v>
      </c>
      <c r="L3160" t="s">
        <v>45</v>
      </c>
      <c r="M3160" t="s">
        <v>92</v>
      </c>
      <c r="N3160" t="s">
        <v>9</v>
      </c>
      <c r="O3160" t="s">
        <v>188</v>
      </c>
      <c r="P3160" s="1" t="s">
        <v>33</v>
      </c>
      <c r="Q3160">
        <v>121.1</v>
      </c>
    </row>
    <row r="3161" spans="1:17" x14ac:dyDescent="0.3">
      <c r="A3161">
        <v>2022</v>
      </c>
      <c r="B3161" t="s">
        <v>43</v>
      </c>
      <c r="C3161" t="s">
        <v>166</v>
      </c>
      <c r="D3161" s="1" t="s">
        <v>3</v>
      </c>
      <c r="E3161" s="4">
        <v>164.7</v>
      </c>
      <c r="F3161" s="4">
        <v>165.2</v>
      </c>
      <c r="G3161" s="4">
        <v>166.4</v>
      </c>
      <c r="H3161" s="1" t="s">
        <v>188</v>
      </c>
      <c r="K3161">
        <v>2016</v>
      </c>
      <c r="L3161" t="s">
        <v>35</v>
      </c>
      <c r="M3161" t="s">
        <v>93</v>
      </c>
      <c r="N3161" t="s">
        <v>3</v>
      </c>
      <c r="O3161" t="s">
        <v>188</v>
      </c>
      <c r="P3161" s="1" t="s">
        <v>30</v>
      </c>
      <c r="Q3161">
        <v>127.1</v>
      </c>
    </row>
    <row r="3162" spans="1:17" x14ac:dyDescent="0.3">
      <c r="A3162">
        <v>2022</v>
      </c>
      <c r="B3162" t="s">
        <v>43</v>
      </c>
      <c r="C3162" t="s">
        <v>166</v>
      </c>
      <c r="D3162" s="1" t="s">
        <v>17</v>
      </c>
      <c r="E3162" s="4">
        <v>186.1</v>
      </c>
      <c r="F3162" s="4">
        <v>181.9</v>
      </c>
      <c r="G3162" s="4">
        <v>175.5</v>
      </c>
      <c r="H3162" s="1" t="s">
        <v>189</v>
      </c>
      <c r="K3162">
        <v>2016</v>
      </c>
      <c r="L3162" t="s">
        <v>35</v>
      </c>
      <c r="M3162" t="s">
        <v>93</v>
      </c>
      <c r="N3162" t="s">
        <v>3</v>
      </c>
      <c r="O3162" t="s">
        <v>188</v>
      </c>
      <c r="P3162" s="1" t="s">
        <v>34</v>
      </c>
      <c r="Q3162">
        <v>126.4</v>
      </c>
    </row>
    <row r="3163" spans="1:17" x14ac:dyDescent="0.3">
      <c r="A3163">
        <v>2022</v>
      </c>
      <c r="B3163" t="s">
        <v>43</v>
      </c>
      <c r="C3163" t="s">
        <v>166</v>
      </c>
      <c r="D3163" s="1" t="s">
        <v>19</v>
      </c>
      <c r="E3163" s="4">
        <v>185.9</v>
      </c>
      <c r="F3163" s="4">
        <v>181</v>
      </c>
      <c r="G3163" s="4">
        <v>173.6</v>
      </c>
      <c r="H3163" s="1" t="s">
        <v>189</v>
      </c>
      <c r="K3163">
        <v>2016</v>
      </c>
      <c r="L3163" t="s">
        <v>35</v>
      </c>
      <c r="M3163" t="s">
        <v>93</v>
      </c>
      <c r="N3163" t="s">
        <v>3</v>
      </c>
      <c r="O3163" t="s">
        <v>188</v>
      </c>
      <c r="P3163" s="1" t="s">
        <v>33</v>
      </c>
      <c r="Q3163">
        <v>124.8</v>
      </c>
    </row>
    <row r="3164" spans="1:17" x14ac:dyDescent="0.3">
      <c r="A3164">
        <v>2022</v>
      </c>
      <c r="B3164" t="s">
        <v>43</v>
      </c>
      <c r="C3164" t="s">
        <v>166</v>
      </c>
      <c r="D3164" s="1" t="s">
        <v>26</v>
      </c>
      <c r="E3164" s="4">
        <v>176.5</v>
      </c>
      <c r="F3164" s="4">
        <v>173.4</v>
      </c>
      <c r="G3164" s="4">
        <v>171.2</v>
      </c>
      <c r="H3164" s="1" t="s">
        <v>26</v>
      </c>
      <c r="K3164">
        <v>2016</v>
      </c>
      <c r="L3164" t="s">
        <v>35</v>
      </c>
      <c r="M3164" t="s">
        <v>93</v>
      </c>
      <c r="N3164" t="s">
        <v>17</v>
      </c>
      <c r="O3164" t="s">
        <v>189</v>
      </c>
      <c r="P3164" s="1" t="s">
        <v>30</v>
      </c>
      <c r="Q3164">
        <v>133.9</v>
      </c>
    </row>
    <row r="3165" spans="1:17" x14ac:dyDescent="0.3">
      <c r="A3165">
        <v>2022</v>
      </c>
      <c r="B3165" t="s">
        <v>43</v>
      </c>
      <c r="C3165" t="s">
        <v>166</v>
      </c>
      <c r="D3165" s="1" t="s">
        <v>5</v>
      </c>
      <c r="E3165" s="4">
        <v>170.3</v>
      </c>
      <c r="F3165" s="4">
        <v>170.9</v>
      </c>
      <c r="G3165" s="4">
        <v>171.9</v>
      </c>
      <c r="H3165" s="1" t="s">
        <v>188</v>
      </c>
      <c r="K3165">
        <v>2016</v>
      </c>
      <c r="L3165" t="s">
        <v>35</v>
      </c>
      <c r="M3165" t="s">
        <v>93</v>
      </c>
      <c r="N3165" t="s">
        <v>17</v>
      </c>
      <c r="O3165" t="s">
        <v>189</v>
      </c>
      <c r="P3165" s="1" t="s">
        <v>34</v>
      </c>
      <c r="Q3165">
        <v>130.9</v>
      </c>
    </row>
    <row r="3166" spans="1:17" x14ac:dyDescent="0.3">
      <c r="A3166">
        <v>2022</v>
      </c>
      <c r="B3166" t="s">
        <v>43</v>
      </c>
      <c r="C3166" t="s">
        <v>166</v>
      </c>
      <c r="D3166" s="1" t="s">
        <v>15</v>
      </c>
      <c r="E3166" s="4">
        <v>177.4</v>
      </c>
      <c r="F3166" s="4">
        <v>179.6</v>
      </c>
      <c r="G3166" s="4">
        <v>183.3</v>
      </c>
      <c r="H3166" s="1" t="s">
        <v>188</v>
      </c>
      <c r="K3166">
        <v>2016</v>
      </c>
      <c r="L3166" t="s">
        <v>35</v>
      </c>
      <c r="M3166" t="s">
        <v>93</v>
      </c>
      <c r="N3166" t="s">
        <v>17</v>
      </c>
      <c r="O3166" t="s">
        <v>189</v>
      </c>
      <c r="P3166" s="1" t="s">
        <v>33</v>
      </c>
      <c r="Q3166">
        <v>126.2</v>
      </c>
    </row>
    <row r="3167" spans="1:17" x14ac:dyDescent="0.3">
      <c r="A3167">
        <v>2022</v>
      </c>
      <c r="B3167" t="s">
        <v>43</v>
      </c>
      <c r="C3167" t="s">
        <v>166</v>
      </c>
      <c r="D3167" s="1" t="s">
        <v>18</v>
      </c>
      <c r="E3167" s="4">
        <v>184.4</v>
      </c>
      <c r="F3167" s="4">
        <v>175.3</v>
      </c>
      <c r="G3167" s="4">
        <v>162.6</v>
      </c>
      <c r="H3167" s="1" t="s">
        <v>189</v>
      </c>
      <c r="K3167">
        <v>2016</v>
      </c>
      <c r="L3167" t="s">
        <v>35</v>
      </c>
      <c r="M3167" t="s">
        <v>93</v>
      </c>
      <c r="N3167" t="s">
        <v>19</v>
      </c>
      <c r="O3167" t="s">
        <v>189</v>
      </c>
      <c r="P3167" s="1" t="s">
        <v>30</v>
      </c>
      <c r="Q3167">
        <v>133.4</v>
      </c>
    </row>
    <row r="3168" spans="1:17" x14ac:dyDescent="0.3">
      <c r="A3168">
        <v>2022</v>
      </c>
      <c r="B3168" t="s">
        <v>43</v>
      </c>
      <c r="C3168" t="s">
        <v>166</v>
      </c>
      <c r="D3168" s="1" t="s">
        <v>8</v>
      </c>
      <c r="E3168" s="4">
        <v>162.19999999999999</v>
      </c>
      <c r="F3168" s="4">
        <v>163.80000000000001</v>
      </c>
      <c r="G3168" s="4">
        <v>165.7</v>
      </c>
      <c r="H3168" s="1" t="s">
        <v>188</v>
      </c>
      <c r="K3168">
        <v>2016</v>
      </c>
      <c r="L3168" t="s">
        <v>35</v>
      </c>
      <c r="M3168" t="s">
        <v>93</v>
      </c>
      <c r="N3168" t="s">
        <v>19</v>
      </c>
      <c r="O3168" t="s">
        <v>189</v>
      </c>
      <c r="P3168" s="1" t="s">
        <v>34</v>
      </c>
      <c r="Q3168">
        <v>130.19999999999999</v>
      </c>
    </row>
    <row r="3169" spans="1:17" x14ac:dyDescent="0.3">
      <c r="A3169">
        <v>2022</v>
      </c>
      <c r="B3169" t="s">
        <v>43</v>
      </c>
      <c r="C3169" t="s">
        <v>166</v>
      </c>
      <c r="D3169" s="1" t="s">
        <v>21</v>
      </c>
      <c r="E3169" s="4">
        <v>180.8</v>
      </c>
      <c r="F3169" s="4">
        <v>180.5</v>
      </c>
      <c r="G3169" s="4">
        <v>180</v>
      </c>
      <c r="H3169" s="1" t="s">
        <v>190</v>
      </c>
      <c r="K3169">
        <v>2016</v>
      </c>
      <c r="L3169" t="s">
        <v>35</v>
      </c>
      <c r="M3169" t="s">
        <v>93</v>
      </c>
      <c r="N3169" t="s">
        <v>19</v>
      </c>
      <c r="O3169" t="s">
        <v>189</v>
      </c>
      <c r="P3169" s="1" t="s">
        <v>33</v>
      </c>
      <c r="Q3169">
        <v>125.3</v>
      </c>
    </row>
    <row r="3170" spans="1:17" x14ac:dyDescent="0.3">
      <c r="A3170">
        <v>2022</v>
      </c>
      <c r="B3170" t="s">
        <v>43</v>
      </c>
      <c r="C3170" t="s">
        <v>166</v>
      </c>
      <c r="D3170" s="1" t="s">
        <v>29</v>
      </c>
      <c r="E3170" s="4">
        <v>177.9</v>
      </c>
      <c r="F3170" s="4">
        <v>176.7</v>
      </c>
      <c r="G3170" s="4">
        <v>175.3</v>
      </c>
      <c r="H3170" s="1" t="s">
        <v>206</v>
      </c>
      <c r="K3170">
        <v>2016</v>
      </c>
      <c r="L3170" t="s">
        <v>35</v>
      </c>
      <c r="M3170" t="s">
        <v>93</v>
      </c>
      <c r="N3170" t="s">
        <v>26</v>
      </c>
      <c r="O3170" t="s">
        <v>26</v>
      </c>
      <c r="P3170" s="1" t="s">
        <v>30</v>
      </c>
      <c r="Q3170">
        <v>127.1</v>
      </c>
    </row>
    <row r="3171" spans="1:17" x14ac:dyDescent="0.3">
      <c r="A3171">
        <v>2022</v>
      </c>
      <c r="B3171" t="s">
        <v>43</v>
      </c>
      <c r="C3171" t="s">
        <v>166</v>
      </c>
      <c r="D3171" s="1" t="s">
        <v>23</v>
      </c>
      <c r="E3171" s="4">
        <v>181.2</v>
      </c>
      <c r="F3171" s="4">
        <v>178.7</v>
      </c>
      <c r="G3171" s="4">
        <v>174.7</v>
      </c>
      <c r="H3171" s="1" t="s">
        <v>23</v>
      </c>
      <c r="K3171">
        <v>2016</v>
      </c>
      <c r="L3171" t="s">
        <v>35</v>
      </c>
      <c r="M3171" t="s">
        <v>93</v>
      </c>
      <c r="N3171" t="s">
        <v>26</v>
      </c>
      <c r="O3171" t="s">
        <v>26</v>
      </c>
      <c r="P3171" s="1" t="s">
        <v>34</v>
      </c>
      <c r="Q3171">
        <v>126.6</v>
      </c>
    </row>
    <row r="3172" spans="1:17" x14ac:dyDescent="0.3">
      <c r="A3172">
        <v>2022</v>
      </c>
      <c r="B3172" t="s">
        <v>43</v>
      </c>
      <c r="C3172" t="s">
        <v>166</v>
      </c>
      <c r="D3172" s="1" t="s">
        <v>22</v>
      </c>
      <c r="E3172" s="4">
        <v>174.4</v>
      </c>
      <c r="F3172" s="4">
        <v>170.4</v>
      </c>
      <c r="G3172" s="4">
        <v>166</v>
      </c>
      <c r="H3172" s="1" t="s">
        <v>20</v>
      </c>
      <c r="K3172">
        <v>2016</v>
      </c>
      <c r="L3172" t="s">
        <v>35</v>
      </c>
      <c r="M3172" t="s">
        <v>93</v>
      </c>
      <c r="N3172" t="s">
        <v>26</v>
      </c>
      <c r="O3172" t="s">
        <v>26</v>
      </c>
      <c r="P3172" s="1" t="s">
        <v>33</v>
      </c>
      <c r="Q3172">
        <v>126.3</v>
      </c>
    </row>
    <row r="3173" spans="1:17" x14ac:dyDescent="0.3">
      <c r="A3173">
        <v>2022</v>
      </c>
      <c r="B3173" t="s">
        <v>43</v>
      </c>
      <c r="C3173" t="s">
        <v>166</v>
      </c>
      <c r="D3173" s="1" t="s">
        <v>20</v>
      </c>
      <c r="E3173" s="4">
        <v>0</v>
      </c>
      <c r="F3173" s="4">
        <v>171.2</v>
      </c>
      <c r="G3173" s="4">
        <v>171.2</v>
      </c>
      <c r="H3173" s="1" t="s">
        <v>20</v>
      </c>
      <c r="K3173">
        <v>2016</v>
      </c>
      <c r="L3173" t="s">
        <v>35</v>
      </c>
      <c r="M3173" t="s">
        <v>93</v>
      </c>
      <c r="N3173" t="s">
        <v>5</v>
      </c>
      <c r="O3173" t="s">
        <v>188</v>
      </c>
      <c r="P3173" s="1" t="s">
        <v>30</v>
      </c>
      <c r="Q3173">
        <v>127.7</v>
      </c>
    </row>
    <row r="3174" spans="1:17" x14ac:dyDescent="0.3">
      <c r="A3174">
        <v>2022</v>
      </c>
      <c r="B3174" t="s">
        <v>43</v>
      </c>
      <c r="C3174" t="s">
        <v>166</v>
      </c>
      <c r="D3174" s="1" t="s">
        <v>4</v>
      </c>
      <c r="E3174" s="4">
        <v>208.8</v>
      </c>
      <c r="F3174" s="4">
        <v>210.9</v>
      </c>
      <c r="G3174" s="4">
        <v>214.9</v>
      </c>
      <c r="H3174" s="1" t="s">
        <v>188</v>
      </c>
      <c r="K3174">
        <v>2016</v>
      </c>
      <c r="L3174" t="s">
        <v>35</v>
      </c>
      <c r="M3174" t="s">
        <v>93</v>
      </c>
      <c r="N3174" t="s">
        <v>5</v>
      </c>
      <c r="O3174" t="s">
        <v>188</v>
      </c>
      <c r="P3174" s="1" t="s">
        <v>34</v>
      </c>
      <c r="Q3174">
        <v>128.69999999999999</v>
      </c>
    </row>
    <row r="3175" spans="1:17" x14ac:dyDescent="0.3">
      <c r="A3175">
        <v>2022</v>
      </c>
      <c r="B3175" t="s">
        <v>43</v>
      </c>
      <c r="C3175" t="s">
        <v>166</v>
      </c>
      <c r="D3175" s="1" t="s">
        <v>6</v>
      </c>
      <c r="E3175" s="4">
        <v>170.9</v>
      </c>
      <c r="F3175" s="4">
        <v>170.9</v>
      </c>
      <c r="G3175" s="4">
        <v>171</v>
      </c>
      <c r="H3175" s="1" t="s">
        <v>188</v>
      </c>
      <c r="K3175">
        <v>2016</v>
      </c>
      <c r="L3175" t="s">
        <v>35</v>
      </c>
      <c r="M3175" t="s">
        <v>93</v>
      </c>
      <c r="N3175" t="s">
        <v>5</v>
      </c>
      <c r="O3175" t="s">
        <v>188</v>
      </c>
      <c r="P3175" s="1" t="s">
        <v>33</v>
      </c>
      <c r="Q3175">
        <v>130.30000000000001</v>
      </c>
    </row>
    <row r="3176" spans="1:17" x14ac:dyDescent="0.3">
      <c r="A3176">
        <v>2022</v>
      </c>
      <c r="B3176" t="s">
        <v>43</v>
      </c>
      <c r="C3176" t="s">
        <v>166</v>
      </c>
      <c r="D3176" s="1" t="s">
        <v>28</v>
      </c>
      <c r="E3176" s="4">
        <v>173.9</v>
      </c>
      <c r="F3176" s="4">
        <v>170.5</v>
      </c>
      <c r="G3176" s="4">
        <v>166.8</v>
      </c>
      <c r="H3176" s="1" t="s">
        <v>192</v>
      </c>
      <c r="K3176">
        <v>2016</v>
      </c>
      <c r="L3176" t="s">
        <v>35</v>
      </c>
      <c r="M3176" t="s">
        <v>93</v>
      </c>
      <c r="N3176" t="s">
        <v>15</v>
      </c>
      <c r="O3176" t="s">
        <v>188</v>
      </c>
      <c r="P3176" s="1" t="s">
        <v>30</v>
      </c>
      <c r="Q3176">
        <v>130.30000000000001</v>
      </c>
    </row>
    <row r="3177" spans="1:17" x14ac:dyDescent="0.3">
      <c r="A3177">
        <v>2022</v>
      </c>
      <c r="B3177" t="s">
        <v>43</v>
      </c>
      <c r="C3177" t="s">
        <v>166</v>
      </c>
      <c r="D3177" s="1" t="s">
        <v>13</v>
      </c>
      <c r="E3177" s="4">
        <v>175.8</v>
      </c>
      <c r="F3177" s="4">
        <v>169.9</v>
      </c>
      <c r="G3177" s="4">
        <v>161.6</v>
      </c>
      <c r="H3177" s="1" t="s">
        <v>188</v>
      </c>
      <c r="K3177">
        <v>2016</v>
      </c>
      <c r="L3177" t="s">
        <v>35</v>
      </c>
      <c r="M3177" t="s">
        <v>93</v>
      </c>
      <c r="N3177" t="s">
        <v>15</v>
      </c>
      <c r="O3177" t="s">
        <v>188</v>
      </c>
      <c r="P3177" s="1" t="s">
        <v>34</v>
      </c>
      <c r="Q3177">
        <v>129.9</v>
      </c>
    </row>
    <row r="3178" spans="1:17" x14ac:dyDescent="0.3">
      <c r="A3178">
        <v>2022</v>
      </c>
      <c r="B3178" t="s">
        <v>43</v>
      </c>
      <c r="C3178" t="s">
        <v>166</v>
      </c>
      <c r="D3178" s="1" t="s">
        <v>7</v>
      </c>
      <c r="E3178" s="4">
        <v>191.6</v>
      </c>
      <c r="F3178" s="4">
        <v>186.5</v>
      </c>
      <c r="G3178" s="4">
        <v>177.7</v>
      </c>
      <c r="H3178" s="1" t="s">
        <v>188</v>
      </c>
      <c r="K3178">
        <v>2016</v>
      </c>
      <c r="L3178" t="s">
        <v>35</v>
      </c>
      <c r="M3178" t="s">
        <v>93</v>
      </c>
      <c r="N3178" t="s">
        <v>15</v>
      </c>
      <c r="O3178" t="s">
        <v>188</v>
      </c>
      <c r="P3178" s="1" t="s">
        <v>33</v>
      </c>
      <c r="Q3178">
        <v>129.1</v>
      </c>
    </row>
    <row r="3179" spans="1:17" x14ac:dyDescent="0.3">
      <c r="A3179">
        <v>2022</v>
      </c>
      <c r="B3179" t="s">
        <v>43</v>
      </c>
      <c r="C3179" t="s">
        <v>166</v>
      </c>
      <c r="D3179" s="1" t="s">
        <v>16</v>
      </c>
      <c r="E3179" s="4">
        <v>194.9</v>
      </c>
      <c r="F3179" s="4">
        <v>196.3</v>
      </c>
      <c r="G3179" s="4">
        <v>200.1</v>
      </c>
      <c r="H3179" s="1" t="s">
        <v>192</v>
      </c>
      <c r="K3179">
        <v>2016</v>
      </c>
      <c r="L3179" t="s">
        <v>35</v>
      </c>
      <c r="M3179" t="s">
        <v>93</v>
      </c>
      <c r="N3179" t="s">
        <v>18</v>
      </c>
      <c r="O3179" t="s">
        <v>189</v>
      </c>
      <c r="P3179" s="1" t="s">
        <v>30</v>
      </c>
      <c r="Q3179">
        <v>129.80000000000001</v>
      </c>
    </row>
    <row r="3180" spans="1:17" x14ac:dyDescent="0.3">
      <c r="A3180">
        <v>2022</v>
      </c>
      <c r="B3180" t="s">
        <v>43</v>
      </c>
      <c r="C3180" t="s">
        <v>166</v>
      </c>
      <c r="D3180" s="1" t="s">
        <v>27</v>
      </c>
      <c r="E3180" s="4">
        <v>172</v>
      </c>
      <c r="F3180" s="4">
        <v>172.1</v>
      </c>
      <c r="G3180" s="4">
        <v>172.3</v>
      </c>
      <c r="H3180" s="1" t="s">
        <v>192</v>
      </c>
      <c r="K3180">
        <v>2016</v>
      </c>
      <c r="L3180" t="s">
        <v>35</v>
      </c>
      <c r="M3180" t="s">
        <v>93</v>
      </c>
      <c r="N3180" t="s">
        <v>18</v>
      </c>
      <c r="O3180" t="s">
        <v>189</v>
      </c>
      <c r="P3180" s="1" t="s">
        <v>34</v>
      </c>
      <c r="Q3180">
        <v>125.8</v>
      </c>
    </row>
    <row r="3181" spans="1:17" x14ac:dyDescent="0.3">
      <c r="A3181">
        <v>2022</v>
      </c>
      <c r="B3181" t="s">
        <v>43</v>
      </c>
      <c r="C3181" t="s">
        <v>166</v>
      </c>
      <c r="D3181" s="1" t="s">
        <v>14</v>
      </c>
      <c r="E3181" s="4">
        <v>185.6</v>
      </c>
      <c r="F3181" s="4">
        <v>188.3</v>
      </c>
      <c r="G3181" s="4">
        <v>191.5</v>
      </c>
      <c r="H3181" s="1" t="s">
        <v>188</v>
      </c>
      <c r="K3181">
        <v>2016</v>
      </c>
      <c r="L3181" t="s">
        <v>35</v>
      </c>
      <c r="M3181" t="s">
        <v>93</v>
      </c>
      <c r="N3181" t="s">
        <v>18</v>
      </c>
      <c r="O3181" t="s">
        <v>189</v>
      </c>
      <c r="P3181" s="1" t="s">
        <v>33</v>
      </c>
      <c r="Q3181">
        <v>120.1</v>
      </c>
    </row>
    <row r="3182" spans="1:17" x14ac:dyDescent="0.3">
      <c r="A3182">
        <v>2022</v>
      </c>
      <c r="B3182" t="s">
        <v>43</v>
      </c>
      <c r="C3182" t="s">
        <v>166</v>
      </c>
      <c r="D3182" s="1" t="s">
        <v>10</v>
      </c>
      <c r="E3182" s="4">
        <v>169.7</v>
      </c>
      <c r="F3182" s="4">
        <v>169.8</v>
      </c>
      <c r="G3182" s="4">
        <v>169.9</v>
      </c>
      <c r="H3182" s="1" t="s">
        <v>188</v>
      </c>
      <c r="K3182">
        <v>2016</v>
      </c>
      <c r="L3182" t="s">
        <v>35</v>
      </c>
      <c r="M3182" t="s">
        <v>93</v>
      </c>
      <c r="N3182" t="s">
        <v>8</v>
      </c>
      <c r="O3182" t="s">
        <v>188</v>
      </c>
      <c r="P3182" s="1" t="s">
        <v>30</v>
      </c>
      <c r="Q3182">
        <v>130.4</v>
      </c>
    </row>
    <row r="3183" spans="1:17" x14ac:dyDescent="0.3">
      <c r="A3183">
        <v>2022</v>
      </c>
      <c r="B3183" t="s">
        <v>43</v>
      </c>
      <c r="C3183" t="s">
        <v>166</v>
      </c>
      <c r="D3183" s="1" t="s">
        <v>25</v>
      </c>
      <c r="E3183" s="4">
        <v>170.6</v>
      </c>
      <c r="F3183" s="4">
        <v>168.2</v>
      </c>
      <c r="G3183" s="4">
        <v>166.3</v>
      </c>
      <c r="H3183" s="1" t="s">
        <v>195</v>
      </c>
      <c r="K3183">
        <v>2016</v>
      </c>
      <c r="L3183" t="s">
        <v>35</v>
      </c>
      <c r="M3183" t="s">
        <v>93</v>
      </c>
      <c r="N3183" t="s">
        <v>8</v>
      </c>
      <c r="O3183" t="s">
        <v>188</v>
      </c>
      <c r="P3183" s="1" t="s">
        <v>34</v>
      </c>
      <c r="Q3183">
        <v>124.9</v>
      </c>
    </row>
    <row r="3184" spans="1:17" x14ac:dyDescent="0.3">
      <c r="A3184">
        <v>2022</v>
      </c>
      <c r="B3184" t="s">
        <v>43</v>
      </c>
      <c r="C3184" t="s">
        <v>166</v>
      </c>
      <c r="D3184" s="1" t="s">
        <v>12</v>
      </c>
      <c r="E3184" s="4">
        <v>201.6</v>
      </c>
      <c r="F3184" s="4">
        <v>199.9</v>
      </c>
      <c r="G3184" s="4">
        <v>196.4</v>
      </c>
      <c r="H3184" s="1" t="s">
        <v>188</v>
      </c>
      <c r="K3184">
        <v>2016</v>
      </c>
      <c r="L3184" t="s">
        <v>35</v>
      </c>
      <c r="M3184" t="s">
        <v>93</v>
      </c>
      <c r="N3184" t="s">
        <v>8</v>
      </c>
      <c r="O3184" t="s">
        <v>188</v>
      </c>
      <c r="P3184" s="1" t="s">
        <v>33</v>
      </c>
      <c r="Q3184">
        <v>118.6</v>
      </c>
    </row>
    <row r="3185" spans="1:17" x14ac:dyDescent="0.3">
      <c r="A3185">
        <v>2022</v>
      </c>
      <c r="B3185" t="s">
        <v>43</v>
      </c>
      <c r="C3185" t="s">
        <v>166</v>
      </c>
      <c r="D3185" s="1" t="s">
        <v>11</v>
      </c>
      <c r="E3185" s="4">
        <v>121.1</v>
      </c>
      <c r="F3185" s="4">
        <v>121.9</v>
      </c>
      <c r="G3185" s="4">
        <v>123.4</v>
      </c>
      <c r="H3185" s="1" t="s">
        <v>188</v>
      </c>
      <c r="K3185">
        <v>2016</v>
      </c>
      <c r="L3185" t="s">
        <v>35</v>
      </c>
      <c r="M3185" t="s">
        <v>93</v>
      </c>
      <c r="N3185" t="s">
        <v>21</v>
      </c>
      <c r="O3185" t="s">
        <v>190</v>
      </c>
      <c r="P3185" s="1" t="s">
        <v>30</v>
      </c>
      <c r="Q3185">
        <v>127.5</v>
      </c>
    </row>
    <row r="3186" spans="1:17" x14ac:dyDescent="0.3">
      <c r="A3186">
        <v>2022</v>
      </c>
      <c r="B3186" t="s">
        <v>43</v>
      </c>
      <c r="C3186" t="s">
        <v>166</v>
      </c>
      <c r="D3186" s="1" t="s">
        <v>24</v>
      </c>
      <c r="E3186" s="4">
        <v>167.4</v>
      </c>
      <c r="F3186" s="4">
        <v>162.9</v>
      </c>
      <c r="G3186" s="4">
        <v>158.80000000000001</v>
      </c>
      <c r="H3186" s="1" t="s">
        <v>191</v>
      </c>
      <c r="K3186">
        <v>2016</v>
      </c>
      <c r="L3186" t="s">
        <v>35</v>
      </c>
      <c r="M3186" t="s">
        <v>93</v>
      </c>
      <c r="N3186" t="s">
        <v>21</v>
      </c>
      <c r="O3186" t="s">
        <v>190</v>
      </c>
      <c r="P3186" s="1" t="s">
        <v>34</v>
      </c>
      <c r="Q3186">
        <v>123.1</v>
      </c>
    </row>
    <row r="3187" spans="1:17" x14ac:dyDescent="0.3">
      <c r="A3187">
        <v>2022</v>
      </c>
      <c r="B3187" t="s">
        <v>43</v>
      </c>
      <c r="C3187" t="s">
        <v>166</v>
      </c>
      <c r="D3187" s="1" t="s">
        <v>9</v>
      </c>
      <c r="E3187" s="4">
        <v>184.8</v>
      </c>
      <c r="F3187" s="4">
        <v>199.7</v>
      </c>
      <c r="G3187" s="4">
        <v>228.6</v>
      </c>
      <c r="H3187" s="1" t="s">
        <v>188</v>
      </c>
      <c r="K3187">
        <v>2016</v>
      </c>
      <c r="L3187" t="s">
        <v>35</v>
      </c>
      <c r="M3187" t="s">
        <v>93</v>
      </c>
      <c r="N3187" t="s">
        <v>21</v>
      </c>
      <c r="O3187" t="s">
        <v>190</v>
      </c>
      <c r="P3187" s="1" t="s">
        <v>33</v>
      </c>
      <c r="Q3187">
        <v>116</v>
      </c>
    </row>
    <row r="3188" spans="1:17" x14ac:dyDescent="0.3">
      <c r="A3188">
        <v>2022</v>
      </c>
      <c r="B3188" t="s">
        <v>42</v>
      </c>
      <c r="C3188" t="s">
        <v>167</v>
      </c>
      <c r="D3188" s="1" t="s">
        <v>3</v>
      </c>
      <c r="E3188" s="4">
        <v>162.9</v>
      </c>
      <c r="F3188" s="4">
        <v>163.5</v>
      </c>
      <c r="G3188" s="4">
        <v>164.9</v>
      </c>
      <c r="H3188" s="1" t="s">
        <v>188</v>
      </c>
      <c r="K3188">
        <v>2016</v>
      </c>
      <c r="L3188" t="s">
        <v>35</v>
      </c>
      <c r="M3188" t="s">
        <v>93</v>
      </c>
      <c r="N3188" t="s">
        <v>29</v>
      </c>
      <c r="O3188" t="s">
        <v>206</v>
      </c>
      <c r="P3188" s="1" t="s">
        <v>30</v>
      </c>
      <c r="Q3188">
        <v>127.9</v>
      </c>
    </row>
    <row r="3189" spans="1:17" x14ac:dyDescent="0.3">
      <c r="A3189">
        <v>2022</v>
      </c>
      <c r="B3189" t="s">
        <v>42</v>
      </c>
      <c r="C3189" t="s">
        <v>167</v>
      </c>
      <c r="D3189" s="1" t="s">
        <v>17</v>
      </c>
      <c r="E3189" s="4">
        <v>184.7</v>
      </c>
      <c r="F3189" s="4">
        <v>180.9</v>
      </c>
      <c r="G3189" s="4">
        <v>175</v>
      </c>
      <c r="H3189" s="1" t="s">
        <v>189</v>
      </c>
      <c r="K3189">
        <v>2016</v>
      </c>
      <c r="L3189" t="s">
        <v>35</v>
      </c>
      <c r="M3189" t="s">
        <v>93</v>
      </c>
      <c r="N3189" t="s">
        <v>29</v>
      </c>
      <c r="O3189" t="s">
        <v>206</v>
      </c>
      <c r="P3189" s="1" t="s">
        <v>34</v>
      </c>
      <c r="Q3189">
        <v>126</v>
      </c>
    </row>
    <row r="3190" spans="1:17" x14ac:dyDescent="0.3">
      <c r="A3190">
        <v>2022</v>
      </c>
      <c r="B3190" t="s">
        <v>42</v>
      </c>
      <c r="C3190" t="s">
        <v>167</v>
      </c>
      <c r="D3190" s="1" t="s">
        <v>19</v>
      </c>
      <c r="E3190" s="4">
        <v>184.5</v>
      </c>
      <c r="F3190" s="4">
        <v>179.9</v>
      </c>
      <c r="G3190" s="4">
        <v>173</v>
      </c>
      <c r="H3190" s="1" t="s">
        <v>189</v>
      </c>
      <c r="K3190">
        <v>2016</v>
      </c>
      <c r="L3190" t="s">
        <v>35</v>
      </c>
      <c r="M3190" t="s">
        <v>93</v>
      </c>
      <c r="N3190" t="s">
        <v>29</v>
      </c>
      <c r="O3190" t="s">
        <v>206</v>
      </c>
      <c r="P3190" s="1" t="s">
        <v>33</v>
      </c>
      <c r="Q3190">
        <v>123.8</v>
      </c>
    </row>
    <row r="3191" spans="1:17" x14ac:dyDescent="0.3">
      <c r="A3191">
        <v>2022</v>
      </c>
      <c r="B3191" t="s">
        <v>42</v>
      </c>
      <c r="C3191" t="s">
        <v>167</v>
      </c>
      <c r="D3191" s="1" t="s">
        <v>26</v>
      </c>
      <c r="E3191" s="4">
        <v>176.2</v>
      </c>
      <c r="F3191" s="4">
        <v>173.1</v>
      </c>
      <c r="G3191" s="4">
        <v>170.9</v>
      </c>
      <c r="H3191" s="1" t="s">
        <v>26</v>
      </c>
      <c r="K3191">
        <v>2016</v>
      </c>
      <c r="L3191" t="s">
        <v>35</v>
      </c>
      <c r="M3191" t="s">
        <v>93</v>
      </c>
      <c r="N3191" t="s">
        <v>23</v>
      </c>
      <c r="O3191" t="s">
        <v>23</v>
      </c>
      <c r="P3191" s="1" t="s">
        <v>30</v>
      </c>
      <c r="Q3191">
        <v>124.3</v>
      </c>
    </row>
    <row r="3192" spans="1:17" x14ac:dyDescent="0.3">
      <c r="A3192">
        <v>2022</v>
      </c>
      <c r="B3192" t="s">
        <v>42</v>
      </c>
      <c r="C3192" t="s">
        <v>167</v>
      </c>
      <c r="D3192" s="1" t="s">
        <v>5</v>
      </c>
      <c r="E3192" s="4">
        <v>169</v>
      </c>
      <c r="F3192" s="4">
        <v>169.7</v>
      </c>
      <c r="G3192" s="4">
        <v>170.9</v>
      </c>
      <c r="H3192" s="1" t="s">
        <v>188</v>
      </c>
      <c r="K3192">
        <v>2016</v>
      </c>
      <c r="L3192" t="s">
        <v>35</v>
      </c>
      <c r="M3192" t="s">
        <v>93</v>
      </c>
      <c r="N3192" t="s">
        <v>23</v>
      </c>
      <c r="O3192" t="s">
        <v>23</v>
      </c>
      <c r="P3192" s="1" t="s">
        <v>34</v>
      </c>
      <c r="Q3192">
        <v>122.5</v>
      </c>
    </row>
    <row r="3193" spans="1:17" x14ac:dyDescent="0.3">
      <c r="A3193">
        <v>2022</v>
      </c>
      <c r="B3193" t="s">
        <v>42</v>
      </c>
      <c r="C3193" t="s">
        <v>167</v>
      </c>
      <c r="D3193" s="1" t="s">
        <v>15</v>
      </c>
      <c r="E3193" s="4">
        <v>175.5</v>
      </c>
      <c r="F3193" s="4">
        <v>177.8</v>
      </c>
      <c r="G3193" s="4">
        <v>181.8</v>
      </c>
      <c r="H3193" s="1" t="s">
        <v>188</v>
      </c>
      <c r="K3193">
        <v>2016</v>
      </c>
      <c r="L3193" t="s">
        <v>35</v>
      </c>
      <c r="M3193" t="s">
        <v>93</v>
      </c>
      <c r="N3193" t="s">
        <v>23</v>
      </c>
      <c r="O3193" t="s">
        <v>23</v>
      </c>
      <c r="P3193" s="1" t="s">
        <v>33</v>
      </c>
      <c r="Q3193">
        <v>119.5</v>
      </c>
    </row>
    <row r="3194" spans="1:17" x14ac:dyDescent="0.3">
      <c r="A3194">
        <v>2022</v>
      </c>
      <c r="B3194" t="s">
        <v>42</v>
      </c>
      <c r="C3194" t="s">
        <v>167</v>
      </c>
      <c r="D3194" s="1" t="s">
        <v>18</v>
      </c>
      <c r="E3194" s="4">
        <v>183.3</v>
      </c>
      <c r="F3194" s="4">
        <v>174.3</v>
      </c>
      <c r="G3194" s="4">
        <v>161.69999999999999</v>
      </c>
      <c r="H3194" s="1" t="s">
        <v>189</v>
      </c>
      <c r="K3194">
        <v>2016</v>
      </c>
      <c r="L3194" t="s">
        <v>35</v>
      </c>
      <c r="M3194" t="s">
        <v>93</v>
      </c>
      <c r="N3194" t="s">
        <v>22</v>
      </c>
      <c r="O3194" t="s">
        <v>20</v>
      </c>
      <c r="P3194" s="1" t="s">
        <v>30</v>
      </c>
      <c r="Q3194">
        <v>127.1</v>
      </c>
    </row>
    <row r="3195" spans="1:17" x14ac:dyDescent="0.3">
      <c r="A3195">
        <v>2022</v>
      </c>
      <c r="B3195" t="s">
        <v>42</v>
      </c>
      <c r="C3195" t="s">
        <v>167</v>
      </c>
      <c r="D3195" s="1" t="s">
        <v>8</v>
      </c>
      <c r="E3195" s="4">
        <v>164.1</v>
      </c>
      <c r="F3195" s="4">
        <v>165.7</v>
      </c>
      <c r="G3195" s="4">
        <v>167.5</v>
      </c>
      <c r="H3195" s="1" t="s">
        <v>188</v>
      </c>
      <c r="K3195">
        <v>2016</v>
      </c>
      <c r="L3195" t="s">
        <v>35</v>
      </c>
      <c r="M3195" t="s">
        <v>93</v>
      </c>
      <c r="N3195" t="s">
        <v>22</v>
      </c>
      <c r="O3195" t="s">
        <v>20</v>
      </c>
      <c r="P3195" s="1" t="s">
        <v>34</v>
      </c>
      <c r="Q3195">
        <v>124.6</v>
      </c>
    </row>
    <row r="3196" spans="1:17" x14ac:dyDescent="0.3">
      <c r="A3196">
        <v>2022</v>
      </c>
      <c r="B3196" t="s">
        <v>42</v>
      </c>
      <c r="C3196" t="s">
        <v>167</v>
      </c>
      <c r="D3196" s="1" t="s">
        <v>21</v>
      </c>
      <c r="E3196" s="4">
        <v>179.7</v>
      </c>
      <c r="F3196" s="4">
        <v>179.5</v>
      </c>
      <c r="G3196" s="4">
        <v>179.2</v>
      </c>
      <c r="H3196" s="1" t="s">
        <v>190</v>
      </c>
      <c r="K3196">
        <v>2016</v>
      </c>
      <c r="L3196" t="s">
        <v>35</v>
      </c>
      <c r="M3196" t="s">
        <v>93</v>
      </c>
      <c r="N3196" t="s">
        <v>22</v>
      </c>
      <c r="O3196" t="s">
        <v>20</v>
      </c>
      <c r="P3196" s="1" t="s">
        <v>33</v>
      </c>
      <c r="Q3196">
        <v>121.8</v>
      </c>
    </row>
    <row r="3197" spans="1:17" x14ac:dyDescent="0.3">
      <c r="A3197">
        <v>2022</v>
      </c>
      <c r="B3197" t="s">
        <v>42</v>
      </c>
      <c r="C3197" t="s">
        <v>167</v>
      </c>
      <c r="D3197" s="1" t="s">
        <v>29</v>
      </c>
      <c r="E3197" s="4">
        <v>176.4</v>
      </c>
      <c r="F3197" s="4">
        <v>175.3</v>
      </c>
      <c r="G3197" s="4">
        <v>174.1</v>
      </c>
      <c r="H3197" s="1" t="s">
        <v>206</v>
      </c>
      <c r="K3197">
        <v>2016</v>
      </c>
      <c r="L3197" t="s">
        <v>35</v>
      </c>
      <c r="M3197" t="s">
        <v>93</v>
      </c>
      <c r="N3197" t="s">
        <v>20</v>
      </c>
      <c r="O3197" t="s">
        <v>20</v>
      </c>
      <c r="P3197" s="1" t="s">
        <v>30</v>
      </c>
      <c r="Q3197">
        <v>0</v>
      </c>
    </row>
    <row r="3198" spans="1:17" x14ac:dyDescent="0.3">
      <c r="A3198">
        <v>2022</v>
      </c>
      <c r="B3198" t="s">
        <v>42</v>
      </c>
      <c r="C3198" t="s">
        <v>167</v>
      </c>
      <c r="D3198" s="1" t="s">
        <v>23</v>
      </c>
      <c r="E3198" s="4">
        <v>180.2</v>
      </c>
      <c r="F3198" s="4">
        <v>177.8</v>
      </c>
      <c r="G3198" s="4">
        <v>173.8</v>
      </c>
      <c r="H3198" s="1" t="s">
        <v>23</v>
      </c>
      <c r="K3198">
        <v>2016</v>
      </c>
      <c r="L3198" t="s">
        <v>35</v>
      </c>
      <c r="M3198" t="s">
        <v>93</v>
      </c>
      <c r="N3198" t="s">
        <v>20</v>
      </c>
      <c r="O3198" t="s">
        <v>20</v>
      </c>
      <c r="P3198" s="1" t="s">
        <v>34</v>
      </c>
      <c r="Q3198">
        <v>124.4</v>
      </c>
    </row>
    <row r="3199" spans="1:17" x14ac:dyDescent="0.3">
      <c r="A3199">
        <v>2022</v>
      </c>
      <c r="B3199" t="s">
        <v>42</v>
      </c>
      <c r="C3199" t="s">
        <v>167</v>
      </c>
      <c r="D3199" s="1" t="s">
        <v>22</v>
      </c>
      <c r="E3199" s="4">
        <v>173.6</v>
      </c>
      <c r="F3199" s="4">
        <v>169.5</v>
      </c>
      <c r="G3199" s="4">
        <v>165</v>
      </c>
      <c r="H3199" s="1" t="s">
        <v>20</v>
      </c>
      <c r="K3199">
        <v>2016</v>
      </c>
      <c r="L3199" t="s">
        <v>35</v>
      </c>
      <c r="M3199" t="s">
        <v>93</v>
      </c>
      <c r="N3199" t="s">
        <v>20</v>
      </c>
      <c r="O3199" t="s">
        <v>20</v>
      </c>
      <c r="P3199" s="1" t="s">
        <v>33</v>
      </c>
      <c r="Q3199">
        <v>124.4</v>
      </c>
    </row>
    <row r="3200" spans="1:17" x14ac:dyDescent="0.3">
      <c r="A3200">
        <v>2022</v>
      </c>
      <c r="B3200" t="s">
        <v>42</v>
      </c>
      <c r="C3200" t="s">
        <v>167</v>
      </c>
      <c r="D3200" s="1" t="s">
        <v>20</v>
      </c>
      <c r="E3200" s="4">
        <v>0</v>
      </c>
      <c r="F3200" s="4">
        <v>169.5</v>
      </c>
      <c r="G3200" s="4">
        <v>169.5</v>
      </c>
      <c r="H3200" s="1" t="s">
        <v>20</v>
      </c>
      <c r="K3200">
        <v>2016</v>
      </c>
      <c r="L3200" t="s">
        <v>35</v>
      </c>
      <c r="M3200" t="s">
        <v>93</v>
      </c>
      <c r="N3200" t="s">
        <v>4</v>
      </c>
      <c r="O3200" t="s">
        <v>188</v>
      </c>
      <c r="P3200" s="1" t="s">
        <v>30</v>
      </c>
      <c r="Q3200">
        <v>133.69999999999999</v>
      </c>
    </row>
    <row r="3201" spans="1:17" x14ac:dyDescent="0.3">
      <c r="A3201">
        <v>2022</v>
      </c>
      <c r="B3201" t="s">
        <v>42</v>
      </c>
      <c r="C3201" t="s">
        <v>167</v>
      </c>
      <c r="D3201" s="1" t="s">
        <v>4</v>
      </c>
      <c r="E3201" s="4">
        <v>206.7</v>
      </c>
      <c r="F3201" s="4">
        <v>209.2</v>
      </c>
      <c r="G3201" s="4">
        <v>213.7</v>
      </c>
      <c r="H3201" s="1" t="s">
        <v>188</v>
      </c>
      <c r="K3201">
        <v>2016</v>
      </c>
      <c r="L3201" t="s">
        <v>35</v>
      </c>
      <c r="M3201" t="s">
        <v>93</v>
      </c>
      <c r="N3201" t="s">
        <v>4</v>
      </c>
      <c r="O3201" t="s">
        <v>188</v>
      </c>
      <c r="P3201" s="1" t="s">
        <v>34</v>
      </c>
      <c r="Q3201">
        <v>134.19999999999999</v>
      </c>
    </row>
    <row r="3202" spans="1:17" x14ac:dyDescent="0.3">
      <c r="A3202">
        <v>2022</v>
      </c>
      <c r="B3202" t="s">
        <v>42</v>
      </c>
      <c r="C3202" t="s">
        <v>167</v>
      </c>
      <c r="D3202" s="1" t="s">
        <v>6</v>
      </c>
      <c r="E3202" s="4">
        <v>169.5</v>
      </c>
      <c r="F3202" s="4">
        <v>169.7</v>
      </c>
      <c r="G3202" s="4">
        <v>170.1</v>
      </c>
      <c r="H3202" s="1" t="s">
        <v>188</v>
      </c>
      <c r="K3202">
        <v>2016</v>
      </c>
      <c r="L3202" t="s">
        <v>35</v>
      </c>
      <c r="M3202" t="s">
        <v>93</v>
      </c>
      <c r="N3202" t="s">
        <v>4</v>
      </c>
      <c r="O3202" t="s">
        <v>188</v>
      </c>
      <c r="P3202" s="1" t="s">
        <v>33</v>
      </c>
      <c r="Q3202">
        <v>135.1</v>
      </c>
    </row>
    <row r="3203" spans="1:17" x14ac:dyDescent="0.3">
      <c r="A3203">
        <v>2022</v>
      </c>
      <c r="B3203" t="s">
        <v>42</v>
      </c>
      <c r="C3203" t="s">
        <v>167</v>
      </c>
      <c r="D3203" s="1" t="s">
        <v>28</v>
      </c>
      <c r="E3203" s="4">
        <v>173.1</v>
      </c>
      <c r="F3203" s="4">
        <v>169.7</v>
      </c>
      <c r="G3203" s="4">
        <v>166.1</v>
      </c>
      <c r="H3203" s="1" t="s">
        <v>192</v>
      </c>
      <c r="K3203">
        <v>2016</v>
      </c>
      <c r="L3203" t="s">
        <v>35</v>
      </c>
      <c r="M3203" t="s">
        <v>93</v>
      </c>
      <c r="N3203" t="s">
        <v>6</v>
      </c>
      <c r="O3203" t="s">
        <v>188</v>
      </c>
      <c r="P3203" s="1" t="s">
        <v>30</v>
      </c>
      <c r="Q3203">
        <v>130.69999999999999</v>
      </c>
    </row>
    <row r="3204" spans="1:17" x14ac:dyDescent="0.3">
      <c r="A3204">
        <v>2022</v>
      </c>
      <c r="B3204" t="s">
        <v>42</v>
      </c>
      <c r="C3204" t="s">
        <v>167</v>
      </c>
      <c r="D3204" s="1" t="s">
        <v>13</v>
      </c>
      <c r="E3204" s="4">
        <v>175.4</v>
      </c>
      <c r="F3204" s="4">
        <v>169.4</v>
      </c>
      <c r="G3204" s="4">
        <v>161.1</v>
      </c>
      <c r="H3204" s="1" t="s">
        <v>188</v>
      </c>
      <c r="K3204">
        <v>2016</v>
      </c>
      <c r="L3204" t="s">
        <v>35</v>
      </c>
      <c r="M3204" t="s">
        <v>93</v>
      </c>
      <c r="N3204" t="s">
        <v>6</v>
      </c>
      <c r="O3204" t="s">
        <v>188</v>
      </c>
      <c r="P3204" s="1" t="s">
        <v>34</v>
      </c>
      <c r="Q3204">
        <v>130.30000000000001</v>
      </c>
    </row>
    <row r="3205" spans="1:17" x14ac:dyDescent="0.3">
      <c r="A3205">
        <v>2022</v>
      </c>
      <c r="B3205" t="s">
        <v>42</v>
      </c>
      <c r="C3205" t="s">
        <v>167</v>
      </c>
      <c r="D3205" s="1" t="s">
        <v>7</v>
      </c>
      <c r="E3205" s="4">
        <v>194.1</v>
      </c>
      <c r="F3205" s="4">
        <v>188.7</v>
      </c>
      <c r="G3205" s="4">
        <v>179.3</v>
      </c>
      <c r="H3205" s="1" t="s">
        <v>188</v>
      </c>
      <c r="K3205">
        <v>2016</v>
      </c>
      <c r="L3205" t="s">
        <v>35</v>
      </c>
      <c r="M3205" t="s">
        <v>93</v>
      </c>
      <c r="N3205" t="s">
        <v>6</v>
      </c>
      <c r="O3205" t="s">
        <v>188</v>
      </c>
      <c r="P3205" s="1" t="s">
        <v>33</v>
      </c>
      <c r="Q3205">
        <v>129.6</v>
      </c>
    </row>
    <row r="3206" spans="1:17" x14ac:dyDescent="0.3">
      <c r="A3206">
        <v>2022</v>
      </c>
      <c r="B3206" t="s">
        <v>42</v>
      </c>
      <c r="C3206" t="s">
        <v>167</v>
      </c>
      <c r="D3206" s="1" t="s">
        <v>16</v>
      </c>
      <c r="E3206" s="4">
        <v>194.5</v>
      </c>
      <c r="F3206" s="4">
        <v>195.9</v>
      </c>
      <c r="G3206" s="4">
        <v>199.7</v>
      </c>
      <c r="H3206" s="1" t="s">
        <v>192</v>
      </c>
      <c r="K3206">
        <v>2016</v>
      </c>
      <c r="L3206" t="s">
        <v>35</v>
      </c>
      <c r="M3206" t="s">
        <v>93</v>
      </c>
      <c r="N3206" t="s">
        <v>28</v>
      </c>
      <c r="O3206" t="s">
        <v>192</v>
      </c>
      <c r="P3206" s="1" t="s">
        <v>30</v>
      </c>
      <c r="Q3206">
        <v>120.9</v>
      </c>
    </row>
    <row r="3207" spans="1:17" x14ac:dyDescent="0.3">
      <c r="A3207">
        <v>2022</v>
      </c>
      <c r="B3207" t="s">
        <v>42</v>
      </c>
      <c r="C3207" t="s">
        <v>167</v>
      </c>
      <c r="D3207" s="1" t="s">
        <v>27</v>
      </c>
      <c r="E3207" s="4">
        <v>170.8</v>
      </c>
      <c r="F3207" s="4">
        <v>170.9</v>
      </c>
      <c r="G3207" s="4">
        <v>171.1</v>
      </c>
      <c r="H3207" s="1" t="s">
        <v>192</v>
      </c>
      <c r="K3207">
        <v>2016</v>
      </c>
      <c r="L3207" t="s">
        <v>35</v>
      </c>
      <c r="M3207" t="s">
        <v>93</v>
      </c>
      <c r="N3207" t="s">
        <v>28</v>
      </c>
      <c r="O3207" t="s">
        <v>192</v>
      </c>
      <c r="P3207" s="1" t="s">
        <v>34</v>
      </c>
      <c r="Q3207">
        <v>119.1</v>
      </c>
    </row>
    <row r="3208" spans="1:17" x14ac:dyDescent="0.3">
      <c r="A3208">
        <v>2022</v>
      </c>
      <c r="B3208" t="s">
        <v>42</v>
      </c>
      <c r="C3208" t="s">
        <v>167</v>
      </c>
      <c r="D3208" s="1" t="s">
        <v>14</v>
      </c>
      <c r="E3208" s="4">
        <v>184.8</v>
      </c>
      <c r="F3208" s="4">
        <v>187.4</v>
      </c>
      <c r="G3208" s="4">
        <v>190.4</v>
      </c>
      <c r="H3208" s="1" t="s">
        <v>188</v>
      </c>
      <c r="K3208">
        <v>2016</v>
      </c>
      <c r="L3208" t="s">
        <v>35</v>
      </c>
      <c r="M3208" t="s">
        <v>93</v>
      </c>
      <c r="N3208" t="s">
        <v>28</v>
      </c>
      <c r="O3208" t="s">
        <v>192</v>
      </c>
      <c r="P3208" s="1" t="s">
        <v>33</v>
      </c>
      <c r="Q3208">
        <v>117.2</v>
      </c>
    </row>
    <row r="3209" spans="1:17" x14ac:dyDescent="0.3">
      <c r="A3209">
        <v>2022</v>
      </c>
      <c r="B3209" t="s">
        <v>42</v>
      </c>
      <c r="C3209" t="s">
        <v>167</v>
      </c>
      <c r="D3209" s="1" t="s">
        <v>10</v>
      </c>
      <c r="E3209" s="4">
        <v>169</v>
      </c>
      <c r="F3209" s="4">
        <v>169.1</v>
      </c>
      <c r="G3209" s="4">
        <v>169.2</v>
      </c>
      <c r="H3209" s="1" t="s">
        <v>188</v>
      </c>
      <c r="K3209">
        <v>2016</v>
      </c>
      <c r="L3209" t="s">
        <v>35</v>
      </c>
      <c r="M3209" t="s">
        <v>93</v>
      </c>
      <c r="N3209" t="s">
        <v>13</v>
      </c>
      <c r="O3209" t="s">
        <v>188</v>
      </c>
      <c r="P3209" s="1" t="s">
        <v>30</v>
      </c>
      <c r="Q3209">
        <v>124.8</v>
      </c>
    </row>
    <row r="3210" spans="1:17" x14ac:dyDescent="0.3">
      <c r="A3210">
        <v>2022</v>
      </c>
      <c r="B3210" t="s">
        <v>42</v>
      </c>
      <c r="C3210" t="s">
        <v>167</v>
      </c>
      <c r="D3210" s="1" t="s">
        <v>25</v>
      </c>
      <c r="E3210" s="4">
        <v>170</v>
      </c>
      <c r="F3210" s="4">
        <v>167.6</v>
      </c>
      <c r="G3210" s="4">
        <v>165.8</v>
      </c>
      <c r="H3210" s="1" t="s">
        <v>195</v>
      </c>
      <c r="K3210">
        <v>2016</v>
      </c>
      <c r="L3210" t="s">
        <v>35</v>
      </c>
      <c r="M3210" t="s">
        <v>93</v>
      </c>
      <c r="N3210" t="s">
        <v>13</v>
      </c>
      <c r="O3210" t="s">
        <v>188</v>
      </c>
      <c r="P3210" s="1" t="s">
        <v>34</v>
      </c>
      <c r="Q3210">
        <v>123</v>
      </c>
    </row>
    <row r="3211" spans="1:17" x14ac:dyDescent="0.3">
      <c r="A3211">
        <v>2022</v>
      </c>
      <c r="B3211" t="s">
        <v>42</v>
      </c>
      <c r="C3211" t="s">
        <v>167</v>
      </c>
      <c r="D3211" s="1" t="s">
        <v>12</v>
      </c>
      <c r="E3211" s="4">
        <v>199.1</v>
      </c>
      <c r="F3211" s="4">
        <v>197.3</v>
      </c>
      <c r="G3211" s="4">
        <v>193.6</v>
      </c>
      <c r="H3211" s="1" t="s">
        <v>188</v>
      </c>
      <c r="K3211">
        <v>2016</v>
      </c>
      <c r="L3211" t="s">
        <v>35</v>
      </c>
      <c r="M3211" t="s">
        <v>93</v>
      </c>
      <c r="N3211" t="s">
        <v>13</v>
      </c>
      <c r="O3211" t="s">
        <v>188</v>
      </c>
      <c r="P3211" s="1" t="s">
        <v>33</v>
      </c>
      <c r="Q3211">
        <v>120.6</v>
      </c>
    </row>
    <row r="3212" spans="1:17" x14ac:dyDescent="0.3">
      <c r="A3212">
        <v>2022</v>
      </c>
      <c r="B3212" t="s">
        <v>42</v>
      </c>
      <c r="C3212" t="s">
        <v>167</v>
      </c>
      <c r="D3212" s="1" t="s">
        <v>11</v>
      </c>
      <c r="E3212" s="4">
        <v>120.8</v>
      </c>
      <c r="F3212" s="4">
        <v>121.6</v>
      </c>
      <c r="G3212" s="4">
        <v>123.1</v>
      </c>
      <c r="H3212" s="1" t="s">
        <v>188</v>
      </c>
      <c r="K3212">
        <v>2016</v>
      </c>
      <c r="L3212" t="s">
        <v>35</v>
      </c>
      <c r="M3212" t="s">
        <v>93</v>
      </c>
      <c r="N3212" t="s">
        <v>7</v>
      </c>
      <c r="O3212" t="s">
        <v>188</v>
      </c>
      <c r="P3212" s="1" t="s">
        <v>30</v>
      </c>
      <c r="Q3212">
        <v>118.5</v>
      </c>
    </row>
    <row r="3213" spans="1:17" x14ac:dyDescent="0.3">
      <c r="A3213">
        <v>2022</v>
      </c>
      <c r="B3213" t="s">
        <v>42</v>
      </c>
      <c r="C3213" t="s">
        <v>167</v>
      </c>
      <c r="D3213" s="1" t="s">
        <v>24</v>
      </c>
      <c r="E3213" s="4">
        <v>166.9</v>
      </c>
      <c r="F3213" s="4">
        <v>162.30000000000001</v>
      </c>
      <c r="G3213" s="4">
        <v>158.19999999999999</v>
      </c>
      <c r="H3213" s="1" t="s">
        <v>191</v>
      </c>
      <c r="K3213">
        <v>2016</v>
      </c>
      <c r="L3213" t="s">
        <v>35</v>
      </c>
      <c r="M3213" t="s">
        <v>93</v>
      </c>
      <c r="N3213" t="s">
        <v>7</v>
      </c>
      <c r="O3213" t="s">
        <v>188</v>
      </c>
      <c r="P3213" s="1" t="s">
        <v>34</v>
      </c>
      <c r="Q3213">
        <v>114.8</v>
      </c>
    </row>
    <row r="3214" spans="1:17" x14ac:dyDescent="0.3">
      <c r="A3214">
        <v>2022</v>
      </c>
      <c r="B3214" t="s">
        <v>42</v>
      </c>
      <c r="C3214" t="s">
        <v>167</v>
      </c>
      <c r="D3214" s="1" t="s">
        <v>9</v>
      </c>
      <c r="E3214" s="4">
        <v>176.9</v>
      </c>
      <c r="F3214" s="4">
        <v>191.8</v>
      </c>
      <c r="G3214" s="4">
        <v>220.8</v>
      </c>
      <c r="H3214" s="1" t="s">
        <v>188</v>
      </c>
      <c r="K3214">
        <v>2016</v>
      </c>
      <c r="L3214" t="s">
        <v>35</v>
      </c>
      <c r="M3214" t="s">
        <v>93</v>
      </c>
      <c r="N3214" t="s">
        <v>7</v>
      </c>
      <c r="O3214" t="s">
        <v>188</v>
      </c>
      <c r="P3214" s="1" t="s">
        <v>33</v>
      </c>
      <c r="Q3214">
        <v>108.4</v>
      </c>
    </row>
    <row r="3215" spans="1:17" x14ac:dyDescent="0.3">
      <c r="A3215">
        <v>2023</v>
      </c>
      <c r="B3215" t="s">
        <v>37</v>
      </c>
      <c r="C3215" t="s">
        <v>168</v>
      </c>
      <c r="D3215" s="1" t="s">
        <v>3</v>
      </c>
      <c r="E3215" s="4">
        <v>173.3</v>
      </c>
      <c r="F3215" s="4">
        <v>173.8</v>
      </c>
      <c r="G3215" s="4">
        <v>174.8</v>
      </c>
      <c r="H3215" s="1" t="s">
        <v>188</v>
      </c>
      <c r="K3215">
        <v>2016</v>
      </c>
      <c r="L3215" t="s">
        <v>35</v>
      </c>
      <c r="M3215" t="s">
        <v>93</v>
      </c>
      <c r="N3215" t="s">
        <v>16</v>
      </c>
      <c r="O3215" t="s">
        <v>192</v>
      </c>
      <c r="P3215" s="1" t="s">
        <v>30</v>
      </c>
      <c r="Q3215">
        <v>134.4</v>
      </c>
    </row>
    <row r="3216" spans="1:17" x14ac:dyDescent="0.3">
      <c r="A3216">
        <v>2023</v>
      </c>
      <c r="B3216" t="s">
        <v>37</v>
      </c>
      <c r="C3216" t="s">
        <v>168</v>
      </c>
      <c r="D3216" s="1" t="s">
        <v>17</v>
      </c>
      <c r="E3216" s="4">
        <v>190.7</v>
      </c>
      <c r="F3216" s="4">
        <v>186.9</v>
      </c>
      <c r="G3216" s="4">
        <v>181</v>
      </c>
      <c r="H3216" s="1" t="s">
        <v>189</v>
      </c>
      <c r="K3216">
        <v>2016</v>
      </c>
      <c r="L3216" t="s">
        <v>35</v>
      </c>
      <c r="M3216" t="s">
        <v>93</v>
      </c>
      <c r="N3216" t="s">
        <v>16</v>
      </c>
      <c r="O3216" t="s">
        <v>192</v>
      </c>
      <c r="P3216" s="1" t="s">
        <v>34</v>
      </c>
      <c r="Q3216">
        <v>135.9</v>
      </c>
    </row>
    <row r="3217" spans="1:17" x14ac:dyDescent="0.3">
      <c r="A3217">
        <v>2023</v>
      </c>
      <c r="B3217" t="s">
        <v>37</v>
      </c>
      <c r="C3217" t="s">
        <v>168</v>
      </c>
      <c r="D3217" s="1" t="s">
        <v>19</v>
      </c>
      <c r="E3217" s="4">
        <v>190.2</v>
      </c>
      <c r="F3217" s="4">
        <v>185.7</v>
      </c>
      <c r="G3217" s="4">
        <v>178.9</v>
      </c>
      <c r="H3217" s="1" t="s">
        <v>189</v>
      </c>
      <c r="K3217">
        <v>2016</v>
      </c>
      <c r="L3217" t="s">
        <v>35</v>
      </c>
      <c r="M3217" t="s">
        <v>93</v>
      </c>
      <c r="N3217" t="s">
        <v>16</v>
      </c>
      <c r="O3217" t="s">
        <v>192</v>
      </c>
      <c r="P3217" s="1" t="s">
        <v>33</v>
      </c>
      <c r="Q3217">
        <v>140</v>
      </c>
    </row>
    <row r="3218" spans="1:17" x14ac:dyDescent="0.3">
      <c r="A3218">
        <v>2023</v>
      </c>
      <c r="B3218" t="s">
        <v>37</v>
      </c>
      <c r="C3218" t="s">
        <v>168</v>
      </c>
      <c r="D3218" s="1" t="s">
        <v>26</v>
      </c>
      <c r="E3218" s="4">
        <v>179.4</v>
      </c>
      <c r="F3218" s="4">
        <v>176.4</v>
      </c>
      <c r="G3218" s="4">
        <v>174.2</v>
      </c>
      <c r="H3218" s="1" t="s">
        <v>26</v>
      </c>
      <c r="K3218">
        <v>2016</v>
      </c>
      <c r="L3218" t="s">
        <v>35</v>
      </c>
      <c r="M3218" t="s">
        <v>93</v>
      </c>
      <c r="N3218" t="s">
        <v>27</v>
      </c>
      <c r="O3218" t="s">
        <v>192</v>
      </c>
      <c r="P3218" s="1" t="s">
        <v>30</v>
      </c>
      <c r="Q3218">
        <v>116.8</v>
      </c>
    </row>
    <row r="3219" spans="1:17" x14ac:dyDescent="0.3">
      <c r="A3219">
        <v>2023</v>
      </c>
      <c r="B3219" t="s">
        <v>37</v>
      </c>
      <c r="C3219" t="s">
        <v>168</v>
      </c>
      <c r="D3219" s="1" t="s">
        <v>5</v>
      </c>
      <c r="E3219" s="4">
        <v>167.9</v>
      </c>
      <c r="F3219" s="4">
        <v>169.6</v>
      </c>
      <c r="G3219" s="4">
        <v>172.4</v>
      </c>
      <c r="H3219" s="1" t="s">
        <v>188</v>
      </c>
      <c r="K3219">
        <v>2016</v>
      </c>
      <c r="L3219" t="s">
        <v>35</v>
      </c>
      <c r="M3219" t="s">
        <v>93</v>
      </c>
      <c r="N3219" t="s">
        <v>27</v>
      </c>
      <c r="O3219" t="s">
        <v>192</v>
      </c>
      <c r="P3219" s="1" t="s">
        <v>34</v>
      </c>
      <c r="Q3219">
        <v>116.6</v>
      </c>
    </row>
    <row r="3220" spans="1:17" x14ac:dyDescent="0.3">
      <c r="A3220">
        <v>2023</v>
      </c>
      <c r="B3220" t="s">
        <v>37</v>
      </c>
      <c r="C3220" t="s">
        <v>168</v>
      </c>
      <c r="D3220" s="1" t="s">
        <v>15</v>
      </c>
      <c r="E3220" s="4">
        <v>175.5</v>
      </c>
      <c r="F3220" s="4">
        <v>177.9</v>
      </c>
      <c r="G3220" s="4">
        <v>182.1</v>
      </c>
      <c r="H3220" s="1" t="s">
        <v>188</v>
      </c>
      <c r="K3220">
        <v>2016</v>
      </c>
      <c r="L3220" t="s">
        <v>35</v>
      </c>
      <c r="M3220" t="s">
        <v>93</v>
      </c>
      <c r="N3220" t="s">
        <v>27</v>
      </c>
      <c r="O3220" t="s">
        <v>192</v>
      </c>
      <c r="P3220" s="1" t="s">
        <v>33</v>
      </c>
      <c r="Q3220">
        <v>116.2</v>
      </c>
    </row>
    <row r="3221" spans="1:17" x14ac:dyDescent="0.3">
      <c r="A3221">
        <v>2023</v>
      </c>
      <c r="B3221" t="s">
        <v>37</v>
      </c>
      <c r="C3221" t="s">
        <v>168</v>
      </c>
      <c r="D3221" s="1" t="s">
        <v>18</v>
      </c>
      <c r="E3221" s="4">
        <v>187.3</v>
      </c>
      <c r="F3221" s="4">
        <v>179.2</v>
      </c>
      <c r="G3221" s="4">
        <v>167.7</v>
      </c>
      <c r="H3221" s="1" t="s">
        <v>189</v>
      </c>
      <c r="K3221">
        <v>2016</v>
      </c>
      <c r="L3221" t="s">
        <v>35</v>
      </c>
      <c r="M3221" t="s">
        <v>93</v>
      </c>
      <c r="N3221" t="s">
        <v>14</v>
      </c>
      <c r="O3221" t="s">
        <v>188</v>
      </c>
      <c r="P3221" s="1" t="s">
        <v>30</v>
      </c>
      <c r="Q3221">
        <v>136.4</v>
      </c>
    </row>
    <row r="3222" spans="1:17" x14ac:dyDescent="0.3">
      <c r="A3222">
        <v>2023</v>
      </c>
      <c r="B3222" t="s">
        <v>37</v>
      </c>
      <c r="C3222" t="s">
        <v>168</v>
      </c>
      <c r="D3222" s="1" t="s">
        <v>8</v>
      </c>
      <c r="E3222" s="4">
        <v>173.7</v>
      </c>
      <c r="F3222" s="4">
        <v>176.3</v>
      </c>
      <c r="G3222" s="4">
        <v>179.2</v>
      </c>
      <c r="H3222" s="1" t="s">
        <v>188</v>
      </c>
      <c r="K3222">
        <v>2016</v>
      </c>
      <c r="L3222" t="s">
        <v>35</v>
      </c>
      <c r="M3222" t="s">
        <v>93</v>
      </c>
      <c r="N3222" t="s">
        <v>14</v>
      </c>
      <c r="O3222" t="s">
        <v>188</v>
      </c>
      <c r="P3222" s="1" t="s">
        <v>34</v>
      </c>
      <c r="Q3222">
        <v>135.80000000000001</v>
      </c>
    </row>
    <row r="3223" spans="1:17" x14ac:dyDescent="0.3">
      <c r="A3223">
        <v>2023</v>
      </c>
      <c r="B3223" t="s">
        <v>37</v>
      </c>
      <c r="C3223" t="s">
        <v>168</v>
      </c>
      <c r="D3223" s="1" t="s">
        <v>21</v>
      </c>
      <c r="E3223" s="4">
        <v>181.5</v>
      </c>
      <c r="F3223" s="4">
        <v>181.7</v>
      </c>
      <c r="G3223" s="4">
        <v>182.1</v>
      </c>
      <c r="H3223" s="1" t="s">
        <v>190</v>
      </c>
      <c r="K3223">
        <v>2016</v>
      </c>
      <c r="L3223" t="s">
        <v>35</v>
      </c>
      <c r="M3223" t="s">
        <v>93</v>
      </c>
      <c r="N3223" t="s">
        <v>14</v>
      </c>
      <c r="O3223" t="s">
        <v>188</v>
      </c>
      <c r="P3223" s="1" t="s">
        <v>33</v>
      </c>
      <c r="Q3223">
        <v>135.19999999999999</v>
      </c>
    </row>
    <row r="3224" spans="1:17" x14ac:dyDescent="0.3">
      <c r="A3224">
        <v>2023</v>
      </c>
      <c r="B3224" t="s">
        <v>37</v>
      </c>
      <c r="C3224" t="s">
        <v>168</v>
      </c>
      <c r="D3224" s="1" t="s">
        <v>29</v>
      </c>
      <c r="E3224" s="4">
        <v>178.8</v>
      </c>
      <c r="F3224" s="4">
        <v>178.1</v>
      </c>
      <c r="G3224" s="4">
        <v>177.4</v>
      </c>
      <c r="H3224" s="1" t="s">
        <v>206</v>
      </c>
      <c r="K3224">
        <v>2016</v>
      </c>
      <c r="L3224" t="s">
        <v>35</v>
      </c>
      <c r="M3224" t="s">
        <v>93</v>
      </c>
      <c r="N3224" t="s">
        <v>10</v>
      </c>
      <c r="O3224" t="s">
        <v>188</v>
      </c>
      <c r="P3224" s="1" t="s">
        <v>30</v>
      </c>
      <c r="Q3224">
        <v>162.80000000000001</v>
      </c>
    </row>
    <row r="3225" spans="1:17" x14ac:dyDescent="0.3">
      <c r="A3225">
        <v>2023</v>
      </c>
      <c r="B3225" t="s">
        <v>37</v>
      </c>
      <c r="C3225" t="s">
        <v>168</v>
      </c>
      <c r="D3225" s="1" t="s">
        <v>23</v>
      </c>
      <c r="E3225" s="4">
        <v>187.2</v>
      </c>
      <c r="F3225" s="4">
        <v>185</v>
      </c>
      <c r="G3225" s="4">
        <v>181.5</v>
      </c>
      <c r="H3225" s="1" t="s">
        <v>23</v>
      </c>
      <c r="K3225">
        <v>2016</v>
      </c>
      <c r="L3225" t="s">
        <v>35</v>
      </c>
      <c r="M3225" t="s">
        <v>93</v>
      </c>
      <c r="N3225" t="s">
        <v>10</v>
      </c>
      <c r="O3225" t="s">
        <v>188</v>
      </c>
      <c r="P3225" s="1" t="s">
        <v>34</v>
      </c>
      <c r="Q3225">
        <v>167.4</v>
      </c>
    </row>
    <row r="3226" spans="1:17" x14ac:dyDescent="0.3">
      <c r="A3226">
        <v>2023</v>
      </c>
      <c r="B3226" t="s">
        <v>37</v>
      </c>
      <c r="C3226" t="s">
        <v>168</v>
      </c>
      <c r="D3226" s="1" t="s">
        <v>22</v>
      </c>
      <c r="E3226" s="4">
        <v>179.1</v>
      </c>
      <c r="F3226" s="4">
        <v>174.6</v>
      </c>
      <c r="G3226" s="4">
        <v>169.6</v>
      </c>
      <c r="H3226" s="1" t="s">
        <v>20</v>
      </c>
      <c r="K3226">
        <v>2016</v>
      </c>
      <c r="L3226" t="s">
        <v>35</v>
      </c>
      <c r="M3226" t="s">
        <v>93</v>
      </c>
      <c r="N3226" t="s">
        <v>10</v>
      </c>
      <c r="O3226" t="s">
        <v>188</v>
      </c>
      <c r="P3226" s="1" t="s">
        <v>33</v>
      </c>
      <c r="Q3226">
        <v>176.4</v>
      </c>
    </row>
    <row r="3227" spans="1:17" x14ac:dyDescent="0.3">
      <c r="A3227">
        <v>2023</v>
      </c>
      <c r="B3227" t="s">
        <v>37</v>
      </c>
      <c r="C3227" t="s">
        <v>168</v>
      </c>
      <c r="D3227" s="1" t="s">
        <v>20</v>
      </c>
      <c r="E3227" s="4">
        <v>0</v>
      </c>
      <c r="F3227" s="4">
        <v>175.2</v>
      </c>
      <c r="G3227" s="4">
        <v>175.2</v>
      </c>
      <c r="H3227" s="1" t="s">
        <v>20</v>
      </c>
      <c r="K3227">
        <v>2016</v>
      </c>
      <c r="L3227" t="s">
        <v>35</v>
      </c>
      <c r="M3227" t="s">
        <v>93</v>
      </c>
      <c r="N3227" t="s">
        <v>25</v>
      </c>
      <c r="O3227" t="s">
        <v>195</v>
      </c>
      <c r="P3227" s="1" t="s">
        <v>30</v>
      </c>
      <c r="Q3227">
        <v>122.3</v>
      </c>
    </row>
    <row r="3228" spans="1:17" x14ac:dyDescent="0.3">
      <c r="A3228">
        <v>2023</v>
      </c>
      <c r="B3228" t="s">
        <v>37</v>
      </c>
      <c r="C3228" t="s">
        <v>168</v>
      </c>
      <c r="D3228" s="1" t="s">
        <v>4</v>
      </c>
      <c r="E3228" s="4">
        <v>206.9</v>
      </c>
      <c r="F3228" s="4">
        <v>209.3</v>
      </c>
      <c r="G3228" s="4">
        <v>213.7</v>
      </c>
      <c r="H3228" s="1" t="s">
        <v>188</v>
      </c>
      <c r="K3228">
        <v>2016</v>
      </c>
      <c r="L3228" t="s">
        <v>35</v>
      </c>
      <c r="M3228" t="s">
        <v>93</v>
      </c>
      <c r="N3228" t="s">
        <v>25</v>
      </c>
      <c r="O3228" t="s">
        <v>195</v>
      </c>
      <c r="P3228" s="1" t="s">
        <v>34</v>
      </c>
      <c r="Q3228">
        <v>120.3</v>
      </c>
    </row>
    <row r="3229" spans="1:17" x14ac:dyDescent="0.3">
      <c r="A3229">
        <v>2023</v>
      </c>
      <c r="B3229" t="s">
        <v>37</v>
      </c>
      <c r="C3229" t="s">
        <v>168</v>
      </c>
      <c r="D3229" s="1" t="s">
        <v>6</v>
      </c>
      <c r="E3229" s="4">
        <v>178.2</v>
      </c>
      <c r="F3229" s="4">
        <v>178.4</v>
      </c>
      <c r="G3229" s="4">
        <v>178.8</v>
      </c>
      <c r="H3229" s="1" t="s">
        <v>188</v>
      </c>
      <c r="K3229">
        <v>2016</v>
      </c>
      <c r="L3229" t="s">
        <v>35</v>
      </c>
      <c r="M3229" t="s">
        <v>93</v>
      </c>
      <c r="N3229" t="s">
        <v>25</v>
      </c>
      <c r="O3229" t="s">
        <v>195</v>
      </c>
      <c r="P3229" s="1" t="s">
        <v>33</v>
      </c>
      <c r="Q3229">
        <v>118.8</v>
      </c>
    </row>
    <row r="3230" spans="1:17" x14ac:dyDescent="0.3">
      <c r="A3230">
        <v>2023</v>
      </c>
      <c r="B3230" t="s">
        <v>37</v>
      </c>
      <c r="C3230" t="s">
        <v>168</v>
      </c>
      <c r="D3230" s="1" t="s">
        <v>28</v>
      </c>
      <c r="E3230" s="4">
        <v>178.9</v>
      </c>
      <c r="F3230" s="4">
        <v>175</v>
      </c>
      <c r="G3230" s="4">
        <v>170.9</v>
      </c>
      <c r="H3230" s="1" t="s">
        <v>192</v>
      </c>
      <c r="K3230">
        <v>2016</v>
      </c>
      <c r="L3230" t="s">
        <v>35</v>
      </c>
      <c r="M3230" t="s">
        <v>93</v>
      </c>
      <c r="N3230" t="s">
        <v>12</v>
      </c>
      <c r="O3230" t="s">
        <v>188</v>
      </c>
      <c r="P3230" s="1" t="s">
        <v>30</v>
      </c>
      <c r="Q3230">
        <v>130.6</v>
      </c>
    </row>
    <row r="3231" spans="1:17" x14ac:dyDescent="0.3">
      <c r="A3231">
        <v>2023</v>
      </c>
      <c r="B3231" t="s">
        <v>37</v>
      </c>
      <c r="C3231" t="s">
        <v>168</v>
      </c>
      <c r="D3231" s="1" t="s">
        <v>13</v>
      </c>
      <c r="E3231" s="4">
        <v>178.2</v>
      </c>
      <c r="F3231" s="4">
        <v>172.9</v>
      </c>
      <c r="G3231" s="4">
        <v>165.5</v>
      </c>
      <c r="H3231" s="1" t="s">
        <v>188</v>
      </c>
      <c r="K3231">
        <v>2016</v>
      </c>
      <c r="L3231" t="s">
        <v>35</v>
      </c>
      <c r="M3231" t="s">
        <v>93</v>
      </c>
      <c r="N3231" t="s">
        <v>12</v>
      </c>
      <c r="O3231" t="s">
        <v>188</v>
      </c>
      <c r="P3231" s="1" t="s">
        <v>34</v>
      </c>
      <c r="Q3231">
        <v>133.6</v>
      </c>
    </row>
    <row r="3232" spans="1:17" x14ac:dyDescent="0.3">
      <c r="A3232">
        <v>2023</v>
      </c>
      <c r="B3232" t="s">
        <v>37</v>
      </c>
      <c r="C3232" t="s">
        <v>168</v>
      </c>
      <c r="D3232" s="1" t="s">
        <v>7</v>
      </c>
      <c r="E3232" s="4">
        <v>178.5</v>
      </c>
      <c r="F3232" s="4">
        <v>174.9</v>
      </c>
      <c r="G3232" s="4">
        <v>168.7</v>
      </c>
      <c r="H3232" s="1" t="s">
        <v>188</v>
      </c>
      <c r="K3232">
        <v>2016</v>
      </c>
      <c r="L3232" t="s">
        <v>35</v>
      </c>
      <c r="M3232" t="s">
        <v>93</v>
      </c>
      <c r="N3232" t="s">
        <v>12</v>
      </c>
      <c r="O3232" t="s">
        <v>188</v>
      </c>
      <c r="P3232" s="1" t="s">
        <v>33</v>
      </c>
      <c r="Q3232">
        <v>139.69999999999999</v>
      </c>
    </row>
    <row r="3233" spans="1:17" x14ac:dyDescent="0.3">
      <c r="A3233">
        <v>2023</v>
      </c>
      <c r="B3233" t="s">
        <v>37</v>
      </c>
      <c r="C3233" t="s">
        <v>168</v>
      </c>
      <c r="D3233" s="1" t="s">
        <v>16</v>
      </c>
      <c r="E3233" s="4">
        <v>199.5</v>
      </c>
      <c r="F3233" s="4">
        <v>200.6</v>
      </c>
      <c r="G3233" s="4">
        <v>203.5</v>
      </c>
      <c r="H3233" s="1" t="s">
        <v>192</v>
      </c>
      <c r="K3233">
        <v>2016</v>
      </c>
      <c r="L3233" t="s">
        <v>35</v>
      </c>
      <c r="M3233" t="s">
        <v>93</v>
      </c>
      <c r="N3233" t="s">
        <v>11</v>
      </c>
      <c r="O3233" t="s">
        <v>188</v>
      </c>
      <c r="P3233" s="1" t="s">
        <v>30</v>
      </c>
      <c r="Q3233">
        <v>98.7</v>
      </c>
    </row>
    <row r="3234" spans="1:17" x14ac:dyDescent="0.3">
      <c r="A3234">
        <v>2023</v>
      </c>
      <c r="B3234" t="s">
        <v>37</v>
      </c>
      <c r="C3234" t="s">
        <v>168</v>
      </c>
      <c r="D3234" s="1" t="s">
        <v>27</v>
      </c>
      <c r="E3234" s="4">
        <v>183.8</v>
      </c>
      <c r="F3234" s="4">
        <v>184</v>
      </c>
      <c r="G3234" s="4">
        <v>184.4</v>
      </c>
      <c r="H3234" s="1" t="s">
        <v>192</v>
      </c>
      <c r="K3234">
        <v>2016</v>
      </c>
      <c r="L3234" t="s">
        <v>35</v>
      </c>
      <c r="M3234" t="s">
        <v>93</v>
      </c>
      <c r="N3234" t="s">
        <v>11</v>
      </c>
      <c r="O3234" t="s">
        <v>188</v>
      </c>
      <c r="P3234" s="1" t="s">
        <v>34</v>
      </c>
      <c r="Q3234">
        <v>98.8</v>
      </c>
    </row>
    <row r="3235" spans="1:17" x14ac:dyDescent="0.3">
      <c r="A3235">
        <v>2023</v>
      </c>
      <c r="B3235" t="s">
        <v>37</v>
      </c>
      <c r="C3235" t="s">
        <v>168</v>
      </c>
      <c r="D3235" s="1" t="s">
        <v>14</v>
      </c>
      <c r="E3235" s="4">
        <v>190.5</v>
      </c>
      <c r="F3235" s="4">
        <v>193.5</v>
      </c>
      <c r="G3235" s="4">
        <v>197</v>
      </c>
      <c r="H3235" s="1" t="s">
        <v>188</v>
      </c>
      <c r="K3235">
        <v>2016</v>
      </c>
      <c r="L3235" t="s">
        <v>35</v>
      </c>
      <c r="M3235" t="s">
        <v>93</v>
      </c>
      <c r="N3235" t="s">
        <v>11</v>
      </c>
      <c r="O3235" t="s">
        <v>188</v>
      </c>
      <c r="P3235" s="1" t="s">
        <v>33</v>
      </c>
      <c r="Q3235">
        <v>99.1</v>
      </c>
    </row>
    <row r="3236" spans="1:17" x14ac:dyDescent="0.3">
      <c r="A3236">
        <v>2023</v>
      </c>
      <c r="B3236" t="s">
        <v>37</v>
      </c>
      <c r="C3236" t="s">
        <v>168</v>
      </c>
      <c r="D3236" s="1" t="s">
        <v>10</v>
      </c>
      <c r="E3236" s="4">
        <v>172.8</v>
      </c>
      <c r="F3236" s="4">
        <v>173.4</v>
      </c>
      <c r="G3236" s="4">
        <v>174.7</v>
      </c>
      <c r="H3236" s="1" t="s">
        <v>188</v>
      </c>
      <c r="K3236">
        <v>2016</v>
      </c>
      <c r="L3236" t="s">
        <v>35</v>
      </c>
      <c r="M3236" t="s">
        <v>93</v>
      </c>
      <c r="N3236" t="s">
        <v>24</v>
      </c>
      <c r="O3236" t="s">
        <v>191</v>
      </c>
      <c r="P3236" s="1" t="s">
        <v>30</v>
      </c>
      <c r="Q3236">
        <v>113.9</v>
      </c>
    </row>
    <row r="3237" spans="1:17" x14ac:dyDescent="0.3">
      <c r="A3237">
        <v>2023</v>
      </c>
      <c r="B3237" t="s">
        <v>37</v>
      </c>
      <c r="C3237" t="s">
        <v>168</v>
      </c>
      <c r="D3237" s="1" t="s">
        <v>25</v>
      </c>
      <c r="E3237" s="4">
        <v>173.2</v>
      </c>
      <c r="F3237" s="4">
        <v>170.7</v>
      </c>
      <c r="G3237" s="4">
        <v>168.8</v>
      </c>
      <c r="H3237" s="1" t="s">
        <v>195</v>
      </c>
      <c r="K3237">
        <v>2016</v>
      </c>
      <c r="L3237" t="s">
        <v>35</v>
      </c>
      <c r="M3237" t="s">
        <v>93</v>
      </c>
      <c r="N3237" t="s">
        <v>24</v>
      </c>
      <c r="O3237" t="s">
        <v>191</v>
      </c>
      <c r="P3237" s="1" t="s">
        <v>34</v>
      </c>
      <c r="Q3237">
        <v>111.4</v>
      </c>
    </row>
    <row r="3238" spans="1:17" x14ac:dyDescent="0.3">
      <c r="A3238">
        <v>2023</v>
      </c>
      <c r="B3238" t="s">
        <v>37</v>
      </c>
      <c r="C3238" t="s">
        <v>168</v>
      </c>
      <c r="D3238" s="1" t="s">
        <v>12</v>
      </c>
      <c r="E3238" s="4">
        <v>215.5</v>
      </c>
      <c r="F3238" s="4">
        <v>212.9</v>
      </c>
      <c r="G3238" s="4">
        <v>207.8</v>
      </c>
      <c r="H3238" s="1" t="s">
        <v>188</v>
      </c>
      <c r="K3238">
        <v>2016</v>
      </c>
      <c r="L3238" t="s">
        <v>35</v>
      </c>
      <c r="M3238" t="s">
        <v>93</v>
      </c>
      <c r="N3238" t="s">
        <v>24</v>
      </c>
      <c r="O3238" t="s">
        <v>191</v>
      </c>
      <c r="P3238" s="1" t="s">
        <v>33</v>
      </c>
      <c r="Q3238">
        <v>109.1</v>
      </c>
    </row>
    <row r="3239" spans="1:17" x14ac:dyDescent="0.3">
      <c r="A3239">
        <v>2023</v>
      </c>
      <c r="B3239" t="s">
        <v>37</v>
      </c>
      <c r="C3239" t="s">
        <v>168</v>
      </c>
      <c r="D3239" s="1" t="s">
        <v>11</v>
      </c>
      <c r="E3239" s="4">
        <v>120.4</v>
      </c>
      <c r="F3239" s="4">
        <v>121.3</v>
      </c>
      <c r="G3239" s="4">
        <v>123.1</v>
      </c>
      <c r="H3239" s="1" t="s">
        <v>188</v>
      </c>
      <c r="K3239">
        <v>2016</v>
      </c>
      <c r="L3239" t="s">
        <v>35</v>
      </c>
      <c r="M3239" t="s">
        <v>93</v>
      </c>
      <c r="N3239" t="s">
        <v>9</v>
      </c>
      <c r="O3239" t="s">
        <v>188</v>
      </c>
      <c r="P3239" s="1" t="s">
        <v>30</v>
      </c>
      <c r="Q3239">
        <v>130.9</v>
      </c>
    </row>
    <row r="3240" spans="1:17" x14ac:dyDescent="0.3">
      <c r="A3240">
        <v>2023</v>
      </c>
      <c r="B3240" t="s">
        <v>37</v>
      </c>
      <c r="C3240" t="s">
        <v>168</v>
      </c>
      <c r="D3240" s="1" t="s">
        <v>24</v>
      </c>
      <c r="E3240" s="4">
        <v>169.4</v>
      </c>
      <c r="F3240" s="4">
        <v>164.5</v>
      </c>
      <c r="G3240" s="4">
        <v>160.1</v>
      </c>
      <c r="H3240" s="1" t="s">
        <v>191</v>
      </c>
      <c r="K3240">
        <v>2016</v>
      </c>
      <c r="L3240" t="s">
        <v>35</v>
      </c>
      <c r="M3240" t="s">
        <v>93</v>
      </c>
      <c r="N3240" t="s">
        <v>9</v>
      </c>
      <c r="O3240" t="s">
        <v>188</v>
      </c>
      <c r="P3240" s="1" t="s">
        <v>34</v>
      </c>
      <c r="Q3240">
        <v>130.30000000000001</v>
      </c>
    </row>
    <row r="3241" spans="1:17" x14ac:dyDescent="0.3">
      <c r="A3241">
        <v>2023</v>
      </c>
      <c r="B3241" t="s">
        <v>37</v>
      </c>
      <c r="C3241" t="s">
        <v>168</v>
      </c>
      <c r="D3241" s="1" t="s">
        <v>9</v>
      </c>
      <c r="E3241" s="4">
        <v>142.80000000000001</v>
      </c>
      <c r="F3241" s="4">
        <v>155.4</v>
      </c>
      <c r="G3241" s="4">
        <v>179.9</v>
      </c>
      <c r="H3241" s="1" t="s">
        <v>188</v>
      </c>
      <c r="K3241">
        <v>2016</v>
      </c>
      <c r="L3241" t="s">
        <v>35</v>
      </c>
      <c r="M3241" t="s">
        <v>93</v>
      </c>
      <c r="N3241" t="s">
        <v>9</v>
      </c>
      <c r="O3241" t="s">
        <v>188</v>
      </c>
      <c r="P3241" s="1" t="s">
        <v>33</v>
      </c>
      <c r="Q3241">
        <v>129.19999999999999</v>
      </c>
    </row>
    <row r="3242" spans="1:17" x14ac:dyDescent="0.3">
      <c r="A3242">
        <v>2023</v>
      </c>
      <c r="B3242" t="s">
        <v>35</v>
      </c>
      <c r="C3242" t="s">
        <v>169</v>
      </c>
      <c r="D3242" s="1" t="s">
        <v>3</v>
      </c>
      <c r="E3242" s="4">
        <v>174.2</v>
      </c>
      <c r="F3242" s="4">
        <v>174.4</v>
      </c>
      <c r="G3242" s="4">
        <v>174.7</v>
      </c>
      <c r="H3242" s="1" t="s">
        <v>188</v>
      </c>
      <c r="K3242">
        <v>2016</v>
      </c>
      <c r="L3242" t="s">
        <v>31</v>
      </c>
      <c r="M3242" t="s">
        <v>94</v>
      </c>
      <c r="N3242" t="s">
        <v>3</v>
      </c>
      <c r="O3242" t="s">
        <v>188</v>
      </c>
      <c r="P3242" s="1" t="s">
        <v>30</v>
      </c>
      <c r="Q3242">
        <v>126.8</v>
      </c>
    </row>
    <row r="3243" spans="1:17" x14ac:dyDescent="0.3">
      <c r="A3243">
        <v>2023</v>
      </c>
      <c r="B3243" t="s">
        <v>35</v>
      </c>
      <c r="C3243" t="s">
        <v>169</v>
      </c>
      <c r="D3243" s="1" t="s">
        <v>17</v>
      </c>
      <c r="E3243" s="4">
        <v>190</v>
      </c>
      <c r="F3243" s="4">
        <v>186.2</v>
      </c>
      <c r="G3243" s="4">
        <v>180.3</v>
      </c>
      <c r="H3243" s="1" t="s">
        <v>189</v>
      </c>
      <c r="K3243">
        <v>2016</v>
      </c>
      <c r="L3243" t="s">
        <v>31</v>
      </c>
      <c r="M3243" t="s">
        <v>94</v>
      </c>
      <c r="N3243" t="s">
        <v>3</v>
      </c>
      <c r="O3243" t="s">
        <v>188</v>
      </c>
      <c r="P3243" s="1" t="s">
        <v>34</v>
      </c>
      <c r="Q3243">
        <v>126.1</v>
      </c>
    </row>
    <row r="3244" spans="1:17" x14ac:dyDescent="0.3">
      <c r="A3244">
        <v>2023</v>
      </c>
      <c r="B3244" t="s">
        <v>35</v>
      </c>
      <c r="C3244" t="s">
        <v>169</v>
      </c>
      <c r="D3244" s="1" t="s">
        <v>19</v>
      </c>
      <c r="E3244" s="4">
        <v>189.6</v>
      </c>
      <c r="F3244" s="4">
        <v>185.1</v>
      </c>
      <c r="G3244" s="4">
        <v>178.2</v>
      </c>
      <c r="H3244" s="1" t="s">
        <v>189</v>
      </c>
      <c r="K3244">
        <v>2016</v>
      </c>
      <c r="L3244" t="s">
        <v>31</v>
      </c>
      <c r="M3244" t="s">
        <v>94</v>
      </c>
      <c r="N3244" t="s">
        <v>3</v>
      </c>
      <c r="O3244" t="s">
        <v>188</v>
      </c>
      <c r="P3244" s="1" t="s">
        <v>33</v>
      </c>
      <c r="Q3244">
        <v>124.7</v>
      </c>
    </row>
    <row r="3245" spans="1:17" x14ac:dyDescent="0.3">
      <c r="A3245">
        <v>2023</v>
      </c>
      <c r="B3245" t="s">
        <v>35</v>
      </c>
      <c r="C3245" t="s">
        <v>169</v>
      </c>
      <c r="D3245" s="1" t="s">
        <v>26</v>
      </c>
      <c r="E3245" s="4">
        <v>178.5</v>
      </c>
      <c r="F3245" s="4">
        <v>175</v>
      </c>
      <c r="G3245" s="4">
        <v>172.5</v>
      </c>
      <c r="H3245" s="1" t="s">
        <v>26</v>
      </c>
      <c r="K3245">
        <v>2016</v>
      </c>
      <c r="L3245" t="s">
        <v>31</v>
      </c>
      <c r="M3245" t="s">
        <v>94</v>
      </c>
      <c r="N3245" t="s">
        <v>17</v>
      </c>
      <c r="O3245" t="s">
        <v>189</v>
      </c>
      <c r="P3245" s="1" t="s">
        <v>30</v>
      </c>
      <c r="Q3245">
        <v>133.19999999999999</v>
      </c>
    </row>
    <row r="3246" spans="1:17" x14ac:dyDescent="0.3">
      <c r="A3246">
        <v>2023</v>
      </c>
      <c r="B3246" t="s">
        <v>35</v>
      </c>
      <c r="C3246" t="s">
        <v>169</v>
      </c>
      <c r="D3246" s="1" t="s">
        <v>5</v>
      </c>
      <c r="E3246" s="4">
        <v>173.9</v>
      </c>
      <c r="F3246" s="4">
        <v>175.2</v>
      </c>
      <c r="G3246" s="4">
        <v>177.2</v>
      </c>
      <c r="H3246" s="1" t="s">
        <v>188</v>
      </c>
      <c r="K3246">
        <v>2016</v>
      </c>
      <c r="L3246" t="s">
        <v>31</v>
      </c>
      <c r="M3246" t="s">
        <v>94</v>
      </c>
      <c r="N3246" t="s">
        <v>17</v>
      </c>
      <c r="O3246" t="s">
        <v>189</v>
      </c>
      <c r="P3246" s="1" t="s">
        <v>34</v>
      </c>
      <c r="Q3246">
        <v>130.30000000000001</v>
      </c>
    </row>
    <row r="3247" spans="1:17" x14ac:dyDescent="0.3">
      <c r="A3247">
        <v>2023</v>
      </c>
      <c r="B3247" t="s">
        <v>35</v>
      </c>
      <c r="C3247" t="s">
        <v>169</v>
      </c>
      <c r="D3247" s="1" t="s">
        <v>15</v>
      </c>
      <c r="E3247" s="4">
        <v>174.8</v>
      </c>
      <c r="F3247" s="4">
        <v>177</v>
      </c>
      <c r="G3247" s="4">
        <v>180.7</v>
      </c>
      <c r="H3247" s="1" t="s">
        <v>188</v>
      </c>
      <c r="K3247">
        <v>2016</v>
      </c>
      <c r="L3247" t="s">
        <v>31</v>
      </c>
      <c r="M3247" t="s">
        <v>94</v>
      </c>
      <c r="N3247" t="s">
        <v>17</v>
      </c>
      <c r="O3247" t="s">
        <v>189</v>
      </c>
      <c r="P3247" s="1" t="s">
        <v>33</v>
      </c>
      <c r="Q3247">
        <v>125.8</v>
      </c>
    </row>
    <row r="3248" spans="1:17" x14ac:dyDescent="0.3">
      <c r="A3248">
        <v>2023</v>
      </c>
      <c r="B3248" t="s">
        <v>35</v>
      </c>
      <c r="C3248" t="s">
        <v>169</v>
      </c>
      <c r="D3248" s="1" t="s">
        <v>18</v>
      </c>
      <c r="E3248" s="4">
        <v>187</v>
      </c>
      <c r="F3248" s="4">
        <v>178.7</v>
      </c>
      <c r="G3248" s="4">
        <v>167</v>
      </c>
      <c r="H3248" s="1" t="s">
        <v>189</v>
      </c>
      <c r="K3248">
        <v>2016</v>
      </c>
      <c r="L3248" t="s">
        <v>31</v>
      </c>
      <c r="M3248" t="s">
        <v>94</v>
      </c>
      <c r="N3248" t="s">
        <v>19</v>
      </c>
      <c r="O3248" t="s">
        <v>189</v>
      </c>
      <c r="P3248" s="1" t="s">
        <v>30</v>
      </c>
      <c r="Q3248">
        <v>132.6</v>
      </c>
    </row>
    <row r="3249" spans="1:17" x14ac:dyDescent="0.3">
      <c r="A3249">
        <v>2023</v>
      </c>
      <c r="B3249" t="s">
        <v>35</v>
      </c>
      <c r="C3249" t="s">
        <v>169</v>
      </c>
      <c r="D3249" s="1" t="s">
        <v>8</v>
      </c>
      <c r="E3249" s="4">
        <v>167.2</v>
      </c>
      <c r="F3249" s="4">
        <v>169.5</v>
      </c>
      <c r="G3249" s="4">
        <v>172.1</v>
      </c>
      <c r="H3249" s="1" t="s">
        <v>188</v>
      </c>
      <c r="K3249">
        <v>2016</v>
      </c>
      <c r="L3249" t="s">
        <v>31</v>
      </c>
      <c r="M3249" t="s">
        <v>94</v>
      </c>
      <c r="N3249" t="s">
        <v>19</v>
      </c>
      <c r="O3249" t="s">
        <v>189</v>
      </c>
      <c r="P3249" s="1" t="s">
        <v>34</v>
      </c>
      <c r="Q3249">
        <v>129.5</v>
      </c>
    </row>
    <row r="3250" spans="1:17" x14ac:dyDescent="0.3">
      <c r="A3250">
        <v>2023</v>
      </c>
      <c r="B3250" t="s">
        <v>35</v>
      </c>
      <c r="C3250" t="s">
        <v>169</v>
      </c>
      <c r="D3250" s="1" t="s">
        <v>21</v>
      </c>
      <c r="E3250" s="4">
        <v>181.6</v>
      </c>
      <c r="F3250" s="4">
        <v>182.1</v>
      </c>
      <c r="G3250" s="4">
        <v>182.8</v>
      </c>
      <c r="H3250" s="1" t="s">
        <v>190</v>
      </c>
      <c r="K3250">
        <v>2016</v>
      </c>
      <c r="L3250" t="s">
        <v>31</v>
      </c>
      <c r="M3250" t="s">
        <v>94</v>
      </c>
      <c r="N3250" t="s">
        <v>19</v>
      </c>
      <c r="O3250" t="s">
        <v>189</v>
      </c>
      <c r="P3250" s="1" t="s">
        <v>33</v>
      </c>
      <c r="Q3250">
        <v>124.9</v>
      </c>
    </row>
    <row r="3251" spans="1:17" x14ac:dyDescent="0.3">
      <c r="A3251">
        <v>2023</v>
      </c>
      <c r="B3251" t="s">
        <v>35</v>
      </c>
      <c r="C3251" t="s">
        <v>169</v>
      </c>
      <c r="D3251" s="1" t="s">
        <v>29</v>
      </c>
      <c r="E3251" s="4">
        <v>178</v>
      </c>
      <c r="F3251" s="4">
        <v>177.2</v>
      </c>
      <c r="G3251" s="4">
        <v>176.3</v>
      </c>
      <c r="H3251" s="1" t="s">
        <v>206</v>
      </c>
      <c r="K3251">
        <v>2016</v>
      </c>
      <c r="L3251" t="s">
        <v>31</v>
      </c>
      <c r="M3251" t="s">
        <v>94</v>
      </c>
      <c r="N3251" t="s">
        <v>26</v>
      </c>
      <c r="O3251" t="s">
        <v>26</v>
      </c>
      <c r="P3251" s="1" t="s">
        <v>30</v>
      </c>
      <c r="Q3251">
        <v>126.2</v>
      </c>
    </row>
    <row r="3252" spans="1:17" x14ac:dyDescent="0.3">
      <c r="A3252">
        <v>2023</v>
      </c>
      <c r="B3252" t="s">
        <v>35</v>
      </c>
      <c r="C3252" t="s">
        <v>169</v>
      </c>
      <c r="D3252" s="1" t="s">
        <v>23</v>
      </c>
      <c r="E3252" s="4">
        <v>186.6</v>
      </c>
      <c r="F3252" s="4">
        <v>184.4</v>
      </c>
      <c r="G3252" s="4">
        <v>180.8</v>
      </c>
      <c r="H3252" s="1" t="s">
        <v>23</v>
      </c>
      <c r="K3252">
        <v>2016</v>
      </c>
      <c r="L3252" t="s">
        <v>31</v>
      </c>
      <c r="M3252" t="s">
        <v>94</v>
      </c>
      <c r="N3252" t="s">
        <v>26</v>
      </c>
      <c r="O3252" t="s">
        <v>26</v>
      </c>
      <c r="P3252" s="1" t="s">
        <v>34</v>
      </c>
      <c r="Q3252">
        <v>126.3</v>
      </c>
    </row>
    <row r="3253" spans="1:17" x14ac:dyDescent="0.3">
      <c r="A3253">
        <v>2023</v>
      </c>
      <c r="B3253" t="s">
        <v>35</v>
      </c>
      <c r="C3253" t="s">
        <v>169</v>
      </c>
      <c r="D3253" s="1" t="s">
        <v>22</v>
      </c>
      <c r="E3253" s="4">
        <v>178.6</v>
      </c>
      <c r="F3253" s="4">
        <v>174.2</v>
      </c>
      <c r="G3253" s="4">
        <v>169.2</v>
      </c>
      <c r="H3253" s="1" t="s">
        <v>20</v>
      </c>
      <c r="K3253">
        <v>2016</v>
      </c>
      <c r="L3253" t="s">
        <v>31</v>
      </c>
      <c r="M3253" t="s">
        <v>94</v>
      </c>
      <c r="N3253" t="s">
        <v>26</v>
      </c>
      <c r="O3253" t="s">
        <v>26</v>
      </c>
      <c r="P3253" s="1" t="s">
        <v>33</v>
      </c>
      <c r="Q3253">
        <v>126.4</v>
      </c>
    </row>
    <row r="3254" spans="1:17" x14ac:dyDescent="0.3">
      <c r="A3254">
        <v>2023</v>
      </c>
      <c r="B3254" t="s">
        <v>35</v>
      </c>
      <c r="C3254" t="s">
        <v>169</v>
      </c>
      <c r="D3254" s="1" t="s">
        <v>20</v>
      </c>
      <c r="E3254" s="4">
        <v>0</v>
      </c>
      <c r="F3254" s="4">
        <v>173.5</v>
      </c>
      <c r="G3254" s="4">
        <v>173.5</v>
      </c>
      <c r="H3254" s="1" t="s">
        <v>20</v>
      </c>
      <c r="K3254">
        <v>2016</v>
      </c>
      <c r="L3254" t="s">
        <v>31</v>
      </c>
      <c r="M3254" t="s">
        <v>94</v>
      </c>
      <c r="N3254" t="s">
        <v>5</v>
      </c>
      <c r="O3254" t="s">
        <v>188</v>
      </c>
      <c r="P3254" s="1" t="s">
        <v>30</v>
      </c>
      <c r="Q3254">
        <v>126.5</v>
      </c>
    </row>
    <row r="3255" spans="1:17" x14ac:dyDescent="0.3">
      <c r="A3255">
        <v>2023</v>
      </c>
      <c r="B3255" t="s">
        <v>35</v>
      </c>
      <c r="C3255" t="s">
        <v>169</v>
      </c>
      <c r="D3255" s="1" t="s">
        <v>4</v>
      </c>
      <c r="E3255" s="4">
        <v>205.2</v>
      </c>
      <c r="F3255" s="4">
        <v>207.7</v>
      </c>
      <c r="G3255" s="4">
        <v>212.2</v>
      </c>
      <c r="H3255" s="1" t="s">
        <v>188</v>
      </c>
      <c r="K3255">
        <v>2016</v>
      </c>
      <c r="L3255" t="s">
        <v>31</v>
      </c>
      <c r="M3255" t="s">
        <v>94</v>
      </c>
      <c r="N3255" t="s">
        <v>5</v>
      </c>
      <c r="O3255" t="s">
        <v>188</v>
      </c>
      <c r="P3255" s="1" t="s">
        <v>34</v>
      </c>
      <c r="Q3255">
        <v>128.6</v>
      </c>
    </row>
    <row r="3256" spans="1:17" x14ac:dyDescent="0.3">
      <c r="A3256">
        <v>2023</v>
      </c>
      <c r="B3256" t="s">
        <v>35</v>
      </c>
      <c r="C3256" t="s">
        <v>169</v>
      </c>
      <c r="D3256" s="1" t="s">
        <v>6</v>
      </c>
      <c r="E3256" s="4">
        <v>177</v>
      </c>
      <c r="F3256" s="4">
        <v>177.3</v>
      </c>
      <c r="G3256" s="4">
        <v>177.9</v>
      </c>
      <c r="H3256" s="1" t="s">
        <v>188</v>
      </c>
      <c r="K3256">
        <v>2016</v>
      </c>
      <c r="L3256" t="s">
        <v>31</v>
      </c>
      <c r="M3256" t="s">
        <v>94</v>
      </c>
      <c r="N3256" t="s">
        <v>5</v>
      </c>
      <c r="O3256" t="s">
        <v>188</v>
      </c>
      <c r="P3256" s="1" t="s">
        <v>33</v>
      </c>
      <c r="Q3256">
        <v>132</v>
      </c>
    </row>
    <row r="3257" spans="1:17" x14ac:dyDescent="0.3">
      <c r="A3257">
        <v>2023</v>
      </c>
      <c r="B3257" t="s">
        <v>35</v>
      </c>
      <c r="C3257" t="s">
        <v>169</v>
      </c>
      <c r="D3257" s="1" t="s">
        <v>28</v>
      </c>
      <c r="E3257" s="4">
        <v>177.9</v>
      </c>
      <c r="F3257" s="4">
        <v>174.1</v>
      </c>
      <c r="G3257" s="4">
        <v>170</v>
      </c>
      <c r="H3257" s="1" t="s">
        <v>192</v>
      </c>
      <c r="K3257">
        <v>2016</v>
      </c>
      <c r="L3257" t="s">
        <v>31</v>
      </c>
      <c r="M3257" t="s">
        <v>94</v>
      </c>
      <c r="N3257" t="s">
        <v>15</v>
      </c>
      <c r="O3257" t="s">
        <v>188</v>
      </c>
      <c r="P3257" s="1" t="s">
        <v>30</v>
      </c>
      <c r="Q3257">
        <v>131.4</v>
      </c>
    </row>
    <row r="3258" spans="1:17" x14ac:dyDescent="0.3">
      <c r="A3258">
        <v>2023</v>
      </c>
      <c r="B3258" t="s">
        <v>35</v>
      </c>
      <c r="C3258" t="s">
        <v>169</v>
      </c>
      <c r="D3258" s="1" t="s">
        <v>13</v>
      </c>
      <c r="E3258" s="4">
        <v>177.6</v>
      </c>
      <c r="F3258" s="4">
        <v>172.3</v>
      </c>
      <c r="G3258" s="4">
        <v>164.9</v>
      </c>
      <c r="H3258" s="1" t="s">
        <v>188</v>
      </c>
      <c r="K3258">
        <v>2016</v>
      </c>
      <c r="L3258" t="s">
        <v>31</v>
      </c>
      <c r="M3258" t="s">
        <v>94</v>
      </c>
      <c r="N3258" t="s">
        <v>15</v>
      </c>
      <c r="O3258" t="s">
        <v>188</v>
      </c>
      <c r="P3258" s="1" t="s">
        <v>34</v>
      </c>
      <c r="Q3258">
        <v>131.30000000000001</v>
      </c>
    </row>
    <row r="3259" spans="1:17" x14ac:dyDescent="0.3">
      <c r="A3259">
        <v>2023</v>
      </c>
      <c r="B3259" t="s">
        <v>35</v>
      </c>
      <c r="C3259" t="s">
        <v>169</v>
      </c>
      <c r="D3259" s="1" t="s">
        <v>7</v>
      </c>
      <c r="E3259" s="4">
        <v>183.4</v>
      </c>
      <c r="F3259" s="4">
        <v>179.3</v>
      </c>
      <c r="G3259" s="4">
        <v>172.2</v>
      </c>
      <c r="H3259" s="1" t="s">
        <v>188</v>
      </c>
      <c r="K3259">
        <v>2016</v>
      </c>
      <c r="L3259" t="s">
        <v>31</v>
      </c>
      <c r="M3259" t="s">
        <v>94</v>
      </c>
      <c r="N3259" t="s">
        <v>15</v>
      </c>
      <c r="O3259" t="s">
        <v>188</v>
      </c>
      <c r="P3259" s="1" t="s">
        <v>33</v>
      </c>
      <c r="Q3259">
        <v>131.19999999999999</v>
      </c>
    </row>
    <row r="3260" spans="1:17" x14ac:dyDescent="0.3">
      <c r="A3260">
        <v>2023</v>
      </c>
      <c r="B3260" t="s">
        <v>35</v>
      </c>
      <c r="C3260" t="s">
        <v>169</v>
      </c>
      <c r="D3260" s="1" t="s">
        <v>16</v>
      </c>
      <c r="E3260" s="4">
        <v>198.3</v>
      </c>
      <c r="F3260" s="4">
        <v>199.5</v>
      </c>
      <c r="G3260" s="4">
        <v>202.7</v>
      </c>
      <c r="H3260" s="1" t="s">
        <v>192</v>
      </c>
      <c r="K3260">
        <v>2016</v>
      </c>
      <c r="L3260" t="s">
        <v>31</v>
      </c>
      <c r="M3260" t="s">
        <v>94</v>
      </c>
      <c r="N3260" t="s">
        <v>18</v>
      </c>
      <c r="O3260" t="s">
        <v>189</v>
      </c>
      <c r="P3260" s="1" t="s">
        <v>30</v>
      </c>
      <c r="Q3260">
        <v>128.9</v>
      </c>
    </row>
    <row r="3261" spans="1:17" x14ac:dyDescent="0.3">
      <c r="A3261">
        <v>2023</v>
      </c>
      <c r="B3261" t="s">
        <v>35</v>
      </c>
      <c r="C3261" t="s">
        <v>169</v>
      </c>
      <c r="D3261" s="1" t="s">
        <v>27</v>
      </c>
      <c r="E3261" s="4">
        <v>180.7</v>
      </c>
      <c r="F3261" s="4">
        <v>181</v>
      </c>
      <c r="G3261" s="4">
        <v>181.4</v>
      </c>
      <c r="H3261" s="1" t="s">
        <v>192</v>
      </c>
      <c r="K3261">
        <v>2016</v>
      </c>
      <c r="L3261" t="s">
        <v>31</v>
      </c>
      <c r="M3261" t="s">
        <v>94</v>
      </c>
      <c r="N3261" t="s">
        <v>18</v>
      </c>
      <c r="O3261" t="s">
        <v>189</v>
      </c>
      <c r="P3261" s="1" t="s">
        <v>34</v>
      </c>
      <c r="Q3261">
        <v>125.1</v>
      </c>
    </row>
    <row r="3262" spans="1:17" x14ac:dyDescent="0.3">
      <c r="A3262">
        <v>2023</v>
      </c>
      <c r="B3262" t="s">
        <v>35</v>
      </c>
      <c r="C3262" t="s">
        <v>169</v>
      </c>
      <c r="D3262" s="1" t="s">
        <v>14</v>
      </c>
      <c r="E3262" s="4">
        <v>189.9</v>
      </c>
      <c r="F3262" s="4">
        <v>193</v>
      </c>
      <c r="G3262" s="4">
        <v>196.6</v>
      </c>
      <c r="H3262" s="1" t="s">
        <v>188</v>
      </c>
      <c r="K3262">
        <v>2016</v>
      </c>
      <c r="L3262" t="s">
        <v>31</v>
      </c>
      <c r="M3262" t="s">
        <v>94</v>
      </c>
      <c r="N3262" t="s">
        <v>18</v>
      </c>
      <c r="O3262" t="s">
        <v>189</v>
      </c>
      <c r="P3262" s="1" t="s">
        <v>33</v>
      </c>
      <c r="Q3262">
        <v>119.8</v>
      </c>
    </row>
    <row r="3263" spans="1:17" x14ac:dyDescent="0.3">
      <c r="A3263">
        <v>2023</v>
      </c>
      <c r="B3263" t="s">
        <v>35</v>
      </c>
      <c r="C3263" t="s">
        <v>169</v>
      </c>
      <c r="D3263" s="1" t="s">
        <v>10</v>
      </c>
      <c r="E3263" s="4">
        <v>170.4</v>
      </c>
      <c r="F3263" s="4">
        <v>171</v>
      </c>
      <c r="G3263" s="4">
        <v>172.2</v>
      </c>
      <c r="H3263" s="1" t="s">
        <v>188</v>
      </c>
      <c r="K3263">
        <v>2016</v>
      </c>
      <c r="L3263" t="s">
        <v>31</v>
      </c>
      <c r="M3263" t="s">
        <v>94</v>
      </c>
      <c r="N3263" t="s">
        <v>8</v>
      </c>
      <c r="O3263" t="s">
        <v>188</v>
      </c>
      <c r="P3263" s="1" t="s">
        <v>30</v>
      </c>
      <c r="Q3263">
        <v>131.6</v>
      </c>
    </row>
    <row r="3264" spans="1:17" x14ac:dyDescent="0.3">
      <c r="A3264">
        <v>2023</v>
      </c>
      <c r="B3264" t="s">
        <v>35</v>
      </c>
      <c r="C3264" t="s">
        <v>169</v>
      </c>
      <c r="D3264" s="1" t="s">
        <v>25</v>
      </c>
      <c r="E3264" s="4">
        <v>172.8</v>
      </c>
      <c r="F3264" s="4">
        <v>170.3</v>
      </c>
      <c r="G3264" s="4">
        <v>168.4</v>
      </c>
      <c r="H3264" s="1" t="s">
        <v>195</v>
      </c>
      <c r="K3264">
        <v>2016</v>
      </c>
      <c r="L3264" t="s">
        <v>31</v>
      </c>
      <c r="M3264" t="s">
        <v>94</v>
      </c>
      <c r="N3264" t="s">
        <v>8</v>
      </c>
      <c r="O3264" t="s">
        <v>188</v>
      </c>
      <c r="P3264" s="1" t="s">
        <v>34</v>
      </c>
      <c r="Q3264">
        <v>125.7</v>
      </c>
    </row>
    <row r="3265" spans="1:17" x14ac:dyDescent="0.3">
      <c r="A3265">
        <v>2023</v>
      </c>
      <c r="B3265" t="s">
        <v>35</v>
      </c>
      <c r="C3265" t="s">
        <v>169</v>
      </c>
      <c r="D3265" s="1" t="s">
        <v>12</v>
      </c>
      <c r="E3265" s="4">
        <v>212.1</v>
      </c>
      <c r="F3265" s="4">
        <v>209.7</v>
      </c>
      <c r="G3265" s="4">
        <v>204.8</v>
      </c>
      <c r="H3265" s="1" t="s">
        <v>188</v>
      </c>
      <c r="K3265">
        <v>2016</v>
      </c>
      <c r="L3265" t="s">
        <v>31</v>
      </c>
      <c r="M3265" t="s">
        <v>94</v>
      </c>
      <c r="N3265" t="s">
        <v>8</v>
      </c>
      <c r="O3265" t="s">
        <v>188</v>
      </c>
      <c r="P3265" s="1" t="s">
        <v>33</v>
      </c>
      <c r="Q3265">
        <v>119</v>
      </c>
    </row>
    <row r="3266" spans="1:17" x14ac:dyDescent="0.3">
      <c r="A3266">
        <v>2023</v>
      </c>
      <c r="B3266" t="s">
        <v>35</v>
      </c>
      <c r="C3266" t="s">
        <v>169</v>
      </c>
      <c r="D3266" s="1" t="s">
        <v>11</v>
      </c>
      <c r="E3266" s="4">
        <v>119.1</v>
      </c>
      <c r="F3266" s="4">
        <v>120</v>
      </c>
      <c r="G3266" s="4">
        <v>121.9</v>
      </c>
      <c r="H3266" s="1" t="s">
        <v>188</v>
      </c>
      <c r="K3266">
        <v>2016</v>
      </c>
      <c r="L3266" t="s">
        <v>31</v>
      </c>
      <c r="M3266" t="s">
        <v>94</v>
      </c>
      <c r="N3266" t="s">
        <v>21</v>
      </c>
      <c r="O3266" t="s">
        <v>190</v>
      </c>
      <c r="P3266" s="1" t="s">
        <v>30</v>
      </c>
      <c r="Q3266">
        <v>126.2</v>
      </c>
    </row>
    <row r="3267" spans="1:17" x14ac:dyDescent="0.3">
      <c r="A3267">
        <v>2023</v>
      </c>
      <c r="B3267" t="s">
        <v>35</v>
      </c>
      <c r="C3267" t="s">
        <v>169</v>
      </c>
      <c r="D3267" s="1" t="s">
        <v>24</v>
      </c>
      <c r="E3267" s="4">
        <v>169</v>
      </c>
      <c r="F3267" s="4">
        <v>164.2</v>
      </c>
      <c r="G3267" s="4">
        <v>159.80000000000001</v>
      </c>
      <c r="H3267" s="1" t="s">
        <v>191</v>
      </c>
      <c r="K3267">
        <v>2016</v>
      </c>
      <c r="L3267" t="s">
        <v>31</v>
      </c>
      <c r="M3267" t="s">
        <v>94</v>
      </c>
      <c r="N3267" t="s">
        <v>21</v>
      </c>
      <c r="O3267" t="s">
        <v>190</v>
      </c>
      <c r="P3267" s="1" t="s">
        <v>34</v>
      </c>
      <c r="Q3267">
        <v>122.7</v>
      </c>
    </row>
    <row r="3268" spans="1:17" x14ac:dyDescent="0.3">
      <c r="A3268">
        <v>2023</v>
      </c>
      <c r="B3268" t="s">
        <v>35</v>
      </c>
      <c r="C3268" t="s">
        <v>169</v>
      </c>
      <c r="D3268" s="1" t="s">
        <v>9</v>
      </c>
      <c r="E3268" s="4">
        <v>140.9</v>
      </c>
      <c r="F3268" s="4">
        <v>152.69999999999999</v>
      </c>
      <c r="G3268" s="4">
        <v>175.8</v>
      </c>
      <c r="H3268" s="1" t="s">
        <v>188</v>
      </c>
      <c r="K3268">
        <v>2016</v>
      </c>
      <c r="L3268" t="s">
        <v>31</v>
      </c>
      <c r="M3268" t="s">
        <v>94</v>
      </c>
      <c r="N3268" t="s">
        <v>21</v>
      </c>
      <c r="O3268" t="s">
        <v>190</v>
      </c>
      <c r="P3268" s="1" t="s">
        <v>33</v>
      </c>
      <c r="Q3268">
        <v>116.9</v>
      </c>
    </row>
    <row r="3269" spans="1:17" x14ac:dyDescent="0.3">
      <c r="A3269">
        <v>2023</v>
      </c>
      <c r="B3269" t="s">
        <v>31</v>
      </c>
      <c r="C3269" t="s">
        <v>170</v>
      </c>
      <c r="D3269" s="1" t="s">
        <v>3</v>
      </c>
      <c r="E3269" s="4">
        <v>174</v>
      </c>
      <c r="F3269" s="4">
        <v>173.8</v>
      </c>
      <c r="G3269" s="4">
        <v>173.3</v>
      </c>
      <c r="H3269" s="1" t="s">
        <v>188</v>
      </c>
      <c r="K3269">
        <v>2016</v>
      </c>
      <c r="L3269" t="s">
        <v>31</v>
      </c>
      <c r="M3269" t="s">
        <v>94</v>
      </c>
      <c r="N3269" t="s">
        <v>29</v>
      </c>
      <c r="O3269" t="s">
        <v>206</v>
      </c>
      <c r="P3269" s="1" t="s">
        <v>30</v>
      </c>
      <c r="Q3269">
        <v>128.1</v>
      </c>
    </row>
    <row r="3270" spans="1:17" x14ac:dyDescent="0.3">
      <c r="A3270">
        <v>2023</v>
      </c>
      <c r="B3270" t="s">
        <v>31</v>
      </c>
      <c r="C3270" t="s">
        <v>170</v>
      </c>
      <c r="D3270" s="1" t="s">
        <v>17</v>
      </c>
      <c r="E3270" s="4">
        <v>189</v>
      </c>
      <c r="F3270" s="4">
        <v>184.9</v>
      </c>
      <c r="G3270" s="4">
        <v>178.7</v>
      </c>
      <c r="H3270" s="1" t="s">
        <v>189</v>
      </c>
      <c r="K3270">
        <v>2016</v>
      </c>
      <c r="L3270" t="s">
        <v>31</v>
      </c>
      <c r="M3270" t="s">
        <v>94</v>
      </c>
      <c r="N3270" t="s">
        <v>29</v>
      </c>
      <c r="O3270" t="s">
        <v>206</v>
      </c>
      <c r="P3270" s="1" t="s">
        <v>34</v>
      </c>
      <c r="Q3270">
        <v>126.3</v>
      </c>
    </row>
    <row r="3271" spans="1:17" x14ac:dyDescent="0.3">
      <c r="A3271">
        <v>2023</v>
      </c>
      <c r="B3271" t="s">
        <v>31</v>
      </c>
      <c r="C3271" t="s">
        <v>170</v>
      </c>
      <c r="D3271" s="1" t="s">
        <v>19</v>
      </c>
      <c r="E3271" s="4">
        <v>188.6</v>
      </c>
      <c r="F3271" s="4">
        <v>183.8</v>
      </c>
      <c r="G3271" s="4">
        <v>176.6</v>
      </c>
      <c r="H3271" s="1" t="s">
        <v>189</v>
      </c>
      <c r="K3271">
        <v>2016</v>
      </c>
      <c r="L3271" t="s">
        <v>31</v>
      </c>
      <c r="M3271" t="s">
        <v>94</v>
      </c>
      <c r="N3271" t="s">
        <v>29</v>
      </c>
      <c r="O3271" t="s">
        <v>206</v>
      </c>
      <c r="P3271" s="1" t="s">
        <v>33</v>
      </c>
      <c r="Q3271">
        <v>124.2</v>
      </c>
    </row>
    <row r="3272" spans="1:17" x14ac:dyDescent="0.3">
      <c r="A3272">
        <v>2023</v>
      </c>
      <c r="B3272" t="s">
        <v>31</v>
      </c>
      <c r="C3272" t="s">
        <v>170</v>
      </c>
      <c r="D3272" s="1" t="s">
        <v>26</v>
      </c>
      <c r="E3272" s="4">
        <v>177.8</v>
      </c>
      <c r="F3272" s="4">
        <v>174.3</v>
      </c>
      <c r="G3272" s="4">
        <v>171.8</v>
      </c>
      <c r="H3272" s="1" t="s">
        <v>26</v>
      </c>
      <c r="K3272">
        <v>2016</v>
      </c>
      <c r="L3272" t="s">
        <v>31</v>
      </c>
      <c r="M3272" t="s">
        <v>94</v>
      </c>
      <c r="N3272" t="s">
        <v>23</v>
      </c>
      <c r="O3272" t="s">
        <v>23</v>
      </c>
      <c r="P3272" s="1" t="s">
        <v>30</v>
      </c>
      <c r="Q3272">
        <v>123.7</v>
      </c>
    </row>
    <row r="3273" spans="1:17" x14ac:dyDescent="0.3">
      <c r="A3273">
        <v>2023</v>
      </c>
      <c r="B3273" t="s">
        <v>31</v>
      </c>
      <c r="C3273" t="s">
        <v>170</v>
      </c>
      <c r="D3273" s="1" t="s">
        <v>5</v>
      </c>
      <c r="E3273" s="4">
        <v>192.9</v>
      </c>
      <c r="F3273" s="4">
        <v>194.5</v>
      </c>
      <c r="G3273" s="4">
        <v>197</v>
      </c>
      <c r="H3273" s="1" t="s">
        <v>188</v>
      </c>
      <c r="K3273">
        <v>2016</v>
      </c>
      <c r="L3273" t="s">
        <v>31</v>
      </c>
      <c r="M3273" t="s">
        <v>94</v>
      </c>
      <c r="N3273" t="s">
        <v>23</v>
      </c>
      <c r="O3273" t="s">
        <v>23</v>
      </c>
      <c r="P3273" s="1" t="s">
        <v>34</v>
      </c>
      <c r="Q3273">
        <v>122</v>
      </c>
    </row>
    <row r="3274" spans="1:17" x14ac:dyDescent="0.3">
      <c r="A3274">
        <v>2023</v>
      </c>
      <c r="B3274" t="s">
        <v>31</v>
      </c>
      <c r="C3274" t="s">
        <v>170</v>
      </c>
      <c r="D3274" s="1" t="s">
        <v>15</v>
      </c>
      <c r="E3274" s="4">
        <v>175</v>
      </c>
      <c r="F3274" s="4">
        <v>176.7</v>
      </c>
      <c r="G3274" s="4">
        <v>179.5</v>
      </c>
      <c r="H3274" s="1" t="s">
        <v>188</v>
      </c>
      <c r="K3274">
        <v>2016</v>
      </c>
      <c r="L3274" t="s">
        <v>31</v>
      </c>
      <c r="M3274" t="s">
        <v>94</v>
      </c>
      <c r="N3274" t="s">
        <v>23</v>
      </c>
      <c r="O3274" t="s">
        <v>23</v>
      </c>
      <c r="P3274" s="1" t="s">
        <v>33</v>
      </c>
      <c r="Q3274">
        <v>119.1</v>
      </c>
    </row>
    <row r="3275" spans="1:17" x14ac:dyDescent="0.3">
      <c r="A3275">
        <v>2023</v>
      </c>
      <c r="B3275" t="s">
        <v>31</v>
      </c>
      <c r="C3275" t="s">
        <v>170</v>
      </c>
      <c r="D3275" s="1" t="s">
        <v>18</v>
      </c>
      <c r="E3275" s="4">
        <v>186.3</v>
      </c>
      <c r="F3275" s="4">
        <v>177.6</v>
      </c>
      <c r="G3275" s="4">
        <v>165.3</v>
      </c>
      <c r="H3275" s="1" t="s">
        <v>189</v>
      </c>
      <c r="K3275">
        <v>2016</v>
      </c>
      <c r="L3275" t="s">
        <v>31</v>
      </c>
      <c r="M3275" t="s">
        <v>94</v>
      </c>
      <c r="N3275" t="s">
        <v>22</v>
      </c>
      <c r="O3275" t="s">
        <v>20</v>
      </c>
      <c r="P3275" s="1" t="s">
        <v>30</v>
      </c>
      <c r="Q3275">
        <v>126.6</v>
      </c>
    </row>
    <row r="3276" spans="1:17" x14ac:dyDescent="0.3">
      <c r="A3276">
        <v>2023</v>
      </c>
      <c r="B3276" t="s">
        <v>31</v>
      </c>
      <c r="C3276" t="s">
        <v>170</v>
      </c>
      <c r="D3276" s="1" t="s">
        <v>8</v>
      </c>
      <c r="E3276" s="4">
        <v>156.30000000000001</v>
      </c>
      <c r="F3276" s="4">
        <v>158.30000000000001</v>
      </c>
      <c r="G3276" s="4">
        <v>160.5</v>
      </c>
      <c r="H3276" s="1" t="s">
        <v>188</v>
      </c>
      <c r="K3276">
        <v>2016</v>
      </c>
      <c r="L3276" t="s">
        <v>31</v>
      </c>
      <c r="M3276" t="s">
        <v>94</v>
      </c>
      <c r="N3276" t="s">
        <v>22</v>
      </c>
      <c r="O3276" t="s">
        <v>20</v>
      </c>
      <c r="P3276" s="1" t="s">
        <v>34</v>
      </c>
      <c r="Q3276">
        <v>124.2</v>
      </c>
    </row>
    <row r="3277" spans="1:17" x14ac:dyDescent="0.3">
      <c r="A3277">
        <v>2023</v>
      </c>
      <c r="B3277" t="s">
        <v>31</v>
      </c>
      <c r="C3277" t="s">
        <v>170</v>
      </c>
      <c r="D3277" s="1" t="s">
        <v>21</v>
      </c>
      <c r="E3277" s="4">
        <v>183.2</v>
      </c>
      <c r="F3277" s="4">
        <v>182</v>
      </c>
      <c r="G3277" s="4">
        <v>180.1</v>
      </c>
      <c r="H3277" s="1" t="s">
        <v>190</v>
      </c>
      <c r="K3277">
        <v>2016</v>
      </c>
      <c r="L3277" t="s">
        <v>31</v>
      </c>
      <c r="M3277" t="s">
        <v>94</v>
      </c>
      <c r="N3277" t="s">
        <v>22</v>
      </c>
      <c r="O3277" t="s">
        <v>20</v>
      </c>
      <c r="P3277" s="1" t="s">
        <v>33</v>
      </c>
      <c r="Q3277">
        <v>121.6</v>
      </c>
    </row>
    <row r="3278" spans="1:17" x14ac:dyDescent="0.3">
      <c r="A3278">
        <v>2023</v>
      </c>
      <c r="B3278" t="s">
        <v>31</v>
      </c>
      <c r="C3278" t="s">
        <v>170</v>
      </c>
      <c r="D3278" s="1" t="s">
        <v>29</v>
      </c>
      <c r="E3278" s="4">
        <v>177.8</v>
      </c>
      <c r="F3278" s="4">
        <v>176.5</v>
      </c>
      <c r="G3278" s="4">
        <v>174.9</v>
      </c>
      <c r="H3278" s="1" t="s">
        <v>206</v>
      </c>
      <c r="K3278">
        <v>2016</v>
      </c>
      <c r="L3278" t="s">
        <v>31</v>
      </c>
      <c r="M3278" t="s">
        <v>94</v>
      </c>
      <c r="N3278" t="s">
        <v>20</v>
      </c>
      <c r="O3278" t="s">
        <v>20</v>
      </c>
      <c r="P3278" s="1" t="s">
        <v>30</v>
      </c>
      <c r="Q3278">
        <v>0</v>
      </c>
    </row>
    <row r="3279" spans="1:17" x14ac:dyDescent="0.3">
      <c r="A3279">
        <v>2023</v>
      </c>
      <c r="B3279" t="s">
        <v>31</v>
      </c>
      <c r="C3279" t="s">
        <v>170</v>
      </c>
      <c r="D3279" s="1" t="s">
        <v>23</v>
      </c>
      <c r="E3279" s="4">
        <v>184.7</v>
      </c>
      <c r="F3279" s="4">
        <v>182.3</v>
      </c>
      <c r="G3279" s="4">
        <v>178.5</v>
      </c>
      <c r="H3279" s="1" t="s">
        <v>23</v>
      </c>
      <c r="K3279">
        <v>2016</v>
      </c>
      <c r="L3279" t="s">
        <v>31</v>
      </c>
      <c r="M3279" t="s">
        <v>94</v>
      </c>
      <c r="N3279" t="s">
        <v>20</v>
      </c>
      <c r="O3279" t="s">
        <v>20</v>
      </c>
      <c r="P3279" s="1" t="s">
        <v>34</v>
      </c>
      <c r="Q3279">
        <v>123.4</v>
      </c>
    </row>
    <row r="3280" spans="1:17" x14ac:dyDescent="0.3">
      <c r="A3280">
        <v>2023</v>
      </c>
      <c r="B3280" t="s">
        <v>31</v>
      </c>
      <c r="C3280" t="s">
        <v>170</v>
      </c>
      <c r="D3280" s="1" t="s">
        <v>22</v>
      </c>
      <c r="E3280" s="4">
        <v>177.2</v>
      </c>
      <c r="F3280" s="4">
        <v>172.9</v>
      </c>
      <c r="G3280" s="4">
        <v>168</v>
      </c>
      <c r="H3280" s="1" t="s">
        <v>20</v>
      </c>
      <c r="K3280">
        <v>2016</v>
      </c>
      <c r="L3280" t="s">
        <v>31</v>
      </c>
      <c r="M3280" t="s">
        <v>94</v>
      </c>
      <c r="N3280" t="s">
        <v>20</v>
      </c>
      <c r="O3280" t="s">
        <v>20</v>
      </c>
      <c r="P3280" s="1" t="s">
        <v>33</v>
      </c>
      <c r="Q3280">
        <v>123.4</v>
      </c>
    </row>
    <row r="3281" spans="1:17" x14ac:dyDescent="0.3">
      <c r="A3281">
        <v>2023</v>
      </c>
      <c r="B3281" t="s">
        <v>31</v>
      </c>
      <c r="C3281" t="s">
        <v>170</v>
      </c>
      <c r="D3281" s="1" t="s">
        <v>20</v>
      </c>
      <c r="E3281" s="4">
        <v>0</v>
      </c>
      <c r="F3281" s="4">
        <v>172.1</v>
      </c>
      <c r="G3281" s="4">
        <v>172.1</v>
      </c>
      <c r="H3281" s="1" t="s">
        <v>20</v>
      </c>
      <c r="K3281">
        <v>2016</v>
      </c>
      <c r="L3281" t="s">
        <v>31</v>
      </c>
      <c r="M3281" t="s">
        <v>94</v>
      </c>
      <c r="N3281" t="s">
        <v>4</v>
      </c>
      <c r="O3281" t="s">
        <v>188</v>
      </c>
      <c r="P3281" s="1" t="s">
        <v>30</v>
      </c>
      <c r="Q3281">
        <v>133.19999999999999</v>
      </c>
    </row>
    <row r="3282" spans="1:17" x14ac:dyDescent="0.3">
      <c r="A3282">
        <v>2023</v>
      </c>
      <c r="B3282" t="s">
        <v>31</v>
      </c>
      <c r="C3282" t="s">
        <v>170</v>
      </c>
      <c r="D3282" s="1" t="s">
        <v>4</v>
      </c>
      <c r="E3282" s="4">
        <v>208.3</v>
      </c>
      <c r="F3282" s="4">
        <v>210.7</v>
      </c>
      <c r="G3282" s="4">
        <v>215.2</v>
      </c>
      <c r="H3282" s="1" t="s">
        <v>188</v>
      </c>
      <c r="K3282">
        <v>2016</v>
      </c>
      <c r="L3282" t="s">
        <v>31</v>
      </c>
      <c r="M3282" t="s">
        <v>94</v>
      </c>
      <c r="N3282" t="s">
        <v>4</v>
      </c>
      <c r="O3282" t="s">
        <v>188</v>
      </c>
      <c r="P3282" s="1" t="s">
        <v>34</v>
      </c>
      <c r="Q3282">
        <v>134.1</v>
      </c>
    </row>
    <row r="3283" spans="1:17" x14ac:dyDescent="0.3">
      <c r="A3283">
        <v>2023</v>
      </c>
      <c r="B3283" t="s">
        <v>31</v>
      </c>
      <c r="C3283" t="s">
        <v>170</v>
      </c>
      <c r="D3283" s="1" t="s">
        <v>6</v>
      </c>
      <c r="E3283" s="4">
        <v>174.3</v>
      </c>
      <c r="F3283" s="4">
        <v>174.6</v>
      </c>
      <c r="G3283" s="4">
        <v>175.2</v>
      </c>
      <c r="H3283" s="1" t="s">
        <v>188</v>
      </c>
      <c r="K3283">
        <v>2016</v>
      </c>
      <c r="L3283" t="s">
        <v>31</v>
      </c>
      <c r="M3283" t="s">
        <v>94</v>
      </c>
      <c r="N3283" t="s">
        <v>4</v>
      </c>
      <c r="O3283" t="s">
        <v>188</v>
      </c>
      <c r="P3283" s="1" t="s">
        <v>33</v>
      </c>
      <c r="Q3283">
        <v>135.9</v>
      </c>
    </row>
    <row r="3284" spans="1:17" x14ac:dyDescent="0.3">
      <c r="A3284">
        <v>2023</v>
      </c>
      <c r="B3284" t="s">
        <v>31</v>
      </c>
      <c r="C3284" t="s">
        <v>170</v>
      </c>
      <c r="D3284" s="1" t="s">
        <v>28</v>
      </c>
      <c r="E3284" s="4">
        <v>176.5</v>
      </c>
      <c r="F3284" s="4">
        <v>172.8</v>
      </c>
      <c r="G3284" s="4">
        <v>168.9</v>
      </c>
      <c r="H3284" s="1" t="s">
        <v>192</v>
      </c>
      <c r="K3284">
        <v>2016</v>
      </c>
      <c r="L3284" t="s">
        <v>31</v>
      </c>
      <c r="M3284" t="s">
        <v>94</v>
      </c>
      <c r="N3284" t="s">
        <v>6</v>
      </c>
      <c r="O3284" t="s">
        <v>188</v>
      </c>
      <c r="P3284" s="1" t="s">
        <v>30</v>
      </c>
      <c r="Q3284">
        <v>130.30000000000001</v>
      </c>
    </row>
    <row r="3285" spans="1:17" x14ac:dyDescent="0.3">
      <c r="A3285">
        <v>2023</v>
      </c>
      <c r="B3285" t="s">
        <v>31</v>
      </c>
      <c r="C3285" t="s">
        <v>170</v>
      </c>
      <c r="D3285" s="1" t="s">
        <v>13</v>
      </c>
      <c r="E3285" s="4">
        <v>176.9</v>
      </c>
      <c r="F3285" s="4">
        <v>171.4</v>
      </c>
      <c r="G3285" s="4">
        <v>163.69999999999999</v>
      </c>
      <c r="H3285" s="1" t="s">
        <v>188</v>
      </c>
      <c r="K3285">
        <v>2016</v>
      </c>
      <c r="L3285" t="s">
        <v>31</v>
      </c>
      <c r="M3285" t="s">
        <v>94</v>
      </c>
      <c r="N3285" t="s">
        <v>6</v>
      </c>
      <c r="O3285" t="s">
        <v>188</v>
      </c>
      <c r="P3285" s="1" t="s">
        <v>34</v>
      </c>
      <c r="Q3285">
        <v>129.9</v>
      </c>
    </row>
    <row r="3286" spans="1:17" x14ac:dyDescent="0.3">
      <c r="A3286">
        <v>2023</v>
      </c>
      <c r="B3286" t="s">
        <v>31</v>
      </c>
      <c r="C3286" t="s">
        <v>170</v>
      </c>
      <c r="D3286" s="1" t="s">
        <v>7</v>
      </c>
      <c r="E3286" s="4">
        <v>192.6</v>
      </c>
      <c r="F3286" s="4">
        <v>187.2</v>
      </c>
      <c r="G3286" s="4">
        <v>178</v>
      </c>
      <c r="H3286" s="1" t="s">
        <v>188</v>
      </c>
      <c r="K3286">
        <v>2016</v>
      </c>
      <c r="L3286" t="s">
        <v>31</v>
      </c>
      <c r="M3286" t="s">
        <v>94</v>
      </c>
      <c r="N3286" t="s">
        <v>6</v>
      </c>
      <c r="O3286" t="s">
        <v>188</v>
      </c>
      <c r="P3286" s="1" t="s">
        <v>33</v>
      </c>
      <c r="Q3286">
        <v>129.19999999999999</v>
      </c>
    </row>
    <row r="3287" spans="1:17" x14ac:dyDescent="0.3">
      <c r="A3287">
        <v>2023</v>
      </c>
      <c r="B3287" t="s">
        <v>31</v>
      </c>
      <c r="C3287" t="s">
        <v>170</v>
      </c>
      <c r="D3287" s="1" t="s">
        <v>16</v>
      </c>
      <c r="E3287" s="4">
        <v>196.9</v>
      </c>
      <c r="F3287" s="4">
        <v>198.2</v>
      </c>
      <c r="G3287" s="4">
        <v>201.6</v>
      </c>
      <c r="H3287" s="1" t="s">
        <v>192</v>
      </c>
      <c r="K3287">
        <v>2016</v>
      </c>
      <c r="L3287" t="s">
        <v>31</v>
      </c>
      <c r="M3287" t="s">
        <v>94</v>
      </c>
      <c r="N3287" t="s">
        <v>28</v>
      </c>
      <c r="O3287" t="s">
        <v>192</v>
      </c>
      <c r="P3287" s="1" t="s">
        <v>30</v>
      </c>
      <c r="Q3287">
        <v>120.1</v>
      </c>
    </row>
    <row r="3288" spans="1:17" x14ac:dyDescent="0.3">
      <c r="A3288">
        <v>2023</v>
      </c>
      <c r="B3288" t="s">
        <v>31</v>
      </c>
      <c r="C3288" t="s">
        <v>170</v>
      </c>
      <c r="D3288" s="1" t="s">
        <v>27</v>
      </c>
      <c r="E3288" s="4">
        <v>178.4</v>
      </c>
      <c r="F3288" s="4">
        <v>178.6</v>
      </c>
      <c r="G3288" s="4">
        <v>178.8</v>
      </c>
      <c r="H3288" s="1" t="s">
        <v>192</v>
      </c>
      <c r="K3288">
        <v>2016</v>
      </c>
      <c r="L3288" t="s">
        <v>31</v>
      </c>
      <c r="M3288" t="s">
        <v>94</v>
      </c>
      <c r="N3288" t="s">
        <v>28</v>
      </c>
      <c r="O3288" t="s">
        <v>192</v>
      </c>
      <c r="P3288" s="1" t="s">
        <v>34</v>
      </c>
      <c r="Q3288">
        <v>118.5</v>
      </c>
    </row>
    <row r="3289" spans="1:17" x14ac:dyDescent="0.3">
      <c r="A3289">
        <v>2023</v>
      </c>
      <c r="B3289" t="s">
        <v>31</v>
      </c>
      <c r="C3289" t="s">
        <v>170</v>
      </c>
      <c r="D3289" s="1" t="s">
        <v>14</v>
      </c>
      <c r="E3289" s="4">
        <v>188.5</v>
      </c>
      <c r="F3289" s="4">
        <v>191.2</v>
      </c>
      <c r="G3289" s="4">
        <v>194.3</v>
      </c>
      <c r="H3289" s="1" t="s">
        <v>188</v>
      </c>
      <c r="K3289">
        <v>2016</v>
      </c>
      <c r="L3289" t="s">
        <v>31</v>
      </c>
      <c r="M3289" t="s">
        <v>94</v>
      </c>
      <c r="N3289" t="s">
        <v>28</v>
      </c>
      <c r="O3289" t="s">
        <v>192</v>
      </c>
      <c r="P3289" s="1" t="s">
        <v>33</v>
      </c>
      <c r="Q3289">
        <v>116.8</v>
      </c>
    </row>
    <row r="3290" spans="1:17" x14ac:dyDescent="0.3">
      <c r="A3290">
        <v>2023</v>
      </c>
      <c r="B3290" t="s">
        <v>31</v>
      </c>
      <c r="C3290" t="s">
        <v>170</v>
      </c>
      <c r="D3290" s="1" t="s">
        <v>10</v>
      </c>
      <c r="E3290" s="4">
        <v>170.7</v>
      </c>
      <c r="F3290" s="4">
        <v>170.9</v>
      </c>
      <c r="G3290" s="4">
        <v>171.2</v>
      </c>
      <c r="H3290" s="1" t="s">
        <v>188</v>
      </c>
      <c r="K3290">
        <v>2016</v>
      </c>
      <c r="L3290" t="s">
        <v>31</v>
      </c>
      <c r="M3290" t="s">
        <v>94</v>
      </c>
      <c r="N3290" t="s">
        <v>13</v>
      </c>
      <c r="O3290" t="s">
        <v>188</v>
      </c>
      <c r="P3290" s="1" t="s">
        <v>30</v>
      </c>
      <c r="Q3290">
        <v>124.3</v>
      </c>
    </row>
    <row r="3291" spans="1:17" x14ac:dyDescent="0.3">
      <c r="A3291">
        <v>2023</v>
      </c>
      <c r="B3291" t="s">
        <v>31</v>
      </c>
      <c r="C3291" t="s">
        <v>170</v>
      </c>
      <c r="D3291" s="1" t="s">
        <v>25</v>
      </c>
      <c r="E3291" s="4">
        <v>171.8</v>
      </c>
      <c r="F3291" s="4">
        <v>169.5</v>
      </c>
      <c r="G3291" s="4">
        <v>167.8</v>
      </c>
      <c r="H3291" s="1" t="s">
        <v>195</v>
      </c>
      <c r="K3291">
        <v>2016</v>
      </c>
      <c r="L3291" t="s">
        <v>31</v>
      </c>
      <c r="M3291" t="s">
        <v>94</v>
      </c>
      <c r="N3291" t="s">
        <v>13</v>
      </c>
      <c r="O3291" t="s">
        <v>188</v>
      </c>
      <c r="P3291" s="1" t="s">
        <v>34</v>
      </c>
      <c r="Q3291">
        <v>122.7</v>
      </c>
    </row>
    <row r="3292" spans="1:17" x14ac:dyDescent="0.3">
      <c r="A3292">
        <v>2023</v>
      </c>
      <c r="B3292" t="s">
        <v>31</v>
      </c>
      <c r="C3292" t="s">
        <v>170</v>
      </c>
      <c r="D3292" s="1" t="s">
        <v>12</v>
      </c>
      <c r="E3292" s="4">
        <v>210.5</v>
      </c>
      <c r="F3292" s="4">
        <v>208.4</v>
      </c>
      <c r="G3292" s="4">
        <v>204.3</v>
      </c>
      <c r="H3292" s="1" t="s">
        <v>188</v>
      </c>
      <c r="K3292">
        <v>2016</v>
      </c>
      <c r="L3292" t="s">
        <v>31</v>
      </c>
      <c r="M3292" t="s">
        <v>94</v>
      </c>
      <c r="N3292" t="s">
        <v>13</v>
      </c>
      <c r="O3292" t="s">
        <v>188</v>
      </c>
      <c r="P3292" s="1" t="s">
        <v>33</v>
      </c>
      <c r="Q3292">
        <v>120.5</v>
      </c>
    </row>
    <row r="3293" spans="1:17" x14ac:dyDescent="0.3">
      <c r="A3293">
        <v>2023</v>
      </c>
      <c r="B3293" t="s">
        <v>31</v>
      </c>
      <c r="C3293" t="s">
        <v>170</v>
      </c>
      <c r="D3293" s="1" t="s">
        <v>11</v>
      </c>
      <c r="E3293" s="4">
        <v>120.3</v>
      </c>
      <c r="F3293" s="4">
        <v>121.1</v>
      </c>
      <c r="G3293" s="4">
        <v>122.7</v>
      </c>
      <c r="H3293" s="1" t="s">
        <v>188</v>
      </c>
      <c r="K3293">
        <v>2016</v>
      </c>
      <c r="L3293" t="s">
        <v>31</v>
      </c>
      <c r="M3293" t="s">
        <v>94</v>
      </c>
      <c r="N3293" t="s">
        <v>7</v>
      </c>
      <c r="O3293" t="s">
        <v>188</v>
      </c>
      <c r="P3293" s="1" t="s">
        <v>30</v>
      </c>
      <c r="Q3293">
        <v>118.9</v>
      </c>
    </row>
    <row r="3294" spans="1:17" x14ac:dyDescent="0.3">
      <c r="A3294">
        <v>2023</v>
      </c>
      <c r="B3294" t="s">
        <v>31</v>
      </c>
      <c r="C3294" t="s">
        <v>170</v>
      </c>
      <c r="D3294" s="1" t="s">
        <v>24</v>
      </c>
      <c r="E3294" s="4">
        <v>168.2</v>
      </c>
      <c r="F3294" s="4">
        <v>163.6</v>
      </c>
      <c r="G3294" s="4">
        <v>159.5</v>
      </c>
      <c r="H3294" s="1" t="s">
        <v>191</v>
      </c>
      <c r="K3294">
        <v>2016</v>
      </c>
      <c r="L3294" t="s">
        <v>31</v>
      </c>
      <c r="M3294" t="s">
        <v>94</v>
      </c>
      <c r="N3294" t="s">
        <v>7</v>
      </c>
      <c r="O3294" t="s">
        <v>188</v>
      </c>
      <c r="P3294" s="1" t="s">
        <v>34</v>
      </c>
      <c r="Q3294">
        <v>115.5</v>
      </c>
    </row>
    <row r="3295" spans="1:17" x14ac:dyDescent="0.3">
      <c r="A3295">
        <v>2023</v>
      </c>
      <c r="B3295" t="s">
        <v>31</v>
      </c>
      <c r="C3295" t="s">
        <v>170</v>
      </c>
      <c r="D3295" s="1" t="s">
        <v>9</v>
      </c>
      <c r="E3295" s="4">
        <v>142.9</v>
      </c>
      <c r="F3295" s="4">
        <v>153.9</v>
      </c>
      <c r="G3295" s="4">
        <v>175.3</v>
      </c>
      <c r="H3295" s="1" t="s">
        <v>188</v>
      </c>
      <c r="K3295">
        <v>2016</v>
      </c>
      <c r="L3295" t="s">
        <v>31</v>
      </c>
      <c r="M3295" t="s">
        <v>94</v>
      </c>
      <c r="N3295" t="s">
        <v>7</v>
      </c>
      <c r="O3295" t="s">
        <v>188</v>
      </c>
      <c r="P3295" s="1" t="s">
        <v>33</v>
      </c>
      <c r="Q3295">
        <v>109.7</v>
      </c>
    </row>
    <row r="3296" spans="1:17" x14ac:dyDescent="0.3">
      <c r="A3296">
        <v>2023</v>
      </c>
      <c r="B3296" t="s">
        <v>36</v>
      </c>
      <c r="C3296" t="s">
        <v>171</v>
      </c>
      <c r="D3296" s="1" t="s">
        <v>3</v>
      </c>
      <c r="E3296" s="4">
        <v>174.3</v>
      </c>
      <c r="F3296" s="4">
        <v>174.4</v>
      </c>
      <c r="G3296" s="4">
        <v>174.7</v>
      </c>
      <c r="H3296" s="1" t="s">
        <v>188</v>
      </c>
      <c r="K3296">
        <v>2016</v>
      </c>
      <c r="L3296" t="s">
        <v>31</v>
      </c>
      <c r="M3296" t="s">
        <v>94</v>
      </c>
      <c r="N3296" t="s">
        <v>16</v>
      </c>
      <c r="O3296" t="s">
        <v>192</v>
      </c>
      <c r="P3296" s="1" t="s">
        <v>30</v>
      </c>
      <c r="Q3296">
        <v>133.6</v>
      </c>
    </row>
    <row r="3297" spans="1:17" x14ac:dyDescent="0.3">
      <c r="A3297">
        <v>2023</v>
      </c>
      <c r="B3297" t="s">
        <v>36</v>
      </c>
      <c r="C3297" t="s">
        <v>171</v>
      </c>
      <c r="D3297" s="1" t="s">
        <v>17</v>
      </c>
      <c r="E3297" s="4">
        <v>190</v>
      </c>
      <c r="F3297" s="4">
        <v>186.1</v>
      </c>
      <c r="G3297" s="4">
        <v>180.2</v>
      </c>
      <c r="H3297" s="1" t="s">
        <v>189</v>
      </c>
      <c r="K3297">
        <v>2016</v>
      </c>
      <c r="L3297" t="s">
        <v>31</v>
      </c>
      <c r="M3297" t="s">
        <v>94</v>
      </c>
      <c r="N3297" t="s">
        <v>16</v>
      </c>
      <c r="O3297" t="s">
        <v>192</v>
      </c>
      <c r="P3297" s="1" t="s">
        <v>34</v>
      </c>
      <c r="Q3297">
        <v>135.19999999999999</v>
      </c>
    </row>
    <row r="3298" spans="1:17" x14ac:dyDescent="0.3">
      <c r="A3298">
        <v>2023</v>
      </c>
      <c r="B3298" t="s">
        <v>36</v>
      </c>
      <c r="C3298" t="s">
        <v>171</v>
      </c>
      <c r="D3298" s="1" t="s">
        <v>19</v>
      </c>
      <c r="E3298" s="4">
        <v>189.6</v>
      </c>
      <c r="F3298" s="4">
        <v>185.1</v>
      </c>
      <c r="G3298" s="4">
        <v>178.2</v>
      </c>
      <c r="H3298" s="1" t="s">
        <v>189</v>
      </c>
      <c r="K3298">
        <v>2016</v>
      </c>
      <c r="L3298" t="s">
        <v>31</v>
      </c>
      <c r="M3298" t="s">
        <v>94</v>
      </c>
      <c r="N3298" t="s">
        <v>16</v>
      </c>
      <c r="O3298" t="s">
        <v>192</v>
      </c>
      <c r="P3298" s="1" t="s">
        <v>33</v>
      </c>
      <c r="Q3298">
        <v>139.5</v>
      </c>
    </row>
    <row r="3299" spans="1:17" x14ac:dyDescent="0.3">
      <c r="A3299">
        <v>2023</v>
      </c>
      <c r="B3299" t="s">
        <v>36</v>
      </c>
      <c r="C3299" t="s">
        <v>171</v>
      </c>
      <c r="D3299" s="1" t="s">
        <v>26</v>
      </c>
      <c r="E3299" s="4">
        <v>178.5</v>
      </c>
      <c r="F3299" s="4">
        <v>175</v>
      </c>
      <c r="G3299" s="4">
        <v>172.5</v>
      </c>
      <c r="H3299" s="1" t="s">
        <v>26</v>
      </c>
      <c r="K3299">
        <v>2016</v>
      </c>
      <c r="L3299" t="s">
        <v>31</v>
      </c>
      <c r="M3299" t="s">
        <v>94</v>
      </c>
      <c r="N3299" t="s">
        <v>27</v>
      </c>
      <c r="O3299" t="s">
        <v>192</v>
      </c>
      <c r="P3299" s="1" t="s">
        <v>30</v>
      </c>
      <c r="Q3299">
        <v>114.9</v>
      </c>
    </row>
    <row r="3300" spans="1:17" x14ac:dyDescent="0.3">
      <c r="A3300">
        <v>2023</v>
      </c>
      <c r="B3300" t="s">
        <v>36</v>
      </c>
      <c r="C3300" t="s">
        <v>171</v>
      </c>
      <c r="D3300" s="1" t="s">
        <v>5</v>
      </c>
      <c r="E3300" s="4">
        <v>173.9</v>
      </c>
      <c r="F3300" s="4">
        <v>175.2</v>
      </c>
      <c r="G3300" s="4">
        <v>177.2</v>
      </c>
      <c r="H3300" s="1" t="s">
        <v>188</v>
      </c>
      <c r="K3300">
        <v>2016</v>
      </c>
      <c r="L3300" t="s">
        <v>31</v>
      </c>
      <c r="M3300" t="s">
        <v>94</v>
      </c>
      <c r="N3300" t="s">
        <v>27</v>
      </c>
      <c r="O3300" t="s">
        <v>192</v>
      </c>
      <c r="P3300" s="1" t="s">
        <v>34</v>
      </c>
      <c r="Q3300">
        <v>114.5</v>
      </c>
    </row>
    <row r="3301" spans="1:17" x14ac:dyDescent="0.3">
      <c r="A3301">
        <v>2023</v>
      </c>
      <c r="B3301" t="s">
        <v>36</v>
      </c>
      <c r="C3301" t="s">
        <v>171</v>
      </c>
      <c r="D3301" s="1" t="s">
        <v>15</v>
      </c>
      <c r="E3301" s="4">
        <v>174.8</v>
      </c>
      <c r="F3301" s="4">
        <v>177</v>
      </c>
      <c r="G3301" s="4">
        <v>180.8</v>
      </c>
      <c r="H3301" s="1" t="s">
        <v>188</v>
      </c>
      <c r="K3301">
        <v>2016</v>
      </c>
      <c r="L3301" t="s">
        <v>31</v>
      </c>
      <c r="M3301" t="s">
        <v>94</v>
      </c>
      <c r="N3301" t="s">
        <v>27</v>
      </c>
      <c r="O3301" t="s">
        <v>192</v>
      </c>
      <c r="P3301" s="1" t="s">
        <v>33</v>
      </c>
      <c r="Q3301">
        <v>114</v>
      </c>
    </row>
    <row r="3302" spans="1:17" x14ac:dyDescent="0.3">
      <c r="A3302">
        <v>2023</v>
      </c>
      <c r="B3302" t="s">
        <v>36</v>
      </c>
      <c r="C3302" t="s">
        <v>171</v>
      </c>
      <c r="D3302" s="1" t="s">
        <v>18</v>
      </c>
      <c r="E3302" s="4">
        <v>187</v>
      </c>
      <c r="F3302" s="4">
        <v>178.7</v>
      </c>
      <c r="G3302" s="4">
        <v>167</v>
      </c>
      <c r="H3302" s="1" t="s">
        <v>189</v>
      </c>
      <c r="K3302">
        <v>2016</v>
      </c>
      <c r="L3302" t="s">
        <v>31</v>
      </c>
      <c r="M3302" t="s">
        <v>94</v>
      </c>
      <c r="N3302" t="s">
        <v>14</v>
      </c>
      <c r="O3302" t="s">
        <v>188</v>
      </c>
      <c r="P3302" s="1" t="s">
        <v>30</v>
      </c>
      <c r="Q3302">
        <v>135.9</v>
      </c>
    </row>
    <row r="3303" spans="1:17" x14ac:dyDescent="0.3">
      <c r="A3303">
        <v>2023</v>
      </c>
      <c r="B3303" t="s">
        <v>36</v>
      </c>
      <c r="C3303" t="s">
        <v>171</v>
      </c>
      <c r="D3303" s="1" t="s">
        <v>8</v>
      </c>
      <c r="E3303" s="4">
        <v>167.2</v>
      </c>
      <c r="F3303" s="4">
        <v>169.5</v>
      </c>
      <c r="G3303" s="4">
        <v>172.1</v>
      </c>
      <c r="H3303" s="1" t="s">
        <v>188</v>
      </c>
      <c r="K3303">
        <v>2016</v>
      </c>
      <c r="L3303" t="s">
        <v>31</v>
      </c>
      <c r="M3303" t="s">
        <v>94</v>
      </c>
      <c r="N3303" t="s">
        <v>14</v>
      </c>
      <c r="O3303" t="s">
        <v>188</v>
      </c>
      <c r="P3303" s="1" t="s">
        <v>34</v>
      </c>
      <c r="Q3303">
        <v>135.30000000000001</v>
      </c>
    </row>
    <row r="3304" spans="1:17" x14ac:dyDescent="0.3">
      <c r="A3304">
        <v>2023</v>
      </c>
      <c r="B3304" t="s">
        <v>36</v>
      </c>
      <c r="C3304" t="s">
        <v>171</v>
      </c>
      <c r="D3304" s="1" t="s">
        <v>21</v>
      </c>
      <c r="E3304" s="4">
        <v>181.4</v>
      </c>
      <c r="F3304" s="4">
        <v>181.9</v>
      </c>
      <c r="G3304" s="4">
        <v>182.6</v>
      </c>
      <c r="H3304" s="1" t="s">
        <v>190</v>
      </c>
      <c r="K3304">
        <v>2016</v>
      </c>
      <c r="L3304" t="s">
        <v>31</v>
      </c>
      <c r="M3304" t="s">
        <v>94</v>
      </c>
      <c r="N3304" t="s">
        <v>14</v>
      </c>
      <c r="O3304" t="s">
        <v>188</v>
      </c>
      <c r="P3304" s="1" t="s">
        <v>33</v>
      </c>
      <c r="Q3304">
        <v>134.69999999999999</v>
      </c>
    </row>
    <row r="3305" spans="1:17" x14ac:dyDescent="0.3">
      <c r="A3305">
        <v>2023</v>
      </c>
      <c r="B3305" t="s">
        <v>36</v>
      </c>
      <c r="C3305" t="s">
        <v>171</v>
      </c>
      <c r="D3305" s="1" t="s">
        <v>29</v>
      </c>
      <c r="E3305" s="4">
        <v>178</v>
      </c>
      <c r="F3305" s="4">
        <v>177.2</v>
      </c>
      <c r="G3305" s="4">
        <v>176.3</v>
      </c>
      <c r="H3305" s="1" t="s">
        <v>206</v>
      </c>
      <c r="K3305">
        <v>2016</v>
      </c>
      <c r="L3305" t="s">
        <v>31</v>
      </c>
      <c r="M3305" t="s">
        <v>94</v>
      </c>
      <c r="N3305" t="s">
        <v>10</v>
      </c>
      <c r="O3305" t="s">
        <v>188</v>
      </c>
      <c r="P3305" s="1" t="s">
        <v>30</v>
      </c>
      <c r="Q3305">
        <v>163.80000000000001</v>
      </c>
    </row>
    <row r="3306" spans="1:17" x14ac:dyDescent="0.3">
      <c r="A3306">
        <v>2023</v>
      </c>
      <c r="B3306" t="s">
        <v>36</v>
      </c>
      <c r="C3306" t="s">
        <v>171</v>
      </c>
      <c r="D3306" s="1" t="s">
        <v>23</v>
      </c>
      <c r="E3306" s="4">
        <v>186.6</v>
      </c>
      <c r="F3306" s="4">
        <v>184.4</v>
      </c>
      <c r="G3306" s="4">
        <v>180.8</v>
      </c>
      <c r="H3306" s="1" t="s">
        <v>23</v>
      </c>
      <c r="K3306">
        <v>2016</v>
      </c>
      <c r="L3306" t="s">
        <v>31</v>
      </c>
      <c r="M3306" t="s">
        <v>94</v>
      </c>
      <c r="N3306" t="s">
        <v>10</v>
      </c>
      <c r="O3306" t="s">
        <v>188</v>
      </c>
      <c r="P3306" s="1" t="s">
        <v>34</v>
      </c>
      <c r="Q3306">
        <v>170.7</v>
      </c>
    </row>
    <row r="3307" spans="1:17" x14ac:dyDescent="0.3">
      <c r="A3307">
        <v>2023</v>
      </c>
      <c r="B3307" t="s">
        <v>36</v>
      </c>
      <c r="C3307" t="s">
        <v>171</v>
      </c>
      <c r="D3307" s="1" t="s">
        <v>22</v>
      </c>
      <c r="E3307" s="4">
        <v>178.6</v>
      </c>
      <c r="F3307" s="4">
        <v>174.2</v>
      </c>
      <c r="G3307" s="4">
        <v>169.2</v>
      </c>
      <c r="H3307" s="1" t="s">
        <v>20</v>
      </c>
      <c r="K3307">
        <v>2016</v>
      </c>
      <c r="L3307" t="s">
        <v>31</v>
      </c>
      <c r="M3307" t="s">
        <v>94</v>
      </c>
      <c r="N3307" t="s">
        <v>10</v>
      </c>
      <c r="O3307" t="s">
        <v>188</v>
      </c>
      <c r="P3307" s="1" t="s">
        <v>33</v>
      </c>
      <c r="Q3307">
        <v>184.2</v>
      </c>
    </row>
    <row r="3308" spans="1:17" x14ac:dyDescent="0.3">
      <c r="A3308">
        <v>2023</v>
      </c>
      <c r="B3308" t="s">
        <v>36</v>
      </c>
      <c r="C3308" t="s">
        <v>171</v>
      </c>
      <c r="D3308" s="1" t="s">
        <v>20</v>
      </c>
      <c r="E3308" s="4">
        <v>0</v>
      </c>
      <c r="F3308" s="4">
        <v>173.5</v>
      </c>
      <c r="G3308" s="4">
        <v>173.5</v>
      </c>
      <c r="H3308" s="1" t="s">
        <v>20</v>
      </c>
      <c r="K3308">
        <v>2016</v>
      </c>
      <c r="L3308" t="s">
        <v>31</v>
      </c>
      <c r="M3308" t="s">
        <v>94</v>
      </c>
      <c r="N3308" t="s">
        <v>25</v>
      </c>
      <c r="O3308" t="s">
        <v>195</v>
      </c>
      <c r="P3308" s="1" t="s">
        <v>30</v>
      </c>
      <c r="Q3308">
        <v>121.4</v>
      </c>
    </row>
    <row r="3309" spans="1:17" x14ac:dyDescent="0.3">
      <c r="A3309">
        <v>2023</v>
      </c>
      <c r="B3309" t="s">
        <v>36</v>
      </c>
      <c r="C3309" t="s">
        <v>171</v>
      </c>
      <c r="D3309" s="1" t="s">
        <v>4</v>
      </c>
      <c r="E3309" s="4">
        <v>205.2</v>
      </c>
      <c r="F3309" s="4">
        <v>207.7</v>
      </c>
      <c r="G3309" s="4">
        <v>212.2</v>
      </c>
      <c r="H3309" s="1" t="s">
        <v>188</v>
      </c>
      <c r="K3309">
        <v>2016</v>
      </c>
      <c r="L3309" t="s">
        <v>31</v>
      </c>
      <c r="M3309" t="s">
        <v>94</v>
      </c>
      <c r="N3309" t="s">
        <v>25</v>
      </c>
      <c r="O3309" t="s">
        <v>195</v>
      </c>
      <c r="P3309" s="1" t="s">
        <v>34</v>
      </c>
      <c r="Q3309">
        <v>119.8</v>
      </c>
    </row>
    <row r="3310" spans="1:17" x14ac:dyDescent="0.3">
      <c r="A3310">
        <v>2023</v>
      </c>
      <c r="B3310" t="s">
        <v>36</v>
      </c>
      <c r="C3310" t="s">
        <v>171</v>
      </c>
      <c r="D3310" s="1" t="s">
        <v>6</v>
      </c>
      <c r="E3310" s="4">
        <v>177</v>
      </c>
      <c r="F3310" s="4">
        <v>177.3</v>
      </c>
      <c r="G3310" s="4">
        <v>177.9</v>
      </c>
      <c r="H3310" s="1" t="s">
        <v>188</v>
      </c>
      <c r="K3310">
        <v>2016</v>
      </c>
      <c r="L3310" t="s">
        <v>31</v>
      </c>
      <c r="M3310" t="s">
        <v>94</v>
      </c>
      <c r="N3310" t="s">
        <v>25</v>
      </c>
      <c r="O3310" t="s">
        <v>195</v>
      </c>
      <c r="P3310" s="1" t="s">
        <v>33</v>
      </c>
      <c r="Q3310">
        <v>118.5</v>
      </c>
    </row>
    <row r="3311" spans="1:17" x14ac:dyDescent="0.3">
      <c r="A3311">
        <v>2023</v>
      </c>
      <c r="B3311" t="s">
        <v>36</v>
      </c>
      <c r="C3311" t="s">
        <v>171</v>
      </c>
      <c r="D3311" s="1" t="s">
        <v>28</v>
      </c>
      <c r="E3311" s="4">
        <v>177.9</v>
      </c>
      <c r="F3311" s="4">
        <v>174.1</v>
      </c>
      <c r="G3311" s="4">
        <v>170</v>
      </c>
      <c r="H3311" s="1" t="s">
        <v>192</v>
      </c>
      <c r="K3311">
        <v>2016</v>
      </c>
      <c r="L3311" t="s">
        <v>31</v>
      </c>
      <c r="M3311" t="s">
        <v>94</v>
      </c>
      <c r="N3311" t="s">
        <v>12</v>
      </c>
      <c r="O3311" t="s">
        <v>188</v>
      </c>
      <c r="P3311" s="1" t="s">
        <v>30</v>
      </c>
      <c r="Q3311">
        <v>129.6</v>
      </c>
    </row>
    <row r="3312" spans="1:17" x14ac:dyDescent="0.3">
      <c r="A3312">
        <v>2023</v>
      </c>
      <c r="B3312" t="s">
        <v>36</v>
      </c>
      <c r="C3312" t="s">
        <v>171</v>
      </c>
      <c r="D3312" s="1" t="s">
        <v>13</v>
      </c>
      <c r="E3312" s="4">
        <v>177.6</v>
      </c>
      <c r="F3312" s="4">
        <v>172.3</v>
      </c>
      <c r="G3312" s="4">
        <v>164.9</v>
      </c>
      <c r="H3312" s="1" t="s">
        <v>188</v>
      </c>
      <c r="K3312">
        <v>2016</v>
      </c>
      <c r="L3312" t="s">
        <v>31</v>
      </c>
      <c r="M3312" t="s">
        <v>94</v>
      </c>
      <c r="N3312" t="s">
        <v>12</v>
      </c>
      <c r="O3312" t="s">
        <v>188</v>
      </c>
      <c r="P3312" s="1" t="s">
        <v>34</v>
      </c>
      <c r="Q3312">
        <v>132.9</v>
      </c>
    </row>
    <row r="3313" spans="1:17" x14ac:dyDescent="0.3">
      <c r="A3313">
        <v>2023</v>
      </c>
      <c r="B3313" t="s">
        <v>36</v>
      </c>
      <c r="C3313" t="s">
        <v>171</v>
      </c>
      <c r="D3313" s="1" t="s">
        <v>7</v>
      </c>
      <c r="E3313" s="4">
        <v>183.3</v>
      </c>
      <c r="F3313" s="4">
        <v>179.2</v>
      </c>
      <c r="G3313" s="4">
        <v>172.2</v>
      </c>
      <c r="H3313" s="1" t="s">
        <v>188</v>
      </c>
      <c r="K3313">
        <v>2016</v>
      </c>
      <c r="L3313" t="s">
        <v>31</v>
      </c>
      <c r="M3313" t="s">
        <v>94</v>
      </c>
      <c r="N3313" t="s">
        <v>12</v>
      </c>
      <c r="O3313" t="s">
        <v>188</v>
      </c>
      <c r="P3313" s="1" t="s">
        <v>33</v>
      </c>
      <c r="Q3313">
        <v>139.5</v>
      </c>
    </row>
    <row r="3314" spans="1:17" x14ac:dyDescent="0.3">
      <c r="A3314">
        <v>2023</v>
      </c>
      <c r="B3314" t="s">
        <v>36</v>
      </c>
      <c r="C3314" t="s">
        <v>171</v>
      </c>
      <c r="D3314" s="1" t="s">
        <v>16</v>
      </c>
      <c r="E3314" s="4">
        <v>198.4</v>
      </c>
      <c r="F3314" s="4">
        <v>199.5</v>
      </c>
      <c r="G3314" s="4">
        <v>202.7</v>
      </c>
      <c r="H3314" s="1" t="s">
        <v>192</v>
      </c>
      <c r="K3314">
        <v>2016</v>
      </c>
      <c r="L3314" t="s">
        <v>31</v>
      </c>
      <c r="M3314" t="s">
        <v>94</v>
      </c>
      <c r="N3314" t="s">
        <v>11</v>
      </c>
      <c r="O3314" t="s">
        <v>188</v>
      </c>
      <c r="P3314" s="1" t="s">
        <v>30</v>
      </c>
      <c r="Q3314">
        <v>97.7</v>
      </c>
    </row>
    <row r="3315" spans="1:17" x14ac:dyDescent="0.3">
      <c r="A3315">
        <v>2023</v>
      </c>
      <c r="B3315" t="s">
        <v>36</v>
      </c>
      <c r="C3315" t="s">
        <v>171</v>
      </c>
      <c r="D3315" s="1" t="s">
        <v>27</v>
      </c>
      <c r="E3315" s="4">
        <v>180.7</v>
      </c>
      <c r="F3315" s="4">
        <v>181</v>
      </c>
      <c r="G3315" s="4">
        <v>181.5</v>
      </c>
      <c r="H3315" s="1" t="s">
        <v>192</v>
      </c>
      <c r="K3315">
        <v>2016</v>
      </c>
      <c r="L3315" t="s">
        <v>31</v>
      </c>
      <c r="M3315" t="s">
        <v>94</v>
      </c>
      <c r="N3315" t="s">
        <v>11</v>
      </c>
      <c r="O3315" t="s">
        <v>188</v>
      </c>
      <c r="P3315" s="1" t="s">
        <v>34</v>
      </c>
      <c r="Q3315">
        <v>97.4</v>
      </c>
    </row>
    <row r="3316" spans="1:17" x14ac:dyDescent="0.3">
      <c r="A3316">
        <v>2023</v>
      </c>
      <c r="B3316" t="s">
        <v>36</v>
      </c>
      <c r="C3316" t="s">
        <v>171</v>
      </c>
      <c r="D3316" s="1" t="s">
        <v>14</v>
      </c>
      <c r="E3316" s="4">
        <v>189.9</v>
      </c>
      <c r="F3316" s="4">
        <v>193</v>
      </c>
      <c r="G3316" s="4">
        <v>196.6</v>
      </c>
      <c r="H3316" s="1" t="s">
        <v>188</v>
      </c>
      <c r="K3316">
        <v>2016</v>
      </c>
      <c r="L3316" t="s">
        <v>31</v>
      </c>
      <c r="M3316" t="s">
        <v>94</v>
      </c>
      <c r="N3316" t="s">
        <v>11</v>
      </c>
      <c r="O3316" t="s">
        <v>188</v>
      </c>
      <c r="P3316" s="1" t="s">
        <v>33</v>
      </c>
      <c r="Q3316">
        <v>96.7</v>
      </c>
    </row>
    <row r="3317" spans="1:17" x14ac:dyDescent="0.3">
      <c r="A3317">
        <v>2023</v>
      </c>
      <c r="B3317" t="s">
        <v>36</v>
      </c>
      <c r="C3317" t="s">
        <v>171</v>
      </c>
      <c r="D3317" s="1" t="s">
        <v>10</v>
      </c>
      <c r="E3317" s="4">
        <v>170.5</v>
      </c>
      <c r="F3317" s="4">
        <v>171.1</v>
      </c>
      <c r="G3317" s="4">
        <v>172.2</v>
      </c>
      <c r="H3317" s="1" t="s">
        <v>188</v>
      </c>
      <c r="K3317">
        <v>2016</v>
      </c>
      <c r="L3317" t="s">
        <v>31</v>
      </c>
      <c r="M3317" t="s">
        <v>94</v>
      </c>
      <c r="N3317" t="s">
        <v>24</v>
      </c>
      <c r="O3317" t="s">
        <v>191</v>
      </c>
      <c r="P3317" s="1" t="s">
        <v>30</v>
      </c>
      <c r="Q3317">
        <v>113.6</v>
      </c>
    </row>
    <row r="3318" spans="1:17" x14ac:dyDescent="0.3">
      <c r="A3318">
        <v>2023</v>
      </c>
      <c r="B3318" t="s">
        <v>36</v>
      </c>
      <c r="C3318" t="s">
        <v>171</v>
      </c>
      <c r="D3318" s="1" t="s">
        <v>25</v>
      </c>
      <c r="E3318" s="4">
        <v>172.8</v>
      </c>
      <c r="F3318" s="4">
        <v>170.3</v>
      </c>
      <c r="G3318" s="4">
        <v>168.4</v>
      </c>
      <c r="H3318" s="1" t="s">
        <v>195</v>
      </c>
      <c r="K3318">
        <v>2016</v>
      </c>
      <c r="L3318" t="s">
        <v>31</v>
      </c>
      <c r="M3318" t="s">
        <v>94</v>
      </c>
      <c r="N3318" t="s">
        <v>24</v>
      </c>
      <c r="O3318" t="s">
        <v>191</v>
      </c>
      <c r="P3318" s="1" t="s">
        <v>34</v>
      </c>
      <c r="Q3318">
        <v>111.1</v>
      </c>
    </row>
    <row r="3319" spans="1:17" x14ac:dyDescent="0.3">
      <c r="A3319">
        <v>2023</v>
      </c>
      <c r="B3319" t="s">
        <v>36</v>
      </c>
      <c r="C3319" t="s">
        <v>171</v>
      </c>
      <c r="D3319" s="1" t="s">
        <v>12</v>
      </c>
      <c r="E3319" s="4">
        <v>212.1</v>
      </c>
      <c r="F3319" s="4">
        <v>209.7</v>
      </c>
      <c r="G3319" s="4">
        <v>204.8</v>
      </c>
      <c r="H3319" s="1" t="s">
        <v>188</v>
      </c>
      <c r="K3319">
        <v>2016</v>
      </c>
      <c r="L3319" t="s">
        <v>31</v>
      </c>
      <c r="M3319" t="s">
        <v>94</v>
      </c>
      <c r="N3319" t="s">
        <v>24</v>
      </c>
      <c r="O3319" t="s">
        <v>191</v>
      </c>
      <c r="P3319" s="1" t="s">
        <v>33</v>
      </c>
      <c r="Q3319">
        <v>108.9</v>
      </c>
    </row>
    <row r="3320" spans="1:17" x14ac:dyDescent="0.3">
      <c r="A3320">
        <v>2023</v>
      </c>
      <c r="B3320" t="s">
        <v>36</v>
      </c>
      <c r="C3320" t="s">
        <v>171</v>
      </c>
      <c r="D3320" s="1" t="s">
        <v>11</v>
      </c>
      <c r="E3320" s="4">
        <v>119.1</v>
      </c>
      <c r="F3320" s="4">
        <v>120</v>
      </c>
      <c r="G3320" s="4">
        <v>121.9</v>
      </c>
      <c r="H3320" s="1" t="s">
        <v>188</v>
      </c>
      <c r="K3320">
        <v>2016</v>
      </c>
      <c r="L3320" t="s">
        <v>31</v>
      </c>
      <c r="M3320" t="s">
        <v>94</v>
      </c>
      <c r="N3320" t="s">
        <v>9</v>
      </c>
      <c r="O3320" t="s">
        <v>188</v>
      </c>
      <c r="P3320" s="1" t="s">
        <v>30</v>
      </c>
      <c r="Q3320">
        <v>140.1</v>
      </c>
    </row>
    <row r="3321" spans="1:17" x14ac:dyDescent="0.3">
      <c r="A3321">
        <v>2023</v>
      </c>
      <c r="B3321" t="s">
        <v>36</v>
      </c>
      <c r="C3321" t="s">
        <v>171</v>
      </c>
      <c r="D3321" s="1" t="s">
        <v>24</v>
      </c>
      <c r="E3321" s="4">
        <v>169</v>
      </c>
      <c r="F3321" s="4">
        <v>164.2</v>
      </c>
      <c r="G3321" s="4">
        <v>159.80000000000001</v>
      </c>
      <c r="H3321" s="1" t="s">
        <v>191</v>
      </c>
      <c r="K3321">
        <v>2016</v>
      </c>
      <c r="L3321" t="s">
        <v>31</v>
      </c>
      <c r="M3321" t="s">
        <v>94</v>
      </c>
      <c r="N3321" t="s">
        <v>9</v>
      </c>
      <c r="O3321" t="s">
        <v>188</v>
      </c>
      <c r="P3321" s="1" t="s">
        <v>34</v>
      </c>
      <c r="Q3321">
        <v>141.5</v>
      </c>
    </row>
    <row r="3322" spans="1:17" x14ac:dyDescent="0.3">
      <c r="A3322">
        <v>2023</v>
      </c>
      <c r="B3322" t="s">
        <v>36</v>
      </c>
      <c r="C3322" t="s">
        <v>171</v>
      </c>
      <c r="D3322" s="1" t="s">
        <v>9</v>
      </c>
      <c r="E3322" s="4">
        <v>140.9</v>
      </c>
      <c r="F3322" s="4">
        <v>152.80000000000001</v>
      </c>
      <c r="G3322" s="4">
        <v>175.9</v>
      </c>
      <c r="H3322" s="1" t="s">
        <v>188</v>
      </c>
      <c r="K3322">
        <v>2016</v>
      </c>
      <c r="L3322" t="s">
        <v>31</v>
      </c>
      <c r="M3322" t="s">
        <v>94</v>
      </c>
      <c r="N3322" t="s">
        <v>9</v>
      </c>
      <c r="O3322" t="s">
        <v>188</v>
      </c>
      <c r="P3322" s="1" t="s">
        <v>33</v>
      </c>
      <c r="Q3322">
        <v>144.1</v>
      </c>
    </row>
    <row r="3323" spans="1:17" x14ac:dyDescent="0.3">
      <c r="A3323">
        <v>2023</v>
      </c>
      <c r="B3323" t="s">
        <v>38</v>
      </c>
      <c r="C3323" t="s">
        <v>172</v>
      </c>
      <c r="D3323" s="1" t="s">
        <v>3</v>
      </c>
      <c r="E3323" s="4">
        <v>173.2</v>
      </c>
      <c r="F3323" s="4">
        <v>173.7</v>
      </c>
      <c r="G3323" s="4">
        <v>174.7</v>
      </c>
      <c r="H3323" s="1" t="s">
        <v>188</v>
      </c>
      <c r="K3323">
        <v>2016</v>
      </c>
      <c r="L3323" t="s">
        <v>40</v>
      </c>
      <c r="M3323" t="s">
        <v>95</v>
      </c>
      <c r="N3323" t="s">
        <v>3</v>
      </c>
      <c r="O3323" t="s">
        <v>188</v>
      </c>
      <c r="P3323" s="1" t="s">
        <v>30</v>
      </c>
      <c r="Q3323">
        <v>129.30000000000001</v>
      </c>
    </row>
    <row r="3324" spans="1:17" x14ac:dyDescent="0.3">
      <c r="A3324">
        <v>2023</v>
      </c>
      <c r="B3324" t="s">
        <v>38</v>
      </c>
      <c r="C3324" t="s">
        <v>172</v>
      </c>
      <c r="D3324" s="1" t="s">
        <v>17</v>
      </c>
      <c r="E3324" s="4">
        <v>191.2</v>
      </c>
      <c r="F3324" s="4">
        <v>187.3</v>
      </c>
      <c r="G3324" s="4">
        <v>181.3</v>
      </c>
      <c r="H3324" s="1" t="s">
        <v>189</v>
      </c>
      <c r="K3324">
        <v>2016</v>
      </c>
      <c r="L3324" t="s">
        <v>40</v>
      </c>
      <c r="M3324" t="s">
        <v>95</v>
      </c>
      <c r="N3324" t="s">
        <v>3</v>
      </c>
      <c r="O3324" t="s">
        <v>188</v>
      </c>
      <c r="P3324" s="1" t="s">
        <v>34</v>
      </c>
      <c r="Q3324">
        <v>128.5</v>
      </c>
    </row>
    <row r="3325" spans="1:17" x14ac:dyDescent="0.3">
      <c r="A3325">
        <v>2023</v>
      </c>
      <c r="B3325" t="s">
        <v>38</v>
      </c>
      <c r="C3325" t="s">
        <v>172</v>
      </c>
      <c r="D3325" s="1" t="s">
        <v>19</v>
      </c>
      <c r="E3325" s="4">
        <v>190.8</v>
      </c>
      <c r="F3325" s="4">
        <v>186.2</v>
      </c>
      <c r="G3325" s="4">
        <v>179.3</v>
      </c>
      <c r="H3325" s="1" t="s">
        <v>189</v>
      </c>
      <c r="K3325">
        <v>2016</v>
      </c>
      <c r="L3325" t="s">
        <v>40</v>
      </c>
      <c r="M3325" t="s">
        <v>95</v>
      </c>
      <c r="N3325" t="s">
        <v>3</v>
      </c>
      <c r="O3325" t="s">
        <v>188</v>
      </c>
      <c r="P3325" s="1" t="s">
        <v>33</v>
      </c>
      <c r="Q3325">
        <v>126.8</v>
      </c>
    </row>
    <row r="3326" spans="1:17" x14ac:dyDescent="0.3">
      <c r="A3326">
        <v>2023</v>
      </c>
      <c r="B3326" t="s">
        <v>38</v>
      </c>
      <c r="C3326" t="s">
        <v>172</v>
      </c>
      <c r="D3326" s="1" t="s">
        <v>26</v>
      </c>
      <c r="E3326" s="4">
        <v>180.3</v>
      </c>
      <c r="F3326" s="4">
        <v>177.1</v>
      </c>
      <c r="G3326" s="4">
        <v>174.8</v>
      </c>
      <c r="H3326" s="1" t="s">
        <v>26</v>
      </c>
      <c r="K3326">
        <v>2016</v>
      </c>
      <c r="L3326" t="s">
        <v>40</v>
      </c>
      <c r="M3326" t="s">
        <v>95</v>
      </c>
      <c r="N3326" t="s">
        <v>17</v>
      </c>
      <c r="O3326" t="s">
        <v>189</v>
      </c>
      <c r="P3326" s="1" t="s">
        <v>30</v>
      </c>
      <c r="Q3326">
        <v>137.19999999999999</v>
      </c>
    </row>
    <row r="3327" spans="1:17" x14ac:dyDescent="0.3">
      <c r="A3327">
        <v>2023</v>
      </c>
      <c r="B3327" t="s">
        <v>38</v>
      </c>
      <c r="C3327" t="s">
        <v>172</v>
      </c>
      <c r="D3327" s="1" t="s">
        <v>5</v>
      </c>
      <c r="E3327" s="4">
        <v>171</v>
      </c>
      <c r="F3327" s="4">
        <v>173.2</v>
      </c>
      <c r="G3327" s="4">
        <v>176.7</v>
      </c>
      <c r="H3327" s="1" t="s">
        <v>188</v>
      </c>
      <c r="K3327">
        <v>2016</v>
      </c>
      <c r="L3327" t="s">
        <v>40</v>
      </c>
      <c r="M3327" t="s">
        <v>95</v>
      </c>
      <c r="N3327" t="s">
        <v>17</v>
      </c>
      <c r="O3327" t="s">
        <v>189</v>
      </c>
      <c r="P3327" s="1" t="s">
        <v>34</v>
      </c>
      <c r="Q3327">
        <v>133.5</v>
      </c>
    </row>
    <row r="3328" spans="1:17" x14ac:dyDescent="0.3">
      <c r="A3328">
        <v>2023</v>
      </c>
      <c r="B3328" t="s">
        <v>38</v>
      </c>
      <c r="C3328" t="s">
        <v>172</v>
      </c>
      <c r="D3328" s="1" t="s">
        <v>15</v>
      </c>
      <c r="E3328" s="4">
        <v>176.8</v>
      </c>
      <c r="F3328" s="4">
        <v>179.1</v>
      </c>
      <c r="G3328" s="4">
        <v>183.1</v>
      </c>
      <c r="H3328" s="1" t="s">
        <v>188</v>
      </c>
      <c r="K3328">
        <v>2016</v>
      </c>
      <c r="L3328" t="s">
        <v>40</v>
      </c>
      <c r="M3328" t="s">
        <v>95</v>
      </c>
      <c r="N3328" t="s">
        <v>17</v>
      </c>
      <c r="O3328" t="s">
        <v>189</v>
      </c>
      <c r="P3328" s="1" t="s">
        <v>33</v>
      </c>
      <c r="Q3328">
        <v>127.9</v>
      </c>
    </row>
    <row r="3329" spans="1:17" x14ac:dyDescent="0.3">
      <c r="A3329">
        <v>2023</v>
      </c>
      <c r="B3329" t="s">
        <v>38</v>
      </c>
      <c r="C3329" t="s">
        <v>172</v>
      </c>
      <c r="D3329" s="1" t="s">
        <v>18</v>
      </c>
      <c r="E3329" s="4">
        <v>187.9</v>
      </c>
      <c r="F3329" s="4">
        <v>179.7</v>
      </c>
      <c r="G3329" s="4">
        <v>168.1</v>
      </c>
      <c r="H3329" s="1" t="s">
        <v>189</v>
      </c>
      <c r="K3329">
        <v>2016</v>
      </c>
      <c r="L3329" t="s">
        <v>40</v>
      </c>
      <c r="M3329" t="s">
        <v>95</v>
      </c>
      <c r="N3329" t="s">
        <v>19</v>
      </c>
      <c r="O3329" t="s">
        <v>189</v>
      </c>
      <c r="P3329" s="1" t="s">
        <v>30</v>
      </c>
      <c r="Q3329">
        <v>136.5</v>
      </c>
    </row>
    <row r="3330" spans="1:17" x14ac:dyDescent="0.3">
      <c r="A3330">
        <v>2023</v>
      </c>
      <c r="B3330" t="s">
        <v>38</v>
      </c>
      <c r="C3330" t="s">
        <v>172</v>
      </c>
      <c r="D3330" s="1" t="s">
        <v>8</v>
      </c>
      <c r="E3330" s="4">
        <v>169</v>
      </c>
      <c r="F3330" s="4">
        <v>172.2</v>
      </c>
      <c r="G3330" s="4">
        <v>175.8</v>
      </c>
      <c r="H3330" s="1" t="s">
        <v>188</v>
      </c>
      <c r="K3330">
        <v>2016</v>
      </c>
      <c r="L3330" t="s">
        <v>40</v>
      </c>
      <c r="M3330" t="s">
        <v>95</v>
      </c>
      <c r="N3330" t="s">
        <v>19</v>
      </c>
      <c r="O3330" t="s">
        <v>189</v>
      </c>
      <c r="P3330" s="1" t="s">
        <v>34</v>
      </c>
      <c r="Q3330">
        <v>132.69999999999999</v>
      </c>
    </row>
    <row r="3331" spans="1:17" x14ac:dyDescent="0.3">
      <c r="A3331">
        <v>2023</v>
      </c>
      <c r="B3331" t="s">
        <v>38</v>
      </c>
      <c r="C3331" t="s">
        <v>172</v>
      </c>
      <c r="D3331" s="1" t="s">
        <v>21</v>
      </c>
      <c r="E3331" s="4">
        <v>182.5</v>
      </c>
      <c r="F3331" s="4">
        <v>182.8</v>
      </c>
      <c r="G3331" s="4">
        <v>183.4</v>
      </c>
      <c r="H3331" s="1" t="s">
        <v>190</v>
      </c>
      <c r="K3331">
        <v>2016</v>
      </c>
      <c r="L3331" t="s">
        <v>40</v>
      </c>
      <c r="M3331" t="s">
        <v>95</v>
      </c>
      <c r="N3331" t="s">
        <v>19</v>
      </c>
      <c r="O3331" t="s">
        <v>189</v>
      </c>
      <c r="P3331" s="1" t="s">
        <v>33</v>
      </c>
      <c r="Q3331">
        <v>126.9</v>
      </c>
    </row>
    <row r="3332" spans="1:17" x14ac:dyDescent="0.3">
      <c r="A3332">
        <v>2023</v>
      </c>
      <c r="B3332" t="s">
        <v>38</v>
      </c>
      <c r="C3332" t="s">
        <v>172</v>
      </c>
      <c r="D3332" s="1" t="s">
        <v>29</v>
      </c>
      <c r="E3332" s="4">
        <v>179.8</v>
      </c>
      <c r="F3332" s="4">
        <v>179.1</v>
      </c>
      <c r="G3332" s="4">
        <v>178.2</v>
      </c>
      <c r="H3332" s="1" t="s">
        <v>206</v>
      </c>
      <c r="K3332">
        <v>2016</v>
      </c>
      <c r="L3332" t="s">
        <v>40</v>
      </c>
      <c r="M3332" t="s">
        <v>95</v>
      </c>
      <c r="N3332" t="s">
        <v>26</v>
      </c>
      <c r="O3332" t="s">
        <v>26</v>
      </c>
      <c r="P3332" s="1" t="s">
        <v>30</v>
      </c>
      <c r="Q3332">
        <v>130.80000000000001</v>
      </c>
    </row>
    <row r="3333" spans="1:17" x14ac:dyDescent="0.3">
      <c r="A3333">
        <v>2023</v>
      </c>
      <c r="B3333" t="s">
        <v>38</v>
      </c>
      <c r="C3333" t="s">
        <v>172</v>
      </c>
      <c r="D3333" s="1" t="s">
        <v>23</v>
      </c>
      <c r="E3333" s="4">
        <v>187.8</v>
      </c>
      <c r="F3333" s="4">
        <v>185.7</v>
      </c>
      <c r="G3333" s="4">
        <v>182.2</v>
      </c>
      <c r="H3333" s="1" t="s">
        <v>23</v>
      </c>
      <c r="K3333">
        <v>2016</v>
      </c>
      <c r="L3333" t="s">
        <v>40</v>
      </c>
      <c r="M3333" t="s">
        <v>95</v>
      </c>
      <c r="N3333" t="s">
        <v>26</v>
      </c>
      <c r="O3333" t="s">
        <v>26</v>
      </c>
      <c r="P3333" s="1" t="s">
        <v>34</v>
      </c>
      <c r="Q3333">
        <v>130.80000000000001</v>
      </c>
    </row>
    <row r="3334" spans="1:17" x14ac:dyDescent="0.3">
      <c r="A3334">
        <v>2023</v>
      </c>
      <c r="B3334" t="s">
        <v>38</v>
      </c>
      <c r="C3334" t="s">
        <v>172</v>
      </c>
      <c r="D3334" s="1" t="s">
        <v>22</v>
      </c>
      <c r="E3334" s="4">
        <v>179.8</v>
      </c>
      <c r="F3334" s="4">
        <v>175.2</v>
      </c>
      <c r="G3334" s="4">
        <v>170.1</v>
      </c>
      <c r="H3334" s="1" t="s">
        <v>20</v>
      </c>
      <c r="K3334">
        <v>2016</v>
      </c>
      <c r="L3334" t="s">
        <v>40</v>
      </c>
      <c r="M3334" t="s">
        <v>95</v>
      </c>
      <c r="N3334" t="s">
        <v>26</v>
      </c>
      <c r="O3334" t="s">
        <v>26</v>
      </c>
      <c r="P3334" s="1" t="s">
        <v>33</v>
      </c>
      <c r="Q3334">
        <v>130.80000000000001</v>
      </c>
    </row>
    <row r="3335" spans="1:17" x14ac:dyDescent="0.3">
      <c r="A3335">
        <v>2023</v>
      </c>
      <c r="B3335" t="s">
        <v>38</v>
      </c>
      <c r="C3335" t="s">
        <v>172</v>
      </c>
      <c r="D3335" s="1" t="s">
        <v>20</v>
      </c>
      <c r="E3335" s="4">
        <v>0</v>
      </c>
      <c r="F3335" s="4">
        <v>175.6</v>
      </c>
      <c r="G3335" s="4">
        <v>175.6</v>
      </c>
      <c r="H3335" s="1" t="s">
        <v>20</v>
      </c>
      <c r="K3335">
        <v>2016</v>
      </c>
      <c r="L3335" t="s">
        <v>40</v>
      </c>
      <c r="M3335" t="s">
        <v>95</v>
      </c>
      <c r="N3335" t="s">
        <v>5</v>
      </c>
      <c r="O3335" t="s">
        <v>188</v>
      </c>
      <c r="P3335" s="1" t="s">
        <v>30</v>
      </c>
      <c r="Q3335">
        <v>129.6</v>
      </c>
    </row>
    <row r="3336" spans="1:17" x14ac:dyDescent="0.3">
      <c r="A3336">
        <v>2023</v>
      </c>
      <c r="B3336" t="s">
        <v>38</v>
      </c>
      <c r="C3336" t="s">
        <v>172</v>
      </c>
      <c r="D3336" s="1" t="s">
        <v>4</v>
      </c>
      <c r="E3336" s="4">
        <v>211.5</v>
      </c>
      <c r="F3336" s="4">
        <v>214.3</v>
      </c>
      <c r="G3336" s="4">
        <v>219.4</v>
      </c>
      <c r="H3336" s="1" t="s">
        <v>188</v>
      </c>
      <c r="K3336">
        <v>2016</v>
      </c>
      <c r="L3336" t="s">
        <v>40</v>
      </c>
      <c r="M3336" t="s">
        <v>95</v>
      </c>
      <c r="N3336" t="s">
        <v>5</v>
      </c>
      <c r="O3336" t="s">
        <v>188</v>
      </c>
      <c r="P3336" s="1" t="s">
        <v>34</v>
      </c>
      <c r="Q3336">
        <v>132.30000000000001</v>
      </c>
    </row>
    <row r="3337" spans="1:17" x14ac:dyDescent="0.3">
      <c r="A3337">
        <v>2023</v>
      </c>
      <c r="B3337" t="s">
        <v>38</v>
      </c>
      <c r="C3337" t="s">
        <v>172</v>
      </c>
      <c r="D3337" s="1" t="s">
        <v>6</v>
      </c>
      <c r="E3337" s="4">
        <v>179.6</v>
      </c>
      <c r="F3337" s="4">
        <v>179.5</v>
      </c>
      <c r="G3337" s="4">
        <v>179.4</v>
      </c>
      <c r="H3337" s="1" t="s">
        <v>188</v>
      </c>
      <c r="K3337">
        <v>2016</v>
      </c>
      <c r="L3337" t="s">
        <v>40</v>
      </c>
      <c r="M3337" t="s">
        <v>95</v>
      </c>
      <c r="N3337" t="s">
        <v>5</v>
      </c>
      <c r="O3337" t="s">
        <v>188</v>
      </c>
      <c r="P3337" s="1" t="s">
        <v>33</v>
      </c>
      <c r="Q3337">
        <v>136.6</v>
      </c>
    </row>
    <row r="3338" spans="1:17" x14ac:dyDescent="0.3">
      <c r="A3338">
        <v>2023</v>
      </c>
      <c r="B3338" t="s">
        <v>38</v>
      </c>
      <c r="C3338" t="s">
        <v>172</v>
      </c>
      <c r="D3338" s="1" t="s">
        <v>28</v>
      </c>
      <c r="E3338" s="4">
        <v>179.5</v>
      </c>
      <c r="F3338" s="4">
        <v>175.7</v>
      </c>
      <c r="G3338" s="4">
        <v>171.6</v>
      </c>
      <c r="H3338" s="1" t="s">
        <v>192</v>
      </c>
      <c r="K3338">
        <v>2016</v>
      </c>
      <c r="L3338" t="s">
        <v>40</v>
      </c>
      <c r="M3338" t="s">
        <v>95</v>
      </c>
      <c r="N3338" t="s">
        <v>15</v>
      </c>
      <c r="O3338" t="s">
        <v>188</v>
      </c>
      <c r="P3338" s="1" t="s">
        <v>30</v>
      </c>
      <c r="Q3338">
        <v>137.6</v>
      </c>
    </row>
    <row r="3339" spans="1:17" x14ac:dyDescent="0.3">
      <c r="A3339">
        <v>2023</v>
      </c>
      <c r="B3339" t="s">
        <v>38</v>
      </c>
      <c r="C3339" t="s">
        <v>172</v>
      </c>
      <c r="D3339" s="1" t="s">
        <v>13</v>
      </c>
      <c r="E3339" s="4">
        <v>178.7</v>
      </c>
      <c r="F3339" s="4">
        <v>173.4</v>
      </c>
      <c r="G3339" s="4">
        <v>165.9</v>
      </c>
      <c r="H3339" s="1" t="s">
        <v>188</v>
      </c>
      <c r="K3339">
        <v>2016</v>
      </c>
      <c r="L3339" t="s">
        <v>40</v>
      </c>
      <c r="M3339" t="s">
        <v>95</v>
      </c>
      <c r="N3339" t="s">
        <v>15</v>
      </c>
      <c r="O3339" t="s">
        <v>188</v>
      </c>
      <c r="P3339" s="1" t="s">
        <v>34</v>
      </c>
      <c r="Q3339">
        <v>138.4</v>
      </c>
    </row>
    <row r="3340" spans="1:17" x14ac:dyDescent="0.3">
      <c r="A3340">
        <v>2023</v>
      </c>
      <c r="B3340" t="s">
        <v>38</v>
      </c>
      <c r="C3340" t="s">
        <v>172</v>
      </c>
      <c r="D3340" s="1" t="s">
        <v>7</v>
      </c>
      <c r="E3340" s="4">
        <v>173.3</v>
      </c>
      <c r="F3340" s="4">
        <v>170</v>
      </c>
      <c r="G3340" s="4">
        <v>164.4</v>
      </c>
      <c r="H3340" s="1" t="s">
        <v>188</v>
      </c>
      <c r="K3340">
        <v>2016</v>
      </c>
      <c r="L3340" t="s">
        <v>40</v>
      </c>
      <c r="M3340" t="s">
        <v>95</v>
      </c>
      <c r="N3340" t="s">
        <v>15</v>
      </c>
      <c r="O3340" t="s">
        <v>188</v>
      </c>
      <c r="P3340" s="1" t="s">
        <v>33</v>
      </c>
      <c r="Q3340">
        <v>139.80000000000001</v>
      </c>
    </row>
    <row r="3341" spans="1:17" x14ac:dyDescent="0.3">
      <c r="A3341">
        <v>2023</v>
      </c>
      <c r="B3341" t="s">
        <v>38</v>
      </c>
      <c r="C3341" t="s">
        <v>172</v>
      </c>
      <c r="D3341" s="1" t="s">
        <v>16</v>
      </c>
      <c r="E3341" s="4">
        <v>199.9</v>
      </c>
      <c r="F3341" s="4">
        <v>201</v>
      </c>
      <c r="G3341" s="4">
        <v>204.2</v>
      </c>
      <c r="H3341" s="1" t="s">
        <v>192</v>
      </c>
      <c r="K3341">
        <v>2016</v>
      </c>
      <c r="L3341" t="s">
        <v>40</v>
      </c>
      <c r="M3341" t="s">
        <v>95</v>
      </c>
      <c r="N3341" t="s">
        <v>18</v>
      </c>
      <c r="O3341" t="s">
        <v>189</v>
      </c>
      <c r="P3341" s="1" t="s">
        <v>30</v>
      </c>
      <c r="Q3341">
        <v>132.19999999999999</v>
      </c>
    </row>
    <row r="3342" spans="1:17" x14ac:dyDescent="0.3">
      <c r="A3342">
        <v>2023</v>
      </c>
      <c r="B3342" t="s">
        <v>38</v>
      </c>
      <c r="C3342" t="s">
        <v>172</v>
      </c>
      <c r="D3342" s="1" t="s">
        <v>27</v>
      </c>
      <c r="E3342" s="4">
        <v>184.9</v>
      </c>
      <c r="F3342" s="4">
        <v>185.2</v>
      </c>
      <c r="G3342" s="4">
        <v>185.6</v>
      </c>
      <c r="H3342" s="1" t="s">
        <v>192</v>
      </c>
      <c r="K3342">
        <v>2016</v>
      </c>
      <c r="L3342" t="s">
        <v>40</v>
      </c>
      <c r="M3342" t="s">
        <v>95</v>
      </c>
      <c r="N3342" t="s">
        <v>18</v>
      </c>
      <c r="O3342" t="s">
        <v>189</v>
      </c>
      <c r="P3342" s="1" t="s">
        <v>34</v>
      </c>
      <c r="Q3342">
        <v>127.6</v>
      </c>
    </row>
    <row r="3343" spans="1:17" x14ac:dyDescent="0.3">
      <c r="A3343">
        <v>2023</v>
      </c>
      <c r="B3343" t="s">
        <v>38</v>
      </c>
      <c r="C3343" t="s">
        <v>172</v>
      </c>
      <c r="D3343" s="1" t="s">
        <v>14</v>
      </c>
      <c r="E3343" s="4">
        <v>191.1</v>
      </c>
      <c r="F3343" s="4">
        <v>194.2</v>
      </c>
      <c r="G3343" s="4">
        <v>197.7</v>
      </c>
      <c r="H3343" s="1" t="s">
        <v>188</v>
      </c>
      <c r="K3343">
        <v>2016</v>
      </c>
      <c r="L3343" t="s">
        <v>40</v>
      </c>
      <c r="M3343" t="s">
        <v>95</v>
      </c>
      <c r="N3343" t="s">
        <v>18</v>
      </c>
      <c r="O3343" t="s">
        <v>189</v>
      </c>
      <c r="P3343" s="1" t="s">
        <v>33</v>
      </c>
      <c r="Q3343">
        <v>121.1</v>
      </c>
    </row>
    <row r="3344" spans="1:17" x14ac:dyDescent="0.3">
      <c r="A3344">
        <v>2023</v>
      </c>
      <c r="B3344" t="s">
        <v>38</v>
      </c>
      <c r="C3344" t="s">
        <v>172</v>
      </c>
      <c r="D3344" s="1" t="s">
        <v>10</v>
      </c>
      <c r="E3344" s="4">
        <v>174.9</v>
      </c>
      <c r="F3344" s="4">
        <v>175.6</v>
      </c>
      <c r="G3344" s="4">
        <v>176.9</v>
      </c>
      <c r="H3344" s="1" t="s">
        <v>188</v>
      </c>
      <c r="K3344">
        <v>2016</v>
      </c>
      <c r="L3344" t="s">
        <v>40</v>
      </c>
      <c r="M3344" t="s">
        <v>95</v>
      </c>
      <c r="N3344" t="s">
        <v>8</v>
      </c>
      <c r="O3344" t="s">
        <v>188</v>
      </c>
      <c r="P3344" s="1" t="s">
        <v>30</v>
      </c>
      <c r="Q3344">
        <v>138.5</v>
      </c>
    </row>
    <row r="3345" spans="1:17" x14ac:dyDescent="0.3">
      <c r="A3345">
        <v>2023</v>
      </c>
      <c r="B3345" t="s">
        <v>38</v>
      </c>
      <c r="C3345" t="s">
        <v>172</v>
      </c>
      <c r="D3345" s="1" t="s">
        <v>25</v>
      </c>
      <c r="E3345" s="4">
        <v>173.8</v>
      </c>
      <c r="F3345" s="4">
        <v>171.2</v>
      </c>
      <c r="G3345" s="4">
        <v>169.2</v>
      </c>
      <c r="H3345" s="1" t="s">
        <v>195</v>
      </c>
      <c r="K3345">
        <v>2016</v>
      </c>
      <c r="L3345" t="s">
        <v>40</v>
      </c>
      <c r="M3345" t="s">
        <v>95</v>
      </c>
      <c r="N3345" t="s">
        <v>8</v>
      </c>
      <c r="O3345" t="s">
        <v>188</v>
      </c>
      <c r="P3345" s="1" t="s">
        <v>34</v>
      </c>
      <c r="Q3345">
        <v>137.80000000000001</v>
      </c>
    </row>
    <row r="3346" spans="1:17" x14ac:dyDescent="0.3">
      <c r="A3346">
        <v>2023</v>
      </c>
      <c r="B3346" t="s">
        <v>38</v>
      </c>
      <c r="C3346" t="s">
        <v>172</v>
      </c>
      <c r="D3346" s="1" t="s">
        <v>12</v>
      </c>
      <c r="E3346" s="4">
        <v>221</v>
      </c>
      <c r="F3346" s="4">
        <v>218</v>
      </c>
      <c r="G3346" s="4">
        <v>211.9</v>
      </c>
      <c r="H3346" s="1" t="s">
        <v>188</v>
      </c>
      <c r="K3346">
        <v>2016</v>
      </c>
      <c r="L3346" t="s">
        <v>40</v>
      </c>
      <c r="M3346" t="s">
        <v>95</v>
      </c>
      <c r="N3346" t="s">
        <v>8</v>
      </c>
      <c r="O3346" t="s">
        <v>188</v>
      </c>
      <c r="P3346" s="1" t="s">
        <v>33</v>
      </c>
      <c r="Q3346">
        <v>137</v>
      </c>
    </row>
    <row r="3347" spans="1:17" x14ac:dyDescent="0.3">
      <c r="A3347">
        <v>2023</v>
      </c>
      <c r="B3347" t="s">
        <v>38</v>
      </c>
      <c r="C3347" t="s">
        <v>172</v>
      </c>
      <c r="D3347" s="1" t="s">
        <v>11</v>
      </c>
      <c r="E3347" s="4">
        <v>121.9</v>
      </c>
      <c r="F3347" s="4">
        <v>122.7</v>
      </c>
      <c r="G3347" s="4">
        <v>124.2</v>
      </c>
      <c r="H3347" s="1" t="s">
        <v>188</v>
      </c>
      <c r="K3347">
        <v>2016</v>
      </c>
      <c r="L3347" t="s">
        <v>40</v>
      </c>
      <c r="M3347" t="s">
        <v>95</v>
      </c>
      <c r="N3347" t="s">
        <v>21</v>
      </c>
      <c r="O3347" t="s">
        <v>190</v>
      </c>
      <c r="P3347" s="1" t="s">
        <v>30</v>
      </c>
      <c r="Q3347">
        <v>128.19999999999999</v>
      </c>
    </row>
    <row r="3348" spans="1:17" x14ac:dyDescent="0.3">
      <c r="A3348">
        <v>2023</v>
      </c>
      <c r="B3348" t="s">
        <v>38</v>
      </c>
      <c r="C3348" t="s">
        <v>172</v>
      </c>
      <c r="D3348" s="1" t="s">
        <v>24</v>
      </c>
      <c r="E3348" s="4">
        <v>169.7</v>
      </c>
      <c r="F3348" s="4">
        <v>164.8</v>
      </c>
      <c r="G3348" s="4">
        <v>160.4</v>
      </c>
      <c r="H3348" s="1" t="s">
        <v>191</v>
      </c>
      <c r="K3348">
        <v>2016</v>
      </c>
      <c r="L3348" t="s">
        <v>40</v>
      </c>
      <c r="M3348" t="s">
        <v>95</v>
      </c>
      <c r="N3348" t="s">
        <v>21</v>
      </c>
      <c r="O3348" t="s">
        <v>190</v>
      </c>
      <c r="P3348" s="1" t="s">
        <v>34</v>
      </c>
      <c r="Q3348">
        <v>123.4</v>
      </c>
    </row>
    <row r="3349" spans="1:17" x14ac:dyDescent="0.3">
      <c r="A3349">
        <v>2023</v>
      </c>
      <c r="B3349" t="s">
        <v>38</v>
      </c>
      <c r="C3349" t="s">
        <v>172</v>
      </c>
      <c r="D3349" s="1" t="s">
        <v>9</v>
      </c>
      <c r="E3349" s="4">
        <v>148.69999999999999</v>
      </c>
      <c r="F3349" s="4">
        <v>161</v>
      </c>
      <c r="G3349" s="4">
        <v>185</v>
      </c>
      <c r="H3349" s="1" t="s">
        <v>188</v>
      </c>
      <c r="K3349">
        <v>2016</v>
      </c>
      <c r="L3349" t="s">
        <v>40</v>
      </c>
      <c r="M3349" t="s">
        <v>95</v>
      </c>
      <c r="N3349" t="s">
        <v>21</v>
      </c>
      <c r="O3349" t="s">
        <v>190</v>
      </c>
      <c r="P3349" s="1" t="s">
        <v>33</v>
      </c>
      <c r="Q3349">
        <v>115.5</v>
      </c>
    </row>
    <row r="3350" spans="1:17" x14ac:dyDescent="0.3">
      <c r="K3350">
        <v>2016</v>
      </c>
      <c r="L3350" t="s">
        <v>40</v>
      </c>
      <c r="M3350" t="s">
        <v>95</v>
      </c>
      <c r="N3350" t="s">
        <v>29</v>
      </c>
      <c r="O3350" t="s">
        <v>206</v>
      </c>
      <c r="P3350" s="1" t="s">
        <v>30</v>
      </c>
      <c r="Q3350">
        <v>133</v>
      </c>
    </row>
    <row r="3351" spans="1:17" x14ac:dyDescent="0.3">
      <c r="K3351">
        <v>2016</v>
      </c>
      <c r="L3351" t="s">
        <v>40</v>
      </c>
      <c r="M3351" t="s">
        <v>95</v>
      </c>
      <c r="N3351" t="s">
        <v>29</v>
      </c>
      <c r="O3351" t="s">
        <v>206</v>
      </c>
      <c r="P3351" s="1" t="s">
        <v>34</v>
      </c>
      <c r="Q3351">
        <v>131.1</v>
      </c>
    </row>
    <row r="3352" spans="1:17" x14ac:dyDescent="0.3">
      <c r="K3352">
        <v>2016</v>
      </c>
      <c r="L3352" t="s">
        <v>40</v>
      </c>
      <c r="M3352" t="s">
        <v>95</v>
      </c>
      <c r="N3352" t="s">
        <v>29</v>
      </c>
      <c r="O3352" t="s">
        <v>206</v>
      </c>
      <c r="P3352" s="1" t="s">
        <v>33</v>
      </c>
      <c r="Q3352">
        <v>129</v>
      </c>
    </row>
    <row r="3353" spans="1:17" x14ac:dyDescent="0.3">
      <c r="K3353">
        <v>2016</v>
      </c>
      <c r="L3353" t="s">
        <v>40</v>
      </c>
      <c r="M3353" t="s">
        <v>95</v>
      </c>
      <c r="N3353" t="s">
        <v>23</v>
      </c>
      <c r="O3353" t="s">
        <v>23</v>
      </c>
      <c r="P3353" s="1" t="s">
        <v>30</v>
      </c>
      <c r="Q3353">
        <v>126.7</v>
      </c>
    </row>
    <row r="3354" spans="1:17" x14ac:dyDescent="0.3">
      <c r="K3354">
        <v>2016</v>
      </c>
      <c r="L3354" t="s">
        <v>40</v>
      </c>
      <c r="M3354" t="s">
        <v>95</v>
      </c>
      <c r="N3354" t="s">
        <v>23</v>
      </c>
      <c r="O3354" t="s">
        <v>23</v>
      </c>
      <c r="P3354" s="1" t="s">
        <v>34</v>
      </c>
      <c r="Q3354">
        <v>124.5</v>
      </c>
    </row>
    <row r="3355" spans="1:17" x14ac:dyDescent="0.3">
      <c r="K3355">
        <v>2016</v>
      </c>
      <c r="L3355" t="s">
        <v>40</v>
      </c>
      <c r="M3355" t="s">
        <v>95</v>
      </c>
      <c r="N3355" t="s">
        <v>23</v>
      </c>
      <c r="O3355" t="s">
        <v>23</v>
      </c>
      <c r="P3355" s="1" t="s">
        <v>33</v>
      </c>
      <c r="Q3355">
        <v>120.9</v>
      </c>
    </row>
    <row r="3356" spans="1:17" x14ac:dyDescent="0.3">
      <c r="K3356">
        <v>2016</v>
      </c>
      <c r="L3356" t="s">
        <v>40</v>
      </c>
      <c r="M3356" t="s">
        <v>95</v>
      </c>
      <c r="N3356" t="s">
        <v>22</v>
      </c>
      <c r="O3356" t="s">
        <v>20</v>
      </c>
      <c r="P3356" s="1" t="s">
        <v>30</v>
      </c>
      <c r="Q3356">
        <v>130</v>
      </c>
    </row>
    <row r="3357" spans="1:17" x14ac:dyDescent="0.3">
      <c r="K3357">
        <v>2016</v>
      </c>
      <c r="L3357" t="s">
        <v>40</v>
      </c>
      <c r="M3357" t="s">
        <v>95</v>
      </c>
      <c r="N3357" t="s">
        <v>22</v>
      </c>
      <c r="O3357" t="s">
        <v>20</v>
      </c>
      <c r="P3357" s="1" t="s">
        <v>34</v>
      </c>
      <c r="Q3357">
        <v>126.9</v>
      </c>
    </row>
    <row r="3358" spans="1:17" x14ac:dyDescent="0.3">
      <c r="K3358">
        <v>2016</v>
      </c>
      <c r="L3358" t="s">
        <v>40</v>
      </c>
      <c r="M3358" t="s">
        <v>95</v>
      </c>
      <c r="N3358" t="s">
        <v>22</v>
      </c>
      <c r="O3358" t="s">
        <v>20</v>
      </c>
      <c r="P3358" s="1" t="s">
        <v>33</v>
      </c>
      <c r="Q3358">
        <v>123.5</v>
      </c>
    </row>
    <row r="3359" spans="1:17" x14ac:dyDescent="0.3">
      <c r="K3359">
        <v>2016</v>
      </c>
      <c r="L3359" t="s">
        <v>40</v>
      </c>
      <c r="M3359" t="s">
        <v>95</v>
      </c>
      <c r="N3359" t="s">
        <v>20</v>
      </c>
      <c r="O3359" t="s">
        <v>20</v>
      </c>
      <c r="P3359" s="1" t="s">
        <v>30</v>
      </c>
      <c r="Q3359">
        <v>0</v>
      </c>
    </row>
    <row r="3360" spans="1:17" x14ac:dyDescent="0.3">
      <c r="K3360">
        <v>2016</v>
      </c>
      <c r="L3360" t="s">
        <v>40</v>
      </c>
      <c r="M3360" t="s">
        <v>95</v>
      </c>
      <c r="N3360" t="s">
        <v>20</v>
      </c>
      <c r="O3360" t="s">
        <v>20</v>
      </c>
      <c r="P3360" s="1" t="s">
        <v>34</v>
      </c>
      <c r="Q3360">
        <v>126.4</v>
      </c>
    </row>
    <row r="3361" spans="11:17" x14ac:dyDescent="0.3">
      <c r="K3361">
        <v>2016</v>
      </c>
      <c r="L3361" t="s">
        <v>40</v>
      </c>
      <c r="M3361" t="s">
        <v>95</v>
      </c>
      <c r="N3361" t="s">
        <v>20</v>
      </c>
      <c r="O3361" t="s">
        <v>20</v>
      </c>
      <c r="P3361" s="1" t="s">
        <v>33</v>
      </c>
      <c r="Q3361">
        <v>126.4</v>
      </c>
    </row>
    <row r="3362" spans="11:17" x14ac:dyDescent="0.3">
      <c r="K3362">
        <v>2016</v>
      </c>
      <c r="L3362" t="s">
        <v>40</v>
      </c>
      <c r="M3362" t="s">
        <v>95</v>
      </c>
      <c r="N3362" t="s">
        <v>4</v>
      </c>
      <c r="O3362" t="s">
        <v>188</v>
      </c>
      <c r="P3362" s="1" t="s">
        <v>30</v>
      </c>
      <c r="Q3362">
        <v>139.5</v>
      </c>
    </row>
    <row r="3363" spans="11:17" x14ac:dyDescent="0.3">
      <c r="K3363">
        <v>2016</v>
      </c>
      <c r="L3363" t="s">
        <v>40</v>
      </c>
      <c r="M3363" t="s">
        <v>95</v>
      </c>
      <c r="N3363" t="s">
        <v>4</v>
      </c>
      <c r="O3363" t="s">
        <v>188</v>
      </c>
      <c r="P3363" s="1" t="s">
        <v>34</v>
      </c>
      <c r="Q3363">
        <v>141.19999999999999</v>
      </c>
    </row>
    <row r="3364" spans="11:17" x14ac:dyDescent="0.3">
      <c r="K3364">
        <v>2016</v>
      </c>
      <c r="L3364" t="s">
        <v>40</v>
      </c>
      <c r="M3364" t="s">
        <v>95</v>
      </c>
      <c r="N3364" t="s">
        <v>4</v>
      </c>
      <c r="O3364" t="s">
        <v>188</v>
      </c>
      <c r="P3364" s="1" t="s">
        <v>33</v>
      </c>
      <c r="Q3364">
        <v>144.19999999999999</v>
      </c>
    </row>
    <row r="3365" spans="11:17" x14ac:dyDescent="0.3">
      <c r="K3365">
        <v>2016</v>
      </c>
      <c r="L3365" t="s">
        <v>40</v>
      </c>
      <c r="M3365" t="s">
        <v>95</v>
      </c>
      <c r="N3365" t="s">
        <v>6</v>
      </c>
      <c r="O3365" t="s">
        <v>188</v>
      </c>
      <c r="P3365" s="1" t="s">
        <v>30</v>
      </c>
      <c r="Q3365">
        <v>134.5</v>
      </c>
    </row>
    <row r="3366" spans="11:17" x14ac:dyDescent="0.3">
      <c r="K3366">
        <v>2016</v>
      </c>
      <c r="L3366" t="s">
        <v>40</v>
      </c>
      <c r="M3366" t="s">
        <v>95</v>
      </c>
      <c r="N3366" t="s">
        <v>6</v>
      </c>
      <c r="O3366" t="s">
        <v>188</v>
      </c>
      <c r="P3366" s="1" t="s">
        <v>34</v>
      </c>
      <c r="Q3366">
        <v>133.5</v>
      </c>
    </row>
    <row r="3367" spans="11:17" x14ac:dyDescent="0.3">
      <c r="K3367">
        <v>2016</v>
      </c>
      <c r="L3367" t="s">
        <v>40</v>
      </c>
      <c r="M3367" t="s">
        <v>95</v>
      </c>
      <c r="N3367" t="s">
        <v>6</v>
      </c>
      <c r="O3367" t="s">
        <v>188</v>
      </c>
      <c r="P3367" s="1" t="s">
        <v>33</v>
      </c>
      <c r="Q3367">
        <v>131.80000000000001</v>
      </c>
    </row>
    <row r="3368" spans="11:17" x14ac:dyDescent="0.3">
      <c r="K3368">
        <v>2016</v>
      </c>
      <c r="L3368" t="s">
        <v>40</v>
      </c>
      <c r="M3368" t="s">
        <v>95</v>
      </c>
      <c r="N3368" t="s">
        <v>28</v>
      </c>
      <c r="O3368" t="s">
        <v>192</v>
      </c>
      <c r="P3368" s="1" t="s">
        <v>30</v>
      </c>
      <c r="Q3368">
        <v>123.8</v>
      </c>
    </row>
    <row r="3369" spans="11:17" x14ac:dyDescent="0.3">
      <c r="K3369">
        <v>2016</v>
      </c>
      <c r="L3369" t="s">
        <v>40</v>
      </c>
      <c r="M3369" t="s">
        <v>95</v>
      </c>
      <c r="N3369" t="s">
        <v>28</v>
      </c>
      <c r="O3369" t="s">
        <v>192</v>
      </c>
      <c r="P3369" s="1" t="s">
        <v>34</v>
      </c>
      <c r="Q3369">
        <v>121.9</v>
      </c>
    </row>
    <row r="3370" spans="11:17" x14ac:dyDescent="0.3">
      <c r="K3370">
        <v>2016</v>
      </c>
      <c r="L3370" t="s">
        <v>40</v>
      </c>
      <c r="M3370" t="s">
        <v>95</v>
      </c>
      <c r="N3370" t="s">
        <v>28</v>
      </c>
      <c r="O3370" t="s">
        <v>192</v>
      </c>
      <c r="P3370" s="1" t="s">
        <v>33</v>
      </c>
      <c r="Q3370">
        <v>119.9</v>
      </c>
    </row>
    <row r="3371" spans="11:17" x14ac:dyDescent="0.3">
      <c r="K3371">
        <v>2016</v>
      </c>
      <c r="L3371" t="s">
        <v>40</v>
      </c>
      <c r="M3371" t="s">
        <v>95</v>
      </c>
      <c r="N3371" t="s">
        <v>13</v>
      </c>
      <c r="O3371" t="s">
        <v>188</v>
      </c>
      <c r="P3371" s="1" t="s">
        <v>30</v>
      </c>
      <c r="Q3371">
        <v>127.3</v>
      </c>
    </row>
    <row r="3372" spans="11:17" x14ac:dyDescent="0.3">
      <c r="K3372">
        <v>2016</v>
      </c>
      <c r="L3372" t="s">
        <v>40</v>
      </c>
      <c r="M3372" t="s">
        <v>95</v>
      </c>
      <c r="N3372" t="s">
        <v>13</v>
      </c>
      <c r="O3372" t="s">
        <v>188</v>
      </c>
      <c r="P3372" s="1" t="s">
        <v>34</v>
      </c>
      <c r="Q3372">
        <v>125</v>
      </c>
    </row>
    <row r="3373" spans="11:17" x14ac:dyDescent="0.3">
      <c r="K3373">
        <v>2016</v>
      </c>
      <c r="L3373" t="s">
        <v>40</v>
      </c>
      <c r="M3373" t="s">
        <v>95</v>
      </c>
      <c r="N3373" t="s">
        <v>13</v>
      </c>
      <c r="O3373" t="s">
        <v>188</v>
      </c>
      <c r="P3373" s="1" t="s">
        <v>33</v>
      </c>
      <c r="Q3373">
        <v>121.7</v>
      </c>
    </row>
    <row r="3374" spans="11:17" x14ac:dyDescent="0.3">
      <c r="K3374">
        <v>2016</v>
      </c>
      <c r="L3374" t="s">
        <v>40</v>
      </c>
      <c r="M3374" t="s">
        <v>95</v>
      </c>
      <c r="N3374" t="s">
        <v>7</v>
      </c>
      <c r="O3374" t="s">
        <v>188</v>
      </c>
      <c r="P3374" s="1" t="s">
        <v>30</v>
      </c>
      <c r="Q3374">
        <v>119.5</v>
      </c>
    </row>
    <row r="3375" spans="11:17" x14ac:dyDescent="0.3">
      <c r="K3375">
        <v>2016</v>
      </c>
      <c r="L3375" t="s">
        <v>40</v>
      </c>
      <c r="M3375" t="s">
        <v>95</v>
      </c>
      <c r="N3375" t="s">
        <v>7</v>
      </c>
      <c r="O3375" t="s">
        <v>188</v>
      </c>
      <c r="P3375" s="1" t="s">
        <v>34</v>
      </c>
      <c r="Q3375">
        <v>116.4</v>
      </c>
    </row>
    <row r="3376" spans="11:17" x14ac:dyDescent="0.3">
      <c r="K3376">
        <v>2016</v>
      </c>
      <c r="L3376" t="s">
        <v>40</v>
      </c>
      <c r="M3376" t="s">
        <v>95</v>
      </c>
      <c r="N3376" t="s">
        <v>7</v>
      </c>
      <c r="O3376" t="s">
        <v>188</v>
      </c>
      <c r="P3376" s="1" t="s">
        <v>33</v>
      </c>
      <c r="Q3376">
        <v>111</v>
      </c>
    </row>
    <row r="3377" spans="11:17" x14ac:dyDescent="0.3">
      <c r="K3377">
        <v>2016</v>
      </c>
      <c r="L3377" t="s">
        <v>40</v>
      </c>
      <c r="M3377" t="s">
        <v>95</v>
      </c>
      <c r="N3377" t="s">
        <v>16</v>
      </c>
      <c r="O3377" t="s">
        <v>192</v>
      </c>
      <c r="P3377" s="1" t="s">
        <v>30</v>
      </c>
      <c r="Q3377">
        <v>138</v>
      </c>
    </row>
    <row r="3378" spans="11:17" x14ac:dyDescent="0.3">
      <c r="K3378">
        <v>2016</v>
      </c>
      <c r="L3378" t="s">
        <v>40</v>
      </c>
      <c r="M3378" t="s">
        <v>95</v>
      </c>
      <c r="N3378" t="s">
        <v>16</v>
      </c>
      <c r="O3378" t="s">
        <v>192</v>
      </c>
      <c r="P3378" s="1" t="s">
        <v>34</v>
      </c>
      <c r="Q3378">
        <v>139.30000000000001</v>
      </c>
    </row>
    <row r="3379" spans="11:17" x14ac:dyDescent="0.3">
      <c r="K3379">
        <v>2016</v>
      </c>
      <c r="L3379" t="s">
        <v>40</v>
      </c>
      <c r="M3379" t="s">
        <v>95</v>
      </c>
      <c r="N3379" t="s">
        <v>16</v>
      </c>
      <c r="O3379" t="s">
        <v>192</v>
      </c>
      <c r="P3379" s="1" t="s">
        <v>33</v>
      </c>
      <c r="Q3379">
        <v>142.9</v>
      </c>
    </row>
    <row r="3380" spans="11:17" x14ac:dyDescent="0.3">
      <c r="K3380">
        <v>2016</v>
      </c>
      <c r="L3380" t="s">
        <v>40</v>
      </c>
      <c r="M3380" t="s">
        <v>95</v>
      </c>
      <c r="N3380" t="s">
        <v>27</v>
      </c>
      <c r="O3380" t="s">
        <v>192</v>
      </c>
      <c r="P3380" s="1" t="s">
        <v>30</v>
      </c>
      <c r="Q3380">
        <v>120.9</v>
      </c>
    </row>
    <row r="3381" spans="11:17" x14ac:dyDescent="0.3">
      <c r="K3381">
        <v>2016</v>
      </c>
      <c r="L3381" t="s">
        <v>40</v>
      </c>
      <c r="M3381" t="s">
        <v>95</v>
      </c>
      <c r="N3381" t="s">
        <v>27</v>
      </c>
      <c r="O3381" t="s">
        <v>192</v>
      </c>
      <c r="P3381" s="1" t="s">
        <v>34</v>
      </c>
      <c r="Q3381">
        <v>120.5</v>
      </c>
    </row>
    <row r="3382" spans="11:17" x14ac:dyDescent="0.3">
      <c r="K3382">
        <v>2016</v>
      </c>
      <c r="L3382" t="s">
        <v>40</v>
      </c>
      <c r="M3382" t="s">
        <v>95</v>
      </c>
      <c r="N3382" t="s">
        <v>27</v>
      </c>
      <c r="O3382" t="s">
        <v>192</v>
      </c>
      <c r="P3382" s="1" t="s">
        <v>33</v>
      </c>
      <c r="Q3382">
        <v>120</v>
      </c>
    </row>
    <row r="3383" spans="11:17" x14ac:dyDescent="0.3">
      <c r="K3383">
        <v>2016</v>
      </c>
      <c r="L3383" t="s">
        <v>40</v>
      </c>
      <c r="M3383" t="s">
        <v>95</v>
      </c>
      <c r="N3383" t="s">
        <v>14</v>
      </c>
      <c r="O3383" t="s">
        <v>188</v>
      </c>
      <c r="P3383" s="1" t="s">
        <v>30</v>
      </c>
      <c r="Q3383">
        <v>139.9</v>
      </c>
    </row>
    <row r="3384" spans="11:17" x14ac:dyDescent="0.3">
      <c r="K3384">
        <v>2016</v>
      </c>
      <c r="L3384" t="s">
        <v>40</v>
      </c>
      <c r="M3384" t="s">
        <v>95</v>
      </c>
      <c r="N3384" t="s">
        <v>14</v>
      </c>
      <c r="O3384" t="s">
        <v>188</v>
      </c>
      <c r="P3384" s="1" t="s">
        <v>34</v>
      </c>
      <c r="Q3384">
        <v>138.80000000000001</v>
      </c>
    </row>
    <row r="3385" spans="11:17" x14ac:dyDescent="0.3">
      <c r="K3385">
        <v>2016</v>
      </c>
      <c r="L3385" t="s">
        <v>40</v>
      </c>
      <c r="M3385" t="s">
        <v>95</v>
      </c>
      <c r="N3385" t="s">
        <v>14</v>
      </c>
      <c r="O3385" t="s">
        <v>188</v>
      </c>
      <c r="P3385" s="1" t="s">
        <v>33</v>
      </c>
      <c r="Q3385">
        <v>137.5</v>
      </c>
    </row>
    <row r="3386" spans="11:17" x14ac:dyDescent="0.3">
      <c r="K3386">
        <v>2016</v>
      </c>
      <c r="L3386" t="s">
        <v>40</v>
      </c>
      <c r="M3386" t="s">
        <v>95</v>
      </c>
      <c r="N3386" t="s">
        <v>10</v>
      </c>
      <c r="O3386" t="s">
        <v>188</v>
      </c>
      <c r="P3386" s="1" t="s">
        <v>30</v>
      </c>
      <c r="Q3386">
        <v>171.8</v>
      </c>
    </row>
    <row r="3387" spans="11:17" x14ac:dyDescent="0.3">
      <c r="K3387">
        <v>2016</v>
      </c>
      <c r="L3387" t="s">
        <v>40</v>
      </c>
      <c r="M3387" t="s">
        <v>95</v>
      </c>
      <c r="N3387" t="s">
        <v>10</v>
      </c>
      <c r="O3387" t="s">
        <v>188</v>
      </c>
      <c r="P3387" s="1" t="s">
        <v>34</v>
      </c>
      <c r="Q3387">
        <v>177.4</v>
      </c>
    </row>
    <row r="3388" spans="11:17" x14ac:dyDescent="0.3">
      <c r="K3388">
        <v>2016</v>
      </c>
      <c r="L3388" t="s">
        <v>40</v>
      </c>
      <c r="M3388" t="s">
        <v>95</v>
      </c>
      <c r="N3388" t="s">
        <v>10</v>
      </c>
      <c r="O3388" t="s">
        <v>188</v>
      </c>
      <c r="P3388" s="1" t="s">
        <v>33</v>
      </c>
      <c r="Q3388">
        <v>188.4</v>
      </c>
    </row>
    <row r="3389" spans="11:17" x14ac:dyDescent="0.3">
      <c r="K3389">
        <v>2016</v>
      </c>
      <c r="L3389" t="s">
        <v>40</v>
      </c>
      <c r="M3389" t="s">
        <v>95</v>
      </c>
      <c r="N3389" t="s">
        <v>25</v>
      </c>
      <c r="O3389" t="s">
        <v>195</v>
      </c>
      <c r="P3389" s="1" t="s">
        <v>30</v>
      </c>
      <c r="Q3389">
        <v>125.2</v>
      </c>
    </row>
    <row r="3390" spans="11:17" x14ac:dyDescent="0.3">
      <c r="K3390">
        <v>2016</v>
      </c>
      <c r="L3390" t="s">
        <v>40</v>
      </c>
      <c r="M3390" t="s">
        <v>95</v>
      </c>
      <c r="N3390" t="s">
        <v>25</v>
      </c>
      <c r="O3390" t="s">
        <v>195</v>
      </c>
      <c r="P3390" s="1" t="s">
        <v>34</v>
      </c>
      <c r="Q3390">
        <v>122.4</v>
      </c>
    </row>
    <row r="3391" spans="11:17" x14ac:dyDescent="0.3">
      <c r="K3391">
        <v>2016</v>
      </c>
      <c r="L3391" t="s">
        <v>40</v>
      </c>
      <c r="M3391" t="s">
        <v>95</v>
      </c>
      <c r="N3391" t="s">
        <v>25</v>
      </c>
      <c r="O3391" t="s">
        <v>195</v>
      </c>
      <c r="P3391" s="1" t="s">
        <v>33</v>
      </c>
      <c r="Q3391">
        <v>120.3</v>
      </c>
    </row>
    <row r="3392" spans="11:17" x14ac:dyDescent="0.3">
      <c r="K3392">
        <v>2016</v>
      </c>
      <c r="L3392" t="s">
        <v>40</v>
      </c>
      <c r="M3392" t="s">
        <v>95</v>
      </c>
      <c r="N3392" t="s">
        <v>12</v>
      </c>
      <c r="O3392" t="s">
        <v>188</v>
      </c>
      <c r="P3392" s="1" t="s">
        <v>30</v>
      </c>
      <c r="Q3392">
        <v>134.30000000000001</v>
      </c>
    </row>
    <row r="3393" spans="11:17" x14ac:dyDescent="0.3">
      <c r="K3393">
        <v>2016</v>
      </c>
      <c r="L3393" t="s">
        <v>40</v>
      </c>
      <c r="M3393" t="s">
        <v>95</v>
      </c>
      <c r="N3393" t="s">
        <v>12</v>
      </c>
      <c r="O3393" t="s">
        <v>188</v>
      </c>
      <c r="P3393" s="1" t="s">
        <v>34</v>
      </c>
      <c r="Q3393">
        <v>137.5</v>
      </c>
    </row>
    <row r="3394" spans="11:17" x14ac:dyDescent="0.3">
      <c r="K3394">
        <v>2016</v>
      </c>
      <c r="L3394" t="s">
        <v>40</v>
      </c>
      <c r="M3394" t="s">
        <v>95</v>
      </c>
      <c r="N3394" t="s">
        <v>12</v>
      </c>
      <c r="O3394" t="s">
        <v>188</v>
      </c>
      <c r="P3394" s="1" t="s">
        <v>33</v>
      </c>
      <c r="Q3394">
        <v>143.9</v>
      </c>
    </row>
    <row r="3395" spans="11:17" x14ac:dyDescent="0.3">
      <c r="K3395">
        <v>2016</v>
      </c>
      <c r="L3395" t="s">
        <v>40</v>
      </c>
      <c r="M3395" t="s">
        <v>95</v>
      </c>
      <c r="N3395" t="s">
        <v>11</v>
      </c>
      <c r="O3395" t="s">
        <v>188</v>
      </c>
      <c r="P3395" s="1" t="s">
        <v>30</v>
      </c>
      <c r="Q3395">
        <v>110.3</v>
      </c>
    </row>
    <row r="3396" spans="11:17" x14ac:dyDescent="0.3">
      <c r="K3396">
        <v>2016</v>
      </c>
      <c r="L3396" t="s">
        <v>40</v>
      </c>
      <c r="M3396" t="s">
        <v>95</v>
      </c>
      <c r="N3396" t="s">
        <v>11</v>
      </c>
      <c r="O3396" t="s">
        <v>188</v>
      </c>
      <c r="P3396" s="1" t="s">
        <v>34</v>
      </c>
      <c r="Q3396">
        <v>111.3</v>
      </c>
    </row>
    <row r="3397" spans="11:17" x14ac:dyDescent="0.3">
      <c r="K3397">
        <v>2016</v>
      </c>
      <c r="L3397" t="s">
        <v>40</v>
      </c>
      <c r="M3397" t="s">
        <v>95</v>
      </c>
      <c r="N3397" t="s">
        <v>11</v>
      </c>
      <c r="O3397" t="s">
        <v>188</v>
      </c>
      <c r="P3397" s="1" t="s">
        <v>33</v>
      </c>
      <c r="Q3397">
        <v>113.3</v>
      </c>
    </row>
    <row r="3398" spans="11:17" x14ac:dyDescent="0.3">
      <c r="K3398">
        <v>2016</v>
      </c>
      <c r="L3398" t="s">
        <v>40</v>
      </c>
      <c r="M3398" t="s">
        <v>95</v>
      </c>
      <c r="N3398" t="s">
        <v>24</v>
      </c>
      <c r="O3398" t="s">
        <v>191</v>
      </c>
      <c r="P3398" s="1" t="s">
        <v>30</v>
      </c>
      <c r="Q3398">
        <v>116.4</v>
      </c>
    </row>
    <row r="3399" spans="11:17" x14ac:dyDescent="0.3">
      <c r="K3399">
        <v>2016</v>
      </c>
      <c r="L3399" t="s">
        <v>40</v>
      </c>
      <c r="M3399" t="s">
        <v>95</v>
      </c>
      <c r="N3399" t="s">
        <v>24</v>
      </c>
      <c r="O3399" t="s">
        <v>191</v>
      </c>
      <c r="P3399" s="1" t="s">
        <v>34</v>
      </c>
      <c r="Q3399">
        <v>113.9</v>
      </c>
    </row>
    <row r="3400" spans="11:17" x14ac:dyDescent="0.3">
      <c r="K3400">
        <v>2016</v>
      </c>
      <c r="L3400" t="s">
        <v>40</v>
      </c>
      <c r="M3400" t="s">
        <v>95</v>
      </c>
      <c r="N3400" t="s">
        <v>24</v>
      </c>
      <c r="O3400" t="s">
        <v>191</v>
      </c>
      <c r="P3400" s="1" t="s">
        <v>33</v>
      </c>
      <c r="Q3400">
        <v>111.7</v>
      </c>
    </row>
    <row r="3401" spans="11:17" x14ac:dyDescent="0.3">
      <c r="K3401">
        <v>2016</v>
      </c>
      <c r="L3401" t="s">
        <v>40</v>
      </c>
      <c r="M3401" t="s">
        <v>95</v>
      </c>
      <c r="N3401" t="s">
        <v>9</v>
      </c>
      <c r="O3401" t="s">
        <v>188</v>
      </c>
      <c r="P3401" s="1" t="s">
        <v>30</v>
      </c>
      <c r="Q3401">
        <v>158.19999999999999</v>
      </c>
    </row>
    <row r="3402" spans="11:17" x14ac:dyDescent="0.3">
      <c r="K3402">
        <v>2016</v>
      </c>
      <c r="L3402" t="s">
        <v>40</v>
      </c>
      <c r="M3402" t="s">
        <v>95</v>
      </c>
      <c r="N3402" t="s">
        <v>9</v>
      </c>
      <c r="O3402" t="s">
        <v>188</v>
      </c>
      <c r="P3402" s="1" t="s">
        <v>34</v>
      </c>
      <c r="Q3402">
        <v>165.4</v>
      </c>
    </row>
    <row r="3403" spans="11:17" x14ac:dyDescent="0.3">
      <c r="K3403">
        <v>2016</v>
      </c>
      <c r="L3403" t="s">
        <v>40</v>
      </c>
      <c r="M3403" t="s">
        <v>95</v>
      </c>
      <c r="N3403" t="s">
        <v>9</v>
      </c>
      <c r="O3403" t="s">
        <v>188</v>
      </c>
      <c r="P3403" s="1" t="s">
        <v>33</v>
      </c>
      <c r="Q3403">
        <v>179.5</v>
      </c>
    </row>
    <row r="3404" spans="11:17" x14ac:dyDescent="0.3">
      <c r="K3404">
        <v>2016</v>
      </c>
      <c r="L3404" t="s">
        <v>39</v>
      </c>
      <c r="M3404" t="s">
        <v>96</v>
      </c>
      <c r="N3404" t="s">
        <v>3</v>
      </c>
      <c r="O3404" t="s">
        <v>188</v>
      </c>
      <c r="P3404" s="1" t="s">
        <v>30</v>
      </c>
      <c r="Q3404">
        <v>128.6</v>
      </c>
    </row>
    <row r="3405" spans="11:17" x14ac:dyDescent="0.3">
      <c r="K3405">
        <v>2016</v>
      </c>
      <c r="L3405" t="s">
        <v>39</v>
      </c>
      <c r="M3405" t="s">
        <v>96</v>
      </c>
      <c r="N3405" t="s">
        <v>3</v>
      </c>
      <c r="O3405" t="s">
        <v>188</v>
      </c>
      <c r="P3405" s="1" t="s">
        <v>34</v>
      </c>
      <c r="Q3405">
        <v>127.7</v>
      </c>
    </row>
    <row r="3406" spans="11:17" x14ac:dyDescent="0.3">
      <c r="K3406">
        <v>2016</v>
      </c>
      <c r="L3406" t="s">
        <v>39</v>
      </c>
      <c r="M3406" t="s">
        <v>96</v>
      </c>
      <c r="N3406" t="s">
        <v>3</v>
      </c>
      <c r="O3406" t="s">
        <v>188</v>
      </c>
      <c r="P3406" s="1" t="s">
        <v>33</v>
      </c>
      <c r="Q3406">
        <v>125.9</v>
      </c>
    </row>
    <row r="3407" spans="11:17" x14ac:dyDescent="0.3">
      <c r="K3407">
        <v>2016</v>
      </c>
      <c r="L3407" t="s">
        <v>39</v>
      </c>
      <c r="M3407" t="s">
        <v>96</v>
      </c>
      <c r="N3407" t="s">
        <v>17</v>
      </c>
      <c r="O3407" t="s">
        <v>189</v>
      </c>
      <c r="P3407" s="1" t="s">
        <v>30</v>
      </c>
      <c r="Q3407">
        <v>136.30000000000001</v>
      </c>
    </row>
    <row r="3408" spans="11:17" x14ac:dyDescent="0.3">
      <c r="K3408">
        <v>2016</v>
      </c>
      <c r="L3408" t="s">
        <v>39</v>
      </c>
      <c r="M3408" t="s">
        <v>96</v>
      </c>
      <c r="N3408" t="s">
        <v>17</v>
      </c>
      <c r="O3408" t="s">
        <v>189</v>
      </c>
      <c r="P3408" s="1" t="s">
        <v>34</v>
      </c>
      <c r="Q3408">
        <v>132.9</v>
      </c>
    </row>
    <row r="3409" spans="11:17" x14ac:dyDescent="0.3">
      <c r="K3409">
        <v>2016</v>
      </c>
      <c r="L3409" t="s">
        <v>39</v>
      </c>
      <c r="M3409" t="s">
        <v>96</v>
      </c>
      <c r="N3409" t="s">
        <v>17</v>
      </c>
      <c r="O3409" t="s">
        <v>189</v>
      </c>
      <c r="P3409" s="1" t="s">
        <v>33</v>
      </c>
      <c r="Q3409">
        <v>127.6</v>
      </c>
    </row>
    <row r="3410" spans="11:17" x14ac:dyDescent="0.3">
      <c r="K3410">
        <v>2016</v>
      </c>
      <c r="L3410" t="s">
        <v>39</v>
      </c>
      <c r="M3410" t="s">
        <v>96</v>
      </c>
      <c r="N3410" t="s">
        <v>19</v>
      </c>
      <c r="O3410" t="s">
        <v>189</v>
      </c>
      <c r="P3410" s="1" t="s">
        <v>30</v>
      </c>
      <c r="Q3410">
        <v>135.6</v>
      </c>
    </row>
    <row r="3411" spans="11:17" x14ac:dyDescent="0.3">
      <c r="K3411">
        <v>2016</v>
      </c>
      <c r="L3411" t="s">
        <v>39</v>
      </c>
      <c r="M3411" t="s">
        <v>96</v>
      </c>
      <c r="N3411" t="s">
        <v>19</v>
      </c>
      <c r="O3411" t="s">
        <v>189</v>
      </c>
      <c r="P3411" s="1" t="s">
        <v>34</v>
      </c>
      <c r="Q3411">
        <v>132</v>
      </c>
    </row>
    <row r="3412" spans="11:17" x14ac:dyDescent="0.3">
      <c r="K3412">
        <v>2016</v>
      </c>
      <c r="L3412" t="s">
        <v>39</v>
      </c>
      <c r="M3412" t="s">
        <v>96</v>
      </c>
      <c r="N3412" t="s">
        <v>19</v>
      </c>
      <c r="O3412" t="s">
        <v>189</v>
      </c>
      <c r="P3412" s="1" t="s">
        <v>33</v>
      </c>
      <c r="Q3412">
        <v>126.6</v>
      </c>
    </row>
    <row r="3413" spans="11:17" x14ac:dyDescent="0.3">
      <c r="K3413">
        <v>2016</v>
      </c>
      <c r="L3413" t="s">
        <v>39</v>
      </c>
      <c r="M3413" t="s">
        <v>96</v>
      </c>
      <c r="N3413" t="s">
        <v>26</v>
      </c>
      <c r="O3413" t="s">
        <v>26</v>
      </c>
      <c r="P3413" s="1" t="s">
        <v>30</v>
      </c>
      <c r="Q3413">
        <v>130.19999999999999</v>
      </c>
    </row>
    <row r="3414" spans="11:17" x14ac:dyDescent="0.3">
      <c r="K3414">
        <v>2016</v>
      </c>
      <c r="L3414" t="s">
        <v>39</v>
      </c>
      <c r="M3414" t="s">
        <v>96</v>
      </c>
      <c r="N3414" t="s">
        <v>26</v>
      </c>
      <c r="O3414" t="s">
        <v>26</v>
      </c>
      <c r="P3414" s="1" t="s">
        <v>34</v>
      </c>
      <c r="Q3414">
        <v>129.69999999999999</v>
      </c>
    </row>
    <row r="3415" spans="11:17" x14ac:dyDescent="0.3">
      <c r="K3415">
        <v>2016</v>
      </c>
      <c r="L3415" t="s">
        <v>39</v>
      </c>
      <c r="M3415" t="s">
        <v>96</v>
      </c>
      <c r="N3415" t="s">
        <v>26</v>
      </c>
      <c r="O3415" t="s">
        <v>26</v>
      </c>
      <c r="P3415" s="1" t="s">
        <v>33</v>
      </c>
      <c r="Q3415">
        <v>129.30000000000001</v>
      </c>
    </row>
    <row r="3416" spans="11:17" x14ac:dyDescent="0.3">
      <c r="K3416">
        <v>2016</v>
      </c>
      <c r="L3416" t="s">
        <v>39</v>
      </c>
      <c r="M3416" t="s">
        <v>96</v>
      </c>
      <c r="N3416" t="s">
        <v>5</v>
      </c>
      <c r="O3416" t="s">
        <v>188</v>
      </c>
      <c r="P3416" s="1" t="s">
        <v>30</v>
      </c>
      <c r="Q3416">
        <v>126.6</v>
      </c>
    </row>
    <row r="3417" spans="11:17" x14ac:dyDescent="0.3">
      <c r="K3417">
        <v>2016</v>
      </c>
      <c r="L3417" t="s">
        <v>39</v>
      </c>
      <c r="M3417" t="s">
        <v>96</v>
      </c>
      <c r="N3417" t="s">
        <v>5</v>
      </c>
      <c r="O3417" t="s">
        <v>188</v>
      </c>
      <c r="P3417" s="1" t="s">
        <v>34</v>
      </c>
      <c r="Q3417">
        <v>128.30000000000001</v>
      </c>
    </row>
    <row r="3418" spans="11:17" x14ac:dyDescent="0.3">
      <c r="K3418">
        <v>2016</v>
      </c>
      <c r="L3418" t="s">
        <v>39</v>
      </c>
      <c r="M3418" t="s">
        <v>96</v>
      </c>
      <c r="N3418" t="s">
        <v>5</v>
      </c>
      <c r="O3418" t="s">
        <v>188</v>
      </c>
      <c r="P3418" s="1" t="s">
        <v>33</v>
      </c>
      <c r="Q3418">
        <v>130.9</v>
      </c>
    </row>
    <row r="3419" spans="11:17" x14ac:dyDescent="0.3">
      <c r="K3419">
        <v>2016</v>
      </c>
      <c r="L3419" t="s">
        <v>39</v>
      </c>
      <c r="M3419" t="s">
        <v>96</v>
      </c>
      <c r="N3419" t="s">
        <v>15</v>
      </c>
      <c r="O3419" t="s">
        <v>188</v>
      </c>
      <c r="P3419" s="1" t="s">
        <v>30</v>
      </c>
      <c r="Q3419">
        <v>136</v>
      </c>
    </row>
    <row r="3420" spans="11:17" x14ac:dyDescent="0.3">
      <c r="K3420">
        <v>2016</v>
      </c>
      <c r="L3420" t="s">
        <v>39</v>
      </c>
      <c r="M3420" t="s">
        <v>96</v>
      </c>
      <c r="N3420" t="s">
        <v>15</v>
      </c>
      <c r="O3420" t="s">
        <v>188</v>
      </c>
      <c r="P3420" s="1" t="s">
        <v>34</v>
      </c>
      <c r="Q3420">
        <v>136.80000000000001</v>
      </c>
    </row>
    <row r="3421" spans="11:17" x14ac:dyDescent="0.3">
      <c r="K3421">
        <v>2016</v>
      </c>
      <c r="L3421" t="s">
        <v>39</v>
      </c>
      <c r="M3421" t="s">
        <v>96</v>
      </c>
      <c r="N3421" t="s">
        <v>15</v>
      </c>
      <c r="O3421" t="s">
        <v>188</v>
      </c>
      <c r="P3421" s="1" t="s">
        <v>33</v>
      </c>
      <c r="Q3421">
        <v>138.19999999999999</v>
      </c>
    </row>
    <row r="3422" spans="11:17" x14ac:dyDescent="0.3">
      <c r="K3422">
        <v>2016</v>
      </c>
      <c r="L3422" t="s">
        <v>39</v>
      </c>
      <c r="M3422" t="s">
        <v>96</v>
      </c>
      <c r="N3422" t="s">
        <v>18</v>
      </c>
      <c r="O3422" t="s">
        <v>189</v>
      </c>
      <c r="P3422" s="1" t="s">
        <v>30</v>
      </c>
      <c r="Q3422">
        <v>131.6</v>
      </c>
    </row>
    <row r="3423" spans="11:17" x14ac:dyDescent="0.3">
      <c r="K3423">
        <v>2016</v>
      </c>
      <c r="L3423" t="s">
        <v>39</v>
      </c>
      <c r="M3423" t="s">
        <v>96</v>
      </c>
      <c r="N3423" t="s">
        <v>18</v>
      </c>
      <c r="O3423" t="s">
        <v>189</v>
      </c>
      <c r="P3423" s="1" t="s">
        <v>34</v>
      </c>
      <c r="Q3423">
        <v>127.2</v>
      </c>
    </row>
    <row r="3424" spans="11:17" x14ac:dyDescent="0.3">
      <c r="K3424">
        <v>2016</v>
      </c>
      <c r="L3424" t="s">
        <v>39</v>
      </c>
      <c r="M3424" t="s">
        <v>96</v>
      </c>
      <c r="N3424" t="s">
        <v>18</v>
      </c>
      <c r="O3424" t="s">
        <v>189</v>
      </c>
      <c r="P3424" s="1" t="s">
        <v>33</v>
      </c>
      <c r="Q3424">
        <v>121.1</v>
      </c>
    </row>
    <row r="3425" spans="11:17" x14ac:dyDescent="0.3">
      <c r="K3425">
        <v>2016</v>
      </c>
      <c r="L3425" t="s">
        <v>39</v>
      </c>
      <c r="M3425" t="s">
        <v>96</v>
      </c>
      <c r="N3425" t="s">
        <v>8</v>
      </c>
      <c r="O3425" t="s">
        <v>188</v>
      </c>
      <c r="P3425" s="1" t="s">
        <v>30</v>
      </c>
      <c r="Q3425">
        <v>137.4</v>
      </c>
    </row>
    <row r="3426" spans="11:17" x14ac:dyDescent="0.3">
      <c r="K3426">
        <v>2016</v>
      </c>
      <c r="L3426" t="s">
        <v>39</v>
      </c>
      <c r="M3426" t="s">
        <v>96</v>
      </c>
      <c r="N3426" t="s">
        <v>8</v>
      </c>
      <c r="O3426" t="s">
        <v>188</v>
      </c>
      <c r="P3426" s="1" t="s">
        <v>34</v>
      </c>
      <c r="Q3426">
        <v>136.5</v>
      </c>
    </row>
    <row r="3427" spans="11:17" x14ac:dyDescent="0.3">
      <c r="K3427">
        <v>2016</v>
      </c>
      <c r="L3427" t="s">
        <v>39</v>
      </c>
      <c r="M3427" t="s">
        <v>96</v>
      </c>
      <c r="N3427" t="s">
        <v>8</v>
      </c>
      <c r="O3427" t="s">
        <v>188</v>
      </c>
      <c r="P3427" s="1" t="s">
        <v>33</v>
      </c>
      <c r="Q3427">
        <v>135.5</v>
      </c>
    </row>
    <row r="3428" spans="11:17" x14ac:dyDescent="0.3">
      <c r="K3428">
        <v>2016</v>
      </c>
      <c r="L3428" t="s">
        <v>39</v>
      </c>
      <c r="M3428" t="s">
        <v>96</v>
      </c>
      <c r="N3428" t="s">
        <v>21</v>
      </c>
      <c r="O3428" t="s">
        <v>190</v>
      </c>
      <c r="P3428" s="1" t="s">
        <v>30</v>
      </c>
      <c r="Q3428">
        <v>128</v>
      </c>
    </row>
    <row r="3429" spans="11:17" x14ac:dyDescent="0.3">
      <c r="K3429">
        <v>2016</v>
      </c>
      <c r="L3429" t="s">
        <v>39</v>
      </c>
      <c r="M3429" t="s">
        <v>96</v>
      </c>
      <c r="N3429" t="s">
        <v>21</v>
      </c>
      <c r="O3429" t="s">
        <v>190</v>
      </c>
      <c r="P3429" s="1" t="s">
        <v>34</v>
      </c>
      <c r="Q3429">
        <v>123.3</v>
      </c>
    </row>
    <row r="3430" spans="11:17" x14ac:dyDescent="0.3">
      <c r="K3430">
        <v>2016</v>
      </c>
      <c r="L3430" t="s">
        <v>39</v>
      </c>
      <c r="M3430" t="s">
        <v>96</v>
      </c>
      <c r="N3430" t="s">
        <v>21</v>
      </c>
      <c r="O3430" t="s">
        <v>190</v>
      </c>
      <c r="P3430" s="1" t="s">
        <v>33</v>
      </c>
      <c r="Q3430">
        <v>115.5</v>
      </c>
    </row>
    <row r="3431" spans="11:17" x14ac:dyDescent="0.3">
      <c r="K3431">
        <v>2016</v>
      </c>
      <c r="L3431" t="s">
        <v>39</v>
      </c>
      <c r="M3431" t="s">
        <v>96</v>
      </c>
      <c r="N3431" t="s">
        <v>29</v>
      </c>
      <c r="O3431" t="s">
        <v>206</v>
      </c>
      <c r="P3431" s="1" t="s">
        <v>30</v>
      </c>
      <c r="Q3431">
        <v>131.9</v>
      </c>
    </row>
    <row r="3432" spans="11:17" x14ac:dyDescent="0.3">
      <c r="K3432">
        <v>2016</v>
      </c>
      <c r="L3432" t="s">
        <v>39</v>
      </c>
      <c r="M3432" t="s">
        <v>96</v>
      </c>
      <c r="N3432" t="s">
        <v>29</v>
      </c>
      <c r="O3432" t="s">
        <v>206</v>
      </c>
      <c r="P3432" s="1" t="s">
        <v>34</v>
      </c>
      <c r="Q3432">
        <v>130.1</v>
      </c>
    </row>
    <row r="3433" spans="11:17" x14ac:dyDescent="0.3">
      <c r="K3433">
        <v>2016</v>
      </c>
      <c r="L3433" t="s">
        <v>39</v>
      </c>
      <c r="M3433" t="s">
        <v>96</v>
      </c>
      <c r="N3433" t="s">
        <v>29</v>
      </c>
      <c r="O3433" t="s">
        <v>206</v>
      </c>
      <c r="P3433" s="1" t="s">
        <v>33</v>
      </c>
      <c r="Q3433">
        <v>128.1</v>
      </c>
    </row>
    <row r="3434" spans="11:17" x14ac:dyDescent="0.3">
      <c r="K3434">
        <v>2016</v>
      </c>
      <c r="L3434" t="s">
        <v>39</v>
      </c>
      <c r="M3434" t="s">
        <v>96</v>
      </c>
      <c r="N3434" t="s">
        <v>23</v>
      </c>
      <c r="O3434" t="s">
        <v>23</v>
      </c>
      <c r="P3434" s="1" t="s">
        <v>30</v>
      </c>
      <c r="Q3434">
        <v>126.2</v>
      </c>
    </row>
    <row r="3435" spans="11:17" x14ac:dyDescent="0.3">
      <c r="K3435">
        <v>2016</v>
      </c>
      <c r="L3435" t="s">
        <v>39</v>
      </c>
      <c r="M3435" t="s">
        <v>96</v>
      </c>
      <c r="N3435" t="s">
        <v>23</v>
      </c>
      <c r="O3435" t="s">
        <v>23</v>
      </c>
      <c r="P3435" s="1" t="s">
        <v>34</v>
      </c>
      <c r="Q3435">
        <v>124.1</v>
      </c>
    </row>
    <row r="3436" spans="11:17" x14ac:dyDescent="0.3">
      <c r="K3436">
        <v>2016</v>
      </c>
      <c r="L3436" t="s">
        <v>39</v>
      </c>
      <c r="M3436" t="s">
        <v>96</v>
      </c>
      <c r="N3436" t="s">
        <v>23</v>
      </c>
      <c r="O3436" t="s">
        <v>23</v>
      </c>
      <c r="P3436" s="1" t="s">
        <v>33</v>
      </c>
      <c r="Q3436">
        <v>120.6</v>
      </c>
    </row>
    <row r="3437" spans="11:17" x14ac:dyDescent="0.3">
      <c r="K3437">
        <v>2016</v>
      </c>
      <c r="L3437" t="s">
        <v>39</v>
      </c>
      <c r="M3437" t="s">
        <v>96</v>
      </c>
      <c r="N3437" t="s">
        <v>22</v>
      </c>
      <c r="O3437" t="s">
        <v>20</v>
      </c>
      <c r="P3437" s="1" t="s">
        <v>30</v>
      </c>
      <c r="Q3437">
        <v>129.30000000000001</v>
      </c>
    </row>
    <row r="3438" spans="11:17" x14ac:dyDescent="0.3">
      <c r="K3438">
        <v>2016</v>
      </c>
      <c r="L3438" t="s">
        <v>39</v>
      </c>
      <c r="M3438" t="s">
        <v>96</v>
      </c>
      <c r="N3438" t="s">
        <v>22</v>
      </c>
      <c r="O3438" t="s">
        <v>20</v>
      </c>
      <c r="P3438" s="1" t="s">
        <v>34</v>
      </c>
      <c r="Q3438">
        <v>126.4</v>
      </c>
    </row>
    <row r="3439" spans="11:17" x14ac:dyDescent="0.3">
      <c r="K3439">
        <v>2016</v>
      </c>
      <c r="L3439" t="s">
        <v>39</v>
      </c>
      <c r="M3439" t="s">
        <v>96</v>
      </c>
      <c r="N3439" t="s">
        <v>22</v>
      </c>
      <c r="O3439" t="s">
        <v>20</v>
      </c>
      <c r="P3439" s="1" t="s">
        <v>33</v>
      </c>
      <c r="Q3439">
        <v>123.2</v>
      </c>
    </row>
    <row r="3440" spans="11:17" x14ac:dyDescent="0.3">
      <c r="K3440">
        <v>2016</v>
      </c>
      <c r="L3440" t="s">
        <v>39</v>
      </c>
      <c r="M3440" t="s">
        <v>96</v>
      </c>
      <c r="N3440" t="s">
        <v>20</v>
      </c>
      <c r="O3440" t="s">
        <v>20</v>
      </c>
      <c r="P3440" s="1" t="s">
        <v>30</v>
      </c>
      <c r="Q3440">
        <v>0</v>
      </c>
    </row>
    <row r="3441" spans="11:17" x14ac:dyDescent="0.3">
      <c r="K3441">
        <v>2016</v>
      </c>
      <c r="L3441" t="s">
        <v>39</v>
      </c>
      <c r="M3441" t="s">
        <v>96</v>
      </c>
      <c r="N3441" t="s">
        <v>20</v>
      </c>
      <c r="O3441" t="s">
        <v>20</v>
      </c>
      <c r="P3441" s="1" t="s">
        <v>34</v>
      </c>
      <c r="Q3441">
        <v>125.5</v>
      </c>
    </row>
    <row r="3442" spans="11:17" x14ac:dyDescent="0.3">
      <c r="K3442">
        <v>2016</v>
      </c>
      <c r="L3442" t="s">
        <v>39</v>
      </c>
      <c r="M3442" t="s">
        <v>96</v>
      </c>
      <c r="N3442" t="s">
        <v>20</v>
      </c>
      <c r="O3442" t="s">
        <v>20</v>
      </c>
      <c r="P3442" s="1" t="s">
        <v>33</v>
      </c>
      <c r="Q3442">
        <v>125.5</v>
      </c>
    </row>
    <row r="3443" spans="11:17" x14ac:dyDescent="0.3">
      <c r="K3443">
        <v>2016</v>
      </c>
      <c r="L3443" t="s">
        <v>39</v>
      </c>
      <c r="M3443" t="s">
        <v>96</v>
      </c>
      <c r="N3443" t="s">
        <v>4</v>
      </c>
      <c r="O3443" t="s">
        <v>188</v>
      </c>
      <c r="P3443" s="1" t="s">
        <v>30</v>
      </c>
      <c r="Q3443">
        <v>138.6</v>
      </c>
    </row>
    <row r="3444" spans="11:17" x14ac:dyDescent="0.3">
      <c r="K3444">
        <v>2016</v>
      </c>
      <c r="L3444" t="s">
        <v>39</v>
      </c>
      <c r="M3444" t="s">
        <v>96</v>
      </c>
      <c r="N3444" t="s">
        <v>4</v>
      </c>
      <c r="O3444" t="s">
        <v>188</v>
      </c>
      <c r="P3444" s="1" t="s">
        <v>34</v>
      </c>
      <c r="Q3444">
        <v>140.5</v>
      </c>
    </row>
    <row r="3445" spans="11:17" x14ac:dyDescent="0.3">
      <c r="K3445">
        <v>2016</v>
      </c>
      <c r="L3445" t="s">
        <v>39</v>
      </c>
      <c r="M3445" t="s">
        <v>96</v>
      </c>
      <c r="N3445" t="s">
        <v>4</v>
      </c>
      <c r="O3445" t="s">
        <v>188</v>
      </c>
      <c r="P3445" s="1" t="s">
        <v>33</v>
      </c>
      <c r="Q3445">
        <v>143.9</v>
      </c>
    </row>
    <row r="3446" spans="11:17" x14ac:dyDescent="0.3">
      <c r="K3446">
        <v>2016</v>
      </c>
      <c r="L3446" t="s">
        <v>39</v>
      </c>
      <c r="M3446" t="s">
        <v>96</v>
      </c>
      <c r="N3446" t="s">
        <v>6</v>
      </c>
      <c r="O3446" t="s">
        <v>188</v>
      </c>
      <c r="P3446" s="1" t="s">
        <v>30</v>
      </c>
      <c r="Q3446">
        <v>133.6</v>
      </c>
    </row>
    <row r="3447" spans="11:17" x14ac:dyDescent="0.3">
      <c r="K3447">
        <v>2016</v>
      </c>
      <c r="L3447" t="s">
        <v>39</v>
      </c>
      <c r="M3447" t="s">
        <v>96</v>
      </c>
      <c r="N3447" t="s">
        <v>6</v>
      </c>
      <c r="O3447" t="s">
        <v>188</v>
      </c>
      <c r="P3447" s="1" t="s">
        <v>34</v>
      </c>
      <c r="Q3447">
        <v>132.6</v>
      </c>
    </row>
    <row r="3448" spans="11:17" x14ac:dyDescent="0.3">
      <c r="K3448">
        <v>2016</v>
      </c>
      <c r="L3448" t="s">
        <v>39</v>
      </c>
      <c r="M3448" t="s">
        <v>96</v>
      </c>
      <c r="N3448" t="s">
        <v>6</v>
      </c>
      <c r="O3448" t="s">
        <v>188</v>
      </c>
      <c r="P3448" s="1" t="s">
        <v>33</v>
      </c>
      <c r="Q3448">
        <v>131</v>
      </c>
    </row>
    <row r="3449" spans="11:17" x14ac:dyDescent="0.3">
      <c r="K3449">
        <v>2016</v>
      </c>
      <c r="L3449" t="s">
        <v>39</v>
      </c>
      <c r="M3449" t="s">
        <v>96</v>
      </c>
      <c r="N3449" t="s">
        <v>28</v>
      </c>
      <c r="O3449" t="s">
        <v>192</v>
      </c>
      <c r="P3449" s="1" t="s">
        <v>30</v>
      </c>
      <c r="Q3449">
        <v>123.3</v>
      </c>
    </row>
    <row r="3450" spans="11:17" x14ac:dyDescent="0.3">
      <c r="K3450">
        <v>2016</v>
      </c>
      <c r="L3450" t="s">
        <v>39</v>
      </c>
      <c r="M3450" t="s">
        <v>96</v>
      </c>
      <c r="N3450" t="s">
        <v>28</v>
      </c>
      <c r="O3450" t="s">
        <v>192</v>
      </c>
      <c r="P3450" s="1" t="s">
        <v>34</v>
      </c>
      <c r="Q3450">
        <v>121.5</v>
      </c>
    </row>
    <row r="3451" spans="11:17" x14ac:dyDescent="0.3">
      <c r="K3451">
        <v>2016</v>
      </c>
      <c r="L3451" t="s">
        <v>39</v>
      </c>
      <c r="M3451" t="s">
        <v>96</v>
      </c>
      <c r="N3451" t="s">
        <v>28</v>
      </c>
      <c r="O3451" t="s">
        <v>192</v>
      </c>
      <c r="P3451" s="1" t="s">
        <v>33</v>
      </c>
      <c r="Q3451">
        <v>119.6</v>
      </c>
    </row>
    <row r="3452" spans="11:17" x14ac:dyDescent="0.3">
      <c r="K3452">
        <v>2016</v>
      </c>
      <c r="L3452" t="s">
        <v>39</v>
      </c>
      <c r="M3452" t="s">
        <v>96</v>
      </c>
      <c r="N3452" t="s">
        <v>13</v>
      </c>
      <c r="O3452" t="s">
        <v>188</v>
      </c>
      <c r="P3452" s="1" t="s">
        <v>30</v>
      </c>
      <c r="Q3452">
        <v>126.4</v>
      </c>
    </row>
    <row r="3453" spans="11:17" x14ac:dyDescent="0.3">
      <c r="K3453">
        <v>2016</v>
      </c>
      <c r="L3453" t="s">
        <v>39</v>
      </c>
      <c r="M3453" t="s">
        <v>96</v>
      </c>
      <c r="N3453" t="s">
        <v>13</v>
      </c>
      <c r="O3453" t="s">
        <v>188</v>
      </c>
      <c r="P3453" s="1" t="s">
        <v>34</v>
      </c>
      <c r="Q3453">
        <v>124.4</v>
      </c>
    </row>
    <row r="3454" spans="11:17" x14ac:dyDescent="0.3">
      <c r="K3454">
        <v>2016</v>
      </c>
      <c r="L3454" t="s">
        <v>39</v>
      </c>
      <c r="M3454" t="s">
        <v>96</v>
      </c>
      <c r="N3454" t="s">
        <v>13</v>
      </c>
      <c r="O3454" t="s">
        <v>188</v>
      </c>
      <c r="P3454" s="1" t="s">
        <v>33</v>
      </c>
      <c r="Q3454">
        <v>121.6</v>
      </c>
    </row>
    <row r="3455" spans="11:17" x14ac:dyDescent="0.3">
      <c r="K3455">
        <v>2016</v>
      </c>
      <c r="L3455" t="s">
        <v>39</v>
      </c>
      <c r="M3455" t="s">
        <v>96</v>
      </c>
      <c r="N3455" t="s">
        <v>7</v>
      </c>
      <c r="O3455" t="s">
        <v>188</v>
      </c>
      <c r="P3455" s="1" t="s">
        <v>30</v>
      </c>
      <c r="Q3455">
        <v>118.6</v>
      </c>
    </row>
    <row r="3456" spans="11:17" x14ac:dyDescent="0.3">
      <c r="K3456">
        <v>2016</v>
      </c>
      <c r="L3456" t="s">
        <v>39</v>
      </c>
      <c r="M3456" t="s">
        <v>96</v>
      </c>
      <c r="N3456" t="s">
        <v>7</v>
      </c>
      <c r="O3456" t="s">
        <v>188</v>
      </c>
      <c r="P3456" s="1" t="s">
        <v>34</v>
      </c>
      <c r="Q3456">
        <v>115.5</v>
      </c>
    </row>
    <row r="3457" spans="11:17" x14ac:dyDescent="0.3">
      <c r="K3457">
        <v>2016</v>
      </c>
      <c r="L3457" t="s">
        <v>39</v>
      </c>
      <c r="M3457" t="s">
        <v>96</v>
      </c>
      <c r="N3457" t="s">
        <v>7</v>
      </c>
      <c r="O3457" t="s">
        <v>188</v>
      </c>
      <c r="P3457" s="1" t="s">
        <v>33</v>
      </c>
      <c r="Q3457">
        <v>110.2</v>
      </c>
    </row>
    <row r="3458" spans="11:17" x14ac:dyDescent="0.3">
      <c r="K3458">
        <v>2016</v>
      </c>
      <c r="L3458" t="s">
        <v>39</v>
      </c>
      <c r="M3458" t="s">
        <v>96</v>
      </c>
      <c r="N3458" t="s">
        <v>16</v>
      </c>
      <c r="O3458" t="s">
        <v>192</v>
      </c>
      <c r="P3458" s="1" t="s">
        <v>30</v>
      </c>
      <c r="Q3458">
        <v>137.19999999999999</v>
      </c>
    </row>
    <row r="3459" spans="11:17" x14ac:dyDescent="0.3">
      <c r="K3459">
        <v>2016</v>
      </c>
      <c r="L3459" t="s">
        <v>39</v>
      </c>
      <c r="M3459" t="s">
        <v>96</v>
      </c>
      <c r="N3459" t="s">
        <v>16</v>
      </c>
      <c r="O3459" t="s">
        <v>192</v>
      </c>
      <c r="P3459" s="1" t="s">
        <v>34</v>
      </c>
      <c r="Q3459">
        <v>138.69999999999999</v>
      </c>
    </row>
    <row r="3460" spans="11:17" x14ac:dyDescent="0.3">
      <c r="K3460">
        <v>2016</v>
      </c>
      <c r="L3460" t="s">
        <v>39</v>
      </c>
      <c r="M3460" t="s">
        <v>96</v>
      </c>
      <c r="N3460" t="s">
        <v>16</v>
      </c>
      <c r="O3460" t="s">
        <v>192</v>
      </c>
      <c r="P3460" s="1" t="s">
        <v>33</v>
      </c>
      <c r="Q3460">
        <v>142.69999999999999</v>
      </c>
    </row>
    <row r="3461" spans="11:17" x14ac:dyDescent="0.3">
      <c r="K3461">
        <v>2016</v>
      </c>
      <c r="L3461" t="s">
        <v>39</v>
      </c>
      <c r="M3461" t="s">
        <v>96</v>
      </c>
      <c r="N3461" t="s">
        <v>27</v>
      </c>
      <c r="O3461" t="s">
        <v>192</v>
      </c>
      <c r="P3461" s="1" t="s">
        <v>30</v>
      </c>
      <c r="Q3461">
        <v>119.9</v>
      </c>
    </row>
    <row r="3462" spans="11:17" x14ac:dyDescent="0.3">
      <c r="K3462">
        <v>2016</v>
      </c>
      <c r="L3462" t="s">
        <v>39</v>
      </c>
      <c r="M3462" t="s">
        <v>96</v>
      </c>
      <c r="N3462" t="s">
        <v>27</v>
      </c>
      <c r="O3462" t="s">
        <v>192</v>
      </c>
      <c r="P3462" s="1" t="s">
        <v>34</v>
      </c>
      <c r="Q3462">
        <v>119.4</v>
      </c>
    </row>
    <row r="3463" spans="11:17" x14ac:dyDescent="0.3">
      <c r="K3463">
        <v>2016</v>
      </c>
      <c r="L3463" t="s">
        <v>39</v>
      </c>
      <c r="M3463" t="s">
        <v>96</v>
      </c>
      <c r="N3463" t="s">
        <v>27</v>
      </c>
      <c r="O3463" t="s">
        <v>192</v>
      </c>
      <c r="P3463" s="1" t="s">
        <v>33</v>
      </c>
      <c r="Q3463">
        <v>118.8</v>
      </c>
    </row>
    <row r="3464" spans="11:17" x14ac:dyDescent="0.3">
      <c r="K3464">
        <v>2016</v>
      </c>
      <c r="L3464" t="s">
        <v>39</v>
      </c>
      <c r="M3464" t="s">
        <v>96</v>
      </c>
      <c r="N3464" t="s">
        <v>14</v>
      </c>
      <c r="O3464" t="s">
        <v>188</v>
      </c>
      <c r="P3464" s="1" t="s">
        <v>30</v>
      </c>
      <c r="Q3464">
        <v>139.19999999999999</v>
      </c>
    </row>
    <row r="3465" spans="11:17" x14ac:dyDescent="0.3">
      <c r="K3465">
        <v>2016</v>
      </c>
      <c r="L3465" t="s">
        <v>39</v>
      </c>
      <c r="M3465" t="s">
        <v>96</v>
      </c>
      <c r="N3465" t="s">
        <v>14</v>
      </c>
      <c r="O3465" t="s">
        <v>188</v>
      </c>
      <c r="P3465" s="1" t="s">
        <v>34</v>
      </c>
      <c r="Q3465">
        <v>138.1</v>
      </c>
    </row>
    <row r="3466" spans="11:17" x14ac:dyDescent="0.3">
      <c r="K3466">
        <v>2016</v>
      </c>
      <c r="L3466" t="s">
        <v>39</v>
      </c>
      <c r="M3466" t="s">
        <v>96</v>
      </c>
      <c r="N3466" t="s">
        <v>14</v>
      </c>
      <c r="O3466" t="s">
        <v>188</v>
      </c>
      <c r="P3466" s="1" t="s">
        <v>33</v>
      </c>
      <c r="Q3466">
        <v>136.9</v>
      </c>
    </row>
    <row r="3467" spans="11:17" x14ac:dyDescent="0.3">
      <c r="K3467">
        <v>2016</v>
      </c>
      <c r="L3467" t="s">
        <v>39</v>
      </c>
      <c r="M3467" t="s">
        <v>96</v>
      </c>
      <c r="N3467" t="s">
        <v>10</v>
      </c>
      <c r="O3467" t="s">
        <v>188</v>
      </c>
      <c r="P3467" s="1" t="s">
        <v>30</v>
      </c>
      <c r="Q3467">
        <v>169.2</v>
      </c>
    </row>
    <row r="3468" spans="11:17" x14ac:dyDescent="0.3">
      <c r="K3468">
        <v>2016</v>
      </c>
      <c r="L3468" t="s">
        <v>39</v>
      </c>
      <c r="M3468" t="s">
        <v>96</v>
      </c>
      <c r="N3468" t="s">
        <v>10</v>
      </c>
      <c r="O3468" t="s">
        <v>188</v>
      </c>
      <c r="P3468" s="1" t="s">
        <v>34</v>
      </c>
      <c r="Q3468">
        <v>174.3</v>
      </c>
    </row>
    <row r="3469" spans="11:17" x14ac:dyDescent="0.3">
      <c r="K3469">
        <v>2016</v>
      </c>
      <c r="L3469" t="s">
        <v>39</v>
      </c>
      <c r="M3469" t="s">
        <v>96</v>
      </c>
      <c r="N3469" t="s">
        <v>10</v>
      </c>
      <c r="O3469" t="s">
        <v>188</v>
      </c>
      <c r="P3469" s="1" t="s">
        <v>33</v>
      </c>
      <c r="Q3469">
        <v>184.4</v>
      </c>
    </row>
    <row r="3470" spans="11:17" x14ac:dyDescent="0.3">
      <c r="K3470">
        <v>2016</v>
      </c>
      <c r="L3470" t="s">
        <v>39</v>
      </c>
      <c r="M3470" t="s">
        <v>96</v>
      </c>
      <c r="N3470" t="s">
        <v>25</v>
      </c>
      <c r="O3470" t="s">
        <v>195</v>
      </c>
      <c r="P3470" s="1" t="s">
        <v>30</v>
      </c>
      <c r="Q3470">
        <v>124.1</v>
      </c>
    </row>
    <row r="3471" spans="11:17" x14ac:dyDescent="0.3">
      <c r="K3471">
        <v>2016</v>
      </c>
      <c r="L3471" t="s">
        <v>39</v>
      </c>
      <c r="M3471" t="s">
        <v>96</v>
      </c>
      <c r="N3471" t="s">
        <v>25</v>
      </c>
      <c r="O3471" t="s">
        <v>195</v>
      </c>
      <c r="P3471" s="1" t="s">
        <v>34</v>
      </c>
      <c r="Q3471">
        <v>121.7</v>
      </c>
    </row>
    <row r="3472" spans="11:17" x14ac:dyDescent="0.3">
      <c r="K3472">
        <v>2016</v>
      </c>
      <c r="L3472" t="s">
        <v>39</v>
      </c>
      <c r="M3472" t="s">
        <v>96</v>
      </c>
      <c r="N3472" t="s">
        <v>25</v>
      </c>
      <c r="O3472" t="s">
        <v>195</v>
      </c>
      <c r="P3472" s="1" t="s">
        <v>33</v>
      </c>
      <c r="Q3472">
        <v>119.9</v>
      </c>
    </row>
    <row r="3473" spans="11:17" x14ac:dyDescent="0.3">
      <c r="K3473">
        <v>2016</v>
      </c>
      <c r="L3473" t="s">
        <v>39</v>
      </c>
      <c r="M3473" t="s">
        <v>96</v>
      </c>
      <c r="N3473" t="s">
        <v>12</v>
      </c>
      <c r="O3473" t="s">
        <v>188</v>
      </c>
      <c r="P3473" s="1" t="s">
        <v>30</v>
      </c>
      <c r="Q3473">
        <v>133.1</v>
      </c>
    </row>
    <row r="3474" spans="11:17" x14ac:dyDescent="0.3">
      <c r="K3474">
        <v>2016</v>
      </c>
      <c r="L3474" t="s">
        <v>39</v>
      </c>
      <c r="M3474" t="s">
        <v>96</v>
      </c>
      <c r="N3474" t="s">
        <v>12</v>
      </c>
      <c r="O3474" t="s">
        <v>188</v>
      </c>
      <c r="P3474" s="1" t="s">
        <v>34</v>
      </c>
      <c r="Q3474">
        <v>136.30000000000001</v>
      </c>
    </row>
    <row r="3475" spans="11:17" x14ac:dyDescent="0.3">
      <c r="K3475">
        <v>2016</v>
      </c>
      <c r="L3475" t="s">
        <v>39</v>
      </c>
      <c r="M3475" t="s">
        <v>96</v>
      </c>
      <c r="N3475" t="s">
        <v>12</v>
      </c>
      <c r="O3475" t="s">
        <v>188</v>
      </c>
      <c r="P3475" s="1" t="s">
        <v>33</v>
      </c>
      <c r="Q3475">
        <v>142.80000000000001</v>
      </c>
    </row>
    <row r="3476" spans="11:17" x14ac:dyDescent="0.3">
      <c r="K3476">
        <v>2016</v>
      </c>
      <c r="L3476" t="s">
        <v>39</v>
      </c>
      <c r="M3476" t="s">
        <v>96</v>
      </c>
      <c r="N3476" t="s">
        <v>11</v>
      </c>
      <c r="O3476" t="s">
        <v>188</v>
      </c>
      <c r="P3476" s="1" t="s">
        <v>30</v>
      </c>
      <c r="Q3476">
        <v>108.8</v>
      </c>
    </row>
    <row r="3477" spans="11:17" x14ac:dyDescent="0.3">
      <c r="K3477">
        <v>2016</v>
      </c>
      <c r="L3477" t="s">
        <v>39</v>
      </c>
      <c r="M3477" t="s">
        <v>96</v>
      </c>
      <c r="N3477" t="s">
        <v>11</v>
      </c>
      <c r="O3477" t="s">
        <v>188</v>
      </c>
      <c r="P3477" s="1" t="s">
        <v>34</v>
      </c>
      <c r="Q3477">
        <v>109.9</v>
      </c>
    </row>
    <row r="3478" spans="11:17" x14ac:dyDescent="0.3">
      <c r="K3478">
        <v>2016</v>
      </c>
      <c r="L3478" t="s">
        <v>39</v>
      </c>
      <c r="M3478" t="s">
        <v>96</v>
      </c>
      <c r="N3478" t="s">
        <v>11</v>
      </c>
      <c r="O3478" t="s">
        <v>188</v>
      </c>
      <c r="P3478" s="1" t="s">
        <v>33</v>
      </c>
      <c r="Q3478">
        <v>112</v>
      </c>
    </row>
    <row r="3479" spans="11:17" x14ac:dyDescent="0.3">
      <c r="K3479">
        <v>2016</v>
      </c>
      <c r="L3479" t="s">
        <v>39</v>
      </c>
      <c r="M3479" t="s">
        <v>96</v>
      </c>
      <c r="N3479" t="s">
        <v>24</v>
      </c>
      <c r="O3479" t="s">
        <v>191</v>
      </c>
      <c r="P3479" s="1" t="s">
        <v>30</v>
      </c>
      <c r="Q3479">
        <v>116.3</v>
      </c>
    </row>
    <row r="3480" spans="11:17" x14ac:dyDescent="0.3">
      <c r="K3480">
        <v>2016</v>
      </c>
      <c r="L3480" t="s">
        <v>39</v>
      </c>
      <c r="M3480" t="s">
        <v>96</v>
      </c>
      <c r="N3480" t="s">
        <v>24</v>
      </c>
      <c r="O3480" t="s">
        <v>191</v>
      </c>
      <c r="P3480" s="1" t="s">
        <v>34</v>
      </c>
      <c r="Q3480">
        <v>114.2</v>
      </c>
    </row>
    <row r="3481" spans="11:17" x14ac:dyDescent="0.3">
      <c r="K3481">
        <v>2016</v>
      </c>
      <c r="L3481" t="s">
        <v>39</v>
      </c>
      <c r="M3481" t="s">
        <v>96</v>
      </c>
      <c r="N3481" t="s">
        <v>24</v>
      </c>
      <c r="O3481" t="s">
        <v>191</v>
      </c>
      <c r="P3481" s="1" t="s">
        <v>33</v>
      </c>
      <c r="Q3481">
        <v>112.3</v>
      </c>
    </row>
    <row r="3482" spans="11:17" x14ac:dyDescent="0.3">
      <c r="K3482">
        <v>2016</v>
      </c>
      <c r="L3482" t="s">
        <v>39</v>
      </c>
      <c r="M3482" t="s">
        <v>96</v>
      </c>
      <c r="N3482" t="s">
        <v>9</v>
      </c>
      <c r="O3482" t="s">
        <v>188</v>
      </c>
      <c r="P3482" s="1" t="s">
        <v>30</v>
      </c>
      <c r="Q3482">
        <v>152.5</v>
      </c>
    </row>
    <row r="3483" spans="11:17" x14ac:dyDescent="0.3">
      <c r="K3483">
        <v>2016</v>
      </c>
      <c r="L3483" t="s">
        <v>39</v>
      </c>
      <c r="M3483" t="s">
        <v>96</v>
      </c>
      <c r="N3483" t="s">
        <v>9</v>
      </c>
      <c r="O3483" t="s">
        <v>188</v>
      </c>
      <c r="P3483" s="1" t="s">
        <v>34</v>
      </c>
      <c r="Q3483">
        <v>159.69999999999999</v>
      </c>
    </row>
    <row r="3484" spans="11:17" x14ac:dyDescent="0.3">
      <c r="K3484">
        <v>2016</v>
      </c>
      <c r="L3484" t="s">
        <v>39</v>
      </c>
      <c r="M3484" t="s">
        <v>96</v>
      </c>
      <c r="N3484" t="s">
        <v>9</v>
      </c>
      <c r="O3484" t="s">
        <v>188</v>
      </c>
      <c r="P3484" s="1" t="s">
        <v>33</v>
      </c>
      <c r="Q3484">
        <v>173.7</v>
      </c>
    </row>
    <row r="3485" spans="11:17" x14ac:dyDescent="0.3">
      <c r="K3485">
        <v>2016</v>
      </c>
      <c r="L3485" t="s">
        <v>36</v>
      </c>
      <c r="M3485" t="s">
        <v>97</v>
      </c>
      <c r="N3485" t="s">
        <v>3</v>
      </c>
      <c r="O3485" t="s">
        <v>188</v>
      </c>
      <c r="P3485" s="1" t="s">
        <v>30</v>
      </c>
      <c r="Q3485">
        <v>127.3</v>
      </c>
    </row>
    <row r="3486" spans="11:17" x14ac:dyDescent="0.3">
      <c r="K3486">
        <v>2016</v>
      </c>
      <c r="L3486" t="s">
        <v>36</v>
      </c>
      <c r="M3486" t="s">
        <v>97</v>
      </c>
      <c r="N3486" t="s">
        <v>3</v>
      </c>
      <c r="O3486" t="s">
        <v>188</v>
      </c>
      <c r="P3486" s="1" t="s">
        <v>34</v>
      </c>
      <c r="Q3486">
        <v>126.5</v>
      </c>
    </row>
    <row r="3487" spans="11:17" x14ac:dyDescent="0.3">
      <c r="K3487">
        <v>2016</v>
      </c>
      <c r="L3487" t="s">
        <v>36</v>
      </c>
      <c r="M3487" t="s">
        <v>97</v>
      </c>
      <c r="N3487" t="s">
        <v>3</v>
      </c>
      <c r="O3487" t="s">
        <v>188</v>
      </c>
      <c r="P3487" s="1" t="s">
        <v>33</v>
      </c>
      <c r="Q3487">
        <v>124.8</v>
      </c>
    </row>
    <row r="3488" spans="11:17" x14ac:dyDescent="0.3">
      <c r="K3488">
        <v>2016</v>
      </c>
      <c r="L3488" t="s">
        <v>36</v>
      </c>
      <c r="M3488" t="s">
        <v>97</v>
      </c>
      <c r="N3488" t="s">
        <v>17</v>
      </c>
      <c r="O3488" t="s">
        <v>189</v>
      </c>
      <c r="P3488" s="1" t="s">
        <v>30</v>
      </c>
      <c r="Q3488">
        <v>134.4</v>
      </c>
    </row>
    <row r="3489" spans="11:17" x14ac:dyDescent="0.3">
      <c r="K3489">
        <v>2016</v>
      </c>
      <c r="L3489" t="s">
        <v>36</v>
      </c>
      <c r="M3489" t="s">
        <v>97</v>
      </c>
      <c r="N3489" t="s">
        <v>17</v>
      </c>
      <c r="O3489" t="s">
        <v>189</v>
      </c>
      <c r="P3489" s="1" t="s">
        <v>34</v>
      </c>
      <c r="Q3489">
        <v>131.30000000000001</v>
      </c>
    </row>
    <row r="3490" spans="11:17" x14ac:dyDescent="0.3">
      <c r="K3490">
        <v>2016</v>
      </c>
      <c r="L3490" t="s">
        <v>36</v>
      </c>
      <c r="M3490" t="s">
        <v>97</v>
      </c>
      <c r="N3490" t="s">
        <v>17</v>
      </c>
      <c r="O3490" t="s">
        <v>189</v>
      </c>
      <c r="P3490" s="1" t="s">
        <v>33</v>
      </c>
      <c r="Q3490">
        <v>126.4</v>
      </c>
    </row>
    <row r="3491" spans="11:17" x14ac:dyDescent="0.3">
      <c r="K3491">
        <v>2016</v>
      </c>
      <c r="L3491" t="s">
        <v>36</v>
      </c>
      <c r="M3491" t="s">
        <v>97</v>
      </c>
      <c r="N3491" t="s">
        <v>19</v>
      </c>
      <c r="O3491" t="s">
        <v>189</v>
      </c>
      <c r="P3491" s="1" t="s">
        <v>30</v>
      </c>
      <c r="Q3491">
        <v>133.80000000000001</v>
      </c>
    </row>
    <row r="3492" spans="11:17" x14ac:dyDescent="0.3">
      <c r="K3492">
        <v>2016</v>
      </c>
      <c r="L3492" t="s">
        <v>36</v>
      </c>
      <c r="M3492" t="s">
        <v>97</v>
      </c>
      <c r="N3492" t="s">
        <v>19</v>
      </c>
      <c r="O3492" t="s">
        <v>189</v>
      </c>
      <c r="P3492" s="1" t="s">
        <v>34</v>
      </c>
      <c r="Q3492">
        <v>130.5</v>
      </c>
    </row>
    <row r="3493" spans="11:17" x14ac:dyDescent="0.3">
      <c r="K3493">
        <v>2016</v>
      </c>
      <c r="L3493" t="s">
        <v>36</v>
      </c>
      <c r="M3493" t="s">
        <v>97</v>
      </c>
      <c r="N3493" t="s">
        <v>19</v>
      </c>
      <c r="O3493" t="s">
        <v>189</v>
      </c>
      <c r="P3493" s="1" t="s">
        <v>33</v>
      </c>
      <c r="Q3493">
        <v>125.5</v>
      </c>
    </row>
    <row r="3494" spans="11:17" x14ac:dyDescent="0.3">
      <c r="K3494">
        <v>2016</v>
      </c>
      <c r="L3494" t="s">
        <v>36</v>
      </c>
      <c r="M3494" t="s">
        <v>97</v>
      </c>
      <c r="N3494" t="s">
        <v>26</v>
      </c>
      <c r="O3494" t="s">
        <v>26</v>
      </c>
      <c r="P3494" s="1" t="s">
        <v>30</v>
      </c>
      <c r="Q3494">
        <v>127.5</v>
      </c>
    </row>
    <row r="3495" spans="11:17" x14ac:dyDescent="0.3">
      <c r="K3495">
        <v>2016</v>
      </c>
      <c r="L3495" t="s">
        <v>36</v>
      </c>
      <c r="M3495" t="s">
        <v>97</v>
      </c>
      <c r="N3495" t="s">
        <v>26</v>
      </c>
      <c r="O3495" t="s">
        <v>26</v>
      </c>
      <c r="P3495" s="1" t="s">
        <v>34</v>
      </c>
      <c r="Q3495">
        <v>126.9</v>
      </c>
    </row>
    <row r="3496" spans="11:17" x14ac:dyDescent="0.3">
      <c r="K3496">
        <v>2016</v>
      </c>
      <c r="L3496" t="s">
        <v>36</v>
      </c>
      <c r="M3496" t="s">
        <v>97</v>
      </c>
      <c r="N3496" t="s">
        <v>26</v>
      </c>
      <c r="O3496" t="s">
        <v>26</v>
      </c>
      <c r="P3496" s="1" t="s">
        <v>33</v>
      </c>
      <c r="Q3496">
        <v>126.4</v>
      </c>
    </row>
    <row r="3497" spans="11:17" x14ac:dyDescent="0.3">
      <c r="K3497">
        <v>2016</v>
      </c>
      <c r="L3497" t="s">
        <v>36</v>
      </c>
      <c r="M3497" t="s">
        <v>97</v>
      </c>
      <c r="N3497" t="s">
        <v>5</v>
      </c>
      <c r="O3497" t="s">
        <v>188</v>
      </c>
      <c r="P3497" s="1" t="s">
        <v>30</v>
      </c>
      <c r="Q3497">
        <v>125.1</v>
      </c>
    </row>
    <row r="3498" spans="11:17" x14ac:dyDescent="0.3">
      <c r="K3498">
        <v>2016</v>
      </c>
      <c r="L3498" t="s">
        <v>36</v>
      </c>
      <c r="M3498" t="s">
        <v>97</v>
      </c>
      <c r="N3498" t="s">
        <v>5</v>
      </c>
      <c r="O3498" t="s">
        <v>188</v>
      </c>
      <c r="P3498" s="1" t="s">
        <v>34</v>
      </c>
      <c r="Q3498">
        <v>124.6</v>
      </c>
    </row>
    <row r="3499" spans="11:17" x14ac:dyDescent="0.3">
      <c r="K3499">
        <v>2016</v>
      </c>
      <c r="L3499" t="s">
        <v>36</v>
      </c>
      <c r="M3499" t="s">
        <v>97</v>
      </c>
      <c r="N3499" t="s">
        <v>5</v>
      </c>
      <c r="O3499" t="s">
        <v>188</v>
      </c>
      <c r="P3499" s="1" t="s">
        <v>33</v>
      </c>
      <c r="Q3499">
        <v>123.7</v>
      </c>
    </row>
    <row r="3500" spans="11:17" x14ac:dyDescent="0.3">
      <c r="K3500">
        <v>2016</v>
      </c>
      <c r="L3500" t="s">
        <v>36</v>
      </c>
      <c r="M3500" t="s">
        <v>97</v>
      </c>
      <c r="N3500" t="s">
        <v>15</v>
      </c>
      <c r="O3500" t="s">
        <v>188</v>
      </c>
      <c r="P3500" s="1" t="s">
        <v>30</v>
      </c>
      <c r="Q3500">
        <v>130.4</v>
      </c>
    </row>
    <row r="3501" spans="11:17" x14ac:dyDescent="0.3">
      <c r="K3501">
        <v>2016</v>
      </c>
      <c r="L3501" t="s">
        <v>36</v>
      </c>
      <c r="M3501" t="s">
        <v>97</v>
      </c>
      <c r="N3501" t="s">
        <v>15</v>
      </c>
      <c r="O3501" t="s">
        <v>188</v>
      </c>
      <c r="P3501" s="1" t="s">
        <v>34</v>
      </c>
      <c r="Q3501">
        <v>129.80000000000001</v>
      </c>
    </row>
    <row r="3502" spans="11:17" x14ac:dyDescent="0.3">
      <c r="K3502">
        <v>2016</v>
      </c>
      <c r="L3502" t="s">
        <v>36</v>
      </c>
      <c r="M3502" t="s">
        <v>97</v>
      </c>
      <c r="N3502" t="s">
        <v>15</v>
      </c>
      <c r="O3502" t="s">
        <v>188</v>
      </c>
      <c r="P3502" s="1" t="s">
        <v>33</v>
      </c>
      <c r="Q3502">
        <v>128.9</v>
      </c>
    </row>
    <row r="3503" spans="11:17" x14ac:dyDescent="0.3">
      <c r="K3503">
        <v>2016</v>
      </c>
      <c r="L3503" t="s">
        <v>36</v>
      </c>
      <c r="M3503" t="s">
        <v>97</v>
      </c>
      <c r="N3503" t="s">
        <v>18</v>
      </c>
      <c r="O3503" t="s">
        <v>189</v>
      </c>
      <c r="P3503" s="1" t="s">
        <v>30</v>
      </c>
      <c r="Q3503">
        <v>130.19999999999999</v>
      </c>
    </row>
    <row r="3504" spans="11:17" x14ac:dyDescent="0.3">
      <c r="K3504">
        <v>2016</v>
      </c>
      <c r="L3504" t="s">
        <v>36</v>
      </c>
      <c r="M3504" t="s">
        <v>97</v>
      </c>
      <c r="N3504" t="s">
        <v>18</v>
      </c>
      <c r="O3504" t="s">
        <v>189</v>
      </c>
      <c r="P3504" s="1" t="s">
        <v>34</v>
      </c>
      <c r="Q3504">
        <v>126.1</v>
      </c>
    </row>
    <row r="3505" spans="11:17" x14ac:dyDescent="0.3">
      <c r="K3505">
        <v>2016</v>
      </c>
      <c r="L3505" t="s">
        <v>36</v>
      </c>
      <c r="M3505" t="s">
        <v>97</v>
      </c>
      <c r="N3505" t="s">
        <v>18</v>
      </c>
      <c r="O3505" t="s">
        <v>189</v>
      </c>
      <c r="P3505" s="1" t="s">
        <v>33</v>
      </c>
      <c r="Q3505">
        <v>120.3</v>
      </c>
    </row>
    <row r="3506" spans="11:17" x14ac:dyDescent="0.3">
      <c r="K3506">
        <v>2016</v>
      </c>
      <c r="L3506" t="s">
        <v>36</v>
      </c>
      <c r="M3506" t="s">
        <v>97</v>
      </c>
      <c r="N3506" t="s">
        <v>8</v>
      </c>
      <c r="O3506" t="s">
        <v>188</v>
      </c>
      <c r="P3506" s="1" t="s">
        <v>30</v>
      </c>
      <c r="Q3506">
        <v>131.69999999999999</v>
      </c>
    </row>
    <row r="3507" spans="11:17" x14ac:dyDescent="0.3">
      <c r="K3507">
        <v>2016</v>
      </c>
      <c r="L3507" t="s">
        <v>36</v>
      </c>
      <c r="M3507" t="s">
        <v>97</v>
      </c>
      <c r="N3507" t="s">
        <v>8</v>
      </c>
      <c r="O3507" t="s">
        <v>188</v>
      </c>
      <c r="P3507" s="1" t="s">
        <v>34</v>
      </c>
      <c r="Q3507">
        <v>126.2</v>
      </c>
    </row>
    <row r="3508" spans="11:17" x14ac:dyDescent="0.3">
      <c r="K3508">
        <v>2016</v>
      </c>
      <c r="L3508" t="s">
        <v>36</v>
      </c>
      <c r="M3508" t="s">
        <v>97</v>
      </c>
      <c r="N3508" t="s">
        <v>8</v>
      </c>
      <c r="O3508" t="s">
        <v>188</v>
      </c>
      <c r="P3508" s="1" t="s">
        <v>33</v>
      </c>
      <c r="Q3508">
        <v>119.9</v>
      </c>
    </row>
    <row r="3509" spans="11:17" x14ac:dyDescent="0.3">
      <c r="K3509">
        <v>2016</v>
      </c>
      <c r="L3509" t="s">
        <v>36</v>
      </c>
      <c r="M3509" t="s">
        <v>97</v>
      </c>
      <c r="N3509" t="s">
        <v>21</v>
      </c>
      <c r="O3509" t="s">
        <v>190</v>
      </c>
      <c r="P3509" s="1" t="s">
        <v>30</v>
      </c>
      <c r="Q3509">
        <v>127</v>
      </c>
    </row>
    <row r="3510" spans="11:17" x14ac:dyDescent="0.3">
      <c r="K3510">
        <v>2016</v>
      </c>
      <c r="L3510" t="s">
        <v>36</v>
      </c>
      <c r="M3510" t="s">
        <v>97</v>
      </c>
      <c r="N3510" t="s">
        <v>21</v>
      </c>
      <c r="O3510" t="s">
        <v>190</v>
      </c>
      <c r="P3510" s="1" t="s">
        <v>34</v>
      </c>
      <c r="Q3510">
        <v>122.4</v>
      </c>
    </row>
    <row r="3511" spans="11:17" x14ac:dyDescent="0.3">
      <c r="K3511">
        <v>2016</v>
      </c>
      <c r="L3511" t="s">
        <v>36</v>
      </c>
      <c r="M3511" t="s">
        <v>97</v>
      </c>
      <c r="N3511" t="s">
        <v>21</v>
      </c>
      <c r="O3511" t="s">
        <v>190</v>
      </c>
      <c r="P3511" s="1" t="s">
        <v>33</v>
      </c>
      <c r="Q3511">
        <v>114.8</v>
      </c>
    </row>
    <row r="3512" spans="11:17" x14ac:dyDescent="0.3">
      <c r="K3512">
        <v>2016</v>
      </c>
      <c r="L3512" t="s">
        <v>36</v>
      </c>
      <c r="M3512" t="s">
        <v>97</v>
      </c>
      <c r="N3512" t="s">
        <v>29</v>
      </c>
      <c r="O3512" t="s">
        <v>206</v>
      </c>
      <c r="P3512" s="1" t="s">
        <v>30</v>
      </c>
      <c r="Q3512">
        <v>128</v>
      </c>
    </row>
    <row r="3513" spans="11:17" x14ac:dyDescent="0.3">
      <c r="K3513">
        <v>2016</v>
      </c>
      <c r="L3513" t="s">
        <v>36</v>
      </c>
      <c r="M3513" t="s">
        <v>97</v>
      </c>
      <c r="N3513" t="s">
        <v>29</v>
      </c>
      <c r="O3513" t="s">
        <v>206</v>
      </c>
      <c r="P3513" s="1" t="s">
        <v>34</v>
      </c>
      <c r="Q3513">
        <v>126</v>
      </c>
    </row>
    <row r="3514" spans="11:17" x14ac:dyDescent="0.3">
      <c r="K3514">
        <v>2016</v>
      </c>
      <c r="L3514" t="s">
        <v>36</v>
      </c>
      <c r="M3514" t="s">
        <v>97</v>
      </c>
      <c r="N3514" t="s">
        <v>29</v>
      </c>
      <c r="O3514" t="s">
        <v>206</v>
      </c>
      <c r="P3514" s="1" t="s">
        <v>33</v>
      </c>
      <c r="Q3514">
        <v>123.8</v>
      </c>
    </row>
    <row r="3515" spans="11:17" x14ac:dyDescent="0.3">
      <c r="K3515">
        <v>2016</v>
      </c>
      <c r="L3515" t="s">
        <v>36</v>
      </c>
      <c r="M3515" t="s">
        <v>97</v>
      </c>
      <c r="N3515" t="s">
        <v>23</v>
      </c>
      <c r="O3515" t="s">
        <v>23</v>
      </c>
      <c r="P3515" s="1" t="s">
        <v>30</v>
      </c>
      <c r="Q3515">
        <v>124.8</v>
      </c>
    </row>
    <row r="3516" spans="11:17" x14ac:dyDescent="0.3">
      <c r="K3516">
        <v>2016</v>
      </c>
      <c r="L3516" t="s">
        <v>36</v>
      </c>
      <c r="M3516" t="s">
        <v>97</v>
      </c>
      <c r="N3516" t="s">
        <v>23</v>
      </c>
      <c r="O3516" t="s">
        <v>23</v>
      </c>
      <c r="P3516" s="1" t="s">
        <v>34</v>
      </c>
      <c r="Q3516">
        <v>122.9</v>
      </c>
    </row>
    <row r="3517" spans="11:17" x14ac:dyDescent="0.3">
      <c r="K3517">
        <v>2016</v>
      </c>
      <c r="L3517" t="s">
        <v>36</v>
      </c>
      <c r="M3517" t="s">
        <v>97</v>
      </c>
      <c r="N3517" t="s">
        <v>23</v>
      </c>
      <c r="O3517" t="s">
        <v>23</v>
      </c>
      <c r="P3517" s="1" t="s">
        <v>33</v>
      </c>
      <c r="Q3517">
        <v>119.7</v>
      </c>
    </row>
    <row r="3518" spans="11:17" x14ac:dyDescent="0.3">
      <c r="K3518">
        <v>2016</v>
      </c>
      <c r="L3518" t="s">
        <v>36</v>
      </c>
      <c r="M3518" t="s">
        <v>97</v>
      </c>
      <c r="N3518" t="s">
        <v>22</v>
      </c>
      <c r="O3518" t="s">
        <v>20</v>
      </c>
      <c r="P3518" s="1" t="s">
        <v>30</v>
      </c>
      <c r="Q3518">
        <v>127.7</v>
      </c>
    </row>
    <row r="3519" spans="11:17" x14ac:dyDescent="0.3">
      <c r="K3519">
        <v>2016</v>
      </c>
      <c r="L3519" t="s">
        <v>36</v>
      </c>
      <c r="M3519" t="s">
        <v>97</v>
      </c>
      <c r="N3519" t="s">
        <v>22</v>
      </c>
      <c r="O3519" t="s">
        <v>20</v>
      </c>
      <c r="P3519" s="1" t="s">
        <v>34</v>
      </c>
      <c r="Q3519">
        <v>125.1</v>
      </c>
    </row>
    <row r="3520" spans="11:17" x14ac:dyDescent="0.3">
      <c r="K3520">
        <v>2016</v>
      </c>
      <c r="L3520" t="s">
        <v>36</v>
      </c>
      <c r="M3520" t="s">
        <v>97</v>
      </c>
      <c r="N3520" t="s">
        <v>22</v>
      </c>
      <c r="O3520" t="s">
        <v>20</v>
      </c>
      <c r="P3520" s="1" t="s">
        <v>33</v>
      </c>
      <c r="Q3520">
        <v>122.3</v>
      </c>
    </row>
    <row r="3521" spans="11:17" x14ac:dyDescent="0.3">
      <c r="K3521">
        <v>2016</v>
      </c>
      <c r="L3521" t="s">
        <v>36</v>
      </c>
      <c r="M3521" t="s">
        <v>97</v>
      </c>
      <c r="N3521" t="s">
        <v>20</v>
      </c>
      <c r="O3521" t="s">
        <v>20</v>
      </c>
      <c r="P3521" s="1" t="s">
        <v>30</v>
      </c>
      <c r="Q3521">
        <v>0</v>
      </c>
    </row>
    <row r="3522" spans="11:17" x14ac:dyDescent="0.3">
      <c r="K3522">
        <v>2016</v>
      </c>
      <c r="L3522" t="s">
        <v>36</v>
      </c>
      <c r="M3522" t="s">
        <v>97</v>
      </c>
      <c r="N3522" t="s">
        <v>20</v>
      </c>
      <c r="O3522" t="s">
        <v>20</v>
      </c>
      <c r="P3522" s="1" t="s">
        <v>34</v>
      </c>
      <c r="Q3522">
        <v>124.9</v>
      </c>
    </row>
    <row r="3523" spans="11:17" x14ac:dyDescent="0.3">
      <c r="K3523">
        <v>2016</v>
      </c>
      <c r="L3523" t="s">
        <v>36</v>
      </c>
      <c r="M3523" t="s">
        <v>97</v>
      </c>
      <c r="N3523" t="s">
        <v>20</v>
      </c>
      <c r="O3523" t="s">
        <v>20</v>
      </c>
      <c r="P3523" s="1" t="s">
        <v>33</v>
      </c>
      <c r="Q3523">
        <v>124.9</v>
      </c>
    </row>
    <row r="3524" spans="11:17" x14ac:dyDescent="0.3">
      <c r="K3524">
        <v>2016</v>
      </c>
      <c r="L3524" t="s">
        <v>36</v>
      </c>
      <c r="M3524" t="s">
        <v>97</v>
      </c>
      <c r="N3524" t="s">
        <v>4</v>
      </c>
      <c r="O3524" t="s">
        <v>188</v>
      </c>
      <c r="P3524" s="1" t="s">
        <v>30</v>
      </c>
      <c r="Q3524">
        <v>134.4</v>
      </c>
    </row>
    <row r="3525" spans="11:17" x14ac:dyDescent="0.3">
      <c r="K3525">
        <v>2016</v>
      </c>
      <c r="L3525" t="s">
        <v>36</v>
      </c>
      <c r="M3525" t="s">
        <v>97</v>
      </c>
      <c r="N3525" t="s">
        <v>4</v>
      </c>
      <c r="O3525" t="s">
        <v>188</v>
      </c>
      <c r="P3525" s="1" t="s">
        <v>34</v>
      </c>
      <c r="Q3525">
        <v>135.1</v>
      </c>
    </row>
    <row r="3526" spans="11:17" x14ac:dyDescent="0.3">
      <c r="K3526">
        <v>2016</v>
      </c>
      <c r="L3526" t="s">
        <v>36</v>
      </c>
      <c r="M3526" t="s">
        <v>97</v>
      </c>
      <c r="N3526" t="s">
        <v>4</v>
      </c>
      <c r="O3526" t="s">
        <v>188</v>
      </c>
      <c r="P3526" s="1" t="s">
        <v>33</v>
      </c>
      <c r="Q3526">
        <v>136.30000000000001</v>
      </c>
    </row>
    <row r="3527" spans="11:17" x14ac:dyDescent="0.3">
      <c r="K3527">
        <v>2016</v>
      </c>
      <c r="L3527" t="s">
        <v>36</v>
      </c>
      <c r="M3527" t="s">
        <v>97</v>
      </c>
      <c r="N3527" t="s">
        <v>6</v>
      </c>
      <c r="O3527" t="s">
        <v>188</v>
      </c>
      <c r="P3527" s="1" t="s">
        <v>30</v>
      </c>
      <c r="Q3527">
        <v>130.5</v>
      </c>
    </row>
    <row r="3528" spans="11:17" x14ac:dyDescent="0.3">
      <c r="K3528">
        <v>2016</v>
      </c>
      <c r="L3528" t="s">
        <v>36</v>
      </c>
      <c r="M3528" t="s">
        <v>97</v>
      </c>
      <c r="N3528" t="s">
        <v>6</v>
      </c>
      <c r="O3528" t="s">
        <v>188</v>
      </c>
      <c r="P3528" s="1" t="s">
        <v>34</v>
      </c>
      <c r="Q3528">
        <v>130.19999999999999</v>
      </c>
    </row>
    <row r="3529" spans="11:17" x14ac:dyDescent="0.3">
      <c r="K3529">
        <v>2016</v>
      </c>
      <c r="L3529" t="s">
        <v>36</v>
      </c>
      <c r="M3529" t="s">
        <v>97</v>
      </c>
      <c r="N3529" t="s">
        <v>6</v>
      </c>
      <c r="O3529" t="s">
        <v>188</v>
      </c>
      <c r="P3529" s="1" t="s">
        <v>33</v>
      </c>
      <c r="Q3529">
        <v>129.69999999999999</v>
      </c>
    </row>
    <row r="3530" spans="11:17" x14ac:dyDescent="0.3">
      <c r="K3530">
        <v>2016</v>
      </c>
      <c r="L3530" t="s">
        <v>36</v>
      </c>
      <c r="M3530" t="s">
        <v>97</v>
      </c>
      <c r="N3530" t="s">
        <v>28</v>
      </c>
      <c r="O3530" t="s">
        <v>192</v>
      </c>
      <c r="P3530" s="1" t="s">
        <v>30</v>
      </c>
      <c r="Q3530">
        <v>121.1</v>
      </c>
    </row>
    <row r="3531" spans="11:17" x14ac:dyDescent="0.3">
      <c r="K3531">
        <v>2016</v>
      </c>
      <c r="L3531" t="s">
        <v>36</v>
      </c>
      <c r="M3531" t="s">
        <v>97</v>
      </c>
      <c r="N3531" t="s">
        <v>28</v>
      </c>
      <c r="O3531" t="s">
        <v>192</v>
      </c>
      <c r="P3531" s="1" t="s">
        <v>34</v>
      </c>
      <c r="Q3531">
        <v>119.3</v>
      </c>
    </row>
    <row r="3532" spans="11:17" x14ac:dyDescent="0.3">
      <c r="K3532">
        <v>2016</v>
      </c>
      <c r="L3532" t="s">
        <v>36</v>
      </c>
      <c r="M3532" t="s">
        <v>97</v>
      </c>
      <c r="N3532" t="s">
        <v>28</v>
      </c>
      <c r="O3532" t="s">
        <v>192</v>
      </c>
      <c r="P3532" s="1" t="s">
        <v>33</v>
      </c>
      <c r="Q3532">
        <v>117.3</v>
      </c>
    </row>
    <row r="3533" spans="11:17" x14ac:dyDescent="0.3">
      <c r="K3533">
        <v>2016</v>
      </c>
      <c r="L3533" t="s">
        <v>36</v>
      </c>
      <c r="M3533" t="s">
        <v>97</v>
      </c>
      <c r="N3533" t="s">
        <v>13</v>
      </c>
      <c r="O3533" t="s">
        <v>188</v>
      </c>
      <c r="P3533" s="1" t="s">
        <v>30</v>
      </c>
      <c r="Q3533">
        <v>124.9</v>
      </c>
    </row>
    <row r="3534" spans="11:17" x14ac:dyDescent="0.3">
      <c r="K3534">
        <v>2016</v>
      </c>
      <c r="L3534" t="s">
        <v>36</v>
      </c>
      <c r="M3534" t="s">
        <v>97</v>
      </c>
      <c r="N3534" t="s">
        <v>13</v>
      </c>
      <c r="O3534" t="s">
        <v>188</v>
      </c>
      <c r="P3534" s="1" t="s">
        <v>34</v>
      </c>
      <c r="Q3534">
        <v>123.1</v>
      </c>
    </row>
    <row r="3535" spans="11:17" x14ac:dyDescent="0.3">
      <c r="K3535">
        <v>2016</v>
      </c>
      <c r="L3535" t="s">
        <v>36</v>
      </c>
      <c r="M3535" t="s">
        <v>97</v>
      </c>
      <c r="N3535" t="s">
        <v>13</v>
      </c>
      <c r="O3535" t="s">
        <v>188</v>
      </c>
      <c r="P3535" s="1" t="s">
        <v>33</v>
      </c>
      <c r="Q3535">
        <v>120.7</v>
      </c>
    </row>
    <row r="3536" spans="11:17" x14ac:dyDescent="0.3">
      <c r="K3536">
        <v>2016</v>
      </c>
      <c r="L3536" t="s">
        <v>36</v>
      </c>
      <c r="M3536" t="s">
        <v>97</v>
      </c>
      <c r="N3536" t="s">
        <v>7</v>
      </c>
      <c r="O3536" t="s">
        <v>188</v>
      </c>
      <c r="P3536" s="1" t="s">
        <v>30</v>
      </c>
      <c r="Q3536">
        <v>118.3</v>
      </c>
    </row>
    <row r="3537" spans="11:17" x14ac:dyDescent="0.3">
      <c r="K3537">
        <v>2016</v>
      </c>
      <c r="L3537" t="s">
        <v>36</v>
      </c>
      <c r="M3537" t="s">
        <v>97</v>
      </c>
      <c r="N3537" t="s">
        <v>7</v>
      </c>
      <c r="O3537" t="s">
        <v>188</v>
      </c>
      <c r="P3537" s="1" t="s">
        <v>34</v>
      </c>
      <c r="Q3537">
        <v>114.5</v>
      </c>
    </row>
    <row r="3538" spans="11:17" x14ac:dyDescent="0.3">
      <c r="K3538">
        <v>2016</v>
      </c>
      <c r="L3538" t="s">
        <v>36</v>
      </c>
      <c r="M3538" t="s">
        <v>97</v>
      </c>
      <c r="N3538" t="s">
        <v>7</v>
      </c>
      <c r="O3538" t="s">
        <v>188</v>
      </c>
      <c r="P3538" s="1" t="s">
        <v>33</v>
      </c>
      <c r="Q3538">
        <v>107.9</v>
      </c>
    </row>
    <row r="3539" spans="11:17" x14ac:dyDescent="0.3">
      <c r="K3539">
        <v>2016</v>
      </c>
      <c r="L3539" t="s">
        <v>36</v>
      </c>
      <c r="M3539" t="s">
        <v>97</v>
      </c>
      <c r="N3539" t="s">
        <v>16</v>
      </c>
      <c r="O3539" t="s">
        <v>192</v>
      </c>
      <c r="P3539" s="1" t="s">
        <v>30</v>
      </c>
      <c r="Q3539">
        <v>135</v>
      </c>
    </row>
    <row r="3540" spans="11:17" x14ac:dyDescent="0.3">
      <c r="K3540">
        <v>2016</v>
      </c>
      <c r="L3540" t="s">
        <v>36</v>
      </c>
      <c r="M3540" t="s">
        <v>97</v>
      </c>
      <c r="N3540" t="s">
        <v>16</v>
      </c>
      <c r="O3540" t="s">
        <v>192</v>
      </c>
      <c r="P3540" s="1" t="s">
        <v>34</v>
      </c>
      <c r="Q3540">
        <v>136.5</v>
      </c>
    </row>
    <row r="3541" spans="11:17" x14ac:dyDescent="0.3">
      <c r="K3541">
        <v>2016</v>
      </c>
      <c r="L3541" t="s">
        <v>36</v>
      </c>
      <c r="M3541" t="s">
        <v>97</v>
      </c>
      <c r="N3541" t="s">
        <v>16</v>
      </c>
      <c r="O3541" t="s">
        <v>192</v>
      </c>
      <c r="P3541" s="1" t="s">
        <v>33</v>
      </c>
      <c r="Q3541">
        <v>140.6</v>
      </c>
    </row>
    <row r="3542" spans="11:17" x14ac:dyDescent="0.3">
      <c r="K3542">
        <v>2016</v>
      </c>
      <c r="L3542" t="s">
        <v>36</v>
      </c>
      <c r="M3542" t="s">
        <v>97</v>
      </c>
      <c r="N3542" t="s">
        <v>27</v>
      </c>
      <c r="O3542" t="s">
        <v>192</v>
      </c>
      <c r="P3542" s="1" t="s">
        <v>30</v>
      </c>
      <c r="Q3542">
        <v>117.4</v>
      </c>
    </row>
    <row r="3543" spans="11:17" x14ac:dyDescent="0.3">
      <c r="K3543">
        <v>2016</v>
      </c>
      <c r="L3543" t="s">
        <v>36</v>
      </c>
      <c r="M3543" t="s">
        <v>97</v>
      </c>
      <c r="N3543" t="s">
        <v>27</v>
      </c>
      <c r="O3543" t="s">
        <v>192</v>
      </c>
      <c r="P3543" s="1" t="s">
        <v>34</v>
      </c>
      <c r="Q3543">
        <v>117.3</v>
      </c>
    </row>
    <row r="3544" spans="11:17" x14ac:dyDescent="0.3">
      <c r="K3544">
        <v>2016</v>
      </c>
      <c r="L3544" t="s">
        <v>36</v>
      </c>
      <c r="M3544" t="s">
        <v>97</v>
      </c>
      <c r="N3544" t="s">
        <v>27</v>
      </c>
      <c r="O3544" t="s">
        <v>192</v>
      </c>
      <c r="P3544" s="1" t="s">
        <v>33</v>
      </c>
      <c r="Q3544">
        <v>117.1</v>
      </c>
    </row>
    <row r="3545" spans="11:17" x14ac:dyDescent="0.3">
      <c r="K3545">
        <v>2016</v>
      </c>
      <c r="L3545" t="s">
        <v>36</v>
      </c>
      <c r="M3545" t="s">
        <v>97</v>
      </c>
      <c r="N3545" t="s">
        <v>14</v>
      </c>
      <c r="O3545" t="s">
        <v>188</v>
      </c>
      <c r="P3545" s="1" t="s">
        <v>30</v>
      </c>
      <c r="Q3545">
        <v>137</v>
      </c>
    </row>
    <row r="3546" spans="11:17" x14ac:dyDescent="0.3">
      <c r="K3546">
        <v>2016</v>
      </c>
      <c r="L3546" t="s">
        <v>36</v>
      </c>
      <c r="M3546" t="s">
        <v>97</v>
      </c>
      <c r="N3546" t="s">
        <v>14</v>
      </c>
      <c r="O3546" t="s">
        <v>188</v>
      </c>
      <c r="P3546" s="1" t="s">
        <v>34</v>
      </c>
      <c r="Q3546">
        <v>136.30000000000001</v>
      </c>
    </row>
    <row r="3547" spans="11:17" x14ac:dyDescent="0.3">
      <c r="K3547">
        <v>2016</v>
      </c>
      <c r="L3547" t="s">
        <v>36</v>
      </c>
      <c r="M3547" t="s">
        <v>97</v>
      </c>
      <c r="N3547" t="s">
        <v>14</v>
      </c>
      <c r="O3547" t="s">
        <v>188</v>
      </c>
      <c r="P3547" s="1" t="s">
        <v>33</v>
      </c>
      <c r="Q3547">
        <v>135.4</v>
      </c>
    </row>
    <row r="3548" spans="11:17" x14ac:dyDescent="0.3">
      <c r="K3548">
        <v>2016</v>
      </c>
      <c r="L3548" t="s">
        <v>36</v>
      </c>
      <c r="M3548" t="s">
        <v>97</v>
      </c>
      <c r="N3548" t="s">
        <v>10</v>
      </c>
      <c r="O3548" t="s">
        <v>188</v>
      </c>
      <c r="P3548" s="1" t="s">
        <v>30</v>
      </c>
      <c r="Q3548">
        <v>161.19999999999999</v>
      </c>
    </row>
    <row r="3549" spans="11:17" x14ac:dyDescent="0.3">
      <c r="K3549">
        <v>2016</v>
      </c>
      <c r="L3549" t="s">
        <v>36</v>
      </c>
      <c r="M3549" t="s">
        <v>97</v>
      </c>
      <c r="N3549" t="s">
        <v>10</v>
      </c>
      <c r="O3549" t="s">
        <v>188</v>
      </c>
      <c r="P3549" s="1" t="s">
        <v>34</v>
      </c>
      <c r="Q3549">
        <v>164.3</v>
      </c>
    </row>
    <row r="3550" spans="11:17" x14ac:dyDescent="0.3">
      <c r="K3550">
        <v>2016</v>
      </c>
      <c r="L3550" t="s">
        <v>36</v>
      </c>
      <c r="M3550" t="s">
        <v>97</v>
      </c>
      <c r="N3550" t="s">
        <v>10</v>
      </c>
      <c r="O3550" t="s">
        <v>188</v>
      </c>
      <c r="P3550" s="1" t="s">
        <v>33</v>
      </c>
      <c r="Q3550">
        <v>170.3</v>
      </c>
    </row>
    <row r="3551" spans="11:17" x14ac:dyDescent="0.3">
      <c r="K3551">
        <v>2016</v>
      </c>
      <c r="L3551" t="s">
        <v>36</v>
      </c>
      <c r="M3551" t="s">
        <v>97</v>
      </c>
      <c r="N3551" t="s">
        <v>25</v>
      </c>
      <c r="O3551" t="s">
        <v>195</v>
      </c>
      <c r="P3551" s="1" t="s">
        <v>30</v>
      </c>
      <c r="Q3551">
        <v>122.5</v>
      </c>
    </row>
    <row r="3552" spans="11:17" x14ac:dyDescent="0.3">
      <c r="K3552">
        <v>2016</v>
      </c>
      <c r="L3552" t="s">
        <v>36</v>
      </c>
      <c r="M3552" t="s">
        <v>97</v>
      </c>
      <c r="N3552" t="s">
        <v>25</v>
      </c>
      <c r="O3552" t="s">
        <v>195</v>
      </c>
      <c r="P3552" s="1" t="s">
        <v>34</v>
      </c>
      <c r="Q3552">
        <v>120.6</v>
      </c>
    </row>
    <row r="3553" spans="11:17" x14ac:dyDescent="0.3">
      <c r="K3553">
        <v>2016</v>
      </c>
      <c r="L3553" t="s">
        <v>36</v>
      </c>
      <c r="M3553" t="s">
        <v>97</v>
      </c>
      <c r="N3553" t="s">
        <v>25</v>
      </c>
      <c r="O3553" t="s">
        <v>195</v>
      </c>
      <c r="P3553" s="1" t="s">
        <v>33</v>
      </c>
      <c r="Q3553">
        <v>119.1</v>
      </c>
    </row>
    <row r="3554" spans="11:17" x14ac:dyDescent="0.3">
      <c r="K3554">
        <v>2016</v>
      </c>
      <c r="L3554" t="s">
        <v>36</v>
      </c>
      <c r="M3554" t="s">
        <v>97</v>
      </c>
      <c r="N3554" t="s">
        <v>12</v>
      </c>
      <c r="O3554" t="s">
        <v>188</v>
      </c>
      <c r="P3554" s="1" t="s">
        <v>30</v>
      </c>
      <c r="Q3554">
        <v>130.80000000000001</v>
      </c>
    </row>
    <row r="3555" spans="11:17" x14ac:dyDescent="0.3">
      <c r="K3555">
        <v>2016</v>
      </c>
      <c r="L3555" t="s">
        <v>36</v>
      </c>
      <c r="M3555" t="s">
        <v>97</v>
      </c>
      <c r="N3555" t="s">
        <v>12</v>
      </c>
      <c r="O3555" t="s">
        <v>188</v>
      </c>
      <c r="P3555" s="1" t="s">
        <v>34</v>
      </c>
      <c r="Q3555">
        <v>133.9</v>
      </c>
    </row>
    <row r="3556" spans="11:17" x14ac:dyDescent="0.3">
      <c r="K3556">
        <v>2016</v>
      </c>
      <c r="L3556" t="s">
        <v>36</v>
      </c>
      <c r="M3556" t="s">
        <v>97</v>
      </c>
      <c r="N3556" t="s">
        <v>12</v>
      </c>
      <c r="O3556" t="s">
        <v>188</v>
      </c>
      <c r="P3556" s="1" t="s">
        <v>33</v>
      </c>
      <c r="Q3556">
        <v>140.1</v>
      </c>
    </row>
    <row r="3557" spans="11:17" x14ac:dyDescent="0.3">
      <c r="K3557">
        <v>2016</v>
      </c>
      <c r="L3557" t="s">
        <v>36</v>
      </c>
      <c r="M3557" t="s">
        <v>97</v>
      </c>
      <c r="N3557" t="s">
        <v>11</v>
      </c>
      <c r="O3557" t="s">
        <v>188</v>
      </c>
      <c r="P3557" s="1" t="s">
        <v>30</v>
      </c>
      <c r="Q3557">
        <v>100.4</v>
      </c>
    </row>
    <row r="3558" spans="11:17" x14ac:dyDescent="0.3">
      <c r="K3558">
        <v>2016</v>
      </c>
      <c r="L3558" t="s">
        <v>36</v>
      </c>
      <c r="M3558" t="s">
        <v>97</v>
      </c>
      <c r="N3558" t="s">
        <v>11</v>
      </c>
      <c r="O3558" t="s">
        <v>188</v>
      </c>
      <c r="P3558" s="1" t="s">
        <v>34</v>
      </c>
      <c r="Q3558">
        <v>100.9</v>
      </c>
    </row>
    <row r="3559" spans="11:17" x14ac:dyDescent="0.3">
      <c r="K3559">
        <v>2016</v>
      </c>
      <c r="L3559" t="s">
        <v>36</v>
      </c>
      <c r="M3559" t="s">
        <v>97</v>
      </c>
      <c r="N3559" t="s">
        <v>11</v>
      </c>
      <c r="O3559" t="s">
        <v>188</v>
      </c>
      <c r="P3559" s="1" t="s">
        <v>33</v>
      </c>
      <c r="Q3559">
        <v>101.8</v>
      </c>
    </row>
    <row r="3560" spans="11:17" x14ac:dyDescent="0.3">
      <c r="K3560">
        <v>2016</v>
      </c>
      <c r="L3560" t="s">
        <v>36</v>
      </c>
      <c r="M3560" t="s">
        <v>97</v>
      </c>
      <c r="N3560" t="s">
        <v>24</v>
      </c>
      <c r="O3560" t="s">
        <v>191</v>
      </c>
      <c r="P3560" s="1" t="s">
        <v>30</v>
      </c>
      <c r="Q3560">
        <v>113.6</v>
      </c>
    </row>
    <row r="3561" spans="11:17" x14ac:dyDescent="0.3">
      <c r="K3561">
        <v>2016</v>
      </c>
      <c r="L3561" t="s">
        <v>36</v>
      </c>
      <c r="M3561" t="s">
        <v>97</v>
      </c>
      <c r="N3561" t="s">
        <v>24</v>
      </c>
      <c r="O3561" t="s">
        <v>191</v>
      </c>
      <c r="P3561" s="1" t="s">
        <v>34</v>
      </c>
      <c r="Q3561">
        <v>110.9</v>
      </c>
    </row>
    <row r="3562" spans="11:17" x14ac:dyDescent="0.3">
      <c r="K3562">
        <v>2016</v>
      </c>
      <c r="L3562" t="s">
        <v>36</v>
      </c>
      <c r="M3562" t="s">
        <v>97</v>
      </c>
      <c r="N3562" t="s">
        <v>24</v>
      </c>
      <c r="O3562" t="s">
        <v>191</v>
      </c>
      <c r="P3562" s="1" t="s">
        <v>33</v>
      </c>
      <c r="Q3562">
        <v>108.5</v>
      </c>
    </row>
    <row r="3563" spans="11:17" x14ac:dyDescent="0.3">
      <c r="K3563">
        <v>2016</v>
      </c>
      <c r="L3563" t="s">
        <v>36</v>
      </c>
      <c r="M3563" t="s">
        <v>97</v>
      </c>
      <c r="N3563" t="s">
        <v>9</v>
      </c>
      <c r="O3563" t="s">
        <v>188</v>
      </c>
      <c r="P3563" s="1" t="s">
        <v>30</v>
      </c>
      <c r="Q3563">
        <v>130.69999999999999</v>
      </c>
    </row>
    <row r="3564" spans="11:17" x14ac:dyDescent="0.3">
      <c r="K3564">
        <v>2016</v>
      </c>
      <c r="L3564" t="s">
        <v>36</v>
      </c>
      <c r="M3564" t="s">
        <v>97</v>
      </c>
      <c r="N3564" t="s">
        <v>9</v>
      </c>
      <c r="O3564" t="s">
        <v>188</v>
      </c>
      <c r="P3564" s="1" t="s">
        <v>34</v>
      </c>
      <c r="Q3564">
        <v>129.80000000000001</v>
      </c>
    </row>
    <row r="3565" spans="11:17" x14ac:dyDescent="0.3">
      <c r="K3565">
        <v>2016</v>
      </c>
      <c r="L3565" t="s">
        <v>36</v>
      </c>
      <c r="M3565" t="s">
        <v>97</v>
      </c>
      <c r="N3565" t="s">
        <v>9</v>
      </c>
      <c r="O3565" t="s">
        <v>188</v>
      </c>
      <c r="P3565" s="1" t="s">
        <v>33</v>
      </c>
      <c r="Q3565">
        <v>128.1</v>
      </c>
    </row>
    <row r="3566" spans="11:17" x14ac:dyDescent="0.3">
      <c r="K3566">
        <v>2016</v>
      </c>
      <c r="L3566" t="s">
        <v>38</v>
      </c>
      <c r="M3566" t="s">
        <v>98</v>
      </c>
      <c r="N3566" t="s">
        <v>3</v>
      </c>
      <c r="O3566" t="s">
        <v>188</v>
      </c>
      <c r="P3566" s="1" t="s">
        <v>30</v>
      </c>
      <c r="Q3566">
        <v>127.6</v>
      </c>
    </row>
    <row r="3567" spans="11:17" x14ac:dyDescent="0.3">
      <c r="K3567">
        <v>2016</v>
      </c>
      <c r="L3567" t="s">
        <v>38</v>
      </c>
      <c r="M3567" t="s">
        <v>98</v>
      </c>
      <c r="N3567" t="s">
        <v>3</v>
      </c>
      <c r="O3567" t="s">
        <v>188</v>
      </c>
      <c r="P3567" s="1" t="s">
        <v>34</v>
      </c>
      <c r="Q3567">
        <v>126.8</v>
      </c>
    </row>
    <row r="3568" spans="11:17" x14ac:dyDescent="0.3">
      <c r="K3568">
        <v>2016</v>
      </c>
      <c r="L3568" t="s">
        <v>38</v>
      </c>
      <c r="M3568" t="s">
        <v>98</v>
      </c>
      <c r="N3568" t="s">
        <v>3</v>
      </c>
      <c r="O3568" t="s">
        <v>188</v>
      </c>
      <c r="P3568" s="1" t="s">
        <v>33</v>
      </c>
      <c r="Q3568">
        <v>125</v>
      </c>
    </row>
    <row r="3569" spans="11:17" x14ac:dyDescent="0.3">
      <c r="K3569">
        <v>2016</v>
      </c>
      <c r="L3569" t="s">
        <v>38</v>
      </c>
      <c r="M3569" t="s">
        <v>98</v>
      </c>
      <c r="N3569" t="s">
        <v>17</v>
      </c>
      <c r="O3569" t="s">
        <v>189</v>
      </c>
      <c r="P3569" s="1" t="s">
        <v>30</v>
      </c>
      <c r="Q3569">
        <v>135.4</v>
      </c>
    </row>
    <row r="3570" spans="11:17" x14ac:dyDescent="0.3">
      <c r="K3570">
        <v>2016</v>
      </c>
      <c r="L3570" t="s">
        <v>38</v>
      </c>
      <c r="M3570" t="s">
        <v>98</v>
      </c>
      <c r="N3570" t="s">
        <v>17</v>
      </c>
      <c r="O3570" t="s">
        <v>189</v>
      </c>
      <c r="P3570" s="1" t="s">
        <v>34</v>
      </c>
      <c r="Q3570">
        <v>132.19999999999999</v>
      </c>
    </row>
    <row r="3571" spans="11:17" x14ac:dyDescent="0.3">
      <c r="K3571">
        <v>2016</v>
      </c>
      <c r="L3571" t="s">
        <v>38</v>
      </c>
      <c r="M3571" t="s">
        <v>98</v>
      </c>
      <c r="N3571" t="s">
        <v>17</v>
      </c>
      <c r="O3571" t="s">
        <v>189</v>
      </c>
      <c r="P3571" s="1" t="s">
        <v>33</v>
      </c>
      <c r="Q3571">
        <v>127.2</v>
      </c>
    </row>
    <row r="3572" spans="11:17" x14ac:dyDescent="0.3">
      <c r="K3572">
        <v>2016</v>
      </c>
      <c r="L3572" t="s">
        <v>38</v>
      </c>
      <c r="M3572" t="s">
        <v>98</v>
      </c>
      <c r="N3572" t="s">
        <v>19</v>
      </c>
      <c r="O3572" t="s">
        <v>189</v>
      </c>
      <c r="P3572" s="1" t="s">
        <v>30</v>
      </c>
      <c r="Q3572">
        <v>134.80000000000001</v>
      </c>
    </row>
    <row r="3573" spans="11:17" x14ac:dyDescent="0.3">
      <c r="K3573">
        <v>2016</v>
      </c>
      <c r="L3573" t="s">
        <v>38</v>
      </c>
      <c r="M3573" t="s">
        <v>98</v>
      </c>
      <c r="N3573" t="s">
        <v>19</v>
      </c>
      <c r="O3573" t="s">
        <v>189</v>
      </c>
      <c r="P3573" s="1" t="s">
        <v>34</v>
      </c>
      <c r="Q3573">
        <v>131.4</v>
      </c>
    </row>
    <row r="3574" spans="11:17" x14ac:dyDescent="0.3">
      <c r="K3574">
        <v>2016</v>
      </c>
      <c r="L3574" t="s">
        <v>38</v>
      </c>
      <c r="M3574" t="s">
        <v>98</v>
      </c>
      <c r="N3574" t="s">
        <v>19</v>
      </c>
      <c r="O3574" t="s">
        <v>189</v>
      </c>
      <c r="P3574" s="1" t="s">
        <v>33</v>
      </c>
      <c r="Q3574">
        <v>126.2</v>
      </c>
    </row>
    <row r="3575" spans="11:17" x14ac:dyDescent="0.3">
      <c r="K3575">
        <v>2016</v>
      </c>
      <c r="L3575" t="s">
        <v>38</v>
      </c>
      <c r="M3575" t="s">
        <v>98</v>
      </c>
      <c r="N3575" t="s">
        <v>26</v>
      </c>
      <c r="O3575" t="s">
        <v>26</v>
      </c>
      <c r="P3575" s="1" t="s">
        <v>30</v>
      </c>
      <c r="Q3575">
        <v>129.1</v>
      </c>
    </row>
    <row r="3576" spans="11:17" x14ac:dyDescent="0.3">
      <c r="K3576">
        <v>2016</v>
      </c>
      <c r="L3576" t="s">
        <v>38</v>
      </c>
      <c r="M3576" t="s">
        <v>98</v>
      </c>
      <c r="N3576" t="s">
        <v>26</v>
      </c>
      <c r="O3576" t="s">
        <v>26</v>
      </c>
      <c r="P3576" s="1" t="s">
        <v>34</v>
      </c>
      <c r="Q3576">
        <v>128.5</v>
      </c>
    </row>
    <row r="3577" spans="11:17" x14ac:dyDescent="0.3">
      <c r="K3577">
        <v>2016</v>
      </c>
      <c r="L3577" t="s">
        <v>38</v>
      </c>
      <c r="M3577" t="s">
        <v>98</v>
      </c>
      <c r="N3577" t="s">
        <v>26</v>
      </c>
      <c r="O3577" t="s">
        <v>26</v>
      </c>
      <c r="P3577" s="1" t="s">
        <v>33</v>
      </c>
      <c r="Q3577">
        <v>128</v>
      </c>
    </row>
    <row r="3578" spans="11:17" x14ac:dyDescent="0.3">
      <c r="K3578">
        <v>2016</v>
      </c>
      <c r="L3578" t="s">
        <v>38</v>
      </c>
      <c r="M3578" t="s">
        <v>98</v>
      </c>
      <c r="N3578" t="s">
        <v>5</v>
      </c>
      <c r="O3578" t="s">
        <v>188</v>
      </c>
      <c r="P3578" s="1" t="s">
        <v>30</v>
      </c>
      <c r="Q3578">
        <v>124.4</v>
      </c>
    </row>
    <row r="3579" spans="11:17" x14ac:dyDescent="0.3">
      <c r="K3579">
        <v>2016</v>
      </c>
      <c r="L3579" t="s">
        <v>38</v>
      </c>
      <c r="M3579" t="s">
        <v>98</v>
      </c>
      <c r="N3579" t="s">
        <v>5</v>
      </c>
      <c r="O3579" t="s">
        <v>188</v>
      </c>
      <c r="P3579" s="1" t="s">
        <v>34</v>
      </c>
      <c r="Q3579">
        <v>125.4</v>
      </c>
    </row>
    <row r="3580" spans="11:17" x14ac:dyDescent="0.3">
      <c r="K3580">
        <v>2016</v>
      </c>
      <c r="L3580" t="s">
        <v>38</v>
      </c>
      <c r="M3580" t="s">
        <v>98</v>
      </c>
      <c r="N3580" t="s">
        <v>5</v>
      </c>
      <c r="O3580" t="s">
        <v>188</v>
      </c>
      <c r="P3580" s="1" t="s">
        <v>33</v>
      </c>
      <c r="Q3580">
        <v>127</v>
      </c>
    </row>
    <row r="3581" spans="11:17" x14ac:dyDescent="0.3">
      <c r="K3581">
        <v>2016</v>
      </c>
      <c r="L3581" t="s">
        <v>38</v>
      </c>
      <c r="M3581" t="s">
        <v>98</v>
      </c>
      <c r="N3581" t="s">
        <v>15</v>
      </c>
      <c r="O3581" t="s">
        <v>188</v>
      </c>
      <c r="P3581" s="1" t="s">
        <v>30</v>
      </c>
      <c r="Q3581">
        <v>133.6</v>
      </c>
    </row>
    <row r="3582" spans="11:17" x14ac:dyDescent="0.3">
      <c r="K3582">
        <v>2016</v>
      </c>
      <c r="L3582" t="s">
        <v>38</v>
      </c>
      <c r="M3582" t="s">
        <v>98</v>
      </c>
      <c r="N3582" t="s">
        <v>15</v>
      </c>
      <c r="O3582" t="s">
        <v>188</v>
      </c>
      <c r="P3582" s="1" t="s">
        <v>34</v>
      </c>
      <c r="Q3582">
        <v>134</v>
      </c>
    </row>
    <row r="3583" spans="11:17" x14ac:dyDescent="0.3">
      <c r="K3583">
        <v>2016</v>
      </c>
      <c r="L3583" t="s">
        <v>38</v>
      </c>
      <c r="M3583" t="s">
        <v>98</v>
      </c>
      <c r="N3583" t="s">
        <v>15</v>
      </c>
      <c r="O3583" t="s">
        <v>188</v>
      </c>
      <c r="P3583" s="1" t="s">
        <v>33</v>
      </c>
      <c r="Q3583">
        <v>134.6</v>
      </c>
    </row>
    <row r="3584" spans="11:17" x14ac:dyDescent="0.3">
      <c r="K3584">
        <v>2016</v>
      </c>
      <c r="L3584" t="s">
        <v>38</v>
      </c>
      <c r="M3584" t="s">
        <v>98</v>
      </c>
      <c r="N3584" t="s">
        <v>18</v>
      </c>
      <c r="O3584" t="s">
        <v>189</v>
      </c>
      <c r="P3584" s="1" t="s">
        <v>30</v>
      </c>
      <c r="Q3584">
        <v>131.1</v>
      </c>
    </row>
    <row r="3585" spans="11:17" x14ac:dyDescent="0.3">
      <c r="K3585">
        <v>2016</v>
      </c>
      <c r="L3585" t="s">
        <v>38</v>
      </c>
      <c r="M3585" t="s">
        <v>98</v>
      </c>
      <c r="N3585" t="s">
        <v>18</v>
      </c>
      <c r="O3585" t="s">
        <v>189</v>
      </c>
      <c r="P3585" s="1" t="s">
        <v>34</v>
      </c>
      <c r="Q3585">
        <v>126.8</v>
      </c>
    </row>
    <row r="3586" spans="11:17" x14ac:dyDescent="0.3">
      <c r="K3586">
        <v>2016</v>
      </c>
      <c r="L3586" t="s">
        <v>38</v>
      </c>
      <c r="M3586" t="s">
        <v>98</v>
      </c>
      <c r="N3586" t="s">
        <v>18</v>
      </c>
      <c r="O3586" t="s">
        <v>189</v>
      </c>
      <c r="P3586" s="1" t="s">
        <v>33</v>
      </c>
      <c r="Q3586">
        <v>120.7</v>
      </c>
    </row>
    <row r="3587" spans="11:17" x14ac:dyDescent="0.3">
      <c r="K3587">
        <v>2016</v>
      </c>
      <c r="L3587" t="s">
        <v>38</v>
      </c>
      <c r="M3587" t="s">
        <v>98</v>
      </c>
      <c r="N3587" t="s">
        <v>8</v>
      </c>
      <c r="O3587" t="s">
        <v>188</v>
      </c>
      <c r="P3587" s="1" t="s">
        <v>30</v>
      </c>
      <c r="Q3587">
        <v>138.1</v>
      </c>
    </row>
    <row r="3588" spans="11:17" x14ac:dyDescent="0.3">
      <c r="K3588">
        <v>2016</v>
      </c>
      <c r="L3588" t="s">
        <v>38</v>
      </c>
      <c r="M3588" t="s">
        <v>98</v>
      </c>
      <c r="N3588" t="s">
        <v>8</v>
      </c>
      <c r="O3588" t="s">
        <v>188</v>
      </c>
      <c r="P3588" s="1" t="s">
        <v>34</v>
      </c>
      <c r="Q3588">
        <v>136</v>
      </c>
    </row>
    <row r="3589" spans="11:17" x14ac:dyDescent="0.3">
      <c r="K3589">
        <v>2016</v>
      </c>
      <c r="L3589" t="s">
        <v>38</v>
      </c>
      <c r="M3589" t="s">
        <v>98</v>
      </c>
      <c r="N3589" t="s">
        <v>8</v>
      </c>
      <c r="O3589" t="s">
        <v>188</v>
      </c>
      <c r="P3589" s="1" t="s">
        <v>33</v>
      </c>
      <c r="Q3589">
        <v>133.5</v>
      </c>
    </row>
    <row r="3590" spans="11:17" x14ac:dyDescent="0.3">
      <c r="K3590">
        <v>2016</v>
      </c>
      <c r="L3590" t="s">
        <v>38</v>
      </c>
      <c r="M3590" t="s">
        <v>98</v>
      </c>
      <c r="N3590" t="s">
        <v>21</v>
      </c>
      <c r="O3590" t="s">
        <v>190</v>
      </c>
      <c r="P3590" s="1" t="s">
        <v>30</v>
      </c>
      <c r="Q3590">
        <v>127.4</v>
      </c>
    </row>
    <row r="3591" spans="11:17" x14ac:dyDescent="0.3">
      <c r="K3591">
        <v>2016</v>
      </c>
      <c r="L3591" t="s">
        <v>38</v>
      </c>
      <c r="M3591" t="s">
        <v>98</v>
      </c>
      <c r="N3591" t="s">
        <v>21</v>
      </c>
      <c r="O3591" t="s">
        <v>190</v>
      </c>
      <c r="P3591" s="1" t="s">
        <v>34</v>
      </c>
      <c r="Q3591">
        <v>122.7</v>
      </c>
    </row>
    <row r="3592" spans="11:17" x14ac:dyDescent="0.3">
      <c r="K3592">
        <v>2016</v>
      </c>
      <c r="L3592" t="s">
        <v>38</v>
      </c>
      <c r="M3592" t="s">
        <v>98</v>
      </c>
      <c r="N3592" t="s">
        <v>21</v>
      </c>
      <c r="O3592" t="s">
        <v>190</v>
      </c>
      <c r="P3592" s="1" t="s">
        <v>33</v>
      </c>
      <c r="Q3592">
        <v>115</v>
      </c>
    </row>
    <row r="3593" spans="11:17" x14ac:dyDescent="0.3">
      <c r="K3593">
        <v>2016</v>
      </c>
      <c r="L3593" t="s">
        <v>38</v>
      </c>
      <c r="M3593" t="s">
        <v>98</v>
      </c>
      <c r="N3593" t="s">
        <v>29</v>
      </c>
      <c r="O3593" t="s">
        <v>206</v>
      </c>
      <c r="P3593" s="1" t="s">
        <v>30</v>
      </c>
      <c r="Q3593">
        <v>130.30000000000001</v>
      </c>
    </row>
    <row r="3594" spans="11:17" x14ac:dyDescent="0.3">
      <c r="K3594">
        <v>2016</v>
      </c>
      <c r="L3594" t="s">
        <v>38</v>
      </c>
      <c r="M3594" t="s">
        <v>98</v>
      </c>
      <c r="N3594" t="s">
        <v>29</v>
      </c>
      <c r="O3594" t="s">
        <v>206</v>
      </c>
      <c r="P3594" s="1" t="s">
        <v>34</v>
      </c>
      <c r="Q3594">
        <v>128.6</v>
      </c>
    </row>
    <row r="3595" spans="11:17" x14ac:dyDescent="0.3">
      <c r="K3595">
        <v>2016</v>
      </c>
      <c r="L3595" t="s">
        <v>38</v>
      </c>
      <c r="M3595" t="s">
        <v>98</v>
      </c>
      <c r="N3595" t="s">
        <v>29</v>
      </c>
      <c r="O3595" t="s">
        <v>206</v>
      </c>
      <c r="P3595" s="1" t="s">
        <v>33</v>
      </c>
      <c r="Q3595">
        <v>126.6</v>
      </c>
    </row>
    <row r="3596" spans="11:17" x14ac:dyDescent="0.3">
      <c r="K3596">
        <v>2016</v>
      </c>
      <c r="L3596" t="s">
        <v>38</v>
      </c>
      <c r="M3596" t="s">
        <v>98</v>
      </c>
      <c r="N3596" t="s">
        <v>23</v>
      </c>
      <c r="O3596" t="s">
        <v>23</v>
      </c>
      <c r="P3596" s="1" t="s">
        <v>30</v>
      </c>
      <c r="Q3596">
        <v>125.8</v>
      </c>
    </row>
    <row r="3597" spans="11:17" x14ac:dyDescent="0.3">
      <c r="K3597">
        <v>2016</v>
      </c>
      <c r="L3597" t="s">
        <v>38</v>
      </c>
      <c r="M3597" t="s">
        <v>98</v>
      </c>
      <c r="N3597" t="s">
        <v>23</v>
      </c>
      <c r="O3597" t="s">
        <v>23</v>
      </c>
      <c r="P3597" s="1" t="s">
        <v>34</v>
      </c>
      <c r="Q3597">
        <v>123.7</v>
      </c>
    </row>
    <row r="3598" spans="11:17" x14ac:dyDescent="0.3">
      <c r="K3598">
        <v>2016</v>
      </c>
      <c r="L3598" t="s">
        <v>38</v>
      </c>
      <c r="M3598" t="s">
        <v>98</v>
      </c>
      <c r="N3598" t="s">
        <v>23</v>
      </c>
      <c r="O3598" t="s">
        <v>23</v>
      </c>
      <c r="P3598" s="1" t="s">
        <v>33</v>
      </c>
      <c r="Q3598">
        <v>120.3</v>
      </c>
    </row>
    <row r="3599" spans="11:17" x14ac:dyDescent="0.3">
      <c r="K3599">
        <v>2016</v>
      </c>
      <c r="L3599" t="s">
        <v>38</v>
      </c>
      <c r="M3599" t="s">
        <v>98</v>
      </c>
      <c r="N3599" t="s">
        <v>22</v>
      </c>
      <c r="O3599" t="s">
        <v>20</v>
      </c>
      <c r="P3599" s="1" t="s">
        <v>30</v>
      </c>
      <c r="Q3599">
        <v>128.5</v>
      </c>
    </row>
    <row r="3600" spans="11:17" x14ac:dyDescent="0.3">
      <c r="K3600">
        <v>2016</v>
      </c>
      <c r="L3600" t="s">
        <v>38</v>
      </c>
      <c r="M3600" t="s">
        <v>98</v>
      </c>
      <c r="N3600" t="s">
        <v>22</v>
      </c>
      <c r="O3600" t="s">
        <v>20</v>
      </c>
      <c r="P3600" s="1" t="s">
        <v>34</v>
      </c>
      <c r="Q3600">
        <v>126</v>
      </c>
    </row>
    <row r="3601" spans="11:17" x14ac:dyDescent="0.3">
      <c r="K3601">
        <v>2016</v>
      </c>
      <c r="L3601" t="s">
        <v>38</v>
      </c>
      <c r="M3601" t="s">
        <v>98</v>
      </c>
      <c r="N3601" t="s">
        <v>22</v>
      </c>
      <c r="O3601" t="s">
        <v>20</v>
      </c>
      <c r="P3601" s="1" t="s">
        <v>33</v>
      </c>
      <c r="Q3601">
        <v>123.2</v>
      </c>
    </row>
    <row r="3602" spans="11:17" x14ac:dyDescent="0.3">
      <c r="K3602">
        <v>2016</v>
      </c>
      <c r="L3602" t="s">
        <v>38</v>
      </c>
      <c r="M3602" t="s">
        <v>98</v>
      </c>
      <c r="N3602" t="s">
        <v>20</v>
      </c>
      <c r="O3602" t="s">
        <v>20</v>
      </c>
      <c r="P3602" s="1" t="s">
        <v>30</v>
      </c>
      <c r="Q3602">
        <v>0</v>
      </c>
    </row>
    <row r="3603" spans="11:17" x14ac:dyDescent="0.3">
      <c r="K3603">
        <v>2016</v>
      </c>
      <c r="L3603" t="s">
        <v>38</v>
      </c>
      <c r="M3603" t="s">
        <v>98</v>
      </c>
      <c r="N3603" t="s">
        <v>20</v>
      </c>
      <c r="O3603" t="s">
        <v>20</v>
      </c>
      <c r="P3603" s="1" t="s">
        <v>34</v>
      </c>
      <c r="Q3603">
        <v>126</v>
      </c>
    </row>
    <row r="3604" spans="11:17" x14ac:dyDescent="0.3">
      <c r="K3604">
        <v>2016</v>
      </c>
      <c r="L3604" t="s">
        <v>38</v>
      </c>
      <c r="M3604" t="s">
        <v>98</v>
      </c>
      <c r="N3604" t="s">
        <v>20</v>
      </c>
      <c r="O3604" t="s">
        <v>20</v>
      </c>
      <c r="P3604" s="1" t="s">
        <v>33</v>
      </c>
      <c r="Q3604">
        <v>126</v>
      </c>
    </row>
    <row r="3605" spans="11:17" x14ac:dyDescent="0.3">
      <c r="K3605">
        <v>2016</v>
      </c>
      <c r="L3605" t="s">
        <v>38</v>
      </c>
      <c r="M3605" t="s">
        <v>98</v>
      </c>
      <c r="N3605" t="s">
        <v>4</v>
      </c>
      <c r="O3605" t="s">
        <v>188</v>
      </c>
      <c r="P3605" s="1" t="s">
        <v>30</v>
      </c>
      <c r="Q3605">
        <v>137.5</v>
      </c>
    </row>
    <row r="3606" spans="11:17" x14ac:dyDescent="0.3">
      <c r="K3606">
        <v>2016</v>
      </c>
      <c r="L3606" t="s">
        <v>38</v>
      </c>
      <c r="M3606" t="s">
        <v>98</v>
      </c>
      <c r="N3606" t="s">
        <v>4</v>
      </c>
      <c r="O3606" t="s">
        <v>188</v>
      </c>
      <c r="P3606" s="1" t="s">
        <v>34</v>
      </c>
      <c r="Q3606">
        <v>139.1</v>
      </c>
    </row>
    <row r="3607" spans="11:17" x14ac:dyDescent="0.3">
      <c r="K3607">
        <v>2016</v>
      </c>
      <c r="L3607" t="s">
        <v>38</v>
      </c>
      <c r="M3607" t="s">
        <v>98</v>
      </c>
      <c r="N3607" t="s">
        <v>4</v>
      </c>
      <c r="O3607" t="s">
        <v>188</v>
      </c>
      <c r="P3607" s="1" t="s">
        <v>33</v>
      </c>
      <c r="Q3607">
        <v>142.1</v>
      </c>
    </row>
    <row r="3608" spans="11:17" x14ac:dyDescent="0.3">
      <c r="K3608">
        <v>2016</v>
      </c>
      <c r="L3608" t="s">
        <v>38</v>
      </c>
      <c r="M3608" t="s">
        <v>98</v>
      </c>
      <c r="N3608" t="s">
        <v>6</v>
      </c>
      <c r="O3608" t="s">
        <v>188</v>
      </c>
      <c r="P3608" s="1" t="s">
        <v>30</v>
      </c>
      <c r="Q3608">
        <v>132.4</v>
      </c>
    </row>
    <row r="3609" spans="11:17" x14ac:dyDescent="0.3">
      <c r="K3609">
        <v>2016</v>
      </c>
      <c r="L3609" t="s">
        <v>38</v>
      </c>
      <c r="M3609" t="s">
        <v>98</v>
      </c>
      <c r="N3609" t="s">
        <v>6</v>
      </c>
      <c r="O3609" t="s">
        <v>188</v>
      </c>
      <c r="P3609" s="1" t="s">
        <v>34</v>
      </c>
      <c r="Q3609">
        <v>131.69999999999999</v>
      </c>
    </row>
    <row r="3610" spans="11:17" x14ac:dyDescent="0.3">
      <c r="K3610">
        <v>2016</v>
      </c>
      <c r="L3610" t="s">
        <v>38</v>
      </c>
      <c r="M3610" t="s">
        <v>98</v>
      </c>
      <c r="N3610" t="s">
        <v>6</v>
      </c>
      <c r="O3610" t="s">
        <v>188</v>
      </c>
      <c r="P3610" s="1" t="s">
        <v>33</v>
      </c>
      <c r="Q3610">
        <v>130.4</v>
      </c>
    </row>
    <row r="3611" spans="11:17" x14ac:dyDescent="0.3">
      <c r="K3611">
        <v>2016</v>
      </c>
      <c r="L3611" t="s">
        <v>38</v>
      </c>
      <c r="M3611" t="s">
        <v>98</v>
      </c>
      <c r="N3611" t="s">
        <v>28</v>
      </c>
      <c r="O3611" t="s">
        <v>192</v>
      </c>
      <c r="P3611" s="1" t="s">
        <v>30</v>
      </c>
      <c r="Q3611">
        <v>122.5</v>
      </c>
    </row>
    <row r="3612" spans="11:17" x14ac:dyDescent="0.3">
      <c r="K3612">
        <v>2016</v>
      </c>
      <c r="L3612" t="s">
        <v>38</v>
      </c>
      <c r="M3612" t="s">
        <v>98</v>
      </c>
      <c r="N3612" t="s">
        <v>28</v>
      </c>
      <c r="O3612" t="s">
        <v>192</v>
      </c>
      <c r="P3612" s="1" t="s">
        <v>34</v>
      </c>
      <c r="Q3612">
        <v>120.7</v>
      </c>
    </row>
    <row r="3613" spans="11:17" x14ac:dyDescent="0.3">
      <c r="K3613">
        <v>2016</v>
      </c>
      <c r="L3613" t="s">
        <v>38</v>
      </c>
      <c r="M3613" t="s">
        <v>98</v>
      </c>
      <c r="N3613" t="s">
        <v>28</v>
      </c>
      <c r="O3613" t="s">
        <v>192</v>
      </c>
      <c r="P3613" s="1" t="s">
        <v>33</v>
      </c>
      <c r="Q3613">
        <v>118.7</v>
      </c>
    </row>
    <row r="3614" spans="11:17" x14ac:dyDescent="0.3">
      <c r="K3614">
        <v>2016</v>
      </c>
      <c r="L3614" t="s">
        <v>38</v>
      </c>
      <c r="M3614" t="s">
        <v>98</v>
      </c>
      <c r="N3614" t="s">
        <v>13</v>
      </c>
      <c r="O3614" t="s">
        <v>188</v>
      </c>
      <c r="P3614" s="1" t="s">
        <v>30</v>
      </c>
      <c r="Q3614">
        <v>126.1</v>
      </c>
    </row>
    <row r="3615" spans="11:17" x14ac:dyDescent="0.3">
      <c r="K3615">
        <v>2016</v>
      </c>
      <c r="L3615" t="s">
        <v>38</v>
      </c>
      <c r="M3615" t="s">
        <v>98</v>
      </c>
      <c r="N3615" t="s">
        <v>13</v>
      </c>
      <c r="O3615" t="s">
        <v>188</v>
      </c>
      <c r="P3615" s="1" t="s">
        <v>34</v>
      </c>
      <c r="Q3615">
        <v>124.2</v>
      </c>
    </row>
    <row r="3616" spans="11:17" x14ac:dyDescent="0.3">
      <c r="K3616">
        <v>2016</v>
      </c>
      <c r="L3616" t="s">
        <v>38</v>
      </c>
      <c r="M3616" t="s">
        <v>98</v>
      </c>
      <c r="N3616" t="s">
        <v>13</v>
      </c>
      <c r="O3616" t="s">
        <v>188</v>
      </c>
      <c r="P3616" s="1" t="s">
        <v>33</v>
      </c>
      <c r="Q3616">
        <v>121.5</v>
      </c>
    </row>
    <row r="3617" spans="11:17" x14ac:dyDescent="0.3">
      <c r="K3617">
        <v>2016</v>
      </c>
      <c r="L3617" t="s">
        <v>38</v>
      </c>
      <c r="M3617" t="s">
        <v>98</v>
      </c>
      <c r="N3617" t="s">
        <v>7</v>
      </c>
      <c r="O3617" t="s">
        <v>188</v>
      </c>
      <c r="P3617" s="1" t="s">
        <v>30</v>
      </c>
      <c r="Q3617">
        <v>118.2</v>
      </c>
    </row>
    <row r="3618" spans="11:17" x14ac:dyDescent="0.3">
      <c r="K3618">
        <v>2016</v>
      </c>
      <c r="L3618" t="s">
        <v>38</v>
      </c>
      <c r="M3618" t="s">
        <v>98</v>
      </c>
      <c r="N3618" t="s">
        <v>7</v>
      </c>
      <c r="O3618" t="s">
        <v>188</v>
      </c>
      <c r="P3618" s="1" t="s">
        <v>34</v>
      </c>
      <c r="Q3618">
        <v>115</v>
      </c>
    </row>
    <row r="3619" spans="11:17" x14ac:dyDescent="0.3">
      <c r="K3619">
        <v>2016</v>
      </c>
      <c r="L3619" t="s">
        <v>38</v>
      </c>
      <c r="M3619" t="s">
        <v>98</v>
      </c>
      <c r="N3619" t="s">
        <v>7</v>
      </c>
      <c r="O3619" t="s">
        <v>188</v>
      </c>
      <c r="P3619" s="1" t="s">
        <v>33</v>
      </c>
      <c r="Q3619">
        <v>109.6</v>
      </c>
    </row>
    <row r="3620" spans="11:17" x14ac:dyDescent="0.3">
      <c r="K3620">
        <v>2016</v>
      </c>
      <c r="L3620" t="s">
        <v>38</v>
      </c>
      <c r="M3620" t="s">
        <v>98</v>
      </c>
      <c r="N3620" t="s">
        <v>16</v>
      </c>
      <c r="O3620" t="s">
        <v>192</v>
      </c>
      <c r="P3620" s="1" t="s">
        <v>30</v>
      </c>
      <c r="Q3620">
        <v>136</v>
      </c>
    </row>
    <row r="3621" spans="11:17" x14ac:dyDescent="0.3">
      <c r="K3621">
        <v>2016</v>
      </c>
      <c r="L3621" t="s">
        <v>38</v>
      </c>
      <c r="M3621" t="s">
        <v>98</v>
      </c>
      <c r="N3621" t="s">
        <v>16</v>
      </c>
      <c r="O3621" t="s">
        <v>192</v>
      </c>
      <c r="P3621" s="1" t="s">
        <v>34</v>
      </c>
      <c r="Q3621">
        <v>137.69999999999999</v>
      </c>
    </row>
    <row r="3622" spans="11:17" x14ac:dyDescent="0.3">
      <c r="K3622">
        <v>2016</v>
      </c>
      <c r="L3622" t="s">
        <v>38</v>
      </c>
      <c r="M3622" t="s">
        <v>98</v>
      </c>
      <c r="N3622" t="s">
        <v>16</v>
      </c>
      <c r="O3622" t="s">
        <v>192</v>
      </c>
      <c r="P3622" s="1" t="s">
        <v>33</v>
      </c>
      <c r="Q3622">
        <v>142.19999999999999</v>
      </c>
    </row>
    <row r="3623" spans="11:17" x14ac:dyDescent="0.3">
      <c r="K3623">
        <v>2016</v>
      </c>
      <c r="L3623" t="s">
        <v>38</v>
      </c>
      <c r="M3623" t="s">
        <v>98</v>
      </c>
      <c r="N3623" t="s">
        <v>27</v>
      </c>
      <c r="O3623" t="s">
        <v>192</v>
      </c>
      <c r="P3623" s="1" t="s">
        <v>30</v>
      </c>
      <c r="Q3623">
        <v>119.7</v>
      </c>
    </row>
    <row r="3624" spans="11:17" x14ac:dyDescent="0.3">
      <c r="K3624">
        <v>2016</v>
      </c>
      <c r="L3624" t="s">
        <v>38</v>
      </c>
      <c r="M3624" t="s">
        <v>98</v>
      </c>
      <c r="N3624" t="s">
        <v>27</v>
      </c>
      <c r="O3624" t="s">
        <v>192</v>
      </c>
      <c r="P3624" s="1" t="s">
        <v>34</v>
      </c>
      <c r="Q3624">
        <v>119.2</v>
      </c>
    </row>
    <row r="3625" spans="11:17" x14ac:dyDescent="0.3">
      <c r="K3625">
        <v>2016</v>
      </c>
      <c r="L3625" t="s">
        <v>38</v>
      </c>
      <c r="M3625" t="s">
        <v>98</v>
      </c>
      <c r="N3625" t="s">
        <v>27</v>
      </c>
      <c r="O3625" t="s">
        <v>192</v>
      </c>
      <c r="P3625" s="1" t="s">
        <v>33</v>
      </c>
      <c r="Q3625">
        <v>118.5</v>
      </c>
    </row>
    <row r="3626" spans="11:17" x14ac:dyDescent="0.3">
      <c r="K3626">
        <v>2016</v>
      </c>
      <c r="L3626" t="s">
        <v>38</v>
      </c>
      <c r="M3626" t="s">
        <v>98</v>
      </c>
      <c r="N3626" t="s">
        <v>14</v>
      </c>
      <c r="O3626" t="s">
        <v>188</v>
      </c>
      <c r="P3626" s="1" t="s">
        <v>30</v>
      </c>
      <c r="Q3626">
        <v>138.30000000000001</v>
      </c>
    </row>
    <row r="3627" spans="11:17" x14ac:dyDescent="0.3">
      <c r="K3627">
        <v>2016</v>
      </c>
      <c r="L3627" t="s">
        <v>38</v>
      </c>
      <c r="M3627" t="s">
        <v>98</v>
      </c>
      <c r="N3627" t="s">
        <v>14</v>
      </c>
      <c r="O3627" t="s">
        <v>188</v>
      </c>
      <c r="P3627" s="1" t="s">
        <v>34</v>
      </c>
      <c r="Q3627">
        <v>137.4</v>
      </c>
    </row>
    <row r="3628" spans="11:17" x14ac:dyDescent="0.3">
      <c r="K3628">
        <v>2016</v>
      </c>
      <c r="L3628" t="s">
        <v>38</v>
      </c>
      <c r="M3628" t="s">
        <v>98</v>
      </c>
      <c r="N3628" t="s">
        <v>14</v>
      </c>
      <c r="O3628" t="s">
        <v>188</v>
      </c>
      <c r="P3628" s="1" t="s">
        <v>33</v>
      </c>
      <c r="Q3628">
        <v>136.30000000000001</v>
      </c>
    </row>
    <row r="3629" spans="11:17" x14ac:dyDescent="0.3">
      <c r="K3629">
        <v>2016</v>
      </c>
      <c r="L3629" t="s">
        <v>38</v>
      </c>
      <c r="M3629" t="s">
        <v>98</v>
      </c>
      <c r="N3629" t="s">
        <v>10</v>
      </c>
      <c r="O3629" t="s">
        <v>188</v>
      </c>
      <c r="P3629" s="1" t="s">
        <v>30</v>
      </c>
      <c r="Q3629">
        <v>166</v>
      </c>
    </row>
    <row r="3630" spans="11:17" x14ac:dyDescent="0.3">
      <c r="K3630">
        <v>2016</v>
      </c>
      <c r="L3630" t="s">
        <v>38</v>
      </c>
      <c r="M3630" t="s">
        <v>98</v>
      </c>
      <c r="N3630" t="s">
        <v>10</v>
      </c>
      <c r="O3630" t="s">
        <v>188</v>
      </c>
      <c r="P3630" s="1" t="s">
        <v>34</v>
      </c>
      <c r="Q3630">
        <v>171.7</v>
      </c>
    </row>
    <row r="3631" spans="11:17" x14ac:dyDescent="0.3">
      <c r="K3631">
        <v>2016</v>
      </c>
      <c r="L3631" t="s">
        <v>38</v>
      </c>
      <c r="M3631" t="s">
        <v>98</v>
      </c>
      <c r="N3631" t="s">
        <v>10</v>
      </c>
      <c r="O3631" t="s">
        <v>188</v>
      </c>
      <c r="P3631" s="1" t="s">
        <v>33</v>
      </c>
      <c r="Q3631">
        <v>182.8</v>
      </c>
    </row>
    <row r="3632" spans="11:17" x14ac:dyDescent="0.3">
      <c r="K3632">
        <v>2016</v>
      </c>
      <c r="L3632" t="s">
        <v>38</v>
      </c>
      <c r="M3632" t="s">
        <v>98</v>
      </c>
      <c r="N3632" t="s">
        <v>25</v>
      </c>
      <c r="O3632" t="s">
        <v>195</v>
      </c>
      <c r="P3632" s="1" t="s">
        <v>30</v>
      </c>
      <c r="Q3632">
        <v>123.6</v>
      </c>
    </row>
    <row r="3633" spans="11:17" x14ac:dyDescent="0.3">
      <c r="K3633">
        <v>2016</v>
      </c>
      <c r="L3633" t="s">
        <v>38</v>
      </c>
      <c r="M3633" t="s">
        <v>98</v>
      </c>
      <c r="N3633" t="s">
        <v>25</v>
      </c>
      <c r="O3633" t="s">
        <v>195</v>
      </c>
      <c r="P3633" s="1" t="s">
        <v>34</v>
      </c>
      <c r="Q3633">
        <v>121.5</v>
      </c>
    </row>
    <row r="3634" spans="11:17" x14ac:dyDescent="0.3">
      <c r="K3634">
        <v>2016</v>
      </c>
      <c r="L3634" t="s">
        <v>38</v>
      </c>
      <c r="M3634" t="s">
        <v>98</v>
      </c>
      <c r="N3634" t="s">
        <v>25</v>
      </c>
      <c r="O3634" t="s">
        <v>195</v>
      </c>
      <c r="P3634" s="1" t="s">
        <v>33</v>
      </c>
      <c r="Q3634">
        <v>119.8</v>
      </c>
    </row>
    <row r="3635" spans="11:17" x14ac:dyDescent="0.3">
      <c r="K3635">
        <v>2016</v>
      </c>
      <c r="L3635" t="s">
        <v>38</v>
      </c>
      <c r="M3635" t="s">
        <v>98</v>
      </c>
      <c r="N3635" t="s">
        <v>12</v>
      </c>
      <c r="O3635" t="s">
        <v>188</v>
      </c>
      <c r="P3635" s="1" t="s">
        <v>30</v>
      </c>
      <c r="Q3635">
        <v>132.19999999999999</v>
      </c>
    </row>
    <row r="3636" spans="11:17" x14ac:dyDescent="0.3">
      <c r="K3636">
        <v>2016</v>
      </c>
      <c r="L3636" t="s">
        <v>38</v>
      </c>
      <c r="M3636" t="s">
        <v>98</v>
      </c>
      <c r="N3636" t="s">
        <v>12</v>
      </c>
      <c r="O3636" t="s">
        <v>188</v>
      </c>
      <c r="P3636" s="1" t="s">
        <v>34</v>
      </c>
      <c r="Q3636">
        <v>135.30000000000001</v>
      </c>
    </row>
    <row r="3637" spans="11:17" x14ac:dyDescent="0.3">
      <c r="K3637">
        <v>2016</v>
      </c>
      <c r="L3637" t="s">
        <v>38</v>
      </c>
      <c r="M3637" t="s">
        <v>98</v>
      </c>
      <c r="N3637" t="s">
        <v>12</v>
      </c>
      <c r="O3637" t="s">
        <v>188</v>
      </c>
      <c r="P3637" s="1" t="s">
        <v>33</v>
      </c>
      <c r="Q3637">
        <v>141.5</v>
      </c>
    </row>
    <row r="3638" spans="11:17" x14ac:dyDescent="0.3">
      <c r="K3638">
        <v>2016</v>
      </c>
      <c r="L3638" t="s">
        <v>38</v>
      </c>
      <c r="M3638" t="s">
        <v>98</v>
      </c>
      <c r="N3638" t="s">
        <v>11</v>
      </c>
      <c r="O3638" t="s">
        <v>188</v>
      </c>
      <c r="P3638" s="1" t="s">
        <v>30</v>
      </c>
      <c r="Q3638">
        <v>107.5</v>
      </c>
    </row>
    <row r="3639" spans="11:17" x14ac:dyDescent="0.3">
      <c r="K3639">
        <v>2016</v>
      </c>
      <c r="L3639" t="s">
        <v>38</v>
      </c>
      <c r="M3639" t="s">
        <v>98</v>
      </c>
      <c r="N3639" t="s">
        <v>11</v>
      </c>
      <c r="O3639" t="s">
        <v>188</v>
      </c>
      <c r="P3639" s="1" t="s">
        <v>34</v>
      </c>
      <c r="Q3639">
        <v>108.7</v>
      </c>
    </row>
    <row r="3640" spans="11:17" x14ac:dyDescent="0.3">
      <c r="K3640">
        <v>2016</v>
      </c>
      <c r="L3640" t="s">
        <v>38</v>
      </c>
      <c r="M3640" t="s">
        <v>98</v>
      </c>
      <c r="N3640" t="s">
        <v>11</v>
      </c>
      <c r="O3640" t="s">
        <v>188</v>
      </c>
      <c r="P3640" s="1" t="s">
        <v>33</v>
      </c>
      <c r="Q3640">
        <v>111.1</v>
      </c>
    </row>
    <row r="3641" spans="11:17" x14ac:dyDescent="0.3">
      <c r="K3641">
        <v>2016</v>
      </c>
      <c r="L3641" t="s">
        <v>38</v>
      </c>
      <c r="M3641" t="s">
        <v>98</v>
      </c>
      <c r="N3641" t="s">
        <v>24</v>
      </c>
      <c r="O3641" t="s">
        <v>191</v>
      </c>
      <c r="P3641" s="1" t="s">
        <v>30</v>
      </c>
      <c r="Q3641">
        <v>115.1</v>
      </c>
    </row>
    <row r="3642" spans="11:17" x14ac:dyDescent="0.3">
      <c r="K3642">
        <v>2016</v>
      </c>
      <c r="L3642" t="s">
        <v>38</v>
      </c>
      <c r="M3642" t="s">
        <v>98</v>
      </c>
      <c r="N3642" t="s">
        <v>24</v>
      </c>
      <c r="O3642" t="s">
        <v>191</v>
      </c>
      <c r="P3642" s="1" t="s">
        <v>34</v>
      </c>
      <c r="Q3642">
        <v>112.8</v>
      </c>
    </row>
    <row r="3643" spans="11:17" x14ac:dyDescent="0.3">
      <c r="K3643">
        <v>2016</v>
      </c>
      <c r="L3643" t="s">
        <v>38</v>
      </c>
      <c r="M3643" t="s">
        <v>98</v>
      </c>
      <c r="N3643" t="s">
        <v>24</v>
      </c>
      <c r="O3643" t="s">
        <v>191</v>
      </c>
      <c r="P3643" s="1" t="s">
        <v>33</v>
      </c>
      <c r="Q3643">
        <v>110.7</v>
      </c>
    </row>
    <row r="3644" spans="11:17" x14ac:dyDescent="0.3">
      <c r="K3644">
        <v>2016</v>
      </c>
      <c r="L3644" t="s">
        <v>38</v>
      </c>
      <c r="M3644" t="s">
        <v>98</v>
      </c>
      <c r="N3644" t="s">
        <v>9</v>
      </c>
      <c r="O3644" t="s">
        <v>188</v>
      </c>
      <c r="P3644" s="1" t="s">
        <v>30</v>
      </c>
      <c r="Q3644">
        <v>141.80000000000001</v>
      </c>
    </row>
    <row r="3645" spans="11:17" x14ac:dyDescent="0.3">
      <c r="K3645">
        <v>2016</v>
      </c>
      <c r="L3645" t="s">
        <v>38</v>
      </c>
      <c r="M3645" t="s">
        <v>98</v>
      </c>
      <c r="N3645" t="s">
        <v>9</v>
      </c>
      <c r="O3645" t="s">
        <v>188</v>
      </c>
      <c r="P3645" s="1" t="s">
        <v>34</v>
      </c>
      <c r="Q3645">
        <v>145.1</v>
      </c>
    </row>
    <row r="3646" spans="11:17" x14ac:dyDescent="0.3">
      <c r="K3646">
        <v>2016</v>
      </c>
      <c r="L3646" t="s">
        <v>38</v>
      </c>
      <c r="M3646" t="s">
        <v>98</v>
      </c>
      <c r="N3646" t="s">
        <v>9</v>
      </c>
      <c r="O3646" t="s">
        <v>188</v>
      </c>
      <c r="P3646" s="1" t="s">
        <v>33</v>
      </c>
      <c r="Q3646">
        <v>151.4</v>
      </c>
    </row>
    <row r="3647" spans="11:17" x14ac:dyDescent="0.3">
      <c r="K3647">
        <v>2016</v>
      </c>
      <c r="L3647" t="s">
        <v>44</v>
      </c>
      <c r="M3647" t="s">
        <v>99</v>
      </c>
      <c r="N3647" t="s">
        <v>3</v>
      </c>
      <c r="O3647" t="s">
        <v>188</v>
      </c>
      <c r="P3647" s="1" t="s">
        <v>30</v>
      </c>
      <c r="Q3647">
        <v>132</v>
      </c>
    </row>
    <row r="3648" spans="11:17" x14ac:dyDescent="0.3">
      <c r="K3648">
        <v>2016</v>
      </c>
      <c r="L3648" t="s">
        <v>44</v>
      </c>
      <c r="M3648" t="s">
        <v>99</v>
      </c>
      <c r="N3648" t="s">
        <v>3</v>
      </c>
      <c r="O3648" t="s">
        <v>188</v>
      </c>
      <c r="P3648" s="1" t="s">
        <v>34</v>
      </c>
      <c r="Q3648">
        <v>131.4</v>
      </c>
    </row>
    <row r="3649" spans="11:17" x14ac:dyDescent="0.3">
      <c r="K3649">
        <v>2016</v>
      </c>
      <c r="L3649" t="s">
        <v>44</v>
      </c>
      <c r="M3649" t="s">
        <v>99</v>
      </c>
      <c r="N3649" t="s">
        <v>3</v>
      </c>
      <c r="O3649" t="s">
        <v>188</v>
      </c>
      <c r="P3649" s="1" t="s">
        <v>33</v>
      </c>
      <c r="Q3649">
        <v>130.19999999999999</v>
      </c>
    </row>
    <row r="3650" spans="11:17" x14ac:dyDescent="0.3">
      <c r="K3650">
        <v>2016</v>
      </c>
      <c r="L3650" t="s">
        <v>44</v>
      </c>
      <c r="M3650" t="s">
        <v>99</v>
      </c>
      <c r="N3650" t="s">
        <v>17</v>
      </c>
      <c r="O3650" t="s">
        <v>189</v>
      </c>
      <c r="P3650" s="1" t="s">
        <v>30</v>
      </c>
      <c r="Q3650">
        <v>139.9</v>
      </c>
    </row>
    <row r="3651" spans="11:17" x14ac:dyDescent="0.3">
      <c r="K3651">
        <v>2016</v>
      </c>
      <c r="L3651" t="s">
        <v>44</v>
      </c>
      <c r="M3651" t="s">
        <v>99</v>
      </c>
      <c r="N3651" t="s">
        <v>17</v>
      </c>
      <c r="O3651" t="s">
        <v>189</v>
      </c>
      <c r="P3651" s="1" t="s">
        <v>34</v>
      </c>
      <c r="Q3651">
        <v>135.80000000000001</v>
      </c>
    </row>
    <row r="3652" spans="11:17" x14ac:dyDescent="0.3">
      <c r="K3652">
        <v>2016</v>
      </c>
      <c r="L3652" t="s">
        <v>44</v>
      </c>
      <c r="M3652" t="s">
        <v>99</v>
      </c>
      <c r="N3652" t="s">
        <v>17</v>
      </c>
      <c r="O3652" t="s">
        <v>189</v>
      </c>
      <c r="P3652" s="1" t="s">
        <v>33</v>
      </c>
      <c r="Q3652">
        <v>129.6</v>
      </c>
    </row>
    <row r="3653" spans="11:17" x14ac:dyDescent="0.3">
      <c r="K3653">
        <v>2016</v>
      </c>
      <c r="L3653" t="s">
        <v>44</v>
      </c>
      <c r="M3653" t="s">
        <v>99</v>
      </c>
      <c r="N3653" t="s">
        <v>19</v>
      </c>
      <c r="O3653" t="s">
        <v>189</v>
      </c>
      <c r="P3653" s="1" t="s">
        <v>30</v>
      </c>
      <c r="Q3653">
        <v>139.19999999999999</v>
      </c>
    </row>
    <row r="3654" spans="11:17" x14ac:dyDescent="0.3">
      <c r="K3654">
        <v>2016</v>
      </c>
      <c r="L3654" t="s">
        <v>44</v>
      </c>
      <c r="M3654" t="s">
        <v>99</v>
      </c>
      <c r="N3654" t="s">
        <v>19</v>
      </c>
      <c r="O3654" t="s">
        <v>189</v>
      </c>
      <c r="P3654" s="1" t="s">
        <v>34</v>
      </c>
      <c r="Q3654">
        <v>135</v>
      </c>
    </row>
    <row r="3655" spans="11:17" x14ac:dyDescent="0.3">
      <c r="K3655">
        <v>2016</v>
      </c>
      <c r="L3655" t="s">
        <v>44</v>
      </c>
      <c r="M3655" t="s">
        <v>99</v>
      </c>
      <c r="N3655" t="s">
        <v>19</v>
      </c>
      <c r="O3655" t="s">
        <v>189</v>
      </c>
      <c r="P3655" s="1" t="s">
        <v>33</v>
      </c>
      <c r="Q3655">
        <v>128.5</v>
      </c>
    </row>
    <row r="3656" spans="11:17" x14ac:dyDescent="0.3">
      <c r="K3656">
        <v>2016</v>
      </c>
      <c r="L3656" t="s">
        <v>44</v>
      </c>
      <c r="M3656" t="s">
        <v>99</v>
      </c>
      <c r="N3656" t="s">
        <v>26</v>
      </c>
      <c r="O3656" t="s">
        <v>26</v>
      </c>
      <c r="P3656" s="1" t="s">
        <v>30</v>
      </c>
      <c r="Q3656">
        <v>133.69999999999999</v>
      </c>
    </row>
    <row r="3657" spans="11:17" x14ac:dyDescent="0.3">
      <c r="K3657">
        <v>2016</v>
      </c>
      <c r="L3657" t="s">
        <v>44</v>
      </c>
      <c r="M3657" t="s">
        <v>99</v>
      </c>
      <c r="N3657" t="s">
        <v>26</v>
      </c>
      <c r="O3657" t="s">
        <v>26</v>
      </c>
      <c r="P3657" s="1" t="s">
        <v>34</v>
      </c>
      <c r="Q3657">
        <v>132.80000000000001</v>
      </c>
    </row>
    <row r="3658" spans="11:17" x14ac:dyDescent="0.3">
      <c r="K3658">
        <v>2016</v>
      </c>
      <c r="L3658" t="s">
        <v>44</v>
      </c>
      <c r="M3658" t="s">
        <v>99</v>
      </c>
      <c r="N3658" t="s">
        <v>26</v>
      </c>
      <c r="O3658" t="s">
        <v>26</v>
      </c>
      <c r="P3658" s="1" t="s">
        <v>33</v>
      </c>
      <c r="Q3658">
        <v>132.1</v>
      </c>
    </row>
    <row r="3659" spans="11:17" x14ac:dyDescent="0.3">
      <c r="K3659">
        <v>2016</v>
      </c>
      <c r="L3659" t="s">
        <v>44</v>
      </c>
      <c r="M3659" t="s">
        <v>99</v>
      </c>
      <c r="N3659" t="s">
        <v>5</v>
      </c>
      <c r="O3659" t="s">
        <v>188</v>
      </c>
      <c r="P3659" s="1" t="s">
        <v>30</v>
      </c>
      <c r="Q3659">
        <v>130.6</v>
      </c>
    </row>
    <row r="3660" spans="11:17" x14ac:dyDescent="0.3">
      <c r="K3660">
        <v>2016</v>
      </c>
      <c r="L3660" t="s">
        <v>44</v>
      </c>
      <c r="M3660" t="s">
        <v>99</v>
      </c>
      <c r="N3660" t="s">
        <v>5</v>
      </c>
      <c r="O3660" t="s">
        <v>188</v>
      </c>
      <c r="P3660" s="1" t="s">
        <v>34</v>
      </c>
      <c r="Q3660">
        <v>132</v>
      </c>
    </row>
    <row r="3661" spans="11:17" x14ac:dyDescent="0.3">
      <c r="K3661">
        <v>2016</v>
      </c>
      <c r="L3661" t="s">
        <v>44</v>
      </c>
      <c r="M3661" t="s">
        <v>99</v>
      </c>
      <c r="N3661" t="s">
        <v>5</v>
      </c>
      <c r="O3661" t="s">
        <v>188</v>
      </c>
      <c r="P3661" s="1" t="s">
        <v>33</v>
      </c>
      <c r="Q3661">
        <v>134.1</v>
      </c>
    </row>
    <row r="3662" spans="11:17" x14ac:dyDescent="0.3">
      <c r="K3662">
        <v>2016</v>
      </c>
      <c r="L3662" t="s">
        <v>44</v>
      </c>
      <c r="M3662" t="s">
        <v>99</v>
      </c>
      <c r="N3662" t="s">
        <v>15</v>
      </c>
      <c r="O3662" t="s">
        <v>188</v>
      </c>
      <c r="P3662" s="1" t="s">
        <v>30</v>
      </c>
      <c r="Q3662">
        <v>136.6</v>
      </c>
    </row>
    <row r="3663" spans="11:17" x14ac:dyDescent="0.3">
      <c r="K3663">
        <v>2016</v>
      </c>
      <c r="L3663" t="s">
        <v>44</v>
      </c>
      <c r="M3663" t="s">
        <v>99</v>
      </c>
      <c r="N3663" t="s">
        <v>15</v>
      </c>
      <c r="O3663" t="s">
        <v>188</v>
      </c>
      <c r="P3663" s="1" t="s">
        <v>34</v>
      </c>
      <c r="Q3663">
        <v>136.1</v>
      </c>
    </row>
    <row r="3664" spans="11:17" x14ac:dyDescent="0.3">
      <c r="K3664">
        <v>2016</v>
      </c>
      <c r="L3664" t="s">
        <v>44</v>
      </c>
      <c r="M3664" t="s">
        <v>99</v>
      </c>
      <c r="N3664" t="s">
        <v>15</v>
      </c>
      <c r="O3664" t="s">
        <v>188</v>
      </c>
      <c r="P3664" s="1" t="s">
        <v>33</v>
      </c>
      <c r="Q3664">
        <v>135.19999999999999</v>
      </c>
    </row>
    <row r="3665" spans="11:17" x14ac:dyDescent="0.3">
      <c r="K3665">
        <v>2016</v>
      </c>
      <c r="L3665" t="s">
        <v>44</v>
      </c>
      <c r="M3665" t="s">
        <v>99</v>
      </c>
      <c r="N3665" t="s">
        <v>18</v>
      </c>
      <c r="O3665" t="s">
        <v>189</v>
      </c>
      <c r="P3665" s="1" t="s">
        <v>30</v>
      </c>
      <c r="Q3665">
        <v>134.5</v>
      </c>
    </row>
    <row r="3666" spans="11:17" x14ac:dyDescent="0.3">
      <c r="K3666">
        <v>2016</v>
      </c>
      <c r="L3666" t="s">
        <v>44</v>
      </c>
      <c r="M3666" t="s">
        <v>99</v>
      </c>
      <c r="N3666" t="s">
        <v>18</v>
      </c>
      <c r="O3666" t="s">
        <v>189</v>
      </c>
      <c r="P3666" s="1" t="s">
        <v>34</v>
      </c>
      <c r="Q3666">
        <v>129.30000000000001</v>
      </c>
    </row>
    <row r="3667" spans="11:17" x14ac:dyDescent="0.3">
      <c r="K3667">
        <v>2016</v>
      </c>
      <c r="L3667" t="s">
        <v>44</v>
      </c>
      <c r="M3667" t="s">
        <v>99</v>
      </c>
      <c r="N3667" t="s">
        <v>18</v>
      </c>
      <c r="O3667" t="s">
        <v>189</v>
      </c>
      <c r="P3667" s="1" t="s">
        <v>33</v>
      </c>
      <c r="Q3667">
        <v>122.1</v>
      </c>
    </row>
    <row r="3668" spans="11:17" x14ac:dyDescent="0.3">
      <c r="K3668">
        <v>2016</v>
      </c>
      <c r="L3668" t="s">
        <v>44</v>
      </c>
      <c r="M3668" t="s">
        <v>99</v>
      </c>
      <c r="N3668" t="s">
        <v>8</v>
      </c>
      <c r="O3668" t="s">
        <v>188</v>
      </c>
      <c r="P3668" s="1" t="s">
        <v>30</v>
      </c>
      <c r="Q3668">
        <v>136.9</v>
      </c>
    </row>
    <row r="3669" spans="11:17" x14ac:dyDescent="0.3">
      <c r="K3669">
        <v>2016</v>
      </c>
      <c r="L3669" t="s">
        <v>44</v>
      </c>
      <c r="M3669" t="s">
        <v>99</v>
      </c>
      <c r="N3669" t="s">
        <v>8</v>
      </c>
      <c r="O3669" t="s">
        <v>188</v>
      </c>
      <c r="P3669" s="1" t="s">
        <v>34</v>
      </c>
      <c r="Q3669">
        <v>134.1</v>
      </c>
    </row>
    <row r="3670" spans="11:17" x14ac:dyDescent="0.3">
      <c r="K3670">
        <v>2016</v>
      </c>
      <c r="L3670" t="s">
        <v>44</v>
      </c>
      <c r="M3670" t="s">
        <v>99</v>
      </c>
      <c r="N3670" t="s">
        <v>8</v>
      </c>
      <c r="O3670" t="s">
        <v>188</v>
      </c>
      <c r="P3670" s="1" t="s">
        <v>33</v>
      </c>
      <c r="Q3670">
        <v>130.80000000000001</v>
      </c>
    </row>
    <row r="3671" spans="11:17" x14ac:dyDescent="0.3">
      <c r="K3671">
        <v>2016</v>
      </c>
      <c r="L3671" t="s">
        <v>44</v>
      </c>
      <c r="M3671" t="s">
        <v>99</v>
      </c>
      <c r="N3671" t="s">
        <v>21</v>
      </c>
      <c r="O3671" t="s">
        <v>190</v>
      </c>
      <c r="P3671" s="1" t="s">
        <v>30</v>
      </c>
      <c r="Q3671">
        <v>130.30000000000001</v>
      </c>
    </row>
    <row r="3672" spans="11:17" x14ac:dyDescent="0.3">
      <c r="K3672">
        <v>2016</v>
      </c>
      <c r="L3672" t="s">
        <v>44</v>
      </c>
      <c r="M3672" t="s">
        <v>99</v>
      </c>
      <c r="N3672" t="s">
        <v>21</v>
      </c>
      <c r="O3672" t="s">
        <v>190</v>
      </c>
      <c r="P3672" s="1" t="s">
        <v>34</v>
      </c>
      <c r="Q3672">
        <v>125</v>
      </c>
    </row>
    <row r="3673" spans="11:17" x14ac:dyDescent="0.3">
      <c r="K3673">
        <v>2016</v>
      </c>
      <c r="L3673" t="s">
        <v>44</v>
      </c>
      <c r="M3673" t="s">
        <v>99</v>
      </c>
      <c r="N3673" t="s">
        <v>21</v>
      </c>
      <c r="O3673" t="s">
        <v>190</v>
      </c>
      <c r="P3673" s="1" t="s">
        <v>33</v>
      </c>
      <c r="Q3673">
        <v>116.2</v>
      </c>
    </row>
    <row r="3674" spans="11:17" x14ac:dyDescent="0.3">
      <c r="K3674">
        <v>2016</v>
      </c>
      <c r="L3674" t="s">
        <v>44</v>
      </c>
      <c r="M3674" t="s">
        <v>99</v>
      </c>
      <c r="N3674" t="s">
        <v>29</v>
      </c>
      <c r="O3674" t="s">
        <v>206</v>
      </c>
      <c r="P3674" s="1" t="s">
        <v>30</v>
      </c>
      <c r="Q3674">
        <v>133.6</v>
      </c>
    </row>
    <row r="3675" spans="11:17" x14ac:dyDescent="0.3">
      <c r="K3675">
        <v>2016</v>
      </c>
      <c r="L3675" t="s">
        <v>44</v>
      </c>
      <c r="M3675" t="s">
        <v>99</v>
      </c>
      <c r="N3675" t="s">
        <v>29</v>
      </c>
      <c r="O3675" t="s">
        <v>206</v>
      </c>
      <c r="P3675" s="1" t="s">
        <v>34</v>
      </c>
      <c r="Q3675">
        <v>131.19999999999999</v>
      </c>
    </row>
    <row r="3676" spans="11:17" x14ac:dyDescent="0.3">
      <c r="K3676">
        <v>2016</v>
      </c>
      <c r="L3676" t="s">
        <v>44</v>
      </c>
      <c r="M3676" t="s">
        <v>99</v>
      </c>
      <c r="N3676" t="s">
        <v>29</v>
      </c>
      <c r="O3676" t="s">
        <v>206</v>
      </c>
      <c r="P3676" s="1" t="s">
        <v>33</v>
      </c>
      <c r="Q3676">
        <v>128.5</v>
      </c>
    </row>
    <row r="3677" spans="11:17" x14ac:dyDescent="0.3">
      <c r="K3677">
        <v>2016</v>
      </c>
      <c r="L3677" t="s">
        <v>44</v>
      </c>
      <c r="M3677" t="s">
        <v>99</v>
      </c>
      <c r="N3677" t="s">
        <v>23</v>
      </c>
      <c r="O3677" t="s">
        <v>23</v>
      </c>
      <c r="P3677" s="1" t="s">
        <v>30</v>
      </c>
      <c r="Q3677">
        <v>129.1</v>
      </c>
    </row>
    <row r="3678" spans="11:17" x14ac:dyDescent="0.3">
      <c r="K3678">
        <v>2016</v>
      </c>
      <c r="L3678" t="s">
        <v>44</v>
      </c>
      <c r="M3678" t="s">
        <v>99</v>
      </c>
      <c r="N3678" t="s">
        <v>23</v>
      </c>
      <c r="O3678" t="s">
        <v>23</v>
      </c>
      <c r="P3678" s="1" t="s">
        <v>34</v>
      </c>
      <c r="Q3678">
        <v>126.4</v>
      </c>
    </row>
    <row r="3679" spans="11:17" x14ac:dyDescent="0.3">
      <c r="K3679">
        <v>2016</v>
      </c>
      <c r="L3679" t="s">
        <v>44</v>
      </c>
      <c r="M3679" t="s">
        <v>99</v>
      </c>
      <c r="N3679" t="s">
        <v>23</v>
      </c>
      <c r="O3679" t="s">
        <v>23</v>
      </c>
      <c r="P3679" s="1" t="s">
        <v>33</v>
      </c>
      <c r="Q3679">
        <v>122.1</v>
      </c>
    </row>
    <row r="3680" spans="11:17" x14ac:dyDescent="0.3">
      <c r="K3680">
        <v>2016</v>
      </c>
      <c r="L3680" t="s">
        <v>44</v>
      </c>
      <c r="M3680" t="s">
        <v>99</v>
      </c>
      <c r="N3680" t="s">
        <v>22</v>
      </c>
      <c r="O3680" t="s">
        <v>20</v>
      </c>
      <c r="P3680" s="1" t="s">
        <v>30</v>
      </c>
      <c r="Q3680">
        <v>132.1</v>
      </c>
    </row>
    <row r="3681" spans="11:17" x14ac:dyDescent="0.3">
      <c r="K3681">
        <v>2016</v>
      </c>
      <c r="L3681" t="s">
        <v>44</v>
      </c>
      <c r="M3681" t="s">
        <v>99</v>
      </c>
      <c r="N3681" t="s">
        <v>22</v>
      </c>
      <c r="O3681" t="s">
        <v>20</v>
      </c>
      <c r="P3681" s="1" t="s">
        <v>34</v>
      </c>
      <c r="Q3681">
        <v>128.6</v>
      </c>
    </row>
    <row r="3682" spans="11:17" x14ac:dyDescent="0.3">
      <c r="K3682">
        <v>2016</v>
      </c>
      <c r="L3682" t="s">
        <v>44</v>
      </c>
      <c r="M3682" t="s">
        <v>99</v>
      </c>
      <c r="N3682" t="s">
        <v>22</v>
      </c>
      <c r="O3682" t="s">
        <v>20</v>
      </c>
      <c r="P3682" s="1" t="s">
        <v>33</v>
      </c>
      <c r="Q3682">
        <v>124.7</v>
      </c>
    </row>
    <row r="3683" spans="11:17" x14ac:dyDescent="0.3">
      <c r="K3683">
        <v>2016</v>
      </c>
      <c r="L3683" t="s">
        <v>44</v>
      </c>
      <c r="M3683" t="s">
        <v>99</v>
      </c>
      <c r="N3683" t="s">
        <v>20</v>
      </c>
      <c r="O3683" t="s">
        <v>20</v>
      </c>
      <c r="P3683" s="1" t="s">
        <v>30</v>
      </c>
      <c r="Q3683">
        <v>0</v>
      </c>
    </row>
    <row r="3684" spans="11:17" x14ac:dyDescent="0.3">
      <c r="K3684">
        <v>2016</v>
      </c>
      <c r="L3684" t="s">
        <v>44</v>
      </c>
      <c r="M3684" t="s">
        <v>99</v>
      </c>
      <c r="N3684" t="s">
        <v>20</v>
      </c>
      <c r="O3684" t="s">
        <v>20</v>
      </c>
      <c r="P3684" s="1" t="s">
        <v>34</v>
      </c>
      <c r="Q3684">
        <v>129.1</v>
      </c>
    </row>
    <row r="3685" spans="11:17" x14ac:dyDescent="0.3">
      <c r="K3685">
        <v>2016</v>
      </c>
      <c r="L3685" t="s">
        <v>44</v>
      </c>
      <c r="M3685" t="s">
        <v>99</v>
      </c>
      <c r="N3685" t="s">
        <v>20</v>
      </c>
      <c r="O3685" t="s">
        <v>20</v>
      </c>
      <c r="P3685" s="1" t="s">
        <v>33</v>
      </c>
      <c r="Q3685">
        <v>129.1</v>
      </c>
    </row>
    <row r="3686" spans="11:17" x14ac:dyDescent="0.3">
      <c r="K3686">
        <v>2016</v>
      </c>
      <c r="L3686" t="s">
        <v>44</v>
      </c>
      <c r="M3686" t="s">
        <v>99</v>
      </c>
      <c r="N3686" t="s">
        <v>4</v>
      </c>
      <c r="O3686" t="s">
        <v>188</v>
      </c>
      <c r="P3686" s="1" t="s">
        <v>30</v>
      </c>
      <c r="Q3686">
        <v>137.4</v>
      </c>
    </row>
    <row r="3687" spans="11:17" x14ac:dyDescent="0.3">
      <c r="K3687">
        <v>2016</v>
      </c>
      <c r="L3687" t="s">
        <v>44</v>
      </c>
      <c r="M3687" t="s">
        <v>99</v>
      </c>
      <c r="N3687" t="s">
        <v>4</v>
      </c>
      <c r="O3687" t="s">
        <v>188</v>
      </c>
      <c r="P3687" s="1" t="s">
        <v>34</v>
      </c>
      <c r="Q3687">
        <v>137.80000000000001</v>
      </c>
    </row>
    <row r="3688" spans="11:17" x14ac:dyDescent="0.3">
      <c r="K3688">
        <v>2016</v>
      </c>
      <c r="L3688" t="s">
        <v>44</v>
      </c>
      <c r="M3688" t="s">
        <v>99</v>
      </c>
      <c r="N3688" t="s">
        <v>4</v>
      </c>
      <c r="O3688" t="s">
        <v>188</v>
      </c>
      <c r="P3688" s="1" t="s">
        <v>33</v>
      </c>
      <c r="Q3688">
        <v>138.5</v>
      </c>
    </row>
    <row r="3689" spans="11:17" x14ac:dyDescent="0.3">
      <c r="K3689">
        <v>2016</v>
      </c>
      <c r="L3689" t="s">
        <v>44</v>
      </c>
      <c r="M3689" t="s">
        <v>99</v>
      </c>
      <c r="N3689" t="s">
        <v>6</v>
      </c>
      <c r="O3689" t="s">
        <v>188</v>
      </c>
      <c r="P3689" s="1" t="s">
        <v>30</v>
      </c>
      <c r="Q3689">
        <v>136.19999999999999</v>
      </c>
    </row>
    <row r="3690" spans="11:17" x14ac:dyDescent="0.3">
      <c r="K3690">
        <v>2016</v>
      </c>
      <c r="L3690" t="s">
        <v>44</v>
      </c>
      <c r="M3690" t="s">
        <v>99</v>
      </c>
      <c r="N3690" t="s">
        <v>6</v>
      </c>
      <c r="O3690" t="s">
        <v>188</v>
      </c>
      <c r="P3690" s="1" t="s">
        <v>34</v>
      </c>
      <c r="Q3690">
        <v>135</v>
      </c>
    </row>
    <row r="3691" spans="11:17" x14ac:dyDescent="0.3">
      <c r="K3691">
        <v>2016</v>
      </c>
      <c r="L3691" t="s">
        <v>44</v>
      </c>
      <c r="M3691" t="s">
        <v>99</v>
      </c>
      <c r="N3691" t="s">
        <v>6</v>
      </c>
      <c r="O3691" t="s">
        <v>188</v>
      </c>
      <c r="P3691" s="1" t="s">
        <v>33</v>
      </c>
      <c r="Q3691">
        <v>132.9</v>
      </c>
    </row>
    <row r="3692" spans="11:17" x14ac:dyDescent="0.3">
      <c r="K3692">
        <v>2016</v>
      </c>
      <c r="L3692" t="s">
        <v>44</v>
      </c>
      <c r="M3692" t="s">
        <v>99</v>
      </c>
      <c r="N3692" t="s">
        <v>28</v>
      </c>
      <c r="O3692" t="s">
        <v>192</v>
      </c>
      <c r="P3692" s="1" t="s">
        <v>30</v>
      </c>
      <c r="Q3692">
        <v>126.1</v>
      </c>
    </row>
    <row r="3693" spans="11:17" x14ac:dyDescent="0.3">
      <c r="K3693">
        <v>2016</v>
      </c>
      <c r="L3693" t="s">
        <v>44</v>
      </c>
      <c r="M3693" t="s">
        <v>99</v>
      </c>
      <c r="N3693" t="s">
        <v>28</v>
      </c>
      <c r="O3693" t="s">
        <v>192</v>
      </c>
      <c r="P3693" s="1" t="s">
        <v>34</v>
      </c>
      <c r="Q3693">
        <v>123.8</v>
      </c>
    </row>
    <row r="3694" spans="11:17" x14ac:dyDescent="0.3">
      <c r="K3694">
        <v>2016</v>
      </c>
      <c r="L3694" t="s">
        <v>44</v>
      </c>
      <c r="M3694" t="s">
        <v>99</v>
      </c>
      <c r="N3694" t="s">
        <v>28</v>
      </c>
      <c r="O3694" t="s">
        <v>192</v>
      </c>
      <c r="P3694" s="1" t="s">
        <v>33</v>
      </c>
      <c r="Q3694">
        <v>121.3</v>
      </c>
    </row>
    <row r="3695" spans="11:17" x14ac:dyDescent="0.3">
      <c r="K3695">
        <v>2016</v>
      </c>
      <c r="L3695" t="s">
        <v>44</v>
      </c>
      <c r="M3695" t="s">
        <v>99</v>
      </c>
      <c r="N3695" t="s">
        <v>13</v>
      </c>
      <c r="O3695" t="s">
        <v>188</v>
      </c>
      <c r="P3695" s="1" t="s">
        <v>30</v>
      </c>
      <c r="Q3695">
        <v>128.69999999999999</v>
      </c>
    </row>
    <row r="3696" spans="11:17" x14ac:dyDescent="0.3">
      <c r="K3696">
        <v>2016</v>
      </c>
      <c r="L3696" t="s">
        <v>44</v>
      </c>
      <c r="M3696" t="s">
        <v>99</v>
      </c>
      <c r="N3696" t="s">
        <v>13</v>
      </c>
      <c r="O3696" t="s">
        <v>188</v>
      </c>
      <c r="P3696" s="1" t="s">
        <v>34</v>
      </c>
      <c r="Q3696">
        <v>126.2</v>
      </c>
    </row>
    <row r="3697" spans="11:17" x14ac:dyDescent="0.3">
      <c r="K3697">
        <v>2016</v>
      </c>
      <c r="L3697" t="s">
        <v>44</v>
      </c>
      <c r="M3697" t="s">
        <v>99</v>
      </c>
      <c r="N3697" t="s">
        <v>13</v>
      </c>
      <c r="O3697" t="s">
        <v>188</v>
      </c>
      <c r="P3697" s="1" t="s">
        <v>33</v>
      </c>
      <c r="Q3697">
        <v>122.7</v>
      </c>
    </row>
    <row r="3698" spans="11:17" x14ac:dyDescent="0.3">
      <c r="K3698">
        <v>2016</v>
      </c>
      <c r="L3698" t="s">
        <v>44</v>
      </c>
      <c r="M3698" t="s">
        <v>99</v>
      </c>
      <c r="N3698" t="s">
        <v>7</v>
      </c>
      <c r="O3698" t="s">
        <v>188</v>
      </c>
      <c r="P3698" s="1" t="s">
        <v>30</v>
      </c>
      <c r="Q3698">
        <v>121.1</v>
      </c>
    </row>
    <row r="3699" spans="11:17" x14ac:dyDescent="0.3">
      <c r="K3699">
        <v>2016</v>
      </c>
      <c r="L3699" t="s">
        <v>44</v>
      </c>
      <c r="M3699" t="s">
        <v>99</v>
      </c>
      <c r="N3699" t="s">
        <v>7</v>
      </c>
      <c r="O3699" t="s">
        <v>188</v>
      </c>
      <c r="P3699" s="1" t="s">
        <v>34</v>
      </c>
      <c r="Q3699">
        <v>118</v>
      </c>
    </row>
    <row r="3700" spans="11:17" x14ac:dyDescent="0.3">
      <c r="K3700">
        <v>2016</v>
      </c>
      <c r="L3700" t="s">
        <v>44</v>
      </c>
      <c r="M3700" t="s">
        <v>99</v>
      </c>
      <c r="N3700" t="s">
        <v>7</v>
      </c>
      <c r="O3700" t="s">
        <v>188</v>
      </c>
      <c r="P3700" s="1" t="s">
        <v>33</v>
      </c>
      <c r="Q3700">
        <v>112.6</v>
      </c>
    </row>
    <row r="3701" spans="11:17" x14ac:dyDescent="0.3">
      <c r="K3701">
        <v>2016</v>
      </c>
      <c r="L3701" t="s">
        <v>44</v>
      </c>
      <c r="M3701" t="s">
        <v>99</v>
      </c>
      <c r="N3701" t="s">
        <v>16</v>
      </c>
      <c r="O3701" t="s">
        <v>192</v>
      </c>
      <c r="P3701" s="1" t="s">
        <v>30</v>
      </c>
      <c r="Q3701">
        <v>141.19999999999999</v>
      </c>
    </row>
    <row r="3702" spans="11:17" x14ac:dyDescent="0.3">
      <c r="K3702">
        <v>2016</v>
      </c>
      <c r="L3702" t="s">
        <v>44</v>
      </c>
      <c r="M3702" t="s">
        <v>99</v>
      </c>
      <c r="N3702" t="s">
        <v>16</v>
      </c>
      <c r="O3702" t="s">
        <v>192</v>
      </c>
      <c r="P3702" s="1" t="s">
        <v>34</v>
      </c>
      <c r="Q3702">
        <v>142</v>
      </c>
    </row>
    <row r="3703" spans="11:17" x14ac:dyDescent="0.3">
      <c r="K3703">
        <v>2016</v>
      </c>
      <c r="L3703" t="s">
        <v>44</v>
      </c>
      <c r="M3703" t="s">
        <v>99</v>
      </c>
      <c r="N3703" t="s">
        <v>16</v>
      </c>
      <c r="O3703" t="s">
        <v>192</v>
      </c>
      <c r="P3703" s="1" t="s">
        <v>33</v>
      </c>
      <c r="Q3703">
        <v>144.30000000000001</v>
      </c>
    </row>
    <row r="3704" spans="11:17" x14ac:dyDescent="0.3">
      <c r="K3704">
        <v>2016</v>
      </c>
      <c r="L3704" t="s">
        <v>44</v>
      </c>
      <c r="M3704" t="s">
        <v>99</v>
      </c>
      <c r="N3704" t="s">
        <v>27</v>
      </c>
      <c r="O3704" t="s">
        <v>192</v>
      </c>
      <c r="P3704" s="1" t="s">
        <v>30</v>
      </c>
      <c r="Q3704">
        <v>123.5</v>
      </c>
    </row>
    <row r="3705" spans="11:17" x14ac:dyDescent="0.3">
      <c r="K3705">
        <v>2016</v>
      </c>
      <c r="L3705" t="s">
        <v>44</v>
      </c>
      <c r="M3705" t="s">
        <v>99</v>
      </c>
      <c r="N3705" t="s">
        <v>27</v>
      </c>
      <c r="O3705" t="s">
        <v>192</v>
      </c>
      <c r="P3705" s="1" t="s">
        <v>34</v>
      </c>
      <c r="Q3705">
        <v>122.6</v>
      </c>
    </row>
    <row r="3706" spans="11:17" x14ac:dyDescent="0.3">
      <c r="K3706">
        <v>2016</v>
      </c>
      <c r="L3706" t="s">
        <v>44</v>
      </c>
      <c r="M3706" t="s">
        <v>99</v>
      </c>
      <c r="N3706" t="s">
        <v>27</v>
      </c>
      <c r="O3706" t="s">
        <v>192</v>
      </c>
      <c r="P3706" s="1" t="s">
        <v>33</v>
      </c>
      <c r="Q3706">
        <v>121.3</v>
      </c>
    </row>
    <row r="3707" spans="11:17" x14ac:dyDescent="0.3">
      <c r="K3707">
        <v>2016</v>
      </c>
      <c r="L3707" t="s">
        <v>44</v>
      </c>
      <c r="M3707" t="s">
        <v>99</v>
      </c>
      <c r="N3707" t="s">
        <v>14</v>
      </c>
      <c r="O3707" t="s">
        <v>188</v>
      </c>
      <c r="P3707" s="1" t="s">
        <v>30</v>
      </c>
      <c r="Q3707">
        <v>143.1</v>
      </c>
    </row>
    <row r="3708" spans="11:17" x14ac:dyDescent="0.3">
      <c r="K3708">
        <v>2016</v>
      </c>
      <c r="L3708" t="s">
        <v>44</v>
      </c>
      <c r="M3708" t="s">
        <v>99</v>
      </c>
      <c r="N3708" t="s">
        <v>14</v>
      </c>
      <c r="O3708" t="s">
        <v>188</v>
      </c>
      <c r="P3708" s="1" t="s">
        <v>34</v>
      </c>
      <c r="Q3708">
        <v>141.80000000000001</v>
      </c>
    </row>
    <row r="3709" spans="11:17" x14ac:dyDescent="0.3">
      <c r="K3709">
        <v>2016</v>
      </c>
      <c r="L3709" t="s">
        <v>44</v>
      </c>
      <c r="M3709" t="s">
        <v>99</v>
      </c>
      <c r="N3709" t="s">
        <v>14</v>
      </c>
      <c r="O3709" t="s">
        <v>188</v>
      </c>
      <c r="P3709" s="1" t="s">
        <v>33</v>
      </c>
      <c r="Q3709">
        <v>140.30000000000001</v>
      </c>
    </row>
    <row r="3710" spans="11:17" x14ac:dyDescent="0.3">
      <c r="K3710">
        <v>2016</v>
      </c>
      <c r="L3710" t="s">
        <v>44</v>
      </c>
      <c r="M3710" t="s">
        <v>99</v>
      </c>
      <c r="N3710" t="s">
        <v>10</v>
      </c>
      <c r="O3710" t="s">
        <v>188</v>
      </c>
      <c r="P3710" s="1" t="s">
        <v>30</v>
      </c>
      <c r="Q3710">
        <v>170</v>
      </c>
    </row>
    <row r="3711" spans="11:17" x14ac:dyDescent="0.3">
      <c r="K3711">
        <v>2016</v>
      </c>
      <c r="L3711" t="s">
        <v>44</v>
      </c>
      <c r="M3711" t="s">
        <v>99</v>
      </c>
      <c r="N3711" t="s">
        <v>10</v>
      </c>
      <c r="O3711" t="s">
        <v>188</v>
      </c>
      <c r="P3711" s="1" t="s">
        <v>34</v>
      </c>
      <c r="Q3711">
        <v>171.7</v>
      </c>
    </row>
    <row r="3712" spans="11:17" x14ac:dyDescent="0.3">
      <c r="K3712">
        <v>2016</v>
      </c>
      <c r="L3712" t="s">
        <v>44</v>
      </c>
      <c r="M3712" t="s">
        <v>99</v>
      </c>
      <c r="N3712" t="s">
        <v>10</v>
      </c>
      <c r="O3712" t="s">
        <v>188</v>
      </c>
      <c r="P3712" s="1" t="s">
        <v>33</v>
      </c>
      <c r="Q3712">
        <v>174.9</v>
      </c>
    </row>
    <row r="3713" spans="11:17" x14ac:dyDescent="0.3">
      <c r="K3713">
        <v>2016</v>
      </c>
      <c r="L3713" t="s">
        <v>44</v>
      </c>
      <c r="M3713" t="s">
        <v>99</v>
      </c>
      <c r="N3713" t="s">
        <v>25</v>
      </c>
      <c r="O3713" t="s">
        <v>195</v>
      </c>
      <c r="P3713" s="1" t="s">
        <v>30</v>
      </c>
      <c r="Q3713">
        <v>126.9</v>
      </c>
    </row>
    <row r="3714" spans="11:17" x14ac:dyDescent="0.3">
      <c r="K3714">
        <v>2016</v>
      </c>
      <c r="L3714" t="s">
        <v>44</v>
      </c>
      <c r="M3714" t="s">
        <v>99</v>
      </c>
      <c r="N3714" t="s">
        <v>25</v>
      </c>
      <c r="O3714" t="s">
        <v>195</v>
      </c>
      <c r="P3714" s="1" t="s">
        <v>34</v>
      </c>
      <c r="Q3714">
        <v>124</v>
      </c>
    </row>
    <row r="3715" spans="11:17" x14ac:dyDescent="0.3">
      <c r="K3715">
        <v>2016</v>
      </c>
      <c r="L3715" t="s">
        <v>44</v>
      </c>
      <c r="M3715" t="s">
        <v>99</v>
      </c>
      <c r="N3715" t="s">
        <v>25</v>
      </c>
      <c r="O3715" t="s">
        <v>195</v>
      </c>
      <c r="P3715" s="1" t="s">
        <v>33</v>
      </c>
      <c r="Q3715">
        <v>121.7</v>
      </c>
    </row>
    <row r="3716" spans="11:17" x14ac:dyDescent="0.3">
      <c r="K3716">
        <v>2016</v>
      </c>
      <c r="L3716" t="s">
        <v>44</v>
      </c>
      <c r="M3716" t="s">
        <v>99</v>
      </c>
      <c r="N3716" t="s">
        <v>12</v>
      </c>
      <c r="O3716" t="s">
        <v>188</v>
      </c>
      <c r="P3716" s="1" t="s">
        <v>30</v>
      </c>
      <c r="Q3716">
        <v>136.80000000000001</v>
      </c>
    </row>
    <row r="3717" spans="11:17" x14ac:dyDescent="0.3">
      <c r="K3717">
        <v>2016</v>
      </c>
      <c r="L3717" t="s">
        <v>44</v>
      </c>
      <c r="M3717" t="s">
        <v>99</v>
      </c>
      <c r="N3717" t="s">
        <v>12</v>
      </c>
      <c r="O3717" t="s">
        <v>188</v>
      </c>
      <c r="P3717" s="1" t="s">
        <v>34</v>
      </c>
      <c r="Q3717">
        <v>139.69999999999999</v>
      </c>
    </row>
    <row r="3718" spans="11:17" x14ac:dyDescent="0.3">
      <c r="K3718">
        <v>2016</v>
      </c>
      <c r="L3718" t="s">
        <v>44</v>
      </c>
      <c r="M3718" t="s">
        <v>99</v>
      </c>
      <c r="N3718" t="s">
        <v>12</v>
      </c>
      <c r="O3718" t="s">
        <v>188</v>
      </c>
      <c r="P3718" s="1" t="s">
        <v>33</v>
      </c>
      <c r="Q3718">
        <v>145.4</v>
      </c>
    </row>
    <row r="3719" spans="11:17" x14ac:dyDescent="0.3">
      <c r="K3719">
        <v>2016</v>
      </c>
      <c r="L3719" t="s">
        <v>44</v>
      </c>
      <c r="M3719" t="s">
        <v>99</v>
      </c>
      <c r="N3719" t="s">
        <v>11</v>
      </c>
      <c r="O3719" t="s">
        <v>188</v>
      </c>
      <c r="P3719" s="1" t="s">
        <v>30</v>
      </c>
      <c r="Q3719">
        <v>113.4</v>
      </c>
    </row>
    <row r="3720" spans="11:17" x14ac:dyDescent="0.3">
      <c r="K3720">
        <v>2016</v>
      </c>
      <c r="L3720" t="s">
        <v>44</v>
      </c>
      <c r="M3720" t="s">
        <v>99</v>
      </c>
      <c r="N3720" t="s">
        <v>11</v>
      </c>
      <c r="O3720" t="s">
        <v>188</v>
      </c>
      <c r="P3720" s="1" t="s">
        <v>34</v>
      </c>
      <c r="Q3720">
        <v>114.1</v>
      </c>
    </row>
    <row r="3721" spans="11:17" x14ac:dyDescent="0.3">
      <c r="K3721">
        <v>2016</v>
      </c>
      <c r="L3721" t="s">
        <v>44</v>
      </c>
      <c r="M3721" t="s">
        <v>99</v>
      </c>
      <c r="N3721" t="s">
        <v>11</v>
      </c>
      <c r="O3721" t="s">
        <v>188</v>
      </c>
      <c r="P3721" s="1" t="s">
        <v>33</v>
      </c>
      <c r="Q3721">
        <v>115.6</v>
      </c>
    </row>
    <row r="3722" spans="11:17" x14ac:dyDescent="0.3">
      <c r="K3722">
        <v>2016</v>
      </c>
      <c r="L3722" t="s">
        <v>44</v>
      </c>
      <c r="M3722" t="s">
        <v>99</v>
      </c>
      <c r="N3722" t="s">
        <v>24</v>
      </c>
      <c r="O3722" t="s">
        <v>191</v>
      </c>
      <c r="P3722" s="1" t="s">
        <v>30</v>
      </c>
      <c r="Q3722">
        <v>118.2</v>
      </c>
    </row>
    <row r="3723" spans="11:17" x14ac:dyDescent="0.3">
      <c r="K3723">
        <v>2016</v>
      </c>
      <c r="L3723" t="s">
        <v>44</v>
      </c>
      <c r="M3723" t="s">
        <v>99</v>
      </c>
      <c r="N3723" t="s">
        <v>24</v>
      </c>
      <c r="O3723" t="s">
        <v>191</v>
      </c>
      <c r="P3723" s="1" t="s">
        <v>34</v>
      </c>
      <c r="Q3723">
        <v>115.7</v>
      </c>
    </row>
    <row r="3724" spans="11:17" x14ac:dyDescent="0.3">
      <c r="K3724">
        <v>2016</v>
      </c>
      <c r="L3724" t="s">
        <v>44</v>
      </c>
      <c r="M3724" t="s">
        <v>99</v>
      </c>
      <c r="N3724" t="s">
        <v>24</v>
      </c>
      <c r="O3724" t="s">
        <v>191</v>
      </c>
      <c r="P3724" s="1" t="s">
        <v>33</v>
      </c>
      <c r="Q3724">
        <v>113.4</v>
      </c>
    </row>
    <row r="3725" spans="11:17" x14ac:dyDescent="0.3">
      <c r="K3725">
        <v>2016</v>
      </c>
      <c r="L3725" t="s">
        <v>44</v>
      </c>
      <c r="M3725" t="s">
        <v>99</v>
      </c>
      <c r="N3725" t="s">
        <v>9</v>
      </c>
      <c r="O3725" t="s">
        <v>188</v>
      </c>
      <c r="P3725" s="1" t="s">
        <v>30</v>
      </c>
      <c r="Q3725">
        <v>141.80000000000001</v>
      </c>
    </row>
    <row r="3726" spans="11:17" x14ac:dyDescent="0.3">
      <c r="K3726">
        <v>2016</v>
      </c>
      <c r="L3726" t="s">
        <v>44</v>
      </c>
      <c r="M3726" t="s">
        <v>99</v>
      </c>
      <c r="N3726" t="s">
        <v>9</v>
      </c>
      <c r="O3726" t="s">
        <v>188</v>
      </c>
      <c r="P3726" s="1" t="s">
        <v>34</v>
      </c>
      <c r="Q3726">
        <v>141.9</v>
      </c>
    </row>
    <row r="3727" spans="11:17" x14ac:dyDescent="0.3">
      <c r="K3727">
        <v>2016</v>
      </c>
      <c r="L3727" t="s">
        <v>44</v>
      </c>
      <c r="M3727" t="s">
        <v>99</v>
      </c>
      <c r="N3727" t="s">
        <v>9</v>
      </c>
      <c r="O3727" t="s">
        <v>188</v>
      </c>
      <c r="P3727" s="1" t="s">
        <v>33</v>
      </c>
      <c r="Q3727">
        <v>142</v>
      </c>
    </row>
    <row r="3728" spans="11:17" x14ac:dyDescent="0.3">
      <c r="K3728">
        <v>2016</v>
      </c>
      <c r="L3728" t="s">
        <v>43</v>
      </c>
      <c r="M3728" t="s">
        <v>100</v>
      </c>
      <c r="N3728" t="s">
        <v>3</v>
      </c>
      <c r="O3728" t="s">
        <v>188</v>
      </c>
      <c r="P3728" s="1" t="s">
        <v>30</v>
      </c>
      <c r="Q3728">
        <v>131.30000000000001</v>
      </c>
    </row>
    <row r="3729" spans="11:17" x14ac:dyDescent="0.3">
      <c r="K3729">
        <v>2016</v>
      </c>
      <c r="L3729" t="s">
        <v>43</v>
      </c>
      <c r="M3729" t="s">
        <v>100</v>
      </c>
      <c r="N3729" t="s">
        <v>3</v>
      </c>
      <c r="O3729" t="s">
        <v>188</v>
      </c>
      <c r="P3729" s="1" t="s">
        <v>34</v>
      </c>
      <c r="Q3729">
        <v>130.5</v>
      </c>
    </row>
    <row r="3730" spans="11:17" x14ac:dyDescent="0.3">
      <c r="K3730">
        <v>2016</v>
      </c>
      <c r="L3730" t="s">
        <v>43</v>
      </c>
      <c r="M3730" t="s">
        <v>100</v>
      </c>
      <c r="N3730" t="s">
        <v>3</v>
      </c>
      <c r="O3730" t="s">
        <v>188</v>
      </c>
      <c r="P3730" s="1" t="s">
        <v>33</v>
      </c>
      <c r="Q3730">
        <v>128.69999999999999</v>
      </c>
    </row>
    <row r="3731" spans="11:17" x14ac:dyDescent="0.3">
      <c r="K3731">
        <v>2016</v>
      </c>
      <c r="L3731" t="s">
        <v>43</v>
      </c>
      <c r="M3731" t="s">
        <v>100</v>
      </c>
      <c r="N3731" t="s">
        <v>17</v>
      </c>
      <c r="O3731" t="s">
        <v>189</v>
      </c>
      <c r="P3731" s="1" t="s">
        <v>30</v>
      </c>
      <c r="Q3731">
        <v>139.6</v>
      </c>
    </row>
    <row r="3732" spans="11:17" x14ac:dyDescent="0.3">
      <c r="K3732">
        <v>2016</v>
      </c>
      <c r="L3732" t="s">
        <v>43</v>
      </c>
      <c r="M3732" t="s">
        <v>100</v>
      </c>
      <c r="N3732" t="s">
        <v>17</v>
      </c>
      <c r="O3732" t="s">
        <v>189</v>
      </c>
      <c r="P3732" s="1" t="s">
        <v>34</v>
      </c>
      <c r="Q3732">
        <v>135.5</v>
      </c>
    </row>
    <row r="3733" spans="11:17" x14ac:dyDescent="0.3">
      <c r="K3733">
        <v>2016</v>
      </c>
      <c r="L3733" t="s">
        <v>43</v>
      </c>
      <c r="M3733" t="s">
        <v>100</v>
      </c>
      <c r="N3733" t="s">
        <v>17</v>
      </c>
      <c r="O3733" t="s">
        <v>189</v>
      </c>
      <c r="P3733" s="1" t="s">
        <v>33</v>
      </c>
      <c r="Q3733">
        <v>129.1</v>
      </c>
    </row>
    <row r="3734" spans="11:17" x14ac:dyDescent="0.3">
      <c r="K3734">
        <v>2016</v>
      </c>
      <c r="L3734" t="s">
        <v>43</v>
      </c>
      <c r="M3734" t="s">
        <v>100</v>
      </c>
      <c r="N3734" t="s">
        <v>19</v>
      </c>
      <c r="O3734" t="s">
        <v>189</v>
      </c>
      <c r="P3734" s="1" t="s">
        <v>30</v>
      </c>
      <c r="Q3734">
        <v>138.80000000000001</v>
      </c>
    </row>
    <row r="3735" spans="11:17" x14ac:dyDescent="0.3">
      <c r="K3735">
        <v>2016</v>
      </c>
      <c r="L3735" t="s">
        <v>43</v>
      </c>
      <c r="M3735" t="s">
        <v>100</v>
      </c>
      <c r="N3735" t="s">
        <v>19</v>
      </c>
      <c r="O3735" t="s">
        <v>189</v>
      </c>
      <c r="P3735" s="1" t="s">
        <v>34</v>
      </c>
      <c r="Q3735">
        <v>134.5</v>
      </c>
    </row>
    <row r="3736" spans="11:17" x14ac:dyDescent="0.3">
      <c r="K3736">
        <v>2016</v>
      </c>
      <c r="L3736" t="s">
        <v>43</v>
      </c>
      <c r="M3736" t="s">
        <v>100</v>
      </c>
      <c r="N3736" t="s">
        <v>19</v>
      </c>
      <c r="O3736" t="s">
        <v>189</v>
      </c>
      <c r="P3736" s="1" t="s">
        <v>33</v>
      </c>
      <c r="Q3736">
        <v>128</v>
      </c>
    </row>
    <row r="3737" spans="11:17" x14ac:dyDescent="0.3">
      <c r="K3737">
        <v>2016</v>
      </c>
      <c r="L3737" t="s">
        <v>43</v>
      </c>
      <c r="M3737" t="s">
        <v>100</v>
      </c>
      <c r="N3737" t="s">
        <v>26</v>
      </c>
      <c r="O3737" t="s">
        <v>26</v>
      </c>
      <c r="P3737" s="1" t="s">
        <v>30</v>
      </c>
      <c r="Q3737">
        <v>133</v>
      </c>
    </row>
    <row r="3738" spans="11:17" x14ac:dyDescent="0.3">
      <c r="K3738">
        <v>2016</v>
      </c>
      <c r="L3738" t="s">
        <v>43</v>
      </c>
      <c r="M3738" t="s">
        <v>100</v>
      </c>
      <c r="N3738" t="s">
        <v>26</v>
      </c>
      <c r="O3738" t="s">
        <v>26</v>
      </c>
      <c r="P3738" s="1" t="s">
        <v>34</v>
      </c>
      <c r="Q3738">
        <v>132.4</v>
      </c>
    </row>
    <row r="3739" spans="11:17" x14ac:dyDescent="0.3">
      <c r="K3739">
        <v>2016</v>
      </c>
      <c r="L3739" t="s">
        <v>43</v>
      </c>
      <c r="M3739" t="s">
        <v>100</v>
      </c>
      <c r="N3739" t="s">
        <v>26</v>
      </c>
      <c r="O3739" t="s">
        <v>26</v>
      </c>
      <c r="P3739" s="1" t="s">
        <v>33</v>
      </c>
      <c r="Q3739">
        <v>131.9</v>
      </c>
    </row>
    <row r="3740" spans="11:17" x14ac:dyDescent="0.3">
      <c r="K3740">
        <v>2016</v>
      </c>
      <c r="L3740" t="s">
        <v>43</v>
      </c>
      <c r="M3740" t="s">
        <v>100</v>
      </c>
      <c r="N3740" t="s">
        <v>5</v>
      </c>
      <c r="O3740" t="s">
        <v>188</v>
      </c>
      <c r="P3740" s="1" t="s">
        <v>30</v>
      </c>
      <c r="Q3740">
        <v>130.1</v>
      </c>
    </row>
    <row r="3741" spans="11:17" x14ac:dyDescent="0.3">
      <c r="K3741">
        <v>2016</v>
      </c>
      <c r="L3741" t="s">
        <v>43</v>
      </c>
      <c r="M3741" t="s">
        <v>100</v>
      </c>
      <c r="N3741" t="s">
        <v>5</v>
      </c>
      <c r="O3741" t="s">
        <v>188</v>
      </c>
      <c r="P3741" s="1" t="s">
        <v>34</v>
      </c>
      <c r="Q3741">
        <v>130.19999999999999</v>
      </c>
    </row>
    <row r="3742" spans="11:17" x14ac:dyDescent="0.3">
      <c r="K3742">
        <v>2016</v>
      </c>
      <c r="L3742" t="s">
        <v>43</v>
      </c>
      <c r="M3742" t="s">
        <v>100</v>
      </c>
      <c r="N3742" t="s">
        <v>5</v>
      </c>
      <c r="O3742" t="s">
        <v>188</v>
      </c>
      <c r="P3742" s="1" t="s">
        <v>33</v>
      </c>
      <c r="Q3742">
        <v>130.30000000000001</v>
      </c>
    </row>
    <row r="3743" spans="11:17" x14ac:dyDescent="0.3">
      <c r="K3743">
        <v>2016</v>
      </c>
      <c r="L3743" t="s">
        <v>43</v>
      </c>
      <c r="M3743" t="s">
        <v>100</v>
      </c>
      <c r="N3743" t="s">
        <v>15</v>
      </c>
      <c r="O3743" t="s">
        <v>188</v>
      </c>
      <c r="P3743" s="1" t="s">
        <v>30</v>
      </c>
      <c r="Q3743">
        <v>137.4</v>
      </c>
    </row>
    <row r="3744" spans="11:17" x14ac:dyDescent="0.3">
      <c r="K3744">
        <v>2016</v>
      </c>
      <c r="L3744" t="s">
        <v>43</v>
      </c>
      <c r="M3744" t="s">
        <v>100</v>
      </c>
      <c r="N3744" t="s">
        <v>15</v>
      </c>
      <c r="O3744" t="s">
        <v>188</v>
      </c>
      <c r="P3744" s="1" t="s">
        <v>34</v>
      </c>
      <c r="Q3744">
        <v>137</v>
      </c>
    </row>
    <row r="3745" spans="11:17" x14ac:dyDescent="0.3">
      <c r="K3745">
        <v>2016</v>
      </c>
      <c r="L3745" t="s">
        <v>43</v>
      </c>
      <c r="M3745" t="s">
        <v>100</v>
      </c>
      <c r="N3745" t="s">
        <v>15</v>
      </c>
      <c r="O3745" t="s">
        <v>188</v>
      </c>
      <c r="P3745" s="1" t="s">
        <v>33</v>
      </c>
      <c r="Q3745">
        <v>136.30000000000001</v>
      </c>
    </row>
    <row r="3746" spans="11:17" x14ac:dyDescent="0.3">
      <c r="K3746">
        <v>2016</v>
      </c>
      <c r="L3746" t="s">
        <v>43</v>
      </c>
      <c r="M3746" t="s">
        <v>100</v>
      </c>
      <c r="N3746" t="s">
        <v>18</v>
      </c>
      <c r="O3746" t="s">
        <v>189</v>
      </c>
      <c r="P3746" s="1" t="s">
        <v>30</v>
      </c>
      <c r="Q3746">
        <v>134.30000000000001</v>
      </c>
    </row>
    <row r="3747" spans="11:17" x14ac:dyDescent="0.3">
      <c r="K3747">
        <v>2016</v>
      </c>
      <c r="L3747" t="s">
        <v>43</v>
      </c>
      <c r="M3747" t="s">
        <v>100</v>
      </c>
      <c r="N3747" t="s">
        <v>18</v>
      </c>
      <c r="O3747" t="s">
        <v>189</v>
      </c>
      <c r="P3747" s="1" t="s">
        <v>34</v>
      </c>
      <c r="Q3747">
        <v>129.1</v>
      </c>
    </row>
    <row r="3748" spans="11:17" x14ac:dyDescent="0.3">
      <c r="K3748">
        <v>2016</v>
      </c>
      <c r="L3748" t="s">
        <v>43</v>
      </c>
      <c r="M3748" t="s">
        <v>100</v>
      </c>
      <c r="N3748" t="s">
        <v>18</v>
      </c>
      <c r="O3748" t="s">
        <v>189</v>
      </c>
      <c r="P3748" s="1" t="s">
        <v>33</v>
      </c>
      <c r="Q3748">
        <v>121.9</v>
      </c>
    </row>
    <row r="3749" spans="11:17" x14ac:dyDescent="0.3">
      <c r="K3749">
        <v>2016</v>
      </c>
      <c r="L3749" t="s">
        <v>43</v>
      </c>
      <c r="M3749" t="s">
        <v>100</v>
      </c>
      <c r="N3749" t="s">
        <v>8</v>
      </c>
      <c r="O3749" t="s">
        <v>188</v>
      </c>
      <c r="P3749" s="1" t="s">
        <v>30</v>
      </c>
      <c r="Q3749">
        <v>138.4</v>
      </c>
    </row>
    <row r="3750" spans="11:17" x14ac:dyDescent="0.3">
      <c r="K3750">
        <v>2016</v>
      </c>
      <c r="L3750" t="s">
        <v>43</v>
      </c>
      <c r="M3750" t="s">
        <v>100</v>
      </c>
      <c r="N3750" t="s">
        <v>8</v>
      </c>
      <c r="O3750" t="s">
        <v>188</v>
      </c>
      <c r="P3750" s="1" t="s">
        <v>34</v>
      </c>
      <c r="Q3750">
        <v>134.69999999999999</v>
      </c>
    </row>
    <row r="3751" spans="11:17" x14ac:dyDescent="0.3">
      <c r="K3751">
        <v>2016</v>
      </c>
      <c r="L3751" t="s">
        <v>43</v>
      </c>
      <c r="M3751" t="s">
        <v>100</v>
      </c>
      <c r="N3751" t="s">
        <v>8</v>
      </c>
      <c r="O3751" t="s">
        <v>188</v>
      </c>
      <c r="P3751" s="1" t="s">
        <v>33</v>
      </c>
      <c r="Q3751">
        <v>130.4</v>
      </c>
    </row>
    <row r="3752" spans="11:17" x14ac:dyDescent="0.3">
      <c r="K3752">
        <v>2016</v>
      </c>
      <c r="L3752" t="s">
        <v>43</v>
      </c>
      <c r="M3752" t="s">
        <v>100</v>
      </c>
      <c r="N3752" t="s">
        <v>21</v>
      </c>
      <c r="O3752" t="s">
        <v>190</v>
      </c>
      <c r="P3752" s="1" t="s">
        <v>30</v>
      </c>
      <c r="Q3752">
        <v>129.80000000000001</v>
      </c>
    </row>
    <row r="3753" spans="11:17" x14ac:dyDescent="0.3">
      <c r="K3753">
        <v>2016</v>
      </c>
      <c r="L3753" t="s">
        <v>43</v>
      </c>
      <c r="M3753" t="s">
        <v>100</v>
      </c>
      <c r="N3753" t="s">
        <v>21</v>
      </c>
      <c r="O3753" t="s">
        <v>190</v>
      </c>
      <c r="P3753" s="1" t="s">
        <v>34</v>
      </c>
      <c r="Q3753">
        <v>124.3</v>
      </c>
    </row>
    <row r="3754" spans="11:17" x14ac:dyDescent="0.3">
      <c r="K3754">
        <v>2016</v>
      </c>
      <c r="L3754" t="s">
        <v>43</v>
      </c>
      <c r="M3754" t="s">
        <v>100</v>
      </c>
      <c r="N3754" t="s">
        <v>21</v>
      </c>
      <c r="O3754" t="s">
        <v>190</v>
      </c>
      <c r="P3754" s="1" t="s">
        <v>33</v>
      </c>
      <c r="Q3754">
        <v>115.2</v>
      </c>
    </row>
    <row r="3755" spans="11:17" x14ac:dyDescent="0.3">
      <c r="K3755">
        <v>2016</v>
      </c>
      <c r="L3755" t="s">
        <v>43</v>
      </c>
      <c r="M3755" t="s">
        <v>100</v>
      </c>
      <c r="N3755" t="s">
        <v>29</v>
      </c>
      <c r="O3755" t="s">
        <v>206</v>
      </c>
      <c r="P3755" s="1" t="s">
        <v>30</v>
      </c>
      <c r="Q3755">
        <v>133.80000000000001</v>
      </c>
    </row>
    <row r="3756" spans="11:17" x14ac:dyDescent="0.3">
      <c r="K3756">
        <v>2016</v>
      </c>
      <c r="L3756" t="s">
        <v>43</v>
      </c>
      <c r="M3756" t="s">
        <v>100</v>
      </c>
      <c r="N3756" t="s">
        <v>29</v>
      </c>
      <c r="O3756" t="s">
        <v>206</v>
      </c>
      <c r="P3756" s="1" t="s">
        <v>34</v>
      </c>
      <c r="Q3756">
        <v>131.4</v>
      </c>
    </row>
    <row r="3757" spans="11:17" x14ac:dyDescent="0.3">
      <c r="K3757">
        <v>2016</v>
      </c>
      <c r="L3757" t="s">
        <v>43</v>
      </c>
      <c r="M3757" t="s">
        <v>100</v>
      </c>
      <c r="N3757" t="s">
        <v>29</v>
      </c>
      <c r="O3757" t="s">
        <v>206</v>
      </c>
      <c r="P3757" s="1" t="s">
        <v>33</v>
      </c>
      <c r="Q3757">
        <v>128.6</v>
      </c>
    </row>
    <row r="3758" spans="11:17" x14ac:dyDescent="0.3">
      <c r="K3758">
        <v>2016</v>
      </c>
      <c r="L3758" t="s">
        <v>43</v>
      </c>
      <c r="M3758" t="s">
        <v>100</v>
      </c>
      <c r="N3758" t="s">
        <v>23</v>
      </c>
      <c r="O3758" t="s">
        <v>23</v>
      </c>
      <c r="P3758" s="1" t="s">
        <v>30</v>
      </c>
      <c r="Q3758">
        <v>128.69999999999999</v>
      </c>
    </row>
    <row r="3759" spans="11:17" x14ac:dyDescent="0.3">
      <c r="K3759">
        <v>2016</v>
      </c>
      <c r="L3759" t="s">
        <v>43</v>
      </c>
      <c r="M3759" t="s">
        <v>100</v>
      </c>
      <c r="N3759" t="s">
        <v>23</v>
      </c>
      <c r="O3759" t="s">
        <v>23</v>
      </c>
      <c r="P3759" s="1" t="s">
        <v>34</v>
      </c>
      <c r="Q3759">
        <v>126.1</v>
      </c>
    </row>
    <row r="3760" spans="11:17" x14ac:dyDescent="0.3">
      <c r="K3760">
        <v>2016</v>
      </c>
      <c r="L3760" t="s">
        <v>43</v>
      </c>
      <c r="M3760" t="s">
        <v>100</v>
      </c>
      <c r="N3760" t="s">
        <v>23</v>
      </c>
      <c r="O3760" t="s">
        <v>23</v>
      </c>
      <c r="P3760" s="1" t="s">
        <v>33</v>
      </c>
      <c r="Q3760">
        <v>121.8</v>
      </c>
    </row>
    <row r="3761" spans="11:17" x14ac:dyDescent="0.3">
      <c r="K3761">
        <v>2016</v>
      </c>
      <c r="L3761" t="s">
        <v>43</v>
      </c>
      <c r="M3761" t="s">
        <v>100</v>
      </c>
      <c r="N3761" t="s">
        <v>22</v>
      </c>
      <c r="O3761" t="s">
        <v>20</v>
      </c>
      <c r="P3761" s="1" t="s">
        <v>30</v>
      </c>
      <c r="Q3761">
        <v>131.80000000000001</v>
      </c>
    </row>
    <row r="3762" spans="11:17" x14ac:dyDescent="0.3">
      <c r="K3762">
        <v>2016</v>
      </c>
      <c r="L3762" t="s">
        <v>43</v>
      </c>
      <c r="M3762" t="s">
        <v>100</v>
      </c>
      <c r="N3762" t="s">
        <v>22</v>
      </c>
      <c r="O3762" t="s">
        <v>20</v>
      </c>
      <c r="P3762" s="1" t="s">
        <v>34</v>
      </c>
      <c r="Q3762">
        <v>128.4</v>
      </c>
    </row>
    <row r="3763" spans="11:17" x14ac:dyDescent="0.3">
      <c r="K3763">
        <v>2016</v>
      </c>
      <c r="L3763" t="s">
        <v>43</v>
      </c>
      <c r="M3763" t="s">
        <v>100</v>
      </c>
      <c r="N3763" t="s">
        <v>22</v>
      </c>
      <c r="O3763" t="s">
        <v>20</v>
      </c>
      <c r="P3763" s="1" t="s">
        <v>33</v>
      </c>
      <c r="Q3763">
        <v>124.5</v>
      </c>
    </row>
    <row r="3764" spans="11:17" x14ac:dyDescent="0.3">
      <c r="K3764">
        <v>2016</v>
      </c>
      <c r="L3764" t="s">
        <v>43</v>
      </c>
      <c r="M3764" t="s">
        <v>100</v>
      </c>
      <c r="N3764" t="s">
        <v>20</v>
      </c>
      <c r="O3764" t="s">
        <v>20</v>
      </c>
      <c r="P3764" s="1" t="s">
        <v>30</v>
      </c>
      <c r="Q3764">
        <v>0</v>
      </c>
    </row>
    <row r="3765" spans="11:17" x14ac:dyDescent="0.3">
      <c r="K3765">
        <v>2016</v>
      </c>
      <c r="L3765" t="s">
        <v>43</v>
      </c>
      <c r="M3765" t="s">
        <v>100</v>
      </c>
      <c r="N3765" t="s">
        <v>20</v>
      </c>
      <c r="O3765" t="s">
        <v>20</v>
      </c>
      <c r="P3765" s="1" t="s">
        <v>34</v>
      </c>
      <c r="Q3765">
        <v>128.69999999999999</v>
      </c>
    </row>
    <row r="3766" spans="11:17" x14ac:dyDescent="0.3">
      <c r="K3766">
        <v>2016</v>
      </c>
      <c r="L3766" t="s">
        <v>43</v>
      </c>
      <c r="M3766" t="s">
        <v>100</v>
      </c>
      <c r="N3766" t="s">
        <v>20</v>
      </c>
      <c r="O3766" t="s">
        <v>20</v>
      </c>
      <c r="P3766" s="1" t="s">
        <v>33</v>
      </c>
      <c r="Q3766">
        <v>128.69999999999999</v>
      </c>
    </row>
    <row r="3767" spans="11:17" x14ac:dyDescent="0.3">
      <c r="K3767">
        <v>2016</v>
      </c>
      <c r="L3767" t="s">
        <v>43</v>
      </c>
      <c r="M3767" t="s">
        <v>100</v>
      </c>
      <c r="N3767" t="s">
        <v>4</v>
      </c>
      <c r="O3767" t="s">
        <v>188</v>
      </c>
      <c r="P3767" s="1" t="s">
        <v>30</v>
      </c>
      <c r="Q3767">
        <v>137.6</v>
      </c>
    </row>
    <row r="3768" spans="11:17" x14ac:dyDescent="0.3">
      <c r="K3768">
        <v>2016</v>
      </c>
      <c r="L3768" t="s">
        <v>43</v>
      </c>
      <c r="M3768" t="s">
        <v>100</v>
      </c>
      <c r="N3768" t="s">
        <v>4</v>
      </c>
      <c r="O3768" t="s">
        <v>188</v>
      </c>
      <c r="P3768" s="1" t="s">
        <v>34</v>
      </c>
      <c r="Q3768">
        <v>137.9</v>
      </c>
    </row>
    <row r="3769" spans="11:17" x14ac:dyDescent="0.3">
      <c r="K3769">
        <v>2016</v>
      </c>
      <c r="L3769" t="s">
        <v>43</v>
      </c>
      <c r="M3769" t="s">
        <v>100</v>
      </c>
      <c r="N3769" t="s">
        <v>4</v>
      </c>
      <c r="O3769" t="s">
        <v>188</v>
      </c>
      <c r="P3769" s="1" t="s">
        <v>33</v>
      </c>
      <c r="Q3769">
        <v>138.4</v>
      </c>
    </row>
    <row r="3770" spans="11:17" x14ac:dyDescent="0.3">
      <c r="K3770">
        <v>2016</v>
      </c>
      <c r="L3770" t="s">
        <v>43</v>
      </c>
      <c r="M3770" t="s">
        <v>100</v>
      </c>
      <c r="N3770" t="s">
        <v>6</v>
      </c>
      <c r="O3770" t="s">
        <v>188</v>
      </c>
      <c r="P3770" s="1" t="s">
        <v>30</v>
      </c>
      <c r="Q3770">
        <v>136</v>
      </c>
    </row>
    <row r="3771" spans="11:17" x14ac:dyDescent="0.3">
      <c r="K3771">
        <v>2016</v>
      </c>
      <c r="L3771" t="s">
        <v>43</v>
      </c>
      <c r="M3771" t="s">
        <v>100</v>
      </c>
      <c r="N3771" t="s">
        <v>6</v>
      </c>
      <c r="O3771" t="s">
        <v>188</v>
      </c>
      <c r="P3771" s="1" t="s">
        <v>34</v>
      </c>
      <c r="Q3771">
        <v>134.80000000000001</v>
      </c>
    </row>
    <row r="3772" spans="11:17" x14ac:dyDescent="0.3">
      <c r="K3772">
        <v>2016</v>
      </c>
      <c r="L3772" t="s">
        <v>43</v>
      </c>
      <c r="M3772" t="s">
        <v>100</v>
      </c>
      <c r="N3772" t="s">
        <v>6</v>
      </c>
      <c r="O3772" t="s">
        <v>188</v>
      </c>
      <c r="P3772" s="1" t="s">
        <v>33</v>
      </c>
      <c r="Q3772">
        <v>132.69999999999999</v>
      </c>
    </row>
    <row r="3773" spans="11:17" x14ac:dyDescent="0.3">
      <c r="K3773">
        <v>2016</v>
      </c>
      <c r="L3773" t="s">
        <v>43</v>
      </c>
      <c r="M3773" t="s">
        <v>100</v>
      </c>
      <c r="N3773" t="s">
        <v>28</v>
      </c>
      <c r="O3773" t="s">
        <v>192</v>
      </c>
      <c r="P3773" s="1" t="s">
        <v>30</v>
      </c>
      <c r="Q3773">
        <v>125.7</v>
      </c>
    </row>
    <row r="3774" spans="11:17" x14ac:dyDescent="0.3">
      <c r="K3774">
        <v>2016</v>
      </c>
      <c r="L3774" t="s">
        <v>43</v>
      </c>
      <c r="M3774" t="s">
        <v>100</v>
      </c>
      <c r="N3774" t="s">
        <v>28</v>
      </c>
      <c r="O3774" t="s">
        <v>192</v>
      </c>
      <c r="P3774" s="1" t="s">
        <v>34</v>
      </c>
      <c r="Q3774">
        <v>123.4</v>
      </c>
    </row>
    <row r="3775" spans="11:17" x14ac:dyDescent="0.3">
      <c r="K3775">
        <v>2016</v>
      </c>
      <c r="L3775" t="s">
        <v>43</v>
      </c>
      <c r="M3775" t="s">
        <v>100</v>
      </c>
      <c r="N3775" t="s">
        <v>28</v>
      </c>
      <c r="O3775" t="s">
        <v>192</v>
      </c>
      <c r="P3775" s="1" t="s">
        <v>33</v>
      </c>
      <c r="Q3775">
        <v>120.9</v>
      </c>
    </row>
    <row r="3776" spans="11:17" x14ac:dyDescent="0.3">
      <c r="K3776">
        <v>2016</v>
      </c>
      <c r="L3776" t="s">
        <v>43</v>
      </c>
      <c r="M3776" t="s">
        <v>100</v>
      </c>
      <c r="N3776" t="s">
        <v>13</v>
      </c>
      <c r="O3776" t="s">
        <v>188</v>
      </c>
      <c r="P3776" s="1" t="s">
        <v>30</v>
      </c>
      <c r="Q3776">
        <v>128.69999999999999</v>
      </c>
    </row>
    <row r="3777" spans="11:17" x14ac:dyDescent="0.3">
      <c r="K3777">
        <v>2016</v>
      </c>
      <c r="L3777" t="s">
        <v>43</v>
      </c>
      <c r="M3777" t="s">
        <v>100</v>
      </c>
      <c r="N3777" t="s">
        <v>13</v>
      </c>
      <c r="O3777" t="s">
        <v>188</v>
      </c>
      <c r="P3777" s="1" t="s">
        <v>34</v>
      </c>
      <c r="Q3777">
        <v>126.1</v>
      </c>
    </row>
    <row r="3778" spans="11:17" x14ac:dyDescent="0.3">
      <c r="K3778">
        <v>2016</v>
      </c>
      <c r="L3778" t="s">
        <v>43</v>
      </c>
      <c r="M3778" t="s">
        <v>100</v>
      </c>
      <c r="N3778" t="s">
        <v>13</v>
      </c>
      <c r="O3778" t="s">
        <v>188</v>
      </c>
      <c r="P3778" s="1" t="s">
        <v>33</v>
      </c>
      <c r="Q3778">
        <v>122.5</v>
      </c>
    </row>
    <row r="3779" spans="11:17" x14ac:dyDescent="0.3">
      <c r="K3779">
        <v>2016</v>
      </c>
      <c r="L3779" t="s">
        <v>43</v>
      </c>
      <c r="M3779" t="s">
        <v>100</v>
      </c>
      <c r="N3779" t="s">
        <v>7</v>
      </c>
      <c r="O3779" t="s">
        <v>188</v>
      </c>
      <c r="P3779" s="1" t="s">
        <v>30</v>
      </c>
      <c r="Q3779">
        <v>120.8</v>
      </c>
    </row>
    <row r="3780" spans="11:17" x14ac:dyDescent="0.3">
      <c r="K3780">
        <v>2016</v>
      </c>
      <c r="L3780" t="s">
        <v>43</v>
      </c>
      <c r="M3780" t="s">
        <v>100</v>
      </c>
      <c r="N3780" t="s">
        <v>7</v>
      </c>
      <c r="O3780" t="s">
        <v>188</v>
      </c>
      <c r="P3780" s="1" t="s">
        <v>34</v>
      </c>
      <c r="Q3780">
        <v>117.8</v>
      </c>
    </row>
    <row r="3781" spans="11:17" x14ac:dyDescent="0.3">
      <c r="K3781">
        <v>2016</v>
      </c>
      <c r="L3781" t="s">
        <v>43</v>
      </c>
      <c r="M3781" t="s">
        <v>100</v>
      </c>
      <c r="N3781" t="s">
        <v>7</v>
      </c>
      <c r="O3781" t="s">
        <v>188</v>
      </c>
      <c r="P3781" s="1" t="s">
        <v>33</v>
      </c>
      <c r="Q3781">
        <v>112.5</v>
      </c>
    </row>
    <row r="3782" spans="11:17" x14ac:dyDescent="0.3">
      <c r="K3782">
        <v>2016</v>
      </c>
      <c r="L3782" t="s">
        <v>43</v>
      </c>
      <c r="M3782" t="s">
        <v>100</v>
      </c>
      <c r="N3782" t="s">
        <v>16</v>
      </c>
      <c r="O3782" t="s">
        <v>192</v>
      </c>
      <c r="P3782" s="1" t="s">
        <v>30</v>
      </c>
      <c r="Q3782">
        <v>140.9</v>
      </c>
    </row>
    <row r="3783" spans="11:17" x14ac:dyDescent="0.3">
      <c r="K3783">
        <v>2016</v>
      </c>
      <c r="L3783" t="s">
        <v>43</v>
      </c>
      <c r="M3783" t="s">
        <v>100</v>
      </c>
      <c r="N3783" t="s">
        <v>16</v>
      </c>
      <c r="O3783" t="s">
        <v>192</v>
      </c>
      <c r="P3783" s="1" t="s">
        <v>34</v>
      </c>
      <c r="Q3783">
        <v>141.80000000000001</v>
      </c>
    </row>
    <row r="3784" spans="11:17" x14ac:dyDescent="0.3">
      <c r="K3784">
        <v>2016</v>
      </c>
      <c r="L3784" t="s">
        <v>43</v>
      </c>
      <c r="M3784" t="s">
        <v>100</v>
      </c>
      <c r="N3784" t="s">
        <v>16</v>
      </c>
      <c r="O3784" t="s">
        <v>192</v>
      </c>
      <c r="P3784" s="1" t="s">
        <v>33</v>
      </c>
      <c r="Q3784">
        <v>144.30000000000001</v>
      </c>
    </row>
    <row r="3785" spans="11:17" x14ac:dyDescent="0.3">
      <c r="K3785">
        <v>2016</v>
      </c>
      <c r="L3785" t="s">
        <v>43</v>
      </c>
      <c r="M3785" t="s">
        <v>100</v>
      </c>
      <c r="N3785" t="s">
        <v>27</v>
      </c>
      <c r="O3785" t="s">
        <v>192</v>
      </c>
      <c r="P3785" s="1" t="s">
        <v>30</v>
      </c>
      <c r="Q3785">
        <v>123</v>
      </c>
    </row>
    <row r="3786" spans="11:17" x14ac:dyDescent="0.3">
      <c r="K3786">
        <v>2016</v>
      </c>
      <c r="L3786" t="s">
        <v>43</v>
      </c>
      <c r="M3786" t="s">
        <v>100</v>
      </c>
      <c r="N3786" t="s">
        <v>27</v>
      </c>
      <c r="O3786" t="s">
        <v>192</v>
      </c>
      <c r="P3786" s="1" t="s">
        <v>34</v>
      </c>
      <c r="Q3786">
        <v>122.1</v>
      </c>
    </row>
    <row r="3787" spans="11:17" x14ac:dyDescent="0.3">
      <c r="K3787">
        <v>2016</v>
      </c>
      <c r="L3787" t="s">
        <v>43</v>
      </c>
      <c r="M3787" t="s">
        <v>100</v>
      </c>
      <c r="N3787" t="s">
        <v>27</v>
      </c>
      <c r="O3787" t="s">
        <v>192</v>
      </c>
      <c r="P3787" s="1" t="s">
        <v>33</v>
      </c>
      <c r="Q3787">
        <v>120.8</v>
      </c>
    </row>
    <row r="3788" spans="11:17" x14ac:dyDescent="0.3">
      <c r="K3788">
        <v>2016</v>
      </c>
      <c r="L3788" t="s">
        <v>43</v>
      </c>
      <c r="M3788" t="s">
        <v>100</v>
      </c>
      <c r="N3788" t="s">
        <v>14</v>
      </c>
      <c r="O3788" t="s">
        <v>188</v>
      </c>
      <c r="P3788" s="1" t="s">
        <v>30</v>
      </c>
      <c r="Q3788">
        <v>142.4</v>
      </c>
    </row>
    <row r="3789" spans="11:17" x14ac:dyDescent="0.3">
      <c r="K3789">
        <v>2016</v>
      </c>
      <c r="L3789" t="s">
        <v>43</v>
      </c>
      <c r="M3789" t="s">
        <v>100</v>
      </c>
      <c r="N3789" t="s">
        <v>14</v>
      </c>
      <c r="O3789" t="s">
        <v>188</v>
      </c>
      <c r="P3789" s="1" t="s">
        <v>34</v>
      </c>
      <c r="Q3789">
        <v>141.1</v>
      </c>
    </row>
    <row r="3790" spans="11:17" x14ac:dyDescent="0.3">
      <c r="K3790">
        <v>2016</v>
      </c>
      <c r="L3790" t="s">
        <v>43</v>
      </c>
      <c r="M3790" t="s">
        <v>100</v>
      </c>
      <c r="N3790" t="s">
        <v>14</v>
      </c>
      <c r="O3790" t="s">
        <v>188</v>
      </c>
      <c r="P3790" s="1" t="s">
        <v>33</v>
      </c>
      <c r="Q3790">
        <v>139.6</v>
      </c>
    </row>
    <row r="3791" spans="11:17" x14ac:dyDescent="0.3">
      <c r="K3791">
        <v>2016</v>
      </c>
      <c r="L3791" t="s">
        <v>43</v>
      </c>
      <c r="M3791" t="s">
        <v>100</v>
      </c>
      <c r="N3791" t="s">
        <v>10</v>
      </c>
      <c r="O3791" t="s">
        <v>188</v>
      </c>
      <c r="P3791" s="1" t="s">
        <v>30</v>
      </c>
      <c r="Q3791">
        <v>170.2</v>
      </c>
    </row>
    <row r="3792" spans="11:17" x14ac:dyDescent="0.3">
      <c r="K3792">
        <v>2016</v>
      </c>
      <c r="L3792" t="s">
        <v>43</v>
      </c>
      <c r="M3792" t="s">
        <v>100</v>
      </c>
      <c r="N3792" t="s">
        <v>10</v>
      </c>
      <c r="O3792" t="s">
        <v>188</v>
      </c>
      <c r="P3792" s="1" t="s">
        <v>34</v>
      </c>
      <c r="Q3792">
        <v>172.1</v>
      </c>
    </row>
    <row r="3793" spans="11:17" x14ac:dyDescent="0.3">
      <c r="K3793">
        <v>2016</v>
      </c>
      <c r="L3793" t="s">
        <v>43</v>
      </c>
      <c r="M3793" t="s">
        <v>100</v>
      </c>
      <c r="N3793" t="s">
        <v>10</v>
      </c>
      <c r="O3793" t="s">
        <v>188</v>
      </c>
      <c r="P3793" s="1" t="s">
        <v>33</v>
      </c>
      <c r="Q3793">
        <v>175.7</v>
      </c>
    </row>
    <row r="3794" spans="11:17" x14ac:dyDescent="0.3">
      <c r="K3794">
        <v>2016</v>
      </c>
      <c r="L3794" t="s">
        <v>43</v>
      </c>
      <c r="M3794" t="s">
        <v>100</v>
      </c>
      <c r="N3794" t="s">
        <v>25</v>
      </c>
      <c r="O3794" t="s">
        <v>195</v>
      </c>
      <c r="P3794" s="1" t="s">
        <v>30</v>
      </c>
      <c r="Q3794">
        <v>126.5</v>
      </c>
    </row>
    <row r="3795" spans="11:17" x14ac:dyDescent="0.3">
      <c r="K3795">
        <v>2016</v>
      </c>
      <c r="L3795" t="s">
        <v>43</v>
      </c>
      <c r="M3795" t="s">
        <v>100</v>
      </c>
      <c r="N3795" t="s">
        <v>25</v>
      </c>
      <c r="O3795" t="s">
        <v>195</v>
      </c>
      <c r="P3795" s="1" t="s">
        <v>34</v>
      </c>
      <c r="Q3795">
        <v>123.5</v>
      </c>
    </row>
    <row r="3796" spans="11:17" x14ac:dyDescent="0.3">
      <c r="K3796">
        <v>2016</v>
      </c>
      <c r="L3796" t="s">
        <v>43</v>
      </c>
      <c r="M3796" t="s">
        <v>100</v>
      </c>
      <c r="N3796" t="s">
        <v>25</v>
      </c>
      <c r="O3796" t="s">
        <v>195</v>
      </c>
      <c r="P3796" s="1" t="s">
        <v>33</v>
      </c>
      <c r="Q3796">
        <v>121.2</v>
      </c>
    </row>
    <row r="3797" spans="11:17" x14ac:dyDescent="0.3">
      <c r="K3797">
        <v>2016</v>
      </c>
      <c r="L3797" t="s">
        <v>43</v>
      </c>
      <c r="M3797" t="s">
        <v>100</v>
      </c>
      <c r="N3797" t="s">
        <v>12</v>
      </c>
      <c r="O3797" t="s">
        <v>188</v>
      </c>
      <c r="P3797" s="1" t="s">
        <v>30</v>
      </c>
      <c r="Q3797">
        <v>136.30000000000001</v>
      </c>
    </row>
    <row r="3798" spans="11:17" x14ac:dyDescent="0.3">
      <c r="K3798">
        <v>2016</v>
      </c>
      <c r="L3798" t="s">
        <v>43</v>
      </c>
      <c r="M3798" t="s">
        <v>100</v>
      </c>
      <c r="N3798" t="s">
        <v>12</v>
      </c>
      <c r="O3798" t="s">
        <v>188</v>
      </c>
      <c r="P3798" s="1" t="s">
        <v>34</v>
      </c>
      <c r="Q3798">
        <v>139.30000000000001</v>
      </c>
    </row>
    <row r="3799" spans="11:17" x14ac:dyDescent="0.3">
      <c r="K3799">
        <v>2016</v>
      </c>
      <c r="L3799" t="s">
        <v>43</v>
      </c>
      <c r="M3799" t="s">
        <v>100</v>
      </c>
      <c r="N3799" t="s">
        <v>12</v>
      </c>
      <c r="O3799" t="s">
        <v>188</v>
      </c>
      <c r="P3799" s="1" t="s">
        <v>33</v>
      </c>
      <c r="Q3799">
        <v>145.30000000000001</v>
      </c>
    </row>
    <row r="3800" spans="11:17" x14ac:dyDescent="0.3">
      <c r="K3800">
        <v>2016</v>
      </c>
      <c r="L3800" t="s">
        <v>43</v>
      </c>
      <c r="M3800" t="s">
        <v>100</v>
      </c>
      <c r="N3800" t="s">
        <v>11</v>
      </c>
      <c r="O3800" t="s">
        <v>188</v>
      </c>
      <c r="P3800" s="1" t="s">
        <v>30</v>
      </c>
      <c r="Q3800">
        <v>113.4</v>
      </c>
    </row>
    <row r="3801" spans="11:17" x14ac:dyDescent="0.3">
      <c r="K3801">
        <v>2016</v>
      </c>
      <c r="L3801" t="s">
        <v>43</v>
      </c>
      <c r="M3801" t="s">
        <v>100</v>
      </c>
      <c r="N3801" t="s">
        <v>11</v>
      </c>
      <c r="O3801" t="s">
        <v>188</v>
      </c>
      <c r="P3801" s="1" t="s">
        <v>34</v>
      </c>
      <c r="Q3801">
        <v>114.1</v>
      </c>
    </row>
    <row r="3802" spans="11:17" x14ac:dyDescent="0.3">
      <c r="K3802">
        <v>2016</v>
      </c>
      <c r="L3802" t="s">
        <v>43</v>
      </c>
      <c r="M3802" t="s">
        <v>100</v>
      </c>
      <c r="N3802" t="s">
        <v>11</v>
      </c>
      <c r="O3802" t="s">
        <v>188</v>
      </c>
      <c r="P3802" s="1" t="s">
        <v>33</v>
      </c>
      <c r="Q3802">
        <v>115.4</v>
      </c>
    </row>
    <row r="3803" spans="11:17" x14ac:dyDescent="0.3">
      <c r="K3803">
        <v>2016</v>
      </c>
      <c r="L3803" t="s">
        <v>43</v>
      </c>
      <c r="M3803" t="s">
        <v>100</v>
      </c>
      <c r="N3803" t="s">
        <v>24</v>
      </c>
      <c r="O3803" t="s">
        <v>191</v>
      </c>
      <c r="P3803" s="1" t="s">
        <v>30</v>
      </c>
      <c r="Q3803">
        <v>117.8</v>
      </c>
    </row>
    <row r="3804" spans="11:17" x14ac:dyDescent="0.3">
      <c r="K3804">
        <v>2016</v>
      </c>
      <c r="L3804" t="s">
        <v>43</v>
      </c>
      <c r="M3804" t="s">
        <v>100</v>
      </c>
      <c r="N3804" t="s">
        <v>24</v>
      </c>
      <c r="O3804" t="s">
        <v>191</v>
      </c>
      <c r="P3804" s="1" t="s">
        <v>34</v>
      </c>
      <c r="Q3804">
        <v>115.2</v>
      </c>
    </row>
    <row r="3805" spans="11:17" x14ac:dyDescent="0.3">
      <c r="K3805">
        <v>2016</v>
      </c>
      <c r="L3805" t="s">
        <v>43</v>
      </c>
      <c r="M3805" t="s">
        <v>100</v>
      </c>
      <c r="N3805" t="s">
        <v>24</v>
      </c>
      <c r="O3805" t="s">
        <v>191</v>
      </c>
      <c r="P3805" s="1" t="s">
        <v>33</v>
      </c>
      <c r="Q3805">
        <v>112.8</v>
      </c>
    </row>
    <row r="3806" spans="11:17" x14ac:dyDescent="0.3">
      <c r="K3806">
        <v>2016</v>
      </c>
      <c r="L3806" t="s">
        <v>43</v>
      </c>
      <c r="M3806" t="s">
        <v>100</v>
      </c>
      <c r="N3806" t="s">
        <v>9</v>
      </c>
      <c r="O3806" t="s">
        <v>188</v>
      </c>
      <c r="P3806" s="1" t="s">
        <v>30</v>
      </c>
      <c r="Q3806">
        <v>149.19999999999999</v>
      </c>
    </row>
    <row r="3807" spans="11:17" x14ac:dyDescent="0.3">
      <c r="K3807">
        <v>2016</v>
      </c>
      <c r="L3807" t="s">
        <v>43</v>
      </c>
      <c r="M3807" t="s">
        <v>100</v>
      </c>
      <c r="N3807" t="s">
        <v>9</v>
      </c>
      <c r="O3807" t="s">
        <v>188</v>
      </c>
      <c r="P3807" s="1" t="s">
        <v>34</v>
      </c>
      <c r="Q3807">
        <v>151.19999999999999</v>
      </c>
    </row>
    <row r="3808" spans="11:17" x14ac:dyDescent="0.3">
      <c r="K3808">
        <v>2016</v>
      </c>
      <c r="L3808" t="s">
        <v>43</v>
      </c>
      <c r="M3808" t="s">
        <v>100</v>
      </c>
      <c r="N3808" t="s">
        <v>9</v>
      </c>
      <c r="O3808" t="s">
        <v>188</v>
      </c>
      <c r="P3808" s="1" t="s">
        <v>33</v>
      </c>
      <c r="Q3808">
        <v>155.1</v>
      </c>
    </row>
    <row r="3809" spans="11:17" x14ac:dyDescent="0.3">
      <c r="K3809">
        <v>2016</v>
      </c>
      <c r="L3809" t="s">
        <v>42</v>
      </c>
      <c r="M3809" t="s">
        <v>101</v>
      </c>
      <c r="N3809" t="s">
        <v>3</v>
      </c>
      <c r="O3809" t="s">
        <v>188</v>
      </c>
      <c r="P3809" s="1" t="s">
        <v>30</v>
      </c>
      <c r="Q3809">
        <v>130.80000000000001</v>
      </c>
    </row>
    <row r="3810" spans="11:17" x14ac:dyDescent="0.3">
      <c r="K3810">
        <v>2016</v>
      </c>
      <c r="L3810" t="s">
        <v>42</v>
      </c>
      <c r="M3810" t="s">
        <v>101</v>
      </c>
      <c r="N3810" t="s">
        <v>3</v>
      </c>
      <c r="O3810" t="s">
        <v>188</v>
      </c>
      <c r="P3810" s="1" t="s">
        <v>34</v>
      </c>
      <c r="Q3810">
        <v>129.9</v>
      </c>
    </row>
    <row r="3811" spans="11:17" x14ac:dyDescent="0.3">
      <c r="K3811">
        <v>2016</v>
      </c>
      <c r="L3811" t="s">
        <v>42</v>
      </c>
      <c r="M3811" t="s">
        <v>101</v>
      </c>
      <c r="N3811" t="s">
        <v>3</v>
      </c>
      <c r="O3811" t="s">
        <v>188</v>
      </c>
      <c r="P3811" s="1" t="s">
        <v>33</v>
      </c>
      <c r="Q3811">
        <v>128.1</v>
      </c>
    </row>
    <row r="3812" spans="11:17" x14ac:dyDescent="0.3">
      <c r="K3812">
        <v>2016</v>
      </c>
      <c r="L3812" t="s">
        <v>42</v>
      </c>
      <c r="M3812" t="s">
        <v>101</v>
      </c>
      <c r="N3812" t="s">
        <v>17</v>
      </c>
      <c r="O3812" t="s">
        <v>189</v>
      </c>
      <c r="P3812" s="1" t="s">
        <v>30</v>
      </c>
      <c r="Q3812">
        <v>138.5</v>
      </c>
    </row>
    <row r="3813" spans="11:17" x14ac:dyDescent="0.3">
      <c r="K3813">
        <v>2016</v>
      </c>
      <c r="L3813" t="s">
        <v>42</v>
      </c>
      <c r="M3813" t="s">
        <v>101</v>
      </c>
      <c r="N3813" t="s">
        <v>17</v>
      </c>
      <c r="O3813" t="s">
        <v>189</v>
      </c>
      <c r="P3813" s="1" t="s">
        <v>34</v>
      </c>
      <c r="Q3813">
        <v>134.6</v>
      </c>
    </row>
    <row r="3814" spans="11:17" x14ac:dyDescent="0.3">
      <c r="K3814">
        <v>2016</v>
      </c>
      <c r="L3814" t="s">
        <v>42</v>
      </c>
      <c r="M3814" t="s">
        <v>101</v>
      </c>
      <c r="N3814" t="s">
        <v>17</v>
      </c>
      <c r="O3814" t="s">
        <v>189</v>
      </c>
      <c r="P3814" s="1" t="s">
        <v>33</v>
      </c>
      <c r="Q3814">
        <v>128.69999999999999</v>
      </c>
    </row>
    <row r="3815" spans="11:17" x14ac:dyDescent="0.3">
      <c r="K3815">
        <v>2016</v>
      </c>
      <c r="L3815" t="s">
        <v>42</v>
      </c>
      <c r="M3815" t="s">
        <v>101</v>
      </c>
      <c r="N3815" t="s">
        <v>19</v>
      </c>
      <c r="O3815" t="s">
        <v>189</v>
      </c>
      <c r="P3815" s="1" t="s">
        <v>30</v>
      </c>
      <c r="Q3815">
        <v>137.80000000000001</v>
      </c>
    </row>
    <row r="3816" spans="11:17" x14ac:dyDescent="0.3">
      <c r="K3816">
        <v>2016</v>
      </c>
      <c r="L3816" t="s">
        <v>42</v>
      </c>
      <c r="M3816" t="s">
        <v>101</v>
      </c>
      <c r="N3816" t="s">
        <v>19</v>
      </c>
      <c r="O3816" t="s">
        <v>189</v>
      </c>
      <c r="P3816" s="1" t="s">
        <v>34</v>
      </c>
      <c r="Q3816">
        <v>133.80000000000001</v>
      </c>
    </row>
    <row r="3817" spans="11:17" x14ac:dyDescent="0.3">
      <c r="K3817">
        <v>2016</v>
      </c>
      <c r="L3817" t="s">
        <v>42</v>
      </c>
      <c r="M3817" t="s">
        <v>101</v>
      </c>
      <c r="N3817" t="s">
        <v>19</v>
      </c>
      <c r="O3817" t="s">
        <v>189</v>
      </c>
      <c r="P3817" s="1" t="s">
        <v>33</v>
      </c>
      <c r="Q3817">
        <v>127.7</v>
      </c>
    </row>
    <row r="3818" spans="11:17" x14ac:dyDescent="0.3">
      <c r="K3818">
        <v>2016</v>
      </c>
      <c r="L3818" t="s">
        <v>42</v>
      </c>
      <c r="M3818" t="s">
        <v>101</v>
      </c>
      <c r="N3818" t="s">
        <v>26</v>
      </c>
      <c r="O3818" t="s">
        <v>26</v>
      </c>
      <c r="P3818" s="1" t="s">
        <v>30</v>
      </c>
      <c r="Q3818">
        <v>132.19999999999999</v>
      </c>
    </row>
    <row r="3819" spans="11:17" x14ac:dyDescent="0.3">
      <c r="K3819">
        <v>2016</v>
      </c>
      <c r="L3819" t="s">
        <v>42</v>
      </c>
      <c r="M3819" t="s">
        <v>101</v>
      </c>
      <c r="N3819" t="s">
        <v>26</v>
      </c>
      <c r="O3819" t="s">
        <v>26</v>
      </c>
      <c r="P3819" s="1" t="s">
        <v>34</v>
      </c>
      <c r="Q3819">
        <v>131.80000000000001</v>
      </c>
    </row>
    <row r="3820" spans="11:17" x14ac:dyDescent="0.3">
      <c r="K3820">
        <v>2016</v>
      </c>
      <c r="L3820" t="s">
        <v>42</v>
      </c>
      <c r="M3820" t="s">
        <v>101</v>
      </c>
      <c r="N3820" t="s">
        <v>26</v>
      </c>
      <c r="O3820" t="s">
        <v>26</v>
      </c>
      <c r="P3820" s="1" t="s">
        <v>33</v>
      </c>
      <c r="Q3820">
        <v>131.6</v>
      </c>
    </row>
    <row r="3821" spans="11:17" x14ac:dyDescent="0.3">
      <c r="K3821">
        <v>2016</v>
      </c>
      <c r="L3821" t="s">
        <v>42</v>
      </c>
      <c r="M3821" t="s">
        <v>101</v>
      </c>
      <c r="N3821" t="s">
        <v>5</v>
      </c>
      <c r="O3821" t="s">
        <v>188</v>
      </c>
      <c r="P3821" s="1" t="s">
        <v>30</v>
      </c>
      <c r="Q3821">
        <v>130.5</v>
      </c>
    </row>
    <row r="3822" spans="11:17" x14ac:dyDescent="0.3">
      <c r="K3822">
        <v>2016</v>
      </c>
      <c r="L3822" t="s">
        <v>42</v>
      </c>
      <c r="M3822" t="s">
        <v>101</v>
      </c>
      <c r="N3822" t="s">
        <v>5</v>
      </c>
      <c r="O3822" t="s">
        <v>188</v>
      </c>
      <c r="P3822" s="1" t="s">
        <v>34</v>
      </c>
      <c r="Q3822">
        <v>130.5</v>
      </c>
    </row>
    <row r="3823" spans="11:17" x14ac:dyDescent="0.3">
      <c r="K3823">
        <v>2016</v>
      </c>
      <c r="L3823" t="s">
        <v>42</v>
      </c>
      <c r="M3823" t="s">
        <v>101</v>
      </c>
      <c r="N3823" t="s">
        <v>5</v>
      </c>
      <c r="O3823" t="s">
        <v>188</v>
      </c>
      <c r="P3823" s="1" t="s">
        <v>33</v>
      </c>
      <c r="Q3823">
        <v>130.6</v>
      </c>
    </row>
    <row r="3824" spans="11:17" x14ac:dyDescent="0.3">
      <c r="K3824">
        <v>2016</v>
      </c>
      <c r="L3824" t="s">
        <v>42</v>
      </c>
      <c r="M3824" t="s">
        <v>101</v>
      </c>
      <c r="N3824" t="s">
        <v>15</v>
      </c>
      <c r="O3824" t="s">
        <v>188</v>
      </c>
      <c r="P3824" s="1" t="s">
        <v>30</v>
      </c>
      <c r="Q3824">
        <v>137.19999999999999</v>
      </c>
    </row>
    <row r="3825" spans="11:17" x14ac:dyDescent="0.3">
      <c r="K3825">
        <v>2016</v>
      </c>
      <c r="L3825" t="s">
        <v>42</v>
      </c>
      <c r="M3825" t="s">
        <v>101</v>
      </c>
      <c r="N3825" t="s">
        <v>15</v>
      </c>
      <c r="O3825" t="s">
        <v>188</v>
      </c>
      <c r="P3825" s="1" t="s">
        <v>34</v>
      </c>
      <c r="Q3825">
        <v>136.6</v>
      </c>
    </row>
    <row r="3826" spans="11:17" x14ac:dyDescent="0.3">
      <c r="K3826">
        <v>2016</v>
      </c>
      <c r="L3826" t="s">
        <v>42</v>
      </c>
      <c r="M3826" t="s">
        <v>101</v>
      </c>
      <c r="N3826" t="s">
        <v>15</v>
      </c>
      <c r="O3826" t="s">
        <v>188</v>
      </c>
      <c r="P3826" s="1" t="s">
        <v>33</v>
      </c>
      <c r="Q3826">
        <v>135.69999999999999</v>
      </c>
    </row>
    <row r="3827" spans="11:17" x14ac:dyDescent="0.3">
      <c r="K3827">
        <v>2016</v>
      </c>
      <c r="L3827" t="s">
        <v>42</v>
      </c>
      <c r="M3827" t="s">
        <v>101</v>
      </c>
      <c r="N3827" t="s">
        <v>18</v>
      </c>
      <c r="O3827" t="s">
        <v>189</v>
      </c>
      <c r="P3827" s="1" t="s">
        <v>30</v>
      </c>
      <c r="Q3827">
        <v>133.5</v>
      </c>
    </row>
    <row r="3828" spans="11:17" x14ac:dyDescent="0.3">
      <c r="K3828">
        <v>2016</v>
      </c>
      <c r="L3828" t="s">
        <v>42</v>
      </c>
      <c r="M3828" t="s">
        <v>101</v>
      </c>
      <c r="N3828" t="s">
        <v>18</v>
      </c>
      <c r="O3828" t="s">
        <v>189</v>
      </c>
      <c r="P3828" s="1" t="s">
        <v>34</v>
      </c>
      <c r="Q3828">
        <v>128.6</v>
      </c>
    </row>
    <row r="3829" spans="11:17" x14ac:dyDescent="0.3">
      <c r="K3829">
        <v>2016</v>
      </c>
      <c r="L3829" t="s">
        <v>42</v>
      </c>
      <c r="M3829" t="s">
        <v>101</v>
      </c>
      <c r="N3829" t="s">
        <v>18</v>
      </c>
      <c r="O3829" t="s">
        <v>189</v>
      </c>
      <c r="P3829" s="1" t="s">
        <v>33</v>
      </c>
      <c r="Q3829">
        <v>121.6</v>
      </c>
    </row>
    <row r="3830" spans="11:17" x14ac:dyDescent="0.3">
      <c r="K3830">
        <v>2016</v>
      </c>
      <c r="L3830" t="s">
        <v>42</v>
      </c>
      <c r="M3830" t="s">
        <v>101</v>
      </c>
      <c r="N3830" t="s">
        <v>8</v>
      </c>
      <c r="O3830" t="s">
        <v>188</v>
      </c>
      <c r="P3830" s="1" t="s">
        <v>30</v>
      </c>
      <c r="Q3830">
        <v>139.19999999999999</v>
      </c>
    </row>
    <row r="3831" spans="11:17" x14ac:dyDescent="0.3">
      <c r="K3831">
        <v>2016</v>
      </c>
      <c r="L3831" t="s">
        <v>42</v>
      </c>
      <c r="M3831" t="s">
        <v>101</v>
      </c>
      <c r="N3831" t="s">
        <v>8</v>
      </c>
      <c r="O3831" t="s">
        <v>188</v>
      </c>
      <c r="P3831" s="1" t="s">
        <v>34</v>
      </c>
      <c r="Q3831">
        <v>136.1</v>
      </c>
    </row>
    <row r="3832" spans="11:17" x14ac:dyDescent="0.3">
      <c r="K3832">
        <v>2016</v>
      </c>
      <c r="L3832" t="s">
        <v>42</v>
      </c>
      <c r="M3832" t="s">
        <v>101</v>
      </c>
      <c r="N3832" t="s">
        <v>8</v>
      </c>
      <c r="O3832" t="s">
        <v>188</v>
      </c>
      <c r="P3832" s="1" t="s">
        <v>33</v>
      </c>
      <c r="Q3832">
        <v>132.5</v>
      </c>
    </row>
    <row r="3833" spans="11:17" x14ac:dyDescent="0.3">
      <c r="K3833">
        <v>2016</v>
      </c>
      <c r="L3833" t="s">
        <v>42</v>
      </c>
      <c r="M3833" t="s">
        <v>101</v>
      </c>
      <c r="N3833" t="s">
        <v>21</v>
      </c>
      <c r="O3833" t="s">
        <v>190</v>
      </c>
      <c r="P3833" s="1" t="s">
        <v>30</v>
      </c>
      <c r="Q3833">
        <v>129.69999999999999</v>
      </c>
    </row>
    <row r="3834" spans="11:17" x14ac:dyDescent="0.3">
      <c r="K3834">
        <v>2016</v>
      </c>
      <c r="L3834" t="s">
        <v>42</v>
      </c>
      <c r="M3834" t="s">
        <v>101</v>
      </c>
      <c r="N3834" t="s">
        <v>21</v>
      </c>
      <c r="O3834" t="s">
        <v>190</v>
      </c>
      <c r="P3834" s="1" t="s">
        <v>34</v>
      </c>
      <c r="Q3834">
        <v>124.1</v>
      </c>
    </row>
    <row r="3835" spans="11:17" x14ac:dyDescent="0.3">
      <c r="K3835">
        <v>2016</v>
      </c>
      <c r="L3835" t="s">
        <v>42</v>
      </c>
      <c r="M3835" t="s">
        <v>101</v>
      </c>
      <c r="N3835" t="s">
        <v>21</v>
      </c>
      <c r="O3835" t="s">
        <v>190</v>
      </c>
      <c r="P3835" s="1" t="s">
        <v>33</v>
      </c>
      <c r="Q3835">
        <v>114.8</v>
      </c>
    </row>
    <row r="3836" spans="11:17" x14ac:dyDescent="0.3">
      <c r="K3836">
        <v>2016</v>
      </c>
      <c r="L3836" t="s">
        <v>42</v>
      </c>
      <c r="M3836" t="s">
        <v>101</v>
      </c>
      <c r="N3836" t="s">
        <v>29</v>
      </c>
      <c r="O3836" t="s">
        <v>206</v>
      </c>
      <c r="P3836" s="1" t="s">
        <v>30</v>
      </c>
      <c r="Q3836">
        <v>133.4</v>
      </c>
    </row>
    <row r="3837" spans="11:17" x14ac:dyDescent="0.3">
      <c r="K3837">
        <v>2016</v>
      </c>
      <c r="L3837" t="s">
        <v>42</v>
      </c>
      <c r="M3837" t="s">
        <v>101</v>
      </c>
      <c r="N3837" t="s">
        <v>29</v>
      </c>
      <c r="O3837" t="s">
        <v>206</v>
      </c>
      <c r="P3837" s="1" t="s">
        <v>34</v>
      </c>
      <c r="Q3837">
        <v>130.9</v>
      </c>
    </row>
    <row r="3838" spans="11:17" x14ac:dyDescent="0.3">
      <c r="K3838">
        <v>2016</v>
      </c>
      <c r="L3838" t="s">
        <v>42</v>
      </c>
      <c r="M3838" t="s">
        <v>101</v>
      </c>
      <c r="N3838" t="s">
        <v>29</v>
      </c>
      <c r="O3838" t="s">
        <v>206</v>
      </c>
      <c r="P3838" s="1" t="s">
        <v>33</v>
      </c>
      <c r="Q3838">
        <v>128</v>
      </c>
    </row>
    <row r="3839" spans="11:17" x14ac:dyDescent="0.3">
      <c r="K3839">
        <v>2016</v>
      </c>
      <c r="L3839" t="s">
        <v>42</v>
      </c>
      <c r="M3839" t="s">
        <v>101</v>
      </c>
      <c r="N3839" t="s">
        <v>23</v>
      </c>
      <c r="O3839" t="s">
        <v>23</v>
      </c>
      <c r="P3839" s="1" t="s">
        <v>30</v>
      </c>
      <c r="Q3839">
        <v>127.8</v>
      </c>
    </row>
    <row r="3840" spans="11:17" x14ac:dyDescent="0.3">
      <c r="K3840">
        <v>2016</v>
      </c>
      <c r="L3840" t="s">
        <v>42</v>
      </c>
      <c r="M3840" t="s">
        <v>101</v>
      </c>
      <c r="N3840" t="s">
        <v>23</v>
      </c>
      <c r="O3840" t="s">
        <v>23</v>
      </c>
      <c r="P3840" s="1" t="s">
        <v>34</v>
      </c>
      <c r="Q3840">
        <v>125.4</v>
      </c>
    </row>
    <row r="3841" spans="11:17" x14ac:dyDescent="0.3">
      <c r="K3841">
        <v>2016</v>
      </c>
      <c r="L3841" t="s">
        <v>42</v>
      </c>
      <c r="M3841" t="s">
        <v>101</v>
      </c>
      <c r="N3841" t="s">
        <v>23</v>
      </c>
      <c r="O3841" t="s">
        <v>23</v>
      </c>
      <c r="P3841" s="1" t="s">
        <v>33</v>
      </c>
      <c r="Q3841">
        <v>121.4</v>
      </c>
    </row>
    <row r="3842" spans="11:17" x14ac:dyDescent="0.3">
      <c r="K3842">
        <v>2016</v>
      </c>
      <c r="L3842" t="s">
        <v>42</v>
      </c>
      <c r="M3842" t="s">
        <v>101</v>
      </c>
      <c r="N3842" t="s">
        <v>22</v>
      </c>
      <c r="O3842" t="s">
        <v>20</v>
      </c>
      <c r="P3842" s="1" t="s">
        <v>30</v>
      </c>
      <c r="Q3842">
        <v>131.1</v>
      </c>
    </row>
    <row r="3843" spans="11:17" x14ac:dyDescent="0.3">
      <c r="K3843">
        <v>2016</v>
      </c>
      <c r="L3843" t="s">
        <v>42</v>
      </c>
      <c r="M3843" t="s">
        <v>101</v>
      </c>
      <c r="N3843" t="s">
        <v>22</v>
      </c>
      <c r="O3843" t="s">
        <v>20</v>
      </c>
      <c r="P3843" s="1" t="s">
        <v>34</v>
      </c>
      <c r="Q3843">
        <v>127.9</v>
      </c>
    </row>
    <row r="3844" spans="11:17" x14ac:dyDescent="0.3">
      <c r="K3844">
        <v>2016</v>
      </c>
      <c r="L3844" t="s">
        <v>42</v>
      </c>
      <c r="M3844" t="s">
        <v>101</v>
      </c>
      <c r="N3844" t="s">
        <v>22</v>
      </c>
      <c r="O3844" t="s">
        <v>20</v>
      </c>
      <c r="P3844" s="1" t="s">
        <v>33</v>
      </c>
      <c r="Q3844">
        <v>124.3</v>
      </c>
    </row>
    <row r="3845" spans="11:17" x14ac:dyDescent="0.3">
      <c r="K3845">
        <v>2016</v>
      </c>
      <c r="L3845" t="s">
        <v>42</v>
      </c>
      <c r="M3845" t="s">
        <v>101</v>
      </c>
      <c r="N3845" t="s">
        <v>20</v>
      </c>
      <c r="O3845" t="s">
        <v>20</v>
      </c>
      <c r="P3845" s="1" t="s">
        <v>30</v>
      </c>
      <c r="Q3845">
        <v>0</v>
      </c>
    </row>
    <row r="3846" spans="11:17" x14ac:dyDescent="0.3">
      <c r="K3846">
        <v>2016</v>
      </c>
      <c r="L3846" t="s">
        <v>42</v>
      </c>
      <c r="M3846" t="s">
        <v>101</v>
      </c>
      <c r="N3846" t="s">
        <v>20</v>
      </c>
      <c r="O3846" t="s">
        <v>20</v>
      </c>
      <c r="P3846" s="1" t="s">
        <v>34</v>
      </c>
      <c r="Q3846">
        <v>127.9</v>
      </c>
    </row>
    <row r="3847" spans="11:17" x14ac:dyDescent="0.3">
      <c r="K3847">
        <v>2016</v>
      </c>
      <c r="L3847" t="s">
        <v>42</v>
      </c>
      <c r="M3847" t="s">
        <v>101</v>
      </c>
      <c r="N3847" t="s">
        <v>20</v>
      </c>
      <c r="O3847" t="s">
        <v>20</v>
      </c>
      <c r="P3847" s="1" t="s">
        <v>33</v>
      </c>
      <c r="Q3847">
        <v>127.9</v>
      </c>
    </row>
    <row r="3848" spans="11:17" x14ac:dyDescent="0.3">
      <c r="K3848">
        <v>2016</v>
      </c>
      <c r="L3848" t="s">
        <v>42</v>
      </c>
      <c r="M3848" t="s">
        <v>101</v>
      </c>
      <c r="N3848" t="s">
        <v>4</v>
      </c>
      <c r="O3848" t="s">
        <v>188</v>
      </c>
      <c r="P3848" s="1" t="s">
        <v>30</v>
      </c>
      <c r="Q3848">
        <v>138.19999999999999</v>
      </c>
    </row>
    <row r="3849" spans="11:17" x14ac:dyDescent="0.3">
      <c r="K3849">
        <v>2016</v>
      </c>
      <c r="L3849" t="s">
        <v>42</v>
      </c>
      <c r="M3849" t="s">
        <v>101</v>
      </c>
      <c r="N3849" t="s">
        <v>4</v>
      </c>
      <c r="O3849" t="s">
        <v>188</v>
      </c>
      <c r="P3849" s="1" t="s">
        <v>34</v>
      </c>
      <c r="Q3849">
        <v>138</v>
      </c>
    </row>
    <row r="3850" spans="11:17" x14ac:dyDescent="0.3">
      <c r="K3850">
        <v>2016</v>
      </c>
      <c r="L3850" t="s">
        <v>42</v>
      </c>
      <c r="M3850" t="s">
        <v>101</v>
      </c>
      <c r="N3850" t="s">
        <v>4</v>
      </c>
      <c r="O3850" t="s">
        <v>188</v>
      </c>
      <c r="P3850" s="1" t="s">
        <v>33</v>
      </c>
      <c r="Q3850">
        <v>137.69999999999999</v>
      </c>
    </row>
    <row r="3851" spans="11:17" x14ac:dyDescent="0.3">
      <c r="K3851">
        <v>2016</v>
      </c>
      <c r="L3851" t="s">
        <v>42</v>
      </c>
      <c r="M3851" t="s">
        <v>101</v>
      </c>
      <c r="N3851" t="s">
        <v>6</v>
      </c>
      <c r="O3851" t="s">
        <v>188</v>
      </c>
      <c r="P3851" s="1" t="s">
        <v>30</v>
      </c>
      <c r="Q3851">
        <v>135.5</v>
      </c>
    </row>
    <row r="3852" spans="11:17" x14ac:dyDescent="0.3">
      <c r="K3852">
        <v>2016</v>
      </c>
      <c r="L3852" t="s">
        <v>42</v>
      </c>
      <c r="M3852" t="s">
        <v>101</v>
      </c>
      <c r="N3852" t="s">
        <v>6</v>
      </c>
      <c r="O3852" t="s">
        <v>188</v>
      </c>
      <c r="P3852" s="1" t="s">
        <v>34</v>
      </c>
      <c r="Q3852">
        <v>134.4</v>
      </c>
    </row>
    <row r="3853" spans="11:17" x14ac:dyDescent="0.3">
      <c r="K3853">
        <v>2016</v>
      </c>
      <c r="L3853" t="s">
        <v>42</v>
      </c>
      <c r="M3853" t="s">
        <v>101</v>
      </c>
      <c r="N3853" t="s">
        <v>6</v>
      </c>
      <c r="O3853" t="s">
        <v>188</v>
      </c>
      <c r="P3853" s="1" t="s">
        <v>33</v>
      </c>
      <c r="Q3853">
        <v>132.6</v>
      </c>
    </row>
    <row r="3854" spans="11:17" x14ac:dyDescent="0.3">
      <c r="K3854">
        <v>2016</v>
      </c>
      <c r="L3854" t="s">
        <v>42</v>
      </c>
      <c r="M3854" t="s">
        <v>101</v>
      </c>
      <c r="N3854" t="s">
        <v>28</v>
      </c>
      <c r="O3854" t="s">
        <v>192</v>
      </c>
      <c r="P3854" s="1" t="s">
        <v>30</v>
      </c>
      <c r="Q3854">
        <v>124.9</v>
      </c>
    </row>
    <row r="3855" spans="11:17" x14ac:dyDescent="0.3">
      <c r="K3855">
        <v>2016</v>
      </c>
      <c r="L3855" t="s">
        <v>42</v>
      </c>
      <c r="M3855" t="s">
        <v>101</v>
      </c>
      <c r="N3855" t="s">
        <v>28</v>
      </c>
      <c r="O3855" t="s">
        <v>192</v>
      </c>
      <c r="P3855" s="1" t="s">
        <v>34</v>
      </c>
      <c r="Q3855">
        <v>122.8</v>
      </c>
    </row>
    <row r="3856" spans="11:17" x14ac:dyDescent="0.3">
      <c r="K3856">
        <v>2016</v>
      </c>
      <c r="L3856" t="s">
        <v>42</v>
      </c>
      <c r="M3856" t="s">
        <v>101</v>
      </c>
      <c r="N3856" t="s">
        <v>28</v>
      </c>
      <c r="O3856" t="s">
        <v>192</v>
      </c>
      <c r="P3856" s="1" t="s">
        <v>33</v>
      </c>
      <c r="Q3856">
        <v>120.5</v>
      </c>
    </row>
    <row r="3857" spans="11:17" x14ac:dyDescent="0.3">
      <c r="K3857">
        <v>2016</v>
      </c>
      <c r="L3857" t="s">
        <v>42</v>
      </c>
      <c r="M3857" t="s">
        <v>101</v>
      </c>
      <c r="N3857" t="s">
        <v>13</v>
      </c>
      <c r="O3857" t="s">
        <v>188</v>
      </c>
      <c r="P3857" s="1" t="s">
        <v>30</v>
      </c>
      <c r="Q3857">
        <v>128.80000000000001</v>
      </c>
    </row>
    <row r="3858" spans="11:17" x14ac:dyDescent="0.3">
      <c r="K3858">
        <v>2016</v>
      </c>
      <c r="L3858" t="s">
        <v>42</v>
      </c>
      <c r="M3858" t="s">
        <v>101</v>
      </c>
      <c r="N3858" t="s">
        <v>13</v>
      </c>
      <c r="O3858" t="s">
        <v>188</v>
      </c>
      <c r="P3858" s="1" t="s">
        <v>34</v>
      </c>
      <c r="Q3858">
        <v>126</v>
      </c>
    </row>
    <row r="3859" spans="11:17" x14ac:dyDescent="0.3">
      <c r="K3859">
        <v>2016</v>
      </c>
      <c r="L3859" t="s">
        <v>42</v>
      </c>
      <c r="M3859" t="s">
        <v>101</v>
      </c>
      <c r="N3859" t="s">
        <v>13</v>
      </c>
      <c r="O3859" t="s">
        <v>188</v>
      </c>
      <c r="P3859" s="1" t="s">
        <v>33</v>
      </c>
      <c r="Q3859">
        <v>122.1</v>
      </c>
    </row>
    <row r="3860" spans="11:17" x14ac:dyDescent="0.3">
      <c r="K3860">
        <v>2016</v>
      </c>
      <c r="L3860" t="s">
        <v>42</v>
      </c>
      <c r="M3860" t="s">
        <v>101</v>
      </c>
      <c r="N3860" t="s">
        <v>7</v>
      </c>
      <c r="O3860" t="s">
        <v>188</v>
      </c>
      <c r="P3860" s="1" t="s">
        <v>30</v>
      </c>
      <c r="Q3860">
        <v>120.2</v>
      </c>
    </row>
    <row r="3861" spans="11:17" x14ac:dyDescent="0.3">
      <c r="K3861">
        <v>2016</v>
      </c>
      <c r="L3861" t="s">
        <v>42</v>
      </c>
      <c r="M3861" t="s">
        <v>101</v>
      </c>
      <c r="N3861" t="s">
        <v>7</v>
      </c>
      <c r="O3861" t="s">
        <v>188</v>
      </c>
      <c r="P3861" s="1" t="s">
        <v>34</v>
      </c>
      <c r="Q3861">
        <v>117.2</v>
      </c>
    </row>
    <row r="3862" spans="11:17" x14ac:dyDescent="0.3">
      <c r="K3862">
        <v>2016</v>
      </c>
      <c r="L3862" t="s">
        <v>42</v>
      </c>
      <c r="M3862" t="s">
        <v>101</v>
      </c>
      <c r="N3862" t="s">
        <v>7</v>
      </c>
      <c r="O3862" t="s">
        <v>188</v>
      </c>
      <c r="P3862" s="1" t="s">
        <v>33</v>
      </c>
      <c r="Q3862">
        <v>111.9</v>
      </c>
    </row>
    <row r="3863" spans="11:17" x14ac:dyDescent="0.3">
      <c r="K3863">
        <v>2016</v>
      </c>
      <c r="L3863" t="s">
        <v>42</v>
      </c>
      <c r="M3863" t="s">
        <v>101</v>
      </c>
      <c r="N3863" t="s">
        <v>16</v>
      </c>
      <c r="O3863" t="s">
        <v>192</v>
      </c>
      <c r="P3863" s="1" t="s">
        <v>30</v>
      </c>
      <c r="Q3863">
        <v>139.9</v>
      </c>
    </row>
    <row r="3864" spans="11:17" x14ac:dyDescent="0.3">
      <c r="K3864">
        <v>2016</v>
      </c>
      <c r="L3864" t="s">
        <v>42</v>
      </c>
      <c r="M3864" t="s">
        <v>101</v>
      </c>
      <c r="N3864" t="s">
        <v>16</v>
      </c>
      <c r="O3864" t="s">
        <v>192</v>
      </c>
      <c r="P3864" s="1" t="s">
        <v>34</v>
      </c>
      <c r="Q3864">
        <v>141</v>
      </c>
    </row>
    <row r="3865" spans="11:17" x14ac:dyDescent="0.3">
      <c r="K3865">
        <v>2016</v>
      </c>
      <c r="L3865" t="s">
        <v>42</v>
      </c>
      <c r="M3865" t="s">
        <v>101</v>
      </c>
      <c r="N3865" t="s">
        <v>16</v>
      </c>
      <c r="O3865" t="s">
        <v>192</v>
      </c>
      <c r="P3865" s="1" t="s">
        <v>33</v>
      </c>
      <c r="Q3865">
        <v>143.9</v>
      </c>
    </row>
    <row r="3866" spans="11:17" x14ac:dyDescent="0.3">
      <c r="K3866">
        <v>2016</v>
      </c>
      <c r="L3866" t="s">
        <v>42</v>
      </c>
      <c r="M3866" t="s">
        <v>101</v>
      </c>
      <c r="N3866" t="s">
        <v>27</v>
      </c>
      <c r="O3866" t="s">
        <v>192</v>
      </c>
      <c r="P3866" s="1" t="s">
        <v>30</v>
      </c>
      <c r="Q3866">
        <v>122.8</v>
      </c>
    </row>
    <row r="3867" spans="11:17" x14ac:dyDescent="0.3">
      <c r="K3867">
        <v>2016</v>
      </c>
      <c r="L3867" t="s">
        <v>42</v>
      </c>
      <c r="M3867" t="s">
        <v>101</v>
      </c>
      <c r="N3867" t="s">
        <v>27</v>
      </c>
      <c r="O3867" t="s">
        <v>192</v>
      </c>
      <c r="P3867" s="1" t="s">
        <v>34</v>
      </c>
      <c r="Q3867">
        <v>122.1</v>
      </c>
    </row>
    <row r="3868" spans="11:17" x14ac:dyDescent="0.3">
      <c r="K3868">
        <v>2016</v>
      </c>
      <c r="L3868" t="s">
        <v>42</v>
      </c>
      <c r="M3868" t="s">
        <v>101</v>
      </c>
      <c r="N3868" t="s">
        <v>27</v>
      </c>
      <c r="O3868" t="s">
        <v>192</v>
      </c>
      <c r="P3868" s="1" t="s">
        <v>33</v>
      </c>
      <c r="Q3868">
        <v>121.2</v>
      </c>
    </row>
    <row r="3869" spans="11:17" x14ac:dyDescent="0.3">
      <c r="K3869">
        <v>2016</v>
      </c>
      <c r="L3869" t="s">
        <v>42</v>
      </c>
      <c r="M3869" t="s">
        <v>101</v>
      </c>
      <c r="N3869" t="s">
        <v>14</v>
      </c>
      <c r="O3869" t="s">
        <v>188</v>
      </c>
      <c r="P3869" s="1" t="s">
        <v>30</v>
      </c>
      <c r="Q3869">
        <v>141.5</v>
      </c>
    </row>
    <row r="3870" spans="11:17" x14ac:dyDescent="0.3">
      <c r="K3870">
        <v>2016</v>
      </c>
      <c r="L3870" t="s">
        <v>42</v>
      </c>
      <c r="M3870" t="s">
        <v>101</v>
      </c>
      <c r="N3870" t="s">
        <v>14</v>
      </c>
      <c r="O3870" t="s">
        <v>188</v>
      </c>
      <c r="P3870" s="1" t="s">
        <v>34</v>
      </c>
      <c r="Q3870">
        <v>140.19999999999999</v>
      </c>
    </row>
    <row r="3871" spans="11:17" x14ac:dyDescent="0.3">
      <c r="K3871">
        <v>2016</v>
      </c>
      <c r="L3871" t="s">
        <v>42</v>
      </c>
      <c r="M3871" t="s">
        <v>101</v>
      </c>
      <c r="N3871" t="s">
        <v>14</v>
      </c>
      <c r="O3871" t="s">
        <v>188</v>
      </c>
      <c r="P3871" s="1" t="s">
        <v>33</v>
      </c>
      <c r="Q3871">
        <v>138.80000000000001</v>
      </c>
    </row>
    <row r="3872" spans="11:17" x14ac:dyDescent="0.3">
      <c r="K3872">
        <v>2016</v>
      </c>
      <c r="L3872" t="s">
        <v>42</v>
      </c>
      <c r="M3872" t="s">
        <v>101</v>
      </c>
      <c r="N3872" t="s">
        <v>10</v>
      </c>
      <c r="O3872" t="s">
        <v>188</v>
      </c>
      <c r="P3872" s="1" t="s">
        <v>30</v>
      </c>
      <c r="Q3872">
        <v>170.4</v>
      </c>
    </row>
    <row r="3873" spans="11:17" x14ac:dyDescent="0.3">
      <c r="K3873">
        <v>2016</v>
      </c>
      <c r="L3873" t="s">
        <v>42</v>
      </c>
      <c r="M3873" t="s">
        <v>101</v>
      </c>
      <c r="N3873" t="s">
        <v>10</v>
      </c>
      <c r="O3873" t="s">
        <v>188</v>
      </c>
      <c r="P3873" s="1" t="s">
        <v>34</v>
      </c>
      <c r="Q3873">
        <v>171.5</v>
      </c>
    </row>
    <row r="3874" spans="11:17" x14ac:dyDescent="0.3">
      <c r="K3874">
        <v>2016</v>
      </c>
      <c r="L3874" t="s">
        <v>42</v>
      </c>
      <c r="M3874" t="s">
        <v>101</v>
      </c>
      <c r="N3874" t="s">
        <v>10</v>
      </c>
      <c r="O3874" t="s">
        <v>188</v>
      </c>
      <c r="P3874" s="1" t="s">
        <v>33</v>
      </c>
      <c r="Q3874">
        <v>173.6</v>
      </c>
    </row>
    <row r="3875" spans="11:17" x14ac:dyDescent="0.3">
      <c r="K3875">
        <v>2016</v>
      </c>
      <c r="L3875" t="s">
        <v>42</v>
      </c>
      <c r="M3875" t="s">
        <v>101</v>
      </c>
      <c r="N3875" t="s">
        <v>25</v>
      </c>
      <c r="O3875" t="s">
        <v>195</v>
      </c>
      <c r="P3875" s="1" t="s">
        <v>30</v>
      </c>
      <c r="Q3875">
        <v>125.7</v>
      </c>
    </row>
    <row r="3876" spans="11:17" x14ac:dyDescent="0.3">
      <c r="K3876">
        <v>2016</v>
      </c>
      <c r="L3876" t="s">
        <v>42</v>
      </c>
      <c r="M3876" t="s">
        <v>101</v>
      </c>
      <c r="N3876" t="s">
        <v>25</v>
      </c>
      <c r="O3876" t="s">
        <v>195</v>
      </c>
      <c r="P3876" s="1" t="s">
        <v>34</v>
      </c>
      <c r="Q3876">
        <v>122.9</v>
      </c>
    </row>
    <row r="3877" spans="11:17" x14ac:dyDescent="0.3">
      <c r="K3877">
        <v>2016</v>
      </c>
      <c r="L3877" t="s">
        <v>42</v>
      </c>
      <c r="M3877" t="s">
        <v>101</v>
      </c>
      <c r="N3877" t="s">
        <v>25</v>
      </c>
      <c r="O3877" t="s">
        <v>195</v>
      </c>
      <c r="P3877" s="1" t="s">
        <v>33</v>
      </c>
      <c r="Q3877">
        <v>120.8</v>
      </c>
    </row>
    <row r="3878" spans="11:17" x14ac:dyDescent="0.3">
      <c r="K3878">
        <v>2016</v>
      </c>
      <c r="L3878" t="s">
        <v>42</v>
      </c>
      <c r="M3878" t="s">
        <v>101</v>
      </c>
      <c r="N3878" t="s">
        <v>12</v>
      </c>
      <c r="O3878" t="s">
        <v>188</v>
      </c>
      <c r="P3878" s="1" t="s">
        <v>30</v>
      </c>
      <c r="Q3878">
        <v>135.80000000000001</v>
      </c>
    </row>
    <row r="3879" spans="11:17" x14ac:dyDescent="0.3">
      <c r="K3879">
        <v>2016</v>
      </c>
      <c r="L3879" t="s">
        <v>42</v>
      </c>
      <c r="M3879" t="s">
        <v>101</v>
      </c>
      <c r="N3879" t="s">
        <v>12</v>
      </c>
      <c r="O3879" t="s">
        <v>188</v>
      </c>
      <c r="P3879" s="1" t="s">
        <v>34</v>
      </c>
      <c r="Q3879">
        <v>138.80000000000001</v>
      </c>
    </row>
    <row r="3880" spans="11:17" x14ac:dyDescent="0.3">
      <c r="K3880">
        <v>2016</v>
      </c>
      <c r="L3880" t="s">
        <v>42</v>
      </c>
      <c r="M3880" t="s">
        <v>101</v>
      </c>
      <c r="N3880" t="s">
        <v>12</v>
      </c>
      <c r="O3880" t="s">
        <v>188</v>
      </c>
      <c r="P3880" s="1" t="s">
        <v>33</v>
      </c>
      <c r="Q3880">
        <v>144.80000000000001</v>
      </c>
    </row>
    <row r="3881" spans="11:17" x14ac:dyDescent="0.3">
      <c r="K3881">
        <v>2016</v>
      </c>
      <c r="L3881" t="s">
        <v>42</v>
      </c>
      <c r="M3881" t="s">
        <v>101</v>
      </c>
      <c r="N3881" t="s">
        <v>11</v>
      </c>
      <c r="O3881" t="s">
        <v>188</v>
      </c>
      <c r="P3881" s="1" t="s">
        <v>30</v>
      </c>
      <c r="Q3881">
        <v>113.1</v>
      </c>
    </row>
    <row r="3882" spans="11:17" x14ac:dyDescent="0.3">
      <c r="K3882">
        <v>2016</v>
      </c>
      <c r="L3882" t="s">
        <v>42</v>
      </c>
      <c r="M3882" t="s">
        <v>101</v>
      </c>
      <c r="N3882" t="s">
        <v>11</v>
      </c>
      <c r="O3882" t="s">
        <v>188</v>
      </c>
      <c r="P3882" s="1" t="s">
        <v>34</v>
      </c>
      <c r="Q3882">
        <v>113.8</v>
      </c>
    </row>
    <row r="3883" spans="11:17" x14ac:dyDescent="0.3">
      <c r="K3883">
        <v>2016</v>
      </c>
      <c r="L3883" t="s">
        <v>42</v>
      </c>
      <c r="M3883" t="s">
        <v>101</v>
      </c>
      <c r="N3883" t="s">
        <v>11</v>
      </c>
      <c r="O3883" t="s">
        <v>188</v>
      </c>
      <c r="P3883" s="1" t="s">
        <v>33</v>
      </c>
      <c r="Q3883">
        <v>115.1</v>
      </c>
    </row>
    <row r="3884" spans="11:17" x14ac:dyDescent="0.3">
      <c r="K3884">
        <v>2016</v>
      </c>
      <c r="L3884" t="s">
        <v>42</v>
      </c>
      <c r="M3884" t="s">
        <v>101</v>
      </c>
      <c r="N3884" t="s">
        <v>24</v>
      </c>
      <c r="O3884" t="s">
        <v>191</v>
      </c>
      <c r="P3884" s="1" t="s">
        <v>30</v>
      </c>
      <c r="Q3884">
        <v>117</v>
      </c>
    </row>
    <row r="3885" spans="11:17" x14ac:dyDescent="0.3">
      <c r="K3885">
        <v>2016</v>
      </c>
      <c r="L3885" t="s">
        <v>42</v>
      </c>
      <c r="M3885" t="s">
        <v>101</v>
      </c>
      <c r="N3885" t="s">
        <v>24</v>
      </c>
      <c r="O3885" t="s">
        <v>191</v>
      </c>
      <c r="P3885" s="1" t="s">
        <v>34</v>
      </c>
      <c r="Q3885">
        <v>114.3</v>
      </c>
    </row>
    <row r="3886" spans="11:17" x14ac:dyDescent="0.3">
      <c r="K3886">
        <v>2016</v>
      </c>
      <c r="L3886" t="s">
        <v>42</v>
      </c>
      <c r="M3886" t="s">
        <v>101</v>
      </c>
      <c r="N3886" t="s">
        <v>24</v>
      </c>
      <c r="O3886" t="s">
        <v>191</v>
      </c>
      <c r="P3886" s="1" t="s">
        <v>33</v>
      </c>
      <c r="Q3886">
        <v>111.8</v>
      </c>
    </row>
    <row r="3887" spans="11:17" x14ac:dyDescent="0.3">
      <c r="K3887">
        <v>2016</v>
      </c>
      <c r="L3887" t="s">
        <v>42</v>
      </c>
      <c r="M3887" t="s">
        <v>101</v>
      </c>
      <c r="N3887" t="s">
        <v>9</v>
      </c>
      <c r="O3887" t="s">
        <v>188</v>
      </c>
      <c r="P3887" s="1" t="s">
        <v>30</v>
      </c>
      <c r="Q3887">
        <v>149.5</v>
      </c>
    </row>
    <row r="3888" spans="11:17" x14ac:dyDescent="0.3">
      <c r="K3888">
        <v>2016</v>
      </c>
      <c r="L3888" t="s">
        <v>42</v>
      </c>
      <c r="M3888" t="s">
        <v>101</v>
      </c>
      <c r="N3888" t="s">
        <v>9</v>
      </c>
      <c r="O3888" t="s">
        <v>188</v>
      </c>
      <c r="P3888" s="1" t="s">
        <v>34</v>
      </c>
      <c r="Q3888">
        <v>150.69999999999999</v>
      </c>
    </row>
    <row r="3889" spans="11:17" x14ac:dyDescent="0.3">
      <c r="K3889">
        <v>2016</v>
      </c>
      <c r="L3889" t="s">
        <v>42</v>
      </c>
      <c r="M3889" t="s">
        <v>101</v>
      </c>
      <c r="N3889" t="s">
        <v>9</v>
      </c>
      <c r="O3889" t="s">
        <v>188</v>
      </c>
      <c r="P3889" s="1" t="s">
        <v>33</v>
      </c>
      <c r="Q3889">
        <v>152.9</v>
      </c>
    </row>
    <row r="3890" spans="11:17" x14ac:dyDescent="0.3">
      <c r="K3890">
        <v>2017</v>
      </c>
      <c r="L3890" t="s">
        <v>37</v>
      </c>
      <c r="M3890" t="s">
        <v>102</v>
      </c>
      <c r="N3890" t="s">
        <v>3</v>
      </c>
      <c r="O3890" t="s">
        <v>188</v>
      </c>
      <c r="P3890" s="1" t="s">
        <v>30</v>
      </c>
      <c r="Q3890">
        <v>133.19999999999999</v>
      </c>
    </row>
    <row r="3891" spans="11:17" x14ac:dyDescent="0.3">
      <c r="K3891">
        <v>2017</v>
      </c>
      <c r="L3891" t="s">
        <v>37</v>
      </c>
      <c r="M3891" t="s">
        <v>102</v>
      </c>
      <c r="N3891" t="s">
        <v>3</v>
      </c>
      <c r="O3891" t="s">
        <v>188</v>
      </c>
      <c r="P3891" s="1" t="s">
        <v>34</v>
      </c>
      <c r="Q3891">
        <v>133</v>
      </c>
    </row>
    <row r="3892" spans="11:17" x14ac:dyDescent="0.3">
      <c r="K3892">
        <v>2017</v>
      </c>
      <c r="L3892" t="s">
        <v>37</v>
      </c>
      <c r="M3892" t="s">
        <v>102</v>
      </c>
      <c r="N3892" t="s">
        <v>3</v>
      </c>
      <c r="O3892" t="s">
        <v>188</v>
      </c>
      <c r="P3892" s="1" t="s">
        <v>33</v>
      </c>
      <c r="Q3892">
        <v>132.69999999999999</v>
      </c>
    </row>
    <row r="3893" spans="11:17" x14ac:dyDescent="0.3">
      <c r="K3893">
        <v>2017</v>
      </c>
      <c r="L3893" t="s">
        <v>37</v>
      </c>
      <c r="M3893" t="s">
        <v>102</v>
      </c>
      <c r="N3893" t="s">
        <v>17</v>
      </c>
      <c r="O3893" t="s">
        <v>189</v>
      </c>
      <c r="P3893" s="1" t="s">
        <v>30</v>
      </c>
      <c r="Q3893">
        <v>142.4</v>
      </c>
    </row>
    <row r="3894" spans="11:17" x14ac:dyDescent="0.3">
      <c r="K3894">
        <v>2017</v>
      </c>
      <c r="L3894" t="s">
        <v>37</v>
      </c>
      <c r="M3894" t="s">
        <v>102</v>
      </c>
      <c r="N3894" t="s">
        <v>17</v>
      </c>
      <c r="O3894" t="s">
        <v>189</v>
      </c>
      <c r="P3894" s="1" t="s">
        <v>34</v>
      </c>
      <c r="Q3894">
        <v>138</v>
      </c>
    </row>
    <row r="3895" spans="11:17" x14ac:dyDescent="0.3">
      <c r="K3895">
        <v>2017</v>
      </c>
      <c r="L3895" t="s">
        <v>37</v>
      </c>
      <c r="M3895" t="s">
        <v>102</v>
      </c>
      <c r="N3895" t="s">
        <v>17</v>
      </c>
      <c r="O3895" t="s">
        <v>189</v>
      </c>
      <c r="P3895" s="1" t="s">
        <v>33</v>
      </c>
      <c r="Q3895">
        <v>131.19999999999999</v>
      </c>
    </row>
    <row r="3896" spans="11:17" x14ac:dyDescent="0.3">
      <c r="K3896">
        <v>2017</v>
      </c>
      <c r="L3896" t="s">
        <v>37</v>
      </c>
      <c r="M3896" t="s">
        <v>102</v>
      </c>
      <c r="N3896" t="s">
        <v>19</v>
      </c>
      <c r="O3896" t="s">
        <v>189</v>
      </c>
      <c r="P3896" s="1" t="s">
        <v>30</v>
      </c>
      <c r="Q3896">
        <v>141.6</v>
      </c>
    </row>
    <row r="3897" spans="11:17" x14ac:dyDescent="0.3">
      <c r="K3897">
        <v>2017</v>
      </c>
      <c r="L3897" t="s">
        <v>37</v>
      </c>
      <c r="M3897" t="s">
        <v>102</v>
      </c>
      <c r="N3897" t="s">
        <v>19</v>
      </c>
      <c r="O3897" t="s">
        <v>189</v>
      </c>
      <c r="P3897" s="1" t="s">
        <v>34</v>
      </c>
      <c r="Q3897">
        <v>137</v>
      </c>
    </row>
    <row r="3898" spans="11:17" x14ac:dyDescent="0.3">
      <c r="K3898">
        <v>2017</v>
      </c>
      <c r="L3898" t="s">
        <v>37</v>
      </c>
      <c r="M3898" t="s">
        <v>102</v>
      </c>
      <c r="N3898" t="s">
        <v>19</v>
      </c>
      <c r="O3898" t="s">
        <v>189</v>
      </c>
      <c r="P3898" s="1" t="s">
        <v>33</v>
      </c>
      <c r="Q3898">
        <v>130</v>
      </c>
    </row>
    <row r="3899" spans="11:17" x14ac:dyDescent="0.3">
      <c r="K3899">
        <v>2017</v>
      </c>
      <c r="L3899" t="s">
        <v>37</v>
      </c>
      <c r="M3899" t="s">
        <v>102</v>
      </c>
      <c r="N3899" t="s">
        <v>26</v>
      </c>
      <c r="O3899" t="s">
        <v>26</v>
      </c>
      <c r="P3899" s="1" t="s">
        <v>30</v>
      </c>
      <c r="Q3899">
        <v>135.69999999999999</v>
      </c>
    </row>
    <row r="3900" spans="11:17" x14ac:dyDescent="0.3">
      <c r="K3900">
        <v>2017</v>
      </c>
      <c r="L3900" t="s">
        <v>37</v>
      </c>
      <c r="M3900" t="s">
        <v>102</v>
      </c>
      <c r="N3900" t="s">
        <v>26</v>
      </c>
      <c r="O3900" t="s">
        <v>26</v>
      </c>
      <c r="P3900" s="1" t="s">
        <v>34</v>
      </c>
      <c r="Q3900">
        <v>134.5</v>
      </c>
    </row>
    <row r="3901" spans="11:17" x14ac:dyDescent="0.3">
      <c r="K3901">
        <v>2017</v>
      </c>
      <c r="L3901" t="s">
        <v>37</v>
      </c>
      <c r="M3901" t="s">
        <v>102</v>
      </c>
      <c r="N3901" t="s">
        <v>26</v>
      </c>
      <c r="O3901" t="s">
        <v>26</v>
      </c>
      <c r="P3901" s="1" t="s">
        <v>33</v>
      </c>
      <c r="Q3901">
        <v>133.6</v>
      </c>
    </row>
    <row r="3902" spans="11:17" x14ac:dyDescent="0.3">
      <c r="K3902">
        <v>2017</v>
      </c>
      <c r="L3902" t="s">
        <v>37</v>
      </c>
      <c r="M3902" t="s">
        <v>102</v>
      </c>
      <c r="N3902" t="s">
        <v>5</v>
      </c>
      <c r="O3902" t="s">
        <v>188</v>
      </c>
      <c r="P3902" s="1" t="s">
        <v>30</v>
      </c>
      <c r="Q3902">
        <v>127.1</v>
      </c>
    </row>
    <row r="3903" spans="11:17" x14ac:dyDescent="0.3">
      <c r="K3903">
        <v>2017</v>
      </c>
      <c r="L3903" t="s">
        <v>37</v>
      </c>
      <c r="M3903" t="s">
        <v>102</v>
      </c>
      <c r="N3903" t="s">
        <v>5</v>
      </c>
      <c r="O3903" t="s">
        <v>188</v>
      </c>
      <c r="P3903" s="1" t="s">
        <v>34</v>
      </c>
      <c r="Q3903">
        <v>126.1</v>
      </c>
    </row>
    <row r="3904" spans="11:17" x14ac:dyDescent="0.3">
      <c r="K3904">
        <v>2017</v>
      </c>
      <c r="L3904" t="s">
        <v>37</v>
      </c>
      <c r="M3904" t="s">
        <v>102</v>
      </c>
      <c r="N3904" t="s">
        <v>5</v>
      </c>
      <c r="O3904" t="s">
        <v>188</v>
      </c>
      <c r="P3904" s="1" t="s">
        <v>33</v>
      </c>
      <c r="Q3904">
        <v>124.5</v>
      </c>
    </row>
    <row r="3905" spans="11:17" x14ac:dyDescent="0.3">
      <c r="K3905">
        <v>2017</v>
      </c>
      <c r="L3905" t="s">
        <v>37</v>
      </c>
      <c r="M3905" t="s">
        <v>102</v>
      </c>
      <c r="N3905" t="s">
        <v>15</v>
      </c>
      <c r="O3905" t="s">
        <v>188</v>
      </c>
      <c r="P3905" s="1" t="s">
        <v>30</v>
      </c>
      <c r="Q3905">
        <v>133.5</v>
      </c>
    </row>
    <row r="3906" spans="11:17" x14ac:dyDescent="0.3">
      <c r="K3906">
        <v>2017</v>
      </c>
      <c r="L3906" t="s">
        <v>37</v>
      </c>
      <c r="M3906" t="s">
        <v>102</v>
      </c>
      <c r="N3906" t="s">
        <v>15</v>
      </c>
      <c r="O3906" t="s">
        <v>188</v>
      </c>
      <c r="P3906" s="1" t="s">
        <v>34</v>
      </c>
      <c r="Q3906">
        <v>133.5</v>
      </c>
    </row>
    <row r="3907" spans="11:17" x14ac:dyDescent="0.3">
      <c r="K3907">
        <v>2017</v>
      </c>
      <c r="L3907" t="s">
        <v>37</v>
      </c>
      <c r="M3907" t="s">
        <v>102</v>
      </c>
      <c r="N3907" t="s">
        <v>15</v>
      </c>
      <c r="O3907" t="s">
        <v>188</v>
      </c>
      <c r="P3907" s="1" t="s">
        <v>33</v>
      </c>
      <c r="Q3907">
        <v>133.4</v>
      </c>
    </row>
    <row r="3908" spans="11:17" x14ac:dyDescent="0.3">
      <c r="K3908">
        <v>2017</v>
      </c>
      <c r="L3908" t="s">
        <v>37</v>
      </c>
      <c r="M3908" t="s">
        <v>102</v>
      </c>
      <c r="N3908" t="s">
        <v>18</v>
      </c>
      <c r="O3908" t="s">
        <v>189</v>
      </c>
      <c r="P3908" s="1" t="s">
        <v>30</v>
      </c>
      <c r="Q3908">
        <v>136.80000000000001</v>
      </c>
    </row>
    <row r="3909" spans="11:17" x14ac:dyDescent="0.3">
      <c r="K3909">
        <v>2017</v>
      </c>
      <c r="L3909" t="s">
        <v>37</v>
      </c>
      <c r="M3909" t="s">
        <v>102</v>
      </c>
      <c r="N3909" t="s">
        <v>18</v>
      </c>
      <c r="O3909" t="s">
        <v>189</v>
      </c>
      <c r="P3909" s="1" t="s">
        <v>34</v>
      </c>
      <c r="Q3909">
        <v>131.1</v>
      </c>
    </row>
    <row r="3910" spans="11:17" x14ac:dyDescent="0.3">
      <c r="K3910">
        <v>2017</v>
      </c>
      <c r="L3910" t="s">
        <v>37</v>
      </c>
      <c r="M3910" t="s">
        <v>102</v>
      </c>
      <c r="N3910" t="s">
        <v>18</v>
      </c>
      <c r="O3910" t="s">
        <v>189</v>
      </c>
      <c r="P3910" s="1" t="s">
        <v>33</v>
      </c>
      <c r="Q3910">
        <v>123</v>
      </c>
    </row>
    <row r="3911" spans="11:17" x14ac:dyDescent="0.3">
      <c r="K3911">
        <v>2017</v>
      </c>
      <c r="L3911" t="s">
        <v>37</v>
      </c>
      <c r="M3911" t="s">
        <v>102</v>
      </c>
      <c r="N3911" t="s">
        <v>8</v>
      </c>
      <c r="O3911" t="s">
        <v>188</v>
      </c>
      <c r="P3911" s="1" t="s">
        <v>30</v>
      </c>
      <c r="Q3911">
        <v>141.80000000000001</v>
      </c>
    </row>
    <row r="3912" spans="11:17" x14ac:dyDescent="0.3">
      <c r="K3912">
        <v>2017</v>
      </c>
      <c r="L3912" t="s">
        <v>37</v>
      </c>
      <c r="M3912" t="s">
        <v>102</v>
      </c>
      <c r="N3912" t="s">
        <v>8</v>
      </c>
      <c r="O3912" t="s">
        <v>188</v>
      </c>
      <c r="P3912" s="1" t="s">
        <v>34</v>
      </c>
      <c r="Q3912">
        <v>139.9</v>
      </c>
    </row>
    <row r="3913" spans="11:17" x14ac:dyDescent="0.3">
      <c r="K3913">
        <v>2017</v>
      </c>
      <c r="L3913" t="s">
        <v>37</v>
      </c>
      <c r="M3913" t="s">
        <v>102</v>
      </c>
      <c r="N3913" t="s">
        <v>8</v>
      </c>
      <c r="O3913" t="s">
        <v>188</v>
      </c>
      <c r="P3913" s="1" t="s">
        <v>33</v>
      </c>
      <c r="Q3913">
        <v>137.69999999999999</v>
      </c>
    </row>
    <row r="3914" spans="11:17" x14ac:dyDescent="0.3">
      <c r="K3914">
        <v>2017</v>
      </c>
      <c r="L3914" t="s">
        <v>37</v>
      </c>
      <c r="M3914" t="s">
        <v>102</v>
      </c>
      <c r="N3914" t="s">
        <v>21</v>
      </c>
      <c r="O3914" t="s">
        <v>190</v>
      </c>
      <c r="P3914" s="1" t="s">
        <v>30</v>
      </c>
      <c r="Q3914">
        <v>135</v>
      </c>
    </row>
    <row r="3915" spans="11:17" x14ac:dyDescent="0.3">
      <c r="K3915">
        <v>2017</v>
      </c>
      <c r="L3915" t="s">
        <v>37</v>
      </c>
      <c r="M3915" t="s">
        <v>102</v>
      </c>
      <c r="N3915" t="s">
        <v>21</v>
      </c>
      <c r="O3915" t="s">
        <v>190</v>
      </c>
      <c r="P3915" s="1" t="s">
        <v>34</v>
      </c>
      <c r="Q3915">
        <v>129.80000000000001</v>
      </c>
    </row>
    <row r="3916" spans="11:17" x14ac:dyDescent="0.3">
      <c r="K3916">
        <v>2017</v>
      </c>
      <c r="L3916" t="s">
        <v>37</v>
      </c>
      <c r="M3916" t="s">
        <v>102</v>
      </c>
      <c r="N3916" t="s">
        <v>21</v>
      </c>
      <c r="O3916" t="s">
        <v>190</v>
      </c>
      <c r="P3916" s="1" t="s">
        <v>33</v>
      </c>
      <c r="Q3916">
        <v>121.4</v>
      </c>
    </row>
    <row r="3917" spans="11:17" x14ac:dyDescent="0.3">
      <c r="K3917">
        <v>2017</v>
      </c>
      <c r="L3917" t="s">
        <v>37</v>
      </c>
      <c r="M3917" t="s">
        <v>102</v>
      </c>
      <c r="N3917" t="s">
        <v>29</v>
      </c>
      <c r="O3917" t="s">
        <v>206</v>
      </c>
      <c r="P3917" s="1" t="s">
        <v>30</v>
      </c>
      <c r="Q3917">
        <v>132.9</v>
      </c>
    </row>
    <row r="3918" spans="11:17" x14ac:dyDescent="0.3">
      <c r="K3918">
        <v>2017</v>
      </c>
      <c r="L3918" t="s">
        <v>37</v>
      </c>
      <c r="M3918" t="s">
        <v>102</v>
      </c>
      <c r="N3918" t="s">
        <v>29</v>
      </c>
      <c r="O3918" t="s">
        <v>206</v>
      </c>
      <c r="P3918" s="1" t="s">
        <v>34</v>
      </c>
      <c r="Q3918">
        <v>131.1</v>
      </c>
    </row>
    <row r="3919" spans="11:17" x14ac:dyDescent="0.3">
      <c r="K3919">
        <v>2017</v>
      </c>
      <c r="L3919" t="s">
        <v>37</v>
      </c>
      <c r="M3919" t="s">
        <v>102</v>
      </c>
      <c r="N3919" t="s">
        <v>29</v>
      </c>
      <c r="O3919" t="s">
        <v>206</v>
      </c>
      <c r="P3919" s="1" t="s">
        <v>33</v>
      </c>
      <c r="Q3919">
        <v>129.1</v>
      </c>
    </row>
    <row r="3920" spans="11:17" x14ac:dyDescent="0.3">
      <c r="K3920">
        <v>2017</v>
      </c>
      <c r="L3920" t="s">
        <v>37</v>
      </c>
      <c r="M3920" t="s">
        <v>102</v>
      </c>
      <c r="N3920" t="s">
        <v>23</v>
      </c>
      <c r="O3920" t="s">
        <v>23</v>
      </c>
      <c r="P3920" s="1" t="s">
        <v>30</v>
      </c>
      <c r="Q3920">
        <v>131</v>
      </c>
    </row>
    <row r="3921" spans="11:17" x14ac:dyDescent="0.3">
      <c r="K3921">
        <v>2017</v>
      </c>
      <c r="L3921" t="s">
        <v>37</v>
      </c>
      <c r="M3921" t="s">
        <v>102</v>
      </c>
      <c r="N3921" t="s">
        <v>23</v>
      </c>
      <c r="O3921" t="s">
        <v>23</v>
      </c>
      <c r="P3921" s="1" t="s">
        <v>34</v>
      </c>
      <c r="Q3921">
        <v>128.1</v>
      </c>
    </row>
    <row r="3922" spans="11:17" x14ac:dyDescent="0.3">
      <c r="K3922">
        <v>2017</v>
      </c>
      <c r="L3922" t="s">
        <v>37</v>
      </c>
      <c r="M3922" t="s">
        <v>102</v>
      </c>
      <c r="N3922" t="s">
        <v>23</v>
      </c>
      <c r="O3922" t="s">
        <v>23</v>
      </c>
      <c r="P3922" s="1" t="s">
        <v>33</v>
      </c>
      <c r="Q3922">
        <v>123.4</v>
      </c>
    </row>
    <row r="3923" spans="11:17" x14ac:dyDescent="0.3">
      <c r="K3923">
        <v>2017</v>
      </c>
      <c r="L3923" t="s">
        <v>37</v>
      </c>
      <c r="M3923" t="s">
        <v>102</v>
      </c>
      <c r="N3923" t="s">
        <v>22</v>
      </c>
      <c r="O3923" t="s">
        <v>20</v>
      </c>
      <c r="P3923" s="1" t="s">
        <v>30</v>
      </c>
      <c r="Q3923">
        <v>134.30000000000001</v>
      </c>
    </row>
    <row r="3924" spans="11:17" x14ac:dyDescent="0.3">
      <c r="K3924">
        <v>2017</v>
      </c>
      <c r="L3924" t="s">
        <v>37</v>
      </c>
      <c r="M3924" t="s">
        <v>102</v>
      </c>
      <c r="N3924" t="s">
        <v>22</v>
      </c>
      <c r="O3924" t="s">
        <v>20</v>
      </c>
      <c r="P3924" s="1" t="s">
        <v>34</v>
      </c>
      <c r="Q3924">
        <v>130.4</v>
      </c>
    </row>
    <row r="3925" spans="11:17" x14ac:dyDescent="0.3">
      <c r="K3925">
        <v>2017</v>
      </c>
      <c r="L3925" t="s">
        <v>37</v>
      </c>
      <c r="M3925" t="s">
        <v>102</v>
      </c>
      <c r="N3925" t="s">
        <v>22</v>
      </c>
      <c r="O3925" t="s">
        <v>20</v>
      </c>
      <c r="P3925" s="1" t="s">
        <v>33</v>
      </c>
      <c r="Q3925">
        <v>126</v>
      </c>
    </row>
    <row r="3926" spans="11:17" x14ac:dyDescent="0.3">
      <c r="K3926">
        <v>2017</v>
      </c>
      <c r="L3926" t="s">
        <v>37</v>
      </c>
      <c r="M3926" t="s">
        <v>102</v>
      </c>
      <c r="N3926" t="s">
        <v>20</v>
      </c>
      <c r="O3926" t="s">
        <v>20</v>
      </c>
      <c r="P3926" s="1" t="s">
        <v>30</v>
      </c>
      <c r="Q3926">
        <v>0</v>
      </c>
    </row>
    <row r="3927" spans="11:17" x14ac:dyDescent="0.3">
      <c r="K3927">
        <v>2017</v>
      </c>
      <c r="L3927" t="s">
        <v>37</v>
      </c>
      <c r="M3927" t="s">
        <v>102</v>
      </c>
      <c r="N3927" t="s">
        <v>20</v>
      </c>
      <c r="O3927" t="s">
        <v>20</v>
      </c>
      <c r="P3927" s="1" t="s">
        <v>34</v>
      </c>
      <c r="Q3927">
        <v>131.69999999999999</v>
      </c>
    </row>
    <row r="3928" spans="11:17" x14ac:dyDescent="0.3">
      <c r="K3928">
        <v>2017</v>
      </c>
      <c r="L3928" t="s">
        <v>37</v>
      </c>
      <c r="M3928" t="s">
        <v>102</v>
      </c>
      <c r="N3928" t="s">
        <v>20</v>
      </c>
      <c r="O3928" t="s">
        <v>20</v>
      </c>
      <c r="P3928" s="1" t="s">
        <v>33</v>
      </c>
      <c r="Q3928">
        <v>131.69999999999999</v>
      </c>
    </row>
    <row r="3929" spans="11:17" x14ac:dyDescent="0.3">
      <c r="K3929">
        <v>2017</v>
      </c>
      <c r="L3929" t="s">
        <v>37</v>
      </c>
      <c r="M3929" t="s">
        <v>102</v>
      </c>
      <c r="N3929" t="s">
        <v>4</v>
      </c>
      <c r="O3929" t="s">
        <v>188</v>
      </c>
      <c r="P3929" s="1" t="s">
        <v>30</v>
      </c>
      <c r="Q3929">
        <v>138.69999999999999</v>
      </c>
    </row>
    <row r="3930" spans="11:17" x14ac:dyDescent="0.3">
      <c r="K3930">
        <v>2017</v>
      </c>
      <c r="L3930" t="s">
        <v>37</v>
      </c>
      <c r="M3930" t="s">
        <v>102</v>
      </c>
      <c r="N3930" t="s">
        <v>4</v>
      </c>
      <c r="O3930" t="s">
        <v>188</v>
      </c>
      <c r="P3930" s="1" t="s">
        <v>34</v>
      </c>
      <c r="Q3930">
        <v>139.4</v>
      </c>
    </row>
    <row r="3931" spans="11:17" x14ac:dyDescent="0.3">
      <c r="K3931">
        <v>2017</v>
      </c>
      <c r="L3931" t="s">
        <v>37</v>
      </c>
      <c r="M3931" t="s">
        <v>102</v>
      </c>
      <c r="N3931" t="s">
        <v>4</v>
      </c>
      <c r="O3931" t="s">
        <v>188</v>
      </c>
      <c r="P3931" s="1" t="s">
        <v>33</v>
      </c>
      <c r="Q3931">
        <v>140.6</v>
      </c>
    </row>
    <row r="3932" spans="11:17" x14ac:dyDescent="0.3">
      <c r="K3932">
        <v>2017</v>
      </c>
      <c r="L3932" t="s">
        <v>37</v>
      </c>
      <c r="M3932" t="s">
        <v>102</v>
      </c>
      <c r="N3932" t="s">
        <v>6</v>
      </c>
      <c r="O3932" t="s">
        <v>188</v>
      </c>
      <c r="P3932" s="1" t="s">
        <v>30</v>
      </c>
      <c r="Q3932">
        <v>137.69999999999999</v>
      </c>
    </row>
    <row r="3933" spans="11:17" x14ac:dyDescent="0.3">
      <c r="K3933">
        <v>2017</v>
      </c>
      <c r="L3933" t="s">
        <v>37</v>
      </c>
      <c r="M3933" t="s">
        <v>102</v>
      </c>
      <c r="N3933" t="s">
        <v>6</v>
      </c>
      <c r="O3933" t="s">
        <v>188</v>
      </c>
      <c r="P3933" s="1" t="s">
        <v>34</v>
      </c>
      <c r="Q3933">
        <v>137.19999999999999</v>
      </c>
    </row>
    <row r="3934" spans="11:17" x14ac:dyDescent="0.3">
      <c r="K3934">
        <v>2017</v>
      </c>
      <c r="L3934" t="s">
        <v>37</v>
      </c>
      <c r="M3934" t="s">
        <v>102</v>
      </c>
      <c r="N3934" t="s">
        <v>6</v>
      </c>
      <c r="O3934" t="s">
        <v>188</v>
      </c>
      <c r="P3934" s="1" t="s">
        <v>33</v>
      </c>
      <c r="Q3934">
        <v>136.30000000000001</v>
      </c>
    </row>
    <row r="3935" spans="11:17" x14ac:dyDescent="0.3">
      <c r="K3935">
        <v>2017</v>
      </c>
      <c r="L3935" t="s">
        <v>37</v>
      </c>
      <c r="M3935" t="s">
        <v>102</v>
      </c>
      <c r="N3935" t="s">
        <v>28</v>
      </c>
      <c r="O3935" t="s">
        <v>192</v>
      </c>
      <c r="P3935" s="1" t="s">
        <v>30</v>
      </c>
      <c r="Q3935">
        <v>127.5</v>
      </c>
    </row>
    <row r="3936" spans="11:17" x14ac:dyDescent="0.3">
      <c r="K3936">
        <v>2017</v>
      </c>
      <c r="L3936" t="s">
        <v>37</v>
      </c>
      <c r="M3936" t="s">
        <v>102</v>
      </c>
      <c r="N3936" t="s">
        <v>28</v>
      </c>
      <c r="O3936" t="s">
        <v>192</v>
      </c>
      <c r="P3936" s="1" t="s">
        <v>34</v>
      </c>
      <c r="Q3936">
        <v>125.1</v>
      </c>
    </row>
    <row r="3937" spans="11:17" x14ac:dyDescent="0.3">
      <c r="K3937">
        <v>2017</v>
      </c>
      <c r="L3937" t="s">
        <v>37</v>
      </c>
      <c r="M3937" t="s">
        <v>102</v>
      </c>
      <c r="N3937" t="s">
        <v>28</v>
      </c>
      <c r="O3937" t="s">
        <v>192</v>
      </c>
      <c r="P3937" s="1" t="s">
        <v>33</v>
      </c>
      <c r="Q3937">
        <v>122.5</v>
      </c>
    </row>
    <row r="3938" spans="11:17" x14ac:dyDescent="0.3">
      <c r="K3938">
        <v>2017</v>
      </c>
      <c r="L3938" t="s">
        <v>37</v>
      </c>
      <c r="M3938" t="s">
        <v>102</v>
      </c>
      <c r="N3938" t="s">
        <v>13</v>
      </c>
      <c r="O3938" t="s">
        <v>188</v>
      </c>
      <c r="P3938" s="1" t="s">
        <v>30</v>
      </c>
      <c r="Q3938">
        <v>130</v>
      </c>
    </row>
    <row r="3939" spans="11:17" x14ac:dyDescent="0.3">
      <c r="K3939">
        <v>2017</v>
      </c>
      <c r="L3939" t="s">
        <v>37</v>
      </c>
      <c r="M3939" t="s">
        <v>102</v>
      </c>
      <c r="N3939" t="s">
        <v>13</v>
      </c>
      <c r="O3939" t="s">
        <v>188</v>
      </c>
      <c r="P3939" s="1" t="s">
        <v>34</v>
      </c>
      <c r="Q3939">
        <v>127.4</v>
      </c>
    </row>
    <row r="3940" spans="11:17" x14ac:dyDescent="0.3">
      <c r="K3940">
        <v>2017</v>
      </c>
      <c r="L3940" t="s">
        <v>37</v>
      </c>
      <c r="M3940" t="s">
        <v>102</v>
      </c>
      <c r="N3940" t="s">
        <v>13</v>
      </c>
      <c r="O3940" t="s">
        <v>188</v>
      </c>
      <c r="P3940" s="1" t="s">
        <v>33</v>
      </c>
      <c r="Q3940">
        <v>123.8</v>
      </c>
    </row>
    <row r="3941" spans="11:17" x14ac:dyDescent="0.3">
      <c r="K3941">
        <v>2017</v>
      </c>
      <c r="L3941" t="s">
        <v>37</v>
      </c>
      <c r="M3941" t="s">
        <v>102</v>
      </c>
      <c r="N3941" t="s">
        <v>7</v>
      </c>
      <c r="O3941" t="s">
        <v>188</v>
      </c>
      <c r="P3941" s="1" t="s">
        <v>30</v>
      </c>
      <c r="Q3941">
        <v>121.3</v>
      </c>
    </row>
    <row r="3942" spans="11:17" x14ac:dyDescent="0.3">
      <c r="K3942">
        <v>2017</v>
      </c>
      <c r="L3942" t="s">
        <v>37</v>
      </c>
      <c r="M3942" t="s">
        <v>102</v>
      </c>
      <c r="N3942" t="s">
        <v>7</v>
      </c>
      <c r="O3942" t="s">
        <v>188</v>
      </c>
      <c r="P3942" s="1" t="s">
        <v>34</v>
      </c>
      <c r="Q3942">
        <v>118.4</v>
      </c>
    </row>
    <row r="3943" spans="11:17" x14ac:dyDescent="0.3">
      <c r="K3943">
        <v>2017</v>
      </c>
      <c r="L3943" t="s">
        <v>37</v>
      </c>
      <c r="M3943" t="s">
        <v>102</v>
      </c>
      <c r="N3943" t="s">
        <v>7</v>
      </c>
      <c r="O3943" t="s">
        <v>188</v>
      </c>
      <c r="P3943" s="1" t="s">
        <v>33</v>
      </c>
      <c r="Q3943">
        <v>113.5</v>
      </c>
    </row>
    <row r="3944" spans="11:17" x14ac:dyDescent="0.3">
      <c r="K3944">
        <v>2017</v>
      </c>
      <c r="L3944" t="s">
        <v>37</v>
      </c>
      <c r="M3944" t="s">
        <v>102</v>
      </c>
      <c r="N3944" t="s">
        <v>16</v>
      </c>
      <c r="O3944" t="s">
        <v>192</v>
      </c>
      <c r="P3944" s="1" t="s">
        <v>30</v>
      </c>
      <c r="Q3944">
        <v>144.4</v>
      </c>
    </row>
    <row r="3945" spans="11:17" x14ac:dyDescent="0.3">
      <c r="K3945">
        <v>2017</v>
      </c>
      <c r="L3945" t="s">
        <v>37</v>
      </c>
      <c r="M3945" t="s">
        <v>102</v>
      </c>
      <c r="N3945" t="s">
        <v>16</v>
      </c>
      <c r="O3945" t="s">
        <v>192</v>
      </c>
      <c r="P3945" s="1" t="s">
        <v>34</v>
      </c>
      <c r="Q3945">
        <v>145.4</v>
      </c>
    </row>
    <row r="3946" spans="11:17" x14ac:dyDescent="0.3">
      <c r="K3946">
        <v>2017</v>
      </c>
      <c r="L3946" t="s">
        <v>37</v>
      </c>
      <c r="M3946" t="s">
        <v>102</v>
      </c>
      <c r="N3946" t="s">
        <v>16</v>
      </c>
      <c r="O3946" t="s">
        <v>192</v>
      </c>
      <c r="P3946" s="1" t="s">
        <v>33</v>
      </c>
      <c r="Q3946">
        <v>148</v>
      </c>
    </row>
    <row r="3947" spans="11:17" x14ac:dyDescent="0.3">
      <c r="K3947">
        <v>2017</v>
      </c>
      <c r="L3947" t="s">
        <v>37</v>
      </c>
      <c r="M3947" t="s">
        <v>102</v>
      </c>
      <c r="N3947" t="s">
        <v>27</v>
      </c>
      <c r="O3947" t="s">
        <v>192</v>
      </c>
      <c r="P3947" s="1" t="s">
        <v>30</v>
      </c>
      <c r="Q3947">
        <v>123.7</v>
      </c>
    </row>
    <row r="3948" spans="11:17" x14ac:dyDescent="0.3">
      <c r="K3948">
        <v>2017</v>
      </c>
      <c r="L3948" t="s">
        <v>37</v>
      </c>
      <c r="M3948" t="s">
        <v>102</v>
      </c>
      <c r="N3948" t="s">
        <v>27</v>
      </c>
      <c r="O3948" t="s">
        <v>192</v>
      </c>
      <c r="P3948" s="1" t="s">
        <v>34</v>
      </c>
      <c r="Q3948">
        <v>123.1</v>
      </c>
    </row>
    <row r="3949" spans="11:17" x14ac:dyDescent="0.3">
      <c r="K3949">
        <v>2017</v>
      </c>
      <c r="L3949" t="s">
        <v>37</v>
      </c>
      <c r="M3949" t="s">
        <v>102</v>
      </c>
      <c r="N3949" t="s">
        <v>27</v>
      </c>
      <c r="O3949" t="s">
        <v>192</v>
      </c>
      <c r="P3949" s="1" t="s">
        <v>33</v>
      </c>
      <c r="Q3949">
        <v>122.2</v>
      </c>
    </row>
    <row r="3950" spans="11:17" x14ac:dyDescent="0.3">
      <c r="K3950">
        <v>2017</v>
      </c>
      <c r="L3950" t="s">
        <v>37</v>
      </c>
      <c r="M3950" t="s">
        <v>102</v>
      </c>
      <c r="N3950" t="s">
        <v>14</v>
      </c>
      <c r="O3950" t="s">
        <v>188</v>
      </c>
      <c r="P3950" s="1" t="s">
        <v>30</v>
      </c>
      <c r="Q3950">
        <v>145.5</v>
      </c>
    </row>
    <row r="3951" spans="11:17" x14ac:dyDescent="0.3">
      <c r="K3951">
        <v>2017</v>
      </c>
      <c r="L3951" t="s">
        <v>37</v>
      </c>
      <c r="M3951" t="s">
        <v>102</v>
      </c>
      <c r="N3951" t="s">
        <v>14</v>
      </c>
      <c r="O3951" t="s">
        <v>188</v>
      </c>
      <c r="P3951" s="1" t="s">
        <v>34</v>
      </c>
      <c r="Q3951">
        <v>144.19999999999999</v>
      </c>
    </row>
    <row r="3952" spans="11:17" x14ac:dyDescent="0.3">
      <c r="K3952">
        <v>2017</v>
      </c>
      <c r="L3952" t="s">
        <v>37</v>
      </c>
      <c r="M3952" t="s">
        <v>102</v>
      </c>
      <c r="N3952" t="s">
        <v>14</v>
      </c>
      <c r="O3952" t="s">
        <v>188</v>
      </c>
      <c r="P3952" s="1" t="s">
        <v>33</v>
      </c>
      <c r="Q3952">
        <v>142.6</v>
      </c>
    </row>
    <row r="3953" spans="11:17" x14ac:dyDescent="0.3">
      <c r="K3953">
        <v>2017</v>
      </c>
      <c r="L3953" t="s">
        <v>37</v>
      </c>
      <c r="M3953" t="s">
        <v>102</v>
      </c>
      <c r="N3953" t="s">
        <v>10</v>
      </c>
      <c r="O3953" t="s">
        <v>188</v>
      </c>
      <c r="P3953" s="1" t="s">
        <v>30</v>
      </c>
      <c r="Q3953">
        <v>144.5</v>
      </c>
    </row>
    <row r="3954" spans="11:17" x14ac:dyDescent="0.3">
      <c r="K3954">
        <v>2017</v>
      </c>
      <c r="L3954" t="s">
        <v>37</v>
      </c>
      <c r="M3954" t="s">
        <v>102</v>
      </c>
      <c r="N3954" t="s">
        <v>10</v>
      </c>
      <c r="O3954" t="s">
        <v>188</v>
      </c>
      <c r="P3954" s="1" t="s">
        <v>34</v>
      </c>
      <c r="Q3954">
        <v>140.9</v>
      </c>
    </row>
    <row r="3955" spans="11:17" x14ac:dyDescent="0.3">
      <c r="K3955">
        <v>2017</v>
      </c>
      <c r="L3955" t="s">
        <v>37</v>
      </c>
      <c r="M3955" t="s">
        <v>102</v>
      </c>
      <c r="N3955" t="s">
        <v>10</v>
      </c>
      <c r="O3955" t="s">
        <v>188</v>
      </c>
      <c r="P3955" s="1" t="s">
        <v>33</v>
      </c>
      <c r="Q3955">
        <v>133.80000000000001</v>
      </c>
    </row>
    <row r="3956" spans="11:17" x14ac:dyDescent="0.3">
      <c r="K3956">
        <v>2017</v>
      </c>
      <c r="L3956" t="s">
        <v>37</v>
      </c>
      <c r="M3956" t="s">
        <v>102</v>
      </c>
      <c r="N3956" t="s">
        <v>25</v>
      </c>
      <c r="O3956" t="s">
        <v>195</v>
      </c>
      <c r="P3956" s="1" t="s">
        <v>30</v>
      </c>
      <c r="Q3956">
        <v>128.30000000000001</v>
      </c>
    </row>
    <row r="3957" spans="11:17" x14ac:dyDescent="0.3">
      <c r="K3957">
        <v>2017</v>
      </c>
      <c r="L3957" t="s">
        <v>37</v>
      </c>
      <c r="M3957" t="s">
        <v>102</v>
      </c>
      <c r="N3957" t="s">
        <v>25</v>
      </c>
      <c r="O3957" t="s">
        <v>195</v>
      </c>
      <c r="P3957" s="1" t="s">
        <v>34</v>
      </c>
      <c r="Q3957">
        <v>125.1</v>
      </c>
    </row>
    <row r="3958" spans="11:17" x14ac:dyDescent="0.3">
      <c r="K3958">
        <v>2017</v>
      </c>
      <c r="L3958" t="s">
        <v>37</v>
      </c>
      <c r="M3958" t="s">
        <v>102</v>
      </c>
      <c r="N3958" t="s">
        <v>25</v>
      </c>
      <c r="O3958" t="s">
        <v>195</v>
      </c>
      <c r="P3958" s="1" t="s">
        <v>33</v>
      </c>
      <c r="Q3958">
        <v>122.6</v>
      </c>
    </row>
    <row r="3959" spans="11:17" x14ac:dyDescent="0.3">
      <c r="K3959">
        <v>2017</v>
      </c>
      <c r="L3959" t="s">
        <v>37</v>
      </c>
      <c r="M3959" t="s">
        <v>102</v>
      </c>
      <c r="N3959" t="s">
        <v>12</v>
      </c>
      <c r="O3959" t="s">
        <v>188</v>
      </c>
      <c r="P3959" s="1" t="s">
        <v>30</v>
      </c>
      <c r="Q3959">
        <v>134.1</v>
      </c>
    </row>
    <row r="3960" spans="11:17" x14ac:dyDescent="0.3">
      <c r="K3960">
        <v>2017</v>
      </c>
      <c r="L3960" t="s">
        <v>37</v>
      </c>
      <c r="M3960" t="s">
        <v>102</v>
      </c>
      <c r="N3960" t="s">
        <v>12</v>
      </c>
      <c r="O3960" t="s">
        <v>188</v>
      </c>
      <c r="P3960" s="1" t="s">
        <v>34</v>
      </c>
      <c r="Q3960">
        <v>136.5</v>
      </c>
    </row>
    <row r="3961" spans="11:17" x14ac:dyDescent="0.3">
      <c r="K3961">
        <v>2017</v>
      </c>
      <c r="L3961" t="s">
        <v>37</v>
      </c>
      <c r="M3961" t="s">
        <v>102</v>
      </c>
      <c r="N3961" t="s">
        <v>12</v>
      </c>
      <c r="O3961" t="s">
        <v>188</v>
      </c>
      <c r="P3961" s="1" t="s">
        <v>33</v>
      </c>
      <c r="Q3961">
        <v>141.30000000000001</v>
      </c>
    </row>
    <row r="3962" spans="11:17" x14ac:dyDescent="0.3">
      <c r="K3962">
        <v>2017</v>
      </c>
      <c r="L3962" t="s">
        <v>37</v>
      </c>
      <c r="M3962" t="s">
        <v>102</v>
      </c>
      <c r="N3962" t="s">
        <v>11</v>
      </c>
      <c r="O3962" t="s">
        <v>188</v>
      </c>
      <c r="P3962" s="1" t="s">
        <v>30</v>
      </c>
      <c r="Q3962">
        <v>117.4</v>
      </c>
    </row>
    <row r="3963" spans="11:17" x14ac:dyDescent="0.3">
      <c r="K3963">
        <v>2017</v>
      </c>
      <c r="L3963" t="s">
        <v>37</v>
      </c>
      <c r="M3963" t="s">
        <v>102</v>
      </c>
      <c r="N3963" t="s">
        <v>11</v>
      </c>
      <c r="O3963" t="s">
        <v>188</v>
      </c>
      <c r="P3963" s="1" t="s">
        <v>34</v>
      </c>
      <c r="Q3963">
        <v>118.5</v>
      </c>
    </row>
    <row r="3964" spans="11:17" x14ac:dyDescent="0.3">
      <c r="K3964">
        <v>2017</v>
      </c>
      <c r="L3964" t="s">
        <v>37</v>
      </c>
      <c r="M3964" t="s">
        <v>102</v>
      </c>
      <c r="N3964" t="s">
        <v>11</v>
      </c>
      <c r="O3964" t="s">
        <v>188</v>
      </c>
      <c r="P3964" s="1" t="s">
        <v>33</v>
      </c>
      <c r="Q3964">
        <v>120.8</v>
      </c>
    </row>
    <row r="3965" spans="11:17" x14ac:dyDescent="0.3">
      <c r="K3965">
        <v>2017</v>
      </c>
      <c r="L3965" t="s">
        <v>37</v>
      </c>
      <c r="M3965" t="s">
        <v>102</v>
      </c>
      <c r="N3965" t="s">
        <v>24</v>
      </c>
      <c r="O3965" t="s">
        <v>191</v>
      </c>
      <c r="P3965" s="1" t="s">
        <v>30</v>
      </c>
      <c r="Q3965">
        <v>119.2</v>
      </c>
    </row>
    <row r="3966" spans="11:17" x14ac:dyDescent="0.3">
      <c r="K3966">
        <v>2017</v>
      </c>
      <c r="L3966" t="s">
        <v>37</v>
      </c>
      <c r="M3966" t="s">
        <v>102</v>
      </c>
      <c r="N3966" t="s">
        <v>24</v>
      </c>
      <c r="O3966" t="s">
        <v>191</v>
      </c>
      <c r="P3966" s="1" t="s">
        <v>34</v>
      </c>
      <c r="Q3966">
        <v>116.6</v>
      </c>
    </row>
    <row r="3967" spans="11:17" x14ac:dyDescent="0.3">
      <c r="K3967">
        <v>2017</v>
      </c>
      <c r="L3967" t="s">
        <v>37</v>
      </c>
      <c r="M3967" t="s">
        <v>102</v>
      </c>
      <c r="N3967" t="s">
        <v>24</v>
      </c>
      <c r="O3967" t="s">
        <v>191</v>
      </c>
      <c r="P3967" s="1" t="s">
        <v>33</v>
      </c>
      <c r="Q3967">
        <v>114.3</v>
      </c>
    </row>
    <row r="3968" spans="11:17" x14ac:dyDescent="0.3">
      <c r="K3968">
        <v>2017</v>
      </c>
      <c r="L3968" t="s">
        <v>37</v>
      </c>
      <c r="M3968" t="s">
        <v>102</v>
      </c>
      <c r="N3968" t="s">
        <v>9</v>
      </c>
      <c r="O3968" t="s">
        <v>188</v>
      </c>
      <c r="P3968" s="1" t="s">
        <v>30</v>
      </c>
      <c r="Q3968">
        <v>121.5</v>
      </c>
    </row>
    <row r="3969" spans="11:17" x14ac:dyDescent="0.3">
      <c r="K3969">
        <v>2017</v>
      </c>
      <c r="L3969" t="s">
        <v>37</v>
      </c>
      <c r="M3969" t="s">
        <v>102</v>
      </c>
      <c r="N3969" t="s">
        <v>9</v>
      </c>
      <c r="O3969" t="s">
        <v>188</v>
      </c>
      <c r="P3969" s="1" t="s">
        <v>34</v>
      </c>
      <c r="Q3969">
        <v>123.4</v>
      </c>
    </row>
    <row r="3970" spans="11:17" x14ac:dyDescent="0.3">
      <c r="K3970">
        <v>2017</v>
      </c>
      <c r="L3970" t="s">
        <v>37</v>
      </c>
      <c r="M3970" t="s">
        <v>102</v>
      </c>
      <c r="N3970" t="s">
        <v>9</v>
      </c>
      <c r="O3970" t="s">
        <v>188</v>
      </c>
      <c r="P3970" s="1" t="s">
        <v>33</v>
      </c>
      <c r="Q3970">
        <v>127.1</v>
      </c>
    </row>
    <row r="3971" spans="11:17" x14ac:dyDescent="0.3">
      <c r="K3971">
        <v>2017</v>
      </c>
      <c r="L3971" t="s">
        <v>41</v>
      </c>
      <c r="M3971" t="s">
        <v>103</v>
      </c>
      <c r="N3971" t="s">
        <v>3</v>
      </c>
      <c r="O3971" t="s">
        <v>188</v>
      </c>
      <c r="P3971" s="1" t="s">
        <v>30</v>
      </c>
      <c r="Q3971">
        <v>134.80000000000001</v>
      </c>
    </row>
    <row r="3972" spans="11:17" x14ac:dyDescent="0.3">
      <c r="K3972">
        <v>2017</v>
      </c>
      <c r="L3972" t="s">
        <v>41</v>
      </c>
      <c r="M3972" t="s">
        <v>103</v>
      </c>
      <c r="N3972" t="s">
        <v>3</v>
      </c>
      <c r="O3972" t="s">
        <v>188</v>
      </c>
      <c r="P3972" s="1" t="s">
        <v>34</v>
      </c>
      <c r="Q3972">
        <v>134.30000000000001</v>
      </c>
    </row>
    <row r="3973" spans="11:17" x14ac:dyDescent="0.3">
      <c r="K3973">
        <v>2017</v>
      </c>
      <c r="L3973" t="s">
        <v>41</v>
      </c>
      <c r="M3973" t="s">
        <v>103</v>
      </c>
      <c r="N3973" t="s">
        <v>3</v>
      </c>
      <c r="O3973" t="s">
        <v>188</v>
      </c>
      <c r="P3973" s="1" t="s">
        <v>33</v>
      </c>
      <c r="Q3973">
        <v>133.19999999999999</v>
      </c>
    </row>
    <row r="3974" spans="11:17" x14ac:dyDescent="0.3">
      <c r="K3974">
        <v>2017</v>
      </c>
      <c r="L3974" t="s">
        <v>41</v>
      </c>
      <c r="M3974" t="s">
        <v>103</v>
      </c>
      <c r="N3974" t="s">
        <v>17</v>
      </c>
      <c r="O3974" t="s">
        <v>189</v>
      </c>
      <c r="P3974" s="1" t="s">
        <v>30</v>
      </c>
      <c r="Q3974">
        <v>145.30000000000001</v>
      </c>
    </row>
    <row r="3975" spans="11:17" x14ac:dyDescent="0.3">
      <c r="K3975">
        <v>2017</v>
      </c>
      <c r="L3975" t="s">
        <v>41</v>
      </c>
      <c r="M3975" t="s">
        <v>103</v>
      </c>
      <c r="N3975" t="s">
        <v>17</v>
      </c>
      <c r="O3975" t="s">
        <v>189</v>
      </c>
      <c r="P3975" s="1" t="s">
        <v>34</v>
      </c>
      <c r="Q3975">
        <v>140.30000000000001</v>
      </c>
    </row>
    <row r="3976" spans="11:17" x14ac:dyDescent="0.3">
      <c r="K3976">
        <v>2017</v>
      </c>
      <c r="L3976" t="s">
        <v>41</v>
      </c>
      <c r="M3976" t="s">
        <v>103</v>
      </c>
      <c r="N3976" t="s">
        <v>17</v>
      </c>
      <c r="O3976" t="s">
        <v>189</v>
      </c>
      <c r="P3976" s="1" t="s">
        <v>33</v>
      </c>
      <c r="Q3976">
        <v>132.69999999999999</v>
      </c>
    </row>
    <row r="3977" spans="11:17" x14ac:dyDescent="0.3">
      <c r="K3977">
        <v>2017</v>
      </c>
      <c r="L3977" t="s">
        <v>41</v>
      </c>
      <c r="M3977" t="s">
        <v>103</v>
      </c>
      <c r="N3977" t="s">
        <v>19</v>
      </c>
      <c r="O3977" t="s">
        <v>189</v>
      </c>
      <c r="P3977" s="1" t="s">
        <v>30</v>
      </c>
      <c r="Q3977">
        <v>144.5</v>
      </c>
    </row>
    <row r="3978" spans="11:17" x14ac:dyDescent="0.3">
      <c r="K3978">
        <v>2017</v>
      </c>
      <c r="L3978" t="s">
        <v>41</v>
      </c>
      <c r="M3978" t="s">
        <v>103</v>
      </c>
      <c r="N3978" t="s">
        <v>19</v>
      </c>
      <c r="O3978" t="s">
        <v>189</v>
      </c>
      <c r="P3978" s="1" t="s">
        <v>34</v>
      </c>
      <c r="Q3978">
        <v>139.30000000000001</v>
      </c>
    </row>
    <row r="3979" spans="11:17" x14ac:dyDescent="0.3">
      <c r="K3979">
        <v>2017</v>
      </c>
      <c r="L3979" t="s">
        <v>41</v>
      </c>
      <c r="M3979" t="s">
        <v>103</v>
      </c>
      <c r="N3979" t="s">
        <v>19</v>
      </c>
      <c r="O3979" t="s">
        <v>189</v>
      </c>
      <c r="P3979" s="1" t="s">
        <v>33</v>
      </c>
      <c r="Q3979">
        <v>131.4</v>
      </c>
    </row>
    <row r="3980" spans="11:17" x14ac:dyDescent="0.3">
      <c r="K3980">
        <v>2017</v>
      </c>
      <c r="L3980" t="s">
        <v>41</v>
      </c>
      <c r="M3980" t="s">
        <v>103</v>
      </c>
      <c r="N3980" t="s">
        <v>26</v>
      </c>
      <c r="O3980" t="s">
        <v>26</v>
      </c>
      <c r="P3980" s="1" t="s">
        <v>30</v>
      </c>
      <c r="Q3980">
        <v>140.19999999999999</v>
      </c>
    </row>
    <row r="3981" spans="11:17" x14ac:dyDescent="0.3">
      <c r="K3981">
        <v>2017</v>
      </c>
      <c r="L3981" t="s">
        <v>41</v>
      </c>
      <c r="M3981" t="s">
        <v>103</v>
      </c>
      <c r="N3981" t="s">
        <v>26</v>
      </c>
      <c r="O3981" t="s">
        <v>26</v>
      </c>
      <c r="P3981" s="1" t="s">
        <v>34</v>
      </c>
      <c r="Q3981">
        <v>137.6</v>
      </c>
    </row>
    <row r="3982" spans="11:17" x14ac:dyDescent="0.3">
      <c r="K3982">
        <v>2017</v>
      </c>
      <c r="L3982" t="s">
        <v>41</v>
      </c>
      <c r="M3982" t="s">
        <v>103</v>
      </c>
      <c r="N3982" t="s">
        <v>26</v>
      </c>
      <c r="O3982" t="s">
        <v>26</v>
      </c>
      <c r="P3982" s="1" t="s">
        <v>33</v>
      </c>
      <c r="Q3982">
        <v>135.69999999999999</v>
      </c>
    </row>
    <row r="3983" spans="11:17" x14ac:dyDescent="0.3">
      <c r="K3983">
        <v>2017</v>
      </c>
      <c r="L3983" t="s">
        <v>41</v>
      </c>
      <c r="M3983" t="s">
        <v>103</v>
      </c>
      <c r="N3983" t="s">
        <v>5</v>
      </c>
      <c r="O3983" t="s">
        <v>188</v>
      </c>
      <c r="P3983" s="1" t="s">
        <v>30</v>
      </c>
      <c r="Q3983">
        <v>130</v>
      </c>
    </row>
    <row r="3984" spans="11:17" x14ac:dyDescent="0.3">
      <c r="K3984">
        <v>2017</v>
      </c>
      <c r="L3984" t="s">
        <v>41</v>
      </c>
      <c r="M3984" t="s">
        <v>103</v>
      </c>
      <c r="N3984" t="s">
        <v>5</v>
      </c>
      <c r="O3984" t="s">
        <v>188</v>
      </c>
      <c r="P3984" s="1" t="s">
        <v>34</v>
      </c>
      <c r="Q3984">
        <v>129.30000000000001</v>
      </c>
    </row>
    <row r="3985" spans="11:17" x14ac:dyDescent="0.3">
      <c r="K3985">
        <v>2017</v>
      </c>
      <c r="L3985" t="s">
        <v>41</v>
      </c>
      <c r="M3985" t="s">
        <v>103</v>
      </c>
      <c r="N3985" t="s">
        <v>5</v>
      </c>
      <c r="O3985" t="s">
        <v>188</v>
      </c>
      <c r="P3985" s="1" t="s">
        <v>33</v>
      </c>
      <c r="Q3985">
        <v>128.30000000000001</v>
      </c>
    </row>
    <row r="3986" spans="11:17" x14ac:dyDescent="0.3">
      <c r="K3986">
        <v>2017</v>
      </c>
      <c r="L3986" t="s">
        <v>41</v>
      </c>
      <c r="M3986" t="s">
        <v>103</v>
      </c>
      <c r="N3986" t="s">
        <v>15</v>
      </c>
      <c r="O3986" t="s">
        <v>188</v>
      </c>
      <c r="P3986" s="1" t="s">
        <v>30</v>
      </c>
      <c r="Q3986">
        <v>140.6</v>
      </c>
    </row>
    <row r="3987" spans="11:17" x14ac:dyDescent="0.3">
      <c r="K3987">
        <v>2017</v>
      </c>
      <c r="L3987" t="s">
        <v>41</v>
      </c>
      <c r="M3987" t="s">
        <v>103</v>
      </c>
      <c r="N3987" t="s">
        <v>15</v>
      </c>
      <c r="O3987" t="s">
        <v>188</v>
      </c>
      <c r="P3987" s="1" t="s">
        <v>34</v>
      </c>
      <c r="Q3987">
        <v>140.6</v>
      </c>
    </row>
    <row r="3988" spans="11:17" x14ac:dyDescent="0.3">
      <c r="K3988">
        <v>2017</v>
      </c>
      <c r="L3988" t="s">
        <v>41</v>
      </c>
      <c r="M3988" t="s">
        <v>103</v>
      </c>
      <c r="N3988" t="s">
        <v>15</v>
      </c>
      <c r="O3988" t="s">
        <v>188</v>
      </c>
      <c r="P3988" s="1" t="s">
        <v>33</v>
      </c>
      <c r="Q3988">
        <v>140.5</v>
      </c>
    </row>
    <row r="3989" spans="11:17" x14ac:dyDescent="0.3">
      <c r="K3989">
        <v>2017</v>
      </c>
      <c r="L3989" t="s">
        <v>41</v>
      </c>
      <c r="M3989" t="s">
        <v>103</v>
      </c>
      <c r="N3989" t="s">
        <v>18</v>
      </c>
      <c r="O3989" t="s">
        <v>189</v>
      </c>
      <c r="P3989" s="1" t="s">
        <v>30</v>
      </c>
      <c r="Q3989">
        <v>139.19999999999999</v>
      </c>
    </row>
    <row r="3990" spans="11:17" x14ac:dyDescent="0.3">
      <c r="K3990">
        <v>2017</v>
      </c>
      <c r="L3990" t="s">
        <v>41</v>
      </c>
      <c r="M3990" t="s">
        <v>103</v>
      </c>
      <c r="N3990" t="s">
        <v>18</v>
      </c>
      <c r="O3990" t="s">
        <v>189</v>
      </c>
      <c r="P3990" s="1" t="s">
        <v>34</v>
      </c>
      <c r="Q3990">
        <v>133</v>
      </c>
    </row>
    <row r="3991" spans="11:17" x14ac:dyDescent="0.3">
      <c r="K3991">
        <v>2017</v>
      </c>
      <c r="L3991" t="s">
        <v>41</v>
      </c>
      <c r="M3991" t="s">
        <v>103</v>
      </c>
      <c r="N3991" t="s">
        <v>18</v>
      </c>
      <c r="O3991" t="s">
        <v>189</v>
      </c>
      <c r="P3991" s="1" t="s">
        <v>33</v>
      </c>
      <c r="Q3991">
        <v>124.3</v>
      </c>
    </row>
    <row r="3992" spans="11:17" x14ac:dyDescent="0.3">
      <c r="K3992">
        <v>2017</v>
      </c>
      <c r="L3992" t="s">
        <v>41</v>
      </c>
      <c r="M3992" t="s">
        <v>103</v>
      </c>
      <c r="N3992" t="s">
        <v>8</v>
      </c>
      <c r="O3992" t="s">
        <v>188</v>
      </c>
      <c r="P3992" s="1" t="s">
        <v>30</v>
      </c>
      <c r="Q3992">
        <v>148</v>
      </c>
    </row>
    <row r="3993" spans="11:17" x14ac:dyDescent="0.3">
      <c r="K3993">
        <v>2017</v>
      </c>
      <c r="L3993" t="s">
        <v>41</v>
      </c>
      <c r="M3993" t="s">
        <v>103</v>
      </c>
      <c r="N3993" t="s">
        <v>8</v>
      </c>
      <c r="O3993" t="s">
        <v>188</v>
      </c>
      <c r="P3993" s="1" t="s">
        <v>34</v>
      </c>
      <c r="Q3993">
        <v>145.5</v>
      </c>
    </row>
    <row r="3994" spans="11:17" x14ac:dyDescent="0.3">
      <c r="K3994">
        <v>2017</v>
      </c>
      <c r="L3994" t="s">
        <v>41</v>
      </c>
      <c r="M3994" t="s">
        <v>103</v>
      </c>
      <c r="N3994" t="s">
        <v>8</v>
      </c>
      <c r="O3994" t="s">
        <v>188</v>
      </c>
      <c r="P3994" s="1" t="s">
        <v>33</v>
      </c>
      <c r="Q3994">
        <v>142.69999999999999</v>
      </c>
    </row>
    <row r="3995" spans="11:17" x14ac:dyDescent="0.3">
      <c r="K3995">
        <v>2017</v>
      </c>
      <c r="L3995" t="s">
        <v>41</v>
      </c>
      <c r="M3995" t="s">
        <v>103</v>
      </c>
      <c r="N3995" t="s">
        <v>21</v>
      </c>
      <c r="O3995" t="s">
        <v>190</v>
      </c>
      <c r="P3995" s="1" t="s">
        <v>30</v>
      </c>
      <c r="Q3995">
        <v>136.4</v>
      </c>
    </row>
    <row r="3996" spans="11:17" x14ac:dyDescent="0.3">
      <c r="K3996">
        <v>2017</v>
      </c>
      <c r="L3996" t="s">
        <v>41</v>
      </c>
      <c r="M3996" t="s">
        <v>103</v>
      </c>
      <c r="N3996" t="s">
        <v>21</v>
      </c>
      <c r="O3996" t="s">
        <v>190</v>
      </c>
      <c r="P3996" s="1" t="s">
        <v>34</v>
      </c>
      <c r="Q3996">
        <v>129.80000000000001</v>
      </c>
    </row>
    <row r="3997" spans="11:17" x14ac:dyDescent="0.3">
      <c r="K3997">
        <v>2017</v>
      </c>
      <c r="L3997" t="s">
        <v>41</v>
      </c>
      <c r="M3997" t="s">
        <v>103</v>
      </c>
      <c r="N3997" t="s">
        <v>21</v>
      </c>
      <c r="O3997" t="s">
        <v>190</v>
      </c>
      <c r="P3997" s="1" t="s">
        <v>33</v>
      </c>
      <c r="Q3997">
        <v>118.9</v>
      </c>
    </row>
    <row r="3998" spans="11:17" x14ac:dyDescent="0.3">
      <c r="K3998">
        <v>2017</v>
      </c>
      <c r="L3998" t="s">
        <v>41</v>
      </c>
      <c r="M3998" t="s">
        <v>103</v>
      </c>
      <c r="N3998" t="s">
        <v>29</v>
      </c>
      <c r="O3998" t="s">
        <v>206</v>
      </c>
      <c r="P3998" s="1" t="s">
        <v>30</v>
      </c>
      <c r="Q3998">
        <v>137.80000000000001</v>
      </c>
    </row>
    <row r="3999" spans="11:17" x14ac:dyDescent="0.3">
      <c r="K3999">
        <v>2017</v>
      </c>
      <c r="L3999" t="s">
        <v>41</v>
      </c>
      <c r="M3999" t="s">
        <v>103</v>
      </c>
      <c r="N3999" t="s">
        <v>29</v>
      </c>
      <c r="O3999" t="s">
        <v>206</v>
      </c>
      <c r="P3999" s="1" t="s">
        <v>34</v>
      </c>
      <c r="Q3999">
        <v>135.4</v>
      </c>
    </row>
    <row r="4000" spans="11:17" x14ac:dyDescent="0.3">
      <c r="K4000">
        <v>2017</v>
      </c>
      <c r="L4000" t="s">
        <v>41</v>
      </c>
      <c r="M4000" t="s">
        <v>103</v>
      </c>
      <c r="N4000" t="s">
        <v>29</v>
      </c>
      <c r="O4000" t="s">
        <v>206</v>
      </c>
      <c r="P4000" s="1" t="s">
        <v>33</v>
      </c>
      <c r="Q4000">
        <v>132.69999999999999</v>
      </c>
    </row>
    <row r="4001" spans="11:17" x14ac:dyDescent="0.3">
      <c r="K4001">
        <v>2017</v>
      </c>
      <c r="L4001" t="s">
        <v>41</v>
      </c>
      <c r="M4001" t="s">
        <v>103</v>
      </c>
      <c r="N4001" t="s">
        <v>23</v>
      </c>
      <c r="O4001" t="s">
        <v>23</v>
      </c>
      <c r="P4001" s="1" t="s">
        <v>30</v>
      </c>
      <c r="Q4001">
        <v>133</v>
      </c>
    </row>
    <row r="4002" spans="11:17" x14ac:dyDescent="0.3">
      <c r="K4002">
        <v>2017</v>
      </c>
      <c r="L4002" t="s">
        <v>41</v>
      </c>
      <c r="M4002" t="s">
        <v>103</v>
      </c>
      <c r="N4002" t="s">
        <v>23</v>
      </c>
      <c r="O4002" t="s">
        <v>23</v>
      </c>
      <c r="P4002" s="1" t="s">
        <v>34</v>
      </c>
      <c r="Q4002">
        <v>130.19999999999999</v>
      </c>
    </row>
    <row r="4003" spans="11:17" x14ac:dyDescent="0.3">
      <c r="K4003">
        <v>2017</v>
      </c>
      <c r="L4003" t="s">
        <v>41</v>
      </c>
      <c r="M4003" t="s">
        <v>103</v>
      </c>
      <c r="N4003" t="s">
        <v>23</v>
      </c>
      <c r="O4003" t="s">
        <v>23</v>
      </c>
      <c r="P4003" s="1" t="s">
        <v>33</v>
      </c>
      <c r="Q4003">
        <v>125.7</v>
      </c>
    </row>
    <row r="4004" spans="11:17" x14ac:dyDescent="0.3">
      <c r="K4004">
        <v>2017</v>
      </c>
      <c r="L4004" t="s">
        <v>41</v>
      </c>
      <c r="M4004" t="s">
        <v>103</v>
      </c>
      <c r="N4004" t="s">
        <v>22</v>
      </c>
      <c r="O4004" t="s">
        <v>20</v>
      </c>
      <c r="P4004" s="1" t="s">
        <v>30</v>
      </c>
      <c r="Q4004">
        <v>137.30000000000001</v>
      </c>
    </row>
    <row r="4005" spans="11:17" x14ac:dyDescent="0.3">
      <c r="K4005">
        <v>2017</v>
      </c>
      <c r="L4005" t="s">
        <v>41</v>
      </c>
      <c r="M4005" t="s">
        <v>103</v>
      </c>
      <c r="N4005" t="s">
        <v>22</v>
      </c>
      <c r="O4005" t="s">
        <v>20</v>
      </c>
      <c r="P4005" s="1" t="s">
        <v>34</v>
      </c>
      <c r="Q4005">
        <v>132.80000000000001</v>
      </c>
    </row>
    <row r="4006" spans="11:17" x14ac:dyDescent="0.3">
      <c r="K4006">
        <v>2017</v>
      </c>
      <c r="L4006" t="s">
        <v>41</v>
      </c>
      <c r="M4006" t="s">
        <v>103</v>
      </c>
      <c r="N4006" t="s">
        <v>22</v>
      </c>
      <c r="O4006" t="s">
        <v>20</v>
      </c>
      <c r="P4006" s="1" t="s">
        <v>33</v>
      </c>
      <c r="Q4006">
        <v>127.7</v>
      </c>
    </row>
    <row r="4007" spans="11:17" x14ac:dyDescent="0.3">
      <c r="K4007">
        <v>2017</v>
      </c>
      <c r="L4007" t="s">
        <v>41</v>
      </c>
      <c r="M4007" t="s">
        <v>103</v>
      </c>
      <c r="N4007" t="s">
        <v>20</v>
      </c>
      <c r="O4007" t="s">
        <v>20</v>
      </c>
      <c r="P4007" s="1" t="s">
        <v>30</v>
      </c>
      <c r="Q4007">
        <v>0</v>
      </c>
    </row>
    <row r="4008" spans="11:17" x14ac:dyDescent="0.3">
      <c r="K4008">
        <v>2017</v>
      </c>
      <c r="L4008" t="s">
        <v>41</v>
      </c>
      <c r="M4008" t="s">
        <v>103</v>
      </c>
      <c r="N4008" t="s">
        <v>20</v>
      </c>
      <c r="O4008" t="s">
        <v>20</v>
      </c>
      <c r="P4008" s="1" t="s">
        <v>34</v>
      </c>
      <c r="Q4008">
        <v>134.4</v>
      </c>
    </row>
    <row r="4009" spans="11:17" x14ac:dyDescent="0.3">
      <c r="K4009">
        <v>2017</v>
      </c>
      <c r="L4009" t="s">
        <v>41</v>
      </c>
      <c r="M4009" t="s">
        <v>103</v>
      </c>
      <c r="N4009" t="s">
        <v>20</v>
      </c>
      <c r="O4009" t="s">
        <v>20</v>
      </c>
      <c r="P4009" s="1" t="s">
        <v>33</v>
      </c>
      <c r="Q4009">
        <v>134.4</v>
      </c>
    </row>
    <row r="4010" spans="11:17" x14ac:dyDescent="0.3">
      <c r="K4010">
        <v>2017</v>
      </c>
      <c r="L4010" t="s">
        <v>41</v>
      </c>
      <c r="M4010" t="s">
        <v>103</v>
      </c>
      <c r="N4010" t="s">
        <v>4</v>
      </c>
      <c r="O4010" t="s">
        <v>188</v>
      </c>
      <c r="P4010" s="1" t="s">
        <v>30</v>
      </c>
      <c r="Q4010">
        <v>143.1</v>
      </c>
    </row>
    <row r="4011" spans="11:17" x14ac:dyDescent="0.3">
      <c r="K4011">
        <v>2017</v>
      </c>
      <c r="L4011" t="s">
        <v>41</v>
      </c>
      <c r="M4011" t="s">
        <v>103</v>
      </c>
      <c r="N4011" t="s">
        <v>4</v>
      </c>
      <c r="O4011" t="s">
        <v>188</v>
      </c>
      <c r="P4011" s="1" t="s">
        <v>34</v>
      </c>
      <c r="Q4011">
        <v>143.4</v>
      </c>
    </row>
    <row r="4012" spans="11:17" x14ac:dyDescent="0.3">
      <c r="K4012">
        <v>2017</v>
      </c>
      <c r="L4012" t="s">
        <v>41</v>
      </c>
      <c r="M4012" t="s">
        <v>103</v>
      </c>
      <c r="N4012" t="s">
        <v>4</v>
      </c>
      <c r="O4012" t="s">
        <v>188</v>
      </c>
      <c r="P4012" s="1" t="s">
        <v>33</v>
      </c>
      <c r="Q4012">
        <v>143.9</v>
      </c>
    </row>
    <row r="4013" spans="11:17" x14ac:dyDescent="0.3">
      <c r="K4013">
        <v>2017</v>
      </c>
      <c r="L4013" t="s">
        <v>41</v>
      </c>
      <c r="M4013" t="s">
        <v>103</v>
      </c>
      <c r="N4013" t="s">
        <v>6</v>
      </c>
      <c r="O4013" t="s">
        <v>188</v>
      </c>
      <c r="P4013" s="1" t="s">
        <v>30</v>
      </c>
      <c r="Q4013">
        <v>139.4</v>
      </c>
    </row>
    <row r="4014" spans="11:17" x14ac:dyDescent="0.3">
      <c r="K4014">
        <v>2017</v>
      </c>
      <c r="L4014" t="s">
        <v>41</v>
      </c>
      <c r="M4014" t="s">
        <v>103</v>
      </c>
      <c r="N4014" t="s">
        <v>6</v>
      </c>
      <c r="O4014" t="s">
        <v>188</v>
      </c>
      <c r="P4014" s="1" t="s">
        <v>34</v>
      </c>
      <c r="Q4014">
        <v>139</v>
      </c>
    </row>
    <row r="4015" spans="11:17" x14ac:dyDescent="0.3">
      <c r="K4015">
        <v>2017</v>
      </c>
      <c r="L4015" t="s">
        <v>41</v>
      </c>
      <c r="M4015" t="s">
        <v>103</v>
      </c>
      <c r="N4015" t="s">
        <v>6</v>
      </c>
      <c r="O4015" t="s">
        <v>188</v>
      </c>
      <c r="P4015" s="1" t="s">
        <v>33</v>
      </c>
      <c r="Q4015">
        <v>138.30000000000001</v>
      </c>
    </row>
    <row r="4016" spans="11:17" x14ac:dyDescent="0.3">
      <c r="K4016">
        <v>2017</v>
      </c>
      <c r="L4016" t="s">
        <v>41</v>
      </c>
      <c r="M4016" t="s">
        <v>103</v>
      </c>
      <c r="N4016" t="s">
        <v>28</v>
      </c>
      <c r="O4016" t="s">
        <v>192</v>
      </c>
      <c r="P4016" s="1" t="s">
        <v>30</v>
      </c>
      <c r="Q4016">
        <v>129.69999999999999</v>
      </c>
    </row>
    <row r="4017" spans="11:17" x14ac:dyDescent="0.3">
      <c r="K4017">
        <v>2017</v>
      </c>
      <c r="L4017" t="s">
        <v>41</v>
      </c>
      <c r="M4017" t="s">
        <v>103</v>
      </c>
      <c r="N4017" t="s">
        <v>28</v>
      </c>
      <c r="O4017" t="s">
        <v>192</v>
      </c>
      <c r="P4017" s="1" t="s">
        <v>34</v>
      </c>
      <c r="Q4017">
        <v>126.8</v>
      </c>
    </row>
    <row r="4018" spans="11:17" x14ac:dyDescent="0.3">
      <c r="K4018">
        <v>2017</v>
      </c>
      <c r="L4018" t="s">
        <v>41</v>
      </c>
      <c r="M4018" t="s">
        <v>103</v>
      </c>
      <c r="N4018" t="s">
        <v>28</v>
      </c>
      <c r="O4018" t="s">
        <v>192</v>
      </c>
      <c r="P4018" s="1" t="s">
        <v>33</v>
      </c>
      <c r="Q4018">
        <v>123.8</v>
      </c>
    </row>
    <row r="4019" spans="11:17" x14ac:dyDescent="0.3">
      <c r="K4019">
        <v>2017</v>
      </c>
      <c r="L4019" t="s">
        <v>41</v>
      </c>
      <c r="M4019" t="s">
        <v>103</v>
      </c>
      <c r="N4019" t="s">
        <v>13</v>
      </c>
      <c r="O4019" t="s">
        <v>188</v>
      </c>
      <c r="P4019" s="1" t="s">
        <v>30</v>
      </c>
      <c r="Q4019">
        <v>131.6</v>
      </c>
    </row>
    <row r="4020" spans="11:17" x14ac:dyDescent="0.3">
      <c r="K4020">
        <v>2017</v>
      </c>
      <c r="L4020" t="s">
        <v>41</v>
      </c>
      <c r="M4020" t="s">
        <v>103</v>
      </c>
      <c r="N4020" t="s">
        <v>13</v>
      </c>
      <c r="O4020" t="s">
        <v>188</v>
      </c>
      <c r="P4020" s="1" t="s">
        <v>34</v>
      </c>
      <c r="Q4020">
        <v>128.69999999999999</v>
      </c>
    </row>
    <row r="4021" spans="11:17" x14ac:dyDescent="0.3">
      <c r="K4021">
        <v>2017</v>
      </c>
      <c r="L4021" t="s">
        <v>41</v>
      </c>
      <c r="M4021" t="s">
        <v>103</v>
      </c>
      <c r="N4021" t="s">
        <v>13</v>
      </c>
      <c r="O4021" t="s">
        <v>188</v>
      </c>
      <c r="P4021" s="1" t="s">
        <v>33</v>
      </c>
      <c r="Q4021">
        <v>124.6</v>
      </c>
    </row>
    <row r="4022" spans="11:17" x14ac:dyDescent="0.3">
      <c r="K4022">
        <v>2017</v>
      </c>
      <c r="L4022" t="s">
        <v>41</v>
      </c>
      <c r="M4022" t="s">
        <v>103</v>
      </c>
      <c r="N4022" t="s">
        <v>7</v>
      </c>
      <c r="O4022" t="s">
        <v>188</v>
      </c>
      <c r="P4022" s="1" t="s">
        <v>30</v>
      </c>
      <c r="Q4022">
        <v>120.5</v>
      </c>
    </row>
    <row r="4023" spans="11:17" x14ac:dyDescent="0.3">
      <c r="K4023">
        <v>2017</v>
      </c>
      <c r="L4023" t="s">
        <v>41</v>
      </c>
      <c r="M4023" t="s">
        <v>103</v>
      </c>
      <c r="N4023" t="s">
        <v>7</v>
      </c>
      <c r="O4023" t="s">
        <v>188</v>
      </c>
      <c r="P4023" s="1" t="s">
        <v>34</v>
      </c>
      <c r="Q4023">
        <v>118.1</v>
      </c>
    </row>
    <row r="4024" spans="11:17" x14ac:dyDescent="0.3">
      <c r="K4024">
        <v>2017</v>
      </c>
      <c r="L4024" t="s">
        <v>41</v>
      </c>
      <c r="M4024" t="s">
        <v>103</v>
      </c>
      <c r="N4024" t="s">
        <v>7</v>
      </c>
      <c r="O4024" t="s">
        <v>188</v>
      </c>
      <c r="P4024" s="1" t="s">
        <v>33</v>
      </c>
      <c r="Q4024">
        <v>114.1</v>
      </c>
    </row>
    <row r="4025" spans="11:17" x14ac:dyDescent="0.3">
      <c r="K4025">
        <v>2017</v>
      </c>
      <c r="L4025" t="s">
        <v>41</v>
      </c>
      <c r="M4025" t="s">
        <v>103</v>
      </c>
      <c r="N4025" t="s">
        <v>16</v>
      </c>
      <c r="O4025" t="s">
        <v>192</v>
      </c>
      <c r="P4025" s="1" t="s">
        <v>30</v>
      </c>
      <c r="Q4025">
        <v>149</v>
      </c>
    </row>
    <row r="4026" spans="11:17" x14ac:dyDescent="0.3">
      <c r="K4026">
        <v>2017</v>
      </c>
      <c r="L4026" t="s">
        <v>41</v>
      </c>
      <c r="M4026" t="s">
        <v>103</v>
      </c>
      <c r="N4026" t="s">
        <v>16</v>
      </c>
      <c r="O4026" t="s">
        <v>192</v>
      </c>
      <c r="P4026" s="1" t="s">
        <v>34</v>
      </c>
      <c r="Q4026">
        <v>149.80000000000001</v>
      </c>
    </row>
    <row r="4027" spans="11:17" x14ac:dyDescent="0.3">
      <c r="K4027">
        <v>2017</v>
      </c>
      <c r="L4027" t="s">
        <v>41</v>
      </c>
      <c r="M4027" t="s">
        <v>103</v>
      </c>
      <c r="N4027" t="s">
        <v>16</v>
      </c>
      <c r="O4027" t="s">
        <v>192</v>
      </c>
      <c r="P4027" s="1" t="s">
        <v>33</v>
      </c>
      <c r="Q4027">
        <v>152.1</v>
      </c>
    </row>
    <row r="4028" spans="11:17" x14ac:dyDescent="0.3">
      <c r="K4028">
        <v>2017</v>
      </c>
      <c r="L4028" t="s">
        <v>41</v>
      </c>
      <c r="M4028" t="s">
        <v>103</v>
      </c>
      <c r="N4028" t="s">
        <v>27</v>
      </c>
      <c r="O4028" t="s">
        <v>192</v>
      </c>
      <c r="P4028" s="1" t="s">
        <v>30</v>
      </c>
      <c r="Q4028">
        <v>125.4</v>
      </c>
    </row>
    <row r="4029" spans="11:17" x14ac:dyDescent="0.3">
      <c r="K4029">
        <v>2017</v>
      </c>
      <c r="L4029" t="s">
        <v>41</v>
      </c>
      <c r="M4029" t="s">
        <v>103</v>
      </c>
      <c r="N4029" t="s">
        <v>27</v>
      </c>
      <c r="O4029" t="s">
        <v>192</v>
      </c>
      <c r="P4029" s="1" t="s">
        <v>34</v>
      </c>
      <c r="Q4029">
        <v>124.5</v>
      </c>
    </row>
    <row r="4030" spans="11:17" x14ac:dyDescent="0.3">
      <c r="K4030">
        <v>2017</v>
      </c>
      <c r="L4030" t="s">
        <v>41</v>
      </c>
      <c r="M4030" t="s">
        <v>103</v>
      </c>
      <c r="N4030" t="s">
        <v>27</v>
      </c>
      <c r="O4030" t="s">
        <v>192</v>
      </c>
      <c r="P4030" s="1" t="s">
        <v>33</v>
      </c>
      <c r="Q4030">
        <v>123.3</v>
      </c>
    </row>
    <row r="4031" spans="11:17" x14ac:dyDescent="0.3">
      <c r="K4031">
        <v>2017</v>
      </c>
      <c r="L4031" t="s">
        <v>41</v>
      </c>
      <c r="M4031" t="s">
        <v>103</v>
      </c>
      <c r="N4031" t="s">
        <v>14</v>
      </c>
      <c r="O4031" t="s">
        <v>188</v>
      </c>
      <c r="P4031" s="1" t="s">
        <v>30</v>
      </c>
      <c r="Q4031">
        <v>148.69999999999999</v>
      </c>
    </row>
    <row r="4032" spans="11:17" x14ac:dyDescent="0.3">
      <c r="K4032">
        <v>2017</v>
      </c>
      <c r="L4032" t="s">
        <v>41</v>
      </c>
      <c r="M4032" t="s">
        <v>103</v>
      </c>
      <c r="N4032" t="s">
        <v>14</v>
      </c>
      <c r="O4032" t="s">
        <v>188</v>
      </c>
      <c r="P4032" s="1" t="s">
        <v>34</v>
      </c>
      <c r="Q4032">
        <v>146.80000000000001</v>
      </c>
    </row>
    <row r="4033" spans="11:17" x14ac:dyDescent="0.3">
      <c r="K4033">
        <v>2017</v>
      </c>
      <c r="L4033" t="s">
        <v>41</v>
      </c>
      <c r="M4033" t="s">
        <v>103</v>
      </c>
      <c r="N4033" t="s">
        <v>14</v>
      </c>
      <c r="O4033" t="s">
        <v>188</v>
      </c>
      <c r="P4033" s="1" t="s">
        <v>33</v>
      </c>
      <c r="Q4033">
        <v>144.5</v>
      </c>
    </row>
    <row r="4034" spans="11:17" x14ac:dyDescent="0.3">
      <c r="K4034">
        <v>2017</v>
      </c>
      <c r="L4034" t="s">
        <v>41</v>
      </c>
      <c r="M4034" t="s">
        <v>103</v>
      </c>
      <c r="N4034" t="s">
        <v>10</v>
      </c>
      <c r="O4034" t="s">
        <v>188</v>
      </c>
      <c r="P4034" s="1" t="s">
        <v>30</v>
      </c>
      <c r="Q4034">
        <v>137.4</v>
      </c>
    </row>
    <row r="4035" spans="11:17" x14ac:dyDescent="0.3">
      <c r="K4035">
        <v>2017</v>
      </c>
      <c r="L4035" t="s">
        <v>41</v>
      </c>
      <c r="M4035" t="s">
        <v>103</v>
      </c>
      <c r="N4035" t="s">
        <v>10</v>
      </c>
      <c r="O4035" t="s">
        <v>188</v>
      </c>
      <c r="P4035" s="1" t="s">
        <v>34</v>
      </c>
      <c r="Q4035">
        <v>132.69999999999999</v>
      </c>
    </row>
    <row r="4036" spans="11:17" x14ac:dyDescent="0.3">
      <c r="K4036">
        <v>2017</v>
      </c>
      <c r="L4036" t="s">
        <v>41</v>
      </c>
      <c r="M4036" t="s">
        <v>103</v>
      </c>
      <c r="N4036" t="s">
        <v>10</v>
      </c>
      <c r="O4036" t="s">
        <v>188</v>
      </c>
      <c r="P4036" s="1" t="s">
        <v>33</v>
      </c>
      <c r="Q4036">
        <v>123.5</v>
      </c>
    </row>
    <row r="4037" spans="11:17" x14ac:dyDescent="0.3">
      <c r="K4037">
        <v>2017</v>
      </c>
      <c r="L4037" t="s">
        <v>41</v>
      </c>
      <c r="M4037" t="s">
        <v>103</v>
      </c>
      <c r="N4037" t="s">
        <v>25</v>
      </c>
      <c r="O4037" t="s">
        <v>195</v>
      </c>
      <c r="P4037" s="1" t="s">
        <v>30</v>
      </c>
      <c r="Q4037">
        <v>131.5</v>
      </c>
    </row>
    <row r="4038" spans="11:17" x14ac:dyDescent="0.3">
      <c r="K4038">
        <v>2017</v>
      </c>
      <c r="L4038" t="s">
        <v>41</v>
      </c>
      <c r="M4038" t="s">
        <v>103</v>
      </c>
      <c r="N4038" t="s">
        <v>25</v>
      </c>
      <c r="O4038" t="s">
        <v>195</v>
      </c>
      <c r="P4038" s="1" t="s">
        <v>34</v>
      </c>
      <c r="Q4038">
        <v>127.3</v>
      </c>
    </row>
    <row r="4039" spans="11:17" x14ac:dyDescent="0.3">
      <c r="K4039">
        <v>2017</v>
      </c>
      <c r="L4039" t="s">
        <v>41</v>
      </c>
      <c r="M4039" t="s">
        <v>103</v>
      </c>
      <c r="N4039" t="s">
        <v>25</v>
      </c>
      <c r="O4039" t="s">
        <v>195</v>
      </c>
      <c r="P4039" s="1" t="s">
        <v>33</v>
      </c>
      <c r="Q4039">
        <v>124.1</v>
      </c>
    </row>
    <row r="4040" spans="11:17" x14ac:dyDescent="0.3">
      <c r="K4040">
        <v>2017</v>
      </c>
      <c r="L4040" t="s">
        <v>41</v>
      </c>
      <c r="M4040" t="s">
        <v>103</v>
      </c>
      <c r="N4040" t="s">
        <v>12</v>
      </c>
      <c r="O4040" t="s">
        <v>188</v>
      </c>
      <c r="P4040" s="1" t="s">
        <v>30</v>
      </c>
      <c r="Q4040">
        <v>134.69999999999999</v>
      </c>
    </row>
    <row r="4041" spans="11:17" x14ac:dyDescent="0.3">
      <c r="K4041">
        <v>2017</v>
      </c>
      <c r="L4041" t="s">
        <v>41</v>
      </c>
      <c r="M4041" t="s">
        <v>103</v>
      </c>
      <c r="N4041" t="s">
        <v>12</v>
      </c>
      <c r="O4041" t="s">
        <v>188</v>
      </c>
      <c r="P4041" s="1" t="s">
        <v>34</v>
      </c>
      <c r="Q4041">
        <v>135.6</v>
      </c>
    </row>
    <row r="4042" spans="11:17" x14ac:dyDescent="0.3">
      <c r="K4042">
        <v>2017</v>
      </c>
      <c r="L4042" t="s">
        <v>41</v>
      </c>
      <c r="M4042" t="s">
        <v>103</v>
      </c>
      <c r="N4042" t="s">
        <v>12</v>
      </c>
      <c r="O4042" t="s">
        <v>188</v>
      </c>
      <c r="P4042" s="1" t="s">
        <v>33</v>
      </c>
      <c r="Q4042">
        <v>137.5</v>
      </c>
    </row>
    <row r="4043" spans="11:17" x14ac:dyDescent="0.3">
      <c r="K4043">
        <v>2017</v>
      </c>
      <c r="L4043" t="s">
        <v>41</v>
      </c>
      <c r="M4043" t="s">
        <v>103</v>
      </c>
      <c r="N4043" t="s">
        <v>11</v>
      </c>
      <c r="O4043" t="s">
        <v>188</v>
      </c>
      <c r="P4043" s="1" t="s">
        <v>30</v>
      </c>
      <c r="Q4043">
        <v>120.8</v>
      </c>
    </row>
    <row r="4044" spans="11:17" x14ac:dyDescent="0.3">
      <c r="K4044">
        <v>2017</v>
      </c>
      <c r="L4044" t="s">
        <v>41</v>
      </c>
      <c r="M4044" t="s">
        <v>103</v>
      </c>
      <c r="N4044" t="s">
        <v>11</v>
      </c>
      <c r="O4044" t="s">
        <v>188</v>
      </c>
      <c r="P4044" s="1" t="s">
        <v>34</v>
      </c>
      <c r="Q4044">
        <v>121.2</v>
      </c>
    </row>
    <row r="4045" spans="11:17" x14ac:dyDescent="0.3">
      <c r="K4045">
        <v>2017</v>
      </c>
      <c r="L4045" t="s">
        <v>41</v>
      </c>
      <c r="M4045" t="s">
        <v>103</v>
      </c>
      <c r="N4045" t="s">
        <v>11</v>
      </c>
      <c r="O4045" t="s">
        <v>188</v>
      </c>
      <c r="P4045" s="1" t="s">
        <v>33</v>
      </c>
      <c r="Q4045">
        <v>122.1</v>
      </c>
    </row>
    <row r="4046" spans="11:17" x14ac:dyDescent="0.3">
      <c r="K4046">
        <v>2017</v>
      </c>
      <c r="L4046" t="s">
        <v>41</v>
      </c>
      <c r="M4046" t="s">
        <v>103</v>
      </c>
      <c r="N4046" t="s">
        <v>24</v>
      </c>
      <c r="O4046" t="s">
        <v>191</v>
      </c>
      <c r="P4046" s="1" t="s">
        <v>30</v>
      </c>
      <c r="Q4046">
        <v>120.3</v>
      </c>
    </row>
    <row r="4047" spans="11:17" x14ac:dyDescent="0.3">
      <c r="K4047">
        <v>2017</v>
      </c>
      <c r="L4047" t="s">
        <v>41</v>
      </c>
      <c r="M4047" t="s">
        <v>103</v>
      </c>
      <c r="N4047" t="s">
        <v>24</v>
      </c>
      <c r="O4047" t="s">
        <v>191</v>
      </c>
      <c r="P4047" s="1" t="s">
        <v>34</v>
      </c>
      <c r="Q4047">
        <v>117.3</v>
      </c>
    </row>
    <row r="4048" spans="11:17" x14ac:dyDescent="0.3">
      <c r="K4048">
        <v>2017</v>
      </c>
      <c r="L4048" t="s">
        <v>41</v>
      </c>
      <c r="M4048" t="s">
        <v>103</v>
      </c>
      <c r="N4048" t="s">
        <v>24</v>
      </c>
      <c r="O4048" t="s">
        <v>191</v>
      </c>
      <c r="P4048" s="1" t="s">
        <v>33</v>
      </c>
      <c r="Q4048">
        <v>114.6</v>
      </c>
    </row>
    <row r="4049" spans="11:17" x14ac:dyDescent="0.3">
      <c r="K4049">
        <v>2017</v>
      </c>
      <c r="L4049" t="s">
        <v>41</v>
      </c>
      <c r="M4049" t="s">
        <v>103</v>
      </c>
      <c r="N4049" t="s">
        <v>9</v>
      </c>
      <c r="O4049" t="s">
        <v>188</v>
      </c>
      <c r="P4049" s="1" t="s">
        <v>30</v>
      </c>
      <c r="Q4049">
        <v>162.9</v>
      </c>
    </row>
    <row r="4050" spans="11:17" x14ac:dyDescent="0.3">
      <c r="K4050">
        <v>2017</v>
      </c>
      <c r="L4050" t="s">
        <v>41</v>
      </c>
      <c r="M4050" t="s">
        <v>103</v>
      </c>
      <c r="N4050" t="s">
        <v>9</v>
      </c>
      <c r="O4050" t="s">
        <v>188</v>
      </c>
      <c r="P4050" s="1" t="s">
        <v>34</v>
      </c>
      <c r="Q4050">
        <v>168.6</v>
      </c>
    </row>
    <row r="4051" spans="11:17" x14ac:dyDescent="0.3">
      <c r="K4051">
        <v>2017</v>
      </c>
      <c r="L4051" t="s">
        <v>41</v>
      </c>
      <c r="M4051" t="s">
        <v>103</v>
      </c>
      <c r="N4051" t="s">
        <v>9</v>
      </c>
      <c r="O4051" t="s">
        <v>188</v>
      </c>
      <c r="P4051" s="1" t="s">
        <v>33</v>
      </c>
      <c r="Q4051">
        <v>179.8</v>
      </c>
    </row>
    <row r="4052" spans="11:17" x14ac:dyDescent="0.3">
      <c r="K4052">
        <v>2017</v>
      </c>
      <c r="L4052" t="s">
        <v>45</v>
      </c>
      <c r="M4052" t="s">
        <v>104</v>
      </c>
      <c r="N4052" t="s">
        <v>3</v>
      </c>
      <c r="O4052" t="s">
        <v>188</v>
      </c>
      <c r="P4052" s="1" t="s">
        <v>30</v>
      </c>
      <c r="Q4052">
        <v>136.4</v>
      </c>
    </row>
    <row r="4053" spans="11:17" x14ac:dyDescent="0.3">
      <c r="K4053">
        <v>2017</v>
      </c>
      <c r="L4053" t="s">
        <v>45</v>
      </c>
      <c r="M4053" t="s">
        <v>104</v>
      </c>
      <c r="N4053" t="s">
        <v>3</v>
      </c>
      <c r="O4053" t="s">
        <v>188</v>
      </c>
      <c r="P4053" s="1" t="s">
        <v>34</v>
      </c>
      <c r="Q4053">
        <v>135.80000000000001</v>
      </c>
    </row>
    <row r="4054" spans="11:17" x14ac:dyDescent="0.3">
      <c r="K4054">
        <v>2017</v>
      </c>
      <c r="L4054" t="s">
        <v>45</v>
      </c>
      <c r="M4054" t="s">
        <v>104</v>
      </c>
      <c r="N4054" t="s">
        <v>3</v>
      </c>
      <c r="O4054" t="s">
        <v>188</v>
      </c>
      <c r="P4054" s="1" t="s">
        <v>33</v>
      </c>
      <c r="Q4054">
        <v>134.4</v>
      </c>
    </row>
    <row r="4055" spans="11:17" x14ac:dyDescent="0.3">
      <c r="K4055">
        <v>2017</v>
      </c>
      <c r="L4055" t="s">
        <v>45</v>
      </c>
      <c r="M4055" t="s">
        <v>104</v>
      </c>
      <c r="N4055" t="s">
        <v>17</v>
      </c>
      <c r="O4055" t="s">
        <v>189</v>
      </c>
      <c r="P4055" s="1" t="s">
        <v>30</v>
      </c>
      <c r="Q4055">
        <v>148</v>
      </c>
    </row>
    <row r="4056" spans="11:17" x14ac:dyDescent="0.3">
      <c r="K4056">
        <v>2017</v>
      </c>
      <c r="L4056" t="s">
        <v>45</v>
      </c>
      <c r="M4056" t="s">
        <v>104</v>
      </c>
      <c r="N4056" t="s">
        <v>17</v>
      </c>
      <c r="O4056" t="s">
        <v>189</v>
      </c>
      <c r="P4056" s="1" t="s">
        <v>34</v>
      </c>
      <c r="Q4056">
        <v>143.1</v>
      </c>
    </row>
    <row r="4057" spans="11:17" x14ac:dyDescent="0.3">
      <c r="K4057">
        <v>2017</v>
      </c>
      <c r="L4057" t="s">
        <v>45</v>
      </c>
      <c r="M4057" t="s">
        <v>104</v>
      </c>
      <c r="N4057" t="s">
        <v>17</v>
      </c>
      <c r="O4057" t="s">
        <v>189</v>
      </c>
      <c r="P4057" s="1" t="s">
        <v>33</v>
      </c>
      <c r="Q4057">
        <v>135.6</v>
      </c>
    </row>
    <row r="4058" spans="11:17" x14ac:dyDescent="0.3">
      <c r="K4058">
        <v>2017</v>
      </c>
      <c r="L4058" t="s">
        <v>45</v>
      </c>
      <c r="M4058" t="s">
        <v>104</v>
      </c>
      <c r="N4058" t="s">
        <v>19</v>
      </c>
      <c r="O4058" t="s">
        <v>189</v>
      </c>
      <c r="P4058" s="1" t="s">
        <v>30</v>
      </c>
      <c r="Q4058">
        <v>147.19999999999999</v>
      </c>
    </row>
    <row r="4059" spans="11:17" x14ac:dyDescent="0.3">
      <c r="K4059">
        <v>2017</v>
      </c>
      <c r="L4059" t="s">
        <v>45</v>
      </c>
      <c r="M4059" t="s">
        <v>104</v>
      </c>
      <c r="N4059" t="s">
        <v>19</v>
      </c>
      <c r="O4059" t="s">
        <v>189</v>
      </c>
      <c r="P4059" s="1" t="s">
        <v>34</v>
      </c>
      <c r="Q4059">
        <v>142</v>
      </c>
    </row>
    <row r="4060" spans="11:17" x14ac:dyDescent="0.3">
      <c r="K4060">
        <v>2017</v>
      </c>
      <c r="L4060" t="s">
        <v>45</v>
      </c>
      <c r="M4060" t="s">
        <v>104</v>
      </c>
      <c r="N4060" t="s">
        <v>19</v>
      </c>
      <c r="O4060" t="s">
        <v>189</v>
      </c>
      <c r="P4060" s="1" t="s">
        <v>33</v>
      </c>
      <c r="Q4060">
        <v>134</v>
      </c>
    </row>
    <row r="4061" spans="11:17" x14ac:dyDescent="0.3">
      <c r="K4061">
        <v>2017</v>
      </c>
      <c r="L4061" t="s">
        <v>45</v>
      </c>
      <c r="M4061" t="s">
        <v>104</v>
      </c>
      <c r="N4061" t="s">
        <v>26</v>
      </c>
      <c r="O4061" t="s">
        <v>26</v>
      </c>
      <c r="P4061" s="1" t="s">
        <v>30</v>
      </c>
      <c r="Q4061">
        <v>141.1</v>
      </c>
    </row>
    <row r="4062" spans="11:17" x14ac:dyDescent="0.3">
      <c r="K4062">
        <v>2017</v>
      </c>
      <c r="L4062" t="s">
        <v>45</v>
      </c>
      <c r="M4062" t="s">
        <v>104</v>
      </c>
      <c r="N4062" t="s">
        <v>26</v>
      </c>
      <c r="O4062" t="s">
        <v>26</v>
      </c>
      <c r="P4062" s="1" t="s">
        <v>34</v>
      </c>
      <c r="Q4062">
        <v>138.5</v>
      </c>
    </row>
    <row r="4063" spans="11:17" x14ac:dyDescent="0.3">
      <c r="K4063">
        <v>2017</v>
      </c>
      <c r="L4063" t="s">
        <v>45</v>
      </c>
      <c r="M4063" t="s">
        <v>104</v>
      </c>
      <c r="N4063" t="s">
        <v>26</v>
      </c>
      <c r="O4063" t="s">
        <v>26</v>
      </c>
      <c r="P4063" s="1" t="s">
        <v>33</v>
      </c>
      <c r="Q4063">
        <v>136.69999999999999</v>
      </c>
    </row>
    <row r="4064" spans="11:17" x14ac:dyDescent="0.3">
      <c r="K4064">
        <v>2017</v>
      </c>
      <c r="L4064" t="s">
        <v>45</v>
      </c>
      <c r="M4064" t="s">
        <v>104</v>
      </c>
      <c r="N4064" t="s">
        <v>5</v>
      </c>
      <c r="O4064" t="s">
        <v>188</v>
      </c>
      <c r="P4064" s="1" t="s">
        <v>30</v>
      </c>
      <c r="Q4064">
        <v>144.80000000000001</v>
      </c>
    </row>
    <row r="4065" spans="11:17" x14ac:dyDescent="0.3">
      <c r="K4065">
        <v>2017</v>
      </c>
      <c r="L4065" t="s">
        <v>45</v>
      </c>
      <c r="M4065" t="s">
        <v>104</v>
      </c>
      <c r="N4065" t="s">
        <v>5</v>
      </c>
      <c r="O4065" t="s">
        <v>188</v>
      </c>
      <c r="P4065" s="1" t="s">
        <v>34</v>
      </c>
      <c r="Q4065">
        <v>145.19999999999999</v>
      </c>
    </row>
    <row r="4066" spans="11:17" x14ac:dyDescent="0.3">
      <c r="K4066">
        <v>2017</v>
      </c>
      <c r="L4066" t="s">
        <v>45</v>
      </c>
      <c r="M4066" t="s">
        <v>104</v>
      </c>
      <c r="N4066" t="s">
        <v>5</v>
      </c>
      <c r="O4066" t="s">
        <v>188</v>
      </c>
      <c r="P4066" s="1" t="s">
        <v>33</v>
      </c>
      <c r="Q4066">
        <v>145.9</v>
      </c>
    </row>
    <row r="4067" spans="11:17" x14ac:dyDescent="0.3">
      <c r="K4067">
        <v>2017</v>
      </c>
      <c r="L4067" t="s">
        <v>45</v>
      </c>
      <c r="M4067" t="s">
        <v>104</v>
      </c>
      <c r="N4067" t="s">
        <v>15</v>
      </c>
      <c r="O4067" t="s">
        <v>188</v>
      </c>
      <c r="P4067" s="1" t="s">
        <v>30</v>
      </c>
      <c r="Q4067">
        <v>141.5</v>
      </c>
    </row>
    <row r="4068" spans="11:17" x14ac:dyDescent="0.3">
      <c r="K4068">
        <v>2017</v>
      </c>
      <c r="L4068" t="s">
        <v>45</v>
      </c>
      <c r="M4068" t="s">
        <v>104</v>
      </c>
      <c r="N4068" t="s">
        <v>15</v>
      </c>
      <c r="O4068" t="s">
        <v>188</v>
      </c>
      <c r="P4068" s="1" t="s">
        <v>34</v>
      </c>
      <c r="Q4068">
        <v>140.5</v>
      </c>
    </row>
    <row r="4069" spans="11:17" x14ac:dyDescent="0.3">
      <c r="K4069">
        <v>2017</v>
      </c>
      <c r="L4069" t="s">
        <v>45</v>
      </c>
      <c r="M4069" t="s">
        <v>104</v>
      </c>
      <c r="N4069" t="s">
        <v>15</v>
      </c>
      <c r="O4069" t="s">
        <v>188</v>
      </c>
      <c r="P4069" s="1" t="s">
        <v>33</v>
      </c>
      <c r="Q4069">
        <v>138.80000000000001</v>
      </c>
    </row>
    <row r="4070" spans="11:17" x14ac:dyDescent="0.3">
      <c r="K4070">
        <v>2017</v>
      </c>
      <c r="L4070" t="s">
        <v>45</v>
      </c>
      <c r="M4070" t="s">
        <v>104</v>
      </c>
      <c r="N4070" t="s">
        <v>18</v>
      </c>
      <c r="O4070" t="s">
        <v>189</v>
      </c>
      <c r="P4070" s="1" t="s">
        <v>30</v>
      </c>
      <c r="Q4070">
        <v>141.9</v>
      </c>
    </row>
    <row r="4071" spans="11:17" x14ac:dyDescent="0.3">
      <c r="K4071">
        <v>2017</v>
      </c>
      <c r="L4071" t="s">
        <v>45</v>
      </c>
      <c r="M4071" t="s">
        <v>104</v>
      </c>
      <c r="N4071" t="s">
        <v>18</v>
      </c>
      <c r="O4071" t="s">
        <v>189</v>
      </c>
      <c r="P4071" s="1" t="s">
        <v>34</v>
      </c>
      <c r="Q4071">
        <v>135.1</v>
      </c>
    </row>
    <row r="4072" spans="11:17" x14ac:dyDescent="0.3">
      <c r="K4072">
        <v>2017</v>
      </c>
      <c r="L4072" t="s">
        <v>45</v>
      </c>
      <c r="M4072" t="s">
        <v>104</v>
      </c>
      <c r="N4072" t="s">
        <v>18</v>
      </c>
      <c r="O4072" t="s">
        <v>189</v>
      </c>
      <c r="P4072" s="1" t="s">
        <v>33</v>
      </c>
      <c r="Q4072">
        <v>125.6</v>
      </c>
    </row>
    <row r="4073" spans="11:17" x14ac:dyDescent="0.3">
      <c r="K4073">
        <v>2017</v>
      </c>
      <c r="L4073" t="s">
        <v>45</v>
      </c>
      <c r="M4073" t="s">
        <v>104</v>
      </c>
      <c r="N4073" t="s">
        <v>8</v>
      </c>
      <c r="O4073" t="s">
        <v>188</v>
      </c>
      <c r="P4073" s="1" t="s">
        <v>30</v>
      </c>
      <c r="Q4073">
        <v>147.19999999999999</v>
      </c>
    </row>
    <row r="4074" spans="11:17" x14ac:dyDescent="0.3">
      <c r="K4074">
        <v>2017</v>
      </c>
      <c r="L4074" t="s">
        <v>45</v>
      </c>
      <c r="M4074" t="s">
        <v>104</v>
      </c>
      <c r="N4074" t="s">
        <v>8</v>
      </c>
      <c r="O4074" t="s">
        <v>188</v>
      </c>
      <c r="P4074" s="1" t="s">
        <v>34</v>
      </c>
      <c r="Q4074">
        <v>141.5</v>
      </c>
    </row>
    <row r="4075" spans="11:17" x14ac:dyDescent="0.3">
      <c r="K4075">
        <v>2017</v>
      </c>
      <c r="L4075" t="s">
        <v>45</v>
      </c>
      <c r="M4075" t="s">
        <v>104</v>
      </c>
      <c r="N4075" t="s">
        <v>8</v>
      </c>
      <c r="O4075" t="s">
        <v>188</v>
      </c>
      <c r="P4075" s="1" t="s">
        <v>33</v>
      </c>
      <c r="Q4075">
        <v>135</v>
      </c>
    </row>
    <row r="4076" spans="11:17" x14ac:dyDescent="0.3">
      <c r="K4076">
        <v>2017</v>
      </c>
      <c r="L4076" t="s">
        <v>45</v>
      </c>
      <c r="M4076" t="s">
        <v>104</v>
      </c>
      <c r="N4076" t="s">
        <v>21</v>
      </c>
      <c r="O4076" t="s">
        <v>190</v>
      </c>
      <c r="P4076" s="1" t="s">
        <v>30</v>
      </c>
      <c r="Q4076">
        <v>142.6</v>
      </c>
    </row>
    <row r="4077" spans="11:17" x14ac:dyDescent="0.3">
      <c r="K4077">
        <v>2017</v>
      </c>
      <c r="L4077" t="s">
        <v>45</v>
      </c>
      <c r="M4077" t="s">
        <v>104</v>
      </c>
      <c r="N4077" t="s">
        <v>21</v>
      </c>
      <c r="O4077" t="s">
        <v>190</v>
      </c>
      <c r="P4077" s="1" t="s">
        <v>34</v>
      </c>
      <c r="Q4077">
        <v>136.6</v>
      </c>
    </row>
    <row r="4078" spans="11:17" x14ac:dyDescent="0.3">
      <c r="K4078">
        <v>2017</v>
      </c>
      <c r="L4078" t="s">
        <v>45</v>
      </c>
      <c r="M4078" t="s">
        <v>104</v>
      </c>
      <c r="N4078" t="s">
        <v>21</v>
      </c>
      <c r="O4078" t="s">
        <v>190</v>
      </c>
      <c r="P4078" s="1" t="s">
        <v>33</v>
      </c>
      <c r="Q4078">
        <v>126.8</v>
      </c>
    </row>
    <row r="4079" spans="11:17" x14ac:dyDescent="0.3">
      <c r="K4079">
        <v>2017</v>
      </c>
      <c r="L4079" t="s">
        <v>45</v>
      </c>
      <c r="M4079" t="s">
        <v>104</v>
      </c>
      <c r="N4079" t="s">
        <v>29</v>
      </c>
      <c r="O4079" t="s">
        <v>206</v>
      </c>
      <c r="P4079" s="1" t="s">
        <v>30</v>
      </c>
      <c r="Q4079">
        <v>139.80000000000001</v>
      </c>
    </row>
    <row r="4080" spans="11:17" x14ac:dyDescent="0.3">
      <c r="K4080">
        <v>2017</v>
      </c>
      <c r="L4080" t="s">
        <v>45</v>
      </c>
      <c r="M4080" t="s">
        <v>104</v>
      </c>
      <c r="N4080" t="s">
        <v>29</v>
      </c>
      <c r="O4080" t="s">
        <v>206</v>
      </c>
      <c r="P4080" s="1" t="s">
        <v>34</v>
      </c>
      <c r="Q4080">
        <v>137.19999999999999</v>
      </c>
    </row>
    <row r="4081" spans="11:17" x14ac:dyDescent="0.3">
      <c r="K4081">
        <v>2017</v>
      </c>
      <c r="L4081" t="s">
        <v>45</v>
      </c>
      <c r="M4081" t="s">
        <v>104</v>
      </c>
      <c r="N4081" t="s">
        <v>29</v>
      </c>
      <c r="O4081" t="s">
        <v>206</v>
      </c>
      <c r="P4081" s="1" t="s">
        <v>33</v>
      </c>
      <c r="Q4081">
        <v>134.1</v>
      </c>
    </row>
    <row r="4082" spans="11:17" x14ac:dyDescent="0.3">
      <c r="K4082">
        <v>2017</v>
      </c>
      <c r="L4082" t="s">
        <v>45</v>
      </c>
      <c r="M4082" t="s">
        <v>104</v>
      </c>
      <c r="N4082" t="s">
        <v>23</v>
      </c>
      <c r="O4082" t="s">
        <v>23</v>
      </c>
      <c r="P4082" s="1" t="s">
        <v>30</v>
      </c>
      <c r="Q4082">
        <v>136.1</v>
      </c>
    </row>
    <row r="4083" spans="11:17" x14ac:dyDescent="0.3">
      <c r="K4083">
        <v>2017</v>
      </c>
      <c r="L4083" t="s">
        <v>45</v>
      </c>
      <c r="M4083" t="s">
        <v>104</v>
      </c>
      <c r="N4083" t="s">
        <v>23</v>
      </c>
      <c r="O4083" t="s">
        <v>23</v>
      </c>
      <c r="P4083" s="1" t="s">
        <v>34</v>
      </c>
      <c r="Q4083">
        <v>133.1</v>
      </c>
    </row>
    <row r="4084" spans="11:17" x14ac:dyDescent="0.3">
      <c r="K4084">
        <v>2017</v>
      </c>
      <c r="L4084" t="s">
        <v>45</v>
      </c>
      <c r="M4084" t="s">
        <v>104</v>
      </c>
      <c r="N4084" t="s">
        <v>23</v>
      </c>
      <c r="O4084" t="s">
        <v>23</v>
      </c>
      <c r="P4084" s="1" t="s">
        <v>33</v>
      </c>
      <c r="Q4084">
        <v>128.19999999999999</v>
      </c>
    </row>
    <row r="4085" spans="11:17" x14ac:dyDescent="0.3">
      <c r="K4085">
        <v>2017</v>
      </c>
      <c r="L4085" t="s">
        <v>45</v>
      </c>
      <c r="M4085" t="s">
        <v>104</v>
      </c>
      <c r="N4085" t="s">
        <v>22</v>
      </c>
      <c r="O4085" t="s">
        <v>20</v>
      </c>
      <c r="P4085" s="1" t="s">
        <v>30</v>
      </c>
      <c r="Q4085">
        <v>139.5</v>
      </c>
    </row>
    <row r="4086" spans="11:17" x14ac:dyDescent="0.3">
      <c r="K4086">
        <v>2017</v>
      </c>
      <c r="L4086" t="s">
        <v>45</v>
      </c>
      <c r="M4086" t="s">
        <v>104</v>
      </c>
      <c r="N4086" t="s">
        <v>22</v>
      </c>
      <c r="O4086" t="s">
        <v>20</v>
      </c>
      <c r="P4086" s="1" t="s">
        <v>34</v>
      </c>
      <c r="Q4086">
        <v>134.69999999999999</v>
      </c>
    </row>
    <row r="4087" spans="11:17" x14ac:dyDescent="0.3">
      <c r="K4087">
        <v>2017</v>
      </c>
      <c r="L4087" t="s">
        <v>45</v>
      </c>
      <c r="M4087" t="s">
        <v>104</v>
      </c>
      <c r="N4087" t="s">
        <v>22</v>
      </c>
      <c r="O4087" t="s">
        <v>20</v>
      </c>
      <c r="P4087" s="1" t="s">
        <v>33</v>
      </c>
      <c r="Q4087">
        <v>129.30000000000001</v>
      </c>
    </row>
    <row r="4088" spans="11:17" x14ac:dyDescent="0.3">
      <c r="K4088">
        <v>2017</v>
      </c>
      <c r="L4088" t="s">
        <v>45</v>
      </c>
      <c r="M4088" t="s">
        <v>104</v>
      </c>
      <c r="N4088" t="s">
        <v>20</v>
      </c>
      <c r="O4088" t="s">
        <v>20</v>
      </c>
      <c r="P4088" s="1" t="s">
        <v>30</v>
      </c>
      <c r="Q4088">
        <v>0</v>
      </c>
    </row>
    <row r="4089" spans="11:17" x14ac:dyDescent="0.3">
      <c r="K4089">
        <v>2017</v>
      </c>
      <c r="L4089" t="s">
        <v>45</v>
      </c>
      <c r="M4089" t="s">
        <v>104</v>
      </c>
      <c r="N4089" t="s">
        <v>20</v>
      </c>
      <c r="O4089" t="s">
        <v>20</v>
      </c>
      <c r="P4089" s="1" t="s">
        <v>34</v>
      </c>
      <c r="Q4089">
        <v>139.1</v>
      </c>
    </row>
    <row r="4090" spans="11:17" x14ac:dyDescent="0.3">
      <c r="K4090">
        <v>2017</v>
      </c>
      <c r="L4090" t="s">
        <v>45</v>
      </c>
      <c r="M4090" t="s">
        <v>104</v>
      </c>
      <c r="N4090" t="s">
        <v>20</v>
      </c>
      <c r="O4090" t="s">
        <v>20</v>
      </c>
      <c r="P4090" s="1" t="s">
        <v>33</v>
      </c>
      <c r="Q4090">
        <v>139.1</v>
      </c>
    </row>
    <row r="4091" spans="11:17" x14ac:dyDescent="0.3">
      <c r="K4091">
        <v>2017</v>
      </c>
      <c r="L4091" t="s">
        <v>45</v>
      </c>
      <c r="M4091" t="s">
        <v>104</v>
      </c>
      <c r="N4091" t="s">
        <v>4</v>
      </c>
      <c r="O4091" t="s">
        <v>188</v>
      </c>
      <c r="P4091" s="1" t="s">
        <v>30</v>
      </c>
      <c r="Q4091">
        <v>143.69999999999999</v>
      </c>
    </row>
    <row r="4092" spans="11:17" x14ac:dyDescent="0.3">
      <c r="K4092">
        <v>2017</v>
      </c>
      <c r="L4092" t="s">
        <v>45</v>
      </c>
      <c r="M4092" t="s">
        <v>104</v>
      </c>
      <c r="N4092" t="s">
        <v>4</v>
      </c>
      <c r="O4092" t="s">
        <v>188</v>
      </c>
      <c r="P4092" s="1" t="s">
        <v>34</v>
      </c>
      <c r="Q4092">
        <v>143.30000000000001</v>
      </c>
    </row>
    <row r="4093" spans="11:17" x14ac:dyDescent="0.3">
      <c r="K4093">
        <v>2017</v>
      </c>
      <c r="L4093" t="s">
        <v>45</v>
      </c>
      <c r="M4093" t="s">
        <v>104</v>
      </c>
      <c r="N4093" t="s">
        <v>4</v>
      </c>
      <c r="O4093" t="s">
        <v>188</v>
      </c>
      <c r="P4093" s="1" t="s">
        <v>33</v>
      </c>
      <c r="Q4093">
        <v>142.6</v>
      </c>
    </row>
    <row r="4094" spans="11:17" x14ac:dyDescent="0.3">
      <c r="K4094">
        <v>2017</v>
      </c>
      <c r="L4094" t="s">
        <v>45</v>
      </c>
      <c r="M4094" t="s">
        <v>104</v>
      </c>
      <c r="N4094" t="s">
        <v>6</v>
      </c>
      <c r="O4094" t="s">
        <v>188</v>
      </c>
      <c r="P4094" s="1" t="s">
        <v>30</v>
      </c>
      <c r="Q4094">
        <v>141.9</v>
      </c>
    </row>
    <row r="4095" spans="11:17" x14ac:dyDescent="0.3">
      <c r="K4095">
        <v>2017</v>
      </c>
      <c r="L4095" t="s">
        <v>45</v>
      </c>
      <c r="M4095" t="s">
        <v>104</v>
      </c>
      <c r="N4095" t="s">
        <v>6</v>
      </c>
      <c r="O4095" t="s">
        <v>188</v>
      </c>
      <c r="P4095" s="1" t="s">
        <v>34</v>
      </c>
      <c r="Q4095">
        <v>141</v>
      </c>
    </row>
    <row r="4096" spans="11:17" x14ac:dyDescent="0.3">
      <c r="K4096">
        <v>2017</v>
      </c>
      <c r="L4096" t="s">
        <v>45</v>
      </c>
      <c r="M4096" t="s">
        <v>104</v>
      </c>
      <c r="N4096" t="s">
        <v>6</v>
      </c>
      <c r="O4096" t="s">
        <v>188</v>
      </c>
      <c r="P4096" s="1" t="s">
        <v>33</v>
      </c>
      <c r="Q4096">
        <v>139.5</v>
      </c>
    </row>
    <row r="4097" spans="11:17" x14ac:dyDescent="0.3">
      <c r="K4097">
        <v>2017</v>
      </c>
      <c r="L4097" t="s">
        <v>45</v>
      </c>
      <c r="M4097" t="s">
        <v>104</v>
      </c>
      <c r="N4097" t="s">
        <v>28</v>
      </c>
      <c r="O4097" t="s">
        <v>192</v>
      </c>
      <c r="P4097" s="1" t="s">
        <v>30</v>
      </c>
      <c r="Q4097">
        <v>131.9</v>
      </c>
    </row>
    <row r="4098" spans="11:17" x14ac:dyDescent="0.3">
      <c r="K4098">
        <v>2017</v>
      </c>
      <c r="L4098" t="s">
        <v>45</v>
      </c>
      <c r="M4098" t="s">
        <v>104</v>
      </c>
      <c r="N4098" t="s">
        <v>28</v>
      </c>
      <c r="O4098" t="s">
        <v>192</v>
      </c>
      <c r="P4098" s="1" t="s">
        <v>34</v>
      </c>
      <c r="Q4098">
        <v>128.6</v>
      </c>
    </row>
    <row r="4099" spans="11:17" x14ac:dyDescent="0.3">
      <c r="K4099">
        <v>2017</v>
      </c>
      <c r="L4099" t="s">
        <v>45</v>
      </c>
      <c r="M4099" t="s">
        <v>104</v>
      </c>
      <c r="N4099" t="s">
        <v>28</v>
      </c>
      <c r="O4099" t="s">
        <v>192</v>
      </c>
      <c r="P4099" s="1" t="s">
        <v>33</v>
      </c>
      <c r="Q4099">
        <v>125.1</v>
      </c>
    </row>
    <row r="4100" spans="11:17" x14ac:dyDescent="0.3">
      <c r="K4100">
        <v>2017</v>
      </c>
      <c r="L4100" t="s">
        <v>45</v>
      </c>
      <c r="M4100" t="s">
        <v>104</v>
      </c>
      <c r="N4100" t="s">
        <v>13</v>
      </c>
      <c r="O4100" t="s">
        <v>188</v>
      </c>
      <c r="P4100" s="1" t="s">
        <v>30</v>
      </c>
      <c r="Q4100">
        <v>131.1</v>
      </c>
    </row>
    <row r="4101" spans="11:17" x14ac:dyDescent="0.3">
      <c r="K4101">
        <v>2017</v>
      </c>
      <c r="L4101" t="s">
        <v>45</v>
      </c>
      <c r="M4101" t="s">
        <v>104</v>
      </c>
      <c r="N4101" t="s">
        <v>13</v>
      </c>
      <c r="O4101" t="s">
        <v>188</v>
      </c>
      <c r="P4101" s="1" t="s">
        <v>34</v>
      </c>
      <c r="Q4101">
        <v>128.80000000000001</v>
      </c>
    </row>
    <row r="4102" spans="11:17" x14ac:dyDescent="0.3">
      <c r="K4102">
        <v>2017</v>
      </c>
      <c r="L4102" t="s">
        <v>45</v>
      </c>
      <c r="M4102" t="s">
        <v>104</v>
      </c>
      <c r="N4102" t="s">
        <v>13</v>
      </c>
      <c r="O4102" t="s">
        <v>188</v>
      </c>
      <c r="P4102" s="1" t="s">
        <v>33</v>
      </c>
      <c r="Q4102">
        <v>125.7</v>
      </c>
    </row>
    <row r="4103" spans="11:17" x14ac:dyDescent="0.3">
      <c r="K4103">
        <v>2017</v>
      </c>
      <c r="L4103" t="s">
        <v>45</v>
      </c>
      <c r="M4103" t="s">
        <v>104</v>
      </c>
      <c r="N4103" t="s">
        <v>7</v>
      </c>
      <c r="O4103" t="s">
        <v>188</v>
      </c>
      <c r="P4103" s="1" t="s">
        <v>30</v>
      </c>
      <c r="Q4103">
        <v>123.1</v>
      </c>
    </row>
    <row r="4104" spans="11:17" x14ac:dyDescent="0.3">
      <c r="K4104">
        <v>2017</v>
      </c>
      <c r="L4104" t="s">
        <v>45</v>
      </c>
      <c r="M4104" t="s">
        <v>104</v>
      </c>
      <c r="N4104" t="s">
        <v>7</v>
      </c>
      <c r="O4104" t="s">
        <v>188</v>
      </c>
      <c r="P4104" s="1" t="s">
        <v>34</v>
      </c>
      <c r="Q4104">
        <v>120.5</v>
      </c>
    </row>
    <row r="4105" spans="11:17" x14ac:dyDescent="0.3">
      <c r="K4105">
        <v>2017</v>
      </c>
      <c r="L4105" t="s">
        <v>45</v>
      </c>
      <c r="M4105" t="s">
        <v>104</v>
      </c>
      <c r="N4105" t="s">
        <v>7</v>
      </c>
      <c r="O4105" t="s">
        <v>188</v>
      </c>
      <c r="P4105" s="1" t="s">
        <v>33</v>
      </c>
      <c r="Q4105">
        <v>115.9</v>
      </c>
    </row>
    <row r="4106" spans="11:17" x14ac:dyDescent="0.3">
      <c r="K4106">
        <v>2017</v>
      </c>
      <c r="L4106" t="s">
        <v>45</v>
      </c>
      <c r="M4106" t="s">
        <v>104</v>
      </c>
      <c r="N4106" t="s">
        <v>16</v>
      </c>
      <c r="O4106" t="s">
        <v>192</v>
      </c>
      <c r="P4106" s="1" t="s">
        <v>30</v>
      </c>
      <c r="Q4106">
        <v>153.19999999999999</v>
      </c>
    </row>
    <row r="4107" spans="11:17" x14ac:dyDescent="0.3">
      <c r="K4107">
        <v>2017</v>
      </c>
      <c r="L4107" t="s">
        <v>45</v>
      </c>
      <c r="M4107" t="s">
        <v>104</v>
      </c>
      <c r="N4107" t="s">
        <v>16</v>
      </c>
      <c r="O4107" t="s">
        <v>192</v>
      </c>
      <c r="P4107" s="1" t="s">
        <v>34</v>
      </c>
      <c r="Q4107">
        <v>154.19999999999999</v>
      </c>
    </row>
    <row r="4108" spans="11:17" x14ac:dyDescent="0.3">
      <c r="K4108">
        <v>2017</v>
      </c>
      <c r="L4108" t="s">
        <v>45</v>
      </c>
      <c r="M4108" t="s">
        <v>104</v>
      </c>
      <c r="N4108" t="s">
        <v>16</v>
      </c>
      <c r="O4108" t="s">
        <v>192</v>
      </c>
      <c r="P4108" s="1" t="s">
        <v>33</v>
      </c>
      <c r="Q4108">
        <v>157</v>
      </c>
    </row>
    <row r="4109" spans="11:17" x14ac:dyDescent="0.3">
      <c r="K4109">
        <v>2017</v>
      </c>
      <c r="L4109" t="s">
        <v>45</v>
      </c>
      <c r="M4109" t="s">
        <v>104</v>
      </c>
      <c r="N4109" t="s">
        <v>27</v>
      </c>
      <c r="O4109" t="s">
        <v>192</v>
      </c>
      <c r="P4109" s="1" t="s">
        <v>30</v>
      </c>
      <c r="Q4109">
        <v>127.8</v>
      </c>
    </row>
    <row r="4110" spans="11:17" x14ac:dyDescent="0.3">
      <c r="K4110">
        <v>2017</v>
      </c>
      <c r="L4110" t="s">
        <v>45</v>
      </c>
      <c r="M4110" t="s">
        <v>104</v>
      </c>
      <c r="N4110" t="s">
        <v>27</v>
      </c>
      <c r="O4110" t="s">
        <v>192</v>
      </c>
      <c r="P4110" s="1" t="s">
        <v>34</v>
      </c>
      <c r="Q4110">
        <v>126.5</v>
      </c>
    </row>
    <row r="4111" spans="11:17" x14ac:dyDescent="0.3">
      <c r="K4111">
        <v>2017</v>
      </c>
      <c r="L4111" t="s">
        <v>45</v>
      </c>
      <c r="M4111" t="s">
        <v>104</v>
      </c>
      <c r="N4111" t="s">
        <v>27</v>
      </c>
      <c r="O4111" t="s">
        <v>192</v>
      </c>
      <c r="P4111" s="1" t="s">
        <v>33</v>
      </c>
      <c r="Q4111">
        <v>124.6</v>
      </c>
    </row>
    <row r="4112" spans="11:17" x14ac:dyDescent="0.3">
      <c r="K4112">
        <v>2017</v>
      </c>
      <c r="L4112" t="s">
        <v>45</v>
      </c>
      <c r="M4112" t="s">
        <v>104</v>
      </c>
      <c r="N4112" t="s">
        <v>14</v>
      </c>
      <c r="O4112" t="s">
        <v>188</v>
      </c>
      <c r="P4112" s="1" t="s">
        <v>30</v>
      </c>
      <c r="Q4112">
        <v>151.4</v>
      </c>
    </row>
    <row r="4113" spans="11:17" x14ac:dyDescent="0.3">
      <c r="K4113">
        <v>2017</v>
      </c>
      <c r="L4113" t="s">
        <v>45</v>
      </c>
      <c r="M4113" t="s">
        <v>104</v>
      </c>
      <c r="N4113" t="s">
        <v>14</v>
      </c>
      <c r="O4113" t="s">
        <v>188</v>
      </c>
      <c r="P4113" s="1" t="s">
        <v>34</v>
      </c>
      <c r="Q4113">
        <v>149</v>
      </c>
    </row>
    <row r="4114" spans="11:17" x14ac:dyDescent="0.3">
      <c r="K4114">
        <v>2017</v>
      </c>
      <c r="L4114" t="s">
        <v>45</v>
      </c>
      <c r="M4114" t="s">
        <v>104</v>
      </c>
      <c r="N4114" t="s">
        <v>14</v>
      </c>
      <c r="O4114" t="s">
        <v>188</v>
      </c>
      <c r="P4114" s="1" t="s">
        <v>33</v>
      </c>
      <c r="Q4114">
        <v>146.30000000000001</v>
      </c>
    </row>
    <row r="4115" spans="11:17" x14ac:dyDescent="0.3">
      <c r="K4115">
        <v>2017</v>
      </c>
      <c r="L4115" t="s">
        <v>45</v>
      </c>
      <c r="M4115" t="s">
        <v>104</v>
      </c>
      <c r="N4115" t="s">
        <v>10</v>
      </c>
      <c r="O4115" t="s">
        <v>188</v>
      </c>
      <c r="P4115" s="1" t="s">
        <v>30</v>
      </c>
      <c r="Q4115">
        <v>133.80000000000001</v>
      </c>
    </row>
    <row r="4116" spans="11:17" x14ac:dyDescent="0.3">
      <c r="K4116">
        <v>2017</v>
      </c>
      <c r="L4116" t="s">
        <v>45</v>
      </c>
      <c r="M4116" t="s">
        <v>104</v>
      </c>
      <c r="N4116" t="s">
        <v>10</v>
      </c>
      <c r="O4116" t="s">
        <v>188</v>
      </c>
      <c r="P4116" s="1" t="s">
        <v>34</v>
      </c>
      <c r="Q4116">
        <v>129.1</v>
      </c>
    </row>
    <row r="4117" spans="11:17" x14ac:dyDescent="0.3">
      <c r="K4117">
        <v>2017</v>
      </c>
      <c r="L4117" t="s">
        <v>45</v>
      </c>
      <c r="M4117" t="s">
        <v>104</v>
      </c>
      <c r="N4117" t="s">
        <v>10</v>
      </c>
      <c r="O4117" t="s">
        <v>188</v>
      </c>
      <c r="P4117" s="1" t="s">
        <v>33</v>
      </c>
      <c r="Q4117">
        <v>119.8</v>
      </c>
    </row>
    <row r="4118" spans="11:17" x14ac:dyDescent="0.3">
      <c r="K4118">
        <v>2017</v>
      </c>
      <c r="L4118" t="s">
        <v>45</v>
      </c>
      <c r="M4118" t="s">
        <v>104</v>
      </c>
      <c r="N4118" t="s">
        <v>25</v>
      </c>
      <c r="O4118" t="s">
        <v>195</v>
      </c>
      <c r="P4118" s="1" t="s">
        <v>30</v>
      </c>
      <c r="Q4118">
        <v>133.4</v>
      </c>
    </row>
    <row r="4119" spans="11:17" x14ac:dyDescent="0.3">
      <c r="K4119">
        <v>2017</v>
      </c>
      <c r="L4119" t="s">
        <v>45</v>
      </c>
      <c r="M4119" t="s">
        <v>104</v>
      </c>
      <c r="N4119" t="s">
        <v>25</v>
      </c>
      <c r="O4119" t="s">
        <v>195</v>
      </c>
      <c r="P4119" s="1" t="s">
        <v>34</v>
      </c>
      <c r="Q4119">
        <v>129</v>
      </c>
    </row>
    <row r="4120" spans="11:17" x14ac:dyDescent="0.3">
      <c r="K4120">
        <v>2017</v>
      </c>
      <c r="L4120" t="s">
        <v>45</v>
      </c>
      <c r="M4120" t="s">
        <v>104</v>
      </c>
      <c r="N4120" t="s">
        <v>25</v>
      </c>
      <c r="O4120" t="s">
        <v>195</v>
      </c>
      <c r="P4120" s="1" t="s">
        <v>33</v>
      </c>
      <c r="Q4120">
        <v>125.6</v>
      </c>
    </row>
    <row r="4121" spans="11:17" x14ac:dyDescent="0.3">
      <c r="K4121">
        <v>2017</v>
      </c>
      <c r="L4121" t="s">
        <v>45</v>
      </c>
      <c r="M4121" t="s">
        <v>104</v>
      </c>
      <c r="N4121" t="s">
        <v>12</v>
      </c>
      <c r="O4121" t="s">
        <v>188</v>
      </c>
      <c r="P4121" s="1" t="s">
        <v>30</v>
      </c>
      <c r="Q4121">
        <v>135.80000000000001</v>
      </c>
    </row>
    <row r="4122" spans="11:17" x14ac:dyDescent="0.3">
      <c r="K4122">
        <v>2017</v>
      </c>
      <c r="L4122" t="s">
        <v>45</v>
      </c>
      <c r="M4122" t="s">
        <v>104</v>
      </c>
      <c r="N4122" t="s">
        <v>12</v>
      </c>
      <c r="O4122" t="s">
        <v>188</v>
      </c>
      <c r="P4122" s="1" t="s">
        <v>34</v>
      </c>
      <c r="Q4122">
        <v>137.1</v>
      </c>
    </row>
    <row r="4123" spans="11:17" x14ac:dyDescent="0.3">
      <c r="K4123">
        <v>2017</v>
      </c>
      <c r="L4123" t="s">
        <v>45</v>
      </c>
      <c r="M4123" t="s">
        <v>104</v>
      </c>
      <c r="N4123" t="s">
        <v>12</v>
      </c>
      <c r="O4123" t="s">
        <v>188</v>
      </c>
      <c r="P4123" s="1" t="s">
        <v>33</v>
      </c>
      <c r="Q4123">
        <v>139.69999999999999</v>
      </c>
    </row>
    <row r="4124" spans="11:17" x14ac:dyDescent="0.3">
      <c r="K4124">
        <v>2017</v>
      </c>
      <c r="L4124" t="s">
        <v>45</v>
      </c>
      <c r="M4124" t="s">
        <v>104</v>
      </c>
      <c r="N4124" t="s">
        <v>11</v>
      </c>
      <c r="O4124" t="s">
        <v>188</v>
      </c>
      <c r="P4124" s="1" t="s">
        <v>30</v>
      </c>
      <c r="Q4124">
        <v>121.9</v>
      </c>
    </row>
    <row r="4125" spans="11:17" x14ac:dyDescent="0.3">
      <c r="K4125">
        <v>2017</v>
      </c>
      <c r="L4125" t="s">
        <v>45</v>
      </c>
      <c r="M4125" t="s">
        <v>104</v>
      </c>
      <c r="N4125" t="s">
        <v>11</v>
      </c>
      <c r="O4125" t="s">
        <v>188</v>
      </c>
      <c r="P4125" s="1" t="s">
        <v>34</v>
      </c>
      <c r="Q4125">
        <v>121.5</v>
      </c>
    </row>
    <row r="4126" spans="11:17" x14ac:dyDescent="0.3">
      <c r="K4126">
        <v>2017</v>
      </c>
      <c r="L4126" t="s">
        <v>45</v>
      </c>
      <c r="M4126" t="s">
        <v>104</v>
      </c>
      <c r="N4126" t="s">
        <v>11</v>
      </c>
      <c r="O4126" t="s">
        <v>188</v>
      </c>
      <c r="P4126" s="1" t="s">
        <v>33</v>
      </c>
      <c r="Q4126">
        <v>120.7</v>
      </c>
    </row>
    <row r="4127" spans="11:17" x14ac:dyDescent="0.3">
      <c r="K4127">
        <v>2017</v>
      </c>
      <c r="L4127" t="s">
        <v>45</v>
      </c>
      <c r="M4127" t="s">
        <v>104</v>
      </c>
      <c r="N4127" t="s">
        <v>24</v>
      </c>
      <c r="O4127" t="s">
        <v>191</v>
      </c>
      <c r="P4127" s="1" t="s">
        <v>30</v>
      </c>
      <c r="Q4127">
        <v>122</v>
      </c>
    </row>
    <row r="4128" spans="11:17" x14ac:dyDescent="0.3">
      <c r="K4128">
        <v>2017</v>
      </c>
      <c r="L4128" t="s">
        <v>45</v>
      </c>
      <c r="M4128" t="s">
        <v>104</v>
      </c>
      <c r="N4128" t="s">
        <v>24</v>
      </c>
      <c r="O4128" t="s">
        <v>191</v>
      </c>
      <c r="P4128" s="1" t="s">
        <v>34</v>
      </c>
      <c r="Q4128">
        <v>118.5</v>
      </c>
    </row>
    <row r="4129" spans="11:17" x14ac:dyDescent="0.3">
      <c r="K4129">
        <v>2017</v>
      </c>
      <c r="L4129" t="s">
        <v>45</v>
      </c>
      <c r="M4129" t="s">
        <v>104</v>
      </c>
      <c r="N4129" t="s">
        <v>24</v>
      </c>
      <c r="O4129" t="s">
        <v>191</v>
      </c>
      <c r="P4129" s="1" t="s">
        <v>33</v>
      </c>
      <c r="Q4129">
        <v>115.3</v>
      </c>
    </row>
    <row r="4130" spans="11:17" x14ac:dyDescent="0.3">
      <c r="K4130">
        <v>2017</v>
      </c>
      <c r="L4130" t="s">
        <v>45</v>
      </c>
      <c r="M4130" t="s">
        <v>104</v>
      </c>
      <c r="N4130" t="s">
        <v>9</v>
      </c>
      <c r="O4130" t="s">
        <v>188</v>
      </c>
      <c r="P4130" s="1" t="s">
        <v>30</v>
      </c>
      <c r="Q4130">
        <v>161</v>
      </c>
    </row>
    <row r="4131" spans="11:17" x14ac:dyDescent="0.3">
      <c r="K4131">
        <v>2017</v>
      </c>
      <c r="L4131" t="s">
        <v>45</v>
      </c>
      <c r="M4131" t="s">
        <v>104</v>
      </c>
      <c r="N4131" t="s">
        <v>9</v>
      </c>
      <c r="O4131" t="s">
        <v>188</v>
      </c>
      <c r="P4131" s="1" t="s">
        <v>34</v>
      </c>
      <c r="Q4131">
        <v>161.69999999999999</v>
      </c>
    </row>
    <row r="4132" spans="11:17" x14ac:dyDescent="0.3">
      <c r="K4132">
        <v>2017</v>
      </c>
      <c r="L4132" t="s">
        <v>45</v>
      </c>
      <c r="M4132" t="s">
        <v>104</v>
      </c>
      <c r="N4132" t="s">
        <v>9</v>
      </c>
      <c r="O4132" t="s">
        <v>188</v>
      </c>
      <c r="P4132" s="1" t="s">
        <v>33</v>
      </c>
      <c r="Q4132">
        <v>163.19999999999999</v>
      </c>
    </row>
    <row r="4133" spans="11:17" x14ac:dyDescent="0.3">
      <c r="K4133">
        <v>2017</v>
      </c>
      <c r="L4133" t="s">
        <v>35</v>
      </c>
      <c r="M4133" t="s">
        <v>105</v>
      </c>
      <c r="N4133" t="s">
        <v>3</v>
      </c>
      <c r="O4133" t="s">
        <v>188</v>
      </c>
      <c r="P4133" s="1" t="s">
        <v>30</v>
      </c>
      <c r="Q4133">
        <v>133.30000000000001</v>
      </c>
    </row>
    <row r="4134" spans="11:17" x14ac:dyDescent="0.3">
      <c r="K4134">
        <v>2017</v>
      </c>
      <c r="L4134" t="s">
        <v>35</v>
      </c>
      <c r="M4134" t="s">
        <v>105</v>
      </c>
      <c r="N4134" t="s">
        <v>3</v>
      </c>
      <c r="O4134" t="s">
        <v>188</v>
      </c>
      <c r="P4134" s="1" t="s">
        <v>34</v>
      </c>
      <c r="Q4134">
        <v>133.1</v>
      </c>
    </row>
    <row r="4135" spans="11:17" x14ac:dyDescent="0.3">
      <c r="K4135">
        <v>2017</v>
      </c>
      <c r="L4135" t="s">
        <v>35</v>
      </c>
      <c r="M4135" t="s">
        <v>105</v>
      </c>
      <c r="N4135" t="s">
        <v>3</v>
      </c>
      <c r="O4135" t="s">
        <v>188</v>
      </c>
      <c r="P4135" s="1" t="s">
        <v>33</v>
      </c>
      <c r="Q4135">
        <v>132.80000000000001</v>
      </c>
    </row>
    <row r="4136" spans="11:17" x14ac:dyDescent="0.3">
      <c r="K4136">
        <v>2017</v>
      </c>
      <c r="L4136" t="s">
        <v>35</v>
      </c>
      <c r="M4136" t="s">
        <v>105</v>
      </c>
      <c r="N4136" t="s">
        <v>17</v>
      </c>
      <c r="O4136" t="s">
        <v>189</v>
      </c>
      <c r="P4136" s="1" t="s">
        <v>30</v>
      </c>
      <c r="Q4136">
        <v>140.9</v>
      </c>
    </row>
    <row r="4137" spans="11:17" x14ac:dyDescent="0.3">
      <c r="K4137">
        <v>2017</v>
      </c>
      <c r="L4137" t="s">
        <v>35</v>
      </c>
      <c r="M4137" t="s">
        <v>105</v>
      </c>
      <c r="N4137" t="s">
        <v>17</v>
      </c>
      <c r="O4137" t="s">
        <v>189</v>
      </c>
      <c r="P4137" s="1" t="s">
        <v>34</v>
      </c>
      <c r="Q4137">
        <v>136.80000000000001</v>
      </c>
    </row>
    <row r="4138" spans="11:17" x14ac:dyDescent="0.3">
      <c r="K4138">
        <v>2017</v>
      </c>
      <c r="L4138" t="s">
        <v>35</v>
      </c>
      <c r="M4138" t="s">
        <v>105</v>
      </c>
      <c r="N4138" t="s">
        <v>17</v>
      </c>
      <c r="O4138" t="s">
        <v>189</v>
      </c>
      <c r="P4138" s="1" t="s">
        <v>33</v>
      </c>
      <c r="Q4138">
        <v>130.5</v>
      </c>
    </row>
    <row r="4139" spans="11:17" x14ac:dyDescent="0.3">
      <c r="K4139">
        <v>2017</v>
      </c>
      <c r="L4139" t="s">
        <v>35</v>
      </c>
      <c r="M4139" t="s">
        <v>105</v>
      </c>
      <c r="N4139" t="s">
        <v>19</v>
      </c>
      <c r="O4139" t="s">
        <v>189</v>
      </c>
      <c r="P4139" s="1" t="s">
        <v>30</v>
      </c>
      <c r="Q4139">
        <v>140.19999999999999</v>
      </c>
    </row>
    <row r="4140" spans="11:17" x14ac:dyDescent="0.3">
      <c r="K4140">
        <v>2017</v>
      </c>
      <c r="L4140" t="s">
        <v>35</v>
      </c>
      <c r="M4140" t="s">
        <v>105</v>
      </c>
      <c r="N4140" t="s">
        <v>19</v>
      </c>
      <c r="O4140" t="s">
        <v>189</v>
      </c>
      <c r="P4140" s="1" t="s">
        <v>34</v>
      </c>
      <c r="Q4140">
        <v>135.9</v>
      </c>
    </row>
    <row r="4141" spans="11:17" x14ac:dyDescent="0.3">
      <c r="K4141">
        <v>2017</v>
      </c>
      <c r="L4141" t="s">
        <v>35</v>
      </c>
      <c r="M4141" t="s">
        <v>105</v>
      </c>
      <c r="N4141" t="s">
        <v>19</v>
      </c>
      <c r="O4141" t="s">
        <v>189</v>
      </c>
      <c r="P4141" s="1" t="s">
        <v>33</v>
      </c>
      <c r="Q4141">
        <v>129.30000000000001</v>
      </c>
    </row>
    <row r="4142" spans="11:17" x14ac:dyDescent="0.3">
      <c r="K4142">
        <v>2017</v>
      </c>
      <c r="L4142" t="s">
        <v>35</v>
      </c>
      <c r="M4142" t="s">
        <v>105</v>
      </c>
      <c r="N4142" t="s">
        <v>26</v>
      </c>
      <c r="O4142" t="s">
        <v>26</v>
      </c>
      <c r="P4142" s="1" t="s">
        <v>30</v>
      </c>
      <c r="Q4142">
        <v>134.9</v>
      </c>
    </row>
    <row r="4143" spans="11:17" x14ac:dyDescent="0.3">
      <c r="K4143">
        <v>2017</v>
      </c>
      <c r="L4143" t="s">
        <v>35</v>
      </c>
      <c r="M4143" t="s">
        <v>105</v>
      </c>
      <c r="N4143" t="s">
        <v>26</v>
      </c>
      <c r="O4143" t="s">
        <v>26</v>
      </c>
      <c r="P4143" s="1" t="s">
        <v>34</v>
      </c>
      <c r="Q4143">
        <v>133.4</v>
      </c>
    </row>
    <row r="4144" spans="11:17" x14ac:dyDescent="0.3">
      <c r="K4144">
        <v>2017</v>
      </c>
      <c r="L4144" t="s">
        <v>35</v>
      </c>
      <c r="M4144" t="s">
        <v>105</v>
      </c>
      <c r="N4144" t="s">
        <v>26</v>
      </c>
      <c r="O4144" t="s">
        <v>26</v>
      </c>
      <c r="P4144" s="1" t="s">
        <v>33</v>
      </c>
      <c r="Q4144">
        <v>132.4</v>
      </c>
    </row>
    <row r="4145" spans="11:17" x14ac:dyDescent="0.3">
      <c r="K4145">
        <v>2017</v>
      </c>
      <c r="L4145" t="s">
        <v>35</v>
      </c>
      <c r="M4145" t="s">
        <v>105</v>
      </c>
      <c r="N4145" t="s">
        <v>5</v>
      </c>
      <c r="O4145" t="s">
        <v>188</v>
      </c>
      <c r="P4145" s="1" t="s">
        <v>30</v>
      </c>
      <c r="Q4145">
        <v>129.30000000000001</v>
      </c>
    </row>
    <row r="4146" spans="11:17" x14ac:dyDescent="0.3">
      <c r="K4146">
        <v>2017</v>
      </c>
      <c r="L4146" t="s">
        <v>35</v>
      </c>
      <c r="M4146" t="s">
        <v>105</v>
      </c>
      <c r="N4146" t="s">
        <v>5</v>
      </c>
      <c r="O4146" t="s">
        <v>188</v>
      </c>
      <c r="P4146" s="1" t="s">
        <v>34</v>
      </c>
      <c r="Q4146">
        <v>129.30000000000001</v>
      </c>
    </row>
    <row r="4147" spans="11:17" x14ac:dyDescent="0.3">
      <c r="K4147">
        <v>2017</v>
      </c>
      <c r="L4147" t="s">
        <v>35</v>
      </c>
      <c r="M4147" t="s">
        <v>105</v>
      </c>
      <c r="N4147" t="s">
        <v>5</v>
      </c>
      <c r="O4147" t="s">
        <v>188</v>
      </c>
      <c r="P4147" s="1" t="s">
        <v>33</v>
      </c>
      <c r="Q4147">
        <v>129.30000000000001</v>
      </c>
    </row>
    <row r="4148" spans="11:17" x14ac:dyDescent="0.3">
      <c r="K4148">
        <v>2017</v>
      </c>
      <c r="L4148" t="s">
        <v>35</v>
      </c>
      <c r="M4148" t="s">
        <v>105</v>
      </c>
      <c r="N4148" t="s">
        <v>15</v>
      </c>
      <c r="O4148" t="s">
        <v>188</v>
      </c>
      <c r="P4148" s="1" t="s">
        <v>30</v>
      </c>
      <c r="Q4148">
        <v>133.6</v>
      </c>
    </row>
    <row r="4149" spans="11:17" x14ac:dyDescent="0.3">
      <c r="K4149">
        <v>2017</v>
      </c>
      <c r="L4149" t="s">
        <v>35</v>
      </c>
      <c r="M4149" t="s">
        <v>105</v>
      </c>
      <c r="N4149" t="s">
        <v>15</v>
      </c>
      <c r="O4149" t="s">
        <v>188</v>
      </c>
      <c r="P4149" s="1" t="s">
        <v>34</v>
      </c>
      <c r="Q4149">
        <v>133</v>
      </c>
    </row>
    <row r="4150" spans="11:17" x14ac:dyDescent="0.3">
      <c r="K4150">
        <v>2017</v>
      </c>
      <c r="L4150" t="s">
        <v>35</v>
      </c>
      <c r="M4150" t="s">
        <v>105</v>
      </c>
      <c r="N4150" t="s">
        <v>15</v>
      </c>
      <c r="O4150" t="s">
        <v>188</v>
      </c>
      <c r="P4150" s="1" t="s">
        <v>33</v>
      </c>
      <c r="Q4150">
        <v>132.1</v>
      </c>
    </row>
    <row r="4151" spans="11:17" x14ac:dyDescent="0.3">
      <c r="K4151">
        <v>2017</v>
      </c>
      <c r="L4151" t="s">
        <v>35</v>
      </c>
      <c r="M4151" t="s">
        <v>105</v>
      </c>
      <c r="N4151" t="s">
        <v>18</v>
      </c>
      <c r="O4151" t="s">
        <v>189</v>
      </c>
      <c r="P4151" s="1" t="s">
        <v>30</v>
      </c>
      <c r="Q4151">
        <v>135.80000000000001</v>
      </c>
    </row>
    <row r="4152" spans="11:17" x14ac:dyDescent="0.3">
      <c r="K4152">
        <v>2017</v>
      </c>
      <c r="L4152" t="s">
        <v>35</v>
      </c>
      <c r="M4152" t="s">
        <v>105</v>
      </c>
      <c r="N4152" t="s">
        <v>18</v>
      </c>
      <c r="O4152" t="s">
        <v>189</v>
      </c>
      <c r="P4152" s="1" t="s">
        <v>34</v>
      </c>
      <c r="Q4152">
        <v>130.30000000000001</v>
      </c>
    </row>
    <row r="4153" spans="11:17" x14ac:dyDescent="0.3">
      <c r="K4153">
        <v>2017</v>
      </c>
      <c r="L4153" t="s">
        <v>35</v>
      </c>
      <c r="M4153" t="s">
        <v>105</v>
      </c>
      <c r="N4153" t="s">
        <v>18</v>
      </c>
      <c r="O4153" t="s">
        <v>189</v>
      </c>
      <c r="P4153" s="1" t="s">
        <v>33</v>
      </c>
      <c r="Q4153">
        <v>122.5</v>
      </c>
    </row>
    <row r="4154" spans="11:17" x14ac:dyDescent="0.3">
      <c r="K4154">
        <v>2017</v>
      </c>
      <c r="L4154" t="s">
        <v>35</v>
      </c>
      <c r="M4154" t="s">
        <v>105</v>
      </c>
      <c r="N4154" t="s">
        <v>8</v>
      </c>
      <c r="O4154" t="s">
        <v>188</v>
      </c>
      <c r="P4154" s="1" t="s">
        <v>30</v>
      </c>
      <c r="Q4154">
        <v>138.69999999999999</v>
      </c>
    </row>
    <row r="4155" spans="11:17" x14ac:dyDescent="0.3">
      <c r="K4155">
        <v>2017</v>
      </c>
      <c r="L4155" t="s">
        <v>35</v>
      </c>
      <c r="M4155" t="s">
        <v>105</v>
      </c>
      <c r="N4155" t="s">
        <v>8</v>
      </c>
      <c r="O4155" t="s">
        <v>188</v>
      </c>
      <c r="P4155" s="1" t="s">
        <v>34</v>
      </c>
      <c r="Q4155">
        <v>135.30000000000001</v>
      </c>
    </row>
    <row r="4156" spans="11:17" x14ac:dyDescent="0.3">
      <c r="K4156">
        <v>2017</v>
      </c>
      <c r="L4156" t="s">
        <v>35</v>
      </c>
      <c r="M4156" t="s">
        <v>105</v>
      </c>
      <c r="N4156" t="s">
        <v>8</v>
      </c>
      <c r="O4156" t="s">
        <v>188</v>
      </c>
      <c r="P4156" s="1" t="s">
        <v>33</v>
      </c>
      <c r="Q4156">
        <v>131.4</v>
      </c>
    </row>
    <row r="4157" spans="11:17" x14ac:dyDescent="0.3">
      <c r="K4157">
        <v>2017</v>
      </c>
      <c r="L4157" t="s">
        <v>35</v>
      </c>
      <c r="M4157" t="s">
        <v>105</v>
      </c>
      <c r="N4157" t="s">
        <v>21</v>
      </c>
      <c r="O4157" t="s">
        <v>190</v>
      </c>
      <c r="P4157" s="1" t="s">
        <v>30</v>
      </c>
      <c r="Q4157">
        <v>133.19999999999999</v>
      </c>
    </row>
    <row r="4158" spans="11:17" x14ac:dyDescent="0.3">
      <c r="K4158">
        <v>2017</v>
      </c>
      <c r="L4158" t="s">
        <v>35</v>
      </c>
      <c r="M4158" t="s">
        <v>105</v>
      </c>
      <c r="N4158" t="s">
        <v>21</v>
      </c>
      <c r="O4158" t="s">
        <v>190</v>
      </c>
      <c r="P4158" s="1" t="s">
        <v>34</v>
      </c>
      <c r="Q4158">
        <v>127.9</v>
      </c>
    </row>
    <row r="4159" spans="11:17" x14ac:dyDescent="0.3">
      <c r="K4159">
        <v>2017</v>
      </c>
      <c r="L4159" t="s">
        <v>35</v>
      </c>
      <c r="M4159" t="s">
        <v>105</v>
      </c>
      <c r="N4159" t="s">
        <v>21</v>
      </c>
      <c r="O4159" t="s">
        <v>190</v>
      </c>
      <c r="P4159" s="1" t="s">
        <v>33</v>
      </c>
      <c r="Q4159">
        <v>119.2</v>
      </c>
    </row>
    <row r="4160" spans="11:17" x14ac:dyDescent="0.3">
      <c r="K4160">
        <v>2017</v>
      </c>
      <c r="L4160" t="s">
        <v>35</v>
      </c>
      <c r="M4160" t="s">
        <v>105</v>
      </c>
      <c r="N4160" t="s">
        <v>29</v>
      </c>
      <c r="O4160" t="s">
        <v>206</v>
      </c>
      <c r="P4160" s="1" t="s">
        <v>30</v>
      </c>
      <c r="Q4160">
        <v>132.6</v>
      </c>
    </row>
    <row r="4161" spans="11:17" x14ac:dyDescent="0.3">
      <c r="K4161">
        <v>2017</v>
      </c>
      <c r="L4161" t="s">
        <v>35</v>
      </c>
      <c r="M4161" t="s">
        <v>105</v>
      </c>
      <c r="N4161" t="s">
        <v>29</v>
      </c>
      <c r="O4161" t="s">
        <v>206</v>
      </c>
      <c r="P4161" s="1" t="s">
        <v>34</v>
      </c>
      <c r="Q4161">
        <v>130.6</v>
      </c>
    </row>
    <row r="4162" spans="11:17" x14ac:dyDescent="0.3">
      <c r="K4162">
        <v>2017</v>
      </c>
      <c r="L4162" t="s">
        <v>35</v>
      </c>
      <c r="M4162" t="s">
        <v>105</v>
      </c>
      <c r="N4162" t="s">
        <v>29</v>
      </c>
      <c r="O4162" t="s">
        <v>206</v>
      </c>
      <c r="P4162" s="1" t="s">
        <v>33</v>
      </c>
      <c r="Q4162">
        <v>128.19999999999999</v>
      </c>
    </row>
    <row r="4163" spans="11:17" x14ac:dyDescent="0.3">
      <c r="K4163">
        <v>2017</v>
      </c>
      <c r="L4163" t="s">
        <v>35</v>
      </c>
      <c r="M4163" t="s">
        <v>105</v>
      </c>
      <c r="N4163" t="s">
        <v>23</v>
      </c>
      <c r="O4163" t="s">
        <v>23</v>
      </c>
      <c r="P4163" s="1" t="s">
        <v>30</v>
      </c>
      <c r="Q4163">
        <v>130.1</v>
      </c>
    </row>
    <row r="4164" spans="11:17" x14ac:dyDescent="0.3">
      <c r="K4164">
        <v>2017</v>
      </c>
      <c r="L4164" t="s">
        <v>35</v>
      </c>
      <c r="M4164" t="s">
        <v>105</v>
      </c>
      <c r="N4164" t="s">
        <v>23</v>
      </c>
      <c r="O4164" t="s">
        <v>23</v>
      </c>
      <c r="P4164" s="1" t="s">
        <v>34</v>
      </c>
      <c r="Q4164">
        <v>127.4</v>
      </c>
    </row>
    <row r="4165" spans="11:17" x14ac:dyDescent="0.3">
      <c r="K4165">
        <v>2017</v>
      </c>
      <c r="L4165" t="s">
        <v>35</v>
      </c>
      <c r="M4165" t="s">
        <v>105</v>
      </c>
      <c r="N4165" t="s">
        <v>23</v>
      </c>
      <c r="O4165" t="s">
        <v>23</v>
      </c>
      <c r="P4165" s="1" t="s">
        <v>33</v>
      </c>
      <c r="Q4165">
        <v>122.9</v>
      </c>
    </row>
    <row r="4166" spans="11:17" x14ac:dyDescent="0.3">
      <c r="K4166">
        <v>2017</v>
      </c>
      <c r="L4166" t="s">
        <v>35</v>
      </c>
      <c r="M4166" t="s">
        <v>105</v>
      </c>
      <c r="N4166" t="s">
        <v>22</v>
      </c>
      <c r="O4166" t="s">
        <v>20</v>
      </c>
      <c r="P4166" s="1" t="s">
        <v>30</v>
      </c>
      <c r="Q4166">
        <v>133.6</v>
      </c>
    </row>
    <row r="4167" spans="11:17" x14ac:dyDescent="0.3">
      <c r="K4167">
        <v>2017</v>
      </c>
      <c r="L4167" t="s">
        <v>35</v>
      </c>
      <c r="M4167" t="s">
        <v>105</v>
      </c>
      <c r="N4167" t="s">
        <v>22</v>
      </c>
      <c r="O4167" t="s">
        <v>20</v>
      </c>
      <c r="P4167" s="1" t="s">
        <v>34</v>
      </c>
      <c r="Q4167">
        <v>129.69999999999999</v>
      </c>
    </row>
    <row r="4168" spans="11:17" x14ac:dyDescent="0.3">
      <c r="K4168">
        <v>2017</v>
      </c>
      <c r="L4168" t="s">
        <v>35</v>
      </c>
      <c r="M4168" t="s">
        <v>105</v>
      </c>
      <c r="N4168" t="s">
        <v>22</v>
      </c>
      <c r="O4168" t="s">
        <v>20</v>
      </c>
      <c r="P4168" s="1" t="s">
        <v>33</v>
      </c>
      <c r="Q4168">
        <v>125.3</v>
      </c>
    </row>
    <row r="4169" spans="11:17" x14ac:dyDescent="0.3">
      <c r="K4169">
        <v>2017</v>
      </c>
      <c r="L4169" t="s">
        <v>35</v>
      </c>
      <c r="M4169" t="s">
        <v>105</v>
      </c>
      <c r="N4169" t="s">
        <v>20</v>
      </c>
      <c r="O4169" t="s">
        <v>20</v>
      </c>
      <c r="P4169" s="1" t="s">
        <v>30</v>
      </c>
      <c r="Q4169">
        <v>0</v>
      </c>
    </row>
    <row r="4170" spans="11:17" x14ac:dyDescent="0.3">
      <c r="K4170">
        <v>2017</v>
      </c>
      <c r="L4170" t="s">
        <v>35</v>
      </c>
      <c r="M4170" t="s">
        <v>105</v>
      </c>
      <c r="N4170" t="s">
        <v>20</v>
      </c>
      <c r="O4170" t="s">
        <v>20</v>
      </c>
      <c r="P4170" s="1" t="s">
        <v>34</v>
      </c>
      <c r="Q4170">
        <v>130.5</v>
      </c>
    </row>
    <row r="4171" spans="11:17" x14ac:dyDescent="0.3">
      <c r="K4171">
        <v>2017</v>
      </c>
      <c r="L4171" t="s">
        <v>35</v>
      </c>
      <c r="M4171" t="s">
        <v>105</v>
      </c>
      <c r="N4171" t="s">
        <v>20</v>
      </c>
      <c r="O4171" t="s">
        <v>20</v>
      </c>
      <c r="P4171" s="1" t="s">
        <v>33</v>
      </c>
      <c r="Q4171">
        <v>130.5</v>
      </c>
    </row>
    <row r="4172" spans="11:17" x14ac:dyDescent="0.3">
      <c r="K4172">
        <v>2017</v>
      </c>
      <c r="L4172" t="s">
        <v>35</v>
      </c>
      <c r="M4172" t="s">
        <v>105</v>
      </c>
      <c r="N4172" t="s">
        <v>4</v>
      </c>
      <c r="O4172" t="s">
        <v>188</v>
      </c>
      <c r="P4172" s="1" t="s">
        <v>30</v>
      </c>
      <c r="Q4172">
        <v>138.30000000000001</v>
      </c>
    </row>
    <row r="4173" spans="11:17" x14ac:dyDescent="0.3">
      <c r="K4173">
        <v>2017</v>
      </c>
      <c r="L4173" t="s">
        <v>35</v>
      </c>
      <c r="M4173" t="s">
        <v>105</v>
      </c>
      <c r="N4173" t="s">
        <v>4</v>
      </c>
      <c r="O4173" t="s">
        <v>188</v>
      </c>
      <c r="P4173" s="1" t="s">
        <v>34</v>
      </c>
      <c r="Q4173">
        <v>138.80000000000001</v>
      </c>
    </row>
    <row r="4174" spans="11:17" x14ac:dyDescent="0.3">
      <c r="K4174">
        <v>2017</v>
      </c>
      <c r="L4174" t="s">
        <v>35</v>
      </c>
      <c r="M4174" t="s">
        <v>105</v>
      </c>
      <c r="N4174" t="s">
        <v>4</v>
      </c>
      <c r="O4174" t="s">
        <v>188</v>
      </c>
      <c r="P4174" s="1" t="s">
        <v>33</v>
      </c>
      <c r="Q4174">
        <v>139.80000000000001</v>
      </c>
    </row>
    <row r="4175" spans="11:17" x14ac:dyDescent="0.3">
      <c r="K4175">
        <v>2017</v>
      </c>
      <c r="L4175" t="s">
        <v>35</v>
      </c>
      <c r="M4175" t="s">
        <v>105</v>
      </c>
      <c r="N4175" t="s">
        <v>6</v>
      </c>
      <c r="O4175" t="s">
        <v>188</v>
      </c>
      <c r="P4175" s="1" t="s">
        <v>30</v>
      </c>
      <c r="Q4175">
        <v>137.19999999999999</v>
      </c>
    </row>
    <row r="4176" spans="11:17" x14ac:dyDescent="0.3">
      <c r="K4176">
        <v>2017</v>
      </c>
      <c r="L4176" t="s">
        <v>35</v>
      </c>
      <c r="M4176" t="s">
        <v>105</v>
      </c>
      <c r="N4176" t="s">
        <v>6</v>
      </c>
      <c r="O4176" t="s">
        <v>188</v>
      </c>
      <c r="P4176" s="1" t="s">
        <v>34</v>
      </c>
      <c r="Q4176">
        <v>135.80000000000001</v>
      </c>
    </row>
    <row r="4177" spans="11:17" x14ac:dyDescent="0.3">
      <c r="K4177">
        <v>2017</v>
      </c>
      <c r="L4177" t="s">
        <v>35</v>
      </c>
      <c r="M4177" t="s">
        <v>105</v>
      </c>
      <c r="N4177" t="s">
        <v>6</v>
      </c>
      <c r="O4177" t="s">
        <v>188</v>
      </c>
      <c r="P4177" s="1" t="s">
        <v>33</v>
      </c>
      <c r="Q4177">
        <v>133.5</v>
      </c>
    </row>
    <row r="4178" spans="11:17" x14ac:dyDescent="0.3">
      <c r="K4178">
        <v>2017</v>
      </c>
      <c r="L4178" t="s">
        <v>35</v>
      </c>
      <c r="M4178" t="s">
        <v>105</v>
      </c>
      <c r="N4178" t="s">
        <v>28</v>
      </c>
      <c r="O4178" t="s">
        <v>192</v>
      </c>
      <c r="P4178" s="1" t="s">
        <v>30</v>
      </c>
      <c r="Q4178">
        <v>127</v>
      </c>
    </row>
    <row r="4179" spans="11:17" x14ac:dyDescent="0.3">
      <c r="K4179">
        <v>2017</v>
      </c>
      <c r="L4179" t="s">
        <v>35</v>
      </c>
      <c r="M4179" t="s">
        <v>105</v>
      </c>
      <c r="N4179" t="s">
        <v>28</v>
      </c>
      <c r="O4179" t="s">
        <v>192</v>
      </c>
      <c r="P4179" s="1" t="s">
        <v>34</v>
      </c>
      <c r="Q4179">
        <v>124.8</v>
      </c>
    </row>
    <row r="4180" spans="11:17" x14ac:dyDescent="0.3">
      <c r="K4180">
        <v>2017</v>
      </c>
      <c r="L4180" t="s">
        <v>35</v>
      </c>
      <c r="M4180" t="s">
        <v>105</v>
      </c>
      <c r="N4180" t="s">
        <v>28</v>
      </c>
      <c r="O4180" t="s">
        <v>192</v>
      </c>
      <c r="P4180" s="1" t="s">
        <v>33</v>
      </c>
      <c r="Q4180">
        <v>122.4</v>
      </c>
    </row>
    <row r="4181" spans="11:17" x14ac:dyDescent="0.3">
      <c r="K4181">
        <v>2017</v>
      </c>
      <c r="L4181" t="s">
        <v>35</v>
      </c>
      <c r="M4181" t="s">
        <v>105</v>
      </c>
      <c r="N4181" t="s">
        <v>13</v>
      </c>
      <c r="O4181" t="s">
        <v>188</v>
      </c>
      <c r="P4181" s="1" t="s">
        <v>30</v>
      </c>
      <c r="Q4181">
        <v>129.4</v>
      </c>
    </row>
    <row r="4182" spans="11:17" x14ac:dyDescent="0.3">
      <c r="K4182">
        <v>2017</v>
      </c>
      <c r="L4182" t="s">
        <v>35</v>
      </c>
      <c r="M4182" t="s">
        <v>105</v>
      </c>
      <c r="N4182" t="s">
        <v>13</v>
      </c>
      <c r="O4182" t="s">
        <v>188</v>
      </c>
      <c r="P4182" s="1" t="s">
        <v>34</v>
      </c>
      <c r="Q4182">
        <v>126.9</v>
      </c>
    </row>
    <row r="4183" spans="11:17" x14ac:dyDescent="0.3">
      <c r="K4183">
        <v>2017</v>
      </c>
      <c r="L4183" t="s">
        <v>35</v>
      </c>
      <c r="M4183" t="s">
        <v>105</v>
      </c>
      <c r="N4183" t="s">
        <v>13</v>
      </c>
      <c r="O4183" t="s">
        <v>188</v>
      </c>
      <c r="P4183" s="1" t="s">
        <v>33</v>
      </c>
      <c r="Q4183">
        <v>123.4</v>
      </c>
    </row>
    <row r="4184" spans="11:17" x14ac:dyDescent="0.3">
      <c r="K4184">
        <v>2017</v>
      </c>
      <c r="L4184" t="s">
        <v>35</v>
      </c>
      <c r="M4184" t="s">
        <v>105</v>
      </c>
      <c r="N4184" t="s">
        <v>7</v>
      </c>
      <c r="O4184" t="s">
        <v>188</v>
      </c>
      <c r="P4184" s="1" t="s">
        <v>30</v>
      </c>
      <c r="Q4184">
        <v>122.1</v>
      </c>
    </row>
    <row r="4185" spans="11:17" x14ac:dyDescent="0.3">
      <c r="K4185">
        <v>2017</v>
      </c>
      <c r="L4185" t="s">
        <v>35</v>
      </c>
      <c r="M4185" t="s">
        <v>105</v>
      </c>
      <c r="N4185" t="s">
        <v>7</v>
      </c>
      <c r="O4185" t="s">
        <v>188</v>
      </c>
      <c r="P4185" s="1" t="s">
        <v>34</v>
      </c>
      <c r="Q4185">
        <v>119.2</v>
      </c>
    </row>
    <row r="4186" spans="11:17" x14ac:dyDescent="0.3">
      <c r="K4186">
        <v>2017</v>
      </c>
      <c r="L4186" t="s">
        <v>35</v>
      </c>
      <c r="M4186" t="s">
        <v>105</v>
      </c>
      <c r="N4186" t="s">
        <v>7</v>
      </c>
      <c r="O4186" t="s">
        <v>188</v>
      </c>
      <c r="P4186" s="1" t="s">
        <v>33</v>
      </c>
      <c r="Q4186">
        <v>114.3</v>
      </c>
    </row>
    <row r="4187" spans="11:17" x14ac:dyDescent="0.3">
      <c r="K4187">
        <v>2017</v>
      </c>
      <c r="L4187" t="s">
        <v>35</v>
      </c>
      <c r="M4187" t="s">
        <v>105</v>
      </c>
      <c r="N4187" t="s">
        <v>16</v>
      </c>
      <c r="O4187" t="s">
        <v>192</v>
      </c>
      <c r="P4187" s="1" t="s">
        <v>30</v>
      </c>
      <c r="Q4187">
        <v>143.69999999999999</v>
      </c>
    </row>
    <row r="4188" spans="11:17" x14ac:dyDescent="0.3">
      <c r="K4188">
        <v>2017</v>
      </c>
      <c r="L4188" t="s">
        <v>35</v>
      </c>
      <c r="M4188" t="s">
        <v>105</v>
      </c>
      <c r="N4188" t="s">
        <v>16</v>
      </c>
      <c r="O4188" t="s">
        <v>192</v>
      </c>
      <c r="P4188" s="1" t="s">
        <v>34</v>
      </c>
      <c r="Q4188">
        <v>144.4</v>
      </c>
    </row>
    <row r="4189" spans="11:17" x14ac:dyDescent="0.3">
      <c r="K4189">
        <v>2017</v>
      </c>
      <c r="L4189" t="s">
        <v>35</v>
      </c>
      <c r="M4189" t="s">
        <v>105</v>
      </c>
      <c r="N4189" t="s">
        <v>16</v>
      </c>
      <c r="O4189" t="s">
        <v>192</v>
      </c>
      <c r="P4189" s="1" t="s">
        <v>33</v>
      </c>
      <c r="Q4189">
        <v>146.30000000000001</v>
      </c>
    </row>
    <row r="4190" spans="11:17" x14ac:dyDescent="0.3">
      <c r="K4190">
        <v>2017</v>
      </c>
      <c r="L4190" t="s">
        <v>35</v>
      </c>
      <c r="M4190" t="s">
        <v>105</v>
      </c>
      <c r="N4190" t="s">
        <v>27</v>
      </c>
      <c r="O4190" t="s">
        <v>192</v>
      </c>
      <c r="P4190" s="1" t="s">
        <v>30</v>
      </c>
      <c r="Q4190">
        <v>123.2</v>
      </c>
    </row>
    <row r="4191" spans="11:17" x14ac:dyDescent="0.3">
      <c r="K4191">
        <v>2017</v>
      </c>
      <c r="L4191" t="s">
        <v>35</v>
      </c>
      <c r="M4191" t="s">
        <v>105</v>
      </c>
      <c r="N4191" t="s">
        <v>27</v>
      </c>
      <c r="O4191" t="s">
        <v>192</v>
      </c>
      <c r="P4191" s="1" t="s">
        <v>34</v>
      </c>
      <c r="Q4191">
        <v>122.6</v>
      </c>
    </row>
    <row r="4192" spans="11:17" x14ac:dyDescent="0.3">
      <c r="K4192">
        <v>2017</v>
      </c>
      <c r="L4192" t="s">
        <v>35</v>
      </c>
      <c r="M4192" t="s">
        <v>105</v>
      </c>
      <c r="N4192" t="s">
        <v>27</v>
      </c>
      <c r="O4192" t="s">
        <v>192</v>
      </c>
      <c r="P4192" s="1" t="s">
        <v>33</v>
      </c>
      <c r="Q4192">
        <v>121.7</v>
      </c>
    </row>
    <row r="4193" spans="11:17" x14ac:dyDescent="0.3">
      <c r="K4193">
        <v>2017</v>
      </c>
      <c r="L4193" t="s">
        <v>35</v>
      </c>
      <c r="M4193" t="s">
        <v>105</v>
      </c>
      <c r="N4193" t="s">
        <v>14</v>
      </c>
      <c r="O4193" t="s">
        <v>188</v>
      </c>
      <c r="P4193" s="1" t="s">
        <v>30</v>
      </c>
      <c r="Q4193">
        <v>144.4</v>
      </c>
    </row>
    <row r="4194" spans="11:17" x14ac:dyDescent="0.3">
      <c r="K4194">
        <v>2017</v>
      </c>
      <c r="L4194" t="s">
        <v>35</v>
      </c>
      <c r="M4194" t="s">
        <v>105</v>
      </c>
      <c r="N4194" t="s">
        <v>14</v>
      </c>
      <c r="O4194" t="s">
        <v>188</v>
      </c>
      <c r="P4194" s="1" t="s">
        <v>34</v>
      </c>
      <c r="Q4194">
        <v>143.19999999999999</v>
      </c>
    </row>
    <row r="4195" spans="11:17" x14ac:dyDescent="0.3">
      <c r="K4195">
        <v>2017</v>
      </c>
      <c r="L4195" t="s">
        <v>35</v>
      </c>
      <c r="M4195" t="s">
        <v>105</v>
      </c>
      <c r="N4195" t="s">
        <v>14</v>
      </c>
      <c r="O4195" t="s">
        <v>188</v>
      </c>
      <c r="P4195" s="1" t="s">
        <v>33</v>
      </c>
      <c r="Q4195">
        <v>141.9</v>
      </c>
    </row>
    <row r="4196" spans="11:17" x14ac:dyDescent="0.3">
      <c r="K4196">
        <v>2017</v>
      </c>
      <c r="L4196" t="s">
        <v>35</v>
      </c>
      <c r="M4196" t="s">
        <v>105</v>
      </c>
      <c r="N4196" t="s">
        <v>10</v>
      </c>
      <c r="O4196" t="s">
        <v>188</v>
      </c>
      <c r="P4196" s="1" t="s">
        <v>30</v>
      </c>
      <c r="Q4196">
        <v>156.9</v>
      </c>
    </row>
    <row r="4197" spans="11:17" x14ac:dyDescent="0.3">
      <c r="K4197">
        <v>2017</v>
      </c>
      <c r="L4197" t="s">
        <v>35</v>
      </c>
      <c r="M4197" t="s">
        <v>105</v>
      </c>
      <c r="N4197" t="s">
        <v>10</v>
      </c>
      <c r="O4197" t="s">
        <v>188</v>
      </c>
      <c r="P4197" s="1" t="s">
        <v>34</v>
      </c>
      <c r="Q4197">
        <v>152.19999999999999</v>
      </c>
    </row>
    <row r="4198" spans="11:17" x14ac:dyDescent="0.3">
      <c r="K4198">
        <v>2017</v>
      </c>
      <c r="L4198" t="s">
        <v>35</v>
      </c>
      <c r="M4198" t="s">
        <v>105</v>
      </c>
      <c r="N4198" t="s">
        <v>10</v>
      </c>
      <c r="O4198" t="s">
        <v>188</v>
      </c>
      <c r="P4198" s="1" t="s">
        <v>33</v>
      </c>
      <c r="Q4198">
        <v>143.1</v>
      </c>
    </row>
    <row r="4199" spans="11:17" x14ac:dyDescent="0.3">
      <c r="K4199">
        <v>2017</v>
      </c>
      <c r="L4199" t="s">
        <v>35</v>
      </c>
      <c r="M4199" t="s">
        <v>105</v>
      </c>
      <c r="N4199" t="s">
        <v>25</v>
      </c>
      <c r="O4199" t="s">
        <v>195</v>
      </c>
      <c r="P4199" s="1" t="s">
        <v>30</v>
      </c>
      <c r="Q4199">
        <v>127.7</v>
      </c>
    </row>
    <row r="4200" spans="11:17" x14ac:dyDescent="0.3">
      <c r="K4200">
        <v>2017</v>
      </c>
      <c r="L4200" t="s">
        <v>35</v>
      </c>
      <c r="M4200" t="s">
        <v>105</v>
      </c>
      <c r="N4200" t="s">
        <v>25</v>
      </c>
      <c r="O4200" t="s">
        <v>195</v>
      </c>
      <c r="P4200" s="1" t="s">
        <v>34</v>
      </c>
      <c r="Q4200">
        <v>124.6</v>
      </c>
    </row>
    <row r="4201" spans="11:17" x14ac:dyDescent="0.3">
      <c r="K4201">
        <v>2017</v>
      </c>
      <c r="L4201" t="s">
        <v>35</v>
      </c>
      <c r="M4201" t="s">
        <v>105</v>
      </c>
      <c r="N4201" t="s">
        <v>25</v>
      </c>
      <c r="O4201" t="s">
        <v>195</v>
      </c>
      <c r="P4201" s="1" t="s">
        <v>33</v>
      </c>
      <c r="Q4201">
        <v>122.2</v>
      </c>
    </row>
    <row r="4202" spans="11:17" x14ac:dyDescent="0.3">
      <c r="K4202">
        <v>2017</v>
      </c>
      <c r="L4202" t="s">
        <v>35</v>
      </c>
      <c r="M4202" t="s">
        <v>105</v>
      </c>
      <c r="N4202" t="s">
        <v>12</v>
      </c>
      <c r="O4202" t="s">
        <v>188</v>
      </c>
      <c r="P4202" s="1" t="s">
        <v>30</v>
      </c>
      <c r="Q4202">
        <v>136</v>
      </c>
    </row>
    <row r="4203" spans="11:17" x14ac:dyDescent="0.3">
      <c r="K4203">
        <v>2017</v>
      </c>
      <c r="L4203" t="s">
        <v>35</v>
      </c>
      <c r="M4203" t="s">
        <v>105</v>
      </c>
      <c r="N4203" t="s">
        <v>12</v>
      </c>
      <c r="O4203" t="s">
        <v>188</v>
      </c>
      <c r="P4203" s="1" t="s">
        <v>34</v>
      </c>
      <c r="Q4203">
        <v>138.69999999999999</v>
      </c>
    </row>
    <row r="4204" spans="11:17" x14ac:dyDescent="0.3">
      <c r="K4204">
        <v>2017</v>
      </c>
      <c r="L4204" t="s">
        <v>35</v>
      </c>
      <c r="M4204" t="s">
        <v>105</v>
      </c>
      <c r="N4204" t="s">
        <v>12</v>
      </c>
      <c r="O4204" t="s">
        <v>188</v>
      </c>
      <c r="P4204" s="1" t="s">
        <v>33</v>
      </c>
      <c r="Q4204">
        <v>144</v>
      </c>
    </row>
    <row r="4205" spans="11:17" x14ac:dyDescent="0.3">
      <c r="K4205">
        <v>2017</v>
      </c>
      <c r="L4205" t="s">
        <v>35</v>
      </c>
      <c r="M4205" t="s">
        <v>105</v>
      </c>
      <c r="N4205" t="s">
        <v>11</v>
      </c>
      <c r="O4205" t="s">
        <v>188</v>
      </c>
      <c r="P4205" s="1" t="s">
        <v>30</v>
      </c>
      <c r="Q4205">
        <v>116.2</v>
      </c>
    </row>
    <row r="4206" spans="11:17" x14ac:dyDescent="0.3">
      <c r="K4206">
        <v>2017</v>
      </c>
      <c r="L4206" t="s">
        <v>35</v>
      </c>
      <c r="M4206" t="s">
        <v>105</v>
      </c>
      <c r="N4206" t="s">
        <v>11</v>
      </c>
      <c r="O4206" t="s">
        <v>188</v>
      </c>
      <c r="P4206" s="1" t="s">
        <v>34</v>
      </c>
      <c r="Q4206">
        <v>117.3</v>
      </c>
    </row>
    <row r="4207" spans="11:17" x14ac:dyDescent="0.3">
      <c r="K4207">
        <v>2017</v>
      </c>
      <c r="L4207" t="s">
        <v>35</v>
      </c>
      <c r="M4207" t="s">
        <v>105</v>
      </c>
      <c r="N4207" t="s">
        <v>11</v>
      </c>
      <c r="O4207" t="s">
        <v>188</v>
      </c>
      <c r="P4207" s="1" t="s">
        <v>33</v>
      </c>
      <c r="Q4207">
        <v>119.5</v>
      </c>
    </row>
    <row r="4208" spans="11:17" x14ac:dyDescent="0.3">
      <c r="K4208">
        <v>2017</v>
      </c>
      <c r="L4208" t="s">
        <v>35</v>
      </c>
      <c r="M4208" t="s">
        <v>105</v>
      </c>
      <c r="N4208" t="s">
        <v>24</v>
      </c>
      <c r="O4208" t="s">
        <v>191</v>
      </c>
      <c r="P4208" s="1" t="s">
        <v>30</v>
      </c>
      <c r="Q4208">
        <v>119.5</v>
      </c>
    </row>
    <row r="4209" spans="11:17" x14ac:dyDescent="0.3">
      <c r="K4209">
        <v>2017</v>
      </c>
      <c r="L4209" t="s">
        <v>35</v>
      </c>
      <c r="M4209" t="s">
        <v>105</v>
      </c>
      <c r="N4209" t="s">
        <v>24</v>
      </c>
      <c r="O4209" t="s">
        <v>191</v>
      </c>
      <c r="P4209" s="1" t="s">
        <v>34</v>
      </c>
      <c r="Q4209">
        <v>117.4</v>
      </c>
    </row>
    <row r="4210" spans="11:17" x14ac:dyDescent="0.3">
      <c r="K4210">
        <v>2017</v>
      </c>
      <c r="L4210" t="s">
        <v>35</v>
      </c>
      <c r="M4210" t="s">
        <v>105</v>
      </c>
      <c r="N4210" t="s">
        <v>24</v>
      </c>
      <c r="O4210" t="s">
        <v>191</v>
      </c>
      <c r="P4210" s="1" t="s">
        <v>33</v>
      </c>
      <c r="Q4210">
        <v>115.5</v>
      </c>
    </row>
    <row r="4211" spans="11:17" x14ac:dyDescent="0.3">
      <c r="K4211">
        <v>2017</v>
      </c>
      <c r="L4211" t="s">
        <v>35</v>
      </c>
      <c r="M4211" t="s">
        <v>105</v>
      </c>
      <c r="N4211" t="s">
        <v>9</v>
      </c>
      <c r="O4211" t="s">
        <v>188</v>
      </c>
      <c r="P4211" s="1" t="s">
        <v>30</v>
      </c>
      <c r="Q4211">
        <v>119.1</v>
      </c>
    </row>
    <row r="4212" spans="11:17" x14ac:dyDescent="0.3">
      <c r="K4212">
        <v>2017</v>
      </c>
      <c r="L4212" t="s">
        <v>35</v>
      </c>
      <c r="M4212" t="s">
        <v>105</v>
      </c>
      <c r="N4212" t="s">
        <v>9</v>
      </c>
      <c r="O4212" t="s">
        <v>188</v>
      </c>
      <c r="P4212" s="1" t="s">
        <v>34</v>
      </c>
      <c r="Q4212">
        <v>119.5</v>
      </c>
    </row>
    <row r="4213" spans="11:17" x14ac:dyDescent="0.3">
      <c r="K4213">
        <v>2017</v>
      </c>
      <c r="L4213" t="s">
        <v>35</v>
      </c>
      <c r="M4213" t="s">
        <v>105</v>
      </c>
      <c r="N4213" t="s">
        <v>9</v>
      </c>
      <c r="O4213" t="s">
        <v>188</v>
      </c>
      <c r="P4213" s="1" t="s">
        <v>33</v>
      </c>
      <c r="Q4213">
        <v>120.2</v>
      </c>
    </row>
    <row r="4214" spans="11:17" x14ac:dyDescent="0.3">
      <c r="K4214">
        <v>2017</v>
      </c>
      <c r="L4214" t="s">
        <v>31</v>
      </c>
      <c r="M4214" t="s">
        <v>106</v>
      </c>
      <c r="N4214" t="s">
        <v>3</v>
      </c>
      <c r="O4214" t="s">
        <v>188</v>
      </c>
      <c r="P4214" s="1" t="s">
        <v>30</v>
      </c>
      <c r="Q4214">
        <v>133.1</v>
      </c>
    </row>
    <row r="4215" spans="11:17" x14ac:dyDescent="0.3">
      <c r="K4215">
        <v>2017</v>
      </c>
      <c r="L4215" t="s">
        <v>31</v>
      </c>
      <c r="M4215" t="s">
        <v>106</v>
      </c>
      <c r="N4215" t="s">
        <v>3</v>
      </c>
      <c r="O4215" t="s">
        <v>188</v>
      </c>
      <c r="P4215" s="1" t="s">
        <v>34</v>
      </c>
      <c r="Q4215">
        <v>132.80000000000001</v>
      </c>
    </row>
    <row r="4216" spans="11:17" x14ac:dyDescent="0.3">
      <c r="K4216">
        <v>2017</v>
      </c>
      <c r="L4216" t="s">
        <v>31</v>
      </c>
      <c r="M4216" t="s">
        <v>106</v>
      </c>
      <c r="N4216" t="s">
        <v>3</v>
      </c>
      <c r="O4216" t="s">
        <v>188</v>
      </c>
      <c r="P4216" s="1" t="s">
        <v>33</v>
      </c>
      <c r="Q4216">
        <v>132.19999999999999</v>
      </c>
    </row>
    <row r="4217" spans="11:17" x14ac:dyDescent="0.3">
      <c r="K4217">
        <v>2017</v>
      </c>
      <c r="L4217" t="s">
        <v>31</v>
      </c>
      <c r="M4217" t="s">
        <v>106</v>
      </c>
      <c r="N4217" t="s">
        <v>17</v>
      </c>
      <c r="O4217" t="s">
        <v>189</v>
      </c>
      <c r="P4217" s="1" t="s">
        <v>30</v>
      </c>
      <c r="Q4217">
        <v>140.69999999999999</v>
      </c>
    </row>
    <row r="4218" spans="11:17" x14ac:dyDescent="0.3">
      <c r="K4218">
        <v>2017</v>
      </c>
      <c r="L4218" t="s">
        <v>31</v>
      </c>
      <c r="M4218" t="s">
        <v>106</v>
      </c>
      <c r="N4218" t="s">
        <v>17</v>
      </c>
      <c r="O4218" t="s">
        <v>189</v>
      </c>
      <c r="P4218" s="1" t="s">
        <v>34</v>
      </c>
      <c r="Q4218">
        <v>136.6</v>
      </c>
    </row>
    <row r="4219" spans="11:17" x14ac:dyDescent="0.3">
      <c r="K4219">
        <v>2017</v>
      </c>
      <c r="L4219" t="s">
        <v>31</v>
      </c>
      <c r="M4219" t="s">
        <v>106</v>
      </c>
      <c r="N4219" t="s">
        <v>17</v>
      </c>
      <c r="O4219" t="s">
        <v>189</v>
      </c>
      <c r="P4219" s="1" t="s">
        <v>33</v>
      </c>
      <c r="Q4219">
        <v>130.19999999999999</v>
      </c>
    </row>
    <row r="4220" spans="11:17" x14ac:dyDescent="0.3">
      <c r="K4220">
        <v>2017</v>
      </c>
      <c r="L4220" t="s">
        <v>31</v>
      </c>
      <c r="M4220" t="s">
        <v>106</v>
      </c>
      <c r="N4220" t="s">
        <v>19</v>
      </c>
      <c r="O4220" t="s">
        <v>189</v>
      </c>
      <c r="P4220" s="1" t="s">
        <v>30</v>
      </c>
      <c r="Q4220">
        <v>140</v>
      </c>
    </row>
    <row r="4221" spans="11:17" x14ac:dyDescent="0.3">
      <c r="K4221">
        <v>2017</v>
      </c>
      <c r="L4221" t="s">
        <v>31</v>
      </c>
      <c r="M4221" t="s">
        <v>106</v>
      </c>
      <c r="N4221" t="s">
        <v>19</v>
      </c>
      <c r="O4221" t="s">
        <v>189</v>
      </c>
      <c r="P4221" s="1" t="s">
        <v>34</v>
      </c>
      <c r="Q4221">
        <v>135.6</v>
      </c>
    </row>
    <row r="4222" spans="11:17" x14ac:dyDescent="0.3">
      <c r="K4222">
        <v>2017</v>
      </c>
      <c r="L4222" t="s">
        <v>31</v>
      </c>
      <c r="M4222" t="s">
        <v>106</v>
      </c>
      <c r="N4222" t="s">
        <v>19</v>
      </c>
      <c r="O4222" t="s">
        <v>189</v>
      </c>
      <c r="P4222" s="1" t="s">
        <v>33</v>
      </c>
      <c r="Q4222">
        <v>129</v>
      </c>
    </row>
    <row r="4223" spans="11:17" x14ac:dyDescent="0.3">
      <c r="K4223">
        <v>2017</v>
      </c>
      <c r="L4223" t="s">
        <v>31</v>
      </c>
      <c r="M4223" t="s">
        <v>106</v>
      </c>
      <c r="N4223" t="s">
        <v>26</v>
      </c>
      <c r="O4223" t="s">
        <v>26</v>
      </c>
      <c r="P4223" s="1" t="s">
        <v>30</v>
      </c>
      <c r="Q4223">
        <v>134.6</v>
      </c>
    </row>
    <row r="4224" spans="11:17" x14ac:dyDescent="0.3">
      <c r="K4224">
        <v>2017</v>
      </c>
      <c r="L4224" t="s">
        <v>31</v>
      </c>
      <c r="M4224" t="s">
        <v>106</v>
      </c>
      <c r="N4224" t="s">
        <v>26</v>
      </c>
      <c r="O4224" t="s">
        <v>26</v>
      </c>
      <c r="P4224" s="1" t="s">
        <v>34</v>
      </c>
      <c r="Q4224">
        <v>133.30000000000001</v>
      </c>
    </row>
    <row r="4225" spans="11:17" x14ac:dyDescent="0.3">
      <c r="K4225">
        <v>2017</v>
      </c>
      <c r="L4225" t="s">
        <v>31</v>
      </c>
      <c r="M4225" t="s">
        <v>106</v>
      </c>
      <c r="N4225" t="s">
        <v>26</v>
      </c>
      <c r="O4225" t="s">
        <v>26</v>
      </c>
      <c r="P4225" s="1" t="s">
        <v>33</v>
      </c>
      <c r="Q4225">
        <v>132.4</v>
      </c>
    </row>
    <row r="4226" spans="11:17" x14ac:dyDescent="0.3">
      <c r="K4226">
        <v>2017</v>
      </c>
      <c r="L4226" t="s">
        <v>31</v>
      </c>
      <c r="M4226" t="s">
        <v>106</v>
      </c>
      <c r="N4226" t="s">
        <v>5</v>
      </c>
      <c r="O4226" t="s">
        <v>188</v>
      </c>
      <c r="P4226" s="1" t="s">
        <v>30</v>
      </c>
      <c r="Q4226">
        <v>131.9</v>
      </c>
    </row>
    <row r="4227" spans="11:17" x14ac:dyDescent="0.3">
      <c r="K4227">
        <v>2017</v>
      </c>
      <c r="L4227" t="s">
        <v>31</v>
      </c>
      <c r="M4227" t="s">
        <v>106</v>
      </c>
      <c r="N4227" t="s">
        <v>5</v>
      </c>
      <c r="O4227" t="s">
        <v>188</v>
      </c>
      <c r="P4227" s="1" t="s">
        <v>34</v>
      </c>
      <c r="Q4227">
        <v>132.19999999999999</v>
      </c>
    </row>
    <row r="4228" spans="11:17" x14ac:dyDescent="0.3">
      <c r="K4228">
        <v>2017</v>
      </c>
      <c r="L4228" t="s">
        <v>31</v>
      </c>
      <c r="M4228" t="s">
        <v>106</v>
      </c>
      <c r="N4228" t="s">
        <v>5</v>
      </c>
      <c r="O4228" t="s">
        <v>188</v>
      </c>
      <c r="P4228" s="1" t="s">
        <v>33</v>
      </c>
      <c r="Q4228">
        <v>132.6</v>
      </c>
    </row>
    <row r="4229" spans="11:17" x14ac:dyDescent="0.3">
      <c r="K4229">
        <v>2017</v>
      </c>
      <c r="L4229" t="s">
        <v>31</v>
      </c>
      <c r="M4229" t="s">
        <v>106</v>
      </c>
      <c r="N4229" t="s">
        <v>15</v>
      </c>
      <c r="O4229" t="s">
        <v>188</v>
      </c>
      <c r="P4229" s="1" t="s">
        <v>30</v>
      </c>
      <c r="Q4229">
        <v>133.69999999999999</v>
      </c>
    </row>
    <row r="4230" spans="11:17" x14ac:dyDescent="0.3">
      <c r="K4230">
        <v>2017</v>
      </c>
      <c r="L4230" t="s">
        <v>31</v>
      </c>
      <c r="M4230" t="s">
        <v>106</v>
      </c>
      <c r="N4230" t="s">
        <v>15</v>
      </c>
      <c r="O4230" t="s">
        <v>188</v>
      </c>
      <c r="P4230" s="1" t="s">
        <v>34</v>
      </c>
      <c r="Q4230">
        <v>133.1</v>
      </c>
    </row>
    <row r="4231" spans="11:17" x14ac:dyDescent="0.3">
      <c r="K4231">
        <v>2017</v>
      </c>
      <c r="L4231" t="s">
        <v>31</v>
      </c>
      <c r="M4231" t="s">
        <v>106</v>
      </c>
      <c r="N4231" t="s">
        <v>15</v>
      </c>
      <c r="O4231" t="s">
        <v>188</v>
      </c>
      <c r="P4231" s="1" t="s">
        <v>33</v>
      </c>
      <c r="Q4231">
        <v>132</v>
      </c>
    </row>
    <row r="4232" spans="11:17" x14ac:dyDescent="0.3">
      <c r="K4232">
        <v>2017</v>
      </c>
      <c r="L4232" t="s">
        <v>31</v>
      </c>
      <c r="M4232" t="s">
        <v>106</v>
      </c>
      <c r="N4232" t="s">
        <v>18</v>
      </c>
      <c r="O4232" t="s">
        <v>189</v>
      </c>
      <c r="P4232" s="1" t="s">
        <v>30</v>
      </c>
      <c r="Q4232">
        <v>135.80000000000001</v>
      </c>
    </row>
    <row r="4233" spans="11:17" x14ac:dyDescent="0.3">
      <c r="K4233">
        <v>2017</v>
      </c>
      <c r="L4233" t="s">
        <v>31</v>
      </c>
      <c r="M4233" t="s">
        <v>106</v>
      </c>
      <c r="N4233" t="s">
        <v>18</v>
      </c>
      <c r="O4233" t="s">
        <v>189</v>
      </c>
      <c r="P4233" s="1" t="s">
        <v>34</v>
      </c>
      <c r="Q4233">
        <v>130.19999999999999</v>
      </c>
    </row>
    <row r="4234" spans="11:17" x14ac:dyDescent="0.3">
      <c r="K4234">
        <v>2017</v>
      </c>
      <c r="L4234" t="s">
        <v>31</v>
      </c>
      <c r="M4234" t="s">
        <v>106</v>
      </c>
      <c r="N4234" t="s">
        <v>18</v>
      </c>
      <c r="O4234" t="s">
        <v>189</v>
      </c>
      <c r="P4234" s="1" t="s">
        <v>33</v>
      </c>
      <c r="Q4234">
        <v>122.3</v>
      </c>
    </row>
    <row r="4235" spans="11:17" x14ac:dyDescent="0.3">
      <c r="K4235">
        <v>2017</v>
      </c>
      <c r="L4235" t="s">
        <v>31</v>
      </c>
      <c r="M4235" t="s">
        <v>106</v>
      </c>
      <c r="N4235" t="s">
        <v>8</v>
      </c>
      <c r="O4235" t="s">
        <v>188</v>
      </c>
      <c r="P4235" s="1" t="s">
        <v>30</v>
      </c>
      <c r="Q4235">
        <v>136</v>
      </c>
    </row>
    <row r="4236" spans="11:17" x14ac:dyDescent="0.3">
      <c r="K4236">
        <v>2017</v>
      </c>
      <c r="L4236" t="s">
        <v>31</v>
      </c>
      <c r="M4236" t="s">
        <v>106</v>
      </c>
      <c r="N4236" t="s">
        <v>8</v>
      </c>
      <c r="O4236" t="s">
        <v>188</v>
      </c>
      <c r="P4236" s="1" t="s">
        <v>34</v>
      </c>
      <c r="Q4236">
        <v>133</v>
      </c>
    </row>
    <row r="4237" spans="11:17" x14ac:dyDescent="0.3">
      <c r="K4237">
        <v>2017</v>
      </c>
      <c r="L4237" t="s">
        <v>31</v>
      </c>
      <c r="M4237" t="s">
        <v>106</v>
      </c>
      <c r="N4237" t="s">
        <v>8</v>
      </c>
      <c r="O4237" t="s">
        <v>188</v>
      </c>
      <c r="P4237" s="1" t="s">
        <v>33</v>
      </c>
      <c r="Q4237">
        <v>129.6</v>
      </c>
    </row>
    <row r="4238" spans="11:17" x14ac:dyDescent="0.3">
      <c r="K4238">
        <v>2017</v>
      </c>
      <c r="L4238" t="s">
        <v>31</v>
      </c>
      <c r="M4238" t="s">
        <v>106</v>
      </c>
      <c r="N4238" t="s">
        <v>21</v>
      </c>
      <c r="O4238" t="s">
        <v>190</v>
      </c>
      <c r="P4238" s="1" t="s">
        <v>30</v>
      </c>
      <c r="Q4238">
        <v>132.1</v>
      </c>
    </row>
    <row r="4239" spans="11:17" x14ac:dyDescent="0.3">
      <c r="K4239">
        <v>2017</v>
      </c>
      <c r="L4239" t="s">
        <v>31</v>
      </c>
      <c r="M4239" t="s">
        <v>106</v>
      </c>
      <c r="N4239" t="s">
        <v>21</v>
      </c>
      <c r="O4239" t="s">
        <v>190</v>
      </c>
      <c r="P4239" s="1" t="s">
        <v>34</v>
      </c>
      <c r="Q4239">
        <v>126.8</v>
      </c>
    </row>
    <row r="4240" spans="11:17" x14ac:dyDescent="0.3">
      <c r="K4240">
        <v>2017</v>
      </c>
      <c r="L4240" t="s">
        <v>31</v>
      </c>
      <c r="M4240" t="s">
        <v>106</v>
      </c>
      <c r="N4240" t="s">
        <v>21</v>
      </c>
      <c r="O4240" t="s">
        <v>190</v>
      </c>
      <c r="P4240" s="1" t="s">
        <v>33</v>
      </c>
      <c r="Q4240">
        <v>118</v>
      </c>
    </row>
    <row r="4241" spans="11:17" x14ac:dyDescent="0.3">
      <c r="K4241">
        <v>2017</v>
      </c>
      <c r="L4241" t="s">
        <v>31</v>
      </c>
      <c r="M4241" t="s">
        <v>106</v>
      </c>
      <c r="N4241" t="s">
        <v>29</v>
      </c>
      <c r="O4241" t="s">
        <v>206</v>
      </c>
      <c r="P4241" s="1" t="s">
        <v>30</v>
      </c>
      <c r="Q4241">
        <v>132.4</v>
      </c>
    </row>
    <row r="4242" spans="11:17" x14ac:dyDescent="0.3">
      <c r="K4242">
        <v>2017</v>
      </c>
      <c r="L4242" t="s">
        <v>31</v>
      </c>
      <c r="M4242" t="s">
        <v>106</v>
      </c>
      <c r="N4242" t="s">
        <v>29</v>
      </c>
      <c r="O4242" t="s">
        <v>206</v>
      </c>
      <c r="P4242" s="1" t="s">
        <v>34</v>
      </c>
      <c r="Q4242">
        <v>130.30000000000001</v>
      </c>
    </row>
    <row r="4243" spans="11:17" x14ac:dyDescent="0.3">
      <c r="K4243">
        <v>2017</v>
      </c>
      <c r="L4243" t="s">
        <v>31</v>
      </c>
      <c r="M4243" t="s">
        <v>106</v>
      </c>
      <c r="N4243" t="s">
        <v>29</v>
      </c>
      <c r="O4243" t="s">
        <v>206</v>
      </c>
      <c r="P4243" s="1" t="s">
        <v>33</v>
      </c>
      <c r="Q4243">
        <v>127.8</v>
      </c>
    </row>
    <row r="4244" spans="11:17" x14ac:dyDescent="0.3">
      <c r="K4244">
        <v>2017</v>
      </c>
      <c r="L4244" t="s">
        <v>31</v>
      </c>
      <c r="M4244" t="s">
        <v>106</v>
      </c>
      <c r="N4244" t="s">
        <v>23</v>
      </c>
      <c r="O4244" t="s">
        <v>23</v>
      </c>
      <c r="P4244" s="1" t="s">
        <v>30</v>
      </c>
      <c r="Q4244">
        <v>129.9</v>
      </c>
    </row>
    <row r="4245" spans="11:17" x14ac:dyDescent="0.3">
      <c r="K4245">
        <v>2017</v>
      </c>
      <c r="L4245" t="s">
        <v>31</v>
      </c>
      <c r="M4245" t="s">
        <v>106</v>
      </c>
      <c r="N4245" t="s">
        <v>23</v>
      </c>
      <c r="O4245" t="s">
        <v>23</v>
      </c>
      <c r="P4245" s="1" t="s">
        <v>34</v>
      </c>
      <c r="Q4245">
        <v>127.1</v>
      </c>
    </row>
    <row r="4246" spans="11:17" x14ac:dyDescent="0.3">
      <c r="K4246">
        <v>2017</v>
      </c>
      <c r="L4246" t="s">
        <v>31</v>
      </c>
      <c r="M4246" t="s">
        <v>106</v>
      </c>
      <c r="N4246" t="s">
        <v>23</v>
      </c>
      <c r="O4246" t="s">
        <v>23</v>
      </c>
      <c r="P4246" s="1" t="s">
        <v>33</v>
      </c>
      <c r="Q4246">
        <v>122.6</v>
      </c>
    </row>
    <row r="4247" spans="11:17" x14ac:dyDescent="0.3">
      <c r="K4247">
        <v>2017</v>
      </c>
      <c r="L4247" t="s">
        <v>31</v>
      </c>
      <c r="M4247" t="s">
        <v>106</v>
      </c>
      <c r="N4247" t="s">
        <v>22</v>
      </c>
      <c r="O4247" t="s">
        <v>20</v>
      </c>
      <c r="P4247" s="1" t="s">
        <v>30</v>
      </c>
      <c r="Q4247">
        <v>133.19999999999999</v>
      </c>
    </row>
    <row r="4248" spans="11:17" x14ac:dyDescent="0.3">
      <c r="K4248">
        <v>2017</v>
      </c>
      <c r="L4248" t="s">
        <v>31</v>
      </c>
      <c r="M4248" t="s">
        <v>106</v>
      </c>
      <c r="N4248" t="s">
        <v>22</v>
      </c>
      <c r="O4248" t="s">
        <v>20</v>
      </c>
      <c r="P4248" s="1" t="s">
        <v>34</v>
      </c>
      <c r="Q4248">
        <v>129.4</v>
      </c>
    </row>
    <row r="4249" spans="11:17" x14ac:dyDescent="0.3">
      <c r="K4249">
        <v>2017</v>
      </c>
      <c r="L4249" t="s">
        <v>31</v>
      </c>
      <c r="M4249" t="s">
        <v>106</v>
      </c>
      <c r="N4249" t="s">
        <v>22</v>
      </c>
      <c r="O4249" t="s">
        <v>20</v>
      </c>
      <c r="P4249" s="1" t="s">
        <v>33</v>
      </c>
      <c r="Q4249">
        <v>125.1</v>
      </c>
    </row>
    <row r="4250" spans="11:17" x14ac:dyDescent="0.3">
      <c r="K4250">
        <v>2017</v>
      </c>
      <c r="L4250" t="s">
        <v>31</v>
      </c>
      <c r="M4250" t="s">
        <v>106</v>
      </c>
      <c r="N4250" t="s">
        <v>20</v>
      </c>
      <c r="O4250" t="s">
        <v>20</v>
      </c>
      <c r="P4250" s="1" t="s">
        <v>30</v>
      </c>
      <c r="Q4250">
        <v>0</v>
      </c>
    </row>
    <row r="4251" spans="11:17" x14ac:dyDescent="0.3">
      <c r="K4251">
        <v>2017</v>
      </c>
      <c r="L4251" t="s">
        <v>31</v>
      </c>
      <c r="M4251" t="s">
        <v>106</v>
      </c>
      <c r="N4251" t="s">
        <v>20</v>
      </c>
      <c r="O4251" t="s">
        <v>20</v>
      </c>
      <c r="P4251" s="1" t="s">
        <v>34</v>
      </c>
      <c r="Q4251">
        <v>129.6</v>
      </c>
    </row>
    <row r="4252" spans="11:17" x14ac:dyDescent="0.3">
      <c r="K4252">
        <v>2017</v>
      </c>
      <c r="L4252" t="s">
        <v>31</v>
      </c>
      <c r="M4252" t="s">
        <v>106</v>
      </c>
      <c r="N4252" t="s">
        <v>20</v>
      </c>
      <c r="O4252" t="s">
        <v>20</v>
      </c>
      <c r="P4252" s="1" t="s">
        <v>33</v>
      </c>
      <c r="Q4252">
        <v>129.6</v>
      </c>
    </row>
    <row r="4253" spans="11:17" x14ac:dyDescent="0.3">
      <c r="K4253">
        <v>2017</v>
      </c>
      <c r="L4253" t="s">
        <v>31</v>
      </c>
      <c r="M4253" t="s">
        <v>106</v>
      </c>
      <c r="N4253" t="s">
        <v>4</v>
      </c>
      <c r="O4253" t="s">
        <v>188</v>
      </c>
      <c r="P4253" s="1" t="s">
        <v>30</v>
      </c>
      <c r="Q4253">
        <v>137.80000000000001</v>
      </c>
    </row>
    <row r="4254" spans="11:17" x14ac:dyDescent="0.3">
      <c r="K4254">
        <v>2017</v>
      </c>
      <c r="L4254" t="s">
        <v>31</v>
      </c>
      <c r="M4254" t="s">
        <v>106</v>
      </c>
      <c r="N4254" t="s">
        <v>4</v>
      </c>
      <c r="O4254" t="s">
        <v>188</v>
      </c>
      <c r="P4254" s="1" t="s">
        <v>34</v>
      </c>
      <c r="Q4254">
        <v>138.19999999999999</v>
      </c>
    </row>
    <row r="4255" spans="11:17" x14ac:dyDescent="0.3">
      <c r="K4255">
        <v>2017</v>
      </c>
      <c r="L4255" t="s">
        <v>31</v>
      </c>
      <c r="M4255" t="s">
        <v>106</v>
      </c>
      <c r="N4255" t="s">
        <v>4</v>
      </c>
      <c r="O4255" t="s">
        <v>188</v>
      </c>
      <c r="P4255" s="1" t="s">
        <v>33</v>
      </c>
      <c r="Q4255">
        <v>138.9</v>
      </c>
    </row>
    <row r="4256" spans="11:17" x14ac:dyDescent="0.3">
      <c r="K4256">
        <v>2017</v>
      </c>
      <c r="L4256" t="s">
        <v>31</v>
      </c>
      <c r="M4256" t="s">
        <v>106</v>
      </c>
      <c r="N4256" t="s">
        <v>6</v>
      </c>
      <c r="O4256" t="s">
        <v>188</v>
      </c>
      <c r="P4256" s="1" t="s">
        <v>30</v>
      </c>
      <c r="Q4256">
        <v>136.69999999999999</v>
      </c>
    </row>
    <row r="4257" spans="11:17" x14ac:dyDescent="0.3">
      <c r="K4257">
        <v>2017</v>
      </c>
      <c r="L4257" t="s">
        <v>31</v>
      </c>
      <c r="M4257" t="s">
        <v>106</v>
      </c>
      <c r="N4257" t="s">
        <v>6</v>
      </c>
      <c r="O4257" t="s">
        <v>188</v>
      </c>
      <c r="P4257" s="1" t="s">
        <v>34</v>
      </c>
      <c r="Q4257">
        <v>135.4</v>
      </c>
    </row>
    <row r="4258" spans="11:17" x14ac:dyDescent="0.3">
      <c r="K4258">
        <v>2017</v>
      </c>
      <c r="L4258" t="s">
        <v>31</v>
      </c>
      <c r="M4258" t="s">
        <v>106</v>
      </c>
      <c r="N4258" t="s">
        <v>6</v>
      </c>
      <c r="O4258" t="s">
        <v>188</v>
      </c>
      <c r="P4258" s="1" t="s">
        <v>33</v>
      </c>
      <c r="Q4258">
        <v>133.1</v>
      </c>
    </row>
    <row r="4259" spans="11:17" x14ac:dyDescent="0.3">
      <c r="K4259">
        <v>2017</v>
      </c>
      <c r="L4259" t="s">
        <v>31</v>
      </c>
      <c r="M4259" t="s">
        <v>106</v>
      </c>
      <c r="N4259" t="s">
        <v>28</v>
      </c>
      <c r="O4259" t="s">
        <v>192</v>
      </c>
      <c r="P4259" s="1" t="s">
        <v>30</v>
      </c>
      <c r="Q4259">
        <v>126.6</v>
      </c>
    </row>
    <row r="4260" spans="11:17" x14ac:dyDescent="0.3">
      <c r="K4260">
        <v>2017</v>
      </c>
      <c r="L4260" t="s">
        <v>31</v>
      </c>
      <c r="M4260" t="s">
        <v>106</v>
      </c>
      <c r="N4260" t="s">
        <v>28</v>
      </c>
      <c r="O4260" t="s">
        <v>192</v>
      </c>
      <c r="P4260" s="1" t="s">
        <v>34</v>
      </c>
      <c r="Q4260">
        <v>124.4</v>
      </c>
    </row>
    <row r="4261" spans="11:17" x14ac:dyDescent="0.3">
      <c r="K4261">
        <v>2017</v>
      </c>
      <c r="L4261" t="s">
        <v>31</v>
      </c>
      <c r="M4261" t="s">
        <v>106</v>
      </c>
      <c r="N4261" t="s">
        <v>28</v>
      </c>
      <c r="O4261" t="s">
        <v>192</v>
      </c>
      <c r="P4261" s="1" t="s">
        <v>33</v>
      </c>
      <c r="Q4261">
        <v>122.1</v>
      </c>
    </row>
    <row r="4262" spans="11:17" x14ac:dyDescent="0.3">
      <c r="K4262">
        <v>2017</v>
      </c>
      <c r="L4262" t="s">
        <v>31</v>
      </c>
      <c r="M4262" t="s">
        <v>106</v>
      </c>
      <c r="N4262" t="s">
        <v>13</v>
      </c>
      <c r="O4262" t="s">
        <v>188</v>
      </c>
      <c r="P4262" s="1" t="s">
        <v>30</v>
      </c>
      <c r="Q4262">
        <v>129</v>
      </c>
    </row>
    <row r="4263" spans="11:17" x14ac:dyDescent="0.3">
      <c r="K4263">
        <v>2017</v>
      </c>
      <c r="L4263" t="s">
        <v>31</v>
      </c>
      <c r="M4263" t="s">
        <v>106</v>
      </c>
      <c r="N4263" t="s">
        <v>13</v>
      </c>
      <c r="O4263" t="s">
        <v>188</v>
      </c>
      <c r="P4263" s="1" t="s">
        <v>34</v>
      </c>
      <c r="Q4263">
        <v>126.6</v>
      </c>
    </row>
    <row r="4264" spans="11:17" x14ac:dyDescent="0.3">
      <c r="K4264">
        <v>2017</v>
      </c>
      <c r="L4264" t="s">
        <v>31</v>
      </c>
      <c r="M4264" t="s">
        <v>106</v>
      </c>
      <c r="N4264" t="s">
        <v>13</v>
      </c>
      <c r="O4264" t="s">
        <v>188</v>
      </c>
      <c r="P4264" s="1" t="s">
        <v>33</v>
      </c>
      <c r="Q4264">
        <v>123.2</v>
      </c>
    </row>
    <row r="4265" spans="11:17" x14ac:dyDescent="0.3">
      <c r="K4265">
        <v>2017</v>
      </c>
      <c r="L4265" t="s">
        <v>31</v>
      </c>
      <c r="M4265" t="s">
        <v>106</v>
      </c>
      <c r="N4265" t="s">
        <v>7</v>
      </c>
      <c r="O4265" t="s">
        <v>188</v>
      </c>
      <c r="P4265" s="1" t="s">
        <v>30</v>
      </c>
      <c r="Q4265">
        <v>122</v>
      </c>
    </row>
    <row r="4266" spans="11:17" x14ac:dyDescent="0.3">
      <c r="K4266">
        <v>2017</v>
      </c>
      <c r="L4266" t="s">
        <v>31</v>
      </c>
      <c r="M4266" t="s">
        <v>106</v>
      </c>
      <c r="N4266" t="s">
        <v>7</v>
      </c>
      <c r="O4266" t="s">
        <v>188</v>
      </c>
      <c r="P4266" s="1" t="s">
        <v>34</v>
      </c>
      <c r="Q4266">
        <v>119.1</v>
      </c>
    </row>
    <row r="4267" spans="11:17" x14ac:dyDescent="0.3">
      <c r="K4267">
        <v>2017</v>
      </c>
      <c r="L4267" t="s">
        <v>31</v>
      </c>
      <c r="M4267" t="s">
        <v>106</v>
      </c>
      <c r="N4267" t="s">
        <v>7</v>
      </c>
      <c r="O4267" t="s">
        <v>188</v>
      </c>
      <c r="P4267" s="1" t="s">
        <v>33</v>
      </c>
      <c r="Q4267">
        <v>114</v>
      </c>
    </row>
    <row r="4268" spans="11:17" x14ac:dyDescent="0.3">
      <c r="K4268">
        <v>2017</v>
      </c>
      <c r="L4268" t="s">
        <v>31</v>
      </c>
      <c r="M4268" t="s">
        <v>106</v>
      </c>
      <c r="N4268" t="s">
        <v>16</v>
      </c>
      <c r="O4268" t="s">
        <v>192</v>
      </c>
      <c r="P4268" s="1" t="s">
        <v>30</v>
      </c>
      <c r="Q4268">
        <v>143.1</v>
      </c>
    </row>
    <row r="4269" spans="11:17" x14ac:dyDescent="0.3">
      <c r="K4269">
        <v>2017</v>
      </c>
      <c r="L4269" t="s">
        <v>31</v>
      </c>
      <c r="M4269" t="s">
        <v>106</v>
      </c>
      <c r="N4269" t="s">
        <v>16</v>
      </c>
      <c r="O4269" t="s">
        <v>192</v>
      </c>
      <c r="P4269" s="1" t="s">
        <v>34</v>
      </c>
      <c r="Q4269">
        <v>143.80000000000001</v>
      </c>
    </row>
    <row r="4270" spans="11:17" x14ac:dyDescent="0.3">
      <c r="K4270">
        <v>2017</v>
      </c>
      <c r="L4270" t="s">
        <v>31</v>
      </c>
      <c r="M4270" t="s">
        <v>106</v>
      </c>
      <c r="N4270" t="s">
        <v>16</v>
      </c>
      <c r="O4270" t="s">
        <v>192</v>
      </c>
      <c r="P4270" s="1" t="s">
        <v>33</v>
      </c>
      <c r="Q4270">
        <v>145.6</v>
      </c>
    </row>
    <row r="4271" spans="11:17" x14ac:dyDescent="0.3">
      <c r="K4271">
        <v>2017</v>
      </c>
      <c r="L4271" t="s">
        <v>31</v>
      </c>
      <c r="M4271" t="s">
        <v>106</v>
      </c>
      <c r="N4271" t="s">
        <v>27</v>
      </c>
      <c r="O4271" t="s">
        <v>192</v>
      </c>
      <c r="P4271" s="1" t="s">
        <v>30</v>
      </c>
      <c r="Q4271">
        <v>122.3</v>
      </c>
    </row>
    <row r="4272" spans="11:17" x14ac:dyDescent="0.3">
      <c r="K4272">
        <v>2017</v>
      </c>
      <c r="L4272" t="s">
        <v>31</v>
      </c>
      <c r="M4272" t="s">
        <v>106</v>
      </c>
      <c r="N4272" t="s">
        <v>27</v>
      </c>
      <c r="O4272" t="s">
        <v>192</v>
      </c>
      <c r="P4272" s="1" t="s">
        <v>34</v>
      </c>
      <c r="Q4272">
        <v>121.7</v>
      </c>
    </row>
    <row r="4273" spans="11:17" x14ac:dyDescent="0.3">
      <c r="K4273">
        <v>2017</v>
      </c>
      <c r="L4273" t="s">
        <v>31</v>
      </c>
      <c r="M4273" t="s">
        <v>106</v>
      </c>
      <c r="N4273" t="s">
        <v>27</v>
      </c>
      <c r="O4273" t="s">
        <v>192</v>
      </c>
      <c r="P4273" s="1" t="s">
        <v>33</v>
      </c>
      <c r="Q4273">
        <v>120.9</v>
      </c>
    </row>
    <row r="4274" spans="11:17" x14ac:dyDescent="0.3">
      <c r="K4274">
        <v>2017</v>
      </c>
      <c r="L4274" t="s">
        <v>31</v>
      </c>
      <c r="M4274" t="s">
        <v>106</v>
      </c>
      <c r="N4274" t="s">
        <v>14</v>
      </c>
      <c r="O4274" t="s">
        <v>188</v>
      </c>
      <c r="P4274" s="1" t="s">
        <v>30</v>
      </c>
      <c r="Q4274">
        <v>143.9</v>
      </c>
    </row>
    <row r="4275" spans="11:17" x14ac:dyDescent="0.3">
      <c r="K4275">
        <v>2017</v>
      </c>
      <c r="L4275" t="s">
        <v>31</v>
      </c>
      <c r="M4275" t="s">
        <v>106</v>
      </c>
      <c r="N4275" t="s">
        <v>14</v>
      </c>
      <c r="O4275" t="s">
        <v>188</v>
      </c>
      <c r="P4275" s="1" t="s">
        <v>34</v>
      </c>
      <c r="Q4275">
        <v>142.80000000000001</v>
      </c>
    </row>
    <row r="4276" spans="11:17" x14ac:dyDescent="0.3">
      <c r="K4276">
        <v>2017</v>
      </c>
      <c r="L4276" t="s">
        <v>31</v>
      </c>
      <c r="M4276" t="s">
        <v>106</v>
      </c>
      <c r="N4276" t="s">
        <v>14</v>
      </c>
      <c r="O4276" t="s">
        <v>188</v>
      </c>
      <c r="P4276" s="1" t="s">
        <v>33</v>
      </c>
      <c r="Q4276">
        <v>141.6</v>
      </c>
    </row>
    <row r="4277" spans="11:17" x14ac:dyDescent="0.3">
      <c r="K4277">
        <v>2017</v>
      </c>
      <c r="L4277" t="s">
        <v>31</v>
      </c>
      <c r="M4277" t="s">
        <v>106</v>
      </c>
      <c r="N4277" t="s">
        <v>10</v>
      </c>
      <c r="O4277" t="s">
        <v>188</v>
      </c>
      <c r="P4277" s="1" t="s">
        <v>30</v>
      </c>
      <c r="Q4277">
        <v>161.69999999999999</v>
      </c>
    </row>
    <row r="4278" spans="11:17" x14ac:dyDescent="0.3">
      <c r="K4278">
        <v>2017</v>
      </c>
      <c r="L4278" t="s">
        <v>31</v>
      </c>
      <c r="M4278" t="s">
        <v>106</v>
      </c>
      <c r="N4278" t="s">
        <v>10</v>
      </c>
      <c r="O4278" t="s">
        <v>188</v>
      </c>
      <c r="P4278" s="1" t="s">
        <v>34</v>
      </c>
      <c r="Q4278">
        <v>159.5</v>
      </c>
    </row>
    <row r="4279" spans="11:17" x14ac:dyDescent="0.3">
      <c r="K4279">
        <v>2017</v>
      </c>
      <c r="L4279" t="s">
        <v>31</v>
      </c>
      <c r="M4279" t="s">
        <v>106</v>
      </c>
      <c r="N4279" t="s">
        <v>10</v>
      </c>
      <c r="O4279" t="s">
        <v>188</v>
      </c>
      <c r="P4279" s="1" t="s">
        <v>33</v>
      </c>
      <c r="Q4279">
        <v>155.1</v>
      </c>
    </row>
    <row r="4280" spans="11:17" x14ac:dyDescent="0.3">
      <c r="K4280">
        <v>2017</v>
      </c>
      <c r="L4280" t="s">
        <v>31</v>
      </c>
      <c r="M4280" t="s">
        <v>106</v>
      </c>
      <c r="N4280" t="s">
        <v>25</v>
      </c>
      <c r="O4280" t="s">
        <v>195</v>
      </c>
      <c r="P4280" s="1" t="s">
        <v>30</v>
      </c>
      <c r="Q4280">
        <v>127</v>
      </c>
    </row>
    <row r="4281" spans="11:17" x14ac:dyDescent="0.3">
      <c r="K4281">
        <v>2017</v>
      </c>
      <c r="L4281" t="s">
        <v>31</v>
      </c>
      <c r="M4281" t="s">
        <v>106</v>
      </c>
      <c r="N4281" t="s">
        <v>25</v>
      </c>
      <c r="O4281" t="s">
        <v>195</v>
      </c>
      <c r="P4281" s="1" t="s">
        <v>34</v>
      </c>
      <c r="Q4281">
        <v>124.2</v>
      </c>
    </row>
    <row r="4282" spans="11:17" x14ac:dyDescent="0.3">
      <c r="K4282">
        <v>2017</v>
      </c>
      <c r="L4282" t="s">
        <v>31</v>
      </c>
      <c r="M4282" t="s">
        <v>106</v>
      </c>
      <c r="N4282" t="s">
        <v>25</v>
      </c>
      <c r="O4282" t="s">
        <v>195</v>
      </c>
      <c r="P4282" s="1" t="s">
        <v>33</v>
      </c>
      <c r="Q4282">
        <v>122</v>
      </c>
    </row>
    <row r="4283" spans="11:17" x14ac:dyDescent="0.3">
      <c r="K4283">
        <v>2017</v>
      </c>
      <c r="L4283" t="s">
        <v>31</v>
      </c>
      <c r="M4283" t="s">
        <v>106</v>
      </c>
      <c r="N4283" t="s">
        <v>12</v>
      </c>
      <c r="O4283" t="s">
        <v>188</v>
      </c>
      <c r="P4283" s="1" t="s">
        <v>30</v>
      </c>
      <c r="Q4283">
        <v>136.9</v>
      </c>
    </row>
    <row r="4284" spans="11:17" x14ac:dyDescent="0.3">
      <c r="K4284">
        <v>2017</v>
      </c>
      <c r="L4284" t="s">
        <v>31</v>
      </c>
      <c r="M4284" t="s">
        <v>106</v>
      </c>
      <c r="N4284" t="s">
        <v>12</v>
      </c>
      <c r="O4284" t="s">
        <v>188</v>
      </c>
      <c r="P4284" s="1" t="s">
        <v>34</v>
      </c>
      <c r="Q4284">
        <v>139.6</v>
      </c>
    </row>
    <row r="4285" spans="11:17" x14ac:dyDescent="0.3">
      <c r="K4285">
        <v>2017</v>
      </c>
      <c r="L4285" t="s">
        <v>31</v>
      </c>
      <c r="M4285" t="s">
        <v>106</v>
      </c>
      <c r="N4285" t="s">
        <v>12</v>
      </c>
      <c r="O4285" t="s">
        <v>188</v>
      </c>
      <c r="P4285" s="1" t="s">
        <v>33</v>
      </c>
      <c r="Q4285">
        <v>144.9</v>
      </c>
    </row>
    <row r="4286" spans="11:17" x14ac:dyDescent="0.3">
      <c r="K4286">
        <v>2017</v>
      </c>
      <c r="L4286" t="s">
        <v>31</v>
      </c>
      <c r="M4286" t="s">
        <v>106</v>
      </c>
      <c r="N4286" t="s">
        <v>11</v>
      </c>
      <c r="O4286" t="s">
        <v>188</v>
      </c>
      <c r="P4286" s="1" t="s">
        <v>30</v>
      </c>
      <c r="Q4286">
        <v>114.8</v>
      </c>
    </row>
    <row r="4287" spans="11:17" x14ac:dyDescent="0.3">
      <c r="K4287">
        <v>2017</v>
      </c>
      <c r="L4287" t="s">
        <v>31</v>
      </c>
      <c r="M4287" t="s">
        <v>106</v>
      </c>
      <c r="N4287" t="s">
        <v>11</v>
      </c>
      <c r="O4287" t="s">
        <v>188</v>
      </c>
      <c r="P4287" s="1" t="s">
        <v>34</v>
      </c>
      <c r="Q4287">
        <v>115.6</v>
      </c>
    </row>
    <row r="4288" spans="11:17" x14ac:dyDescent="0.3">
      <c r="K4288">
        <v>2017</v>
      </c>
      <c r="L4288" t="s">
        <v>31</v>
      </c>
      <c r="M4288" t="s">
        <v>106</v>
      </c>
      <c r="N4288" t="s">
        <v>11</v>
      </c>
      <c r="O4288" t="s">
        <v>188</v>
      </c>
      <c r="P4288" s="1" t="s">
        <v>33</v>
      </c>
      <c r="Q4288">
        <v>117.3</v>
      </c>
    </row>
    <row r="4289" spans="11:17" x14ac:dyDescent="0.3">
      <c r="K4289">
        <v>2017</v>
      </c>
      <c r="L4289" t="s">
        <v>31</v>
      </c>
      <c r="M4289" t="s">
        <v>106</v>
      </c>
      <c r="N4289" t="s">
        <v>24</v>
      </c>
      <c r="O4289" t="s">
        <v>191</v>
      </c>
      <c r="P4289" s="1" t="s">
        <v>30</v>
      </c>
      <c r="Q4289">
        <v>119.1</v>
      </c>
    </row>
    <row r="4290" spans="11:17" x14ac:dyDescent="0.3">
      <c r="K4290">
        <v>2017</v>
      </c>
      <c r="L4290" t="s">
        <v>31</v>
      </c>
      <c r="M4290" t="s">
        <v>106</v>
      </c>
      <c r="N4290" t="s">
        <v>24</v>
      </c>
      <c r="O4290" t="s">
        <v>191</v>
      </c>
      <c r="P4290" s="1" t="s">
        <v>34</v>
      </c>
      <c r="Q4290">
        <v>117</v>
      </c>
    </row>
    <row r="4291" spans="11:17" x14ac:dyDescent="0.3">
      <c r="K4291">
        <v>2017</v>
      </c>
      <c r="L4291" t="s">
        <v>31</v>
      </c>
      <c r="M4291" t="s">
        <v>106</v>
      </c>
      <c r="N4291" t="s">
        <v>24</v>
      </c>
      <c r="O4291" t="s">
        <v>191</v>
      </c>
      <c r="P4291" s="1" t="s">
        <v>33</v>
      </c>
      <c r="Q4291">
        <v>115.2</v>
      </c>
    </row>
    <row r="4292" spans="11:17" x14ac:dyDescent="0.3">
      <c r="K4292">
        <v>2017</v>
      </c>
      <c r="L4292" t="s">
        <v>31</v>
      </c>
      <c r="M4292" t="s">
        <v>106</v>
      </c>
      <c r="N4292" t="s">
        <v>9</v>
      </c>
      <c r="O4292" t="s">
        <v>188</v>
      </c>
      <c r="P4292" s="1" t="s">
        <v>30</v>
      </c>
      <c r="Q4292">
        <v>119.8</v>
      </c>
    </row>
    <row r="4293" spans="11:17" x14ac:dyDescent="0.3">
      <c r="K4293">
        <v>2017</v>
      </c>
      <c r="L4293" t="s">
        <v>31</v>
      </c>
      <c r="M4293" t="s">
        <v>106</v>
      </c>
      <c r="N4293" t="s">
        <v>9</v>
      </c>
      <c r="O4293" t="s">
        <v>188</v>
      </c>
      <c r="P4293" s="1" t="s">
        <v>34</v>
      </c>
      <c r="Q4293">
        <v>119.4</v>
      </c>
    </row>
    <row r="4294" spans="11:17" x14ac:dyDescent="0.3">
      <c r="K4294">
        <v>2017</v>
      </c>
      <c r="L4294" t="s">
        <v>31</v>
      </c>
      <c r="M4294" t="s">
        <v>106</v>
      </c>
      <c r="N4294" t="s">
        <v>9</v>
      </c>
      <c r="O4294" t="s">
        <v>188</v>
      </c>
      <c r="P4294" s="1" t="s">
        <v>33</v>
      </c>
      <c r="Q4294">
        <v>118.7</v>
      </c>
    </row>
    <row r="4295" spans="11:17" x14ac:dyDescent="0.3">
      <c r="K4295">
        <v>2017</v>
      </c>
      <c r="L4295" t="s">
        <v>40</v>
      </c>
      <c r="M4295" t="s">
        <v>107</v>
      </c>
      <c r="N4295" t="s">
        <v>3</v>
      </c>
      <c r="O4295" t="s">
        <v>188</v>
      </c>
      <c r="P4295" s="1" t="s">
        <v>30</v>
      </c>
      <c r="Q4295">
        <v>134</v>
      </c>
    </row>
    <row r="4296" spans="11:17" x14ac:dyDescent="0.3">
      <c r="K4296">
        <v>2017</v>
      </c>
      <c r="L4296" t="s">
        <v>40</v>
      </c>
      <c r="M4296" t="s">
        <v>107</v>
      </c>
      <c r="N4296" t="s">
        <v>3</v>
      </c>
      <c r="O4296" t="s">
        <v>188</v>
      </c>
      <c r="P4296" s="1" t="s">
        <v>34</v>
      </c>
      <c r="Q4296">
        <v>133.6</v>
      </c>
    </row>
    <row r="4297" spans="11:17" x14ac:dyDescent="0.3">
      <c r="K4297">
        <v>2017</v>
      </c>
      <c r="L4297" t="s">
        <v>40</v>
      </c>
      <c r="M4297" t="s">
        <v>107</v>
      </c>
      <c r="N4297" t="s">
        <v>3</v>
      </c>
      <c r="O4297" t="s">
        <v>188</v>
      </c>
      <c r="P4297" s="1" t="s">
        <v>33</v>
      </c>
      <c r="Q4297">
        <v>132.80000000000001</v>
      </c>
    </row>
    <row r="4298" spans="11:17" x14ac:dyDescent="0.3">
      <c r="K4298">
        <v>2017</v>
      </c>
      <c r="L4298" t="s">
        <v>40</v>
      </c>
      <c r="M4298" t="s">
        <v>107</v>
      </c>
      <c r="N4298" t="s">
        <v>17</v>
      </c>
      <c r="O4298" t="s">
        <v>189</v>
      </c>
      <c r="P4298" s="1" t="s">
        <v>30</v>
      </c>
      <c r="Q4298">
        <v>144.30000000000001</v>
      </c>
    </row>
    <row r="4299" spans="11:17" x14ac:dyDescent="0.3">
      <c r="K4299">
        <v>2017</v>
      </c>
      <c r="L4299" t="s">
        <v>40</v>
      </c>
      <c r="M4299" t="s">
        <v>107</v>
      </c>
      <c r="N4299" t="s">
        <v>17</v>
      </c>
      <c r="O4299" t="s">
        <v>189</v>
      </c>
      <c r="P4299" s="1" t="s">
        <v>34</v>
      </c>
      <c r="Q4299">
        <v>139.30000000000001</v>
      </c>
    </row>
    <row r="4300" spans="11:17" x14ac:dyDescent="0.3">
      <c r="K4300">
        <v>2017</v>
      </c>
      <c r="L4300" t="s">
        <v>40</v>
      </c>
      <c r="M4300" t="s">
        <v>107</v>
      </c>
      <c r="N4300" t="s">
        <v>17</v>
      </c>
      <c r="O4300" t="s">
        <v>189</v>
      </c>
      <c r="P4300" s="1" t="s">
        <v>33</v>
      </c>
      <c r="Q4300">
        <v>131.6</v>
      </c>
    </row>
    <row r="4301" spans="11:17" x14ac:dyDescent="0.3">
      <c r="K4301">
        <v>2017</v>
      </c>
      <c r="L4301" t="s">
        <v>40</v>
      </c>
      <c r="M4301" t="s">
        <v>107</v>
      </c>
      <c r="N4301" t="s">
        <v>19</v>
      </c>
      <c r="O4301" t="s">
        <v>189</v>
      </c>
      <c r="P4301" s="1" t="s">
        <v>30</v>
      </c>
      <c r="Q4301">
        <v>143.5</v>
      </c>
    </row>
    <row r="4302" spans="11:17" x14ac:dyDescent="0.3">
      <c r="K4302">
        <v>2017</v>
      </c>
      <c r="L4302" t="s">
        <v>40</v>
      </c>
      <c r="M4302" t="s">
        <v>107</v>
      </c>
      <c r="N4302" t="s">
        <v>19</v>
      </c>
      <c r="O4302" t="s">
        <v>189</v>
      </c>
      <c r="P4302" s="1" t="s">
        <v>34</v>
      </c>
      <c r="Q4302">
        <v>138.30000000000001</v>
      </c>
    </row>
    <row r="4303" spans="11:17" x14ac:dyDescent="0.3">
      <c r="K4303">
        <v>2017</v>
      </c>
      <c r="L4303" t="s">
        <v>40</v>
      </c>
      <c r="M4303" t="s">
        <v>107</v>
      </c>
      <c r="N4303" t="s">
        <v>19</v>
      </c>
      <c r="O4303" t="s">
        <v>189</v>
      </c>
      <c r="P4303" s="1" t="s">
        <v>33</v>
      </c>
      <c r="Q4303">
        <v>130.4</v>
      </c>
    </row>
    <row r="4304" spans="11:17" x14ac:dyDescent="0.3">
      <c r="K4304">
        <v>2017</v>
      </c>
      <c r="L4304" t="s">
        <v>40</v>
      </c>
      <c r="M4304" t="s">
        <v>107</v>
      </c>
      <c r="N4304" t="s">
        <v>26</v>
      </c>
      <c r="O4304" t="s">
        <v>26</v>
      </c>
      <c r="P4304" s="1" t="s">
        <v>30</v>
      </c>
      <c r="Q4304">
        <v>138.6</v>
      </c>
    </row>
    <row r="4305" spans="11:17" x14ac:dyDescent="0.3">
      <c r="K4305">
        <v>2017</v>
      </c>
      <c r="L4305" t="s">
        <v>40</v>
      </c>
      <c r="M4305" t="s">
        <v>107</v>
      </c>
      <c r="N4305" t="s">
        <v>26</v>
      </c>
      <c r="O4305" t="s">
        <v>26</v>
      </c>
      <c r="P4305" s="1" t="s">
        <v>34</v>
      </c>
      <c r="Q4305">
        <v>136.80000000000001</v>
      </c>
    </row>
    <row r="4306" spans="11:17" x14ac:dyDescent="0.3">
      <c r="K4306">
        <v>2017</v>
      </c>
      <c r="L4306" t="s">
        <v>40</v>
      </c>
      <c r="M4306" t="s">
        <v>107</v>
      </c>
      <c r="N4306" t="s">
        <v>26</v>
      </c>
      <c r="O4306" t="s">
        <v>26</v>
      </c>
      <c r="P4306" s="1" t="s">
        <v>33</v>
      </c>
      <c r="Q4306">
        <v>135.5</v>
      </c>
    </row>
    <row r="4307" spans="11:17" x14ac:dyDescent="0.3">
      <c r="K4307">
        <v>2017</v>
      </c>
      <c r="L4307" t="s">
        <v>40</v>
      </c>
      <c r="M4307" t="s">
        <v>107</v>
      </c>
      <c r="N4307" t="s">
        <v>5</v>
      </c>
      <c r="O4307" t="s">
        <v>188</v>
      </c>
      <c r="P4307" s="1" t="s">
        <v>30</v>
      </c>
      <c r="Q4307">
        <v>129.80000000000001</v>
      </c>
    </row>
    <row r="4308" spans="11:17" x14ac:dyDescent="0.3">
      <c r="K4308">
        <v>2017</v>
      </c>
      <c r="L4308" t="s">
        <v>40</v>
      </c>
      <c r="M4308" t="s">
        <v>107</v>
      </c>
      <c r="N4308" t="s">
        <v>5</v>
      </c>
      <c r="O4308" t="s">
        <v>188</v>
      </c>
      <c r="P4308" s="1" t="s">
        <v>34</v>
      </c>
      <c r="Q4308">
        <v>129.6</v>
      </c>
    </row>
    <row r="4309" spans="11:17" x14ac:dyDescent="0.3">
      <c r="K4309">
        <v>2017</v>
      </c>
      <c r="L4309" t="s">
        <v>40</v>
      </c>
      <c r="M4309" t="s">
        <v>107</v>
      </c>
      <c r="N4309" t="s">
        <v>5</v>
      </c>
      <c r="O4309" t="s">
        <v>188</v>
      </c>
      <c r="P4309" s="1" t="s">
        <v>33</v>
      </c>
      <c r="Q4309">
        <v>129.4</v>
      </c>
    </row>
    <row r="4310" spans="11:17" x14ac:dyDescent="0.3">
      <c r="K4310">
        <v>2017</v>
      </c>
      <c r="L4310" t="s">
        <v>40</v>
      </c>
      <c r="M4310" t="s">
        <v>107</v>
      </c>
      <c r="N4310" t="s">
        <v>15</v>
      </c>
      <c r="O4310" t="s">
        <v>188</v>
      </c>
      <c r="P4310" s="1" t="s">
        <v>30</v>
      </c>
      <c r="Q4310">
        <v>138.5</v>
      </c>
    </row>
    <row r="4311" spans="11:17" x14ac:dyDescent="0.3">
      <c r="K4311">
        <v>2017</v>
      </c>
      <c r="L4311" t="s">
        <v>40</v>
      </c>
      <c r="M4311" t="s">
        <v>107</v>
      </c>
      <c r="N4311" t="s">
        <v>15</v>
      </c>
      <c r="O4311" t="s">
        <v>188</v>
      </c>
      <c r="P4311" s="1" t="s">
        <v>34</v>
      </c>
      <c r="Q4311">
        <v>139</v>
      </c>
    </row>
    <row r="4312" spans="11:17" x14ac:dyDescent="0.3">
      <c r="K4312">
        <v>2017</v>
      </c>
      <c r="L4312" t="s">
        <v>40</v>
      </c>
      <c r="M4312" t="s">
        <v>107</v>
      </c>
      <c r="N4312" t="s">
        <v>15</v>
      </c>
      <c r="O4312" t="s">
        <v>188</v>
      </c>
      <c r="P4312" s="1" t="s">
        <v>33</v>
      </c>
      <c r="Q4312">
        <v>139.80000000000001</v>
      </c>
    </row>
    <row r="4313" spans="11:17" x14ac:dyDescent="0.3">
      <c r="K4313">
        <v>2017</v>
      </c>
      <c r="L4313" t="s">
        <v>40</v>
      </c>
      <c r="M4313" t="s">
        <v>107</v>
      </c>
      <c r="N4313" t="s">
        <v>18</v>
      </c>
      <c r="O4313" t="s">
        <v>189</v>
      </c>
      <c r="P4313" s="1" t="s">
        <v>30</v>
      </c>
      <c r="Q4313">
        <v>138.1</v>
      </c>
    </row>
    <row r="4314" spans="11:17" x14ac:dyDescent="0.3">
      <c r="K4314">
        <v>2017</v>
      </c>
      <c r="L4314" t="s">
        <v>40</v>
      </c>
      <c r="M4314" t="s">
        <v>107</v>
      </c>
      <c r="N4314" t="s">
        <v>18</v>
      </c>
      <c r="O4314" t="s">
        <v>189</v>
      </c>
      <c r="P4314" s="1" t="s">
        <v>34</v>
      </c>
      <c r="Q4314">
        <v>132.1</v>
      </c>
    </row>
    <row r="4315" spans="11:17" x14ac:dyDescent="0.3">
      <c r="K4315">
        <v>2017</v>
      </c>
      <c r="L4315" t="s">
        <v>40</v>
      </c>
      <c r="M4315" t="s">
        <v>107</v>
      </c>
      <c r="N4315" t="s">
        <v>18</v>
      </c>
      <c r="O4315" t="s">
        <v>189</v>
      </c>
      <c r="P4315" s="1" t="s">
        <v>33</v>
      </c>
      <c r="Q4315">
        <v>123.7</v>
      </c>
    </row>
    <row r="4316" spans="11:17" x14ac:dyDescent="0.3">
      <c r="K4316">
        <v>2017</v>
      </c>
      <c r="L4316" t="s">
        <v>40</v>
      </c>
      <c r="M4316" t="s">
        <v>107</v>
      </c>
      <c r="N4316" t="s">
        <v>8</v>
      </c>
      <c r="O4316" t="s">
        <v>188</v>
      </c>
      <c r="P4316" s="1" t="s">
        <v>30</v>
      </c>
      <c r="Q4316">
        <v>143.9</v>
      </c>
    </row>
    <row r="4317" spans="11:17" x14ac:dyDescent="0.3">
      <c r="K4317">
        <v>2017</v>
      </c>
      <c r="L4317" t="s">
        <v>40</v>
      </c>
      <c r="M4317" t="s">
        <v>107</v>
      </c>
      <c r="N4317" t="s">
        <v>8</v>
      </c>
      <c r="O4317" t="s">
        <v>188</v>
      </c>
      <c r="P4317" s="1" t="s">
        <v>34</v>
      </c>
      <c r="Q4317">
        <v>141.80000000000001</v>
      </c>
    </row>
    <row r="4318" spans="11:17" x14ac:dyDescent="0.3">
      <c r="K4318">
        <v>2017</v>
      </c>
      <c r="L4318" t="s">
        <v>40</v>
      </c>
      <c r="M4318" t="s">
        <v>107</v>
      </c>
      <c r="N4318" t="s">
        <v>8</v>
      </c>
      <c r="O4318" t="s">
        <v>188</v>
      </c>
      <c r="P4318" s="1" t="s">
        <v>33</v>
      </c>
      <c r="Q4318">
        <v>139.4</v>
      </c>
    </row>
    <row r="4319" spans="11:17" x14ac:dyDescent="0.3">
      <c r="K4319">
        <v>2017</v>
      </c>
      <c r="L4319" t="s">
        <v>40</v>
      </c>
      <c r="M4319" t="s">
        <v>107</v>
      </c>
      <c r="N4319" t="s">
        <v>21</v>
      </c>
      <c r="O4319" t="s">
        <v>190</v>
      </c>
      <c r="P4319" s="1" t="s">
        <v>30</v>
      </c>
      <c r="Q4319">
        <v>135.30000000000001</v>
      </c>
    </row>
    <row r="4320" spans="11:17" x14ac:dyDescent="0.3">
      <c r="K4320">
        <v>2017</v>
      </c>
      <c r="L4320" t="s">
        <v>40</v>
      </c>
      <c r="M4320" t="s">
        <v>107</v>
      </c>
      <c r="N4320" t="s">
        <v>21</v>
      </c>
      <c r="O4320" t="s">
        <v>190</v>
      </c>
      <c r="P4320" s="1" t="s">
        <v>34</v>
      </c>
      <c r="Q4320">
        <v>129.4</v>
      </c>
    </row>
    <row r="4321" spans="11:17" x14ac:dyDescent="0.3">
      <c r="K4321">
        <v>2017</v>
      </c>
      <c r="L4321" t="s">
        <v>40</v>
      </c>
      <c r="M4321" t="s">
        <v>107</v>
      </c>
      <c r="N4321" t="s">
        <v>21</v>
      </c>
      <c r="O4321" t="s">
        <v>190</v>
      </c>
      <c r="P4321" s="1" t="s">
        <v>33</v>
      </c>
      <c r="Q4321">
        <v>119.7</v>
      </c>
    </row>
    <row r="4322" spans="11:17" x14ac:dyDescent="0.3">
      <c r="K4322">
        <v>2017</v>
      </c>
      <c r="L4322" t="s">
        <v>40</v>
      </c>
      <c r="M4322" t="s">
        <v>107</v>
      </c>
      <c r="N4322" t="s">
        <v>29</v>
      </c>
      <c r="O4322" t="s">
        <v>206</v>
      </c>
      <c r="P4322" s="1" t="s">
        <v>30</v>
      </c>
      <c r="Q4322">
        <v>136.19999999999999</v>
      </c>
    </row>
    <row r="4323" spans="11:17" x14ac:dyDescent="0.3">
      <c r="K4323">
        <v>2017</v>
      </c>
      <c r="L4323" t="s">
        <v>40</v>
      </c>
      <c r="M4323" t="s">
        <v>107</v>
      </c>
      <c r="N4323" t="s">
        <v>29</v>
      </c>
      <c r="O4323" t="s">
        <v>206</v>
      </c>
      <c r="P4323" s="1" t="s">
        <v>34</v>
      </c>
      <c r="Q4323">
        <v>134.19999999999999</v>
      </c>
    </row>
    <row r="4324" spans="11:17" x14ac:dyDescent="0.3">
      <c r="K4324">
        <v>2017</v>
      </c>
      <c r="L4324" t="s">
        <v>40</v>
      </c>
      <c r="M4324" t="s">
        <v>107</v>
      </c>
      <c r="N4324" t="s">
        <v>29</v>
      </c>
      <c r="O4324" t="s">
        <v>206</v>
      </c>
      <c r="P4324" s="1" t="s">
        <v>33</v>
      </c>
      <c r="Q4324">
        <v>131.80000000000001</v>
      </c>
    </row>
    <row r="4325" spans="11:17" x14ac:dyDescent="0.3">
      <c r="K4325">
        <v>2017</v>
      </c>
      <c r="L4325" t="s">
        <v>40</v>
      </c>
      <c r="M4325" t="s">
        <v>107</v>
      </c>
      <c r="N4325" t="s">
        <v>23</v>
      </c>
      <c r="O4325" t="s">
        <v>23</v>
      </c>
      <c r="P4325" s="1" t="s">
        <v>30</v>
      </c>
      <c r="Q4325">
        <v>132.1</v>
      </c>
    </row>
    <row r="4326" spans="11:17" x14ac:dyDescent="0.3">
      <c r="K4326">
        <v>2017</v>
      </c>
      <c r="L4326" t="s">
        <v>40</v>
      </c>
      <c r="M4326" t="s">
        <v>107</v>
      </c>
      <c r="N4326" t="s">
        <v>23</v>
      </c>
      <c r="O4326" t="s">
        <v>23</v>
      </c>
      <c r="P4326" s="1" t="s">
        <v>34</v>
      </c>
      <c r="Q4326">
        <v>129.4</v>
      </c>
    </row>
    <row r="4327" spans="11:17" x14ac:dyDescent="0.3">
      <c r="K4327">
        <v>2017</v>
      </c>
      <c r="L4327" t="s">
        <v>40</v>
      </c>
      <c r="M4327" t="s">
        <v>107</v>
      </c>
      <c r="N4327" t="s">
        <v>23</v>
      </c>
      <c r="O4327" t="s">
        <v>23</v>
      </c>
      <c r="P4327" s="1" t="s">
        <v>33</v>
      </c>
      <c r="Q4327">
        <v>125</v>
      </c>
    </row>
    <row r="4328" spans="11:17" x14ac:dyDescent="0.3">
      <c r="K4328">
        <v>2017</v>
      </c>
      <c r="L4328" t="s">
        <v>40</v>
      </c>
      <c r="M4328" t="s">
        <v>107</v>
      </c>
      <c r="N4328" t="s">
        <v>22</v>
      </c>
      <c r="O4328" t="s">
        <v>20</v>
      </c>
      <c r="P4328" s="1" t="s">
        <v>30</v>
      </c>
      <c r="Q4328">
        <v>136.1</v>
      </c>
    </row>
    <row r="4329" spans="11:17" x14ac:dyDescent="0.3">
      <c r="K4329">
        <v>2017</v>
      </c>
      <c r="L4329" t="s">
        <v>40</v>
      </c>
      <c r="M4329" t="s">
        <v>107</v>
      </c>
      <c r="N4329" t="s">
        <v>22</v>
      </c>
      <c r="O4329" t="s">
        <v>20</v>
      </c>
      <c r="P4329" s="1" t="s">
        <v>34</v>
      </c>
      <c r="Q4329">
        <v>131.9</v>
      </c>
    </row>
    <row r="4330" spans="11:17" x14ac:dyDescent="0.3">
      <c r="K4330">
        <v>2017</v>
      </c>
      <c r="L4330" t="s">
        <v>40</v>
      </c>
      <c r="M4330" t="s">
        <v>107</v>
      </c>
      <c r="N4330" t="s">
        <v>22</v>
      </c>
      <c r="O4330" t="s">
        <v>20</v>
      </c>
      <c r="P4330" s="1" t="s">
        <v>33</v>
      </c>
      <c r="Q4330">
        <v>127.2</v>
      </c>
    </row>
    <row r="4331" spans="11:17" x14ac:dyDescent="0.3">
      <c r="K4331">
        <v>2017</v>
      </c>
      <c r="L4331" t="s">
        <v>40</v>
      </c>
      <c r="M4331" t="s">
        <v>107</v>
      </c>
      <c r="N4331" t="s">
        <v>20</v>
      </c>
      <c r="O4331" t="s">
        <v>20</v>
      </c>
      <c r="P4331" s="1" t="s">
        <v>30</v>
      </c>
      <c r="Q4331">
        <v>0</v>
      </c>
    </row>
    <row r="4332" spans="11:17" x14ac:dyDescent="0.3">
      <c r="K4332">
        <v>2017</v>
      </c>
      <c r="L4332" t="s">
        <v>40</v>
      </c>
      <c r="M4332" t="s">
        <v>107</v>
      </c>
      <c r="N4332" t="s">
        <v>20</v>
      </c>
      <c r="O4332" t="s">
        <v>20</v>
      </c>
      <c r="P4332" s="1" t="s">
        <v>34</v>
      </c>
      <c r="Q4332">
        <v>132.6</v>
      </c>
    </row>
    <row r="4333" spans="11:17" x14ac:dyDescent="0.3">
      <c r="K4333">
        <v>2017</v>
      </c>
      <c r="L4333" t="s">
        <v>40</v>
      </c>
      <c r="M4333" t="s">
        <v>107</v>
      </c>
      <c r="N4333" t="s">
        <v>20</v>
      </c>
      <c r="O4333" t="s">
        <v>20</v>
      </c>
      <c r="P4333" s="1" t="s">
        <v>33</v>
      </c>
      <c r="Q4333">
        <v>132.6</v>
      </c>
    </row>
    <row r="4334" spans="11:17" x14ac:dyDescent="0.3">
      <c r="K4334">
        <v>2017</v>
      </c>
      <c r="L4334" t="s">
        <v>40</v>
      </c>
      <c r="M4334" t="s">
        <v>107</v>
      </c>
      <c r="N4334" t="s">
        <v>4</v>
      </c>
      <c r="O4334" t="s">
        <v>188</v>
      </c>
      <c r="P4334" s="1" t="s">
        <v>30</v>
      </c>
      <c r="Q4334">
        <v>144.19999999999999</v>
      </c>
    </row>
    <row r="4335" spans="11:17" x14ac:dyDescent="0.3">
      <c r="K4335">
        <v>2017</v>
      </c>
      <c r="L4335" t="s">
        <v>40</v>
      </c>
      <c r="M4335" t="s">
        <v>107</v>
      </c>
      <c r="N4335" t="s">
        <v>4</v>
      </c>
      <c r="O4335" t="s">
        <v>188</v>
      </c>
      <c r="P4335" s="1" t="s">
        <v>34</v>
      </c>
      <c r="Q4335">
        <v>145.69999999999999</v>
      </c>
    </row>
    <row r="4336" spans="11:17" x14ac:dyDescent="0.3">
      <c r="K4336">
        <v>2017</v>
      </c>
      <c r="L4336" t="s">
        <v>40</v>
      </c>
      <c r="M4336" t="s">
        <v>107</v>
      </c>
      <c r="N4336" t="s">
        <v>4</v>
      </c>
      <c r="O4336" t="s">
        <v>188</v>
      </c>
      <c r="P4336" s="1" t="s">
        <v>33</v>
      </c>
      <c r="Q4336">
        <v>148.4</v>
      </c>
    </row>
    <row r="4337" spans="11:17" x14ac:dyDescent="0.3">
      <c r="K4337">
        <v>2017</v>
      </c>
      <c r="L4337" t="s">
        <v>40</v>
      </c>
      <c r="M4337" t="s">
        <v>107</v>
      </c>
      <c r="N4337" t="s">
        <v>6</v>
      </c>
      <c r="O4337" t="s">
        <v>188</v>
      </c>
      <c r="P4337" s="1" t="s">
        <v>30</v>
      </c>
      <c r="Q4337">
        <v>139</v>
      </c>
    </row>
    <row r="4338" spans="11:17" x14ac:dyDescent="0.3">
      <c r="K4338">
        <v>2017</v>
      </c>
      <c r="L4338" t="s">
        <v>40</v>
      </c>
      <c r="M4338" t="s">
        <v>107</v>
      </c>
      <c r="N4338" t="s">
        <v>6</v>
      </c>
      <c r="O4338" t="s">
        <v>188</v>
      </c>
      <c r="P4338" s="1" t="s">
        <v>34</v>
      </c>
      <c r="Q4338">
        <v>138.5</v>
      </c>
    </row>
    <row r="4339" spans="11:17" x14ac:dyDescent="0.3">
      <c r="K4339">
        <v>2017</v>
      </c>
      <c r="L4339" t="s">
        <v>40</v>
      </c>
      <c r="M4339" t="s">
        <v>107</v>
      </c>
      <c r="N4339" t="s">
        <v>6</v>
      </c>
      <c r="O4339" t="s">
        <v>188</v>
      </c>
      <c r="P4339" s="1" t="s">
        <v>33</v>
      </c>
      <c r="Q4339">
        <v>137.69999999999999</v>
      </c>
    </row>
    <row r="4340" spans="11:17" x14ac:dyDescent="0.3">
      <c r="K4340">
        <v>2017</v>
      </c>
      <c r="L4340" t="s">
        <v>40</v>
      </c>
      <c r="M4340" t="s">
        <v>107</v>
      </c>
      <c r="N4340" t="s">
        <v>28</v>
      </c>
      <c r="O4340" t="s">
        <v>192</v>
      </c>
      <c r="P4340" s="1" t="s">
        <v>30</v>
      </c>
      <c r="Q4340">
        <v>128.6</v>
      </c>
    </row>
    <row r="4341" spans="11:17" x14ac:dyDescent="0.3">
      <c r="K4341">
        <v>2017</v>
      </c>
      <c r="L4341" t="s">
        <v>40</v>
      </c>
      <c r="M4341" t="s">
        <v>107</v>
      </c>
      <c r="N4341" t="s">
        <v>28</v>
      </c>
      <c r="O4341" t="s">
        <v>192</v>
      </c>
      <c r="P4341" s="1" t="s">
        <v>34</v>
      </c>
      <c r="Q4341">
        <v>125.9</v>
      </c>
    </row>
    <row r="4342" spans="11:17" x14ac:dyDescent="0.3">
      <c r="K4342">
        <v>2017</v>
      </c>
      <c r="L4342" t="s">
        <v>40</v>
      </c>
      <c r="M4342" t="s">
        <v>107</v>
      </c>
      <c r="N4342" t="s">
        <v>28</v>
      </c>
      <c r="O4342" t="s">
        <v>192</v>
      </c>
      <c r="P4342" s="1" t="s">
        <v>33</v>
      </c>
      <c r="Q4342">
        <v>123</v>
      </c>
    </row>
    <row r="4343" spans="11:17" x14ac:dyDescent="0.3">
      <c r="K4343">
        <v>2017</v>
      </c>
      <c r="L4343" t="s">
        <v>40</v>
      </c>
      <c r="M4343" t="s">
        <v>107</v>
      </c>
      <c r="N4343" t="s">
        <v>13</v>
      </c>
      <c r="O4343" t="s">
        <v>188</v>
      </c>
      <c r="P4343" s="1" t="s">
        <v>30</v>
      </c>
      <c r="Q4343">
        <v>131.4</v>
      </c>
    </row>
    <row r="4344" spans="11:17" x14ac:dyDescent="0.3">
      <c r="K4344">
        <v>2017</v>
      </c>
      <c r="L4344" t="s">
        <v>40</v>
      </c>
      <c r="M4344" t="s">
        <v>107</v>
      </c>
      <c r="N4344" t="s">
        <v>13</v>
      </c>
      <c r="O4344" t="s">
        <v>188</v>
      </c>
      <c r="P4344" s="1" t="s">
        <v>34</v>
      </c>
      <c r="Q4344">
        <v>128.5</v>
      </c>
    </row>
    <row r="4345" spans="11:17" x14ac:dyDescent="0.3">
      <c r="K4345">
        <v>2017</v>
      </c>
      <c r="L4345" t="s">
        <v>40</v>
      </c>
      <c r="M4345" t="s">
        <v>107</v>
      </c>
      <c r="N4345" t="s">
        <v>13</v>
      </c>
      <c r="O4345" t="s">
        <v>188</v>
      </c>
      <c r="P4345" s="1" t="s">
        <v>33</v>
      </c>
      <c r="Q4345">
        <v>124.4</v>
      </c>
    </row>
    <row r="4346" spans="11:17" x14ac:dyDescent="0.3">
      <c r="K4346">
        <v>2017</v>
      </c>
      <c r="L4346" t="s">
        <v>40</v>
      </c>
      <c r="M4346" t="s">
        <v>107</v>
      </c>
      <c r="N4346" t="s">
        <v>7</v>
      </c>
      <c r="O4346" t="s">
        <v>188</v>
      </c>
      <c r="P4346" s="1" t="s">
        <v>30</v>
      </c>
      <c r="Q4346">
        <v>120.9</v>
      </c>
    </row>
    <row r="4347" spans="11:17" x14ac:dyDescent="0.3">
      <c r="K4347">
        <v>2017</v>
      </c>
      <c r="L4347" t="s">
        <v>40</v>
      </c>
      <c r="M4347" t="s">
        <v>107</v>
      </c>
      <c r="N4347" t="s">
        <v>7</v>
      </c>
      <c r="O4347" t="s">
        <v>188</v>
      </c>
      <c r="P4347" s="1" t="s">
        <v>34</v>
      </c>
      <c r="Q4347">
        <v>118.1</v>
      </c>
    </row>
    <row r="4348" spans="11:17" x14ac:dyDescent="0.3">
      <c r="K4348">
        <v>2017</v>
      </c>
      <c r="L4348" t="s">
        <v>40</v>
      </c>
      <c r="M4348" t="s">
        <v>107</v>
      </c>
      <c r="N4348" t="s">
        <v>7</v>
      </c>
      <c r="O4348" t="s">
        <v>188</v>
      </c>
      <c r="P4348" s="1" t="s">
        <v>33</v>
      </c>
      <c r="Q4348">
        <v>113.4</v>
      </c>
    </row>
    <row r="4349" spans="11:17" x14ac:dyDescent="0.3">
      <c r="K4349">
        <v>2017</v>
      </c>
      <c r="L4349" t="s">
        <v>40</v>
      </c>
      <c r="M4349" t="s">
        <v>107</v>
      </c>
      <c r="N4349" t="s">
        <v>16</v>
      </c>
      <c r="O4349" t="s">
        <v>192</v>
      </c>
      <c r="P4349" s="1" t="s">
        <v>30</v>
      </c>
      <c r="Q4349">
        <v>147.4</v>
      </c>
    </row>
    <row r="4350" spans="11:17" x14ac:dyDescent="0.3">
      <c r="K4350">
        <v>2017</v>
      </c>
      <c r="L4350" t="s">
        <v>40</v>
      </c>
      <c r="M4350" t="s">
        <v>107</v>
      </c>
      <c r="N4350" t="s">
        <v>16</v>
      </c>
      <c r="O4350" t="s">
        <v>192</v>
      </c>
      <c r="P4350" s="1" t="s">
        <v>34</v>
      </c>
      <c r="Q4350">
        <v>148.19999999999999</v>
      </c>
    </row>
    <row r="4351" spans="11:17" x14ac:dyDescent="0.3">
      <c r="K4351">
        <v>2017</v>
      </c>
      <c r="L4351" t="s">
        <v>40</v>
      </c>
      <c r="M4351" t="s">
        <v>107</v>
      </c>
      <c r="N4351" t="s">
        <v>16</v>
      </c>
      <c r="O4351" t="s">
        <v>192</v>
      </c>
      <c r="P4351" s="1" t="s">
        <v>33</v>
      </c>
      <c r="Q4351">
        <v>150.5</v>
      </c>
    </row>
    <row r="4352" spans="11:17" x14ac:dyDescent="0.3">
      <c r="K4352">
        <v>2017</v>
      </c>
      <c r="L4352" t="s">
        <v>40</v>
      </c>
      <c r="M4352" t="s">
        <v>107</v>
      </c>
      <c r="N4352" t="s">
        <v>27</v>
      </c>
      <c r="O4352" t="s">
        <v>192</v>
      </c>
      <c r="P4352" s="1" t="s">
        <v>30</v>
      </c>
      <c r="Q4352">
        <v>124.4</v>
      </c>
    </row>
    <row r="4353" spans="11:17" x14ac:dyDescent="0.3">
      <c r="K4353">
        <v>2017</v>
      </c>
      <c r="L4353" t="s">
        <v>40</v>
      </c>
      <c r="M4353" t="s">
        <v>107</v>
      </c>
      <c r="N4353" t="s">
        <v>27</v>
      </c>
      <c r="O4353" t="s">
        <v>192</v>
      </c>
      <c r="P4353" s="1" t="s">
        <v>34</v>
      </c>
      <c r="Q4353">
        <v>123.6</v>
      </c>
    </row>
    <row r="4354" spans="11:17" x14ac:dyDescent="0.3">
      <c r="K4354">
        <v>2017</v>
      </c>
      <c r="L4354" t="s">
        <v>40</v>
      </c>
      <c r="M4354" t="s">
        <v>107</v>
      </c>
      <c r="N4354" t="s">
        <v>27</v>
      </c>
      <c r="O4354" t="s">
        <v>192</v>
      </c>
      <c r="P4354" s="1" t="s">
        <v>33</v>
      </c>
      <c r="Q4354">
        <v>122.4</v>
      </c>
    </row>
    <row r="4355" spans="11:17" x14ac:dyDescent="0.3">
      <c r="K4355">
        <v>2017</v>
      </c>
      <c r="L4355" t="s">
        <v>40</v>
      </c>
      <c r="M4355" t="s">
        <v>107</v>
      </c>
      <c r="N4355" t="s">
        <v>14</v>
      </c>
      <c r="O4355" t="s">
        <v>188</v>
      </c>
      <c r="P4355" s="1" t="s">
        <v>30</v>
      </c>
      <c r="Q4355">
        <v>147.69999999999999</v>
      </c>
    </row>
    <row r="4356" spans="11:17" x14ac:dyDescent="0.3">
      <c r="K4356">
        <v>2017</v>
      </c>
      <c r="L4356" t="s">
        <v>40</v>
      </c>
      <c r="M4356" t="s">
        <v>107</v>
      </c>
      <c r="N4356" t="s">
        <v>14</v>
      </c>
      <c r="O4356" t="s">
        <v>188</v>
      </c>
      <c r="P4356" s="1" t="s">
        <v>34</v>
      </c>
      <c r="Q4356">
        <v>145.80000000000001</v>
      </c>
    </row>
    <row r="4357" spans="11:17" x14ac:dyDescent="0.3">
      <c r="K4357">
        <v>2017</v>
      </c>
      <c r="L4357" t="s">
        <v>40</v>
      </c>
      <c r="M4357" t="s">
        <v>107</v>
      </c>
      <c r="N4357" t="s">
        <v>14</v>
      </c>
      <c r="O4357" t="s">
        <v>188</v>
      </c>
      <c r="P4357" s="1" t="s">
        <v>33</v>
      </c>
      <c r="Q4357">
        <v>143.69999999999999</v>
      </c>
    </row>
    <row r="4358" spans="11:17" x14ac:dyDescent="0.3">
      <c r="K4358">
        <v>2017</v>
      </c>
      <c r="L4358" t="s">
        <v>40</v>
      </c>
      <c r="M4358" t="s">
        <v>107</v>
      </c>
      <c r="N4358" t="s">
        <v>10</v>
      </c>
      <c r="O4358" t="s">
        <v>188</v>
      </c>
      <c r="P4358" s="1" t="s">
        <v>30</v>
      </c>
      <c r="Q4358">
        <v>138.1</v>
      </c>
    </row>
    <row r="4359" spans="11:17" x14ac:dyDescent="0.3">
      <c r="K4359">
        <v>2017</v>
      </c>
      <c r="L4359" t="s">
        <v>40</v>
      </c>
      <c r="M4359" t="s">
        <v>107</v>
      </c>
      <c r="N4359" t="s">
        <v>10</v>
      </c>
      <c r="O4359" t="s">
        <v>188</v>
      </c>
      <c r="P4359" s="1" t="s">
        <v>34</v>
      </c>
      <c r="Q4359">
        <v>133.6</v>
      </c>
    </row>
    <row r="4360" spans="11:17" x14ac:dyDescent="0.3">
      <c r="K4360">
        <v>2017</v>
      </c>
      <c r="L4360" t="s">
        <v>40</v>
      </c>
      <c r="M4360" t="s">
        <v>107</v>
      </c>
      <c r="N4360" t="s">
        <v>10</v>
      </c>
      <c r="O4360" t="s">
        <v>188</v>
      </c>
      <c r="P4360" s="1" t="s">
        <v>33</v>
      </c>
      <c r="Q4360">
        <v>124.7</v>
      </c>
    </row>
    <row r="4361" spans="11:17" x14ac:dyDescent="0.3">
      <c r="K4361">
        <v>2017</v>
      </c>
      <c r="L4361" t="s">
        <v>40</v>
      </c>
      <c r="M4361" t="s">
        <v>107</v>
      </c>
      <c r="N4361" t="s">
        <v>25</v>
      </c>
      <c r="O4361" t="s">
        <v>195</v>
      </c>
      <c r="P4361" s="1" t="s">
        <v>30</v>
      </c>
      <c r="Q4361">
        <v>130.6</v>
      </c>
    </row>
    <row r="4362" spans="11:17" x14ac:dyDescent="0.3">
      <c r="K4362">
        <v>2017</v>
      </c>
      <c r="L4362" t="s">
        <v>40</v>
      </c>
      <c r="M4362" t="s">
        <v>107</v>
      </c>
      <c r="N4362" t="s">
        <v>25</v>
      </c>
      <c r="O4362" t="s">
        <v>195</v>
      </c>
      <c r="P4362" s="1" t="s">
        <v>34</v>
      </c>
      <c r="Q4362">
        <v>126.6</v>
      </c>
    </row>
    <row r="4363" spans="11:17" x14ac:dyDescent="0.3">
      <c r="K4363">
        <v>2017</v>
      </c>
      <c r="L4363" t="s">
        <v>40</v>
      </c>
      <c r="M4363" t="s">
        <v>107</v>
      </c>
      <c r="N4363" t="s">
        <v>25</v>
      </c>
      <c r="O4363" t="s">
        <v>195</v>
      </c>
      <c r="P4363" s="1" t="s">
        <v>33</v>
      </c>
      <c r="Q4363">
        <v>123.5</v>
      </c>
    </row>
    <row r="4364" spans="11:17" x14ac:dyDescent="0.3">
      <c r="K4364">
        <v>2017</v>
      </c>
      <c r="L4364" t="s">
        <v>40</v>
      </c>
      <c r="M4364" t="s">
        <v>107</v>
      </c>
      <c r="N4364" t="s">
        <v>12</v>
      </c>
      <c r="O4364" t="s">
        <v>188</v>
      </c>
      <c r="P4364" s="1" t="s">
        <v>30</v>
      </c>
      <c r="Q4364">
        <v>133.9</v>
      </c>
    </row>
    <row r="4365" spans="11:17" x14ac:dyDescent="0.3">
      <c r="K4365">
        <v>2017</v>
      </c>
      <c r="L4365" t="s">
        <v>40</v>
      </c>
      <c r="M4365" t="s">
        <v>107</v>
      </c>
      <c r="N4365" t="s">
        <v>12</v>
      </c>
      <c r="O4365" t="s">
        <v>188</v>
      </c>
      <c r="P4365" s="1" t="s">
        <v>34</v>
      </c>
      <c r="Q4365">
        <v>135.19999999999999</v>
      </c>
    </row>
    <row r="4366" spans="11:17" x14ac:dyDescent="0.3">
      <c r="K4366">
        <v>2017</v>
      </c>
      <c r="L4366" t="s">
        <v>40</v>
      </c>
      <c r="M4366" t="s">
        <v>107</v>
      </c>
      <c r="N4366" t="s">
        <v>12</v>
      </c>
      <c r="O4366" t="s">
        <v>188</v>
      </c>
      <c r="P4366" s="1" t="s">
        <v>33</v>
      </c>
      <c r="Q4366">
        <v>137.80000000000001</v>
      </c>
    </row>
    <row r="4367" spans="11:17" x14ac:dyDescent="0.3">
      <c r="K4367">
        <v>2017</v>
      </c>
      <c r="L4367" t="s">
        <v>40</v>
      </c>
      <c r="M4367" t="s">
        <v>107</v>
      </c>
      <c r="N4367" t="s">
        <v>11</v>
      </c>
      <c r="O4367" t="s">
        <v>188</v>
      </c>
      <c r="P4367" s="1" t="s">
        <v>30</v>
      </c>
      <c r="Q4367">
        <v>120</v>
      </c>
    </row>
    <row r="4368" spans="11:17" x14ac:dyDescent="0.3">
      <c r="K4368">
        <v>2017</v>
      </c>
      <c r="L4368" t="s">
        <v>40</v>
      </c>
      <c r="M4368" t="s">
        <v>107</v>
      </c>
      <c r="N4368" t="s">
        <v>11</v>
      </c>
      <c r="O4368" t="s">
        <v>188</v>
      </c>
      <c r="P4368" s="1" t="s">
        <v>34</v>
      </c>
      <c r="Q4368">
        <v>120.5</v>
      </c>
    </row>
    <row r="4369" spans="11:17" x14ac:dyDescent="0.3">
      <c r="K4369">
        <v>2017</v>
      </c>
      <c r="L4369" t="s">
        <v>40</v>
      </c>
      <c r="M4369" t="s">
        <v>107</v>
      </c>
      <c r="N4369" t="s">
        <v>11</v>
      </c>
      <c r="O4369" t="s">
        <v>188</v>
      </c>
      <c r="P4369" s="1" t="s">
        <v>33</v>
      </c>
      <c r="Q4369">
        <v>121.5</v>
      </c>
    </row>
    <row r="4370" spans="11:17" x14ac:dyDescent="0.3">
      <c r="K4370">
        <v>2017</v>
      </c>
      <c r="L4370" t="s">
        <v>40</v>
      </c>
      <c r="M4370" t="s">
        <v>107</v>
      </c>
      <c r="N4370" t="s">
        <v>24</v>
      </c>
      <c r="O4370" t="s">
        <v>191</v>
      </c>
      <c r="P4370" s="1" t="s">
        <v>30</v>
      </c>
      <c r="Q4370">
        <v>119.1</v>
      </c>
    </row>
    <row r="4371" spans="11:17" x14ac:dyDescent="0.3">
      <c r="K4371">
        <v>2017</v>
      </c>
      <c r="L4371" t="s">
        <v>40</v>
      </c>
      <c r="M4371" t="s">
        <v>107</v>
      </c>
      <c r="N4371" t="s">
        <v>24</v>
      </c>
      <c r="O4371" t="s">
        <v>191</v>
      </c>
      <c r="P4371" s="1" t="s">
        <v>34</v>
      </c>
      <c r="Q4371">
        <v>116</v>
      </c>
    </row>
    <row r="4372" spans="11:17" x14ac:dyDescent="0.3">
      <c r="K4372">
        <v>2017</v>
      </c>
      <c r="L4372" t="s">
        <v>40</v>
      </c>
      <c r="M4372" t="s">
        <v>107</v>
      </c>
      <c r="N4372" t="s">
        <v>24</v>
      </c>
      <c r="O4372" t="s">
        <v>191</v>
      </c>
      <c r="P4372" s="1" t="s">
        <v>33</v>
      </c>
      <c r="Q4372">
        <v>113.2</v>
      </c>
    </row>
    <row r="4373" spans="11:17" x14ac:dyDescent="0.3">
      <c r="K4373">
        <v>2017</v>
      </c>
      <c r="L4373" t="s">
        <v>40</v>
      </c>
      <c r="M4373" t="s">
        <v>107</v>
      </c>
      <c r="N4373" t="s">
        <v>9</v>
      </c>
      <c r="O4373" t="s">
        <v>188</v>
      </c>
      <c r="P4373" s="1" t="s">
        <v>30</v>
      </c>
      <c r="Q4373">
        <v>151.5</v>
      </c>
    </row>
    <row r="4374" spans="11:17" x14ac:dyDescent="0.3">
      <c r="K4374">
        <v>2017</v>
      </c>
      <c r="L4374" t="s">
        <v>40</v>
      </c>
      <c r="M4374" t="s">
        <v>107</v>
      </c>
      <c r="N4374" t="s">
        <v>9</v>
      </c>
      <c r="O4374" t="s">
        <v>188</v>
      </c>
      <c r="P4374" s="1" t="s">
        <v>34</v>
      </c>
      <c r="Q4374">
        <v>159.5</v>
      </c>
    </row>
    <row r="4375" spans="11:17" x14ac:dyDescent="0.3">
      <c r="K4375">
        <v>2017</v>
      </c>
      <c r="L4375" t="s">
        <v>40</v>
      </c>
      <c r="M4375" t="s">
        <v>107</v>
      </c>
      <c r="N4375" t="s">
        <v>9</v>
      </c>
      <c r="O4375" t="s">
        <v>188</v>
      </c>
      <c r="P4375" s="1" t="s">
        <v>33</v>
      </c>
      <c r="Q4375">
        <v>175.1</v>
      </c>
    </row>
    <row r="4376" spans="11:17" x14ac:dyDescent="0.3">
      <c r="K4376">
        <v>2017</v>
      </c>
      <c r="L4376" t="s">
        <v>39</v>
      </c>
      <c r="M4376" t="s">
        <v>108</v>
      </c>
      <c r="N4376" t="s">
        <v>3</v>
      </c>
      <c r="O4376" t="s">
        <v>188</v>
      </c>
      <c r="P4376" s="1" t="s">
        <v>30</v>
      </c>
      <c r="Q4376">
        <v>133.5</v>
      </c>
    </row>
    <row r="4377" spans="11:17" x14ac:dyDescent="0.3">
      <c r="K4377">
        <v>2017</v>
      </c>
      <c r="L4377" t="s">
        <v>39</v>
      </c>
      <c r="M4377" t="s">
        <v>108</v>
      </c>
      <c r="N4377" t="s">
        <v>3</v>
      </c>
      <c r="O4377" t="s">
        <v>188</v>
      </c>
      <c r="P4377" s="1" t="s">
        <v>34</v>
      </c>
      <c r="Q4377">
        <v>133.30000000000001</v>
      </c>
    </row>
    <row r="4378" spans="11:17" x14ac:dyDescent="0.3">
      <c r="K4378">
        <v>2017</v>
      </c>
      <c r="L4378" t="s">
        <v>39</v>
      </c>
      <c r="M4378" t="s">
        <v>108</v>
      </c>
      <c r="N4378" t="s">
        <v>3</v>
      </c>
      <c r="O4378" t="s">
        <v>188</v>
      </c>
      <c r="P4378" s="1" t="s">
        <v>33</v>
      </c>
      <c r="Q4378">
        <v>132.9</v>
      </c>
    </row>
    <row r="4379" spans="11:17" x14ac:dyDescent="0.3">
      <c r="K4379">
        <v>2017</v>
      </c>
      <c r="L4379" t="s">
        <v>39</v>
      </c>
      <c r="M4379" t="s">
        <v>108</v>
      </c>
      <c r="N4379" t="s">
        <v>17</v>
      </c>
      <c r="O4379" t="s">
        <v>189</v>
      </c>
      <c r="P4379" s="1" t="s">
        <v>30</v>
      </c>
      <c r="Q4379">
        <v>143.1</v>
      </c>
    </row>
    <row r="4380" spans="11:17" x14ac:dyDescent="0.3">
      <c r="K4380">
        <v>2017</v>
      </c>
      <c r="L4380" t="s">
        <v>39</v>
      </c>
      <c r="M4380" t="s">
        <v>108</v>
      </c>
      <c r="N4380" t="s">
        <v>17</v>
      </c>
      <c r="O4380" t="s">
        <v>189</v>
      </c>
      <c r="P4380" s="1" t="s">
        <v>34</v>
      </c>
      <c r="Q4380">
        <v>138.5</v>
      </c>
    </row>
    <row r="4381" spans="11:17" x14ac:dyDescent="0.3">
      <c r="K4381">
        <v>2017</v>
      </c>
      <c r="L4381" t="s">
        <v>39</v>
      </c>
      <c r="M4381" t="s">
        <v>108</v>
      </c>
      <c r="N4381" t="s">
        <v>17</v>
      </c>
      <c r="O4381" t="s">
        <v>189</v>
      </c>
      <c r="P4381" s="1" t="s">
        <v>33</v>
      </c>
      <c r="Q4381">
        <v>131.5</v>
      </c>
    </row>
    <row r="4382" spans="11:17" x14ac:dyDescent="0.3">
      <c r="K4382">
        <v>2017</v>
      </c>
      <c r="L4382" t="s">
        <v>39</v>
      </c>
      <c r="M4382" t="s">
        <v>108</v>
      </c>
      <c r="N4382" t="s">
        <v>19</v>
      </c>
      <c r="O4382" t="s">
        <v>189</v>
      </c>
      <c r="P4382" s="1" t="s">
        <v>30</v>
      </c>
      <c r="Q4382">
        <v>142.30000000000001</v>
      </c>
    </row>
    <row r="4383" spans="11:17" x14ac:dyDescent="0.3">
      <c r="K4383">
        <v>2017</v>
      </c>
      <c r="L4383" t="s">
        <v>39</v>
      </c>
      <c r="M4383" t="s">
        <v>108</v>
      </c>
      <c r="N4383" t="s">
        <v>19</v>
      </c>
      <c r="O4383" t="s">
        <v>189</v>
      </c>
      <c r="P4383" s="1" t="s">
        <v>34</v>
      </c>
      <c r="Q4383">
        <v>137.5</v>
      </c>
    </row>
    <row r="4384" spans="11:17" x14ac:dyDescent="0.3">
      <c r="K4384">
        <v>2017</v>
      </c>
      <c r="L4384" t="s">
        <v>39</v>
      </c>
      <c r="M4384" t="s">
        <v>108</v>
      </c>
      <c r="N4384" t="s">
        <v>19</v>
      </c>
      <c r="O4384" t="s">
        <v>189</v>
      </c>
      <c r="P4384" s="1" t="s">
        <v>33</v>
      </c>
      <c r="Q4384">
        <v>130.19999999999999</v>
      </c>
    </row>
    <row r="4385" spans="11:17" x14ac:dyDescent="0.3">
      <c r="K4385">
        <v>2017</v>
      </c>
      <c r="L4385" t="s">
        <v>39</v>
      </c>
      <c r="M4385" t="s">
        <v>108</v>
      </c>
      <c r="N4385" t="s">
        <v>26</v>
      </c>
      <c r="O4385" t="s">
        <v>26</v>
      </c>
      <c r="P4385" s="1" t="s">
        <v>30</v>
      </c>
      <c r="Q4385">
        <v>136.9</v>
      </c>
    </row>
    <row r="4386" spans="11:17" x14ac:dyDescent="0.3">
      <c r="K4386">
        <v>2017</v>
      </c>
      <c r="L4386" t="s">
        <v>39</v>
      </c>
      <c r="M4386" t="s">
        <v>108</v>
      </c>
      <c r="N4386" t="s">
        <v>26</v>
      </c>
      <c r="O4386" t="s">
        <v>26</v>
      </c>
      <c r="P4386" s="1" t="s">
        <v>34</v>
      </c>
      <c r="Q4386">
        <v>135.4</v>
      </c>
    </row>
    <row r="4387" spans="11:17" x14ac:dyDescent="0.3">
      <c r="K4387">
        <v>2017</v>
      </c>
      <c r="L4387" t="s">
        <v>39</v>
      </c>
      <c r="M4387" t="s">
        <v>108</v>
      </c>
      <c r="N4387" t="s">
        <v>26</v>
      </c>
      <c r="O4387" t="s">
        <v>26</v>
      </c>
      <c r="P4387" s="1" t="s">
        <v>33</v>
      </c>
      <c r="Q4387">
        <v>134.30000000000001</v>
      </c>
    </row>
    <row r="4388" spans="11:17" x14ac:dyDescent="0.3">
      <c r="K4388">
        <v>2017</v>
      </c>
      <c r="L4388" t="s">
        <v>39</v>
      </c>
      <c r="M4388" t="s">
        <v>108</v>
      </c>
      <c r="N4388" t="s">
        <v>5</v>
      </c>
      <c r="O4388" t="s">
        <v>188</v>
      </c>
      <c r="P4388" s="1" t="s">
        <v>30</v>
      </c>
      <c r="Q4388">
        <v>128</v>
      </c>
    </row>
    <row r="4389" spans="11:17" x14ac:dyDescent="0.3">
      <c r="K4389">
        <v>2017</v>
      </c>
      <c r="L4389" t="s">
        <v>39</v>
      </c>
      <c r="M4389" t="s">
        <v>108</v>
      </c>
      <c r="N4389" t="s">
        <v>5</v>
      </c>
      <c r="O4389" t="s">
        <v>188</v>
      </c>
      <c r="P4389" s="1" t="s">
        <v>34</v>
      </c>
      <c r="Q4389">
        <v>128.1</v>
      </c>
    </row>
    <row r="4390" spans="11:17" x14ac:dyDescent="0.3">
      <c r="K4390">
        <v>2017</v>
      </c>
      <c r="L4390" t="s">
        <v>39</v>
      </c>
      <c r="M4390" t="s">
        <v>108</v>
      </c>
      <c r="N4390" t="s">
        <v>5</v>
      </c>
      <c r="O4390" t="s">
        <v>188</v>
      </c>
      <c r="P4390" s="1" t="s">
        <v>33</v>
      </c>
      <c r="Q4390">
        <v>128.30000000000001</v>
      </c>
    </row>
    <row r="4391" spans="11:17" x14ac:dyDescent="0.3">
      <c r="K4391">
        <v>2017</v>
      </c>
      <c r="L4391" t="s">
        <v>39</v>
      </c>
      <c r="M4391" t="s">
        <v>108</v>
      </c>
      <c r="N4391" t="s">
        <v>15</v>
      </c>
      <c r="O4391" t="s">
        <v>188</v>
      </c>
      <c r="P4391" s="1" t="s">
        <v>30</v>
      </c>
      <c r="Q4391">
        <v>134.9</v>
      </c>
    </row>
    <row r="4392" spans="11:17" x14ac:dyDescent="0.3">
      <c r="K4392">
        <v>2017</v>
      </c>
      <c r="L4392" t="s">
        <v>39</v>
      </c>
      <c r="M4392" t="s">
        <v>108</v>
      </c>
      <c r="N4392" t="s">
        <v>15</v>
      </c>
      <c r="O4392" t="s">
        <v>188</v>
      </c>
      <c r="P4392" s="1" t="s">
        <v>34</v>
      </c>
      <c r="Q4392">
        <v>135.19999999999999</v>
      </c>
    </row>
    <row r="4393" spans="11:17" x14ac:dyDescent="0.3">
      <c r="K4393">
        <v>2017</v>
      </c>
      <c r="L4393" t="s">
        <v>39</v>
      </c>
      <c r="M4393" t="s">
        <v>108</v>
      </c>
      <c r="N4393" t="s">
        <v>15</v>
      </c>
      <c r="O4393" t="s">
        <v>188</v>
      </c>
      <c r="P4393" s="1" t="s">
        <v>33</v>
      </c>
      <c r="Q4393">
        <v>135.69999999999999</v>
      </c>
    </row>
    <row r="4394" spans="11:17" x14ac:dyDescent="0.3">
      <c r="K4394">
        <v>2017</v>
      </c>
      <c r="L4394" t="s">
        <v>39</v>
      </c>
      <c r="M4394" t="s">
        <v>108</v>
      </c>
      <c r="N4394" t="s">
        <v>18</v>
      </c>
      <c r="O4394" t="s">
        <v>189</v>
      </c>
      <c r="P4394" s="1" t="s">
        <v>30</v>
      </c>
      <c r="Q4394">
        <v>137.69999999999999</v>
      </c>
    </row>
    <row r="4395" spans="11:17" x14ac:dyDescent="0.3">
      <c r="K4395">
        <v>2017</v>
      </c>
      <c r="L4395" t="s">
        <v>39</v>
      </c>
      <c r="M4395" t="s">
        <v>108</v>
      </c>
      <c r="N4395" t="s">
        <v>18</v>
      </c>
      <c r="O4395" t="s">
        <v>189</v>
      </c>
      <c r="P4395" s="1" t="s">
        <v>34</v>
      </c>
      <c r="Q4395">
        <v>131.69999999999999</v>
      </c>
    </row>
    <row r="4396" spans="11:17" x14ac:dyDescent="0.3">
      <c r="K4396">
        <v>2017</v>
      </c>
      <c r="L4396" t="s">
        <v>39</v>
      </c>
      <c r="M4396" t="s">
        <v>108</v>
      </c>
      <c r="N4396" t="s">
        <v>18</v>
      </c>
      <c r="O4396" t="s">
        <v>189</v>
      </c>
      <c r="P4396" s="1" t="s">
        <v>33</v>
      </c>
      <c r="Q4396">
        <v>123.2</v>
      </c>
    </row>
    <row r="4397" spans="11:17" x14ac:dyDescent="0.3">
      <c r="K4397">
        <v>2017</v>
      </c>
      <c r="L4397" t="s">
        <v>39</v>
      </c>
      <c r="M4397" t="s">
        <v>108</v>
      </c>
      <c r="N4397" t="s">
        <v>8</v>
      </c>
      <c r="O4397" t="s">
        <v>188</v>
      </c>
      <c r="P4397" s="1" t="s">
        <v>30</v>
      </c>
      <c r="Q4397">
        <v>140.9</v>
      </c>
    </row>
    <row r="4398" spans="11:17" x14ac:dyDescent="0.3">
      <c r="K4398">
        <v>2017</v>
      </c>
      <c r="L4398" t="s">
        <v>39</v>
      </c>
      <c r="M4398" t="s">
        <v>108</v>
      </c>
      <c r="N4398" t="s">
        <v>8</v>
      </c>
      <c r="O4398" t="s">
        <v>188</v>
      </c>
      <c r="P4398" s="1" t="s">
        <v>34</v>
      </c>
      <c r="Q4398">
        <v>139.19999999999999</v>
      </c>
    </row>
    <row r="4399" spans="11:17" x14ac:dyDescent="0.3">
      <c r="K4399">
        <v>2017</v>
      </c>
      <c r="L4399" t="s">
        <v>39</v>
      </c>
      <c r="M4399" t="s">
        <v>108</v>
      </c>
      <c r="N4399" t="s">
        <v>8</v>
      </c>
      <c r="O4399" t="s">
        <v>188</v>
      </c>
      <c r="P4399" s="1" t="s">
        <v>33</v>
      </c>
      <c r="Q4399">
        <v>137.19999999999999</v>
      </c>
    </row>
    <row r="4400" spans="11:17" x14ac:dyDescent="0.3">
      <c r="K4400">
        <v>2017</v>
      </c>
      <c r="L4400" t="s">
        <v>39</v>
      </c>
      <c r="M4400" t="s">
        <v>108</v>
      </c>
      <c r="N4400" t="s">
        <v>21</v>
      </c>
      <c r="O4400" t="s">
        <v>190</v>
      </c>
      <c r="P4400" s="1" t="s">
        <v>30</v>
      </c>
      <c r="Q4400">
        <v>134.80000000000001</v>
      </c>
    </row>
    <row r="4401" spans="11:17" x14ac:dyDescent="0.3">
      <c r="K4401">
        <v>2017</v>
      </c>
      <c r="L4401" t="s">
        <v>39</v>
      </c>
      <c r="M4401" t="s">
        <v>108</v>
      </c>
      <c r="N4401" t="s">
        <v>21</v>
      </c>
      <c r="O4401" t="s">
        <v>190</v>
      </c>
      <c r="P4401" s="1" t="s">
        <v>34</v>
      </c>
      <c r="Q4401">
        <v>128.80000000000001</v>
      </c>
    </row>
    <row r="4402" spans="11:17" x14ac:dyDescent="0.3">
      <c r="K4402">
        <v>2017</v>
      </c>
      <c r="L4402" t="s">
        <v>39</v>
      </c>
      <c r="M4402" t="s">
        <v>108</v>
      </c>
      <c r="N4402" t="s">
        <v>21</v>
      </c>
      <c r="O4402" t="s">
        <v>190</v>
      </c>
      <c r="P4402" s="1" t="s">
        <v>33</v>
      </c>
      <c r="Q4402">
        <v>119</v>
      </c>
    </row>
    <row r="4403" spans="11:17" x14ac:dyDescent="0.3">
      <c r="K4403">
        <v>2017</v>
      </c>
      <c r="L4403" t="s">
        <v>39</v>
      </c>
      <c r="M4403" t="s">
        <v>108</v>
      </c>
      <c r="N4403" t="s">
        <v>29</v>
      </c>
      <c r="O4403" t="s">
        <v>206</v>
      </c>
      <c r="P4403" s="1" t="s">
        <v>30</v>
      </c>
      <c r="Q4403">
        <v>133.9</v>
      </c>
    </row>
    <row r="4404" spans="11:17" x14ac:dyDescent="0.3">
      <c r="K4404">
        <v>2017</v>
      </c>
      <c r="L4404" t="s">
        <v>39</v>
      </c>
      <c r="M4404" t="s">
        <v>108</v>
      </c>
      <c r="N4404" t="s">
        <v>29</v>
      </c>
      <c r="O4404" t="s">
        <v>206</v>
      </c>
      <c r="P4404" s="1" t="s">
        <v>34</v>
      </c>
      <c r="Q4404">
        <v>132</v>
      </c>
    </row>
    <row r="4405" spans="11:17" x14ac:dyDescent="0.3">
      <c r="K4405">
        <v>2017</v>
      </c>
      <c r="L4405" t="s">
        <v>39</v>
      </c>
      <c r="M4405" t="s">
        <v>108</v>
      </c>
      <c r="N4405" t="s">
        <v>29</v>
      </c>
      <c r="O4405" t="s">
        <v>206</v>
      </c>
      <c r="P4405" s="1" t="s">
        <v>33</v>
      </c>
      <c r="Q4405">
        <v>129.9</v>
      </c>
    </row>
    <row r="4406" spans="11:17" x14ac:dyDescent="0.3">
      <c r="K4406">
        <v>2017</v>
      </c>
      <c r="L4406" t="s">
        <v>39</v>
      </c>
      <c r="M4406" t="s">
        <v>108</v>
      </c>
      <c r="N4406" t="s">
        <v>23</v>
      </c>
      <c r="O4406" t="s">
        <v>23</v>
      </c>
      <c r="P4406" s="1" t="s">
        <v>30</v>
      </c>
      <c r="Q4406">
        <v>131.30000000000001</v>
      </c>
    </row>
    <row r="4407" spans="11:17" x14ac:dyDescent="0.3">
      <c r="K4407">
        <v>2017</v>
      </c>
      <c r="L4407" t="s">
        <v>39</v>
      </c>
      <c r="M4407" t="s">
        <v>108</v>
      </c>
      <c r="N4407" t="s">
        <v>23</v>
      </c>
      <c r="O4407" t="s">
        <v>23</v>
      </c>
      <c r="P4407" s="1" t="s">
        <v>34</v>
      </c>
      <c r="Q4407">
        <v>128.5</v>
      </c>
    </row>
    <row r="4408" spans="11:17" x14ac:dyDescent="0.3">
      <c r="K4408">
        <v>2017</v>
      </c>
      <c r="L4408" t="s">
        <v>39</v>
      </c>
      <c r="M4408" t="s">
        <v>108</v>
      </c>
      <c r="N4408" t="s">
        <v>23</v>
      </c>
      <c r="O4408" t="s">
        <v>23</v>
      </c>
      <c r="P4408" s="1" t="s">
        <v>33</v>
      </c>
      <c r="Q4408">
        <v>123.8</v>
      </c>
    </row>
    <row r="4409" spans="11:17" x14ac:dyDescent="0.3">
      <c r="K4409">
        <v>2017</v>
      </c>
      <c r="L4409" t="s">
        <v>39</v>
      </c>
      <c r="M4409" t="s">
        <v>108</v>
      </c>
      <c r="N4409" t="s">
        <v>22</v>
      </c>
      <c r="O4409" t="s">
        <v>20</v>
      </c>
      <c r="P4409" s="1" t="s">
        <v>30</v>
      </c>
      <c r="Q4409">
        <v>135.19999999999999</v>
      </c>
    </row>
    <row r="4410" spans="11:17" x14ac:dyDescent="0.3">
      <c r="K4410">
        <v>2017</v>
      </c>
      <c r="L4410" t="s">
        <v>39</v>
      </c>
      <c r="M4410" t="s">
        <v>108</v>
      </c>
      <c r="N4410" t="s">
        <v>22</v>
      </c>
      <c r="O4410" t="s">
        <v>20</v>
      </c>
      <c r="P4410" s="1" t="s">
        <v>34</v>
      </c>
      <c r="Q4410">
        <v>131.19999999999999</v>
      </c>
    </row>
    <row r="4411" spans="11:17" x14ac:dyDescent="0.3">
      <c r="K4411">
        <v>2017</v>
      </c>
      <c r="L4411" t="s">
        <v>39</v>
      </c>
      <c r="M4411" t="s">
        <v>108</v>
      </c>
      <c r="N4411" t="s">
        <v>22</v>
      </c>
      <c r="O4411" t="s">
        <v>20</v>
      </c>
      <c r="P4411" s="1" t="s">
        <v>33</v>
      </c>
      <c r="Q4411">
        <v>126.8</v>
      </c>
    </row>
    <row r="4412" spans="11:17" x14ac:dyDescent="0.3">
      <c r="K4412">
        <v>2017</v>
      </c>
      <c r="L4412" t="s">
        <v>39</v>
      </c>
      <c r="M4412" t="s">
        <v>108</v>
      </c>
      <c r="N4412" t="s">
        <v>20</v>
      </c>
      <c r="O4412" t="s">
        <v>20</v>
      </c>
      <c r="P4412" s="1" t="s">
        <v>30</v>
      </c>
      <c r="Q4412">
        <v>0</v>
      </c>
    </row>
    <row r="4413" spans="11:17" x14ac:dyDescent="0.3">
      <c r="K4413">
        <v>2017</v>
      </c>
      <c r="L4413" t="s">
        <v>39</v>
      </c>
      <c r="M4413" t="s">
        <v>108</v>
      </c>
      <c r="N4413" t="s">
        <v>20</v>
      </c>
      <c r="O4413" t="s">
        <v>20</v>
      </c>
      <c r="P4413" s="1" t="s">
        <v>34</v>
      </c>
      <c r="Q4413">
        <v>131.4</v>
      </c>
    </row>
    <row r="4414" spans="11:17" x14ac:dyDescent="0.3">
      <c r="K4414">
        <v>2017</v>
      </c>
      <c r="L4414" t="s">
        <v>39</v>
      </c>
      <c r="M4414" t="s">
        <v>108</v>
      </c>
      <c r="N4414" t="s">
        <v>20</v>
      </c>
      <c r="O4414" t="s">
        <v>20</v>
      </c>
      <c r="P4414" s="1" t="s">
        <v>33</v>
      </c>
      <c r="Q4414">
        <v>131.4</v>
      </c>
    </row>
    <row r="4415" spans="11:17" x14ac:dyDescent="0.3">
      <c r="K4415">
        <v>2017</v>
      </c>
      <c r="L4415" t="s">
        <v>39</v>
      </c>
      <c r="M4415" t="s">
        <v>108</v>
      </c>
      <c r="N4415" t="s">
        <v>4</v>
      </c>
      <c r="O4415" t="s">
        <v>188</v>
      </c>
      <c r="P4415" s="1" t="s">
        <v>30</v>
      </c>
      <c r="Q4415">
        <v>143.69999999999999</v>
      </c>
    </row>
    <row r="4416" spans="11:17" x14ac:dyDescent="0.3">
      <c r="K4416">
        <v>2017</v>
      </c>
      <c r="L4416" t="s">
        <v>39</v>
      </c>
      <c r="M4416" t="s">
        <v>108</v>
      </c>
      <c r="N4416" t="s">
        <v>4</v>
      </c>
      <c r="O4416" t="s">
        <v>188</v>
      </c>
      <c r="P4416" s="1" t="s">
        <v>34</v>
      </c>
      <c r="Q4416">
        <v>145.5</v>
      </c>
    </row>
    <row r="4417" spans="11:17" x14ac:dyDescent="0.3">
      <c r="K4417">
        <v>2017</v>
      </c>
      <c r="L4417" t="s">
        <v>39</v>
      </c>
      <c r="M4417" t="s">
        <v>108</v>
      </c>
      <c r="N4417" t="s">
        <v>4</v>
      </c>
      <c r="O4417" t="s">
        <v>188</v>
      </c>
      <c r="P4417" s="1" t="s">
        <v>33</v>
      </c>
      <c r="Q4417">
        <v>148.69999999999999</v>
      </c>
    </row>
    <row r="4418" spans="11:17" x14ac:dyDescent="0.3">
      <c r="K4418">
        <v>2017</v>
      </c>
      <c r="L4418" t="s">
        <v>39</v>
      </c>
      <c r="M4418" t="s">
        <v>108</v>
      </c>
      <c r="N4418" t="s">
        <v>6</v>
      </c>
      <c r="O4418" t="s">
        <v>188</v>
      </c>
      <c r="P4418" s="1" t="s">
        <v>30</v>
      </c>
      <c r="Q4418">
        <v>138.6</v>
      </c>
    </row>
    <row r="4419" spans="11:17" x14ac:dyDescent="0.3">
      <c r="K4419">
        <v>2017</v>
      </c>
      <c r="L4419" t="s">
        <v>39</v>
      </c>
      <c r="M4419" t="s">
        <v>108</v>
      </c>
      <c r="N4419" t="s">
        <v>6</v>
      </c>
      <c r="O4419" t="s">
        <v>188</v>
      </c>
      <c r="P4419" s="1" t="s">
        <v>34</v>
      </c>
      <c r="Q4419">
        <v>138.1</v>
      </c>
    </row>
    <row r="4420" spans="11:17" x14ac:dyDescent="0.3">
      <c r="K4420">
        <v>2017</v>
      </c>
      <c r="L4420" t="s">
        <v>39</v>
      </c>
      <c r="M4420" t="s">
        <v>108</v>
      </c>
      <c r="N4420" t="s">
        <v>6</v>
      </c>
      <c r="O4420" t="s">
        <v>188</v>
      </c>
      <c r="P4420" s="1" t="s">
        <v>33</v>
      </c>
      <c r="Q4420">
        <v>137.30000000000001</v>
      </c>
    </row>
    <row r="4421" spans="11:17" x14ac:dyDescent="0.3">
      <c r="K4421">
        <v>2017</v>
      </c>
      <c r="L4421" t="s">
        <v>39</v>
      </c>
      <c r="M4421" t="s">
        <v>108</v>
      </c>
      <c r="N4421" t="s">
        <v>28</v>
      </c>
      <c r="O4421" t="s">
        <v>192</v>
      </c>
      <c r="P4421" s="1" t="s">
        <v>30</v>
      </c>
      <c r="Q4421">
        <v>128.1</v>
      </c>
    </row>
    <row r="4422" spans="11:17" x14ac:dyDescent="0.3">
      <c r="K4422">
        <v>2017</v>
      </c>
      <c r="L4422" t="s">
        <v>39</v>
      </c>
      <c r="M4422" t="s">
        <v>108</v>
      </c>
      <c r="N4422" t="s">
        <v>28</v>
      </c>
      <c r="O4422" t="s">
        <v>192</v>
      </c>
      <c r="P4422" s="1" t="s">
        <v>34</v>
      </c>
      <c r="Q4422">
        <v>125.5</v>
      </c>
    </row>
    <row r="4423" spans="11:17" x14ac:dyDescent="0.3">
      <c r="K4423">
        <v>2017</v>
      </c>
      <c r="L4423" t="s">
        <v>39</v>
      </c>
      <c r="M4423" t="s">
        <v>108</v>
      </c>
      <c r="N4423" t="s">
        <v>28</v>
      </c>
      <c r="O4423" t="s">
        <v>192</v>
      </c>
      <c r="P4423" s="1" t="s">
        <v>33</v>
      </c>
      <c r="Q4423">
        <v>122.7</v>
      </c>
    </row>
    <row r="4424" spans="11:17" x14ac:dyDescent="0.3">
      <c r="K4424">
        <v>2017</v>
      </c>
      <c r="L4424" t="s">
        <v>39</v>
      </c>
      <c r="M4424" t="s">
        <v>108</v>
      </c>
      <c r="N4424" t="s">
        <v>13</v>
      </c>
      <c r="O4424" t="s">
        <v>188</v>
      </c>
      <c r="P4424" s="1" t="s">
        <v>30</v>
      </c>
      <c r="Q4424">
        <v>130.4</v>
      </c>
    </row>
    <row r="4425" spans="11:17" x14ac:dyDescent="0.3">
      <c r="K4425">
        <v>2017</v>
      </c>
      <c r="L4425" t="s">
        <v>39</v>
      </c>
      <c r="M4425" t="s">
        <v>108</v>
      </c>
      <c r="N4425" t="s">
        <v>13</v>
      </c>
      <c r="O4425" t="s">
        <v>188</v>
      </c>
      <c r="P4425" s="1" t="s">
        <v>34</v>
      </c>
      <c r="Q4425">
        <v>127.8</v>
      </c>
    </row>
    <row r="4426" spans="11:17" x14ac:dyDescent="0.3">
      <c r="K4426">
        <v>2017</v>
      </c>
      <c r="L4426" t="s">
        <v>39</v>
      </c>
      <c r="M4426" t="s">
        <v>108</v>
      </c>
      <c r="N4426" t="s">
        <v>13</v>
      </c>
      <c r="O4426" t="s">
        <v>188</v>
      </c>
      <c r="P4426" s="1" t="s">
        <v>33</v>
      </c>
      <c r="Q4426">
        <v>124.2</v>
      </c>
    </row>
    <row r="4427" spans="11:17" x14ac:dyDescent="0.3">
      <c r="K4427">
        <v>2017</v>
      </c>
      <c r="L4427" t="s">
        <v>39</v>
      </c>
      <c r="M4427" t="s">
        <v>108</v>
      </c>
      <c r="N4427" t="s">
        <v>7</v>
      </c>
      <c r="O4427" t="s">
        <v>188</v>
      </c>
      <c r="P4427" s="1" t="s">
        <v>30</v>
      </c>
      <c r="Q4427">
        <v>120.9</v>
      </c>
    </row>
    <row r="4428" spans="11:17" x14ac:dyDescent="0.3">
      <c r="K4428">
        <v>2017</v>
      </c>
      <c r="L4428" t="s">
        <v>39</v>
      </c>
      <c r="M4428" t="s">
        <v>108</v>
      </c>
      <c r="N4428" t="s">
        <v>7</v>
      </c>
      <c r="O4428" t="s">
        <v>188</v>
      </c>
      <c r="P4428" s="1" t="s">
        <v>34</v>
      </c>
      <c r="Q4428">
        <v>118.2</v>
      </c>
    </row>
    <row r="4429" spans="11:17" x14ac:dyDescent="0.3">
      <c r="K4429">
        <v>2017</v>
      </c>
      <c r="L4429" t="s">
        <v>39</v>
      </c>
      <c r="M4429" t="s">
        <v>108</v>
      </c>
      <c r="N4429" t="s">
        <v>7</v>
      </c>
      <c r="O4429" t="s">
        <v>188</v>
      </c>
      <c r="P4429" s="1" t="s">
        <v>33</v>
      </c>
      <c r="Q4429">
        <v>113.5</v>
      </c>
    </row>
    <row r="4430" spans="11:17" x14ac:dyDescent="0.3">
      <c r="K4430">
        <v>2017</v>
      </c>
      <c r="L4430" t="s">
        <v>39</v>
      </c>
      <c r="M4430" t="s">
        <v>108</v>
      </c>
      <c r="N4430" t="s">
        <v>16</v>
      </c>
      <c r="O4430" t="s">
        <v>192</v>
      </c>
      <c r="P4430" s="1" t="s">
        <v>30</v>
      </c>
      <c r="Q4430">
        <v>145.80000000000001</v>
      </c>
    </row>
    <row r="4431" spans="11:17" x14ac:dyDescent="0.3">
      <c r="K4431">
        <v>2017</v>
      </c>
      <c r="L4431" t="s">
        <v>39</v>
      </c>
      <c r="M4431" t="s">
        <v>108</v>
      </c>
      <c r="N4431" t="s">
        <v>16</v>
      </c>
      <c r="O4431" t="s">
        <v>192</v>
      </c>
      <c r="P4431" s="1" t="s">
        <v>34</v>
      </c>
      <c r="Q4431">
        <v>146.5</v>
      </c>
    </row>
    <row r="4432" spans="11:17" x14ac:dyDescent="0.3">
      <c r="K4432">
        <v>2017</v>
      </c>
      <c r="L4432" t="s">
        <v>39</v>
      </c>
      <c r="M4432" t="s">
        <v>108</v>
      </c>
      <c r="N4432" t="s">
        <v>16</v>
      </c>
      <c r="O4432" t="s">
        <v>192</v>
      </c>
      <c r="P4432" s="1" t="s">
        <v>33</v>
      </c>
      <c r="Q4432">
        <v>148.6</v>
      </c>
    </row>
    <row r="4433" spans="11:17" x14ac:dyDescent="0.3">
      <c r="K4433">
        <v>2017</v>
      </c>
      <c r="L4433" t="s">
        <v>39</v>
      </c>
      <c r="M4433" t="s">
        <v>108</v>
      </c>
      <c r="N4433" t="s">
        <v>27</v>
      </c>
      <c r="O4433" t="s">
        <v>192</v>
      </c>
      <c r="P4433" s="1" t="s">
        <v>30</v>
      </c>
      <c r="Q4433">
        <v>124.1</v>
      </c>
    </row>
    <row r="4434" spans="11:17" x14ac:dyDescent="0.3">
      <c r="K4434">
        <v>2017</v>
      </c>
      <c r="L4434" t="s">
        <v>39</v>
      </c>
      <c r="M4434" t="s">
        <v>108</v>
      </c>
      <c r="N4434" t="s">
        <v>27</v>
      </c>
      <c r="O4434" t="s">
        <v>192</v>
      </c>
      <c r="P4434" s="1" t="s">
        <v>34</v>
      </c>
      <c r="Q4434">
        <v>123.4</v>
      </c>
    </row>
    <row r="4435" spans="11:17" x14ac:dyDescent="0.3">
      <c r="K4435">
        <v>2017</v>
      </c>
      <c r="L4435" t="s">
        <v>39</v>
      </c>
      <c r="M4435" t="s">
        <v>108</v>
      </c>
      <c r="N4435" t="s">
        <v>27</v>
      </c>
      <c r="O4435" t="s">
        <v>192</v>
      </c>
      <c r="P4435" s="1" t="s">
        <v>33</v>
      </c>
      <c r="Q4435">
        <v>122.5</v>
      </c>
    </row>
    <row r="4436" spans="11:17" x14ac:dyDescent="0.3">
      <c r="K4436">
        <v>2017</v>
      </c>
      <c r="L4436" t="s">
        <v>39</v>
      </c>
      <c r="M4436" t="s">
        <v>108</v>
      </c>
      <c r="N4436" t="s">
        <v>14</v>
      </c>
      <c r="O4436" t="s">
        <v>188</v>
      </c>
      <c r="P4436" s="1" t="s">
        <v>30</v>
      </c>
      <c r="Q4436">
        <v>146.5</v>
      </c>
    </row>
    <row r="4437" spans="11:17" x14ac:dyDescent="0.3">
      <c r="K4437">
        <v>2017</v>
      </c>
      <c r="L4437" t="s">
        <v>39</v>
      </c>
      <c r="M4437" t="s">
        <v>108</v>
      </c>
      <c r="N4437" t="s">
        <v>14</v>
      </c>
      <c r="O4437" t="s">
        <v>188</v>
      </c>
      <c r="P4437" s="1" t="s">
        <v>34</v>
      </c>
      <c r="Q4437">
        <v>144.9</v>
      </c>
    </row>
    <row r="4438" spans="11:17" x14ac:dyDescent="0.3">
      <c r="K4438">
        <v>2017</v>
      </c>
      <c r="L4438" t="s">
        <v>39</v>
      </c>
      <c r="M4438" t="s">
        <v>108</v>
      </c>
      <c r="N4438" t="s">
        <v>14</v>
      </c>
      <c r="O4438" t="s">
        <v>188</v>
      </c>
      <c r="P4438" s="1" t="s">
        <v>33</v>
      </c>
      <c r="Q4438">
        <v>143.1</v>
      </c>
    </row>
    <row r="4439" spans="11:17" x14ac:dyDescent="0.3">
      <c r="K4439">
        <v>2017</v>
      </c>
      <c r="L4439" t="s">
        <v>39</v>
      </c>
      <c r="M4439" t="s">
        <v>108</v>
      </c>
      <c r="N4439" t="s">
        <v>10</v>
      </c>
      <c r="O4439" t="s">
        <v>188</v>
      </c>
      <c r="P4439" s="1" t="s">
        <v>30</v>
      </c>
      <c r="Q4439">
        <v>140.19999999999999</v>
      </c>
    </row>
    <row r="4440" spans="11:17" x14ac:dyDescent="0.3">
      <c r="K4440">
        <v>2017</v>
      </c>
      <c r="L4440" t="s">
        <v>39</v>
      </c>
      <c r="M4440" t="s">
        <v>108</v>
      </c>
      <c r="N4440" t="s">
        <v>10</v>
      </c>
      <c r="O4440" t="s">
        <v>188</v>
      </c>
      <c r="P4440" s="1" t="s">
        <v>34</v>
      </c>
      <c r="Q4440">
        <v>136.19999999999999</v>
      </c>
    </row>
    <row r="4441" spans="11:17" x14ac:dyDescent="0.3">
      <c r="K4441">
        <v>2017</v>
      </c>
      <c r="L4441" t="s">
        <v>39</v>
      </c>
      <c r="M4441" t="s">
        <v>108</v>
      </c>
      <c r="N4441" t="s">
        <v>10</v>
      </c>
      <c r="O4441" t="s">
        <v>188</v>
      </c>
      <c r="P4441" s="1" t="s">
        <v>33</v>
      </c>
      <c r="Q4441">
        <v>128.19999999999999</v>
      </c>
    </row>
    <row r="4442" spans="11:17" x14ac:dyDescent="0.3">
      <c r="K4442">
        <v>2017</v>
      </c>
      <c r="L4442" t="s">
        <v>39</v>
      </c>
      <c r="M4442" t="s">
        <v>108</v>
      </c>
      <c r="N4442" t="s">
        <v>25</v>
      </c>
      <c r="O4442" t="s">
        <v>195</v>
      </c>
      <c r="P4442" s="1" t="s">
        <v>30</v>
      </c>
      <c r="Q4442">
        <v>129.80000000000001</v>
      </c>
    </row>
    <row r="4443" spans="11:17" x14ac:dyDescent="0.3">
      <c r="K4443">
        <v>2017</v>
      </c>
      <c r="L4443" t="s">
        <v>39</v>
      </c>
      <c r="M4443" t="s">
        <v>108</v>
      </c>
      <c r="N4443" t="s">
        <v>25</v>
      </c>
      <c r="O4443" t="s">
        <v>195</v>
      </c>
      <c r="P4443" s="1" t="s">
        <v>34</v>
      </c>
      <c r="Q4443">
        <v>125.9</v>
      </c>
    </row>
    <row r="4444" spans="11:17" x14ac:dyDescent="0.3">
      <c r="K4444">
        <v>2017</v>
      </c>
      <c r="L4444" t="s">
        <v>39</v>
      </c>
      <c r="M4444" t="s">
        <v>108</v>
      </c>
      <c r="N4444" t="s">
        <v>25</v>
      </c>
      <c r="O4444" t="s">
        <v>195</v>
      </c>
      <c r="P4444" s="1" t="s">
        <v>33</v>
      </c>
      <c r="Q4444">
        <v>122.9</v>
      </c>
    </row>
    <row r="4445" spans="11:17" x14ac:dyDescent="0.3">
      <c r="K4445">
        <v>2017</v>
      </c>
      <c r="L4445" t="s">
        <v>39</v>
      </c>
      <c r="M4445" t="s">
        <v>108</v>
      </c>
      <c r="N4445" t="s">
        <v>12</v>
      </c>
      <c r="O4445" t="s">
        <v>188</v>
      </c>
      <c r="P4445" s="1" t="s">
        <v>30</v>
      </c>
      <c r="Q4445">
        <v>133.5</v>
      </c>
    </row>
    <row r="4446" spans="11:17" x14ac:dyDescent="0.3">
      <c r="K4446">
        <v>2017</v>
      </c>
      <c r="L4446" t="s">
        <v>39</v>
      </c>
      <c r="M4446" t="s">
        <v>108</v>
      </c>
      <c r="N4446" t="s">
        <v>12</v>
      </c>
      <c r="O4446" t="s">
        <v>188</v>
      </c>
      <c r="P4446" s="1" t="s">
        <v>34</v>
      </c>
      <c r="Q4446">
        <v>135.30000000000001</v>
      </c>
    </row>
    <row r="4447" spans="11:17" x14ac:dyDescent="0.3">
      <c r="K4447">
        <v>2017</v>
      </c>
      <c r="L4447" t="s">
        <v>39</v>
      </c>
      <c r="M4447" t="s">
        <v>108</v>
      </c>
      <c r="N4447" t="s">
        <v>12</v>
      </c>
      <c r="O4447" t="s">
        <v>188</v>
      </c>
      <c r="P4447" s="1" t="s">
        <v>33</v>
      </c>
      <c r="Q4447">
        <v>138.80000000000001</v>
      </c>
    </row>
    <row r="4448" spans="11:17" x14ac:dyDescent="0.3">
      <c r="K4448">
        <v>2017</v>
      </c>
      <c r="L4448" t="s">
        <v>39</v>
      </c>
      <c r="M4448" t="s">
        <v>108</v>
      </c>
      <c r="N4448" t="s">
        <v>11</v>
      </c>
      <c r="O4448" t="s">
        <v>188</v>
      </c>
      <c r="P4448" s="1" t="s">
        <v>30</v>
      </c>
      <c r="Q4448">
        <v>118.9</v>
      </c>
    </row>
    <row r="4449" spans="11:17" x14ac:dyDescent="0.3">
      <c r="K4449">
        <v>2017</v>
      </c>
      <c r="L4449" t="s">
        <v>39</v>
      </c>
      <c r="M4449" t="s">
        <v>108</v>
      </c>
      <c r="N4449" t="s">
        <v>11</v>
      </c>
      <c r="O4449" t="s">
        <v>188</v>
      </c>
      <c r="P4449" s="1" t="s">
        <v>34</v>
      </c>
      <c r="Q4449">
        <v>119.6</v>
      </c>
    </row>
    <row r="4450" spans="11:17" x14ac:dyDescent="0.3">
      <c r="K4450">
        <v>2017</v>
      </c>
      <c r="L4450" t="s">
        <v>39</v>
      </c>
      <c r="M4450" t="s">
        <v>108</v>
      </c>
      <c r="N4450" t="s">
        <v>11</v>
      </c>
      <c r="O4450" t="s">
        <v>188</v>
      </c>
      <c r="P4450" s="1" t="s">
        <v>33</v>
      </c>
      <c r="Q4450">
        <v>120.9</v>
      </c>
    </row>
    <row r="4451" spans="11:17" x14ac:dyDescent="0.3">
      <c r="K4451">
        <v>2017</v>
      </c>
      <c r="L4451" t="s">
        <v>39</v>
      </c>
      <c r="M4451" t="s">
        <v>108</v>
      </c>
      <c r="N4451" t="s">
        <v>24</v>
      </c>
      <c r="O4451" t="s">
        <v>191</v>
      </c>
      <c r="P4451" s="1" t="s">
        <v>30</v>
      </c>
      <c r="Q4451">
        <v>119.4</v>
      </c>
    </row>
    <row r="4452" spans="11:17" x14ac:dyDescent="0.3">
      <c r="K4452">
        <v>2017</v>
      </c>
      <c r="L4452" t="s">
        <v>39</v>
      </c>
      <c r="M4452" t="s">
        <v>108</v>
      </c>
      <c r="N4452" t="s">
        <v>24</v>
      </c>
      <c r="O4452" t="s">
        <v>191</v>
      </c>
      <c r="P4452" s="1" t="s">
        <v>34</v>
      </c>
      <c r="Q4452">
        <v>116.5</v>
      </c>
    </row>
    <row r="4453" spans="11:17" x14ac:dyDescent="0.3">
      <c r="K4453">
        <v>2017</v>
      </c>
      <c r="L4453" t="s">
        <v>39</v>
      </c>
      <c r="M4453" t="s">
        <v>108</v>
      </c>
      <c r="N4453" t="s">
        <v>24</v>
      </c>
      <c r="O4453" t="s">
        <v>191</v>
      </c>
      <c r="P4453" s="1" t="s">
        <v>33</v>
      </c>
      <c r="Q4453">
        <v>113.9</v>
      </c>
    </row>
    <row r="4454" spans="11:17" x14ac:dyDescent="0.3">
      <c r="K4454">
        <v>2017</v>
      </c>
      <c r="L4454" t="s">
        <v>39</v>
      </c>
      <c r="M4454" t="s">
        <v>108</v>
      </c>
      <c r="N4454" t="s">
        <v>9</v>
      </c>
      <c r="O4454" t="s">
        <v>188</v>
      </c>
      <c r="P4454" s="1" t="s">
        <v>30</v>
      </c>
      <c r="Q4454">
        <v>128.80000000000001</v>
      </c>
    </row>
    <row r="4455" spans="11:17" x14ac:dyDescent="0.3">
      <c r="K4455">
        <v>2017</v>
      </c>
      <c r="L4455" t="s">
        <v>39</v>
      </c>
      <c r="M4455" t="s">
        <v>108</v>
      </c>
      <c r="N4455" t="s">
        <v>9</v>
      </c>
      <c r="O4455" t="s">
        <v>188</v>
      </c>
      <c r="P4455" s="1" t="s">
        <v>34</v>
      </c>
      <c r="Q4455">
        <v>133.30000000000001</v>
      </c>
    </row>
    <row r="4456" spans="11:17" x14ac:dyDescent="0.3">
      <c r="K4456">
        <v>2017</v>
      </c>
      <c r="L4456" t="s">
        <v>39</v>
      </c>
      <c r="M4456" t="s">
        <v>108</v>
      </c>
      <c r="N4456" t="s">
        <v>9</v>
      </c>
      <c r="O4456" t="s">
        <v>188</v>
      </c>
      <c r="P4456" s="1" t="s">
        <v>33</v>
      </c>
      <c r="Q4456">
        <v>142.19999999999999</v>
      </c>
    </row>
    <row r="4457" spans="11:17" x14ac:dyDescent="0.3">
      <c r="K4457">
        <v>2017</v>
      </c>
      <c r="L4457" t="s">
        <v>36</v>
      </c>
      <c r="M4457" t="s">
        <v>109</v>
      </c>
      <c r="N4457" t="s">
        <v>3</v>
      </c>
      <c r="O4457" t="s">
        <v>188</v>
      </c>
      <c r="P4457" s="1" t="s">
        <v>30</v>
      </c>
      <c r="Q4457">
        <v>133.6</v>
      </c>
    </row>
    <row r="4458" spans="11:17" x14ac:dyDescent="0.3">
      <c r="K4458">
        <v>2017</v>
      </c>
      <c r="L4458" t="s">
        <v>36</v>
      </c>
      <c r="M4458" t="s">
        <v>109</v>
      </c>
      <c r="N4458" t="s">
        <v>3</v>
      </c>
      <c r="O4458" t="s">
        <v>188</v>
      </c>
      <c r="P4458" s="1" t="s">
        <v>34</v>
      </c>
      <c r="Q4458">
        <v>133.30000000000001</v>
      </c>
    </row>
    <row r="4459" spans="11:17" x14ac:dyDescent="0.3">
      <c r="K4459">
        <v>2017</v>
      </c>
      <c r="L4459" t="s">
        <v>36</v>
      </c>
      <c r="M4459" t="s">
        <v>109</v>
      </c>
      <c r="N4459" t="s">
        <v>3</v>
      </c>
      <c r="O4459" t="s">
        <v>188</v>
      </c>
      <c r="P4459" s="1" t="s">
        <v>33</v>
      </c>
      <c r="Q4459">
        <v>132.69999999999999</v>
      </c>
    </row>
    <row r="4460" spans="11:17" x14ac:dyDescent="0.3">
      <c r="K4460">
        <v>2017</v>
      </c>
      <c r="L4460" t="s">
        <v>36</v>
      </c>
      <c r="M4460" t="s">
        <v>109</v>
      </c>
      <c r="N4460" t="s">
        <v>17</v>
      </c>
      <c r="O4460" t="s">
        <v>189</v>
      </c>
      <c r="P4460" s="1" t="s">
        <v>30</v>
      </c>
      <c r="Q4460">
        <v>141.6</v>
      </c>
    </row>
    <row r="4461" spans="11:17" x14ac:dyDescent="0.3">
      <c r="K4461">
        <v>2017</v>
      </c>
      <c r="L4461" t="s">
        <v>36</v>
      </c>
      <c r="M4461" t="s">
        <v>109</v>
      </c>
      <c r="N4461" t="s">
        <v>17</v>
      </c>
      <c r="O4461" t="s">
        <v>189</v>
      </c>
      <c r="P4461" s="1" t="s">
        <v>34</v>
      </c>
      <c r="Q4461">
        <v>137.30000000000001</v>
      </c>
    </row>
    <row r="4462" spans="11:17" x14ac:dyDescent="0.3">
      <c r="K4462">
        <v>2017</v>
      </c>
      <c r="L4462" t="s">
        <v>36</v>
      </c>
      <c r="M4462" t="s">
        <v>109</v>
      </c>
      <c r="N4462" t="s">
        <v>17</v>
      </c>
      <c r="O4462" t="s">
        <v>189</v>
      </c>
      <c r="P4462" s="1" t="s">
        <v>33</v>
      </c>
      <c r="Q4462">
        <v>130.80000000000001</v>
      </c>
    </row>
    <row r="4463" spans="11:17" x14ac:dyDescent="0.3">
      <c r="K4463">
        <v>2017</v>
      </c>
      <c r="L4463" t="s">
        <v>36</v>
      </c>
      <c r="M4463" t="s">
        <v>109</v>
      </c>
      <c r="N4463" t="s">
        <v>19</v>
      </c>
      <c r="O4463" t="s">
        <v>189</v>
      </c>
      <c r="P4463" s="1" t="s">
        <v>30</v>
      </c>
      <c r="Q4463">
        <v>140.80000000000001</v>
      </c>
    </row>
    <row r="4464" spans="11:17" x14ac:dyDescent="0.3">
      <c r="K4464">
        <v>2017</v>
      </c>
      <c r="L4464" t="s">
        <v>36</v>
      </c>
      <c r="M4464" t="s">
        <v>109</v>
      </c>
      <c r="N4464" t="s">
        <v>19</v>
      </c>
      <c r="O4464" t="s">
        <v>189</v>
      </c>
      <c r="P4464" s="1" t="s">
        <v>34</v>
      </c>
      <c r="Q4464">
        <v>136.4</v>
      </c>
    </row>
    <row r="4465" spans="11:17" x14ac:dyDescent="0.3">
      <c r="K4465">
        <v>2017</v>
      </c>
      <c r="L4465" t="s">
        <v>36</v>
      </c>
      <c r="M4465" t="s">
        <v>109</v>
      </c>
      <c r="N4465" t="s">
        <v>19</v>
      </c>
      <c r="O4465" t="s">
        <v>189</v>
      </c>
      <c r="P4465" s="1" t="s">
        <v>33</v>
      </c>
      <c r="Q4465">
        <v>129.6</v>
      </c>
    </row>
    <row r="4466" spans="11:17" x14ac:dyDescent="0.3">
      <c r="K4466">
        <v>2017</v>
      </c>
      <c r="L4466" t="s">
        <v>36</v>
      </c>
      <c r="M4466" t="s">
        <v>109</v>
      </c>
      <c r="N4466" t="s">
        <v>26</v>
      </c>
      <c r="O4466" t="s">
        <v>26</v>
      </c>
      <c r="P4466" s="1" t="s">
        <v>30</v>
      </c>
      <c r="Q4466">
        <v>135.19999999999999</v>
      </c>
    </row>
    <row r="4467" spans="11:17" x14ac:dyDescent="0.3">
      <c r="K4467">
        <v>2017</v>
      </c>
      <c r="L4467" t="s">
        <v>36</v>
      </c>
      <c r="M4467" t="s">
        <v>109</v>
      </c>
      <c r="N4467" t="s">
        <v>26</v>
      </c>
      <c r="O4467" t="s">
        <v>26</v>
      </c>
      <c r="P4467" s="1" t="s">
        <v>34</v>
      </c>
      <c r="Q4467">
        <v>133.80000000000001</v>
      </c>
    </row>
    <row r="4468" spans="11:17" x14ac:dyDescent="0.3">
      <c r="K4468">
        <v>2017</v>
      </c>
      <c r="L4468" t="s">
        <v>36</v>
      </c>
      <c r="M4468" t="s">
        <v>109</v>
      </c>
      <c r="N4468" t="s">
        <v>26</v>
      </c>
      <c r="O4468" t="s">
        <v>26</v>
      </c>
      <c r="P4468" s="1" t="s">
        <v>33</v>
      </c>
      <c r="Q4468">
        <v>132.80000000000001</v>
      </c>
    </row>
    <row r="4469" spans="11:17" x14ac:dyDescent="0.3">
      <c r="K4469">
        <v>2017</v>
      </c>
      <c r="L4469" t="s">
        <v>36</v>
      </c>
      <c r="M4469" t="s">
        <v>109</v>
      </c>
      <c r="N4469" t="s">
        <v>5</v>
      </c>
      <c r="O4469" t="s">
        <v>188</v>
      </c>
      <c r="P4469" s="1" t="s">
        <v>30</v>
      </c>
      <c r="Q4469">
        <v>128.80000000000001</v>
      </c>
    </row>
    <row r="4470" spans="11:17" x14ac:dyDescent="0.3">
      <c r="K4470">
        <v>2017</v>
      </c>
      <c r="L4470" t="s">
        <v>36</v>
      </c>
      <c r="M4470" t="s">
        <v>109</v>
      </c>
      <c r="N4470" t="s">
        <v>5</v>
      </c>
      <c r="O4470" t="s">
        <v>188</v>
      </c>
      <c r="P4470" s="1" t="s">
        <v>34</v>
      </c>
      <c r="Q4470">
        <v>128.6</v>
      </c>
    </row>
    <row r="4471" spans="11:17" x14ac:dyDescent="0.3">
      <c r="K4471">
        <v>2017</v>
      </c>
      <c r="L4471" t="s">
        <v>36</v>
      </c>
      <c r="M4471" t="s">
        <v>109</v>
      </c>
      <c r="N4471" t="s">
        <v>5</v>
      </c>
      <c r="O4471" t="s">
        <v>188</v>
      </c>
      <c r="P4471" s="1" t="s">
        <v>33</v>
      </c>
      <c r="Q4471">
        <v>128.4</v>
      </c>
    </row>
    <row r="4472" spans="11:17" x14ac:dyDescent="0.3">
      <c r="K4472">
        <v>2017</v>
      </c>
      <c r="L4472" t="s">
        <v>36</v>
      </c>
      <c r="M4472" t="s">
        <v>109</v>
      </c>
      <c r="N4472" t="s">
        <v>15</v>
      </c>
      <c r="O4472" t="s">
        <v>188</v>
      </c>
      <c r="P4472" s="1" t="s">
        <v>30</v>
      </c>
      <c r="Q4472">
        <v>133.4</v>
      </c>
    </row>
    <row r="4473" spans="11:17" x14ac:dyDescent="0.3">
      <c r="K4473">
        <v>2017</v>
      </c>
      <c r="L4473" t="s">
        <v>36</v>
      </c>
      <c r="M4473" t="s">
        <v>109</v>
      </c>
      <c r="N4473" t="s">
        <v>15</v>
      </c>
      <c r="O4473" t="s">
        <v>188</v>
      </c>
      <c r="P4473" s="1" t="s">
        <v>34</v>
      </c>
      <c r="Q4473">
        <v>133.1</v>
      </c>
    </row>
    <row r="4474" spans="11:17" x14ac:dyDescent="0.3">
      <c r="K4474">
        <v>2017</v>
      </c>
      <c r="L4474" t="s">
        <v>36</v>
      </c>
      <c r="M4474" t="s">
        <v>109</v>
      </c>
      <c r="N4474" t="s">
        <v>15</v>
      </c>
      <c r="O4474" t="s">
        <v>188</v>
      </c>
      <c r="P4474" s="1" t="s">
        <v>33</v>
      </c>
      <c r="Q4474">
        <v>132.6</v>
      </c>
    </row>
    <row r="4475" spans="11:17" x14ac:dyDescent="0.3">
      <c r="K4475">
        <v>2017</v>
      </c>
      <c r="L4475" t="s">
        <v>36</v>
      </c>
      <c r="M4475" t="s">
        <v>109</v>
      </c>
      <c r="N4475" t="s">
        <v>18</v>
      </c>
      <c r="O4475" t="s">
        <v>189</v>
      </c>
      <c r="P4475" s="1" t="s">
        <v>30</v>
      </c>
      <c r="Q4475">
        <v>136.19999999999999</v>
      </c>
    </row>
    <row r="4476" spans="11:17" x14ac:dyDescent="0.3">
      <c r="K4476">
        <v>2017</v>
      </c>
      <c r="L4476" t="s">
        <v>36</v>
      </c>
      <c r="M4476" t="s">
        <v>109</v>
      </c>
      <c r="N4476" t="s">
        <v>18</v>
      </c>
      <c r="O4476" t="s">
        <v>189</v>
      </c>
      <c r="P4476" s="1" t="s">
        <v>34</v>
      </c>
      <c r="Q4476">
        <v>130.6</v>
      </c>
    </row>
    <row r="4477" spans="11:17" x14ac:dyDescent="0.3">
      <c r="K4477">
        <v>2017</v>
      </c>
      <c r="L4477" t="s">
        <v>36</v>
      </c>
      <c r="M4477" t="s">
        <v>109</v>
      </c>
      <c r="N4477" t="s">
        <v>18</v>
      </c>
      <c r="O4477" t="s">
        <v>189</v>
      </c>
      <c r="P4477" s="1" t="s">
        <v>33</v>
      </c>
      <c r="Q4477">
        <v>122.8</v>
      </c>
    </row>
    <row r="4478" spans="11:17" x14ac:dyDescent="0.3">
      <c r="K4478">
        <v>2017</v>
      </c>
      <c r="L4478" t="s">
        <v>36</v>
      </c>
      <c r="M4478" t="s">
        <v>109</v>
      </c>
      <c r="N4478" t="s">
        <v>8</v>
      </c>
      <c r="O4478" t="s">
        <v>188</v>
      </c>
      <c r="P4478" s="1" t="s">
        <v>30</v>
      </c>
      <c r="Q4478">
        <v>139.69999999999999</v>
      </c>
    </row>
    <row r="4479" spans="11:17" x14ac:dyDescent="0.3">
      <c r="K4479">
        <v>2017</v>
      </c>
      <c r="L4479" t="s">
        <v>36</v>
      </c>
      <c r="M4479" t="s">
        <v>109</v>
      </c>
      <c r="N4479" t="s">
        <v>8</v>
      </c>
      <c r="O4479" t="s">
        <v>188</v>
      </c>
      <c r="P4479" s="1" t="s">
        <v>34</v>
      </c>
      <c r="Q4479">
        <v>138.30000000000001</v>
      </c>
    </row>
    <row r="4480" spans="11:17" x14ac:dyDescent="0.3">
      <c r="K4480">
        <v>2017</v>
      </c>
      <c r="L4480" t="s">
        <v>36</v>
      </c>
      <c r="M4480" t="s">
        <v>109</v>
      </c>
      <c r="N4480" t="s">
        <v>8</v>
      </c>
      <c r="O4480" t="s">
        <v>188</v>
      </c>
      <c r="P4480" s="1" t="s">
        <v>33</v>
      </c>
      <c r="Q4480">
        <v>136.80000000000001</v>
      </c>
    </row>
    <row r="4481" spans="11:17" x14ac:dyDescent="0.3">
      <c r="K4481">
        <v>2017</v>
      </c>
      <c r="L4481" t="s">
        <v>36</v>
      </c>
      <c r="M4481" t="s">
        <v>109</v>
      </c>
      <c r="N4481" t="s">
        <v>21</v>
      </c>
      <c r="O4481" t="s">
        <v>190</v>
      </c>
      <c r="P4481" s="1" t="s">
        <v>30</v>
      </c>
      <c r="Q4481">
        <v>134.19999999999999</v>
      </c>
    </row>
    <row r="4482" spans="11:17" x14ac:dyDescent="0.3">
      <c r="K4482">
        <v>2017</v>
      </c>
      <c r="L4482" t="s">
        <v>36</v>
      </c>
      <c r="M4482" t="s">
        <v>109</v>
      </c>
      <c r="N4482" t="s">
        <v>21</v>
      </c>
      <c r="O4482" t="s">
        <v>190</v>
      </c>
      <c r="P4482" s="1" t="s">
        <v>34</v>
      </c>
      <c r="Q4482">
        <v>129.1</v>
      </c>
    </row>
    <row r="4483" spans="11:17" x14ac:dyDescent="0.3">
      <c r="K4483">
        <v>2017</v>
      </c>
      <c r="L4483" t="s">
        <v>36</v>
      </c>
      <c r="M4483" t="s">
        <v>109</v>
      </c>
      <c r="N4483" t="s">
        <v>21</v>
      </c>
      <c r="O4483" t="s">
        <v>190</v>
      </c>
      <c r="P4483" s="1" t="s">
        <v>33</v>
      </c>
      <c r="Q4483">
        <v>120.8</v>
      </c>
    </row>
    <row r="4484" spans="11:17" x14ac:dyDescent="0.3">
      <c r="K4484">
        <v>2017</v>
      </c>
      <c r="L4484" t="s">
        <v>36</v>
      </c>
      <c r="M4484" t="s">
        <v>109</v>
      </c>
      <c r="N4484" t="s">
        <v>29</v>
      </c>
      <c r="O4484" t="s">
        <v>206</v>
      </c>
      <c r="P4484" s="1" t="s">
        <v>30</v>
      </c>
      <c r="Q4484">
        <v>132.80000000000001</v>
      </c>
    </row>
    <row r="4485" spans="11:17" x14ac:dyDescent="0.3">
      <c r="K4485">
        <v>2017</v>
      </c>
      <c r="L4485" t="s">
        <v>36</v>
      </c>
      <c r="M4485" t="s">
        <v>109</v>
      </c>
      <c r="N4485" t="s">
        <v>29</v>
      </c>
      <c r="O4485" t="s">
        <v>206</v>
      </c>
      <c r="P4485" s="1" t="s">
        <v>34</v>
      </c>
      <c r="Q4485">
        <v>130.9</v>
      </c>
    </row>
    <row r="4486" spans="11:17" x14ac:dyDescent="0.3">
      <c r="K4486">
        <v>2017</v>
      </c>
      <c r="L4486" t="s">
        <v>36</v>
      </c>
      <c r="M4486" t="s">
        <v>109</v>
      </c>
      <c r="N4486" t="s">
        <v>29</v>
      </c>
      <c r="O4486" t="s">
        <v>206</v>
      </c>
      <c r="P4486" s="1" t="s">
        <v>33</v>
      </c>
      <c r="Q4486">
        <v>128.69999999999999</v>
      </c>
    </row>
    <row r="4487" spans="11:17" x14ac:dyDescent="0.3">
      <c r="K4487">
        <v>2017</v>
      </c>
      <c r="L4487" t="s">
        <v>36</v>
      </c>
      <c r="M4487" t="s">
        <v>109</v>
      </c>
      <c r="N4487" t="s">
        <v>23</v>
      </c>
      <c r="O4487" t="s">
        <v>23</v>
      </c>
      <c r="P4487" s="1" t="s">
        <v>30</v>
      </c>
      <c r="Q4487">
        <v>130.6</v>
      </c>
    </row>
    <row r="4488" spans="11:17" x14ac:dyDescent="0.3">
      <c r="K4488">
        <v>2017</v>
      </c>
      <c r="L4488" t="s">
        <v>36</v>
      </c>
      <c r="M4488" t="s">
        <v>109</v>
      </c>
      <c r="N4488" t="s">
        <v>23</v>
      </c>
      <c r="O4488" t="s">
        <v>23</v>
      </c>
      <c r="P4488" s="1" t="s">
        <v>34</v>
      </c>
      <c r="Q4488">
        <v>127.8</v>
      </c>
    </row>
    <row r="4489" spans="11:17" x14ac:dyDescent="0.3">
      <c r="K4489">
        <v>2017</v>
      </c>
      <c r="L4489" t="s">
        <v>36</v>
      </c>
      <c r="M4489" t="s">
        <v>109</v>
      </c>
      <c r="N4489" t="s">
        <v>23</v>
      </c>
      <c r="O4489" t="s">
        <v>23</v>
      </c>
      <c r="P4489" s="1" t="s">
        <v>33</v>
      </c>
      <c r="Q4489">
        <v>123.1</v>
      </c>
    </row>
    <row r="4490" spans="11:17" x14ac:dyDescent="0.3">
      <c r="K4490">
        <v>2017</v>
      </c>
      <c r="L4490" t="s">
        <v>36</v>
      </c>
      <c r="M4490" t="s">
        <v>109</v>
      </c>
      <c r="N4490" t="s">
        <v>22</v>
      </c>
      <c r="O4490" t="s">
        <v>20</v>
      </c>
      <c r="P4490" s="1" t="s">
        <v>30</v>
      </c>
      <c r="Q4490">
        <v>134.1</v>
      </c>
    </row>
    <row r="4491" spans="11:17" x14ac:dyDescent="0.3">
      <c r="K4491">
        <v>2017</v>
      </c>
      <c r="L4491" t="s">
        <v>36</v>
      </c>
      <c r="M4491" t="s">
        <v>109</v>
      </c>
      <c r="N4491" t="s">
        <v>22</v>
      </c>
      <c r="O4491" t="s">
        <v>20</v>
      </c>
      <c r="P4491" s="1" t="s">
        <v>34</v>
      </c>
      <c r="Q4491">
        <v>130.1</v>
      </c>
    </row>
    <row r="4492" spans="11:17" x14ac:dyDescent="0.3">
      <c r="K4492">
        <v>2017</v>
      </c>
      <c r="L4492" t="s">
        <v>36</v>
      </c>
      <c r="M4492" t="s">
        <v>109</v>
      </c>
      <c r="N4492" t="s">
        <v>22</v>
      </c>
      <c r="O4492" t="s">
        <v>20</v>
      </c>
      <c r="P4492" s="1" t="s">
        <v>33</v>
      </c>
      <c r="Q4492">
        <v>125.6</v>
      </c>
    </row>
    <row r="4493" spans="11:17" x14ac:dyDescent="0.3">
      <c r="K4493">
        <v>2017</v>
      </c>
      <c r="L4493" t="s">
        <v>36</v>
      </c>
      <c r="M4493" t="s">
        <v>109</v>
      </c>
      <c r="N4493" t="s">
        <v>20</v>
      </c>
      <c r="O4493" t="s">
        <v>20</v>
      </c>
      <c r="P4493" s="1" t="s">
        <v>30</v>
      </c>
      <c r="Q4493">
        <v>0</v>
      </c>
    </row>
    <row r="4494" spans="11:17" x14ac:dyDescent="0.3">
      <c r="K4494">
        <v>2017</v>
      </c>
      <c r="L4494" t="s">
        <v>36</v>
      </c>
      <c r="M4494" t="s">
        <v>109</v>
      </c>
      <c r="N4494" t="s">
        <v>20</v>
      </c>
      <c r="O4494" t="s">
        <v>20</v>
      </c>
      <c r="P4494" s="1" t="s">
        <v>34</v>
      </c>
      <c r="Q4494">
        <v>131.1</v>
      </c>
    </row>
    <row r="4495" spans="11:17" x14ac:dyDescent="0.3">
      <c r="K4495">
        <v>2017</v>
      </c>
      <c r="L4495" t="s">
        <v>36</v>
      </c>
      <c r="M4495" t="s">
        <v>109</v>
      </c>
      <c r="N4495" t="s">
        <v>20</v>
      </c>
      <c r="O4495" t="s">
        <v>20</v>
      </c>
      <c r="P4495" s="1" t="s">
        <v>33</v>
      </c>
      <c r="Q4495">
        <v>131.1</v>
      </c>
    </row>
    <row r="4496" spans="11:17" x14ac:dyDescent="0.3">
      <c r="K4496">
        <v>2017</v>
      </c>
      <c r="L4496" t="s">
        <v>36</v>
      </c>
      <c r="M4496" t="s">
        <v>109</v>
      </c>
      <c r="N4496" t="s">
        <v>4</v>
      </c>
      <c r="O4496" t="s">
        <v>188</v>
      </c>
      <c r="P4496" s="1" t="s">
        <v>30</v>
      </c>
      <c r="Q4496">
        <v>138.80000000000001</v>
      </c>
    </row>
    <row r="4497" spans="11:17" x14ac:dyDescent="0.3">
      <c r="K4497">
        <v>2017</v>
      </c>
      <c r="L4497" t="s">
        <v>36</v>
      </c>
      <c r="M4497" t="s">
        <v>109</v>
      </c>
      <c r="N4497" t="s">
        <v>4</v>
      </c>
      <c r="O4497" t="s">
        <v>188</v>
      </c>
      <c r="P4497" s="1" t="s">
        <v>34</v>
      </c>
      <c r="Q4497">
        <v>139</v>
      </c>
    </row>
    <row r="4498" spans="11:17" x14ac:dyDescent="0.3">
      <c r="K4498">
        <v>2017</v>
      </c>
      <c r="L4498" t="s">
        <v>36</v>
      </c>
      <c r="M4498" t="s">
        <v>109</v>
      </c>
      <c r="N4498" t="s">
        <v>4</v>
      </c>
      <c r="O4498" t="s">
        <v>188</v>
      </c>
      <c r="P4498" s="1" t="s">
        <v>33</v>
      </c>
      <c r="Q4498">
        <v>139.4</v>
      </c>
    </row>
    <row r="4499" spans="11:17" x14ac:dyDescent="0.3">
      <c r="K4499">
        <v>2017</v>
      </c>
      <c r="L4499" t="s">
        <v>36</v>
      </c>
      <c r="M4499" t="s">
        <v>109</v>
      </c>
      <c r="N4499" t="s">
        <v>6</v>
      </c>
      <c r="O4499" t="s">
        <v>188</v>
      </c>
      <c r="P4499" s="1" t="s">
        <v>30</v>
      </c>
      <c r="Q4499">
        <v>137.19999999999999</v>
      </c>
    </row>
    <row r="4500" spans="11:17" x14ac:dyDescent="0.3">
      <c r="K4500">
        <v>2017</v>
      </c>
      <c r="L4500" t="s">
        <v>36</v>
      </c>
      <c r="M4500" t="s">
        <v>109</v>
      </c>
      <c r="N4500" t="s">
        <v>6</v>
      </c>
      <c r="O4500" t="s">
        <v>188</v>
      </c>
      <c r="P4500" s="1" t="s">
        <v>34</v>
      </c>
      <c r="Q4500">
        <v>136.30000000000001</v>
      </c>
    </row>
    <row r="4501" spans="11:17" x14ac:dyDescent="0.3">
      <c r="K4501">
        <v>2017</v>
      </c>
      <c r="L4501" t="s">
        <v>36</v>
      </c>
      <c r="M4501" t="s">
        <v>109</v>
      </c>
      <c r="N4501" t="s">
        <v>6</v>
      </c>
      <c r="O4501" t="s">
        <v>188</v>
      </c>
      <c r="P4501" s="1" t="s">
        <v>33</v>
      </c>
      <c r="Q4501">
        <v>134.9</v>
      </c>
    </row>
    <row r="4502" spans="11:17" x14ac:dyDescent="0.3">
      <c r="K4502">
        <v>2017</v>
      </c>
      <c r="L4502" t="s">
        <v>36</v>
      </c>
      <c r="M4502" t="s">
        <v>109</v>
      </c>
      <c r="N4502" t="s">
        <v>28</v>
      </c>
      <c r="O4502" t="s">
        <v>192</v>
      </c>
      <c r="P4502" s="1" t="s">
        <v>30</v>
      </c>
      <c r="Q4502">
        <v>127.4</v>
      </c>
    </row>
    <row r="4503" spans="11:17" x14ac:dyDescent="0.3">
      <c r="K4503">
        <v>2017</v>
      </c>
      <c r="L4503" t="s">
        <v>36</v>
      </c>
      <c r="M4503" t="s">
        <v>109</v>
      </c>
      <c r="N4503" t="s">
        <v>28</v>
      </c>
      <c r="O4503" t="s">
        <v>192</v>
      </c>
      <c r="P4503" s="1" t="s">
        <v>34</v>
      </c>
      <c r="Q4503">
        <v>125.1</v>
      </c>
    </row>
    <row r="4504" spans="11:17" x14ac:dyDescent="0.3">
      <c r="K4504">
        <v>2017</v>
      </c>
      <c r="L4504" t="s">
        <v>36</v>
      </c>
      <c r="M4504" t="s">
        <v>109</v>
      </c>
      <c r="N4504" t="s">
        <v>28</v>
      </c>
      <c r="O4504" t="s">
        <v>192</v>
      </c>
      <c r="P4504" s="1" t="s">
        <v>33</v>
      </c>
      <c r="Q4504">
        <v>122.6</v>
      </c>
    </row>
    <row r="4505" spans="11:17" x14ac:dyDescent="0.3">
      <c r="K4505">
        <v>2017</v>
      </c>
      <c r="L4505" t="s">
        <v>36</v>
      </c>
      <c r="M4505" t="s">
        <v>109</v>
      </c>
      <c r="N4505" t="s">
        <v>13</v>
      </c>
      <c r="O4505" t="s">
        <v>188</v>
      </c>
      <c r="P4505" s="1" t="s">
        <v>30</v>
      </c>
      <c r="Q4505">
        <v>129.80000000000001</v>
      </c>
    </row>
    <row r="4506" spans="11:17" x14ac:dyDescent="0.3">
      <c r="K4506">
        <v>2017</v>
      </c>
      <c r="L4506" t="s">
        <v>36</v>
      </c>
      <c r="M4506" t="s">
        <v>109</v>
      </c>
      <c r="N4506" t="s">
        <v>13</v>
      </c>
      <c r="O4506" t="s">
        <v>188</v>
      </c>
      <c r="P4506" s="1" t="s">
        <v>34</v>
      </c>
      <c r="Q4506">
        <v>127.2</v>
      </c>
    </row>
    <row r="4507" spans="11:17" x14ac:dyDescent="0.3">
      <c r="K4507">
        <v>2017</v>
      </c>
      <c r="L4507" t="s">
        <v>36</v>
      </c>
      <c r="M4507" t="s">
        <v>109</v>
      </c>
      <c r="N4507" t="s">
        <v>13</v>
      </c>
      <c r="O4507" t="s">
        <v>188</v>
      </c>
      <c r="P4507" s="1" t="s">
        <v>33</v>
      </c>
      <c r="Q4507">
        <v>123.6</v>
      </c>
    </row>
    <row r="4508" spans="11:17" x14ac:dyDescent="0.3">
      <c r="K4508">
        <v>2017</v>
      </c>
      <c r="L4508" t="s">
        <v>36</v>
      </c>
      <c r="M4508" t="s">
        <v>109</v>
      </c>
      <c r="N4508" t="s">
        <v>7</v>
      </c>
      <c r="O4508" t="s">
        <v>188</v>
      </c>
      <c r="P4508" s="1" t="s">
        <v>30</v>
      </c>
      <c r="Q4508">
        <v>121.6</v>
      </c>
    </row>
    <row r="4509" spans="11:17" x14ac:dyDescent="0.3">
      <c r="K4509">
        <v>2017</v>
      </c>
      <c r="L4509" t="s">
        <v>36</v>
      </c>
      <c r="M4509" t="s">
        <v>109</v>
      </c>
      <c r="N4509" t="s">
        <v>7</v>
      </c>
      <c r="O4509" t="s">
        <v>188</v>
      </c>
      <c r="P4509" s="1" t="s">
        <v>34</v>
      </c>
      <c r="Q4509">
        <v>118.8</v>
      </c>
    </row>
    <row r="4510" spans="11:17" x14ac:dyDescent="0.3">
      <c r="K4510">
        <v>2017</v>
      </c>
      <c r="L4510" t="s">
        <v>36</v>
      </c>
      <c r="M4510" t="s">
        <v>109</v>
      </c>
      <c r="N4510" t="s">
        <v>7</v>
      </c>
      <c r="O4510" t="s">
        <v>188</v>
      </c>
      <c r="P4510" s="1" t="s">
        <v>33</v>
      </c>
      <c r="Q4510">
        <v>114</v>
      </c>
    </row>
    <row r="4511" spans="11:17" x14ac:dyDescent="0.3">
      <c r="K4511">
        <v>2017</v>
      </c>
      <c r="L4511" t="s">
        <v>36</v>
      </c>
      <c r="M4511" t="s">
        <v>109</v>
      </c>
      <c r="N4511" t="s">
        <v>16</v>
      </c>
      <c r="O4511" t="s">
        <v>192</v>
      </c>
      <c r="P4511" s="1" t="s">
        <v>30</v>
      </c>
      <c r="Q4511">
        <v>144.19999999999999</v>
      </c>
    </row>
    <row r="4512" spans="11:17" x14ac:dyDescent="0.3">
      <c r="K4512">
        <v>2017</v>
      </c>
      <c r="L4512" t="s">
        <v>36</v>
      </c>
      <c r="M4512" t="s">
        <v>109</v>
      </c>
      <c r="N4512" t="s">
        <v>16</v>
      </c>
      <c r="O4512" t="s">
        <v>192</v>
      </c>
      <c r="P4512" s="1" t="s">
        <v>34</v>
      </c>
      <c r="Q4512">
        <v>145.1</v>
      </c>
    </row>
    <row r="4513" spans="11:17" x14ac:dyDescent="0.3">
      <c r="K4513">
        <v>2017</v>
      </c>
      <c r="L4513" t="s">
        <v>36</v>
      </c>
      <c r="M4513" t="s">
        <v>109</v>
      </c>
      <c r="N4513" t="s">
        <v>16</v>
      </c>
      <c r="O4513" t="s">
        <v>192</v>
      </c>
      <c r="P4513" s="1" t="s">
        <v>33</v>
      </c>
      <c r="Q4513">
        <v>147.5</v>
      </c>
    </row>
    <row r="4514" spans="11:17" x14ac:dyDescent="0.3">
      <c r="K4514">
        <v>2017</v>
      </c>
      <c r="L4514" t="s">
        <v>36</v>
      </c>
      <c r="M4514" t="s">
        <v>109</v>
      </c>
      <c r="N4514" t="s">
        <v>27</v>
      </c>
      <c r="O4514" t="s">
        <v>192</v>
      </c>
      <c r="P4514" s="1" t="s">
        <v>30</v>
      </c>
      <c r="Q4514">
        <v>123.3</v>
      </c>
    </row>
    <row r="4515" spans="11:17" x14ac:dyDescent="0.3">
      <c r="K4515">
        <v>2017</v>
      </c>
      <c r="L4515" t="s">
        <v>36</v>
      </c>
      <c r="M4515" t="s">
        <v>109</v>
      </c>
      <c r="N4515" t="s">
        <v>27</v>
      </c>
      <c r="O4515" t="s">
        <v>192</v>
      </c>
      <c r="P4515" s="1" t="s">
        <v>34</v>
      </c>
      <c r="Q4515">
        <v>122.6</v>
      </c>
    </row>
    <row r="4516" spans="11:17" x14ac:dyDescent="0.3">
      <c r="K4516">
        <v>2017</v>
      </c>
      <c r="L4516" t="s">
        <v>36</v>
      </c>
      <c r="M4516" t="s">
        <v>109</v>
      </c>
      <c r="N4516" t="s">
        <v>27</v>
      </c>
      <c r="O4516" t="s">
        <v>192</v>
      </c>
      <c r="P4516" s="1" t="s">
        <v>33</v>
      </c>
      <c r="Q4516">
        <v>121.7</v>
      </c>
    </row>
    <row r="4517" spans="11:17" x14ac:dyDescent="0.3">
      <c r="K4517">
        <v>2017</v>
      </c>
      <c r="L4517" t="s">
        <v>36</v>
      </c>
      <c r="M4517" t="s">
        <v>109</v>
      </c>
      <c r="N4517" t="s">
        <v>14</v>
      </c>
      <c r="O4517" t="s">
        <v>188</v>
      </c>
      <c r="P4517" s="1" t="s">
        <v>30</v>
      </c>
      <c r="Q4517">
        <v>145.4</v>
      </c>
    </row>
    <row r="4518" spans="11:17" x14ac:dyDescent="0.3">
      <c r="K4518">
        <v>2017</v>
      </c>
      <c r="L4518" t="s">
        <v>36</v>
      </c>
      <c r="M4518" t="s">
        <v>109</v>
      </c>
      <c r="N4518" t="s">
        <v>14</v>
      </c>
      <c r="O4518" t="s">
        <v>188</v>
      </c>
      <c r="P4518" s="1" t="s">
        <v>34</v>
      </c>
      <c r="Q4518">
        <v>144</v>
      </c>
    </row>
    <row r="4519" spans="11:17" x14ac:dyDescent="0.3">
      <c r="K4519">
        <v>2017</v>
      </c>
      <c r="L4519" t="s">
        <v>36</v>
      </c>
      <c r="M4519" t="s">
        <v>109</v>
      </c>
      <c r="N4519" t="s">
        <v>14</v>
      </c>
      <c r="O4519" t="s">
        <v>188</v>
      </c>
      <c r="P4519" s="1" t="s">
        <v>33</v>
      </c>
      <c r="Q4519">
        <v>142.4</v>
      </c>
    </row>
    <row r="4520" spans="11:17" x14ac:dyDescent="0.3">
      <c r="K4520">
        <v>2017</v>
      </c>
      <c r="L4520" t="s">
        <v>36</v>
      </c>
      <c r="M4520" t="s">
        <v>109</v>
      </c>
      <c r="N4520" t="s">
        <v>10</v>
      </c>
      <c r="O4520" t="s">
        <v>188</v>
      </c>
      <c r="P4520" s="1" t="s">
        <v>30</v>
      </c>
      <c r="Q4520">
        <v>148</v>
      </c>
    </row>
    <row r="4521" spans="11:17" x14ac:dyDescent="0.3">
      <c r="K4521">
        <v>2017</v>
      </c>
      <c r="L4521" t="s">
        <v>36</v>
      </c>
      <c r="M4521" t="s">
        <v>109</v>
      </c>
      <c r="N4521" t="s">
        <v>10</v>
      </c>
      <c r="O4521" t="s">
        <v>188</v>
      </c>
      <c r="P4521" s="1" t="s">
        <v>34</v>
      </c>
      <c r="Q4521">
        <v>143.9</v>
      </c>
    </row>
    <row r="4522" spans="11:17" x14ac:dyDescent="0.3">
      <c r="K4522">
        <v>2017</v>
      </c>
      <c r="L4522" t="s">
        <v>36</v>
      </c>
      <c r="M4522" t="s">
        <v>109</v>
      </c>
      <c r="N4522" t="s">
        <v>10</v>
      </c>
      <c r="O4522" t="s">
        <v>188</v>
      </c>
      <c r="P4522" s="1" t="s">
        <v>33</v>
      </c>
      <c r="Q4522">
        <v>135.80000000000001</v>
      </c>
    </row>
    <row r="4523" spans="11:17" x14ac:dyDescent="0.3">
      <c r="K4523">
        <v>2017</v>
      </c>
      <c r="L4523" t="s">
        <v>36</v>
      </c>
      <c r="M4523" t="s">
        <v>109</v>
      </c>
      <c r="N4523" t="s">
        <v>25</v>
      </c>
      <c r="O4523" t="s">
        <v>195</v>
      </c>
      <c r="P4523" s="1" t="s">
        <v>30</v>
      </c>
      <c r="Q4523">
        <v>128.30000000000001</v>
      </c>
    </row>
    <row r="4524" spans="11:17" x14ac:dyDescent="0.3">
      <c r="K4524">
        <v>2017</v>
      </c>
      <c r="L4524" t="s">
        <v>36</v>
      </c>
      <c r="M4524" t="s">
        <v>109</v>
      </c>
      <c r="N4524" t="s">
        <v>25</v>
      </c>
      <c r="O4524" t="s">
        <v>195</v>
      </c>
      <c r="P4524" s="1" t="s">
        <v>34</v>
      </c>
      <c r="Q4524">
        <v>125</v>
      </c>
    </row>
    <row r="4525" spans="11:17" x14ac:dyDescent="0.3">
      <c r="K4525">
        <v>2017</v>
      </c>
      <c r="L4525" t="s">
        <v>36</v>
      </c>
      <c r="M4525" t="s">
        <v>109</v>
      </c>
      <c r="N4525" t="s">
        <v>25</v>
      </c>
      <c r="O4525" t="s">
        <v>195</v>
      </c>
      <c r="P4525" s="1" t="s">
        <v>33</v>
      </c>
      <c r="Q4525">
        <v>122.4</v>
      </c>
    </row>
    <row r="4526" spans="11:17" x14ac:dyDescent="0.3">
      <c r="K4526">
        <v>2017</v>
      </c>
      <c r="L4526" t="s">
        <v>36</v>
      </c>
      <c r="M4526" t="s">
        <v>109</v>
      </c>
      <c r="N4526" t="s">
        <v>12</v>
      </c>
      <c r="O4526" t="s">
        <v>188</v>
      </c>
      <c r="P4526" s="1" t="s">
        <v>30</v>
      </c>
      <c r="Q4526">
        <v>135.6</v>
      </c>
    </row>
    <row r="4527" spans="11:17" x14ac:dyDescent="0.3">
      <c r="K4527">
        <v>2017</v>
      </c>
      <c r="L4527" t="s">
        <v>36</v>
      </c>
      <c r="M4527" t="s">
        <v>109</v>
      </c>
      <c r="N4527" t="s">
        <v>12</v>
      </c>
      <c r="O4527" t="s">
        <v>188</v>
      </c>
      <c r="P4527" s="1" t="s">
        <v>34</v>
      </c>
      <c r="Q4527">
        <v>137.9</v>
      </c>
    </row>
    <row r="4528" spans="11:17" x14ac:dyDescent="0.3">
      <c r="K4528">
        <v>2017</v>
      </c>
      <c r="L4528" t="s">
        <v>36</v>
      </c>
      <c r="M4528" t="s">
        <v>109</v>
      </c>
      <c r="N4528" t="s">
        <v>12</v>
      </c>
      <c r="O4528" t="s">
        <v>188</v>
      </c>
      <c r="P4528" s="1" t="s">
        <v>33</v>
      </c>
      <c r="Q4528">
        <v>142.6</v>
      </c>
    </row>
    <row r="4529" spans="11:17" x14ac:dyDescent="0.3">
      <c r="K4529">
        <v>2017</v>
      </c>
      <c r="L4529" t="s">
        <v>36</v>
      </c>
      <c r="M4529" t="s">
        <v>109</v>
      </c>
      <c r="N4529" t="s">
        <v>11</v>
      </c>
      <c r="O4529" t="s">
        <v>188</v>
      </c>
      <c r="P4529" s="1" t="s">
        <v>30</v>
      </c>
      <c r="Q4529">
        <v>116.9</v>
      </c>
    </row>
    <row r="4530" spans="11:17" x14ac:dyDescent="0.3">
      <c r="K4530">
        <v>2017</v>
      </c>
      <c r="L4530" t="s">
        <v>36</v>
      </c>
      <c r="M4530" t="s">
        <v>109</v>
      </c>
      <c r="N4530" t="s">
        <v>11</v>
      </c>
      <c r="O4530" t="s">
        <v>188</v>
      </c>
      <c r="P4530" s="1" t="s">
        <v>34</v>
      </c>
      <c r="Q4530">
        <v>118</v>
      </c>
    </row>
    <row r="4531" spans="11:17" x14ac:dyDescent="0.3">
      <c r="K4531">
        <v>2017</v>
      </c>
      <c r="L4531" t="s">
        <v>36</v>
      </c>
      <c r="M4531" t="s">
        <v>109</v>
      </c>
      <c r="N4531" t="s">
        <v>11</v>
      </c>
      <c r="O4531" t="s">
        <v>188</v>
      </c>
      <c r="P4531" s="1" t="s">
        <v>33</v>
      </c>
      <c r="Q4531">
        <v>120.3</v>
      </c>
    </row>
    <row r="4532" spans="11:17" x14ac:dyDescent="0.3">
      <c r="K4532">
        <v>2017</v>
      </c>
      <c r="L4532" t="s">
        <v>36</v>
      </c>
      <c r="M4532" t="s">
        <v>109</v>
      </c>
      <c r="N4532" t="s">
        <v>24</v>
      </c>
      <c r="O4532" t="s">
        <v>191</v>
      </c>
      <c r="P4532" s="1" t="s">
        <v>30</v>
      </c>
      <c r="Q4532">
        <v>119.8</v>
      </c>
    </row>
    <row r="4533" spans="11:17" x14ac:dyDescent="0.3">
      <c r="K4533">
        <v>2017</v>
      </c>
      <c r="L4533" t="s">
        <v>36</v>
      </c>
      <c r="M4533" t="s">
        <v>109</v>
      </c>
      <c r="N4533" t="s">
        <v>24</v>
      </c>
      <c r="O4533" t="s">
        <v>191</v>
      </c>
      <c r="P4533" s="1" t="s">
        <v>34</v>
      </c>
      <c r="Q4533">
        <v>117.6</v>
      </c>
    </row>
    <row r="4534" spans="11:17" x14ac:dyDescent="0.3">
      <c r="K4534">
        <v>2017</v>
      </c>
      <c r="L4534" t="s">
        <v>36</v>
      </c>
      <c r="M4534" t="s">
        <v>109</v>
      </c>
      <c r="N4534" t="s">
        <v>24</v>
      </c>
      <c r="O4534" t="s">
        <v>191</v>
      </c>
      <c r="P4534" s="1" t="s">
        <v>33</v>
      </c>
      <c r="Q4534">
        <v>115.6</v>
      </c>
    </row>
    <row r="4535" spans="11:17" x14ac:dyDescent="0.3">
      <c r="K4535">
        <v>2017</v>
      </c>
      <c r="L4535" t="s">
        <v>36</v>
      </c>
      <c r="M4535" t="s">
        <v>109</v>
      </c>
      <c r="N4535" t="s">
        <v>9</v>
      </c>
      <c r="O4535" t="s">
        <v>188</v>
      </c>
      <c r="P4535" s="1" t="s">
        <v>30</v>
      </c>
      <c r="Q4535">
        <v>119.7</v>
      </c>
    </row>
    <row r="4536" spans="11:17" x14ac:dyDescent="0.3">
      <c r="K4536">
        <v>2017</v>
      </c>
      <c r="L4536" t="s">
        <v>36</v>
      </c>
      <c r="M4536" t="s">
        <v>109</v>
      </c>
      <c r="N4536" t="s">
        <v>9</v>
      </c>
      <c r="O4536" t="s">
        <v>188</v>
      </c>
      <c r="P4536" s="1" t="s">
        <v>34</v>
      </c>
      <c r="Q4536">
        <v>120.5</v>
      </c>
    </row>
    <row r="4537" spans="11:17" x14ac:dyDescent="0.3">
      <c r="K4537">
        <v>2017</v>
      </c>
      <c r="L4537" t="s">
        <v>36</v>
      </c>
      <c r="M4537" t="s">
        <v>109</v>
      </c>
      <c r="N4537" t="s">
        <v>9</v>
      </c>
      <c r="O4537" t="s">
        <v>188</v>
      </c>
      <c r="P4537" s="1" t="s">
        <v>33</v>
      </c>
      <c r="Q4537">
        <v>122.2</v>
      </c>
    </row>
    <row r="4538" spans="11:17" x14ac:dyDescent="0.3">
      <c r="K4538">
        <v>2017</v>
      </c>
      <c r="L4538" t="s">
        <v>38</v>
      </c>
      <c r="M4538" t="s">
        <v>110</v>
      </c>
      <c r="N4538" t="s">
        <v>3</v>
      </c>
      <c r="O4538" t="s">
        <v>188</v>
      </c>
      <c r="P4538" s="1" t="s">
        <v>30</v>
      </c>
      <c r="Q4538">
        <v>133.1</v>
      </c>
    </row>
    <row r="4539" spans="11:17" x14ac:dyDescent="0.3">
      <c r="K4539">
        <v>2017</v>
      </c>
      <c r="L4539" t="s">
        <v>38</v>
      </c>
      <c r="M4539" t="s">
        <v>110</v>
      </c>
      <c r="N4539" t="s">
        <v>3</v>
      </c>
      <c r="O4539" t="s">
        <v>188</v>
      </c>
      <c r="P4539" s="1" t="s">
        <v>34</v>
      </c>
      <c r="Q4539">
        <v>132.9</v>
      </c>
    </row>
    <row r="4540" spans="11:17" x14ac:dyDescent="0.3">
      <c r="K4540">
        <v>2017</v>
      </c>
      <c r="L4540" t="s">
        <v>38</v>
      </c>
      <c r="M4540" t="s">
        <v>110</v>
      </c>
      <c r="N4540" t="s">
        <v>3</v>
      </c>
      <c r="O4540" t="s">
        <v>188</v>
      </c>
      <c r="P4540" s="1" t="s">
        <v>33</v>
      </c>
      <c r="Q4540">
        <v>132.6</v>
      </c>
    </row>
    <row r="4541" spans="11:17" x14ac:dyDescent="0.3">
      <c r="K4541">
        <v>2017</v>
      </c>
      <c r="L4541" t="s">
        <v>38</v>
      </c>
      <c r="M4541" t="s">
        <v>110</v>
      </c>
      <c r="N4541" t="s">
        <v>17</v>
      </c>
      <c r="O4541" t="s">
        <v>189</v>
      </c>
      <c r="P4541" s="1" t="s">
        <v>30</v>
      </c>
      <c r="Q4541">
        <v>142.5</v>
      </c>
    </row>
    <row r="4542" spans="11:17" x14ac:dyDescent="0.3">
      <c r="K4542">
        <v>2017</v>
      </c>
      <c r="L4542" t="s">
        <v>38</v>
      </c>
      <c r="M4542" t="s">
        <v>110</v>
      </c>
      <c r="N4542" t="s">
        <v>17</v>
      </c>
      <c r="O4542" t="s">
        <v>189</v>
      </c>
      <c r="P4542" s="1" t="s">
        <v>34</v>
      </c>
      <c r="Q4542">
        <v>138.19999999999999</v>
      </c>
    </row>
    <row r="4543" spans="11:17" x14ac:dyDescent="0.3">
      <c r="K4543">
        <v>2017</v>
      </c>
      <c r="L4543" t="s">
        <v>38</v>
      </c>
      <c r="M4543" t="s">
        <v>110</v>
      </c>
      <c r="N4543" t="s">
        <v>17</v>
      </c>
      <c r="O4543" t="s">
        <v>189</v>
      </c>
      <c r="P4543" s="1" t="s">
        <v>33</v>
      </c>
      <c r="Q4543">
        <v>131.5</v>
      </c>
    </row>
    <row r="4544" spans="11:17" x14ac:dyDescent="0.3">
      <c r="K4544">
        <v>2017</v>
      </c>
      <c r="L4544" t="s">
        <v>38</v>
      </c>
      <c r="M4544" t="s">
        <v>110</v>
      </c>
      <c r="N4544" t="s">
        <v>19</v>
      </c>
      <c r="O4544" t="s">
        <v>189</v>
      </c>
      <c r="P4544" s="1" t="s">
        <v>30</v>
      </c>
      <c r="Q4544">
        <v>141.80000000000001</v>
      </c>
    </row>
    <row r="4545" spans="11:17" x14ac:dyDescent="0.3">
      <c r="K4545">
        <v>2017</v>
      </c>
      <c r="L4545" t="s">
        <v>38</v>
      </c>
      <c r="M4545" t="s">
        <v>110</v>
      </c>
      <c r="N4545" t="s">
        <v>19</v>
      </c>
      <c r="O4545" t="s">
        <v>189</v>
      </c>
      <c r="P4545" s="1" t="s">
        <v>34</v>
      </c>
      <c r="Q4545">
        <v>137.19999999999999</v>
      </c>
    </row>
    <row r="4546" spans="11:17" x14ac:dyDescent="0.3">
      <c r="K4546">
        <v>2017</v>
      </c>
      <c r="L4546" t="s">
        <v>38</v>
      </c>
      <c r="M4546" t="s">
        <v>110</v>
      </c>
      <c r="N4546" t="s">
        <v>19</v>
      </c>
      <c r="O4546" t="s">
        <v>189</v>
      </c>
      <c r="P4546" s="1" t="s">
        <v>33</v>
      </c>
      <c r="Q4546">
        <v>130.19999999999999</v>
      </c>
    </row>
    <row r="4547" spans="11:17" x14ac:dyDescent="0.3">
      <c r="K4547">
        <v>2017</v>
      </c>
      <c r="L4547" t="s">
        <v>38</v>
      </c>
      <c r="M4547" t="s">
        <v>110</v>
      </c>
      <c r="N4547" t="s">
        <v>26</v>
      </c>
      <c r="O4547" t="s">
        <v>26</v>
      </c>
      <c r="P4547" s="1" t="s">
        <v>30</v>
      </c>
      <c r="Q4547">
        <v>136.30000000000001</v>
      </c>
    </row>
    <row r="4548" spans="11:17" x14ac:dyDescent="0.3">
      <c r="K4548">
        <v>2017</v>
      </c>
      <c r="L4548" t="s">
        <v>38</v>
      </c>
      <c r="M4548" t="s">
        <v>110</v>
      </c>
      <c r="N4548" t="s">
        <v>26</v>
      </c>
      <c r="O4548" t="s">
        <v>26</v>
      </c>
      <c r="P4548" s="1" t="s">
        <v>34</v>
      </c>
      <c r="Q4548">
        <v>134.80000000000001</v>
      </c>
    </row>
    <row r="4549" spans="11:17" x14ac:dyDescent="0.3">
      <c r="K4549">
        <v>2017</v>
      </c>
      <c r="L4549" t="s">
        <v>38</v>
      </c>
      <c r="M4549" t="s">
        <v>110</v>
      </c>
      <c r="N4549" t="s">
        <v>26</v>
      </c>
      <c r="O4549" t="s">
        <v>26</v>
      </c>
      <c r="P4549" s="1" t="s">
        <v>33</v>
      </c>
      <c r="Q4549">
        <v>133.80000000000001</v>
      </c>
    </row>
    <row r="4550" spans="11:17" x14ac:dyDescent="0.3">
      <c r="K4550">
        <v>2017</v>
      </c>
      <c r="L4550" t="s">
        <v>38</v>
      </c>
      <c r="M4550" t="s">
        <v>110</v>
      </c>
      <c r="N4550" t="s">
        <v>5</v>
      </c>
      <c r="O4550" t="s">
        <v>188</v>
      </c>
      <c r="P4550" s="1" t="s">
        <v>30</v>
      </c>
      <c r="Q4550">
        <v>126.8</v>
      </c>
    </row>
    <row r="4551" spans="11:17" x14ac:dyDescent="0.3">
      <c r="K4551">
        <v>2017</v>
      </c>
      <c r="L4551" t="s">
        <v>38</v>
      </c>
      <c r="M4551" t="s">
        <v>110</v>
      </c>
      <c r="N4551" t="s">
        <v>5</v>
      </c>
      <c r="O4551" t="s">
        <v>188</v>
      </c>
      <c r="P4551" s="1" t="s">
        <v>34</v>
      </c>
      <c r="Q4551">
        <v>126.3</v>
      </c>
    </row>
    <row r="4552" spans="11:17" x14ac:dyDescent="0.3">
      <c r="K4552">
        <v>2017</v>
      </c>
      <c r="L4552" t="s">
        <v>38</v>
      </c>
      <c r="M4552" t="s">
        <v>110</v>
      </c>
      <c r="N4552" t="s">
        <v>5</v>
      </c>
      <c r="O4552" t="s">
        <v>188</v>
      </c>
      <c r="P4552" s="1" t="s">
        <v>33</v>
      </c>
      <c r="Q4552">
        <v>125.6</v>
      </c>
    </row>
    <row r="4553" spans="11:17" x14ac:dyDescent="0.3">
      <c r="K4553">
        <v>2017</v>
      </c>
      <c r="L4553" t="s">
        <v>38</v>
      </c>
      <c r="M4553" t="s">
        <v>110</v>
      </c>
      <c r="N4553" t="s">
        <v>15</v>
      </c>
      <c r="O4553" t="s">
        <v>188</v>
      </c>
      <c r="P4553" s="1" t="s">
        <v>30</v>
      </c>
      <c r="Q4553">
        <v>133.80000000000001</v>
      </c>
    </row>
    <row r="4554" spans="11:17" x14ac:dyDescent="0.3">
      <c r="K4554">
        <v>2017</v>
      </c>
      <c r="L4554" t="s">
        <v>38</v>
      </c>
      <c r="M4554" t="s">
        <v>110</v>
      </c>
      <c r="N4554" t="s">
        <v>15</v>
      </c>
      <c r="O4554" t="s">
        <v>188</v>
      </c>
      <c r="P4554" s="1" t="s">
        <v>34</v>
      </c>
      <c r="Q4554">
        <v>133.69999999999999</v>
      </c>
    </row>
    <row r="4555" spans="11:17" x14ac:dyDescent="0.3">
      <c r="K4555">
        <v>2017</v>
      </c>
      <c r="L4555" t="s">
        <v>38</v>
      </c>
      <c r="M4555" t="s">
        <v>110</v>
      </c>
      <c r="N4555" t="s">
        <v>15</v>
      </c>
      <c r="O4555" t="s">
        <v>188</v>
      </c>
      <c r="P4555" s="1" t="s">
        <v>33</v>
      </c>
      <c r="Q4555">
        <v>133.6</v>
      </c>
    </row>
    <row r="4556" spans="11:17" x14ac:dyDescent="0.3">
      <c r="K4556">
        <v>2017</v>
      </c>
      <c r="L4556" t="s">
        <v>38</v>
      </c>
      <c r="M4556" t="s">
        <v>110</v>
      </c>
      <c r="N4556" t="s">
        <v>18</v>
      </c>
      <c r="O4556" t="s">
        <v>189</v>
      </c>
      <c r="P4556" s="1" t="s">
        <v>30</v>
      </c>
      <c r="Q4556">
        <v>137.30000000000001</v>
      </c>
    </row>
    <row r="4557" spans="11:17" x14ac:dyDescent="0.3">
      <c r="K4557">
        <v>2017</v>
      </c>
      <c r="L4557" t="s">
        <v>38</v>
      </c>
      <c r="M4557" t="s">
        <v>110</v>
      </c>
      <c r="N4557" t="s">
        <v>18</v>
      </c>
      <c r="O4557" t="s">
        <v>189</v>
      </c>
      <c r="P4557" s="1" t="s">
        <v>34</v>
      </c>
      <c r="Q4557">
        <v>131.4</v>
      </c>
    </row>
    <row r="4558" spans="11:17" x14ac:dyDescent="0.3">
      <c r="K4558">
        <v>2017</v>
      </c>
      <c r="L4558" t="s">
        <v>38</v>
      </c>
      <c r="M4558" t="s">
        <v>110</v>
      </c>
      <c r="N4558" t="s">
        <v>18</v>
      </c>
      <c r="O4558" t="s">
        <v>189</v>
      </c>
      <c r="P4558" s="1" t="s">
        <v>33</v>
      </c>
      <c r="Q4558">
        <v>123.2</v>
      </c>
    </row>
    <row r="4559" spans="11:17" x14ac:dyDescent="0.3">
      <c r="K4559">
        <v>2017</v>
      </c>
      <c r="L4559" t="s">
        <v>38</v>
      </c>
      <c r="M4559" t="s">
        <v>110</v>
      </c>
      <c r="N4559" t="s">
        <v>8</v>
      </c>
      <c r="O4559" t="s">
        <v>188</v>
      </c>
      <c r="P4559" s="1" t="s">
        <v>30</v>
      </c>
      <c r="Q4559">
        <v>140.19999999999999</v>
      </c>
    </row>
    <row r="4560" spans="11:17" x14ac:dyDescent="0.3">
      <c r="K4560">
        <v>2017</v>
      </c>
      <c r="L4560" t="s">
        <v>38</v>
      </c>
      <c r="M4560" t="s">
        <v>110</v>
      </c>
      <c r="N4560" t="s">
        <v>8</v>
      </c>
      <c r="O4560" t="s">
        <v>188</v>
      </c>
      <c r="P4560" s="1" t="s">
        <v>34</v>
      </c>
      <c r="Q4560">
        <v>137.9</v>
      </c>
    </row>
    <row r="4561" spans="11:17" x14ac:dyDescent="0.3">
      <c r="K4561">
        <v>2017</v>
      </c>
      <c r="L4561" t="s">
        <v>38</v>
      </c>
      <c r="M4561" t="s">
        <v>110</v>
      </c>
      <c r="N4561" t="s">
        <v>8</v>
      </c>
      <c r="O4561" t="s">
        <v>188</v>
      </c>
      <c r="P4561" s="1" t="s">
        <v>33</v>
      </c>
      <c r="Q4561">
        <v>135.19999999999999</v>
      </c>
    </row>
    <row r="4562" spans="11:17" x14ac:dyDescent="0.3">
      <c r="K4562">
        <v>2017</v>
      </c>
      <c r="L4562" t="s">
        <v>38</v>
      </c>
      <c r="M4562" t="s">
        <v>110</v>
      </c>
      <c r="N4562" t="s">
        <v>21</v>
      </c>
      <c r="O4562" t="s">
        <v>190</v>
      </c>
      <c r="P4562" s="1" t="s">
        <v>30</v>
      </c>
      <c r="Q4562">
        <v>135</v>
      </c>
    </row>
    <row r="4563" spans="11:17" x14ac:dyDescent="0.3">
      <c r="K4563">
        <v>2017</v>
      </c>
      <c r="L4563" t="s">
        <v>38</v>
      </c>
      <c r="M4563" t="s">
        <v>110</v>
      </c>
      <c r="N4563" t="s">
        <v>21</v>
      </c>
      <c r="O4563" t="s">
        <v>190</v>
      </c>
      <c r="P4563" s="1" t="s">
        <v>34</v>
      </c>
      <c r="Q4563">
        <v>129.4</v>
      </c>
    </row>
    <row r="4564" spans="11:17" x14ac:dyDescent="0.3">
      <c r="K4564">
        <v>2017</v>
      </c>
      <c r="L4564" t="s">
        <v>38</v>
      </c>
      <c r="M4564" t="s">
        <v>110</v>
      </c>
      <c r="N4564" t="s">
        <v>21</v>
      </c>
      <c r="O4564" t="s">
        <v>190</v>
      </c>
      <c r="P4564" s="1" t="s">
        <v>33</v>
      </c>
      <c r="Q4564">
        <v>120.1</v>
      </c>
    </row>
    <row r="4565" spans="11:17" x14ac:dyDescent="0.3">
      <c r="K4565">
        <v>2017</v>
      </c>
      <c r="L4565" t="s">
        <v>38</v>
      </c>
      <c r="M4565" t="s">
        <v>110</v>
      </c>
      <c r="N4565" t="s">
        <v>29</v>
      </c>
      <c r="O4565" t="s">
        <v>206</v>
      </c>
      <c r="P4565" s="1" t="s">
        <v>30</v>
      </c>
      <c r="Q4565">
        <v>133.30000000000001</v>
      </c>
    </row>
    <row r="4566" spans="11:17" x14ac:dyDescent="0.3">
      <c r="K4566">
        <v>2017</v>
      </c>
      <c r="L4566" t="s">
        <v>38</v>
      </c>
      <c r="M4566" t="s">
        <v>110</v>
      </c>
      <c r="N4566" t="s">
        <v>29</v>
      </c>
      <c r="O4566" t="s">
        <v>206</v>
      </c>
      <c r="P4566" s="1" t="s">
        <v>34</v>
      </c>
      <c r="Q4566">
        <v>131.4</v>
      </c>
    </row>
    <row r="4567" spans="11:17" x14ac:dyDescent="0.3">
      <c r="K4567">
        <v>2017</v>
      </c>
      <c r="L4567" t="s">
        <v>38</v>
      </c>
      <c r="M4567" t="s">
        <v>110</v>
      </c>
      <c r="N4567" t="s">
        <v>29</v>
      </c>
      <c r="O4567" t="s">
        <v>206</v>
      </c>
      <c r="P4567" s="1" t="s">
        <v>33</v>
      </c>
      <c r="Q4567">
        <v>129.30000000000001</v>
      </c>
    </row>
    <row r="4568" spans="11:17" x14ac:dyDescent="0.3">
      <c r="K4568">
        <v>2017</v>
      </c>
      <c r="L4568" t="s">
        <v>38</v>
      </c>
      <c r="M4568" t="s">
        <v>110</v>
      </c>
      <c r="N4568" t="s">
        <v>23</v>
      </c>
      <c r="O4568" t="s">
        <v>23</v>
      </c>
      <c r="P4568" s="1" t="s">
        <v>30</v>
      </c>
      <c r="Q4568">
        <v>131.4</v>
      </c>
    </row>
    <row r="4569" spans="11:17" x14ac:dyDescent="0.3">
      <c r="K4569">
        <v>2017</v>
      </c>
      <c r="L4569" t="s">
        <v>38</v>
      </c>
      <c r="M4569" t="s">
        <v>110</v>
      </c>
      <c r="N4569" t="s">
        <v>23</v>
      </c>
      <c r="O4569" t="s">
        <v>23</v>
      </c>
      <c r="P4569" s="1" t="s">
        <v>34</v>
      </c>
      <c r="Q4569">
        <v>128.4</v>
      </c>
    </row>
    <row r="4570" spans="11:17" x14ac:dyDescent="0.3">
      <c r="K4570">
        <v>2017</v>
      </c>
      <c r="L4570" t="s">
        <v>38</v>
      </c>
      <c r="M4570" t="s">
        <v>110</v>
      </c>
      <c r="N4570" t="s">
        <v>23</v>
      </c>
      <c r="O4570" t="s">
        <v>23</v>
      </c>
      <c r="P4570" s="1" t="s">
        <v>33</v>
      </c>
      <c r="Q4570">
        <v>123.6</v>
      </c>
    </row>
    <row r="4571" spans="11:17" x14ac:dyDescent="0.3">
      <c r="K4571">
        <v>2017</v>
      </c>
      <c r="L4571" t="s">
        <v>38</v>
      </c>
      <c r="M4571" t="s">
        <v>110</v>
      </c>
      <c r="N4571" t="s">
        <v>22</v>
      </c>
      <c r="O4571" t="s">
        <v>20</v>
      </c>
      <c r="P4571" s="1" t="s">
        <v>30</v>
      </c>
      <c r="Q4571">
        <v>134.9</v>
      </c>
    </row>
    <row r="4572" spans="11:17" x14ac:dyDescent="0.3">
      <c r="K4572">
        <v>2017</v>
      </c>
      <c r="L4572" t="s">
        <v>38</v>
      </c>
      <c r="M4572" t="s">
        <v>110</v>
      </c>
      <c r="N4572" t="s">
        <v>22</v>
      </c>
      <c r="O4572" t="s">
        <v>20</v>
      </c>
      <c r="P4572" s="1" t="s">
        <v>34</v>
      </c>
      <c r="Q4572">
        <v>130.9</v>
      </c>
    </row>
    <row r="4573" spans="11:17" x14ac:dyDescent="0.3">
      <c r="K4573">
        <v>2017</v>
      </c>
      <c r="L4573" t="s">
        <v>38</v>
      </c>
      <c r="M4573" t="s">
        <v>110</v>
      </c>
      <c r="N4573" t="s">
        <v>22</v>
      </c>
      <c r="O4573" t="s">
        <v>20</v>
      </c>
      <c r="P4573" s="1" t="s">
        <v>33</v>
      </c>
      <c r="Q4573">
        <v>126.5</v>
      </c>
    </row>
    <row r="4574" spans="11:17" x14ac:dyDescent="0.3">
      <c r="K4574">
        <v>2017</v>
      </c>
      <c r="L4574" t="s">
        <v>38</v>
      </c>
      <c r="M4574" t="s">
        <v>110</v>
      </c>
      <c r="N4574" t="s">
        <v>20</v>
      </c>
      <c r="O4574" t="s">
        <v>20</v>
      </c>
      <c r="P4574" s="1" t="s">
        <v>30</v>
      </c>
      <c r="Q4574">
        <v>0</v>
      </c>
    </row>
    <row r="4575" spans="11:17" x14ac:dyDescent="0.3">
      <c r="K4575">
        <v>2017</v>
      </c>
      <c r="L4575" t="s">
        <v>38</v>
      </c>
      <c r="M4575" t="s">
        <v>110</v>
      </c>
      <c r="N4575" t="s">
        <v>20</v>
      </c>
      <c r="O4575" t="s">
        <v>20</v>
      </c>
      <c r="P4575" s="1" t="s">
        <v>34</v>
      </c>
      <c r="Q4575">
        <v>132.1</v>
      </c>
    </row>
    <row r="4576" spans="11:17" x14ac:dyDescent="0.3">
      <c r="K4576">
        <v>2017</v>
      </c>
      <c r="L4576" t="s">
        <v>38</v>
      </c>
      <c r="M4576" t="s">
        <v>110</v>
      </c>
      <c r="N4576" t="s">
        <v>20</v>
      </c>
      <c r="O4576" t="s">
        <v>20</v>
      </c>
      <c r="P4576" s="1" t="s">
        <v>33</v>
      </c>
      <c r="Q4576">
        <v>132.1</v>
      </c>
    </row>
    <row r="4577" spans="11:17" x14ac:dyDescent="0.3">
      <c r="K4577">
        <v>2017</v>
      </c>
      <c r="L4577" t="s">
        <v>38</v>
      </c>
      <c r="M4577" t="s">
        <v>110</v>
      </c>
      <c r="N4577" t="s">
        <v>4</v>
      </c>
      <c r="O4577" t="s">
        <v>188</v>
      </c>
      <c r="P4577" s="1" t="s">
        <v>30</v>
      </c>
      <c r="Q4577">
        <v>140.30000000000001</v>
      </c>
    </row>
    <row r="4578" spans="11:17" x14ac:dyDescent="0.3">
      <c r="K4578">
        <v>2017</v>
      </c>
      <c r="L4578" t="s">
        <v>38</v>
      </c>
      <c r="M4578" t="s">
        <v>110</v>
      </c>
      <c r="N4578" t="s">
        <v>4</v>
      </c>
      <c r="O4578" t="s">
        <v>188</v>
      </c>
      <c r="P4578" s="1" t="s">
        <v>34</v>
      </c>
      <c r="Q4578">
        <v>141.6</v>
      </c>
    </row>
    <row r="4579" spans="11:17" x14ac:dyDescent="0.3">
      <c r="K4579">
        <v>2017</v>
      </c>
      <c r="L4579" t="s">
        <v>38</v>
      </c>
      <c r="M4579" t="s">
        <v>110</v>
      </c>
      <c r="N4579" t="s">
        <v>4</v>
      </c>
      <c r="O4579" t="s">
        <v>188</v>
      </c>
      <c r="P4579" s="1" t="s">
        <v>33</v>
      </c>
      <c r="Q4579">
        <v>144.1</v>
      </c>
    </row>
    <row r="4580" spans="11:17" x14ac:dyDescent="0.3">
      <c r="K4580">
        <v>2017</v>
      </c>
      <c r="L4580" t="s">
        <v>38</v>
      </c>
      <c r="M4580" t="s">
        <v>110</v>
      </c>
      <c r="N4580" t="s">
        <v>6</v>
      </c>
      <c r="O4580" t="s">
        <v>188</v>
      </c>
      <c r="P4580" s="1" t="s">
        <v>30</v>
      </c>
      <c r="Q4580">
        <v>138.19999999999999</v>
      </c>
    </row>
    <row r="4581" spans="11:17" x14ac:dyDescent="0.3">
      <c r="K4581">
        <v>2017</v>
      </c>
      <c r="L4581" t="s">
        <v>38</v>
      </c>
      <c r="M4581" t="s">
        <v>110</v>
      </c>
      <c r="N4581" t="s">
        <v>6</v>
      </c>
      <c r="O4581" t="s">
        <v>188</v>
      </c>
      <c r="P4581" s="1" t="s">
        <v>34</v>
      </c>
      <c r="Q4581">
        <v>137.69999999999999</v>
      </c>
    </row>
    <row r="4582" spans="11:17" x14ac:dyDescent="0.3">
      <c r="K4582">
        <v>2017</v>
      </c>
      <c r="L4582" t="s">
        <v>38</v>
      </c>
      <c r="M4582" t="s">
        <v>110</v>
      </c>
      <c r="N4582" t="s">
        <v>6</v>
      </c>
      <c r="O4582" t="s">
        <v>188</v>
      </c>
      <c r="P4582" s="1" t="s">
        <v>33</v>
      </c>
      <c r="Q4582">
        <v>136.80000000000001</v>
      </c>
    </row>
    <row r="4583" spans="11:17" x14ac:dyDescent="0.3">
      <c r="K4583">
        <v>2017</v>
      </c>
      <c r="L4583" t="s">
        <v>38</v>
      </c>
      <c r="M4583" t="s">
        <v>110</v>
      </c>
      <c r="N4583" t="s">
        <v>28</v>
      </c>
      <c r="O4583" t="s">
        <v>192</v>
      </c>
      <c r="P4583" s="1" t="s">
        <v>30</v>
      </c>
      <c r="Q4583">
        <v>127.9</v>
      </c>
    </row>
    <row r="4584" spans="11:17" x14ac:dyDescent="0.3">
      <c r="K4584">
        <v>2017</v>
      </c>
      <c r="L4584" t="s">
        <v>38</v>
      </c>
      <c r="M4584" t="s">
        <v>110</v>
      </c>
      <c r="N4584" t="s">
        <v>28</v>
      </c>
      <c r="O4584" t="s">
        <v>192</v>
      </c>
      <c r="P4584" s="1" t="s">
        <v>34</v>
      </c>
      <c r="Q4584">
        <v>125.3</v>
      </c>
    </row>
    <row r="4585" spans="11:17" x14ac:dyDescent="0.3">
      <c r="K4585">
        <v>2017</v>
      </c>
      <c r="L4585" t="s">
        <v>38</v>
      </c>
      <c r="M4585" t="s">
        <v>110</v>
      </c>
      <c r="N4585" t="s">
        <v>28</v>
      </c>
      <c r="O4585" t="s">
        <v>192</v>
      </c>
      <c r="P4585" s="1" t="s">
        <v>33</v>
      </c>
      <c r="Q4585">
        <v>122.6</v>
      </c>
    </row>
    <row r="4586" spans="11:17" x14ac:dyDescent="0.3">
      <c r="K4586">
        <v>2017</v>
      </c>
      <c r="L4586" t="s">
        <v>38</v>
      </c>
      <c r="M4586" t="s">
        <v>110</v>
      </c>
      <c r="N4586" t="s">
        <v>13</v>
      </c>
      <c r="O4586" t="s">
        <v>188</v>
      </c>
      <c r="P4586" s="1" t="s">
        <v>30</v>
      </c>
      <c r="Q4586">
        <v>130.30000000000001</v>
      </c>
    </row>
    <row r="4587" spans="11:17" x14ac:dyDescent="0.3">
      <c r="K4587">
        <v>2017</v>
      </c>
      <c r="L4587" t="s">
        <v>38</v>
      </c>
      <c r="M4587" t="s">
        <v>110</v>
      </c>
      <c r="N4587" t="s">
        <v>13</v>
      </c>
      <c r="O4587" t="s">
        <v>188</v>
      </c>
      <c r="P4587" s="1" t="s">
        <v>34</v>
      </c>
      <c r="Q4587">
        <v>127.6</v>
      </c>
    </row>
    <row r="4588" spans="11:17" x14ac:dyDescent="0.3">
      <c r="K4588">
        <v>2017</v>
      </c>
      <c r="L4588" t="s">
        <v>38</v>
      </c>
      <c r="M4588" t="s">
        <v>110</v>
      </c>
      <c r="N4588" t="s">
        <v>13</v>
      </c>
      <c r="O4588" t="s">
        <v>188</v>
      </c>
      <c r="P4588" s="1" t="s">
        <v>33</v>
      </c>
      <c r="Q4588">
        <v>123.8</v>
      </c>
    </row>
    <row r="4589" spans="11:17" x14ac:dyDescent="0.3">
      <c r="K4589">
        <v>2017</v>
      </c>
      <c r="L4589" t="s">
        <v>38</v>
      </c>
      <c r="M4589" t="s">
        <v>110</v>
      </c>
      <c r="N4589" t="s">
        <v>7</v>
      </c>
      <c r="O4589" t="s">
        <v>188</v>
      </c>
      <c r="P4589" s="1" t="s">
        <v>30</v>
      </c>
      <c r="Q4589">
        <v>120.8</v>
      </c>
    </row>
    <row r="4590" spans="11:17" x14ac:dyDescent="0.3">
      <c r="K4590">
        <v>2017</v>
      </c>
      <c r="L4590" t="s">
        <v>38</v>
      </c>
      <c r="M4590" t="s">
        <v>110</v>
      </c>
      <c r="N4590" t="s">
        <v>7</v>
      </c>
      <c r="O4590" t="s">
        <v>188</v>
      </c>
      <c r="P4590" s="1" t="s">
        <v>34</v>
      </c>
      <c r="Q4590">
        <v>118.1</v>
      </c>
    </row>
    <row r="4591" spans="11:17" x14ac:dyDescent="0.3">
      <c r="K4591">
        <v>2017</v>
      </c>
      <c r="L4591" t="s">
        <v>38</v>
      </c>
      <c r="M4591" t="s">
        <v>110</v>
      </c>
      <c r="N4591" t="s">
        <v>7</v>
      </c>
      <c r="O4591" t="s">
        <v>188</v>
      </c>
      <c r="P4591" s="1" t="s">
        <v>33</v>
      </c>
      <c r="Q4591">
        <v>113.4</v>
      </c>
    </row>
    <row r="4592" spans="11:17" x14ac:dyDescent="0.3">
      <c r="K4592">
        <v>2017</v>
      </c>
      <c r="L4592" t="s">
        <v>38</v>
      </c>
      <c r="M4592" t="s">
        <v>110</v>
      </c>
      <c r="N4592" t="s">
        <v>16</v>
      </c>
      <c r="O4592" t="s">
        <v>192</v>
      </c>
      <c r="P4592" s="1" t="s">
        <v>30</v>
      </c>
      <c r="Q4592">
        <v>145.5</v>
      </c>
    </row>
    <row r="4593" spans="11:17" x14ac:dyDescent="0.3">
      <c r="K4593">
        <v>2017</v>
      </c>
      <c r="L4593" t="s">
        <v>38</v>
      </c>
      <c r="M4593" t="s">
        <v>110</v>
      </c>
      <c r="N4593" t="s">
        <v>16</v>
      </c>
      <c r="O4593" t="s">
        <v>192</v>
      </c>
      <c r="P4593" s="1" t="s">
        <v>34</v>
      </c>
      <c r="Q4593">
        <v>146.19999999999999</v>
      </c>
    </row>
    <row r="4594" spans="11:17" x14ac:dyDescent="0.3">
      <c r="K4594">
        <v>2017</v>
      </c>
      <c r="L4594" t="s">
        <v>38</v>
      </c>
      <c r="M4594" t="s">
        <v>110</v>
      </c>
      <c r="N4594" t="s">
        <v>16</v>
      </c>
      <c r="O4594" t="s">
        <v>192</v>
      </c>
      <c r="P4594" s="1" t="s">
        <v>33</v>
      </c>
      <c r="Q4594">
        <v>148.30000000000001</v>
      </c>
    </row>
    <row r="4595" spans="11:17" x14ac:dyDescent="0.3">
      <c r="K4595">
        <v>2017</v>
      </c>
      <c r="L4595" t="s">
        <v>38</v>
      </c>
      <c r="M4595" t="s">
        <v>110</v>
      </c>
      <c r="N4595" t="s">
        <v>27</v>
      </c>
      <c r="O4595" t="s">
        <v>192</v>
      </c>
      <c r="P4595" s="1" t="s">
        <v>30</v>
      </c>
      <c r="Q4595">
        <v>123.7</v>
      </c>
    </row>
    <row r="4596" spans="11:17" x14ac:dyDescent="0.3">
      <c r="K4596">
        <v>2017</v>
      </c>
      <c r="L4596" t="s">
        <v>38</v>
      </c>
      <c r="M4596" t="s">
        <v>110</v>
      </c>
      <c r="N4596" t="s">
        <v>27</v>
      </c>
      <c r="O4596" t="s">
        <v>192</v>
      </c>
      <c r="P4596" s="1" t="s">
        <v>34</v>
      </c>
      <c r="Q4596">
        <v>123</v>
      </c>
    </row>
    <row r="4597" spans="11:17" x14ac:dyDescent="0.3">
      <c r="K4597">
        <v>2017</v>
      </c>
      <c r="L4597" t="s">
        <v>38</v>
      </c>
      <c r="M4597" t="s">
        <v>110</v>
      </c>
      <c r="N4597" t="s">
        <v>27</v>
      </c>
      <c r="O4597" t="s">
        <v>192</v>
      </c>
      <c r="P4597" s="1" t="s">
        <v>33</v>
      </c>
      <c r="Q4597">
        <v>122</v>
      </c>
    </row>
    <row r="4598" spans="11:17" x14ac:dyDescent="0.3">
      <c r="K4598">
        <v>2017</v>
      </c>
      <c r="L4598" t="s">
        <v>38</v>
      </c>
      <c r="M4598" t="s">
        <v>110</v>
      </c>
      <c r="N4598" t="s">
        <v>14</v>
      </c>
      <c r="O4598" t="s">
        <v>188</v>
      </c>
      <c r="P4598" s="1" t="s">
        <v>30</v>
      </c>
      <c r="Q4598">
        <v>145.80000000000001</v>
      </c>
    </row>
    <row r="4599" spans="11:17" x14ac:dyDescent="0.3">
      <c r="K4599">
        <v>2017</v>
      </c>
      <c r="L4599" t="s">
        <v>38</v>
      </c>
      <c r="M4599" t="s">
        <v>110</v>
      </c>
      <c r="N4599" t="s">
        <v>14</v>
      </c>
      <c r="O4599" t="s">
        <v>188</v>
      </c>
      <c r="P4599" s="1" t="s">
        <v>34</v>
      </c>
      <c r="Q4599">
        <v>144.5</v>
      </c>
    </row>
    <row r="4600" spans="11:17" x14ac:dyDescent="0.3">
      <c r="K4600">
        <v>2017</v>
      </c>
      <c r="L4600" t="s">
        <v>38</v>
      </c>
      <c r="M4600" t="s">
        <v>110</v>
      </c>
      <c r="N4600" t="s">
        <v>14</v>
      </c>
      <c r="O4600" t="s">
        <v>188</v>
      </c>
      <c r="P4600" s="1" t="s">
        <v>33</v>
      </c>
      <c r="Q4600">
        <v>142.9</v>
      </c>
    </row>
    <row r="4601" spans="11:17" x14ac:dyDescent="0.3">
      <c r="K4601">
        <v>2017</v>
      </c>
      <c r="L4601" t="s">
        <v>38</v>
      </c>
      <c r="M4601" t="s">
        <v>110</v>
      </c>
      <c r="N4601" t="s">
        <v>10</v>
      </c>
      <c r="O4601" t="s">
        <v>188</v>
      </c>
      <c r="P4601" s="1" t="s">
        <v>30</v>
      </c>
      <c r="Q4601">
        <v>141.80000000000001</v>
      </c>
    </row>
    <row r="4602" spans="11:17" x14ac:dyDescent="0.3">
      <c r="K4602">
        <v>2017</v>
      </c>
      <c r="L4602" t="s">
        <v>38</v>
      </c>
      <c r="M4602" t="s">
        <v>110</v>
      </c>
      <c r="N4602" t="s">
        <v>10</v>
      </c>
      <c r="O4602" t="s">
        <v>188</v>
      </c>
      <c r="P4602" s="1" t="s">
        <v>34</v>
      </c>
      <c r="Q4602">
        <v>138.30000000000001</v>
      </c>
    </row>
    <row r="4603" spans="11:17" x14ac:dyDescent="0.3">
      <c r="K4603">
        <v>2017</v>
      </c>
      <c r="L4603" t="s">
        <v>38</v>
      </c>
      <c r="M4603" t="s">
        <v>110</v>
      </c>
      <c r="N4603" t="s">
        <v>10</v>
      </c>
      <c r="O4603" t="s">
        <v>188</v>
      </c>
      <c r="P4603" s="1" t="s">
        <v>33</v>
      </c>
      <c r="Q4603">
        <v>131.5</v>
      </c>
    </row>
    <row r="4604" spans="11:17" x14ac:dyDescent="0.3">
      <c r="K4604">
        <v>2017</v>
      </c>
      <c r="L4604" t="s">
        <v>38</v>
      </c>
      <c r="M4604" t="s">
        <v>110</v>
      </c>
      <c r="N4604" t="s">
        <v>25</v>
      </c>
      <c r="O4604" t="s">
        <v>195</v>
      </c>
      <c r="P4604" s="1" t="s">
        <v>30</v>
      </c>
      <c r="Q4604">
        <v>129.4</v>
      </c>
    </row>
    <row r="4605" spans="11:17" x14ac:dyDescent="0.3">
      <c r="K4605">
        <v>2017</v>
      </c>
      <c r="L4605" t="s">
        <v>38</v>
      </c>
      <c r="M4605" t="s">
        <v>110</v>
      </c>
      <c r="N4605" t="s">
        <v>25</v>
      </c>
      <c r="O4605" t="s">
        <v>195</v>
      </c>
      <c r="P4605" s="1" t="s">
        <v>34</v>
      </c>
      <c r="Q4605">
        <v>125.7</v>
      </c>
    </row>
    <row r="4606" spans="11:17" x14ac:dyDescent="0.3">
      <c r="K4606">
        <v>2017</v>
      </c>
      <c r="L4606" t="s">
        <v>38</v>
      </c>
      <c r="M4606" t="s">
        <v>110</v>
      </c>
      <c r="N4606" t="s">
        <v>25</v>
      </c>
      <c r="O4606" t="s">
        <v>195</v>
      </c>
      <c r="P4606" s="1" t="s">
        <v>33</v>
      </c>
      <c r="Q4606">
        <v>122.8</v>
      </c>
    </row>
    <row r="4607" spans="11:17" x14ac:dyDescent="0.3">
      <c r="K4607">
        <v>2017</v>
      </c>
      <c r="L4607" t="s">
        <v>38</v>
      </c>
      <c r="M4607" t="s">
        <v>110</v>
      </c>
      <c r="N4607" t="s">
        <v>12</v>
      </c>
      <c r="O4607" t="s">
        <v>188</v>
      </c>
      <c r="P4607" s="1" t="s">
        <v>30</v>
      </c>
      <c r="Q4607">
        <v>134</v>
      </c>
    </row>
    <row r="4608" spans="11:17" x14ac:dyDescent="0.3">
      <c r="K4608">
        <v>2017</v>
      </c>
      <c r="L4608" t="s">
        <v>38</v>
      </c>
      <c r="M4608" t="s">
        <v>110</v>
      </c>
      <c r="N4608" t="s">
        <v>12</v>
      </c>
      <c r="O4608" t="s">
        <v>188</v>
      </c>
      <c r="P4608" s="1" t="s">
        <v>34</v>
      </c>
      <c r="Q4608">
        <v>136</v>
      </c>
    </row>
    <row r="4609" spans="11:17" x14ac:dyDescent="0.3">
      <c r="K4609">
        <v>2017</v>
      </c>
      <c r="L4609" t="s">
        <v>38</v>
      </c>
      <c r="M4609" t="s">
        <v>110</v>
      </c>
      <c r="N4609" t="s">
        <v>12</v>
      </c>
      <c r="O4609" t="s">
        <v>188</v>
      </c>
      <c r="P4609" s="1" t="s">
        <v>33</v>
      </c>
      <c r="Q4609">
        <v>139.9</v>
      </c>
    </row>
    <row r="4610" spans="11:17" x14ac:dyDescent="0.3">
      <c r="K4610">
        <v>2017</v>
      </c>
      <c r="L4610" t="s">
        <v>38</v>
      </c>
      <c r="M4610" t="s">
        <v>110</v>
      </c>
      <c r="N4610" t="s">
        <v>11</v>
      </c>
      <c r="O4610" t="s">
        <v>188</v>
      </c>
      <c r="P4610" s="1" t="s">
        <v>30</v>
      </c>
      <c r="Q4610">
        <v>118.6</v>
      </c>
    </row>
    <row r="4611" spans="11:17" x14ac:dyDescent="0.3">
      <c r="K4611">
        <v>2017</v>
      </c>
      <c r="L4611" t="s">
        <v>38</v>
      </c>
      <c r="M4611" t="s">
        <v>110</v>
      </c>
      <c r="N4611" t="s">
        <v>11</v>
      </c>
      <c r="O4611" t="s">
        <v>188</v>
      </c>
      <c r="P4611" s="1" t="s">
        <v>34</v>
      </c>
      <c r="Q4611">
        <v>119.4</v>
      </c>
    </row>
    <row r="4612" spans="11:17" x14ac:dyDescent="0.3">
      <c r="K4612">
        <v>2017</v>
      </c>
      <c r="L4612" t="s">
        <v>38</v>
      </c>
      <c r="M4612" t="s">
        <v>110</v>
      </c>
      <c r="N4612" t="s">
        <v>11</v>
      </c>
      <c r="O4612" t="s">
        <v>188</v>
      </c>
      <c r="P4612" s="1" t="s">
        <v>33</v>
      </c>
      <c r="Q4612">
        <v>121</v>
      </c>
    </row>
    <row r="4613" spans="11:17" x14ac:dyDescent="0.3">
      <c r="K4613">
        <v>2017</v>
      </c>
      <c r="L4613" t="s">
        <v>38</v>
      </c>
      <c r="M4613" t="s">
        <v>110</v>
      </c>
      <c r="N4613" t="s">
        <v>24</v>
      </c>
      <c r="O4613" t="s">
        <v>191</v>
      </c>
      <c r="P4613" s="1" t="s">
        <v>30</v>
      </c>
      <c r="Q4613">
        <v>119.4</v>
      </c>
    </row>
    <row r="4614" spans="11:17" x14ac:dyDescent="0.3">
      <c r="K4614">
        <v>2017</v>
      </c>
      <c r="L4614" t="s">
        <v>38</v>
      </c>
      <c r="M4614" t="s">
        <v>110</v>
      </c>
      <c r="N4614" t="s">
        <v>24</v>
      </c>
      <c r="O4614" t="s">
        <v>191</v>
      </c>
      <c r="P4614" s="1" t="s">
        <v>34</v>
      </c>
      <c r="Q4614">
        <v>116.7</v>
      </c>
    </row>
    <row r="4615" spans="11:17" x14ac:dyDescent="0.3">
      <c r="K4615">
        <v>2017</v>
      </c>
      <c r="L4615" t="s">
        <v>38</v>
      </c>
      <c r="M4615" t="s">
        <v>110</v>
      </c>
      <c r="N4615" t="s">
        <v>24</v>
      </c>
      <c r="O4615" t="s">
        <v>191</v>
      </c>
      <c r="P4615" s="1" t="s">
        <v>33</v>
      </c>
      <c r="Q4615">
        <v>114.3</v>
      </c>
    </row>
    <row r="4616" spans="11:17" x14ac:dyDescent="0.3">
      <c r="K4616">
        <v>2017</v>
      </c>
      <c r="L4616" t="s">
        <v>38</v>
      </c>
      <c r="M4616" t="s">
        <v>110</v>
      </c>
      <c r="N4616" t="s">
        <v>9</v>
      </c>
      <c r="O4616" t="s">
        <v>188</v>
      </c>
      <c r="P4616" s="1" t="s">
        <v>30</v>
      </c>
      <c r="Q4616">
        <v>123.8</v>
      </c>
    </row>
    <row r="4617" spans="11:17" x14ac:dyDescent="0.3">
      <c r="K4617">
        <v>2017</v>
      </c>
      <c r="L4617" t="s">
        <v>38</v>
      </c>
      <c r="M4617" t="s">
        <v>110</v>
      </c>
      <c r="N4617" t="s">
        <v>9</v>
      </c>
      <c r="O4617" t="s">
        <v>188</v>
      </c>
      <c r="P4617" s="1" t="s">
        <v>34</v>
      </c>
      <c r="Q4617">
        <v>125.6</v>
      </c>
    </row>
    <row r="4618" spans="11:17" x14ac:dyDescent="0.3">
      <c r="K4618">
        <v>2017</v>
      </c>
      <c r="L4618" t="s">
        <v>38</v>
      </c>
      <c r="M4618" t="s">
        <v>110</v>
      </c>
      <c r="N4618" t="s">
        <v>9</v>
      </c>
      <c r="O4618" t="s">
        <v>188</v>
      </c>
      <c r="P4618" s="1" t="s">
        <v>33</v>
      </c>
      <c r="Q4618">
        <v>129.19999999999999</v>
      </c>
    </row>
    <row r="4619" spans="11:17" x14ac:dyDescent="0.3">
      <c r="K4619">
        <v>2017</v>
      </c>
      <c r="L4619" t="s">
        <v>44</v>
      </c>
      <c r="M4619" t="s">
        <v>111</v>
      </c>
      <c r="N4619" t="s">
        <v>3</v>
      </c>
      <c r="O4619" t="s">
        <v>188</v>
      </c>
      <c r="P4619" s="1" t="s">
        <v>30</v>
      </c>
      <c r="Q4619">
        <v>136.30000000000001</v>
      </c>
    </row>
    <row r="4620" spans="11:17" x14ac:dyDescent="0.3">
      <c r="K4620">
        <v>2017</v>
      </c>
      <c r="L4620" t="s">
        <v>44</v>
      </c>
      <c r="M4620" t="s">
        <v>111</v>
      </c>
      <c r="N4620" t="s">
        <v>3</v>
      </c>
      <c r="O4620" t="s">
        <v>188</v>
      </c>
      <c r="P4620" s="1" t="s">
        <v>34</v>
      </c>
      <c r="Q4620">
        <v>135.69999999999999</v>
      </c>
    </row>
    <row r="4621" spans="11:17" x14ac:dyDescent="0.3">
      <c r="K4621">
        <v>2017</v>
      </c>
      <c r="L4621" t="s">
        <v>44</v>
      </c>
      <c r="M4621" t="s">
        <v>111</v>
      </c>
      <c r="N4621" t="s">
        <v>3</v>
      </c>
      <c r="O4621" t="s">
        <v>188</v>
      </c>
      <c r="P4621" s="1" t="s">
        <v>33</v>
      </c>
      <c r="Q4621">
        <v>134.30000000000001</v>
      </c>
    </row>
    <row r="4622" spans="11:17" x14ac:dyDescent="0.3">
      <c r="K4622">
        <v>2017</v>
      </c>
      <c r="L4622" t="s">
        <v>44</v>
      </c>
      <c r="M4622" t="s">
        <v>111</v>
      </c>
      <c r="N4622" t="s">
        <v>17</v>
      </c>
      <c r="O4622" t="s">
        <v>189</v>
      </c>
      <c r="P4622" s="1" t="s">
        <v>30</v>
      </c>
      <c r="Q4622">
        <v>148.19999999999999</v>
      </c>
    </row>
    <row r="4623" spans="11:17" x14ac:dyDescent="0.3">
      <c r="K4623">
        <v>2017</v>
      </c>
      <c r="L4623" t="s">
        <v>44</v>
      </c>
      <c r="M4623" t="s">
        <v>111</v>
      </c>
      <c r="N4623" t="s">
        <v>17</v>
      </c>
      <c r="O4623" t="s">
        <v>189</v>
      </c>
      <c r="P4623" s="1" t="s">
        <v>34</v>
      </c>
      <c r="Q4623">
        <v>143</v>
      </c>
    </row>
    <row r="4624" spans="11:17" x14ac:dyDescent="0.3">
      <c r="K4624">
        <v>2017</v>
      </c>
      <c r="L4624" t="s">
        <v>44</v>
      </c>
      <c r="M4624" t="s">
        <v>111</v>
      </c>
      <c r="N4624" t="s">
        <v>17</v>
      </c>
      <c r="O4624" t="s">
        <v>189</v>
      </c>
      <c r="P4624" s="1" t="s">
        <v>33</v>
      </c>
      <c r="Q4624">
        <v>135</v>
      </c>
    </row>
    <row r="4625" spans="11:17" x14ac:dyDescent="0.3">
      <c r="K4625">
        <v>2017</v>
      </c>
      <c r="L4625" t="s">
        <v>44</v>
      </c>
      <c r="M4625" t="s">
        <v>111</v>
      </c>
      <c r="N4625" t="s">
        <v>19</v>
      </c>
      <c r="O4625" t="s">
        <v>189</v>
      </c>
      <c r="P4625" s="1" t="s">
        <v>30</v>
      </c>
      <c r="Q4625">
        <v>147.30000000000001</v>
      </c>
    </row>
    <row r="4626" spans="11:17" x14ac:dyDescent="0.3">
      <c r="K4626">
        <v>2017</v>
      </c>
      <c r="L4626" t="s">
        <v>44</v>
      </c>
      <c r="M4626" t="s">
        <v>111</v>
      </c>
      <c r="N4626" t="s">
        <v>19</v>
      </c>
      <c r="O4626" t="s">
        <v>189</v>
      </c>
      <c r="P4626" s="1" t="s">
        <v>34</v>
      </c>
      <c r="Q4626">
        <v>141.80000000000001</v>
      </c>
    </row>
    <row r="4627" spans="11:17" x14ac:dyDescent="0.3">
      <c r="K4627">
        <v>2017</v>
      </c>
      <c r="L4627" t="s">
        <v>44</v>
      </c>
      <c r="M4627" t="s">
        <v>111</v>
      </c>
      <c r="N4627" t="s">
        <v>19</v>
      </c>
      <c r="O4627" t="s">
        <v>189</v>
      </c>
      <c r="P4627" s="1" t="s">
        <v>33</v>
      </c>
      <c r="Q4627">
        <v>133.5</v>
      </c>
    </row>
    <row r="4628" spans="11:17" x14ac:dyDescent="0.3">
      <c r="K4628">
        <v>2017</v>
      </c>
      <c r="L4628" t="s">
        <v>44</v>
      </c>
      <c r="M4628" t="s">
        <v>111</v>
      </c>
      <c r="N4628" t="s">
        <v>26</v>
      </c>
      <c r="O4628" t="s">
        <v>26</v>
      </c>
      <c r="P4628" s="1" t="s">
        <v>30</v>
      </c>
      <c r="Q4628">
        <v>141.5</v>
      </c>
    </row>
    <row r="4629" spans="11:17" x14ac:dyDescent="0.3">
      <c r="K4629">
        <v>2017</v>
      </c>
      <c r="L4629" t="s">
        <v>44</v>
      </c>
      <c r="M4629" t="s">
        <v>111</v>
      </c>
      <c r="N4629" t="s">
        <v>26</v>
      </c>
      <c r="O4629" t="s">
        <v>26</v>
      </c>
      <c r="P4629" s="1" t="s">
        <v>34</v>
      </c>
      <c r="Q4629">
        <v>138.6</v>
      </c>
    </row>
    <row r="4630" spans="11:17" x14ac:dyDescent="0.3">
      <c r="K4630">
        <v>2017</v>
      </c>
      <c r="L4630" t="s">
        <v>44</v>
      </c>
      <c r="M4630" t="s">
        <v>111</v>
      </c>
      <c r="N4630" t="s">
        <v>26</v>
      </c>
      <c r="O4630" t="s">
        <v>26</v>
      </c>
      <c r="P4630" s="1" t="s">
        <v>33</v>
      </c>
      <c r="Q4630">
        <v>136.6</v>
      </c>
    </row>
    <row r="4631" spans="11:17" x14ac:dyDescent="0.3">
      <c r="K4631">
        <v>2017</v>
      </c>
      <c r="L4631" t="s">
        <v>44</v>
      </c>
      <c r="M4631" t="s">
        <v>111</v>
      </c>
      <c r="N4631" t="s">
        <v>5</v>
      </c>
      <c r="O4631" t="s">
        <v>188</v>
      </c>
      <c r="P4631" s="1" t="s">
        <v>30</v>
      </c>
      <c r="Q4631">
        <v>140.5</v>
      </c>
    </row>
    <row r="4632" spans="11:17" x14ac:dyDescent="0.3">
      <c r="K4632">
        <v>2017</v>
      </c>
      <c r="L4632" t="s">
        <v>44</v>
      </c>
      <c r="M4632" t="s">
        <v>111</v>
      </c>
      <c r="N4632" t="s">
        <v>5</v>
      </c>
      <c r="O4632" t="s">
        <v>188</v>
      </c>
      <c r="P4632" s="1" t="s">
        <v>34</v>
      </c>
      <c r="Q4632">
        <v>142.9</v>
      </c>
    </row>
    <row r="4633" spans="11:17" x14ac:dyDescent="0.3">
      <c r="K4633">
        <v>2017</v>
      </c>
      <c r="L4633" t="s">
        <v>44</v>
      </c>
      <c r="M4633" t="s">
        <v>111</v>
      </c>
      <c r="N4633" t="s">
        <v>5</v>
      </c>
      <c r="O4633" t="s">
        <v>188</v>
      </c>
      <c r="P4633" s="1" t="s">
        <v>33</v>
      </c>
      <c r="Q4633">
        <v>146.69999999999999</v>
      </c>
    </row>
    <row r="4634" spans="11:17" x14ac:dyDescent="0.3">
      <c r="K4634">
        <v>2017</v>
      </c>
      <c r="L4634" t="s">
        <v>44</v>
      </c>
      <c r="M4634" t="s">
        <v>111</v>
      </c>
      <c r="N4634" t="s">
        <v>15</v>
      </c>
      <c r="O4634" t="s">
        <v>188</v>
      </c>
      <c r="P4634" s="1" t="s">
        <v>30</v>
      </c>
      <c r="Q4634">
        <v>142.4</v>
      </c>
    </row>
    <row r="4635" spans="11:17" x14ac:dyDescent="0.3">
      <c r="K4635">
        <v>2017</v>
      </c>
      <c r="L4635" t="s">
        <v>44</v>
      </c>
      <c r="M4635" t="s">
        <v>111</v>
      </c>
      <c r="N4635" t="s">
        <v>15</v>
      </c>
      <c r="O4635" t="s">
        <v>188</v>
      </c>
      <c r="P4635" s="1" t="s">
        <v>34</v>
      </c>
      <c r="Q4635">
        <v>142.1</v>
      </c>
    </row>
    <row r="4636" spans="11:17" x14ac:dyDescent="0.3">
      <c r="K4636">
        <v>2017</v>
      </c>
      <c r="L4636" t="s">
        <v>44</v>
      </c>
      <c r="M4636" t="s">
        <v>111</v>
      </c>
      <c r="N4636" t="s">
        <v>15</v>
      </c>
      <c r="O4636" t="s">
        <v>188</v>
      </c>
      <c r="P4636" s="1" t="s">
        <v>33</v>
      </c>
      <c r="Q4636">
        <v>141.5</v>
      </c>
    </row>
    <row r="4637" spans="11:17" x14ac:dyDescent="0.3">
      <c r="K4637">
        <v>2017</v>
      </c>
      <c r="L4637" t="s">
        <v>44</v>
      </c>
      <c r="M4637" t="s">
        <v>111</v>
      </c>
      <c r="N4637" t="s">
        <v>18</v>
      </c>
      <c r="O4637" t="s">
        <v>189</v>
      </c>
      <c r="P4637" s="1" t="s">
        <v>30</v>
      </c>
      <c r="Q4637">
        <v>141.5</v>
      </c>
    </row>
    <row r="4638" spans="11:17" x14ac:dyDescent="0.3">
      <c r="K4638">
        <v>2017</v>
      </c>
      <c r="L4638" t="s">
        <v>44</v>
      </c>
      <c r="M4638" t="s">
        <v>111</v>
      </c>
      <c r="N4638" t="s">
        <v>18</v>
      </c>
      <c r="O4638" t="s">
        <v>189</v>
      </c>
      <c r="P4638" s="1" t="s">
        <v>34</v>
      </c>
      <c r="Q4638">
        <v>134.80000000000001</v>
      </c>
    </row>
    <row r="4639" spans="11:17" x14ac:dyDescent="0.3">
      <c r="K4639">
        <v>2017</v>
      </c>
      <c r="L4639" t="s">
        <v>44</v>
      </c>
      <c r="M4639" t="s">
        <v>111</v>
      </c>
      <c r="N4639" t="s">
        <v>18</v>
      </c>
      <c r="O4639" t="s">
        <v>189</v>
      </c>
      <c r="P4639" s="1" t="s">
        <v>33</v>
      </c>
      <c r="Q4639">
        <v>125.4</v>
      </c>
    </row>
    <row r="4640" spans="11:17" x14ac:dyDescent="0.3">
      <c r="K4640">
        <v>2017</v>
      </c>
      <c r="L4640" t="s">
        <v>44</v>
      </c>
      <c r="M4640" t="s">
        <v>111</v>
      </c>
      <c r="N4640" t="s">
        <v>8</v>
      </c>
      <c r="O4640" t="s">
        <v>188</v>
      </c>
      <c r="P4640" s="1" t="s">
        <v>30</v>
      </c>
      <c r="Q4640">
        <v>147.30000000000001</v>
      </c>
    </row>
    <row r="4641" spans="11:17" x14ac:dyDescent="0.3">
      <c r="K4641">
        <v>2017</v>
      </c>
      <c r="L4641" t="s">
        <v>44</v>
      </c>
      <c r="M4641" t="s">
        <v>111</v>
      </c>
      <c r="N4641" t="s">
        <v>8</v>
      </c>
      <c r="O4641" t="s">
        <v>188</v>
      </c>
      <c r="P4641" s="1" t="s">
        <v>34</v>
      </c>
      <c r="Q4641">
        <v>142.19999999999999</v>
      </c>
    </row>
    <row r="4642" spans="11:17" x14ac:dyDescent="0.3">
      <c r="K4642">
        <v>2017</v>
      </c>
      <c r="L4642" t="s">
        <v>44</v>
      </c>
      <c r="M4642" t="s">
        <v>111</v>
      </c>
      <c r="N4642" t="s">
        <v>8</v>
      </c>
      <c r="O4642" t="s">
        <v>188</v>
      </c>
      <c r="P4642" s="1" t="s">
        <v>33</v>
      </c>
      <c r="Q4642">
        <v>136.4</v>
      </c>
    </row>
    <row r="4643" spans="11:17" x14ac:dyDescent="0.3">
      <c r="K4643">
        <v>2017</v>
      </c>
      <c r="L4643" t="s">
        <v>44</v>
      </c>
      <c r="M4643" t="s">
        <v>111</v>
      </c>
      <c r="N4643" t="s">
        <v>21</v>
      </c>
      <c r="O4643" t="s">
        <v>190</v>
      </c>
      <c r="P4643" s="1" t="s">
        <v>30</v>
      </c>
      <c r="Q4643">
        <v>141.1</v>
      </c>
    </row>
    <row r="4644" spans="11:17" x14ac:dyDescent="0.3">
      <c r="K4644">
        <v>2017</v>
      </c>
      <c r="L4644" t="s">
        <v>44</v>
      </c>
      <c r="M4644" t="s">
        <v>111</v>
      </c>
      <c r="N4644" t="s">
        <v>21</v>
      </c>
      <c r="O4644" t="s">
        <v>190</v>
      </c>
      <c r="P4644" s="1" t="s">
        <v>34</v>
      </c>
      <c r="Q4644">
        <v>135.30000000000001</v>
      </c>
    </row>
    <row r="4645" spans="11:17" x14ac:dyDescent="0.3">
      <c r="K4645">
        <v>2017</v>
      </c>
      <c r="L4645" t="s">
        <v>44</v>
      </c>
      <c r="M4645" t="s">
        <v>111</v>
      </c>
      <c r="N4645" t="s">
        <v>21</v>
      </c>
      <c r="O4645" t="s">
        <v>190</v>
      </c>
      <c r="P4645" s="1" t="s">
        <v>33</v>
      </c>
      <c r="Q4645">
        <v>125.7</v>
      </c>
    </row>
    <row r="4646" spans="11:17" x14ac:dyDescent="0.3">
      <c r="K4646">
        <v>2017</v>
      </c>
      <c r="L4646" t="s">
        <v>44</v>
      </c>
      <c r="M4646" t="s">
        <v>111</v>
      </c>
      <c r="N4646" t="s">
        <v>29</v>
      </c>
      <c r="O4646" t="s">
        <v>206</v>
      </c>
      <c r="P4646" s="1" t="s">
        <v>30</v>
      </c>
      <c r="Q4646">
        <v>140</v>
      </c>
    </row>
    <row r="4647" spans="11:17" x14ac:dyDescent="0.3">
      <c r="K4647">
        <v>2017</v>
      </c>
      <c r="L4647" t="s">
        <v>44</v>
      </c>
      <c r="M4647" t="s">
        <v>111</v>
      </c>
      <c r="N4647" t="s">
        <v>29</v>
      </c>
      <c r="O4647" t="s">
        <v>206</v>
      </c>
      <c r="P4647" s="1" t="s">
        <v>34</v>
      </c>
      <c r="Q4647">
        <v>137.6</v>
      </c>
    </row>
    <row r="4648" spans="11:17" x14ac:dyDescent="0.3">
      <c r="K4648">
        <v>2017</v>
      </c>
      <c r="L4648" t="s">
        <v>44</v>
      </c>
      <c r="M4648" t="s">
        <v>111</v>
      </c>
      <c r="N4648" t="s">
        <v>29</v>
      </c>
      <c r="O4648" t="s">
        <v>206</v>
      </c>
      <c r="P4648" s="1" t="s">
        <v>33</v>
      </c>
      <c r="Q4648">
        <v>134.80000000000001</v>
      </c>
    </row>
    <row r="4649" spans="11:17" x14ac:dyDescent="0.3">
      <c r="K4649">
        <v>2017</v>
      </c>
      <c r="L4649" t="s">
        <v>44</v>
      </c>
      <c r="M4649" t="s">
        <v>111</v>
      </c>
      <c r="N4649" t="s">
        <v>23</v>
      </c>
      <c r="O4649" t="s">
        <v>23</v>
      </c>
      <c r="P4649" s="1" t="s">
        <v>30</v>
      </c>
      <c r="Q4649">
        <v>135.80000000000001</v>
      </c>
    </row>
    <row r="4650" spans="11:17" x14ac:dyDescent="0.3">
      <c r="K4650">
        <v>2017</v>
      </c>
      <c r="L4650" t="s">
        <v>44</v>
      </c>
      <c r="M4650" t="s">
        <v>111</v>
      </c>
      <c r="N4650" t="s">
        <v>23</v>
      </c>
      <c r="O4650" t="s">
        <v>23</v>
      </c>
      <c r="P4650" s="1" t="s">
        <v>34</v>
      </c>
      <c r="Q4650">
        <v>132.6</v>
      </c>
    </row>
    <row r="4651" spans="11:17" x14ac:dyDescent="0.3">
      <c r="K4651">
        <v>2017</v>
      </c>
      <c r="L4651" t="s">
        <v>44</v>
      </c>
      <c r="M4651" t="s">
        <v>111</v>
      </c>
      <c r="N4651" t="s">
        <v>23</v>
      </c>
      <c r="O4651" t="s">
        <v>23</v>
      </c>
      <c r="P4651" s="1" t="s">
        <v>33</v>
      </c>
      <c r="Q4651">
        <v>127.4</v>
      </c>
    </row>
    <row r="4652" spans="11:17" x14ac:dyDescent="0.3">
      <c r="K4652">
        <v>2017</v>
      </c>
      <c r="L4652" t="s">
        <v>44</v>
      </c>
      <c r="M4652" t="s">
        <v>111</v>
      </c>
      <c r="N4652" t="s">
        <v>22</v>
      </c>
      <c r="O4652" t="s">
        <v>20</v>
      </c>
      <c r="P4652" s="1" t="s">
        <v>30</v>
      </c>
      <c r="Q4652">
        <v>139.4</v>
      </c>
    </row>
    <row r="4653" spans="11:17" x14ac:dyDescent="0.3">
      <c r="K4653">
        <v>2017</v>
      </c>
      <c r="L4653" t="s">
        <v>44</v>
      </c>
      <c r="M4653" t="s">
        <v>111</v>
      </c>
      <c r="N4653" t="s">
        <v>22</v>
      </c>
      <c r="O4653" t="s">
        <v>20</v>
      </c>
      <c r="P4653" s="1" t="s">
        <v>34</v>
      </c>
      <c r="Q4653">
        <v>134.4</v>
      </c>
    </row>
    <row r="4654" spans="11:17" x14ac:dyDescent="0.3">
      <c r="K4654">
        <v>2017</v>
      </c>
      <c r="L4654" t="s">
        <v>44</v>
      </c>
      <c r="M4654" t="s">
        <v>111</v>
      </c>
      <c r="N4654" t="s">
        <v>22</v>
      </c>
      <c r="O4654" t="s">
        <v>20</v>
      </c>
      <c r="P4654" s="1" t="s">
        <v>33</v>
      </c>
      <c r="Q4654">
        <v>128.80000000000001</v>
      </c>
    </row>
    <row r="4655" spans="11:17" x14ac:dyDescent="0.3">
      <c r="K4655">
        <v>2017</v>
      </c>
      <c r="L4655" t="s">
        <v>44</v>
      </c>
      <c r="M4655" t="s">
        <v>111</v>
      </c>
      <c r="N4655" t="s">
        <v>20</v>
      </c>
      <c r="O4655" t="s">
        <v>20</v>
      </c>
      <c r="P4655" s="1" t="s">
        <v>30</v>
      </c>
      <c r="Q4655">
        <v>0</v>
      </c>
    </row>
    <row r="4656" spans="11:17" x14ac:dyDescent="0.3">
      <c r="K4656">
        <v>2017</v>
      </c>
      <c r="L4656" t="s">
        <v>44</v>
      </c>
      <c r="M4656" t="s">
        <v>111</v>
      </c>
      <c r="N4656" t="s">
        <v>20</v>
      </c>
      <c r="O4656" t="s">
        <v>20</v>
      </c>
      <c r="P4656" s="1" t="s">
        <v>34</v>
      </c>
      <c r="Q4656">
        <v>138.6</v>
      </c>
    </row>
    <row r="4657" spans="11:17" x14ac:dyDescent="0.3">
      <c r="K4657">
        <v>2017</v>
      </c>
      <c r="L4657" t="s">
        <v>44</v>
      </c>
      <c r="M4657" t="s">
        <v>111</v>
      </c>
      <c r="N4657" t="s">
        <v>20</v>
      </c>
      <c r="O4657" t="s">
        <v>20</v>
      </c>
      <c r="P4657" s="1" t="s">
        <v>33</v>
      </c>
      <c r="Q4657">
        <v>138.6</v>
      </c>
    </row>
    <row r="4658" spans="11:17" x14ac:dyDescent="0.3">
      <c r="K4658">
        <v>2017</v>
      </c>
      <c r="L4658" t="s">
        <v>44</v>
      </c>
      <c r="M4658" t="s">
        <v>111</v>
      </c>
      <c r="N4658" t="s">
        <v>4</v>
      </c>
      <c r="O4658" t="s">
        <v>188</v>
      </c>
      <c r="P4658" s="1" t="s">
        <v>30</v>
      </c>
      <c r="Q4658">
        <v>142.5</v>
      </c>
    </row>
    <row r="4659" spans="11:17" x14ac:dyDescent="0.3">
      <c r="K4659">
        <v>2017</v>
      </c>
      <c r="L4659" t="s">
        <v>44</v>
      </c>
      <c r="M4659" t="s">
        <v>111</v>
      </c>
      <c r="N4659" t="s">
        <v>4</v>
      </c>
      <c r="O4659" t="s">
        <v>188</v>
      </c>
      <c r="P4659" s="1" t="s">
        <v>34</v>
      </c>
      <c r="Q4659">
        <v>142.4</v>
      </c>
    </row>
    <row r="4660" spans="11:17" x14ac:dyDescent="0.3">
      <c r="K4660">
        <v>2017</v>
      </c>
      <c r="L4660" t="s">
        <v>44</v>
      </c>
      <c r="M4660" t="s">
        <v>111</v>
      </c>
      <c r="N4660" t="s">
        <v>4</v>
      </c>
      <c r="O4660" t="s">
        <v>188</v>
      </c>
      <c r="P4660" s="1" t="s">
        <v>33</v>
      </c>
      <c r="Q4660">
        <v>142.1</v>
      </c>
    </row>
    <row r="4661" spans="11:17" x14ac:dyDescent="0.3">
      <c r="K4661">
        <v>2017</v>
      </c>
      <c r="L4661" t="s">
        <v>44</v>
      </c>
      <c r="M4661" t="s">
        <v>111</v>
      </c>
      <c r="N4661" t="s">
        <v>6</v>
      </c>
      <c r="O4661" t="s">
        <v>188</v>
      </c>
      <c r="P4661" s="1" t="s">
        <v>30</v>
      </c>
      <c r="Q4661">
        <v>141.5</v>
      </c>
    </row>
    <row r="4662" spans="11:17" x14ac:dyDescent="0.3">
      <c r="K4662">
        <v>2017</v>
      </c>
      <c r="L4662" t="s">
        <v>44</v>
      </c>
      <c r="M4662" t="s">
        <v>111</v>
      </c>
      <c r="N4662" t="s">
        <v>6</v>
      </c>
      <c r="O4662" t="s">
        <v>188</v>
      </c>
      <c r="P4662" s="1" t="s">
        <v>34</v>
      </c>
      <c r="Q4662">
        <v>140.80000000000001</v>
      </c>
    </row>
    <row r="4663" spans="11:17" x14ac:dyDescent="0.3">
      <c r="K4663">
        <v>2017</v>
      </c>
      <c r="L4663" t="s">
        <v>44</v>
      </c>
      <c r="M4663" t="s">
        <v>111</v>
      </c>
      <c r="N4663" t="s">
        <v>6</v>
      </c>
      <c r="O4663" t="s">
        <v>188</v>
      </c>
      <c r="P4663" s="1" t="s">
        <v>33</v>
      </c>
      <c r="Q4663">
        <v>139.5</v>
      </c>
    </row>
    <row r="4664" spans="11:17" x14ac:dyDescent="0.3">
      <c r="K4664">
        <v>2017</v>
      </c>
      <c r="L4664" t="s">
        <v>44</v>
      </c>
      <c r="M4664" t="s">
        <v>111</v>
      </c>
      <c r="N4664" t="s">
        <v>28</v>
      </c>
      <c r="O4664" t="s">
        <v>192</v>
      </c>
      <c r="P4664" s="1" t="s">
        <v>30</v>
      </c>
      <c r="Q4664">
        <v>131.69999999999999</v>
      </c>
    </row>
    <row r="4665" spans="11:17" x14ac:dyDescent="0.3">
      <c r="K4665">
        <v>2017</v>
      </c>
      <c r="L4665" t="s">
        <v>44</v>
      </c>
      <c r="M4665" t="s">
        <v>111</v>
      </c>
      <c r="N4665" t="s">
        <v>28</v>
      </c>
      <c r="O4665" t="s">
        <v>192</v>
      </c>
      <c r="P4665" s="1" t="s">
        <v>34</v>
      </c>
      <c r="Q4665">
        <v>128.4</v>
      </c>
    </row>
    <row r="4666" spans="11:17" x14ac:dyDescent="0.3">
      <c r="K4666">
        <v>2017</v>
      </c>
      <c r="L4666" t="s">
        <v>44</v>
      </c>
      <c r="M4666" t="s">
        <v>111</v>
      </c>
      <c r="N4666" t="s">
        <v>28</v>
      </c>
      <c r="O4666" t="s">
        <v>192</v>
      </c>
      <c r="P4666" s="1" t="s">
        <v>33</v>
      </c>
      <c r="Q4666">
        <v>124.9</v>
      </c>
    </row>
    <row r="4667" spans="11:17" x14ac:dyDescent="0.3">
      <c r="K4667">
        <v>2017</v>
      </c>
      <c r="L4667" t="s">
        <v>44</v>
      </c>
      <c r="M4667" t="s">
        <v>111</v>
      </c>
      <c r="N4667" t="s">
        <v>13</v>
      </c>
      <c r="O4667" t="s">
        <v>188</v>
      </c>
      <c r="P4667" s="1" t="s">
        <v>30</v>
      </c>
      <c r="Q4667">
        <v>131.9</v>
      </c>
    </row>
    <row r="4668" spans="11:17" x14ac:dyDescent="0.3">
      <c r="K4668">
        <v>2017</v>
      </c>
      <c r="L4668" t="s">
        <v>44</v>
      </c>
      <c r="M4668" t="s">
        <v>111</v>
      </c>
      <c r="N4668" t="s">
        <v>13</v>
      </c>
      <c r="O4668" t="s">
        <v>188</v>
      </c>
      <c r="P4668" s="1" t="s">
        <v>34</v>
      </c>
      <c r="Q4668">
        <v>129.19999999999999</v>
      </c>
    </row>
    <row r="4669" spans="11:17" x14ac:dyDescent="0.3">
      <c r="K4669">
        <v>2017</v>
      </c>
      <c r="L4669" t="s">
        <v>44</v>
      </c>
      <c r="M4669" t="s">
        <v>111</v>
      </c>
      <c r="N4669" t="s">
        <v>13</v>
      </c>
      <c r="O4669" t="s">
        <v>188</v>
      </c>
      <c r="P4669" s="1" t="s">
        <v>33</v>
      </c>
      <c r="Q4669">
        <v>125.4</v>
      </c>
    </row>
    <row r="4670" spans="11:17" x14ac:dyDescent="0.3">
      <c r="K4670">
        <v>2017</v>
      </c>
      <c r="L4670" t="s">
        <v>44</v>
      </c>
      <c r="M4670" t="s">
        <v>111</v>
      </c>
      <c r="N4670" t="s">
        <v>7</v>
      </c>
      <c r="O4670" t="s">
        <v>188</v>
      </c>
      <c r="P4670" s="1" t="s">
        <v>30</v>
      </c>
      <c r="Q4670">
        <v>121.6</v>
      </c>
    </row>
    <row r="4671" spans="11:17" x14ac:dyDescent="0.3">
      <c r="K4671">
        <v>2017</v>
      </c>
      <c r="L4671" t="s">
        <v>44</v>
      </c>
      <c r="M4671" t="s">
        <v>111</v>
      </c>
      <c r="N4671" t="s">
        <v>7</v>
      </c>
      <c r="O4671" t="s">
        <v>188</v>
      </c>
      <c r="P4671" s="1" t="s">
        <v>34</v>
      </c>
      <c r="Q4671">
        <v>119.2</v>
      </c>
    </row>
    <row r="4672" spans="11:17" x14ac:dyDescent="0.3">
      <c r="K4672">
        <v>2017</v>
      </c>
      <c r="L4672" t="s">
        <v>44</v>
      </c>
      <c r="M4672" t="s">
        <v>111</v>
      </c>
      <c r="N4672" t="s">
        <v>7</v>
      </c>
      <c r="O4672" t="s">
        <v>188</v>
      </c>
      <c r="P4672" s="1" t="s">
        <v>33</v>
      </c>
      <c r="Q4672">
        <v>115.2</v>
      </c>
    </row>
    <row r="4673" spans="11:17" x14ac:dyDescent="0.3">
      <c r="K4673">
        <v>2017</v>
      </c>
      <c r="L4673" t="s">
        <v>44</v>
      </c>
      <c r="M4673" t="s">
        <v>111</v>
      </c>
      <c r="N4673" t="s">
        <v>16</v>
      </c>
      <c r="O4673" t="s">
        <v>192</v>
      </c>
      <c r="P4673" s="1" t="s">
        <v>30</v>
      </c>
      <c r="Q4673">
        <v>152.1</v>
      </c>
    </row>
    <row r="4674" spans="11:17" x14ac:dyDescent="0.3">
      <c r="K4674">
        <v>2017</v>
      </c>
      <c r="L4674" t="s">
        <v>44</v>
      </c>
      <c r="M4674" t="s">
        <v>111</v>
      </c>
      <c r="N4674" t="s">
        <v>16</v>
      </c>
      <c r="O4674" t="s">
        <v>192</v>
      </c>
      <c r="P4674" s="1" t="s">
        <v>34</v>
      </c>
      <c r="Q4674">
        <v>153.19999999999999</v>
      </c>
    </row>
    <row r="4675" spans="11:17" x14ac:dyDescent="0.3">
      <c r="K4675">
        <v>2017</v>
      </c>
      <c r="L4675" t="s">
        <v>44</v>
      </c>
      <c r="M4675" t="s">
        <v>111</v>
      </c>
      <c r="N4675" t="s">
        <v>16</v>
      </c>
      <c r="O4675" t="s">
        <v>192</v>
      </c>
      <c r="P4675" s="1" t="s">
        <v>33</v>
      </c>
      <c r="Q4675">
        <v>156.19999999999999</v>
      </c>
    </row>
    <row r="4676" spans="11:17" x14ac:dyDescent="0.3">
      <c r="K4676">
        <v>2017</v>
      </c>
      <c r="L4676" t="s">
        <v>44</v>
      </c>
      <c r="M4676" t="s">
        <v>111</v>
      </c>
      <c r="N4676" t="s">
        <v>27</v>
      </c>
      <c r="O4676" t="s">
        <v>192</v>
      </c>
      <c r="P4676" s="1" t="s">
        <v>30</v>
      </c>
      <c r="Q4676">
        <v>128.1</v>
      </c>
    </row>
    <row r="4677" spans="11:17" x14ac:dyDescent="0.3">
      <c r="K4677">
        <v>2017</v>
      </c>
      <c r="L4677" t="s">
        <v>44</v>
      </c>
      <c r="M4677" t="s">
        <v>111</v>
      </c>
      <c r="N4677" t="s">
        <v>27</v>
      </c>
      <c r="O4677" t="s">
        <v>192</v>
      </c>
      <c r="P4677" s="1" t="s">
        <v>34</v>
      </c>
      <c r="Q4677">
        <v>126.8</v>
      </c>
    </row>
    <row r="4678" spans="11:17" x14ac:dyDescent="0.3">
      <c r="K4678">
        <v>2017</v>
      </c>
      <c r="L4678" t="s">
        <v>44</v>
      </c>
      <c r="M4678" t="s">
        <v>111</v>
      </c>
      <c r="N4678" t="s">
        <v>27</v>
      </c>
      <c r="O4678" t="s">
        <v>192</v>
      </c>
      <c r="P4678" s="1" t="s">
        <v>33</v>
      </c>
      <c r="Q4678">
        <v>124.9</v>
      </c>
    </row>
    <row r="4679" spans="11:17" x14ac:dyDescent="0.3">
      <c r="K4679">
        <v>2017</v>
      </c>
      <c r="L4679" t="s">
        <v>44</v>
      </c>
      <c r="M4679" t="s">
        <v>111</v>
      </c>
      <c r="N4679" t="s">
        <v>14</v>
      </c>
      <c r="O4679" t="s">
        <v>188</v>
      </c>
      <c r="P4679" s="1" t="s">
        <v>30</v>
      </c>
      <c r="Q4679">
        <v>151.4</v>
      </c>
    </row>
    <row r="4680" spans="11:17" x14ac:dyDescent="0.3">
      <c r="K4680">
        <v>2017</v>
      </c>
      <c r="L4680" t="s">
        <v>44</v>
      </c>
      <c r="M4680" t="s">
        <v>111</v>
      </c>
      <c r="N4680" t="s">
        <v>14</v>
      </c>
      <c r="O4680" t="s">
        <v>188</v>
      </c>
      <c r="P4680" s="1" t="s">
        <v>34</v>
      </c>
      <c r="Q4680">
        <v>148.9</v>
      </c>
    </row>
    <row r="4681" spans="11:17" x14ac:dyDescent="0.3">
      <c r="K4681">
        <v>2017</v>
      </c>
      <c r="L4681" t="s">
        <v>44</v>
      </c>
      <c r="M4681" t="s">
        <v>111</v>
      </c>
      <c r="N4681" t="s">
        <v>14</v>
      </c>
      <c r="O4681" t="s">
        <v>188</v>
      </c>
      <c r="P4681" s="1" t="s">
        <v>33</v>
      </c>
      <c r="Q4681">
        <v>146</v>
      </c>
    </row>
    <row r="4682" spans="11:17" x14ac:dyDescent="0.3">
      <c r="K4682">
        <v>2017</v>
      </c>
      <c r="L4682" t="s">
        <v>44</v>
      </c>
      <c r="M4682" t="s">
        <v>111</v>
      </c>
      <c r="N4682" t="s">
        <v>10</v>
      </c>
      <c r="O4682" t="s">
        <v>188</v>
      </c>
      <c r="P4682" s="1" t="s">
        <v>30</v>
      </c>
      <c r="Q4682">
        <v>135.80000000000001</v>
      </c>
    </row>
    <row r="4683" spans="11:17" x14ac:dyDescent="0.3">
      <c r="K4683">
        <v>2017</v>
      </c>
      <c r="L4683" t="s">
        <v>44</v>
      </c>
      <c r="M4683" t="s">
        <v>111</v>
      </c>
      <c r="N4683" t="s">
        <v>10</v>
      </c>
      <c r="O4683" t="s">
        <v>188</v>
      </c>
      <c r="P4683" s="1" t="s">
        <v>34</v>
      </c>
      <c r="Q4683">
        <v>131.19999999999999</v>
      </c>
    </row>
    <row r="4684" spans="11:17" x14ac:dyDescent="0.3">
      <c r="K4684">
        <v>2017</v>
      </c>
      <c r="L4684" t="s">
        <v>44</v>
      </c>
      <c r="M4684" t="s">
        <v>111</v>
      </c>
      <c r="N4684" t="s">
        <v>10</v>
      </c>
      <c r="O4684" t="s">
        <v>188</v>
      </c>
      <c r="P4684" s="1" t="s">
        <v>33</v>
      </c>
      <c r="Q4684">
        <v>122.2</v>
      </c>
    </row>
    <row r="4685" spans="11:17" x14ac:dyDescent="0.3">
      <c r="K4685">
        <v>2017</v>
      </c>
      <c r="L4685" t="s">
        <v>44</v>
      </c>
      <c r="M4685" t="s">
        <v>111</v>
      </c>
      <c r="N4685" t="s">
        <v>25</v>
      </c>
      <c r="O4685" t="s">
        <v>195</v>
      </c>
      <c r="P4685" s="1" t="s">
        <v>30</v>
      </c>
      <c r="Q4685">
        <v>133.69999999999999</v>
      </c>
    </row>
    <row r="4686" spans="11:17" x14ac:dyDescent="0.3">
      <c r="K4686">
        <v>2017</v>
      </c>
      <c r="L4686" t="s">
        <v>44</v>
      </c>
      <c r="M4686" t="s">
        <v>111</v>
      </c>
      <c r="N4686" t="s">
        <v>25</v>
      </c>
      <c r="O4686" t="s">
        <v>195</v>
      </c>
      <c r="P4686" s="1" t="s">
        <v>34</v>
      </c>
      <c r="Q4686">
        <v>128.9</v>
      </c>
    </row>
    <row r="4687" spans="11:17" x14ac:dyDescent="0.3">
      <c r="K4687">
        <v>2017</v>
      </c>
      <c r="L4687" t="s">
        <v>44</v>
      </c>
      <c r="M4687" t="s">
        <v>111</v>
      </c>
      <c r="N4687" t="s">
        <v>25</v>
      </c>
      <c r="O4687" t="s">
        <v>195</v>
      </c>
      <c r="P4687" s="1" t="s">
        <v>33</v>
      </c>
      <c r="Q4687">
        <v>125.1</v>
      </c>
    </row>
    <row r="4688" spans="11:17" x14ac:dyDescent="0.3">
      <c r="K4688">
        <v>2017</v>
      </c>
      <c r="L4688" t="s">
        <v>44</v>
      </c>
      <c r="M4688" t="s">
        <v>111</v>
      </c>
      <c r="N4688" t="s">
        <v>12</v>
      </c>
      <c r="O4688" t="s">
        <v>188</v>
      </c>
      <c r="P4688" s="1" t="s">
        <v>30</v>
      </c>
      <c r="Q4688">
        <v>136</v>
      </c>
    </row>
    <row r="4689" spans="11:17" x14ac:dyDescent="0.3">
      <c r="K4689">
        <v>2017</v>
      </c>
      <c r="L4689" t="s">
        <v>44</v>
      </c>
      <c r="M4689" t="s">
        <v>111</v>
      </c>
      <c r="N4689" t="s">
        <v>12</v>
      </c>
      <c r="O4689" t="s">
        <v>188</v>
      </c>
      <c r="P4689" s="1" t="s">
        <v>34</v>
      </c>
      <c r="Q4689">
        <v>136.80000000000001</v>
      </c>
    </row>
    <row r="4690" spans="11:17" x14ac:dyDescent="0.3">
      <c r="K4690">
        <v>2017</v>
      </c>
      <c r="L4690" t="s">
        <v>44</v>
      </c>
      <c r="M4690" t="s">
        <v>111</v>
      </c>
      <c r="N4690" t="s">
        <v>12</v>
      </c>
      <c r="O4690" t="s">
        <v>188</v>
      </c>
      <c r="P4690" s="1" t="s">
        <v>33</v>
      </c>
      <c r="Q4690">
        <v>138.30000000000001</v>
      </c>
    </row>
    <row r="4691" spans="11:17" x14ac:dyDescent="0.3">
      <c r="K4691">
        <v>2017</v>
      </c>
      <c r="L4691" t="s">
        <v>44</v>
      </c>
      <c r="M4691" t="s">
        <v>111</v>
      </c>
      <c r="N4691" t="s">
        <v>11</v>
      </c>
      <c r="O4691" t="s">
        <v>188</v>
      </c>
      <c r="P4691" s="1" t="s">
        <v>30</v>
      </c>
      <c r="Q4691">
        <v>122.5</v>
      </c>
    </row>
    <row r="4692" spans="11:17" x14ac:dyDescent="0.3">
      <c r="K4692">
        <v>2017</v>
      </c>
      <c r="L4692" t="s">
        <v>44</v>
      </c>
      <c r="M4692" t="s">
        <v>111</v>
      </c>
      <c r="N4692" t="s">
        <v>11</v>
      </c>
      <c r="O4692" t="s">
        <v>188</v>
      </c>
      <c r="P4692" s="1" t="s">
        <v>34</v>
      </c>
      <c r="Q4692">
        <v>123</v>
      </c>
    </row>
    <row r="4693" spans="11:17" x14ac:dyDescent="0.3">
      <c r="K4693">
        <v>2017</v>
      </c>
      <c r="L4693" t="s">
        <v>44</v>
      </c>
      <c r="M4693" t="s">
        <v>111</v>
      </c>
      <c r="N4693" t="s">
        <v>11</v>
      </c>
      <c r="O4693" t="s">
        <v>188</v>
      </c>
      <c r="P4693" s="1" t="s">
        <v>33</v>
      </c>
      <c r="Q4693">
        <v>123.9</v>
      </c>
    </row>
    <row r="4694" spans="11:17" x14ac:dyDescent="0.3">
      <c r="K4694">
        <v>2017</v>
      </c>
      <c r="L4694" t="s">
        <v>44</v>
      </c>
      <c r="M4694" t="s">
        <v>111</v>
      </c>
      <c r="N4694" t="s">
        <v>24</v>
      </c>
      <c r="O4694" t="s">
        <v>191</v>
      </c>
      <c r="P4694" s="1" t="s">
        <v>30</v>
      </c>
      <c r="Q4694">
        <v>121.6</v>
      </c>
    </row>
    <row r="4695" spans="11:17" x14ac:dyDescent="0.3">
      <c r="K4695">
        <v>2017</v>
      </c>
      <c r="L4695" t="s">
        <v>44</v>
      </c>
      <c r="M4695" t="s">
        <v>111</v>
      </c>
      <c r="N4695" t="s">
        <v>24</v>
      </c>
      <c r="O4695" t="s">
        <v>191</v>
      </c>
      <c r="P4695" s="1" t="s">
        <v>34</v>
      </c>
      <c r="Q4695">
        <v>118.3</v>
      </c>
    </row>
    <row r="4696" spans="11:17" x14ac:dyDescent="0.3">
      <c r="K4696">
        <v>2017</v>
      </c>
      <c r="L4696" t="s">
        <v>44</v>
      </c>
      <c r="M4696" t="s">
        <v>111</v>
      </c>
      <c r="N4696" t="s">
        <v>24</v>
      </c>
      <c r="O4696" t="s">
        <v>191</v>
      </c>
      <c r="P4696" s="1" t="s">
        <v>33</v>
      </c>
      <c r="Q4696">
        <v>115.3</v>
      </c>
    </row>
    <row r="4697" spans="11:17" x14ac:dyDescent="0.3">
      <c r="K4697">
        <v>2017</v>
      </c>
      <c r="L4697" t="s">
        <v>44</v>
      </c>
      <c r="M4697" t="s">
        <v>111</v>
      </c>
      <c r="N4697" t="s">
        <v>9</v>
      </c>
      <c r="O4697" t="s">
        <v>188</v>
      </c>
      <c r="P4697" s="1" t="s">
        <v>30</v>
      </c>
      <c r="Q4697">
        <v>168</v>
      </c>
    </row>
    <row r="4698" spans="11:17" x14ac:dyDescent="0.3">
      <c r="K4698">
        <v>2017</v>
      </c>
      <c r="L4698" t="s">
        <v>44</v>
      </c>
      <c r="M4698" t="s">
        <v>111</v>
      </c>
      <c r="N4698" t="s">
        <v>9</v>
      </c>
      <c r="O4698" t="s">
        <v>188</v>
      </c>
      <c r="P4698" s="1" t="s">
        <v>34</v>
      </c>
      <c r="Q4698">
        <v>173.8</v>
      </c>
    </row>
    <row r="4699" spans="11:17" x14ac:dyDescent="0.3">
      <c r="K4699">
        <v>2017</v>
      </c>
      <c r="L4699" t="s">
        <v>44</v>
      </c>
      <c r="M4699" t="s">
        <v>111</v>
      </c>
      <c r="N4699" t="s">
        <v>9</v>
      </c>
      <c r="O4699" t="s">
        <v>188</v>
      </c>
      <c r="P4699" s="1" t="s">
        <v>33</v>
      </c>
      <c r="Q4699">
        <v>185.2</v>
      </c>
    </row>
    <row r="4700" spans="11:17" x14ac:dyDescent="0.3">
      <c r="K4700">
        <v>2017</v>
      </c>
      <c r="L4700" t="s">
        <v>43</v>
      </c>
      <c r="M4700" t="s">
        <v>112</v>
      </c>
      <c r="N4700" t="s">
        <v>3</v>
      </c>
      <c r="O4700" t="s">
        <v>188</v>
      </c>
      <c r="P4700" s="1" t="s">
        <v>30</v>
      </c>
      <c r="Q4700">
        <v>135.9</v>
      </c>
    </row>
    <row r="4701" spans="11:17" x14ac:dyDescent="0.3">
      <c r="K4701">
        <v>2017</v>
      </c>
      <c r="L4701" t="s">
        <v>43</v>
      </c>
      <c r="M4701" t="s">
        <v>112</v>
      </c>
      <c r="N4701" t="s">
        <v>3</v>
      </c>
      <c r="O4701" t="s">
        <v>188</v>
      </c>
      <c r="P4701" s="1" t="s">
        <v>34</v>
      </c>
      <c r="Q4701">
        <v>135.30000000000001</v>
      </c>
    </row>
    <row r="4702" spans="11:17" x14ac:dyDescent="0.3">
      <c r="K4702">
        <v>2017</v>
      </c>
      <c r="L4702" t="s">
        <v>43</v>
      </c>
      <c r="M4702" t="s">
        <v>112</v>
      </c>
      <c r="N4702" t="s">
        <v>3</v>
      </c>
      <c r="O4702" t="s">
        <v>188</v>
      </c>
      <c r="P4702" s="1" t="s">
        <v>33</v>
      </c>
      <c r="Q4702">
        <v>133.9</v>
      </c>
    </row>
    <row r="4703" spans="11:17" x14ac:dyDescent="0.3">
      <c r="K4703">
        <v>2017</v>
      </c>
      <c r="L4703" t="s">
        <v>43</v>
      </c>
      <c r="M4703" t="s">
        <v>112</v>
      </c>
      <c r="N4703" t="s">
        <v>17</v>
      </c>
      <c r="O4703" t="s">
        <v>189</v>
      </c>
      <c r="P4703" s="1" t="s">
        <v>30</v>
      </c>
      <c r="Q4703">
        <v>147.19999999999999</v>
      </c>
    </row>
    <row r="4704" spans="11:17" x14ac:dyDescent="0.3">
      <c r="K4704">
        <v>2017</v>
      </c>
      <c r="L4704" t="s">
        <v>43</v>
      </c>
      <c r="M4704" t="s">
        <v>112</v>
      </c>
      <c r="N4704" t="s">
        <v>17</v>
      </c>
      <c r="O4704" t="s">
        <v>189</v>
      </c>
      <c r="P4704" s="1" t="s">
        <v>34</v>
      </c>
      <c r="Q4704">
        <v>142</v>
      </c>
    </row>
    <row r="4705" spans="11:17" x14ac:dyDescent="0.3">
      <c r="K4705">
        <v>2017</v>
      </c>
      <c r="L4705" t="s">
        <v>43</v>
      </c>
      <c r="M4705" t="s">
        <v>112</v>
      </c>
      <c r="N4705" t="s">
        <v>17</v>
      </c>
      <c r="O4705" t="s">
        <v>189</v>
      </c>
      <c r="P4705" s="1" t="s">
        <v>33</v>
      </c>
      <c r="Q4705">
        <v>134</v>
      </c>
    </row>
    <row r="4706" spans="11:17" x14ac:dyDescent="0.3">
      <c r="K4706">
        <v>2017</v>
      </c>
      <c r="L4706" t="s">
        <v>43</v>
      </c>
      <c r="M4706" t="s">
        <v>112</v>
      </c>
      <c r="N4706" t="s">
        <v>19</v>
      </c>
      <c r="O4706" t="s">
        <v>189</v>
      </c>
      <c r="P4706" s="1" t="s">
        <v>30</v>
      </c>
      <c r="Q4706">
        <v>146.19999999999999</v>
      </c>
    </row>
    <row r="4707" spans="11:17" x14ac:dyDescent="0.3">
      <c r="K4707">
        <v>2017</v>
      </c>
      <c r="L4707" t="s">
        <v>43</v>
      </c>
      <c r="M4707" t="s">
        <v>112</v>
      </c>
      <c r="N4707" t="s">
        <v>19</v>
      </c>
      <c r="O4707" t="s">
        <v>189</v>
      </c>
      <c r="P4707" s="1" t="s">
        <v>34</v>
      </c>
      <c r="Q4707">
        <v>140.80000000000001</v>
      </c>
    </row>
    <row r="4708" spans="11:17" x14ac:dyDescent="0.3">
      <c r="K4708">
        <v>2017</v>
      </c>
      <c r="L4708" t="s">
        <v>43</v>
      </c>
      <c r="M4708" t="s">
        <v>112</v>
      </c>
      <c r="N4708" t="s">
        <v>19</v>
      </c>
      <c r="O4708" t="s">
        <v>189</v>
      </c>
      <c r="P4708" s="1" t="s">
        <v>33</v>
      </c>
      <c r="Q4708">
        <v>132.6</v>
      </c>
    </row>
    <row r="4709" spans="11:17" x14ac:dyDescent="0.3">
      <c r="K4709">
        <v>2017</v>
      </c>
      <c r="L4709" t="s">
        <v>43</v>
      </c>
      <c r="M4709" t="s">
        <v>112</v>
      </c>
      <c r="N4709" t="s">
        <v>26</v>
      </c>
      <c r="O4709" t="s">
        <v>26</v>
      </c>
      <c r="P4709" s="1" t="s">
        <v>30</v>
      </c>
      <c r="Q4709">
        <v>140.1</v>
      </c>
    </row>
    <row r="4710" spans="11:17" x14ac:dyDescent="0.3">
      <c r="K4710">
        <v>2017</v>
      </c>
      <c r="L4710" t="s">
        <v>43</v>
      </c>
      <c r="M4710" t="s">
        <v>112</v>
      </c>
      <c r="N4710" t="s">
        <v>26</v>
      </c>
      <c r="O4710" t="s">
        <v>26</v>
      </c>
      <c r="P4710" s="1" t="s">
        <v>34</v>
      </c>
      <c r="Q4710">
        <v>137.9</v>
      </c>
    </row>
    <row r="4711" spans="11:17" x14ac:dyDescent="0.3">
      <c r="K4711">
        <v>2017</v>
      </c>
      <c r="L4711" t="s">
        <v>43</v>
      </c>
      <c r="M4711" t="s">
        <v>112</v>
      </c>
      <c r="N4711" t="s">
        <v>26</v>
      </c>
      <c r="O4711" t="s">
        <v>26</v>
      </c>
      <c r="P4711" s="1" t="s">
        <v>33</v>
      </c>
      <c r="Q4711">
        <v>136.30000000000001</v>
      </c>
    </row>
    <row r="4712" spans="11:17" x14ac:dyDescent="0.3">
      <c r="K4712">
        <v>2017</v>
      </c>
      <c r="L4712" t="s">
        <v>43</v>
      </c>
      <c r="M4712" t="s">
        <v>112</v>
      </c>
      <c r="N4712" t="s">
        <v>5</v>
      </c>
      <c r="O4712" t="s">
        <v>188</v>
      </c>
      <c r="P4712" s="1" t="s">
        <v>30</v>
      </c>
      <c r="Q4712">
        <v>131</v>
      </c>
    </row>
    <row r="4713" spans="11:17" x14ac:dyDescent="0.3">
      <c r="K4713">
        <v>2017</v>
      </c>
      <c r="L4713" t="s">
        <v>43</v>
      </c>
      <c r="M4713" t="s">
        <v>112</v>
      </c>
      <c r="N4713" t="s">
        <v>5</v>
      </c>
      <c r="O4713" t="s">
        <v>188</v>
      </c>
      <c r="P4713" s="1" t="s">
        <v>34</v>
      </c>
      <c r="Q4713">
        <v>131.19999999999999</v>
      </c>
    </row>
    <row r="4714" spans="11:17" x14ac:dyDescent="0.3">
      <c r="K4714">
        <v>2017</v>
      </c>
      <c r="L4714" t="s">
        <v>43</v>
      </c>
      <c r="M4714" t="s">
        <v>112</v>
      </c>
      <c r="N4714" t="s">
        <v>5</v>
      </c>
      <c r="O4714" t="s">
        <v>188</v>
      </c>
      <c r="P4714" s="1" t="s">
        <v>33</v>
      </c>
      <c r="Q4714">
        <v>131.4</v>
      </c>
    </row>
    <row r="4715" spans="11:17" x14ac:dyDescent="0.3">
      <c r="K4715">
        <v>2017</v>
      </c>
      <c r="L4715" t="s">
        <v>43</v>
      </c>
      <c r="M4715" t="s">
        <v>112</v>
      </c>
      <c r="N4715" t="s">
        <v>15</v>
      </c>
      <c r="O4715" t="s">
        <v>188</v>
      </c>
      <c r="P4715" s="1" t="s">
        <v>30</v>
      </c>
      <c r="Q4715">
        <v>140.4</v>
      </c>
    </row>
    <row r="4716" spans="11:17" x14ac:dyDescent="0.3">
      <c r="K4716">
        <v>2017</v>
      </c>
      <c r="L4716" t="s">
        <v>43</v>
      </c>
      <c r="M4716" t="s">
        <v>112</v>
      </c>
      <c r="N4716" t="s">
        <v>15</v>
      </c>
      <c r="O4716" t="s">
        <v>188</v>
      </c>
      <c r="P4716" s="1" t="s">
        <v>34</v>
      </c>
      <c r="Q4716">
        <v>140.1</v>
      </c>
    </row>
    <row r="4717" spans="11:17" x14ac:dyDescent="0.3">
      <c r="K4717">
        <v>2017</v>
      </c>
      <c r="L4717" t="s">
        <v>43</v>
      </c>
      <c r="M4717" t="s">
        <v>112</v>
      </c>
      <c r="N4717" t="s">
        <v>15</v>
      </c>
      <c r="O4717" t="s">
        <v>188</v>
      </c>
      <c r="P4717" s="1" t="s">
        <v>33</v>
      </c>
      <c r="Q4717">
        <v>139.69999999999999</v>
      </c>
    </row>
    <row r="4718" spans="11:17" x14ac:dyDescent="0.3">
      <c r="K4718">
        <v>2017</v>
      </c>
      <c r="L4718" t="s">
        <v>43</v>
      </c>
      <c r="M4718" t="s">
        <v>112</v>
      </c>
      <c r="N4718" t="s">
        <v>18</v>
      </c>
      <c r="O4718" t="s">
        <v>189</v>
      </c>
      <c r="P4718" s="1" t="s">
        <v>30</v>
      </c>
      <c r="Q4718">
        <v>140.6</v>
      </c>
    </row>
    <row r="4719" spans="11:17" x14ac:dyDescent="0.3">
      <c r="K4719">
        <v>2017</v>
      </c>
      <c r="L4719" t="s">
        <v>43</v>
      </c>
      <c r="M4719" t="s">
        <v>112</v>
      </c>
      <c r="N4719" t="s">
        <v>18</v>
      </c>
      <c r="O4719" t="s">
        <v>189</v>
      </c>
      <c r="P4719" s="1" t="s">
        <v>34</v>
      </c>
      <c r="Q4719">
        <v>134.1</v>
      </c>
    </row>
    <row r="4720" spans="11:17" x14ac:dyDescent="0.3">
      <c r="K4720">
        <v>2017</v>
      </c>
      <c r="L4720" t="s">
        <v>43</v>
      </c>
      <c r="M4720" t="s">
        <v>112</v>
      </c>
      <c r="N4720" t="s">
        <v>18</v>
      </c>
      <c r="O4720" t="s">
        <v>189</v>
      </c>
      <c r="P4720" s="1" t="s">
        <v>33</v>
      </c>
      <c r="Q4720">
        <v>124.9</v>
      </c>
    </row>
    <row r="4721" spans="11:17" x14ac:dyDescent="0.3">
      <c r="K4721">
        <v>2017</v>
      </c>
      <c r="L4721" t="s">
        <v>43</v>
      </c>
      <c r="M4721" t="s">
        <v>112</v>
      </c>
      <c r="N4721" t="s">
        <v>8</v>
      </c>
      <c r="O4721" t="s">
        <v>188</v>
      </c>
      <c r="P4721" s="1" t="s">
        <v>30</v>
      </c>
      <c r="Q4721">
        <v>146.69999999999999</v>
      </c>
    </row>
    <row r="4722" spans="11:17" x14ac:dyDescent="0.3">
      <c r="K4722">
        <v>2017</v>
      </c>
      <c r="L4722" t="s">
        <v>43</v>
      </c>
      <c r="M4722" t="s">
        <v>112</v>
      </c>
      <c r="N4722" t="s">
        <v>8</v>
      </c>
      <c r="O4722" t="s">
        <v>188</v>
      </c>
      <c r="P4722" s="1" t="s">
        <v>34</v>
      </c>
      <c r="Q4722">
        <v>141.5</v>
      </c>
    </row>
    <row r="4723" spans="11:17" x14ac:dyDescent="0.3">
      <c r="K4723">
        <v>2017</v>
      </c>
      <c r="L4723" t="s">
        <v>43</v>
      </c>
      <c r="M4723" t="s">
        <v>112</v>
      </c>
      <c r="N4723" t="s">
        <v>8</v>
      </c>
      <c r="O4723" t="s">
        <v>188</v>
      </c>
      <c r="P4723" s="1" t="s">
        <v>33</v>
      </c>
      <c r="Q4723">
        <v>135.6</v>
      </c>
    </row>
    <row r="4724" spans="11:17" x14ac:dyDescent="0.3">
      <c r="K4724">
        <v>2017</v>
      </c>
      <c r="L4724" t="s">
        <v>43</v>
      </c>
      <c r="M4724" t="s">
        <v>112</v>
      </c>
      <c r="N4724" t="s">
        <v>21</v>
      </c>
      <c r="O4724" t="s">
        <v>190</v>
      </c>
      <c r="P4724" s="1" t="s">
        <v>30</v>
      </c>
      <c r="Q4724">
        <v>138.1</v>
      </c>
    </row>
    <row r="4725" spans="11:17" x14ac:dyDescent="0.3">
      <c r="K4725">
        <v>2017</v>
      </c>
      <c r="L4725" t="s">
        <v>43</v>
      </c>
      <c r="M4725" t="s">
        <v>112</v>
      </c>
      <c r="N4725" t="s">
        <v>21</v>
      </c>
      <c r="O4725" t="s">
        <v>190</v>
      </c>
      <c r="P4725" s="1" t="s">
        <v>34</v>
      </c>
      <c r="Q4725">
        <v>132.19999999999999</v>
      </c>
    </row>
    <row r="4726" spans="11:17" x14ac:dyDescent="0.3">
      <c r="K4726">
        <v>2017</v>
      </c>
      <c r="L4726" t="s">
        <v>43</v>
      </c>
      <c r="M4726" t="s">
        <v>112</v>
      </c>
      <c r="N4726" t="s">
        <v>21</v>
      </c>
      <c r="O4726" t="s">
        <v>190</v>
      </c>
      <c r="P4726" s="1" t="s">
        <v>33</v>
      </c>
      <c r="Q4726">
        <v>122.6</v>
      </c>
    </row>
    <row r="4727" spans="11:17" x14ac:dyDescent="0.3">
      <c r="K4727">
        <v>2017</v>
      </c>
      <c r="L4727" t="s">
        <v>43</v>
      </c>
      <c r="M4727" t="s">
        <v>112</v>
      </c>
      <c r="N4727" t="s">
        <v>29</v>
      </c>
      <c r="O4727" t="s">
        <v>206</v>
      </c>
      <c r="P4727" s="1" t="s">
        <v>30</v>
      </c>
      <c r="Q4727">
        <v>138.30000000000001</v>
      </c>
    </row>
    <row r="4728" spans="11:17" x14ac:dyDescent="0.3">
      <c r="K4728">
        <v>2017</v>
      </c>
      <c r="L4728" t="s">
        <v>43</v>
      </c>
      <c r="M4728" t="s">
        <v>112</v>
      </c>
      <c r="N4728" t="s">
        <v>29</v>
      </c>
      <c r="O4728" t="s">
        <v>206</v>
      </c>
      <c r="P4728" s="1" t="s">
        <v>34</v>
      </c>
      <c r="Q4728">
        <v>136.1</v>
      </c>
    </row>
    <row r="4729" spans="11:17" x14ac:dyDescent="0.3">
      <c r="K4729">
        <v>2017</v>
      </c>
      <c r="L4729" t="s">
        <v>43</v>
      </c>
      <c r="M4729" t="s">
        <v>112</v>
      </c>
      <c r="N4729" t="s">
        <v>29</v>
      </c>
      <c r="O4729" t="s">
        <v>206</v>
      </c>
      <c r="P4729" s="1" t="s">
        <v>33</v>
      </c>
      <c r="Q4729">
        <v>133.5</v>
      </c>
    </row>
    <row r="4730" spans="11:17" x14ac:dyDescent="0.3">
      <c r="K4730">
        <v>2017</v>
      </c>
      <c r="L4730" t="s">
        <v>43</v>
      </c>
      <c r="M4730" t="s">
        <v>112</v>
      </c>
      <c r="N4730" t="s">
        <v>23</v>
      </c>
      <c r="O4730" t="s">
        <v>23</v>
      </c>
      <c r="P4730" s="1" t="s">
        <v>30</v>
      </c>
      <c r="Q4730">
        <v>134.19999999999999</v>
      </c>
    </row>
    <row r="4731" spans="11:17" x14ac:dyDescent="0.3">
      <c r="K4731">
        <v>2017</v>
      </c>
      <c r="L4731" t="s">
        <v>43</v>
      </c>
      <c r="M4731" t="s">
        <v>112</v>
      </c>
      <c r="N4731" t="s">
        <v>23</v>
      </c>
      <c r="O4731" t="s">
        <v>23</v>
      </c>
      <c r="P4731" s="1" t="s">
        <v>34</v>
      </c>
      <c r="Q4731">
        <v>131.30000000000001</v>
      </c>
    </row>
    <row r="4732" spans="11:17" x14ac:dyDescent="0.3">
      <c r="K4732">
        <v>2017</v>
      </c>
      <c r="L4732" t="s">
        <v>43</v>
      </c>
      <c r="M4732" t="s">
        <v>112</v>
      </c>
      <c r="N4732" t="s">
        <v>23</v>
      </c>
      <c r="O4732" t="s">
        <v>23</v>
      </c>
      <c r="P4732" s="1" t="s">
        <v>33</v>
      </c>
      <c r="Q4732">
        <v>126.6</v>
      </c>
    </row>
    <row r="4733" spans="11:17" x14ac:dyDescent="0.3">
      <c r="K4733">
        <v>2017</v>
      </c>
      <c r="L4733" t="s">
        <v>43</v>
      </c>
      <c r="M4733" t="s">
        <v>112</v>
      </c>
      <c r="N4733" t="s">
        <v>22</v>
      </c>
      <c r="O4733" t="s">
        <v>20</v>
      </c>
      <c r="P4733" s="1" t="s">
        <v>30</v>
      </c>
      <c r="Q4733">
        <v>138.4</v>
      </c>
    </row>
    <row r="4734" spans="11:17" x14ac:dyDescent="0.3">
      <c r="K4734">
        <v>2017</v>
      </c>
      <c r="L4734" t="s">
        <v>43</v>
      </c>
      <c r="M4734" t="s">
        <v>112</v>
      </c>
      <c r="N4734" t="s">
        <v>22</v>
      </c>
      <c r="O4734" t="s">
        <v>20</v>
      </c>
      <c r="P4734" s="1" t="s">
        <v>34</v>
      </c>
      <c r="Q4734">
        <v>133.6</v>
      </c>
    </row>
    <row r="4735" spans="11:17" x14ac:dyDescent="0.3">
      <c r="K4735">
        <v>2017</v>
      </c>
      <c r="L4735" t="s">
        <v>43</v>
      </c>
      <c r="M4735" t="s">
        <v>112</v>
      </c>
      <c r="N4735" t="s">
        <v>22</v>
      </c>
      <c r="O4735" t="s">
        <v>20</v>
      </c>
      <c r="P4735" s="1" t="s">
        <v>33</v>
      </c>
      <c r="Q4735">
        <v>128.30000000000001</v>
      </c>
    </row>
    <row r="4736" spans="11:17" x14ac:dyDescent="0.3">
      <c r="K4736">
        <v>2017</v>
      </c>
      <c r="L4736" t="s">
        <v>43</v>
      </c>
      <c r="M4736" t="s">
        <v>112</v>
      </c>
      <c r="N4736" t="s">
        <v>20</v>
      </c>
      <c r="O4736" t="s">
        <v>20</v>
      </c>
      <c r="P4736" s="1" t="s">
        <v>30</v>
      </c>
      <c r="Q4736">
        <v>0</v>
      </c>
    </row>
    <row r="4737" spans="11:17" x14ac:dyDescent="0.3">
      <c r="K4737">
        <v>2017</v>
      </c>
      <c r="L4737" t="s">
        <v>43</v>
      </c>
      <c r="M4737" t="s">
        <v>112</v>
      </c>
      <c r="N4737" t="s">
        <v>20</v>
      </c>
      <c r="O4737" t="s">
        <v>20</v>
      </c>
      <c r="P4737" s="1" t="s">
        <v>34</v>
      </c>
      <c r="Q4737">
        <v>137.30000000000001</v>
      </c>
    </row>
    <row r="4738" spans="11:17" x14ac:dyDescent="0.3">
      <c r="K4738">
        <v>2017</v>
      </c>
      <c r="L4738" t="s">
        <v>43</v>
      </c>
      <c r="M4738" t="s">
        <v>112</v>
      </c>
      <c r="N4738" t="s">
        <v>20</v>
      </c>
      <c r="O4738" t="s">
        <v>20</v>
      </c>
      <c r="P4738" s="1" t="s">
        <v>33</v>
      </c>
      <c r="Q4738">
        <v>137.30000000000001</v>
      </c>
    </row>
    <row r="4739" spans="11:17" x14ac:dyDescent="0.3">
      <c r="K4739">
        <v>2017</v>
      </c>
      <c r="L4739" t="s">
        <v>43</v>
      </c>
      <c r="M4739" t="s">
        <v>112</v>
      </c>
      <c r="N4739" t="s">
        <v>4</v>
      </c>
      <c r="O4739" t="s">
        <v>188</v>
      </c>
      <c r="P4739" s="1" t="s">
        <v>30</v>
      </c>
      <c r="Q4739">
        <v>141.9</v>
      </c>
    </row>
    <row r="4740" spans="11:17" x14ac:dyDescent="0.3">
      <c r="K4740">
        <v>2017</v>
      </c>
      <c r="L4740" t="s">
        <v>43</v>
      </c>
      <c r="M4740" t="s">
        <v>112</v>
      </c>
      <c r="N4740" t="s">
        <v>4</v>
      </c>
      <c r="O4740" t="s">
        <v>188</v>
      </c>
      <c r="P4740" s="1" t="s">
        <v>34</v>
      </c>
      <c r="Q4740">
        <v>142.19999999999999</v>
      </c>
    </row>
    <row r="4741" spans="11:17" x14ac:dyDescent="0.3">
      <c r="K4741">
        <v>2017</v>
      </c>
      <c r="L4741" t="s">
        <v>43</v>
      </c>
      <c r="M4741" t="s">
        <v>112</v>
      </c>
      <c r="N4741" t="s">
        <v>4</v>
      </c>
      <c r="O4741" t="s">
        <v>188</v>
      </c>
      <c r="P4741" s="1" t="s">
        <v>33</v>
      </c>
      <c r="Q4741">
        <v>142.80000000000001</v>
      </c>
    </row>
    <row r="4742" spans="11:17" x14ac:dyDescent="0.3">
      <c r="K4742">
        <v>2017</v>
      </c>
      <c r="L4742" t="s">
        <v>43</v>
      </c>
      <c r="M4742" t="s">
        <v>112</v>
      </c>
      <c r="N4742" t="s">
        <v>6</v>
      </c>
      <c r="O4742" t="s">
        <v>188</v>
      </c>
      <c r="P4742" s="1" t="s">
        <v>30</v>
      </c>
      <c r="Q4742">
        <v>141.5</v>
      </c>
    </row>
    <row r="4743" spans="11:17" x14ac:dyDescent="0.3">
      <c r="K4743">
        <v>2017</v>
      </c>
      <c r="L4743" t="s">
        <v>43</v>
      </c>
      <c r="M4743" t="s">
        <v>112</v>
      </c>
      <c r="N4743" t="s">
        <v>6</v>
      </c>
      <c r="O4743" t="s">
        <v>188</v>
      </c>
      <c r="P4743" s="1" t="s">
        <v>34</v>
      </c>
      <c r="Q4743">
        <v>140.6</v>
      </c>
    </row>
    <row r="4744" spans="11:17" x14ac:dyDescent="0.3">
      <c r="K4744">
        <v>2017</v>
      </c>
      <c r="L4744" t="s">
        <v>43</v>
      </c>
      <c r="M4744" t="s">
        <v>112</v>
      </c>
      <c r="N4744" t="s">
        <v>6</v>
      </c>
      <c r="O4744" t="s">
        <v>188</v>
      </c>
      <c r="P4744" s="1" t="s">
        <v>33</v>
      </c>
      <c r="Q4744">
        <v>139.1</v>
      </c>
    </row>
    <row r="4745" spans="11:17" x14ac:dyDescent="0.3">
      <c r="K4745">
        <v>2017</v>
      </c>
      <c r="L4745" t="s">
        <v>43</v>
      </c>
      <c r="M4745" t="s">
        <v>112</v>
      </c>
      <c r="N4745" t="s">
        <v>28</v>
      </c>
      <c r="O4745" t="s">
        <v>192</v>
      </c>
      <c r="P4745" s="1" t="s">
        <v>30</v>
      </c>
      <c r="Q4745">
        <v>130.69999999999999</v>
      </c>
    </row>
    <row r="4746" spans="11:17" x14ac:dyDescent="0.3">
      <c r="K4746">
        <v>2017</v>
      </c>
      <c r="L4746" t="s">
        <v>43</v>
      </c>
      <c r="M4746" t="s">
        <v>112</v>
      </c>
      <c r="N4746" t="s">
        <v>28</v>
      </c>
      <c r="O4746" t="s">
        <v>192</v>
      </c>
      <c r="P4746" s="1" t="s">
        <v>34</v>
      </c>
      <c r="Q4746">
        <v>127.7</v>
      </c>
    </row>
    <row r="4747" spans="11:17" x14ac:dyDescent="0.3">
      <c r="K4747">
        <v>2017</v>
      </c>
      <c r="L4747" t="s">
        <v>43</v>
      </c>
      <c r="M4747" t="s">
        <v>112</v>
      </c>
      <c r="N4747" t="s">
        <v>28</v>
      </c>
      <c r="O4747" t="s">
        <v>192</v>
      </c>
      <c r="P4747" s="1" t="s">
        <v>33</v>
      </c>
      <c r="Q4747">
        <v>124.5</v>
      </c>
    </row>
    <row r="4748" spans="11:17" x14ac:dyDescent="0.3">
      <c r="K4748">
        <v>2017</v>
      </c>
      <c r="L4748" t="s">
        <v>43</v>
      </c>
      <c r="M4748" t="s">
        <v>112</v>
      </c>
      <c r="N4748" t="s">
        <v>13</v>
      </c>
      <c r="O4748" t="s">
        <v>188</v>
      </c>
      <c r="P4748" s="1" t="s">
        <v>30</v>
      </c>
      <c r="Q4748">
        <v>131.30000000000001</v>
      </c>
    </row>
    <row r="4749" spans="11:17" x14ac:dyDescent="0.3">
      <c r="K4749">
        <v>2017</v>
      </c>
      <c r="L4749" t="s">
        <v>43</v>
      </c>
      <c r="M4749" t="s">
        <v>112</v>
      </c>
      <c r="N4749" t="s">
        <v>13</v>
      </c>
      <c r="O4749" t="s">
        <v>188</v>
      </c>
      <c r="P4749" s="1" t="s">
        <v>34</v>
      </c>
      <c r="Q4749">
        <v>128.69999999999999</v>
      </c>
    </row>
    <row r="4750" spans="11:17" x14ac:dyDescent="0.3">
      <c r="K4750">
        <v>2017</v>
      </c>
      <c r="L4750" t="s">
        <v>43</v>
      </c>
      <c r="M4750" t="s">
        <v>112</v>
      </c>
      <c r="N4750" t="s">
        <v>13</v>
      </c>
      <c r="O4750" t="s">
        <v>188</v>
      </c>
      <c r="P4750" s="1" t="s">
        <v>33</v>
      </c>
      <c r="Q4750">
        <v>125.1</v>
      </c>
    </row>
    <row r="4751" spans="11:17" x14ac:dyDescent="0.3">
      <c r="K4751">
        <v>2017</v>
      </c>
      <c r="L4751" t="s">
        <v>43</v>
      </c>
      <c r="M4751" t="s">
        <v>112</v>
      </c>
      <c r="N4751" t="s">
        <v>7</v>
      </c>
      <c r="O4751" t="s">
        <v>188</v>
      </c>
      <c r="P4751" s="1" t="s">
        <v>30</v>
      </c>
      <c r="Q4751">
        <v>121.4</v>
      </c>
    </row>
    <row r="4752" spans="11:17" x14ac:dyDescent="0.3">
      <c r="K4752">
        <v>2017</v>
      </c>
      <c r="L4752" t="s">
        <v>43</v>
      </c>
      <c r="M4752" t="s">
        <v>112</v>
      </c>
      <c r="N4752" t="s">
        <v>7</v>
      </c>
      <c r="O4752" t="s">
        <v>188</v>
      </c>
      <c r="P4752" s="1" t="s">
        <v>34</v>
      </c>
      <c r="Q4752">
        <v>119</v>
      </c>
    </row>
    <row r="4753" spans="11:17" x14ac:dyDescent="0.3">
      <c r="K4753">
        <v>2017</v>
      </c>
      <c r="L4753" t="s">
        <v>43</v>
      </c>
      <c r="M4753" t="s">
        <v>112</v>
      </c>
      <c r="N4753" t="s">
        <v>7</v>
      </c>
      <c r="O4753" t="s">
        <v>188</v>
      </c>
      <c r="P4753" s="1" t="s">
        <v>33</v>
      </c>
      <c r="Q4753">
        <v>114.9</v>
      </c>
    </row>
    <row r="4754" spans="11:17" x14ac:dyDescent="0.3">
      <c r="K4754">
        <v>2017</v>
      </c>
      <c r="L4754" t="s">
        <v>43</v>
      </c>
      <c r="M4754" t="s">
        <v>112</v>
      </c>
      <c r="N4754" t="s">
        <v>16</v>
      </c>
      <c r="O4754" t="s">
        <v>192</v>
      </c>
      <c r="P4754" s="1" t="s">
        <v>30</v>
      </c>
      <c r="Q4754">
        <v>150.5</v>
      </c>
    </row>
    <row r="4755" spans="11:17" x14ac:dyDescent="0.3">
      <c r="K4755">
        <v>2017</v>
      </c>
      <c r="L4755" t="s">
        <v>43</v>
      </c>
      <c r="M4755" t="s">
        <v>112</v>
      </c>
      <c r="N4755" t="s">
        <v>16</v>
      </c>
      <c r="O4755" t="s">
        <v>192</v>
      </c>
      <c r="P4755" s="1" t="s">
        <v>34</v>
      </c>
      <c r="Q4755">
        <v>151.6</v>
      </c>
    </row>
    <row r="4756" spans="11:17" x14ac:dyDescent="0.3">
      <c r="K4756">
        <v>2017</v>
      </c>
      <c r="L4756" t="s">
        <v>43</v>
      </c>
      <c r="M4756" t="s">
        <v>112</v>
      </c>
      <c r="N4756" t="s">
        <v>16</v>
      </c>
      <c r="O4756" t="s">
        <v>192</v>
      </c>
      <c r="P4756" s="1" t="s">
        <v>33</v>
      </c>
      <c r="Q4756">
        <v>154.6</v>
      </c>
    </row>
    <row r="4757" spans="11:17" x14ac:dyDescent="0.3">
      <c r="K4757">
        <v>2017</v>
      </c>
      <c r="L4757" t="s">
        <v>43</v>
      </c>
      <c r="M4757" t="s">
        <v>112</v>
      </c>
      <c r="N4757" t="s">
        <v>27</v>
      </c>
      <c r="O4757" t="s">
        <v>192</v>
      </c>
      <c r="P4757" s="1" t="s">
        <v>30</v>
      </c>
      <c r="Q4757">
        <v>127.4</v>
      </c>
    </row>
    <row r="4758" spans="11:17" x14ac:dyDescent="0.3">
      <c r="K4758">
        <v>2017</v>
      </c>
      <c r="L4758" t="s">
        <v>43</v>
      </c>
      <c r="M4758" t="s">
        <v>112</v>
      </c>
      <c r="N4758" t="s">
        <v>27</v>
      </c>
      <c r="O4758" t="s">
        <v>192</v>
      </c>
      <c r="P4758" s="1" t="s">
        <v>34</v>
      </c>
      <c r="Q4758">
        <v>126.2</v>
      </c>
    </row>
    <row r="4759" spans="11:17" x14ac:dyDescent="0.3">
      <c r="K4759">
        <v>2017</v>
      </c>
      <c r="L4759" t="s">
        <v>43</v>
      </c>
      <c r="M4759" t="s">
        <v>112</v>
      </c>
      <c r="N4759" t="s">
        <v>27</v>
      </c>
      <c r="O4759" t="s">
        <v>192</v>
      </c>
      <c r="P4759" s="1" t="s">
        <v>33</v>
      </c>
      <c r="Q4759">
        <v>124.6</v>
      </c>
    </row>
    <row r="4760" spans="11:17" x14ac:dyDescent="0.3">
      <c r="K4760">
        <v>2017</v>
      </c>
      <c r="L4760" t="s">
        <v>43</v>
      </c>
      <c r="M4760" t="s">
        <v>112</v>
      </c>
      <c r="N4760" t="s">
        <v>14</v>
      </c>
      <c r="O4760" t="s">
        <v>188</v>
      </c>
      <c r="P4760" s="1" t="s">
        <v>30</v>
      </c>
      <c r="Q4760">
        <v>150.30000000000001</v>
      </c>
    </row>
    <row r="4761" spans="11:17" x14ac:dyDescent="0.3">
      <c r="K4761">
        <v>2017</v>
      </c>
      <c r="L4761" t="s">
        <v>43</v>
      </c>
      <c r="M4761" t="s">
        <v>112</v>
      </c>
      <c r="N4761" t="s">
        <v>14</v>
      </c>
      <c r="O4761" t="s">
        <v>188</v>
      </c>
      <c r="P4761" s="1" t="s">
        <v>34</v>
      </c>
      <c r="Q4761">
        <v>148.1</v>
      </c>
    </row>
    <row r="4762" spans="11:17" x14ac:dyDescent="0.3">
      <c r="K4762">
        <v>2017</v>
      </c>
      <c r="L4762" t="s">
        <v>43</v>
      </c>
      <c r="M4762" t="s">
        <v>112</v>
      </c>
      <c r="N4762" t="s">
        <v>14</v>
      </c>
      <c r="O4762" t="s">
        <v>188</v>
      </c>
      <c r="P4762" s="1" t="s">
        <v>33</v>
      </c>
      <c r="Q4762">
        <v>145.5</v>
      </c>
    </row>
    <row r="4763" spans="11:17" x14ac:dyDescent="0.3">
      <c r="K4763">
        <v>2017</v>
      </c>
      <c r="L4763" t="s">
        <v>43</v>
      </c>
      <c r="M4763" t="s">
        <v>112</v>
      </c>
      <c r="N4763" t="s">
        <v>10</v>
      </c>
      <c r="O4763" t="s">
        <v>188</v>
      </c>
      <c r="P4763" s="1" t="s">
        <v>30</v>
      </c>
      <c r="Q4763">
        <v>136.4</v>
      </c>
    </row>
    <row r="4764" spans="11:17" x14ac:dyDescent="0.3">
      <c r="K4764">
        <v>2017</v>
      </c>
      <c r="L4764" t="s">
        <v>43</v>
      </c>
      <c r="M4764" t="s">
        <v>112</v>
      </c>
      <c r="N4764" t="s">
        <v>10</v>
      </c>
      <c r="O4764" t="s">
        <v>188</v>
      </c>
      <c r="P4764" s="1" t="s">
        <v>34</v>
      </c>
      <c r="Q4764">
        <v>132.30000000000001</v>
      </c>
    </row>
    <row r="4765" spans="11:17" x14ac:dyDescent="0.3">
      <c r="K4765">
        <v>2017</v>
      </c>
      <c r="L4765" t="s">
        <v>43</v>
      </c>
      <c r="M4765" t="s">
        <v>112</v>
      </c>
      <c r="N4765" t="s">
        <v>10</v>
      </c>
      <c r="O4765" t="s">
        <v>188</v>
      </c>
      <c r="P4765" s="1" t="s">
        <v>33</v>
      </c>
      <c r="Q4765">
        <v>124.1</v>
      </c>
    </row>
    <row r="4766" spans="11:17" x14ac:dyDescent="0.3">
      <c r="K4766">
        <v>2017</v>
      </c>
      <c r="L4766" t="s">
        <v>43</v>
      </c>
      <c r="M4766" t="s">
        <v>112</v>
      </c>
      <c r="N4766" t="s">
        <v>25</v>
      </c>
      <c r="O4766" t="s">
        <v>195</v>
      </c>
      <c r="P4766" s="1" t="s">
        <v>30</v>
      </c>
      <c r="Q4766">
        <v>133</v>
      </c>
    </row>
    <row r="4767" spans="11:17" x14ac:dyDescent="0.3">
      <c r="K4767">
        <v>2017</v>
      </c>
      <c r="L4767" t="s">
        <v>43</v>
      </c>
      <c r="M4767" t="s">
        <v>112</v>
      </c>
      <c r="N4767" t="s">
        <v>25</v>
      </c>
      <c r="O4767" t="s">
        <v>195</v>
      </c>
      <c r="P4767" s="1" t="s">
        <v>34</v>
      </c>
      <c r="Q4767">
        <v>128.4</v>
      </c>
    </row>
    <row r="4768" spans="11:17" x14ac:dyDescent="0.3">
      <c r="K4768">
        <v>2017</v>
      </c>
      <c r="L4768" t="s">
        <v>43</v>
      </c>
      <c r="M4768" t="s">
        <v>112</v>
      </c>
      <c r="N4768" t="s">
        <v>25</v>
      </c>
      <c r="O4768" t="s">
        <v>195</v>
      </c>
      <c r="P4768" s="1" t="s">
        <v>33</v>
      </c>
      <c r="Q4768">
        <v>124.8</v>
      </c>
    </row>
    <row r="4769" spans="11:17" x14ac:dyDescent="0.3">
      <c r="K4769">
        <v>2017</v>
      </c>
      <c r="L4769" t="s">
        <v>43</v>
      </c>
      <c r="M4769" t="s">
        <v>112</v>
      </c>
      <c r="N4769" t="s">
        <v>12</v>
      </c>
      <c r="O4769" t="s">
        <v>188</v>
      </c>
      <c r="P4769" s="1" t="s">
        <v>30</v>
      </c>
      <c r="Q4769">
        <v>135.6</v>
      </c>
    </row>
    <row r="4770" spans="11:17" x14ac:dyDescent="0.3">
      <c r="K4770">
        <v>2017</v>
      </c>
      <c r="L4770" t="s">
        <v>43</v>
      </c>
      <c r="M4770" t="s">
        <v>112</v>
      </c>
      <c r="N4770" t="s">
        <v>12</v>
      </c>
      <c r="O4770" t="s">
        <v>188</v>
      </c>
      <c r="P4770" s="1" t="s">
        <v>34</v>
      </c>
      <c r="Q4770">
        <v>136.30000000000001</v>
      </c>
    </row>
    <row r="4771" spans="11:17" x14ac:dyDescent="0.3">
      <c r="K4771">
        <v>2017</v>
      </c>
      <c r="L4771" t="s">
        <v>43</v>
      </c>
      <c r="M4771" t="s">
        <v>112</v>
      </c>
      <c r="N4771" t="s">
        <v>12</v>
      </c>
      <c r="O4771" t="s">
        <v>188</v>
      </c>
      <c r="P4771" s="1" t="s">
        <v>33</v>
      </c>
      <c r="Q4771">
        <v>137.80000000000001</v>
      </c>
    </row>
    <row r="4772" spans="11:17" x14ac:dyDescent="0.3">
      <c r="K4772">
        <v>2017</v>
      </c>
      <c r="L4772" t="s">
        <v>43</v>
      </c>
      <c r="M4772" t="s">
        <v>112</v>
      </c>
      <c r="N4772" t="s">
        <v>11</v>
      </c>
      <c r="O4772" t="s">
        <v>188</v>
      </c>
      <c r="P4772" s="1" t="s">
        <v>30</v>
      </c>
      <c r="Q4772">
        <v>121.4</v>
      </c>
    </row>
    <row r="4773" spans="11:17" x14ac:dyDescent="0.3">
      <c r="K4773">
        <v>2017</v>
      </c>
      <c r="L4773" t="s">
        <v>43</v>
      </c>
      <c r="M4773" t="s">
        <v>112</v>
      </c>
      <c r="N4773" t="s">
        <v>11</v>
      </c>
      <c r="O4773" t="s">
        <v>188</v>
      </c>
      <c r="P4773" s="1" t="s">
        <v>34</v>
      </c>
      <c r="Q4773">
        <v>121.8</v>
      </c>
    </row>
    <row r="4774" spans="11:17" x14ac:dyDescent="0.3">
      <c r="K4774">
        <v>2017</v>
      </c>
      <c r="L4774" t="s">
        <v>43</v>
      </c>
      <c r="M4774" t="s">
        <v>112</v>
      </c>
      <c r="N4774" t="s">
        <v>11</v>
      </c>
      <c r="O4774" t="s">
        <v>188</v>
      </c>
      <c r="P4774" s="1" t="s">
        <v>33</v>
      </c>
      <c r="Q4774">
        <v>122.6</v>
      </c>
    </row>
    <row r="4775" spans="11:17" x14ac:dyDescent="0.3">
      <c r="K4775">
        <v>2017</v>
      </c>
      <c r="L4775" t="s">
        <v>43</v>
      </c>
      <c r="M4775" t="s">
        <v>112</v>
      </c>
      <c r="N4775" t="s">
        <v>24</v>
      </c>
      <c r="O4775" t="s">
        <v>191</v>
      </c>
      <c r="P4775" s="1" t="s">
        <v>30</v>
      </c>
      <c r="Q4775">
        <v>121</v>
      </c>
    </row>
    <row r="4776" spans="11:17" x14ac:dyDescent="0.3">
      <c r="K4776">
        <v>2017</v>
      </c>
      <c r="L4776" t="s">
        <v>43</v>
      </c>
      <c r="M4776" t="s">
        <v>112</v>
      </c>
      <c r="N4776" t="s">
        <v>24</v>
      </c>
      <c r="O4776" t="s">
        <v>191</v>
      </c>
      <c r="P4776" s="1" t="s">
        <v>34</v>
      </c>
      <c r="Q4776">
        <v>117.8</v>
      </c>
    </row>
    <row r="4777" spans="11:17" x14ac:dyDescent="0.3">
      <c r="K4777">
        <v>2017</v>
      </c>
      <c r="L4777" t="s">
        <v>43</v>
      </c>
      <c r="M4777" t="s">
        <v>112</v>
      </c>
      <c r="N4777" t="s">
        <v>24</v>
      </c>
      <c r="O4777" t="s">
        <v>191</v>
      </c>
      <c r="P4777" s="1" t="s">
        <v>33</v>
      </c>
      <c r="Q4777">
        <v>115</v>
      </c>
    </row>
    <row r="4778" spans="11:17" x14ac:dyDescent="0.3">
      <c r="K4778">
        <v>2017</v>
      </c>
      <c r="L4778" t="s">
        <v>43</v>
      </c>
      <c r="M4778" t="s">
        <v>112</v>
      </c>
      <c r="N4778" t="s">
        <v>9</v>
      </c>
      <c r="O4778" t="s">
        <v>188</v>
      </c>
      <c r="P4778" s="1" t="s">
        <v>30</v>
      </c>
      <c r="Q4778">
        <v>157.1</v>
      </c>
    </row>
    <row r="4779" spans="11:17" x14ac:dyDescent="0.3">
      <c r="K4779">
        <v>2017</v>
      </c>
      <c r="L4779" t="s">
        <v>43</v>
      </c>
      <c r="M4779" t="s">
        <v>112</v>
      </c>
      <c r="N4779" t="s">
        <v>9</v>
      </c>
      <c r="O4779" t="s">
        <v>188</v>
      </c>
      <c r="P4779" s="1" t="s">
        <v>34</v>
      </c>
      <c r="Q4779">
        <v>162.6</v>
      </c>
    </row>
    <row r="4780" spans="11:17" x14ac:dyDescent="0.3">
      <c r="K4780">
        <v>2017</v>
      </c>
      <c r="L4780" t="s">
        <v>43</v>
      </c>
      <c r="M4780" t="s">
        <v>112</v>
      </c>
      <c r="N4780" t="s">
        <v>9</v>
      </c>
      <c r="O4780" t="s">
        <v>188</v>
      </c>
      <c r="P4780" s="1" t="s">
        <v>33</v>
      </c>
      <c r="Q4780">
        <v>173.2</v>
      </c>
    </row>
    <row r="4781" spans="11:17" x14ac:dyDescent="0.3">
      <c r="K4781">
        <v>2017</v>
      </c>
      <c r="L4781" t="s">
        <v>42</v>
      </c>
      <c r="M4781" t="s">
        <v>113</v>
      </c>
      <c r="N4781" t="s">
        <v>3</v>
      </c>
      <c r="O4781" t="s">
        <v>188</v>
      </c>
      <c r="P4781" s="1" t="s">
        <v>30</v>
      </c>
      <c r="Q4781">
        <v>135.19999999999999</v>
      </c>
    </row>
    <row r="4782" spans="11:17" x14ac:dyDescent="0.3">
      <c r="K4782">
        <v>2017</v>
      </c>
      <c r="L4782" t="s">
        <v>42</v>
      </c>
      <c r="M4782" t="s">
        <v>113</v>
      </c>
      <c r="N4782" t="s">
        <v>3</v>
      </c>
      <c r="O4782" t="s">
        <v>188</v>
      </c>
      <c r="P4782" s="1" t="s">
        <v>34</v>
      </c>
      <c r="Q4782">
        <v>134.69999999999999</v>
      </c>
    </row>
    <row r="4783" spans="11:17" x14ac:dyDescent="0.3">
      <c r="K4783">
        <v>2017</v>
      </c>
      <c r="L4783" t="s">
        <v>42</v>
      </c>
      <c r="M4783" t="s">
        <v>113</v>
      </c>
      <c r="N4783" t="s">
        <v>3</v>
      </c>
      <c r="O4783" t="s">
        <v>188</v>
      </c>
      <c r="P4783" s="1" t="s">
        <v>33</v>
      </c>
      <c r="Q4783">
        <v>133.6</v>
      </c>
    </row>
    <row r="4784" spans="11:17" x14ac:dyDescent="0.3">
      <c r="K4784">
        <v>2017</v>
      </c>
      <c r="L4784" t="s">
        <v>42</v>
      </c>
      <c r="M4784" t="s">
        <v>113</v>
      </c>
      <c r="N4784" t="s">
        <v>17</v>
      </c>
      <c r="O4784" t="s">
        <v>189</v>
      </c>
      <c r="P4784" s="1" t="s">
        <v>30</v>
      </c>
      <c r="Q4784">
        <v>146.1</v>
      </c>
    </row>
    <row r="4785" spans="11:17" x14ac:dyDescent="0.3">
      <c r="K4785">
        <v>2017</v>
      </c>
      <c r="L4785" t="s">
        <v>42</v>
      </c>
      <c r="M4785" t="s">
        <v>113</v>
      </c>
      <c r="N4785" t="s">
        <v>17</v>
      </c>
      <c r="O4785" t="s">
        <v>189</v>
      </c>
      <c r="P4785" s="1" t="s">
        <v>34</v>
      </c>
      <c r="Q4785">
        <v>141.1</v>
      </c>
    </row>
    <row r="4786" spans="11:17" x14ac:dyDescent="0.3">
      <c r="K4786">
        <v>2017</v>
      </c>
      <c r="L4786" t="s">
        <v>42</v>
      </c>
      <c r="M4786" t="s">
        <v>113</v>
      </c>
      <c r="N4786" t="s">
        <v>17</v>
      </c>
      <c r="O4786" t="s">
        <v>189</v>
      </c>
      <c r="P4786" s="1" t="s">
        <v>33</v>
      </c>
      <c r="Q4786">
        <v>133.30000000000001</v>
      </c>
    </row>
    <row r="4787" spans="11:17" x14ac:dyDescent="0.3">
      <c r="K4787">
        <v>2017</v>
      </c>
      <c r="L4787" t="s">
        <v>42</v>
      </c>
      <c r="M4787" t="s">
        <v>113</v>
      </c>
      <c r="N4787" t="s">
        <v>19</v>
      </c>
      <c r="O4787" t="s">
        <v>189</v>
      </c>
      <c r="P4787" s="1" t="s">
        <v>30</v>
      </c>
      <c r="Q4787">
        <v>145.19999999999999</v>
      </c>
    </row>
    <row r="4788" spans="11:17" x14ac:dyDescent="0.3">
      <c r="K4788">
        <v>2017</v>
      </c>
      <c r="L4788" t="s">
        <v>42</v>
      </c>
      <c r="M4788" t="s">
        <v>113</v>
      </c>
      <c r="N4788" t="s">
        <v>19</v>
      </c>
      <c r="O4788" t="s">
        <v>189</v>
      </c>
      <c r="P4788" s="1" t="s">
        <v>34</v>
      </c>
      <c r="Q4788">
        <v>140</v>
      </c>
    </row>
    <row r="4789" spans="11:17" x14ac:dyDescent="0.3">
      <c r="K4789">
        <v>2017</v>
      </c>
      <c r="L4789" t="s">
        <v>42</v>
      </c>
      <c r="M4789" t="s">
        <v>113</v>
      </c>
      <c r="N4789" t="s">
        <v>19</v>
      </c>
      <c r="O4789" t="s">
        <v>189</v>
      </c>
      <c r="P4789" s="1" t="s">
        <v>33</v>
      </c>
      <c r="Q4789">
        <v>132</v>
      </c>
    </row>
    <row r="4790" spans="11:17" x14ac:dyDescent="0.3">
      <c r="K4790">
        <v>2017</v>
      </c>
      <c r="L4790" t="s">
        <v>42</v>
      </c>
      <c r="M4790" t="s">
        <v>113</v>
      </c>
      <c r="N4790" t="s">
        <v>26</v>
      </c>
      <c r="O4790" t="s">
        <v>26</v>
      </c>
      <c r="P4790" s="1" t="s">
        <v>30</v>
      </c>
      <c r="Q4790">
        <v>139.6</v>
      </c>
    </row>
    <row r="4791" spans="11:17" x14ac:dyDescent="0.3">
      <c r="K4791">
        <v>2017</v>
      </c>
      <c r="L4791" t="s">
        <v>42</v>
      </c>
      <c r="M4791" t="s">
        <v>113</v>
      </c>
      <c r="N4791" t="s">
        <v>26</v>
      </c>
      <c r="O4791" t="s">
        <v>26</v>
      </c>
      <c r="P4791" s="1" t="s">
        <v>34</v>
      </c>
      <c r="Q4791">
        <v>137.4</v>
      </c>
    </row>
    <row r="4792" spans="11:17" x14ac:dyDescent="0.3">
      <c r="K4792">
        <v>2017</v>
      </c>
      <c r="L4792" t="s">
        <v>42</v>
      </c>
      <c r="M4792" t="s">
        <v>113</v>
      </c>
      <c r="N4792" t="s">
        <v>26</v>
      </c>
      <c r="O4792" t="s">
        <v>26</v>
      </c>
      <c r="P4792" s="1" t="s">
        <v>33</v>
      </c>
      <c r="Q4792">
        <v>135.9</v>
      </c>
    </row>
    <row r="4793" spans="11:17" x14ac:dyDescent="0.3">
      <c r="K4793">
        <v>2017</v>
      </c>
      <c r="L4793" t="s">
        <v>42</v>
      </c>
      <c r="M4793" t="s">
        <v>113</v>
      </c>
      <c r="N4793" t="s">
        <v>5</v>
      </c>
      <c r="O4793" t="s">
        <v>188</v>
      </c>
      <c r="P4793" s="1" t="s">
        <v>30</v>
      </c>
      <c r="Q4793">
        <v>130.5</v>
      </c>
    </row>
    <row r="4794" spans="11:17" x14ac:dyDescent="0.3">
      <c r="K4794">
        <v>2017</v>
      </c>
      <c r="L4794" t="s">
        <v>42</v>
      </c>
      <c r="M4794" t="s">
        <v>113</v>
      </c>
      <c r="N4794" t="s">
        <v>5</v>
      </c>
      <c r="O4794" t="s">
        <v>188</v>
      </c>
      <c r="P4794" s="1" t="s">
        <v>34</v>
      </c>
      <c r="Q4794">
        <v>130.19999999999999</v>
      </c>
    </row>
    <row r="4795" spans="11:17" x14ac:dyDescent="0.3">
      <c r="K4795">
        <v>2017</v>
      </c>
      <c r="L4795" t="s">
        <v>42</v>
      </c>
      <c r="M4795" t="s">
        <v>113</v>
      </c>
      <c r="N4795" t="s">
        <v>5</v>
      </c>
      <c r="O4795" t="s">
        <v>188</v>
      </c>
      <c r="P4795" s="1" t="s">
        <v>33</v>
      </c>
      <c r="Q4795">
        <v>129.69999999999999</v>
      </c>
    </row>
    <row r="4796" spans="11:17" x14ac:dyDescent="0.3">
      <c r="K4796">
        <v>2017</v>
      </c>
      <c r="L4796" t="s">
        <v>42</v>
      </c>
      <c r="M4796" t="s">
        <v>113</v>
      </c>
      <c r="N4796" t="s">
        <v>15</v>
      </c>
      <c r="O4796" t="s">
        <v>188</v>
      </c>
      <c r="P4796" s="1" t="s">
        <v>30</v>
      </c>
      <c r="Q4796">
        <v>139.6</v>
      </c>
    </row>
    <row r="4797" spans="11:17" x14ac:dyDescent="0.3">
      <c r="K4797">
        <v>2017</v>
      </c>
      <c r="L4797" t="s">
        <v>42</v>
      </c>
      <c r="M4797" t="s">
        <v>113</v>
      </c>
      <c r="N4797" t="s">
        <v>15</v>
      </c>
      <c r="O4797" t="s">
        <v>188</v>
      </c>
      <c r="P4797" s="1" t="s">
        <v>34</v>
      </c>
      <c r="Q4797">
        <v>139</v>
      </c>
    </row>
    <row r="4798" spans="11:17" x14ac:dyDescent="0.3">
      <c r="K4798">
        <v>2017</v>
      </c>
      <c r="L4798" t="s">
        <v>42</v>
      </c>
      <c r="M4798" t="s">
        <v>113</v>
      </c>
      <c r="N4798" t="s">
        <v>15</v>
      </c>
      <c r="O4798" t="s">
        <v>188</v>
      </c>
      <c r="P4798" s="1" t="s">
        <v>33</v>
      </c>
      <c r="Q4798">
        <v>138</v>
      </c>
    </row>
    <row r="4799" spans="11:17" x14ac:dyDescent="0.3">
      <c r="K4799">
        <v>2017</v>
      </c>
      <c r="L4799" t="s">
        <v>42</v>
      </c>
      <c r="M4799" t="s">
        <v>113</v>
      </c>
      <c r="N4799" t="s">
        <v>18</v>
      </c>
      <c r="O4799" t="s">
        <v>189</v>
      </c>
      <c r="P4799" s="1" t="s">
        <v>30</v>
      </c>
      <c r="Q4799">
        <v>139.69999999999999</v>
      </c>
    </row>
    <row r="4800" spans="11:17" x14ac:dyDescent="0.3">
      <c r="K4800">
        <v>2017</v>
      </c>
      <c r="L4800" t="s">
        <v>42</v>
      </c>
      <c r="M4800" t="s">
        <v>113</v>
      </c>
      <c r="N4800" t="s">
        <v>18</v>
      </c>
      <c r="O4800" t="s">
        <v>189</v>
      </c>
      <c r="P4800" s="1" t="s">
        <v>34</v>
      </c>
      <c r="Q4800">
        <v>133.4</v>
      </c>
    </row>
    <row r="4801" spans="11:17" x14ac:dyDescent="0.3">
      <c r="K4801">
        <v>2017</v>
      </c>
      <c r="L4801" t="s">
        <v>42</v>
      </c>
      <c r="M4801" t="s">
        <v>113</v>
      </c>
      <c r="N4801" t="s">
        <v>18</v>
      </c>
      <c r="O4801" t="s">
        <v>189</v>
      </c>
      <c r="P4801" s="1" t="s">
        <v>33</v>
      </c>
      <c r="Q4801">
        <v>124.6</v>
      </c>
    </row>
    <row r="4802" spans="11:17" x14ac:dyDescent="0.3">
      <c r="K4802">
        <v>2017</v>
      </c>
      <c r="L4802" t="s">
        <v>42</v>
      </c>
      <c r="M4802" t="s">
        <v>113</v>
      </c>
      <c r="N4802" t="s">
        <v>8</v>
      </c>
      <c r="O4802" t="s">
        <v>188</v>
      </c>
      <c r="P4802" s="1" t="s">
        <v>30</v>
      </c>
      <c r="Q4802">
        <v>147.80000000000001</v>
      </c>
    </row>
    <row r="4803" spans="11:17" x14ac:dyDescent="0.3">
      <c r="K4803">
        <v>2017</v>
      </c>
      <c r="L4803" t="s">
        <v>42</v>
      </c>
      <c r="M4803" t="s">
        <v>113</v>
      </c>
      <c r="N4803" t="s">
        <v>8</v>
      </c>
      <c r="O4803" t="s">
        <v>188</v>
      </c>
      <c r="P4803" s="1" t="s">
        <v>34</v>
      </c>
      <c r="Q4803">
        <v>143</v>
      </c>
    </row>
    <row r="4804" spans="11:17" x14ac:dyDescent="0.3">
      <c r="K4804">
        <v>2017</v>
      </c>
      <c r="L4804" t="s">
        <v>42</v>
      </c>
      <c r="M4804" t="s">
        <v>113</v>
      </c>
      <c r="N4804" t="s">
        <v>8</v>
      </c>
      <c r="O4804" t="s">
        <v>188</v>
      </c>
      <c r="P4804" s="1" t="s">
        <v>33</v>
      </c>
      <c r="Q4804">
        <v>137.5</v>
      </c>
    </row>
    <row r="4805" spans="11:17" x14ac:dyDescent="0.3">
      <c r="K4805">
        <v>2017</v>
      </c>
      <c r="L4805" t="s">
        <v>42</v>
      </c>
      <c r="M4805" t="s">
        <v>113</v>
      </c>
      <c r="N4805" t="s">
        <v>21</v>
      </c>
      <c r="O4805" t="s">
        <v>190</v>
      </c>
      <c r="P4805" s="1" t="s">
        <v>30</v>
      </c>
      <c r="Q4805">
        <v>137.4</v>
      </c>
    </row>
    <row r="4806" spans="11:17" x14ac:dyDescent="0.3">
      <c r="K4806">
        <v>2017</v>
      </c>
      <c r="L4806" t="s">
        <v>42</v>
      </c>
      <c r="M4806" t="s">
        <v>113</v>
      </c>
      <c r="N4806" t="s">
        <v>21</v>
      </c>
      <c r="O4806" t="s">
        <v>190</v>
      </c>
      <c r="P4806" s="1" t="s">
        <v>34</v>
      </c>
      <c r="Q4806">
        <v>131</v>
      </c>
    </row>
    <row r="4807" spans="11:17" x14ac:dyDescent="0.3">
      <c r="K4807">
        <v>2017</v>
      </c>
      <c r="L4807" t="s">
        <v>42</v>
      </c>
      <c r="M4807" t="s">
        <v>113</v>
      </c>
      <c r="N4807" t="s">
        <v>21</v>
      </c>
      <c r="O4807" t="s">
        <v>190</v>
      </c>
      <c r="P4807" s="1" t="s">
        <v>33</v>
      </c>
      <c r="Q4807">
        <v>120.6</v>
      </c>
    </row>
    <row r="4808" spans="11:17" x14ac:dyDescent="0.3">
      <c r="K4808">
        <v>2017</v>
      </c>
      <c r="L4808" t="s">
        <v>42</v>
      </c>
      <c r="M4808" t="s">
        <v>113</v>
      </c>
      <c r="N4808" t="s">
        <v>29</v>
      </c>
      <c r="O4808" t="s">
        <v>206</v>
      </c>
      <c r="P4808" s="1" t="s">
        <v>30</v>
      </c>
      <c r="Q4808">
        <v>137.6</v>
      </c>
    </row>
    <row r="4809" spans="11:17" x14ac:dyDescent="0.3">
      <c r="K4809">
        <v>2017</v>
      </c>
      <c r="L4809" t="s">
        <v>42</v>
      </c>
      <c r="M4809" t="s">
        <v>113</v>
      </c>
      <c r="N4809" t="s">
        <v>29</v>
      </c>
      <c r="O4809" t="s">
        <v>206</v>
      </c>
      <c r="P4809" s="1" t="s">
        <v>34</v>
      </c>
      <c r="Q4809">
        <v>135.19999999999999</v>
      </c>
    </row>
    <row r="4810" spans="11:17" x14ac:dyDescent="0.3">
      <c r="K4810">
        <v>2017</v>
      </c>
      <c r="L4810" t="s">
        <v>42</v>
      </c>
      <c r="M4810" t="s">
        <v>113</v>
      </c>
      <c r="N4810" t="s">
        <v>29</v>
      </c>
      <c r="O4810" t="s">
        <v>206</v>
      </c>
      <c r="P4810" s="1" t="s">
        <v>33</v>
      </c>
      <c r="Q4810">
        <v>132.4</v>
      </c>
    </row>
    <row r="4811" spans="11:17" x14ac:dyDescent="0.3">
      <c r="K4811">
        <v>2017</v>
      </c>
      <c r="L4811" t="s">
        <v>42</v>
      </c>
      <c r="M4811" t="s">
        <v>113</v>
      </c>
      <c r="N4811" t="s">
        <v>23</v>
      </c>
      <c r="O4811" t="s">
        <v>23</v>
      </c>
      <c r="P4811" s="1" t="s">
        <v>30</v>
      </c>
      <c r="Q4811">
        <v>133.4</v>
      </c>
    </row>
    <row r="4812" spans="11:17" x14ac:dyDescent="0.3">
      <c r="K4812">
        <v>2017</v>
      </c>
      <c r="L4812" t="s">
        <v>42</v>
      </c>
      <c r="M4812" t="s">
        <v>113</v>
      </c>
      <c r="N4812" t="s">
        <v>23</v>
      </c>
      <c r="O4812" t="s">
        <v>23</v>
      </c>
      <c r="P4812" s="1" t="s">
        <v>34</v>
      </c>
      <c r="Q4812">
        <v>130.6</v>
      </c>
    </row>
    <row r="4813" spans="11:17" x14ac:dyDescent="0.3">
      <c r="K4813">
        <v>2017</v>
      </c>
      <c r="L4813" t="s">
        <v>42</v>
      </c>
      <c r="M4813" t="s">
        <v>113</v>
      </c>
      <c r="N4813" t="s">
        <v>23</v>
      </c>
      <c r="O4813" t="s">
        <v>23</v>
      </c>
      <c r="P4813" s="1" t="s">
        <v>33</v>
      </c>
      <c r="Q4813">
        <v>126.1</v>
      </c>
    </row>
    <row r="4814" spans="11:17" x14ac:dyDescent="0.3">
      <c r="K4814">
        <v>2017</v>
      </c>
      <c r="L4814" t="s">
        <v>42</v>
      </c>
      <c r="M4814" t="s">
        <v>113</v>
      </c>
      <c r="N4814" t="s">
        <v>22</v>
      </c>
      <c r="O4814" t="s">
        <v>20</v>
      </c>
      <c r="P4814" s="1" t="s">
        <v>30</v>
      </c>
      <c r="Q4814">
        <v>137.9</v>
      </c>
    </row>
    <row r="4815" spans="11:17" x14ac:dyDescent="0.3">
      <c r="K4815">
        <v>2017</v>
      </c>
      <c r="L4815" t="s">
        <v>42</v>
      </c>
      <c r="M4815" t="s">
        <v>113</v>
      </c>
      <c r="N4815" t="s">
        <v>22</v>
      </c>
      <c r="O4815" t="s">
        <v>20</v>
      </c>
      <c r="P4815" s="1" t="s">
        <v>34</v>
      </c>
      <c r="Q4815">
        <v>133.30000000000001</v>
      </c>
    </row>
    <row r="4816" spans="11:17" x14ac:dyDescent="0.3">
      <c r="K4816">
        <v>2017</v>
      </c>
      <c r="L4816" t="s">
        <v>42</v>
      </c>
      <c r="M4816" t="s">
        <v>113</v>
      </c>
      <c r="N4816" t="s">
        <v>22</v>
      </c>
      <c r="O4816" t="s">
        <v>20</v>
      </c>
      <c r="P4816" s="1" t="s">
        <v>33</v>
      </c>
      <c r="Q4816">
        <v>128.1</v>
      </c>
    </row>
    <row r="4817" spans="11:17" x14ac:dyDescent="0.3">
      <c r="K4817">
        <v>2017</v>
      </c>
      <c r="L4817" t="s">
        <v>42</v>
      </c>
      <c r="M4817" t="s">
        <v>113</v>
      </c>
      <c r="N4817" t="s">
        <v>20</v>
      </c>
      <c r="O4817" t="s">
        <v>20</v>
      </c>
      <c r="P4817" s="1" t="s">
        <v>30</v>
      </c>
      <c r="Q4817">
        <v>0</v>
      </c>
    </row>
    <row r="4818" spans="11:17" x14ac:dyDescent="0.3">
      <c r="K4818">
        <v>2017</v>
      </c>
      <c r="L4818" t="s">
        <v>42</v>
      </c>
      <c r="M4818" t="s">
        <v>113</v>
      </c>
      <c r="N4818" t="s">
        <v>20</v>
      </c>
      <c r="O4818" t="s">
        <v>20</v>
      </c>
      <c r="P4818" s="1" t="s">
        <v>34</v>
      </c>
      <c r="Q4818">
        <v>135.69999999999999</v>
      </c>
    </row>
    <row r="4819" spans="11:17" x14ac:dyDescent="0.3">
      <c r="K4819">
        <v>2017</v>
      </c>
      <c r="L4819" t="s">
        <v>42</v>
      </c>
      <c r="M4819" t="s">
        <v>113</v>
      </c>
      <c r="N4819" t="s">
        <v>20</v>
      </c>
      <c r="O4819" t="s">
        <v>20</v>
      </c>
      <c r="P4819" s="1" t="s">
        <v>33</v>
      </c>
      <c r="Q4819">
        <v>135.69999999999999</v>
      </c>
    </row>
    <row r="4820" spans="11:17" x14ac:dyDescent="0.3">
      <c r="K4820">
        <v>2017</v>
      </c>
      <c r="L4820" t="s">
        <v>42</v>
      </c>
      <c r="M4820" t="s">
        <v>113</v>
      </c>
      <c r="N4820" t="s">
        <v>4</v>
      </c>
      <c r="O4820" t="s">
        <v>188</v>
      </c>
      <c r="P4820" s="1" t="s">
        <v>30</v>
      </c>
      <c r="Q4820">
        <v>142</v>
      </c>
    </row>
    <row r="4821" spans="11:17" x14ac:dyDescent="0.3">
      <c r="K4821">
        <v>2017</v>
      </c>
      <c r="L4821" t="s">
        <v>42</v>
      </c>
      <c r="M4821" t="s">
        <v>113</v>
      </c>
      <c r="N4821" t="s">
        <v>4</v>
      </c>
      <c r="O4821" t="s">
        <v>188</v>
      </c>
      <c r="P4821" s="1" t="s">
        <v>34</v>
      </c>
      <c r="Q4821">
        <v>142.4</v>
      </c>
    </row>
    <row r="4822" spans="11:17" x14ac:dyDescent="0.3">
      <c r="K4822">
        <v>2017</v>
      </c>
      <c r="L4822" t="s">
        <v>42</v>
      </c>
      <c r="M4822" t="s">
        <v>113</v>
      </c>
      <c r="N4822" t="s">
        <v>4</v>
      </c>
      <c r="O4822" t="s">
        <v>188</v>
      </c>
      <c r="P4822" s="1" t="s">
        <v>33</v>
      </c>
      <c r="Q4822">
        <v>143</v>
      </c>
    </row>
    <row r="4823" spans="11:17" x14ac:dyDescent="0.3">
      <c r="K4823">
        <v>2017</v>
      </c>
      <c r="L4823" t="s">
        <v>42</v>
      </c>
      <c r="M4823" t="s">
        <v>113</v>
      </c>
      <c r="N4823" t="s">
        <v>6</v>
      </c>
      <c r="O4823" t="s">
        <v>188</v>
      </c>
      <c r="P4823" s="1" t="s">
        <v>30</v>
      </c>
      <c r="Q4823">
        <v>140.19999999999999</v>
      </c>
    </row>
    <row r="4824" spans="11:17" x14ac:dyDescent="0.3">
      <c r="K4824">
        <v>2017</v>
      </c>
      <c r="L4824" t="s">
        <v>42</v>
      </c>
      <c r="M4824" t="s">
        <v>113</v>
      </c>
      <c r="N4824" t="s">
        <v>6</v>
      </c>
      <c r="O4824" t="s">
        <v>188</v>
      </c>
      <c r="P4824" s="1" t="s">
        <v>34</v>
      </c>
      <c r="Q4824">
        <v>139.6</v>
      </c>
    </row>
    <row r="4825" spans="11:17" x14ac:dyDescent="0.3">
      <c r="K4825">
        <v>2017</v>
      </c>
      <c r="L4825" t="s">
        <v>42</v>
      </c>
      <c r="M4825" t="s">
        <v>113</v>
      </c>
      <c r="N4825" t="s">
        <v>6</v>
      </c>
      <c r="O4825" t="s">
        <v>188</v>
      </c>
      <c r="P4825" s="1" t="s">
        <v>33</v>
      </c>
      <c r="Q4825">
        <v>138.69999999999999</v>
      </c>
    </row>
    <row r="4826" spans="11:17" x14ac:dyDescent="0.3">
      <c r="K4826">
        <v>2017</v>
      </c>
      <c r="L4826" t="s">
        <v>42</v>
      </c>
      <c r="M4826" t="s">
        <v>113</v>
      </c>
      <c r="N4826" t="s">
        <v>28</v>
      </c>
      <c r="O4826" t="s">
        <v>192</v>
      </c>
      <c r="P4826" s="1" t="s">
        <v>30</v>
      </c>
      <c r="Q4826">
        <v>130.30000000000001</v>
      </c>
    </row>
    <row r="4827" spans="11:17" x14ac:dyDescent="0.3">
      <c r="K4827">
        <v>2017</v>
      </c>
      <c r="L4827" t="s">
        <v>42</v>
      </c>
      <c r="M4827" t="s">
        <v>113</v>
      </c>
      <c r="N4827" t="s">
        <v>28</v>
      </c>
      <c r="O4827" t="s">
        <v>192</v>
      </c>
      <c r="P4827" s="1" t="s">
        <v>34</v>
      </c>
      <c r="Q4827">
        <v>127.5</v>
      </c>
    </row>
    <row r="4828" spans="11:17" x14ac:dyDescent="0.3">
      <c r="K4828">
        <v>2017</v>
      </c>
      <c r="L4828" t="s">
        <v>42</v>
      </c>
      <c r="M4828" t="s">
        <v>113</v>
      </c>
      <c r="N4828" t="s">
        <v>28</v>
      </c>
      <c r="O4828" t="s">
        <v>192</v>
      </c>
      <c r="P4828" s="1" t="s">
        <v>33</v>
      </c>
      <c r="Q4828">
        <v>124.5</v>
      </c>
    </row>
    <row r="4829" spans="11:17" x14ac:dyDescent="0.3">
      <c r="K4829">
        <v>2017</v>
      </c>
      <c r="L4829" t="s">
        <v>42</v>
      </c>
      <c r="M4829" t="s">
        <v>113</v>
      </c>
      <c r="N4829" t="s">
        <v>13</v>
      </c>
      <c r="O4829" t="s">
        <v>188</v>
      </c>
      <c r="P4829" s="1" t="s">
        <v>30</v>
      </c>
      <c r="Q4829">
        <v>131.69999999999999</v>
      </c>
    </row>
    <row r="4830" spans="11:17" x14ac:dyDescent="0.3">
      <c r="K4830">
        <v>2017</v>
      </c>
      <c r="L4830" t="s">
        <v>42</v>
      </c>
      <c r="M4830" t="s">
        <v>113</v>
      </c>
      <c r="N4830" t="s">
        <v>13</v>
      </c>
      <c r="O4830" t="s">
        <v>188</v>
      </c>
      <c r="P4830" s="1" t="s">
        <v>34</v>
      </c>
      <c r="Q4830">
        <v>128.80000000000001</v>
      </c>
    </row>
    <row r="4831" spans="11:17" x14ac:dyDescent="0.3">
      <c r="K4831">
        <v>2017</v>
      </c>
      <c r="L4831" t="s">
        <v>42</v>
      </c>
      <c r="M4831" t="s">
        <v>113</v>
      </c>
      <c r="N4831" t="s">
        <v>13</v>
      </c>
      <c r="O4831" t="s">
        <v>188</v>
      </c>
      <c r="P4831" s="1" t="s">
        <v>33</v>
      </c>
      <c r="Q4831">
        <v>124.8</v>
      </c>
    </row>
    <row r="4832" spans="11:17" x14ac:dyDescent="0.3">
      <c r="K4832">
        <v>2017</v>
      </c>
      <c r="L4832" t="s">
        <v>42</v>
      </c>
      <c r="M4832" t="s">
        <v>113</v>
      </c>
      <c r="N4832" t="s">
        <v>7</v>
      </c>
      <c r="O4832" t="s">
        <v>188</v>
      </c>
      <c r="P4832" s="1" t="s">
        <v>30</v>
      </c>
      <c r="Q4832">
        <v>120.7</v>
      </c>
    </row>
    <row r="4833" spans="11:17" x14ac:dyDescent="0.3">
      <c r="K4833">
        <v>2017</v>
      </c>
      <c r="L4833" t="s">
        <v>42</v>
      </c>
      <c r="M4833" t="s">
        <v>113</v>
      </c>
      <c r="N4833" t="s">
        <v>7</v>
      </c>
      <c r="O4833" t="s">
        <v>188</v>
      </c>
      <c r="P4833" s="1" t="s">
        <v>34</v>
      </c>
      <c r="Q4833">
        <v>118.4</v>
      </c>
    </row>
    <row r="4834" spans="11:17" x14ac:dyDescent="0.3">
      <c r="K4834">
        <v>2017</v>
      </c>
      <c r="L4834" t="s">
        <v>42</v>
      </c>
      <c r="M4834" t="s">
        <v>113</v>
      </c>
      <c r="N4834" t="s">
        <v>7</v>
      </c>
      <c r="O4834" t="s">
        <v>188</v>
      </c>
      <c r="P4834" s="1" t="s">
        <v>33</v>
      </c>
      <c r="Q4834">
        <v>114.5</v>
      </c>
    </row>
    <row r="4835" spans="11:17" x14ac:dyDescent="0.3">
      <c r="K4835">
        <v>2017</v>
      </c>
      <c r="L4835" t="s">
        <v>42</v>
      </c>
      <c r="M4835" t="s">
        <v>113</v>
      </c>
      <c r="N4835" t="s">
        <v>16</v>
      </c>
      <c r="O4835" t="s">
        <v>192</v>
      </c>
      <c r="P4835" s="1" t="s">
        <v>30</v>
      </c>
      <c r="Q4835">
        <v>149.80000000000001</v>
      </c>
    </row>
    <row r="4836" spans="11:17" x14ac:dyDescent="0.3">
      <c r="K4836">
        <v>2017</v>
      </c>
      <c r="L4836" t="s">
        <v>42</v>
      </c>
      <c r="M4836" t="s">
        <v>113</v>
      </c>
      <c r="N4836" t="s">
        <v>16</v>
      </c>
      <c r="O4836" t="s">
        <v>192</v>
      </c>
      <c r="P4836" s="1" t="s">
        <v>34</v>
      </c>
      <c r="Q4836">
        <v>150.80000000000001</v>
      </c>
    </row>
    <row r="4837" spans="11:17" x14ac:dyDescent="0.3">
      <c r="K4837">
        <v>2017</v>
      </c>
      <c r="L4837" t="s">
        <v>42</v>
      </c>
      <c r="M4837" t="s">
        <v>113</v>
      </c>
      <c r="N4837" t="s">
        <v>16</v>
      </c>
      <c r="O4837" t="s">
        <v>192</v>
      </c>
      <c r="P4837" s="1" t="s">
        <v>33</v>
      </c>
      <c r="Q4837">
        <v>153.6</v>
      </c>
    </row>
    <row r="4838" spans="11:17" x14ac:dyDescent="0.3">
      <c r="K4838">
        <v>2017</v>
      </c>
      <c r="L4838" t="s">
        <v>42</v>
      </c>
      <c r="M4838" t="s">
        <v>113</v>
      </c>
      <c r="N4838" t="s">
        <v>27</v>
      </c>
      <c r="O4838" t="s">
        <v>192</v>
      </c>
      <c r="P4838" s="1" t="s">
        <v>30</v>
      </c>
      <c r="Q4838">
        <v>126.7</v>
      </c>
    </row>
    <row r="4839" spans="11:17" x14ac:dyDescent="0.3">
      <c r="K4839">
        <v>2017</v>
      </c>
      <c r="L4839" t="s">
        <v>42</v>
      </c>
      <c r="M4839" t="s">
        <v>113</v>
      </c>
      <c r="N4839" t="s">
        <v>27</v>
      </c>
      <c r="O4839" t="s">
        <v>192</v>
      </c>
      <c r="P4839" s="1" t="s">
        <v>34</v>
      </c>
      <c r="Q4839">
        <v>125.7</v>
      </c>
    </row>
    <row r="4840" spans="11:17" x14ac:dyDescent="0.3">
      <c r="K4840">
        <v>2017</v>
      </c>
      <c r="L4840" t="s">
        <v>42</v>
      </c>
      <c r="M4840" t="s">
        <v>113</v>
      </c>
      <c r="N4840" t="s">
        <v>27</v>
      </c>
      <c r="O4840" t="s">
        <v>192</v>
      </c>
      <c r="P4840" s="1" t="s">
        <v>33</v>
      </c>
      <c r="Q4840">
        <v>124.4</v>
      </c>
    </row>
    <row r="4841" spans="11:17" x14ac:dyDescent="0.3">
      <c r="K4841">
        <v>2017</v>
      </c>
      <c r="L4841" t="s">
        <v>42</v>
      </c>
      <c r="M4841" t="s">
        <v>113</v>
      </c>
      <c r="N4841" t="s">
        <v>14</v>
      </c>
      <c r="O4841" t="s">
        <v>188</v>
      </c>
      <c r="P4841" s="1" t="s">
        <v>30</v>
      </c>
      <c r="Q4841">
        <v>149.30000000000001</v>
      </c>
    </row>
    <row r="4842" spans="11:17" x14ac:dyDescent="0.3">
      <c r="K4842">
        <v>2017</v>
      </c>
      <c r="L4842" t="s">
        <v>42</v>
      </c>
      <c r="M4842" t="s">
        <v>113</v>
      </c>
      <c r="N4842" t="s">
        <v>14</v>
      </c>
      <c r="O4842" t="s">
        <v>188</v>
      </c>
      <c r="P4842" s="1" t="s">
        <v>34</v>
      </c>
      <c r="Q4842">
        <v>147.30000000000001</v>
      </c>
    </row>
    <row r="4843" spans="11:17" x14ac:dyDescent="0.3">
      <c r="K4843">
        <v>2017</v>
      </c>
      <c r="L4843" t="s">
        <v>42</v>
      </c>
      <c r="M4843" t="s">
        <v>113</v>
      </c>
      <c r="N4843" t="s">
        <v>14</v>
      </c>
      <c r="O4843" t="s">
        <v>188</v>
      </c>
      <c r="P4843" s="1" t="s">
        <v>33</v>
      </c>
      <c r="Q4843">
        <v>145</v>
      </c>
    </row>
    <row r="4844" spans="11:17" x14ac:dyDescent="0.3">
      <c r="K4844">
        <v>2017</v>
      </c>
      <c r="L4844" t="s">
        <v>42</v>
      </c>
      <c r="M4844" t="s">
        <v>113</v>
      </c>
      <c r="N4844" t="s">
        <v>10</v>
      </c>
      <c r="O4844" t="s">
        <v>188</v>
      </c>
      <c r="P4844" s="1" t="s">
        <v>30</v>
      </c>
      <c r="Q4844">
        <v>137.1</v>
      </c>
    </row>
    <row r="4845" spans="11:17" x14ac:dyDescent="0.3">
      <c r="K4845">
        <v>2017</v>
      </c>
      <c r="L4845" t="s">
        <v>42</v>
      </c>
      <c r="M4845" t="s">
        <v>113</v>
      </c>
      <c r="N4845" t="s">
        <v>10</v>
      </c>
      <c r="O4845" t="s">
        <v>188</v>
      </c>
      <c r="P4845" s="1" t="s">
        <v>34</v>
      </c>
      <c r="Q4845">
        <v>132.9</v>
      </c>
    </row>
    <row r="4846" spans="11:17" x14ac:dyDescent="0.3">
      <c r="K4846">
        <v>2017</v>
      </c>
      <c r="L4846" t="s">
        <v>42</v>
      </c>
      <c r="M4846" t="s">
        <v>113</v>
      </c>
      <c r="N4846" t="s">
        <v>10</v>
      </c>
      <c r="O4846" t="s">
        <v>188</v>
      </c>
      <c r="P4846" s="1" t="s">
        <v>33</v>
      </c>
      <c r="Q4846">
        <v>124.5</v>
      </c>
    </row>
    <row r="4847" spans="11:17" x14ac:dyDescent="0.3">
      <c r="K4847">
        <v>2017</v>
      </c>
      <c r="L4847" t="s">
        <v>42</v>
      </c>
      <c r="M4847" t="s">
        <v>113</v>
      </c>
      <c r="N4847" t="s">
        <v>25</v>
      </c>
      <c r="O4847" t="s">
        <v>195</v>
      </c>
      <c r="P4847" s="1" t="s">
        <v>30</v>
      </c>
      <c r="Q4847">
        <v>132.30000000000001</v>
      </c>
    </row>
    <row r="4848" spans="11:17" x14ac:dyDescent="0.3">
      <c r="K4848">
        <v>2017</v>
      </c>
      <c r="L4848" t="s">
        <v>42</v>
      </c>
      <c r="M4848" t="s">
        <v>113</v>
      </c>
      <c r="N4848" t="s">
        <v>25</v>
      </c>
      <c r="O4848" t="s">
        <v>195</v>
      </c>
      <c r="P4848" s="1" t="s">
        <v>34</v>
      </c>
      <c r="Q4848">
        <v>127.9</v>
      </c>
    </row>
    <row r="4849" spans="11:17" x14ac:dyDescent="0.3">
      <c r="K4849">
        <v>2017</v>
      </c>
      <c r="L4849" t="s">
        <v>42</v>
      </c>
      <c r="M4849" t="s">
        <v>113</v>
      </c>
      <c r="N4849" t="s">
        <v>25</v>
      </c>
      <c r="O4849" t="s">
        <v>195</v>
      </c>
      <c r="P4849" s="1" t="s">
        <v>33</v>
      </c>
      <c r="Q4849">
        <v>124.5</v>
      </c>
    </row>
    <row r="4850" spans="11:17" x14ac:dyDescent="0.3">
      <c r="K4850">
        <v>2017</v>
      </c>
      <c r="L4850" t="s">
        <v>42</v>
      </c>
      <c r="M4850" t="s">
        <v>113</v>
      </c>
      <c r="N4850" t="s">
        <v>12</v>
      </c>
      <c r="O4850" t="s">
        <v>188</v>
      </c>
      <c r="P4850" s="1" t="s">
        <v>30</v>
      </c>
      <c r="Q4850">
        <v>134.69999999999999</v>
      </c>
    </row>
    <row r="4851" spans="11:17" x14ac:dyDescent="0.3">
      <c r="K4851">
        <v>2017</v>
      </c>
      <c r="L4851" t="s">
        <v>42</v>
      </c>
      <c r="M4851" t="s">
        <v>113</v>
      </c>
      <c r="N4851" t="s">
        <v>12</v>
      </c>
      <c r="O4851" t="s">
        <v>188</v>
      </c>
      <c r="P4851" s="1" t="s">
        <v>34</v>
      </c>
      <c r="Q4851">
        <v>135.6</v>
      </c>
    </row>
    <row r="4852" spans="11:17" x14ac:dyDescent="0.3">
      <c r="K4852">
        <v>2017</v>
      </c>
      <c r="L4852" t="s">
        <v>42</v>
      </c>
      <c r="M4852" t="s">
        <v>113</v>
      </c>
      <c r="N4852" t="s">
        <v>12</v>
      </c>
      <c r="O4852" t="s">
        <v>188</v>
      </c>
      <c r="P4852" s="1" t="s">
        <v>33</v>
      </c>
      <c r="Q4852">
        <v>137.30000000000001</v>
      </c>
    </row>
    <row r="4853" spans="11:17" x14ac:dyDescent="0.3">
      <c r="K4853">
        <v>2017</v>
      </c>
      <c r="L4853" t="s">
        <v>42</v>
      </c>
      <c r="M4853" t="s">
        <v>113</v>
      </c>
      <c r="N4853" t="s">
        <v>11</v>
      </c>
      <c r="O4853" t="s">
        <v>188</v>
      </c>
      <c r="P4853" s="1" t="s">
        <v>30</v>
      </c>
      <c r="Q4853">
        <v>121</v>
      </c>
    </row>
    <row r="4854" spans="11:17" x14ac:dyDescent="0.3">
      <c r="K4854">
        <v>2017</v>
      </c>
      <c r="L4854" t="s">
        <v>42</v>
      </c>
      <c r="M4854" t="s">
        <v>113</v>
      </c>
      <c r="N4854" t="s">
        <v>11</v>
      </c>
      <c r="O4854" t="s">
        <v>188</v>
      </c>
      <c r="P4854" s="1" t="s">
        <v>34</v>
      </c>
      <c r="Q4854">
        <v>121.5</v>
      </c>
    </row>
    <row r="4855" spans="11:17" x14ac:dyDescent="0.3">
      <c r="K4855">
        <v>2017</v>
      </c>
      <c r="L4855" t="s">
        <v>42</v>
      </c>
      <c r="M4855" t="s">
        <v>113</v>
      </c>
      <c r="N4855" t="s">
        <v>11</v>
      </c>
      <c r="O4855" t="s">
        <v>188</v>
      </c>
      <c r="P4855" s="1" t="s">
        <v>33</v>
      </c>
      <c r="Q4855">
        <v>122.4</v>
      </c>
    </row>
    <row r="4856" spans="11:17" x14ac:dyDescent="0.3">
      <c r="K4856">
        <v>2017</v>
      </c>
      <c r="L4856" t="s">
        <v>42</v>
      </c>
      <c r="M4856" t="s">
        <v>113</v>
      </c>
      <c r="N4856" t="s">
        <v>24</v>
      </c>
      <c r="O4856" t="s">
        <v>191</v>
      </c>
      <c r="P4856" s="1" t="s">
        <v>30</v>
      </c>
      <c r="Q4856">
        <v>121.2</v>
      </c>
    </row>
    <row r="4857" spans="11:17" x14ac:dyDescent="0.3">
      <c r="K4857">
        <v>2017</v>
      </c>
      <c r="L4857" t="s">
        <v>42</v>
      </c>
      <c r="M4857" t="s">
        <v>113</v>
      </c>
      <c r="N4857" t="s">
        <v>24</v>
      </c>
      <c r="O4857" t="s">
        <v>191</v>
      </c>
      <c r="P4857" s="1" t="s">
        <v>34</v>
      </c>
      <c r="Q4857">
        <v>118.3</v>
      </c>
    </row>
    <row r="4858" spans="11:17" x14ac:dyDescent="0.3">
      <c r="K4858">
        <v>2017</v>
      </c>
      <c r="L4858" t="s">
        <v>42</v>
      </c>
      <c r="M4858" t="s">
        <v>113</v>
      </c>
      <c r="N4858" t="s">
        <v>24</v>
      </c>
      <c r="O4858" t="s">
        <v>191</v>
      </c>
      <c r="P4858" s="1" t="s">
        <v>33</v>
      </c>
      <c r="Q4858">
        <v>115.7</v>
      </c>
    </row>
    <row r="4859" spans="11:17" x14ac:dyDescent="0.3">
      <c r="K4859">
        <v>2017</v>
      </c>
      <c r="L4859" t="s">
        <v>42</v>
      </c>
      <c r="M4859" t="s">
        <v>113</v>
      </c>
      <c r="N4859" t="s">
        <v>9</v>
      </c>
      <c r="O4859" t="s">
        <v>188</v>
      </c>
      <c r="P4859" s="1" t="s">
        <v>30</v>
      </c>
      <c r="Q4859">
        <v>154.5</v>
      </c>
    </row>
    <row r="4860" spans="11:17" x14ac:dyDescent="0.3">
      <c r="K4860">
        <v>2017</v>
      </c>
      <c r="L4860" t="s">
        <v>42</v>
      </c>
      <c r="M4860" t="s">
        <v>113</v>
      </c>
      <c r="N4860" t="s">
        <v>9</v>
      </c>
      <c r="O4860" t="s">
        <v>188</v>
      </c>
      <c r="P4860" s="1" t="s">
        <v>34</v>
      </c>
      <c r="Q4860">
        <v>156.6</v>
      </c>
    </row>
    <row r="4861" spans="11:17" x14ac:dyDescent="0.3">
      <c r="K4861">
        <v>2017</v>
      </c>
      <c r="L4861" t="s">
        <v>42</v>
      </c>
      <c r="M4861" t="s">
        <v>113</v>
      </c>
      <c r="N4861" t="s">
        <v>9</v>
      </c>
      <c r="O4861" t="s">
        <v>188</v>
      </c>
      <c r="P4861" s="1" t="s">
        <v>33</v>
      </c>
      <c r="Q4861">
        <v>160.69999999999999</v>
      </c>
    </row>
    <row r="4862" spans="11:17" x14ac:dyDescent="0.3">
      <c r="K4862">
        <v>2018</v>
      </c>
      <c r="L4862" t="s">
        <v>37</v>
      </c>
      <c r="M4862" t="s">
        <v>114</v>
      </c>
      <c r="N4862" t="s">
        <v>3</v>
      </c>
      <c r="O4862" t="s">
        <v>188</v>
      </c>
      <c r="P4862" s="1" t="s">
        <v>30</v>
      </c>
      <c r="Q4862">
        <v>137.1</v>
      </c>
    </row>
    <row r="4863" spans="11:17" x14ac:dyDescent="0.3">
      <c r="K4863">
        <v>2018</v>
      </c>
      <c r="L4863" t="s">
        <v>37</v>
      </c>
      <c r="M4863" t="s">
        <v>114</v>
      </c>
      <c r="N4863" t="s">
        <v>3</v>
      </c>
      <c r="O4863" t="s">
        <v>188</v>
      </c>
      <c r="P4863" s="1" t="s">
        <v>34</v>
      </c>
      <c r="Q4863">
        <v>136.4</v>
      </c>
    </row>
    <row r="4864" spans="11:17" x14ac:dyDescent="0.3">
      <c r="K4864">
        <v>2018</v>
      </c>
      <c r="L4864" t="s">
        <v>37</v>
      </c>
      <c r="M4864" t="s">
        <v>114</v>
      </c>
      <c r="N4864" t="s">
        <v>3</v>
      </c>
      <c r="O4864" t="s">
        <v>188</v>
      </c>
      <c r="P4864" s="1" t="s">
        <v>33</v>
      </c>
      <c r="Q4864">
        <v>135</v>
      </c>
    </row>
    <row r="4865" spans="11:17" x14ac:dyDescent="0.3">
      <c r="K4865">
        <v>2018</v>
      </c>
      <c r="L4865" t="s">
        <v>37</v>
      </c>
      <c r="M4865" t="s">
        <v>114</v>
      </c>
      <c r="N4865" t="s">
        <v>17</v>
      </c>
      <c r="O4865" t="s">
        <v>189</v>
      </c>
      <c r="P4865" s="1" t="s">
        <v>30</v>
      </c>
      <c r="Q4865">
        <v>150.1</v>
      </c>
    </row>
    <row r="4866" spans="11:17" x14ac:dyDescent="0.3">
      <c r="K4866">
        <v>2018</v>
      </c>
      <c r="L4866" t="s">
        <v>37</v>
      </c>
      <c r="M4866" t="s">
        <v>114</v>
      </c>
      <c r="N4866" t="s">
        <v>17</v>
      </c>
      <c r="O4866" t="s">
        <v>189</v>
      </c>
      <c r="P4866" s="1" t="s">
        <v>34</v>
      </c>
      <c r="Q4866">
        <v>145.30000000000001</v>
      </c>
    </row>
    <row r="4867" spans="11:17" x14ac:dyDescent="0.3">
      <c r="K4867">
        <v>2018</v>
      </c>
      <c r="L4867" t="s">
        <v>37</v>
      </c>
      <c r="M4867" t="s">
        <v>114</v>
      </c>
      <c r="N4867" t="s">
        <v>17</v>
      </c>
      <c r="O4867" t="s">
        <v>189</v>
      </c>
      <c r="P4867" s="1" t="s">
        <v>33</v>
      </c>
      <c r="Q4867">
        <v>137.80000000000001</v>
      </c>
    </row>
    <row r="4868" spans="11:17" x14ac:dyDescent="0.3">
      <c r="K4868">
        <v>2018</v>
      </c>
      <c r="L4868" t="s">
        <v>37</v>
      </c>
      <c r="M4868" t="s">
        <v>114</v>
      </c>
      <c r="N4868" t="s">
        <v>19</v>
      </c>
      <c r="O4868" t="s">
        <v>189</v>
      </c>
      <c r="P4868" s="1" t="s">
        <v>30</v>
      </c>
      <c r="Q4868">
        <v>149.1</v>
      </c>
    </row>
    <row r="4869" spans="11:17" x14ac:dyDescent="0.3">
      <c r="K4869">
        <v>2018</v>
      </c>
      <c r="L4869" t="s">
        <v>37</v>
      </c>
      <c r="M4869" t="s">
        <v>114</v>
      </c>
      <c r="N4869" t="s">
        <v>19</v>
      </c>
      <c r="O4869" t="s">
        <v>189</v>
      </c>
      <c r="P4869" s="1" t="s">
        <v>34</v>
      </c>
      <c r="Q4869">
        <v>144</v>
      </c>
    </row>
    <row r="4870" spans="11:17" x14ac:dyDescent="0.3">
      <c r="K4870">
        <v>2018</v>
      </c>
      <c r="L4870" t="s">
        <v>37</v>
      </c>
      <c r="M4870" t="s">
        <v>114</v>
      </c>
      <c r="N4870" t="s">
        <v>19</v>
      </c>
      <c r="O4870" t="s">
        <v>189</v>
      </c>
      <c r="P4870" s="1" t="s">
        <v>33</v>
      </c>
      <c r="Q4870">
        <v>136.19999999999999</v>
      </c>
    </row>
    <row r="4871" spans="11:17" x14ac:dyDescent="0.3">
      <c r="K4871">
        <v>2018</v>
      </c>
      <c r="L4871" t="s">
        <v>37</v>
      </c>
      <c r="M4871" t="s">
        <v>114</v>
      </c>
      <c r="N4871" t="s">
        <v>26</v>
      </c>
      <c r="O4871" t="s">
        <v>26</v>
      </c>
      <c r="P4871" s="1" t="s">
        <v>30</v>
      </c>
      <c r="Q4871">
        <v>143.69999999999999</v>
      </c>
    </row>
    <row r="4872" spans="11:17" x14ac:dyDescent="0.3">
      <c r="K4872">
        <v>2018</v>
      </c>
      <c r="L4872" t="s">
        <v>37</v>
      </c>
      <c r="M4872" t="s">
        <v>114</v>
      </c>
      <c r="N4872" t="s">
        <v>26</v>
      </c>
      <c r="O4872" t="s">
        <v>26</v>
      </c>
      <c r="P4872" s="1" t="s">
        <v>34</v>
      </c>
      <c r="Q4872">
        <v>141.4</v>
      </c>
    </row>
    <row r="4873" spans="11:17" x14ac:dyDescent="0.3">
      <c r="K4873">
        <v>2018</v>
      </c>
      <c r="L4873" t="s">
        <v>37</v>
      </c>
      <c r="M4873" t="s">
        <v>114</v>
      </c>
      <c r="N4873" t="s">
        <v>26</v>
      </c>
      <c r="O4873" t="s">
        <v>26</v>
      </c>
      <c r="P4873" s="1" t="s">
        <v>33</v>
      </c>
      <c r="Q4873">
        <v>139.69999999999999</v>
      </c>
    </row>
    <row r="4874" spans="11:17" x14ac:dyDescent="0.3">
      <c r="K4874">
        <v>2018</v>
      </c>
      <c r="L4874" t="s">
        <v>37</v>
      </c>
      <c r="M4874" t="s">
        <v>114</v>
      </c>
      <c r="N4874" t="s">
        <v>5</v>
      </c>
      <c r="O4874" t="s">
        <v>188</v>
      </c>
      <c r="P4874" s="1" t="s">
        <v>30</v>
      </c>
      <c r="Q4874">
        <v>135.9</v>
      </c>
    </row>
    <row r="4875" spans="11:17" x14ac:dyDescent="0.3">
      <c r="K4875">
        <v>2018</v>
      </c>
      <c r="L4875" t="s">
        <v>37</v>
      </c>
      <c r="M4875" t="s">
        <v>114</v>
      </c>
      <c r="N4875" t="s">
        <v>5</v>
      </c>
      <c r="O4875" t="s">
        <v>188</v>
      </c>
      <c r="P4875" s="1" t="s">
        <v>34</v>
      </c>
      <c r="Q4875">
        <v>133.9</v>
      </c>
    </row>
    <row r="4876" spans="11:17" x14ac:dyDescent="0.3">
      <c r="K4876">
        <v>2018</v>
      </c>
      <c r="L4876" t="s">
        <v>37</v>
      </c>
      <c r="M4876" t="s">
        <v>114</v>
      </c>
      <c r="N4876" t="s">
        <v>5</v>
      </c>
      <c r="O4876" t="s">
        <v>188</v>
      </c>
      <c r="P4876" s="1" t="s">
        <v>33</v>
      </c>
      <c r="Q4876">
        <v>130.80000000000001</v>
      </c>
    </row>
    <row r="4877" spans="11:17" x14ac:dyDescent="0.3">
      <c r="K4877">
        <v>2018</v>
      </c>
      <c r="L4877" t="s">
        <v>37</v>
      </c>
      <c r="M4877" t="s">
        <v>114</v>
      </c>
      <c r="N4877" t="s">
        <v>15</v>
      </c>
      <c r="O4877" t="s">
        <v>188</v>
      </c>
      <c r="P4877" s="1" t="s">
        <v>30</v>
      </c>
      <c r="Q4877">
        <v>138.6</v>
      </c>
    </row>
    <row r="4878" spans="11:17" x14ac:dyDescent="0.3">
      <c r="K4878">
        <v>2018</v>
      </c>
      <c r="L4878" t="s">
        <v>37</v>
      </c>
      <c r="M4878" t="s">
        <v>114</v>
      </c>
      <c r="N4878" t="s">
        <v>15</v>
      </c>
      <c r="O4878" t="s">
        <v>188</v>
      </c>
      <c r="P4878" s="1" t="s">
        <v>34</v>
      </c>
      <c r="Q4878">
        <v>137.5</v>
      </c>
    </row>
    <row r="4879" spans="11:17" x14ac:dyDescent="0.3">
      <c r="K4879">
        <v>2018</v>
      </c>
      <c r="L4879" t="s">
        <v>37</v>
      </c>
      <c r="M4879" t="s">
        <v>114</v>
      </c>
      <c r="N4879" t="s">
        <v>15</v>
      </c>
      <c r="O4879" t="s">
        <v>188</v>
      </c>
      <c r="P4879" s="1" t="s">
        <v>33</v>
      </c>
      <c r="Q4879">
        <v>135.69999999999999</v>
      </c>
    </row>
    <row r="4880" spans="11:17" x14ac:dyDescent="0.3">
      <c r="K4880">
        <v>2018</v>
      </c>
      <c r="L4880" t="s">
        <v>37</v>
      </c>
      <c r="M4880" t="s">
        <v>114</v>
      </c>
      <c r="N4880" t="s">
        <v>18</v>
      </c>
      <c r="O4880" t="s">
        <v>189</v>
      </c>
      <c r="P4880" s="1" t="s">
        <v>30</v>
      </c>
      <c r="Q4880">
        <v>143.30000000000001</v>
      </c>
    </row>
    <row r="4881" spans="11:17" x14ac:dyDescent="0.3">
      <c r="K4881">
        <v>2018</v>
      </c>
      <c r="L4881" t="s">
        <v>37</v>
      </c>
      <c r="M4881" t="s">
        <v>114</v>
      </c>
      <c r="N4881" t="s">
        <v>18</v>
      </c>
      <c r="O4881" t="s">
        <v>189</v>
      </c>
      <c r="P4881" s="1" t="s">
        <v>34</v>
      </c>
      <c r="Q4881">
        <v>136.69999999999999</v>
      </c>
    </row>
    <row r="4882" spans="11:17" x14ac:dyDescent="0.3">
      <c r="K4882">
        <v>2018</v>
      </c>
      <c r="L4882" t="s">
        <v>37</v>
      </c>
      <c r="M4882" t="s">
        <v>114</v>
      </c>
      <c r="N4882" t="s">
        <v>18</v>
      </c>
      <c r="O4882" t="s">
        <v>189</v>
      </c>
      <c r="P4882" s="1" t="s">
        <v>33</v>
      </c>
      <c r="Q4882">
        <v>127.4</v>
      </c>
    </row>
    <row r="4883" spans="11:17" x14ac:dyDescent="0.3">
      <c r="K4883">
        <v>2018</v>
      </c>
      <c r="L4883" t="s">
        <v>37</v>
      </c>
      <c r="M4883" t="s">
        <v>114</v>
      </c>
      <c r="N4883" t="s">
        <v>8</v>
      </c>
      <c r="O4883" t="s">
        <v>188</v>
      </c>
      <c r="P4883" s="1" t="s">
        <v>30</v>
      </c>
      <c r="Q4883">
        <v>156.4</v>
      </c>
    </row>
    <row r="4884" spans="11:17" x14ac:dyDescent="0.3">
      <c r="K4884">
        <v>2018</v>
      </c>
      <c r="L4884" t="s">
        <v>37</v>
      </c>
      <c r="M4884" t="s">
        <v>114</v>
      </c>
      <c r="N4884" t="s">
        <v>8</v>
      </c>
      <c r="O4884" t="s">
        <v>188</v>
      </c>
      <c r="P4884" s="1" t="s">
        <v>34</v>
      </c>
      <c r="Q4884">
        <v>153.5</v>
      </c>
    </row>
    <row r="4885" spans="11:17" x14ac:dyDescent="0.3">
      <c r="K4885">
        <v>2018</v>
      </c>
      <c r="L4885" t="s">
        <v>37</v>
      </c>
      <c r="M4885" t="s">
        <v>114</v>
      </c>
      <c r="N4885" t="s">
        <v>8</v>
      </c>
      <c r="O4885" t="s">
        <v>188</v>
      </c>
      <c r="P4885" s="1" t="s">
        <v>33</v>
      </c>
      <c r="Q4885">
        <v>150.1</v>
      </c>
    </row>
    <row r="4886" spans="11:17" x14ac:dyDescent="0.3">
      <c r="K4886">
        <v>2018</v>
      </c>
      <c r="L4886" t="s">
        <v>37</v>
      </c>
      <c r="M4886" t="s">
        <v>114</v>
      </c>
      <c r="N4886" t="s">
        <v>21</v>
      </c>
      <c r="O4886" t="s">
        <v>190</v>
      </c>
      <c r="P4886" s="1" t="s">
        <v>30</v>
      </c>
      <c r="Q4886">
        <v>143.80000000000001</v>
      </c>
    </row>
    <row r="4887" spans="11:17" x14ac:dyDescent="0.3">
      <c r="K4887">
        <v>2018</v>
      </c>
      <c r="L4887" t="s">
        <v>37</v>
      </c>
      <c r="M4887" t="s">
        <v>114</v>
      </c>
      <c r="N4887" t="s">
        <v>21</v>
      </c>
      <c r="O4887" t="s">
        <v>190</v>
      </c>
      <c r="P4887" s="1" t="s">
        <v>34</v>
      </c>
      <c r="Q4887">
        <v>136.5</v>
      </c>
    </row>
    <row r="4888" spans="11:17" x14ac:dyDescent="0.3">
      <c r="K4888">
        <v>2018</v>
      </c>
      <c r="L4888" t="s">
        <v>37</v>
      </c>
      <c r="M4888" t="s">
        <v>114</v>
      </c>
      <c r="N4888" t="s">
        <v>21</v>
      </c>
      <c r="O4888" t="s">
        <v>190</v>
      </c>
      <c r="P4888" s="1" t="s">
        <v>33</v>
      </c>
      <c r="Q4888">
        <v>124.6</v>
      </c>
    </row>
    <row r="4889" spans="11:17" x14ac:dyDescent="0.3">
      <c r="K4889">
        <v>2018</v>
      </c>
      <c r="L4889" t="s">
        <v>37</v>
      </c>
      <c r="M4889" t="s">
        <v>114</v>
      </c>
      <c r="N4889" t="s">
        <v>29</v>
      </c>
      <c r="O4889" t="s">
        <v>206</v>
      </c>
      <c r="P4889" s="1" t="s">
        <v>30</v>
      </c>
      <c r="Q4889">
        <v>139.1</v>
      </c>
    </row>
    <row r="4890" spans="11:17" x14ac:dyDescent="0.3">
      <c r="K4890">
        <v>2018</v>
      </c>
      <c r="L4890" t="s">
        <v>37</v>
      </c>
      <c r="M4890" t="s">
        <v>114</v>
      </c>
      <c r="N4890" t="s">
        <v>29</v>
      </c>
      <c r="O4890" t="s">
        <v>206</v>
      </c>
      <c r="P4890" s="1" t="s">
        <v>34</v>
      </c>
      <c r="Q4890">
        <v>137.1</v>
      </c>
    </row>
    <row r="4891" spans="11:17" x14ac:dyDescent="0.3">
      <c r="K4891">
        <v>2018</v>
      </c>
      <c r="L4891" t="s">
        <v>37</v>
      </c>
      <c r="M4891" t="s">
        <v>114</v>
      </c>
      <c r="N4891" t="s">
        <v>29</v>
      </c>
      <c r="O4891" t="s">
        <v>206</v>
      </c>
      <c r="P4891" s="1" t="s">
        <v>33</v>
      </c>
      <c r="Q4891">
        <v>134.80000000000001</v>
      </c>
    </row>
    <row r="4892" spans="11:17" x14ac:dyDescent="0.3">
      <c r="K4892">
        <v>2018</v>
      </c>
      <c r="L4892" t="s">
        <v>37</v>
      </c>
      <c r="M4892" t="s">
        <v>114</v>
      </c>
      <c r="N4892" t="s">
        <v>23</v>
      </c>
      <c r="O4892" t="s">
        <v>23</v>
      </c>
      <c r="P4892" s="1" t="s">
        <v>30</v>
      </c>
      <c r="Q4892">
        <v>137.6</v>
      </c>
    </row>
    <row r="4893" spans="11:17" x14ac:dyDescent="0.3">
      <c r="K4893">
        <v>2018</v>
      </c>
      <c r="L4893" t="s">
        <v>37</v>
      </c>
      <c r="M4893" t="s">
        <v>114</v>
      </c>
      <c r="N4893" t="s">
        <v>23</v>
      </c>
      <c r="O4893" t="s">
        <v>23</v>
      </c>
      <c r="P4893" s="1" t="s">
        <v>34</v>
      </c>
      <c r="Q4893">
        <v>135.19999999999999</v>
      </c>
    </row>
    <row r="4894" spans="11:17" x14ac:dyDescent="0.3">
      <c r="K4894">
        <v>2018</v>
      </c>
      <c r="L4894" t="s">
        <v>37</v>
      </c>
      <c r="M4894" t="s">
        <v>114</v>
      </c>
      <c r="N4894" t="s">
        <v>23</v>
      </c>
      <c r="O4894" t="s">
        <v>23</v>
      </c>
      <c r="P4894" s="1" t="s">
        <v>33</v>
      </c>
      <c r="Q4894">
        <v>131.30000000000001</v>
      </c>
    </row>
    <row r="4895" spans="11:17" x14ac:dyDescent="0.3">
      <c r="K4895">
        <v>2018</v>
      </c>
      <c r="L4895" t="s">
        <v>37</v>
      </c>
      <c r="M4895" t="s">
        <v>114</v>
      </c>
      <c r="N4895" t="s">
        <v>22</v>
      </c>
      <c r="O4895" t="s">
        <v>20</v>
      </c>
      <c r="P4895" s="1" t="s">
        <v>30</v>
      </c>
      <c r="Q4895">
        <v>140.9</v>
      </c>
    </row>
    <row r="4896" spans="11:17" x14ac:dyDescent="0.3">
      <c r="K4896">
        <v>2018</v>
      </c>
      <c r="L4896" t="s">
        <v>37</v>
      </c>
      <c r="M4896" t="s">
        <v>114</v>
      </c>
      <c r="N4896" t="s">
        <v>22</v>
      </c>
      <c r="O4896" t="s">
        <v>20</v>
      </c>
      <c r="P4896" s="1" t="s">
        <v>34</v>
      </c>
      <c r="Q4896">
        <v>136.6</v>
      </c>
    </row>
    <row r="4897" spans="11:17" x14ac:dyDescent="0.3">
      <c r="K4897">
        <v>2018</v>
      </c>
      <c r="L4897" t="s">
        <v>37</v>
      </c>
      <c r="M4897" t="s">
        <v>114</v>
      </c>
      <c r="N4897" t="s">
        <v>22</v>
      </c>
      <c r="O4897" t="s">
        <v>20</v>
      </c>
      <c r="P4897" s="1" t="s">
        <v>33</v>
      </c>
      <c r="Q4897">
        <v>131.80000000000001</v>
      </c>
    </row>
    <row r="4898" spans="11:17" x14ac:dyDescent="0.3">
      <c r="K4898">
        <v>2018</v>
      </c>
      <c r="L4898" t="s">
        <v>37</v>
      </c>
      <c r="M4898" t="s">
        <v>114</v>
      </c>
      <c r="N4898" t="s">
        <v>20</v>
      </c>
      <c r="O4898" t="s">
        <v>20</v>
      </c>
      <c r="P4898" s="1" t="s">
        <v>30</v>
      </c>
      <c r="Q4898">
        <v>0</v>
      </c>
    </row>
    <row r="4899" spans="11:17" x14ac:dyDescent="0.3">
      <c r="K4899">
        <v>2018</v>
      </c>
      <c r="L4899" t="s">
        <v>37</v>
      </c>
      <c r="M4899" t="s">
        <v>114</v>
      </c>
      <c r="N4899" t="s">
        <v>20</v>
      </c>
      <c r="O4899" t="s">
        <v>20</v>
      </c>
      <c r="P4899" s="1" t="s">
        <v>34</v>
      </c>
      <c r="Q4899">
        <v>142.9</v>
      </c>
    </row>
    <row r="4900" spans="11:17" x14ac:dyDescent="0.3">
      <c r="K4900">
        <v>2018</v>
      </c>
      <c r="L4900" t="s">
        <v>37</v>
      </c>
      <c r="M4900" t="s">
        <v>114</v>
      </c>
      <c r="N4900" t="s">
        <v>20</v>
      </c>
      <c r="O4900" t="s">
        <v>20</v>
      </c>
      <c r="P4900" s="1" t="s">
        <v>33</v>
      </c>
      <c r="Q4900">
        <v>142.9</v>
      </c>
    </row>
    <row r="4901" spans="11:17" x14ac:dyDescent="0.3">
      <c r="K4901">
        <v>2018</v>
      </c>
      <c r="L4901" t="s">
        <v>37</v>
      </c>
      <c r="M4901" t="s">
        <v>114</v>
      </c>
      <c r="N4901" t="s">
        <v>4</v>
      </c>
      <c r="O4901" t="s">
        <v>188</v>
      </c>
      <c r="P4901" s="1" t="s">
        <v>30</v>
      </c>
      <c r="Q4901">
        <v>144.5</v>
      </c>
    </row>
    <row r="4902" spans="11:17" x14ac:dyDescent="0.3">
      <c r="K4902">
        <v>2018</v>
      </c>
      <c r="L4902" t="s">
        <v>37</v>
      </c>
      <c r="M4902" t="s">
        <v>114</v>
      </c>
      <c r="N4902" t="s">
        <v>4</v>
      </c>
      <c r="O4902" t="s">
        <v>188</v>
      </c>
      <c r="P4902" s="1" t="s">
        <v>34</v>
      </c>
      <c r="Q4902">
        <v>144.4</v>
      </c>
    </row>
    <row r="4903" spans="11:17" x14ac:dyDescent="0.3">
      <c r="K4903">
        <v>2018</v>
      </c>
      <c r="L4903" t="s">
        <v>37</v>
      </c>
      <c r="M4903" t="s">
        <v>114</v>
      </c>
      <c r="N4903" t="s">
        <v>4</v>
      </c>
      <c r="O4903" t="s">
        <v>188</v>
      </c>
      <c r="P4903" s="1" t="s">
        <v>33</v>
      </c>
      <c r="Q4903">
        <v>144.30000000000001</v>
      </c>
    </row>
    <row r="4904" spans="11:17" x14ac:dyDescent="0.3">
      <c r="K4904">
        <v>2018</v>
      </c>
      <c r="L4904" t="s">
        <v>37</v>
      </c>
      <c r="M4904" t="s">
        <v>114</v>
      </c>
      <c r="N4904" t="s">
        <v>6</v>
      </c>
      <c r="O4904" t="s">
        <v>188</v>
      </c>
      <c r="P4904" s="1" t="s">
        <v>30</v>
      </c>
      <c r="Q4904">
        <v>142.4</v>
      </c>
    </row>
    <row r="4905" spans="11:17" x14ac:dyDescent="0.3">
      <c r="K4905">
        <v>2018</v>
      </c>
      <c r="L4905" t="s">
        <v>37</v>
      </c>
      <c r="M4905" t="s">
        <v>114</v>
      </c>
      <c r="N4905" t="s">
        <v>6</v>
      </c>
      <c r="O4905" t="s">
        <v>188</v>
      </c>
      <c r="P4905" s="1" t="s">
        <v>34</v>
      </c>
      <c r="Q4905">
        <v>141.6</v>
      </c>
    </row>
    <row r="4906" spans="11:17" x14ac:dyDescent="0.3">
      <c r="K4906">
        <v>2018</v>
      </c>
      <c r="L4906" t="s">
        <v>37</v>
      </c>
      <c r="M4906" t="s">
        <v>114</v>
      </c>
      <c r="N4906" t="s">
        <v>6</v>
      </c>
      <c r="O4906" t="s">
        <v>188</v>
      </c>
      <c r="P4906" s="1" t="s">
        <v>33</v>
      </c>
      <c r="Q4906">
        <v>140.30000000000001</v>
      </c>
    </row>
    <row r="4907" spans="11:17" x14ac:dyDescent="0.3">
      <c r="K4907">
        <v>2018</v>
      </c>
      <c r="L4907" t="s">
        <v>37</v>
      </c>
      <c r="M4907" t="s">
        <v>114</v>
      </c>
      <c r="N4907" t="s">
        <v>28</v>
      </c>
      <c r="O4907" t="s">
        <v>192</v>
      </c>
      <c r="P4907" s="1" t="s">
        <v>30</v>
      </c>
      <c r="Q4907">
        <v>134.19999999999999</v>
      </c>
    </row>
    <row r="4908" spans="11:17" x14ac:dyDescent="0.3">
      <c r="K4908">
        <v>2018</v>
      </c>
      <c r="L4908" t="s">
        <v>37</v>
      </c>
      <c r="M4908" t="s">
        <v>114</v>
      </c>
      <c r="N4908" t="s">
        <v>28</v>
      </c>
      <c r="O4908" t="s">
        <v>192</v>
      </c>
      <c r="P4908" s="1" t="s">
        <v>34</v>
      </c>
      <c r="Q4908">
        <v>131.30000000000001</v>
      </c>
    </row>
    <row r="4909" spans="11:17" x14ac:dyDescent="0.3">
      <c r="K4909">
        <v>2018</v>
      </c>
      <c r="L4909" t="s">
        <v>37</v>
      </c>
      <c r="M4909" t="s">
        <v>114</v>
      </c>
      <c r="N4909" t="s">
        <v>28</v>
      </c>
      <c r="O4909" t="s">
        <v>192</v>
      </c>
      <c r="P4909" s="1" t="s">
        <v>33</v>
      </c>
      <c r="Q4909">
        <v>128.19999999999999</v>
      </c>
    </row>
    <row r="4910" spans="11:17" x14ac:dyDescent="0.3">
      <c r="K4910">
        <v>2018</v>
      </c>
      <c r="L4910" t="s">
        <v>37</v>
      </c>
      <c r="M4910" t="s">
        <v>114</v>
      </c>
      <c r="N4910" t="s">
        <v>13</v>
      </c>
      <c r="O4910" t="s">
        <v>188</v>
      </c>
      <c r="P4910" s="1" t="s">
        <v>30</v>
      </c>
      <c r="Q4910">
        <v>131.9</v>
      </c>
    </row>
    <row r="4911" spans="11:17" x14ac:dyDescent="0.3">
      <c r="K4911">
        <v>2018</v>
      </c>
      <c r="L4911" t="s">
        <v>37</v>
      </c>
      <c r="M4911" t="s">
        <v>114</v>
      </c>
      <c r="N4911" t="s">
        <v>13</v>
      </c>
      <c r="O4911" t="s">
        <v>188</v>
      </c>
      <c r="P4911" s="1" t="s">
        <v>34</v>
      </c>
      <c r="Q4911">
        <v>129.6</v>
      </c>
    </row>
    <row r="4912" spans="11:17" x14ac:dyDescent="0.3">
      <c r="K4912">
        <v>2018</v>
      </c>
      <c r="L4912" t="s">
        <v>37</v>
      </c>
      <c r="M4912" t="s">
        <v>114</v>
      </c>
      <c r="N4912" t="s">
        <v>13</v>
      </c>
      <c r="O4912" t="s">
        <v>188</v>
      </c>
      <c r="P4912" s="1" t="s">
        <v>33</v>
      </c>
      <c r="Q4912">
        <v>126.5</v>
      </c>
    </row>
    <row r="4913" spans="11:17" x14ac:dyDescent="0.3">
      <c r="K4913">
        <v>2018</v>
      </c>
      <c r="L4913" t="s">
        <v>37</v>
      </c>
      <c r="M4913" t="s">
        <v>114</v>
      </c>
      <c r="N4913" t="s">
        <v>7</v>
      </c>
      <c r="O4913" t="s">
        <v>188</v>
      </c>
      <c r="P4913" s="1" t="s">
        <v>30</v>
      </c>
      <c r="Q4913">
        <v>123.5</v>
      </c>
    </row>
    <row r="4914" spans="11:17" x14ac:dyDescent="0.3">
      <c r="K4914">
        <v>2018</v>
      </c>
      <c r="L4914" t="s">
        <v>37</v>
      </c>
      <c r="M4914" t="s">
        <v>114</v>
      </c>
      <c r="N4914" t="s">
        <v>7</v>
      </c>
      <c r="O4914" t="s">
        <v>188</v>
      </c>
      <c r="P4914" s="1" t="s">
        <v>34</v>
      </c>
      <c r="Q4914">
        <v>121</v>
      </c>
    </row>
    <row r="4915" spans="11:17" x14ac:dyDescent="0.3">
      <c r="K4915">
        <v>2018</v>
      </c>
      <c r="L4915" t="s">
        <v>37</v>
      </c>
      <c r="M4915" t="s">
        <v>114</v>
      </c>
      <c r="N4915" t="s">
        <v>7</v>
      </c>
      <c r="O4915" t="s">
        <v>188</v>
      </c>
      <c r="P4915" s="1" t="s">
        <v>33</v>
      </c>
      <c r="Q4915">
        <v>116.6</v>
      </c>
    </row>
    <row r="4916" spans="11:17" x14ac:dyDescent="0.3">
      <c r="K4916">
        <v>2018</v>
      </c>
      <c r="L4916" t="s">
        <v>37</v>
      </c>
      <c r="M4916" t="s">
        <v>114</v>
      </c>
      <c r="N4916" t="s">
        <v>16</v>
      </c>
      <c r="O4916" t="s">
        <v>192</v>
      </c>
      <c r="P4916" s="1" t="s">
        <v>30</v>
      </c>
      <c r="Q4916">
        <v>156.1</v>
      </c>
    </row>
    <row r="4917" spans="11:17" x14ac:dyDescent="0.3">
      <c r="K4917">
        <v>2018</v>
      </c>
      <c r="L4917" t="s">
        <v>37</v>
      </c>
      <c r="M4917" t="s">
        <v>114</v>
      </c>
      <c r="N4917" t="s">
        <v>16</v>
      </c>
      <c r="O4917" t="s">
        <v>192</v>
      </c>
      <c r="P4917" s="1" t="s">
        <v>34</v>
      </c>
      <c r="Q4917">
        <v>156.9</v>
      </c>
    </row>
    <row r="4918" spans="11:17" x14ac:dyDescent="0.3">
      <c r="K4918">
        <v>2018</v>
      </c>
      <c r="L4918" t="s">
        <v>37</v>
      </c>
      <c r="M4918" t="s">
        <v>114</v>
      </c>
      <c r="N4918" t="s">
        <v>16</v>
      </c>
      <c r="O4918" t="s">
        <v>192</v>
      </c>
      <c r="P4918" s="1" t="s">
        <v>33</v>
      </c>
      <c r="Q4918">
        <v>159.19999999999999</v>
      </c>
    </row>
    <row r="4919" spans="11:17" x14ac:dyDescent="0.3">
      <c r="K4919">
        <v>2018</v>
      </c>
      <c r="L4919" t="s">
        <v>37</v>
      </c>
      <c r="M4919" t="s">
        <v>114</v>
      </c>
      <c r="N4919" t="s">
        <v>27</v>
      </c>
      <c r="O4919" t="s">
        <v>192</v>
      </c>
      <c r="P4919" s="1" t="s">
        <v>30</v>
      </c>
      <c r="Q4919">
        <v>130.4</v>
      </c>
    </row>
    <row r="4920" spans="11:17" x14ac:dyDescent="0.3">
      <c r="K4920">
        <v>2018</v>
      </c>
      <c r="L4920" t="s">
        <v>37</v>
      </c>
      <c r="M4920" t="s">
        <v>114</v>
      </c>
      <c r="N4920" t="s">
        <v>27</v>
      </c>
      <c r="O4920" t="s">
        <v>192</v>
      </c>
      <c r="P4920" s="1" t="s">
        <v>34</v>
      </c>
      <c r="Q4920">
        <v>129.19999999999999</v>
      </c>
    </row>
    <row r="4921" spans="11:17" x14ac:dyDescent="0.3">
      <c r="K4921">
        <v>2018</v>
      </c>
      <c r="L4921" t="s">
        <v>37</v>
      </c>
      <c r="M4921" t="s">
        <v>114</v>
      </c>
      <c r="N4921" t="s">
        <v>27</v>
      </c>
      <c r="O4921" t="s">
        <v>192</v>
      </c>
      <c r="P4921" s="1" t="s">
        <v>33</v>
      </c>
      <c r="Q4921">
        <v>127.6</v>
      </c>
    </row>
    <row r="4922" spans="11:17" x14ac:dyDescent="0.3">
      <c r="K4922">
        <v>2018</v>
      </c>
      <c r="L4922" t="s">
        <v>37</v>
      </c>
      <c r="M4922" t="s">
        <v>114</v>
      </c>
      <c r="N4922" t="s">
        <v>14</v>
      </c>
      <c r="O4922" t="s">
        <v>188</v>
      </c>
      <c r="P4922" s="1" t="s">
        <v>30</v>
      </c>
      <c r="Q4922">
        <v>153.80000000000001</v>
      </c>
    </row>
    <row r="4923" spans="11:17" x14ac:dyDescent="0.3">
      <c r="K4923">
        <v>2018</v>
      </c>
      <c r="L4923" t="s">
        <v>37</v>
      </c>
      <c r="M4923" t="s">
        <v>114</v>
      </c>
      <c r="N4923" t="s">
        <v>14</v>
      </c>
      <c r="O4923" t="s">
        <v>188</v>
      </c>
      <c r="P4923" s="1" t="s">
        <v>34</v>
      </c>
      <c r="Q4923">
        <v>151.19999999999999</v>
      </c>
    </row>
    <row r="4924" spans="11:17" x14ac:dyDescent="0.3">
      <c r="K4924">
        <v>2018</v>
      </c>
      <c r="L4924" t="s">
        <v>37</v>
      </c>
      <c r="M4924" t="s">
        <v>114</v>
      </c>
      <c r="N4924" t="s">
        <v>14</v>
      </c>
      <c r="O4924" t="s">
        <v>188</v>
      </c>
      <c r="P4924" s="1" t="s">
        <v>33</v>
      </c>
      <c r="Q4924">
        <v>148.30000000000001</v>
      </c>
    </row>
    <row r="4925" spans="11:17" x14ac:dyDescent="0.3">
      <c r="K4925">
        <v>2018</v>
      </c>
      <c r="L4925" t="s">
        <v>37</v>
      </c>
      <c r="M4925" t="s">
        <v>114</v>
      </c>
      <c r="N4925" t="s">
        <v>10</v>
      </c>
      <c r="O4925" t="s">
        <v>188</v>
      </c>
      <c r="P4925" s="1" t="s">
        <v>30</v>
      </c>
      <c r="Q4925">
        <v>128.4</v>
      </c>
    </row>
    <row r="4926" spans="11:17" x14ac:dyDescent="0.3">
      <c r="K4926">
        <v>2018</v>
      </c>
      <c r="L4926" t="s">
        <v>37</v>
      </c>
      <c r="M4926" t="s">
        <v>114</v>
      </c>
      <c r="N4926" t="s">
        <v>10</v>
      </c>
      <c r="O4926" t="s">
        <v>188</v>
      </c>
      <c r="P4926" s="1" t="s">
        <v>34</v>
      </c>
      <c r="Q4926">
        <v>123.5</v>
      </c>
    </row>
    <row r="4927" spans="11:17" x14ac:dyDescent="0.3">
      <c r="K4927">
        <v>2018</v>
      </c>
      <c r="L4927" t="s">
        <v>37</v>
      </c>
      <c r="M4927" t="s">
        <v>114</v>
      </c>
      <c r="N4927" t="s">
        <v>10</v>
      </c>
      <c r="O4927" t="s">
        <v>188</v>
      </c>
      <c r="P4927" s="1" t="s">
        <v>33</v>
      </c>
      <c r="Q4927">
        <v>114</v>
      </c>
    </row>
    <row r="4928" spans="11:17" x14ac:dyDescent="0.3">
      <c r="K4928">
        <v>2018</v>
      </c>
      <c r="L4928" t="s">
        <v>37</v>
      </c>
      <c r="M4928" t="s">
        <v>114</v>
      </c>
      <c r="N4928" t="s">
        <v>25</v>
      </c>
      <c r="O4928" t="s">
        <v>195</v>
      </c>
      <c r="P4928" s="1" t="s">
        <v>30</v>
      </c>
      <c r="Q4928">
        <v>136</v>
      </c>
    </row>
    <row r="4929" spans="11:17" x14ac:dyDescent="0.3">
      <c r="K4929">
        <v>2018</v>
      </c>
      <c r="L4929" t="s">
        <v>37</v>
      </c>
      <c r="M4929" t="s">
        <v>114</v>
      </c>
      <c r="N4929" t="s">
        <v>25</v>
      </c>
      <c r="O4929" t="s">
        <v>195</v>
      </c>
      <c r="P4929" s="1" t="s">
        <v>34</v>
      </c>
      <c r="Q4929">
        <v>131.30000000000001</v>
      </c>
    </row>
    <row r="4930" spans="11:17" x14ac:dyDescent="0.3">
      <c r="K4930">
        <v>2018</v>
      </c>
      <c r="L4930" t="s">
        <v>37</v>
      </c>
      <c r="M4930" t="s">
        <v>114</v>
      </c>
      <c r="N4930" t="s">
        <v>25</v>
      </c>
      <c r="O4930" t="s">
        <v>195</v>
      </c>
      <c r="P4930" s="1" t="s">
        <v>33</v>
      </c>
      <c r="Q4930">
        <v>127.6</v>
      </c>
    </row>
    <row r="4931" spans="11:17" x14ac:dyDescent="0.3">
      <c r="K4931">
        <v>2018</v>
      </c>
      <c r="L4931" t="s">
        <v>37</v>
      </c>
      <c r="M4931" t="s">
        <v>114</v>
      </c>
      <c r="N4931" t="s">
        <v>12</v>
      </c>
      <c r="O4931" t="s">
        <v>188</v>
      </c>
      <c r="P4931" s="1" t="s">
        <v>30</v>
      </c>
      <c r="Q4931">
        <v>137.19999999999999</v>
      </c>
    </row>
    <row r="4932" spans="11:17" x14ac:dyDescent="0.3">
      <c r="K4932">
        <v>2018</v>
      </c>
      <c r="L4932" t="s">
        <v>37</v>
      </c>
      <c r="M4932" t="s">
        <v>114</v>
      </c>
      <c r="N4932" t="s">
        <v>12</v>
      </c>
      <c r="O4932" t="s">
        <v>188</v>
      </c>
      <c r="P4932" s="1" t="s">
        <v>34</v>
      </c>
      <c r="Q4932">
        <v>138.19999999999999</v>
      </c>
    </row>
    <row r="4933" spans="11:17" x14ac:dyDescent="0.3">
      <c r="K4933">
        <v>2018</v>
      </c>
      <c r="L4933" t="s">
        <v>37</v>
      </c>
      <c r="M4933" t="s">
        <v>114</v>
      </c>
      <c r="N4933" t="s">
        <v>12</v>
      </c>
      <c r="O4933" t="s">
        <v>188</v>
      </c>
      <c r="P4933" s="1" t="s">
        <v>33</v>
      </c>
      <c r="Q4933">
        <v>140.19999999999999</v>
      </c>
    </row>
    <row r="4934" spans="11:17" x14ac:dyDescent="0.3">
      <c r="K4934">
        <v>2018</v>
      </c>
      <c r="L4934" t="s">
        <v>37</v>
      </c>
      <c r="M4934" t="s">
        <v>114</v>
      </c>
      <c r="N4934" t="s">
        <v>11</v>
      </c>
      <c r="O4934" t="s">
        <v>188</v>
      </c>
      <c r="P4934" s="1" t="s">
        <v>30</v>
      </c>
      <c r="Q4934">
        <v>115.2</v>
      </c>
    </row>
    <row r="4935" spans="11:17" x14ac:dyDescent="0.3">
      <c r="K4935">
        <v>2018</v>
      </c>
      <c r="L4935" t="s">
        <v>37</v>
      </c>
      <c r="M4935" t="s">
        <v>114</v>
      </c>
      <c r="N4935" t="s">
        <v>11</v>
      </c>
      <c r="O4935" t="s">
        <v>188</v>
      </c>
      <c r="P4935" s="1" t="s">
        <v>34</v>
      </c>
      <c r="Q4935">
        <v>113.7</v>
      </c>
    </row>
    <row r="4936" spans="11:17" x14ac:dyDescent="0.3">
      <c r="K4936">
        <v>2018</v>
      </c>
      <c r="L4936" t="s">
        <v>37</v>
      </c>
      <c r="M4936" t="s">
        <v>114</v>
      </c>
      <c r="N4936" t="s">
        <v>11</v>
      </c>
      <c r="O4936" t="s">
        <v>188</v>
      </c>
      <c r="P4936" s="1" t="s">
        <v>33</v>
      </c>
      <c r="Q4936">
        <v>110.6</v>
      </c>
    </row>
    <row r="4937" spans="11:17" x14ac:dyDescent="0.3">
      <c r="K4937">
        <v>2018</v>
      </c>
      <c r="L4937" t="s">
        <v>37</v>
      </c>
      <c r="M4937" t="s">
        <v>114</v>
      </c>
      <c r="N4937" t="s">
        <v>24</v>
      </c>
      <c r="O4937" t="s">
        <v>191</v>
      </c>
      <c r="P4937" s="1" t="s">
        <v>30</v>
      </c>
      <c r="Q4937">
        <v>125.3</v>
      </c>
    </row>
    <row r="4938" spans="11:17" x14ac:dyDescent="0.3">
      <c r="K4938">
        <v>2018</v>
      </c>
      <c r="L4938" t="s">
        <v>37</v>
      </c>
      <c r="M4938" t="s">
        <v>114</v>
      </c>
      <c r="N4938" t="s">
        <v>24</v>
      </c>
      <c r="O4938" t="s">
        <v>191</v>
      </c>
      <c r="P4938" s="1" t="s">
        <v>34</v>
      </c>
      <c r="Q4938">
        <v>121.9</v>
      </c>
    </row>
    <row r="4939" spans="11:17" x14ac:dyDescent="0.3">
      <c r="K4939">
        <v>2018</v>
      </c>
      <c r="L4939" t="s">
        <v>37</v>
      </c>
      <c r="M4939" t="s">
        <v>114</v>
      </c>
      <c r="N4939" t="s">
        <v>24</v>
      </c>
      <c r="O4939" t="s">
        <v>191</v>
      </c>
      <c r="P4939" s="1" t="s">
        <v>33</v>
      </c>
      <c r="Q4939">
        <v>118.9</v>
      </c>
    </row>
    <row r="4940" spans="11:17" x14ac:dyDescent="0.3">
      <c r="K4940">
        <v>2018</v>
      </c>
      <c r="L4940" t="s">
        <v>37</v>
      </c>
      <c r="M4940" t="s">
        <v>114</v>
      </c>
      <c r="N4940" t="s">
        <v>9</v>
      </c>
      <c r="O4940" t="s">
        <v>188</v>
      </c>
      <c r="P4940" s="1" t="s">
        <v>30</v>
      </c>
      <c r="Q4940">
        <v>135.1</v>
      </c>
    </row>
    <row r="4941" spans="11:17" x14ac:dyDescent="0.3">
      <c r="K4941">
        <v>2018</v>
      </c>
      <c r="L4941" t="s">
        <v>37</v>
      </c>
      <c r="M4941" t="s">
        <v>114</v>
      </c>
      <c r="N4941" t="s">
        <v>9</v>
      </c>
      <c r="O4941" t="s">
        <v>188</v>
      </c>
      <c r="P4941" s="1" t="s">
        <v>34</v>
      </c>
      <c r="Q4941">
        <v>132.6</v>
      </c>
    </row>
    <row r="4942" spans="11:17" x14ac:dyDescent="0.3">
      <c r="K4942">
        <v>2018</v>
      </c>
      <c r="L4942" t="s">
        <v>37</v>
      </c>
      <c r="M4942" t="s">
        <v>114</v>
      </c>
      <c r="N4942" t="s">
        <v>9</v>
      </c>
      <c r="O4942" t="s">
        <v>188</v>
      </c>
      <c r="P4942" s="1" t="s">
        <v>33</v>
      </c>
      <c r="Q4942">
        <v>127.6</v>
      </c>
    </row>
    <row r="4943" spans="11:17" x14ac:dyDescent="0.3">
      <c r="K4943">
        <v>2018</v>
      </c>
      <c r="L4943" t="s">
        <v>41</v>
      </c>
      <c r="M4943" t="s">
        <v>115</v>
      </c>
      <c r="N4943" t="s">
        <v>3</v>
      </c>
      <c r="O4943" t="s">
        <v>188</v>
      </c>
      <c r="P4943" s="1" t="s">
        <v>30</v>
      </c>
      <c r="Q4943">
        <v>139.19999999999999</v>
      </c>
    </row>
    <row r="4944" spans="11:17" x14ac:dyDescent="0.3">
      <c r="K4944">
        <v>2018</v>
      </c>
      <c r="L4944" t="s">
        <v>41</v>
      </c>
      <c r="M4944" t="s">
        <v>115</v>
      </c>
      <c r="N4944" t="s">
        <v>3</v>
      </c>
      <c r="O4944" t="s">
        <v>188</v>
      </c>
      <c r="P4944" s="1" t="s">
        <v>34</v>
      </c>
      <c r="Q4944">
        <v>138.30000000000001</v>
      </c>
    </row>
    <row r="4945" spans="11:17" x14ac:dyDescent="0.3">
      <c r="K4945">
        <v>2018</v>
      </c>
      <c r="L4945" t="s">
        <v>41</v>
      </c>
      <c r="M4945" t="s">
        <v>115</v>
      </c>
      <c r="N4945" t="s">
        <v>3</v>
      </c>
      <c r="O4945" t="s">
        <v>188</v>
      </c>
      <c r="P4945" s="1" t="s">
        <v>33</v>
      </c>
      <c r="Q4945">
        <v>136.5</v>
      </c>
    </row>
    <row r="4946" spans="11:17" x14ac:dyDescent="0.3">
      <c r="K4946">
        <v>2018</v>
      </c>
      <c r="L4946" t="s">
        <v>41</v>
      </c>
      <c r="M4946" t="s">
        <v>115</v>
      </c>
      <c r="N4946" t="s">
        <v>17</v>
      </c>
      <c r="O4946" t="s">
        <v>189</v>
      </c>
      <c r="P4946" s="1" t="s">
        <v>30</v>
      </c>
      <c r="Q4946">
        <v>152.1</v>
      </c>
    </row>
    <row r="4947" spans="11:17" x14ac:dyDescent="0.3">
      <c r="K4947">
        <v>2018</v>
      </c>
      <c r="L4947" t="s">
        <v>41</v>
      </c>
      <c r="M4947" t="s">
        <v>115</v>
      </c>
      <c r="N4947" t="s">
        <v>17</v>
      </c>
      <c r="O4947" t="s">
        <v>189</v>
      </c>
      <c r="P4947" s="1" t="s">
        <v>34</v>
      </c>
      <c r="Q4947">
        <v>147.30000000000001</v>
      </c>
    </row>
    <row r="4948" spans="11:17" x14ac:dyDescent="0.3">
      <c r="K4948">
        <v>2018</v>
      </c>
      <c r="L4948" t="s">
        <v>41</v>
      </c>
      <c r="M4948" t="s">
        <v>115</v>
      </c>
      <c r="N4948" t="s">
        <v>17</v>
      </c>
      <c r="O4948" t="s">
        <v>189</v>
      </c>
      <c r="P4948" s="1" t="s">
        <v>33</v>
      </c>
      <c r="Q4948">
        <v>140</v>
      </c>
    </row>
    <row r="4949" spans="11:17" x14ac:dyDescent="0.3">
      <c r="K4949">
        <v>2018</v>
      </c>
      <c r="L4949" t="s">
        <v>41</v>
      </c>
      <c r="M4949" t="s">
        <v>115</v>
      </c>
      <c r="N4949" t="s">
        <v>19</v>
      </c>
      <c r="O4949" t="s">
        <v>189</v>
      </c>
      <c r="P4949" s="1" t="s">
        <v>30</v>
      </c>
      <c r="Q4949">
        <v>151.30000000000001</v>
      </c>
    </row>
    <row r="4950" spans="11:17" x14ac:dyDescent="0.3">
      <c r="K4950">
        <v>2018</v>
      </c>
      <c r="L4950" t="s">
        <v>41</v>
      </c>
      <c r="M4950" t="s">
        <v>115</v>
      </c>
      <c r="N4950" t="s">
        <v>19</v>
      </c>
      <c r="O4950" t="s">
        <v>189</v>
      </c>
      <c r="P4950" s="1" t="s">
        <v>34</v>
      </c>
      <c r="Q4950">
        <v>146.1</v>
      </c>
    </row>
    <row r="4951" spans="11:17" x14ac:dyDescent="0.3">
      <c r="K4951">
        <v>2018</v>
      </c>
      <c r="L4951" t="s">
        <v>41</v>
      </c>
      <c r="M4951" t="s">
        <v>115</v>
      </c>
      <c r="N4951" t="s">
        <v>19</v>
      </c>
      <c r="O4951" t="s">
        <v>189</v>
      </c>
      <c r="P4951" s="1" t="s">
        <v>33</v>
      </c>
      <c r="Q4951">
        <v>138.30000000000001</v>
      </c>
    </row>
    <row r="4952" spans="11:17" x14ac:dyDescent="0.3">
      <c r="K4952">
        <v>2018</v>
      </c>
      <c r="L4952" t="s">
        <v>41</v>
      </c>
      <c r="M4952" t="s">
        <v>115</v>
      </c>
      <c r="N4952" t="s">
        <v>26</v>
      </c>
      <c r="O4952" t="s">
        <v>26</v>
      </c>
      <c r="P4952" s="1" t="s">
        <v>30</v>
      </c>
      <c r="Q4952">
        <v>146.9</v>
      </c>
    </row>
    <row r="4953" spans="11:17" x14ac:dyDescent="0.3">
      <c r="K4953">
        <v>2018</v>
      </c>
      <c r="L4953" t="s">
        <v>41</v>
      </c>
      <c r="M4953" t="s">
        <v>115</v>
      </c>
      <c r="N4953" t="s">
        <v>26</v>
      </c>
      <c r="O4953" t="s">
        <v>26</v>
      </c>
      <c r="P4953" s="1" t="s">
        <v>34</v>
      </c>
      <c r="Q4953">
        <v>146</v>
      </c>
    </row>
    <row r="4954" spans="11:17" x14ac:dyDescent="0.3">
      <c r="K4954">
        <v>2018</v>
      </c>
      <c r="L4954" t="s">
        <v>41</v>
      </c>
      <c r="M4954" t="s">
        <v>115</v>
      </c>
      <c r="N4954" t="s">
        <v>26</v>
      </c>
      <c r="O4954" t="s">
        <v>26</v>
      </c>
      <c r="P4954" s="1" t="s">
        <v>33</v>
      </c>
      <c r="Q4954">
        <v>145.30000000000001</v>
      </c>
    </row>
    <row r="4955" spans="11:17" x14ac:dyDescent="0.3">
      <c r="K4955">
        <v>2018</v>
      </c>
      <c r="L4955" t="s">
        <v>41</v>
      </c>
      <c r="M4955" t="s">
        <v>115</v>
      </c>
      <c r="N4955" t="s">
        <v>5</v>
      </c>
      <c r="O4955" t="s">
        <v>188</v>
      </c>
      <c r="P4955" s="1" t="s">
        <v>30</v>
      </c>
      <c r="Q4955">
        <v>139.1</v>
      </c>
    </row>
    <row r="4956" spans="11:17" x14ac:dyDescent="0.3">
      <c r="K4956">
        <v>2018</v>
      </c>
      <c r="L4956" t="s">
        <v>41</v>
      </c>
      <c r="M4956" t="s">
        <v>115</v>
      </c>
      <c r="N4956" t="s">
        <v>5</v>
      </c>
      <c r="O4956" t="s">
        <v>188</v>
      </c>
      <c r="P4956" s="1" t="s">
        <v>34</v>
      </c>
      <c r="Q4956">
        <v>138.1</v>
      </c>
    </row>
    <row r="4957" spans="11:17" x14ac:dyDescent="0.3">
      <c r="K4957">
        <v>2018</v>
      </c>
      <c r="L4957" t="s">
        <v>41</v>
      </c>
      <c r="M4957" t="s">
        <v>115</v>
      </c>
      <c r="N4957" t="s">
        <v>5</v>
      </c>
      <c r="O4957" t="s">
        <v>188</v>
      </c>
      <c r="P4957" s="1" t="s">
        <v>33</v>
      </c>
      <c r="Q4957">
        <v>136.6</v>
      </c>
    </row>
    <row r="4958" spans="11:17" x14ac:dyDescent="0.3">
      <c r="K4958">
        <v>2018</v>
      </c>
      <c r="L4958" t="s">
        <v>41</v>
      </c>
      <c r="M4958" t="s">
        <v>115</v>
      </c>
      <c r="N4958" t="s">
        <v>15</v>
      </c>
      <c r="O4958" t="s">
        <v>188</v>
      </c>
      <c r="P4958" s="1" t="s">
        <v>30</v>
      </c>
      <c r="Q4958">
        <v>142.69999999999999</v>
      </c>
    </row>
    <row r="4959" spans="11:17" x14ac:dyDescent="0.3">
      <c r="K4959">
        <v>2018</v>
      </c>
      <c r="L4959" t="s">
        <v>41</v>
      </c>
      <c r="M4959" t="s">
        <v>115</v>
      </c>
      <c r="N4959" t="s">
        <v>15</v>
      </c>
      <c r="O4959" t="s">
        <v>188</v>
      </c>
      <c r="P4959" s="1" t="s">
        <v>34</v>
      </c>
      <c r="Q4959">
        <v>141.69999999999999</v>
      </c>
    </row>
    <row r="4960" spans="11:17" x14ac:dyDescent="0.3">
      <c r="K4960">
        <v>2018</v>
      </c>
      <c r="L4960" t="s">
        <v>41</v>
      </c>
      <c r="M4960" t="s">
        <v>115</v>
      </c>
      <c r="N4960" t="s">
        <v>15</v>
      </c>
      <c r="O4960" t="s">
        <v>188</v>
      </c>
      <c r="P4960" s="1" t="s">
        <v>33</v>
      </c>
      <c r="Q4960">
        <v>140.1</v>
      </c>
    </row>
    <row r="4961" spans="11:17" x14ac:dyDescent="0.3">
      <c r="K4961">
        <v>2018</v>
      </c>
      <c r="L4961" t="s">
        <v>41</v>
      </c>
      <c r="M4961" t="s">
        <v>115</v>
      </c>
      <c r="N4961" t="s">
        <v>18</v>
      </c>
      <c r="O4961" t="s">
        <v>189</v>
      </c>
      <c r="P4961" s="1" t="s">
        <v>30</v>
      </c>
      <c r="Q4961">
        <v>145.80000000000001</v>
      </c>
    </row>
    <row r="4962" spans="11:17" x14ac:dyDescent="0.3">
      <c r="K4962">
        <v>2018</v>
      </c>
      <c r="L4962" t="s">
        <v>41</v>
      </c>
      <c r="M4962" t="s">
        <v>115</v>
      </c>
      <c r="N4962" t="s">
        <v>18</v>
      </c>
      <c r="O4962" t="s">
        <v>189</v>
      </c>
      <c r="P4962" s="1" t="s">
        <v>34</v>
      </c>
      <c r="Q4962">
        <v>138.80000000000001</v>
      </c>
    </row>
    <row r="4963" spans="11:17" x14ac:dyDescent="0.3">
      <c r="K4963">
        <v>2018</v>
      </c>
      <c r="L4963" t="s">
        <v>41</v>
      </c>
      <c r="M4963" t="s">
        <v>115</v>
      </c>
      <c r="N4963" t="s">
        <v>18</v>
      </c>
      <c r="O4963" t="s">
        <v>189</v>
      </c>
      <c r="P4963" s="1" t="s">
        <v>33</v>
      </c>
      <c r="Q4963">
        <v>129</v>
      </c>
    </row>
    <row r="4964" spans="11:17" x14ac:dyDescent="0.3">
      <c r="K4964">
        <v>2018</v>
      </c>
      <c r="L4964" t="s">
        <v>41</v>
      </c>
      <c r="M4964" t="s">
        <v>115</v>
      </c>
      <c r="N4964" t="s">
        <v>8</v>
      </c>
      <c r="O4964" t="s">
        <v>188</v>
      </c>
      <c r="P4964" s="1" t="s">
        <v>30</v>
      </c>
      <c r="Q4964">
        <v>154.4</v>
      </c>
    </row>
    <row r="4965" spans="11:17" x14ac:dyDescent="0.3">
      <c r="K4965">
        <v>2018</v>
      </c>
      <c r="L4965" t="s">
        <v>41</v>
      </c>
      <c r="M4965" t="s">
        <v>115</v>
      </c>
      <c r="N4965" t="s">
        <v>8</v>
      </c>
      <c r="O4965" t="s">
        <v>188</v>
      </c>
      <c r="P4965" s="1" t="s">
        <v>34</v>
      </c>
      <c r="Q4965">
        <v>150.6</v>
      </c>
    </row>
    <row r="4966" spans="11:17" x14ac:dyDescent="0.3">
      <c r="K4966">
        <v>2018</v>
      </c>
      <c r="L4966" t="s">
        <v>41</v>
      </c>
      <c r="M4966" t="s">
        <v>115</v>
      </c>
      <c r="N4966" t="s">
        <v>8</v>
      </c>
      <c r="O4966" t="s">
        <v>188</v>
      </c>
      <c r="P4966" s="1" t="s">
        <v>33</v>
      </c>
      <c r="Q4966">
        <v>146.30000000000001</v>
      </c>
    </row>
    <row r="4967" spans="11:17" x14ac:dyDescent="0.3">
      <c r="K4967">
        <v>2018</v>
      </c>
      <c r="L4967" t="s">
        <v>41</v>
      </c>
      <c r="M4967" t="s">
        <v>115</v>
      </c>
      <c r="N4967" t="s">
        <v>21</v>
      </c>
      <c r="O4967" t="s">
        <v>190</v>
      </c>
      <c r="P4967" s="1" t="s">
        <v>30</v>
      </c>
      <c r="Q4967">
        <v>147.69999999999999</v>
      </c>
    </row>
    <row r="4968" spans="11:17" x14ac:dyDescent="0.3">
      <c r="K4968">
        <v>2018</v>
      </c>
      <c r="L4968" t="s">
        <v>41</v>
      </c>
      <c r="M4968" t="s">
        <v>115</v>
      </c>
      <c r="N4968" t="s">
        <v>21</v>
      </c>
      <c r="O4968" t="s">
        <v>190</v>
      </c>
      <c r="P4968" s="1" t="s">
        <v>34</v>
      </c>
      <c r="Q4968">
        <v>140.9</v>
      </c>
    </row>
    <row r="4969" spans="11:17" x14ac:dyDescent="0.3">
      <c r="K4969">
        <v>2018</v>
      </c>
      <c r="L4969" t="s">
        <v>41</v>
      </c>
      <c r="M4969" t="s">
        <v>115</v>
      </c>
      <c r="N4969" t="s">
        <v>21</v>
      </c>
      <c r="O4969" t="s">
        <v>190</v>
      </c>
      <c r="P4969" s="1" t="s">
        <v>33</v>
      </c>
      <c r="Q4969">
        <v>129.80000000000001</v>
      </c>
    </row>
    <row r="4970" spans="11:17" x14ac:dyDescent="0.3">
      <c r="K4970">
        <v>2018</v>
      </c>
      <c r="L4970" t="s">
        <v>41</v>
      </c>
      <c r="M4970" t="s">
        <v>115</v>
      </c>
      <c r="N4970" t="s">
        <v>29</v>
      </c>
      <c r="O4970" t="s">
        <v>206</v>
      </c>
      <c r="P4970" s="1" t="s">
        <v>30</v>
      </c>
      <c r="Q4970">
        <v>142.5</v>
      </c>
    </row>
    <row r="4971" spans="11:17" x14ac:dyDescent="0.3">
      <c r="K4971">
        <v>2018</v>
      </c>
      <c r="L4971" t="s">
        <v>41</v>
      </c>
      <c r="M4971" t="s">
        <v>115</v>
      </c>
      <c r="N4971" t="s">
        <v>29</v>
      </c>
      <c r="O4971" t="s">
        <v>206</v>
      </c>
      <c r="P4971" s="1" t="s">
        <v>34</v>
      </c>
      <c r="Q4971">
        <v>140.4</v>
      </c>
    </row>
    <row r="4972" spans="11:17" x14ac:dyDescent="0.3">
      <c r="K4972">
        <v>2018</v>
      </c>
      <c r="L4972" t="s">
        <v>41</v>
      </c>
      <c r="M4972" t="s">
        <v>115</v>
      </c>
      <c r="N4972" t="s">
        <v>29</v>
      </c>
      <c r="O4972" t="s">
        <v>206</v>
      </c>
      <c r="P4972" s="1" t="s">
        <v>33</v>
      </c>
      <c r="Q4972">
        <v>138</v>
      </c>
    </row>
    <row r="4973" spans="11:17" x14ac:dyDescent="0.3">
      <c r="K4973">
        <v>2018</v>
      </c>
      <c r="L4973" t="s">
        <v>41</v>
      </c>
      <c r="M4973" t="s">
        <v>115</v>
      </c>
      <c r="N4973" t="s">
        <v>23</v>
      </c>
      <c r="O4973" t="s">
        <v>23</v>
      </c>
      <c r="P4973" s="1" t="s">
        <v>30</v>
      </c>
      <c r="Q4973">
        <v>139.4</v>
      </c>
    </row>
    <row r="4974" spans="11:17" x14ac:dyDescent="0.3">
      <c r="K4974">
        <v>2018</v>
      </c>
      <c r="L4974" t="s">
        <v>41</v>
      </c>
      <c r="M4974" t="s">
        <v>115</v>
      </c>
      <c r="N4974" t="s">
        <v>23</v>
      </c>
      <c r="O4974" t="s">
        <v>23</v>
      </c>
      <c r="P4974" s="1" t="s">
        <v>34</v>
      </c>
      <c r="Q4974">
        <v>137.69999999999999</v>
      </c>
    </row>
    <row r="4975" spans="11:17" x14ac:dyDescent="0.3">
      <c r="K4975">
        <v>2018</v>
      </c>
      <c r="L4975" t="s">
        <v>41</v>
      </c>
      <c r="M4975" t="s">
        <v>115</v>
      </c>
      <c r="N4975" t="s">
        <v>23</v>
      </c>
      <c r="O4975" t="s">
        <v>23</v>
      </c>
      <c r="P4975" s="1" t="s">
        <v>33</v>
      </c>
      <c r="Q4975">
        <v>134.9</v>
      </c>
    </row>
    <row r="4976" spans="11:17" x14ac:dyDescent="0.3">
      <c r="K4976">
        <v>2018</v>
      </c>
      <c r="L4976" t="s">
        <v>41</v>
      </c>
      <c r="M4976" t="s">
        <v>115</v>
      </c>
      <c r="N4976" t="s">
        <v>22</v>
      </c>
      <c r="O4976" t="s">
        <v>20</v>
      </c>
      <c r="P4976" s="1" t="s">
        <v>30</v>
      </c>
      <c r="Q4976">
        <v>143.80000000000001</v>
      </c>
    </row>
    <row r="4977" spans="11:17" x14ac:dyDescent="0.3">
      <c r="K4977">
        <v>2018</v>
      </c>
      <c r="L4977" t="s">
        <v>41</v>
      </c>
      <c r="M4977" t="s">
        <v>115</v>
      </c>
      <c r="N4977" t="s">
        <v>22</v>
      </c>
      <c r="O4977" t="s">
        <v>20</v>
      </c>
      <c r="P4977" s="1" t="s">
        <v>34</v>
      </c>
      <c r="Q4977">
        <v>139.4</v>
      </c>
    </row>
    <row r="4978" spans="11:17" x14ac:dyDescent="0.3">
      <c r="K4978">
        <v>2018</v>
      </c>
      <c r="L4978" t="s">
        <v>41</v>
      </c>
      <c r="M4978" t="s">
        <v>115</v>
      </c>
      <c r="N4978" t="s">
        <v>22</v>
      </c>
      <c r="O4978" t="s">
        <v>20</v>
      </c>
      <c r="P4978" s="1" t="s">
        <v>33</v>
      </c>
      <c r="Q4978">
        <v>134.4</v>
      </c>
    </row>
    <row r="4979" spans="11:17" x14ac:dyDescent="0.3">
      <c r="K4979">
        <v>2018</v>
      </c>
      <c r="L4979" t="s">
        <v>41</v>
      </c>
      <c r="M4979" t="s">
        <v>115</v>
      </c>
      <c r="N4979" t="s">
        <v>20</v>
      </c>
      <c r="O4979" t="s">
        <v>20</v>
      </c>
      <c r="P4979" s="1" t="s">
        <v>30</v>
      </c>
      <c r="Q4979">
        <v>0</v>
      </c>
    </row>
    <row r="4980" spans="11:17" x14ac:dyDescent="0.3">
      <c r="K4980">
        <v>2018</v>
      </c>
      <c r="L4980" t="s">
        <v>41</v>
      </c>
      <c r="M4980" t="s">
        <v>115</v>
      </c>
      <c r="N4980" t="s">
        <v>20</v>
      </c>
      <c r="O4980" t="s">
        <v>20</v>
      </c>
      <c r="P4980" s="1" t="s">
        <v>34</v>
      </c>
      <c r="Q4980">
        <v>144.6</v>
      </c>
    </row>
    <row r="4981" spans="11:17" x14ac:dyDescent="0.3">
      <c r="K4981">
        <v>2018</v>
      </c>
      <c r="L4981" t="s">
        <v>41</v>
      </c>
      <c r="M4981" t="s">
        <v>115</v>
      </c>
      <c r="N4981" t="s">
        <v>20</v>
      </c>
      <c r="O4981" t="s">
        <v>20</v>
      </c>
      <c r="P4981" s="1" t="s">
        <v>33</v>
      </c>
      <c r="Q4981">
        <v>144.6</v>
      </c>
    </row>
    <row r="4982" spans="11:17" x14ac:dyDescent="0.3">
      <c r="K4982">
        <v>2018</v>
      </c>
      <c r="L4982" t="s">
        <v>41</v>
      </c>
      <c r="M4982" t="s">
        <v>115</v>
      </c>
      <c r="N4982" t="s">
        <v>4</v>
      </c>
      <c r="O4982" t="s">
        <v>188</v>
      </c>
      <c r="P4982" s="1" t="s">
        <v>30</v>
      </c>
      <c r="Q4982">
        <v>148.80000000000001</v>
      </c>
    </row>
    <row r="4983" spans="11:17" x14ac:dyDescent="0.3">
      <c r="K4983">
        <v>2018</v>
      </c>
      <c r="L4983" t="s">
        <v>41</v>
      </c>
      <c r="M4983" t="s">
        <v>115</v>
      </c>
      <c r="N4983" t="s">
        <v>4</v>
      </c>
      <c r="O4983" t="s">
        <v>188</v>
      </c>
      <c r="P4983" s="1" t="s">
        <v>34</v>
      </c>
      <c r="Q4983">
        <v>148</v>
      </c>
    </row>
    <row r="4984" spans="11:17" x14ac:dyDescent="0.3">
      <c r="K4984">
        <v>2018</v>
      </c>
      <c r="L4984" t="s">
        <v>41</v>
      </c>
      <c r="M4984" t="s">
        <v>115</v>
      </c>
      <c r="N4984" t="s">
        <v>4</v>
      </c>
      <c r="O4984" t="s">
        <v>188</v>
      </c>
      <c r="P4984" s="1" t="s">
        <v>33</v>
      </c>
      <c r="Q4984">
        <v>146.4</v>
      </c>
    </row>
    <row r="4985" spans="11:17" x14ac:dyDescent="0.3">
      <c r="K4985">
        <v>2018</v>
      </c>
      <c r="L4985" t="s">
        <v>41</v>
      </c>
      <c r="M4985" t="s">
        <v>115</v>
      </c>
      <c r="N4985" t="s">
        <v>6</v>
      </c>
      <c r="O4985" t="s">
        <v>188</v>
      </c>
      <c r="P4985" s="1" t="s">
        <v>30</v>
      </c>
      <c r="Q4985">
        <v>143.5</v>
      </c>
    </row>
    <row r="4986" spans="11:17" x14ac:dyDescent="0.3">
      <c r="K4986">
        <v>2018</v>
      </c>
      <c r="L4986" t="s">
        <v>41</v>
      </c>
      <c r="M4986" t="s">
        <v>115</v>
      </c>
      <c r="N4986" t="s">
        <v>6</v>
      </c>
      <c r="O4986" t="s">
        <v>188</v>
      </c>
      <c r="P4986" s="1" t="s">
        <v>34</v>
      </c>
      <c r="Q4986">
        <v>142.6</v>
      </c>
    </row>
    <row r="4987" spans="11:17" x14ac:dyDescent="0.3">
      <c r="K4987">
        <v>2018</v>
      </c>
      <c r="L4987" t="s">
        <v>41</v>
      </c>
      <c r="M4987" t="s">
        <v>115</v>
      </c>
      <c r="N4987" t="s">
        <v>6</v>
      </c>
      <c r="O4987" t="s">
        <v>188</v>
      </c>
      <c r="P4987" s="1" t="s">
        <v>33</v>
      </c>
      <c r="Q4987">
        <v>141.19999999999999</v>
      </c>
    </row>
    <row r="4988" spans="11:17" x14ac:dyDescent="0.3">
      <c r="K4988">
        <v>2018</v>
      </c>
      <c r="L4988" t="s">
        <v>41</v>
      </c>
      <c r="M4988" t="s">
        <v>115</v>
      </c>
      <c r="N4988" t="s">
        <v>28</v>
      </c>
      <c r="O4988" t="s">
        <v>192</v>
      </c>
      <c r="P4988" s="1" t="s">
        <v>30</v>
      </c>
      <c r="Q4988">
        <v>136.6</v>
      </c>
    </row>
    <row r="4989" spans="11:17" x14ac:dyDescent="0.3">
      <c r="K4989">
        <v>2018</v>
      </c>
      <c r="L4989" t="s">
        <v>41</v>
      </c>
      <c r="M4989" t="s">
        <v>115</v>
      </c>
      <c r="N4989" t="s">
        <v>28</v>
      </c>
      <c r="O4989" t="s">
        <v>192</v>
      </c>
      <c r="P4989" s="1" t="s">
        <v>34</v>
      </c>
      <c r="Q4989">
        <v>133.9</v>
      </c>
    </row>
    <row r="4990" spans="11:17" x14ac:dyDescent="0.3">
      <c r="K4990">
        <v>2018</v>
      </c>
      <c r="L4990" t="s">
        <v>41</v>
      </c>
      <c r="M4990" t="s">
        <v>115</v>
      </c>
      <c r="N4990" t="s">
        <v>28</v>
      </c>
      <c r="O4990" t="s">
        <v>192</v>
      </c>
      <c r="P4990" s="1" t="s">
        <v>33</v>
      </c>
      <c r="Q4990">
        <v>131</v>
      </c>
    </row>
    <row r="4991" spans="11:17" x14ac:dyDescent="0.3">
      <c r="K4991">
        <v>2018</v>
      </c>
      <c r="L4991" t="s">
        <v>41</v>
      </c>
      <c r="M4991" t="s">
        <v>115</v>
      </c>
      <c r="N4991" t="s">
        <v>13</v>
      </c>
      <c r="O4991" t="s">
        <v>188</v>
      </c>
      <c r="P4991" s="1" t="s">
        <v>30</v>
      </c>
      <c r="Q4991">
        <v>133.80000000000001</v>
      </c>
    </row>
    <row r="4992" spans="11:17" x14ac:dyDescent="0.3">
      <c r="K4992">
        <v>2018</v>
      </c>
      <c r="L4992" t="s">
        <v>41</v>
      </c>
      <c r="M4992" t="s">
        <v>115</v>
      </c>
      <c r="N4992" t="s">
        <v>13</v>
      </c>
      <c r="O4992" t="s">
        <v>188</v>
      </c>
      <c r="P4992" s="1" t="s">
        <v>34</v>
      </c>
      <c r="Q4992">
        <v>131.1</v>
      </c>
    </row>
    <row r="4993" spans="11:17" x14ac:dyDescent="0.3">
      <c r="K4993">
        <v>2018</v>
      </c>
      <c r="L4993" t="s">
        <v>41</v>
      </c>
      <c r="M4993" t="s">
        <v>115</v>
      </c>
      <c r="N4993" t="s">
        <v>13</v>
      </c>
      <c r="O4993" t="s">
        <v>188</v>
      </c>
      <c r="P4993" s="1" t="s">
        <v>33</v>
      </c>
      <c r="Q4993">
        <v>127.4</v>
      </c>
    </row>
    <row r="4994" spans="11:17" x14ac:dyDescent="0.3">
      <c r="K4994">
        <v>2018</v>
      </c>
      <c r="L4994" t="s">
        <v>41</v>
      </c>
      <c r="M4994" t="s">
        <v>115</v>
      </c>
      <c r="N4994" t="s">
        <v>7</v>
      </c>
      <c r="O4994" t="s">
        <v>188</v>
      </c>
      <c r="P4994" s="1" t="s">
        <v>30</v>
      </c>
      <c r="Q4994">
        <v>125</v>
      </c>
    </row>
    <row r="4995" spans="11:17" x14ac:dyDescent="0.3">
      <c r="K4995">
        <v>2018</v>
      </c>
      <c r="L4995" t="s">
        <v>41</v>
      </c>
      <c r="M4995" t="s">
        <v>115</v>
      </c>
      <c r="N4995" t="s">
        <v>7</v>
      </c>
      <c r="O4995" t="s">
        <v>188</v>
      </c>
      <c r="P4995" s="1" t="s">
        <v>34</v>
      </c>
      <c r="Q4995">
        <v>122.2</v>
      </c>
    </row>
    <row r="4996" spans="11:17" x14ac:dyDescent="0.3">
      <c r="K4996">
        <v>2018</v>
      </c>
      <c r="L4996" t="s">
        <v>41</v>
      </c>
      <c r="M4996" t="s">
        <v>115</v>
      </c>
      <c r="N4996" t="s">
        <v>7</v>
      </c>
      <c r="O4996" t="s">
        <v>188</v>
      </c>
      <c r="P4996" s="1" t="s">
        <v>33</v>
      </c>
      <c r="Q4996">
        <v>117.4</v>
      </c>
    </row>
    <row r="4997" spans="11:17" x14ac:dyDescent="0.3">
      <c r="K4997">
        <v>2018</v>
      </c>
      <c r="L4997" t="s">
        <v>41</v>
      </c>
      <c r="M4997" t="s">
        <v>115</v>
      </c>
      <c r="N4997" t="s">
        <v>16</v>
      </c>
      <c r="O4997" t="s">
        <v>192</v>
      </c>
      <c r="P4997" s="1" t="s">
        <v>30</v>
      </c>
      <c r="Q4997">
        <v>156.4</v>
      </c>
    </row>
    <row r="4998" spans="11:17" x14ac:dyDescent="0.3">
      <c r="K4998">
        <v>2018</v>
      </c>
      <c r="L4998" t="s">
        <v>41</v>
      </c>
      <c r="M4998" t="s">
        <v>115</v>
      </c>
      <c r="N4998" t="s">
        <v>16</v>
      </c>
      <c r="O4998" t="s">
        <v>192</v>
      </c>
      <c r="P4998" s="1" t="s">
        <v>34</v>
      </c>
      <c r="Q4998">
        <v>157.9</v>
      </c>
    </row>
    <row r="4999" spans="11:17" x14ac:dyDescent="0.3">
      <c r="K4999">
        <v>2018</v>
      </c>
      <c r="L4999" t="s">
        <v>41</v>
      </c>
      <c r="M4999" t="s">
        <v>115</v>
      </c>
      <c r="N4999" t="s">
        <v>16</v>
      </c>
      <c r="O4999" t="s">
        <v>192</v>
      </c>
      <c r="P4999" s="1" t="s">
        <v>33</v>
      </c>
      <c r="Q4999">
        <v>162.1</v>
      </c>
    </row>
    <row r="5000" spans="11:17" x14ac:dyDescent="0.3">
      <c r="K5000">
        <v>2018</v>
      </c>
      <c r="L5000" t="s">
        <v>41</v>
      </c>
      <c r="M5000" t="s">
        <v>115</v>
      </c>
      <c r="N5000" t="s">
        <v>27</v>
      </c>
      <c r="O5000" t="s">
        <v>192</v>
      </c>
      <c r="P5000" s="1" t="s">
        <v>30</v>
      </c>
      <c r="Q5000">
        <v>131.30000000000001</v>
      </c>
    </row>
    <row r="5001" spans="11:17" x14ac:dyDescent="0.3">
      <c r="K5001">
        <v>2018</v>
      </c>
      <c r="L5001" t="s">
        <v>41</v>
      </c>
      <c r="M5001" t="s">
        <v>115</v>
      </c>
      <c r="N5001" t="s">
        <v>27</v>
      </c>
      <c r="O5001" t="s">
        <v>192</v>
      </c>
      <c r="P5001" s="1" t="s">
        <v>34</v>
      </c>
      <c r="Q5001">
        <v>130.1</v>
      </c>
    </row>
    <row r="5002" spans="11:17" x14ac:dyDescent="0.3">
      <c r="K5002">
        <v>2018</v>
      </c>
      <c r="L5002" t="s">
        <v>41</v>
      </c>
      <c r="M5002" t="s">
        <v>115</v>
      </c>
      <c r="N5002" t="s">
        <v>27</v>
      </c>
      <c r="O5002" t="s">
        <v>192</v>
      </c>
      <c r="P5002" s="1" t="s">
        <v>33</v>
      </c>
      <c r="Q5002">
        <v>128.30000000000001</v>
      </c>
    </row>
    <row r="5003" spans="11:17" x14ac:dyDescent="0.3">
      <c r="K5003">
        <v>2018</v>
      </c>
      <c r="L5003" t="s">
        <v>41</v>
      </c>
      <c r="M5003" t="s">
        <v>115</v>
      </c>
      <c r="N5003" t="s">
        <v>14</v>
      </c>
      <c r="O5003" t="s">
        <v>188</v>
      </c>
      <c r="P5003" s="1" t="s">
        <v>30</v>
      </c>
      <c r="Q5003">
        <v>155.19999999999999</v>
      </c>
    </row>
    <row r="5004" spans="11:17" x14ac:dyDescent="0.3">
      <c r="K5004">
        <v>2018</v>
      </c>
      <c r="L5004" t="s">
        <v>41</v>
      </c>
      <c r="M5004" t="s">
        <v>115</v>
      </c>
      <c r="N5004" t="s">
        <v>14</v>
      </c>
      <c r="O5004" t="s">
        <v>188</v>
      </c>
      <c r="P5004" s="1" t="s">
        <v>34</v>
      </c>
      <c r="Q5004">
        <v>153</v>
      </c>
    </row>
    <row r="5005" spans="11:17" x14ac:dyDescent="0.3">
      <c r="K5005">
        <v>2018</v>
      </c>
      <c r="L5005" t="s">
        <v>41</v>
      </c>
      <c r="M5005" t="s">
        <v>115</v>
      </c>
      <c r="N5005" t="s">
        <v>14</v>
      </c>
      <c r="O5005" t="s">
        <v>188</v>
      </c>
      <c r="P5005" s="1" t="s">
        <v>33</v>
      </c>
      <c r="Q5005">
        <v>150.4</v>
      </c>
    </row>
    <row r="5006" spans="11:17" x14ac:dyDescent="0.3">
      <c r="K5006">
        <v>2018</v>
      </c>
      <c r="L5006" t="s">
        <v>41</v>
      </c>
      <c r="M5006" t="s">
        <v>115</v>
      </c>
      <c r="N5006" t="s">
        <v>10</v>
      </c>
      <c r="O5006" t="s">
        <v>188</v>
      </c>
      <c r="P5006" s="1" t="s">
        <v>30</v>
      </c>
      <c r="Q5006">
        <v>126.8</v>
      </c>
    </row>
    <row r="5007" spans="11:17" x14ac:dyDescent="0.3">
      <c r="K5007">
        <v>2018</v>
      </c>
      <c r="L5007" t="s">
        <v>41</v>
      </c>
      <c r="M5007" t="s">
        <v>115</v>
      </c>
      <c r="N5007" t="s">
        <v>10</v>
      </c>
      <c r="O5007" t="s">
        <v>188</v>
      </c>
      <c r="P5007" s="1" t="s">
        <v>34</v>
      </c>
      <c r="Q5007">
        <v>122.4</v>
      </c>
    </row>
    <row r="5008" spans="11:17" x14ac:dyDescent="0.3">
      <c r="K5008">
        <v>2018</v>
      </c>
      <c r="L5008" t="s">
        <v>41</v>
      </c>
      <c r="M5008" t="s">
        <v>115</v>
      </c>
      <c r="N5008" t="s">
        <v>10</v>
      </c>
      <c r="O5008" t="s">
        <v>188</v>
      </c>
      <c r="P5008" s="1" t="s">
        <v>33</v>
      </c>
      <c r="Q5008">
        <v>113.6</v>
      </c>
    </row>
    <row r="5009" spans="11:17" x14ac:dyDescent="0.3">
      <c r="K5009">
        <v>2018</v>
      </c>
      <c r="L5009" t="s">
        <v>41</v>
      </c>
      <c r="M5009" t="s">
        <v>115</v>
      </c>
      <c r="N5009" t="s">
        <v>25</v>
      </c>
      <c r="O5009" t="s">
        <v>195</v>
      </c>
      <c r="P5009" s="1" t="s">
        <v>30</v>
      </c>
      <c r="Q5009">
        <v>138.6</v>
      </c>
    </row>
    <row r="5010" spans="11:17" x14ac:dyDescent="0.3">
      <c r="K5010">
        <v>2018</v>
      </c>
      <c r="L5010" t="s">
        <v>41</v>
      </c>
      <c r="M5010" t="s">
        <v>115</v>
      </c>
      <c r="N5010" t="s">
        <v>25</v>
      </c>
      <c r="O5010" t="s">
        <v>195</v>
      </c>
      <c r="P5010" s="1" t="s">
        <v>34</v>
      </c>
      <c r="Q5010">
        <v>133.6</v>
      </c>
    </row>
    <row r="5011" spans="11:17" x14ac:dyDescent="0.3">
      <c r="K5011">
        <v>2018</v>
      </c>
      <c r="L5011" t="s">
        <v>41</v>
      </c>
      <c r="M5011" t="s">
        <v>115</v>
      </c>
      <c r="N5011" t="s">
        <v>25</v>
      </c>
      <c r="O5011" t="s">
        <v>195</v>
      </c>
      <c r="P5011" s="1" t="s">
        <v>33</v>
      </c>
      <c r="Q5011">
        <v>129.80000000000001</v>
      </c>
    </row>
    <row r="5012" spans="11:17" x14ac:dyDescent="0.3">
      <c r="K5012">
        <v>2018</v>
      </c>
      <c r="L5012" t="s">
        <v>41</v>
      </c>
      <c r="M5012" t="s">
        <v>115</v>
      </c>
      <c r="N5012" t="s">
        <v>12</v>
      </c>
      <c r="O5012" t="s">
        <v>188</v>
      </c>
      <c r="P5012" s="1" t="s">
        <v>30</v>
      </c>
      <c r="Q5012">
        <v>138.6</v>
      </c>
    </row>
    <row r="5013" spans="11:17" x14ac:dyDescent="0.3">
      <c r="K5013">
        <v>2018</v>
      </c>
      <c r="L5013" t="s">
        <v>41</v>
      </c>
      <c r="M5013" t="s">
        <v>115</v>
      </c>
      <c r="N5013" t="s">
        <v>12</v>
      </c>
      <c r="O5013" t="s">
        <v>188</v>
      </c>
      <c r="P5013" s="1" t="s">
        <v>34</v>
      </c>
      <c r="Q5013">
        <v>139.4</v>
      </c>
    </row>
    <row r="5014" spans="11:17" x14ac:dyDescent="0.3">
      <c r="K5014">
        <v>2018</v>
      </c>
      <c r="L5014" t="s">
        <v>41</v>
      </c>
      <c r="M5014" t="s">
        <v>115</v>
      </c>
      <c r="N5014" t="s">
        <v>12</v>
      </c>
      <c r="O5014" t="s">
        <v>188</v>
      </c>
      <c r="P5014" s="1" t="s">
        <v>33</v>
      </c>
      <c r="Q5014">
        <v>141.1</v>
      </c>
    </row>
    <row r="5015" spans="11:17" x14ac:dyDescent="0.3">
      <c r="K5015">
        <v>2018</v>
      </c>
      <c r="L5015" t="s">
        <v>41</v>
      </c>
      <c r="M5015" t="s">
        <v>115</v>
      </c>
      <c r="N5015" t="s">
        <v>11</v>
      </c>
      <c r="O5015" t="s">
        <v>188</v>
      </c>
      <c r="P5015" s="1" t="s">
        <v>30</v>
      </c>
      <c r="Q5015">
        <v>115.4</v>
      </c>
    </row>
    <row r="5016" spans="11:17" x14ac:dyDescent="0.3">
      <c r="K5016">
        <v>2018</v>
      </c>
      <c r="L5016" t="s">
        <v>41</v>
      </c>
      <c r="M5016" t="s">
        <v>115</v>
      </c>
      <c r="N5016" t="s">
        <v>11</v>
      </c>
      <c r="O5016" t="s">
        <v>188</v>
      </c>
      <c r="P5016" s="1" t="s">
        <v>34</v>
      </c>
      <c r="Q5016">
        <v>114.7</v>
      </c>
    </row>
    <row r="5017" spans="11:17" x14ac:dyDescent="0.3">
      <c r="K5017">
        <v>2018</v>
      </c>
      <c r="L5017" t="s">
        <v>41</v>
      </c>
      <c r="M5017" t="s">
        <v>115</v>
      </c>
      <c r="N5017" t="s">
        <v>11</v>
      </c>
      <c r="O5017" t="s">
        <v>188</v>
      </c>
      <c r="P5017" s="1" t="s">
        <v>33</v>
      </c>
      <c r="Q5017">
        <v>113.3</v>
      </c>
    </row>
    <row r="5018" spans="11:17" x14ac:dyDescent="0.3">
      <c r="K5018">
        <v>2018</v>
      </c>
      <c r="L5018" t="s">
        <v>41</v>
      </c>
      <c r="M5018" t="s">
        <v>115</v>
      </c>
      <c r="N5018" t="s">
        <v>24</v>
      </c>
      <c r="O5018" t="s">
        <v>191</v>
      </c>
      <c r="P5018" s="1" t="s">
        <v>30</v>
      </c>
      <c r="Q5018">
        <v>128.30000000000001</v>
      </c>
    </row>
    <row r="5019" spans="11:17" x14ac:dyDescent="0.3">
      <c r="K5019">
        <v>2018</v>
      </c>
      <c r="L5019" t="s">
        <v>41</v>
      </c>
      <c r="M5019" t="s">
        <v>115</v>
      </c>
      <c r="N5019" t="s">
        <v>24</v>
      </c>
      <c r="O5019" t="s">
        <v>191</v>
      </c>
      <c r="P5019" s="1" t="s">
        <v>34</v>
      </c>
      <c r="Q5019">
        <v>124.3</v>
      </c>
    </row>
    <row r="5020" spans="11:17" x14ac:dyDescent="0.3">
      <c r="K5020">
        <v>2018</v>
      </c>
      <c r="L5020" t="s">
        <v>41</v>
      </c>
      <c r="M5020" t="s">
        <v>115</v>
      </c>
      <c r="N5020" t="s">
        <v>24</v>
      </c>
      <c r="O5020" t="s">
        <v>191</v>
      </c>
      <c r="P5020" s="1" t="s">
        <v>33</v>
      </c>
      <c r="Q5020">
        <v>120.7</v>
      </c>
    </row>
    <row r="5021" spans="11:17" x14ac:dyDescent="0.3">
      <c r="K5021">
        <v>2018</v>
      </c>
      <c r="L5021" t="s">
        <v>41</v>
      </c>
      <c r="M5021" t="s">
        <v>115</v>
      </c>
      <c r="N5021" t="s">
        <v>9</v>
      </c>
      <c r="O5021" t="s">
        <v>188</v>
      </c>
      <c r="P5021" s="1" t="s">
        <v>30</v>
      </c>
      <c r="Q5021">
        <v>156.30000000000001</v>
      </c>
    </row>
    <row r="5022" spans="11:17" x14ac:dyDescent="0.3">
      <c r="K5022">
        <v>2018</v>
      </c>
      <c r="L5022" t="s">
        <v>41</v>
      </c>
      <c r="M5022" t="s">
        <v>115</v>
      </c>
      <c r="N5022" t="s">
        <v>9</v>
      </c>
      <c r="O5022" t="s">
        <v>188</v>
      </c>
      <c r="P5022" s="1" t="s">
        <v>34</v>
      </c>
      <c r="Q5022">
        <v>156.6</v>
      </c>
    </row>
    <row r="5023" spans="11:17" x14ac:dyDescent="0.3">
      <c r="K5023">
        <v>2018</v>
      </c>
      <c r="L5023" t="s">
        <v>41</v>
      </c>
      <c r="M5023" t="s">
        <v>115</v>
      </c>
      <c r="N5023" t="s">
        <v>9</v>
      </c>
      <c r="O5023" t="s">
        <v>188</v>
      </c>
      <c r="P5023" s="1" t="s">
        <v>33</v>
      </c>
      <c r="Q5023">
        <v>157.30000000000001</v>
      </c>
    </row>
    <row r="5024" spans="11:17" x14ac:dyDescent="0.3">
      <c r="K5024">
        <v>2018</v>
      </c>
      <c r="L5024" t="s">
        <v>45</v>
      </c>
      <c r="M5024" t="s">
        <v>116</v>
      </c>
      <c r="N5024" t="s">
        <v>3</v>
      </c>
      <c r="O5024" t="s">
        <v>188</v>
      </c>
      <c r="P5024" s="1" t="s">
        <v>30</v>
      </c>
      <c r="Q5024">
        <v>137.1</v>
      </c>
    </row>
    <row r="5025" spans="11:17" x14ac:dyDescent="0.3">
      <c r="K5025">
        <v>2018</v>
      </c>
      <c r="L5025" t="s">
        <v>45</v>
      </c>
      <c r="M5025" t="s">
        <v>116</v>
      </c>
      <c r="N5025" t="s">
        <v>3</v>
      </c>
      <c r="O5025" t="s">
        <v>188</v>
      </c>
      <c r="P5025" s="1" t="s">
        <v>34</v>
      </c>
      <c r="Q5025">
        <v>137.5</v>
      </c>
    </row>
    <row r="5026" spans="11:17" x14ac:dyDescent="0.3">
      <c r="K5026">
        <v>2018</v>
      </c>
      <c r="L5026" t="s">
        <v>45</v>
      </c>
      <c r="M5026" t="s">
        <v>116</v>
      </c>
      <c r="N5026" t="s">
        <v>3</v>
      </c>
      <c r="O5026" t="s">
        <v>188</v>
      </c>
      <c r="P5026" s="1" t="s">
        <v>33</v>
      </c>
      <c r="Q5026">
        <v>138.5</v>
      </c>
    </row>
    <row r="5027" spans="11:17" x14ac:dyDescent="0.3">
      <c r="K5027">
        <v>2018</v>
      </c>
      <c r="L5027" t="s">
        <v>45</v>
      </c>
      <c r="M5027" t="s">
        <v>116</v>
      </c>
      <c r="N5027" t="s">
        <v>17</v>
      </c>
      <c r="O5027" t="s">
        <v>189</v>
      </c>
      <c r="P5027" s="1" t="s">
        <v>30</v>
      </c>
      <c r="Q5027">
        <v>151.6</v>
      </c>
    </row>
    <row r="5028" spans="11:17" x14ac:dyDescent="0.3">
      <c r="K5028">
        <v>2018</v>
      </c>
      <c r="L5028" t="s">
        <v>45</v>
      </c>
      <c r="M5028" t="s">
        <v>116</v>
      </c>
      <c r="N5028" t="s">
        <v>17</v>
      </c>
      <c r="O5028" t="s">
        <v>189</v>
      </c>
      <c r="P5028" s="1" t="s">
        <v>34</v>
      </c>
      <c r="Q5028">
        <v>148.1</v>
      </c>
    </row>
    <row r="5029" spans="11:17" x14ac:dyDescent="0.3">
      <c r="K5029">
        <v>2018</v>
      </c>
      <c r="L5029" t="s">
        <v>45</v>
      </c>
      <c r="M5029" t="s">
        <v>116</v>
      </c>
      <c r="N5029" t="s">
        <v>17</v>
      </c>
      <c r="O5029" t="s">
        <v>189</v>
      </c>
      <c r="P5029" s="1" t="s">
        <v>33</v>
      </c>
      <c r="Q5029">
        <v>142.69999999999999</v>
      </c>
    </row>
    <row r="5030" spans="11:17" x14ac:dyDescent="0.3">
      <c r="K5030">
        <v>2018</v>
      </c>
      <c r="L5030" t="s">
        <v>45</v>
      </c>
      <c r="M5030" t="s">
        <v>116</v>
      </c>
      <c r="N5030" t="s">
        <v>19</v>
      </c>
      <c r="O5030" t="s">
        <v>189</v>
      </c>
      <c r="P5030" s="1" t="s">
        <v>30</v>
      </c>
      <c r="Q5030">
        <v>150.80000000000001</v>
      </c>
    </row>
    <row r="5031" spans="11:17" x14ac:dyDescent="0.3">
      <c r="K5031">
        <v>2018</v>
      </c>
      <c r="L5031" t="s">
        <v>45</v>
      </c>
      <c r="M5031" t="s">
        <v>116</v>
      </c>
      <c r="N5031" t="s">
        <v>19</v>
      </c>
      <c r="O5031" t="s">
        <v>189</v>
      </c>
      <c r="P5031" s="1" t="s">
        <v>34</v>
      </c>
      <c r="Q5031">
        <v>146.80000000000001</v>
      </c>
    </row>
    <row r="5032" spans="11:17" x14ac:dyDescent="0.3">
      <c r="K5032">
        <v>2018</v>
      </c>
      <c r="L5032" t="s">
        <v>45</v>
      </c>
      <c r="M5032" t="s">
        <v>116</v>
      </c>
      <c r="N5032" t="s">
        <v>19</v>
      </c>
      <c r="O5032" t="s">
        <v>189</v>
      </c>
      <c r="P5032" s="1" t="s">
        <v>33</v>
      </c>
      <c r="Q5032">
        <v>140.80000000000001</v>
      </c>
    </row>
    <row r="5033" spans="11:17" x14ac:dyDescent="0.3">
      <c r="K5033">
        <v>2018</v>
      </c>
      <c r="L5033" t="s">
        <v>45</v>
      </c>
      <c r="M5033" t="s">
        <v>116</v>
      </c>
      <c r="N5033" t="s">
        <v>26</v>
      </c>
      <c r="O5033" t="s">
        <v>26</v>
      </c>
      <c r="P5033" s="1" t="s">
        <v>30</v>
      </c>
      <c r="Q5033">
        <v>155.1</v>
      </c>
    </row>
    <row r="5034" spans="11:17" x14ac:dyDescent="0.3">
      <c r="K5034">
        <v>2018</v>
      </c>
      <c r="L5034" t="s">
        <v>45</v>
      </c>
      <c r="M5034" t="s">
        <v>116</v>
      </c>
      <c r="N5034" t="s">
        <v>26</v>
      </c>
      <c r="O5034" t="s">
        <v>26</v>
      </c>
      <c r="P5034" s="1" t="s">
        <v>34</v>
      </c>
      <c r="Q5034">
        <v>150.1</v>
      </c>
    </row>
    <row r="5035" spans="11:17" x14ac:dyDescent="0.3">
      <c r="K5035">
        <v>2018</v>
      </c>
      <c r="L5035" t="s">
        <v>45</v>
      </c>
      <c r="M5035" t="s">
        <v>116</v>
      </c>
      <c r="N5035" t="s">
        <v>26</v>
      </c>
      <c r="O5035" t="s">
        <v>26</v>
      </c>
      <c r="P5035" s="1" t="s">
        <v>33</v>
      </c>
      <c r="Q5035">
        <v>146.5</v>
      </c>
    </row>
    <row r="5036" spans="11:17" x14ac:dyDescent="0.3">
      <c r="K5036">
        <v>2018</v>
      </c>
      <c r="L5036" t="s">
        <v>45</v>
      </c>
      <c r="M5036" t="s">
        <v>116</v>
      </c>
      <c r="N5036" t="s">
        <v>5</v>
      </c>
      <c r="O5036" t="s">
        <v>188</v>
      </c>
      <c r="P5036" s="1" t="s">
        <v>30</v>
      </c>
      <c r="Q5036">
        <v>137.4</v>
      </c>
    </row>
    <row r="5037" spans="11:17" x14ac:dyDescent="0.3">
      <c r="K5037">
        <v>2018</v>
      </c>
      <c r="L5037" t="s">
        <v>45</v>
      </c>
      <c r="M5037" t="s">
        <v>116</v>
      </c>
      <c r="N5037" t="s">
        <v>5</v>
      </c>
      <c r="O5037" t="s">
        <v>188</v>
      </c>
      <c r="P5037" s="1" t="s">
        <v>34</v>
      </c>
      <c r="Q5037">
        <v>138.80000000000001</v>
      </c>
    </row>
    <row r="5038" spans="11:17" x14ac:dyDescent="0.3">
      <c r="K5038">
        <v>2018</v>
      </c>
      <c r="L5038" t="s">
        <v>45</v>
      </c>
      <c r="M5038" t="s">
        <v>116</v>
      </c>
      <c r="N5038" t="s">
        <v>5</v>
      </c>
      <c r="O5038" t="s">
        <v>188</v>
      </c>
      <c r="P5038" s="1" t="s">
        <v>33</v>
      </c>
      <c r="Q5038">
        <v>141.1</v>
      </c>
    </row>
    <row r="5039" spans="11:17" x14ac:dyDescent="0.3">
      <c r="K5039">
        <v>2018</v>
      </c>
      <c r="L5039" t="s">
        <v>45</v>
      </c>
      <c r="M5039" t="s">
        <v>116</v>
      </c>
      <c r="N5039" t="s">
        <v>15</v>
      </c>
      <c r="O5039" t="s">
        <v>188</v>
      </c>
      <c r="P5039" s="1" t="s">
        <v>30</v>
      </c>
      <c r="Q5039">
        <v>138.5</v>
      </c>
    </row>
    <row r="5040" spans="11:17" x14ac:dyDescent="0.3">
      <c r="K5040">
        <v>2018</v>
      </c>
      <c r="L5040" t="s">
        <v>45</v>
      </c>
      <c r="M5040" t="s">
        <v>116</v>
      </c>
      <c r="N5040" t="s">
        <v>15</v>
      </c>
      <c r="O5040" t="s">
        <v>188</v>
      </c>
      <c r="P5040" s="1" t="s">
        <v>34</v>
      </c>
      <c r="Q5040">
        <v>138.19999999999999</v>
      </c>
    </row>
    <row r="5041" spans="11:17" x14ac:dyDescent="0.3">
      <c r="K5041">
        <v>2018</v>
      </c>
      <c r="L5041" t="s">
        <v>45</v>
      </c>
      <c r="M5041" t="s">
        <v>116</v>
      </c>
      <c r="N5041" t="s">
        <v>15</v>
      </c>
      <c r="O5041" t="s">
        <v>188</v>
      </c>
      <c r="P5041" s="1" t="s">
        <v>33</v>
      </c>
      <c r="Q5041">
        <v>137.6</v>
      </c>
    </row>
    <row r="5042" spans="11:17" x14ac:dyDescent="0.3">
      <c r="K5042">
        <v>2018</v>
      </c>
      <c r="L5042" t="s">
        <v>45</v>
      </c>
      <c r="M5042" t="s">
        <v>116</v>
      </c>
      <c r="N5042" t="s">
        <v>18</v>
      </c>
      <c r="O5042" t="s">
        <v>189</v>
      </c>
      <c r="P5042" s="1" t="s">
        <v>30</v>
      </c>
      <c r="Q5042">
        <v>145.9</v>
      </c>
    </row>
    <row r="5043" spans="11:17" x14ac:dyDescent="0.3">
      <c r="K5043">
        <v>2018</v>
      </c>
      <c r="L5043" t="s">
        <v>45</v>
      </c>
      <c r="M5043" t="s">
        <v>116</v>
      </c>
      <c r="N5043" t="s">
        <v>18</v>
      </c>
      <c r="O5043" t="s">
        <v>189</v>
      </c>
      <c r="P5043" s="1" t="s">
        <v>34</v>
      </c>
      <c r="Q5043">
        <v>139.4</v>
      </c>
    </row>
    <row r="5044" spans="11:17" x14ac:dyDescent="0.3">
      <c r="K5044">
        <v>2018</v>
      </c>
      <c r="L5044" t="s">
        <v>45</v>
      </c>
      <c r="M5044" t="s">
        <v>116</v>
      </c>
      <c r="N5044" t="s">
        <v>18</v>
      </c>
      <c r="O5044" t="s">
        <v>189</v>
      </c>
      <c r="P5044" s="1" t="s">
        <v>33</v>
      </c>
      <c r="Q5044">
        <v>130.30000000000001</v>
      </c>
    </row>
    <row r="5045" spans="11:17" x14ac:dyDescent="0.3">
      <c r="K5045">
        <v>2018</v>
      </c>
      <c r="L5045" t="s">
        <v>45</v>
      </c>
      <c r="M5045" t="s">
        <v>116</v>
      </c>
      <c r="N5045" t="s">
        <v>8</v>
      </c>
      <c r="O5045" t="s">
        <v>188</v>
      </c>
      <c r="P5045" s="1" t="s">
        <v>30</v>
      </c>
      <c r="Q5045">
        <v>140.19999999999999</v>
      </c>
    </row>
    <row r="5046" spans="11:17" x14ac:dyDescent="0.3">
      <c r="K5046">
        <v>2018</v>
      </c>
      <c r="L5046" t="s">
        <v>45</v>
      </c>
      <c r="M5046" t="s">
        <v>116</v>
      </c>
      <c r="N5046" t="s">
        <v>8</v>
      </c>
      <c r="O5046" t="s">
        <v>188</v>
      </c>
      <c r="P5046" s="1" t="s">
        <v>34</v>
      </c>
      <c r="Q5046">
        <v>139.4</v>
      </c>
    </row>
    <row r="5047" spans="11:17" x14ac:dyDescent="0.3">
      <c r="K5047">
        <v>2018</v>
      </c>
      <c r="L5047" t="s">
        <v>45</v>
      </c>
      <c r="M5047" t="s">
        <v>116</v>
      </c>
      <c r="N5047" t="s">
        <v>8</v>
      </c>
      <c r="O5047" t="s">
        <v>188</v>
      </c>
      <c r="P5047" s="1" t="s">
        <v>33</v>
      </c>
      <c r="Q5047">
        <v>138.5</v>
      </c>
    </row>
    <row r="5048" spans="11:17" x14ac:dyDescent="0.3">
      <c r="K5048">
        <v>2018</v>
      </c>
      <c r="L5048" t="s">
        <v>45</v>
      </c>
      <c r="M5048" t="s">
        <v>116</v>
      </c>
      <c r="N5048" t="s">
        <v>21</v>
      </c>
      <c r="O5048" t="s">
        <v>190</v>
      </c>
      <c r="P5048" s="1" t="s">
        <v>30</v>
      </c>
      <c r="Q5048">
        <v>149</v>
      </c>
    </row>
    <row r="5049" spans="11:17" x14ac:dyDescent="0.3">
      <c r="K5049">
        <v>2018</v>
      </c>
      <c r="L5049" t="s">
        <v>45</v>
      </c>
      <c r="M5049" t="s">
        <v>116</v>
      </c>
      <c r="N5049" t="s">
        <v>21</v>
      </c>
      <c r="O5049" t="s">
        <v>190</v>
      </c>
      <c r="P5049" s="1" t="s">
        <v>34</v>
      </c>
      <c r="Q5049">
        <v>142.69999999999999</v>
      </c>
    </row>
    <row r="5050" spans="11:17" x14ac:dyDescent="0.3">
      <c r="K5050">
        <v>2018</v>
      </c>
      <c r="L5050" t="s">
        <v>45</v>
      </c>
      <c r="M5050" t="s">
        <v>116</v>
      </c>
      <c r="N5050" t="s">
        <v>21</v>
      </c>
      <c r="O5050" t="s">
        <v>190</v>
      </c>
      <c r="P5050" s="1" t="s">
        <v>33</v>
      </c>
      <c r="Q5050">
        <v>132.4</v>
      </c>
    </row>
    <row r="5051" spans="11:17" x14ac:dyDescent="0.3">
      <c r="K5051">
        <v>2018</v>
      </c>
      <c r="L5051" t="s">
        <v>45</v>
      </c>
      <c r="M5051" t="s">
        <v>116</v>
      </c>
      <c r="N5051" t="s">
        <v>29</v>
      </c>
      <c r="O5051" t="s">
        <v>206</v>
      </c>
      <c r="P5051" s="1" t="s">
        <v>30</v>
      </c>
      <c r="Q5051">
        <v>141.9</v>
      </c>
    </row>
    <row r="5052" spans="11:17" x14ac:dyDescent="0.3">
      <c r="K5052">
        <v>2018</v>
      </c>
      <c r="L5052" t="s">
        <v>45</v>
      </c>
      <c r="M5052" t="s">
        <v>116</v>
      </c>
      <c r="N5052" t="s">
        <v>29</v>
      </c>
      <c r="O5052" t="s">
        <v>206</v>
      </c>
      <c r="P5052" s="1" t="s">
        <v>34</v>
      </c>
      <c r="Q5052">
        <v>140.1</v>
      </c>
    </row>
    <row r="5053" spans="11:17" x14ac:dyDescent="0.3">
      <c r="K5053">
        <v>2018</v>
      </c>
      <c r="L5053" t="s">
        <v>45</v>
      </c>
      <c r="M5053" t="s">
        <v>116</v>
      </c>
      <c r="N5053" t="s">
        <v>29</v>
      </c>
      <c r="O5053" t="s">
        <v>206</v>
      </c>
      <c r="P5053" s="1" t="s">
        <v>33</v>
      </c>
      <c r="Q5053">
        <v>138</v>
      </c>
    </row>
    <row r="5054" spans="11:17" x14ac:dyDescent="0.3">
      <c r="K5054">
        <v>2018</v>
      </c>
      <c r="L5054" t="s">
        <v>45</v>
      </c>
      <c r="M5054" t="s">
        <v>116</v>
      </c>
      <c r="N5054" t="s">
        <v>23</v>
      </c>
      <c r="O5054" t="s">
        <v>23</v>
      </c>
      <c r="P5054" s="1" t="s">
        <v>30</v>
      </c>
      <c r="Q5054">
        <v>149.6</v>
      </c>
    </row>
    <row r="5055" spans="11:17" x14ac:dyDescent="0.3">
      <c r="K5055">
        <v>2018</v>
      </c>
      <c r="L5055" t="s">
        <v>45</v>
      </c>
      <c r="M5055" t="s">
        <v>116</v>
      </c>
      <c r="N5055" t="s">
        <v>23</v>
      </c>
      <c r="O5055" t="s">
        <v>23</v>
      </c>
      <c r="P5055" s="1" t="s">
        <v>34</v>
      </c>
      <c r="Q5055">
        <v>144.9</v>
      </c>
    </row>
    <row r="5056" spans="11:17" x14ac:dyDescent="0.3">
      <c r="K5056">
        <v>2018</v>
      </c>
      <c r="L5056" t="s">
        <v>45</v>
      </c>
      <c r="M5056" t="s">
        <v>116</v>
      </c>
      <c r="N5056" t="s">
        <v>23</v>
      </c>
      <c r="O5056" t="s">
        <v>23</v>
      </c>
      <c r="P5056" s="1" t="s">
        <v>33</v>
      </c>
      <c r="Q5056">
        <v>137.30000000000001</v>
      </c>
    </row>
    <row r="5057" spans="11:17" x14ac:dyDescent="0.3">
      <c r="K5057">
        <v>2018</v>
      </c>
      <c r="L5057" t="s">
        <v>45</v>
      </c>
      <c r="M5057" t="s">
        <v>116</v>
      </c>
      <c r="N5057" t="s">
        <v>22</v>
      </c>
      <c r="O5057" t="s">
        <v>20</v>
      </c>
      <c r="P5057" s="1" t="s">
        <v>30</v>
      </c>
      <c r="Q5057">
        <v>149.5</v>
      </c>
    </row>
    <row r="5058" spans="11:17" x14ac:dyDescent="0.3">
      <c r="K5058">
        <v>2018</v>
      </c>
      <c r="L5058" t="s">
        <v>45</v>
      </c>
      <c r="M5058" t="s">
        <v>116</v>
      </c>
      <c r="N5058" t="s">
        <v>22</v>
      </c>
      <c r="O5058" t="s">
        <v>20</v>
      </c>
      <c r="P5058" s="1" t="s">
        <v>34</v>
      </c>
      <c r="Q5058">
        <v>143.19999999999999</v>
      </c>
    </row>
    <row r="5059" spans="11:17" x14ac:dyDescent="0.3">
      <c r="K5059">
        <v>2018</v>
      </c>
      <c r="L5059" t="s">
        <v>45</v>
      </c>
      <c r="M5059" t="s">
        <v>116</v>
      </c>
      <c r="N5059" t="s">
        <v>22</v>
      </c>
      <c r="O5059" t="s">
        <v>20</v>
      </c>
      <c r="P5059" s="1" t="s">
        <v>33</v>
      </c>
      <c r="Q5059">
        <v>136.19999999999999</v>
      </c>
    </row>
    <row r="5060" spans="11:17" x14ac:dyDescent="0.3">
      <c r="K5060">
        <v>2018</v>
      </c>
      <c r="L5060" t="s">
        <v>45</v>
      </c>
      <c r="M5060" t="s">
        <v>116</v>
      </c>
      <c r="N5060" t="s">
        <v>20</v>
      </c>
      <c r="O5060" t="s">
        <v>20</v>
      </c>
      <c r="P5060" s="1" t="s">
        <v>30</v>
      </c>
      <c r="Q5060">
        <v>0</v>
      </c>
    </row>
    <row r="5061" spans="11:17" x14ac:dyDescent="0.3">
      <c r="K5061">
        <v>2018</v>
      </c>
      <c r="L5061" t="s">
        <v>45</v>
      </c>
      <c r="M5061" t="s">
        <v>116</v>
      </c>
      <c r="N5061" t="s">
        <v>20</v>
      </c>
      <c r="O5061" t="s">
        <v>20</v>
      </c>
      <c r="P5061" s="1" t="s">
        <v>34</v>
      </c>
      <c r="Q5061">
        <v>146.5</v>
      </c>
    </row>
    <row r="5062" spans="11:17" x14ac:dyDescent="0.3">
      <c r="K5062">
        <v>2018</v>
      </c>
      <c r="L5062" t="s">
        <v>45</v>
      </c>
      <c r="M5062" t="s">
        <v>116</v>
      </c>
      <c r="N5062" t="s">
        <v>20</v>
      </c>
      <c r="O5062" t="s">
        <v>20</v>
      </c>
      <c r="P5062" s="1" t="s">
        <v>33</v>
      </c>
      <c r="Q5062">
        <v>146.5</v>
      </c>
    </row>
    <row r="5063" spans="11:17" x14ac:dyDescent="0.3">
      <c r="K5063">
        <v>2018</v>
      </c>
      <c r="L5063" t="s">
        <v>45</v>
      </c>
      <c r="M5063" t="s">
        <v>116</v>
      </c>
      <c r="N5063" t="s">
        <v>4</v>
      </c>
      <c r="O5063" t="s">
        <v>188</v>
      </c>
      <c r="P5063" s="1" t="s">
        <v>30</v>
      </c>
      <c r="Q5063">
        <v>151.9</v>
      </c>
    </row>
    <row r="5064" spans="11:17" x14ac:dyDescent="0.3">
      <c r="K5064">
        <v>2018</v>
      </c>
      <c r="L5064" t="s">
        <v>45</v>
      </c>
      <c r="M5064" t="s">
        <v>116</v>
      </c>
      <c r="N5064" t="s">
        <v>4</v>
      </c>
      <c r="O5064" t="s">
        <v>188</v>
      </c>
      <c r="P5064" s="1" t="s">
        <v>34</v>
      </c>
      <c r="Q5064">
        <v>150.5</v>
      </c>
    </row>
    <row r="5065" spans="11:17" x14ac:dyDescent="0.3">
      <c r="K5065">
        <v>2018</v>
      </c>
      <c r="L5065" t="s">
        <v>45</v>
      </c>
      <c r="M5065" t="s">
        <v>116</v>
      </c>
      <c r="N5065" t="s">
        <v>4</v>
      </c>
      <c r="O5065" t="s">
        <v>188</v>
      </c>
      <c r="P5065" s="1" t="s">
        <v>33</v>
      </c>
      <c r="Q5065">
        <v>147.80000000000001</v>
      </c>
    </row>
    <row r="5066" spans="11:17" x14ac:dyDescent="0.3">
      <c r="K5066">
        <v>2018</v>
      </c>
      <c r="L5066" t="s">
        <v>45</v>
      </c>
      <c r="M5066" t="s">
        <v>116</v>
      </c>
      <c r="N5066" t="s">
        <v>6</v>
      </c>
      <c r="O5066" t="s">
        <v>188</v>
      </c>
      <c r="P5066" s="1" t="s">
        <v>30</v>
      </c>
      <c r="Q5066">
        <v>142.4</v>
      </c>
    </row>
    <row r="5067" spans="11:17" x14ac:dyDescent="0.3">
      <c r="K5067">
        <v>2018</v>
      </c>
      <c r="L5067" t="s">
        <v>45</v>
      </c>
      <c r="M5067" t="s">
        <v>116</v>
      </c>
      <c r="N5067" t="s">
        <v>6</v>
      </c>
      <c r="O5067" t="s">
        <v>188</v>
      </c>
      <c r="P5067" s="1" t="s">
        <v>34</v>
      </c>
      <c r="Q5067">
        <v>142.1</v>
      </c>
    </row>
    <row r="5068" spans="11:17" x14ac:dyDescent="0.3">
      <c r="K5068">
        <v>2018</v>
      </c>
      <c r="L5068" t="s">
        <v>45</v>
      </c>
      <c r="M5068" t="s">
        <v>116</v>
      </c>
      <c r="N5068" t="s">
        <v>6</v>
      </c>
      <c r="O5068" t="s">
        <v>188</v>
      </c>
      <c r="P5068" s="1" t="s">
        <v>33</v>
      </c>
      <c r="Q5068">
        <v>141.6</v>
      </c>
    </row>
    <row r="5069" spans="11:17" x14ac:dyDescent="0.3">
      <c r="K5069">
        <v>2018</v>
      </c>
      <c r="L5069" t="s">
        <v>45</v>
      </c>
      <c r="M5069" t="s">
        <v>116</v>
      </c>
      <c r="N5069" t="s">
        <v>28</v>
      </c>
      <c r="O5069" t="s">
        <v>192</v>
      </c>
      <c r="P5069" s="1" t="s">
        <v>30</v>
      </c>
      <c r="Q5069">
        <v>141.6</v>
      </c>
    </row>
    <row r="5070" spans="11:17" x14ac:dyDescent="0.3">
      <c r="K5070">
        <v>2018</v>
      </c>
      <c r="L5070" t="s">
        <v>45</v>
      </c>
      <c r="M5070" t="s">
        <v>116</v>
      </c>
      <c r="N5070" t="s">
        <v>28</v>
      </c>
      <c r="O5070" t="s">
        <v>192</v>
      </c>
      <c r="P5070" s="1" t="s">
        <v>34</v>
      </c>
      <c r="Q5070">
        <v>136.80000000000001</v>
      </c>
    </row>
    <row r="5071" spans="11:17" x14ac:dyDescent="0.3">
      <c r="K5071">
        <v>2018</v>
      </c>
      <c r="L5071" t="s">
        <v>45</v>
      </c>
      <c r="M5071" t="s">
        <v>116</v>
      </c>
      <c r="N5071" t="s">
        <v>28</v>
      </c>
      <c r="O5071" t="s">
        <v>192</v>
      </c>
      <c r="P5071" s="1" t="s">
        <v>33</v>
      </c>
      <c r="Q5071">
        <v>131.69999999999999</v>
      </c>
    </row>
    <row r="5072" spans="11:17" x14ac:dyDescent="0.3">
      <c r="K5072">
        <v>2018</v>
      </c>
      <c r="L5072" t="s">
        <v>45</v>
      </c>
      <c r="M5072" t="s">
        <v>116</v>
      </c>
      <c r="N5072" t="s">
        <v>13</v>
      </c>
      <c r="O5072" t="s">
        <v>188</v>
      </c>
      <c r="P5072" s="1" t="s">
        <v>30</v>
      </c>
      <c r="Q5072">
        <v>137.80000000000001</v>
      </c>
    </row>
    <row r="5073" spans="11:17" x14ac:dyDescent="0.3">
      <c r="K5073">
        <v>2018</v>
      </c>
      <c r="L5073" t="s">
        <v>45</v>
      </c>
      <c r="M5073" t="s">
        <v>116</v>
      </c>
      <c r="N5073" t="s">
        <v>13</v>
      </c>
      <c r="O5073" t="s">
        <v>188</v>
      </c>
      <c r="P5073" s="1" t="s">
        <v>34</v>
      </c>
      <c r="Q5073">
        <v>133.80000000000001</v>
      </c>
    </row>
    <row r="5074" spans="11:17" x14ac:dyDescent="0.3">
      <c r="K5074">
        <v>2018</v>
      </c>
      <c r="L5074" t="s">
        <v>45</v>
      </c>
      <c r="M5074" t="s">
        <v>116</v>
      </c>
      <c r="N5074" t="s">
        <v>13</v>
      </c>
      <c r="O5074" t="s">
        <v>188</v>
      </c>
      <c r="P5074" s="1" t="s">
        <v>33</v>
      </c>
      <c r="Q5074">
        <v>128.1</v>
      </c>
    </row>
    <row r="5075" spans="11:17" x14ac:dyDescent="0.3">
      <c r="K5075">
        <v>2018</v>
      </c>
      <c r="L5075" t="s">
        <v>45</v>
      </c>
      <c r="M5075" t="s">
        <v>116</v>
      </c>
      <c r="N5075" t="s">
        <v>7</v>
      </c>
      <c r="O5075" t="s">
        <v>188</v>
      </c>
      <c r="P5075" s="1" t="s">
        <v>30</v>
      </c>
      <c r="Q5075">
        <v>124.2</v>
      </c>
    </row>
    <row r="5076" spans="11:17" x14ac:dyDescent="0.3">
      <c r="K5076">
        <v>2018</v>
      </c>
      <c r="L5076" t="s">
        <v>45</v>
      </c>
      <c r="M5076" t="s">
        <v>116</v>
      </c>
      <c r="N5076" t="s">
        <v>7</v>
      </c>
      <c r="O5076" t="s">
        <v>188</v>
      </c>
      <c r="P5076" s="1" t="s">
        <v>34</v>
      </c>
      <c r="Q5076">
        <v>122</v>
      </c>
    </row>
    <row r="5077" spans="11:17" x14ac:dyDescent="0.3">
      <c r="K5077">
        <v>2018</v>
      </c>
      <c r="L5077" t="s">
        <v>45</v>
      </c>
      <c r="M5077" t="s">
        <v>116</v>
      </c>
      <c r="N5077" t="s">
        <v>7</v>
      </c>
      <c r="O5077" t="s">
        <v>188</v>
      </c>
      <c r="P5077" s="1" t="s">
        <v>33</v>
      </c>
      <c r="Q5077">
        <v>118.1</v>
      </c>
    </row>
    <row r="5078" spans="11:17" x14ac:dyDescent="0.3">
      <c r="K5078">
        <v>2018</v>
      </c>
      <c r="L5078" t="s">
        <v>45</v>
      </c>
      <c r="M5078" t="s">
        <v>116</v>
      </c>
      <c r="N5078" t="s">
        <v>16</v>
      </c>
      <c r="O5078" t="s">
        <v>192</v>
      </c>
      <c r="P5078" s="1" t="s">
        <v>30</v>
      </c>
      <c r="Q5078">
        <v>162.4</v>
      </c>
    </row>
    <row r="5079" spans="11:17" x14ac:dyDescent="0.3">
      <c r="K5079">
        <v>2018</v>
      </c>
      <c r="L5079" t="s">
        <v>45</v>
      </c>
      <c r="M5079" t="s">
        <v>116</v>
      </c>
      <c r="N5079" t="s">
        <v>16</v>
      </c>
      <c r="O5079" t="s">
        <v>192</v>
      </c>
      <c r="P5079" s="1" t="s">
        <v>34</v>
      </c>
      <c r="Q5079">
        <v>163</v>
      </c>
    </row>
    <row r="5080" spans="11:17" x14ac:dyDescent="0.3">
      <c r="K5080">
        <v>2018</v>
      </c>
      <c r="L5080" t="s">
        <v>45</v>
      </c>
      <c r="M5080" t="s">
        <v>116</v>
      </c>
      <c r="N5080" t="s">
        <v>16</v>
      </c>
      <c r="O5080" t="s">
        <v>192</v>
      </c>
      <c r="P5080" s="1" t="s">
        <v>33</v>
      </c>
      <c r="Q5080">
        <v>164.6</v>
      </c>
    </row>
    <row r="5081" spans="11:17" x14ac:dyDescent="0.3">
      <c r="K5081">
        <v>2018</v>
      </c>
      <c r="L5081" t="s">
        <v>45</v>
      </c>
      <c r="M5081" t="s">
        <v>116</v>
      </c>
      <c r="N5081" t="s">
        <v>27</v>
      </c>
      <c r="O5081" t="s">
        <v>192</v>
      </c>
      <c r="P5081" s="1" t="s">
        <v>30</v>
      </c>
      <c r="Q5081">
        <v>133.19999999999999</v>
      </c>
    </row>
    <row r="5082" spans="11:17" x14ac:dyDescent="0.3">
      <c r="K5082">
        <v>2018</v>
      </c>
      <c r="L5082" t="s">
        <v>45</v>
      </c>
      <c r="M5082" t="s">
        <v>116</v>
      </c>
      <c r="N5082" t="s">
        <v>27</v>
      </c>
      <c r="O5082" t="s">
        <v>192</v>
      </c>
      <c r="P5082" s="1" t="s">
        <v>34</v>
      </c>
      <c r="Q5082">
        <v>132.19999999999999</v>
      </c>
    </row>
    <row r="5083" spans="11:17" x14ac:dyDescent="0.3">
      <c r="K5083">
        <v>2018</v>
      </c>
      <c r="L5083" t="s">
        <v>45</v>
      </c>
      <c r="M5083" t="s">
        <v>116</v>
      </c>
      <c r="N5083" t="s">
        <v>27</v>
      </c>
      <c r="O5083" t="s">
        <v>192</v>
      </c>
      <c r="P5083" s="1" t="s">
        <v>33</v>
      </c>
      <c r="Q5083">
        <v>130.80000000000001</v>
      </c>
    </row>
    <row r="5084" spans="11:17" x14ac:dyDescent="0.3">
      <c r="K5084">
        <v>2018</v>
      </c>
      <c r="L5084" t="s">
        <v>45</v>
      </c>
      <c r="M5084" t="s">
        <v>116</v>
      </c>
      <c r="N5084" t="s">
        <v>14</v>
      </c>
      <c r="O5084" t="s">
        <v>188</v>
      </c>
      <c r="P5084" s="1" t="s">
        <v>30</v>
      </c>
      <c r="Q5084">
        <v>156</v>
      </c>
    </row>
    <row r="5085" spans="11:17" x14ac:dyDescent="0.3">
      <c r="K5085">
        <v>2018</v>
      </c>
      <c r="L5085" t="s">
        <v>45</v>
      </c>
      <c r="M5085" t="s">
        <v>116</v>
      </c>
      <c r="N5085" t="s">
        <v>14</v>
      </c>
      <c r="O5085" t="s">
        <v>188</v>
      </c>
      <c r="P5085" s="1" t="s">
        <v>34</v>
      </c>
      <c r="Q5085">
        <v>154.6</v>
      </c>
    </row>
    <row r="5086" spans="11:17" x14ac:dyDescent="0.3">
      <c r="K5086">
        <v>2018</v>
      </c>
      <c r="L5086" t="s">
        <v>45</v>
      </c>
      <c r="M5086" t="s">
        <v>116</v>
      </c>
      <c r="N5086" t="s">
        <v>14</v>
      </c>
      <c r="O5086" t="s">
        <v>188</v>
      </c>
      <c r="P5086" s="1" t="s">
        <v>33</v>
      </c>
      <c r="Q5086">
        <v>152.9</v>
      </c>
    </row>
    <row r="5087" spans="11:17" x14ac:dyDescent="0.3">
      <c r="K5087">
        <v>2018</v>
      </c>
      <c r="L5087" t="s">
        <v>45</v>
      </c>
      <c r="M5087" t="s">
        <v>116</v>
      </c>
      <c r="N5087" t="s">
        <v>10</v>
      </c>
      <c r="O5087" t="s">
        <v>188</v>
      </c>
      <c r="P5087" s="1" t="s">
        <v>30</v>
      </c>
      <c r="Q5087">
        <v>120.9</v>
      </c>
    </row>
    <row r="5088" spans="11:17" x14ac:dyDescent="0.3">
      <c r="K5088">
        <v>2018</v>
      </c>
      <c r="L5088" t="s">
        <v>45</v>
      </c>
      <c r="M5088" t="s">
        <v>116</v>
      </c>
      <c r="N5088" t="s">
        <v>10</v>
      </c>
      <c r="O5088" t="s">
        <v>188</v>
      </c>
      <c r="P5088" s="1" t="s">
        <v>34</v>
      </c>
      <c r="Q5088">
        <v>119.8</v>
      </c>
    </row>
    <row r="5089" spans="11:17" x14ac:dyDescent="0.3">
      <c r="K5089">
        <v>2018</v>
      </c>
      <c r="L5089" t="s">
        <v>45</v>
      </c>
      <c r="M5089" t="s">
        <v>116</v>
      </c>
      <c r="N5089" t="s">
        <v>10</v>
      </c>
      <c r="O5089" t="s">
        <v>188</v>
      </c>
      <c r="P5089" s="1" t="s">
        <v>33</v>
      </c>
      <c r="Q5089">
        <v>117.5</v>
      </c>
    </row>
    <row r="5090" spans="11:17" x14ac:dyDescent="0.3">
      <c r="K5090">
        <v>2018</v>
      </c>
      <c r="L5090" t="s">
        <v>45</v>
      </c>
      <c r="M5090" t="s">
        <v>116</v>
      </c>
      <c r="N5090" t="s">
        <v>25</v>
      </c>
      <c r="O5090" t="s">
        <v>195</v>
      </c>
      <c r="P5090" s="1" t="s">
        <v>30</v>
      </c>
      <c r="Q5090">
        <v>143.30000000000001</v>
      </c>
    </row>
    <row r="5091" spans="11:17" x14ac:dyDescent="0.3">
      <c r="K5091">
        <v>2018</v>
      </c>
      <c r="L5091" t="s">
        <v>45</v>
      </c>
      <c r="M5091" t="s">
        <v>116</v>
      </c>
      <c r="N5091" t="s">
        <v>25</v>
      </c>
      <c r="O5091" t="s">
        <v>195</v>
      </c>
      <c r="P5091" s="1" t="s">
        <v>34</v>
      </c>
      <c r="Q5091">
        <v>136.80000000000001</v>
      </c>
    </row>
    <row r="5092" spans="11:17" x14ac:dyDescent="0.3">
      <c r="K5092">
        <v>2018</v>
      </c>
      <c r="L5092" t="s">
        <v>45</v>
      </c>
      <c r="M5092" t="s">
        <v>116</v>
      </c>
      <c r="N5092" t="s">
        <v>25</v>
      </c>
      <c r="O5092" t="s">
        <v>195</v>
      </c>
      <c r="P5092" s="1" t="s">
        <v>33</v>
      </c>
      <c r="Q5092">
        <v>131.69999999999999</v>
      </c>
    </row>
    <row r="5093" spans="11:17" x14ac:dyDescent="0.3">
      <c r="K5093">
        <v>2018</v>
      </c>
      <c r="L5093" t="s">
        <v>45</v>
      </c>
      <c r="M5093" t="s">
        <v>116</v>
      </c>
      <c r="N5093" t="s">
        <v>12</v>
      </c>
      <c r="O5093" t="s">
        <v>188</v>
      </c>
      <c r="P5093" s="1" t="s">
        <v>30</v>
      </c>
      <c r="Q5093">
        <v>140.19999999999999</v>
      </c>
    </row>
    <row r="5094" spans="11:17" x14ac:dyDescent="0.3">
      <c r="K5094">
        <v>2018</v>
      </c>
      <c r="L5094" t="s">
        <v>45</v>
      </c>
      <c r="M5094" t="s">
        <v>116</v>
      </c>
      <c r="N5094" t="s">
        <v>12</v>
      </c>
      <c r="O5094" t="s">
        <v>188</v>
      </c>
      <c r="P5094" s="1" t="s">
        <v>34</v>
      </c>
      <c r="Q5094">
        <v>140.6</v>
      </c>
    </row>
    <row r="5095" spans="11:17" x14ac:dyDescent="0.3">
      <c r="K5095">
        <v>2018</v>
      </c>
      <c r="L5095" t="s">
        <v>45</v>
      </c>
      <c r="M5095" t="s">
        <v>116</v>
      </c>
      <c r="N5095" t="s">
        <v>12</v>
      </c>
      <c r="O5095" t="s">
        <v>188</v>
      </c>
      <c r="P5095" s="1" t="s">
        <v>33</v>
      </c>
      <c r="Q5095">
        <v>141.5</v>
      </c>
    </row>
    <row r="5096" spans="11:17" x14ac:dyDescent="0.3">
      <c r="K5096">
        <v>2018</v>
      </c>
      <c r="L5096" t="s">
        <v>45</v>
      </c>
      <c r="M5096" t="s">
        <v>116</v>
      </c>
      <c r="N5096" t="s">
        <v>11</v>
      </c>
      <c r="O5096" t="s">
        <v>188</v>
      </c>
      <c r="P5096" s="1" t="s">
        <v>30</v>
      </c>
      <c r="Q5096">
        <v>109.9</v>
      </c>
    </row>
    <row r="5097" spans="11:17" x14ac:dyDescent="0.3">
      <c r="K5097">
        <v>2018</v>
      </c>
      <c r="L5097" t="s">
        <v>45</v>
      </c>
      <c r="M5097" t="s">
        <v>116</v>
      </c>
      <c r="N5097" t="s">
        <v>11</v>
      </c>
      <c r="O5097" t="s">
        <v>188</v>
      </c>
      <c r="P5097" s="1" t="s">
        <v>34</v>
      </c>
      <c r="Q5097">
        <v>110.3</v>
      </c>
    </row>
    <row r="5098" spans="11:17" x14ac:dyDescent="0.3">
      <c r="K5098">
        <v>2018</v>
      </c>
      <c r="L5098" t="s">
        <v>45</v>
      </c>
      <c r="M5098" t="s">
        <v>116</v>
      </c>
      <c r="N5098" t="s">
        <v>11</v>
      </c>
      <c r="O5098" t="s">
        <v>188</v>
      </c>
      <c r="P5098" s="1" t="s">
        <v>33</v>
      </c>
      <c r="Q5098">
        <v>111</v>
      </c>
    </row>
    <row r="5099" spans="11:17" x14ac:dyDescent="0.3">
      <c r="K5099">
        <v>2018</v>
      </c>
      <c r="L5099" t="s">
        <v>45</v>
      </c>
      <c r="M5099" t="s">
        <v>116</v>
      </c>
      <c r="N5099" t="s">
        <v>24</v>
      </c>
      <c r="O5099" t="s">
        <v>191</v>
      </c>
      <c r="P5099" s="1" t="s">
        <v>30</v>
      </c>
      <c r="Q5099">
        <v>128.9</v>
      </c>
    </row>
    <row r="5100" spans="11:17" x14ac:dyDescent="0.3">
      <c r="K5100">
        <v>2018</v>
      </c>
      <c r="L5100" t="s">
        <v>45</v>
      </c>
      <c r="M5100" t="s">
        <v>116</v>
      </c>
      <c r="N5100" t="s">
        <v>24</v>
      </c>
      <c r="O5100" t="s">
        <v>191</v>
      </c>
      <c r="P5100" s="1" t="s">
        <v>34</v>
      </c>
      <c r="Q5100">
        <v>123.6</v>
      </c>
    </row>
    <row r="5101" spans="11:17" x14ac:dyDescent="0.3">
      <c r="K5101">
        <v>2018</v>
      </c>
      <c r="L5101" t="s">
        <v>45</v>
      </c>
      <c r="M5101" t="s">
        <v>116</v>
      </c>
      <c r="N5101" t="s">
        <v>24</v>
      </c>
      <c r="O5101" t="s">
        <v>191</v>
      </c>
      <c r="P5101" s="1" t="s">
        <v>33</v>
      </c>
      <c r="Q5101">
        <v>118.8</v>
      </c>
    </row>
    <row r="5102" spans="11:17" x14ac:dyDescent="0.3">
      <c r="K5102">
        <v>2018</v>
      </c>
      <c r="L5102" t="s">
        <v>45</v>
      </c>
      <c r="M5102" t="s">
        <v>116</v>
      </c>
      <c r="N5102" t="s">
        <v>9</v>
      </c>
      <c r="O5102" t="s">
        <v>188</v>
      </c>
      <c r="P5102" s="1" t="s">
        <v>30</v>
      </c>
      <c r="Q5102">
        <v>136.6</v>
      </c>
    </row>
    <row r="5103" spans="11:17" x14ac:dyDescent="0.3">
      <c r="K5103">
        <v>2018</v>
      </c>
      <c r="L5103" t="s">
        <v>45</v>
      </c>
      <c r="M5103" t="s">
        <v>116</v>
      </c>
      <c r="N5103" t="s">
        <v>9</v>
      </c>
      <c r="O5103" t="s">
        <v>188</v>
      </c>
      <c r="P5103" s="1" t="s">
        <v>34</v>
      </c>
      <c r="Q5103">
        <v>135.19999999999999</v>
      </c>
    </row>
    <row r="5104" spans="11:17" x14ac:dyDescent="0.3">
      <c r="K5104">
        <v>2018</v>
      </c>
      <c r="L5104" t="s">
        <v>45</v>
      </c>
      <c r="M5104" t="s">
        <v>116</v>
      </c>
      <c r="N5104" t="s">
        <v>9</v>
      </c>
      <c r="O5104" t="s">
        <v>188</v>
      </c>
      <c r="P5104" s="1" t="s">
        <v>33</v>
      </c>
      <c r="Q5104">
        <v>132.4</v>
      </c>
    </row>
    <row r="5105" spans="11:17" x14ac:dyDescent="0.3">
      <c r="K5105">
        <v>2018</v>
      </c>
      <c r="L5105" t="s">
        <v>35</v>
      </c>
      <c r="M5105" t="s">
        <v>117</v>
      </c>
      <c r="N5105" t="s">
        <v>3</v>
      </c>
      <c r="O5105" t="s">
        <v>188</v>
      </c>
      <c r="P5105" s="1" t="s">
        <v>30</v>
      </c>
      <c r="Q5105">
        <v>136.4</v>
      </c>
    </row>
    <row r="5106" spans="11:17" x14ac:dyDescent="0.3">
      <c r="K5106">
        <v>2018</v>
      </c>
      <c r="L5106" t="s">
        <v>35</v>
      </c>
      <c r="M5106" t="s">
        <v>117</v>
      </c>
      <c r="N5106" t="s">
        <v>3</v>
      </c>
      <c r="O5106" t="s">
        <v>188</v>
      </c>
      <c r="P5106" s="1" t="s">
        <v>34</v>
      </c>
      <c r="Q5106">
        <v>135.9</v>
      </c>
    </row>
    <row r="5107" spans="11:17" x14ac:dyDescent="0.3">
      <c r="K5107">
        <v>2018</v>
      </c>
      <c r="L5107" t="s">
        <v>35</v>
      </c>
      <c r="M5107" t="s">
        <v>117</v>
      </c>
      <c r="N5107" t="s">
        <v>3</v>
      </c>
      <c r="O5107" t="s">
        <v>188</v>
      </c>
      <c r="P5107" s="1" t="s">
        <v>33</v>
      </c>
      <c r="Q5107">
        <v>134.80000000000001</v>
      </c>
    </row>
    <row r="5108" spans="11:17" x14ac:dyDescent="0.3">
      <c r="K5108">
        <v>2018</v>
      </c>
      <c r="L5108" t="s">
        <v>35</v>
      </c>
      <c r="M5108" t="s">
        <v>117</v>
      </c>
      <c r="N5108" t="s">
        <v>17</v>
      </c>
      <c r="O5108" t="s">
        <v>189</v>
      </c>
      <c r="P5108" s="1" t="s">
        <v>30</v>
      </c>
      <c r="Q5108">
        <v>148.69999999999999</v>
      </c>
    </row>
    <row r="5109" spans="11:17" x14ac:dyDescent="0.3">
      <c r="K5109">
        <v>2018</v>
      </c>
      <c r="L5109" t="s">
        <v>35</v>
      </c>
      <c r="M5109" t="s">
        <v>117</v>
      </c>
      <c r="N5109" t="s">
        <v>17</v>
      </c>
      <c r="O5109" t="s">
        <v>189</v>
      </c>
      <c r="P5109" s="1" t="s">
        <v>34</v>
      </c>
      <c r="Q5109">
        <v>143.80000000000001</v>
      </c>
    </row>
    <row r="5110" spans="11:17" x14ac:dyDescent="0.3">
      <c r="K5110">
        <v>2018</v>
      </c>
      <c r="L5110" t="s">
        <v>35</v>
      </c>
      <c r="M5110" t="s">
        <v>117</v>
      </c>
      <c r="N5110" t="s">
        <v>17</v>
      </c>
      <c r="O5110" t="s">
        <v>189</v>
      </c>
      <c r="P5110" s="1" t="s">
        <v>33</v>
      </c>
      <c r="Q5110">
        <v>136.30000000000001</v>
      </c>
    </row>
    <row r="5111" spans="11:17" x14ac:dyDescent="0.3">
      <c r="K5111">
        <v>2018</v>
      </c>
      <c r="L5111" t="s">
        <v>35</v>
      </c>
      <c r="M5111" t="s">
        <v>117</v>
      </c>
      <c r="N5111" t="s">
        <v>19</v>
      </c>
      <c r="O5111" t="s">
        <v>189</v>
      </c>
      <c r="P5111" s="1" t="s">
        <v>30</v>
      </c>
      <c r="Q5111">
        <v>147.80000000000001</v>
      </c>
    </row>
    <row r="5112" spans="11:17" x14ac:dyDescent="0.3">
      <c r="K5112">
        <v>2018</v>
      </c>
      <c r="L5112" t="s">
        <v>35</v>
      </c>
      <c r="M5112" t="s">
        <v>117</v>
      </c>
      <c r="N5112" t="s">
        <v>19</v>
      </c>
      <c r="O5112" t="s">
        <v>189</v>
      </c>
      <c r="P5112" s="1" t="s">
        <v>34</v>
      </c>
      <c r="Q5112">
        <v>142.6</v>
      </c>
    </row>
    <row r="5113" spans="11:17" x14ac:dyDescent="0.3">
      <c r="K5113">
        <v>2018</v>
      </c>
      <c r="L5113" t="s">
        <v>35</v>
      </c>
      <c r="M5113" t="s">
        <v>117</v>
      </c>
      <c r="N5113" t="s">
        <v>19</v>
      </c>
      <c r="O5113" t="s">
        <v>189</v>
      </c>
      <c r="P5113" s="1" t="s">
        <v>33</v>
      </c>
      <c r="Q5113">
        <v>134.69999999999999</v>
      </c>
    </row>
    <row r="5114" spans="11:17" x14ac:dyDescent="0.3">
      <c r="K5114">
        <v>2018</v>
      </c>
      <c r="L5114" t="s">
        <v>35</v>
      </c>
      <c r="M5114" t="s">
        <v>117</v>
      </c>
      <c r="N5114" t="s">
        <v>26</v>
      </c>
      <c r="O5114" t="s">
        <v>26</v>
      </c>
      <c r="P5114" s="1" t="s">
        <v>30</v>
      </c>
      <c r="Q5114">
        <v>141.5</v>
      </c>
    </row>
    <row r="5115" spans="11:17" x14ac:dyDescent="0.3">
      <c r="K5115">
        <v>2018</v>
      </c>
      <c r="L5115" t="s">
        <v>35</v>
      </c>
      <c r="M5115" t="s">
        <v>117</v>
      </c>
      <c r="N5115" t="s">
        <v>26</v>
      </c>
      <c r="O5115" t="s">
        <v>26</v>
      </c>
      <c r="P5115" s="1" t="s">
        <v>34</v>
      </c>
      <c r="Q5115">
        <v>139</v>
      </c>
    </row>
    <row r="5116" spans="11:17" x14ac:dyDescent="0.3">
      <c r="K5116">
        <v>2018</v>
      </c>
      <c r="L5116" t="s">
        <v>35</v>
      </c>
      <c r="M5116" t="s">
        <v>117</v>
      </c>
      <c r="N5116" t="s">
        <v>26</v>
      </c>
      <c r="O5116" t="s">
        <v>26</v>
      </c>
      <c r="P5116" s="1" t="s">
        <v>33</v>
      </c>
      <c r="Q5116">
        <v>137.19999999999999</v>
      </c>
    </row>
    <row r="5117" spans="11:17" x14ac:dyDescent="0.3">
      <c r="K5117">
        <v>2018</v>
      </c>
      <c r="L5117" t="s">
        <v>35</v>
      </c>
      <c r="M5117" t="s">
        <v>117</v>
      </c>
      <c r="N5117" t="s">
        <v>5</v>
      </c>
      <c r="O5117" t="s">
        <v>188</v>
      </c>
      <c r="P5117" s="1" t="s">
        <v>30</v>
      </c>
      <c r="Q5117">
        <v>140.6</v>
      </c>
    </row>
    <row r="5118" spans="11:17" x14ac:dyDescent="0.3">
      <c r="K5118">
        <v>2018</v>
      </c>
      <c r="L5118" t="s">
        <v>35</v>
      </c>
      <c r="M5118" t="s">
        <v>117</v>
      </c>
      <c r="N5118" t="s">
        <v>5</v>
      </c>
      <c r="O5118" t="s">
        <v>188</v>
      </c>
      <c r="P5118" s="1" t="s">
        <v>34</v>
      </c>
      <c r="Q5118">
        <v>140.30000000000001</v>
      </c>
    </row>
    <row r="5119" spans="11:17" x14ac:dyDescent="0.3">
      <c r="K5119">
        <v>2018</v>
      </c>
      <c r="L5119" t="s">
        <v>35</v>
      </c>
      <c r="M5119" t="s">
        <v>117</v>
      </c>
      <c r="N5119" t="s">
        <v>5</v>
      </c>
      <c r="O5119" t="s">
        <v>188</v>
      </c>
      <c r="P5119" s="1" t="s">
        <v>33</v>
      </c>
      <c r="Q5119">
        <v>139.9</v>
      </c>
    </row>
    <row r="5120" spans="11:17" x14ac:dyDescent="0.3">
      <c r="K5120">
        <v>2018</v>
      </c>
      <c r="L5120" t="s">
        <v>35</v>
      </c>
      <c r="M5120" t="s">
        <v>117</v>
      </c>
      <c r="N5120" t="s">
        <v>15</v>
      </c>
      <c r="O5120" t="s">
        <v>188</v>
      </c>
      <c r="P5120" s="1" t="s">
        <v>30</v>
      </c>
      <c r="Q5120">
        <v>138.69999999999999</v>
      </c>
    </row>
    <row r="5121" spans="11:17" x14ac:dyDescent="0.3">
      <c r="K5121">
        <v>2018</v>
      </c>
      <c r="L5121" t="s">
        <v>35</v>
      </c>
      <c r="M5121" t="s">
        <v>117</v>
      </c>
      <c r="N5121" t="s">
        <v>15</v>
      </c>
      <c r="O5121" t="s">
        <v>188</v>
      </c>
      <c r="P5121" s="1" t="s">
        <v>34</v>
      </c>
      <c r="Q5121">
        <v>137.6</v>
      </c>
    </row>
    <row r="5122" spans="11:17" x14ac:dyDescent="0.3">
      <c r="K5122">
        <v>2018</v>
      </c>
      <c r="L5122" t="s">
        <v>35</v>
      </c>
      <c r="M5122" t="s">
        <v>117</v>
      </c>
      <c r="N5122" t="s">
        <v>15</v>
      </c>
      <c r="O5122" t="s">
        <v>188</v>
      </c>
      <c r="P5122" s="1" t="s">
        <v>33</v>
      </c>
      <c r="Q5122">
        <v>135.6</v>
      </c>
    </row>
    <row r="5123" spans="11:17" x14ac:dyDescent="0.3">
      <c r="K5123">
        <v>2018</v>
      </c>
      <c r="L5123" t="s">
        <v>35</v>
      </c>
      <c r="M5123" t="s">
        <v>117</v>
      </c>
      <c r="N5123" t="s">
        <v>18</v>
      </c>
      <c r="O5123" t="s">
        <v>189</v>
      </c>
      <c r="P5123" s="1" t="s">
        <v>30</v>
      </c>
      <c r="Q5123">
        <v>142.4</v>
      </c>
    </row>
    <row r="5124" spans="11:17" x14ac:dyDescent="0.3">
      <c r="K5124">
        <v>2018</v>
      </c>
      <c r="L5124" t="s">
        <v>35</v>
      </c>
      <c r="M5124" t="s">
        <v>117</v>
      </c>
      <c r="N5124" t="s">
        <v>18</v>
      </c>
      <c r="O5124" t="s">
        <v>189</v>
      </c>
      <c r="P5124" s="1" t="s">
        <v>34</v>
      </c>
      <c r="Q5124">
        <v>135.6</v>
      </c>
    </row>
    <row r="5125" spans="11:17" x14ac:dyDescent="0.3">
      <c r="K5125">
        <v>2018</v>
      </c>
      <c r="L5125" t="s">
        <v>35</v>
      </c>
      <c r="M5125" t="s">
        <v>117</v>
      </c>
      <c r="N5125" t="s">
        <v>18</v>
      </c>
      <c r="O5125" t="s">
        <v>189</v>
      </c>
      <c r="P5125" s="1" t="s">
        <v>33</v>
      </c>
      <c r="Q5125">
        <v>126.1</v>
      </c>
    </row>
    <row r="5126" spans="11:17" x14ac:dyDescent="0.3">
      <c r="K5126">
        <v>2018</v>
      </c>
      <c r="L5126" t="s">
        <v>35</v>
      </c>
      <c r="M5126" t="s">
        <v>117</v>
      </c>
      <c r="N5126" t="s">
        <v>8</v>
      </c>
      <c r="O5126" t="s">
        <v>188</v>
      </c>
      <c r="P5126" s="1" t="s">
        <v>30</v>
      </c>
      <c r="Q5126">
        <v>149.4</v>
      </c>
    </row>
    <row r="5127" spans="11:17" x14ac:dyDescent="0.3">
      <c r="K5127">
        <v>2018</v>
      </c>
      <c r="L5127" t="s">
        <v>35</v>
      </c>
      <c r="M5127" t="s">
        <v>117</v>
      </c>
      <c r="N5127" t="s">
        <v>8</v>
      </c>
      <c r="O5127" t="s">
        <v>188</v>
      </c>
      <c r="P5127" s="1" t="s">
        <v>34</v>
      </c>
      <c r="Q5127">
        <v>142.9</v>
      </c>
    </row>
    <row r="5128" spans="11:17" x14ac:dyDescent="0.3">
      <c r="K5128">
        <v>2018</v>
      </c>
      <c r="L5128" t="s">
        <v>35</v>
      </c>
      <c r="M5128" t="s">
        <v>117</v>
      </c>
      <c r="N5128" t="s">
        <v>8</v>
      </c>
      <c r="O5128" t="s">
        <v>188</v>
      </c>
      <c r="P5128" s="1" t="s">
        <v>33</v>
      </c>
      <c r="Q5128">
        <v>135.5</v>
      </c>
    </row>
    <row r="5129" spans="11:17" x14ac:dyDescent="0.3">
      <c r="K5129">
        <v>2018</v>
      </c>
      <c r="L5129" t="s">
        <v>35</v>
      </c>
      <c r="M5129" t="s">
        <v>117</v>
      </c>
      <c r="N5129" t="s">
        <v>21</v>
      </c>
      <c r="O5129" t="s">
        <v>190</v>
      </c>
      <c r="P5129" s="1" t="s">
        <v>30</v>
      </c>
      <c r="Q5129">
        <v>142.4</v>
      </c>
    </row>
    <row r="5130" spans="11:17" x14ac:dyDescent="0.3">
      <c r="K5130">
        <v>2018</v>
      </c>
      <c r="L5130" t="s">
        <v>35</v>
      </c>
      <c r="M5130" t="s">
        <v>117</v>
      </c>
      <c r="N5130" t="s">
        <v>21</v>
      </c>
      <c r="O5130" t="s">
        <v>190</v>
      </c>
      <c r="P5130" s="1" t="s">
        <v>34</v>
      </c>
      <c r="Q5130">
        <v>136.69999999999999</v>
      </c>
    </row>
    <row r="5131" spans="11:17" x14ac:dyDescent="0.3">
      <c r="K5131">
        <v>2018</v>
      </c>
      <c r="L5131" t="s">
        <v>35</v>
      </c>
      <c r="M5131" t="s">
        <v>117</v>
      </c>
      <c r="N5131" t="s">
        <v>21</v>
      </c>
      <c r="O5131" t="s">
        <v>190</v>
      </c>
      <c r="P5131" s="1" t="s">
        <v>33</v>
      </c>
      <c r="Q5131">
        <v>127.3</v>
      </c>
    </row>
    <row r="5132" spans="11:17" x14ac:dyDescent="0.3">
      <c r="K5132">
        <v>2018</v>
      </c>
      <c r="L5132" t="s">
        <v>35</v>
      </c>
      <c r="M5132" t="s">
        <v>117</v>
      </c>
      <c r="N5132" t="s">
        <v>29</v>
      </c>
      <c r="O5132" t="s">
        <v>206</v>
      </c>
      <c r="P5132" s="1" t="s">
        <v>30</v>
      </c>
      <c r="Q5132">
        <v>138.5</v>
      </c>
    </row>
    <row r="5133" spans="11:17" x14ac:dyDescent="0.3">
      <c r="K5133">
        <v>2018</v>
      </c>
      <c r="L5133" t="s">
        <v>35</v>
      </c>
      <c r="M5133" t="s">
        <v>117</v>
      </c>
      <c r="N5133" t="s">
        <v>29</v>
      </c>
      <c r="O5133" t="s">
        <v>206</v>
      </c>
      <c r="P5133" s="1" t="s">
        <v>34</v>
      </c>
      <c r="Q5133">
        <v>136.4</v>
      </c>
    </row>
    <row r="5134" spans="11:17" x14ac:dyDescent="0.3">
      <c r="K5134">
        <v>2018</v>
      </c>
      <c r="L5134" t="s">
        <v>35</v>
      </c>
      <c r="M5134" t="s">
        <v>117</v>
      </c>
      <c r="N5134" t="s">
        <v>29</v>
      </c>
      <c r="O5134" t="s">
        <v>206</v>
      </c>
      <c r="P5134" s="1" t="s">
        <v>33</v>
      </c>
      <c r="Q5134">
        <v>134</v>
      </c>
    </row>
    <row r="5135" spans="11:17" x14ac:dyDescent="0.3">
      <c r="K5135">
        <v>2018</v>
      </c>
      <c r="L5135" t="s">
        <v>35</v>
      </c>
      <c r="M5135" t="s">
        <v>117</v>
      </c>
      <c r="N5135" t="s">
        <v>23</v>
      </c>
      <c r="O5135" t="s">
        <v>23</v>
      </c>
      <c r="P5135" s="1" t="s">
        <v>30</v>
      </c>
      <c r="Q5135">
        <v>136.19999999999999</v>
      </c>
    </row>
    <row r="5136" spans="11:17" x14ac:dyDescent="0.3">
      <c r="K5136">
        <v>2018</v>
      </c>
      <c r="L5136" t="s">
        <v>35</v>
      </c>
      <c r="M5136" t="s">
        <v>117</v>
      </c>
      <c r="N5136" t="s">
        <v>23</v>
      </c>
      <c r="O5136" t="s">
        <v>23</v>
      </c>
      <c r="P5136" s="1" t="s">
        <v>34</v>
      </c>
      <c r="Q5136">
        <v>133.80000000000001</v>
      </c>
    </row>
    <row r="5137" spans="11:17" x14ac:dyDescent="0.3">
      <c r="K5137">
        <v>2018</v>
      </c>
      <c r="L5137" t="s">
        <v>35</v>
      </c>
      <c r="M5137" t="s">
        <v>117</v>
      </c>
      <c r="N5137" t="s">
        <v>23</v>
      </c>
      <c r="O5137" t="s">
        <v>23</v>
      </c>
      <c r="P5137" s="1" t="s">
        <v>33</v>
      </c>
      <c r="Q5137">
        <v>129.80000000000001</v>
      </c>
    </row>
    <row r="5138" spans="11:17" x14ac:dyDescent="0.3">
      <c r="K5138">
        <v>2018</v>
      </c>
      <c r="L5138" t="s">
        <v>35</v>
      </c>
      <c r="M5138" t="s">
        <v>117</v>
      </c>
      <c r="N5138" t="s">
        <v>22</v>
      </c>
      <c r="O5138" t="s">
        <v>20</v>
      </c>
      <c r="P5138" s="1" t="s">
        <v>30</v>
      </c>
      <c r="Q5138">
        <v>139.9</v>
      </c>
    </row>
    <row r="5139" spans="11:17" x14ac:dyDescent="0.3">
      <c r="K5139">
        <v>2018</v>
      </c>
      <c r="L5139" t="s">
        <v>35</v>
      </c>
      <c r="M5139" t="s">
        <v>117</v>
      </c>
      <c r="N5139" t="s">
        <v>22</v>
      </c>
      <c r="O5139" t="s">
        <v>20</v>
      </c>
      <c r="P5139" s="1" t="s">
        <v>34</v>
      </c>
      <c r="Q5139">
        <v>135.19999999999999</v>
      </c>
    </row>
    <row r="5140" spans="11:17" x14ac:dyDescent="0.3">
      <c r="K5140">
        <v>2018</v>
      </c>
      <c r="L5140" t="s">
        <v>35</v>
      </c>
      <c r="M5140" t="s">
        <v>117</v>
      </c>
      <c r="N5140" t="s">
        <v>22</v>
      </c>
      <c r="O5140" t="s">
        <v>20</v>
      </c>
      <c r="P5140" s="1" t="s">
        <v>33</v>
      </c>
      <c r="Q5140">
        <v>129.9</v>
      </c>
    </row>
    <row r="5141" spans="11:17" x14ac:dyDescent="0.3">
      <c r="K5141">
        <v>2018</v>
      </c>
      <c r="L5141" t="s">
        <v>35</v>
      </c>
      <c r="M5141" t="s">
        <v>117</v>
      </c>
      <c r="N5141" t="s">
        <v>20</v>
      </c>
      <c r="O5141" t="s">
        <v>20</v>
      </c>
      <c r="P5141" s="1" t="s">
        <v>30</v>
      </c>
      <c r="Q5141">
        <v>0</v>
      </c>
    </row>
    <row r="5142" spans="11:17" x14ac:dyDescent="0.3">
      <c r="K5142">
        <v>2018</v>
      </c>
      <c r="L5142" t="s">
        <v>35</v>
      </c>
      <c r="M5142" t="s">
        <v>117</v>
      </c>
      <c r="N5142" t="s">
        <v>20</v>
      </c>
      <c r="O5142" t="s">
        <v>20</v>
      </c>
      <c r="P5142" s="1" t="s">
        <v>34</v>
      </c>
      <c r="Q5142">
        <v>141.30000000000001</v>
      </c>
    </row>
    <row r="5143" spans="11:17" x14ac:dyDescent="0.3">
      <c r="K5143">
        <v>2018</v>
      </c>
      <c r="L5143" t="s">
        <v>35</v>
      </c>
      <c r="M5143" t="s">
        <v>117</v>
      </c>
      <c r="N5143" t="s">
        <v>20</v>
      </c>
      <c r="O5143" t="s">
        <v>20</v>
      </c>
      <c r="P5143" s="1" t="s">
        <v>33</v>
      </c>
      <c r="Q5143">
        <v>141.30000000000001</v>
      </c>
    </row>
    <row r="5144" spans="11:17" x14ac:dyDescent="0.3">
      <c r="K5144">
        <v>2018</v>
      </c>
      <c r="L5144" t="s">
        <v>35</v>
      </c>
      <c r="M5144" t="s">
        <v>117</v>
      </c>
      <c r="N5144" t="s">
        <v>4</v>
      </c>
      <c r="O5144" t="s">
        <v>188</v>
      </c>
      <c r="P5144" s="1" t="s">
        <v>30</v>
      </c>
      <c r="Q5144">
        <v>143.69999999999999</v>
      </c>
    </row>
    <row r="5145" spans="11:17" x14ac:dyDescent="0.3">
      <c r="K5145">
        <v>2018</v>
      </c>
      <c r="L5145" t="s">
        <v>35</v>
      </c>
      <c r="M5145" t="s">
        <v>117</v>
      </c>
      <c r="N5145" t="s">
        <v>4</v>
      </c>
      <c r="O5145" t="s">
        <v>188</v>
      </c>
      <c r="P5145" s="1" t="s">
        <v>34</v>
      </c>
      <c r="Q5145">
        <v>143.5</v>
      </c>
    </row>
    <row r="5146" spans="11:17" x14ac:dyDescent="0.3">
      <c r="K5146">
        <v>2018</v>
      </c>
      <c r="L5146" t="s">
        <v>35</v>
      </c>
      <c r="M5146" t="s">
        <v>117</v>
      </c>
      <c r="N5146" t="s">
        <v>4</v>
      </c>
      <c r="O5146" t="s">
        <v>188</v>
      </c>
      <c r="P5146" s="1" t="s">
        <v>33</v>
      </c>
      <c r="Q5146">
        <v>143</v>
      </c>
    </row>
    <row r="5147" spans="11:17" x14ac:dyDescent="0.3">
      <c r="K5147">
        <v>2018</v>
      </c>
      <c r="L5147" t="s">
        <v>35</v>
      </c>
      <c r="M5147" t="s">
        <v>117</v>
      </c>
      <c r="N5147" t="s">
        <v>6</v>
      </c>
      <c r="O5147" t="s">
        <v>188</v>
      </c>
      <c r="P5147" s="1" t="s">
        <v>30</v>
      </c>
      <c r="Q5147">
        <v>141.5</v>
      </c>
    </row>
    <row r="5148" spans="11:17" x14ac:dyDescent="0.3">
      <c r="K5148">
        <v>2018</v>
      </c>
      <c r="L5148" t="s">
        <v>35</v>
      </c>
      <c r="M5148" t="s">
        <v>117</v>
      </c>
      <c r="N5148" t="s">
        <v>6</v>
      </c>
      <c r="O5148" t="s">
        <v>188</v>
      </c>
      <c r="P5148" s="1" t="s">
        <v>34</v>
      </c>
      <c r="Q5148">
        <v>140.9</v>
      </c>
    </row>
    <row r="5149" spans="11:17" x14ac:dyDescent="0.3">
      <c r="K5149">
        <v>2018</v>
      </c>
      <c r="L5149" t="s">
        <v>35</v>
      </c>
      <c r="M5149" t="s">
        <v>117</v>
      </c>
      <c r="N5149" t="s">
        <v>6</v>
      </c>
      <c r="O5149" t="s">
        <v>188</v>
      </c>
      <c r="P5149" s="1" t="s">
        <v>33</v>
      </c>
      <c r="Q5149">
        <v>139.9</v>
      </c>
    </row>
    <row r="5150" spans="11:17" x14ac:dyDescent="0.3">
      <c r="K5150">
        <v>2018</v>
      </c>
      <c r="L5150" t="s">
        <v>35</v>
      </c>
      <c r="M5150" t="s">
        <v>117</v>
      </c>
      <c r="N5150" t="s">
        <v>28</v>
      </c>
      <c r="O5150" t="s">
        <v>192</v>
      </c>
      <c r="P5150" s="1" t="s">
        <v>30</v>
      </c>
      <c r="Q5150">
        <v>132.5</v>
      </c>
    </row>
    <row r="5151" spans="11:17" x14ac:dyDescent="0.3">
      <c r="K5151">
        <v>2018</v>
      </c>
      <c r="L5151" t="s">
        <v>35</v>
      </c>
      <c r="M5151" t="s">
        <v>117</v>
      </c>
      <c r="N5151" t="s">
        <v>28</v>
      </c>
      <c r="O5151" t="s">
        <v>192</v>
      </c>
      <c r="P5151" s="1" t="s">
        <v>34</v>
      </c>
      <c r="Q5151">
        <v>129.6</v>
      </c>
    </row>
    <row r="5152" spans="11:17" x14ac:dyDescent="0.3">
      <c r="K5152">
        <v>2018</v>
      </c>
      <c r="L5152" t="s">
        <v>35</v>
      </c>
      <c r="M5152" t="s">
        <v>117</v>
      </c>
      <c r="N5152" t="s">
        <v>28</v>
      </c>
      <c r="O5152" t="s">
        <v>192</v>
      </c>
      <c r="P5152" s="1" t="s">
        <v>33</v>
      </c>
      <c r="Q5152">
        <v>126.5</v>
      </c>
    </row>
    <row r="5153" spans="11:17" x14ac:dyDescent="0.3">
      <c r="K5153">
        <v>2018</v>
      </c>
      <c r="L5153" t="s">
        <v>35</v>
      </c>
      <c r="M5153" t="s">
        <v>117</v>
      </c>
      <c r="N5153" t="s">
        <v>13</v>
      </c>
      <c r="O5153" t="s">
        <v>188</v>
      </c>
      <c r="P5153" s="1" t="s">
        <v>30</v>
      </c>
      <c r="Q5153">
        <v>130.5</v>
      </c>
    </row>
    <row r="5154" spans="11:17" x14ac:dyDescent="0.3">
      <c r="K5154">
        <v>2018</v>
      </c>
      <c r="L5154" t="s">
        <v>35</v>
      </c>
      <c r="M5154" t="s">
        <v>117</v>
      </c>
      <c r="N5154" t="s">
        <v>13</v>
      </c>
      <c r="O5154" t="s">
        <v>188</v>
      </c>
      <c r="P5154" s="1" t="s">
        <v>34</v>
      </c>
      <c r="Q5154">
        <v>128.6</v>
      </c>
    </row>
    <row r="5155" spans="11:17" x14ac:dyDescent="0.3">
      <c r="K5155">
        <v>2018</v>
      </c>
      <c r="L5155" t="s">
        <v>35</v>
      </c>
      <c r="M5155" t="s">
        <v>117</v>
      </c>
      <c r="N5155" t="s">
        <v>13</v>
      </c>
      <c r="O5155" t="s">
        <v>188</v>
      </c>
      <c r="P5155" s="1" t="s">
        <v>33</v>
      </c>
      <c r="Q5155">
        <v>125.9</v>
      </c>
    </row>
    <row r="5156" spans="11:17" x14ac:dyDescent="0.3">
      <c r="K5156">
        <v>2018</v>
      </c>
      <c r="L5156" t="s">
        <v>35</v>
      </c>
      <c r="M5156" t="s">
        <v>117</v>
      </c>
      <c r="N5156" t="s">
        <v>7</v>
      </c>
      <c r="O5156" t="s">
        <v>188</v>
      </c>
      <c r="P5156" s="1" t="s">
        <v>30</v>
      </c>
      <c r="Q5156">
        <v>122.9</v>
      </c>
    </row>
    <row r="5157" spans="11:17" x14ac:dyDescent="0.3">
      <c r="K5157">
        <v>2018</v>
      </c>
      <c r="L5157" t="s">
        <v>35</v>
      </c>
      <c r="M5157" t="s">
        <v>117</v>
      </c>
      <c r="N5157" t="s">
        <v>7</v>
      </c>
      <c r="O5157" t="s">
        <v>188</v>
      </c>
      <c r="P5157" s="1" t="s">
        <v>34</v>
      </c>
      <c r="Q5157">
        <v>120.4</v>
      </c>
    </row>
    <row r="5158" spans="11:17" x14ac:dyDescent="0.3">
      <c r="K5158">
        <v>2018</v>
      </c>
      <c r="L5158" t="s">
        <v>35</v>
      </c>
      <c r="M5158" t="s">
        <v>117</v>
      </c>
      <c r="N5158" t="s">
        <v>7</v>
      </c>
      <c r="O5158" t="s">
        <v>188</v>
      </c>
      <c r="P5158" s="1" t="s">
        <v>33</v>
      </c>
      <c r="Q5158">
        <v>116.2</v>
      </c>
    </row>
    <row r="5159" spans="11:17" x14ac:dyDescent="0.3">
      <c r="K5159">
        <v>2018</v>
      </c>
      <c r="L5159" t="s">
        <v>35</v>
      </c>
      <c r="M5159" t="s">
        <v>117</v>
      </c>
      <c r="N5159" t="s">
        <v>16</v>
      </c>
      <c r="O5159" t="s">
        <v>192</v>
      </c>
      <c r="P5159" s="1" t="s">
        <v>30</v>
      </c>
      <c r="Q5159">
        <v>153.30000000000001</v>
      </c>
    </row>
    <row r="5160" spans="11:17" x14ac:dyDescent="0.3">
      <c r="K5160">
        <v>2018</v>
      </c>
      <c r="L5160" t="s">
        <v>35</v>
      </c>
      <c r="M5160" t="s">
        <v>117</v>
      </c>
      <c r="N5160" t="s">
        <v>16</v>
      </c>
      <c r="O5160" t="s">
        <v>192</v>
      </c>
      <c r="P5160" s="1" t="s">
        <v>34</v>
      </c>
      <c r="Q5160">
        <v>154.9</v>
      </c>
    </row>
    <row r="5161" spans="11:17" x14ac:dyDescent="0.3">
      <c r="K5161">
        <v>2018</v>
      </c>
      <c r="L5161" t="s">
        <v>35</v>
      </c>
      <c r="M5161" t="s">
        <v>117</v>
      </c>
      <c r="N5161" t="s">
        <v>16</v>
      </c>
      <c r="O5161" t="s">
        <v>192</v>
      </c>
      <c r="P5161" s="1" t="s">
        <v>33</v>
      </c>
      <c r="Q5161">
        <v>159.30000000000001</v>
      </c>
    </row>
    <row r="5162" spans="11:17" x14ac:dyDescent="0.3">
      <c r="K5162">
        <v>2018</v>
      </c>
      <c r="L5162" t="s">
        <v>35</v>
      </c>
      <c r="M5162" t="s">
        <v>117</v>
      </c>
      <c r="N5162" t="s">
        <v>27</v>
      </c>
      <c r="O5162" t="s">
        <v>192</v>
      </c>
      <c r="P5162" s="1" t="s">
        <v>30</v>
      </c>
      <c r="Q5162">
        <v>128.80000000000001</v>
      </c>
    </row>
    <row r="5163" spans="11:17" x14ac:dyDescent="0.3">
      <c r="K5163">
        <v>2018</v>
      </c>
      <c r="L5163" t="s">
        <v>35</v>
      </c>
      <c r="M5163" t="s">
        <v>117</v>
      </c>
      <c r="N5163" t="s">
        <v>27</v>
      </c>
      <c r="O5163" t="s">
        <v>192</v>
      </c>
      <c r="P5163" s="1" t="s">
        <v>34</v>
      </c>
      <c r="Q5163">
        <v>127.7</v>
      </c>
    </row>
    <row r="5164" spans="11:17" x14ac:dyDescent="0.3">
      <c r="K5164">
        <v>2018</v>
      </c>
      <c r="L5164" t="s">
        <v>35</v>
      </c>
      <c r="M5164" t="s">
        <v>117</v>
      </c>
      <c r="N5164" t="s">
        <v>27</v>
      </c>
      <c r="O5164" t="s">
        <v>192</v>
      </c>
      <c r="P5164" s="1" t="s">
        <v>33</v>
      </c>
      <c r="Q5164">
        <v>126.2</v>
      </c>
    </row>
    <row r="5165" spans="11:17" x14ac:dyDescent="0.3">
      <c r="K5165">
        <v>2018</v>
      </c>
      <c r="L5165" t="s">
        <v>35</v>
      </c>
      <c r="M5165" t="s">
        <v>117</v>
      </c>
      <c r="N5165" t="s">
        <v>14</v>
      </c>
      <c r="O5165" t="s">
        <v>188</v>
      </c>
      <c r="P5165" s="1" t="s">
        <v>30</v>
      </c>
      <c r="Q5165">
        <v>151.69999999999999</v>
      </c>
    </row>
    <row r="5166" spans="11:17" x14ac:dyDescent="0.3">
      <c r="K5166">
        <v>2018</v>
      </c>
      <c r="L5166" t="s">
        <v>35</v>
      </c>
      <c r="M5166" t="s">
        <v>117</v>
      </c>
      <c r="N5166" t="s">
        <v>14</v>
      </c>
      <c r="O5166" t="s">
        <v>188</v>
      </c>
      <c r="P5166" s="1" t="s">
        <v>34</v>
      </c>
      <c r="Q5166">
        <v>149.6</v>
      </c>
    </row>
    <row r="5167" spans="11:17" x14ac:dyDescent="0.3">
      <c r="K5167">
        <v>2018</v>
      </c>
      <c r="L5167" t="s">
        <v>35</v>
      </c>
      <c r="M5167" t="s">
        <v>117</v>
      </c>
      <c r="N5167" t="s">
        <v>14</v>
      </c>
      <c r="O5167" t="s">
        <v>188</v>
      </c>
      <c r="P5167" s="1" t="s">
        <v>33</v>
      </c>
      <c r="Q5167">
        <v>147.1</v>
      </c>
    </row>
    <row r="5168" spans="11:17" x14ac:dyDescent="0.3">
      <c r="K5168">
        <v>2018</v>
      </c>
      <c r="L5168" t="s">
        <v>35</v>
      </c>
      <c r="M5168" t="s">
        <v>117</v>
      </c>
      <c r="N5168" t="s">
        <v>10</v>
      </c>
      <c r="O5168" t="s">
        <v>188</v>
      </c>
      <c r="P5168" s="1" t="s">
        <v>30</v>
      </c>
      <c r="Q5168">
        <v>130.19999999999999</v>
      </c>
    </row>
    <row r="5169" spans="11:17" x14ac:dyDescent="0.3">
      <c r="K5169">
        <v>2018</v>
      </c>
      <c r="L5169" t="s">
        <v>35</v>
      </c>
      <c r="M5169" t="s">
        <v>117</v>
      </c>
      <c r="N5169" t="s">
        <v>10</v>
      </c>
      <c r="O5169" t="s">
        <v>188</v>
      </c>
      <c r="P5169" s="1" t="s">
        <v>34</v>
      </c>
      <c r="Q5169">
        <v>125.8</v>
      </c>
    </row>
    <row r="5170" spans="11:17" x14ac:dyDescent="0.3">
      <c r="K5170">
        <v>2018</v>
      </c>
      <c r="L5170" t="s">
        <v>35</v>
      </c>
      <c r="M5170" t="s">
        <v>117</v>
      </c>
      <c r="N5170" t="s">
        <v>10</v>
      </c>
      <c r="O5170" t="s">
        <v>188</v>
      </c>
      <c r="P5170" s="1" t="s">
        <v>33</v>
      </c>
      <c r="Q5170">
        <v>117</v>
      </c>
    </row>
    <row r="5171" spans="11:17" x14ac:dyDescent="0.3">
      <c r="K5171">
        <v>2018</v>
      </c>
      <c r="L5171" t="s">
        <v>35</v>
      </c>
      <c r="M5171" t="s">
        <v>117</v>
      </c>
      <c r="N5171" t="s">
        <v>25</v>
      </c>
      <c r="O5171" t="s">
        <v>195</v>
      </c>
      <c r="P5171" s="1" t="s">
        <v>30</v>
      </c>
      <c r="Q5171">
        <v>134.30000000000001</v>
      </c>
    </row>
    <row r="5172" spans="11:17" x14ac:dyDescent="0.3">
      <c r="K5172">
        <v>2018</v>
      </c>
      <c r="L5172" t="s">
        <v>35</v>
      </c>
      <c r="M5172" t="s">
        <v>117</v>
      </c>
      <c r="N5172" t="s">
        <v>25</v>
      </c>
      <c r="O5172" t="s">
        <v>195</v>
      </c>
      <c r="P5172" s="1" t="s">
        <v>34</v>
      </c>
      <c r="Q5172">
        <v>129.9</v>
      </c>
    </row>
    <row r="5173" spans="11:17" x14ac:dyDescent="0.3">
      <c r="K5173">
        <v>2018</v>
      </c>
      <c r="L5173" t="s">
        <v>35</v>
      </c>
      <c r="M5173" t="s">
        <v>117</v>
      </c>
      <c r="N5173" t="s">
        <v>25</v>
      </c>
      <c r="O5173" t="s">
        <v>195</v>
      </c>
      <c r="P5173" s="1" t="s">
        <v>33</v>
      </c>
      <c r="Q5173">
        <v>126.5</v>
      </c>
    </row>
    <row r="5174" spans="11:17" x14ac:dyDescent="0.3">
      <c r="K5174">
        <v>2018</v>
      </c>
      <c r="L5174" t="s">
        <v>35</v>
      </c>
      <c r="M5174" t="s">
        <v>117</v>
      </c>
      <c r="N5174" t="s">
        <v>12</v>
      </c>
      <c r="O5174" t="s">
        <v>188</v>
      </c>
      <c r="P5174" s="1" t="s">
        <v>30</v>
      </c>
      <c r="Q5174">
        <v>135.6</v>
      </c>
    </row>
    <row r="5175" spans="11:17" x14ac:dyDescent="0.3">
      <c r="K5175">
        <v>2018</v>
      </c>
      <c r="L5175" t="s">
        <v>35</v>
      </c>
      <c r="M5175" t="s">
        <v>117</v>
      </c>
      <c r="N5175" t="s">
        <v>12</v>
      </c>
      <c r="O5175" t="s">
        <v>188</v>
      </c>
      <c r="P5175" s="1" t="s">
        <v>34</v>
      </c>
      <c r="Q5175">
        <v>137.30000000000001</v>
      </c>
    </row>
    <row r="5176" spans="11:17" x14ac:dyDescent="0.3">
      <c r="K5176">
        <v>2018</v>
      </c>
      <c r="L5176" t="s">
        <v>35</v>
      </c>
      <c r="M5176" t="s">
        <v>117</v>
      </c>
      <c r="N5176" t="s">
        <v>12</v>
      </c>
      <c r="O5176" t="s">
        <v>188</v>
      </c>
      <c r="P5176" s="1" t="s">
        <v>33</v>
      </c>
      <c r="Q5176">
        <v>140.69999999999999</v>
      </c>
    </row>
    <row r="5177" spans="11:17" x14ac:dyDescent="0.3">
      <c r="K5177">
        <v>2018</v>
      </c>
      <c r="L5177" t="s">
        <v>35</v>
      </c>
      <c r="M5177" t="s">
        <v>117</v>
      </c>
      <c r="N5177" t="s">
        <v>11</v>
      </c>
      <c r="O5177" t="s">
        <v>188</v>
      </c>
      <c r="P5177" s="1" t="s">
        <v>30</v>
      </c>
      <c r="Q5177">
        <v>117.9</v>
      </c>
    </row>
    <row r="5178" spans="11:17" x14ac:dyDescent="0.3">
      <c r="K5178">
        <v>2018</v>
      </c>
      <c r="L5178" t="s">
        <v>35</v>
      </c>
      <c r="M5178" t="s">
        <v>117</v>
      </c>
      <c r="N5178" t="s">
        <v>11</v>
      </c>
      <c r="O5178" t="s">
        <v>188</v>
      </c>
      <c r="P5178" s="1" t="s">
        <v>34</v>
      </c>
      <c r="Q5178">
        <v>117.1</v>
      </c>
    </row>
    <row r="5179" spans="11:17" x14ac:dyDescent="0.3">
      <c r="K5179">
        <v>2018</v>
      </c>
      <c r="L5179" t="s">
        <v>35</v>
      </c>
      <c r="M5179" t="s">
        <v>117</v>
      </c>
      <c r="N5179" t="s">
        <v>11</v>
      </c>
      <c r="O5179" t="s">
        <v>188</v>
      </c>
      <c r="P5179" s="1" t="s">
        <v>33</v>
      </c>
      <c r="Q5179">
        <v>115.4</v>
      </c>
    </row>
    <row r="5180" spans="11:17" x14ac:dyDescent="0.3">
      <c r="K5180">
        <v>2018</v>
      </c>
      <c r="L5180" t="s">
        <v>35</v>
      </c>
      <c r="M5180" t="s">
        <v>117</v>
      </c>
      <c r="N5180" t="s">
        <v>24</v>
      </c>
      <c r="O5180" t="s">
        <v>191</v>
      </c>
      <c r="P5180" s="1" t="s">
        <v>30</v>
      </c>
      <c r="Q5180">
        <v>123.3</v>
      </c>
    </row>
    <row r="5181" spans="11:17" x14ac:dyDescent="0.3">
      <c r="K5181">
        <v>2018</v>
      </c>
      <c r="L5181" t="s">
        <v>35</v>
      </c>
      <c r="M5181" t="s">
        <v>117</v>
      </c>
      <c r="N5181" t="s">
        <v>24</v>
      </c>
      <c r="O5181" t="s">
        <v>191</v>
      </c>
      <c r="P5181" s="1" t="s">
        <v>34</v>
      </c>
      <c r="Q5181">
        <v>120.2</v>
      </c>
    </row>
    <row r="5182" spans="11:17" x14ac:dyDescent="0.3">
      <c r="K5182">
        <v>2018</v>
      </c>
      <c r="L5182" t="s">
        <v>35</v>
      </c>
      <c r="M5182" t="s">
        <v>117</v>
      </c>
      <c r="N5182" t="s">
        <v>24</v>
      </c>
      <c r="O5182" t="s">
        <v>191</v>
      </c>
      <c r="P5182" s="1" t="s">
        <v>33</v>
      </c>
      <c r="Q5182">
        <v>117.4</v>
      </c>
    </row>
    <row r="5183" spans="11:17" x14ac:dyDescent="0.3">
      <c r="K5183">
        <v>2018</v>
      </c>
      <c r="L5183" t="s">
        <v>35</v>
      </c>
      <c r="M5183" t="s">
        <v>117</v>
      </c>
      <c r="N5183" t="s">
        <v>9</v>
      </c>
      <c r="O5183" t="s">
        <v>188</v>
      </c>
      <c r="P5183" s="1" t="s">
        <v>30</v>
      </c>
      <c r="Q5183">
        <v>142.4</v>
      </c>
    </row>
    <row r="5184" spans="11:17" x14ac:dyDescent="0.3">
      <c r="K5184">
        <v>2018</v>
      </c>
      <c r="L5184" t="s">
        <v>35</v>
      </c>
      <c r="M5184" t="s">
        <v>117</v>
      </c>
      <c r="N5184" t="s">
        <v>9</v>
      </c>
      <c r="O5184" t="s">
        <v>188</v>
      </c>
      <c r="P5184" s="1" t="s">
        <v>34</v>
      </c>
      <c r="Q5184">
        <v>140.5</v>
      </c>
    </row>
    <row r="5185" spans="11:17" x14ac:dyDescent="0.3">
      <c r="K5185">
        <v>2018</v>
      </c>
      <c r="L5185" t="s">
        <v>35</v>
      </c>
      <c r="M5185" t="s">
        <v>117</v>
      </c>
      <c r="N5185" t="s">
        <v>9</v>
      </c>
      <c r="O5185" t="s">
        <v>188</v>
      </c>
      <c r="P5185" s="1" t="s">
        <v>33</v>
      </c>
      <c r="Q5185">
        <v>136.9</v>
      </c>
    </row>
    <row r="5186" spans="11:17" x14ac:dyDescent="0.3">
      <c r="K5186">
        <v>2018</v>
      </c>
      <c r="L5186" t="s">
        <v>31</v>
      </c>
      <c r="M5186" t="s">
        <v>118</v>
      </c>
      <c r="N5186" t="s">
        <v>3</v>
      </c>
      <c r="O5186" t="s">
        <v>188</v>
      </c>
      <c r="P5186" s="1" t="s">
        <v>30</v>
      </c>
      <c r="Q5186">
        <v>136.6</v>
      </c>
    </row>
    <row r="5187" spans="11:17" x14ac:dyDescent="0.3">
      <c r="K5187">
        <v>2018</v>
      </c>
      <c r="L5187" t="s">
        <v>31</v>
      </c>
      <c r="M5187" t="s">
        <v>118</v>
      </c>
      <c r="N5187" t="s">
        <v>3</v>
      </c>
      <c r="O5187" t="s">
        <v>188</v>
      </c>
      <c r="P5187" s="1" t="s">
        <v>34</v>
      </c>
      <c r="Q5187">
        <v>136</v>
      </c>
    </row>
    <row r="5188" spans="11:17" x14ac:dyDescent="0.3">
      <c r="K5188">
        <v>2018</v>
      </c>
      <c r="L5188" t="s">
        <v>31</v>
      </c>
      <c r="M5188" t="s">
        <v>118</v>
      </c>
      <c r="N5188" t="s">
        <v>3</v>
      </c>
      <c r="O5188" t="s">
        <v>188</v>
      </c>
      <c r="P5188" s="1" t="s">
        <v>33</v>
      </c>
      <c r="Q5188">
        <v>134.6</v>
      </c>
    </row>
    <row r="5189" spans="11:17" x14ac:dyDescent="0.3">
      <c r="K5189">
        <v>2018</v>
      </c>
      <c r="L5189" t="s">
        <v>31</v>
      </c>
      <c r="M5189" t="s">
        <v>118</v>
      </c>
      <c r="N5189" t="s">
        <v>17</v>
      </c>
      <c r="O5189" t="s">
        <v>189</v>
      </c>
      <c r="P5189" s="1" t="s">
        <v>30</v>
      </c>
      <c r="Q5189">
        <v>148.30000000000001</v>
      </c>
    </row>
    <row r="5190" spans="11:17" x14ac:dyDescent="0.3">
      <c r="K5190">
        <v>2018</v>
      </c>
      <c r="L5190" t="s">
        <v>31</v>
      </c>
      <c r="M5190" t="s">
        <v>118</v>
      </c>
      <c r="N5190" t="s">
        <v>17</v>
      </c>
      <c r="O5190" t="s">
        <v>189</v>
      </c>
      <c r="P5190" s="1" t="s">
        <v>34</v>
      </c>
      <c r="Q5190">
        <v>143.5</v>
      </c>
    </row>
    <row r="5191" spans="11:17" x14ac:dyDescent="0.3">
      <c r="K5191">
        <v>2018</v>
      </c>
      <c r="L5191" t="s">
        <v>31</v>
      </c>
      <c r="M5191" t="s">
        <v>118</v>
      </c>
      <c r="N5191" t="s">
        <v>17</v>
      </c>
      <c r="O5191" t="s">
        <v>189</v>
      </c>
      <c r="P5191" s="1" t="s">
        <v>33</v>
      </c>
      <c r="Q5191">
        <v>136</v>
      </c>
    </row>
    <row r="5192" spans="11:17" x14ac:dyDescent="0.3">
      <c r="K5192">
        <v>2018</v>
      </c>
      <c r="L5192" t="s">
        <v>31</v>
      </c>
      <c r="M5192" t="s">
        <v>118</v>
      </c>
      <c r="N5192" t="s">
        <v>19</v>
      </c>
      <c r="O5192" t="s">
        <v>189</v>
      </c>
      <c r="P5192" s="1" t="s">
        <v>30</v>
      </c>
      <c r="Q5192">
        <v>147.5</v>
      </c>
    </row>
    <row r="5193" spans="11:17" x14ac:dyDescent="0.3">
      <c r="K5193">
        <v>2018</v>
      </c>
      <c r="L5193" t="s">
        <v>31</v>
      </c>
      <c r="M5193" t="s">
        <v>118</v>
      </c>
      <c r="N5193" t="s">
        <v>19</v>
      </c>
      <c r="O5193" t="s">
        <v>189</v>
      </c>
      <c r="P5193" s="1" t="s">
        <v>34</v>
      </c>
      <c r="Q5193">
        <v>142.30000000000001</v>
      </c>
    </row>
    <row r="5194" spans="11:17" x14ac:dyDescent="0.3">
      <c r="K5194">
        <v>2018</v>
      </c>
      <c r="L5194" t="s">
        <v>31</v>
      </c>
      <c r="M5194" t="s">
        <v>118</v>
      </c>
      <c r="N5194" t="s">
        <v>19</v>
      </c>
      <c r="O5194" t="s">
        <v>189</v>
      </c>
      <c r="P5194" s="1" t="s">
        <v>33</v>
      </c>
      <c r="Q5194">
        <v>134.4</v>
      </c>
    </row>
    <row r="5195" spans="11:17" x14ac:dyDescent="0.3">
      <c r="K5195">
        <v>2018</v>
      </c>
      <c r="L5195" t="s">
        <v>31</v>
      </c>
      <c r="M5195" t="s">
        <v>118</v>
      </c>
      <c r="N5195" t="s">
        <v>26</v>
      </c>
      <c r="O5195" t="s">
        <v>26</v>
      </c>
      <c r="P5195" s="1" t="s">
        <v>30</v>
      </c>
      <c r="Q5195">
        <v>141.6</v>
      </c>
    </row>
    <row r="5196" spans="11:17" x14ac:dyDescent="0.3">
      <c r="K5196">
        <v>2018</v>
      </c>
      <c r="L5196" t="s">
        <v>31</v>
      </c>
      <c r="M5196" t="s">
        <v>118</v>
      </c>
      <c r="N5196" t="s">
        <v>26</v>
      </c>
      <c r="O5196" t="s">
        <v>26</v>
      </c>
      <c r="P5196" s="1" t="s">
        <v>34</v>
      </c>
      <c r="Q5196">
        <v>139</v>
      </c>
    </row>
    <row r="5197" spans="11:17" x14ac:dyDescent="0.3">
      <c r="K5197">
        <v>2018</v>
      </c>
      <c r="L5197" t="s">
        <v>31</v>
      </c>
      <c r="M5197" t="s">
        <v>118</v>
      </c>
      <c r="N5197" t="s">
        <v>26</v>
      </c>
      <c r="O5197" t="s">
        <v>26</v>
      </c>
      <c r="P5197" s="1" t="s">
        <v>33</v>
      </c>
      <c r="Q5197">
        <v>137.1</v>
      </c>
    </row>
    <row r="5198" spans="11:17" x14ac:dyDescent="0.3">
      <c r="K5198">
        <v>2018</v>
      </c>
      <c r="L5198" t="s">
        <v>31</v>
      </c>
      <c r="M5198" t="s">
        <v>118</v>
      </c>
      <c r="N5198" t="s">
        <v>5</v>
      </c>
      <c r="O5198" t="s">
        <v>188</v>
      </c>
      <c r="P5198" s="1" t="s">
        <v>30</v>
      </c>
      <c r="Q5198">
        <v>143.80000000000001</v>
      </c>
    </row>
    <row r="5199" spans="11:17" x14ac:dyDescent="0.3">
      <c r="K5199">
        <v>2018</v>
      </c>
      <c r="L5199" t="s">
        <v>31</v>
      </c>
      <c r="M5199" t="s">
        <v>118</v>
      </c>
      <c r="N5199" t="s">
        <v>5</v>
      </c>
      <c r="O5199" t="s">
        <v>188</v>
      </c>
      <c r="P5199" s="1" t="s">
        <v>34</v>
      </c>
      <c r="Q5199">
        <v>143.69999999999999</v>
      </c>
    </row>
    <row r="5200" spans="11:17" x14ac:dyDescent="0.3">
      <c r="K5200">
        <v>2018</v>
      </c>
      <c r="L5200" t="s">
        <v>31</v>
      </c>
      <c r="M5200" t="s">
        <v>118</v>
      </c>
      <c r="N5200" t="s">
        <v>5</v>
      </c>
      <c r="O5200" t="s">
        <v>188</v>
      </c>
      <c r="P5200" s="1" t="s">
        <v>33</v>
      </c>
      <c r="Q5200">
        <v>143.6</v>
      </c>
    </row>
    <row r="5201" spans="11:17" x14ac:dyDescent="0.3">
      <c r="K5201">
        <v>2018</v>
      </c>
      <c r="L5201" t="s">
        <v>31</v>
      </c>
      <c r="M5201" t="s">
        <v>118</v>
      </c>
      <c r="N5201" t="s">
        <v>15</v>
      </c>
      <c r="O5201" t="s">
        <v>188</v>
      </c>
      <c r="P5201" s="1" t="s">
        <v>30</v>
      </c>
      <c r="Q5201">
        <v>140.4</v>
      </c>
    </row>
    <row r="5202" spans="11:17" x14ac:dyDescent="0.3">
      <c r="K5202">
        <v>2018</v>
      </c>
      <c r="L5202" t="s">
        <v>31</v>
      </c>
      <c r="M5202" t="s">
        <v>118</v>
      </c>
      <c r="N5202" t="s">
        <v>15</v>
      </c>
      <c r="O5202" t="s">
        <v>188</v>
      </c>
      <c r="P5202" s="1" t="s">
        <v>34</v>
      </c>
      <c r="Q5202">
        <v>139.19999999999999</v>
      </c>
    </row>
    <row r="5203" spans="11:17" x14ac:dyDescent="0.3">
      <c r="K5203">
        <v>2018</v>
      </c>
      <c r="L5203" t="s">
        <v>31</v>
      </c>
      <c r="M5203" t="s">
        <v>118</v>
      </c>
      <c r="N5203" t="s">
        <v>15</v>
      </c>
      <c r="O5203" t="s">
        <v>188</v>
      </c>
      <c r="P5203" s="1" t="s">
        <v>33</v>
      </c>
      <c r="Q5203">
        <v>137.19999999999999</v>
      </c>
    </row>
    <row r="5204" spans="11:17" x14ac:dyDescent="0.3">
      <c r="K5204">
        <v>2018</v>
      </c>
      <c r="L5204" t="s">
        <v>31</v>
      </c>
      <c r="M5204" t="s">
        <v>118</v>
      </c>
      <c r="N5204" t="s">
        <v>18</v>
      </c>
      <c r="O5204" t="s">
        <v>189</v>
      </c>
      <c r="P5204" s="1" t="s">
        <v>30</v>
      </c>
      <c r="Q5204">
        <v>142.30000000000001</v>
      </c>
    </row>
    <row r="5205" spans="11:17" x14ac:dyDescent="0.3">
      <c r="K5205">
        <v>2018</v>
      </c>
      <c r="L5205" t="s">
        <v>31</v>
      </c>
      <c r="M5205" t="s">
        <v>118</v>
      </c>
      <c r="N5205" t="s">
        <v>18</v>
      </c>
      <c r="O5205" t="s">
        <v>189</v>
      </c>
      <c r="P5205" s="1" t="s">
        <v>34</v>
      </c>
      <c r="Q5205">
        <v>135.5</v>
      </c>
    </row>
    <row r="5206" spans="11:17" x14ac:dyDescent="0.3">
      <c r="K5206">
        <v>2018</v>
      </c>
      <c r="L5206" t="s">
        <v>31</v>
      </c>
      <c r="M5206" t="s">
        <v>118</v>
      </c>
      <c r="N5206" t="s">
        <v>18</v>
      </c>
      <c r="O5206" t="s">
        <v>189</v>
      </c>
      <c r="P5206" s="1" t="s">
        <v>33</v>
      </c>
      <c r="Q5206">
        <v>125.9</v>
      </c>
    </row>
    <row r="5207" spans="11:17" x14ac:dyDescent="0.3">
      <c r="K5207">
        <v>2018</v>
      </c>
      <c r="L5207" t="s">
        <v>31</v>
      </c>
      <c r="M5207" t="s">
        <v>118</v>
      </c>
      <c r="N5207" t="s">
        <v>8</v>
      </c>
      <c r="O5207" t="s">
        <v>188</v>
      </c>
      <c r="P5207" s="1" t="s">
        <v>30</v>
      </c>
      <c r="Q5207">
        <v>147.9</v>
      </c>
    </row>
    <row r="5208" spans="11:17" x14ac:dyDescent="0.3">
      <c r="K5208">
        <v>2018</v>
      </c>
      <c r="L5208" t="s">
        <v>31</v>
      </c>
      <c r="M5208" t="s">
        <v>118</v>
      </c>
      <c r="N5208" t="s">
        <v>8</v>
      </c>
      <c r="O5208" t="s">
        <v>188</v>
      </c>
      <c r="P5208" s="1" t="s">
        <v>34</v>
      </c>
      <c r="Q5208">
        <v>141.30000000000001</v>
      </c>
    </row>
    <row r="5209" spans="11:17" x14ac:dyDescent="0.3">
      <c r="K5209">
        <v>2018</v>
      </c>
      <c r="L5209" t="s">
        <v>31</v>
      </c>
      <c r="M5209" t="s">
        <v>118</v>
      </c>
      <c r="N5209" t="s">
        <v>8</v>
      </c>
      <c r="O5209" t="s">
        <v>188</v>
      </c>
      <c r="P5209" s="1" t="s">
        <v>33</v>
      </c>
      <c r="Q5209">
        <v>133.80000000000001</v>
      </c>
    </row>
    <row r="5210" spans="11:17" x14ac:dyDescent="0.3">
      <c r="K5210">
        <v>2018</v>
      </c>
      <c r="L5210" t="s">
        <v>31</v>
      </c>
      <c r="M5210" t="s">
        <v>118</v>
      </c>
      <c r="N5210" t="s">
        <v>21</v>
      </c>
      <c r="O5210" t="s">
        <v>190</v>
      </c>
      <c r="P5210" s="1" t="s">
        <v>30</v>
      </c>
      <c r="Q5210">
        <v>142.30000000000001</v>
      </c>
    </row>
    <row r="5211" spans="11:17" x14ac:dyDescent="0.3">
      <c r="K5211">
        <v>2018</v>
      </c>
      <c r="L5211" t="s">
        <v>31</v>
      </c>
      <c r="M5211" t="s">
        <v>118</v>
      </c>
      <c r="N5211" t="s">
        <v>21</v>
      </c>
      <c r="O5211" t="s">
        <v>190</v>
      </c>
      <c r="P5211" s="1" t="s">
        <v>34</v>
      </c>
      <c r="Q5211">
        <v>136.6</v>
      </c>
    </row>
    <row r="5212" spans="11:17" x14ac:dyDescent="0.3">
      <c r="K5212">
        <v>2018</v>
      </c>
      <c r="L5212" t="s">
        <v>31</v>
      </c>
      <c r="M5212" t="s">
        <v>118</v>
      </c>
      <c r="N5212" t="s">
        <v>21</v>
      </c>
      <c r="O5212" t="s">
        <v>190</v>
      </c>
      <c r="P5212" s="1" t="s">
        <v>33</v>
      </c>
      <c r="Q5212">
        <v>127.3</v>
      </c>
    </row>
    <row r="5213" spans="11:17" x14ac:dyDescent="0.3">
      <c r="K5213">
        <v>2018</v>
      </c>
      <c r="L5213" t="s">
        <v>31</v>
      </c>
      <c r="M5213" t="s">
        <v>118</v>
      </c>
      <c r="N5213" t="s">
        <v>29</v>
      </c>
      <c r="O5213" t="s">
        <v>206</v>
      </c>
      <c r="P5213" s="1" t="s">
        <v>30</v>
      </c>
      <c r="Q5213">
        <v>139.30000000000001</v>
      </c>
    </row>
    <row r="5214" spans="11:17" x14ac:dyDescent="0.3">
      <c r="K5214">
        <v>2018</v>
      </c>
      <c r="L5214" t="s">
        <v>31</v>
      </c>
      <c r="M5214" t="s">
        <v>118</v>
      </c>
      <c r="N5214" t="s">
        <v>29</v>
      </c>
      <c r="O5214" t="s">
        <v>206</v>
      </c>
      <c r="P5214" s="1" t="s">
        <v>34</v>
      </c>
      <c r="Q5214">
        <v>136.9</v>
      </c>
    </row>
    <row r="5215" spans="11:17" x14ac:dyDescent="0.3">
      <c r="K5215">
        <v>2018</v>
      </c>
      <c r="L5215" t="s">
        <v>31</v>
      </c>
      <c r="M5215" t="s">
        <v>118</v>
      </c>
      <c r="N5215" t="s">
        <v>29</v>
      </c>
      <c r="O5215" t="s">
        <v>206</v>
      </c>
      <c r="P5215" s="1" t="s">
        <v>33</v>
      </c>
      <c r="Q5215">
        <v>134.1</v>
      </c>
    </row>
    <row r="5216" spans="11:17" x14ac:dyDescent="0.3">
      <c r="K5216">
        <v>2018</v>
      </c>
      <c r="L5216" t="s">
        <v>31</v>
      </c>
      <c r="M5216" t="s">
        <v>118</v>
      </c>
      <c r="N5216" t="s">
        <v>23</v>
      </c>
      <c r="O5216" t="s">
        <v>23</v>
      </c>
      <c r="P5216" s="1" t="s">
        <v>30</v>
      </c>
      <c r="Q5216">
        <v>136</v>
      </c>
    </row>
    <row r="5217" spans="11:17" x14ac:dyDescent="0.3">
      <c r="K5217">
        <v>2018</v>
      </c>
      <c r="L5217" t="s">
        <v>31</v>
      </c>
      <c r="M5217" t="s">
        <v>118</v>
      </c>
      <c r="N5217" t="s">
        <v>23</v>
      </c>
      <c r="O5217" t="s">
        <v>23</v>
      </c>
      <c r="P5217" s="1" t="s">
        <v>34</v>
      </c>
      <c r="Q5217">
        <v>133.30000000000001</v>
      </c>
    </row>
    <row r="5218" spans="11:17" x14ac:dyDescent="0.3">
      <c r="K5218">
        <v>2018</v>
      </c>
      <c r="L5218" t="s">
        <v>31</v>
      </c>
      <c r="M5218" t="s">
        <v>118</v>
      </c>
      <c r="N5218" t="s">
        <v>23</v>
      </c>
      <c r="O5218" t="s">
        <v>23</v>
      </c>
      <c r="P5218" s="1" t="s">
        <v>33</v>
      </c>
      <c r="Q5218">
        <v>129</v>
      </c>
    </row>
    <row r="5219" spans="11:17" x14ac:dyDescent="0.3">
      <c r="K5219">
        <v>2018</v>
      </c>
      <c r="L5219" t="s">
        <v>31</v>
      </c>
      <c r="M5219" t="s">
        <v>118</v>
      </c>
      <c r="N5219" t="s">
        <v>22</v>
      </c>
      <c r="O5219" t="s">
        <v>20</v>
      </c>
      <c r="P5219" s="1" t="s">
        <v>30</v>
      </c>
      <c r="Q5219">
        <v>139.80000000000001</v>
      </c>
    </row>
    <row r="5220" spans="11:17" x14ac:dyDescent="0.3">
      <c r="K5220">
        <v>2018</v>
      </c>
      <c r="L5220" t="s">
        <v>31</v>
      </c>
      <c r="M5220" t="s">
        <v>118</v>
      </c>
      <c r="N5220" t="s">
        <v>22</v>
      </c>
      <c r="O5220" t="s">
        <v>20</v>
      </c>
      <c r="P5220" s="1" t="s">
        <v>34</v>
      </c>
      <c r="Q5220">
        <v>134.9</v>
      </c>
    </row>
    <row r="5221" spans="11:17" x14ac:dyDescent="0.3">
      <c r="K5221">
        <v>2018</v>
      </c>
      <c r="L5221" t="s">
        <v>31</v>
      </c>
      <c r="M5221" t="s">
        <v>118</v>
      </c>
      <c r="N5221" t="s">
        <v>22</v>
      </c>
      <c r="O5221" t="s">
        <v>20</v>
      </c>
      <c r="P5221" s="1" t="s">
        <v>33</v>
      </c>
      <c r="Q5221">
        <v>129.5</v>
      </c>
    </row>
    <row r="5222" spans="11:17" x14ac:dyDescent="0.3">
      <c r="K5222">
        <v>2018</v>
      </c>
      <c r="L5222" t="s">
        <v>31</v>
      </c>
      <c r="M5222" t="s">
        <v>118</v>
      </c>
      <c r="N5222" t="s">
        <v>20</v>
      </c>
      <c r="O5222" t="s">
        <v>20</v>
      </c>
      <c r="P5222" s="1" t="s">
        <v>30</v>
      </c>
      <c r="Q5222">
        <v>0</v>
      </c>
    </row>
    <row r="5223" spans="11:17" x14ac:dyDescent="0.3">
      <c r="K5223">
        <v>2018</v>
      </c>
      <c r="L5223" t="s">
        <v>31</v>
      </c>
      <c r="M5223" t="s">
        <v>118</v>
      </c>
      <c r="N5223" t="s">
        <v>20</v>
      </c>
      <c r="O5223" t="s">
        <v>20</v>
      </c>
      <c r="P5223" s="1" t="s">
        <v>34</v>
      </c>
      <c r="Q5223">
        <v>140.4</v>
      </c>
    </row>
    <row r="5224" spans="11:17" x14ac:dyDescent="0.3">
      <c r="K5224">
        <v>2018</v>
      </c>
      <c r="L5224" t="s">
        <v>31</v>
      </c>
      <c r="M5224" t="s">
        <v>118</v>
      </c>
      <c r="N5224" t="s">
        <v>20</v>
      </c>
      <c r="O5224" t="s">
        <v>20</v>
      </c>
      <c r="P5224" s="1" t="s">
        <v>33</v>
      </c>
      <c r="Q5224">
        <v>140.4</v>
      </c>
    </row>
    <row r="5225" spans="11:17" x14ac:dyDescent="0.3">
      <c r="K5225">
        <v>2018</v>
      </c>
      <c r="L5225" t="s">
        <v>31</v>
      </c>
      <c r="M5225" t="s">
        <v>118</v>
      </c>
      <c r="N5225" t="s">
        <v>4</v>
      </c>
      <c r="O5225" t="s">
        <v>188</v>
      </c>
      <c r="P5225" s="1" t="s">
        <v>30</v>
      </c>
      <c r="Q5225">
        <v>144.4</v>
      </c>
    </row>
    <row r="5226" spans="11:17" x14ac:dyDescent="0.3">
      <c r="K5226">
        <v>2018</v>
      </c>
      <c r="L5226" t="s">
        <v>31</v>
      </c>
      <c r="M5226" t="s">
        <v>118</v>
      </c>
      <c r="N5226" t="s">
        <v>4</v>
      </c>
      <c r="O5226" t="s">
        <v>188</v>
      </c>
      <c r="P5226" s="1" t="s">
        <v>34</v>
      </c>
      <c r="Q5226">
        <v>144.19999999999999</v>
      </c>
    </row>
    <row r="5227" spans="11:17" x14ac:dyDescent="0.3">
      <c r="K5227">
        <v>2018</v>
      </c>
      <c r="L5227" t="s">
        <v>31</v>
      </c>
      <c r="M5227" t="s">
        <v>118</v>
      </c>
      <c r="N5227" t="s">
        <v>4</v>
      </c>
      <c r="O5227" t="s">
        <v>188</v>
      </c>
      <c r="P5227" s="1" t="s">
        <v>33</v>
      </c>
      <c r="Q5227">
        <v>143.69999999999999</v>
      </c>
    </row>
    <row r="5228" spans="11:17" x14ac:dyDescent="0.3">
      <c r="K5228">
        <v>2018</v>
      </c>
      <c r="L5228" t="s">
        <v>31</v>
      </c>
      <c r="M5228" t="s">
        <v>118</v>
      </c>
      <c r="N5228" t="s">
        <v>6</v>
      </c>
      <c r="O5228" t="s">
        <v>188</v>
      </c>
      <c r="P5228" s="1" t="s">
        <v>30</v>
      </c>
      <c r="Q5228">
        <v>142</v>
      </c>
    </row>
    <row r="5229" spans="11:17" x14ac:dyDescent="0.3">
      <c r="K5229">
        <v>2018</v>
      </c>
      <c r="L5229" t="s">
        <v>31</v>
      </c>
      <c r="M5229" t="s">
        <v>118</v>
      </c>
      <c r="N5229" t="s">
        <v>6</v>
      </c>
      <c r="O5229" t="s">
        <v>188</v>
      </c>
      <c r="P5229" s="1" t="s">
        <v>34</v>
      </c>
      <c r="Q5229">
        <v>141.1</v>
      </c>
    </row>
    <row r="5230" spans="11:17" x14ac:dyDescent="0.3">
      <c r="K5230">
        <v>2018</v>
      </c>
      <c r="L5230" t="s">
        <v>31</v>
      </c>
      <c r="M5230" t="s">
        <v>118</v>
      </c>
      <c r="N5230" t="s">
        <v>6</v>
      </c>
      <c r="O5230" t="s">
        <v>188</v>
      </c>
      <c r="P5230" s="1" t="s">
        <v>33</v>
      </c>
      <c r="Q5230">
        <v>139.6</v>
      </c>
    </row>
    <row r="5231" spans="11:17" x14ac:dyDescent="0.3">
      <c r="K5231">
        <v>2018</v>
      </c>
      <c r="L5231" t="s">
        <v>31</v>
      </c>
      <c r="M5231" t="s">
        <v>118</v>
      </c>
      <c r="N5231" t="s">
        <v>28</v>
      </c>
      <c r="O5231" t="s">
        <v>192</v>
      </c>
      <c r="P5231" s="1" t="s">
        <v>30</v>
      </c>
      <c r="Q5231">
        <v>132.30000000000001</v>
      </c>
    </row>
    <row r="5232" spans="11:17" x14ac:dyDescent="0.3">
      <c r="K5232">
        <v>2018</v>
      </c>
      <c r="L5232" t="s">
        <v>31</v>
      </c>
      <c r="M5232" t="s">
        <v>118</v>
      </c>
      <c r="N5232" t="s">
        <v>28</v>
      </c>
      <c r="O5232" t="s">
        <v>192</v>
      </c>
      <c r="P5232" s="1" t="s">
        <v>34</v>
      </c>
      <c r="Q5232">
        <v>129.1</v>
      </c>
    </row>
    <row r="5233" spans="11:17" x14ac:dyDescent="0.3">
      <c r="K5233">
        <v>2018</v>
      </c>
      <c r="L5233" t="s">
        <v>31</v>
      </c>
      <c r="M5233" t="s">
        <v>118</v>
      </c>
      <c r="N5233" t="s">
        <v>28</v>
      </c>
      <c r="O5233" t="s">
        <v>192</v>
      </c>
      <c r="P5233" s="1" t="s">
        <v>33</v>
      </c>
      <c r="Q5233">
        <v>125.8</v>
      </c>
    </row>
    <row r="5234" spans="11:17" x14ac:dyDescent="0.3">
      <c r="K5234">
        <v>2018</v>
      </c>
      <c r="L5234" t="s">
        <v>31</v>
      </c>
      <c r="M5234" t="s">
        <v>118</v>
      </c>
      <c r="N5234" t="s">
        <v>13</v>
      </c>
      <c r="O5234" t="s">
        <v>188</v>
      </c>
      <c r="P5234" s="1" t="s">
        <v>30</v>
      </c>
      <c r="Q5234">
        <v>131.19999999999999</v>
      </c>
    </row>
    <row r="5235" spans="11:17" x14ac:dyDescent="0.3">
      <c r="K5235">
        <v>2018</v>
      </c>
      <c r="L5235" t="s">
        <v>31</v>
      </c>
      <c r="M5235" t="s">
        <v>118</v>
      </c>
      <c r="N5235" t="s">
        <v>13</v>
      </c>
      <c r="O5235" t="s">
        <v>188</v>
      </c>
      <c r="P5235" s="1" t="s">
        <v>34</v>
      </c>
      <c r="Q5235">
        <v>129</v>
      </c>
    </row>
    <row r="5236" spans="11:17" x14ac:dyDescent="0.3">
      <c r="K5236">
        <v>2018</v>
      </c>
      <c r="L5236" t="s">
        <v>31</v>
      </c>
      <c r="M5236" t="s">
        <v>118</v>
      </c>
      <c r="N5236" t="s">
        <v>13</v>
      </c>
      <c r="O5236" t="s">
        <v>188</v>
      </c>
      <c r="P5236" s="1" t="s">
        <v>33</v>
      </c>
      <c r="Q5236">
        <v>125.9</v>
      </c>
    </row>
    <row r="5237" spans="11:17" x14ac:dyDescent="0.3">
      <c r="K5237">
        <v>2018</v>
      </c>
      <c r="L5237" t="s">
        <v>31</v>
      </c>
      <c r="M5237" t="s">
        <v>118</v>
      </c>
      <c r="N5237" t="s">
        <v>7</v>
      </c>
      <c r="O5237" t="s">
        <v>188</v>
      </c>
      <c r="P5237" s="1" t="s">
        <v>30</v>
      </c>
      <c r="Q5237">
        <v>123.2</v>
      </c>
    </row>
    <row r="5238" spans="11:17" x14ac:dyDescent="0.3">
      <c r="K5238">
        <v>2018</v>
      </c>
      <c r="L5238" t="s">
        <v>31</v>
      </c>
      <c r="M5238" t="s">
        <v>118</v>
      </c>
      <c r="N5238" t="s">
        <v>7</v>
      </c>
      <c r="O5238" t="s">
        <v>188</v>
      </c>
      <c r="P5238" s="1" t="s">
        <v>34</v>
      </c>
      <c r="Q5238">
        <v>120.7</v>
      </c>
    </row>
    <row r="5239" spans="11:17" x14ac:dyDescent="0.3">
      <c r="K5239">
        <v>2018</v>
      </c>
      <c r="L5239" t="s">
        <v>31</v>
      </c>
      <c r="M5239" t="s">
        <v>118</v>
      </c>
      <c r="N5239" t="s">
        <v>7</v>
      </c>
      <c r="O5239" t="s">
        <v>188</v>
      </c>
      <c r="P5239" s="1" t="s">
        <v>33</v>
      </c>
      <c r="Q5239">
        <v>116.4</v>
      </c>
    </row>
    <row r="5240" spans="11:17" x14ac:dyDescent="0.3">
      <c r="K5240">
        <v>2018</v>
      </c>
      <c r="L5240" t="s">
        <v>31</v>
      </c>
      <c r="M5240" t="s">
        <v>118</v>
      </c>
      <c r="N5240" t="s">
        <v>16</v>
      </c>
      <c r="O5240" t="s">
        <v>192</v>
      </c>
      <c r="P5240" s="1" t="s">
        <v>30</v>
      </c>
      <c r="Q5240">
        <v>153.6</v>
      </c>
    </row>
    <row r="5241" spans="11:17" x14ac:dyDescent="0.3">
      <c r="K5241">
        <v>2018</v>
      </c>
      <c r="L5241" t="s">
        <v>31</v>
      </c>
      <c r="M5241" t="s">
        <v>118</v>
      </c>
      <c r="N5241" t="s">
        <v>16</v>
      </c>
      <c r="O5241" t="s">
        <v>192</v>
      </c>
      <c r="P5241" s="1" t="s">
        <v>34</v>
      </c>
      <c r="Q5241">
        <v>154.69999999999999</v>
      </c>
    </row>
    <row r="5242" spans="11:17" x14ac:dyDescent="0.3">
      <c r="K5242">
        <v>2018</v>
      </c>
      <c r="L5242" t="s">
        <v>31</v>
      </c>
      <c r="M5242" t="s">
        <v>118</v>
      </c>
      <c r="N5242" t="s">
        <v>16</v>
      </c>
      <c r="O5242" t="s">
        <v>192</v>
      </c>
      <c r="P5242" s="1" t="s">
        <v>33</v>
      </c>
      <c r="Q5242">
        <v>157.69999999999999</v>
      </c>
    </row>
    <row r="5243" spans="11:17" x14ac:dyDescent="0.3">
      <c r="K5243">
        <v>2018</v>
      </c>
      <c r="L5243" t="s">
        <v>31</v>
      </c>
      <c r="M5243" t="s">
        <v>118</v>
      </c>
      <c r="N5243" t="s">
        <v>27</v>
      </c>
      <c r="O5243" t="s">
        <v>192</v>
      </c>
      <c r="P5243" s="1" t="s">
        <v>30</v>
      </c>
      <c r="Q5243">
        <v>128.6</v>
      </c>
    </row>
    <row r="5244" spans="11:17" x14ac:dyDescent="0.3">
      <c r="K5244">
        <v>2018</v>
      </c>
      <c r="L5244" t="s">
        <v>31</v>
      </c>
      <c r="M5244" t="s">
        <v>118</v>
      </c>
      <c r="N5244" t="s">
        <v>27</v>
      </c>
      <c r="O5244" t="s">
        <v>192</v>
      </c>
      <c r="P5244" s="1" t="s">
        <v>34</v>
      </c>
      <c r="Q5244">
        <v>127.3</v>
      </c>
    </row>
    <row r="5245" spans="11:17" x14ac:dyDescent="0.3">
      <c r="K5245">
        <v>2018</v>
      </c>
      <c r="L5245" t="s">
        <v>31</v>
      </c>
      <c r="M5245" t="s">
        <v>118</v>
      </c>
      <c r="N5245" t="s">
        <v>27</v>
      </c>
      <c r="O5245" t="s">
        <v>192</v>
      </c>
      <c r="P5245" s="1" t="s">
        <v>33</v>
      </c>
      <c r="Q5245">
        <v>125.5</v>
      </c>
    </row>
    <row r="5246" spans="11:17" x14ac:dyDescent="0.3">
      <c r="K5246">
        <v>2018</v>
      </c>
      <c r="L5246" t="s">
        <v>31</v>
      </c>
      <c r="M5246" t="s">
        <v>118</v>
      </c>
      <c r="N5246" t="s">
        <v>14</v>
      </c>
      <c r="O5246" t="s">
        <v>188</v>
      </c>
      <c r="P5246" s="1" t="s">
        <v>30</v>
      </c>
      <c r="Q5246">
        <v>151.80000000000001</v>
      </c>
    </row>
    <row r="5247" spans="11:17" x14ac:dyDescent="0.3">
      <c r="K5247">
        <v>2018</v>
      </c>
      <c r="L5247" t="s">
        <v>31</v>
      </c>
      <c r="M5247" t="s">
        <v>118</v>
      </c>
      <c r="N5247" t="s">
        <v>14</v>
      </c>
      <c r="O5247" t="s">
        <v>188</v>
      </c>
      <c r="P5247" s="1" t="s">
        <v>34</v>
      </c>
      <c r="Q5247">
        <v>149.5</v>
      </c>
    </row>
    <row r="5248" spans="11:17" x14ac:dyDescent="0.3">
      <c r="K5248">
        <v>2018</v>
      </c>
      <c r="L5248" t="s">
        <v>31</v>
      </c>
      <c r="M5248" t="s">
        <v>118</v>
      </c>
      <c r="N5248" t="s">
        <v>14</v>
      </c>
      <c r="O5248" t="s">
        <v>188</v>
      </c>
      <c r="P5248" s="1" t="s">
        <v>33</v>
      </c>
      <c r="Q5248">
        <v>146.80000000000001</v>
      </c>
    </row>
    <row r="5249" spans="11:17" x14ac:dyDescent="0.3">
      <c r="K5249">
        <v>2018</v>
      </c>
      <c r="L5249" t="s">
        <v>31</v>
      </c>
      <c r="M5249" t="s">
        <v>118</v>
      </c>
      <c r="N5249" t="s">
        <v>10</v>
      </c>
      <c r="O5249" t="s">
        <v>188</v>
      </c>
      <c r="P5249" s="1" t="s">
        <v>30</v>
      </c>
      <c r="Q5249">
        <v>131.80000000000001</v>
      </c>
    </row>
    <row r="5250" spans="11:17" x14ac:dyDescent="0.3">
      <c r="K5250">
        <v>2018</v>
      </c>
      <c r="L5250" t="s">
        <v>31</v>
      </c>
      <c r="M5250" t="s">
        <v>118</v>
      </c>
      <c r="N5250" t="s">
        <v>10</v>
      </c>
      <c r="O5250" t="s">
        <v>188</v>
      </c>
      <c r="P5250" s="1" t="s">
        <v>34</v>
      </c>
      <c r="Q5250">
        <v>127.3</v>
      </c>
    </row>
    <row r="5251" spans="11:17" x14ac:dyDescent="0.3">
      <c r="K5251">
        <v>2018</v>
      </c>
      <c r="L5251" t="s">
        <v>31</v>
      </c>
      <c r="M5251" t="s">
        <v>118</v>
      </c>
      <c r="N5251" t="s">
        <v>10</v>
      </c>
      <c r="O5251" t="s">
        <v>188</v>
      </c>
      <c r="P5251" s="1" t="s">
        <v>33</v>
      </c>
      <c r="Q5251">
        <v>118.4</v>
      </c>
    </row>
    <row r="5252" spans="11:17" x14ac:dyDescent="0.3">
      <c r="K5252">
        <v>2018</v>
      </c>
      <c r="L5252" t="s">
        <v>31</v>
      </c>
      <c r="M5252" t="s">
        <v>118</v>
      </c>
      <c r="N5252" t="s">
        <v>25</v>
      </c>
      <c r="O5252" t="s">
        <v>195</v>
      </c>
      <c r="P5252" s="1" t="s">
        <v>30</v>
      </c>
      <c r="Q5252">
        <v>134.30000000000001</v>
      </c>
    </row>
    <row r="5253" spans="11:17" x14ac:dyDescent="0.3">
      <c r="K5253">
        <v>2018</v>
      </c>
      <c r="L5253" t="s">
        <v>31</v>
      </c>
      <c r="M5253" t="s">
        <v>118</v>
      </c>
      <c r="N5253" t="s">
        <v>25</v>
      </c>
      <c r="O5253" t="s">
        <v>195</v>
      </c>
      <c r="P5253" s="1" t="s">
        <v>34</v>
      </c>
      <c r="Q5253">
        <v>129.69999999999999</v>
      </c>
    </row>
    <row r="5254" spans="11:17" x14ac:dyDescent="0.3">
      <c r="K5254">
        <v>2018</v>
      </c>
      <c r="L5254" t="s">
        <v>31</v>
      </c>
      <c r="M5254" t="s">
        <v>118</v>
      </c>
      <c r="N5254" t="s">
        <v>25</v>
      </c>
      <c r="O5254" t="s">
        <v>195</v>
      </c>
      <c r="P5254" s="1" t="s">
        <v>33</v>
      </c>
      <c r="Q5254">
        <v>126.2</v>
      </c>
    </row>
    <row r="5255" spans="11:17" x14ac:dyDescent="0.3">
      <c r="K5255">
        <v>2018</v>
      </c>
      <c r="L5255" t="s">
        <v>31</v>
      </c>
      <c r="M5255" t="s">
        <v>118</v>
      </c>
      <c r="N5255" t="s">
        <v>12</v>
      </c>
      <c r="O5255" t="s">
        <v>188</v>
      </c>
      <c r="P5255" s="1" t="s">
        <v>30</v>
      </c>
      <c r="Q5255">
        <v>136</v>
      </c>
    </row>
    <row r="5256" spans="11:17" x14ac:dyDescent="0.3">
      <c r="K5256">
        <v>2018</v>
      </c>
      <c r="L5256" t="s">
        <v>31</v>
      </c>
      <c r="M5256" t="s">
        <v>118</v>
      </c>
      <c r="N5256" t="s">
        <v>12</v>
      </c>
      <c r="O5256" t="s">
        <v>188</v>
      </c>
      <c r="P5256" s="1" t="s">
        <v>34</v>
      </c>
      <c r="Q5256">
        <v>137.5</v>
      </c>
    </row>
    <row r="5257" spans="11:17" x14ac:dyDescent="0.3">
      <c r="K5257">
        <v>2018</v>
      </c>
      <c r="L5257" t="s">
        <v>31</v>
      </c>
      <c r="M5257" t="s">
        <v>118</v>
      </c>
      <c r="N5257" t="s">
        <v>12</v>
      </c>
      <c r="O5257" t="s">
        <v>188</v>
      </c>
      <c r="P5257" s="1" t="s">
        <v>33</v>
      </c>
      <c r="Q5257">
        <v>140.5</v>
      </c>
    </row>
    <row r="5258" spans="11:17" x14ac:dyDescent="0.3">
      <c r="K5258">
        <v>2018</v>
      </c>
      <c r="L5258" t="s">
        <v>31</v>
      </c>
      <c r="M5258" t="s">
        <v>118</v>
      </c>
      <c r="N5258" t="s">
        <v>11</v>
      </c>
      <c r="O5258" t="s">
        <v>188</v>
      </c>
      <c r="P5258" s="1" t="s">
        <v>30</v>
      </c>
      <c r="Q5258">
        <v>119.5</v>
      </c>
    </row>
    <row r="5259" spans="11:17" x14ac:dyDescent="0.3">
      <c r="K5259">
        <v>2018</v>
      </c>
      <c r="L5259" t="s">
        <v>31</v>
      </c>
      <c r="M5259" t="s">
        <v>118</v>
      </c>
      <c r="N5259" t="s">
        <v>11</v>
      </c>
      <c r="O5259" t="s">
        <v>188</v>
      </c>
      <c r="P5259" s="1" t="s">
        <v>34</v>
      </c>
      <c r="Q5259">
        <v>118.8</v>
      </c>
    </row>
    <row r="5260" spans="11:17" x14ac:dyDescent="0.3">
      <c r="K5260">
        <v>2018</v>
      </c>
      <c r="L5260" t="s">
        <v>31</v>
      </c>
      <c r="M5260" t="s">
        <v>118</v>
      </c>
      <c r="N5260" t="s">
        <v>11</v>
      </c>
      <c r="O5260" t="s">
        <v>188</v>
      </c>
      <c r="P5260" s="1" t="s">
        <v>33</v>
      </c>
      <c r="Q5260">
        <v>117.3</v>
      </c>
    </row>
    <row r="5261" spans="11:17" x14ac:dyDescent="0.3">
      <c r="K5261">
        <v>2018</v>
      </c>
      <c r="L5261" t="s">
        <v>31</v>
      </c>
      <c r="M5261" t="s">
        <v>118</v>
      </c>
      <c r="N5261" t="s">
        <v>24</v>
      </c>
      <c r="O5261" t="s">
        <v>191</v>
      </c>
      <c r="P5261" s="1" t="s">
        <v>30</v>
      </c>
      <c r="Q5261">
        <v>122.7</v>
      </c>
    </row>
    <row r="5262" spans="11:17" x14ac:dyDescent="0.3">
      <c r="K5262">
        <v>2018</v>
      </c>
      <c r="L5262" t="s">
        <v>31</v>
      </c>
      <c r="M5262" t="s">
        <v>118</v>
      </c>
      <c r="N5262" t="s">
        <v>24</v>
      </c>
      <c r="O5262" t="s">
        <v>191</v>
      </c>
      <c r="P5262" s="1" t="s">
        <v>34</v>
      </c>
      <c r="Q5262">
        <v>119.3</v>
      </c>
    </row>
    <row r="5263" spans="11:17" x14ac:dyDescent="0.3">
      <c r="K5263">
        <v>2018</v>
      </c>
      <c r="L5263" t="s">
        <v>31</v>
      </c>
      <c r="M5263" t="s">
        <v>118</v>
      </c>
      <c r="N5263" t="s">
        <v>24</v>
      </c>
      <c r="O5263" t="s">
        <v>191</v>
      </c>
      <c r="P5263" s="1" t="s">
        <v>33</v>
      </c>
      <c r="Q5263">
        <v>116.3</v>
      </c>
    </row>
    <row r="5264" spans="11:17" x14ac:dyDescent="0.3">
      <c r="K5264">
        <v>2018</v>
      </c>
      <c r="L5264" t="s">
        <v>31</v>
      </c>
      <c r="M5264" t="s">
        <v>118</v>
      </c>
      <c r="N5264" t="s">
        <v>9</v>
      </c>
      <c r="O5264" t="s">
        <v>188</v>
      </c>
      <c r="P5264" s="1" t="s">
        <v>30</v>
      </c>
      <c r="Q5264">
        <v>152.1</v>
      </c>
    </row>
    <row r="5265" spans="11:17" x14ac:dyDescent="0.3">
      <c r="K5265">
        <v>2018</v>
      </c>
      <c r="L5265" t="s">
        <v>31</v>
      </c>
      <c r="M5265" t="s">
        <v>118</v>
      </c>
      <c r="N5265" t="s">
        <v>9</v>
      </c>
      <c r="O5265" t="s">
        <v>188</v>
      </c>
      <c r="P5265" s="1" t="s">
        <v>34</v>
      </c>
      <c r="Q5265">
        <v>151.6</v>
      </c>
    </row>
    <row r="5266" spans="11:17" x14ac:dyDescent="0.3">
      <c r="K5266">
        <v>2018</v>
      </c>
      <c r="L5266" t="s">
        <v>31</v>
      </c>
      <c r="M5266" t="s">
        <v>118</v>
      </c>
      <c r="N5266" t="s">
        <v>9</v>
      </c>
      <c r="O5266" t="s">
        <v>188</v>
      </c>
      <c r="P5266" s="1" t="s">
        <v>33</v>
      </c>
      <c r="Q5266">
        <v>150.5</v>
      </c>
    </row>
    <row r="5267" spans="11:17" x14ac:dyDescent="0.3">
      <c r="K5267">
        <v>2018</v>
      </c>
      <c r="L5267" t="s">
        <v>40</v>
      </c>
      <c r="M5267" t="s">
        <v>119</v>
      </c>
      <c r="N5267" t="s">
        <v>3</v>
      </c>
      <c r="O5267" t="s">
        <v>188</v>
      </c>
      <c r="P5267" s="1" t="s">
        <v>30</v>
      </c>
      <c r="Q5267">
        <v>138.4</v>
      </c>
    </row>
    <row r="5268" spans="11:17" x14ac:dyDescent="0.3">
      <c r="K5268">
        <v>2018</v>
      </c>
      <c r="L5268" t="s">
        <v>40</v>
      </c>
      <c r="M5268" t="s">
        <v>119</v>
      </c>
      <c r="N5268" t="s">
        <v>3</v>
      </c>
      <c r="O5268" t="s">
        <v>188</v>
      </c>
      <c r="P5268" s="1" t="s">
        <v>34</v>
      </c>
      <c r="Q5268">
        <v>137.5</v>
      </c>
    </row>
    <row r="5269" spans="11:17" x14ac:dyDescent="0.3">
      <c r="K5269">
        <v>2018</v>
      </c>
      <c r="L5269" t="s">
        <v>40</v>
      </c>
      <c r="M5269" t="s">
        <v>119</v>
      </c>
      <c r="N5269" t="s">
        <v>3</v>
      </c>
      <c r="O5269" t="s">
        <v>188</v>
      </c>
      <c r="P5269" s="1" t="s">
        <v>33</v>
      </c>
      <c r="Q5269">
        <v>135.6</v>
      </c>
    </row>
    <row r="5270" spans="11:17" x14ac:dyDescent="0.3">
      <c r="K5270">
        <v>2018</v>
      </c>
      <c r="L5270" t="s">
        <v>40</v>
      </c>
      <c r="M5270" t="s">
        <v>119</v>
      </c>
      <c r="N5270" t="s">
        <v>17</v>
      </c>
      <c r="O5270" t="s">
        <v>189</v>
      </c>
      <c r="P5270" s="1" t="s">
        <v>30</v>
      </c>
      <c r="Q5270">
        <v>151.5</v>
      </c>
    </row>
    <row r="5271" spans="11:17" x14ac:dyDescent="0.3">
      <c r="K5271">
        <v>2018</v>
      </c>
      <c r="L5271" t="s">
        <v>40</v>
      </c>
      <c r="M5271" t="s">
        <v>119</v>
      </c>
      <c r="N5271" t="s">
        <v>17</v>
      </c>
      <c r="O5271" t="s">
        <v>189</v>
      </c>
      <c r="P5271" s="1" t="s">
        <v>34</v>
      </c>
      <c r="Q5271">
        <v>146.80000000000001</v>
      </c>
    </row>
    <row r="5272" spans="11:17" x14ac:dyDescent="0.3">
      <c r="K5272">
        <v>2018</v>
      </c>
      <c r="L5272" t="s">
        <v>40</v>
      </c>
      <c r="M5272" t="s">
        <v>119</v>
      </c>
      <c r="N5272" t="s">
        <v>17</v>
      </c>
      <c r="O5272" t="s">
        <v>189</v>
      </c>
      <c r="P5272" s="1" t="s">
        <v>33</v>
      </c>
      <c r="Q5272">
        <v>139.6</v>
      </c>
    </row>
    <row r="5273" spans="11:17" x14ac:dyDescent="0.3">
      <c r="K5273">
        <v>2018</v>
      </c>
      <c r="L5273" t="s">
        <v>40</v>
      </c>
      <c r="M5273" t="s">
        <v>119</v>
      </c>
      <c r="N5273" t="s">
        <v>19</v>
      </c>
      <c r="O5273" t="s">
        <v>189</v>
      </c>
      <c r="P5273" s="1" t="s">
        <v>30</v>
      </c>
      <c r="Q5273">
        <v>150.6</v>
      </c>
    </row>
    <row r="5274" spans="11:17" x14ac:dyDescent="0.3">
      <c r="K5274">
        <v>2018</v>
      </c>
      <c r="L5274" t="s">
        <v>40</v>
      </c>
      <c r="M5274" t="s">
        <v>119</v>
      </c>
      <c r="N5274" t="s">
        <v>19</v>
      </c>
      <c r="O5274" t="s">
        <v>189</v>
      </c>
      <c r="P5274" s="1" t="s">
        <v>34</v>
      </c>
      <c r="Q5274">
        <v>145.6</v>
      </c>
    </row>
    <row r="5275" spans="11:17" x14ac:dyDescent="0.3">
      <c r="K5275">
        <v>2018</v>
      </c>
      <c r="L5275" t="s">
        <v>40</v>
      </c>
      <c r="M5275" t="s">
        <v>119</v>
      </c>
      <c r="N5275" t="s">
        <v>19</v>
      </c>
      <c r="O5275" t="s">
        <v>189</v>
      </c>
      <c r="P5275" s="1" t="s">
        <v>33</v>
      </c>
      <c r="Q5275">
        <v>137.9</v>
      </c>
    </row>
    <row r="5276" spans="11:17" x14ac:dyDescent="0.3">
      <c r="K5276">
        <v>2018</v>
      </c>
      <c r="L5276" t="s">
        <v>40</v>
      </c>
      <c r="M5276" t="s">
        <v>119</v>
      </c>
      <c r="N5276" t="s">
        <v>26</v>
      </c>
      <c r="O5276" t="s">
        <v>26</v>
      </c>
      <c r="P5276" s="1" t="s">
        <v>30</v>
      </c>
      <c r="Q5276">
        <v>145.80000000000001</v>
      </c>
    </row>
    <row r="5277" spans="11:17" x14ac:dyDescent="0.3">
      <c r="K5277">
        <v>2018</v>
      </c>
      <c r="L5277" t="s">
        <v>40</v>
      </c>
      <c r="M5277" t="s">
        <v>119</v>
      </c>
      <c r="N5277" t="s">
        <v>26</v>
      </c>
      <c r="O5277" t="s">
        <v>26</v>
      </c>
      <c r="P5277" s="1" t="s">
        <v>34</v>
      </c>
      <c r="Q5277">
        <v>144.69999999999999</v>
      </c>
    </row>
    <row r="5278" spans="11:17" x14ac:dyDescent="0.3">
      <c r="K5278">
        <v>2018</v>
      </c>
      <c r="L5278" t="s">
        <v>40</v>
      </c>
      <c r="M5278" t="s">
        <v>119</v>
      </c>
      <c r="N5278" t="s">
        <v>26</v>
      </c>
      <c r="O5278" t="s">
        <v>26</v>
      </c>
      <c r="P5278" s="1" t="s">
        <v>33</v>
      </c>
      <c r="Q5278">
        <v>144</v>
      </c>
    </row>
    <row r="5279" spans="11:17" x14ac:dyDescent="0.3">
      <c r="K5279">
        <v>2018</v>
      </c>
      <c r="L5279" t="s">
        <v>40</v>
      </c>
      <c r="M5279" t="s">
        <v>119</v>
      </c>
      <c r="N5279" t="s">
        <v>5</v>
      </c>
      <c r="O5279" t="s">
        <v>188</v>
      </c>
      <c r="P5279" s="1" t="s">
        <v>30</v>
      </c>
      <c r="Q5279">
        <v>139.30000000000001</v>
      </c>
    </row>
    <row r="5280" spans="11:17" x14ac:dyDescent="0.3">
      <c r="K5280">
        <v>2018</v>
      </c>
      <c r="L5280" t="s">
        <v>40</v>
      </c>
      <c r="M5280" t="s">
        <v>119</v>
      </c>
      <c r="N5280" t="s">
        <v>5</v>
      </c>
      <c r="O5280" t="s">
        <v>188</v>
      </c>
      <c r="P5280" s="1" t="s">
        <v>34</v>
      </c>
      <c r="Q5280">
        <v>139.19999999999999</v>
      </c>
    </row>
    <row r="5281" spans="11:17" x14ac:dyDescent="0.3">
      <c r="K5281">
        <v>2018</v>
      </c>
      <c r="L5281" t="s">
        <v>40</v>
      </c>
      <c r="M5281" t="s">
        <v>119</v>
      </c>
      <c r="N5281" t="s">
        <v>5</v>
      </c>
      <c r="O5281" t="s">
        <v>188</v>
      </c>
      <c r="P5281" s="1" t="s">
        <v>33</v>
      </c>
      <c r="Q5281">
        <v>139.1</v>
      </c>
    </row>
    <row r="5282" spans="11:17" x14ac:dyDescent="0.3">
      <c r="K5282">
        <v>2018</v>
      </c>
      <c r="L5282" t="s">
        <v>40</v>
      </c>
      <c r="M5282" t="s">
        <v>119</v>
      </c>
      <c r="N5282" t="s">
        <v>15</v>
      </c>
      <c r="O5282" t="s">
        <v>188</v>
      </c>
      <c r="P5282" s="1" t="s">
        <v>30</v>
      </c>
      <c r="Q5282">
        <v>142</v>
      </c>
    </row>
    <row r="5283" spans="11:17" x14ac:dyDescent="0.3">
      <c r="K5283">
        <v>2018</v>
      </c>
      <c r="L5283" t="s">
        <v>40</v>
      </c>
      <c r="M5283" t="s">
        <v>119</v>
      </c>
      <c r="N5283" t="s">
        <v>15</v>
      </c>
      <c r="O5283" t="s">
        <v>188</v>
      </c>
      <c r="P5283" s="1" t="s">
        <v>34</v>
      </c>
      <c r="Q5283">
        <v>141.4</v>
      </c>
    </row>
    <row r="5284" spans="11:17" x14ac:dyDescent="0.3">
      <c r="K5284">
        <v>2018</v>
      </c>
      <c r="L5284" t="s">
        <v>40</v>
      </c>
      <c r="M5284" t="s">
        <v>119</v>
      </c>
      <c r="N5284" t="s">
        <v>15</v>
      </c>
      <c r="O5284" t="s">
        <v>188</v>
      </c>
      <c r="P5284" s="1" t="s">
        <v>33</v>
      </c>
      <c r="Q5284">
        <v>140.30000000000001</v>
      </c>
    </row>
    <row r="5285" spans="11:17" x14ac:dyDescent="0.3">
      <c r="K5285">
        <v>2018</v>
      </c>
      <c r="L5285" t="s">
        <v>40</v>
      </c>
      <c r="M5285" t="s">
        <v>119</v>
      </c>
      <c r="N5285" t="s">
        <v>18</v>
      </c>
      <c r="O5285" t="s">
        <v>189</v>
      </c>
      <c r="P5285" s="1" t="s">
        <v>30</v>
      </c>
      <c r="Q5285">
        <v>145.1</v>
      </c>
    </row>
    <row r="5286" spans="11:17" x14ac:dyDescent="0.3">
      <c r="K5286">
        <v>2018</v>
      </c>
      <c r="L5286" t="s">
        <v>40</v>
      </c>
      <c r="M5286" t="s">
        <v>119</v>
      </c>
      <c r="N5286" t="s">
        <v>18</v>
      </c>
      <c r="O5286" t="s">
        <v>189</v>
      </c>
      <c r="P5286" s="1" t="s">
        <v>34</v>
      </c>
      <c r="Q5286">
        <v>138.4</v>
      </c>
    </row>
    <row r="5287" spans="11:17" x14ac:dyDescent="0.3">
      <c r="K5287">
        <v>2018</v>
      </c>
      <c r="L5287" t="s">
        <v>40</v>
      </c>
      <c r="M5287" t="s">
        <v>119</v>
      </c>
      <c r="N5287" t="s">
        <v>18</v>
      </c>
      <c r="O5287" t="s">
        <v>189</v>
      </c>
      <c r="P5287" s="1" t="s">
        <v>33</v>
      </c>
      <c r="Q5287">
        <v>128.9</v>
      </c>
    </row>
    <row r="5288" spans="11:17" x14ac:dyDescent="0.3">
      <c r="K5288">
        <v>2018</v>
      </c>
      <c r="L5288" t="s">
        <v>40</v>
      </c>
      <c r="M5288" t="s">
        <v>119</v>
      </c>
      <c r="N5288" t="s">
        <v>8</v>
      </c>
      <c r="O5288" t="s">
        <v>188</v>
      </c>
      <c r="P5288" s="1" t="s">
        <v>30</v>
      </c>
      <c r="Q5288">
        <v>153.30000000000001</v>
      </c>
    </row>
    <row r="5289" spans="11:17" x14ac:dyDescent="0.3">
      <c r="K5289">
        <v>2018</v>
      </c>
      <c r="L5289" t="s">
        <v>40</v>
      </c>
      <c r="M5289" t="s">
        <v>119</v>
      </c>
      <c r="N5289" t="s">
        <v>8</v>
      </c>
      <c r="O5289" t="s">
        <v>188</v>
      </c>
      <c r="P5289" s="1" t="s">
        <v>34</v>
      </c>
      <c r="Q5289">
        <v>151.6</v>
      </c>
    </row>
    <row r="5290" spans="11:17" x14ac:dyDescent="0.3">
      <c r="K5290">
        <v>2018</v>
      </c>
      <c r="L5290" t="s">
        <v>40</v>
      </c>
      <c r="M5290" t="s">
        <v>119</v>
      </c>
      <c r="N5290" t="s">
        <v>8</v>
      </c>
      <c r="O5290" t="s">
        <v>188</v>
      </c>
      <c r="P5290" s="1" t="s">
        <v>33</v>
      </c>
      <c r="Q5290">
        <v>149.69999999999999</v>
      </c>
    </row>
    <row r="5291" spans="11:17" x14ac:dyDescent="0.3">
      <c r="K5291">
        <v>2018</v>
      </c>
      <c r="L5291" t="s">
        <v>40</v>
      </c>
      <c r="M5291" t="s">
        <v>119</v>
      </c>
      <c r="N5291" t="s">
        <v>21</v>
      </c>
      <c r="O5291" t="s">
        <v>190</v>
      </c>
      <c r="P5291" s="1" t="s">
        <v>30</v>
      </c>
      <c r="Q5291">
        <v>146.80000000000001</v>
      </c>
    </row>
    <row r="5292" spans="11:17" x14ac:dyDescent="0.3">
      <c r="K5292">
        <v>2018</v>
      </c>
      <c r="L5292" t="s">
        <v>40</v>
      </c>
      <c r="M5292" t="s">
        <v>119</v>
      </c>
      <c r="N5292" t="s">
        <v>21</v>
      </c>
      <c r="O5292" t="s">
        <v>190</v>
      </c>
      <c r="P5292" s="1" t="s">
        <v>34</v>
      </c>
      <c r="Q5292">
        <v>139.69999999999999</v>
      </c>
    </row>
    <row r="5293" spans="11:17" x14ac:dyDescent="0.3">
      <c r="K5293">
        <v>2018</v>
      </c>
      <c r="L5293" t="s">
        <v>40</v>
      </c>
      <c r="M5293" t="s">
        <v>119</v>
      </c>
      <c r="N5293" t="s">
        <v>21</v>
      </c>
      <c r="O5293" t="s">
        <v>190</v>
      </c>
      <c r="P5293" s="1" t="s">
        <v>33</v>
      </c>
      <c r="Q5293">
        <v>128.1</v>
      </c>
    </row>
    <row r="5294" spans="11:17" x14ac:dyDescent="0.3">
      <c r="K5294">
        <v>2018</v>
      </c>
      <c r="L5294" t="s">
        <v>40</v>
      </c>
      <c r="M5294" t="s">
        <v>119</v>
      </c>
      <c r="N5294" t="s">
        <v>29</v>
      </c>
      <c r="O5294" t="s">
        <v>206</v>
      </c>
      <c r="P5294" s="1" t="s">
        <v>30</v>
      </c>
      <c r="Q5294">
        <v>141.80000000000001</v>
      </c>
    </row>
    <row r="5295" spans="11:17" x14ac:dyDescent="0.3">
      <c r="K5295">
        <v>2018</v>
      </c>
      <c r="L5295" t="s">
        <v>40</v>
      </c>
      <c r="M5295" t="s">
        <v>119</v>
      </c>
      <c r="N5295" t="s">
        <v>29</v>
      </c>
      <c r="O5295" t="s">
        <v>206</v>
      </c>
      <c r="P5295" s="1" t="s">
        <v>34</v>
      </c>
      <c r="Q5295">
        <v>139.80000000000001</v>
      </c>
    </row>
    <row r="5296" spans="11:17" x14ac:dyDescent="0.3">
      <c r="K5296">
        <v>2018</v>
      </c>
      <c r="L5296" t="s">
        <v>40</v>
      </c>
      <c r="M5296" t="s">
        <v>119</v>
      </c>
      <c r="N5296" t="s">
        <v>29</v>
      </c>
      <c r="O5296" t="s">
        <v>206</v>
      </c>
      <c r="P5296" s="1" t="s">
        <v>33</v>
      </c>
      <c r="Q5296">
        <v>137.5</v>
      </c>
    </row>
    <row r="5297" spans="11:17" x14ac:dyDescent="0.3">
      <c r="K5297">
        <v>2018</v>
      </c>
      <c r="L5297" t="s">
        <v>40</v>
      </c>
      <c r="M5297" t="s">
        <v>119</v>
      </c>
      <c r="N5297" t="s">
        <v>23</v>
      </c>
      <c r="O5297" t="s">
        <v>23</v>
      </c>
      <c r="P5297" s="1" t="s">
        <v>30</v>
      </c>
      <c r="Q5297">
        <v>139</v>
      </c>
    </row>
    <row r="5298" spans="11:17" x14ac:dyDescent="0.3">
      <c r="K5298">
        <v>2018</v>
      </c>
      <c r="L5298" t="s">
        <v>40</v>
      </c>
      <c r="M5298" t="s">
        <v>119</v>
      </c>
      <c r="N5298" t="s">
        <v>23</v>
      </c>
      <c r="O5298" t="s">
        <v>23</v>
      </c>
      <c r="P5298" s="1" t="s">
        <v>34</v>
      </c>
      <c r="Q5298">
        <v>137</v>
      </c>
    </row>
    <row r="5299" spans="11:17" x14ac:dyDescent="0.3">
      <c r="K5299">
        <v>2018</v>
      </c>
      <c r="L5299" t="s">
        <v>40</v>
      </c>
      <c r="M5299" t="s">
        <v>119</v>
      </c>
      <c r="N5299" t="s">
        <v>23</v>
      </c>
      <c r="O5299" t="s">
        <v>23</v>
      </c>
      <c r="P5299" s="1" t="s">
        <v>33</v>
      </c>
      <c r="Q5299">
        <v>133.6</v>
      </c>
    </row>
    <row r="5300" spans="11:17" x14ac:dyDescent="0.3">
      <c r="K5300">
        <v>2018</v>
      </c>
      <c r="L5300" t="s">
        <v>40</v>
      </c>
      <c r="M5300" t="s">
        <v>119</v>
      </c>
      <c r="N5300" t="s">
        <v>22</v>
      </c>
      <c r="O5300" t="s">
        <v>20</v>
      </c>
      <c r="P5300" s="1" t="s">
        <v>30</v>
      </c>
      <c r="Q5300">
        <v>143.1</v>
      </c>
    </row>
    <row r="5301" spans="11:17" x14ac:dyDescent="0.3">
      <c r="K5301">
        <v>2018</v>
      </c>
      <c r="L5301" t="s">
        <v>40</v>
      </c>
      <c r="M5301" t="s">
        <v>119</v>
      </c>
      <c r="N5301" t="s">
        <v>22</v>
      </c>
      <c r="O5301" t="s">
        <v>20</v>
      </c>
      <c r="P5301" s="1" t="s">
        <v>34</v>
      </c>
      <c r="Q5301">
        <v>138.6</v>
      </c>
    </row>
    <row r="5302" spans="11:17" x14ac:dyDescent="0.3">
      <c r="K5302">
        <v>2018</v>
      </c>
      <c r="L5302" t="s">
        <v>40</v>
      </c>
      <c r="M5302" t="s">
        <v>119</v>
      </c>
      <c r="N5302" t="s">
        <v>22</v>
      </c>
      <c r="O5302" t="s">
        <v>20</v>
      </c>
      <c r="P5302" s="1" t="s">
        <v>33</v>
      </c>
      <c r="Q5302">
        <v>133.6</v>
      </c>
    </row>
    <row r="5303" spans="11:17" x14ac:dyDescent="0.3">
      <c r="K5303">
        <v>2018</v>
      </c>
      <c r="L5303" t="s">
        <v>40</v>
      </c>
      <c r="M5303" t="s">
        <v>119</v>
      </c>
      <c r="N5303" t="s">
        <v>20</v>
      </c>
      <c r="O5303" t="s">
        <v>20</v>
      </c>
      <c r="P5303" s="1" t="s">
        <v>30</v>
      </c>
      <c r="Q5303">
        <v>0</v>
      </c>
    </row>
    <row r="5304" spans="11:17" x14ac:dyDescent="0.3">
      <c r="K5304">
        <v>2018</v>
      </c>
      <c r="L5304" t="s">
        <v>40</v>
      </c>
      <c r="M5304" t="s">
        <v>119</v>
      </c>
      <c r="N5304" t="s">
        <v>20</v>
      </c>
      <c r="O5304" t="s">
        <v>20</v>
      </c>
      <c r="P5304" s="1" t="s">
        <v>34</v>
      </c>
      <c r="Q5304">
        <v>143.6</v>
      </c>
    </row>
    <row r="5305" spans="11:17" x14ac:dyDescent="0.3">
      <c r="K5305">
        <v>2018</v>
      </c>
      <c r="L5305" t="s">
        <v>40</v>
      </c>
      <c r="M5305" t="s">
        <v>119</v>
      </c>
      <c r="N5305" t="s">
        <v>20</v>
      </c>
      <c r="O5305" t="s">
        <v>20</v>
      </c>
      <c r="P5305" s="1" t="s">
        <v>33</v>
      </c>
      <c r="Q5305">
        <v>143.6</v>
      </c>
    </row>
    <row r="5306" spans="11:17" x14ac:dyDescent="0.3">
      <c r="K5306">
        <v>2018</v>
      </c>
      <c r="L5306" t="s">
        <v>40</v>
      </c>
      <c r="M5306" t="s">
        <v>119</v>
      </c>
      <c r="N5306" t="s">
        <v>4</v>
      </c>
      <c r="O5306" t="s">
        <v>188</v>
      </c>
      <c r="P5306" s="1" t="s">
        <v>30</v>
      </c>
      <c r="Q5306">
        <v>149.30000000000001</v>
      </c>
    </row>
    <row r="5307" spans="11:17" x14ac:dyDescent="0.3">
      <c r="K5307">
        <v>2018</v>
      </c>
      <c r="L5307" t="s">
        <v>40</v>
      </c>
      <c r="M5307" t="s">
        <v>119</v>
      </c>
      <c r="N5307" t="s">
        <v>4</v>
      </c>
      <c r="O5307" t="s">
        <v>188</v>
      </c>
      <c r="P5307" s="1" t="s">
        <v>34</v>
      </c>
      <c r="Q5307">
        <v>149.1</v>
      </c>
    </row>
    <row r="5308" spans="11:17" x14ac:dyDescent="0.3">
      <c r="K5308">
        <v>2018</v>
      </c>
      <c r="L5308" t="s">
        <v>40</v>
      </c>
      <c r="M5308" t="s">
        <v>119</v>
      </c>
      <c r="N5308" t="s">
        <v>4</v>
      </c>
      <c r="O5308" t="s">
        <v>188</v>
      </c>
      <c r="P5308" s="1" t="s">
        <v>33</v>
      </c>
      <c r="Q5308">
        <v>148.6</v>
      </c>
    </row>
    <row r="5309" spans="11:17" x14ac:dyDescent="0.3">
      <c r="K5309">
        <v>2018</v>
      </c>
      <c r="L5309" t="s">
        <v>40</v>
      </c>
      <c r="M5309" t="s">
        <v>119</v>
      </c>
      <c r="N5309" t="s">
        <v>6</v>
      </c>
      <c r="O5309" t="s">
        <v>188</v>
      </c>
      <c r="P5309" s="1" t="s">
        <v>30</v>
      </c>
      <c r="Q5309">
        <v>143.4</v>
      </c>
    </row>
    <row r="5310" spans="11:17" x14ac:dyDescent="0.3">
      <c r="K5310">
        <v>2018</v>
      </c>
      <c r="L5310" t="s">
        <v>40</v>
      </c>
      <c r="M5310" t="s">
        <v>119</v>
      </c>
      <c r="N5310" t="s">
        <v>6</v>
      </c>
      <c r="O5310" t="s">
        <v>188</v>
      </c>
      <c r="P5310" s="1" t="s">
        <v>34</v>
      </c>
      <c r="Q5310">
        <v>142.5</v>
      </c>
    </row>
    <row r="5311" spans="11:17" x14ac:dyDescent="0.3">
      <c r="K5311">
        <v>2018</v>
      </c>
      <c r="L5311" t="s">
        <v>40</v>
      </c>
      <c r="M5311" t="s">
        <v>119</v>
      </c>
      <c r="N5311" t="s">
        <v>6</v>
      </c>
      <c r="O5311" t="s">
        <v>188</v>
      </c>
      <c r="P5311" s="1" t="s">
        <v>33</v>
      </c>
      <c r="Q5311">
        <v>141</v>
      </c>
    </row>
    <row r="5312" spans="11:17" x14ac:dyDescent="0.3">
      <c r="K5312">
        <v>2018</v>
      </c>
      <c r="L5312" t="s">
        <v>40</v>
      </c>
      <c r="M5312" t="s">
        <v>119</v>
      </c>
      <c r="N5312" t="s">
        <v>28</v>
      </c>
      <c r="O5312" t="s">
        <v>192</v>
      </c>
      <c r="P5312" s="1" t="s">
        <v>30</v>
      </c>
      <c r="Q5312">
        <v>136</v>
      </c>
    </row>
    <row r="5313" spans="11:17" x14ac:dyDescent="0.3">
      <c r="K5313">
        <v>2018</v>
      </c>
      <c r="L5313" t="s">
        <v>40</v>
      </c>
      <c r="M5313" t="s">
        <v>119</v>
      </c>
      <c r="N5313" t="s">
        <v>28</v>
      </c>
      <c r="O5313" t="s">
        <v>192</v>
      </c>
      <c r="P5313" s="1" t="s">
        <v>34</v>
      </c>
      <c r="Q5313">
        <v>133.19999999999999</v>
      </c>
    </row>
    <row r="5314" spans="11:17" x14ac:dyDescent="0.3">
      <c r="K5314">
        <v>2018</v>
      </c>
      <c r="L5314" t="s">
        <v>40</v>
      </c>
      <c r="M5314" t="s">
        <v>119</v>
      </c>
      <c r="N5314" t="s">
        <v>28</v>
      </c>
      <c r="O5314" t="s">
        <v>192</v>
      </c>
      <c r="P5314" s="1" t="s">
        <v>33</v>
      </c>
      <c r="Q5314">
        <v>130.19999999999999</v>
      </c>
    </row>
    <row r="5315" spans="11:17" x14ac:dyDescent="0.3">
      <c r="K5315">
        <v>2018</v>
      </c>
      <c r="L5315" t="s">
        <v>40</v>
      </c>
      <c r="M5315" t="s">
        <v>119</v>
      </c>
      <c r="N5315" t="s">
        <v>13</v>
      </c>
      <c r="O5315" t="s">
        <v>188</v>
      </c>
      <c r="P5315" s="1" t="s">
        <v>30</v>
      </c>
      <c r="Q5315">
        <v>132.80000000000001</v>
      </c>
    </row>
    <row r="5316" spans="11:17" x14ac:dyDescent="0.3">
      <c r="K5316">
        <v>2018</v>
      </c>
      <c r="L5316" t="s">
        <v>40</v>
      </c>
      <c r="M5316" t="s">
        <v>119</v>
      </c>
      <c r="N5316" t="s">
        <v>13</v>
      </c>
      <c r="O5316" t="s">
        <v>188</v>
      </c>
      <c r="P5316" s="1" t="s">
        <v>34</v>
      </c>
      <c r="Q5316">
        <v>130.30000000000001</v>
      </c>
    </row>
    <row r="5317" spans="11:17" x14ac:dyDescent="0.3">
      <c r="K5317">
        <v>2018</v>
      </c>
      <c r="L5317" t="s">
        <v>40</v>
      </c>
      <c r="M5317" t="s">
        <v>119</v>
      </c>
      <c r="N5317" t="s">
        <v>13</v>
      </c>
      <c r="O5317" t="s">
        <v>188</v>
      </c>
      <c r="P5317" s="1" t="s">
        <v>33</v>
      </c>
      <c r="Q5317">
        <v>126.8</v>
      </c>
    </row>
    <row r="5318" spans="11:17" x14ac:dyDescent="0.3">
      <c r="K5318">
        <v>2018</v>
      </c>
      <c r="L5318" t="s">
        <v>40</v>
      </c>
      <c r="M5318" t="s">
        <v>119</v>
      </c>
      <c r="N5318" t="s">
        <v>7</v>
      </c>
      <c r="O5318" t="s">
        <v>188</v>
      </c>
      <c r="P5318" s="1" t="s">
        <v>30</v>
      </c>
      <c r="Q5318">
        <v>124.1</v>
      </c>
    </row>
    <row r="5319" spans="11:17" x14ac:dyDescent="0.3">
      <c r="K5319">
        <v>2018</v>
      </c>
      <c r="L5319" t="s">
        <v>40</v>
      </c>
      <c r="M5319" t="s">
        <v>119</v>
      </c>
      <c r="N5319" t="s">
        <v>7</v>
      </c>
      <c r="O5319" t="s">
        <v>188</v>
      </c>
      <c r="P5319" s="1" t="s">
        <v>34</v>
      </c>
      <c r="Q5319">
        <v>121.4</v>
      </c>
    </row>
    <row r="5320" spans="11:17" x14ac:dyDescent="0.3">
      <c r="K5320">
        <v>2018</v>
      </c>
      <c r="L5320" t="s">
        <v>40</v>
      </c>
      <c r="M5320" t="s">
        <v>119</v>
      </c>
      <c r="N5320" t="s">
        <v>7</v>
      </c>
      <c r="O5320" t="s">
        <v>188</v>
      </c>
      <c r="P5320" s="1" t="s">
        <v>33</v>
      </c>
      <c r="Q5320">
        <v>116.7</v>
      </c>
    </row>
    <row r="5321" spans="11:17" x14ac:dyDescent="0.3">
      <c r="K5321">
        <v>2018</v>
      </c>
      <c r="L5321" t="s">
        <v>40</v>
      </c>
      <c r="M5321" t="s">
        <v>119</v>
      </c>
      <c r="N5321" t="s">
        <v>16</v>
      </c>
      <c r="O5321" t="s">
        <v>192</v>
      </c>
      <c r="P5321" s="1" t="s">
        <v>30</v>
      </c>
      <c r="Q5321">
        <v>156.1</v>
      </c>
    </row>
    <row r="5322" spans="11:17" x14ac:dyDescent="0.3">
      <c r="K5322">
        <v>2018</v>
      </c>
      <c r="L5322" t="s">
        <v>40</v>
      </c>
      <c r="M5322" t="s">
        <v>119</v>
      </c>
      <c r="N5322" t="s">
        <v>16</v>
      </c>
      <c r="O5322" t="s">
        <v>192</v>
      </c>
      <c r="P5322" s="1" t="s">
        <v>34</v>
      </c>
      <c r="Q5322">
        <v>157.5</v>
      </c>
    </row>
    <row r="5323" spans="11:17" x14ac:dyDescent="0.3">
      <c r="K5323">
        <v>2018</v>
      </c>
      <c r="L5323" t="s">
        <v>40</v>
      </c>
      <c r="M5323" t="s">
        <v>119</v>
      </c>
      <c r="N5323" t="s">
        <v>16</v>
      </c>
      <c r="O5323" t="s">
        <v>192</v>
      </c>
      <c r="P5323" s="1" t="s">
        <v>33</v>
      </c>
      <c r="Q5323">
        <v>161.4</v>
      </c>
    </row>
    <row r="5324" spans="11:17" x14ac:dyDescent="0.3">
      <c r="K5324">
        <v>2018</v>
      </c>
      <c r="L5324" t="s">
        <v>40</v>
      </c>
      <c r="M5324" t="s">
        <v>119</v>
      </c>
      <c r="N5324" t="s">
        <v>27</v>
      </c>
      <c r="O5324" t="s">
        <v>192</v>
      </c>
      <c r="P5324" s="1" t="s">
        <v>30</v>
      </c>
      <c r="Q5324">
        <v>131.4</v>
      </c>
    </row>
    <row r="5325" spans="11:17" x14ac:dyDescent="0.3">
      <c r="K5325">
        <v>2018</v>
      </c>
      <c r="L5325" t="s">
        <v>40</v>
      </c>
      <c r="M5325" t="s">
        <v>119</v>
      </c>
      <c r="N5325" t="s">
        <v>27</v>
      </c>
      <c r="O5325" t="s">
        <v>192</v>
      </c>
      <c r="P5325" s="1" t="s">
        <v>34</v>
      </c>
      <c r="Q5325">
        <v>130.1</v>
      </c>
    </row>
    <row r="5326" spans="11:17" x14ac:dyDescent="0.3">
      <c r="K5326">
        <v>2018</v>
      </c>
      <c r="L5326" t="s">
        <v>40</v>
      </c>
      <c r="M5326" t="s">
        <v>119</v>
      </c>
      <c r="N5326" t="s">
        <v>27</v>
      </c>
      <c r="O5326" t="s">
        <v>192</v>
      </c>
      <c r="P5326" s="1" t="s">
        <v>33</v>
      </c>
      <c r="Q5326">
        <v>128.19999999999999</v>
      </c>
    </row>
    <row r="5327" spans="11:17" x14ac:dyDescent="0.3">
      <c r="K5327">
        <v>2018</v>
      </c>
      <c r="L5327" t="s">
        <v>40</v>
      </c>
      <c r="M5327" t="s">
        <v>119</v>
      </c>
      <c r="N5327" t="s">
        <v>14</v>
      </c>
      <c r="O5327" t="s">
        <v>188</v>
      </c>
      <c r="P5327" s="1" t="s">
        <v>30</v>
      </c>
      <c r="Q5327">
        <v>154.80000000000001</v>
      </c>
    </row>
    <row r="5328" spans="11:17" x14ac:dyDescent="0.3">
      <c r="K5328">
        <v>2018</v>
      </c>
      <c r="L5328" t="s">
        <v>40</v>
      </c>
      <c r="M5328" t="s">
        <v>119</v>
      </c>
      <c r="N5328" t="s">
        <v>14</v>
      </c>
      <c r="O5328" t="s">
        <v>188</v>
      </c>
      <c r="P5328" s="1" t="s">
        <v>34</v>
      </c>
      <c r="Q5328">
        <v>152.30000000000001</v>
      </c>
    </row>
    <row r="5329" spans="11:17" x14ac:dyDescent="0.3">
      <c r="K5329">
        <v>2018</v>
      </c>
      <c r="L5329" t="s">
        <v>40</v>
      </c>
      <c r="M5329" t="s">
        <v>119</v>
      </c>
      <c r="N5329" t="s">
        <v>14</v>
      </c>
      <c r="O5329" t="s">
        <v>188</v>
      </c>
      <c r="P5329" s="1" t="s">
        <v>33</v>
      </c>
      <c r="Q5329">
        <v>149.4</v>
      </c>
    </row>
    <row r="5330" spans="11:17" x14ac:dyDescent="0.3">
      <c r="K5330">
        <v>2018</v>
      </c>
      <c r="L5330" t="s">
        <v>40</v>
      </c>
      <c r="M5330" t="s">
        <v>119</v>
      </c>
      <c r="N5330" t="s">
        <v>10</v>
      </c>
      <c r="O5330" t="s">
        <v>188</v>
      </c>
      <c r="P5330" s="1" t="s">
        <v>30</v>
      </c>
      <c r="Q5330">
        <v>126.4</v>
      </c>
    </row>
    <row r="5331" spans="11:17" x14ac:dyDescent="0.3">
      <c r="K5331">
        <v>2018</v>
      </c>
      <c r="L5331" t="s">
        <v>40</v>
      </c>
      <c r="M5331" t="s">
        <v>119</v>
      </c>
      <c r="N5331" t="s">
        <v>10</v>
      </c>
      <c r="O5331" t="s">
        <v>188</v>
      </c>
      <c r="P5331" s="1" t="s">
        <v>34</v>
      </c>
      <c r="Q5331">
        <v>121.7</v>
      </c>
    </row>
    <row r="5332" spans="11:17" x14ac:dyDescent="0.3">
      <c r="K5332">
        <v>2018</v>
      </c>
      <c r="L5332" t="s">
        <v>40</v>
      </c>
      <c r="M5332" t="s">
        <v>119</v>
      </c>
      <c r="N5332" t="s">
        <v>10</v>
      </c>
      <c r="O5332" t="s">
        <v>188</v>
      </c>
      <c r="P5332" s="1" t="s">
        <v>33</v>
      </c>
      <c r="Q5332">
        <v>112.6</v>
      </c>
    </row>
    <row r="5333" spans="11:17" x14ac:dyDescent="0.3">
      <c r="K5333">
        <v>2018</v>
      </c>
      <c r="L5333" t="s">
        <v>40</v>
      </c>
      <c r="M5333" t="s">
        <v>119</v>
      </c>
      <c r="N5333" t="s">
        <v>25</v>
      </c>
      <c r="O5333" t="s">
        <v>195</v>
      </c>
      <c r="P5333" s="1" t="s">
        <v>30</v>
      </c>
      <c r="Q5333">
        <v>138.4</v>
      </c>
    </row>
    <row r="5334" spans="11:17" x14ac:dyDescent="0.3">
      <c r="K5334">
        <v>2018</v>
      </c>
      <c r="L5334" t="s">
        <v>40</v>
      </c>
      <c r="M5334" t="s">
        <v>119</v>
      </c>
      <c r="N5334" t="s">
        <v>25</v>
      </c>
      <c r="O5334" t="s">
        <v>195</v>
      </c>
      <c r="P5334" s="1" t="s">
        <v>34</v>
      </c>
      <c r="Q5334">
        <v>133.1</v>
      </c>
    </row>
    <row r="5335" spans="11:17" x14ac:dyDescent="0.3">
      <c r="K5335">
        <v>2018</v>
      </c>
      <c r="L5335" t="s">
        <v>40</v>
      </c>
      <c r="M5335" t="s">
        <v>119</v>
      </c>
      <c r="N5335" t="s">
        <v>25</v>
      </c>
      <c r="O5335" t="s">
        <v>195</v>
      </c>
      <c r="P5335" s="1" t="s">
        <v>33</v>
      </c>
      <c r="Q5335">
        <v>129</v>
      </c>
    </row>
    <row r="5336" spans="11:17" x14ac:dyDescent="0.3">
      <c r="K5336">
        <v>2018</v>
      </c>
      <c r="L5336" t="s">
        <v>40</v>
      </c>
      <c r="M5336" t="s">
        <v>119</v>
      </c>
      <c r="N5336" t="s">
        <v>12</v>
      </c>
      <c r="O5336" t="s">
        <v>188</v>
      </c>
      <c r="P5336" s="1" t="s">
        <v>30</v>
      </c>
      <c r="Q5336">
        <v>138.19999999999999</v>
      </c>
    </row>
    <row r="5337" spans="11:17" x14ac:dyDescent="0.3">
      <c r="K5337">
        <v>2018</v>
      </c>
      <c r="L5337" t="s">
        <v>40</v>
      </c>
      <c r="M5337" t="s">
        <v>119</v>
      </c>
      <c r="N5337" t="s">
        <v>12</v>
      </c>
      <c r="O5337" t="s">
        <v>188</v>
      </c>
      <c r="P5337" s="1" t="s">
        <v>34</v>
      </c>
      <c r="Q5337">
        <v>138.9</v>
      </c>
    </row>
    <row r="5338" spans="11:17" x14ac:dyDescent="0.3">
      <c r="K5338">
        <v>2018</v>
      </c>
      <c r="L5338" t="s">
        <v>40</v>
      </c>
      <c r="M5338" t="s">
        <v>119</v>
      </c>
      <c r="N5338" t="s">
        <v>12</v>
      </c>
      <c r="O5338" t="s">
        <v>188</v>
      </c>
      <c r="P5338" s="1" t="s">
        <v>33</v>
      </c>
      <c r="Q5338">
        <v>140.30000000000001</v>
      </c>
    </row>
    <row r="5339" spans="11:17" x14ac:dyDescent="0.3">
      <c r="K5339">
        <v>2018</v>
      </c>
      <c r="L5339" t="s">
        <v>40</v>
      </c>
      <c r="M5339" t="s">
        <v>119</v>
      </c>
      <c r="N5339" t="s">
        <v>11</v>
      </c>
      <c r="O5339" t="s">
        <v>188</v>
      </c>
      <c r="P5339" s="1" t="s">
        <v>30</v>
      </c>
      <c r="Q5339">
        <v>114.3</v>
      </c>
    </row>
    <row r="5340" spans="11:17" x14ac:dyDescent="0.3">
      <c r="K5340">
        <v>2018</v>
      </c>
      <c r="L5340" t="s">
        <v>40</v>
      </c>
      <c r="M5340" t="s">
        <v>119</v>
      </c>
      <c r="N5340" t="s">
        <v>11</v>
      </c>
      <c r="O5340" t="s">
        <v>188</v>
      </c>
      <c r="P5340" s="1" t="s">
        <v>34</v>
      </c>
      <c r="Q5340">
        <v>113.5</v>
      </c>
    </row>
    <row r="5341" spans="11:17" x14ac:dyDescent="0.3">
      <c r="K5341">
        <v>2018</v>
      </c>
      <c r="L5341" t="s">
        <v>40</v>
      </c>
      <c r="M5341" t="s">
        <v>119</v>
      </c>
      <c r="N5341" t="s">
        <v>11</v>
      </c>
      <c r="O5341" t="s">
        <v>188</v>
      </c>
      <c r="P5341" s="1" t="s">
        <v>33</v>
      </c>
      <c r="Q5341">
        <v>111.8</v>
      </c>
    </row>
    <row r="5342" spans="11:17" x14ac:dyDescent="0.3">
      <c r="K5342">
        <v>2018</v>
      </c>
      <c r="L5342" t="s">
        <v>40</v>
      </c>
      <c r="M5342" t="s">
        <v>119</v>
      </c>
      <c r="N5342" t="s">
        <v>24</v>
      </c>
      <c r="O5342" t="s">
        <v>191</v>
      </c>
      <c r="P5342" s="1" t="s">
        <v>30</v>
      </c>
      <c r="Q5342">
        <v>127.5</v>
      </c>
    </row>
    <row r="5343" spans="11:17" x14ac:dyDescent="0.3">
      <c r="K5343">
        <v>2018</v>
      </c>
      <c r="L5343" t="s">
        <v>40</v>
      </c>
      <c r="M5343" t="s">
        <v>119</v>
      </c>
      <c r="N5343" t="s">
        <v>24</v>
      </c>
      <c r="O5343" t="s">
        <v>191</v>
      </c>
      <c r="P5343" s="1" t="s">
        <v>34</v>
      </c>
      <c r="Q5343">
        <v>123.6</v>
      </c>
    </row>
    <row r="5344" spans="11:17" x14ac:dyDescent="0.3">
      <c r="K5344">
        <v>2018</v>
      </c>
      <c r="L5344" t="s">
        <v>40</v>
      </c>
      <c r="M5344" t="s">
        <v>119</v>
      </c>
      <c r="N5344" t="s">
        <v>24</v>
      </c>
      <c r="O5344" t="s">
        <v>191</v>
      </c>
      <c r="P5344" s="1" t="s">
        <v>33</v>
      </c>
      <c r="Q5344">
        <v>120.1</v>
      </c>
    </row>
    <row r="5345" spans="11:17" x14ac:dyDescent="0.3">
      <c r="K5345">
        <v>2018</v>
      </c>
      <c r="L5345" t="s">
        <v>40</v>
      </c>
      <c r="M5345" t="s">
        <v>119</v>
      </c>
      <c r="N5345" t="s">
        <v>9</v>
      </c>
      <c r="O5345" t="s">
        <v>188</v>
      </c>
      <c r="P5345" s="1" t="s">
        <v>30</v>
      </c>
      <c r="Q5345">
        <v>154.19999999999999</v>
      </c>
    </row>
    <row r="5346" spans="11:17" x14ac:dyDescent="0.3">
      <c r="K5346">
        <v>2018</v>
      </c>
      <c r="L5346" t="s">
        <v>40</v>
      </c>
      <c r="M5346" t="s">
        <v>119</v>
      </c>
      <c r="N5346" t="s">
        <v>9</v>
      </c>
      <c r="O5346" t="s">
        <v>188</v>
      </c>
      <c r="P5346" s="1" t="s">
        <v>34</v>
      </c>
      <c r="Q5346">
        <v>155.9</v>
      </c>
    </row>
    <row r="5347" spans="11:17" x14ac:dyDescent="0.3">
      <c r="K5347">
        <v>2018</v>
      </c>
      <c r="L5347" t="s">
        <v>40</v>
      </c>
      <c r="M5347" t="s">
        <v>119</v>
      </c>
      <c r="N5347" t="s">
        <v>9</v>
      </c>
      <c r="O5347" t="s">
        <v>188</v>
      </c>
      <c r="P5347" s="1" t="s">
        <v>33</v>
      </c>
      <c r="Q5347">
        <v>159.19999999999999</v>
      </c>
    </row>
    <row r="5348" spans="11:17" x14ac:dyDescent="0.3">
      <c r="K5348">
        <v>2018</v>
      </c>
      <c r="L5348" t="s">
        <v>39</v>
      </c>
      <c r="M5348" t="s">
        <v>120</v>
      </c>
      <c r="N5348" t="s">
        <v>3</v>
      </c>
      <c r="O5348" t="s">
        <v>188</v>
      </c>
      <c r="P5348" s="1" t="s">
        <v>30</v>
      </c>
      <c r="Q5348">
        <v>137.6</v>
      </c>
    </row>
    <row r="5349" spans="11:17" x14ac:dyDescent="0.3">
      <c r="K5349">
        <v>2018</v>
      </c>
      <c r="L5349" t="s">
        <v>39</v>
      </c>
      <c r="M5349" t="s">
        <v>120</v>
      </c>
      <c r="N5349" t="s">
        <v>3</v>
      </c>
      <c r="O5349" t="s">
        <v>188</v>
      </c>
      <c r="P5349" s="1" t="s">
        <v>34</v>
      </c>
      <c r="Q5349">
        <v>136.9</v>
      </c>
    </row>
    <row r="5350" spans="11:17" x14ac:dyDescent="0.3">
      <c r="K5350">
        <v>2018</v>
      </c>
      <c r="L5350" t="s">
        <v>39</v>
      </c>
      <c r="M5350" t="s">
        <v>120</v>
      </c>
      <c r="N5350" t="s">
        <v>3</v>
      </c>
      <c r="O5350" t="s">
        <v>188</v>
      </c>
      <c r="P5350" s="1" t="s">
        <v>33</v>
      </c>
      <c r="Q5350">
        <v>135.30000000000001</v>
      </c>
    </row>
    <row r="5351" spans="11:17" x14ac:dyDescent="0.3">
      <c r="K5351">
        <v>2018</v>
      </c>
      <c r="L5351" t="s">
        <v>39</v>
      </c>
      <c r="M5351" t="s">
        <v>120</v>
      </c>
      <c r="N5351" t="s">
        <v>17</v>
      </c>
      <c r="O5351" t="s">
        <v>189</v>
      </c>
      <c r="P5351" s="1" t="s">
        <v>30</v>
      </c>
      <c r="Q5351">
        <v>151.30000000000001</v>
      </c>
    </row>
    <row r="5352" spans="11:17" x14ac:dyDescent="0.3">
      <c r="K5352">
        <v>2018</v>
      </c>
      <c r="L5352" t="s">
        <v>39</v>
      </c>
      <c r="M5352" t="s">
        <v>120</v>
      </c>
      <c r="N5352" t="s">
        <v>17</v>
      </c>
      <c r="O5352" t="s">
        <v>189</v>
      </c>
      <c r="P5352" s="1" t="s">
        <v>34</v>
      </c>
      <c r="Q5352">
        <v>146.4</v>
      </c>
    </row>
    <row r="5353" spans="11:17" x14ac:dyDescent="0.3">
      <c r="K5353">
        <v>2018</v>
      </c>
      <c r="L5353" t="s">
        <v>39</v>
      </c>
      <c r="M5353" t="s">
        <v>120</v>
      </c>
      <c r="N5353" t="s">
        <v>17</v>
      </c>
      <c r="O5353" t="s">
        <v>189</v>
      </c>
      <c r="P5353" s="1" t="s">
        <v>33</v>
      </c>
      <c r="Q5353">
        <v>138.9</v>
      </c>
    </row>
    <row r="5354" spans="11:17" x14ac:dyDescent="0.3">
      <c r="K5354">
        <v>2018</v>
      </c>
      <c r="L5354" t="s">
        <v>39</v>
      </c>
      <c r="M5354" t="s">
        <v>120</v>
      </c>
      <c r="N5354" t="s">
        <v>19</v>
      </c>
      <c r="O5354" t="s">
        <v>189</v>
      </c>
      <c r="P5354" s="1" t="s">
        <v>30</v>
      </c>
      <c r="Q5354">
        <v>150.30000000000001</v>
      </c>
    </row>
    <row r="5355" spans="11:17" x14ac:dyDescent="0.3">
      <c r="K5355">
        <v>2018</v>
      </c>
      <c r="L5355" t="s">
        <v>39</v>
      </c>
      <c r="M5355" t="s">
        <v>120</v>
      </c>
      <c r="N5355" t="s">
        <v>19</v>
      </c>
      <c r="O5355" t="s">
        <v>189</v>
      </c>
      <c r="P5355" s="1" t="s">
        <v>34</v>
      </c>
      <c r="Q5355">
        <v>145.19999999999999</v>
      </c>
    </row>
    <row r="5356" spans="11:17" x14ac:dyDescent="0.3">
      <c r="K5356">
        <v>2018</v>
      </c>
      <c r="L5356" t="s">
        <v>39</v>
      </c>
      <c r="M5356" t="s">
        <v>120</v>
      </c>
      <c r="N5356" t="s">
        <v>19</v>
      </c>
      <c r="O5356" t="s">
        <v>189</v>
      </c>
      <c r="P5356" s="1" t="s">
        <v>33</v>
      </c>
      <c r="Q5356">
        <v>137.4</v>
      </c>
    </row>
    <row r="5357" spans="11:17" x14ac:dyDescent="0.3">
      <c r="K5357">
        <v>2018</v>
      </c>
      <c r="L5357" t="s">
        <v>39</v>
      </c>
      <c r="M5357" t="s">
        <v>120</v>
      </c>
      <c r="N5357" t="s">
        <v>26</v>
      </c>
      <c r="O5357" t="s">
        <v>26</v>
      </c>
      <c r="P5357" s="1" t="s">
        <v>30</v>
      </c>
      <c r="Q5357">
        <v>145.1</v>
      </c>
    </row>
    <row r="5358" spans="11:17" x14ac:dyDescent="0.3">
      <c r="K5358">
        <v>2018</v>
      </c>
      <c r="L5358" t="s">
        <v>39</v>
      </c>
      <c r="M5358" t="s">
        <v>120</v>
      </c>
      <c r="N5358" t="s">
        <v>26</v>
      </c>
      <c r="O5358" t="s">
        <v>26</v>
      </c>
      <c r="P5358" s="1" t="s">
        <v>34</v>
      </c>
      <c r="Q5358">
        <v>142.80000000000001</v>
      </c>
    </row>
    <row r="5359" spans="11:17" x14ac:dyDescent="0.3">
      <c r="K5359">
        <v>2018</v>
      </c>
      <c r="L5359" t="s">
        <v>39</v>
      </c>
      <c r="M5359" t="s">
        <v>120</v>
      </c>
      <c r="N5359" t="s">
        <v>26</v>
      </c>
      <c r="O5359" t="s">
        <v>26</v>
      </c>
      <c r="P5359" s="1" t="s">
        <v>33</v>
      </c>
      <c r="Q5359">
        <v>141.19999999999999</v>
      </c>
    </row>
    <row r="5360" spans="11:17" x14ac:dyDescent="0.3">
      <c r="K5360">
        <v>2018</v>
      </c>
      <c r="L5360" t="s">
        <v>39</v>
      </c>
      <c r="M5360" t="s">
        <v>120</v>
      </c>
      <c r="N5360" t="s">
        <v>5</v>
      </c>
      <c r="O5360" t="s">
        <v>188</v>
      </c>
      <c r="P5360" s="1" t="s">
        <v>30</v>
      </c>
      <c r="Q5360">
        <v>136.69999999999999</v>
      </c>
    </row>
    <row r="5361" spans="11:17" x14ac:dyDescent="0.3">
      <c r="K5361">
        <v>2018</v>
      </c>
      <c r="L5361" t="s">
        <v>39</v>
      </c>
      <c r="M5361" t="s">
        <v>120</v>
      </c>
      <c r="N5361" t="s">
        <v>5</v>
      </c>
      <c r="O5361" t="s">
        <v>188</v>
      </c>
      <c r="P5361" s="1" t="s">
        <v>34</v>
      </c>
      <c r="Q5361">
        <v>135.6</v>
      </c>
    </row>
    <row r="5362" spans="11:17" x14ac:dyDescent="0.3">
      <c r="K5362">
        <v>2018</v>
      </c>
      <c r="L5362" t="s">
        <v>39</v>
      </c>
      <c r="M5362" t="s">
        <v>120</v>
      </c>
      <c r="N5362" t="s">
        <v>5</v>
      </c>
      <c r="O5362" t="s">
        <v>188</v>
      </c>
      <c r="P5362" s="1" t="s">
        <v>33</v>
      </c>
      <c r="Q5362">
        <v>133.9</v>
      </c>
    </row>
    <row r="5363" spans="11:17" x14ac:dyDescent="0.3">
      <c r="K5363">
        <v>2018</v>
      </c>
      <c r="L5363" t="s">
        <v>39</v>
      </c>
      <c r="M5363" t="s">
        <v>120</v>
      </c>
      <c r="N5363" t="s">
        <v>15</v>
      </c>
      <c r="O5363" t="s">
        <v>188</v>
      </c>
      <c r="P5363" s="1" t="s">
        <v>30</v>
      </c>
      <c r="Q5363">
        <v>140</v>
      </c>
    </row>
    <row r="5364" spans="11:17" x14ac:dyDescent="0.3">
      <c r="K5364">
        <v>2018</v>
      </c>
      <c r="L5364" t="s">
        <v>39</v>
      </c>
      <c r="M5364" t="s">
        <v>120</v>
      </c>
      <c r="N5364" t="s">
        <v>15</v>
      </c>
      <c r="O5364" t="s">
        <v>188</v>
      </c>
      <c r="P5364" s="1" t="s">
        <v>34</v>
      </c>
      <c r="Q5364">
        <v>139.4</v>
      </c>
    </row>
    <row r="5365" spans="11:17" x14ac:dyDescent="0.3">
      <c r="K5365">
        <v>2018</v>
      </c>
      <c r="L5365" t="s">
        <v>39</v>
      </c>
      <c r="M5365" t="s">
        <v>120</v>
      </c>
      <c r="N5365" t="s">
        <v>15</v>
      </c>
      <c r="O5365" t="s">
        <v>188</v>
      </c>
      <c r="P5365" s="1" t="s">
        <v>33</v>
      </c>
      <c r="Q5365">
        <v>138.4</v>
      </c>
    </row>
    <row r="5366" spans="11:17" x14ac:dyDescent="0.3">
      <c r="K5366">
        <v>2018</v>
      </c>
      <c r="L5366" t="s">
        <v>39</v>
      </c>
      <c r="M5366" t="s">
        <v>120</v>
      </c>
      <c r="N5366" t="s">
        <v>18</v>
      </c>
      <c r="O5366" t="s">
        <v>189</v>
      </c>
      <c r="P5366" s="1" t="s">
        <v>30</v>
      </c>
      <c r="Q5366">
        <v>144.69999999999999</v>
      </c>
    </row>
    <row r="5367" spans="11:17" x14ac:dyDescent="0.3">
      <c r="K5367">
        <v>2018</v>
      </c>
      <c r="L5367" t="s">
        <v>39</v>
      </c>
      <c r="M5367" t="s">
        <v>120</v>
      </c>
      <c r="N5367" t="s">
        <v>18</v>
      </c>
      <c r="O5367" t="s">
        <v>189</v>
      </c>
      <c r="P5367" s="1" t="s">
        <v>34</v>
      </c>
      <c r="Q5367">
        <v>138.1</v>
      </c>
    </row>
    <row r="5368" spans="11:17" x14ac:dyDescent="0.3">
      <c r="K5368">
        <v>2018</v>
      </c>
      <c r="L5368" t="s">
        <v>39</v>
      </c>
      <c r="M5368" t="s">
        <v>120</v>
      </c>
      <c r="N5368" t="s">
        <v>18</v>
      </c>
      <c r="O5368" t="s">
        <v>189</v>
      </c>
      <c r="P5368" s="1" t="s">
        <v>33</v>
      </c>
      <c r="Q5368">
        <v>128.69999999999999</v>
      </c>
    </row>
    <row r="5369" spans="11:17" x14ac:dyDescent="0.3">
      <c r="K5369">
        <v>2018</v>
      </c>
      <c r="L5369" t="s">
        <v>39</v>
      </c>
      <c r="M5369" t="s">
        <v>120</v>
      </c>
      <c r="N5369" t="s">
        <v>8</v>
      </c>
      <c r="O5369" t="s">
        <v>188</v>
      </c>
      <c r="P5369" s="1" t="s">
        <v>30</v>
      </c>
      <c r="Q5369">
        <v>154.1</v>
      </c>
    </row>
    <row r="5370" spans="11:17" x14ac:dyDescent="0.3">
      <c r="K5370">
        <v>2018</v>
      </c>
      <c r="L5370" t="s">
        <v>39</v>
      </c>
      <c r="M5370" t="s">
        <v>120</v>
      </c>
      <c r="N5370" t="s">
        <v>8</v>
      </c>
      <c r="O5370" t="s">
        <v>188</v>
      </c>
      <c r="P5370" s="1" t="s">
        <v>34</v>
      </c>
      <c r="Q5370">
        <v>153.19999999999999</v>
      </c>
    </row>
    <row r="5371" spans="11:17" x14ac:dyDescent="0.3">
      <c r="K5371">
        <v>2018</v>
      </c>
      <c r="L5371" t="s">
        <v>39</v>
      </c>
      <c r="M5371" t="s">
        <v>120</v>
      </c>
      <c r="N5371" t="s">
        <v>8</v>
      </c>
      <c r="O5371" t="s">
        <v>188</v>
      </c>
      <c r="P5371" s="1" t="s">
        <v>33</v>
      </c>
      <c r="Q5371">
        <v>152.19999999999999</v>
      </c>
    </row>
    <row r="5372" spans="11:17" x14ac:dyDescent="0.3">
      <c r="K5372">
        <v>2018</v>
      </c>
      <c r="L5372" t="s">
        <v>39</v>
      </c>
      <c r="M5372" t="s">
        <v>120</v>
      </c>
      <c r="N5372" t="s">
        <v>21</v>
      </c>
      <c r="O5372" t="s">
        <v>190</v>
      </c>
      <c r="P5372" s="1" t="s">
        <v>30</v>
      </c>
      <c r="Q5372">
        <v>145.1</v>
      </c>
    </row>
    <row r="5373" spans="11:17" x14ac:dyDescent="0.3">
      <c r="K5373">
        <v>2018</v>
      </c>
      <c r="L5373" t="s">
        <v>39</v>
      </c>
      <c r="M5373" t="s">
        <v>120</v>
      </c>
      <c r="N5373" t="s">
        <v>21</v>
      </c>
      <c r="O5373" t="s">
        <v>190</v>
      </c>
      <c r="P5373" s="1" t="s">
        <v>34</v>
      </c>
      <c r="Q5373">
        <v>138.1</v>
      </c>
    </row>
    <row r="5374" spans="11:17" x14ac:dyDescent="0.3">
      <c r="K5374">
        <v>2018</v>
      </c>
      <c r="L5374" t="s">
        <v>39</v>
      </c>
      <c r="M5374" t="s">
        <v>120</v>
      </c>
      <c r="N5374" t="s">
        <v>21</v>
      </c>
      <c r="O5374" t="s">
        <v>190</v>
      </c>
      <c r="P5374" s="1" t="s">
        <v>33</v>
      </c>
      <c r="Q5374">
        <v>126.5</v>
      </c>
    </row>
    <row r="5375" spans="11:17" x14ac:dyDescent="0.3">
      <c r="K5375">
        <v>2018</v>
      </c>
      <c r="L5375" t="s">
        <v>39</v>
      </c>
      <c r="M5375" t="s">
        <v>120</v>
      </c>
      <c r="N5375" t="s">
        <v>29</v>
      </c>
      <c r="O5375" t="s">
        <v>206</v>
      </c>
      <c r="P5375" s="1" t="s">
        <v>30</v>
      </c>
      <c r="Q5375">
        <v>140.5</v>
      </c>
    </row>
    <row r="5376" spans="11:17" x14ac:dyDescent="0.3">
      <c r="K5376">
        <v>2018</v>
      </c>
      <c r="L5376" t="s">
        <v>39</v>
      </c>
      <c r="M5376" t="s">
        <v>120</v>
      </c>
      <c r="N5376" t="s">
        <v>29</v>
      </c>
      <c r="O5376" t="s">
        <v>206</v>
      </c>
      <c r="P5376" s="1" t="s">
        <v>34</v>
      </c>
      <c r="Q5376">
        <v>138.5</v>
      </c>
    </row>
    <row r="5377" spans="11:17" x14ac:dyDescent="0.3">
      <c r="K5377">
        <v>2018</v>
      </c>
      <c r="L5377" t="s">
        <v>39</v>
      </c>
      <c r="M5377" t="s">
        <v>120</v>
      </c>
      <c r="N5377" t="s">
        <v>29</v>
      </c>
      <c r="O5377" t="s">
        <v>206</v>
      </c>
      <c r="P5377" s="1" t="s">
        <v>33</v>
      </c>
      <c r="Q5377">
        <v>136.19999999999999</v>
      </c>
    </row>
    <row r="5378" spans="11:17" x14ac:dyDescent="0.3">
      <c r="K5378">
        <v>2018</v>
      </c>
      <c r="L5378" t="s">
        <v>39</v>
      </c>
      <c r="M5378" t="s">
        <v>120</v>
      </c>
      <c r="N5378" t="s">
        <v>23</v>
      </c>
      <c r="O5378" t="s">
        <v>23</v>
      </c>
      <c r="P5378" s="1" t="s">
        <v>30</v>
      </c>
      <c r="Q5378">
        <v>138.4</v>
      </c>
    </row>
    <row r="5379" spans="11:17" x14ac:dyDescent="0.3">
      <c r="K5379">
        <v>2018</v>
      </c>
      <c r="L5379" t="s">
        <v>39</v>
      </c>
      <c r="M5379" t="s">
        <v>120</v>
      </c>
      <c r="N5379" t="s">
        <v>23</v>
      </c>
      <c r="O5379" t="s">
        <v>23</v>
      </c>
      <c r="P5379" s="1" t="s">
        <v>34</v>
      </c>
      <c r="Q5379">
        <v>136.19999999999999</v>
      </c>
    </row>
    <row r="5380" spans="11:17" x14ac:dyDescent="0.3">
      <c r="K5380">
        <v>2018</v>
      </c>
      <c r="L5380" t="s">
        <v>39</v>
      </c>
      <c r="M5380" t="s">
        <v>120</v>
      </c>
      <c r="N5380" t="s">
        <v>23</v>
      </c>
      <c r="O5380" t="s">
        <v>23</v>
      </c>
      <c r="P5380" s="1" t="s">
        <v>33</v>
      </c>
      <c r="Q5380">
        <v>132.6</v>
      </c>
    </row>
    <row r="5381" spans="11:17" x14ac:dyDescent="0.3">
      <c r="K5381">
        <v>2018</v>
      </c>
      <c r="L5381" t="s">
        <v>39</v>
      </c>
      <c r="M5381" t="s">
        <v>120</v>
      </c>
      <c r="N5381" t="s">
        <v>22</v>
      </c>
      <c r="O5381" t="s">
        <v>20</v>
      </c>
      <c r="P5381" s="1" t="s">
        <v>30</v>
      </c>
      <c r="Q5381">
        <v>142.19999999999999</v>
      </c>
    </row>
    <row r="5382" spans="11:17" x14ac:dyDescent="0.3">
      <c r="K5382">
        <v>2018</v>
      </c>
      <c r="L5382" t="s">
        <v>39</v>
      </c>
      <c r="M5382" t="s">
        <v>120</v>
      </c>
      <c r="N5382" t="s">
        <v>22</v>
      </c>
      <c r="O5382" t="s">
        <v>20</v>
      </c>
      <c r="P5382" s="1" t="s">
        <v>34</v>
      </c>
      <c r="Q5382">
        <v>137.9</v>
      </c>
    </row>
    <row r="5383" spans="11:17" x14ac:dyDescent="0.3">
      <c r="K5383">
        <v>2018</v>
      </c>
      <c r="L5383" t="s">
        <v>39</v>
      </c>
      <c r="M5383" t="s">
        <v>120</v>
      </c>
      <c r="N5383" t="s">
        <v>22</v>
      </c>
      <c r="O5383" t="s">
        <v>20</v>
      </c>
      <c r="P5383" s="1" t="s">
        <v>33</v>
      </c>
      <c r="Q5383">
        <v>133.1</v>
      </c>
    </row>
    <row r="5384" spans="11:17" x14ac:dyDescent="0.3">
      <c r="K5384">
        <v>2018</v>
      </c>
      <c r="L5384" t="s">
        <v>39</v>
      </c>
      <c r="M5384" t="s">
        <v>120</v>
      </c>
      <c r="N5384" t="s">
        <v>20</v>
      </c>
      <c r="O5384" t="s">
        <v>20</v>
      </c>
      <c r="P5384" s="1" t="s">
        <v>30</v>
      </c>
      <c r="Q5384">
        <v>0</v>
      </c>
    </row>
    <row r="5385" spans="11:17" x14ac:dyDescent="0.3">
      <c r="K5385">
        <v>2018</v>
      </c>
      <c r="L5385" t="s">
        <v>39</v>
      </c>
      <c r="M5385" t="s">
        <v>120</v>
      </c>
      <c r="N5385" t="s">
        <v>20</v>
      </c>
      <c r="O5385" t="s">
        <v>20</v>
      </c>
      <c r="P5385" s="1" t="s">
        <v>34</v>
      </c>
      <c r="Q5385">
        <v>142.5</v>
      </c>
    </row>
    <row r="5386" spans="11:17" x14ac:dyDescent="0.3">
      <c r="K5386">
        <v>2018</v>
      </c>
      <c r="L5386" t="s">
        <v>39</v>
      </c>
      <c r="M5386" t="s">
        <v>120</v>
      </c>
      <c r="N5386" t="s">
        <v>20</v>
      </c>
      <c r="O5386" t="s">
        <v>20</v>
      </c>
      <c r="P5386" s="1" t="s">
        <v>33</v>
      </c>
      <c r="Q5386">
        <v>142.5</v>
      </c>
    </row>
    <row r="5387" spans="11:17" x14ac:dyDescent="0.3">
      <c r="K5387">
        <v>2018</v>
      </c>
      <c r="L5387" t="s">
        <v>39</v>
      </c>
      <c r="M5387" t="s">
        <v>120</v>
      </c>
      <c r="N5387" t="s">
        <v>4</v>
      </c>
      <c r="O5387" t="s">
        <v>188</v>
      </c>
      <c r="P5387" s="1" t="s">
        <v>30</v>
      </c>
      <c r="Q5387">
        <v>148.1</v>
      </c>
    </row>
    <row r="5388" spans="11:17" x14ac:dyDescent="0.3">
      <c r="K5388">
        <v>2018</v>
      </c>
      <c r="L5388" t="s">
        <v>39</v>
      </c>
      <c r="M5388" t="s">
        <v>120</v>
      </c>
      <c r="N5388" t="s">
        <v>4</v>
      </c>
      <c r="O5388" t="s">
        <v>188</v>
      </c>
      <c r="P5388" s="1" t="s">
        <v>34</v>
      </c>
      <c r="Q5388">
        <v>148.69999999999999</v>
      </c>
    </row>
    <row r="5389" spans="11:17" x14ac:dyDescent="0.3">
      <c r="K5389">
        <v>2018</v>
      </c>
      <c r="L5389" t="s">
        <v>39</v>
      </c>
      <c r="M5389" t="s">
        <v>120</v>
      </c>
      <c r="N5389" t="s">
        <v>4</v>
      </c>
      <c r="O5389" t="s">
        <v>188</v>
      </c>
      <c r="P5389" s="1" t="s">
        <v>33</v>
      </c>
      <c r="Q5389">
        <v>149.69999999999999</v>
      </c>
    </row>
    <row r="5390" spans="11:17" x14ac:dyDescent="0.3">
      <c r="K5390">
        <v>2018</v>
      </c>
      <c r="L5390" t="s">
        <v>39</v>
      </c>
      <c r="M5390" t="s">
        <v>120</v>
      </c>
      <c r="N5390" t="s">
        <v>6</v>
      </c>
      <c r="O5390" t="s">
        <v>188</v>
      </c>
      <c r="P5390" s="1" t="s">
        <v>30</v>
      </c>
      <c r="Q5390">
        <v>143.19999999999999</v>
      </c>
    </row>
    <row r="5391" spans="11:17" x14ac:dyDescent="0.3">
      <c r="K5391">
        <v>2018</v>
      </c>
      <c r="L5391" t="s">
        <v>39</v>
      </c>
      <c r="M5391" t="s">
        <v>120</v>
      </c>
      <c r="N5391" t="s">
        <v>6</v>
      </c>
      <c r="O5391" t="s">
        <v>188</v>
      </c>
      <c r="P5391" s="1" t="s">
        <v>34</v>
      </c>
      <c r="Q5391">
        <v>142.30000000000001</v>
      </c>
    </row>
    <row r="5392" spans="11:17" x14ac:dyDescent="0.3">
      <c r="K5392">
        <v>2018</v>
      </c>
      <c r="L5392" t="s">
        <v>39</v>
      </c>
      <c r="M5392" t="s">
        <v>120</v>
      </c>
      <c r="N5392" t="s">
        <v>6</v>
      </c>
      <c r="O5392" t="s">
        <v>188</v>
      </c>
      <c r="P5392" s="1" t="s">
        <v>33</v>
      </c>
      <c r="Q5392">
        <v>140.80000000000001</v>
      </c>
    </row>
    <row r="5393" spans="11:17" x14ac:dyDescent="0.3">
      <c r="K5393">
        <v>2018</v>
      </c>
      <c r="L5393" t="s">
        <v>39</v>
      </c>
      <c r="M5393" t="s">
        <v>120</v>
      </c>
      <c r="N5393" t="s">
        <v>28</v>
      </c>
      <c r="O5393" t="s">
        <v>192</v>
      </c>
      <c r="P5393" s="1" t="s">
        <v>30</v>
      </c>
      <c r="Q5393">
        <v>135.6</v>
      </c>
    </row>
    <row r="5394" spans="11:17" x14ac:dyDescent="0.3">
      <c r="K5394">
        <v>2018</v>
      </c>
      <c r="L5394" t="s">
        <v>39</v>
      </c>
      <c r="M5394" t="s">
        <v>120</v>
      </c>
      <c r="N5394" t="s">
        <v>28</v>
      </c>
      <c r="O5394" t="s">
        <v>192</v>
      </c>
      <c r="P5394" s="1" t="s">
        <v>34</v>
      </c>
      <c r="Q5394">
        <v>132.6</v>
      </c>
    </row>
    <row r="5395" spans="11:17" x14ac:dyDescent="0.3">
      <c r="K5395">
        <v>2018</v>
      </c>
      <c r="L5395" t="s">
        <v>39</v>
      </c>
      <c r="M5395" t="s">
        <v>120</v>
      </c>
      <c r="N5395" t="s">
        <v>28</v>
      </c>
      <c r="O5395" t="s">
        <v>192</v>
      </c>
      <c r="P5395" s="1" t="s">
        <v>33</v>
      </c>
      <c r="Q5395">
        <v>129.5</v>
      </c>
    </row>
    <row r="5396" spans="11:17" x14ac:dyDescent="0.3">
      <c r="K5396">
        <v>2018</v>
      </c>
      <c r="L5396" t="s">
        <v>39</v>
      </c>
      <c r="M5396" t="s">
        <v>120</v>
      </c>
      <c r="N5396" t="s">
        <v>13</v>
      </c>
      <c r="O5396" t="s">
        <v>188</v>
      </c>
      <c r="P5396" s="1" t="s">
        <v>30</v>
      </c>
      <c r="Q5396">
        <v>132.80000000000001</v>
      </c>
    </row>
    <row r="5397" spans="11:17" x14ac:dyDescent="0.3">
      <c r="K5397">
        <v>2018</v>
      </c>
      <c r="L5397" t="s">
        <v>39</v>
      </c>
      <c r="M5397" t="s">
        <v>120</v>
      </c>
      <c r="N5397" t="s">
        <v>13</v>
      </c>
      <c r="O5397" t="s">
        <v>188</v>
      </c>
      <c r="P5397" s="1" t="s">
        <v>34</v>
      </c>
      <c r="Q5397">
        <v>130.30000000000001</v>
      </c>
    </row>
    <row r="5398" spans="11:17" x14ac:dyDescent="0.3">
      <c r="K5398">
        <v>2018</v>
      </c>
      <c r="L5398" t="s">
        <v>39</v>
      </c>
      <c r="M5398" t="s">
        <v>120</v>
      </c>
      <c r="N5398" t="s">
        <v>13</v>
      </c>
      <c r="O5398" t="s">
        <v>188</v>
      </c>
      <c r="P5398" s="1" t="s">
        <v>33</v>
      </c>
      <c r="Q5398">
        <v>126.7</v>
      </c>
    </row>
    <row r="5399" spans="11:17" x14ac:dyDescent="0.3">
      <c r="K5399">
        <v>2018</v>
      </c>
      <c r="L5399" t="s">
        <v>39</v>
      </c>
      <c r="M5399" t="s">
        <v>120</v>
      </c>
      <c r="N5399" t="s">
        <v>7</v>
      </c>
      <c r="O5399" t="s">
        <v>188</v>
      </c>
      <c r="P5399" s="1" t="s">
        <v>30</v>
      </c>
      <c r="Q5399">
        <v>124</v>
      </c>
    </row>
    <row r="5400" spans="11:17" x14ac:dyDescent="0.3">
      <c r="K5400">
        <v>2018</v>
      </c>
      <c r="L5400" t="s">
        <v>39</v>
      </c>
      <c r="M5400" t="s">
        <v>120</v>
      </c>
      <c r="N5400" t="s">
        <v>7</v>
      </c>
      <c r="O5400" t="s">
        <v>188</v>
      </c>
      <c r="P5400" s="1" t="s">
        <v>34</v>
      </c>
      <c r="Q5400">
        <v>121.3</v>
      </c>
    </row>
    <row r="5401" spans="11:17" x14ac:dyDescent="0.3">
      <c r="K5401">
        <v>2018</v>
      </c>
      <c r="L5401" t="s">
        <v>39</v>
      </c>
      <c r="M5401" t="s">
        <v>120</v>
      </c>
      <c r="N5401" t="s">
        <v>7</v>
      </c>
      <c r="O5401" t="s">
        <v>188</v>
      </c>
      <c r="P5401" s="1" t="s">
        <v>33</v>
      </c>
      <c r="Q5401">
        <v>116.6</v>
      </c>
    </row>
    <row r="5402" spans="11:17" x14ac:dyDescent="0.3">
      <c r="K5402">
        <v>2018</v>
      </c>
      <c r="L5402" t="s">
        <v>39</v>
      </c>
      <c r="M5402" t="s">
        <v>120</v>
      </c>
      <c r="N5402" t="s">
        <v>16</v>
      </c>
      <c r="O5402" t="s">
        <v>192</v>
      </c>
      <c r="P5402" s="1" t="s">
        <v>30</v>
      </c>
      <c r="Q5402">
        <v>157.30000000000001</v>
      </c>
    </row>
    <row r="5403" spans="11:17" x14ac:dyDescent="0.3">
      <c r="K5403">
        <v>2018</v>
      </c>
      <c r="L5403" t="s">
        <v>39</v>
      </c>
      <c r="M5403" t="s">
        <v>120</v>
      </c>
      <c r="N5403" t="s">
        <v>16</v>
      </c>
      <c r="O5403" t="s">
        <v>192</v>
      </c>
      <c r="P5403" s="1" t="s">
        <v>34</v>
      </c>
      <c r="Q5403">
        <v>158.30000000000001</v>
      </c>
    </row>
    <row r="5404" spans="11:17" x14ac:dyDescent="0.3">
      <c r="K5404">
        <v>2018</v>
      </c>
      <c r="L5404" t="s">
        <v>39</v>
      </c>
      <c r="M5404" t="s">
        <v>120</v>
      </c>
      <c r="N5404" t="s">
        <v>16</v>
      </c>
      <c r="O5404" t="s">
        <v>192</v>
      </c>
      <c r="P5404" s="1" t="s">
        <v>33</v>
      </c>
      <c r="Q5404">
        <v>161</v>
      </c>
    </row>
    <row r="5405" spans="11:17" x14ac:dyDescent="0.3">
      <c r="K5405">
        <v>2018</v>
      </c>
      <c r="L5405" t="s">
        <v>39</v>
      </c>
      <c r="M5405" t="s">
        <v>120</v>
      </c>
      <c r="N5405" t="s">
        <v>27</v>
      </c>
      <c r="O5405" t="s">
        <v>192</v>
      </c>
      <c r="P5405" s="1" t="s">
        <v>30</v>
      </c>
      <c r="Q5405">
        <v>131.4</v>
      </c>
    </row>
    <row r="5406" spans="11:17" x14ac:dyDescent="0.3">
      <c r="K5406">
        <v>2018</v>
      </c>
      <c r="L5406" t="s">
        <v>39</v>
      </c>
      <c r="M5406" t="s">
        <v>120</v>
      </c>
      <c r="N5406" t="s">
        <v>27</v>
      </c>
      <c r="O5406" t="s">
        <v>192</v>
      </c>
      <c r="P5406" s="1" t="s">
        <v>34</v>
      </c>
      <c r="Q5406">
        <v>130.1</v>
      </c>
    </row>
    <row r="5407" spans="11:17" x14ac:dyDescent="0.3">
      <c r="K5407">
        <v>2018</v>
      </c>
      <c r="L5407" t="s">
        <v>39</v>
      </c>
      <c r="M5407" t="s">
        <v>120</v>
      </c>
      <c r="N5407" t="s">
        <v>27</v>
      </c>
      <c r="O5407" t="s">
        <v>192</v>
      </c>
      <c r="P5407" s="1" t="s">
        <v>33</v>
      </c>
      <c r="Q5407">
        <v>128.19999999999999</v>
      </c>
    </row>
    <row r="5408" spans="11:17" x14ac:dyDescent="0.3">
      <c r="K5408">
        <v>2018</v>
      </c>
      <c r="L5408" t="s">
        <v>39</v>
      </c>
      <c r="M5408" t="s">
        <v>120</v>
      </c>
      <c r="N5408" t="s">
        <v>14</v>
      </c>
      <c r="O5408" t="s">
        <v>188</v>
      </c>
      <c r="P5408" s="1" t="s">
        <v>30</v>
      </c>
      <c r="Q5408">
        <v>154.30000000000001</v>
      </c>
    </row>
    <row r="5409" spans="11:17" x14ac:dyDescent="0.3">
      <c r="K5409">
        <v>2018</v>
      </c>
      <c r="L5409" t="s">
        <v>39</v>
      </c>
      <c r="M5409" t="s">
        <v>120</v>
      </c>
      <c r="N5409" t="s">
        <v>14</v>
      </c>
      <c r="O5409" t="s">
        <v>188</v>
      </c>
      <c r="P5409" s="1" t="s">
        <v>34</v>
      </c>
      <c r="Q5409">
        <v>151.80000000000001</v>
      </c>
    </row>
    <row r="5410" spans="11:17" x14ac:dyDescent="0.3">
      <c r="K5410">
        <v>2018</v>
      </c>
      <c r="L5410" t="s">
        <v>39</v>
      </c>
      <c r="M5410" t="s">
        <v>120</v>
      </c>
      <c r="N5410" t="s">
        <v>14</v>
      </c>
      <c r="O5410" t="s">
        <v>188</v>
      </c>
      <c r="P5410" s="1" t="s">
        <v>33</v>
      </c>
      <c r="Q5410">
        <v>149</v>
      </c>
    </row>
    <row r="5411" spans="11:17" x14ac:dyDescent="0.3">
      <c r="K5411">
        <v>2018</v>
      </c>
      <c r="L5411" t="s">
        <v>39</v>
      </c>
      <c r="M5411" t="s">
        <v>120</v>
      </c>
      <c r="N5411" t="s">
        <v>10</v>
      </c>
      <c r="O5411" t="s">
        <v>188</v>
      </c>
      <c r="P5411" s="1" t="s">
        <v>30</v>
      </c>
      <c r="Q5411">
        <v>126</v>
      </c>
    </row>
    <row r="5412" spans="11:17" x14ac:dyDescent="0.3">
      <c r="K5412">
        <v>2018</v>
      </c>
      <c r="L5412" t="s">
        <v>39</v>
      </c>
      <c r="M5412" t="s">
        <v>120</v>
      </c>
      <c r="N5412" t="s">
        <v>10</v>
      </c>
      <c r="O5412" t="s">
        <v>188</v>
      </c>
      <c r="P5412" s="1" t="s">
        <v>34</v>
      </c>
      <c r="Q5412">
        <v>121.4</v>
      </c>
    </row>
    <row r="5413" spans="11:17" x14ac:dyDescent="0.3">
      <c r="K5413">
        <v>2018</v>
      </c>
      <c r="L5413" t="s">
        <v>39</v>
      </c>
      <c r="M5413" t="s">
        <v>120</v>
      </c>
      <c r="N5413" t="s">
        <v>10</v>
      </c>
      <c r="O5413" t="s">
        <v>188</v>
      </c>
      <c r="P5413" s="1" t="s">
        <v>33</v>
      </c>
      <c r="Q5413">
        <v>112.3</v>
      </c>
    </row>
    <row r="5414" spans="11:17" x14ac:dyDescent="0.3">
      <c r="K5414">
        <v>2018</v>
      </c>
      <c r="L5414" t="s">
        <v>39</v>
      </c>
      <c r="M5414" t="s">
        <v>120</v>
      </c>
      <c r="N5414" t="s">
        <v>25</v>
      </c>
      <c r="O5414" t="s">
        <v>195</v>
      </c>
      <c r="P5414" s="1" t="s">
        <v>30</v>
      </c>
      <c r="Q5414">
        <v>137.80000000000001</v>
      </c>
    </row>
    <row r="5415" spans="11:17" x14ac:dyDescent="0.3">
      <c r="K5415">
        <v>2018</v>
      </c>
      <c r="L5415" t="s">
        <v>39</v>
      </c>
      <c r="M5415" t="s">
        <v>120</v>
      </c>
      <c r="N5415" t="s">
        <v>25</v>
      </c>
      <c r="O5415" t="s">
        <v>195</v>
      </c>
      <c r="P5415" s="1" t="s">
        <v>34</v>
      </c>
      <c r="Q5415">
        <v>132.6</v>
      </c>
    </row>
    <row r="5416" spans="11:17" x14ac:dyDescent="0.3">
      <c r="K5416">
        <v>2018</v>
      </c>
      <c r="L5416" t="s">
        <v>39</v>
      </c>
      <c r="M5416" t="s">
        <v>120</v>
      </c>
      <c r="N5416" t="s">
        <v>25</v>
      </c>
      <c r="O5416" t="s">
        <v>195</v>
      </c>
      <c r="P5416" s="1" t="s">
        <v>33</v>
      </c>
      <c r="Q5416">
        <v>128.5</v>
      </c>
    </row>
    <row r="5417" spans="11:17" x14ac:dyDescent="0.3">
      <c r="K5417">
        <v>2018</v>
      </c>
      <c r="L5417" t="s">
        <v>39</v>
      </c>
      <c r="M5417" t="s">
        <v>120</v>
      </c>
      <c r="N5417" t="s">
        <v>12</v>
      </c>
      <c r="O5417" t="s">
        <v>188</v>
      </c>
      <c r="P5417" s="1" t="s">
        <v>30</v>
      </c>
      <c r="Q5417">
        <v>137.6</v>
      </c>
    </row>
    <row r="5418" spans="11:17" x14ac:dyDescent="0.3">
      <c r="K5418">
        <v>2018</v>
      </c>
      <c r="L5418" t="s">
        <v>39</v>
      </c>
      <c r="M5418" t="s">
        <v>120</v>
      </c>
      <c r="N5418" t="s">
        <v>12</v>
      </c>
      <c r="O5418" t="s">
        <v>188</v>
      </c>
      <c r="P5418" s="1" t="s">
        <v>34</v>
      </c>
      <c r="Q5418">
        <v>138.4</v>
      </c>
    </row>
    <row r="5419" spans="11:17" x14ac:dyDescent="0.3">
      <c r="K5419">
        <v>2018</v>
      </c>
      <c r="L5419" t="s">
        <v>39</v>
      </c>
      <c r="M5419" t="s">
        <v>120</v>
      </c>
      <c r="N5419" t="s">
        <v>12</v>
      </c>
      <c r="O5419" t="s">
        <v>188</v>
      </c>
      <c r="P5419" s="1" t="s">
        <v>33</v>
      </c>
      <c r="Q5419">
        <v>140</v>
      </c>
    </row>
    <row r="5420" spans="11:17" x14ac:dyDescent="0.3">
      <c r="K5420">
        <v>2018</v>
      </c>
      <c r="L5420" t="s">
        <v>39</v>
      </c>
      <c r="M5420" t="s">
        <v>120</v>
      </c>
      <c r="N5420" t="s">
        <v>11</v>
      </c>
      <c r="O5420" t="s">
        <v>188</v>
      </c>
      <c r="P5420" s="1" t="s">
        <v>30</v>
      </c>
      <c r="Q5420">
        <v>112.4</v>
      </c>
    </row>
    <row r="5421" spans="11:17" x14ac:dyDescent="0.3">
      <c r="K5421">
        <v>2018</v>
      </c>
      <c r="L5421" t="s">
        <v>39</v>
      </c>
      <c r="M5421" t="s">
        <v>120</v>
      </c>
      <c r="N5421" t="s">
        <v>11</v>
      </c>
      <c r="O5421" t="s">
        <v>188</v>
      </c>
      <c r="P5421" s="1" t="s">
        <v>34</v>
      </c>
      <c r="Q5421">
        <v>111.1</v>
      </c>
    </row>
    <row r="5422" spans="11:17" x14ac:dyDescent="0.3">
      <c r="K5422">
        <v>2018</v>
      </c>
      <c r="L5422" t="s">
        <v>39</v>
      </c>
      <c r="M5422" t="s">
        <v>120</v>
      </c>
      <c r="N5422" t="s">
        <v>11</v>
      </c>
      <c r="O5422" t="s">
        <v>188</v>
      </c>
      <c r="P5422" s="1" t="s">
        <v>33</v>
      </c>
      <c r="Q5422">
        <v>108.4</v>
      </c>
    </row>
    <row r="5423" spans="11:17" x14ac:dyDescent="0.3">
      <c r="K5423">
        <v>2018</v>
      </c>
      <c r="L5423" t="s">
        <v>39</v>
      </c>
      <c r="M5423" t="s">
        <v>120</v>
      </c>
      <c r="N5423" t="s">
        <v>24</v>
      </c>
      <c r="O5423" t="s">
        <v>191</v>
      </c>
      <c r="P5423" s="1" t="s">
        <v>30</v>
      </c>
      <c r="Q5423">
        <v>127.4</v>
      </c>
    </row>
    <row r="5424" spans="11:17" x14ac:dyDescent="0.3">
      <c r="K5424">
        <v>2018</v>
      </c>
      <c r="L5424" t="s">
        <v>39</v>
      </c>
      <c r="M5424" t="s">
        <v>120</v>
      </c>
      <c r="N5424" t="s">
        <v>24</v>
      </c>
      <c r="O5424" t="s">
        <v>191</v>
      </c>
      <c r="P5424" s="1" t="s">
        <v>34</v>
      </c>
      <c r="Q5424">
        <v>123.7</v>
      </c>
    </row>
    <row r="5425" spans="11:17" x14ac:dyDescent="0.3">
      <c r="K5425">
        <v>2018</v>
      </c>
      <c r="L5425" t="s">
        <v>39</v>
      </c>
      <c r="M5425" t="s">
        <v>120</v>
      </c>
      <c r="N5425" t="s">
        <v>24</v>
      </c>
      <c r="O5425" t="s">
        <v>191</v>
      </c>
      <c r="P5425" s="1" t="s">
        <v>33</v>
      </c>
      <c r="Q5425">
        <v>120.4</v>
      </c>
    </row>
    <row r="5426" spans="11:17" x14ac:dyDescent="0.3">
      <c r="K5426">
        <v>2018</v>
      </c>
      <c r="L5426" t="s">
        <v>39</v>
      </c>
      <c r="M5426" t="s">
        <v>120</v>
      </c>
      <c r="N5426" t="s">
        <v>9</v>
      </c>
      <c r="O5426" t="s">
        <v>188</v>
      </c>
      <c r="P5426" s="1" t="s">
        <v>30</v>
      </c>
      <c r="Q5426">
        <v>143.5</v>
      </c>
    </row>
    <row r="5427" spans="11:17" x14ac:dyDescent="0.3">
      <c r="K5427">
        <v>2018</v>
      </c>
      <c r="L5427" t="s">
        <v>39</v>
      </c>
      <c r="M5427" t="s">
        <v>120</v>
      </c>
      <c r="N5427" t="s">
        <v>9</v>
      </c>
      <c r="O5427" t="s">
        <v>188</v>
      </c>
      <c r="P5427" s="1" t="s">
        <v>34</v>
      </c>
      <c r="Q5427">
        <v>143.69999999999999</v>
      </c>
    </row>
    <row r="5428" spans="11:17" x14ac:dyDescent="0.3">
      <c r="K5428">
        <v>2018</v>
      </c>
      <c r="L5428" t="s">
        <v>39</v>
      </c>
      <c r="M5428" t="s">
        <v>120</v>
      </c>
      <c r="N5428" t="s">
        <v>9</v>
      </c>
      <c r="O5428" t="s">
        <v>188</v>
      </c>
      <c r="P5428" s="1" t="s">
        <v>33</v>
      </c>
      <c r="Q5428">
        <v>144</v>
      </c>
    </row>
    <row r="5429" spans="11:17" x14ac:dyDescent="0.3">
      <c r="K5429">
        <v>2018</v>
      </c>
      <c r="L5429" t="s">
        <v>36</v>
      </c>
      <c r="M5429" t="s">
        <v>121</v>
      </c>
      <c r="N5429" t="s">
        <v>3</v>
      </c>
      <c r="O5429" t="s">
        <v>188</v>
      </c>
      <c r="P5429" s="1" t="s">
        <v>30</v>
      </c>
      <c r="Q5429">
        <v>136.80000000000001</v>
      </c>
    </row>
    <row r="5430" spans="11:17" x14ac:dyDescent="0.3">
      <c r="K5430">
        <v>2018</v>
      </c>
      <c r="L5430" t="s">
        <v>36</v>
      </c>
      <c r="M5430" t="s">
        <v>121</v>
      </c>
      <c r="N5430" t="s">
        <v>3</v>
      </c>
      <c r="O5430" t="s">
        <v>188</v>
      </c>
      <c r="P5430" s="1" t="s">
        <v>34</v>
      </c>
      <c r="Q5430">
        <v>136.19999999999999</v>
      </c>
    </row>
    <row r="5431" spans="11:17" x14ac:dyDescent="0.3">
      <c r="K5431">
        <v>2018</v>
      </c>
      <c r="L5431" t="s">
        <v>36</v>
      </c>
      <c r="M5431" t="s">
        <v>121</v>
      </c>
      <c r="N5431" t="s">
        <v>3</v>
      </c>
      <c r="O5431" t="s">
        <v>188</v>
      </c>
      <c r="P5431" s="1" t="s">
        <v>33</v>
      </c>
      <c r="Q5431">
        <v>135</v>
      </c>
    </row>
    <row r="5432" spans="11:17" x14ac:dyDescent="0.3">
      <c r="K5432">
        <v>2018</v>
      </c>
      <c r="L5432" t="s">
        <v>36</v>
      </c>
      <c r="M5432" t="s">
        <v>121</v>
      </c>
      <c r="N5432" t="s">
        <v>17</v>
      </c>
      <c r="O5432" t="s">
        <v>189</v>
      </c>
      <c r="P5432" s="1" t="s">
        <v>30</v>
      </c>
      <c r="Q5432">
        <v>149.19999999999999</v>
      </c>
    </row>
    <row r="5433" spans="11:17" x14ac:dyDescent="0.3">
      <c r="K5433">
        <v>2018</v>
      </c>
      <c r="L5433" t="s">
        <v>36</v>
      </c>
      <c r="M5433" t="s">
        <v>121</v>
      </c>
      <c r="N5433" t="s">
        <v>17</v>
      </c>
      <c r="O5433" t="s">
        <v>189</v>
      </c>
      <c r="P5433" s="1" t="s">
        <v>34</v>
      </c>
      <c r="Q5433">
        <v>144.30000000000001</v>
      </c>
    </row>
    <row r="5434" spans="11:17" x14ac:dyDescent="0.3">
      <c r="K5434">
        <v>2018</v>
      </c>
      <c r="L5434" t="s">
        <v>36</v>
      </c>
      <c r="M5434" t="s">
        <v>121</v>
      </c>
      <c r="N5434" t="s">
        <v>17</v>
      </c>
      <c r="O5434" t="s">
        <v>189</v>
      </c>
      <c r="P5434" s="1" t="s">
        <v>33</v>
      </c>
      <c r="Q5434">
        <v>136.69999999999999</v>
      </c>
    </row>
    <row r="5435" spans="11:17" x14ac:dyDescent="0.3">
      <c r="K5435">
        <v>2018</v>
      </c>
      <c r="L5435" t="s">
        <v>36</v>
      </c>
      <c r="M5435" t="s">
        <v>121</v>
      </c>
      <c r="N5435" t="s">
        <v>19</v>
      </c>
      <c r="O5435" t="s">
        <v>189</v>
      </c>
      <c r="P5435" s="1" t="s">
        <v>30</v>
      </c>
      <c r="Q5435">
        <v>148.30000000000001</v>
      </c>
    </row>
    <row r="5436" spans="11:17" x14ac:dyDescent="0.3">
      <c r="K5436">
        <v>2018</v>
      </c>
      <c r="L5436" t="s">
        <v>36</v>
      </c>
      <c r="M5436" t="s">
        <v>121</v>
      </c>
      <c r="N5436" t="s">
        <v>19</v>
      </c>
      <c r="O5436" t="s">
        <v>189</v>
      </c>
      <c r="P5436" s="1" t="s">
        <v>34</v>
      </c>
      <c r="Q5436">
        <v>143.1</v>
      </c>
    </row>
    <row r="5437" spans="11:17" x14ac:dyDescent="0.3">
      <c r="K5437">
        <v>2018</v>
      </c>
      <c r="L5437" t="s">
        <v>36</v>
      </c>
      <c r="M5437" t="s">
        <v>121</v>
      </c>
      <c r="N5437" t="s">
        <v>19</v>
      </c>
      <c r="O5437" t="s">
        <v>189</v>
      </c>
      <c r="P5437" s="1" t="s">
        <v>33</v>
      </c>
      <c r="Q5437">
        <v>135.19999999999999</v>
      </c>
    </row>
    <row r="5438" spans="11:17" x14ac:dyDescent="0.3">
      <c r="K5438">
        <v>2018</v>
      </c>
      <c r="L5438" t="s">
        <v>36</v>
      </c>
      <c r="M5438" t="s">
        <v>121</v>
      </c>
      <c r="N5438" t="s">
        <v>26</v>
      </c>
      <c r="O5438" t="s">
        <v>26</v>
      </c>
      <c r="P5438" s="1" t="s">
        <v>30</v>
      </c>
      <c r="Q5438">
        <v>142.69999999999999</v>
      </c>
    </row>
    <row r="5439" spans="11:17" x14ac:dyDescent="0.3">
      <c r="K5439">
        <v>2018</v>
      </c>
      <c r="L5439" t="s">
        <v>36</v>
      </c>
      <c r="M5439" t="s">
        <v>121</v>
      </c>
      <c r="N5439" t="s">
        <v>26</v>
      </c>
      <c r="O5439" t="s">
        <v>26</v>
      </c>
      <c r="P5439" s="1" t="s">
        <v>34</v>
      </c>
      <c r="Q5439">
        <v>139.80000000000001</v>
      </c>
    </row>
    <row r="5440" spans="11:17" x14ac:dyDescent="0.3">
      <c r="K5440">
        <v>2018</v>
      </c>
      <c r="L5440" t="s">
        <v>36</v>
      </c>
      <c r="M5440" t="s">
        <v>121</v>
      </c>
      <c r="N5440" t="s">
        <v>26</v>
      </c>
      <c r="O5440" t="s">
        <v>26</v>
      </c>
      <c r="P5440" s="1" t="s">
        <v>33</v>
      </c>
      <c r="Q5440">
        <v>137.80000000000001</v>
      </c>
    </row>
    <row r="5441" spans="11:17" x14ac:dyDescent="0.3">
      <c r="K5441">
        <v>2018</v>
      </c>
      <c r="L5441" t="s">
        <v>36</v>
      </c>
      <c r="M5441" t="s">
        <v>121</v>
      </c>
      <c r="N5441" t="s">
        <v>5</v>
      </c>
      <c r="O5441" t="s">
        <v>188</v>
      </c>
      <c r="P5441" s="1" t="s">
        <v>30</v>
      </c>
      <c r="Q5441">
        <v>140</v>
      </c>
    </row>
    <row r="5442" spans="11:17" x14ac:dyDescent="0.3">
      <c r="K5442">
        <v>2018</v>
      </c>
      <c r="L5442" t="s">
        <v>36</v>
      </c>
      <c r="M5442" t="s">
        <v>121</v>
      </c>
      <c r="N5442" t="s">
        <v>5</v>
      </c>
      <c r="O5442" t="s">
        <v>188</v>
      </c>
      <c r="P5442" s="1" t="s">
        <v>34</v>
      </c>
      <c r="Q5442">
        <v>138.30000000000001</v>
      </c>
    </row>
    <row r="5443" spans="11:17" x14ac:dyDescent="0.3">
      <c r="K5443">
        <v>2018</v>
      </c>
      <c r="L5443" t="s">
        <v>36</v>
      </c>
      <c r="M5443" t="s">
        <v>121</v>
      </c>
      <c r="N5443" t="s">
        <v>5</v>
      </c>
      <c r="O5443" t="s">
        <v>188</v>
      </c>
      <c r="P5443" s="1" t="s">
        <v>33</v>
      </c>
      <c r="Q5443">
        <v>135.5</v>
      </c>
    </row>
    <row r="5444" spans="11:17" x14ac:dyDescent="0.3">
      <c r="K5444">
        <v>2018</v>
      </c>
      <c r="L5444" t="s">
        <v>36</v>
      </c>
      <c r="M5444" t="s">
        <v>121</v>
      </c>
      <c r="N5444" t="s">
        <v>15</v>
      </c>
      <c r="O5444" t="s">
        <v>188</v>
      </c>
      <c r="P5444" s="1" t="s">
        <v>30</v>
      </c>
      <c r="Q5444">
        <v>138.6</v>
      </c>
    </row>
    <row r="5445" spans="11:17" x14ac:dyDescent="0.3">
      <c r="K5445">
        <v>2018</v>
      </c>
      <c r="L5445" t="s">
        <v>36</v>
      </c>
      <c r="M5445" t="s">
        <v>121</v>
      </c>
      <c r="N5445" t="s">
        <v>15</v>
      </c>
      <c r="O5445" t="s">
        <v>188</v>
      </c>
      <c r="P5445" s="1" t="s">
        <v>34</v>
      </c>
      <c r="Q5445">
        <v>137.19999999999999</v>
      </c>
    </row>
    <row r="5446" spans="11:17" x14ac:dyDescent="0.3">
      <c r="K5446">
        <v>2018</v>
      </c>
      <c r="L5446" t="s">
        <v>36</v>
      </c>
      <c r="M5446" t="s">
        <v>121</v>
      </c>
      <c r="N5446" t="s">
        <v>15</v>
      </c>
      <c r="O5446" t="s">
        <v>188</v>
      </c>
      <c r="P5446" s="1" t="s">
        <v>33</v>
      </c>
      <c r="Q5446">
        <v>134.80000000000001</v>
      </c>
    </row>
    <row r="5447" spans="11:17" x14ac:dyDescent="0.3">
      <c r="K5447">
        <v>2018</v>
      </c>
      <c r="L5447" t="s">
        <v>36</v>
      </c>
      <c r="M5447" t="s">
        <v>121</v>
      </c>
      <c r="N5447" t="s">
        <v>18</v>
      </c>
      <c r="O5447" t="s">
        <v>189</v>
      </c>
      <c r="P5447" s="1" t="s">
        <v>30</v>
      </c>
      <c r="Q5447">
        <v>143</v>
      </c>
    </row>
    <row r="5448" spans="11:17" x14ac:dyDescent="0.3">
      <c r="K5448">
        <v>2018</v>
      </c>
      <c r="L5448" t="s">
        <v>36</v>
      </c>
      <c r="M5448" t="s">
        <v>121</v>
      </c>
      <c r="N5448" t="s">
        <v>18</v>
      </c>
      <c r="O5448" t="s">
        <v>189</v>
      </c>
      <c r="P5448" s="1" t="s">
        <v>34</v>
      </c>
      <c r="Q5448">
        <v>136.19999999999999</v>
      </c>
    </row>
    <row r="5449" spans="11:17" x14ac:dyDescent="0.3">
      <c r="K5449">
        <v>2018</v>
      </c>
      <c r="L5449" t="s">
        <v>36</v>
      </c>
      <c r="M5449" t="s">
        <v>121</v>
      </c>
      <c r="N5449" t="s">
        <v>18</v>
      </c>
      <c r="O5449" t="s">
        <v>189</v>
      </c>
      <c r="P5449" s="1" t="s">
        <v>33</v>
      </c>
      <c r="Q5449">
        <v>126.7</v>
      </c>
    </row>
    <row r="5450" spans="11:17" x14ac:dyDescent="0.3">
      <c r="K5450">
        <v>2018</v>
      </c>
      <c r="L5450" t="s">
        <v>36</v>
      </c>
      <c r="M5450" t="s">
        <v>121</v>
      </c>
      <c r="N5450" t="s">
        <v>8</v>
      </c>
      <c r="O5450" t="s">
        <v>188</v>
      </c>
      <c r="P5450" s="1" t="s">
        <v>30</v>
      </c>
      <c r="Q5450">
        <v>152.9</v>
      </c>
    </row>
    <row r="5451" spans="11:17" x14ac:dyDescent="0.3">
      <c r="K5451">
        <v>2018</v>
      </c>
      <c r="L5451" t="s">
        <v>36</v>
      </c>
      <c r="M5451" t="s">
        <v>121</v>
      </c>
      <c r="N5451" t="s">
        <v>8</v>
      </c>
      <c r="O5451" t="s">
        <v>188</v>
      </c>
      <c r="P5451" s="1" t="s">
        <v>34</v>
      </c>
      <c r="Q5451">
        <v>146.19999999999999</v>
      </c>
    </row>
    <row r="5452" spans="11:17" x14ac:dyDescent="0.3">
      <c r="K5452">
        <v>2018</v>
      </c>
      <c r="L5452" t="s">
        <v>36</v>
      </c>
      <c r="M5452" t="s">
        <v>121</v>
      </c>
      <c r="N5452" t="s">
        <v>8</v>
      </c>
      <c r="O5452" t="s">
        <v>188</v>
      </c>
      <c r="P5452" s="1" t="s">
        <v>33</v>
      </c>
      <c r="Q5452">
        <v>138.5</v>
      </c>
    </row>
    <row r="5453" spans="11:17" x14ac:dyDescent="0.3">
      <c r="K5453">
        <v>2018</v>
      </c>
      <c r="L5453" t="s">
        <v>36</v>
      </c>
      <c r="M5453" t="s">
        <v>121</v>
      </c>
      <c r="N5453" t="s">
        <v>21</v>
      </c>
      <c r="O5453" t="s">
        <v>190</v>
      </c>
      <c r="P5453" s="1" t="s">
        <v>30</v>
      </c>
      <c r="Q5453">
        <v>142.6</v>
      </c>
    </row>
    <row r="5454" spans="11:17" x14ac:dyDescent="0.3">
      <c r="K5454">
        <v>2018</v>
      </c>
      <c r="L5454" t="s">
        <v>36</v>
      </c>
      <c r="M5454" t="s">
        <v>121</v>
      </c>
      <c r="N5454" t="s">
        <v>21</v>
      </c>
      <c r="O5454" t="s">
        <v>190</v>
      </c>
      <c r="P5454" s="1" t="s">
        <v>34</v>
      </c>
      <c r="Q5454">
        <v>136.5</v>
      </c>
    </row>
    <row r="5455" spans="11:17" x14ac:dyDescent="0.3">
      <c r="K5455">
        <v>2018</v>
      </c>
      <c r="L5455" t="s">
        <v>36</v>
      </c>
      <c r="M5455" t="s">
        <v>121</v>
      </c>
      <c r="N5455" t="s">
        <v>21</v>
      </c>
      <c r="O5455" t="s">
        <v>190</v>
      </c>
      <c r="P5455" s="1" t="s">
        <v>33</v>
      </c>
      <c r="Q5455">
        <v>126.4</v>
      </c>
    </row>
    <row r="5456" spans="11:17" x14ac:dyDescent="0.3">
      <c r="K5456">
        <v>2018</v>
      </c>
      <c r="L5456" t="s">
        <v>36</v>
      </c>
      <c r="M5456" t="s">
        <v>121</v>
      </c>
      <c r="N5456" t="s">
        <v>29</v>
      </c>
      <c r="O5456" t="s">
        <v>206</v>
      </c>
      <c r="P5456" s="1" t="s">
        <v>30</v>
      </c>
      <c r="Q5456">
        <v>138.69999999999999</v>
      </c>
    </row>
    <row r="5457" spans="11:17" x14ac:dyDescent="0.3">
      <c r="K5457">
        <v>2018</v>
      </c>
      <c r="L5457" t="s">
        <v>36</v>
      </c>
      <c r="M5457" t="s">
        <v>121</v>
      </c>
      <c r="N5457" t="s">
        <v>29</v>
      </c>
      <c r="O5457" t="s">
        <v>206</v>
      </c>
      <c r="P5457" s="1" t="s">
        <v>34</v>
      </c>
      <c r="Q5457">
        <v>136.5</v>
      </c>
    </row>
    <row r="5458" spans="11:17" x14ac:dyDescent="0.3">
      <c r="K5458">
        <v>2018</v>
      </c>
      <c r="L5458" t="s">
        <v>36</v>
      </c>
      <c r="M5458" t="s">
        <v>121</v>
      </c>
      <c r="N5458" t="s">
        <v>29</v>
      </c>
      <c r="O5458" t="s">
        <v>206</v>
      </c>
      <c r="P5458" s="1" t="s">
        <v>33</v>
      </c>
      <c r="Q5458">
        <v>134</v>
      </c>
    </row>
    <row r="5459" spans="11:17" x14ac:dyDescent="0.3">
      <c r="K5459">
        <v>2018</v>
      </c>
      <c r="L5459" t="s">
        <v>36</v>
      </c>
      <c r="M5459" t="s">
        <v>121</v>
      </c>
      <c r="N5459" t="s">
        <v>23</v>
      </c>
      <c r="O5459" t="s">
        <v>23</v>
      </c>
      <c r="P5459" s="1" t="s">
        <v>30</v>
      </c>
      <c r="Q5459">
        <v>136.69999999999999</v>
      </c>
    </row>
    <row r="5460" spans="11:17" x14ac:dyDescent="0.3">
      <c r="K5460">
        <v>2018</v>
      </c>
      <c r="L5460" t="s">
        <v>36</v>
      </c>
      <c r="M5460" t="s">
        <v>121</v>
      </c>
      <c r="N5460" t="s">
        <v>23</v>
      </c>
      <c r="O5460" t="s">
        <v>23</v>
      </c>
      <c r="P5460" s="1" t="s">
        <v>34</v>
      </c>
      <c r="Q5460">
        <v>134.30000000000001</v>
      </c>
    </row>
    <row r="5461" spans="11:17" x14ac:dyDescent="0.3">
      <c r="K5461">
        <v>2018</v>
      </c>
      <c r="L5461" t="s">
        <v>36</v>
      </c>
      <c r="M5461" t="s">
        <v>121</v>
      </c>
      <c r="N5461" t="s">
        <v>23</v>
      </c>
      <c r="O5461" t="s">
        <v>23</v>
      </c>
      <c r="P5461" s="1" t="s">
        <v>33</v>
      </c>
      <c r="Q5461">
        <v>130.5</v>
      </c>
    </row>
    <row r="5462" spans="11:17" x14ac:dyDescent="0.3">
      <c r="K5462">
        <v>2018</v>
      </c>
      <c r="L5462" t="s">
        <v>36</v>
      </c>
      <c r="M5462" t="s">
        <v>121</v>
      </c>
      <c r="N5462" t="s">
        <v>22</v>
      </c>
      <c r="O5462" t="s">
        <v>20</v>
      </c>
      <c r="P5462" s="1" t="s">
        <v>30</v>
      </c>
      <c r="Q5462">
        <v>139.9</v>
      </c>
    </row>
    <row r="5463" spans="11:17" x14ac:dyDescent="0.3">
      <c r="K5463">
        <v>2018</v>
      </c>
      <c r="L5463" t="s">
        <v>36</v>
      </c>
      <c r="M5463" t="s">
        <v>121</v>
      </c>
      <c r="N5463" t="s">
        <v>22</v>
      </c>
      <c r="O5463" t="s">
        <v>20</v>
      </c>
      <c r="P5463" s="1" t="s">
        <v>34</v>
      </c>
      <c r="Q5463">
        <v>135.6</v>
      </c>
    </row>
    <row r="5464" spans="11:17" x14ac:dyDescent="0.3">
      <c r="K5464">
        <v>2018</v>
      </c>
      <c r="L5464" t="s">
        <v>36</v>
      </c>
      <c r="M5464" t="s">
        <v>121</v>
      </c>
      <c r="N5464" t="s">
        <v>22</v>
      </c>
      <c r="O5464" t="s">
        <v>20</v>
      </c>
      <c r="P5464" s="1" t="s">
        <v>33</v>
      </c>
      <c r="Q5464">
        <v>130.80000000000001</v>
      </c>
    </row>
    <row r="5465" spans="11:17" x14ac:dyDescent="0.3">
      <c r="K5465">
        <v>2018</v>
      </c>
      <c r="L5465" t="s">
        <v>36</v>
      </c>
      <c r="M5465" t="s">
        <v>121</v>
      </c>
      <c r="N5465" t="s">
        <v>20</v>
      </c>
      <c r="O5465" t="s">
        <v>20</v>
      </c>
      <c r="P5465" s="1" t="s">
        <v>30</v>
      </c>
      <c r="Q5465">
        <v>0</v>
      </c>
    </row>
    <row r="5466" spans="11:17" x14ac:dyDescent="0.3">
      <c r="K5466">
        <v>2018</v>
      </c>
      <c r="L5466" t="s">
        <v>36</v>
      </c>
      <c r="M5466" t="s">
        <v>121</v>
      </c>
      <c r="N5466" t="s">
        <v>20</v>
      </c>
      <c r="O5466" t="s">
        <v>20</v>
      </c>
      <c r="P5466" s="1" t="s">
        <v>34</v>
      </c>
      <c r="Q5466">
        <v>142</v>
      </c>
    </row>
    <row r="5467" spans="11:17" x14ac:dyDescent="0.3">
      <c r="K5467">
        <v>2018</v>
      </c>
      <c r="L5467" t="s">
        <v>36</v>
      </c>
      <c r="M5467" t="s">
        <v>121</v>
      </c>
      <c r="N5467" t="s">
        <v>20</v>
      </c>
      <c r="O5467" t="s">
        <v>20</v>
      </c>
      <c r="P5467" s="1" t="s">
        <v>33</v>
      </c>
      <c r="Q5467">
        <v>142</v>
      </c>
    </row>
    <row r="5468" spans="11:17" x14ac:dyDescent="0.3">
      <c r="K5468">
        <v>2018</v>
      </c>
      <c r="L5468" t="s">
        <v>36</v>
      </c>
      <c r="M5468" t="s">
        <v>121</v>
      </c>
      <c r="N5468" t="s">
        <v>4</v>
      </c>
      <c r="O5468" t="s">
        <v>188</v>
      </c>
      <c r="P5468" s="1" t="s">
        <v>30</v>
      </c>
      <c r="Q5468">
        <v>143.80000000000001</v>
      </c>
    </row>
    <row r="5469" spans="11:17" x14ac:dyDescent="0.3">
      <c r="K5469">
        <v>2018</v>
      </c>
      <c r="L5469" t="s">
        <v>36</v>
      </c>
      <c r="M5469" t="s">
        <v>121</v>
      </c>
      <c r="N5469" t="s">
        <v>4</v>
      </c>
      <c r="O5469" t="s">
        <v>188</v>
      </c>
      <c r="P5469" s="1" t="s">
        <v>34</v>
      </c>
      <c r="Q5469">
        <v>143.6</v>
      </c>
    </row>
    <row r="5470" spans="11:17" x14ac:dyDescent="0.3">
      <c r="K5470">
        <v>2018</v>
      </c>
      <c r="L5470" t="s">
        <v>36</v>
      </c>
      <c r="M5470" t="s">
        <v>121</v>
      </c>
      <c r="N5470" t="s">
        <v>4</v>
      </c>
      <c r="O5470" t="s">
        <v>188</v>
      </c>
      <c r="P5470" s="1" t="s">
        <v>33</v>
      </c>
      <c r="Q5470">
        <v>143.1</v>
      </c>
    </row>
    <row r="5471" spans="11:17" x14ac:dyDescent="0.3">
      <c r="K5471">
        <v>2018</v>
      </c>
      <c r="L5471" t="s">
        <v>36</v>
      </c>
      <c r="M5471" t="s">
        <v>121</v>
      </c>
      <c r="N5471" t="s">
        <v>6</v>
      </c>
      <c r="O5471" t="s">
        <v>188</v>
      </c>
      <c r="P5471" s="1" t="s">
        <v>30</v>
      </c>
      <c r="Q5471">
        <v>142</v>
      </c>
    </row>
    <row r="5472" spans="11:17" x14ac:dyDescent="0.3">
      <c r="K5472">
        <v>2018</v>
      </c>
      <c r="L5472" t="s">
        <v>36</v>
      </c>
      <c r="M5472" t="s">
        <v>121</v>
      </c>
      <c r="N5472" t="s">
        <v>6</v>
      </c>
      <c r="O5472" t="s">
        <v>188</v>
      </c>
      <c r="P5472" s="1" t="s">
        <v>34</v>
      </c>
      <c r="Q5472">
        <v>141.19999999999999</v>
      </c>
    </row>
    <row r="5473" spans="11:17" x14ac:dyDescent="0.3">
      <c r="K5473">
        <v>2018</v>
      </c>
      <c r="L5473" t="s">
        <v>36</v>
      </c>
      <c r="M5473" t="s">
        <v>121</v>
      </c>
      <c r="N5473" t="s">
        <v>6</v>
      </c>
      <c r="O5473" t="s">
        <v>188</v>
      </c>
      <c r="P5473" s="1" t="s">
        <v>33</v>
      </c>
      <c r="Q5473">
        <v>139.9</v>
      </c>
    </row>
    <row r="5474" spans="11:17" x14ac:dyDescent="0.3">
      <c r="K5474">
        <v>2018</v>
      </c>
      <c r="L5474" t="s">
        <v>36</v>
      </c>
      <c r="M5474" t="s">
        <v>121</v>
      </c>
      <c r="N5474" t="s">
        <v>28</v>
      </c>
      <c r="O5474" t="s">
        <v>192</v>
      </c>
      <c r="P5474" s="1" t="s">
        <v>30</v>
      </c>
      <c r="Q5474">
        <v>133.30000000000001</v>
      </c>
    </row>
    <row r="5475" spans="11:17" x14ac:dyDescent="0.3">
      <c r="K5475">
        <v>2018</v>
      </c>
      <c r="L5475" t="s">
        <v>36</v>
      </c>
      <c r="M5475" t="s">
        <v>121</v>
      </c>
      <c r="N5475" t="s">
        <v>28</v>
      </c>
      <c r="O5475" t="s">
        <v>192</v>
      </c>
      <c r="P5475" s="1" t="s">
        <v>34</v>
      </c>
      <c r="Q5475">
        <v>130.30000000000001</v>
      </c>
    </row>
    <row r="5476" spans="11:17" x14ac:dyDescent="0.3">
      <c r="K5476">
        <v>2018</v>
      </c>
      <c r="L5476" t="s">
        <v>36</v>
      </c>
      <c r="M5476" t="s">
        <v>121</v>
      </c>
      <c r="N5476" t="s">
        <v>28</v>
      </c>
      <c r="O5476" t="s">
        <v>192</v>
      </c>
      <c r="P5476" s="1" t="s">
        <v>33</v>
      </c>
      <c r="Q5476">
        <v>127.1</v>
      </c>
    </row>
    <row r="5477" spans="11:17" x14ac:dyDescent="0.3">
      <c r="K5477">
        <v>2018</v>
      </c>
      <c r="L5477" t="s">
        <v>36</v>
      </c>
      <c r="M5477" t="s">
        <v>121</v>
      </c>
      <c r="N5477" t="s">
        <v>13</v>
      </c>
      <c r="O5477" t="s">
        <v>188</v>
      </c>
      <c r="P5477" s="1" t="s">
        <v>30</v>
      </c>
      <c r="Q5477">
        <v>131.19999999999999</v>
      </c>
    </row>
    <row r="5478" spans="11:17" x14ac:dyDescent="0.3">
      <c r="K5478">
        <v>2018</v>
      </c>
      <c r="L5478" t="s">
        <v>36</v>
      </c>
      <c r="M5478" t="s">
        <v>121</v>
      </c>
      <c r="N5478" t="s">
        <v>13</v>
      </c>
      <c r="O5478" t="s">
        <v>188</v>
      </c>
      <c r="P5478" s="1" t="s">
        <v>34</v>
      </c>
      <c r="Q5478">
        <v>129.1</v>
      </c>
    </row>
    <row r="5479" spans="11:17" x14ac:dyDescent="0.3">
      <c r="K5479">
        <v>2018</v>
      </c>
      <c r="L5479" t="s">
        <v>36</v>
      </c>
      <c r="M5479" t="s">
        <v>121</v>
      </c>
      <c r="N5479" t="s">
        <v>13</v>
      </c>
      <c r="O5479" t="s">
        <v>188</v>
      </c>
      <c r="P5479" s="1" t="s">
        <v>33</v>
      </c>
      <c r="Q5479">
        <v>126.2</v>
      </c>
    </row>
    <row r="5480" spans="11:17" x14ac:dyDescent="0.3">
      <c r="K5480">
        <v>2018</v>
      </c>
      <c r="L5480" t="s">
        <v>36</v>
      </c>
      <c r="M5480" t="s">
        <v>121</v>
      </c>
      <c r="N5480" t="s">
        <v>7</v>
      </c>
      <c r="O5480" t="s">
        <v>188</v>
      </c>
      <c r="P5480" s="1" t="s">
        <v>30</v>
      </c>
      <c r="Q5480">
        <v>123.2</v>
      </c>
    </row>
    <row r="5481" spans="11:17" x14ac:dyDescent="0.3">
      <c r="K5481">
        <v>2018</v>
      </c>
      <c r="L5481" t="s">
        <v>36</v>
      </c>
      <c r="M5481" t="s">
        <v>121</v>
      </c>
      <c r="N5481" t="s">
        <v>7</v>
      </c>
      <c r="O5481" t="s">
        <v>188</v>
      </c>
      <c r="P5481" s="1" t="s">
        <v>34</v>
      </c>
      <c r="Q5481">
        <v>120.7</v>
      </c>
    </row>
    <row r="5482" spans="11:17" x14ac:dyDescent="0.3">
      <c r="K5482">
        <v>2018</v>
      </c>
      <c r="L5482" t="s">
        <v>36</v>
      </c>
      <c r="M5482" t="s">
        <v>121</v>
      </c>
      <c r="N5482" t="s">
        <v>7</v>
      </c>
      <c r="O5482" t="s">
        <v>188</v>
      </c>
      <c r="P5482" s="1" t="s">
        <v>33</v>
      </c>
      <c r="Q5482">
        <v>116.5</v>
      </c>
    </row>
    <row r="5483" spans="11:17" x14ac:dyDescent="0.3">
      <c r="K5483">
        <v>2018</v>
      </c>
      <c r="L5483" t="s">
        <v>36</v>
      </c>
      <c r="M5483" t="s">
        <v>121</v>
      </c>
      <c r="N5483" t="s">
        <v>16</v>
      </c>
      <c r="O5483" t="s">
        <v>192</v>
      </c>
      <c r="P5483" s="1" t="s">
        <v>30</v>
      </c>
      <c r="Q5483">
        <v>155.1</v>
      </c>
    </row>
    <row r="5484" spans="11:17" x14ac:dyDescent="0.3">
      <c r="K5484">
        <v>2018</v>
      </c>
      <c r="L5484" t="s">
        <v>36</v>
      </c>
      <c r="M5484" t="s">
        <v>121</v>
      </c>
      <c r="N5484" t="s">
        <v>16</v>
      </c>
      <c r="O5484" t="s">
        <v>192</v>
      </c>
      <c r="P5484" s="1" t="s">
        <v>34</v>
      </c>
      <c r="Q5484">
        <v>156.30000000000001</v>
      </c>
    </row>
    <row r="5485" spans="11:17" x14ac:dyDescent="0.3">
      <c r="K5485">
        <v>2018</v>
      </c>
      <c r="L5485" t="s">
        <v>36</v>
      </c>
      <c r="M5485" t="s">
        <v>121</v>
      </c>
      <c r="N5485" t="s">
        <v>16</v>
      </c>
      <c r="O5485" t="s">
        <v>192</v>
      </c>
      <c r="P5485" s="1" t="s">
        <v>33</v>
      </c>
      <c r="Q5485">
        <v>159.69999999999999</v>
      </c>
    </row>
    <row r="5486" spans="11:17" x14ac:dyDescent="0.3">
      <c r="K5486">
        <v>2018</v>
      </c>
      <c r="L5486" t="s">
        <v>36</v>
      </c>
      <c r="M5486" t="s">
        <v>121</v>
      </c>
      <c r="N5486" t="s">
        <v>27</v>
      </c>
      <c r="O5486" t="s">
        <v>192</v>
      </c>
      <c r="P5486" s="1" t="s">
        <v>30</v>
      </c>
      <c r="Q5486">
        <v>129.30000000000001</v>
      </c>
    </row>
    <row r="5487" spans="11:17" x14ac:dyDescent="0.3">
      <c r="K5487">
        <v>2018</v>
      </c>
      <c r="L5487" t="s">
        <v>36</v>
      </c>
      <c r="M5487" t="s">
        <v>121</v>
      </c>
      <c r="N5487" t="s">
        <v>27</v>
      </c>
      <c r="O5487" t="s">
        <v>192</v>
      </c>
      <c r="P5487" s="1" t="s">
        <v>34</v>
      </c>
      <c r="Q5487">
        <v>128.19999999999999</v>
      </c>
    </row>
    <row r="5488" spans="11:17" x14ac:dyDescent="0.3">
      <c r="K5488">
        <v>2018</v>
      </c>
      <c r="L5488" t="s">
        <v>36</v>
      </c>
      <c r="M5488" t="s">
        <v>121</v>
      </c>
      <c r="N5488" t="s">
        <v>27</v>
      </c>
      <c r="O5488" t="s">
        <v>192</v>
      </c>
      <c r="P5488" s="1" t="s">
        <v>33</v>
      </c>
      <c r="Q5488">
        <v>126.7</v>
      </c>
    </row>
    <row r="5489" spans="11:17" x14ac:dyDescent="0.3">
      <c r="K5489">
        <v>2018</v>
      </c>
      <c r="L5489" t="s">
        <v>36</v>
      </c>
      <c r="M5489" t="s">
        <v>121</v>
      </c>
      <c r="N5489" t="s">
        <v>14</v>
      </c>
      <c r="O5489" t="s">
        <v>188</v>
      </c>
      <c r="P5489" s="1" t="s">
        <v>30</v>
      </c>
      <c r="Q5489">
        <v>152.80000000000001</v>
      </c>
    </row>
    <row r="5490" spans="11:17" x14ac:dyDescent="0.3">
      <c r="K5490">
        <v>2018</v>
      </c>
      <c r="L5490" t="s">
        <v>36</v>
      </c>
      <c r="M5490" t="s">
        <v>121</v>
      </c>
      <c r="N5490" t="s">
        <v>14</v>
      </c>
      <c r="O5490" t="s">
        <v>188</v>
      </c>
      <c r="P5490" s="1" t="s">
        <v>34</v>
      </c>
      <c r="Q5490">
        <v>150.4</v>
      </c>
    </row>
    <row r="5491" spans="11:17" x14ac:dyDescent="0.3">
      <c r="K5491">
        <v>2018</v>
      </c>
      <c r="L5491" t="s">
        <v>36</v>
      </c>
      <c r="M5491" t="s">
        <v>121</v>
      </c>
      <c r="N5491" t="s">
        <v>14</v>
      </c>
      <c r="O5491" t="s">
        <v>188</v>
      </c>
      <c r="P5491" s="1" t="s">
        <v>33</v>
      </c>
      <c r="Q5491">
        <v>147.6</v>
      </c>
    </row>
    <row r="5492" spans="11:17" x14ac:dyDescent="0.3">
      <c r="K5492">
        <v>2018</v>
      </c>
      <c r="L5492" t="s">
        <v>36</v>
      </c>
      <c r="M5492" t="s">
        <v>121</v>
      </c>
      <c r="N5492" t="s">
        <v>10</v>
      </c>
      <c r="O5492" t="s">
        <v>188</v>
      </c>
      <c r="P5492" s="1" t="s">
        <v>30</v>
      </c>
      <c r="Q5492">
        <v>129.30000000000001</v>
      </c>
    </row>
    <row r="5493" spans="11:17" x14ac:dyDescent="0.3">
      <c r="K5493">
        <v>2018</v>
      </c>
      <c r="L5493" t="s">
        <v>36</v>
      </c>
      <c r="M5493" t="s">
        <v>121</v>
      </c>
      <c r="N5493" t="s">
        <v>10</v>
      </c>
      <c r="O5493" t="s">
        <v>188</v>
      </c>
      <c r="P5493" s="1" t="s">
        <v>34</v>
      </c>
      <c r="Q5493">
        <v>124.6</v>
      </c>
    </row>
    <row r="5494" spans="11:17" x14ac:dyDescent="0.3">
      <c r="K5494">
        <v>2018</v>
      </c>
      <c r="L5494" t="s">
        <v>36</v>
      </c>
      <c r="M5494" t="s">
        <v>121</v>
      </c>
      <c r="N5494" t="s">
        <v>10</v>
      </c>
      <c r="O5494" t="s">
        <v>188</v>
      </c>
      <c r="P5494" s="1" t="s">
        <v>33</v>
      </c>
      <c r="Q5494">
        <v>115.5</v>
      </c>
    </row>
    <row r="5495" spans="11:17" x14ac:dyDescent="0.3">
      <c r="K5495">
        <v>2018</v>
      </c>
      <c r="L5495" t="s">
        <v>36</v>
      </c>
      <c r="M5495" t="s">
        <v>121</v>
      </c>
      <c r="N5495" t="s">
        <v>25</v>
      </c>
      <c r="O5495" t="s">
        <v>195</v>
      </c>
      <c r="P5495" s="1" t="s">
        <v>30</v>
      </c>
      <c r="Q5495">
        <v>135.1</v>
      </c>
    </row>
    <row r="5496" spans="11:17" x14ac:dyDescent="0.3">
      <c r="K5496">
        <v>2018</v>
      </c>
      <c r="L5496" t="s">
        <v>36</v>
      </c>
      <c r="M5496" t="s">
        <v>121</v>
      </c>
      <c r="N5496" t="s">
        <v>25</v>
      </c>
      <c r="O5496" t="s">
        <v>195</v>
      </c>
      <c r="P5496" s="1" t="s">
        <v>34</v>
      </c>
      <c r="Q5496">
        <v>130.4</v>
      </c>
    </row>
    <row r="5497" spans="11:17" x14ac:dyDescent="0.3">
      <c r="K5497">
        <v>2018</v>
      </c>
      <c r="L5497" t="s">
        <v>36</v>
      </c>
      <c r="M5497" t="s">
        <v>121</v>
      </c>
      <c r="N5497" t="s">
        <v>25</v>
      </c>
      <c r="O5497" t="s">
        <v>195</v>
      </c>
      <c r="P5497" s="1" t="s">
        <v>33</v>
      </c>
      <c r="Q5497">
        <v>126.8</v>
      </c>
    </row>
    <row r="5498" spans="11:17" x14ac:dyDescent="0.3">
      <c r="K5498">
        <v>2018</v>
      </c>
      <c r="L5498" t="s">
        <v>36</v>
      </c>
      <c r="M5498" t="s">
        <v>121</v>
      </c>
      <c r="N5498" t="s">
        <v>12</v>
      </c>
      <c r="O5498" t="s">
        <v>188</v>
      </c>
      <c r="P5498" s="1" t="s">
        <v>30</v>
      </c>
      <c r="Q5498">
        <v>136.30000000000001</v>
      </c>
    </row>
    <row r="5499" spans="11:17" x14ac:dyDescent="0.3">
      <c r="K5499">
        <v>2018</v>
      </c>
      <c r="L5499" t="s">
        <v>36</v>
      </c>
      <c r="M5499" t="s">
        <v>121</v>
      </c>
      <c r="N5499" t="s">
        <v>12</v>
      </c>
      <c r="O5499" t="s">
        <v>188</v>
      </c>
      <c r="P5499" s="1" t="s">
        <v>34</v>
      </c>
      <c r="Q5499">
        <v>137.80000000000001</v>
      </c>
    </row>
    <row r="5500" spans="11:17" x14ac:dyDescent="0.3">
      <c r="K5500">
        <v>2018</v>
      </c>
      <c r="L5500" t="s">
        <v>36</v>
      </c>
      <c r="M5500" t="s">
        <v>121</v>
      </c>
      <c r="N5500" t="s">
        <v>12</v>
      </c>
      <c r="O5500" t="s">
        <v>188</v>
      </c>
      <c r="P5500" s="1" t="s">
        <v>33</v>
      </c>
      <c r="Q5500">
        <v>140.69999999999999</v>
      </c>
    </row>
    <row r="5501" spans="11:17" x14ac:dyDescent="0.3">
      <c r="K5501">
        <v>2018</v>
      </c>
      <c r="L5501" t="s">
        <v>36</v>
      </c>
      <c r="M5501" t="s">
        <v>121</v>
      </c>
      <c r="N5501" t="s">
        <v>11</v>
      </c>
      <c r="O5501" t="s">
        <v>188</v>
      </c>
      <c r="P5501" s="1" t="s">
        <v>30</v>
      </c>
      <c r="Q5501">
        <v>117.1</v>
      </c>
    </row>
    <row r="5502" spans="11:17" x14ac:dyDescent="0.3">
      <c r="K5502">
        <v>2018</v>
      </c>
      <c r="L5502" t="s">
        <v>36</v>
      </c>
      <c r="M5502" t="s">
        <v>121</v>
      </c>
      <c r="N5502" t="s">
        <v>11</v>
      </c>
      <c r="O5502" t="s">
        <v>188</v>
      </c>
      <c r="P5502" s="1" t="s">
        <v>34</v>
      </c>
      <c r="Q5502">
        <v>116.1</v>
      </c>
    </row>
    <row r="5503" spans="11:17" x14ac:dyDescent="0.3">
      <c r="K5503">
        <v>2018</v>
      </c>
      <c r="L5503" t="s">
        <v>36</v>
      </c>
      <c r="M5503" t="s">
        <v>121</v>
      </c>
      <c r="N5503" t="s">
        <v>11</v>
      </c>
      <c r="O5503" t="s">
        <v>188</v>
      </c>
      <c r="P5503" s="1" t="s">
        <v>33</v>
      </c>
      <c r="Q5503">
        <v>114.2</v>
      </c>
    </row>
    <row r="5504" spans="11:17" x14ac:dyDescent="0.3">
      <c r="K5504">
        <v>2018</v>
      </c>
      <c r="L5504" t="s">
        <v>36</v>
      </c>
      <c r="M5504" t="s">
        <v>121</v>
      </c>
      <c r="N5504" t="s">
        <v>24</v>
      </c>
      <c r="O5504" t="s">
        <v>191</v>
      </c>
      <c r="P5504" s="1" t="s">
        <v>30</v>
      </c>
      <c r="Q5504">
        <v>124.6</v>
      </c>
    </row>
    <row r="5505" spans="11:17" x14ac:dyDescent="0.3">
      <c r="K5505">
        <v>2018</v>
      </c>
      <c r="L5505" t="s">
        <v>36</v>
      </c>
      <c r="M5505" t="s">
        <v>121</v>
      </c>
      <c r="N5505" t="s">
        <v>24</v>
      </c>
      <c r="O5505" t="s">
        <v>191</v>
      </c>
      <c r="P5505" s="1" t="s">
        <v>34</v>
      </c>
      <c r="Q5505">
        <v>121</v>
      </c>
    </row>
    <row r="5506" spans="11:17" x14ac:dyDescent="0.3">
      <c r="K5506">
        <v>2018</v>
      </c>
      <c r="L5506" t="s">
        <v>36</v>
      </c>
      <c r="M5506" t="s">
        <v>121</v>
      </c>
      <c r="N5506" t="s">
        <v>24</v>
      </c>
      <c r="O5506" t="s">
        <v>191</v>
      </c>
      <c r="P5506" s="1" t="s">
        <v>33</v>
      </c>
      <c r="Q5506">
        <v>117.8</v>
      </c>
    </row>
    <row r="5507" spans="11:17" x14ac:dyDescent="0.3">
      <c r="K5507">
        <v>2018</v>
      </c>
      <c r="L5507" t="s">
        <v>36</v>
      </c>
      <c r="M5507" t="s">
        <v>121</v>
      </c>
      <c r="N5507" t="s">
        <v>9</v>
      </c>
      <c r="O5507" t="s">
        <v>188</v>
      </c>
      <c r="P5507" s="1" t="s">
        <v>30</v>
      </c>
      <c r="Q5507">
        <v>138</v>
      </c>
    </row>
    <row r="5508" spans="11:17" x14ac:dyDescent="0.3">
      <c r="K5508">
        <v>2018</v>
      </c>
      <c r="L5508" t="s">
        <v>36</v>
      </c>
      <c r="M5508" t="s">
        <v>121</v>
      </c>
      <c r="N5508" t="s">
        <v>9</v>
      </c>
      <c r="O5508" t="s">
        <v>188</v>
      </c>
      <c r="P5508" s="1" t="s">
        <v>34</v>
      </c>
      <c r="Q5508">
        <v>134.6</v>
      </c>
    </row>
    <row r="5509" spans="11:17" x14ac:dyDescent="0.3">
      <c r="K5509">
        <v>2018</v>
      </c>
      <c r="L5509" t="s">
        <v>36</v>
      </c>
      <c r="M5509" t="s">
        <v>121</v>
      </c>
      <c r="N5509" t="s">
        <v>9</v>
      </c>
      <c r="O5509" t="s">
        <v>188</v>
      </c>
      <c r="P5509" s="1" t="s">
        <v>33</v>
      </c>
      <c r="Q5509">
        <v>128</v>
      </c>
    </row>
    <row r="5510" spans="11:17" x14ac:dyDescent="0.3">
      <c r="K5510">
        <v>2018</v>
      </c>
      <c r="L5510" t="s">
        <v>38</v>
      </c>
      <c r="M5510" t="s">
        <v>122</v>
      </c>
      <c r="N5510" t="s">
        <v>3</v>
      </c>
      <c r="O5510" t="s">
        <v>188</v>
      </c>
      <c r="P5510" s="1" t="s">
        <v>30</v>
      </c>
      <c r="Q5510">
        <v>137.4</v>
      </c>
    </row>
    <row r="5511" spans="11:17" x14ac:dyDescent="0.3">
      <c r="K5511">
        <v>2018</v>
      </c>
      <c r="L5511" t="s">
        <v>38</v>
      </c>
      <c r="M5511" t="s">
        <v>122</v>
      </c>
      <c r="N5511" t="s">
        <v>3</v>
      </c>
      <c r="O5511" t="s">
        <v>188</v>
      </c>
      <c r="P5511" s="1" t="s">
        <v>34</v>
      </c>
      <c r="Q5511">
        <v>136.6</v>
      </c>
    </row>
    <row r="5512" spans="11:17" x14ac:dyDescent="0.3">
      <c r="K5512">
        <v>2018</v>
      </c>
      <c r="L5512" t="s">
        <v>38</v>
      </c>
      <c r="M5512" t="s">
        <v>122</v>
      </c>
      <c r="N5512" t="s">
        <v>3</v>
      </c>
      <c r="O5512" t="s">
        <v>188</v>
      </c>
      <c r="P5512" s="1" t="s">
        <v>33</v>
      </c>
      <c r="Q5512">
        <v>135</v>
      </c>
    </row>
    <row r="5513" spans="11:17" x14ac:dyDescent="0.3">
      <c r="K5513">
        <v>2018</v>
      </c>
      <c r="L5513" t="s">
        <v>38</v>
      </c>
      <c r="M5513" t="s">
        <v>122</v>
      </c>
      <c r="N5513" t="s">
        <v>17</v>
      </c>
      <c r="O5513" t="s">
        <v>189</v>
      </c>
      <c r="P5513" s="1" t="s">
        <v>30</v>
      </c>
      <c r="Q5513">
        <v>150.80000000000001</v>
      </c>
    </row>
    <row r="5514" spans="11:17" x14ac:dyDescent="0.3">
      <c r="K5514">
        <v>2018</v>
      </c>
      <c r="L5514" t="s">
        <v>38</v>
      </c>
      <c r="M5514" t="s">
        <v>122</v>
      </c>
      <c r="N5514" t="s">
        <v>17</v>
      </c>
      <c r="O5514" t="s">
        <v>189</v>
      </c>
      <c r="P5514" s="1" t="s">
        <v>34</v>
      </c>
      <c r="Q5514">
        <v>146</v>
      </c>
    </row>
    <row r="5515" spans="11:17" x14ac:dyDescent="0.3">
      <c r="K5515">
        <v>2018</v>
      </c>
      <c r="L5515" t="s">
        <v>38</v>
      </c>
      <c r="M5515" t="s">
        <v>122</v>
      </c>
      <c r="N5515" t="s">
        <v>17</v>
      </c>
      <c r="O5515" t="s">
        <v>189</v>
      </c>
      <c r="P5515" s="1" t="s">
        <v>33</v>
      </c>
      <c r="Q5515">
        <v>138.6</v>
      </c>
    </row>
    <row r="5516" spans="11:17" x14ac:dyDescent="0.3">
      <c r="K5516">
        <v>2018</v>
      </c>
      <c r="L5516" t="s">
        <v>38</v>
      </c>
      <c r="M5516" t="s">
        <v>122</v>
      </c>
      <c r="N5516" t="s">
        <v>19</v>
      </c>
      <c r="O5516" t="s">
        <v>189</v>
      </c>
      <c r="P5516" s="1" t="s">
        <v>30</v>
      </c>
      <c r="Q5516">
        <v>149.80000000000001</v>
      </c>
    </row>
    <row r="5517" spans="11:17" x14ac:dyDescent="0.3">
      <c r="K5517">
        <v>2018</v>
      </c>
      <c r="L5517" t="s">
        <v>38</v>
      </c>
      <c r="M5517" t="s">
        <v>122</v>
      </c>
      <c r="N5517" t="s">
        <v>19</v>
      </c>
      <c r="O5517" t="s">
        <v>189</v>
      </c>
      <c r="P5517" s="1" t="s">
        <v>34</v>
      </c>
      <c r="Q5517">
        <v>144.69999999999999</v>
      </c>
    </row>
    <row r="5518" spans="11:17" x14ac:dyDescent="0.3">
      <c r="K5518">
        <v>2018</v>
      </c>
      <c r="L5518" t="s">
        <v>38</v>
      </c>
      <c r="M5518" t="s">
        <v>122</v>
      </c>
      <c r="N5518" t="s">
        <v>19</v>
      </c>
      <c r="O5518" t="s">
        <v>189</v>
      </c>
      <c r="P5518" s="1" t="s">
        <v>33</v>
      </c>
      <c r="Q5518">
        <v>137</v>
      </c>
    </row>
    <row r="5519" spans="11:17" x14ac:dyDescent="0.3">
      <c r="K5519">
        <v>2018</v>
      </c>
      <c r="L5519" t="s">
        <v>38</v>
      </c>
      <c r="M5519" t="s">
        <v>122</v>
      </c>
      <c r="N5519" t="s">
        <v>26</v>
      </c>
      <c r="O5519" t="s">
        <v>26</v>
      </c>
      <c r="P5519" s="1" t="s">
        <v>30</v>
      </c>
      <c r="Q5519">
        <v>144.4</v>
      </c>
    </row>
    <row r="5520" spans="11:17" x14ac:dyDescent="0.3">
      <c r="K5520">
        <v>2018</v>
      </c>
      <c r="L5520" t="s">
        <v>38</v>
      </c>
      <c r="M5520" t="s">
        <v>122</v>
      </c>
      <c r="N5520" t="s">
        <v>26</v>
      </c>
      <c r="O5520" t="s">
        <v>26</v>
      </c>
      <c r="P5520" s="1" t="s">
        <v>34</v>
      </c>
      <c r="Q5520">
        <v>142.1</v>
      </c>
    </row>
    <row r="5521" spans="11:17" x14ac:dyDescent="0.3">
      <c r="K5521">
        <v>2018</v>
      </c>
      <c r="L5521" t="s">
        <v>38</v>
      </c>
      <c r="M5521" t="s">
        <v>122</v>
      </c>
      <c r="N5521" t="s">
        <v>26</v>
      </c>
      <c r="O5521" t="s">
        <v>26</v>
      </c>
      <c r="P5521" s="1" t="s">
        <v>33</v>
      </c>
      <c r="Q5521">
        <v>140.4</v>
      </c>
    </row>
    <row r="5522" spans="11:17" x14ac:dyDescent="0.3">
      <c r="K5522">
        <v>2018</v>
      </c>
      <c r="L5522" t="s">
        <v>38</v>
      </c>
      <c r="M5522" t="s">
        <v>122</v>
      </c>
      <c r="N5522" t="s">
        <v>5</v>
      </c>
      <c r="O5522" t="s">
        <v>188</v>
      </c>
      <c r="P5522" s="1" t="s">
        <v>30</v>
      </c>
      <c r="Q5522">
        <v>135.5</v>
      </c>
    </row>
    <row r="5523" spans="11:17" x14ac:dyDescent="0.3">
      <c r="K5523">
        <v>2018</v>
      </c>
      <c r="L5523" t="s">
        <v>38</v>
      </c>
      <c r="M5523" t="s">
        <v>122</v>
      </c>
      <c r="N5523" t="s">
        <v>5</v>
      </c>
      <c r="O5523" t="s">
        <v>188</v>
      </c>
      <c r="P5523" s="1" t="s">
        <v>34</v>
      </c>
      <c r="Q5523">
        <v>133.6</v>
      </c>
    </row>
    <row r="5524" spans="11:17" x14ac:dyDescent="0.3">
      <c r="K5524">
        <v>2018</v>
      </c>
      <c r="L5524" t="s">
        <v>38</v>
      </c>
      <c r="M5524" t="s">
        <v>122</v>
      </c>
      <c r="N5524" t="s">
        <v>5</v>
      </c>
      <c r="O5524" t="s">
        <v>188</v>
      </c>
      <c r="P5524" s="1" t="s">
        <v>33</v>
      </c>
      <c r="Q5524">
        <v>130.5</v>
      </c>
    </row>
    <row r="5525" spans="11:17" x14ac:dyDescent="0.3">
      <c r="K5525">
        <v>2018</v>
      </c>
      <c r="L5525" t="s">
        <v>38</v>
      </c>
      <c r="M5525" t="s">
        <v>122</v>
      </c>
      <c r="N5525" t="s">
        <v>15</v>
      </c>
      <c r="O5525" t="s">
        <v>188</v>
      </c>
      <c r="P5525" s="1" t="s">
        <v>30</v>
      </c>
      <c r="Q5525">
        <v>139.1</v>
      </c>
    </row>
    <row r="5526" spans="11:17" x14ac:dyDescent="0.3">
      <c r="K5526">
        <v>2018</v>
      </c>
      <c r="L5526" t="s">
        <v>38</v>
      </c>
      <c r="M5526" t="s">
        <v>122</v>
      </c>
      <c r="N5526" t="s">
        <v>15</v>
      </c>
      <c r="O5526" t="s">
        <v>188</v>
      </c>
      <c r="P5526" s="1" t="s">
        <v>34</v>
      </c>
      <c r="Q5526">
        <v>138.1</v>
      </c>
    </row>
    <row r="5527" spans="11:17" x14ac:dyDescent="0.3">
      <c r="K5527">
        <v>2018</v>
      </c>
      <c r="L5527" t="s">
        <v>38</v>
      </c>
      <c r="M5527" t="s">
        <v>122</v>
      </c>
      <c r="N5527" t="s">
        <v>15</v>
      </c>
      <c r="O5527" t="s">
        <v>188</v>
      </c>
      <c r="P5527" s="1" t="s">
        <v>33</v>
      </c>
      <c r="Q5527">
        <v>136.4</v>
      </c>
    </row>
    <row r="5528" spans="11:17" x14ac:dyDescent="0.3">
      <c r="K5528">
        <v>2018</v>
      </c>
      <c r="L5528" t="s">
        <v>38</v>
      </c>
      <c r="M5528" t="s">
        <v>122</v>
      </c>
      <c r="N5528" t="s">
        <v>18</v>
      </c>
      <c r="O5528" t="s">
        <v>189</v>
      </c>
      <c r="P5528" s="1" t="s">
        <v>30</v>
      </c>
      <c r="Q5528">
        <v>144.1</v>
      </c>
    </row>
    <row r="5529" spans="11:17" x14ac:dyDescent="0.3">
      <c r="K5529">
        <v>2018</v>
      </c>
      <c r="L5529" t="s">
        <v>38</v>
      </c>
      <c r="M5529" t="s">
        <v>122</v>
      </c>
      <c r="N5529" t="s">
        <v>18</v>
      </c>
      <c r="O5529" t="s">
        <v>189</v>
      </c>
      <c r="P5529" s="1" t="s">
        <v>34</v>
      </c>
      <c r="Q5529">
        <v>137.4</v>
      </c>
    </row>
    <row r="5530" spans="11:17" x14ac:dyDescent="0.3">
      <c r="K5530">
        <v>2018</v>
      </c>
      <c r="L5530" t="s">
        <v>38</v>
      </c>
      <c r="M5530" t="s">
        <v>122</v>
      </c>
      <c r="N5530" t="s">
        <v>18</v>
      </c>
      <c r="O5530" t="s">
        <v>189</v>
      </c>
      <c r="P5530" s="1" t="s">
        <v>33</v>
      </c>
      <c r="Q5530">
        <v>127.9</v>
      </c>
    </row>
    <row r="5531" spans="11:17" x14ac:dyDescent="0.3">
      <c r="K5531">
        <v>2018</v>
      </c>
      <c r="L5531" t="s">
        <v>38</v>
      </c>
      <c r="M5531" t="s">
        <v>122</v>
      </c>
      <c r="N5531" t="s">
        <v>8</v>
      </c>
      <c r="O5531" t="s">
        <v>188</v>
      </c>
      <c r="P5531" s="1" t="s">
        <v>30</v>
      </c>
      <c r="Q5531">
        <v>157.5</v>
      </c>
    </row>
    <row r="5532" spans="11:17" x14ac:dyDescent="0.3">
      <c r="K5532">
        <v>2018</v>
      </c>
      <c r="L5532" t="s">
        <v>38</v>
      </c>
      <c r="M5532" t="s">
        <v>122</v>
      </c>
      <c r="N5532" t="s">
        <v>8</v>
      </c>
      <c r="O5532" t="s">
        <v>188</v>
      </c>
      <c r="P5532" s="1" t="s">
        <v>34</v>
      </c>
      <c r="Q5532">
        <v>154.6</v>
      </c>
    </row>
    <row r="5533" spans="11:17" x14ac:dyDescent="0.3">
      <c r="K5533">
        <v>2018</v>
      </c>
      <c r="L5533" t="s">
        <v>38</v>
      </c>
      <c r="M5533" t="s">
        <v>122</v>
      </c>
      <c r="N5533" t="s">
        <v>8</v>
      </c>
      <c r="O5533" t="s">
        <v>188</v>
      </c>
      <c r="P5533" s="1" t="s">
        <v>33</v>
      </c>
      <c r="Q5533">
        <v>151.30000000000001</v>
      </c>
    </row>
    <row r="5534" spans="11:17" x14ac:dyDescent="0.3">
      <c r="K5534">
        <v>2018</v>
      </c>
      <c r="L5534" t="s">
        <v>38</v>
      </c>
      <c r="M5534" t="s">
        <v>122</v>
      </c>
      <c r="N5534" t="s">
        <v>21</v>
      </c>
      <c r="O5534" t="s">
        <v>190</v>
      </c>
      <c r="P5534" s="1" t="s">
        <v>30</v>
      </c>
      <c r="Q5534">
        <v>144.30000000000001</v>
      </c>
    </row>
    <row r="5535" spans="11:17" x14ac:dyDescent="0.3">
      <c r="K5535">
        <v>2018</v>
      </c>
      <c r="L5535" t="s">
        <v>38</v>
      </c>
      <c r="M5535" t="s">
        <v>122</v>
      </c>
      <c r="N5535" t="s">
        <v>21</v>
      </c>
      <c r="O5535" t="s">
        <v>190</v>
      </c>
      <c r="P5535" s="1" t="s">
        <v>34</v>
      </c>
      <c r="Q5535">
        <v>136.9</v>
      </c>
    </row>
    <row r="5536" spans="11:17" x14ac:dyDescent="0.3">
      <c r="K5536">
        <v>2018</v>
      </c>
      <c r="L5536" t="s">
        <v>38</v>
      </c>
      <c r="M5536" t="s">
        <v>122</v>
      </c>
      <c r="N5536" t="s">
        <v>21</v>
      </c>
      <c r="O5536" t="s">
        <v>190</v>
      </c>
      <c r="P5536" s="1" t="s">
        <v>33</v>
      </c>
      <c r="Q5536">
        <v>124.7</v>
      </c>
    </row>
    <row r="5537" spans="11:17" x14ac:dyDescent="0.3">
      <c r="K5537">
        <v>2018</v>
      </c>
      <c r="L5537" t="s">
        <v>38</v>
      </c>
      <c r="M5537" t="s">
        <v>122</v>
      </c>
      <c r="N5537" t="s">
        <v>29</v>
      </c>
      <c r="O5537" t="s">
        <v>206</v>
      </c>
      <c r="P5537" s="1" t="s">
        <v>30</v>
      </c>
      <c r="Q5537">
        <v>139.80000000000001</v>
      </c>
    </row>
    <row r="5538" spans="11:17" x14ac:dyDescent="0.3">
      <c r="K5538">
        <v>2018</v>
      </c>
      <c r="L5538" t="s">
        <v>38</v>
      </c>
      <c r="M5538" t="s">
        <v>122</v>
      </c>
      <c r="N5538" t="s">
        <v>29</v>
      </c>
      <c r="O5538" t="s">
        <v>206</v>
      </c>
      <c r="P5538" s="1" t="s">
        <v>34</v>
      </c>
      <c r="Q5538">
        <v>137.80000000000001</v>
      </c>
    </row>
    <row r="5539" spans="11:17" x14ac:dyDescent="0.3">
      <c r="K5539">
        <v>2018</v>
      </c>
      <c r="L5539" t="s">
        <v>38</v>
      </c>
      <c r="M5539" t="s">
        <v>122</v>
      </c>
      <c r="N5539" t="s">
        <v>29</v>
      </c>
      <c r="O5539" t="s">
        <v>206</v>
      </c>
      <c r="P5539" s="1" t="s">
        <v>33</v>
      </c>
      <c r="Q5539">
        <v>135.4</v>
      </c>
    </row>
    <row r="5540" spans="11:17" x14ac:dyDescent="0.3">
      <c r="K5540">
        <v>2018</v>
      </c>
      <c r="L5540" t="s">
        <v>38</v>
      </c>
      <c r="M5540" t="s">
        <v>122</v>
      </c>
      <c r="N5540" t="s">
        <v>23</v>
      </c>
      <c r="O5540" t="s">
        <v>23</v>
      </c>
      <c r="P5540" s="1" t="s">
        <v>30</v>
      </c>
      <c r="Q5540">
        <v>138.4</v>
      </c>
    </row>
    <row r="5541" spans="11:17" x14ac:dyDescent="0.3">
      <c r="K5541">
        <v>2018</v>
      </c>
      <c r="L5541" t="s">
        <v>38</v>
      </c>
      <c r="M5541" t="s">
        <v>122</v>
      </c>
      <c r="N5541" t="s">
        <v>23</v>
      </c>
      <c r="O5541" t="s">
        <v>23</v>
      </c>
      <c r="P5541" s="1" t="s">
        <v>34</v>
      </c>
      <c r="Q5541">
        <v>136</v>
      </c>
    </row>
    <row r="5542" spans="11:17" x14ac:dyDescent="0.3">
      <c r="K5542">
        <v>2018</v>
      </c>
      <c r="L5542" t="s">
        <v>38</v>
      </c>
      <c r="M5542" t="s">
        <v>122</v>
      </c>
      <c r="N5542" t="s">
        <v>23</v>
      </c>
      <c r="O5542" t="s">
        <v>23</v>
      </c>
      <c r="P5542" s="1" t="s">
        <v>33</v>
      </c>
      <c r="Q5542">
        <v>132</v>
      </c>
    </row>
    <row r="5543" spans="11:17" x14ac:dyDescent="0.3">
      <c r="K5543">
        <v>2018</v>
      </c>
      <c r="L5543" t="s">
        <v>38</v>
      </c>
      <c r="M5543" t="s">
        <v>122</v>
      </c>
      <c r="N5543" t="s">
        <v>22</v>
      </c>
      <c r="O5543" t="s">
        <v>20</v>
      </c>
      <c r="P5543" s="1" t="s">
        <v>30</v>
      </c>
      <c r="Q5543">
        <v>141.80000000000001</v>
      </c>
    </row>
    <row r="5544" spans="11:17" x14ac:dyDescent="0.3">
      <c r="K5544">
        <v>2018</v>
      </c>
      <c r="L5544" t="s">
        <v>38</v>
      </c>
      <c r="M5544" t="s">
        <v>122</v>
      </c>
      <c r="N5544" t="s">
        <v>22</v>
      </c>
      <c r="O5544" t="s">
        <v>20</v>
      </c>
      <c r="P5544" s="1" t="s">
        <v>34</v>
      </c>
      <c r="Q5544">
        <v>137.4</v>
      </c>
    </row>
    <row r="5545" spans="11:17" x14ac:dyDescent="0.3">
      <c r="K5545">
        <v>2018</v>
      </c>
      <c r="L5545" t="s">
        <v>38</v>
      </c>
      <c r="M5545" t="s">
        <v>122</v>
      </c>
      <c r="N5545" t="s">
        <v>22</v>
      </c>
      <c r="O5545" t="s">
        <v>20</v>
      </c>
      <c r="P5545" s="1" t="s">
        <v>33</v>
      </c>
      <c r="Q5545">
        <v>132.5</v>
      </c>
    </row>
    <row r="5546" spans="11:17" x14ac:dyDescent="0.3">
      <c r="K5546">
        <v>2018</v>
      </c>
      <c r="L5546" t="s">
        <v>38</v>
      </c>
      <c r="M5546" t="s">
        <v>122</v>
      </c>
      <c r="N5546" t="s">
        <v>20</v>
      </c>
      <c r="O5546" t="s">
        <v>20</v>
      </c>
      <c r="P5546" s="1" t="s">
        <v>30</v>
      </c>
      <c r="Q5546">
        <v>0</v>
      </c>
    </row>
    <row r="5547" spans="11:17" x14ac:dyDescent="0.3">
      <c r="K5547">
        <v>2018</v>
      </c>
      <c r="L5547" t="s">
        <v>38</v>
      </c>
      <c r="M5547" t="s">
        <v>122</v>
      </c>
      <c r="N5547" t="s">
        <v>20</v>
      </c>
      <c r="O5547" t="s">
        <v>20</v>
      </c>
      <c r="P5547" s="1" t="s">
        <v>34</v>
      </c>
      <c r="Q5547">
        <v>143.19999999999999</v>
      </c>
    </row>
    <row r="5548" spans="11:17" x14ac:dyDescent="0.3">
      <c r="K5548">
        <v>2018</v>
      </c>
      <c r="L5548" t="s">
        <v>38</v>
      </c>
      <c r="M5548" t="s">
        <v>122</v>
      </c>
      <c r="N5548" t="s">
        <v>20</v>
      </c>
      <c r="O5548" t="s">
        <v>20</v>
      </c>
      <c r="P5548" s="1" t="s">
        <v>33</v>
      </c>
      <c r="Q5548">
        <v>143.19999999999999</v>
      </c>
    </row>
    <row r="5549" spans="11:17" x14ac:dyDescent="0.3">
      <c r="K5549">
        <v>2018</v>
      </c>
      <c r="L5549" t="s">
        <v>38</v>
      </c>
      <c r="M5549" t="s">
        <v>122</v>
      </c>
      <c r="N5549" t="s">
        <v>4</v>
      </c>
      <c r="O5549" t="s">
        <v>188</v>
      </c>
      <c r="P5549" s="1" t="s">
        <v>30</v>
      </c>
      <c r="Q5549">
        <v>145.69999999999999</v>
      </c>
    </row>
    <row r="5550" spans="11:17" x14ac:dyDescent="0.3">
      <c r="K5550">
        <v>2018</v>
      </c>
      <c r="L5550" t="s">
        <v>38</v>
      </c>
      <c r="M5550" t="s">
        <v>122</v>
      </c>
      <c r="N5550" t="s">
        <v>4</v>
      </c>
      <c r="O5550" t="s">
        <v>188</v>
      </c>
      <c r="P5550" s="1" t="s">
        <v>34</v>
      </c>
      <c r="Q5550">
        <v>146.6</v>
      </c>
    </row>
    <row r="5551" spans="11:17" x14ac:dyDescent="0.3">
      <c r="K5551">
        <v>2018</v>
      </c>
      <c r="L5551" t="s">
        <v>38</v>
      </c>
      <c r="M5551" t="s">
        <v>122</v>
      </c>
      <c r="N5551" t="s">
        <v>4</v>
      </c>
      <c r="O5551" t="s">
        <v>188</v>
      </c>
      <c r="P5551" s="1" t="s">
        <v>33</v>
      </c>
      <c r="Q5551">
        <v>148.19999999999999</v>
      </c>
    </row>
    <row r="5552" spans="11:17" x14ac:dyDescent="0.3">
      <c r="K5552">
        <v>2018</v>
      </c>
      <c r="L5552" t="s">
        <v>38</v>
      </c>
      <c r="M5552" t="s">
        <v>122</v>
      </c>
      <c r="N5552" t="s">
        <v>6</v>
      </c>
      <c r="O5552" t="s">
        <v>188</v>
      </c>
      <c r="P5552" s="1" t="s">
        <v>30</v>
      </c>
      <c r="Q5552">
        <v>142.9</v>
      </c>
    </row>
    <row r="5553" spans="11:17" x14ac:dyDescent="0.3">
      <c r="K5553">
        <v>2018</v>
      </c>
      <c r="L5553" t="s">
        <v>38</v>
      </c>
      <c r="M5553" t="s">
        <v>122</v>
      </c>
      <c r="N5553" t="s">
        <v>6</v>
      </c>
      <c r="O5553" t="s">
        <v>188</v>
      </c>
      <c r="P5553" s="1" t="s">
        <v>34</v>
      </c>
      <c r="Q5553">
        <v>142.1</v>
      </c>
    </row>
    <row r="5554" spans="11:17" x14ac:dyDescent="0.3">
      <c r="K5554">
        <v>2018</v>
      </c>
      <c r="L5554" t="s">
        <v>38</v>
      </c>
      <c r="M5554" t="s">
        <v>122</v>
      </c>
      <c r="N5554" t="s">
        <v>6</v>
      </c>
      <c r="O5554" t="s">
        <v>188</v>
      </c>
      <c r="P5554" s="1" t="s">
        <v>33</v>
      </c>
      <c r="Q5554">
        <v>140.69999999999999</v>
      </c>
    </row>
    <row r="5555" spans="11:17" x14ac:dyDescent="0.3">
      <c r="K5555">
        <v>2018</v>
      </c>
      <c r="L5555" t="s">
        <v>38</v>
      </c>
      <c r="M5555" t="s">
        <v>122</v>
      </c>
      <c r="N5555" t="s">
        <v>28</v>
      </c>
      <c r="O5555" t="s">
        <v>192</v>
      </c>
      <c r="P5555" s="1" t="s">
        <v>30</v>
      </c>
      <c r="Q5555">
        <v>135.1</v>
      </c>
    </row>
    <row r="5556" spans="11:17" x14ac:dyDescent="0.3">
      <c r="K5556">
        <v>2018</v>
      </c>
      <c r="L5556" t="s">
        <v>38</v>
      </c>
      <c r="M5556" t="s">
        <v>122</v>
      </c>
      <c r="N5556" t="s">
        <v>28</v>
      </c>
      <c r="O5556" t="s">
        <v>192</v>
      </c>
      <c r="P5556" s="1" t="s">
        <v>34</v>
      </c>
      <c r="Q5556">
        <v>132.1</v>
      </c>
    </row>
    <row r="5557" spans="11:17" x14ac:dyDescent="0.3">
      <c r="K5557">
        <v>2018</v>
      </c>
      <c r="L5557" t="s">
        <v>38</v>
      </c>
      <c r="M5557" t="s">
        <v>122</v>
      </c>
      <c r="N5557" t="s">
        <v>28</v>
      </c>
      <c r="O5557" t="s">
        <v>192</v>
      </c>
      <c r="P5557" s="1" t="s">
        <v>33</v>
      </c>
      <c r="Q5557">
        <v>128.9</v>
      </c>
    </row>
    <row r="5558" spans="11:17" x14ac:dyDescent="0.3">
      <c r="K5558">
        <v>2018</v>
      </c>
      <c r="L5558" t="s">
        <v>38</v>
      </c>
      <c r="M5558" t="s">
        <v>122</v>
      </c>
      <c r="N5558" t="s">
        <v>13</v>
      </c>
      <c r="O5558" t="s">
        <v>188</v>
      </c>
      <c r="P5558" s="1" t="s">
        <v>30</v>
      </c>
      <c r="Q5558">
        <v>132.19999999999999</v>
      </c>
    </row>
    <row r="5559" spans="11:17" x14ac:dyDescent="0.3">
      <c r="K5559">
        <v>2018</v>
      </c>
      <c r="L5559" t="s">
        <v>38</v>
      </c>
      <c r="M5559" t="s">
        <v>122</v>
      </c>
      <c r="N5559" t="s">
        <v>13</v>
      </c>
      <c r="O5559" t="s">
        <v>188</v>
      </c>
      <c r="P5559" s="1" t="s">
        <v>34</v>
      </c>
      <c r="Q5559">
        <v>129.9</v>
      </c>
    </row>
    <row r="5560" spans="11:17" x14ac:dyDescent="0.3">
      <c r="K5560">
        <v>2018</v>
      </c>
      <c r="L5560" t="s">
        <v>38</v>
      </c>
      <c r="M5560" t="s">
        <v>122</v>
      </c>
      <c r="N5560" t="s">
        <v>13</v>
      </c>
      <c r="O5560" t="s">
        <v>188</v>
      </c>
      <c r="P5560" s="1" t="s">
        <v>33</v>
      </c>
      <c r="Q5560">
        <v>126.6</v>
      </c>
    </row>
    <row r="5561" spans="11:17" x14ac:dyDescent="0.3">
      <c r="K5561">
        <v>2018</v>
      </c>
      <c r="L5561" t="s">
        <v>38</v>
      </c>
      <c r="M5561" t="s">
        <v>122</v>
      </c>
      <c r="N5561" t="s">
        <v>7</v>
      </c>
      <c r="O5561" t="s">
        <v>188</v>
      </c>
      <c r="P5561" s="1" t="s">
        <v>30</v>
      </c>
      <c r="Q5561">
        <v>123.6</v>
      </c>
    </row>
    <row r="5562" spans="11:17" x14ac:dyDescent="0.3">
      <c r="K5562">
        <v>2018</v>
      </c>
      <c r="L5562" t="s">
        <v>38</v>
      </c>
      <c r="M5562" t="s">
        <v>122</v>
      </c>
      <c r="N5562" t="s">
        <v>7</v>
      </c>
      <c r="O5562" t="s">
        <v>188</v>
      </c>
      <c r="P5562" s="1" t="s">
        <v>34</v>
      </c>
      <c r="Q5562">
        <v>121</v>
      </c>
    </row>
    <row r="5563" spans="11:17" x14ac:dyDescent="0.3">
      <c r="K5563">
        <v>2018</v>
      </c>
      <c r="L5563" t="s">
        <v>38</v>
      </c>
      <c r="M5563" t="s">
        <v>122</v>
      </c>
      <c r="N5563" t="s">
        <v>7</v>
      </c>
      <c r="O5563" t="s">
        <v>188</v>
      </c>
      <c r="P5563" s="1" t="s">
        <v>33</v>
      </c>
      <c r="Q5563">
        <v>116.4</v>
      </c>
    </row>
    <row r="5564" spans="11:17" x14ac:dyDescent="0.3">
      <c r="K5564">
        <v>2018</v>
      </c>
      <c r="L5564" t="s">
        <v>38</v>
      </c>
      <c r="M5564" t="s">
        <v>122</v>
      </c>
      <c r="N5564" t="s">
        <v>16</v>
      </c>
      <c r="O5564" t="s">
        <v>192</v>
      </c>
      <c r="P5564" s="1" t="s">
        <v>30</v>
      </c>
      <c r="Q5564">
        <v>157</v>
      </c>
    </row>
    <row r="5565" spans="11:17" x14ac:dyDescent="0.3">
      <c r="K5565">
        <v>2018</v>
      </c>
      <c r="L5565" t="s">
        <v>38</v>
      </c>
      <c r="M5565" t="s">
        <v>122</v>
      </c>
      <c r="N5565" t="s">
        <v>16</v>
      </c>
      <c r="O5565" t="s">
        <v>192</v>
      </c>
      <c r="P5565" s="1" t="s">
        <v>34</v>
      </c>
      <c r="Q5565">
        <v>157.9</v>
      </c>
    </row>
    <row r="5566" spans="11:17" x14ac:dyDescent="0.3">
      <c r="K5566">
        <v>2018</v>
      </c>
      <c r="L5566" t="s">
        <v>38</v>
      </c>
      <c r="M5566" t="s">
        <v>122</v>
      </c>
      <c r="N5566" t="s">
        <v>16</v>
      </c>
      <c r="O5566" t="s">
        <v>192</v>
      </c>
      <c r="P5566" s="1" t="s">
        <v>33</v>
      </c>
      <c r="Q5566">
        <v>160.30000000000001</v>
      </c>
    </row>
    <row r="5567" spans="11:17" x14ac:dyDescent="0.3">
      <c r="K5567">
        <v>2018</v>
      </c>
      <c r="L5567" t="s">
        <v>38</v>
      </c>
      <c r="M5567" t="s">
        <v>122</v>
      </c>
      <c r="N5567" t="s">
        <v>27</v>
      </c>
      <c r="O5567" t="s">
        <v>192</v>
      </c>
      <c r="P5567" s="1" t="s">
        <v>30</v>
      </c>
      <c r="Q5567">
        <v>131.19999999999999</v>
      </c>
    </row>
    <row r="5568" spans="11:17" x14ac:dyDescent="0.3">
      <c r="K5568">
        <v>2018</v>
      </c>
      <c r="L5568" t="s">
        <v>38</v>
      </c>
      <c r="M5568" t="s">
        <v>122</v>
      </c>
      <c r="N5568" t="s">
        <v>27</v>
      </c>
      <c r="O5568" t="s">
        <v>192</v>
      </c>
      <c r="P5568" s="1" t="s">
        <v>34</v>
      </c>
      <c r="Q5568">
        <v>129.9</v>
      </c>
    </row>
    <row r="5569" spans="11:17" x14ac:dyDescent="0.3">
      <c r="K5569">
        <v>2018</v>
      </c>
      <c r="L5569" t="s">
        <v>38</v>
      </c>
      <c r="M5569" t="s">
        <v>122</v>
      </c>
      <c r="N5569" t="s">
        <v>27</v>
      </c>
      <c r="O5569" t="s">
        <v>192</v>
      </c>
      <c r="P5569" s="1" t="s">
        <v>33</v>
      </c>
      <c r="Q5569">
        <v>128.1</v>
      </c>
    </row>
    <row r="5570" spans="11:17" x14ac:dyDescent="0.3">
      <c r="K5570">
        <v>2018</v>
      </c>
      <c r="L5570" t="s">
        <v>38</v>
      </c>
      <c r="M5570" t="s">
        <v>122</v>
      </c>
      <c r="N5570" t="s">
        <v>14</v>
      </c>
      <c r="O5570" t="s">
        <v>188</v>
      </c>
      <c r="P5570" s="1" t="s">
        <v>30</v>
      </c>
      <c r="Q5570">
        <v>154.30000000000001</v>
      </c>
    </row>
    <row r="5571" spans="11:17" x14ac:dyDescent="0.3">
      <c r="K5571">
        <v>2018</v>
      </c>
      <c r="L5571" t="s">
        <v>38</v>
      </c>
      <c r="M5571" t="s">
        <v>122</v>
      </c>
      <c r="N5571" t="s">
        <v>14</v>
      </c>
      <c r="O5571" t="s">
        <v>188</v>
      </c>
      <c r="P5571" s="1" t="s">
        <v>34</v>
      </c>
      <c r="Q5571">
        <v>151.69999999999999</v>
      </c>
    </row>
    <row r="5572" spans="11:17" x14ac:dyDescent="0.3">
      <c r="K5572">
        <v>2018</v>
      </c>
      <c r="L5572" t="s">
        <v>38</v>
      </c>
      <c r="M5572" t="s">
        <v>122</v>
      </c>
      <c r="N5572" t="s">
        <v>14</v>
      </c>
      <c r="O5572" t="s">
        <v>188</v>
      </c>
      <c r="P5572" s="1" t="s">
        <v>33</v>
      </c>
      <c r="Q5572">
        <v>148.69999999999999</v>
      </c>
    </row>
    <row r="5573" spans="11:17" x14ac:dyDescent="0.3">
      <c r="K5573">
        <v>2018</v>
      </c>
      <c r="L5573" t="s">
        <v>38</v>
      </c>
      <c r="M5573" t="s">
        <v>122</v>
      </c>
      <c r="N5573" t="s">
        <v>10</v>
      </c>
      <c r="O5573" t="s">
        <v>188</v>
      </c>
      <c r="P5573" s="1" t="s">
        <v>30</v>
      </c>
      <c r="Q5573">
        <v>127.2</v>
      </c>
    </row>
    <row r="5574" spans="11:17" x14ac:dyDescent="0.3">
      <c r="K5574">
        <v>2018</v>
      </c>
      <c r="L5574" t="s">
        <v>38</v>
      </c>
      <c r="M5574" t="s">
        <v>122</v>
      </c>
      <c r="N5574" t="s">
        <v>10</v>
      </c>
      <c r="O5574" t="s">
        <v>188</v>
      </c>
      <c r="P5574" s="1" t="s">
        <v>34</v>
      </c>
      <c r="Q5574">
        <v>122.3</v>
      </c>
    </row>
    <row r="5575" spans="11:17" x14ac:dyDescent="0.3">
      <c r="K5575">
        <v>2018</v>
      </c>
      <c r="L5575" t="s">
        <v>38</v>
      </c>
      <c r="M5575" t="s">
        <v>122</v>
      </c>
      <c r="N5575" t="s">
        <v>10</v>
      </c>
      <c r="O5575" t="s">
        <v>188</v>
      </c>
      <c r="P5575" s="1" t="s">
        <v>33</v>
      </c>
      <c r="Q5575">
        <v>112.8</v>
      </c>
    </row>
    <row r="5576" spans="11:17" x14ac:dyDescent="0.3">
      <c r="K5576">
        <v>2018</v>
      </c>
      <c r="L5576" t="s">
        <v>38</v>
      </c>
      <c r="M5576" t="s">
        <v>122</v>
      </c>
      <c r="N5576" t="s">
        <v>25</v>
      </c>
      <c r="O5576" t="s">
        <v>195</v>
      </c>
      <c r="P5576" s="1" t="s">
        <v>30</v>
      </c>
      <c r="Q5576">
        <v>136.80000000000001</v>
      </c>
    </row>
    <row r="5577" spans="11:17" x14ac:dyDescent="0.3">
      <c r="K5577">
        <v>2018</v>
      </c>
      <c r="L5577" t="s">
        <v>38</v>
      </c>
      <c r="M5577" t="s">
        <v>122</v>
      </c>
      <c r="N5577" t="s">
        <v>25</v>
      </c>
      <c r="O5577" t="s">
        <v>195</v>
      </c>
      <c r="P5577" s="1" t="s">
        <v>34</v>
      </c>
      <c r="Q5577">
        <v>131.80000000000001</v>
      </c>
    </row>
    <row r="5578" spans="11:17" x14ac:dyDescent="0.3">
      <c r="K5578">
        <v>2018</v>
      </c>
      <c r="L5578" t="s">
        <v>38</v>
      </c>
      <c r="M5578" t="s">
        <v>122</v>
      </c>
      <c r="N5578" t="s">
        <v>25</v>
      </c>
      <c r="O5578" t="s">
        <v>195</v>
      </c>
      <c r="P5578" s="1" t="s">
        <v>33</v>
      </c>
      <c r="Q5578">
        <v>128</v>
      </c>
    </row>
    <row r="5579" spans="11:17" x14ac:dyDescent="0.3">
      <c r="K5579">
        <v>2018</v>
      </c>
      <c r="L5579" t="s">
        <v>38</v>
      </c>
      <c r="M5579" t="s">
        <v>122</v>
      </c>
      <c r="N5579" t="s">
        <v>12</v>
      </c>
      <c r="O5579" t="s">
        <v>188</v>
      </c>
      <c r="P5579" s="1" t="s">
        <v>30</v>
      </c>
      <c r="Q5579">
        <v>137.4</v>
      </c>
    </row>
    <row r="5580" spans="11:17" x14ac:dyDescent="0.3">
      <c r="K5580">
        <v>2018</v>
      </c>
      <c r="L5580" t="s">
        <v>38</v>
      </c>
      <c r="M5580" t="s">
        <v>122</v>
      </c>
      <c r="N5580" t="s">
        <v>12</v>
      </c>
      <c r="O5580" t="s">
        <v>188</v>
      </c>
      <c r="P5580" s="1" t="s">
        <v>34</v>
      </c>
      <c r="Q5580">
        <v>138.1</v>
      </c>
    </row>
    <row r="5581" spans="11:17" x14ac:dyDescent="0.3">
      <c r="K5581">
        <v>2018</v>
      </c>
      <c r="L5581" t="s">
        <v>38</v>
      </c>
      <c r="M5581" t="s">
        <v>122</v>
      </c>
      <c r="N5581" t="s">
        <v>12</v>
      </c>
      <c r="O5581" t="s">
        <v>188</v>
      </c>
      <c r="P5581" s="1" t="s">
        <v>33</v>
      </c>
      <c r="Q5581">
        <v>139.6</v>
      </c>
    </row>
    <row r="5582" spans="11:17" x14ac:dyDescent="0.3">
      <c r="K5582">
        <v>2018</v>
      </c>
      <c r="L5582" t="s">
        <v>38</v>
      </c>
      <c r="M5582" t="s">
        <v>122</v>
      </c>
      <c r="N5582" t="s">
        <v>11</v>
      </c>
      <c r="O5582" t="s">
        <v>188</v>
      </c>
      <c r="P5582" s="1" t="s">
        <v>30</v>
      </c>
      <c r="Q5582">
        <v>111.8</v>
      </c>
    </row>
    <row r="5583" spans="11:17" x14ac:dyDescent="0.3">
      <c r="K5583">
        <v>2018</v>
      </c>
      <c r="L5583" t="s">
        <v>38</v>
      </c>
      <c r="M5583" t="s">
        <v>122</v>
      </c>
      <c r="N5583" t="s">
        <v>11</v>
      </c>
      <c r="O5583" t="s">
        <v>188</v>
      </c>
      <c r="P5583" s="1" t="s">
        <v>34</v>
      </c>
      <c r="Q5583">
        <v>109.6</v>
      </c>
    </row>
    <row r="5584" spans="11:17" x14ac:dyDescent="0.3">
      <c r="K5584">
        <v>2018</v>
      </c>
      <c r="L5584" t="s">
        <v>38</v>
      </c>
      <c r="M5584" t="s">
        <v>122</v>
      </c>
      <c r="N5584" t="s">
        <v>11</v>
      </c>
      <c r="O5584" t="s">
        <v>188</v>
      </c>
      <c r="P5584" s="1" t="s">
        <v>33</v>
      </c>
      <c r="Q5584">
        <v>105.3</v>
      </c>
    </row>
    <row r="5585" spans="11:17" x14ac:dyDescent="0.3">
      <c r="K5585">
        <v>2018</v>
      </c>
      <c r="L5585" t="s">
        <v>38</v>
      </c>
      <c r="M5585" t="s">
        <v>122</v>
      </c>
      <c r="N5585" t="s">
        <v>24</v>
      </c>
      <c r="O5585" t="s">
        <v>191</v>
      </c>
      <c r="P5585" s="1" t="s">
        <v>30</v>
      </c>
      <c r="Q5585">
        <v>126.4</v>
      </c>
    </row>
    <row r="5586" spans="11:17" x14ac:dyDescent="0.3">
      <c r="K5586">
        <v>2018</v>
      </c>
      <c r="L5586" t="s">
        <v>38</v>
      </c>
      <c r="M5586" t="s">
        <v>122</v>
      </c>
      <c r="N5586" t="s">
        <v>24</v>
      </c>
      <c r="O5586" t="s">
        <v>191</v>
      </c>
      <c r="P5586" s="1" t="s">
        <v>34</v>
      </c>
      <c r="Q5586">
        <v>122.9</v>
      </c>
    </row>
    <row r="5587" spans="11:17" x14ac:dyDescent="0.3">
      <c r="K5587">
        <v>2018</v>
      </c>
      <c r="L5587" t="s">
        <v>38</v>
      </c>
      <c r="M5587" t="s">
        <v>122</v>
      </c>
      <c r="N5587" t="s">
        <v>24</v>
      </c>
      <c r="O5587" t="s">
        <v>191</v>
      </c>
      <c r="P5587" s="1" t="s">
        <v>33</v>
      </c>
      <c r="Q5587">
        <v>119.8</v>
      </c>
    </row>
    <row r="5588" spans="11:17" x14ac:dyDescent="0.3">
      <c r="K5588">
        <v>2018</v>
      </c>
      <c r="L5588" t="s">
        <v>38</v>
      </c>
      <c r="M5588" t="s">
        <v>122</v>
      </c>
      <c r="N5588" t="s">
        <v>9</v>
      </c>
      <c r="O5588" t="s">
        <v>188</v>
      </c>
      <c r="P5588" s="1" t="s">
        <v>30</v>
      </c>
      <c r="Q5588">
        <v>137.80000000000001</v>
      </c>
    </row>
    <row r="5589" spans="11:17" x14ac:dyDescent="0.3">
      <c r="K5589">
        <v>2018</v>
      </c>
      <c r="L5589" t="s">
        <v>38</v>
      </c>
      <c r="M5589" t="s">
        <v>122</v>
      </c>
      <c r="N5589" t="s">
        <v>9</v>
      </c>
      <c r="O5589" t="s">
        <v>188</v>
      </c>
      <c r="P5589" s="1" t="s">
        <v>34</v>
      </c>
      <c r="Q5589">
        <v>135.6</v>
      </c>
    </row>
    <row r="5590" spans="11:17" x14ac:dyDescent="0.3">
      <c r="K5590">
        <v>2018</v>
      </c>
      <c r="L5590" t="s">
        <v>38</v>
      </c>
      <c r="M5590" t="s">
        <v>122</v>
      </c>
      <c r="N5590" t="s">
        <v>9</v>
      </c>
      <c r="O5590" t="s">
        <v>188</v>
      </c>
      <c r="P5590" s="1" t="s">
        <v>33</v>
      </c>
      <c r="Q5590">
        <v>131.4</v>
      </c>
    </row>
    <row r="5591" spans="11:17" x14ac:dyDescent="0.3">
      <c r="K5591">
        <v>2018</v>
      </c>
      <c r="L5591" t="s">
        <v>44</v>
      </c>
      <c r="M5591" t="s">
        <v>123</v>
      </c>
      <c r="N5591" t="s">
        <v>3</v>
      </c>
      <c r="O5591" t="s">
        <v>188</v>
      </c>
      <c r="P5591" s="1" t="s">
        <v>30</v>
      </c>
      <c r="Q5591">
        <v>137.1</v>
      </c>
    </row>
    <row r="5592" spans="11:17" x14ac:dyDescent="0.3">
      <c r="K5592">
        <v>2018</v>
      </c>
      <c r="L5592" t="s">
        <v>44</v>
      </c>
      <c r="M5592" t="s">
        <v>123</v>
      </c>
      <c r="N5592" t="s">
        <v>3</v>
      </c>
      <c r="O5592" t="s">
        <v>188</v>
      </c>
      <c r="P5592" s="1" t="s">
        <v>34</v>
      </c>
      <c r="Q5592">
        <v>137.4</v>
      </c>
    </row>
    <row r="5593" spans="11:17" x14ac:dyDescent="0.3">
      <c r="K5593">
        <v>2018</v>
      </c>
      <c r="L5593" t="s">
        <v>44</v>
      </c>
      <c r="M5593" t="s">
        <v>123</v>
      </c>
      <c r="N5593" t="s">
        <v>3</v>
      </c>
      <c r="O5593" t="s">
        <v>188</v>
      </c>
      <c r="P5593" s="1" t="s">
        <v>33</v>
      </c>
      <c r="Q5593">
        <v>138.1</v>
      </c>
    </row>
    <row r="5594" spans="11:17" x14ac:dyDescent="0.3">
      <c r="K5594">
        <v>2018</v>
      </c>
      <c r="L5594" t="s">
        <v>44</v>
      </c>
      <c r="M5594" t="s">
        <v>123</v>
      </c>
      <c r="N5594" t="s">
        <v>17</v>
      </c>
      <c r="O5594" t="s">
        <v>189</v>
      </c>
      <c r="P5594" s="1" t="s">
        <v>30</v>
      </c>
      <c r="Q5594">
        <v>151.69999999999999</v>
      </c>
    </row>
    <row r="5595" spans="11:17" x14ac:dyDescent="0.3">
      <c r="K5595">
        <v>2018</v>
      </c>
      <c r="L5595" t="s">
        <v>44</v>
      </c>
      <c r="M5595" t="s">
        <v>123</v>
      </c>
      <c r="N5595" t="s">
        <v>17</v>
      </c>
      <c r="O5595" t="s">
        <v>189</v>
      </c>
      <c r="P5595" s="1" t="s">
        <v>34</v>
      </c>
      <c r="Q5595">
        <v>148</v>
      </c>
    </row>
    <row r="5596" spans="11:17" x14ac:dyDescent="0.3">
      <c r="K5596">
        <v>2018</v>
      </c>
      <c r="L5596" t="s">
        <v>44</v>
      </c>
      <c r="M5596" t="s">
        <v>123</v>
      </c>
      <c r="N5596" t="s">
        <v>17</v>
      </c>
      <c r="O5596" t="s">
        <v>189</v>
      </c>
      <c r="P5596" s="1" t="s">
        <v>33</v>
      </c>
      <c r="Q5596">
        <v>142.4</v>
      </c>
    </row>
    <row r="5597" spans="11:17" x14ac:dyDescent="0.3">
      <c r="K5597">
        <v>2018</v>
      </c>
      <c r="L5597" t="s">
        <v>44</v>
      </c>
      <c r="M5597" t="s">
        <v>123</v>
      </c>
      <c r="N5597" t="s">
        <v>19</v>
      </c>
      <c r="O5597" t="s">
        <v>189</v>
      </c>
      <c r="P5597" s="1" t="s">
        <v>30</v>
      </c>
      <c r="Q5597">
        <v>150.80000000000001</v>
      </c>
    </row>
    <row r="5598" spans="11:17" x14ac:dyDescent="0.3">
      <c r="K5598">
        <v>2018</v>
      </c>
      <c r="L5598" t="s">
        <v>44</v>
      </c>
      <c r="M5598" t="s">
        <v>123</v>
      </c>
      <c r="N5598" t="s">
        <v>19</v>
      </c>
      <c r="O5598" t="s">
        <v>189</v>
      </c>
      <c r="P5598" s="1" t="s">
        <v>34</v>
      </c>
      <c r="Q5598">
        <v>146.69999999999999</v>
      </c>
    </row>
    <row r="5599" spans="11:17" x14ac:dyDescent="0.3">
      <c r="K5599">
        <v>2018</v>
      </c>
      <c r="L5599" t="s">
        <v>44</v>
      </c>
      <c r="M5599" t="s">
        <v>123</v>
      </c>
      <c r="N5599" t="s">
        <v>19</v>
      </c>
      <c r="O5599" t="s">
        <v>189</v>
      </c>
      <c r="P5599" s="1" t="s">
        <v>33</v>
      </c>
      <c r="Q5599">
        <v>140.5</v>
      </c>
    </row>
    <row r="5600" spans="11:17" x14ac:dyDescent="0.3">
      <c r="K5600">
        <v>2018</v>
      </c>
      <c r="L5600" t="s">
        <v>44</v>
      </c>
      <c r="M5600" t="s">
        <v>123</v>
      </c>
      <c r="N5600" t="s">
        <v>26</v>
      </c>
      <c r="O5600" t="s">
        <v>26</v>
      </c>
      <c r="P5600" s="1" t="s">
        <v>30</v>
      </c>
      <c r="Q5600">
        <v>150.19999999999999</v>
      </c>
    </row>
    <row r="5601" spans="11:17" x14ac:dyDescent="0.3">
      <c r="K5601">
        <v>2018</v>
      </c>
      <c r="L5601" t="s">
        <v>44</v>
      </c>
      <c r="M5601" t="s">
        <v>123</v>
      </c>
      <c r="N5601" t="s">
        <v>26</v>
      </c>
      <c r="O5601" t="s">
        <v>26</v>
      </c>
      <c r="P5601" s="1" t="s">
        <v>34</v>
      </c>
      <c r="Q5601">
        <v>147.80000000000001</v>
      </c>
    </row>
    <row r="5602" spans="11:17" x14ac:dyDescent="0.3">
      <c r="K5602">
        <v>2018</v>
      </c>
      <c r="L5602" t="s">
        <v>44</v>
      </c>
      <c r="M5602" t="s">
        <v>123</v>
      </c>
      <c r="N5602" t="s">
        <v>26</v>
      </c>
      <c r="O5602" t="s">
        <v>26</v>
      </c>
      <c r="P5602" s="1" t="s">
        <v>33</v>
      </c>
      <c r="Q5602">
        <v>146.1</v>
      </c>
    </row>
    <row r="5603" spans="11:17" x14ac:dyDescent="0.3">
      <c r="K5603">
        <v>2018</v>
      </c>
      <c r="L5603" t="s">
        <v>44</v>
      </c>
      <c r="M5603" t="s">
        <v>123</v>
      </c>
      <c r="N5603" t="s">
        <v>5</v>
      </c>
      <c r="O5603" t="s">
        <v>188</v>
      </c>
      <c r="P5603" s="1" t="s">
        <v>30</v>
      </c>
      <c r="Q5603">
        <v>136.69999999999999</v>
      </c>
    </row>
    <row r="5604" spans="11:17" x14ac:dyDescent="0.3">
      <c r="K5604">
        <v>2018</v>
      </c>
      <c r="L5604" t="s">
        <v>44</v>
      </c>
      <c r="M5604" t="s">
        <v>123</v>
      </c>
      <c r="N5604" t="s">
        <v>5</v>
      </c>
      <c r="O5604" t="s">
        <v>188</v>
      </c>
      <c r="P5604" s="1" t="s">
        <v>34</v>
      </c>
      <c r="Q5604">
        <v>137.1</v>
      </c>
    </row>
    <row r="5605" spans="11:17" x14ac:dyDescent="0.3">
      <c r="K5605">
        <v>2018</v>
      </c>
      <c r="L5605" t="s">
        <v>44</v>
      </c>
      <c r="M5605" t="s">
        <v>123</v>
      </c>
      <c r="N5605" t="s">
        <v>5</v>
      </c>
      <c r="O5605" t="s">
        <v>188</v>
      </c>
      <c r="P5605" s="1" t="s">
        <v>33</v>
      </c>
      <c r="Q5605">
        <v>137.80000000000001</v>
      </c>
    </row>
    <row r="5606" spans="11:17" x14ac:dyDescent="0.3">
      <c r="K5606">
        <v>2018</v>
      </c>
      <c r="L5606" t="s">
        <v>44</v>
      </c>
      <c r="M5606" t="s">
        <v>123</v>
      </c>
      <c r="N5606" t="s">
        <v>15</v>
      </c>
      <c r="O5606" t="s">
        <v>188</v>
      </c>
      <c r="P5606" s="1" t="s">
        <v>30</v>
      </c>
      <c r="Q5606">
        <v>140</v>
      </c>
    </row>
    <row r="5607" spans="11:17" x14ac:dyDescent="0.3">
      <c r="K5607">
        <v>2018</v>
      </c>
      <c r="L5607" t="s">
        <v>44</v>
      </c>
      <c r="M5607" t="s">
        <v>123</v>
      </c>
      <c r="N5607" t="s">
        <v>15</v>
      </c>
      <c r="O5607" t="s">
        <v>188</v>
      </c>
      <c r="P5607" s="1" t="s">
        <v>34</v>
      </c>
      <c r="Q5607">
        <v>139.69999999999999</v>
      </c>
    </row>
    <row r="5608" spans="11:17" x14ac:dyDescent="0.3">
      <c r="K5608">
        <v>2018</v>
      </c>
      <c r="L5608" t="s">
        <v>44</v>
      </c>
      <c r="M5608" t="s">
        <v>123</v>
      </c>
      <c r="N5608" t="s">
        <v>15</v>
      </c>
      <c r="O5608" t="s">
        <v>188</v>
      </c>
      <c r="P5608" s="1" t="s">
        <v>33</v>
      </c>
      <c r="Q5608">
        <v>139.1</v>
      </c>
    </row>
    <row r="5609" spans="11:17" x14ac:dyDescent="0.3">
      <c r="K5609">
        <v>2018</v>
      </c>
      <c r="L5609" t="s">
        <v>44</v>
      </c>
      <c r="M5609" t="s">
        <v>123</v>
      </c>
      <c r="N5609" t="s">
        <v>18</v>
      </c>
      <c r="O5609" t="s">
        <v>189</v>
      </c>
      <c r="P5609" s="1" t="s">
        <v>30</v>
      </c>
      <c r="Q5609">
        <v>145.5</v>
      </c>
    </row>
    <row r="5610" spans="11:17" x14ac:dyDescent="0.3">
      <c r="K5610">
        <v>2018</v>
      </c>
      <c r="L5610" t="s">
        <v>44</v>
      </c>
      <c r="M5610" t="s">
        <v>123</v>
      </c>
      <c r="N5610" t="s">
        <v>18</v>
      </c>
      <c r="O5610" t="s">
        <v>189</v>
      </c>
      <c r="P5610" s="1" t="s">
        <v>34</v>
      </c>
      <c r="Q5610">
        <v>139.1</v>
      </c>
    </row>
    <row r="5611" spans="11:17" x14ac:dyDescent="0.3">
      <c r="K5611">
        <v>2018</v>
      </c>
      <c r="L5611" t="s">
        <v>44</v>
      </c>
      <c r="M5611" t="s">
        <v>123</v>
      </c>
      <c r="N5611" t="s">
        <v>18</v>
      </c>
      <c r="O5611" t="s">
        <v>189</v>
      </c>
      <c r="P5611" s="1" t="s">
        <v>33</v>
      </c>
      <c r="Q5611">
        <v>130.19999999999999</v>
      </c>
    </row>
    <row r="5612" spans="11:17" x14ac:dyDescent="0.3">
      <c r="K5612">
        <v>2018</v>
      </c>
      <c r="L5612" t="s">
        <v>44</v>
      </c>
      <c r="M5612" t="s">
        <v>123</v>
      </c>
      <c r="N5612" t="s">
        <v>8</v>
      </c>
      <c r="O5612" t="s">
        <v>188</v>
      </c>
      <c r="P5612" s="1" t="s">
        <v>30</v>
      </c>
      <c r="Q5612">
        <v>143.9</v>
      </c>
    </row>
    <row r="5613" spans="11:17" x14ac:dyDescent="0.3">
      <c r="K5613">
        <v>2018</v>
      </c>
      <c r="L5613" t="s">
        <v>44</v>
      </c>
      <c r="M5613" t="s">
        <v>123</v>
      </c>
      <c r="N5613" t="s">
        <v>8</v>
      </c>
      <c r="O5613" t="s">
        <v>188</v>
      </c>
      <c r="P5613" s="1" t="s">
        <v>34</v>
      </c>
      <c r="Q5613">
        <v>142.80000000000001</v>
      </c>
    </row>
    <row r="5614" spans="11:17" x14ac:dyDescent="0.3">
      <c r="K5614">
        <v>2018</v>
      </c>
      <c r="L5614" t="s">
        <v>44</v>
      </c>
      <c r="M5614" t="s">
        <v>123</v>
      </c>
      <c r="N5614" t="s">
        <v>8</v>
      </c>
      <c r="O5614" t="s">
        <v>188</v>
      </c>
      <c r="P5614" s="1" t="s">
        <v>33</v>
      </c>
      <c r="Q5614">
        <v>141.5</v>
      </c>
    </row>
    <row r="5615" spans="11:17" x14ac:dyDescent="0.3">
      <c r="K5615">
        <v>2018</v>
      </c>
      <c r="L5615" t="s">
        <v>44</v>
      </c>
      <c r="M5615" t="s">
        <v>123</v>
      </c>
      <c r="N5615" t="s">
        <v>21</v>
      </c>
      <c r="O5615" t="s">
        <v>190</v>
      </c>
      <c r="P5615" s="1" t="s">
        <v>30</v>
      </c>
      <c r="Q5615">
        <v>150.30000000000001</v>
      </c>
    </row>
    <row r="5616" spans="11:17" x14ac:dyDescent="0.3">
      <c r="K5616">
        <v>2018</v>
      </c>
      <c r="L5616" t="s">
        <v>44</v>
      </c>
      <c r="M5616" t="s">
        <v>123</v>
      </c>
      <c r="N5616" t="s">
        <v>21</v>
      </c>
      <c r="O5616" t="s">
        <v>190</v>
      </c>
      <c r="P5616" s="1" t="s">
        <v>34</v>
      </c>
      <c r="Q5616">
        <v>145.1</v>
      </c>
    </row>
    <row r="5617" spans="11:17" x14ac:dyDescent="0.3">
      <c r="K5617">
        <v>2018</v>
      </c>
      <c r="L5617" t="s">
        <v>44</v>
      </c>
      <c r="M5617" t="s">
        <v>123</v>
      </c>
      <c r="N5617" t="s">
        <v>21</v>
      </c>
      <c r="O5617" t="s">
        <v>190</v>
      </c>
      <c r="P5617" s="1" t="s">
        <v>33</v>
      </c>
      <c r="Q5617">
        <v>136.69999999999999</v>
      </c>
    </row>
    <row r="5618" spans="11:17" x14ac:dyDescent="0.3">
      <c r="K5618">
        <v>2018</v>
      </c>
      <c r="L5618" t="s">
        <v>44</v>
      </c>
      <c r="M5618" t="s">
        <v>123</v>
      </c>
      <c r="N5618" t="s">
        <v>29</v>
      </c>
      <c r="O5618" t="s">
        <v>206</v>
      </c>
      <c r="P5618" s="1" t="s">
        <v>30</v>
      </c>
      <c r="Q5618">
        <v>142.4</v>
      </c>
    </row>
    <row r="5619" spans="11:17" x14ac:dyDescent="0.3">
      <c r="K5619">
        <v>2018</v>
      </c>
      <c r="L5619" t="s">
        <v>44</v>
      </c>
      <c r="M5619" t="s">
        <v>123</v>
      </c>
      <c r="N5619" t="s">
        <v>29</v>
      </c>
      <c r="O5619" t="s">
        <v>206</v>
      </c>
      <c r="P5619" s="1" t="s">
        <v>34</v>
      </c>
      <c r="Q5619">
        <v>140.80000000000001</v>
      </c>
    </row>
    <row r="5620" spans="11:17" x14ac:dyDescent="0.3">
      <c r="K5620">
        <v>2018</v>
      </c>
      <c r="L5620" t="s">
        <v>44</v>
      </c>
      <c r="M5620" t="s">
        <v>123</v>
      </c>
      <c r="N5620" t="s">
        <v>29</v>
      </c>
      <c r="O5620" t="s">
        <v>206</v>
      </c>
      <c r="P5620" s="1" t="s">
        <v>33</v>
      </c>
      <c r="Q5620">
        <v>139</v>
      </c>
    </row>
    <row r="5621" spans="11:17" x14ac:dyDescent="0.3">
      <c r="K5621">
        <v>2018</v>
      </c>
      <c r="L5621" t="s">
        <v>44</v>
      </c>
      <c r="M5621" t="s">
        <v>123</v>
      </c>
      <c r="N5621" t="s">
        <v>23</v>
      </c>
      <c r="O5621" t="s">
        <v>23</v>
      </c>
      <c r="P5621" s="1" t="s">
        <v>30</v>
      </c>
      <c r="Q5621">
        <v>145.4</v>
      </c>
    </row>
    <row r="5622" spans="11:17" x14ac:dyDescent="0.3">
      <c r="K5622">
        <v>2018</v>
      </c>
      <c r="L5622" t="s">
        <v>44</v>
      </c>
      <c r="M5622" t="s">
        <v>123</v>
      </c>
      <c r="N5622" t="s">
        <v>23</v>
      </c>
      <c r="O5622" t="s">
        <v>23</v>
      </c>
      <c r="P5622" s="1" t="s">
        <v>34</v>
      </c>
      <c r="Q5622">
        <v>142.1</v>
      </c>
    </row>
    <row r="5623" spans="11:17" x14ac:dyDescent="0.3">
      <c r="K5623">
        <v>2018</v>
      </c>
      <c r="L5623" t="s">
        <v>44</v>
      </c>
      <c r="M5623" t="s">
        <v>123</v>
      </c>
      <c r="N5623" t="s">
        <v>23</v>
      </c>
      <c r="O5623" t="s">
        <v>23</v>
      </c>
      <c r="P5623" s="1" t="s">
        <v>33</v>
      </c>
      <c r="Q5623">
        <v>136.80000000000001</v>
      </c>
    </row>
    <row r="5624" spans="11:17" x14ac:dyDescent="0.3">
      <c r="K5624">
        <v>2018</v>
      </c>
      <c r="L5624" t="s">
        <v>44</v>
      </c>
      <c r="M5624" t="s">
        <v>123</v>
      </c>
      <c r="N5624" t="s">
        <v>22</v>
      </c>
      <c r="O5624" t="s">
        <v>20</v>
      </c>
      <c r="P5624" s="1" t="s">
        <v>30</v>
      </c>
      <c r="Q5624">
        <v>148</v>
      </c>
    </row>
    <row r="5625" spans="11:17" x14ac:dyDescent="0.3">
      <c r="K5625">
        <v>2018</v>
      </c>
      <c r="L5625" t="s">
        <v>44</v>
      </c>
      <c r="M5625" t="s">
        <v>123</v>
      </c>
      <c r="N5625" t="s">
        <v>22</v>
      </c>
      <c r="O5625" t="s">
        <v>20</v>
      </c>
      <c r="P5625" s="1" t="s">
        <v>34</v>
      </c>
      <c r="Q5625">
        <v>142.19999999999999</v>
      </c>
    </row>
    <row r="5626" spans="11:17" x14ac:dyDescent="0.3">
      <c r="K5626">
        <v>2018</v>
      </c>
      <c r="L5626" t="s">
        <v>44</v>
      </c>
      <c r="M5626" t="s">
        <v>123</v>
      </c>
      <c r="N5626" t="s">
        <v>22</v>
      </c>
      <c r="O5626" t="s">
        <v>20</v>
      </c>
      <c r="P5626" s="1" t="s">
        <v>33</v>
      </c>
      <c r="Q5626">
        <v>135.80000000000001</v>
      </c>
    </row>
    <row r="5627" spans="11:17" x14ac:dyDescent="0.3">
      <c r="K5627">
        <v>2018</v>
      </c>
      <c r="L5627" t="s">
        <v>44</v>
      </c>
      <c r="M5627" t="s">
        <v>123</v>
      </c>
      <c r="N5627" t="s">
        <v>20</v>
      </c>
      <c r="O5627" t="s">
        <v>20</v>
      </c>
      <c r="P5627" s="1" t="s">
        <v>30</v>
      </c>
      <c r="Q5627">
        <v>0</v>
      </c>
    </row>
    <row r="5628" spans="11:17" x14ac:dyDescent="0.3">
      <c r="K5628">
        <v>2018</v>
      </c>
      <c r="L5628" t="s">
        <v>44</v>
      </c>
      <c r="M5628" t="s">
        <v>123</v>
      </c>
      <c r="N5628" t="s">
        <v>20</v>
      </c>
      <c r="O5628" t="s">
        <v>20</v>
      </c>
      <c r="P5628" s="1" t="s">
        <v>34</v>
      </c>
      <c r="Q5628">
        <v>146.9</v>
      </c>
    </row>
    <row r="5629" spans="11:17" x14ac:dyDescent="0.3">
      <c r="K5629">
        <v>2018</v>
      </c>
      <c r="L5629" t="s">
        <v>44</v>
      </c>
      <c r="M5629" t="s">
        <v>123</v>
      </c>
      <c r="N5629" t="s">
        <v>20</v>
      </c>
      <c r="O5629" t="s">
        <v>20</v>
      </c>
      <c r="P5629" s="1" t="s">
        <v>33</v>
      </c>
      <c r="Q5629">
        <v>146.9</v>
      </c>
    </row>
    <row r="5630" spans="11:17" x14ac:dyDescent="0.3">
      <c r="K5630">
        <v>2018</v>
      </c>
      <c r="L5630" t="s">
        <v>44</v>
      </c>
      <c r="M5630" t="s">
        <v>123</v>
      </c>
      <c r="N5630" t="s">
        <v>4</v>
      </c>
      <c r="O5630" t="s">
        <v>188</v>
      </c>
      <c r="P5630" s="1" t="s">
        <v>30</v>
      </c>
      <c r="Q5630">
        <v>150.80000000000001</v>
      </c>
    </row>
    <row r="5631" spans="11:17" x14ac:dyDescent="0.3">
      <c r="K5631">
        <v>2018</v>
      </c>
      <c r="L5631" t="s">
        <v>44</v>
      </c>
      <c r="M5631" t="s">
        <v>123</v>
      </c>
      <c r="N5631" t="s">
        <v>4</v>
      </c>
      <c r="O5631" t="s">
        <v>188</v>
      </c>
      <c r="P5631" s="1" t="s">
        <v>34</v>
      </c>
      <c r="Q5631">
        <v>149.19999999999999</v>
      </c>
    </row>
    <row r="5632" spans="11:17" x14ac:dyDescent="0.3">
      <c r="K5632">
        <v>2018</v>
      </c>
      <c r="L5632" t="s">
        <v>44</v>
      </c>
      <c r="M5632" t="s">
        <v>123</v>
      </c>
      <c r="N5632" t="s">
        <v>4</v>
      </c>
      <c r="O5632" t="s">
        <v>188</v>
      </c>
      <c r="P5632" s="1" t="s">
        <v>33</v>
      </c>
      <c r="Q5632">
        <v>146.30000000000001</v>
      </c>
    </row>
    <row r="5633" spans="11:17" x14ac:dyDescent="0.3">
      <c r="K5633">
        <v>2018</v>
      </c>
      <c r="L5633" t="s">
        <v>44</v>
      </c>
      <c r="M5633" t="s">
        <v>123</v>
      </c>
      <c r="N5633" t="s">
        <v>6</v>
      </c>
      <c r="O5633" t="s">
        <v>188</v>
      </c>
      <c r="P5633" s="1" t="s">
        <v>30</v>
      </c>
      <c r="Q5633">
        <v>141.9</v>
      </c>
    </row>
    <row r="5634" spans="11:17" x14ac:dyDescent="0.3">
      <c r="K5634">
        <v>2018</v>
      </c>
      <c r="L5634" t="s">
        <v>44</v>
      </c>
      <c r="M5634" t="s">
        <v>123</v>
      </c>
      <c r="N5634" t="s">
        <v>6</v>
      </c>
      <c r="O5634" t="s">
        <v>188</v>
      </c>
      <c r="P5634" s="1" t="s">
        <v>34</v>
      </c>
      <c r="Q5634">
        <v>141.80000000000001</v>
      </c>
    </row>
    <row r="5635" spans="11:17" x14ac:dyDescent="0.3">
      <c r="K5635">
        <v>2018</v>
      </c>
      <c r="L5635" t="s">
        <v>44</v>
      </c>
      <c r="M5635" t="s">
        <v>123</v>
      </c>
      <c r="N5635" t="s">
        <v>6</v>
      </c>
      <c r="O5635" t="s">
        <v>188</v>
      </c>
      <c r="P5635" s="1" t="s">
        <v>33</v>
      </c>
      <c r="Q5635">
        <v>141.6</v>
      </c>
    </row>
    <row r="5636" spans="11:17" x14ac:dyDescent="0.3">
      <c r="K5636">
        <v>2018</v>
      </c>
      <c r="L5636" t="s">
        <v>44</v>
      </c>
      <c r="M5636" t="s">
        <v>123</v>
      </c>
      <c r="N5636" t="s">
        <v>28</v>
      </c>
      <c r="O5636" t="s">
        <v>192</v>
      </c>
      <c r="P5636" s="1" t="s">
        <v>30</v>
      </c>
      <c r="Q5636">
        <v>140.1</v>
      </c>
    </row>
    <row r="5637" spans="11:17" x14ac:dyDescent="0.3">
      <c r="K5637">
        <v>2018</v>
      </c>
      <c r="L5637" t="s">
        <v>44</v>
      </c>
      <c r="M5637" t="s">
        <v>123</v>
      </c>
      <c r="N5637" t="s">
        <v>28</v>
      </c>
      <c r="O5637" t="s">
        <v>192</v>
      </c>
      <c r="P5637" s="1" t="s">
        <v>34</v>
      </c>
      <c r="Q5637">
        <v>136.30000000000001</v>
      </c>
    </row>
    <row r="5638" spans="11:17" x14ac:dyDescent="0.3">
      <c r="K5638">
        <v>2018</v>
      </c>
      <c r="L5638" t="s">
        <v>44</v>
      </c>
      <c r="M5638" t="s">
        <v>123</v>
      </c>
      <c r="N5638" t="s">
        <v>28</v>
      </c>
      <c r="O5638" t="s">
        <v>192</v>
      </c>
      <c r="P5638" s="1" t="s">
        <v>33</v>
      </c>
      <c r="Q5638">
        <v>132.19999999999999</v>
      </c>
    </row>
    <row r="5639" spans="11:17" x14ac:dyDescent="0.3">
      <c r="K5639">
        <v>2018</v>
      </c>
      <c r="L5639" t="s">
        <v>44</v>
      </c>
      <c r="M5639" t="s">
        <v>123</v>
      </c>
      <c r="N5639" t="s">
        <v>13</v>
      </c>
      <c r="O5639" t="s">
        <v>188</v>
      </c>
      <c r="P5639" s="1" t="s">
        <v>30</v>
      </c>
      <c r="Q5639">
        <v>137.5</v>
      </c>
    </row>
    <row r="5640" spans="11:17" x14ac:dyDescent="0.3">
      <c r="K5640">
        <v>2018</v>
      </c>
      <c r="L5640" t="s">
        <v>44</v>
      </c>
      <c r="M5640" t="s">
        <v>123</v>
      </c>
      <c r="N5640" t="s">
        <v>13</v>
      </c>
      <c r="O5640" t="s">
        <v>188</v>
      </c>
      <c r="P5640" s="1" t="s">
        <v>34</v>
      </c>
      <c r="Q5640">
        <v>133.5</v>
      </c>
    </row>
    <row r="5641" spans="11:17" x14ac:dyDescent="0.3">
      <c r="K5641">
        <v>2018</v>
      </c>
      <c r="L5641" t="s">
        <v>44</v>
      </c>
      <c r="M5641" t="s">
        <v>123</v>
      </c>
      <c r="N5641" t="s">
        <v>13</v>
      </c>
      <c r="O5641" t="s">
        <v>188</v>
      </c>
      <c r="P5641" s="1" t="s">
        <v>33</v>
      </c>
      <c r="Q5641">
        <v>128</v>
      </c>
    </row>
    <row r="5642" spans="11:17" x14ac:dyDescent="0.3">
      <c r="K5642">
        <v>2018</v>
      </c>
      <c r="L5642" t="s">
        <v>44</v>
      </c>
      <c r="M5642" t="s">
        <v>123</v>
      </c>
      <c r="N5642" t="s">
        <v>7</v>
      </c>
      <c r="O5642" t="s">
        <v>188</v>
      </c>
      <c r="P5642" s="1" t="s">
        <v>30</v>
      </c>
      <c r="Q5642">
        <v>122.8</v>
      </c>
    </row>
    <row r="5643" spans="11:17" x14ac:dyDescent="0.3">
      <c r="K5643">
        <v>2018</v>
      </c>
      <c r="L5643" t="s">
        <v>44</v>
      </c>
      <c r="M5643" t="s">
        <v>123</v>
      </c>
      <c r="N5643" t="s">
        <v>7</v>
      </c>
      <c r="O5643" t="s">
        <v>188</v>
      </c>
      <c r="P5643" s="1" t="s">
        <v>34</v>
      </c>
      <c r="Q5643">
        <v>121.1</v>
      </c>
    </row>
    <row r="5644" spans="11:17" x14ac:dyDescent="0.3">
      <c r="K5644">
        <v>2018</v>
      </c>
      <c r="L5644" t="s">
        <v>44</v>
      </c>
      <c r="M5644" t="s">
        <v>123</v>
      </c>
      <c r="N5644" t="s">
        <v>7</v>
      </c>
      <c r="O5644" t="s">
        <v>188</v>
      </c>
      <c r="P5644" s="1" t="s">
        <v>33</v>
      </c>
      <c r="Q5644">
        <v>118.1</v>
      </c>
    </row>
    <row r="5645" spans="11:17" x14ac:dyDescent="0.3">
      <c r="K5645">
        <v>2018</v>
      </c>
      <c r="L5645" t="s">
        <v>44</v>
      </c>
      <c r="M5645" t="s">
        <v>123</v>
      </c>
      <c r="N5645" t="s">
        <v>16</v>
      </c>
      <c r="O5645" t="s">
        <v>192</v>
      </c>
      <c r="P5645" s="1" t="s">
        <v>30</v>
      </c>
      <c r="Q5645">
        <v>161.9</v>
      </c>
    </row>
    <row r="5646" spans="11:17" x14ac:dyDescent="0.3">
      <c r="K5646">
        <v>2018</v>
      </c>
      <c r="L5646" t="s">
        <v>44</v>
      </c>
      <c r="M5646" t="s">
        <v>123</v>
      </c>
      <c r="N5646" t="s">
        <v>16</v>
      </c>
      <c r="O5646" t="s">
        <v>192</v>
      </c>
      <c r="P5646" s="1" t="s">
        <v>34</v>
      </c>
      <c r="Q5646">
        <v>162.6</v>
      </c>
    </row>
    <row r="5647" spans="11:17" x14ac:dyDescent="0.3">
      <c r="K5647">
        <v>2018</v>
      </c>
      <c r="L5647" t="s">
        <v>44</v>
      </c>
      <c r="M5647" t="s">
        <v>123</v>
      </c>
      <c r="N5647" t="s">
        <v>16</v>
      </c>
      <c r="O5647" t="s">
        <v>192</v>
      </c>
      <c r="P5647" s="1" t="s">
        <v>33</v>
      </c>
      <c r="Q5647">
        <v>164.4</v>
      </c>
    </row>
    <row r="5648" spans="11:17" x14ac:dyDescent="0.3">
      <c r="K5648">
        <v>2018</v>
      </c>
      <c r="L5648" t="s">
        <v>44</v>
      </c>
      <c r="M5648" t="s">
        <v>123</v>
      </c>
      <c r="N5648" t="s">
        <v>27</v>
      </c>
      <c r="O5648" t="s">
        <v>192</v>
      </c>
      <c r="P5648" s="1" t="s">
        <v>30</v>
      </c>
      <c r="Q5648">
        <v>133.1</v>
      </c>
    </row>
    <row r="5649" spans="11:17" x14ac:dyDescent="0.3">
      <c r="K5649">
        <v>2018</v>
      </c>
      <c r="L5649" t="s">
        <v>44</v>
      </c>
      <c r="M5649" t="s">
        <v>123</v>
      </c>
      <c r="N5649" t="s">
        <v>27</v>
      </c>
      <c r="O5649" t="s">
        <v>192</v>
      </c>
      <c r="P5649" s="1" t="s">
        <v>34</v>
      </c>
      <c r="Q5649">
        <v>132</v>
      </c>
    </row>
    <row r="5650" spans="11:17" x14ac:dyDescent="0.3">
      <c r="K5650">
        <v>2018</v>
      </c>
      <c r="L5650" t="s">
        <v>44</v>
      </c>
      <c r="M5650" t="s">
        <v>123</v>
      </c>
      <c r="N5650" t="s">
        <v>27</v>
      </c>
      <c r="O5650" t="s">
        <v>192</v>
      </c>
      <c r="P5650" s="1" t="s">
        <v>33</v>
      </c>
      <c r="Q5650">
        <v>130.5</v>
      </c>
    </row>
    <row r="5651" spans="11:17" x14ac:dyDescent="0.3">
      <c r="K5651">
        <v>2018</v>
      </c>
      <c r="L5651" t="s">
        <v>44</v>
      </c>
      <c r="M5651" t="s">
        <v>123</v>
      </c>
      <c r="N5651" t="s">
        <v>14</v>
      </c>
      <c r="O5651" t="s">
        <v>188</v>
      </c>
      <c r="P5651" s="1" t="s">
        <v>30</v>
      </c>
      <c r="Q5651">
        <v>156.1</v>
      </c>
    </row>
    <row r="5652" spans="11:17" x14ac:dyDescent="0.3">
      <c r="K5652">
        <v>2018</v>
      </c>
      <c r="L5652" t="s">
        <v>44</v>
      </c>
      <c r="M5652" t="s">
        <v>123</v>
      </c>
      <c r="N5652" t="s">
        <v>14</v>
      </c>
      <c r="O5652" t="s">
        <v>188</v>
      </c>
      <c r="P5652" s="1" t="s">
        <v>34</v>
      </c>
      <c r="Q5652">
        <v>154.5</v>
      </c>
    </row>
    <row r="5653" spans="11:17" x14ac:dyDescent="0.3">
      <c r="K5653">
        <v>2018</v>
      </c>
      <c r="L5653" t="s">
        <v>44</v>
      </c>
      <c r="M5653" t="s">
        <v>123</v>
      </c>
      <c r="N5653" t="s">
        <v>14</v>
      </c>
      <c r="O5653" t="s">
        <v>188</v>
      </c>
      <c r="P5653" s="1" t="s">
        <v>33</v>
      </c>
      <c r="Q5653">
        <v>152.6</v>
      </c>
    </row>
    <row r="5654" spans="11:17" x14ac:dyDescent="0.3">
      <c r="K5654">
        <v>2018</v>
      </c>
      <c r="L5654" t="s">
        <v>44</v>
      </c>
      <c r="M5654" t="s">
        <v>123</v>
      </c>
      <c r="N5654" t="s">
        <v>10</v>
      </c>
      <c r="O5654" t="s">
        <v>188</v>
      </c>
      <c r="P5654" s="1" t="s">
        <v>30</v>
      </c>
      <c r="Q5654">
        <v>121</v>
      </c>
    </row>
    <row r="5655" spans="11:17" x14ac:dyDescent="0.3">
      <c r="K5655">
        <v>2018</v>
      </c>
      <c r="L5655" t="s">
        <v>44</v>
      </c>
      <c r="M5655" t="s">
        <v>123</v>
      </c>
      <c r="N5655" t="s">
        <v>10</v>
      </c>
      <c r="O5655" t="s">
        <v>188</v>
      </c>
      <c r="P5655" s="1" t="s">
        <v>34</v>
      </c>
      <c r="Q5655">
        <v>119.1</v>
      </c>
    </row>
    <row r="5656" spans="11:17" x14ac:dyDescent="0.3">
      <c r="K5656">
        <v>2018</v>
      </c>
      <c r="L5656" t="s">
        <v>44</v>
      </c>
      <c r="M5656" t="s">
        <v>123</v>
      </c>
      <c r="N5656" t="s">
        <v>10</v>
      </c>
      <c r="O5656" t="s">
        <v>188</v>
      </c>
      <c r="P5656" s="1" t="s">
        <v>33</v>
      </c>
      <c r="Q5656">
        <v>115.3</v>
      </c>
    </row>
    <row r="5657" spans="11:17" x14ac:dyDescent="0.3">
      <c r="K5657">
        <v>2018</v>
      </c>
      <c r="L5657" t="s">
        <v>44</v>
      </c>
      <c r="M5657" t="s">
        <v>123</v>
      </c>
      <c r="N5657" t="s">
        <v>25</v>
      </c>
      <c r="O5657" t="s">
        <v>195</v>
      </c>
      <c r="P5657" s="1" t="s">
        <v>30</v>
      </c>
      <c r="Q5657">
        <v>143.1</v>
      </c>
    </row>
    <row r="5658" spans="11:17" x14ac:dyDescent="0.3">
      <c r="K5658">
        <v>2018</v>
      </c>
      <c r="L5658" t="s">
        <v>44</v>
      </c>
      <c r="M5658" t="s">
        <v>123</v>
      </c>
      <c r="N5658" t="s">
        <v>25</v>
      </c>
      <c r="O5658" t="s">
        <v>195</v>
      </c>
      <c r="P5658" s="1" t="s">
        <v>34</v>
      </c>
      <c r="Q5658">
        <v>136.5</v>
      </c>
    </row>
    <row r="5659" spans="11:17" x14ac:dyDescent="0.3">
      <c r="K5659">
        <v>2018</v>
      </c>
      <c r="L5659" t="s">
        <v>44</v>
      </c>
      <c r="M5659" t="s">
        <v>123</v>
      </c>
      <c r="N5659" t="s">
        <v>25</v>
      </c>
      <c r="O5659" t="s">
        <v>195</v>
      </c>
      <c r="P5659" s="1" t="s">
        <v>33</v>
      </c>
      <c r="Q5659">
        <v>131.30000000000001</v>
      </c>
    </row>
    <row r="5660" spans="11:17" x14ac:dyDescent="0.3">
      <c r="K5660">
        <v>2018</v>
      </c>
      <c r="L5660" t="s">
        <v>44</v>
      </c>
      <c r="M5660" t="s">
        <v>123</v>
      </c>
      <c r="N5660" t="s">
        <v>12</v>
      </c>
      <c r="O5660" t="s">
        <v>188</v>
      </c>
      <c r="P5660" s="1" t="s">
        <v>30</v>
      </c>
      <c r="Q5660">
        <v>140.6</v>
      </c>
    </row>
    <row r="5661" spans="11:17" x14ac:dyDescent="0.3">
      <c r="K5661">
        <v>2018</v>
      </c>
      <c r="L5661" t="s">
        <v>44</v>
      </c>
      <c r="M5661" t="s">
        <v>123</v>
      </c>
      <c r="N5661" t="s">
        <v>12</v>
      </c>
      <c r="O5661" t="s">
        <v>188</v>
      </c>
      <c r="P5661" s="1" t="s">
        <v>34</v>
      </c>
      <c r="Q5661">
        <v>140.9</v>
      </c>
    </row>
    <row r="5662" spans="11:17" x14ac:dyDescent="0.3">
      <c r="K5662">
        <v>2018</v>
      </c>
      <c r="L5662" t="s">
        <v>44</v>
      </c>
      <c r="M5662" t="s">
        <v>123</v>
      </c>
      <c r="N5662" t="s">
        <v>12</v>
      </c>
      <c r="O5662" t="s">
        <v>188</v>
      </c>
      <c r="P5662" s="1" t="s">
        <v>33</v>
      </c>
      <c r="Q5662">
        <v>141.4</v>
      </c>
    </row>
    <row r="5663" spans="11:17" x14ac:dyDescent="0.3">
      <c r="K5663">
        <v>2018</v>
      </c>
      <c r="L5663" t="s">
        <v>44</v>
      </c>
      <c r="M5663" t="s">
        <v>123</v>
      </c>
      <c r="N5663" t="s">
        <v>11</v>
      </c>
      <c r="O5663" t="s">
        <v>188</v>
      </c>
      <c r="P5663" s="1" t="s">
        <v>30</v>
      </c>
      <c r="Q5663">
        <v>111.6</v>
      </c>
    </row>
    <row r="5664" spans="11:17" x14ac:dyDescent="0.3">
      <c r="K5664">
        <v>2018</v>
      </c>
      <c r="L5664" t="s">
        <v>44</v>
      </c>
      <c r="M5664" t="s">
        <v>123</v>
      </c>
      <c r="N5664" t="s">
        <v>11</v>
      </c>
      <c r="O5664" t="s">
        <v>188</v>
      </c>
      <c r="P5664" s="1" t="s">
        <v>34</v>
      </c>
      <c r="Q5664">
        <v>111.9</v>
      </c>
    </row>
    <row r="5665" spans="11:17" x14ac:dyDescent="0.3">
      <c r="K5665">
        <v>2018</v>
      </c>
      <c r="L5665" t="s">
        <v>44</v>
      </c>
      <c r="M5665" t="s">
        <v>123</v>
      </c>
      <c r="N5665" t="s">
        <v>11</v>
      </c>
      <c r="O5665" t="s">
        <v>188</v>
      </c>
      <c r="P5665" s="1" t="s">
        <v>33</v>
      </c>
      <c r="Q5665">
        <v>112.5</v>
      </c>
    </row>
    <row r="5666" spans="11:17" x14ac:dyDescent="0.3">
      <c r="K5666">
        <v>2018</v>
      </c>
      <c r="L5666" t="s">
        <v>44</v>
      </c>
      <c r="M5666" t="s">
        <v>123</v>
      </c>
      <c r="N5666" t="s">
        <v>24</v>
      </c>
      <c r="O5666" t="s">
        <v>191</v>
      </c>
      <c r="P5666" s="1" t="s">
        <v>30</v>
      </c>
      <c r="Q5666">
        <v>130.30000000000001</v>
      </c>
    </row>
    <row r="5667" spans="11:17" x14ac:dyDescent="0.3">
      <c r="K5667">
        <v>2018</v>
      </c>
      <c r="L5667" t="s">
        <v>44</v>
      </c>
      <c r="M5667" t="s">
        <v>123</v>
      </c>
      <c r="N5667" t="s">
        <v>24</v>
      </c>
      <c r="O5667" t="s">
        <v>191</v>
      </c>
      <c r="P5667" s="1" t="s">
        <v>34</v>
      </c>
      <c r="Q5667">
        <v>125.5</v>
      </c>
    </row>
    <row r="5668" spans="11:17" x14ac:dyDescent="0.3">
      <c r="K5668">
        <v>2018</v>
      </c>
      <c r="L5668" t="s">
        <v>44</v>
      </c>
      <c r="M5668" t="s">
        <v>123</v>
      </c>
      <c r="N5668" t="s">
        <v>24</v>
      </c>
      <c r="O5668" t="s">
        <v>191</v>
      </c>
      <c r="P5668" s="1" t="s">
        <v>33</v>
      </c>
      <c r="Q5668">
        <v>121.2</v>
      </c>
    </row>
    <row r="5669" spans="11:17" x14ac:dyDescent="0.3">
      <c r="K5669">
        <v>2018</v>
      </c>
      <c r="L5669" t="s">
        <v>44</v>
      </c>
      <c r="M5669" t="s">
        <v>123</v>
      </c>
      <c r="N5669" t="s">
        <v>9</v>
      </c>
      <c r="O5669" t="s">
        <v>188</v>
      </c>
      <c r="P5669" s="1" t="s">
        <v>30</v>
      </c>
      <c r="Q5669">
        <v>147.5</v>
      </c>
    </row>
    <row r="5670" spans="11:17" x14ac:dyDescent="0.3">
      <c r="K5670">
        <v>2018</v>
      </c>
      <c r="L5670" t="s">
        <v>44</v>
      </c>
      <c r="M5670" t="s">
        <v>123</v>
      </c>
      <c r="N5670" t="s">
        <v>9</v>
      </c>
      <c r="O5670" t="s">
        <v>188</v>
      </c>
      <c r="P5670" s="1" t="s">
        <v>34</v>
      </c>
      <c r="Q5670">
        <v>146.69999999999999</v>
      </c>
    </row>
    <row r="5671" spans="11:17" x14ac:dyDescent="0.3">
      <c r="K5671">
        <v>2018</v>
      </c>
      <c r="L5671" t="s">
        <v>44</v>
      </c>
      <c r="M5671" t="s">
        <v>123</v>
      </c>
      <c r="N5671" t="s">
        <v>9</v>
      </c>
      <c r="O5671" t="s">
        <v>188</v>
      </c>
      <c r="P5671" s="1" t="s">
        <v>33</v>
      </c>
      <c r="Q5671">
        <v>145.19999999999999</v>
      </c>
    </row>
    <row r="5672" spans="11:17" x14ac:dyDescent="0.3">
      <c r="K5672">
        <v>2018</v>
      </c>
      <c r="L5672" t="s">
        <v>43</v>
      </c>
      <c r="M5672" t="s">
        <v>124</v>
      </c>
      <c r="N5672" t="s">
        <v>3</v>
      </c>
      <c r="O5672" t="s">
        <v>188</v>
      </c>
      <c r="P5672" s="1" t="s">
        <v>30</v>
      </c>
      <c r="Q5672">
        <v>139.30000000000001</v>
      </c>
    </row>
    <row r="5673" spans="11:17" x14ac:dyDescent="0.3">
      <c r="K5673">
        <v>2018</v>
      </c>
      <c r="L5673" t="s">
        <v>43</v>
      </c>
      <c r="M5673" t="s">
        <v>124</v>
      </c>
      <c r="N5673" t="s">
        <v>3</v>
      </c>
      <c r="O5673" t="s">
        <v>188</v>
      </c>
      <c r="P5673" s="1" t="s">
        <v>34</v>
      </c>
      <c r="Q5673">
        <v>137.4</v>
      </c>
    </row>
    <row r="5674" spans="11:17" x14ac:dyDescent="0.3">
      <c r="K5674">
        <v>2018</v>
      </c>
      <c r="L5674" t="s">
        <v>43</v>
      </c>
      <c r="M5674" t="s">
        <v>124</v>
      </c>
      <c r="N5674" t="s">
        <v>3</v>
      </c>
      <c r="O5674" t="s">
        <v>188</v>
      </c>
      <c r="P5674" s="1" t="s">
        <v>33</v>
      </c>
      <c r="Q5674">
        <v>137.6</v>
      </c>
    </row>
    <row r="5675" spans="11:17" x14ac:dyDescent="0.3">
      <c r="K5675">
        <v>2018</v>
      </c>
      <c r="L5675" t="s">
        <v>43</v>
      </c>
      <c r="M5675" t="s">
        <v>124</v>
      </c>
      <c r="N5675" t="s">
        <v>17</v>
      </c>
      <c r="O5675" t="s">
        <v>189</v>
      </c>
      <c r="P5675" s="1" t="s">
        <v>30</v>
      </c>
      <c r="Q5675">
        <v>150.69999999999999</v>
      </c>
    </row>
    <row r="5676" spans="11:17" x14ac:dyDescent="0.3">
      <c r="K5676">
        <v>2018</v>
      </c>
      <c r="L5676" t="s">
        <v>43</v>
      </c>
      <c r="M5676" t="s">
        <v>124</v>
      </c>
      <c r="N5676" t="s">
        <v>17</v>
      </c>
      <c r="O5676" t="s">
        <v>189</v>
      </c>
      <c r="P5676" s="1" t="s">
        <v>34</v>
      </c>
      <c r="Q5676">
        <v>148</v>
      </c>
    </row>
    <row r="5677" spans="11:17" x14ac:dyDescent="0.3">
      <c r="K5677">
        <v>2018</v>
      </c>
      <c r="L5677" t="s">
        <v>43</v>
      </c>
      <c r="M5677" t="s">
        <v>124</v>
      </c>
      <c r="N5677" t="s">
        <v>17</v>
      </c>
      <c r="O5677" t="s">
        <v>189</v>
      </c>
      <c r="P5677" s="1" t="s">
        <v>33</v>
      </c>
      <c r="Q5677">
        <v>141.5</v>
      </c>
    </row>
    <row r="5678" spans="11:17" x14ac:dyDescent="0.3">
      <c r="K5678">
        <v>2018</v>
      </c>
      <c r="L5678" t="s">
        <v>43</v>
      </c>
      <c r="M5678" t="s">
        <v>124</v>
      </c>
      <c r="N5678" t="s">
        <v>19</v>
      </c>
      <c r="O5678" t="s">
        <v>189</v>
      </c>
      <c r="P5678" s="1" t="s">
        <v>30</v>
      </c>
      <c r="Q5678">
        <v>149.80000000000001</v>
      </c>
    </row>
    <row r="5679" spans="11:17" x14ac:dyDescent="0.3">
      <c r="K5679">
        <v>2018</v>
      </c>
      <c r="L5679" t="s">
        <v>43</v>
      </c>
      <c r="M5679" t="s">
        <v>124</v>
      </c>
      <c r="N5679" t="s">
        <v>19</v>
      </c>
      <c r="O5679" t="s">
        <v>189</v>
      </c>
      <c r="P5679" s="1" t="s">
        <v>34</v>
      </c>
      <c r="Q5679">
        <v>146.80000000000001</v>
      </c>
    </row>
    <row r="5680" spans="11:17" x14ac:dyDescent="0.3">
      <c r="K5680">
        <v>2018</v>
      </c>
      <c r="L5680" t="s">
        <v>43</v>
      </c>
      <c r="M5680" t="s">
        <v>124</v>
      </c>
      <c r="N5680" t="s">
        <v>19</v>
      </c>
      <c r="O5680" t="s">
        <v>189</v>
      </c>
      <c r="P5680" s="1" t="s">
        <v>33</v>
      </c>
      <c r="Q5680">
        <v>139.69999999999999</v>
      </c>
    </row>
    <row r="5681" spans="11:17" x14ac:dyDescent="0.3">
      <c r="K5681">
        <v>2018</v>
      </c>
      <c r="L5681" t="s">
        <v>43</v>
      </c>
      <c r="M5681" t="s">
        <v>124</v>
      </c>
      <c r="N5681" t="s">
        <v>26</v>
      </c>
      <c r="O5681" t="s">
        <v>26</v>
      </c>
      <c r="P5681" s="1" t="s">
        <v>30</v>
      </c>
      <c r="Q5681">
        <v>148</v>
      </c>
    </row>
    <row r="5682" spans="11:17" x14ac:dyDescent="0.3">
      <c r="K5682">
        <v>2018</v>
      </c>
      <c r="L5682" t="s">
        <v>43</v>
      </c>
      <c r="M5682" t="s">
        <v>124</v>
      </c>
      <c r="N5682" t="s">
        <v>26</v>
      </c>
      <c r="O5682" t="s">
        <v>26</v>
      </c>
      <c r="P5682" s="1" t="s">
        <v>34</v>
      </c>
      <c r="Q5682">
        <v>147.80000000000001</v>
      </c>
    </row>
    <row r="5683" spans="11:17" x14ac:dyDescent="0.3">
      <c r="K5683">
        <v>2018</v>
      </c>
      <c r="L5683" t="s">
        <v>43</v>
      </c>
      <c r="M5683" t="s">
        <v>124</v>
      </c>
      <c r="N5683" t="s">
        <v>26</v>
      </c>
      <c r="O5683" t="s">
        <v>26</v>
      </c>
      <c r="P5683" s="1" t="s">
        <v>33</v>
      </c>
      <c r="Q5683">
        <v>145.5</v>
      </c>
    </row>
    <row r="5684" spans="11:17" x14ac:dyDescent="0.3">
      <c r="K5684">
        <v>2018</v>
      </c>
      <c r="L5684" t="s">
        <v>43</v>
      </c>
      <c r="M5684" t="s">
        <v>124</v>
      </c>
      <c r="N5684" t="s">
        <v>5</v>
      </c>
      <c r="O5684" t="s">
        <v>188</v>
      </c>
      <c r="P5684" s="1" t="s">
        <v>30</v>
      </c>
      <c r="Q5684">
        <v>134.6</v>
      </c>
    </row>
    <row r="5685" spans="11:17" x14ac:dyDescent="0.3">
      <c r="K5685">
        <v>2018</v>
      </c>
      <c r="L5685" t="s">
        <v>43</v>
      </c>
      <c r="M5685" t="s">
        <v>124</v>
      </c>
      <c r="N5685" t="s">
        <v>5</v>
      </c>
      <c r="O5685" t="s">
        <v>188</v>
      </c>
      <c r="P5685" s="1" t="s">
        <v>34</v>
      </c>
      <c r="Q5685">
        <v>137.30000000000001</v>
      </c>
    </row>
    <row r="5686" spans="11:17" x14ac:dyDescent="0.3">
      <c r="K5686">
        <v>2018</v>
      </c>
      <c r="L5686" t="s">
        <v>43</v>
      </c>
      <c r="M5686" t="s">
        <v>124</v>
      </c>
      <c r="N5686" t="s">
        <v>5</v>
      </c>
      <c r="O5686" t="s">
        <v>188</v>
      </c>
      <c r="P5686" s="1" t="s">
        <v>33</v>
      </c>
      <c r="Q5686">
        <v>133.5</v>
      </c>
    </row>
    <row r="5687" spans="11:17" x14ac:dyDescent="0.3">
      <c r="K5687">
        <v>2018</v>
      </c>
      <c r="L5687" t="s">
        <v>43</v>
      </c>
      <c r="M5687" t="s">
        <v>124</v>
      </c>
      <c r="N5687" t="s">
        <v>15</v>
      </c>
      <c r="O5687" t="s">
        <v>188</v>
      </c>
      <c r="P5687" s="1" t="s">
        <v>30</v>
      </c>
      <c r="Q5687">
        <v>140.19999999999999</v>
      </c>
    </row>
    <row r="5688" spans="11:17" x14ac:dyDescent="0.3">
      <c r="K5688">
        <v>2018</v>
      </c>
      <c r="L5688" t="s">
        <v>43</v>
      </c>
      <c r="M5688" t="s">
        <v>124</v>
      </c>
      <c r="N5688" t="s">
        <v>15</v>
      </c>
      <c r="O5688" t="s">
        <v>188</v>
      </c>
      <c r="P5688" s="1" t="s">
        <v>34</v>
      </c>
      <c r="Q5688">
        <v>139.69999999999999</v>
      </c>
    </row>
    <row r="5689" spans="11:17" x14ac:dyDescent="0.3">
      <c r="K5689">
        <v>2018</v>
      </c>
      <c r="L5689" t="s">
        <v>43</v>
      </c>
      <c r="M5689" t="s">
        <v>124</v>
      </c>
      <c r="N5689" t="s">
        <v>15</v>
      </c>
      <c r="O5689" t="s">
        <v>188</v>
      </c>
      <c r="P5689" s="1" t="s">
        <v>33</v>
      </c>
      <c r="Q5689">
        <v>139.4</v>
      </c>
    </row>
    <row r="5690" spans="11:17" x14ac:dyDescent="0.3">
      <c r="K5690">
        <v>2018</v>
      </c>
      <c r="L5690" t="s">
        <v>43</v>
      </c>
      <c r="M5690" t="s">
        <v>124</v>
      </c>
      <c r="N5690" t="s">
        <v>18</v>
      </c>
      <c r="O5690" t="s">
        <v>189</v>
      </c>
      <c r="P5690" s="1" t="s">
        <v>30</v>
      </c>
      <c r="Q5690">
        <v>144.5</v>
      </c>
    </row>
    <row r="5691" spans="11:17" x14ac:dyDescent="0.3">
      <c r="K5691">
        <v>2018</v>
      </c>
      <c r="L5691" t="s">
        <v>43</v>
      </c>
      <c r="M5691" t="s">
        <v>124</v>
      </c>
      <c r="N5691" t="s">
        <v>18</v>
      </c>
      <c r="O5691" t="s">
        <v>189</v>
      </c>
      <c r="P5691" s="1" t="s">
        <v>34</v>
      </c>
      <c r="Q5691">
        <v>139.19999999999999</v>
      </c>
    </row>
    <row r="5692" spans="11:17" x14ac:dyDescent="0.3">
      <c r="K5692">
        <v>2018</v>
      </c>
      <c r="L5692" t="s">
        <v>43</v>
      </c>
      <c r="M5692" t="s">
        <v>124</v>
      </c>
      <c r="N5692" t="s">
        <v>18</v>
      </c>
      <c r="O5692" t="s">
        <v>189</v>
      </c>
      <c r="P5692" s="1" t="s">
        <v>33</v>
      </c>
      <c r="Q5692">
        <v>129.80000000000001</v>
      </c>
    </row>
    <row r="5693" spans="11:17" x14ac:dyDescent="0.3">
      <c r="K5693">
        <v>2018</v>
      </c>
      <c r="L5693" t="s">
        <v>43</v>
      </c>
      <c r="M5693" t="s">
        <v>124</v>
      </c>
      <c r="N5693" t="s">
        <v>8</v>
      </c>
      <c r="O5693" t="s">
        <v>188</v>
      </c>
      <c r="P5693" s="1" t="s">
        <v>30</v>
      </c>
      <c r="Q5693">
        <v>144.5</v>
      </c>
    </row>
    <row r="5694" spans="11:17" x14ac:dyDescent="0.3">
      <c r="K5694">
        <v>2018</v>
      </c>
      <c r="L5694" t="s">
        <v>43</v>
      </c>
      <c r="M5694" t="s">
        <v>124</v>
      </c>
      <c r="N5694" t="s">
        <v>8</v>
      </c>
      <c r="O5694" t="s">
        <v>188</v>
      </c>
      <c r="P5694" s="1" t="s">
        <v>34</v>
      </c>
      <c r="Q5694">
        <v>142.5</v>
      </c>
    </row>
    <row r="5695" spans="11:17" x14ac:dyDescent="0.3">
      <c r="K5695">
        <v>2018</v>
      </c>
      <c r="L5695" t="s">
        <v>43</v>
      </c>
      <c r="M5695" t="s">
        <v>124</v>
      </c>
      <c r="N5695" t="s">
        <v>8</v>
      </c>
      <c r="O5695" t="s">
        <v>188</v>
      </c>
      <c r="P5695" s="1" t="s">
        <v>33</v>
      </c>
      <c r="Q5695">
        <v>139.5</v>
      </c>
    </row>
    <row r="5696" spans="11:17" x14ac:dyDescent="0.3">
      <c r="K5696">
        <v>2018</v>
      </c>
      <c r="L5696" t="s">
        <v>43</v>
      </c>
      <c r="M5696" t="s">
        <v>124</v>
      </c>
      <c r="N5696" t="s">
        <v>21</v>
      </c>
      <c r="O5696" t="s">
        <v>190</v>
      </c>
      <c r="P5696" s="1" t="s">
        <v>30</v>
      </c>
      <c r="Q5696">
        <v>149.69999999999999</v>
      </c>
    </row>
    <row r="5697" spans="11:17" x14ac:dyDescent="0.3">
      <c r="K5697">
        <v>2018</v>
      </c>
      <c r="L5697" t="s">
        <v>43</v>
      </c>
      <c r="M5697" t="s">
        <v>124</v>
      </c>
      <c r="N5697" t="s">
        <v>21</v>
      </c>
      <c r="O5697" t="s">
        <v>190</v>
      </c>
      <c r="P5697" s="1" t="s">
        <v>34</v>
      </c>
      <c r="Q5697">
        <v>145.30000000000001</v>
      </c>
    </row>
    <row r="5698" spans="11:17" x14ac:dyDescent="0.3">
      <c r="K5698">
        <v>2018</v>
      </c>
      <c r="L5698" t="s">
        <v>43</v>
      </c>
      <c r="M5698" t="s">
        <v>124</v>
      </c>
      <c r="N5698" t="s">
        <v>21</v>
      </c>
      <c r="O5698" t="s">
        <v>190</v>
      </c>
      <c r="P5698" s="1" t="s">
        <v>33</v>
      </c>
      <c r="Q5698">
        <v>133.4</v>
      </c>
    </row>
    <row r="5699" spans="11:17" x14ac:dyDescent="0.3">
      <c r="K5699">
        <v>2018</v>
      </c>
      <c r="L5699" t="s">
        <v>43</v>
      </c>
      <c r="M5699" t="s">
        <v>124</v>
      </c>
      <c r="N5699" t="s">
        <v>29</v>
      </c>
      <c r="O5699" t="s">
        <v>206</v>
      </c>
      <c r="P5699" s="1" t="s">
        <v>30</v>
      </c>
      <c r="Q5699">
        <v>142.19999999999999</v>
      </c>
    </row>
    <row r="5700" spans="11:17" x14ac:dyDescent="0.3">
      <c r="K5700">
        <v>2018</v>
      </c>
      <c r="L5700" t="s">
        <v>43</v>
      </c>
      <c r="M5700" t="s">
        <v>124</v>
      </c>
      <c r="N5700" t="s">
        <v>29</v>
      </c>
      <c r="O5700" t="s">
        <v>206</v>
      </c>
      <c r="P5700" s="1" t="s">
        <v>34</v>
      </c>
      <c r="Q5700">
        <v>140.80000000000001</v>
      </c>
    </row>
    <row r="5701" spans="11:17" x14ac:dyDescent="0.3">
      <c r="K5701">
        <v>2018</v>
      </c>
      <c r="L5701" t="s">
        <v>43</v>
      </c>
      <c r="M5701" t="s">
        <v>124</v>
      </c>
      <c r="N5701" t="s">
        <v>29</v>
      </c>
      <c r="O5701" t="s">
        <v>206</v>
      </c>
      <c r="P5701" s="1" t="s">
        <v>33</v>
      </c>
      <c r="Q5701">
        <v>138.9</v>
      </c>
    </row>
    <row r="5702" spans="11:17" x14ac:dyDescent="0.3">
      <c r="K5702">
        <v>2018</v>
      </c>
      <c r="L5702" t="s">
        <v>43</v>
      </c>
      <c r="M5702" t="s">
        <v>124</v>
      </c>
      <c r="N5702" t="s">
        <v>23</v>
      </c>
      <c r="O5702" t="s">
        <v>23</v>
      </c>
      <c r="P5702" s="1" t="s">
        <v>30</v>
      </c>
      <c r="Q5702">
        <v>144.80000000000001</v>
      </c>
    </row>
    <row r="5703" spans="11:17" x14ac:dyDescent="0.3">
      <c r="K5703">
        <v>2018</v>
      </c>
      <c r="L5703" t="s">
        <v>43</v>
      </c>
      <c r="M5703" t="s">
        <v>124</v>
      </c>
      <c r="N5703" t="s">
        <v>23</v>
      </c>
      <c r="O5703" t="s">
        <v>23</v>
      </c>
      <c r="P5703" s="1" t="s">
        <v>34</v>
      </c>
      <c r="Q5703">
        <v>142.1</v>
      </c>
    </row>
    <row r="5704" spans="11:17" x14ac:dyDescent="0.3">
      <c r="K5704">
        <v>2018</v>
      </c>
      <c r="L5704" t="s">
        <v>43</v>
      </c>
      <c r="M5704" t="s">
        <v>124</v>
      </c>
      <c r="N5704" t="s">
        <v>23</v>
      </c>
      <c r="O5704" t="s">
        <v>23</v>
      </c>
      <c r="P5704" s="1" t="s">
        <v>33</v>
      </c>
      <c r="Q5704">
        <v>136.19999999999999</v>
      </c>
    </row>
    <row r="5705" spans="11:17" x14ac:dyDescent="0.3">
      <c r="K5705">
        <v>2018</v>
      </c>
      <c r="L5705" t="s">
        <v>43</v>
      </c>
      <c r="M5705" t="s">
        <v>124</v>
      </c>
      <c r="N5705" t="s">
        <v>22</v>
      </c>
      <c r="O5705" t="s">
        <v>20</v>
      </c>
      <c r="P5705" s="1" t="s">
        <v>30</v>
      </c>
      <c r="Q5705">
        <v>147.5</v>
      </c>
    </row>
    <row r="5706" spans="11:17" x14ac:dyDescent="0.3">
      <c r="K5706">
        <v>2018</v>
      </c>
      <c r="L5706" t="s">
        <v>43</v>
      </c>
      <c r="M5706" t="s">
        <v>124</v>
      </c>
      <c r="N5706" t="s">
        <v>22</v>
      </c>
      <c r="O5706" t="s">
        <v>20</v>
      </c>
      <c r="P5706" s="1" t="s">
        <v>34</v>
      </c>
      <c r="Q5706">
        <v>142.19999999999999</v>
      </c>
    </row>
    <row r="5707" spans="11:17" x14ac:dyDescent="0.3">
      <c r="K5707">
        <v>2018</v>
      </c>
      <c r="L5707" t="s">
        <v>43</v>
      </c>
      <c r="M5707" t="s">
        <v>124</v>
      </c>
      <c r="N5707" t="s">
        <v>22</v>
      </c>
      <c r="O5707" t="s">
        <v>20</v>
      </c>
      <c r="P5707" s="1" t="s">
        <v>33</v>
      </c>
      <c r="Q5707">
        <v>135.1</v>
      </c>
    </row>
    <row r="5708" spans="11:17" x14ac:dyDescent="0.3">
      <c r="K5708">
        <v>2018</v>
      </c>
      <c r="L5708" t="s">
        <v>43</v>
      </c>
      <c r="M5708" t="s">
        <v>124</v>
      </c>
      <c r="N5708" t="s">
        <v>20</v>
      </c>
      <c r="O5708" t="s">
        <v>20</v>
      </c>
      <c r="P5708" s="1" t="s">
        <v>30</v>
      </c>
      <c r="Q5708">
        <v>0</v>
      </c>
    </row>
    <row r="5709" spans="11:17" x14ac:dyDescent="0.3">
      <c r="K5709">
        <v>2018</v>
      </c>
      <c r="L5709" t="s">
        <v>43</v>
      </c>
      <c r="M5709" t="s">
        <v>124</v>
      </c>
      <c r="N5709" t="s">
        <v>20</v>
      </c>
      <c r="O5709" t="s">
        <v>20</v>
      </c>
      <c r="P5709" s="1" t="s">
        <v>34</v>
      </c>
      <c r="Q5709">
        <v>146.9</v>
      </c>
    </row>
    <row r="5710" spans="11:17" x14ac:dyDescent="0.3">
      <c r="K5710">
        <v>2018</v>
      </c>
      <c r="L5710" t="s">
        <v>43</v>
      </c>
      <c r="M5710" t="s">
        <v>124</v>
      </c>
      <c r="N5710" t="s">
        <v>20</v>
      </c>
      <c r="O5710" t="s">
        <v>20</v>
      </c>
      <c r="P5710" s="1" t="s">
        <v>33</v>
      </c>
      <c r="Q5710">
        <v>146.30000000000001</v>
      </c>
    </row>
    <row r="5711" spans="11:17" x14ac:dyDescent="0.3">
      <c r="K5711">
        <v>2018</v>
      </c>
      <c r="L5711" t="s">
        <v>43</v>
      </c>
      <c r="M5711" t="s">
        <v>124</v>
      </c>
      <c r="N5711" t="s">
        <v>4</v>
      </c>
      <c r="O5711" t="s">
        <v>188</v>
      </c>
      <c r="P5711" s="1" t="s">
        <v>30</v>
      </c>
      <c r="Q5711">
        <v>147.6</v>
      </c>
    </row>
    <row r="5712" spans="11:17" x14ac:dyDescent="0.3">
      <c r="K5712">
        <v>2018</v>
      </c>
      <c r="L5712" t="s">
        <v>43</v>
      </c>
      <c r="M5712" t="s">
        <v>124</v>
      </c>
      <c r="N5712" t="s">
        <v>4</v>
      </c>
      <c r="O5712" t="s">
        <v>188</v>
      </c>
      <c r="P5712" s="1" t="s">
        <v>34</v>
      </c>
      <c r="Q5712">
        <v>149.5</v>
      </c>
    </row>
    <row r="5713" spans="11:17" x14ac:dyDescent="0.3">
      <c r="K5713">
        <v>2018</v>
      </c>
      <c r="L5713" t="s">
        <v>43</v>
      </c>
      <c r="M5713" t="s">
        <v>124</v>
      </c>
      <c r="N5713" t="s">
        <v>4</v>
      </c>
      <c r="O5713" t="s">
        <v>188</v>
      </c>
      <c r="P5713" s="1" t="s">
        <v>33</v>
      </c>
      <c r="Q5713">
        <v>144.9</v>
      </c>
    </row>
    <row r="5714" spans="11:17" x14ac:dyDescent="0.3">
      <c r="K5714">
        <v>2018</v>
      </c>
      <c r="L5714" t="s">
        <v>43</v>
      </c>
      <c r="M5714" t="s">
        <v>124</v>
      </c>
      <c r="N5714" t="s">
        <v>6</v>
      </c>
      <c r="O5714" t="s">
        <v>188</v>
      </c>
      <c r="P5714" s="1" t="s">
        <v>30</v>
      </c>
      <c r="Q5714">
        <v>141.9</v>
      </c>
    </row>
    <row r="5715" spans="11:17" x14ac:dyDescent="0.3">
      <c r="K5715">
        <v>2018</v>
      </c>
      <c r="L5715" t="s">
        <v>43</v>
      </c>
      <c r="M5715" t="s">
        <v>124</v>
      </c>
      <c r="N5715" t="s">
        <v>6</v>
      </c>
      <c r="O5715" t="s">
        <v>188</v>
      </c>
      <c r="P5715" s="1" t="s">
        <v>34</v>
      </c>
      <c r="Q5715">
        <v>141.9</v>
      </c>
    </row>
    <row r="5716" spans="11:17" x14ac:dyDescent="0.3">
      <c r="K5716">
        <v>2018</v>
      </c>
      <c r="L5716" t="s">
        <v>43</v>
      </c>
      <c r="M5716" t="s">
        <v>124</v>
      </c>
      <c r="N5716" t="s">
        <v>6</v>
      </c>
      <c r="O5716" t="s">
        <v>188</v>
      </c>
      <c r="P5716" s="1" t="s">
        <v>33</v>
      </c>
      <c r="Q5716">
        <v>141.5</v>
      </c>
    </row>
    <row r="5717" spans="11:17" x14ac:dyDescent="0.3">
      <c r="K5717">
        <v>2018</v>
      </c>
      <c r="L5717" t="s">
        <v>43</v>
      </c>
      <c r="M5717" t="s">
        <v>124</v>
      </c>
      <c r="N5717" t="s">
        <v>28</v>
      </c>
      <c r="O5717" t="s">
        <v>192</v>
      </c>
      <c r="P5717" s="1" t="s">
        <v>30</v>
      </c>
      <c r="Q5717">
        <v>139.80000000000001</v>
      </c>
    </row>
    <row r="5718" spans="11:17" x14ac:dyDescent="0.3">
      <c r="K5718">
        <v>2018</v>
      </c>
      <c r="L5718" t="s">
        <v>43</v>
      </c>
      <c r="M5718" t="s">
        <v>124</v>
      </c>
      <c r="N5718" t="s">
        <v>28</v>
      </c>
      <c r="O5718" t="s">
        <v>192</v>
      </c>
      <c r="P5718" s="1" t="s">
        <v>34</v>
      </c>
      <c r="Q5718">
        <v>136.30000000000001</v>
      </c>
    </row>
    <row r="5719" spans="11:17" x14ac:dyDescent="0.3">
      <c r="K5719">
        <v>2018</v>
      </c>
      <c r="L5719" t="s">
        <v>43</v>
      </c>
      <c r="M5719" t="s">
        <v>124</v>
      </c>
      <c r="N5719" t="s">
        <v>28</v>
      </c>
      <c r="O5719" t="s">
        <v>192</v>
      </c>
      <c r="P5719" s="1" t="s">
        <v>33</v>
      </c>
      <c r="Q5719">
        <v>132.5</v>
      </c>
    </row>
    <row r="5720" spans="11:17" x14ac:dyDescent="0.3">
      <c r="K5720">
        <v>2018</v>
      </c>
      <c r="L5720" t="s">
        <v>43</v>
      </c>
      <c r="M5720" t="s">
        <v>124</v>
      </c>
      <c r="N5720" t="s">
        <v>13</v>
      </c>
      <c r="O5720" t="s">
        <v>188</v>
      </c>
      <c r="P5720" s="1" t="s">
        <v>30</v>
      </c>
      <c r="Q5720">
        <v>134.6</v>
      </c>
    </row>
    <row r="5721" spans="11:17" x14ac:dyDescent="0.3">
      <c r="K5721">
        <v>2018</v>
      </c>
      <c r="L5721" t="s">
        <v>43</v>
      </c>
      <c r="M5721" t="s">
        <v>124</v>
      </c>
      <c r="N5721" t="s">
        <v>13</v>
      </c>
      <c r="O5721" t="s">
        <v>188</v>
      </c>
      <c r="P5721" s="1" t="s">
        <v>34</v>
      </c>
      <c r="Q5721">
        <v>133.6</v>
      </c>
    </row>
    <row r="5722" spans="11:17" x14ac:dyDescent="0.3">
      <c r="K5722">
        <v>2018</v>
      </c>
      <c r="L5722" t="s">
        <v>43</v>
      </c>
      <c r="M5722" t="s">
        <v>124</v>
      </c>
      <c r="N5722" t="s">
        <v>13</v>
      </c>
      <c r="O5722" t="s">
        <v>188</v>
      </c>
      <c r="P5722" s="1" t="s">
        <v>33</v>
      </c>
      <c r="Q5722">
        <v>127.6</v>
      </c>
    </row>
    <row r="5723" spans="11:17" x14ac:dyDescent="0.3">
      <c r="K5723">
        <v>2018</v>
      </c>
      <c r="L5723" t="s">
        <v>43</v>
      </c>
      <c r="M5723" t="s">
        <v>124</v>
      </c>
      <c r="N5723" t="s">
        <v>7</v>
      </c>
      <c r="O5723" t="s">
        <v>188</v>
      </c>
      <c r="P5723" s="1" t="s">
        <v>30</v>
      </c>
      <c r="Q5723">
        <v>123.5</v>
      </c>
    </row>
    <row r="5724" spans="11:17" x14ac:dyDescent="0.3">
      <c r="K5724">
        <v>2018</v>
      </c>
      <c r="L5724" t="s">
        <v>43</v>
      </c>
      <c r="M5724" t="s">
        <v>124</v>
      </c>
      <c r="N5724" t="s">
        <v>7</v>
      </c>
      <c r="O5724" t="s">
        <v>188</v>
      </c>
      <c r="P5724" s="1" t="s">
        <v>34</v>
      </c>
      <c r="Q5724">
        <v>121.1</v>
      </c>
    </row>
    <row r="5725" spans="11:17" x14ac:dyDescent="0.3">
      <c r="K5725">
        <v>2018</v>
      </c>
      <c r="L5725" t="s">
        <v>43</v>
      </c>
      <c r="M5725" t="s">
        <v>124</v>
      </c>
      <c r="N5725" t="s">
        <v>7</v>
      </c>
      <c r="O5725" t="s">
        <v>188</v>
      </c>
      <c r="P5725" s="1" t="s">
        <v>33</v>
      </c>
      <c r="Q5725">
        <v>118</v>
      </c>
    </row>
    <row r="5726" spans="11:17" x14ac:dyDescent="0.3">
      <c r="K5726">
        <v>2018</v>
      </c>
      <c r="L5726" t="s">
        <v>43</v>
      </c>
      <c r="M5726" t="s">
        <v>124</v>
      </c>
      <c r="N5726" t="s">
        <v>16</v>
      </c>
      <c r="O5726" t="s">
        <v>192</v>
      </c>
      <c r="P5726" s="1" t="s">
        <v>30</v>
      </c>
      <c r="Q5726">
        <v>159.6</v>
      </c>
    </row>
    <row r="5727" spans="11:17" x14ac:dyDescent="0.3">
      <c r="K5727">
        <v>2018</v>
      </c>
      <c r="L5727" t="s">
        <v>43</v>
      </c>
      <c r="M5727" t="s">
        <v>124</v>
      </c>
      <c r="N5727" t="s">
        <v>16</v>
      </c>
      <c r="O5727" t="s">
        <v>192</v>
      </c>
      <c r="P5727" s="1" t="s">
        <v>34</v>
      </c>
      <c r="Q5727">
        <v>162.6</v>
      </c>
    </row>
    <row r="5728" spans="11:17" x14ac:dyDescent="0.3">
      <c r="K5728">
        <v>2018</v>
      </c>
      <c r="L5728" t="s">
        <v>43</v>
      </c>
      <c r="M5728" t="s">
        <v>124</v>
      </c>
      <c r="N5728" t="s">
        <v>16</v>
      </c>
      <c r="O5728" t="s">
        <v>192</v>
      </c>
      <c r="P5728" s="1" t="s">
        <v>33</v>
      </c>
      <c r="Q5728">
        <v>164</v>
      </c>
    </row>
    <row r="5729" spans="11:17" x14ac:dyDescent="0.3">
      <c r="K5729">
        <v>2018</v>
      </c>
      <c r="L5729" t="s">
        <v>43</v>
      </c>
      <c r="M5729" t="s">
        <v>124</v>
      </c>
      <c r="N5729" t="s">
        <v>27</v>
      </c>
      <c r="O5729" t="s">
        <v>192</v>
      </c>
      <c r="P5729" s="1" t="s">
        <v>30</v>
      </c>
      <c r="Q5729">
        <v>134.4</v>
      </c>
    </row>
    <row r="5730" spans="11:17" x14ac:dyDescent="0.3">
      <c r="K5730">
        <v>2018</v>
      </c>
      <c r="L5730" t="s">
        <v>43</v>
      </c>
      <c r="M5730" t="s">
        <v>124</v>
      </c>
      <c r="N5730" t="s">
        <v>27</v>
      </c>
      <c r="O5730" t="s">
        <v>192</v>
      </c>
      <c r="P5730" s="1" t="s">
        <v>34</v>
      </c>
      <c r="Q5730">
        <v>132</v>
      </c>
    </row>
    <row r="5731" spans="11:17" x14ac:dyDescent="0.3">
      <c r="K5731">
        <v>2018</v>
      </c>
      <c r="L5731" t="s">
        <v>43</v>
      </c>
      <c r="M5731" t="s">
        <v>124</v>
      </c>
      <c r="N5731" t="s">
        <v>27</v>
      </c>
      <c r="O5731" t="s">
        <v>192</v>
      </c>
      <c r="P5731" s="1" t="s">
        <v>33</v>
      </c>
      <c r="Q5731">
        <v>130.4</v>
      </c>
    </row>
    <row r="5732" spans="11:17" x14ac:dyDescent="0.3">
      <c r="K5732">
        <v>2018</v>
      </c>
      <c r="L5732" t="s">
        <v>43</v>
      </c>
      <c r="M5732" t="s">
        <v>124</v>
      </c>
      <c r="N5732" t="s">
        <v>14</v>
      </c>
      <c r="O5732" t="s">
        <v>188</v>
      </c>
      <c r="P5732" s="1" t="s">
        <v>30</v>
      </c>
      <c r="Q5732">
        <v>155.19999999999999</v>
      </c>
    </row>
    <row r="5733" spans="11:17" x14ac:dyDescent="0.3">
      <c r="K5733">
        <v>2018</v>
      </c>
      <c r="L5733" t="s">
        <v>43</v>
      </c>
      <c r="M5733" t="s">
        <v>124</v>
      </c>
      <c r="N5733" t="s">
        <v>14</v>
      </c>
      <c r="O5733" t="s">
        <v>188</v>
      </c>
      <c r="P5733" s="1" t="s">
        <v>34</v>
      </c>
      <c r="Q5733">
        <v>154.5</v>
      </c>
    </row>
    <row r="5734" spans="11:17" x14ac:dyDescent="0.3">
      <c r="K5734">
        <v>2018</v>
      </c>
      <c r="L5734" t="s">
        <v>43</v>
      </c>
      <c r="M5734" t="s">
        <v>124</v>
      </c>
      <c r="N5734" t="s">
        <v>14</v>
      </c>
      <c r="O5734" t="s">
        <v>188</v>
      </c>
      <c r="P5734" s="1" t="s">
        <v>33</v>
      </c>
      <c r="Q5734">
        <v>152</v>
      </c>
    </row>
    <row r="5735" spans="11:17" x14ac:dyDescent="0.3">
      <c r="K5735">
        <v>2018</v>
      </c>
      <c r="L5735" t="s">
        <v>43</v>
      </c>
      <c r="M5735" t="s">
        <v>124</v>
      </c>
      <c r="N5735" t="s">
        <v>10</v>
      </c>
      <c r="O5735" t="s">
        <v>188</v>
      </c>
      <c r="P5735" s="1" t="s">
        <v>30</v>
      </c>
      <c r="Q5735">
        <v>121.4</v>
      </c>
    </row>
    <row r="5736" spans="11:17" x14ac:dyDescent="0.3">
      <c r="K5736">
        <v>2018</v>
      </c>
      <c r="L5736" t="s">
        <v>43</v>
      </c>
      <c r="M5736" t="s">
        <v>124</v>
      </c>
      <c r="N5736" t="s">
        <v>10</v>
      </c>
      <c r="O5736" t="s">
        <v>188</v>
      </c>
      <c r="P5736" s="1" t="s">
        <v>34</v>
      </c>
      <c r="Q5736">
        <v>119.1</v>
      </c>
    </row>
    <row r="5737" spans="11:17" x14ac:dyDescent="0.3">
      <c r="K5737">
        <v>2018</v>
      </c>
      <c r="L5737" t="s">
        <v>43</v>
      </c>
      <c r="M5737" t="s">
        <v>124</v>
      </c>
      <c r="N5737" t="s">
        <v>10</v>
      </c>
      <c r="O5737" t="s">
        <v>188</v>
      </c>
      <c r="P5737" s="1" t="s">
        <v>33</v>
      </c>
      <c r="Q5737">
        <v>113.2</v>
      </c>
    </row>
    <row r="5738" spans="11:17" x14ac:dyDescent="0.3">
      <c r="K5738">
        <v>2018</v>
      </c>
      <c r="L5738" t="s">
        <v>43</v>
      </c>
      <c r="M5738" t="s">
        <v>124</v>
      </c>
      <c r="N5738" t="s">
        <v>25</v>
      </c>
      <c r="O5738" t="s">
        <v>195</v>
      </c>
      <c r="P5738" s="1" t="s">
        <v>30</v>
      </c>
      <c r="Q5738">
        <v>140.1</v>
      </c>
    </row>
    <row r="5739" spans="11:17" x14ac:dyDescent="0.3">
      <c r="K5739">
        <v>2018</v>
      </c>
      <c r="L5739" t="s">
        <v>43</v>
      </c>
      <c r="M5739" t="s">
        <v>124</v>
      </c>
      <c r="N5739" t="s">
        <v>25</v>
      </c>
      <c r="O5739" t="s">
        <v>195</v>
      </c>
      <c r="P5739" s="1" t="s">
        <v>34</v>
      </c>
      <c r="Q5739">
        <v>136.5</v>
      </c>
    </row>
    <row r="5740" spans="11:17" x14ac:dyDescent="0.3">
      <c r="K5740">
        <v>2018</v>
      </c>
      <c r="L5740" t="s">
        <v>43</v>
      </c>
      <c r="M5740" t="s">
        <v>124</v>
      </c>
      <c r="N5740" t="s">
        <v>25</v>
      </c>
      <c r="O5740" t="s">
        <v>195</v>
      </c>
      <c r="P5740" s="1" t="s">
        <v>33</v>
      </c>
      <c r="Q5740">
        <v>130.69999999999999</v>
      </c>
    </row>
    <row r="5741" spans="11:17" x14ac:dyDescent="0.3">
      <c r="K5741">
        <v>2018</v>
      </c>
      <c r="L5741" t="s">
        <v>43</v>
      </c>
      <c r="M5741" t="s">
        <v>124</v>
      </c>
      <c r="N5741" t="s">
        <v>12</v>
      </c>
      <c r="O5741" t="s">
        <v>188</v>
      </c>
      <c r="P5741" s="1" t="s">
        <v>30</v>
      </c>
      <c r="Q5741">
        <v>139.5</v>
      </c>
    </row>
    <row r="5742" spans="11:17" x14ac:dyDescent="0.3">
      <c r="K5742">
        <v>2018</v>
      </c>
      <c r="L5742" t="s">
        <v>43</v>
      </c>
      <c r="M5742" t="s">
        <v>124</v>
      </c>
      <c r="N5742" t="s">
        <v>12</v>
      </c>
      <c r="O5742" t="s">
        <v>188</v>
      </c>
      <c r="P5742" s="1" t="s">
        <v>34</v>
      </c>
      <c r="Q5742">
        <v>141</v>
      </c>
    </row>
    <row r="5743" spans="11:17" x14ac:dyDescent="0.3">
      <c r="K5743">
        <v>2018</v>
      </c>
      <c r="L5743" t="s">
        <v>43</v>
      </c>
      <c r="M5743" t="s">
        <v>124</v>
      </c>
      <c r="N5743" t="s">
        <v>12</v>
      </c>
      <c r="O5743" t="s">
        <v>188</v>
      </c>
      <c r="P5743" s="1" t="s">
        <v>33</v>
      </c>
      <c r="Q5743">
        <v>141.1</v>
      </c>
    </row>
    <row r="5744" spans="11:17" x14ac:dyDescent="0.3">
      <c r="K5744">
        <v>2018</v>
      </c>
      <c r="L5744" t="s">
        <v>43</v>
      </c>
      <c r="M5744" t="s">
        <v>124</v>
      </c>
      <c r="N5744" t="s">
        <v>11</v>
      </c>
      <c r="O5744" t="s">
        <v>188</v>
      </c>
      <c r="P5744" s="1" t="s">
        <v>30</v>
      </c>
      <c r="Q5744">
        <v>112.3</v>
      </c>
    </row>
    <row r="5745" spans="11:17" x14ac:dyDescent="0.3">
      <c r="K5745">
        <v>2018</v>
      </c>
      <c r="L5745" t="s">
        <v>43</v>
      </c>
      <c r="M5745" t="s">
        <v>124</v>
      </c>
      <c r="N5745" t="s">
        <v>11</v>
      </c>
      <c r="O5745" t="s">
        <v>188</v>
      </c>
      <c r="P5745" s="1" t="s">
        <v>34</v>
      </c>
      <c r="Q5745">
        <v>111.9</v>
      </c>
    </row>
    <row r="5746" spans="11:17" x14ac:dyDescent="0.3">
      <c r="K5746">
        <v>2018</v>
      </c>
      <c r="L5746" t="s">
        <v>43</v>
      </c>
      <c r="M5746" t="s">
        <v>124</v>
      </c>
      <c r="N5746" t="s">
        <v>11</v>
      </c>
      <c r="O5746" t="s">
        <v>188</v>
      </c>
      <c r="P5746" s="1" t="s">
        <v>33</v>
      </c>
      <c r="Q5746">
        <v>112.8</v>
      </c>
    </row>
    <row r="5747" spans="11:17" x14ac:dyDescent="0.3">
      <c r="K5747">
        <v>2018</v>
      </c>
      <c r="L5747" t="s">
        <v>43</v>
      </c>
      <c r="M5747" t="s">
        <v>124</v>
      </c>
      <c r="N5747" t="s">
        <v>24</v>
      </c>
      <c r="O5747" t="s">
        <v>191</v>
      </c>
      <c r="P5747" s="1" t="s">
        <v>30</v>
      </c>
      <c r="Q5747">
        <v>130.80000000000001</v>
      </c>
    </row>
    <row r="5748" spans="11:17" x14ac:dyDescent="0.3">
      <c r="K5748">
        <v>2018</v>
      </c>
      <c r="L5748" t="s">
        <v>43</v>
      </c>
      <c r="M5748" t="s">
        <v>124</v>
      </c>
      <c r="N5748" t="s">
        <v>24</v>
      </c>
      <c r="O5748" t="s">
        <v>191</v>
      </c>
      <c r="P5748" s="1" t="s">
        <v>34</v>
      </c>
      <c r="Q5748">
        <v>125.5</v>
      </c>
    </row>
    <row r="5749" spans="11:17" x14ac:dyDescent="0.3">
      <c r="K5749">
        <v>2018</v>
      </c>
      <c r="L5749" t="s">
        <v>43</v>
      </c>
      <c r="M5749" t="s">
        <v>124</v>
      </c>
      <c r="N5749" t="s">
        <v>24</v>
      </c>
      <c r="O5749" t="s">
        <v>191</v>
      </c>
      <c r="P5749" s="1" t="s">
        <v>33</v>
      </c>
      <c r="Q5749">
        <v>123.3</v>
      </c>
    </row>
    <row r="5750" spans="11:17" x14ac:dyDescent="0.3">
      <c r="K5750">
        <v>2018</v>
      </c>
      <c r="L5750" t="s">
        <v>43</v>
      </c>
      <c r="M5750" t="s">
        <v>124</v>
      </c>
      <c r="N5750" t="s">
        <v>9</v>
      </c>
      <c r="O5750" t="s">
        <v>188</v>
      </c>
      <c r="P5750" s="1" t="s">
        <v>30</v>
      </c>
      <c r="Q5750">
        <v>147.6</v>
      </c>
    </row>
    <row r="5751" spans="11:17" x14ac:dyDescent="0.3">
      <c r="K5751">
        <v>2018</v>
      </c>
      <c r="L5751" t="s">
        <v>43</v>
      </c>
      <c r="M5751" t="s">
        <v>124</v>
      </c>
      <c r="N5751" t="s">
        <v>9</v>
      </c>
      <c r="O5751" t="s">
        <v>188</v>
      </c>
      <c r="P5751" s="1" t="s">
        <v>34</v>
      </c>
      <c r="Q5751">
        <v>146.69999999999999</v>
      </c>
    </row>
    <row r="5752" spans="11:17" x14ac:dyDescent="0.3">
      <c r="K5752">
        <v>2018</v>
      </c>
      <c r="L5752" t="s">
        <v>43</v>
      </c>
      <c r="M5752" t="s">
        <v>124</v>
      </c>
      <c r="N5752" t="s">
        <v>9</v>
      </c>
      <c r="O5752" t="s">
        <v>188</v>
      </c>
      <c r="P5752" s="1" t="s">
        <v>33</v>
      </c>
      <c r="Q5752">
        <v>153</v>
      </c>
    </row>
    <row r="5753" spans="11:17" x14ac:dyDescent="0.3">
      <c r="K5753">
        <v>2018</v>
      </c>
      <c r="L5753" t="s">
        <v>42</v>
      </c>
      <c r="M5753" t="s">
        <v>125</v>
      </c>
      <c r="N5753" t="s">
        <v>3</v>
      </c>
      <c r="O5753" t="s">
        <v>188</v>
      </c>
      <c r="P5753" s="1" t="s">
        <v>30</v>
      </c>
      <c r="Q5753">
        <v>139.4</v>
      </c>
    </row>
    <row r="5754" spans="11:17" x14ac:dyDescent="0.3">
      <c r="K5754">
        <v>2018</v>
      </c>
      <c r="L5754" t="s">
        <v>42</v>
      </c>
      <c r="M5754" t="s">
        <v>125</v>
      </c>
      <c r="N5754" t="s">
        <v>3</v>
      </c>
      <c r="O5754" t="s">
        <v>188</v>
      </c>
      <c r="P5754" s="1" t="s">
        <v>34</v>
      </c>
      <c r="Q5754">
        <v>138.6</v>
      </c>
    </row>
    <row r="5755" spans="11:17" x14ac:dyDescent="0.3">
      <c r="K5755">
        <v>2018</v>
      </c>
      <c r="L5755" t="s">
        <v>42</v>
      </c>
      <c r="M5755" t="s">
        <v>125</v>
      </c>
      <c r="N5755" t="s">
        <v>3</v>
      </c>
      <c r="O5755" t="s">
        <v>188</v>
      </c>
      <c r="P5755" s="1" t="s">
        <v>33</v>
      </c>
      <c r="Q5755">
        <v>137</v>
      </c>
    </row>
    <row r="5756" spans="11:17" x14ac:dyDescent="0.3">
      <c r="K5756">
        <v>2018</v>
      </c>
      <c r="L5756" t="s">
        <v>42</v>
      </c>
      <c r="M5756" t="s">
        <v>125</v>
      </c>
      <c r="N5756" t="s">
        <v>17</v>
      </c>
      <c r="O5756" t="s">
        <v>189</v>
      </c>
      <c r="P5756" s="1" t="s">
        <v>30</v>
      </c>
      <c r="Q5756">
        <v>152.1</v>
      </c>
    </row>
    <row r="5757" spans="11:17" x14ac:dyDescent="0.3">
      <c r="K5757">
        <v>2018</v>
      </c>
      <c r="L5757" t="s">
        <v>42</v>
      </c>
      <c r="M5757" t="s">
        <v>125</v>
      </c>
      <c r="N5757" t="s">
        <v>17</v>
      </c>
      <c r="O5757" t="s">
        <v>189</v>
      </c>
      <c r="P5757" s="1" t="s">
        <v>34</v>
      </c>
      <c r="Q5757">
        <v>147.69999999999999</v>
      </c>
    </row>
    <row r="5758" spans="11:17" x14ac:dyDescent="0.3">
      <c r="K5758">
        <v>2018</v>
      </c>
      <c r="L5758" t="s">
        <v>42</v>
      </c>
      <c r="M5758" t="s">
        <v>125</v>
      </c>
      <c r="N5758" t="s">
        <v>17</v>
      </c>
      <c r="O5758" t="s">
        <v>189</v>
      </c>
      <c r="P5758" s="1" t="s">
        <v>33</v>
      </c>
      <c r="Q5758">
        <v>140.80000000000001</v>
      </c>
    </row>
    <row r="5759" spans="11:17" x14ac:dyDescent="0.3">
      <c r="K5759">
        <v>2018</v>
      </c>
      <c r="L5759" t="s">
        <v>42</v>
      </c>
      <c r="M5759" t="s">
        <v>125</v>
      </c>
      <c r="N5759" t="s">
        <v>19</v>
      </c>
      <c r="O5759" t="s">
        <v>189</v>
      </c>
      <c r="P5759" s="1" t="s">
        <v>30</v>
      </c>
      <c r="Q5759">
        <v>151.30000000000001</v>
      </c>
    </row>
    <row r="5760" spans="11:17" x14ac:dyDescent="0.3">
      <c r="K5760">
        <v>2018</v>
      </c>
      <c r="L5760" t="s">
        <v>42</v>
      </c>
      <c r="M5760" t="s">
        <v>125</v>
      </c>
      <c r="N5760" t="s">
        <v>19</v>
      </c>
      <c r="O5760" t="s">
        <v>189</v>
      </c>
      <c r="P5760" s="1" t="s">
        <v>34</v>
      </c>
      <c r="Q5760">
        <v>146.5</v>
      </c>
    </row>
    <row r="5761" spans="11:17" x14ac:dyDescent="0.3">
      <c r="K5761">
        <v>2018</v>
      </c>
      <c r="L5761" t="s">
        <v>42</v>
      </c>
      <c r="M5761" t="s">
        <v>125</v>
      </c>
      <c r="N5761" t="s">
        <v>19</v>
      </c>
      <c r="O5761" t="s">
        <v>189</v>
      </c>
      <c r="P5761" s="1" t="s">
        <v>33</v>
      </c>
      <c r="Q5761">
        <v>139.1</v>
      </c>
    </row>
    <row r="5762" spans="11:17" x14ac:dyDescent="0.3">
      <c r="K5762">
        <v>2018</v>
      </c>
      <c r="L5762" t="s">
        <v>42</v>
      </c>
      <c r="M5762" t="s">
        <v>125</v>
      </c>
      <c r="N5762" t="s">
        <v>26</v>
      </c>
      <c r="O5762" t="s">
        <v>26</v>
      </c>
      <c r="P5762" s="1" t="s">
        <v>30</v>
      </c>
      <c r="Q5762">
        <v>147.6</v>
      </c>
    </row>
    <row r="5763" spans="11:17" x14ac:dyDescent="0.3">
      <c r="K5763">
        <v>2018</v>
      </c>
      <c r="L5763" t="s">
        <v>42</v>
      </c>
      <c r="M5763" t="s">
        <v>125</v>
      </c>
      <c r="N5763" t="s">
        <v>26</v>
      </c>
      <c r="O5763" t="s">
        <v>26</v>
      </c>
      <c r="P5763" s="1" t="s">
        <v>34</v>
      </c>
      <c r="Q5763">
        <v>146.19999999999999</v>
      </c>
    </row>
    <row r="5764" spans="11:17" x14ac:dyDescent="0.3">
      <c r="K5764">
        <v>2018</v>
      </c>
      <c r="L5764" t="s">
        <v>42</v>
      </c>
      <c r="M5764" t="s">
        <v>125</v>
      </c>
      <c r="N5764" t="s">
        <v>26</v>
      </c>
      <c r="O5764" t="s">
        <v>26</v>
      </c>
      <c r="P5764" s="1" t="s">
        <v>33</v>
      </c>
      <c r="Q5764">
        <v>145.19999999999999</v>
      </c>
    </row>
    <row r="5765" spans="11:17" x14ac:dyDescent="0.3">
      <c r="K5765">
        <v>2018</v>
      </c>
      <c r="L5765" t="s">
        <v>42</v>
      </c>
      <c r="M5765" t="s">
        <v>125</v>
      </c>
      <c r="N5765" t="s">
        <v>5</v>
      </c>
      <c r="O5765" t="s">
        <v>188</v>
      </c>
      <c r="P5765" s="1" t="s">
        <v>30</v>
      </c>
      <c r="Q5765">
        <v>136.6</v>
      </c>
    </row>
    <row r="5766" spans="11:17" x14ac:dyDescent="0.3">
      <c r="K5766">
        <v>2018</v>
      </c>
      <c r="L5766" t="s">
        <v>42</v>
      </c>
      <c r="M5766" t="s">
        <v>125</v>
      </c>
      <c r="N5766" t="s">
        <v>5</v>
      </c>
      <c r="O5766" t="s">
        <v>188</v>
      </c>
      <c r="P5766" s="1" t="s">
        <v>34</v>
      </c>
      <c r="Q5766">
        <v>135.1</v>
      </c>
    </row>
    <row r="5767" spans="11:17" x14ac:dyDescent="0.3">
      <c r="K5767">
        <v>2018</v>
      </c>
      <c r="L5767" t="s">
        <v>42</v>
      </c>
      <c r="M5767" t="s">
        <v>125</v>
      </c>
      <c r="N5767" t="s">
        <v>5</v>
      </c>
      <c r="O5767" t="s">
        <v>188</v>
      </c>
      <c r="P5767" s="1" t="s">
        <v>33</v>
      </c>
      <c r="Q5767">
        <v>132.80000000000001</v>
      </c>
    </row>
    <row r="5768" spans="11:17" x14ac:dyDescent="0.3">
      <c r="K5768">
        <v>2018</v>
      </c>
      <c r="L5768" t="s">
        <v>42</v>
      </c>
      <c r="M5768" t="s">
        <v>125</v>
      </c>
      <c r="N5768" t="s">
        <v>15</v>
      </c>
      <c r="O5768" t="s">
        <v>188</v>
      </c>
      <c r="P5768" s="1" t="s">
        <v>30</v>
      </c>
      <c r="Q5768">
        <v>141.30000000000001</v>
      </c>
    </row>
    <row r="5769" spans="11:17" x14ac:dyDescent="0.3">
      <c r="K5769">
        <v>2018</v>
      </c>
      <c r="L5769" t="s">
        <v>42</v>
      </c>
      <c r="M5769" t="s">
        <v>125</v>
      </c>
      <c r="N5769" t="s">
        <v>15</v>
      </c>
      <c r="O5769" t="s">
        <v>188</v>
      </c>
      <c r="P5769" s="1" t="s">
        <v>34</v>
      </c>
      <c r="Q5769">
        <v>140.4</v>
      </c>
    </row>
    <row r="5770" spans="11:17" x14ac:dyDescent="0.3">
      <c r="K5770">
        <v>2018</v>
      </c>
      <c r="L5770" t="s">
        <v>42</v>
      </c>
      <c r="M5770" t="s">
        <v>125</v>
      </c>
      <c r="N5770" t="s">
        <v>15</v>
      </c>
      <c r="O5770" t="s">
        <v>188</v>
      </c>
      <c r="P5770" s="1" t="s">
        <v>33</v>
      </c>
      <c r="Q5770">
        <v>138.9</v>
      </c>
    </row>
    <row r="5771" spans="11:17" x14ac:dyDescent="0.3">
      <c r="K5771">
        <v>2018</v>
      </c>
      <c r="L5771" t="s">
        <v>42</v>
      </c>
      <c r="M5771" t="s">
        <v>125</v>
      </c>
      <c r="N5771" t="s">
        <v>18</v>
      </c>
      <c r="O5771" t="s">
        <v>189</v>
      </c>
      <c r="P5771" s="1" t="s">
        <v>30</v>
      </c>
      <c r="Q5771">
        <v>146.1</v>
      </c>
    </row>
    <row r="5772" spans="11:17" x14ac:dyDescent="0.3">
      <c r="K5772">
        <v>2018</v>
      </c>
      <c r="L5772" t="s">
        <v>42</v>
      </c>
      <c r="M5772" t="s">
        <v>125</v>
      </c>
      <c r="N5772" t="s">
        <v>18</v>
      </c>
      <c r="O5772" t="s">
        <v>189</v>
      </c>
      <c r="P5772" s="1" t="s">
        <v>34</v>
      </c>
      <c r="Q5772">
        <v>139.1</v>
      </c>
    </row>
    <row r="5773" spans="11:17" x14ac:dyDescent="0.3">
      <c r="K5773">
        <v>2018</v>
      </c>
      <c r="L5773" t="s">
        <v>42</v>
      </c>
      <c r="M5773" t="s">
        <v>125</v>
      </c>
      <c r="N5773" t="s">
        <v>18</v>
      </c>
      <c r="O5773" t="s">
        <v>189</v>
      </c>
      <c r="P5773" s="1" t="s">
        <v>33</v>
      </c>
      <c r="Q5773">
        <v>129.30000000000001</v>
      </c>
    </row>
    <row r="5774" spans="11:17" x14ac:dyDescent="0.3">
      <c r="K5774">
        <v>2018</v>
      </c>
      <c r="L5774" t="s">
        <v>42</v>
      </c>
      <c r="M5774" t="s">
        <v>125</v>
      </c>
      <c r="N5774" t="s">
        <v>8</v>
      </c>
      <c r="O5774" t="s">
        <v>188</v>
      </c>
      <c r="P5774" s="1" t="s">
        <v>30</v>
      </c>
      <c r="Q5774">
        <v>150.1</v>
      </c>
    </row>
    <row r="5775" spans="11:17" x14ac:dyDescent="0.3">
      <c r="K5775">
        <v>2018</v>
      </c>
      <c r="L5775" t="s">
        <v>42</v>
      </c>
      <c r="M5775" t="s">
        <v>125</v>
      </c>
      <c r="N5775" t="s">
        <v>8</v>
      </c>
      <c r="O5775" t="s">
        <v>188</v>
      </c>
      <c r="P5775" s="1" t="s">
        <v>34</v>
      </c>
      <c r="Q5775">
        <v>145.4</v>
      </c>
    </row>
    <row r="5776" spans="11:17" x14ac:dyDescent="0.3">
      <c r="K5776">
        <v>2018</v>
      </c>
      <c r="L5776" t="s">
        <v>42</v>
      </c>
      <c r="M5776" t="s">
        <v>125</v>
      </c>
      <c r="N5776" t="s">
        <v>8</v>
      </c>
      <c r="O5776" t="s">
        <v>188</v>
      </c>
      <c r="P5776" s="1" t="s">
        <v>33</v>
      </c>
      <c r="Q5776">
        <v>140</v>
      </c>
    </row>
    <row r="5777" spans="11:17" x14ac:dyDescent="0.3">
      <c r="K5777">
        <v>2018</v>
      </c>
      <c r="L5777" t="s">
        <v>42</v>
      </c>
      <c r="M5777" t="s">
        <v>125</v>
      </c>
      <c r="N5777" t="s">
        <v>21</v>
      </c>
      <c r="O5777" t="s">
        <v>190</v>
      </c>
      <c r="P5777" s="1" t="s">
        <v>30</v>
      </c>
      <c r="Q5777">
        <v>149</v>
      </c>
    </row>
    <row r="5778" spans="11:17" x14ac:dyDescent="0.3">
      <c r="K5778">
        <v>2018</v>
      </c>
      <c r="L5778" t="s">
        <v>42</v>
      </c>
      <c r="M5778" t="s">
        <v>125</v>
      </c>
      <c r="N5778" t="s">
        <v>21</v>
      </c>
      <c r="O5778" t="s">
        <v>190</v>
      </c>
      <c r="P5778" s="1" t="s">
        <v>34</v>
      </c>
      <c r="Q5778">
        <v>142.30000000000001</v>
      </c>
    </row>
    <row r="5779" spans="11:17" x14ac:dyDescent="0.3">
      <c r="K5779">
        <v>2018</v>
      </c>
      <c r="L5779" t="s">
        <v>42</v>
      </c>
      <c r="M5779" t="s">
        <v>125</v>
      </c>
      <c r="N5779" t="s">
        <v>21</v>
      </c>
      <c r="O5779" t="s">
        <v>190</v>
      </c>
      <c r="P5779" s="1" t="s">
        <v>33</v>
      </c>
      <c r="Q5779">
        <v>131.19999999999999</v>
      </c>
    </row>
    <row r="5780" spans="11:17" x14ac:dyDescent="0.3">
      <c r="K5780">
        <v>2018</v>
      </c>
      <c r="L5780" t="s">
        <v>42</v>
      </c>
      <c r="M5780" t="s">
        <v>125</v>
      </c>
      <c r="N5780" t="s">
        <v>29</v>
      </c>
      <c r="O5780" t="s">
        <v>206</v>
      </c>
      <c r="P5780" s="1" t="s">
        <v>30</v>
      </c>
      <c r="Q5780">
        <v>142.1</v>
      </c>
    </row>
    <row r="5781" spans="11:17" x14ac:dyDescent="0.3">
      <c r="K5781">
        <v>2018</v>
      </c>
      <c r="L5781" t="s">
        <v>42</v>
      </c>
      <c r="M5781" t="s">
        <v>125</v>
      </c>
      <c r="N5781" t="s">
        <v>29</v>
      </c>
      <c r="O5781" t="s">
        <v>206</v>
      </c>
      <c r="P5781" s="1" t="s">
        <v>34</v>
      </c>
      <c r="Q5781">
        <v>140.19999999999999</v>
      </c>
    </row>
    <row r="5782" spans="11:17" x14ac:dyDescent="0.3">
      <c r="K5782">
        <v>2018</v>
      </c>
      <c r="L5782" t="s">
        <v>42</v>
      </c>
      <c r="M5782" t="s">
        <v>125</v>
      </c>
      <c r="N5782" t="s">
        <v>29</v>
      </c>
      <c r="O5782" t="s">
        <v>206</v>
      </c>
      <c r="P5782" s="1" t="s">
        <v>33</v>
      </c>
      <c r="Q5782">
        <v>138.1</v>
      </c>
    </row>
    <row r="5783" spans="11:17" x14ac:dyDescent="0.3">
      <c r="K5783">
        <v>2018</v>
      </c>
      <c r="L5783" t="s">
        <v>42</v>
      </c>
      <c r="M5783" t="s">
        <v>125</v>
      </c>
      <c r="N5783" t="s">
        <v>23</v>
      </c>
      <c r="O5783" t="s">
        <v>23</v>
      </c>
      <c r="P5783" s="1" t="s">
        <v>30</v>
      </c>
      <c r="Q5783">
        <v>140</v>
      </c>
    </row>
    <row r="5784" spans="11:17" x14ac:dyDescent="0.3">
      <c r="K5784">
        <v>2018</v>
      </c>
      <c r="L5784" t="s">
        <v>42</v>
      </c>
      <c r="M5784" t="s">
        <v>125</v>
      </c>
      <c r="N5784" t="s">
        <v>23</v>
      </c>
      <c r="O5784" t="s">
        <v>23</v>
      </c>
      <c r="P5784" s="1" t="s">
        <v>34</v>
      </c>
      <c r="Q5784">
        <v>138.4</v>
      </c>
    </row>
    <row r="5785" spans="11:17" x14ac:dyDescent="0.3">
      <c r="K5785">
        <v>2018</v>
      </c>
      <c r="L5785" t="s">
        <v>42</v>
      </c>
      <c r="M5785" t="s">
        <v>125</v>
      </c>
      <c r="N5785" t="s">
        <v>23</v>
      </c>
      <c r="O5785" t="s">
        <v>23</v>
      </c>
      <c r="P5785" s="1" t="s">
        <v>33</v>
      </c>
      <c r="Q5785">
        <v>135.69999999999999</v>
      </c>
    </row>
    <row r="5786" spans="11:17" x14ac:dyDescent="0.3">
      <c r="K5786">
        <v>2018</v>
      </c>
      <c r="L5786" t="s">
        <v>42</v>
      </c>
      <c r="M5786" t="s">
        <v>125</v>
      </c>
      <c r="N5786" t="s">
        <v>22</v>
      </c>
      <c r="O5786" t="s">
        <v>20</v>
      </c>
      <c r="P5786" s="1" t="s">
        <v>30</v>
      </c>
      <c r="Q5786">
        <v>144</v>
      </c>
    </row>
    <row r="5787" spans="11:17" x14ac:dyDescent="0.3">
      <c r="K5787">
        <v>2018</v>
      </c>
      <c r="L5787" t="s">
        <v>42</v>
      </c>
      <c r="M5787" t="s">
        <v>125</v>
      </c>
      <c r="N5787" t="s">
        <v>22</v>
      </c>
      <c r="O5787" t="s">
        <v>20</v>
      </c>
      <c r="P5787" s="1" t="s">
        <v>34</v>
      </c>
      <c r="Q5787">
        <v>139.69999999999999</v>
      </c>
    </row>
    <row r="5788" spans="11:17" x14ac:dyDescent="0.3">
      <c r="K5788">
        <v>2018</v>
      </c>
      <c r="L5788" t="s">
        <v>42</v>
      </c>
      <c r="M5788" t="s">
        <v>125</v>
      </c>
      <c r="N5788" t="s">
        <v>22</v>
      </c>
      <c r="O5788" t="s">
        <v>20</v>
      </c>
      <c r="P5788" s="1" t="s">
        <v>33</v>
      </c>
      <c r="Q5788">
        <v>134.9</v>
      </c>
    </row>
    <row r="5789" spans="11:17" x14ac:dyDescent="0.3">
      <c r="K5789">
        <v>2018</v>
      </c>
      <c r="L5789" t="s">
        <v>42</v>
      </c>
      <c r="M5789" t="s">
        <v>125</v>
      </c>
      <c r="N5789" t="s">
        <v>20</v>
      </c>
      <c r="O5789" t="s">
        <v>20</v>
      </c>
      <c r="P5789" s="1" t="s">
        <v>30</v>
      </c>
      <c r="Q5789">
        <v>0</v>
      </c>
    </row>
    <row r="5790" spans="11:17" x14ac:dyDescent="0.3">
      <c r="K5790">
        <v>2018</v>
      </c>
      <c r="L5790" t="s">
        <v>42</v>
      </c>
      <c r="M5790" t="s">
        <v>125</v>
      </c>
      <c r="N5790" t="s">
        <v>20</v>
      </c>
      <c r="O5790" t="s">
        <v>20</v>
      </c>
      <c r="P5790" s="1" t="s">
        <v>34</v>
      </c>
      <c r="Q5790">
        <v>145.30000000000001</v>
      </c>
    </row>
    <row r="5791" spans="11:17" x14ac:dyDescent="0.3">
      <c r="K5791">
        <v>2018</v>
      </c>
      <c r="L5791" t="s">
        <v>42</v>
      </c>
      <c r="M5791" t="s">
        <v>125</v>
      </c>
      <c r="N5791" t="s">
        <v>20</v>
      </c>
      <c r="O5791" t="s">
        <v>20</v>
      </c>
      <c r="P5791" s="1" t="s">
        <v>33</v>
      </c>
      <c r="Q5791">
        <v>145.30000000000001</v>
      </c>
    </row>
    <row r="5792" spans="11:17" x14ac:dyDescent="0.3">
      <c r="K5792">
        <v>2018</v>
      </c>
      <c r="L5792" t="s">
        <v>42</v>
      </c>
      <c r="M5792" t="s">
        <v>125</v>
      </c>
      <c r="N5792" t="s">
        <v>4</v>
      </c>
      <c r="O5792" t="s">
        <v>188</v>
      </c>
      <c r="P5792" s="1" t="s">
        <v>30</v>
      </c>
      <c r="Q5792">
        <v>147.19999999999999</v>
      </c>
    </row>
    <row r="5793" spans="11:17" x14ac:dyDescent="0.3">
      <c r="K5793">
        <v>2018</v>
      </c>
      <c r="L5793" t="s">
        <v>42</v>
      </c>
      <c r="M5793" t="s">
        <v>125</v>
      </c>
      <c r="N5793" t="s">
        <v>4</v>
      </c>
      <c r="O5793" t="s">
        <v>188</v>
      </c>
      <c r="P5793" s="1" t="s">
        <v>34</v>
      </c>
      <c r="Q5793">
        <v>145.80000000000001</v>
      </c>
    </row>
    <row r="5794" spans="11:17" x14ac:dyDescent="0.3">
      <c r="K5794">
        <v>2018</v>
      </c>
      <c r="L5794" t="s">
        <v>42</v>
      </c>
      <c r="M5794" t="s">
        <v>125</v>
      </c>
      <c r="N5794" t="s">
        <v>4</v>
      </c>
      <c r="O5794" t="s">
        <v>188</v>
      </c>
      <c r="P5794" s="1" t="s">
        <v>33</v>
      </c>
      <c r="Q5794">
        <v>143.1</v>
      </c>
    </row>
    <row r="5795" spans="11:17" x14ac:dyDescent="0.3">
      <c r="K5795">
        <v>2018</v>
      </c>
      <c r="L5795" t="s">
        <v>42</v>
      </c>
      <c r="M5795" t="s">
        <v>125</v>
      </c>
      <c r="N5795" t="s">
        <v>6</v>
      </c>
      <c r="O5795" t="s">
        <v>188</v>
      </c>
      <c r="P5795" s="1" t="s">
        <v>30</v>
      </c>
      <c r="Q5795">
        <v>143.69999999999999</v>
      </c>
    </row>
    <row r="5796" spans="11:17" x14ac:dyDescent="0.3">
      <c r="K5796">
        <v>2018</v>
      </c>
      <c r="L5796" t="s">
        <v>42</v>
      </c>
      <c r="M5796" t="s">
        <v>125</v>
      </c>
      <c r="N5796" t="s">
        <v>6</v>
      </c>
      <c r="O5796" t="s">
        <v>188</v>
      </c>
      <c r="P5796" s="1" t="s">
        <v>34</v>
      </c>
      <c r="Q5796">
        <v>142.9</v>
      </c>
    </row>
    <row r="5797" spans="11:17" x14ac:dyDescent="0.3">
      <c r="K5797">
        <v>2018</v>
      </c>
      <c r="L5797" t="s">
        <v>42</v>
      </c>
      <c r="M5797" t="s">
        <v>125</v>
      </c>
      <c r="N5797" t="s">
        <v>6</v>
      </c>
      <c r="O5797" t="s">
        <v>188</v>
      </c>
      <c r="P5797" s="1" t="s">
        <v>33</v>
      </c>
      <c r="Q5797">
        <v>141.5</v>
      </c>
    </row>
    <row r="5798" spans="11:17" x14ac:dyDescent="0.3">
      <c r="K5798">
        <v>2018</v>
      </c>
      <c r="L5798" t="s">
        <v>42</v>
      </c>
      <c r="M5798" t="s">
        <v>125</v>
      </c>
      <c r="N5798" t="s">
        <v>28</v>
      </c>
      <c r="O5798" t="s">
        <v>192</v>
      </c>
      <c r="P5798" s="1" t="s">
        <v>30</v>
      </c>
      <c r="Q5798">
        <v>137.4</v>
      </c>
    </row>
    <row r="5799" spans="11:17" x14ac:dyDescent="0.3">
      <c r="K5799">
        <v>2018</v>
      </c>
      <c r="L5799" t="s">
        <v>42</v>
      </c>
      <c r="M5799" t="s">
        <v>125</v>
      </c>
      <c r="N5799" t="s">
        <v>28</v>
      </c>
      <c r="O5799" t="s">
        <v>192</v>
      </c>
      <c r="P5799" s="1" t="s">
        <v>34</v>
      </c>
      <c r="Q5799">
        <v>134.69999999999999</v>
      </c>
    </row>
    <row r="5800" spans="11:17" x14ac:dyDescent="0.3">
      <c r="K5800">
        <v>2018</v>
      </c>
      <c r="L5800" t="s">
        <v>42</v>
      </c>
      <c r="M5800" t="s">
        <v>125</v>
      </c>
      <c r="N5800" t="s">
        <v>28</v>
      </c>
      <c r="O5800" t="s">
        <v>192</v>
      </c>
      <c r="P5800" s="1" t="s">
        <v>33</v>
      </c>
      <c r="Q5800">
        <v>131.9</v>
      </c>
    </row>
    <row r="5801" spans="11:17" x14ac:dyDescent="0.3">
      <c r="K5801">
        <v>2018</v>
      </c>
      <c r="L5801" t="s">
        <v>42</v>
      </c>
      <c r="M5801" t="s">
        <v>125</v>
      </c>
      <c r="N5801" t="s">
        <v>13</v>
      </c>
      <c r="O5801" t="s">
        <v>188</v>
      </c>
      <c r="P5801" s="1" t="s">
        <v>30</v>
      </c>
      <c r="Q5801">
        <v>133.1</v>
      </c>
    </row>
    <row r="5802" spans="11:17" x14ac:dyDescent="0.3">
      <c r="K5802">
        <v>2018</v>
      </c>
      <c r="L5802" t="s">
        <v>42</v>
      </c>
      <c r="M5802" t="s">
        <v>125</v>
      </c>
      <c r="N5802" t="s">
        <v>13</v>
      </c>
      <c r="O5802" t="s">
        <v>188</v>
      </c>
      <c r="P5802" s="1" t="s">
        <v>34</v>
      </c>
      <c r="Q5802">
        <v>130.80000000000001</v>
      </c>
    </row>
    <row r="5803" spans="11:17" x14ac:dyDescent="0.3">
      <c r="K5803">
        <v>2018</v>
      </c>
      <c r="L5803" t="s">
        <v>42</v>
      </c>
      <c r="M5803" t="s">
        <v>125</v>
      </c>
      <c r="N5803" t="s">
        <v>13</v>
      </c>
      <c r="O5803" t="s">
        <v>188</v>
      </c>
      <c r="P5803" s="1" t="s">
        <v>33</v>
      </c>
      <c r="Q5803">
        <v>127.7</v>
      </c>
    </row>
    <row r="5804" spans="11:17" x14ac:dyDescent="0.3">
      <c r="K5804">
        <v>2018</v>
      </c>
      <c r="L5804" t="s">
        <v>42</v>
      </c>
      <c r="M5804" t="s">
        <v>125</v>
      </c>
      <c r="N5804" t="s">
        <v>7</v>
      </c>
      <c r="O5804" t="s">
        <v>188</v>
      </c>
      <c r="P5804" s="1" t="s">
        <v>30</v>
      </c>
      <c r="Q5804">
        <v>124.6</v>
      </c>
    </row>
    <row r="5805" spans="11:17" x14ac:dyDescent="0.3">
      <c r="K5805">
        <v>2018</v>
      </c>
      <c r="L5805" t="s">
        <v>42</v>
      </c>
      <c r="M5805" t="s">
        <v>125</v>
      </c>
      <c r="N5805" t="s">
        <v>7</v>
      </c>
      <c r="O5805" t="s">
        <v>188</v>
      </c>
      <c r="P5805" s="1" t="s">
        <v>34</v>
      </c>
      <c r="Q5805">
        <v>122.1</v>
      </c>
    </row>
    <row r="5806" spans="11:17" x14ac:dyDescent="0.3">
      <c r="K5806">
        <v>2018</v>
      </c>
      <c r="L5806" t="s">
        <v>42</v>
      </c>
      <c r="M5806" t="s">
        <v>125</v>
      </c>
      <c r="N5806" t="s">
        <v>7</v>
      </c>
      <c r="O5806" t="s">
        <v>188</v>
      </c>
      <c r="P5806" s="1" t="s">
        <v>33</v>
      </c>
      <c r="Q5806">
        <v>117.8</v>
      </c>
    </row>
    <row r="5807" spans="11:17" x14ac:dyDescent="0.3">
      <c r="K5807">
        <v>2018</v>
      </c>
      <c r="L5807" t="s">
        <v>42</v>
      </c>
      <c r="M5807" t="s">
        <v>125</v>
      </c>
      <c r="N5807" t="s">
        <v>16</v>
      </c>
      <c r="O5807" t="s">
        <v>192</v>
      </c>
      <c r="P5807" s="1" t="s">
        <v>30</v>
      </c>
      <c r="Q5807">
        <v>157.69999999999999</v>
      </c>
    </row>
    <row r="5808" spans="11:17" x14ac:dyDescent="0.3">
      <c r="K5808">
        <v>2018</v>
      </c>
      <c r="L5808" t="s">
        <v>42</v>
      </c>
      <c r="M5808" t="s">
        <v>125</v>
      </c>
      <c r="N5808" t="s">
        <v>16</v>
      </c>
      <c r="O5808" t="s">
        <v>192</v>
      </c>
      <c r="P5808" s="1" t="s">
        <v>34</v>
      </c>
      <c r="Q5808">
        <v>159.19999999999999</v>
      </c>
    </row>
    <row r="5809" spans="11:17" x14ac:dyDescent="0.3">
      <c r="K5809">
        <v>2018</v>
      </c>
      <c r="L5809" t="s">
        <v>42</v>
      </c>
      <c r="M5809" t="s">
        <v>125</v>
      </c>
      <c r="N5809" t="s">
        <v>16</v>
      </c>
      <c r="O5809" t="s">
        <v>192</v>
      </c>
      <c r="P5809" s="1" t="s">
        <v>33</v>
      </c>
      <c r="Q5809">
        <v>163.30000000000001</v>
      </c>
    </row>
    <row r="5810" spans="11:17" x14ac:dyDescent="0.3">
      <c r="K5810">
        <v>2018</v>
      </c>
      <c r="L5810" t="s">
        <v>42</v>
      </c>
      <c r="M5810" t="s">
        <v>125</v>
      </c>
      <c r="N5810" t="s">
        <v>27</v>
      </c>
      <c r="O5810" t="s">
        <v>192</v>
      </c>
      <c r="P5810" s="1" t="s">
        <v>30</v>
      </c>
      <c r="Q5810">
        <v>132</v>
      </c>
    </row>
    <row r="5811" spans="11:17" x14ac:dyDescent="0.3">
      <c r="K5811">
        <v>2018</v>
      </c>
      <c r="L5811" t="s">
        <v>42</v>
      </c>
      <c r="M5811" t="s">
        <v>125</v>
      </c>
      <c r="N5811" t="s">
        <v>27</v>
      </c>
      <c r="O5811" t="s">
        <v>192</v>
      </c>
      <c r="P5811" s="1" t="s">
        <v>34</v>
      </c>
      <c r="Q5811">
        <v>130.9</v>
      </c>
    </row>
    <row r="5812" spans="11:17" x14ac:dyDescent="0.3">
      <c r="K5812">
        <v>2018</v>
      </c>
      <c r="L5812" t="s">
        <v>42</v>
      </c>
      <c r="M5812" t="s">
        <v>125</v>
      </c>
      <c r="N5812" t="s">
        <v>27</v>
      </c>
      <c r="O5812" t="s">
        <v>192</v>
      </c>
      <c r="P5812" s="1" t="s">
        <v>33</v>
      </c>
      <c r="Q5812">
        <v>129.30000000000001</v>
      </c>
    </row>
    <row r="5813" spans="11:17" x14ac:dyDescent="0.3">
      <c r="K5813">
        <v>2018</v>
      </c>
      <c r="L5813" t="s">
        <v>42</v>
      </c>
      <c r="M5813" t="s">
        <v>125</v>
      </c>
      <c r="N5813" t="s">
        <v>14</v>
      </c>
      <c r="O5813" t="s">
        <v>188</v>
      </c>
      <c r="P5813" s="1" t="s">
        <v>30</v>
      </c>
      <c r="Q5813">
        <v>155.9</v>
      </c>
    </row>
    <row r="5814" spans="11:17" x14ac:dyDescent="0.3">
      <c r="K5814">
        <v>2018</v>
      </c>
      <c r="L5814" t="s">
        <v>42</v>
      </c>
      <c r="M5814" t="s">
        <v>125</v>
      </c>
      <c r="N5814" t="s">
        <v>14</v>
      </c>
      <c r="O5814" t="s">
        <v>188</v>
      </c>
      <c r="P5814" s="1" t="s">
        <v>34</v>
      </c>
      <c r="Q5814">
        <v>153.80000000000001</v>
      </c>
    </row>
    <row r="5815" spans="11:17" x14ac:dyDescent="0.3">
      <c r="K5815">
        <v>2018</v>
      </c>
      <c r="L5815" t="s">
        <v>42</v>
      </c>
      <c r="M5815" t="s">
        <v>125</v>
      </c>
      <c r="N5815" t="s">
        <v>14</v>
      </c>
      <c r="O5815" t="s">
        <v>188</v>
      </c>
      <c r="P5815" s="1" t="s">
        <v>33</v>
      </c>
      <c r="Q5815">
        <v>151.30000000000001</v>
      </c>
    </row>
    <row r="5816" spans="11:17" x14ac:dyDescent="0.3">
      <c r="K5816">
        <v>2018</v>
      </c>
      <c r="L5816" t="s">
        <v>42</v>
      </c>
      <c r="M5816" t="s">
        <v>125</v>
      </c>
      <c r="N5816" t="s">
        <v>10</v>
      </c>
      <c r="O5816" t="s">
        <v>188</v>
      </c>
      <c r="P5816" s="1" t="s">
        <v>30</v>
      </c>
      <c r="Q5816">
        <v>125.4</v>
      </c>
    </row>
    <row r="5817" spans="11:17" x14ac:dyDescent="0.3">
      <c r="K5817">
        <v>2018</v>
      </c>
      <c r="L5817" t="s">
        <v>42</v>
      </c>
      <c r="M5817" t="s">
        <v>125</v>
      </c>
      <c r="N5817" t="s">
        <v>10</v>
      </c>
      <c r="O5817" t="s">
        <v>188</v>
      </c>
      <c r="P5817" s="1" t="s">
        <v>34</v>
      </c>
      <c r="Q5817">
        <v>121.4</v>
      </c>
    </row>
    <row r="5818" spans="11:17" x14ac:dyDescent="0.3">
      <c r="K5818">
        <v>2018</v>
      </c>
      <c r="L5818" t="s">
        <v>42</v>
      </c>
      <c r="M5818" t="s">
        <v>125</v>
      </c>
      <c r="N5818" t="s">
        <v>10</v>
      </c>
      <c r="O5818" t="s">
        <v>188</v>
      </c>
      <c r="P5818" s="1" t="s">
        <v>33</v>
      </c>
      <c r="Q5818">
        <v>113.5</v>
      </c>
    </row>
    <row r="5819" spans="11:17" x14ac:dyDescent="0.3">
      <c r="K5819">
        <v>2018</v>
      </c>
      <c r="L5819" t="s">
        <v>42</v>
      </c>
      <c r="M5819" t="s">
        <v>125</v>
      </c>
      <c r="N5819" t="s">
        <v>25</v>
      </c>
      <c r="O5819" t="s">
        <v>195</v>
      </c>
      <c r="P5819" s="1" t="s">
        <v>30</v>
      </c>
      <c r="Q5819">
        <v>140</v>
      </c>
    </row>
    <row r="5820" spans="11:17" x14ac:dyDescent="0.3">
      <c r="K5820">
        <v>2018</v>
      </c>
      <c r="L5820" t="s">
        <v>42</v>
      </c>
      <c r="M5820" t="s">
        <v>125</v>
      </c>
      <c r="N5820" t="s">
        <v>25</v>
      </c>
      <c r="O5820" t="s">
        <v>195</v>
      </c>
      <c r="P5820" s="1" t="s">
        <v>34</v>
      </c>
      <c r="Q5820">
        <v>134.5</v>
      </c>
    </row>
    <row r="5821" spans="11:17" x14ac:dyDescent="0.3">
      <c r="K5821">
        <v>2018</v>
      </c>
      <c r="L5821" t="s">
        <v>42</v>
      </c>
      <c r="M5821" t="s">
        <v>125</v>
      </c>
      <c r="N5821" t="s">
        <v>25</v>
      </c>
      <c r="O5821" t="s">
        <v>195</v>
      </c>
      <c r="P5821" s="1" t="s">
        <v>33</v>
      </c>
      <c r="Q5821">
        <v>130.19999999999999</v>
      </c>
    </row>
    <row r="5822" spans="11:17" x14ac:dyDescent="0.3">
      <c r="K5822">
        <v>2018</v>
      </c>
      <c r="L5822" t="s">
        <v>42</v>
      </c>
      <c r="M5822" t="s">
        <v>125</v>
      </c>
      <c r="N5822" t="s">
        <v>12</v>
      </c>
      <c r="O5822" t="s">
        <v>188</v>
      </c>
      <c r="P5822" s="1" t="s">
        <v>30</v>
      </c>
      <c r="Q5822">
        <v>138.69999999999999</v>
      </c>
    </row>
    <row r="5823" spans="11:17" x14ac:dyDescent="0.3">
      <c r="K5823">
        <v>2018</v>
      </c>
      <c r="L5823" t="s">
        <v>42</v>
      </c>
      <c r="M5823" t="s">
        <v>125</v>
      </c>
      <c r="N5823" t="s">
        <v>12</v>
      </c>
      <c r="O5823" t="s">
        <v>188</v>
      </c>
      <c r="P5823" s="1" t="s">
        <v>34</v>
      </c>
      <c r="Q5823">
        <v>139.5</v>
      </c>
    </row>
    <row r="5824" spans="11:17" x14ac:dyDescent="0.3">
      <c r="K5824">
        <v>2018</v>
      </c>
      <c r="L5824" t="s">
        <v>42</v>
      </c>
      <c r="M5824" t="s">
        <v>125</v>
      </c>
      <c r="N5824" t="s">
        <v>12</v>
      </c>
      <c r="O5824" t="s">
        <v>188</v>
      </c>
      <c r="P5824" s="1" t="s">
        <v>33</v>
      </c>
      <c r="Q5824">
        <v>141.19999999999999</v>
      </c>
    </row>
    <row r="5825" spans="11:17" x14ac:dyDescent="0.3">
      <c r="K5825">
        <v>2018</v>
      </c>
      <c r="L5825" t="s">
        <v>42</v>
      </c>
      <c r="M5825" t="s">
        <v>125</v>
      </c>
      <c r="N5825" t="s">
        <v>11</v>
      </c>
      <c r="O5825" t="s">
        <v>188</v>
      </c>
      <c r="P5825" s="1" t="s">
        <v>30</v>
      </c>
      <c r="Q5825">
        <v>114.4</v>
      </c>
    </row>
    <row r="5826" spans="11:17" x14ac:dyDescent="0.3">
      <c r="K5826">
        <v>2018</v>
      </c>
      <c r="L5826" t="s">
        <v>42</v>
      </c>
      <c r="M5826" t="s">
        <v>125</v>
      </c>
      <c r="N5826" t="s">
        <v>11</v>
      </c>
      <c r="O5826" t="s">
        <v>188</v>
      </c>
      <c r="P5826" s="1" t="s">
        <v>34</v>
      </c>
      <c r="Q5826">
        <v>113.7</v>
      </c>
    </row>
    <row r="5827" spans="11:17" x14ac:dyDescent="0.3">
      <c r="K5827">
        <v>2018</v>
      </c>
      <c r="L5827" t="s">
        <v>42</v>
      </c>
      <c r="M5827" t="s">
        <v>125</v>
      </c>
      <c r="N5827" t="s">
        <v>11</v>
      </c>
      <c r="O5827" t="s">
        <v>188</v>
      </c>
      <c r="P5827" s="1" t="s">
        <v>33</v>
      </c>
      <c r="Q5827">
        <v>112.3</v>
      </c>
    </row>
    <row r="5828" spans="11:17" x14ac:dyDescent="0.3">
      <c r="K5828">
        <v>2018</v>
      </c>
      <c r="L5828" t="s">
        <v>42</v>
      </c>
      <c r="M5828" t="s">
        <v>125</v>
      </c>
      <c r="N5828" t="s">
        <v>24</v>
      </c>
      <c r="O5828" t="s">
        <v>191</v>
      </c>
      <c r="P5828" s="1" t="s">
        <v>30</v>
      </c>
      <c r="Q5828">
        <v>129.9</v>
      </c>
    </row>
    <row r="5829" spans="11:17" x14ac:dyDescent="0.3">
      <c r="K5829">
        <v>2018</v>
      </c>
      <c r="L5829" t="s">
        <v>42</v>
      </c>
      <c r="M5829" t="s">
        <v>125</v>
      </c>
      <c r="N5829" t="s">
        <v>24</v>
      </c>
      <c r="O5829" t="s">
        <v>191</v>
      </c>
      <c r="P5829" s="1" t="s">
        <v>34</v>
      </c>
      <c r="Q5829">
        <v>126</v>
      </c>
    </row>
    <row r="5830" spans="11:17" x14ac:dyDescent="0.3">
      <c r="K5830">
        <v>2018</v>
      </c>
      <c r="L5830" t="s">
        <v>42</v>
      </c>
      <c r="M5830" t="s">
        <v>125</v>
      </c>
      <c r="N5830" t="s">
        <v>24</v>
      </c>
      <c r="O5830" t="s">
        <v>191</v>
      </c>
      <c r="P5830" s="1" t="s">
        <v>33</v>
      </c>
      <c r="Q5830">
        <v>122.5</v>
      </c>
    </row>
    <row r="5831" spans="11:17" x14ac:dyDescent="0.3">
      <c r="K5831">
        <v>2018</v>
      </c>
      <c r="L5831" t="s">
        <v>42</v>
      </c>
      <c r="M5831" t="s">
        <v>125</v>
      </c>
      <c r="N5831" t="s">
        <v>9</v>
      </c>
      <c r="O5831" t="s">
        <v>188</v>
      </c>
      <c r="P5831" s="1" t="s">
        <v>30</v>
      </c>
      <c r="Q5831">
        <v>149.4</v>
      </c>
    </row>
    <row r="5832" spans="11:17" x14ac:dyDescent="0.3">
      <c r="K5832">
        <v>2018</v>
      </c>
      <c r="L5832" t="s">
        <v>42</v>
      </c>
      <c r="M5832" t="s">
        <v>125</v>
      </c>
      <c r="N5832" t="s">
        <v>9</v>
      </c>
      <c r="O5832" t="s">
        <v>188</v>
      </c>
      <c r="P5832" s="1" t="s">
        <v>34</v>
      </c>
      <c r="Q5832">
        <v>150</v>
      </c>
    </row>
    <row r="5833" spans="11:17" x14ac:dyDescent="0.3">
      <c r="K5833">
        <v>2018</v>
      </c>
      <c r="L5833" t="s">
        <v>42</v>
      </c>
      <c r="M5833" t="s">
        <v>125</v>
      </c>
      <c r="N5833" t="s">
        <v>9</v>
      </c>
      <c r="O5833" t="s">
        <v>188</v>
      </c>
      <c r="P5833" s="1" t="s">
        <v>33</v>
      </c>
      <c r="Q5833">
        <v>151.30000000000001</v>
      </c>
    </row>
    <row r="5834" spans="11:17" x14ac:dyDescent="0.3">
      <c r="K5834">
        <v>2019</v>
      </c>
      <c r="L5834" t="s">
        <v>41</v>
      </c>
      <c r="M5834" t="s">
        <v>126</v>
      </c>
      <c r="N5834" t="s">
        <v>3</v>
      </c>
      <c r="O5834" t="s">
        <v>188</v>
      </c>
      <c r="P5834" s="1" t="s">
        <v>30</v>
      </c>
      <c r="Q5834">
        <v>139.19999999999999</v>
      </c>
    </row>
    <row r="5835" spans="11:17" x14ac:dyDescent="0.3">
      <c r="K5835">
        <v>2019</v>
      </c>
      <c r="L5835" t="s">
        <v>41</v>
      </c>
      <c r="M5835" t="s">
        <v>126</v>
      </c>
      <c r="N5835" t="s">
        <v>3</v>
      </c>
      <c r="O5835" t="s">
        <v>188</v>
      </c>
      <c r="P5835" s="1" t="s">
        <v>34</v>
      </c>
      <c r="Q5835">
        <v>140.1</v>
      </c>
    </row>
    <row r="5836" spans="11:17" x14ac:dyDescent="0.3">
      <c r="K5836">
        <v>2019</v>
      </c>
      <c r="L5836" t="s">
        <v>41</v>
      </c>
      <c r="M5836" t="s">
        <v>126</v>
      </c>
      <c r="N5836" t="s">
        <v>3</v>
      </c>
      <c r="O5836" t="s">
        <v>188</v>
      </c>
      <c r="P5836" s="1" t="s">
        <v>33</v>
      </c>
      <c r="Q5836">
        <v>142.1</v>
      </c>
    </row>
    <row r="5837" spans="11:17" x14ac:dyDescent="0.3">
      <c r="K5837">
        <v>2019</v>
      </c>
      <c r="L5837" t="s">
        <v>41</v>
      </c>
      <c r="M5837" t="s">
        <v>126</v>
      </c>
      <c r="N5837" t="s">
        <v>17</v>
      </c>
      <c r="O5837" t="s">
        <v>189</v>
      </c>
      <c r="P5837" s="1" t="s">
        <v>30</v>
      </c>
      <c r="Q5837">
        <v>151.80000000000001</v>
      </c>
    </row>
    <row r="5838" spans="11:17" x14ac:dyDescent="0.3">
      <c r="K5838">
        <v>2019</v>
      </c>
      <c r="L5838" t="s">
        <v>41</v>
      </c>
      <c r="M5838" t="s">
        <v>126</v>
      </c>
      <c r="N5838" t="s">
        <v>17</v>
      </c>
      <c r="O5838" t="s">
        <v>189</v>
      </c>
      <c r="P5838" s="1" t="s">
        <v>34</v>
      </c>
      <c r="Q5838">
        <v>149.1</v>
      </c>
    </row>
    <row r="5839" spans="11:17" x14ac:dyDescent="0.3">
      <c r="K5839">
        <v>2019</v>
      </c>
      <c r="L5839" t="s">
        <v>41</v>
      </c>
      <c r="M5839" t="s">
        <v>126</v>
      </c>
      <c r="N5839" t="s">
        <v>17</v>
      </c>
      <c r="O5839" t="s">
        <v>189</v>
      </c>
      <c r="P5839" s="1" t="s">
        <v>33</v>
      </c>
      <c r="Q5839">
        <v>145</v>
      </c>
    </row>
    <row r="5840" spans="11:17" x14ac:dyDescent="0.3">
      <c r="K5840">
        <v>2019</v>
      </c>
      <c r="L5840" t="s">
        <v>41</v>
      </c>
      <c r="M5840" t="s">
        <v>126</v>
      </c>
      <c r="N5840" t="s">
        <v>19</v>
      </c>
      <c r="O5840" t="s">
        <v>189</v>
      </c>
      <c r="P5840" s="1" t="s">
        <v>30</v>
      </c>
      <c r="Q5840">
        <v>151.1</v>
      </c>
    </row>
    <row r="5841" spans="11:17" x14ac:dyDescent="0.3">
      <c r="K5841">
        <v>2019</v>
      </c>
      <c r="L5841" t="s">
        <v>41</v>
      </c>
      <c r="M5841" t="s">
        <v>126</v>
      </c>
      <c r="N5841" t="s">
        <v>19</v>
      </c>
      <c r="O5841" t="s">
        <v>189</v>
      </c>
      <c r="P5841" s="1" t="s">
        <v>34</v>
      </c>
      <c r="Q5841">
        <v>147.9</v>
      </c>
    </row>
    <row r="5842" spans="11:17" x14ac:dyDescent="0.3">
      <c r="K5842">
        <v>2019</v>
      </c>
      <c r="L5842" t="s">
        <v>41</v>
      </c>
      <c r="M5842" t="s">
        <v>126</v>
      </c>
      <c r="N5842" t="s">
        <v>19</v>
      </c>
      <c r="O5842" t="s">
        <v>189</v>
      </c>
      <c r="P5842" s="1" t="s">
        <v>33</v>
      </c>
      <c r="Q5842">
        <v>143</v>
      </c>
    </row>
    <row r="5843" spans="11:17" x14ac:dyDescent="0.3">
      <c r="K5843">
        <v>2019</v>
      </c>
      <c r="L5843" t="s">
        <v>41</v>
      </c>
      <c r="M5843" t="s">
        <v>126</v>
      </c>
      <c r="N5843" t="s">
        <v>26</v>
      </c>
      <c r="O5843" t="s">
        <v>26</v>
      </c>
      <c r="P5843" s="1" t="s">
        <v>30</v>
      </c>
      <c r="Q5843">
        <v>159.69999999999999</v>
      </c>
    </row>
    <row r="5844" spans="11:17" x14ac:dyDescent="0.3">
      <c r="K5844">
        <v>2019</v>
      </c>
      <c r="L5844" t="s">
        <v>41</v>
      </c>
      <c r="M5844" t="s">
        <v>126</v>
      </c>
      <c r="N5844" t="s">
        <v>26</v>
      </c>
      <c r="O5844" t="s">
        <v>26</v>
      </c>
      <c r="P5844" s="1" t="s">
        <v>34</v>
      </c>
      <c r="Q5844">
        <v>154.9</v>
      </c>
    </row>
    <row r="5845" spans="11:17" x14ac:dyDescent="0.3">
      <c r="K5845">
        <v>2019</v>
      </c>
      <c r="L5845" t="s">
        <v>41</v>
      </c>
      <c r="M5845" t="s">
        <v>126</v>
      </c>
      <c r="N5845" t="s">
        <v>26</v>
      </c>
      <c r="O5845" t="s">
        <v>26</v>
      </c>
      <c r="P5845" s="1" t="s">
        <v>33</v>
      </c>
      <c r="Q5845">
        <v>151.5</v>
      </c>
    </row>
    <row r="5846" spans="11:17" x14ac:dyDescent="0.3">
      <c r="K5846">
        <v>2019</v>
      </c>
      <c r="L5846" t="s">
        <v>41</v>
      </c>
      <c r="M5846" t="s">
        <v>126</v>
      </c>
      <c r="N5846" t="s">
        <v>5</v>
      </c>
      <c r="O5846" t="s">
        <v>188</v>
      </c>
      <c r="P5846" s="1" t="s">
        <v>30</v>
      </c>
      <c r="Q5846">
        <v>137.1</v>
      </c>
    </row>
    <row r="5847" spans="11:17" x14ac:dyDescent="0.3">
      <c r="K5847">
        <v>2019</v>
      </c>
      <c r="L5847" t="s">
        <v>41</v>
      </c>
      <c r="M5847" t="s">
        <v>126</v>
      </c>
      <c r="N5847" t="s">
        <v>5</v>
      </c>
      <c r="O5847" t="s">
        <v>188</v>
      </c>
      <c r="P5847" s="1" t="s">
        <v>34</v>
      </c>
      <c r="Q5847">
        <v>138.5</v>
      </c>
    </row>
    <row r="5848" spans="11:17" x14ac:dyDescent="0.3">
      <c r="K5848">
        <v>2019</v>
      </c>
      <c r="L5848" t="s">
        <v>41</v>
      </c>
      <c r="M5848" t="s">
        <v>126</v>
      </c>
      <c r="N5848" t="s">
        <v>5</v>
      </c>
      <c r="O5848" t="s">
        <v>188</v>
      </c>
      <c r="P5848" s="1" t="s">
        <v>33</v>
      </c>
      <c r="Q5848">
        <v>140.80000000000001</v>
      </c>
    </row>
    <row r="5849" spans="11:17" x14ac:dyDescent="0.3">
      <c r="K5849">
        <v>2019</v>
      </c>
      <c r="L5849" t="s">
        <v>41</v>
      </c>
      <c r="M5849" t="s">
        <v>126</v>
      </c>
      <c r="N5849" t="s">
        <v>15</v>
      </c>
      <c r="O5849" t="s">
        <v>188</v>
      </c>
      <c r="P5849" s="1" t="s">
        <v>30</v>
      </c>
      <c r="Q5849">
        <v>144</v>
      </c>
    </row>
    <row r="5850" spans="11:17" x14ac:dyDescent="0.3">
      <c r="K5850">
        <v>2019</v>
      </c>
      <c r="L5850" t="s">
        <v>41</v>
      </c>
      <c r="M5850" t="s">
        <v>126</v>
      </c>
      <c r="N5850" t="s">
        <v>15</v>
      </c>
      <c r="O5850" t="s">
        <v>188</v>
      </c>
      <c r="P5850" s="1" t="s">
        <v>34</v>
      </c>
      <c r="Q5850">
        <v>145.9</v>
      </c>
    </row>
    <row r="5851" spans="11:17" x14ac:dyDescent="0.3">
      <c r="K5851">
        <v>2019</v>
      </c>
      <c r="L5851" t="s">
        <v>41</v>
      </c>
      <c r="M5851" t="s">
        <v>126</v>
      </c>
      <c r="N5851" t="s">
        <v>15</v>
      </c>
      <c r="O5851" t="s">
        <v>188</v>
      </c>
      <c r="P5851" s="1" t="s">
        <v>33</v>
      </c>
      <c r="Q5851">
        <v>149.1</v>
      </c>
    </row>
    <row r="5852" spans="11:17" x14ac:dyDescent="0.3">
      <c r="K5852">
        <v>2019</v>
      </c>
      <c r="L5852" t="s">
        <v>41</v>
      </c>
      <c r="M5852" t="s">
        <v>126</v>
      </c>
      <c r="N5852" t="s">
        <v>18</v>
      </c>
      <c r="O5852" t="s">
        <v>189</v>
      </c>
      <c r="P5852" s="1" t="s">
        <v>30</v>
      </c>
      <c r="Q5852">
        <v>146.6</v>
      </c>
    </row>
    <row r="5853" spans="11:17" x14ac:dyDescent="0.3">
      <c r="K5853">
        <v>2019</v>
      </c>
      <c r="L5853" t="s">
        <v>41</v>
      </c>
      <c r="M5853" t="s">
        <v>126</v>
      </c>
      <c r="N5853" t="s">
        <v>18</v>
      </c>
      <c r="O5853" t="s">
        <v>189</v>
      </c>
      <c r="P5853" s="1" t="s">
        <v>34</v>
      </c>
      <c r="Q5853">
        <v>140.6</v>
      </c>
    </row>
    <row r="5854" spans="11:17" x14ac:dyDescent="0.3">
      <c r="K5854">
        <v>2019</v>
      </c>
      <c r="L5854" t="s">
        <v>41</v>
      </c>
      <c r="M5854" t="s">
        <v>126</v>
      </c>
      <c r="N5854" t="s">
        <v>18</v>
      </c>
      <c r="O5854" t="s">
        <v>189</v>
      </c>
      <c r="P5854" s="1" t="s">
        <v>33</v>
      </c>
      <c r="Q5854">
        <v>132.19999999999999</v>
      </c>
    </row>
    <row r="5855" spans="11:17" x14ac:dyDescent="0.3">
      <c r="K5855">
        <v>2019</v>
      </c>
      <c r="L5855" t="s">
        <v>41</v>
      </c>
      <c r="M5855" t="s">
        <v>126</v>
      </c>
      <c r="N5855" t="s">
        <v>8</v>
      </c>
      <c r="O5855" t="s">
        <v>188</v>
      </c>
      <c r="P5855" s="1" t="s">
        <v>30</v>
      </c>
      <c r="Q5855">
        <v>145.5</v>
      </c>
    </row>
    <row r="5856" spans="11:17" x14ac:dyDescent="0.3">
      <c r="K5856">
        <v>2019</v>
      </c>
      <c r="L5856" t="s">
        <v>41</v>
      </c>
      <c r="M5856" t="s">
        <v>126</v>
      </c>
      <c r="N5856" t="s">
        <v>8</v>
      </c>
      <c r="O5856" t="s">
        <v>188</v>
      </c>
      <c r="P5856" s="1" t="s">
        <v>34</v>
      </c>
      <c r="Q5856">
        <v>149.4</v>
      </c>
    </row>
    <row r="5857" spans="11:17" x14ac:dyDescent="0.3">
      <c r="K5857">
        <v>2019</v>
      </c>
      <c r="L5857" t="s">
        <v>41</v>
      </c>
      <c r="M5857" t="s">
        <v>126</v>
      </c>
      <c r="N5857" t="s">
        <v>8</v>
      </c>
      <c r="O5857" t="s">
        <v>188</v>
      </c>
      <c r="P5857" s="1" t="s">
        <v>33</v>
      </c>
      <c r="Q5857">
        <v>153.9</v>
      </c>
    </row>
    <row r="5858" spans="11:17" x14ac:dyDescent="0.3">
      <c r="K5858">
        <v>2019</v>
      </c>
      <c r="L5858" t="s">
        <v>41</v>
      </c>
      <c r="M5858" t="s">
        <v>126</v>
      </c>
      <c r="N5858" t="s">
        <v>21</v>
      </c>
      <c r="O5858" t="s">
        <v>190</v>
      </c>
      <c r="P5858" s="1" t="s">
        <v>30</v>
      </c>
      <c r="Q5858">
        <v>146.4</v>
      </c>
    </row>
    <row r="5859" spans="11:17" x14ac:dyDescent="0.3">
      <c r="K5859">
        <v>2019</v>
      </c>
      <c r="L5859" t="s">
        <v>41</v>
      </c>
      <c r="M5859" t="s">
        <v>126</v>
      </c>
      <c r="N5859" t="s">
        <v>21</v>
      </c>
      <c r="O5859" t="s">
        <v>190</v>
      </c>
      <c r="P5859" s="1" t="s">
        <v>34</v>
      </c>
      <c r="Q5859">
        <v>138.5</v>
      </c>
    </row>
    <row r="5860" spans="11:17" x14ac:dyDescent="0.3">
      <c r="K5860">
        <v>2019</v>
      </c>
      <c r="L5860" t="s">
        <v>41</v>
      </c>
      <c r="M5860" t="s">
        <v>126</v>
      </c>
      <c r="N5860" t="s">
        <v>21</v>
      </c>
      <c r="O5860" t="s">
        <v>190</v>
      </c>
      <c r="P5860" s="1" t="s">
        <v>33</v>
      </c>
      <c r="Q5860">
        <v>125.5</v>
      </c>
    </row>
    <row r="5861" spans="11:17" x14ac:dyDescent="0.3">
      <c r="K5861">
        <v>2019</v>
      </c>
      <c r="L5861" t="s">
        <v>41</v>
      </c>
      <c r="M5861" t="s">
        <v>126</v>
      </c>
      <c r="N5861" t="s">
        <v>29</v>
      </c>
      <c r="O5861" t="s">
        <v>206</v>
      </c>
      <c r="P5861" s="1" t="s">
        <v>30</v>
      </c>
      <c r="Q5861">
        <v>145.69999999999999</v>
      </c>
    </row>
    <row r="5862" spans="11:17" x14ac:dyDescent="0.3">
      <c r="K5862">
        <v>2019</v>
      </c>
      <c r="L5862" t="s">
        <v>41</v>
      </c>
      <c r="M5862" t="s">
        <v>126</v>
      </c>
      <c r="N5862" t="s">
        <v>29</v>
      </c>
      <c r="O5862" t="s">
        <v>206</v>
      </c>
      <c r="P5862" s="1" t="s">
        <v>34</v>
      </c>
      <c r="Q5862">
        <v>145</v>
      </c>
    </row>
    <row r="5863" spans="11:17" x14ac:dyDescent="0.3">
      <c r="K5863">
        <v>2019</v>
      </c>
      <c r="L5863" t="s">
        <v>41</v>
      </c>
      <c r="M5863" t="s">
        <v>126</v>
      </c>
      <c r="N5863" t="s">
        <v>29</v>
      </c>
      <c r="O5863" t="s">
        <v>206</v>
      </c>
      <c r="P5863" s="1" t="s">
        <v>33</v>
      </c>
      <c r="Q5863">
        <v>144.19999999999999</v>
      </c>
    </row>
    <row r="5864" spans="11:17" x14ac:dyDescent="0.3">
      <c r="K5864">
        <v>2019</v>
      </c>
      <c r="L5864" t="s">
        <v>41</v>
      </c>
      <c r="M5864" t="s">
        <v>126</v>
      </c>
      <c r="N5864" t="s">
        <v>23</v>
      </c>
      <c r="O5864" t="s">
        <v>23</v>
      </c>
      <c r="P5864" s="1" t="s">
        <v>30</v>
      </c>
      <c r="Q5864">
        <v>152.69999999999999</v>
      </c>
    </row>
    <row r="5865" spans="11:17" x14ac:dyDescent="0.3">
      <c r="K5865">
        <v>2019</v>
      </c>
      <c r="L5865" t="s">
        <v>41</v>
      </c>
      <c r="M5865" t="s">
        <v>126</v>
      </c>
      <c r="N5865" t="s">
        <v>23</v>
      </c>
      <c r="O5865" t="s">
        <v>23</v>
      </c>
      <c r="P5865" s="1" t="s">
        <v>34</v>
      </c>
      <c r="Q5865">
        <v>148.5</v>
      </c>
    </row>
    <row r="5866" spans="11:17" x14ac:dyDescent="0.3">
      <c r="K5866">
        <v>2019</v>
      </c>
      <c r="L5866" t="s">
        <v>41</v>
      </c>
      <c r="M5866" t="s">
        <v>126</v>
      </c>
      <c r="N5866" t="s">
        <v>23</v>
      </c>
      <c r="O5866" t="s">
        <v>23</v>
      </c>
      <c r="P5866" s="1" t="s">
        <v>33</v>
      </c>
      <c r="Q5866">
        <v>141.5</v>
      </c>
    </row>
    <row r="5867" spans="11:17" x14ac:dyDescent="0.3">
      <c r="K5867">
        <v>2019</v>
      </c>
      <c r="L5867" t="s">
        <v>41</v>
      </c>
      <c r="M5867" t="s">
        <v>126</v>
      </c>
      <c r="N5867" t="s">
        <v>22</v>
      </c>
      <c r="O5867" t="s">
        <v>20</v>
      </c>
      <c r="P5867" s="1" t="s">
        <v>30</v>
      </c>
      <c r="Q5867">
        <v>150.19999999999999</v>
      </c>
    </row>
    <row r="5868" spans="11:17" x14ac:dyDescent="0.3">
      <c r="K5868">
        <v>2019</v>
      </c>
      <c r="L5868" t="s">
        <v>41</v>
      </c>
      <c r="M5868" t="s">
        <v>126</v>
      </c>
      <c r="N5868" t="s">
        <v>22</v>
      </c>
      <c r="O5868" t="s">
        <v>20</v>
      </c>
      <c r="P5868" s="1" t="s">
        <v>34</v>
      </c>
      <c r="Q5868">
        <v>144.5</v>
      </c>
    </row>
    <row r="5869" spans="11:17" x14ac:dyDescent="0.3">
      <c r="K5869">
        <v>2019</v>
      </c>
      <c r="L5869" t="s">
        <v>41</v>
      </c>
      <c r="M5869" t="s">
        <v>126</v>
      </c>
      <c r="N5869" t="s">
        <v>22</v>
      </c>
      <c r="O5869" t="s">
        <v>20</v>
      </c>
      <c r="P5869" s="1" t="s">
        <v>33</v>
      </c>
      <c r="Q5869">
        <v>138.1</v>
      </c>
    </row>
    <row r="5870" spans="11:17" x14ac:dyDescent="0.3">
      <c r="K5870">
        <v>2019</v>
      </c>
      <c r="L5870" t="s">
        <v>41</v>
      </c>
      <c r="M5870" t="s">
        <v>126</v>
      </c>
      <c r="N5870" t="s">
        <v>20</v>
      </c>
      <c r="O5870" t="s">
        <v>20</v>
      </c>
      <c r="P5870" s="1" t="s">
        <v>30</v>
      </c>
      <c r="Q5870">
        <v>0</v>
      </c>
    </row>
    <row r="5871" spans="11:17" x14ac:dyDescent="0.3">
      <c r="K5871">
        <v>2019</v>
      </c>
      <c r="L5871" t="s">
        <v>41</v>
      </c>
      <c r="M5871" t="s">
        <v>126</v>
      </c>
      <c r="N5871" t="s">
        <v>20</v>
      </c>
      <c r="O5871" t="s">
        <v>20</v>
      </c>
      <c r="P5871" s="1" t="s">
        <v>34</v>
      </c>
      <c r="Q5871">
        <v>151.6</v>
      </c>
    </row>
    <row r="5872" spans="11:17" x14ac:dyDescent="0.3">
      <c r="K5872">
        <v>2019</v>
      </c>
      <c r="L5872" t="s">
        <v>41</v>
      </c>
      <c r="M5872" t="s">
        <v>126</v>
      </c>
      <c r="N5872" t="s">
        <v>20</v>
      </c>
      <c r="O5872" t="s">
        <v>20</v>
      </c>
      <c r="P5872" s="1" t="s">
        <v>33</v>
      </c>
      <c r="Q5872">
        <v>151.6</v>
      </c>
    </row>
    <row r="5873" spans="11:17" x14ac:dyDescent="0.3">
      <c r="K5873">
        <v>2019</v>
      </c>
      <c r="L5873" t="s">
        <v>41</v>
      </c>
      <c r="M5873" t="s">
        <v>126</v>
      </c>
      <c r="N5873" t="s">
        <v>4</v>
      </c>
      <c r="O5873" t="s">
        <v>188</v>
      </c>
      <c r="P5873" s="1" t="s">
        <v>30</v>
      </c>
      <c r="Q5873">
        <v>161.9</v>
      </c>
    </row>
    <row r="5874" spans="11:17" x14ac:dyDescent="0.3">
      <c r="K5874">
        <v>2019</v>
      </c>
      <c r="L5874" t="s">
        <v>41</v>
      </c>
      <c r="M5874" t="s">
        <v>126</v>
      </c>
      <c r="N5874" t="s">
        <v>4</v>
      </c>
      <c r="O5874" t="s">
        <v>188</v>
      </c>
      <c r="P5874" s="1" t="s">
        <v>34</v>
      </c>
      <c r="Q5874">
        <v>160.6</v>
      </c>
    </row>
    <row r="5875" spans="11:17" x14ac:dyDescent="0.3">
      <c r="K5875">
        <v>2019</v>
      </c>
      <c r="L5875" t="s">
        <v>41</v>
      </c>
      <c r="M5875" t="s">
        <v>126</v>
      </c>
      <c r="N5875" t="s">
        <v>4</v>
      </c>
      <c r="O5875" t="s">
        <v>188</v>
      </c>
      <c r="P5875" s="1" t="s">
        <v>33</v>
      </c>
      <c r="Q5875">
        <v>158.30000000000001</v>
      </c>
    </row>
    <row r="5876" spans="11:17" x14ac:dyDescent="0.3">
      <c r="K5876">
        <v>2019</v>
      </c>
      <c r="L5876" t="s">
        <v>41</v>
      </c>
      <c r="M5876" t="s">
        <v>126</v>
      </c>
      <c r="N5876" t="s">
        <v>6</v>
      </c>
      <c r="O5876" t="s">
        <v>188</v>
      </c>
      <c r="P5876" s="1" t="s">
        <v>30</v>
      </c>
      <c r="Q5876">
        <v>144.6</v>
      </c>
    </row>
    <row r="5877" spans="11:17" x14ac:dyDescent="0.3">
      <c r="K5877">
        <v>2019</v>
      </c>
      <c r="L5877" t="s">
        <v>41</v>
      </c>
      <c r="M5877" t="s">
        <v>126</v>
      </c>
      <c r="N5877" t="s">
        <v>6</v>
      </c>
      <c r="O5877" t="s">
        <v>188</v>
      </c>
      <c r="P5877" s="1" t="s">
        <v>34</v>
      </c>
      <c r="Q5877">
        <v>144.69999999999999</v>
      </c>
    </row>
    <row r="5878" spans="11:17" x14ac:dyDescent="0.3">
      <c r="K5878">
        <v>2019</v>
      </c>
      <c r="L5878" t="s">
        <v>41</v>
      </c>
      <c r="M5878" t="s">
        <v>126</v>
      </c>
      <c r="N5878" t="s">
        <v>6</v>
      </c>
      <c r="O5878" t="s">
        <v>188</v>
      </c>
      <c r="P5878" s="1" t="s">
        <v>33</v>
      </c>
      <c r="Q5878">
        <v>144.9</v>
      </c>
    </row>
    <row r="5879" spans="11:17" x14ac:dyDescent="0.3">
      <c r="K5879">
        <v>2019</v>
      </c>
      <c r="L5879" t="s">
        <v>41</v>
      </c>
      <c r="M5879" t="s">
        <v>126</v>
      </c>
      <c r="N5879" t="s">
        <v>28</v>
      </c>
      <c r="O5879" t="s">
        <v>192</v>
      </c>
      <c r="P5879" s="1" t="s">
        <v>30</v>
      </c>
      <c r="Q5879">
        <v>144.9</v>
      </c>
    </row>
    <row r="5880" spans="11:17" x14ac:dyDescent="0.3">
      <c r="K5880">
        <v>2019</v>
      </c>
      <c r="L5880" t="s">
        <v>41</v>
      </c>
      <c r="M5880" t="s">
        <v>126</v>
      </c>
      <c r="N5880" t="s">
        <v>28</v>
      </c>
      <c r="O5880" t="s">
        <v>192</v>
      </c>
      <c r="P5880" s="1" t="s">
        <v>34</v>
      </c>
      <c r="Q5880">
        <v>140.19999999999999</v>
      </c>
    </row>
    <row r="5881" spans="11:17" x14ac:dyDescent="0.3">
      <c r="K5881">
        <v>2019</v>
      </c>
      <c r="L5881" t="s">
        <v>41</v>
      </c>
      <c r="M5881" t="s">
        <v>126</v>
      </c>
      <c r="N5881" t="s">
        <v>28</v>
      </c>
      <c r="O5881" t="s">
        <v>192</v>
      </c>
      <c r="P5881" s="1" t="s">
        <v>33</v>
      </c>
      <c r="Q5881">
        <v>135.30000000000001</v>
      </c>
    </row>
    <row r="5882" spans="11:17" x14ac:dyDescent="0.3">
      <c r="K5882">
        <v>2019</v>
      </c>
      <c r="L5882" t="s">
        <v>41</v>
      </c>
      <c r="M5882" t="s">
        <v>126</v>
      </c>
      <c r="N5882" t="s">
        <v>13</v>
      </c>
      <c r="O5882" t="s">
        <v>188</v>
      </c>
      <c r="P5882" s="1" t="s">
        <v>30</v>
      </c>
      <c r="Q5882">
        <v>138.5</v>
      </c>
    </row>
    <row r="5883" spans="11:17" x14ac:dyDescent="0.3">
      <c r="K5883">
        <v>2019</v>
      </c>
      <c r="L5883" t="s">
        <v>41</v>
      </c>
      <c r="M5883" t="s">
        <v>126</v>
      </c>
      <c r="N5883" t="s">
        <v>13</v>
      </c>
      <c r="O5883" t="s">
        <v>188</v>
      </c>
      <c r="P5883" s="1" t="s">
        <v>34</v>
      </c>
      <c r="Q5883">
        <v>134.9</v>
      </c>
    </row>
    <row r="5884" spans="11:17" x14ac:dyDescent="0.3">
      <c r="K5884">
        <v>2019</v>
      </c>
      <c r="L5884" t="s">
        <v>41</v>
      </c>
      <c r="M5884" t="s">
        <v>126</v>
      </c>
      <c r="N5884" t="s">
        <v>13</v>
      </c>
      <c r="O5884" t="s">
        <v>188</v>
      </c>
      <c r="P5884" s="1" t="s">
        <v>33</v>
      </c>
      <c r="Q5884">
        <v>129.80000000000001</v>
      </c>
    </row>
    <row r="5885" spans="11:17" x14ac:dyDescent="0.3">
      <c r="K5885">
        <v>2019</v>
      </c>
      <c r="L5885" t="s">
        <v>41</v>
      </c>
      <c r="M5885" t="s">
        <v>126</v>
      </c>
      <c r="N5885" t="s">
        <v>7</v>
      </c>
      <c r="O5885" t="s">
        <v>188</v>
      </c>
      <c r="P5885" s="1" t="s">
        <v>30</v>
      </c>
      <c r="Q5885">
        <v>124.7</v>
      </c>
    </row>
    <row r="5886" spans="11:17" x14ac:dyDescent="0.3">
      <c r="K5886">
        <v>2019</v>
      </c>
      <c r="L5886" t="s">
        <v>41</v>
      </c>
      <c r="M5886" t="s">
        <v>126</v>
      </c>
      <c r="N5886" t="s">
        <v>7</v>
      </c>
      <c r="O5886" t="s">
        <v>188</v>
      </c>
      <c r="P5886" s="1" t="s">
        <v>34</v>
      </c>
      <c r="Q5886">
        <v>122.9</v>
      </c>
    </row>
    <row r="5887" spans="11:17" x14ac:dyDescent="0.3">
      <c r="K5887">
        <v>2019</v>
      </c>
      <c r="L5887" t="s">
        <v>41</v>
      </c>
      <c r="M5887" t="s">
        <v>126</v>
      </c>
      <c r="N5887" t="s">
        <v>7</v>
      </c>
      <c r="O5887" t="s">
        <v>188</v>
      </c>
      <c r="P5887" s="1" t="s">
        <v>33</v>
      </c>
      <c r="Q5887">
        <v>119.9</v>
      </c>
    </row>
    <row r="5888" spans="11:17" x14ac:dyDescent="0.3">
      <c r="K5888">
        <v>2019</v>
      </c>
      <c r="L5888" t="s">
        <v>41</v>
      </c>
      <c r="M5888" t="s">
        <v>126</v>
      </c>
      <c r="N5888" t="s">
        <v>16</v>
      </c>
      <c r="O5888" t="s">
        <v>192</v>
      </c>
      <c r="P5888" s="1" t="s">
        <v>30</v>
      </c>
      <c r="Q5888">
        <v>165.1</v>
      </c>
    </row>
    <row r="5889" spans="11:17" x14ac:dyDescent="0.3">
      <c r="K5889">
        <v>2019</v>
      </c>
      <c r="L5889" t="s">
        <v>41</v>
      </c>
      <c r="M5889" t="s">
        <v>126</v>
      </c>
      <c r="N5889" t="s">
        <v>16</v>
      </c>
      <c r="O5889" t="s">
        <v>192</v>
      </c>
      <c r="P5889" s="1" t="s">
        <v>34</v>
      </c>
      <c r="Q5889">
        <v>165.8</v>
      </c>
    </row>
    <row r="5890" spans="11:17" x14ac:dyDescent="0.3">
      <c r="K5890">
        <v>2019</v>
      </c>
      <c r="L5890" t="s">
        <v>41</v>
      </c>
      <c r="M5890" t="s">
        <v>126</v>
      </c>
      <c r="N5890" t="s">
        <v>16</v>
      </c>
      <c r="O5890" t="s">
        <v>192</v>
      </c>
      <c r="P5890" s="1" t="s">
        <v>33</v>
      </c>
      <c r="Q5890">
        <v>167.9</v>
      </c>
    </row>
    <row r="5891" spans="11:17" x14ac:dyDescent="0.3">
      <c r="K5891">
        <v>2019</v>
      </c>
      <c r="L5891" t="s">
        <v>41</v>
      </c>
      <c r="M5891" t="s">
        <v>126</v>
      </c>
      <c r="N5891" t="s">
        <v>27</v>
      </c>
      <c r="O5891" t="s">
        <v>192</v>
      </c>
      <c r="P5891" s="1" t="s">
        <v>30</v>
      </c>
      <c r="Q5891">
        <v>138.80000000000001</v>
      </c>
    </row>
    <row r="5892" spans="11:17" x14ac:dyDescent="0.3">
      <c r="K5892">
        <v>2019</v>
      </c>
      <c r="L5892" t="s">
        <v>41</v>
      </c>
      <c r="M5892" t="s">
        <v>126</v>
      </c>
      <c r="N5892" t="s">
        <v>27</v>
      </c>
      <c r="O5892" t="s">
        <v>192</v>
      </c>
      <c r="P5892" s="1" t="s">
        <v>34</v>
      </c>
      <c r="Q5892">
        <v>138.4</v>
      </c>
    </row>
    <row r="5893" spans="11:17" x14ac:dyDescent="0.3">
      <c r="K5893">
        <v>2019</v>
      </c>
      <c r="L5893" t="s">
        <v>41</v>
      </c>
      <c r="M5893" t="s">
        <v>126</v>
      </c>
      <c r="N5893" t="s">
        <v>27</v>
      </c>
      <c r="O5893" t="s">
        <v>192</v>
      </c>
      <c r="P5893" s="1" t="s">
        <v>33</v>
      </c>
      <c r="Q5893">
        <v>137.80000000000001</v>
      </c>
    </row>
    <row r="5894" spans="11:17" x14ac:dyDescent="0.3">
      <c r="K5894">
        <v>2019</v>
      </c>
      <c r="L5894" t="s">
        <v>41</v>
      </c>
      <c r="M5894" t="s">
        <v>126</v>
      </c>
      <c r="N5894" t="s">
        <v>14</v>
      </c>
      <c r="O5894" t="s">
        <v>188</v>
      </c>
      <c r="P5894" s="1" t="s">
        <v>30</v>
      </c>
      <c r="Q5894">
        <v>156.9</v>
      </c>
    </row>
    <row r="5895" spans="11:17" x14ac:dyDescent="0.3">
      <c r="K5895">
        <v>2019</v>
      </c>
      <c r="L5895" t="s">
        <v>41</v>
      </c>
      <c r="M5895" t="s">
        <v>126</v>
      </c>
      <c r="N5895" t="s">
        <v>14</v>
      </c>
      <c r="O5895" t="s">
        <v>188</v>
      </c>
      <c r="P5895" s="1" t="s">
        <v>34</v>
      </c>
      <c r="Q5895">
        <v>156.6</v>
      </c>
    </row>
    <row r="5896" spans="11:17" x14ac:dyDescent="0.3">
      <c r="K5896">
        <v>2019</v>
      </c>
      <c r="L5896" t="s">
        <v>41</v>
      </c>
      <c r="M5896" t="s">
        <v>126</v>
      </c>
      <c r="N5896" t="s">
        <v>14</v>
      </c>
      <c r="O5896" t="s">
        <v>188</v>
      </c>
      <c r="P5896" s="1" t="s">
        <v>33</v>
      </c>
      <c r="Q5896">
        <v>156.19999999999999</v>
      </c>
    </row>
    <row r="5897" spans="11:17" x14ac:dyDescent="0.3">
      <c r="K5897">
        <v>2019</v>
      </c>
      <c r="L5897" t="s">
        <v>41</v>
      </c>
      <c r="M5897" t="s">
        <v>126</v>
      </c>
      <c r="N5897" t="s">
        <v>10</v>
      </c>
      <c r="O5897" t="s">
        <v>188</v>
      </c>
      <c r="P5897" s="1" t="s">
        <v>30</v>
      </c>
      <c r="Q5897">
        <v>131.5</v>
      </c>
    </row>
    <row r="5898" spans="11:17" x14ac:dyDescent="0.3">
      <c r="K5898">
        <v>2019</v>
      </c>
      <c r="L5898" t="s">
        <v>41</v>
      </c>
      <c r="M5898" t="s">
        <v>126</v>
      </c>
      <c r="N5898" t="s">
        <v>10</v>
      </c>
      <c r="O5898" t="s">
        <v>188</v>
      </c>
      <c r="P5898" s="1" t="s">
        <v>34</v>
      </c>
      <c r="Q5898">
        <v>130.9</v>
      </c>
    </row>
    <row r="5899" spans="11:17" x14ac:dyDescent="0.3">
      <c r="K5899">
        <v>2019</v>
      </c>
      <c r="L5899" t="s">
        <v>41</v>
      </c>
      <c r="M5899" t="s">
        <v>126</v>
      </c>
      <c r="N5899" t="s">
        <v>10</v>
      </c>
      <c r="O5899" t="s">
        <v>188</v>
      </c>
      <c r="P5899" s="1" t="s">
        <v>33</v>
      </c>
      <c r="Q5899">
        <v>129.80000000000001</v>
      </c>
    </row>
    <row r="5900" spans="11:17" x14ac:dyDescent="0.3">
      <c r="K5900">
        <v>2019</v>
      </c>
      <c r="L5900" t="s">
        <v>41</v>
      </c>
      <c r="M5900" t="s">
        <v>126</v>
      </c>
      <c r="N5900" t="s">
        <v>25</v>
      </c>
      <c r="O5900" t="s">
        <v>195</v>
      </c>
      <c r="P5900" s="1" t="s">
        <v>30</v>
      </c>
      <c r="Q5900">
        <v>148</v>
      </c>
    </row>
    <row r="5901" spans="11:17" x14ac:dyDescent="0.3">
      <c r="K5901">
        <v>2019</v>
      </c>
      <c r="L5901" t="s">
        <v>41</v>
      </c>
      <c r="M5901" t="s">
        <v>126</v>
      </c>
      <c r="N5901" t="s">
        <v>25</v>
      </c>
      <c r="O5901" t="s">
        <v>195</v>
      </c>
      <c r="P5901" s="1" t="s">
        <v>34</v>
      </c>
      <c r="Q5901">
        <v>140.9</v>
      </c>
    </row>
    <row r="5902" spans="11:17" x14ac:dyDescent="0.3">
      <c r="K5902">
        <v>2019</v>
      </c>
      <c r="L5902" t="s">
        <v>41</v>
      </c>
      <c r="M5902" t="s">
        <v>126</v>
      </c>
      <c r="N5902" t="s">
        <v>25</v>
      </c>
      <c r="O5902" t="s">
        <v>195</v>
      </c>
      <c r="P5902" s="1" t="s">
        <v>33</v>
      </c>
      <c r="Q5902">
        <v>135.4</v>
      </c>
    </row>
    <row r="5903" spans="11:17" x14ac:dyDescent="0.3">
      <c r="K5903">
        <v>2019</v>
      </c>
      <c r="L5903" t="s">
        <v>41</v>
      </c>
      <c r="M5903" t="s">
        <v>126</v>
      </c>
      <c r="N5903" t="s">
        <v>12</v>
      </c>
      <c r="O5903" t="s">
        <v>188</v>
      </c>
      <c r="P5903" s="1" t="s">
        <v>30</v>
      </c>
      <c r="Q5903">
        <v>142.69999999999999</v>
      </c>
    </row>
    <row r="5904" spans="11:17" x14ac:dyDescent="0.3">
      <c r="K5904">
        <v>2019</v>
      </c>
      <c r="L5904" t="s">
        <v>41</v>
      </c>
      <c r="M5904" t="s">
        <v>126</v>
      </c>
      <c r="N5904" t="s">
        <v>12</v>
      </c>
      <c r="O5904" t="s">
        <v>188</v>
      </c>
      <c r="P5904" s="1" t="s">
        <v>34</v>
      </c>
      <c r="Q5904">
        <v>142.6</v>
      </c>
    </row>
    <row r="5905" spans="11:17" x14ac:dyDescent="0.3">
      <c r="K5905">
        <v>2019</v>
      </c>
      <c r="L5905" t="s">
        <v>41</v>
      </c>
      <c r="M5905" t="s">
        <v>126</v>
      </c>
      <c r="N5905" t="s">
        <v>12</v>
      </c>
      <c r="O5905" t="s">
        <v>188</v>
      </c>
      <c r="P5905" s="1" t="s">
        <v>33</v>
      </c>
      <c r="Q5905">
        <v>142.5</v>
      </c>
    </row>
    <row r="5906" spans="11:17" x14ac:dyDescent="0.3">
      <c r="K5906">
        <v>2019</v>
      </c>
      <c r="L5906" t="s">
        <v>41</v>
      </c>
      <c r="M5906" t="s">
        <v>126</v>
      </c>
      <c r="N5906" t="s">
        <v>11</v>
      </c>
      <c r="O5906" t="s">
        <v>188</v>
      </c>
      <c r="P5906" s="1" t="s">
        <v>30</v>
      </c>
      <c r="Q5906">
        <v>111.7</v>
      </c>
    </row>
    <row r="5907" spans="11:17" x14ac:dyDescent="0.3">
      <c r="K5907">
        <v>2019</v>
      </c>
      <c r="L5907" t="s">
        <v>41</v>
      </c>
      <c r="M5907" t="s">
        <v>126</v>
      </c>
      <c r="N5907" t="s">
        <v>11</v>
      </c>
      <c r="O5907" t="s">
        <v>188</v>
      </c>
      <c r="P5907" s="1" t="s">
        <v>34</v>
      </c>
      <c r="Q5907">
        <v>112</v>
      </c>
    </row>
    <row r="5908" spans="11:17" x14ac:dyDescent="0.3">
      <c r="K5908">
        <v>2019</v>
      </c>
      <c r="L5908" t="s">
        <v>41</v>
      </c>
      <c r="M5908" t="s">
        <v>126</v>
      </c>
      <c r="N5908" t="s">
        <v>11</v>
      </c>
      <c r="O5908" t="s">
        <v>188</v>
      </c>
      <c r="P5908" s="1" t="s">
        <v>33</v>
      </c>
      <c r="Q5908">
        <v>112.7</v>
      </c>
    </row>
    <row r="5909" spans="11:17" x14ac:dyDescent="0.3">
      <c r="K5909">
        <v>2019</v>
      </c>
      <c r="L5909" t="s">
        <v>41</v>
      </c>
      <c r="M5909" t="s">
        <v>126</v>
      </c>
      <c r="N5909" t="s">
        <v>24</v>
      </c>
      <c r="O5909" t="s">
        <v>191</v>
      </c>
      <c r="P5909" s="1" t="s">
        <v>30</v>
      </c>
      <c r="Q5909">
        <v>131.4</v>
      </c>
    </row>
    <row r="5910" spans="11:17" x14ac:dyDescent="0.3">
      <c r="K5910">
        <v>2019</v>
      </c>
      <c r="L5910" t="s">
        <v>41</v>
      </c>
      <c r="M5910" t="s">
        <v>126</v>
      </c>
      <c r="N5910" t="s">
        <v>24</v>
      </c>
      <c r="O5910" t="s">
        <v>191</v>
      </c>
      <c r="P5910" s="1" t="s">
        <v>34</v>
      </c>
      <c r="Q5910">
        <v>125.8</v>
      </c>
    </row>
    <row r="5911" spans="11:17" x14ac:dyDescent="0.3">
      <c r="K5911">
        <v>2019</v>
      </c>
      <c r="L5911" t="s">
        <v>41</v>
      </c>
      <c r="M5911" t="s">
        <v>126</v>
      </c>
      <c r="N5911" t="s">
        <v>24</v>
      </c>
      <c r="O5911" t="s">
        <v>191</v>
      </c>
      <c r="P5911" s="1" t="s">
        <v>33</v>
      </c>
      <c r="Q5911">
        <v>120.8</v>
      </c>
    </row>
    <row r="5912" spans="11:17" x14ac:dyDescent="0.3">
      <c r="K5912">
        <v>2019</v>
      </c>
      <c r="L5912" t="s">
        <v>41</v>
      </c>
      <c r="M5912" t="s">
        <v>126</v>
      </c>
      <c r="N5912" t="s">
        <v>9</v>
      </c>
      <c r="O5912" t="s">
        <v>188</v>
      </c>
      <c r="P5912" s="1" t="s">
        <v>30</v>
      </c>
      <c r="Q5912">
        <v>156.19999999999999</v>
      </c>
    </row>
    <row r="5913" spans="11:17" x14ac:dyDescent="0.3">
      <c r="K5913">
        <v>2019</v>
      </c>
      <c r="L5913" t="s">
        <v>41</v>
      </c>
      <c r="M5913" t="s">
        <v>126</v>
      </c>
      <c r="N5913" t="s">
        <v>9</v>
      </c>
      <c r="O5913" t="s">
        <v>188</v>
      </c>
      <c r="P5913" s="1" t="s">
        <v>34</v>
      </c>
      <c r="Q5913">
        <v>167.4</v>
      </c>
    </row>
    <row r="5914" spans="11:17" x14ac:dyDescent="0.3">
      <c r="K5914">
        <v>2019</v>
      </c>
      <c r="L5914" t="s">
        <v>41</v>
      </c>
      <c r="M5914" t="s">
        <v>126</v>
      </c>
      <c r="N5914" t="s">
        <v>9</v>
      </c>
      <c r="O5914" t="s">
        <v>188</v>
      </c>
      <c r="P5914" s="1" t="s">
        <v>33</v>
      </c>
      <c r="Q5914">
        <v>189.1</v>
      </c>
    </row>
    <row r="5915" spans="11:17" x14ac:dyDescent="0.3">
      <c r="K5915">
        <v>2019</v>
      </c>
      <c r="L5915" t="s">
        <v>45</v>
      </c>
      <c r="M5915" t="s">
        <v>127</v>
      </c>
      <c r="N5915" t="s">
        <v>3</v>
      </c>
      <c r="O5915" t="s">
        <v>188</v>
      </c>
      <c r="P5915" s="1" t="s">
        <v>30</v>
      </c>
      <c r="Q5915">
        <v>142.80000000000001</v>
      </c>
    </row>
    <row r="5916" spans="11:17" x14ac:dyDescent="0.3">
      <c r="K5916">
        <v>2019</v>
      </c>
      <c r="L5916" t="s">
        <v>45</v>
      </c>
      <c r="M5916" t="s">
        <v>127</v>
      </c>
      <c r="N5916" t="s">
        <v>3</v>
      </c>
      <c r="O5916" t="s">
        <v>188</v>
      </c>
      <c r="P5916" s="1" t="s">
        <v>34</v>
      </c>
      <c r="Q5916">
        <v>143.5</v>
      </c>
    </row>
    <row r="5917" spans="11:17" x14ac:dyDescent="0.3">
      <c r="K5917">
        <v>2019</v>
      </c>
      <c r="L5917" t="s">
        <v>45</v>
      </c>
      <c r="M5917" t="s">
        <v>127</v>
      </c>
      <c r="N5917" t="s">
        <v>3</v>
      </c>
      <c r="O5917" t="s">
        <v>188</v>
      </c>
      <c r="P5917" s="1" t="s">
        <v>33</v>
      </c>
      <c r="Q5917">
        <v>144.9</v>
      </c>
    </row>
    <row r="5918" spans="11:17" x14ac:dyDescent="0.3">
      <c r="K5918">
        <v>2019</v>
      </c>
      <c r="L5918" t="s">
        <v>45</v>
      </c>
      <c r="M5918" t="s">
        <v>127</v>
      </c>
      <c r="N5918" t="s">
        <v>17</v>
      </c>
      <c r="O5918" t="s">
        <v>189</v>
      </c>
      <c r="P5918" s="1" t="s">
        <v>30</v>
      </c>
      <c r="Q5918">
        <v>152.6</v>
      </c>
    </row>
    <row r="5919" spans="11:17" x14ac:dyDescent="0.3">
      <c r="K5919">
        <v>2019</v>
      </c>
      <c r="L5919" t="s">
        <v>45</v>
      </c>
      <c r="M5919" t="s">
        <v>127</v>
      </c>
      <c r="N5919" t="s">
        <v>17</v>
      </c>
      <c r="O5919" t="s">
        <v>189</v>
      </c>
      <c r="P5919" s="1" t="s">
        <v>34</v>
      </c>
      <c r="Q5919">
        <v>150.30000000000001</v>
      </c>
    </row>
    <row r="5920" spans="11:17" x14ac:dyDescent="0.3">
      <c r="K5920">
        <v>2019</v>
      </c>
      <c r="L5920" t="s">
        <v>45</v>
      </c>
      <c r="M5920" t="s">
        <v>127</v>
      </c>
      <c r="N5920" t="s">
        <v>17</v>
      </c>
      <c r="O5920" t="s">
        <v>189</v>
      </c>
      <c r="P5920" s="1" t="s">
        <v>33</v>
      </c>
      <c r="Q5920">
        <v>146.80000000000001</v>
      </c>
    </row>
    <row r="5921" spans="11:17" x14ac:dyDescent="0.3">
      <c r="K5921">
        <v>2019</v>
      </c>
      <c r="L5921" t="s">
        <v>45</v>
      </c>
      <c r="M5921" t="s">
        <v>127</v>
      </c>
      <c r="N5921" t="s">
        <v>19</v>
      </c>
      <c r="O5921" t="s">
        <v>189</v>
      </c>
      <c r="P5921" s="1" t="s">
        <v>30</v>
      </c>
      <c r="Q5921">
        <v>151.9</v>
      </c>
    </row>
    <row r="5922" spans="11:17" x14ac:dyDescent="0.3">
      <c r="K5922">
        <v>2019</v>
      </c>
      <c r="L5922" t="s">
        <v>45</v>
      </c>
      <c r="M5922" t="s">
        <v>127</v>
      </c>
      <c r="N5922" t="s">
        <v>19</v>
      </c>
      <c r="O5922" t="s">
        <v>189</v>
      </c>
      <c r="P5922" s="1" t="s">
        <v>34</v>
      </c>
      <c r="Q5922">
        <v>149</v>
      </c>
    </row>
    <row r="5923" spans="11:17" x14ac:dyDescent="0.3">
      <c r="K5923">
        <v>2019</v>
      </c>
      <c r="L5923" t="s">
        <v>45</v>
      </c>
      <c r="M5923" t="s">
        <v>127</v>
      </c>
      <c r="N5923" t="s">
        <v>19</v>
      </c>
      <c r="O5923" t="s">
        <v>189</v>
      </c>
      <c r="P5923" s="1" t="s">
        <v>33</v>
      </c>
      <c r="Q5923">
        <v>144.6</v>
      </c>
    </row>
    <row r="5924" spans="11:17" x14ac:dyDescent="0.3">
      <c r="K5924">
        <v>2019</v>
      </c>
      <c r="L5924" t="s">
        <v>45</v>
      </c>
      <c r="M5924" t="s">
        <v>127</v>
      </c>
      <c r="N5924" t="s">
        <v>26</v>
      </c>
      <c r="O5924" t="s">
        <v>26</v>
      </c>
      <c r="P5924" s="1" t="s">
        <v>30</v>
      </c>
      <c r="Q5924">
        <v>161.1</v>
      </c>
    </row>
    <row r="5925" spans="11:17" x14ac:dyDescent="0.3">
      <c r="K5925">
        <v>2019</v>
      </c>
      <c r="L5925" t="s">
        <v>45</v>
      </c>
      <c r="M5925" t="s">
        <v>127</v>
      </c>
      <c r="N5925" t="s">
        <v>26</v>
      </c>
      <c r="O5925" t="s">
        <v>26</v>
      </c>
      <c r="P5925" s="1" t="s">
        <v>34</v>
      </c>
      <c r="Q5925">
        <v>155.69999999999999</v>
      </c>
    </row>
    <row r="5926" spans="11:17" x14ac:dyDescent="0.3">
      <c r="K5926">
        <v>2019</v>
      </c>
      <c r="L5926" t="s">
        <v>45</v>
      </c>
      <c r="M5926" t="s">
        <v>127</v>
      </c>
      <c r="N5926" t="s">
        <v>26</v>
      </c>
      <c r="O5926" t="s">
        <v>26</v>
      </c>
      <c r="P5926" s="1" t="s">
        <v>33</v>
      </c>
      <c r="Q5926">
        <v>151.9</v>
      </c>
    </row>
    <row r="5927" spans="11:17" x14ac:dyDescent="0.3">
      <c r="K5927">
        <v>2019</v>
      </c>
      <c r="L5927" t="s">
        <v>45</v>
      </c>
      <c r="M5927" t="s">
        <v>127</v>
      </c>
      <c r="N5927" t="s">
        <v>5</v>
      </c>
      <c r="O5927" t="s">
        <v>188</v>
      </c>
      <c r="P5927" s="1" t="s">
        <v>30</v>
      </c>
      <c r="Q5927">
        <v>149.5</v>
      </c>
    </row>
    <row r="5928" spans="11:17" x14ac:dyDescent="0.3">
      <c r="K5928">
        <v>2019</v>
      </c>
      <c r="L5928" t="s">
        <v>45</v>
      </c>
      <c r="M5928" t="s">
        <v>127</v>
      </c>
      <c r="N5928" t="s">
        <v>5</v>
      </c>
      <c r="O5928" t="s">
        <v>188</v>
      </c>
      <c r="P5928" s="1" t="s">
        <v>34</v>
      </c>
      <c r="Q5928">
        <v>151.1</v>
      </c>
    </row>
    <row r="5929" spans="11:17" x14ac:dyDescent="0.3">
      <c r="K5929">
        <v>2019</v>
      </c>
      <c r="L5929" t="s">
        <v>45</v>
      </c>
      <c r="M5929" t="s">
        <v>127</v>
      </c>
      <c r="N5929" t="s">
        <v>5</v>
      </c>
      <c r="O5929" t="s">
        <v>188</v>
      </c>
      <c r="P5929" s="1" t="s">
        <v>33</v>
      </c>
      <c r="Q5929">
        <v>153.69999999999999</v>
      </c>
    </row>
    <row r="5930" spans="11:17" x14ac:dyDescent="0.3">
      <c r="K5930">
        <v>2019</v>
      </c>
      <c r="L5930" t="s">
        <v>45</v>
      </c>
      <c r="M5930" t="s">
        <v>127</v>
      </c>
      <c r="N5930" t="s">
        <v>15</v>
      </c>
      <c r="O5930" t="s">
        <v>188</v>
      </c>
      <c r="P5930" s="1" t="s">
        <v>30</v>
      </c>
      <c r="Q5930">
        <v>154.30000000000001</v>
      </c>
    </row>
    <row r="5931" spans="11:17" x14ac:dyDescent="0.3">
      <c r="K5931">
        <v>2019</v>
      </c>
      <c r="L5931" t="s">
        <v>45</v>
      </c>
      <c r="M5931" t="s">
        <v>127</v>
      </c>
      <c r="N5931" t="s">
        <v>15</v>
      </c>
      <c r="O5931" t="s">
        <v>188</v>
      </c>
      <c r="P5931" s="1" t="s">
        <v>34</v>
      </c>
      <c r="Q5931">
        <v>155</v>
      </c>
    </row>
    <row r="5932" spans="11:17" x14ac:dyDescent="0.3">
      <c r="K5932">
        <v>2019</v>
      </c>
      <c r="L5932" t="s">
        <v>45</v>
      </c>
      <c r="M5932" t="s">
        <v>127</v>
      </c>
      <c r="N5932" t="s">
        <v>15</v>
      </c>
      <c r="O5932" t="s">
        <v>188</v>
      </c>
      <c r="P5932" s="1" t="s">
        <v>33</v>
      </c>
      <c r="Q5932">
        <v>156.30000000000001</v>
      </c>
    </row>
    <row r="5933" spans="11:17" x14ac:dyDescent="0.3">
      <c r="K5933">
        <v>2019</v>
      </c>
      <c r="L5933" t="s">
        <v>45</v>
      </c>
      <c r="M5933" t="s">
        <v>127</v>
      </c>
      <c r="N5933" t="s">
        <v>18</v>
      </c>
      <c r="O5933" t="s">
        <v>189</v>
      </c>
      <c r="P5933" s="1" t="s">
        <v>30</v>
      </c>
      <c r="Q5933">
        <v>147.30000000000001</v>
      </c>
    </row>
    <row r="5934" spans="11:17" x14ac:dyDescent="0.3">
      <c r="K5934">
        <v>2019</v>
      </c>
      <c r="L5934" t="s">
        <v>45</v>
      </c>
      <c r="M5934" t="s">
        <v>127</v>
      </c>
      <c r="N5934" t="s">
        <v>18</v>
      </c>
      <c r="O5934" t="s">
        <v>189</v>
      </c>
      <c r="P5934" s="1" t="s">
        <v>34</v>
      </c>
      <c r="Q5934">
        <v>141.30000000000001</v>
      </c>
    </row>
    <row r="5935" spans="11:17" x14ac:dyDescent="0.3">
      <c r="K5935">
        <v>2019</v>
      </c>
      <c r="L5935" t="s">
        <v>45</v>
      </c>
      <c r="M5935" t="s">
        <v>127</v>
      </c>
      <c r="N5935" t="s">
        <v>18</v>
      </c>
      <c r="O5935" t="s">
        <v>189</v>
      </c>
      <c r="P5935" s="1" t="s">
        <v>33</v>
      </c>
      <c r="Q5935">
        <v>132.80000000000001</v>
      </c>
    </row>
    <row r="5936" spans="11:17" x14ac:dyDescent="0.3">
      <c r="K5936">
        <v>2019</v>
      </c>
      <c r="L5936" t="s">
        <v>45</v>
      </c>
      <c r="M5936" t="s">
        <v>127</v>
      </c>
      <c r="N5936" t="s">
        <v>8</v>
      </c>
      <c r="O5936" t="s">
        <v>188</v>
      </c>
      <c r="P5936" s="1" t="s">
        <v>30</v>
      </c>
      <c r="Q5936">
        <v>144.30000000000001</v>
      </c>
    </row>
    <row r="5937" spans="11:17" x14ac:dyDescent="0.3">
      <c r="K5937">
        <v>2019</v>
      </c>
      <c r="L5937" t="s">
        <v>45</v>
      </c>
      <c r="M5937" t="s">
        <v>127</v>
      </c>
      <c r="N5937" t="s">
        <v>8</v>
      </c>
      <c r="O5937" t="s">
        <v>188</v>
      </c>
      <c r="P5937" s="1" t="s">
        <v>34</v>
      </c>
      <c r="Q5937">
        <v>145.69999999999999</v>
      </c>
    </row>
    <row r="5938" spans="11:17" x14ac:dyDescent="0.3">
      <c r="K5938">
        <v>2019</v>
      </c>
      <c r="L5938" t="s">
        <v>45</v>
      </c>
      <c r="M5938" t="s">
        <v>127</v>
      </c>
      <c r="N5938" t="s">
        <v>8</v>
      </c>
      <c r="O5938" t="s">
        <v>188</v>
      </c>
      <c r="P5938" s="1" t="s">
        <v>33</v>
      </c>
      <c r="Q5938">
        <v>147.19999999999999</v>
      </c>
    </row>
    <row r="5939" spans="11:17" x14ac:dyDescent="0.3">
      <c r="K5939">
        <v>2019</v>
      </c>
      <c r="L5939" t="s">
        <v>45</v>
      </c>
      <c r="M5939" t="s">
        <v>127</v>
      </c>
      <c r="N5939" t="s">
        <v>21</v>
      </c>
      <c r="O5939" t="s">
        <v>190</v>
      </c>
      <c r="P5939" s="1" t="s">
        <v>30</v>
      </c>
      <c r="Q5939">
        <v>149.9</v>
      </c>
    </row>
    <row r="5940" spans="11:17" x14ac:dyDescent="0.3">
      <c r="K5940">
        <v>2019</v>
      </c>
      <c r="L5940" t="s">
        <v>45</v>
      </c>
      <c r="M5940" t="s">
        <v>127</v>
      </c>
      <c r="N5940" t="s">
        <v>21</v>
      </c>
      <c r="O5940" t="s">
        <v>190</v>
      </c>
      <c r="P5940" s="1" t="s">
        <v>34</v>
      </c>
      <c r="Q5940">
        <v>143.69999999999999</v>
      </c>
    </row>
    <row r="5941" spans="11:17" x14ac:dyDescent="0.3">
      <c r="K5941">
        <v>2019</v>
      </c>
      <c r="L5941" t="s">
        <v>45</v>
      </c>
      <c r="M5941" t="s">
        <v>127</v>
      </c>
      <c r="N5941" t="s">
        <v>21</v>
      </c>
      <c r="O5941" t="s">
        <v>190</v>
      </c>
      <c r="P5941" s="1" t="s">
        <v>33</v>
      </c>
      <c r="Q5941">
        <v>133.6</v>
      </c>
    </row>
    <row r="5942" spans="11:17" x14ac:dyDescent="0.3">
      <c r="K5942">
        <v>2019</v>
      </c>
      <c r="L5942" t="s">
        <v>45</v>
      </c>
      <c r="M5942" t="s">
        <v>127</v>
      </c>
      <c r="N5942" t="s">
        <v>29</v>
      </c>
      <c r="O5942" t="s">
        <v>206</v>
      </c>
      <c r="P5942" s="1" t="s">
        <v>30</v>
      </c>
      <c r="Q5942">
        <v>152.30000000000001</v>
      </c>
    </row>
    <row r="5943" spans="11:17" x14ac:dyDescent="0.3">
      <c r="K5943">
        <v>2019</v>
      </c>
      <c r="L5943" t="s">
        <v>45</v>
      </c>
      <c r="M5943" t="s">
        <v>127</v>
      </c>
      <c r="N5943" t="s">
        <v>29</v>
      </c>
      <c r="O5943" t="s">
        <v>206</v>
      </c>
      <c r="P5943" s="1" t="s">
        <v>34</v>
      </c>
      <c r="Q5943">
        <v>150.4</v>
      </c>
    </row>
    <row r="5944" spans="11:17" x14ac:dyDescent="0.3">
      <c r="K5944">
        <v>2019</v>
      </c>
      <c r="L5944" t="s">
        <v>45</v>
      </c>
      <c r="M5944" t="s">
        <v>127</v>
      </c>
      <c r="N5944" t="s">
        <v>29</v>
      </c>
      <c r="O5944" t="s">
        <v>206</v>
      </c>
      <c r="P5944" s="1" t="s">
        <v>33</v>
      </c>
      <c r="Q5944">
        <v>148.30000000000001</v>
      </c>
    </row>
    <row r="5945" spans="11:17" x14ac:dyDescent="0.3">
      <c r="K5945">
        <v>2019</v>
      </c>
      <c r="L5945" t="s">
        <v>45</v>
      </c>
      <c r="M5945" t="s">
        <v>127</v>
      </c>
      <c r="N5945" t="s">
        <v>23</v>
      </c>
      <c r="O5945" t="s">
        <v>23</v>
      </c>
      <c r="P5945" s="1" t="s">
        <v>30</v>
      </c>
      <c r="Q5945">
        <v>154.80000000000001</v>
      </c>
    </row>
    <row r="5946" spans="11:17" x14ac:dyDescent="0.3">
      <c r="K5946">
        <v>2019</v>
      </c>
      <c r="L5946" t="s">
        <v>45</v>
      </c>
      <c r="M5946" t="s">
        <v>127</v>
      </c>
      <c r="N5946" t="s">
        <v>23</v>
      </c>
      <c r="O5946" t="s">
        <v>23</v>
      </c>
      <c r="P5946" s="1" t="s">
        <v>34</v>
      </c>
      <c r="Q5946">
        <v>150.4</v>
      </c>
    </row>
    <row r="5947" spans="11:17" x14ac:dyDescent="0.3">
      <c r="K5947">
        <v>2019</v>
      </c>
      <c r="L5947" t="s">
        <v>45</v>
      </c>
      <c r="M5947" t="s">
        <v>127</v>
      </c>
      <c r="N5947" t="s">
        <v>23</v>
      </c>
      <c r="O5947" t="s">
        <v>23</v>
      </c>
      <c r="P5947" s="1" t="s">
        <v>33</v>
      </c>
      <c r="Q5947">
        <v>143.19999999999999</v>
      </c>
    </row>
    <row r="5948" spans="11:17" x14ac:dyDescent="0.3">
      <c r="K5948">
        <v>2019</v>
      </c>
      <c r="L5948" t="s">
        <v>45</v>
      </c>
      <c r="M5948" t="s">
        <v>127</v>
      </c>
      <c r="N5948" t="s">
        <v>22</v>
      </c>
      <c r="O5948" t="s">
        <v>20</v>
      </c>
      <c r="P5948" s="1" t="s">
        <v>30</v>
      </c>
      <c r="Q5948">
        <v>151.19999999999999</v>
      </c>
    </row>
    <row r="5949" spans="11:17" x14ac:dyDescent="0.3">
      <c r="K5949">
        <v>2019</v>
      </c>
      <c r="L5949" t="s">
        <v>45</v>
      </c>
      <c r="M5949" t="s">
        <v>127</v>
      </c>
      <c r="N5949" t="s">
        <v>22</v>
      </c>
      <c r="O5949" t="s">
        <v>20</v>
      </c>
      <c r="P5949" s="1" t="s">
        <v>34</v>
      </c>
      <c r="Q5949">
        <v>145.80000000000001</v>
      </c>
    </row>
    <row r="5950" spans="11:17" x14ac:dyDescent="0.3">
      <c r="K5950">
        <v>2019</v>
      </c>
      <c r="L5950" t="s">
        <v>45</v>
      </c>
      <c r="M5950" t="s">
        <v>127</v>
      </c>
      <c r="N5950" t="s">
        <v>22</v>
      </c>
      <c r="O5950" t="s">
        <v>20</v>
      </c>
      <c r="P5950" s="1" t="s">
        <v>33</v>
      </c>
      <c r="Q5950">
        <v>139.80000000000001</v>
      </c>
    </row>
    <row r="5951" spans="11:17" x14ac:dyDescent="0.3">
      <c r="K5951">
        <v>2019</v>
      </c>
      <c r="L5951" t="s">
        <v>45</v>
      </c>
      <c r="M5951" t="s">
        <v>127</v>
      </c>
      <c r="N5951" t="s">
        <v>20</v>
      </c>
      <c r="O5951" t="s">
        <v>20</v>
      </c>
      <c r="P5951" s="1" t="s">
        <v>30</v>
      </c>
      <c r="Q5951">
        <v>0</v>
      </c>
    </row>
    <row r="5952" spans="11:17" x14ac:dyDescent="0.3">
      <c r="K5952">
        <v>2019</v>
      </c>
      <c r="L5952" t="s">
        <v>45</v>
      </c>
      <c r="M5952" t="s">
        <v>127</v>
      </c>
      <c r="N5952" t="s">
        <v>20</v>
      </c>
      <c r="O5952" t="s">
        <v>20</v>
      </c>
      <c r="P5952" s="1" t="s">
        <v>34</v>
      </c>
      <c r="Q5952">
        <v>152.80000000000001</v>
      </c>
    </row>
    <row r="5953" spans="11:17" x14ac:dyDescent="0.3">
      <c r="K5953">
        <v>2019</v>
      </c>
      <c r="L5953" t="s">
        <v>45</v>
      </c>
      <c r="M5953" t="s">
        <v>127</v>
      </c>
      <c r="N5953" t="s">
        <v>20</v>
      </c>
      <c r="O5953" t="s">
        <v>20</v>
      </c>
      <c r="P5953" s="1" t="s">
        <v>33</v>
      </c>
      <c r="Q5953">
        <v>152.80000000000001</v>
      </c>
    </row>
    <row r="5954" spans="11:17" x14ac:dyDescent="0.3">
      <c r="K5954">
        <v>2019</v>
      </c>
      <c r="L5954" t="s">
        <v>45</v>
      </c>
      <c r="M5954" t="s">
        <v>127</v>
      </c>
      <c r="N5954" t="s">
        <v>4</v>
      </c>
      <c r="O5954" t="s">
        <v>188</v>
      </c>
      <c r="P5954" s="1" t="s">
        <v>30</v>
      </c>
      <c r="Q5954">
        <v>165.3</v>
      </c>
    </row>
    <row r="5955" spans="11:17" x14ac:dyDescent="0.3">
      <c r="K5955">
        <v>2019</v>
      </c>
      <c r="L5955" t="s">
        <v>45</v>
      </c>
      <c r="M5955" t="s">
        <v>127</v>
      </c>
      <c r="N5955" t="s">
        <v>4</v>
      </c>
      <c r="O5955" t="s">
        <v>188</v>
      </c>
      <c r="P5955" s="1" t="s">
        <v>34</v>
      </c>
      <c r="Q5955">
        <v>165</v>
      </c>
    </row>
    <row r="5956" spans="11:17" x14ac:dyDescent="0.3">
      <c r="K5956">
        <v>2019</v>
      </c>
      <c r="L5956" t="s">
        <v>45</v>
      </c>
      <c r="M5956" t="s">
        <v>127</v>
      </c>
      <c r="N5956" t="s">
        <v>4</v>
      </c>
      <c r="O5956" t="s">
        <v>188</v>
      </c>
      <c r="P5956" s="1" t="s">
        <v>33</v>
      </c>
      <c r="Q5956">
        <v>164.5</v>
      </c>
    </row>
    <row r="5957" spans="11:17" x14ac:dyDescent="0.3">
      <c r="K5957">
        <v>2019</v>
      </c>
      <c r="L5957" t="s">
        <v>45</v>
      </c>
      <c r="M5957" t="s">
        <v>127</v>
      </c>
      <c r="N5957" t="s">
        <v>6</v>
      </c>
      <c r="O5957" t="s">
        <v>188</v>
      </c>
      <c r="P5957" s="1" t="s">
        <v>30</v>
      </c>
      <c r="Q5957">
        <v>148.69999999999999</v>
      </c>
    </row>
    <row r="5958" spans="11:17" x14ac:dyDescent="0.3">
      <c r="K5958">
        <v>2019</v>
      </c>
      <c r="L5958" t="s">
        <v>45</v>
      </c>
      <c r="M5958" t="s">
        <v>127</v>
      </c>
      <c r="N5958" t="s">
        <v>6</v>
      </c>
      <c r="O5958" t="s">
        <v>188</v>
      </c>
      <c r="P5958" s="1" t="s">
        <v>34</v>
      </c>
      <c r="Q5958">
        <v>148.30000000000001</v>
      </c>
    </row>
    <row r="5959" spans="11:17" x14ac:dyDescent="0.3">
      <c r="K5959">
        <v>2019</v>
      </c>
      <c r="L5959" t="s">
        <v>45</v>
      </c>
      <c r="M5959" t="s">
        <v>127</v>
      </c>
      <c r="N5959" t="s">
        <v>6</v>
      </c>
      <c r="O5959" t="s">
        <v>188</v>
      </c>
      <c r="P5959" s="1" t="s">
        <v>33</v>
      </c>
      <c r="Q5959">
        <v>147.5</v>
      </c>
    </row>
    <row r="5960" spans="11:17" x14ac:dyDescent="0.3">
      <c r="K5960">
        <v>2019</v>
      </c>
      <c r="L5960" t="s">
        <v>45</v>
      </c>
      <c r="M5960" t="s">
        <v>127</v>
      </c>
      <c r="N5960" t="s">
        <v>28</v>
      </c>
      <c r="O5960" t="s">
        <v>192</v>
      </c>
      <c r="P5960" s="1" t="s">
        <v>30</v>
      </c>
      <c r="Q5960">
        <v>147.1</v>
      </c>
    </row>
    <row r="5961" spans="11:17" x14ac:dyDescent="0.3">
      <c r="K5961">
        <v>2019</v>
      </c>
      <c r="L5961" t="s">
        <v>45</v>
      </c>
      <c r="M5961" t="s">
        <v>127</v>
      </c>
      <c r="N5961" t="s">
        <v>28</v>
      </c>
      <c r="O5961" t="s">
        <v>192</v>
      </c>
      <c r="P5961" s="1" t="s">
        <v>34</v>
      </c>
      <c r="Q5961">
        <v>142.5</v>
      </c>
    </row>
    <row r="5962" spans="11:17" x14ac:dyDescent="0.3">
      <c r="K5962">
        <v>2019</v>
      </c>
      <c r="L5962" t="s">
        <v>45</v>
      </c>
      <c r="M5962" t="s">
        <v>127</v>
      </c>
      <c r="N5962" t="s">
        <v>28</v>
      </c>
      <c r="O5962" t="s">
        <v>192</v>
      </c>
      <c r="P5962" s="1" t="s">
        <v>33</v>
      </c>
      <c r="Q5962">
        <v>137.69999999999999</v>
      </c>
    </row>
    <row r="5963" spans="11:17" x14ac:dyDescent="0.3">
      <c r="K5963">
        <v>2019</v>
      </c>
      <c r="L5963" t="s">
        <v>45</v>
      </c>
      <c r="M5963" t="s">
        <v>127</v>
      </c>
      <c r="N5963" t="s">
        <v>13</v>
      </c>
      <c r="O5963" t="s">
        <v>188</v>
      </c>
      <c r="P5963" s="1" t="s">
        <v>30</v>
      </c>
      <c r="Q5963">
        <v>139.30000000000001</v>
      </c>
    </row>
    <row r="5964" spans="11:17" x14ac:dyDescent="0.3">
      <c r="K5964">
        <v>2019</v>
      </c>
      <c r="L5964" t="s">
        <v>45</v>
      </c>
      <c r="M5964" t="s">
        <v>127</v>
      </c>
      <c r="N5964" t="s">
        <v>13</v>
      </c>
      <c r="O5964" t="s">
        <v>188</v>
      </c>
      <c r="P5964" s="1" t="s">
        <v>34</v>
      </c>
      <c r="Q5964">
        <v>135.80000000000001</v>
      </c>
    </row>
    <row r="5965" spans="11:17" x14ac:dyDescent="0.3">
      <c r="K5965">
        <v>2019</v>
      </c>
      <c r="L5965" t="s">
        <v>45</v>
      </c>
      <c r="M5965" t="s">
        <v>127</v>
      </c>
      <c r="N5965" t="s">
        <v>13</v>
      </c>
      <c r="O5965" t="s">
        <v>188</v>
      </c>
      <c r="P5965" s="1" t="s">
        <v>33</v>
      </c>
      <c r="Q5965">
        <v>130.80000000000001</v>
      </c>
    </row>
    <row r="5966" spans="11:17" x14ac:dyDescent="0.3">
      <c r="K5966">
        <v>2019</v>
      </c>
      <c r="L5966" t="s">
        <v>45</v>
      </c>
      <c r="M5966" t="s">
        <v>127</v>
      </c>
      <c r="N5966" t="s">
        <v>7</v>
      </c>
      <c r="O5966" t="s">
        <v>188</v>
      </c>
      <c r="P5966" s="1" t="s">
        <v>30</v>
      </c>
      <c r="Q5966">
        <v>127.5</v>
      </c>
    </row>
    <row r="5967" spans="11:17" x14ac:dyDescent="0.3">
      <c r="K5967">
        <v>2019</v>
      </c>
      <c r="L5967" t="s">
        <v>45</v>
      </c>
      <c r="M5967" t="s">
        <v>127</v>
      </c>
      <c r="N5967" t="s">
        <v>7</v>
      </c>
      <c r="O5967" t="s">
        <v>188</v>
      </c>
      <c r="P5967" s="1" t="s">
        <v>34</v>
      </c>
      <c r="Q5967">
        <v>125.7</v>
      </c>
    </row>
    <row r="5968" spans="11:17" x14ac:dyDescent="0.3">
      <c r="K5968">
        <v>2019</v>
      </c>
      <c r="L5968" t="s">
        <v>45</v>
      </c>
      <c r="M5968" t="s">
        <v>127</v>
      </c>
      <c r="N5968" t="s">
        <v>7</v>
      </c>
      <c r="O5968" t="s">
        <v>188</v>
      </c>
      <c r="P5968" s="1" t="s">
        <v>33</v>
      </c>
      <c r="Q5968">
        <v>122.7</v>
      </c>
    </row>
    <row r="5969" spans="11:17" x14ac:dyDescent="0.3">
      <c r="K5969">
        <v>2019</v>
      </c>
      <c r="L5969" t="s">
        <v>45</v>
      </c>
      <c r="M5969" t="s">
        <v>127</v>
      </c>
      <c r="N5969" t="s">
        <v>16</v>
      </c>
      <c r="O5969" t="s">
        <v>192</v>
      </c>
      <c r="P5969" s="1" t="s">
        <v>30</v>
      </c>
      <c r="Q5969">
        <v>167.8</v>
      </c>
    </row>
    <row r="5970" spans="11:17" x14ac:dyDescent="0.3">
      <c r="K5970">
        <v>2019</v>
      </c>
      <c r="L5970" t="s">
        <v>45</v>
      </c>
      <c r="M5970" t="s">
        <v>127</v>
      </c>
      <c r="N5970" t="s">
        <v>16</v>
      </c>
      <c r="O5970" t="s">
        <v>192</v>
      </c>
      <c r="P5970" s="1" t="s">
        <v>34</v>
      </c>
      <c r="Q5970">
        <v>168.5</v>
      </c>
    </row>
    <row r="5971" spans="11:17" x14ac:dyDescent="0.3">
      <c r="K5971">
        <v>2019</v>
      </c>
      <c r="L5971" t="s">
        <v>45</v>
      </c>
      <c r="M5971" t="s">
        <v>127</v>
      </c>
      <c r="N5971" t="s">
        <v>16</v>
      </c>
      <c r="O5971" t="s">
        <v>192</v>
      </c>
      <c r="P5971" s="1" t="s">
        <v>33</v>
      </c>
      <c r="Q5971">
        <v>170.4</v>
      </c>
    </row>
    <row r="5972" spans="11:17" x14ac:dyDescent="0.3">
      <c r="K5972">
        <v>2019</v>
      </c>
      <c r="L5972" t="s">
        <v>45</v>
      </c>
      <c r="M5972" t="s">
        <v>127</v>
      </c>
      <c r="N5972" t="s">
        <v>27</v>
      </c>
      <c r="O5972" t="s">
        <v>192</v>
      </c>
      <c r="P5972" s="1" t="s">
        <v>30</v>
      </c>
      <c r="Q5972">
        <v>140.6</v>
      </c>
    </row>
    <row r="5973" spans="11:17" x14ac:dyDescent="0.3">
      <c r="K5973">
        <v>2019</v>
      </c>
      <c r="L5973" t="s">
        <v>45</v>
      </c>
      <c r="M5973" t="s">
        <v>127</v>
      </c>
      <c r="N5973" t="s">
        <v>27</v>
      </c>
      <c r="O5973" t="s">
        <v>192</v>
      </c>
      <c r="P5973" s="1" t="s">
        <v>34</v>
      </c>
      <c r="Q5973">
        <v>140.4</v>
      </c>
    </row>
    <row r="5974" spans="11:17" x14ac:dyDescent="0.3">
      <c r="K5974">
        <v>2019</v>
      </c>
      <c r="L5974" t="s">
        <v>45</v>
      </c>
      <c r="M5974" t="s">
        <v>127</v>
      </c>
      <c r="N5974" t="s">
        <v>27</v>
      </c>
      <c r="O5974" t="s">
        <v>192</v>
      </c>
      <c r="P5974" s="1" t="s">
        <v>33</v>
      </c>
      <c r="Q5974">
        <v>140.19999999999999</v>
      </c>
    </row>
    <row r="5975" spans="11:17" x14ac:dyDescent="0.3">
      <c r="K5975">
        <v>2019</v>
      </c>
      <c r="L5975" t="s">
        <v>45</v>
      </c>
      <c r="M5975" t="s">
        <v>127</v>
      </c>
      <c r="N5975" t="s">
        <v>14</v>
      </c>
      <c r="O5975" t="s">
        <v>188</v>
      </c>
      <c r="P5975" s="1" t="s">
        <v>30</v>
      </c>
      <c r="Q5975">
        <v>158.30000000000001</v>
      </c>
    </row>
    <row r="5976" spans="11:17" x14ac:dyDescent="0.3">
      <c r="K5976">
        <v>2019</v>
      </c>
      <c r="L5976" t="s">
        <v>45</v>
      </c>
      <c r="M5976" t="s">
        <v>127</v>
      </c>
      <c r="N5976" t="s">
        <v>14</v>
      </c>
      <c r="O5976" t="s">
        <v>188</v>
      </c>
      <c r="P5976" s="1" t="s">
        <v>34</v>
      </c>
      <c r="Q5976">
        <v>158</v>
      </c>
    </row>
    <row r="5977" spans="11:17" x14ac:dyDescent="0.3">
      <c r="K5977">
        <v>2019</v>
      </c>
      <c r="L5977" t="s">
        <v>45</v>
      </c>
      <c r="M5977" t="s">
        <v>127</v>
      </c>
      <c r="N5977" t="s">
        <v>14</v>
      </c>
      <c r="O5977" t="s">
        <v>188</v>
      </c>
      <c r="P5977" s="1" t="s">
        <v>33</v>
      </c>
      <c r="Q5977">
        <v>157.69999999999999</v>
      </c>
    </row>
    <row r="5978" spans="11:17" x14ac:dyDescent="0.3">
      <c r="K5978">
        <v>2019</v>
      </c>
      <c r="L5978" t="s">
        <v>45</v>
      </c>
      <c r="M5978" t="s">
        <v>127</v>
      </c>
      <c r="N5978" t="s">
        <v>10</v>
      </c>
      <c r="O5978" t="s">
        <v>188</v>
      </c>
      <c r="P5978" s="1" t="s">
        <v>30</v>
      </c>
      <c r="Q5978">
        <v>138.80000000000001</v>
      </c>
    </row>
    <row r="5979" spans="11:17" x14ac:dyDescent="0.3">
      <c r="K5979">
        <v>2019</v>
      </c>
      <c r="L5979" t="s">
        <v>45</v>
      </c>
      <c r="M5979" t="s">
        <v>127</v>
      </c>
      <c r="N5979" t="s">
        <v>10</v>
      </c>
      <c r="O5979" t="s">
        <v>188</v>
      </c>
      <c r="P5979" s="1" t="s">
        <v>34</v>
      </c>
      <c r="Q5979">
        <v>138.30000000000001</v>
      </c>
    </row>
    <row r="5980" spans="11:17" x14ac:dyDescent="0.3">
      <c r="K5980">
        <v>2019</v>
      </c>
      <c r="L5980" t="s">
        <v>45</v>
      </c>
      <c r="M5980" t="s">
        <v>127</v>
      </c>
      <c r="N5980" t="s">
        <v>10</v>
      </c>
      <c r="O5980" t="s">
        <v>188</v>
      </c>
      <c r="P5980" s="1" t="s">
        <v>33</v>
      </c>
      <c r="Q5980">
        <v>137.19999999999999</v>
      </c>
    </row>
    <row r="5981" spans="11:17" x14ac:dyDescent="0.3">
      <c r="K5981">
        <v>2019</v>
      </c>
      <c r="L5981" t="s">
        <v>45</v>
      </c>
      <c r="M5981" t="s">
        <v>127</v>
      </c>
      <c r="N5981" t="s">
        <v>25</v>
      </c>
      <c r="O5981" t="s">
        <v>195</v>
      </c>
      <c r="P5981" s="1" t="s">
        <v>30</v>
      </c>
      <c r="Q5981">
        <v>149.5</v>
      </c>
    </row>
    <row r="5982" spans="11:17" x14ac:dyDescent="0.3">
      <c r="K5982">
        <v>2019</v>
      </c>
      <c r="L5982" t="s">
        <v>45</v>
      </c>
      <c r="M5982" t="s">
        <v>127</v>
      </c>
      <c r="N5982" t="s">
        <v>25</v>
      </c>
      <c r="O5982" t="s">
        <v>195</v>
      </c>
      <c r="P5982" s="1" t="s">
        <v>34</v>
      </c>
      <c r="Q5982">
        <v>142.30000000000001</v>
      </c>
    </row>
    <row r="5983" spans="11:17" x14ac:dyDescent="0.3">
      <c r="K5983">
        <v>2019</v>
      </c>
      <c r="L5983" t="s">
        <v>45</v>
      </c>
      <c r="M5983" t="s">
        <v>127</v>
      </c>
      <c r="N5983" t="s">
        <v>25</v>
      </c>
      <c r="O5983" t="s">
        <v>195</v>
      </c>
      <c r="P5983" s="1" t="s">
        <v>33</v>
      </c>
      <c r="Q5983">
        <v>136.80000000000001</v>
      </c>
    </row>
    <row r="5984" spans="11:17" x14ac:dyDescent="0.3">
      <c r="K5984">
        <v>2019</v>
      </c>
      <c r="L5984" t="s">
        <v>45</v>
      </c>
      <c r="M5984" t="s">
        <v>127</v>
      </c>
      <c r="N5984" t="s">
        <v>12</v>
      </c>
      <c r="O5984" t="s">
        <v>188</v>
      </c>
      <c r="P5984" s="1" t="s">
        <v>30</v>
      </c>
      <c r="Q5984">
        <v>149.1</v>
      </c>
    </row>
    <row r="5985" spans="11:17" x14ac:dyDescent="0.3">
      <c r="K5985">
        <v>2019</v>
      </c>
      <c r="L5985" t="s">
        <v>45</v>
      </c>
      <c r="M5985" t="s">
        <v>127</v>
      </c>
      <c r="N5985" t="s">
        <v>12</v>
      </c>
      <c r="O5985" t="s">
        <v>188</v>
      </c>
      <c r="P5985" s="1" t="s">
        <v>34</v>
      </c>
      <c r="Q5985">
        <v>148.69999999999999</v>
      </c>
    </row>
    <row r="5986" spans="11:17" x14ac:dyDescent="0.3">
      <c r="K5986">
        <v>2019</v>
      </c>
      <c r="L5986" t="s">
        <v>45</v>
      </c>
      <c r="M5986" t="s">
        <v>127</v>
      </c>
      <c r="N5986" t="s">
        <v>12</v>
      </c>
      <c r="O5986" t="s">
        <v>188</v>
      </c>
      <c r="P5986" s="1" t="s">
        <v>33</v>
      </c>
      <c r="Q5986">
        <v>148</v>
      </c>
    </row>
    <row r="5987" spans="11:17" x14ac:dyDescent="0.3">
      <c r="K5987">
        <v>2019</v>
      </c>
      <c r="L5987" t="s">
        <v>45</v>
      </c>
      <c r="M5987" t="s">
        <v>127</v>
      </c>
      <c r="N5987" t="s">
        <v>11</v>
      </c>
      <c r="O5987" t="s">
        <v>188</v>
      </c>
      <c r="P5987" s="1" t="s">
        <v>30</v>
      </c>
      <c r="Q5987">
        <v>113.6</v>
      </c>
    </row>
    <row r="5988" spans="11:17" x14ac:dyDescent="0.3">
      <c r="K5988">
        <v>2019</v>
      </c>
      <c r="L5988" t="s">
        <v>45</v>
      </c>
      <c r="M5988" t="s">
        <v>127</v>
      </c>
      <c r="N5988" t="s">
        <v>11</v>
      </c>
      <c r="O5988" t="s">
        <v>188</v>
      </c>
      <c r="P5988" s="1" t="s">
        <v>34</v>
      </c>
      <c r="Q5988">
        <v>114</v>
      </c>
    </row>
    <row r="5989" spans="11:17" x14ac:dyDescent="0.3">
      <c r="K5989">
        <v>2019</v>
      </c>
      <c r="L5989" t="s">
        <v>45</v>
      </c>
      <c r="M5989" t="s">
        <v>127</v>
      </c>
      <c r="N5989" t="s">
        <v>11</v>
      </c>
      <c r="O5989" t="s">
        <v>188</v>
      </c>
      <c r="P5989" s="1" t="s">
        <v>33</v>
      </c>
      <c r="Q5989">
        <v>114.7</v>
      </c>
    </row>
    <row r="5990" spans="11:17" x14ac:dyDescent="0.3">
      <c r="K5990">
        <v>2019</v>
      </c>
      <c r="L5990" t="s">
        <v>45</v>
      </c>
      <c r="M5990" t="s">
        <v>127</v>
      </c>
      <c r="N5990" t="s">
        <v>24</v>
      </c>
      <c r="O5990" t="s">
        <v>191</v>
      </c>
      <c r="P5990" s="1" t="s">
        <v>30</v>
      </c>
      <c r="Q5990">
        <v>135</v>
      </c>
    </row>
    <row r="5991" spans="11:17" x14ac:dyDescent="0.3">
      <c r="K5991">
        <v>2019</v>
      </c>
      <c r="L5991" t="s">
        <v>45</v>
      </c>
      <c r="M5991" t="s">
        <v>127</v>
      </c>
      <c r="N5991" t="s">
        <v>24</v>
      </c>
      <c r="O5991" t="s">
        <v>191</v>
      </c>
      <c r="P5991" s="1" t="s">
        <v>34</v>
      </c>
      <c r="Q5991">
        <v>129.80000000000001</v>
      </c>
    </row>
    <row r="5992" spans="11:17" x14ac:dyDescent="0.3">
      <c r="K5992">
        <v>2019</v>
      </c>
      <c r="L5992" t="s">
        <v>45</v>
      </c>
      <c r="M5992" t="s">
        <v>127</v>
      </c>
      <c r="N5992" t="s">
        <v>24</v>
      </c>
      <c r="O5992" t="s">
        <v>191</v>
      </c>
      <c r="P5992" s="1" t="s">
        <v>33</v>
      </c>
      <c r="Q5992">
        <v>125.2</v>
      </c>
    </row>
    <row r="5993" spans="11:17" x14ac:dyDescent="0.3">
      <c r="K5993">
        <v>2019</v>
      </c>
      <c r="L5993" t="s">
        <v>45</v>
      </c>
      <c r="M5993" t="s">
        <v>127</v>
      </c>
      <c r="N5993" t="s">
        <v>9</v>
      </c>
      <c r="O5993" t="s">
        <v>188</v>
      </c>
      <c r="P5993" s="1" t="s">
        <v>30</v>
      </c>
      <c r="Q5993">
        <v>209.5</v>
      </c>
    </row>
    <row r="5994" spans="11:17" x14ac:dyDescent="0.3">
      <c r="K5994">
        <v>2019</v>
      </c>
      <c r="L5994" t="s">
        <v>45</v>
      </c>
      <c r="M5994" t="s">
        <v>127</v>
      </c>
      <c r="N5994" t="s">
        <v>9</v>
      </c>
      <c r="O5994" t="s">
        <v>188</v>
      </c>
      <c r="P5994" s="1" t="s">
        <v>34</v>
      </c>
      <c r="Q5994">
        <v>217</v>
      </c>
    </row>
    <row r="5995" spans="11:17" x14ac:dyDescent="0.3">
      <c r="K5995">
        <v>2019</v>
      </c>
      <c r="L5995" t="s">
        <v>45</v>
      </c>
      <c r="M5995" t="s">
        <v>127</v>
      </c>
      <c r="N5995" t="s">
        <v>9</v>
      </c>
      <c r="O5995" t="s">
        <v>188</v>
      </c>
      <c r="P5995" s="1" t="s">
        <v>33</v>
      </c>
      <c r="Q5995">
        <v>231.5</v>
      </c>
    </row>
    <row r="5996" spans="11:17" x14ac:dyDescent="0.3">
      <c r="K5996">
        <v>2019</v>
      </c>
      <c r="L5996" t="s">
        <v>35</v>
      </c>
      <c r="M5996" t="s">
        <v>128</v>
      </c>
      <c r="N5996" t="s">
        <v>3</v>
      </c>
      <c r="O5996" t="s">
        <v>188</v>
      </c>
      <c r="P5996" s="1" t="s">
        <v>30</v>
      </c>
      <c r="Q5996">
        <v>136.80000000000001</v>
      </c>
    </row>
    <row r="5997" spans="11:17" x14ac:dyDescent="0.3">
      <c r="K5997">
        <v>2019</v>
      </c>
      <c r="L5997" t="s">
        <v>35</v>
      </c>
      <c r="M5997" t="s">
        <v>128</v>
      </c>
      <c r="N5997" t="s">
        <v>3</v>
      </c>
      <c r="O5997" t="s">
        <v>188</v>
      </c>
      <c r="P5997" s="1" t="s">
        <v>34</v>
      </c>
      <c r="Q5997">
        <v>137.6</v>
      </c>
    </row>
    <row r="5998" spans="11:17" x14ac:dyDescent="0.3">
      <c r="K5998">
        <v>2019</v>
      </c>
      <c r="L5998" t="s">
        <v>35</v>
      </c>
      <c r="M5998" t="s">
        <v>128</v>
      </c>
      <c r="N5998" t="s">
        <v>3</v>
      </c>
      <c r="O5998" t="s">
        <v>188</v>
      </c>
      <c r="P5998" s="1" t="s">
        <v>33</v>
      </c>
      <c r="Q5998">
        <v>139.4</v>
      </c>
    </row>
    <row r="5999" spans="11:17" x14ac:dyDescent="0.3">
      <c r="K5999">
        <v>2019</v>
      </c>
      <c r="L5999" t="s">
        <v>35</v>
      </c>
      <c r="M5999" t="s">
        <v>128</v>
      </c>
      <c r="N5999" t="s">
        <v>17</v>
      </c>
      <c r="O5999" t="s">
        <v>189</v>
      </c>
      <c r="P5999" s="1" t="s">
        <v>30</v>
      </c>
      <c r="Q5999">
        <v>150.5</v>
      </c>
    </row>
    <row r="6000" spans="11:17" x14ac:dyDescent="0.3">
      <c r="K6000">
        <v>2019</v>
      </c>
      <c r="L6000" t="s">
        <v>35</v>
      </c>
      <c r="M6000" t="s">
        <v>128</v>
      </c>
      <c r="N6000" t="s">
        <v>17</v>
      </c>
      <c r="O6000" t="s">
        <v>189</v>
      </c>
      <c r="P6000" s="1" t="s">
        <v>34</v>
      </c>
      <c r="Q6000">
        <v>147.69999999999999</v>
      </c>
    </row>
    <row r="6001" spans="11:17" x14ac:dyDescent="0.3">
      <c r="K6001">
        <v>2019</v>
      </c>
      <c r="L6001" t="s">
        <v>35</v>
      </c>
      <c r="M6001" t="s">
        <v>128</v>
      </c>
      <c r="N6001" t="s">
        <v>17</v>
      </c>
      <c r="O6001" t="s">
        <v>189</v>
      </c>
      <c r="P6001" s="1" t="s">
        <v>33</v>
      </c>
      <c r="Q6001">
        <v>143.30000000000001</v>
      </c>
    </row>
    <row r="6002" spans="11:17" x14ac:dyDescent="0.3">
      <c r="K6002">
        <v>2019</v>
      </c>
      <c r="L6002" t="s">
        <v>35</v>
      </c>
      <c r="M6002" t="s">
        <v>128</v>
      </c>
      <c r="N6002" t="s">
        <v>19</v>
      </c>
      <c r="O6002" t="s">
        <v>189</v>
      </c>
      <c r="P6002" s="1" t="s">
        <v>30</v>
      </c>
      <c r="Q6002">
        <v>149.9</v>
      </c>
    </row>
    <row r="6003" spans="11:17" x14ac:dyDescent="0.3">
      <c r="K6003">
        <v>2019</v>
      </c>
      <c r="L6003" t="s">
        <v>35</v>
      </c>
      <c r="M6003" t="s">
        <v>128</v>
      </c>
      <c r="N6003" t="s">
        <v>19</v>
      </c>
      <c r="O6003" t="s">
        <v>189</v>
      </c>
      <c r="P6003" s="1" t="s">
        <v>34</v>
      </c>
      <c r="Q6003">
        <v>146.5</v>
      </c>
    </row>
    <row r="6004" spans="11:17" x14ac:dyDescent="0.3">
      <c r="K6004">
        <v>2019</v>
      </c>
      <c r="L6004" t="s">
        <v>35</v>
      </c>
      <c r="M6004" t="s">
        <v>128</v>
      </c>
      <c r="N6004" t="s">
        <v>19</v>
      </c>
      <c r="O6004" t="s">
        <v>189</v>
      </c>
      <c r="P6004" s="1" t="s">
        <v>33</v>
      </c>
      <c r="Q6004">
        <v>141.4</v>
      </c>
    </row>
    <row r="6005" spans="11:17" x14ac:dyDescent="0.3">
      <c r="K6005">
        <v>2019</v>
      </c>
      <c r="L6005" t="s">
        <v>35</v>
      </c>
      <c r="M6005" t="s">
        <v>128</v>
      </c>
      <c r="N6005" t="s">
        <v>26</v>
      </c>
      <c r="O6005" t="s">
        <v>26</v>
      </c>
      <c r="P6005" s="1" t="s">
        <v>30</v>
      </c>
      <c r="Q6005">
        <v>155.5</v>
      </c>
    </row>
    <row r="6006" spans="11:17" x14ac:dyDescent="0.3">
      <c r="K6006">
        <v>2019</v>
      </c>
      <c r="L6006" t="s">
        <v>35</v>
      </c>
      <c r="M6006" t="s">
        <v>128</v>
      </c>
      <c r="N6006" t="s">
        <v>26</v>
      </c>
      <c r="O6006" t="s">
        <v>26</v>
      </c>
      <c r="P6006" s="1" t="s">
        <v>34</v>
      </c>
      <c r="Q6006">
        <v>150.30000000000001</v>
      </c>
    </row>
    <row r="6007" spans="11:17" x14ac:dyDescent="0.3">
      <c r="K6007">
        <v>2019</v>
      </c>
      <c r="L6007" t="s">
        <v>35</v>
      </c>
      <c r="M6007" t="s">
        <v>128</v>
      </c>
      <c r="N6007" t="s">
        <v>26</v>
      </c>
      <c r="O6007" t="s">
        <v>26</v>
      </c>
      <c r="P6007" s="1" t="s">
        <v>33</v>
      </c>
      <c r="Q6007">
        <v>146.6</v>
      </c>
    </row>
    <row r="6008" spans="11:17" x14ac:dyDescent="0.3">
      <c r="K6008">
        <v>2019</v>
      </c>
      <c r="L6008" t="s">
        <v>35</v>
      </c>
      <c r="M6008" t="s">
        <v>128</v>
      </c>
      <c r="N6008" t="s">
        <v>5</v>
      </c>
      <c r="O6008" t="s">
        <v>188</v>
      </c>
      <c r="P6008" s="1" t="s">
        <v>30</v>
      </c>
      <c r="Q6008">
        <v>139.1</v>
      </c>
    </row>
    <row r="6009" spans="11:17" x14ac:dyDescent="0.3">
      <c r="K6009">
        <v>2019</v>
      </c>
      <c r="L6009" t="s">
        <v>35</v>
      </c>
      <c r="M6009" t="s">
        <v>128</v>
      </c>
      <c r="N6009" t="s">
        <v>5</v>
      </c>
      <c r="O6009" t="s">
        <v>188</v>
      </c>
      <c r="P6009" s="1" t="s">
        <v>34</v>
      </c>
      <c r="Q6009">
        <v>141.5</v>
      </c>
    </row>
    <row r="6010" spans="11:17" x14ac:dyDescent="0.3">
      <c r="K6010">
        <v>2019</v>
      </c>
      <c r="L6010" t="s">
        <v>35</v>
      </c>
      <c r="M6010" t="s">
        <v>128</v>
      </c>
      <c r="N6010" t="s">
        <v>5</v>
      </c>
      <c r="O6010" t="s">
        <v>188</v>
      </c>
      <c r="P6010" s="1" t="s">
        <v>33</v>
      </c>
      <c r="Q6010">
        <v>145.30000000000001</v>
      </c>
    </row>
    <row r="6011" spans="11:17" x14ac:dyDescent="0.3">
      <c r="K6011">
        <v>2019</v>
      </c>
      <c r="L6011" t="s">
        <v>35</v>
      </c>
      <c r="M6011" t="s">
        <v>128</v>
      </c>
      <c r="N6011" t="s">
        <v>15</v>
      </c>
      <c r="O6011" t="s">
        <v>188</v>
      </c>
      <c r="P6011" s="1" t="s">
        <v>30</v>
      </c>
      <c r="Q6011">
        <v>137.19999999999999</v>
      </c>
    </row>
    <row r="6012" spans="11:17" x14ac:dyDescent="0.3">
      <c r="K6012">
        <v>2019</v>
      </c>
      <c r="L6012" t="s">
        <v>35</v>
      </c>
      <c r="M6012" t="s">
        <v>128</v>
      </c>
      <c r="N6012" t="s">
        <v>15</v>
      </c>
      <c r="O6012" t="s">
        <v>188</v>
      </c>
      <c r="P6012" s="1" t="s">
        <v>34</v>
      </c>
      <c r="Q6012">
        <v>137.5</v>
      </c>
    </row>
    <row r="6013" spans="11:17" x14ac:dyDescent="0.3">
      <c r="K6013">
        <v>2019</v>
      </c>
      <c r="L6013" t="s">
        <v>35</v>
      </c>
      <c r="M6013" t="s">
        <v>128</v>
      </c>
      <c r="N6013" t="s">
        <v>15</v>
      </c>
      <c r="O6013" t="s">
        <v>188</v>
      </c>
      <c r="P6013" s="1" t="s">
        <v>33</v>
      </c>
      <c r="Q6013">
        <v>138</v>
      </c>
    </row>
    <row r="6014" spans="11:17" x14ac:dyDescent="0.3">
      <c r="K6014">
        <v>2019</v>
      </c>
      <c r="L6014" t="s">
        <v>35</v>
      </c>
      <c r="M6014" t="s">
        <v>128</v>
      </c>
      <c r="N6014" t="s">
        <v>18</v>
      </c>
      <c r="O6014" t="s">
        <v>189</v>
      </c>
      <c r="P6014" s="1" t="s">
        <v>30</v>
      </c>
      <c r="Q6014">
        <v>146.1</v>
      </c>
    </row>
    <row r="6015" spans="11:17" x14ac:dyDescent="0.3">
      <c r="K6015">
        <v>2019</v>
      </c>
      <c r="L6015" t="s">
        <v>35</v>
      </c>
      <c r="M6015" t="s">
        <v>128</v>
      </c>
      <c r="N6015" t="s">
        <v>18</v>
      </c>
      <c r="O6015" t="s">
        <v>189</v>
      </c>
      <c r="P6015" s="1" t="s">
        <v>34</v>
      </c>
      <c r="Q6015">
        <v>139.69999999999999</v>
      </c>
    </row>
    <row r="6016" spans="11:17" x14ac:dyDescent="0.3">
      <c r="K6016">
        <v>2019</v>
      </c>
      <c r="L6016" t="s">
        <v>35</v>
      </c>
      <c r="M6016" t="s">
        <v>128</v>
      </c>
      <c r="N6016" t="s">
        <v>18</v>
      </c>
      <c r="O6016" t="s">
        <v>189</v>
      </c>
      <c r="P6016" s="1" t="s">
        <v>33</v>
      </c>
      <c r="Q6016">
        <v>130.80000000000001</v>
      </c>
    </row>
    <row r="6017" spans="11:17" x14ac:dyDescent="0.3">
      <c r="K6017">
        <v>2019</v>
      </c>
      <c r="L6017" t="s">
        <v>35</v>
      </c>
      <c r="M6017" t="s">
        <v>128</v>
      </c>
      <c r="N6017" t="s">
        <v>8</v>
      </c>
      <c r="O6017" t="s">
        <v>188</v>
      </c>
      <c r="P6017" s="1" t="s">
        <v>30</v>
      </c>
      <c r="Q6017">
        <v>135.80000000000001</v>
      </c>
    </row>
    <row r="6018" spans="11:17" x14ac:dyDescent="0.3">
      <c r="K6018">
        <v>2019</v>
      </c>
      <c r="L6018" t="s">
        <v>35</v>
      </c>
      <c r="M6018" t="s">
        <v>128</v>
      </c>
      <c r="N6018" t="s">
        <v>8</v>
      </c>
      <c r="O6018" t="s">
        <v>188</v>
      </c>
      <c r="P6018" s="1" t="s">
        <v>34</v>
      </c>
      <c r="Q6018">
        <v>136.4</v>
      </c>
    </row>
    <row r="6019" spans="11:17" x14ac:dyDescent="0.3">
      <c r="K6019">
        <v>2019</v>
      </c>
      <c r="L6019" t="s">
        <v>35</v>
      </c>
      <c r="M6019" t="s">
        <v>128</v>
      </c>
      <c r="N6019" t="s">
        <v>8</v>
      </c>
      <c r="O6019" t="s">
        <v>188</v>
      </c>
      <c r="P6019" s="1" t="s">
        <v>33</v>
      </c>
      <c r="Q6019">
        <v>137</v>
      </c>
    </row>
    <row r="6020" spans="11:17" x14ac:dyDescent="0.3">
      <c r="K6020">
        <v>2019</v>
      </c>
      <c r="L6020" t="s">
        <v>35</v>
      </c>
      <c r="M6020" t="s">
        <v>128</v>
      </c>
      <c r="N6020" t="s">
        <v>21</v>
      </c>
      <c r="O6020" t="s">
        <v>190</v>
      </c>
      <c r="P6020" s="1" t="s">
        <v>30</v>
      </c>
      <c r="Q6020">
        <v>145.30000000000001</v>
      </c>
    </row>
    <row r="6021" spans="11:17" x14ac:dyDescent="0.3">
      <c r="K6021">
        <v>2019</v>
      </c>
      <c r="L6021" t="s">
        <v>35</v>
      </c>
      <c r="M6021" t="s">
        <v>128</v>
      </c>
      <c r="N6021" t="s">
        <v>21</v>
      </c>
      <c r="O6021" t="s">
        <v>190</v>
      </c>
      <c r="P6021" s="1" t="s">
        <v>34</v>
      </c>
      <c r="Q6021">
        <v>138.4</v>
      </c>
    </row>
    <row r="6022" spans="11:17" x14ac:dyDescent="0.3">
      <c r="K6022">
        <v>2019</v>
      </c>
      <c r="L6022" t="s">
        <v>35</v>
      </c>
      <c r="M6022" t="s">
        <v>128</v>
      </c>
      <c r="N6022" t="s">
        <v>21</v>
      </c>
      <c r="O6022" t="s">
        <v>190</v>
      </c>
      <c r="P6022" s="1" t="s">
        <v>33</v>
      </c>
      <c r="Q6022">
        <v>127.1</v>
      </c>
    </row>
    <row r="6023" spans="11:17" x14ac:dyDescent="0.3">
      <c r="K6023">
        <v>2019</v>
      </c>
      <c r="L6023" t="s">
        <v>35</v>
      </c>
      <c r="M6023" t="s">
        <v>128</v>
      </c>
      <c r="N6023" t="s">
        <v>29</v>
      </c>
      <c r="O6023" t="s">
        <v>206</v>
      </c>
      <c r="P6023" s="1" t="s">
        <v>30</v>
      </c>
      <c r="Q6023">
        <v>141</v>
      </c>
    </row>
    <row r="6024" spans="11:17" x14ac:dyDescent="0.3">
      <c r="K6024">
        <v>2019</v>
      </c>
      <c r="L6024" t="s">
        <v>35</v>
      </c>
      <c r="M6024" t="s">
        <v>128</v>
      </c>
      <c r="N6024" t="s">
        <v>29</v>
      </c>
      <c r="O6024" t="s">
        <v>206</v>
      </c>
      <c r="P6024" s="1" t="s">
        <v>34</v>
      </c>
      <c r="Q6024">
        <v>139.9</v>
      </c>
    </row>
    <row r="6025" spans="11:17" x14ac:dyDescent="0.3">
      <c r="K6025">
        <v>2019</v>
      </c>
      <c r="L6025" t="s">
        <v>35</v>
      </c>
      <c r="M6025" t="s">
        <v>128</v>
      </c>
      <c r="N6025" t="s">
        <v>29</v>
      </c>
      <c r="O6025" t="s">
        <v>206</v>
      </c>
      <c r="P6025" s="1" t="s">
        <v>33</v>
      </c>
      <c r="Q6025">
        <v>138.6</v>
      </c>
    </row>
    <row r="6026" spans="11:17" x14ac:dyDescent="0.3">
      <c r="K6026">
        <v>2019</v>
      </c>
      <c r="L6026" t="s">
        <v>35</v>
      </c>
      <c r="M6026" t="s">
        <v>128</v>
      </c>
      <c r="N6026" t="s">
        <v>23</v>
      </c>
      <c r="O6026" t="s">
        <v>23</v>
      </c>
      <c r="P6026" s="1" t="s">
        <v>30</v>
      </c>
      <c r="Q6026">
        <v>149.9</v>
      </c>
    </row>
    <row r="6027" spans="11:17" x14ac:dyDescent="0.3">
      <c r="K6027">
        <v>2019</v>
      </c>
      <c r="L6027" t="s">
        <v>35</v>
      </c>
      <c r="M6027" t="s">
        <v>128</v>
      </c>
      <c r="N6027" t="s">
        <v>23</v>
      </c>
      <c r="O6027" t="s">
        <v>23</v>
      </c>
      <c r="P6027" s="1" t="s">
        <v>34</v>
      </c>
      <c r="Q6027">
        <v>145.6</v>
      </c>
    </row>
    <row r="6028" spans="11:17" x14ac:dyDescent="0.3">
      <c r="K6028">
        <v>2019</v>
      </c>
      <c r="L6028" t="s">
        <v>35</v>
      </c>
      <c r="M6028" t="s">
        <v>128</v>
      </c>
      <c r="N6028" t="s">
        <v>23</v>
      </c>
      <c r="O6028" t="s">
        <v>23</v>
      </c>
      <c r="P6028" s="1" t="s">
        <v>33</v>
      </c>
      <c r="Q6028">
        <v>138.5</v>
      </c>
    </row>
    <row r="6029" spans="11:17" x14ac:dyDescent="0.3">
      <c r="K6029">
        <v>2019</v>
      </c>
      <c r="L6029" t="s">
        <v>35</v>
      </c>
      <c r="M6029" t="s">
        <v>128</v>
      </c>
      <c r="N6029" t="s">
        <v>22</v>
      </c>
      <c r="O6029" t="s">
        <v>20</v>
      </c>
      <c r="P6029" s="1" t="s">
        <v>30</v>
      </c>
      <c r="Q6029">
        <v>150.1</v>
      </c>
    </row>
    <row r="6030" spans="11:17" x14ac:dyDescent="0.3">
      <c r="K6030">
        <v>2019</v>
      </c>
      <c r="L6030" t="s">
        <v>35</v>
      </c>
      <c r="M6030" t="s">
        <v>128</v>
      </c>
      <c r="N6030" t="s">
        <v>22</v>
      </c>
      <c r="O6030" t="s">
        <v>20</v>
      </c>
      <c r="P6030" s="1" t="s">
        <v>34</v>
      </c>
      <c r="Q6030">
        <v>143.69999999999999</v>
      </c>
    </row>
    <row r="6031" spans="11:17" x14ac:dyDescent="0.3">
      <c r="K6031">
        <v>2019</v>
      </c>
      <c r="L6031" t="s">
        <v>35</v>
      </c>
      <c r="M6031" t="s">
        <v>128</v>
      </c>
      <c r="N6031" t="s">
        <v>22</v>
      </c>
      <c r="O6031" t="s">
        <v>20</v>
      </c>
      <c r="P6031" s="1" t="s">
        <v>33</v>
      </c>
      <c r="Q6031">
        <v>136.6</v>
      </c>
    </row>
    <row r="6032" spans="11:17" x14ac:dyDescent="0.3">
      <c r="K6032">
        <v>2019</v>
      </c>
      <c r="L6032" t="s">
        <v>35</v>
      </c>
      <c r="M6032" t="s">
        <v>128</v>
      </c>
      <c r="N6032" t="s">
        <v>20</v>
      </c>
      <c r="O6032" t="s">
        <v>20</v>
      </c>
      <c r="P6032" s="1" t="s">
        <v>30</v>
      </c>
      <c r="Q6032">
        <v>0</v>
      </c>
    </row>
    <row r="6033" spans="11:17" x14ac:dyDescent="0.3">
      <c r="K6033">
        <v>2019</v>
      </c>
      <c r="L6033" t="s">
        <v>35</v>
      </c>
      <c r="M6033" t="s">
        <v>128</v>
      </c>
      <c r="N6033" t="s">
        <v>20</v>
      </c>
      <c r="O6033" t="s">
        <v>20</v>
      </c>
      <c r="P6033" s="1" t="s">
        <v>34</v>
      </c>
      <c r="Q6033">
        <v>148.5</v>
      </c>
    </row>
    <row r="6034" spans="11:17" x14ac:dyDescent="0.3">
      <c r="K6034">
        <v>2019</v>
      </c>
      <c r="L6034" t="s">
        <v>35</v>
      </c>
      <c r="M6034" t="s">
        <v>128</v>
      </c>
      <c r="N6034" t="s">
        <v>20</v>
      </c>
      <c r="O6034" t="s">
        <v>20</v>
      </c>
      <c r="P6034" s="1" t="s">
        <v>33</v>
      </c>
      <c r="Q6034">
        <v>148.5</v>
      </c>
    </row>
    <row r="6035" spans="11:17" x14ac:dyDescent="0.3">
      <c r="K6035">
        <v>2019</v>
      </c>
      <c r="L6035" t="s">
        <v>35</v>
      </c>
      <c r="M6035" t="s">
        <v>128</v>
      </c>
      <c r="N6035" t="s">
        <v>4</v>
      </c>
      <c r="O6035" t="s">
        <v>188</v>
      </c>
      <c r="P6035" s="1" t="s">
        <v>30</v>
      </c>
      <c r="Q6035">
        <v>153</v>
      </c>
    </row>
    <row r="6036" spans="11:17" x14ac:dyDescent="0.3">
      <c r="K6036">
        <v>2019</v>
      </c>
      <c r="L6036" t="s">
        <v>35</v>
      </c>
      <c r="M6036" t="s">
        <v>128</v>
      </c>
      <c r="N6036" t="s">
        <v>4</v>
      </c>
      <c r="O6036" t="s">
        <v>188</v>
      </c>
      <c r="P6036" s="1" t="s">
        <v>34</v>
      </c>
      <c r="Q6036">
        <v>152</v>
      </c>
    </row>
    <row r="6037" spans="11:17" x14ac:dyDescent="0.3">
      <c r="K6037">
        <v>2019</v>
      </c>
      <c r="L6037" t="s">
        <v>35</v>
      </c>
      <c r="M6037" t="s">
        <v>128</v>
      </c>
      <c r="N6037" t="s">
        <v>4</v>
      </c>
      <c r="O6037" t="s">
        <v>188</v>
      </c>
      <c r="P6037" s="1" t="s">
        <v>33</v>
      </c>
      <c r="Q6037">
        <v>150.1</v>
      </c>
    </row>
    <row r="6038" spans="11:17" x14ac:dyDescent="0.3">
      <c r="K6038">
        <v>2019</v>
      </c>
      <c r="L6038" t="s">
        <v>35</v>
      </c>
      <c r="M6038" t="s">
        <v>128</v>
      </c>
      <c r="N6038" t="s">
        <v>6</v>
      </c>
      <c r="O6038" t="s">
        <v>188</v>
      </c>
      <c r="P6038" s="1" t="s">
        <v>30</v>
      </c>
      <c r="Q6038">
        <v>142.5</v>
      </c>
    </row>
    <row r="6039" spans="11:17" x14ac:dyDescent="0.3">
      <c r="K6039">
        <v>2019</v>
      </c>
      <c r="L6039" t="s">
        <v>35</v>
      </c>
      <c r="M6039" t="s">
        <v>128</v>
      </c>
      <c r="N6039" t="s">
        <v>6</v>
      </c>
      <c r="O6039" t="s">
        <v>188</v>
      </c>
      <c r="P6039" s="1" t="s">
        <v>34</v>
      </c>
      <c r="Q6039">
        <v>142.19999999999999</v>
      </c>
    </row>
    <row r="6040" spans="11:17" x14ac:dyDescent="0.3">
      <c r="K6040">
        <v>2019</v>
      </c>
      <c r="L6040" t="s">
        <v>35</v>
      </c>
      <c r="M6040" t="s">
        <v>128</v>
      </c>
      <c r="N6040" t="s">
        <v>6</v>
      </c>
      <c r="O6040" t="s">
        <v>188</v>
      </c>
      <c r="P6040" s="1" t="s">
        <v>33</v>
      </c>
      <c r="Q6040">
        <v>141.69999999999999</v>
      </c>
    </row>
    <row r="6041" spans="11:17" x14ac:dyDescent="0.3">
      <c r="K6041">
        <v>2019</v>
      </c>
      <c r="L6041" t="s">
        <v>35</v>
      </c>
      <c r="M6041" t="s">
        <v>128</v>
      </c>
      <c r="N6041" t="s">
        <v>28</v>
      </c>
      <c r="O6041" t="s">
        <v>192</v>
      </c>
      <c r="P6041" s="1" t="s">
        <v>30</v>
      </c>
      <c r="Q6041">
        <v>142.19999999999999</v>
      </c>
    </row>
    <row r="6042" spans="11:17" x14ac:dyDescent="0.3">
      <c r="K6042">
        <v>2019</v>
      </c>
      <c r="L6042" t="s">
        <v>35</v>
      </c>
      <c r="M6042" t="s">
        <v>128</v>
      </c>
      <c r="N6042" t="s">
        <v>28</v>
      </c>
      <c r="O6042" t="s">
        <v>192</v>
      </c>
      <c r="P6042" s="1" t="s">
        <v>34</v>
      </c>
      <c r="Q6042">
        <v>137.4</v>
      </c>
    </row>
    <row r="6043" spans="11:17" x14ac:dyDescent="0.3">
      <c r="K6043">
        <v>2019</v>
      </c>
      <c r="L6043" t="s">
        <v>35</v>
      </c>
      <c r="M6043" t="s">
        <v>128</v>
      </c>
      <c r="N6043" t="s">
        <v>28</v>
      </c>
      <c r="O6043" t="s">
        <v>192</v>
      </c>
      <c r="P6043" s="1" t="s">
        <v>33</v>
      </c>
      <c r="Q6043">
        <v>132.4</v>
      </c>
    </row>
    <row r="6044" spans="11:17" x14ac:dyDescent="0.3">
      <c r="K6044">
        <v>2019</v>
      </c>
      <c r="L6044" t="s">
        <v>35</v>
      </c>
      <c r="M6044" t="s">
        <v>128</v>
      </c>
      <c r="N6044" t="s">
        <v>13</v>
      </c>
      <c r="O6044" t="s">
        <v>188</v>
      </c>
      <c r="P6044" s="1" t="s">
        <v>30</v>
      </c>
      <c r="Q6044">
        <v>137.4</v>
      </c>
    </row>
    <row r="6045" spans="11:17" x14ac:dyDescent="0.3">
      <c r="K6045">
        <v>2019</v>
      </c>
      <c r="L6045" t="s">
        <v>35</v>
      </c>
      <c r="M6045" t="s">
        <v>128</v>
      </c>
      <c r="N6045" t="s">
        <v>13</v>
      </c>
      <c r="O6045" t="s">
        <v>188</v>
      </c>
      <c r="P6045" s="1" t="s">
        <v>34</v>
      </c>
      <c r="Q6045">
        <v>133.6</v>
      </c>
    </row>
    <row r="6046" spans="11:17" x14ac:dyDescent="0.3">
      <c r="K6046">
        <v>2019</v>
      </c>
      <c r="L6046" t="s">
        <v>35</v>
      </c>
      <c r="M6046" t="s">
        <v>128</v>
      </c>
      <c r="N6046" t="s">
        <v>13</v>
      </c>
      <c r="O6046" t="s">
        <v>188</v>
      </c>
      <c r="P6046" s="1" t="s">
        <v>33</v>
      </c>
      <c r="Q6046">
        <v>128.30000000000001</v>
      </c>
    </row>
    <row r="6047" spans="11:17" x14ac:dyDescent="0.3">
      <c r="K6047">
        <v>2019</v>
      </c>
      <c r="L6047" t="s">
        <v>35</v>
      </c>
      <c r="M6047" t="s">
        <v>128</v>
      </c>
      <c r="N6047" t="s">
        <v>7</v>
      </c>
      <c r="O6047" t="s">
        <v>188</v>
      </c>
      <c r="P6047" s="1" t="s">
        <v>30</v>
      </c>
      <c r="Q6047">
        <v>124.1</v>
      </c>
    </row>
    <row r="6048" spans="11:17" x14ac:dyDescent="0.3">
      <c r="K6048">
        <v>2019</v>
      </c>
      <c r="L6048" t="s">
        <v>35</v>
      </c>
      <c r="M6048" t="s">
        <v>128</v>
      </c>
      <c r="N6048" t="s">
        <v>7</v>
      </c>
      <c r="O6048" t="s">
        <v>188</v>
      </c>
      <c r="P6048" s="1" t="s">
        <v>34</v>
      </c>
      <c r="Q6048">
        <v>122</v>
      </c>
    </row>
    <row r="6049" spans="11:17" x14ac:dyDescent="0.3">
      <c r="K6049">
        <v>2019</v>
      </c>
      <c r="L6049" t="s">
        <v>35</v>
      </c>
      <c r="M6049" t="s">
        <v>128</v>
      </c>
      <c r="N6049" t="s">
        <v>7</v>
      </c>
      <c r="O6049" t="s">
        <v>188</v>
      </c>
      <c r="P6049" s="1" t="s">
        <v>33</v>
      </c>
      <c r="Q6049">
        <v>118.4</v>
      </c>
    </row>
    <row r="6050" spans="11:17" x14ac:dyDescent="0.3">
      <c r="K6050">
        <v>2019</v>
      </c>
      <c r="L6050" t="s">
        <v>35</v>
      </c>
      <c r="M6050" t="s">
        <v>128</v>
      </c>
      <c r="N6050" t="s">
        <v>16</v>
      </c>
      <c r="O6050" t="s">
        <v>192</v>
      </c>
      <c r="P6050" s="1" t="s">
        <v>30</v>
      </c>
      <c r="Q6050">
        <v>162.80000000000001</v>
      </c>
    </row>
    <row r="6051" spans="11:17" x14ac:dyDescent="0.3">
      <c r="K6051">
        <v>2019</v>
      </c>
      <c r="L6051" t="s">
        <v>35</v>
      </c>
      <c r="M6051" t="s">
        <v>128</v>
      </c>
      <c r="N6051" t="s">
        <v>16</v>
      </c>
      <c r="O6051" t="s">
        <v>192</v>
      </c>
      <c r="P6051" s="1" t="s">
        <v>34</v>
      </c>
      <c r="Q6051">
        <v>163.4</v>
      </c>
    </row>
    <row r="6052" spans="11:17" x14ac:dyDescent="0.3">
      <c r="K6052">
        <v>2019</v>
      </c>
      <c r="L6052" t="s">
        <v>35</v>
      </c>
      <c r="M6052" t="s">
        <v>128</v>
      </c>
      <c r="N6052" t="s">
        <v>16</v>
      </c>
      <c r="O6052" t="s">
        <v>192</v>
      </c>
      <c r="P6052" s="1" t="s">
        <v>33</v>
      </c>
      <c r="Q6052">
        <v>164.9</v>
      </c>
    </row>
    <row r="6053" spans="11:17" x14ac:dyDescent="0.3">
      <c r="K6053">
        <v>2019</v>
      </c>
      <c r="L6053" t="s">
        <v>35</v>
      </c>
      <c r="M6053" t="s">
        <v>128</v>
      </c>
      <c r="N6053" t="s">
        <v>27</v>
      </c>
      <c r="O6053" t="s">
        <v>192</v>
      </c>
      <c r="P6053" s="1" t="s">
        <v>30</v>
      </c>
      <c r="Q6053">
        <v>134.9</v>
      </c>
    </row>
    <row r="6054" spans="11:17" x14ac:dyDescent="0.3">
      <c r="K6054">
        <v>2019</v>
      </c>
      <c r="L6054" t="s">
        <v>35</v>
      </c>
      <c r="M6054" t="s">
        <v>128</v>
      </c>
      <c r="N6054" t="s">
        <v>27</v>
      </c>
      <c r="O6054" t="s">
        <v>192</v>
      </c>
      <c r="P6054" s="1" t="s">
        <v>34</v>
      </c>
      <c r="Q6054">
        <v>134.1</v>
      </c>
    </row>
    <row r="6055" spans="11:17" x14ac:dyDescent="0.3">
      <c r="K6055">
        <v>2019</v>
      </c>
      <c r="L6055" t="s">
        <v>35</v>
      </c>
      <c r="M6055" t="s">
        <v>128</v>
      </c>
      <c r="N6055" t="s">
        <v>27</v>
      </c>
      <c r="O6055" t="s">
        <v>192</v>
      </c>
      <c r="P6055" s="1" t="s">
        <v>33</v>
      </c>
      <c r="Q6055">
        <v>133</v>
      </c>
    </row>
    <row r="6056" spans="11:17" x14ac:dyDescent="0.3">
      <c r="K6056">
        <v>2019</v>
      </c>
      <c r="L6056" t="s">
        <v>35</v>
      </c>
      <c r="M6056" t="s">
        <v>128</v>
      </c>
      <c r="N6056" t="s">
        <v>14</v>
      </c>
      <c r="O6056" t="s">
        <v>188</v>
      </c>
      <c r="P6056" s="1" t="s">
        <v>30</v>
      </c>
      <c r="Q6056">
        <v>156.19999999999999</v>
      </c>
    </row>
    <row r="6057" spans="11:17" x14ac:dyDescent="0.3">
      <c r="K6057">
        <v>2019</v>
      </c>
      <c r="L6057" t="s">
        <v>35</v>
      </c>
      <c r="M6057" t="s">
        <v>128</v>
      </c>
      <c r="N6057" t="s">
        <v>14</v>
      </c>
      <c r="O6057" t="s">
        <v>188</v>
      </c>
      <c r="P6057" s="1" t="s">
        <v>34</v>
      </c>
      <c r="Q6057">
        <v>154.9</v>
      </c>
    </row>
    <row r="6058" spans="11:17" x14ac:dyDescent="0.3">
      <c r="K6058">
        <v>2019</v>
      </c>
      <c r="L6058" t="s">
        <v>35</v>
      </c>
      <c r="M6058" t="s">
        <v>128</v>
      </c>
      <c r="N6058" t="s">
        <v>14</v>
      </c>
      <c r="O6058" t="s">
        <v>188</v>
      </c>
      <c r="P6058" s="1" t="s">
        <v>33</v>
      </c>
      <c r="Q6058">
        <v>153.5</v>
      </c>
    </row>
    <row r="6059" spans="11:17" x14ac:dyDescent="0.3">
      <c r="K6059">
        <v>2019</v>
      </c>
      <c r="L6059" t="s">
        <v>35</v>
      </c>
      <c r="M6059" t="s">
        <v>128</v>
      </c>
      <c r="N6059" t="s">
        <v>10</v>
      </c>
      <c r="O6059" t="s">
        <v>188</v>
      </c>
      <c r="P6059" s="1" t="s">
        <v>30</v>
      </c>
      <c r="Q6059">
        <v>121.5</v>
      </c>
    </row>
    <row r="6060" spans="11:17" x14ac:dyDescent="0.3">
      <c r="K6060">
        <v>2019</v>
      </c>
      <c r="L6060" t="s">
        <v>35</v>
      </c>
      <c r="M6060" t="s">
        <v>128</v>
      </c>
      <c r="N6060" t="s">
        <v>10</v>
      </c>
      <c r="O6060" t="s">
        <v>188</v>
      </c>
      <c r="P6060" s="1" t="s">
        <v>34</v>
      </c>
      <c r="Q6060">
        <v>121</v>
      </c>
    </row>
    <row r="6061" spans="11:17" x14ac:dyDescent="0.3">
      <c r="K6061">
        <v>2019</v>
      </c>
      <c r="L6061" t="s">
        <v>35</v>
      </c>
      <c r="M6061" t="s">
        <v>128</v>
      </c>
      <c r="N6061" t="s">
        <v>10</v>
      </c>
      <c r="O6061" t="s">
        <v>188</v>
      </c>
      <c r="P6061" s="1" t="s">
        <v>33</v>
      </c>
      <c r="Q6061">
        <v>119.9</v>
      </c>
    </row>
    <row r="6062" spans="11:17" x14ac:dyDescent="0.3">
      <c r="K6062">
        <v>2019</v>
      </c>
      <c r="L6062" t="s">
        <v>35</v>
      </c>
      <c r="M6062" t="s">
        <v>128</v>
      </c>
      <c r="N6062" t="s">
        <v>25</v>
      </c>
      <c r="O6062" t="s">
        <v>195</v>
      </c>
      <c r="P6062" s="1" t="s">
        <v>30</v>
      </c>
      <c r="Q6062">
        <v>143.4</v>
      </c>
    </row>
    <row r="6063" spans="11:17" x14ac:dyDescent="0.3">
      <c r="K6063">
        <v>2019</v>
      </c>
      <c r="L6063" t="s">
        <v>35</v>
      </c>
      <c r="M6063" t="s">
        <v>128</v>
      </c>
      <c r="N6063" t="s">
        <v>25</v>
      </c>
      <c r="O6063" t="s">
        <v>195</v>
      </c>
      <c r="P6063" s="1" t="s">
        <v>34</v>
      </c>
      <c r="Q6063">
        <v>137.1</v>
      </c>
    </row>
    <row r="6064" spans="11:17" x14ac:dyDescent="0.3">
      <c r="K6064">
        <v>2019</v>
      </c>
      <c r="L6064" t="s">
        <v>35</v>
      </c>
      <c r="M6064" t="s">
        <v>128</v>
      </c>
      <c r="N6064" t="s">
        <v>25</v>
      </c>
      <c r="O6064" t="s">
        <v>195</v>
      </c>
      <c r="P6064" s="1" t="s">
        <v>33</v>
      </c>
      <c r="Q6064">
        <v>132.19999999999999</v>
      </c>
    </row>
    <row r="6065" spans="11:17" x14ac:dyDescent="0.3">
      <c r="K6065">
        <v>2019</v>
      </c>
      <c r="L6065" t="s">
        <v>35</v>
      </c>
      <c r="M6065" t="s">
        <v>128</v>
      </c>
      <c r="N6065" t="s">
        <v>12</v>
      </c>
      <c r="O6065" t="s">
        <v>188</v>
      </c>
      <c r="P6065" s="1" t="s">
        <v>30</v>
      </c>
      <c r="Q6065">
        <v>139.19999999999999</v>
      </c>
    </row>
    <row r="6066" spans="11:17" x14ac:dyDescent="0.3">
      <c r="K6066">
        <v>2019</v>
      </c>
      <c r="L6066" t="s">
        <v>35</v>
      </c>
      <c r="M6066" t="s">
        <v>128</v>
      </c>
      <c r="N6066" t="s">
        <v>12</v>
      </c>
      <c r="O6066" t="s">
        <v>188</v>
      </c>
      <c r="P6066" s="1" t="s">
        <v>34</v>
      </c>
      <c r="Q6066">
        <v>139.69999999999999</v>
      </c>
    </row>
    <row r="6067" spans="11:17" x14ac:dyDescent="0.3">
      <c r="K6067">
        <v>2019</v>
      </c>
      <c r="L6067" t="s">
        <v>35</v>
      </c>
      <c r="M6067" t="s">
        <v>128</v>
      </c>
      <c r="N6067" t="s">
        <v>12</v>
      </c>
      <c r="O6067" t="s">
        <v>188</v>
      </c>
      <c r="P6067" s="1" t="s">
        <v>33</v>
      </c>
      <c r="Q6067">
        <v>140.80000000000001</v>
      </c>
    </row>
    <row r="6068" spans="11:17" x14ac:dyDescent="0.3">
      <c r="K6068">
        <v>2019</v>
      </c>
      <c r="L6068" t="s">
        <v>35</v>
      </c>
      <c r="M6068" t="s">
        <v>128</v>
      </c>
      <c r="N6068" t="s">
        <v>11</v>
      </c>
      <c r="O6068" t="s">
        <v>188</v>
      </c>
      <c r="P6068" s="1" t="s">
        <v>30</v>
      </c>
      <c r="Q6068">
        <v>108.3</v>
      </c>
    </row>
    <row r="6069" spans="11:17" x14ac:dyDescent="0.3">
      <c r="K6069">
        <v>2019</v>
      </c>
      <c r="L6069" t="s">
        <v>35</v>
      </c>
      <c r="M6069" t="s">
        <v>128</v>
      </c>
      <c r="N6069" t="s">
        <v>11</v>
      </c>
      <c r="O6069" t="s">
        <v>188</v>
      </c>
      <c r="P6069" s="1" t="s">
        <v>34</v>
      </c>
      <c r="Q6069">
        <v>109</v>
      </c>
    </row>
    <row r="6070" spans="11:17" x14ac:dyDescent="0.3">
      <c r="K6070">
        <v>2019</v>
      </c>
      <c r="L6070" t="s">
        <v>35</v>
      </c>
      <c r="M6070" t="s">
        <v>128</v>
      </c>
      <c r="N6070" t="s">
        <v>11</v>
      </c>
      <c r="O6070" t="s">
        <v>188</v>
      </c>
      <c r="P6070" s="1" t="s">
        <v>33</v>
      </c>
      <c r="Q6070">
        <v>110.4</v>
      </c>
    </row>
    <row r="6071" spans="11:17" x14ac:dyDescent="0.3">
      <c r="K6071">
        <v>2019</v>
      </c>
      <c r="L6071" t="s">
        <v>35</v>
      </c>
      <c r="M6071" t="s">
        <v>128</v>
      </c>
      <c r="N6071" t="s">
        <v>24</v>
      </c>
      <c r="O6071" t="s">
        <v>191</v>
      </c>
      <c r="P6071" s="1" t="s">
        <v>30</v>
      </c>
      <c r="Q6071">
        <v>129.19999999999999</v>
      </c>
    </row>
    <row r="6072" spans="11:17" x14ac:dyDescent="0.3">
      <c r="K6072">
        <v>2019</v>
      </c>
      <c r="L6072" t="s">
        <v>35</v>
      </c>
      <c r="M6072" t="s">
        <v>128</v>
      </c>
      <c r="N6072" t="s">
        <v>24</v>
      </c>
      <c r="O6072" t="s">
        <v>191</v>
      </c>
      <c r="P6072" s="1" t="s">
        <v>34</v>
      </c>
      <c r="Q6072">
        <v>123.9</v>
      </c>
    </row>
    <row r="6073" spans="11:17" x14ac:dyDescent="0.3">
      <c r="K6073">
        <v>2019</v>
      </c>
      <c r="L6073" t="s">
        <v>35</v>
      </c>
      <c r="M6073" t="s">
        <v>128</v>
      </c>
      <c r="N6073" t="s">
        <v>24</v>
      </c>
      <c r="O6073" t="s">
        <v>191</v>
      </c>
      <c r="P6073" s="1" t="s">
        <v>33</v>
      </c>
      <c r="Q6073">
        <v>119.2</v>
      </c>
    </row>
    <row r="6074" spans="11:17" x14ac:dyDescent="0.3">
      <c r="K6074">
        <v>2019</v>
      </c>
      <c r="L6074" t="s">
        <v>35</v>
      </c>
      <c r="M6074" t="s">
        <v>128</v>
      </c>
      <c r="N6074" t="s">
        <v>9</v>
      </c>
      <c r="O6074" t="s">
        <v>188</v>
      </c>
      <c r="P6074" s="1" t="s">
        <v>30</v>
      </c>
      <c r="Q6074">
        <v>128.69999999999999</v>
      </c>
    </row>
    <row r="6075" spans="11:17" x14ac:dyDescent="0.3">
      <c r="K6075">
        <v>2019</v>
      </c>
      <c r="L6075" t="s">
        <v>35</v>
      </c>
      <c r="M6075" t="s">
        <v>128</v>
      </c>
      <c r="N6075" t="s">
        <v>9</v>
      </c>
      <c r="O6075" t="s">
        <v>188</v>
      </c>
      <c r="P6075" s="1" t="s">
        <v>34</v>
      </c>
      <c r="Q6075">
        <v>129.69999999999999</v>
      </c>
    </row>
    <row r="6076" spans="11:17" x14ac:dyDescent="0.3">
      <c r="K6076">
        <v>2019</v>
      </c>
      <c r="L6076" t="s">
        <v>35</v>
      </c>
      <c r="M6076" t="s">
        <v>128</v>
      </c>
      <c r="N6076" t="s">
        <v>9</v>
      </c>
      <c r="O6076" t="s">
        <v>188</v>
      </c>
      <c r="P6076" s="1" t="s">
        <v>33</v>
      </c>
      <c r="Q6076">
        <v>131.6</v>
      </c>
    </row>
    <row r="6077" spans="11:17" x14ac:dyDescent="0.3">
      <c r="K6077">
        <v>2019</v>
      </c>
      <c r="L6077" t="s">
        <v>31</v>
      </c>
      <c r="M6077" t="s">
        <v>129</v>
      </c>
      <c r="N6077" t="s">
        <v>3</v>
      </c>
      <c r="O6077" t="s">
        <v>188</v>
      </c>
      <c r="P6077" s="1" t="s">
        <v>30</v>
      </c>
      <c r="Q6077">
        <v>136.6</v>
      </c>
    </row>
    <row r="6078" spans="11:17" x14ac:dyDescent="0.3">
      <c r="K6078">
        <v>2019</v>
      </c>
      <c r="L6078" t="s">
        <v>31</v>
      </c>
      <c r="M6078" t="s">
        <v>129</v>
      </c>
      <c r="N6078" t="s">
        <v>3</v>
      </c>
      <c r="O6078" t="s">
        <v>188</v>
      </c>
      <c r="P6078" s="1" t="s">
        <v>34</v>
      </c>
      <c r="Q6078">
        <v>137.1</v>
      </c>
    </row>
    <row r="6079" spans="11:17" x14ac:dyDescent="0.3">
      <c r="K6079">
        <v>2019</v>
      </c>
      <c r="L6079" t="s">
        <v>31</v>
      </c>
      <c r="M6079" t="s">
        <v>129</v>
      </c>
      <c r="N6079" t="s">
        <v>3</v>
      </c>
      <c r="O6079" t="s">
        <v>188</v>
      </c>
      <c r="P6079" s="1" t="s">
        <v>33</v>
      </c>
      <c r="Q6079">
        <v>138.30000000000001</v>
      </c>
    </row>
    <row r="6080" spans="11:17" x14ac:dyDescent="0.3">
      <c r="K6080">
        <v>2019</v>
      </c>
      <c r="L6080" t="s">
        <v>31</v>
      </c>
      <c r="M6080" t="s">
        <v>129</v>
      </c>
      <c r="N6080" t="s">
        <v>17</v>
      </c>
      <c r="O6080" t="s">
        <v>189</v>
      </c>
      <c r="P6080" s="1" t="s">
        <v>30</v>
      </c>
      <c r="Q6080">
        <v>150.6</v>
      </c>
    </row>
    <row r="6081" spans="11:17" x14ac:dyDescent="0.3">
      <c r="K6081">
        <v>2019</v>
      </c>
      <c r="L6081" t="s">
        <v>31</v>
      </c>
      <c r="M6081" t="s">
        <v>129</v>
      </c>
      <c r="N6081" t="s">
        <v>17</v>
      </c>
      <c r="O6081" t="s">
        <v>189</v>
      </c>
      <c r="P6081" s="1" t="s">
        <v>34</v>
      </c>
      <c r="Q6081">
        <v>147.6</v>
      </c>
    </row>
    <row r="6082" spans="11:17" x14ac:dyDescent="0.3">
      <c r="K6082">
        <v>2019</v>
      </c>
      <c r="L6082" t="s">
        <v>31</v>
      </c>
      <c r="M6082" t="s">
        <v>129</v>
      </c>
      <c r="N6082" t="s">
        <v>17</v>
      </c>
      <c r="O6082" t="s">
        <v>189</v>
      </c>
      <c r="P6082" s="1" t="s">
        <v>33</v>
      </c>
      <c r="Q6082">
        <v>143</v>
      </c>
    </row>
    <row r="6083" spans="11:17" x14ac:dyDescent="0.3">
      <c r="K6083">
        <v>2019</v>
      </c>
      <c r="L6083" t="s">
        <v>31</v>
      </c>
      <c r="M6083" t="s">
        <v>129</v>
      </c>
      <c r="N6083" t="s">
        <v>19</v>
      </c>
      <c r="O6083" t="s">
        <v>189</v>
      </c>
      <c r="P6083" s="1" t="s">
        <v>30</v>
      </c>
      <c r="Q6083">
        <v>149.9</v>
      </c>
    </row>
    <row r="6084" spans="11:17" x14ac:dyDescent="0.3">
      <c r="K6084">
        <v>2019</v>
      </c>
      <c r="L6084" t="s">
        <v>31</v>
      </c>
      <c r="M6084" t="s">
        <v>129</v>
      </c>
      <c r="N6084" t="s">
        <v>19</v>
      </c>
      <c r="O6084" t="s">
        <v>189</v>
      </c>
      <c r="P6084" s="1" t="s">
        <v>34</v>
      </c>
      <c r="Q6084">
        <v>146.4</v>
      </c>
    </row>
    <row r="6085" spans="11:17" x14ac:dyDescent="0.3">
      <c r="K6085">
        <v>2019</v>
      </c>
      <c r="L6085" t="s">
        <v>31</v>
      </c>
      <c r="M6085" t="s">
        <v>129</v>
      </c>
      <c r="N6085" t="s">
        <v>19</v>
      </c>
      <c r="O6085" t="s">
        <v>189</v>
      </c>
      <c r="P6085" s="1" t="s">
        <v>33</v>
      </c>
      <c r="Q6085">
        <v>141.1</v>
      </c>
    </row>
    <row r="6086" spans="11:17" x14ac:dyDescent="0.3">
      <c r="K6086">
        <v>2019</v>
      </c>
      <c r="L6086" t="s">
        <v>31</v>
      </c>
      <c r="M6086" t="s">
        <v>129</v>
      </c>
      <c r="N6086" t="s">
        <v>26</v>
      </c>
      <c r="O6086" t="s">
        <v>26</v>
      </c>
      <c r="P6086" s="1" t="s">
        <v>30</v>
      </c>
      <c r="Q6086">
        <v>155.19999999999999</v>
      </c>
    </row>
    <row r="6087" spans="11:17" x14ac:dyDescent="0.3">
      <c r="K6087">
        <v>2019</v>
      </c>
      <c r="L6087" t="s">
        <v>31</v>
      </c>
      <c r="M6087" t="s">
        <v>129</v>
      </c>
      <c r="N6087" t="s">
        <v>26</v>
      </c>
      <c r="O6087" t="s">
        <v>26</v>
      </c>
      <c r="P6087" s="1" t="s">
        <v>34</v>
      </c>
      <c r="Q6087">
        <v>150.19999999999999</v>
      </c>
    </row>
    <row r="6088" spans="11:17" x14ac:dyDescent="0.3">
      <c r="K6088">
        <v>2019</v>
      </c>
      <c r="L6088" t="s">
        <v>31</v>
      </c>
      <c r="M6088" t="s">
        <v>129</v>
      </c>
      <c r="N6088" t="s">
        <v>26</v>
      </c>
      <c r="O6088" t="s">
        <v>26</v>
      </c>
      <c r="P6088" s="1" t="s">
        <v>33</v>
      </c>
      <c r="Q6088">
        <v>146.6</v>
      </c>
    </row>
    <row r="6089" spans="11:17" x14ac:dyDescent="0.3">
      <c r="K6089">
        <v>2019</v>
      </c>
      <c r="L6089" t="s">
        <v>31</v>
      </c>
      <c r="M6089" t="s">
        <v>129</v>
      </c>
      <c r="N6089" t="s">
        <v>5</v>
      </c>
      <c r="O6089" t="s">
        <v>188</v>
      </c>
      <c r="P6089" s="1" t="s">
        <v>30</v>
      </c>
      <c r="Q6089">
        <v>138.19999999999999</v>
      </c>
    </row>
    <row r="6090" spans="11:17" x14ac:dyDescent="0.3">
      <c r="K6090">
        <v>2019</v>
      </c>
      <c r="L6090" t="s">
        <v>31</v>
      </c>
      <c r="M6090" t="s">
        <v>129</v>
      </c>
      <c r="N6090" t="s">
        <v>5</v>
      </c>
      <c r="O6090" t="s">
        <v>188</v>
      </c>
      <c r="P6090" s="1" t="s">
        <v>34</v>
      </c>
      <c r="Q6090">
        <v>140.19999999999999</v>
      </c>
    </row>
    <row r="6091" spans="11:17" x14ac:dyDescent="0.3">
      <c r="K6091">
        <v>2019</v>
      </c>
      <c r="L6091" t="s">
        <v>31</v>
      </c>
      <c r="M6091" t="s">
        <v>129</v>
      </c>
      <c r="N6091" t="s">
        <v>5</v>
      </c>
      <c r="O6091" t="s">
        <v>188</v>
      </c>
      <c r="P6091" s="1" t="s">
        <v>33</v>
      </c>
      <c r="Q6091">
        <v>143.5</v>
      </c>
    </row>
    <row r="6092" spans="11:17" x14ac:dyDescent="0.3">
      <c r="K6092">
        <v>2019</v>
      </c>
      <c r="L6092" t="s">
        <v>31</v>
      </c>
      <c r="M6092" t="s">
        <v>129</v>
      </c>
      <c r="N6092" t="s">
        <v>15</v>
      </c>
      <c r="O6092" t="s">
        <v>188</v>
      </c>
      <c r="P6092" s="1" t="s">
        <v>30</v>
      </c>
      <c r="Q6092">
        <v>137.4</v>
      </c>
    </row>
    <row r="6093" spans="11:17" x14ac:dyDescent="0.3">
      <c r="K6093">
        <v>2019</v>
      </c>
      <c r="L6093" t="s">
        <v>31</v>
      </c>
      <c r="M6093" t="s">
        <v>129</v>
      </c>
      <c r="N6093" t="s">
        <v>15</v>
      </c>
      <c r="O6093" t="s">
        <v>188</v>
      </c>
      <c r="P6093" s="1" t="s">
        <v>34</v>
      </c>
      <c r="Q6093">
        <v>137.4</v>
      </c>
    </row>
    <row r="6094" spans="11:17" x14ac:dyDescent="0.3">
      <c r="K6094">
        <v>2019</v>
      </c>
      <c r="L6094" t="s">
        <v>31</v>
      </c>
      <c r="M6094" t="s">
        <v>129</v>
      </c>
      <c r="N6094" t="s">
        <v>15</v>
      </c>
      <c r="O6094" t="s">
        <v>188</v>
      </c>
      <c r="P6094" s="1" t="s">
        <v>33</v>
      </c>
      <c r="Q6094">
        <v>137.30000000000001</v>
      </c>
    </row>
    <row r="6095" spans="11:17" x14ac:dyDescent="0.3">
      <c r="K6095">
        <v>2019</v>
      </c>
      <c r="L6095" t="s">
        <v>31</v>
      </c>
      <c r="M6095" t="s">
        <v>129</v>
      </c>
      <c r="N6095" t="s">
        <v>18</v>
      </c>
      <c r="O6095" t="s">
        <v>189</v>
      </c>
      <c r="P6095" s="1" t="s">
        <v>30</v>
      </c>
      <c r="Q6095">
        <v>145.1</v>
      </c>
    </row>
    <row r="6096" spans="11:17" x14ac:dyDescent="0.3">
      <c r="K6096">
        <v>2019</v>
      </c>
      <c r="L6096" t="s">
        <v>31</v>
      </c>
      <c r="M6096" t="s">
        <v>129</v>
      </c>
      <c r="N6096" t="s">
        <v>18</v>
      </c>
      <c r="O6096" t="s">
        <v>189</v>
      </c>
      <c r="P6096" s="1" t="s">
        <v>34</v>
      </c>
      <c r="Q6096">
        <v>139</v>
      </c>
    </row>
    <row r="6097" spans="11:17" x14ac:dyDescent="0.3">
      <c r="K6097">
        <v>2019</v>
      </c>
      <c r="L6097" t="s">
        <v>31</v>
      </c>
      <c r="M6097" t="s">
        <v>129</v>
      </c>
      <c r="N6097" t="s">
        <v>18</v>
      </c>
      <c r="O6097" t="s">
        <v>189</v>
      </c>
      <c r="P6097" s="1" t="s">
        <v>33</v>
      </c>
      <c r="Q6097">
        <v>130.4</v>
      </c>
    </row>
    <row r="6098" spans="11:17" x14ac:dyDescent="0.3">
      <c r="K6098">
        <v>2019</v>
      </c>
      <c r="L6098" t="s">
        <v>31</v>
      </c>
      <c r="M6098" t="s">
        <v>129</v>
      </c>
      <c r="N6098" t="s">
        <v>8</v>
      </c>
      <c r="O6098" t="s">
        <v>188</v>
      </c>
      <c r="P6098" s="1" t="s">
        <v>30</v>
      </c>
      <c r="Q6098">
        <v>135.5</v>
      </c>
    </row>
    <row r="6099" spans="11:17" x14ac:dyDescent="0.3">
      <c r="K6099">
        <v>2019</v>
      </c>
      <c r="L6099" t="s">
        <v>31</v>
      </c>
      <c r="M6099" t="s">
        <v>129</v>
      </c>
      <c r="N6099" t="s">
        <v>8</v>
      </c>
      <c r="O6099" t="s">
        <v>188</v>
      </c>
      <c r="P6099" s="1" t="s">
        <v>34</v>
      </c>
      <c r="Q6099">
        <v>135.4</v>
      </c>
    </row>
    <row r="6100" spans="11:17" x14ac:dyDescent="0.3">
      <c r="K6100">
        <v>2019</v>
      </c>
      <c r="L6100" t="s">
        <v>31</v>
      </c>
      <c r="M6100" t="s">
        <v>129</v>
      </c>
      <c r="N6100" t="s">
        <v>8</v>
      </c>
      <c r="O6100" t="s">
        <v>188</v>
      </c>
      <c r="P6100" s="1" t="s">
        <v>33</v>
      </c>
      <c r="Q6100">
        <v>135.19999999999999</v>
      </c>
    </row>
    <row r="6101" spans="11:17" x14ac:dyDescent="0.3">
      <c r="K6101">
        <v>2019</v>
      </c>
      <c r="L6101" t="s">
        <v>31</v>
      </c>
      <c r="M6101" t="s">
        <v>129</v>
      </c>
      <c r="N6101" t="s">
        <v>21</v>
      </c>
      <c r="O6101" t="s">
        <v>190</v>
      </c>
      <c r="P6101" s="1" t="s">
        <v>30</v>
      </c>
      <c r="Q6101">
        <v>146.19999999999999</v>
      </c>
    </row>
    <row r="6102" spans="11:17" x14ac:dyDescent="0.3">
      <c r="K6102">
        <v>2019</v>
      </c>
      <c r="L6102" t="s">
        <v>31</v>
      </c>
      <c r="M6102" t="s">
        <v>129</v>
      </c>
      <c r="N6102" t="s">
        <v>21</v>
      </c>
      <c r="O6102" t="s">
        <v>190</v>
      </c>
      <c r="P6102" s="1" t="s">
        <v>34</v>
      </c>
      <c r="Q6102">
        <v>139.5</v>
      </c>
    </row>
    <row r="6103" spans="11:17" x14ac:dyDescent="0.3">
      <c r="K6103">
        <v>2019</v>
      </c>
      <c r="L6103" t="s">
        <v>31</v>
      </c>
      <c r="M6103" t="s">
        <v>129</v>
      </c>
      <c r="N6103" t="s">
        <v>21</v>
      </c>
      <c r="O6103" t="s">
        <v>190</v>
      </c>
      <c r="P6103" s="1" t="s">
        <v>33</v>
      </c>
      <c r="Q6103">
        <v>128.6</v>
      </c>
    </row>
    <row r="6104" spans="11:17" x14ac:dyDescent="0.3">
      <c r="K6104">
        <v>2019</v>
      </c>
      <c r="L6104" t="s">
        <v>31</v>
      </c>
      <c r="M6104" t="s">
        <v>129</v>
      </c>
      <c r="N6104" t="s">
        <v>29</v>
      </c>
      <c r="O6104" t="s">
        <v>206</v>
      </c>
      <c r="P6104" s="1" t="s">
        <v>30</v>
      </c>
      <c r="Q6104">
        <v>141</v>
      </c>
    </row>
    <row r="6105" spans="11:17" x14ac:dyDescent="0.3">
      <c r="K6105">
        <v>2019</v>
      </c>
      <c r="L6105" t="s">
        <v>31</v>
      </c>
      <c r="M6105" t="s">
        <v>129</v>
      </c>
      <c r="N6105" t="s">
        <v>29</v>
      </c>
      <c r="O6105" t="s">
        <v>206</v>
      </c>
      <c r="P6105" s="1" t="s">
        <v>34</v>
      </c>
      <c r="Q6105">
        <v>139.6</v>
      </c>
    </row>
    <row r="6106" spans="11:17" x14ac:dyDescent="0.3">
      <c r="K6106">
        <v>2019</v>
      </c>
      <c r="L6106" t="s">
        <v>31</v>
      </c>
      <c r="M6106" t="s">
        <v>129</v>
      </c>
      <c r="N6106" t="s">
        <v>29</v>
      </c>
      <c r="O6106" t="s">
        <v>206</v>
      </c>
      <c r="P6106" s="1" t="s">
        <v>33</v>
      </c>
      <c r="Q6106">
        <v>138</v>
      </c>
    </row>
    <row r="6107" spans="11:17" x14ac:dyDescent="0.3">
      <c r="K6107">
        <v>2019</v>
      </c>
      <c r="L6107" t="s">
        <v>31</v>
      </c>
      <c r="M6107" t="s">
        <v>129</v>
      </c>
      <c r="N6107" t="s">
        <v>23</v>
      </c>
      <c r="O6107" t="s">
        <v>23</v>
      </c>
      <c r="P6107" s="1" t="s">
        <v>30</v>
      </c>
      <c r="Q6107">
        <v>149.6</v>
      </c>
    </row>
    <row r="6108" spans="11:17" x14ac:dyDescent="0.3">
      <c r="K6108">
        <v>2019</v>
      </c>
      <c r="L6108" t="s">
        <v>31</v>
      </c>
      <c r="M6108" t="s">
        <v>129</v>
      </c>
      <c r="N6108" t="s">
        <v>23</v>
      </c>
      <c r="O6108" t="s">
        <v>23</v>
      </c>
      <c r="P6108" s="1" t="s">
        <v>34</v>
      </c>
      <c r="Q6108">
        <v>145.1</v>
      </c>
    </row>
    <row r="6109" spans="11:17" x14ac:dyDescent="0.3">
      <c r="K6109">
        <v>2019</v>
      </c>
      <c r="L6109" t="s">
        <v>31</v>
      </c>
      <c r="M6109" t="s">
        <v>129</v>
      </c>
      <c r="N6109" t="s">
        <v>23</v>
      </c>
      <c r="O6109" t="s">
        <v>23</v>
      </c>
      <c r="P6109" s="1" t="s">
        <v>33</v>
      </c>
      <c r="Q6109">
        <v>137.80000000000001</v>
      </c>
    </row>
    <row r="6110" spans="11:17" x14ac:dyDescent="0.3">
      <c r="K6110">
        <v>2019</v>
      </c>
      <c r="L6110" t="s">
        <v>31</v>
      </c>
      <c r="M6110" t="s">
        <v>129</v>
      </c>
      <c r="N6110" t="s">
        <v>22</v>
      </c>
      <c r="O6110" t="s">
        <v>20</v>
      </c>
      <c r="P6110" s="1" t="s">
        <v>30</v>
      </c>
      <c r="Q6110">
        <v>150.1</v>
      </c>
    </row>
    <row r="6111" spans="11:17" x14ac:dyDescent="0.3">
      <c r="K6111">
        <v>2019</v>
      </c>
      <c r="L6111" t="s">
        <v>31</v>
      </c>
      <c r="M6111" t="s">
        <v>129</v>
      </c>
      <c r="N6111" t="s">
        <v>22</v>
      </c>
      <c r="O6111" t="s">
        <v>20</v>
      </c>
      <c r="P6111" s="1" t="s">
        <v>34</v>
      </c>
      <c r="Q6111">
        <v>143.6</v>
      </c>
    </row>
    <row r="6112" spans="11:17" x14ac:dyDescent="0.3">
      <c r="K6112">
        <v>2019</v>
      </c>
      <c r="L6112" t="s">
        <v>31</v>
      </c>
      <c r="M6112" t="s">
        <v>129</v>
      </c>
      <c r="N6112" t="s">
        <v>22</v>
      </c>
      <c r="O6112" t="s">
        <v>20</v>
      </c>
      <c r="P6112" s="1" t="s">
        <v>33</v>
      </c>
      <c r="Q6112">
        <v>136.30000000000001</v>
      </c>
    </row>
    <row r="6113" spans="11:17" x14ac:dyDescent="0.3">
      <c r="K6113">
        <v>2019</v>
      </c>
      <c r="L6113" t="s">
        <v>31</v>
      </c>
      <c r="M6113" t="s">
        <v>129</v>
      </c>
      <c r="N6113" t="s">
        <v>20</v>
      </c>
      <c r="O6113" t="s">
        <v>20</v>
      </c>
      <c r="P6113" s="1" t="s">
        <v>30</v>
      </c>
      <c r="Q6113">
        <v>0</v>
      </c>
    </row>
    <row r="6114" spans="11:17" x14ac:dyDescent="0.3">
      <c r="K6114">
        <v>2019</v>
      </c>
      <c r="L6114" t="s">
        <v>31</v>
      </c>
      <c r="M6114" t="s">
        <v>129</v>
      </c>
      <c r="N6114" t="s">
        <v>20</v>
      </c>
      <c r="O6114" t="s">
        <v>20</v>
      </c>
      <c r="P6114" s="1" t="s">
        <v>34</v>
      </c>
      <c r="Q6114">
        <v>147.69999999999999</v>
      </c>
    </row>
    <row r="6115" spans="11:17" x14ac:dyDescent="0.3">
      <c r="K6115">
        <v>2019</v>
      </c>
      <c r="L6115" t="s">
        <v>31</v>
      </c>
      <c r="M6115" t="s">
        <v>129</v>
      </c>
      <c r="N6115" t="s">
        <v>20</v>
      </c>
      <c r="O6115" t="s">
        <v>20</v>
      </c>
      <c r="P6115" s="1" t="s">
        <v>33</v>
      </c>
      <c r="Q6115">
        <v>147.69999999999999</v>
      </c>
    </row>
    <row r="6116" spans="11:17" x14ac:dyDescent="0.3">
      <c r="K6116">
        <v>2019</v>
      </c>
      <c r="L6116" t="s">
        <v>31</v>
      </c>
      <c r="M6116" t="s">
        <v>129</v>
      </c>
      <c r="N6116" t="s">
        <v>4</v>
      </c>
      <c r="O6116" t="s">
        <v>188</v>
      </c>
      <c r="P6116" s="1" t="s">
        <v>30</v>
      </c>
      <c r="Q6116">
        <v>152.5</v>
      </c>
    </row>
    <row r="6117" spans="11:17" x14ac:dyDescent="0.3">
      <c r="K6117">
        <v>2019</v>
      </c>
      <c r="L6117" t="s">
        <v>31</v>
      </c>
      <c r="M6117" t="s">
        <v>129</v>
      </c>
      <c r="N6117" t="s">
        <v>4</v>
      </c>
      <c r="O6117" t="s">
        <v>188</v>
      </c>
      <c r="P6117" s="1" t="s">
        <v>34</v>
      </c>
      <c r="Q6117">
        <v>151.4</v>
      </c>
    </row>
    <row r="6118" spans="11:17" x14ac:dyDescent="0.3">
      <c r="K6118">
        <v>2019</v>
      </c>
      <c r="L6118" t="s">
        <v>31</v>
      </c>
      <c r="M6118" t="s">
        <v>129</v>
      </c>
      <c r="N6118" t="s">
        <v>4</v>
      </c>
      <c r="O6118" t="s">
        <v>188</v>
      </c>
      <c r="P6118" s="1" t="s">
        <v>33</v>
      </c>
      <c r="Q6118">
        <v>149.4</v>
      </c>
    </row>
    <row r="6119" spans="11:17" x14ac:dyDescent="0.3">
      <c r="K6119">
        <v>2019</v>
      </c>
      <c r="L6119" t="s">
        <v>31</v>
      </c>
      <c r="M6119" t="s">
        <v>129</v>
      </c>
      <c r="N6119" t="s">
        <v>6</v>
      </c>
      <c r="O6119" t="s">
        <v>188</v>
      </c>
      <c r="P6119" s="1" t="s">
        <v>30</v>
      </c>
      <c r="Q6119">
        <v>142.4</v>
      </c>
    </row>
    <row r="6120" spans="11:17" x14ac:dyDescent="0.3">
      <c r="K6120">
        <v>2019</v>
      </c>
      <c r="L6120" t="s">
        <v>31</v>
      </c>
      <c r="M6120" t="s">
        <v>129</v>
      </c>
      <c r="N6120" t="s">
        <v>6</v>
      </c>
      <c r="O6120" t="s">
        <v>188</v>
      </c>
      <c r="P6120" s="1" t="s">
        <v>34</v>
      </c>
      <c r="Q6120">
        <v>142.1</v>
      </c>
    </row>
    <row r="6121" spans="11:17" x14ac:dyDescent="0.3">
      <c r="K6121">
        <v>2019</v>
      </c>
      <c r="L6121" t="s">
        <v>31</v>
      </c>
      <c r="M6121" t="s">
        <v>129</v>
      </c>
      <c r="N6121" t="s">
        <v>6</v>
      </c>
      <c r="O6121" t="s">
        <v>188</v>
      </c>
      <c r="P6121" s="1" t="s">
        <v>33</v>
      </c>
      <c r="Q6121">
        <v>141.69999999999999</v>
      </c>
    </row>
    <row r="6122" spans="11:17" x14ac:dyDescent="0.3">
      <c r="K6122">
        <v>2019</v>
      </c>
      <c r="L6122" t="s">
        <v>31</v>
      </c>
      <c r="M6122" t="s">
        <v>129</v>
      </c>
      <c r="N6122" t="s">
        <v>28</v>
      </c>
      <c r="O6122" t="s">
        <v>192</v>
      </c>
      <c r="P6122" s="1" t="s">
        <v>30</v>
      </c>
      <c r="Q6122">
        <v>141.69999999999999</v>
      </c>
    </row>
    <row r="6123" spans="11:17" x14ac:dyDescent="0.3">
      <c r="K6123">
        <v>2019</v>
      </c>
      <c r="L6123" t="s">
        <v>31</v>
      </c>
      <c r="M6123" t="s">
        <v>129</v>
      </c>
      <c r="N6123" t="s">
        <v>28</v>
      </c>
      <c r="O6123" t="s">
        <v>192</v>
      </c>
      <c r="P6123" s="1" t="s">
        <v>34</v>
      </c>
      <c r="Q6123">
        <v>136.9</v>
      </c>
    </row>
    <row r="6124" spans="11:17" x14ac:dyDescent="0.3">
      <c r="K6124">
        <v>2019</v>
      </c>
      <c r="L6124" t="s">
        <v>31</v>
      </c>
      <c r="M6124" t="s">
        <v>129</v>
      </c>
      <c r="N6124" t="s">
        <v>28</v>
      </c>
      <c r="O6124" t="s">
        <v>192</v>
      </c>
      <c r="P6124" s="1" t="s">
        <v>33</v>
      </c>
      <c r="Q6124">
        <v>131.80000000000001</v>
      </c>
    </row>
    <row r="6125" spans="11:17" x14ac:dyDescent="0.3">
      <c r="K6125">
        <v>2019</v>
      </c>
      <c r="L6125" t="s">
        <v>31</v>
      </c>
      <c r="M6125" t="s">
        <v>129</v>
      </c>
      <c r="N6125" t="s">
        <v>13</v>
      </c>
      <c r="O6125" t="s">
        <v>188</v>
      </c>
      <c r="P6125" s="1" t="s">
        <v>30</v>
      </c>
      <c r="Q6125">
        <v>137</v>
      </c>
    </row>
    <row r="6126" spans="11:17" x14ac:dyDescent="0.3">
      <c r="K6126">
        <v>2019</v>
      </c>
      <c r="L6126" t="s">
        <v>31</v>
      </c>
      <c r="M6126" t="s">
        <v>129</v>
      </c>
      <c r="N6126" t="s">
        <v>13</v>
      </c>
      <c r="O6126" t="s">
        <v>188</v>
      </c>
      <c r="P6126" s="1" t="s">
        <v>34</v>
      </c>
      <c r="Q6126">
        <v>133.30000000000001</v>
      </c>
    </row>
    <row r="6127" spans="11:17" x14ac:dyDescent="0.3">
      <c r="K6127">
        <v>2019</v>
      </c>
      <c r="L6127" t="s">
        <v>31</v>
      </c>
      <c r="M6127" t="s">
        <v>129</v>
      </c>
      <c r="N6127" t="s">
        <v>13</v>
      </c>
      <c r="O6127" t="s">
        <v>188</v>
      </c>
      <c r="P6127" s="1" t="s">
        <v>33</v>
      </c>
      <c r="Q6127">
        <v>128.1</v>
      </c>
    </row>
    <row r="6128" spans="11:17" x14ac:dyDescent="0.3">
      <c r="K6128">
        <v>2019</v>
      </c>
      <c r="L6128" t="s">
        <v>31</v>
      </c>
      <c r="M6128" t="s">
        <v>129</v>
      </c>
      <c r="N6128" t="s">
        <v>7</v>
      </c>
      <c r="O6128" t="s">
        <v>188</v>
      </c>
      <c r="P6128" s="1" t="s">
        <v>30</v>
      </c>
      <c r="Q6128">
        <v>123.9</v>
      </c>
    </row>
    <row r="6129" spans="11:17" x14ac:dyDescent="0.3">
      <c r="K6129">
        <v>2019</v>
      </c>
      <c r="L6129" t="s">
        <v>31</v>
      </c>
      <c r="M6129" t="s">
        <v>129</v>
      </c>
      <c r="N6129" t="s">
        <v>7</v>
      </c>
      <c r="O6129" t="s">
        <v>188</v>
      </c>
      <c r="P6129" s="1" t="s">
        <v>34</v>
      </c>
      <c r="Q6129">
        <v>121.8</v>
      </c>
    </row>
    <row r="6130" spans="11:17" x14ac:dyDescent="0.3">
      <c r="K6130">
        <v>2019</v>
      </c>
      <c r="L6130" t="s">
        <v>31</v>
      </c>
      <c r="M6130" t="s">
        <v>129</v>
      </c>
      <c r="N6130" t="s">
        <v>7</v>
      </c>
      <c r="O6130" t="s">
        <v>188</v>
      </c>
      <c r="P6130" s="1" t="s">
        <v>33</v>
      </c>
      <c r="Q6130">
        <v>118.1</v>
      </c>
    </row>
    <row r="6131" spans="11:17" x14ac:dyDescent="0.3">
      <c r="K6131">
        <v>2019</v>
      </c>
      <c r="L6131" t="s">
        <v>31</v>
      </c>
      <c r="M6131" t="s">
        <v>129</v>
      </c>
      <c r="N6131" t="s">
        <v>16</v>
      </c>
      <c r="O6131" t="s">
        <v>192</v>
      </c>
      <c r="P6131" s="1" t="s">
        <v>30</v>
      </c>
      <c r="Q6131">
        <v>162.69999999999999</v>
      </c>
    </row>
    <row r="6132" spans="11:17" x14ac:dyDescent="0.3">
      <c r="K6132">
        <v>2019</v>
      </c>
      <c r="L6132" t="s">
        <v>31</v>
      </c>
      <c r="M6132" t="s">
        <v>129</v>
      </c>
      <c r="N6132" t="s">
        <v>16</v>
      </c>
      <c r="O6132" t="s">
        <v>192</v>
      </c>
      <c r="P6132" s="1" t="s">
        <v>34</v>
      </c>
      <c r="Q6132">
        <v>163.19999999999999</v>
      </c>
    </row>
    <row r="6133" spans="11:17" x14ac:dyDescent="0.3">
      <c r="K6133">
        <v>2019</v>
      </c>
      <c r="L6133" t="s">
        <v>31</v>
      </c>
      <c r="M6133" t="s">
        <v>129</v>
      </c>
      <c r="N6133" t="s">
        <v>16</v>
      </c>
      <c r="O6133" t="s">
        <v>192</v>
      </c>
      <c r="P6133" s="1" t="s">
        <v>33</v>
      </c>
      <c r="Q6133">
        <v>164.7</v>
      </c>
    </row>
    <row r="6134" spans="11:17" x14ac:dyDescent="0.3">
      <c r="K6134">
        <v>2019</v>
      </c>
      <c r="L6134" t="s">
        <v>31</v>
      </c>
      <c r="M6134" t="s">
        <v>129</v>
      </c>
      <c r="N6134" t="s">
        <v>27</v>
      </c>
      <c r="O6134" t="s">
        <v>192</v>
      </c>
      <c r="P6134" s="1" t="s">
        <v>30</v>
      </c>
      <c r="Q6134">
        <v>133.5</v>
      </c>
    </row>
    <row r="6135" spans="11:17" x14ac:dyDescent="0.3">
      <c r="K6135">
        <v>2019</v>
      </c>
      <c r="L6135" t="s">
        <v>31</v>
      </c>
      <c r="M6135" t="s">
        <v>129</v>
      </c>
      <c r="N6135" t="s">
        <v>27</v>
      </c>
      <c r="O6135" t="s">
        <v>192</v>
      </c>
      <c r="P6135" s="1" t="s">
        <v>34</v>
      </c>
      <c r="Q6135">
        <v>132.80000000000001</v>
      </c>
    </row>
    <row r="6136" spans="11:17" x14ac:dyDescent="0.3">
      <c r="K6136">
        <v>2019</v>
      </c>
      <c r="L6136" t="s">
        <v>31</v>
      </c>
      <c r="M6136" t="s">
        <v>129</v>
      </c>
      <c r="N6136" t="s">
        <v>27</v>
      </c>
      <c r="O6136" t="s">
        <v>192</v>
      </c>
      <c r="P6136" s="1" t="s">
        <v>33</v>
      </c>
      <c r="Q6136">
        <v>131.69999999999999</v>
      </c>
    </row>
    <row r="6137" spans="11:17" x14ac:dyDescent="0.3">
      <c r="K6137">
        <v>2019</v>
      </c>
      <c r="L6137" t="s">
        <v>31</v>
      </c>
      <c r="M6137" t="s">
        <v>129</v>
      </c>
      <c r="N6137" t="s">
        <v>14</v>
      </c>
      <c r="O6137" t="s">
        <v>188</v>
      </c>
      <c r="P6137" s="1" t="s">
        <v>30</v>
      </c>
      <c r="Q6137">
        <v>155.80000000000001</v>
      </c>
    </row>
    <row r="6138" spans="11:17" x14ac:dyDescent="0.3">
      <c r="K6138">
        <v>2019</v>
      </c>
      <c r="L6138" t="s">
        <v>31</v>
      </c>
      <c r="M6138" t="s">
        <v>129</v>
      </c>
      <c r="N6138" t="s">
        <v>14</v>
      </c>
      <c r="O6138" t="s">
        <v>188</v>
      </c>
      <c r="P6138" s="1" t="s">
        <v>34</v>
      </c>
      <c r="Q6138">
        <v>154.6</v>
      </c>
    </row>
    <row r="6139" spans="11:17" x14ac:dyDescent="0.3">
      <c r="K6139">
        <v>2019</v>
      </c>
      <c r="L6139" t="s">
        <v>31</v>
      </c>
      <c r="M6139" t="s">
        <v>129</v>
      </c>
      <c r="N6139" t="s">
        <v>14</v>
      </c>
      <c r="O6139" t="s">
        <v>188</v>
      </c>
      <c r="P6139" s="1" t="s">
        <v>33</v>
      </c>
      <c r="Q6139">
        <v>153.19999999999999</v>
      </c>
    </row>
    <row r="6140" spans="11:17" x14ac:dyDescent="0.3">
      <c r="K6140">
        <v>2019</v>
      </c>
      <c r="L6140" t="s">
        <v>31</v>
      </c>
      <c r="M6140" t="s">
        <v>129</v>
      </c>
      <c r="N6140" t="s">
        <v>10</v>
      </c>
      <c r="O6140" t="s">
        <v>188</v>
      </c>
      <c r="P6140" s="1" t="s">
        <v>30</v>
      </c>
      <c r="Q6140">
        <v>121.3</v>
      </c>
    </row>
    <row r="6141" spans="11:17" x14ac:dyDescent="0.3">
      <c r="K6141">
        <v>2019</v>
      </c>
      <c r="L6141" t="s">
        <v>31</v>
      </c>
      <c r="M6141" t="s">
        <v>129</v>
      </c>
      <c r="N6141" t="s">
        <v>10</v>
      </c>
      <c r="O6141" t="s">
        <v>188</v>
      </c>
      <c r="P6141" s="1" t="s">
        <v>34</v>
      </c>
      <c r="Q6141">
        <v>120.3</v>
      </c>
    </row>
    <row r="6142" spans="11:17" x14ac:dyDescent="0.3">
      <c r="K6142">
        <v>2019</v>
      </c>
      <c r="L6142" t="s">
        <v>31</v>
      </c>
      <c r="M6142" t="s">
        <v>129</v>
      </c>
      <c r="N6142" t="s">
        <v>10</v>
      </c>
      <c r="O6142" t="s">
        <v>188</v>
      </c>
      <c r="P6142" s="1" t="s">
        <v>33</v>
      </c>
      <c r="Q6142">
        <v>118.2</v>
      </c>
    </row>
    <row r="6143" spans="11:17" x14ac:dyDescent="0.3">
      <c r="K6143">
        <v>2019</v>
      </c>
      <c r="L6143" t="s">
        <v>31</v>
      </c>
      <c r="M6143" t="s">
        <v>129</v>
      </c>
      <c r="N6143" t="s">
        <v>25</v>
      </c>
      <c r="O6143" t="s">
        <v>195</v>
      </c>
      <c r="P6143" s="1" t="s">
        <v>30</v>
      </c>
      <c r="Q6143">
        <v>142.9</v>
      </c>
    </row>
    <row r="6144" spans="11:17" x14ac:dyDescent="0.3">
      <c r="K6144">
        <v>2019</v>
      </c>
      <c r="L6144" t="s">
        <v>31</v>
      </c>
      <c r="M6144" t="s">
        <v>129</v>
      </c>
      <c r="N6144" t="s">
        <v>25</v>
      </c>
      <c r="O6144" t="s">
        <v>195</v>
      </c>
      <c r="P6144" s="1" t="s">
        <v>34</v>
      </c>
      <c r="Q6144">
        <v>136.69999999999999</v>
      </c>
    </row>
    <row r="6145" spans="11:17" x14ac:dyDescent="0.3">
      <c r="K6145">
        <v>2019</v>
      </c>
      <c r="L6145" t="s">
        <v>31</v>
      </c>
      <c r="M6145" t="s">
        <v>129</v>
      </c>
      <c r="N6145" t="s">
        <v>25</v>
      </c>
      <c r="O6145" t="s">
        <v>195</v>
      </c>
      <c r="P6145" s="1" t="s">
        <v>33</v>
      </c>
      <c r="Q6145">
        <v>131.9</v>
      </c>
    </row>
    <row r="6146" spans="11:17" x14ac:dyDescent="0.3">
      <c r="K6146">
        <v>2019</v>
      </c>
      <c r="L6146" t="s">
        <v>31</v>
      </c>
      <c r="M6146" t="s">
        <v>129</v>
      </c>
      <c r="N6146" t="s">
        <v>12</v>
      </c>
      <c r="O6146" t="s">
        <v>188</v>
      </c>
      <c r="P6146" s="1" t="s">
        <v>30</v>
      </c>
      <c r="Q6146">
        <v>138.9</v>
      </c>
    </row>
    <row r="6147" spans="11:17" x14ac:dyDescent="0.3">
      <c r="K6147">
        <v>2019</v>
      </c>
      <c r="L6147" t="s">
        <v>31</v>
      </c>
      <c r="M6147" t="s">
        <v>129</v>
      </c>
      <c r="N6147" t="s">
        <v>12</v>
      </c>
      <c r="O6147" t="s">
        <v>188</v>
      </c>
      <c r="P6147" s="1" t="s">
        <v>34</v>
      </c>
      <c r="Q6147">
        <v>139.4</v>
      </c>
    </row>
    <row r="6148" spans="11:17" x14ac:dyDescent="0.3">
      <c r="K6148">
        <v>2019</v>
      </c>
      <c r="L6148" t="s">
        <v>31</v>
      </c>
      <c r="M6148" t="s">
        <v>129</v>
      </c>
      <c r="N6148" t="s">
        <v>12</v>
      </c>
      <c r="O6148" t="s">
        <v>188</v>
      </c>
      <c r="P6148" s="1" t="s">
        <v>33</v>
      </c>
      <c r="Q6148">
        <v>140.4</v>
      </c>
    </row>
    <row r="6149" spans="11:17" x14ac:dyDescent="0.3">
      <c r="K6149">
        <v>2019</v>
      </c>
      <c r="L6149" t="s">
        <v>31</v>
      </c>
      <c r="M6149" t="s">
        <v>129</v>
      </c>
      <c r="N6149" t="s">
        <v>11</v>
      </c>
      <c r="O6149" t="s">
        <v>188</v>
      </c>
      <c r="P6149" s="1" t="s">
        <v>30</v>
      </c>
      <c r="Q6149">
        <v>108.4</v>
      </c>
    </row>
    <row r="6150" spans="11:17" x14ac:dyDescent="0.3">
      <c r="K6150">
        <v>2019</v>
      </c>
      <c r="L6150" t="s">
        <v>31</v>
      </c>
      <c r="M6150" t="s">
        <v>129</v>
      </c>
      <c r="N6150" t="s">
        <v>11</v>
      </c>
      <c r="O6150" t="s">
        <v>188</v>
      </c>
      <c r="P6150" s="1" t="s">
        <v>34</v>
      </c>
      <c r="Q6150">
        <v>109.1</v>
      </c>
    </row>
    <row r="6151" spans="11:17" x14ac:dyDescent="0.3">
      <c r="K6151">
        <v>2019</v>
      </c>
      <c r="L6151" t="s">
        <v>31</v>
      </c>
      <c r="M6151" t="s">
        <v>129</v>
      </c>
      <c r="N6151" t="s">
        <v>11</v>
      </c>
      <c r="O6151" t="s">
        <v>188</v>
      </c>
      <c r="P6151" s="1" t="s">
        <v>33</v>
      </c>
      <c r="Q6151">
        <v>110.4</v>
      </c>
    </row>
    <row r="6152" spans="11:17" x14ac:dyDescent="0.3">
      <c r="K6152">
        <v>2019</v>
      </c>
      <c r="L6152" t="s">
        <v>31</v>
      </c>
      <c r="M6152" t="s">
        <v>129</v>
      </c>
      <c r="N6152" t="s">
        <v>24</v>
      </c>
      <c r="O6152" t="s">
        <v>191</v>
      </c>
      <c r="P6152" s="1" t="s">
        <v>30</v>
      </c>
      <c r="Q6152">
        <v>128.6</v>
      </c>
    </row>
    <row r="6153" spans="11:17" x14ac:dyDescent="0.3">
      <c r="K6153">
        <v>2019</v>
      </c>
      <c r="L6153" t="s">
        <v>31</v>
      </c>
      <c r="M6153" t="s">
        <v>129</v>
      </c>
      <c r="N6153" t="s">
        <v>24</v>
      </c>
      <c r="O6153" t="s">
        <v>191</v>
      </c>
      <c r="P6153" s="1" t="s">
        <v>34</v>
      </c>
      <c r="Q6153">
        <v>123.3</v>
      </c>
    </row>
    <row r="6154" spans="11:17" x14ac:dyDescent="0.3">
      <c r="K6154">
        <v>2019</v>
      </c>
      <c r="L6154" t="s">
        <v>31</v>
      </c>
      <c r="M6154" t="s">
        <v>129</v>
      </c>
      <c r="N6154" t="s">
        <v>24</v>
      </c>
      <c r="O6154" t="s">
        <v>191</v>
      </c>
      <c r="P6154" s="1" t="s">
        <v>33</v>
      </c>
      <c r="Q6154">
        <v>118.6</v>
      </c>
    </row>
    <row r="6155" spans="11:17" x14ac:dyDescent="0.3">
      <c r="K6155">
        <v>2019</v>
      </c>
      <c r="L6155" t="s">
        <v>31</v>
      </c>
      <c r="M6155" t="s">
        <v>129</v>
      </c>
      <c r="N6155" t="s">
        <v>9</v>
      </c>
      <c r="O6155" t="s">
        <v>188</v>
      </c>
      <c r="P6155" s="1" t="s">
        <v>30</v>
      </c>
      <c r="Q6155">
        <v>131.69999999999999</v>
      </c>
    </row>
    <row r="6156" spans="11:17" x14ac:dyDescent="0.3">
      <c r="K6156">
        <v>2019</v>
      </c>
      <c r="L6156" t="s">
        <v>31</v>
      </c>
      <c r="M6156" t="s">
        <v>129</v>
      </c>
      <c r="N6156" t="s">
        <v>9</v>
      </c>
      <c r="O6156" t="s">
        <v>188</v>
      </c>
      <c r="P6156" s="1" t="s">
        <v>34</v>
      </c>
      <c r="Q6156">
        <v>131.30000000000001</v>
      </c>
    </row>
    <row r="6157" spans="11:17" x14ac:dyDescent="0.3">
      <c r="K6157">
        <v>2019</v>
      </c>
      <c r="L6157" t="s">
        <v>31</v>
      </c>
      <c r="M6157" t="s">
        <v>129</v>
      </c>
      <c r="N6157" t="s">
        <v>9</v>
      </c>
      <c r="O6157" t="s">
        <v>188</v>
      </c>
      <c r="P6157" s="1" t="s">
        <v>33</v>
      </c>
      <c r="Q6157">
        <v>130.5</v>
      </c>
    </row>
    <row r="6158" spans="11:17" x14ac:dyDescent="0.3">
      <c r="K6158">
        <v>2019</v>
      </c>
      <c r="L6158" t="s">
        <v>40</v>
      </c>
      <c r="M6158" t="s">
        <v>130</v>
      </c>
      <c r="N6158" t="s">
        <v>3</v>
      </c>
      <c r="O6158" t="s">
        <v>188</v>
      </c>
      <c r="P6158" s="1" t="s">
        <v>30</v>
      </c>
      <c r="Q6158">
        <v>138.4</v>
      </c>
    </row>
    <row r="6159" spans="11:17" x14ac:dyDescent="0.3">
      <c r="K6159">
        <v>2019</v>
      </c>
      <c r="L6159" t="s">
        <v>40</v>
      </c>
      <c r="M6159" t="s">
        <v>130</v>
      </c>
      <c r="N6159" t="s">
        <v>3</v>
      </c>
      <c r="O6159" t="s">
        <v>188</v>
      </c>
      <c r="P6159" s="1" t="s">
        <v>34</v>
      </c>
      <c r="Q6159">
        <v>139.30000000000001</v>
      </c>
    </row>
    <row r="6160" spans="11:17" x14ac:dyDescent="0.3">
      <c r="K6160">
        <v>2019</v>
      </c>
      <c r="L6160" t="s">
        <v>40</v>
      </c>
      <c r="M6160" t="s">
        <v>130</v>
      </c>
      <c r="N6160" t="s">
        <v>3</v>
      </c>
      <c r="O6160" t="s">
        <v>188</v>
      </c>
      <c r="P6160" s="1" t="s">
        <v>33</v>
      </c>
      <c r="Q6160">
        <v>141.4</v>
      </c>
    </row>
    <row r="6161" spans="11:17" x14ac:dyDescent="0.3">
      <c r="K6161">
        <v>2019</v>
      </c>
      <c r="L6161" t="s">
        <v>40</v>
      </c>
      <c r="M6161" t="s">
        <v>130</v>
      </c>
      <c r="N6161" t="s">
        <v>17</v>
      </c>
      <c r="O6161" t="s">
        <v>189</v>
      </c>
      <c r="P6161" s="1" t="s">
        <v>30</v>
      </c>
      <c r="Q6161">
        <v>151.6</v>
      </c>
    </row>
    <row r="6162" spans="11:17" x14ac:dyDescent="0.3">
      <c r="K6162">
        <v>2019</v>
      </c>
      <c r="L6162" t="s">
        <v>40</v>
      </c>
      <c r="M6162" t="s">
        <v>130</v>
      </c>
      <c r="N6162" t="s">
        <v>17</v>
      </c>
      <c r="O6162" t="s">
        <v>189</v>
      </c>
      <c r="P6162" s="1" t="s">
        <v>34</v>
      </c>
      <c r="Q6162">
        <v>148.9</v>
      </c>
    </row>
    <row r="6163" spans="11:17" x14ac:dyDescent="0.3">
      <c r="K6163">
        <v>2019</v>
      </c>
      <c r="L6163" t="s">
        <v>40</v>
      </c>
      <c r="M6163" t="s">
        <v>130</v>
      </c>
      <c r="N6163" t="s">
        <v>17</v>
      </c>
      <c r="O6163" t="s">
        <v>189</v>
      </c>
      <c r="P6163" s="1" t="s">
        <v>33</v>
      </c>
      <c r="Q6163">
        <v>144.69999999999999</v>
      </c>
    </row>
    <row r="6164" spans="11:17" x14ac:dyDescent="0.3">
      <c r="K6164">
        <v>2019</v>
      </c>
      <c r="L6164" t="s">
        <v>40</v>
      </c>
      <c r="M6164" t="s">
        <v>130</v>
      </c>
      <c r="N6164" t="s">
        <v>19</v>
      </c>
      <c r="O6164" t="s">
        <v>189</v>
      </c>
      <c r="P6164" s="1" t="s">
        <v>30</v>
      </c>
      <c r="Q6164">
        <v>150.9</v>
      </c>
    </row>
    <row r="6165" spans="11:17" x14ac:dyDescent="0.3">
      <c r="K6165">
        <v>2019</v>
      </c>
      <c r="L6165" t="s">
        <v>40</v>
      </c>
      <c r="M6165" t="s">
        <v>130</v>
      </c>
      <c r="N6165" t="s">
        <v>19</v>
      </c>
      <c r="O6165" t="s">
        <v>189</v>
      </c>
      <c r="P6165" s="1" t="s">
        <v>34</v>
      </c>
      <c r="Q6165">
        <v>147.6</v>
      </c>
    </row>
    <row r="6166" spans="11:17" x14ac:dyDescent="0.3">
      <c r="K6166">
        <v>2019</v>
      </c>
      <c r="L6166" t="s">
        <v>40</v>
      </c>
      <c r="M6166" t="s">
        <v>130</v>
      </c>
      <c r="N6166" t="s">
        <v>19</v>
      </c>
      <c r="O6166" t="s">
        <v>189</v>
      </c>
      <c r="P6166" s="1" t="s">
        <v>33</v>
      </c>
      <c r="Q6166">
        <v>142.69999999999999</v>
      </c>
    </row>
    <row r="6167" spans="11:17" x14ac:dyDescent="0.3">
      <c r="K6167">
        <v>2019</v>
      </c>
      <c r="L6167" t="s">
        <v>40</v>
      </c>
      <c r="M6167" t="s">
        <v>130</v>
      </c>
      <c r="N6167" t="s">
        <v>26</v>
      </c>
      <c r="O6167" t="s">
        <v>26</v>
      </c>
      <c r="P6167" s="1" t="s">
        <v>30</v>
      </c>
      <c r="Q6167">
        <v>159.1</v>
      </c>
    </row>
    <row r="6168" spans="11:17" x14ac:dyDescent="0.3">
      <c r="K6168">
        <v>2019</v>
      </c>
      <c r="L6168" t="s">
        <v>40</v>
      </c>
      <c r="M6168" t="s">
        <v>130</v>
      </c>
      <c r="N6168" t="s">
        <v>26</v>
      </c>
      <c r="O6168" t="s">
        <v>26</v>
      </c>
      <c r="P6168" s="1" t="s">
        <v>34</v>
      </c>
      <c r="Q6168">
        <v>154</v>
      </c>
    </row>
    <row r="6169" spans="11:17" x14ac:dyDescent="0.3">
      <c r="K6169">
        <v>2019</v>
      </c>
      <c r="L6169" t="s">
        <v>40</v>
      </c>
      <c r="M6169" t="s">
        <v>130</v>
      </c>
      <c r="N6169" t="s">
        <v>26</v>
      </c>
      <c r="O6169" t="s">
        <v>26</v>
      </c>
      <c r="P6169" s="1" t="s">
        <v>33</v>
      </c>
      <c r="Q6169">
        <v>150.4</v>
      </c>
    </row>
    <row r="6170" spans="11:17" x14ac:dyDescent="0.3">
      <c r="K6170">
        <v>2019</v>
      </c>
      <c r="L6170" t="s">
        <v>40</v>
      </c>
      <c r="M6170" t="s">
        <v>130</v>
      </c>
      <c r="N6170" t="s">
        <v>5</v>
      </c>
      <c r="O6170" t="s">
        <v>188</v>
      </c>
      <c r="P6170" s="1" t="s">
        <v>30</v>
      </c>
      <c r="Q6170">
        <v>138.4</v>
      </c>
    </row>
    <row r="6171" spans="11:17" x14ac:dyDescent="0.3">
      <c r="K6171">
        <v>2019</v>
      </c>
      <c r="L6171" t="s">
        <v>40</v>
      </c>
      <c r="M6171" t="s">
        <v>130</v>
      </c>
      <c r="N6171" t="s">
        <v>5</v>
      </c>
      <c r="O6171" t="s">
        <v>188</v>
      </c>
      <c r="P6171" s="1" t="s">
        <v>34</v>
      </c>
      <c r="Q6171">
        <v>140</v>
      </c>
    </row>
    <row r="6172" spans="11:17" x14ac:dyDescent="0.3">
      <c r="K6172">
        <v>2019</v>
      </c>
      <c r="L6172" t="s">
        <v>40</v>
      </c>
      <c r="M6172" t="s">
        <v>130</v>
      </c>
      <c r="N6172" t="s">
        <v>5</v>
      </c>
      <c r="O6172" t="s">
        <v>188</v>
      </c>
      <c r="P6172" s="1" t="s">
        <v>33</v>
      </c>
      <c r="Q6172">
        <v>142.5</v>
      </c>
    </row>
    <row r="6173" spans="11:17" x14ac:dyDescent="0.3">
      <c r="K6173">
        <v>2019</v>
      </c>
      <c r="L6173" t="s">
        <v>40</v>
      </c>
      <c r="M6173" t="s">
        <v>130</v>
      </c>
      <c r="N6173" t="s">
        <v>15</v>
      </c>
      <c r="O6173" t="s">
        <v>188</v>
      </c>
      <c r="P6173" s="1" t="s">
        <v>30</v>
      </c>
      <c r="Q6173">
        <v>143</v>
      </c>
    </row>
    <row r="6174" spans="11:17" x14ac:dyDescent="0.3">
      <c r="K6174">
        <v>2019</v>
      </c>
      <c r="L6174" t="s">
        <v>40</v>
      </c>
      <c r="M6174" t="s">
        <v>130</v>
      </c>
      <c r="N6174" t="s">
        <v>15</v>
      </c>
      <c r="O6174" t="s">
        <v>188</v>
      </c>
      <c r="P6174" s="1" t="s">
        <v>34</v>
      </c>
      <c r="Q6174">
        <v>144.69999999999999</v>
      </c>
    </row>
    <row r="6175" spans="11:17" x14ac:dyDescent="0.3">
      <c r="K6175">
        <v>2019</v>
      </c>
      <c r="L6175" t="s">
        <v>40</v>
      </c>
      <c r="M6175" t="s">
        <v>130</v>
      </c>
      <c r="N6175" t="s">
        <v>15</v>
      </c>
      <c r="O6175" t="s">
        <v>188</v>
      </c>
      <c r="P6175" s="1" t="s">
        <v>33</v>
      </c>
      <c r="Q6175">
        <v>147.69999999999999</v>
      </c>
    </row>
    <row r="6176" spans="11:17" x14ac:dyDescent="0.3">
      <c r="K6176">
        <v>2019</v>
      </c>
      <c r="L6176" t="s">
        <v>40</v>
      </c>
      <c r="M6176" t="s">
        <v>130</v>
      </c>
      <c r="N6176" t="s">
        <v>18</v>
      </c>
      <c r="O6176" t="s">
        <v>189</v>
      </c>
      <c r="P6176" s="1" t="s">
        <v>30</v>
      </c>
      <c r="Q6176">
        <v>146.6</v>
      </c>
    </row>
    <row r="6177" spans="11:17" x14ac:dyDescent="0.3">
      <c r="K6177">
        <v>2019</v>
      </c>
      <c r="L6177" t="s">
        <v>40</v>
      </c>
      <c r="M6177" t="s">
        <v>130</v>
      </c>
      <c r="N6177" t="s">
        <v>18</v>
      </c>
      <c r="O6177" t="s">
        <v>189</v>
      </c>
      <c r="P6177" s="1" t="s">
        <v>34</v>
      </c>
      <c r="Q6177">
        <v>140.5</v>
      </c>
    </row>
    <row r="6178" spans="11:17" x14ac:dyDescent="0.3">
      <c r="K6178">
        <v>2019</v>
      </c>
      <c r="L6178" t="s">
        <v>40</v>
      </c>
      <c r="M6178" t="s">
        <v>130</v>
      </c>
      <c r="N6178" t="s">
        <v>18</v>
      </c>
      <c r="O6178" t="s">
        <v>189</v>
      </c>
      <c r="P6178" s="1" t="s">
        <v>33</v>
      </c>
      <c r="Q6178">
        <v>131.9</v>
      </c>
    </row>
    <row r="6179" spans="11:17" x14ac:dyDescent="0.3">
      <c r="K6179">
        <v>2019</v>
      </c>
      <c r="L6179" t="s">
        <v>40</v>
      </c>
      <c r="M6179" t="s">
        <v>130</v>
      </c>
      <c r="N6179" t="s">
        <v>8</v>
      </c>
      <c r="O6179" t="s">
        <v>188</v>
      </c>
      <c r="P6179" s="1" t="s">
        <v>30</v>
      </c>
      <c r="Q6179">
        <v>146.4</v>
      </c>
    </row>
    <row r="6180" spans="11:17" x14ac:dyDescent="0.3">
      <c r="K6180">
        <v>2019</v>
      </c>
      <c r="L6180" t="s">
        <v>40</v>
      </c>
      <c r="M6180" t="s">
        <v>130</v>
      </c>
      <c r="N6180" t="s">
        <v>8</v>
      </c>
      <c r="O6180" t="s">
        <v>188</v>
      </c>
      <c r="P6180" s="1" t="s">
        <v>34</v>
      </c>
      <c r="Q6180">
        <v>150.30000000000001</v>
      </c>
    </row>
    <row r="6181" spans="11:17" x14ac:dyDescent="0.3">
      <c r="K6181">
        <v>2019</v>
      </c>
      <c r="L6181" t="s">
        <v>40</v>
      </c>
      <c r="M6181" t="s">
        <v>130</v>
      </c>
      <c r="N6181" t="s">
        <v>8</v>
      </c>
      <c r="O6181" t="s">
        <v>188</v>
      </c>
      <c r="P6181" s="1" t="s">
        <v>33</v>
      </c>
      <c r="Q6181">
        <v>154.69999999999999</v>
      </c>
    </row>
    <row r="6182" spans="11:17" x14ac:dyDescent="0.3">
      <c r="K6182">
        <v>2019</v>
      </c>
      <c r="L6182" t="s">
        <v>40</v>
      </c>
      <c r="M6182" t="s">
        <v>130</v>
      </c>
      <c r="N6182" t="s">
        <v>21</v>
      </c>
      <c r="O6182" t="s">
        <v>190</v>
      </c>
      <c r="P6182" s="1" t="s">
        <v>30</v>
      </c>
      <c r="Q6182">
        <v>146.80000000000001</v>
      </c>
    </row>
    <row r="6183" spans="11:17" x14ac:dyDescent="0.3">
      <c r="K6183">
        <v>2019</v>
      </c>
      <c r="L6183" t="s">
        <v>40</v>
      </c>
      <c r="M6183" t="s">
        <v>130</v>
      </c>
      <c r="N6183" t="s">
        <v>21</v>
      </c>
      <c r="O6183" t="s">
        <v>190</v>
      </c>
      <c r="P6183" s="1" t="s">
        <v>34</v>
      </c>
      <c r="Q6183">
        <v>139.30000000000001</v>
      </c>
    </row>
    <row r="6184" spans="11:17" x14ac:dyDescent="0.3">
      <c r="K6184">
        <v>2019</v>
      </c>
      <c r="L6184" t="s">
        <v>40</v>
      </c>
      <c r="M6184" t="s">
        <v>130</v>
      </c>
      <c r="N6184" t="s">
        <v>21</v>
      </c>
      <c r="O6184" t="s">
        <v>190</v>
      </c>
      <c r="P6184" s="1" t="s">
        <v>33</v>
      </c>
      <c r="Q6184">
        <v>127</v>
      </c>
    </row>
    <row r="6185" spans="11:17" x14ac:dyDescent="0.3">
      <c r="K6185">
        <v>2019</v>
      </c>
      <c r="L6185" t="s">
        <v>40</v>
      </c>
      <c r="M6185" t="s">
        <v>130</v>
      </c>
      <c r="N6185" t="s">
        <v>29</v>
      </c>
      <c r="O6185" t="s">
        <v>206</v>
      </c>
      <c r="P6185" s="1" t="s">
        <v>30</v>
      </c>
      <c r="Q6185">
        <v>144.9</v>
      </c>
    </row>
    <row r="6186" spans="11:17" x14ac:dyDescent="0.3">
      <c r="K6186">
        <v>2019</v>
      </c>
      <c r="L6186" t="s">
        <v>40</v>
      </c>
      <c r="M6186" t="s">
        <v>130</v>
      </c>
      <c r="N6186" t="s">
        <v>29</v>
      </c>
      <c r="O6186" t="s">
        <v>206</v>
      </c>
      <c r="P6186" s="1" t="s">
        <v>34</v>
      </c>
      <c r="Q6186">
        <v>144.19999999999999</v>
      </c>
    </row>
    <row r="6187" spans="11:17" x14ac:dyDescent="0.3">
      <c r="K6187">
        <v>2019</v>
      </c>
      <c r="L6187" t="s">
        <v>40</v>
      </c>
      <c r="M6187" t="s">
        <v>130</v>
      </c>
      <c r="N6187" t="s">
        <v>29</v>
      </c>
      <c r="O6187" t="s">
        <v>206</v>
      </c>
      <c r="P6187" s="1" t="s">
        <v>33</v>
      </c>
      <c r="Q6187">
        <v>143.30000000000001</v>
      </c>
    </row>
    <row r="6188" spans="11:17" x14ac:dyDescent="0.3">
      <c r="K6188">
        <v>2019</v>
      </c>
      <c r="L6188" t="s">
        <v>40</v>
      </c>
      <c r="M6188" t="s">
        <v>130</v>
      </c>
      <c r="N6188" t="s">
        <v>23</v>
      </c>
      <c r="O6188" t="s">
        <v>23</v>
      </c>
      <c r="P6188" s="1" t="s">
        <v>30</v>
      </c>
      <c r="Q6188">
        <v>152.19999999999999</v>
      </c>
    </row>
    <row r="6189" spans="11:17" x14ac:dyDescent="0.3">
      <c r="K6189">
        <v>2019</v>
      </c>
      <c r="L6189" t="s">
        <v>40</v>
      </c>
      <c r="M6189" t="s">
        <v>130</v>
      </c>
      <c r="N6189" t="s">
        <v>23</v>
      </c>
      <c r="O6189" t="s">
        <v>23</v>
      </c>
      <c r="P6189" s="1" t="s">
        <v>34</v>
      </c>
      <c r="Q6189">
        <v>147.9</v>
      </c>
    </row>
    <row r="6190" spans="11:17" x14ac:dyDescent="0.3">
      <c r="K6190">
        <v>2019</v>
      </c>
      <c r="L6190" t="s">
        <v>40</v>
      </c>
      <c r="M6190" t="s">
        <v>130</v>
      </c>
      <c r="N6190" t="s">
        <v>23</v>
      </c>
      <c r="O6190" t="s">
        <v>23</v>
      </c>
      <c r="P6190" s="1" t="s">
        <v>33</v>
      </c>
      <c r="Q6190">
        <v>140.80000000000001</v>
      </c>
    </row>
    <row r="6191" spans="11:17" x14ac:dyDescent="0.3">
      <c r="K6191">
        <v>2019</v>
      </c>
      <c r="L6191" t="s">
        <v>40</v>
      </c>
      <c r="M6191" t="s">
        <v>130</v>
      </c>
      <c r="N6191" t="s">
        <v>22</v>
      </c>
      <c r="O6191" t="s">
        <v>20</v>
      </c>
      <c r="P6191" s="1" t="s">
        <v>30</v>
      </c>
      <c r="Q6191">
        <v>150</v>
      </c>
    </row>
    <row r="6192" spans="11:17" x14ac:dyDescent="0.3">
      <c r="K6192">
        <v>2019</v>
      </c>
      <c r="L6192" t="s">
        <v>40</v>
      </c>
      <c r="M6192" t="s">
        <v>130</v>
      </c>
      <c r="N6192" t="s">
        <v>22</v>
      </c>
      <c r="O6192" t="s">
        <v>20</v>
      </c>
      <c r="P6192" s="1" t="s">
        <v>34</v>
      </c>
      <c r="Q6192">
        <v>144.19999999999999</v>
      </c>
    </row>
    <row r="6193" spans="11:17" x14ac:dyDescent="0.3">
      <c r="K6193">
        <v>2019</v>
      </c>
      <c r="L6193" t="s">
        <v>40</v>
      </c>
      <c r="M6193" t="s">
        <v>130</v>
      </c>
      <c r="N6193" t="s">
        <v>22</v>
      </c>
      <c r="O6193" t="s">
        <v>20</v>
      </c>
      <c r="P6193" s="1" t="s">
        <v>33</v>
      </c>
      <c r="Q6193">
        <v>137.69999999999999</v>
      </c>
    </row>
    <row r="6194" spans="11:17" x14ac:dyDescent="0.3">
      <c r="K6194">
        <v>2019</v>
      </c>
      <c r="L6194" t="s">
        <v>40</v>
      </c>
      <c r="M6194" t="s">
        <v>130</v>
      </c>
      <c r="N6194" t="s">
        <v>20</v>
      </c>
      <c r="O6194" t="s">
        <v>20</v>
      </c>
      <c r="P6194" s="1" t="s">
        <v>30</v>
      </c>
      <c r="Q6194">
        <v>0</v>
      </c>
    </row>
    <row r="6195" spans="11:17" x14ac:dyDescent="0.3">
      <c r="K6195">
        <v>2019</v>
      </c>
      <c r="L6195" t="s">
        <v>40</v>
      </c>
      <c r="M6195" t="s">
        <v>130</v>
      </c>
      <c r="N6195" t="s">
        <v>20</v>
      </c>
      <c r="O6195" t="s">
        <v>20</v>
      </c>
      <c r="P6195" s="1" t="s">
        <v>34</v>
      </c>
      <c r="Q6195">
        <v>150.6</v>
      </c>
    </row>
    <row r="6196" spans="11:17" x14ac:dyDescent="0.3">
      <c r="K6196">
        <v>2019</v>
      </c>
      <c r="L6196" t="s">
        <v>40</v>
      </c>
      <c r="M6196" t="s">
        <v>130</v>
      </c>
      <c r="N6196" t="s">
        <v>20</v>
      </c>
      <c r="O6196" t="s">
        <v>20</v>
      </c>
      <c r="P6196" s="1" t="s">
        <v>33</v>
      </c>
      <c r="Q6196">
        <v>150.6</v>
      </c>
    </row>
    <row r="6197" spans="11:17" x14ac:dyDescent="0.3">
      <c r="K6197">
        <v>2019</v>
      </c>
      <c r="L6197" t="s">
        <v>40</v>
      </c>
      <c r="M6197" t="s">
        <v>130</v>
      </c>
      <c r="N6197" t="s">
        <v>4</v>
      </c>
      <c r="O6197" t="s">
        <v>188</v>
      </c>
      <c r="P6197" s="1" t="s">
        <v>30</v>
      </c>
      <c r="Q6197">
        <v>164</v>
      </c>
    </row>
    <row r="6198" spans="11:17" x14ac:dyDescent="0.3">
      <c r="K6198">
        <v>2019</v>
      </c>
      <c r="L6198" t="s">
        <v>40</v>
      </c>
      <c r="M6198" t="s">
        <v>130</v>
      </c>
      <c r="N6198" t="s">
        <v>4</v>
      </c>
      <c r="O6198" t="s">
        <v>188</v>
      </c>
      <c r="P6198" s="1" t="s">
        <v>34</v>
      </c>
      <c r="Q6198">
        <v>162.69999999999999</v>
      </c>
    </row>
    <row r="6199" spans="11:17" x14ac:dyDescent="0.3">
      <c r="K6199">
        <v>2019</v>
      </c>
      <c r="L6199" t="s">
        <v>40</v>
      </c>
      <c r="M6199" t="s">
        <v>130</v>
      </c>
      <c r="N6199" t="s">
        <v>4</v>
      </c>
      <c r="O6199" t="s">
        <v>188</v>
      </c>
      <c r="P6199" s="1" t="s">
        <v>33</v>
      </c>
      <c r="Q6199">
        <v>160.19999999999999</v>
      </c>
    </row>
    <row r="6200" spans="11:17" x14ac:dyDescent="0.3">
      <c r="K6200">
        <v>2019</v>
      </c>
      <c r="L6200" t="s">
        <v>40</v>
      </c>
      <c r="M6200" t="s">
        <v>130</v>
      </c>
      <c r="N6200" t="s">
        <v>6</v>
      </c>
      <c r="O6200" t="s">
        <v>188</v>
      </c>
      <c r="P6200" s="1" t="s">
        <v>30</v>
      </c>
      <c r="Q6200">
        <v>143.9</v>
      </c>
    </row>
    <row r="6201" spans="11:17" x14ac:dyDescent="0.3">
      <c r="K6201">
        <v>2019</v>
      </c>
      <c r="L6201" t="s">
        <v>40</v>
      </c>
      <c r="M6201" t="s">
        <v>130</v>
      </c>
      <c r="N6201" t="s">
        <v>6</v>
      </c>
      <c r="O6201" t="s">
        <v>188</v>
      </c>
      <c r="P6201" s="1" t="s">
        <v>34</v>
      </c>
      <c r="Q6201">
        <v>144</v>
      </c>
    </row>
    <row r="6202" spans="11:17" x14ac:dyDescent="0.3">
      <c r="K6202">
        <v>2019</v>
      </c>
      <c r="L6202" t="s">
        <v>40</v>
      </c>
      <c r="M6202" t="s">
        <v>130</v>
      </c>
      <c r="N6202" t="s">
        <v>6</v>
      </c>
      <c r="O6202" t="s">
        <v>188</v>
      </c>
      <c r="P6202" s="1" t="s">
        <v>33</v>
      </c>
      <c r="Q6202">
        <v>144.1</v>
      </c>
    </row>
    <row r="6203" spans="11:17" x14ac:dyDescent="0.3">
      <c r="K6203">
        <v>2019</v>
      </c>
      <c r="L6203" t="s">
        <v>40</v>
      </c>
      <c r="M6203" t="s">
        <v>130</v>
      </c>
      <c r="N6203" t="s">
        <v>28</v>
      </c>
      <c r="O6203" t="s">
        <v>192</v>
      </c>
      <c r="P6203" s="1" t="s">
        <v>30</v>
      </c>
      <c r="Q6203">
        <v>144.19999999999999</v>
      </c>
    </row>
    <row r="6204" spans="11:17" x14ac:dyDescent="0.3">
      <c r="K6204">
        <v>2019</v>
      </c>
      <c r="L6204" t="s">
        <v>40</v>
      </c>
      <c r="M6204" t="s">
        <v>130</v>
      </c>
      <c r="N6204" t="s">
        <v>28</v>
      </c>
      <c r="O6204" t="s">
        <v>192</v>
      </c>
      <c r="P6204" s="1" t="s">
        <v>34</v>
      </c>
      <c r="Q6204">
        <v>139.5</v>
      </c>
    </row>
    <row r="6205" spans="11:17" x14ac:dyDescent="0.3">
      <c r="K6205">
        <v>2019</v>
      </c>
      <c r="L6205" t="s">
        <v>40</v>
      </c>
      <c r="M6205" t="s">
        <v>130</v>
      </c>
      <c r="N6205" t="s">
        <v>28</v>
      </c>
      <c r="O6205" t="s">
        <v>192</v>
      </c>
      <c r="P6205" s="1" t="s">
        <v>33</v>
      </c>
      <c r="Q6205">
        <v>134.5</v>
      </c>
    </row>
    <row r="6206" spans="11:17" x14ac:dyDescent="0.3">
      <c r="K6206">
        <v>2019</v>
      </c>
      <c r="L6206" t="s">
        <v>40</v>
      </c>
      <c r="M6206" t="s">
        <v>130</v>
      </c>
      <c r="N6206" t="s">
        <v>13</v>
      </c>
      <c r="O6206" t="s">
        <v>188</v>
      </c>
      <c r="P6206" s="1" t="s">
        <v>30</v>
      </c>
      <c r="Q6206">
        <v>138.5</v>
      </c>
    </row>
    <row r="6207" spans="11:17" x14ac:dyDescent="0.3">
      <c r="K6207">
        <v>2019</v>
      </c>
      <c r="L6207" t="s">
        <v>40</v>
      </c>
      <c r="M6207" t="s">
        <v>130</v>
      </c>
      <c r="N6207" t="s">
        <v>13</v>
      </c>
      <c r="O6207" t="s">
        <v>188</v>
      </c>
      <c r="P6207" s="1" t="s">
        <v>34</v>
      </c>
      <c r="Q6207">
        <v>134.69999999999999</v>
      </c>
    </row>
    <row r="6208" spans="11:17" x14ac:dyDescent="0.3">
      <c r="K6208">
        <v>2019</v>
      </c>
      <c r="L6208" t="s">
        <v>40</v>
      </c>
      <c r="M6208" t="s">
        <v>130</v>
      </c>
      <c r="N6208" t="s">
        <v>13</v>
      </c>
      <c r="O6208" t="s">
        <v>188</v>
      </c>
      <c r="P6208" s="1" t="s">
        <v>33</v>
      </c>
      <c r="Q6208">
        <v>129.5</v>
      </c>
    </row>
    <row r="6209" spans="11:17" x14ac:dyDescent="0.3">
      <c r="K6209">
        <v>2019</v>
      </c>
      <c r="L6209" t="s">
        <v>40</v>
      </c>
      <c r="M6209" t="s">
        <v>130</v>
      </c>
      <c r="N6209" t="s">
        <v>7</v>
      </c>
      <c r="O6209" t="s">
        <v>188</v>
      </c>
      <c r="P6209" s="1" t="s">
        <v>30</v>
      </c>
      <c r="Q6209">
        <v>124.4</v>
      </c>
    </row>
    <row r="6210" spans="11:17" x14ac:dyDescent="0.3">
      <c r="K6210">
        <v>2019</v>
      </c>
      <c r="L6210" t="s">
        <v>40</v>
      </c>
      <c r="M6210" t="s">
        <v>130</v>
      </c>
      <c r="N6210" t="s">
        <v>7</v>
      </c>
      <c r="O6210" t="s">
        <v>188</v>
      </c>
      <c r="P6210" s="1" t="s">
        <v>34</v>
      </c>
      <c r="Q6210">
        <v>122.5</v>
      </c>
    </row>
    <row r="6211" spans="11:17" x14ac:dyDescent="0.3">
      <c r="K6211">
        <v>2019</v>
      </c>
      <c r="L6211" t="s">
        <v>40</v>
      </c>
      <c r="M6211" t="s">
        <v>130</v>
      </c>
      <c r="N6211" t="s">
        <v>7</v>
      </c>
      <c r="O6211" t="s">
        <v>188</v>
      </c>
      <c r="P6211" s="1" t="s">
        <v>33</v>
      </c>
      <c r="Q6211">
        <v>119.3</v>
      </c>
    </row>
    <row r="6212" spans="11:17" x14ac:dyDescent="0.3">
      <c r="K6212">
        <v>2019</v>
      </c>
      <c r="L6212" t="s">
        <v>40</v>
      </c>
      <c r="M6212" t="s">
        <v>130</v>
      </c>
      <c r="N6212" t="s">
        <v>16</v>
      </c>
      <c r="O6212" t="s">
        <v>192</v>
      </c>
      <c r="P6212" s="1" t="s">
        <v>30</v>
      </c>
      <c r="Q6212">
        <v>164.5</v>
      </c>
    </row>
    <row r="6213" spans="11:17" x14ac:dyDescent="0.3">
      <c r="K6213">
        <v>2019</v>
      </c>
      <c r="L6213" t="s">
        <v>40</v>
      </c>
      <c r="M6213" t="s">
        <v>130</v>
      </c>
      <c r="N6213" t="s">
        <v>16</v>
      </c>
      <c r="O6213" t="s">
        <v>192</v>
      </c>
      <c r="P6213" s="1" t="s">
        <v>34</v>
      </c>
      <c r="Q6213">
        <v>165.2</v>
      </c>
    </row>
    <row r="6214" spans="11:17" x14ac:dyDescent="0.3">
      <c r="K6214">
        <v>2019</v>
      </c>
      <c r="L6214" t="s">
        <v>40</v>
      </c>
      <c r="M6214" t="s">
        <v>130</v>
      </c>
      <c r="N6214" t="s">
        <v>16</v>
      </c>
      <c r="O6214" t="s">
        <v>192</v>
      </c>
      <c r="P6214" s="1" t="s">
        <v>33</v>
      </c>
      <c r="Q6214">
        <v>167.2</v>
      </c>
    </row>
    <row r="6215" spans="11:17" x14ac:dyDescent="0.3">
      <c r="K6215">
        <v>2019</v>
      </c>
      <c r="L6215" t="s">
        <v>40</v>
      </c>
      <c r="M6215" t="s">
        <v>130</v>
      </c>
      <c r="N6215" t="s">
        <v>27</v>
      </c>
      <c r="O6215" t="s">
        <v>192</v>
      </c>
      <c r="P6215" s="1" t="s">
        <v>30</v>
      </c>
      <c r="Q6215">
        <v>136.1</v>
      </c>
    </row>
    <row r="6216" spans="11:17" x14ac:dyDescent="0.3">
      <c r="K6216">
        <v>2019</v>
      </c>
      <c r="L6216" t="s">
        <v>40</v>
      </c>
      <c r="M6216" t="s">
        <v>130</v>
      </c>
      <c r="N6216" t="s">
        <v>27</v>
      </c>
      <c r="O6216" t="s">
        <v>192</v>
      </c>
      <c r="P6216" s="1" t="s">
        <v>34</v>
      </c>
      <c r="Q6216">
        <v>135.69999999999999</v>
      </c>
    </row>
    <row r="6217" spans="11:17" x14ac:dyDescent="0.3">
      <c r="K6217">
        <v>2019</v>
      </c>
      <c r="L6217" t="s">
        <v>40</v>
      </c>
      <c r="M6217" t="s">
        <v>130</v>
      </c>
      <c r="N6217" t="s">
        <v>27</v>
      </c>
      <c r="O6217" t="s">
        <v>192</v>
      </c>
      <c r="P6217" s="1" t="s">
        <v>33</v>
      </c>
      <c r="Q6217">
        <v>135.1</v>
      </c>
    </row>
    <row r="6218" spans="11:17" x14ac:dyDescent="0.3">
      <c r="K6218">
        <v>2019</v>
      </c>
      <c r="L6218" t="s">
        <v>40</v>
      </c>
      <c r="M6218" t="s">
        <v>130</v>
      </c>
      <c r="N6218" t="s">
        <v>14</v>
      </c>
      <c r="O6218" t="s">
        <v>188</v>
      </c>
      <c r="P6218" s="1" t="s">
        <v>30</v>
      </c>
      <c r="Q6218">
        <v>156.69999999999999</v>
      </c>
    </row>
    <row r="6219" spans="11:17" x14ac:dyDescent="0.3">
      <c r="K6219">
        <v>2019</v>
      </c>
      <c r="L6219" t="s">
        <v>40</v>
      </c>
      <c r="M6219" t="s">
        <v>130</v>
      </c>
      <c r="N6219" t="s">
        <v>14</v>
      </c>
      <c r="O6219" t="s">
        <v>188</v>
      </c>
      <c r="P6219" s="1" t="s">
        <v>34</v>
      </c>
      <c r="Q6219">
        <v>156.19999999999999</v>
      </c>
    </row>
    <row r="6220" spans="11:17" x14ac:dyDescent="0.3">
      <c r="K6220">
        <v>2019</v>
      </c>
      <c r="L6220" t="s">
        <v>40</v>
      </c>
      <c r="M6220" t="s">
        <v>130</v>
      </c>
      <c r="N6220" t="s">
        <v>14</v>
      </c>
      <c r="O6220" t="s">
        <v>188</v>
      </c>
      <c r="P6220" s="1" t="s">
        <v>33</v>
      </c>
      <c r="Q6220">
        <v>155.6</v>
      </c>
    </row>
    <row r="6221" spans="11:17" x14ac:dyDescent="0.3">
      <c r="K6221">
        <v>2019</v>
      </c>
      <c r="L6221" t="s">
        <v>40</v>
      </c>
      <c r="M6221" t="s">
        <v>130</v>
      </c>
      <c r="N6221" t="s">
        <v>10</v>
      </c>
      <c r="O6221" t="s">
        <v>188</v>
      </c>
      <c r="P6221" s="1" t="s">
        <v>30</v>
      </c>
      <c r="Q6221">
        <v>130.6</v>
      </c>
    </row>
    <row r="6222" spans="11:17" x14ac:dyDescent="0.3">
      <c r="K6222">
        <v>2019</v>
      </c>
      <c r="L6222" t="s">
        <v>40</v>
      </c>
      <c r="M6222" t="s">
        <v>130</v>
      </c>
      <c r="N6222" t="s">
        <v>10</v>
      </c>
      <c r="O6222" t="s">
        <v>188</v>
      </c>
      <c r="P6222" s="1" t="s">
        <v>34</v>
      </c>
      <c r="Q6222">
        <v>130</v>
      </c>
    </row>
    <row r="6223" spans="11:17" x14ac:dyDescent="0.3">
      <c r="K6223">
        <v>2019</v>
      </c>
      <c r="L6223" t="s">
        <v>40</v>
      </c>
      <c r="M6223" t="s">
        <v>130</v>
      </c>
      <c r="N6223" t="s">
        <v>10</v>
      </c>
      <c r="O6223" t="s">
        <v>188</v>
      </c>
      <c r="P6223" s="1" t="s">
        <v>33</v>
      </c>
      <c r="Q6223">
        <v>128.9</v>
      </c>
    </row>
    <row r="6224" spans="11:17" x14ac:dyDescent="0.3">
      <c r="K6224">
        <v>2019</v>
      </c>
      <c r="L6224" t="s">
        <v>40</v>
      </c>
      <c r="M6224" t="s">
        <v>130</v>
      </c>
      <c r="N6224" t="s">
        <v>25</v>
      </c>
      <c r="O6224" t="s">
        <v>195</v>
      </c>
      <c r="P6224" s="1" t="s">
        <v>30</v>
      </c>
      <c r="Q6224">
        <v>147.5</v>
      </c>
    </row>
    <row r="6225" spans="11:17" x14ac:dyDescent="0.3">
      <c r="K6225">
        <v>2019</v>
      </c>
      <c r="L6225" t="s">
        <v>40</v>
      </c>
      <c r="M6225" t="s">
        <v>130</v>
      </c>
      <c r="N6225" t="s">
        <v>25</v>
      </c>
      <c r="O6225" t="s">
        <v>195</v>
      </c>
      <c r="P6225" s="1" t="s">
        <v>34</v>
      </c>
      <c r="Q6225">
        <v>140.5</v>
      </c>
    </row>
    <row r="6226" spans="11:17" x14ac:dyDescent="0.3">
      <c r="K6226">
        <v>2019</v>
      </c>
      <c r="L6226" t="s">
        <v>40</v>
      </c>
      <c r="M6226" t="s">
        <v>130</v>
      </c>
      <c r="N6226" t="s">
        <v>25</v>
      </c>
      <c r="O6226" t="s">
        <v>195</v>
      </c>
      <c r="P6226" s="1" t="s">
        <v>33</v>
      </c>
      <c r="Q6226">
        <v>135</v>
      </c>
    </row>
    <row r="6227" spans="11:17" x14ac:dyDescent="0.3">
      <c r="K6227">
        <v>2019</v>
      </c>
      <c r="L6227" t="s">
        <v>40</v>
      </c>
      <c r="M6227" t="s">
        <v>130</v>
      </c>
      <c r="N6227" t="s">
        <v>12</v>
      </c>
      <c r="O6227" t="s">
        <v>188</v>
      </c>
      <c r="P6227" s="1" t="s">
        <v>30</v>
      </c>
      <c r="Q6227">
        <v>141.69999999999999</v>
      </c>
    </row>
    <row r="6228" spans="11:17" x14ac:dyDescent="0.3">
      <c r="K6228">
        <v>2019</v>
      </c>
      <c r="L6228" t="s">
        <v>40</v>
      </c>
      <c r="M6228" t="s">
        <v>130</v>
      </c>
      <c r="N6228" t="s">
        <v>12</v>
      </c>
      <c r="O6228" t="s">
        <v>188</v>
      </c>
      <c r="P6228" s="1" t="s">
        <v>34</v>
      </c>
      <c r="Q6228">
        <v>141.69999999999999</v>
      </c>
    </row>
    <row r="6229" spans="11:17" x14ac:dyDescent="0.3">
      <c r="K6229">
        <v>2019</v>
      </c>
      <c r="L6229" t="s">
        <v>40</v>
      </c>
      <c r="M6229" t="s">
        <v>130</v>
      </c>
      <c r="N6229" t="s">
        <v>12</v>
      </c>
      <c r="O6229" t="s">
        <v>188</v>
      </c>
      <c r="P6229" s="1" t="s">
        <v>33</v>
      </c>
      <c r="Q6229">
        <v>141.6</v>
      </c>
    </row>
    <row r="6230" spans="11:17" x14ac:dyDescent="0.3">
      <c r="K6230">
        <v>2019</v>
      </c>
      <c r="L6230" t="s">
        <v>40</v>
      </c>
      <c r="M6230" t="s">
        <v>130</v>
      </c>
      <c r="N6230" t="s">
        <v>11</v>
      </c>
      <c r="O6230" t="s">
        <v>188</v>
      </c>
      <c r="P6230" s="1" t="s">
        <v>30</v>
      </c>
      <c r="Q6230">
        <v>110.8</v>
      </c>
    </row>
    <row r="6231" spans="11:17" x14ac:dyDescent="0.3">
      <c r="K6231">
        <v>2019</v>
      </c>
      <c r="L6231" t="s">
        <v>40</v>
      </c>
      <c r="M6231" t="s">
        <v>130</v>
      </c>
      <c r="N6231" t="s">
        <v>11</v>
      </c>
      <c r="O6231" t="s">
        <v>188</v>
      </c>
      <c r="P6231" s="1" t="s">
        <v>34</v>
      </c>
      <c r="Q6231">
        <v>111.1</v>
      </c>
    </row>
    <row r="6232" spans="11:17" x14ac:dyDescent="0.3">
      <c r="K6232">
        <v>2019</v>
      </c>
      <c r="L6232" t="s">
        <v>40</v>
      </c>
      <c r="M6232" t="s">
        <v>130</v>
      </c>
      <c r="N6232" t="s">
        <v>11</v>
      </c>
      <c r="O6232" t="s">
        <v>188</v>
      </c>
      <c r="P6232" s="1" t="s">
        <v>33</v>
      </c>
      <c r="Q6232">
        <v>111.8</v>
      </c>
    </row>
    <row r="6233" spans="11:17" x14ac:dyDescent="0.3">
      <c r="K6233">
        <v>2019</v>
      </c>
      <c r="L6233" t="s">
        <v>40</v>
      </c>
      <c r="M6233" t="s">
        <v>130</v>
      </c>
      <c r="N6233" t="s">
        <v>24</v>
      </c>
      <c r="O6233" t="s">
        <v>191</v>
      </c>
      <c r="P6233" s="1" t="s">
        <v>30</v>
      </c>
      <c r="Q6233">
        <v>131.19999999999999</v>
      </c>
    </row>
    <row r="6234" spans="11:17" x14ac:dyDescent="0.3">
      <c r="K6234">
        <v>2019</v>
      </c>
      <c r="L6234" t="s">
        <v>40</v>
      </c>
      <c r="M6234" t="s">
        <v>130</v>
      </c>
      <c r="N6234" t="s">
        <v>24</v>
      </c>
      <c r="O6234" t="s">
        <v>191</v>
      </c>
      <c r="P6234" s="1" t="s">
        <v>34</v>
      </c>
      <c r="Q6234">
        <v>125.6</v>
      </c>
    </row>
    <row r="6235" spans="11:17" x14ac:dyDescent="0.3">
      <c r="K6235">
        <v>2019</v>
      </c>
      <c r="L6235" t="s">
        <v>40</v>
      </c>
      <c r="M6235" t="s">
        <v>130</v>
      </c>
      <c r="N6235" t="s">
        <v>24</v>
      </c>
      <c r="O6235" t="s">
        <v>191</v>
      </c>
      <c r="P6235" s="1" t="s">
        <v>33</v>
      </c>
      <c r="Q6235">
        <v>120.6</v>
      </c>
    </row>
    <row r="6236" spans="11:17" x14ac:dyDescent="0.3">
      <c r="K6236">
        <v>2019</v>
      </c>
      <c r="L6236" t="s">
        <v>40</v>
      </c>
      <c r="M6236" t="s">
        <v>130</v>
      </c>
      <c r="N6236" t="s">
        <v>9</v>
      </c>
      <c r="O6236" t="s">
        <v>188</v>
      </c>
      <c r="P6236" s="1" t="s">
        <v>30</v>
      </c>
      <c r="Q6236">
        <v>150.1</v>
      </c>
    </row>
    <row r="6237" spans="11:17" x14ac:dyDescent="0.3">
      <c r="K6237">
        <v>2019</v>
      </c>
      <c r="L6237" t="s">
        <v>40</v>
      </c>
      <c r="M6237" t="s">
        <v>130</v>
      </c>
      <c r="N6237" t="s">
        <v>9</v>
      </c>
      <c r="O6237" t="s">
        <v>188</v>
      </c>
      <c r="P6237" s="1" t="s">
        <v>34</v>
      </c>
      <c r="Q6237">
        <v>160.30000000000001</v>
      </c>
    </row>
    <row r="6238" spans="11:17" x14ac:dyDescent="0.3">
      <c r="K6238">
        <v>2019</v>
      </c>
      <c r="L6238" t="s">
        <v>40</v>
      </c>
      <c r="M6238" t="s">
        <v>130</v>
      </c>
      <c r="N6238" t="s">
        <v>9</v>
      </c>
      <c r="O6238" t="s">
        <v>188</v>
      </c>
      <c r="P6238" s="1" t="s">
        <v>33</v>
      </c>
      <c r="Q6238">
        <v>180.1</v>
      </c>
    </row>
    <row r="6239" spans="11:17" x14ac:dyDescent="0.3">
      <c r="K6239">
        <v>2019</v>
      </c>
      <c r="L6239" t="s">
        <v>39</v>
      </c>
      <c r="M6239" t="s">
        <v>131</v>
      </c>
      <c r="N6239" t="s">
        <v>3</v>
      </c>
      <c r="O6239" t="s">
        <v>188</v>
      </c>
      <c r="P6239" s="1" t="s">
        <v>30</v>
      </c>
      <c r="Q6239">
        <v>137.80000000000001</v>
      </c>
    </row>
    <row r="6240" spans="11:17" x14ac:dyDescent="0.3">
      <c r="K6240">
        <v>2019</v>
      </c>
      <c r="L6240" t="s">
        <v>39</v>
      </c>
      <c r="M6240" t="s">
        <v>131</v>
      </c>
      <c r="N6240" t="s">
        <v>3</v>
      </c>
      <c r="O6240" t="s">
        <v>188</v>
      </c>
      <c r="P6240" s="1" t="s">
        <v>34</v>
      </c>
      <c r="Q6240">
        <v>138.69999999999999</v>
      </c>
    </row>
    <row r="6241" spans="11:17" x14ac:dyDescent="0.3">
      <c r="K6241">
        <v>2019</v>
      </c>
      <c r="L6241" t="s">
        <v>39</v>
      </c>
      <c r="M6241" t="s">
        <v>131</v>
      </c>
      <c r="N6241" t="s">
        <v>3</v>
      </c>
      <c r="O6241" t="s">
        <v>188</v>
      </c>
      <c r="P6241" s="1" t="s">
        <v>33</v>
      </c>
      <c r="Q6241">
        <v>140.69999999999999</v>
      </c>
    </row>
    <row r="6242" spans="11:17" x14ac:dyDescent="0.3">
      <c r="K6242">
        <v>2019</v>
      </c>
      <c r="L6242" t="s">
        <v>39</v>
      </c>
      <c r="M6242" t="s">
        <v>131</v>
      </c>
      <c r="N6242" t="s">
        <v>17</v>
      </c>
      <c r="O6242" t="s">
        <v>189</v>
      </c>
      <c r="P6242" s="1" t="s">
        <v>30</v>
      </c>
      <c r="Q6242">
        <v>151.4</v>
      </c>
    </row>
    <row r="6243" spans="11:17" x14ac:dyDescent="0.3">
      <c r="K6243">
        <v>2019</v>
      </c>
      <c r="L6243" t="s">
        <v>39</v>
      </c>
      <c r="M6243" t="s">
        <v>131</v>
      </c>
      <c r="N6243" t="s">
        <v>17</v>
      </c>
      <c r="O6243" t="s">
        <v>189</v>
      </c>
      <c r="P6243" s="1" t="s">
        <v>34</v>
      </c>
      <c r="Q6243">
        <v>148.6</v>
      </c>
    </row>
    <row r="6244" spans="11:17" x14ac:dyDescent="0.3">
      <c r="K6244">
        <v>2019</v>
      </c>
      <c r="L6244" t="s">
        <v>39</v>
      </c>
      <c r="M6244" t="s">
        <v>131</v>
      </c>
      <c r="N6244" t="s">
        <v>17</v>
      </c>
      <c r="O6244" t="s">
        <v>189</v>
      </c>
      <c r="P6244" s="1" t="s">
        <v>33</v>
      </c>
      <c r="Q6244">
        <v>144.30000000000001</v>
      </c>
    </row>
    <row r="6245" spans="11:17" x14ac:dyDescent="0.3">
      <c r="K6245">
        <v>2019</v>
      </c>
      <c r="L6245" t="s">
        <v>39</v>
      </c>
      <c r="M6245" t="s">
        <v>131</v>
      </c>
      <c r="N6245" t="s">
        <v>19</v>
      </c>
      <c r="O6245" t="s">
        <v>189</v>
      </c>
      <c r="P6245" s="1" t="s">
        <v>30</v>
      </c>
      <c r="Q6245">
        <v>150.69999999999999</v>
      </c>
    </row>
    <row r="6246" spans="11:17" x14ac:dyDescent="0.3">
      <c r="K6246">
        <v>2019</v>
      </c>
      <c r="L6246" t="s">
        <v>39</v>
      </c>
      <c r="M6246" t="s">
        <v>131</v>
      </c>
      <c r="N6246" t="s">
        <v>19</v>
      </c>
      <c r="O6246" t="s">
        <v>189</v>
      </c>
      <c r="P6246" s="1" t="s">
        <v>34</v>
      </c>
      <c r="Q6246">
        <v>147.4</v>
      </c>
    </row>
    <row r="6247" spans="11:17" x14ac:dyDescent="0.3">
      <c r="K6247">
        <v>2019</v>
      </c>
      <c r="L6247" t="s">
        <v>39</v>
      </c>
      <c r="M6247" t="s">
        <v>131</v>
      </c>
      <c r="N6247" t="s">
        <v>19</v>
      </c>
      <c r="O6247" t="s">
        <v>189</v>
      </c>
      <c r="P6247" s="1" t="s">
        <v>33</v>
      </c>
      <c r="Q6247">
        <v>142.4</v>
      </c>
    </row>
    <row r="6248" spans="11:17" x14ac:dyDescent="0.3">
      <c r="K6248">
        <v>2019</v>
      </c>
      <c r="L6248" t="s">
        <v>39</v>
      </c>
      <c r="M6248" t="s">
        <v>131</v>
      </c>
      <c r="N6248" t="s">
        <v>26</v>
      </c>
      <c r="O6248" t="s">
        <v>26</v>
      </c>
      <c r="P6248" s="1" t="s">
        <v>30</v>
      </c>
      <c r="Q6248">
        <v>157.69999999999999</v>
      </c>
    </row>
    <row r="6249" spans="11:17" x14ac:dyDescent="0.3">
      <c r="K6249">
        <v>2019</v>
      </c>
      <c r="L6249" t="s">
        <v>39</v>
      </c>
      <c r="M6249" t="s">
        <v>131</v>
      </c>
      <c r="N6249" t="s">
        <v>26</v>
      </c>
      <c r="O6249" t="s">
        <v>26</v>
      </c>
      <c r="P6249" s="1" t="s">
        <v>34</v>
      </c>
      <c r="Q6249">
        <v>152.5</v>
      </c>
    </row>
    <row r="6250" spans="11:17" x14ac:dyDescent="0.3">
      <c r="K6250">
        <v>2019</v>
      </c>
      <c r="L6250" t="s">
        <v>39</v>
      </c>
      <c r="M6250" t="s">
        <v>131</v>
      </c>
      <c r="N6250" t="s">
        <v>26</v>
      </c>
      <c r="O6250" t="s">
        <v>26</v>
      </c>
      <c r="P6250" s="1" t="s">
        <v>33</v>
      </c>
      <c r="Q6250">
        <v>148.9</v>
      </c>
    </row>
    <row r="6251" spans="11:17" x14ac:dyDescent="0.3">
      <c r="K6251">
        <v>2019</v>
      </c>
      <c r="L6251" t="s">
        <v>39</v>
      </c>
      <c r="M6251" t="s">
        <v>131</v>
      </c>
      <c r="N6251" t="s">
        <v>5</v>
      </c>
      <c r="O6251" t="s">
        <v>188</v>
      </c>
      <c r="P6251" s="1" t="s">
        <v>30</v>
      </c>
      <c r="Q6251">
        <v>136.19999999999999</v>
      </c>
    </row>
    <row r="6252" spans="11:17" x14ac:dyDescent="0.3">
      <c r="K6252">
        <v>2019</v>
      </c>
      <c r="L6252" t="s">
        <v>39</v>
      </c>
      <c r="M6252" t="s">
        <v>131</v>
      </c>
      <c r="N6252" t="s">
        <v>5</v>
      </c>
      <c r="O6252" t="s">
        <v>188</v>
      </c>
      <c r="P6252" s="1" t="s">
        <v>34</v>
      </c>
      <c r="Q6252">
        <v>137.80000000000001</v>
      </c>
    </row>
    <row r="6253" spans="11:17" x14ac:dyDescent="0.3">
      <c r="K6253">
        <v>2019</v>
      </c>
      <c r="L6253" t="s">
        <v>39</v>
      </c>
      <c r="M6253" t="s">
        <v>131</v>
      </c>
      <c r="N6253" t="s">
        <v>5</v>
      </c>
      <c r="O6253" t="s">
        <v>188</v>
      </c>
      <c r="P6253" s="1" t="s">
        <v>33</v>
      </c>
      <c r="Q6253">
        <v>140.4</v>
      </c>
    </row>
    <row r="6254" spans="11:17" x14ac:dyDescent="0.3">
      <c r="K6254">
        <v>2019</v>
      </c>
      <c r="L6254" t="s">
        <v>39</v>
      </c>
      <c r="M6254" t="s">
        <v>131</v>
      </c>
      <c r="N6254" t="s">
        <v>15</v>
      </c>
      <c r="O6254" t="s">
        <v>188</v>
      </c>
      <c r="P6254" s="1" t="s">
        <v>30</v>
      </c>
      <c r="Q6254">
        <v>141</v>
      </c>
    </row>
    <row r="6255" spans="11:17" x14ac:dyDescent="0.3">
      <c r="K6255">
        <v>2019</v>
      </c>
      <c r="L6255" t="s">
        <v>39</v>
      </c>
      <c r="M6255" t="s">
        <v>131</v>
      </c>
      <c r="N6255" t="s">
        <v>15</v>
      </c>
      <c r="O6255" t="s">
        <v>188</v>
      </c>
      <c r="P6255" s="1" t="s">
        <v>34</v>
      </c>
      <c r="Q6255">
        <v>142.69999999999999</v>
      </c>
    </row>
    <row r="6256" spans="11:17" x14ac:dyDescent="0.3">
      <c r="K6256">
        <v>2019</v>
      </c>
      <c r="L6256" t="s">
        <v>39</v>
      </c>
      <c r="M6256" t="s">
        <v>131</v>
      </c>
      <c r="N6256" t="s">
        <v>15</v>
      </c>
      <c r="O6256" t="s">
        <v>188</v>
      </c>
      <c r="P6256" s="1" t="s">
        <v>33</v>
      </c>
      <c r="Q6256">
        <v>145.6</v>
      </c>
    </row>
    <row r="6257" spans="11:17" x14ac:dyDescent="0.3">
      <c r="K6257">
        <v>2019</v>
      </c>
      <c r="L6257" t="s">
        <v>39</v>
      </c>
      <c r="M6257" t="s">
        <v>131</v>
      </c>
      <c r="N6257" t="s">
        <v>18</v>
      </c>
      <c r="O6257" t="s">
        <v>189</v>
      </c>
      <c r="P6257" s="1" t="s">
        <v>30</v>
      </c>
      <c r="Q6257">
        <v>146.5</v>
      </c>
    </row>
    <row r="6258" spans="11:17" x14ac:dyDescent="0.3">
      <c r="K6258">
        <v>2019</v>
      </c>
      <c r="L6258" t="s">
        <v>39</v>
      </c>
      <c r="M6258" t="s">
        <v>131</v>
      </c>
      <c r="N6258" t="s">
        <v>18</v>
      </c>
      <c r="O6258" t="s">
        <v>189</v>
      </c>
      <c r="P6258" s="1" t="s">
        <v>34</v>
      </c>
      <c r="Q6258">
        <v>140.4</v>
      </c>
    </row>
    <row r="6259" spans="11:17" x14ac:dyDescent="0.3">
      <c r="K6259">
        <v>2019</v>
      </c>
      <c r="L6259" t="s">
        <v>39</v>
      </c>
      <c r="M6259" t="s">
        <v>131</v>
      </c>
      <c r="N6259" t="s">
        <v>18</v>
      </c>
      <c r="O6259" t="s">
        <v>189</v>
      </c>
      <c r="P6259" s="1" t="s">
        <v>33</v>
      </c>
      <c r="Q6259">
        <v>131.69999999999999</v>
      </c>
    </row>
    <row r="6260" spans="11:17" x14ac:dyDescent="0.3">
      <c r="K6260">
        <v>2019</v>
      </c>
      <c r="L6260" t="s">
        <v>39</v>
      </c>
      <c r="M6260" t="s">
        <v>131</v>
      </c>
      <c r="N6260" t="s">
        <v>8</v>
      </c>
      <c r="O6260" t="s">
        <v>188</v>
      </c>
      <c r="P6260" s="1" t="s">
        <v>30</v>
      </c>
      <c r="Q6260">
        <v>143.30000000000001</v>
      </c>
    </row>
    <row r="6261" spans="11:17" x14ac:dyDescent="0.3">
      <c r="K6261">
        <v>2019</v>
      </c>
      <c r="L6261" t="s">
        <v>39</v>
      </c>
      <c r="M6261" t="s">
        <v>131</v>
      </c>
      <c r="N6261" t="s">
        <v>8</v>
      </c>
      <c r="O6261" t="s">
        <v>188</v>
      </c>
      <c r="P6261" s="1" t="s">
        <v>34</v>
      </c>
      <c r="Q6261">
        <v>146.80000000000001</v>
      </c>
    </row>
    <row r="6262" spans="11:17" x14ac:dyDescent="0.3">
      <c r="K6262">
        <v>2019</v>
      </c>
      <c r="L6262" t="s">
        <v>39</v>
      </c>
      <c r="M6262" t="s">
        <v>131</v>
      </c>
      <c r="N6262" t="s">
        <v>8</v>
      </c>
      <c r="O6262" t="s">
        <v>188</v>
      </c>
      <c r="P6262" s="1" t="s">
        <v>33</v>
      </c>
      <c r="Q6262">
        <v>150.9</v>
      </c>
    </row>
    <row r="6263" spans="11:17" x14ac:dyDescent="0.3">
      <c r="K6263">
        <v>2019</v>
      </c>
      <c r="L6263" t="s">
        <v>39</v>
      </c>
      <c r="M6263" t="s">
        <v>131</v>
      </c>
      <c r="N6263" t="s">
        <v>21</v>
      </c>
      <c r="O6263" t="s">
        <v>190</v>
      </c>
      <c r="P6263" s="1" t="s">
        <v>30</v>
      </c>
      <c r="Q6263">
        <v>147.80000000000001</v>
      </c>
    </row>
    <row r="6264" spans="11:17" x14ac:dyDescent="0.3">
      <c r="K6264">
        <v>2019</v>
      </c>
      <c r="L6264" t="s">
        <v>39</v>
      </c>
      <c r="M6264" t="s">
        <v>131</v>
      </c>
      <c r="N6264" t="s">
        <v>21</v>
      </c>
      <c r="O6264" t="s">
        <v>190</v>
      </c>
      <c r="P6264" s="1" t="s">
        <v>34</v>
      </c>
      <c r="Q6264">
        <v>141.19999999999999</v>
      </c>
    </row>
    <row r="6265" spans="11:17" x14ac:dyDescent="0.3">
      <c r="K6265">
        <v>2019</v>
      </c>
      <c r="L6265" t="s">
        <v>39</v>
      </c>
      <c r="M6265" t="s">
        <v>131</v>
      </c>
      <c r="N6265" t="s">
        <v>21</v>
      </c>
      <c r="O6265" t="s">
        <v>190</v>
      </c>
      <c r="P6265" s="1" t="s">
        <v>33</v>
      </c>
      <c r="Q6265">
        <v>130.5</v>
      </c>
    </row>
    <row r="6266" spans="11:17" x14ac:dyDescent="0.3">
      <c r="K6266">
        <v>2019</v>
      </c>
      <c r="L6266" t="s">
        <v>39</v>
      </c>
      <c r="M6266" t="s">
        <v>131</v>
      </c>
      <c r="N6266" t="s">
        <v>29</v>
      </c>
      <c r="O6266" t="s">
        <v>206</v>
      </c>
      <c r="P6266" s="1" t="s">
        <v>30</v>
      </c>
      <c r="Q6266">
        <v>143.6</v>
      </c>
    </row>
    <row r="6267" spans="11:17" x14ac:dyDescent="0.3">
      <c r="K6267">
        <v>2019</v>
      </c>
      <c r="L6267" t="s">
        <v>39</v>
      </c>
      <c r="M6267" t="s">
        <v>131</v>
      </c>
      <c r="N6267" t="s">
        <v>29</v>
      </c>
      <c r="O6267" t="s">
        <v>206</v>
      </c>
      <c r="P6267" s="1" t="s">
        <v>34</v>
      </c>
      <c r="Q6267">
        <v>142.9</v>
      </c>
    </row>
    <row r="6268" spans="11:17" x14ac:dyDescent="0.3">
      <c r="K6268">
        <v>2019</v>
      </c>
      <c r="L6268" t="s">
        <v>39</v>
      </c>
      <c r="M6268" t="s">
        <v>131</v>
      </c>
      <c r="N6268" t="s">
        <v>29</v>
      </c>
      <c r="O6268" t="s">
        <v>206</v>
      </c>
      <c r="P6268" s="1" t="s">
        <v>33</v>
      </c>
      <c r="Q6268">
        <v>142.1</v>
      </c>
    </row>
    <row r="6269" spans="11:17" x14ac:dyDescent="0.3">
      <c r="K6269">
        <v>2019</v>
      </c>
      <c r="L6269" t="s">
        <v>39</v>
      </c>
      <c r="M6269" t="s">
        <v>131</v>
      </c>
      <c r="N6269" t="s">
        <v>23</v>
      </c>
      <c r="O6269" t="s">
        <v>23</v>
      </c>
      <c r="P6269" s="1" t="s">
        <v>30</v>
      </c>
      <c r="Q6269">
        <v>151.69999999999999</v>
      </c>
    </row>
    <row r="6270" spans="11:17" x14ac:dyDescent="0.3">
      <c r="K6270">
        <v>2019</v>
      </c>
      <c r="L6270" t="s">
        <v>39</v>
      </c>
      <c r="M6270" t="s">
        <v>131</v>
      </c>
      <c r="N6270" t="s">
        <v>23</v>
      </c>
      <c r="O6270" t="s">
        <v>23</v>
      </c>
      <c r="P6270" s="1" t="s">
        <v>34</v>
      </c>
      <c r="Q6270">
        <v>147.4</v>
      </c>
    </row>
    <row r="6271" spans="11:17" x14ac:dyDescent="0.3">
      <c r="K6271">
        <v>2019</v>
      </c>
      <c r="L6271" t="s">
        <v>39</v>
      </c>
      <c r="M6271" t="s">
        <v>131</v>
      </c>
      <c r="N6271" t="s">
        <v>23</v>
      </c>
      <c r="O6271" t="s">
        <v>23</v>
      </c>
      <c r="P6271" s="1" t="s">
        <v>33</v>
      </c>
      <c r="Q6271">
        <v>140.30000000000001</v>
      </c>
    </row>
    <row r="6272" spans="11:17" x14ac:dyDescent="0.3">
      <c r="K6272">
        <v>2019</v>
      </c>
      <c r="L6272" t="s">
        <v>39</v>
      </c>
      <c r="M6272" t="s">
        <v>131</v>
      </c>
      <c r="N6272" t="s">
        <v>22</v>
      </c>
      <c r="O6272" t="s">
        <v>20</v>
      </c>
      <c r="P6272" s="1" t="s">
        <v>30</v>
      </c>
      <c r="Q6272">
        <v>149.6</v>
      </c>
    </row>
    <row r="6273" spans="11:17" x14ac:dyDescent="0.3">
      <c r="K6273">
        <v>2019</v>
      </c>
      <c r="L6273" t="s">
        <v>39</v>
      </c>
      <c r="M6273" t="s">
        <v>131</v>
      </c>
      <c r="N6273" t="s">
        <v>22</v>
      </c>
      <c r="O6273" t="s">
        <v>20</v>
      </c>
      <c r="P6273" s="1" t="s">
        <v>34</v>
      </c>
      <c r="Q6273">
        <v>143.80000000000001</v>
      </c>
    </row>
    <row r="6274" spans="11:17" x14ac:dyDescent="0.3">
      <c r="K6274">
        <v>2019</v>
      </c>
      <c r="L6274" t="s">
        <v>39</v>
      </c>
      <c r="M6274" t="s">
        <v>131</v>
      </c>
      <c r="N6274" t="s">
        <v>22</v>
      </c>
      <c r="O6274" t="s">
        <v>20</v>
      </c>
      <c r="P6274" s="1" t="s">
        <v>33</v>
      </c>
      <c r="Q6274">
        <v>137.4</v>
      </c>
    </row>
    <row r="6275" spans="11:17" x14ac:dyDescent="0.3">
      <c r="K6275">
        <v>2019</v>
      </c>
      <c r="L6275" t="s">
        <v>39</v>
      </c>
      <c r="M6275" t="s">
        <v>131</v>
      </c>
      <c r="N6275" t="s">
        <v>20</v>
      </c>
      <c r="O6275" t="s">
        <v>20</v>
      </c>
      <c r="P6275" s="1" t="s">
        <v>30</v>
      </c>
      <c r="Q6275">
        <v>0</v>
      </c>
    </row>
    <row r="6276" spans="11:17" x14ac:dyDescent="0.3">
      <c r="K6276">
        <v>2019</v>
      </c>
      <c r="L6276" t="s">
        <v>39</v>
      </c>
      <c r="M6276" t="s">
        <v>131</v>
      </c>
      <c r="N6276" t="s">
        <v>20</v>
      </c>
      <c r="O6276" t="s">
        <v>20</v>
      </c>
      <c r="P6276" s="1" t="s">
        <v>34</v>
      </c>
      <c r="Q6276">
        <v>149.4</v>
      </c>
    </row>
    <row r="6277" spans="11:17" x14ac:dyDescent="0.3">
      <c r="K6277">
        <v>2019</v>
      </c>
      <c r="L6277" t="s">
        <v>39</v>
      </c>
      <c r="M6277" t="s">
        <v>131</v>
      </c>
      <c r="N6277" t="s">
        <v>20</v>
      </c>
      <c r="O6277" t="s">
        <v>20</v>
      </c>
      <c r="P6277" s="1" t="s">
        <v>33</v>
      </c>
      <c r="Q6277">
        <v>149.4</v>
      </c>
    </row>
    <row r="6278" spans="11:17" x14ac:dyDescent="0.3">
      <c r="K6278">
        <v>2019</v>
      </c>
      <c r="L6278" t="s">
        <v>39</v>
      </c>
      <c r="M6278" t="s">
        <v>131</v>
      </c>
      <c r="N6278" t="s">
        <v>4</v>
      </c>
      <c r="O6278" t="s">
        <v>188</v>
      </c>
      <c r="P6278" s="1" t="s">
        <v>30</v>
      </c>
      <c r="Q6278">
        <v>163.5</v>
      </c>
    </row>
    <row r="6279" spans="11:17" x14ac:dyDescent="0.3">
      <c r="K6279">
        <v>2019</v>
      </c>
      <c r="L6279" t="s">
        <v>39</v>
      </c>
      <c r="M6279" t="s">
        <v>131</v>
      </c>
      <c r="N6279" t="s">
        <v>4</v>
      </c>
      <c r="O6279" t="s">
        <v>188</v>
      </c>
      <c r="P6279" s="1" t="s">
        <v>34</v>
      </c>
      <c r="Q6279">
        <v>162.1</v>
      </c>
    </row>
    <row r="6280" spans="11:17" x14ac:dyDescent="0.3">
      <c r="K6280">
        <v>2019</v>
      </c>
      <c r="L6280" t="s">
        <v>39</v>
      </c>
      <c r="M6280" t="s">
        <v>131</v>
      </c>
      <c r="N6280" t="s">
        <v>4</v>
      </c>
      <c r="O6280" t="s">
        <v>188</v>
      </c>
      <c r="P6280" s="1" t="s">
        <v>33</v>
      </c>
      <c r="Q6280">
        <v>159.6</v>
      </c>
    </row>
    <row r="6281" spans="11:17" x14ac:dyDescent="0.3">
      <c r="K6281">
        <v>2019</v>
      </c>
      <c r="L6281" t="s">
        <v>39</v>
      </c>
      <c r="M6281" t="s">
        <v>131</v>
      </c>
      <c r="N6281" t="s">
        <v>6</v>
      </c>
      <c r="O6281" t="s">
        <v>188</v>
      </c>
      <c r="P6281" s="1" t="s">
        <v>30</v>
      </c>
      <c r="Q6281">
        <v>143.19999999999999</v>
      </c>
    </row>
    <row r="6282" spans="11:17" x14ac:dyDescent="0.3">
      <c r="K6282">
        <v>2019</v>
      </c>
      <c r="L6282" t="s">
        <v>39</v>
      </c>
      <c r="M6282" t="s">
        <v>131</v>
      </c>
      <c r="N6282" t="s">
        <v>6</v>
      </c>
      <c r="O6282" t="s">
        <v>188</v>
      </c>
      <c r="P6282" s="1" t="s">
        <v>34</v>
      </c>
      <c r="Q6282">
        <v>143.30000000000001</v>
      </c>
    </row>
    <row r="6283" spans="11:17" x14ac:dyDescent="0.3">
      <c r="K6283">
        <v>2019</v>
      </c>
      <c r="L6283" t="s">
        <v>39</v>
      </c>
      <c r="M6283" t="s">
        <v>131</v>
      </c>
      <c r="N6283" t="s">
        <v>6</v>
      </c>
      <c r="O6283" t="s">
        <v>188</v>
      </c>
      <c r="P6283" s="1" t="s">
        <v>33</v>
      </c>
      <c r="Q6283">
        <v>143.4</v>
      </c>
    </row>
    <row r="6284" spans="11:17" x14ac:dyDescent="0.3">
      <c r="K6284">
        <v>2019</v>
      </c>
      <c r="L6284" t="s">
        <v>39</v>
      </c>
      <c r="M6284" t="s">
        <v>131</v>
      </c>
      <c r="N6284" t="s">
        <v>28</v>
      </c>
      <c r="O6284" t="s">
        <v>192</v>
      </c>
      <c r="P6284" s="1" t="s">
        <v>30</v>
      </c>
      <c r="Q6284">
        <v>143.30000000000001</v>
      </c>
    </row>
    <row r="6285" spans="11:17" x14ac:dyDescent="0.3">
      <c r="K6285">
        <v>2019</v>
      </c>
      <c r="L6285" t="s">
        <v>39</v>
      </c>
      <c r="M6285" t="s">
        <v>131</v>
      </c>
      <c r="N6285" t="s">
        <v>28</v>
      </c>
      <c r="O6285" t="s">
        <v>192</v>
      </c>
      <c r="P6285" s="1" t="s">
        <v>34</v>
      </c>
      <c r="Q6285">
        <v>138.6</v>
      </c>
    </row>
    <row r="6286" spans="11:17" x14ac:dyDescent="0.3">
      <c r="K6286">
        <v>2019</v>
      </c>
      <c r="L6286" t="s">
        <v>39</v>
      </c>
      <c r="M6286" t="s">
        <v>131</v>
      </c>
      <c r="N6286" t="s">
        <v>28</v>
      </c>
      <c r="O6286" t="s">
        <v>192</v>
      </c>
      <c r="P6286" s="1" t="s">
        <v>33</v>
      </c>
      <c r="Q6286">
        <v>133.6</v>
      </c>
    </row>
    <row r="6287" spans="11:17" x14ac:dyDescent="0.3">
      <c r="K6287">
        <v>2019</v>
      </c>
      <c r="L6287" t="s">
        <v>39</v>
      </c>
      <c r="M6287" t="s">
        <v>131</v>
      </c>
      <c r="N6287" t="s">
        <v>13</v>
      </c>
      <c r="O6287" t="s">
        <v>188</v>
      </c>
      <c r="P6287" s="1" t="s">
        <v>30</v>
      </c>
      <c r="Q6287">
        <v>138</v>
      </c>
    </row>
    <row r="6288" spans="11:17" x14ac:dyDescent="0.3">
      <c r="K6288">
        <v>2019</v>
      </c>
      <c r="L6288" t="s">
        <v>39</v>
      </c>
      <c r="M6288" t="s">
        <v>131</v>
      </c>
      <c r="N6288" t="s">
        <v>13</v>
      </c>
      <c r="O6288" t="s">
        <v>188</v>
      </c>
      <c r="P6288" s="1" t="s">
        <v>34</v>
      </c>
      <c r="Q6288">
        <v>134.19999999999999</v>
      </c>
    </row>
    <row r="6289" spans="11:17" x14ac:dyDescent="0.3">
      <c r="K6289">
        <v>2019</v>
      </c>
      <c r="L6289" t="s">
        <v>39</v>
      </c>
      <c r="M6289" t="s">
        <v>131</v>
      </c>
      <c r="N6289" t="s">
        <v>13</v>
      </c>
      <c r="O6289" t="s">
        <v>188</v>
      </c>
      <c r="P6289" s="1" t="s">
        <v>33</v>
      </c>
      <c r="Q6289">
        <v>129</v>
      </c>
    </row>
    <row r="6290" spans="11:17" x14ac:dyDescent="0.3">
      <c r="K6290">
        <v>2019</v>
      </c>
      <c r="L6290" t="s">
        <v>39</v>
      </c>
      <c r="M6290" t="s">
        <v>131</v>
      </c>
      <c r="N6290" t="s">
        <v>7</v>
      </c>
      <c r="O6290" t="s">
        <v>188</v>
      </c>
      <c r="P6290" s="1" t="s">
        <v>30</v>
      </c>
      <c r="Q6290">
        <v>124.3</v>
      </c>
    </row>
    <row r="6291" spans="11:17" x14ac:dyDescent="0.3">
      <c r="K6291">
        <v>2019</v>
      </c>
      <c r="L6291" t="s">
        <v>39</v>
      </c>
      <c r="M6291" t="s">
        <v>131</v>
      </c>
      <c r="N6291" t="s">
        <v>7</v>
      </c>
      <c r="O6291" t="s">
        <v>188</v>
      </c>
      <c r="P6291" s="1" t="s">
        <v>34</v>
      </c>
      <c r="Q6291">
        <v>122.2</v>
      </c>
    </row>
    <row r="6292" spans="11:17" x14ac:dyDescent="0.3">
      <c r="K6292">
        <v>2019</v>
      </c>
      <c r="L6292" t="s">
        <v>39</v>
      </c>
      <c r="M6292" t="s">
        <v>131</v>
      </c>
      <c r="N6292" t="s">
        <v>7</v>
      </c>
      <c r="O6292" t="s">
        <v>188</v>
      </c>
      <c r="P6292" s="1" t="s">
        <v>33</v>
      </c>
      <c r="Q6292">
        <v>118.6</v>
      </c>
    </row>
    <row r="6293" spans="11:17" x14ac:dyDescent="0.3">
      <c r="K6293">
        <v>2019</v>
      </c>
      <c r="L6293" t="s">
        <v>39</v>
      </c>
      <c r="M6293" t="s">
        <v>131</v>
      </c>
      <c r="N6293" t="s">
        <v>16</v>
      </c>
      <c r="O6293" t="s">
        <v>192</v>
      </c>
      <c r="P6293" s="1" t="s">
        <v>30</v>
      </c>
      <c r="Q6293">
        <v>164.2</v>
      </c>
    </row>
    <row r="6294" spans="11:17" x14ac:dyDescent="0.3">
      <c r="K6294">
        <v>2019</v>
      </c>
      <c r="L6294" t="s">
        <v>39</v>
      </c>
      <c r="M6294" t="s">
        <v>131</v>
      </c>
      <c r="N6294" t="s">
        <v>16</v>
      </c>
      <c r="O6294" t="s">
        <v>192</v>
      </c>
      <c r="P6294" s="1" t="s">
        <v>34</v>
      </c>
      <c r="Q6294">
        <v>164.9</v>
      </c>
    </row>
    <row r="6295" spans="11:17" x14ac:dyDescent="0.3">
      <c r="K6295">
        <v>2019</v>
      </c>
      <c r="L6295" t="s">
        <v>39</v>
      </c>
      <c r="M6295" t="s">
        <v>131</v>
      </c>
      <c r="N6295" t="s">
        <v>16</v>
      </c>
      <c r="O6295" t="s">
        <v>192</v>
      </c>
      <c r="P6295" s="1" t="s">
        <v>33</v>
      </c>
      <c r="Q6295">
        <v>166.7</v>
      </c>
    </row>
    <row r="6296" spans="11:17" x14ac:dyDescent="0.3">
      <c r="K6296">
        <v>2019</v>
      </c>
      <c r="L6296" t="s">
        <v>39</v>
      </c>
      <c r="M6296" t="s">
        <v>131</v>
      </c>
      <c r="N6296" t="s">
        <v>27</v>
      </c>
      <c r="O6296" t="s">
        <v>192</v>
      </c>
      <c r="P6296" s="1" t="s">
        <v>30</v>
      </c>
      <c r="Q6296">
        <v>134.80000000000001</v>
      </c>
    </row>
    <row r="6297" spans="11:17" x14ac:dyDescent="0.3">
      <c r="K6297">
        <v>2019</v>
      </c>
      <c r="L6297" t="s">
        <v>39</v>
      </c>
      <c r="M6297" t="s">
        <v>131</v>
      </c>
      <c r="N6297" t="s">
        <v>27</v>
      </c>
      <c r="O6297" t="s">
        <v>192</v>
      </c>
      <c r="P6297" s="1" t="s">
        <v>34</v>
      </c>
      <c r="Q6297">
        <v>134.30000000000001</v>
      </c>
    </row>
    <row r="6298" spans="11:17" x14ac:dyDescent="0.3">
      <c r="K6298">
        <v>2019</v>
      </c>
      <c r="L6298" t="s">
        <v>39</v>
      </c>
      <c r="M6298" t="s">
        <v>131</v>
      </c>
      <c r="N6298" t="s">
        <v>27</v>
      </c>
      <c r="O6298" t="s">
        <v>192</v>
      </c>
      <c r="P6298" s="1" t="s">
        <v>33</v>
      </c>
      <c r="Q6298">
        <v>133.69999999999999</v>
      </c>
    </row>
    <row r="6299" spans="11:17" x14ac:dyDescent="0.3">
      <c r="K6299">
        <v>2019</v>
      </c>
      <c r="L6299" t="s">
        <v>39</v>
      </c>
      <c r="M6299" t="s">
        <v>131</v>
      </c>
      <c r="N6299" t="s">
        <v>14</v>
      </c>
      <c r="O6299" t="s">
        <v>188</v>
      </c>
      <c r="P6299" s="1" t="s">
        <v>30</v>
      </c>
      <c r="Q6299">
        <v>156.6</v>
      </c>
    </row>
    <row r="6300" spans="11:17" x14ac:dyDescent="0.3">
      <c r="K6300">
        <v>2019</v>
      </c>
      <c r="L6300" t="s">
        <v>39</v>
      </c>
      <c r="M6300" t="s">
        <v>131</v>
      </c>
      <c r="N6300" t="s">
        <v>14</v>
      </c>
      <c r="O6300" t="s">
        <v>188</v>
      </c>
      <c r="P6300" s="1" t="s">
        <v>34</v>
      </c>
      <c r="Q6300">
        <v>155.9</v>
      </c>
    </row>
    <row r="6301" spans="11:17" x14ac:dyDescent="0.3">
      <c r="K6301">
        <v>2019</v>
      </c>
      <c r="L6301" t="s">
        <v>39</v>
      </c>
      <c r="M6301" t="s">
        <v>131</v>
      </c>
      <c r="N6301" t="s">
        <v>14</v>
      </c>
      <c r="O6301" t="s">
        <v>188</v>
      </c>
      <c r="P6301" s="1" t="s">
        <v>33</v>
      </c>
      <c r="Q6301">
        <v>155.1</v>
      </c>
    </row>
    <row r="6302" spans="11:17" x14ac:dyDescent="0.3">
      <c r="K6302">
        <v>2019</v>
      </c>
      <c r="L6302" t="s">
        <v>39</v>
      </c>
      <c r="M6302" t="s">
        <v>131</v>
      </c>
      <c r="N6302" t="s">
        <v>10</v>
      </c>
      <c r="O6302" t="s">
        <v>188</v>
      </c>
      <c r="P6302" s="1" t="s">
        <v>30</v>
      </c>
      <c r="Q6302">
        <v>128.69999999999999</v>
      </c>
    </row>
    <row r="6303" spans="11:17" x14ac:dyDescent="0.3">
      <c r="K6303">
        <v>2019</v>
      </c>
      <c r="L6303" t="s">
        <v>39</v>
      </c>
      <c r="M6303" t="s">
        <v>131</v>
      </c>
      <c r="N6303" t="s">
        <v>10</v>
      </c>
      <c r="O6303" t="s">
        <v>188</v>
      </c>
      <c r="P6303" s="1" t="s">
        <v>34</v>
      </c>
      <c r="Q6303">
        <v>128.30000000000001</v>
      </c>
    </row>
    <row r="6304" spans="11:17" x14ac:dyDescent="0.3">
      <c r="K6304">
        <v>2019</v>
      </c>
      <c r="L6304" t="s">
        <v>39</v>
      </c>
      <c r="M6304" t="s">
        <v>131</v>
      </c>
      <c r="N6304" t="s">
        <v>10</v>
      </c>
      <c r="O6304" t="s">
        <v>188</v>
      </c>
      <c r="P6304" s="1" t="s">
        <v>33</v>
      </c>
      <c r="Q6304">
        <v>127.4</v>
      </c>
    </row>
    <row r="6305" spans="11:17" x14ac:dyDescent="0.3">
      <c r="K6305">
        <v>2019</v>
      </c>
      <c r="L6305" t="s">
        <v>39</v>
      </c>
      <c r="M6305" t="s">
        <v>131</v>
      </c>
      <c r="N6305" t="s">
        <v>25</v>
      </c>
      <c r="O6305" t="s">
        <v>195</v>
      </c>
      <c r="P6305" s="1" t="s">
        <v>30</v>
      </c>
      <c r="Q6305">
        <v>146.4</v>
      </c>
    </row>
    <row r="6306" spans="11:17" x14ac:dyDescent="0.3">
      <c r="K6306">
        <v>2019</v>
      </c>
      <c r="L6306" t="s">
        <v>39</v>
      </c>
      <c r="M6306" t="s">
        <v>131</v>
      </c>
      <c r="N6306" t="s">
        <v>25</v>
      </c>
      <c r="O6306" t="s">
        <v>195</v>
      </c>
      <c r="P6306" s="1" t="s">
        <v>34</v>
      </c>
      <c r="Q6306">
        <v>139.6</v>
      </c>
    </row>
    <row r="6307" spans="11:17" x14ac:dyDescent="0.3">
      <c r="K6307">
        <v>2019</v>
      </c>
      <c r="L6307" t="s">
        <v>39</v>
      </c>
      <c r="M6307" t="s">
        <v>131</v>
      </c>
      <c r="N6307" t="s">
        <v>25</v>
      </c>
      <c r="O6307" t="s">
        <v>195</v>
      </c>
      <c r="P6307" s="1" t="s">
        <v>33</v>
      </c>
      <c r="Q6307">
        <v>134.30000000000001</v>
      </c>
    </row>
    <row r="6308" spans="11:17" x14ac:dyDescent="0.3">
      <c r="K6308">
        <v>2019</v>
      </c>
      <c r="L6308" t="s">
        <v>39</v>
      </c>
      <c r="M6308" t="s">
        <v>131</v>
      </c>
      <c r="N6308" t="s">
        <v>12</v>
      </c>
      <c r="O6308" t="s">
        <v>188</v>
      </c>
      <c r="P6308" s="1" t="s">
        <v>30</v>
      </c>
      <c r="Q6308">
        <v>140.4</v>
      </c>
    </row>
    <row r="6309" spans="11:17" x14ac:dyDescent="0.3">
      <c r="K6309">
        <v>2019</v>
      </c>
      <c r="L6309" t="s">
        <v>39</v>
      </c>
      <c r="M6309" t="s">
        <v>131</v>
      </c>
      <c r="N6309" t="s">
        <v>12</v>
      </c>
      <c r="O6309" t="s">
        <v>188</v>
      </c>
      <c r="P6309" s="1" t="s">
        <v>34</v>
      </c>
      <c r="Q6309">
        <v>140.6</v>
      </c>
    </row>
    <row r="6310" spans="11:17" x14ac:dyDescent="0.3">
      <c r="K6310">
        <v>2019</v>
      </c>
      <c r="L6310" t="s">
        <v>39</v>
      </c>
      <c r="M6310" t="s">
        <v>131</v>
      </c>
      <c r="N6310" t="s">
        <v>12</v>
      </c>
      <c r="O6310" t="s">
        <v>188</v>
      </c>
      <c r="P6310" s="1" t="s">
        <v>33</v>
      </c>
      <c r="Q6310">
        <v>141</v>
      </c>
    </row>
    <row r="6311" spans="11:17" x14ac:dyDescent="0.3">
      <c r="K6311">
        <v>2019</v>
      </c>
      <c r="L6311" t="s">
        <v>39</v>
      </c>
      <c r="M6311" t="s">
        <v>131</v>
      </c>
      <c r="N6311" t="s">
        <v>11</v>
      </c>
      <c r="O6311" t="s">
        <v>188</v>
      </c>
      <c r="P6311" s="1" t="s">
        <v>30</v>
      </c>
      <c r="Q6311">
        <v>110.6</v>
      </c>
    </row>
    <row r="6312" spans="11:17" x14ac:dyDescent="0.3">
      <c r="K6312">
        <v>2019</v>
      </c>
      <c r="L6312" t="s">
        <v>39</v>
      </c>
      <c r="M6312" t="s">
        <v>131</v>
      </c>
      <c r="N6312" t="s">
        <v>11</v>
      </c>
      <c r="O6312" t="s">
        <v>188</v>
      </c>
      <c r="P6312" s="1" t="s">
        <v>34</v>
      </c>
      <c r="Q6312">
        <v>111</v>
      </c>
    </row>
    <row r="6313" spans="11:17" x14ac:dyDescent="0.3">
      <c r="K6313">
        <v>2019</v>
      </c>
      <c r="L6313" t="s">
        <v>39</v>
      </c>
      <c r="M6313" t="s">
        <v>131</v>
      </c>
      <c r="N6313" t="s">
        <v>11</v>
      </c>
      <c r="O6313" t="s">
        <v>188</v>
      </c>
      <c r="P6313" s="1" t="s">
        <v>33</v>
      </c>
      <c r="Q6313">
        <v>111.8</v>
      </c>
    </row>
    <row r="6314" spans="11:17" x14ac:dyDescent="0.3">
      <c r="K6314">
        <v>2019</v>
      </c>
      <c r="L6314" t="s">
        <v>39</v>
      </c>
      <c r="M6314" t="s">
        <v>131</v>
      </c>
      <c r="N6314" t="s">
        <v>24</v>
      </c>
      <c r="O6314" t="s">
        <v>191</v>
      </c>
      <c r="P6314" s="1" t="s">
        <v>30</v>
      </c>
      <c r="Q6314">
        <v>130.19999999999999</v>
      </c>
    </row>
    <row r="6315" spans="11:17" x14ac:dyDescent="0.3">
      <c r="K6315">
        <v>2019</v>
      </c>
      <c r="L6315" t="s">
        <v>39</v>
      </c>
      <c r="M6315" t="s">
        <v>131</v>
      </c>
      <c r="N6315" t="s">
        <v>24</v>
      </c>
      <c r="O6315" t="s">
        <v>191</v>
      </c>
      <c r="P6315" s="1" t="s">
        <v>34</v>
      </c>
      <c r="Q6315">
        <v>124.6</v>
      </c>
    </row>
    <row r="6316" spans="11:17" x14ac:dyDescent="0.3">
      <c r="K6316">
        <v>2019</v>
      </c>
      <c r="L6316" t="s">
        <v>39</v>
      </c>
      <c r="M6316" t="s">
        <v>131</v>
      </c>
      <c r="N6316" t="s">
        <v>24</v>
      </c>
      <c r="O6316" t="s">
        <v>191</v>
      </c>
      <c r="P6316" s="1" t="s">
        <v>33</v>
      </c>
      <c r="Q6316">
        <v>119.6</v>
      </c>
    </row>
    <row r="6317" spans="11:17" x14ac:dyDescent="0.3">
      <c r="K6317">
        <v>2019</v>
      </c>
      <c r="L6317" t="s">
        <v>39</v>
      </c>
      <c r="M6317" t="s">
        <v>131</v>
      </c>
      <c r="N6317" t="s">
        <v>9</v>
      </c>
      <c r="O6317" t="s">
        <v>188</v>
      </c>
      <c r="P6317" s="1" t="s">
        <v>30</v>
      </c>
      <c r="Q6317">
        <v>140.6</v>
      </c>
    </row>
    <row r="6318" spans="11:17" x14ac:dyDescent="0.3">
      <c r="K6318">
        <v>2019</v>
      </c>
      <c r="L6318" t="s">
        <v>39</v>
      </c>
      <c r="M6318" t="s">
        <v>131</v>
      </c>
      <c r="N6318" t="s">
        <v>9</v>
      </c>
      <c r="O6318" t="s">
        <v>188</v>
      </c>
      <c r="P6318" s="1" t="s">
        <v>34</v>
      </c>
      <c r="Q6318">
        <v>150.5</v>
      </c>
    </row>
    <row r="6319" spans="11:17" x14ac:dyDescent="0.3">
      <c r="K6319">
        <v>2019</v>
      </c>
      <c r="L6319" t="s">
        <v>39</v>
      </c>
      <c r="M6319" t="s">
        <v>131</v>
      </c>
      <c r="N6319" t="s">
        <v>9</v>
      </c>
      <c r="O6319" t="s">
        <v>188</v>
      </c>
      <c r="P6319" s="1" t="s">
        <v>33</v>
      </c>
      <c r="Q6319">
        <v>169.8</v>
      </c>
    </row>
    <row r="6320" spans="11:17" x14ac:dyDescent="0.3">
      <c r="K6320">
        <v>2019</v>
      </c>
      <c r="L6320" t="s">
        <v>36</v>
      </c>
      <c r="M6320" t="s">
        <v>132</v>
      </c>
      <c r="N6320" t="s">
        <v>3</v>
      </c>
      <c r="O6320" t="s">
        <v>188</v>
      </c>
      <c r="P6320" s="1" t="s">
        <v>30</v>
      </c>
      <c r="Q6320">
        <v>136.9</v>
      </c>
    </row>
    <row r="6321" spans="11:17" x14ac:dyDescent="0.3">
      <c r="K6321">
        <v>2019</v>
      </c>
      <c r="L6321" t="s">
        <v>36</v>
      </c>
      <c r="M6321" t="s">
        <v>132</v>
      </c>
      <c r="N6321" t="s">
        <v>3</v>
      </c>
      <c r="O6321" t="s">
        <v>188</v>
      </c>
      <c r="P6321" s="1" t="s">
        <v>34</v>
      </c>
      <c r="Q6321">
        <v>137.80000000000001</v>
      </c>
    </row>
    <row r="6322" spans="11:17" x14ac:dyDescent="0.3">
      <c r="K6322">
        <v>2019</v>
      </c>
      <c r="L6322" t="s">
        <v>36</v>
      </c>
      <c r="M6322" t="s">
        <v>132</v>
      </c>
      <c r="N6322" t="s">
        <v>3</v>
      </c>
      <c r="O6322" t="s">
        <v>188</v>
      </c>
      <c r="P6322" s="1" t="s">
        <v>33</v>
      </c>
      <c r="Q6322">
        <v>139.69999999999999</v>
      </c>
    </row>
    <row r="6323" spans="11:17" x14ac:dyDescent="0.3">
      <c r="K6323">
        <v>2019</v>
      </c>
      <c r="L6323" t="s">
        <v>36</v>
      </c>
      <c r="M6323" t="s">
        <v>132</v>
      </c>
      <c r="N6323" t="s">
        <v>17</v>
      </c>
      <c r="O6323" t="s">
        <v>189</v>
      </c>
      <c r="P6323" s="1" t="s">
        <v>30</v>
      </c>
      <c r="Q6323">
        <v>150.80000000000001</v>
      </c>
    </row>
    <row r="6324" spans="11:17" x14ac:dyDescent="0.3">
      <c r="K6324">
        <v>2019</v>
      </c>
      <c r="L6324" t="s">
        <v>36</v>
      </c>
      <c r="M6324" t="s">
        <v>132</v>
      </c>
      <c r="N6324" t="s">
        <v>17</v>
      </c>
      <c r="O6324" t="s">
        <v>189</v>
      </c>
      <c r="P6324" s="1" t="s">
        <v>34</v>
      </c>
      <c r="Q6324">
        <v>147.9</v>
      </c>
    </row>
    <row r="6325" spans="11:17" x14ac:dyDescent="0.3">
      <c r="K6325">
        <v>2019</v>
      </c>
      <c r="L6325" t="s">
        <v>36</v>
      </c>
      <c r="M6325" t="s">
        <v>132</v>
      </c>
      <c r="N6325" t="s">
        <v>17</v>
      </c>
      <c r="O6325" t="s">
        <v>189</v>
      </c>
      <c r="P6325" s="1" t="s">
        <v>33</v>
      </c>
      <c r="Q6325">
        <v>143.5</v>
      </c>
    </row>
    <row r="6326" spans="11:17" x14ac:dyDescent="0.3">
      <c r="K6326">
        <v>2019</v>
      </c>
      <c r="L6326" t="s">
        <v>36</v>
      </c>
      <c r="M6326" t="s">
        <v>132</v>
      </c>
      <c r="N6326" t="s">
        <v>19</v>
      </c>
      <c r="O6326" t="s">
        <v>189</v>
      </c>
      <c r="P6326" s="1" t="s">
        <v>30</v>
      </c>
      <c r="Q6326">
        <v>150.1</v>
      </c>
    </row>
    <row r="6327" spans="11:17" x14ac:dyDescent="0.3">
      <c r="K6327">
        <v>2019</v>
      </c>
      <c r="L6327" t="s">
        <v>36</v>
      </c>
      <c r="M6327" t="s">
        <v>132</v>
      </c>
      <c r="N6327" t="s">
        <v>19</v>
      </c>
      <c r="O6327" t="s">
        <v>189</v>
      </c>
      <c r="P6327" s="1" t="s">
        <v>34</v>
      </c>
      <c r="Q6327">
        <v>146.69999999999999</v>
      </c>
    </row>
    <row r="6328" spans="11:17" x14ac:dyDescent="0.3">
      <c r="K6328">
        <v>2019</v>
      </c>
      <c r="L6328" t="s">
        <v>36</v>
      </c>
      <c r="M6328" t="s">
        <v>132</v>
      </c>
      <c r="N6328" t="s">
        <v>19</v>
      </c>
      <c r="O6328" t="s">
        <v>189</v>
      </c>
      <c r="P6328" s="1" t="s">
        <v>33</v>
      </c>
      <c r="Q6328">
        <v>141.6</v>
      </c>
    </row>
    <row r="6329" spans="11:17" x14ac:dyDescent="0.3">
      <c r="K6329">
        <v>2019</v>
      </c>
      <c r="L6329" t="s">
        <v>36</v>
      </c>
      <c r="M6329" t="s">
        <v>132</v>
      </c>
      <c r="N6329" t="s">
        <v>26</v>
      </c>
      <c r="O6329" t="s">
        <v>26</v>
      </c>
      <c r="P6329" s="1" t="s">
        <v>30</v>
      </c>
      <c r="Q6329">
        <v>155.5</v>
      </c>
    </row>
    <row r="6330" spans="11:17" x14ac:dyDescent="0.3">
      <c r="K6330">
        <v>2019</v>
      </c>
      <c r="L6330" t="s">
        <v>36</v>
      </c>
      <c r="M6330" t="s">
        <v>132</v>
      </c>
      <c r="N6330" t="s">
        <v>26</v>
      </c>
      <c r="O6330" t="s">
        <v>26</v>
      </c>
      <c r="P6330" s="1" t="s">
        <v>34</v>
      </c>
      <c r="Q6330">
        <v>150.30000000000001</v>
      </c>
    </row>
    <row r="6331" spans="11:17" x14ac:dyDescent="0.3">
      <c r="K6331">
        <v>2019</v>
      </c>
      <c r="L6331" t="s">
        <v>36</v>
      </c>
      <c r="M6331" t="s">
        <v>132</v>
      </c>
      <c r="N6331" t="s">
        <v>26</v>
      </c>
      <c r="O6331" t="s">
        <v>26</v>
      </c>
      <c r="P6331" s="1" t="s">
        <v>33</v>
      </c>
      <c r="Q6331">
        <v>146.69999999999999</v>
      </c>
    </row>
    <row r="6332" spans="11:17" x14ac:dyDescent="0.3">
      <c r="K6332">
        <v>2019</v>
      </c>
      <c r="L6332" t="s">
        <v>36</v>
      </c>
      <c r="M6332" t="s">
        <v>132</v>
      </c>
      <c r="N6332" t="s">
        <v>5</v>
      </c>
      <c r="O6332" t="s">
        <v>188</v>
      </c>
      <c r="P6332" s="1" t="s">
        <v>30</v>
      </c>
      <c r="Q6332">
        <v>138.69999999999999</v>
      </c>
    </row>
    <row r="6333" spans="11:17" x14ac:dyDescent="0.3">
      <c r="K6333">
        <v>2019</v>
      </c>
      <c r="L6333" t="s">
        <v>36</v>
      </c>
      <c r="M6333" t="s">
        <v>132</v>
      </c>
      <c r="N6333" t="s">
        <v>5</v>
      </c>
      <c r="O6333" t="s">
        <v>188</v>
      </c>
      <c r="P6333" s="1" t="s">
        <v>34</v>
      </c>
      <c r="Q6333">
        <v>140.30000000000001</v>
      </c>
    </row>
    <row r="6334" spans="11:17" x14ac:dyDescent="0.3">
      <c r="K6334">
        <v>2019</v>
      </c>
      <c r="L6334" t="s">
        <v>36</v>
      </c>
      <c r="M6334" t="s">
        <v>132</v>
      </c>
      <c r="N6334" t="s">
        <v>5</v>
      </c>
      <c r="O6334" t="s">
        <v>188</v>
      </c>
      <c r="P6334" s="1" t="s">
        <v>33</v>
      </c>
      <c r="Q6334">
        <v>142.9</v>
      </c>
    </row>
    <row r="6335" spans="11:17" x14ac:dyDescent="0.3">
      <c r="K6335">
        <v>2019</v>
      </c>
      <c r="L6335" t="s">
        <v>36</v>
      </c>
      <c r="M6335" t="s">
        <v>132</v>
      </c>
      <c r="N6335" t="s">
        <v>15</v>
      </c>
      <c r="O6335" t="s">
        <v>188</v>
      </c>
      <c r="P6335" s="1" t="s">
        <v>30</v>
      </c>
      <c r="Q6335">
        <v>137.30000000000001</v>
      </c>
    </row>
    <row r="6336" spans="11:17" x14ac:dyDescent="0.3">
      <c r="K6336">
        <v>2019</v>
      </c>
      <c r="L6336" t="s">
        <v>36</v>
      </c>
      <c r="M6336" t="s">
        <v>132</v>
      </c>
      <c r="N6336" t="s">
        <v>15</v>
      </c>
      <c r="O6336" t="s">
        <v>188</v>
      </c>
      <c r="P6336" s="1" t="s">
        <v>34</v>
      </c>
      <c r="Q6336">
        <v>138.1</v>
      </c>
    </row>
    <row r="6337" spans="11:17" x14ac:dyDescent="0.3">
      <c r="K6337">
        <v>2019</v>
      </c>
      <c r="L6337" t="s">
        <v>36</v>
      </c>
      <c r="M6337" t="s">
        <v>132</v>
      </c>
      <c r="N6337" t="s">
        <v>15</v>
      </c>
      <c r="O6337" t="s">
        <v>188</v>
      </c>
      <c r="P6337" s="1" t="s">
        <v>33</v>
      </c>
      <c r="Q6337">
        <v>139.6</v>
      </c>
    </row>
    <row r="6338" spans="11:17" x14ac:dyDescent="0.3">
      <c r="K6338">
        <v>2019</v>
      </c>
      <c r="L6338" t="s">
        <v>36</v>
      </c>
      <c r="M6338" t="s">
        <v>132</v>
      </c>
      <c r="N6338" t="s">
        <v>18</v>
      </c>
      <c r="O6338" t="s">
        <v>189</v>
      </c>
      <c r="P6338" s="1" t="s">
        <v>30</v>
      </c>
      <c r="Q6338">
        <v>146.1</v>
      </c>
    </row>
    <row r="6339" spans="11:17" x14ac:dyDescent="0.3">
      <c r="K6339">
        <v>2019</v>
      </c>
      <c r="L6339" t="s">
        <v>36</v>
      </c>
      <c r="M6339" t="s">
        <v>132</v>
      </c>
      <c r="N6339" t="s">
        <v>18</v>
      </c>
      <c r="O6339" t="s">
        <v>189</v>
      </c>
      <c r="P6339" s="1" t="s">
        <v>34</v>
      </c>
      <c r="Q6339">
        <v>139.9</v>
      </c>
    </row>
    <row r="6340" spans="11:17" x14ac:dyDescent="0.3">
      <c r="K6340">
        <v>2019</v>
      </c>
      <c r="L6340" t="s">
        <v>36</v>
      </c>
      <c r="M6340" t="s">
        <v>132</v>
      </c>
      <c r="N6340" t="s">
        <v>18</v>
      </c>
      <c r="O6340" t="s">
        <v>189</v>
      </c>
      <c r="P6340" s="1" t="s">
        <v>33</v>
      </c>
      <c r="Q6340">
        <v>131.19999999999999</v>
      </c>
    </row>
    <row r="6341" spans="11:17" x14ac:dyDescent="0.3">
      <c r="K6341">
        <v>2019</v>
      </c>
      <c r="L6341" t="s">
        <v>36</v>
      </c>
      <c r="M6341" t="s">
        <v>132</v>
      </c>
      <c r="N6341" t="s">
        <v>8</v>
      </c>
      <c r="O6341" t="s">
        <v>188</v>
      </c>
      <c r="P6341" s="1" t="s">
        <v>30</v>
      </c>
      <c r="Q6341">
        <v>136.1</v>
      </c>
    </row>
    <row r="6342" spans="11:17" x14ac:dyDescent="0.3">
      <c r="K6342">
        <v>2019</v>
      </c>
      <c r="L6342" t="s">
        <v>36</v>
      </c>
      <c r="M6342" t="s">
        <v>132</v>
      </c>
      <c r="N6342" t="s">
        <v>8</v>
      </c>
      <c r="O6342" t="s">
        <v>188</v>
      </c>
      <c r="P6342" s="1" t="s">
        <v>34</v>
      </c>
      <c r="Q6342">
        <v>137.6</v>
      </c>
    </row>
    <row r="6343" spans="11:17" x14ac:dyDescent="0.3">
      <c r="K6343">
        <v>2019</v>
      </c>
      <c r="L6343" t="s">
        <v>36</v>
      </c>
      <c r="M6343" t="s">
        <v>132</v>
      </c>
      <c r="N6343" t="s">
        <v>8</v>
      </c>
      <c r="O6343" t="s">
        <v>188</v>
      </c>
      <c r="P6343" s="1" t="s">
        <v>33</v>
      </c>
      <c r="Q6343">
        <v>139.4</v>
      </c>
    </row>
    <row r="6344" spans="11:17" x14ac:dyDescent="0.3">
      <c r="K6344">
        <v>2019</v>
      </c>
      <c r="L6344" t="s">
        <v>36</v>
      </c>
      <c r="M6344" t="s">
        <v>132</v>
      </c>
      <c r="N6344" t="s">
        <v>21</v>
      </c>
      <c r="O6344" t="s">
        <v>190</v>
      </c>
      <c r="P6344" s="1" t="s">
        <v>30</v>
      </c>
      <c r="Q6344">
        <v>146.4</v>
      </c>
    </row>
    <row r="6345" spans="11:17" x14ac:dyDescent="0.3">
      <c r="K6345">
        <v>2019</v>
      </c>
      <c r="L6345" t="s">
        <v>36</v>
      </c>
      <c r="M6345" t="s">
        <v>132</v>
      </c>
      <c r="N6345" t="s">
        <v>21</v>
      </c>
      <c r="O6345" t="s">
        <v>190</v>
      </c>
      <c r="P6345" s="1" t="s">
        <v>34</v>
      </c>
      <c r="Q6345">
        <v>139.69999999999999</v>
      </c>
    </row>
    <row r="6346" spans="11:17" x14ac:dyDescent="0.3">
      <c r="K6346">
        <v>2019</v>
      </c>
      <c r="L6346" t="s">
        <v>36</v>
      </c>
      <c r="M6346" t="s">
        <v>132</v>
      </c>
      <c r="N6346" t="s">
        <v>21</v>
      </c>
      <c r="O6346" t="s">
        <v>190</v>
      </c>
      <c r="P6346" s="1" t="s">
        <v>33</v>
      </c>
      <c r="Q6346">
        <v>128.80000000000001</v>
      </c>
    </row>
    <row r="6347" spans="11:17" x14ac:dyDescent="0.3">
      <c r="K6347">
        <v>2019</v>
      </c>
      <c r="L6347" t="s">
        <v>36</v>
      </c>
      <c r="M6347" t="s">
        <v>132</v>
      </c>
      <c r="N6347" t="s">
        <v>29</v>
      </c>
      <c r="O6347" t="s">
        <v>206</v>
      </c>
      <c r="P6347" s="1" t="s">
        <v>30</v>
      </c>
      <c r="Q6347">
        <v>141.19999999999999</v>
      </c>
    </row>
    <row r="6348" spans="11:17" x14ac:dyDescent="0.3">
      <c r="K6348">
        <v>2019</v>
      </c>
      <c r="L6348" t="s">
        <v>36</v>
      </c>
      <c r="M6348" t="s">
        <v>132</v>
      </c>
      <c r="N6348" t="s">
        <v>29</v>
      </c>
      <c r="O6348" t="s">
        <v>206</v>
      </c>
      <c r="P6348" s="1" t="s">
        <v>34</v>
      </c>
      <c r="Q6348">
        <v>140.4</v>
      </c>
    </row>
    <row r="6349" spans="11:17" x14ac:dyDescent="0.3">
      <c r="K6349">
        <v>2019</v>
      </c>
      <c r="L6349" t="s">
        <v>36</v>
      </c>
      <c r="M6349" t="s">
        <v>132</v>
      </c>
      <c r="N6349" t="s">
        <v>29</v>
      </c>
      <c r="O6349" t="s">
        <v>206</v>
      </c>
      <c r="P6349" s="1" t="s">
        <v>33</v>
      </c>
      <c r="Q6349">
        <v>139.5</v>
      </c>
    </row>
    <row r="6350" spans="11:17" x14ac:dyDescent="0.3">
      <c r="K6350">
        <v>2019</v>
      </c>
      <c r="L6350" t="s">
        <v>36</v>
      </c>
      <c r="M6350" t="s">
        <v>132</v>
      </c>
      <c r="N6350" t="s">
        <v>23</v>
      </c>
      <c r="O6350" t="s">
        <v>23</v>
      </c>
      <c r="P6350" s="1" t="s">
        <v>30</v>
      </c>
      <c r="Q6350">
        <v>150.4</v>
      </c>
    </row>
    <row r="6351" spans="11:17" x14ac:dyDescent="0.3">
      <c r="K6351">
        <v>2019</v>
      </c>
      <c r="L6351" t="s">
        <v>36</v>
      </c>
      <c r="M6351" t="s">
        <v>132</v>
      </c>
      <c r="N6351" t="s">
        <v>23</v>
      </c>
      <c r="O6351" t="s">
        <v>23</v>
      </c>
      <c r="P6351" s="1" t="s">
        <v>34</v>
      </c>
      <c r="Q6351">
        <v>146.19999999999999</v>
      </c>
    </row>
    <row r="6352" spans="11:17" x14ac:dyDescent="0.3">
      <c r="K6352">
        <v>2019</v>
      </c>
      <c r="L6352" t="s">
        <v>36</v>
      </c>
      <c r="M6352" t="s">
        <v>132</v>
      </c>
      <c r="N6352" t="s">
        <v>23</v>
      </c>
      <c r="O6352" t="s">
        <v>23</v>
      </c>
      <c r="P6352" s="1" t="s">
        <v>33</v>
      </c>
      <c r="Q6352">
        <v>139.19999999999999</v>
      </c>
    </row>
    <row r="6353" spans="11:17" x14ac:dyDescent="0.3">
      <c r="K6353">
        <v>2019</v>
      </c>
      <c r="L6353" t="s">
        <v>36</v>
      </c>
      <c r="M6353" t="s">
        <v>132</v>
      </c>
      <c r="N6353" t="s">
        <v>22</v>
      </c>
      <c r="O6353" t="s">
        <v>20</v>
      </c>
      <c r="P6353" s="1" t="s">
        <v>30</v>
      </c>
      <c r="Q6353">
        <v>150</v>
      </c>
    </row>
    <row r="6354" spans="11:17" x14ac:dyDescent="0.3">
      <c r="K6354">
        <v>2019</v>
      </c>
      <c r="L6354" t="s">
        <v>36</v>
      </c>
      <c r="M6354" t="s">
        <v>132</v>
      </c>
      <c r="N6354" t="s">
        <v>22</v>
      </c>
      <c r="O6354" t="s">
        <v>20</v>
      </c>
      <c r="P6354" s="1" t="s">
        <v>34</v>
      </c>
      <c r="Q6354">
        <v>143.80000000000001</v>
      </c>
    </row>
    <row r="6355" spans="11:17" x14ac:dyDescent="0.3">
      <c r="K6355">
        <v>2019</v>
      </c>
      <c r="L6355" t="s">
        <v>36</v>
      </c>
      <c r="M6355" t="s">
        <v>132</v>
      </c>
      <c r="N6355" t="s">
        <v>22</v>
      </c>
      <c r="O6355" t="s">
        <v>20</v>
      </c>
      <c r="P6355" s="1" t="s">
        <v>33</v>
      </c>
      <c r="Q6355">
        <v>136.80000000000001</v>
      </c>
    </row>
    <row r="6356" spans="11:17" x14ac:dyDescent="0.3">
      <c r="K6356">
        <v>2019</v>
      </c>
      <c r="L6356" t="s">
        <v>36</v>
      </c>
      <c r="M6356" t="s">
        <v>132</v>
      </c>
      <c r="N6356" t="s">
        <v>20</v>
      </c>
      <c r="O6356" t="s">
        <v>20</v>
      </c>
      <c r="P6356" s="1" t="s">
        <v>30</v>
      </c>
      <c r="Q6356">
        <v>0</v>
      </c>
    </row>
    <row r="6357" spans="11:17" x14ac:dyDescent="0.3">
      <c r="K6357">
        <v>2019</v>
      </c>
      <c r="L6357" t="s">
        <v>36</v>
      </c>
      <c r="M6357" t="s">
        <v>132</v>
      </c>
      <c r="N6357" t="s">
        <v>20</v>
      </c>
      <c r="O6357" t="s">
        <v>20</v>
      </c>
      <c r="P6357" s="1" t="s">
        <v>34</v>
      </c>
      <c r="Q6357">
        <v>149</v>
      </c>
    </row>
    <row r="6358" spans="11:17" x14ac:dyDescent="0.3">
      <c r="K6358">
        <v>2019</v>
      </c>
      <c r="L6358" t="s">
        <v>36</v>
      </c>
      <c r="M6358" t="s">
        <v>132</v>
      </c>
      <c r="N6358" t="s">
        <v>20</v>
      </c>
      <c r="O6358" t="s">
        <v>20</v>
      </c>
      <c r="P6358" s="1" t="s">
        <v>33</v>
      </c>
      <c r="Q6358">
        <v>149</v>
      </c>
    </row>
    <row r="6359" spans="11:17" x14ac:dyDescent="0.3">
      <c r="K6359">
        <v>2019</v>
      </c>
      <c r="L6359" t="s">
        <v>36</v>
      </c>
      <c r="M6359" t="s">
        <v>132</v>
      </c>
      <c r="N6359" t="s">
        <v>4</v>
      </c>
      <c r="O6359" t="s">
        <v>188</v>
      </c>
      <c r="P6359" s="1" t="s">
        <v>30</v>
      </c>
      <c r="Q6359">
        <v>154.1</v>
      </c>
    </row>
    <row r="6360" spans="11:17" x14ac:dyDescent="0.3">
      <c r="K6360">
        <v>2019</v>
      </c>
      <c r="L6360" t="s">
        <v>36</v>
      </c>
      <c r="M6360" t="s">
        <v>132</v>
      </c>
      <c r="N6360" t="s">
        <v>4</v>
      </c>
      <c r="O6360" t="s">
        <v>188</v>
      </c>
      <c r="P6360" s="1" t="s">
        <v>34</v>
      </c>
      <c r="Q6360">
        <v>153</v>
      </c>
    </row>
    <row r="6361" spans="11:17" x14ac:dyDescent="0.3">
      <c r="K6361">
        <v>2019</v>
      </c>
      <c r="L6361" t="s">
        <v>36</v>
      </c>
      <c r="M6361" t="s">
        <v>132</v>
      </c>
      <c r="N6361" t="s">
        <v>4</v>
      </c>
      <c r="O6361" t="s">
        <v>188</v>
      </c>
      <c r="P6361" s="1" t="s">
        <v>33</v>
      </c>
      <c r="Q6361">
        <v>151.1</v>
      </c>
    </row>
    <row r="6362" spans="11:17" x14ac:dyDescent="0.3">
      <c r="K6362">
        <v>2019</v>
      </c>
      <c r="L6362" t="s">
        <v>36</v>
      </c>
      <c r="M6362" t="s">
        <v>132</v>
      </c>
      <c r="N6362" t="s">
        <v>6</v>
      </c>
      <c r="O6362" t="s">
        <v>188</v>
      </c>
      <c r="P6362" s="1" t="s">
        <v>30</v>
      </c>
      <c r="Q6362">
        <v>142.5</v>
      </c>
    </row>
    <row r="6363" spans="11:17" x14ac:dyDescent="0.3">
      <c r="K6363">
        <v>2019</v>
      </c>
      <c r="L6363" t="s">
        <v>36</v>
      </c>
      <c r="M6363" t="s">
        <v>132</v>
      </c>
      <c r="N6363" t="s">
        <v>6</v>
      </c>
      <c r="O6363" t="s">
        <v>188</v>
      </c>
      <c r="P6363" s="1" t="s">
        <v>34</v>
      </c>
      <c r="Q6363">
        <v>142.30000000000001</v>
      </c>
    </row>
    <row r="6364" spans="11:17" x14ac:dyDescent="0.3">
      <c r="K6364">
        <v>2019</v>
      </c>
      <c r="L6364" t="s">
        <v>36</v>
      </c>
      <c r="M6364" t="s">
        <v>132</v>
      </c>
      <c r="N6364" t="s">
        <v>6</v>
      </c>
      <c r="O6364" t="s">
        <v>188</v>
      </c>
      <c r="P6364" s="1" t="s">
        <v>33</v>
      </c>
      <c r="Q6364">
        <v>141.9</v>
      </c>
    </row>
    <row r="6365" spans="11:17" x14ac:dyDescent="0.3">
      <c r="K6365">
        <v>2019</v>
      </c>
      <c r="L6365" t="s">
        <v>36</v>
      </c>
      <c r="M6365" t="s">
        <v>132</v>
      </c>
      <c r="N6365" t="s">
        <v>28</v>
      </c>
      <c r="O6365" t="s">
        <v>192</v>
      </c>
      <c r="P6365" s="1" t="s">
        <v>30</v>
      </c>
      <c r="Q6365">
        <v>142.4</v>
      </c>
    </row>
    <row r="6366" spans="11:17" x14ac:dyDescent="0.3">
      <c r="K6366">
        <v>2019</v>
      </c>
      <c r="L6366" t="s">
        <v>36</v>
      </c>
      <c r="M6366" t="s">
        <v>132</v>
      </c>
      <c r="N6366" t="s">
        <v>28</v>
      </c>
      <c r="O6366" t="s">
        <v>192</v>
      </c>
      <c r="P6366" s="1" t="s">
        <v>34</v>
      </c>
      <c r="Q6366">
        <v>137.69999999999999</v>
      </c>
    </row>
    <row r="6367" spans="11:17" x14ac:dyDescent="0.3">
      <c r="K6367">
        <v>2019</v>
      </c>
      <c r="L6367" t="s">
        <v>36</v>
      </c>
      <c r="M6367" t="s">
        <v>132</v>
      </c>
      <c r="N6367" t="s">
        <v>28</v>
      </c>
      <c r="O6367" t="s">
        <v>192</v>
      </c>
      <c r="P6367" s="1" t="s">
        <v>33</v>
      </c>
      <c r="Q6367">
        <v>132.80000000000001</v>
      </c>
    </row>
    <row r="6368" spans="11:17" x14ac:dyDescent="0.3">
      <c r="K6368">
        <v>2019</v>
      </c>
      <c r="L6368" t="s">
        <v>36</v>
      </c>
      <c r="M6368" t="s">
        <v>132</v>
      </c>
      <c r="N6368" t="s">
        <v>13</v>
      </c>
      <c r="O6368" t="s">
        <v>188</v>
      </c>
      <c r="P6368" s="1" t="s">
        <v>30</v>
      </c>
      <c r="Q6368">
        <v>137.4</v>
      </c>
    </row>
    <row r="6369" spans="11:17" x14ac:dyDescent="0.3">
      <c r="K6369">
        <v>2019</v>
      </c>
      <c r="L6369" t="s">
        <v>36</v>
      </c>
      <c r="M6369" t="s">
        <v>132</v>
      </c>
      <c r="N6369" t="s">
        <v>13</v>
      </c>
      <c r="O6369" t="s">
        <v>188</v>
      </c>
      <c r="P6369" s="1" t="s">
        <v>34</v>
      </c>
      <c r="Q6369">
        <v>133.69999999999999</v>
      </c>
    </row>
    <row r="6370" spans="11:17" x14ac:dyDescent="0.3">
      <c r="K6370">
        <v>2019</v>
      </c>
      <c r="L6370" t="s">
        <v>36</v>
      </c>
      <c r="M6370" t="s">
        <v>132</v>
      </c>
      <c r="N6370" t="s">
        <v>13</v>
      </c>
      <c r="O6370" t="s">
        <v>188</v>
      </c>
      <c r="P6370" s="1" t="s">
        <v>33</v>
      </c>
      <c r="Q6370">
        <v>128.5</v>
      </c>
    </row>
    <row r="6371" spans="11:17" x14ac:dyDescent="0.3">
      <c r="K6371">
        <v>2019</v>
      </c>
      <c r="L6371" t="s">
        <v>36</v>
      </c>
      <c r="M6371" t="s">
        <v>132</v>
      </c>
      <c r="N6371" t="s">
        <v>7</v>
      </c>
      <c r="O6371" t="s">
        <v>188</v>
      </c>
      <c r="P6371" s="1" t="s">
        <v>30</v>
      </c>
      <c r="Q6371">
        <v>124.1</v>
      </c>
    </row>
    <row r="6372" spans="11:17" x14ac:dyDescent="0.3">
      <c r="K6372">
        <v>2019</v>
      </c>
      <c r="L6372" t="s">
        <v>36</v>
      </c>
      <c r="M6372" t="s">
        <v>132</v>
      </c>
      <c r="N6372" t="s">
        <v>7</v>
      </c>
      <c r="O6372" t="s">
        <v>188</v>
      </c>
      <c r="P6372" s="1" t="s">
        <v>34</v>
      </c>
      <c r="Q6372">
        <v>122</v>
      </c>
    </row>
    <row r="6373" spans="11:17" x14ac:dyDescent="0.3">
      <c r="K6373">
        <v>2019</v>
      </c>
      <c r="L6373" t="s">
        <v>36</v>
      </c>
      <c r="M6373" t="s">
        <v>132</v>
      </c>
      <c r="N6373" t="s">
        <v>7</v>
      </c>
      <c r="O6373" t="s">
        <v>188</v>
      </c>
      <c r="P6373" s="1" t="s">
        <v>33</v>
      </c>
      <c r="Q6373">
        <v>118.4</v>
      </c>
    </row>
    <row r="6374" spans="11:17" x14ac:dyDescent="0.3">
      <c r="K6374">
        <v>2019</v>
      </c>
      <c r="L6374" t="s">
        <v>36</v>
      </c>
      <c r="M6374" t="s">
        <v>132</v>
      </c>
      <c r="N6374" t="s">
        <v>16</v>
      </c>
      <c r="O6374" t="s">
        <v>192</v>
      </c>
      <c r="P6374" s="1" t="s">
        <v>30</v>
      </c>
      <c r="Q6374">
        <v>162.9</v>
      </c>
    </row>
    <row r="6375" spans="11:17" x14ac:dyDescent="0.3">
      <c r="K6375">
        <v>2019</v>
      </c>
      <c r="L6375" t="s">
        <v>36</v>
      </c>
      <c r="M6375" t="s">
        <v>132</v>
      </c>
      <c r="N6375" t="s">
        <v>16</v>
      </c>
      <c r="O6375" t="s">
        <v>192</v>
      </c>
      <c r="P6375" s="1" t="s">
        <v>34</v>
      </c>
      <c r="Q6375">
        <v>163.5</v>
      </c>
    </row>
    <row r="6376" spans="11:17" x14ac:dyDescent="0.3">
      <c r="K6376">
        <v>2019</v>
      </c>
      <c r="L6376" t="s">
        <v>36</v>
      </c>
      <c r="M6376" t="s">
        <v>132</v>
      </c>
      <c r="N6376" t="s">
        <v>16</v>
      </c>
      <c r="O6376" t="s">
        <v>192</v>
      </c>
      <c r="P6376" s="1" t="s">
        <v>33</v>
      </c>
      <c r="Q6376">
        <v>165.3</v>
      </c>
    </row>
    <row r="6377" spans="11:17" x14ac:dyDescent="0.3">
      <c r="K6377">
        <v>2019</v>
      </c>
      <c r="L6377" t="s">
        <v>36</v>
      </c>
      <c r="M6377" t="s">
        <v>132</v>
      </c>
      <c r="N6377" t="s">
        <v>27</v>
      </c>
      <c r="O6377" t="s">
        <v>192</v>
      </c>
      <c r="P6377" s="1" t="s">
        <v>30</v>
      </c>
      <c r="Q6377">
        <v>134</v>
      </c>
    </row>
    <row r="6378" spans="11:17" x14ac:dyDescent="0.3">
      <c r="K6378">
        <v>2019</v>
      </c>
      <c r="L6378" t="s">
        <v>36</v>
      </c>
      <c r="M6378" t="s">
        <v>132</v>
      </c>
      <c r="N6378" t="s">
        <v>27</v>
      </c>
      <c r="O6378" t="s">
        <v>192</v>
      </c>
      <c r="P6378" s="1" t="s">
        <v>34</v>
      </c>
      <c r="Q6378">
        <v>133.4</v>
      </c>
    </row>
    <row r="6379" spans="11:17" x14ac:dyDescent="0.3">
      <c r="K6379">
        <v>2019</v>
      </c>
      <c r="L6379" t="s">
        <v>36</v>
      </c>
      <c r="M6379" t="s">
        <v>132</v>
      </c>
      <c r="N6379" t="s">
        <v>27</v>
      </c>
      <c r="O6379" t="s">
        <v>192</v>
      </c>
      <c r="P6379" s="1" t="s">
        <v>33</v>
      </c>
      <c r="Q6379">
        <v>132.5</v>
      </c>
    </row>
    <row r="6380" spans="11:17" x14ac:dyDescent="0.3">
      <c r="K6380">
        <v>2019</v>
      </c>
      <c r="L6380" t="s">
        <v>36</v>
      </c>
      <c r="M6380" t="s">
        <v>132</v>
      </c>
      <c r="N6380" t="s">
        <v>14</v>
      </c>
      <c r="O6380" t="s">
        <v>188</v>
      </c>
      <c r="P6380" s="1" t="s">
        <v>30</v>
      </c>
      <c r="Q6380">
        <v>156.4</v>
      </c>
    </row>
    <row r="6381" spans="11:17" x14ac:dyDescent="0.3">
      <c r="K6381">
        <v>2019</v>
      </c>
      <c r="L6381" t="s">
        <v>36</v>
      </c>
      <c r="M6381" t="s">
        <v>132</v>
      </c>
      <c r="N6381" t="s">
        <v>14</v>
      </c>
      <c r="O6381" t="s">
        <v>188</v>
      </c>
      <c r="P6381" s="1" t="s">
        <v>34</v>
      </c>
      <c r="Q6381">
        <v>155.19999999999999</v>
      </c>
    </row>
    <row r="6382" spans="11:17" x14ac:dyDescent="0.3">
      <c r="K6382">
        <v>2019</v>
      </c>
      <c r="L6382" t="s">
        <v>36</v>
      </c>
      <c r="M6382" t="s">
        <v>132</v>
      </c>
      <c r="N6382" t="s">
        <v>14</v>
      </c>
      <c r="O6382" t="s">
        <v>188</v>
      </c>
      <c r="P6382" s="1" t="s">
        <v>33</v>
      </c>
      <c r="Q6382">
        <v>153.9</v>
      </c>
    </row>
    <row r="6383" spans="11:17" x14ac:dyDescent="0.3">
      <c r="K6383">
        <v>2019</v>
      </c>
      <c r="L6383" t="s">
        <v>36</v>
      </c>
      <c r="M6383" t="s">
        <v>132</v>
      </c>
      <c r="N6383" t="s">
        <v>10</v>
      </c>
      <c r="O6383" t="s">
        <v>188</v>
      </c>
      <c r="P6383" s="1" t="s">
        <v>30</v>
      </c>
      <c r="Q6383">
        <v>122.3</v>
      </c>
    </row>
    <row r="6384" spans="11:17" x14ac:dyDescent="0.3">
      <c r="K6384">
        <v>2019</v>
      </c>
      <c r="L6384" t="s">
        <v>36</v>
      </c>
      <c r="M6384" t="s">
        <v>132</v>
      </c>
      <c r="N6384" t="s">
        <v>10</v>
      </c>
      <c r="O6384" t="s">
        <v>188</v>
      </c>
      <c r="P6384" s="1" t="s">
        <v>34</v>
      </c>
      <c r="Q6384">
        <v>121.8</v>
      </c>
    </row>
    <row r="6385" spans="11:17" x14ac:dyDescent="0.3">
      <c r="K6385">
        <v>2019</v>
      </c>
      <c r="L6385" t="s">
        <v>36</v>
      </c>
      <c r="M6385" t="s">
        <v>132</v>
      </c>
      <c r="N6385" t="s">
        <v>10</v>
      </c>
      <c r="O6385" t="s">
        <v>188</v>
      </c>
      <c r="P6385" s="1" t="s">
        <v>33</v>
      </c>
      <c r="Q6385">
        <v>120.7</v>
      </c>
    </row>
    <row r="6386" spans="11:17" x14ac:dyDescent="0.3">
      <c r="K6386">
        <v>2019</v>
      </c>
      <c r="L6386" t="s">
        <v>36</v>
      </c>
      <c r="M6386" t="s">
        <v>132</v>
      </c>
      <c r="N6386" t="s">
        <v>25</v>
      </c>
      <c r="O6386" t="s">
        <v>195</v>
      </c>
      <c r="P6386" s="1" t="s">
        <v>30</v>
      </c>
      <c r="Q6386">
        <v>143.80000000000001</v>
      </c>
    </row>
    <row r="6387" spans="11:17" x14ac:dyDescent="0.3">
      <c r="K6387">
        <v>2019</v>
      </c>
      <c r="L6387" t="s">
        <v>36</v>
      </c>
      <c r="M6387" t="s">
        <v>132</v>
      </c>
      <c r="N6387" t="s">
        <v>25</v>
      </c>
      <c r="O6387" t="s">
        <v>195</v>
      </c>
      <c r="P6387" s="1" t="s">
        <v>34</v>
      </c>
      <c r="Q6387">
        <v>137.69999999999999</v>
      </c>
    </row>
    <row r="6388" spans="11:17" x14ac:dyDescent="0.3">
      <c r="K6388">
        <v>2019</v>
      </c>
      <c r="L6388" t="s">
        <v>36</v>
      </c>
      <c r="M6388" t="s">
        <v>132</v>
      </c>
      <c r="N6388" t="s">
        <v>25</v>
      </c>
      <c r="O6388" t="s">
        <v>195</v>
      </c>
      <c r="P6388" s="1" t="s">
        <v>33</v>
      </c>
      <c r="Q6388">
        <v>133</v>
      </c>
    </row>
    <row r="6389" spans="11:17" x14ac:dyDescent="0.3">
      <c r="K6389">
        <v>2019</v>
      </c>
      <c r="L6389" t="s">
        <v>36</v>
      </c>
      <c r="M6389" t="s">
        <v>132</v>
      </c>
      <c r="N6389" t="s">
        <v>12</v>
      </c>
      <c r="O6389" t="s">
        <v>188</v>
      </c>
      <c r="P6389" s="1" t="s">
        <v>30</v>
      </c>
      <c r="Q6389">
        <v>138.9</v>
      </c>
    </row>
    <row r="6390" spans="11:17" x14ac:dyDescent="0.3">
      <c r="K6390">
        <v>2019</v>
      </c>
      <c r="L6390" t="s">
        <v>36</v>
      </c>
      <c r="M6390" t="s">
        <v>132</v>
      </c>
      <c r="N6390" t="s">
        <v>12</v>
      </c>
      <c r="O6390" t="s">
        <v>188</v>
      </c>
      <c r="P6390" s="1" t="s">
        <v>34</v>
      </c>
      <c r="Q6390">
        <v>139.5</v>
      </c>
    </row>
    <row r="6391" spans="11:17" x14ac:dyDescent="0.3">
      <c r="K6391">
        <v>2019</v>
      </c>
      <c r="L6391" t="s">
        <v>36</v>
      </c>
      <c r="M6391" t="s">
        <v>132</v>
      </c>
      <c r="N6391" t="s">
        <v>12</v>
      </c>
      <c r="O6391" t="s">
        <v>188</v>
      </c>
      <c r="P6391" s="1" t="s">
        <v>33</v>
      </c>
      <c r="Q6391">
        <v>140.69999999999999</v>
      </c>
    </row>
    <row r="6392" spans="11:17" x14ac:dyDescent="0.3">
      <c r="K6392">
        <v>2019</v>
      </c>
      <c r="L6392" t="s">
        <v>36</v>
      </c>
      <c r="M6392" t="s">
        <v>132</v>
      </c>
      <c r="N6392" t="s">
        <v>11</v>
      </c>
      <c r="O6392" t="s">
        <v>188</v>
      </c>
      <c r="P6392" s="1" t="s">
        <v>30</v>
      </c>
      <c r="Q6392">
        <v>108.3</v>
      </c>
    </row>
    <row r="6393" spans="11:17" x14ac:dyDescent="0.3">
      <c r="K6393">
        <v>2019</v>
      </c>
      <c r="L6393" t="s">
        <v>36</v>
      </c>
      <c r="M6393" t="s">
        <v>132</v>
      </c>
      <c r="N6393" t="s">
        <v>11</v>
      </c>
      <c r="O6393" t="s">
        <v>188</v>
      </c>
      <c r="P6393" s="1" t="s">
        <v>34</v>
      </c>
      <c r="Q6393">
        <v>109</v>
      </c>
    </row>
    <row r="6394" spans="11:17" x14ac:dyDescent="0.3">
      <c r="K6394">
        <v>2019</v>
      </c>
      <c r="L6394" t="s">
        <v>36</v>
      </c>
      <c r="M6394" t="s">
        <v>132</v>
      </c>
      <c r="N6394" t="s">
        <v>11</v>
      </c>
      <c r="O6394" t="s">
        <v>188</v>
      </c>
      <c r="P6394" s="1" t="s">
        <v>33</v>
      </c>
      <c r="Q6394">
        <v>110.4</v>
      </c>
    </row>
    <row r="6395" spans="11:17" x14ac:dyDescent="0.3">
      <c r="K6395">
        <v>2019</v>
      </c>
      <c r="L6395" t="s">
        <v>36</v>
      </c>
      <c r="M6395" t="s">
        <v>132</v>
      </c>
      <c r="N6395" t="s">
        <v>24</v>
      </c>
      <c r="O6395" t="s">
        <v>191</v>
      </c>
      <c r="P6395" s="1" t="s">
        <v>30</v>
      </c>
      <c r="Q6395">
        <v>129.9</v>
      </c>
    </row>
    <row r="6396" spans="11:17" x14ac:dyDescent="0.3">
      <c r="K6396">
        <v>2019</v>
      </c>
      <c r="L6396" t="s">
        <v>36</v>
      </c>
      <c r="M6396" t="s">
        <v>132</v>
      </c>
      <c r="N6396" t="s">
        <v>24</v>
      </c>
      <c r="O6396" t="s">
        <v>191</v>
      </c>
      <c r="P6396" s="1" t="s">
        <v>34</v>
      </c>
      <c r="Q6396">
        <v>124.6</v>
      </c>
    </row>
    <row r="6397" spans="11:17" x14ac:dyDescent="0.3">
      <c r="K6397">
        <v>2019</v>
      </c>
      <c r="L6397" t="s">
        <v>36</v>
      </c>
      <c r="M6397" t="s">
        <v>132</v>
      </c>
      <c r="N6397" t="s">
        <v>24</v>
      </c>
      <c r="O6397" t="s">
        <v>191</v>
      </c>
      <c r="P6397" s="1" t="s">
        <v>33</v>
      </c>
      <c r="Q6397">
        <v>119.9</v>
      </c>
    </row>
    <row r="6398" spans="11:17" x14ac:dyDescent="0.3">
      <c r="K6398">
        <v>2019</v>
      </c>
      <c r="L6398" t="s">
        <v>36</v>
      </c>
      <c r="M6398" t="s">
        <v>132</v>
      </c>
      <c r="N6398" t="s">
        <v>9</v>
      </c>
      <c r="O6398" t="s">
        <v>188</v>
      </c>
      <c r="P6398" s="1" t="s">
        <v>30</v>
      </c>
      <c r="Q6398">
        <v>128.19999999999999</v>
      </c>
    </row>
    <row r="6399" spans="11:17" x14ac:dyDescent="0.3">
      <c r="K6399">
        <v>2019</v>
      </c>
      <c r="L6399" t="s">
        <v>36</v>
      </c>
      <c r="M6399" t="s">
        <v>132</v>
      </c>
      <c r="N6399" t="s">
        <v>9</v>
      </c>
      <c r="O6399" t="s">
        <v>188</v>
      </c>
      <c r="P6399" s="1" t="s">
        <v>34</v>
      </c>
      <c r="Q6399">
        <v>132.6</v>
      </c>
    </row>
    <row r="6400" spans="11:17" x14ac:dyDescent="0.3">
      <c r="K6400">
        <v>2019</v>
      </c>
      <c r="L6400" t="s">
        <v>36</v>
      </c>
      <c r="M6400" t="s">
        <v>132</v>
      </c>
      <c r="N6400" t="s">
        <v>9</v>
      </c>
      <c r="O6400" t="s">
        <v>188</v>
      </c>
      <c r="P6400" s="1" t="s">
        <v>33</v>
      </c>
      <c r="Q6400">
        <v>141.19999999999999</v>
      </c>
    </row>
    <row r="6401" spans="11:17" x14ac:dyDescent="0.3">
      <c r="K6401">
        <v>2019</v>
      </c>
      <c r="L6401" t="s">
        <v>38</v>
      </c>
      <c r="M6401" t="s">
        <v>133</v>
      </c>
      <c r="N6401" t="s">
        <v>3</v>
      </c>
      <c r="O6401" t="s">
        <v>188</v>
      </c>
      <c r="P6401" s="1" t="s">
        <v>30</v>
      </c>
      <c r="Q6401">
        <v>137.4</v>
      </c>
    </row>
    <row r="6402" spans="11:17" x14ac:dyDescent="0.3">
      <c r="K6402">
        <v>2019</v>
      </c>
      <c r="L6402" t="s">
        <v>38</v>
      </c>
      <c r="M6402" t="s">
        <v>133</v>
      </c>
      <c r="N6402" t="s">
        <v>3</v>
      </c>
      <c r="O6402" t="s">
        <v>188</v>
      </c>
      <c r="P6402" s="1" t="s">
        <v>34</v>
      </c>
      <c r="Q6402">
        <v>138.30000000000001</v>
      </c>
    </row>
    <row r="6403" spans="11:17" x14ac:dyDescent="0.3">
      <c r="K6403">
        <v>2019</v>
      </c>
      <c r="L6403" t="s">
        <v>38</v>
      </c>
      <c r="M6403" t="s">
        <v>133</v>
      </c>
      <c r="N6403" t="s">
        <v>3</v>
      </c>
      <c r="O6403" t="s">
        <v>188</v>
      </c>
      <c r="P6403" s="1" t="s">
        <v>33</v>
      </c>
      <c r="Q6403">
        <v>140.4</v>
      </c>
    </row>
    <row r="6404" spans="11:17" x14ac:dyDescent="0.3">
      <c r="K6404">
        <v>2019</v>
      </c>
      <c r="L6404" t="s">
        <v>38</v>
      </c>
      <c r="M6404" t="s">
        <v>133</v>
      </c>
      <c r="N6404" t="s">
        <v>17</v>
      </c>
      <c r="O6404" t="s">
        <v>189</v>
      </c>
      <c r="P6404" s="1" t="s">
        <v>30</v>
      </c>
      <c r="Q6404">
        <v>151.30000000000001</v>
      </c>
    </row>
    <row r="6405" spans="11:17" x14ac:dyDescent="0.3">
      <c r="K6405">
        <v>2019</v>
      </c>
      <c r="L6405" t="s">
        <v>38</v>
      </c>
      <c r="M6405" t="s">
        <v>133</v>
      </c>
      <c r="N6405" t="s">
        <v>17</v>
      </c>
      <c r="O6405" t="s">
        <v>189</v>
      </c>
      <c r="P6405" s="1" t="s">
        <v>34</v>
      </c>
      <c r="Q6405">
        <v>148.4</v>
      </c>
    </row>
    <row r="6406" spans="11:17" x14ac:dyDescent="0.3">
      <c r="K6406">
        <v>2019</v>
      </c>
      <c r="L6406" t="s">
        <v>38</v>
      </c>
      <c r="M6406" t="s">
        <v>133</v>
      </c>
      <c r="N6406" t="s">
        <v>17</v>
      </c>
      <c r="O6406" t="s">
        <v>189</v>
      </c>
      <c r="P6406" s="1" t="s">
        <v>33</v>
      </c>
      <c r="Q6406">
        <v>144</v>
      </c>
    </row>
    <row r="6407" spans="11:17" x14ac:dyDescent="0.3">
      <c r="K6407">
        <v>2019</v>
      </c>
      <c r="L6407" t="s">
        <v>38</v>
      </c>
      <c r="M6407" t="s">
        <v>133</v>
      </c>
      <c r="N6407" t="s">
        <v>19</v>
      </c>
      <c r="O6407" t="s">
        <v>189</v>
      </c>
      <c r="P6407" s="1" t="s">
        <v>30</v>
      </c>
      <c r="Q6407">
        <v>150.69999999999999</v>
      </c>
    </row>
    <row r="6408" spans="11:17" x14ac:dyDescent="0.3">
      <c r="K6408">
        <v>2019</v>
      </c>
      <c r="L6408" t="s">
        <v>38</v>
      </c>
      <c r="M6408" t="s">
        <v>133</v>
      </c>
      <c r="N6408" t="s">
        <v>19</v>
      </c>
      <c r="O6408" t="s">
        <v>189</v>
      </c>
      <c r="P6408" s="1" t="s">
        <v>34</v>
      </c>
      <c r="Q6408">
        <v>147.30000000000001</v>
      </c>
    </row>
    <row r="6409" spans="11:17" x14ac:dyDescent="0.3">
      <c r="K6409">
        <v>2019</v>
      </c>
      <c r="L6409" t="s">
        <v>38</v>
      </c>
      <c r="M6409" t="s">
        <v>133</v>
      </c>
      <c r="N6409" t="s">
        <v>19</v>
      </c>
      <c r="O6409" t="s">
        <v>189</v>
      </c>
      <c r="P6409" s="1" t="s">
        <v>33</v>
      </c>
      <c r="Q6409">
        <v>142.19999999999999</v>
      </c>
    </row>
    <row r="6410" spans="11:17" x14ac:dyDescent="0.3">
      <c r="K6410">
        <v>2019</v>
      </c>
      <c r="L6410" t="s">
        <v>38</v>
      </c>
      <c r="M6410" t="s">
        <v>133</v>
      </c>
      <c r="N6410" t="s">
        <v>26</v>
      </c>
      <c r="O6410" t="s">
        <v>26</v>
      </c>
      <c r="P6410" s="1" t="s">
        <v>30</v>
      </c>
      <c r="Q6410">
        <v>156.69999999999999</v>
      </c>
    </row>
    <row r="6411" spans="11:17" x14ac:dyDescent="0.3">
      <c r="K6411">
        <v>2019</v>
      </c>
      <c r="L6411" t="s">
        <v>38</v>
      </c>
      <c r="M6411" t="s">
        <v>133</v>
      </c>
      <c r="N6411" t="s">
        <v>26</v>
      </c>
      <c r="O6411" t="s">
        <v>26</v>
      </c>
      <c r="P6411" s="1" t="s">
        <v>34</v>
      </c>
      <c r="Q6411">
        <v>151.6</v>
      </c>
    </row>
    <row r="6412" spans="11:17" x14ac:dyDescent="0.3">
      <c r="K6412">
        <v>2019</v>
      </c>
      <c r="L6412" t="s">
        <v>38</v>
      </c>
      <c r="M6412" t="s">
        <v>133</v>
      </c>
      <c r="N6412" t="s">
        <v>26</v>
      </c>
      <c r="O6412" t="s">
        <v>26</v>
      </c>
      <c r="P6412" s="1" t="s">
        <v>33</v>
      </c>
      <c r="Q6412">
        <v>148</v>
      </c>
    </row>
    <row r="6413" spans="11:17" x14ac:dyDescent="0.3">
      <c r="K6413">
        <v>2019</v>
      </c>
      <c r="L6413" t="s">
        <v>38</v>
      </c>
      <c r="M6413" t="s">
        <v>133</v>
      </c>
      <c r="N6413" t="s">
        <v>5</v>
      </c>
      <c r="O6413" t="s">
        <v>188</v>
      </c>
      <c r="P6413" s="1" t="s">
        <v>30</v>
      </c>
      <c r="Q6413">
        <v>134.5</v>
      </c>
    </row>
    <row r="6414" spans="11:17" x14ac:dyDescent="0.3">
      <c r="K6414">
        <v>2019</v>
      </c>
      <c r="L6414" t="s">
        <v>38</v>
      </c>
      <c r="M6414" t="s">
        <v>133</v>
      </c>
      <c r="N6414" t="s">
        <v>5</v>
      </c>
      <c r="O6414" t="s">
        <v>188</v>
      </c>
      <c r="P6414" s="1" t="s">
        <v>34</v>
      </c>
      <c r="Q6414">
        <v>136</v>
      </c>
    </row>
    <row r="6415" spans="11:17" x14ac:dyDescent="0.3">
      <c r="K6415">
        <v>2019</v>
      </c>
      <c r="L6415" t="s">
        <v>38</v>
      </c>
      <c r="M6415" t="s">
        <v>133</v>
      </c>
      <c r="N6415" t="s">
        <v>5</v>
      </c>
      <c r="O6415" t="s">
        <v>188</v>
      </c>
      <c r="P6415" s="1" t="s">
        <v>33</v>
      </c>
      <c r="Q6415">
        <v>138.30000000000001</v>
      </c>
    </row>
    <row r="6416" spans="11:17" x14ac:dyDescent="0.3">
      <c r="K6416">
        <v>2019</v>
      </c>
      <c r="L6416" t="s">
        <v>38</v>
      </c>
      <c r="M6416" t="s">
        <v>133</v>
      </c>
      <c r="N6416" t="s">
        <v>15</v>
      </c>
      <c r="O6416" t="s">
        <v>188</v>
      </c>
      <c r="P6416" s="1" t="s">
        <v>30</v>
      </c>
      <c r="Q6416">
        <v>139.19999999999999</v>
      </c>
    </row>
    <row r="6417" spans="11:17" x14ac:dyDescent="0.3">
      <c r="K6417">
        <v>2019</v>
      </c>
      <c r="L6417" t="s">
        <v>38</v>
      </c>
      <c r="M6417" t="s">
        <v>133</v>
      </c>
      <c r="N6417" t="s">
        <v>15</v>
      </c>
      <c r="O6417" t="s">
        <v>188</v>
      </c>
      <c r="P6417" s="1" t="s">
        <v>34</v>
      </c>
      <c r="Q6417">
        <v>140.9</v>
      </c>
    </row>
    <row r="6418" spans="11:17" x14ac:dyDescent="0.3">
      <c r="K6418">
        <v>2019</v>
      </c>
      <c r="L6418" t="s">
        <v>38</v>
      </c>
      <c r="M6418" t="s">
        <v>133</v>
      </c>
      <c r="N6418" t="s">
        <v>15</v>
      </c>
      <c r="O6418" t="s">
        <v>188</v>
      </c>
      <c r="P6418" s="1" t="s">
        <v>33</v>
      </c>
      <c r="Q6418">
        <v>143.80000000000001</v>
      </c>
    </row>
    <row r="6419" spans="11:17" x14ac:dyDescent="0.3">
      <c r="K6419">
        <v>2019</v>
      </c>
      <c r="L6419" t="s">
        <v>38</v>
      </c>
      <c r="M6419" t="s">
        <v>133</v>
      </c>
      <c r="N6419" t="s">
        <v>18</v>
      </c>
      <c r="O6419" t="s">
        <v>189</v>
      </c>
      <c r="P6419" s="1" t="s">
        <v>30</v>
      </c>
      <c r="Q6419">
        <v>146.6</v>
      </c>
    </row>
    <row r="6420" spans="11:17" x14ac:dyDescent="0.3">
      <c r="K6420">
        <v>2019</v>
      </c>
      <c r="L6420" t="s">
        <v>38</v>
      </c>
      <c r="M6420" t="s">
        <v>133</v>
      </c>
      <c r="N6420" t="s">
        <v>18</v>
      </c>
      <c r="O6420" t="s">
        <v>189</v>
      </c>
      <c r="P6420" s="1" t="s">
        <v>34</v>
      </c>
      <c r="Q6420">
        <v>140.4</v>
      </c>
    </row>
    <row r="6421" spans="11:17" x14ac:dyDescent="0.3">
      <c r="K6421">
        <v>2019</v>
      </c>
      <c r="L6421" t="s">
        <v>38</v>
      </c>
      <c r="M6421" t="s">
        <v>133</v>
      </c>
      <c r="N6421" t="s">
        <v>18</v>
      </c>
      <c r="O6421" t="s">
        <v>189</v>
      </c>
      <c r="P6421" s="1" t="s">
        <v>33</v>
      </c>
      <c r="Q6421">
        <v>131.69999999999999</v>
      </c>
    </row>
    <row r="6422" spans="11:17" x14ac:dyDescent="0.3">
      <c r="K6422">
        <v>2019</v>
      </c>
      <c r="L6422" t="s">
        <v>38</v>
      </c>
      <c r="M6422" t="s">
        <v>133</v>
      </c>
      <c r="N6422" t="s">
        <v>8</v>
      </c>
      <c r="O6422" t="s">
        <v>188</v>
      </c>
      <c r="P6422" s="1" t="s">
        <v>30</v>
      </c>
      <c r="Q6422">
        <v>143.69999999999999</v>
      </c>
    </row>
    <row r="6423" spans="11:17" x14ac:dyDescent="0.3">
      <c r="K6423">
        <v>2019</v>
      </c>
      <c r="L6423" t="s">
        <v>38</v>
      </c>
      <c r="M6423" t="s">
        <v>133</v>
      </c>
      <c r="N6423" t="s">
        <v>8</v>
      </c>
      <c r="O6423" t="s">
        <v>188</v>
      </c>
      <c r="P6423" s="1" t="s">
        <v>34</v>
      </c>
      <c r="Q6423">
        <v>146.5</v>
      </c>
    </row>
    <row r="6424" spans="11:17" x14ac:dyDescent="0.3">
      <c r="K6424">
        <v>2019</v>
      </c>
      <c r="L6424" t="s">
        <v>38</v>
      </c>
      <c r="M6424" t="s">
        <v>133</v>
      </c>
      <c r="N6424" t="s">
        <v>8</v>
      </c>
      <c r="O6424" t="s">
        <v>188</v>
      </c>
      <c r="P6424" s="1" t="s">
        <v>33</v>
      </c>
      <c r="Q6424">
        <v>149.69999999999999</v>
      </c>
    </row>
    <row r="6425" spans="11:17" x14ac:dyDescent="0.3">
      <c r="K6425">
        <v>2019</v>
      </c>
      <c r="L6425" t="s">
        <v>38</v>
      </c>
      <c r="M6425" t="s">
        <v>133</v>
      </c>
      <c r="N6425" t="s">
        <v>21</v>
      </c>
      <c r="O6425" t="s">
        <v>190</v>
      </c>
      <c r="P6425" s="1" t="s">
        <v>30</v>
      </c>
      <c r="Q6425">
        <v>146.9</v>
      </c>
    </row>
    <row r="6426" spans="11:17" x14ac:dyDescent="0.3">
      <c r="K6426">
        <v>2019</v>
      </c>
      <c r="L6426" t="s">
        <v>38</v>
      </c>
      <c r="M6426" t="s">
        <v>133</v>
      </c>
      <c r="N6426" t="s">
        <v>21</v>
      </c>
      <c r="O6426" t="s">
        <v>190</v>
      </c>
      <c r="P6426" s="1" t="s">
        <v>34</v>
      </c>
      <c r="Q6426">
        <v>140.30000000000001</v>
      </c>
    </row>
    <row r="6427" spans="11:17" x14ac:dyDescent="0.3">
      <c r="K6427">
        <v>2019</v>
      </c>
      <c r="L6427" t="s">
        <v>38</v>
      </c>
      <c r="M6427" t="s">
        <v>133</v>
      </c>
      <c r="N6427" t="s">
        <v>21</v>
      </c>
      <c r="O6427" t="s">
        <v>190</v>
      </c>
      <c r="P6427" s="1" t="s">
        <v>33</v>
      </c>
      <c r="Q6427">
        <v>129.4</v>
      </c>
    </row>
    <row r="6428" spans="11:17" x14ac:dyDescent="0.3">
      <c r="K6428">
        <v>2019</v>
      </c>
      <c r="L6428" t="s">
        <v>38</v>
      </c>
      <c r="M6428" t="s">
        <v>133</v>
      </c>
      <c r="N6428" t="s">
        <v>29</v>
      </c>
      <c r="O6428" t="s">
        <v>206</v>
      </c>
      <c r="P6428" s="1" t="s">
        <v>30</v>
      </c>
      <c r="Q6428">
        <v>142.4</v>
      </c>
    </row>
    <row r="6429" spans="11:17" x14ac:dyDescent="0.3">
      <c r="K6429">
        <v>2019</v>
      </c>
      <c r="L6429" t="s">
        <v>38</v>
      </c>
      <c r="M6429" t="s">
        <v>133</v>
      </c>
      <c r="N6429" t="s">
        <v>29</v>
      </c>
      <c r="O6429" t="s">
        <v>206</v>
      </c>
      <c r="P6429" s="1" t="s">
        <v>34</v>
      </c>
      <c r="Q6429">
        <v>142</v>
      </c>
    </row>
    <row r="6430" spans="11:17" x14ac:dyDescent="0.3">
      <c r="K6430">
        <v>2019</v>
      </c>
      <c r="L6430" t="s">
        <v>38</v>
      </c>
      <c r="M6430" t="s">
        <v>133</v>
      </c>
      <c r="N6430" t="s">
        <v>29</v>
      </c>
      <c r="O6430" t="s">
        <v>206</v>
      </c>
      <c r="P6430" s="1" t="s">
        <v>33</v>
      </c>
      <c r="Q6430">
        <v>141.5</v>
      </c>
    </row>
    <row r="6431" spans="11:17" x14ac:dyDescent="0.3">
      <c r="K6431">
        <v>2019</v>
      </c>
      <c r="L6431" t="s">
        <v>38</v>
      </c>
      <c r="M6431" t="s">
        <v>133</v>
      </c>
      <c r="N6431" t="s">
        <v>23</v>
      </c>
      <c r="O6431" t="s">
        <v>23</v>
      </c>
      <c r="P6431" s="1" t="s">
        <v>30</v>
      </c>
      <c r="Q6431">
        <v>151.30000000000001</v>
      </c>
    </row>
    <row r="6432" spans="11:17" x14ac:dyDescent="0.3">
      <c r="K6432">
        <v>2019</v>
      </c>
      <c r="L6432" t="s">
        <v>38</v>
      </c>
      <c r="M6432" t="s">
        <v>133</v>
      </c>
      <c r="N6432" t="s">
        <v>23</v>
      </c>
      <c r="O6432" t="s">
        <v>23</v>
      </c>
      <c r="P6432" s="1" t="s">
        <v>34</v>
      </c>
      <c r="Q6432">
        <v>146.9</v>
      </c>
    </row>
    <row r="6433" spans="11:17" x14ac:dyDescent="0.3">
      <c r="K6433">
        <v>2019</v>
      </c>
      <c r="L6433" t="s">
        <v>38</v>
      </c>
      <c r="M6433" t="s">
        <v>133</v>
      </c>
      <c r="N6433" t="s">
        <v>23</v>
      </c>
      <c r="O6433" t="s">
        <v>23</v>
      </c>
      <c r="P6433" s="1" t="s">
        <v>33</v>
      </c>
      <c r="Q6433">
        <v>139.80000000000001</v>
      </c>
    </row>
    <row r="6434" spans="11:17" x14ac:dyDescent="0.3">
      <c r="K6434">
        <v>2019</v>
      </c>
      <c r="L6434" t="s">
        <v>38</v>
      </c>
      <c r="M6434" t="s">
        <v>133</v>
      </c>
      <c r="N6434" t="s">
        <v>22</v>
      </c>
      <c r="O6434" t="s">
        <v>20</v>
      </c>
      <c r="P6434" s="1" t="s">
        <v>30</v>
      </c>
      <c r="Q6434">
        <v>149.5</v>
      </c>
    </row>
    <row r="6435" spans="11:17" x14ac:dyDescent="0.3">
      <c r="K6435">
        <v>2019</v>
      </c>
      <c r="L6435" t="s">
        <v>38</v>
      </c>
      <c r="M6435" t="s">
        <v>133</v>
      </c>
      <c r="N6435" t="s">
        <v>22</v>
      </c>
      <c r="O6435" t="s">
        <v>20</v>
      </c>
      <c r="P6435" s="1" t="s">
        <v>34</v>
      </c>
      <c r="Q6435">
        <v>143.69999999999999</v>
      </c>
    </row>
    <row r="6436" spans="11:17" x14ac:dyDescent="0.3">
      <c r="K6436">
        <v>2019</v>
      </c>
      <c r="L6436" t="s">
        <v>38</v>
      </c>
      <c r="M6436" t="s">
        <v>133</v>
      </c>
      <c r="N6436" t="s">
        <v>22</v>
      </c>
      <c r="O6436" t="s">
        <v>20</v>
      </c>
      <c r="P6436" s="1" t="s">
        <v>33</v>
      </c>
      <c r="Q6436">
        <v>137.19999999999999</v>
      </c>
    </row>
    <row r="6437" spans="11:17" x14ac:dyDescent="0.3">
      <c r="K6437">
        <v>2019</v>
      </c>
      <c r="L6437" t="s">
        <v>38</v>
      </c>
      <c r="M6437" t="s">
        <v>133</v>
      </c>
      <c r="N6437" t="s">
        <v>20</v>
      </c>
      <c r="O6437" t="s">
        <v>20</v>
      </c>
      <c r="P6437" s="1" t="s">
        <v>30</v>
      </c>
      <c r="Q6437">
        <v>0</v>
      </c>
    </row>
    <row r="6438" spans="11:17" x14ac:dyDescent="0.3">
      <c r="K6438">
        <v>2019</v>
      </c>
      <c r="L6438" t="s">
        <v>38</v>
      </c>
      <c r="M6438" t="s">
        <v>133</v>
      </c>
      <c r="N6438" t="s">
        <v>20</v>
      </c>
      <c r="O6438" t="s">
        <v>20</v>
      </c>
      <c r="P6438" s="1" t="s">
        <v>34</v>
      </c>
      <c r="Q6438">
        <v>150.1</v>
      </c>
    </row>
    <row r="6439" spans="11:17" x14ac:dyDescent="0.3">
      <c r="K6439">
        <v>2019</v>
      </c>
      <c r="L6439" t="s">
        <v>38</v>
      </c>
      <c r="M6439" t="s">
        <v>133</v>
      </c>
      <c r="N6439" t="s">
        <v>20</v>
      </c>
      <c r="O6439" t="s">
        <v>20</v>
      </c>
      <c r="P6439" s="1" t="s">
        <v>33</v>
      </c>
      <c r="Q6439">
        <v>150.1</v>
      </c>
    </row>
    <row r="6440" spans="11:17" x14ac:dyDescent="0.3">
      <c r="K6440">
        <v>2019</v>
      </c>
      <c r="L6440" t="s">
        <v>38</v>
      </c>
      <c r="M6440" t="s">
        <v>133</v>
      </c>
      <c r="N6440" t="s">
        <v>4</v>
      </c>
      <c r="O6440" t="s">
        <v>188</v>
      </c>
      <c r="P6440" s="1" t="s">
        <v>30</v>
      </c>
      <c r="Q6440">
        <v>159.5</v>
      </c>
    </row>
    <row r="6441" spans="11:17" x14ac:dyDescent="0.3">
      <c r="K6441">
        <v>2019</v>
      </c>
      <c r="L6441" t="s">
        <v>38</v>
      </c>
      <c r="M6441" t="s">
        <v>133</v>
      </c>
      <c r="N6441" t="s">
        <v>4</v>
      </c>
      <c r="O6441" t="s">
        <v>188</v>
      </c>
      <c r="P6441" s="1" t="s">
        <v>34</v>
      </c>
      <c r="Q6441">
        <v>158.5</v>
      </c>
    </row>
    <row r="6442" spans="11:17" x14ac:dyDescent="0.3">
      <c r="K6442">
        <v>2019</v>
      </c>
      <c r="L6442" t="s">
        <v>38</v>
      </c>
      <c r="M6442" t="s">
        <v>133</v>
      </c>
      <c r="N6442" t="s">
        <v>4</v>
      </c>
      <c r="O6442" t="s">
        <v>188</v>
      </c>
      <c r="P6442" s="1" t="s">
        <v>33</v>
      </c>
      <c r="Q6442">
        <v>156.69999999999999</v>
      </c>
    </row>
    <row r="6443" spans="11:17" x14ac:dyDescent="0.3">
      <c r="K6443">
        <v>2019</v>
      </c>
      <c r="L6443" t="s">
        <v>38</v>
      </c>
      <c r="M6443" t="s">
        <v>133</v>
      </c>
      <c r="N6443" t="s">
        <v>6</v>
      </c>
      <c r="O6443" t="s">
        <v>188</v>
      </c>
      <c r="P6443" s="1" t="s">
        <v>30</v>
      </c>
      <c r="Q6443">
        <v>142.6</v>
      </c>
    </row>
    <row r="6444" spans="11:17" x14ac:dyDescent="0.3">
      <c r="K6444">
        <v>2019</v>
      </c>
      <c r="L6444" t="s">
        <v>38</v>
      </c>
      <c r="M6444" t="s">
        <v>133</v>
      </c>
      <c r="N6444" t="s">
        <v>6</v>
      </c>
      <c r="O6444" t="s">
        <v>188</v>
      </c>
      <c r="P6444" s="1" t="s">
        <v>34</v>
      </c>
      <c r="Q6444">
        <v>142.5</v>
      </c>
    </row>
    <row r="6445" spans="11:17" x14ac:dyDescent="0.3">
      <c r="K6445">
        <v>2019</v>
      </c>
      <c r="L6445" t="s">
        <v>38</v>
      </c>
      <c r="M6445" t="s">
        <v>133</v>
      </c>
      <c r="N6445" t="s">
        <v>6</v>
      </c>
      <c r="O6445" t="s">
        <v>188</v>
      </c>
      <c r="P6445" s="1" t="s">
        <v>33</v>
      </c>
      <c r="Q6445">
        <v>142.4</v>
      </c>
    </row>
    <row r="6446" spans="11:17" x14ac:dyDescent="0.3">
      <c r="K6446">
        <v>2019</v>
      </c>
      <c r="L6446" t="s">
        <v>38</v>
      </c>
      <c r="M6446" t="s">
        <v>133</v>
      </c>
      <c r="N6446" t="s">
        <v>28</v>
      </c>
      <c r="O6446" t="s">
        <v>192</v>
      </c>
      <c r="P6446" s="1" t="s">
        <v>30</v>
      </c>
      <c r="Q6446">
        <v>142.9</v>
      </c>
    </row>
    <row r="6447" spans="11:17" x14ac:dyDescent="0.3">
      <c r="K6447">
        <v>2019</v>
      </c>
      <c r="L6447" t="s">
        <v>38</v>
      </c>
      <c r="M6447" t="s">
        <v>133</v>
      </c>
      <c r="N6447" t="s">
        <v>28</v>
      </c>
      <c r="O6447" t="s">
        <v>192</v>
      </c>
      <c r="P6447" s="1" t="s">
        <v>34</v>
      </c>
      <c r="Q6447">
        <v>138.19999999999999</v>
      </c>
    </row>
    <row r="6448" spans="11:17" x14ac:dyDescent="0.3">
      <c r="K6448">
        <v>2019</v>
      </c>
      <c r="L6448" t="s">
        <v>38</v>
      </c>
      <c r="M6448" t="s">
        <v>133</v>
      </c>
      <c r="N6448" t="s">
        <v>28</v>
      </c>
      <c r="O6448" t="s">
        <v>192</v>
      </c>
      <c r="P6448" s="1" t="s">
        <v>33</v>
      </c>
      <c r="Q6448">
        <v>133.30000000000001</v>
      </c>
    </row>
    <row r="6449" spans="11:17" x14ac:dyDescent="0.3">
      <c r="K6449">
        <v>2019</v>
      </c>
      <c r="L6449" t="s">
        <v>38</v>
      </c>
      <c r="M6449" t="s">
        <v>133</v>
      </c>
      <c r="N6449" t="s">
        <v>13</v>
      </c>
      <c r="O6449" t="s">
        <v>188</v>
      </c>
      <c r="P6449" s="1" t="s">
        <v>30</v>
      </c>
      <c r="Q6449">
        <v>137.69999999999999</v>
      </c>
    </row>
    <row r="6450" spans="11:17" x14ac:dyDescent="0.3">
      <c r="K6450">
        <v>2019</v>
      </c>
      <c r="L6450" t="s">
        <v>38</v>
      </c>
      <c r="M6450" t="s">
        <v>133</v>
      </c>
      <c r="N6450" t="s">
        <v>13</v>
      </c>
      <c r="O6450" t="s">
        <v>188</v>
      </c>
      <c r="P6450" s="1" t="s">
        <v>34</v>
      </c>
      <c r="Q6450">
        <v>134</v>
      </c>
    </row>
    <row r="6451" spans="11:17" x14ac:dyDescent="0.3">
      <c r="K6451">
        <v>2019</v>
      </c>
      <c r="L6451" t="s">
        <v>38</v>
      </c>
      <c r="M6451" t="s">
        <v>133</v>
      </c>
      <c r="N6451" t="s">
        <v>13</v>
      </c>
      <c r="O6451" t="s">
        <v>188</v>
      </c>
      <c r="P6451" s="1" t="s">
        <v>33</v>
      </c>
      <c r="Q6451">
        <v>128.9</v>
      </c>
    </row>
    <row r="6452" spans="11:17" x14ac:dyDescent="0.3">
      <c r="K6452">
        <v>2019</v>
      </c>
      <c r="L6452" t="s">
        <v>38</v>
      </c>
      <c r="M6452" t="s">
        <v>133</v>
      </c>
      <c r="N6452" t="s">
        <v>7</v>
      </c>
      <c r="O6452" t="s">
        <v>188</v>
      </c>
      <c r="P6452" s="1" t="s">
        <v>30</v>
      </c>
      <c r="Q6452">
        <v>124</v>
      </c>
    </row>
    <row r="6453" spans="11:17" x14ac:dyDescent="0.3">
      <c r="K6453">
        <v>2019</v>
      </c>
      <c r="L6453" t="s">
        <v>38</v>
      </c>
      <c r="M6453" t="s">
        <v>133</v>
      </c>
      <c r="N6453" t="s">
        <v>7</v>
      </c>
      <c r="O6453" t="s">
        <v>188</v>
      </c>
      <c r="P6453" s="1" t="s">
        <v>34</v>
      </c>
      <c r="Q6453">
        <v>122</v>
      </c>
    </row>
    <row r="6454" spans="11:17" x14ac:dyDescent="0.3">
      <c r="K6454">
        <v>2019</v>
      </c>
      <c r="L6454" t="s">
        <v>38</v>
      </c>
      <c r="M6454" t="s">
        <v>133</v>
      </c>
      <c r="N6454" t="s">
        <v>7</v>
      </c>
      <c r="O6454" t="s">
        <v>188</v>
      </c>
      <c r="P6454" s="1" t="s">
        <v>33</v>
      </c>
      <c r="Q6454">
        <v>118.6</v>
      </c>
    </row>
    <row r="6455" spans="11:17" x14ac:dyDescent="0.3">
      <c r="K6455">
        <v>2019</v>
      </c>
      <c r="L6455" t="s">
        <v>38</v>
      </c>
      <c r="M6455" t="s">
        <v>133</v>
      </c>
      <c r="N6455" t="s">
        <v>16</v>
      </c>
      <c r="O6455" t="s">
        <v>192</v>
      </c>
      <c r="P6455" s="1" t="s">
        <v>30</v>
      </c>
      <c r="Q6455">
        <v>163.30000000000001</v>
      </c>
    </row>
    <row r="6456" spans="11:17" x14ac:dyDescent="0.3">
      <c r="K6456">
        <v>2019</v>
      </c>
      <c r="L6456" t="s">
        <v>38</v>
      </c>
      <c r="M6456" t="s">
        <v>133</v>
      </c>
      <c r="N6456" t="s">
        <v>16</v>
      </c>
      <c r="O6456" t="s">
        <v>192</v>
      </c>
      <c r="P6456" s="1" t="s">
        <v>34</v>
      </c>
      <c r="Q6456">
        <v>164.1</v>
      </c>
    </row>
    <row r="6457" spans="11:17" x14ac:dyDescent="0.3">
      <c r="K6457">
        <v>2019</v>
      </c>
      <c r="L6457" t="s">
        <v>38</v>
      </c>
      <c r="M6457" t="s">
        <v>133</v>
      </c>
      <c r="N6457" t="s">
        <v>16</v>
      </c>
      <c r="O6457" t="s">
        <v>192</v>
      </c>
      <c r="P6457" s="1" t="s">
        <v>33</v>
      </c>
      <c r="Q6457">
        <v>166.2</v>
      </c>
    </row>
    <row r="6458" spans="11:17" x14ac:dyDescent="0.3">
      <c r="K6458">
        <v>2019</v>
      </c>
      <c r="L6458" t="s">
        <v>38</v>
      </c>
      <c r="M6458" t="s">
        <v>133</v>
      </c>
      <c r="N6458" t="s">
        <v>27</v>
      </c>
      <c r="O6458" t="s">
        <v>192</v>
      </c>
      <c r="P6458" s="1" t="s">
        <v>30</v>
      </c>
      <c r="Q6458">
        <v>133.9</v>
      </c>
    </row>
    <row r="6459" spans="11:17" x14ac:dyDescent="0.3">
      <c r="K6459">
        <v>2019</v>
      </c>
      <c r="L6459" t="s">
        <v>38</v>
      </c>
      <c r="M6459" t="s">
        <v>133</v>
      </c>
      <c r="N6459" t="s">
        <v>27</v>
      </c>
      <c r="O6459" t="s">
        <v>192</v>
      </c>
      <c r="P6459" s="1" t="s">
        <v>34</v>
      </c>
      <c r="Q6459">
        <v>133.4</v>
      </c>
    </row>
    <row r="6460" spans="11:17" x14ac:dyDescent="0.3">
      <c r="K6460">
        <v>2019</v>
      </c>
      <c r="L6460" t="s">
        <v>38</v>
      </c>
      <c r="M6460" t="s">
        <v>133</v>
      </c>
      <c r="N6460" t="s">
        <v>27</v>
      </c>
      <c r="O6460" t="s">
        <v>192</v>
      </c>
      <c r="P6460" s="1" t="s">
        <v>33</v>
      </c>
      <c r="Q6460">
        <v>132.6</v>
      </c>
    </row>
    <row r="6461" spans="11:17" x14ac:dyDescent="0.3">
      <c r="K6461">
        <v>2019</v>
      </c>
      <c r="L6461" t="s">
        <v>38</v>
      </c>
      <c r="M6461" t="s">
        <v>133</v>
      </c>
      <c r="N6461" t="s">
        <v>14</v>
      </c>
      <c r="O6461" t="s">
        <v>188</v>
      </c>
      <c r="P6461" s="1" t="s">
        <v>30</v>
      </c>
      <c r="Q6461">
        <v>156.4</v>
      </c>
    </row>
    <row r="6462" spans="11:17" x14ac:dyDescent="0.3">
      <c r="K6462">
        <v>2019</v>
      </c>
      <c r="L6462" t="s">
        <v>38</v>
      </c>
      <c r="M6462" t="s">
        <v>133</v>
      </c>
      <c r="N6462" t="s">
        <v>14</v>
      </c>
      <c r="O6462" t="s">
        <v>188</v>
      </c>
      <c r="P6462" s="1" t="s">
        <v>34</v>
      </c>
      <c r="Q6462">
        <v>155.5</v>
      </c>
    </row>
    <row r="6463" spans="11:17" x14ac:dyDescent="0.3">
      <c r="K6463">
        <v>2019</v>
      </c>
      <c r="L6463" t="s">
        <v>38</v>
      </c>
      <c r="M6463" t="s">
        <v>133</v>
      </c>
      <c r="N6463" t="s">
        <v>14</v>
      </c>
      <c r="O6463" t="s">
        <v>188</v>
      </c>
      <c r="P6463" s="1" t="s">
        <v>33</v>
      </c>
      <c r="Q6463">
        <v>154.5</v>
      </c>
    </row>
    <row r="6464" spans="11:17" x14ac:dyDescent="0.3">
      <c r="K6464">
        <v>2019</v>
      </c>
      <c r="L6464" t="s">
        <v>38</v>
      </c>
      <c r="M6464" t="s">
        <v>133</v>
      </c>
      <c r="N6464" t="s">
        <v>10</v>
      </c>
      <c r="O6464" t="s">
        <v>188</v>
      </c>
      <c r="P6464" s="1" t="s">
        <v>30</v>
      </c>
      <c r="Q6464">
        <v>125.1</v>
      </c>
    </row>
    <row r="6465" spans="11:17" x14ac:dyDescent="0.3">
      <c r="K6465">
        <v>2019</v>
      </c>
      <c r="L6465" t="s">
        <v>38</v>
      </c>
      <c r="M6465" t="s">
        <v>133</v>
      </c>
      <c r="N6465" t="s">
        <v>10</v>
      </c>
      <c r="O6465" t="s">
        <v>188</v>
      </c>
      <c r="P6465" s="1" t="s">
        <v>34</v>
      </c>
      <c r="Q6465">
        <v>124.9</v>
      </c>
    </row>
    <row r="6466" spans="11:17" x14ac:dyDescent="0.3">
      <c r="K6466">
        <v>2019</v>
      </c>
      <c r="L6466" t="s">
        <v>38</v>
      </c>
      <c r="M6466" t="s">
        <v>133</v>
      </c>
      <c r="N6466" t="s">
        <v>10</v>
      </c>
      <c r="O6466" t="s">
        <v>188</v>
      </c>
      <c r="P6466" s="1" t="s">
        <v>33</v>
      </c>
      <c r="Q6466">
        <v>124.4</v>
      </c>
    </row>
    <row r="6467" spans="11:17" x14ac:dyDescent="0.3">
      <c r="K6467">
        <v>2019</v>
      </c>
      <c r="L6467" t="s">
        <v>38</v>
      </c>
      <c r="M6467" t="s">
        <v>133</v>
      </c>
      <c r="N6467" t="s">
        <v>25</v>
      </c>
      <c r="O6467" t="s">
        <v>195</v>
      </c>
      <c r="P6467" s="1" t="s">
        <v>30</v>
      </c>
      <c r="Q6467">
        <v>145.9</v>
      </c>
    </row>
    <row r="6468" spans="11:17" x14ac:dyDescent="0.3">
      <c r="K6468">
        <v>2019</v>
      </c>
      <c r="L6468" t="s">
        <v>38</v>
      </c>
      <c r="M6468" t="s">
        <v>133</v>
      </c>
      <c r="N6468" t="s">
        <v>25</v>
      </c>
      <c r="O6468" t="s">
        <v>195</v>
      </c>
      <c r="P6468" s="1" t="s">
        <v>34</v>
      </c>
      <c r="Q6468">
        <v>139.19999999999999</v>
      </c>
    </row>
    <row r="6469" spans="11:17" x14ac:dyDescent="0.3">
      <c r="K6469">
        <v>2019</v>
      </c>
      <c r="L6469" t="s">
        <v>38</v>
      </c>
      <c r="M6469" t="s">
        <v>133</v>
      </c>
      <c r="N6469" t="s">
        <v>25</v>
      </c>
      <c r="O6469" t="s">
        <v>195</v>
      </c>
      <c r="P6469" s="1" t="s">
        <v>33</v>
      </c>
      <c r="Q6469">
        <v>134</v>
      </c>
    </row>
    <row r="6470" spans="11:17" x14ac:dyDescent="0.3">
      <c r="K6470">
        <v>2019</v>
      </c>
      <c r="L6470" t="s">
        <v>38</v>
      </c>
      <c r="M6470" t="s">
        <v>133</v>
      </c>
      <c r="N6470" t="s">
        <v>12</v>
      </c>
      <c r="O6470" t="s">
        <v>188</v>
      </c>
      <c r="P6470" s="1" t="s">
        <v>30</v>
      </c>
      <c r="Q6470">
        <v>139.30000000000001</v>
      </c>
    </row>
    <row r="6471" spans="11:17" x14ac:dyDescent="0.3">
      <c r="K6471">
        <v>2019</v>
      </c>
      <c r="L6471" t="s">
        <v>38</v>
      </c>
      <c r="M6471" t="s">
        <v>133</v>
      </c>
      <c r="N6471" t="s">
        <v>12</v>
      </c>
      <c r="O6471" t="s">
        <v>188</v>
      </c>
      <c r="P6471" s="1" t="s">
        <v>34</v>
      </c>
      <c r="Q6471">
        <v>139.9</v>
      </c>
    </row>
    <row r="6472" spans="11:17" x14ac:dyDescent="0.3">
      <c r="K6472">
        <v>2019</v>
      </c>
      <c r="L6472" t="s">
        <v>38</v>
      </c>
      <c r="M6472" t="s">
        <v>133</v>
      </c>
      <c r="N6472" t="s">
        <v>12</v>
      </c>
      <c r="O6472" t="s">
        <v>188</v>
      </c>
      <c r="P6472" s="1" t="s">
        <v>33</v>
      </c>
      <c r="Q6472">
        <v>141</v>
      </c>
    </row>
    <row r="6473" spans="11:17" x14ac:dyDescent="0.3">
      <c r="K6473">
        <v>2019</v>
      </c>
      <c r="L6473" t="s">
        <v>38</v>
      </c>
      <c r="M6473" t="s">
        <v>133</v>
      </c>
      <c r="N6473" t="s">
        <v>11</v>
      </c>
      <c r="O6473" t="s">
        <v>188</v>
      </c>
      <c r="P6473" s="1" t="s">
        <v>30</v>
      </c>
      <c r="Q6473">
        <v>109.3</v>
      </c>
    </row>
    <row r="6474" spans="11:17" x14ac:dyDescent="0.3">
      <c r="K6474">
        <v>2019</v>
      </c>
      <c r="L6474" t="s">
        <v>38</v>
      </c>
      <c r="M6474" t="s">
        <v>133</v>
      </c>
      <c r="N6474" t="s">
        <v>11</v>
      </c>
      <c r="O6474" t="s">
        <v>188</v>
      </c>
      <c r="P6474" s="1" t="s">
        <v>34</v>
      </c>
      <c r="Q6474">
        <v>109.9</v>
      </c>
    </row>
    <row r="6475" spans="11:17" x14ac:dyDescent="0.3">
      <c r="K6475">
        <v>2019</v>
      </c>
      <c r="L6475" t="s">
        <v>38</v>
      </c>
      <c r="M6475" t="s">
        <v>133</v>
      </c>
      <c r="N6475" t="s">
        <v>11</v>
      </c>
      <c r="O6475" t="s">
        <v>188</v>
      </c>
      <c r="P6475" s="1" t="s">
        <v>33</v>
      </c>
      <c r="Q6475">
        <v>111.2</v>
      </c>
    </row>
    <row r="6476" spans="11:17" x14ac:dyDescent="0.3">
      <c r="K6476">
        <v>2019</v>
      </c>
      <c r="L6476" t="s">
        <v>38</v>
      </c>
      <c r="M6476" t="s">
        <v>133</v>
      </c>
      <c r="N6476" t="s">
        <v>24</v>
      </c>
      <c r="O6476" t="s">
        <v>191</v>
      </c>
      <c r="P6476" s="1" t="s">
        <v>30</v>
      </c>
      <c r="Q6476">
        <v>130.19999999999999</v>
      </c>
    </row>
    <row r="6477" spans="11:17" x14ac:dyDescent="0.3">
      <c r="K6477">
        <v>2019</v>
      </c>
      <c r="L6477" t="s">
        <v>38</v>
      </c>
      <c r="M6477" t="s">
        <v>133</v>
      </c>
      <c r="N6477" t="s">
        <v>24</v>
      </c>
      <c r="O6477" t="s">
        <v>191</v>
      </c>
      <c r="P6477" s="1" t="s">
        <v>34</v>
      </c>
      <c r="Q6477">
        <v>124.9</v>
      </c>
    </row>
    <row r="6478" spans="11:17" x14ac:dyDescent="0.3">
      <c r="K6478">
        <v>2019</v>
      </c>
      <c r="L6478" t="s">
        <v>38</v>
      </c>
      <c r="M6478" t="s">
        <v>133</v>
      </c>
      <c r="N6478" t="s">
        <v>24</v>
      </c>
      <c r="O6478" t="s">
        <v>191</v>
      </c>
      <c r="P6478" s="1" t="s">
        <v>33</v>
      </c>
      <c r="Q6478">
        <v>120.1</v>
      </c>
    </row>
    <row r="6479" spans="11:17" x14ac:dyDescent="0.3">
      <c r="K6479">
        <v>2019</v>
      </c>
      <c r="L6479" t="s">
        <v>38</v>
      </c>
      <c r="M6479" t="s">
        <v>133</v>
      </c>
      <c r="N6479" t="s">
        <v>9</v>
      </c>
      <c r="O6479" t="s">
        <v>188</v>
      </c>
      <c r="P6479" s="1" t="s">
        <v>30</v>
      </c>
      <c r="Q6479">
        <v>133.4</v>
      </c>
    </row>
    <row r="6480" spans="11:17" x14ac:dyDescent="0.3">
      <c r="K6480">
        <v>2019</v>
      </c>
      <c r="L6480" t="s">
        <v>38</v>
      </c>
      <c r="M6480" t="s">
        <v>133</v>
      </c>
      <c r="N6480" t="s">
        <v>9</v>
      </c>
      <c r="O6480" t="s">
        <v>188</v>
      </c>
      <c r="P6480" s="1" t="s">
        <v>34</v>
      </c>
      <c r="Q6480">
        <v>143</v>
      </c>
    </row>
    <row r="6481" spans="11:17" x14ac:dyDescent="0.3">
      <c r="K6481">
        <v>2019</v>
      </c>
      <c r="L6481" t="s">
        <v>38</v>
      </c>
      <c r="M6481" t="s">
        <v>133</v>
      </c>
      <c r="N6481" t="s">
        <v>9</v>
      </c>
      <c r="O6481" t="s">
        <v>188</v>
      </c>
      <c r="P6481" s="1" t="s">
        <v>33</v>
      </c>
      <c r="Q6481">
        <v>161.6</v>
      </c>
    </row>
    <row r="6482" spans="11:17" x14ac:dyDescent="0.3">
      <c r="K6482">
        <v>2019</v>
      </c>
      <c r="L6482" t="s">
        <v>44</v>
      </c>
      <c r="M6482" t="s">
        <v>134</v>
      </c>
      <c r="N6482" t="s">
        <v>3</v>
      </c>
      <c r="O6482" t="s">
        <v>188</v>
      </c>
      <c r="P6482" s="1" t="s">
        <v>30</v>
      </c>
      <c r="Q6482">
        <v>141.80000000000001</v>
      </c>
    </row>
    <row r="6483" spans="11:17" x14ac:dyDescent="0.3">
      <c r="K6483">
        <v>2019</v>
      </c>
      <c r="L6483" t="s">
        <v>44</v>
      </c>
      <c r="M6483" t="s">
        <v>134</v>
      </c>
      <c r="N6483" t="s">
        <v>3</v>
      </c>
      <c r="O6483" t="s">
        <v>188</v>
      </c>
      <c r="P6483" s="1" t="s">
        <v>34</v>
      </c>
      <c r="Q6483">
        <v>142.5</v>
      </c>
    </row>
    <row r="6484" spans="11:17" x14ac:dyDescent="0.3">
      <c r="K6484">
        <v>2019</v>
      </c>
      <c r="L6484" t="s">
        <v>44</v>
      </c>
      <c r="M6484" t="s">
        <v>134</v>
      </c>
      <c r="N6484" t="s">
        <v>3</v>
      </c>
      <c r="O6484" t="s">
        <v>188</v>
      </c>
      <c r="P6484" s="1" t="s">
        <v>33</v>
      </c>
      <c r="Q6484">
        <v>144.1</v>
      </c>
    </row>
    <row r="6485" spans="11:17" x14ac:dyDescent="0.3">
      <c r="K6485">
        <v>2019</v>
      </c>
      <c r="L6485" t="s">
        <v>44</v>
      </c>
      <c r="M6485" t="s">
        <v>134</v>
      </c>
      <c r="N6485" t="s">
        <v>17</v>
      </c>
      <c r="O6485" t="s">
        <v>189</v>
      </c>
      <c r="P6485" s="1" t="s">
        <v>30</v>
      </c>
      <c r="Q6485">
        <v>152.30000000000001</v>
      </c>
    </row>
    <row r="6486" spans="11:17" x14ac:dyDescent="0.3">
      <c r="K6486">
        <v>2019</v>
      </c>
      <c r="L6486" t="s">
        <v>44</v>
      </c>
      <c r="M6486" t="s">
        <v>134</v>
      </c>
      <c r="N6486" t="s">
        <v>17</v>
      </c>
      <c r="O6486" t="s">
        <v>189</v>
      </c>
      <c r="P6486" s="1" t="s">
        <v>34</v>
      </c>
      <c r="Q6486">
        <v>149.9</v>
      </c>
    </row>
    <row r="6487" spans="11:17" x14ac:dyDescent="0.3">
      <c r="K6487">
        <v>2019</v>
      </c>
      <c r="L6487" t="s">
        <v>44</v>
      </c>
      <c r="M6487" t="s">
        <v>134</v>
      </c>
      <c r="N6487" t="s">
        <v>17</v>
      </c>
      <c r="O6487" t="s">
        <v>189</v>
      </c>
      <c r="P6487" s="1" t="s">
        <v>33</v>
      </c>
      <c r="Q6487">
        <v>146.30000000000001</v>
      </c>
    </row>
    <row r="6488" spans="11:17" x14ac:dyDescent="0.3">
      <c r="K6488">
        <v>2019</v>
      </c>
      <c r="L6488" t="s">
        <v>44</v>
      </c>
      <c r="M6488" t="s">
        <v>134</v>
      </c>
      <c r="N6488" t="s">
        <v>19</v>
      </c>
      <c r="O6488" t="s">
        <v>189</v>
      </c>
      <c r="P6488" s="1" t="s">
        <v>30</v>
      </c>
      <c r="Q6488">
        <v>151.5</v>
      </c>
    </row>
    <row r="6489" spans="11:17" x14ac:dyDescent="0.3">
      <c r="K6489">
        <v>2019</v>
      </c>
      <c r="L6489" t="s">
        <v>44</v>
      </c>
      <c r="M6489" t="s">
        <v>134</v>
      </c>
      <c r="N6489" t="s">
        <v>19</v>
      </c>
      <c r="O6489" t="s">
        <v>189</v>
      </c>
      <c r="P6489" s="1" t="s">
        <v>34</v>
      </c>
      <c r="Q6489">
        <v>148.6</v>
      </c>
    </row>
    <row r="6490" spans="11:17" x14ac:dyDescent="0.3">
      <c r="K6490">
        <v>2019</v>
      </c>
      <c r="L6490" t="s">
        <v>44</v>
      </c>
      <c r="M6490" t="s">
        <v>134</v>
      </c>
      <c r="N6490" t="s">
        <v>19</v>
      </c>
      <c r="O6490" t="s">
        <v>189</v>
      </c>
      <c r="P6490" s="1" t="s">
        <v>33</v>
      </c>
      <c r="Q6490">
        <v>144.19999999999999</v>
      </c>
    </row>
    <row r="6491" spans="11:17" x14ac:dyDescent="0.3">
      <c r="K6491">
        <v>2019</v>
      </c>
      <c r="L6491" t="s">
        <v>44</v>
      </c>
      <c r="M6491" t="s">
        <v>134</v>
      </c>
      <c r="N6491" t="s">
        <v>26</v>
      </c>
      <c r="O6491" t="s">
        <v>26</v>
      </c>
      <c r="P6491" s="1" t="s">
        <v>30</v>
      </c>
      <c r="Q6491">
        <v>160.80000000000001</v>
      </c>
    </row>
    <row r="6492" spans="11:17" x14ac:dyDescent="0.3">
      <c r="K6492">
        <v>2019</v>
      </c>
      <c r="L6492" t="s">
        <v>44</v>
      </c>
      <c r="M6492" t="s">
        <v>134</v>
      </c>
      <c r="N6492" t="s">
        <v>26</v>
      </c>
      <c r="O6492" t="s">
        <v>26</v>
      </c>
      <c r="P6492" s="1" t="s">
        <v>34</v>
      </c>
      <c r="Q6492">
        <v>155.5</v>
      </c>
    </row>
    <row r="6493" spans="11:17" x14ac:dyDescent="0.3">
      <c r="K6493">
        <v>2019</v>
      </c>
      <c r="L6493" t="s">
        <v>44</v>
      </c>
      <c r="M6493" t="s">
        <v>134</v>
      </c>
      <c r="N6493" t="s">
        <v>26</v>
      </c>
      <c r="O6493" t="s">
        <v>26</v>
      </c>
      <c r="P6493" s="1" t="s">
        <v>33</v>
      </c>
      <c r="Q6493">
        <v>151.80000000000001</v>
      </c>
    </row>
    <row r="6494" spans="11:17" x14ac:dyDescent="0.3">
      <c r="K6494">
        <v>2019</v>
      </c>
      <c r="L6494" t="s">
        <v>44</v>
      </c>
      <c r="M6494" t="s">
        <v>134</v>
      </c>
      <c r="N6494" t="s">
        <v>5</v>
      </c>
      <c r="O6494" t="s">
        <v>188</v>
      </c>
      <c r="P6494" s="1" t="s">
        <v>30</v>
      </c>
      <c r="Q6494">
        <v>143.80000000000001</v>
      </c>
    </row>
    <row r="6495" spans="11:17" x14ac:dyDescent="0.3">
      <c r="K6495">
        <v>2019</v>
      </c>
      <c r="L6495" t="s">
        <v>44</v>
      </c>
      <c r="M6495" t="s">
        <v>134</v>
      </c>
      <c r="N6495" t="s">
        <v>5</v>
      </c>
      <c r="O6495" t="s">
        <v>188</v>
      </c>
      <c r="P6495" s="1" t="s">
        <v>34</v>
      </c>
      <c r="Q6495">
        <v>145.6</v>
      </c>
    </row>
    <row r="6496" spans="11:17" x14ac:dyDescent="0.3">
      <c r="K6496">
        <v>2019</v>
      </c>
      <c r="L6496" t="s">
        <v>44</v>
      </c>
      <c r="M6496" t="s">
        <v>134</v>
      </c>
      <c r="N6496" t="s">
        <v>5</v>
      </c>
      <c r="O6496" t="s">
        <v>188</v>
      </c>
      <c r="P6496" s="1" t="s">
        <v>33</v>
      </c>
      <c r="Q6496">
        <v>148.4</v>
      </c>
    </row>
    <row r="6497" spans="11:17" x14ac:dyDescent="0.3">
      <c r="K6497">
        <v>2019</v>
      </c>
      <c r="L6497" t="s">
        <v>44</v>
      </c>
      <c r="M6497" t="s">
        <v>134</v>
      </c>
      <c r="N6497" t="s">
        <v>15</v>
      </c>
      <c r="O6497" t="s">
        <v>188</v>
      </c>
      <c r="P6497" s="1" t="s">
        <v>30</v>
      </c>
      <c r="Q6497">
        <v>150.9</v>
      </c>
    </row>
    <row r="6498" spans="11:17" x14ac:dyDescent="0.3">
      <c r="K6498">
        <v>2019</v>
      </c>
      <c r="L6498" t="s">
        <v>44</v>
      </c>
      <c r="M6498" t="s">
        <v>134</v>
      </c>
      <c r="N6498" t="s">
        <v>15</v>
      </c>
      <c r="O6498" t="s">
        <v>188</v>
      </c>
      <c r="P6498" s="1" t="s">
        <v>34</v>
      </c>
      <c r="Q6498">
        <v>151.9</v>
      </c>
    </row>
    <row r="6499" spans="11:17" x14ac:dyDescent="0.3">
      <c r="K6499">
        <v>2019</v>
      </c>
      <c r="L6499" t="s">
        <v>44</v>
      </c>
      <c r="M6499" t="s">
        <v>134</v>
      </c>
      <c r="N6499" t="s">
        <v>15</v>
      </c>
      <c r="O6499" t="s">
        <v>188</v>
      </c>
      <c r="P6499" s="1" t="s">
        <v>33</v>
      </c>
      <c r="Q6499">
        <v>153.6</v>
      </c>
    </row>
    <row r="6500" spans="11:17" x14ac:dyDescent="0.3">
      <c r="K6500">
        <v>2019</v>
      </c>
      <c r="L6500" t="s">
        <v>44</v>
      </c>
      <c r="M6500" t="s">
        <v>134</v>
      </c>
      <c r="N6500" t="s">
        <v>18</v>
      </c>
      <c r="O6500" t="s">
        <v>189</v>
      </c>
      <c r="P6500" s="1" t="s">
        <v>30</v>
      </c>
      <c r="Q6500">
        <v>147</v>
      </c>
    </row>
    <row r="6501" spans="11:17" x14ac:dyDescent="0.3">
      <c r="K6501">
        <v>2019</v>
      </c>
      <c r="L6501" t="s">
        <v>44</v>
      </c>
      <c r="M6501" t="s">
        <v>134</v>
      </c>
      <c r="N6501" t="s">
        <v>18</v>
      </c>
      <c r="O6501" t="s">
        <v>189</v>
      </c>
      <c r="P6501" s="1" t="s">
        <v>34</v>
      </c>
      <c r="Q6501">
        <v>141</v>
      </c>
    </row>
    <row r="6502" spans="11:17" x14ac:dyDescent="0.3">
      <c r="K6502">
        <v>2019</v>
      </c>
      <c r="L6502" t="s">
        <v>44</v>
      </c>
      <c r="M6502" t="s">
        <v>134</v>
      </c>
      <c r="N6502" t="s">
        <v>18</v>
      </c>
      <c r="O6502" t="s">
        <v>189</v>
      </c>
      <c r="P6502" s="1" t="s">
        <v>33</v>
      </c>
      <c r="Q6502">
        <v>132.6</v>
      </c>
    </row>
    <row r="6503" spans="11:17" x14ac:dyDescent="0.3">
      <c r="K6503">
        <v>2019</v>
      </c>
      <c r="L6503" t="s">
        <v>44</v>
      </c>
      <c r="M6503" t="s">
        <v>134</v>
      </c>
      <c r="N6503" t="s">
        <v>8</v>
      </c>
      <c r="O6503" t="s">
        <v>188</v>
      </c>
      <c r="P6503" s="1" t="s">
        <v>30</v>
      </c>
      <c r="Q6503">
        <v>146.19999999999999</v>
      </c>
    </row>
    <row r="6504" spans="11:17" x14ac:dyDescent="0.3">
      <c r="K6504">
        <v>2019</v>
      </c>
      <c r="L6504" t="s">
        <v>44</v>
      </c>
      <c r="M6504" t="s">
        <v>134</v>
      </c>
      <c r="N6504" t="s">
        <v>8</v>
      </c>
      <c r="O6504" t="s">
        <v>188</v>
      </c>
      <c r="P6504" s="1" t="s">
        <v>34</v>
      </c>
      <c r="Q6504">
        <v>147.4</v>
      </c>
    </row>
    <row r="6505" spans="11:17" x14ac:dyDescent="0.3">
      <c r="K6505">
        <v>2019</v>
      </c>
      <c r="L6505" t="s">
        <v>44</v>
      </c>
      <c r="M6505" t="s">
        <v>134</v>
      </c>
      <c r="N6505" t="s">
        <v>8</v>
      </c>
      <c r="O6505" t="s">
        <v>188</v>
      </c>
      <c r="P6505" s="1" t="s">
        <v>33</v>
      </c>
      <c r="Q6505">
        <v>148.80000000000001</v>
      </c>
    </row>
    <row r="6506" spans="11:17" x14ac:dyDescent="0.3">
      <c r="K6506">
        <v>2019</v>
      </c>
      <c r="L6506" t="s">
        <v>44</v>
      </c>
      <c r="M6506" t="s">
        <v>134</v>
      </c>
      <c r="N6506" t="s">
        <v>21</v>
      </c>
      <c r="O6506" t="s">
        <v>190</v>
      </c>
      <c r="P6506" s="1" t="s">
        <v>30</v>
      </c>
      <c r="Q6506">
        <v>148.4</v>
      </c>
    </row>
    <row r="6507" spans="11:17" x14ac:dyDescent="0.3">
      <c r="K6507">
        <v>2019</v>
      </c>
      <c r="L6507" t="s">
        <v>44</v>
      </c>
      <c r="M6507" t="s">
        <v>134</v>
      </c>
      <c r="N6507" t="s">
        <v>21</v>
      </c>
      <c r="O6507" t="s">
        <v>190</v>
      </c>
      <c r="P6507" s="1" t="s">
        <v>34</v>
      </c>
      <c r="Q6507">
        <v>142.30000000000001</v>
      </c>
    </row>
    <row r="6508" spans="11:17" x14ac:dyDescent="0.3">
      <c r="K6508">
        <v>2019</v>
      </c>
      <c r="L6508" t="s">
        <v>44</v>
      </c>
      <c r="M6508" t="s">
        <v>134</v>
      </c>
      <c r="N6508" t="s">
        <v>21</v>
      </c>
      <c r="O6508" t="s">
        <v>190</v>
      </c>
      <c r="P6508" s="1" t="s">
        <v>33</v>
      </c>
      <c r="Q6508">
        <v>132.19999999999999</v>
      </c>
    </row>
    <row r="6509" spans="11:17" x14ac:dyDescent="0.3">
      <c r="K6509">
        <v>2019</v>
      </c>
      <c r="L6509" t="s">
        <v>44</v>
      </c>
      <c r="M6509" t="s">
        <v>134</v>
      </c>
      <c r="N6509" t="s">
        <v>29</v>
      </c>
      <c r="O6509" t="s">
        <v>206</v>
      </c>
      <c r="P6509" s="1" t="s">
        <v>30</v>
      </c>
      <c r="Q6509">
        <v>149.9</v>
      </c>
    </row>
    <row r="6510" spans="11:17" x14ac:dyDescent="0.3">
      <c r="K6510">
        <v>2019</v>
      </c>
      <c r="L6510" t="s">
        <v>44</v>
      </c>
      <c r="M6510" t="s">
        <v>134</v>
      </c>
      <c r="N6510" t="s">
        <v>29</v>
      </c>
      <c r="O6510" t="s">
        <v>206</v>
      </c>
      <c r="P6510" s="1" t="s">
        <v>34</v>
      </c>
      <c r="Q6510">
        <v>148.6</v>
      </c>
    </row>
    <row r="6511" spans="11:17" x14ac:dyDescent="0.3">
      <c r="K6511">
        <v>2019</v>
      </c>
      <c r="L6511" t="s">
        <v>44</v>
      </c>
      <c r="M6511" t="s">
        <v>134</v>
      </c>
      <c r="N6511" t="s">
        <v>29</v>
      </c>
      <c r="O6511" t="s">
        <v>206</v>
      </c>
      <c r="P6511" s="1" t="s">
        <v>33</v>
      </c>
      <c r="Q6511">
        <v>147</v>
      </c>
    </row>
    <row r="6512" spans="11:17" x14ac:dyDescent="0.3">
      <c r="K6512">
        <v>2019</v>
      </c>
      <c r="L6512" t="s">
        <v>44</v>
      </c>
      <c r="M6512" t="s">
        <v>134</v>
      </c>
      <c r="N6512" t="s">
        <v>23</v>
      </c>
      <c r="O6512" t="s">
        <v>23</v>
      </c>
      <c r="P6512" s="1" t="s">
        <v>30</v>
      </c>
      <c r="Q6512">
        <v>154.30000000000001</v>
      </c>
    </row>
    <row r="6513" spans="11:17" x14ac:dyDescent="0.3">
      <c r="K6513">
        <v>2019</v>
      </c>
      <c r="L6513" t="s">
        <v>44</v>
      </c>
      <c r="M6513" t="s">
        <v>134</v>
      </c>
      <c r="N6513" t="s">
        <v>23</v>
      </c>
      <c r="O6513" t="s">
        <v>23</v>
      </c>
      <c r="P6513" s="1" t="s">
        <v>34</v>
      </c>
      <c r="Q6513">
        <v>149.9</v>
      </c>
    </row>
    <row r="6514" spans="11:17" x14ac:dyDescent="0.3">
      <c r="K6514">
        <v>2019</v>
      </c>
      <c r="L6514" t="s">
        <v>44</v>
      </c>
      <c r="M6514" t="s">
        <v>134</v>
      </c>
      <c r="N6514" t="s">
        <v>23</v>
      </c>
      <c r="O6514" t="s">
        <v>23</v>
      </c>
      <c r="P6514" s="1" t="s">
        <v>33</v>
      </c>
      <c r="Q6514">
        <v>142.80000000000001</v>
      </c>
    </row>
    <row r="6515" spans="11:17" x14ac:dyDescent="0.3">
      <c r="K6515">
        <v>2019</v>
      </c>
      <c r="L6515" t="s">
        <v>44</v>
      </c>
      <c r="M6515" t="s">
        <v>134</v>
      </c>
      <c r="N6515" t="s">
        <v>22</v>
      </c>
      <c r="O6515" t="s">
        <v>20</v>
      </c>
      <c r="P6515" s="1" t="s">
        <v>30</v>
      </c>
      <c r="Q6515">
        <v>150.9</v>
      </c>
    </row>
    <row r="6516" spans="11:17" x14ac:dyDescent="0.3">
      <c r="K6516">
        <v>2019</v>
      </c>
      <c r="L6516" t="s">
        <v>44</v>
      </c>
      <c r="M6516" t="s">
        <v>134</v>
      </c>
      <c r="N6516" t="s">
        <v>22</v>
      </c>
      <c r="O6516" t="s">
        <v>20</v>
      </c>
      <c r="P6516" s="1" t="s">
        <v>34</v>
      </c>
      <c r="Q6516">
        <v>145.30000000000001</v>
      </c>
    </row>
    <row r="6517" spans="11:17" x14ac:dyDescent="0.3">
      <c r="K6517">
        <v>2019</v>
      </c>
      <c r="L6517" t="s">
        <v>44</v>
      </c>
      <c r="M6517" t="s">
        <v>134</v>
      </c>
      <c r="N6517" t="s">
        <v>22</v>
      </c>
      <c r="O6517" t="s">
        <v>20</v>
      </c>
      <c r="P6517" s="1" t="s">
        <v>33</v>
      </c>
      <c r="Q6517">
        <v>139.1</v>
      </c>
    </row>
    <row r="6518" spans="11:17" x14ac:dyDescent="0.3">
      <c r="K6518">
        <v>2019</v>
      </c>
      <c r="L6518" t="s">
        <v>44</v>
      </c>
      <c r="M6518" t="s">
        <v>134</v>
      </c>
      <c r="N6518" t="s">
        <v>20</v>
      </c>
      <c r="O6518" t="s">
        <v>20</v>
      </c>
      <c r="P6518" s="1" t="s">
        <v>30</v>
      </c>
      <c r="Q6518">
        <v>0</v>
      </c>
    </row>
    <row r="6519" spans="11:17" x14ac:dyDescent="0.3">
      <c r="K6519">
        <v>2019</v>
      </c>
      <c r="L6519" t="s">
        <v>44</v>
      </c>
      <c r="M6519" t="s">
        <v>134</v>
      </c>
      <c r="N6519" t="s">
        <v>20</v>
      </c>
      <c r="O6519" t="s">
        <v>20</v>
      </c>
      <c r="P6519" s="1" t="s">
        <v>34</v>
      </c>
      <c r="Q6519">
        <v>153.5</v>
      </c>
    </row>
    <row r="6520" spans="11:17" x14ac:dyDescent="0.3">
      <c r="K6520">
        <v>2019</v>
      </c>
      <c r="L6520" t="s">
        <v>44</v>
      </c>
      <c r="M6520" t="s">
        <v>134</v>
      </c>
      <c r="N6520" t="s">
        <v>20</v>
      </c>
      <c r="O6520" t="s">
        <v>20</v>
      </c>
      <c r="P6520" s="1" t="s">
        <v>33</v>
      </c>
      <c r="Q6520">
        <v>153.5</v>
      </c>
    </row>
    <row r="6521" spans="11:17" x14ac:dyDescent="0.3">
      <c r="K6521">
        <v>2019</v>
      </c>
      <c r="L6521" t="s">
        <v>44</v>
      </c>
      <c r="M6521" t="s">
        <v>134</v>
      </c>
      <c r="N6521" t="s">
        <v>4</v>
      </c>
      <c r="O6521" t="s">
        <v>188</v>
      </c>
      <c r="P6521" s="1" t="s">
        <v>30</v>
      </c>
      <c r="Q6521">
        <v>163.69999999999999</v>
      </c>
    </row>
    <row r="6522" spans="11:17" x14ac:dyDescent="0.3">
      <c r="K6522">
        <v>2019</v>
      </c>
      <c r="L6522" t="s">
        <v>44</v>
      </c>
      <c r="M6522" t="s">
        <v>134</v>
      </c>
      <c r="N6522" t="s">
        <v>4</v>
      </c>
      <c r="O6522" t="s">
        <v>188</v>
      </c>
      <c r="P6522" s="1" t="s">
        <v>34</v>
      </c>
      <c r="Q6522">
        <v>163.19999999999999</v>
      </c>
    </row>
    <row r="6523" spans="11:17" x14ac:dyDescent="0.3">
      <c r="K6523">
        <v>2019</v>
      </c>
      <c r="L6523" t="s">
        <v>44</v>
      </c>
      <c r="M6523" t="s">
        <v>134</v>
      </c>
      <c r="N6523" t="s">
        <v>4</v>
      </c>
      <c r="O6523" t="s">
        <v>188</v>
      </c>
      <c r="P6523" s="1" t="s">
        <v>33</v>
      </c>
      <c r="Q6523">
        <v>162.4</v>
      </c>
    </row>
    <row r="6524" spans="11:17" x14ac:dyDescent="0.3">
      <c r="K6524">
        <v>2019</v>
      </c>
      <c r="L6524" t="s">
        <v>44</v>
      </c>
      <c r="M6524" t="s">
        <v>134</v>
      </c>
      <c r="N6524" t="s">
        <v>6</v>
      </c>
      <c r="O6524" t="s">
        <v>188</v>
      </c>
      <c r="P6524" s="1" t="s">
        <v>30</v>
      </c>
      <c r="Q6524">
        <v>147.1</v>
      </c>
    </row>
    <row r="6525" spans="11:17" x14ac:dyDescent="0.3">
      <c r="K6525">
        <v>2019</v>
      </c>
      <c r="L6525" t="s">
        <v>44</v>
      </c>
      <c r="M6525" t="s">
        <v>134</v>
      </c>
      <c r="N6525" t="s">
        <v>6</v>
      </c>
      <c r="O6525" t="s">
        <v>188</v>
      </c>
      <c r="P6525" s="1" t="s">
        <v>34</v>
      </c>
      <c r="Q6525">
        <v>146.69999999999999</v>
      </c>
    </row>
    <row r="6526" spans="11:17" x14ac:dyDescent="0.3">
      <c r="K6526">
        <v>2019</v>
      </c>
      <c r="L6526" t="s">
        <v>44</v>
      </c>
      <c r="M6526" t="s">
        <v>134</v>
      </c>
      <c r="N6526" t="s">
        <v>6</v>
      </c>
      <c r="O6526" t="s">
        <v>188</v>
      </c>
      <c r="P6526" s="1" t="s">
        <v>33</v>
      </c>
      <c r="Q6526">
        <v>145.9</v>
      </c>
    </row>
    <row r="6527" spans="11:17" x14ac:dyDescent="0.3">
      <c r="K6527">
        <v>2019</v>
      </c>
      <c r="L6527" t="s">
        <v>44</v>
      </c>
      <c r="M6527" t="s">
        <v>134</v>
      </c>
      <c r="N6527" t="s">
        <v>28</v>
      </c>
      <c r="O6527" t="s">
        <v>192</v>
      </c>
      <c r="P6527" s="1" t="s">
        <v>30</v>
      </c>
      <c r="Q6527">
        <v>146.1</v>
      </c>
    </row>
    <row r="6528" spans="11:17" x14ac:dyDescent="0.3">
      <c r="K6528">
        <v>2019</v>
      </c>
      <c r="L6528" t="s">
        <v>44</v>
      </c>
      <c r="M6528" t="s">
        <v>134</v>
      </c>
      <c r="N6528" t="s">
        <v>28</v>
      </c>
      <c r="O6528" t="s">
        <v>192</v>
      </c>
      <c r="P6528" s="1" t="s">
        <v>34</v>
      </c>
      <c r="Q6528">
        <v>141.30000000000001</v>
      </c>
    </row>
    <row r="6529" spans="11:17" x14ac:dyDescent="0.3">
      <c r="K6529">
        <v>2019</v>
      </c>
      <c r="L6529" t="s">
        <v>44</v>
      </c>
      <c r="M6529" t="s">
        <v>134</v>
      </c>
      <c r="N6529" t="s">
        <v>28</v>
      </c>
      <c r="O6529" t="s">
        <v>192</v>
      </c>
      <c r="P6529" s="1" t="s">
        <v>33</v>
      </c>
      <c r="Q6529">
        <v>136.30000000000001</v>
      </c>
    </row>
    <row r="6530" spans="11:17" x14ac:dyDescent="0.3">
      <c r="K6530">
        <v>2019</v>
      </c>
      <c r="L6530" t="s">
        <v>44</v>
      </c>
      <c r="M6530" t="s">
        <v>134</v>
      </c>
      <c r="N6530" t="s">
        <v>13</v>
      </c>
      <c r="O6530" t="s">
        <v>188</v>
      </c>
      <c r="P6530" s="1" t="s">
        <v>30</v>
      </c>
      <c r="Q6530">
        <v>138.69999999999999</v>
      </c>
    </row>
    <row r="6531" spans="11:17" x14ac:dyDescent="0.3">
      <c r="K6531">
        <v>2019</v>
      </c>
      <c r="L6531" t="s">
        <v>44</v>
      </c>
      <c r="M6531" t="s">
        <v>134</v>
      </c>
      <c r="N6531" t="s">
        <v>13</v>
      </c>
      <c r="O6531" t="s">
        <v>188</v>
      </c>
      <c r="P6531" s="1" t="s">
        <v>34</v>
      </c>
      <c r="Q6531">
        <v>135.30000000000001</v>
      </c>
    </row>
    <row r="6532" spans="11:17" x14ac:dyDescent="0.3">
      <c r="K6532">
        <v>2019</v>
      </c>
      <c r="L6532" t="s">
        <v>44</v>
      </c>
      <c r="M6532" t="s">
        <v>134</v>
      </c>
      <c r="N6532" t="s">
        <v>13</v>
      </c>
      <c r="O6532" t="s">
        <v>188</v>
      </c>
      <c r="P6532" s="1" t="s">
        <v>33</v>
      </c>
      <c r="Q6532">
        <v>130.5</v>
      </c>
    </row>
    <row r="6533" spans="11:17" x14ac:dyDescent="0.3">
      <c r="K6533">
        <v>2019</v>
      </c>
      <c r="L6533" t="s">
        <v>44</v>
      </c>
      <c r="M6533" t="s">
        <v>134</v>
      </c>
      <c r="N6533" t="s">
        <v>7</v>
      </c>
      <c r="O6533" t="s">
        <v>188</v>
      </c>
      <c r="P6533" s="1" t="s">
        <v>30</v>
      </c>
      <c r="Q6533">
        <v>126</v>
      </c>
    </row>
    <row r="6534" spans="11:17" x14ac:dyDescent="0.3">
      <c r="K6534">
        <v>2019</v>
      </c>
      <c r="L6534" t="s">
        <v>44</v>
      </c>
      <c r="M6534" t="s">
        <v>134</v>
      </c>
      <c r="N6534" t="s">
        <v>7</v>
      </c>
      <c r="O6534" t="s">
        <v>188</v>
      </c>
      <c r="P6534" s="1" t="s">
        <v>34</v>
      </c>
      <c r="Q6534">
        <v>124.3</v>
      </c>
    </row>
    <row r="6535" spans="11:17" x14ac:dyDescent="0.3">
      <c r="K6535">
        <v>2019</v>
      </c>
      <c r="L6535" t="s">
        <v>44</v>
      </c>
      <c r="M6535" t="s">
        <v>134</v>
      </c>
      <c r="N6535" t="s">
        <v>7</v>
      </c>
      <c r="O6535" t="s">
        <v>188</v>
      </c>
      <c r="P6535" s="1" t="s">
        <v>33</v>
      </c>
      <c r="Q6535">
        <v>121.5</v>
      </c>
    </row>
    <row r="6536" spans="11:17" x14ac:dyDescent="0.3">
      <c r="K6536">
        <v>2019</v>
      </c>
      <c r="L6536" t="s">
        <v>44</v>
      </c>
      <c r="M6536" t="s">
        <v>134</v>
      </c>
      <c r="N6536" t="s">
        <v>16</v>
      </c>
      <c r="O6536" t="s">
        <v>192</v>
      </c>
      <c r="P6536" s="1" t="s">
        <v>30</v>
      </c>
      <c r="Q6536">
        <v>167.2</v>
      </c>
    </row>
    <row r="6537" spans="11:17" x14ac:dyDescent="0.3">
      <c r="K6537">
        <v>2019</v>
      </c>
      <c r="L6537" t="s">
        <v>44</v>
      </c>
      <c r="M6537" t="s">
        <v>134</v>
      </c>
      <c r="N6537" t="s">
        <v>16</v>
      </c>
      <c r="O6537" t="s">
        <v>192</v>
      </c>
      <c r="P6537" s="1" t="s">
        <v>34</v>
      </c>
      <c r="Q6537">
        <v>167.9</v>
      </c>
    </row>
    <row r="6538" spans="11:17" x14ac:dyDescent="0.3">
      <c r="K6538">
        <v>2019</v>
      </c>
      <c r="L6538" t="s">
        <v>44</v>
      </c>
      <c r="M6538" t="s">
        <v>134</v>
      </c>
      <c r="N6538" t="s">
        <v>16</v>
      </c>
      <c r="O6538" t="s">
        <v>192</v>
      </c>
      <c r="P6538" s="1" t="s">
        <v>33</v>
      </c>
      <c r="Q6538">
        <v>169.9</v>
      </c>
    </row>
    <row r="6539" spans="11:17" x14ac:dyDescent="0.3">
      <c r="K6539">
        <v>2019</v>
      </c>
      <c r="L6539" t="s">
        <v>44</v>
      </c>
      <c r="M6539" t="s">
        <v>134</v>
      </c>
      <c r="N6539" t="s">
        <v>27</v>
      </c>
      <c r="O6539" t="s">
        <v>192</v>
      </c>
      <c r="P6539" s="1" t="s">
        <v>30</v>
      </c>
      <c r="Q6539">
        <v>140.6</v>
      </c>
    </row>
    <row r="6540" spans="11:17" x14ac:dyDescent="0.3">
      <c r="K6540">
        <v>2019</v>
      </c>
      <c r="L6540" t="s">
        <v>44</v>
      </c>
      <c r="M6540" t="s">
        <v>134</v>
      </c>
      <c r="N6540" t="s">
        <v>27</v>
      </c>
      <c r="O6540" t="s">
        <v>192</v>
      </c>
      <c r="P6540" s="1" t="s">
        <v>34</v>
      </c>
      <c r="Q6540">
        <v>140.30000000000001</v>
      </c>
    </row>
    <row r="6541" spans="11:17" x14ac:dyDescent="0.3">
      <c r="K6541">
        <v>2019</v>
      </c>
      <c r="L6541" t="s">
        <v>44</v>
      </c>
      <c r="M6541" t="s">
        <v>134</v>
      </c>
      <c r="N6541" t="s">
        <v>27</v>
      </c>
      <c r="O6541" t="s">
        <v>192</v>
      </c>
      <c r="P6541" s="1" t="s">
        <v>33</v>
      </c>
      <c r="Q6541">
        <v>139.80000000000001</v>
      </c>
    </row>
    <row r="6542" spans="11:17" x14ac:dyDescent="0.3">
      <c r="K6542">
        <v>2019</v>
      </c>
      <c r="L6542" t="s">
        <v>44</v>
      </c>
      <c r="M6542" t="s">
        <v>134</v>
      </c>
      <c r="N6542" t="s">
        <v>14</v>
      </c>
      <c r="O6542" t="s">
        <v>188</v>
      </c>
      <c r="P6542" s="1" t="s">
        <v>30</v>
      </c>
      <c r="Q6542">
        <v>157.69999999999999</v>
      </c>
    </row>
    <row r="6543" spans="11:17" x14ac:dyDescent="0.3">
      <c r="K6543">
        <v>2019</v>
      </c>
      <c r="L6543" t="s">
        <v>44</v>
      </c>
      <c r="M6543" t="s">
        <v>134</v>
      </c>
      <c r="N6543" t="s">
        <v>14</v>
      </c>
      <c r="O6543" t="s">
        <v>188</v>
      </c>
      <c r="P6543" s="1" t="s">
        <v>34</v>
      </c>
      <c r="Q6543">
        <v>157.5</v>
      </c>
    </row>
    <row r="6544" spans="11:17" x14ac:dyDescent="0.3">
      <c r="K6544">
        <v>2019</v>
      </c>
      <c r="L6544" t="s">
        <v>44</v>
      </c>
      <c r="M6544" t="s">
        <v>134</v>
      </c>
      <c r="N6544" t="s">
        <v>14</v>
      </c>
      <c r="O6544" t="s">
        <v>188</v>
      </c>
      <c r="P6544" s="1" t="s">
        <v>33</v>
      </c>
      <c r="Q6544">
        <v>157.19999999999999</v>
      </c>
    </row>
    <row r="6545" spans="11:17" x14ac:dyDescent="0.3">
      <c r="K6545">
        <v>2019</v>
      </c>
      <c r="L6545" t="s">
        <v>44</v>
      </c>
      <c r="M6545" t="s">
        <v>134</v>
      </c>
      <c r="N6545" t="s">
        <v>10</v>
      </c>
      <c r="O6545" t="s">
        <v>188</v>
      </c>
      <c r="P6545" s="1" t="s">
        <v>30</v>
      </c>
      <c r="Q6545">
        <v>136.19999999999999</v>
      </c>
    </row>
    <row r="6546" spans="11:17" x14ac:dyDescent="0.3">
      <c r="K6546">
        <v>2019</v>
      </c>
      <c r="L6546" t="s">
        <v>44</v>
      </c>
      <c r="M6546" t="s">
        <v>134</v>
      </c>
      <c r="N6546" t="s">
        <v>10</v>
      </c>
      <c r="O6546" t="s">
        <v>188</v>
      </c>
      <c r="P6546" s="1" t="s">
        <v>34</v>
      </c>
      <c r="Q6546">
        <v>135.69999999999999</v>
      </c>
    </row>
    <row r="6547" spans="11:17" x14ac:dyDescent="0.3">
      <c r="K6547">
        <v>2019</v>
      </c>
      <c r="L6547" t="s">
        <v>44</v>
      </c>
      <c r="M6547" t="s">
        <v>134</v>
      </c>
      <c r="N6547" t="s">
        <v>10</v>
      </c>
      <c r="O6547" t="s">
        <v>188</v>
      </c>
      <c r="P6547" s="1" t="s">
        <v>33</v>
      </c>
      <c r="Q6547">
        <v>134.6</v>
      </c>
    </row>
    <row r="6548" spans="11:17" x14ac:dyDescent="0.3">
      <c r="K6548">
        <v>2019</v>
      </c>
      <c r="L6548" t="s">
        <v>44</v>
      </c>
      <c r="M6548" t="s">
        <v>134</v>
      </c>
      <c r="N6548" t="s">
        <v>25</v>
      </c>
      <c r="O6548" t="s">
        <v>195</v>
      </c>
      <c r="P6548" s="1" t="s">
        <v>30</v>
      </c>
      <c r="Q6548">
        <v>149.1</v>
      </c>
    </row>
    <row r="6549" spans="11:17" x14ac:dyDescent="0.3">
      <c r="K6549">
        <v>2019</v>
      </c>
      <c r="L6549" t="s">
        <v>44</v>
      </c>
      <c r="M6549" t="s">
        <v>134</v>
      </c>
      <c r="N6549" t="s">
        <v>25</v>
      </c>
      <c r="O6549" t="s">
        <v>195</v>
      </c>
      <c r="P6549" s="1" t="s">
        <v>34</v>
      </c>
      <c r="Q6549">
        <v>142.1</v>
      </c>
    </row>
    <row r="6550" spans="11:17" x14ac:dyDescent="0.3">
      <c r="K6550">
        <v>2019</v>
      </c>
      <c r="L6550" t="s">
        <v>44</v>
      </c>
      <c r="M6550" t="s">
        <v>134</v>
      </c>
      <c r="N6550" t="s">
        <v>25</v>
      </c>
      <c r="O6550" t="s">
        <v>195</v>
      </c>
      <c r="P6550" s="1" t="s">
        <v>33</v>
      </c>
      <c r="Q6550">
        <v>136.69999999999999</v>
      </c>
    </row>
    <row r="6551" spans="11:17" x14ac:dyDescent="0.3">
      <c r="K6551">
        <v>2019</v>
      </c>
      <c r="L6551" t="s">
        <v>44</v>
      </c>
      <c r="M6551" t="s">
        <v>134</v>
      </c>
      <c r="N6551" t="s">
        <v>12</v>
      </c>
      <c r="O6551" t="s">
        <v>188</v>
      </c>
      <c r="P6551" s="1" t="s">
        <v>30</v>
      </c>
      <c r="Q6551">
        <v>147.30000000000001</v>
      </c>
    </row>
    <row r="6552" spans="11:17" x14ac:dyDescent="0.3">
      <c r="K6552">
        <v>2019</v>
      </c>
      <c r="L6552" t="s">
        <v>44</v>
      </c>
      <c r="M6552" t="s">
        <v>134</v>
      </c>
      <c r="N6552" t="s">
        <v>12</v>
      </c>
      <c r="O6552" t="s">
        <v>188</v>
      </c>
      <c r="P6552" s="1" t="s">
        <v>34</v>
      </c>
      <c r="Q6552">
        <v>147</v>
      </c>
    </row>
    <row r="6553" spans="11:17" x14ac:dyDescent="0.3">
      <c r="K6553">
        <v>2019</v>
      </c>
      <c r="L6553" t="s">
        <v>44</v>
      </c>
      <c r="M6553" t="s">
        <v>134</v>
      </c>
      <c r="N6553" t="s">
        <v>12</v>
      </c>
      <c r="O6553" t="s">
        <v>188</v>
      </c>
      <c r="P6553" s="1" t="s">
        <v>33</v>
      </c>
      <c r="Q6553">
        <v>146.30000000000001</v>
      </c>
    </row>
    <row r="6554" spans="11:17" x14ac:dyDescent="0.3">
      <c r="K6554">
        <v>2019</v>
      </c>
      <c r="L6554" t="s">
        <v>44</v>
      </c>
      <c r="M6554" t="s">
        <v>134</v>
      </c>
      <c r="N6554" t="s">
        <v>11</v>
      </c>
      <c r="O6554" t="s">
        <v>188</v>
      </c>
      <c r="P6554" s="1" t="s">
        <v>30</v>
      </c>
      <c r="Q6554">
        <v>113.8</v>
      </c>
    </row>
    <row r="6555" spans="11:17" x14ac:dyDescent="0.3">
      <c r="K6555">
        <v>2019</v>
      </c>
      <c r="L6555" t="s">
        <v>44</v>
      </c>
      <c r="M6555" t="s">
        <v>134</v>
      </c>
      <c r="N6555" t="s">
        <v>11</v>
      </c>
      <c r="O6555" t="s">
        <v>188</v>
      </c>
      <c r="P6555" s="1" t="s">
        <v>34</v>
      </c>
      <c r="Q6555">
        <v>114.2</v>
      </c>
    </row>
    <row r="6556" spans="11:17" x14ac:dyDescent="0.3">
      <c r="K6556">
        <v>2019</v>
      </c>
      <c r="L6556" t="s">
        <v>44</v>
      </c>
      <c r="M6556" t="s">
        <v>134</v>
      </c>
      <c r="N6556" t="s">
        <v>11</v>
      </c>
      <c r="O6556" t="s">
        <v>188</v>
      </c>
      <c r="P6556" s="1" t="s">
        <v>33</v>
      </c>
      <c r="Q6556">
        <v>115</v>
      </c>
    </row>
    <row r="6557" spans="11:17" x14ac:dyDescent="0.3">
      <c r="K6557">
        <v>2019</v>
      </c>
      <c r="L6557" t="s">
        <v>44</v>
      </c>
      <c r="M6557" t="s">
        <v>134</v>
      </c>
      <c r="N6557" t="s">
        <v>24</v>
      </c>
      <c r="O6557" t="s">
        <v>191</v>
      </c>
      <c r="P6557" s="1" t="s">
        <v>30</v>
      </c>
      <c r="Q6557">
        <v>132.1</v>
      </c>
    </row>
    <row r="6558" spans="11:17" x14ac:dyDescent="0.3">
      <c r="K6558">
        <v>2019</v>
      </c>
      <c r="L6558" t="s">
        <v>44</v>
      </c>
      <c r="M6558" t="s">
        <v>134</v>
      </c>
      <c r="N6558" t="s">
        <v>24</v>
      </c>
      <c r="O6558" t="s">
        <v>191</v>
      </c>
      <c r="P6558" s="1" t="s">
        <v>34</v>
      </c>
      <c r="Q6558">
        <v>126.6</v>
      </c>
    </row>
    <row r="6559" spans="11:17" x14ac:dyDescent="0.3">
      <c r="K6559">
        <v>2019</v>
      </c>
      <c r="L6559" t="s">
        <v>44</v>
      </c>
      <c r="M6559" t="s">
        <v>134</v>
      </c>
      <c r="N6559" t="s">
        <v>24</v>
      </c>
      <c r="O6559" t="s">
        <v>191</v>
      </c>
      <c r="P6559" s="1" t="s">
        <v>33</v>
      </c>
      <c r="Q6559">
        <v>121.7</v>
      </c>
    </row>
    <row r="6560" spans="11:17" x14ac:dyDescent="0.3">
      <c r="K6560">
        <v>2019</v>
      </c>
      <c r="L6560" t="s">
        <v>44</v>
      </c>
      <c r="M6560" t="s">
        <v>134</v>
      </c>
      <c r="N6560" t="s">
        <v>9</v>
      </c>
      <c r="O6560" t="s">
        <v>188</v>
      </c>
      <c r="P6560" s="1" t="s">
        <v>30</v>
      </c>
      <c r="Q6560">
        <v>191.4</v>
      </c>
    </row>
    <row r="6561" spans="11:17" x14ac:dyDescent="0.3">
      <c r="K6561">
        <v>2019</v>
      </c>
      <c r="L6561" t="s">
        <v>44</v>
      </c>
      <c r="M6561" t="s">
        <v>134</v>
      </c>
      <c r="N6561" t="s">
        <v>9</v>
      </c>
      <c r="O6561" t="s">
        <v>188</v>
      </c>
      <c r="P6561" s="1" t="s">
        <v>34</v>
      </c>
      <c r="Q6561">
        <v>199.6</v>
      </c>
    </row>
    <row r="6562" spans="11:17" x14ac:dyDescent="0.3">
      <c r="K6562">
        <v>2019</v>
      </c>
      <c r="L6562" t="s">
        <v>44</v>
      </c>
      <c r="M6562" t="s">
        <v>134</v>
      </c>
      <c r="N6562" t="s">
        <v>9</v>
      </c>
      <c r="O6562" t="s">
        <v>188</v>
      </c>
      <c r="P6562" s="1" t="s">
        <v>33</v>
      </c>
      <c r="Q6562">
        <v>215.7</v>
      </c>
    </row>
    <row r="6563" spans="11:17" x14ac:dyDescent="0.3">
      <c r="K6563">
        <v>2019</v>
      </c>
      <c r="L6563" t="s">
        <v>43</v>
      </c>
      <c r="M6563" t="s">
        <v>135</v>
      </c>
      <c r="N6563" t="s">
        <v>3</v>
      </c>
      <c r="O6563" t="s">
        <v>188</v>
      </c>
      <c r="P6563" s="1" t="s">
        <v>30</v>
      </c>
      <c r="Q6563">
        <v>141</v>
      </c>
    </row>
    <row r="6564" spans="11:17" x14ac:dyDescent="0.3">
      <c r="K6564">
        <v>2019</v>
      </c>
      <c r="L6564" t="s">
        <v>43</v>
      </c>
      <c r="M6564" t="s">
        <v>135</v>
      </c>
      <c r="N6564" t="s">
        <v>3</v>
      </c>
      <c r="O6564" t="s">
        <v>188</v>
      </c>
      <c r="P6564" s="1" t="s">
        <v>34</v>
      </c>
      <c r="Q6564">
        <v>141.80000000000001</v>
      </c>
    </row>
    <row r="6565" spans="11:17" x14ac:dyDescent="0.3">
      <c r="K6565">
        <v>2019</v>
      </c>
      <c r="L6565" t="s">
        <v>43</v>
      </c>
      <c r="M6565" t="s">
        <v>135</v>
      </c>
      <c r="N6565" t="s">
        <v>3</v>
      </c>
      <c r="O6565" t="s">
        <v>188</v>
      </c>
      <c r="P6565" s="1" t="s">
        <v>33</v>
      </c>
      <c r="Q6565">
        <v>143.5</v>
      </c>
    </row>
    <row r="6566" spans="11:17" x14ac:dyDescent="0.3">
      <c r="K6566">
        <v>2019</v>
      </c>
      <c r="L6566" t="s">
        <v>43</v>
      </c>
      <c r="M6566" t="s">
        <v>135</v>
      </c>
      <c r="N6566" t="s">
        <v>17</v>
      </c>
      <c r="O6566" t="s">
        <v>189</v>
      </c>
      <c r="P6566" s="1" t="s">
        <v>30</v>
      </c>
      <c r="Q6566">
        <v>151.69999999999999</v>
      </c>
    </row>
    <row r="6567" spans="11:17" x14ac:dyDescent="0.3">
      <c r="K6567">
        <v>2019</v>
      </c>
      <c r="L6567" t="s">
        <v>43</v>
      </c>
      <c r="M6567" t="s">
        <v>135</v>
      </c>
      <c r="N6567" t="s">
        <v>17</v>
      </c>
      <c r="O6567" t="s">
        <v>189</v>
      </c>
      <c r="P6567" s="1" t="s">
        <v>34</v>
      </c>
      <c r="Q6567">
        <v>149.4</v>
      </c>
    </row>
    <row r="6568" spans="11:17" x14ac:dyDescent="0.3">
      <c r="K6568">
        <v>2019</v>
      </c>
      <c r="L6568" t="s">
        <v>43</v>
      </c>
      <c r="M6568" t="s">
        <v>135</v>
      </c>
      <c r="N6568" t="s">
        <v>17</v>
      </c>
      <c r="O6568" t="s">
        <v>189</v>
      </c>
      <c r="P6568" s="1" t="s">
        <v>33</v>
      </c>
      <c r="Q6568">
        <v>145.9</v>
      </c>
    </row>
    <row r="6569" spans="11:17" x14ac:dyDescent="0.3">
      <c r="K6569">
        <v>2019</v>
      </c>
      <c r="L6569" t="s">
        <v>43</v>
      </c>
      <c r="M6569" t="s">
        <v>135</v>
      </c>
      <c r="N6569" t="s">
        <v>19</v>
      </c>
      <c r="O6569" t="s">
        <v>189</v>
      </c>
      <c r="P6569" s="1" t="s">
        <v>30</v>
      </c>
      <c r="Q6569">
        <v>151</v>
      </c>
    </row>
    <row r="6570" spans="11:17" x14ac:dyDescent="0.3">
      <c r="K6570">
        <v>2019</v>
      </c>
      <c r="L6570" t="s">
        <v>43</v>
      </c>
      <c r="M6570" t="s">
        <v>135</v>
      </c>
      <c r="N6570" t="s">
        <v>19</v>
      </c>
      <c r="O6570" t="s">
        <v>189</v>
      </c>
      <c r="P6570" s="1" t="s">
        <v>34</v>
      </c>
      <c r="Q6570">
        <v>148.19999999999999</v>
      </c>
    </row>
    <row r="6571" spans="11:17" x14ac:dyDescent="0.3">
      <c r="K6571">
        <v>2019</v>
      </c>
      <c r="L6571" t="s">
        <v>43</v>
      </c>
      <c r="M6571" t="s">
        <v>135</v>
      </c>
      <c r="N6571" t="s">
        <v>19</v>
      </c>
      <c r="O6571" t="s">
        <v>189</v>
      </c>
      <c r="P6571" s="1" t="s">
        <v>33</v>
      </c>
      <c r="Q6571">
        <v>143.9</v>
      </c>
    </row>
    <row r="6572" spans="11:17" x14ac:dyDescent="0.3">
      <c r="K6572">
        <v>2019</v>
      </c>
      <c r="L6572" t="s">
        <v>43</v>
      </c>
      <c r="M6572" t="s">
        <v>135</v>
      </c>
      <c r="N6572" t="s">
        <v>26</v>
      </c>
      <c r="O6572" t="s">
        <v>26</v>
      </c>
      <c r="P6572" s="1" t="s">
        <v>30</v>
      </c>
      <c r="Q6572">
        <v>160.69999999999999</v>
      </c>
    </row>
    <row r="6573" spans="11:17" x14ac:dyDescent="0.3">
      <c r="K6573">
        <v>2019</v>
      </c>
      <c r="L6573" t="s">
        <v>43</v>
      </c>
      <c r="M6573" t="s">
        <v>135</v>
      </c>
      <c r="N6573" t="s">
        <v>26</v>
      </c>
      <c r="O6573" t="s">
        <v>26</v>
      </c>
      <c r="P6573" s="1" t="s">
        <v>34</v>
      </c>
      <c r="Q6573">
        <v>155.4</v>
      </c>
    </row>
    <row r="6574" spans="11:17" x14ac:dyDescent="0.3">
      <c r="K6574">
        <v>2019</v>
      </c>
      <c r="L6574" t="s">
        <v>43</v>
      </c>
      <c r="M6574" t="s">
        <v>135</v>
      </c>
      <c r="N6574" t="s">
        <v>26</v>
      </c>
      <c r="O6574" t="s">
        <v>26</v>
      </c>
      <c r="P6574" s="1" t="s">
        <v>33</v>
      </c>
      <c r="Q6574">
        <v>151.69999999999999</v>
      </c>
    </row>
    <row r="6575" spans="11:17" x14ac:dyDescent="0.3">
      <c r="K6575">
        <v>2019</v>
      </c>
      <c r="L6575" t="s">
        <v>43</v>
      </c>
      <c r="M6575" t="s">
        <v>135</v>
      </c>
      <c r="N6575" t="s">
        <v>5</v>
      </c>
      <c r="O6575" t="s">
        <v>188</v>
      </c>
      <c r="P6575" s="1" t="s">
        <v>30</v>
      </c>
      <c r="Q6575">
        <v>141.19999999999999</v>
      </c>
    </row>
    <row r="6576" spans="11:17" x14ac:dyDescent="0.3">
      <c r="K6576">
        <v>2019</v>
      </c>
      <c r="L6576" t="s">
        <v>43</v>
      </c>
      <c r="M6576" t="s">
        <v>135</v>
      </c>
      <c r="N6576" t="s">
        <v>5</v>
      </c>
      <c r="O6576" t="s">
        <v>188</v>
      </c>
      <c r="P6576" s="1" t="s">
        <v>34</v>
      </c>
      <c r="Q6576">
        <v>142.6</v>
      </c>
    </row>
    <row r="6577" spans="11:17" x14ac:dyDescent="0.3">
      <c r="K6577">
        <v>2019</v>
      </c>
      <c r="L6577" t="s">
        <v>43</v>
      </c>
      <c r="M6577" t="s">
        <v>135</v>
      </c>
      <c r="N6577" t="s">
        <v>5</v>
      </c>
      <c r="O6577" t="s">
        <v>188</v>
      </c>
      <c r="P6577" s="1" t="s">
        <v>33</v>
      </c>
      <c r="Q6577">
        <v>144.69999999999999</v>
      </c>
    </row>
    <row r="6578" spans="11:17" x14ac:dyDescent="0.3">
      <c r="K6578">
        <v>2019</v>
      </c>
      <c r="L6578" t="s">
        <v>43</v>
      </c>
      <c r="M6578" t="s">
        <v>135</v>
      </c>
      <c r="N6578" t="s">
        <v>15</v>
      </c>
      <c r="O6578" t="s">
        <v>188</v>
      </c>
      <c r="P6578" s="1" t="s">
        <v>30</v>
      </c>
      <c r="Q6578">
        <v>148.30000000000001</v>
      </c>
    </row>
    <row r="6579" spans="11:17" x14ac:dyDescent="0.3">
      <c r="K6579">
        <v>2019</v>
      </c>
      <c r="L6579" t="s">
        <v>43</v>
      </c>
      <c r="M6579" t="s">
        <v>135</v>
      </c>
      <c r="N6579" t="s">
        <v>15</v>
      </c>
      <c r="O6579" t="s">
        <v>188</v>
      </c>
      <c r="P6579" s="1" t="s">
        <v>34</v>
      </c>
      <c r="Q6579">
        <v>149.6</v>
      </c>
    </row>
    <row r="6580" spans="11:17" x14ac:dyDescent="0.3">
      <c r="K6580">
        <v>2019</v>
      </c>
      <c r="L6580" t="s">
        <v>43</v>
      </c>
      <c r="M6580" t="s">
        <v>135</v>
      </c>
      <c r="N6580" t="s">
        <v>15</v>
      </c>
      <c r="O6580" t="s">
        <v>188</v>
      </c>
      <c r="P6580" s="1" t="s">
        <v>33</v>
      </c>
      <c r="Q6580">
        <v>151.9</v>
      </c>
    </row>
    <row r="6581" spans="11:17" x14ac:dyDescent="0.3">
      <c r="K6581">
        <v>2019</v>
      </c>
      <c r="L6581" t="s">
        <v>43</v>
      </c>
      <c r="M6581" t="s">
        <v>135</v>
      </c>
      <c r="N6581" t="s">
        <v>18</v>
      </c>
      <c r="O6581" t="s">
        <v>189</v>
      </c>
      <c r="P6581" s="1" t="s">
        <v>30</v>
      </c>
      <c r="Q6581">
        <v>146.69999999999999</v>
      </c>
    </row>
    <row r="6582" spans="11:17" x14ac:dyDescent="0.3">
      <c r="K6582">
        <v>2019</v>
      </c>
      <c r="L6582" t="s">
        <v>43</v>
      </c>
      <c r="M6582" t="s">
        <v>135</v>
      </c>
      <c r="N6582" t="s">
        <v>18</v>
      </c>
      <c r="O6582" t="s">
        <v>189</v>
      </c>
      <c r="P6582" s="1" t="s">
        <v>34</v>
      </c>
      <c r="Q6582">
        <v>140.80000000000001</v>
      </c>
    </row>
    <row r="6583" spans="11:17" x14ac:dyDescent="0.3">
      <c r="K6583">
        <v>2019</v>
      </c>
      <c r="L6583" t="s">
        <v>43</v>
      </c>
      <c r="M6583" t="s">
        <v>135</v>
      </c>
      <c r="N6583" t="s">
        <v>18</v>
      </c>
      <c r="O6583" t="s">
        <v>189</v>
      </c>
      <c r="P6583" s="1" t="s">
        <v>33</v>
      </c>
      <c r="Q6583">
        <v>132.4</v>
      </c>
    </row>
    <row r="6584" spans="11:17" x14ac:dyDescent="0.3">
      <c r="K6584">
        <v>2019</v>
      </c>
      <c r="L6584" t="s">
        <v>43</v>
      </c>
      <c r="M6584" t="s">
        <v>135</v>
      </c>
      <c r="N6584" t="s">
        <v>8</v>
      </c>
      <c r="O6584" t="s">
        <v>188</v>
      </c>
      <c r="P6584" s="1" t="s">
        <v>30</v>
      </c>
      <c r="Q6584">
        <v>145.69999999999999</v>
      </c>
    </row>
    <row r="6585" spans="11:17" x14ac:dyDescent="0.3">
      <c r="K6585">
        <v>2019</v>
      </c>
      <c r="L6585" t="s">
        <v>43</v>
      </c>
      <c r="M6585" t="s">
        <v>135</v>
      </c>
      <c r="N6585" t="s">
        <v>8</v>
      </c>
      <c r="O6585" t="s">
        <v>188</v>
      </c>
      <c r="P6585" s="1" t="s">
        <v>34</v>
      </c>
      <c r="Q6585">
        <v>148</v>
      </c>
    </row>
    <row r="6586" spans="11:17" x14ac:dyDescent="0.3">
      <c r="K6586">
        <v>2019</v>
      </c>
      <c r="L6586" t="s">
        <v>43</v>
      </c>
      <c r="M6586" t="s">
        <v>135</v>
      </c>
      <c r="N6586" t="s">
        <v>8</v>
      </c>
      <c r="O6586" t="s">
        <v>188</v>
      </c>
      <c r="P6586" s="1" t="s">
        <v>33</v>
      </c>
      <c r="Q6586">
        <v>150.6</v>
      </c>
    </row>
    <row r="6587" spans="11:17" x14ac:dyDescent="0.3">
      <c r="K6587">
        <v>2019</v>
      </c>
      <c r="L6587" t="s">
        <v>43</v>
      </c>
      <c r="M6587" t="s">
        <v>135</v>
      </c>
      <c r="N6587" t="s">
        <v>21</v>
      </c>
      <c r="O6587" t="s">
        <v>190</v>
      </c>
      <c r="P6587" s="1" t="s">
        <v>30</v>
      </c>
      <c r="Q6587">
        <v>147.69999999999999</v>
      </c>
    </row>
    <row r="6588" spans="11:17" x14ac:dyDescent="0.3">
      <c r="K6588">
        <v>2019</v>
      </c>
      <c r="L6588" t="s">
        <v>43</v>
      </c>
      <c r="M6588" t="s">
        <v>135</v>
      </c>
      <c r="N6588" t="s">
        <v>21</v>
      </c>
      <c r="O6588" t="s">
        <v>190</v>
      </c>
      <c r="P6588" s="1" t="s">
        <v>34</v>
      </c>
      <c r="Q6588">
        <v>140.6</v>
      </c>
    </row>
    <row r="6589" spans="11:17" x14ac:dyDescent="0.3">
      <c r="K6589">
        <v>2019</v>
      </c>
      <c r="L6589" t="s">
        <v>43</v>
      </c>
      <c r="M6589" t="s">
        <v>135</v>
      </c>
      <c r="N6589" t="s">
        <v>21</v>
      </c>
      <c r="O6589" t="s">
        <v>190</v>
      </c>
      <c r="P6589" s="1" t="s">
        <v>33</v>
      </c>
      <c r="Q6589">
        <v>128.9</v>
      </c>
    </row>
    <row r="6590" spans="11:17" x14ac:dyDescent="0.3">
      <c r="K6590">
        <v>2019</v>
      </c>
      <c r="L6590" t="s">
        <v>43</v>
      </c>
      <c r="M6590" t="s">
        <v>135</v>
      </c>
      <c r="N6590" t="s">
        <v>29</v>
      </c>
      <c r="O6590" t="s">
        <v>206</v>
      </c>
      <c r="P6590" s="1" t="s">
        <v>30</v>
      </c>
      <c r="Q6590">
        <v>148.30000000000001</v>
      </c>
    </row>
    <row r="6591" spans="11:17" x14ac:dyDescent="0.3">
      <c r="K6591">
        <v>2019</v>
      </c>
      <c r="L6591" t="s">
        <v>43</v>
      </c>
      <c r="M6591" t="s">
        <v>135</v>
      </c>
      <c r="N6591" t="s">
        <v>29</v>
      </c>
      <c r="O6591" t="s">
        <v>206</v>
      </c>
      <c r="P6591" s="1" t="s">
        <v>34</v>
      </c>
      <c r="Q6591">
        <v>147.19999999999999</v>
      </c>
    </row>
    <row r="6592" spans="11:17" x14ac:dyDescent="0.3">
      <c r="K6592">
        <v>2019</v>
      </c>
      <c r="L6592" t="s">
        <v>43</v>
      </c>
      <c r="M6592" t="s">
        <v>135</v>
      </c>
      <c r="N6592" t="s">
        <v>29</v>
      </c>
      <c r="O6592" t="s">
        <v>206</v>
      </c>
      <c r="P6592" s="1" t="s">
        <v>33</v>
      </c>
      <c r="Q6592">
        <v>146</v>
      </c>
    </row>
    <row r="6593" spans="11:17" x14ac:dyDescent="0.3">
      <c r="K6593">
        <v>2019</v>
      </c>
      <c r="L6593" t="s">
        <v>43</v>
      </c>
      <c r="M6593" t="s">
        <v>135</v>
      </c>
      <c r="N6593" t="s">
        <v>23</v>
      </c>
      <c r="O6593" t="s">
        <v>23</v>
      </c>
      <c r="P6593" s="1" t="s">
        <v>30</v>
      </c>
      <c r="Q6593">
        <v>153.69999999999999</v>
      </c>
    </row>
    <row r="6594" spans="11:17" x14ac:dyDescent="0.3">
      <c r="K6594">
        <v>2019</v>
      </c>
      <c r="L6594" t="s">
        <v>43</v>
      </c>
      <c r="M6594" t="s">
        <v>135</v>
      </c>
      <c r="N6594" t="s">
        <v>23</v>
      </c>
      <c r="O6594" t="s">
        <v>23</v>
      </c>
      <c r="P6594" s="1" t="s">
        <v>34</v>
      </c>
      <c r="Q6594">
        <v>149.4</v>
      </c>
    </row>
    <row r="6595" spans="11:17" x14ac:dyDescent="0.3">
      <c r="K6595">
        <v>2019</v>
      </c>
      <c r="L6595" t="s">
        <v>43</v>
      </c>
      <c r="M6595" t="s">
        <v>135</v>
      </c>
      <c r="N6595" t="s">
        <v>23</v>
      </c>
      <c r="O6595" t="s">
        <v>23</v>
      </c>
      <c r="P6595" s="1" t="s">
        <v>33</v>
      </c>
      <c r="Q6595">
        <v>142.4</v>
      </c>
    </row>
    <row r="6596" spans="11:17" x14ac:dyDescent="0.3">
      <c r="K6596">
        <v>2019</v>
      </c>
      <c r="L6596" t="s">
        <v>43</v>
      </c>
      <c r="M6596" t="s">
        <v>135</v>
      </c>
      <c r="N6596" t="s">
        <v>22</v>
      </c>
      <c r="O6596" t="s">
        <v>20</v>
      </c>
      <c r="P6596" s="1" t="s">
        <v>30</v>
      </c>
      <c r="Q6596">
        <v>150.6</v>
      </c>
    </row>
    <row r="6597" spans="11:17" x14ac:dyDescent="0.3">
      <c r="K6597">
        <v>2019</v>
      </c>
      <c r="L6597" t="s">
        <v>43</v>
      </c>
      <c r="M6597" t="s">
        <v>135</v>
      </c>
      <c r="N6597" t="s">
        <v>22</v>
      </c>
      <c r="O6597" t="s">
        <v>20</v>
      </c>
      <c r="P6597" s="1" t="s">
        <v>34</v>
      </c>
      <c r="Q6597">
        <v>145</v>
      </c>
    </row>
    <row r="6598" spans="11:17" x14ac:dyDescent="0.3">
      <c r="K6598">
        <v>2019</v>
      </c>
      <c r="L6598" t="s">
        <v>43</v>
      </c>
      <c r="M6598" t="s">
        <v>135</v>
      </c>
      <c r="N6598" t="s">
        <v>22</v>
      </c>
      <c r="O6598" t="s">
        <v>20</v>
      </c>
      <c r="P6598" s="1" t="s">
        <v>33</v>
      </c>
      <c r="Q6598">
        <v>138.69999999999999</v>
      </c>
    </row>
    <row r="6599" spans="11:17" x14ac:dyDescent="0.3">
      <c r="K6599">
        <v>2019</v>
      </c>
      <c r="L6599" t="s">
        <v>43</v>
      </c>
      <c r="M6599" t="s">
        <v>135</v>
      </c>
      <c r="N6599" t="s">
        <v>20</v>
      </c>
      <c r="O6599" t="s">
        <v>20</v>
      </c>
      <c r="P6599" s="1" t="s">
        <v>30</v>
      </c>
      <c r="Q6599">
        <v>0</v>
      </c>
    </row>
    <row r="6600" spans="11:17" x14ac:dyDescent="0.3">
      <c r="K6600">
        <v>2019</v>
      </c>
      <c r="L6600" t="s">
        <v>43</v>
      </c>
      <c r="M6600" t="s">
        <v>135</v>
      </c>
      <c r="N6600" t="s">
        <v>20</v>
      </c>
      <c r="O6600" t="s">
        <v>20</v>
      </c>
      <c r="P6600" s="1" t="s">
        <v>34</v>
      </c>
      <c r="Q6600">
        <v>153</v>
      </c>
    </row>
    <row r="6601" spans="11:17" x14ac:dyDescent="0.3">
      <c r="K6601">
        <v>2019</v>
      </c>
      <c r="L6601" t="s">
        <v>43</v>
      </c>
      <c r="M6601" t="s">
        <v>135</v>
      </c>
      <c r="N6601" t="s">
        <v>20</v>
      </c>
      <c r="O6601" t="s">
        <v>20</v>
      </c>
      <c r="P6601" s="1" t="s">
        <v>33</v>
      </c>
      <c r="Q6601">
        <v>153</v>
      </c>
    </row>
    <row r="6602" spans="11:17" x14ac:dyDescent="0.3">
      <c r="K6602">
        <v>2019</v>
      </c>
      <c r="L6602" t="s">
        <v>43</v>
      </c>
      <c r="M6602" t="s">
        <v>135</v>
      </c>
      <c r="N6602" t="s">
        <v>4</v>
      </c>
      <c r="O6602" t="s">
        <v>188</v>
      </c>
      <c r="P6602" s="1" t="s">
        <v>30</v>
      </c>
      <c r="Q6602">
        <v>161.6</v>
      </c>
    </row>
    <row r="6603" spans="11:17" x14ac:dyDescent="0.3">
      <c r="K6603">
        <v>2019</v>
      </c>
      <c r="L6603" t="s">
        <v>43</v>
      </c>
      <c r="M6603" t="s">
        <v>135</v>
      </c>
      <c r="N6603" t="s">
        <v>4</v>
      </c>
      <c r="O6603" t="s">
        <v>188</v>
      </c>
      <c r="P6603" s="1" t="s">
        <v>34</v>
      </c>
      <c r="Q6603">
        <v>161</v>
      </c>
    </row>
    <row r="6604" spans="11:17" x14ac:dyDescent="0.3">
      <c r="K6604">
        <v>2019</v>
      </c>
      <c r="L6604" t="s">
        <v>43</v>
      </c>
      <c r="M6604" t="s">
        <v>135</v>
      </c>
      <c r="N6604" t="s">
        <v>4</v>
      </c>
      <c r="O6604" t="s">
        <v>188</v>
      </c>
      <c r="P6604" s="1" t="s">
        <v>33</v>
      </c>
      <c r="Q6604">
        <v>159.80000000000001</v>
      </c>
    </row>
    <row r="6605" spans="11:17" x14ac:dyDescent="0.3">
      <c r="K6605">
        <v>2019</v>
      </c>
      <c r="L6605" t="s">
        <v>43</v>
      </c>
      <c r="M6605" t="s">
        <v>135</v>
      </c>
      <c r="N6605" t="s">
        <v>6</v>
      </c>
      <c r="O6605" t="s">
        <v>188</v>
      </c>
      <c r="P6605" s="1" t="s">
        <v>30</v>
      </c>
      <c r="Q6605">
        <v>146.5</v>
      </c>
    </row>
    <row r="6606" spans="11:17" x14ac:dyDescent="0.3">
      <c r="K6606">
        <v>2019</v>
      </c>
      <c r="L6606" t="s">
        <v>43</v>
      </c>
      <c r="M6606" t="s">
        <v>135</v>
      </c>
      <c r="N6606" t="s">
        <v>6</v>
      </c>
      <c r="O6606" t="s">
        <v>188</v>
      </c>
      <c r="P6606" s="1" t="s">
        <v>34</v>
      </c>
      <c r="Q6606">
        <v>146.19999999999999</v>
      </c>
    </row>
    <row r="6607" spans="11:17" x14ac:dyDescent="0.3">
      <c r="K6607">
        <v>2019</v>
      </c>
      <c r="L6607" t="s">
        <v>43</v>
      </c>
      <c r="M6607" t="s">
        <v>135</v>
      </c>
      <c r="N6607" t="s">
        <v>6</v>
      </c>
      <c r="O6607" t="s">
        <v>188</v>
      </c>
      <c r="P6607" s="1" t="s">
        <v>33</v>
      </c>
      <c r="Q6607">
        <v>145.6</v>
      </c>
    </row>
    <row r="6608" spans="11:17" x14ac:dyDescent="0.3">
      <c r="K6608">
        <v>2019</v>
      </c>
      <c r="L6608" t="s">
        <v>43</v>
      </c>
      <c r="M6608" t="s">
        <v>135</v>
      </c>
      <c r="N6608" t="s">
        <v>28</v>
      </c>
      <c r="O6608" t="s">
        <v>192</v>
      </c>
      <c r="P6608" s="1" t="s">
        <v>30</v>
      </c>
      <c r="Q6608">
        <v>145.69999999999999</v>
      </c>
    </row>
    <row r="6609" spans="11:17" x14ac:dyDescent="0.3">
      <c r="K6609">
        <v>2019</v>
      </c>
      <c r="L6609" t="s">
        <v>43</v>
      </c>
      <c r="M6609" t="s">
        <v>135</v>
      </c>
      <c r="N6609" t="s">
        <v>28</v>
      </c>
      <c r="O6609" t="s">
        <v>192</v>
      </c>
      <c r="P6609" s="1" t="s">
        <v>34</v>
      </c>
      <c r="Q6609">
        <v>141</v>
      </c>
    </row>
    <row r="6610" spans="11:17" x14ac:dyDescent="0.3">
      <c r="K6610">
        <v>2019</v>
      </c>
      <c r="L6610" t="s">
        <v>43</v>
      </c>
      <c r="M6610" t="s">
        <v>135</v>
      </c>
      <c r="N6610" t="s">
        <v>28</v>
      </c>
      <c r="O6610" t="s">
        <v>192</v>
      </c>
      <c r="P6610" s="1" t="s">
        <v>33</v>
      </c>
      <c r="Q6610">
        <v>136</v>
      </c>
    </row>
    <row r="6611" spans="11:17" x14ac:dyDescent="0.3">
      <c r="K6611">
        <v>2019</v>
      </c>
      <c r="L6611" t="s">
        <v>43</v>
      </c>
      <c r="M6611" t="s">
        <v>135</v>
      </c>
      <c r="N6611" t="s">
        <v>13</v>
      </c>
      <c r="O6611" t="s">
        <v>188</v>
      </c>
      <c r="P6611" s="1" t="s">
        <v>30</v>
      </c>
      <c r="Q6611">
        <v>138.6</v>
      </c>
    </row>
    <row r="6612" spans="11:17" x14ac:dyDescent="0.3">
      <c r="K6612">
        <v>2019</v>
      </c>
      <c r="L6612" t="s">
        <v>43</v>
      </c>
      <c r="M6612" t="s">
        <v>135</v>
      </c>
      <c r="N6612" t="s">
        <v>13</v>
      </c>
      <c r="O6612" t="s">
        <v>188</v>
      </c>
      <c r="P6612" s="1" t="s">
        <v>34</v>
      </c>
      <c r="Q6612">
        <v>135.1</v>
      </c>
    </row>
    <row r="6613" spans="11:17" x14ac:dyDescent="0.3">
      <c r="K6613">
        <v>2019</v>
      </c>
      <c r="L6613" t="s">
        <v>43</v>
      </c>
      <c r="M6613" t="s">
        <v>135</v>
      </c>
      <c r="N6613" t="s">
        <v>13</v>
      </c>
      <c r="O6613" t="s">
        <v>188</v>
      </c>
      <c r="P6613" s="1" t="s">
        <v>33</v>
      </c>
      <c r="Q6613">
        <v>130.19999999999999</v>
      </c>
    </row>
    <row r="6614" spans="11:17" x14ac:dyDescent="0.3">
      <c r="K6614">
        <v>2019</v>
      </c>
      <c r="L6614" t="s">
        <v>43</v>
      </c>
      <c r="M6614" t="s">
        <v>135</v>
      </c>
      <c r="N6614" t="s">
        <v>7</v>
      </c>
      <c r="O6614" t="s">
        <v>188</v>
      </c>
      <c r="P6614" s="1" t="s">
        <v>30</v>
      </c>
      <c r="Q6614">
        <v>125.6</v>
      </c>
    </row>
    <row r="6615" spans="11:17" x14ac:dyDescent="0.3">
      <c r="K6615">
        <v>2019</v>
      </c>
      <c r="L6615" t="s">
        <v>43</v>
      </c>
      <c r="M6615" t="s">
        <v>135</v>
      </c>
      <c r="N6615" t="s">
        <v>7</v>
      </c>
      <c r="O6615" t="s">
        <v>188</v>
      </c>
      <c r="P6615" s="1" t="s">
        <v>34</v>
      </c>
      <c r="Q6615">
        <v>123.9</v>
      </c>
    </row>
    <row r="6616" spans="11:17" x14ac:dyDescent="0.3">
      <c r="K6616">
        <v>2019</v>
      </c>
      <c r="L6616" t="s">
        <v>43</v>
      </c>
      <c r="M6616" t="s">
        <v>135</v>
      </c>
      <c r="N6616" t="s">
        <v>7</v>
      </c>
      <c r="O6616" t="s">
        <v>188</v>
      </c>
      <c r="P6616" s="1" t="s">
        <v>33</v>
      </c>
      <c r="Q6616">
        <v>121.1</v>
      </c>
    </row>
    <row r="6617" spans="11:17" x14ac:dyDescent="0.3">
      <c r="K6617">
        <v>2019</v>
      </c>
      <c r="L6617" t="s">
        <v>43</v>
      </c>
      <c r="M6617" t="s">
        <v>135</v>
      </c>
      <c r="N6617" t="s">
        <v>16</v>
      </c>
      <c r="O6617" t="s">
        <v>192</v>
      </c>
      <c r="P6617" s="1" t="s">
        <v>30</v>
      </c>
      <c r="Q6617">
        <v>166.3</v>
      </c>
    </row>
    <row r="6618" spans="11:17" x14ac:dyDescent="0.3">
      <c r="K6618">
        <v>2019</v>
      </c>
      <c r="L6618" t="s">
        <v>43</v>
      </c>
      <c r="M6618" t="s">
        <v>135</v>
      </c>
      <c r="N6618" t="s">
        <v>16</v>
      </c>
      <c r="O6618" t="s">
        <v>192</v>
      </c>
      <c r="P6618" s="1" t="s">
        <v>34</v>
      </c>
      <c r="Q6618">
        <v>167.1</v>
      </c>
    </row>
    <row r="6619" spans="11:17" x14ac:dyDescent="0.3">
      <c r="K6619">
        <v>2019</v>
      </c>
      <c r="L6619" t="s">
        <v>43</v>
      </c>
      <c r="M6619" t="s">
        <v>135</v>
      </c>
      <c r="N6619" t="s">
        <v>16</v>
      </c>
      <c r="O6619" t="s">
        <v>192</v>
      </c>
      <c r="P6619" s="1" t="s">
        <v>33</v>
      </c>
      <c r="Q6619">
        <v>169.3</v>
      </c>
    </row>
    <row r="6620" spans="11:17" x14ac:dyDescent="0.3">
      <c r="K6620">
        <v>2019</v>
      </c>
      <c r="L6620" t="s">
        <v>43</v>
      </c>
      <c r="M6620" t="s">
        <v>135</v>
      </c>
      <c r="N6620" t="s">
        <v>27</v>
      </c>
      <c r="O6620" t="s">
        <v>192</v>
      </c>
      <c r="P6620" s="1" t="s">
        <v>30</v>
      </c>
      <c r="Q6620">
        <v>140.30000000000001</v>
      </c>
    </row>
    <row r="6621" spans="11:17" x14ac:dyDescent="0.3">
      <c r="K6621">
        <v>2019</v>
      </c>
      <c r="L6621" t="s">
        <v>43</v>
      </c>
      <c r="M6621" t="s">
        <v>135</v>
      </c>
      <c r="N6621" t="s">
        <v>27</v>
      </c>
      <c r="O6621" t="s">
        <v>192</v>
      </c>
      <c r="P6621" s="1" t="s">
        <v>34</v>
      </c>
      <c r="Q6621">
        <v>140</v>
      </c>
    </row>
    <row r="6622" spans="11:17" x14ac:dyDescent="0.3">
      <c r="K6622">
        <v>2019</v>
      </c>
      <c r="L6622" t="s">
        <v>43</v>
      </c>
      <c r="M6622" t="s">
        <v>135</v>
      </c>
      <c r="N6622" t="s">
        <v>27</v>
      </c>
      <c r="O6622" t="s">
        <v>192</v>
      </c>
      <c r="P6622" s="1" t="s">
        <v>33</v>
      </c>
      <c r="Q6622">
        <v>139.5</v>
      </c>
    </row>
    <row r="6623" spans="11:17" x14ac:dyDescent="0.3">
      <c r="K6623">
        <v>2019</v>
      </c>
      <c r="L6623" t="s">
        <v>43</v>
      </c>
      <c r="M6623" t="s">
        <v>135</v>
      </c>
      <c r="N6623" t="s">
        <v>14</v>
      </c>
      <c r="O6623" t="s">
        <v>188</v>
      </c>
      <c r="P6623" s="1" t="s">
        <v>30</v>
      </c>
      <c r="Q6623">
        <v>157.4</v>
      </c>
    </row>
    <row r="6624" spans="11:17" x14ac:dyDescent="0.3">
      <c r="K6624">
        <v>2019</v>
      </c>
      <c r="L6624" t="s">
        <v>43</v>
      </c>
      <c r="M6624" t="s">
        <v>135</v>
      </c>
      <c r="N6624" t="s">
        <v>14</v>
      </c>
      <c r="O6624" t="s">
        <v>188</v>
      </c>
      <c r="P6624" s="1" t="s">
        <v>34</v>
      </c>
      <c r="Q6624">
        <v>157.1</v>
      </c>
    </row>
    <row r="6625" spans="11:17" x14ac:dyDescent="0.3">
      <c r="K6625">
        <v>2019</v>
      </c>
      <c r="L6625" t="s">
        <v>43</v>
      </c>
      <c r="M6625" t="s">
        <v>135</v>
      </c>
      <c r="N6625" t="s">
        <v>14</v>
      </c>
      <c r="O6625" t="s">
        <v>188</v>
      </c>
      <c r="P6625" s="1" t="s">
        <v>33</v>
      </c>
      <c r="Q6625">
        <v>156.80000000000001</v>
      </c>
    </row>
    <row r="6626" spans="11:17" x14ac:dyDescent="0.3">
      <c r="K6626">
        <v>2019</v>
      </c>
      <c r="L6626" t="s">
        <v>43</v>
      </c>
      <c r="M6626" t="s">
        <v>135</v>
      </c>
      <c r="N6626" t="s">
        <v>10</v>
      </c>
      <c r="O6626" t="s">
        <v>188</v>
      </c>
      <c r="P6626" s="1" t="s">
        <v>30</v>
      </c>
      <c r="Q6626">
        <v>133.1</v>
      </c>
    </row>
    <row r="6627" spans="11:17" x14ac:dyDescent="0.3">
      <c r="K6627">
        <v>2019</v>
      </c>
      <c r="L6627" t="s">
        <v>43</v>
      </c>
      <c r="M6627" t="s">
        <v>135</v>
      </c>
      <c r="N6627" t="s">
        <v>10</v>
      </c>
      <c r="O6627" t="s">
        <v>188</v>
      </c>
      <c r="P6627" s="1" t="s">
        <v>34</v>
      </c>
      <c r="Q6627">
        <v>132.5</v>
      </c>
    </row>
    <row r="6628" spans="11:17" x14ac:dyDescent="0.3">
      <c r="K6628">
        <v>2019</v>
      </c>
      <c r="L6628" t="s">
        <v>43</v>
      </c>
      <c r="M6628" t="s">
        <v>135</v>
      </c>
      <c r="N6628" t="s">
        <v>10</v>
      </c>
      <c r="O6628" t="s">
        <v>188</v>
      </c>
      <c r="P6628" s="1" t="s">
        <v>33</v>
      </c>
      <c r="Q6628">
        <v>131.19999999999999</v>
      </c>
    </row>
    <row r="6629" spans="11:17" x14ac:dyDescent="0.3">
      <c r="K6629">
        <v>2019</v>
      </c>
      <c r="L6629" t="s">
        <v>43</v>
      </c>
      <c r="M6629" t="s">
        <v>135</v>
      </c>
      <c r="N6629" t="s">
        <v>25</v>
      </c>
      <c r="O6629" t="s">
        <v>195</v>
      </c>
      <c r="P6629" s="1" t="s">
        <v>30</v>
      </c>
      <c r="Q6629">
        <v>148.69999999999999</v>
      </c>
    </row>
    <row r="6630" spans="11:17" x14ac:dyDescent="0.3">
      <c r="K6630">
        <v>2019</v>
      </c>
      <c r="L6630" t="s">
        <v>43</v>
      </c>
      <c r="M6630" t="s">
        <v>135</v>
      </c>
      <c r="N6630" t="s">
        <v>25</v>
      </c>
      <c r="O6630" t="s">
        <v>195</v>
      </c>
      <c r="P6630" s="1" t="s">
        <v>34</v>
      </c>
      <c r="Q6630">
        <v>141.69999999999999</v>
      </c>
    </row>
    <row r="6631" spans="11:17" x14ac:dyDescent="0.3">
      <c r="K6631">
        <v>2019</v>
      </c>
      <c r="L6631" t="s">
        <v>43</v>
      </c>
      <c r="M6631" t="s">
        <v>135</v>
      </c>
      <c r="N6631" t="s">
        <v>25</v>
      </c>
      <c r="O6631" t="s">
        <v>195</v>
      </c>
      <c r="P6631" s="1" t="s">
        <v>33</v>
      </c>
      <c r="Q6631">
        <v>136.19999999999999</v>
      </c>
    </row>
    <row r="6632" spans="11:17" x14ac:dyDescent="0.3">
      <c r="K6632">
        <v>2019</v>
      </c>
      <c r="L6632" t="s">
        <v>43</v>
      </c>
      <c r="M6632" t="s">
        <v>135</v>
      </c>
      <c r="N6632" t="s">
        <v>12</v>
      </c>
      <c r="O6632" t="s">
        <v>188</v>
      </c>
      <c r="P6632" s="1" t="s">
        <v>30</v>
      </c>
      <c r="Q6632">
        <v>145.5</v>
      </c>
    </row>
    <row r="6633" spans="11:17" x14ac:dyDescent="0.3">
      <c r="K6633">
        <v>2019</v>
      </c>
      <c r="L6633" t="s">
        <v>43</v>
      </c>
      <c r="M6633" t="s">
        <v>135</v>
      </c>
      <c r="N6633" t="s">
        <v>12</v>
      </c>
      <c r="O6633" t="s">
        <v>188</v>
      </c>
      <c r="P6633" s="1" t="s">
        <v>34</v>
      </c>
      <c r="Q6633">
        <v>145.4</v>
      </c>
    </row>
    <row r="6634" spans="11:17" x14ac:dyDescent="0.3">
      <c r="K6634">
        <v>2019</v>
      </c>
      <c r="L6634" t="s">
        <v>43</v>
      </c>
      <c r="M6634" t="s">
        <v>135</v>
      </c>
      <c r="N6634" t="s">
        <v>12</v>
      </c>
      <c r="O6634" t="s">
        <v>188</v>
      </c>
      <c r="P6634" s="1" t="s">
        <v>33</v>
      </c>
      <c r="Q6634">
        <v>145.19999999999999</v>
      </c>
    </row>
    <row r="6635" spans="11:17" x14ac:dyDescent="0.3">
      <c r="K6635">
        <v>2019</v>
      </c>
      <c r="L6635" t="s">
        <v>43</v>
      </c>
      <c r="M6635" t="s">
        <v>135</v>
      </c>
      <c r="N6635" t="s">
        <v>11</v>
      </c>
      <c r="O6635" t="s">
        <v>188</v>
      </c>
      <c r="P6635" s="1" t="s">
        <v>30</v>
      </c>
      <c r="Q6635">
        <v>113.6</v>
      </c>
    </row>
    <row r="6636" spans="11:17" x14ac:dyDescent="0.3">
      <c r="K6636">
        <v>2019</v>
      </c>
      <c r="L6636" t="s">
        <v>43</v>
      </c>
      <c r="M6636" t="s">
        <v>135</v>
      </c>
      <c r="N6636" t="s">
        <v>11</v>
      </c>
      <c r="O6636" t="s">
        <v>188</v>
      </c>
      <c r="P6636" s="1" t="s">
        <v>34</v>
      </c>
      <c r="Q6636">
        <v>114</v>
      </c>
    </row>
    <row r="6637" spans="11:17" x14ac:dyDescent="0.3">
      <c r="K6637">
        <v>2019</v>
      </c>
      <c r="L6637" t="s">
        <v>43</v>
      </c>
      <c r="M6637" t="s">
        <v>135</v>
      </c>
      <c r="N6637" t="s">
        <v>11</v>
      </c>
      <c r="O6637" t="s">
        <v>188</v>
      </c>
      <c r="P6637" s="1" t="s">
        <v>33</v>
      </c>
      <c r="Q6637">
        <v>114.8</v>
      </c>
    </row>
    <row r="6638" spans="11:17" x14ac:dyDescent="0.3">
      <c r="K6638">
        <v>2019</v>
      </c>
      <c r="L6638" t="s">
        <v>43</v>
      </c>
      <c r="M6638" t="s">
        <v>135</v>
      </c>
      <c r="N6638" t="s">
        <v>24</v>
      </c>
      <c r="O6638" t="s">
        <v>191</v>
      </c>
      <c r="P6638" s="1" t="s">
        <v>30</v>
      </c>
      <c r="Q6638">
        <v>131.69999999999999</v>
      </c>
    </row>
    <row r="6639" spans="11:17" x14ac:dyDescent="0.3">
      <c r="K6639">
        <v>2019</v>
      </c>
      <c r="L6639" t="s">
        <v>43</v>
      </c>
      <c r="M6639" t="s">
        <v>135</v>
      </c>
      <c r="N6639" t="s">
        <v>24</v>
      </c>
      <c r="O6639" t="s">
        <v>191</v>
      </c>
      <c r="P6639" s="1" t="s">
        <v>34</v>
      </c>
      <c r="Q6639">
        <v>126.3</v>
      </c>
    </row>
    <row r="6640" spans="11:17" x14ac:dyDescent="0.3">
      <c r="K6640">
        <v>2019</v>
      </c>
      <c r="L6640" t="s">
        <v>43</v>
      </c>
      <c r="M6640" t="s">
        <v>135</v>
      </c>
      <c r="N6640" t="s">
        <v>24</v>
      </c>
      <c r="O6640" t="s">
        <v>191</v>
      </c>
      <c r="P6640" s="1" t="s">
        <v>33</v>
      </c>
      <c r="Q6640">
        <v>121.5</v>
      </c>
    </row>
    <row r="6641" spans="11:17" x14ac:dyDescent="0.3">
      <c r="K6641">
        <v>2019</v>
      </c>
      <c r="L6641" t="s">
        <v>43</v>
      </c>
      <c r="M6641" t="s">
        <v>135</v>
      </c>
      <c r="N6641" t="s">
        <v>9</v>
      </c>
      <c r="O6641" t="s">
        <v>188</v>
      </c>
      <c r="P6641" s="1" t="s">
        <v>30</v>
      </c>
      <c r="Q6641">
        <v>178.8</v>
      </c>
    </row>
    <row r="6642" spans="11:17" x14ac:dyDescent="0.3">
      <c r="K6642">
        <v>2019</v>
      </c>
      <c r="L6642" t="s">
        <v>43</v>
      </c>
      <c r="M6642" t="s">
        <v>135</v>
      </c>
      <c r="N6642" t="s">
        <v>9</v>
      </c>
      <c r="O6642" t="s">
        <v>188</v>
      </c>
      <c r="P6642" s="1" t="s">
        <v>34</v>
      </c>
      <c r="Q6642">
        <v>188.4</v>
      </c>
    </row>
    <row r="6643" spans="11:17" x14ac:dyDescent="0.3">
      <c r="K6643">
        <v>2019</v>
      </c>
      <c r="L6643" t="s">
        <v>43</v>
      </c>
      <c r="M6643" t="s">
        <v>135</v>
      </c>
      <c r="N6643" t="s">
        <v>9</v>
      </c>
      <c r="O6643" t="s">
        <v>188</v>
      </c>
      <c r="P6643" s="1" t="s">
        <v>33</v>
      </c>
      <c r="Q6643">
        <v>207.2</v>
      </c>
    </row>
    <row r="6644" spans="11:17" x14ac:dyDescent="0.3">
      <c r="K6644">
        <v>2019</v>
      </c>
      <c r="L6644" t="s">
        <v>42</v>
      </c>
      <c r="M6644" t="s">
        <v>136</v>
      </c>
      <c r="N6644" t="s">
        <v>3</v>
      </c>
      <c r="O6644" t="s">
        <v>188</v>
      </c>
      <c r="P6644" s="1" t="s">
        <v>30</v>
      </c>
      <c r="Q6644">
        <v>140.1</v>
      </c>
    </row>
    <row r="6645" spans="11:17" x14ac:dyDescent="0.3">
      <c r="K6645">
        <v>2019</v>
      </c>
      <c r="L6645" t="s">
        <v>42</v>
      </c>
      <c r="M6645" t="s">
        <v>136</v>
      </c>
      <c r="N6645" t="s">
        <v>3</v>
      </c>
      <c r="O6645" t="s">
        <v>188</v>
      </c>
      <c r="P6645" s="1" t="s">
        <v>34</v>
      </c>
      <c r="Q6645">
        <v>140.9</v>
      </c>
    </row>
    <row r="6646" spans="11:17" x14ac:dyDescent="0.3">
      <c r="K6646">
        <v>2019</v>
      </c>
      <c r="L6646" t="s">
        <v>42</v>
      </c>
      <c r="M6646" t="s">
        <v>136</v>
      </c>
      <c r="N6646" t="s">
        <v>3</v>
      </c>
      <c r="O6646" t="s">
        <v>188</v>
      </c>
      <c r="P6646" s="1" t="s">
        <v>33</v>
      </c>
      <c r="Q6646">
        <v>142.69999999999999</v>
      </c>
    </row>
    <row r="6647" spans="11:17" x14ac:dyDescent="0.3">
      <c r="K6647">
        <v>2019</v>
      </c>
      <c r="L6647" t="s">
        <v>42</v>
      </c>
      <c r="M6647" t="s">
        <v>136</v>
      </c>
      <c r="N6647" t="s">
        <v>17</v>
      </c>
      <c r="O6647" t="s">
        <v>189</v>
      </c>
      <c r="P6647" s="1" t="s">
        <v>30</v>
      </c>
      <c r="Q6647">
        <v>151.69999999999999</v>
      </c>
    </row>
    <row r="6648" spans="11:17" x14ac:dyDescent="0.3">
      <c r="K6648">
        <v>2019</v>
      </c>
      <c r="L6648" t="s">
        <v>42</v>
      </c>
      <c r="M6648" t="s">
        <v>136</v>
      </c>
      <c r="N6648" t="s">
        <v>17</v>
      </c>
      <c r="O6648" t="s">
        <v>189</v>
      </c>
      <c r="P6648" s="1" t="s">
        <v>34</v>
      </c>
      <c r="Q6648">
        <v>149.19999999999999</v>
      </c>
    </row>
    <row r="6649" spans="11:17" x14ac:dyDescent="0.3">
      <c r="K6649">
        <v>2019</v>
      </c>
      <c r="L6649" t="s">
        <v>42</v>
      </c>
      <c r="M6649" t="s">
        <v>136</v>
      </c>
      <c r="N6649" t="s">
        <v>17</v>
      </c>
      <c r="O6649" t="s">
        <v>189</v>
      </c>
      <c r="P6649" s="1" t="s">
        <v>33</v>
      </c>
      <c r="Q6649">
        <v>145.30000000000001</v>
      </c>
    </row>
    <row r="6650" spans="11:17" x14ac:dyDescent="0.3">
      <c r="K6650">
        <v>2019</v>
      </c>
      <c r="L6650" t="s">
        <v>42</v>
      </c>
      <c r="M6650" t="s">
        <v>136</v>
      </c>
      <c r="N6650" t="s">
        <v>19</v>
      </c>
      <c r="O6650" t="s">
        <v>189</v>
      </c>
      <c r="P6650" s="1" t="s">
        <v>30</v>
      </c>
      <c r="Q6650">
        <v>151</v>
      </c>
    </row>
    <row r="6651" spans="11:17" x14ac:dyDescent="0.3">
      <c r="K6651">
        <v>2019</v>
      </c>
      <c r="L6651" t="s">
        <v>42</v>
      </c>
      <c r="M6651" t="s">
        <v>136</v>
      </c>
      <c r="N6651" t="s">
        <v>19</v>
      </c>
      <c r="O6651" t="s">
        <v>189</v>
      </c>
      <c r="P6651" s="1" t="s">
        <v>34</v>
      </c>
      <c r="Q6651">
        <v>147.9</v>
      </c>
    </row>
    <row r="6652" spans="11:17" x14ac:dyDescent="0.3">
      <c r="K6652">
        <v>2019</v>
      </c>
      <c r="L6652" t="s">
        <v>42</v>
      </c>
      <c r="M6652" t="s">
        <v>136</v>
      </c>
      <c r="N6652" t="s">
        <v>19</v>
      </c>
      <c r="O6652" t="s">
        <v>189</v>
      </c>
      <c r="P6652" s="1" t="s">
        <v>33</v>
      </c>
      <c r="Q6652">
        <v>143.30000000000001</v>
      </c>
    </row>
    <row r="6653" spans="11:17" x14ac:dyDescent="0.3">
      <c r="K6653">
        <v>2019</v>
      </c>
      <c r="L6653" t="s">
        <v>42</v>
      </c>
      <c r="M6653" t="s">
        <v>136</v>
      </c>
      <c r="N6653" t="s">
        <v>26</v>
      </c>
      <c r="O6653" t="s">
        <v>26</v>
      </c>
      <c r="P6653" s="1" t="s">
        <v>30</v>
      </c>
      <c r="Q6653">
        <v>160.19999999999999</v>
      </c>
    </row>
    <row r="6654" spans="11:17" x14ac:dyDescent="0.3">
      <c r="K6654">
        <v>2019</v>
      </c>
      <c r="L6654" t="s">
        <v>42</v>
      </c>
      <c r="M6654" t="s">
        <v>136</v>
      </c>
      <c r="N6654" t="s">
        <v>26</v>
      </c>
      <c r="O6654" t="s">
        <v>26</v>
      </c>
      <c r="P6654" s="1" t="s">
        <v>34</v>
      </c>
      <c r="Q6654">
        <v>155.19999999999999</v>
      </c>
    </row>
    <row r="6655" spans="11:17" x14ac:dyDescent="0.3">
      <c r="K6655">
        <v>2019</v>
      </c>
      <c r="L6655" t="s">
        <v>42</v>
      </c>
      <c r="M6655" t="s">
        <v>136</v>
      </c>
      <c r="N6655" t="s">
        <v>26</v>
      </c>
      <c r="O6655" t="s">
        <v>26</v>
      </c>
      <c r="P6655" s="1" t="s">
        <v>33</v>
      </c>
      <c r="Q6655">
        <v>151.6</v>
      </c>
    </row>
    <row r="6656" spans="11:17" x14ac:dyDescent="0.3">
      <c r="K6656">
        <v>2019</v>
      </c>
      <c r="L6656" t="s">
        <v>42</v>
      </c>
      <c r="M6656" t="s">
        <v>136</v>
      </c>
      <c r="N6656" t="s">
        <v>5</v>
      </c>
      <c r="O6656" t="s">
        <v>188</v>
      </c>
      <c r="P6656" s="1" t="s">
        <v>30</v>
      </c>
      <c r="Q6656">
        <v>138.30000000000001</v>
      </c>
    </row>
    <row r="6657" spans="11:17" x14ac:dyDescent="0.3">
      <c r="K6657">
        <v>2019</v>
      </c>
      <c r="L6657" t="s">
        <v>42</v>
      </c>
      <c r="M6657" t="s">
        <v>136</v>
      </c>
      <c r="N6657" t="s">
        <v>5</v>
      </c>
      <c r="O6657" t="s">
        <v>188</v>
      </c>
      <c r="P6657" s="1" t="s">
        <v>34</v>
      </c>
      <c r="Q6657">
        <v>139.6</v>
      </c>
    </row>
    <row r="6658" spans="11:17" x14ac:dyDescent="0.3">
      <c r="K6658">
        <v>2019</v>
      </c>
      <c r="L6658" t="s">
        <v>42</v>
      </c>
      <c r="M6658" t="s">
        <v>136</v>
      </c>
      <c r="N6658" t="s">
        <v>5</v>
      </c>
      <c r="O6658" t="s">
        <v>188</v>
      </c>
      <c r="P6658" s="1" t="s">
        <v>33</v>
      </c>
      <c r="Q6658">
        <v>141.6</v>
      </c>
    </row>
    <row r="6659" spans="11:17" x14ac:dyDescent="0.3">
      <c r="K6659">
        <v>2019</v>
      </c>
      <c r="L6659" t="s">
        <v>42</v>
      </c>
      <c r="M6659" t="s">
        <v>136</v>
      </c>
      <c r="N6659" t="s">
        <v>15</v>
      </c>
      <c r="O6659" t="s">
        <v>188</v>
      </c>
      <c r="P6659" s="1" t="s">
        <v>30</v>
      </c>
      <c r="Q6659">
        <v>145.5</v>
      </c>
    </row>
    <row r="6660" spans="11:17" x14ac:dyDescent="0.3">
      <c r="K6660">
        <v>2019</v>
      </c>
      <c r="L6660" t="s">
        <v>42</v>
      </c>
      <c r="M6660" t="s">
        <v>136</v>
      </c>
      <c r="N6660" t="s">
        <v>15</v>
      </c>
      <c r="O6660" t="s">
        <v>188</v>
      </c>
      <c r="P6660" s="1" t="s">
        <v>34</v>
      </c>
      <c r="Q6660">
        <v>147</v>
      </c>
    </row>
    <row r="6661" spans="11:17" x14ac:dyDescent="0.3">
      <c r="K6661">
        <v>2019</v>
      </c>
      <c r="L6661" t="s">
        <v>42</v>
      </c>
      <c r="M6661" t="s">
        <v>136</v>
      </c>
      <c r="N6661" t="s">
        <v>15</v>
      </c>
      <c r="O6661" t="s">
        <v>188</v>
      </c>
      <c r="P6661" s="1" t="s">
        <v>33</v>
      </c>
      <c r="Q6661">
        <v>149.5</v>
      </c>
    </row>
    <row r="6662" spans="11:17" x14ac:dyDescent="0.3">
      <c r="K6662">
        <v>2019</v>
      </c>
      <c r="L6662" t="s">
        <v>42</v>
      </c>
      <c r="M6662" t="s">
        <v>136</v>
      </c>
      <c r="N6662" t="s">
        <v>18</v>
      </c>
      <c r="O6662" t="s">
        <v>189</v>
      </c>
      <c r="P6662" s="1" t="s">
        <v>30</v>
      </c>
      <c r="Q6662">
        <v>146.6</v>
      </c>
    </row>
    <row r="6663" spans="11:17" x14ac:dyDescent="0.3">
      <c r="K6663">
        <v>2019</v>
      </c>
      <c r="L6663" t="s">
        <v>42</v>
      </c>
      <c r="M6663" t="s">
        <v>136</v>
      </c>
      <c r="N6663" t="s">
        <v>18</v>
      </c>
      <c r="O6663" t="s">
        <v>189</v>
      </c>
      <c r="P6663" s="1" t="s">
        <v>34</v>
      </c>
      <c r="Q6663">
        <v>140.6</v>
      </c>
    </row>
    <row r="6664" spans="11:17" x14ac:dyDescent="0.3">
      <c r="K6664">
        <v>2019</v>
      </c>
      <c r="L6664" t="s">
        <v>42</v>
      </c>
      <c r="M6664" t="s">
        <v>136</v>
      </c>
      <c r="N6664" t="s">
        <v>18</v>
      </c>
      <c r="O6664" t="s">
        <v>189</v>
      </c>
      <c r="P6664" s="1" t="s">
        <v>33</v>
      </c>
      <c r="Q6664">
        <v>132.19999999999999</v>
      </c>
    </row>
    <row r="6665" spans="11:17" x14ac:dyDescent="0.3">
      <c r="K6665">
        <v>2019</v>
      </c>
      <c r="L6665" t="s">
        <v>42</v>
      </c>
      <c r="M6665" t="s">
        <v>136</v>
      </c>
      <c r="N6665" t="s">
        <v>8</v>
      </c>
      <c r="O6665" t="s">
        <v>188</v>
      </c>
      <c r="P6665" s="1" t="s">
        <v>30</v>
      </c>
      <c r="Q6665">
        <v>143.80000000000001</v>
      </c>
    </row>
    <row r="6666" spans="11:17" x14ac:dyDescent="0.3">
      <c r="K6666">
        <v>2019</v>
      </c>
      <c r="L6666" t="s">
        <v>42</v>
      </c>
      <c r="M6666" t="s">
        <v>136</v>
      </c>
      <c r="N6666" t="s">
        <v>8</v>
      </c>
      <c r="O6666" t="s">
        <v>188</v>
      </c>
      <c r="P6666" s="1" t="s">
        <v>34</v>
      </c>
      <c r="Q6666">
        <v>146.6</v>
      </c>
    </row>
    <row r="6667" spans="11:17" x14ac:dyDescent="0.3">
      <c r="K6667">
        <v>2019</v>
      </c>
      <c r="L6667" t="s">
        <v>42</v>
      </c>
      <c r="M6667" t="s">
        <v>136</v>
      </c>
      <c r="N6667" t="s">
        <v>8</v>
      </c>
      <c r="O6667" t="s">
        <v>188</v>
      </c>
      <c r="P6667" s="1" t="s">
        <v>33</v>
      </c>
      <c r="Q6667">
        <v>149.80000000000001</v>
      </c>
    </row>
    <row r="6668" spans="11:17" x14ac:dyDescent="0.3">
      <c r="K6668">
        <v>2019</v>
      </c>
      <c r="L6668" t="s">
        <v>42</v>
      </c>
      <c r="M6668" t="s">
        <v>136</v>
      </c>
      <c r="N6668" t="s">
        <v>21</v>
      </c>
      <c r="O6668" t="s">
        <v>190</v>
      </c>
      <c r="P6668" s="1" t="s">
        <v>30</v>
      </c>
      <c r="Q6668">
        <v>146.9</v>
      </c>
    </row>
    <row r="6669" spans="11:17" x14ac:dyDescent="0.3">
      <c r="K6669">
        <v>2019</v>
      </c>
      <c r="L6669" t="s">
        <v>42</v>
      </c>
      <c r="M6669" t="s">
        <v>136</v>
      </c>
      <c r="N6669" t="s">
        <v>21</v>
      </c>
      <c r="O6669" t="s">
        <v>190</v>
      </c>
      <c r="P6669" s="1" t="s">
        <v>34</v>
      </c>
      <c r="Q6669">
        <v>139.19999999999999</v>
      </c>
    </row>
    <row r="6670" spans="11:17" x14ac:dyDescent="0.3">
      <c r="K6670">
        <v>2019</v>
      </c>
      <c r="L6670" t="s">
        <v>42</v>
      </c>
      <c r="M6670" t="s">
        <v>136</v>
      </c>
      <c r="N6670" t="s">
        <v>21</v>
      </c>
      <c r="O6670" t="s">
        <v>190</v>
      </c>
      <c r="P6670" s="1" t="s">
        <v>33</v>
      </c>
      <c r="Q6670">
        <v>126.6</v>
      </c>
    </row>
    <row r="6671" spans="11:17" x14ac:dyDescent="0.3">
      <c r="K6671">
        <v>2019</v>
      </c>
      <c r="L6671" t="s">
        <v>42</v>
      </c>
      <c r="M6671" t="s">
        <v>136</v>
      </c>
      <c r="N6671" t="s">
        <v>29</v>
      </c>
      <c r="O6671" t="s">
        <v>206</v>
      </c>
      <c r="P6671" s="1" t="s">
        <v>30</v>
      </c>
      <c r="Q6671">
        <v>146.69999999999999</v>
      </c>
    </row>
    <row r="6672" spans="11:17" x14ac:dyDescent="0.3">
      <c r="K6672">
        <v>2019</v>
      </c>
      <c r="L6672" t="s">
        <v>42</v>
      </c>
      <c r="M6672" t="s">
        <v>136</v>
      </c>
      <c r="N6672" t="s">
        <v>29</v>
      </c>
      <c r="O6672" t="s">
        <v>206</v>
      </c>
      <c r="P6672" s="1" t="s">
        <v>34</v>
      </c>
      <c r="Q6672">
        <v>145.80000000000001</v>
      </c>
    </row>
    <row r="6673" spans="11:17" x14ac:dyDescent="0.3">
      <c r="K6673">
        <v>2019</v>
      </c>
      <c r="L6673" t="s">
        <v>42</v>
      </c>
      <c r="M6673" t="s">
        <v>136</v>
      </c>
      <c r="N6673" t="s">
        <v>29</v>
      </c>
      <c r="O6673" t="s">
        <v>206</v>
      </c>
      <c r="P6673" s="1" t="s">
        <v>33</v>
      </c>
      <c r="Q6673">
        <v>144.69999999999999</v>
      </c>
    </row>
    <row r="6674" spans="11:17" x14ac:dyDescent="0.3">
      <c r="K6674">
        <v>2019</v>
      </c>
      <c r="L6674" t="s">
        <v>42</v>
      </c>
      <c r="M6674" t="s">
        <v>136</v>
      </c>
      <c r="N6674" t="s">
        <v>23</v>
      </c>
      <c r="O6674" t="s">
        <v>23</v>
      </c>
      <c r="P6674" s="1" t="s">
        <v>30</v>
      </c>
      <c r="Q6674">
        <v>153.4</v>
      </c>
    </row>
    <row r="6675" spans="11:17" x14ac:dyDescent="0.3">
      <c r="K6675">
        <v>2019</v>
      </c>
      <c r="L6675" t="s">
        <v>42</v>
      </c>
      <c r="M6675" t="s">
        <v>136</v>
      </c>
      <c r="N6675" t="s">
        <v>23</v>
      </c>
      <c r="O6675" t="s">
        <v>23</v>
      </c>
      <c r="P6675" s="1" t="s">
        <v>34</v>
      </c>
      <c r="Q6675">
        <v>149</v>
      </c>
    </row>
    <row r="6676" spans="11:17" x14ac:dyDescent="0.3">
      <c r="K6676">
        <v>2019</v>
      </c>
      <c r="L6676" t="s">
        <v>42</v>
      </c>
      <c r="M6676" t="s">
        <v>136</v>
      </c>
      <c r="N6676" t="s">
        <v>23</v>
      </c>
      <c r="O6676" t="s">
        <v>23</v>
      </c>
      <c r="P6676" s="1" t="s">
        <v>33</v>
      </c>
      <c r="Q6676">
        <v>141.9</v>
      </c>
    </row>
    <row r="6677" spans="11:17" x14ac:dyDescent="0.3">
      <c r="K6677">
        <v>2019</v>
      </c>
      <c r="L6677" t="s">
        <v>42</v>
      </c>
      <c r="M6677" t="s">
        <v>136</v>
      </c>
      <c r="N6677" t="s">
        <v>22</v>
      </c>
      <c r="O6677" t="s">
        <v>20</v>
      </c>
      <c r="P6677" s="1" t="s">
        <v>30</v>
      </c>
      <c r="Q6677">
        <v>150.30000000000001</v>
      </c>
    </row>
    <row r="6678" spans="11:17" x14ac:dyDescent="0.3">
      <c r="K6678">
        <v>2019</v>
      </c>
      <c r="L6678" t="s">
        <v>42</v>
      </c>
      <c r="M6678" t="s">
        <v>136</v>
      </c>
      <c r="N6678" t="s">
        <v>22</v>
      </c>
      <c r="O6678" t="s">
        <v>20</v>
      </c>
      <c r="P6678" s="1" t="s">
        <v>34</v>
      </c>
      <c r="Q6678">
        <v>144.6</v>
      </c>
    </row>
    <row r="6679" spans="11:17" x14ac:dyDescent="0.3">
      <c r="K6679">
        <v>2019</v>
      </c>
      <c r="L6679" t="s">
        <v>42</v>
      </c>
      <c r="M6679" t="s">
        <v>136</v>
      </c>
      <c r="N6679" t="s">
        <v>22</v>
      </c>
      <c r="O6679" t="s">
        <v>20</v>
      </c>
      <c r="P6679" s="1" t="s">
        <v>33</v>
      </c>
      <c r="Q6679">
        <v>138.30000000000001</v>
      </c>
    </row>
    <row r="6680" spans="11:17" x14ac:dyDescent="0.3">
      <c r="K6680">
        <v>2019</v>
      </c>
      <c r="L6680" t="s">
        <v>42</v>
      </c>
      <c r="M6680" t="s">
        <v>136</v>
      </c>
      <c r="N6680" t="s">
        <v>20</v>
      </c>
      <c r="O6680" t="s">
        <v>20</v>
      </c>
      <c r="P6680" s="1" t="s">
        <v>30</v>
      </c>
      <c r="Q6680">
        <v>0</v>
      </c>
    </row>
    <row r="6681" spans="11:17" x14ac:dyDescent="0.3">
      <c r="K6681">
        <v>2019</v>
      </c>
      <c r="L6681" t="s">
        <v>42</v>
      </c>
      <c r="M6681" t="s">
        <v>136</v>
      </c>
      <c r="N6681" t="s">
        <v>20</v>
      </c>
      <c r="O6681" t="s">
        <v>20</v>
      </c>
      <c r="P6681" s="1" t="s">
        <v>34</v>
      </c>
      <c r="Q6681">
        <v>152.19999999999999</v>
      </c>
    </row>
    <row r="6682" spans="11:17" x14ac:dyDescent="0.3">
      <c r="K6682">
        <v>2019</v>
      </c>
      <c r="L6682" t="s">
        <v>42</v>
      </c>
      <c r="M6682" t="s">
        <v>136</v>
      </c>
      <c r="N6682" t="s">
        <v>20</v>
      </c>
      <c r="O6682" t="s">
        <v>20</v>
      </c>
      <c r="P6682" s="1" t="s">
        <v>33</v>
      </c>
      <c r="Q6682">
        <v>152.19999999999999</v>
      </c>
    </row>
    <row r="6683" spans="11:17" x14ac:dyDescent="0.3">
      <c r="K6683">
        <v>2019</v>
      </c>
      <c r="L6683" t="s">
        <v>42</v>
      </c>
      <c r="M6683" t="s">
        <v>136</v>
      </c>
      <c r="N6683" t="s">
        <v>4</v>
      </c>
      <c r="O6683" t="s">
        <v>188</v>
      </c>
      <c r="P6683" s="1" t="s">
        <v>30</v>
      </c>
      <c r="Q6683">
        <v>161.9</v>
      </c>
    </row>
    <row r="6684" spans="11:17" x14ac:dyDescent="0.3">
      <c r="K6684">
        <v>2019</v>
      </c>
      <c r="L6684" t="s">
        <v>42</v>
      </c>
      <c r="M6684" t="s">
        <v>136</v>
      </c>
      <c r="N6684" t="s">
        <v>4</v>
      </c>
      <c r="O6684" t="s">
        <v>188</v>
      </c>
      <c r="P6684" s="1" t="s">
        <v>34</v>
      </c>
      <c r="Q6684">
        <v>160.80000000000001</v>
      </c>
    </row>
    <row r="6685" spans="11:17" x14ac:dyDescent="0.3">
      <c r="K6685">
        <v>2019</v>
      </c>
      <c r="L6685" t="s">
        <v>42</v>
      </c>
      <c r="M6685" t="s">
        <v>136</v>
      </c>
      <c r="N6685" t="s">
        <v>4</v>
      </c>
      <c r="O6685" t="s">
        <v>188</v>
      </c>
      <c r="P6685" s="1" t="s">
        <v>33</v>
      </c>
      <c r="Q6685">
        <v>158.69999999999999</v>
      </c>
    </row>
    <row r="6686" spans="11:17" x14ac:dyDescent="0.3">
      <c r="K6686">
        <v>2019</v>
      </c>
      <c r="L6686" t="s">
        <v>42</v>
      </c>
      <c r="M6686" t="s">
        <v>136</v>
      </c>
      <c r="N6686" t="s">
        <v>6</v>
      </c>
      <c r="O6686" t="s">
        <v>188</v>
      </c>
      <c r="P6686" s="1" t="s">
        <v>30</v>
      </c>
      <c r="Q6686">
        <v>145.69999999999999</v>
      </c>
    </row>
    <row r="6687" spans="11:17" x14ac:dyDescent="0.3">
      <c r="K6687">
        <v>2019</v>
      </c>
      <c r="L6687" t="s">
        <v>42</v>
      </c>
      <c r="M6687" t="s">
        <v>136</v>
      </c>
      <c r="N6687" t="s">
        <v>6</v>
      </c>
      <c r="O6687" t="s">
        <v>188</v>
      </c>
      <c r="P6687" s="1" t="s">
        <v>34</v>
      </c>
      <c r="Q6687">
        <v>145.4</v>
      </c>
    </row>
    <row r="6688" spans="11:17" x14ac:dyDescent="0.3">
      <c r="K6688">
        <v>2019</v>
      </c>
      <c r="L6688" t="s">
        <v>42</v>
      </c>
      <c r="M6688" t="s">
        <v>136</v>
      </c>
      <c r="N6688" t="s">
        <v>6</v>
      </c>
      <c r="O6688" t="s">
        <v>188</v>
      </c>
      <c r="P6688" s="1" t="s">
        <v>33</v>
      </c>
      <c r="Q6688">
        <v>144.9</v>
      </c>
    </row>
    <row r="6689" spans="11:17" x14ac:dyDescent="0.3">
      <c r="K6689">
        <v>2019</v>
      </c>
      <c r="L6689" t="s">
        <v>42</v>
      </c>
      <c r="M6689" t="s">
        <v>136</v>
      </c>
      <c r="N6689" t="s">
        <v>28</v>
      </c>
      <c r="O6689" t="s">
        <v>192</v>
      </c>
      <c r="P6689" s="1" t="s">
        <v>30</v>
      </c>
      <c r="Q6689">
        <v>145.4</v>
      </c>
    </row>
    <row r="6690" spans="11:17" x14ac:dyDescent="0.3">
      <c r="K6690">
        <v>2019</v>
      </c>
      <c r="L6690" t="s">
        <v>42</v>
      </c>
      <c r="M6690" t="s">
        <v>136</v>
      </c>
      <c r="N6690" t="s">
        <v>28</v>
      </c>
      <c r="O6690" t="s">
        <v>192</v>
      </c>
      <c r="P6690" s="1" t="s">
        <v>34</v>
      </c>
      <c r="Q6690">
        <v>140.69999999999999</v>
      </c>
    </row>
    <row r="6691" spans="11:17" x14ac:dyDescent="0.3">
      <c r="K6691">
        <v>2019</v>
      </c>
      <c r="L6691" t="s">
        <v>42</v>
      </c>
      <c r="M6691" t="s">
        <v>136</v>
      </c>
      <c r="N6691" t="s">
        <v>28</v>
      </c>
      <c r="O6691" t="s">
        <v>192</v>
      </c>
      <c r="P6691" s="1" t="s">
        <v>33</v>
      </c>
      <c r="Q6691">
        <v>135.69999999999999</v>
      </c>
    </row>
    <row r="6692" spans="11:17" x14ac:dyDescent="0.3">
      <c r="K6692">
        <v>2019</v>
      </c>
      <c r="L6692" t="s">
        <v>42</v>
      </c>
      <c r="M6692" t="s">
        <v>136</v>
      </c>
      <c r="N6692" t="s">
        <v>13</v>
      </c>
      <c r="O6692" t="s">
        <v>188</v>
      </c>
      <c r="P6692" s="1" t="s">
        <v>30</v>
      </c>
      <c r="Q6692">
        <v>138.5</v>
      </c>
    </row>
    <row r="6693" spans="11:17" x14ac:dyDescent="0.3">
      <c r="K6693">
        <v>2019</v>
      </c>
      <c r="L6693" t="s">
        <v>42</v>
      </c>
      <c r="M6693" t="s">
        <v>136</v>
      </c>
      <c r="N6693" t="s">
        <v>13</v>
      </c>
      <c r="O6693" t="s">
        <v>188</v>
      </c>
      <c r="P6693" s="1" t="s">
        <v>34</v>
      </c>
      <c r="Q6693">
        <v>135</v>
      </c>
    </row>
    <row r="6694" spans="11:17" x14ac:dyDescent="0.3">
      <c r="K6694">
        <v>2019</v>
      </c>
      <c r="L6694" t="s">
        <v>42</v>
      </c>
      <c r="M6694" t="s">
        <v>136</v>
      </c>
      <c r="N6694" t="s">
        <v>13</v>
      </c>
      <c r="O6694" t="s">
        <v>188</v>
      </c>
      <c r="P6694" s="1" t="s">
        <v>33</v>
      </c>
      <c r="Q6694">
        <v>130</v>
      </c>
    </row>
    <row r="6695" spans="11:17" x14ac:dyDescent="0.3">
      <c r="K6695">
        <v>2019</v>
      </c>
      <c r="L6695" t="s">
        <v>42</v>
      </c>
      <c r="M6695" t="s">
        <v>136</v>
      </c>
      <c r="N6695" t="s">
        <v>7</v>
      </c>
      <c r="O6695" t="s">
        <v>188</v>
      </c>
      <c r="P6695" s="1" t="s">
        <v>30</v>
      </c>
      <c r="Q6695">
        <v>125.1</v>
      </c>
    </row>
    <row r="6696" spans="11:17" x14ac:dyDescent="0.3">
      <c r="K6696">
        <v>2019</v>
      </c>
      <c r="L6696" t="s">
        <v>42</v>
      </c>
      <c r="M6696" t="s">
        <v>136</v>
      </c>
      <c r="N6696" t="s">
        <v>7</v>
      </c>
      <c r="O6696" t="s">
        <v>188</v>
      </c>
      <c r="P6696" s="1" t="s">
        <v>34</v>
      </c>
      <c r="Q6696">
        <v>123.5</v>
      </c>
    </row>
    <row r="6697" spans="11:17" x14ac:dyDescent="0.3">
      <c r="K6697">
        <v>2019</v>
      </c>
      <c r="L6697" t="s">
        <v>42</v>
      </c>
      <c r="M6697" t="s">
        <v>136</v>
      </c>
      <c r="N6697" t="s">
        <v>7</v>
      </c>
      <c r="O6697" t="s">
        <v>188</v>
      </c>
      <c r="P6697" s="1" t="s">
        <v>33</v>
      </c>
      <c r="Q6697">
        <v>120.8</v>
      </c>
    </row>
    <row r="6698" spans="11:17" x14ac:dyDescent="0.3">
      <c r="K6698">
        <v>2019</v>
      </c>
      <c r="L6698" t="s">
        <v>42</v>
      </c>
      <c r="M6698" t="s">
        <v>136</v>
      </c>
      <c r="N6698" t="s">
        <v>16</v>
      </c>
      <c r="O6698" t="s">
        <v>192</v>
      </c>
      <c r="P6698" s="1" t="s">
        <v>30</v>
      </c>
      <c r="Q6698">
        <v>165.7</v>
      </c>
    </row>
    <row r="6699" spans="11:17" x14ac:dyDescent="0.3">
      <c r="K6699">
        <v>2019</v>
      </c>
      <c r="L6699" t="s">
        <v>42</v>
      </c>
      <c r="M6699" t="s">
        <v>136</v>
      </c>
      <c r="N6699" t="s">
        <v>16</v>
      </c>
      <c r="O6699" t="s">
        <v>192</v>
      </c>
      <c r="P6699" s="1" t="s">
        <v>34</v>
      </c>
      <c r="Q6699">
        <v>166.5</v>
      </c>
    </row>
    <row r="6700" spans="11:17" x14ac:dyDescent="0.3">
      <c r="K6700">
        <v>2019</v>
      </c>
      <c r="L6700" t="s">
        <v>42</v>
      </c>
      <c r="M6700" t="s">
        <v>136</v>
      </c>
      <c r="N6700" t="s">
        <v>16</v>
      </c>
      <c r="O6700" t="s">
        <v>192</v>
      </c>
      <c r="P6700" s="1" t="s">
        <v>33</v>
      </c>
      <c r="Q6700">
        <v>168.6</v>
      </c>
    </row>
    <row r="6701" spans="11:17" x14ac:dyDescent="0.3">
      <c r="K6701">
        <v>2019</v>
      </c>
      <c r="L6701" t="s">
        <v>42</v>
      </c>
      <c r="M6701" t="s">
        <v>136</v>
      </c>
      <c r="N6701" t="s">
        <v>27</v>
      </c>
      <c r="O6701" t="s">
        <v>192</v>
      </c>
      <c r="P6701" s="1" t="s">
        <v>30</v>
      </c>
      <c r="Q6701">
        <v>140.19999999999999</v>
      </c>
    </row>
    <row r="6702" spans="11:17" x14ac:dyDescent="0.3">
      <c r="K6702">
        <v>2019</v>
      </c>
      <c r="L6702" t="s">
        <v>42</v>
      </c>
      <c r="M6702" t="s">
        <v>136</v>
      </c>
      <c r="N6702" t="s">
        <v>27</v>
      </c>
      <c r="O6702" t="s">
        <v>192</v>
      </c>
      <c r="P6702" s="1" t="s">
        <v>34</v>
      </c>
      <c r="Q6702">
        <v>139.69999999999999</v>
      </c>
    </row>
    <row r="6703" spans="11:17" x14ac:dyDescent="0.3">
      <c r="K6703">
        <v>2019</v>
      </c>
      <c r="L6703" t="s">
        <v>42</v>
      </c>
      <c r="M6703" t="s">
        <v>136</v>
      </c>
      <c r="N6703" t="s">
        <v>27</v>
      </c>
      <c r="O6703" t="s">
        <v>192</v>
      </c>
      <c r="P6703" s="1" t="s">
        <v>33</v>
      </c>
      <c r="Q6703">
        <v>139</v>
      </c>
    </row>
    <row r="6704" spans="11:17" x14ac:dyDescent="0.3">
      <c r="K6704">
        <v>2019</v>
      </c>
      <c r="L6704" t="s">
        <v>42</v>
      </c>
      <c r="M6704" t="s">
        <v>136</v>
      </c>
      <c r="N6704" t="s">
        <v>14</v>
      </c>
      <c r="O6704" t="s">
        <v>188</v>
      </c>
      <c r="P6704" s="1" t="s">
        <v>30</v>
      </c>
      <c r="Q6704">
        <v>157.19999999999999</v>
      </c>
    </row>
    <row r="6705" spans="11:17" x14ac:dyDescent="0.3">
      <c r="K6705">
        <v>2019</v>
      </c>
      <c r="L6705" t="s">
        <v>42</v>
      </c>
      <c r="M6705" t="s">
        <v>136</v>
      </c>
      <c r="N6705" t="s">
        <v>14</v>
      </c>
      <c r="O6705" t="s">
        <v>188</v>
      </c>
      <c r="P6705" s="1" t="s">
        <v>34</v>
      </c>
      <c r="Q6705">
        <v>156.80000000000001</v>
      </c>
    </row>
    <row r="6706" spans="11:17" x14ac:dyDescent="0.3">
      <c r="K6706">
        <v>2019</v>
      </c>
      <c r="L6706" t="s">
        <v>42</v>
      </c>
      <c r="M6706" t="s">
        <v>136</v>
      </c>
      <c r="N6706" t="s">
        <v>14</v>
      </c>
      <c r="O6706" t="s">
        <v>188</v>
      </c>
      <c r="P6706" s="1" t="s">
        <v>33</v>
      </c>
      <c r="Q6706">
        <v>156.4</v>
      </c>
    </row>
    <row r="6707" spans="11:17" x14ac:dyDescent="0.3">
      <c r="K6707">
        <v>2019</v>
      </c>
      <c r="L6707" t="s">
        <v>42</v>
      </c>
      <c r="M6707" t="s">
        <v>136</v>
      </c>
      <c r="N6707" t="s">
        <v>10</v>
      </c>
      <c r="O6707" t="s">
        <v>188</v>
      </c>
      <c r="P6707" s="1" t="s">
        <v>30</v>
      </c>
      <c r="Q6707">
        <v>132.19999999999999</v>
      </c>
    </row>
    <row r="6708" spans="11:17" x14ac:dyDescent="0.3">
      <c r="K6708">
        <v>2019</v>
      </c>
      <c r="L6708" t="s">
        <v>42</v>
      </c>
      <c r="M6708" t="s">
        <v>136</v>
      </c>
      <c r="N6708" t="s">
        <v>10</v>
      </c>
      <c r="O6708" t="s">
        <v>188</v>
      </c>
      <c r="P6708" s="1" t="s">
        <v>34</v>
      </c>
      <c r="Q6708">
        <v>131.6</v>
      </c>
    </row>
    <row r="6709" spans="11:17" x14ac:dyDescent="0.3">
      <c r="K6709">
        <v>2019</v>
      </c>
      <c r="L6709" t="s">
        <v>42</v>
      </c>
      <c r="M6709" t="s">
        <v>136</v>
      </c>
      <c r="N6709" t="s">
        <v>10</v>
      </c>
      <c r="O6709" t="s">
        <v>188</v>
      </c>
      <c r="P6709" s="1" t="s">
        <v>33</v>
      </c>
      <c r="Q6709">
        <v>130.30000000000001</v>
      </c>
    </row>
    <row r="6710" spans="11:17" x14ac:dyDescent="0.3">
      <c r="K6710">
        <v>2019</v>
      </c>
      <c r="L6710" t="s">
        <v>42</v>
      </c>
      <c r="M6710" t="s">
        <v>136</v>
      </c>
      <c r="N6710" t="s">
        <v>25</v>
      </c>
      <c r="O6710" t="s">
        <v>195</v>
      </c>
      <c r="P6710" s="1" t="s">
        <v>30</v>
      </c>
      <c r="Q6710">
        <v>148.30000000000001</v>
      </c>
    </row>
    <row r="6711" spans="11:17" x14ac:dyDescent="0.3">
      <c r="K6711">
        <v>2019</v>
      </c>
      <c r="L6711" t="s">
        <v>42</v>
      </c>
      <c r="M6711" t="s">
        <v>136</v>
      </c>
      <c r="N6711" t="s">
        <v>25</v>
      </c>
      <c r="O6711" t="s">
        <v>195</v>
      </c>
      <c r="P6711" s="1" t="s">
        <v>34</v>
      </c>
      <c r="Q6711">
        <v>141.30000000000001</v>
      </c>
    </row>
    <row r="6712" spans="11:17" x14ac:dyDescent="0.3">
      <c r="K6712">
        <v>2019</v>
      </c>
      <c r="L6712" t="s">
        <v>42</v>
      </c>
      <c r="M6712" t="s">
        <v>136</v>
      </c>
      <c r="N6712" t="s">
        <v>25</v>
      </c>
      <c r="O6712" t="s">
        <v>195</v>
      </c>
      <c r="P6712" s="1" t="s">
        <v>33</v>
      </c>
      <c r="Q6712">
        <v>135.9</v>
      </c>
    </row>
    <row r="6713" spans="11:17" x14ac:dyDescent="0.3">
      <c r="K6713">
        <v>2019</v>
      </c>
      <c r="L6713" t="s">
        <v>42</v>
      </c>
      <c r="M6713" t="s">
        <v>136</v>
      </c>
      <c r="N6713" t="s">
        <v>12</v>
      </c>
      <c r="O6713" t="s">
        <v>188</v>
      </c>
      <c r="P6713" s="1" t="s">
        <v>30</v>
      </c>
      <c r="Q6713">
        <v>144.19999999999999</v>
      </c>
    </row>
    <row r="6714" spans="11:17" x14ac:dyDescent="0.3">
      <c r="K6714">
        <v>2019</v>
      </c>
      <c r="L6714" t="s">
        <v>42</v>
      </c>
      <c r="M6714" t="s">
        <v>136</v>
      </c>
      <c r="N6714" t="s">
        <v>12</v>
      </c>
      <c r="O6714" t="s">
        <v>188</v>
      </c>
      <c r="P6714" s="1" t="s">
        <v>34</v>
      </c>
      <c r="Q6714">
        <v>144.1</v>
      </c>
    </row>
    <row r="6715" spans="11:17" x14ac:dyDescent="0.3">
      <c r="K6715">
        <v>2019</v>
      </c>
      <c r="L6715" t="s">
        <v>42</v>
      </c>
      <c r="M6715" t="s">
        <v>136</v>
      </c>
      <c r="N6715" t="s">
        <v>12</v>
      </c>
      <c r="O6715" t="s">
        <v>188</v>
      </c>
      <c r="P6715" s="1" t="s">
        <v>33</v>
      </c>
      <c r="Q6715">
        <v>143.80000000000001</v>
      </c>
    </row>
    <row r="6716" spans="11:17" x14ac:dyDescent="0.3">
      <c r="K6716">
        <v>2019</v>
      </c>
      <c r="L6716" t="s">
        <v>42</v>
      </c>
      <c r="M6716" t="s">
        <v>136</v>
      </c>
      <c r="N6716" t="s">
        <v>11</v>
      </c>
      <c r="O6716" t="s">
        <v>188</v>
      </c>
      <c r="P6716" s="1" t="s">
        <v>30</v>
      </c>
      <c r="Q6716">
        <v>112.8</v>
      </c>
    </row>
    <row r="6717" spans="11:17" x14ac:dyDescent="0.3">
      <c r="K6717">
        <v>2019</v>
      </c>
      <c r="L6717" t="s">
        <v>42</v>
      </c>
      <c r="M6717" t="s">
        <v>136</v>
      </c>
      <c r="N6717" t="s">
        <v>11</v>
      </c>
      <c r="O6717" t="s">
        <v>188</v>
      </c>
      <c r="P6717" s="1" t="s">
        <v>34</v>
      </c>
      <c r="Q6717">
        <v>113.2</v>
      </c>
    </row>
    <row r="6718" spans="11:17" x14ac:dyDescent="0.3">
      <c r="K6718">
        <v>2019</v>
      </c>
      <c r="L6718" t="s">
        <v>42</v>
      </c>
      <c r="M6718" t="s">
        <v>136</v>
      </c>
      <c r="N6718" t="s">
        <v>11</v>
      </c>
      <c r="O6718" t="s">
        <v>188</v>
      </c>
      <c r="P6718" s="1" t="s">
        <v>33</v>
      </c>
      <c r="Q6718">
        <v>114</v>
      </c>
    </row>
    <row r="6719" spans="11:17" x14ac:dyDescent="0.3">
      <c r="K6719">
        <v>2019</v>
      </c>
      <c r="L6719" t="s">
        <v>42</v>
      </c>
      <c r="M6719" t="s">
        <v>136</v>
      </c>
      <c r="N6719" t="s">
        <v>24</v>
      </c>
      <c r="O6719" t="s">
        <v>191</v>
      </c>
      <c r="P6719" s="1" t="s">
        <v>30</v>
      </c>
      <c r="Q6719">
        <v>131.6</v>
      </c>
    </row>
    <row r="6720" spans="11:17" x14ac:dyDescent="0.3">
      <c r="K6720">
        <v>2019</v>
      </c>
      <c r="L6720" t="s">
        <v>42</v>
      </c>
      <c r="M6720" t="s">
        <v>136</v>
      </c>
      <c r="N6720" t="s">
        <v>24</v>
      </c>
      <c r="O6720" t="s">
        <v>191</v>
      </c>
      <c r="P6720" s="1" t="s">
        <v>34</v>
      </c>
      <c r="Q6720">
        <v>126.1</v>
      </c>
    </row>
    <row r="6721" spans="11:17" x14ac:dyDescent="0.3">
      <c r="K6721">
        <v>2019</v>
      </c>
      <c r="L6721" t="s">
        <v>42</v>
      </c>
      <c r="M6721" t="s">
        <v>136</v>
      </c>
      <c r="N6721" t="s">
        <v>24</v>
      </c>
      <c r="O6721" t="s">
        <v>191</v>
      </c>
      <c r="P6721" s="1" t="s">
        <v>33</v>
      </c>
      <c r="Q6721">
        <v>121.2</v>
      </c>
    </row>
    <row r="6722" spans="11:17" x14ac:dyDescent="0.3">
      <c r="K6722">
        <v>2019</v>
      </c>
      <c r="L6722" t="s">
        <v>42</v>
      </c>
      <c r="M6722" t="s">
        <v>136</v>
      </c>
      <c r="N6722" t="s">
        <v>9</v>
      </c>
      <c r="O6722" t="s">
        <v>188</v>
      </c>
      <c r="P6722" s="1" t="s">
        <v>30</v>
      </c>
      <c r="Q6722">
        <v>163.4</v>
      </c>
    </row>
    <row r="6723" spans="11:17" x14ac:dyDescent="0.3">
      <c r="K6723">
        <v>2019</v>
      </c>
      <c r="L6723" t="s">
        <v>42</v>
      </c>
      <c r="M6723" t="s">
        <v>136</v>
      </c>
      <c r="N6723" t="s">
        <v>9</v>
      </c>
      <c r="O6723" t="s">
        <v>188</v>
      </c>
      <c r="P6723" s="1" t="s">
        <v>34</v>
      </c>
      <c r="Q6723">
        <v>173.2</v>
      </c>
    </row>
    <row r="6724" spans="11:17" x14ac:dyDescent="0.3">
      <c r="K6724">
        <v>2019</v>
      </c>
      <c r="L6724" t="s">
        <v>42</v>
      </c>
      <c r="M6724" t="s">
        <v>136</v>
      </c>
      <c r="N6724" t="s">
        <v>9</v>
      </c>
      <c r="O6724" t="s">
        <v>188</v>
      </c>
      <c r="P6724" s="1" t="s">
        <v>33</v>
      </c>
      <c r="Q6724">
        <v>192.4</v>
      </c>
    </row>
    <row r="6725" spans="11:17" x14ac:dyDescent="0.3">
      <c r="K6725">
        <v>2020</v>
      </c>
      <c r="L6725" t="s">
        <v>37</v>
      </c>
      <c r="M6725" t="s">
        <v>51</v>
      </c>
      <c r="N6725" t="s">
        <v>3</v>
      </c>
      <c r="O6725" t="s">
        <v>188</v>
      </c>
      <c r="P6725" s="1" t="s">
        <v>30</v>
      </c>
      <c r="Q6725">
        <v>147.19999999999999</v>
      </c>
    </row>
    <row r="6726" spans="11:17" x14ac:dyDescent="0.3">
      <c r="K6726">
        <v>2020</v>
      </c>
      <c r="L6726" t="s">
        <v>37</v>
      </c>
      <c r="M6726" t="s">
        <v>51</v>
      </c>
      <c r="N6726" t="s">
        <v>3</v>
      </c>
      <c r="O6726" t="s">
        <v>188</v>
      </c>
      <c r="P6726" s="1" t="s">
        <v>34</v>
      </c>
      <c r="Q6726">
        <v>148.69999999999999</v>
      </c>
    </row>
    <row r="6727" spans="11:17" x14ac:dyDescent="0.3">
      <c r="K6727">
        <v>2020</v>
      </c>
      <c r="L6727" t="s">
        <v>37</v>
      </c>
      <c r="M6727" t="s">
        <v>51</v>
      </c>
      <c r="N6727" t="s">
        <v>3</v>
      </c>
      <c r="O6727" t="s">
        <v>188</v>
      </c>
      <c r="P6727" s="1" t="s">
        <v>33</v>
      </c>
      <c r="Q6727">
        <v>151.80000000000001</v>
      </c>
    </row>
    <row r="6728" spans="11:17" x14ac:dyDescent="0.3">
      <c r="K6728">
        <v>2020</v>
      </c>
      <c r="L6728" t="s">
        <v>37</v>
      </c>
      <c r="M6728" t="s">
        <v>51</v>
      </c>
      <c r="N6728" t="s">
        <v>17</v>
      </c>
      <c r="O6728" t="s">
        <v>189</v>
      </c>
      <c r="P6728" s="1" t="s">
        <v>30</v>
      </c>
      <c r="Q6728">
        <v>153.06666666666669</v>
      </c>
    </row>
    <row r="6729" spans="11:17" x14ac:dyDescent="0.3">
      <c r="K6729">
        <v>2020</v>
      </c>
      <c r="L6729" t="s">
        <v>37</v>
      </c>
      <c r="M6729" t="s">
        <v>51</v>
      </c>
      <c r="N6729" t="s">
        <v>17</v>
      </c>
      <c r="O6729" t="s">
        <v>189</v>
      </c>
      <c r="P6729" s="1" t="s">
        <v>34</v>
      </c>
      <c r="Q6729">
        <v>150.83333333333334</v>
      </c>
    </row>
    <row r="6730" spans="11:17" x14ac:dyDescent="0.3">
      <c r="K6730">
        <v>2020</v>
      </c>
      <c r="L6730" t="s">
        <v>37</v>
      </c>
      <c r="M6730" t="s">
        <v>51</v>
      </c>
      <c r="N6730" t="s">
        <v>17</v>
      </c>
      <c r="O6730" t="s">
        <v>189</v>
      </c>
      <c r="P6730" s="1" t="s">
        <v>33</v>
      </c>
      <c r="Q6730">
        <v>147.33333333333334</v>
      </c>
    </row>
    <row r="6731" spans="11:17" x14ac:dyDescent="0.3">
      <c r="K6731">
        <v>2020</v>
      </c>
      <c r="L6731" t="s">
        <v>37</v>
      </c>
      <c r="M6731" t="s">
        <v>51</v>
      </c>
      <c r="N6731" t="s">
        <v>19</v>
      </c>
      <c r="O6731" t="s">
        <v>189</v>
      </c>
      <c r="P6731" s="1" t="s">
        <v>30</v>
      </c>
      <c r="Q6731">
        <v>152.30000000000001</v>
      </c>
    </row>
    <row r="6732" spans="11:17" x14ac:dyDescent="0.3">
      <c r="K6732">
        <v>2020</v>
      </c>
      <c r="L6732" t="s">
        <v>37</v>
      </c>
      <c r="M6732" t="s">
        <v>51</v>
      </c>
      <c r="N6732" t="s">
        <v>19</v>
      </c>
      <c r="O6732" t="s">
        <v>189</v>
      </c>
      <c r="P6732" s="1" t="s">
        <v>34</v>
      </c>
      <c r="Q6732">
        <v>149.5</v>
      </c>
    </row>
    <row r="6733" spans="11:17" x14ac:dyDescent="0.3">
      <c r="K6733">
        <v>2020</v>
      </c>
      <c r="L6733" t="s">
        <v>37</v>
      </c>
      <c r="M6733" t="s">
        <v>51</v>
      </c>
      <c r="N6733" t="s">
        <v>19</v>
      </c>
      <c r="O6733" t="s">
        <v>189</v>
      </c>
      <c r="P6733" s="1" t="s">
        <v>33</v>
      </c>
      <c r="Q6733">
        <v>145.23333333333332</v>
      </c>
    </row>
    <row r="6734" spans="11:17" x14ac:dyDescent="0.3">
      <c r="K6734">
        <v>2020</v>
      </c>
      <c r="L6734" t="s">
        <v>37</v>
      </c>
      <c r="M6734" t="s">
        <v>51</v>
      </c>
      <c r="N6734" t="s">
        <v>26</v>
      </c>
      <c r="O6734" t="s">
        <v>26</v>
      </c>
      <c r="P6734" s="1" t="s">
        <v>30</v>
      </c>
      <c r="Q6734">
        <v>161.6</v>
      </c>
    </row>
    <row r="6735" spans="11:17" x14ac:dyDescent="0.3">
      <c r="K6735">
        <v>2020</v>
      </c>
      <c r="L6735" t="s">
        <v>37</v>
      </c>
      <c r="M6735" t="s">
        <v>51</v>
      </c>
      <c r="N6735" t="s">
        <v>26</v>
      </c>
      <c r="O6735" t="s">
        <v>26</v>
      </c>
      <c r="P6735" s="1" t="s">
        <v>34</v>
      </c>
      <c r="Q6735">
        <v>156.13333333333333</v>
      </c>
    </row>
    <row r="6736" spans="11:17" x14ac:dyDescent="0.3">
      <c r="K6736">
        <v>2020</v>
      </c>
      <c r="L6736" t="s">
        <v>37</v>
      </c>
      <c r="M6736" t="s">
        <v>51</v>
      </c>
      <c r="N6736" t="s">
        <v>26</v>
      </c>
      <c r="O6736" t="s">
        <v>26</v>
      </c>
      <c r="P6736" s="1" t="s">
        <v>33</v>
      </c>
      <c r="Q6736">
        <v>152.26666666666668</v>
      </c>
    </row>
    <row r="6737" spans="11:17" x14ac:dyDescent="0.3">
      <c r="K6737">
        <v>2020</v>
      </c>
      <c r="L6737" t="s">
        <v>37</v>
      </c>
      <c r="M6737" t="s">
        <v>51</v>
      </c>
      <c r="N6737" t="s">
        <v>5</v>
      </c>
      <c r="O6737" t="s">
        <v>188</v>
      </c>
      <c r="P6737" s="1" t="s">
        <v>30</v>
      </c>
      <c r="Q6737">
        <v>146.9</v>
      </c>
    </row>
    <row r="6738" spans="11:17" x14ac:dyDescent="0.3">
      <c r="K6738">
        <v>2020</v>
      </c>
      <c r="L6738" t="s">
        <v>37</v>
      </c>
      <c r="M6738" t="s">
        <v>51</v>
      </c>
      <c r="N6738" t="s">
        <v>5</v>
      </c>
      <c r="O6738" t="s">
        <v>188</v>
      </c>
      <c r="P6738" s="1" t="s">
        <v>34</v>
      </c>
      <c r="Q6738">
        <v>148.80000000000001</v>
      </c>
    </row>
    <row r="6739" spans="11:17" x14ac:dyDescent="0.3">
      <c r="K6739">
        <v>2020</v>
      </c>
      <c r="L6739" t="s">
        <v>37</v>
      </c>
      <c r="M6739" t="s">
        <v>51</v>
      </c>
      <c r="N6739" t="s">
        <v>5</v>
      </c>
      <c r="O6739" t="s">
        <v>188</v>
      </c>
      <c r="P6739" s="1" t="s">
        <v>33</v>
      </c>
      <c r="Q6739">
        <v>151.9</v>
      </c>
    </row>
    <row r="6740" spans="11:17" x14ac:dyDescent="0.3">
      <c r="K6740">
        <v>2020</v>
      </c>
      <c r="L6740" t="s">
        <v>37</v>
      </c>
      <c r="M6740" t="s">
        <v>51</v>
      </c>
      <c r="N6740" t="s">
        <v>15</v>
      </c>
      <c r="O6740" t="s">
        <v>188</v>
      </c>
      <c r="P6740" s="1" t="s">
        <v>30</v>
      </c>
      <c r="Q6740">
        <v>150.1</v>
      </c>
    </row>
    <row r="6741" spans="11:17" x14ac:dyDescent="0.3">
      <c r="K6741">
        <v>2020</v>
      </c>
      <c r="L6741" t="s">
        <v>37</v>
      </c>
      <c r="M6741" t="s">
        <v>51</v>
      </c>
      <c r="N6741" t="s">
        <v>15</v>
      </c>
      <c r="O6741" t="s">
        <v>188</v>
      </c>
      <c r="P6741" s="1" t="s">
        <v>34</v>
      </c>
      <c r="Q6741">
        <v>151.4</v>
      </c>
    </row>
    <row r="6742" spans="11:17" x14ac:dyDescent="0.3">
      <c r="K6742">
        <v>2020</v>
      </c>
      <c r="L6742" t="s">
        <v>37</v>
      </c>
      <c r="M6742" t="s">
        <v>51</v>
      </c>
      <c r="N6742" t="s">
        <v>15</v>
      </c>
      <c r="O6742" t="s">
        <v>188</v>
      </c>
      <c r="P6742" s="1" t="s">
        <v>33</v>
      </c>
      <c r="Q6742">
        <v>153.5</v>
      </c>
    </row>
    <row r="6743" spans="11:17" x14ac:dyDescent="0.3">
      <c r="K6743">
        <v>2020</v>
      </c>
      <c r="L6743" t="s">
        <v>37</v>
      </c>
      <c r="M6743" t="s">
        <v>51</v>
      </c>
      <c r="N6743" t="s">
        <v>18</v>
      </c>
      <c r="O6743" t="s">
        <v>189</v>
      </c>
      <c r="P6743" s="1" t="s">
        <v>30</v>
      </c>
      <c r="Q6743">
        <v>147.5</v>
      </c>
    </row>
    <row r="6744" spans="11:17" x14ac:dyDescent="0.3">
      <c r="K6744">
        <v>2020</v>
      </c>
      <c r="L6744" t="s">
        <v>37</v>
      </c>
      <c r="M6744" t="s">
        <v>51</v>
      </c>
      <c r="N6744" t="s">
        <v>18</v>
      </c>
      <c r="O6744" t="s">
        <v>189</v>
      </c>
      <c r="P6744" s="1" t="s">
        <v>34</v>
      </c>
      <c r="Q6744">
        <v>141.69999999999999</v>
      </c>
    </row>
    <row r="6745" spans="11:17" x14ac:dyDescent="0.3">
      <c r="K6745">
        <v>2020</v>
      </c>
      <c r="L6745" t="s">
        <v>37</v>
      </c>
      <c r="M6745" t="s">
        <v>51</v>
      </c>
      <c r="N6745" t="s">
        <v>18</v>
      </c>
      <c r="O6745" t="s">
        <v>189</v>
      </c>
      <c r="P6745" s="1" t="s">
        <v>33</v>
      </c>
      <c r="Q6745">
        <v>133.5</v>
      </c>
    </row>
    <row r="6746" spans="11:17" x14ac:dyDescent="0.3">
      <c r="K6746">
        <v>2020</v>
      </c>
      <c r="L6746" t="s">
        <v>37</v>
      </c>
      <c r="M6746" t="s">
        <v>51</v>
      </c>
      <c r="N6746" t="s">
        <v>8</v>
      </c>
      <c r="O6746" t="s">
        <v>188</v>
      </c>
      <c r="P6746" s="1" t="s">
        <v>30</v>
      </c>
      <c r="Q6746">
        <v>147.30000000000001</v>
      </c>
    </row>
    <row r="6747" spans="11:17" x14ac:dyDescent="0.3">
      <c r="K6747">
        <v>2020</v>
      </c>
      <c r="L6747" t="s">
        <v>37</v>
      </c>
      <c r="M6747" t="s">
        <v>51</v>
      </c>
      <c r="N6747" t="s">
        <v>8</v>
      </c>
      <c r="O6747" t="s">
        <v>188</v>
      </c>
      <c r="P6747" s="1" t="s">
        <v>34</v>
      </c>
      <c r="Q6747">
        <v>149.9</v>
      </c>
    </row>
    <row r="6748" spans="11:17" x14ac:dyDescent="0.3">
      <c r="K6748">
        <v>2020</v>
      </c>
      <c r="L6748" t="s">
        <v>37</v>
      </c>
      <c r="M6748" t="s">
        <v>51</v>
      </c>
      <c r="N6748" t="s">
        <v>8</v>
      </c>
      <c r="O6748" t="s">
        <v>188</v>
      </c>
      <c r="P6748" s="1" t="s">
        <v>33</v>
      </c>
      <c r="Q6748">
        <v>152.9</v>
      </c>
    </row>
    <row r="6749" spans="11:17" x14ac:dyDescent="0.3">
      <c r="K6749">
        <v>2020</v>
      </c>
      <c r="L6749" t="s">
        <v>37</v>
      </c>
      <c r="M6749" t="s">
        <v>51</v>
      </c>
      <c r="N6749" t="s">
        <v>21</v>
      </c>
      <c r="O6749" t="s">
        <v>190</v>
      </c>
      <c r="P6749" s="1" t="s">
        <v>30</v>
      </c>
      <c r="Q6749">
        <v>148.4</v>
      </c>
    </row>
    <row r="6750" spans="11:17" x14ac:dyDescent="0.3">
      <c r="K6750">
        <v>2020</v>
      </c>
      <c r="L6750" t="s">
        <v>37</v>
      </c>
      <c r="M6750" t="s">
        <v>51</v>
      </c>
      <c r="N6750" t="s">
        <v>21</v>
      </c>
      <c r="O6750" t="s">
        <v>190</v>
      </c>
      <c r="P6750" s="1" t="s">
        <v>34</v>
      </c>
      <c r="Q6750">
        <v>144.1</v>
      </c>
    </row>
    <row r="6751" spans="11:17" x14ac:dyDescent="0.3">
      <c r="K6751">
        <v>2020</v>
      </c>
      <c r="L6751" t="s">
        <v>37</v>
      </c>
      <c r="M6751" t="s">
        <v>51</v>
      </c>
      <c r="N6751" t="s">
        <v>21</v>
      </c>
      <c r="O6751" t="s">
        <v>190</v>
      </c>
      <c r="P6751" s="1" t="s">
        <v>33</v>
      </c>
      <c r="Q6751">
        <v>137.1</v>
      </c>
    </row>
    <row r="6752" spans="11:17" x14ac:dyDescent="0.3">
      <c r="K6752">
        <v>2020</v>
      </c>
      <c r="L6752" t="s">
        <v>37</v>
      </c>
      <c r="M6752" t="s">
        <v>51</v>
      </c>
      <c r="N6752" t="s">
        <v>29</v>
      </c>
      <c r="O6752" t="s">
        <v>206</v>
      </c>
      <c r="P6752" s="1" t="s">
        <v>30</v>
      </c>
      <c r="Q6752">
        <v>150.70000000000002</v>
      </c>
    </row>
    <row r="6753" spans="11:17" x14ac:dyDescent="0.3">
      <c r="K6753">
        <v>2020</v>
      </c>
      <c r="L6753" t="s">
        <v>37</v>
      </c>
      <c r="M6753" t="s">
        <v>51</v>
      </c>
      <c r="N6753" t="s">
        <v>29</v>
      </c>
      <c r="O6753" t="s">
        <v>206</v>
      </c>
      <c r="P6753" s="1" t="s">
        <v>34</v>
      </c>
      <c r="Q6753">
        <v>149.29999999999998</v>
      </c>
    </row>
    <row r="6754" spans="11:17" x14ac:dyDescent="0.3">
      <c r="K6754">
        <v>2020</v>
      </c>
      <c r="L6754" t="s">
        <v>37</v>
      </c>
      <c r="M6754" t="s">
        <v>51</v>
      </c>
      <c r="N6754" t="s">
        <v>29</v>
      </c>
      <c r="O6754" t="s">
        <v>206</v>
      </c>
      <c r="P6754" s="1" t="s">
        <v>33</v>
      </c>
      <c r="Q6754">
        <v>147.73333333333332</v>
      </c>
    </row>
    <row r="6755" spans="11:17" x14ac:dyDescent="0.3">
      <c r="K6755">
        <v>2020</v>
      </c>
      <c r="L6755" t="s">
        <v>37</v>
      </c>
      <c r="M6755" t="s">
        <v>51</v>
      </c>
      <c r="N6755" t="s">
        <v>23</v>
      </c>
      <c r="O6755" t="s">
        <v>23</v>
      </c>
      <c r="P6755" s="1" t="s">
        <v>30</v>
      </c>
      <c r="Q6755">
        <v>154.30000000000001</v>
      </c>
    </row>
    <row r="6756" spans="11:17" x14ac:dyDescent="0.3">
      <c r="K6756">
        <v>2020</v>
      </c>
      <c r="L6756" t="s">
        <v>37</v>
      </c>
      <c r="M6756" t="s">
        <v>51</v>
      </c>
      <c r="N6756" t="s">
        <v>23</v>
      </c>
      <c r="O6756" t="s">
        <v>23</v>
      </c>
      <c r="P6756" s="1" t="s">
        <v>34</v>
      </c>
      <c r="Q6756">
        <v>150.69999999999999</v>
      </c>
    </row>
    <row r="6757" spans="11:17" x14ac:dyDescent="0.3">
      <c r="K6757">
        <v>2020</v>
      </c>
      <c r="L6757" t="s">
        <v>37</v>
      </c>
      <c r="M6757" t="s">
        <v>51</v>
      </c>
      <c r="N6757" t="s">
        <v>23</v>
      </c>
      <c r="O6757" t="s">
        <v>23</v>
      </c>
      <c r="P6757" s="1" t="s">
        <v>33</v>
      </c>
      <c r="Q6757">
        <v>144.80000000000001</v>
      </c>
    </row>
    <row r="6758" spans="11:17" x14ac:dyDescent="0.3">
      <c r="K6758">
        <v>2020</v>
      </c>
      <c r="L6758" t="s">
        <v>37</v>
      </c>
      <c r="M6758" t="s">
        <v>51</v>
      </c>
      <c r="N6758" t="s">
        <v>22</v>
      </c>
      <c r="O6758" t="s">
        <v>20</v>
      </c>
      <c r="P6758" s="1" t="s">
        <v>30</v>
      </c>
      <c r="Q6758">
        <v>151.66666666666666</v>
      </c>
    </row>
    <row r="6759" spans="11:17" x14ac:dyDescent="0.3">
      <c r="K6759">
        <v>2020</v>
      </c>
      <c r="L6759" t="s">
        <v>37</v>
      </c>
      <c r="M6759" t="s">
        <v>51</v>
      </c>
      <c r="N6759" t="s">
        <v>22</v>
      </c>
      <c r="O6759" t="s">
        <v>20</v>
      </c>
      <c r="P6759" s="1" t="s">
        <v>34</v>
      </c>
      <c r="Q6759">
        <v>146.33333333333334</v>
      </c>
    </row>
    <row r="6760" spans="11:17" x14ac:dyDescent="0.3">
      <c r="K6760">
        <v>2020</v>
      </c>
      <c r="L6760" t="s">
        <v>37</v>
      </c>
      <c r="M6760" t="s">
        <v>51</v>
      </c>
      <c r="N6760" t="s">
        <v>22</v>
      </c>
      <c r="O6760" t="s">
        <v>20</v>
      </c>
      <c r="P6760" s="1" t="s">
        <v>33</v>
      </c>
      <c r="Q6760">
        <v>140.43333333333331</v>
      </c>
    </row>
    <row r="6761" spans="11:17" x14ac:dyDescent="0.3">
      <c r="K6761">
        <v>2020</v>
      </c>
      <c r="L6761" t="s">
        <v>37</v>
      </c>
      <c r="M6761" t="s">
        <v>51</v>
      </c>
      <c r="N6761" t="s">
        <v>20</v>
      </c>
      <c r="O6761" t="s">
        <v>20</v>
      </c>
      <c r="P6761" s="1" t="s">
        <v>30</v>
      </c>
      <c r="Q6761">
        <v>0</v>
      </c>
    </row>
    <row r="6762" spans="11:17" x14ac:dyDescent="0.3">
      <c r="K6762">
        <v>2020</v>
      </c>
      <c r="L6762" t="s">
        <v>37</v>
      </c>
      <c r="M6762" t="s">
        <v>51</v>
      </c>
      <c r="N6762" t="s">
        <v>20</v>
      </c>
      <c r="O6762" t="s">
        <v>20</v>
      </c>
      <c r="P6762" s="1" t="s">
        <v>34</v>
      </c>
      <c r="Q6762">
        <v>155.6</v>
      </c>
    </row>
    <row r="6763" spans="11:17" x14ac:dyDescent="0.3">
      <c r="K6763">
        <v>2020</v>
      </c>
      <c r="L6763" t="s">
        <v>37</v>
      </c>
      <c r="M6763" t="s">
        <v>51</v>
      </c>
      <c r="N6763" t="s">
        <v>20</v>
      </c>
      <c r="O6763" t="s">
        <v>20</v>
      </c>
      <c r="P6763" s="1" t="s">
        <v>33</v>
      </c>
      <c r="Q6763">
        <v>155.6</v>
      </c>
    </row>
    <row r="6764" spans="11:17" x14ac:dyDescent="0.3">
      <c r="K6764">
        <v>2020</v>
      </c>
      <c r="L6764" t="s">
        <v>37</v>
      </c>
      <c r="M6764" t="s">
        <v>51</v>
      </c>
      <c r="N6764" t="s">
        <v>4</v>
      </c>
      <c r="O6764" t="s">
        <v>188</v>
      </c>
      <c r="P6764" s="1" t="s">
        <v>30</v>
      </c>
      <c r="Q6764">
        <v>167.20000000000002</v>
      </c>
    </row>
    <row r="6765" spans="11:17" x14ac:dyDescent="0.3">
      <c r="K6765">
        <v>2020</v>
      </c>
      <c r="L6765" t="s">
        <v>37</v>
      </c>
      <c r="M6765" t="s">
        <v>51</v>
      </c>
      <c r="N6765" t="s">
        <v>4</v>
      </c>
      <c r="O6765" t="s">
        <v>188</v>
      </c>
      <c r="P6765" s="1" t="s">
        <v>34</v>
      </c>
      <c r="Q6765">
        <v>167.29999999999998</v>
      </c>
    </row>
    <row r="6766" spans="11:17" x14ac:dyDescent="0.3">
      <c r="K6766">
        <v>2020</v>
      </c>
      <c r="L6766" t="s">
        <v>37</v>
      </c>
      <c r="M6766" t="s">
        <v>51</v>
      </c>
      <c r="N6766" t="s">
        <v>4</v>
      </c>
      <c r="O6766" t="s">
        <v>188</v>
      </c>
      <c r="P6766" s="1" t="s">
        <v>33</v>
      </c>
      <c r="Q6766">
        <v>167.56666666666669</v>
      </c>
    </row>
    <row r="6767" spans="11:17" x14ac:dyDescent="0.3">
      <c r="K6767">
        <v>2020</v>
      </c>
      <c r="L6767" t="s">
        <v>37</v>
      </c>
      <c r="M6767" t="s">
        <v>51</v>
      </c>
      <c r="N6767" t="s">
        <v>6</v>
      </c>
      <c r="O6767" t="s">
        <v>188</v>
      </c>
      <c r="P6767" s="1" t="s">
        <v>30</v>
      </c>
      <c r="Q6767">
        <v>155.6</v>
      </c>
    </row>
    <row r="6768" spans="11:17" x14ac:dyDescent="0.3">
      <c r="K6768">
        <v>2020</v>
      </c>
      <c r="L6768" t="s">
        <v>37</v>
      </c>
      <c r="M6768" t="s">
        <v>51</v>
      </c>
      <c r="N6768" t="s">
        <v>6</v>
      </c>
      <c r="O6768" t="s">
        <v>188</v>
      </c>
      <c r="P6768" s="1" t="s">
        <v>34</v>
      </c>
      <c r="Q6768">
        <v>155.6</v>
      </c>
    </row>
    <row r="6769" spans="11:17" x14ac:dyDescent="0.3">
      <c r="K6769">
        <v>2020</v>
      </c>
      <c r="L6769" t="s">
        <v>37</v>
      </c>
      <c r="M6769" t="s">
        <v>51</v>
      </c>
      <c r="N6769" t="s">
        <v>6</v>
      </c>
      <c r="O6769" t="s">
        <v>188</v>
      </c>
      <c r="P6769" s="1" t="s">
        <v>33</v>
      </c>
      <c r="Q6769">
        <v>155.5</v>
      </c>
    </row>
    <row r="6770" spans="11:17" x14ac:dyDescent="0.3">
      <c r="K6770">
        <v>2020</v>
      </c>
      <c r="L6770" t="s">
        <v>37</v>
      </c>
      <c r="M6770" t="s">
        <v>51</v>
      </c>
      <c r="N6770" t="s">
        <v>28</v>
      </c>
      <c r="O6770" t="s">
        <v>192</v>
      </c>
      <c r="P6770" s="1" t="s">
        <v>30</v>
      </c>
      <c r="Q6770">
        <v>148.36666666666667</v>
      </c>
    </row>
    <row r="6771" spans="11:17" x14ac:dyDescent="0.3">
      <c r="K6771">
        <v>2020</v>
      </c>
      <c r="L6771" t="s">
        <v>37</v>
      </c>
      <c r="M6771" t="s">
        <v>51</v>
      </c>
      <c r="N6771" t="s">
        <v>28</v>
      </c>
      <c r="O6771" t="s">
        <v>192</v>
      </c>
      <c r="P6771" s="1" t="s">
        <v>34</v>
      </c>
      <c r="Q6771">
        <v>143.60000000000002</v>
      </c>
    </row>
    <row r="6772" spans="11:17" x14ac:dyDescent="0.3">
      <c r="K6772">
        <v>2020</v>
      </c>
      <c r="L6772" t="s">
        <v>37</v>
      </c>
      <c r="M6772" t="s">
        <v>51</v>
      </c>
      <c r="N6772" t="s">
        <v>28</v>
      </c>
      <c r="O6772" t="s">
        <v>192</v>
      </c>
      <c r="P6772" s="1" t="s">
        <v>33</v>
      </c>
      <c r="Q6772">
        <v>138.5</v>
      </c>
    </row>
    <row r="6773" spans="11:17" x14ac:dyDescent="0.3">
      <c r="K6773">
        <v>2020</v>
      </c>
      <c r="L6773" t="s">
        <v>37</v>
      </c>
      <c r="M6773" t="s">
        <v>51</v>
      </c>
      <c r="N6773" t="s">
        <v>13</v>
      </c>
      <c r="O6773" t="s">
        <v>188</v>
      </c>
      <c r="P6773" s="1" t="s">
        <v>30</v>
      </c>
      <c r="Q6773">
        <v>139.19999999999999</v>
      </c>
    </row>
    <row r="6774" spans="11:17" x14ac:dyDescent="0.3">
      <c r="K6774">
        <v>2020</v>
      </c>
      <c r="L6774" t="s">
        <v>37</v>
      </c>
      <c r="M6774" t="s">
        <v>51</v>
      </c>
      <c r="N6774" t="s">
        <v>13</v>
      </c>
      <c r="O6774" t="s">
        <v>188</v>
      </c>
      <c r="P6774" s="1" t="s">
        <v>34</v>
      </c>
      <c r="Q6774">
        <v>136.80000000000001</v>
      </c>
    </row>
    <row r="6775" spans="11:17" x14ac:dyDescent="0.3">
      <c r="K6775">
        <v>2020</v>
      </c>
      <c r="L6775" t="s">
        <v>37</v>
      </c>
      <c r="M6775" t="s">
        <v>51</v>
      </c>
      <c r="N6775" t="s">
        <v>13</v>
      </c>
      <c r="O6775" t="s">
        <v>188</v>
      </c>
      <c r="P6775" s="1" t="s">
        <v>33</v>
      </c>
      <c r="Q6775">
        <v>133.5</v>
      </c>
    </row>
    <row r="6776" spans="11:17" x14ac:dyDescent="0.3">
      <c r="K6776">
        <v>2020</v>
      </c>
      <c r="L6776" t="s">
        <v>37</v>
      </c>
      <c r="M6776" t="s">
        <v>51</v>
      </c>
      <c r="N6776" t="s">
        <v>7</v>
      </c>
      <c r="O6776" t="s">
        <v>188</v>
      </c>
      <c r="P6776" s="1" t="s">
        <v>30</v>
      </c>
      <c r="Q6776">
        <v>137.1</v>
      </c>
    </row>
    <row r="6777" spans="11:17" x14ac:dyDescent="0.3">
      <c r="K6777">
        <v>2020</v>
      </c>
      <c r="L6777" t="s">
        <v>37</v>
      </c>
      <c r="M6777" t="s">
        <v>51</v>
      </c>
      <c r="N6777" t="s">
        <v>7</v>
      </c>
      <c r="O6777" t="s">
        <v>188</v>
      </c>
      <c r="P6777" s="1" t="s">
        <v>34</v>
      </c>
      <c r="Q6777">
        <v>135.1</v>
      </c>
    </row>
    <row r="6778" spans="11:17" x14ac:dyDescent="0.3">
      <c r="K6778">
        <v>2020</v>
      </c>
      <c r="L6778" t="s">
        <v>37</v>
      </c>
      <c r="M6778" t="s">
        <v>51</v>
      </c>
      <c r="N6778" t="s">
        <v>7</v>
      </c>
      <c r="O6778" t="s">
        <v>188</v>
      </c>
      <c r="P6778" s="1" t="s">
        <v>33</v>
      </c>
      <c r="Q6778">
        <v>131.6</v>
      </c>
    </row>
    <row r="6779" spans="11:17" x14ac:dyDescent="0.3">
      <c r="K6779">
        <v>2020</v>
      </c>
      <c r="L6779" t="s">
        <v>37</v>
      </c>
      <c r="M6779" t="s">
        <v>51</v>
      </c>
      <c r="N6779" t="s">
        <v>16</v>
      </c>
      <c r="O6779" t="s">
        <v>192</v>
      </c>
      <c r="P6779" s="1" t="s">
        <v>30</v>
      </c>
      <c r="Q6779">
        <v>169.5</v>
      </c>
    </row>
    <row r="6780" spans="11:17" x14ac:dyDescent="0.3">
      <c r="K6780">
        <v>2020</v>
      </c>
      <c r="L6780" t="s">
        <v>37</v>
      </c>
      <c r="M6780" t="s">
        <v>51</v>
      </c>
      <c r="N6780" t="s">
        <v>16</v>
      </c>
      <c r="O6780" t="s">
        <v>192</v>
      </c>
      <c r="P6780" s="1" t="s">
        <v>34</v>
      </c>
      <c r="Q6780">
        <v>170.16666666666666</v>
      </c>
    </row>
    <row r="6781" spans="11:17" x14ac:dyDescent="0.3">
      <c r="K6781">
        <v>2020</v>
      </c>
      <c r="L6781" t="s">
        <v>37</v>
      </c>
      <c r="M6781" t="s">
        <v>51</v>
      </c>
      <c r="N6781" t="s">
        <v>16</v>
      </c>
      <c r="O6781" t="s">
        <v>192</v>
      </c>
      <c r="P6781" s="1" t="s">
        <v>33</v>
      </c>
      <c r="Q6781">
        <v>172.03333333333333</v>
      </c>
    </row>
    <row r="6782" spans="11:17" x14ac:dyDescent="0.3">
      <c r="K6782">
        <v>2020</v>
      </c>
      <c r="L6782" t="s">
        <v>37</v>
      </c>
      <c r="M6782" t="s">
        <v>51</v>
      </c>
      <c r="N6782" t="s">
        <v>27</v>
      </c>
      <c r="O6782" t="s">
        <v>192</v>
      </c>
      <c r="P6782" s="1" t="s">
        <v>30</v>
      </c>
      <c r="Q6782">
        <v>143.66666666666666</v>
      </c>
    </row>
    <row r="6783" spans="11:17" x14ac:dyDescent="0.3">
      <c r="K6783">
        <v>2020</v>
      </c>
      <c r="L6783" t="s">
        <v>37</v>
      </c>
      <c r="M6783" t="s">
        <v>51</v>
      </c>
      <c r="N6783" t="s">
        <v>27</v>
      </c>
      <c r="O6783" t="s">
        <v>192</v>
      </c>
      <c r="P6783" s="1" t="s">
        <v>34</v>
      </c>
      <c r="Q6783">
        <v>143.63333333333333</v>
      </c>
    </row>
    <row r="6784" spans="11:17" x14ac:dyDescent="0.3">
      <c r="K6784">
        <v>2020</v>
      </c>
      <c r="L6784" t="s">
        <v>37</v>
      </c>
      <c r="M6784" t="s">
        <v>51</v>
      </c>
      <c r="N6784" t="s">
        <v>27</v>
      </c>
      <c r="O6784" t="s">
        <v>192</v>
      </c>
      <c r="P6784" s="1" t="s">
        <v>33</v>
      </c>
      <c r="Q6784">
        <v>143.63333333333333</v>
      </c>
    </row>
    <row r="6785" spans="11:17" x14ac:dyDescent="0.3">
      <c r="K6785">
        <v>2020</v>
      </c>
      <c r="L6785" t="s">
        <v>37</v>
      </c>
      <c r="M6785" t="s">
        <v>51</v>
      </c>
      <c r="N6785" t="s">
        <v>14</v>
      </c>
      <c r="O6785" t="s">
        <v>188</v>
      </c>
      <c r="P6785" s="1" t="s">
        <v>30</v>
      </c>
      <c r="Q6785">
        <v>159.29999999999998</v>
      </c>
    </row>
    <row r="6786" spans="11:17" x14ac:dyDescent="0.3">
      <c r="K6786">
        <v>2020</v>
      </c>
      <c r="L6786" t="s">
        <v>37</v>
      </c>
      <c r="M6786" t="s">
        <v>51</v>
      </c>
      <c r="N6786" t="s">
        <v>14</v>
      </c>
      <c r="O6786" t="s">
        <v>188</v>
      </c>
      <c r="P6786" s="1" t="s">
        <v>34</v>
      </c>
      <c r="Q6786">
        <v>159.1</v>
      </c>
    </row>
    <row r="6787" spans="11:17" x14ac:dyDescent="0.3">
      <c r="K6787">
        <v>2020</v>
      </c>
      <c r="L6787" t="s">
        <v>37</v>
      </c>
      <c r="M6787" t="s">
        <v>51</v>
      </c>
      <c r="N6787" t="s">
        <v>14</v>
      </c>
      <c r="O6787" t="s">
        <v>188</v>
      </c>
      <c r="P6787" s="1" t="s">
        <v>33</v>
      </c>
      <c r="Q6787">
        <v>158.86666666666667</v>
      </c>
    </row>
    <row r="6788" spans="11:17" x14ac:dyDescent="0.3">
      <c r="K6788">
        <v>2020</v>
      </c>
      <c r="L6788" t="s">
        <v>37</v>
      </c>
      <c r="M6788" t="s">
        <v>51</v>
      </c>
      <c r="N6788" t="s">
        <v>10</v>
      </c>
      <c r="O6788" t="s">
        <v>188</v>
      </c>
      <c r="P6788" s="1" t="s">
        <v>30</v>
      </c>
      <c r="Q6788">
        <v>150.19999999999999</v>
      </c>
    </row>
    <row r="6789" spans="11:17" x14ac:dyDescent="0.3">
      <c r="K6789">
        <v>2020</v>
      </c>
      <c r="L6789" t="s">
        <v>37</v>
      </c>
      <c r="M6789" t="s">
        <v>51</v>
      </c>
      <c r="N6789" t="s">
        <v>10</v>
      </c>
      <c r="O6789" t="s">
        <v>188</v>
      </c>
      <c r="P6789" s="1" t="s">
        <v>34</v>
      </c>
      <c r="Q6789">
        <v>150.4</v>
      </c>
    </row>
    <row r="6790" spans="11:17" x14ac:dyDescent="0.3">
      <c r="K6790">
        <v>2020</v>
      </c>
      <c r="L6790" t="s">
        <v>37</v>
      </c>
      <c r="M6790" t="s">
        <v>51</v>
      </c>
      <c r="N6790" t="s">
        <v>10</v>
      </c>
      <c r="O6790" t="s">
        <v>188</v>
      </c>
      <c r="P6790" s="1" t="s">
        <v>33</v>
      </c>
      <c r="Q6790">
        <v>150.80000000000001</v>
      </c>
    </row>
    <row r="6791" spans="11:17" x14ac:dyDescent="0.3">
      <c r="K6791">
        <v>2020</v>
      </c>
      <c r="L6791" t="s">
        <v>37</v>
      </c>
      <c r="M6791" t="s">
        <v>51</v>
      </c>
      <c r="N6791" t="s">
        <v>25</v>
      </c>
      <c r="O6791" t="s">
        <v>195</v>
      </c>
      <c r="P6791" s="1" t="s">
        <v>30</v>
      </c>
      <c r="Q6791">
        <v>150.56666666666663</v>
      </c>
    </row>
    <row r="6792" spans="11:17" x14ac:dyDescent="0.3">
      <c r="K6792">
        <v>2020</v>
      </c>
      <c r="L6792" t="s">
        <v>37</v>
      </c>
      <c r="M6792" t="s">
        <v>51</v>
      </c>
      <c r="N6792" t="s">
        <v>25</v>
      </c>
      <c r="O6792" t="s">
        <v>195</v>
      </c>
      <c r="P6792" s="1" t="s">
        <v>34</v>
      </c>
      <c r="Q6792">
        <v>143.23333333333332</v>
      </c>
    </row>
    <row r="6793" spans="11:17" x14ac:dyDescent="0.3">
      <c r="K6793">
        <v>2020</v>
      </c>
      <c r="L6793" t="s">
        <v>37</v>
      </c>
      <c r="M6793" t="s">
        <v>51</v>
      </c>
      <c r="N6793" t="s">
        <v>25</v>
      </c>
      <c r="O6793" t="s">
        <v>195</v>
      </c>
      <c r="P6793" s="1" t="s">
        <v>33</v>
      </c>
      <c r="Q6793">
        <v>137.6</v>
      </c>
    </row>
    <row r="6794" spans="11:17" x14ac:dyDescent="0.3">
      <c r="K6794">
        <v>2020</v>
      </c>
      <c r="L6794" t="s">
        <v>37</v>
      </c>
      <c r="M6794" t="s">
        <v>51</v>
      </c>
      <c r="N6794" t="s">
        <v>12</v>
      </c>
      <c r="O6794" t="s">
        <v>188</v>
      </c>
      <c r="P6794" s="1" t="s">
        <v>30</v>
      </c>
      <c r="Q6794">
        <v>158.69999999999999</v>
      </c>
    </row>
    <row r="6795" spans="11:17" x14ac:dyDescent="0.3">
      <c r="K6795">
        <v>2020</v>
      </c>
      <c r="L6795" t="s">
        <v>37</v>
      </c>
      <c r="M6795" t="s">
        <v>51</v>
      </c>
      <c r="N6795" t="s">
        <v>12</v>
      </c>
      <c r="O6795" t="s">
        <v>188</v>
      </c>
      <c r="P6795" s="1" t="s">
        <v>34</v>
      </c>
      <c r="Q6795">
        <v>157.1</v>
      </c>
    </row>
    <row r="6796" spans="11:17" x14ac:dyDescent="0.3">
      <c r="K6796">
        <v>2020</v>
      </c>
      <c r="L6796" t="s">
        <v>37</v>
      </c>
      <c r="M6796" t="s">
        <v>51</v>
      </c>
      <c r="N6796" t="s">
        <v>12</v>
      </c>
      <c r="O6796" t="s">
        <v>188</v>
      </c>
      <c r="P6796" s="1" t="s">
        <v>33</v>
      </c>
      <c r="Q6796">
        <v>154</v>
      </c>
    </row>
    <row r="6797" spans="11:17" x14ac:dyDescent="0.3">
      <c r="K6797">
        <v>2020</v>
      </c>
      <c r="L6797" t="s">
        <v>37</v>
      </c>
      <c r="M6797" t="s">
        <v>51</v>
      </c>
      <c r="N6797" t="s">
        <v>11</v>
      </c>
      <c r="O6797" t="s">
        <v>188</v>
      </c>
      <c r="P6797" s="1" t="s">
        <v>30</v>
      </c>
      <c r="Q6797">
        <v>119.8</v>
      </c>
    </row>
    <row r="6798" spans="11:17" x14ac:dyDescent="0.3">
      <c r="K6798">
        <v>2020</v>
      </c>
      <c r="L6798" t="s">
        <v>37</v>
      </c>
      <c r="M6798" t="s">
        <v>51</v>
      </c>
      <c r="N6798" t="s">
        <v>11</v>
      </c>
      <c r="O6798" t="s">
        <v>188</v>
      </c>
      <c r="P6798" s="1" t="s">
        <v>34</v>
      </c>
      <c r="Q6798">
        <v>120.3</v>
      </c>
    </row>
    <row r="6799" spans="11:17" x14ac:dyDescent="0.3">
      <c r="K6799">
        <v>2020</v>
      </c>
      <c r="L6799" t="s">
        <v>37</v>
      </c>
      <c r="M6799" t="s">
        <v>51</v>
      </c>
      <c r="N6799" t="s">
        <v>11</v>
      </c>
      <c r="O6799" t="s">
        <v>188</v>
      </c>
      <c r="P6799" s="1" t="s">
        <v>33</v>
      </c>
      <c r="Q6799">
        <v>121.2</v>
      </c>
    </row>
    <row r="6800" spans="11:17" x14ac:dyDescent="0.3">
      <c r="K6800">
        <v>2020</v>
      </c>
      <c r="L6800" t="s">
        <v>37</v>
      </c>
      <c r="M6800" t="s">
        <v>51</v>
      </c>
      <c r="N6800" t="s">
        <v>24</v>
      </c>
      <c r="O6800" t="s">
        <v>191</v>
      </c>
      <c r="P6800" s="1" t="s">
        <v>30</v>
      </c>
      <c r="Q6800">
        <v>136.03333333333333</v>
      </c>
    </row>
    <row r="6801" spans="11:17" x14ac:dyDescent="0.3">
      <c r="K6801">
        <v>2020</v>
      </c>
      <c r="L6801" t="s">
        <v>37</v>
      </c>
      <c r="M6801" t="s">
        <v>51</v>
      </c>
      <c r="N6801" t="s">
        <v>24</v>
      </c>
      <c r="O6801" t="s">
        <v>191</v>
      </c>
      <c r="P6801" s="1" t="s">
        <v>34</v>
      </c>
      <c r="Q6801">
        <v>130.36666666666667</v>
      </c>
    </row>
    <row r="6802" spans="11:17" x14ac:dyDescent="0.3">
      <c r="K6802">
        <v>2020</v>
      </c>
      <c r="L6802" t="s">
        <v>37</v>
      </c>
      <c r="M6802" t="s">
        <v>51</v>
      </c>
      <c r="N6802" t="s">
        <v>24</v>
      </c>
      <c r="O6802" t="s">
        <v>191</v>
      </c>
      <c r="P6802" s="1" t="s">
        <v>33</v>
      </c>
      <c r="Q6802">
        <v>125.3</v>
      </c>
    </row>
    <row r="6803" spans="11:17" x14ac:dyDescent="0.3">
      <c r="K6803">
        <v>2020</v>
      </c>
      <c r="L6803" t="s">
        <v>37</v>
      </c>
      <c r="M6803" t="s">
        <v>51</v>
      </c>
      <c r="N6803" t="s">
        <v>9</v>
      </c>
      <c r="O6803" t="s">
        <v>188</v>
      </c>
      <c r="P6803" s="1" t="s">
        <v>30</v>
      </c>
      <c r="Q6803">
        <v>162.69999999999999</v>
      </c>
    </row>
    <row r="6804" spans="11:17" x14ac:dyDescent="0.3">
      <c r="K6804">
        <v>2020</v>
      </c>
      <c r="L6804" t="s">
        <v>37</v>
      </c>
      <c r="M6804" t="s">
        <v>51</v>
      </c>
      <c r="N6804" t="s">
        <v>9</v>
      </c>
      <c r="O6804" t="s">
        <v>188</v>
      </c>
      <c r="P6804" s="1" t="s">
        <v>34</v>
      </c>
      <c r="Q6804">
        <v>168.6</v>
      </c>
    </row>
    <row r="6805" spans="11:17" x14ac:dyDescent="0.3">
      <c r="K6805">
        <v>2020</v>
      </c>
      <c r="L6805" t="s">
        <v>37</v>
      </c>
      <c r="M6805" t="s">
        <v>51</v>
      </c>
      <c r="N6805" t="s">
        <v>9</v>
      </c>
      <c r="O6805" t="s">
        <v>188</v>
      </c>
      <c r="P6805" s="1" t="s">
        <v>33</v>
      </c>
      <c r="Q6805">
        <v>180</v>
      </c>
    </row>
    <row r="6806" spans="11:17" x14ac:dyDescent="0.3">
      <c r="K6806">
        <v>2020</v>
      </c>
      <c r="L6806" t="s">
        <v>41</v>
      </c>
      <c r="M6806" t="s">
        <v>137</v>
      </c>
      <c r="N6806" t="s">
        <v>3</v>
      </c>
      <c r="O6806" t="s">
        <v>188</v>
      </c>
      <c r="P6806" s="1" t="s">
        <v>30</v>
      </c>
      <c r="Q6806">
        <v>147.6</v>
      </c>
    </row>
    <row r="6807" spans="11:17" x14ac:dyDescent="0.3">
      <c r="K6807">
        <v>2020</v>
      </c>
      <c r="L6807" t="s">
        <v>41</v>
      </c>
      <c r="M6807" t="s">
        <v>137</v>
      </c>
      <c r="N6807" t="s">
        <v>3</v>
      </c>
      <c r="O6807" t="s">
        <v>188</v>
      </c>
      <c r="P6807" s="1" t="s">
        <v>34</v>
      </c>
      <c r="Q6807">
        <v>148.9</v>
      </c>
    </row>
    <row r="6808" spans="11:17" x14ac:dyDescent="0.3">
      <c r="K6808">
        <v>2020</v>
      </c>
      <c r="L6808" t="s">
        <v>41</v>
      </c>
      <c r="M6808" t="s">
        <v>137</v>
      </c>
      <c r="N6808" t="s">
        <v>3</v>
      </c>
      <c r="O6808" t="s">
        <v>188</v>
      </c>
      <c r="P6808" s="1" t="s">
        <v>33</v>
      </c>
      <c r="Q6808">
        <v>151.6</v>
      </c>
    </row>
    <row r="6809" spans="11:17" x14ac:dyDescent="0.3">
      <c r="K6809">
        <v>2020</v>
      </c>
      <c r="L6809" t="s">
        <v>41</v>
      </c>
      <c r="M6809" t="s">
        <v>137</v>
      </c>
      <c r="N6809" t="s">
        <v>17</v>
      </c>
      <c r="O6809" t="s">
        <v>189</v>
      </c>
      <c r="P6809" s="1" t="s">
        <v>30</v>
      </c>
      <c r="Q6809">
        <v>155.1</v>
      </c>
    </row>
    <row r="6810" spans="11:17" x14ac:dyDescent="0.3">
      <c r="K6810">
        <v>2020</v>
      </c>
      <c r="L6810" t="s">
        <v>41</v>
      </c>
      <c r="M6810" t="s">
        <v>137</v>
      </c>
      <c r="N6810" t="s">
        <v>17</v>
      </c>
      <c r="O6810" t="s">
        <v>189</v>
      </c>
      <c r="P6810" s="1" t="s">
        <v>34</v>
      </c>
      <c r="Q6810">
        <v>153.1</v>
      </c>
    </row>
    <row r="6811" spans="11:17" x14ac:dyDescent="0.3">
      <c r="K6811">
        <v>2020</v>
      </c>
      <c r="L6811" t="s">
        <v>41</v>
      </c>
      <c r="M6811" t="s">
        <v>137</v>
      </c>
      <c r="N6811" t="s">
        <v>17</v>
      </c>
      <c r="O6811" t="s">
        <v>189</v>
      </c>
      <c r="P6811" s="1" t="s">
        <v>33</v>
      </c>
      <c r="Q6811">
        <v>150</v>
      </c>
    </row>
    <row r="6812" spans="11:17" x14ac:dyDescent="0.3">
      <c r="K6812">
        <v>2020</v>
      </c>
      <c r="L6812" t="s">
        <v>41</v>
      </c>
      <c r="M6812" t="s">
        <v>137</v>
      </c>
      <c r="N6812" t="s">
        <v>19</v>
      </c>
      <c r="O6812" t="s">
        <v>189</v>
      </c>
      <c r="P6812" s="1" t="s">
        <v>30</v>
      </c>
      <c r="Q6812">
        <v>154.30000000000001</v>
      </c>
    </row>
    <row r="6813" spans="11:17" x14ac:dyDescent="0.3">
      <c r="K6813">
        <v>2020</v>
      </c>
      <c r="L6813" t="s">
        <v>41</v>
      </c>
      <c r="M6813" t="s">
        <v>137</v>
      </c>
      <c r="N6813" t="s">
        <v>19</v>
      </c>
      <c r="O6813" t="s">
        <v>189</v>
      </c>
      <c r="P6813" s="1" t="s">
        <v>34</v>
      </c>
      <c r="Q6813">
        <v>151.69999999999999</v>
      </c>
    </row>
    <row r="6814" spans="11:17" x14ac:dyDescent="0.3">
      <c r="K6814">
        <v>2020</v>
      </c>
      <c r="L6814" t="s">
        <v>41</v>
      </c>
      <c r="M6814" t="s">
        <v>137</v>
      </c>
      <c r="N6814" t="s">
        <v>19</v>
      </c>
      <c r="O6814" t="s">
        <v>189</v>
      </c>
      <c r="P6814" s="1" t="s">
        <v>33</v>
      </c>
      <c r="Q6814">
        <v>147.80000000000001</v>
      </c>
    </row>
    <row r="6815" spans="11:17" x14ac:dyDescent="0.3">
      <c r="K6815">
        <v>2020</v>
      </c>
      <c r="L6815" t="s">
        <v>41</v>
      </c>
      <c r="M6815" t="s">
        <v>137</v>
      </c>
      <c r="N6815" t="s">
        <v>26</v>
      </c>
      <c r="O6815" t="s">
        <v>26</v>
      </c>
      <c r="P6815" s="1" t="s">
        <v>30</v>
      </c>
      <c r="Q6815">
        <v>162.69999999999999</v>
      </c>
    </row>
    <row r="6816" spans="11:17" x14ac:dyDescent="0.3">
      <c r="K6816">
        <v>2020</v>
      </c>
      <c r="L6816" t="s">
        <v>41</v>
      </c>
      <c r="M6816" t="s">
        <v>137</v>
      </c>
      <c r="N6816" t="s">
        <v>26</v>
      </c>
      <c r="O6816" t="s">
        <v>26</v>
      </c>
      <c r="P6816" s="1" t="s">
        <v>34</v>
      </c>
      <c r="Q6816">
        <v>158.5</v>
      </c>
    </row>
    <row r="6817" spans="11:17" x14ac:dyDescent="0.3">
      <c r="K6817">
        <v>2020</v>
      </c>
      <c r="L6817" t="s">
        <v>41</v>
      </c>
      <c r="M6817" t="s">
        <v>137</v>
      </c>
      <c r="N6817" t="s">
        <v>26</v>
      </c>
      <c r="O6817" t="s">
        <v>26</v>
      </c>
      <c r="P6817" s="1" t="s">
        <v>33</v>
      </c>
      <c r="Q6817">
        <v>155.5</v>
      </c>
    </row>
    <row r="6818" spans="11:17" x14ac:dyDescent="0.3">
      <c r="K6818">
        <v>2020</v>
      </c>
      <c r="L6818" t="s">
        <v>41</v>
      </c>
      <c r="M6818" t="s">
        <v>137</v>
      </c>
      <c r="N6818" t="s">
        <v>5</v>
      </c>
      <c r="O6818" t="s">
        <v>188</v>
      </c>
      <c r="P6818" s="1" t="s">
        <v>30</v>
      </c>
      <c r="Q6818">
        <v>148.4</v>
      </c>
    </row>
    <row r="6819" spans="11:17" x14ac:dyDescent="0.3">
      <c r="K6819">
        <v>2020</v>
      </c>
      <c r="L6819" t="s">
        <v>41</v>
      </c>
      <c r="M6819" t="s">
        <v>137</v>
      </c>
      <c r="N6819" t="s">
        <v>5</v>
      </c>
      <c r="O6819" t="s">
        <v>188</v>
      </c>
      <c r="P6819" s="1" t="s">
        <v>34</v>
      </c>
      <c r="Q6819">
        <v>150.80000000000001</v>
      </c>
    </row>
    <row r="6820" spans="11:17" x14ac:dyDescent="0.3">
      <c r="K6820">
        <v>2020</v>
      </c>
      <c r="L6820" t="s">
        <v>41</v>
      </c>
      <c r="M6820" t="s">
        <v>137</v>
      </c>
      <c r="N6820" t="s">
        <v>5</v>
      </c>
      <c r="O6820" t="s">
        <v>188</v>
      </c>
      <c r="P6820" s="1" t="s">
        <v>33</v>
      </c>
      <c r="Q6820">
        <v>154.5</v>
      </c>
    </row>
    <row r="6821" spans="11:17" x14ac:dyDescent="0.3">
      <c r="K6821">
        <v>2020</v>
      </c>
      <c r="L6821" t="s">
        <v>41</v>
      </c>
      <c r="M6821" t="s">
        <v>137</v>
      </c>
      <c r="N6821" t="s">
        <v>15</v>
      </c>
      <c r="O6821" t="s">
        <v>188</v>
      </c>
      <c r="P6821" s="1" t="s">
        <v>30</v>
      </c>
      <c r="Q6821">
        <v>155.30000000000001</v>
      </c>
    </row>
    <row r="6822" spans="11:17" x14ac:dyDescent="0.3">
      <c r="K6822">
        <v>2020</v>
      </c>
      <c r="L6822" t="s">
        <v>41</v>
      </c>
      <c r="M6822" t="s">
        <v>137</v>
      </c>
      <c r="N6822" t="s">
        <v>15</v>
      </c>
      <c r="O6822" t="s">
        <v>188</v>
      </c>
      <c r="P6822" s="1" t="s">
        <v>34</v>
      </c>
      <c r="Q6822">
        <v>157</v>
      </c>
    </row>
    <row r="6823" spans="11:17" x14ac:dyDescent="0.3">
      <c r="K6823">
        <v>2020</v>
      </c>
      <c r="L6823" t="s">
        <v>41</v>
      </c>
      <c r="M6823" t="s">
        <v>137</v>
      </c>
      <c r="N6823" t="s">
        <v>15</v>
      </c>
      <c r="O6823" t="s">
        <v>188</v>
      </c>
      <c r="P6823" s="1" t="s">
        <v>33</v>
      </c>
      <c r="Q6823">
        <v>159.9</v>
      </c>
    </row>
    <row r="6824" spans="11:17" x14ac:dyDescent="0.3">
      <c r="K6824">
        <v>2020</v>
      </c>
      <c r="L6824" t="s">
        <v>41</v>
      </c>
      <c r="M6824" t="s">
        <v>137</v>
      </c>
      <c r="N6824" t="s">
        <v>18</v>
      </c>
      <c r="O6824" t="s">
        <v>189</v>
      </c>
      <c r="P6824" s="1" t="s">
        <v>30</v>
      </c>
      <c r="Q6824">
        <v>149.30000000000001</v>
      </c>
    </row>
    <row r="6825" spans="11:17" x14ac:dyDescent="0.3">
      <c r="K6825">
        <v>2020</v>
      </c>
      <c r="L6825" t="s">
        <v>41</v>
      </c>
      <c r="M6825" t="s">
        <v>137</v>
      </c>
      <c r="N6825" t="s">
        <v>18</v>
      </c>
      <c r="O6825" t="s">
        <v>189</v>
      </c>
      <c r="P6825" s="1" t="s">
        <v>34</v>
      </c>
      <c r="Q6825">
        <v>143.4</v>
      </c>
    </row>
    <row r="6826" spans="11:17" x14ac:dyDescent="0.3">
      <c r="K6826">
        <v>2020</v>
      </c>
      <c r="L6826" t="s">
        <v>41</v>
      </c>
      <c r="M6826" t="s">
        <v>137</v>
      </c>
      <c r="N6826" t="s">
        <v>18</v>
      </c>
      <c r="O6826" t="s">
        <v>189</v>
      </c>
      <c r="P6826" s="1" t="s">
        <v>33</v>
      </c>
      <c r="Q6826">
        <v>135.19999999999999</v>
      </c>
    </row>
    <row r="6827" spans="11:17" x14ac:dyDescent="0.3">
      <c r="K6827">
        <v>2020</v>
      </c>
      <c r="L6827" t="s">
        <v>41</v>
      </c>
      <c r="M6827" t="s">
        <v>137</v>
      </c>
      <c r="N6827" t="s">
        <v>8</v>
      </c>
      <c r="O6827" t="s">
        <v>188</v>
      </c>
      <c r="P6827" s="1" t="s">
        <v>30</v>
      </c>
      <c r="Q6827">
        <v>146.9</v>
      </c>
    </row>
    <row r="6828" spans="11:17" x14ac:dyDescent="0.3">
      <c r="K6828">
        <v>2020</v>
      </c>
      <c r="L6828" t="s">
        <v>41</v>
      </c>
      <c r="M6828" t="s">
        <v>137</v>
      </c>
      <c r="N6828" t="s">
        <v>8</v>
      </c>
      <c r="O6828" t="s">
        <v>188</v>
      </c>
      <c r="P6828" s="1" t="s">
        <v>34</v>
      </c>
      <c r="Q6828">
        <v>150.4</v>
      </c>
    </row>
    <row r="6829" spans="11:17" x14ac:dyDescent="0.3">
      <c r="K6829">
        <v>2020</v>
      </c>
      <c r="L6829" t="s">
        <v>41</v>
      </c>
      <c r="M6829" t="s">
        <v>137</v>
      </c>
      <c r="N6829" t="s">
        <v>8</v>
      </c>
      <c r="O6829" t="s">
        <v>188</v>
      </c>
      <c r="P6829" s="1" t="s">
        <v>33</v>
      </c>
      <c r="Q6829">
        <v>154.5</v>
      </c>
    </row>
    <row r="6830" spans="11:17" x14ac:dyDescent="0.3">
      <c r="K6830">
        <v>2020</v>
      </c>
      <c r="L6830" t="s">
        <v>41</v>
      </c>
      <c r="M6830" t="s">
        <v>137</v>
      </c>
      <c r="N6830" t="s">
        <v>21</v>
      </c>
      <c r="O6830" t="s">
        <v>190</v>
      </c>
      <c r="P6830" s="1" t="s">
        <v>30</v>
      </c>
      <c r="Q6830">
        <v>145.80000000000001</v>
      </c>
    </row>
    <row r="6831" spans="11:17" x14ac:dyDescent="0.3">
      <c r="K6831">
        <v>2020</v>
      </c>
      <c r="L6831" t="s">
        <v>41</v>
      </c>
      <c r="M6831" t="s">
        <v>137</v>
      </c>
      <c r="N6831" t="s">
        <v>21</v>
      </c>
      <c r="O6831" t="s">
        <v>190</v>
      </c>
      <c r="P6831" s="1" t="s">
        <v>34</v>
      </c>
      <c r="Q6831">
        <v>143</v>
      </c>
    </row>
    <row r="6832" spans="11:17" x14ac:dyDescent="0.3">
      <c r="K6832">
        <v>2020</v>
      </c>
      <c r="L6832" t="s">
        <v>41</v>
      </c>
      <c r="M6832" t="s">
        <v>137</v>
      </c>
      <c r="N6832" t="s">
        <v>21</v>
      </c>
      <c r="O6832" t="s">
        <v>190</v>
      </c>
      <c r="P6832" s="1" t="s">
        <v>33</v>
      </c>
      <c r="Q6832">
        <v>138.30000000000001</v>
      </c>
    </row>
    <row r="6833" spans="11:17" x14ac:dyDescent="0.3">
      <c r="K6833">
        <v>2020</v>
      </c>
      <c r="L6833" t="s">
        <v>41</v>
      </c>
      <c r="M6833" t="s">
        <v>137</v>
      </c>
      <c r="N6833" t="s">
        <v>29</v>
      </c>
      <c r="O6833" t="s">
        <v>206</v>
      </c>
      <c r="P6833" s="1" t="s">
        <v>30</v>
      </c>
      <c r="Q6833">
        <v>154.69999999999999</v>
      </c>
    </row>
    <row r="6834" spans="11:17" x14ac:dyDescent="0.3">
      <c r="K6834">
        <v>2020</v>
      </c>
      <c r="L6834" t="s">
        <v>41</v>
      </c>
      <c r="M6834" t="s">
        <v>137</v>
      </c>
      <c r="N6834" t="s">
        <v>29</v>
      </c>
      <c r="O6834" t="s">
        <v>206</v>
      </c>
      <c r="P6834" s="1" t="s">
        <v>34</v>
      </c>
      <c r="Q6834">
        <v>153.9</v>
      </c>
    </row>
    <row r="6835" spans="11:17" x14ac:dyDescent="0.3">
      <c r="K6835">
        <v>2020</v>
      </c>
      <c r="L6835" t="s">
        <v>41</v>
      </c>
      <c r="M6835" t="s">
        <v>137</v>
      </c>
      <c r="N6835" t="s">
        <v>29</v>
      </c>
      <c r="O6835" t="s">
        <v>206</v>
      </c>
      <c r="P6835" s="1" t="s">
        <v>33</v>
      </c>
      <c r="Q6835">
        <v>152.9</v>
      </c>
    </row>
    <row r="6836" spans="11:17" x14ac:dyDescent="0.3">
      <c r="K6836">
        <v>2020</v>
      </c>
      <c r="L6836" t="s">
        <v>41</v>
      </c>
      <c r="M6836" t="s">
        <v>137</v>
      </c>
      <c r="N6836" t="s">
        <v>23</v>
      </c>
      <c r="O6836" t="s">
        <v>23</v>
      </c>
      <c r="P6836" s="1" t="s">
        <v>30</v>
      </c>
      <c r="Q6836">
        <v>158.80000000000001</v>
      </c>
    </row>
    <row r="6837" spans="11:17" x14ac:dyDescent="0.3">
      <c r="K6837">
        <v>2020</v>
      </c>
      <c r="L6837" t="s">
        <v>41</v>
      </c>
      <c r="M6837" t="s">
        <v>137</v>
      </c>
      <c r="N6837" t="s">
        <v>23</v>
      </c>
      <c r="O6837" t="s">
        <v>23</v>
      </c>
      <c r="P6837" s="1" t="s">
        <v>34</v>
      </c>
      <c r="Q6837">
        <v>155</v>
      </c>
    </row>
    <row r="6838" spans="11:17" x14ac:dyDescent="0.3">
      <c r="K6838">
        <v>2020</v>
      </c>
      <c r="L6838" t="s">
        <v>41</v>
      </c>
      <c r="M6838" t="s">
        <v>137</v>
      </c>
      <c r="N6838" t="s">
        <v>23</v>
      </c>
      <c r="O6838" t="s">
        <v>23</v>
      </c>
      <c r="P6838" s="1" t="s">
        <v>33</v>
      </c>
      <c r="Q6838">
        <v>148.69999999999999</v>
      </c>
    </row>
    <row r="6839" spans="11:17" x14ac:dyDescent="0.3">
      <c r="K6839">
        <v>2020</v>
      </c>
      <c r="L6839" t="s">
        <v>41</v>
      </c>
      <c r="M6839" t="s">
        <v>137</v>
      </c>
      <c r="N6839" t="s">
        <v>22</v>
      </c>
      <c r="O6839" t="s">
        <v>20</v>
      </c>
      <c r="P6839" s="1" t="s">
        <v>30</v>
      </c>
      <c r="Q6839">
        <v>151.9</v>
      </c>
    </row>
    <row r="6840" spans="11:17" x14ac:dyDescent="0.3">
      <c r="K6840">
        <v>2020</v>
      </c>
      <c r="L6840" t="s">
        <v>41</v>
      </c>
      <c r="M6840" t="s">
        <v>137</v>
      </c>
      <c r="N6840" t="s">
        <v>22</v>
      </c>
      <c r="O6840" t="s">
        <v>20</v>
      </c>
      <c r="P6840" s="1" t="s">
        <v>34</v>
      </c>
      <c r="Q6840">
        <v>148.4</v>
      </c>
    </row>
    <row r="6841" spans="11:17" x14ac:dyDescent="0.3">
      <c r="K6841">
        <v>2020</v>
      </c>
      <c r="L6841" t="s">
        <v>41</v>
      </c>
      <c r="M6841" t="s">
        <v>137</v>
      </c>
      <c r="N6841" t="s">
        <v>22</v>
      </c>
      <c r="O6841" t="s">
        <v>20</v>
      </c>
      <c r="P6841" s="1" t="s">
        <v>33</v>
      </c>
      <c r="Q6841">
        <v>144.5</v>
      </c>
    </row>
    <row r="6842" spans="11:17" x14ac:dyDescent="0.3">
      <c r="K6842">
        <v>2020</v>
      </c>
      <c r="L6842" t="s">
        <v>41</v>
      </c>
      <c r="M6842" t="s">
        <v>137</v>
      </c>
      <c r="N6842" t="s">
        <v>20</v>
      </c>
      <c r="O6842" t="s">
        <v>20</v>
      </c>
      <c r="P6842" s="1" t="s">
        <v>30</v>
      </c>
      <c r="Q6842">
        <v>0</v>
      </c>
    </row>
    <row r="6843" spans="11:17" x14ac:dyDescent="0.3">
      <c r="K6843">
        <v>2020</v>
      </c>
      <c r="L6843" t="s">
        <v>41</v>
      </c>
      <c r="M6843" t="s">
        <v>137</v>
      </c>
      <c r="N6843" t="s">
        <v>20</v>
      </c>
      <c r="O6843" t="s">
        <v>20</v>
      </c>
      <c r="P6843" s="1" t="s">
        <v>34</v>
      </c>
      <c r="Q6843">
        <v>155.5</v>
      </c>
    </row>
    <row r="6844" spans="11:17" x14ac:dyDescent="0.3">
      <c r="K6844">
        <v>2020</v>
      </c>
      <c r="L6844" t="s">
        <v>41</v>
      </c>
      <c r="M6844" t="s">
        <v>137</v>
      </c>
      <c r="N6844" t="s">
        <v>20</v>
      </c>
      <c r="O6844" t="s">
        <v>20</v>
      </c>
      <c r="P6844" s="1" t="s">
        <v>33</v>
      </c>
      <c r="Q6844">
        <v>155.5</v>
      </c>
    </row>
    <row r="6845" spans="11:17" x14ac:dyDescent="0.3">
      <c r="K6845">
        <v>2020</v>
      </c>
      <c r="L6845" t="s">
        <v>41</v>
      </c>
      <c r="M6845" t="s">
        <v>137</v>
      </c>
      <c r="N6845" t="s">
        <v>4</v>
      </c>
      <c r="O6845" t="s">
        <v>188</v>
      </c>
      <c r="P6845" s="1" t="s">
        <v>30</v>
      </c>
      <c r="Q6845">
        <v>187.2</v>
      </c>
    </row>
    <row r="6846" spans="11:17" x14ac:dyDescent="0.3">
      <c r="K6846">
        <v>2020</v>
      </c>
      <c r="L6846" t="s">
        <v>41</v>
      </c>
      <c r="M6846" t="s">
        <v>137</v>
      </c>
      <c r="N6846" t="s">
        <v>4</v>
      </c>
      <c r="O6846" t="s">
        <v>188</v>
      </c>
      <c r="P6846" s="1" t="s">
        <v>34</v>
      </c>
      <c r="Q6846">
        <v>190.9</v>
      </c>
    </row>
    <row r="6847" spans="11:17" x14ac:dyDescent="0.3">
      <c r="K6847">
        <v>2020</v>
      </c>
      <c r="L6847" t="s">
        <v>41</v>
      </c>
      <c r="M6847" t="s">
        <v>137</v>
      </c>
      <c r="N6847" t="s">
        <v>4</v>
      </c>
      <c r="O6847" t="s">
        <v>188</v>
      </c>
      <c r="P6847" s="1" t="s">
        <v>33</v>
      </c>
      <c r="Q6847">
        <v>197.8</v>
      </c>
    </row>
    <row r="6848" spans="11:17" x14ac:dyDescent="0.3">
      <c r="K6848">
        <v>2020</v>
      </c>
      <c r="L6848" t="s">
        <v>41</v>
      </c>
      <c r="M6848" t="s">
        <v>137</v>
      </c>
      <c r="N6848" t="s">
        <v>6</v>
      </c>
      <c r="O6848" t="s">
        <v>188</v>
      </c>
      <c r="P6848" s="1" t="s">
        <v>30</v>
      </c>
      <c r="Q6848">
        <v>153.30000000000001</v>
      </c>
    </row>
    <row r="6849" spans="11:17" x14ac:dyDescent="0.3">
      <c r="K6849">
        <v>2020</v>
      </c>
      <c r="L6849" t="s">
        <v>41</v>
      </c>
      <c r="M6849" t="s">
        <v>137</v>
      </c>
      <c r="N6849" t="s">
        <v>6</v>
      </c>
      <c r="O6849" t="s">
        <v>188</v>
      </c>
      <c r="P6849" s="1" t="s">
        <v>34</v>
      </c>
      <c r="Q6849">
        <v>153.30000000000001</v>
      </c>
    </row>
    <row r="6850" spans="11:17" x14ac:dyDescent="0.3">
      <c r="K6850">
        <v>2020</v>
      </c>
      <c r="L6850" t="s">
        <v>41</v>
      </c>
      <c r="M6850" t="s">
        <v>137</v>
      </c>
      <c r="N6850" t="s">
        <v>6</v>
      </c>
      <c r="O6850" t="s">
        <v>188</v>
      </c>
      <c r="P6850" s="1" t="s">
        <v>33</v>
      </c>
      <c r="Q6850">
        <v>153.4</v>
      </c>
    </row>
    <row r="6851" spans="11:17" x14ac:dyDescent="0.3">
      <c r="K6851">
        <v>2020</v>
      </c>
      <c r="L6851" t="s">
        <v>41</v>
      </c>
      <c r="M6851" t="s">
        <v>137</v>
      </c>
      <c r="N6851" t="s">
        <v>28</v>
      </c>
      <c r="O6851" t="s">
        <v>192</v>
      </c>
      <c r="P6851" s="1" t="s">
        <v>30</v>
      </c>
      <c r="Q6851">
        <v>153</v>
      </c>
    </row>
    <row r="6852" spans="11:17" x14ac:dyDescent="0.3">
      <c r="K6852">
        <v>2020</v>
      </c>
      <c r="L6852" t="s">
        <v>41</v>
      </c>
      <c r="M6852" t="s">
        <v>137</v>
      </c>
      <c r="N6852" t="s">
        <v>28</v>
      </c>
      <c r="O6852" t="s">
        <v>192</v>
      </c>
      <c r="P6852" s="1" t="s">
        <v>34</v>
      </c>
      <c r="Q6852">
        <v>149</v>
      </c>
    </row>
    <row r="6853" spans="11:17" x14ac:dyDescent="0.3">
      <c r="K6853">
        <v>2020</v>
      </c>
      <c r="L6853" t="s">
        <v>41</v>
      </c>
      <c r="M6853" t="s">
        <v>137</v>
      </c>
      <c r="N6853" t="s">
        <v>28</v>
      </c>
      <c r="O6853" t="s">
        <v>192</v>
      </c>
      <c r="P6853" s="1" t="s">
        <v>33</v>
      </c>
      <c r="Q6853">
        <v>144.80000000000001</v>
      </c>
    </row>
    <row r="6854" spans="11:17" x14ac:dyDescent="0.3">
      <c r="K6854">
        <v>2020</v>
      </c>
      <c r="L6854" t="s">
        <v>41</v>
      </c>
      <c r="M6854" t="s">
        <v>137</v>
      </c>
      <c r="N6854" t="s">
        <v>13</v>
      </c>
      <c r="O6854" t="s">
        <v>188</v>
      </c>
      <c r="P6854" s="1" t="s">
        <v>30</v>
      </c>
      <c r="Q6854">
        <v>143.5</v>
      </c>
    </row>
    <row r="6855" spans="11:17" x14ac:dyDescent="0.3">
      <c r="K6855">
        <v>2020</v>
      </c>
      <c r="L6855" t="s">
        <v>41</v>
      </c>
      <c r="M6855" t="s">
        <v>137</v>
      </c>
      <c r="N6855" t="s">
        <v>13</v>
      </c>
      <c r="O6855" t="s">
        <v>188</v>
      </c>
      <c r="P6855" s="1" t="s">
        <v>34</v>
      </c>
      <c r="Q6855">
        <v>140.6</v>
      </c>
    </row>
    <row r="6856" spans="11:17" x14ac:dyDescent="0.3">
      <c r="K6856">
        <v>2020</v>
      </c>
      <c r="L6856" t="s">
        <v>41</v>
      </c>
      <c r="M6856" t="s">
        <v>137</v>
      </c>
      <c r="N6856" t="s">
        <v>13</v>
      </c>
      <c r="O6856" t="s">
        <v>188</v>
      </c>
      <c r="P6856" s="1" t="s">
        <v>33</v>
      </c>
      <c r="Q6856">
        <v>136.5</v>
      </c>
    </row>
    <row r="6857" spans="11:17" x14ac:dyDescent="0.3">
      <c r="K6857">
        <v>2020</v>
      </c>
      <c r="L6857" t="s">
        <v>41</v>
      </c>
      <c r="M6857" t="s">
        <v>137</v>
      </c>
      <c r="N6857" t="s">
        <v>7</v>
      </c>
      <c r="O6857" t="s">
        <v>188</v>
      </c>
      <c r="P6857" s="1" t="s">
        <v>30</v>
      </c>
      <c r="Q6857">
        <v>139.80000000000001</v>
      </c>
    </row>
    <row r="6858" spans="11:17" x14ac:dyDescent="0.3">
      <c r="K6858">
        <v>2020</v>
      </c>
      <c r="L6858" t="s">
        <v>41</v>
      </c>
      <c r="M6858" t="s">
        <v>137</v>
      </c>
      <c r="N6858" t="s">
        <v>7</v>
      </c>
      <c r="O6858" t="s">
        <v>188</v>
      </c>
      <c r="P6858" s="1" t="s">
        <v>34</v>
      </c>
      <c r="Q6858">
        <v>137.4</v>
      </c>
    </row>
    <row r="6859" spans="11:17" x14ac:dyDescent="0.3">
      <c r="K6859">
        <v>2020</v>
      </c>
      <c r="L6859" t="s">
        <v>41</v>
      </c>
      <c r="M6859" t="s">
        <v>137</v>
      </c>
      <c r="N6859" t="s">
        <v>7</v>
      </c>
      <c r="O6859" t="s">
        <v>188</v>
      </c>
      <c r="P6859" s="1" t="s">
        <v>33</v>
      </c>
      <c r="Q6859">
        <v>133.4</v>
      </c>
    </row>
    <row r="6860" spans="11:17" x14ac:dyDescent="0.3">
      <c r="K6860">
        <v>2020</v>
      </c>
      <c r="L6860" t="s">
        <v>41</v>
      </c>
      <c r="M6860" t="s">
        <v>137</v>
      </c>
      <c r="N6860" t="s">
        <v>16</v>
      </c>
      <c r="O6860" t="s">
        <v>192</v>
      </c>
      <c r="P6860" s="1" t="s">
        <v>30</v>
      </c>
      <c r="Q6860">
        <v>180.9</v>
      </c>
    </row>
    <row r="6861" spans="11:17" x14ac:dyDescent="0.3">
      <c r="K6861">
        <v>2020</v>
      </c>
      <c r="L6861" t="s">
        <v>41</v>
      </c>
      <c r="M6861" t="s">
        <v>137</v>
      </c>
      <c r="N6861" t="s">
        <v>16</v>
      </c>
      <c r="O6861" t="s">
        <v>192</v>
      </c>
      <c r="P6861" s="1" t="s">
        <v>34</v>
      </c>
      <c r="Q6861">
        <v>182.6</v>
      </c>
    </row>
    <row r="6862" spans="11:17" x14ac:dyDescent="0.3">
      <c r="K6862">
        <v>2020</v>
      </c>
      <c r="L6862" t="s">
        <v>41</v>
      </c>
      <c r="M6862" t="s">
        <v>137</v>
      </c>
      <c r="N6862" t="s">
        <v>16</v>
      </c>
      <c r="O6862" t="s">
        <v>192</v>
      </c>
      <c r="P6862" s="1" t="s">
        <v>33</v>
      </c>
      <c r="Q6862">
        <v>187.2</v>
      </c>
    </row>
    <row r="6863" spans="11:17" x14ac:dyDescent="0.3">
      <c r="K6863">
        <v>2020</v>
      </c>
      <c r="L6863" t="s">
        <v>41</v>
      </c>
      <c r="M6863" t="s">
        <v>137</v>
      </c>
      <c r="N6863" t="s">
        <v>27</v>
      </c>
      <c r="O6863" t="s">
        <v>192</v>
      </c>
      <c r="P6863" s="1" t="s">
        <v>30</v>
      </c>
      <c r="Q6863">
        <v>153.6</v>
      </c>
    </row>
    <row r="6864" spans="11:17" x14ac:dyDescent="0.3">
      <c r="K6864">
        <v>2020</v>
      </c>
      <c r="L6864" t="s">
        <v>41</v>
      </c>
      <c r="M6864" t="s">
        <v>137</v>
      </c>
      <c r="N6864" t="s">
        <v>27</v>
      </c>
      <c r="O6864" t="s">
        <v>192</v>
      </c>
      <c r="P6864" s="1" t="s">
        <v>34</v>
      </c>
      <c r="Q6864">
        <v>154.30000000000001</v>
      </c>
    </row>
    <row r="6865" spans="11:17" x14ac:dyDescent="0.3">
      <c r="K6865">
        <v>2020</v>
      </c>
      <c r="L6865" t="s">
        <v>41</v>
      </c>
      <c r="M6865" t="s">
        <v>137</v>
      </c>
      <c r="N6865" t="s">
        <v>27</v>
      </c>
      <c r="O6865" t="s">
        <v>192</v>
      </c>
      <c r="P6865" s="1" t="s">
        <v>33</v>
      </c>
      <c r="Q6865">
        <v>155.19999999999999</v>
      </c>
    </row>
    <row r="6866" spans="11:17" x14ac:dyDescent="0.3">
      <c r="K6866">
        <v>2020</v>
      </c>
      <c r="L6866" t="s">
        <v>41</v>
      </c>
      <c r="M6866" t="s">
        <v>137</v>
      </c>
      <c r="N6866" t="s">
        <v>14</v>
      </c>
      <c r="O6866" t="s">
        <v>188</v>
      </c>
      <c r="P6866" s="1" t="s">
        <v>30</v>
      </c>
      <c r="Q6866">
        <v>161.5</v>
      </c>
    </row>
    <row r="6867" spans="11:17" x14ac:dyDescent="0.3">
      <c r="K6867">
        <v>2020</v>
      </c>
      <c r="L6867" t="s">
        <v>41</v>
      </c>
      <c r="M6867" t="s">
        <v>137</v>
      </c>
      <c r="N6867" t="s">
        <v>14</v>
      </c>
      <c r="O6867" t="s">
        <v>188</v>
      </c>
      <c r="P6867" s="1" t="s">
        <v>34</v>
      </c>
      <c r="Q6867">
        <v>162.30000000000001</v>
      </c>
    </row>
    <row r="6868" spans="11:17" x14ac:dyDescent="0.3">
      <c r="K6868">
        <v>2020</v>
      </c>
      <c r="L6868" t="s">
        <v>41</v>
      </c>
      <c r="M6868" t="s">
        <v>137</v>
      </c>
      <c r="N6868" t="s">
        <v>14</v>
      </c>
      <c r="O6868" t="s">
        <v>188</v>
      </c>
      <c r="P6868" s="1" t="s">
        <v>33</v>
      </c>
      <c r="Q6868">
        <v>163.30000000000001</v>
      </c>
    </row>
    <row r="6869" spans="11:17" x14ac:dyDescent="0.3">
      <c r="K6869">
        <v>2020</v>
      </c>
      <c r="L6869" t="s">
        <v>41</v>
      </c>
      <c r="M6869" t="s">
        <v>137</v>
      </c>
      <c r="N6869" t="s">
        <v>10</v>
      </c>
      <c r="O6869" t="s">
        <v>188</v>
      </c>
      <c r="P6869" s="1" t="s">
        <v>30</v>
      </c>
      <c r="Q6869">
        <v>149.9</v>
      </c>
    </row>
    <row r="6870" spans="11:17" x14ac:dyDescent="0.3">
      <c r="K6870">
        <v>2020</v>
      </c>
      <c r="L6870" t="s">
        <v>41</v>
      </c>
      <c r="M6870" t="s">
        <v>137</v>
      </c>
      <c r="N6870" t="s">
        <v>10</v>
      </c>
      <c r="O6870" t="s">
        <v>188</v>
      </c>
      <c r="P6870" s="1" t="s">
        <v>34</v>
      </c>
      <c r="Q6870">
        <v>150.4</v>
      </c>
    </row>
    <row r="6871" spans="11:17" x14ac:dyDescent="0.3">
      <c r="K6871">
        <v>2020</v>
      </c>
      <c r="L6871" t="s">
        <v>41</v>
      </c>
      <c r="M6871" t="s">
        <v>137</v>
      </c>
      <c r="N6871" t="s">
        <v>10</v>
      </c>
      <c r="O6871" t="s">
        <v>188</v>
      </c>
      <c r="P6871" s="1" t="s">
        <v>33</v>
      </c>
      <c r="Q6871">
        <v>151.30000000000001</v>
      </c>
    </row>
    <row r="6872" spans="11:17" x14ac:dyDescent="0.3">
      <c r="K6872">
        <v>2020</v>
      </c>
      <c r="L6872" t="s">
        <v>41</v>
      </c>
      <c r="M6872" t="s">
        <v>137</v>
      </c>
      <c r="N6872" t="s">
        <v>25</v>
      </c>
      <c r="O6872" t="s">
        <v>195</v>
      </c>
      <c r="P6872" s="1" t="s">
        <v>30</v>
      </c>
      <c r="Q6872">
        <v>152.19999999999999</v>
      </c>
    </row>
    <row r="6873" spans="11:17" x14ac:dyDescent="0.3">
      <c r="K6873">
        <v>2020</v>
      </c>
      <c r="L6873" t="s">
        <v>41</v>
      </c>
      <c r="M6873" t="s">
        <v>137</v>
      </c>
      <c r="N6873" t="s">
        <v>25</v>
      </c>
      <c r="O6873" t="s">
        <v>195</v>
      </c>
      <c r="P6873" s="1" t="s">
        <v>34</v>
      </c>
      <c r="Q6873">
        <v>146</v>
      </c>
    </row>
    <row r="6874" spans="11:17" x14ac:dyDescent="0.3">
      <c r="K6874">
        <v>2020</v>
      </c>
      <c r="L6874" t="s">
        <v>41</v>
      </c>
      <c r="M6874" t="s">
        <v>137</v>
      </c>
      <c r="N6874" t="s">
        <v>25</v>
      </c>
      <c r="O6874" t="s">
        <v>195</v>
      </c>
      <c r="P6874" s="1" t="s">
        <v>33</v>
      </c>
      <c r="Q6874">
        <v>141.19999999999999</v>
      </c>
    </row>
    <row r="6875" spans="11:17" x14ac:dyDescent="0.3">
      <c r="K6875">
        <v>2020</v>
      </c>
      <c r="L6875" t="s">
        <v>41</v>
      </c>
      <c r="M6875" t="s">
        <v>137</v>
      </c>
      <c r="N6875" t="s">
        <v>12</v>
      </c>
      <c r="O6875" t="s">
        <v>188</v>
      </c>
      <c r="P6875" s="1" t="s">
        <v>30</v>
      </c>
      <c r="Q6875">
        <v>160</v>
      </c>
    </row>
    <row r="6876" spans="11:17" x14ac:dyDescent="0.3">
      <c r="K6876">
        <v>2020</v>
      </c>
      <c r="L6876" t="s">
        <v>41</v>
      </c>
      <c r="M6876" t="s">
        <v>137</v>
      </c>
      <c r="N6876" t="s">
        <v>12</v>
      </c>
      <c r="O6876" t="s">
        <v>188</v>
      </c>
      <c r="P6876" s="1" t="s">
        <v>34</v>
      </c>
      <c r="Q6876">
        <v>160</v>
      </c>
    </row>
    <row r="6877" spans="11:17" x14ac:dyDescent="0.3">
      <c r="K6877">
        <v>2020</v>
      </c>
      <c r="L6877" t="s">
        <v>41</v>
      </c>
      <c r="M6877" t="s">
        <v>137</v>
      </c>
      <c r="N6877" t="s">
        <v>12</v>
      </c>
      <c r="O6877" t="s">
        <v>188</v>
      </c>
      <c r="P6877" s="1" t="s">
        <v>33</v>
      </c>
      <c r="Q6877">
        <v>160</v>
      </c>
    </row>
    <row r="6878" spans="11:17" x14ac:dyDescent="0.3">
      <c r="K6878">
        <v>2020</v>
      </c>
      <c r="L6878" t="s">
        <v>41</v>
      </c>
      <c r="M6878" t="s">
        <v>137</v>
      </c>
      <c r="N6878" t="s">
        <v>11</v>
      </c>
      <c r="O6878" t="s">
        <v>188</v>
      </c>
      <c r="P6878" s="1" t="s">
        <v>30</v>
      </c>
      <c r="Q6878">
        <v>114.2</v>
      </c>
    </row>
    <row r="6879" spans="11:17" x14ac:dyDescent="0.3">
      <c r="K6879">
        <v>2020</v>
      </c>
      <c r="L6879" t="s">
        <v>41</v>
      </c>
      <c r="M6879" t="s">
        <v>137</v>
      </c>
      <c r="N6879" t="s">
        <v>11</v>
      </c>
      <c r="O6879" t="s">
        <v>188</v>
      </c>
      <c r="P6879" s="1" t="s">
        <v>34</v>
      </c>
      <c r="Q6879">
        <v>115.1</v>
      </c>
    </row>
    <row r="6880" spans="11:17" x14ac:dyDescent="0.3">
      <c r="K6880">
        <v>2020</v>
      </c>
      <c r="L6880" t="s">
        <v>41</v>
      </c>
      <c r="M6880" t="s">
        <v>137</v>
      </c>
      <c r="N6880" t="s">
        <v>11</v>
      </c>
      <c r="O6880" t="s">
        <v>188</v>
      </c>
      <c r="P6880" s="1" t="s">
        <v>33</v>
      </c>
      <c r="Q6880">
        <v>116.8</v>
      </c>
    </row>
    <row r="6881" spans="11:17" x14ac:dyDescent="0.3">
      <c r="K6881">
        <v>2020</v>
      </c>
      <c r="L6881" t="s">
        <v>41</v>
      </c>
      <c r="M6881" t="s">
        <v>137</v>
      </c>
      <c r="N6881" t="s">
        <v>24</v>
      </c>
      <c r="O6881" t="s">
        <v>191</v>
      </c>
      <c r="P6881" s="1" t="s">
        <v>30</v>
      </c>
      <c r="Q6881">
        <v>143.6</v>
      </c>
    </row>
    <row r="6882" spans="11:17" x14ac:dyDescent="0.3">
      <c r="K6882">
        <v>2020</v>
      </c>
      <c r="L6882" t="s">
        <v>41</v>
      </c>
      <c r="M6882" t="s">
        <v>137</v>
      </c>
      <c r="N6882" t="s">
        <v>24</v>
      </c>
      <c r="O6882" t="s">
        <v>191</v>
      </c>
      <c r="P6882" s="1" t="s">
        <v>34</v>
      </c>
      <c r="Q6882">
        <v>138.5</v>
      </c>
    </row>
    <row r="6883" spans="11:17" x14ac:dyDescent="0.3">
      <c r="K6883">
        <v>2020</v>
      </c>
      <c r="L6883" t="s">
        <v>41</v>
      </c>
      <c r="M6883" t="s">
        <v>137</v>
      </c>
      <c r="N6883" t="s">
        <v>24</v>
      </c>
      <c r="O6883" t="s">
        <v>191</v>
      </c>
      <c r="P6883" s="1" t="s">
        <v>33</v>
      </c>
      <c r="Q6883">
        <v>133.9</v>
      </c>
    </row>
    <row r="6884" spans="11:17" x14ac:dyDescent="0.3">
      <c r="K6884">
        <v>2020</v>
      </c>
      <c r="L6884" t="s">
        <v>41</v>
      </c>
      <c r="M6884" t="s">
        <v>137</v>
      </c>
      <c r="N6884" t="s">
        <v>9</v>
      </c>
      <c r="O6884" t="s">
        <v>188</v>
      </c>
      <c r="P6884" s="1" t="s">
        <v>30</v>
      </c>
      <c r="Q6884">
        <v>171</v>
      </c>
    </row>
    <row r="6885" spans="11:17" x14ac:dyDescent="0.3">
      <c r="K6885">
        <v>2020</v>
      </c>
      <c r="L6885" t="s">
        <v>41</v>
      </c>
      <c r="M6885" t="s">
        <v>137</v>
      </c>
      <c r="N6885" t="s">
        <v>9</v>
      </c>
      <c r="O6885" t="s">
        <v>188</v>
      </c>
      <c r="P6885" s="1" t="s">
        <v>34</v>
      </c>
      <c r="Q6885">
        <v>178.1</v>
      </c>
    </row>
    <row r="6886" spans="11:17" x14ac:dyDescent="0.3">
      <c r="K6886">
        <v>2020</v>
      </c>
      <c r="L6886" t="s">
        <v>41</v>
      </c>
      <c r="M6886" t="s">
        <v>137</v>
      </c>
      <c r="N6886" t="s">
        <v>9</v>
      </c>
      <c r="O6886" t="s">
        <v>188</v>
      </c>
      <c r="P6886" s="1" t="s">
        <v>33</v>
      </c>
      <c r="Q6886">
        <v>191.9</v>
      </c>
    </row>
    <row r="6887" spans="11:17" x14ac:dyDescent="0.3">
      <c r="K6887">
        <v>2020</v>
      </c>
      <c r="L6887" t="s">
        <v>45</v>
      </c>
      <c r="M6887" t="s">
        <v>138</v>
      </c>
      <c r="N6887" t="s">
        <v>3</v>
      </c>
      <c r="O6887" t="s">
        <v>188</v>
      </c>
      <c r="P6887" s="1" t="s">
        <v>30</v>
      </c>
      <c r="Q6887">
        <v>144.6</v>
      </c>
    </row>
    <row r="6888" spans="11:17" x14ac:dyDescent="0.3">
      <c r="K6888">
        <v>2020</v>
      </c>
      <c r="L6888" t="s">
        <v>45</v>
      </c>
      <c r="M6888" t="s">
        <v>138</v>
      </c>
      <c r="N6888" t="s">
        <v>3</v>
      </c>
      <c r="O6888" t="s">
        <v>188</v>
      </c>
      <c r="P6888" s="1" t="s">
        <v>34</v>
      </c>
      <c r="Q6888">
        <v>146</v>
      </c>
    </row>
    <row r="6889" spans="11:17" x14ac:dyDescent="0.3">
      <c r="K6889">
        <v>2020</v>
      </c>
      <c r="L6889" t="s">
        <v>45</v>
      </c>
      <c r="M6889" t="s">
        <v>138</v>
      </c>
      <c r="N6889" t="s">
        <v>3</v>
      </c>
      <c r="O6889" t="s">
        <v>188</v>
      </c>
      <c r="P6889" s="1" t="s">
        <v>33</v>
      </c>
      <c r="Q6889">
        <v>149</v>
      </c>
    </row>
    <row r="6890" spans="11:17" x14ac:dyDescent="0.3">
      <c r="K6890">
        <v>2020</v>
      </c>
      <c r="L6890" t="s">
        <v>45</v>
      </c>
      <c r="M6890" t="s">
        <v>138</v>
      </c>
      <c r="N6890" t="s">
        <v>17</v>
      </c>
      <c r="O6890" t="s">
        <v>189</v>
      </c>
      <c r="P6890" s="1" t="s">
        <v>30</v>
      </c>
      <c r="Q6890">
        <v>157</v>
      </c>
    </row>
    <row r="6891" spans="11:17" x14ac:dyDescent="0.3">
      <c r="K6891">
        <v>2020</v>
      </c>
      <c r="L6891" t="s">
        <v>45</v>
      </c>
      <c r="M6891" t="s">
        <v>138</v>
      </c>
      <c r="N6891" t="s">
        <v>17</v>
      </c>
      <c r="O6891" t="s">
        <v>189</v>
      </c>
      <c r="P6891" s="1" t="s">
        <v>34</v>
      </c>
      <c r="Q6891">
        <v>155</v>
      </c>
    </row>
    <row r="6892" spans="11:17" x14ac:dyDescent="0.3">
      <c r="K6892">
        <v>2020</v>
      </c>
      <c r="L6892" t="s">
        <v>45</v>
      </c>
      <c r="M6892" t="s">
        <v>138</v>
      </c>
      <c r="N6892" t="s">
        <v>17</v>
      </c>
      <c r="O6892" t="s">
        <v>189</v>
      </c>
      <c r="P6892" s="1" t="s">
        <v>33</v>
      </c>
      <c r="Q6892">
        <v>151.9</v>
      </c>
    </row>
    <row r="6893" spans="11:17" x14ac:dyDescent="0.3">
      <c r="K6893">
        <v>2020</v>
      </c>
      <c r="L6893" t="s">
        <v>45</v>
      </c>
      <c r="M6893" t="s">
        <v>138</v>
      </c>
      <c r="N6893" t="s">
        <v>19</v>
      </c>
      <c r="O6893" t="s">
        <v>189</v>
      </c>
      <c r="P6893" s="1" t="s">
        <v>30</v>
      </c>
      <c r="Q6893">
        <v>156.30000000000001</v>
      </c>
    </row>
    <row r="6894" spans="11:17" x14ac:dyDescent="0.3">
      <c r="K6894">
        <v>2020</v>
      </c>
      <c r="L6894" t="s">
        <v>45</v>
      </c>
      <c r="M6894" t="s">
        <v>138</v>
      </c>
      <c r="N6894" t="s">
        <v>19</v>
      </c>
      <c r="O6894" t="s">
        <v>189</v>
      </c>
      <c r="P6894" s="1" t="s">
        <v>34</v>
      </c>
      <c r="Q6894">
        <v>153.6</v>
      </c>
    </row>
    <row r="6895" spans="11:17" x14ac:dyDescent="0.3">
      <c r="K6895">
        <v>2020</v>
      </c>
      <c r="L6895" t="s">
        <v>45</v>
      </c>
      <c r="M6895" t="s">
        <v>138</v>
      </c>
      <c r="N6895" t="s">
        <v>19</v>
      </c>
      <c r="O6895" t="s">
        <v>189</v>
      </c>
      <c r="P6895" s="1" t="s">
        <v>33</v>
      </c>
      <c r="Q6895">
        <v>149.6</v>
      </c>
    </row>
    <row r="6896" spans="11:17" x14ac:dyDescent="0.3">
      <c r="K6896">
        <v>2020</v>
      </c>
      <c r="L6896" t="s">
        <v>45</v>
      </c>
      <c r="M6896" t="s">
        <v>138</v>
      </c>
      <c r="N6896" t="s">
        <v>26</v>
      </c>
      <c r="O6896" t="s">
        <v>26</v>
      </c>
      <c r="P6896" s="1" t="s">
        <v>30</v>
      </c>
      <c r="Q6896">
        <v>162.9</v>
      </c>
    </row>
    <row r="6897" spans="11:17" x14ac:dyDescent="0.3">
      <c r="K6897">
        <v>2020</v>
      </c>
      <c r="L6897" t="s">
        <v>45</v>
      </c>
      <c r="M6897" t="s">
        <v>138</v>
      </c>
      <c r="N6897" t="s">
        <v>26</v>
      </c>
      <c r="O6897" t="s">
        <v>26</v>
      </c>
      <c r="P6897" s="1" t="s">
        <v>34</v>
      </c>
      <c r="Q6897">
        <v>159.4</v>
      </c>
    </row>
    <row r="6898" spans="11:17" x14ac:dyDescent="0.3">
      <c r="K6898">
        <v>2020</v>
      </c>
      <c r="L6898" t="s">
        <v>45</v>
      </c>
      <c r="M6898" t="s">
        <v>138</v>
      </c>
      <c r="N6898" t="s">
        <v>26</v>
      </c>
      <c r="O6898" t="s">
        <v>26</v>
      </c>
      <c r="P6898" s="1" t="s">
        <v>33</v>
      </c>
      <c r="Q6898">
        <v>156.9</v>
      </c>
    </row>
    <row r="6899" spans="11:17" x14ac:dyDescent="0.3">
      <c r="K6899">
        <v>2020</v>
      </c>
      <c r="L6899" t="s">
        <v>45</v>
      </c>
      <c r="M6899" t="s">
        <v>138</v>
      </c>
      <c r="N6899" t="s">
        <v>5</v>
      </c>
      <c r="O6899" t="s">
        <v>188</v>
      </c>
      <c r="P6899" s="1" t="s">
        <v>30</v>
      </c>
      <c r="Q6899">
        <v>173.4</v>
      </c>
    </row>
    <row r="6900" spans="11:17" x14ac:dyDescent="0.3">
      <c r="K6900">
        <v>2020</v>
      </c>
      <c r="L6900" t="s">
        <v>45</v>
      </c>
      <c r="M6900" t="s">
        <v>138</v>
      </c>
      <c r="N6900" t="s">
        <v>5</v>
      </c>
      <c r="O6900" t="s">
        <v>188</v>
      </c>
      <c r="P6900" s="1" t="s">
        <v>34</v>
      </c>
      <c r="Q6900">
        <v>175.3</v>
      </c>
    </row>
    <row r="6901" spans="11:17" x14ac:dyDescent="0.3">
      <c r="K6901">
        <v>2020</v>
      </c>
      <c r="L6901" t="s">
        <v>45</v>
      </c>
      <c r="M6901" t="s">
        <v>138</v>
      </c>
      <c r="N6901" t="s">
        <v>5</v>
      </c>
      <c r="O6901" t="s">
        <v>188</v>
      </c>
      <c r="P6901" s="1" t="s">
        <v>33</v>
      </c>
      <c r="Q6901">
        <v>178.3</v>
      </c>
    </row>
    <row r="6902" spans="11:17" x14ac:dyDescent="0.3">
      <c r="K6902">
        <v>2020</v>
      </c>
      <c r="L6902" t="s">
        <v>45</v>
      </c>
      <c r="M6902" t="s">
        <v>138</v>
      </c>
      <c r="N6902" t="s">
        <v>15</v>
      </c>
      <c r="O6902" t="s">
        <v>188</v>
      </c>
      <c r="P6902" s="1" t="s">
        <v>30</v>
      </c>
      <c r="Q6902">
        <v>164.5</v>
      </c>
    </row>
    <row r="6903" spans="11:17" x14ac:dyDescent="0.3">
      <c r="K6903">
        <v>2020</v>
      </c>
      <c r="L6903" t="s">
        <v>45</v>
      </c>
      <c r="M6903" t="s">
        <v>138</v>
      </c>
      <c r="N6903" t="s">
        <v>15</v>
      </c>
      <c r="O6903" t="s">
        <v>188</v>
      </c>
      <c r="P6903" s="1" t="s">
        <v>34</v>
      </c>
      <c r="Q6903">
        <v>165.4</v>
      </c>
    </row>
    <row r="6904" spans="11:17" x14ac:dyDescent="0.3">
      <c r="K6904">
        <v>2020</v>
      </c>
      <c r="L6904" t="s">
        <v>45</v>
      </c>
      <c r="M6904" t="s">
        <v>138</v>
      </c>
      <c r="N6904" t="s">
        <v>15</v>
      </c>
      <c r="O6904" t="s">
        <v>188</v>
      </c>
      <c r="P6904" s="1" t="s">
        <v>33</v>
      </c>
      <c r="Q6904">
        <v>167</v>
      </c>
    </row>
    <row r="6905" spans="11:17" x14ac:dyDescent="0.3">
      <c r="K6905">
        <v>2020</v>
      </c>
      <c r="L6905" t="s">
        <v>45</v>
      </c>
      <c r="M6905" t="s">
        <v>138</v>
      </c>
      <c r="N6905" t="s">
        <v>18</v>
      </c>
      <c r="O6905" t="s">
        <v>189</v>
      </c>
      <c r="P6905" s="1" t="s">
        <v>30</v>
      </c>
      <c r="Q6905">
        <v>151.6</v>
      </c>
    </row>
    <row r="6906" spans="11:17" x14ac:dyDescent="0.3">
      <c r="K6906">
        <v>2020</v>
      </c>
      <c r="L6906" t="s">
        <v>45</v>
      </c>
      <c r="M6906" t="s">
        <v>138</v>
      </c>
      <c r="N6906" t="s">
        <v>18</v>
      </c>
      <c r="O6906" t="s">
        <v>189</v>
      </c>
      <c r="P6906" s="1" t="s">
        <v>34</v>
      </c>
      <c r="Q6906">
        <v>145.4</v>
      </c>
    </row>
    <row r="6907" spans="11:17" x14ac:dyDescent="0.3">
      <c r="K6907">
        <v>2020</v>
      </c>
      <c r="L6907" t="s">
        <v>45</v>
      </c>
      <c r="M6907" t="s">
        <v>138</v>
      </c>
      <c r="N6907" t="s">
        <v>18</v>
      </c>
      <c r="O6907" t="s">
        <v>189</v>
      </c>
      <c r="P6907" s="1" t="s">
        <v>33</v>
      </c>
      <c r="Q6907">
        <v>136.69999999999999</v>
      </c>
    </row>
    <row r="6908" spans="11:17" x14ac:dyDescent="0.3">
      <c r="K6908">
        <v>2020</v>
      </c>
      <c r="L6908" t="s">
        <v>45</v>
      </c>
      <c r="M6908" t="s">
        <v>138</v>
      </c>
      <c r="N6908" t="s">
        <v>8</v>
      </c>
      <c r="O6908" t="s">
        <v>188</v>
      </c>
      <c r="P6908" s="1" t="s">
        <v>30</v>
      </c>
      <c r="Q6908">
        <v>145.9</v>
      </c>
    </row>
    <row r="6909" spans="11:17" x14ac:dyDescent="0.3">
      <c r="K6909">
        <v>2020</v>
      </c>
      <c r="L6909" t="s">
        <v>45</v>
      </c>
      <c r="M6909" t="s">
        <v>138</v>
      </c>
      <c r="N6909" t="s">
        <v>8</v>
      </c>
      <c r="O6909" t="s">
        <v>188</v>
      </c>
      <c r="P6909" s="1" t="s">
        <v>34</v>
      </c>
      <c r="Q6909">
        <v>147.69999999999999</v>
      </c>
    </row>
    <row r="6910" spans="11:17" x14ac:dyDescent="0.3">
      <c r="K6910">
        <v>2020</v>
      </c>
      <c r="L6910" t="s">
        <v>45</v>
      </c>
      <c r="M6910" t="s">
        <v>138</v>
      </c>
      <c r="N6910" t="s">
        <v>8</v>
      </c>
      <c r="O6910" t="s">
        <v>188</v>
      </c>
      <c r="P6910" s="1" t="s">
        <v>33</v>
      </c>
      <c r="Q6910">
        <v>149.69999999999999</v>
      </c>
    </row>
    <row r="6911" spans="11:17" x14ac:dyDescent="0.3">
      <c r="K6911">
        <v>2020</v>
      </c>
      <c r="L6911" t="s">
        <v>45</v>
      </c>
      <c r="M6911" t="s">
        <v>138</v>
      </c>
      <c r="N6911" t="s">
        <v>21</v>
      </c>
      <c r="O6911" t="s">
        <v>190</v>
      </c>
      <c r="P6911" s="1" t="s">
        <v>30</v>
      </c>
      <c r="Q6911">
        <v>148.69999999999999</v>
      </c>
    </row>
    <row r="6912" spans="11:17" x14ac:dyDescent="0.3">
      <c r="K6912">
        <v>2020</v>
      </c>
      <c r="L6912" t="s">
        <v>45</v>
      </c>
      <c r="M6912" t="s">
        <v>138</v>
      </c>
      <c r="N6912" t="s">
        <v>21</v>
      </c>
      <c r="O6912" t="s">
        <v>190</v>
      </c>
      <c r="P6912" s="1" t="s">
        <v>34</v>
      </c>
      <c r="Q6912">
        <v>144.6</v>
      </c>
    </row>
    <row r="6913" spans="11:17" x14ac:dyDescent="0.3">
      <c r="K6913">
        <v>2020</v>
      </c>
      <c r="L6913" t="s">
        <v>45</v>
      </c>
      <c r="M6913" t="s">
        <v>138</v>
      </c>
      <c r="N6913" t="s">
        <v>21</v>
      </c>
      <c r="O6913" t="s">
        <v>190</v>
      </c>
      <c r="P6913" s="1" t="s">
        <v>33</v>
      </c>
      <c r="Q6913">
        <v>137.9</v>
      </c>
    </row>
    <row r="6914" spans="11:17" x14ac:dyDescent="0.3">
      <c r="K6914">
        <v>2020</v>
      </c>
      <c r="L6914" t="s">
        <v>45</v>
      </c>
      <c r="M6914" t="s">
        <v>138</v>
      </c>
      <c r="N6914" t="s">
        <v>29</v>
      </c>
      <c r="O6914" t="s">
        <v>206</v>
      </c>
      <c r="P6914" s="1" t="s">
        <v>30</v>
      </c>
      <c r="Q6914">
        <v>160.69999999999999</v>
      </c>
    </row>
    <row r="6915" spans="11:17" x14ac:dyDescent="0.3">
      <c r="K6915">
        <v>2020</v>
      </c>
      <c r="L6915" t="s">
        <v>45</v>
      </c>
      <c r="M6915" t="s">
        <v>138</v>
      </c>
      <c r="N6915" t="s">
        <v>29</v>
      </c>
      <c r="O6915" t="s">
        <v>206</v>
      </c>
      <c r="P6915" s="1" t="s">
        <v>34</v>
      </c>
      <c r="Q6915">
        <v>158.9</v>
      </c>
    </row>
    <row r="6916" spans="11:17" x14ac:dyDescent="0.3">
      <c r="K6916">
        <v>2020</v>
      </c>
      <c r="L6916" t="s">
        <v>45</v>
      </c>
      <c r="M6916" t="s">
        <v>138</v>
      </c>
      <c r="N6916" t="s">
        <v>29</v>
      </c>
      <c r="O6916" t="s">
        <v>206</v>
      </c>
      <c r="P6916" s="1" t="s">
        <v>33</v>
      </c>
      <c r="Q6916">
        <v>156.9</v>
      </c>
    </row>
    <row r="6917" spans="11:17" x14ac:dyDescent="0.3">
      <c r="K6917">
        <v>2020</v>
      </c>
      <c r="L6917" t="s">
        <v>45</v>
      </c>
      <c r="M6917" t="s">
        <v>138</v>
      </c>
      <c r="N6917" t="s">
        <v>23</v>
      </c>
      <c r="O6917" t="s">
        <v>23</v>
      </c>
      <c r="P6917" s="1" t="s">
        <v>30</v>
      </c>
      <c r="Q6917">
        <v>161.6</v>
      </c>
    </row>
    <row r="6918" spans="11:17" x14ac:dyDescent="0.3">
      <c r="K6918">
        <v>2020</v>
      </c>
      <c r="L6918" t="s">
        <v>45</v>
      </c>
      <c r="M6918" t="s">
        <v>138</v>
      </c>
      <c r="N6918" t="s">
        <v>23</v>
      </c>
      <c r="O6918" t="s">
        <v>23</v>
      </c>
      <c r="P6918" s="1" t="s">
        <v>34</v>
      </c>
      <c r="Q6918">
        <v>158.30000000000001</v>
      </c>
    </row>
    <row r="6919" spans="11:17" x14ac:dyDescent="0.3">
      <c r="K6919">
        <v>2020</v>
      </c>
      <c r="L6919" t="s">
        <v>45</v>
      </c>
      <c r="M6919" t="s">
        <v>138</v>
      </c>
      <c r="N6919" t="s">
        <v>23</v>
      </c>
      <c r="O6919" t="s">
        <v>23</v>
      </c>
      <c r="P6919" s="1" t="s">
        <v>33</v>
      </c>
      <c r="Q6919">
        <v>152.9</v>
      </c>
    </row>
    <row r="6920" spans="11:17" x14ac:dyDescent="0.3">
      <c r="K6920">
        <v>2020</v>
      </c>
      <c r="L6920" t="s">
        <v>45</v>
      </c>
      <c r="M6920" t="s">
        <v>138</v>
      </c>
      <c r="N6920" t="s">
        <v>22</v>
      </c>
      <c r="O6920" t="s">
        <v>20</v>
      </c>
      <c r="P6920" s="1" t="s">
        <v>30</v>
      </c>
      <c r="Q6920">
        <v>153.4</v>
      </c>
    </row>
    <row r="6921" spans="11:17" x14ac:dyDescent="0.3">
      <c r="K6921">
        <v>2020</v>
      </c>
      <c r="L6921" t="s">
        <v>45</v>
      </c>
      <c r="M6921" t="s">
        <v>138</v>
      </c>
      <c r="N6921" t="s">
        <v>22</v>
      </c>
      <c r="O6921" t="s">
        <v>20</v>
      </c>
      <c r="P6921" s="1" t="s">
        <v>34</v>
      </c>
      <c r="Q6921">
        <v>149.69999999999999</v>
      </c>
    </row>
    <row r="6922" spans="11:17" x14ac:dyDescent="0.3">
      <c r="K6922">
        <v>2020</v>
      </c>
      <c r="L6922" t="s">
        <v>45</v>
      </c>
      <c r="M6922" t="s">
        <v>138</v>
      </c>
      <c r="N6922" t="s">
        <v>22</v>
      </c>
      <c r="O6922" t="s">
        <v>20</v>
      </c>
      <c r="P6922" s="1" t="s">
        <v>33</v>
      </c>
      <c r="Q6922">
        <v>145.5</v>
      </c>
    </row>
    <row r="6923" spans="11:17" x14ac:dyDescent="0.3">
      <c r="K6923">
        <v>2020</v>
      </c>
      <c r="L6923" t="s">
        <v>45</v>
      </c>
      <c r="M6923" t="s">
        <v>138</v>
      </c>
      <c r="N6923" t="s">
        <v>20</v>
      </c>
      <c r="O6923" t="s">
        <v>20</v>
      </c>
      <c r="P6923" s="1" t="s">
        <v>30</v>
      </c>
      <c r="Q6923">
        <v>0</v>
      </c>
    </row>
    <row r="6924" spans="11:17" x14ac:dyDescent="0.3">
      <c r="K6924">
        <v>2020</v>
      </c>
      <c r="L6924" t="s">
        <v>45</v>
      </c>
      <c r="M6924" t="s">
        <v>138</v>
      </c>
      <c r="N6924" t="s">
        <v>20</v>
      </c>
      <c r="O6924" t="s">
        <v>20</v>
      </c>
      <c r="P6924" s="1" t="s">
        <v>34</v>
      </c>
      <c r="Q6924">
        <v>158.4</v>
      </c>
    </row>
    <row r="6925" spans="11:17" x14ac:dyDescent="0.3">
      <c r="K6925">
        <v>2020</v>
      </c>
      <c r="L6925" t="s">
        <v>45</v>
      </c>
      <c r="M6925" t="s">
        <v>138</v>
      </c>
      <c r="N6925" t="s">
        <v>20</v>
      </c>
      <c r="O6925" t="s">
        <v>20</v>
      </c>
      <c r="P6925" s="1" t="s">
        <v>33</v>
      </c>
      <c r="Q6925">
        <v>158.4</v>
      </c>
    </row>
    <row r="6926" spans="11:17" x14ac:dyDescent="0.3">
      <c r="K6926">
        <v>2020</v>
      </c>
      <c r="L6926" t="s">
        <v>45</v>
      </c>
      <c r="M6926" t="s">
        <v>138</v>
      </c>
      <c r="N6926" t="s">
        <v>4</v>
      </c>
      <c r="O6926" t="s">
        <v>188</v>
      </c>
      <c r="P6926" s="1" t="s">
        <v>30</v>
      </c>
      <c r="Q6926">
        <v>188.5</v>
      </c>
    </row>
    <row r="6927" spans="11:17" x14ac:dyDescent="0.3">
      <c r="K6927">
        <v>2020</v>
      </c>
      <c r="L6927" t="s">
        <v>45</v>
      </c>
      <c r="M6927" t="s">
        <v>138</v>
      </c>
      <c r="N6927" t="s">
        <v>4</v>
      </c>
      <c r="O6927" t="s">
        <v>188</v>
      </c>
      <c r="P6927" s="1" t="s">
        <v>34</v>
      </c>
      <c r="Q6927">
        <v>191</v>
      </c>
    </row>
    <row r="6928" spans="11:17" x14ac:dyDescent="0.3">
      <c r="K6928">
        <v>2020</v>
      </c>
      <c r="L6928" t="s">
        <v>45</v>
      </c>
      <c r="M6928" t="s">
        <v>138</v>
      </c>
      <c r="N6928" t="s">
        <v>4</v>
      </c>
      <c r="O6928" t="s">
        <v>188</v>
      </c>
      <c r="P6928" s="1" t="s">
        <v>33</v>
      </c>
      <c r="Q6928">
        <v>195.7</v>
      </c>
    </row>
    <row r="6929" spans="11:17" x14ac:dyDescent="0.3">
      <c r="K6929">
        <v>2020</v>
      </c>
      <c r="L6929" t="s">
        <v>45</v>
      </c>
      <c r="M6929" t="s">
        <v>138</v>
      </c>
      <c r="N6929" t="s">
        <v>6</v>
      </c>
      <c r="O6929" t="s">
        <v>188</v>
      </c>
      <c r="P6929" s="1" t="s">
        <v>30</v>
      </c>
      <c r="Q6929">
        <v>154</v>
      </c>
    </row>
    <row r="6930" spans="11:17" x14ac:dyDescent="0.3">
      <c r="K6930">
        <v>2020</v>
      </c>
      <c r="L6930" t="s">
        <v>45</v>
      </c>
      <c r="M6930" t="s">
        <v>138</v>
      </c>
      <c r="N6930" t="s">
        <v>6</v>
      </c>
      <c r="O6930" t="s">
        <v>188</v>
      </c>
      <c r="P6930" s="1" t="s">
        <v>34</v>
      </c>
      <c r="Q6930">
        <v>154.1</v>
      </c>
    </row>
    <row r="6931" spans="11:17" x14ac:dyDescent="0.3">
      <c r="K6931">
        <v>2020</v>
      </c>
      <c r="L6931" t="s">
        <v>45</v>
      </c>
      <c r="M6931" t="s">
        <v>138</v>
      </c>
      <c r="N6931" t="s">
        <v>6</v>
      </c>
      <c r="O6931" t="s">
        <v>188</v>
      </c>
      <c r="P6931" s="1" t="s">
        <v>33</v>
      </c>
      <c r="Q6931">
        <v>154.19999999999999</v>
      </c>
    </row>
    <row r="6932" spans="11:17" x14ac:dyDescent="0.3">
      <c r="K6932">
        <v>2020</v>
      </c>
      <c r="L6932" t="s">
        <v>45</v>
      </c>
      <c r="M6932" t="s">
        <v>138</v>
      </c>
      <c r="N6932" t="s">
        <v>28</v>
      </c>
      <c r="O6932" t="s">
        <v>192</v>
      </c>
      <c r="P6932" s="1" t="s">
        <v>30</v>
      </c>
      <c r="Q6932">
        <v>155.19999999999999</v>
      </c>
    </row>
    <row r="6933" spans="11:17" x14ac:dyDescent="0.3">
      <c r="K6933">
        <v>2020</v>
      </c>
      <c r="L6933" t="s">
        <v>45</v>
      </c>
      <c r="M6933" t="s">
        <v>138</v>
      </c>
      <c r="N6933" t="s">
        <v>28</v>
      </c>
      <c r="O6933" t="s">
        <v>192</v>
      </c>
      <c r="P6933" s="1" t="s">
        <v>34</v>
      </c>
      <c r="Q6933">
        <v>151.19999999999999</v>
      </c>
    </row>
    <row r="6934" spans="11:17" x14ac:dyDescent="0.3">
      <c r="K6934">
        <v>2020</v>
      </c>
      <c r="L6934" t="s">
        <v>45</v>
      </c>
      <c r="M6934" t="s">
        <v>138</v>
      </c>
      <c r="N6934" t="s">
        <v>28</v>
      </c>
      <c r="O6934" t="s">
        <v>192</v>
      </c>
      <c r="P6934" s="1" t="s">
        <v>33</v>
      </c>
      <c r="Q6934">
        <v>146.9</v>
      </c>
    </row>
    <row r="6935" spans="11:17" x14ac:dyDescent="0.3">
      <c r="K6935">
        <v>2020</v>
      </c>
      <c r="L6935" t="s">
        <v>45</v>
      </c>
      <c r="M6935" t="s">
        <v>138</v>
      </c>
      <c r="N6935" t="s">
        <v>13</v>
      </c>
      <c r="O6935" t="s">
        <v>188</v>
      </c>
      <c r="P6935" s="1" t="s">
        <v>30</v>
      </c>
      <c r="Q6935">
        <v>153.4</v>
      </c>
    </row>
    <row r="6936" spans="11:17" x14ac:dyDescent="0.3">
      <c r="K6936">
        <v>2020</v>
      </c>
      <c r="L6936" t="s">
        <v>45</v>
      </c>
      <c r="M6936" t="s">
        <v>138</v>
      </c>
      <c r="N6936" t="s">
        <v>13</v>
      </c>
      <c r="O6936" t="s">
        <v>188</v>
      </c>
      <c r="P6936" s="1" t="s">
        <v>34</v>
      </c>
      <c r="Q6936">
        <v>149.19999999999999</v>
      </c>
    </row>
    <row r="6937" spans="11:17" x14ac:dyDescent="0.3">
      <c r="K6937">
        <v>2020</v>
      </c>
      <c r="L6937" t="s">
        <v>45</v>
      </c>
      <c r="M6937" t="s">
        <v>138</v>
      </c>
      <c r="N6937" t="s">
        <v>13</v>
      </c>
      <c r="O6937" t="s">
        <v>188</v>
      </c>
      <c r="P6937" s="1" t="s">
        <v>33</v>
      </c>
      <c r="Q6937">
        <v>143.30000000000001</v>
      </c>
    </row>
    <row r="6938" spans="11:17" x14ac:dyDescent="0.3">
      <c r="K6938">
        <v>2020</v>
      </c>
      <c r="L6938" t="s">
        <v>45</v>
      </c>
      <c r="M6938" t="s">
        <v>138</v>
      </c>
      <c r="N6938" t="s">
        <v>7</v>
      </c>
      <c r="O6938" t="s">
        <v>188</v>
      </c>
      <c r="P6938" s="1" t="s">
        <v>30</v>
      </c>
      <c r="Q6938">
        <v>150</v>
      </c>
    </row>
    <row r="6939" spans="11:17" x14ac:dyDescent="0.3">
      <c r="K6939">
        <v>2020</v>
      </c>
      <c r="L6939" t="s">
        <v>45</v>
      </c>
      <c r="M6939" t="s">
        <v>138</v>
      </c>
      <c r="N6939" t="s">
        <v>7</v>
      </c>
      <c r="O6939" t="s">
        <v>188</v>
      </c>
      <c r="P6939" s="1" t="s">
        <v>34</v>
      </c>
      <c r="Q6939">
        <v>146.6</v>
      </c>
    </row>
    <row r="6940" spans="11:17" x14ac:dyDescent="0.3">
      <c r="K6940">
        <v>2020</v>
      </c>
      <c r="L6940" t="s">
        <v>45</v>
      </c>
      <c r="M6940" t="s">
        <v>138</v>
      </c>
      <c r="N6940" t="s">
        <v>7</v>
      </c>
      <c r="O6940" t="s">
        <v>188</v>
      </c>
      <c r="P6940" s="1" t="s">
        <v>33</v>
      </c>
      <c r="Q6940">
        <v>140.69999999999999</v>
      </c>
    </row>
    <row r="6941" spans="11:17" x14ac:dyDescent="0.3">
      <c r="K6941">
        <v>2020</v>
      </c>
      <c r="L6941" t="s">
        <v>45</v>
      </c>
      <c r="M6941" t="s">
        <v>138</v>
      </c>
      <c r="N6941" t="s">
        <v>16</v>
      </c>
      <c r="O6941" t="s">
        <v>192</v>
      </c>
      <c r="P6941" s="1" t="s">
        <v>30</v>
      </c>
      <c r="Q6941">
        <v>183.6</v>
      </c>
    </row>
    <row r="6942" spans="11:17" x14ac:dyDescent="0.3">
      <c r="K6942">
        <v>2020</v>
      </c>
      <c r="L6942" t="s">
        <v>45</v>
      </c>
      <c r="M6942" t="s">
        <v>138</v>
      </c>
      <c r="N6942" t="s">
        <v>16</v>
      </c>
      <c r="O6942" t="s">
        <v>192</v>
      </c>
      <c r="P6942" s="1" t="s">
        <v>34</v>
      </c>
      <c r="Q6942">
        <v>185.4</v>
      </c>
    </row>
    <row r="6943" spans="11:17" x14ac:dyDescent="0.3">
      <c r="K6943">
        <v>2020</v>
      </c>
      <c r="L6943" t="s">
        <v>45</v>
      </c>
      <c r="M6943" t="s">
        <v>138</v>
      </c>
      <c r="N6943" t="s">
        <v>16</v>
      </c>
      <c r="O6943" t="s">
        <v>192</v>
      </c>
      <c r="P6943" s="1" t="s">
        <v>33</v>
      </c>
      <c r="Q6943">
        <v>190.2</v>
      </c>
    </row>
    <row r="6944" spans="11:17" x14ac:dyDescent="0.3">
      <c r="K6944">
        <v>2020</v>
      </c>
      <c r="L6944" t="s">
        <v>45</v>
      </c>
      <c r="M6944" t="s">
        <v>138</v>
      </c>
      <c r="N6944" t="s">
        <v>27</v>
      </c>
      <c r="O6944" t="s">
        <v>192</v>
      </c>
      <c r="P6944" s="1" t="s">
        <v>30</v>
      </c>
      <c r="Q6944">
        <v>156.6</v>
      </c>
    </row>
    <row r="6945" spans="11:17" x14ac:dyDescent="0.3">
      <c r="K6945">
        <v>2020</v>
      </c>
      <c r="L6945" t="s">
        <v>45</v>
      </c>
      <c r="M6945" t="s">
        <v>138</v>
      </c>
      <c r="N6945" t="s">
        <v>27</v>
      </c>
      <c r="O6945" t="s">
        <v>192</v>
      </c>
      <c r="P6945" s="1" t="s">
        <v>34</v>
      </c>
      <c r="Q6945">
        <v>157.1</v>
      </c>
    </row>
    <row r="6946" spans="11:17" x14ac:dyDescent="0.3">
      <c r="K6946">
        <v>2020</v>
      </c>
      <c r="L6946" t="s">
        <v>45</v>
      </c>
      <c r="M6946" t="s">
        <v>138</v>
      </c>
      <c r="N6946" t="s">
        <v>27</v>
      </c>
      <c r="O6946" t="s">
        <v>192</v>
      </c>
      <c r="P6946" s="1" t="s">
        <v>33</v>
      </c>
      <c r="Q6946">
        <v>157.9</v>
      </c>
    </row>
    <row r="6947" spans="11:17" x14ac:dyDescent="0.3">
      <c r="K6947">
        <v>2020</v>
      </c>
      <c r="L6947" t="s">
        <v>45</v>
      </c>
      <c r="M6947" t="s">
        <v>138</v>
      </c>
      <c r="N6947" t="s">
        <v>14</v>
      </c>
      <c r="O6947" t="s">
        <v>188</v>
      </c>
      <c r="P6947" s="1" t="s">
        <v>30</v>
      </c>
      <c r="Q6947">
        <v>163.6</v>
      </c>
    </row>
    <row r="6948" spans="11:17" x14ac:dyDescent="0.3">
      <c r="K6948">
        <v>2020</v>
      </c>
      <c r="L6948" t="s">
        <v>45</v>
      </c>
      <c r="M6948" t="s">
        <v>138</v>
      </c>
      <c r="N6948" t="s">
        <v>14</v>
      </c>
      <c r="O6948" t="s">
        <v>188</v>
      </c>
      <c r="P6948" s="1" t="s">
        <v>34</v>
      </c>
      <c r="Q6948">
        <v>164.8</v>
      </c>
    </row>
    <row r="6949" spans="11:17" x14ac:dyDescent="0.3">
      <c r="K6949">
        <v>2020</v>
      </c>
      <c r="L6949" t="s">
        <v>45</v>
      </c>
      <c r="M6949" t="s">
        <v>138</v>
      </c>
      <c r="N6949" t="s">
        <v>14</v>
      </c>
      <c r="O6949" t="s">
        <v>188</v>
      </c>
      <c r="P6949" s="1" t="s">
        <v>33</v>
      </c>
      <c r="Q6949">
        <v>166.1</v>
      </c>
    </row>
    <row r="6950" spans="11:17" x14ac:dyDescent="0.3">
      <c r="K6950">
        <v>2020</v>
      </c>
      <c r="L6950" t="s">
        <v>45</v>
      </c>
      <c r="M6950" t="s">
        <v>138</v>
      </c>
      <c r="N6950" t="s">
        <v>10</v>
      </c>
      <c r="O6950" t="s">
        <v>188</v>
      </c>
      <c r="P6950" s="1" t="s">
        <v>30</v>
      </c>
      <c r="Q6950">
        <v>159.5</v>
      </c>
    </row>
    <row r="6951" spans="11:17" x14ac:dyDescent="0.3">
      <c r="K6951">
        <v>2020</v>
      </c>
      <c r="L6951" t="s">
        <v>45</v>
      </c>
      <c r="M6951" t="s">
        <v>138</v>
      </c>
      <c r="N6951" t="s">
        <v>10</v>
      </c>
      <c r="O6951" t="s">
        <v>188</v>
      </c>
      <c r="P6951" s="1" t="s">
        <v>34</v>
      </c>
      <c r="Q6951">
        <v>160.19999999999999</v>
      </c>
    </row>
    <row r="6952" spans="11:17" x14ac:dyDescent="0.3">
      <c r="K6952">
        <v>2020</v>
      </c>
      <c r="L6952" t="s">
        <v>45</v>
      </c>
      <c r="M6952" t="s">
        <v>138</v>
      </c>
      <c r="N6952" t="s">
        <v>10</v>
      </c>
      <c r="O6952" t="s">
        <v>188</v>
      </c>
      <c r="P6952" s="1" t="s">
        <v>33</v>
      </c>
      <c r="Q6952">
        <v>161.5</v>
      </c>
    </row>
    <row r="6953" spans="11:17" x14ac:dyDescent="0.3">
      <c r="K6953">
        <v>2020</v>
      </c>
      <c r="L6953" t="s">
        <v>45</v>
      </c>
      <c r="M6953" t="s">
        <v>138</v>
      </c>
      <c r="N6953" t="s">
        <v>25</v>
      </c>
      <c r="O6953" t="s">
        <v>195</v>
      </c>
      <c r="P6953" s="1" t="s">
        <v>30</v>
      </c>
      <c r="Q6953">
        <v>153.9</v>
      </c>
    </row>
    <row r="6954" spans="11:17" x14ac:dyDescent="0.3">
      <c r="K6954">
        <v>2020</v>
      </c>
      <c r="L6954" t="s">
        <v>45</v>
      </c>
      <c r="M6954" t="s">
        <v>138</v>
      </c>
      <c r="N6954" t="s">
        <v>25</v>
      </c>
      <c r="O6954" t="s">
        <v>195</v>
      </c>
      <c r="P6954" s="1" t="s">
        <v>34</v>
      </c>
      <c r="Q6954">
        <v>148.5</v>
      </c>
    </row>
    <row r="6955" spans="11:17" x14ac:dyDescent="0.3">
      <c r="K6955">
        <v>2020</v>
      </c>
      <c r="L6955" t="s">
        <v>45</v>
      </c>
      <c r="M6955" t="s">
        <v>138</v>
      </c>
      <c r="N6955" t="s">
        <v>25</v>
      </c>
      <c r="O6955" t="s">
        <v>195</v>
      </c>
      <c r="P6955" s="1" t="s">
        <v>33</v>
      </c>
      <c r="Q6955">
        <v>144.30000000000001</v>
      </c>
    </row>
    <row r="6956" spans="11:17" x14ac:dyDescent="0.3">
      <c r="K6956">
        <v>2020</v>
      </c>
      <c r="L6956" t="s">
        <v>45</v>
      </c>
      <c r="M6956" t="s">
        <v>138</v>
      </c>
      <c r="N6956" t="s">
        <v>12</v>
      </c>
      <c r="O6956" t="s">
        <v>188</v>
      </c>
      <c r="P6956" s="1" t="s">
        <v>30</v>
      </c>
      <c r="Q6956">
        <v>163.5</v>
      </c>
    </row>
    <row r="6957" spans="11:17" x14ac:dyDescent="0.3">
      <c r="K6957">
        <v>2020</v>
      </c>
      <c r="L6957" t="s">
        <v>45</v>
      </c>
      <c r="M6957" t="s">
        <v>138</v>
      </c>
      <c r="N6957" t="s">
        <v>12</v>
      </c>
      <c r="O6957" t="s">
        <v>188</v>
      </c>
      <c r="P6957" s="1" t="s">
        <v>34</v>
      </c>
      <c r="Q6957">
        <v>163</v>
      </c>
    </row>
    <row r="6958" spans="11:17" x14ac:dyDescent="0.3">
      <c r="K6958">
        <v>2020</v>
      </c>
      <c r="L6958" t="s">
        <v>45</v>
      </c>
      <c r="M6958" t="s">
        <v>138</v>
      </c>
      <c r="N6958" t="s">
        <v>12</v>
      </c>
      <c r="O6958" t="s">
        <v>188</v>
      </c>
      <c r="P6958" s="1" t="s">
        <v>33</v>
      </c>
      <c r="Q6958">
        <v>161.9</v>
      </c>
    </row>
    <row r="6959" spans="11:17" x14ac:dyDescent="0.3">
      <c r="K6959">
        <v>2020</v>
      </c>
      <c r="L6959" t="s">
        <v>45</v>
      </c>
      <c r="M6959" t="s">
        <v>138</v>
      </c>
      <c r="N6959" t="s">
        <v>11</v>
      </c>
      <c r="O6959" t="s">
        <v>188</v>
      </c>
      <c r="P6959" s="1" t="s">
        <v>30</v>
      </c>
      <c r="Q6959">
        <v>114.4</v>
      </c>
    </row>
    <row r="6960" spans="11:17" x14ac:dyDescent="0.3">
      <c r="K6960">
        <v>2020</v>
      </c>
      <c r="L6960" t="s">
        <v>45</v>
      </c>
      <c r="M6960" t="s">
        <v>138</v>
      </c>
      <c r="N6960" t="s">
        <v>11</v>
      </c>
      <c r="O6960" t="s">
        <v>188</v>
      </c>
      <c r="P6960" s="1" t="s">
        <v>34</v>
      </c>
      <c r="Q6960">
        <v>115.3</v>
      </c>
    </row>
    <row r="6961" spans="11:17" x14ac:dyDescent="0.3">
      <c r="K6961">
        <v>2020</v>
      </c>
      <c r="L6961" t="s">
        <v>45</v>
      </c>
      <c r="M6961" t="s">
        <v>138</v>
      </c>
      <c r="N6961" t="s">
        <v>11</v>
      </c>
      <c r="O6961" t="s">
        <v>188</v>
      </c>
      <c r="P6961" s="1" t="s">
        <v>33</v>
      </c>
      <c r="Q6961">
        <v>117.1</v>
      </c>
    </row>
    <row r="6962" spans="11:17" x14ac:dyDescent="0.3">
      <c r="K6962">
        <v>2020</v>
      </c>
      <c r="L6962" t="s">
        <v>45</v>
      </c>
      <c r="M6962" t="s">
        <v>138</v>
      </c>
      <c r="N6962" t="s">
        <v>24</v>
      </c>
      <c r="O6962" t="s">
        <v>191</v>
      </c>
      <c r="P6962" s="1" t="s">
        <v>30</v>
      </c>
      <c r="Q6962">
        <v>146.4</v>
      </c>
    </row>
    <row r="6963" spans="11:17" x14ac:dyDescent="0.3">
      <c r="K6963">
        <v>2020</v>
      </c>
      <c r="L6963" t="s">
        <v>45</v>
      </c>
      <c r="M6963" t="s">
        <v>138</v>
      </c>
      <c r="N6963" t="s">
        <v>24</v>
      </c>
      <c r="O6963" t="s">
        <v>191</v>
      </c>
      <c r="P6963" s="1" t="s">
        <v>34</v>
      </c>
      <c r="Q6963">
        <v>140.69999999999999</v>
      </c>
    </row>
    <row r="6964" spans="11:17" x14ac:dyDescent="0.3">
      <c r="K6964">
        <v>2020</v>
      </c>
      <c r="L6964" t="s">
        <v>45</v>
      </c>
      <c r="M6964" t="s">
        <v>138</v>
      </c>
      <c r="N6964" t="s">
        <v>24</v>
      </c>
      <c r="O6964" t="s">
        <v>191</v>
      </c>
      <c r="P6964" s="1" t="s">
        <v>33</v>
      </c>
      <c r="Q6964">
        <v>135.5</v>
      </c>
    </row>
    <row r="6965" spans="11:17" x14ac:dyDescent="0.3">
      <c r="K6965">
        <v>2020</v>
      </c>
      <c r="L6965" t="s">
        <v>45</v>
      </c>
      <c r="M6965" t="s">
        <v>138</v>
      </c>
      <c r="N6965" t="s">
        <v>9</v>
      </c>
      <c r="O6965" t="s">
        <v>188</v>
      </c>
      <c r="P6965" s="1" t="s">
        <v>30</v>
      </c>
      <c r="Q6965">
        <v>225.2</v>
      </c>
    </row>
    <row r="6966" spans="11:17" x14ac:dyDescent="0.3">
      <c r="K6966">
        <v>2020</v>
      </c>
      <c r="L6966" t="s">
        <v>45</v>
      </c>
      <c r="M6966" t="s">
        <v>138</v>
      </c>
      <c r="N6966" t="s">
        <v>9</v>
      </c>
      <c r="O6966" t="s">
        <v>188</v>
      </c>
      <c r="P6966" s="1" t="s">
        <v>34</v>
      </c>
      <c r="Q6966">
        <v>230.5</v>
      </c>
    </row>
    <row r="6967" spans="11:17" x14ac:dyDescent="0.3">
      <c r="K6967">
        <v>2020</v>
      </c>
      <c r="L6967" t="s">
        <v>45</v>
      </c>
      <c r="M6967" t="s">
        <v>138</v>
      </c>
      <c r="N6967" t="s">
        <v>9</v>
      </c>
      <c r="O6967" t="s">
        <v>188</v>
      </c>
      <c r="P6967" s="1" t="s">
        <v>33</v>
      </c>
      <c r="Q6967">
        <v>240.9</v>
      </c>
    </row>
    <row r="6968" spans="11:17" x14ac:dyDescent="0.3">
      <c r="K6968">
        <v>2020</v>
      </c>
      <c r="L6968" t="s">
        <v>35</v>
      </c>
      <c r="M6968" t="s">
        <v>49</v>
      </c>
      <c r="N6968" t="s">
        <v>3</v>
      </c>
      <c r="O6968" t="s">
        <v>188</v>
      </c>
      <c r="P6968" s="1" t="s">
        <v>30</v>
      </c>
      <c r="Q6968">
        <v>144.19999999999999</v>
      </c>
    </row>
    <row r="6969" spans="11:17" x14ac:dyDescent="0.3">
      <c r="K6969">
        <v>2020</v>
      </c>
      <c r="L6969" t="s">
        <v>35</v>
      </c>
      <c r="M6969" t="s">
        <v>49</v>
      </c>
      <c r="N6969" t="s">
        <v>3</v>
      </c>
      <c r="O6969" t="s">
        <v>188</v>
      </c>
      <c r="P6969" s="1" t="s">
        <v>34</v>
      </c>
      <c r="Q6969">
        <v>144.80000000000001</v>
      </c>
    </row>
    <row r="6970" spans="11:17" x14ac:dyDescent="0.3">
      <c r="K6970">
        <v>2020</v>
      </c>
      <c r="L6970" t="s">
        <v>35</v>
      </c>
      <c r="M6970" t="s">
        <v>49</v>
      </c>
      <c r="N6970" t="s">
        <v>3</v>
      </c>
      <c r="O6970" t="s">
        <v>188</v>
      </c>
      <c r="P6970" s="1" t="s">
        <v>33</v>
      </c>
      <c r="Q6970">
        <v>146.19999999999999</v>
      </c>
    </row>
    <row r="6971" spans="11:17" x14ac:dyDescent="0.3">
      <c r="K6971">
        <v>2020</v>
      </c>
      <c r="L6971" t="s">
        <v>35</v>
      </c>
      <c r="M6971" t="s">
        <v>49</v>
      </c>
      <c r="N6971" t="s">
        <v>17</v>
      </c>
      <c r="O6971" t="s">
        <v>189</v>
      </c>
      <c r="P6971" s="1" t="s">
        <v>30</v>
      </c>
      <c r="Q6971">
        <v>153</v>
      </c>
    </row>
    <row r="6972" spans="11:17" x14ac:dyDescent="0.3">
      <c r="K6972">
        <v>2020</v>
      </c>
      <c r="L6972" t="s">
        <v>35</v>
      </c>
      <c r="M6972" t="s">
        <v>49</v>
      </c>
      <c r="N6972" t="s">
        <v>17</v>
      </c>
      <c r="O6972" t="s">
        <v>189</v>
      </c>
      <c r="P6972" s="1" t="s">
        <v>34</v>
      </c>
      <c r="Q6972">
        <v>150.80000000000001</v>
      </c>
    </row>
    <row r="6973" spans="11:17" x14ac:dyDescent="0.3">
      <c r="K6973">
        <v>2020</v>
      </c>
      <c r="L6973" t="s">
        <v>35</v>
      </c>
      <c r="M6973" t="s">
        <v>49</v>
      </c>
      <c r="N6973" t="s">
        <v>17</v>
      </c>
      <c r="O6973" t="s">
        <v>189</v>
      </c>
      <c r="P6973" s="1" t="s">
        <v>33</v>
      </c>
      <c r="Q6973">
        <v>147.30000000000001</v>
      </c>
    </row>
    <row r="6974" spans="11:17" x14ac:dyDescent="0.3">
      <c r="K6974">
        <v>2020</v>
      </c>
      <c r="L6974" t="s">
        <v>35</v>
      </c>
      <c r="M6974" t="s">
        <v>49</v>
      </c>
      <c r="N6974" t="s">
        <v>19</v>
      </c>
      <c r="O6974" t="s">
        <v>189</v>
      </c>
      <c r="P6974" s="1" t="s">
        <v>30</v>
      </c>
      <c r="Q6974">
        <v>152.30000000000001</v>
      </c>
    </row>
    <row r="6975" spans="11:17" x14ac:dyDescent="0.3">
      <c r="K6975">
        <v>2020</v>
      </c>
      <c r="L6975" t="s">
        <v>35</v>
      </c>
      <c r="M6975" t="s">
        <v>49</v>
      </c>
      <c r="N6975" t="s">
        <v>19</v>
      </c>
      <c r="O6975" t="s">
        <v>189</v>
      </c>
      <c r="P6975" s="1" t="s">
        <v>34</v>
      </c>
      <c r="Q6975">
        <v>149.5</v>
      </c>
    </row>
    <row r="6976" spans="11:17" x14ac:dyDescent="0.3">
      <c r="K6976">
        <v>2020</v>
      </c>
      <c r="L6976" t="s">
        <v>35</v>
      </c>
      <c r="M6976" t="s">
        <v>49</v>
      </c>
      <c r="N6976" t="s">
        <v>19</v>
      </c>
      <c r="O6976" t="s">
        <v>189</v>
      </c>
      <c r="P6976" s="1" t="s">
        <v>33</v>
      </c>
      <c r="Q6976">
        <v>145.19999999999999</v>
      </c>
    </row>
    <row r="6977" spans="11:17" x14ac:dyDescent="0.3">
      <c r="K6977">
        <v>2020</v>
      </c>
      <c r="L6977" t="s">
        <v>35</v>
      </c>
      <c r="M6977" t="s">
        <v>49</v>
      </c>
      <c r="N6977" t="s">
        <v>26</v>
      </c>
      <c r="O6977" t="s">
        <v>26</v>
      </c>
      <c r="P6977" s="1" t="s">
        <v>30</v>
      </c>
      <c r="Q6977">
        <v>161.9</v>
      </c>
    </row>
    <row r="6978" spans="11:17" x14ac:dyDescent="0.3">
      <c r="K6978">
        <v>2020</v>
      </c>
      <c r="L6978" t="s">
        <v>35</v>
      </c>
      <c r="M6978" t="s">
        <v>49</v>
      </c>
      <c r="N6978" t="s">
        <v>26</v>
      </c>
      <c r="O6978" t="s">
        <v>26</v>
      </c>
      <c r="P6978" s="1" t="s">
        <v>34</v>
      </c>
      <c r="Q6978">
        <v>156.19999999999999</v>
      </c>
    </row>
    <row r="6979" spans="11:17" x14ac:dyDescent="0.3">
      <c r="K6979">
        <v>2020</v>
      </c>
      <c r="L6979" t="s">
        <v>35</v>
      </c>
      <c r="M6979" t="s">
        <v>49</v>
      </c>
      <c r="N6979" t="s">
        <v>26</v>
      </c>
      <c r="O6979" t="s">
        <v>26</v>
      </c>
      <c r="P6979" s="1" t="s">
        <v>33</v>
      </c>
      <c r="Q6979">
        <v>152.19999999999999</v>
      </c>
    </row>
    <row r="6980" spans="11:17" x14ac:dyDescent="0.3">
      <c r="K6980">
        <v>2020</v>
      </c>
      <c r="L6980" t="s">
        <v>35</v>
      </c>
      <c r="M6980" t="s">
        <v>49</v>
      </c>
      <c r="N6980" t="s">
        <v>5</v>
      </c>
      <c r="O6980" t="s">
        <v>188</v>
      </c>
      <c r="P6980" s="1" t="s">
        <v>30</v>
      </c>
      <c r="Q6980">
        <v>150.9</v>
      </c>
    </row>
    <row r="6981" spans="11:17" x14ac:dyDescent="0.3">
      <c r="K6981">
        <v>2020</v>
      </c>
      <c r="L6981" t="s">
        <v>35</v>
      </c>
      <c r="M6981" t="s">
        <v>49</v>
      </c>
      <c r="N6981" t="s">
        <v>5</v>
      </c>
      <c r="O6981" t="s">
        <v>188</v>
      </c>
      <c r="P6981" s="1" t="s">
        <v>34</v>
      </c>
      <c r="Q6981">
        <v>151.80000000000001</v>
      </c>
    </row>
    <row r="6982" spans="11:17" x14ac:dyDescent="0.3">
      <c r="K6982">
        <v>2020</v>
      </c>
      <c r="L6982" t="s">
        <v>35</v>
      </c>
      <c r="M6982" t="s">
        <v>49</v>
      </c>
      <c r="N6982" t="s">
        <v>5</v>
      </c>
      <c r="O6982" t="s">
        <v>188</v>
      </c>
      <c r="P6982" s="1" t="s">
        <v>33</v>
      </c>
      <c r="Q6982">
        <v>153.1</v>
      </c>
    </row>
    <row r="6983" spans="11:17" x14ac:dyDescent="0.3">
      <c r="K6983">
        <v>2020</v>
      </c>
      <c r="L6983" t="s">
        <v>35</v>
      </c>
      <c r="M6983" t="s">
        <v>49</v>
      </c>
      <c r="N6983" t="s">
        <v>15</v>
      </c>
      <c r="O6983" t="s">
        <v>188</v>
      </c>
      <c r="P6983" s="1" t="s">
        <v>30</v>
      </c>
      <c r="Q6983">
        <v>149.80000000000001</v>
      </c>
    </row>
    <row r="6984" spans="11:17" x14ac:dyDescent="0.3">
      <c r="K6984">
        <v>2020</v>
      </c>
      <c r="L6984" t="s">
        <v>35</v>
      </c>
      <c r="M6984" t="s">
        <v>49</v>
      </c>
      <c r="N6984" t="s">
        <v>15</v>
      </c>
      <c r="O6984" t="s">
        <v>188</v>
      </c>
      <c r="P6984" s="1" t="s">
        <v>34</v>
      </c>
      <c r="Q6984">
        <v>150.5</v>
      </c>
    </row>
    <row r="6985" spans="11:17" x14ac:dyDescent="0.3">
      <c r="K6985">
        <v>2020</v>
      </c>
      <c r="L6985" t="s">
        <v>35</v>
      </c>
      <c r="M6985" t="s">
        <v>49</v>
      </c>
      <c r="N6985" t="s">
        <v>15</v>
      </c>
      <c r="O6985" t="s">
        <v>188</v>
      </c>
      <c r="P6985" s="1" t="s">
        <v>33</v>
      </c>
      <c r="Q6985">
        <v>151.69999999999999</v>
      </c>
    </row>
    <row r="6986" spans="11:17" x14ac:dyDescent="0.3">
      <c r="K6986">
        <v>2020</v>
      </c>
      <c r="L6986" t="s">
        <v>35</v>
      </c>
      <c r="M6986" t="s">
        <v>49</v>
      </c>
      <c r="N6986" t="s">
        <v>18</v>
      </c>
      <c r="O6986" t="s">
        <v>189</v>
      </c>
      <c r="P6986" s="1" t="s">
        <v>30</v>
      </c>
      <c r="Q6986">
        <v>147.5</v>
      </c>
    </row>
    <row r="6987" spans="11:17" x14ac:dyDescent="0.3">
      <c r="K6987">
        <v>2020</v>
      </c>
      <c r="L6987" t="s">
        <v>35</v>
      </c>
      <c r="M6987" t="s">
        <v>49</v>
      </c>
      <c r="N6987" t="s">
        <v>18</v>
      </c>
      <c r="O6987" t="s">
        <v>189</v>
      </c>
      <c r="P6987" s="1" t="s">
        <v>34</v>
      </c>
      <c r="Q6987">
        <v>141.69999999999999</v>
      </c>
    </row>
    <row r="6988" spans="11:17" x14ac:dyDescent="0.3">
      <c r="K6988">
        <v>2020</v>
      </c>
      <c r="L6988" t="s">
        <v>35</v>
      </c>
      <c r="M6988" t="s">
        <v>49</v>
      </c>
      <c r="N6988" t="s">
        <v>18</v>
      </c>
      <c r="O6988" t="s">
        <v>189</v>
      </c>
      <c r="P6988" s="1" t="s">
        <v>33</v>
      </c>
      <c r="Q6988">
        <v>133.5</v>
      </c>
    </row>
    <row r="6989" spans="11:17" x14ac:dyDescent="0.3">
      <c r="K6989">
        <v>2020</v>
      </c>
      <c r="L6989" t="s">
        <v>35</v>
      </c>
      <c r="M6989" t="s">
        <v>49</v>
      </c>
      <c r="N6989" t="s">
        <v>8</v>
      </c>
      <c r="O6989" t="s">
        <v>188</v>
      </c>
      <c r="P6989" s="1" t="s">
        <v>30</v>
      </c>
      <c r="Q6989">
        <v>140.69999999999999</v>
      </c>
    </row>
    <row r="6990" spans="11:17" x14ac:dyDescent="0.3">
      <c r="K6990">
        <v>2020</v>
      </c>
      <c r="L6990" t="s">
        <v>35</v>
      </c>
      <c r="M6990" t="s">
        <v>49</v>
      </c>
      <c r="N6990" t="s">
        <v>8</v>
      </c>
      <c r="O6990" t="s">
        <v>188</v>
      </c>
      <c r="P6990" s="1" t="s">
        <v>34</v>
      </c>
      <c r="Q6990">
        <v>141.80000000000001</v>
      </c>
    </row>
    <row r="6991" spans="11:17" x14ac:dyDescent="0.3">
      <c r="K6991">
        <v>2020</v>
      </c>
      <c r="L6991" t="s">
        <v>35</v>
      </c>
      <c r="M6991" t="s">
        <v>49</v>
      </c>
      <c r="N6991" t="s">
        <v>8</v>
      </c>
      <c r="O6991" t="s">
        <v>188</v>
      </c>
      <c r="P6991" s="1" t="s">
        <v>33</v>
      </c>
      <c r="Q6991">
        <v>143.1</v>
      </c>
    </row>
    <row r="6992" spans="11:17" x14ac:dyDescent="0.3">
      <c r="K6992">
        <v>2020</v>
      </c>
      <c r="L6992" t="s">
        <v>35</v>
      </c>
      <c r="M6992" t="s">
        <v>49</v>
      </c>
      <c r="N6992" t="s">
        <v>21</v>
      </c>
      <c r="O6992" t="s">
        <v>190</v>
      </c>
      <c r="P6992" s="1" t="s">
        <v>30</v>
      </c>
      <c r="Q6992">
        <v>152.30000000000001</v>
      </c>
    </row>
    <row r="6993" spans="11:17" x14ac:dyDescent="0.3">
      <c r="K6993">
        <v>2020</v>
      </c>
      <c r="L6993" t="s">
        <v>35</v>
      </c>
      <c r="M6993" t="s">
        <v>49</v>
      </c>
      <c r="N6993" t="s">
        <v>21</v>
      </c>
      <c r="O6993" t="s">
        <v>190</v>
      </c>
      <c r="P6993" s="1" t="s">
        <v>34</v>
      </c>
      <c r="Q6993">
        <v>147.19999999999999</v>
      </c>
    </row>
    <row r="6994" spans="11:17" x14ac:dyDescent="0.3">
      <c r="K6994">
        <v>2020</v>
      </c>
      <c r="L6994" t="s">
        <v>35</v>
      </c>
      <c r="M6994" t="s">
        <v>49</v>
      </c>
      <c r="N6994" t="s">
        <v>21</v>
      </c>
      <c r="O6994" t="s">
        <v>190</v>
      </c>
      <c r="P6994" s="1" t="s">
        <v>33</v>
      </c>
      <c r="Q6994">
        <v>138.9</v>
      </c>
    </row>
    <row r="6995" spans="11:17" x14ac:dyDescent="0.3">
      <c r="K6995">
        <v>2020</v>
      </c>
      <c r="L6995" t="s">
        <v>35</v>
      </c>
      <c r="M6995" t="s">
        <v>49</v>
      </c>
      <c r="N6995" t="s">
        <v>29</v>
      </c>
      <c r="O6995" t="s">
        <v>206</v>
      </c>
      <c r="P6995" s="1" t="s">
        <v>30</v>
      </c>
      <c r="Q6995">
        <v>150.4</v>
      </c>
    </row>
    <row r="6996" spans="11:17" x14ac:dyDescent="0.3">
      <c r="K6996">
        <v>2020</v>
      </c>
      <c r="L6996" t="s">
        <v>35</v>
      </c>
      <c r="M6996" t="s">
        <v>49</v>
      </c>
      <c r="N6996" t="s">
        <v>29</v>
      </c>
      <c r="O6996" t="s">
        <v>206</v>
      </c>
      <c r="P6996" s="1" t="s">
        <v>34</v>
      </c>
      <c r="Q6996">
        <v>149.1</v>
      </c>
    </row>
    <row r="6997" spans="11:17" x14ac:dyDescent="0.3">
      <c r="K6997">
        <v>2020</v>
      </c>
      <c r="L6997" t="s">
        <v>35</v>
      </c>
      <c r="M6997" t="s">
        <v>49</v>
      </c>
      <c r="N6997" t="s">
        <v>29</v>
      </c>
      <c r="O6997" t="s">
        <v>206</v>
      </c>
      <c r="P6997" s="1" t="s">
        <v>33</v>
      </c>
      <c r="Q6997">
        <v>147.69999999999999</v>
      </c>
    </row>
    <row r="6998" spans="11:17" x14ac:dyDescent="0.3">
      <c r="K6998">
        <v>2020</v>
      </c>
      <c r="L6998" t="s">
        <v>35</v>
      </c>
      <c r="M6998" t="s">
        <v>49</v>
      </c>
      <c r="N6998" t="s">
        <v>23</v>
      </c>
      <c r="O6998" t="s">
        <v>23</v>
      </c>
      <c r="P6998" s="1" t="s">
        <v>30</v>
      </c>
      <c r="Q6998">
        <v>156.19999999999999</v>
      </c>
    </row>
    <row r="6999" spans="11:17" x14ac:dyDescent="0.3">
      <c r="K6999">
        <v>2020</v>
      </c>
      <c r="L6999" t="s">
        <v>35</v>
      </c>
      <c r="M6999" t="s">
        <v>49</v>
      </c>
      <c r="N6999" t="s">
        <v>23</v>
      </c>
      <c r="O6999" t="s">
        <v>23</v>
      </c>
      <c r="P6999" s="1" t="s">
        <v>34</v>
      </c>
      <c r="Q6999">
        <v>151.69999999999999</v>
      </c>
    </row>
    <row r="7000" spans="11:17" x14ac:dyDescent="0.3">
      <c r="K7000">
        <v>2020</v>
      </c>
      <c r="L7000" t="s">
        <v>35</v>
      </c>
      <c r="M7000" t="s">
        <v>49</v>
      </c>
      <c r="N7000" t="s">
        <v>23</v>
      </c>
      <c r="O7000" t="s">
        <v>23</v>
      </c>
      <c r="P7000" s="1" t="s">
        <v>33</v>
      </c>
      <c r="Q7000">
        <v>144.4</v>
      </c>
    </row>
    <row r="7001" spans="11:17" x14ac:dyDescent="0.3">
      <c r="K7001">
        <v>2020</v>
      </c>
      <c r="L7001" t="s">
        <v>35</v>
      </c>
      <c r="M7001" t="s">
        <v>49</v>
      </c>
      <c r="N7001" t="s">
        <v>22</v>
      </c>
      <c r="O7001" t="s">
        <v>20</v>
      </c>
      <c r="P7001" s="1" t="s">
        <v>30</v>
      </c>
      <c r="Q7001">
        <v>151.80000000000001</v>
      </c>
    </row>
    <row r="7002" spans="11:17" x14ac:dyDescent="0.3">
      <c r="K7002">
        <v>2020</v>
      </c>
      <c r="L7002" t="s">
        <v>35</v>
      </c>
      <c r="M7002" t="s">
        <v>49</v>
      </c>
      <c r="N7002" t="s">
        <v>22</v>
      </c>
      <c r="O7002" t="s">
        <v>20</v>
      </c>
      <c r="P7002" s="1" t="s">
        <v>34</v>
      </c>
      <c r="Q7002">
        <v>146.4</v>
      </c>
    </row>
    <row r="7003" spans="11:17" x14ac:dyDescent="0.3">
      <c r="K7003">
        <v>2020</v>
      </c>
      <c r="L7003" t="s">
        <v>35</v>
      </c>
      <c r="M7003" t="s">
        <v>49</v>
      </c>
      <c r="N7003" t="s">
        <v>22</v>
      </c>
      <c r="O7003" t="s">
        <v>20</v>
      </c>
      <c r="P7003" s="1" t="s">
        <v>33</v>
      </c>
      <c r="Q7003">
        <v>140.4</v>
      </c>
    </row>
    <row r="7004" spans="11:17" x14ac:dyDescent="0.3">
      <c r="K7004">
        <v>2020</v>
      </c>
      <c r="L7004" t="s">
        <v>35</v>
      </c>
      <c r="M7004" t="s">
        <v>49</v>
      </c>
      <c r="N7004" t="s">
        <v>20</v>
      </c>
      <c r="O7004" t="s">
        <v>20</v>
      </c>
      <c r="P7004" s="1" t="s">
        <v>30</v>
      </c>
      <c r="Q7004">
        <v>0</v>
      </c>
    </row>
    <row r="7005" spans="11:17" x14ac:dyDescent="0.3">
      <c r="K7005">
        <v>2020</v>
      </c>
      <c r="L7005" t="s">
        <v>35</v>
      </c>
      <c r="M7005" t="s">
        <v>49</v>
      </c>
      <c r="N7005" t="s">
        <v>20</v>
      </c>
      <c r="O7005" t="s">
        <v>20</v>
      </c>
      <c r="P7005" s="1" t="s">
        <v>34</v>
      </c>
      <c r="Q7005">
        <v>154.80000000000001</v>
      </c>
    </row>
    <row r="7006" spans="11:17" x14ac:dyDescent="0.3">
      <c r="K7006">
        <v>2020</v>
      </c>
      <c r="L7006" t="s">
        <v>35</v>
      </c>
      <c r="M7006" t="s">
        <v>49</v>
      </c>
      <c r="N7006" t="s">
        <v>20</v>
      </c>
      <c r="O7006" t="s">
        <v>20</v>
      </c>
      <c r="P7006" s="1" t="s">
        <v>33</v>
      </c>
      <c r="Q7006">
        <v>154.80000000000001</v>
      </c>
    </row>
    <row r="7007" spans="11:17" x14ac:dyDescent="0.3">
      <c r="K7007">
        <v>2020</v>
      </c>
      <c r="L7007" t="s">
        <v>35</v>
      </c>
      <c r="M7007" t="s">
        <v>49</v>
      </c>
      <c r="N7007" t="s">
        <v>4</v>
      </c>
      <c r="O7007" t="s">
        <v>188</v>
      </c>
      <c r="P7007" s="1" t="s">
        <v>30</v>
      </c>
      <c r="Q7007">
        <v>167.5</v>
      </c>
    </row>
    <row r="7008" spans="11:17" x14ac:dyDescent="0.3">
      <c r="K7008">
        <v>2020</v>
      </c>
      <c r="L7008" t="s">
        <v>35</v>
      </c>
      <c r="M7008" t="s">
        <v>49</v>
      </c>
      <c r="N7008" t="s">
        <v>4</v>
      </c>
      <c r="O7008" t="s">
        <v>188</v>
      </c>
      <c r="P7008" s="1" t="s">
        <v>34</v>
      </c>
      <c r="Q7008">
        <v>167.5</v>
      </c>
    </row>
    <row r="7009" spans="11:17" x14ac:dyDescent="0.3">
      <c r="K7009">
        <v>2020</v>
      </c>
      <c r="L7009" t="s">
        <v>35</v>
      </c>
      <c r="M7009" t="s">
        <v>49</v>
      </c>
      <c r="N7009" t="s">
        <v>4</v>
      </c>
      <c r="O7009" t="s">
        <v>188</v>
      </c>
      <c r="P7009" s="1" t="s">
        <v>33</v>
      </c>
      <c r="Q7009">
        <v>167.6</v>
      </c>
    </row>
    <row r="7010" spans="11:17" x14ac:dyDescent="0.3">
      <c r="K7010">
        <v>2020</v>
      </c>
      <c r="L7010" t="s">
        <v>35</v>
      </c>
      <c r="M7010" t="s">
        <v>49</v>
      </c>
      <c r="N7010" t="s">
        <v>6</v>
      </c>
      <c r="O7010" t="s">
        <v>188</v>
      </c>
      <c r="P7010" s="1" t="s">
        <v>30</v>
      </c>
      <c r="Q7010">
        <v>150.9</v>
      </c>
    </row>
    <row r="7011" spans="11:17" x14ac:dyDescent="0.3">
      <c r="K7011">
        <v>2020</v>
      </c>
      <c r="L7011" t="s">
        <v>35</v>
      </c>
      <c r="M7011" t="s">
        <v>49</v>
      </c>
      <c r="N7011" t="s">
        <v>6</v>
      </c>
      <c r="O7011" t="s">
        <v>188</v>
      </c>
      <c r="P7011" s="1" t="s">
        <v>34</v>
      </c>
      <c r="Q7011">
        <v>150.80000000000001</v>
      </c>
    </row>
    <row r="7012" spans="11:17" x14ac:dyDescent="0.3">
      <c r="K7012">
        <v>2020</v>
      </c>
      <c r="L7012" t="s">
        <v>35</v>
      </c>
      <c r="M7012" t="s">
        <v>49</v>
      </c>
      <c r="N7012" t="s">
        <v>6</v>
      </c>
      <c r="O7012" t="s">
        <v>188</v>
      </c>
      <c r="P7012" s="1" t="s">
        <v>33</v>
      </c>
      <c r="Q7012">
        <v>150.69999999999999</v>
      </c>
    </row>
    <row r="7013" spans="11:17" x14ac:dyDescent="0.3">
      <c r="K7013">
        <v>2020</v>
      </c>
      <c r="L7013" t="s">
        <v>35</v>
      </c>
      <c r="M7013" t="s">
        <v>49</v>
      </c>
      <c r="N7013" t="s">
        <v>28</v>
      </c>
      <c r="O7013" t="s">
        <v>192</v>
      </c>
      <c r="P7013" s="1" t="s">
        <v>30</v>
      </c>
      <c r="Q7013">
        <v>148.4</v>
      </c>
    </row>
    <row r="7014" spans="11:17" x14ac:dyDescent="0.3">
      <c r="K7014">
        <v>2020</v>
      </c>
      <c r="L7014" t="s">
        <v>35</v>
      </c>
      <c r="M7014" t="s">
        <v>49</v>
      </c>
      <c r="N7014" t="s">
        <v>28</v>
      </c>
      <c r="O7014" t="s">
        <v>192</v>
      </c>
      <c r="P7014" s="1" t="s">
        <v>34</v>
      </c>
      <c r="Q7014">
        <v>143.6</v>
      </c>
    </row>
    <row r="7015" spans="11:17" x14ac:dyDescent="0.3">
      <c r="K7015">
        <v>2020</v>
      </c>
      <c r="L7015" t="s">
        <v>35</v>
      </c>
      <c r="M7015" t="s">
        <v>49</v>
      </c>
      <c r="N7015" t="s">
        <v>28</v>
      </c>
      <c r="O7015" t="s">
        <v>192</v>
      </c>
      <c r="P7015" s="1" t="s">
        <v>33</v>
      </c>
      <c r="Q7015">
        <v>138.4</v>
      </c>
    </row>
    <row r="7016" spans="11:17" x14ac:dyDescent="0.3">
      <c r="K7016">
        <v>2020</v>
      </c>
      <c r="L7016" t="s">
        <v>35</v>
      </c>
      <c r="M7016" t="s">
        <v>49</v>
      </c>
      <c r="N7016" t="s">
        <v>13</v>
      </c>
      <c r="O7016" t="s">
        <v>188</v>
      </c>
      <c r="P7016" s="1" t="s">
        <v>30</v>
      </c>
      <c r="Q7016">
        <v>140.1</v>
      </c>
    </row>
    <row r="7017" spans="11:17" x14ac:dyDescent="0.3">
      <c r="K7017">
        <v>2020</v>
      </c>
      <c r="L7017" t="s">
        <v>35</v>
      </c>
      <c r="M7017" t="s">
        <v>49</v>
      </c>
      <c r="N7017" t="s">
        <v>13</v>
      </c>
      <c r="O7017" t="s">
        <v>188</v>
      </c>
      <c r="P7017" s="1" t="s">
        <v>34</v>
      </c>
      <c r="Q7017">
        <v>136.5</v>
      </c>
    </row>
    <row r="7018" spans="11:17" x14ac:dyDescent="0.3">
      <c r="K7018">
        <v>2020</v>
      </c>
      <c r="L7018" t="s">
        <v>35</v>
      </c>
      <c r="M7018" t="s">
        <v>49</v>
      </c>
      <c r="N7018" t="s">
        <v>13</v>
      </c>
      <c r="O7018" t="s">
        <v>188</v>
      </c>
      <c r="P7018" s="1" t="s">
        <v>33</v>
      </c>
      <c r="Q7018">
        <v>131.5</v>
      </c>
    </row>
    <row r="7019" spans="11:17" x14ac:dyDescent="0.3">
      <c r="K7019">
        <v>2020</v>
      </c>
      <c r="L7019" t="s">
        <v>35</v>
      </c>
      <c r="M7019" t="s">
        <v>49</v>
      </c>
      <c r="N7019" t="s">
        <v>7</v>
      </c>
      <c r="O7019" t="s">
        <v>188</v>
      </c>
      <c r="P7019" s="1" t="s">
        <v>30</v>
      </c>
      <c r="Q7019">
        <v>133.69999999999999</v>
      </c>
    </row>
    <row r="7020" spans="11:17" x14ac:dyDescent="0.3">
      <c r="K7020">
        <v>2020</v>
      </c>
      <c r="L7020" t="s">
        <v>35</v>
      </c>
      <c r="M7020" t="s">
        <v>49</v>
      </c>
      <c r="N7020" t="s">
        <v>7</v>
      </c>
      <c r="O7020" t="s">
        <v>188</v>
      </c>
      <c r="P7020" s="1" t="s">
        <v>34</v>
      </c>
      <c r="Q7020">
        <v>131.4</v>
      </c>
    </row>
    <row r="7021" spans="11:17" x14ac:dyDescent="0.3">
      <c r="K7021">
        <v>2020</v>
      </c>
      <c r="L7021" t="s">
        <v>35</v>
      </c>
      <c r="M7021" t="s">
        <v>49</v>
      </c>
      <c r="N7021" t="s">
        <v>7</v>
      </c>
      <c r="O7021" t="s">
        <v>188</v>
      </c>
      <c r="P7021" s="1" t="s">
        <v>33</v>
      </c>
      <c r="Q7021">
        <v>127.4</v>
      </c>
    </row>
    <row r="7022" spans="11:17" x14ac:dyDescent="0.3">
      <c r="K7022">
        <v>2020</v>
      </c>
      <c r="L7022" t="s">
        <v>35</v>
      </c>
      <c r="M7022" t="s">
        <v>49</v>
      </c>
      <c r="N7022" t="s">
        <v>16</v>
      </c>
      <c r="O7022" t="s">
        <v>192</v>
      </c>
      <c r="P7022" s="1" t="s">
        <v>30</v>
      </c>
      <c r="Q7022">
        <v>169.4</v>
      </c>
    </row>
    <row r="7023" spans="11:17" x14ac:dyDescent="0.3">
      <c r="K7023">
        <v>2020</v>
      </c>
      <c r="L7023" t="s">
        <v>35</v>
      </c>
      <c r="M7023" t="s">
        <v>49</v>
      </c>
      <c r="N7023" t="s">
        <v>16</v>
      </c>
      <c r="O7023" t="s">
        <v>192</v>
      </c>
      <c r="P7023" s="1" t="s">
        <v>34</v>
      </c>
      <c r="Q7023">
        <v>170.1</v>
      </c>
    </row>
    <row r="7024" spans="11:17" x14ac:dyDescent="0.3">
      <c r="K7024">
        <v>2020</v>
      </c>
      <c r="L7024" t="s">
        <v>35</v>
      </c>
      <c r="M7024" t="s">
        <v>49</v>
      </c>
      <c r="N7024" t="s">
        <v>16</v>
      </c>
      <c r="O7024" t="s">
        <v>192</v>
      </c>
      <c r="P7024" s="1" t="s">
        <v>33</v>
      </c>
      <c r="Q7024">
        <v>172</v>
      </c>
    </row>
    <row r="7025" spans="11:17" x14ac:dyDescent="0.3">
      <c r="K7025">
        <v>2020</v>
      </c>
      <c r="L7025" t="s">
        <v>35</v>
      </c>
      <c r="M7025" t="s">
        <v>49</v>
      </c>
      <c r="N7025" t="s">
        <v>27</v>
      </c>
      <c r="O7025" t="s">
        <v>192</v>
      </c>
      <c r="P7025" s="1" t="s">
        <v>30</v>
      </c>
      <c r="Q7025">
        <v>143.4</v>
      </c>
    </row>
    <row r="7026" spans="11:17" x14ac:dyDescent="0.3">
      <c r="K7026">
        <v>2020</v>
      </c>
      <c r="L7026" t="s">
        <v>35</v>
      </c>
      <c r="M7026" t="s">
        <v>49</v>
      </c>
      <c r="N7026" t="s">
        <v>27</v>
      </c>
      <c r="O7026" t="s">
        <v>192</v>
      </c>
      <c r="P7026" s="1" t="s">
        <v>34</v>
      </c>
      <c r="Q7026">
        <v>143.4</v>
      </c>
    </row>
    <row r="7027" spans="11:17" x14ac:dyDescent="0.3">
      <c r="K7027">
        <v>2020</v>
      </c>
      <c r="L7027" t="s">
        <v>35</v>
      </c>
      <c r="M7027" t="s">
        <v>49</v>
      </c>
      <c r="N7027" t="s">
        <v>27</v>
      </c>
      <c r="O7027" t="s">
        <v>192</v>
      </c>
      <c r="P7027" s="1" t="s">
        <v>33</v>
      </c>
      <c r="Q7027">
        <v>143.5</v>
      </c>
    </row>
    <row r="7028" spans="11:17" x14ac:dyDescent="0.3">
      <c r="K7028">
        <v>2020</v>
      </c>
      <c r="L7028" t="s">
        <v>35</v>
      </c>
      <c r="M7028" t="s">
        <v>49</v>
      </c>
      <c r="N7028" t="s">
        <v>14</v>
      </c>
      <c r="O7028" t="s">
        <v>188</v>
      </c>
      <c r="P7028" s="1" t="s">
        <v>30</v>
      </c>
      <c r="Q7028">
        <v>159.19999999999999</v>
      </c>
    </row>
    <row r="7029" spans="11:17" x14ac:dyDescent="0.3">
      <c r="K7029">
        <v>2020</v>
      </c>
      <c r="L7029" t="s">
        <v>35</v>
      </c>
      <c r="M7029" t="s">
        <v>49</v>
      </c>
      <c r="N7029" t="s">
        <v>14</v>
      </c>
      <c r="O7029" t="s">
        <v>188</v>
      </c>
      <c r="P7029" s="1" t="s">
        <v>34</v>
      </c>
      <c r="Q7029">
        <v>159.1</v>
      </c>
    </row>
    <row r="7030" spans="11:17" x14ac:dyDescent="0.3">
      <c r="K7030">
        <v>2020</v>
      </c>
      <c r="L7030" t="s">
        <v>35</v>
      </c>
      <c r="M7030" t="s">
        <v>49</v>
      </c>
      <c r="N7030" t="s">
        <v>14</v>
      </c>
      <c r="O7030" t="s">
        <v>188</v>
      </c>
      <c r="P7030" s="1" t="s">
        <v>33</v>
      </c>
      <c r="Q7030">
        <v>159</v>
      </c>
    </row>
    <row r="7031" spans="11:17" x14ac:dyDescent="0.3">
      <c r="K7031">
        <v>2020</v>
      </c>
      <c r="L7031" t="s">
        <v>35</v>
      </c>
      <c r="M7031" t="s">
        <v>49</v>
      </c>
      <c r="N7031" t="s">
        <v>10</v>
      </c>
      <c r="O7031" t="s">
        <v>188</v>
      </c>
      <c r="P7031" s="1" t="s">
        <v>30</v>
      </c>
      <c r="Q7031">
        <v>141.80000000000001</v>
      </c>
    </row>
    <row r="7032" spans="11:17" x14ac:dyDescent="0.3">
      <c r="K7032">
        <v>2020</v>
      </c>
      <c r="L7032" t="s">
        <v>35</v>
      </c>
      <c r="M7032" t="s">
        <v>49</v>
      </c>
      <c r="N7032" t="s">
        <v>10</v>
      </c>
      <c r="O7032" t="s">
        <v>188</v>
      </c>
      <c r="P7032" s="1" t="s">
        <v>34</v>
      </c>
      <c r="Q7032">
        <v>141.1</v>
      </c>
    </row>
    <row r="7033" spans="11:17" x14ac:dyDescent="0.3">
      <c r="K7033">
        <v>2020</v>
      </c>
      <c r="L7033" t="s">
        <v>35</v>
      </c>
      <c r="M7033" t="s">
        <v>49</v>
      </c>
      <c r="N7033" t="s">
        <v>10</v>
      </c>
      <c r="O7033" t="s">
        <v>188</v>
      </c>
      <c r="P7033" s="1" t="s">
        <v>33</v>
      </c>
      <c r="Q7033">
        <v>139.6</v>
      </c>
    </row>
    <row r="7034" spans="11:17" x14ac:dyDescent="0.3">
      <c r="K7034">
        <v>2020</v>
      </c>
      <c r="L7034" t="s">
        <v>35</v>
      </c>
      <c r="M7034" t="s">
        <v>49</v>
      </c>
      <c r="N7034" t="s">
        <v>25</v>
      </c>
      <c r="O7034" t="s">
        <v>195</v>
      </c>
      <c r="P7034" s="1" t="s">
        <v>30</v>
      </c>
      <c r="Q7034">
        <v>150.4</v>
      </c>
    </row>
    <row r="7035" spans="11:17" x14ac:dyDescent="0.3">
      <c r="K7035">
        <v>2020</v>
      </c>
      <c r="L7035" t="s">
        <v>35</v>
      </c>
      <c r="M7035" t="s">
        <v>49</v>
      </c>
      <c r="N7035" t="s">
        <v>25</v>
      </c>
      <c r="O7035" t="s">
        <v>195</v>
      </c>
      <c r="P7035" s="1" t="s">
        <v>34</v>
      </c>
      <c r="Q7035">
        <v>143.19999999999999</v>
      </c>
    </row>
    <row r="7036" spans="11:17" x14ac:dyDescent="0.3">
      <c r="K7036">
        <v>2020</v>
      </c>
      <c r="L7036" t="s">
        <v>35</v>
      </c>
      <c r="M7036" t="s">
        <v>49</v>
      </c>
      <c r="N7036" t="s">
        <v>25</v>
      </c>
      <c r="O7036" t="s">
        <v>195</v>
      </c>
      <c r="P7036" s="1" t="s">
        <v>33</v>
      </c>
      <c r="Q7036">
        <v>137.69999999999999</v>
      </c>
    </row>
    <row r="7037" spans="11:17" x14ac:dyDescent="0.3">
      <c r="K7037">
        <v>2020</v>
      </c>
      <c r="L7037" t="s">
        <v>35</v>
      </c>
      <c r="M7037" t="s">
        <v>49</v>
      </c>
      <c r="N7037" t="s">
        <v>12</v>
      </c>
      <c r="O7037" t="s">
        <v>188</v>
      </c>
      <c r="P7037" s="1" t="s">
        <v>30</v>
      </c>
      <c r="Q7037">
        <v>152.80000000000001</v>
      </c>
    </row>
    <row r="7038" spans="11:17" x14ac:dyDescent="0.3">
      <c r="K7038">
        <v>2020</v>
      </c>
      <c r="L7038" t="s">
        <v>35</v>
      </c>
      <c r="M7038" t="s">
        <v>49</v>
      </c>
      <c r="N7038" t="s">
        <v>12</v>
      </c>
      <c r="O7038" t="s">
        <v>188</v>
      </c>
      <c r="P7038" s="1" t="s">
        <v>34</v>
      </c>
      <c r="Q7038">
        <v>152</v>
      </c>
    </row>
    <row r="7039" spans="11:17" x14ac:dyDescent="0.3">
      <c r="K7039">
        <v>2020</v>
      </c>
      <c r="L7039" t="s">
        <v>35</v>
      </c>
      <c r="M7039" t="s">
        <v>49</v>
      </c>
      <c r="N7039" t="s">
        <v>12</v>
      </c>
      <c r="O7039" t="s">
        <v>188</v>
      </c>
      <c r="P7039" s="1" t="s">
        <v>33</v>
      </c>
      <c r="Q7039">
        <v>150.4</v>
      </c>
    </row>
    <row r="7040" spans="11:17" x14ac:dyDescent="0.3">
      <c r="K7040">
        <v>2020</v>
      </c>
      <c r="L7040" t="s">
        <v>35</v>
      </c>
      <c r="M7040" t="s">
        <v>49</v>
      </c>
      <c r="N7040" t="s">
        <v>11</v>
      </c>
      <c r="O7040" t="s">
        <v>188</v>
      </c>
      <c r="P7040" s="1" t="s">
        <v>30</v>
      </c>
      <c r="Q7040">
        <v>113.1</v>
      </c>
    </row>
    <row r="7041" spans="11:17" x14ac:dyDescent="0.3">
      <c r="K7041">
        <v>2020</v>
      </c>
      <c r="L7041" t="s">
        <v>35</v>
      </c>
      <c r="M7041" t="s">
        <v>49</v>
      </c>
      <c r="N7041" t="s">
        <v>11</v>
      </c>
      <c r="O7041" t="s">
        <v>188</v>
      </c>
      <c r="P7041" s="1" t="s">
        <v>34</v>
      </c>
      <c r="Q7041">
        <v>113.6</v>
      </c>
    </row>
    <row r="7042" spans="11:17" x14ac:dyDescent="0.3">
      <c r="K7042">
        <v>2020</v>
      </c>
      <c r="L7042" t="s">
        <v>35</v>
      </c>
      <c r="M7042" t="s">
        <v>49</v>
      </c>
      <c r="N7042" t="s">
        <v>11</v>
      </c>
      <c r="O7042" t="s">
        <v>188</v>
      </c>
      <c r="P7042" s="1" t="s">
        <v>33</v>
      </c>
      <c r="Q7042">
        <v>114.6</v>
      </c>
    </row>
    <row r="7043" spans="11:17" x14ac:dyDescent="0.3">
      <c r="K7043">
        <v>2020</v>
      </c>
      <c r="L7043" t="s">
        <v>35</v>
      </c>
      <c r="M7043" t="s">
        <v>49</v>
      </c>
      <c r="N7043" t="s">
        <v>24</v>
      </c>
      <c r="O7043" t="s">
        <v>191</v>
      </c>
      <c r="P7043" s="1" t="s">
        <v>30</v>
      </c>
      <c r="Q7043">
        <v>136</v>
      </c>
    </row>
    <row r="7044" spans="11:17" x14ac:dyDescent="0.3">
      <c r="K7044">
        <v>2020</v>
      </c>
      <c r="L7044" t="s">
        <v>35</v>
      </c>
      <c r="M7044" t="s">
        <v>49</v>
      </c>
      <c r="N7044" t="s">
        <v>24</v>
      </c>
      <c r="O7044" t="s">
        <v>191</v>
      </c>
      <c r="P7044" s="1" t="s">
        <v>34</v>
      </c>
      <c r="Q7044">
        <v>130.30000000000001</v>
      </c>
    </row>
    <row r="7045" spans="11:17" x14ac:dyDescent="0.3">
      <c r="K7045">
        <v>2020</v>
      </c>
      <c r="L7045" t="s">
        <v>35</v>
      </c>
      <c r="M7045" t="s">
        <v>49</v>
      </c>
      <c r="N7045" t="s">
        <v>24</v>
      </c>
      <c r="O7045" t="s">
        <v>191</v>
      </c>
      <c r="P7045" s="1" t="s">
        <v>33</v>
      </c>
      <c r="Q7045">
        <v>125.2</v>
      </c>
    </row>
    <row r="7046" spans="11:17" x14ac:dyDescent="0.3">
      <c r="K7046">
        <v>2020</v>
      </c>
      <c r="L7046" t="s">
        <v>35</v>
      </c>
      <c r="M7046" t="s">
        <v>49</v>
      </c>
      <c r="N7046" t="s">
        <v>9</v>
      </c>
      <c r="O7046" t="s">
        <v>188</v>
      </c>
      <c r="P7046" s="1" t="s">
        <v>30</v>
      </c>
      <c r="Q7046">
        <v>165.1</v>
      </c>
    </row>
    <row r="7047" spans="11:17" x14ac:dyDescent="0.3">
      <c r="K7047">
        <v>2020</v>
      </c>
      <c r="L7047" t="s">
        <v>35</v>
      </c>
      <c r="M7047" t="s">
        <v>49</v>
      </c>
      <c r="N7047" t="s">
        <v>9</v>
      </c>
      <c r="O7047" t="s">
        <v>188</v>
      </c>
      <c r="P7047" s="1" t="s">
        <v>34</v>
      </c>
      <c r="Q7047">
        <v>170.7</v>
      </c>
    </row>
    <row r="7048" spans="11:17" x14ac:dyDescent="0.3">
      <c r="K7048">
        <v>2020</v>
      </c>
      <c r="L7048" t="s">
        <v>35</v>
      </c>
      <c r="M7048" t="s">
        <v>49</v>
      </c>
      <c r="N7048" t="s">
        <v>9</v>
      </c>
      <c r="O7048" t="s">
        <v>188</v>
      </c>
      <c r="P7048" s="1" t="s">
        <v>33</v>
      </c>
      <c r="Q7048">
        <v>181.7</v>
      </c>
    </row>
    <row r="7049" spans="11:17" x14ac:dyDescent="0.3">
      <c r="K7049">
        <v>2020</v>
      </c>
      <c r="L7049" t="s">
        <v>31</v>
      </c>
      <c r="M7049" t="s">
        <v>48</v>
      </c>
      <c r="N7049" t="s">
        <v>3</v>
      </c>
      <c r="O7049" t="s">
        <v>188</v>
      </c>
      <c r="P7049" s="1" t="s">
        <v>30</v>
      </c>
      <c r="Q7049">
        <v>143.69999999999999</v>
      </c>
    </row>
    <row r="7050" spans="11:17" x14ac:dyDescent="0.3">
      <c r="K7050">
        <v>2020</v>
      </c>
      <c r="L7050" t="s">
        <v>31</v>
      </c>
      <c r="M7050" t="s">
        <v>48</v>
      </c>
      <c r="N7050" t="s">
        <v>3</v>
      </c>
      <c r="O7050" t="s">
        <v>188</v>
      </c>
      <c r="P7050" s="1" t="s">
        <v>34</v>
      </c>
      <c r="Q7050">
        <v>144.30000000000001</v>
      </c>
    </row>
    <row r="7051" spans="11:17" x14ac:dyDescent="0.3">
      <c r="K7051">
        <v>2020</v>
      </c>
      <c r="L7051" t="s">
        <v>31</v>
      </c>
      <c r="M7051" t="s">
        <v>48</v>
      </c>
      <c r="N7051" t="s">
        <v>3</v>
      </c>
      <c r="O7051" t="s">
        <v>188</v>
      </c>
      <c r="P7051" s="1" t="s">
        <v>33</v>
      </c>
      <c r="Q7051">
        <v>145.6</v>
      </c>
    </row>
    <row r="7052" spans="11:17" x14ac:dyDescent="0.3">
      <c r="K7052">
        <v>2020</v>
      </c>
      <c r="L7052" t="s">
        <v>31</v>
      </c>
      <c r="M7052" t="s">
        <v>48</v>
      </c>
      <c r="N7052" t="s">
        <v>17</v>
      </c>
      <c r="O7052" t="s">
        <v>189</v>
      </c>
      <c r="P7052" s="1" t="s">
        <v>30</v>
      </c>
      <c r="Q7052">
        <v>152.80000000000001</v>
      </c>
    </row>
    <row r="7053" spans="11:17" x14ac:dyDescent="0.3">
      <c r="K7053">
        <v>2020</v>
      </c>
      <c r="L7053" t="s">
        <v>31</v>
      </c>
      <c r="M7053" t="s">
        <v>48</v>
      </c>
      <c r="N7053" t="s">
        <v>17</v>
      </c>
      <c r="O7053" t="s">
        <v>189</v>
      </c>
      <c r="P7053" s="1" t="s">
        <v>34</v>
      </c>
      <c r="Q7053">
        <v>150.5</v>
      </c>
    </row>
    <row r="7054" spans="11:17" x14ac:dyDescent="0.3">
      <c r="K7054">
        <v>2020</v>
      </c>
      <c r="L7054" t="s">
        <v>31</v>
      </c>
      <c r="M7054" t="s">
        <v>48</v>
      </c>
      <c r="N7054" t="s">
        <v>17</v>
      </c>
      <c r="O7054" t="s">
        <v>189</v>
      </c>
      <c r="P7054" s="1" t="s">
        <v>33</v>
      </c>
      <c r="Q7054">
        <v>147</v>
      </c>
    </row>
    <row r="7055" spans="11:17" x14ac:dyDescent="0.3">
      <c r="K7055">
        <v>2020</v>
      </c>
      <c r="L7055" t="s">
        <v>31</v>
      </c>
      <c r="M7055" t="s">
        <v>48</v>
      </c>
      <c r="N7055" t="s">
        <v>19</v>
      </c>
      <c r="O7055" t="s">
        <v>189</v>
      </c>
      <c r="P7055" s="1" t="s">
        <v>30</v>
      </c>
      <c r="Q7055">
        <v>152.1</v>
      </c>
    </row>
    <row r="7056" spans="11:17" x14ac:dyDescent="0.3">
      <c r="K7056">
        <v>2020</v>
      </c>
      <c r="L7056" t="s">
        <v>31</v>
      </c>
      <c r="M7056" t="s">
        <v>48</v>
      </c>
      <c r="N7056" t="s">
        <v>19</v>
      </c>
      <c r="O7056" t="s">
        <v>189</v>
      </c>
      <c r="P7056" s="1" t="s">
        <v>34</v>
      </c>
      <c r="Q7056">
        <v>149.19999999999999</v>
      </c>
    </row>
    <row r="7057" spans="11:17" x14ac:dyDescent="0.3">
      <c r="K7057">
        <v>2020</v>
      </c>
      <c r="L7057" t="s">
        <v>31</v>
      </c>
      <c r="M7057" t="s">
        <v>48</v>
      </c>
      <c r="N7057" t="s">
        <v>19</v>
      </c>
      <c r="O7057" t="s">
        <v>189</v>
      </c>
      <c r="P7057" s="1" t="s">
        <v>33</v>
      </c>
      <c r="Q7057">
        <v>144.9</v>
      </c>
    </row>
    <row r="7058" spans="11:17" x14ac:dyDescent="0.3">
      <c r="K7058">
        <v>2020</v>
      </c>
      <c r="L7058" t="s">
        <v>31</v>
      </c>
      <c r="M7058" t="s">
        <v>48</v>
      </c>
      <c r="N7058" t="s">
        <v>26</v>
      </c>
      <c r="O7058" t="s">
        <v>26</v>
      </c>
      <c r="P7058" s="1" t="s">
        <v>30</v>
      </c>
      <c r="Q7058">
        <v>161.69999999999999</v>
      </c>
    </row>
    <row r="7059" spans="11:17" x14ac:dyDescent="0.3">
      <c r="K7059">
        <v>2020</v>
      </c>
      <c r="L7059" t="s">
        <v>31</v>
      </c>
      <c r="M7059" t="s">
        <v>48</v>
      </c>
      <c r="N7059" t="s">
        <v>26</v>
      </c>
      <c r="O7059" t="s">
        <v>26</v>
      </c>
      <c r="P7059" s="1" t="s">
        <v>34</v>
      </c>
      <c r="Q7059">
        <v>156.1</v>
      </c>
    </row>
    <row r="7060" spans="11:17" x14ac:dyDescent="0.3">
      <c r="K7060">
        <v>2020</v>
      </c>
      <c r="L7060" t="s">
        <v>31</v>
      </c>
      <c r="M7060" t="s">
        <v>48</v>
      </c>
      <c r="N7060" t="s">
        <v>26</v>
      </c>
      <c r="O7060" t="s">
        <v>26</v>
      </c>
      <c r="P7060" s="1" t="s">
        <v>33</v>
      </c>
      <c r="Q7060">
        <v>152.1</v>
      </c>
    </row>
    <row r="7061" spans="11:17" x14ac:dyDescent="0.3">
      <c r="K7061">
        <v>2020</v>
      </c>
      <c r="L7061" t="s">
        <v>31</v>
      </c>
      <c r="M7061" t="s">
        <v>48</v>
      </c>
      <c r="N7061" t="s">
        <v>5</v>
      </c>
      <c r="O7061" t="s">
        <v>188</v>
      </c>
      <c r="P7061" s="1" t="s">
        <v>30</v>
      </c>
      <c r="Q7061">
        <v>153.5</v>
      </c>
    </row>
    <row r="7062" spans="11:17" x14ac:dyDescent="0.3">
      <c r="K7062">
        <v>2020</v>
      </c>
      <c r="L7062" t="s">
        <v>31</v>
      </c>
      <c r="M7062" t="s">
        <v>48</v>
      </c>
      <c r="N7062" t="s">
        <v>5</v>
      </c>
      <c r="O7062" t="s">
        <v>188</v>
      </c>
      <c r="P7062" s="1" t="s">
        <v>34</v>
      </c>
      <c r="Q7062">
        <v>154.9</v>
      </c>
    </row>
    <row r="7063" spans="11:17" x14ac:dyDescent="0.3">
      <c r="K7063">
        <v>2020</v>
      </c>
      <c r="L7063" t="s">
        <v>31</v>
      </c>
      <c r="M7063" t="s">
        <v>48</v>
      </c>
      <c r="N7063" t="s">
        <v>5</v>
      </c>
      <c r="O7063" t="s">
        <v>188</v>
      </c>
      <c r="P7063" s="1" t="s">
        <v>33</v>
      </c>
      <c r="Q7063">
        <v>157</v>
      </c>
    </row>
    <row r="7064" spans="11:17" x14ac:dyDescent="0.3">
      <c r="K7064">
        <v>2020</v>
      </c>
      <c r="L7064" t="s">
        <v>31</v>
      </c>
      <c r="M7064" t="s">
        <v>48</v>
      </c>
      <c r="N7064" t="s">
        <v>15</v>
      </c>
      <c r="O7064" t="s">
        <v>188</v>
      </c>
      <c r="P7064" s="1" t="s">
        <v>30</v>
      </c>
      <c r="Q7064">
        <v>153</v>
      </c>
    </row>
    <row r="7065" spans="11:17" x14ac:dyDescent="0.3">
      <c r="K7065">
        <v>2020</v>
      </c>
      <c r="L7065" t="s">
        <v>31</v>
      </c>
      <c r="M7065" t="s">
        <v>48</v>
      </c>
      <c r="N7065" t="s">
        <v>15</v>
      </c>
      <c r="O7065" t="s">
        <v>188</v>
      </c>
      <c r="P7065" s="1" t="s">
        <v>34</v>
      </c>
      <c r="Q7065">
        <v>153.5</v>
      </c>
    </row>
    <row r="7066" spans="11:17" x14ac:dyDescent="0.3">
      <c r="K7066">
        <v>2020</v>
      </c>
      <c r="L7066" t="s">
        <v>31</v>
      </c>
      <c r="M7066" t="s">
        <v>48</v>
      </c>
      <c r="N7066" t="s">
        <v>15</v>
      </c>
      <c r="O7066" t="s">
        <v>188</v>
      </c>
      <c r="P7066" s="1" t="s">
        <v>33</v>
      </c>
      <c r="Q7066">
        <v>154.4</v>
      </c>
    </row>
    <row r="7067" spans="11:17" x14ac:dyDescent="0.3">
      <c r="K7067">
        <v>2020</v>
      </c>
      <c r="L7067" t="s">
        <v>31</v>
      </c>
      <c r="M7067" t="s">
        <v>48</v>
      </c>
      <c r="N7067" t="s">
        <v>18</v>
      </c>
      <c r="O7067" t="s">
        <v>189</v>
      </c>
      <c r="P7067" s="1" t="s">
        <v>30</v>
      </c>
      <c r="Q7067">
        <v>147.4</v>
      </c>
    </row>
    <row r="7068" spans="11:17" x14ac:dyDescent="0.3">
      <c r="K7068">
        <v>2020</v>
      </c>
      <c r="L7068" t="s">
        <v>31</v>
      </c>
      <c r="M7068" t="s">
        <v>48</v>
      </c>
      <c r="N7068" t="s">
        <v>18</v>
      </c>
      <c r="O7068" t="s">
        <v>189</v>
      </c>
      <c r="P7068" s="1" t="s">
        <v>34</v>
      </c>
      <c r="Q7068">
        <v>141.5</v>
      </c>
    </row>
    <row r="7069" spans="11:17" x14ac:dyDescent="0.3">
      <c r="K7069">
        <v>2020</v>
      </c>
      <c r="L7069" t="s">
        <v>31</v>
      </c>
      <c r="M7069" t="s">
        <v>48</v>
      </c>
      <c r="N7069" t="s">
        <v>18</v>
      </c>
      <c r="O7069" t="s">
        <v>189</v>
      </c>
      <c r="P7069" s="1" t="s">
        <v>33</v>
      </c>
      <c r="Q7069">
        <v>133.19999999999999</v>
      </c>
    </row>
    <row r="7070" spans="11:17" x14ac:dyDescent="0.3">
      <c r="K7070">
        <v>2020</v>
      </c>
      <c r="L7070" t="s">
        <v>31</v>
      </c>
      <c r="M7070" t="s">
        <v>48</v>
      </c>
      <c r="N7070" t="s">
        <v>8</v>
      </c>
      <c r="O7070" t="s">
        <v>188</v>
      </c>
      <c r="P7070" s="1" t="s">
        <v>30</v>
      </c>
      <c r="Q7070">
        <v>142.19999999999999</v>
      </c>
    </row>
    <row r="7071" spans="11:17" x14ac:dyDescent="0.3">
      <c r="K7071">
        <v>2020</v>
      </c>
      <c r="L7071" t="s">
        <v>31</v>
      </c>
      <c r="M7071" t="s">
        <v>48</v>
      </c>
      <c r="N7071" t="s">
        <v>8</v>
      </c>
      <c r="O7071" t="s">
        <v>188</v>
      </c>
      <c r="P7071" s="1" t="s">
        <v>34</v>
      </c>
      <c r="Q7071">
        <v>143.19999999999999</v>
      </c>
    </row>
    <row r="7072" spans="11:17" x14ac:dyDescent="0.3">
      <c r="K7072">
        <v>2020</v>
      </c>
      <c r="L7072" t="s">
        <v>31</v>
      </c>
      <c r="M7072" t="s">
        <v>48</v>
      </c>
      <c r="N7072" t="s">
        <v>8</v>
      </c>
      <c r="O7072" t="s">
        <v>188</v>
      </c>
      <c r="P7072" s="1" t="s">
        <v>33</v>
      </c>
      <c r="Q7072">
        <v>144.4</v>
      </c>
    </row>
    <row r="7073" spans="11:17" x14ac:dyDescent="0.3">
      <c r="K7073">
        <v>2020</v>
      </c>
      <c r="L7073" t="s">
        <v>31</v>
      </c>
      <c r="M7073" t="s">
        <v>48</v>
      </c>
      <c r="N7073" t="s">
        <v>21</v>
      </c>
      <c r="O7073" t="s">
        <v>190</v>
      </c>
      <c r="P7073" s="1" t="s">
        <v>30</v>
      </c>
      <c r="Q7073">
        <v>150.4</v>
      </c>
    </row>
    <row r="7074" spans="11:17" x14ac:dyDescent="0.3">
      <c r="K7074">
        <v>2020</v>
      </c>
      <c r="L7074" t="s">
        <v>31</v>
      </c>
      <c r="M7074" t="s">
        <v>48</v>
      </c>
      <c r="N7074" t="s">
        <v>21</v>
      </c>
      <c r="O7074" t="s">
        <v>190</v>
      </c>
      <c r="P7074" s="1" t="s">
        <v>34</v>
      </c>
      <c r="Q7074">
        <v>144.6</v>
      </c>
    </row>
    <row r="7075" spans="11:17" x14ac:dyDescent="0.3">
      <c r="K7075">
        <v>2020</v>
      </c>
      <c r="L7075" t="s">
        <v>31</v>
      </c>
      <c r="M7075" t="s">
        <v>48</v>
      </c>
      <c r="N7075" t="s">
        <v>21</v>
      </c>
      <c r="O7075" t="s">
        <v>190</v>
      </c>
      <c r="P7075" s="1" t="s">
        <v>33</v>
      </c>
      <c r="Q7075">
        <v>135.1</v>
      </c>
    </row>
    <row r="7076" spans="11:17" x14ac:dyDescent="0.3">
      <c r="K7076">
        <v>2020</v>
      </c>
      <c r="L7076" t="s">
        <v>31</v>
      </c>
      <c r="M7076" t="s">
        <v>48</v>
      </c>
      <c r="N7076" t="s">
        <v>29</v>
      </c>
      <c r="O7076" t="s">
        <v>206</v>
      </c>
      <c r="P7076" s="1" t="s">
        <v>30</v>
      </c>
      <c r="Q7076">
        <v>151.9</v>
      </c>
    </row>
    <row r="7077" spans="11:17" x14ac:dyDescent="0.3">
      <c r="K7077">
        <v>2020</v>
      </c>
      <c r="L7077" t="s">
        <v>31</v>
      </c>
      <c r="M7077" t="s">
        <v>48</v>
      </c>
      <c r="N7077" t="s">
        <v>29</v>
      </c>
      <c r="O7077" t="s">
        <v>206</v>
      </c>
      <c r="P7077" s="1" t="s">
        <v>34</v>
      </c>
      <c r="Q7077">
        <v>150.19999999999999</v>
      </c>
    </row>
    <row r="7078" spans="11:17" x14ac:dyDescent="0.3">
      <c r="K7078">
        <v>2020</v>
      </c>
      <c r="L7078" t="s">
        <v>31</v>
      </c>
      <c r="M7078" t="s">
        <v>48</v>
      </c>
      <c r="N7078" t="s">
        <v>29</v>
      </c>
      <c r="O7078" t="s">
        <v>206</v>
      </c>
      <c r="P7078" s="1" t="s">
        <v>33</v>
      </c>
      <c r="Q7078">
        <v>148.19999999999999</v>
      </c>
    </row>
    <row r="7079" spans="11:17" x14ac:dyDescent="0.3">
      <c r="K7079">
        <v>2020</v>
      </c>
      <c r="L7079" t="s">
        <v>31</v>
      </c>
      <c r="M7079" t="s">
        <v>48</v>
      </c>
      <c r="N7079" t="s">
        <v>23</v>
      </c>
      <c r="O7079" t="s">
        <v>23</v>
      </c>
      <c r="P7079" s="1" t="s">
        <v>30</v>
      </c>
      <c r="Q7079">
        <v>155.69999999999999</v>
      </c>
    </row>
    <row r="7080" spans="11:17" x14ac:dyDescent="0.3">
      <c r="K7080">
        <v>2020</v>
      </c>
      <c r="L7080" t="s">
        <v>31</v>
      </c>
      <c r="M7080" t="s">
        <v>48</v>
      </c>
      <c r="N7080" t="s">
        <v>23</v>
      </c>
      <c r="O7080" t="s">
        <v>23</v>
      </c>
      <c r="P7080" s="1" t="s">
        <v>34</v>
      </c>
      <c r="Q7080">
        <v>151.19999999999999</v>
      </c>
    </row>
    <row r="7081" spans="11:17" x14ac:dyDescent="0.3">
      <c r="K7081">
        <v>2020</v>
      </c>
      <c r="L7081" t="s">
        <v>31</v>
      </c>
      <c r="M7081" t="s">
        <v>48</v>
      </c>
      <c r="N7081" t="s">
        <v>23</v>
      </c>
      <c r="O7081" t="s">
        <v>23</v>
      </c>
      <c r="P7081" s="1" t="s">
        <v>33</v>
      </c>
      <c r="Q7081">
        <v>143.80000000000001</v>
      </c>
    </row>
    <row r="7082" spans="11:17" x14ac:dyDescent="0.3">
      <c r="K7082">
        <v>2020</v>
      </c>
      <c r="L7082" t="s">
        <v>31</v>
      </c>
      <c r="M7082" t="s">
        <v>48</v>
      </c>
      <c r="N7082" t="s">
        <v>22</v>
      </c>
      <c r="O7082" t="s">
        <v>20</v>
      </c>
      <c r="P7082" s="1" t="s">
        <v>30</v>
      </c>
      <c r="Q7082">
        <v>151.69999999999999</v>
      </c>
    </row>
    <row r="7083" spans="11:17" x14ac:dyDescent="0.3">
      <c r="K7083">
        <v>2020</v>
      </c>
      <c r="L7083" t="s">
        <v>31</v>
      </c>
      <c r="M7083" t="s">
        <v>48</v>
      </c>
      <c r="N7083" t="s">
        <v>22</v>
      </c>
      <c r="O7083" t="s">
        <v>20</v>
      </c>
      <c r="P7083" s="1" t="s">
        <v>34</v>
      </c>
      <c r="Q7083">
        <v>146.19999999999999</v>
      </c>
    </row>
    <row r="7084" spans="11:17" x14ac:dyDescent="0.3">
      <c r="K7084">
        <v>2020</v>
      </c>
      <c r="L7084" t="s">
        <v>31</v>
      </c>
      <c r="M7084" t="s">
        <v>48</v>
      </c>
      <c r="N7084" t="s">
        <v>22</v>
      </c>
      <c r="O7084" t="s">
        <v>20</v>
      </c>
      <c r="P7084" s="1" t="s">
        <v>33</v>
      </c>
      <c r="Q7084">
        <v>140.1</v>
      </c>
    </row>
    <row r="7085" spans="11:17" x14ac:dyDescent="0.3">
      <c r="K7085">
        <v>2020</v>
      </c>
      <c r="L7085" t="s">
        <v>31</v>
      </c>
      <c r="M7085" t="s">
        <v>48</v>
      </c>
      <c r="N7085" t="s">
        <v>20</v>
      </c>
      <c r="O7085" t="s">
        <v>20</v>
      </c>
      <c r="P7085" s="1" t="s">
        <v>30</v>
      </c>
      <c r="Q7085">
        <v>0</v>
      </c>
    </row>
    <row r="7086" spans="11:17" x14ac:dyDescent="0.3">
      <c r="K7086">
        <v>2020</v>
      </c>
      <c r="L7086" t="s">
        <v>31</v>
      </c>
      <c r="M7086" t="s">
        <v>48</v>
      </c>
      <c r="N7086" t="s">
        <v>20</v>
      </c>
      <c r="O7086" t="s">
        <v>20</v>
      </c>
      <c r="P7086" s="1" t="s">
        <v>34</v>
      </c>
      <c r="Q7086">
        <v>153.9</v>
      </c>
    </row>
    <row r="7087" spans="11:17" x14ac:dyDescent="0.3">
      <c r="K7087">
        <v>2020</v>
      </c>
      <c r="L7087" t="s">
        <v>31</v>
      </c>
      <c r="M7087" t="s">
        <v>48</v>
      </c>
      <c r="N7087" t="s">
        <v>20</v>
      </c>
      <c r="O7087" t="s">
        <v>20</v>
      </c>
      <c r="P7087" s="1" t="s">
        <v>33</v>
      </c>
      <c r="Q7087">
        <v>153.9</v>
      </c>
    </row>
    <row r="7088" spans="11:17" x14ac:dyDescent="0.3">
      <c r="K7088">
        <v>2020</v>
      </c>
      <c r="L7088" t="s">
        <v>31</v>
      </c>
      <c r="M7088" t="s">
        <v>48</v>
      </c>
      <c r="N7088" t="s">
        <v>4</v>
      </c>
      <c r="O7088" t="s">
        <v>188</v>
      </c>
      <c r="P7088" s="1" t="s">
        <v>30</v>
      </c>
      <c r="Q7088">
        <v>167.3</v>
      </c>
    </row>
    <row r="7089" spans="11:17" x14ac:dyDescent="0.3">
      <c r="K7089">
        <v>2020</v>
      </c>
      <c r="L7089" t="s">
        <v>31</v>
      </c>
      <c r="M7089" t="s">
        <v>48</v>
      </c>
      <c r="N7089" t="s">
        <v>4</v>
      </c>
      <c r="O7089" t="s">
        <v>188</v>
      </c>
      <c r="P7089" s="1" t="s">
        <v>34</v>
      </c>
      <c r="Q7089">
        <v>167.4</v>
      </c>
    </row>
    <row r="7090" spans="11:17" x14ac:dyDescent="0.3">
      <c r="K7090">
        <v>2020</v>
      </c>
      <c r="L7090" t="s">
        <v>31</v>
      </c>
      <c r="M7090" t="s">
        <v>48</v>
      </c>
      <c r="N7090" t="s">
        <v>4</v>
      </c>
      <c r="O7090" t="s">
        <v>188</v>
      </c>
      <c r="P7090" s="1" t="s">
        <v>33</v>
      </c>
      <c r="Q7090">
        <v>167.6</v>
      </c>
    </row>
    <row r="7091" spans="11:17" x14ac:dyDescent="0.3">
      <c r="K7091">
        <v>2020</v>
      </c>
      <c r="L7091" t="s">
        <v>31</v>
      </c>
      <c r="M7091" t="s">
        <v>48</v>
      </c>
      <c r="N7091" t="s">
        <v>6</v>
      </c>
      <c r="O7091" t="s">
        <v>188</v>
      </c>
      <c r="P7091" s="1" t="s">
        <v>30</v>
      </c>
      <c r="Q7091">
        <v>150.5</v>
      </c>
    </row>
    <row r="7092" spans="11:17" x14ac:dyDescent="0.3">
      <c r="K7092">
        <v>2020</v>
      </c>
      <c r="L7092" t="s">
        <v>31</v>
      </c>
      <c r="M7092" t="s">
        <v>48</v>
      </c>
      <c r="N7092" t="s">
        <v>6</v>
      </c>
      <c r="O7092" t="s">
        <v>188</v>
      </c>
      <c r="P7092" s="1" t="s">
        <v>34</v>
      </c>
      <c r="Q7092">
        <v>150.1</v>
      </c>
    </row>
    <row r="7093" spans="11:17" x14ac:dyDescent="0.3">
      <c r="K7093">
        <v>2020</v>
      </c>
      <c r="L7093" t="s">
        <v>31</v>
      </c>
      <c r="M7093" t="s">
        <v>48</v>
      </c>
      <c r="N7093" t="s">
        <v>6</v>
      </c>
      <c r="O7093" t="s">
        <v>188</v>
      </c>
      <c r="P7093" s="1" t="s">
        <v>33</v>
      </c>
      <c r="Q7093">
        <v>149.30000000000001</v>
      </c>
    </row>
    <row r="7094" spans="11:17" x14ac:dyDescent="0.3">
      <c r="K7094">
        <v>2020</v>
      </c>
      <c r="L7094" t="s">
        <v>31</v>
      </c>
      <c r="M7094" t="s">
        <v>48</v>
      </c>
      <c r="N7094" t="s">
        <v>28</v>
      </c>
      <c r="O7094" t="s">
        <v>192</v>
      </c>
      <c r="P7094" s="1" t="s">
        <v>30</v>
      </c>
      <c r="Q7094">
        <v>148.1</v>
      </c>
    </row>
    <row r="7095" spans="11:17" x14ac:dyDescent="0.3">
      <c r="K7095">
        <v>2020</v>
      </c>
      <c r="L7095" t="s">
        <v>31</v>
      </c>
      <c r="M7095" t="s">
        <v>48</v>
      </c>
      <c r="N7095" t="s">
        <v>28</v>
      </c>
      <c r="O7095" t="s">
        <v>192</v>
      </c>
      <c r="P7095" s="1" t="s">
        <v>34</v>
      </c>
      <c r="Q7095">
        <v>143.4</v>
      </c>
    </row>
    <row r="7096" spans="11:17" x14ac:dyDescent="0.3">
      <c r="K7096">
        <v>2020</v>
      </c>
      <c r="L7096" t="s">
        <v>31</v>
      </c>
      <c r="M7096" t="s">
        <v>48</v>
      </c>
      <c r="N7096" t="s">
        <v>28</v>
      </c>
      <c r="O7096" t="s">
        <v>192</v>
      </c>
      <c r="P7096" s="1" t="s">
        <v>33</v>
      </c>
      <c r="Q7096">
        <v>138.4</v>
      </c>
    </row>
    <row r="7097" spans="11:17" x14ac:dyDescent="0.3">
      <c r="K7097">
        <v>2020</v>
      </c>
      <c r="L7097" t="s">
        <v>31</v>
      </c>
      <c r="M7097" t="s">
        <v>48</v>
      </c>
      <c r="N7097" t="s">
        <v>13</v>
      </c>
      <c r="O7097" t="s">
        <v>188</v>
      </c>
      <c r="P7097" s="1" t="s">
        <v>30</v>
      </c>
      <c r="Q7097">
        <v>139.69999999999999</v>
      </c>
    </row>
    <row r="7098" spans="11:17" x14ac:dyDescent="0.3">
      <c r="K7098">
        <v>2020</v>
      </c>
      <c r="L7098" t="s">
        <v>31</v>
      </c>
      <c r="M7098" t="s">
        <v>48</v>
      </c>
      <c r="N7098" t="s">
        <v>13</v>
      </c>
      <c r="O7098" t="s">
        <v>188</v>
      </c>
      <c r="P7098" s="1" t="s">
        <v>34</v>
      </c>
      <c r="Q7098">
        <v>136.1</v>
      </c>
    </row>
    <row r="7099" spans="11:17" x14ac:dyDescent="0.3">
      <c r="K7099">
        <v>2020</v>
      </c>
      <c r="L7099" t="s">
        <v>31</v>
      </c>
      <c r="M7099" t="s">
        <v>48</v>
      </c>
      <c r="N7099" t="s">
        <v>13</v>
      </c>
      <c r="O7099" t="s">
        <v>188</v>
      </c>
      <c r="P7099" s="1" t="s">
        <v>33</v>
      </c>
      <c r="Q7099">
        <v>131.1</v>
      </c>
    </row>
    <row r="7100" spans="11:17" x14ac:dyDescent="0.3">
      <c r="K7100">
        <v>2020</v>
      </c>
      <c r="L7100" t="s">
        <v>31</v>
      </c>
      <c r="M7100" t="s">
        <v>48</v>
      </c>
      <c r="N7100" t="s">
        <v>7</v>
      </c>
      <c r="O7100" t="s">
        <v>188</v>
      </c>
      <c r="P7100" s="1" t="s">
        <v>30</v>
      </c>
      <c r="Q7100">
        <v>132</v>
      </c>
    </row>
    <row r="7101" spans="11:17" x14ac:dyDescent="0.3">
      <c r="K7101">
        <v>2020</v>
      </c>
      <c r="L7101" t="s">
        <v>31</v>
      </c>
      <c r="M7101" t="s">
        <v>48</v>
      </c>
      <c r="N7101" t="s">
        <v>7</v>
      </c>
      <c r="O7101" t="s">
        <v>188</v>
      </c>
      <c r="P7101" s="1" t="s">
        <v>34</v>
      </c>
      <c r="Q7101">
        <v>129.9</v>
      </c>
    </row>
    <row r="7102" spans="11:17" x14ac:dyDescent="0.3">
      <c r="K7102">
        <v>2020</v>
      </c>
      <c r="L7102" t="s">
        <v>31</v>
      </c>
      <c r="M7102" t="s">
        <v>48</v>
      </c>
      <c r="N7102" t="s">
        <v>7</v>
      </c>
      <c r="O7102" t="s">
        <v>188</v>
      </c>
      <c r="P7102" s="1" t="s">
        <v>33</v>
      </c>
      <c r="Q7102">
        <v>126.3</v>
      </c>
    </row>
    <row r="7103" spans="11:17" x14ac:dyDescent="0.3">
      <c r="K7103">
        <v>2020</v>
      </c>
      <c r="L7103" t="s">
        <v>31</v>
      </c>
      <c r="M7103" t="s">
        <v>48</v>
      </c>
      <c r="N7103" t="s">
        <v>16</v>
      </c>
      <c r="O7103" t="s">
        <v>192</v>
      </c>
      <c r="P7103" s="1" t="s">
        <v>30</v>
      </c>
      <c r="Q7103">
        <v>168.6</v>
      </c>
    </row>
    <row r="7104" spans="11:17" x14ac:dyDescent="0.3">
      <c r="K7104">
        <v>2020</v>
      </c>
      <c r="L7104" t="s">
        <v>31</v>
      </c>
      <c r="M7104" t="s">
        <v>48</v>
      </c>
      <c r="N7104" t="s">
        <v>16</v>
      </c>
      <c r="O7104" t="s">
        <v>192</v>
      </c>
      <c r="P7104" s="1" t="s">
        <v>34</v>
      </c>
      <c r="Q7104">
        <v>169.2</v>
      </c>
    </row>
    <row r="7105" spans="11:17" x14ac:dyDescent="0.3">
      <c r="K7105">
        <v>2020</v>
      </c>
      <c r="L7105" t="s">
        <v>31</v>
      </c>
      <c r="M7105" t="s">
        <v>48</v>
      </c>
      <c r="N7105" t="s">
        <v>16</v>
      </c>
      <c r="O7105" t="s">
        <v>192</v>
      </c>
      <c r="P7105" s="1" t="s">
        <v>33</v>
      </c>
      <c r="Q7105">
        <v>170.8</v>
      </c>
    </row>
    <row r="7106" spans="11:17" x14ac:dyDescent="0.3">
      <c r="K7106">
        <v>2020</v>
      </c>
      <c r="L7106" t="s">
        <v>31</v>
      </c>
      <c r="M7106" t="s">
        <v>48</v>
      </c>
      <c r="N7106" t="s">
        <v>27</v>
      </c>
      <c r="O7106" t="s">
        <v>192</v>
      </c>
      <c r="P7106" s="1" t="s">
        <v>30</v>
      </c>
      <c r="Q7106">
        <v>142.5</v>
      </c>
    </row>
    <row r="7107" spans="11:17" x14ac:dyDescent="0.3">
      <c r="K7107">
        <v>2020</v>
      </c>
      <c r="L7107" t="s">
        <v>31</v>
      </c>
      <c r="M7107" t="s">
        <v>48</v>
      </c>
      <c r="N7107" t="s">
        <v>27</v>
      </c>
      <c r="O7107" t="s">
        <v>192</v>
      </c>
      <c r="P7107" s="1" t="s">
        <v>34</v>
      </c>
      <c r="Q7107">
        <v>142.30000000000001</v>
      </c>
    </row>
    <row r="7108" spans="11:17" x14ac:dyDescent="0.3">
      <c r="K7108">
        <v>2020</v>
      </c>
      <c r="L7108" t="s">
        <v>31</v>
      </c>
      <c r="M7108" t="s">
        <v>48</v>
      </c>
      <c r="N7108" t="s">
        <v>27</v>
      </c>
      <c r="O7108" t="s">
        <v>192</v>
      </c>
      <c r="P7108" s="1" t="s">
        <v>33</v>
      </c>
      <c r="Q7108">
        <v>142.1</v>
      </c>
    </row>
    <row r="7109" spans="11:17" x14ac:dyDescent="0.3">
      <c r="K7109">
        <v>2020</v>
      </c>
      <c r="L7109" t="s">
        <v>31</v>
      </c>
      <c r="M7109" t="s">
        <v>48</v>
      </c>
      <c r="N7109" t="s">
        <v>14</v>
      </c>
      <c r="O7109" t="s">
        <v>188</v>
      </c>
      <c r="P7109" s="1" t="s">
        <v>30</v>
      </c>
      <c r="Q7109">
        <v>158.69999999999999</v>
      </c>
    </row>
    <row r="7110" spans="11:17" x14ac:dyDescent="0.3">
      <c r="K7110">
        <v>2020</v>
      </c>
      <c r="L7110" t="s">
        <v>31</v>
      </c>
      <c r="M7110" t="s">
        <v>48</v>
      </c>
      <c r="N7110" t="s">
        <v>14</v>
      </c>
      <c r="O7110" t="s">
        <v>188</v>
      </c>
      <c r="P7110" s="1" t="s">
        <v>34</v>
      </c>
      <c r="Q7110">
        <v>158.6</v>
      </c>
    </row>
    <row r="7111" spans="11:17" x14ac:dyDescent="0.3">
      <c r="K7111">
        <v>2020</v>
      </c>
      <c r="L7111" t="s">
        <v>31</v>
      </c>
      <c r="M7111" t="s">
        <v>48</v>
      </c>
      <c r="N7111" t="s">
        <v>14</v>
      </c>
      <c r="O7111" t="s">
        <v>188</v>
      </c>
      <c r="P7111" s="1" t="s">
        <v>33</v>
      </c>
      <c r="Q7111">
        <v>158.5</v>
      </c>
    </row>
    <row r="7112" spans="11:17" x14ac:dyDescent="0.3">
      <c r="K7112">
        <v>2020</v>
      </c>
      <c r="L7112" t="s">
        <v>31</v>
      </c>
      <c r="M7112" t="s">
        <v>48</v>
      </c>
      <c r="N7112" t="s">
        <v>10</v>
      </c>
      <c r="O7112" t="s">
        <v>188</v>
      </c>
      <c r="P7112" s="1" t="s">
        <v>30</v>
      </c>
      <c r="Q7112">
        <v>141.1</v>
      </c>
    </row>
    <row r="7113" spans="11:17" x14ac:dyDescent="0.3">
      <c r="K7113">
        <v>2020</v>
      </c>
      <c r="L7113" t="s">
        <v>31</v>
      </c>
      <c r="M7113" t="s">
        <v>48</v>
      </c>
      <c r="N7113" t="s">
        <v>10</v>
      </c>
      <c r="O7113" t="s">
        <v>188</v>
      </c>
      <c r="P7113" s="1" t="s">
        <v>34</v>
      </c>
      <c r="Q7113">
        <v>140.4</v>
      </c>
    </row>
    <row r="7114" spans="11:17" x14ac:dyDescent="0.3">
      <c r="K7114">
        <v>2020</v>
      </c>
      <c r="L7114" t="s">
        <v>31</v>
      </c>
      <c r="M7114" t="s">
        <v>48</v>
      </c>
      <c r="N7114" t="s">
        <v>10</v>
      </c>
      <c r="O7114" t="s">
        <v>188</v>
      </c>
      <c r="P7114" s="1" t="s">
        <v>33</v>
      </c>
      <c r="Q7114">
        <v>139.1</v>
      </c>
    </row>
    <row r="7115" spans="11:17" x14ac:dyDescent="0.3">
      <c r="K7115">
        <v>2020</v>
      </c>
      <c r="L7115" t="s">
        <v>31</v>
      </c>
      <c r="M7115" t="s">
        <v>48</v>
      </c>
      <c r="N7115" t="s">
        <v>25</v>
      </c>
      <c r="O7115" t="s">
        <v>195</v>
      </c>
      <c r="P7115" s="1" t="s">
        <v>30</v>
      </c>
      <c r="Q7115">
        <v>150.1</v>
      </c>
    </row>
    <row r="7116" spans="11:17" x14ac:dyDescent="0.3">
      <c r="K7116">
        <v>2020</v>
      </c>
      <c r="L7116" t="s">
        <v>31</v>
      </c>
      <c r="M7116" t="s">
        <v>48</v>
      </c>
      <c r="N7116" t="s">
        <v>25</v>
      </c>
      <c r="O7116" t="s">
        <v>195</v>
      </c>
      <c r="P7116" s="1" t="s">
        <v>34</v>
      </c>
      <c r="Q7116">
        <v>142.80000000000001</v>
      </c>
    </row>
    <row r="7117" spans="11:17" x14ac:dyDescent="0.3">
      <c r="K7117">
        <v>2020</v>
      </c>
      <c r="L7117" t="s">
        <v>31</v>
      </c>
      <c r="M7117" t="s">
        <v>48</v>
      </c>
      <c r="N7117" t="s">
        <v>25</v>
      </c>
      <c r="O7117" t="s">
        <v>195</v>
      </c>
      <c r="P7117" s="1" t="s">
        <v>33</v>
      </c>
      <c r="Q7117">
        <v>137.19999999999999</v>
      </c>
    </row>
    <row r="7118" spans="11:17" x14ac:dyDescent="0.3">
      <c r="K7118">
        <v>2020</v>
      </c>
      <c r="L7118" t="s">
        <v>31</v>
      </c>
      <c r="M7118" t="s">
        <v>48</v>
      </c>
      <c r="N7118" t="s">
        <v>12</v>
      </c>
      <c r="O7118" t="s">
        <v>188</v>
      </c>
      <c r="P7118" s="1" t="s">
        <v>30</v>
      </c>
      <c r="Q7118">
        <v>151.6</v>
      </c>
    </row>
    <row r="7119" spans="11:17" x14ac:dyDescent="0.3">
      <c r="K7119">
        <v>2020</v>
      </c>
      <c r="L7119" t="s">
        <v>31</v>
      </c>
      <c r="M7119" t="s">
        <v>48</v>
      </c>
      <c r="N7119" t="s">
        <v>12</v>
      </c>
      <c r="O7119" t="s">
        <v>188</v>
      </c>
      <c r="P7119" s="1" t="s">
        <v>34</v>
      </c>
      <c r="Q7119">
        <v>150.9</v>
      </c>
    </row>
    <row r="7120" spans="11:17" x14ac:dyDescent="0.3">
      <c r="K7120">
        <v>2020</v>
      </c>
      <c r="L7120" t="s">
        <v>31</v>
      </c>
      <c r="M7120" t="s">
        <v>48</v>
      </c>
      <c r="N7120" t="s">
        <v>12</v>
      </c>
      <c r="O7120" t="s">
        <v>188</v>
      </c>
      <c r="P7120" s="1" t="s">
        <v>33</v>
      </c>
      <c r="Q7120">
        <v>149.5</v>
      </c>
    </row>
    <row r="7121" spans="11:17" x14ac:dyDescent="0.3">
      <c r="K7121">
        <v>2020</v>
      </c>
      <c r="L7121" t="s">
        <v>31</v>
      </c>
      <c r="M7121" t="s">
        <v>48</v>
      </c>
      <c r="N7121" t="s">
        <v>11</v>
      </c>
      <c r="O7121" t="s">
        <v>188</v>
      </c>
      <c r="P7121" s="1" t="s">
        <v>30</v>
      </c>
      <c r="Q7121">
        <v>113.8</v>
      </c>
    </row>
    <row r="7122" spans="11:17" x14ac:dyDescent="0.3">
      <c r="K7122">
        <v>2020</v>
      </c>
      <c r="L7122" t="s">
        <v>31</v>
      </c>
      <c r="M7122" t="s">
        <v>48</v>
      </c>
      <c r="N7122" t="s">
        <v>11</v>
      </c>
      <c r="O7122" t="s">
        <v>188</v>
      </c>
      <c r="P7122" s="1" t="s">
        <v>34</v>
      </c>
      <c r="Q7122">
        <v>114.1</v>
      </c>
    </row>
    <row r="7123" spans="11:17" x14ac:dyDescent="0.3">
      <c r="K7123">
        <v>2020</v>
      </c>
      <c r="L7123" t="s">
        <v>31</v>
      </c>
      <c r="M7123" t="s">
        <v>48</v>
      </c>
      <c r="N7123" t="s">
        <v>11</v>
      </c>
      <c r="O7123" t="s">
        <v>188</v>
      </c>
      <c r="P7123" s="1" t="s">
        <v>33</v>
      </c>
      <c r="Q7123">
        <v>114.8</v>
      </c>
    </row>
    <row r="7124" spans="11:17" x14ac:dyDescent="0.3">
      <c r="K7124">
        <v>2020</v>
      </c>
      <c r="L7124" t="s">
        <v>31</v>
      </c>
      <c r="M7124" t="s">
        <v>48</v>
      </c>
      <c r="N7124" t="s">
        <v>24</v>
      </c>
      <c r="O7124" t="s">
        <v>191</v>
      </c>
      <c r="P7124" s="1" t="s">
        <v>30</v>
      </c>
      <c r="Q7124">
        <v>136.30000000000001</v>
      </c>
    </row>
    <row r="7125" spans="11:17" x14ac:dyDescent="0.3">
      <c r="K7125">
        <v>2020</v>
      </c>
      <c r="L7125" t="s">
        <v>31</v>
      </c>
      <c r="M7125" t="s">
        <v>48</v>
      </c>
      <c r="N7125" t="s">
        <v>24</v>
      </c>
      <c r="O7125" t="s">
        <v>191</v>
      </c>
      <c r="P7125" s="1" t="s">
        <v>34</v>
      </c>
      <c r="Q7125">
        <v>130.9</v>
      </c>
    </row>
    <row r="7126" spans="11:17" x14ac:dyDescent="0.3">
      <c r="K7126">
        <v>2020</v>
      </c>
      <c r="L7126" t="s">
        <v>31</v>
      </c>
      <c r="M7126" t="s">
        <v>48</v>
      </c>
      <c r="N7126" t="s">
        <v>24</v>
      </c>
      <c r="O7126" t="s">
        <v>191</v>
      </c>
      <c r="P7126" s="1" t="s">
        <v>33</v>
      </c>
      <c r="Q7126">
        <v>126.1</v>
      </c>
    </row>
    <row r="7127" spans="11:17" x14ac:dyDescent="0.3">
      <c r="K7127">
        <v>2020</v>
      </c>
      <c r="L7127" t="s">
        <v>31</v>
      </c>
      <c r="M7127" t="s">
        <v>48</v>
      </c>
      <c r="N7127" t="s">
        <v>9</v>
      </c>
      <c r="O7127" t="s">
        <v>188</v>
      </c>
      <c r="P7127" s="1" t="s">
        <v>30</v>
      </c>
      <c r="Q7127">
        <v>191.5</v>
      </c>
    </row>
    <row r="7128" spans="11:17" x14ac:dyDescent="0.3">
      <c r="K7128">
        <v>2020</v>
      </c>
      <c r="L7128" t="s">
        <v>31</v>
      </c>
      <c r="M7128" t="s">
        <v>48</v>
      </c>
      <c r="N7128" t="s">
        <v>9</v>
      </c>
      <c r="O7128" t="s">
        <v>188</v>
      </c>
      <c r="P7128" s="1" t="s">
        <v>34</v>
      </c>
      <c r="Q7128">
        <v>197</v>
      </c>
    </row>
    <row r="7129" spans="11:17" x14ac:dyDescent="0.3">
      <c r="K7129">
        <v>2020</v>
      </c>
      <c r="L7129" t="s">
        <v>31</v>
      </c>
      <c r="M7129" t="s">
        <v>48</v>
      </c>
      <c r="N7129" t="s">
        <v>9</v>
      </c>
      <c r="O7129" t="s">
        <v>188</v>
      </c>
      <c r="P7129" s="1" t="s">
        <v>33</v>
      </c>
      <c r="Q7129">
        <v>207.8</v>
      </c>
    </row>
    <row r="7130" spans="11:17" x14ac:dyDescent="0.3">
      <c r="K7130">
        <v>2020</v>
      </c>
      <c r="L7130" t="s">
        <v>40</v>
      </c>
      <c r="M7130" t="s">
        <v>139</v>
      </c>
      <c r="N7130" t="s">
        <v>3</v>
      </c>
      <c r="O7130" t="s">
        <v>188</v>
      </c>
      <c r="P7130" s="1" t="s">
        <v>30</v>
      </c>
      <c r="Q7130">
        <v>148.19999999999999</v>
      </c>
    </row>
    <row r="7131" spans="11:17" x14ac:dyDescent="0.3">
      <c r="K7131">
        <v>2020</v>
      </c>
      <c r="L7131" t="s">
        <v>40</v>
      </c>
      <c r="M7131" t="s">
        <v>139</v>
      </c>
      <c r="N7131" t="s">
        <v>3</v>
      </c>
      <c r="O7131" t="s">
        <v>188</v>
      </c>
      <c r="P7131" s="1" t="s">
        <v>34</v>
      </c>
      <c r="Q7131">
        <v>149.6</v>
      </c>
    </row>
    <row r="7132" spans="11:17" x14ac:dyDescent="0.3">
      <c r="K7132">
        <v>2020</v>
      </c>
      <c r="L7132" t="s">
        <v>40</v>
      </c>
      <c r="M7132" t="s">
        <v>139</v>
      </c>
      <c r="N7132" t="s">
        <v>3</v>
      </c>
      <c r="O7132" t="s">
        <v>188</v>
      </c>
      <c r="P7132" s="1" t="s">
        <v>33</v>
      </c>
      <c r="Q7132">
        <v>152.69999999999999</v>
      </c>
    </row>
    <row r="7133" spans="11:17" x14ac:dyDescent="0.3">
      <c r="K7133">
        <v>2020</v>
      </c>
      <c r="L7133" t="s">
        <v>40</v>
      </c>
      <c r="M7133" t="s">
        <v>139</v>
      </c>
      <c r="N7133" t="s">
        <v>17</v>
      </c>
      <c r="O7133" t="s">
        <v>189</v>
      </c>
      <c r="P7133" s="1" t="s">
        <v>30</v>
      </c>
      <c r="Q7133">
        <v>154.69999999999999</v>
      </c>
    </row>
    <row r="7134" spans="11:17" x14ac:dyDescent="0.3">
      <c r="K7134">
        <v>2020</v>
      </c>
      <c r="L7134" t="s">
        <v>40</v>
      </c>
      <c r="M7134" t="s">
        <v>139</v>
      </c>
      <c r="N7134" t="s">
        <v>17</v>
      </c>
      <c r="O7134" t="s">
        <v>189</v>
      </c>
      <c r="P7134" s="1" t="s">
        <v>34</v>
      </c>
      <c r="Q7134">
        <v>152.5</v>
      </c>
    </row>
    <row r="7135" spans="11:17" x14ac:dyDescent="0.3">
      <c r="K7135">
        <v>2020</v>
      </c>
      <c r="L7135" t="s">
        <v>40</v>
      </c>
      <c r="M7135" t="s">
        <v>139</v>
      </c>
      <c r="N7135" t="s">
        <v>17</v>
      </c>
      <c r="O7135" t="s">
        <v>189</v>
      </c>
      <c r="P7135" s="1" t="s">
        <v>33</v>
      </c>
      <c r="Q7135">
        <v>149.1</v>
      </c>
    </row>
    <row r="7136" spans="11:17" x14ac:dyDescent="0.3">
      <c r="K7136">
        <v>2020</v>
      </c>
      <c r="L7136" t="s">
        <v>40</v>
      </c>
      <c r="M7136" t="s">
        <v>139</v>
      </c>
      <c r="N7136" t="s">
        <v>19</v>
      </c>
      <c r="O7136" t="s">
        <v>189</v>
      </c>
      <c r="P7136" s="1" t="s">
        <v>30</v>
      </c>
      <c r="Q7136">
        <v>154.1</v>
      </c>
    </row>
    <row r="7137" spans="11:17" x14ac:dyDescent="0.3">
      <c r="K7137">
        <v>2020</v>
      </c>
      <c r="L7137" t="s">
        <v>40</v>
      </c>
      <c r="M7137" t="s">
        <v>139</v>
      </c>
      <c r="N7137" t="s">
        <v>19</v>
      </c>
      <c r="O7137" t="s">
        <v>189</v>
      </c>
      <c r="P7137" s="1" t="s">
        <v>34</v>
      </c>
      <c r="Q7137">
        <v>151.4</v>
      </c>
    </row>
    <row r="7138" spans="11:17" x14ac:dyDescent="0.3">
      <c r="K7138">
        <v>2020</v>
      </c>
      <c r="L7138" t="s">
        <v>40</v>
      </c>
      <c r="M7138" t="s">
        <v>139</v>
      </c>
      <c r="N7138" t="s">
        <v>19</v>
      </c>
      <c r="O7138" t="s">
        <v>189</v>
      </c>
      <c r="P7138" s="1" t="s">
        <v>33</v>
      </c>
      <c r="Q7138">
        <v>147.19999999999999</v>
      </c>
    </row>
    <row r="7139" spans="11:17" x14ac:dyDescent="0.3">
      <c r="K7139">
        <v>2020</v>
      </c>
      <c r="L7139" t="s">
        <v>40</v>
      </c>
      <c r="M7139" t="s">
        <v>139</v>
      </c>
      <c r="N7139" t="s">
        <v>26</v>
      </c>
      <c r="O7139" t="s">
        <v>26</v>
      </c>
      <c r="P7139" s="1" t="s">
        <v>30</v>
      </c>
      <c r="Q7139">
        <v>161.80000000000001</v>
      </c>
    </row>
    <row r="7140" spans="11:17" x14ac:dyDescent="0.3">
      <c r="K7140">
        <v>2020</v>
      </c>
      <c r="L7140" t="s">
        <v>40</v>
      </c>
      <c r="M7140" t="s">
        <v>139</v>
      </c>
      <c r="N7140" t="s">
        <v>26</v>
      </c>
      <c r="O7140" t="s">
        <v>26</v>
      </c>
      <c r="P7140" s="1" t="s">
        <v>34</v>
      </c>
      <c r="Q7140">
        <v>156.4</v>
      </c>
    </row>
    <row r="7141" spans="11:17" x14ac:dyDescent="0.3">
      <c r="K7141">
        <v>2020</v>
      </c>
      <c r="L7141" t="s">
        <v>40</v>
      </c>
      <c r="M7141" t="s">
        <v>139</v>
      </c>
      <c r="N7141" t="s">
        <v>26</v>
      </c>
      <c r="O7141" t="s">
        <v>26</v>
      </c>
      <c r="P7141" s="1" t="s">
        <v>33</v>
      </c>
      <c r="Q7141">
        <v>152.5</v>
      </c>
    </row>
    <row r="7142" spans="11:17" x14ac:dyDescent="0.3">
      <c r="K7142">
        <v>2020</v>
      </c>
      <c r="L7142" t="s">
        <v>40</v>
      </c>
      <c r="M7142" t="s">
        <v>139</v>
      </c>
      <c r="N7142" t="s">
        <v>5</v>
      </c>
      <c r="O7142" t="s">
        <v>188</v>
      </c>
      <c r="P7142" s="1" t="s">
        <v>30</v>
      </c>
      <c r="Q7142">
        <v>149.4</v>
      </c>
    </row>
    <row r="7143" spans="11:17" x14ac:dyDescent="0.3">
      <c r="K7143">
        <v>2020</v>
      </c>
      <c r="L7143" t="s">
        <v>40</v>
      </c>
      <c r="M7143" t="s">
        <v>139</v>
      </c>
      <c r="N7143" t="s">
        <v>5</v>
      </c>
      <c r="O7143" t="s">
        <v>188</v>
      </c>
      <c r="P7143" s="1" t="s">
        <v>34</v>
      </c>
      <c r="Q7143">
        <v>151.4</v>
      </c>
    </row>
    <row r="7144" spans="11:17" x14ac:dyDescent="0.3">
      <c r="K7144">
        <v>2020</v>
      </c>
      <c r="L7144" t="s">
        <v>40</v>
      </c>
      <c r="M7144" t="s">
        <v>139</v>
      </c>
      <c r="N7144" t="s">
        <v>5</v>
      </c>
      <c r="O7144" t="s">
        <v>188</v>
      </c>
      <c r="P7144" s="1" t="s">
        <v>33</v>
      </c>
      <c r="Q7144">
        <v>154.6</v>
      </c>
    </row>
    <row r="7145" spans="11:17" x14ac:dyDescent="0.3">
      <c r="K7145">
        <v>2020</v>
      </c>
      <c r="L7145" t="s">
        <v>40</v>
      </c>
      <c r="M7145" t="s">
        <v>139</v>
      </c>
      <c r="N7145" t="s">
        <v>15</v>
      </c>
      <c r="O7145" t="s">
        <v>188</v>
      </c>
      <c r="P7145" s="1" t="s">
        <v>30</v>
      </c>
      <c r="Q7145">
        <v>152.30000000000001</v>
      </c>
    </row>
    <row r="7146" spans="11:17" x14ac:dyDescent="0.3">
      <c r="K7146">
        <v>2020</v>
      </c>
      <c r="L7146" t="s">
        <v>40</v>
      </c>
      <c r="M7146" t="s">
        <v>139</v>
      </c>
      <c r="N7146" t="s">
        <v>15</v>
      </c>
      <c r="O7146" t="s">
        <v>188</v>
      </c>
      <c r="P7146" s="1" t="s">
        <v>34</v>
      </c>
      <c r="Q7146">
        <v>154</v>
      </c>
    </row>
    <row r="7147" spans="11:17" x14ac:dyDescent="0.3">
      <c r="K7147">
        <v>2020</v>
      </c>
      <c r="L7147" t="s">
        <v>40</v>
      </c>
      <c r="M7147" t="s">
        <v>139</v>
      </c>
      <c r="N7147" t="s">
        <v>15</v>
      </c>
      <c r="O7147" t="s">
        <v>188</v>
      </c>
      <c r="P7147" s="1" t="s">
        <v>33</v>
      </c>
      <c r="Q7147">
        <v>157</v>
      </c>
    </row>
    <row r="7148" spans="11:17" x14ac:dyDescent="0.3">
      <c r="K7148">
        <v>2020</v>
      </c>
      <c r="L7148" t="s">
        <v>40</v>
      </c>
      <c r="M7148" t="s">
        <v>139</v>
      </c>
      <c r="N7148" t="s">
        <v>18</v>
      </c>
      <c r="O7148" t="s">
        <v>189</v>
      </c>
      <c r="P7148" s="1" t="s">
        <v>30</v>
      </c>
      <c r="Q7148">
        <v>150</v>
      </c>
    </row>
    <row r="7149" spans="11:17" x14ac:dyDescent="0.3">
      <c r="K7149">
        <v>2020</v>
      </c>
      <c r="L7149" t="s">
        <v>40</v>
      </c>
      <c r="M7149" t="s">
        <v>139</v>
      </c>
      <c r="N7149" t="s">
        <v>18</v>
      </c>
      <c r="O7149" t="s">
        <v>189</v>
      </c>
      <c r="P7149" s="1" t="s">
        <v>34</v>
      </c>
      <c r="Q7149">
        <v>144.4</v>
      </c>
    </row>
    <row r="7150" spans="11:17" x14ac:dyDescent="0.3">
      <c r="K7150">
        <v>2020</v>
      </c>
      <c r="L7150" t="s">
        <v>40</v>
      </c>
      <c r="M7150" t="s">
        <v>139</v>
      </c>
      <c r="N7150" t="s">
        <v>18</v>
      </c>
      <c r="O7150" t="s">
        <v>189</v>
      </c>
      <c r="P7150" s="1" t="s">
        <v>33</v>
      </c>
      <c r="Q7150">
        <v>136.6</v>
      </c>
    </row>
    <row r="7151" spans="11:17" x14ac:dyDescent="0.3">
      <c r="K7151">
        <v>2020</v>
      </c>
      <c r="L7151" t="s">
        <v>40</v>
      </c>
      <c r="M7151" t="s">
        <v>139</v>
      </c>
      <c r="N7151" t="s">
        <v>8</v>
      </c>
      <c r="O7151" t="s">
        <v>188</v>
      </c>
      <c r="P7151" s="1" t="s">
        <v>30</v>
      </c>
      <c r="Q7151">
        <v>143.19999999999999</v>
      </c>
    </row>
    <row r="7152" spans="11:17" x14ac:dyDescent="0.3">
      <c r="K7152">
        <v>2020</v>
      </c>
      <c r="L7152" t="s">
        <v>40</v>
      </c>
      <c r="M7152" t="s">
        <v>139</v>
      </c>
      <c r="N7152" t="s">
        <v>8</v>
      </c>
      <c r="O7152" t="s">
        <v>188</v>
      </c>
      <c r="P7152" s="1" t="s">
        <v>34</v>
      </c>
      <c r="Q7152">
        <v>147.19999999999999</v>
      </c>
    </row>
    <row r="7153" spans="11:17" x14ac:dyDescent="0.3">
      <c r="K7153">
        <v>2020</v>
      </c>
      <c r="L7153" t="s">
        <v>40</v>
      </c>
      <c r="M7153" t="s">
        <v>139</v>
      </c>
      <c r="N7153" t="s">
        <v>8</v>
      </c>
      <c r="O7153" t="s">
        <v>188</v>
      </c>
      <c r="P7153" s="1" t="s">
        <v>33</v>
      </c>
      <c r="Q7153">
        <v>151.80000000000001</v>
      </c>
    </row>
    <row r="7154" spans="11:17" x14ac:dyDescent="0.3">
      <c r="K7154">
        <v>2020</v>
      </c>
      <c r="L7154" t="s">
        <v>40</v>
      </c>
      <c r="M7154" t="s">
        <v>139</v>
      </c>
      <c r="N7154" t="s">
        <v>21</v>
      </c>
      <c r="O7154" t="s">
        <v>190</v>
      </c>
      <c r="P7154" s="1" t="s">
        <v>30</v>
      </c>
      <c r="Q7154">
        <v>144.9</v>
      </c>
    </row>
    <row r="7155" spans="11:17" x14ac:dyDescent="0.3">
      <c r="K7155">
        <v>2020</v>
      </c>
      <c r="L7155" t="s">
        <v>40</v>
      </c>
      <c r="M7155" t="s">
        <v>139</v>
      </c>
      <c r="N7155" t="s">
        <v>21</v>
      </c>
      <c r="O7155" t="s">
        <v>190</v>
      </c>
      <c r="P7155" s="1" t="s">
        <v>34</v>
      </c>
      <c r="Q7155">
        <v>141.9</v>
      </c>
    </row>
    <row r="7156" spans="11:17" x14ac:dyDescent="0.3">
      <c r="K7156">
        <v>2020</v>
      </c>
      <c r="L7156" t="s">
        <v>40</v>
      </c>
      <c r="M7156" t="s">
        <v>139</v>
      </c>
      <c r="N7156" t="s">
        <v>21</v>
      </c>
      <c r="O7156" t="s">
        <v>190</v>
      </c>
      <c r="P7156" s="1" t="s">
        <v>33</v>
      </c>
      <c r="Q7156">
        <v>137.1</v>
      </c>
    </row>
    <row r="7157" spans="11:17" x14ac:dyDescent="0.3">
      <c r="K7157">
        <v>2020</v>
      </c>
      <c r="L7157" t="s">
        <v>40</v>
      </c>
      <c r="M7157" t="s">
        <v>139</v>
      </c>
      <c r="N7157" t="s">
        <v>29</v>
      </c>
      <c r="O7157" t="s">
        <v>206</v>
      </c>
      <c r="P7157" s="1" t="s">
        <v>30</v>
      </c>
      <c r="Q7157">
        <v>152.69999999999999</v>
      </c>
    </row>
    <row r="7158" spans="11:17" x14ac:dyDescent="0.3">
      <c r="K7158">
        <v>2020</v>
      </c>
      <c r="L7158" t="s">
        <v>40</v>
      </c>
      <c r="M7158" t="s">
        <v>139</v>
      </c>
      <c r="N7158" t="s">
        <v>29</v>
      </c>
      <c r="O7158" t="s">
        <v>206</v>
      </c>
      <c r="P7158" s="1" t="s">
        <v>34</v>
      </c>
      <c r="Q7158">
        <v>151.80000000000001</v>
      </c>
    </row>
    <row r="7159" spans="11:17" x14ac:dyDescent="0.3">
      <c r="K7159">
        <v>2020</v>
      </c>
      <c r="L7159" t="s">
        <v>40</v>
      </c>
      <c r="M7159" t="s">
        <v>139</v>
      </c>
      <c r="N7159" t="s">
        <v>29</v>
      </c>
      <c r="O7159" t="s">
        <v>206</v>
      </c>
      <c r="P7159" s="1" t="s">
        <v>33</v>
      </c>
      <c r="Q7159">
        <v>150.80000000000001</v>
      </c>
    </row>
    <row r="7160" spans="11:17" x14ac:dyDescent="0.3">
      <c r="K7160">
        <v>2020</v>
      </c>
      <c r="L7160" t="s">
        <v>40</v>
      </c>
      <c r="M7160" t="s">
        <v>139</v>
      </c>
      <c r="N7160" t="s">
        <v>23</v>
      </c>
      <c r="O7160" t="s">
        <v>23</v>
      </c>
      <c r="P7160" s="1" t="s">
        <v>30</v>
      </c>
      <c r="Q7160">
        <v>158.19999999999999</v>
      </c>
    </row>
    <row r="7161" spans="11:17" x14ac:dyDescent="0.3">
      <c r="K7161">
        <v>2020</v>
      </c>
      <c r="L7161" t="s">
        <v>40</v>
      </c>
      <c r="M7161" t="s">
        <v>139</v>
      </c>
      <c r="N7161" t="s">
        <v>23</v>
      </c>
      <c r="O7161" t="s">
        <v>23</v>
      </c>
      <c r="P7161" s="1" t="s">
        <v>34</v>
      </c>
      <c r="Q7161">
        <v>154.4</v>
      </c>
    </row>
    <row r="7162" spans="11:17" x14ac:dyDescent="0.3">
      <c r="K7162">
        <v>2020</v>
      </c>
      <c r="L7162" t="s">
        <v>40</v>
      </c>
      <c r="M7162" t="s">
        <v>139</v>
      </c>
      <c r="N7162" t="s">
        <v>23</v>
      </c>
      <c r="O7162" t="s">
        <v>23</v>
      </c>
      <c r="P7162" s="1" t="s">
        <v>33</v>
      </c>
      <c r="Q7162">
        <v>148.1</v>
      </c>
    </row>
    <row r="7163" spans="11:17" x14ac:dyDescent="0.3">
      <c r="K7163">
        <v>2020</v>
      </c>
      <c r="L7163" t="s">
        <v>40</v>
      </c>
      <c r="M7163" t="s">
        <v>139</v>
      </c>
      <c r="N7163" t="s">
        <v>22</v>
      </c>
      <c r="O7163" t="s">
        <v>20</v>
      </c>
      <c r="P7163" s="1" t="s">
        <v>30</v>
      </c>
      <c r="Q7163">
        <v>151.69999999999999</v>
      </c>
    </row>
    <row r="7164" spans="11:17" x14ac:dyDescent="0.3">
      <c r="K7164">
        <v>2020</v>
      </c>
      <c r="L7164" t="s">
        <v>40</v>
      </c>
      <c r="M7164" t="s">
        <v>139</v>
      </c>
      <c r="N7164" t="s">
        <v>22</v>
      </c>
      <c r="O7164" t="s">
        <v>20</v>
      </c>
      <c r="P7164" s="1" t="s">
        <v>34</v>
      </c>
      <c r="Q7164">
        <v>146.4</v>
      </c>
    </row>
    <row r="7165" spans="11:17" x14ac:dyDescent="0.3">
      <c r="K7165">
        <v>2020</v>
      </c>
      <c r="L7165" t="s">
        <v>40</v>
      </c>
      <c r="M7165" t="s">
        <v>139</v>
      </c>
      <c r="N7165" t="s">
        <v>22</v>
      </c>
      <c r="O7165" t="s">
        <v>20</v>
      </c>
      <c r="P7165" s="1" t="s">
        <v>33</v>
      </c>
      <c r="Q7165">
        <v>140.4</v>
      </c>
    </row>
    <row r="7166" spans="11:17" x14ac:dyDescent="0.3">
      <c r="K7166">
        <v>2020</v>
      </c>
      <c r="L7166" t="s">
        <v>40</v>
      </c>
      <c r="M7166" t="s">
        <v>139</v>
      </c>
      <c r="N7166" t="s">
        <v>20</v>
      </c>
      <c r="O7166" t="s">
        <v>20</v>
      </c>
      <c r="P7166" s="1" t="s">
        <v>30</v>
      </c>
      <c r="Q7166">
        <v>0</v>
      </c>
    </row>
    <row r="7167" spans="11:17" x14ac:dyDescent="0.3">
      <c r="K7167">
        <v>2020</v>
      </c>
      <c r="L7167" t="s">
        <v>40</v>
      </c>
      <c r="M7167" t="s">
        <v>139</v>
      </c>
      <c r="N7167" t="s">
        <v>20</v>
      </c>
      <c r="O7167" t="s">
        <v>20</v>
      </c>
      <c r="P7167" s="1" t="s">
        <v>34</v>
      </c>
      <c r="Q7167">
        <v>154.69999999999999</v>
      </c>
    </row>
    <row r="7168" spans="11:17" x14ac:dyDescent="0.3">
      <c r="K7168">
        <v>2020</v>
      </c>
      <c r="L7168" t="s">
        <v>40</v>
      </c>
      <c r="M7168" t="s">
        <v>139</v>
      </c>
      <c r="N7168" t="s">
        <v>20</v>
      </c>
      <c r="O7168" t="s">
        <v>20</v>
      </c>
      <c r="P7168" s="1" t="s">
        <v>33</v>
      </c>
      <c r="Q7168">
        <v>154.69999999999999</v>
      </c>
    </row>
    <row r="7169" spans="11:17" x14ac:dyDescent="0.3">
      <c r="K7169">
        <v>2020</v>
      </c>
      <c r="L7169" t="s">
        <v>40</v>
      </c>
      <c r="M7169" t="s">
        <v>139</v>
      </c>
      <c r="N7169" t="s">
        <v>4</v>
      </c>
      <c r="O7169" t="s">
        <v>188</v>
      </c>
      <c r="P7169" s="1" t="s">
        <v>30</v>
      </c>
      <c r="Q7169">
        <v>190.3</v>
      </c>
    </row>
    <row r="7170" spans="11:17" x14ac:dyDescent="0.3">
      <c r="K7170">
        <v>2020</v>
      </c>
      <c r="L7170" t="s">
        <v>40</v>
      </c>
      <c r="M7170" t="s">
        <v>139</v>
      </c>
      <c r="N7170" t="s">
        <v>4</v>
      </c>
      <c r="O7170" t="s">
        <v>188</v>
      </c>
      <c r="P7170" s="1" t="s">
        <v>34</v>
      </c>
      <c r="Q7170">
        <v>192.7</v>
      </c>
    </row>
    <row r="7171" spans="11:17" x14ac:dyDescent="0.3">
      <c r="K7171">
        <v>2020</v>
      </c>
      <c r="L7171" t="s">
        <v>40</v>
      </c>
      <c r="M7171" t="s">
        <v>139</v>
      </c>
      <c r="N7171" t="s">
        <v>4</v>
      </c>
      <c r="O7171" t="s">
        <v>188</v>
      </c>
      <c r="P7171" s="1" t="s">
        <v>33</v>
      </c>
      <c r="Q7171">
        <v>197</v>
      </c>
    </row>
    <row r="7172" spans="11:17" x14ac:dyDescent="0.3">
      <c r="K7172">
        <v>2020</v>
      </c>
      <c r="L7172" t="s">
        <v>40</v>
      </c>
      <c r="M7172" t="s">
        <v>139</v>
      </c>
      <c r="N7172" t="s">
        <v>6</v>
      </c>
      <c r="O7172" t="s">
        <v>188</v>
      </c>
      <c r="P7172" s="1" t="s">
        <v>30</v>
      </c>
      <c r="Q7172">
        <v>153.30000000000001</v>
      </c>
    </row>
    <row r="7173" spans="11:17" x14ac:dyDescent="0.3">
      <c r="K7173">
        <v>2020</v>
      </c>
      <c r="L7173" t="s">
        <v>40</v>
      </c>
      <c r="M7173" t="s">
        <v>139</v>
      </c>
      <c r="N7173" t="s">
        <v>6</v>
      </c>
      <c r="O7173" t="s">
        <v>188</v>
      </c>
      <c r="P7173" s="1" t="s">
        <v>34</v>
      </c>
      <c r="Q7173">
        <v>153.30000000000001</v>
      </c>
    </row>
    <row r="7174" spans="11:17" x14ac:dyDescent="0.3">
      <c r="K7174">
        <v>2020</v>
      </c>
      <c r="L7174" t="s">
        <v>40</v>
      </c>
      <c r="M7174" t="s">
        <v>139</v>
      </c>
      <c r="N7174" t="s">
        <v>6</v>
      </c>
      <c r="O7174" t="s">
        <v>188</v>
      </c>
      <c r="P7174" s="1" t="s">
        <v>33</v>
      </c>
      <c r="Q7174">
        <v>153.4</v>
      </c>
    </row>
    <row r="7175" spans="11:17" x14ac:dyDescent="0.3">
      <c r="K7175">
        <v>2020</v>
      </c>
      <c r="L7175" t="s">
        <v>40</v>
      </c>
      <c r="M7175" t="s">
        <v>139</v>
      </c>
      <c r="N7175" t="s">
        <v>28</v>
      </c>
      <c r="O7175" t="s">
        <v>192</v>
      </c>
      <c r="P7175" s="1" t="s">
        <v>30</v>
      </c>
      <c r="Q7175">
        <v>151.69999999999999</v>
      </c>
    </row>
    <row r="7176" spans="11:17" x14ac:dyDescent="0.3">
      <c r="K7176">
        <v>2020</v>
      </c>
      <c r="L7176" t="s">
        <v>40</v>
      </c>
      <c r="M7176" t="s">
        <v>139</v>
      </c>
      <c r="N7176" t="s">
        <v>28</v>
      </c>
      <c r="O7176" t="s">
        <v>192</v>
      </c>
      <c r="P7176" s="1" t="s">
        <v>34</v>
      </c>
      <c r="Q7176">
        <v>147</v>
      </c>
    </row>
    <row r="7177" spans="11:17" x14ac:dyDescent="0.3">
      <c r="K7177">
        <v>2020</v>
      </c>
      <c r="L7177" t="s">
        <v>40</v>
      </c>
      <c r="M7177" t="s">
        <v>139</v>
      </c>
      <c r="N7177" t="s">
        <v>28</v>
      </c>
      <c r="O7177" t="s">
        <v>192</v>
      </c>
      <c r="P7177" s="1" t="s">
        <v>33</v>
      </c>
      <c r="Q7177">
        <v>142</v>
      </c>
    </row>
    <row r="7178" spans="11:17" x14ac:dyDescent="0.3">
      <c r="K7178">
        <v>2020</v>
      </c>
      <c r="L7178" t="s">
        <v>40</v>
      </c>
      <c r="M7178" t="s">
        <v>139</v>
      </c>
      <c r="N7178" t="s">
        <v>13</v>
      </c>
      <c r="O7178" t="s">
        <v>188</v>
      </c>
      <c r="P7178" s="1" t="s">
        <v>30</v>
      </c>
      <c r="Q7178">
        <v>142.1</v>
      </c>
    </row>
    <row r="7179" spans="11:17" x14ac:dyDescent="0.3">
      <c r="K7179">
        <v>2020</v>
      </c>
      <c r="L7179" t="s">
        <v>40</v>
      </c>
      <c r="M7179" t="s">
        <v>139</v>
      </c>
      <c r="N7179" t="s">
        <v>13</v>
      </c>
      <c r="O7179" t="s">
        <v>188</v>
      </c>
      <c r="P7179" s="1" t="s">
        <v>34</v>
      </c>
      <c r="Q7179">
        <v>139.4</v>
      </c>
    </row>
    <row r="7180" spans="11:17" x14ac:dyDescent="0.3">
      <c r="K7180">
        <v>2020</v>
      </c>
      <c r="L7180" t="s">
        <v>40</v>
      </c>
      <c r="M7180" t="s">
        <v>139</v>
      </c>
      <c r="N7180" t="s">
        <v>13</v>
      </c>
      <c r="O7180" t="s">
        <v>188</v>
      </c>
      <c r="P7180" s="1" t="s">
        <v>33</v>
      </c>
      <c r="Q7180">
        <v>135.6</v>
      </c>
    </row>
    <row r="7181" spans="11:17" x14ac:dyDescent="0.3">
      <c r="K7181">
        <v>2020</v>
      </c>
      <c r="L7181" t="s">
        <v>40</v>
      </c>
      <c r="M7181" t="s">
        <v>139</v>
      </c>
      <c r="N7181" t="s">
        <v>7</v>
      </c>
      <c r="O7181" t="s">
        <v>188</v>
      </c>
      <c r="P7181" s="1" t="s">
        <v>30</v>
      </c>
      <c r="Q7181">
        <v>138.19999999999999</v>
      </c>
    </row>
    <row r="7182" spans="11:17" x14ac:dyDescent="0.3">
      <c r="K7182">
        <v>2020</v>
      </c>
      <c r="L7182" t="s">
        <v>40</v>
      </c>
      <c r="M7182" t="s">
        <v>139</v>
      </c>
      <c r="N7182" t="s">
        <v>7</v>
      </c>
      <c r="O7182" t="s">
        <v>188</v>
      </c>
      <c r="P7182" s="1" t="s">
        <v>34</v>
      </c>
      <c r="Q7182">
        <v>136.30000000000001</v>
      </c>
    </row>
    <row r="7183" spans="11:17" x14ac:dyDescent="0.3">
      <c r="K7183">
        <v>2020</v>
      </c>
      <c r="L7183" t="s">
        <v>40</v>
      </c>
      <c r="M7183" t="s">
        <v>139</v>
      </c>
      <c r="N7183" t="s">
        <v>7</v>
      </c>
      <c r="O7183" t="s">
        <v>188</v>
      </c>
      <c r="P7183" s="1" t="s">
        <v>33</v>
      </c>
      <c r="Q7183">
        <v>132.9</v>
      </c>
    </row>
    <row r="7184" spans="11:17" x14ac:dyDescent="0.3">
      <c r="K7184">
        <v>2020</v>
      </c>
      <c r="L7184" t="s">
        <v>40</v>
      </c>
      <c r="M7184" t="s">
        <v>139</v>
      </c>
      <c r="N7184" t="s">
        <v>16</v>
      </c>
      <c r="O7184" t="s">
        <v>192</v>
      </c>
      <c r="P7184" s="1" t="s">
        <v>30</v>
      </c>
      <c r="Q7184">
        <v>182.4</v>
      </c>
    </row>
    <row r="7185" spans="11:17" x14ac:dyDescent="0.3">
      <c r="K7185">
        <v>2020</v>
      </c>
      <c r="L7185" t="s">
        <v>40</v>
      </c>
      <c r="M7185" t="s">
        <v>139</v>
      </c>
      <c r="N7185" t="s">
        <v>16</v>
      </c>
      <c r="O7185" t="s">
        <v>192</v>
      </c>
      <c r="P7185" s="1" t="s">
        <v>34</v>
      </c>
      <c r="Q7185">
        <v>183.5</v>
      </c>
    </row>
    <row r="7186" spans="11:17" x14ac:dyDescent="0.3">
      <c r="K7186">
        <v>2020</v>
      </c>
      <c r="L7186" t="s">
        <v>40</v>
      </c>
      <c r="M7186" t="s">
        <v>139</v>
      </c>
      <c r="N7186" t="s">
        <v>16</v>
      </c>
      <c r="O7186" t="s">
        <v>192</v>
      </c>
      <c r="P7186" s="1" t="s">
        <v>33</v>
      </c>
      <c r="Q7186">
        <v>186.7</v>
      </c>
    </row>
    <row r="7187" spans="11:17" x14ac:dyDescent="0.3">
      <c r="K7187">
        <v>2020</v>
      </c>
      <c r="L7187" t="s">
        <v>40</v>
      </c>
      <c r="M7187" t="s">
        <v>139</v>
      </c>
      <c r="N7187" t="s">
        <v>27</v>
      </c>
      <c r="O7187" t="s">
        <v>192</v>
      </c>
      <c r="P7187" s="1" t="s">
        <v>30</v>
      </c>
      <c r="Q7187">
        <v>151.19999999999999</v>
      </c>
    </row>
    <row r="7188" spans="11:17" x14ac:dyDescent="0.3">
      <c r="K7188">
        <v>2020</v>
      </c>
      <c r="L7188" t="s">
        <v>40</v>
      </c>
      <c r="M7188" t="s">
        <v>139</v>
      </c>
      <c r="N7188" t="s">
        <v>27</v>
      </c>
      <c r="O7188" t="s">
        <v>192</v>
      </c>
      <c r="P7188" s="1" t="s">
        <v>34</v>
      </c>
      <c r="Q7188">
        <v>151.6</v>
      </c>
    </row>
    <row r="7189" spans="11:17" x14ac:dyDescent="0.3">
      <c r="K7189">
        <v>2020</v>
      </c>
      <c r="L7189" t="s">
        <v>40</v>
      </c>
      <c r="M7189" t="s">
        <v>139</v>
      </c>
      <c r="N7189" t="s">
        <v>27</v>
      </c>
      <c r="O7189" t="s">
        <v>192</v>
      </c>
      <c r="P7189" s="1" t="s">
        <v>33</v>
      </c>
      <c r="Q7189">
        <v>152.19999999999999</v>
      </c>
    </row>
    <row r="7190" spans="11:17" x14ac:dyDescent="0.3">
      <c r="K7190">
        <v>2020</v>
      </c>
      <c r="L7190" t="s">
        <v>40</v>
      </c>
      <c r="M7190" t="s">
        <v>139</v>
      </c>
      <c r="N7190" t="s">
        <v>14</v>
      </c>
      <c r="O7190" t="s">
        <v>188</v>
      </c>
      <c r="P7190" s="1" t="s">
        <v>30</v>
      </c>
      <c r="Q7190">
        <v>161.80000000000001</v>
      </c>
    </row>
    <row r="7191" spans="11:17" x14ac:dyDescent="0.3">
      <c r="K7191">
        <v>2020</v>
      </c>
      <c r="L7191" t="s">
        <v>40</v>
      </c>
      <c r="M7191" t="s">
        <v>139</v>
      </c>
      <c r="N7191" t="s">
        <v>14</v>
      </c>
      <c r="O7191" t="s">
        <v>188</v>
      </c>
      <c r="P7191" s="1" t="s">
        <v>34</v>
      </c>
      <c r="Q7191">
        <v>161.80000000000001</v>
      </c>
    </row>
    <row r="7192" spans="11:17" x14ac:dyDescent="0.3">
      <c r="K7192">
        <v>2020</v>
      </c>
      <c r="L7192" t="s">
        <v>40</v>
      </c>
      <c r="M7192" t="s">
        <v>139</v>
      </c>
      <c r="N7192" t="s">
        <v>14</v>
      </c>
      <c r="O7192" t="s">
        <v>188</v>
      </c>
      <c r="P7192" s="1" t="s">
        <v>33</v>
      </c>
      <c r="Q7192">
        <v>161.69999999999999</v>
      </c>
    </row>
    <row r="7193" spans="11:17" x14ac:dyDescent="0.3">
      <c r="K7193">
        <v>2020</v>
      </c>
      <c r="L7193" t="s">
        <v>40</v>
      </c>
      <c r="M7193" t="s">
        <v>139</v>
      </c>
      <c r="N7193" t="s">
        <v>10</v>
      </c>
      <c r="O7193" t="s">
        <v>188</v>
      </c>
      <c r="P7193" s="1" t="s">
        <v>30</v>
      </c>
      <c r="Q7193">
        <v>150.30000000000001</v>
      </c>
    </row>
    <row r="7194" spans="11:17" x14ac:dyDescent="0.3">
      <c r="K7194">
        <v>2020</v>
      </c>
      <c r="L7194" t="s">
        <v>40</v>
      </c>
      <c r="M7194" t="s">
        <v>139</v>
      </c>
      <c r="N7194" t="s">
        <v>10</v>
      </c>
      <c r="O7194" t="s">
        <v>188</v>
      </c>
      <c r="P7194" s="1" t="s">
        <v>34</v>
      </c>
      <c r="Q7194">
        <v>150.9</v>
      </c>
    </row>
    <row r="7195" spans="11:17" x14ac:dyDescent="0.3">
      <c r="K7195">
        <v>2020</v>
      </c>
      <c r="L7195" t="s">
        <v>40</v>
      </c>
      <c r="M7195" t="s">
        <v>139</v>
      </c>
      <c r="N7195" t="s">
        <v>10</v>
      </c>
      <c r="O7195" t="s">
        <v>188</v>
      </c>
      <c r="P7195" s="1" t="s">
        <v>33</v>
      </c>
      <c r="Q7195">
        <v>152</v>
      </c>
    </row>
    <row r="7196" spans="11:17" x14ac:dyDescent="0.3">
      <c r="K7196">
        <v>2020</v>
      </c>
      <c r="L7196" t="s">
        <v>40</v>
      </c>
      <c r="M7196" t="s">
        <v>139</v>
      </c>
      <c r="N7196" t="s">
        <v>25</v>
      </c>
      <c r="O7196" t="s">
        <v>195</v>
      </c>
      <c r="P7196" s="1" t="s">
        <v>30</v>
      </c>
      <c r="Q7196">
        <v>153.19999999999999</v>
      </c>
    </row>
    <row r="7197" spans="11:17" x14ac:dyDescent="0.3">
      <c r="K7197">
        <v>2020</v>
      </c>
      <c r="L7197" t="s">
        <v>40</v>
      </c>
      <c r="M7197" t="s">
        <v>139</v>
      </c>
      <c r="N7197" t="s">
        <v>25</v>
      </c>
      <c r="O7197" t="s">
        <v>195</v>
      </c>
      <c r="P7197" s="1" t="s">
        <v>34</v>
      </c>
      <c r="Q7197">
        <v>148.30000000000001</v>
      </c>
    </row>
    <row r="7198" spans="11:17" x14ac:dyDescent="0.3">
      <c r="K7198">
        <v>2020</v>
      </c>
      <c r="L7198" t="s">
        <v>40</v>
      </c>
      <c r="M7198" t="s">
        <v>139</v>
      </c>
      <c r="N7198" t="s">
        <v>25</v>
      </c>
      <c r="O7198" t="s">
        <v>195</v>
      </c>
      <c r="P7198" s="1" t="s">
        <v>33</v>
      </c>
      <c r="Q7198">
        <v>144.5</v>
      </c>
    </row>
    <row r="7199" spans="11:17" x14ac:dyDescent="0.3">
      <c r="K7199">
        <v>2020</v>
      </c>
      <c r="L7199" t="s">
        <v>40</v>
      </c>
      <c r="M7199" t="s">
        <v>139</v>
      </c>
      <c r="N7199" t="s">
        <v>12</v>
      </c>
      <c r="O7199" t="s">
        <v>188</v>
      </c>
      <c r="P7199" s="1" t="s">
        <v>30</v>
      </c>
      <c r="Q7199">
        <v>159.80000000000001</v>
      </c>
    </row>
    <row r="7200" spans="11:17" x14ac:dyDescent="0.3">
      <c r="K7200">
        <v>2020</v>
      </c>
      <c r="L7200" t="s">
        <v>40</v>
      </c>
      <c r="M7200" t="s">
        <v>139</v>
      </c>
      <c r="N7200" t="s">
        <v>12</v>
      </c>
      <c r="O7200" t="s">
        <v>188</v>
      </c>
      <c r="P7200" s="1" t="s">
        <v>34</v>
      </c>
      <c r="Q7200">
        <v>159.5</v>
      </c>
    </row>
    <row r="7201" spans="11:17" x14ac:dyDescent="0.3">
      <c r="K7201">
        <v>2020</v>
      </c>
      <c r="L7201" t="s">
        <v>40</v>
      </c>
      <c r="M7201" t="s">
        <v>139</v>
      </c>
      <c r="N7201" t="s">
        <v>12</v>
      </c>
      <c r="O7201" t="s">
        <v>188</v>
      </c>
      <c r="P7201" s="1" t="s">
        <v>33</v>
      </c>
      <c r="Q7201">
        <v>158.80000000000001</v>
      </c>
    </row>
    <row r="7202" spans="11:17" x14ac:dyDescent="0.3">
      <c r="K7202">
        <v>2020</v>
      </c>
      <c r="L7202" t="s">
        <v>40</v>
      </c>
      <c r="M7202" t="s">
        <v>139</v>
      </c>
      <c r="N7202" t="s">
        <v>11</v>
      </c>
      <c r="O7202" t="s">
        <v>188</v>
      </c>
      <c r="P7202" s="1" t="s">
        <v>30</v>
      </c>
      <c r="Q7202">
        <v>113.2</v>
      </c>
    </row>
    <row r="7203" spans="11:17" x14ac:dyDescent="0.3">
      <c r="K7203">
        <v>2020</v>
      </c>
      <c r="L7203" t="s">
        <v>40</v>
      </c>
      <c r="M7203" t="s">
        <v>139</v>
      </c>
      <c r="N7203" t="s">
        <v>11</v>
      </c>
      <c r="O7203" t="s">
        <v>188</v>
      </c>
      <c r="P7203" s="1" t="s">
        <v>34</v>
      </c>
      <c r="Q7203">
        <v>114.2</v>
      </c>
    </row>
    <row r="7204" spans="11:17" x14ac:dyDescent="0.3">
      <c r="K7204">
        <v>2020</v>
      </c>
      <c r="L7204" t="s">
        <v>40</v>
      </c>
      <c r="M7204" t="s">
        <v>139</v>
      </c>
      <c r="N7204" t="s">
        <v>11</v>
      </c>
      <c r="O7204" t="s">
        <v>188</v>
      </c>
      <c r="P7204" s="1" t="s">
        <v>33</v>
      </c>
      <c r="Q7204">
        <v>116.3</v>
      </c>
    </row>
    <row r="7205" spans="11:17" x14ac:dyDescent="0.3">
      <c r="K7205">
        <v>2020</v>
      </c>
      <c r="L7205" t="s">
        <v>40</v>
      </c>
      <c r="M7205" t="s">
        <v>139</v>
      </c>
      <c r="N7205" t="s">
        <v>24</v>
      </c>
      <c r="O7205" t="s">
        <v>191</v>
      </c>
      <c r="P7205" s="1" t="s">
        <v>30</v>
      </c>
      <c r="Q7205">
        <v>141.4</v>
      </c>
    </row>
    <row r="7206" spans="11:17" x14ac:dyDescent="0.3">
      <c r="K7206">
        <v>2020</v>
      </c>
      <c r="L7206" t="s">
        <v>40</v>
      </c>
      <c r="M7206" t="s">
        <v>139</v>
      </c>
      <c r="N7206" t="s">
        <v>24</v>
      </c>
      <c r="O7206" t="s">
        <v>191</v>
      </c>
      <c r="P7206" s="1" t="s">
        <v>34</v>
      </c>
      <c r="Q7206">
        <v>135</v>
      </c>
    </row>
    <row r="7207" spans="11:17" x14ac:dyDescent="0.3">
      <c r="K7207">
        <v>2020</v>
      </c>
      <c r="L7207" t="s">
        <v>40</v>
      </c>
      <c r="M7207" t="s">
        <v>139</v>
      </c>
      <c r="N7207" t="s">
        <v>24</v>
      </c>
      <c r="O7207" t="s">
        <v>191</v>
      </c>
      <c r="P7207" s="1" t="s">
        <v>33</v>
      </c>
      <c r="Q7207">
        <v>129.30000000000001</v>
      </c>
    </row>
    <row r="7208" spans="11:17" x14ac:dyDescent="0.3">
      <c r="K7208">
        <v>2020</v>
      </c>
      <c r="L7208" t="s">
        <v>40</v>
      </c>
      <c r="M7208" t="s">
        <v>139</v>
      </c>
      <c r="N7208" t="s">
        <v>9</v>
      </c>
      <c r="O7208" t="s">
        <v>188</v>
      </c>
      <c r="P7208" s="1" t="s">
        <v>30</v>
      </c>
      <c r="Q7208">
        <v>148.9</v>
      </c>
    </row>
    <row r="7209" spans="11:17" x14ac:dyDescent="0.3">
      <c r="K7209">
        <v>2020</v>
      </c>
      <c r="L7209" t="s">
        <v>40</v>
      </c>
      <c r="M7209" t="s">
        <v>139</v>
      </c>
      <c r="N7209" t="s">
        <v>9</v>
      </c>
      <c r="O7209" t="s">
        <v>188</v>
      </c>
      <c r="P7209" s="1" t="s">
        <v>34</v>
      </c>
      <c r="Q7209">
        <v>156.5</v>
      </c>
    </row>
    <row r="7210" spans="11:17" x14ac:dyDescent="0.3">
      <c r="K7210">
        <v>2020</v>
      </c>
      <c r="L7210" t="s">
        <v>40</v>
      </c>
      <c r="M7210" t="s">
        <v>139</v>
      </c>
      <c r="N7210" t="s">
        <v>9</v>
      </c>
      <c r="O7210" t="s">
        <v>188</v>
      </c>
      <c r="P7210" s="1" t="s">
        <v>33</v>
      </c>
      <c r="Q7210">
        <v>171.2</v>
      </c>
    </row>
    <row r="7211" spans="11:17" x14ac:dyDescent="0.3">
      <c r="K7211">
        <v>2020</v>
      </c>
      <c r="L7211" t="s">
        <v>39</v>
      </c>
      <c r="M7211" t="s">
        <v>140</v>
      </c>
      <c r="N7211" t="s">
        <v>3</v>
      </c>
      <c r="O7211" t="s">
        <v>188</v>
      </c>
      <c r="P7211" s="1" t="s">
        <v>30</v>
      </c>
      <c r="Q7211">
        <v>148.19999999999999</v>
      </c>
    </row>
    <row r="7212" spans="11:17" x14ac:dyDescent="0.3">
      <c r="K7212">
        <v>2020</v>
      </c>
      <c r="L7212" t="s">
        <v>39</v>
      </c>
      <c r="M7212" t="s">
        <v>140</v>
      </c>
      <c r="N7212" t="s">
        <v>3</v>
      </c>
      <c r="O7212" t="s">
        <v>188</v>
      </c>
      <c r="P7212" s="1" t="s">
        <v>34</v>
      </c>
      <c r="Q7212">
        <v>149.6</v>
      </c>
    </row>
    <row r="7213" spans="11:17" x14ac:dyDescent="0.3">
      <c r="K7213">
        <v>2020</v>
      </c>
      <c r="L7213" t="s">
        <v>39</v>
      </c>
      <c r="M7213" t="s">
        <v>140</v>
      </c>
      <c r="N7213" t="s">
        <v>3</v>
      </c>
      <c r="O7213" t="s">
        <v>188</v>
      </c>
      <c r="P7213" s="1" t="s">
        <v>33</v>
      </c>
      <c r="Q7213">
        <v>152.69999999999999</v>
      </c>
    </row>
    <row r="7214" spans="11:17" x14ac:dyDescent="0.3">
      <c r="K7214">
        <v>2020</v>
      </c>
      <c r="L7214" t="s">
        <v>39</v>
      </c>
      <c r="M7214" t="s">
        <v>140</v>
      </c>
      <c r="N7214" t="s">
        <v>17</v>
      </c>
      <c r="O7214" t="s">
        <v>189</v>
      </c>
      <c r="P7214" s="1" t="s">
        <v>30</v>
      </c>
      <c r="Q7214">
        <v>154.69999999999999</v>
      </c>
    </row>
    <row r="7215" spans="11:17" x14ac:dyDescent="0.3">
      <c r="K7215">
        <v>2020</v>
      </c>
      <c r="L7215" t="s">
        <v>39</v>
      </c>
      <c r="M7215" t="s">
        <v>140</v>
      </c>
      <c r="N7215" t="s">
        <v>17</v>
      </c>
      <c r="O7215" t="s">
        <v>189</v>
      </c>
      <c r="P7215" s="1" t="s">
        <v>34</v>
      </c>
      <c r="Q7215">
        <v>152.5</v>
      </c>
    </row>
    <row r="7216" spans="11:17" x14ac:dyDescent="0.3">
      <c r="K7216">
        <v>2020</v>
      </c>
      <c r="L7216" t="s">
        <v>39</v>
      </c>
      <c r="M7216" t="s">
        <v>140</v>
      </c>
      <c r="N7216" t="s">
        <v>17</v>
      </c>
      <c r="O7216" t="s">
        <v>189</v>
      </c>
      <c r="P7216" s="1" t="s">
        <v>33</v>
      </c>
      <c r="Q7216">
        <v>149.1</v>
      </c>
    </row>
    <row r="7217" spans="11:17" x14ac:dyDescent="0.3">
      <c r="K7217">
        <v>2020</v>
      </c>
      <c r="L7217" t="s">
        <v>39</v>
      </c>
      <c r="M7217" t="s">
        <v>140</v>
      </c>
      <c r="N7217" t="s">
        <v>19</v>
      </c>
      <c r="O7217" t="s">
        <v>189</v>
      </c>
      <c r="P7217" s="1" t="s">
        <v>30</v>
      </c>
      <c r="Q7217">
        <v>154.1</v>
      </c>
    </row>
    <row r="7218" spans="11:17" x14ac:dyDescent="0.3">
      <c r="K7218">
        <v>2020</v>
      </c>
      <c r="L7218" t="s">
        <v>39</v>
      </c>
      <c r="M7218" t="s">
        <v>140</v>
      </c>
      <c r="N7218" t="s">
        <v>19</v>
      </c>
      <c r="O7218" t="s">
        <v>189</v>
      </c>
      <c r="P7218" s="1" t="s">
        <v>34</v>
      </c>
      <c r="Q7218">
        <v>151.4</v>
      </c>
    </row>
    <row r="7219" spans="11:17" x14ac:dyDescent="0.3">
      <c r="K7219">
        <v>2020</v>
      </c>
      <c r="L7219" t="s">
        <v>39</v>
      </c>
      <c r="M7219" t="s">
        <v>140</v>
      </c>
      <c r="N7219" t="s">
        <v>19</v>
      </c>
      <c r="O7219" t="s">
        <v>189</v>
      </c>
      <c r="P7219" s="1" t="s">
        <v>33</v>
      </c>
      <c r="Q7219">
        <v>147.19999999999999</v>
      </c>
    </row>
    <row r="7220" spans="11:17" x14ac:dyDescent="0.3">
      <c r="K7220">
        <v>2020</v>
      </c>
      <c r="L7220" t="s">
        <v>39</v>
      </c>
      <c r="M7220" t="s">
        <v>140</v>
      </c>
      <c r="N7220" t="s">
        <v>26</v>
      </c>
      <c r="O7220" t="s">
        <v>26</v>
      </c>
      <c r="P7220" s="1" t="s">
        <v>30</v>
      </c>
      <c r="Q7220">
        <v>161.80000000000001</v>
      </c>
    </row>
    <row r="7221" spans="11:17" x14ac:dyDescent="0.3">
      <c r="K7221">
        <v>2020</v>
      </c>
      <c r="L7221" t="s">
        <v>39</v>
      </c>
      <c r="M7221" t="s">
        <v>140</v>
      </c>
      <c r="N7221" t="s">
        <v>26</v>
      </c>
      <c r="O7221" t="s">
        <v>26</v>
      </c>
      <c r="P7221" s="1" t="s">
        <v>34</v>
      </c>
      <c r="Q7221">
        <v>156.4</v>
      </c>
    </row>
    <row r="7222" spans="11:17" x14ac:dyDescent="0.3">
      <c r="K7222">
        <v>2020</v>
      </c>
      <c r="L7222" t="s">
        <v>39</v>
      </c>
      <c r="M7222" t="s">
        <v>140</v>
      </c>
      <c r="N7222" t="s">
        <v>26</v>
      </c>
      <c r="O7222" t="s">
        <v>26</v>
      </c>
      <c r="P7222" s="1" t="s">
        <v>33</v>
      </c>
      <c r="Q7222">
        <v>152.5</v>
      </c>
    </row>
    <row r="7223" spans="11:17" x14ac:dyDescent="0.3">
      <c r="K7223">
        <v>2020</v>
      </c>
      <c r="L7223" t="s">
        <v>39</v>
      </c>
      <c r="M7223" t="s">
        <v>140</v>
      </c>
      <c r="N7223" t="s">
        <v>5</v>
      </c>
      <c r="O7223" t="s">
        <v>188</v>
      </c>
      <c r="P7223" s="1" t="s">
        <v>30</v>
      </c>
      <c r="Q7223">
        <v>149.4</v>
      </c>
    </row>
    <row r="7224" spans="11:17" x14ac:dyDescent="0.3">
      <c r="K7224">
        <v>2020</v>
      </c>
      <c r="L7224" t="s">
        <v>39</v>
      </c>
      <c r="M7224" t="s">
        <v>140</v>
      </c>
      <c r="N7224" t="s">
        <v>5</v>
      </c>
      <c r="O7224" t="s">
        <v>188</v>
      </c>
      <c r="P7224" s="1" t="s">
        <v>34</v>
      </c>
      <c r="Q7224">
        <v>151.4</v>
      </c>
    </row>
    <row r="7225" spans="11:17" x14ac:dyDescent="0.3">
      <c r="K7225">
        <v>2020</v>
      </c>
      <c r="L7225" t="s">
        <v>39</v>
      </c>
      <c r="M7225" t="s">
        <v>140</v>
      </c>
      <c r="N7225" t="s">
        <v>5</v>
      </c>
      <c r="O7225" t="s">
        <v>188</v>
      </c>
      <c r="P7225" s="1" t="s">
        <v>33</v>
      </c>
      <c r="Q7225">
        <v>154.6</v>
      </c>
    </row>
    <row r="7226" spans="11:17" x14ac:dyDescent="0.3">
      <c r="K7226">
        <v>2020</v>
      </c>
      <c r="L7226" t="s">
        <v>39</v>
      </c>
      <c r="M7226" t="s">
        <v>140</v>
      </c>
      <c r="N7226" t="s">
        <v>15</v>
      </c>
      <c r="O7226" t="s">
        <v>188</v>
      </c>
      <c r="P7226" s="1" t="s">
        <v>30</v>
      </c>
      <c r="Q7226">
        <v>152.30000000000001</v>
      </c>
    </row>
    <row r="7227" spans="11:17" x14ac:dyDescent="0.3">
      <c r="K7227">
        <v>2020</v>
      </c>
      <c r="L7227" t="s">
        <v>39</v>
      </c>
      <c r="M7227" t="s">
        <v>140</v>
      </c>
      <c r="N7227" t="s">
        <v>15</v>
      </c>
      <c r="O7227" t="s">
        <v>188</v>
      </c>
      <c r="P7227" s="1" t="s">
        <v>34</v>
      </c>
      <c r="Q7227">
        <v>154</v>
      </c>
    </row>
    <row r="7228" spans="11:17" x14ac:dyDescent="0.3">
      <c r="K7228">
        <v>2020</v>
      </c>
      <c r="L7228" t="s">
        <v>39</v>
      </c>
      <c r="M7228" t="s">
        <v>140</v>
      </c>
      <c r="N7228" t="s">
        <v>15</v>
      </c>
      <c r="O7228" t="s">
        <v>188</v>
      </c>
      <c r="P7228" s="1" t="s">
        <v>33</v>
      </c>
      <c r="Q7228">
        <v>157</v>
      </c>
    </row>
    <row r="7229" spans="11:17" x14ac:dyDescent="0.3">
      <c r="K7229">
        <v>2020</v>
      </c>
      <c r="L7229" t="s">
        <v>39</v>
      </c>
      <c r="M7229" t="s">
        <v>140</v>
      </c>
      <c r="N7229" t="s">
        <v>18</v>
      </c>
      <c r="O7229" t="s">
        <v>189</v>
      </c>
      <c r="P7229" s="1" t="s">
        <v>30</v>
      </c>
      <c r="Q7229">
        <v>150</v>
      </c>
    </row>
    <row r="7230" spans="11:17" x14ac:dyDescent="0.3">
      <c r="K7230">
        <v>2020</v>
      </c>
      <c r="L7230" t="s">
        <v>39</v>
      </c>
      <c r="M7230" t="s">
        <v>140</v>
      </c>
      <c r="N7230" t="s">
        <v>18</v>
      </c>
      <c r="O7230" t="s">
        <v>189</v>
      </c>
      <c r="P7230" s="1" t="s">
        <v>34</v>
      </c>
      <c r="Q7230">
        <v>144.4</v>
      </c>
    </row>
    <row r="7231" spans="11:17" x14ac:dyDescent="0.3">
      <c r="K7231">
        <v>2020</v>
      </c>
      <c r="L7231" t="s">
        <v>39</v>
      </c>
      <c r="M7231" t="s">
        <v>140</v>
      </c>
      <c r="N7231" t="s">
        <v>18</v>
      </c>
      <c r="O7231" t="s">
        <v>189</v>
      </c>
      <c r="P7231" s="1" t="s">
        <v>33</v>
      </c>
      <c r="Q7231">
        <v>136.6</v>
      </c>
    </row>
    <row r="7232" spans="11:17" x14ac:dyDescent="0.3">
      <c r="K7232">
        <v>2020</v>
      </c>
      <c r="L7232" t="s">
        <v>39</v>
      </c>
      <c r="M7232" t="s">
        <v>140</v>
      </c>
      <c r="N7232" t="s">
        <v>8</v>
      </c>
      <c r="O7232" t="s">
        <v>188</v>
      </c>
      <c r="P7232" s="1" t="s">
        <v>30</v>
      </c>
      <c r="Q7232">
        <v>143.19999999999999</v>
      </c>
    </row>
    <row r="7233" spans="11:17" x14ac:dyDescent="0.3">
      <c r="K7233">
        <v>2020</v>
      </c>
      <c r="L7233" t="s">
        <v>39</v>
      </c>
      <c r="M7233" t="s">
        <v>140</v>
      </c>
      <c r="N7233" t="s">
        <v>8</v>
      </c>
      <c r="O7233" t="s">
        <v>188</v>
      </c>
      <c r="P7233" s="1" t="s">
        <v>34</v>
      </c>
      <c r="Q7233">
        <v>147.19999999999999</v>
      </c>
    </row>
    <row r="7234" spans="11:17" x14ac:dyDescent="0.3">
      <c r="K7234">
        <v>2020</v>
      </c>
      <c r="L7234" t="s">
        <v>39</v>
      </c>
      <c r="M7234" t="s">
        <v>140</v>
      </c>
      <c r="N7234" t="s">
        <v>8</v>
      </c>
      <c r="O7234" t="s">
        <v>188</v>
      </c>
      <c r="P7234" s="1" t="s">
        <v>33</v>
      </c>
      <c r="Q7234">
        <v>151.80000000000001</v>
      </c>
    </row>
    <row r="7235" spans="11:17" x14ac:dyDescent="0.3">
      <c r="K7235">
        <v>2020</v>
      </c>
      <c r="L7235" t="s">
        <v>39</v>
      </c>
      <c r="M7235" t="s">
        <v>140</v>
      </c>
      <c r="N7235" t="s">
        <v>21</v>
      </c>
      <c r="O7235" t="s">
        <v>190</v>
      </c>
      <c r="P7235" s="1" t="s">
        <v>30</v>
      </c>
      <c r="Q7235">
        <v>144.9</v>
      </c>
    </row>
    <row r="7236" spans="11:17" x14ac:dyDescent="0.3">
      <c r="K7236">
        <v>2020</v>
      </c>
      <c r="L7236" t="s">
        <v>39</v>
      </c>
      <c r="M7236" t="s">
        <v>140</v>
      </c>
      <c r="N7236" t="s">
        <v>21</v>
      </c>
      <c r="O7236" t="s">
        <v>190</v>
      </c>
      <c r="P7236" s="1" t="s">
        <v>34</v>
      </c>
      <c r="Q7236">
        <v>141.9</v>
      </c>
    </row>
    <row r="7237" spans="11:17" x14ac:dyDescent="0.3">
      <c r="K7237">
        <v>2020</v>
      </c>
      <c r="L7237" t="s">
        <v>39</v>
      </c>
      <c r="M7237" t="s">
        <v>140</v>
      </c>
      <c r="N7237" t="s">
        <v>21</v>
      </c>
      <c r="O7237" t="s">
        <v>190</v>
      </c>
      <c r="P7237" s="1" t="s">
        <v>33</v>
      </c>
      <c r="Q7237">
        <v>137.1</v>
      </c>
    </row>
    <row r="7238" spans="11:17" x14ac:dyDescent="0.3">
      <c r="K7238">
        <v>2020</v>
      </c>
      <c r="L7238" t="s">
        <v>39</v>
      </c>
      <c r="M7238" t="s">
        <v>140</v>
      </c>
      <c r="N7238" t="s">
        <v>29</v>
      </c>
      <c r="O7238" t="s">
        <v>206</v>
      </c>
      <c r="P7238" s="1" t="s">
        <v>30</v>
      </c>
      <c r="Q7238">
        <v>152.69999999999999</v>
      </c>
    </row>
    <row r="7239" spans="11:17" x14ac:dyDescent="0.3">
      <c r="K7239">
        <v>2020</v>
      </c>
      <c r="L7239" t="s">
        <v>39</v>
      </c>
      <c r="M7239" t="s">
        <v>140</v>
      </c>
      <c r="N7239" t="s">
        <v>29</v>
      </c>
      <c r="O7239" t="s">
        <v>206</v>
      </c>
      <c r="P7239" s="1" t="s">
        <v>34</v>
      </c>
      <c r="Q7239">
        <v>151.80000000000001</v>
      </c>
    </row>
    <row r="7240" spans="11:17" x14ac:dyDescent="0.3">
      <c r="K7240">
        <v>2020</v>
      </c>
      <c r="L7240" t="s">
        <v>39</v>
      </c>
      <c r="M7240" t="s">
        <v>140</v>
      </c>
      <c r="N7240" t="s">
        <v>29</v>
      </c>
      <c r="O7240" t="s">
        <v>206</v>
      </c>
      <c r="P7240" s="1" t="s">
        <v>33</v>
      </c>
      <c r="Q7240">
        <v>150.80000000000001</v>
      </c>
    </row>
    <row r="7241" spans="11:17" x14ac:dyDescent="0.3">
      <c r="K7241">
        <v>2020</v>
      </c>
      <c r="L7241" t="s">
        <v>39</v>
      </c>
      <c r="M7241" t="s">
        <v>140</v>
      </c>
      <c r="N7241" t="s">
        <v>23</v>
      </c>
      <c r="O7241" t="s">
        <v>23</v>
      </c>
      <c r="P7241" s="1" t="s">
        <v>30</v>
      </c>
      <c r="Q7241">
        <v>158.19999999999999</v>
      </c>
    </row>
    <row r="7242" spans="11:17" x14ac:dyDescent="0.3">
      <c r="K7242">
        <v>2020</v>
      </c>
      <c r="L7242" t="s">
        <v>39</v>
      </c>
      <c r="M7242" t="s">
        <v>140</v>
      </c>
      <c r="N7242" t="s">
        <v>23</v>
      </c>
      <c r="O7242" t="s">
        <v>23</v>
      </c>
      <c r="P7242" s="1" t="s">
        <v>34</v>
      </c>
      <c r="Q7242">
        <v>154.4</v>
      </c>
    </row>
    <row r="7243" spans="11:17" x14ac:dyDescent="0.3">
      <c r="K7243">
        <v>2020</v>
      </c>
      <c r="L7243" t="s">
        <v>39</v>
      </c>
      <c r="M7243" t="s">
        <v>140</v>
      </c>
      <c r="N7243" t="s">
        <v>23</v>
      </c>
      <c r="O7243" t="s">
        <v>23</v>
      </c>
      <c r="P7243" s="1" t="s">
        <v>33</v>
      </c>
      <c r="Q7243">
        <v>148.1</v>
      </c>
    </row>
    <row r="7244" spans="11:17" x14ac:dyDescent="0.3">
      <c r="K7244">
        <v>2020</v>
      </c>
      <c r="L7244" t="s">
        <v>39</v>
      </c>
      <c r="M7244" t="s">
        <v>140</v>
      </c>
      <c r="N7244" t="s">
        <v>22</v>
      </c>
      <c r="O7244" t="s">
        <v>20</v>
      </c>
      <c r="P7244" s="1" t="s">
        <v>30</v>
      </c>
      <c r="Q7244">
        <v>151.69999999999999</v>
      </c>
    </row>
    <row r="7245" spans="11:17" x14ac:dyDescent="0.3">
      <c r="K7245">
        <v>2020</v>
      </c>
      <c r="L7245" t="s">
        <v>39</v>
      </c>
      <c r="M7245" t="s">
        <v>140</v>
      </c>
      <c r="N7245" t="s">
        <v>22</v>
      </c>
      <c r="O7245" t="s">
        <v>20</v>
      </c>
      <c r="P7245" s="1" t="s">
        <v>34</v>
      </c>
      <c r="Q7245">
        <v>146.4</v>
      </c>
    </row>
    <row r="7246" spans="11:17" x14ac:dyDescent="0.3">
      <c r="K7246">
        <v>2020</v>
      </c>
      <c r="L7246" t="s">
        <v>39</v>
      </c>
      <c r="M7246" t="s">
        <v>140</v>
      </c>
      <c r="N7246" t="s">
        <v>22</v>
      </c>
      <c r="O7246" t="s">
        <v>20</v>
      </c>
      <c r="P7246" s="1" t="s">
        <v>33</v>
      </c>
      <c r="Q7246">
        <v>140.4</v>
      </c>
    </row>
    <row r="7247" spans="11:17" x14ac:dyDescent="0.3">
      <c r="K7247">
        <v>2020</v>
      </c>
      <c r="L7247" t="s">
        <v>39</v>
      </c>
      <c r="M7247" t="s">
        <v>140</v>
      </c>
      <c r="N7247" t="s">
        <v>20</v>
      </c>
      <c r="O7247" t="s">
        <v>20</v>
      </c>
      <c r="P7247" s="1" t="s">
        <v>30</v>
      </c>
      <c r="Q7247">
        <v>0</v>
      </c>
    </row>
    <row r="7248" spans="11:17" x14ac:dyDescent="0.3">
      <c r="K7248">
        <v>2020</v>
      </c>
      <c r="L7248" t="s">
        <v>39</v>
      </c>
      <c r="M7248" t="s">
        <v>140</v>
      </c>
      <c r="N7248" t="s">
        <v>20</v>
      </c>
      <c r="O7248" t="s">
        <v>20</v>
      </c>
      <c r="P7248" s="1" t="s">
        <v>34</v>
      </c>
      <c r="Q7248">
        <v>154.69999999999999</v>
      </c>
    </row>
    <row r="7249" spans="11:17" x14ac:dyDescent="0.3">
      <c r="K7249">
        <v>2020</v>
      </c>
      <c r="L7249" t="s">
        <v>39</v>
      </c>
      <c r="M7249" t="s">
        <v>140</v>
      </c>
      <c r="N7249" t="s">
        <v>20</v>
      </c>
      <c r="O7249" t="s">
        <v>20</v>
      </c>
      <c r="P7249" s="1" t="s">
        <v>33</v>
      </c>
      <c r="Q7249">
        <v>154.69999999999999</v>
      </c>
    </row>
    <row r="7250" spans="11:17" x14ac:dyDescent="0.3">
      <c r="K7250">
        <v>2020</v>
      </c>
      <c r="L7250" t="s">
        <v>39</v>
      </c>
      <c r="M7250" t="s">
        <v>140</v>
      </c>
      <c r="N7250" t="s">
        <v>4</v>
      </c>
      <c r="O7250" t="s">
        <v>188</v>
      </c>
      <c r="P7250" s="1" t="s">
        <v>30</v>
      </c>
      <c r="Q7250">
        <v>190.3</v>
      </c>
    </row>
    <row r="7251" spans="11:17" x14ac:dyDescent="0.3">
      <c r="K7251">
        <v>2020</v>
      </c>
      <c r="L7251" t="s">
        <v>39</v>
      </c>
      <c r="M7251" t="s">
        <v>140</v>
      </c>
      <c r="N7251" t="s">
        <v>4</v>
      </c>
      <c r="O7251" t="s">
        <v>188</v>
      </c>
      <c r="P7251" s="1" t="s">
        <v>34</v>
      </c>
      <c r="Q7251">
        <v>192.7</v>
      </c>
    </row>
    <row r="7252" spans="11:17" x14ac:dyDescent="0.3">
      <c r="K7252">
        <v>2020</v>
      </c>
      <c r="L7252" t="s">
        <v>39</v>
      </c>
      <c r="M7252" t="s">
        <v>140</v>
      </c>
      <c r="N7252" t="s">
        <v>4</v>
      </c>
      <c r="O7252" t="s">
        <v>188</v>
      </c>
      <c r="P7252" s="1" t="s">
        <v>33</v>
      </c>
      <c r="Q7252">
        <v>197</v>
      </c>
    </row>
    <row r="7253" spans="11:17" x14ac:dyDescent="0.3">
      <c r="K7253">
        <v>2020</v>
      </c>
      <c r="L7253" t="s">
        <v>39</v>
      </c>
      <c r="M7253" t="s">
        <v>140</v>
      </c>
      <c r="N7253" t="s">
        <v>6</v>
      </c>
      <c r="O7253" t="s">
        <v>188</v>
      </c>
      <c r="P7253" s="1" t="s">
        <v>30</v>
      </c>
      <c r="Q7253">
        <v>153.30000000000001</v>
      </c>
    </row>
    <row r="7254" spans="11:17" x14ac:dyDescent="0.3">
      <c r="K7254">
        <v>2020</v>
      </c>
      <c r="L7254" t="s">
        <v>39</v>
      </c>
      <c r="M7254" t="s">
        <v>140</v>
      </c>
      <c r="N7254" t="s">
        <v>6</v>
      </c>
      <c r="O7254" t="s">
        <v>188</v>
      </c>
      <c r="P7254" s="1" t="s">
        <v>34</v>
      </c>
      <c r="Q7254">
        <v>153.30000000000001</v>
      </c>
    </row>
    <row r="7255" spans="11:17" x14ac:dyDescent="0.3">
      <c r="K7255">
        <v>2020</v>
      </c>
      <c r="L7255" t="s">
        <v>39</v>
      </c>
      <c r="M7255" t="s">
        <v>140</v>
      </c>
      <c r="N7255" t="s">
        <v>6</v>
      </c>
      <c r="O7255" t="s">
        <v>188</v>
      </c>
      <c r="P7255" s="1" t="s">
        <v>33</v>
      </c>
      <c r="Q7255">
        <v>153.4</v>
      </c>
    </row>
    <row r="7256" spans="11:17" x14ac:dyDescent="0.3">
      <c r="K7256">
        <v>2020</v>
      </c>
      <c r="L7256" t="s">
        <v>39</v>
      </c>
      <c r="M7256" t="s">
        <v>140</v>
      </c>
      <c r="N7256" t="s">
        <v>28</v>
      </c>
      <c r="O7256" t="s">
        <v>192</v>
      </c>
      <c r="P7256" s="1" t="s">
        <v>30</v>
      </c>
      <c r="Q7256">
        <v>151.69999999999999</v>
      </c>
    </row>
    <row r="7257" spans="11:17" x14ac:dyDescent="0.3">
      <c r="K7257">
        <v>2020</v>
      </c>
      <c r="L7257" t="s">
        <v>39</v>
      </c>
      <c r="M7257" t="s">
        <v>140</v>
      </c>
      <c r="N7257" t="s">
        <v>28</v>
      </c>
      <c r="O7257" t="s">
        <v>192</v>
      </c>
      <c r="P7257" s="1" t="s">
        <v>34</v>
      </c>
      <c r="Q7257">
        <v>147</v>
      </c>
    </row>
    <row r="7258" spans="11:17" x14ac:dyDescent="0.3">
      <c r="K7258">
        <v>2020</v>
      </c>
      <c r="L7258" t="s">
        <v>39</v>
      </c>
      <c r="M7258" t="s">
        <v>140</v>
      </c>
      <c r="N7258" t="s">
        <v>28</v>
      </c>
      <c r="O7258" t="s">
        <v>192</v>
      </c>
      <c r="P7258" s="1" t="s">
        <v>33</v>
      </c>
      <c r="Q7258">
        <v>142</v>
      </c>
    </row>
    <row r="7259" spans="11:17" x14ac:dyDescent="0.3">
      <c r="K7259">
        <v>2020</v>
      </c>
      <c r="L7259" t="s">
        <v>39</v>
      </c>
      <c r="M7259" t="s">
        <v>140</v>
      </c>
      <c r="N7259" t="s">
        <v>13</v>
      </c>
      <c r="O7259" t="s">
        <v>188</v>
      </c>
      <c r="P7259" s="1" t="s">
        <v>30</v>
      </c>
      <c r="Q7259">
        <v>142.1</v>
      </c>
    </row>
    <row r="7260" spans="11:17" x14ac:dyDescent="0.3">
      <c r="K7260">
        <v>2020</v>
      </c>
      <c r="L7260" t="s">
        <v>39</v>
      </c>
      <c r="M7260" t="s">
        <v>140</v>
      </c>
      <c r="N7260" t="s">
        <v>13</v>
      </c>
      <c r="O7260" t="s">
        <v>188</v>
      </c>
      <c r="P7260" s="1" t="s">
        <v>34</v>
      </c>
      <c r="Q7260">
        <v>139.4</v>
      </c>
    </row>
    <row r="7261" spans="11:17" x14ac:dyDescent="0.3">
      <c r="K7261">
        <v>2020</v>
      </c>
      <c r="L7261" t="s">
        <v>39</v>
      </c>
      <c r="M7261" t="s">
        <v>140</v>
      </c>
      <c r="N7261" t="s">
        <v>13</v>
      </c>
      <c r="O7261" t="s">
        <v>188</v>
      </c>
      <c r="P7261" s="1" t="s">
        <v>33</v>
      </c>
      <c r="Q7261">
        <v>135.6</v>
      </c>
    </row>
    <row r="7262" spans="11:17" x14ac:dyDescent="0.3">
      <c r="K7262">
        <v>2020</v>
      </c>
      <c r="L7262" t="s">
        <v>39</v>
      </c>
      <c r="M7262" t="s">
        <v>140</v>
      </c>
      <c r="N7262" t="s">
        <v>7</v>
      </c>
      <c r="O7262" t="s">
        <v>188</v>
      </c>
      <c r="P7262" s="1" t="s">
        <v>30</v>
      </c>
      <c r="Q7262">
        <v>138.19999999999999</v>
      </c>
    </row>
    <row r="7263" spans="11:17" x14ac:dyDescent="0.3">
      <c r="K7263">
        <v>2020</v>
      </c>
      <c r="L7263" t="s">
        <v>39</v>
      </c>
      <c r="M7263" t="s">
        <v>140</v>
      </c>
      <c r="N7263" t="s">
        <v>7</v>
      </c>
      <c r="O7263" t="s">
        <v>188</v>
      </c>
      <c r="P7263" s="1" t="s">
        <v>34</v>
      </c>
      <c r="Q7263">
        <v>136.30000000000001</v>
      </c>
    </row>
    <row r="7264" spans="11:17" x14ac:dyDescent="0.3">
      <c r="K7264">
        <v>2020</v>
      </c>
      <c r="L7264" t="s">
        <v>39</v>
      </c>
      <c r="M7264" t="s">
        <v>140</v>
      </c>
      <c r="N7264" t="s">
        <v>7</v>
      </c>
      <c r="O7264" t="s">
        <v>188</v>
      </c>
      <c r="P7264" s="1" t="s">
        <v>33</v>
      </c>
      <c r="Q7264">
        <v>132.9</v>
      </c>
    </row>
    <row r="7265" spans="11:17" x14ac:dyDescent="0.3">
      <c r="K7265">
        <v>2020</v>
      </c>
      <c r="L7265" t="s">
        <v>39</v>
      </c>
      <c r="M7265" t="s">
        <v>140</v>
      </c>
      <c r="N7265" t="s">
        <v>16</v>
      </c>
      <c r="O7265" t="s">
        <v>192</v>
      </c>
      <c r="P7265" s="1" t="s">
        <v>30</v>
      </c>
      <c r="Q7265">
        <v>182.4</v>
      </c>
    </row>
    <row r="7266" spans="11:17" x14ac:dyDescent="0.3">
      <c r="K7266">
        <v>2020</v>
      </c>
      <c r="L7266" t="s">
        <v>39</v>
      </c>
      <c r="M7266" t="s">
        <v>140</v>
      </c>
      <c r="N7266" t="s">
        <v>16</v>
      </c>
      <c r="O7266" t="s">
        <v>192</v>
      </c>
      <c r="P7266" s="1" t="s">
        <v>34</v>
      </c>
      <c r="Q7266">
        <v>183.5</v>
      </c>
    </row>
    <row r="7267" spans="11:17" x14ac:dyDescent="0.3">
      <c r="K7267">
        <v>2020</v>
      </c>
      <c r="L7267" t="s">
        <v>39</v>
      </c>
      <c r="M7267" t="s">
        <v>140</v>
      </c>
      <c r="N7267" t="s">
        <v>16</v>
      </c>
      <c r="O7267" t="s">
        <v>192</v>
      </c>
      <c r="P7267" s="1" t="s">
        <v>33</v>
      </c>
      <c r="Q7267">
        <v>186.7</v>
      </c>
    </row>
    <row r="7268" spans="11:17" x14ac:dyDescent="0.3">
      <c r="K7268">
        <v>2020</v>
      </c>
      <c r="L7268" t="s">
        <v>39</v>
      </c>
      <c r="M7268" t="s">
        <v>140</v>
      </c>
      <c r="N7268" t="s">
        <v>27</v>
      </c>
      <c r="O7268" t="s">
        <v>192</v>
      </c>
      <c r="P7268" s="1" t="s">
        <v>30</v>
      </c>
      <c r="Q7268">
        <v>151.19999999999999</v>
      </c>
    </row>
    <row r="7269" spans="11:17" x14ac:dyDescent="0.3">
      <c r="K7269">
        <v>2020</v>
      </c>
      <c r="L7269" t="s">
        <v>39</v>
      </c>
      <c r="M7269" t="s">
        <v>140</v>
      </c>
      <c r="N7269" t="s">
        <v>27</v>
      </c>
      <c r="O7269" t="s">
        <v>192</v>
      </c>
      <c r="P7269" s="1" t="s">
        <v>34</v>
      </c>
      <c r="Q7269">
        <v>151.6</v>
      </c>
    </row>
    <row r="7270" spans="11:17" x14ac:dyDescent="0.3">
      <c r="K7270">
        <v>2020</v>
      </c>
      <c r="L7270" t="s">
        <v>39</v>
      </c>
      <c r="M7270" t="s">
        <v>140</v>
      </c>
      <c r="N7270" t="s">
        <v>27</v>
      </c>
      <c r="O7270" t="s">
        <v>192</v>
      </c>
      <c r="P7270" s="1" t="s">
        <v>33</v>
      </c>
      <c r="Q7270">
        <v>152.19999999999999</v>
      </c>
    </row>
    <row r="7271" spans="11:17" x14ac:dyDescent="0.3">
      <c r="K7271">
        <v>2020</v>
      </c>
      <c r="L7271" t="s">
        <v>39</v>
      </c>
      <c r="M7271" t="s">
        <v>140</v>
      </c>
      <c r="N7271" t="s">
        <v>14</v>
      </c>
      <c r="O7271" t="s">
        <v>188</v>
      </c>
      <c r="P7271" s="1" t="s">
        <v>30</v>
      </c>
      <c r="Q7271">
        <v>161.80000000000001</v>
      </c>
    </row>
    <row r="7272" spans="11:17" x14ac:dyDescent="0.3">
      <c r="K7272">
        <v>2020</v>
      </c>
      <c r="L7272" t="s">
        <v>39</v>
      </c>
      <c r="M7272" t="s">
        <v>140</v>
      </c>
      <c r="N7272" t="s">
        <v>14</v>
      </c>
      <c r="O7272" t="s">
        <v>188</v>
      </c>
      <c r="P7272" s="1" t="s">
        <v>34</v>
      </c>
      <c r="Q7272">
        <v>161.80000000000001</v>
      </c>
    </row>
    <row r="7273" spans="11:17" x14ac:dyDescent="0.3">
      <c r="K7273">
        <v>2020</v>
      </c>
      <c r="L7273" t="s">
        <v>39</v>
      </c>
      <c r="M7273" t="s">
        <v>140</v>
      </c>
      <c r="N7273" t="s">
        <v>14</v>
      </c>
      <c r="O7273" t="s">
        <v>188</v>
      </c>
      <c r="P7273" s="1" t="s">
        <v>33</v>
      </c>
      <c r="Q7273">
        <v>161.69999999999999</v>
      </c>
    </row>
    <row r="7274" spans="11:17" x14ac:dyDescent="0.3">
      <c r="K7274">
        <v>2020</v>
      </c>
      <c r="L7274" t="s">
        <v>39</v>
      </c>
      <c r="M7274" t="s">
        <v>140</v>
      </c>
      <c r="N7274" t="s">
        <v>10</v>
      </c>
      <c r="O7274" t="s">
        <v>188</v>
      </c>
      <c r="P7274" s="1" t="s">
        <v>30</v>
      </c>
      <c r="Q7274">
        <v>150.30000000000001</v>
      </c>
    </row>
    <row r="7275" spans="11:17" x14ac:dyDescent="0.3">
      <c r="K7275">
        <v>2020</v>
      </c>
      <c r="L7275" t="s">
        <v>39</v>
      </c>
      <c r="M7275" t="s">
        <v>140</v>
      </c>
      <c r="N7275" t="s">
        <v>10</v>
      </c>
      <c r="O7275" t="s">
        <v>188</v>
      </c>
      <c r="P7275" s="1" t="s">
        <v>34</v>
      </c>
      <c r="Q7275">
        <v>150.9</v>
      </c>
    </row>
    <row r="7276" spans="11:17" x14ac:dyDescent="0.3">
      <c r="K7276">
        <v>2020</v>
      </c>
      <c r="L7276" t="s">
        <v>39</v>
      </c>
      <c r="M7276" t="s">
        <v>140</v>
      </c>
      <c r="N7276" t="s">
        <v>10</v>
      </c>
      <c r="O7276" t="s">
        <v>188</v>
      </c>
      <c r="P7276" s="1" t="s">
        <v>33</v>
      </c>
      <c r="Q7276">
        <v>152</v>
      </c>
    </row>
    <row r="7277" spans="11:17" x14ac:dyDescent="0.3">
      <c r="K7277">
        <v>2020</v>
      </c>
      <c r="L7277" t="s">
        <v>39</v>
      </c>
      <c r="M7277" t="s">
        <v>140</v>
      </c>
      <c r="N7277" t="s">
        <v>25</v>
      </c>
      <c r="O7277" t="s">
        <v>195</v>
      </c>
      <c r="P7277" s="1" t="s">
        <v>30</v>
      </c>
      <c r="Q7277">
        <v>153.19999999999999</v>
      </c>
    </row>
    <row r="7278" spans="11:17" x14ac:dyDescent="0.3">
      <c r="K7278">
        <v>2020</v>
      </c>
      <c r="L7278" t="s">
        <v>39</v>
      </c>
      <c r="M7278" t="s">
        <v>140</v>
      </c>
      <c r="N7278" t="s">
        <v>25</v>
      </c>
      <c r="O7278" t="s">
        <v>195</v>
      </c>
      <c r="P7278" s="1" t="s">
        <v>34</v>
      </c>
      <c r="Q7278">
        <v>148.30000000000001</v>
      </c>
    </row>
    <row r="7279" spans="11:17" x14ac:dyDescent="0.3">
      <c r="K7279">
        <v>2020</v>
      </c>
      <c r="L7279" t="s">
        <v>39</v>
      </c>
      <c r="M7279" t="s">
        <v>140</v>
      </c>
      <c r="N7279" t="s">
        <v>25</v>
      </c>
      <c r="O7279" t="s">
        <v>195</v>
      </c>
      <c r="P7279" s="1" t="s">
        <v>33</v>
      </c>
      <c r="Q7279">
        <v>144.5</v>
      </c>
    </row>
    <row r="7280" spans="11:17" x14ac:dyDescent="0.3">
      <c r="K7280">
        <v>2020</v>
      </c>
      <c r="L7280" t="s">
        <v>39</v>
      </c>
      <c r="M7280" t="s">
        <v>140</v>
      </c>
      <c r="N7280" t="s">
        <v>12</v>
      </c>
      <c r="O7280" t="s">
        <v>188</v>
      </c>
      <c r="P7280" s="1" t="s">
        <v>30</v>
      </c>
      <c r="Q7280">
        <v>159.80000000000001</v>
      </c>
    </row>
    <row r="7281" spans="11:17" x14ac:dyDescent="0.3">
      <c r="K7281">
        <v>2020</v>
      </c>
      <c r="L7281" t="s">
        <v>39</v>
      </c>
      <c r="M7281" t="s">
        <v>140</v>
      </c>
      <c r="N7281" t="s">
        <v>12</v>
      </c>
      <c r="O7281" t="s">
        <v>188</v>
      </c>
      <c r="P7281" s="1" t="s">
        <v>34</v>
      </c>
      <c r="Q7281">
        <v>159.5</v>
      </c>
    </row>
    <row r="7282" spans="11:17" x14ac:dyDescent="0.3">
      <c r="K7282">
        <v>2020</v>
      </c>
      <c r="L7282" t="s">
        <v>39</v>
      </c>
      <c r="M7282" t="s">
        <v>140</v>
      </c>
      <c r="N7282" t="s">
        <v>12</v>
      </c>
      <c r="O7282" t="s">
        <v>188</v>
      </c>
      <c r="P7282" s="1" t="s">
        <v>33</v>
      </c>
      <c r="Q7282">
        <v>158.80000000000001</v>
      </c>
    </row>
    <row r="7283" spans="11:17" x14ac:dyDescent="0.3">
      <c r="K7283">
        <v>2020</v>
      </c>
      <c r="L7283" t="s">
        <v>39</v>
      </c>
      <c r="M7283" t="s">
        <v>140</v>
      </c>
      <c r="N7283" t="s">
        <v>11</v>
      </c>
      <c r="O7283" t="s">
        <v>188</v>
      </c>
      <c r="P7283" s="1" t="s">
        <v>30</v>
      </c>
      <c r="Q7283">
        <v>113.2</v>
      </c>
    </row>
    <row r="7284" spans="11:17" x14ac:dyDescent="0.3">
      <c r="K7284">
        <v>2020</v>
      </c>
      <c r="L7284" t="s">
        <v>39</v>
      </c>
      <c r="M7284" t="s">
        <v>140</v>
      </c>
      <c r="N7284" t="s">
        <v>11</v>
      </c>
      <c r="O7284" t="s">
        <v>188</v>
      </c>
      <c r="P7284" s="1" t="s">
        <v>34</v>
      </c>
      <c r="Q7284">
        <v>114.2</v>
      </c>
    </row>
    <row r="7285" spans="11:17" x14ac:dyDescent="0.3">
      <c r="K7285">
        <v>2020</v>
      </c>
      <c r="L7285" t="s">
        <v>39</v>
      </c>
      <c r="M7285" t="s">
        <v>140</v>
      </c>
      <c r="N7285" t="s">
        <v>11</v>
      </c>
      <c r="O7285" t="s">
        <v>188</v>
      </c>
      <c r="P7285" s="1" t="s">
        <v>33</v>
      </c>
      <c r="Q7285">
        <v>116.3</v>
      </c>
    </row>
    <row r="7286" spans="11:17" x14ac:dyDescent="0.3">
      <c r="K7286">
        <v>2020</v>
      </c>
      <c r="L7286" t="s">
        <v>39</v>
      </c>
      <c r="M7286" t="s">
        <v>140</v>
      </c>
      <c r="N7286" t="s">
        <v>24</v>
      </c>
      <c r="O7286" t="s">
        <v>191</v>
      </c>
      <c r="P7286" s="1" t="s">
        <v>30</v>
      </c>
      <c r="Q7286">
        <v>141.4</v>
      </c>
    </row>
    <row r="7287" spans="11:17" x14ac:dyDescent="0.3">
      <c r="K7287">
        <v>2020</v>
      </c>
      <c r="L7287" t="s">
        <v>39</v>
      </c>
      <c r="M7287" t="s">
        <v>140</v>
      </c>
      <c r="N7287" t="s">
        <v>24</v>
      </c>
      <c r="O7287" t="s">
        <v>191</v>
      </c>
      <c r="P7287" s="1" t="s">
        <v>34</v>
      </c>
      <c r="Q7287">
        <v>135</v>
      </c>
    </row>
    <row r="7288" spans="11:17" x14ac:dyDescent="0.3">
      <c r="K7288">
        <v>2020</v>
      </c>
      <c r="L7288" t="s">
        <v>39</v>
      </c>
      <c r="M7288" t="s">
        <v>140</v>
      </c>
      <c r="N7288" t="s">
        <v>24</v>
      </c>
      <c r="O7288" t="s">
        <v>191</v>
      </c>
      <c r="P7288" s="1" t="s">
        <v>33</v>
      </c>
      <c r="Q7288">
        <v>129.30000000000001</v>
      </c>
    </row>
    <row r="7289" spans="11:17" x14ac:dyDescent="0.3">
      <c r="K7289">
        <v>2020</v>
      </c>
      <c r="L7289" t="s">
        <v>39</v>
      </c>
      <c r="M7289" t="s">
        <v>140</v>
      </c>
      <c r="N7289" t="s">
        <v>9</v>
      </c>
      <c r="O7289" t="s">
        <v>188</v>
      </c>
      <c r="P7289" s="1" t="s">
        <v>30</v>
      </c>
      <c r="Q7289">
        <v>148.9</v>
      </c>
    </row>
    <row r="7290" spans="11:17" x14ac:dyDescent="0.3">
      <c r="K7290">
        <v>2020</v>
      </c>
      <c r="L7290" t="s">
        <v>39</v>
      </c>
      <c r="M7290" t="s">
        <v>140</v>
      </c>
      <c r="N7290" t="s">
        <v>9</v>
      </c>
      <c r="O7290" t="s">
        <v>188</v>
      </c>
      <c r="P7290" s="1" t="s">
        <v>34</v>
      </c>
      <c r="Q7290">
        <v>156.5</v>
      </c>
    </row>
    <row r="7291" spans="11:17" x14ac:dyDescent="0.3">
      <c r="K7291">
        <v>2020</v>
      </c>
      <c r="L7291" t="s">
        <v>39</v>
      </c>
      <c r="M7291" t="s">
        <v>140</v>
      </c>
      <c r="N7291" t="s">
        <v>9</v>
      </c>
      <c r="O7291" t="s">
        <v>188</v>
      </c>
      <c r="P7291" s="1" t="s">
        <v>33</v>
      </c>
      <c r="Q7291">
        <v>171.2</v>
      </c>
    </row>
    <row r="7292" spans="11:17" x14ac:dyDescent="0.3">
      <c r="K7292">
        <v>2020</v>
      </c>
      <c r="L7292" t="s">
        <v>36</v>
      </c>
      <c r="M7292" t="s">
        <v>50</v>
      </c>
      <c r="N7292" t="s">
        <v>3</v>
      </c>
      <c r="O7292" t="s">
        <v>188</v>
      </c>
      <c r="P7292" s="1" t="s">
        <v>30</v>
      </c>
      <c r="Q7292">
        <v>144.4</v>
      </c>
    </row>
    <row r="7293" spans="11:17" x14ac:dyDescent="0.3">
      <c r="K7293">
        <v>2020</v>
      </c>
      <c r="L7293" t="s">
        <v>36</v>
      </c>
      <c r="M7293" t="s">
        <v>50</v>
      </c>
      <c r="N7293" t="s">
        <v>3</v>
      </c>
      <c r="O7293" t="s">
        <v>188</v>
      </c>
      <c r="P7293" s="1" t="s">
        <v>34</v>
      </c>
      <c r="Q7293">
        <v>145.1</v>
      </c>
    </row>
    <row r="7294" spans="11:17" x14ac:dyDescent="0.3">
      <c r="K7294">
        <v>2020</v>
      </c>
      <c r="L7294" t="s">
        <v>36</v>
      </c>
      <c r="M7294" t="s">
        <v>50</v>
      </c>
      <c r="N7294" t="s">
        <v>3</v>
      </c>
      <c r="O7294" t="s">
        <v>188</v>
      </c>
      <c r="P7294" s="1" t="s">
        <v>33</v>
      </c>
      <c r="Q7294">
        <v>146.5</v>
      </c>
    </row>
    <row r="7295" spans="11:17" x14ac:dyDescent="0.3">
      <c r="K7295">
        <v>2020</v>
      </c>
      <c r="L7295" t="s">
        <v>36</v>
      </c>
      <c r="M7295" t="s">
        <v>50</v>
      </c>
      <c r="N7295" t="s">
        <v>17</v>
      </c>
      <c r="O7295" t="s">
        <v>189</v>
      </c>
      <c r="P7295" s="1" t="s">
        <v>30</v>
      </c>
      <c r="Q7295">
        <v>153.4</v>
      </c>
    </row>
    <row r="7296" spans="11:17" x14ac:dyDescent="0.3">
      <c r="K7296">
        <v>2020</v>
      </c>
      <c r="L7296" t="s">
        <v>36</v>
      </c>
      <c r="M7296" t="s">
        <v>50</v>
      </c>
      <c r="N7296" t="s">
        <v>17</v>
      </c>
      <c r="O7296" t="s">
        <v>189</v>
      </c>
      <c r="P7296" s="1" t="s">
        <v>34</v>
      </c>
      <c r="Q7296">
        <v>151.19999999999999</v>
      </c>
    </row>
    <row r="7297" spans="11:17" x14ac:dyDescent="0.3">
      <c r="K7297">
        <v>2020</v>
      </c>
      <c r="L7297" t="s">
        <v>36</v>
      </c>
      <c r="M7297" t="s">
        <v>50</v>
      </c>
      <c r="N7297" t="s">
        <v>17</v>
      </c>
      <c r="O7297" t="s">
        <v>189</v>
      </c>
      <c r="P7297" s="1" t="s">
        <v>33</v>
      </c>
      <c r="Q7297">
        <v>147.69999999999999</v>
      </c>
    </row>
    <row r="7298" spans="11:17" x14ac:dyDescent="0.3">
      <c r="K7298">
        <v>2020</v>
      </c>
      <c r="L7298" t="s">
        <v>36</v>
      </c>
      <c r="M7298" t="s">
        <v>50</v>
      </c>
      <c r="N7298" t="s">
        <v>19</v>
      </c>
      <c r="O7298" t="s">
        <v>189</v>
      </c>
      <c r="P7298" s="1" t="s">
        <v>30</v>
      </c>
      <c r="Q7298">
        <v>152.5</v>
      </c>
    </row>
    <row r="7299" spans="11:17" x14ac:dyDescent="0.3">
      <c r="K7299">
        <v>2020</v>
      </c>
      <c r="L7299" t="s">
        <v>36</v>
      </c>
      <c r="M7299" t="s">
        <v>50</v>
      </c>
      <c r="N7299" t="s">
        <v>19</v>
      </c>
      <c r="O7299" t="s">
        <v>189</v>
      </c>
      <c r="P7299" s="1" t="s">
        <v>34</v>
      </c>
      <c r="Q7299">
        <v>149.80000000000001</v>
      </c>
    </row>
    <row r="7300" spans="11:17" x14ac:dyDescent="0.3">
      <c r="K7300">
        <v>2020</v>
      </c>
      <c r="L7300" t="s">
        <v>36</v>
      </c>
      <c r="M7300" t="s">
        <v>50</v>
      </c>
      <c r="N7300" t="s">
        <v>19</v>
      </c>
      <c r="O7300" t="s">
        <v>189</v>
      </c>
      <c r="P7300" s="1" t="s">
        <v>33</v>
      </c>
      <c r="Q7300">
        <v>145.6</v>
      </c>
    </row>
    <row r="7301" spans="11:17" x14ac:dyDescent="0.3">
      <c r="K7301">
        <v>2020</v>
      </c>
      <c r="L7301" t="s">
        <v>36</v>
      </c>
      <c r="M7301" t="s">
        <v>50</v>
      </c>
      <c r="N7301" t="s">
        <v>26</v>
      </c>
      <c r="O7301" t="s">
        <v>26</v>
      </c>
      <c r="P7301" s="1" t="s">
        <v>30</v>
      </c>
      <c r="Q7301">
        <v>161.19999999999999</v>
      </c>
    </row>
    <row r="7302" spans="11:17" x14ac:dyDescent="0.3">
      <c r="K7302">
        <v>2020</v>
      </c>
      <c r="L7302" t="s">
        <v>36</v>
      </c>
      <c r="M7302" t="s">
        <v>50</v>
      </c>
      <c r="N7302" t="s">
        <v>26</v>
      </c>
      <c r="O7302" t="s">
        <v>26</v>
      </c>
      <c r="P7302" s="1" t="s">
        <v>34</v>
      </c>
      <c r="Q7302">
        <v>156.1</v>
      </c>
    </row>
    <row r="7303" spans="11:17" x14ac:dyDescent="0.3">
      <c r="K7303">
        <v>2020</v>
      </c>
      <c r="L7303" t="s">
        <v>36</v>
      </c>
      <c r="M7303" t="s">
        <v>50</v>
      </c>
      <c r="N7303" t="s">
        <v>26</v>
      </c>
      <c r="O7303" t="s">
        <v>26</v>
      </c>
      <c r="P7303" s="1" t="s">
        <v>33</v>
      </c>
      <c r="Q7303">
        <v>152.5</v>
      </c>
    </row>
    <row r="7304" spans="11:17" x14ac:dyDescent="0.3">
      <c r="K7304">
        <v>2020</v>
      </c>
      <c r="L7304" t="s">
        <v>36</v>
      </c>
      <c r="M7304" t="s">
        <v>50</v>
      </c>
      <c r="N7304" t="s">
        <v>5</v>
      </c>
      <c r="O7304" t="s">
        <v>188</v>
      </c>
      <c r="P7304" s="1" t="s">
        <v>30</v>
      </c>
      <c r="Q7304">
        <v>147.6</v>
      </c>
    </row>
    <row r="7305" spans="11:17" x14ac:dyDescent="0.3">
      <c r="K7305">
        <v>2020</v>
      </c>
      <c r="L7305" t="s">
        <v>36</v>
      </c>
      <c r="M7305" t="s">
        <v>50</v>
      </c>
      <c r="N7305" t="s">
        <v>5</v>
      </c>
      <c r="O7305" t="s">
        <v>188</v>
      </c>
      <c r="P7305" s="1" t="s">
        <v>34</v>
      </c>
      <c r="Q7305">
        <v>148.1</v>
      </c>
    </row>
    <row r="7306" spans="11:17" x14ac:dyDescent="0.3">
      <c r="K7306">
        <v>2020</v>
      </c>
      <c r="L7306" t="s">
        <v>36</v>
      </c>
      <c r="M7306" t="s">
        <v>50</v>
      </c>
      <c r="N7306" t="s">
        <v>5</v>
      </c>
      <c r="O7306" t="s">
        <v>188</v>
      </c>
      <c r="P7306" s="1" t="s">
        <v>33</v>
      </c>
      <c r="Q7306">
        <v>148.9</v>
      </c>
    </row>
    <row r="7307" spans="11:17" x14ac:dyDescent="0.3">
      <c r="K7307">
        <v>2020</v>
      </c>
      <c r="L7307" t="s">
        <v>36</v>
      </c>
      <c r="M7307" t="s">
        <v>50</v>
      </c>
      <c r="N7307" t="s">
        <v>15</v>
      </c>
      <c r="O7307" t="s">
        <v>188</v>
      </c>
      <c r="P7307" s="1" t="s">
        <v>30</v>
      </c>
      <c r="Q7307">
        <v>148.19999999999999</v>
      </c>
    </row>
    <row r="7308" spans="11:17" x14ac:dyDescent="0.3">
      <c r="K7308">
        <v>2020</v>
      </c>
      <c r="L7308" t="s">
        <v>36</v>
      </c>
      <c r="M7308" t="s">
        <v>50</v>
      </c>
      <c r="N7308" t="s">
        <v>15</v>
      </c>
      <c r="O7308" t="s">
        <v>188</v>
      </c>
      <c r="P7308" s="1" t="s">
        <v>34</v>
      </c>
      <c r="Q7308">
        <v>148.9</v>
      </c>
    </row>
    <row r="7309" spans="11:17" x14ac:dyDescent="0.3">
      <c r="K7309">
        <v>2020</v>
      </c>
      <c r="L7309" t="s">
        <v>36</v>
      </c>
      <c r="M7309" t="s">
        <v>50</v>
      </c>
      <c r="N7309" t="s">
        <v>15</v>
      </c>
      <c r="O7309" t="s">
        <v>188</v>
      </c>
      <c r="P7309" s="1" t="s">
        <v>33</v>
      </c>
      <c r="Q7309">
        <v>150.1</v>
      </c>
    </row>
    <row r="7310" spans="11:17" x14ac:dyDescent="0.3">
      <c r="K7310">
        <v>2020</v>
      </c>
      <c r="L7310" t="s">
        <v>36</v>
      </c>
      <c r="M7310" t="s">
        <v>50</v>
      </c>
      <c r="N7310" t="s">
        <v>18</v>
      </c>
      <c r="O7310" t="s">
        <v>189</v>
      </c>
      <c r="P7310" s="1" t="s">
        <v>30</v>
      </c>
      <c r="Q7310">
        <v>147.6</v>
      </c>
    </row>
    <row r="7311" spans="11:17" x14ac:dyDescent="0.3">
      <c r="K7311">
        <v>2020</v>
      </c>
      <c r="L7311" t="s">
        <v>36</v>
      </c>
      <c r="M7311" t="s">
        <v>50</v>
      </c>
      <c r="N7311" t="s">
        <v>18</v>
      </c>
      <c r="O7311" t="s">
        <v>189</v>
      </c>
      <c r="P7311" s="1" t="s">
        <v>34</v>
      </c>
      <c r="Q7311">
        <v>141.9</v>
      </c>
    </row>
    <row r="7312" spans="11:17" x14ac:dyDescent="0.3">
      <c r="K7312">
        <v>2020</v>
      </c>
      <c r="L7312" t="s">
        <v>36</v>
      </c>
      <c r="M7312" t="s">
        <v>50</v>
      </c>
      <c r="N7312" t="s">
        <v>18</v>
      </c>
      <c r="O7312" t="s">
        <v>189</v>
      </c>
      <c r="P7312" s="1" t="s">
        <v>33</v>
      </c>
      <c r="Q7312">
        <v>133.80000000000001</v>
      </c>
    </row>
    <row r="7313" spans="11:17" x14ac:dyDescent="0.3">
      <c r="K7313">
        <v>2020</v>
      </c>
      <c r="L7313" t="s">
        <v>36</v>
      </c>
      <c r="M7313" t="s">
        <v>50</v>
      </c>
      <c r="N7313" t="s">
        <v>8</v>
      </c>
      <c r="O7313" t="s">
        <v>188</v>
      </c>
      <c r="P7313" s="1" t="s">
        <v>30</v>
      </c>
      <c r="Q7313">
        <v>141.80000000000001</v>
      </c>
    </row>
    <row r="7314" spans="11:17" x14ac:dyDescent="0.3">
      <c r="K7314">
        <v>2020</v>
      </c>
      <c r="L7314" t="s">
        <v>36</v>
      </c>
      <c r="M7314" t="s">
        <v>50</v>
      </c>
      <c r="N7314" t="s">
        <v>8</v>
      </c>
      <c r="O7314" t="s">
        <v>188</v>
      </c>
      <c r="P7314" s="1" t="s">
        <v>34</v>
      </c>
      <c r="Q7314">
        <v>142.5</v>
      </c>
    </row>
    <row r="7315" spans="11:17" x14ac:dyDescent="0.3">
      <c r="K7315">
        <v>2020</v>
      </c>
      <c r="L7315" t="s">
        <v>36</v>
      </c>
      <c r="M7315" t="s">
        <v>50</v>
      </c>
      <c r="N7315" t="s">
        <v>8</v>
      </c>
      <c r="O7315" t="s">
        <v>188</v>
      </c>
      <c r="P7315" s="1" t="s">
        <v>33</v>
      </c>
      <c r="Q7315">
        <v>143.30000000000001</v>
      </c>
    </row>
    <row r="7316" spans="11:17" x14ac:dyDescent="0.3">
      <c r="K7316">
        <v>2020</v>
      </c>
      <c r="L7316" t="s">
        <v>36</v>
      </c>
      <c r="M7316" t="s">
        <v>50</v>
      </c>
      <c r="N7316" t="s">
        <v>21</v>
      </c>
      <c r="O7316" t="s">
        <v>190</v>
      </c>
      <c r="P7316" s="1" t="s">
        <v>30</v>
      </c>
      <c r="Q7316">
        <v>153.4</v>
      </c>
    </row>
    <row r="7317" spans="11:17" x14ac:dyDescent="0.3">
      <c r="K7317">
        <v>2020</v>
      </c>
      <c r="L7317" t="s">
        <v>36</v>
      </c>
      <c r="M7317" t="s">
        <v>50</v>
      </c>
      <c r="N7317" t="s">
        <v>21</v>
      </c>
      <c r="O7317" t="s">
        <v>190</v>
      </c>
      <c r="P7317" s="1" t="s">
        <v>34</v>
      </c>
      <c r="Q7317">
        <v>148.9</v>
      </c>
    </row>
    <row r="7318" spans="11:17" x14ac:dyDescent="0.3">
      <c r="K7318">
        <v>2020</v>
      </c>
      <c r="L7318" t="s">
        <v>36</v>
      </c>
      <c r="M7318" t="s">
        <v>50</v>
      </c>
      <c r="N7318" t="s">
        <v>21</v>
      </c>
      <c r="O7318" t="s">
        <v>190</v>
      </c>
      <c r="P7318" s="1" t="s">
        <v>33</v>
      </c>
      <c r="Q7318">
        <v>141.4</v>
      </c>
    </row>
    <row r="7319" spans="11:17" x14ac:dyDescent="0.3">
      <c r="K7319">
        <v>2020</v>
      </c>
      <c r="L7319" t="s">
        <v>36</v>
      </c>
      <c r="M7319" t="s">
        <v>50</v>
      </c>
      <c r="N7319" t="s">
        <v>29</v>
      </c>
      <c r="O7319" t="s">
        <v>206</v>
      </c>
      <c r="P7319" s="1" t="s">
        <v>30</v>
      </c>
      <c r="Q7319">
        <v>149.80000000000001</v>
      </c>
    </row>
    <row r="7320" spans="11:17" x14ac:dyDescent="0.3">
      <c r="K7320">
        <v>2020</v>
      </c>
      <c r="L7320" t="s">
        <v>36</v>
      </c>
      <c r="M7320" t="s">
        <v>50</v>
      </c>
      <c r="N7320" t="s">
        <v>29</v>
      </c>
      <c r="O7320" t="s">
        <v>206</v>
      </c>
      <c r="P7320" s="1" t="s">
        <v>34</v>
      </c>
      <c r="Q7320">
        <v>148.6</v>
      </c>
    </row>
    <row r="7321" spans="11:17" x14ac:dyDescent="0.3">
      <c r="K7321">
        <v>2020</v>
      </c>
      <c r="L7321" t="s">
        <v>36</v>
      </c>
      <c r="M7321" t="s">
        <v>50</v>
      </c>
      <c r="N7321" t="s">
        <v>29</v>
      </c>
      <c r="O7321" t="s">
        <v>206</v>
      </c>
      <c r="P7321" s="1" t="s">
        <v>33</v>
      </c>
      <c r="Q7321">
        <v>147.30000000000001</v>
      </c>
    </row>
    <row r="7322" spans="11:17" x14ac:dyDescent="0.3">
      <c r="K7322">
        <v>2020</v>
      </c>
      <c r="L7322" t="s">
        <v>36</v>
      </c>
      <c r="M7322" t="s">
        <v>50</v>
      </c>
      <c r="N7322" t="s">
        <v>23</v>
      </c>
      <c r="O7322" t="s">
        <v>23</v>
      </c>
      <c r="P7322" s="1" t="s">
        <v>30</v>
      </c>
      <c r="Q7322">
        <v>156.69999999999999</v>
      </c>
    </row>
    <row r="7323" spans="11:17" x14ac:dyDescent="0.3">
      <c r="K7323">
        <v>2020</v>
      </c>
      <c r="L7323" t="s">
        <v>36</v>
      </c>
      <c r="M7323" t="s">
        <v>50</v>
      </c>
      <c r="N7323" t="s">
        <v>23</v>
      </c>
      <c r="O7323" t="s">
        <v>23</v>
      </c>
      <c r="P7323" s="1" t="s">
        <v>34</v>
      </c>
      <c r="Q7323">
        <v>152.30000000000001</v>
      </c>
    </row>
    <row r="7324" spans="11:17" x14ac:dyDescent="0.3">
      <c r="K7324">
        <v>2020</v>
      </c>
      <c r="L7324" t="s">
        <v>36</v>
      </c>
      <c r="M7324" t="s">
        <v>50</v>
      </c>
      <c r="N7324" t="s">
        <v>23</v>
      </c>
      <c r="O7324" t="s">
        <v>23</v>
      </c>
      <c r="P7324" s="1" t="s">
        <v>33</v>
      </c>
      <c r="Q7324">
        <v>145</v>
      </c>
    </row>
    <row r="7325" spans="11:17" x14ac:dyDescent="0.3">
      <c r="K7325">
        <v>2020</v>
      </c>
      <c r="L7325" t="s">
        <v>36</v>
      </c>
      <c r="M7325" t="s">
        <v>50</v>
      </c>
      <c r="N7325" t="s">
        <v>22</v>
      </c>
      <c r="O7325" t="s">
        <v>20</v>
      </c>
      <c r="P7325" s="1" t="s">
        <v>30</v>
      </c>
      <c r="Q7325">
        <v>151.5</v>
      </c>
    </row>
    <row r="7326" spans="11:17" x14ac:dyDescent="0.3">
      <c r="K7326">
        <v>2020</v>
      </c>
      <c r="L7326" t="s">
        <v>36</v>
      </c>
      <c r="M7326" t="s">
        <v>50</v>
      </c>
      <c r="N7326" t="s">
        <v>22</v>
      </c>
      <c r="O7326" t="s">
        <v>20</v>
      </c>
      <c r="P7326" s="1" t="s">
        <v>34</v>
      </c>
      <c r="Q7326">
        <v>146.4</v>
      </c>
    </row>
    <row r="7327" spans="11:17" x14ac:dyDescent="0.3">
      <c r="K7327">
        <v>2020</v>
      </c>
      <c r="L7327" t="s">
        <v>36</v>
      </c>
      <c r="M7327" t="s">
        <v>50</v>
      </c>
      <c r="N7327" t="s">
        <v>22</v>
      </c>
      <c r="O7327" t="s">
        <v>20</v>
      </c>
      <c r="P7327" s="1" t="s">
        <v>33</v>
      </c>
      <c r="Q7327">
        <v>140.80000000000001</v>
      </c>
    </row>
    <row r="7328" spans="11:17" x14ac:dyDescent="0.3">
      <c r="K7328">
        <v>2020</v>
      </c>
      <c r="L7328" t="s">
        <v>36</v>
      </c>
      <c r="M7328" t="s">
        <v>50</v>
      </c>
      <c r="N7328" t="s">
        <v>20</v>
      </c>
      <c r="O7328" t="s">
        <v>20</v>
      </c>
      <c r="P7328" s="1" t="s">
        <v>30</v>
      </c>
      <c r="Q7328">
        <v>0</v>
      </c>
    </row>
    <row r="7329" spans="11:17" x14ac:dyDescent="0.3">
      <c r="K7329">
        <v>2020</v>
      </c>
      <c r="L7329" t="s">
        <v>36</v>
      </c>
      <c r="M7329" t="s">
        <v>50</v>
      </c>
      <c r="N7329" t="s">
        <v>20</v>
      </c>
      <c r="O7329" t="s">
        <v>20</v>
      </c>
      <c r="P7329" s="1" t="s">
        <v>34</v>
      </c>
      <c r="Q7329">
        <v>154.5</v>
      </c>
    </row>
    <row r="7330" spans="11:17" x14ac:dyDescent="0.3">
      <c r="K7330">
        <v>2020</v>
      </c>
      <c r="L7330" t="s">
        <v>36</v>
      </c>
      <c r="M7330" t="s">
        <v>50</v>
      </c>
      <c r="N7330" t="s">
        <v>20</v>
      </c>
      <c r="O7330" t="s">
        <v>20</v>
      </c>
      <c r="P7330" s="1" t="s">
        <v>33</v>
      </c>
      <c r="Q7330">
        <v>154.5</v>
      </c>
    </row>
    <row r="7331" spans="11:17" x14ac:dyDescent="0.3">
      <c r="K7331">
        <v>2020</v>
      </c>
      <c r="L7331" t="s">
        <v>36</v>
      </c>
      <c r="M7331" t="s">
        <v>50</v>
      </c>
      <c r="N7331" t="s">
        <v>4</v>
      </c>
      <c r="O7331" t="s">
        <v>188</v>
      </c>
      <c r="P7331" s="1" t="s">
        <v>30</v>
      </c>
      <c r="Q7331">
        <v>166.8</v>
      </c>
    </row>
    <row r="7332" spans="11:17" x14ac:dyDescent="0.3">
      <c r="K7332">
        <v>2020</v>
      </c>
      <c r="L7332" t="s">
        <v>36</v>
      </c>
      <c r="M7332" t="s">
        <v>50</v>
      </c>
      <c r="N7332" t="s">
        <v>4</v>
      </c>
      <c r="O7332" t="s">
        <v>188</v>
      </c>
      <c r="P7332" s="1" t="s">
        <v>34</v>
      </c>
      <c r="Q7332">
        <v>167</v>
      </c>
    </row>
    <row r="7333" spans="11:17" x14ac:dyDescent="0.3">
      <c r="K7333">
        <v>2020</v>
      </c>
      <c r="L7333" t="s">
        <v>36</v>
      </c>
      <c r="M7333" t="s">
        <v>50</v>
      </c>
      <c r="N7333" t="s">
        <v>4</v>
      </c>
      <c r="O7333" t="s">
        <v>188</v>
      </c>
      <c r="P7333" s="1" t="s">
        <v>33</v>
      </c>
      <c r="Q7333">
        <v>167.5</v>
      </c>
    </row>
    <row r="7334" spans="11:17" x14ac:dyDescent="0.3">
      <c r="K7334">
        <v>2020</v>
      </c>
      <c r="L7334" t="s">
        <v>36</v>
      </c>
      <c r="M7334" t="s">
        <v>50</v>
      </c>
      <c r="N7334" t="s">
        <v>6</v>
      </c>
      <c r="O7334" t="s">
        <v>188</v>
      </c>
      <c r="P7334" s="1" t="s">
        <v>30</v>
      </c>
      <c r="Q7334">
        <v>151.69999999999999</v>
      </c>
    </row>
    <row r="7335" spans="11:17" x14ac:dyDescent="0.3">
      <c r="K7335">
        <v>2020</v>
      </c>
      <c r="L7335" t="s">
        <v>36</v>
      </c>
      <c r="M7335" t="s">
        <v>50</v>
      </c>
      <c r="N7335" t="s">
        <v>6</v>
      </c>
      <c r="O7335" t="s">
        <v>188</v>
      </c>
      <c r="P7335" s="1" t="s">
        <v>34</v>
      </c>
      <c r="Q7335">
        <v>151.5</v>
      </c>
    </row>
    <row r="7336" spans="11:17" x14ac:dyDescent="0.3">
      <c r="K7336">
        <v>2020</v>
      </c>
      <c r="L7336" t="s">
        <v>36</v>
      </c>
      <c r="M7336" t="s">
        <v>50</v>
      </c>
      <c r="N7336" t="s">
        <v>6</v>
      </c>
      <c r="O7336" t="s">
        <v>188</v>
      </c>
      <c r="P7336" s="1" t="s">
        <v>33</v>
      </c>
      <c r="Q7336">
        <v>151.1</v>
      </c>
    </row>
    <row r="7337" spans="11:17" x14ac:dyDescent="0.3">
      <c r="K7337">
        <v>2020</v>
      </c>
      <c r="L7337" t="s">
        <v>36</v>
      </c>
      <c r="M7337" t="s">
        <v>50</v>
      </c>
      <c r="N7337" t="s">
        <v>28</v>
      </c>
      <c r="O7337" t="s">
        <v>192</v>
      </c>
      <c r="P7337" s="1" t="s">
        <v>30</v>
      </c>
      <c r="Q7337">
        <v>148.6</v>
      </c>
    </row>
    <row r="7338" spans="11:17" x14ac:dyDescent="0.3">
      <c r="K7338">
        <v>2020</v>
      </c>
      <c r="L7338" t="s">
        <v>36</v>
      </c>
      <c r="M7338" t="s">
        <v>50</v>
      </c>
      <c r="N7338" t="s">
        <v>28</v>
      </c>
      <c r="O7338" t="s">
        <v>192</v>
      </c>
      <c r="P7338" s="1" t="s">
        <v>34</v>
      </c>
      <c r="Q7338">
        <v>143.80000000000001</v>
      </c>
    </row>
    <row r="7339" spans="11:17" x14ac:dyDescent="0.3">
      <c r="K7339">
        <v>2020</v>
      </c>
      <c r="L7339" t="s">
        <v>36</v>
      </c>
      <c r="M7339" t="s">
        <v>50</v>
      </c>
      <c r="N7339" t="s">
        <v>28</v>
      </c>
      <c r="O7339" t="s">
        <v>192</v>
      </c>
      <c r="P7339" s="1" t="s">
        <v>33</v>
      </c>
      <c r="Q7339">
        <v>138.69999999999999</v>
      </c>
    </row>
    <row r="7340" spans="11:17" x14ac:dyDescent="0.3">
      <c r="K7340">
        <v>2020</v>
      </c>
      <c r="L7340" t="s">
        <v>36</v>
      </c>
      <c r="M7340" t="s">
        <v>50</v>
      </c>
      <c r="N7340" t="s">
        <v>13</v>
      </c>
      <c r="O7340" t="s">
        <v>188</v>
      </c>
      <c r="P7340" s="1" t="s">
        <v>30</v>
      </c>
      <c r="Q7340">
        <v>140.1</v>
      </c>
    </row>
    <row r="7341" spans="11:17" x14ac:dyDescent="0.3">
      <c r="K7341">
        <v>2020</v>
      </c>
      <c r="L7341" t="s">
        <v>36</v>
      </c>
      <c r="M7341" t="s">
        <v>50</v>
      </c>
      <c r="N7341" t="s">
        <v>13</v>
      </c>
      <c r="O7341" t="s">
        <v>188</v>
      </c>
      <c r="P7341" s="1" t="s">
        <v>34</v>
      </c>
      <c r="Q7341">
        <v>136.69999999999999</v>
      </c>
    </row>
    <row r="7342" spans="11:17" x14ac:dyDescent="0.3">
      <c r="K7342">
        <v>2020</v>
      </c>
      <c r="L7342" t="s">
        <v>36</v>
      </c>
      <c r="M7342" t="s">
        <v>50</v>
      </c>
      <c r="N7342" t="s">
        <v>13</v>
      </c>
      <c r="O7342" t="s">
        <v>188</v>
      </c>
      <c r="P7342" s="1" t="s">
        <v>33</v>
      </c>
      <c r="Q7342">
        <v>131.9</v>
      </c>
    </row>
    <row r="7343" spans="11:17" x14ac:dyDescent="0.3">
      <c r="K7343">
        <v>2020</v>
      </c>
      <c r="L7343" t="s">
        <v>36</v>
      </c>
      <c r="M7343" t="s">
        <v>50</v>
      </c>
      <c r="N7343" t="s">
        <v>7</v>
      </c>
      <c r="O7343" t="s">
        <v>188</v>
      </c>
      <c r="P7343" s="1" t="s">
        <v>30</v>
      </c>
      <c r="Q7343">
        <v>133.30000000000001</v>
      </c>
    </row>
    <row r="7344" spans="11:17" x14ac:dyDescent="0.3">
      <c r="K7344">
        <v>2020</v>
      </c>
      <c r="L7344" t="s">
        <v>36</v>
      </c>
      <c r="M7344" t="s">
        <v>50</v>
      </c>
      <c r="N7344" t="s">
        <v>7</v>
      </c>
      <c r="O7344" t="s">
        <v>188</v>
      </c>
      <c r="P7344" s="1" t="s">
        <v>34</v>
      </c>
      <c r="Q7344">
        <v>131.19999999999999</v>
      </c>
    </row>
    <row r="7345" spans="11:17" x14ac:dyDescent="0.3">
      <c r="K7345">
        <v>2020</v>
      </c>
      <c r="L7345" t="s">
        <v>36</v>
      </c>
      <c r="M7345" t="s">
        <v>50</v>
      </c>
      <c r="N7345" t="s">
        <v>7</v>
      </c>
      <c r="O7345" t="s">
        <v>188</v>
      </c>
      <c r="P7345" s="1" t="s">
        <v>33</v>
      </c>
      <c r="Q7345">
        <v>127.5</v>
      </c>
    </row>
    <row r="7346" spans="11:17" x14ac:dyDescent="0.3">
      <c r="K7346">
        <v>2020</v>
      </c>
      <c r="L7346" t="s">
        <v>36</v>
      </c>
      <c r="M7346" t="s">
        <v>50</v>
      </c>
      <c r="N7346" t="s">
        <v>16</v>
      </c>
      <c r="O7346" t="s">
        <v>192</v>
      </c>
      <c r="P7346" s="1" t="s">
        <v>30</v>
      </c>
      <c r="Q7346">
        <v>170.5</v>
      </c>
    </row>
    <row r="7347" spans="11:17" x14ac:dyDescent="0.3">
      <c r="K7347">
        <v>2020</v>
      </c>
      <c r="L7347" t="s">
        <v>36</v>
      </c>
      <c r="M7347" t="s">
        <v>50</v>
      </c>
      <c r="N7347" t="s">
        <v>16</v>
      </c>
      <c r="O7347" t="s">
        <v>192</v>
      </c>
      <c r="P7347" s="1" t="s">
        <v>34</v>
      </c>
      <c r="Q7347">
        <v>171.2</v>
      </c>
    </row>
    <row r="7348" spans="11:17" x14ac:dyDescent="0.3">
      <c r="K7348">
        <v>2020</v>
      </c>
      <c r="L7348" t="s">
        <v>36</v>
      </c>
      <c r="M7348" t="s">
        <v>50</v>
      </c>
      <c r="N7348" t="s">
        <v>16</v>
      </c>
      <c r="O7348" t="s">
        <v>192</v>
      </c>
      <c r="P7348" s="1" t="s">
        <v>33</v>
      </c>
      <c r="Q7348">
        <v>173.3</v>
      </c>
    </row>
    <row r="7349" spans="11:17" x14ac:dyDescent="0.3">
      <c r="K7349">
        <v>2020</v>
      </c>
      <c r="L7349" t="s">
        <v>36</v>
      </c>
      <c r="M7349" t="s">
        <v>50</v>
      </c>
      <c r="N7349" t="s">
        <v>27</v>
      </c>
      <c r="O7349" t="s">
        <v>192</v>
      </c>
      <c r="P7349" s="1" t="s">
        <v>30</v>
      </c>
      <c r="Q7349">
        <v>145.1</v>
      </c>
    </row>
    <row r="7350" spans="11:17" x14ac:dyDescent="0.3">
      <c r="K7350">
        <v>2020</v>
      </c>
      <c r="L7350" t="s">
        <v>36</v>
      </c>
      <c r="M7350" t="s">
        <v>50</v>
      </c>
      <c r="N7350" t="s">
        <v>27</v>
      </c>
      <c r="O7350" t="s">
        <v>192</v>
      </c>
      <c r="P7350" s="1" t="s">
        <v>34</v>
      </c>
      <c r="Q7350">
        <v>145.19999999999999</v>
      </c>
    </row>
    <row r="7351" spans="11:17" x14ac:dyDescent="0.3">
      <c r="K7351">
        <v>2020</v>
      </c>
      <c r="L7351" t="s">
        <v>36</v>
      </c>
      <c r="M7351" t="s">
        <v>50</v>
      </c>
      <c r="N7351" t="s">
        <v>27</v>
      </c>
      <c r="O7351" t="s">
        <v>192</v>
      </c>
      <c r="P7351" s="1" t="s">
        <v>33</v>
      </c>
      <c r="Q7351">
        <v>145.30000000000001</v>
      </c>
    </row>
    <row r="7352" spans="11:17" x14ac:dyDescent="0.3">
      <c r="K7352">
        <v>2020</v>
      </c>
      <c r="L7352" t="s">
        <v>36</v>
      </c>
      <c r="M7352" t="s">
        <v>50</v>
      </c>
      <c r="N7352" t="s">
        <v>14</v>
      </c>
      <c r="O7352" t="s">
        <v>188</v>
      </c>
      <c r="P7352" s="1" t="s">
        <v>30</v>
      </c>
      <c r="Q7352">
        <v>160</v>
      </c>
    </row>
    <row r="7353" spans="11:17" x14ac:dyDescent="0.3">
      <c r="K7353">
        <v>2020</v>
      </c>
      <c r="L7353" t="s">
        <v>36</v>
      </c>
      <c r="M7353" t="s">
        <v>50</v>
      </c>
      <c r="N7353" t="s">
        <v>14</v>
      </c>
      <c r="O7353" t="s">
        <v>188</v>
      </c>
      <c r="P7353" s="1" t="s">
        <v>34</v>
      </c>
      <c r="Q7353">
        <v>159.6</v>
      </c>
    </row>
    <row r="7354" spans="11:17" x14ac:dyDescent="0.3">
      <c r="K7354">
        <v>2020</v>
      </c>
      <c r="L7354" t="s">
        <v>36</v>
      </c>
      <c r="M7354" t="s">
        <v>50</v>
      </c>
      <c r="N7354" t="s">
        <v>14</v>
      </c>
      <c r="O7354" t="s">
        <v>188</v>
      </c>
      <c r="P7354" s="1" t="s">
        <v>33</v>
      </c>
      <c r="Q7354">
        <v>159.1</v>
      </c>
    </row>
    <row r="7355" spans="11:17" x14ac:dyDescent="0.3">
      <c r="K7355">
        <v>2020</v>
      </c>
      <c r="L7355" t="s">
        <v>36</v>
      </c>
      <c r="M7355" t="s">
        <v>50</v>
      </c>
      <c r="N7355" t="s">
        <v>10</v>
      </c>
      <c r="O7355" t="s">
        <v>188</v>
      </c>
      <c r="P7355" s="1" t="s">
        <v>30</v>
      </c>
      <c r="Q7355">
        <v>141.80000000000001</v>
      </c>
    </row>
    <row r="7356" spans="11:17" x14ac:dyDescent="0.3">
      <c r="K7356">
        <v>2020</v>
      </c>
      <c r="L7356" t="s">
        <v>36</v>
      </c>
      <c r="M7356" t="s">
        <v>50</v>
      </c>
      <c r="N7356" t="s">
        <v>10</v>
      </c>
      <c r="O7356" t="s">
        <v>188</v>
      </c>
      <c r="P7356" s="1" t="s">
        <v>34</v>
      </c>
      <c r="Q7356">
        <v>141.1</v>
      </c>
    </row>
    <row r="7357" spans="11:17" x14ac:dyDescent="0.3">
      <c r="K7357">
        <v>2020</v>
      </c>
      <c r="L7357" t="s">
        <v>36</v>
      </c>
      <c r="M7357" t="s">
        <v>50</v>
      </c>
      <c r="N7357" t="s">
        <v>10</v>
      </c>
      <c r="O7357" t="s">
        <v>188</v>
      </c>
      <c r="P7357" s="1" t="s">
        <v>33</v>
      </c>
      <c r="Q7357">
        <v>139.69999999999999</v>
      </c>
    </row>
    <row r="7358" spans="11:17" x14ac:dyDescent="0.3">
      <c r="K7358">
        <v>2020</v>
      </c>
      <c r="L7358" t="s">
        <v>36</v>
      </c>
      <c r="M7358" t="s">
        <v>50</v>
      </c>
      <c r="N7358" t="s">
        <v>25</v>
      </c>
      <c r="O7358" t="s">
        <v>195</v>
      </c>
      <c r="P7358" s="1" t="s">
        <v>30</v>
      </c>
      <c r="Q7358">
        <v>151.19999999999999</v>
      </c>
    </row>
    <row r="7359" spans="11:17" x14ac:dyDescent="0.3">
      <c r="K7359">
        <v>2020</v>
      </c>
      <c r="L7359" t="s">
        <v>36</v>
      </c>
      <c r="M7359" t="s">
        <v>50</v>
      </c>
      <c r="N7359" t="s">
        <v>25</v>
      </c>
      <c r="O7359" t="s">
        <v>195</v>
      </c>
      <c r="P7359" s="1" t="s">
        <v>34</v>
      </c>
      <c r="Q7359">
        <v>143.69999999999999</v>
      </c>
    </row>
    <row r="7360" spans="11:17" x14ac:dyDescent="0.3">
      <c r="K7360">
        <v>2020</v>
      </c>
      <c r="L7360" t="s">
        <v>36</v>
      </c>
      <c r="M7360" t="s">
        <v>50</v>
      </c>
      <c r="N7360" t="s">
        <v>25</v>
      </c>
      <c r="O7360" t="s">
        <v>195</v>
      </c>
      <c r="P7360" s="1" t="s">
        <v>33</v>
      </c>
      <c r="Q7360">
        <v>137.9</v>
      </c>
    </row>
    <row r="7361" spans="11:17" x14ac:dyDescent="0.3">
      <c r="K7361">
        <v>2020</v>
      </c>
      <c r="L7361" t="s">
        <v>36</v>
      </c>
      <c r="M7361" t="s">
        <v>50</v>
      </c>
      <c r="N7361" t="s">
        <v>12</v>
      </c>
      <c r="O7361" t="s">
        <v>188</v>
      </c>
      <c r="P7361" s="1" t="s">
        <v>30</v>
      </c>
      <c r="Q7361">
        <v>154</v>
      </c>
    </row>
    <row r="7362" spans="11:17" x14ac:dyDescent="0.3">
      <c r="K7362">
        <v>2020</v>
      </c>
      <c r="L7362" t="s">
        <v>36</v>
      </c>
      <c r="M7362" t="s">
        <v>50</v>
      </c>
      <c r="N7362" t="s">
        <v>12</v>
      </c>
      <c r="O7362" t="s">
        <v>188</v>
      </c>
      <c r="P7362" s="1" t="s">
        <v>34</v>
      </c>
      <c r="Q7362">
        <v>153.19999999999999</v>
      </c>
    </row>
    <row r="7363" spans="11:17" x14ac:dyDescent="0.3">
      <c r="K7363">
        <v>2020</v>
      </c>
      <c r="L7363" t="s">
        <v>36</v>
      </c>
      <c r="M7363" t="s">
        <v>50</v>
      </c>
      <c r="N7363" t="s">
        <v>12</v>
      </c>
      <c r="O7363" t="s">
        <v>188</v>
      </c>
      <c r="P7363" s="1" t="s">
        <v>33</v>
      </c>
      <c r="Q7363">
        <v>151.5</v>
      </c>
    </row>
    <row r="7364" spans="11:17" x14ac:dyDescent="0.3">
      <c r="K7364">
        <v>2020</v>
      </c>
      <c r="L7364" t="s">
        <v>36</v>
      </c>
      <c r="M7364" t="s">
        <v>50</v>
      </c>
      <c r="N7364" t="s">
        <v>11</v>
      </c>
      <c r="O7364" t="s">
        <v>188</v>
      </c>
      <c r="P7364" s="1" t="s">
        <v>30</v>
      </c>
      <c r="Q7364">
        <v>112.6</v>
      </c>
    </row>
    <row r="7365" spans="11:17" x14ac:dyDescent="0.3">
      <c r="K7365">
        <v>2020</v>
      </c>
      <c r="L7365" t="s">
        <v>36</v>
      </c>
      <c r="M7365" t="s">
        <v>50</v>
      </c>
      <c r="N7365" t="s">
        <v>11</v>
      </c>
      <c r="O7365" t="s">
        <v>188</v>
      </c>
      <c r="P7365" s="1" t="s">
        <v>34</v>
      </c>
      <c r="Q7365">
        <v>113.2</v>
      </c>
    </row>
    <row r="7366" spans="11:17" x14ac:dyDescent="0.3">
      <c r="K7366">
        <v>2020</v>
      </c>
      <c r="L7366" t="s">
        <v>36</v>
      </c>
      <c r="M7366" t="s">
        <v>50</v>
      </c>
      <c r="N7366" t="s">
        <v>11</v>
      </c>
      <c r="O7366" t="s">
        <v>188</v>
      </c>
      <c r="P7366" s="1" t="s">
        <v>33</v>
      </c>
      <c r="Q7366">
        <v>114.4</v>
      </c>
    </row>
    <row r="7367" spans="11:17" x14ac:dyDescent="0.3">
      <c r="K7367">
        <v>2020</v>
      </c>
      <c r="L7367" t="s">
        <v>36</v>
      </c>
      <c r="M7367" t="s">
        <v>50</v>
      </c>
      <c r="N7367" t="s">
        <v>24</v>
      </c>
      <c r="O7367" t="s">
        <v>191</v>
      </c>
      <c r="P7367" s="1" t="s">
        <v>30</v>
      </c>
      <c r="Q7367">
        <v>135.80000000000001</v>
      </c>
    </row>
    <row r="7368" spans="11:17" x14ac:dyDescent="0.3">
      <c r="K7368">
        <v>2020</v>
      </c>
      <c r="L7368" t="s">
        <v>36</v>
      </c>
      <c r="M7368" t="s">
        <v>50</v>
      </c>
      <c r="N7368" t="s">
        <v>24</v>
      </c>
      <c r="O7368" t="s">
        <v>191</v>
      </c>
      <c r="P7368" s="1" t="s">
        <v>34</v>
      </c>
      <c r="Q7368">
        <v>129.9</v>
      </c>
    </row>
    <row r="7369" spans="11:17" x14ac:dyDescent="0.3">
      <c r="K7369">
        <v>2020</v>
      </c>
      <c r="L7369" t="s">
        <v>36</v>
      </c>
      <c r="M7369" t="s">
        <v>50</v>
      </c>
      <c r="N7369" t="s">
        <v>24</v>
      </c>
      <c r="O7369" t="s">
        <v>191</v>
      </c>
      <c r="P7369" s="1" t="s">
        <v>33</v>
      </c>
      <c r="Q7369">
        <v>124.6</v>
      </c>
    </row>
    <row r="7370" spans="11:17" x14ac:dyDescent="0.3">
      <c r="K7370">
        <v>2020</v>
      </c>
      <c r="L7370" t="s">
        <v>36</v>
      </c>
      <c r="M7370" t="s">
        <v>50</v>
      </c>
      <c r="N7370" t="s">
        <v>9</v>
      </c>
      <c r="O7370" t="s">
        <v>188</v>
      </c>
      <c r="P7370" s="1" t="s">
        <v>30</v>
      </c>
      <c r="Q7370">
        <v>152.30000000000001</v>
      </c>
    </row>
    <row r="7371" spans="11:17" x14ac:dyDescent="0.3">
      <c r="K7371">
        <v>2020</v>
      </c>
      <c r="L7371" t="s">
        <v>36</v>
      </c>
      <c r="M7371" t="s">
        <v>50</v>
      </c>
      <c r="N7371" t="s">
        <v>9</v>
      </c>
      <c r="O7371" t="s">
        <v>188</v>
      </c>
      <c r="P7371" s="1" t="s">
        <v>34</v>
      </c>
      <c r="Q7371">
        <v>157.30000000000001</v>
      </c>
    </row>
    <row r="7372" spans="11:17" x14ac:dyDescent="0.3">
      <c r="K7372">
        <v>2020</v>
      </c>
      <c r="L7372" t="s">
        <v>36</v>
      </c>
      <c r="M7372" t="s">
        <v>50</v>
      </c>
      <c r="N7372" t="s">
        <v>9</v>
      </c>
      <c r="O7372" t="s">
        <v>188</v>
      </c>
      <c r="P7372" s="1" t="s">
        <v>33</v>
      </c>
      <c r="Q7372">
        <v>167</v>
      </c>
    </row>
    <row r="7373" spans="11:17" x14ac:dyDescent="0.3">
      <c r="K7373">
        <v>2020</v>
      </c>
      <c r="L7373" t="s">
        <v>38</v>
      </c>
      <c r="M7373" t="s">
        <v>52</v>
      </c>
      <c r="N7373" t="s">
        <v>3</v>
      </c>
      <c r="O7373" t="s">
        <v>188</v>
      </c>
      <c r="P7373" s="1" t="s">
        <v>30</v>
      </c>
      <c r="Q7373">
        <v>145.26666666666668</v>
      </c>
    </row>
    <row r="7374" spans="11:17" x14ac:dyDescent="0.3">
      <c r="K7374">
        <v>2020</v>
      </c>
      <c r="L7374" t="s">
        <v>38</v>
      </c>
      <c r="M7374" t="s">
        <v>52</v>
      </c>
      <c r="N7374" t="s">
        <v>3</v>
      </c>
      <c r="O7374" t="s">
        <v>188</v>
      </c>
      <c r="P7374" s="1" t="s">
        <v>34</v>
      </c>
      <c r="Q7374">
        <v>146.19999999999999</v>
      </c>
    </row>
    <row r="7375" spans="11:17" x14ac:dyDescent="0.3">
      <c r="K7375">
        <v>2020</v>
      </c>
      <c r="L7375" t="s">
        <v>38</v>
      </c>
      <c r="M7375" t="s">
        <v>52</v>
      </c>
      <c r="N7375" t="s">
        <v>3</v>
      </c>
      <c r="O7375" t="s">
        <v>188</v>
      </c>
      <c r="P7375" s="1" t="s">
        <v>33</v>
      </c>
      <c r="Q7375">
        <v>148.16666666666666</v>
      </c>
    </row>
    <row r="7376" spans="11:17" x14ac:dyDescent="0.3">
      <c r="K7376">
        <v>2020</v>
      </c>
      <c r="L7376" t="s">
        <v>38</v>
      </c>
      <c r="M7376" t="s">
        <v>52</v>
      </c>
      <c r="N7376" t="s">
        <v>17</v>
      </c>
      <c r="O7376" t="s">
        <v>189</v>
      </c>
      <c r="P7376" s="1" t="s">
        <v>30</v>
      </c>
      <c r="Q7376">
        <v>153.15555555555557</v>
      </c>
    </row>
    <row r="7377" spans="11:17" x14ac:dyDescent="0.3">
      <c r="K7377">
        <v>2020</v>
      </c>
      <c r="L7377" t="s">
        <v>38</v>
      </c>
      <c r="M7377" t="s">
        <v>52</v>
      </c>
      <c r="N7377" t="s">
        <v>17</v>
      </c>
      <c r="O7377" t="s">
        <v>189</v>
      </c>
      <c r="P7377" s="1" t="s">
        <v>34</v>
      </c>
      <c r="Q7377">
        <v>149.7777777777778</v>
      </c>
    </row>
    <row r="7378" spans="11:17" x14ac:dyDescent="0.3">
      <c r="K7378">
        <v>2020</v>
      </c>
      <c r="L7378" t="s">
        <v>38</v>
      </c>
      <c r="M7378" t="s">
        <v>52</v>
      </c>
      <c r="N7378" t="s">
        <v>17</v>
      </c>
      <c r="O7378" t="s">
        <v>189</v>
      </c>
      <c r="P7378" s="1" t="s">
        <v>33</v>
      </c>
      <c r="Q7378">
        <v>148.61111111111111</v>
      </c>
    </row>
    <row r="7379" spans="11:17" x14ac:dyDescent="0.3">
      <c r="K7379">
        <v>2020</v>
      </c>
      <c r="L7379" t="s">
        <v>38</v>
      </c>
      <c r="M7379" t="s">
        <v>52</v>
      </c>
      <c r="N7379" t="s">
        <v>19</v>
      </c>
      <c r="O7379" t="s">
        <v>189</v>
      </c>
      <c r="P7379" s="1" t="s">
        <v>30</v>
      </c>
      <c r="Q7379">
        <v>152.36666666666667</v>
      </c>
    </row>
    <row r="7380" spans="11:17" x14ac:dyDescent="0.3">
      <c r="K7380">
        <v>2020</v>
      </c>
      <c r="L7380" t="s">
        <v>38</v>
      </c>
      <c r="M7380" t="s">
        <v>52</v>
      </c>
      <c r="N7380" t="s">
        <v>19</v>
      </c>
      <c r="O7380" t="s">
        <v>189</v>
      </c>
      <c r="P7380" s="1" t="s">
        <v>34</v>
      </c>
      <c r="Q7380">
        <v>148.17777777777778</v>
      </c>
    </row>
    <row r="7381" spans="11:17" x14ac:dyDescent="0.3">
      <c r="K7381">
        <v>2020</v>
      </c>
      <c r="L7381" t="s">
        <v>38</v>
      </c>
      <c r="M7381" t="s">
        <v>52</v>
      </c>
      <c r="N7381" t="s">
        <v>19</v>
      </c>
      <c r="O7381" t="s">
        <v>189</v>
      </c>
      <c r="P7381" s="1" t="s">
        <v>33</v>
      </c>
      <c r="Q7381">
        <v>146.76666666666665</v>
      </c>
    </row>
    <row r="7382" spans="11:17" x14ac:dyDescent="0.3">
      <c r="K7382">
        <v>2020</v>
      </c>
      <c r="L7382" t="s">
        <v>38</v>
      </c>
      <c r="M7382" t="s">
        <v>52</v>
      </c>
      <c r="N7382" t="s">
        <v>26</v>
      </c>
      <c r="O7382" t="s">
        <v>26</v>
      </c>
      <c r="P7382" s="1" t="s">
        <v>30</v>
      </c>
      <c r="Q7382">
        <v>161.56666666666669</v>
      </c>
    </row>
    <row r="7383" spans="11:17" x14ac:dyDescent="0.3">
      <c r="K7383">
        <v>2020</v>
      </c>
      <c r="L7383" t="s">
        <v>38</v>
      </c>
      <c r="M7383" t="s">
        <v>52</v>
      </c>
      <c r="N7383" t="s">
        <v>26</v>
      </c>
      <c r="O7383" t="s">
        <v>26</v>
      </c>
      <c r="P7383" s="1" t="s">
        <v>34</v>
      </c>
      <c r="Q7383">
        <v>154.85555555555553</v>
      </c>
    </row>
    <row r="7384" spans="11:17" x14ac:dyDescent="0.3">
      <c r="K7384">
        <v>2020</v>
      </c>
      <c r="L7384" t="s">
        <v>38</v>
      </c>
      <c r="M7384" t="s">
        <v>52</v>
      </c>
      <c r="N7384" t="s">
        <v>26</v>
      </c>
      <c r="O7384" t="s">
        <v>26</v>
      </c>
      <c r="P7384" s="1" t="s">
        <v>33</v>
      </c>
      <c r="Q7384">
        <v>153.61111111111111</v>
      </c>
    </row>
    <row r="7385" spans="11:17" x14ac:dyDescent="0.3">
      <c r="K7385">
        <v>2020</v>
      </c>
      <c r="L7385" t="s">
        <v>38</v>
      </c>
      <c r="M7385" t="s">
        <v>52</v>
      </c>
      <c r="N7385" t="s">
        <v>5</v>
      </c>
      <c r="O7385" t="s">
        <v>188</v>
      </c>
      <c r="P7385" s="1" t="s">
        <v>30</v>
      </c>
      <c r="Q7385">
        <v>148.46666666666667</v>
      </c>
    </row>
    <row r="7386" spans="11:17" x14ac:dyDescent="0.3">
      <c r="K7386">
        <v>2020</v>
      </c>
      <c r="L7386" t="s">
        <v>38</v>
      </c>
      <c r="M7386" t="s">
        <v>52</v>
      </c>
      <c r="N7386" t="s">
        <v>5</v>
      </c>
      <c r="O7386" t="s">
        <v>188</v>
      </c>
      <c r="P7386" s="1" t="s">
        <v>34</v>
      </c>
      <c r="Q7386">
        <v>149.56666666666666</v>
      </c>
    </row>
    <row r="7387" spans="11:17" x14ac:dyDescent="0.3">
      <c r="K7387">
        <v>2020</v>
      </c>
      <c r="L7387" t="s">
        <v>38</v>
      </c>
      <c r="M7387" t="s">
        <v>52</v>
      </c>
      <c r="N7387" t="s">
        <v>5</v>
      </c>
      <c r="O7387" t="s">
        <v>188</v>
      </c>
      <c r="P7387" s="1" t="s">
        <v>33</v>
      </c>
      <c r="Q7387">
        <v>151.29999999999998</v>
      </c>
    </row>
    <row r="7388" spans="11:17" x14ac:dyDescent="0.3">
      <c r="K7388">
        <v>2020</v>
      </c>
      <c r="L7388" t="s">
        <v>38</v>
      </c>
      <c r="M7388" t="s">
        <v>52</v>
      </c>
      <c r="N7388" t="s">
        <v>15</v>
      </c>
      <c r="O7388" t="s">
        <v>188</v>
      </c>
      <c r="P7388" s="1" t="s">
        <v>30</v>
      </c>
      <c r="Q7388">
        <v>149.36666666666667</v>
      </c>
    </row>
    <row r="7389" spans="11:17" x14ac:dyDescent="0.3">
      <c r="K7389">
        <v>2020</v>
      </c>
      <c r="L7389" t="s">
        <v>38</v>
      </c>
      <c r="M7389" t="s">
        <v>52</v>
      </c>
      <c r="N7389" t="s">
        <v>15</v>
      </c>
      <c r="O7389" t="s">
        <v>188</v>
      </c>
      <c r="P7389" s="1" t="s">
        <v>34</v>
      </c>
      <c r="Q7389">
        <v>150.26666666666665</v>
      </c>
    </row>
    <row r="7390" spans="11:17" x14ac:dyDescent="0.3">
      <c r="K7390">
        <v>2020</v>
      </c>
      <c r="L7390" t="s">
        <v>38</v>
      </c>
      <c r="M7390" t="s">
        <v>52</v>
      </c>
      <c r="N7390" t="s">
        <v>15</v>
      </c>
      <c r="O7390" t="s">
        <v>188</v>
      </c>
      <c r="P7390" s="1" t="s">
        <v>33</v>
      </c>
      <c r="Q7390">
        <v>151.76666666666665</v>
      </c>
    </row>
    <row r="7391" spans="11:17" x14ac:dyDescent="0.3">
      <c r="K7391">
        <v>2020</v>
      </c>
      <c r="L7391" t="s">
        <v>38</v>
      </c>
      <c r="M7391" t="s">
        <v>52</v>
      </c>
      <c r="N7391" t="s">
        <v>18</v>
      </c>
      <c r="O7391" t="s">
        <v>189</v>
      </c>
      <c r="P7391" s="1" t="s">
        <v>30</v>
      </c>
      <c r="Q7391">
        <v>147.53333333333333</v>
      </c>
    </row>
    <row r="7392" spans="11:17" x14ac:dyDescent="0.3">
      <c r="K7392">
        <v>2020</v>
      </c>
      <c r="L7392" t="s">
        <v>38</v>
      </c>
      <c r="M7392" t="s">
        <v>52</v>
      </c>
      <c r="N7392" t="s">
        <v>18</v>
      </c>
      <c r="O7392" t="s">
        <v>189</v>
      </c>
      <c r="P7392" s="1" t="s">
        <v>34</v>
      </c>
      <c r="Q7392">
        <v>139.03333333333333</v>
      </c>
    </row>
    <row r="7393" spans="11:17" x14ac:dyDescent="0.3">
      <c r="K7393">
        <v>2020</v>
      </c>
      <c r="L7393" t="s">
        <v>38</v>
      </c>
      <c r="M7393" t="s">
        <v>52</v>
      </c>
      <c r="N7393" t="s">
        <v>18</v>
      </c>
      <c r="O7393" t="s">
        <v>189</v>
      </c>
      <c r="P7393" s="1" t="s">
        <v>33</v>
      </c>
      <c r="Q7393">
        <v>136.33333333333334</v>
      </c>
    </row>
    <row r="7394" spans="11:17" x14ac:dyDescent="0.3">
      <c r="K7394">
        <v>2020</v>
      </c>
      <c r="L7394" t="s">
        <v>38</v>
      </c>
      <c r="M7394" t="s">
        <v>52</v>
      </c>
      <c r="N7394" t="s">
        <v>8</v>
      </c>
      <c r="O7394" t="s">
        <v>188</v>
      </c>
      <c r="P7394" s="1" t="s">
        <v>30</v>
      </c>
      <c r="Q7394">
        <v>143.26666666666668</v>
      </c>
    </row>
    <row r="7395" spans="11:17" x14ac:dyDescent="0.3">
      <c r="K7395">
        <v>2020</v>
      </c>
      <c r="L7395" t="s">
        <v>38</v>
      </c>
      <c r="M7395" t="s">
        <v>52</v>
      </c>
      <c r="N7395" t="s">
        <v>8</v>
      </c>
      <c r="O7395" t="s">
        <v>188</v>
      </c>
      <c r="P7395" s="1" t="s">
        <v>34</v>
      </c>
      <c r="Q7395">
        <v>144.73333333333335</v>
      </c>
    </row>
    <row r="7396" spans="11:17" x14ac:dyDescent="0.3">
      <c r="K7396">
        <v>2020</v>
      </c>
      <c r="L7396" t="s">
        <v>38</v>
      </c>
      <c r="M7396" t="s">
        <v>52</v>
      </c>
      <c r="N7396" t="s">
        <v>8</v>
      </c>
      <c r="O7396" t="s">
        <v>188</v>
      </c>
      <c r="P7396" s="1" t="s">
        <v>33</v>
      </c>
      <c r="Q7396">
        <v>146.43333333333331</v>
      </c>
    </row>
    <row r="7397" spans="11:17" x14ac:dyDescent="0.3">
      <c r="K7397">
        <v>2020</v>
      </c>
      <c r="L7397" t="s">
        <v>38</v>
      </c>
      <c r="M7397" t="s">
        <v>52</v>
      </c>
      <c r="N7397" t="s">
        <v>21</v>
      </c>
      <c r="O7397" t="s">
        <v>190</v>
      </c>
      <c r="P7397" s="1" t="s">
        <v>30</v>
      </c>
      <c r="Q7397">
        <v>151.36666666666667</v>
      </c>
    </row>
    <row r="7398" spans="11:17" x14ac:dyDescent="0.3">
      <c r="K7398">
        <v>2020</v>
      </c>
      <c r="L7398" t="s">
        <v>38</v>
      </c>
      <c r="M7398" t="s">
        <v>52</v>
      </c>
      <c r="N7398" t="s">
        <v>21</v>
      </c>
      <c r="O7398" t="s">
        <v>190</v>
      </c>
      <c r="P7398" s="1" t="s">
        <v>34</v>
      </c>
      <c r="Q7398">
        <v>146.73333333333335</v>
      </c>
    </row>
    <row r="7399" spans="11:17" x14ac:dyDescent="0.3">
      <c r="K7399">
        <v>2020</v>
      </c>
      <c r="L7399" t="s">
        <v>38</v>
      </c>
      <c r="M7399" t="s">
        <v>52</v>
      </c>
      <c r="N7399" t="s">
        <v>21</v>
      </c>
      <c r="O7399" t="s">
        <v>190</v>
      </c>
      <c r="P7399" s="1" t="s">
        <v>33</v>
      </c>
      <c r="Q7399">
        <v>139.13333333333333</v>
      </c>
    </row>
    <row r="7400" spans="11:17" x14ac:dyDescent="0.3">
      <c r="K7400">
        <v>2020</v>
      </c>
      <c r="L7400" t="s">
        <v>38</v>
      </c>
      <c r="M7400" t="s">
        <v>52</v>
      </c>
      <c r="N7400" t="s">
        <v>29</v>
      </c>
      <c r="O7400" t="s">
        <v>206</v>
      </c>
      <c r="P7400" s="1" t="s">
        <v>30</v>
      </c>
      <c r="Q7400">
        <v>150.30000000000004</v>
      </c>
    </row>
    <row r="7401" spans="11:17" x14ac:dyDescent="0.3">
      <c r="K7401">
        <v>2020</v>
      </c>
      <c r="L7401" t="s">
        <v>38</v>
      </c>
      <c r="M7401" t="s">
        <v>52</v>
      </c>
      <c r="N7401" t="s">
        <v>29</v>
      </c>
      <c r="O7401" t="s">
        <v>206</v>
      </c>
      <c r="P7401" s="1" t="s">
        <v>34</v>
      </c>
      <c r="Q7401">
        <v>148.47777777777776</v>
      </c>
    </row>
    <row r="7402" spans="11:17" x14ac:dyDescent="0.3">
      <c r="K7402">
        <v>2020</v>
      </c>
      <c r="L7402" t="s">
        <v>38</v>
      </c>
      <c r="M7402" t="s">
        <v>52</v>
      </c>
      <c r="N7402" t="s">
        <v>29</v>
      </c>
      <c r="O7402" t="s">
        <v>206</v>
      </c>
      <c r="P7402" s="1" t="s">
        <v>33</v>
      </c>
      <c r="Q7402">
        <v>148.1</v>
      </c>
    </row>
    <row r="7403" spans="11:17" x14ac:dyDescent="0.3">
      <c r="K7403">
        <v>2020</v>
      </c>
      <c r="L7403" t="s">
        <v>38</v>
      </c>
      <c r="M7403" t="s">
        <v>52</v>
      </c>
      <c r="N7403" t="s">
        <v>23</v>
      </c>
      <c r="O7403" t="s">
        <v>23</v>
      </c>
      <c r="P7403" s="1" t="s">
        <v>30</v>
      </c>
      <c r="Q7403">
        <v>155.73333333333332</v>
      </c>
    </row>
    <row r="7404" spans="11:17" x14ac:dyDescent="0.3">
      <c r="K7404">
        <v>2020</v>
      </c>
      <c r="L7404" t="s">
        <v>38</v>
      </c>
      <c r="M7404" t="s">
        <v>52</v>
      </c>
      <c r="N7404" t="s">
        <v>23</v>
      </c>
      <c r="O7404" t="s">
        <v>23</v>
      </c>
      <c r="P7404" s="1" t="s">
        <v>34</v>
      </c>
      <c r="Q7404">
        <v>151.56666666666666</v>
      </c>
    </row>
    <row r="7405" spans="11:17" x14ac:dyDescent="0.3">
      <c r="K7405">
        <v>2020</v>
      </c>
      <c r="L7405" t="s">
        <v>38</v>
      </c>
      <c r="M7405" t="s">
        <v>52</v>
      </c>
      <c r="N7405" t="s">
        <v>23</v>
      </c>
      <c r="O7405" t="s">
        <v>23</v>
      </c>
      <c r="P7405" s="1" t="s">
        <v>33</v>
      </c>
      <c r="Q7405">
        <v>144.73333333333332</v>
      </c>
    </row>
    <row r="7406" spans="11:17" x14ac:dyDescent="0.3">
      <c r="K7406">
        <v>2020</v>
      </c>
      <c r="L7406" t="s">
        <v>38</v>
      </c>
      <c r="M7406" t="s">
        <v>52</v>
      </c>
      <c r="N7406" t="s">
        <v>22</v>
      </c>
      <c r="O7406" t="s">
        <v>20</v>
      </c>
      <c r="P7406" s="1" t="s">
        <v>30</v>
      </c>
      <c r="Q7406">
        <v>151.65555555555557</v>
      </c>
    </row>
    <row r="7407" spans="11:17" x14ac:dyDescent="0.3">
      <c r="K7407">
        <v>2020</v>
      </c>
      <c r="L7407" t="s">
        <v>38</v>
      </c>
      <c r="M7407" t="s">
        <v>52</v>
      </c>
      <c r="N7407" t="s">
        <v>22</v>
      </c>
      <c r="O7407" t="s">
        <v>20</v>
      </c>
      <c r="P7407" s="1" t="s">
        <v>34</v>
      </c>
      <c r="Q7407">
        <v>144.41111111111113</v>
      </c>
    </row>
    <row r="7408" spans="11:17" x14ac:dyDescent="0.3">
      <c r="K7408">
        <v>2020</v>
      </c>
      <c r="L7408" t="s">
        <v>38</v>
      </c>
      <c r="M7408" t="s">
        <v>52</v>
      </c>
      <c r="N7408" t="s">
        <v>22</v>
      </c>
      <c r="O7408" t="s">
        <v>20</v>
      </c>
      <c r="P7408" s="1" t="s">
        <v>33</v>
      </c>
      <c r="Q7408">
        <v>142.51111111111115</v>
      </c>
    </row>
    <row r="7409" spans="11:17" x14ac:dyDescent="0.3">
      <c r="K7409">
        <v>2020</v>
      </c>
      <c r="L7409" t="s">
        <v>38</v>
      </c>
      <c r="M7409" t="s">
        <v>52</v>
      </c>
      <c r="N7409" t="s">
        <v>20</v>
      </c>
      <c r="O7409" t="s">
        <v>20</v>
      </c>
      <c r="P7409" s="1" t="s">
        <v>30</v>
      </c>
      <c r="Q7409">
        <v>0</v>
      </c>
    </row>
    <row r="7410" spans="11:17" x14ac:dyDescent="0.3">
      <c r="K7410">
        <v>2020</v>
      </c>
      <c r="L7410" t="s">
        <v>38</v>
      </c>
      <c r="M7410" t="s">
        <v>52</v>
      </c>
      <c r="N7410" t="s">
        <v>20</v>
      </c>
      <c r="O7410" t="s">
        <v>20</v>
      </c>
      <c r="P7410" s="1" t="s">
        <v>34</v>
      </c>
      <c r="Q7410">
        <v>154.96666666666667</v>
      </c>
    </row>
    <row r="7411" spans="11:17" x14ac:dyDescent="0.3">
      <c r="K7411">
        <v>2020</v>
      </c>
      <c r="L7411" t="s">
        <v>38</v>
      </c>
      <c r="M7411" t="s">
        <v>52</v>
      </c>
      <c r="N7411" t="s">
        <v>20</v>
      </c>
      <c r="O7411" t="s">
        <v>20</v>
      </c>
      <c r="P7411" s="1" t="s">
        <v>33</v>
      </c>
      <c r="Q7411">
        <v>154.96666666666667</v>
      </c>
    </row>
    <row r="7412" spans="11:17" x14ac:dyDescent="0.3">
      <c r="K7412">
        <v>2020</v>
      </c>
      <c r="L7412" t="s">
        <v>38</v>
      </c>
      <c r="M7412" t="s">
        <v>52</v>
      </c>
      <c r="N7412" t="s">
        <v>4</v>
      </c>
      <c r="O7412" t="s">
        <v>188</v>
      </c>
      <c r="P7412" s="1" t="s">
        <v>30</v>
      </c>
      <c r="Q7412">
        <v>167.16666666666666</v>
      </c>
    </row>
    <row r="7413" spans="11:17" x14ac:dyDescent="0.3">
      <c r="K7413">
        <v>2020</v>
      </c>
      <c r="L7413" t="s">
        <v>38</v>
      </c>
      <c r="M7413" t="s">
        <v>52</v>
      </c>
      <c r="N7413" t="s">
        <v>4</v>
      </c>
      <c r="O7413" t="s">
        <v>188</v>
      </c>
      <c r="P7413" s="1" t="s">
        <v>34</v>
      </c>
      <c r="Q7413">
        <v>167.35555555555558</v>
      </c>
    </row>
    <row r="7414" spans="11:17" x14ac:dyDescent="0.3">
      <c r="K7414">
        <v>2020</v>
      </c>
      <c r="L7414" t="s">
        <v>38</v>
      </c>
      <c r="M7414" t="s">
        <v>52</v>
      </c>
      <c r="N7414" t="s">
        <v>4</v>
      </c>
      <c r="O7414" t="s">
        <v>188</v>
      </c>
      <c r="P7414" s="1" t="s">
        <v>33</v>
      </c>
      <c r="Q7414">
        <v>167.46666666666667</v>
      </c>
    </row>
    <row r="7415" spans="11:17" x14ac:dyDescent="0.3">
      <c r="K7415">
        <v>2020</v>
      </c>
      <c r="L7415" t="s">
        <v>38</v>
      </c>
      <c r="M7415" t="s">
        <v>52</v>
      </c>
      <c r="N7415" t="s">
        <v>6</v>
      </c>
      <c r="O7415" t="s">
        <v>188</v>
      </c>
      <c r="P7415" s="1" t="s">
        <v>30</v>
      </c>
      <c r="Q7415">
        <v>152.73333333333335</v>
      </c>
    </row>
    <row r="7416" spans="11:17" x14ac:dyDescent="0.3">
      <c r="K7416">
        <v>2020</v>
      </c>
      <c r="L7416" t="s">
        <v>38</v>
      </c>
      <c r="M7416" t="s">
        <v>52</v>
      </c>
      <c r="N7416" t="s">
        <v>6</v>
      </c>
      <c r="O7416" t="s">
        <v>188</v>
      </c>
      <c r="P7416" s="1" t="s">
        <v>34</v>
      </c>
      <c r="Q7416">
        <v>152.63333333333333</v>
      </c>
    </row>
    <row r="7417" spans="11:17" x14ac:dyDescent="0.3">
      <c r="K7417">
        <v>2020</v>
      </c>
      <c r="L7417" t="s">
        <v>38</v>
      </c>
      <c r="M7417" t="s">
        <v>52</v>
      </c>
      <c r="N7417" t="s">
        <v>6</v>
      </c>
      <c r="O7417" t="s">
        <v>188</v>
      </c>
      <c r="P7417" s="1" t="s">
        <v>33</v>
      </c>
      <c r="Q7417">
        <v>152.43333333333331</v>
      </c>
    </row>
    <row r="7418" spans="11:17" x14ac:dyDescent="0.3">
      <c r="K7418">
        <v>2020</v>
      </c>
      <c r="L7418" t="s">
        <v>38</v>
      </c>
      <c r="M7418" t="s">
        <v>52</v>
      </c>
      <c r="N7418" t="s">
        <v>28</v>
      </c>
      <c r="O7418" t="s">
        <v>192</v>
      </c>
      <c r="P7418" s="1" t="s">
        <v>30</v>
      </c>
      <c r="Q7418">
        <v>148.45555555555555</v>
      </c>
    </row>
    <row r="7419" spans="11:17" x14ac:dyDescent="0.3">
      <c r="K7419">
        <v>2020</v>
      </c>
      <c r="L7419" t="s">
        <v>38</v>
      </c>
      <c r="M7419" t="s">
        <v>52</v>
      </c>
      <c r="N7419" t="s">
        <v>28</v>
      </c>
      <c r="O7419" t="s">
        <v>192</v>
      </c>
      <c r="P7419" s="1" t="s">
        <v>34</v>
      </c>
      <c r="Q7419">
        <v>141.96666666666667</v>
      </c>
    </row>
    <row r="7420" spans="11:17" x14ac:dyDescent="0.3">
      <c r="K7420">
        <v>2020</v>
      </c>
      <c r="L7420" t="s">
        <v>38</v>
      </c>
      <c r="M7420" t="s">
        <v>52</v>
      </c>
      <c r="N7420" t="s">
        <v>28</v>
      </c>
      <c r="O7420" t="s">
        <v>192</v>
      </c>
      <c r="P7420" s="1" t="s">
        <v>33</v>
      </c>
      <c r="Q7420">
        <v>140.23333333333335</v>
      </c>
    </row>
    <row r="7421" spans="11:17" x14ac:dyDescent="0.3">
      <c r="K7421">
        <v>2020</v>
      </c>
      <c r="L7421" t="s">
        <v>38</v>
      </c>
      <c r="M7421" t="s">
        <v>52</v>
      </c>
      <c r="N7421" t="s">
        <v>13</v>
      </c>
      <c r="O7421" t="s">
        <v>188</v>
      </c>
      <c r="P7421" s="1" t="s">
        <v>30</v>
      </c>
      <c r="Q7421">
        <v>139.79999999999998</v>
      </c>
    </row>
    <row r="7422" spans="11:17" x14ac:dyDescent="0.3">
      <c r="K7422">
        <v>2020</v>
      </c>
      <c r="L7422" t="s">
        <v>38</v>
      </c>
      <c r="M7422" t="s">
        <v>52</v>
      </c>
      <c r="N7422" t="s">
        <v>13</v>
      </c>
      <c r="O7422" t="s">
        <v>188</v>
      </c>
      <c r="P7422" s="1" t="s">
        <v>34</v>
      </c>
      <c r="Q7422">
        <v>136.66666666666666</v>
      </c>
    </row>
    <row r="7423" spans="11:17" x14ac:dyDescent="0.3">
      <c r="K7423">
        <v>2020</v>
      </c>
      <c r="L7423" t="s">
        <v>38</v>
      </c>
      <c r="M7423" t="s">
        <v>52</v>
      </c>
      <c r="N7423" t="s">
        <v>13</v>
      </c>
      <c r="O7423" t="s">
        <v>188</v>
      </c>
      <c r="P7423" s="1" t="s">
        <v>33</v>
      </c>
      <c r="Q7423">
        <v>132.29999999999998</v>
      </c>
    </row>
    <row r="7424" spans="11:17" x14ac:dyDescent="0.3">
      <c r="K7424">
        <v>2020</v>
      </c>
      <c r="L7424" t="s">
        <v>38</v>
      </c>
      <c r="M7424" t="s">
        <v>52</v>
      </c>
      <c r="N7424" t="s">
        <v>7</v>
      </c>
      <c r="O7424" t="s">
        <v>188</v>
      </c>
      <c r="P7424" s="1" t="s">
        <v>30</v>
      </c>
      <c r="Q7424">
        <v>134.70000000000002</v>
      </c>
    </row>
    <row r="7425" spans="11:17" x14ac:dyDescent="0.3">
      <c r="K7425">
        <v>2020</v>
      </c>
      <c r="L7425" t="s">
        <v>38</v>
      </c>
      <c r="M7425" t="s">
        <v>52</v>
      </c>
      <c r="N7425" t="s">
        <v>7</v>
      </c>
      <c r="O7425" t="s">
        <v>188</v>
      </c>
      <c r="P7425" s="1" t="s">
        <v>34</v>
      </c>
      <c r="Q7425">
        <v>132.56666666666669</v>
      </c>
    </row>
    <row r="7426" spans="11:17" x14ac:dyDescent="0.3">
      <c r="K7426">
        <v>2020</v>
      </c>
      <c r="L7426" t="s">
        <v>38</v>
      </c>
      <c r="M7426" t="s">
        <v>52</v>
      </c>
      <c r="N7426" t="s">
        <v>7</v>
      </c>
      <c r="O7426" t="s">
        <v>188</v>
      </c>
      <c r="P7426" s="1" t="s">
        <v>33</v>
      </c>
      <c r="Q7426">
        <v>128.83333333333334</v>
      </c>
    </row>
    <row r="7427" spans="11:17" x14ac:dyDescent="0.3">
      <c r="K7427">
        <v>2020</v>
      </c>
      <c r="L7427" t="s">
        <v>38</v>
      </c>
      <c r="M7427" t="s">
        <v>52</v>
      </c>
      <c r="N7427" t="s">
        <v>16</v>
      </c>
      <c r="O7427" t="s">
        <v>192</v>
      </c>
      <c r="P7427" s="1" t="s">
        <v>30</v>
      </c>
      <c r="Q7427">
        <v>169.79999999999998</v>
      </c>
    </row>
    <row r="7428" spans="11:17" x14ac:dyDescent="0.3">
      <c r="K7428">
        <v>2020</v>
      </c>
      <c r="L7428" t="s">
        <v>38</v>
      </c>
      <c r="M7428" t="s">
        <v>52</v>
      </c>
      <c r="N7428" t="s">
        <v>16</v>
      </c>
      <c r="O7428" t="s">
        <v>192</v>
      </c>
      <c r="P7428" s="1" t="s">
        <v>34</v>
      </c>
      <c r="Q7428">
        <v>171.11111111111109</v>
      </c>
    </row>
    <row r="7429" spans="11:17" x14ac:dyDescent="0.3">
      <c r="K7429">
        <v>2020</v>
      </c>
      <c r="L7429" t="s">
        <v>38</v>
      </c>
      <c r="M7429" t="s">
        <v>52</v>
      </c>
      <c r="N7429" t="s">
        <v>16</v>
      </c>
      <c r="O7429" t="s">
        <v>192</v>
      </c>
      <c r="P7429" s="1" t="s">
        <v>33</v>
      </c>
      <c r="Q7429">
        <v>171.82222222222222</v>
      </c>
    </row>
    <row r="7430" spans="11:17" x14ac:dyDescent="0.3">
      <c r="K7430">
        <v>2020</v>
      </c>
      <c r="L7430" t="s">
        <v>38</v>
      </c>
      <c r="M7430" t="s">
        <v>52</v>
      </c>
      <c r="N7430" t="s">
        <v>27</v>
      </c>
      <c r="O7430" t="s">
        <v>192</v>
      </c>
      <c r="P7430" s="1" t="s">
        <v>30</v>
      </c>
      <c r="Q7430">
        <v>144.05555555555554</v>
      </c>
    </row>
    <row r="7431" spans="11:17" x14ac:dyDescent="0.3">
      <c r="K7431">
        <v>2020</v>
      </c>
      <c r="L7431" t="s">
        <v>38</v>
      </c>
      <c r="M7431" t="s">
        <v>52</v>
      </c>
      <c r="N7431" t="s">
        <v>27</v>
      </c>
      <c r="O7431" t="s">
        <v>192</v>
      </c>
      <c r="P7431" s="1" t="s">
        <v>34</v>
      </c>
      <c r="Q7431">
        <v>144.07777777777778</v>
      </c>
    </row>
    <row r="7432" spans="11:17" x14ac:dyDescent="0.3">
      <c r="K7432">
        <v>2020</v>
      </c>
      <c r="L7432" t="s">
        <v>38</v>
      </c>
      <c r="M7432" t="s">
        <v>52</v>
      </c>
      <c r="N7432" t="s">
        <v>27</v>
      </c>
      <c r="O7432" t="s">
        <v>192</v>
      </c>
      <c r="P7432" s="1" t="s">
        <v>33</v>
      </c>
      <c r="Q7432">
        <v>144.14444444444445</v>
      </c>
    </row>
    <row r="7433" spans="11:17" x14ac:dyDescent="0.3">
      <c r="K7433">
        <v>2020</v>
      </c>
      <c r="L7433" t="s">
        <v>38</v>
      </c>
      <c r="M7433" t="s">
        <v>52</v>
      </c>
      <c r="N7433" t="s">
        <v>14</v>
      </c>
      <c r="O7433" t="s">
        <v>188</v>
      </c>
      <c r="P7433" s="1" t="s">
        <v>30</v>
      </c>
      <c r="Q7433">
        <v>159.5</v>
      </c>
    </row>
    <row r="7434" spans="11:17" x14ac:dyDescent="0.3">
      <c r="K7434">
        <v>2020</v>
      </c>
      <c r="L7434" t="s">
        <v>38</v>
      </c>
      <c r="M7434" t="s">
        <v>52</v>
      </c>
      <c r="N7434" t="s">
        <v>14</v>
      </c>
      <c r="O7434" t="s">
        <v>188</v>
      </c>
      <c r="P7434" s="1" t="s">
        <v>34</v>
      </c>
      <c r="Q7434">
        <v>159.1888888888889</v>
      </c>
    </row>
    <row r="7435" spans="11:17" x14ac:dyDescent="0.3">
      <c r="K7435">
        <v>2020</v>
      </c>
      <c r="L7435" t="s">
        <v>38</v>
      </c>
      <c r="M7435" t="s">
        <v>52</v>
      </c>
      <c r="N7435" t="s">
        <v>14</v>
      </c>
      <c r="O7435" t="s">
        <v>188</v>
      </c>
      <c r="P7435" s="1" t="s">
        <v>33</v>
      </c>
      <c r="Q7435">
        <v>159.06666666666669</v>
      </c>
    </row>
    <row r="7436" spans="11:17" x14ac:dyDescent="0.3">
      <c r="K7436">
        <v>2020</v>
      </c>
      <c r="L7436" t="s">
        <v>38</v>
      </c>
      <c r="M7436" t="s">
        <v>52</v>
      </c>
      <c r="N7436" t="s">
        <v>10</v>
      </c>
      <c r="O7436" t="s">
        <v>188</v>
      </c>
      <c r="P7436" s="1" t="s">
        <v>30</v>
      </c>
      <c r="Q7436">
        <v>144.6</v>
      </c>
    </row>
    <row r="7437" spans="11:17" x14ac:dyDescent="0.3">
      <c r="K7437">
        <v>2020</v>
      </c>
      <c r="L7437" t="s">
        <v>38</v>
      </c>
      <c r="M7437" t="s">
        <v>52</v>
      </c>
      <c r="N7437" t="s">
        <v>10</v>
      </c>
      <c r="O7437" t="s">
        <v>188</v>
      </c>
      <c r="P7437" s="1" t="s">
        <v>34</v>
      </c>
      <c r="Q7437">
        <v>144.20000000000002</v>
      </c>
    </row>
    <row r="7438" spans="11:17" x14ac:dyDescent="0.3">
      <c r="K7438">
        <v>2020</v>
      </c>
      <c r="L7438" t="s">
        <v>38</v>
      </c>
      <c r="M7438" t="s">
        <v>52</v>
      </c>
      <c r="N7438" t="s">
        <v>10</v>
      </c>
      <c r="O7438" t="s">
        <v>188</v>
      </c>
      <c r="P7438" s="1" t="s">
        <v>33</v>
      </c>
      <c r="Q7438">
        <v>143.36666666666665</v>
      </c>
    </row>
    <row r="7439" spans="11:17" x14ac:dyDescent="0.3">
      <c r="K7439">
        <v>2020</v>
      </c>
      <c r="L7439" t="s">
        <v>38</v>
      </c>
      <c r="M7439" t="s">
        <v>52</v>
      </c>
      <c r="N7439" t="s">
        <v>25</v>
      </c>
      <c r="O7439" t="s">
        <v>195</v>
      </c>
      <c r="P7439" s="1" t="s">
        <v>30</v>
      </c>
      <c r="Q7439">
        <v>150.7222222222222</v>
      </c>
    </row>
    <row r="7440" spans="11:17" x14ac:dyDescent="0.3">
      <c r="K7440">
        <v>2020</v>
      </c>
      <c r="L7440" t="s">
        <v>38</v>
      </c>
      <c r="M7440" t="s">
        <v>52</v>
      </c>
      <c r="N7440" t="s">
        <v>25</v>
      </c>
      <c r="O7440" t="s">
        <v>195</v>
      </c>
      <c r="P7440" s="1" t="s">
        <v>34</v>
      </c>
      <c r="Q7440">
        <v>141.5</v>
      </c>
    </row>
    <row r="7441" spans="11:17" x14ac:dyDescent="0.3">
      <c r="K7441">
        <v>2020</v>
      </c>
      <c r="L7441" t="s">
        <v>38</v>
      </c>
      <c r="M7441" t="s">
        <v>52</v>
      </c>
      <c r="N7441" t="s">
        <v>25</v>
      </c>
      <c r="O7441" t="s">
        <v>195</v>
      </c>
      <c r="P7441" s="1" t="s">
        <v>33</v>
      </c>
      <c r="Q7441">
        <v>139.61111111111111</v>
      </c>
    </row>
    <row r="7442" spans="11:17" x14ac:dyDescent="0.3">
      <c r="K7442">
        <v>2020</v>
      </c>
      <c r="L7442" t="s">
        <v>38</v>
      </c>
      <c r="M7442" t="s">
        <v>52</v>
      </c>
      <c r="N7442" t="s">
        <v>12</v>
      </c>
      <c r="O7442" t="s">
        <v>188</v>
      </c>
      <c r="P7442" s="1" t="s">
        <v>30</v>
      </c>
      <c r="Q7442">
        <v>155.16666666666666</v>
      </c>
    </row>
    <row r="7443" spans="11:17" x14ac:dyDescent="0.3">
      <c r="K7443">
        <v>2020</v>
      </c>
      <c r="L7443" t="s">
        <v>38</v>
      </c>
      <c r="M7443" t="s">
        <v>52</v>
      </c>
      <c r="N7443" t="s">
        <v>12</v>
      </c>
      <c r="O7443" t="s">
        <v>188</v>
      </c>
      <c r="P7443" s="1" t="s">
        <v>34</v>
      </c>
      <c r="Q7443">
        <v>154.1</v>
      </c>
    </row>
    <row r="7444" spans="11:17" x14ac:dyDescent="0.3">
      <c r="K7444">
        <v>2020</v>
      </c>
      <c r="L7444" t="s">
        <v>38</v>
      </c>
      <c r="M7444" t="s">
        <v>52</v>
      </c>
      <c r="N7444" t="s">
        <v>12</v>
      </c>
      <c r="O7444" t="s">
        <v>188</v>
      </c>
      <c r="P7444" s="1" t="s">
        <v>33</v>
      </c>
      <c r="Q7444">
        <v>151.96666666666667</v>
      </c>
    </row>
    <row r="7445" spans="11:17" x14ac:dyDescent="0.3">
      <c r="K7445">
        <v>2020</v>
      </c>
      <c r="L7445" t="s">
        <v>38</v>
      </c>
      <c r="M7445" t="s">
        <v>52</v>
      </c>
      <c r="N7445" t="s">
        <v>11</v>
      </c>
      <c r="O7445" t="s">
        <v>188</v>
      </c>
      <c r="P7445" s="1" t="s">
        <v>30</v>
      </c>
      <c r="Q7445">
        <v>115.16666666666667</v>
      </c>
    </row>
    <row r="7446" spans="11:17" x14ac:dyDescent="0.3">
      <c r="K7446">
        <v>2020</v>
      </c>
      <c r="L7446" t="s">
        <v>38</v>
      </c>
      <c r="M7446" t="s">
        <v>52</v>
      </c>
      <c r="N7446" t="s">
        <v>11</v>
      </c>
      <c r="O7446" t="s">
        <v>188</v>
      </c>
      <c r="P7446" s="1" t="s">
        <v>34</v>
      </c>
      <c r="Q7446">
        <v>115.7</v>
      </c>
    </row>
    <row r="7447" spans="11:17" x14ac:dyDescent="0.3">
      <c r="K7447">
        <v>2020</v>
      </c>
      <c r="L7447" t="s">
        <v>38</v>
      </c>
      <c r="M7447" t="s">
        <v>52</v>
      </c>
      <c r="N7447" t="s">
        <v>11</v>
      </c>
      <c r="O7447" t="s">
        <v>188</v>
      </c>
      <c r="P7447" s="1" t="s">
        <v>33</v>
      </c>
      <c r="Q7447">
        <v>116.73333333333333</v>
      </c>
    </row>
    <row r="7448" spans="11:17" x14ac:dyDescent="0.3">
      <c r="K7448">
        <v>2020</v>
      </c>
      <c r="L7448" t="s">
        <v>38</v>
      </c>
      <c r="M7448" t="s">
        <v>52</v>
      </c>
      <c r="N7448" t="s">
        <v>24</v>
      </c>
      <c r="O7448" t="s">
        <v>191</v>
      </c>
      <c r="P7448" s="1" t="s">
        <v>30</v>
      </c>
      <c r="Q7448">
        <v>135.94444444444446</v>
      </c>
    </row>
    <row r="7449" spans="11:17" x14ac:dyDescent="0.3">
      <c r="K7449">
        <v>2020</v>
      </c>
      <c r="L7449" t="s">
        <v>38</v>
      </c>
      <c r="M7449" t="s">
        <v>52</v>
      </c>
      <c r="N7449" t="s">
        <v>24</v>
      </c>
      <c r="O7449" t="s">
        <v>191</v>
      </c>
      <c r="P7449" s="1" t="s">
        <v>34</v>
      </c>
      <c r="Q7449">
        <v>128.50000000000003</v>
      </c>
    </row>
    <row r="7450" spans="11:17" x14ac:dyDescent="0.3">
      <c r="K7450">
        <v>2020</v>
      </c>
      <c r="L7450" t="s">
        <v>38</v>
      </c>
      <c r="M7450" t="s">
        <v>52</v>
      </c>
      <c r="N7450" t="s">
        <v>24</v>
      </c>
      <c r="O7450" t="s">
        <v>191</v>
      </c>
      <c r="P7450" s="1" t="s">
        <v>33</v>
      </c>
      <c r="Q7450">
        <v>126.72222222222223</v>
      </c>
    </row>
    <row r="7451" spans="11:17" x14ac:dyDescent="0.3">
      <c r="K7451">
        <v>2020</v>
      </c>
      <c r="L7451" t="s">
        <v>38</v>
      </c>
      <c r="M7451" t="s">
        <v>52</v>
      </c>
      <c r="N7451" t="s">
        <v>9</v>
      </c>
      <c r="O7451" t="s">
        <v>188</v>
      </c>
      <c r="P7451" s="1" t="s">
        <v>30</v>
      </c>
      <c r="Q7451">
        <v>160.03333333333333</v>
      </c>
    </row>
    <row r="7452" spans="11:17" x14ac:dyDescent="0.3">
      <c r="K7452">
        <v>2020</v>
      </c>
      <c r="L7452" t="s">
        <v>38</v>
      </c>
      <c r="M7452" t="s">
        <v>52</v>
      </c>
      <c r="N7452" t="s">
        <v>9</v>
      </c>
      <c r="O7452" t="s">
        <v>188</v>
      </c>
      <c r="P7452" s="1" t="s">
        <v>34</v>
      </c>
      <c r="Q7452">
        <v>165.53333333333333</v>
      </c>
    </row>
    <row r="7453" spans="11:17" x14ac:dyDescent="0.3">
      <c r="K7453">
        <v>2020</v>
      </c>
      <c r="L7453" t="s">
        <v>38</v>
      </c>
      <c r="M7453" t="s">
        <v>52</v>
      </c>
      <c r="N7453" t="s">
        <v>9</v>
      </c>
      <c r="O7453" t="s">
        <v>188</v>
      </c>
      <c r="P7453" s="1" t="s">
        <v>33</v>
      </c>
      <c r="Q7453">
        <v>176.23333333333335</v>
      </c>
    </row>
    <row r="7454" spans="11:17" x14ac:dyDescent="0.3">
      <c r="K7454">
        <v>2020</v>
      </c>
      <c r="L7454" t="s">
        <v>44</v>
      </c>
      <c r="M7454" t="s">
        <v>141</v>
      </c>
      <c r="N7454" t="s">
        <v>3</v>
      </c>
      <c r="O7454" t="s">
        <v>188</v>
      </c>
      <c r="P7454" s="1" t="s">
        <v>30</v>
      </c>
      <c r="Q7454">
        <v>145.4</v>
      </c>
    </row>
    <row r="7455" spans="11:17" x14ac:dyDescent="0.3">
      <c r="K7455">
        <v>2020</v>
      </c>
      <c r="L7455" t="s">
        <v>44</v>
      </c>
      <c r="M7455" t="s">
        <v>141</v>
      </c>
      <c r="N7455" t="s">
        <v>3</v>
      </c>
      <c r="O7455" t="s">
        <v>188</v>
      </c>
      <c r="P7455" s="1" t="s">
        <v>34</v>
      </c>
      <c r="Q7455">
        <v>146.80000000000001</v>
      </c>
    </row>
    <row r="7456" spans="11:17" x14ac:dyDescent="0.3">
      <c r="K7456">
        <v>2020</v>
      </c>
      <c r="L7456" t="s">
        <v>44</v>
      </c>
      <c r="M7456" t="s">
        <v>141</v>
      </c>
      <c r="N7456" t="s">
        <v>3</v>
      </c>
      <c r="O7456" t="s">
        <v>188</v>
      </c>
      <c r="P7456" s="1" t="s">
        <v>33</v>
      </c>
      <c r="Q7456">
        <v>149.69999999999999</v>
      </c>
    </row>
    <row r="7457" spans="11:17" x14ac:dyDescent="0.3">
      <c r="K7457">
        <v>2020</v>
      </c>
      <c r="L7457" t="s">
        <v>44</v>
      </c>
      <c r="M7457" t="s">
        <v>141</v>
      </c>
      <c r="N7457" t="s">
        <v>17</v>
      </c>
      <c r="O7457" t="s">
        <v>189</v>
      </c>
      <c r="P7457" s="1" t="s">
        <v>30</v>
      </c>
      <c r="Q7457">
        <v>156.30000000000001</v>
      </c>
    </row>
    <row r="7458" spans="11:17" x14ac:dyDescent="0.3">
      <c r="K7458">
        <v>2020</v>
      </c>
      <c r="L7458" t="s">
        <v>44</v>
      </c>
      <c r="M7458" t="s">
        <v>141</v>
      </c>
      <c r="N7458" t="s">
        <v>17</v>
      </c>
      <c r="O7458" t="s">
        <v>189</v>
      </c>
      <c r="P7458" s="1" t="s">
        <v>34</v>
      </c>
      <c r="Q7458">
        <v>154.30000000000001</v>
      </c>
    </row>
    <row r="7459" spans="11:17" x14ac:dyDescent="0.3">
      <c r="K7459">
        <v>2020</v>
      </c>
      <c r="L7459" t="s">
        <v>44</v>
      </c>
      <c r="M7459" t="s">
        <v>141</v>
      </c>
      <c r="N7459" t="s">
        <v>17</v>
      </c>
      <c r="O7459" t="s">
        <v>189</v>
      </c>
      <c r="P7459" s="1" t="s">
        <v>33</v>
      </c>
      <c r="Q7459">
        <v>151.1</v>
      </c>
    </row>
    <row r="7460" spans="11:17" x14ac:dyDescent="0.3">
      <c r="K7460">
        <v>2020</v>
      </c>
      <c r="L7460" t="s">
        <v>44</v>
      </c>
      <c r="M7460" t="s">
        <v>141</v>
      </c>
      <c r="N7460" t="s">
        <v>19</v>
      </c>
      <c r="O7460" t="s">
        <v>189</v>
      </c>
      <c r="P7460" s="1" t="s">
        <v>30</v>
      </c>
      <c r="Q7460">
        <v>155.5</v>
      </c>
    </row>
    <row r="7461" spans="11:17" x14ac:dyDescent="0.3">
      <c r="K7461">
        <v>2020</v>
      </c>
      <c r="L7461" t="s">
        <v>44</v>
      </c>
      <c r="M7461" t="s">
        <v>141</v>
      </c>
      <c r="N7461" t="s">
        <v>19</v>
      </c>
      <c r="O7461" t="s">
        <v>189</v>
      </c>
      <c r="P7461" s="1" t="s">
        <v>34</v>
      </c>
      <c r="Q7461">
        <v>152.80000000000001</v>
      </c>
    </row>
    <row r="7462" spans="11:17" x14ac:dyDescent="0.3">
      <c r="K7462">
        <v>2020</v>
      </c>
      <c r="L7462" t="s">
        <v>44</v>
      </c>
      <c r="M7462" t="s">
        <v>141</v>
      </c>
      <c r="N7462" t="s">
        <v>19</v>
      </c>
      <c r="O7462" t="s">
        <v>189</v>
      </c>
      <c r="P7462" s="1" t="s">
        <v>33</v>
      </c>
      <c r="Q7462">
        <v>148.80000000000001</v>
      </c>
    </row>
    <row r="7463" spans="11:17" x14ac:dyDescent="0.3">
      <c r="K7463">
        <v>2020</v>
      </c>
      <c r="L7463" t="s">
        <v>44</v>
      </c>
      <c r="M7463" t="s">
        <v>141</v>
      </c>
      <c r="N7463" t="s">
        <v>26</v>
      </c>
      <c r="O7463" t="s">
        <v>26</v>
      </c>
      <c r="P7463" s="1" t="s">
        <v>30</v>
      </c>
      <c r="Q7463">
        <v>161.6</v>
      </c>
    </row>
    <row r="7464" spans="11:17" x14ac:dyDescent="0.3">
      <c r="K7464">
        <v>2020</v>
      </c>
      <c r="L7464" t="s">
        <v>44</v>
      </c>
      <c r="M7464" t="s">
        <v>141</v>
      </c>
      <c r="N7464" t="s">
        <v>26</v>
      </c>
      <c r="O7464" t="s">
        <v>26</v>
      </c>
      <c r="P7464" s="1" t="s">
        <v>34</v>
      </c>
      <c r="Q7464">
        <v>158.6</v>
      </c>
    </row>
    <row r="7465" spans="11:17" x14ac:dyDescent="0.3">
      <c r="K7465">
        <v>2020</v>
      </c>
      <c r="L7465" t="s">
        <v>44</v>
      </c>
      <c r="M7465" t="s">
        <v>141</v>
      </c>
      <c r="N7465" t="s">
        <v>26</v>
      </c>
      <c r="O7465" t="s">
        <v>26</v>
      </c>
      <c r="P7465" s="1" t="s">
        <v>33</v>
      </c>
      <c r="Q7465">
        <v>156.4</v>
      </c>
    </row>
    <row r="7466" spans="11:17" x14ac:dyDescent="0.3">
      <c r="K7466">
        <v>2020</v>
      </c>
      <c r="L7466" t="s">
        <v>44</v>
      </c>
      <c r="M7466" t="s">
        <v>141</v>
      </c>
      <c r="N7466" t="s">
        <v>5</v>
      </c>
      <c r="O7466" t="s">
        <v>188</v>
      </c>
      <c r="P7466" s="1" t="s">
        <v>30</v>
      </c>
      <c r="Q7466">
        <v>171.6</v>
      </c>
    </row>
    <row r="7467" spans="11:17" x14ac:dyDescent="0.3">
      <c r="K7467">
        <v>2020</v>
      </c>
      <c r="L7467" t="s">
        <v>44</v>
      </c>
      <c r="M7467" t="s">
        <v>141</v>
      </c>
      <c r="N7467" t="s">
        <v>5</v>
      </c>
      <c r="O7467" t="s">
        <v>188</v>
      </c>
      <c r="P7467" s="1" t="s">
        <v>34</v>
      </c>
      <c r="Q7467">
        <v>173.6</v>
      </c>
    </row>
    <row r="7468" spans="11:17" x14ac:dyDescent="0.3">
      <c r="K7468">
        <v>2020</v>
      </c>
      <c r="L7468" t="s">
        <v>44</v>
      </c>
      <c r="M7468" t="s">
        <v>141</v>
      </c>
      <c r="N7468" t="s">
        <v>5</v>
      </c>
      <c r="O7468" t="s">
        <v>188</v>
      </c>
      <c r="P7468" s="1" t="s">
        <v>33</v>
      </c>
      <c r="Q7468">
        <v>176.9</v>
      </c>
    </row>
    <row r="7469" spans="11:17" x14ac:dyDescent="0.3">
      <c r="K7469">
        <v>2020</v>
      </c>
      <c r="L7469" t="s">
        <v>44</v>
      </c>
      <c r="M7469" t="s">
        <v>141</v>
      </c>
      <c r="N7469" t="s">
        <v>15</v>
      </c>
      <c r="O7469" t="s">
        <v>188</v>
      </c>
      <c r="P7469" s="1" t="s">
        <v>30</v>
      </c>
      <c r="Q7469">
        <v>163.4</v>
      </c>
    </row>
    <row r="7470" spans="11:17" x14ac:dyDescent="0.3">
      <c r="K7470">
        <v>2020</v>
      </c>
      <c r="L7470" t="s">
        <v>44</v>
      </c>
      <c r="M7470" t="s">
        <v>141</v>
      </c>
      <c r="N7470" t="s">
        <v>15</v>
      </c>
      <c r="O7470" t="s">
        <v>188</v>
      </c>
      <c r="P7470" s="1" t="s">
        <v>34</v>
      </c>
      <c r="Q7470">
        <v>164.7</v>
      </c>
    </row>
    <row r="7471" spans="11:17" x14ac:dyDescent="0.3">
      <c r="K7471">
        <v>2020</v>
      </c>
      <c r="L7471" t="s">
        <v>44</v>
      </c>
      <c r="M7471" t="s">
        <v>141</v>
      </c>
      <c r="N7471" t="s">
        <v>15</v>
      </c>
      <c r="O7471" t="s">
        <v>188</v>
      </c>
      <c r="P7471" s="1" t="s">
        <v>33</v>
      </c>
      <c r="Q7471">
        <v>167</v>
      </c>
    </row>
    <row r="7472" spans="11:17" x14ac:dyDescent="0.3">
      <c r="K7472">
        <v>2020</v>
      </c>
      <c r="L7472" t="s">
        <v>44</v>
      </c>
      <c r="M7472" t="s">
        <v>141</v>
      </c>
      <c r="N7472" t="s">
        <v>18</v>
      </c>
      <c r="O7472" t="s">
        <v>189</v>
      </c>
      <c r="P7472" s="1" t="s">
        <v>30</v>
      </c>
      <c r="Q7472">
        <v>151</v>
      </c>
    </row>
    <row r="7473" spans="11:17" x14ac:dyDescent="0.3">
      <c r="K7473">
        <v>2020</v>
      </c>
      <c r="L7473" t="s">
        <v>44</v>
      </c>
      <c r="M7473" t="s">
        <v>141</v>
      </c>
      <c r="N7473" t="s">
        <v>18</v>
      </c>
      <c r="O7473" t="s">
        <v>189</v>
      </c>
      <c r="P7473" s="1" t="s">
        <v>34</v>
      </c>
      <c r="Q7473">
        <v>144.9</v>
      </c>
    </row>
    <row r="7474" spans="11:17" x14ac:dyDescent="0.3">
      <c r="K7474">
        <v>2020</v>
      </c>
      <c r="L7474" t="s">
        <v>44</v>
      </c>
      <c r="M7474" t="s">
        <v>141</v>
      </c>
      <c r="N7474" t="s">
        <v>18</v>
      </c>
      <c r="O7474" t="s">
        <v>189</v>
      </c>
      <c r="P7474" s="1" t="s">
        <v>33</v>
      </c>
      <c r="Q7474">
        <v>136.4</v>
      </c>
    </row>
    <row r="7475" spans="11:17" x14ac:dyDescent="0.3">
      <c r="K7475">
        <v>2020</v>
      </c>
      <c r="L7475" t="s">
        <v>44</v>
      </c>
      <c r="M7475" t="s">
        <v>141</v>
      </c>
      <c r="N7475" t="s">
        <v>8</v>
      </c>
      <c r="O7475" t="s">
        <v>188</v>
      </c>
      <c r="P7475" s="1" t="s">
        <v>30</v>
      </c>
      <c r="Q7475">
        <v>146.5</v>
      </c>
    </row>
    <row r="7476" spans="11:17" x14ac:dyDescent="0.3">
      <c r="K7476">
        <v>2020</v>
      </c>
      <c r="L7476" t="s">
        <v>44</v>
      </c>
      <c r="M7476" t="s">
        <v>141</v>
      </c>
      <c r="N7476" t="s">
        <v>8</v>
      </c>
      <c r="O7476" t="s">
        <v>188</v>
      </c>
      <c r="P7476" s="1" t="s">
        <v>34</v>
      </c>
      <c r="Q7476">
        <v>148.4</v>
      </c>
    </row>
    <row r="7477" spans="11:17" x14ac:dyDescent="0.3">
      <c r="K7477">
        <v>2020</v>
      </c>
      <c r="L7477" t="s">
        <v>44</v>
      </c>
      <c r="M7477" t="s">
        <v>141</v>
      </c>
      <c r="N7477" t="s">
        <v>8</v>
      </c>
      <c r="O7477" t="s">
        <v>188</v>
      </c>
      <c r="P7477" s="1" t="s">
        <v>33</v>
      </c>
      <c r="Q7477">
        <v>150.5</v>
      </c>
    </row>
    <row r="7478" spans="11:17" x14ac:dyDescent="0.3">
      <c r="K7478">
        <v>2020</v>
      </c>
      <c r="L7478" t="s">
        <v>44</v>
      </c>
      <c r="M7478" t="s">
        <v>141</v>
      </c>
      <c r="N7478" t="s">
        <v>21</v>
      </c>
      <c r="O7478" t="s">
        <v>190</v>
      </c>
      <c r="P7478" s="1" t="s">
        <v>30</v>
      </c>
      <c r="Q7478">
        <v>147.5</v>
      </c>
    </row>
    <row r="7479" spans="11:17" x14ac:dyDescent="0.3">
      <c r="K7479">
        <v>2020</v>
      </c>
      <c r="L7479" t="s">
        <v>44</v>
      </c>
      <c r="M7479" t="s">
        <v>141</v>
      </c>
      <c r="N7479" t="s">
        <v>21</v>
      </c>
      <c r="O7479" t="s">
        <v>190</v>
      </c>
      <c r="P7479" s="1" t="s">
        <v>34</v>
      </c>
      <c r="Q7479">
        <v>143.6</v>
      </c>
    </row>
    <row r="7480" spans="11:17" x14ac:dyDescent="0.3">
      <c r="K7480">
        <v>2020</v>
      </c>
      <c r="L7480" t="s">
        <v>44</v>
      </c>
      <c r="M7480" t="s">
        <v>141</v>
      </c>
      <c r="N7480" t="s">
        <v>21</v>
      </c>
      <c r="O7480" t="s">
        <v>190</v>
      </c>
      <c r="P7480" s="1" t="s">
        <v>33</v>
      </c>
      <c r="Q7480">
        <v>137.30000000000001</v>
      </c>
    </row>
    <row r="7481" spans="11:17" x14ac:dyDescent="0.3">
      <c r="K7481">
        <v>2020</v>
      </c>
      <c r="L7481" t="s">
        <v>44</v>
      </c>
      <c r="M7481" t="s">
        <v>141</v>
      </c>
      <c r="N7481" t="s">
        <v>29</v>
      </c>
      <c r="O7481" t="s">
        <v>206</v>
      </c>
      <c r="P7481" s="1" t="s">
        <v>30</v>
      </c>
      <c r="Q7481">
        <v>159.80000000000001</v>
      </c>
    </row>
    <row r="7482" spans="11:17" x14ac:dyDescent="0.3">
      <c r="K7482">
        <v>2020</v>
      </c>
      <c r="L7482" t="s">
        <v>44</v>
      </c>
      <c r="M7482" t="s">
        <v>141</v>
      </c>
      <c r="N7482" t="s">
        <v>29</v>
      </c>
      <c r="O7482" t="s">
        <v>206</v>
      </c>
      <c r="P7482" s="1" t="s">
        <v>34</v>
      </c>
      <c r="Q7482">
        <v>158.4</v>
      </c>
    </row>
    <row r="7483" spans="11:17" x14ac:dyDescent="0.3">
      <c r="K7483">
        <v>2020</v>
      </c>
      <c r="L7483" t="s">
        <v>44</v>
      </c>
      <c r="M7483" t="s">
        <v>141</v>
      </c>
      <c r="N7483" t="s">
        <v>29</v>
      </c>
      <c r="O7483" t="s">
        <v>206</v>
      </c>
      <c r="P7483" s="1" t="s">
        <v>33</v>
      </c>
      <c r="Q7483">
        <v>156.69999999999999</v>
      </c>
    </row>
    <row r="7484" spans="11:17" x14ac:dyDescent="0.3">
      <c r="K7484">
        <v>2020</v>
      </c>
      <c r="L7484" t="s">
        <v>44</v>
      </c>
      <c r="M7484" t="s">
        <v>141</v>
      </c>
      <c r="N7484" t="s">
        <v>23</v>
      </c>
      <c r="O7484" t="s">
        <v>23</v>
      </c>
      <c r="P7484" s="1" t="s">
        <v>30</v>
      </c>
      <c r="Q7484">
        <v>160.4</v>
      </c>
    </row>
    <row r="7485" spans="11:17" x14ac:dyDescent="0.3">
      <c r="K7485">
        <v>2020</v>
      </c>
      <c r="L7485" t="s">
        <v>44</v>
      </c>
      <c r="M7485" t="s">
        <v>141</v>
      </c>
      <c r="N7485" t="s">
        <v>23</v>
      </c>
      <c r="O7485" t="s">
        <v>23</v>
      </c>
      <c r="P7485" s="1" t="s">
        <v>34</v>
      </c>
      <c r="Q7485">
        <v>157.19999999999999</v>
      </c>
    </row>
    <row r="7486" spans="11:17" x14ac:dyDescent="0.3">
      <c r="K7486">
        <v>2020</v>
      </c>
      <c r="L7486" t="s">
        <v>44</v>
      </c>
      <c r="M7486" t="s">
        <v>141</v>
      </c>
      <c r="N7486" t="s">
        <v>23</v>
      </c>
      <c r="O7486" t="s">
        <v>23</v>
      </c>
      <c r="P7486" s="1" t="s">
        <v>33</v>
      </c>
      <c r="Q7486">
        <v>152</v>
      </c>
    </row>
    <row r="7487" spans="11:17" x14ac:dyDescent="0.3">
      <c r="K7487">
        <v>2020</v>
      </c>
      <c r="L7487" t="s">
        <v>44</v>
      </c>
      <c r="M7487" t="s">
        <v>141</v>
      </c>
      <c r="N7487" t="s">
        <v>22</v>
      </c>
      <c r="O7487" t="s">
        <v>20</v>
      </c>
      <c r="P7487" s="1" t="s">
        <v>30</v>
      </c>
      <c r="Q7487">
        <v>152.80000000000001</v>
      </c>
    </row>
    <row r="7488" spans="11:17" x14ac:dyDescent="0.3">
      <c r="K7488">
        <v>2020</v>
      </c>
      <c r="L7488" t="s">
        <v>44</v>
      </c>
      <c r="M7488" t="s">
        <v>141</v>
      </c>
      <c r="N7488" t="s">
        <v>22</v>
      </c>
      <c r="O7488" t="s">
        <v>20</v>
      </c>
      <c r="P7488" s="1" t="s">
        <v>34</v>
      </c>
      <c r="Q7488">
        <v>149.19999999999999</v>
      </c>
    </row>
    <row r="7489" spans="11:17" x14ac:dyDescent="0.3">
      <c r="K7489">
        <v>2020</v>
      </c>
      <c r="L7489" t="s">
        <v>44</v>
      </c>
      <c r="M7489" t="s">
        <v>141</v>
      </c>
      <c r="N7489" t="s">
        <v>22</v>
      </c>
      <c r="O7489" t="s">
        <v>20</v>
      </c>
      <c r="P7489" s="1" t="s">
        <v>33</v>
      </c>
      <c r="Q7489">
        <v>145.1</v>
      </c>
    </row>
    <row r="7490" spans="11:17" x14ac:dyDescent="0.3">
      <c r="K7490">
        <v>2020</v>
      </c>
      <c r="L7490" t="s">
        <v>44</v>
      </c>
      <c r="M7490" t="s">
        <v>141</v>
      </c>
      <c r="N7490" t="s">
        <v>20</v>
      </c>
      <c r="O7490" t="s">
        <v>20</v>
      </c>
      <c r="P7490" s="1" t="s">
        <v>30</v>
      </c>
      <c r="Q7490">
        <v>0</v>
      </c>
    </row>
    <row r="7491" spans="11:17" x14ac:dyDescent="0.3">
      <c r="K7491">
        <v>2020</v>
      </c>
      <c r="L7491" t="s">
        <v>44</v>
      </c>
      <c r="M7491" t="s">
        <v>141</v>
      </c>
      <c r="N7491" t="s">
        <v>20</v>
      </c>
      <c r="O7491" t="s">
        <v>20</v>
      </c>
      <c r="P7491" s="1" t="s">
        <v>34</v>
      </c>
      <c r="Q7491">
        <v>158</v>
      </c>
    </row>
    <row r="7492" spans="11:17" x14ac:dyDescent="0.3">
      <c r="K7492">
        <v>2020</v>
      </c>
      <c r="L7492" t="s">
        <v>44</v>
      </c>
      <c r="M7492" t="s">
        <v>141</v>
      </c>
      <c r="N7492" t="s">
        <v>20</v>
      </c>
      <c r="O7492" t="s">
        <v>20</v>
      </c>
      <c r="P7492" s="1" t="s">
        <v>33</v>
      </c>
      <c r="Q7492">
        <v>158</v>
      </c>
    </row>
    <row r="7493" spans="11:17" x14ac:dyDescent="0.3">
      <c r="K7493">
        <v>2020</v>
      </c>
      <c r="L7493" t="s">
        <v>44</v>
      </c>
      <c r="M7493" t="s">
        <v>141</v>
      </c>
      <c r="N7493" t="s">
        <v>4</v>
      </c>
      <c r="O7493" t="s">
        <v>188</v>
      </c>
      <c r="P7493" s="1" t="s">
        <v>30</v>
      </c>
      <c r="Q7493">
        <v>188.6</v>
      </c>
    </row>
    <row r="7494" spans="11:17" x14ac:dyDescent="0.3">
      <c r="K7494">
        <v>2020</v>
      </c>
      <c r="L7494" t="s">
        <v>44</v>
      </c>
      <c r="M7494" t="s">
        <v>141</v>
      </c>
      <c r="N7494" t="s">
        <v>4</v>
      </c>
      <c r="O7494" t="s">
        <v>188</v>
      </c>
      <c r="P7494" s="1" t="s">
        <v>34</v>
      </c>
      <c r="Q7494">
        <v>191</v>
      </c>
    </row>
    <row r="7495" spans="11:17" x14ac:dyDescent="0.3">
      <c r="K7495">
        <v>2020</v>
      </c>
      <c r="L7495" t="s">
        <v>44</v>
      </c>
      <c r="M7495" t="s">
        <v>141</v>
      </c>
      <c r="N7495" t="s">
        <v>4</v>
      </c>
      <c r="O7495" t="s">
        <v>188</v>
      </c>
      <c r="P7495" s="1" t="s">
        <v>33</v>
      </c>
      <c r="Q7495">
        <v>195.5</v>
      </c>
    </row>
    <row r="7496" spans="11:17" x14ac:dyDescent="0.3">
      <c r="K7496">
        <v>2020</v>
      </c>
      <c r="L7496" t="s">
        <v>44</v>
      </c>
      <c r="M7496" t="s">
        <v>141</v>
      </c>
      <c r="N7496" t="s">
        <v>6</v>
      </c>
      <c r="O7496" t="s">
        <v>188</v>
      </c>
      <c r="P7496" s="1" t="s">
        <v>30</v>
      </c>
      <c r="Q7496">
        <v>153.80000000000001</v>
      </c>
    </row>
    <row r="7497" spans="11:17" x14ac:dyDescent="0.3">
      <c r="K7497">
        <v>2020</v>
      </c>
      <c r="L7497" t="s">
        <v>44</v>
      </c>
      <c r="M7497" t="s">
        <v>141</v>
      </c>
      <c r="N7497" t="s">
        <v>6</v>
      </c>
      <c r="O7497" t="s">
        <v>188</v>
      </c>
      <c r="P7497" s="1" t="s">
        <v>34</v>
      </c>
      <c r="Q7497">
        <v>153.80000000000001</v>
      </c>
    </row>
    <row r="7498" spans="11:17" x14ac:dyDescent="0.3">
      <c r="K7498">
        <v>2020</v>
      </c>
      <c r="L7498" t="s">
        <v>44</v>
      </c>
      <c r="M7498" t="s">
        <v>141</v>
      </c>
      <c r="N7498" t="s">
        <v>6</v>
      </c>
      <c r="O7498" t="s">
        <v>188</v>
      </c>
      <c r="P7498" s="1" t="s">
        <v>33</v>
      </c>
      <c r="Q7498">
        <v>153.9</v>
      </c>
    </row>
    <row r="7499" spans="11:17" x14ac:dyDescent="0.3">
      <c r="K7499">
        <v>2020</v>
      </c>
      <c r="L7499" t="s">
        <v>44</v>
      </c>
      <c r="M7499" t="s">
        <v>141</v>
      </c>
      <c r="N7499" t="s">
        <v>28</v>
      </c>
      <c r="O7499" t="s">
        <v>192</v>
      </c>
      <c r="P7499" s="1" t="s">
        <v>30</v>
      </c>
      <c r="Q7499">
        <v>154.5</v>
      </c>
    </row>
    <row r="7500" spans="11:17" x14ac:dyDescent="0.3">
      <c r="K7500">
        <v>2020</v>
      </c>
      <c r="L7500" t="s">
        <v>44</v>
      </c>
      <c r="M7500" t="s">
        <v>141</v>
      </c>
      <c r="N7500" t="s">
        <v>28</v>
      </c>
      <c r="O7500" t="s">
        <v>192</v>
      </c>
      <c r="P7500" s="1" t="s">
        <v>34</v>
      </c>
      <c r="Q7500">
        <v>150.69999999999999</v>
      </c>
    </row>
    <row r="7501" spans="11:17" x14ac:dyDescent="0.3">
      <c r="K7501">
        <v>2020</v>
      </c>
      <c r="L7501" t="s">
        <v>44</v>
      </c>
      <c r="M7501" t="s">
        <v>141</v>
      </c>
      <c r="N7501" t="s">
        <v>28</v>
      </c>
      <c r="O7501" t="s">
        <v>192</v>
      </c>
      <c r="P7501" s="1" t="s">
        <v>33</v>
      </c>
      <c r="Q7501">
        <v>146.6</v>
      </c>
    </row>
    <row r="7502" spans="11:17" x14ac:dyDescent="0.3">
      <c r="K7502">
        <v>2020</v>
      </c>
      <c r="L7502" t="s">
        <v>44</v>
      </c>
      <c r="M7502" t="s">
        <v>141</v>
      </c>
      <c r="N7502" t="s">
        <v>13</v>
      </c>
      <c r="O7502" t="s">
        <v>188</v>
      </c>
      <c r="P7502" s="1" t="s">
        <v>30</v>
      </c>
      <c r="Q7502">
        <v>150</v>
      </c>
    </row>
    <row r="7503" spans="11:17" x14ac:dyDescent="0.3">
      <c r="K7503">
        <v>2020</v>
      </c>
      <c r="L7503" t="s">
        <v>44</v>
      </c>
      <c r="M7503" t="s">
        <v>141</v>
      </c>
      <c r="N7503" t="s">
        <v>13</v>
      </c>
      <c r="O7503" t="s">
        <v>188</v>
      </c>
      <c r="P7503" s="1" t="s">
        <v>34</v>
      </c>
      <c r="Q7503">
        <v>146.5</v>
      </c>
    </row>
    <row r="7504" spans="11:17" x14ac:dyDescent="0.3">
      <c r="K7504">
        <v>2020</v>
      </c>
      <c r="L7504" t="s">
        <v>44</v>
      </c>
      <c r="M7504" t="s">
        <v>141</v>
      </c>
      <c r="N7504" t="s">
        <v>13</v>
      </c>
      <c r="O7504" t="s">
        <v>188</v>
      </c>
      <c r="P7504" s="1" t="s">
        <v>33</v>
      </c>
      <c r="Q7504">
        <v>141.5</v>
      </c>
    </row>
    <row r="7505" spans="11:17" x14ac:dyDescent="0.3">
      <c r="K7505">
        <v>2020</v>
      </c>
      <c r="L7505" t="s">
        <v>44</v>
      </c>
      <c r="M7505" t="s">
        <v>141</v>
      </c>
      <c r="N7505" t="s">
        <v>7</v>
      </c>
      <c r="O7505" t="s">
        <v>188</v>
      </c>
      <c r="P7505" s="1" t="s">
        <v>30</v>
      </c>
      <c r="Q7505">
        <v>145.4</v>
      </c>
    </row>
    <row r="7506" spans="11:17" x14ac:dyDescent="0.3">
      <c r="K7506">
        <v>2020</v>
      </c>
      <c r="L7506" t="s">
        <v>44</v>
      </c>
      <c r="M7506" t="s">
        <v>141</v>
      </c>
      <c r="N7506" t="s">
        <v>7</v>
      </c>
      <c r="O7506" t="s">
        <v>188</v>
      </c>
      <c r="P7506" s="1" t="s">
        <v>34</v>
      </c>
      <c r="Q7506">
        <v>142.69999999999999</v>
      </c>
    </row>
    <row r="7507" spans="11:17" x14ac:dyDescent="0.3">
      <c r="K7507">
        <v>2020</v>
      </c>
      <c r="L7507" t="s">
        <v>44</v>
      </c>
      <c r="M7507" t="s">
        <v>141</v>
      </c>
      <c r="N7507" t="s">
        <v>7</v>
      </c>
      <c r="O7507" t="s">
        <v>188</v>
      </c>
      <c r="P7507" s="1" t="s">
        <v>33</v>
      </c>
      <c r="Q7507">
        <v>138</v>
      </c>
    </row>
    <row r="7508" spans="11:17" x14ac:dyDescent="0.3">
      <c r="K7508">
        <v>2020</v>
      </c>
      <c r="L7508" t="s">
        <v>44</v>
      </c>
      <c r="M7508" t="s">
        <v>141</v>
      </c>
      <c r="N7508" t="s">
        <v>16</v>
      </c>
      <c r="O7508" t="s">
        <v>192</v>
      </c>
      <c r="P7508" s="1" t="s">
        <v>30</v>
      </c>
      <c r="Q7508">
        <v>183.4</v>
      </c>
    </row>
    <row r="7509" spans="11:17" x14ac:dyDescent="0.3">
      <c r="K7509">
        <v>2020</v>
      </c>
      <c r="L7509" t="s">
        <v>44</v>
      </c>
      <c r="M7509" t="s">
        <v>141</v>
      </c>
      <c r="N7509" t="s">
        <v>16</v>
      </c>
      <c r="O7509" t="s">
        <v>192</v>
      </c>
      <c r="P7509" s="1" t="s">
        <v>34</v>
      </c>
      <c r="Q7509">
        <v>184.8</v>
      </c>
    </row>
    <row r="7510" spans="11:17" x14ac:dyDescent="0.3">
      <c r="K7510">
        <v>2020</v>
      </c>
      <c r="L7510" t="s">
        <v>44</v>
      </c>
      <c r="M7510" t="s">
        <v>141</v>
      </c>
      <c r="N7510" t="s">
        <v>16</v>
      </c>
      <c r="O7510" t="s">
        <v>192</v>
      </c>
      <c r="P7510" s="1" t="s">
        <v>33</v>
      </c>
      <c r="Q7510">
        <v>188.8</v>
      </c>
    </row>
    <row r="7511" spans="11:17" x14ac:dyDescent="0.3">
      <c r="K7511">
        <v>2020</v>
      </c>
      <c r="L7511" t="s">
        <v>44</v>
      </c>
      <c r="M7511" t="s">
        <v>141</v>
      </c>
      <c r="N7511" t="s">
        <v>27</v>
      </c>
      <c r="O7511" t="s">
        <v>192</v>
      </c>
      <c r="P7511" s="1" t="s">
        <v>30</v>
      </c>
      <c r="Q7511">
        <v>156.19999999999999</v>
      </c>
    </row>
    <row r="7512" spans="11:17" x14ac:dyDescent="0.3">
      <c r="K7512">
        <v>2020</v>
      </c>
      <c r="L7512" t="s">
        <v>44</v>
      </c>
      <c r="M7512" t="s">
        <v>141</v>
      </c>
      <c r="N7512" t="s">
        <v>27</v>
      </c>
      <c r="O7512" t="s">
        <v>192</v>
      </c>
      <c r="P7512" s="1" t="s">
        <v>34</v>
      </c>
      <c r="Q7512">
        <v>156.9</v>
      </c>
    </row>
    <row r="7513" spans="11:17" x14ac:dyDescent="0.3">
      <c r="K7513">
        <v>2020</v>
      </c>
      <c r="L7513" t="s">
        <v>44</v>
      </c>
      <c r="M7513" t="s">
        <v>141</v>
      </c>
      <c r="N7513" t="s">
        <v>27</v>
      </c>
      <c r="O7513" t="s">
        <v>192</v>
      </c>
      <c r="P7513" s="1" t="s">
        <v>33</v>
      </c>
      <c r="Q7513">
        <v>157.9</v>
      </c>
    </row>
    <row r="7514" spans="11:17" x14ac:dyDescent="0.3">
      <c r="K7514">
        <v>2020</v>
      </c>
      <c r="L7514" t="s">
        <v>44</v>
      </c>
      <c r="M7514" t="s">
        <v>141</v>
      </c>
      <c r="N7514" t="s">
        <v>14</v>
      </c>
      <c r="O7514" t="s">
        <v>188</v>
      </c>
      <c r="P7514" s="1" t="s">
        <v>30</v>
      </c>
      <c r="Q7514">
        <v>162.69999999999999</v>
      </c>
    </row>
    <row r="7515" spans="11:17" x14ac:dyDescent="0.3">
      <c r="K7515">
        <v>2020</v>
      </c>
      <c r="L7515" t="s">
        <v>44</v>
      </c>
      <c r="M7515" t="s">
        <v>141</v>
      </c>
      <c r="N7515" t="s">
        <v>14</v>
      </c>
      <c r="O7515" t="s">
        <v>188</v>
      </c>
      <c r="P7515" s="1" t="s">
        <v>34</v>
      </c>
      <c r="Q7515">
        <v>163.80000000000001</v>
      </c>
    </row>
    <row r="7516" spans="11:17" x14ac:dyDescent="0.3">
      <c r="K7516">
        <v>2020</v>
      </c>
      <c r="L7516" t="s">
        <v>44</v>
      </c>
      <c r="M7516" t="s">
        <v>141</v>
      </c>
      <c r="N7516" t="s">
        <v>14</v>
      </c>
      <c r="O7516" t="s">
        <v>188</v>
      </c>
      <c r="P7516" s="1" t="s">
        <v>33</v>
      </c>
      <c r="Q7516">
        <v>165.1</v>
      </c>
    </row>
    <row r="7517" spans="11:17" x14ac:dyDescent="0.3">
      <c r="K7517">
        <v>2020</v>
      </c>
      <c r="L7517" t="s">
        <v>44</v>
      </c>
      <c r="M7517" t="s">
        <v>141</v>
      </c>
      <c r="N7517" t="s">
        <v>10</v>
      </c>
      <c r="O7517" t="s">
        <v>188</v>
      </c>
      <c r="P7517" s="1" t="s">
        <v>30</v>
      </c>
      <c r="Q7517">
        <v>155.9</v>
      </c>
    </row>
    <row r="7518" spans="11:17" x14ac:dyDescent="0.3">
      <c r="K7518">
        <v>2020</v>
      </c>
      <c r="L7518" t="s">
        <v>44</v>
      </c>
      <c r="M7518" t="s">
        <v>141</v>
      </c>
      <c r="N7518" t="s">
        <v>10</v>
      </c>
      <c r="O7518" t="s">
        <v>188</v>
      </c>
      <c r="P7518" s="1" t="s">
        <v>34</v>
      </c>
      <c r="Q7518">
        <v>156.80000000000001</v>
      </c>
    </row>
    <row r="7519" spans="11:17" x14ac:dyDescent="0.3">
      <c r="K7519">
        <v>2020</v>
      </c>
      <c r="L7519" t="s">
        <v>44</v>
      </c>
      <c r="M7519" t="s">
        <v>141</v>
      </c>
      <c r="N7519" t="s">
        <v>10</v>
      </c>
      <c r="O7519" t="s">
        <v>188</v>
      </c>
      <c r="P7519" s="1" t="s">
        <v>33</v>
      </c>
      <c r="Q7519">
        <v>158.69999999999999</v>
      </c>
    </row>
    <row r="7520" spans="11:17" x14ac:dyDescent="0.3">
      <c r="K7520">
        <v>2020</v>
      </c>
      <c r="L7520" t="s">
        <v>44</v>
      </c>
      <c r="M7520" t="s">
        <v>141</v>
      </c>
      <c r="N7520" t="s">
        <v>25</v>
      </c>
      <c r="O7520" t="s">
        <v>195</v>
      </c>
      <c r="P7520" s="1" t="s">
        <v>30</v>
      </c>
      <c r="Q7520">
        <v>153.6</v>
      </c>
    </row>
    <row r="7521" spans="11:17" x14ac:dyDescent="0.3">
      <c r="K7521">
        <v>2020</v>
      </c>
      <c r="L7521" t="s">
        <v>44</v>
      </c>
      <c r="M7521" t="s">
        <v>141</v>
      </c>
      <c r="N7521" t="s">
        <v>25</v>
      </c>
      <c r="O7521" t="s">
        <v>195</v>
      </c>
      <c r="P7521" s="1" t="s">
        <v>34</v>
      </c>
      <c r="Q7521">
        <v>148.4</v>
      </c>
    </row>
    <row r="7522" spans="11:17" x14ac:dyDescent="0.3">
      <c r="K7522">
        <v>2020</v>
      </c>
      <c r="L7522" t="s">
        <v>44</v>
      </c>
      <c r="M7522" t="s">
        <v>141</v>
      </c>
      <c r="N7522" t="s">
        <v>25</v>
      </c>
      <c r="O7522" t="s">
        <v>195</v>
      </c>
      <c r="P7522" s="1" t="s">
        <v>33</v>
      </c>
      <c r="Q7522">
        <v>144.4</v>
      </c>
    </row>
    <row r="7523" spans="11:17" x14ac:dyDescent="0.3">
      <c r="K7523">
        <v>2020</v>
      </c>
      <c r="L7523" t="s">
        <v>44</v>
      </c>
      <c r="M7523" t="s">
        <v>141</v>
      </c>
      <c r="N7523" t="s">
        <v>12</v>
      </c>
      <c r="O7523" t="s">
        <v>188</v>
      </c>
      <c r="P7523" s="1" t="s">
        <v>30</v>
      </c>
      <c r="Q7523">
        <v>162</v>
      </c>
    </row>
    <row r="7524" spans="11:17" x14ac:dyDescent="0.3">
      <c r="K7524">
        <v>2020</v>
      </c>
      <c r="L7524" t="s">
        <v>44</v>
      </c>
      <c r="M7524" t="s">
        <v>141</v>
      </c>
      <c r="N7524" t="s">
        <v>12</v>
      </c>
      <c r="O7524" t="s">
        <v>188</v>
      </c>
      <c r="P7524" s="1" t="s">
        <v>34</v>
      </c>
      <c r="Q7524">
        <v>161.80000000000001</v>
      </c>
    </row>
    <row r="7525" spans="11:17" x14ac:dyDescent="0.3">
      <c r="K7525">
        <v>2020</v>
      </c>
      <c r="L7525" t="s">
        <v>44</v>
      </c>
      <c r="M7525" t="s">
        <v>141</v>
      </c>
      <c r="N7525" t="s">
        <v>12</v>
      </c>
      <c r="O7525" t="s">
        <v>188</v>
      </c>
      <c r="P7525" s="1" t="s">
        <v>33</v>
      </c>
      <c r="Q7525">
        <v>161.4</v>
      </c>
    </row>
    <row r="7526" spans="11:17" x14ac:dyDescent="0.3">
      <c r="K7526">
        <v>2020</v>
      </c>
      <c r="L7526" t="s">
        <v>44</v>
      </c>
      <c r="M7526" t="s">
        <v>141</v>
      </c>
      <c r="N7526" t="s">
        <v>11</v>
      </c>
      <c r="O7526" t="s">
        <v>188</v>
      </c>
      <c r="P7526" s="1" t="s">
        <v>30</v>
      </c>
      <c r="Q7526">
        <v>114.9</v>
      </c>
    </row>
    <row r="7527" spans="11:17" x14ac:dyDescent="0.3">
      <c r="K7527">
        <v>2020</v>
      </c>
      <c r="L7527" t="s">
        <v>44</v>
      </c>
      <c r="M7527" t="s">
        <v>141</v>
      </c>
      <c r="N7527" t="s">
        <v>11</v>
      </c>
      <c r="O7527" t="s">
        <v>188</v>
      </c>
      <c r="P7527" s="1" t="s">
        <v>34</v>
      </c>
      <c r="Q7527">
        <v>115.7</v>
      </c>
    </row>
    <row r="7528" spans="11:17" x14ac:dyDescent="0.3">
      <c r="K7528">
        <v>2020</v>
      </c>
      <c r="L7528" t="s">
        <v>44</v>
      </c>
      <c r="M7528" t="s">
        <v>141</v>
      </c>
      <c r="N7528" t="s">
        <v>11</v>
      </c>
      <c r="O7528" t="s">
        <v>188</v>
      </c>
      <c r="P7528" s="1" t="s">
        <v>33</v>
      </c>
      <c r="Q7528">
        <v>117.2</v>
      </c>
    </row>
    <row r="7529" spans="11:17" x14ac:dyDescent="0.3">
      <c r="K7529">
        <v>2020</v>
      </c>
      <c r="L7529" t="s">
        <v>44</v>
      </c>
      <c r="M7529" t="s">
        <v>141</v>
      </c>
      <c r="N7529" t="s">
        <v>24</v>
      </c>
      <c r="O7529" t="s">
        <v>191</v>
      </c>
      <c r="P7529" s="1" t="s">
        <v>30</v>
      </c>
      <c r="Q7529">
        <v>146.1</v>
      </c>
    </row>
    <row r="7530" spans="11:17" x14ac:dyDescent="0.3">
      <c r="K7530">
        <v>2020</v>
      </c>
      <c r="L7530" t="s">
        <v>44</v>
      </c>
      <c r="M7530" t="s">
        <v>141</v>
      </c>
      <c r="N7530" t="s">
        <v>24</v>
      </c>
      <c r="O7530" t="s">
        <v>191</v>
      </c>
      <c r="P7530" s="1" t="s">
        <v>34</v>
      </c>
      <c r="Q7530">
        <v>140.4</v>
      </c>
    </row>
    <row r="7531" spans="11:17" x14ac:dyDescent="0.3">
      <c r="K7531">
        <v>2020</v>
      </c>
      <c r="L7531" t="s">
        <v>44</v>
      </c>
      <c r="M7531" t="s">
        <v>141</v>
      </c>
      <c r="N7531" t="s">
        <v>24</v>
      </c>
      <c r="O7531" t="s">
        <v>191</v>
      </c>
      <c r="P7531" s="1" t="s">
        <v>33</v>
      </c>
      <c r="Q7531">
        <v>135.19999999999999</v>
      </c>
    </row>
    <row r="7532" spans="11:17" x14ac:dyDescent="0.3">
      <c r="K7532">
        <v>2020</v>
      </c>
      <c r="L7532" t="s">
        <v>44</v>
      </c>
      <c r="M7532" t="s">
        <v>141</v>
      </c>
      <c r="N7532" t="s">
        <v>9</v>
      </c>
      <c r="O7532" t="s">
        <v>188</v>
      </c>
      <c r="P7532" s="1" t="s">
        <v>30</v>
      </c>
      <c r="Q7532">
        <v>222.2</v>
      </c>
    </row>
    <row r="7533" spans="11:17" x14ac:dyDescent="0.3">
      <c r="K7533">
        <v>2020</v>
      </c>
      <c r="L7533" t="s">
        <v>44</v>
      </c>
      <c r="M7533" t="s">
        <v>141</v>
      </c>
      <c r="N7533" t="s">
        <v>9</v>
      </c>
      <c r="O7533" t="s">
        <v>188</v>
      </c>
      <c r="P7533" s="1" t="s">
        <v>34</v>
      </c>
      <c r="Q7533">
        <v>230</v>
      </c>
    </row>
    <row r="7534" spans="11:17" x14ac:dyDescent="0.3">
      <c r="K7534">
        <v>2020</v>
      </c>
      <c r="L7534" t="s">
        <v>44</v>
      </c>
      <c r="M7534" t="s">
        <v>141</v>
      </c>
      <c r="N7534" t="s">
        <v>9</v>
      </c>
      <c r="O7534" t="s">
        <v>188</v>
      </c>
      <c r="P7534" s="1" t="s">
        <v>33</v>
      </c>
      <c r="Q7534">
        <v>245.3</v>
      </c>
    </row>
    <row r="7535" spans="11:17" x14ac:dyDescent="0.3">
      <c r="K7535">
        <v>2020</v>
      </c>
      <c r="L7535" t="s">
        <v>43</v>
      </c>
      <c r="M7535" t="s">
        <v>142</v>
      </c>
      <c r="N7535" t="s">
        <v>3</v>
      </c>
      <c r="O7535" t="s">
        <v>188</v>
      </c>
      <c r="P7535" s="1" t="s">
        <v>30</v>
      </c>
      <c r="Q7535">
        <v>146</v>
      </c>
    </row>
    <row r="7536" spans="11:17" x14ac:dyDescent="0.3">
      <c r="K7536">
        <v>2020</v>
      </c>
      <c r="L7536" t="s">
        <v>43</v>
      </c>
      <c r="M7536" t="s">
        <v>142</v>
      </c>
      <c r="N7536" t="s">
        <v>3</v>
      </c>
      <c r="O7536" t="s">
        <v>188</v>
      </c>
      <c r="P7536" s="1" t="s">
        <v>34</v>
      </c>
      <c r="Q7536">
        <v>147.5</v>
      </c>
    </row>
    <row r="7537" spans="11:17" x14ac:dyDescent="0.3">
      <c r="K7537">
        <v>2020</v>
      </c>
      <c r="L7537" t="s">
        <v>43</v>
      </c>
      <c r="M7537" t="s">
        <v>142</v>
      </c>
      <c r="N7537" t="s">
        <v>3</v>
      </c>
      <c r="O7537" t="s">
        <v>188</v>
      </c>
      <c r="P7537" s="1" t="s">
        <v>33</v>
      </c>
      <c r="Q7537">
        <v>150.6</v>
      </c>
    </row>
    <row r="7538" spans="11:17" x14ac:dyDescent="0.3">
      <c r="K7538">
        <v>2020</v>
      </c>
      <c r="L7538" t="s">
        <v>43</v>
      </c>
      <c r="M7538" t="s">
        <v>142</v>
      </c>
      <c r="N7538" t="s">
        <v>17</v>
      </c>
      <c r="O7538" t="s">
        <v>189</v>
      </c>
      <c r="P7538" s="1" t="s">
        <v>30</v>
      </c>
      <c r="Q7538">
        <v>155.69999999999999</v>
      </c>
    </row>
    <row r="7539" spans="11:17" x14ac:dyDescent="0.3">
      <c r="K7539">
        <v>2020</v>
      </c>
      <c r="L7539" t="s">
        <v>43</v>
      </c>
      <c r="M7539" t="s">
        <v>142</v>
      </c>
      <c r="N7539" t="s">
        <v>17</v>
      </c>
      <c r="O7539" t="s">
        <v>189</v>
      </c>
      <c r="P7539" s="1" t="s">
        <v>34</v>
      </c>
      <c r="Q7539">
        <v>153.69999999999999</v>
      </c>
    </row>
    <row r="7540" spans="11:17" x14ac:dyDescent="0.3">
      <c r="K7540">
        <v>2020</v>
      </c>
      <c r="L7540" t="s">
        <v>43</v>
      </c>
      <c r="M7540" t="s">
        <v>142</v>
      </c>
      <c r="N7540" t="s">
        <v>17</v>
      </c>
      <c r="O7540" t="s">
        <v>189</v>
      </c>
      <c r="P7540" s="1" t="s">
        <v>33</v>
      </c>
      <c r="Q7540">
        <v>150.5</v>
      </c>
    </row>
    <row r="7541" spans="11:17" x14ac:dyDescent="0.3">
      <c r="K7541">
        <v>2020</v>
      </c>
      <c r="L7541" t="s">
        <v>43</v>
      </c>
      <c r="M7541" t="s">
        <v>142</v>
      </c>
      <c r="N7541" t="s">
        <v>19</v>
      </c>
      <c r="O7541" t="s">
        <v>189</v>
      </c>
      <c r="P7541" s="1" t="s">
        <v>30</v>
      </c>
      <c r="Q7541">
        <v>155</v>
      </c>
    </row>
    <row r="7542" spans="11:17" x14ac:dyDescent="0.3">
      <c r="K7542">
        <v>2020</v>
      </c>
      <c r="L7542" t="s">
        <v>43</v>
      </c>
      <c r="M7542" t="s">
        <v>142</v>
      </c>
      <c r="N7542" t="s">
        <v>19</v>
      </c>
      <c r="O7542" t="s">
        <v>189</v>
      </c>
      <c r="P7542" s="1" t="s">
        <v>34</v>
      </c>
      <c r="Q7542">
        <v>152.30000000000001</v>
      </c>
    </row>
    <row r="7543" spans="11:17" x14ac:dyDescent="0.3">
      <c r="K7543">
        <v>2020</v>
      </c>
      <c r="L7543" t="s">
        <v>43</v>
      </c>
      <c r="M7543" t="s">
        <v>142</v>
      </c>
      <c r="N7543" t="s">
        <v>19</v>
      </c>
      <c r="O7543" t="s">
        <v>189</v>
      </c>
      <c r="P7543" s="1" t="s">
        <v>33</v>
      </c>
      <c r="Q7543">
        <v>148.30000000000001</v>
      </c>
    </row>
    <row r="7544" spans="11:17" x14ac:dyDescent="0.3">
      <c r="K7544">
        <v>2020</v>
      </c>
      <c r="L7544" t="s">
        <v>43</v>
      </c>
      <c r="M7544" t="s">
        <v>142</v>
      </c>
      <c r="N7544" t="s">
        <v>26</v>
      </c>
      <c r="O7544" t="s">
        <v>26</v>
      </c>
      <c r="P7544" s="1" t="s">
        <v>30</v>
      </c>
      <c r="Q7544">
        <v>162.5</v>
      </c>
    </row>
    <row r="7545" spans="11:17" x14ac:dyDescent="0.3">
      <c r="K7545">
        <v>2020</v>
      </c>
      <c r="L7545" t="s">
        <v>43</v>
      </c>
      <c r="M7545" t="s">
        <v>142</v>
      </c>
      <c r="N7545" t="s">
        <v>26</v>
      </c>
      <c r="O7545" t="s">
        <v>26</v>
      </c>
      <c r="P7545" s="1" t="s">
        <v>34</v>
      </c>
      <c r="Q7545">
        <v>158.5</v>
      </c>
    </row>
    <row r="7546" spans="11:17" x14ac:dyDescent="0.3">
      <c r="K7546">
        <v>2020</v>
      </c>
      <c r="L7546" t="s">
        <v>43</v>
      </c>
      <c r="M7546" t="s">
        <v>142</v>
      </c>
      <c r="N7546" t="s">
        <v>26</v>
      </c>
      <c r="O7546" t="s">
        <v>26</v>
      </c>
      <c r="P7546" s="1" t="s">
        <v>33</v>
      </c>
      <c r="Q7546">
        <v>155.69999999999999</v>
      </c>
    </row>
    <row r="7547" spans="11:17" x14ac:dyDescent="0.3">
      <c r="K7547">
        <v>2020</v>
      </c>
      <c r="L7547" t="s">
        <v>43</v>
      </c>
      <c r="M7547" t="s">
        <v>142</v>
      </c>
      <c r="N7547" t="s">
        <v>5</v>
      </c>
      <c r="O7547" t="s">
        <v>188</v>
      </c>
      <c r="P7547" s="1" t="s">
        <v>30</v>
      </c>
      <c r="Q7547">
        <v>159.19999999999999</v>
      </c>
    </row>
    <row r="7548" spans="11:17" x14ac:dyDescent="0.3">
      <c r="K7548">
        <v>2020</v>
      </c>
      <c r="L7548" t="s">
        <v>43</v>
      </c>
      <c r="M7548" t="s">
        <v>142</v>
      </c>
      <c r="N7548" t="s">
        <v>5</v>
      </c>
      <c r="O7548" t="s">
        <v>188</v>
      </c>
      <c r="P7548" s="1" t="s">
        <v>34</v>
      </c>
      <c r="Q7548">
        <v>161.4</v>
      </c>
    </row>
    <row r="7549" spans="11:17" x14ac:dyDescent="0.3">
      <c r="K7549">
        <v>2020</v>
      </c>
      <c r="L7549" t="s">
        <v>43</v>
      </c>
      <c r="M7549" t="s">
        <v>142</v>
      </c>
      <c r="N7549" t="s">
        <v>5</v>
      </c>
      <c r="O7549" t="s">
        <v>188</v>
      </c>
      <c r="P7549" s="1" t="s">
        <v>33</v>
      </c>
      <c r="Q7549">
        <v>164.8</v>
      </c>
    </row>
    <row r="7550" spans="11:17" x14ac:dyDescent="0.3">
      <c r="K7550">
        <v>2020</v>
      </c>
      <c r="L7550" t="s">
        <v>43</v>
      </c>
      <c r="M7550" t="s">
        <v>142</v>
      </c>
      <c r="N7550" t="s">
        <v>15</v>
      </c>
      <c r="O7550" t="s">
        <v>188</v>
      </c>
      <c r="P7550" s="1" t="s">
        <v>30</v>
      </c>
      <c r="Q7550">
        <v>159.6</v>
      </c>
    </row>
    <row r="7551" spans="11:17" x14ac:dyDescent="0.3">
      <c r="K7551">
        <v>2020</v>
      </c>
      <c r="L7551" t="s">
        <v>43</v>
      </c>
      <c r="M7551" t="s">
        <v>142</v>
      </c>
      <c r="N7551" t="s">
        <v>15</v>
      </c>
      <c r="O7551" t="s">
        <v>188</v>
      </c>
      <c r="P7551" s="1" t="s">
        <v>34</v>
      </c>
      <c r="Q7551">
        <v>161.4</v>
      </c>
    </row>
    <row r="7552" spans="11:17" x14ac:dyDescent="0.3">
      <c r="K7552">
        <v>2020</v>
      </c>
      <c r="L7552" t="s">
        <v>43</v>
      </c>
      <c r="M7552" t="s">
        <v>142</v>
      </c>
      <c r="N7552" t="s">
        <v>15</v>
      </c>
      <c r="O7552" t="s">
        <v>188</v>
      </c>
      <c r="P7552" s="1" t="s">
        <v>33</v>
      </c>
      <c r="Q7552">
        <v>164.4</v>
      </c>
    </row>
    <row r="7553" spans="11:17" x14ac:dyDescent="0.3">
      <c r="K7553">
        <v>2020</v>
      </c>
      <c r="L7553" t="s">
        <v>43</v>
      </c>
      <c r="M7553" t="s">
        <v>142</v>
      </c>
      <c r="N7553" t="s">
        <v>18</v>
      </c>
      <c r="O7553" t="s">
        <v>189</v>
      </c>
      <c r="P7553" s="1" t="s">
        <v>30</v>
      </c>
      <c r="Q7553">
        <v>150.6</v>
      </c>
    </row>
    <row r="7554" spans="11:17" x14ac:dyDescent="0.3">
      <c r="K7554">
        <v>2020</v>
      </c>
      <c r="L7554" t="s">
        <v>43</v>
      </c>
      <c r="M7554" t="s">
        <v>142</v>
      </c>
      <c r="N7554" t="s">
        <v>18</v>
      </c>
      <c r="O7554" t="s">
        <v>189</v>
      </c>
      <c r="P7554" s="1" t="s">
        <v>34</v>
      </c>
      <c r="Q7554">
        <v>144.6</v>
      </c>
    </row>
    <row r="7555" spans="11:17" x14ac:dyDescent="0.3">
      <c r="K7555">
        <v>2020</v>
      </c>
      <c r="L7555" t="s">
        <v>43</v>
      </c>
      <c r="M7555" t="s">
        <v>142</v>
      </c>
      <c r="N7555" t="s">
        <v>18</v>
      </c>
      <c r="O7555" t="s">
        <v>189</v>
      </c>
      <c r="P7555" s="1" t="s">
        <v>33</v>
      </c>
      <c r="Q7555">
        <v>136.1</v>
      </c>
    </row>
    <row r="7556" spans="11:17" x14ac:dyDescent="0.3">
      <c r="K7556">
        <v>2020</v>
      </c>
      <c r="L7556" t="s">
        <v>43</v>
      </c>
      <c r="M7556" t="s">
        <v>142</v>
      </c>
      <c r="N7556" t="s">
        <v>8</v>
      </c>
      <c r="O7556" t="s">
        <v>188</v>
      </c>
      <c r="P7556" s="1" t="s">
        <v>30</v>
      </c>
      <c r="Q7556">
        <v>147.19999999999999</v>
      </c>
    </row>
    <row r="7557" spans="11:17" x14ac:dyDescent="0.3">
      <c r="K7557">
        <v>2020</v>
      </c>
      <c r="L7557" t="s">
        <v>43</v>
      </c>
      <c r="M7557" t="s">
        <v>142</v>
      </c>
      <c r="N7557" t="s">
        <v>8</v>
      </c>
      <c r="O7557" t="s">
        <v>188</v>
      </c>
      <c r="P7557" s="1" t="s">
        <v>34</v>
      </c>
      <c r="Q7557">
        <v>151.19999999999999</v>
      </c>
    </row>
    <row r="7558" spans="11:17" x14ac:dyDescent="0.3">
      <c r="K7558">
        <v>2020</v>
      </c>
      <c r="L7558" t="s">
        <v>43</v>
      </c>
      <c r="M7558" t="s">
        <v>142</v>
      </c>
      <c r="N7558" t="s">
        <v>8</v>
      </c>
      <c r="O7558" t="s">
        <v>188</v>
      </c>
      <c r="P7558" s="1" t="s">
        <v>33</v>
      </c>
      <c r="Q7558">
        <v>155.69999999999999</v>
      </c>
    </row>
    <row r="7559" spans="11:17" x14ac:dyDescent="0.3">
      <c r="K7559">
        <v>2020</v>
      </c>
      <c r="L7559" t="s">
        <v>43</v>
      </c>
      <c r="M7559" t="s">
        <v>142</v>
      </c>
      <c r="N7559" t="s">
        <v>21</v>
      </c>
      <c r="O7559" t="s">
        <v>190</v>
      </c>
      <c r="P7559" s="1" t="s">
        <v>30</v>
      </c>
      <c r="Q7559">
        <v>146.80000000000001</v>
      </c>
    </row>
    <row r="7560" spans="11:17" x14ac:dyDescent="0.3">
      <c r="K7560">
        <v>2020</v>
      </c>
      <c r="L7560" t="s">
        <v>43</v>
      </c>
      <c r="M7560" t="s">
        <v>142</v>
      </c>
      <c r="N7560" t="s">
        <v>21</v>
      </c>
      <c r="O7560" t="s">
        <v>190</v>
      </c>
      <c r="P7560" s="1" t="s">
        <v>34</v>
      </c>
      <c r="Q7560">
        <v>143.1</v>
      </c>
    </row>
    <row r="7561" spans="11:17" x14ac:dyDescent="0.3">
      <c r="K7561">
        <v>2020</v>
      </c>
      <c r="L7561" t="s">
        <v>43</v>
      </c>
      <c r="M7561" t="s">
        <v>142</v>
      </c>
      <c r="N7561" t="s">
        <v>21</v>
      </c>
      <c r="O7561" t="s">
        <v>190</v>
      </c>
      <c r="P7561" s="1" t="s">
        <v>33</v>
      </c>
      <c r="Q7561">
        <v>137.1</v>
      </c>
    </row>
    <row r="7562" spans="11:17" x14ac:dyDescent="0.3">
      <c r="K7562">
        <v>2020</v>
      </c>
      <c r="L7562" t="s">
        <v>43</v>
      </c>
      <c r="M7562" t="s">
        <v>142</v>
      </c>
      <c r="N7562" t="s">
        <v>29</v>
      </c>
      <c r="O7562" t="s">
        <v>206</v>
      </c>
      <c r="P7562" s="1" t="s">
        <v>30</v>
      </c>
      <c r="Q7562">
        <v>157.5</v>
      </c>
    </row>
    <row r="7563" spans="11:17" x14ac:dyDescent="0.3">
      <c r="K7563">
        <v>2020</v>
      </c>
      <c r="L7563" t="s">
        <v>43</v>
      </c>
      <c r="M7563" t="s">
        <v>142</v>
      </c>
      <c r="N7563" t="s">
        <v>29</v>
      </c>
      <c r="O7563" t="s">
        <v>206</v>
      </c>
      <c r="P7563" s="1" t="s">
        <v>34</v>
      </c>
      <c r="Q7563">
        <v>156.4</v>
      </c>
    </row>
    <row r="7564" spans="11:17" x14ac:dyDescent="0.3">
      <c r="K7564">
        <v>2020</v>
      </c>
      <c r="L7564" t="s">
        <v>43</v>
      </c>
      <c r="M7564" t="s">
        <v>142</v>
      </c>
      <c r="N7564" t="s">
        <v>29</v>
      </c>
      <c r="O7564" t="s">
        <v>206</v>
      </c>
      <c r="P7564" s="1" t="s">
        <v>33</v>
      </c>
      <c r="Q7564">
        <v>155.19999999999999</v>
      </c>
    </row>
    <row r="7565" spans="11:17" x14ac:dyDescent="0.3">
      <c r="K7565">
        <v>2020</v>
      </c>
      <c r="L7565" t="s">
        <v>43</v>
      </c>
      <c r="M7565" t="s">
        <v>142</v>
      </c>
      <c r="N7565" t="s">
        <v>23</v>
      </c>
      <c r="O7565" t="s">
        <v>23</v>
      </c>
      <c r="P7565" s="1" t="s">
        <v>30</v>
      </c>
      <c r="Q7565">
        <v>159.5</v>
      </c>
    </row>
    <row r="7566" spans="11:17" x14ac:dyDescent="0.3">
      <c r="K7566">
        <v>2020</v>
      </c>
      <c r="L7566" t="s">
        <v>43</v>
      </c>
      <c r="M7566" t="s">
        <v>142</v>
      </c>
      <c r="N7566" t="s">
        <v>23</v>
      </c>
      <c r="O7566" t="s">
        <v>23</v>
      </c>
      <c r="P7566" s="1" t="s">
        <v>34</v>
      </c>
      <c r="Q7566">
        <v>156.30000000000001</v>
      </c>
    </row>
    <row r="7567" spans="11:17" x14ac:dyDescent="0.3">
      <c r="K7567">
        <v>2020</v>
      </c>
      <c r="L7567" t="s">
        <v>43</v>
      </c>
      <c r="M7567" t="s">
        <v>142</v>
      </c>
      <c r="N7567" t="s">
        <v>23</v>
      </c>
      <c r="O7567" t="s">
        <v>23</v>
      </c>
      <c r="P7567" s="1" t="s">
        <v>33</v>
      </c>
      <c r="Q7567">
        <v>151</v>
      </c>
    </row>
    <row r="7568" spans="11:17" x14ac:dyDescent="0.3">
      <c r="K7568">
        <v>2020</v>
      </c>
      <c r="L7568" t="s">
        <v>43</v>
      </c>
      <c r="M7568" t="s">
        <v>142</v>
      </c>
      <c r="N7568" t="s">
        <v>22</v>
      </c>
      <c r="O7568" t="s">
        <v>20</v>
      </c>
      <c r="P7568" s="1" t="s">
        <v>30</v>
      </c>
      <c r="Q7568">
        <v>152</v>
      </c>
    </row>
    <row r="7569" spans="11:17" x14ac:dyDescent="0.3">
      <c r="K7569">
        <v>2020</v>
      </c>
      <c r="L7569" t="s">
        <v>43</v>
      </c>
      <c r="M7569" t="s">
        <v>142</v>
      </c>
      <c r="N7569" t="s">
        <v>22</v>
      </c>
      <c r="O7569" t="s">
        <v>20</v>
      </c>
      <c r="P7569" s="1" t="s">
        <v>34</v>
      </c>
      <c r="Q7569">
        <v>148.69999999999999</v>
      </c>
    </row>
    <row r="7570" spans="11:17" x14ac:dyDescent="0.3">
      <c r="K7570">
        <v>2020</v>
      </c>
      <c r="L7570" t="s">
        <v>43</v>
      </c>
      <c r="M7570" t="s">
        <v>142</v>
      </c>
      <c r="N7570" t="s">
        <v>22</v>
      </c>
      <c r="O7570" t="s">
        <v>20</v>
      </c>
      <c r="P7570" s="1" t="s">
        <v>33</v>
      </c>
      <c r="Q7570">
        <v>145.1</v>
      </c>
    </row>
    <row r="7571" spans="11:17" x14ac:dyDescent="0.3">
      <c r="K7571">
        <v>2020</v>
      </c>
      <c r="L7571" t="s">
        <v>43</v>
      </c>
      <c r="M7571" t="s">
        <v>142</v>
      </c>
      <c r="N7571" t="s">
        <v>20</v>
      </c>
      <c r="O7571" t="s">
        <v>20</v>
      </c>
      <c r="P7571" s="1" t="s">
        <v>30</v>
      </c>
      <c r="Q7571">
        <v>0</v>
      </c>
    </row>
    <row r="7572" spans="11:17" x14ac:dyDescent="0.3">
      <c r="K7572">
        <v>2020</v>
      </c>
      <c r="L7572" t="s">
        <v>43</v>
      </c>
      <c r="M7572" t="s">
        <v>142</v>
      </c>
      <c r="N7572" t="s">
        <v>20</v>
      </c>
      <c r="O7572" t="s">
        <v>20</v>
      </c>
      <c r="P7572" s="1" t="s">
        <v>34</v>
      </c>
      <c r="Q7572">
        <v>156.5</v>
      </c>
    </row>
    <row r="7573" spans="11:17" x14ac:dyDescent="0.3">
      <c r="K7573">
        <v>2020</v>
      </c>
      <c r="L7573" t="s">
        <v>43</v>
      </c>
      <c r="M7573" t="s">
        <v>142</v>
      </c>
      <c r="N7573" t="s">
        <v>20</v>
      </c>
      <c r="O7573" t="s">
        <v>20</v>
      </c>
      <c r="P7573" s="1" t="s">
        <v>33</v>
      </c>
      <c r="Q7573">
        <v>156.5</v>
      </c>
    </row>
    <row r="7574" spans="11:17" x14ac:dyDescent="0.3">
      <c r="K7574">
        <v>2020</v>
      </c>
      <c r="L7574" t="s">
        <v>43</v>
      </c>
      <c r="M7574" t="s">
        <v>142</v>
      </c>
      <c r="N7574" t="s">
        <v>4</v>
      </c>
      <c r="O7574" t="s">
        <v>188</v>
      </c>
      <c r="P7574" s="1" t="s">
        <v>30</v>
      </c>
      <c r="Q7574">
        <v>186.3</v>
      </c>
    </row>
    <row r="7575" spans="11:17" x14ac:dyDescent="0.3">
      <c r="K7575">
        <v>2020</v>
      </c>
      <c r="L7575" t="s">
        <v>43</v>
      </c>
      <c r="M7575" t="s">
        <v>142</v>
      </c>
      <c r="N7575" t="s">
        <v>4</v>
      </c>
      <c r="O7575" t="s">
        <v>188</v>
      </c>
      <c r="P7575" s="1" t="s">
        <v>34</v>
      </c>
      <c r="Q7575">
        <v>188.9</v>
      </c>
    </row>
    <row r="7576" spans="11:17" x14ac:dyDescent="0.3">
      <c r="K7576">
        <v>2020</v>
      </c>
      <c r="L7576" t="s">
        <v>43</v>
      </c>
      <c r="M7576" t="s">
        <v>142</v>
      </c>
      <c r="N7576" t="s">
        <v>4</v>
      </c>
      <c r="O7576" t="s">
        <v>188</v>
      </c>
      <c r="P7576" s="1" t="s">
        <v>33</v>
      </c>
      <c r="Q7576">
        <v>193.7</v>
      </c>
    </row>
    <row r="7577" spans="11:17" x14ac:dyDescent="0.3">
      <c r="K7577">
        <v>2020</v>
      </c>
      <c r="L7577" t="s">
        <v>43</v>
      </c>
      <c r="M7577" t="s">
        <v>142</v>
      </c>
      <c r="N7577" t="s">
        <v>6</v>
      </c>
      <c r="O7577" t="s">
        <v>188</v>
      </c>
      <c r="P7577" s="1" t="s">
        <v>30</v>
      </c>
      <c r="Q7577">
        <v>153.6</v>
      </c>
    </row>
    <row r="7578" spans="11:17" x14ac:dyDescent="0.3">
      <c r="K7578">
        <v>2020</v>
      </c>
      <c r="L7578" t="s">
        <v>43</v>
      </c>
      <c r="M7578" t="s">
        <v>142</v>
      </c>
      <c r="N7578" t="s">
        <v>6</v>
      </c>
      <c r="O7578" t="s">
        <v>188</v>
      </c>
      <c r="P7578" s="1" t="s">
        <v>34</v>
      </c>
      <c r="Q7578">
        <v>153.6</v>
      </c>
    </row>
    <row r="7579" spans="11:17" x14ac:dyDescent="0.3">
      <c r="K7579">
        <v>2020</v>
      </c>
      <c r="L7579" t="s">
        <v>43</v>
      </c>
      <c r="M7579" t="s">
        <v>142</v>
      </c>
      <c r="N7579" t="s">
        <v>6</v>
      </c>
      <c r="O7579" t="s">
        <v>188</v>
      </c>
      <c r="P7579" s="1" t="s">
        <v>33</v>
      </c>
      <c r="Q7579">
        <v>153.69999999999999</v>
      </c>
    </row>
    <row r="7580" spans="11:17" x14ac:dyDescent="0.3">
      <c r="K7580">
        <v>2020</v>
      </c>
      <c r="L7580" t="s">
        <v>43</v>
      </c>
      <c r="M7580" t="s">
        <v>142</v>
      </c>
      <c r="N7580" t="s">
        <v>28</v>
      </c>
      <c r="O7580" t="s">
        <v>192</v>
      </c>
      <c r="P7580" s="1" t="s">
        <v>30</v>
      </c>
      <c r="Q7580">
        <v>154.30000000000001</v>
      </c>
    </row>
    <row r="7581" spans="11:17" x14ac:dyDescent="0.3">
      <c r="K7581">
        <v>2020</v>
      </c>
      <c r="L7581" t="s">
        <v>43</v>
      </c>
      <c r="M7581" t="s">
        <v>142</v>
      </c>
      <c r="N7581" t="s">
        <v>28</v>
      </c>
      <c r="O7581" t="s">
        <v>192</v>
      </c>
      <c r="P7581" s="1" t="s">
        <v>34</v>
      </c>
      <c r="Q7581">
        <v>150.4</v>
      </c>
    </row>
    <row r="7582" spans="11:17" x14ac:dyDescent="0.3">
      <c r="K7582">
        <v>2020</v>
      </c>
      <c r="L7582" t="s">
        <v>43</v>
      </c>
      <c r="M7582" t="s">
        <v>142</v>
      </c>
      <c r="N7582" t="s">
        <v>28</v>
      </c>
      <c r="O7582" t="s">
        <v>192</v>
      </c>
      <c r="P7582" s="1" t="s">
        <v>33</v>
      </c>
      <c r="Q7582">
        <v>146.19999999999999</v>
      </c>
    </row>
    <row r="7583" spans="11:17" x14ac:dyDescent="0.3">
      <c r="K7583">
        <v>2020</v>
      </c>
      <c r="L7583" t="s">
        <v>43</v>
      </c>
      <c r="M7583" t="s">
        <v>142</v>
      </c>
      <c r="N7583" t="s">
        <v>13</v>
      </c>
      <c r="O7583" t="s">
        <v>188</v>
      </c>
      <c r="P7583" s="1" t="s">
        <v>30</v>
      </c>
      <c r="Q7583">
        <v>147.4</v>
      </c>
    </row>
    <row r="7584" spans="11:17" x14ac:dyDescent="0.3">
      <c r="K7584">
        <v>2020</v>
      </c>
      <c r="L7584" t="s">
        <v>43</v>
      </c>
      <c r="M7584" t="s">
        <v>142</v>
      </c>
      <c r="N7584" t="s">
        <v>13</v>
      </c>
      <c r="O7584" t="s">
        <v>188</v>
      </c>
      <c r="P7584" s="1" t="s">
        <v>34</v>
      </c>
      <c r="Q7584">
        <v>144</v>
      </c>
    </row>
    <row r="7585" spans="11:17" x14ac:dyDescent="0.3">
      <c r="K7585">
        <v>2020</v>
      </c>
      <c r="L7585" t="s">
        <v>43</v>
      </c>
      <c r="M7585" t="s">
        <v>142</v>
      </c>
      <c r="N7585" t="s">
        <v>13</v>
      </c>
      <c r="O7585" t="s">
        <v>188</v>
      </c>
      <c r="P7585" s="1" t="s">
        <v>33</v>
      </c>
      <c r="Q7585">
        <v>139.19999999999999</v>
      </c>
    </row>
    <row r="7586" spans="11:17" x14ac:dyDescent="0.3">
      <c r="K7586">
        <v>2020</v>
      </c>
      <c r="L7586" t="s">
        <v>43</v>
      </c>
      <c r="M7586" t="s">
        <v>142</v>
      </c>
      <c r="N7586" t="s">
        <v>7</v>
      </c>
      <c r="O7586" t="s">
        <v>188</v>
      </c>
      <c r="P7586" s="1" t="s">
        <v>30</v>
      </c>
      <c r="Q7586">
        <v>142.6</v>
      </c>
    </row>
    <row r="7587" spans="11:17" x14ac:dyDescent="0.3">
      <c r="K7587">
        <v>2020</v>
      </c>
      <c r="L7587" t="s">
        <v>43</v>
      </c>
      <c r="M7587" t="s">
        <v>142</v>
      </c>
      <c r="N7587" t="s">
        <v>7</v>
      </c>
      <c r="O7587" t="s">
        <v>188</v>
      </c>
      <c r="P7587" s="1" t="s">
        <v>34</v>
      </c>
      <c r="Q7587">
        <v>140.1</v>
      </c>
    </row>
    <row r="7588" spans="11:17" x14ac:dyDescent="0.3">
      <c r="K7588">
        <v>2020</v>
      </c>
      <c r="L7588" t="s">
        <v>43</v>
      </c>
      <c r="M7588" t="s">
        <v>142</v>
      </c>
      <c r="N7588" t="s">
        <v>7</v>
      </c>
      <c r="O7588" t="s">
        <v>188</v>
      </c>
      <c r="P7588" s="1" t="s">
        <v>33</v>
      </c>
      <c r="Q7588">
        <v>135.69999999999999</v>
      </c>
    </row>
    <row r="7589" spans="11:17" x14ac:dyDescent="0.3">
      <c r="K7589">
        <v>2020</v>
      </c>
      <c r="L7589" t="s">
        <v>43</v>
      </c>
      <c r="M7589" t="s">
        <v>142</v>
      </c>
      <c r="N7589" t="s">
        <v>16</v>
      </c>
      <c r="O7589" t="s">
        <v>192</v>
      </c>
      <c r="P7589" s="1" t="s">
        <v>30</v>
      </c>
      <c r="Q7589">
        <v>182.7</v>
      </c>
    </row>
    <row r="7590" spans="11:17" x14ac:dyDescent="0.3">
      <c r="K7590">
        <v>2020</v>
      </c>
      <c r="L7590" t="s">
        <v>43</v>
      </c>
      <c r="M7590" t="s">
        <v>142</v>
      </c>
      <c r="N7590" t="s">
        <v>16</v>
      </c>
      <c r="O7590" t="s">
        <v>192</v>
      </c>
      <c r="P7590" s="1" t="s">
        <v>34</v>
      </c>
      <c r="Q7590">
        <v>184.3</v>
      </c>
    </row>
    <row r="7591" spans="11:17" x14ac:dyDescent="0.3">
      <c r="K7591">
        <v>2020</v>
      </c>
      <c r="L7591" t="s">
        <v>43</v>
      </c>
      <c r="M7591" t="s">
        <v>142</v>
      </c>
      <c r="N7591" t="s">
        <v>16</v>
      </c>
      <c r="O7591" t="s">
        <v>192</v>
      </c>
      <c r="P7591" s="1" t="s">
        <v>33</v>
      </c>
      <c r="Q7591">
        <v>188.7</v>
      </c>
    </row>
    <row r="7592" spans="11:17" x14ac:dyDescent="0.3">
      <c r="K7592">
        <v>2020</v>
      </c>
      <c r="L7592" t="s">
        <v>43</v>
      </c>
      <c r="M7592" t="s">
        <v>142</v>
      </c>
      <c r="N7592" t="s">
        <v>27</v>
      </c>
      <c r="O7592" t="s">
        <v>192</v>
      </c>
      <c r="P7592" s="1" t="s">
        <v>30</v>
      </c>
      <c r="Q7592">
        <v>156.19999999999999</v>
      </c>
    </row>
    <row r="7593" spans="11:17" x14ac:dyDescent="0.3">
      <c r="K7593">
        <v>2020</v>
      </c>
      <c r="L7593" t="s">
        <v>43</v>
      </c>
      <c r="M7593" t="s">
        <v>142</v>
      </c>
      <c r="N7593" t="s">
        <v>27</v>
      </c>
      <c r="O7593" t="s">
        <v>192</v>
      </c>
      <c r="P7593" s="1" t="s">
        <v>34</v>
      </c>
      <c r="Q7593">
        <v>157</v>
      </c>
    </row>
    <row r="7594" spans="11:17" x14ac:dyDescent="0.3">
      <c r="K7594">
        <v>2020</v>
      </c>
      <c r="L7594" t="s">
        <v>43</v>
      </c>
      <c r="M7594" t="s">
        <v>142</v>
      </c>
      <c r="N7594" t="s">
        <v>27</v>
      </c>
      <c r="O7594" t="s">
        <v>192</v>
      </c>
      <c r="P7594" s="1" t="s">
        <v>33</v>
      </c>
      <c r="Q7594">
        <v>158.1</v>
      </c>
    </row>
    <row r="7595" spans="11:17" x14ac:dyDescent="0.3">
      <c r="K7595">
        <v>2020</v>
      </c>
      <c r="L7595" t="s">
        <v>43</v>
      </c>
      <c r="M7595" t="s">
        <v>142</v>
      </c>
      <c r="N7595" t="s">
        <v>14</v>
      </c>
      <c r="O7595" t="s">
        <v>188</v>
      </c>
      <c r="P7595" s="1" t="s">
        <v>30</v>
      </c>
      <c r="Q7595">
        <v>161.9</v>
      </c>
    </row>
    <row r="7596" spans="11:17" x14ac:dyDescent="0.3">
      <c r="K7596">
        <v>2020</v>
      </c>
      <c r="L7596" t="s">
        <v>43</v>
      </c>
      <c r="M7596" t="s">
        <v>142</v>
      </c>
      <c r="N7596" t="s">
        <v>14</v>
      </c>
      <c r="O7596" t="s">
        <v>188</v>
      </c>
      <c r="P7596" s="1" t="s">
        <v>34</v>
      </c>
      <c r="Q7596">
        <v>163.19999999999999</v>
      </c>
    </row>
    <row r="7597" spans="11:17" x14ac:dyDescent="0.3">
      <c r="K7597">
        <v>2020</v>
      </c>
      <c r="L7597" t="s">
        <v>43</v>
      </c>
      <c r="M7597" t="s">
        <v>142</v>
      </c>
      <c r="N7597" t="s">
        <v>14</v>
      </c>
      <c r="O7597" t="s">
        <v>188</v>
      </c>
      <c r="P7597" s="1" t="s">
        <v>33</v>
      </c>
      <c r="Q7597">
        <v>164.8</v>
      </c>
    </row>
    <row r="7598" spans="11:17" x14ac:dyDescent="0.3">
      <c r="K7598">
        <v>2020</v>
      </c>
      <c r="L7598" t="s">
        <v>43</v>
      </c>
      <c r="M7598" t="s">
        <v>142</v>
      </c>
      <c r="N7598" t="s">
        <v>10</v>
      </c>
      <c r="O7598" t="s">
        <v>188</v>
      </c>
      <c r="P7598" s="1" t="s">
        <v>30</v>
      </c>
      <c r="Q7598">
        <v>150.30000000000001</v>
      </c>
    </row>
    <row r="7599" spans="11:17" x14ac:dyDescent="0.3">
      <c r="K7599">
        <v>2020</v>
      </c>
      <c r="L7599" t="s">
        <v>43</v>
      </c>
      <c r="M7599" t="s">
        <v>142</v>
      </c>
      <c r="N7599" t="s">
        <v>10</v>
      </c>
      <c r="O7599" t="s">
        <v>188</v>
      </c>
      <c r="P7599" s="1" t="s">
        <v>34</v>
      </c>
      <c r="Q7599">
        <v>150.9</v>
      </c>
    </row>
    <row r="7600" spans="11:17" x14ac:dyDescent="0.3">
      <c r="K7600">
        <v>2020</v>
      </c>
      <c r="L7600" t="s">
        <v>43</v>
      </c>
      <c r="M7600" t="s">
        <v>142</v>
      </c>
      <c r="N7600" t="s">
        <v>10</v>
      </c>
      <c r="O7600" t="s">
        <v>188</v>
      </c>
      <c r="P7600" s="1" t="s">
        <v>33</v>
      </c>
      <c r="Q7600">
        <v>152.19999999999999</v>
      </c>
    </row>
    <row r="7601" spans="11:17" x14ac:dyDescent="0.3">
      <c r="K7601">
        <v>2020</v>
      </c>
      <c r="L7601" t="s">
        <v>43</v>
      </c>
      <c r="M7601" t="s">
        <v>142</v>
      </c>
      <c r="N7601" t="s">
        <v>25</v>
      </c>
      <c r="O7601" t="s">
        <v>195</v>
      </c>
      <c r="P7601" s="1" t="s">
        <v>30</v>
      </c>
      <c r="Q7601">
        <v>152.4</v>
      </c>
    </row>
    <row r="7602" spans="11:17" x14ac:dyDescent="0.3">
      <c r="K7602">
        <v>2020</v>
      </c>
      <c r="L7602" t="s">
        <v>43</v>
      </c>
      <c r="M7602" t="s">
        <v>142</v>
      </c>
      <c r="N7602" t="s">
        <v>25</v>
      </c>
      <c r="O7602" t="s">
        <v>195</v>
      </c>
      <c r="P7602" s="1" t="s">
        <v>34</v>
      </c>
      <c r="Q7602">
        <v>146.5</v>
      </c>
    </row>
    <row r="7603" spans="11:17" x14ac:dyDescent="0.3">
      <c r="K7603">
        <v>2020</v>
      </c>
      <c r="L7603" t="s">
        <v>43</v>
      </c>
      <c r="M7603" t="s">
        <v>142</v>
      </c>
      <c r="N7603" t="s">
        <v>25</v>
      </c>
      <c r="O7603" t="s">
        <v>195</v>
      </c>
      <c r="P7603" s="1" t="s">
        <v>33</v>
      </c>
      <c r="Q7603">
        <v>142</v>
      </c>
    </row>
    <row r="7604" spans="11:17" x14ac:dyDescent="0.3">
      <c r="K7604">
        <v>2020</v>
      </c>
      <c r="L7604" t="s">
        <v>43</v>
      </c>
      <c r="M7604" t="s">
        <v>142</v>
      </c>
      <c r="N7604" t="s">
        <v>12</v>
      </c>
      <c r="O7604" t="s">
        <v>188</v>
      </c>
      <c r="P7604" s="1" t="s">
        <v>30</v>
      </c>
      <c r="Q7604">
        <v>160.9</v>
      </c>
    </row>
    <row r="7605" spans="11:17" x14ac:dyDescent="0.3">
      <c r="K7605">
        <v>2020</v>
      </c>
      <c r="L7605" t="s">
        <v>43</v>
      </c>
      <c r="M7605" t="s">
        <v>142</v>
      </c>
      <c r="N7605" t="s">
        <v>12</v>
      </c>
      <c r="O7605" t="s">
        <v>188</v>
      </c>
      <c r="P7605" s="1" t="s">
        <v>34</v>
      </c>
      <c r="Q7605">
        <v>161</v>
      </c>
    </row>
    <row r="7606" spans="11:17" x14ac:dyDescent="0.3">
      <c r="K7606">
        <v>2020</v>
      </c>
      <c r="L7606" t="s">
        <v>43</v>
      </c>
      <c r="M7606" t="s">
        <v>142</v>
      </c>
      <c r="N7606" t="s">
        <v>12</v>
      </c>
      <c r="O7606" t="s">
        <v>188</v>
      </c>
      <c r="P7606" s="1" t="s">
        <v>33</v>
      </c>
      <c r="Q7606">
        <v>161.30000000000001</v>
      </c>
    </row>
    <row r="7607" spans="11:17" x14ac:dyDescent="0.3">
      <c r="K7607">
        <v>2020</v>
      </c>
      <c r="L7607" t="s">
        <v>43</v>
      </c>
      <c r="M7607" t="s">
        <v>142</v>
      </c>
      <c r="N7607" t="s">
        <v>11</v>
      </c>
      <c r="O7607" t="s">
        <v>188</v>
      </c>
      <c r="P7607" s="1" t="s">
        <v>30</v>
      </c>
      <c r="Q7607">
        <v>115.3</v>
      </c>
    </row>
    <row r="7608" spans="11:17" x14ac:dyDescent="0.3">
      <c r="K7608">
        <v>2020</v>
      </c>
      <c r="L7608" t="s">
        <v>43</v>
      </c>
      <c r="M7608" t="s">
        <v>142</v>
      </c>
      <c r="N7608" t="s">
        <v>11</v>
      </c>
      <c r="O7608" t="s">
        <v>188</v>
      </c>
      <c r="P7608" s="1" t="s">
        <v>34</v>
      </c>
      <c r="Q7608">
        <v>116.2</v>
      </c>
    </row>
    <row r="7609" spans="11:17" x14ac:dyDescent="0.3">
      <c r="K7609">
        <v>2020</v>
      </c>
      <c r="L7609" t="s">
        <v>43</v>
      </c>
      <c r="M7609" t="s">
        <v>142</v>
      </c>
      <c r="N7609" t="s">
        <v>11</v>
      </c>
      <c r="O7609" t="s">
        <v>188</v>
      </c>
      <c r="P7609" s="1" t="s">
        <v>33</v>
      </c>
      <c r="Q7609">
        <v>118.1</v>
      </c>
    </row>
    <row r="7610" spans="11:17" x14ac:dyDescent="0.3">
      <c r="K7610">
        <v>2020</v>
      </c>
      <c r="L7610" t="s">
        <v>43</v>
      </c>
      <c r="M7610" t="s">
        <v>142</v>
      </c>
      <c r="N7610" t="s">
        <v>24</v>
      </c>
      <c r="O7610" t="s">
        <v>191</v>
      </c>
      <c r="P7610" s="1" t="s">
        <v>30</v>
      </c>
      <c r="Q7610">
        <v>146.4</v>
      </c>
    </row>
    <row r="7611" spans="11:17" x14ac:dyDescent="0.3">
      <c r="K7611">
        <v>2020</v>
      </c>
      <c r="L7611" t="s">
        <v>43</v>
      </c>
      <c r="M7611" t="s">
        <v>142</v>
      </c>
      <c r="N7611" t="s">
        <v>24</v>
      </c>
      <c r="O7611" t="s">
        <v>191</v>
      </c>
      <c r="P7611" s="1" t="s">
        <v>34</v>
      </c>
      <c r="Q7611">
        <v>140.6</v>
      </c>
    </row>
    <row r="7612" spans="11:17" x14ac:dyDescent="0.3">
      <c r="K7612">
        <v>2020</v>
      </c>
      <c r="L7612" t="s">
        <v>43</v>
      </c>
      <c r="M7612" t="s">
        <v>142</v>
      </c>
      <c r="N7612" t="s">
        <v>24</v>
      </c>
      <c r="O7612" t="s">
        <v>191</v>
      </c>
      <c r="P7612" s="1" t="s">
        <v>33</v>
      </c>
      <c r="Q7612">
        <v>135.4</v>
      </c>
    </row>
    <row r="7613" spans="11:17" x14ac:dyDescent="0.3">
      <c r="K7613">
        <v>2020</v>
      </c>
      <c r="L7613" t="s">
        <v>43</v>
      </c>
      <c r="M7613" t="s">
        <v>142</v>
      </c>
      <c r="N7613" t="s">
        <v>9</v>
      </c>
      <c r="O7613" t="s">
        <v>188</v>
      </c>
      <c r="P7613" s="1" t="s">
        <v>30</v>
      </c>
      <c r="Q7613">
        <v>200.6</v>
      </c>
    </row>
    <row r="7614" spans="11:17" x14ac:dyDescent="0.3">
      <c r="K7614">
        <v>2020</v>
      </c>
      <c r="L7614" t="s">
        <v>43</v>
      </c>
      <c r="M7614" t="s">
        <v>142</v>
      </c>
      <c r="N7614" t="s">
        <v>9</v>
      </c>
      <c r="O7614" t="s">
        <v>188</v>
      </c>
      <c r="P7614" s="1" t="s">
        <v>34</v>
      </c>
      <c r="Q7614">
        <v>209.2</v>
      </c>
    </row>
    <row r="7615" spans="11:17" x14ac:dyDescent="0.3">
      <c r="K7615">
        <v>2020</v>
      </c>
      <c r="L7615" t="s">
        <v>43</v>
      </c>
      <c r="M7615" t="s">
        <v>142</v>
      </c>
      <c r="N7615" t="s">
        <v>9</v>
      </c>
      <c r="O7615" t="s">
        <v>188</v>
      </c>
      <c r="P7615" s="1" t="s">
        <v>33</v>
      </c>
      <c r="Q7615">
        <v>226</v>
      </c>
    </row>
    <row r="7616" spans="11:17" x14ac:dyDescent="0.3">
      <c r="K7616">
        <v>2020</v>
      </c>
      <c r="L7616" t="s">
        <v>42</v>
      </c>
      <c r="M7616" t="s">
        <v>143</v>
      </c>
      <c r="N7616" t="s">
        <v>3</v>
      </c>
      <c r="O7616" t="s">
        <v>188</v>
      </c>
      <c r="P7616" s="1" t="s">
        <v>30</v>
      </c>
      <c r="Q7616">
        <v>146.9</v>
      </c>
    </row>
    <row r="7617" spans="11:17" x14ac:dyDescent="0.3">
      <c r="K7617">
        <v>2020</v>
      </c>
      <c r="L7617" t="s">
        <v>42</v>
      </c>
      <c r="M7617" t="s">
        <v>143</v>
      </c>
      <c r="N7617" t="s">
        <v>3</v>
      </c>
      <c r="O7617" t="s">
        <v>188</v>
      </c>
      <c r="P7617" s="1" t="s">
        <v>34</v>
      </c>
      <c r="Q7617">
        <v>148.4</v>
      </c>
    </row>
    <row r="7618" spans="11:17" x14ac:dyDescent="0.3">
      <c r="K7618">
        <v>2020</v>
      </c>
      <c r="L7618" t="s">
        <v>42</v>
      </c>
      <c r="M7618" t="s">
        <v>143</v>
      </c>
      <c r="N7618" t="s">
        <v>3</v>
      </c>
      <c r="O7618" t="s">
        <v>188</v>
      </c>
      <c r="P7618" s="1" t="s">
        <v>33</v>
      </c>
      <c r="Q7618">
        <v>151.5</v>
      </c>
    </row>
    <row r="7619" spans="11:17" x14ac:dyDescent="0.3">
      <c r="K7619">
        <v>2020</v>
      </c>
      <c r="L7619" t="s">
        <v>42</v>
      </c>
      <c r="M7619" t="s">
        <v>143</v>
      </c>
      <c r="N7619" t="s">
        <v>17</v>
      </c>
      <c r="O7619" t="s">
        <v>189</v>
      </c>
      <c r="P7619" s="1" t="s">
        <v>30</v>
      </c>
      <c r="Q7619">
        <v>155.4</v>
      </c>
    </row>
    <row r="7620" spans="11:17" x14ac:dyDescent="0.3">
      <c r="K7620">
        <v>2020</v>
      </c>
      <c r="L7620" t="s">
        <v>42</v>
      </c>
      <c r="M7620" t="s">
        <v>143</v>
      </c>
      <c r="N7620" t="s">
        <v>17</v>
      </c>
      <c r="O7620" t="s">
        <v>189</v>
      </c>
      <c r="P7620" s="1" t="s">
        <v>34</v>
      </c>
      <c r="Q7620">
        <v>153.4</v>
      </c>
    </row>
    <row r="7621" spans="11:17" x14ac:dyDescent="0.3">
      <c r="K7621">
        <v>2020</v>
      </c>
      <c r="L7621" t="s">
        <v>42</v>
      </c>
      <c r="M7621" t="s">
        <v>143</v>
      </c>
      <c r="N7621" t="s">
        <v>17</v>
      </c>
      <c r="O7621" t="s">
        <v>189</v>
      </c>
      <c r="P7621" s="1" t="s">
        <v>33</v>
      </c>
      <c r="Q7621">
        <v>150.19999999999999</v>
      </c>
    </row>
    <row r="7622" spans="11:17" x14ac:dyDescent="0.3">
      <c r="K7622">
        <v>2020</v>
      </c>
      <c r="L7622" t="s">
        <v>42</v>
      </c>
      <c r="M7622" t="s">
        <v>143</v>
      </c>
      <c r="N7622" t="s">
        <v>19</v>
      </c>
      <c r="O7622" t="s">
        <v>189</v>
      </c>
      <c r="P7622" s="1" t="s">
        <v>30</v>
      </c>
      <c r="Q7622">
        <v>154.6</v>
      </c>
    </row>
    <row r="7623" spans="11:17" x14ac:dyDescent="0.3">
      <c r="K7623">
        <v>2020</v>
      </c>
      <c r="L7623" t="s">
        <v>42</v>
      </c>
      <c r="M7623" t="s">
        <v>143</v>
      </c>
      <c r="N7623" t="s">
        <v>19</v>
      </c>
      <c r="O7623" t="s">
        <v>189</v>
      </c>
      <c r="P7623" s="1" t="s">
        <v>34</v>
      </c>
      <c r="Q7623">
        <v>152</v>
      </c>
    </row>
    <row r="7624" spans="11:17" x14ac:dyDescent="0.3">
      <c r="K7624">
        <v>2020</v>
      </c>
      <c r="L7624" t="s">
        <v>42</v>
      </c>
      <c r="M7624" t="s">
        <v>143</v>
      </c>
      <c r="N7624" t="s">
        <v>19</v>
      </c>
      <c r="O7624" t="s">
        <v>189</v>
      </c>
      <c r="P7624" s="1" t="s">
        <v>33</v>
      </c>
      <c r="Q7624">
        <v>148.1</v>
      </c>
    </row>
    <row r="7625" spans="11:17" x14ac:dyDescent="0.3">
      <c r="K7625">
        <v>2020</v>
      </c>
      <c r="L7625" t="s">
        <v>42</v>
      </c>
      <c r="M7625" t="s">
        <v>143</v>
      </c>
      <c r="N7625" t="s">
        <v>26</v>
      </c>
      <c r="O7625" t="s">
        <v>26</v>
      </c>
      <c r="P7625" s="1" t="s">
        <v>30</v>
      </c>
      <c r="Q7625">
        <v>161.1</v>
      </c>
    </row>
    <row r="7626" spans="11:17" x14ac:dyDescent="0.3">
      <c r="K7626">
        <v>2020</v>
      </c>
      <c r="L7626" t="s">
        <v>42</v>
      </c>
      <c r="M7626" t="s">
        <v>143</v>
      </c>
      <c r="N7626" t="s">
        <v>26</v>
      </c>
      <c r="O7626" t="s">
        <v>26</v>
      </c>
      <c r="P7626" s="1" t="s">
        <v>34</v>
      </c>
      <c r="Q7626">
        <v>157.5</v>
      </c>
    </row>
    <row r="7627" spans="11:17" x14ac:dyDescent="0.3">
      <c r="K7627">
        <v>2020</v>
      </c>
      <c r="L7627" t="s">
        <v>42</v>
      </c>
      <c r="M7627" t="s">
        <v>143</v>
      </c>
      <c r="N7627" t="s">
        <v>26</v>
      </c>
      <c r="O7627" t="s">
        <v>26</v>
      </c>
      <c r="P7627" s="1" t="s">
        <v>33</v>
      </c>
      <c r="Q7627">
        <v>154.9</v>
      </c>
    </row>
    <row r="7628" spans="11:17" x14ac:dyDescent="0.3">
      <c r="K7628">
        <v>2020</v>
      </c>
      <c r="L7628" t="s">
        <v>42</v>
      </c>
      <c r="M7628" t="s">
        <v>143</v>
      </c>
      <c r="N7628" t="s">
        <v>5</v>
      </c>
      <c r="O7628" t="s">
        <v>188</v>
      </c>
      <c r="P7628" s="1" t="s">
        <v>30</v>
      </c>
      <c r="Q7628">
        <v>149.5</v>
      </c>
    </row>
    <row r="7629" spans="11:17" x14ac:dyDescent="0.3">
      <c r="K7629">
        <v>2020</v>
      </c>
      <c r="L7629" t="s">
        <v>42</v>
      </c>
      <c r="M7629" t="s">
        <v>143</v>
      </c>
      <c r="N7629" t="s">
        <v>5</v>
      </c>
      <c r="O7629" t="s">
        <v>188</v>
      </c>
      <c r="P7629" s="1" t="s">
        <v>34</v>
      </c>
      <c r="Q7629">
        <v>152.5</v>
      </c>
    </row>
    <row r="7630" spans="11:17" x14ac:dyDescent="0.3">
      <c r="K7630">
        <v>2020</v>
      </c>
      <c r="L7630" t="s">
        <v>42</v>
      </c>
      <c r="M7630" t="s">
        <v>143</v>
      </c>
      <c r="N7630" t="s">
        <v>5</v>
      </c>
      <c r="O7630" t="s">
        <v>188</v>
      </c>
      <c r="P7630" s="1" t="s">
        <v>33</v>
      </c>
      <c r="Q7630">
        <v>157.30000000000001</v>
      </c>
    </row>
    <row r="7631" spans="11:17" x14ac:dyDescent="0.3">
      <c r="K7631">
        <v>2020</v>
      </c>
      <c r="L7631" t="s">
        <v>42</v>
      </c>
      <c r="M7631" t="s">
        <v>143</v>
      </c>
      <c r="N7631" t="s">
        <v>15</v>
      </c>
      <c r="O7631" t="s">
        <v>188</v>
      </c>
      <c r="P7631" s="1" t="s">
        <v>30</v>
      </c>
      <c r="Q7631">
        <v>156.1</v>
      </c>
    </row>
    <row r="7632" spans="11:17" x14ac:dyDescent="0.3">
      <c r="K7632">
        <v>2020</v>
      </c>
      <c r="L7632" t="s">
        <v>42</v>
      </c>
      <c r="M7632" t="s">
        <v>143</v>
      </c>
      <c r="N7632" t="s">
        <v>15</v>
      </c>
      <c r="O7632" t="s">
        <v>188</v>
      </c>
      <c r="P7632" s="1" t="s">
        <v>34</v>
      </c>
      <c r="Q7632">
        <v>158</v>
      </c>
    </row>
    <row r="7633" spans="11:17" x14ac:dyDescent="0.3">
      <c r="K7633">
        <v>2020</v>
      </c>
      <c r="L7633" t="s">
        <v>42</v>
      </c>
      <c r="M7633" t="s">
        <v>143</v>
      </c>
      <c r="N7633" t="s">
        <v>15</v>
      </c>
      <c r="O7633" t="s">
        <v>188</v>
      </c>
      <c r="P7633" s="1" t="s">
        <v>33</v>
      </c>
      <c r="Q7633">
        <v>161.30000000000001</v>
      </c>
    </row>
    <row r="7634" spans="11:17" x14ac:dyDescent="0.3">
      <c r="K7634">
        <v>2020</v>
      </c>
      <c r="L7634" t="s">
        <v>42</v>
      </c>
      <c r="M7634" t="s">
        <v>143</v>
      </c>
      <c r="N7634" t="s">
        <v>18</v>
      </c>
      <c r="O7634" t="s">
        <v>189</v>
      </c>
      <c r="P7634" s="1" t="s">
        <v>30</v>
      </c>
      <c r="Q7634">
        <v>149.9</v>
      </c>
    </row>
    <row r="7635" spans="11:17" x14ac:dyDescent="0.3">
      <c r="K7635">
        <v>2020</v>
      </c>
      <c r="L7635" t="s">
        <v>42</v>
      </c>
      <c r="M7635" t="s">
        <v>143</v>
      </c>
      <c r="N7635" t="s">
        <v>18</v>
      </c>
      <c r="O7635" t="s">
        <v>189</v>
      </c>
      <c r="P7635" s="1" t="s">
        <v>34</v>
      </c>
      <c r="Q7635">
        <v>144.30000000000001</v>
      </c>
    </row>
    <row r="7636" spans="11:17" x14ac:dyDescent="0.3">
      <c r="K7636">
        <v>2020</v>
      </c>
      <c r="L7636" t="s">
        <v>42</v>
      </c>
      <c r="M7636" t="s">
        <v>143</v>
      </c>
      <c r="N7636" t="s">
        <v>18</v>
      </c>
      <c r="O7636" t="s">
        <v>189</v>
      </c>
      <c r="P7636" s="1" t="s">
        <v>33</v>
      </c>
      <c r="Q7636">
        <v>136.30000000000001</v>
      </c>
    </row>
    <row r="7637" spans="11:17" x14ac:dyDescent="0.3">
      <c r="K7637">
        <v>2020</v>
      </c>
      <c r="L7637" t="s">
        <v>42</v>
      </c>
      <c r="M7637" t="s">
        <v>143</v>
      </c>
      <c r="N7637" t="s">
        <v>8</v>
      </c>
      <c r="O7637" t="s">
        <v>188</v>
      </c>
      <c r="P7637" s="1" t="s">
        <v>30</v>
      </c>
      <c r="Q7637">
        <v>147</v>
      </c>
    </row>
    <row r="7638" spans="11:17" x14ac:dyDescent="0.3">
      <c r="K7638">
        <v>2020</v>
      </c>
      <c r="L7638" t="s">
        <v>42</v>
      </c>
      <c r="M7638" t="s">
        <v>143</v>
      </c>
      <c r="N7638" t="s">
        <v>8</v>
      </c>
      <c r="O7638" t="s">
        <v>188</v>
      </c>
      <c r="P7638" s="1" t="s">
        <v>34</v>
      </c>
      <c r="Q7638">
        <v>150.9</v>
      </c>
    </row>
    <row r="7639" spans="11:17" x14ac:dyDescent="0.3">
      <c r="K7639">
        <v>2020</v>
      </c>
      <c r="L7639" t="s">
        <v>42</v>
      </c>
      <c r="M7639" t="s">
        <v>143</v>
      </c>
      <c r="N7639" t="s">
        <v>8</v>
      </c>
      <c r="O7639" t="s">
        <v>188</v>
      </c>
      <c r="P7639" s="1" t="s">
        <v>33</v>
      </c>
      <c r="Q7639">
        <v>155.4</v>
      </c>
    </row>
    <row r="7640" spans="11:17" x14ac:dyDescent="0.3">
      <c r="K7640">
        <v>2020</v>
      </c>
      <c r="L7640" t="s">
        <v>42</v>
      </c>
      <c r="M7640" t="s">
        <v>143</v>
      </c>
      <c r="N7640" t="s">
        <v>21</v>
      </c>
      <c r="O7640" t="s">
        <v>190</v>
      </c>
      <c r="P7640" s="1" t="s">
        <v>30</v>
      </c>
      <c r="Q7640">
        <v>146.4</v>
      </c>
    </row>
    <row r="7641" spans="11:17" x14ac:dyDescent="0.3">
      <c r="K7641">
        <v>2020</v>
      </c>
      <c r="L7641" t="s">
        <v>42</v>
      </c>
      <c r="M7641" t="s">
        <v>143</v>
      </c>
      <c r="N7641" t="s">
        <v>21</v>
      </c>
      <c r="O7641" t="s">
        <v>190</v>
      </c>
      <c r="P7641" s="1" t="s">
        <v>34</v>
      </c>
      <c r="Q7641">
        <v>142.9</v>
      </c>
    </row>
    <row r="7642" spans="11:17" x14ac:dyDescent="0.3">
      <c r="K7642">
        <v>2020</v>
      </c>
      <c r="L7642" t="s">
        <v>42</v>
      </c>
      <c r="M7642" t="s">
        <v>143</v>
      </c>
      <c r="N7642" t="s">
        <v>21</v>
      </c>
      <c r="O7642" t="s">
        <v>190</v>
      </c>
      <c r="P7642" s="1" t="s">
        <v>33</v>
      </c>
      <c r="Q7642">
        <v>137.19999999999999</v>
      </c>
    </row>
    <row r="7643" spans="11:17" x14ac:dyDescent="0.3">
      <c r="K7643">
        <v>2020</v>
      </c>
      <c r="L7643" t="s">
        <v>42</v>
      </c>
      <c r="M7643" t="s">
        <v>143</v>
      </c>
      <c r="N7643" t="s">
        <v>29</v>
      </c>
      <c r="O7643" t="s">
        <v>206</v>
      </c>
      <c r="P7643" s="1" t="s">
        <v>30</v>
      </c>
      <c r="Q7643">
        <v>155.4</v>
      </c>
    </row>
    <row r="7644" spans="11:17" x14ac:dyDescent="0.3">
      <c r="K7644">
        <v>2020</v>
      </c>
      <c r="L7644" t="s">
        <v>42</v>
      </c>
      <c r="M7644" t="s">
        <v>143</v>
      </c>
      <c r="N7644" t="s">
        <v>29</v>
      </c>
      <c r="O7644" t="s">
        <v>206</v>
      </c>
      <c r="P7644" s="1" t="s">
        <v>34</v>
      </c>
      <c r="Q7644">
        <v>154.69999999999999</v>
      </c>
    </row>
    <row r="7645" spans="11:17" x14ac:dyDescent="0.3">
      <c r="K7645">
        <v>2020</v>
      </c>
      <c r="L7645" t="s">
        <v>42</v>
      </c>
      <c r="M7645" t="s">
        <v>143</v>
      </c>
      <c r="N7645" t="s">
        <v>29</v>
      </c>
      <c r="O7645" t="s">
        <v>206</v>
      </c>
      <c r="P7645" s="1" t="s">
        <v>33</v>
      </c>
      <c r="Q7645">
        <v>154</v>
      </c>
    </row>
    <row r="7646" spans="11:17" x14ac:dyDescent="0.3">
      <c r="K7646">
        <v>2020</v>
      </c>
      <c r="L7646" t="s">
        <v>42</v>
      </c>
      <c r="M7646" t="s">
        <v>143</v>
      </c>
      <c r="N7646" t="s">
        <v>23</v>
      </c>
      <c r="O7646" t="s">
        <v>23</v>
      </c>
      <c r="P7646" s="1" t="s">
        <v>30</v>
      </c>
      <c r="Q7646">
        <v>159.1</v>
      </c>
    </row>
    <row r="7647" spans="11:17" x14ac:dyDescent="0.3">
      <c r="K7647">
        <v>2020</v>
      </c>
      <c r="L7647" t="s">
        <v>42</v>
      </c>
      <c r="M7647" t="s">
        <v>143</v>
      </c>
      <c r="N7647" t="s">
        <v>23</v>
      </c>
      <c r="O7647" t="s">
        <v>23</v>
      </c>
      <c r="P7647" s="1" t="s">
        <v>34</v>
      </c>
      <c r="Q7647">
        <v>155.6</v>
      </c>
    </row>
    <row r="7648" spans="11:17" x14ac:dyDescent="0.3">
      <c r="K7648">
        <v>2020</v>
      </c>
      <c r="L7648" t="s">
        <v>42</v>
      </c>
      <c r="M7648" t="s">
        <v>143</v>
      </c>
      <c r="N7648" t="s">
        <v>23</v>
      </c>
      <c r="O7648" t="s">
        <v>23</v>
      </c>
      <c r="P7648" s="1" t="s">
        <v>33</v>
      </c>
      <c r="Q7648">
        <v>150</v>
      </c>
    </row>
    <row r="7649" spans="11:17" x14ac:dyDescent="0.3">
      <c r="K7649">
        <v>2020</v>
      </c>
      <c r="L7649" t="s">
        <v>42</v>
      </c>
      <c r="M7649" t="s">
        <v>143</v>
      </c>
      <c r="N7649" t="s">
        <v>22</v>
      </c>
      <c r="O7649" t="s">
        <v>20</v>
      </c>
      <c r="P7649" s="1" t="s">
        <v>30</v>
      </c>
      <c r="Q7649">
        <v>151.6</v>
      </c>
    </row>
    <row r="7650" spans="11:17" x14ac:dyDescent="0.3">
      <c r="K7650">
        <v>2020</v>
      </c>
      <c r="L7650" t="s">
        <v>42</v>
      </c>
      <c r="M7650" t="s">
        <v>143</v>
      </c>
      <c r="N7650" t="s">
        <v>22</v>
      </c>
      <c r="O7650" t="s">
        <v>20</v>
      </c>
      <c r="P7650" s="1" t="s">
        <v>34</v>
      </c>
      <c r="Q7650">
        <v>148.69999999999999</v>
      </c>
    </row>
    <row r="7651" spans="11:17" x14ac:dyDescent="0.3">
      <c r="K7651">
        <v>2020</v>
      </c>
      <c r="L7651" t="s">
        <v>42</v>
      </c>
      <c r="M7651" t="s">
        <v>143</v>
      </c>
      <c r="N7651" t="s">
        <v>22</v>
      </c>
      <c r="O7651" t="s">
        <v>20</v>
      </c>
      <c r="P7651" s="1" t="s">
        <v>33</v>
      </c>
      <c r="Q7651">
        <v>145.4</v>
      </c>
    </row>
    <row r="7652" spans="11:17" x14ac:dyDescent="0.3">
      <c r="K7652">
        <v>2020</v>
      </c>
      <c r="L7652" t="s">
        <v>42</v>
      </c>
      <c r="M7652" t="s">
        <v>143</v>
      </c>
      <c r="N7652" t="s">
        <v>20</v>
      </c>
      <c r="O7652" t="s">
        <v>20</v>
      </c>
      <c r="P7652" s="1" t="s">
        <v>30</v>
      </c>
      <c r="Q7652">
        <v>0</v>
      </c>
    </row>
    <row r="7653" spans="11:17" x14ac:dyDescent="0.3">
      <c r="K7653">
        <v>2020</v>
      </c>
      <c r="L7653" t="s">
        <v>42</v>
      </c>
      <c r="M7653" t="s">
        <v>143</v>
      </c>
      <c r="N7653" t="s">
        <v>20</v>
      </c>
      <c r="O7653" t="s">
        <v>20</v>
      </c>
      <c r="P7653" s="1" t="s">
        <v>34</v>
      </c>
      <c r="Q7653">
        <v>156.30000000000001</v>
      </c>
    </row>
    <row r="7654" spans="11:17" x14ac:dyDescent="0.3">
      <c r="K7654">
        <v>2020</v>
      </c>
      <c r="L7654" t="s">
        <v>42</v>
      </c>
      <c r="M7654" t="s">
        <v>143</v>
      </c>
      <c r="N7654" t="s">
        <v>20</v>
      </c>
      <c r="O7654" t="s">
        <v>20</v>
      </c>
      <c r="P7654" s="1" t="s">
        <v>33</v>
      </c>
      <c r="Q7654">
        <v>156.30000000000001</v>
      </c>
    </row>
    <row r="7655" spans="11:17" x14ac:dyDescent="0.3">
      <c r="K7655">
        <v>2020</v>
      </c>
      <c r="L7655" t="s">
        <v>42</v>
      </c>
      <c r="M7655" t="s">
        <v>143</v>
      </c>
      <c r="N7655" t="s">
        <v>4</v>
      </c>
      <c r="O7655" t="s">
        <v>188</v>
      </c>
      <c r="P7655" s="1" t="s">
        <v>30</v>
      </c>
      <c r="Q7655">
        <v>183.9</v>
      </c>
    </row>
    <row r="7656" spans="11:17" x14ac:dyDescent="0.3">
      <c r="K7656">
        <v>2020</v>
      </c>
      <c r="L7656" t="s">
        <v>42</v>
      </c>
      <c r="M7656" t="s">
        <v>143</v>
      </c>
      <c r="N7656" t="s">
        <v>4</v>
      </c>
      <c r="O7656" t="s">
        <v>188</v>
      </c>
      <c r="P7656" s="1" t="s">
        <v>34</v>
      </c>
      <c r="Q7656">
        <v>187.1</v>
      </c>
    </row>
    <row r="7657" spans="11:17" x14ac:dyDescent="0.3">
      <c r="K7657">
        <v>2020</v>
      </c>
      <c r="L7657" t="s">
        <v>42</v>
      </c>
      <c r="M7657" t="s">
        <v>143</v>
      </c>
      <c r="N7657" t="s">
        <v>4</v>
      </c>
      <c r="O7657" t="s">
        <v>188</v>
      </c>
      <c r="P7657" s="1" t="s">
        <v>33</v>
      </c>
      <c r="Q7657">
        <v>193.1</v>
      </c>
    </row>
    <row r="7658" spans="11:17" x14ac:dyDescent="0.3">
      <c r="K7658">
        <v>2020</v>
      </c>
      <c r="L7658" t="s">
        <v>42</v>
      </c>
      <c r="M7658" t="s">
        <v>143</v>
      </c>
      <c r="N7658" t="s">
        <v>6</v>
      </c>
      <c r="O7658" t="s">
        <v>188</v>
      </c>
      <c r="P7658" s="1" t="s">
        <v>30</v>
      </c>
      <c r="Q7658">
        <v>153.4</v>
      </c>
    </row>
    <row r="7659" spans="11:17" x14ac:dyDescent="0.3">
      <c r="K7659">
        <v>2020</v>
      </c>
      <c r="L7659" t="s">
        <v>42</v>
      </c>
      <c r="M7659" t="s">
        <v>143</v>
      </c>
      <c r="N7659" t="s">
        <v>6</v>
      </c>
      <c r="O7659" t="s">
        <v>188</v>
      </c>
      <c r="P7659" s="1" t="s">
        <v>34</v>
      </c>
      <c r="Q7659">
        <v>153.6</v>
      </c>
    </row>
    <row r="7660" spans="11:17" x14ac:dyDescent="0.3">
      <c r="K7660">
        <v>2020</v>
      </c>
      <c r="L7660" t="s">
        <v>42</v>
      </c>
      <c r="M7660" t="s">
        <v>143</v>
      </c>
      <c r="N7660" t="s">
        <v>6</v>
      </c>
      <c r="O7660" t="s">
        <v>188</v>
      </c>
      <c r="P7660" s="1" t="s">
        <v>33</v>
      </c>
      <c r="Q7660">
        <v>153.9</v>
      </c>
    </row>
    <row r="7661" spans="11:17" x14ac:dyDescent="0.3">
      <c r="K7661">
        <v>2020</v>
      </c>
      <c r="L7661" t="s">
        <v>42</v>
      </c>
      <c r="M7661" t="s">
        <v>143</v>
      </c>
      <c r="N7661" t="s">
        <v>28</v>
      </c>
      <c r="O7661" t="s">
        <v>192</v>
      </c>
      <c r="P7661" s="1" t="s">
        <v>30</v>
      </c>
      <c r="Q7661">
        <v>153.69999999999999</v>
      </c>
    </row>
    <row r="7662" spans="11:17" x14ac:dyDescent="0.3">
      <c r="K7662">
        <v>2020</v>
      </c>
      <c r="L7662" t="s">
        <v>42</v>
      </c>
      <c r="M7662" t="s">
        <v>143</v>
      </c>
      <c r="N7662" t="s">
        <v>28</v>
      </c>
      <c r="O7662" t="s">
        <v>192</v>
      </c>
      <c r="P7662" s="1" t="s">
        <v>34</v>
      </c>
      <c r="Q7662">
        <v>150</v>
      </c>
    </row>
    <row r="7663" spans="11:17" x14ac:dyDescent="0.3">
      <c r="K7663">
        <v>2020</v>
      </c>
      <c r="L7663" t="s">
        <v>42</v>
      </c>
      <c r="M7663" t="s">
        <v>143</v>
      </c>
      <c r="N7663" t="s">
        <v>28</v>
      </c>
      <c r="O7663" t="s">
        <v>192</v>
      </c>
      <c r="P7663" s="1" t="s">
        <v>33</v>
      </c>
      <c r="Q7663">
        <v>146</v>
      </c>
    </row>
    <row r="7664" spans="11:17" x14ac:dyDescent="0.3">
      <c r="K7664">
        <v>2020</v>
      </c>
      <c r="L7664" t="s">
        <v>42</v>
      </c>
      <c r="M7664" t="s">
        <v>143</v>
      </c>
      <c r="N7664" t="s">
        <v>13</v>
      </c>
      <c r="O7664" t="s">
        <v>188</v>
      </c>
      <c r="P7664" s="1" t="s">
        <v>30</v>
      </c>
      <c r="Q7664">
        <v>145.4</v>
      </c>
    </row>
    <row r="7665" spans="11:17" x14ac:dyDescent="0.3">
      <c r="K7665">
        <v>2020</v>
      </c>
      <c r="L7665" t="s">
        <v>42</v>
      </c>
      <c r="M7665" t="s">
        <v>143</v>
      </c>
      <c r="N7665" t="s">
        <v>13</v>
      </c>
      <c r="O7665" t="s">
        <v>188</v>
      </c>
      <c r="P7665" s="1" t="s">
        <v>34</v>
      </c>
      <c r="Q7665">
        <v>142.19999999999999</v>
      </c>
    </row>
    <row r="7666" spans="11:17" x14ac:dyDescent="0.3">
      <c r="K7666">
        <v>2020</v>
      </c>
      <c r="L7666" t="s">
        <v>42</v>
      </c>
      <c r="M7666" t="s">
        <v>143</v>
      </c>
      <c r="N7666" t="s">
        <v>13</v>
      </c>
      <c r="O7666" t="s">
        <v>188</v>
      </c>
      <c r="P7666" s="1" t="s">
        <v>33</v>
      </c>
      <c r="Q7666">
        <v>137.69999999999999</v>
      </c>
    </row>
    <row r="7667" spans="11:17" x14ac:dyDescent="0.3">
      <c r="K7667">
        <v>2020</v>
      </c>
      <c r="L7667" t="s">
        <v>42</v>
      </c>
      <c r="M7667" t="s">
        <v>143</v>
      </c>
      <c r="N7667" t="s">
        <v>7</v>
      </c>
      <c r="O7667" t="s">
        <v>188</v>
      </c>
      <c r="P7667" s="1" t="s">
        <v>30</v>
      </c>
      <c r="Q7667">
        <v>140.4</v>
      </c>
    </row>
    <row r="7668" spans="11:17" x14ac:dyDescent="0.3">
      <c r="K7668">
        <v>2020</v>
      </c>
      <c r="L7668" t="s">
        <v>42</v>
      </c>
      <c r="M7668" t="s">
        <v>143</v>
      </c>
      <c r="N7668" t="s">
        <v>7</v>
      </c>
      <c r="O7668" t="s">
        <v>188</v>
      </c>
      <c r="P7668" s="1" t="s">
        <v>34</v>
      </c>
      <c r="Q7668">
        <v>138.19999999999999</v>
      </c>
    </row>
    <row r="7669" spans="11:17" x14ac:dyDescent="0.3">
      <c r="K7669">
        <v>2020</v>
      </c>
      <c r="L7669" t="s">
        <v>42</v>
      </c>
      <c r="M7669" t="s">
        <v>143</v>
      </c>
      <c r="N7669" t="s">
        <v>7</v>
      </c>
      <c r="O7669" t="s">
        <v>188</v>
      </c>
      <c r="P7669" s="1" t="s">
        <v>33</v>
      </c>
      <c r="Q7669">
        <v>134.4</v>
      </c>
    </row>
    <row r="7670" spans="11:17" x14ac:dyDescent="0.3">
      <c r="K7670">
        <v>2020</v>
      </c>
      <c r="L7670" t="s">
        <v>42</v>
      </c>
      <c r="M7670" t="s">
        <v>143</v>
      </c>
      <c r="N7670" t="s">
        <v>16</v>
      </c>
      <c r="O7670" t="s">
        <v>192</v>
      </c>
      <c r="P7670" s="1" t="s">
        <v>30</v>
      </c>
      <c r="Q7670">
        <v>182.9</v>
      </c>
    </row>
    <row r="7671" spans="11:17" x14ac:dyDescent="0.3">
      <c r="K7671">
        <v>2020</v>
      </c>
      <c r="L7671" t="s">
        <v>42</v>
      </c>
      <c r="M7671" t="s">
        <v>143</v>
      </c>
      <c r="N7671" t="s">
        <v>16</v>
      </c>
      <c r="O7671" t="s">
        <v>192</v>
      </c>
      <c r="P7671" s="1" t="s">
        <v>34</v>
      </c>
      <c r="Q7671">
        <v>184.4</v>
      </c>
    </row>
    <row r="7672" spans="11:17" x14ac:dyDescent="0.3">
      <c r="K7672">
        <v>2020</v>
      </c>
      <c r="L7672" t="s">
        <v>42</v>
      </c>
      <c r="M7672" t="s">
        <v>143</v>
      </c>
      <c r="N7672" t="s">
        <v>16</v>
      </c>
      <c r="O7672" t="s">
        <v>192</v>
      </c>
      <c r="P7672" s="1" t="s">
        <v>33</v>
      </c>
      <c r="Q7672">
        <v>188.7</v>
      </c>
    </row>
    <row r="7673" spans="11:17" x14ac:dyDescent="0.3">
      <c r="K7673">
        <v>2020</v>
      </c>
      <c r="L7673" t="s">
        <v>42</v>
      </c>
      <c r="M7673" t="s">
        <v>143</v>
      </c>
      <c r="N7673" t="s">
        <v>27</v>
      </c>
      <c r="O7673" t="s">
        <v>192</v>
      </c>
      <c r="P7673" s="1" t="s">
        <v>30</v>
      </c>
      <c r="Q7673">
        <v>157.4</v>
      </c>
    </row>
    <row r="7674" spans="11:17" x14ac:dyDescent="0.3">
      <c r="K7674">
        <v>2020</v>
      </c>
      <c r="L7674" t="s">
        <v>42</v>
      </c>
      <c r="M7674" t="s">
        <v>143</v>
      </c>
      <c r="N7674" t="s">
        <v>27</v>
      </c>
      <c r="O7674" t="s">
        <v>192</v>
      </c>
      <c r="P7674" s="1" t="s">
        <v>34</v>
      </c>
      <c r="Q7674">
        <v>158.4</v>
      </c>
    </row>
    <row r="7675" spans="11:17" x14ac:dyDescent="0.3">
      <c r="K7675">
        <v>2020</v>
      </c>
      <c r="L7675" t="s">
        <v>42</v>
      </c>
      <c r="M7675" t="s">
        <v>143</v>
      </c>
      <c r="N7675" t="s">
        <v>27</v>
      </c>
      <c r="O7675" t="s">
        <v>192</v>
      </c>
      <c r="P7675" s="1" t="s">
        <v>33</v>
      </c>
      <c r="Q7675">
        <v>159.80000000000001</v>
      </c>
    </row>
    <row r="7676" spans="11:17" x14ac:dyDescent="0.3">
      <c r="K7676">
        <v>2020</v>
      </c>
      <c r="L7676" t="s">
        <v>42</v>
      </c>
      <c r="M7676" t="s">
        <v>143</v>
      </c>
      <c r="N7676" t="s">
        <v>14</v>
      </c>
      <c r="O7676" t="s">
        <v>188</v>
      </c>
      <c r="P7676" s="1" t="s">
        <v>30</v>
      </c>
      <c r="Q7676">
        <v>161.6</v>
      </c>
    </row>
    <row r="7677" spans="11:17" x14ac:dyDescent="0.3">
      <c r="K7677">
        <v>2020</v>
      </c>
      <c r="L7677" t="s">
        <v>42</v>
      </c>
      <c r="M7677" t="s">
        <v>143</v>
      </c>
      <c r="N7677" t="s">
        <v>14</v>
      </c>
      <c r="O7677" t="s">
        <v>188</v>
      </c>
      <c r="P7677" s="1" t="s">
        <v>34</v>
      </c>
      <c r="Q7677">
        <v>162.9</v>
      </c>
    </row>
    <row r="7678" spans="11:17" x14ac:dyDescent="0.3">
      <c r="K7678">
        <v>2020</v>
      </c>
      <c r="L7678" t="s">
        <v>42</v>
      </c>
      <c r="M7678" t="s">
        <v>143</v>
      </c>
      <c r="N7678" t="s">
        <v>14</v>
      </c>
      <c r="O7678" t="s">
        <v>188</v>
      </c>
      <c r="P7678" s="1" t="s">
        <v>33</v>
      </c>
      <c r="Q7678">
        <v>164.4</v>
      </c>
    </row>
    <row r="7679" spans="11:17" x14ac:dyDescent="0.3">
      <c r="K7679">
        <v>2020</v>
      </c>
      <c r="L7679" t="s">
        <v>42</v>
      </c>
      <c r="M7679" t="s">
        <v>143</v>
      </c>
      <c r="N7679" t="s">
        <v>10</v>
      </c>
      <c r="O7679" t="s">
        <v>188</v>
      </c>
      <c r="P7679" s="1" t="s">
        <v>30</v>
      </c>
      <c r="Q7679">
        <v>149.30000000000001</v>
      </c>
    </row>
    <row r="7680" spans="11:17" x14ac:dyDescent="0.3">
      <c r="K7680">
        <v>2020</v>
      </c>
      <c r="L7680" t="s">
        <v>42</v>
      </c>
      <c r="M7680" t="s">
        <v>143</v>
      </c>
      <c r="N7680" t="s">
        <v>10</v>
      </c>
      <c r="O7680" t="s">
        <v>188</v>
      </c>
      <c r="P7680" s="1" t="s">
        <v>34</v>
      </c>
      <c r="Q7680">
        <v>149.80000000000001</v>
      </c>
    </row>
    <row r="7681" spans="11:17" x14ac:dyDescent="0.3">
      <c r="K7681">
        <v>2020</v>
      </c>
      <c r="L7681" t="s">
        <v>42</v>
      </c>
      <c r="M7681" t="s">
        <v>143</v>
      </c>
      <c r="N7681" t="s">
        <v>10</v>
      </c>
      <c r="O7681" t="s">
        <v>188</v>
      </c>
      <c r="P7681" s="1" t="s">
        <v>33</v>
      </c>
      <c r="Q7681">
        <v>150.80000000000001</v>
      </c>
    </row>
    <row r="7682" spans="11:17" x14ac:dyDescent="0.3">
      <c r="K7682">
        <v>2020</v>
      </c>
      <c r="L7682" t="s">
        <v>42</v>
      </c>
      <c r="M7682" t="s">
        <v>143</v>
      </c>
      <c r="N7682" t="s">
        <v>25</v>
      </c>
      <c r="O7682" t="s">
        <v>195</v>
      </c>
      <c r="P7682" s="1" t="s">
        <v>30</v>
      </c>
      <c r="Q7682">
        <v>152.80000000000001</v>
      </c>
    </row>
    <row r="7683" spans="11:17" x14ac:dyDescent="0.3">
      <c r="K7683">
        <v>2020</v>
      </c>
      <c r="L7683" t="s">
        <v>42</v>
      </c>
      <c r="M7683" t="s">
        <v>143</v>
      </c>
      <c r="N7683" t="s">
        <v>25</v>
      </c>
      <c r="O7683" t="s">
        <v>195</v>
      </c>
      <c r="P7683" s="1" t="s">
        <v>34</v>
      </c>
      <c r="Q7683">
        <v>146.6</v>
      </c>
    </row>
    <row r="7684" spans="11:17" x14ac:dyDescent="0.3">
      <c r="K7684">
        <v>2020</v>
      </c>
      <c r="L7684" t="s">
        <v>42</v>
      </c>
      <c r="M7684" t="s">
        <v>143</v>
      </c>
      <c r="N7684" t="s">
        <v>25</v>
      </c>
      <c r="O7684" t="s">
        <v>195</v>
      </c>
      <c r="P7684" s="1" t="s">
        <v>33</v>
      </c>
      <c r="Q7684">
        <v>141.80000000000001</v>
      </c>
    </row>
    <row r="7685" spans="11:17" x14ac:dyDescent="0.3">
      <c r="K7685">
        <v>2020</v>
      </c>
      <c r="L7685" t="s">
        <v>42</v>
      </c>
      <c r="M7685" t="s">
        <v>143</v>
      </c>
      <c r="N7685" t="s">
        <v>12</v>
      </c>
      <c r="O7685" t="s">
        <v>188</v>
      </c>
      <c r="P7685" s="1" t="s">
        <v>30</v>
      </c>
      <c r="Q7685">
        <v>160</v>
      </c>
    </row>
    <row r="7686" spans="11:17" x14ac:dyDescent="0.3">
      <c r="K7686">
        <v>2020</v>
      </c>
      <c r="L7686" t="s">
        <v>42</v>
      </c>
      <c r="M7686" t="s">
        <v>143</v>
      </c>
      <c r="N7686" t="s">
        <v>12</v>
      </c>
      <c r="O7686" t="s">
        <v>188</v>
      </c>
      <c r="P7686" s="1" t="s">
        <v>34</v>
      </c>
      <c r="Q7686">
        <v>160.30000000000001</v>
      </c>
    </row>
    <row r="7687" spans="11:17" x14ac:dyDescent="0.3">
      <c r="K7687">
        <v>2020</v>
      </c>
      <c r="L7687" t="s">
        <v>42</v>
      </c>
      <c r="M7687" t="s">
        <v>143</v>
      </c>
      <c r="N7687" t="s">
        <v>12</v>
      </c>
      <c r="O7687" t="s">
        <v>188</v>
      </c>
      <c r="P7687" s="1" t="s">
        <v>33</v>
      </c>
      <c r="Q7687">
        <v>160.9</v>
      </c>
    </row>
    <row r="7688" spans="11:17" x14ac:dyDescent="0.3">
      <c r="K7688">
        <v>2020</v>
      </c>
      <c r="L7688" t="s">
        <v>42</v>
      </c>
      <c r="M7688" t="s">
        <v>143</v>
      </c>
      <c r="N7688" t="s">
        <v>11</v>
      </c>
      <c r="O7688" t="s">
        <v>188</v>
      </c>
      <c r="P7688" s="1" t="s">
        <v>30</v>
      </c>
      <c r="Q7688">
        <v>115.1</v>
      </c>
    </row>
    <row r="7689" spans="11:17" x14ac:dyDescent="0.3">
      <c r="K7689">
        <v>2020</v>
      </c>
      <c r="L7689" t="s">
        <v>42</v>
      </c>
      <c r="M7689" t="s">
        <v>143</v>
      </c>
      <c r="N7689" t="s">
        <v>11</v>
      </c>
      <c r="O7689" t="s">
        <v>188</v>
      </c>
      <c r="P7689" s="1" t="s">
        <v>34</v>
      </c>
      <c r="Q7689">
        <v>116.4</v>
      </c>
    </row>
    <row r="7690" spans="11:17" x14ac:dyDescent="0.3">
      <c r="K7690">
        <v>2020</v>
      </c>
      <c r="L7690" t="s">
        <v>42</v>
      </c>
      <c r="M7690" t="s">
        <v>143</v>
      </c>
      <c r="N7690" t="s">
        <v>11</v>
      </c>
      <c r="O7690" t="s">
        <v>188</v>
      </c>
      <c r="P7690" s="1" t="s">
        <v>33</v>
      </c>
      <c r="Q7690">
        <v>118.9</v>
      </c>
    </row>
    <row r="7691" spans="11:17" x14ac:dyDescent="0.3">
      <c r="K7691">
        <v>2020</v>
      </c>
      <c r="L7691" t="s">
        <v>42</v>
      </c>
      <c r="M7691" t="s">
        <v>143</v>
      </c>
      <c r="N7691" t="s">
        <v>24</v>
      </c>
      <c r="O7691" t="s">
        <v>191</v>
      </c>
      <c r="P7691" s="1" t="s">
        <v>30</v>
      </c>
      <c r="Q7691">
        <v>144.6</v>
      </c>
    </row>
    <row r="7692" spans="11:17" x14ac:dyDescent="0.3">
      <c r="K7692">
        <v>2020</v>
      </c>
      <c r="L7692" t="s">
        <v>42</v>
      </c>
      <c r="M7692" t="s">
        <v>143</v>
      </c>
      <c r="N7692" t="s">
        <v>24</v>
      </c>
      <c r="O7692" t="s">
        <v>191</v>
      </c>
      <c r="P7692" s="1" t="s">
        <v>34</v>
      </c>
      <c r="Q7692">
        <v>139.6</v>
      </c>
    </row>
    <row r="7693" spans="11:17" x14ac:dyDescent="0.3">
      <c r="K7693">
        <v>2020</v>
      </c>
      <c r="L7693" t="s">
        <v>42</v>
      </c>
      <c r="M7693" t="s">
        <v>143</v>
      </c>
      <c r="N7693" t="s">
        <v>24</v>
      </c>
      <c r="O7693" t="s">
        <v>191</v>
      </c>
      <c r="P7693" s="1" t="s">
        <v>33</v>
      </c>
      <c r="Q7693">
        <v>135.1</v>
      </c>
    </row>
    <row r="7694" spans="11:17" x14ac:dyDescent="0.3">
      <c r="K7694">
        <v>2020</v>
      </c>
      <c r="L7694" t="s">
        <v>42</v>
      </c>
      <c r="M7694" t="s">
        <v>143</v>
      </c>
      <c r="N7694" t="s">
        <v>9</v>
      </c>
      <c r="O7694" t="s">
        <v>188</v>
      </c>
      <c r="P7694" s="1" t="s">
        <v>30</v>
      </c>
      <c r="Q7694">
        <v>178.8</v>
      </c>
    </row>
    <row r="7695" spans="11:17" x14ac:dyDescent="0.3">
      <c r="K7695">
        <v>2020</v>
      </c>
      <c r="L7695" t="s">
        <v>42</v>
      </c>
      <c r="M7695" t="s">
        <v>143</v>
      </c>
      <c r="N7695" t="s">
        <v>9</v>
      </c>
      <c r="O7695" t="s">
        <v>188</v>
      </c>
      <c r="P7695" s="1" t="s">
        <v>34</v>
      </c>
      <c r="Q7695">
        <v>186.7</v>
      </c>
    </row>
    <row r="7696" spans="11:17" x14ac:dyDescent="0.3">
      <c r="K7696">
        <v>2020</v>
      </c>
      <c r="L7696" t="s">
        <v>42</v>
      </c>
      <c r="M7696" t="s">
        <v>143</v>
      </c>
      <c r="N7696" t="s">
        <v>9</v>
      </c>
      <c r="O7696" t="s">
        <v>188</v>
      </c>
      <c r="P7696" s="1" t="s">
        <v>33</v>
      </c>
      <c r="Q7696">
        <v>202</v>
      </c>
    </row>
    <row r="7697" spans="11:17" x14ac:dyDescent="0.3">
      <c r="K7697">
        <v>2021</v>
      </c>
      <c r="L7697" t="s">
        <v>37</v>
      </c>
      <c r="M7697" t="s">
        <v>144</v>
      </c>
      <c r="N7697" t="s">
        <v>3</v>
      </c>
      <c r="O7697" t="s">
        <v>188</v>
      </c>
      <c r="P7697" s="1" t="s">
        <v>30</v>
      </c>
      <c r="Q7697">
        <v>142.69999999999999</v>
      </c>
    </row>
    <row r="7698" spans="11:17" x14ac:dyDescent="0.3">
      <c r="K7698">
        <v>2021</v>
      </c>
      <c r="L7698" t="s">
        <v>37</v>
      </c>
      <c r="M7698" t="s">
        <v>144</v>
      </c>
      <c r="N7698" t="s">
        <v>3</v>
      </c>
      <c r="O7698" t="s">
        <v>188</v>
      </c>
      <c r="P7698" s="1" t="s">
        <v>34</v>
      </c>
      <c r="Q7698">
        <v>144.30000000000001</v>
      </c>
    </row>
    <row r="7699" spans="11:17" x14ac:dyDescent="0.3">
      <c r="K7699">
        <v>2021</v>
      </c>
      <c r="L7699" t="s">
        <v>37</v>
      </c>
      <c r="M7699" t="s">
        <v>144</v>
      </c>
      <c r="N7699" t="s">
        <v>3</v>
      </c>
      <c r="O7699" t="s">
        <v>188</v>
      </c>
      <c r="P7699" s="1" t="s">
        <v>33</v>
      </c>
      <c r="Q7699">
        <v>147.6</v>
      </c>
    </row>
    <row r="7700" spans="11:17" x14ac:dyDescent="0.3">
      <c r="K7700">
        <v>2021</v>
      </c>
      <c r="L7700" t="s">
        <v>37</v>
      </c>
      <c r="M7700" t="s">
        <v>144</v>
      </c>
      <c r="N7700" t="s">
        <v>17</v>
      </c>
      <c r="O7700" t="s">
        <v>189</v>
      </c>
      <c r="P7700" s="1" t="s">
        <v>30</v>
      </c>
      <c r="Q7700">
        <v>160.69999999999999</v>
      </c>
    </row>
    <row r="7701" spans="11:17" x14ac:dyDescent="0.3">
      <c r="K7701">
        <v>2021</v>
      </c>
      <c r="L7701" t="s">
        <v>37</v>
      </c>
      <c r="M7701" t="s">
        <v>144</v>
      </c>
      <c r="N7701" t="s">
        <v>17</v>
      </c>
      <c r="O7701" t="s">
        <v>189</v>
      </c>
      <c r="P7701" s="1" t="s">
        <v>34</v>
      </c>
      <c r="Q7701">
        <v>158.80000000000001</v>
      </c>
    </row>
    <row r="7702" spans="11:17" x14ac:dyDescent="0.3">
      <c r="K7702">
        <v>2021</v>
      </c>
      <c r="L7702" t="s">
        <v>37</v>
      </c>
      <c r="M7702" t="s">
        <v>144</v>
      </c>
      <c r="N7702" t="s">
        <v>17</v>
      </c>
      <c r="O7702" t="s">
        <v>189</v>
      </c>
      <c r="P7702" s="1" t="s">
        <v>33</v>
      </c>
      <c r="Q7702">
        <v>155.9</v>
      </c>
    </row>
    <row r="7703" spans="11:17" x14ac:dyDescent="0.3">
      <c r="K7703">
        <v>2021</v>
      </c>
      <c r="L7703" t="s">
        <v>37</v>
      </c>
      <c r="M7703" t="s">
        <v>144</v>
      </c>
      <c r="N7703" t="s">
        <v>19</v>
      </c>
      <c r="O7703" t="s">
        <v>189</v>
      </c>
      <c r="P7703" s="1" t="s">
        <v>30</v>
      </c>
      <c r="Q7703">
        <v>159.9</v>
      </c>
    </row>
    <row r="7704" spans="11:17" x14ac:dyDescent="0.3">
      <c r="K7704">
        <v>2021</v>
      </c>
      <c r="L7704" t="s">
        <v>37</v>
      </c>
      <c r="M7704" t="s">
        <v>144</v>
      </c>
      <c r="N7704" t="s">
        <v>19</v>
      </c>
      <c r="O7704" t="s">
        <v>189</v>
      </c>
      <c r="P7704" s="1" t="s">
        <v>34</v>
      </c>
      <c r="Q7704">
        <v>157.30000000000001</v>
      </c>
    </row>
    <row r="7705" spans="11:17" x14ac:dyDescent="0.3">
      <c r="K7705">
        <v>2021</v>
      </c>
      <c r="L7705" t="s">
        <v>37</v>
      </c>
      <c r="M7705" t="s">
        <v>144</v>
      </c>
      <c r="N7705" t="s">
        <v>19</v>
      </c>
      <c r="O7705" t="s">
        <v>189</v>
      </c>
      <c r="P7705" s="1" t="s">
        <v>33</v>
      </c>
      <c r="Q7705">
        <v>153.4</v>
      </c>
    </row>
    <row r="7706" spans="11:17" x14ac:dyDescent="0.3">
      <c r="K7706">
        <v>2021</v>
      </c>
      <c r="L7706" t="s">
        <v>37</v>
      </c>
      <c r="M7706" t="s">
        <v>144</v>
      </c>
      <c r="N7706" t="s">
        <v>26</v>
      </c>
      <c r="O7706" t="s">
        <v>26</v>
      </c>
      <c r="P7706" s="1" t="s">
        <v>30</v>
      </c>
      <c r="Q7706">
        <v>164.1</v>
      </c>
    </row>
    <row r="7707" spans="11:17" x14ac:dyDescent="0.3">
      <c r="K7707">
        <v>2021</v>
      </c>
      <c r="L7707" t="s">
        <v>37</v>
      </c>
      <c r="M7707" t="s">
        <v>144</v>
      </c>
      <c r="N7707" t="s">
        <v>26</v>
      </c>
      <c r="O7707" t="s">
        <v>26</v>
      </c>
      <c r="P7707" s="1" t="s">
        <v>34</v>
      </c>
      <c r="Q7707">
        <v>160.30000000000001</v>
      </c>
    </row>
    <row r="7708" spans="11:17" x14ac:dyDescent="0.3">
      <c r="K7708">
        <v>2021</v>
      </c>
      <c r="L7708" t="s">
        <v>37</v>
      </c>
      <c r="M7708" t="s">
        <v>144</v>
      </c>
      <c r="N7708" t="s">
        <v>26</v>
      </c>
      <c r="O7708" t="s">
        <v>26</v>
      </c>
      <c r="P7708" s="1" t="s">
        <v>33</v>
      </c>
      <c r="Q7708">
        <v>157.6</v>
      </c>
    </row>
    <row r="7709" spans="11:17" x14ac:dyDescent="0.3">
      <c r="K7709">
        <v>2021</v>
      </c>
      <c r="L7709" t="s">
        <v>37</v>
      </c>
      <c r="M7709" t="s">
        <v>144</v>
      </c>
      <c r="N7709" t="s">
        <v>5</v>
      </c>
      <c r="O7709" t="s">
        <v>188</v>
      </c>
      <c r="P7709" s="1" t="s">
        <v>30</v>
      </c>
      <c r="Q7709">
        <v>163.4</v>
      </c>
    </row>
    <row r="7710" spans="11:17" x14ac:dyDescent="0.3">
      <c r="K7710">
        <v>2021</v>
      </c>
      <c r="L7710" t="s">
        <v>37</v>
      </c>
      <c r="M7710" t="s">
        <v>144</v>
      </c>
      <c r="N7710" t="s">
        <v>5</v>
      </c>
      <c r="O7710" t="s">
        <v>188</v>
      </c>
      <c r="P7710" s="1" t="s">
        <v>34</v>
      </c>
      <c r="Q7710">
        <v>164.6</v>
      </c>
    </row>
    <row r="7711" spans="11:17" x14ac:dyDescent="0.3">
      <c r="K7711">
        <v>2021</v>
      </c>
      <c r="L7711" t="s">
        <v>37</v>
      </c>
      <c r="M7711" t="s">
        <v>144</v>
      </c>
      <c r="N7711" t="s">
        <v>5</v>
      </c>
      <c r="O7711" t="s">
        <v>188</v>
      </c>
      <c r="P7711" s="1" t="s">
        <v>33</v>
      </c>
      <c r="Q7711">
        <v>166.4</v>
      </c>
    </row>
    <row r="7712" spans="11:17" x14ac:dyDescent="0.3">
      <c r="K7712">
        <v>2021</v>
      </c>
      <c r="L7712" t="s">
        <v>37</v>
      </c>
      <c r="M7712" t="s">
        <v>144</v>
      </c>
      <c r="N7712" t="s">
        <v>15</v>
      </c>
      <c r="O7712" t="s">
        <v>188</v>
      </c>
      <c r="P7712" s="1" t="s">
        <v>30</v>
      </c>
      <c r="Q7712">
        <v>155.6</v>
      </c>
    </row>
    <row r="7713" spans="11:17" x14ac:dyDescent="0.3">
      <c r="K7713">
        <v>2021</v>
      </c>
      <c r="L7713" t="s">
        <v>37</v>
      </c>
      <c r="M7713" t="s">
        <v>144</v>
      </c>
      <c r="N7713" t="s">
        <v>15</v>
      </c>
      <c r="O7713" t="s">
        <v>188</v>
      </c>
      <c r="P7713" s="1" t="s">
        <v>34</v>
      </c>
      <c r="Q7713">
        <v>158</v>
      </c>
    </row>
    <row r="7714" spans="11:17" x14ac:dyDescent="0.3">
      <c r="K7714">
        <v>2021</v>
      </c>
      <c r="L7714" t="s">
        <v>37</v>
      </c>
      <c r="M7714" t="s">
        <v>144</v>
      </c>
      <c r="N7714" t="s">
        <v>15</v>
      </c>
      <c r="O7714" t="s">
        <v>188</v>
      </c>
      <c r="P7714" s="1" t="s">
        <v>33</v>
      </c>
      <c r="Q7714">
        <v>162</v>
      </c>
    </row>
    <row r="7715" spans="11:17" x14ac:dyDescent="0.3">
      <c r="K7715">
        <v>2021</v>
      </c>
      <c r="L7715" t="s">
        <v>37</v>
      </c>
      <c r="M7715" t="s">
        <v>144</v>
      </c>
      <c r="N7715" t="s">
        <v>18</v>
      </c>
      <c r="O7715" t="s">
        <v>189</v>
      </c>
      <c r="P7715" s="1" t="s">
        <v>30</v>
      </c>
      <c r="Q7715">
        <v>155.1</v>
      </c>
    </row>
    <row r="7716" spans="11:17" x14ac:dyDescent="0.3">
      <c r="K7716">
        <v>2021</v>
      </c>
      <c r="L7716" t="s">
        <v>37</v>
      </c>
      <c r="M7716" t="s">
        <v>144</v>
      </c>
      <c r="N7716" t="s">
        <v>18</v>
      </c>
      <c r="O7716" t="s">
        <v>189</v>
      </c>
      <c r="P7716" s="1" t="s">
        <v>34</v>
      </c>
      <c r="Q7716">
        <v>148.5</v>
      </c>
    </row>
    <row r="7717" spans="11:17" x14ac:dyDescent="0.3">
      <c r="K7717">
        <v>2021</v>
      </c>
      <c r="L7717" t="s">
        <v>37</v>
      </c>
      <c r="M7717" t="s">
        <v>144</v>
      </c>
      <c r="N7717" t="s">
        <v>18</v>
      </c>
      <c r="O7717" t="s">
        <v>189</v>
      </c>
      <c r="P7717" s="1" t="s">
        <v>33</v>
      </c>
      <c r="Q7717">
        <v>139.30000000000001</v>
      </c>
    </row>
    <row r="7718" spans="11:17" x14ac:dyDescent="0.3">
      <c r="K7718">
        <v>2021</v>
      </c>
      <c r="L7718" t="s">
        <v>37</v>
      </c>
      <c r="M7718" t="s">
        <v>144</v>
      </c>
      <c r="N7718" t="s">
        <v>8</v>
      </c>
      <c r="O7718" t="s">
        <v>188</v>
      </c>
      <c r="P7718" s="1" t="s">
        <v>30</v>
      </c>
      <c r="Q7718">
        <v>160.6</v>
      </c>
    </row>
    <row r="7719" spans="11:17" x14ac:dyDescent="0.3">
      <c r="K7719">
        <v>2021</v>
      </c>
      <c r="L7719" t="s">
        <v>37</v>
      </c>
      <c r="M7719" t="s">
        <v>144</v>
      </c>
      <c r="N7719" t="s">
        <v>8</v>
      </c>
      <c r="O7719" t="s">
        <v>188</v>
      </c>
      <c r="P7719" s="1" t="s">
        <v>34</v>
      </c>
      <c r="Q7719">
        <v>164.4</v>
      </c>
    </row>
    <row r="7720" spans="11:17" x14ac:dyDescent="0.3">
      <c r="K7720">
        <v>2021</v>
      </c>
      <c r="L7720" t="s">
        <v>37</v>
      </c>
      <c r="M7720" t="s">
        <v>144</v>
      </c>
      <c r="N7720" t="s">
        <v>8</v>
      </c>
      <c r="O7720" t="s">
        <v>188</v>
      </c>
      <c r="P7720" s="1" t="s">
        <v>33</v>
      </c>
      <c r="Q7720">
        <v>168.8</v>
      </c>
    </row>
    <row r="7721" spans="11:17" x14ac:dyDescent="0.3">
      <c r="K7721">
        <v>2021</v>
      </c>
      <c r="L7721" t="s">
        <v>37</v>
      </c>
      <c r="M7721" t="s">
        <v>144</v>
      </c>
      <c r="N7721" t="s">
        <v>21</v>
      </c>
      <c r="O7721" t="s">
        <v>190</v>
      </c>
      <c r="P7721" s="1" t="s">
        <v>30</v>
      </c>
      <c r="Q7721">
        <v>156</v>
      </c>
    </row>
    <row r="7722" spans="11:17" x14ac:dyDescent="0.3">
      <c r="K7722">
        <v>2021</v>
      </c>
      <c r="L7722" t="s">
        <v>37</v>
      </c>
      <c r="M7722" t="s">
        <v>144</v>
      </c>
      <c r="N7722" t="s">
        <v>21</v>
      </c>
      <c r="O7722" t="s">
        <v>190</v>
      </c>
      <c r="P7722" s="1" t="s">
        <v>34</v>
      </c>
      <c r="Q7722">
        <v>155.6</v>
      </c>
    </row>
    <row r="7723" spans="11:17" x14ac:dyDescent="0.3">
      <c r="K7723">
        <v>2021</v>
      </c>
      <c r="L7723" t="s">
        <v>37</v>
      </c>
      <c r="M7723" t="s">
        <v>144</v>
      </c>
      <c r="N7723" t="s">
        <v>21</v>
      </c>
      <c r="O7723" t="s">
        <v>190</v>
      </c>
      <c r="P7723" s="1" t="s">
        <v>33</v>
      </c>
      <c r="Q7723">
        <v>154.9</v>
      </c>
    </row>
    <row r="7724" spans="11:17" x14ac:dyDescent="0.3">
      <c r="K7724">
        <v>2021</v>
      </c>
      <c r="L7724" t="s">
        <v>37</v>
      </c>
      <c r="M7724" t="s">
        <v>144</v>
      </c>
      <c r="N7724" t="s">
        <v>29</v>
      </c>
      <c r="O7724" t="s">
        <v>206</v>
      </c>
      <c r="P7724" s="1" t="s">
        <v>30</v>
      </c>
      <c r="Q7724">
        <v>157.6</v>
      </c>
    </row>
    <row r="7725" spans="11:17" x14ac:dyDescent="0.3">
      <c r="K7725">
        <v>2021</v>
      </c>
      <c r="L7725" t="s">
        <v>37</v>
      </c>
      <c r="M7725" t="s">
        <v>144</v>
      </c>
      <c r="N7725" t="s">
        <v>29</v>
      </c>
      <c r="O7725" t="s">
        <v>206</v>
      </c>
      <c r="P7725" s="1" t="s">
        <v>34</v>
      </c>
      <c r="Q7725">
        <v>157.80000000000001</v>
      </c>
    </row>
    <row r="7726" spans="11:17" x14ac:dyDescent="0.3">
      <c r="K7726">
        <v>2021</v>
      </c>
      <c r="L7726" t="s">
        <v>37</v>
      </c>
      <c r="M7726" t="s">
        <v>144</v>
      </c>
      <c r="N7726" t="s">
        <v>29</v>
      </c>
      <c r="O7726" t="s">
        <v>206</v>
      </c>
      <c r="P7726" s="1" t="s">
        <v>33</v>
      </c>
      <c r="Q7726">
        <v>158</v>
      </c>
    </row>
    <row r="7727" spans="11:17" x14ac:dyDescent="0.3">
      <c r="K7727">
        <v>2021</v>
      </c>
      <c r="L7727" t="s">
        <v>37</v>
      </c>
      <c r="M7727" t="s">
        <v>144</v>
      </c>
      <c r="N7727" t="s">
        <v>23</v>
      </c>
      <c r="O7727" t="s">
        <v>23</v>
      </c>
      <c r="P7727" s="1" t="s">
        <v>30</v>
      </c>
      <c r="Q7727">
        <v>165.3</v>
      </c>
    </row>
    <row r="7728" spans="11:17" x14ac:dyDescent="0.3">
      <c r="K7728">
        <v>2021</v>
      </c>
      <c r="L7728" t="s">
        <v>37</v>
      </c>
      <c r="M7728" t="s">
        <v>144</v>
      </c>
      <c r="N7728" t="s">
        <v>23</v>
      </c>
      <c r="O7728" t="s">
        <v>23</v>
      </c>
      <c r="P7728" s="1" t="s">
        <v>34</v>
      </c>
      <c r="Q7728">
        <v>162.30000000000001</v>
      </c>
    </row>
    <row r="7729" spans="11:17" x14ac:dyDescent="0.3">
      <c r="K7729">
        <v>2021</v>
      </c>
      <c r="L7729" t="s">
        <v>37</v>
      </c>
      <c r="M7729" t="s">
        <v>144</v>
      </c>
      <c r="N7729" t="s">
        <v>23</v>
      </c>
      <c r="O7729" t="s">
        <v>23</v>
      </c>
      <c r="P7729" s="1" t="s">
        <v>33</v>
      </c>
      <c r="Q7729">
        <v>157.5</v>
      </c>
    </row>
    <row r="7730" spans="11:17" x14ac:dyDescent="0.3">
      <c r="K7730">
        <v>2021</v>
      </c>
      <c r="L7730" t="s">
        <v>37</v>
      </c>
      <c r="M7730" t="s">
        <v>144</v>
      </c>
      <c r="N7730" t="s">
        <v>22</v>
      </c>
      <c r="O7730" t="s">
        <v>20</v>
      </c>
      <c r="P7730" s="1" t="s">
        <v>30</v>
      </c>
      <c r="Q7730">
        <v>155.5</v>
      </c>
    </row>
    <row r="7731" spans="11:17" x14ac:dyDescent="0.3">
      <c r="K7731">
        <v>2021</v>
      </c>
      <c r="L7731" t="s">
        <v>37</v>
      </c>
      <c r="M7731" t="s">
        <v>144</v>
      </c>
      <c r="N7731" t="s">
        <v>22</v>
      </c>
      <c r="O7731" t="s">
        <v>20</v>
      </c>
      <c r="P7731" s="1" t="s">
        <v>34</v>
      </c>
      <c r="Q7731">
        <v>151.80000000000001</v>
      </c>
    </row>
    <row r="7732" spans="11:17" x14ac:dyDescent="0.3">
      <c r="K7732">
        <v>2021</v>
      </c>
      <c r="L7732" t="s">
        <v>37</v>
      </c>
      <c r="M7732" t="s">
        <v>144</v>
      </c>
      <c r="N7732" t="s">
        <v>22</v>
      </c>
      <c r="O7732" t="s">
        <v>20</v>
      </c>
      <c r="P7732" s="1" t="s">
        <v>33</v>
      </c>
      <c r="Q7732">
        <v>147.6</v>
      </c>
    </row>
    <row r="7733" spans="11:17" x14ac:dyDescent="0.3">
      <c r="K7733">
        <v>2021</v>
      </c>
      <c r="L7733" t="s">
        <v>37</v>
      </c>
      <c r="M7733" t="s">
        <v>144</v>
      </c>
      <c r="N7733" t="s">
        <v>20</v>
      </c>
      <c r="O7733" t="s">
        <v>20</v>
      </c>
      <c r="P7733" s="1" t="s">
        <v>30</v>
      </c>
      <c r="Q7733">
        <v>0</v>
      </c>
    </row>
    <row r="7734" spans="11:17" x14ac:dyDescent="0.3">
      <c r="K7734">
        <v>2021</v>
      </c>
      <c r="L7734" t="s">
        <v>37</v>
      </c>
      <c r="M7734" t="s">
        <v>144</v>
      </c>
      <c r="N7734" t="s">
        <v>20</v>
      </c>
      <c r="O7734" t="s">
        <v>20</v>
      </c>
      <c r="P7734" s="1" t="s">
        <v>34</v>
      </c>
      <c r="Q7734">
        <v>161.4</v>
      </c>
    </row>
    <row r="7735" spans="11:17" x14ac:dyDescent="0.3">
      <c r="K7735">
        <v>2021</v>
      </c>
      <c r="L7735" t="s">
        <v>37</v>
      </c>
      <c r="M7735" t="s">
        <v>144</v>
      </c>
      <c r="N7735" t="s">
        <v>20</v>
      </c>
      <c r="O7735" t="s">
        <v>20</v>
      </c>
      <c r="P7735" s="1" t="s">
        <v>33</v>
      </c>
      <c r="Q7735">
        <v>161.4</v>
      </c>
    </row>
    <row r="7736" spans="11:17" x14ac:dyDescent="0.3">
      <c r="K7736">
        <v>2021</v>
      </c>
      <c r="L7736" t="s">
        <v>37</v>
      </c>
      <c r="M7736" t="s">
        <v>144</v>
      </c>
      <c r="N7736" t="s">
        <v>4</v>
      </c>
      <c r="O7736" t="s">
        <v>188</v>
      </c>
      <c r="P7736" s="1" t="s">
        <v>30</v>
      </c>
      <c r="Q7736">
        <v>195.5</v>
      </c>
    </row>
    <row r="7737" spans="11:17" x14ac:dyDescent="0.3">
      <c r="K7737">
        <v>2021</v>
      </c>
      <c r="L7737" t="s">
        <v>37</v>
      </c>
      <c r="M7737" t="s">
        <v>144</v>
      </c>
      <c r="N7737" t="s">
        <v>4</v>
      </c>
      <c r="O7737" t="s">
        <v>188</v>
      </c>
      <c r="P7737" s="1" t="s">
        <v>34</v>
      </c>
      <c r="Q7737">
        <v>198</v>
      </c>
    </row>
    <row r="7738" spans="11:17" x14ac:dyDescent="0.3">
      <c r="K7738">
        <v>2021</v>
      </c>
      <c r="L7738" t="s">
        <v>37</v>
      </c>
      <c r="M7738" t="s">
        <v>144</v>
      </c>
      <c r="N7738" t="s">
        <v>4</v>
      </c>
      <c r="O7738" t="s">
        <v>188</v>
      </c>
      <c r="P7738" s="1" t="s">
        <v>33</v>
      </c>
      <c r="Q7738">
        <v>202.5</v>
      </c>
    </row>
    <row r="7739" spans="11:17" x14ac:dyDescent="0.3">
      <c r="K7739">
        <v>2021</v>
      </c>
      <c r="L7739" t="s">
        <v>37</v>
      </c>
      <c r="M7739" t="s">
        <v>144</v>
      </c>
      <c r="N7739" t="s">
        <v>6</v>
      </c>
      <c r="O7739" t="s">
        <v>188</v>
      </c>
      <c r="P7739" s="1" t="s">
        <v>30</v>
      </c>
      <c r="Q7739">
        <v>155</v>
      </c>
    </row>
    <row r="7740" spans="11:17" x14ac:dyDescent="0.3">
      <c r="K7740">
        <v>2021</v>
      </c>
      <c r="L7740" t="s">
        <v>37</v>
      </c>
      <c r="M7740" t="s">
        <v>144</v>
      </c>
      <c r="N7740" t="s">
        <v>6</v>
      </c>
      <c r="O7740" t="s">
        <v>188</v>
      </c>
      <c r="P7740" s="1" t="s">
        <v>34</v>
      </c>
      <c r="Q7740">
        <v>155.4</v>
      </c>
    </row>
    <row r="7741" spans="11:17" x14ac:dyDescent="0.3">
      <c r="K7741">
        <v>2021</v>
      </c>
      <c r="L7741" t="s">
        <v>37</v>
      </c>
      <c r="M7741" t="s">
        <v>144</v>
      </c>
      <c r="N7741" t="s">
        <v>6</v>
      </c>
      <c r="O7741" t="s">
        <v>188</v>
      </c>
      <c r="P7741" s="1" t="s">
        <v>33</v>
      </c>
      <c r="Q7741">
        <v>156</v>
      </c>
    </row>
    <row r="7742" spans="11:17" x14ac:dyDescent="0.3">
      <c r="K7742">
        <v>2021</v>
      </c>
      <c r="L7742" t="s">
        <v>37</v>
      </c>
      <c r="M7742" t="s">
        <v>144</v>
      </c>
      <c r="N7742" t="s">
        <v>28</v>
      </c>
      <c r="O7742" t="s">
        <v>192</v>
      </c>
      <c r="P7742" s="1" t="s">
        <v>30</v>
      </c>
      <c r="Q7742">
        <v>158</v>
      </c>
    </row>
    <row r="7743" spans="11:17" x14ac:dyDescent="0.3">
      <c r="K7743">
        <v>2021</v>
      </c>
      <c r="L7743" t="s">
        <v>37</v>
      </c>
      <c r="M7743" t="s">
        <v>144</v>
      </c>
      <c r="N7743" t="s">
        <v>28</v>
      </c>
      <c r="O7743" t="s">
        <v>192</v>
      </c>
      <c r="P7743" s="1" t="s">
        <v>34</v>
      </c>
      <c r="Q7743">
        <v>154.4</v>
      </c>
    </row>
    <row r="7744" spans="11:17" x14ac:dyDescent="0.3">
      <c r="K7744">
        <v>2021</v>
      </c>
      <c r="L7744" t="s">
        <v>37</v>
      </c>
      <c r="M7744" t="s">
        <v>144</v>
      </c>
      <c r="N7744" t="s">
        <v>28</v>
      </c>
      <c r="O7744" t="s">
        <v>192</v>
      </c>
      <c r="P7744" s="1" t="s">
        <v>33</v>
      </c>
      <c r="Q7744">
        <v>150.5</v>
      </c>
    </row>
    <row r="7745" spans="11:17" x14ac:dyDescent="0.3">
      <c r="K7745">
        <v>2021</v>
      </c>
      <c r="L7745" t="s">
        <v>37</v>
      </c>
      <c r="M7745" t="s">
        <v>144</v>
      </c>
      <c r="N7745" t="s">
        <v>13</v>
      </c>
      <c r="O7745" t="s">
        <v>188</v>
      </c>
      <c r="P7745" s="1" t="s">
        <v>30</v>
      </c>
      <c r="Q7745">
        <v>161.9</v>
      </c>
    </row>
    <row r="7746" spans="11:17" x14ac:dyDescent="0.3">
      <c r="K7746">
        <v>2021</v>
      </c>
      <c r="L7746" t="s">
        <v>37</v>
      </c>
      <c r="M7746" t="s">
        <v>144</v>
      </c>
      <c r="N7746" t="s">
        <v>13</v>
      </c>
      <c r="O7746" t="s">
        <v>188</v>
      </c>
      <c r="P7746" s="1" t="s">
        <v>34</v>
      </c>
      <c r="Q7746">
        <v>157.6</v>
      </c>
    </row>
    <row r="7747" spans="11:17" x14ac:dyDescent="0.3">
      <c r="K7747">
        <v>2021</v>
      </c>
      <c r="L7747" t="s">
        <v>37</v>
      </c>
      <c r="M7747" t="s">
        <v>144</v>
      </c>
      <c r="N7747" t="s">
        <v>13</v>
      </c>
      <c r="O7747" t="s">
        <v>188</v>
      </c>
      <c r="P7747" s="1" t="s">
        <v>33</v>
      </c>
      <c r="Q7747">
        <v>151.5</v>
      </c>
    </row>
    <row r="7748" spans="11:17" x14ac:dyDescent="0.3">
      <c r="K7748">
        <v>2021</v>
      </c>
      <c r="L7748" t="s">
        <v>37</v>
      </c>
      <c r="M7748" t="s">
        <v>144</v>
      </c>
      <c r="N7748" t="s">
        <v>7</v>
      </c>
      <c r="O7748" t="s">
        <v>188</v>
      </c>
      <c r="P7748" s="1" t="s">
        <v>30</v>
      </c>
      <c r="Q7748">
        <v>175.2</v>
      </c>
    </row>
    <row r="7749" spans="11:17" x14ac:dyDescent="0.3">
      <c r="K7749">
        <v>2021</v>
      </c>
      <c r="L7749" t="s">
        <v>37</v>
      </c>
      <c r="M7749" t="s">
        <v>144</v>
      </c>
      <c r="N7749" t="s">
        <v>7</v>
      </c>
      <c r="O7749" t="s">
        <v>188</v>
      </c>
      <c r="P7749" s="1" t="s">
        <v>34</v>
      </c>
      <c r="Q7749">
        <v>170.1</v>
      </c>
    </row>
    <row r="7750" spans="11:17" x14ac:dyDescent="0.3">
      <c r="K7750">
        <v>2021</v>
      </c>
      <c r="L7750" t="s">
        <v>37</v>
      </c>
      <c r="M7750" t="s">
        <v>144</v>
      </c>
      <c r="N7750" t="s">
        <v>7</v>
      </c>
      <c r="O7750" t="s">
        <v>188</v>
      </c>
      <c r="P7750" s="1" t="s">
        <v>33</v>
      </c>
      <c r="Q7750">
        <v>161.4</v>
      </c>
    </row>
    <row r="7751" spans="11:17" x14ac:dyDescent="0.3">
      <c r="K7751">
        <v>2021</v>
      </c>
      <c r="L7751" t="s">
        <v>37</v>
      </c>
      <c r="M7751" t="s">
        <v>144</v>
      </c>
      <c r="N7751" t="s">
        <v>16</v>
      </c>
      <c r="O7751" t="s">
        <v>192</v>
      </c>
      <c r="P7751" s="1" t="s">
        <v>30</v>
      </c>
      <c r="Q7751">
        <v>186.8</v>
      </c>
    </row>
    <row r="7752" spans="11:17" x14ac:dyDescent="0.3">
      <c r="K7752">
        <v>2021</v>
      </c>
      <c r="L7752" t="s">
        <v>37</v>
      </c>
      <c r="M7752" t="s">
        <v>144</v>
      </c>
      <c r="N7752" t="s">
        <v>16</v>
      </c>
      <c r="O7752" t="s">
        <v>192</v>
      </c>
      <c r="P7752" s="1" t="s">
        <v>34</v>
      </c>
      <c r="Q7752">
        <v>188.8</v>
      </c>
    </row>
    <row r="7753" spans="11:17" x14ac:dyDescent="0.3">
      <c r="K7753">
        <v>2021</v>
      </c>
      <c r="L7753" t="s">
        <v>37</v>
      </c>
      <c r="M7753" t="s">
        <v>144</v>
      </c>
      <c r="N7753" t="s">
        <v>16</v>
      </c>
      <c r="O7753" t="s">
        <v>192</v>
      </c>
      <c r="P7753" s="1" t="s">
        <v>33</v>
      </c>
      <c r="Q7753">
        <v>194.4</v>
      </c>
    </row>
    <row r="7754" spans="11:17" x14ac:dyDescent="0.3">
      <c r="K7754">
        <v>2021</v>
      </c>
      <c r="L7754" t="s">
        <v>37</v>
      </c>
      <c r="M7754" t="s">
        <v>144</v>
      </c>
      <c r="N7754" t="s">
        <v>27</v>
      </c>
      <c r="O7754" t="s">
        <v>192</v>
      </c>
      <c r="P7754" s="1" t="s">
        <v>30</v>
      </c>
      <c r="Q7754">
        <v>154.6</v>
      </c>
    </row>
    <row r="7755" spans="11:17" x14ac:dyDescent="0.3">
      <c r="K7755">
        <v>2021</v>
      </c>
      <c r="L7755" t="s">
        <v>37</v>
      </c>
      <c r="M7755" t="s">
        <v>144</v>
      </c>
      <c r="N7755" t="s">
        <v>27</v>
      </c>
      <c r="O7755" t="s">
        <v>192</v>
      </c>
      <c r="P7755" s="1" t="s">
        <v>34</v>
      </c>
      <c r="Q7755">
        <v>155.4</v>
      </c>
    </row>
    <row r="7756" spans="11:17" x14ac:dyDescent="0.3">
      <c r="K7756">
        <v>2021</v>
      </c>
      <c r="L7756" t="s">
        <v>37</v>
      </c>
      <c r="M7756" t="s">
        <v>144</v>
      </c>
      <c r="N7756" t="s">
        <v>27</v>
      </c>
      <c r="O7756" t="s">
        <v>192</v>
      </c>
      <c r="P7756" s="1" t="s">
        <v>33</v>
      </c>
      <c r="Q7756">
        <v>156.6</v>
      </c>
    </row>
    <row r="7757" spans="11:17" x14ac:dyDescent="0.3">
      <c r="K7757">
        <v>2021</v>
      </c>
      <c r="L7757" t="s">
        <v>37</v>
      </c>
      <c r="M7757" t="s">
        <v>144</v>
      </c>
      <c r="N7757" t="s">
        <v>14</v>
      </c>
      <c r="O7757" t="s">
        <v>188</v>
      </c>
      <c r="P7757" s="1" t="s">
        <v>30</v>
      </c>
      <c r="Q7757">
        <v>166.8</v>
      </c>
    </row>
    <row r="7758" spans="11:17" x14ac:dyDescent="0.3">
      <c r="K7758">
        <v>2021</v>
      </c>
      <c r="L7758" t="s">
        <v>37</v>
      </c>
      <c r="M7758" t="s">
        <v>144</v>
      </c>
      <c r="N7758" t="s">
        <v>14</v>
      </c>
      <c r="O7758" t="s">
        <v>188</v>
      </c>
      <c r="P7758" s="1" t="s">
        <v>34</v>
      </c>
      <c r="Q7758">
        <v>168.9</v>
      </c>
    </row>
    <row r="7759" spans="11:17" x14ac:dyDescent="0.3">
      <c r="K7759">
        <v>2021</v>
      </c>
      <c r="L7759" t="s">
        <v>37</v>
      </c>
      <c r="M7759" t="s">
        <v>144</v>
      </c>
      <c r="N7759" t="s">
        <v>14</v>
      </c>
      <c r="O7759" t="s">
        <v>188</v>
      </c>
      <c r="P7759" s="1" t="s">
        <v>33</v>
      </c>
      <c r="Q7759">
        <v>171.4</v>
      </c>
    </row>
    <row r="7760" spans="11:17" x14ac:dyDescent="0.3">
      <c r="K7760">
        <v>2021</v>
      </c>
      <c r="L7760" t="s">
        <v>37</v>
      </c>
      <c r="M7760" t="s">
        <v>144</v>
      </c>
      <c r="N7760" t="s">
        <v>10</v>
      </c>
      <c r="O7760" t="s">
        <v>188</v>
      </c>
      <c r="P7760" s="1" t="s">
        <v>30</v>
      </c>
      <c r="Q7760">
        <v>161.1</v>
      </c>
    </row>
    <row r="7761" spans="11:17" x14ac:dyDescent="0.3">
      <c r="K7761">
        <v>2021</v>
      </c>
      <c r="L7761" t="s">
        <v>37</v>
      </c>
      <c r="M7761" t="s">
        <v>144</v>
      </c>
      <c r="N7761" t="s">
        <v>10</v>
      </c>
      <c r="O7761" t="s">
        <v>188</v>
      </c>
      <c r="P7761" s="1" t="s">
        <v>34</v>
      </c>
      <c r="Q7761">
        <v>161.69999999999999</v>
      </c>
    </row>
    <row r="7762" spans="11:17" x14ac:dyDescent="0.3">
      <c r="K7762">
        <v>2021</v>
      </c>
      <c r="L7762" t="s">
        <v>37</v>
      </c>
      <c r="M7762" t="s">
        <v>144</v>
      </c>
      <c r="N7762" t="s">
        <v>10</v>
      </c>
      <c r="O7762" t="s">
        <v>188</v>
      </c>
      <c r="P7762" s="1" t="s">
        <v>33</v>
      </c>
      <c r="Q7762">
        <v>162.80000000000001</v>
      </c>
    </row>
    <row r="7763" spans="11:17" x14ac:dyDescent="0.3">
      <c r="K7763">
        <v>2021</v>
      </c>
      <c r="L7763" t="s">
        <v>37</v>
      </c>
      <c r="M7763" t="s">
        <v>144</v>
      </c>
      <c r="N7763" t="s">
        <v>25</v>
      </c>
      <c r="O7763" t="s">
        <v>195</v>
      </c>
      <c r="P7763" s="1" t="s">
        <v>30</v>
      </c>
      <c r="Q7763">
        <v>158.6</v>
      </c>
    </row>
    <row r="7764" spans="11:17" x14ac:dyDescent="0.3">
      <c r="K7764">
        <v>2021</v>
      </c>
      <c r="L7764" t="s">
        <v>37</v>
      </c>
      <c r="M7764" t="s">
        <v>144</v>
      </c>
      <c r="N7764" t="s">
        <v>25</v>
      </c>
      <c r="O7764" t="s">
        <v>195</v>
      </c>
      <c r="P7764" s="1" t="s">
        <v>34</v>
      </c>
      <c r="Q7764">
        <v>153.19999999999999</v>
      </c>
    </row>
    <row r="7765" spans="11:17" x14ac:dyDescent="0.3">
      <c r="K7765">
        <v>2021</v>
      </c>
      <c r="L7765" t="s">
        <v>37</v>
      </c>
      <c r="M7765" t="s">
        <v>144</v>
      </c>
      <c r="N7765" t="s">
        <v>25</v>
      </c>
      <c r="O7765" t="s">
        <v>195</v>
      </c>
      <c r="P7765" s="1" t="s">
        <v>33</v>
      </c>
      <c r="Q7765">
        <v>149.1</v>
      </c>
    </row>
    <row r="7766" spans="11:17" x14ac:dyDescent="0.3">
      <c r="K7766">
        <v>2021</v>
      </c>
      <c r="L7766" t="s">
        <v>37</v>
      </c>
      <c r="M7766" t="s">
        <v>144</v>
      </c>
      <c r="N7766" t="s">
        <v>12</v>
      </c>
      <c r="O7766" t="s">
        <v>188</v>
      </c>
      <c r="P7766" s="1" t="s">
        <v>30</v>
      </c>
      <c r="Q7766">
        <v>164.4</v>
      </c>
    </row>
    <row r="7767" spans="11:17" x14ac:dyDescent="0.3">
      <c r="K7767">
        <v>2021</v>
      </c>
      <c r="L7767" t="s">
        <v>37</v>
      </c>
      <c r="M7767" t="s">
        <v>144</v>
      </c>
      <c r="N7767" t="s">
        <v>12</v>
      </c>
      <c r="O7767" t="s">
        <v>188</v>
      </c>
      <c r="P7767" s="1" t="s">
        <v>34</v>
      </c>
      <c r="Q7767">
        <v>163.9</v>
      </c>
    </row>
    <row r="7768" spans="11:17" x14ac:dyDescent="0.3">
      <c r="K7768">
        <v>2021</v>
      </c>
      <c r="L7768" t="s">
        <v>37</v>
      </c>
      <c r="M7768" t="s">
        <v>144</v>
      </c>
      <c r="N7768" t="s">
        <v>12</v>
      </c>
      <c r="O7768" t="s">
        <v>188</v>
      </c>
      <c r="P7768" s="1" t="s">
        <v>33</v>
      </c>
      <c r="Q7768">
        <v>162.80000000000001</v>
      </c>
    </row>
    <row r="7769" spans="11:17" x14ac:dyDescent="0.3">
      <c r="K7769">
        <v>2021</v>
      </c>
      <c r="L7769" t="s">
        <v>37</v>
      </c>
      <c r="M7769" t="s">
        <v>144</v>
      </c>
      <c r="N7769" t="s">
        <v>11</v>
      </c>
      <c r="O7769" t="s">
        <v>188</v>
      </c>
      <c r="P7769" s="1" t="s">
        <v>30</v>
      </c>
      <c r="Q7769">
        <v>112.2</v>
      </c>
    </row>
    <row r="7770" spans="11:17" x14ac:dyDescent="0.3">
      <c r="K7770">
        <v>2021</v>
      </c>
      <c r="L7770" t="s">
        <v>37</v>
      </c>
      <c r="M7770" t="s">
        <v>144</v>
      </c>
      <c r="N7770" t="s">
        <v>11</v>
      </c>
      <c r="O7770" t="s">
        <v>188</v>
      </c>
      <c r="P7770" s="1" t="s">
        <v>34</v>
      </c>
      <c r="Q7770">
        <v>113.1</v>
      </c>
    </row>
    <row r="7771" spans="11:17" x14ac:dyDescent="0.3">
      <c r="K7771">
        <v>2021</v>
      </c>
      <c r="L7771" t="s">
        <v>37</v>
      </c>
      <c r="M7771" t="s">
        <v>144</v>
      </c>
      <c r="N7771" t="s">
        <v>11</v>
      </c>
      <c r="O7771" t="s">
        <v>188</v>
      </c>
      <c r="P7771" s="1" t="s">
        <v>33</v>
      </c>
      <c r="Q7771">
        <v>114.8</v>
      </c>
    </row>
    <row r="7772" spans="11:17" x14ac:dyDescent="0.3">
      <c r="K7772">
        <v>2021</v>
      </c>
      <c r="L7772" t="s">
        <v>37</v>
      </c>
      <c r="M7772" t="s">
        <v>144</v>
      </c>
      <c r="N7772" t="s">
        <v>24</v>
      </c>
      <c r="O7772" t="s">
        <v>191</v>
      </c>
      <c r="P7772" s="1" t="s">
        <v>30</v>
      </c>
      <c r="Q7772">
        <v>151.69999999999999</v>
      </c>
    </row>
    <row r="7773" spans="11:17" x14ac:dyDescent="0.3">
      <c r="K7773">
        <v>2021</v>
      </c>
      <c r="L7773" t="s">
        <v>37</v>
      </c>
      <c r="M7773" t="s">
        <v>144</v>
      </c>
      <c r="N7773" t="s">
        <v>24</v>
      </c>
      <c r="O7773" t="s">
        <v>191</v>
      </c>
      <c r="P7773" s="1" t="s">
        <v>34</v>
      </c>
      <c r="Q7773">
        <v>146.6</v>
      </c>
    </row>
    <row r="7774" spans="11:17" x14ac:dyDescent="0.3">
      <c r="K7774">
        <v>2021</v>
      </c>
      <c r="L7774" t="s">
        <v>37</v>
      </c>
      <c r="M7774" t="s">
        <v>144</v>
      </c>
      <c r="N7774" t="s">
        <v>24</v>
      </c>
      <c r="O7774" t="s">
        <v>191</v>
      </c>
      <c r="P7774" s="1" t="s">
        <v>33</v>
      </c>
      <c r="Q7774">
        <v>142.1</v>
      </c>
    </row>
    <row r="7775" spans="11:17" x14ac:dyDescent="0.3">
      <c r="K7775">
        <v>2021</v>
      </c>
      <c r="L7775" t="s">
        <v>37</v>
      </c>
      <c r="M7775" t="s">
        <v>144</v>
      </c>
      <c r="N7775" t="s">
        <v>9</v>
      </c>
      <c r="O7775" t="s">
        <v>188</v>
      </c>
      <c r="P7775" s="1" t="s">
        <v>30</v>
      </c>
      <c r="Q7775">
        <v>135.1</v>
      </c>
    </row>
    <row r="7776" spans="11:17" x14ac:dyDescent="0.3">
      <c r="K7776">
        <v>2021</v>
      </c>
      <c r="L7776" t="s">
        <v>37</v>
      </c>
      <c r="M7776" t="s">
        <v>144</v>
      </c>
      <c r="N7776" t="s">
        <v>9</v>
      </c>
      <c r="O7776" t="s">
        <v>188</v>
      </c>
      <c r="P7776" s="1" t="s">
        <v>34</v>
      </c>
      <c r="Q7776">
        <v>144.1</v>
      </c>
    </row>
    <row r="7777" spans="11:17" x14ac:dyDescent="0.3">
      <c r="K7777">
        <v>2021</v>
      </c>
      <c r="L7777" t="s">
        <v>37</v>
      </c>
      <c r="M7777" t="s">
        <v>144</v>
      </c>
      <c r="N7777" t="s">
        <v>9</v>
      </c>
      <c r="O7777" t="s">
        <v>188</v>
      </c>
      <c r="P7777" s="1" t="s">
        <v>33</v>
      </c>
      <c r="Q7777">
        <v>161.6</v>
      </c>
    </row>
    <row r="7778" spans="11:17" x14ac:dyDescent="0.3">
      <c r="K7778">
        <v>2021</v>
      </c>
      <c r="L7778" t="s">
        <v>41</v>
      </c>
      <c r="M7778" t="s">
        <v>145</v>
      </c>
      <c r="N7778" t="s">
        <v>3</v>
      </c>
      <c r="O7778" t="s">
        <v>188</v>
      </c>
      <c r="P7778" s="1" t="s">
        <v>30</v>
      </c>
      <c r="Q7778">
        <v>144.9</v>
      </c>
    </row>
    <row r="7779" spans="11:17" x14ac:dyDescent="0.3">
      <c r="K7779">
        <v>2021</v>
      </c>
      <c r="L7779" t="s">
        <v>41</v>
      </c>
      <c r="M7779" t="s">
        <v>145</v>
      </c>
      <c r="N7779" t="s">
        <v>3</v>
      </c>
      <c r="O7779" t="s">
        <v>188</v>
      </c>
      <c r="P7779" s="1" t="s">
        <v>34</v>
      </c>
      <c r="Q7779">
        <v>146.6</v>
      </c>
    </row>
    <row r="7780" spans="11:17" x14ac:dyDescent="0.3">
      <c r="K7780">
        <v>2021</v>
      </c>
      <c r="L7780" t="s">
        <v>41</v>
      </c>
      <c r="M7780" t="s">
        <v>145</v>
      </c>
      <c r="N7780" t="s">
        <v>3</v>
      </c>
      <c r="O7780" t="s">
        <v>188</v>
      </c>
      <c r="P7780" s="1" t="s">
        <v>33</v>
      </c>
      <c r="Q7780">
        <v>149.30000000000001</v>
      </c>
    </row>
    <row r="7781" spans="11:17" x14ac:dyDescent="0.3">
      <c r="K7781">
        <v>2021</v>
      </c>
      <c r="L7781" t="s">
        <v>41</v>
      </c>
      <c r="M7781" t="s">
        <v>145</v>
      </c>
      <c r="N7781" t="s">
        <v>17</v>
      </c>
      <c r="O7781" t="s">
        <v>189</v>
      </c>
      <c r="P7781" s="1" t="s">
        <v>30</v>
      </c>
      <c r="Q7781">
        <v>167</v>
      </c>
    </row>
    <row r="7782" spans="11:17" x14ac:dyDescent="0.3">
      <c r="K7782">
        <v>2021</v>
      </c>
      <c r="L7782" t="s">
        <v>41</v>
      </c>
      <c r="M7782" t="s">
        <v>145</v>
      </c>
      <c r="N7782" t="s">
        <v>17</v>
      </c>
      <c r="O7782" t="s">
        <v>189</v>
      </c>
      <c r="P7782" s="1" t="s">
        <v>34</v>
      </c>
      <c r="Q7782">
        <v>164.5</v>
      </c>
    </row>
    <row r="7783" spans="11:17" x14ac:dyDescent="0.3">
      <c r="K7783">
        <v>2021</v>
      </c>
      <c r="L7783" t="s">
        <v>41</v>
      </c>
      <c r="M7783" t="s">
        <v>145</v>
      </c>
      <c r="N7783" t="s">
        <v>17</v>
      </c>
      <c r="O7783" t="s">
        <v>189</v>
      </c>
      <c r="P7783" s="1" t="s">
        <v>33</v>
      </c>
      <c r="Q7783">
        <v>159.80000000000001</v>
      </c>
    </row>
    <row r="7784" spans="11:17" x14ac:dyDescent="0.3">
      <c r="K7784">
        <v>2021</v>
      </c>
      <c r="L7784" t="s">
        <v>41</v>
      </c>
      <c r="M7784" t="s">
        <v>145</v>
      </c>
      <c r="N7784" t="s">
        <v>19</v>
      </c>
      <c r="O7784" t="s">
        <v>189</v>
      </c>
      <c r="P7784" s="1" t="s">
        <v>30</v>
      </c>
      <c r="Q7784">
        <v>166.3</v>
      </c>
    </row>
    <row r="7785" spans="11:17" x14ac:dyDescent="0.3">
      <c r="K7785">
        <v>2021</v>
      </c>
      <c r="L7785" t="s">
        <v>41</v>
      </c>
      <c r="M7785" t="s">
        <v>145</v>
      </c>
      <c r="N7785" t="s">
        <v>19</v>
      </c>
      <c r="O7785" t="s">
        <v>189</v>
      </c>
      <c r="P7785" s="1" t="s">
        <v>34</v>
      </c>
      <c r="Q7785">
        <v>163.19999999999999</v>
      </c>
    </row>
    <row r="7786" spans="11:17" x14ac:dyDescent="0.3">
      <c r="K7786">
        <v>2021</v>
      </c>
      <c r="L7786" t="s">
        <v>41</v>
      </c>
      <c r="M7786" t="s">
        <v>145</v>
      </c>
      <c r="N7786" t="s">
        <v>19</v>
      </c>
      <c r="O7786" t="s">
        <v>189</v>
      </c>
      <c r="P7786" s="1" t="s">
        <v>33</v>
      </c>
      <c r="Q7786">
        <v>157.30000000000001</v>
      </c>
    </row>
    <row r="7787" spans="11:17" x14ac:dyDescent="0.3">
      <c r="K7787">
        <v>2021</v>
      </c>
      <c r="L7787" t="s">
        <v>41</v>
      </c>
      <c r="M7787" t="s">
        <v>145</v>
      </c>
      <c r="N7787" t="s">
        <v>26</v>
      </c>
      <c r="O7787" t="s">
        <v>26</v>
      </c>
      <c r="P7787" s="1" t="s">
        <v>30</v>
      </c>
      <c r="Q7787">
        <v>167.5</v>
      </c>
    </row>
    <row r="7788" spans="11:17" x14ac:dyDescent="0.3">
      <c r="K7788">
        <v>2021</v>
      </c>
      <c r="L7788" t="s">
        <v>41</v>
      </c>
      <c r="M7788" t="s">
        <v>145</v>
      </c>
      <c r="N7788" t="s">
        <v>26</v>
      </c>
      <c r="O7788" t="s">
        <v>26</v>
      </c>
      <c r="P7788" s="1" t="s">
        <v>34</v>
      </c>
      <c r="Q7788">
        <v>163.80000000000001</v>
      </c>
    </row>
    <row r="7789" spans="11:17" x14ac:dyDescent="0.3">
      <c r="K7789">
        <v>2021</v>
      </c>
      <c r="L7789" t="s">
        <v>41</v>
      </c>
      <c r="M7789" t="s">
        <v>145</v>
      </c>
      <c r="N7789" t="s">
        <v>26</v>
      </c>
      <c r="O7789" t="s">
        <v>26</v>
      </c>
      <c r="P7789" s="1" t="s">
        <v>33</v>
      </c>
      <c r="Q7789">
        <v>160.4</v>
      </c>
    </row>
    <row r="7790" spans="11:17" x14ac:dyDescent="0.3">
      <c r="K7790">
        <v>2021</v>
      </c>
      <c r="L7790" t="s">
        <v>41</v>
      </c>
      <c r="M7790" t="s">
        <v>145</v>
      </c>
      <c r="N7790" t="s">
        <v>5</v>
      </c>
      <c r="O7790" t="s">
        <v>188</v>
      </c>
      <c r="P7790" s="1" t="s">
        <v>30</v>
      </c>
      <c r="Q7790">
        <v>176.5</v>
      </c>
    </row>
    <row r="7791" spans="11:17" x14ac:dyDescent="0.3">
      <c r="K7791">
        <v>2021</v>
      </c>
      <c r="L7791" t="s">
        <v>41</v>
      </c>
      <c r="M7791" t="s">
        <v>145</v>
      </c>
      <c r="N7791" t="s">
        <v>5</v>
      </c>
      <c r="O7791" t="s">
        <v>188</v>
      </c>
      <c r="P7791" s="1" t="s">
        <v>34</v>
      </c>
      <c r="Q7791">
        <v>172.8</v>
      </c>
    </row>
    <row r="7792" spans="11:17" x14ac:dyDescent="0.3">
      <c r="K7792">
        <v>2021</v>
      </c>
      <c r="L7792" t="s">
        <v>41</v>
      </c>
      <c r="M7792" t="s">
        <v>145</v>
      </c>
      <c r="N7792" t="s">
        <v>5</v>
      </c>
      <c r="O7792" t="s">
        <v>188</v>
      </c>
      <c r="P7792" s="1" t="s">
        <v>33</v>
      </c>
      <c r="Q7792">
        <v>174.1</v>
      </c>
    </row>
    <row r="7793" spans="11:17" x14ac:dyDescent="0.3">
      <c r="K7793">
        <v>2021</v>
      </c>
      <c r="L7793" t="s">
        <v>41</v>
      </c>
      <c r="M7793" t="s">
        <v>145</v>
      </c>
      <c r="N7793" t="s">
        <v>15</v>
      </c>
      <c r="O7793" t="s">
        <v>188</v>
      </c>
      <c r="P7793" s="1" t="s">
        <v>30</v>
      </c>
      <c r="Q7793">
        <v>161.80000000000001</v>
      </c>
    </row>
    <row r="7794" spans="11:17" x14ac:dyDescent="0.3">
      <c r="K7794">
        <v>2021</v>
      </c>
      <c r="L7794" t="s">
        <v>41</v>
      </c>
      <c r="M7794" t="s">
        <v>145</v>
      </c>
      <c r="N7794" t="s">
        <v>15</v>
      </c>
      <c r="O7794" t="s">
        <v>188</v>
      </c>
      <c r="P7794" s="1" t="s">
        <v>34</v>
      </c>
      <c r="Q7794">
        <v>164</v>
      </c>
    </row>
    <row r="7795" spans="11:17" x14ac:dyDescent="0.3">
      <c r="K7795">
        <v>2021</v>
      </c>
      <c r="L7795" t="s">
        <v>41</v>
      </c>
      <c r="M7795" t="s">
        <v>145</v>
      </c>
      <c r="N7795" t="s">
        <v>15</v>
      </c>
      <c r="O7795" t="s">
        <v>188</v>
      </c>
      <c r="P7795" s="1" t="s">
        <v>33</v>
      </c>
      <c r="Q7795">
        <v>167.3</v>
      </c>
    </row>
    <row r="7796" spans="11:17" x14ac:dyDescent="0.3">
      <c r="K7796">
        <v>2021</v>
      </c>
      <c r="L7796" t="s">
        <v>41</v>
      </c>
      <c r="M7796" t="s">
        <v>145</v>
      </c>
      <c r="N7796" t="s">
        <v>18</v>
      </c>
      <c r="O7796" t="s">
        <v>189</v>
      </c>
      <c r="P7796" s="1" t="s">
        <v>30</v>
      </c>
      <c r="Q7796">
        <v>162.6</v>
      </c>
    </row>
    <row r="7797" spans="11:17" x14ac:dyDescent="0.3">
      <c r="K7797">
        <v>2021</v>
      </c>
      <c r="L7797" t="s">
        <v>41</v>
      </c>
      <c r="M7797" t="s">
        <v>145</v>
      </c>
      <c r="N7797" t="s">
        <v>18</v>
      </c>
      <c r="O7797" t="s">
        <v>189</v>
      </c>
      <c r="P7797" s="1" t="s">
        <v>34</v>
      </c>
      <c r="Q7797">
        <v>155.30000000000001</v>
      </c>
    </row>
    <row r="7798" spans="11:17" x14ac:dyDescent="0.3">
      <c r="K7798">
        <v>2021</v>
      </c>
      <c r="L7798" t="s">
        <v>41</v>
      </c>
      <c r="M7798" t="s">
        <v>145</v>
      </c>
      <c r="N7798" t="s">
        <v>18</v>
      </c>
      <c r="O7798" t="s">
        <v>189</v>
      </c>
      <c r="P7798" s="1" t="s">
        <v>33</v>
      </c>
      <c r="Q7798">
        <v>143.6</v>
      </c>
    </row>
    <row r="7799" spans="11:17" x14ac:dyDescent="0.3">
      <c r="K7799">
        <v>2021</v>
      </c>
      <c r="L7799" t="s">
        <v>41</v>
      </c>
      <c r="M7799" t="s">
        <v>145</v>
      </c>
      <c r="N7799" t="s">
        <v>8</v>
      </c>
      <c r="O7799" t="s">
        <v>188</v>
      </c>
      <c r="P7799" s="1" t="s">
        <v>30</v>
      </c>
      <c r="Q7799">
        <v>155.69999999999999</v>
      </c>
    </row>
    <row r="7800" spans="11:17" x14ac:dyDescent="0.3">
      <c r="K7800">
        <v>2021</v>
      </c>
      <c r="L7800" t="s">
        <v>41</v>
      </c>
      <c r="M7800" t="s">
        <v>145</v>
      </c>
      <c r="N7800" t="s">
        <v>8</v>
      </c>
      <c r="O7800" t="s">
        <v>188</v>
      </c>
      <c r="P7800" s="1" t="s">
        <v>34</v>
      </c>
      <c r="Q7800">
        <v>156.80000000000001</v>
      </c>
    </row>
    <row r="7801" spans="11:17" x14ac:dyDescent="0.3">
      <c r="K7801">
        <v>2021</v>
      </c>
      <c r="L7801" t="s">
        <v>41</v>
      </c>
      <c r="M7801" t="s">
        <v>145</v>
      </c>
      <c r="N7801" t="s">
        <v>8</v>
      </c>
      <c r="O7801" t="s">
        <v>188</v>
      </c>
      <c r="P7801" s="1" t="s">
        <v>33</v>
      </c>
      <c r="Q7801">
        <v>161.30000000000001</v>
      </c>
    </row>
    <row r="7802" spans="11:17" x14ac:dyDescent="0.3">
      <c r="K7802">
        <v>2021</v>
      </c>
      <c r="L7802" t="s">
        <v>41</v>
      </c>
      <c r="M7802" t="s">
        <v>145</v>
      </c>
      <c r="N7802" t="s">
        <v>21</v>
      </c>
      <c r="O7802" t="s">
        <v>190</v>
      </c>
      <c r="P7802" s="1" t="s">
        <v>30</v>
      </c>
      <c r="Q7802">
        <v>163.1</v>
      </c>
    </row>
    <row r="7803" spans="11:17" x14ac:dyDescent="0.3">
      <c r="K7803">
        <v>2021</v>
      </c>
      <c r="L7803" t="s">
        <v>41</v>
      </c>
      <c r="M7803" t="s">
        <v>145</v>
      </c>
      <c r="N7803" t="s">
        <v>21</v>
      </c>
      <c r="O7803" t="s">
        <v>190</v>
      </c>
      <c r="P7803" s="1" t="s">
        <v>34</v>
      </c>
      <c r="Q7803">
        <v>162.6</v>
      </c>
    </row>
    <row r="7804" spans="11:17" x14ac:dyDescent="0.3">
      <c r="K7804">
        <v>2021</v>
      </c>
      <c r="L7804" t="s">
        <v>41</v>
      </c>
      <c r="M7804" t="s">
        <v>145</v>
      </c>
      <c r="N7804" t="s">
        <v>21</v>
      </c>
      <c r="O7804" t="s">
        <v>190</v>
      </c>
      <c r="P7804" s="1" t="s">
        <v>33</v>
      </c>
      <c r="Q7804">
        <v>160.69999999999999</v>
      </c>
    </row>
    <row r="7805" spans="11:17" x14ac:dyDescent="0.3">
      <c r="K7805">
        <v>2021</v>
      </c>
      <c r="L7805" t="s">
        <v>41</v>
      </c>
      <c r="M7805" t="s">
        <v>145</v>
      </c>
      <c r="N7805" t="s">
        <v>29</v>
      </c>
      <c r="O7805" t="s">
        <v>206</v>
      </c>
      <c r="P7805" s="1" t="s">
        <v>30</v>
      </c>
      <c r="Q7805">
        <v>163.6</v>
      </c>
    </row>
    <row r="7806" spans="11:17" x14ac:dyDescent="0.3">
      <c r="K7806">
        <v>2021</v>
      </c>
      <c r="L7806" t="s">
        <v>41</v>
      </c>
      <c r="M7806" t="s">
        <v>145</v>
      </c>
      <c r="N7806" t="s">
        <v>29</v>
      </c>
      <c r="O7806" t="s">
        <v>206</v>
      </c>
      <c r="P7806" s="1" t="s">
        <v>34</v>
      </c>
      <c r="Q7806">
        <v>163.19999999999999</v>
      </c>
    </row>
    <row r="7807" spans="11:17" x14ac:dyDescent="0.3">
      <c r="K7807">
        <v>2021</v>
      </c>
      <c r="L7807" t="s">
        <v>41</v>
      </c>
      <c r="M7807" t="s">
        <v>145</v>
      </c>
      <c r="N7807" t="s">
        <v>29</v>
      </c>
      <c r="O7807" t="s">
        <v>206</v>
      </c>
      <c r="P7807" s="1" t="s">
        <v>33</v>
      </c>
      <c r="Q7807">
        <v>162.30000000000001</v>
      </c>
    </row>
    <row r="7808" spans="11:17" x14ac:dyDescent="0.3">
      <c r="K7808">
        <v>2021</v>
      </c>
      <c r="L7808" t="s">
        <v>41</v>
      </c>
      <c r="M7808" t="s">
        <v>145</v>
      </c>
      <c r="N7808" t="s">
        <v>23</v>
      </c>
      <c r="O7808" t="s">
        <v>23</v>
      </c>
      <c r="P7808" s="1" t="s">
        <v>30</v>
      </c>
      <c r="Q7808">
        <v>171.1</v>
      </c>
    </row>
    <row r="7809" spans="11:17" x14ac:dyDescent="0.3">
      <c r="K7809">
        <v>2021</v>
      </c>
      <c r="L7809" t="s">
        <v>41</v>
      </c>
      <c r="M7809" t="s">
        <v>145</v>
      </c>
      <c r="N7809" t="s">
        <v>23</v>
      </c>
      <c r="O7809" t="s">
        <v>23</v>
      </c>
      <c r="P7809" s="1" t="s">
        <v>34</v>
      </c>
      <c r="Q7809">
        <v>168.4</v>
      </c>
    </row>
    <row r="7810" spans="11:17" x14ac:dyDescent="0.3">
      <c r="K7810">
        <v>2021</v>
      </c>
      <c r="L7810" t="s">
        <v>41</v>
      </c>
      <c r="M7810" t="s">
        <v>145</v>
      </c>
      <c r="N7810" t="s">
        <v>23</v>
      </c>
      <c r="O7810" t="s">
        <v>23</v>
      </c>
      <c r="P7810" s="1" t="s">
        <v>33</v>
      </c>
      <c r="Q7810">
        <v>162.80000000000001</v>
      </c>
    </row>
    <row r="7811" spans="11:17" x14ac:dyDescent="0.3">
      <c r="K7811">
        <v>2021</v>
      </c>
      <c r="L7811" t="s">
        <v>41</v>
      </c>
      <c r="M7811" t="s">
        <v>145</v>
      </c>
      <c r="N7811" t="s">
        <v>22</v>
      </c>
      <c r="O7811" t="s">
        <v>20</v>
      </c>
      <c r="P7811" s="1" t="s">
        <v>30</v>
      </c>
      <c r="Q7811">
        <v>160.9</v>
      </c>
    </row>
    <row r="7812" spans="11:17" x14ac:dyDescent="0.3">
      <c r="K7812">
        <v>2021</v>
      </c>
      <c r="L7812" t="s">
        <v>41</v>
      </c>
      <c r="M7812" t="s">
        <v>145</v>
      </c>
      <c r="N7812" t="s">
        <v>22</v>
      </c>
      <c r="O7812" t="s">
        <v>20</v>
      </c>
      <c r="P7812" s="1" t="s">
        <v>34</v>
      </c>
      <c r="Q7812">
        <v>157.5</v>
      </c>
    </row>
    <row r="7813" spans="11:17" x14ac:dyDescent="0.3">
      <c r="K7813">
        <v>2021</v>
      </c>
      <c r="L7813" t="s">
        <v>41</v>
      </c>
      <c r="M7813" t="s">
        <v>145</v>
      </c>
      <c r="N7813" t="s">
        <v>22</v>
      </c>
      <c r="O7813" t="s">
        <v>20</v>
      </c>
      <c r="P7813" s="1" t="s">
        <v>33</v>
      </c>
      <c r="Q7813">
        <v>153.19999999999999</v>
      </c>
    </row>
    <row r="7814" spans="11:17" x14ac:dyDescent="0.3">
      <c r="K7814">
        <v>2021</v>
      </c>
      <c r="L7814" t="s">
        <v>41</v>
      </c>
      <c r="M7814" t="s">
        <v>145</v>
      </c>
      <c r="N7814" t="s">
        <v>20</v>
      </c>
      <c r="O7814" t="s">
        <v>20</v>
      </c>
      <c r="P7814" s="1" t="s">
        <v>30</v>
      </c>
      <c r="Q7814">
        <v>0</v>
      </c>
    </row>
    <row r="7815" spans="11:17" x14ac:dyDescent="0.3">
      <c r="K7815">
        <v>2021</v>
      </c>
      <c r="L7815" t="s">
        <v>41</v>
      </c>
      <c r="M7815" t="s">
        <v>145</v>
      </c>
      <c r="N7815" t="s">
        <v>20</v>
      </c>
      <c r="O7815" t="s">
        <v>20</v>
      </c>
      <c r="P7815" s="1" t="s">
        <v>34</v>
      </c>
      <c r="Q7815">
        <v>162.1</v>
      </c>
    </row>
    <row r="7816" spans="11:17" x14ac:dyDescent="0.3">
      <c r="K7816">
        <v>2021</v>
      </c>
      <c r="L7816" t="s">
        <v>41</v>
      </c>
      <c r="M7816" t="s">
        <v>145</v>
      </c>
      <c r="N7816" t="s">
        <v>20</v>
      </c>
      <c r="O7816" t="s">
        <v>20</v>
      </c>
      <c r="P7816" s="1" t="s">
        <v>33</v>
      </c>
      <c r="Q7816">
        <v>162.1</v>
      </c>
    </row>
    <row r="7817" spans="11:17" x14ac:dyDescent="0.3">
      <c r="K7817">
        <v>2021</v>
      </c>
      <c r="L7817" t="s">
        <v>41</v>
      </c>
      <c r="M7817" t="s">
        <v>145</v>
      </c>
      <c r="N7817" t="s">
        <v>4</v>
      </c>
      <c r="O7817" t="s">
        <v>188</v>
      </c>
      <c r="P7817" s="1" t="s">
        <v>30</v>
      </c>
      <c r="Q7817">
        <v>202.3</v>
      </c>
    </row>
    <row r="7818" spans="11:17" x14ac:dyDescent="0.3">
      <c r="K7818">
        <v>2021</v>
      </c>
      <c r="L7818" t="s">
        <v>41</v>
      </c>
      <c r="M7818" t="s">
        <v>145</v>
      </c>
      <c r="N7818" t="s">
        <v>4</v>
      </c>
      <c r="O7818" t="s">
        <v>188</v>
      </c>
      <c r="P7818" s="1" t="s">
        <v>34</v>
      </c>
      <c r="Q7818">
        <v>204</v>
      </c>
    </row>
    <row r="7819" spans="11:17" x14ac:dyDescent="0.3">
      <c r="K7819">
        <v>2021</v>
      </c>
      <c r="L7819" t="s">
        <v>41</v>
      </c>
      <c r="M7819" t="s">
        <v>145</v>
      </c>
      <c r="N7819" t="s">
        <v>4</v>
      </c>
      <c r="O7819" t="s">
        <v>188</v>
      </c>
      <c r="P7819" s="1" t="s">
        <v>33</v>
      </c>
      <c r="Q7819">
        <v>207.4</v>
      </c>
    </row>
    <row r="7820" spans="11:17" x14ac:dyDescent="0.3">
      <c r="K7820">
        <v>2021</v>
      </c>
      <c r="L7820" t="s">
        <v>41</v>
      </c>
      <c r="M7820" t="s">
        <v>145</v>
      </c>
      <c r="N7820" t="s">
        <v>6</v>
      </c>
      <c r="O7820" t="s">
        <v>188</v>
      </c>
      <c r="P7820" s="1" t="s">
        <v>30</v>
      </c>
      <c r="Q7820">
        <v>157.5</v>
      </c>
    </row>
    <row r="7821" spans="11:17" x14ac:dyDescent="0.3">
      <c r="K7821">
        <v>2021</v>
      </c>
      <c r="L7821" t="s">
        <v>41</v>
      </c>
      <c r="M7821" t="s">
        <v>145</v>
      </c>
      <c r="N7821" t="s">
        <v>6</v>
      </c>
      <c r="O7821" t="s">
        <v>188</v>
      </c>
      <c r="P7821" s="1" t="s">
        <v>34</v>
      </c>
      <c r="Q7821">
        <v>158.4</v>
      </c>
    </row>
    <row r="7822" spans="11:17" x14ac:dyDescent="0.3">
      <c r="K7822">
        <v>2021</v>
      </c>
      <c r="L7822" t="s">
        <v>41</v>
      </c>
      <c r="M7822" t="s">
        <v>145</v>
      </c>
      <c r="N7822" t="s">
        <v>6</v>
      </c>
      <c r="O7822" t="s">
        <v>188</v>
      </c>
      <c r="P7822" s="1" t="s">
        <v>33</v>
      </c>
      <c r="Q7822">
        <v>159.19999999999999</v>
      </c>
    </row>
    <row r="7823" spans="11:17" x14ac:dyDescent="0.3">
      <c r="K7823">
        <v>2021</v>
      </c>
      <c r="L7823" t="s">
        <v>41</v>
      </c>
      <c r="M7823" t="s">
        <v>145</v>
      </c>
      <c r="N7823" t="s">
        <v>28</v>
      </c>
      <c r="O7823" t="s">
        <v>192</v>
      </c>
      <c r="P7823" s="1" t="s">
        <v>30</v>
      </c>
      <c r="Q7823">
        <v>163.30000000000001</v>
      </c>
    </row>
    <row r="7824" spans="11:17" x14ac:dyDescent="0.3">
      <c r="K7824">
        <v>2021</v>
      </c>
      <c r="L7824" t="s">
        <v>41</v>
      </c>
      <c r="M7824" t="s">
        <v>145</v>
      </c>
      <c r="N7824" t="s">
        <v>28</v>
      </c>
      <c r="O7824" t="s">
        <v>192</v>
      </c>
      <c r="P7824" s="1" t="s">
        <v>34</v>
      </c>
      <c r="Q7824">
        <v>160</v>
      </c>
    </row>
    <row r="7825" spans="11:17" x14ac:dyDescent="0.3">
      <c r="K7825">
        <v>2021</v>
      </c>
      <c r="L7825" t="s">
        <v>41</v>
      </c>
      <c r="M7825" t="s">
        <v>145</v>
      </c>
      <c r="N7825" t="s">
        <v>28</v>
      </c>
      <c r="O7825" t="s">
        <v>192</v>
      </c>
      <c r="P7825" s="1" t="s">
        <v>33</v>
      </c>
      <c r="Q7825">
        <v>156</v>
      </c>
    </row>
    <row r="7826" spans="11:17" x14ac:dyDescent="0.3">
      <c r="K7826">
        <v>2021</v>
      </c>
      <c r="L7826" t="s">
        <v>41</v>
      </c>
      <c r="M7826" t="s">
        <v>145</v>
      </c>
      <c r="N7826" t="s">
        <v>13</v>
      </c>
      <c r="O7826" t="s">
        <v>188</v>
      </c>
      <c r="P7826" s="1" t="s">
        <v>30</v>
      </c>
      <c r="Q7826">
        <v>167.6</v>
      </c>
    </row>
    <row r="7827" spans="11:17" x14ac:dyDescent="0.3">
      <c r="K7827">
        <v>2021</v>
      </c>
      <c r="L7827" t="s">
        <v>41</v>
      </c>
      <c r="M7827" t="s">
        <v>145</v>
      </c>
      <c r="N7827" t="s">
        <v>13</v>
      </c>
      <c r="O7827" t="s">
        <v>188</v>
      </c>
      <c r="P7827" s="1" t="s">
        <v>34</v>
      </c>
      <c r="Q7827">
        <v>162.69999999999999</v>
      </c>
    </row>
    <row r="7828" spans="11:17" x14ac:dyDescent="0.3">
      <c r="K7828">
        <v>2021</v>
      </c>
      <c r="L7828" t="s">
        <v>41</v>
      </c>
      <c r="M7828" t="s">
        <v>145</v>
      </c>
      <c r="N7828" t="s">
        <v>13</v>
      </c>
      <c r="O7828" t="s">
        <v>188</v>
      </c>
      <c r="P7828" s="1" t="s">
        <v>33</v>
      </c>
      <c r="Q7828">
        <v>154.80000000000001</v>
      </c>
    </row>
    <row r="7829" spans="11:17" x14ac:dyDescent="0.3">
      <c r="K7829">
        <v>2021</v>
      </c>
      <c r="L7829" t="s">
        <v>41</v>
      </c>
      <c r="M7829" t="s">
        <v>145</v>
      </c>
      <c r="N7829" t="s">
        <v>7</v>
      </c>
      <c r="O7829" t="s">
        <v>188</v>
      </c>
      <c r="P7829" s="1" t="s">
        <v>30</v>
      </c>
      <c r="Q7829">
        <v>190.9</v>
      </c>
    </row>
    <row r="7830" spans="11:17" x14ac:dyDescent="0.3">
      <c r="K7830">
        <v>2021</v>
      </c>
      <c r="L7830" t="s">
        <v>41</v>
      </c>
      <c r="M7830" t="s">
        <v>145</v>
      </c>
      <c r="N7830" t="s">
        <v>7</v>
      </c>
      <c r="O7830" t="s">
        <v>188</v>
      </c>
      <c r="P7830" s="1" t="s">
        <v>34</v>
      </c>
      <c r="Q7830">
        <v>188</v>
      </c>
    </row>
    <row r="7831" spans="11:17" x14ac:dyDescent="0.3">
      <c r="K7831">
        <v>2021</v>
      </c>
      <c r="L7831" t="s">
        <v>41</v>
      </c>
      <c r="M7831" t="s">
        <v>145</v>
      </c>
      <c r="N7831" t="s">
        <v>7</v>
      </c>
      <c r="O7831" t="s">
        <v>188</v>
      </c>
      <c r="P7831" s="1" t="s">
        <v>33</v>
      </c>
      <c r="Q7831">
        <v>175</v>
      </c>
    </row>
    <row r="7832" spans="11:17" x14ac:dyDescent="0.3">
      <c r="K7832">
        <v>2021</v>
      </c>
      <c r="L7832" t="s">
        <v>41</v>
      </c>
      <c r="M7832" t="s">
        <v>145</v>
      </c>
      <c r="N7832" t="s">
        <v>16</v>
      </c>
      <c r="O7832" t="s">
        <v>192</v>
      </c>
      <c r="P7832" s="1" t="s">
        <v>30</v>
      </c>
      <c r="Q7832">
        <v>190.2</v>
      </c>
    </row>
    <row r="7833" spans="11:17" x14ac:dyDescent="0.3">
      <c r="K7833">
        <v>2021</v>
      </c>
      <c r="L7833" t="s">
        <v>41</v>
      </c>
      <c r="M7833" t="s">
        <v>145</v>
      </c>
      <c r="N7833" t="s">
        <v>16</v>
      </c>
      <c r="O7833" t="s">
        <v>192</v>
      </c>
      <c r="P7833" s="1" t="s">
        <v>34</v>
      </c>
      <c r="Q7833">
        <v>192.1</v>
      </c>
    </row>
    <row r="7834" spans="11:17" x14ac:dyDescent="0.3">
      <c r="K7834">
        <v>2021</v>
      </c>
      <c r="L7834" t="s">
        <v>41</v>
      </c>
      <c r="M7834" t="s">
        <v>145</v>
      </c>
      <c r="N7834" t="s">
        <v>16</v>
      </c>
      <c r="O7834" t="s">
        <v>192</v>
      </c>
      <c r="P7834" s="1" t="s">
        <v>33</v>
      </c>
      <c r="Q7834">
        <v>196.5</v>
      </c>
    </row>
    <row r="7835" spans="11:17" x14ac:dyDescent="0.3">
      <c r="K7835">
        <v>2021</v>
      </c>
      <c r="L7835" t="s">
        <v>41</v>
      </c>
      <c r="M7835" t="s">
        <v>145</v>
      </c>
      <c r="N7835" t="s">
        <v>27</v>
      </c>
      <c r="O7835" t="s">
        <v>192</v>
      </c>
      <c r="P7835" s="1" t="s">
        <v>30</v>
      </c>
      <c r="Q7835">
        <v>160.30000000000001</v>
      </c>
    </row>
    <row r="7836" spans="11:17" x14ac:dyDescent="0.3">
      <c r="K7836">
        <v>2021</v>
      </c>
      <c r="L7836" t="s">
        <v>41</v>
      </c>
      <c r="M7836" t="s">
        <v>145</v>
      </c>
      <c r="N7836" t="s">
        <v>27</v>
      </c>
      <c r="O7836" t="s">
        <v>192</v>
      </c>
      <c r="P7836" s="1" t="s">
        <v>34</v>
      </c>
      <c r="Q7836">
        <v>160</v>
      </c>
    </row>
    <row r="7837" spans="11:17" x14ac:dyDescent="0.3">
      <c r="K7837">
        <v>2021</v>
      </c>
      <c r="L7837" t="s">
        <v>41</v>
      </c>
      <c r="M7837" t="s">
        <v>145</v>
      </c>
      <c r="N7837" t="s">
        <v>27</v>
      </c>
      <c r="O7837" t="s">
        <v>192</v>
      </c>
      <c r="P7837" s="1" t="s">
        <v>33</v>
      </c>
      <c r="Q7837">
        <v>159.6</v>
      </c>
    </row>
    <row r="7838" spans="11:17" x14ac:dyDescent="0.3">
      <c r="K7838">
        <v>2021</v>
      </c>
      <c r="L7838" t="s">
        <v>41</v>
      </c>
      <c r="M7838" t="s">
        <v>145</v>
      </c>
      <c r="N7838" t="s">
        <v>14</v>
      </c>
      <c r="O7838" t="s">
        <v>188</v>
      </c>
      <c r="P7838" s="1" t="s">
        <v>30</v>
      </c>
      <c r="Q7838">
        <v>171.9</v>
      </c>
    </row>
    <row r="7839" spans="11:17" x14ac:dyDescent="0.3">
      <c r="K7839">
        <v>2021</v>
      </c>
      <c r="L7839" t="s">
        <v>41</v>
      </c>
      <c r="M7839" t="s">
        <v>145</v>
      </c>
      <c r="N7839" t="s">
        <v>14</v>
      </c>
      <c r="O7839" t="s">
        <v>188</v>
      </c>
      <c r="P7839" s="1" t="s">
        <v>34</v>
      </c>
      <c r="Q7839">
        <v>173.9</v>
      </c>
    </row>
    <row r="7840" spans="11:17" x14ac:dyDescent="0.3">
      <c r="K7840">
        <v>2021</v>
      </c>
      <c r="L7840" t="s">
        <v>41</v>
      </c>
      <c r="M7840" t="s">
        <v>145</v>
      </c>
      <c r="N7840" t="s">
        <v>14</v>
      </c>
      <c r="O7840" t="s">
        <v>188</v>
      </c>
      <c r="P7840" s="1" t="s">
        <v>33</v>
      </c>
      <c r="Q7840">
        <v>175.1</v>
      </c>
    </row>
    <row r="7841" spans="11:17" x14ac:dyDescent="0.3">
      <c r="K7841">
        <v>2021</v>
      </c>
      <c r="L7841" t="s">
        <v>41</v>
      </c>
      <c r="M7841" t="s">
        <v>145</v>
      </c>
      <c r="N7841" t="s">
        <v>10</v>
      </c>
      <c r="O7841" t="s">
        <v>188</v>
      </c>
      <c r="P7841" s="1" t="s">
        <v>30</v>
      </c>
      <c r="Q7841">
        <v>162.80000000000001</v>
      </c>
    </row>
    <row r="7842" spans="11:17" x14ac:dyDescent="0.3">
      <c r="K7842">
        <v>2021</v>
      </c>
      <c r="L7842" t="s">
        <v>41</v>
      </c>
      <c r="M7842" t="s">
        <v>145</v>
      </c>
      <c r="N7842" t="s">
        <v>10</v>
      </c>
      <c r="O7842" t="s">
        <v>188</v>
      </c>
      <c r="P7842" s="1" t="s">
        <v>34</v>
      </c>
      <c r="Q7842">
        <v>164.1</v>
      </c>
    </row>
    <row r="7843" spans="11:17" x14ac:dyDescent="0.3">
      <c r="K7843">
        <v>2021</v>
      </c>
      <c r="L7843" t="s">
        <v>41</v>
      </c>
      <c r="M7843" t="s">
        <v>145</v>
      </c>
      <c r="N7843" t="s">
        <v>10</v>
      </c>
      <c r="O7843" t="s">
        <v>188</v>
      </c>
      <c r="P7843" s="1" t="s">
        <v>33</v>
      </c>
      <c r="Q7843">
        <v>164.5</v>
      </c>
    </row>
    <row r="7844" spans="11:17" x14ac:dyDescent="0.3">
      <c r="K7844">
        <v>2021</v>
      </c>
      <c r="L7844" t="s">
        <v>41</v>
      </c>
      <c r="M7844" t="s">
        <v>145</v>
      </c>
      <c r="N7844" t="s">
        <v>25</v>
      </c>
      <c r="O7844" t="s">
        <v>195</v>
      </c>
      <c r="P7844" s="1" t="s">
        <v>30</v>
      </c>
      <c r="Q7844">
        <v>161.1</v>
      </c>
    </row>
    <row r="7845" spans="11:17" x14ac:dyDescent="0.3">
      <c r="K7845">
        <v>2021</v>
      </c>
      <c r="L7845" t="s">
        <v>41</v>
      </c>
      <c r="M7845" t="s">
        <v>145</v>
      </c>
      <c r="N7845" t="s">
        <v>25</v>
      </c>
      <c r="O7845" t="s">
        <v>195</v>
      </c>
      <c r="P7845" s="1" t="s">
        <v>34</v>
      </c>
      <c r="Q7845">
        <v>157.6</v>
      </c>
    </row>
    <row r="7846" spans="11:17" x14ac:dyDescent="0.3">
      <c r="K7846">
        <v>2021</v>
      </c>
      <c r="L7846" t="s">
        <v>41</v>
      </c>
      <c r="M7846" t="s">
        <v>145</v>
      </c>
      <c r="N7846" t="s">
        <v>25</v>
      </c>
      <c r="O7846" t="s">
        <v>195</v>
      </c>
      <c r="P7846" s="1" t="s">
        <v>33</v>
      </c>
      <c r="Q7846">
        <v>153.69999999999999</v>
      </c>
    </row>
    <row r="7847" spans="11:17" x14ac:dyDescent="0.3">
      <c r="K7847">
        <v>2021</v>
      </c>
      <c r="L7847" t="s">
        <v>41</v>
      </c>
      <c r="M7847" t="s">
        <v>145</v>
      </c>
      <c r="N7847" t="s">
        <v>12</v>
      </c>
      <c r="O7847" t="s">
        <v>188</v>
      </c>
      <c r="P7847" s="1" t="s">
        <v>30</v>
      </c>
      <c r="Q7847">
        <v>169.8</v>
      </c>
    </row>
    <row r="7848" spans="11:17" x14ac:dyDescent="0.3">
      <c r="K7848">
        <v>2021</v>
      </c>
      <c r="L7848" t="s">
        <v>41</v>
      </c>
      <c r="M7848" t="s">
        <v>145</v>
      </c>
      <c r="N7848" t="s">
        <v>12</v>
      </c>
      <c r="O7848" t="s">
        <v>188</v>
      </c>
      <c r="P7848" s="1" t="s">
        <v>34</v>
      </c>
      <c r="Q7848">
        <v>168.8</v>
      </c>
    </row>
    <row r="7849" spans="11:17" x14ac:dyDescent="0.3">
      <c r="K7849">
        <v>2021</v>
      </c>
      <c r="L7849" t="s">
        <v>41</v>
      </c>
      <c r="M7849" t="s">
        <v>145</v>
      </c>
      <c r="N7849" t="s">
        <v>12</v>
      </c>
      <c r="O7849" t="s">
        <v>188</v>
      </c>
      <c r="P7849" s="1" t="s">
        <v>33</v>
      </c>
      <c r="Q7849">
        <v>166.2</v>
      </c>
    </row>
    <row r="7850" spans="11:17" x14ac:dyDescent="0.3">
      <c r="K7850">
        <v>2021</v>
      </c>
      <c r="L7850" t="s">
        <v>41</v>
      </c>
      <c r="M7850" t="s">
        <v>145</v>
      </c>
      <c r="N7850" t="s">
        <v>11</v>
      </c>
      <c r="O7850" t="s">
        <v>188</v>
      </c>
      <c r="P7850" s="1" t="s">
        <v>30</v>
      </c>
      <c r="Q7850">
        <v>115.2</v>
      </c>
    </row>
    <row r="7851" spans="11:17" x14ac:dyDescent="0.3">
      <c r="K7851">
        <v>2021</v>
      </c>
      <c r="L7851" t="s">
        <v>41</v>
      </c>
      <c r="M7851" t="s">
        <v>145</v>
      </c>
      <c r="N7851" t="s">
        <v>11</v>
      </c>
      <c r="O7851" t="s">
        <v>188</v>
      </c>
      <c r="P7851" s="1" t="s">
        <v>34</v>
      </c>
      <c r="Q7851">
        <v>119.7</v>
      </c>
    </row>
    <row r="7852" spans="11:17" x14ac:dyDescent="0.3">
      <c r="K7852">
        <v>2021</v>
      </c>
      <c r="L7852" t="s">
        <v>41</v>
      </c>
      <c r="M7852" t="s">
        <v>145</v>
      </c>
      <c r="N7852" t="s">
        <v>11</v>
      </c>
      <c r="O7852" t="s">
        <v>188</v>
      </c>
      <c r="P7852" s="1" t="s">
        <v>33</v>
      </c>
      <c r="Q7852">
        <v>120.4</v>
      </c>
    </row>
    <row r="7853" spans="11:17" x14ac:dyDescent="0.3">
      <c r="K7853">
        <v>2021</v>
      </c>
      <c r="L7853" t="s">
        <v>41</v>
      </c>
      <c r="M7853" t="s">
        <v>145</v>
      </c>
      <c r="N7853" t="s">
        <v>24</v>
      </c>
      <c r="O7853" t="s">
        <v>191</v>
      </c>
      <c r="P7853" s="1" t="s">
        <v>30</v>
      </c>
      <c r="Q7853">
        <v>157.69999999999999</v>
      </c>
    </row>
    <row r="7854" spans="11:17" x14ac:dyDescent="0.3">
      <c r="K7854">
        <v>2021</v>
      </c>
      <c r="L7854" t="s">
        <v>41</v>
      </c>
      <c r="M7854" t="s">
        <v>145</v>
      </c>
      <c r="N7854" t="s">
        <v>24</v>
      </c>
      <c r="O7854" t="s">
        <v>191</v>
      </c>
      <c r="P7854" s="1" t="s">
        <v>34</v>
      </c>
      <c r="Q7854">
        <v>154</v>
      </c>
    </row>
    <row r="7855" spans="11:17" x14ac:dyDescent="0.3">
      <c r="K7855">
        <v>2021</v>
      </c>
      <c r="L7855" t="s">
        <v>41</v>
      </c>
      <c r="M7855" t="s">
        <v>145</v>
      </c>
      <c r="N7855" t="s">
        <v>24</v>
      </c>
      <c r="O7855" t="s">
        <v>191</v>
      </c>
      <c r="P7855" s="1" t="s">
        <v>33</v>
      </c>
      <c r="Q7855">
        <v>150.4</v>
      </c>
    </row>
    <row r="7856" spans="11:17" x14ac:dyDescent="0.3">
      <c r="K7856">
        <v>2021</v>
      </c>
      <c r="L7856" t="s">
        <v>41</v>
      </c>
      <c r="M7856" t="s">
        <v>145</v>
      </c>
      <c r="N7856" t="s">
        <v>9</v>
      </c>
      <c r="O7856" t="s">
        <v>188</v>
      </c>
      <c r="P7856" s="1" t="s">
        <v>30</v>
      </c>
      <c r="Q7856">
        <v>153.9</v>
      </c>
    </row>
    <row r="7857" spans="11:17" x14ac:dyDescent="0.3">
      <c r="K7857">
        <v>2021</v>
      </c>
      <c r="L7857" t="s">
        <v>41</v>
      </c>
      <c r="M7857" t="s">
        <v>145</v>
      </c>
      <c r="N7857" t="s">
        <v>9</v>
      </c>
      <c r="O7857" t="s">
        <v>188</v>
      </c>
      <c r="P7857" s="1" t="s">
        <v>34</v>
      </c>
      <c r="Q7857">
        <v>162.19999999999999</v>
      </c>
    </row>
    <row r="7858" spans="11:17" x14ac:dyDescent="0.3">
      <c r="K7858">
        <v>2021</v>
      </c>
      <c r="L7858" t="s">
        <v>41</v>
      </c>
      <c r="M7858" t="s">
        <v>145</v>
      </c>
      <c r="N7858" t="s">
        <v>9</v>
      </c>
      <c r="O7858" t="s">
        <v>188</v>
      </c>
      <c r="P7858" s="1" t="s">
        <v>33</v>
      </c>
      <c r="Q7858">
        <v>183.3</v>
      </c>
    </row>
    <row r="7859" spans="11:17" x14ac:dyDescent="0.3">
      <c r="K7859">
        <v>2021</v>
      </c>
      <c r="L7859" t="s">
        <v>45</v>
      </c>
      <c r="M7859" t="s">
        <v>146</v>
      </c>
      <c r="N7859" t="s">
        <v>3</v>
      </c>
      <c r="O7859" t="s">
        <v>188</v>
      </c>
      <c r="P7859" s="1" t="s">
        <v>30</v>
      </c>
      <c r="Q7859">
        <v>147.4</v>
      </c>
    </row>
    <row r="7860" spans="11:17" x14ac:dyDescent="0.3">
      <c r="K7860">
        <v>2021</v>
      </c>
      <c r="L7860" t="s">
        <v>45</v>
      </c>
      <c r="M7860" t="s">
        <v>146</v>
      </c>
      <c r="N7860" t="s">
        <v>3</v>
      </c>
      <c r="O7860" t="s">
        <v>188</v>
      </c>
      <c r="P7860" s="1" t="s">
        <v>34</v>
      </c>
      <c r="Q7860">
        <v>148.69999999999999</v>
      </c>
    </row>
    <row r="7861" spans="11:17" x14ac:dyDescent="0.3">
      <c r="K7861">
        <v>2021</v>
      </c>
      <c r="L7861" t="s">
        <v>45</v>
      </c>
      <c r="M7861" t="s">
        <v>146</v>
      </c>
      <c r="N7861" t="s">
        <v>3</v>
      </c>
      <c r="O7861" t="s">
        <v>188</v>
      </c>
      <c r="P7861" s="1" t="s">
        <v>33</v>
      </c>
      <c r="Q7861">
        <v>151.6</v>
      </c>
    </row>
    <row r="7862" spans="11:17" x14ac:dyDescent="0.3">
      <c r="K7862">
        <v>2021</v>
      </c>
      <c r="L7862" t="s">
        <v>45</v>
      </c>
      <c r="M7862" t="s">
        <v>146</v>
      </c>
      <c r="N7862" t="s">
        <v>17</v>
      </c>
      <c r="O7862" t="s">
        <v>189</v>
      </c>
      <c r="P7862" s="1" t="s">
        <v>30</v>
      </c>
      <c r="Q7862">
        <v>171.8</v>
      </c>
    </row>
    <row r="7863" spans="11:17" x14ac:dyDescent="0.3">
      <c r="K7863">
        <v>2021</v>
      </c>
      <c r="L7863" t="s">
        <v>45</v>
      </c>
      <c r="M7863" t="s">
        <v>146</v>
      </c>
      <c r="N7863" t="s">
        <v>17</v>
      </c>
      <c r="O7863" t="s">
        <v>189</v>
      </c>
      <c r="P7863" s="1" t="s">
        <v>34</v>
      </c>
      <c r="Q7863">
        <v>168.5</v>
      </c>
    </row>
    <row r="7864" spans="11:17" x14ac:dyDescent="0.3">
      <c r="K7864">
        <v>2021</v>
      </c>
      <c r="L7864" t="s">
        <v>45</v>
      </c>
      <c r="M7864" t="s">
        <v>146</v>
      </c>
      <c r="N7864" t="s">
        <v>17</v>
      </c>
      <c r="O7864" t="s">
        <v>189</v>
      </c>
      <c r="P7864" s="1" t="s">
        <v>33</v>
      </c>
      <c r="Q7864">
        <v>163.30000000000001</v>
      </c>
    </row>
    <row r="7865" spans="11:17" x14ac:dyDescent="0.3">
      <c r="K7865">
        <v>2021</v>
      </c>
      <c r="L7865" t="s">
        <v>45</v>
      </c>
      <c r="M7865" t="s">
        <v>146</v>
      </c>
      <c r="N7865" t="s">
        <v>19</v>
      </c>
      <c r="O7865" t="s">
        <v>189</v>
      </c>
      <c r="P7865" s="1" t="s">
        <v>30</v>
      </c>
      <c r="Q7865">
        <v>171.2</v>
      </c>
    </row>
    <row r="7866" spans="11:17" x14ac:dyDescent="0.3">
      <c r="K7866">
        <v>2021</v>
      </c>
      <c r="L7866" t="s">
        <v>45</v>
      </c>
      <c r="M7866" t="s">
        <v>146</v>
      </c>
      <c r="N7866" t="s">
        <v>19</v>
      </c>
      <c r="O7866" t="s">
        <v>189</v>
      </c>
      <c r="P7866" s="1" t="s">
        <v>34</v>
      </c>
      <c r="Q7866">
        <v>167</v>
      </c>
    </row>
    <row r="7867" spans="11:17" x14ac:dyDescent="0.3">
      <c r="K7867">
        <v>2021</v>
      </c>
      <c r="L7867" t="s">
        <v>45</v>
      </c>
      <c r="M7867" t="s">
        <v>146</v>
      </c>
      <c r="N7867" t="s">
        <v>19</v>
      </c>
      <c r="O7867" t="s">
        <v>189</v>
      </c>
      <c r="P7867" s="1" t="s">
        <v>33</v>
      </c>
      <c r="Q7867">
        <v>160.69999999999999</v>
      </c>
    </row>
    <row r="7868" spans="11:17" x14ac:dyDescent="0.3">
      <c r="K7868">
        <v>2021</v>
      </c>
      <c r="L7868" t="s">
        <v>45</v>
      </c>
      <c r="M7868" t="s">
        <v>146</v>
      </c>
      <c r="N7868" t="s">
        <v>26</v>
      </c>
      <c r="O7868" t="s">
        <v>26</v>
      </c>
      <c r="P7868" s="1" t="s">
        <v>30</v>
      </c>
      <c r="Q7868">
        <v>169.7</v>
      </c>
    </row>
    <row r="7869" spans="11:17" x14ac:dyDescent="0.3">
      <c r="K7869">
        <v>2021</v>
      </c>
      <c r="L7869" t="s">
        <v>45</v>
      </c>
      <c r="M7869" t="s">
        <v>146</v>
      </c>
      <c r="N7869" t="s">
        <v>26</v>
      </c>
      <c r="O7869" t="s">
        <v>26</v>
      </c>
      <c r="P7869" s="1" t="s">
        <v>34</v>
      </c>
      <c r="Q7869">
        <v>164.4</v>
      </c>
    </row>
    <row r="7870" spans="11:17" x14ac:dyDescent="0.3">
      <c r="K7870">
        <v>2021</v>
      </c>
      <c r="L7870" t="s">
        <v>45</v>
      </c>
      <c r="M7870" t="s">
        <v>146</v>
      </c>
      <c r="N7870" t="s">
        <v>26</v>
      </c>
      <c r="O7870" t="s">
        <v>26</v>
      </c>
      <c r="P7870" s="1" t="s">
        <v>33</v>
      </c>
      <c r="Q7870">
        <v>160.6</v>
      </c>
    </row>
    <row r="7871" spans="11:17" x14ac:dyDescent="0.3">
      <c r="K7871">
        <v>2021</v>
      </c>
      <c r="L7871" t="s">
        <v>45</v>
      </c>
      <c r="M7871" t="s">
        <v>146</v>
      </c>
      <c r="N7871" t="s">
        <v>5</v>
      </c>
      <c r="O7871" t="s">
        <v>188</v>
      </c>
      <c r="P7871" s="1" t="s">
        <v>30</v>
      </c>
      <c r="Q7871">
        <v>176.5</v>
      </c>
    </row>
    <row r="7872" spans="11:17" x14ac:dyDescent="0.3">
      <c r="K7872">
        <v>2021</v>
      </c>
      <c r="L7872" t="s">
        <v>45</v>
      </c>
      <c r="M7872" t="s">
        <v>146</v>
      </c>
      <c r="N7872" t="s">
        <v>5</v>
      </c>
      <c r="O7872" t="s">
        <v>188</v>
      </c>
      <c r="P7872" s="1" t="s">
        <v>34</v>
      </c>
      <c r="Q7872">
        <v>177.9</v>
      </c>
    </row>
    <row r="7873" spans="11:17" x14ac:dyDescent="0.3">
      <c r="K7873">
        <v>2021</v>
      </c>
      <c r="L7873" t="s">
        <v>45</v>
      </c>
      <c r="M7873" t="s">
        <v>146</v>
      </c>
      <c r="N7873" t="s">
        <v>5</v>
      </c>
      <c r="O7873" t="s">
        <v>188</v>
      </c>
      <c r="P7873" s="1" t="s">
        <v>33</v>
      </c>
      <c r="Q7873">
        <v>180</v>
      </c>
    </row>
    <row r="7874" spans="11:17" x14ac:dyDescent="0.3">
      <c r="K7874">
        <v>2021</v>
      </c>
      <c r="L7874" t="s">
        <v>45</v>
      </c>
      <c r="M7874" t="s">
        <v>146</v>
      </c>
      <c r="N7874" t="s">
        <v>15</v>
      </c>
      <c r="O7874" t="s">
        <v>188</v>
      </c>
      <c r="P7874" s="1" t="s">
        <v>30</v>
      </c>
      <c r="Q7874">
        <v>165.8</v>
      </c>
    </row>
    <row r="7875" spans="11:17" x14ac:dyDescent="0.3">
      <c r="K7875">
        <v>2021</v>
      </c>
      <c r="L7875" t="s">
        <v>45</v>
      </c>
      <c r="M7875" t="s">
        <v>146</v>
      </c>
      <c r="N7875" t="s">
        <v>15</v>
      </c>
      <c r="O7875" t="s">
        <v>188</v>
      </c>
      <c r="P7875" s="1" t="s">
        <v>34</v>
      </c>
      <c r="Q7875">
        <v>168.2</v>
      </c>
    </row>
    <row r="7876" spans="11:17" x14ac:dyDescent="0.3">
      <c r="K7876">
        <v>2021</v>
      </c>
      <c r="L7876" t="s">
        <v>45</v>
      </c>
      <c r="M7876" t="s">
        <v>146</v>
      </c>
      <c r="N7876" t="s">
        <v>15</v>
      </c>
      <c r="O7876" t="s">
        <v>188</v>
      </c>
      <c r="P7876" s="1" t="s">
        <v>33</v>
      </c>
      <c r="Q7876">
        <v>172.2</v>
      </c>
    </row>
    <row r="7877" spans="11:17" x14ac:dyDescent="0.3">
      <c r="K7877">
        <v>2021</v>
      </c>
      <c r="L7877" t="s">
        <v>45</v>
      </c>
      <c r="M7877" t="s">
        <v>146</v>
      </c>
      <c r="N7877" t="s">
        <v>18</v>
      </c>
      <c r="O7877" t="s">
        <v>189</v>
      </c>
      <c r="P7877" s="1" t="s">
        <v>30</v>
      </c>
      <c r="Q7877">
        <v>167.3</v>
      </c>
    </row>
    <row r="7878" spans="11:17" x14ac:dyDescent="0.3">
      <c r="K7878">
        <v>2021</v>
      </c>
      <c r="L7878" t="s">
        <v>45</v>
      </c>
      <c r="M7878" t="s">
        <v>146</v>
      </c>
      <c r="N7878" t="s">
        <v>18</v>
      </c>
      <c r="O7878" t="s">
        <v>189</v>
      </c>
      <c r="P7878" s="1" t="s">
        <v>34</v>
      </c>
      <c r="Q7878">
        <v>158.69999999999999</v>
      </c>
    </row>
    <row r="7879" spans="11:17" x14ac:dyDescent="0.3">
      <c r="K7879">
        <v>2021</v>
      </c>
      <c r="L7879" t="s">
        <v>45</v>
      </c>
      <c r="M7879" t="s">
        <v>146</v>
      </c>
      <c r="N7879" t="s">
        <v>18</v>
      </c>
      <c r="O7879" t="s">
        <v>189</v>
      </c>
      <c r="P7879" s="1" t="s">
        <v>33</v>
      </c>
      <c r="Q7879">
        <v>146.69999999999999</v>
      </c>
    </row>
    <row r="7880" spans="11:17" x14ac:dyDescent="0.3">
      <c r="K7880">
        <v>2021</v>
      </c>
      <c r="L7880" t="s">
        <v>45</v>
      </c>
      <c r="M7880" t="s">
        <v>146</v>
      </c>
      <c r="N7880" t="s">
        <v>8</v>
      </c>
      <c r="O7880" t="s">
        <v>188</v>
      </c>
      <c r="P7880" s="1" t="s">
        <v>30</v>
      </c>
      <c r="Q7880">
        <v>152</v>
      </c>
    </row>
    <row r="7881" spans="11:17" x14ac:dyDescent="0.3">
      <c r="K7881">
        <v>2021</v>
      </c>
      <c r="L7881" t="s">
        <v>45</v>
      </c>
      <c r="M7881" t="s">
        <v>146</v>
      </c>
      <c r="N7881" t="s">
        <v>8</v>
      </c>
      <c r="O7881" t="s">
        <v>188</v>
      </c>
      <c r="P7881" s="1" t="s">
        <v>34</v>
      </c>
      <c r="Q7881">
        <v>154.9</v>
      </c>
    </row>
    <row r="7882" spans="11:17" x14ac:dyDescent="0.3">
      <c r="K7882">
        <v>2021</v>
      </c>
      <c r="L7882" t="s">
        <v>45</v>
      </c>
      <c r="M7882" t="s">
        <v>146</v>
      </c>
      <c r="N7882" t="s">
        <v>8</v>
      </c>
      <c r="O7882" t="s">
        <v>188</v>
      </c>
      <c r="P7882" s="1" t="s">
        <v>33</v>
      </c>
      <c r="Q7882">
        <v>158.30000000000001</v>
      </c>
    </row>
    <row r="7883" spans="11:17" x14ac:dyDescent="0.3">
      <c r="K7883">
        <v>2021</v>
      </c>
      <c r="L7883" t="s">
        <v>45</v>
      </c>
      <c r="M7883" t="s">
        <v>146</v>
      </c>
      <c r="N7883" t="s">
        <v>21</v>
      </c>
      <c r="O7883" t="s">
        <v>190</v>
      </c>
      <c r="P7883" s="1" t="s">
        <v>30</v>
      </c>
      <c r="Q7883">
        <v>165.6</v>
      </c>
    </row>
    <row r="7884" spans="11:17" x14ac:dyDescent="0.3">
      <c r="K7884">
        <v>2021</v>
      </c>
      <c r="L7884" t="s">
        <v>45</v>
      </c>
      <c r="M7884" t="s">
        <v>146</v>
      </c>
      <c r="N7884" t="s">
        <v>21</v>
      </c>
      <c r="O7884" t="s">
        <v>190</v>
      </c>
      <c r="P7884" s="1" t="s">
        <v>34</v>
      </c>
      <c r="Q7884">
        <v>164.1</v>
      </c>
    </row>
    <row r="7885" spans="11:17" x14ac:dyDescent="0.3">
      <c r="K7885">
        <v>2021</v>
      </c>
      <c r="L7885" t="s">
        <v>45</v>
      </c>
      <c r="M7885" t="s">
        <v>146</v>
      </c>
      <c r="N7885" t="s">
        <v>21</v>
      </c>
      <c r="O7885" t="s">
        <v>190</v>
      </c>
      <c r="P7885" s="1" t="s">
        <v>33</v>
      </c>
      <c r="Q7885">
        <v>161.69999999999999</v>
      </c>
    </row>
    <row r="7886" spans="11:17" x14ac:dyDescent="0.3">
      <c r="K7886">
        <v>2021</v>
      </c>
      <c r="L7886" t="s">
        <v>45</v>
      </c>
      <c r="M7886" t="s">
        <v>146</v>
      </c>
      <c r="N7886" t="s">
        <v>29</v>
      </c>
      <c r="O7886" t="s">
        <v>206</v>
      </c>
      <c r="P7886" s="1" t="s">
        <v>30</v>
      </c>
      <c r="Q7886">
        <v>167</v>
      </c>
    </row>
    <row r="7887" spans="11:17" x14ac:dyDescent="0.3">
      <c r="K7887">
        <v>2021</v>
      </c>
      <c r="L7887" t="s">
        <v>45</v>
      </c>
      <c r="M7887" t="s">
        <v>146</v>
      </c>
      <c r="N7887" t="s">
        <v>29</v>
      </c>
      <c r="O7887" t="s">
        <v>206</v>
      </c>
      <c r="P7887" s="1" t="s">
        <v>34</v>
      </c>
      <c r="Q7887">
        <v>166.2</v>
      </c>
    </row>
    <row r="7888" spans="11:17" x14ac:dyDescent="0.3">
      <c r="K7888">
        <v>2021</v>
      </c>
      <c r="L7888" t="s">
        <v>45</v>
      </c>
      <c r="M7888" t="s">
        <v>146</v>
      </c>
      <c r="N7888" t="s">
        <v>29</v>
      </c>
      <c r="O7888" t="s">
        <v>206</v>
      </c>
      <c r="P7888" s="1" t="s">
        <v>33</v>
      </c>
      <c r="Q7888">
        <v>165.2</v>
      </c>
    </row>
    <row r="7889" spans="11:17" x14ac:dyDescent="0.3">
      <c r="K7889">
        <v>2021</v>
      </c>
      <c r="L7889" t="s">
        <v>45</v>
      </c>
      <c r="M7889" t="s">
        <v>146</v>
      </c>
      <c r="N7889" t="s">
        <v>23</v>
      </c>
      <c r="O7889" t="s">
        <v>23</v>
      </c>
      <c r="P7889" s="1" t="s">
        <v>30</v>
      </c>
      <c r="Q7889">
        <v>174</v>
      </c>
    </row>
    <row r="7890" spans="11:17" x14ac:dyDescent="0.3">
      <c r="K7890">
        <v>2021</v>
      </c>
      <c r="L7890" t="s">
        <v>45</v>
      </c>
      <c r="M7890" t="s">
        <v>146</v>
      </c>
      <c r="N7890" t="s">
        <v>23</v>
      </c>
      <c r="O7890" t="s">
        <v>23</v>
      </c>
      <c r="P7890" s="1" t="s">
        <v>34</v>
      </c>
      <c r="Q7890">
        <v>170.6</v>
      </c>
    </row>
    <row r="7891" spans="11:17" x14ac:dyDescent="0.3">
      <c r="K7891">
        <v>2021</v>
      </c>
      <c r="L7891" t="s">
        <v>45</v>
      </c>
      <c r="M7891" t="s">
        <v>146</v>
      </c>
      <c r="N7891" t="s">
        <v>23</v>
      </c>
      <c r="O7891" t="s">
        <v>23</v>
      </c>
      <c r="P7891" s="1" t="s">
        <v>33</v>
      </c>
      <c r="Q7891">
        <v>165.1</v>
      </c>
    </row>
    <row r="7892" spans="11:17" x14ac:dyDescent="0.3">
      <c r="K7892">
        <v>2021</v>
      </c>
      <c r="L7892" t="s">
        <v>45</v>
      </c>
      <c r="M7892" t="s">
        <v>146</v>
      </c>
      <c r="N7892" t="s">
        <v>22</v>
      </c>
      <c r="O7892" t="s">
        <v>20</v>
      </c>
      <c r="P7892" s="1" t="s">
        <v>30</v>
      </c>
      <c r="Q7892">
        <v>163.9</v>
      </c>
    </row>
    <row r="7893" spans="11:17" x14ac:dyDescent="0.3">
      <c r="K7893">
        <v>2021</v>
      </c>
      <c r="L7893" t="s">
        <v>45</v>
      </c>
      <c r="M7893" t="s">
        <v>146</v>
      </c>
      <c r="N7893" t="s">
        <v>22</v>
      </c>
      <c r="O7893" t="s">
        <v>20</v>
      </c>
      <c r="P7893" s="1" t="s">
        <v>34</v>
      </c>
      <c r="Q7893">
        <v>160.19999999999999</v>
      </c>
    </row>
    <row r="7894" spans="11:17" x14ac:dyDescent="0.3">
      <c r="K7894">
        <v>2021</v>
      </c>
      <c r="L7894" t="s">
        <v>45</v>
      </c>
      <c r="M7894" t="s">
        <v>146</v>
      </c>
      <c r="N7894" t="s">
        <v>22</v>
      </c>
      <c r="O7894" t="s">
        <v>20</v>
      </c>
      <c r="P7894" s="1" t="s">
        <v>33</v>
      </c>
      <c r="Q7894">
        <v>156</v>
      </c>
    </row>
    <row r="7895" spans="11:17" x14ac:dyDescent="0.3">
      <c r="K7895">
        <v>2021</v>
      </c>
      <c r="L7895" t="s">
        <v>45</v>
      </c>
      <c r="M7895" t="s">
        <v>146</v>
      </c>
      <c r="N7895" t="s">
        <v>20</v>
      </c>
      <c r="O7895" t="s">
        <v>20</v>
      </c>
      <c r="P7895" s="1" t="s">
        <v>30</v>
      </c>
      <c r="Q7895">
        <v>0</v>
      </c>
    </row>
    <row r="7896" spans="11:17" x14ac:dyDescent="0.3">
      <c r="K7896">
        <v>2021</v>
      </c>
      <c r="L7896" t="s">
        <v>45</v>
      </c>
      <c r="M7896" t="s">
        <v>146</v>
      </c>
      <c r="N7896" t="s">
        <v>20</v>
      </c>
      <c r="O7896" t="s">
        <v>20</v>
      </c>
      <c r="P7896" s="1" t="s">
        <v>34</v>
      </c>
      <c r="Q7896">
        <v>163.4</v>
      </c>
    </row>
    <row r="7897" spans="11:17" x14ac:dyDescent="0.3">
      <c r="K7897">
        <v>2021</v>
      </c>
      <c r="L7897" t="s">
        <v>45</v>
      </c>
      <c r="M7897" t="s">
        <v>146</v>
      </c>
      <c r="N7897" t="s">
        <v>20</v>
      </c>
      <c r="O7897" t="s">
        <v>20</v>
      </c>
      <c r="P7897" s="1" t="s">
        <v>33</v>
      </c>
      <c r="Q7897">
        <v>163.4</v>
      </c>
    </row>
    <row r="7898" spans="11:17" x14ac:dyDescent="0.3">
      <c r="K7898">
        <v>2021</v>
      </c>
      <c r="L7898" t="s">
        <v>45</v>
      </c>
      <c r="M7898" t="s">
        <v>146</v>
      </c>
      <c r="N7898" t="s">
        <v>4</v>
      </c>
      <c r="O7898" t="s">
        <v>188</v>
      </c>
      <c r="P7898" s="1" t="s">
        <v>30</v>
      </c>
      <c r="Q7898">
        <v>197</v>
      </c>
    </row>
    <row r="7899" spans="11:17" x14ac:dyDescent="0.3">
      <c r="K7899">
        <v>2021</v>
      </c>
      <c r="L7899" t="s">
        <v>45</v>
      </c>
      <c r="M7899" t="s">
        <v>146</v>
      </c>
      <c r="N7899" t="s">
        <v>4</v>
      </c>
      <c r="O7899" t="s">
        <v>188</v>
      </c>
      <c r="P7899" s="1" t="s">
        <v>34</v>
      </c>
      <c r="Q7899">
        <v>198.8</v>
      </c>
    </row>
    <row r="7900" spans="11:17" x14ac:dyDescent="0.3">
      <c r="K7900">
        <v>2021</v>
      </c>
      <c r="L7900" t="s">
        <v>45</v>
      </c>
      <c r="M7900" t="s">
        <v>146</v>
      </c>
      <c r="N7900" t="s">
        <v>4</v>
      </c>
      <c r="O7900" t="s">
        <v>188</v>
      </c>
      <c r="P7900" s="1" t="s">
        <v>33</v>
      </c>
      <c r="Q7900">
        <v>202.2</v>
      </c>
    </row>
    <row r="7901" spans="11:17" x14ac:dyDescent="0.3">
      <c r="K7901">
        <v>2021</v>
      </c>
      <c r="L7901" t="s">
        <v>45</v>
      </c>
      <c r="M7901" t="s">
        <v>146</v>
      </c>
      <c r="N7901" t="s">
        <v>6</v>
      </c>
      <c r="O7901" t="s">
        <v>188</v>
      </c>
      <c r="P7901" s="1" t="s">
        <v>30</v>
      </c>
      <c r="Q7901">
        <v>159.80000000000001</v>
      </c>
    </row>
    <row r="7902" spans="11:17" x14ac:dyDescent="0.3">
      <c r="K7902">
        <v>2021</v>
      </c>
      <c r="L7902" t="s">
        <v>45</v>
      </c>
      <c r="M7902" t="s">
        <v>146</v>
      </c>
      <c r="N7902" t="s">
        <v>6</v>
      </c>
      <c r="O7902" t="s">
        <v>188</v>
      </c>
      <c r="P7902" s="1" t="s">
        <v>34</v>
      </c>
      <c r="Q7902">
        <v>159.9</v>
      </c>
    </row>
    <row r="7903" spans="11:17" x14ac:dyDescent="0.3">
      <c r="K7903">
        <v>2021</v>
      </c>
      <c r="L7903" t="s">
        <v>45</v>
      </c>
      <c r="M7903" t="s">
        <v>146</v>
      </c>
      <c r="N7903" t="s">
        <v>6</v>
      </c>
      <c r="O7903" t="s">
        <v>188</v>
      </c>
      <c r="P7903" s="1" t="s">
        <v>33</v>
      </c>
      <c r="Q7903">
        <v>160</v>
      </c>
    </row>
    <row r="7904" spans="11:17" x14ac:dyDescent="0.3">
      <c r="K7904">
        <v>2021</v>
      </c>
      <c r="L7904" t="s">
        <v>45</v>
      </c>
      <c r="M7904" t="s">
        <v>146</v>
      </c>
      <c r="N7904" t="s">
        <v>28</v>
      </c>
      <c r="O7904" t="s">
        <v>192</v>
      </c>
      <c r="P7904" s="1" t="s">
        <v>30</v>
      </c>
      <c r="Q7904">
        <v>166</v>
      </c>
    </row>
    <row r="7905" spans="11:17" x14ac:dyDescent="0.3">
      <c r="K7905">
        <v>2021</v>
      </c>
      <c r="L7905" t="s">
        <v>45</v>
      </c>
      <c r="M7905" t="s">
        <v>146</v>
      </c>
      <c r="N7905" t="s">
        <v>28</v>
      </c>
      <c r="O7905" t="s">
        <v>192</v>
      </c>
      <c r="P7905" s="1" t="s">
        <v>34</v>
      </c>
      <c r="Q7905">
        <v>162</v>
      </c>
    </row>
    <row r="7906" spans="11:17" x14ac:dyDescent="0.3">
      <c r="K7906">
        <v>2021</v>
      </c>
      <c r="L7906" t="s">
        <v>45</v>
      </c>
      <c r="M7906" t="s">
        <v>146</v>
      </c>
      <c r="N7906" t="s">
        <v>28</v>
      </c>
      <c r="O7906" t="s">
        <v>192</v>
      </c>
      <c r="P7906" s="1" t="s">
        <v>33</v>
      </c>
      <c r="Q7906">
        <v>157.80000000000001</v>
      </c>
    </row>
    <row r="7907" spans="11:17" x14ac:dyDescent="0.3">
      <c r="K7907">
        <v>2021</v>
      </c>
      <c r="L7907" t="s">
        <v>45</v>
      </c>
      <c r="M7907" t="s">
        <v>146</v>
      </c>
      <c r="N7907" t="s">
        <v>13</v>
      </c>
      <c r="O7907" t="s">
        <v>188</v>
      </c>
      <c r="P7907" s="1" t="s">
        <v>30</v>
      </c>
      <c r="Q7907">
        <v>169.7</v>
      </c>
    </row>
    <row r="7908" spans="11:17" x14ac:dyDescent="0.3">
      <c r="K7908">
        <v>2021</v>
      </c>
      <c r="L7908" t="s">
        <v>45</v>
      </c>
      <c r="M7908" t="s">
        <v>146</v>
      </c>
      <c r="N7908" t="s">
        <v>13</v>
      </c>
      <c r="O7908" t="s">
        <v>188</v>
      </c>
      <c r="P7908" s="1" t="s">
        <v>34</v>
      </c>
      <c r="Q7908">
        <v>164.2</v>
      </c>
    </row>
    <row r="7909" spans="11:17" x14ac:dyDescent="0.3">
      <c r="K7909">
        <v>2021</v>
      </c>
      <c r="L7909" t="s">
        <v>45</v>
      </c>
      <c r="M7909" t="s">
        <v>146</v>
      </c>
      <c r="N7909" t="s">
        <v>13</v>
      </c>
      <c r="O7909" t="s">
        <v>188</v>
      </c>
      <c r="P7909" s="1" t="s">
        <v>33</v>
      </c>
      <c r="Q7909">
        <v>156.5</v>
      </c>
    </row>
    <row r="7910" spans="11:17" x14ac:dyDescent="0.3">
      <c r="K7910">
        <v>2021</v>
      </c>
      <c r="L7910" t="s">
        <v>45</v>
      </c>
      <c r="M7910" t="s">
        <v>146</v>
      </c>
      <c r="N7910" t="s">
        <v>7</v>
      </c>
      <c r="O7910" t="s">
        <v>188</v>
      </c>
      <c r="P7910" s="1" t="s">
        <v>30</v>
      </c>
      <c r="Q7910">
        <v>195.8</v>
      </c>
    </row>
    <row r="7911" spans="11:17" x14ac:dyDescent="0.3">
      <c r="K7911">
        <v>2021</v>
      </c>
      <c r="L7911" t="s">
        <v>45</v>
      </c>
      <c r="M7911" t="s">
        <v>146</v>
      </c>
      <c r="N7911" t="s">
        <v>7</v>
      </c>
      <c r="O7911" t="s">
        <v>188</v>
      </c>
      <c r="P7911" s="1" t="s">
        <v>34</v>
      </c>
      <c r="Q7911">
        <v>187.6</v>
      </c>
    </row>
    <row r="7912" spans="11:17" x14ac:dyDescent="0.3">
      <c r="K7912">
        <v>2021</v>
      </c>
      <c r="L7912" t="s">
        <v>45</v>
      </c>
      <c r="M7912" t="s">
        <v>146</v>
      </c>
      <c r="N7912" t="s">
        <v>7</v>
      </c>
      <c r="O7912" t="s">
        <v>188</v>
      </c>
      <c r="P7912" s="1" t="s">
        <v>33</v>
      </c>
      <c r="Q7912">
        <v>173.5</v>
      </c>
    </row>
    <row r="7913" spans="11:17" x14ac:dyDescent="0.3">
      <c r="K7913">
        <v>2021</v>
      </c>
      <c r="L7913" t="s">
        <v>45</v>
      </c>
      <c r="M7913" t="s">
        <v>146</v>
      </c>
      <c r="N7913" t="s">
        <v>16</v>
      </c>
      <c r="O7913" t="s">
        <v>192</v>
      </c>
      <c r="P7913" s="1" t="s">
        <v>30</v>
      </c>
      <c r="Q7913">
        <v>190.8</v>
      </c>
    </row>
    <row r="7914" spans="11:17" x14ac:dyDescent="0.3">
      <c r="K7914">
        <v>2021</v>
      </c>
      <c r="L7914" t="s">
        <v>45</v>
      </c>
      <c r="M7914" t="s">
        <v>146</v>
      </c>
      <c r="N7914" t="s">
        <v>16</v>
      </c>
      <c r="O7914" t="s">
        <v>192</v>
      </c>
      <c r="P7914" s="1" t="s">
        <v>34</v>
      </c>
      <c r="Q7914">
        <v>192.4</v>
      </c>
    </row>
    <row r="7915" spans="11:17" x14ac:dyDescent="0.3">
      <c r="K7915">
        <v>2021</v>
      </c>
      <c r="L7915" t="s">
        <v>45</v>
      </c>
      <c r="M7915" t="s">
        <v>146</v>
      </c>
      <c r="N7915" t="s">
        <v>16</v>
      </c>
      <c r="O7915" t="s">
        <v>192</v>
      </c>
      <c r="P7915" s="1" t="s">
        <v>33</v>
      </c>
      <c r="Q7915">
        <v>196.8</v>
      </c>
    </row>
    <row r="7916" spans="11:17" x14ac:dyDescent="0.3">
      <c r="K7916">
        <v>2021</v>
      </c>
      <c r="L7916" t="s">
        <v>45</v>
      </c>
      <c r="M7916" t="s">
        <v>146</v>
      </c>
      <c r="N7916" t="s">
        <v>27</v>
      </c>
      <c r="O7916" t="s">
        <v>192</v>
      </c>
      <c r="P7916" s="1" t="s">
        <v>30</v>
      </c>
      <c r="Q7916">
        <v>162.80000000000001</v>
      </c>
    </row>
    <row r="7917" spans="11:17" x14ac:dyDescent="0.3">
      <c r="K7917">
        <v>2021</v>
      </c>
      <c r="L7917" t="s">
        <v>45</v>
      </c>
      <c r="M7917" t="s">
        <v>146</v>
      </c>
      <c r="N7917" t="s">
        <v>27</v>
      </c>
      <c r="O7917" t="s">
        <v>192</v>
      </c>
      <c r="P7917" s="1" t="s">
        <v>34</v>
      </c>
      <c r="Q7917">
        <v>162.6</v>
      </c>
    </row>
    <row r="7918" spans="11:17" x14ac:dyDescent="0.3">
      <c r="K7918">
        <v>2021</v>
      </c>
      <c r="L7918" t="s">
        <v>45</v>
      </c>
      <c r="M7918" t="s">
        <v>146</v>
      </c>
      <c r="N7918" t="s">
        <v>27</v>
      </c>
      <c r="O7918" t="s">
        <v>192</v>
      </c>
      <c r="P7918" s="1" t="s">
        <v>33</v>
      </c>
      <c r="Q7918">
        <v>162.4</v>
      </c>
    </row>
    <row r="7919" spans="11:17" x14ac:dyDescent="0.3">
      <c r="K7919">
        <v>2021</v>
      </c>
      <c r="L7919" t="s">
        <v>45</v>
      </c>
      <c r="M7919" t="s">
        <v>146</v>
      </c>
      <c r="N7919" t="s">
        <v>14</v>
      </c>
      <c r="O7919" t="s">
        <v>188</v>
      </c>
      <c r="P7919" s="1" t="s">
        <v>30</v>
      </c>
      <c r="Q7919">
        <v>175.1</v>
      </c>
    </row>
    <row r="7920" spans="11:17" x14ac:dyDescent="0.3">
      <c r="K7920">
        <v>2021</v>
      </c>
      <c r="L7920" t="s">
        <v>45</v>
      </c>
      <c r="M7920" t="s">
        <v>146</v>
      </c>
      <c r="N7920" t="s">
        <v>14</v>
      </c>
      <c r="O7920" t="s">
        <v>188</v>
      </c>
      <c r="P7920" s="1" t="s">
        <v>34</v>
      </c>
      <c r="Q7920">
        <v>176.5</v>
      </c>
    </row>
    <row r="7921" spans="11:17" x14ac:dyDescent="0.3">
      <c r="K7921">
        <v>2021</v>
      </c>
      <c r="L7921" t="s">
        <v>45</v>
      </c>
      <c r="M7921" t="s">
        <v>146</v>
      </c>
      <c r="N7921" t="s">
        <v>14</v>
      </c>
      <c r="O7921" t="s">
        <v>188</v>
      </c>
      <c r="P7921" s="1" t="s">
        <v>33</v>
      </c>
      <c r="Q7921">
        <v>178.2</v>
      </c>
    </row>
    <row r="7922" spans="11:17" x14ac:dyDescent="0.3">
      <c r="K7922">
        <v>2021</v>
      </c>
      <c r="L7922" t="s">
        <v>45</v>
      </c>
      <c r="M7922" t="s">
        <v>146</v>
      </c>
      <c r="N7922" t="s">
        <v>10</v>
      </c>
      <c r="O7922" t="s">
        <v>188</v>
      </c>
      <c r="P7922" s="1" t="s">
        <v>30</v>
      </c>
      <c r="Q7922">
        <v>164.5</v>
      </c>
    </row>
    <row r="7923" spans="11:17" x14ac:dyDescent="0.3">
      <c r="K7923">
        <v>2021</v>
      </c>
      <c r="L7923" t="s">
        <v>45</v>
      </c>
      <c r="M7923" t="s">
        <v>146</v>
      </c>
      <c r="N7923" t="s">
        <v>10</v>
      </c>
      <c r="O7923" t="s">
        <v>188</v>
      </c>
      <c r="P7923" s="1" t="s">
        <v>34</v>
      </c>
      <c r="Q7923">
        <v>164.4</v>
      </c>
    </row>
    <row r="7924" spans="11:17" x14ac:dyDescent="0.3">
      <c r="K7924">
        <v>2021</v>
      </c>
      <c r="L7924" t="s">
        <v>45</v>
      </c>
      <c r="M7924" t="s">
        <v>146</v>
      </c>
      <c r="N7924" t="s">
        <v>10</v>
      </c>
      <c r="O7924" t="s">
        <v>188</v>
      </c>
      <c r="P7924" s="1" t="s">
        <v>33</v>
      </c>
      <c r="Q7924">
        <v>164.2</v>
      </c>
    </row>
    <row r="7925" spans="11:17" x14ac:dyDescent="0.3">
      <c r="K7925">
        <v>2021</v>
      </c>
      <c r="L7925" t="s">
        <v>45</v>
      </c>
      <c r="M7925" t="s">
        <v>146</v>
      </c>
      <c r="N7925" t="s">
        <v>25</v>
      </c>
      <c r="O7925" t="s">
        <v>195</v>
      </c>
      <c r="P7925" s="1" t="s">
        <v>30</v>
      </c>
      <c r="Q7925">
        <v>164.5</v>
      </c>
    </row>
    <row r="7926" spans="11:17" x14ac:dyDescent="0.3">
      <c r="K7926">
        <v>2021</v>
      </c>
      <c r="L7926" t="s">
        <v>45</v>
      </c>
      <c r="M7926" t="s">
        <v>146</v>
      </c>
      <c r="N7926" t="s">
        <v>25</v>
      </c>
      <c r="O7926" t="s">
        <v>195</v>
      </c>
      <c r="P7926" s="1" t="s">
        <v>34</v>
      </c>
      <c r="Q7926">
        <v>160.6</v>
      </c>
    </row>
    <row r="7927" spans="11:17" x14ac:dyDescent="0.3">
      <c r="K7927">
        <v>2021</v>
      </c>
      <c r="L7927" t="s">
        <v>45</v>
      </c>
      <c r="M7927" t="s">
        <v>146</v>
      </c>
      <c r="N7927" t="s">
        <v>25</v>
      </c>
      <c r="O7927" t="s">
        <v>195</v>
      </c>
      <c r="P7927" s="1" t="s">
        <v>33</v>
      </c>
      <c r="Q7927">
        <v>157.6</v>
      </c>
    </row>
    <row r="7928" spans="11:17" x14ac:dyDescent="0.3">
      <c r="K7928">
        <v>2021</v>
      </c>
      <c r="L7928" t="s">
        <v>45</v>
      </c>
      <c r="M7928" t="s">
        <v>146</v>
      </c>
      <c r="N7928" t="s">
        <v>12</v>
      </c>
      <c r="O7928" t="s">
        <v>188</v>
      </c>
      <c r="P7928" s="1" t="s">
        <v>30</v>
      </c>
      <c r="Q7928">
        <v>171.7</v>
      </c>
    </row>
    <row r="7929" spans="11:17" x14ac:dyDescent="0.3">
      <c r="K7929">
        <v>2021</v>
      </c>
      <c r="L7929" t="s">
        <v>45</v>
      </c>
      <c r="M7929" t="s">
        <v>146</v>
      </c>
      <c r="N7929" t="s">
        <v>12</v>
      </c>
      <c r="O7929" t="s">
        <v>188</v>
      </c>
      <c r="P7929" s="1" t="s">
        <v>34</v>
      </c>
      <c r="Q7929">
        <v>170.5</v>
      </c>
    </row>
    <row r="7930" spans="11:17" x14ac:dyDescent="0.3">
      <c r="K7930">
        <v>2021</v>
      </c>
      <c r="L7930" t="s">
        <v>45</v>
      </c>
      <c r="M7930" t="s">
        <v>146</v>
      </c>
      <c r="N7930" t="s">
        <v>12</v>
      </c>
      <c r="O7930" t="s">
        <v>188</v>
      </c>
      <c r="P7930" s="1" t="s">
        <v>33</v>
      </c>
      <c r="Q7930">
        <v>168.2</v>
      </c>
    </row>
    <row r="7931" spans="11:17" x14ac:dyDescent="0.3">
      <c r="K7931">
        <v>2021</v>
      </c>
      <c r="L7931" t="s">
        <v>45</v>
      </c>
      <c r="M7931" t="s">
        <v>146</v>
      </c>
      <c r="N7931" t="s">
        <v>11</v>
      </c>
      <c r="O7931" t="s">
        <v>188</v>
      </c>
      <c r="P7931" s="1" t="s">
        <v>30</v>
      </c>
      <c r="Q7931">
        <v>120.6</v>
      </c>
    </row>
    <row r="7932" spans="11:17" x14ac:dyDescent="0.3">
      <c r="K7932">
        <v>2021</v>
      </c>
      <c r="L7932" t="s">
        <v>45</v>
      </c>
      <c r="M7932" t="s">
        <v>146</v>
      </c>
      <c r="N7932" t="s">
        <v>11</v>
      </c>
      <c r="O7932" t="s">
        <v>188</v>
      </c>
      <c r="P7932" s="1" t="s">
        <v>34</v>
      </c>
      <c r="Q7932">
        <v>121</v>
      </c>
    </row>
    <row r="7933" spans="11:17" x14ac:dyDescent="0.3">
      <c r="K7933">
        <v>2021</v>
      </c>
      <c r="L7933" t="s">
        <v>45</v>
      </c>
      <c r="M7933" t="s">
        <v>146</v>
      </c>
      <c r="N7933" t="s">
        <v>11</v>
      </c>
      <c r="O7933" t="s">
        <v>188</v>
      </c>
      <c r="P7933" s="1" t="s">
        <v>33</v>
      </c>
      <c r="Q7933">
        <v>121.9</v>
      </c>
    </row>
    <row r="7934" spans="11:17" x14ac:dyDescent="0.3">
      <c r="K7934">
        <v>2021</v>
      </c>
      <c r="L7934" t="s">
        <v>45</v>
      </c>
      <c r="M7934" t="s">
        <v>146</v>
      </c>
      <c r="N7934" t="s">
        <v>24</v>
      </c>
      <c r="O7934" t="s">
        <v>191</v>
      </c>
      <c r="P7934" s="1" t="s">
        <v>30</v>
      </c>
      <c r="Q7934">
        <v>160.1</v>
      </c>
    </row>
    <row r="7935" spans="11:17" x14ac:dyDescent="0.3">
      <c r="K7935">
        <v>2021</v>
      </c>
      <c r="L7935" t="s">
        <v>45</v>
      </c>
      <c r="M7935" t="s">
        <v>146</v>
      </c>
      <c r="N7935" t="s">
        <v>24</v>
      </c>
      <c r="O7935" t="s">
        <v>191</v>
      </c>
      <c r="P7935" s="1" t="s">
        <v>34</v>
      </c>
      <c r="Q7935">
        <v>155.69999999999999</v>
      </c>
    </row>
    <row r="7936" spans="11:17" x14ac:dyDescent="0.3">
      <c r="K7936">
        <v>2021</v>
      </c>
      <c r="L7936" t="s">
        <v>45</v>
      </c>
      <c r="M7936" t="s">
        <v>146</v>
      </c>
      <c r="N7936" t="s">
        <v>24</v>
      </c>
      <c r="O7936" t="s">
        <v>191</v>
      </c>
      <c r="P7936" s="1" t="s">
        <v>33</v>
      </c>
      <c r="Q7936">
        <v>151.80000000000001</v>
      </c>
    </row>
    <row r="7937" spans="11:17" x14ac:dyDescent="0.3">
      <c r="K7937">
        <v>2021</v>
      </c>
      <c r="L7937" t="s">
        <v>45</v>
      </c>
      <c r="M7937" t="s">
        <v>146</v>
      </c>
      <c r="N7937" t="s">
        <v>9</v>
      </c>
      <c r="O7937" t="s">
        <v>188</v>
      </c>
      <c r="P7937" s="1" t="s">
        <v>30</v>
      </c>
      <c r="Q7937">
        <v>172.3</v>
      </c>
    </row>
    <row r="7938" spans="11:17" x14ac:dyDescent="0.3">
      <c r="K7938">
        <v>2021</v>
      </c>
      <c r="L7938" t="s">
        <v>45</v>
      </c>
      <c r="M7938" t="s">
        <v>146</v>
      </c>
      <c r="N7938" t="s">
        <v>9</v>
      </c>
      <c r="O7938" t="s">
        <v>188</v>
      </c>
      <c r="P7938" s="1" t="s">
        <v>34</v>
      </c>
      <c r="Q7938">
        <v>188.3</v>
      </c>
    </row>
    <row r="7939" spans="11:17" x14ac:dyDescent="0.3">
      <c r="K7939">
        <v>2021</v>
      </c>
      <c r="L7939" t="s">
        <v>45</v>
      </c>
      <c r="M7939" t="s">
        <v>146</v>
      </c>
      <c r="N7939" t="s">
        <v>9</v>
      </c>
      <c r="O7939" t="s">
        <v>188</v>
      </c>
      <c r="P7939" s="1" t="s">
        <v>33</v>
      </c>
      <c r="Q7939">
        <v>219.5</v>
      </c>
    </row>
    <row r="7940" spans="11:17" x14ac:dyDescent="0.3">
      <c r="K7940">
        <v>2021</v>
      </c>
      <c r="L7940" t="s">
        <v>35</v>
      </c>
      <c r="M7940" t="s">
        <v>147</v>
      </c>
      <c r="N7940" t="s">
        <v>3</v>
      </c>
      <c r="O7940" t="s">
        <v>188</v>
      </c>
      <c r="P7940" s="1" t="s">
        <v>30</v>
      </c>
      <c r="Q7940">
        <v>142.80000000000001</v>
      </c>
    </row>
    <row r="7941" spans="11:17" x14ac:dyDescent="0.3">
      <c r="K7941">
        <v>2021</v>
      </c>
      <c r="L7941" t="s">
        <v>35</v>
      </c>
      <c r="M7941" t="s">
        <v>147</v>
      </c>
      <c r="N7941" t="s">
        <v>3</v>
      </c>
      <c r="O7941" t="s">
        <v>188</v>
      </c>
      <c r="P7941" s="1" t="s">
        <v>34</v>
      </c>
      <c r="Q7941">
        <v>144.30000000000001</v>
      </c>
    </row>
    <row r="7942" spans="11:17" x14ac:dyDescent="0.3">
      <c r="K7942">
        <v>2021</v>
      </c>
      <c r="L7942" t="s">
        <v>35</v>
      </c>
      <c r="M7942" t="s">
        <v>147</v>
      </c>
      <c r="N7942" t="s">
        <v>3</v>
      </c>
      <c r="O7942" t="s">
        <v>188</v>
      </c>
      <c r="P7942" s="1" t="s">
        <v>33</v>
      </c>
      <c r="Q7942">
        <v>147.6</v>
      </c>
    </row>
    <row r="7943" spans="11:17" x14ac:dyDescent="0.3">
      <c r="K7943">
        <v>2021</v>
      </c>
      <c r="L7943" t="s">
        <v>35</v>
      </c>
      <c r="M7943" t="s">
        <v>147</v>
      </c>
      <c r="N7943" t="s">
        <v>17</v>
      </c>
      <c r="O7943" t="s">
        <v>189</v>
      </c>
      <c r="P7943" s="1" t="s">
        <v>30</v>
      </c>
      <c r="Q7943">
        <v>159.1</v>
      </c>
    </row>
    <row r="7944" spans="11:17" x14ac:dyDescent="0.3">
      <c r="K7944">
        <v>2021</v>
      </c>
      <c r="L7944" t="s">
        <v>35</v>
      </c>
      <c r="M7944" t="s">
        <v>147</v>
      </c>
      <c r="N7944" t="s">
        <v>17</v>
      </c>
      <c r="O7944" t="s">
        <v>189</v>
      </c>
      <c r="P7944" s="1" t="s">
        <v>34</v>
      </c>
      <c r="Q7944">
        <v>157.19999999999999</v>
      </c>
    </row>
    <row r="7945" spans="11:17" x14ac:dyDescent="0.3">
      <c r="K7945">
        <v>2021</v>
      </c>
      <c r="L7945" t="s">
        <v>35</v>
      </c>
      <c r="M7945" t="s">
        <v>147</v>
      </c>
      <c r="N7945" t="s">
        <v>17</v>
      </c>
      <c r="O7945" t="s">
        <v>189</v>
      </c>
      <c r="P7945" s="1" t="s">
        <v>33</v>
      </c>
      <c r="Q7945">
        <v>154.19999999999999</v>
      </c>
    </row>
    <row r="7946" spans="11:17" x14ac:dyDescent="0.3">
      <c r="K7946">
        <v>2021</v>
      </c>
      <c r="L7946" t="s">
        <v>35</v>
      </c>
      <c r="M7946" t="s">
        <v>147</v>
      </c>
      <c r="N7946" t="s">
        <v>19</v>
      </c>
      <c r="O7946" t="s">
        <v>189</v>
      </c>
      <c r="P7946" s="1" t="s">
        <v>30</v>
      </c>
      <c r="Q7946">
        <v>158.4</v>
      </c>
    </row>
    <row r="7947" spans="11:17" x14ac:dyDescent="0.3">
      <c r="K7947">
        <v>2021</v>
      </c>
      <c r="L7947" t="s">
        <v>35</v>
      </c>
      <c r="M7947" t="s">
        <v>147</v>
      </c>
      <c r="N7947" t="s">
        <v>19</v>
      </c>
      <c r="O7947" t="s">
        <v>189</v>
      </c>
      <c r="P7947" s="1" t="s">
        <v>34</v>
      </c>
      <c r="Q7947">
        <v>155.80000000000001</v>
      </c>
    </row>
    <row r="7948" spans="11:17" x14ac:dyDescent="0.3">
      <c r="K7948">
        <v>2021</v>
      </c>
      <c r="L7948" t="s">
        <v>35</v>
      </c>
      <c r="M7948" t="s">
        <v>147</v>
      </c>
      <c r="N7948" t="s">
        <v>19</v>
      </c>
      <c r="O7948" t="s">
        <v>189</v>
      </c>
      <c r="P7948" s="1" t="s">
        <v>33</v>
      </c>
      <c r="Q7948">
        <v>151.80000000000001</v>
      </c>
    </row>
    <row r="7949" spans="11:17" x14ac:dyDescent="0.3">
      <c r="K7949">
        <v>2021</v>
      </c>
      <c r="L7949" t="s">
        <v>35</v>
      </c>
      <c r="M7949" t="s">
        <v>147</v>
      </c>
      <c r="N7949" t="s">
        <v>26</v>
      </c>
      <c r="O7949" t="s">
        <v>26</v>
      </c>
      <c r="P7949" s="1" t="s">
        <v>30</v>
      </c>
      <c r="Q7949">
        <v>163.6</v>
      </c>
    </row>
    <row r="7950" spans="11:17" x14ac:dyDescent="0.3">
      <c r="K7950">
        <v>2021</v>
      </c>
      <c r="L7950" t="s">
        <v>35</v>
      </c>
      <c r="M7950" t="s">
        <v>147</v>
      </c>
      <c r="N7950" t="s">
        <v>26</v>
      </c>
      <c r="O7950" t="s">
        <v>26</v>
      </c>
      <c r="P7950" s="1" t="s">
        <v>34</v>
      </c>
      <c r="Q7950">
        <v>159.5</v>
      </c>
    </row>
    <row r="7951" spans="11:17" x14ac:dyDescent="0.3">
      <c r="K7951">
        <v>2021</v>
      </c>
      <c r="L7951" t="s">
        <v>35</v>
      </c>
      <c r="M7951" t="s">
        <v>147</v>
      </c>
      <c r="N7951" t="s">
        <v>26</v>
      </c>
      <c r="O7951" t="s">
        <v>26</v>
      </c>
      <c r="P7951" s="1" t="s">
        <v>33</v>
      </c>
      <c r="Q7951">
        <v>156.6</v>
      </c>
    </row>
    <row r="7952" spans="11:17" x14ac:dyDescent="0.3">
      <c r="K7952">
        <v>2021</v>
      </c>
      <c r="L7952" t="s">
        <v>35</v>
      </c>
      <c r="M7952" t="s">
        <v>147</v>
      </c>
      <c r="N7952" t="s">
        <v>5</v>
      </c>
      <c r="O7952" t="s">
        <v>188</v>
      </c>
      <c r="P7952" s="1" t="s">
        <v>30</v>
      </c>
      <c r="Q7952">
        <v>168</v>
      </c>
    </row>
    <row r="7953" spans="11:17" x14ac:dyDescent="0.3">
      <c r="K7953">
        <v>2021</v>
      </c>
      <c r="L7953" t="s">
        <v>35</v>
      </c>
      <c r="M7953" t="s">
        <v>147</v>
      </c>
      <c r="N7953" t="s">
        <v>5</v>
      </c>
      <c r="O7953" t="s">
        <v>188</v>
      </c>
      <c r="P7953" s="1" t="s">
        <v>34</v>
      </c>
      <c r="Q7953">
        <v>168.7</v>
      </c>
    </row>
    <row r="7954" spans="11:17" x14ac:dyDescent="0.3">
      <c r="K7954">
        <v>2021</v>
      </c>
      <c r="L7954" t="s">
        <v>35</v>
      </c>
      <c r="M7954" t="s">
        <v>147</v>
      </c>
      <c r="N7954" t="s">
        <v>5</v>
      </c>
      <c r="O7954" t="s">
        <v>188</v>
      </c>
      <c r="P7954" s="1" t="s">
        <v>33</v>
      </c>
      <c r="Q7954">
        <v>169.9</v>
      </c>
    </row>
    <row r="7955" spans="11:17" x14ac:dyDescent="0.3">
      <c r="K7955">
        <v>2021</v>
      </c>
      <c r="L7955" t="s">
        <v>35</v>
      </c>
      <c r="M7955" t="s">
        <v>147</v>
      </c>
      <c r="N7955" t="s">
        <v>15</v>
      </c>
      <c r="O7955" t="s">
        <v>188</v>
      </c>
      <c r="P7955" s="1" t="s">
        <v>30</v>
      </c>
      <c r="Q7955">
        <v>154.69999999999999</v>
      </c>
    </row>
    <row r="7956" spans="11:17" x14ac:dyDescent="0.3">
      <c r="K7956">
        <v>2021</v>
      </c>
      <c r="L7956" t="s">
        <v>35</v>
      </c>
      <c r="M7956" t="s">
        <v>147</v>
      </c>
      <c r="N7956" t="s">
        <v>15</v>
      </c>
      <c r="O7956" t="s">
        <v>188</v>
      </c>
      <c r="P7956" s="1" t="s">
        <v>34</v>
      </c>
      <c r="Q7956">
        <v>156.9</v>
      </c>
    </row>
    <row r="7957" spans="11:17" x14ac:dyDescent="0.3">
      <c r="K7957">
        <v>2021</v>
      </c>
      <c r="L7957" t="s">
        <v>35</v>
      </c>
      <c r="M7957" t="s">
        <v>147</v>
      </c>
      <c r="N7957" t="s">
        <v>15</v>
      </c>
      <c r="O7957" t="s">
        <v>188</v>
      </c>
      <c r="P7957" s="1" t="s">
        <v>33</v>
      </c>
      <c r="Q7957">
        <v>160.80000000000001</v>
      </c>
    </row>
    <row r="7958" spans="11:17" x14ac:dyDescent="0.3">
      <c r="K7958">
        <v>2021</v>
      </c>
      <c r="L7958" t="s">
        <v>35</v>
      </c>
      <c r="M7958" t="s">
        <v>147</v>
      </c>
      <c r="N7958" t="s">
        <v>18</v>
      </c>
      <c r="O7958" t="s">
        <v>189</v>
      </c>
      <c r="P7958" s="1" t="s">
        <v>30</v>
      </c>
      <c r="Q7958">
        <v>153.9</v>
      </c>
    </row>
    <row r="7959" spans="11:17" x14ac:dyDescent="0.3">
      <c r="K7959">
        <v>2021</v>
      </c>
      <c r="L7959" t="s">
        <v>35</v>
      </c>
      <c r="M7959" t="s">
        <v>147</v>
      </c>
      <c r="N7959" t="s">
        <v>18</v>
      </c>
      <c r="O7959" t="s">
        <v>189</v>
      </c>
      <c r="P7959" s="1" t="s">
        <v>34</v>
      </c>
      <c r="Q7959">
        <v>147.4</v>
      </c>
    </row>
    <row r="7960" spans="11:17" x14ac:dyDescent="0.3">
      <c r="K7960">
        <v>2021</v>
      </c>
      <c r="L7960" t="s">
        <v>35</v>
      </c>
      <c r="M7960" t="s">
        <v>147</v>
      </c>
      <c r="N7960" t="s">
        <v>18</v>
      </c>
      <c r="O7960" t="s">
        <v>189</v>
      </c>
      <c r="P7960" s="1" t="s">
        <v>33</v>
      </c>
      <c r="Q7960">
        <v>138.19999999999999</v>
      </c>
    </row>
    <row r="7961" spans="11:17" x14ac:dyDescent="0.3">
      <c r="K7961">
        <v>2021</v>
      </c>
      <c r="L7961" t="s">
        <v>35</v>
      </c>
      <c r="M7961" t="s">
        <v>147</v>
      </c>
      <c r="N7961" t="s">
        <v>8</v>
      </c>
      <c r="O7961" t="s">
        <v>188</v>
      </c>
      <c r="P7961" s="1" t="s">
        <v>30</v>
      </c>
      <c r="Q7961">
        <v>147.80000000000001</v>
      </c>
    </row>
    <row r="7962" spans="11:17" x14ac:dyDescent="0.3">
      <c r="K7962">
        <v>2021</v>
      </c>
      <c r="L7962" t="s">
        <v>35</v>
      </c>
      <c r="M7962" t="s">
        <v>147</v>
      </c>
      <c r="N7962" t="s">
        <v>8</v>
      </c>
      <c r="O7962" t="s">
        <v>188</v>
      </c>
      <c r="P7962" s="1" t="s">
        <v>34</v>
      </c>
      <c r="Q7962">
        <v>150.69999999999999</v>
      </c>
    </row>
    <row r="7963" spans="11:17" x14ac:dyDescent="0.3">
      <c r="K7963">
        <v>2021</v>
      </c>
      <c r="L7963" t="s">
        <v>35</v>
      </c>
      <c r="M7963" t="s">
        <v>147</v>
      </c>
      <c r="N7963" t="s">
        <v>8</v>
      </c>
      <c r="O7963" t="s">
        <v>188</v>
      </c>
      <c r="P7963" s="1" t="s">
        <v>33</v>
      </c>
      <c r="Q7963">
        <v>154</v>
      </c>
    </row>
    <row r="7964" spans="11:17" x14ac:dyDescent="0.3">
      <c r="K7964">
        <v>2021</v>
      </c>
      <c r="L7964" t="s">
        <v>35</v>
      </c>
      <c r="M7964" t="s">
        <v>147</v>
      </c>
      <c r="N7964" t="s">
        <v>21</v>
      </c>
      <c r="O7964" t="s">
        <v>190</v>
      </c>
      <c r="P7964" s="1" t="s">
        <v>30</v>
      </c>
      <c r="Q7964">
        <v>154.4</v>
      </c>
    </row>
    <row r="7965" spans="11:17" x14ac:dyDescent="0.3">
      <c r="K7965">
        <v>2021</v>
      </c>
      <c r="L7965" t="s">
        <v>35</v>
      </c>
      <c r="M7965" t="s">
        <v>147</v>
      </c>
      <c r="N7965" t="s">
        <v>21</v>
      </c>
      <c r="O7965" t="s">
        <v>190</v>
      </c>
      <c r="P7965" s="1" t="s">
        <v>34</v>
      </c>
      <c r="Q7965">
        <v>152.4</v>
      </c>
    </row>
    <row r="7966" spans="11:17" x14ac:dyDescent="0.3">
      <c r="K7966">
        <v>2021</v>
      </c>
      <c r="L7966" t="s">
        <v>35</v>
      </c>
      <c r="M7966" t="s">
        <v>147</v>
      </c>
      <c r="N7966" t="s">
        <v>21</v>
      </c>
      <c r="O7966" t="s">
        <v>190</v>
      </c>
      <c r="P7966" s="1" t="s">
        <v>33</v>
      </c>
      <c r="Q7966">
        <v>149.1</v>
      </c>
    </row>
    <row r="7967" spans="11:17" x14ac:dyDescent="0.3">
      <c r="K7967">
        <v>2021</v>
      </c>
      <c r="L7967" t="s">
        <v>35</v>
      </c>
      <c r="M7967" t="s">
        <v>147</v>
      </c>
      <c r="N7967" t="s">
        <v>29</v>
      </c>
      <c r="O7967" t="s">
        <v>206</v>
      </c>
      <c r="P7967" s="1" t="s">
        <v>30</v>
      </c>
      <c r="Q7967">
        <v>156.69999999999999</v>
      </c>
    </row>
    <row r="7968" spans="11:17" x14ac:dyDescent="0.3">
      <c r="K7968">
        <v>2021</v>
      </c>
      <c r="L7968" t="s">
        <v>35</v>
      </c>
      <c r="M7968" t="s">
        <v>147</v>
      </c>
      <c r="N7968" t="s">
        <v>29</v>
      </c>
      <c r="O7968" t="s">
        <v>206</v>
      </c>
      <c r="P7968" s="1" t="s">
        <v>34</v>
      </c>
      <c r="Q7968">
        <v>156.6</v>
      </c>
    </row>
    <row r="7969" spans="11:17" x14ac:dyDescent="0.3">
      <c r="K7969">
        <v>2021</v>
      </c>
      <c r="L7969" t="s">
        <v>35</v>
      </c>
      <c r="M7969" t="s">
        <v>147</v>
      </c>
      <c r="N7969" t="s">
        <v>29</v>
      </c>
      <c r="O7969" t="s">
        <v>206</v>
      </c>
      <c r="P7969" s="1" t="s">
        <v>33</v>
      </c>
      <c r="Q7969">
        <v>156.5</v>
      </c>
    </row>
    <row r="7970" spans="11:17" x14ac:dyDescent="0.3">
      <c r="K7970">
        <v>2021</v>
      </c>
      <c r="L7970" t="s">
        <v>35</v>
      </c>
      <c r="M7970" t="s">
        <v>147</v>
      </c>
      <c r="N7970" t="s">
        <v>23</v>
      </c>
      <c r="O7970" t="s">
        <v>23</v>
      </c>
      <c r="P7970" s="1" t="s">
        <v>30</v>
      </c>
      <c r="Q7970">
        <v>164.3</v>
      </c>
    </row>
    <row r="7971" spans="11:17" x14ac:dyDescent="0.3">
      <c r="K7971">
        <v>2021</v>
      </c>
      <c r="L7971" t="s">
        <v>35</v>
      </c>
      <c r="M7971" t="s">
        <v>147</v>
      </c>
      <c r="N7971" t="s">
        <v>23</v>
      </c>
      <c r="O7971" t="s">
        <v>23</v>
      </c>
      <c r="P7971" s="1" t="s">
        <v>34</v>
      </c>
      <c r="Q7971">
        <v>161.30000000000001</v>
      </c>
    </row>
    <row r="7972" spans="11:17" x14ac:dyDescent="0.3">
      <c r="K7972">
        <v>2021</v>
      </c>
      <c r="L7972" t="s">
        <v>35</v>
      </c>
      <c r="M7972" t="s">
        <v>147</v>
      </c>
      <c r="N7972" t="s">
        <v>23</v>
      </c>
      <c r="O7972" t="s">
        <v>23</v>
      </c>
      <c r="P7972" s="1" t="s">
        <v>33</v>
      </c>
      <c r="Q7972">
        <v>156.30000000000001</v>
      </c>
    </row>
    <row r="7973" spans="11:17" x14ac:dyDescent="0.3">
      <c r="K7973">
        <v>2021</v>
      </c>
      <c r="L7973" t="s">
        <v>35</v>
      </c>
      <c r="M7973" t="s">
        <v>147</v>
      </c>
      <c r="N7973" t="s">
        <v>22</v>
      </c>
      <c r="O7973" t="s">
        <v>20</v>
      </c>
      <c r="P7973" s="1" t="s">
        <v>30</v>
      </c>
      <c r="Q7973">
        <v>154.80000000000001</v>
      </c>
    </row>
    <row r="7974" spans="11:17" x14ac:dyDescent="0.3">
      <c r="K7974">
        <v>2021</v>
      </c>
      <c r="L7974" t="s">
        <v>35</v>
      </c>
      <c r="M7974" t="s">
        <v>147</v>
      </c>
      <c r="N7974" t="s">
        <v>22</v>
      </c>
      <c r="O7974" t="s">
        <v>20</v>
      </c>
      <c r="P7974" s="1" t="s">
        <v>34</v>
      </c>
      <c r="Q7974">
        <v>150.9</v>
      </c>
    </row>
    <row r="7975" spans="11:17" x14ac:dyDescent="0.3">
      <c r="K7975">
        <v>2021</v>
      </c>
      <c r="L7975" t="s">
        <v>35</v>
      </c>
      <c r="M7975" t="s">
        <v>147</v>
      </c>
      <c r="N7975" t="s">
        <v>22</v>
      </c>
      <c r="O7975" t="s">
        <v>20</v>
      </c>
      <c r="P7975" s="1" t="s">
        <v>33</v>
      </c>
      <c r="Q7975">
        <v>146.5</v>
      </c>
    </row>
    <row r="7976" spans="11:17" x14ac:dyDescent="0.3">
      <c r="K7976">
        <v>2021</v>
      </c>
      <c r="L7976" t="s">
        <v>35</v>
      </c>
      <c r="M7976" t="s">
        <v>147</v>
      </c>
      <c r="N7976" t="s">
        <v>20</v>
      </c>
      <c r="O7976" t="s">
        <v>20</v>
      </c>
      <c r="P7976" s="1" t="s">
        <v>30</v>
      </c>
      <c r="Q7976">
        <v>0</v>
      </c>
    </row>
    <row r="7977" spans="11:17" x14ac:dyDescent="0.3">
      <c r="K7977">
        <v>2021</v>
      </c>
      <c r="L7977" t="s">
        <v>35</v>
      </c>
      <c r="M7977" t="s">
        <v>147</v>
      </c>
      <c r="N7977" t="s">
        <v>20</v>
      </c>
      <c r="O7977" t="s">
        <v>20</v>
      </c>
      <c r="P7977" s="1" t="s">
        <v>34</v>
      </c>
      <c r="Q7977">
        <v>159.80000000000001</v>
      </c>
    </row>
    <row r="7978" spans="11:17" x14ac:dyDescent="0.3">
      <c r="K7978">
        <v>2021</v>
      </c>
      <c r="L7978" t="s">
        <v>35</v>
      </c>
      <c r="M7978" t="s">
        <v>147</v>
      </c>
      <c r="N7978" t="s">
        <v>20</v>
      </c>
      <c r="O7978" t="s">
        <v>20</v>
      </c>
      <c r="P7978" s="1" t="s">
        <v>33</v>
      </c>
      <c r="Q7978">
        <v>159.80000000000001</v>
      </c>
    </row>
    <row r="7979" spans="11:17" x14ac:dyDescent="0.3">
      <c r="K7979">
        <v>2021</v>
      </c>
      <c r="L7979" t="s">
        <v>35</v>
      </c>
      <c r="M7979" t="s">
        <v>147</v>
      </c>
      <c r="N7979" t="s">
        <v>4</v>
      </c>
      <c r="O7979" t="s">
        <v>188</v>
      </c>
      <c r="P7979" s="1" t="s">
        <v>30</v>
      </c>
      <c r="Q7979">
        <v>184</v>
      </c>
    </row>
    <row r="7980" spans="11:17" x14ac:dyDescent="0.3">
      <c r="K7980">
        <v>2021</v>
      </c>
      <c r="L7980" t="s">
        <v>35</v>
      </c>
      <c r="M7980" t="s">
        <v>147</v>
      </c>
      <c r="N7980" t="s">
        <v>4</v>
      </c>
      <c r="O7980" t="s">
        <v>188</v>
      </c>
      <c r="P7980" s="1" t="s">
        <v>34</v>
      </c>
      <c r="Q7980">
        <v>186.5</v>
      </c>
    </row>
    <row r="7981" spans="11:17" x14ac:dyDescent="0.3">
      <c r="K7981">
        <v>2021</v>
      </c>
      <c r="L7981" t="s">
        <v>35</v>
      </c>
      <c r="M7981" t="s">
        <v>147</v>
      </c>
      <c r="N7981" t="s">
        <v>4</v>
      </c>
      <c r="O7981" t="s">
        <v>188</v>
      </c>
      <c r="P7981" s="1" t="s">
        <v>33</v>
      </c>
      <c r="Q7981">
        <v>191.2</v>
      </c>
    </row>
    <row r="7982" spans="11:17" x14ac:dyDescent="0.3">
      <c r="K7982">
        <v>2021</v>
      </c>
      <c r="L7982" t="s">
        <v>35</v>
      </c>
      <c r="M7982" t="s">
        <v>147</v>
      </c>
      <c r="N7982" t="s">
        <v>6</v>
      </c>
      <c r="O7982" t="s">
        <v>188</v>
      </c>
      <c r="P7982" s="1" t="s">
        <v>30</v>
      </c>
      <c r="Q7982">
        <v>154.4</v>
      </c>
    </row>
    <row r="7983" spans="11:17" x14ac:dyDescent="0.3">
      <c r="K7983">
        <v>2021</v>
      </c>
      <c r="L7983" t="s">
        <v>35</v>
      </c>
      <c r="M7983" t="s">
        <v>147</v>
      </c>
      <c r="N7983" t="s">
        <v>6</v>
      </c>
      <c r="O7983" t="s">
        <v>188</v>
      </c>
      <c r="P7983" s="1" t="s">
        <v>34</v>
      </c>
      <c r="Q7983">
        <v>154.69999999999999</v>
      </c>
    </row>
    <row r="7984" spans="11:17" x14ac:dyDescent="0.3">
      <c r="K7984">
        <v>2021</v>
      </c>
      <c r="L7984" t="s">
        <v>35</v>
      </c>
      <c r="M7984" t="s">
        <v>147</v>
      </c>
      <c r="N7984" t="s">
        <v>6</v>
      </c>
      <c r="O7984" t="s">
        <v>188</v>
      </c>
      <c r="P7984" s="1" t="s">
        <v>33</v>
      </c>
      <c r="Q7984">
        <v>155.1</v>
      </c>
    </row>
    <row r="7985" spans="11:17" x14ac:dyDescent="0.3">
      <c r="K7985">
        <v>2021</v>
      </c>
      <c r="L7985" t="s">
        <v>35</v>
      </c>
      <c r="M7985" t="s">
        <v>147</v>
      </c>
      <c r="N7985" t="s">
        <v>28</v>
      </c>
      <c r="O7985" t="s">
        <v>192</v>
      </c>
      <c r="P7985" s="1" t="s">
        <v>30</v>
      </c>
      <c r="Q7985">
        <v>157.19999999999999</v>
      </c>
    </row>
    <row r="7986" spans="11:17" x14ac:dyDescent="0.3">
      <c r="K7986">
        <v>2021</v>
      </c>
      <c r="L7986" t="s">
        <v>35</v>
      </c>
      <c r="M7986" t="s">
        <v>147</v>
      </c>
      <c r="N7986" t="s">
        <v>28</v>
      </c>
      <c r="O7986" t="s">
        <v>192</v>
      </c>
      <c r="P7986" s="1" t="s">
        <v>34</v>
      </c>
      <c r="Q7986">
        <v>153.4</v>
      </c>
    </row>
    <row r="7987" spans="11:17" x14ac:dyDescent="0.3">
      <c r="K7987">
        <v>2021</v>
      </c>
      <c r="L7987" t="s">
        <v>35</v>
      </c>
      <c r="M7987" t="s">
        <v>147</v>
      </c>
      <c r="N7987" t="s">
        <v>28</v>
      </c>
      <c r="O7987" t="s">
        <v>192</v>
      </c>
      <c r="P7987" s="1" t="s">
        <v>33</v>
      </c>
      <c r="Q7987">
        <v>149.30000000000001</v>
      </c>
    </row>
    <row r="7988" spans="11:17" x14ac:dyDescent="0.3">
      <c r="K7988">
        <v>2021</v>
      </c>
      <c r="L7988" t="s">
        <v>35</v>
      </c>
      <c r="M7988" t="s">
        <v>147</v>
      </c>
      <c r="N7988" t="s">
        <v>13</v>
      </c>
      <c r="O7988" t="s">
        <v>188</v>
      </c>
      <c r="P7988" s="1" t="s">
        <v>30</v>
      </c>
      <c r="Q7988">
        <v>160</v>
      </c>
    </row>
    <row r="7989" spans="11:17" x14ac:dyDescent="0.3">
      <c r="K7989">
        <v>2021</v>
      </c>
      <c r="L7989" t="s">
        <v>35</v>
      </c>
      <c r="M7989" t="s">
        <v>147</v>
      </c>
      <c r="N7989" t="s">
        <v>13</v>
      </c>
      <c r="O7989" t="s">
        <v>188</v>
      </c>
      <c r="P7989" s="1" t="s">
        <v>34</v>
      </c>
      <c r="Q7989">
        <v>155.5</v>
      </c>
    </row>
    <row r="7990" spans="11:17" x14ac:dyDescent="0.3">
      <c r="K7990">
        <v>2021</v>
      </c>
      <c r="L7990" t="s">
        <v>35</v>
      </c>
      <c r="M7990" t="s">
        <v>147</v>
      </c>
      <c r="N7990" t="s">
        <v>13</v>
      </c>
      <c r="O7990" t="s">
        <v>188</v>
      </c>
      <c r="P7990" s="1" t="s">
        <v>33</v>
      </c>
      <c r="Q7990">
        <v>149.19999999999999</v>
      </c>
    </row>
    <row r="7991" spans="11:17" x14ac:dyDescent="0.3">
      <c r="K7991">
        <v>2021</v>
      </c>
      <c r="L7991" t="s">
        <v>35</v>
      </c>
      <c r="M7991" t="s">
        <v>147</v>
      </c>
      <c r="N7991" t="s">
        <v>7</v>
      </c>
      <c r="O7991" t="s">
        <v>188</v>
      </c>
      <c r="P7991" s="1" t="s">
        <v>30</v>
      </c>
      <c r="Q7991">
        <v>163</v>
      </c>
    </row>
    <row r="7992" spans="11:17" x14ac:dyDescent="0.3">
      <c r="K7992">
        <v>2021</v>
      </c>
      <c r="L7992" t="s">
        <v>35</v>
      </c>
      <c r="M7992" t="s">
        <v>147</v>
      </c>
      <c r="N7992" t="s">
        <v>7</v>
      </c>
      <c r="O7992" t="s">
        <v>188</v>
      </c>
      <c r="P7992" s="1" t="s">
        <v>34</v>
      </c>
      <c r="Q7992">
        <v>158.69999999999999</v>
      </c>
    </row>
    <row r="7993" spans="11:17" x14ac:dyDescent="0.3">
      <c r="K7993">
        <v>2021</v>
      </c>
      <c r="L7993" t="s">
        <v>35</v>
      </c>
      <c r="M7993" t="s">
        <v>147</v>
      </c>
      <c r="N7993" t="s">
        <v>7</v>
      </c>
      <c r="O7993" t="s">
        <v>188</v>
      </c>
      <c r="P7993" s="1" t="s">
        <v>33</v>
      </c>
      <c r="Q7993">
        <v>151.4</v>
      </c>
    </row>
    <row r="7994" spans="11:17" x14ac:dyDescent="0.3">
      <c r="K7994">
        <v>2021</v>
      </c>
      <c r="L7994" t="s">
        <v>35</v>
      </c>
      <c r="M7994" t="s">
        <v>147</v>
      </c>
      <c r="N7994" t="s">
        <v>16</v>
      </c>
      <c r="O7994" t="s">
        <v>192</v>
      </c>
      <c r="P7994" s="1" t="s">
        <v>30</v>
      </c>
      <c r="Q7994">
        <v>186.5</v>
      </c>
    </row>
    <row r="7995" spans="11:17" x14ac:dyDescent="0.3">
      <c r="K7995">
        <v>2021</v>
      </c>
      <c r="L7995" t="s">
        <v>35</v>
      </c>
      <c r="M7995" t="s">
        <v>147</v>
      </c>
      <c r="N7995" t="s">
        <v>16</v>
      </c>
      <c r="O7995" t="s">
        <v>192</v>
      </c>
      <c r="P7995" s="1" t="s">
        <v>34</v>
      </c>
      <c r="Q7995">
        <v>188.3</v>
      </c>
    </row>
    <row r="7996" spans="11:17" x14ac:dyDescent="0.3">
      <c r="K7996">
        <v>2021</v>
      </c>
      <c r="L7996" t="s">
        <v>35</v>
      </c>
      <c r="M7996" t="s">
        <v>147</v>
      </c>
      <c r="N7996" t="s">
        <v>16</v>
      </c>
      <c r="O7996" t="s">
        <v>192</v>
      </c>
      <c r="P7996" s="1" t="s">
        <v>33</v>
      </c>
      <c r="Q7996">
        <v>193.3</v>
      </c>
    </row>
    <row r="7997" spans="11:17" x14ac:dyDescent="0.3">
      <c r="K7997">
        <v>2021</v>
      </c>
      <c r="L7997" t="s">
        <v>35</v>
      </c>
      <c r="M7997" t="s">
        <v>147</v>
      </c>
      <c r="N7997" t="s">
        <v>27</v>
      </c>
      <c r="O7997" t="s">
        <v>192</v>
      </c>
      <c r="P7997" s="1" t="s">
        <v>30</v>
      </c>
      <c r="Q7997">
        <v>155.19999999999999</v>
      </c>
    </row>
    <row r="7998" spans="11:17" x14ac:dyDescent="0.3">
      <c r="K7998">
        <v>2021</v>
      </c>
      <c r="L7998" t="s">
        <v>35</v>
      </c>
      <c r="M7998" t="s">
        <v>147</v>
      </c>
      <c r="N7998" t="s">
        <v>27</v>
      </c>
      <c r="O7998" t="s">
        <v>192</v>
      </c>
      <c r="P7998" s="1" t="s">
        <v>34</v>
      </c>
      <c r="Q7998">
        <v>155.80000000000001</v>
      </c>
    </row>
    <row r="7999" spans="11:17" x14ac:dyDescent="0.3">
      <c r="K7999">
        <v>2021</v>
      </c>
      <c r="L7999" t="s">
        <v>35</v>
      </c>
      <c r="M7999" t="s">
        <v>147</v>
      </c>
      <c r="N7999" t="s">
        <v>27</v>
      </c>
      <c r="O7999" t="s">
        <v>192</v>
      </c>
      <c r="P7999" s="1" t="s">
        <v>33</v>
      </c>
      <c r="Q7999">
        <v>156.69999999999999</v>
      </c>
    </row>
    <row r="8000" spans="11:17" x14ac:dyDescent="0.3">
      <c r="K8000">
        <v>2021</v>
      </c>
      <c r="L8000" t="s">
        <v>35</v>
      </c>
      <c r="M8000" t="s">
        <v>147</v>
      </c>
      <c r="N8000" t="s">
        <v>14</v>
      </c>
      <c r="O8000" t="s">
        <v>188</v>
      </c>
      <c r="P8000" s="1" t="s">
        <v>30</v>
      </c>
      <c r="Q8000">
        <v>165.8</v>
      </c>
    </row>
    <row r="8001" spans="11:17" x14ac:dyDescent="0.3">
      <c r="K8001">
        <v>2021</v>
      </c>
      <c r="L8001" t="s">
        <v>35</v>
      </c>
      <c r="M8001" t="s">
        <v>147</v>
      </c>
      <c r="N8001" t="s">
        <v>14</v>
      </c>
      <c r="O8001" t="s">
        <v>188</v>
      </c>
      <c r="P8001" s="1" t="s">
        <v>34</v>
      </c>
      <c r="Q8001">
        <v>167.5</v>
      </c>
    </row>
    <row r="8002" spans="11:17" x14ac:dyDescent="0.3">
      <c r="K8002">
        <v>2021</v>
      </c>
      <c r="L8002" t="s">
        <v>35</v>
      </c>
      <c r="M8002" t="s">
        <v>147</v>
      </c>
      <c r="N8002" t="s">
        <v>14</v>
      </c>
      <c r="O8002" t="s">
        <v>188</v>
      </c>
      <c r="P8002" s="1" t="s">
        <v>33</v>
      </c>
      <c r="Q8002">
        <v>169.4</v>
      </c>
    </row>
    <row r="8003" spans="11:17" x14ac:dyDescent="0.3">
      <c r="K8003">
        <v>2021</v>
      </c>
      <c r="L8003" t="s">
        <v>35</v>
      </c>
      <c r="M8003" t="s">
        <v>147</v>
      </c>
      <c r="N8003" t="s">
        <v>10</v>
      </c>
      <c r="O8003" t="s">
        <v>188</v>
      </c>
      <c r="P8003" s="1" t="s">
        <v>30</v>
      </c>
      <c r="Q8003">
        <v>158.30000000000001</v>
      </c>
    </row>
    <row r="8004" spans="11:17" x14ac:dyDescent="0.3">
      <c r="K8004">
        <v>2021</v>
      </c>
      <c r="L8004" t="s">
        <v>35</v>
      </c>
      <c r="M8004" t="s">
        <v>147</v>
      </c>
      <c r="N8004" t="s">
        <v>10</v>
      </c>
      <c r="O8004" t="s">
        <v>188</v>
      </c>
      <c r="P8004" s="1" t="s">
        <v>34</v>
      </c>
      <c r="Q8004">
        <v>158.80000000000001</v>
      </c>
    </row>
    <row r="8005" spans="11:17" x14ac:dyDescent="0.3">
      <c r="K8005">
        <v>2021</v>
      </c>
      <c r="L8005" t="s">
        <v>35</v>
      </c>
      <c r="M8005" t="s">
        <v>147</v>
      </c>
      <c r="N8005" t="s">
        <v>10</v>
      </c>
      <c r="O8005" t="s">
        <v>188</v>
      </c>
      <c r="P8005" s="1" t="s">
        <v>33</v>
      </c>
      <c r="Q8005">
        <v>159.80000000000001</v>
      </c>
    </row>
    <row r="8006" spans="11:17" x14ac:dyDescent="0.3">
      <c r="K8006">
        <v>2021</v>
      </c>
      <c r="L8006" t="s">
        <v>35</v>
      </c>
      <c r="M8006" t="s">
        <v>147</v>
      </c>
      <c r="N8006" t="s">
        <v>25</v>
      </c>
      <c r="O8006" t="s">
        <v>195</v>
      </c>
      <c r="P8006" s="1" t="s">
        <v>30</v>
      </c>
      <c r="Q8006">
        <v>157</v>
      </c>
    </row>
    <row r="8007" spans="11:17" x14ac:dyDescent="0.3">
      <c r="K8007">
        <v>2021</v>
      </c>
      <c r="L8007" t="s">
        <v>35</v>
      </c>
      <c r="M8007" t="s">
        <v>147</v>
      </c>
      <c r="N8007" t="s">
        <v>25</v>
      </c>
      <c r="O8007" t="s">
        <v>195</v>
      </c>
      <c r="P8007" s="1" t="s">
        <v>34</v>
      </c>
      <c r="Q8007">
        <v>151.5</v>
      </c>
    </row>
    <row r="8008" spans="11:17" x14ac:dyDescent="0.3">
      <c r="K8008">
        <v>2021</v>
      </c>
      <c r="L8008" t="s">
        <v>35</v>
      </c>
      <c r="M8008" t="s">
        <v>147</v>
      </c>
      <c r="N8008" t="s">
        <v>25</v>
      </c>
      <c r="O8008" t="s">
        <v>195</v>
      </c>
      <c r="P8008" s="1" t="s">
        <v>33</v>
      </c>
      <c r="Q8008">
        <v>147.30000000000001</v>
      </c>
    </row>
    <row r="8009" spans="11:17" x14ac:dyDescent="0.3">
      <c r="K8009">
        <v>2021</v>
      </c>
      <c r="L8009" t="s">
        <v>35</v>
      </c>
      <c r="M8009" t="s">
        <v>147</v>
      </c>
      <c r="N8009" t="s">
        <v>12</v>
      </c>
      <c r="O8009" t="s">
        <v>188</v>
      </c>
      <c r="P8009" s="1" t="s">
        <v>30</v>
      </c>
      <c r="Q8009">
        <v>165</v>
      </c>
    </row>
    <row r="8010" spans="11:17" x14ac:dyDescent="0.3">
      <c r="K8010">
        <v>2021</v>
      </c>
      <c r="L8010" t="s">
        <v>35</v>
      </c>
      <c r="M8010" t="s">
        <v>147</v>
      </c>
      <c r="N8010" t="s">
        <v>12</v>
      </c>
      <c r="O8010" t="s">
        <v>188</v>
      </c>
      <c r="P8010" s="1" t="s">
        <v>34</v>
      </c>
      <c r="Q8010">
        <v>164.2</v>
      </c>
    </row>
    <row r="8011" spans="11:17" x14ac:dyDescent="0.3">
      <c r="K8011">
        <v>2021</v>
      </c>
      <c r="L8011" t="s">
        <v>35</v>
      </c>
      <c r="M8011" t="s">
        <v>147</v>
      </c>
      <c r="N8011" t="s">
        <v>12</v>
      </c>
      <c r="O8011" t="s">
        <v>188</v>
      </c>
      <c r="P8011" s="1" t="s">
        <v>33</v>
      </c>
      <c r="Q8011">
        <v>162.5</v>
      </c>
    </row>
    <row r="8012" spans="11:17" x14ac:dyDescent="0.3">
      <c r="K8012">
        <v>2021</v>
      </c>
      <c r="L8012" t="s">
        <v>35</v>
      </c>
      <c r="M8012" t="s">
        <v>147</v>
      </c>
      <c r="N8012" t="s">
        <v>11</v>
      </c>
      <c r="O8012" t="s">
        <v>188</v>
      </c>
      <c r="P8012" s="1" t="s">
        <v>30</v>
      </c>
      <c r="Q8012">
        <v>111.8</v>
      </c>
    </row>
    <row r="8013" spans="11:17" x14ac:dyDescent="0.3">
      <c r="K8013">
        <v>2021</v>
      </c>
      <c r="L8013" t="s">
        <v>35</v>
      </c>
      <c r="M8013" t="s">
        <v>147</v>
      </c>
      <c r="N8013" t="s">
        <v>11</v>
      </c>
      <c r="O8013" t="s">
        <v>188</v>
      </c>
      <c r="P8013" s="1" t="s">
        <v>34</v>
      </c>
      <c r="Q8013">
        <v>112.8</v>
      </c>
    </row>
    <row r="8014" spans="11:17" x14ac:dyDescent="0.3">
      <c r="K8014">
        <v>2021</v>
      </c>
      <c r="L8014" t="s">
        <v>35</v>
      </c>
      <c r="M8014" t="s">
        <v>147</v>
      </c>
      <c r="N8014" t="s">
        <v>11</v>
      </c>
      <c r="O8014" t="s">
        <v>188</v>
      </c>
      <c r="P8014" s="1" t="s">
        <v>33</v>
      </c>
      <c r="Q8014">
        <v>114.9</v>
      </c>
    </row>
    <row r="8015" spans="11:17" x14ac:dyDescent="0.3">
      <c r="K8015">
        <v>2021</v>
      </c>
      <c r="L8015" t="s">
        <v>35</v>
      </c>
      <c r="M8015" t="s">
        <v>147</v>
      </c>
      <c r="N8015" t="s">
        <v>24</v>
      </c>
      <c r="O8015" t="s">
        <v>191</v>
      </c>
      <c r="P8015" s="1" t="s">
        <v>30</v>
      </c>
      <c r="Q8015">
        <v>150.19999999999999</v>
      </c>
    </row>
    <row r="8016" spans="11:17" x14ac:dyDescent="0.3">
      <c r="K8016">
        <v>2021</v>
      </c>
      <c r="L8016" t="s">
        <v>35</v>
      </c>
      <c r="M8016" t="s">
        <v>147</v>
      </c>
      <c r="N8016" t="s">
        <v>24</v>
      </c>
      <c r="O8016" t="s">
        <v>191</v>
      </c>
      <c r="P8016" s="1" t="s">
        <v>34</v>
      </c>
      <c r="Q8016">
        <v>145.1</v>
      </c>
    </row>
    <row r="8017" spans="11:17" x14ac:dyDescent="0.3">
      <c r="K8017">
        <v>2021</v>
      </c>
      <c r="L8017" t="s">
        <v>35</v>
      </c>
      <c r="M8017" t="s">
        <v>147</v>
      </c>
      <c r="N8017" t="s">
        <v>24</v>
      </c>
      <c r="O8017" t="s">
        <v>191</v>
      </c>
      <c r="P8017" s="1" t="s">
        <v>33</v>
      </c>
      <c r="Q8017">
        <v>140.5</v>
      </c>
    </row>
    <row r="8018" spans="11:17" x14ac:dyDescent="0.3">
      <c r="K8018">
        <v>2021</v>
      </c>
      <c r="L8018" t="s">
        <v>35</v>
      </c>
      <c r="M8018" t="s">
        <v>147</v>
      </c>
      <c r="N8018" t="s">
        <v>9</v>
      </c>
      <c r="O8018" t="s">
        <v>188</v>
      </c>
      <c r="P8018" s="1" t="s">
        <v>30</v>
      </c>
      <c r="Q8018">
        <v>149.69999999999999</v>
      </c>
    </row>
    <row r="8019" spans="11:17" x14ac:dyDescent="0.3">
      <c r="K8019">
        <v>2021</v>
      </c>
      <c r="L8019" t="s">
        <v>35</v>
      </c>
      <c r="M8019" t="s">
        <v>147</v>
      </c>
      <c r="N8019" t="s">
        <v>9</v>
      </c>
      <c r="O8019" t="s">
        <v>188</v>
      </c>
      <c r="P8019" s="1" t="s">
        <v>34</v>
      </c>
      <c r="Q8019">
        <v>160</v>
      </c>
    </row>
    <row r="8020" spans="11:17" x14ac:dyDescent="0.3">
      <c r="K8020">
        <v>2021</v>
      </c>
      <c r="L8020" t="s">
        <v>35</v>
      </c>
      <c r="M8020" t="s">
        <v>147</v>
      </c>
      <c r="N8020" t="s">
        <v>9</v>
      </c>
      <c r="O8020" t="s">
        <v>188</v>
      </c>
      <c r="P8020" s="1" t="s">
        <v>33</v>
      </c>
      <c r="Q8020">
        <v>180.2</v>
      </c>
    </row>
    <row r="8021" spans="11:17" x14ac:dyDescent="0.3">
      <c r="K8021">
        <v>2021</v>
      </c>
      <c r="L8021" t="s">
        <v>31</v>
      </c>
      <c r="M8021" t="s">
        <v>148</v>
      </c>
      <c r="N8021" t="s">
        <v>3</v>
      </c>
      <c r="O8021" t="s">
        <v>188</v>
      </c>
      <c r="P8021" s="1" t="s">
        <v>30</v>
      </c>
      <c r="Q8021">
        <v>143.4</v>
      </c>
    </row>
    <row r="8022" spans="11:17" x14ac:dyDescent="0.3">
      <c r="K8022">
        <v>2021</v>
      </c>
      <c r="L8022" t="s">
        <v>31</v>
      </c>
      <c r="M8022" t="s">
        <v>148</v>
      </c>
      <c r="N8022" t="s">
        <v>3</v>
      </c>
      <c r="O8022" t="s">
        <v>188</v>
      </c>
      <c r="P8022" s="1" t="s">
        <v>34</v>
      </c>
      <c r="Q8022">
        <v>144.9</v>
      </c>
    </row>
    <row r="8023" spans="11:17" x14ac:dyDescent="0.3">
      <c r="K8023">
        <v>2021</v>
      </c>
      <c r="L8023" t="s">
        <v>31</v>
      </c>
      <c r="M8023" t="s">
        <v>148</v>
      </c>
      <c r="N8023" t="s">
        <v>3</v>
      </c>
      <c r="O8023" t="s">
        <v>188</v>
      </c>
      <c r="P8023" s="1" t="s">
        <v>33</v>
      </c>
      <c r="Q8023">
        <v>148</v>
      </c>
    </row>
    <row r="8024" spans="11:17" x14ac:dyDescent="0.3">
      <c r="K8024">
        <v>2021</v>
      </c>
      <c r="L8024" t="s">
        <v>31</v>
      </c>
      <c r="M8024" t="s">
        <v>148</v>
      </c>
      <c r="N8024" t="s">
        <v>17</v>
      </c>
      <c r="O8024" t="s">
        <v>189</v>
      </c>
      <c r="P8024" s="1" t="s">
        <v>30</v>
      </c>
      <c r="Q8024">
        <v>157.5</v>
      </c>
    </row>
    <row r="8025" spans="11:17" x14ac:dyDescent="0.3">
      <c r="K8025">
        <v>2021</v>
      </c>
      <c r="L8025" t="s">
        <v>31</v>
      </c>
      <c r="M8025" t="s">
        <v>148</v>
      </c>
      <c r="N8025" t="s">
        <v>17</v>
      </c>
      <c r="O8025" t="s">
        <v>189</v>
      </c>
      <c r="P8025" s="1" t="s">
        <v>34</v>
      </c>
      <c r="Q8025">
        <v>155.5</v>
      </c>
    </row>
    <row r="8026" spans="11:17" x14ac:dyDescent="0.3">
      <c r="K8026">
        <v>2021</v>
      </c>
      <c r="L8026" t="s">
        <v>31</v>
      </c>
      <c r="M8026" t="s">
        <v>148</v>
      </c>
      <c r="N8026" t="s">
        <v>17</v>
      </c>
      <c r="O8026" t="s">
        <v>189</v>
      </c>
      <c r="P8026" s="1" t="s">
        <v>33</v>
      </c>
      <c r="Q8026">
        <v>152.5</v>
      </c>
    </row>
    <row r="8027" spans="11:17" x14ac:dyDescent="0.3">
      <c r="K8027">
        <v>2021</v>
      </c>
      <c r="L8027" t="s">
        <v>31</v>
      </c>
      <c r="M8027" t="s">
        <v>148</v>
      </c>
      <c r="N8027" t="s">
        <v>19</v>
      </c>
      <c r="O8027" t="s">
        <v>189</v>
      </c>
      <c r="P8027" s="1" t="s">
        <v>30</v>
      </c>
      <c r="Q8027">
        <v>156.80000000000001</v>
      </c>
    </row>
    <row r="8028" spans="11:17" x14ac:dyDescent="0.3">
      <c r="K8028">
        <v>2021</v>
      </c>
      <c r="L8028" t="s">
        <v>31</v>
      </c>
      <c r="M8028" t="s">
        <v>148</v>
      </c>
      <c r="N8028" t="s">
        <v>19</v>
      </c>
      <c r="O8028" t="s">
        <v>189</v>
      </c>
      <c r="P8028" s="1" t="s">
        <v>34</v>
      </c>
      <c r="Q8028">
        <v>154.19999999999999</v>
      </c>
    </row>
    <row r="8029" spans="11:17" x14ac:dyDescent="0.3">
      <c r="K8029">
        <v>2021</v>
      </c>
      <c r="L8029" t="s">
        <v>31</v>
      </c>
      <c r="M8029" t="s">
        <v>148</v>
      </c>
      <c r="N8029" t="s">
        <v>19</v>
      </c>
      <c r="O8029" t="s">
        <v>189</v>
      </c>
      <c r="P8029" s="1" t="s">
        <v>33</v>
      </c>
      <c r="Q8029">
        <v>150.19999999999999</v>
      </c>
    </row>
    <row r="8030" spans="11:17" x14ac:dyDescent="0.3">
      <c r="K8030">
        <v>2021</v>
      </c>
      <c r="L8030" t="s">
        <v>31</v>
      </c>
      <c r="M8030" t="s">
        <v>148</v>
      </c>
      <c r="N8030" t="s">
        <v>26</v>
      </c>
      <c r="O8030" t="s">
        <v>26</v>
      </c>
      <c r="P8030" s="1" t="s">
        <v>30</v>
      </c>
      <c r="Q8030">
        <v>163.5</v>
      </c>
    </row>
    <row r="8031" spans="11:17" x14ac:dyDescent="0.3">
      <c r="K8031">
        <v>2021</v>
      </c>
      <c r="L8031" t="s">
        <v>31</v>
      </c>
      <c r="M8031" t="s">
        <v>148</v>
      </c>
      <c r="N8031" t="s">
        <v>26</v>
      </c>
      <c r="O8031" t="s">
        <v>26</v>
      </c>
      <c r="P8031" s="1" t="s">
        <v>34</v>
      </c>
      <c r="Q8031">
        <v>159.19999999999999</v>
      </c>
    </row>
    <row r="8032" spans="11:17" x14ac:dyDescent="0.3">
      <c r="K8032">
        <v>2021</v>
      </c>
      <c r="L8032" t="s">
        <v>31</v>
      </c>
      <c r="M8032" t="s">
        <v>148</v>
      </c>
      <c r="N8032" t="s">
        <v>26</v>
      </c>
      <c r="O8032" t="s">
        <v>26</v>
      </c>
      <c r="P8032" s="1" t="s">
        <v>33</v>
      </c>
      <c r="Q8032">
        <v>156.1</v>
      </c>
    </row>
    <row r="8033" spans="11:17" x14ac:dyDescent="0.3">
      <c r="K8033">
        <v>2021</v>
      </c>
      <c r="L8033" t="s">
        <v>31</v>
      </c>
      <c r="M8033" t="s">
        <v>148</v>
      </c>
      <c r="N8033" t="s">
        <v>5</v>
      </c>
      <c r="O8033" t="s">
        <v>188</v>
      </c>
      <c r="P8033" s="1" t="s">
        <v>30</v>
      </c>
      <c r="Q8033">
        <v>173.4</v>
      </c>
    </row>
    <row r="8034" spans="11:17" x14ac:dyDescent="0.3">
      <c r="K8034">
        <v>2021</v>
      </c>
      <c r="L8034" t="s">
        <v>31</v>
      </c>
      <c r="M8034" t="s">
        <v>148</v>
      </c>
      <c r="N8034" t="s">
        <v>5</v>
      </c>
      <c r="O8034" t="s">
        <v>188</v>
      </c>
      <c r="P8034" s="1" t="s">
        <v>34</v>
      </c>
      <c r="Q8034">
        <v>175.3</v>
      </c>
    </row>
    <row r="8035" spans="11:17" x14ac:dyDescent="0.3">
      <c r="K8035">
        <v>2021</v>
      </c>
      <c r="L8035" t="s">
        <v>31</v>
      </c>
      <c r="M8035" t="s">
        <v>148</v>
      </c>
      <c r="N8035" t="s">
        <v>5</v>
      </c>
      <c r="O8035" t="s">
        <v>188</v>
      </c>
      <c r="P8035" s="1" t="s">
        <v>33</v>
      </c>
      <c r="Q8035">
        <v>178.4</v>
      </c>
    </row>
    <row r="8036" spans="11:17" x14ac:dyDescent="0.3">
      <c r="K8036">
        <v>2021</v>
      </c>
      <c r="L8036" t="s">
        <v>31</v>
      </c>
      <c r="M8036" t="s">
        <v>148</v>
      </c>
      <c r="N8036" t="s">
        <v>15</v>
      </c>
      <c r="O8036" t="s">
        <v>188</v>
      </c>
      <c r="P8036" s="1" t="s">
        <v>30</v>
      </c>
      <c r="Q8036">
        <v>159.6</v>
      </c>
    </row>
    <row r="8037" spans="11:17" x14ac:dyDescent="0.3">
      <c r="K8037">
        <v>2021</v>
      </c>
      <c r="L8037" t="s">
        <v>31</v>
      </c>
      <c r="M8037" t="s">
        <v>148</v>
      </c>
      <c r="N8037" t="s">
        <v>15</v>
      </c>
      <c r="O8037" t="s">
        <v>188</v>
      </c>
      <c r="P8037" s="1" t="s">
        <v>34</v>
      </c>
      <c r="Q8037">
        <v>161</v>
      </c>
    </row>
    <row r="8038" spans="11:17" x14ac:dyDescent="0.3">
      <c r="K8038">
        <v>2021</v>
      </c>
      <c r="L8038" t="s">
        <v>31</v>
      </c>
      <c r="M8038" t="s">
        <v>148</v>
      </c>
      <c r="N8038" t="s">
        <v>15</v>
      </c>
      <c r="O8038" t="s">
        <v>188</v>
      </c>
      <c r="P8038" s="1" t="s">
        <v>33</v>
      </c>
      <c r="Q8038">
        <v>163.4</v>
      </c>
    </row>
    <row r="8039" spans="11:17" x14ac:dyDescent="0.3">
      <c r="K8039">
        <v>2021</v>
      </c>
      <c r="L8039" t="s">
        <v>31</v>
      </c>
      <c r="M8039" t="s">
        <v>148</v>
      </c>
      <c r="N8039" t="s">
        <v>18</v>
      </c>
      <c r="O8039" t="s">
        <v>189</v>
      </c>
      <c r="P8039" s="1" t="s">
        <v>30</v>
      </c>
      <c r="Q8039">
        <v>152.4</v>
      </c>
    </row>
    <row r="8040" spans="11:17" x14ac:dyDescent="0.3">
      <c r="K8040">
        <v>2021</v>
      </c>
      <c r="L8040" t="s">
        <v>31</v>
      </c>
      <c r="M8040" t="s">
        <v>148</v>
      </c>
      <c r="N8040" t="s">
        <v>18</v>
      </c>
      <c r="O8040" t="s">
        <v>189</v>
      </c>
      <c r="P8040" s="1" t="s">
        <v>34</v>
      </c>
      <c r="Q8040">
        <v>146.1</v>
      </c>
    </row>
    <row r="8041" spans="11:17" x14ac:dyDescent="0.3">
      <c r="K8041">
        <v>2021</v>
      </c>
      <c r="L8041" t="s">
        <v>31</v>
      </c>
      <c r="M8041" t="s">
        <v>148</v>
      </c>
      <c r="N8041" t="s">
        <v>18</v>
      </c>
      <c r="O8041" t="s">
        <v>189</v>
      </c>
      <c r="P8041" s="1" t="s">
        <v>33</v>
      </c>
      <c r="Q8041">
        <v>137.30000000000001</v>
      </c>
    </row>
    <row r="8042" spans="11:17" x14ac:dyDescent="0.3">
      <c r="K8042">
        <v>2021</v>
      </c>
      <c r="L8042" t="s">
        <v>31</v>
      </c>
      <c r="M8042" t="s">
        <v>148</v>
      </c>
      <c r="N8042" t="s">
        <v>8</v>
      </c>
      <c r="O8042" t="s">
        <v>188</v>
      </c>
      <c r="P8042" s="1" t="s">
        <v>30</v>
      </c>
      <c r="Q8042">
        <v>147</v>
      </c>
    </row>
    <row r="8043" spans="11:17" x14ac:dyDescent="0.3">
      <c r="K8043">
        <v>2021</v>
      </c>
      <c r="L8043" t="s">
        <v>31</v>
      </c>
      <c r="M8043" t="s">
        <v>148</v>
      </c>
      <c r="N8043" t="s">
        <v>8</v>
      </c>
      <c r="O8043" t="s">
        <v>188</v>
      </c>
      <c r="P8043" s="1" t="s">
        <v>34</v>
      </c>
      <c r="Q8043">
        <v>149.6</v>
      </c>
    </row>
    <row r="8044" spans="11:17" x14ac:dyDescent="0.3">
      <c r="K8044">
        <v>2021</v>
      </c>
      <c r="L8044" t="s">
        <v>31</v>
      </c>
      <c r="M8044" t="s">
        <v>148</v>
      </c>
      <c r="N8044" t="s">
        <v>8</v>
      </c>
      <c r="O8044" t="s">
        <v>188</v>
      </c>
      <c r="P8044" s="1" t="s">
        <v>33</v>
      </c>
      <c r="Q8044">
        <v>152.6</v>
      </c>
    </row>
    <row r="8045" spans="11:17" x14ac:dyDescent="0.3">
      <c r="K8045">
        <v>2021</v>
      </c>
      <c r="L8045" t="s">
        <v>31</v>
      </c>
      <c r="M8045" t="s">
        <v>148</v>
      </c>
      <c r="N8045" t="s">
        <v>21</v>
      </c>
      <c r="O8045" t="s">
        <v>190</v>
      </c>
      <c r="P8045" s="1" t="s">
        <v>30</v>
      </c>
      <c r="Q8045">
        <v>150.9</v>
      </c>
    </row>
    <row r="8046" spans="11:17" x14ac:dyDescent="0.3">
      <c r="K8046">
        <v>2021</v>
      </c>
      <c r="L8046" t="s">
        <v>31</v>
      </c>
      <c r="M8046" t="s">
        <v>148</v>
      </c>
      <c r="N8046" t="s">
        <v>21</v>
      </c>
      <c r="O8046" t="s">
        <v>190</v>
      </c>
      <c r="P8046" s="1" t="s">
        <v>34</v>
      </c>
      <c r="Q8046">
        <v>147.9</v>
      </c>
    </row>
    <row r="8047" spans="11:17" x14ac:dyDescent="0.3">
      <c r="K8047">
        <v>2021</v>
      </c>
      <c r="L8047" t="s">
        <v>31</v>
      </c>
      <c r="M8047" t="s">
        <v>148</v>
      </c>
      <c r="N8047" t="s">
        <v>21</v>
      </c>
      <c r="O8047" t="s">
        <v>190</v>
      </c>
      <c r="P8047" s="1" t="s">
        <v>33</v>
      </c>
      <c r="Q8047">
        <v>142.9</v>
      </c>
    </row>
    <row r="8048" spans="11:17" x14ac:dyDescent="0.3">
      <c r="K8048">
        <v>2021</v>
      </c>
      <c r="L8048" t="s">
        <v>31</v>
      </c>
      <c r="M8048" t="s">
        <v>148</v>
      </c>
      <c r="N8048" t="s">
        <v>29</v>
      </c>
      <c r="O8048" t="s">
        <v>206</v>
      </c>
      <c r="P8048" s="1" t="s">
        <v>30</v>
      </c>
      <c r="Q8048">
        <v>158.5</v>
      </c>
    </row>
    <row r="8049" spans="11:17" x14ac:dyDescent="0.3">
      <c r="K8049">
        <v>2021</v>
      </c>
      <c r="L8049" t="s">
        <v>31</v>
      </c>
      <c r="M8049" t="s">
        <v>148</v>
      </c>
      <c r="N8049" t="s">
        <v>29</v>
      </c>
      <c r="O8049" t="s">
        <v>206</v>
      </c>
      <c r="P8049" s="1" t="s">
        <v>34</v>
      </c>
      <c r="Q8049">
        <v>157.30000000000001</v>
      </c>
    </row>
    <row r="8050" spans="11:17" x14ac:dyDescent="0.3">
      <c r="K8050">
        <v>2021</v>
      </c>
      <c r="L8050" t="s">
        <v>31</v>
      </c>
      <c r="M8050" t="s">
        <v>148</v>
      </c>
      <c r="N8050" t="s">
        <v>29</v>
      </c>
      <c r="O8050" t="s">
        <v>206</v>
      </c>
      <c r="P8050" s="1" t="s">
        <v>33</v>
      </c>
      <c r="Q8050">
        <v>156</v>
      </c>
    </row>
    <row r="8051" spans="11:17" x14ac:dyDescent="0.3">
      <c r="K8051">
        <v>2021</v>
      </c>
      <c r="L8051" t="s">
        <v>31</v>
      </c>
      <c r="M8051" t="s">
        <v>148</v>
      </c>
      <c r="N8051" t="s">
        <v>23</v>
      </c>
      <c r="O8051" t="s">
        <v>23</v>
      </c>
      <c r="P8051" s="1" t="s">
        <v>30</v>
      </c>
      <c r="Q8051">
        <v>162.5</v>
      </c>
    </row>
    <row r="8052" spans="11:17" x14ac:dyDescent="0.3">
      <c r="K8052">
        <v>2021</v>
      </c>
      <c r="L8052" t="s">
        <v>31</v>
      </c>
      <c r="M8052" t="s">
        <v>148</v>
      </c>
      <c r="N8052" t="s">
        <v>23</v>
      </c>
      <c r="O8052" t="s">
        <v>23</v>
      </c>
      <c r="P8052" s="1" t="s">
        <v>34</v>
      </c>
      <c r="Q8052">
        <v>159.30000000000001</v>
      </c>
    </row>
    <row r="8053" spans="11:17" x14ac:dyDescent="0.3">
      <c r="K8053">
        <v>2021</v>
      </c>
      <c r="L8053" t="s">
        <v>31</v>
      </c>
      <c r="M8053" t="s">
        <v>148</v>
      </c>
      <c r="N8053" t="s">
        <v>23</v>
      </c>
      <c r="O8053" t="s">
        <v>23</v>
      </c>
      <c r="P8053" s="1" t="s">
        <v>33</v>
      </c>
      <c r="Q8053">
        <v>154.1</v>
      </c>
    </row>
    <row r="8054" spans="11:17" x14ac:dyDescent="0.3">
      <c r="K8054">
        <v>2021</v>
      </c>
      <c r="L8054" t="s">
        <v>31</v>
      </c>
      <c r="M8054" t="s">
        <v>148</v>
      </c>
      <c r="N8054" t="s">
        <v>22</v>
      </c>
      <c r="O8054" t="s">
        <v>20</v>
      </c>
      <c r="P8054" s="1" t="s">
        <v>30</v>
      </c>
      <c r="Q8054">
        <v>153.9</v>
      </c>
    </row>
    <row r="8055" spans="11:17" x14ac:dyDescent="0.3">
      <c r="K8055">
        <v>2021</v>
      </c>
      <c r="L8055" t="s">
        <v>31</v>
      </c>
      <c r="M8055" t="s">
        <v>148</v>
      </c>
      <c r="N8055" t="s">
        <v>22</v>
      </c>
      <c r="O8055" t="s">
        <v>20</v>
      </c>
      <c r="P8055" s="1" t="s">
        <v>34</v>
      </c>
      <c r="Q8055">
        <v>150</v>
      </c>
    </row>
    <row r="8056" spans="11:17" x14ac:dyDescent="0.3">
      <c r="K8056">
        <v>2021</v>
      </c>
      <c r="L8056" t="s">
        <v>31</v>
      </c>
      <c r="M8056" t="s">
        <v>148</v>
      </c>
      <c r="N8056" t="s">
        <v>22</v>
      </c>
      <c r="O8056" t="s">
        <v>20</v>
      </c>
      <c r="P8056" s="1" t="s">
        <v>33</v>
      </c>
      <c r="Q8056">
        <v>145.69999999999999</v>
      </c>
    </row>
    <row r="8057" spans="11:17" x14ac:dyDescent="0.3">
      <c r="K8057">
        <v>2021</v>
      </c>
      <c r="L8057" t="s">
        <v>31</v>
      </c>
      <c r="M8057" t="s">
        <v>148</v>
      </c>
      <c r="N8057" t="s">
        <v>20</v>
      </c>
      <c r="O8057" t="s">
        <v>20</v>
      </c>
      <c r="P8057" s="1" t="s">
        <v>30</v>
      </c>
      <c r="Q8057">
        <v>0</v>
      </c>
    </row>
    <row r="8058" spans="11:17" x14ac:dyDescent="0.3">
      <c r="K8058">
        <v>2021</v>
      </c>
      <c r="L8058" t="s">
        <v>31</v>
      </c>
      <c r="M8058" t="s">
        <v>148</v>
      </c>
      <c r="N8058" t="s">
        <v>20</v>
      </c>
      <c r="O8058" t="s">
        <v>20</v>
      </c>
      <c r="P8058" s="1" t="s">
        <v>34</v>
      </c>
      <c r="Q8058">
        <v>157.69999999999999</v>
      </c>
    </row>
    <row r="8059" spans="11:17" x14ac:dyDescent="0.3">
      <c r="K8059">
        <v>2021</v>
      </c>
      <c r="L8059" t="s">
        <v>31</v>
      </c>
      <c r="M8059" t="s">
        <v>148</v>
      </c>
      <c r="N8059" t="s">
        <v>20</v>
      </c>
      <c r="O8059" t="s">
        <v>20</v>
      </c>
      <c r="P8059" s="1" t="s">
        <v>33</v>
      </c>
      <c r="Q8059">
        <v>157.69999999999999</v>
      </c>
    </row>
    <row r="8060" spans="11:17" x14ac:dyDescent="0.3">
      <c r="K8060">
        <v>2021</v>
      </c>
      <c r="L8060" t="s">
        <v>31</v>
      </c>
      <c r="M8060" t="s">
        <v>148</v>
      </c>
      <c r="N8060" t="s">
        <v>4</v>
      </c>
      <c r="O8060" t="s">
        <v>188</v>
      </c>
      <c r="P8060" s="1" t="s">
        <v>30</v>
      </c>
      <c r="Q8060">
        <v>187.5</v>
      </c>
    </row>
    <row r="8061" spans="11:17" x14ac:dyDescent="0.3">
      <c r="K8061">
        <v>2021</v>
      </c>
      <c r="L8061" t="s">
        <v>31</v>
      </c>
      <c r="M8061" t="s">
        <v>148</v>
      </c>
      <c r="N8061" t="s">
        <v>4</v>
      </c>
      <c r="O8061" t="s">
        <v>188</v>
      </c>
      <c r="P8061" s="1" t="s">
        <v>34</v>
      </c>
      <c r="Q8061">
        <v>190.1</v>
      </c>
    </row>
    <row r="8062" spans="11:17" x14ac:dyDescent="0.3">
      <c r="K8062">
        <v>2021</v>
      </c>
      <c r="L8062" t="s">
        <v>31</v>
      </c>
      <c r="M8062" t="s">
        <v>148</v>
      </c>
      <c r="N8062" t="s">
        <v>4</v>
      </c>
      <c r="O8062" t="s">
        <v>188</v>
      </c>
      <c r="P8062" s="1" t="s">
        <v>33</v>
      </c>
      <c r="Q8062">
        <v>194.8</v>
      </c>
    </row>
    <row r="8063" spans="11:17" x14ac:dyDescent="0.3">
      <c r="K8063">
        <v>2021</v>
      </c>
      <c r="L8063" t="s">
        <v>31</v>
      </c>
      <c r="M8063" t="s">
        <v>148</v>
      </c>
      <c r="N8063" t="s">
        <v>6</v>
      </c>
      <c r="O8063" t="s">
        <v>188</v>
      </c>
      <c r="P8063" s="1" t="s">
        <v>30</v>
      </c>
      <c r="Q8063">
        <v>154</v>
      </c>
    </row>
    <row r="8064" spans="11:17" x14ac:dyDescent="0.3">
      <c r="K8064">
        <v>2021</v>
      </c>
      <c r="L8064" t="s">
        <v>31</v>
      </c>
      <c r="M8064" t="s">
        <v>148</v>
      </c>
      <c r="N8064" t="s">
        <v>6</v>
      </c>
      <c r="O8064" t="s">
        <v>188</v>
      </c>
      <c r="P8064" s="1" t="s">
        <v>34</v>
      </c>
      <c r="Q8064">
        <v>154.1</v>
      </c>
    </row>
    <row r="8065" spans="11:17" x14ac:dyDescent="0.3">
      <c r="K8065">
        <v>2021</v>
      </c>
      <c r="L8065" t="s">
        <v>31</v>
      </c>
      <c r="M8065" t="s">
        <v>148</v>
      </c>
      <c r="N8065" t="s">
        <v>6</v>
      </c>
      <c r="O8065" t="s">
        <v>188</v>
      </c>
      <c r="P8065" s="1" t="s">
        <v>33</v>
      </c>
      <c r="Q8065">
        <v>154.4</v>
      </c>
    </row>
    <row r="8066" spans="11:17" x14ac:dyDescent="0.3">
      <c r="K8066">
        <v>2021</v>
      </c>
      <c r="L8066" t="s">
        <v>31</v>
      </c>
      <c r="M8066" t="s">
        <v>148</v>
      </c>
      <c r="N8066" t="s">
        <v>28</v>
      </c>
      <c r="O8066" t="s">
        <v>192</v>
      </c>
      <c r="P8066" s="1" t="s">
        <v>30</v>
      </c>
      <c r="Q8066">
        <v>155.9</v>
      </c>
    </row>
    <row r="8067" spans="11:17" x14ac:dyDescent="0.3">
      <c r="K8067">
        <v>2021</v>
      </c>
      <c r="L8067" t="s">
        <v>31</v>
      </c>
      <c r="M8067" t="s">
        <v>148</v>
      </c>
      <c r="N8067" t="s">
        <v>28</v>
      </c>
      <c r="O8067" t="s">
        <v>192</v>
      </c>
      <c r="P8067" s="1" t="s">
        <v>34</v>
      </c>
      <c r="Q8067">
        <v>151.9</v>
      </c>
    </row>
    <row r="8068" spans="11:17" x14ac:dyDescent="0.3">
      <c r="K8068">
        <v>2021</v>
      </c>
      <c r="L8068" t="s">
        <v>31</v>
      </c>
      <c r="M8068" t="s">
        <v>148</v>
      </c>
      <c r="N8068" t="s">
        <v>28</v>
      </c>
      <c r="O8068" t="s">
        <v>192</v>
      </c>
      <c r="P8068" s="1" t="s">
        <v>33</v>
      </c>
      <c r="Q8068">
        <v>147.6</v>
      </c>
    </row>
    <row r="8069" spans="11:17" x14ac:dyDescent="0.3">
      <c r="K8069">
        <v>2021</v>
      </c>
      <c r="L8069" t="s">
        <v>31</v>
      </c>
      <c r="M8069" t="s">
        <v>148</v>
      </c>
      <c r="N8069" t="s">
        <v>13</v>
      </c>
      <c r="O8069" t="s">
        <v>188</v>
      </c>
      <c r="P8069" s="1" t="s">
        <v>30</v>
      </c>
      <c r="Q8069">
        <v>156.1</v>
      </c>
    </row>
    <row r="8070" spans="11:17" x14ac:dyDescent="0.3">
      <c r="K8070">
        <v>2021</v>
      </c>
      <c r="L8070" t="s">
        <v>31</v>
      </c>
      <c r="M8070" t="s">
        <v>148</v>
      </c>
      <c r="N8070" t="s">
        <v>13</v>
      </c>
      <c r="O8070" t="s">
        <v>188</v>
      </c>
      <c r="P8070" s="1" t="s">
        <v>34</v>
      </c>
      <c r="Q8070">
        <v>151.80000000000001</v>
      </c>
    </row>
    <row r="8071" spans="11:17" x14ac:dyDescent="0.3">
      <c r="K8071">
        <v>2021</v>
      </c>
      <c r="L8071" t="s">
        <v>31</v>
      </c>
      <c r="M8071" t="s">
        <v>148</v>
      </c>
      <c r="N8071" t="s">
        <v>13</v>
      </c>
      <c r="O8071" t="s">
        <v>188</v>
      </c>
      <c r="P8071" s="1" t="s">
        <v>33</v>
      </c>
      <c r="Q8071">
        <v>145.9</v>
      </c>
    </row>
    <row r="8072" spans="11:17" x14ac:dyDescent="0.3">
      <c r="K8072">
        <v>2021</v>
      </c>
      <c r="L8072" t="s">
        <v>31</v>
      </c>
      <c r="M8072" t="s">
        <v>148</v>
      </c>
      <c r="N8072" t="s">
        <v>7</v>
      </c>
      <c r="O8072" t="s">
        <v>188</v>
      </c>
      <c r="P8072" s="1" t="s">
        <v>30</v>
      </c>
      <c r="Q8072">
        <v>154.80000000000001</v>
      </c>
    </row>
    <row r="8073" spans="11:17" x14ac:dyDescent="0.3">
      <c r="K8073">
        <v>2021</v>
      </c>
      <c r="L8073" t="s">
        <v>31</v>
      </c>
      <c r="M8073" t="s">
        <v>148</v>
      </c>
      <c r="N8073" t="s">
        <v>7</v>
      </c>
      <c r="O8073" t="s">
        <v>188</v>
      </c>
      <c r="P8073" s="1" t="s">
        <v>34</v>
      </c>
      <c r="Q8073">
        <v>150.9</v>
      </c>
    </row>
    <row r="8074" spans="11:17" x14ac:dyDescent="0.3">
      <c r="K8074">
        <v>2021</v>
      </c>
      <c r="L8074" t="s">
        <v>31</v>
      </c>
      <c r="M8074" t="s">
        <v>148</v>
      </c>
      <c r="N8074" t="s">
        <v>7</v>
      </c>
      <c r="O8074" t="s">
        <v>188</v>
      </c>
      <c r="P8074" s="1" t="s">
        <v>33</v>
      </c>
      <c r="Q8074">
        <v>144.1</v>
      </c>
    </row>
    <row r="8075" spans="11:17" x14ac:dyDescent="0.3">
      <c r="K8075">
        <v>2021</v>
      </c>
      <c r="L8075" t="s">
        <v>31</v>
      </c>
      <c r="M8075" t="s">
        <v>148</v>
      </c>
      <c r="N8075" t="s">
        <v>16</v>
      </c>
      <c r="O8075" t="s">
        <v>192</v>
      </c>
      <c r="P8075" s="1" t="s">
        <v>30</v>
      </c>
      <c r="Q8075">
        <v>184.6</v>
      </c>
    </row>
    <row r="8076" spans="11:17" x14ac:dyDescent="0.3">
      <c r="K8076">
        <v>2021</v>
      </c>
      <c r="L8076" t="s">
        <v>31</v>
      </c>
      <c r="M8076" t="s">
        <v>148</v>
      </c>
      <c r="N8076" t="s">
        <v>16</v>
      </c>
      <c r="O8076" t="s">
        <v>192</v>
      </c>
      <c r="P8076" s="1" t="s">
        <v>34</v>
      </c>
      <c r="Q8076">
        <v>186.5</v>
      </c>
    </row>
    <row r="8077" spans="11:17" x14ac:dyDescent="0.3">
      <c r="K8077">
        <v>2021</v>
      </c>
      <c r="L8077" t="s">
        <v>31</v>
      </c>
      <c r="M8077" t="s">
        <v>148</v>
      </c>
      <c r="N8077" t="s">
        <v>16</v>
      </c>
      <c r="O8077" t="s">
        <v>192</v>
      </c>
      <c r="P8077" s="1" t="s">
        <v>33</v>
      </c>
      <c r="Q8077">
        <v>191.8</v>
      </c>
    </row>
    <row r="8078" spans="11:17" x14ac:dyDescent="0.3">
      <c r="K8078">
        <v>2021</v>
      </c>
      <c r="L8078" t="s">
        <v>31</v>
      </c>
      <c r="M8078" t="s">
        <v>148</v>
      </c>
      <c r="N8078" t="s">
        <v>27</v>
      </c>
      <c r="O8078" t="s">
        <v>192</v>
      </c>
      <c r="P8078" s="1" t="s">
        <v>30</v>
      </c>
      <c r="Q8078">
        <v>156.19999999999999</v>
      </c>
    </row>
    <row r="8079" spans="11:17" x14ac:dyDescent="0.3">
      <c r="K8079">
        <v>2021</v>
      </c>
      <c r="L8079" t="s">
        <v>31</v>
      </c>
      <c r="M8079" t="s">
        <v>148</v>
      </c>
      <c r="N8079" t="s">
        <v>27</v>
      </c>
      <c r="O8079" t="s">
        <v>192</v>
      </c>
      <c r="P8079" s="1" t="s">
        <v>34</v>
      </c>
      <c r="Q8079">
        <v>156.80000000000001</v>
      </c>
    </row>
    <row r="8080" spans="11:17" x14ac:dyDescent="0.3">
      <c r="K8080">
        <v>2021</v>
      </c>
      <c r="L8080" t="s">
        <v>31</v>
      </c>
      <c r="M8080" t="s">
        <v>148</v>
      </c>
      <c r="N8080" t="s">
        <v>27</v>
      </c>
      <c r="O8080" t="s">
        <v>192</v>
      </c>
      <c r="P8080" s="1" t="s">
        <v>33</v>
      </c>
      <c r="Q8080">
        <v>157.69999999999999</v>
      </c>
    </row>
    <row r="8081" spans="11:17" x14ac:dyDescent="0.3">
      <c r="K8081">
        <v>2021</v>
      </c>
      <c r="L8081" t="s">
        <v>31</v>
      </c>
      <c r="M8081" t="s">
        <v>148</v>
      </c>
      <c r="N8081" t="s">
        <v>14</v>
      </c>
      <c r="O8081" t="s">
        <v>188</v>
      </c>
      <c r="P8081" s="1" t="s">
        <v>30</v>
      </c>
      <c r="Q8081">
        <v>164.3</v>
      </c>
    </row>
    <row r="8082" spans="11:17" x14ac:dyDescent="0.3">
      <c r="K8082">
        <v>2021</v>
      </c>
      <c r="L8082" t="s">
        <v>31</v>
      </c>
      <c r="M8082" t="s">
        <v>148</v>
      </c>
      <c r="N8082" t="s">
        <v>14</v>
      </c>
      <c r="O8082" t="s">
        <v>188</v>
      </c>
      <c r="P8082" s="1" t="s">
        <v>34</v>
      </c>
      <c r="Q8082">
        <v>165.6</v>
      </c>
    </row>
    <row r="8083" spans="11:17" x14ac:dyDescent="0.3">
      <c r="K8083">
        <v>2021</v>
      </c>
      <c r="L8083" t="s">
        <v>31</v>
      </c>
      <c r="M8083" t="s">
        <v>148</v>
      </c>
      <c r="N8083" t="s">
        <v>14</v>
      </c>
      <c r="O8083" t="s">
        <v>188</v>
      </c>
      <c r="P8083" s="1" t="s">
        <v>33</v>
      </c>
      <c r="Q8083">
        <v>167.2</v>
      </c>
    </row>
    <row r="8084" spans="11:17" x14ac:dyDescent="0.3">
      <c r="K8084">
        <v>2021</v>
      </c>
      <c r="L8084" t="s">
        <v>31</v>
      </c>
      <c r="M8084" t="s">
        <v>148</v>
      </c>
      <c r="N8084" t="s">
        <v>10</v>
      </c>
      <c r="O8084" t="s">
        <v>188</v>
      </c>
      <c r="P8084" s="1" t="s">
        <v>30</v>
      </c>
      <c r="Q8084">
        <v>159.5</v>
      </c>
    </row>
    <row r="8085" spans="11:17" x14ac:dyDescent="0.3">
      <c r="K8085">
        <v>2021</v>
      </c>
      <c r="L8085" t="s">
        <v>31</v>
      </c>
      <c r="M8085" t="s">
        <v>148</v>
      </c>
      <c r="N8085" t="s">
        <v>10</v>
      </c>
      <c r="O8085" t="s">
        <v>188</v>
      </c>
      <c r="P8085" s="1" t="s">
        <v>34</v>
      </c>
      <c r="Q8085">
        <v>160.4</v>
      </c>
    </row>
    <row r="8086" spans="11:17" x14ac:dyDescent="0.3">
      <c r="K8086">
        <v>2021</v>
      </c>
      <c r="L8086" t="s">
        <v>31</v>
      </c>
      <c r="M8086" t="s">
        <v>148</v>
      </c>
      <c r="N8086" t="s">
        <v>10</v>
      </c>
      <c r="O8086" t="s">
        <v>188</v>
      </c>
      <c r="P8086" s="1" t="s">
        <v>33</v>
      </c>
      <c r="Q8086">
        <v>162.1</v>
      </c>
    </row>
    <row r="8087" spans="11:17" x14ac:dyDescent="0.3">
      <c r="K8087">
        <v>2021</v>
      </c>
      <c r="L8087" t="s">
        <v>31</v>
      </c>
      <c r="M8087" t="s">
        <v>148</v>
      </c>
      <c r="N8087" t="s">
        <v>25</v>
      </c>
      <c r="O8087" t="s">
        <v>195</v>
      </c>
      <c r="P8087" s="1" t="s">
        <v>30</v>
      </c>
      <c r="Q8087">
        <v>155.1</v>
      </c>
    </row>
    <row r="8088" spans="11:17" x14ac:dyDescent="0.3">
      <c r="K8088">
        <v>2021</v>
      </c>
      <c r="L8088" t="s">
        <v>31</v>
      </c>
      <c r="M8088" t="s">
        <v>148</v>
      </c>
      <c r="N8088" t="s">
        <v>25</v>
      </c>
      <c r="O8088" t="s">
        <v>195</v>
      </c>
      <c r="P8088" s="1" t="s">
        <v>34</v>
      </c>
      <c r="Q8088">
        <v>149.6</v>
      </c>
    </row>
    <row r="8089" spans="11:17" x14ac:dyDescent="0.3">
      <c r="K8089">
        <v>2021</v>
      </c>
      <c r="L8089" t="s">
        <v>31</v>
      </c>
      <c r="M8089" t="s">
        <v>148</v>
      </c>
      <c r="N8089" t="s">
        <v>25</v>
      </c>
      <c r="O8089" t="s">
        <v>195</v>
      </c>
      <c r="P8089" s="1" t="s">
        <v>33</v>
      </c>
      <c r="Q8089">
        <v>145.4</v>
      </c>
    </row>
    <row r="8090" spans="11:17" x14ac:dyDescent="0.3">
      <c r="K8090">
        <v>2021</v>
      </c>
      <c r="L8090" t="s">
        <v>31</v>
      </c>
      <c r="M8090" t="s">
        <v>148</v>
      </c>
      <c r="N8090" t="s">
        <v>12</v>
      </c>
      <c r="O8090" t="s">
        <v>188</v>
      </c>
      <c r="P8090" s="1" t="s">
        <v>30</v>
      </c>
      <c r="Q8090">
        <v>164.5</v>
      </c>
    </row>
    <row r="8091" spans="11:17" x14ac:dyDescent="0.3">
      <c r="K8091">
        <v>2021</v>
      </c>
      <c r="L8091" t="s">
        <v>31</v>
      </c>
      <c r="M8091" t="s">
        <v>148</v>
      </c>
      <c r="N8091" t="s">
        <v>12</v>
      </c>
      <c r="O8091" t="s">
        <v>188</v>
      </c>
      <c r="P8091" s="1" t="s">
        <v>34</v>
      </c>
      <c r="Q8091">
        <v>164</v>
      </c>
    </row>
    <row r="8092" spans="11:17" x14ac:dyDescent="0.3">
      <c r="K8092">
        <v>2021</v>
      </c>
      <c r="L8092" t="s">
        <v>31</v>
      </c>
      <c r="M8092" t="s">
        <v>148</v>
      </c>
      <c r="N8092" t="s">
        <v>12</v>
      </c>
      <c r="O8092" t="s">
        <v>188</v>
      </c>
      <c r="P8092" s="1" t="s">
        <v>33</v>
      </c>
      <c r="Q8092">
        <v>163</v>
      </c>
    </row>
    <row r="8093" spans="11:17" x14ac:dyDescent="0.3">
      <c r="K8093">
        <v>2021</v>
      </c>
      <c r="L8093" t="s">
        <v>31</v>
      </c>
      <c r="M8093" t="s">
        <v>148</v>
      </c>
      <c r="N8093" t="s">
        <v>11</v>
      </c>
      <c r="O8093" t="s">
        <v>188</v>
      </c>
      <c r="P8093" s="1" t="s">
        <v>30</v>
      </c>
      <c r="Q8093">
        <v>113.8</v>
      </c>
    </row>
    <row r="8094" spans="11:17" x14ac:dyDescent="0.3">
      <c r="K8094">
        <v>2021</v>
      </c>
      <c r="L8094" t="s">
        <v>31</v>
      </c>
      <c r="M8094" t="s">
        <v>148</v>
      </c>
      <c r="N8094" t="s">
        <v>11</v>
      </c>
      <c r="O8094" t="s">
        <v>188</v>
      </c>
      <c r="P8094" s="1" t="s">
        <v>34</v>
      </c>
      <c r="Q8094">
        <v>114.6</v>
      </c>
    </row>
    <row r="8095" spans="11:17" x14ac:dyDescent="0.3">
      <c r="K8095">
        <v>2021</v>
      </c>
      <c r="L8095" t="s">
        <v>31</v>
      </c>
      <c r="M8095" t="s">
        <v>148</v>
      </c>
      <c r="N8095" t="s">
        <v>11</v>
      </c>
      <c r="O8095" t="s">
        <v>188</v>
      </c>
      <c r="P8095" s="1" t="s">
        <v>33</v>
      </c>
      <c r="Q8095">
        <v>116.3</v>
      </c>
    </row>
    <row r="8096" spans="11:17" x14ac:dyDescent="0.3">
      <c r="K8096">
        <v>2021</v>
      </c>
      <c r="L8096" t="s">
        <v>31</v>
      </c>
      <c r="M8096" t="s">
        <v>148</v>
      </c>
      <c r="N8096" t="s">
        <v>24</v>
      </c>
      <c r="O8096" t="s">
        <v>191</v>
      </c>
      <c r="P8096" s="1" t="s">
        <v>30</v>
      </c>
      <c r="Q8096">
        <v>147.5</v>
      </c>
    </row>
    <row r="8097" spans="11:17" x14ac:dyDescent="0.3">
      <c r="K8097">
        <v>2021</v>
      </c>
      <c r="L8097" t="s">
        <v>31</v>
      </c>
      <c r="M8097" t="s">
        <v>148</v>
      </c>
      <c r="N8097" t="s">
        <v>24</v>
      </c>
      <c r="O8097" t="s">
        <v>191</v>
      </c>
      <c r="P8097" s="1" t="s">
        <v>34</v>
      </c>
      <c r="Q8097">
        <v>141.9</v>
      </c>
    </row>
    <row r="8098" spans="11:17" x14ac:dyDescent="0.3">
      <c r="K8098">
        <v>2021</v>
      </c>
      <c r="L8098" t="s">
        <v>31</v>
      </c>
      <c r="M8098" t="s">
        <v>148</v>
      </c>
      <c r="N8098" t="s">
        <v>24</v>
      </c>
      <c r="O8098" t="s">
        <v>191</v>
      </c>
      <c r="P8098" s="1" t="s">
        <v>33</v>
      </c>
      <c r="Q8098">
        <v>136.9</v>
      </c>
    </row>
    <row r="8099" spans="11:17" x14ac:dyDescent="0.3">
      <c r="K8099">
        <v>2021</v>
      </c>
      <c r="L8099" t="s">
        <v>31</v>
      </c>
      <c r="M8099" t="s">
        <v>148</v>
      </c>
      <c r="N8099" t="s">
        <v>9</v>
      </c>
      <c r="O8099" t="s">
        <v>188</v>
      </c>
      <c r="P8099" s="1" t="s">
        <v>30</v>
      </c>
      <c r="Q8099">
        <v>187.8</v>
      </c>
    </row>
    <row r="8100" spans="11:17" x14ac:dyDescent="0.3">
      <c r="K8100">
        <v>2021</v>
      </c>
      <c r="L8100" t="s">
        <v>31</v>
      </c>
      <c r="M8100" t="s">
        <v>148</v>
      </c>
      <c r="N8100" t="s">
        <v>9</v>
      </c>
      <c r="O8100" t="s">
        <v>188</v>
      </c>
      <c r="P8100" s="1" t="s">
        <v>34</v>
      </c>
      <c r="Q8100">
        <v>194.2</v>
      </c>
    </row>
    <row r="8101" spans="11:17" x14ac:dyDescent="0.3">
      <c r="K8101">
        <v>2021</v>
      </c>
      <c r="L8101" t="s">
        <v>31</v>
      </c>
      <c r="M8101" t="s">
        <v>148</v>
      </c>
      <c r="N8101" t="s">
        <v>9</v>
      </c>
      <c r="O8101" t="s">
        <v>188</v>
      </c>
      <c r="P8101" s="1" t="s">
        <v>33</v>
      </c>
      <c r="Q8101">
        <v>206.8</v>
      </c>
    </row>
    <row r="8102" spans="11:17" x14ac:dyDescent="0.3">
      <c r="K8102">
        <v>2021</v>
      </c>
      <c r="L8102" t="s">
        <v>40</v>
      </c>
      <c r="M8102" t="s">
        <v>149</v>
      </c>
      <c r="N8102" t="s">
        <v>3</v>
      </c>
      <c r="O8102" t="s">
        <v>188</v>
      </c>
      <c r="P8102" s="1" t="s">
        <v>30</v>
      </c>
      <c r="Q8102">
        <v>145.1</v>
      </c>
    </row>
    <row r="8103" spans="11:17" x14ac:dyDescent="0.3">
      <c r="K8103">
        <v>2021</v>
      </c>
      <c r="L8103" t="s">
        <v>40</v>
      </c>
      <c r="M8103" t="s">
        <v>149</v>
      </c>
      <c r="N8103" t="s">
        <v>3</v>
      </c>
      <c r="O8103" t="s">
        <v>188</v>
      </c>
      <c r="P8103" s="1" t="s">
        <v>34</v>
      </c>
      <c r="Q8103">
        <v>146.4</v>
      </c>
    </row>
    <row r="8104" spans="11:17" x14ac:dyDescent="0.3">
      <c r="K8104">
        <v>2021</v>
      </c>
      <c r="L8104" t="s">
        <v>40</v>
      </c>
      <c r="M8104" t="s">
        <v>149</v>
      </c>
      <c r="N8104" t="s">
        <v>3</v>
      </c>
      <c r="O8104" t="s">
        <v>188</v>
      </c>
      <c r="P8104" s="1" t="s">
        <v>33</v>
      </c>
      <c r="Q8104">
        <v>149.1</v>
      </c>
    </row>
    <row r="8105" spans="11:17" x14ac:dyDescent="0.3">
      <c r="K8105">
        <v>2021</v>
      </c>
      <c r="L8105" t="s">
        <v>40</v>
      </c>
      <c r="M8105" t="s">
        <v>149</v>
      </c>
      <c r="N8105" t="s">
        <v>17</v>
      </c>
      <c r="O8105" t="s">
        <v>189</v>
      </c>
      <c r="P8105" s="1" t="s">
        <v>30</v>
      </c>
      <c r="Q8105">
        <v>166</v>
      </c>
    </row>
    <row r="8106" spans="11:17" x14ac:dyDescent="0.3">
      <c r="K8106">
        <v>2021</v>
      </c>
      <c r="L8106" t="s">
        <v>40</v>
      </c>
      <c r="M8106" t="s">
        <v>149</v>
      </c>
      <c r="N8106" t="s">
        <v>17</v>
      </c>
      <c r="O8106" t="s">
        <v>189</v>
      </c>
      <c r="P8106" s="1" t="s">
        <v>34</v>
      </c>
      <c r="Q8106">
        <v>162.80000000000001</v>
      </c>
    </row>
    <row r="8107" spans="11:17" x14ac:dyDescent="0.3">
      <c r="K8107">
        <v>2021</v>
      </c>
      <c r="L8107" t="s">
        <v>40</v>
      </c>
      <c r="M8107" t="s">
        <v>149</v>
      </c>
      <c r="N8107" t="s">
        <v>17</v>
      </c>
      <c r="O8107" t="s">
        <v>189</v>
      </c>
      <c r="P8107" s="1" t="s">
        <v>33</v>
      </c>
      <c r="Q8107">
        <v>157.9</v>
      </c>
    </row>
    <row r="8108" spans="11:17" x14ac:dyDescent="0.3">
      <c r="K8108">
        <v>2021</v>
      </c>
      <c r="L8108" t="s">
        <v>40</v>
      </c>
      <c r="M8108" t="s">
        <v>149</v>
      </c>
      <c r="N8108" t="s">
        <v>19</v>
      </c>
      <c r="O8108" t="s">
        <v>189</v>
      </c>
      <c r="P8108" s="1" t="s">
        <v>30</v>
      </c>
      <c r="Q8108">
        <v>165.3</v>
      </c>
    </row>
    <row r="8109" spans="11:17" x14ac:dyDescent="0.3">
      <c r="K8109">
        <v>2021</v>
      </c>
      <c r="L8109" t="s">
        <v>40</v>
      </c>
      <c r="M8109" t="s">
        <v>149</v>
      </c>
      <c r="N8109" t="s">
        <v>19</v>
      </c>
      <c r="O8109" t="s">
        <v>189</v>
      </c>
      <c r="P8109" s="1" t="s">
        <v>34</v>
      </c>
      <c r="Q8109">
        <v>161.4</v>
      </c>
    </row>
    <row r="8110" spans="11:17" x14ac:dyDescent="0.3">
      <c r="K8110">
        <v>2021</v>
      </c>
      <c r="L8110" t="s">
        <v>40</v>
      </c>
      <c r="M8110" t="s">
        <v>149</v>
      </c>
      <c r="N8110" t="s">
        <v>19</v>
      </c>
      <c r="O8110" t="s">
        <v>189</v>
      </c>
      <c r="P8110" s="1" t="s">
        <v>33</v>
      </c>
      <c r="Q8110">
        <v>155.5</v>
      </c>
    </row>
    <row r="8111" spans="11:17" x14ac:dyDescent="0.3">
      <c r="K8111">
        <v>2021</v>
      </c>
      <c r="L8111" t="s">
        <v>40</v>
      </c>
      <c r="M8111" t="s">
        <v>149</v>
      </c>
      <c r="N8111" t="s">
        <v>26</v>
      </c>
      <c r="O8111" t="s">
        <v>26</v>
      </c>
      <c r="P8111" s="1" t="s">
        <v>30</v>
      </c>
      <c r="Q8111">
        <v>167.2</v>
      </c>
    </row>
    <row r="8112" spans="11:17" x14ac:dyDescent="0.3">
      <c r="K8112">
        <v>2021</v>
      </c>
      <c r="L8112" t="s">
        <v>40</v>
      </c>
      <c r="M8112" t="s">
        <v>149</v>
      </c>
      <c r="N8112" t="s">
        <v>26</v>
      </c>
      <c r="O8112" t="s">
        <v>26</v>
      </c>
      <c r="P8112" s="1" t="s">
        <v>34</v>
      </c>
      <c r="Q8112">
        <v>163.19999999999999</v>
      </c>
    </row>
    <row r="8113" spans="11:17" x14ac:dyDescent="0.3">
      <c r="K8113">
        <v>2021</v>
      </c>
      <c r="L8113" t="s">
        <v>40</v>
      </c>
      <c r="M8113" t="s">
        <v>149</v>
      </c>
      <c r="N8113" t="s">
        <v>26</v>
      </c>
      <c r="O8113" t="s">
        <v>26</v>
      </c>
      <c r="P8113" s="1" t="s">
        <v>33</v>
      </c>
      <c r="Q8113">
        <v>160.30000000000001</v>
      </c>
    </row>
    <row r="8114" spans="11:17" x14ac:dyDescent="0.3">
      <c r="K8114">
        <v>2021</v>
      </c>
      <c r="L8114" t="s">
        <v>40</v>
      </c>
      <c r="M8114" t="s">
        <v>149</v>
      </c>
      <c r="N8114" t="s">
        <v>5</v>
      </c>
      <c r="O8114" t="s">
        <v>188</v>
      </c>
      <c r="P8114" s="1" t="s">
        <v>30</v>
      </c>
      <c r="Q8114">
        <v>180.4</v>
      </c>
    </row>
    <row r="8115" spans="11:17" x14ac:dyDescent="0.3">
      <c r="K8115">
        <v>2021</v>
      </c>
      <c r="L8115" t="s">
        <v>40</v>
      </c>
      <c r="M8115" t="s">
        <v>149</v>
      </c>
      <c r="N8115" t="s">
        <v>5</v>
      </c>
      <c r="O8115" t="s">
        <v>188</v>
      </c>
      <c r="P8115" s="1" t="s">
        <v>34</v>
      </c>
      <c r="Q8115">
        <v>182.2</v>
      </c>
    </row>
    <row r="8116" spans="11:17" x14ac:dyDescent="0.3">
      <c r="K8116">
        <v>2021</v>
      </c>
      <c r="L8116" t="s">
        <v>40</v>
      </c>
      <c r="M8116" t="s">
        <v>149</v>
      </c>
      <c r="N8116" t="s">
        <v>5</v>
      </c>
      <c r="O8116" t="s">
        <v>188</v>
      </c>
      <c r="P8116" s="1" t="s">
        <v>33</v>
      </c>
      <c r="Q8116">
        <v>185</v>
      </c>
    </row>
    <row r="8117" spans="11:17" x14ac:dyDescent="0.3">
      <c r="K8117">
        <v>2021</v>
      </c>
      <c r="L8117" t="s">
        <v>40</v>
      </c>
      <c r="M8117" t="s">
        <v>149</v>
      </c>
      <c r="N8117" t="s">
        <v>15</v>
      </c>
      <c r="O8117" t="s">
        <v>188</v>
      </c>
      <c r="P8117" s="1" t="s">
        <v>30</v>
      </c>
      <c r="Q8117">
        <v>161.69999999999999</v>
      </c>
    </row>
    <row r="8118" spans="11:17" x14ac:dyDescent="0.3">
      <c r="K8118">
        <v>2021</v>
      </c>
      <c r="L8118" t="s">
        <v>40</v>
      </c>
      <c r="M8118" t="s">
        <v>149</v>
      </c>
      <c r="N8118" t="s">
        <v>15</v>
      </c>
      <c r="O8118" t="s">
        <v>188</v>
      </c>
      <c r="P8118" s="1" t="s">
        <v>34</v>
      </c>
      <c r="Q8118">
        <v>164</v>
      </c>
    </row>
    <row r="8119" spans="11:17" x14ac:dyDescent="0.3">
      <c r="K8119">
        <v>2021</v>
      </c>
      <c r="L8119" t="s">
        <v>40</v>
      </c>
      <c r="M8119" t="s">
        <v>149</v>
      </c>
      <c r="N8119" t="s">
        <v>15</v>
      </c>
      <c r="O8119" t="s">
        <v>188</v>
      </c>
      <c r="P8119" s="1" t="s">
        <v>33</v>
      </c>
      <c r="Q8119">
        <v>167.9</v>
      </c>
    </row>
    <row r="8120" spans="11:17" x14ac:dyDescent="0.3">
      <c r="K8120">
        <v>2021</v>
      </c>
      <c r="L8120" t="s">
        <v>40</v>
      </c>
      <c r="M8120" t="s">
        <v>149</v>
      </c>
      <c r="N8120" t="s">
        <v>18</v>
      </c>
      <c r="O8120" t="s">
        <v>189</v>
      </c>
      <c r="P8120" s="1" t="s">
        <v>30</v>
      </c>
      <c r="Q8120">
        <v>161.1</v>
      </c>
    </row>
    <row r="8121" spans="11:17" x14ac:dyDescent="0.3">
      <c r="K8121">
        <v>2021</v>
      </c>
      <c r="L8121" t="s">
        <v>40</v>
      </c>
      <c r="M8121" t="s">
        <v>149</v>
      </c>
      <c r="N8121" t="s">
        <v>18</v>
      </c>
      <c r="O8121" t="s">
        <v>189</v>
      </c>
      <c r="P8121" s="1" t="s">
        <v>34</v>
      </c>
      <c r="Q8121">
        <v>153.1</v>
      </c>
    </row>
    <row r="8122" spans="11:17" x14ac:dyDescent="0.3">
      <c r="K8122">
        <v>2021</v>
      </c>
      <c r="L8122" t="s">
        <v>40</v>
      </c>
      <c r="M8122" t="s">
        <v>149</v>
      </c>
      <c r="N8122" t="s">
        <v>18</v>
      </c>
      <c r="O8122" t="s">
        <v>189</v>
      </c>
      <c r="P8122" s="1" t="s">
        <v>33</v>
      </c>
      <c r="Q8122">
        <v>141.9</v>
      </c>
    </row>
    <row r="8123" spans="11:17" x14ac:dyDescent="0.3">
      <c r="K8123">
        <v>2021</v>
      </c>
      <c r="L8123" t="s">
        <v>40</v>
      </c>
      <c r="M8123" t="s">
        <v>149</v>
      </c>
      <c r="N8123" t="s">
        <v>8</v>
      </c>
      <c r="O8123" t="s">
        <v>188</v>
      </c>
      <c r="P8123" s="1" t="s">
        <v>30</v>
      </c>
      <c r="Q8123">
        <v>157.69999999999999</v>
      </c>
    </row>
    <row r="8124" spans="11:17" x14ac:dyDescent="0.3">
      <c r="K8124">
        <v>2021</v>
      </c>
      <c r="L8124" t="s">
        <v>40</v>
      </c>
      <c r="M8124" t="s">
        <v>149</v>
      </c>
      <c r="N8124" t="s">
        <v>8</v>
      </c>
      <c r="O8124" t="s">
        <v>188</v>
      </c>
      <c r="P8124" s="1" t="s">
        <v>34</v>
      </c>
      <c r="Q8124">
        <v>163.9</v>
      </c>
    </row>
    <row r="8125" spans="11:17" x14ac:dyDescent="0.3">
      <c r="K8125">
        <v>2021</v>
      </c>
      <c r="L8125" t="s">
        <v>40</v>
      </c>
      <c r="M8125" t="s">
        <v>149</v>
      </c>
      <c r="N8125" t="s">
        <v>8</v>
      </c>
      <c r="O8125" t="s">
        <v>188</v>
      </c>
      <c r="P8125" s="1" t="s">
        <v>33</v>
      </c>
      <c r="Q8125">
        <v>170.9</v>
      </c>
    </row>
    <row r="8126" spans="11:17" x14ac:dyDescent="0.3">
      <c r="K8126">
        <v>2021</v>
      </c>
      <c r="L8126" t="s">
        <v>40</v>
      </c>
      <c r="M8126" t="s">
        <v>149</v>
      </c>
      <c r="N8126" t="s">
        <v>21</v>
      </c>
      <c r="O8126" t="s">
        <v>190</v>
      </c>
      <c r="P8126" s="1" t="s">
        <v>30</v>
      </c>
      <c r="Q8126">
        <v>162.5</v>
      </c>
    </row>
    <row r="8127" spans="11:17" x14ac:dyDescent="0.3">
      <c r="K8127">
        <v>2021</v>
      </c>
      <c r="L8127" t="s">
        <v>40</v>
      </c>
      <c r="M8127" t="s">
        <v>149</v>
      </c>
      <c r="N8127" t="s">
        <v>21</v>
      </c>
      <c r="O8127" t="s">
        <v>190</v>
      </c>
      <c r="P8127" s="1" t="s">
        <v>34</v>
      </c>
      <c r="Q8127">
        <v>160.69999999999999</v>
      </c>
    </row>
    <row r="8128" spans="11:17" x14ac:dyDescent="0.3">
      <c r="K8128">
        <v>2021</v>
      </c>
      <c r="L8128" t="s">
        <v>40</v>
      </c>
      <c r="M8128" t="s">
        <v>149</v>
      </c>
      <c r="N8128" t="s">
        <v>21</v>
      </c>
      <c r="O8128" t="s">
        <v>190</v>
      </c>
      <c r="P8128" s="1" t="s">
        <v>33</v>
      </c>
      <c r="Q8128">
        <v>157.69999999999999</v>
      </c>
    </row>
    <row r="8129" spans="11:17" x14ac:dyDescent="0.3">
      <c r="K8129">
        <v>2021</v>
      </c>
      <c r="L8129" t="s">
        <v>40</v>
      </c>
      <c r="M8129" t="s">
        <v>149</v>
      </c>
      <c r="N8129" t="s">
        <v>29</v>
      </c>
      <c r="O8129" t="s">
        <v>206</v>
      </c>
      <c r="P8129" s="1" t="s">
        <v>30</v>
      </c>
      <c r="Q8129">
        <v>163.19999999999999</v>
      </c>
    </row>
    <row r="8130" spans="11:17" x14ac:dyDescent="0.3">
      <c r="K8130">
        <v>2021</v>
      </c>
      <c r="L8130" t="s">
        <v>40</v>
      </c>
      <c r="M8130" t="s">
        <v>149</v>
      </c>
      <c r="N8130" t="s">
        <v>29</v>
      </c>
      <c r="O8130" t="s">
        <v>206</v>
      </c>
      <c r="P8130" s="1" t="s">
        <v>34</v>
      </c>
      <c r="Q8130">
        <v>162.5</v>
      </c>
    </row>
    <row r="8131" spans="11:17" x14ac:dyDescent="0.3">
      <c r="K8131">
        <v>2021</v>
      </c>
      <c r="L8131" t="s">
        <v>40</v>
      </c>
      <c r="M8131" t="s">
        <v>149</v>
      </c>
      <c r="N8131" t="s">
        <v>29</v>
      </c>
      <c r="O8131" t="s">
        <v>206</v>
      </c>
      <c r="P8131" s="1" t="s">
        <v>33</v>
      </c>
      <c r="Q8131">
        <v>161.80000000000001</v>
      </c>
    </row>
    <row r="8132" spans="11:17" x14ac:dyDescent="0.3">
      <c r="K8132">
        <v>2021</v>
      </c>
      <c r="L8132" t="s">
        <v>40</v>
      </c>
      <c r="M8132" t="s">
        <v>149</v>
      </c>
      <c r="N8132" t="s">
        <v>23</v>
      </c>
      <c r="O8132" t="s">
        <v>23</v>
      </c>
      <c r="P8132" s="1" t="s">
        <v>30</v>
      </c>
      <c r="Q8132">
        <v>170.4</v>
      </c>
    </row>
    <row r="8133" spans="11:17" x14ac:dyDescent="0.3">
      <c r="K8133">
        <v>2021</v>
      </c>
      <c r="L8133" t="s">
        <v>40</v>
      </c>
      <c r="M8133" t="s">
        <v>149</v>
      </c>
      <c r="N8133" t="s">
        <v>23</v>
      </c>
      <c r="O8133" t="s">
        <v>23</v>
      </c>
      <c r="P8133" s="1" t="s">
        <v>34</v>
      </c>
      <c r="Q8133">
        <v>167</v>
      </c>
    </row>
    <row r="8134" spans="11:17" x14ac:dyDescent="0.3">
      <c r="K8134">
        <v>2021</v>
      </c>
      <c r="L8134" t="s">
        <v>40</v>
      </c>
      <c r="M8134" t="s">
        <v>149</v>
      </c>
      <c r="N8134" t="s">
        <v>23</v>
      </c>
      <c r="O8134" t="s">
        <v>23</v>
      </c>
      <c r="P8134" s="1" t="s">
        <v>33</v>
      </c>
      <c r="Q8134">
        <v>161.5</v>
      </c>
    </row>
    <row r="8135" spans="11:17" x14ac:dyDescent="0.3">
      <c r="K8135">
        <v>2021</v>
      </c>
      <c r="L8135" t="s">
        <v>40</v>
      </c>
      <c r="M8135" t="s">
        <v>149</v>
      </c>
      <c r="N8135" t="s">
        <v>22</v>
      </c>
      <c r="O8135" t="s">
        <v>20</v>
      </c>
      <c r="P8135" s="1" t="s">
        <v>30</v>
      </c>
      <c r="Q8135">
        <v>160.30000000000001</v>
      </c>
    </row>
    <row r="8136" spans="11:17" x14ac:dyDescent="0.3">
      <c r="K8136">
        <v>2021</v>
      </c>
      <c r="L8136" t="s">
        <v>40</v>
      </c>
      <c r="M8136" t="s">
        <v>149</v>
      </c>
      <c r="N8136" t="s">
        <v>22</v>
      </c>
      <c r="O8136" t="s">
        <v>20</v>
      </c>
      <c r="P8136" s="1" t="s">
        <v>34</v>
      </c>
      <c r="Q8136">
        <v>155.80000000000001</v>
      </c>
    </row>
    <row r="8137" spans="11:17" x14ac:dyDescent="0.3">
      <c r="K8137">
        <v>2021</v>
      </c>
      <c r="L8137" t="s">
        <v>40</v>
      </c>
      <c r="M8137" t="s">
        <v>149</v>
      </c>
      <c r="N8137" t="s">
        <v>22</v>
      </c>
      <c r="O8137" t="s">
        <v>20</v>
      </c>
      <c r="P8137" s="1" t="s">
        <v>33</v>
      </c>
      <c r="Q8137">
        <v>150.69999999999999</v>
      </c>
    </row>
    <row r="8138" spans="11:17" x14ac:dyDescent="0.3">
      <c r="K8138">
        <v>2021</v>
      </c>
      <c r="L8138" t="s">
        <v>40</v>
      </c>
      <c r="M8138" t="s">
        <v>149</v>
      </c>
      <c r="N8138" t="s">
        <v>20</v>
      </c>
      <c r="O8138" t="s">
        <v>20</v>
      </c>
      <c r="P8138" s="1" t="s">
        <v>30</v>
      </c>
      <c r="Q8138">
        <v>0</v>
      </c>
    </row>
    <row r="8139" spans="11:17" x14ac:dyDescent="0.3">
      <c r="K8139">
        <v>2021</v>
      </c>
      <c r="L8139" t="s">
        <v>40</v>
      </c>
      <c r="M8139" t="s">
        <v>149</v>
      </c>
      <c r="N8139" t="s">
        <v>20</v>
      </c>
      <c r="O8139" t="s">
        <v>20</v>
      </c>
      <c r="P8139" s="1" t="s">
        <v>34</v>
      </c>
      <c r="Q8139">
        <v>161.5</v>
      </c>
    </row>
    <row r="8140" spans="11:17" x14ac:dyDescent="0.3">
      <c r="K8140">
        <v>2021</v>
      </c>
      <c r="L8140" t="s">
        <v>40</v>
      </c>
      <c r="M8140" t="s">
        <v>149</v>
      </c>
      <c r="N8140" t="s">
        <v>20</v>
      </c>
      <c r="O8140" t="s">
        <v>20</v>
      </c>
      <c r="P8140" s="1" t="s">
        <v>33</v>
      </c>
      <c r="Q8140">
        <v>161.5</v>
      </c>
    </row>
    <row r="8141" spans="11:17" x14ac:dyDescent="0.3">
      <c r="K8141">
        <v>2021</v>
      </c>
      <c r="L8141" t="s">
        <v>40</v>
      </c>
      <c r="M8141" t="s">
        <v>149</v>
      </c>
      <c r="N8141" t="s">
        <v>4</v>
      </c>
      <c r="O8141" t="s">
        <v>188</v>
      </c>
      <c r="P8141" s="1" t="s">
        <v>30</v>
      </c>
      <c r="Q8141">
        <v>204.5</v>
      </c>
    </row>
    <row r="8142" spans="11:17" x14ac:dyDescent="0.3">
      <c r="K8142">
        <v>2021</v>
      </c>
      <c r="L8142" t="s">
        <v>40</v>
      </c>
      <c r="M8142" t="s">
        <v>149</v>
      </c>
      <c r="N8142" t="s">
        <v>4</v>
      </c>
      <c r="O8142" t="s">
        <v>188</v>
      </c>
      <c r="P8142" s="1" t="s">
        <v>34</v>
      </c>
      <c r="Q8142">
        <v>206.8</v>
      </c>
    </row>
    <row r="8143" spans="11:17" x14ac:dyDescent="0.3">
      <c r="K8143">
        <v>2021</v>
      </c>
      <c r="L8143" t="s">
        <v>40</v>
      </c>
      <c r="M8143" t="s">
        <v>149</v>
      </c>
      <c r="N8143" t="s">
        <v>4</v>
      </c>
      <c r="O8143" t="s">
        <v>188</v>
      </c>
      <c r="P8143" s="1" t="s">
        <v>33</v>
      </c>
      <c r="Q8143">
        <v>210.9</v>
      </c>
    </row>
    <row r="8144" spans="11:17" x14ac:dyDescent="0.3">
      <c r="K8144">
        <v>2021</v>
      </c>
      <c r="L8144" t="s">
        <v>40</v>
      </c>
      <c r="M8144" t="s">
        <v>149</v>
      </c>
      <c r="N8144" t="s">
        <v>6</v>
      </c>
      <c r="O8144" t="s">
        <v>188</v>
      </c>
      <c r="P8144" s="1" t="s">
        <v>30</v>
      </c>
      <c r="Q8144">
        <v>157.1</v>
      </c>
    </row>
    <row r="8145" spans="11:17" x14ac:dyDescent="0.3">
      <c r="K8145">
        <v>2021</v>
      </c>
      <c r="L8145" t="s">
        <v>40</v>
      </c>
      <c r="M8145" t="s">
        <v>149</v>
      </c>
      <c r="N8145" t="s">
        <v>6</v>
      </c>
      <c r="O8145" t="s">
        <v>188</v>
      </c>
      <c r="P8145" s="1" t="s">
        <v>34</v>
      </c>
      <c r="Q8145">
        <v>157.5</v>
      </c>
    </row>
    <row r="8146" spans="11:17" x14ac:dyDescent="0.3">
      <c r="K8146">
        <v>2021</v>
      </c>
      <c r="L8146" t="s">
        <v>40</v>
      </c>
      <c r="M8146" t="s">
        <v>149</v>
      </c>
      <c r="N8146" t="s">
        <v>6</v>
      </c>
      <c r="O8146" t="s">
        <v>188</v>
      </c>
      <c r="P8146" s="1" t="s">
        <v>33</v>
      </c>
      <c r="Q8146">
        <v>158.19999999999999</v>
      </c>
    </row>
    <row r="8147" spans="11:17" x14ac:dyDescent="0.3">
      <c r="K8147">
        <v>2021</v>
      </c>
      <c r="L8147" t="s">
        <v>40</v>
      </c>
      <c r="M8147" t="s">
        <v>149</v>
      </c>
      <c r="N8147" t="s">
        <v>28</v>
      </c>
      <c r="O8147" t="s">
        <v>192</v>
      </c>
      <c r="P8147" s="1" t="s">
        <v>30</v>
      </c>
      <c r="Q8147">
        <v>162.80000000000001</v>
      </c>
    </row>
    <row r="8148" spans="11:17" x14ac:dyDescent="0.3">
      <c r="K8148">
        <v>2021</v>
      </c>
      <c r="L8148" t="s">
        <v>40</v>
      </c>
      <c r="M8148" t="s">
        <v>149</v>
      </c>
      <c r="N8148" t="s">
        <v>28</v>
      </c>
      <c r="O8148" t="s">
        <v>192</v>
      </c>
      <c r="P8148" s="1" t="s">
        <v>34</v>
      </c>
      <c r="Q8148">
        <v>159</v>
      </c>
    </row>
    <row r="8149" spans="11:17" x14ac:dyDescent="0.3">
      <c r="K8149">
        <v>2021</v>
      </c>
      <c r="L8149" t="s">
        <v>40</v>
      </c>
      <c r="M8149" t="s">
        <v>149</v>
      </c>
      <c r="N8149" t="s">
        <v>28</v>
      </c>
      <c r="O8149" t="s">
        <v>192</v>
      </c>
      <c r="P8149" s="1" t="s">
        <v>33</v>
      </c>
      <c r="Q8149">
        <v>155</v>
      </c>
    </row>
    <row r="8150" spans="11:17" x14ac:dyDescent="0.3">
      <c r="K8150">
        <v>2021</v>
      </c>
      <c r="L8150" t="s">
        <v>40</v>
      </c>
      <c r="M8150" t="s">
        <v>149</v>
      </c>
      <c r="N8150" t="s">
        <v>13</v>
      </c>
      <c r="O8150" t="s">
        <v>188</v>
      </c>
      <c r="P8150" s="1" t="s">
        <v>30</v>
      </c>
      <c r="Q8150">
        <v>166.2</v>
      </c>
    </row>
    <row r="8151" spans="11:17" x14ac:dyDescent="0.3">
      <c r="K8151">
        <v>2021</v>
      </c>
      <c r="L8151" t="s">
        <v>40</v>
      </c>
      <c r="M8151" t="s">
        <v>149</v>
      </c>
      <c r="N8151" t="s">
        <v>13</v>
      </c>
      <c r="O8151" t="s">
        <v>188</v>
      </c>
      <c r="P8151" s="1" t="s">
        <v>34</v>
      </c>
      <c r="Q8151">
        <v>160.9</v>
      </c>
    </row>
    <row r="8152" spans="11:17" x14ac:dyDescent="0.3">
      <c r="K8152">
        <v>2021</v>
      </c>
      <c r="L8152" t="s">
        <v>40</v>
      </c>
      <c r="M8152" t="s">
        <v>149</v>
      </c>
      <c r="N8152" t="s">
        <v>13</v>
      </c>
      <c r="O8152" t="s">
        <v>188</v>
      </c>
      <c r="P8152" s="1" t="s">
        <v>33</v>
      </c>
      <c r="Q8152">
        <v>153.4</v>
      </c>
    </row>
    <row r="8153" spans="11:17" x14ac:dyDescent="0.3">
      <c r="K8153">
        <v>2021</v>
      </c>
      <c r="L8153" t="s">
        <v>40</v>
      </c>
      <c r="M8153" t="s">
        <v>149</v>
      </c>
      <c r="N8153" t="s">
        <v>7</v>
      </c>
      <c r="O8153" t="s">
        <v>188</v>
      </c>
      <c r="P8153" s="1" t="s">
        <v>30</v>
      </c>
      <c r="Q8153">
        <v>188.7</v>
      </c>
    </row>
    <row r="8154" spans="11:17" x14ac:dyDescent="0.3">
      <c r="K8154">
        <v>2021</v>
      </c>
      <c r="L8154" t="s">
        <v>40</v>
      </c>
      <c r="M8154" t="s">
        <v>149</v>
      </c>
      <c r="N8154" t="s">
        <v>7</v>
      </c>
      <c r="O8154" t="s">
        <v>188</v>
      </c>
      <c r="P8154" s="1" t="s">
        <v>34</v>
      </c>
      <c r="Q8154">
        <v>182.1</v>
      </c>
    </row>
    <row r="8155" spans="11:17" x14ac:dyDescent="0.3">
      <c r="K8155">
        <v>2021</v>
      </c>
      <c r="L8155" t="s">
        <v>40</v>
      </c>
      <c r="M8155" t="s">
        <v>149</v>
      </c>
      <c r="N8155" t="s">
        <v>7</v>
      </c>
      <c r="O8155" t="s">
        <v>188</v>
      </c>
      <c r="P8155" s="1" t="s">
        <v>33</v>
      </c>
      <c r="Q8155">
        <v>170.6</v>
      </c>
    </row>
    <row r="8156" spans="11:17" x14ac:dyDescent="0.3">
      <c r="K8156">
        <v>2021</v>
      </c>
      <c r="L8156" t="s">
        <v>40</v>
      </c>
      <c r="M8156" t="s">
        <v>149</v>
      </c>
      <c r="N8156" t="s">
        <v>16</v>
      </c>
      <c r="O8156" t="s">
        <v>192</v>
      </c>
      <c r="P8156" s="1" t="s">
        <v>30</v>
      </c>
      <c r="Q8156">
        <v>189.7</v>
      </c>
    </row>
    <row r="8157" spans="11:17" x14ac:dyDescent="0.3">
      <c r="K8157">
        <v>2021</v>
      </c>
      <c r="L8157" t="s">
        <v>40</v>
      </c>
      <c r="M8157" t="s">
        <v>149</v>
      </c>
      <c r="N8157" t="s">
        <v>16</v>
      </c>
      <c r="O8157" t="s">
        <v>192</v>
      </c>
      <c r="P8157" s="1" t="s">
        <v>34</v>
      </c>
      <c r="Q8157">
        <v>191.2</v>
      </c>
    </row>
    <row r="8158" spans="11:17" x14ac:dyDescent="0.3">
      <c r="K8158">
        <v>2021</v>
      </c>
      <c r="L8158" t="s">
        <v>40</v>
      </c>
      <c r="M8158" t="s">
        <v>149</v>
      </c>
      <c r="N8158" t="s">
        <v>16</v>
      </c>
      <c r="O8158" t="s">
        <v>192</v>
      </c>
      <c r="P8158" s="1" t="s">
        <v>33</v>
      </c>
      <c r="Q8158">
        <v>195.5</v>
      </c>
    </row>
    <row r="8159" spans="11:17" x14ac:dyDescent="0.3">
      <c r="K8159">
        <v>2021</v>
      </c>
      <c r="L8159" t="s">
        <v>40</v>
      </c>
      <c r="M8159" t="s">
        <v>149</v>
      </c>
      <c r="N8159" t="s">
        <v>27</v>
      </c>
      <c r="O8159" t="s">
        <v>192</v>
      </c>
      <c r="P8159" s="1" t="s">
        <v>30</v>
      </c>
      <c r="Q8159">
        <v>160.4</v>
      </c>
    </row>
    <row r="8160" spans="11:17" x14ac:dyDescent="0.3">
      <c r="K8160">
        <v>2021</v>
      </c>
      <c r="L8160" t="s">
        <v>40</v>
      </c>
      <c r="M8160" t="s">
        <v>149</v>
      </c>
      <c r="N8160" t="s">
        <v>27</v>
      </c>
      <c r="O8160" t="s">
        <v>192</v>
      </c>
      <c r="P8160" s="1" t="s">
        <v>34</v>
      </c>
      <c r="Q8160">
        <v>160.1</v>
      </c>
    </row>
    <row r="8161" spans="11:17" x14ac:dyDescent="0.3">
      <c r="K8161">
        <v>2021</v>
      </c>
      <c r="L8161" t="s">
        <v>40</v>
      </c>
      <c r="M8161" t="s">
        <v>149</v>
      </c>
      <c r="N8161" t="s">
        <v>27</v>
      </c>
      <c r="O8161" t="s">
        <v>192</v>
      </c>
      <c r="P8161" s="1" t="s">
        <v>33</v>
      </c>
      <c r="Q8161">
        <v>159.6</v>
      </c>
    </row>
    <row r="8162" spans="11:17" x14ac:dyDescent="0.3">
      <c r="K8162">
        <v>2021</v>
      </c>
      <c r="L8162" t="s">
        <v>40</v>
      </c>
      <c r="M8162" t="s">
        <v>149</v>
      </c>
      <c r="N8162" t="s">
        <v>14</v>
      </c>
      <c r="O8162" t="s">
        <v>188</v>
      </c>
      <c r="P8162" s="1" t="s">
        <v>30</v>
      </c>
      <c r="Q8162">
        <v>171</v>
      </c>
    </row>
    <row r="8163" spans="11:17" x14ac:dyDescent="0.3">
      <c r="K8163">
        <v>2021</v>
      </c>
      <c r="L8163" t="s">
        <v>40</v>
      </c>
      <c r="M8163" t="s">
        <v>149</v>
      </c>
      <c r="N8163" t="s">
        <v>14</v>
      </c>
      <c r="O8163" t="s">
        <v>188</v>
      </c>
      <c r="P8163" s="1" t="s">
        <v>34</v>
      </c>
      <c r="Q8163">
        <v>172.2</v>
      </c>
    </row>
    <row r="8164" spans="11:17" x14ac:dyDescent="0.3">
      <c r="K8164">
        <v>2021</v>
      </c>
      <c r="L8164" t="s">
        <v>40</v>
      </c>
      <c r="M8164" t="s">
        <v>149</v>
      </c>
      <c r="N8164" t="s">
        <v>14</v>
      </c>
      <c r="O8164" t="s">
        <v>188</v>
      </c>
      <c r="P8164" s="1" t="s">
        <v>33</v>
      </c>
      <c r="Q8164">
        <v>173.5</v>
      </c>
    </row>
    <row r="8165" spans="11:17" x14ac:dyDescent="0.3">
      <c r="K8165">
        <v>2021</v>
      </c>
      <c r="L8165" t="s">
        <v>40</v>
      </c>
      <c r="M8165" t="s">
        <v>149</v>
      </c>
      <c r="N8165" t="s">
        <v>10</v>
      </c>
      <c r="O8165" t="s">
        <v>188</v>
      </c>
      <c r="P8165" s="1" t="s">
        <v>30</v>
      </c>
      <c r="Q8165">
        <v>163.6</v>
      </c>
    </row>
    <row r="8166" spans="11:17" x14ac:dyDescent="0.3">
      <c r="K8166">
        <v>2021</v>
      </c>
      <c r="L8166" t="s">
        <v>40</v>
      </c>
      <c r="M8166" t="s">
        <v>149</v>
      </c>
      <c r="N8166" t="s">
        <v>10</v>
      </c>
      <c r="O8166" t="s">
        <v>188</v>
      </c>
      <c r="P8166" s="1" t="s">
        <v>34</v>
      </c>
      <c r="Q8166">
        <v>164</v>
      </c>
    </row>
    <row r="8167" spans="11:17" x14ac:dyDescent="0.3">
      <c r="K8167">
        <v>2021</v>
      </c>
      <c r="L8167" t="s">
        <v>40</v>
      </c>
      <c r="M8167" t="s">
        <v>149</v>
      </c>
      <c r="N8167" t="s">
        <v>10</v>
      </c>
      <c r="O8167" t="s">
        <v>188</v>
      </c>
      <c r="P8167" s="1" t="s">
        <v>33</v>
      </c>
      <c r="Q8167">
        <v>164.7</v>
      </c>
    </row>
    <row r="8168" spans="11:17" x14ac:dyDescent="0.3">
      <c r="K8168">
        <v>2021</v>
      </c>
      <c r="L8168" t="s">
        <v>40</v>
      </c>
      <c r="M8168" t="s">
        <v>149</v>
      </c>
      <c r="N8168" t="s">
        <v>25</v>
      </c>
      <c r="O8168" t="s">
        <v>195</v>
      </c>
      <c r="P8168" s="1" t="s">
        <v>30</v>
      </c>
      <c r="Q8168">
        <v>160.69999999999999</v>
      </c>
    </row>
    <row r="8169" spans="11:17" x14ac:dyDescent="0.3">
      <c r="K8169">
        <v>2021</v>
      </c>
      <c r="L8169" t="s">
        <v>40</v>
      </c>
      <c r="M8169" t="s">
        <v>149</v>
      </c>
      <c r="N8169" t="s">
        <v>25</v>
      </c>
      <c r="O8169" t="s">
        <v>195</v>
      </c>
      <c r="P8169" s="1" t="s">
        <v>34</v>
      </c>
      <c r="Q8169">
        <v>155.30000000000001</v>
      </c>
    </row>
    <row r="8170" spans="11:17" x14ac:dyDescent="0.3">
      <c r="K8170">
        <v>2021</v>
      </c>
      <c r="L8170" t="s">
        <v>40</v>
      </c>
      <c r="M8170" t="s">
        <v>149</v>
      </c>
      <c r="N8170" t="s">
        <v>25</v>
      </c>
      <c r="O8170" t="s">
        <v>195</v>
      </c>
      <c r="P8170" s="1" t="s">
        <v>33</v>
      </c>
      <c r="Q8170">
        <v>151.19999999999999</v>
      </c>
    </row>
    <row r="8171" spans="11:17" x14ac:dyDescent="0.3">
      <c r="K8171">
        <v>2021</v>
      </c>
      <c r="L8171" t="s">
        <v>40</v>
      </c>
      <c r="M8171" t="s">
        <v>149</v>
      </c>
      <c r="N8171" t="s">
        <v>12</v>
      </c>
      <c r="O8171" t="s">
        <v>188</v>
      </c>
      <c r="P8171" s="1" t="s">
        <v>30</v>
      </c>
      <c r="Q8171">
        <v>169.7</v>
      </c>
    </row>
    <row r="8172" spans="11:17" x14ac:dyDescent="0.3">
      <c r="K8172">
        <v>2021</v>
      </c>
      <c r="L8172" t="s">
        <v>40</v>
      </c>
      <c r="M8172" t="s">
        <v>149</v>
      </c>
      <c r="N8172" t="s">
        <v>12</v>
      </c>
      <c r="O8172" t="s">
        <v>188</v>
      </c>
      <c r="P8172" s="1" t="s">
        <v>34</v>
      </c>
      <c r="Q8172">
        <v>168.3</v>
      </c>
    </row>
    <row r="8173" spans="11:17" x14ac:dyDescent="0.3">
      <c r="K8173">
        <v>2021</v>
      </c>
      <c r="L8173" t="s">
        <v>40</v>
      </c>
      <c r="M8173" t="s">
        <v>149</v>
      </c>
      <c r="N8173" t="s">
        <v>12</v>
      </c>
      <c r="O8173" t="s">
        <v>188</v>
      </c>
      <c r="P8173" s="1" t="s">
        <v>33</v>
      </c>
      <c r="Q8173">
        <v>165.5</v>
      </c>
    </row>
    <row r="8174" spans="11:17" x14ac:dyDescent="0.3">
      <c r="K8174">
        <v>2021</v>
      </c>
      <c r="L8174" t="s">
        <v>40</v>
      </c>
      <c r="M8174" t="s">
        <v>149</v>
      </c>
      <c r="N8174" t="s">
        <v>11</v>
      </c>
      <c r="O8174" t="s">
        <v>188</v>
      </c>
      <c r="P8174" s="1" t="s">
        <v>30</v>
      </c>
      <c r="Q8174">
        <v>113.9</v>
      </c>
    </row>
    <row r="8175" spans="11:17" x14ac:dyDescent="0.3">
      <c r="K8175">
        <v>2021</v>
      </c>
      <c r="L8175" t="s">
        <v>40</v>
      </c>
      <c r="M8175" t="s">
        <v>149</v>
      </c>
      <c r="N8175" t="s">
        <v>11</v>
      </c>
      <c r="O8175" t="s">
        <v>188</v>
      </c>
      <c r="P8175" s="1" t="s">
        <v>34</v>
      </c>
      <c r="Q8175">
        <v>114.5</v>
      </c>
    </row>
    <row r="8176" spans="11:17" x14ac:dyDescent="0.3">
      <c r="K8176">
        <v>2021</v>
      </c>
      <c r="L8176" t="s">
        <v>40</v>
      </c>
      <c r="M8176" t="s">
        <v>149</v>
      </c>
      <c r="N8176" t="s">
        <v>11</v>
      </c>
      <c r="O8176" t="s">
        <v>188</v>
      </c>
      <c r="P8176" s="1" t="s">
        <v>33</v>
      </c>
      <c r="Q8176">
        <v>115.7</v>
      </c>
    </row>
    <row r="8177" spans="11:17" x14ac:dyDescent="0.3">
      <c r="K8177">
        <v>2021</v>
      </c>
      <c r="L8177" t="s">
        <v>40</v>
      </c>
      <c r="M8177" t="s">
        <v>149</v>
      </c>
      <c r="N8177" t="s">
        <v>24</v>
      </c>
      <c r="O8177" t="s">
        <v>191</v>
      </c>
      <c r="P8177" s="1" t="s">
        <v>30</v>
      </c>
      <c r="Q8177">
        <v>157.1</v>
      </c>
    </row>
    <row r="8178" spans="11:17" x14ac:dyDescent="0.3">
      <c r="K8178">
        <v>2021</v>
      </c>
      <c r="L8178" t="s">
        <v>40</v>
      </c>
      <c r="M8178" t="s">
        <v>149</v>
      </c>
      <c r="N8178" t="s">
        <v>24</v>
      </c>
      <c r="O8178" t="s">
        <v>191</v>
      </c>
      <c r="P8178" s="1" t="s">
        <v>34</v>
      </c>
      <c r="Q8178">
        <v>153.1</v>
      </c>
    </row>
    <row r="8179" spans="11:17" x14ac:dyDescent="0.3">
      <c r="K8179">
        <v>2021</v>
      </c>
      <c r="L8179" t="s">
        <v>40</v>
      </c>
      <c r="M8179" t="s">
        <v>149</v>
      </c>
      <c r="N8179" t="s">
        <v>24</v>
      </c>
      <c r="O8179" t="s">
        <v>191</v>
      </c>
      <c r="P8179" s="1" t="s">
        <v>33</v>
      </c>
      <c r="Q8179">
        <v>149.5</v>
      </c>
    </row>
    <row r="8180" spans="11:17" x14ac:dyDescent="0.3">
      <c r="K8180">
        <v>2021</v>
      </c>
      <c r="L8180" t="s">
        <v>40</v>
      </c>
      <c r="M8180" t="s">
        <v>149</v>
      </c>
      <c r="N8180" t="s">
        <v>9</v>
      </c>
      <c r="O8180" t="s">
        <v>188</v>
      </c>
      <c r="P8180" s="1" t="s">
        <v>30</v>
      </c>
      <c r="Q8180">
        <v>152.80000000000001</v>
      </c>
    </row>
    <row r="8181" spans="11:17" x14ac:dyDescent="0.3">
      <c r="K8181">
        <v>2021</v>
      </c>
      <c r="L8181" t="s">
        <v>40</v>
      </c>
      <c r="M8181" t="s">
        <v>149</v>
      </c>
      <c r="N8181" t="s">
        <v>9</v>
      </c>
      <c r="O8181" t="s">
        <v>188</v>
      </c>
      <c r="P8181" s="1" t="s">
        <v>34</v>
      </c>
      <c r="Q8181">
        <v>164.2</v>
      </c>
    </row>
    <row r="8182" spans="11:17" x14ac:dyDescent="0.3">
      <c r="K8182">
        <v>2021</v>
      </c>
      <c r="L8182" t="s">
        <v>40</v>
      </c>
      <c r="M8182" t="s">
        <v>149</v>
      </c>
      <c r="N8182" t="s">
        <v>9</v>
      </c>
      <c r="O8182" t="s">
        <v>188</v>
      </c>
      <c r="P8182" s="1" t="s">
        <v>33</v>
      </c>
      <c r="Q8182">
        <v>186.4</v>
      </c>
    </row>
    <row r="8183" spans="11:17" x14ac:dyDescent="0.3">
      <c r="K8183">
        <v>2021</v>
      </c>
      <c r="L8183" t="s">
        <v>39</v>
      </c>
      <c r="M8183" t="s">
        <v>150</v>
      </c>
      <c r="N8183" t="s">
        <v>3</v>
      </c>
      <c r="O8183" t="s">
        <v>188</v>
      </c>
      <c r="P8183" s="1" t="s">
        <v>30</v>
      </c>
      <c r="Q8183">
        <v>145.6</v>
      </c>
    </row>
    <row r="8184" spans="11:17" x14ac:dyDescent="0.3">
      <c r="K8184">
        <v>2021</v>
      </c>
      <c r="L8184" t="s">
        <v>39</v>
      </c>
      <c r="M8184" t="s">
        <v>150</v>
      </c>
      <c r="N8184" t="s">
        <v>3</v>
      </c>
      <c r="O8184" t="s">
        <v>188</v>
      </c>
      <c r="P8184" s="1" t="s">
        <v>34</v>
      </c>
      <c r="Q8184">
        <v>146.69999999999999</v>
      </c>
    </row>
    <row r="8185" spans="11:17" x14ac:dyDescent="0.3">
      <c r="K8185">
        <v>2021</v>
      </c>
      <c r="L8185" t="s">
        <v>39</v>
      </c>
      <c r="M8185" t="s">
        <v>150</v>
      </c>
      <c r="N8185" t="s">
        <v>3</v>
      </c>
      <c r="O8185" t="s">
        <v>188</v>
      </c>
      <c r="P8185" s="1" t="s">
        <v>33</v>
      </c>
      <c r="Q8185">
        <v>149.19999999999999</v>
      </c>
    </row>
    <row r="8186" spans="11:17" x14ac:dyDescent="0.3">
      <c r="K8186">
        <v>2021</v>
      </c>
      <c r="L8186" t="s">
        <v>39</v>
      </c>
      <c r="M8186" t="s">
        <v>150</v>
      </c>
      <c r="N8186" t="s">
        <v>17</v>
      </c>
      <c r="O8186" t="s">
        <v>189</v>
      </c>
      <c r="P8186" s="1" t="s">
        <v>30</v>
      </c>
      <c r="Q8186">
        <v>165.3</v>
      </c>
    </row>
    <row r="8187" spans="11:17" x14ac:dyDescent="0.3">
      <c r="K8187">
        <v>2021</v>
      </c>
      <c r="L8187" t="s">
        <v>39</v>
      </c>
      <c r="M8187" t="s">
        <v>150</v>
      </c>
      <c r="N8187" t="s">
        <v>17</v>
      </c>
      <c r="O8187" t="s">
        <v>189</v>
      </c>
      <c r="P8187" s="1" t="s">
        <v>34</v>
      </c>
      <c r="Q8187">
        <v>162.19999999999999</v>
      </c>
    </row>
    <row r="8188" spans="11:17" x14ac:dyDescent="0.3">
      <c r="K8188">
        <v>2021</v>
      </c>
      <c r="L8188" t="s">
        <v>39</v>
      </c>
      <c r="M8188" t="s">
        <v>150</v>
      </c>
      <c r="N8188" t="s">
        <v>17</v>
      </c>
      <c r="O8188" t="s">
        <v>189</v>
      </c>
      <c r="P8188" s="1" t="s">
        <v>33</v>
      </c>
      <c r="Q8188">
        <v>157.30000000000001</v>
      </c>
    </row>
    <row r="8189" spans="11:17" x14ac:dyDescent="0.3">
      <c r="K8189">
        <v>2021</v>
      </c>
      <c r="L8189" t="s">
        <v>39</v>
      </c>
      <c r="M8189" t="s">
        <v>150</v>
      </c>
      <c r="N8189" t="s">
        <v>19</v>
      </c>
      <c r="O8189" t="s">
        <v>189</v>
      </c>
      <c r="P8189" s="1" t="s">
        <v>30</v>
      </c>
      <c r="Q8189">
        <v>164.6</v>
      </c>
    </row>
    <row r="8190" spans="11:17" x14ac:dyDescent="0.3">
      <c r="K8190">
        <v>2021</v>
      </c>
      <c r="L8190" t="s">
        <v>39</v>
      </c>
      <c r="M8190" t="s">
        <v>150</v>
      </c>
      <c r="N8190" t="s">
        <v>19</v>
      </c>
      <c r="O8190" t="s">
        <v>189</v>
      </c>
      <c r="P8190" s="1" t="s">
        <v>34</v>
      </c>
      <c r="Q8190">
        <v>160.69999999999999</v>
      </c>
    </row>
    <row r="8191" spans="11:17" x14ac:dyDescent="0.3">
      <c r="K8191">
        <v>2021</v>
      </c>
      <c r="L8191" t="s">
        <v>39</v>
      </c>
      <c r="M8191" t="s">
        <v>150</v>
      </c>
      <c r="N8191" t="s">
        <v>19</v>
      </c>
      <c r="O8191" t="s">
        <v>189</v>
      </c>
      <c r="P8191" s="1" t="s">
        <v>33</v>
      </c>
      <c r="Q8191">
        <v>154.80000000000001</v>
      </c>
    </row>
    <row r="8192" spans="11:17" x14ac:dyDescent="0.3">
      <c r="K8192">
        <v>2021</v>
      </c>
      <c r="L8192" t="s">
        <v>39</v>
      </c>
      <c r="M8192" t="s">
        <v>150</v>
      </c>
      <c r="N8192" t="s">
        <v>26</v>
      </c>
      <c r="O8192" t="s">
        <v>26</v>
      </c>
      <c r="P8192" s="1" t="s">
        <v>30</v>
      </c>
      <c r="Q8192">
        <v>166.8</v>
      </c>
    </row>
    <row r="8193" spans="11:17" x14ac:dyDescent="0.3">
      <c r="K8193">
        <v>2021</v>
      </c>
      <c r="L8193" t="s">
        <v>39</v>
      </c>
      <c r="M8193" t="s">
        <v>150</v>
      </c>
      <c r="N8193" t="s">
        <v>26</v>
      </c>
      <c r="O8193" t="s">
        <v>26</v>
      </c>
      <c r="P8193" s="1" t="s">
        <v>34</v>
      </c>
      <c r="Q8193">
        <v>161.69999999999999</v>
      </c>
    </row>
    <row r="8194" spans="11:17" x14ac:dyDescent="0.3">
      <c r="K8194">
        <v>2021</v>
      </c>
      <c r="L8194" t="s">
        <v>39</v>
      </c>
      <c r="M8194" t="s">
        <v>150</v>
      </c>
      <c r="N8194" t="s">
        <v>26</v>
      </c>
      <c r="O8194" t="s">
        <v>26</v>
      </c>
      <c r="P8194" s="1" t="s">
        <v>33</v>
      </c>
      <c r="Q8194">
        <v>158.1</v>
      </c>
    </row>
    <row r="8195" spans="11:17" x14ac:dyDescent="0.3">
      <c r="K8195">
        <v>2021</v>
      </c>
      <c r="L8195" t="s">
        <v>39</v>
      </c>
      <c r="M8195" t="s">
        <v>150</v>
      </c>
      <c r="N8195" t="s">
        <v>5</v>
      </c>
      <c r="O8195" t="s">
        <v>188</v>
      </c>
      <c r="P8195" s="1" t="s">
        <v>30</v>
      </c>
      <c r="Q8195">
        <v>179.3</v>
      </c>
    </row>
    <row r="8196" spans="11:17" x14ac:dyDescent="0.3">
      <c r="K8196">
        <v>2021</v>
      </c>
      <c r="L8196" t="s">
        <v>39</v>
      </c>
      <c r="M8196" t="s">
        <v>150</v>
      </c>
      <c r="N8196" t="s">
        <v>5</v>
      </c>
      <c r="O8196" t="s">
        <v>188</v>
      </c>
      <c r="P8196" s="1" t="s">
        <v>34</v>
      </c>
      <c r="Q8196">
        <v>180.7</v>
      </c>
    </row>
    <row r="8197" spans="11:17" x14ac:dyDescent="0.3">
      <c r="K8197">
        <v>2021</v>
      </c>
      <c r="L8197" t="s">
        <v>39</v>
      </c>
      <c r="M8197" t="s">
        <v>150</v>
      </c>
      <c r="N8197" t="s">
        <v>5</v>
      </c>
      <c r="O8197" t="s">
        <v>188</v>
      </c>
      <c r="P8197" s="1" t="s">
        <v>33</v>
      </c>
      <c r="Q8197">
        <v>182.8</v>
      </c>
    </row>
    <row r="8198" spans="11:17" x14ac:dyDescent="0.3">
      <c r="K8198">
        <v>2021</v>
      </c>
      <c r="L8198" t="s">
        <v>39</v>
      </c>
      <c r="M8198" t="s">
        <v>150</v>
      </c>
      <c r="N8198" t="s">
        <v>15</v>
      </c>
      <c r="O8198" t="s">
        <v>188</v>
      </c>
      <c r="P8198" s="1" t="s">
        <v>30</v>
      </c>
      <c r="Q8198">
        <v>160.5</v>
      </c>
    </row>
    <row r="8199" spans="11:17" x14ac:dyDescent="0.3">
      <c r="K8199">
        <v>2021</v>
      </c>
      <c r="L8199" t="s">
        <v>39</v>
      </c>
      <c r="M8199" t="s">
        <v>150</v>
      </c>
      <c r="N8199" t="s">
        <v>15</v>
      </c>
      <c r="O8199" t="s">
        <v>188</v>
      </c>
      <c r="P8199" s="1" t="s">
        <v>34</v>
      </c>
      <c r="Q8199">
        <v>162.6</v>
      </c>
    </row>
    <row r="8200" spans="11:17" x14ac:dyDescent="0.3">
      <c r="K8200">
        <v>2021</v>
      </c>
      <c r="L8200" t="s">
        <v>39</v>
      </c>
      <c r="M8200" t="s">
        <v>150</v>
      </c>
      <c r="N8200" t="s">
        <v>15</v>
      </c>
      <c r="O8200" t="s">
        <v>188</v>
      </c>
      <c r="P8200" s="1" t="s">
        <v>33</v>
      </c>
      <c r="Q8200">
        <v>166.2</v>
      </c>
    </row>
    <row r="8201" spans="11:17" x14ac:dyDescent="0.3">
      <c r="K8201">
        <v>2021</v>
      </c>
      <c r="L8201" t="s">
        <v>39</v>
      </c>
      <c r="M8201" t="s">
        <v>150</v>
      </c>
      <c r="N8201" t="s">
        <v>18</v>
      </c>
      <c r="O8201" t="s">
        <v>189</v>
      </c>
      <c r="P8201" s="1" t="s">
        <v>30</v>
      </c>
      <c r="Q8201">
        <v>159.9</v>
      </c>
    </row>
    <row r="8202" spans="11:17" x14ac:dyDescent="0.3">
      <c r="K8202">
        <v>2021</v>
      </c>
      <c r="L8202" t="s">
        <v>39</v>
      </c>
      <c r="M8202" t="s">
        <v>150</v>
      </c>
      <c r="N8202" t="s">
        <v>18</v>
      </c>
      <c r="O8202" t="s">
        <v>189</v>
      </c>
      <c r="P8202" s="1" t="s">
        <v>34</v>
      </c>
      <c r="Q8202">
        <v>151.80000000000001</v>
      </c>
    </row>
    <row r="8203" spans="11:17" x14ac:dyDescent="0.3">
      <c r="K8203">
        <v>2021</v>
      </c>
      <c r="L8203" t="s">
        <v>39</v>
      </c>
      <c r="M8203" t="s">
        <v>150</v>
      </c>
      <c r="N8203" t="s">
        <v>18</v>
      </c>
      <c r="O8203" t="s">
        <v>189</v>
      </c>
      <c r="P8203" s="1" t="s">
        <v>33</v>
      </c>
      <c r="Q8203">
        <v>140.5</v>
      </c>
    </row>
    <row r="8204" spans="11:17" x14ac:dyDescent="0.3">
      <c r="K8204">
        <v>2021</v>
      </c>
      <c r="L8204" t="s">
        <v>39</v>
      </c>
      <c r="M8204" t="s">
        <v>150</v>
      </c>
      <c r="N8204" t="s">
        <v>8</v>
      </c>
      <c r="O8204" t="s">
        <v>188</v>
      </c>
      <c r="P8204" s="1" t="s">
        <v>30</v>
      </c>
      <c r="Q8204">
        <v>158.6</v>
      </c>
    </row>
    <row r="8205" spans="11:17" x14ac:dyDescent="0.3">
      <c r="K8205">
        <v>2021</v>
      </c>
      <c r="L8205" t="s">
        <v>39</v>
      </c>
      <c r="M8205" t="s">
        <v>150</v>
      </c>
      <c r="N8205" t="s">
        <v>8</v>
      </c>
      <c r="O8205" t="s">
        <v>188</v>
      </c>
      <c r="P8205" s="1" t="s">
        <v>34</v>
      </c>
      <c r="Q8205">
        <v>164.6</v>
      </c>
    </row>
    <row r="8206" spans="11:17" x14ac:dyDescent="0.3">
      <c r="K8206">
        <v>2021</v>
      </c>
      <c r="L8206" t="s">
        <v>39</v>
      </c>
      <c r="M8206" t="s">
        <v>150</v>
      </c>
      <c r="N8206" t="s">
        <v>8</v>
      </c>
      <c r="O8206" t="s">
        <v>188</v>
      </c>
      <c r="P8206" s="1" t="s">
        <v>33</v>
      </c>
      <c r="Q8206">
        <v>171.5</v>
      </c>
    </row>
    <row r="8207" spans="11:17" x14ac:dyDescent="0.3">
      <c r="K8207">
        <v>2021</v>
      </c>
      <c r="L8207" t="s">
        <v>39</v>
      </c>
      <c r="M8207" t="s">
        <v>150</v>
      </c>
      <c r="N8207" t="s">
        <v>21</v>
      </c>
      <c r="O8207" t="s">
        <v>190</v>
      </c>
      <c r="P8207" s="1" t="s">
        <v>30</v>
      </c>
      <c r="Q8207">
        <v>162.1</v>
      </c>
    </row>
    <row r="8208" spans="11:17" x14ac:dyDescent="0.3">
      <c r="K8208">
        <v>2021</v>
      </c>
      <c r="L8208" t="s">
        <v>39</v>
      </c>
      <c r="M8208" t="s">
        <v>150</v>
      </c>
      <c r="N8208" t="s">
        <v>21</v>
      </c>
      <c r="O8208" t="s">
        <v>190</v>
      </c>
      <c r="P8208" s="1" t="s">
        <v>34</v>
      </c>
      <c r="Q8208">
        <v>159.80000000000001</v>
      </c>
    </row>
    <row r="8209" spans="11:17" x14ac:dyDescent="0.3">
      <c r="K8209">
        <v>2021</v>
      </c>
      <c r="L8209" t="s">
        <v>39</v>
      </c>
      <c r="M8209" t="s">
        <v>150</v>
      </c>
      <c r="N8209" t="s">
        <v>21</v>
      </c>
      <c r="O8209" t="s">
        <v>190</v>
      </c>
      <c r="P8209" s="1" t="s">
        <v>33</v>
      </c>
      <c r="Q8209">
        <v>156.1</v>
      </c>
    </row>
    <row r="8210" spans="11:17" x14ac:dyDescent="0.3">
      <c r="K8210">
        <v>2021</v>
      </c>
      <c r="L8210" t="s">
        <v>39</v>
      </c>
      <c r="M8210" t="s">
        <v>150</v>
      </c>
      <c r="N8210" t="s">
        <v>29</v>
      </c>
      <c r="O8210" t="s">
        <v>206</v>
      </c>
      <c r="P8210" s="1" t="s">
        <v>30</v>
      </c>
      <c r="Q8210">
        <v>162.1</v>
      </c>
    </row>
    <row r="8211" spans="11:17" x14ac:dyDescent="0.3">
      <c r="K8211">
        <v>2021</v>
      </c>
      <c r="L8211" t="s">
        <v>39</v>
      </c>
      <c r="M8211" t="s">
        <v>150</v>
      </c>
      <c r="N8211" t="s">
        <v>29</v>
      </c>
      <c r="O8211" t="s">
        <v>206</v>
      </c>
      <c r="P8211" s="1" t="s">
        <v>34</v>
      </c>
      <c r="Q8211">
        <v>161.30000000000001</v>
      </c>
    </row>
    <row r="8212" spans="11:17" x14ac:dyDescent="0.3">
      <c r="K8212">
        <v>2021</v>
      </c>
      <c r="L8212" t="s">
        <v>39</v>
      </c>
      <c r="M8212" t="s">
        <v>150</v>
      </c>
      <c r="N8212" t="s">
        <v>29</v>
      </c>
      <c r="O8212" t="s">
        <v>206</v>
      </c>
      <c r="P8212" s="1" t="s">
        <v>33</v>
      </c>
      <c r="Q8212">
        <v>160.4</v>
      </c>
    </row>
    <row r="8213" spans="11:17" x14ac:dyDescent="0.3">
      <c r="K8213">
        <v>2021</v>
      </c>
      <c r="L8213" t="s">
        <v>39</v>
      </c>
      <c r="M8213" t="s">
        <v>150</v>
      </c>
      <c r="N8213" t="s">
        <v>23</v>
      </c>
      <c r="O8213" t="s">
        <v>23</v>
      </c>
      <c r="P8213" s="1" t="s">
        <v>30</v>
      </c>
      <c r="Q8213">
        <v>169.7</v>
      </c>
    </row>
    <row r="8214" spans="11:17" x14ac:dyDescent="0.3">
      <c r="K8214">
        <v>2021</v>
      </c>
      <c r="L8214" t="s">
        <v>39</v>
      </c>
      <c r="M8214" t="s">
        <v>150</v>
      </c>
      <c r="N8214" t="s">
        <v>23</v>
      </c>
      <c r="O8214" t="s">
        <v>23</v>
      </c>
      <c r="P8214" s="1" t="s">
        <v>34</v>
      </c>
      <c r="Q8214">
        <v>166.3</v>
      </c>
    </row>
    <row r="8215" spans="11:17" x14ac:dyDescent="0.3">
      <c r="K8215">
        <v>2021</v>
      </c>
      <c r="L8215" t="s">
        <v>39</v>
      </c>
      <c r="M8215" t="s">
        <v>150</v>
      </c>
      <c r="N8215" t="s">
        <v>23</v>
      </c>
      <c r="O8215" t="s">
        <v>23</v>
      </c>
      <c r="P8215" s="1" t="s">
        <v>33</v>
      </c>
      <c r="Q8215">
        <v>160.80000000000001</v>
      </c>
    </row>
    <row r="8216" spans="11:17" x14ac:dyDescent="0.3">
      <c r="K8216">
        <v>2021</v>
      </c>
      <c r="L8216" t="s">
        <v>39</v>
      </c>
      <c r="M8216" t="s">
        <v>150</v>
      </c>
      <c r="N8216" t="s">
        <v>22</v>
      </c>
      <c r="O8216" t="s">
        <v>20</v>
      </c>
      <c r="P8216" s="1" t="s">
        <v>30</v>
      </c>
      <c r="Q8216">
        <v>159.19999999999999</v>
      </c>
    </row>
    <row r="8217" spans="11:17" x14ac:dyDescent="0.3">
      <c r="K8217">
        <v>2021</v>
      </c>
      <c r="L8217" t="s">
        <v>39</v>
      </c>
      <c r="M8217" t="s">
        <v>150</v>
      </c>
      <c r="N8217" t="s">
        <v>22</v>
      </c>
      <c r="O8217" t="s">
        <v>20</v>
      </c>
      <c r="P8217" s="1" t="s">
        <v>34</v>
      </c>
      <c r="Q8217">
        <v>154.80000000000001</v>
      </c>
    </row>
    <row r="8218" spans="11:17" x14ac:dyDescent="0.3">
      <c r="K8218">
        <v>2021</v>
      </c>
      <c r="L8218" t="s">
        <v>39</v>
      </c>
      <c r="M8218" t="s">
        <v>150</v>
      </c>
      <c r="N8218" t="s">
        <v>22</v>
      </c>
      <c r="O8218" t="s">
        <v>20</v>
      </c>
      <c r="P8218" s="1" t="s">
        <v>33</v>
      </c>
      <c r="Q8218">
        <v>149.80000000000001</v>
      </c>
    </row>
    <row r="8219" spans="11:17" x14ac:dyDescent="0.3">
      <c r="K8219">
        <v>2021</v>
      </c>
      <c r="L8219" t="s">
        <v>39</v>
      </c>
      <c r="M8219" t="s">
        <v>150</v>
      </c>
      <c r="N8219" t="s">
        <v>20</v>
      </c>
      <c r="O8219" t="s">
        <v>20</v>
      </c>
      <c r="P8219" s="1" t="s">
        <v>30</v>
      </c>
      <c r="Q8219">
        <v>0</v>
      </c>
    </row>
    <row r="8220" spans="11:17" x14ac:dyDescent="0.3">
      <c r="K8220">
        <v>2021</v>
      </c>
      <c r="L8220" t="s">
        <v>39</v>
      </c>
      <c r="M8220" t="s">
        <v>150</v>
      </c>
      <c r="N8220" t="s">
        <v>20</v>
      </c>
      <c r="O8220" t="s">
        <v>20</v>
      </c>
      <c r="P8220" s="1" t="s">
        <v>34</v>
      </c>
      <c r="Q8220">
        <v>160.5</v>
      </c>
    </row>
    <row r="8221" spans="11:17" x14ac:dyDescent="0.3">
      <c r="K8221">
        <v>2021</v>
      </c>
      <c r="L8221" t="s">
        <v>39</v>
      </c>
      <c r="M8221" t="s">
        <v>150</v>
      </c>
      <c r="N8221" t="s">
        <v>20</v>
      </c>
      <c r="O8221" t="s">
        <v>20</v>
      </c>
      <c r="P8221" s="1" t="s">
        <v>33</v>
      </c>
      <c r="Q8221">
        <v>160.5</v>
      </c>
    </row>
    <row r="8222" spans="11:17" x14ac:dyDescent="0.3">
      <c r="K8222">
        <v>2021</v>
      </c>
      <c r="L8222" t="s">
        <v>39</v>
      </c>
      <c r="M8222" t="s">
        <v>150</v>
      </c>
      <c r="N8222" t="s">
        <v>4</v>
      </c>
      <c r="O8222" t="s">
        <v>188</v>
      </c>
      <c r="P8222" s="1" t="s">
        <v>30</v>
      </c>
      <c r="Q8222">
        <v>200.1</v>
      </c>
    </row>
    <row r="8223" spans="11:17" x14ac:dyDescent="0.3">
      <c r="K8223">
        <v>2021</v>
      </c>
      <c r="L8223" t="s">
        <v>39</v>
      </c>
      <c r="M8223" t="s">
        <v>150</v>
      </c>
      <c r="N8223" t="s">
        <v>4</v>
      </c>
      <c r="O8223" t="s">
        <v>188</v>
      </c>
      <c r="P8223" s="1" t="s">
        <v>34</v>
      </c>
      <c r="Q8223">
        <v>202</v>
      </c>
    </row>
    <row r="8224" spans="11:17" x14ac:dyDescent="0.3">
      <c r="K8224">
        <v>2021</v>
      </c>
      <c r="L8224" t="s">
        <v>39</v>
      </c>
      <c r="M8224" t="s">
        <v>150</v>
      </c>
      <c r="N8224" t="s">
        <v>4</v>
      </c>
      <c r="O8224" t="s">
        <v>188</v>
      </c>
      <c r="P8224" s="1" t="s">
        <v>33</v>
      </c>
      <c r="Q8224">
        <v>205.5</v>
      </c>
    </row>
    <row r="8225" spans="11:17" x14ac:dyDescent="0.3">
      <c r="K8225">
        <v>2021</v>
      </c>
      <c r="L8225" t="s">
        <v>39</v>
      </c>
      <c r="M8225" t="s">
        <v>150</v>
      </c>
      <c r="N8225" t="s">
        <v>6</v>
      </c>
      <c r="O8225" t="s">
        <v>188</v>
      </c>
      <c r="P8225" s="1" t="s">
        <v>30</v>
      </c>
      <c r="Q8225">
        <v>156.1</v>
      </c>
    </row>
    <row r="8226" spans="11:17" x14ac:dyDescent="0.3">
      <c r="K8226">
        <v>2021</v>
      </c>
      <c r="L8226" t="s">
        <v>39</v>
      </c>
      <c r="M8226" t="s">
        <v>150</v>
      </c>
      <c r="N8226" t="s">
        <v>6</v>
      </c>
      <c r="O8226" t="s">
        <v>188</v>
      </c>
      <c r="P8226" s="1" t="s">
        <v>34</v>
      </c>
      <c r="Q8226">
        <v>156.19999999999999</v>
      </c>
    </row>
    <row r="8227" spans="11:17" x14ac:dyDescent="0.3">
      <c r="K8227">
        <v>2021</v>
      </c>
      <c r="L8227" t="s">
        <v>39</v>
      </c>
      <c r="M8227" t="s">
        <v>150</v>
      </c>
      <c r="N8227" t="s">
        <v>6</v>
      </c>
      <c r="O8227" t="s">
        <v>188</v>
      </c>
      <c r="P8227" s="1" t="s">
        <v>33</v>
      </c>
      <c r="Q8227">
        <v>156.5</v>
      </c>
    </row>
    <row r="8228" spans="11:17" x14ac:dyDescent="0.3">
      <c r="K8228">
        <v>2021</v>
      </c>
      <c r="L8228" t="s">
        <v>39</v>
      </c>
      <c r="M8228" t="s">
        <v>150</v>
      </c>
      <c r="N8228" t="s">
        <v>28</v>
      </c>
      <c r="O8228" t="s">
        <v>192</v>
      </c>
      <c r="P8228" s="1" t="s">
        <v>30</v>
      </c>
      <c r="Q8228">
        <v>161.5</v>
      </c>
    </row>
    <row r="8229" spans="11:17" x14ac:dyDescent="0.3">
      <c r="K8229">
        <v>2021</v>
      </c>
      <c r="L8229" t="s">
        <v>39</v>
      </c>
      <c r="M8229" t="s">
        <v>150</v>
      </c>
      <c r="N8229" t="s">
        <v>28</v>
      </c>
      <c r="O8229" t="s">
        <v>192</v>
      </c>
      <c r="P8229" s="1" t="s">
        <v>34</v>
      </c>
      <c r="Q8229">
        <v>157.6</v>
      </c>
    </row>
    <row r="8230" spans="11:17" x14ac:dyDescent="0.3">
      <c r="K8230">
        <v>2021</v>
      </c>
      <c r="L8230" t="s">
        <v>39</v>
      </c>
      <c r="M8230" t="s">
        <v>150</v>
      </c>
      <c r="N8230" t="s">
        <v>28</v>
      </c>
      <c r="O8230" t="s">
        <v>192</v>
      </c>
      <c r="P8230" s="1" t="s">
        <v>33</v>
      </c>
      <c r="Q8230">
        <v>153.4</v>
      </c>
    </row>
    <row r="8231" spans="11:17" x14ac:dyDescent="0.3">
      <c r="K8231">
        <v>2021</v>
      </c>
      <c r="L8231" t="s">
        <v>39</v>
      </c>
      <c r="M8231" t="s">
        <v>150</v>
      </c>
      <c r="N8231" t="s">
        <v>13</v>
      </c>
      <c r="O8231" t="s">
        <v>188</v>
      </c>
      <c r="P8231" s="1" t="s">
        <v>30</v>
      </c>
      <c r="Q8231">
        <v>165.5</v>
      </c>
    </row>
    <row r="8232" spans="11:17" x14ac:dyDescent="0.3">
      <c r="K8232">
        <v>2021</v>
      </c>
      <c r="L8232" t="s">
        <v>39</v>
      </c>
      <c r="M8232" t="s">
        <v>150</v>
      </c>
      <c r="N8232" t="s">
        <v>13</v>
      </c>
      <c r="O8232" t="s">
        <v>188</v>
      </c>
      <c r="P8232" s="1" t="s">
        <v>34</v>
      </c>
      <c r="Q8232">
        <v>160</v>
      </c>
    </row>
    <row r="8233" spans="11:17" x14ac:dyDescent="0.3">
      <c r="K8233">
        <v>2021</v>
      </c>
      <c r="L8233" t="s">
        <v>39</v>
      </c>
      <c r="M8233" t="s">
        <v>150</v>
      </c>
      <c r="N8233" t="s">
        <v>13</v>
      </c>
      <c r="O8233" t="s">
        <v>188</v>
      </c>
      <c r="P8233" s="1" t="s">
        <v>33</v>
      </c>
      <c r="Q8233">
        <v>152.30000000000001</v>
      </c>
    </row>
    <row r="8234" spans="11:17" x14ac:dyDescent="0.3">
      <c r="K8234">
        <v>2021</v>
      </c>
      <c r="L8234" t="s">
        <v>39</v>
      </c>
      <c r="M8234" t="s">
        <v>150</v>
      </c>
      <c r="N8234" t="s">
        <v>7</v>
      </c>
      <c r="O8234" t="s">
        <v>188</v>
      </c>
      <c r="P8234" s="1" t="s">
        <v>30</v>
      </c>
      <c r="Q8234">
        <v>190.4</v>
      </c>
    </row>
    <row r="8235" spans="11:17" x14ac:dyDescent="0.3">
      <c r="K8235">
        <v>2021</v>
      </c>
      <c r="L8235" t="s">
        <v>39</v>
      </c>
      <c r="M8235" t="s">
        <v>150</v>
      </c>
      <c r="N8235" t="s">
        <v>7</v>
      </c>
      <c r="O8235" t="s">
        <v>188</v>
      </c>
      <c r="P8235" s="1" t="s">
        <v>34</v>
      </c>
      <c r="Q8235">
        <v>183.7</v>
      </c>
    </row>
    <row r="8236" spans="11:17" x14ac:dyDescent="0.3">
      <c r="K8236">
        <v>2021</v>
      </c>
      <c r="L8236" t="s">
        <v>39</v>
      </c>
      <c r="M8236" t="s">
        <v>150</v>
      </c>
      <c r="N8236" t="s">
        <v>7</v>
      </c>
      <c r="O8236" t="s">
        <v>188</v>
      </c>
      <c r="P8236" s="1" t="s">
        <v>33</v>
      </c>
      <c r="Q8236">
        <v>172.2</v>
      </c>
    </row>
    <row r="8237" spans="11:17" x14ac:dyDescent="0.3">
      <c r="K8237">
        <v>2021</v>
      </c>
      <c r="L8237" t="s">
        <v>39</v>
      </c>
      <c r="M8237" t="s">
        <v>150</v>
      </c>
      <c r="N8237" t="s">
        <v>16</v>
      </c>
      <c r="O8237" t="s">
        <v>192</v>
      </c>
      <c r="P8237" s="1" t="s">
        <v>30</v>
      </c>
      <c r="Q8237">
        <v>189.1</v>
      </c>
    </row>
    <row r="8238" spans="11:17" x14ac:dyDescent="0.3">
      <c r="K8238">
        <v>2021</v>
      </c>
      <c r="L8238" t="s">
        <v>39</v>
      </c>
      <c r="M8238" t="s">
        <v>150</v>
      </c>
      <c r="N8238" t="s">
        <v>16</v>
      </c>
      <c r="O8238" t="s">
        <v>192</v>
      </c>
      <c r="P8238" s="1" t="s">
        <v>34</v>
      </c>
      <c r="Q8238">
        <v>190.8</v>
      </c>
    </row>
    <row r="8239" spans="11:17" x14ac:dyDescent="0.3">
      <c r="K8239">
        <v>2021</v>
      </c>
      <c r="L8239" t="s">
        <v>39</v>
      </c>
      <c r="M8239" t="s">
        <v>150</v>
      </c>
      <c r="N8239" t="s">
        <v>16</v>
      </c>
      <c r="O8239" t="s">
        <v>192</v>
      </c>
      <c r="P8239" s="1" t="s">
        <v>33</v>
      </c>
      <c r="Q8239">
        <v>195.6</v>
      </c>
    </row>
    <row r="8240" spans="11:17" x14ac:dyDescent="0.3">
      <c r="K8240">
        <v>2021</v>
      </c>
      <c r="L8240" t="s">
        <v>39</v>
      </c>
      <c r="M8240" t="s">
        <v>150</v>
      </c>
      <c r="N8240" t="s">
        <v>27</v>
      </c>
      <c r="O8240" t="s">
        <v>192</v>
      </c>
      <c r="P8240" s="1" t="s">
        <v>30</v>
      </c>
      <c r="Q8240">
        <v>159.4</v>
      </c>
    </row>
    <row r="8241" spans="11:17" x14ac:dyDescent="0.3">
      <c r="K8241">
        <v>2021</v>
      </c>
      <c r="L8241" t="s">
        <v>39</v>
      </c>
      <c r="M8241" t="s">
        <v>150</v>
      </c>
      <c r="N8241" t="s">
        <v>27</v>
      </c>
      <c r="O8241" t="s">
        <v>192</v>
      </c>
      <c r="P8241" s="1" t="s">
        <v>34</v>
      </c>
      <c r="Q8241">
        <v>158.80000000000001</v>
      </c>
    </row>
    <row r="8242" spans="11:17" x14ac:dyDescent="0.3">
      <c r="K8242">
        <v>2021</v>
      </c>
      <c r="L8242" t="s">
        <v>39</v>
      </c>
      <c r="M8242" t="s">
        <v>150</v>
      </c>
      <c r="N8242" t="s">
        <v>27</v>
      </c>
      <c r="O8242" t="s">
        <v>192</v>
      </c>
      <c r="P8242" s="1" t="s">
        <v>33</v>
      </c>
      <c r="Q8242">
        <v>158</v>
      </c>
    </row>
    <row r="8243" spans="11:17" x14ac:dyDescent="0.3">
      <c r="K8243">
        <v>2021</v>
      </c>
      <c r="L8243" t="s">
        <v>39</v>
      </c>
      <c r="M8243" t="s">
        <v>150</v>
      </c>
      <c r="N8243" t="s">
        <v>14</v>
      </c>
      <c r="O8243" t="s">
        <v>188</v>
      </c>
      <c r="P8243" s="1" t="s">
        <v>30</v>
      </c>
      <c r="Q8243">
        <v>171.7</v>
      </c>
    </row>
    <row r="8244" spans="11:17" x14ac:dyDescent="0.3">
      <c r="K8244">
        <v>2021</v>
      </c>
      <c r="L8244" t="s">
        <v>39</v>
      </c>
      <c r="M8244" t="s">
        <v>150</v>
      </c>
      <c r="N8244" t="s">
        <v>14</v>
      </c>
      <c r="O8244" t="s">
        <v>188</v>
      </c>
      <c r="P8244" s="1" t="s">
        <v>34</v>
      </c>
      <c r="Q8244">
        <v>172.4</v>
      </c>
    </row>
    <row r="8245" spans="11:17" x14ac:dyDescent="0.3">
      <c r="K8245">
        <v>2021</v>
      </c>
      <c r="L8245" t="s">
        <v>39</v>
      </c>
      <c r="M8245" t="s">
        <v>150</v>
      </c>
      <c r="N8245" t="s">
        <v>14</v>
      </c>
      <c r="O8245" t="s">
        <v>188</v>
      </c>
      <c r="P8245" s="1" t="s">
        <v>33</v>
      </c>
      <c r="Q8245">
        <v>173.3</v>
      </c>
    </row>
    <row r="8246" spans="11:17" x14ac:dyDescent="0.3">
      <c r="K8246">
        <v>2021</v>
      </c>
      <c r="L8246" t="s">
        <v>39</v>
      </c>
      <c r="M8246" t="s">
        <v>150</v>
      </c>
      <c r="N8246" t="s">
        <v>10</v>
      </c>
      <c r="O8246" t="s">
        <v>188</v>
      </c>
      <c r="P8246" s="1" t="s">
        <v>30</v>
      </c>
      <c r="Q8246">
        <v>165.5</v>
      </c>
    </row>
    <row r="8247" spans="11:17" x14ac:dyDescent="0.3">
      <c r="K8247">
        <v>2021</v>
      </c>
      <c r="L8247" t="s">
        <v>39</v>
      </c>
      <c r="M8247" t="s">
        <v>150</v>
      </c>
      <c r="N8247" t="s">
        <v>10</v>
      </c>
      <c r="O8247" t="s">
        <v>188</v>
      </c>
      <c r="P8247" s="1" t="s">
        <v>34</v>
      </c>
      <c r="Q8247">
        <v>166</v>
      </c>
    </row>
    <row r="8248" spans="11:17" x14ac:dyDescent="0.3">
      <c r="K8248">
        <v>2021</v>
      </c>
      <c r="L8248" t="s">
        <v>39</v>
      </c>
      <c r="M8248" t="s">
        <v>150</v>
      </c>
      <c r="N8248" t="s">
        <v>10</v>
      </c>
      <c r="O8248" t="s">
        <v>188</v>
      </c>
      <c r="P8248" s="1" t="s">
        <v>33</v>
      </c>
      <c r="Q8248">
        <v>166.9</v>
      </c>
    </row>
    <row r="8249" spans="11:17" x14ac:dyDescent="0.3">
      <c r="K8249">
        <v>2021</v>
      </c>
      <c r="L8249" t="s">
        <v>39</v>
      </c>
      <c r="M8249" t="s">
        <v>150</v>
      </c>
      <c r="N8249" t="s">
        <v>25</v>
      </c>
      <c r="O8249" t="s">
        <v>195</v>
      </c>
      <c r="P8249" s="1" t="s">
        <v>30</v>
      </c>
      <c r="Q8249">
        <v>160.4</v>
      </c>
    </row>
    <row r="8250" spans="11:17" x14ac:dyDescent="0.3">
      <c r="K8250">
        <v>2021</v>
      </c>
      <c r="L8250" t="s">
        <v>39</v>
      </c>
      <c r="M8250" t="s">
        <v>150</v>
      </c>
      <c r="N8250" t="s">
        <v>25</v>
      </c>
      <c r="O8250" t="s">
        <v>195</v>
      </c>
      <c r="P8250" s="1" t="s">
        <v>34</v>
      </c>
      <c r="Q8250">
        <v>154.9</v>
      </c>
    </row>
    <row r="8251" spans="11:17" x14ac:dyDescent="0.3">
      <c r="K8251">
        <v>2021</v>
      </c>
      <c r="L8251" t="s">
        <v>39</v>
      </c>
      <c r="M8251" t="s">
        <v>150</v>
      </c>
      <c r="N8251" t="s">
        <v>25</v>
      </c>
      <c r="O8251" t="s">
        <v>195</v>
      </c>
      <c r="P8251" s="1" t="s">
        <v>33</v>
      </c>
      <c r="Q8251">
        <v>150.69999999999999</v>
      </c>
    </row>
    <row r="8252" spans="11:17" x14ac:dyDescent="0.3">
      <c r="K8252">
        <v>2021</v>
      </c>
      <c r="L8252" t="s">
        <v>39</v>
      </c>
      <c r="M8252" t="s">
        <v>150</v>
      </c>
      <c r="N8252" t="s">
        <v>12</v>
      </c>
      <c r="O8252" t="s">
        <v>188</v>
      </c>
      <c r="P8252" s="1" t="s">
        <v>30</v>
      </c>
      <c r="Q8252">
        <v>170</v>
      </c>
    </row>
    <row r="8253" spans="11:17" x14ac:dyDescent="0.3">
      <c r="K8253">
        <v>2021</v>
      </c>
      <c r="L8253" t="s">
        <v>39</v>
      </c>
      <c r="M8253" t="s">
        <v>150</v>
      </c>
      <c r="N8253" t="s">
        <v>12</v>
      </c>
      <c r="O8253" t="s">
        <v>188</v>
      </c>
      <c r="P8253" s="1" t="s">
        <v>34</v>
      </c>
      <c r="Q8253">
        <v>168.5</v>
      </c>
    </row>
    <row r="8254" spans="11:17" x14ac:dyDescent="0.3">
      <c r="K8254">
        <v>2021</v>
      </c>
      <c r="L8254" t="s">
        <v>39</v>
      </c>
      <c r="M8254" t="s">
        <v>150</v>
      </c>
      <c r="N8254" t="s">
        <v>12</v>
      </c>
      <c r="O8254" t="s">
        <v>188</v>
      </c>
      <c r="P8254" s="1" t="s">
        <v>33</v>
      </c>
      <c r="Q8254">
        <v>165.5</v>
      </c>
    </row>
    <row r="8255" spans="11:17" x14ac:dyDescent="0.3">
      <c r="K8255">
        <v>2021</v>
      </c>
      <c r="L8255" t="s">
        <v>39</v>
      </c>
      <c r="M8255" t="s">
        <v>150</v>
      </c>
      <c r="N8255" t="s">
        <v>11</v>
      </c>
      <c r="O8255" t="s">
        <v>188</v>
      </c>
      <c r="P8255" s="1" t="s">
        <v>30</v>
      </c>
      <c r="Q8255">
        <v>114.6</v>
      </c>
    </row>
    <row r="8256" spans="11:17" x14ac:dyDescent="0.3">
      <c r="K8256">
        <v>2021</v>
      </c>
      <c r="L8256" t="s">
        <v>39</v>
      </c>
      <c r="M8256" t="s">
        <v>150</v>
      </c>
      <c r="N8256" t="s">
        <v>11</v>
      </c>
      <c r="O8256" t="s">
        <v>188</v>
      </c>
      <c r="P8256" s="1" t="s">
        <v>34</v>
      </c>
      <c r="Q8256">
        <v>115.1</v>
      </c>
    </row>
    <row r="8257" spans="11:17" x14ac:dyDescent="0.3">
      <c r="K8257">
        <v>2021</v>
      </c>
      <c r="L8257" t="s">
        <v>39</v>
      </c>
      <c r="M8257" t="s">
        <v>150</v>
      </c>
      <c r="N8257" t="s">
        <v>11</v>
      </c>
      <c r="O8257" t="s">
        <v>188</v>
      </c>
      <c r="P8257" s="1" t="s">
        <v>33</v>
      </c>
      <c r="Q8257">
        <v>116.1</v>
      </c>
    </row>
    <row r="8258" spans="11:17" x14ac:dyDescent="0.3">
      <c r="K8258">
        <v>2021</v>
      </c>
      <c r="L8258" t="s">
        <v>39</v>
      </c>
      <c r="M8258" t="s">
        <v>150</v>
      </c>
      <c r="N8258" t="s">
        <v>24</v>
      </c>
      <c r="O8258" t="s">
        <v>191</v>
      </c>
      <c r="P8258" s="1" t="s">
        <v>30</v>
      </c>
      <c r="Q8258">
        <v>154.19999999999999</v>
      </c>
    </row>
    <row r="8259" spans="11:17" x14ac:dyDescent="0.3">
      <c r="K8259">
        <v>2021</v>
      </c>
      <c r="L8259" t="s">
        <v>39</v>
      </c>
      <c r="M8259" t="s">
        <v>150</v>
      </c>
      <c r="N8259" t="s">
        <v>24</v>
      </c>
      <c r="O8259" t="s">
        <v>191</v>
      </c>
      <c r="P8259" s="1" t="s">
        <v>34</v>
      </c>
      <c r="Q8259">
        <v>150.69999999999999</v>
      </c>
    </row>
    <row r="8260" spans="11:17" x14ac:dyDescent="0.3">
      <c r="K8260">
        <v>2021</v>
      </c>
      <c r="L8260" t="s">
        <v>39</v>
      </c>
      <c r="M8260" t="s">
        <v>150</v>
      </c>
      <c r="N8260" t="s">
        <v>24</v>
      </c>
      <c r="O8260" t="s">
        <v>191</v>
      </c>
      <c r="P8260" s="1" t="s">
        <v>33</v>
      </c>
      <c r="Q8260">
        <v>147.5</v>
      </c>
    </row>
    <row r="8261" spans="11:17" x14ac:dyDescent="0.3">
      <c r="K8261">
        <v>2021</v>
      </c>
      <c r="L8261" t="s">
        <v>39</v>
      </c>
      <c r="M8261" t="s">
        <v>150</v>
      </c>
      <c r="N8261" t="s">
        <v>9</v>
      </c>
      <c r="O8261" t="s">
        <v>188</v>
      </c>
      <c r="P8261" s="1" t="s">
        <v>30</v>
      </c>
      <c r="Q8261">
        <v>144.69999999999999</v>
      </c>
    </row>
    <row r="8262" spans="11:17" x14ac:dyDescent="0.3">
      <c r="K8262">
        <v>2021</v>
      </c>
      <c r="L8262" t="s">
        <v>39</v>
      </c>
      <c r="M8262" t="s">
        <v>150</v>
      </c>
      <c r="N8262" t="s">
        <v>9</v>
      </c>
      <c r="O8262" t="s">
        <v>188</v>
      </c>
      <c r="P8262" s="1" t="s">
        <v>34</v>
      </c>
      <c r="Q8262">
        <v>155.4</v>
      </c>
    </row>
    <row r="8263" spans="11:17" x14ac:dyDescent="0.3">
      <c r="K8263">
        <v>2021</v>
      </c>
      <c r="L8263" t="s">
        <v>39</v>
      </c>
      <c r="M8263" t="s">
        <v>150</v>
      </c>
      <c r="N8263" t="s">
        <v>9</v>
      </c>
      <c r="O8263" t="s">
        <v>188</v>
      </c>
      <c r="P8263" s="1" t="s">
        <v>33</v>
      </c>
      <c r="Q8263">
        <v>176.2</v>
      </c>
    </row>
    <row r="8264" spans="11:17" x14ac:dyDescent="0.3">
      <c r="K8264">
        <v>2021</v>
      </c>
      <c r="L8264" t="s">
        <v>36</v>
      </c>
      <c r="M8264" t="s">
        <v>151</v>
      </c>
      <c r="N8264" t="s">
        <v>3</v>
      </c>
      <c r="O8264" t="s">
        <v>188</v>
      </c>
      <c r="P8264" s="1" t="s">
        <v>30</v>
      </c>
      <c r="Q8264">
        <v>142.5</v>
      </c>
    </row>
    <row r="8265" spans="11:17" x14ac:dyDescent="0.3">
      <c r="K8265">
        <v>2021</v>
      </c>
      <c r="L8265" t="s">
        <v>36</v>
      </c>
      <c r="M8265" t="s">
        <v>151</v>
      </c>
      <c r="N8265" t="s">
        <v>3</v>
      </c>
      <c r="O8265" t="s">
        <v>188</v>
      </c>
      <c r="P8265" s="1" t="s">
        <v>34</v>
      </c>
      <c r="Q8265">
        <v>144.1</v>
      </c>
    </row>
    <row r="8266" spans="11:17" x14ac:dyDescent="0.3">
      <c r="K8266">
        <v>2021</v>
      </c>
      <c r="L8266" t="s">
        <v>36</v>
      </c>
      <c r="M8266" t="s">
        <v>151</v>
      </c>
      <c r="N8266" t="s">
        <v>3</v>
      </c>
      <c r="O8266" t="s">
        <v>188</v>
      </c>
      <c r="P8266" s="1" t="s">
        <v>33</v>
      </c>
      <c r="Q8266">
        <v>147.5</v>
      </c>
    </row>
    <row r="8267" spans="11:17" x14ac:dyDescent="0.3">
      <c r="K8267">
        <v>2021</v>
      </c>
      <c r="L8267" t="s">
        <v>36</v>
      </c>
      <c r="M8267" t="s">
        <v>151</v>
      </c>
      <c r="N8267" t="s">
        <v>17</v>
      </c>
      <c r="O8267" t="s">
        <v>189</v>
      </c>
      <c r="P8267" s="1" t="s">
        <v>30</v>
      </c>
      <c r="Q8267">
        <v>159.6</v>
      </c>
    </row>
    <row r="8268" spans="11:17" x14ac:dyDescent="0.3">
      <c r="K8268">
        <v>2021</v>
      </c>
      <c r="L8268" t="s">
        <v>36</v>
      </c>
      <c r="M8268" t="s">
        <v>151</v>
      </c>
      <c r="N8268" t="s">
        <v>17</v>
      </c>
      <c r="O8268" t="s">
        <v>189</v>
      </c>
      <c r="P8268" s="1" t="s">
        <v>34</v>
      </c>
      <c r="Q8268">
        <v>157.80000000000001</v>
      </c>
    </row>
    <row r="8269" spans="11:17" x14ac:dyDescent="0.3">
      <c r="K8269">
        <v>2021</v>
      </c>
      <c r="L8269" t="s">
        <v>36</v>
      </c>
      <c r="M8269" t="s">
        <v>151</v>
      </c>
      <c r="N8269" t="s">
        <v>17</v>
      </c>
      <c r="O8269" t="s">
        <v>189</v>
      </c>
      <c r="P8269" s="1" t="s">
        <v>33</v>
      </c>
      <c r="Q8269">
        <v>155.1</v>
      </c>
    </row>
    <row r="8270" spans="11:17" x14ac:dyDescent="0.3">
      <c r="K8270">
        <v>2021</v>
      </c>
      <c r="L8270" t="s">
        <v>36</v>
      </c>
      <c r="M8270" t="s">
        <v>151</v>
      </c>
      <c r="N8270" t="s">
        <v>19</v>
      </c>
      <c r="O8270" t="s">
        <v>189</v>
      </c>
      <c r="P8270" s="1" t="s">
        <v>30</v>
      </c>
      <c r="Q8270">
        <v>158.9</v>
      </c>
    </row>
    <row r="8271" spans="11:17" x14ac:dyDescent="0.3">
      <c r="K8271">
        <v>2021</v>
      </c>
      <c r="L8271" t="s">
        <v>36</v>
      </c>
      <c r="M8271" t="s">
        <v>151</v>
      </c>
      <c r="N8271" t="s">
        <v>19</v>
      </c>
      <c r="O8271" t="s">
        <v>189</v>
      </c>
      <c r="P8271" s="1" t="s">
        <v>34</v>
      </c>
      <c r="Q8271">
        <v>156.4</v>
      </c>
    </row>
    <row r="8272" spans="11:17" x14ac:dyDescent="0.3">
      <c r="K8272">
        <v>2021</v>
      </c>
      <c r="L8272" t="s">
        <v>36</v>
      </c>
      <c r="M8272" t="s">
        <v>151</v>
      </c>
      <c r="N8272" t="s">
        <v>19</v>
      </c>
      <c r="O8272" t="s">
        <v>189</v>
      </c>
      <c r="P8272" s="1" t="s">
        <v>33</v>
      </c>
      <c r="Q8272">
        <v>152.6</v>
      </c>
    </row>
    <row r="8273" spans="11:17" x14ac:dyDescent="0.3">
      <c r="K8273">
        <v>2021</v>
      </c>
      <c r="L8273" t="s">
        <v>36</v>
      </c>
      <c r="M8273" t="s">
        <v>151</v>
      </c>
      <c r="N8273" t="s">
        <v>26</v>
      </c>
      <c r="O8273" t="s">
        <v>26</v>
      </c>
      <c r="P8273" s="1" t="s">
        <v>30</v>
      </c>
      <c r="Q8273">
        <v>163.80000000000001</v>
      </c>
    </row>
    <row r="8274" spans="11:17" x14ac:dyDescent="0.3">
      <c r="K8274">
        <v>2021</v>
      </c>
      <c r="L8274" t="s">
        <v>36</v>
      </c>
      <c r="M8274" t="s">
        <v>151</v>
      </c>
      <c r="N8274" t="s">
        <v>26</v>
      </c>
      <c r="O8274" t="s">
        <v>26</v>
      </c>
      <c r="P8274" s="1" t="s">
        <v>34</v>
      </c>
      <c r="Q8274">
        <v>160.19999999999999</v>
      </c>
    </row>
    <row r="8275" spans="11:17" x14ac:dyDescent="0.3">
      <c r="K8275">
        <v>2021</v>
      </c>
      <c r="L8275" t="s">
        <v>36</v>
      </c>
      <c r="M8275" t="s">
        <v>151</v>
      </c>
      <c r="N8275" t="s">
        <v>26</v>
      </c>
      <c r="O8275" t="s">
        <v>26</v>
      </c>
      <c r="P8275" s="1" t="s">
        <v>33</v>
      </c>
      <c r="Q8275">
        <v>157.6</v>
      </c>
    </row>
    <row r="8276" spans="11:17" x14ac:dyDescent="0.3">
      <c r="K8276">
        <v>2021</v>
      </c>
      <c r="L8276" t="s">
        <v>36</v>
      </c>
      <c r="M8276" t="s">
        <v>151</v>
      </c>
      <c r="N8276" t="s">
        <v>5</v>
      </c>
      <c r="O8276" t="s">
        <v>188</v>
      </c>
      <c r="P8276" s="1" t="s">
        <v>30</v>
      </c>
      <c r="Q8276">
        <v>163.19999999999999</v>
      </c>
    </row>
    <row r="8277" spans="11:17" x14ac:dyDescent="0.3">
      <c r="K8277">
        <v>2021</v>
      </c>
      <c r="L8277" t="s">
        <v>36</v>
      </c>
      <c r="M8277" t="s">
        <v>151</v>
      </c>
      <c r="N8277" t="s">
        <v>5</v>
      </c>
      <c r="O8277" t="s">
        <v>188</v>
      </c>
      <c r="P8277" s="1" t="s">
        <v>34</v>
      </c>
      <c r="Q8277">
        <v>163.80000000000001</v>
      </c>
    </row>
    <row r="8278" spans="11:17" x14ac:dyDescent="0.3">
      <c r="K8278">
        <v>2021</v>
      </c>
      <c r="L8278" t="s">
        <v>36</v>
      </c>
      <c r="M8278" t="s">
        <v>151</v>
      </c>
      <c r="N8278" t="s">
        <v>5</v>
      </c>
      <c r="O8278" t="s">
        <v>188</v>
      </c>
      <c r="P8278" s="1" t="s">
        <v>33</v>
      </c>
      <c r="Q8278">
        <v>164.7</v>
      </c>
    </row>
    <row r="8279" spans="11:17" x14ac:dyDescent="0.3">
      <c r="K8279">
        <v>2021</v>
      </c>
      <c r="L8279" t="s">
        <v>36</v>
      </c>
      <c r="M8279" t="s">
        <v>151</v>
      </c>
      <c r="N8279" t="s">
        <v>15</v>
      </c>
      <c r="O8279" t="s">
        <v>188</v>
      </c>
      <c r="P8279" s="1" t="s">
        <v>30</v>
      </c>
      <c r="Q8279">
        <v>154.5</v>
      </c>
    </row>
    <row r="8280" spans="11:17" x14ac:dyDescent="0.3">
      <c r="K8280">
        <v>2021</v>
      </c>
      <c r="L8280" t="s">
        <v>36</v>
      </c>
      <c r="M8280" t="s">
        <v>151</v>
      </c>
      <c r="N8280" t="s">
        <v>15</v>
      </c>
      <c r="O8280" t="s">
        <v>188</v>
      </c>
      <c r="P8280" s="1" t="s">
        <v>34</v>
      </c>
      <c r="Q8280">
        <v>156.69999999999999</v>
      </c>
    </row>
    <row r="8281" spans="11:17" x14ac:dyDescent="0.3">
      <c r="K8281">
        <v>2021</v>
      </c>
      <c r="L8281" t="s">
        <v>36</v>
      </c>
      <c r="M8281" t="s">
        <v>151</v>
      </c>
      <c r="N8281" t="s">
        <v>15</v>
      </c>
      <c r="O8281" t="s">
        <v>188</v>
      </c>
      <c r="P8281" s="1" t="s">
        <v>33</v>
      </c>
      <c r="Q8281">
        <v>160.4</v>
      </c>
    </row>
    <row r="8282" spans="11:17" x14ac:dyDescent="0.3">
      <c r="K8282">
        <v>2021</v>
      </c>
      <c r="L8282" t="s">
        <v>36</v>
      </c>
      <c r="M8282" t="s">
        <v>151</v>
      </c>
      <c r="N8282" t="s">
        <v>18</v>
      </c>
      <c r="O8282" t="s">
        <v>189</v>
      </c>
      <c r="P8282" s="1" t="s">
        <v>30</v>
      </c>
      <c r="Q8282">
        <v>154.4</v>
      </c>
    </row>
    <row r="8283" spans="11:17" x14ac:dyDescent="0.3">
      <c r="K8283">
        <v>2021</v>
      </c>
      <c r="L8283" t="s">
        <v>36</v>
      </c>
      <c r="M8283" t="s">
        <v>151</v>
      </c>
      <c r="N8283" t="s">
        <v>18</v>
      </c>
      <c r="O8283" t="s">
        <v>189</v>
      </c>
      <c r="P8283" s="1" t="s">
        <v>34</v>
      </c>
      <c r="Q8283">
        <v>147.9</v>
      </c>
    </row>
    <row r="8284" spans="11:17" x14ac:dyDescent="0.3">
      <c r="K8284">
        <v>2021</v>
      </c>
      <c r="L8284" t="s">
        <v>36</v>
      </c>
      <c r="M8284" t="s">
        <v>151</v>
      </c>
      <c r="N8284" t="s">
        <v>18</v>
      </c>
      <c r="O8284" t="s">
        <v>189</v>
      </c>
      <c r="P8284" s="1" t="s">
        <v>33</v>
      </c>
      <c r="Q8284">
        <v>138.69999999999999</v>
      </c>
    </row>
    <row r="8285" spans="11:17" x14ac:dyDescent="0.3">
      <c r="K8285">
        <v>2021</v>
      </c>
      <c r="L8285" t="s">
        <v>36</v>
      </c>
      <c r="M8285" t="s">
        <v>151</v>
      </c>
      <c r="N8285" t="s">
        <v>8</v>
      </c>
      <c r="O8285" t="s">
        <v>188</v>
      </c>
      <c r="P8285" s="1" t="s">
        <v>30</v>
      </c>
      <c r="Q8285">
        <v>150.5</v>
      </c>
    </row>
    <row r="8286" spans="11:17" x14ac:dyDescent="0.3">
      <c r="K8286">
        <v>2021</v>
      </c>
      <c r="L8286" t="s">
        <v>36</v>
      </c>
      <c r="M8286" t="s">
        <v>151</v>
      </c>
      <c r="N8286" t="s">
        <v>8</v>
      </c>
      <c r="O8286" t="s">
        <v>188</v>
      </c>
      <c r="P8286" s="1" t="s">
        <v>34</v>
      </c>
      <c r="Q8286">
        <v>153.69999999999999</v>
      </c>
    </row>
    <row r="8287" spans="11:17" x14ac:dyDescent="0.3">
      <c r="K8287">
        <v>2021</v>
      </c>
      <c r="L8287" t="s">
        <v>36</v>
      </c>
      <c r="M8287" t="s">
        <v>151</v>
      </c>
      <c r="N8287" t="s">
        <v>8</v>
      </c>
      <c r="O8287" t="s">
        <v>188</v>
      </c>
      <c r="P8287" s="1" t="s">
        <v>33</v>
      </c>
      <c r="Q8287">
        <v>157.30000000000001</v>
      </c>
    </row>
    <row r="8288" spans="11:17" x14ac:dyDescent="0.3">
      <c r="K8288">
        <v>2021</v>
      </c>
      <c r="L8288" t="s">
        <v>36</v>
      </c>
      <c r="M8288" t="s">
        <v>151</v>
      </c>
      <c r="N8288" t="s">
        <v>21</v>
      </c>
      <c r="O8288" t="s">
        <v>190</v>
      </c>
      <c r="P8288" s="1" t="s">
        <v>30</v>
      </c>
      <c r="Q8288">
        <v>156</v>
      </c>
    </row>
    <row r="8289" spans="11:17" x14ac:dyDescent="0.3">
      <c r="K8289">
        <v>2021</v>
      </c>
      <c r="L8289" t="s">
        <v>36</v>
      </c>
      <c r="M8289" t="s">
        <v>151</v>
      </c>
      <c r="N8289" t="s">
        <v>21</v>
      </c>
      <c r="O8289" t="s">
        <v>190</v>
      </c>
      <c r="P8289" s="1" t="s">
        <v>34</v>
      </c>
      <c r="Q8289">
        <v>155.5</v>
      </c>
    </row>
    <row r="8290" spans="11:17" x14ac:dyDescent="0.3">
      <c r="K8290">
        <v>2021</v>
      </c>
      <c r="L8290" t="s">
        <v>36</v>
      </c>
      <c r="M8290" t="s">
        <v>151</v>
      </c>
      <c r="N8290" t="s">
        <v>21</v>
      </c>
      <c r="O8290" t="s">
        <v>190</v>
      </c>
      <c r="P8290" s="1" t="s">
        <v>33</v>
      </c>
      <c r="Q8290">
        <v>154.80000000000001</v>
      </c>
    </row>
    <row r="8291" spans="11:17" x14ac:dyDescent="0.3">
      <c r="K8291">
        <v>2021</v>
      </c>
      <c r="L8291" t="s">
        <v>36</v>
      </c>
      <c r="M8291" t="s">
        <v>151</v>
      </c>
      <c r="N8291" t="s">
        <v>29</v>
      </c>
      <c r="O8291" t="s">
        <v>206</v>
      </c>
      <c r="P8291" s="1" t="s">
        <v>30</v>
      </c>
      <c r="Q8291">
        <v>156.69999999999999</v>
      </c>
    </row>
    <row r="8292" spans="11:17" x14ac:dyDescent="0.3">
      <c r="K8292">
        <v>2021</v>
      </c>
      <c r="L8292" t="s">
        <v>36</v>
      </c>
      <c r="M8292" t="s">
        <v>151</v>
      </c>
      <c r="N8292" t="s">
        <v>29</v>
      </c>
      <c r="O8292" t="s">
        <v>206</v>
      </c>
      <c r="P8292" s="1" t="s">
        <v>34</v>
      </c>
      <c r="Q8292">
        <v>156.80000000000001</v>
      </c>
    </row>
    <row r="8293" spans="11:17" x14ac:dyDescent="0.3">
      <c r="K8293">
        <v>2021</v>
      </c>
      <c r="L8293" t="s">
        <v>36</v>
      </c>
      <c r="M8293" t="s">
        <v>151</v>
      </c>
      <c r="N8293" t="s">
        <v>29</v>
      </c>
      <c r="O8293" t="s">
        <v>206</v>
      </c>
      <c r="P8293" s="1" t="s">
        <v>33</v>
      </c>
      <c r="Q8293">
        <v>156.9</v>
      </c>
    </row>
    <row r="8294" spans="11:17" x14ac:dyDescent="0.3">
      <c r="K8294">
        <v>2021</v>
      </c>
      <c r="L8294" t="s">
        <v>36</v>
      </c>
      <c r="M8294" t="s">
        <v>151</v>
      </c>
      <c r="N8294" t="s">
        <v>23</v>
      </c>
      <c r="O8294" t="s">
        <v>23</v>
      </c>
      <c r="P8294" s="1" t="s">
        <v>30</v>
      </c>
      <c r="Q8294">
        <v>164.6</v>
      </c>
    </row>
    <row r="8295" spans="11:17" x14ac:dyDescent="0.3">
      <c r="K8295">
        <v>2021</v>
      </c>
      <c r="L8295" t="s">
        <v>36</v>
      </c>
      <c r="M8295" t="s">
        <v>151</v>
      </c>
      <c r="N8295" t="s">
        <v>23</v>
      </c>
      <c r="O8295" t="s">
        <v>23</v>
      </c>
      <c r="P8295" s="1" t="s">
        <v>34</v>
      </c>
      <c r="Q8295">
        <v>161.69999999999999</v>
      </c>
    </row>
    <row r="8296" spans="11:17" x14ac:dyDescent="0.3">
      <c r="K8296">
        <v>2021</v>
      </c>
      <c r="L8296" t="s">
        <v>36</v>
      </c>
      <c r="M8296" t="s">
        <v>151</v>
      </c>
      <c r="N8296" t="s">
        <v>23</v>
      </c>
      <c r="O8296" t="s">
        <v>23</v>
      </c>
      <c r="P8296" s="1" t="s">
        <v>33</v>
      </c>
      <c r="Q8296">
        <v>156.9</v>
      </c>
    </row>
    <row r="8297" spans="11:17" x14ac:dyDescent="0.3">
      <c r="K8297">
        <v>2021</v>
      </c>
      <c r="L8297" t="s">
        <v>36</v>
      </c>
      <c r="M8297" t="s">
        <v>151</v>
      </c>
      <c r="N8297" t="s">
        <v>22</v>
      </c>
      <c r="O8297" t="s">
        <v>20</v>
      </c>
      <c r="P8297" s="1" t="s">
        <v>30</v>
      </c>
      <c r="Q8297">
        <v>154.80000000000001</v>
      </c>
    </row>
    <row r="8298" spans="11:17" x14ac:dyDescent="0.3">
      <c r="K8298">
        <v>2021</v>
      </c>
      <c r="L8298" t="s">
        <v>36</v>
      </c>
      <c r="M8298" t="s">
        <v>151</v>
      </c>
      <c r="N8298" t="s">
        <v>22</v>
      </c>
      <c r="O8298" t="s">
        <v>20</v>
      </c>
      <c r="P8298" s="1" t="s">
        <v>34</v>
      </c>
      <c r="Q8298">
        <v>151.19999999999999</v>
      </c>
    </row>
    <row r="8299" spans="11:17" x14ac:dyDescent="0.3">
      <c r="K8299">
        <v>2021</v>
      </c>
      <c r="L8299" t="s">
        <v>36</v>
      </c>
      <c r="M8299" t="s">
        <v>151</v>
      </c>
      <c r="N8299" t="s">
        <v>22</v>
      </c>
      <c r="O8299" t="s">
        <v>20</v>
      </c>
      <c r="P8299" s="1" t="s">
        <v>33</v>
      </c>
      <c r="Q8299">
        <v>147.19999999999999</v>
      </c>
    </row>
    <row r="8300" spans="11:17" x14ac:dyDescent="0.3">
      <c r="K8300">
        <v>2021</v>
      </c>
      <c r="L8300" t="s">
        <v>36</v>
      </c>
      <c r="M8300" t="s">
        <v>151</v>
      </c>
      <c r="N8300" t="s">
        <v>20</v>
      </c>
      <c r="O8300" t="s">
        <v>20</v>
      </c>
      <c r="P8300" s="1" t="s">
        <v>30</v>
      </c>
      <c r="Q8300">
        <v>0</v>
      </c>
    </row>
    <row r="8301" spans="11:17" x14ac:dyDescent="0.3">
      <c r="K8301">
        <v>2021</v>
      </c>
      <c r="L8301" t="s">
        <v>36</v>
      </c>
      <c r="M8301" t="s">
        <v>151</v>
      </c>
      <c r="N8301" t="s">
        <v>20</v>
      </c>
      <c r="O8301" t="s">
        <v>20</v>
      </c>
      <c r="P8301" s="1" t="s">
        <v>34</v>
      </c>
      <c r="Q8301">
        <v>159.9</v>
      </c>
    </row>
    <row r="8302" spans="11:17" x14ac:dyDescent="0.3">
      <c r="K8302">
        <v>2021</v>
      </c>
      <c r="L8302" t="s">
        <v>36</v>
      </c>
      <c r="M8302" t="s">
        <v>151</v>
      </c>
      <c r="N8302" t="s">
        <v>20</v>
      </c>
      <c r="O8302" t="s">
        <v>20</v>
      </c>
      <c r="P8302" s="1" t="s">
        <v>33</v>
      </c>
      <c r="Q8302">
        <v>159.9</v>
      </c>
    </row>
    <row r="8303" spans="11:17" x14ac:dyDescent="0.3">
      <c r="K8303">
        <v>2021</v>
      </c>
      <c r="L8303" t="s">
        <v>36</v>
      </c>
      <c r="M8303" t="s">
        <v>151</v>
      </c>
      <c r="N8303" t="s">
        <v>4</v>
      </c>
      <c r="O8303" t="s">
        <v>188</v>
      </c>
      <c r="P8303" s="1" t="s">
        <v>30</v>
      </c>
      <c r="Q8303">
        <v>189.4</v>
      </c>
    </row>
    <row r="8304" spans="11:17" x14ac:dyDescent="0.3">
      <c r="K8304">
        <v>2021</v>
      </c>
      <c r="L8304" t="s">
        <v>36</v>
      </c>
      <c r="M8304" t="s">
        <v>151</v>
      </c>
      <c r="N8304" t="s">
        <v>4</v>
      </c>
      <c r="O8304" t="s">
        <v>188</v>
      </c>
      <c r="P8304" s="1" t="s">
        <v>34</v>
      </c>
      <c r="Q8304">
        <v>192.2</v>
      </c>
    </row>
    <row r="8305" spans="11:17" x14ac:dyDescent="0.3">
      <c r="K8305">
        <v>2021</v>
      </c>
      <c r="L8305" t="s">
        <v>36</v>
      </c>
      <c r="M8305" t="s">
        <v>151</v>
      </c>
      <c r="N8305" t="s">
        <v>4</v>
      </c>
      <c r="O8305" t="s">
        <v>188</v>
      </c>
      <c r="P8305" s="1" t="s">
        <v>33</v>
      </c>
      <c r="Q8305">
        <v>197.5</v>
      </c>
    </row>
    <row r="8306" spans="11:17" x14ac:dyDescent="0.3">
      <c r="K8306">
        <v>2021</v>
      </c>
      <c r="L8306" t="s">
        <v>36</v>
      </c>
      <c r="M8306" t="s">
        <v>151</v>
      </c>
      <c r="N8306" t="s">
        <v>6</v>
      </c>
      <c r="O8306" t="s">
        <v>188</v>
      </c>
      <c r="P8306" s="1" t="s">
        <v>30</v>
      </c>
      <c r="Q8306">
        <v>154.5</v>
      </c>
    </row>
    <row r="8307" spans="11:17" x14ac:dyDescent="0.3">
      <c r="K8307">
        <v>2021</v>
      </c>
      <c r="L8307" t="s">
        <v>36</v>
      </c>
      <c r="M8307" t="s">
        <v>151</v>
      </c>
      <c r="N8307" t="s">
        <v>6</v>
      </c>
      <c r="O8307" t="s">
        <v>188</v>
      </c>
      <c r="P8307" s="1" t="s">
        <v>34</v>
      </c>
      <c r="Q8307">
        <v>154.9</v>
      </c>
    </row>
    <row r="8308" spans="11:17" x14ac:dyDescent="0.3">
      <c r="K8308">
        <v>2021</v>
      </c>
      <c r="L8308" t="s">
        <v>36</v>
      </c>
      <c r="M8308" t="s">
        <v>151</v>
      </c>
      <c r="N8308" t="s">
        <v>6</v>
      </c>
      <c r="O8308" t="s">
        <v>188</v>
      </c>
      <c r="P8308" s="1" t="s">
        <v>33</v>
      </c>
      <c r="Q8308">
        <v>155.6</v>
      </c>
    </row>
    <row r="8309" spans="11:17" x14ac:dyDescent="0.3">
      <c r="K8309">
        <v>2021</v>
      </c>
      <c r="L8309" t="s">
        <v>36</v>
      </c>
      <c r="M8309" t="s">
        <v>151</v>
      </c>
      <c r="N8309" t="s">
        <v>28</v>
      </c>
      <c r="O8309" t="s">
        <v>192</v>
      </c>
      <c r="P8309" s="1" t="s">
        <v>30</v>
      </c>
      <c r="Q8309">
        <v>157.30000000000001</v>
      </c>
    </row>
    <row r="8310" spans="11:17" x14ac:dyDescent="0.3">
      <c r="K8310">
        <v>2021</v>
      </c>
      <c r="L8310" t="s">
        <v>36</v>
      </c>
      <c r="M8310" t="s">
        <v>151</v>
      </c>
      <c r="N8310" t="s">
        <v>28</v>
      </c>
      <c r="O8310" t="s">
        <v>192</v>
      </c>
      <c r="P8310" s="1" t="s">
        <v>34</v>
      </c>
      <c r="Q8310">
        <v>153.80000000000001</v>
      </c>
    </row>
    <row r="8311" spans="11:17" x14ac:dyDescent="0.3">
      <c r="K8311">
        <v>2021</v>
      </c>
      <c r="L8311" t="s">
        <v>36</v>
      </c>
      <c r="M8311" t="s">
        <v>151</v>
      </c>
      <c r="N8311" t="s">
        <v>28</v>
      </c>
      <c r="O8311" t="s">
        <v>192</v>
      </c>
      <c r="P8311" s="1" t="s">
        <v>33</v>
      </c>
      <c r="Q8311">
        <v>150</v>
      </c>
    </row>
    <row r="8312" spans="11:17" x14ac:dyDescent="0.3">
      <c r="K8312">
        <v>2021</v>
      </c>
      <c r="L8312" t="s">
        <v>36</v>
      </c>
      <c r="M8312" t="s">
        <v>151</v>
      </c>
      <c r="N8312" t="s">
        <v>13</v>
      </c>
      <c r="O8312" t="s">
        <v>188</v>
      </c>
      <c r="P8312" s="1" t="s">
        <v>30</v>
      </c>
      <c r="Q8312">
        <v>160.6</v>
      </c>
    </row>
    <row r="8313" spans="11:17" x14ac:dyDescent="0.3">
      <c r="K8313">
        <v>2021</v>
      </c>
      <c r="L8313" t="s">
        <v>36</v>
      </c>
      <c r="M8313" t="s">
        <v>151</v>
      </c>
      <c r="N8313" t="s">
        <v>13</v>
      </c>
      <c r="O8313" t="s">
        <v>188</v>
      </c>
      <c r="P8313" s="1" t="s">
        <v>34</v>
      </c>
      <c r="Q8313">
        <v>156.5</v>
      </c>
    </row>
    <row r="8314" spans="11:17" x14ac:dyDescent="0.3">
      <c r="K8314">
        <v>2021</v>
      </c>
      <c r="L8314" t="s">
        <v>36</v>
      </c>
      <c r="M8314" t="s">
        <v>151</v>
      </c>
      <c r="N8314" t="s">
        <v>13</v>
      </c>
      <c r="O8314" t="s">
        <v>188</v>
      </c>
      <c r="P8314" s="1" t="s">
        <v>33</v>
      </c>
      <c r="Q8314">
        <v>150.69999999999999</v>
      </c>
    </row>
    <row r="8315" spans="11:17" x14ac:dyDescent="0.3">
      <c r="K8315">
        <v>2021</v>
      </c>
      <c r="L8315" t="s">
        <v>36</v>
      </c>
      <c r="M8315" t="s">
        <v>151</v>
      </c>
      <c r="N8315" t="s">
        <v>7</v>
      </c>
      <c r="O8315" t="s">
        <v>188</v>
      </c>
      <c r="P8315" s="1" t="s">
        <v>30</v>
      </c>
      <c r="Q8315">
        <v>168.2</v>
      </c>
    </row>
    <row r="8316" spans="11:17" x14ac:dyDescent="0.3">
      <c r="K8316">
        <v>2021</v>
      </c>
      <c r="L8316" t="s">
        <v>36</v>
      </c>
      <c r="M8316" t="s">
        <v>151</v>
      </c>
      <c r="N8316" t="s">
        <v>7</v>
      </c>
      <c r="O8316" t="s">
        <v>188</v>
      </c>
      <c r="P8316" s="1" t="s">
        <v>34</v>
      </c>
      <c r="Q8316">
        <v>163.9</v>
      </c>
    </row>
    <row r="8317" spans="11:17" x14ac:dyDescent="0.3">
      <c r="K8317">
        <v>2021</v>
      </c>
      <c r="L8317" t="s">
        <v>36</v>
      </c>
      <c r="M8317" t="s">
        <v>151</v>
      </c>
      <c r="N8317" t="s">
        <v>7</v>
      </c>
      <c r="O8317" t="s">
        <v>188</v>
      </c>
      <c r="P8317" s="1" t="s">
        <v>33</v>
      </c>
      <c r="Q8317">
        <v>156.4</v>
      </c>
    </row>
    <row r="8318" spans="11:17" x14ac:dyDescent="0.3">
      <c r="K8318">
        <v>2021</v>
      </c>
      <c r="L8318" t="s">
        <v>36</v>
      </c>
      <c r="M8318" t="s">
        <v>151</v>
      </c>
      <c r="N8318" t="s">
        <v>16</v>
      </c>
      <c r="O8318" t="s">
        <v>192</v>
      </c>
      <c r="P8318" s="1" t="s">
        <v>30</v>
      </c>
      <c r="Q8318">
        <v>186.1</v>
      </c>
    </row>
    <row r="8319" spans="11:17" x14ac:dyDescent="0.3">
      <c r="K8319">
        <v>2021</v>
      </c>
      <c r="L8319" t="s">
        <v>36</v>
      </c>
      <c r="M8319" t="s">
        <v>151</v>
      </c>
      <c r="N8319" t="s">
        <v>16</v>
      </c>
      <c r="O8319" t="s">
        <v>192</v>
      </c>
      <c r="P8319" s="1" t="s">
        <v>34</v>
      </c>
      <c r="Q8319">
        <v>188.1</v>
      </c>
    </row>
    <row r="8320" spans="11:17" x14ac:dyDescent="0.3">
      <c r="K8320">
        <v>2021</v>
      </c>
      <c r="L8320" t="s">
        <v>36</v>
      </c>
      <c r="M8320" t="s">
        <v>151</v>
      </c>
      <c r="N8320" t="s">
        <v>16</v>
      </c>
      <c r="O8320" t="s">
        <v>192</v>
      </c>
      <c r="P8320" s="1" t="s">
        <v>33</v>
      </c>
      <c r="Q8320">
        <v>193.5</v>
      </c>
    </row>
    <row r="8321" spans="11:17" x14ac:dyDescent="0.3">
      <c r="K8321">
        <v>2021</v>
      </c>
      <c r="L8321" t="s">
        <v>36</v>
      </c>
      <c r="M8321" t="s">
        <v>151</v>
      </c>
      <c r="N8321" t="s">
        <v>27</v>
      </c>
      <c r="O8321" t="s">
        <v>192</v>
      </c>
      <c r="P8321" s="1" t="s">
        <v>30</v>
      </c>
      <c r="Q8321">
        <v>153.1</v>
      </c>
    </row>
    <row r="8322" spans="11:17" x14ac:dyDescent="0.3">
      <c r="K8322">
        <v>2021</v>
      </c>
      <c r="L8322" t="s">
        <v>36</v>
      </c>
      <c r="M8322" t="s">
        <v>151</v>
      </c>
      <c r="N8322" t="s">
        <v>27</v>
      </c>
      <c r="O8322" t="s">
        <v>192</v>
      </c>
      <c r="P8322" s="1" t="s">
        <v>34</v>
      </c>
      <c r="Q8322">
        <v>153.80000000000001</v>
      </c>
    </row>
    <row r="8323" spans="11:17" x14ac:dyDescent="0.3">
      <c r="K8323">
        <v>2021</v>
      </c>
      <c r="L8323" t="s">
        <v>36</v>
      </c>
      <c r="M8323" t="s">
        <v>151</v>
      </c>
      <c r="N8323" t="s">
        <v>27</v>
      </c>
      <c r="O8323" t="s">
        <v>192</v>
      </c>
      <c r="P8323" s="1" t="s">
        <v>33</v>
      </c>
      <c r="Q8323">
        <v>154.9</v>
      </c>
    </row>
    <row r="8324" spans="11:17" x14ac:dyDescent="0.3">
      <c r="K8324">
        <v>2021</v>
      </c>
      <c r="L8324" t="s">
        <v>36</v>
      </c>
      <c r="M8324" t="s">
        <v>151</v>
      </c>
      <c r="N8324" t="s">
        <v>14</v>
      </c>
      <c r="O8324" t="s">
        <v>188</v>
      </c>
      <c r="P8324" s="1" t="s">
        <v>30</v>
      </c>
      <c r="Q8324">
        <v>166.4</v>
      </c>
    </row>
    <row r="8325" spans="11:17" x14ac:dyDescent="0.3">
      <c r="K8325">
        <v>2021</v>
      </c>
      <c r="L8325" t="s">
        <v>36</v>
      </c>
      <c r="M8325" t="s">
        <v>151</v>
      </c>
      <c r="N8325" t="s">
        <v>14</v>
      </c>
      <c r="O8325" t="s">
        <v>188</v>
      </c>
      <c r="P8325" s="1" t="s">
        <v>34</v>
      </c>
      <c r="Q8325">
        <v>168.2</v>
      </c>
    </row>
    <row r="8326" spans="11:17" x14ac:dyDescent="0.3">
      <c r="K8326">
        <v>2021</v>
      </c>
      <c r="L8326" t="s">
        <v>36</v>
      </c>
      <c r="M8326" t="s">
        <v>151</v>
      </c>
      <c r="N8326" t="s">
        <v>14</v>
      </c>
      <c r="O8326" t="s">
        <v>188</v>
      </c>
      <c r="P8326" s="1" t="s">
        <v>33</v>
      </c>
      <c r="Q8326">
        <v>170.3</v>
      </c>
    </row>
    <row r="8327" spans="11:17" x14ac:dyDescent="0.3">
      <c r="K8327">
        <v>2021</v>
      </c>
      <c r="L8327" t="s">
        <v>36</v>
      </c>
      <c r="M8327" t="s">
        <v>151</v>
      </c>
      <c r="N8327" t="s">
        <v>10</v>
      </c>
      <c r="O8327" t="s">
        <v>188</v>
      </c>
      <c r="P8327" s="1" t="s">
        <v>30</v>
      </c>
      <c r="Q8327">
        <v>159.19999999999999</v>
      </c>
    </row>
    <row r="8328" spans="11:17" x14ac:dyDescent="0.3">
      <c r="K8328">
        <v>2021</v>
      </c>
      <c r="L8328" t="s">
        <v>36</v>
      </c>
      <c r="M8328" t="s">
        <v>151</v>
      </c>
      <c r="N8328" t="s">
        <v>10</v>
      </c>
      <c r="O8328" t="s">
        <v>188</v>
      </c>
      <c r="P8328" s="1" t="s">
        <v>34</v>
      </c>
      <c r="Q8328">
        <v>159.80000000000001</v>
      </c>
    </row>
    <row r="8329" spans="11:17" x14ac:dyDescent="0.3">
      <c r="K8329">
        <v>2021</v>
      </c>
      <c r="L8329" t="s">
        <v>36</v>
      </c>
      <c r="M8329" t="s">
        <v>151</v>
      </c>
      <c r="N8329" t="s">
        <v>10</v>
      </c>
      <c r="O8329" t="s">
        <v>188</v>
      </c>
      <c r="P8329" s="1" t="s">
        <v>33</v>
      </c>
      <c r="Q8329">
        <v>161.1</v>
      </c>
    </row>
    <row r="8330" spans="11:17" x14ac:dyDescent="0.3">
      <c r="K8330">
        <v>2021</v>
      </c>
      <c r="L8330" t="s">
        <v>36</v>
      </c>
      <c r="M8330" t="s">
        <v>151</v>
      </c>
      <c r="N8330" t="s">
        <v>25</v>
      </c>
      <c r="O8330" t="s">
        <v>195</v>
      </c>
      <c r="P8330" s="1" t="s">
        <v>30</v>
      </c>
      <c r="Q8330">
        <v>157.80000000000001</v>
      </c>
    </row>
    <row r="8331" spans="11:17" x14ac:dyDescent="0.3">
      <c r="K8331">
        <v>2021</v>
      </c>
      <c r="L8331" t="s">
        <v>36</v>
      </c>
      <c r="M8331" t="s">
        <v>151</v>
      </c>
      <c r="N8331" t="s">
        <v>25</v>
      </c>
      <c r="O8331" t="s">
        <v>195</v>
      </c>
      <c r="P8331" s="1" t="s">
        <v>34</v>
      </c>
      <c r="Q8331">
        <v>152.6</v>
      </c>
    </row>
    <row r="8332" spans="11:17" x14ac:dyDescent="0.3">
      <c r="K8332">
        <v>2021</v>
      </c>
      <c r="L8332" t="s">
        <v>36</v>
      </c>
      <c r="M8332" t="s">
        <v>151</v>
      </c>
      <c r="N8332" t="s">
        <v>25</v>
      </c>
      <c r="O8332" t="s">
        <v>195</v>
      </c>
      <c r="P8332" s="1" t="s">
        <v>33</v>
      </c>
      <c r="Q8332">
        <v>148.6</v>
      </c>
    </row>
    <row r="8333" spans="11:17" x14ac:dyDescent="0.3">
      <c r="K8333">
        <v>2021</v>
      </c>
      <c r="L8333" t="s">
        <v>36</v>
      </c>
      <c r="M8333" t="s">
        <v>151</v>
      </c>
      <c r="N8333" t="s">
        <v>12</v>
      </c>
      <c r="O8333" t="s">
        <v>188</v>
      </c>
      <c r="P8333" s="1" t="s">
        <v>30</v>
      </c>
      <c r="Q8333">
        <v>164</v>
      </c>
    </row>
    <row r="8334" spans="11:17" x14ac:dyDescent="0.3">
      <c r="K8334">
        <v>2021</v>
      </c>
      <c r="L8334" t="s">
        <v>36</v>
      </c>
      <c r="M8334" t="s">
        <v>151</v>
      </c>
      <c r="N8334" t="s">
        <v>12</v>
      </c>
      <c r="O8334" t="s">
        <v>188</v>
      </c>
      <c r="P8334" s="1" t="s">
        <v>34</v>
      </c>
      <c r="Q8334">
        <v>163.5</v>
      </c>
    </row>
    <row r="8335" spans="11:17" x14ac:dyDescent="0.3">
      <c r="K8335">
        <v>2021</v>
      </c>
      <c r="L8335" t="s">
        <v>36</v>
      </c>
      <c r="M8335" t="s">
        <v>151</v>
      </c>
      <c r="N8335" t="s">
        <v>12</v>
      </c>
      <c r="O8335" t="s">
        <v>188</v>
      </c>
      <c r="P8335" s="1" t="s">
        <v>33</v>
      </c>
      <c r="Q8335">
        <v>162.6</v>
      </c>
    </row>
    <row r="8336" spans="11:17" x14ac:dyDescent="0.3">
      <c r="K8336">
        <v>2021</v>
      </c>
      <c r="L8336" t="s">
        <v>36</v>
      </c>
      <c r="M8336" t="s">
        <v>151</v>
      </c>
      <c r="N8336" t="s">
        <v>11</v>
      </c>
      <c r="O8336" t="s">
        <v>188</v>
      </c>
      <c r="P8336" s="1" t="s">
        <v>30</v>
      </c>
      <c r="Q8336">
        <v>111.7</v>
      </c>
    </row>
    <row r="8337" spans="11:17" x14ac:dyDescent="0.3">
      <c r="K8337">
        <v>2021</v>
      </c>
      <c r="L8337" t="s">
        <v>36</v>
      </c>
      <c r="M8337" t="s">
        <v>151</v>
      </c>
      <c r="N8337" t="s">
        <v>11</v>
      </c>
      <c r="O8337" t="s">
        <v>188</v>
      </c>
      <c r="P8337" s="1" t="s">
        <v>34</v>
      </c>
      <c r="Q8337">
        <v>112.6</v>
      </c>
    </row>
    <row r="8338" spans="11:17" x14ac:dyDescent="0.3">
      <c r="K8338">
        <v>2021</v>
      </c>
      <c r="L8338" t="s">
        <v>36</v>
      </c>
      <c r="M8338" t="s">
        <v>151</v>
      </c>
      <c r="N8338" t="s">
        <v>11</v>
      </c>
      <c r="O8338" t="s">
        <v>188</v>
      </c>
      <c r="P8338" s="1" t="s">
        <v>33</v>
      </c>
      <c r="Q8338">
        <v>114.3</v>
      </c>
    </row>
    <row r="8339" spans="11:17" x14ac:dyDescent="0.3">
      <c r="K8339">
        <v>2021</v>
      </c>
      <c r="L8339" t="s">
        <v>36</v>
      </c>
      <c r="M8339" t="s">
        <v>151</v>
      </c>
      <c r="N8339" t="s">
        <v>24</v>
      </c>
      <c r="O8339" t="s">
        <v>191</v>
      </c>
      <c r="P8339" s="1" t="s">
        <v>30</v>
      </c>
      <c r="Q8339">
        <v>151.30000000000001</v>
      </c>
    </row>
    <row r="8340" spans="11:17" x14ac:dyDescent="0.3">
      <c r="K8340">
        <v>2021</v>
      </c>
      <c r="L8340" t="s">
        <v>36</v>
      </c>
      <c r="M8340" t="s">
        <v>151</v>
      </c>
      <c r="N8340" t="s">
        <v>24</v>
      </c>
      <c r="O8340" t="s">
        <v>191</v>
      </c>
      <c r="P8340" s="1" t="s">
        <v>34</v>
      </c>
      <c r="Q8340">
        <v>146.19999999999999</v>
      </c>
    </row>
    <row r="8341" spans="11:17" x14ac:dyDescent="0.3">
      <c r="K8341">
        <v>2021</v>
      </c>
      <c r="L8341" t="s">
        <v>36</v>
      </c>
      <c r="M8341" t="s">
        <v>151</v>
      </c>
      <c r="N8341" t="s">
        <v>24</v>
      </c>
      <c r="O8341" t="s">
        <v>191</v>
      </c>
      <c r="P8341" s="1" t="s">
        <v>33</v>
      </c>
      <c r="Q8341">
        <v>141.69999999999999</v>
      </c>
    </row>
    <row r="8342" spans="11:17" x14ac:dyDescent="0.3">
      <c r="K8342">
        <v>2021</v>
      </c>
      <c r="L8342" t="s">
        <v>36</v>
      </c>
      <c r="M8342" t="s">
        <v>151</v>
      </c>
      <c r="N8342" t="s">
        <v>9</v>
      </c>
      <c r="O8342" t="s">
        <v>188</v>
      </c>
      <c r="P8342" s="1" t="s">
        <v>30</v>
      </c>
      <c r="Q8342">
        <v>141</v>
      </c>
    </row>
    <row r="8343" spans="11:17" x14ac:dyDescent="0.3">
      <c r="K8343">
        <v>2021</v>
      </c>
      <c r="L8343" t="s">
        <v>36</v>
      </c>
      <c r="M8343" t="s">
        <v>151</v>
      </c>
      <c r="N8343" t="s">
        <v>9</v>
      </c>
      <c r="O8343" t="s">
        <v>188</v>
      </c>
      <c r="P8343" s="1" t="s">
        <v>34</v>
      </c>
      <c r="Q8343">
        <v>149.5</v>
      </c>
    </row>
    <row r="8344" spans="11:17" x14ac:dyDescent="0.3">
      <c r="K8344">
        <v>2021</v>
      </c>
      <c r="L8344" t="s">
        <v>36</v>
      </c>
      <c r="M8344" t="s">
        <v>151</v>
      </c>
      <c r="N8344" t="s">
        <v>9</v>
      </c>
      <c r="O8344" t="s">
        <v>188</v>
      </c>
      <c r="P8344" s="1" t="s">
        <v>33</v>
      </c>
      <c r="Q8344">
        <v>166.1</v>
      </c>
    </row>
    <row r="8345" spans="11:17" x14ac:dyDescent="0.3">
      <c r="K8345">
        <v>2021</v>
      </c>
      <c r="L8345" t="s">
        <v>38</v>
      </c>
      <c r="M8345" t="s">
        <v>152</v>
      </c>
      <c r="N8345" t="s">
        <v>3</v>
      </c>
      <c r="O8345" t="s">
        <v>188</v>
      </c>
      <c r="P8345" s="1" t="s">
        <v>30</v>
      </c>
      <c r="Q8345">
        <v>145.1</v>
      </c>
    </row>
    <row r="8346" spans="11:17" x14ac:dyDescent="0.3">
      <c r="K8346">
        <v>2021</v>
      </c>
      <c r="L8346" t="s">
        <v>38</v>
      </c>
      <c r="M8346" t="s">
        <v>152</v>
      </c>
      <c r="N8346" t="s">
        <v>3</v>
      </c>
      <c r="O8346" t="s">
        <v>188</v>
      </c>
      <c r="P8346" s="1" t="s">
        <v>34</v>
      </c>
      <c r="Q8346">
        <v>146.30000000000001</v>
      </c>
    </row>
    <row r="8347" spans="11:17" x14ac:dyDescent="0.3">
      <c r="K8347">
        <v>2021</v>
      </c>
      <c r="L8347" t="s">
        <v>38</v>
      </c>
      <c r="M8347" t="s">
        <v>152</v>
      </c>
      <c r="N8347" t="s">
        <v>3</v>
      </c>
      <c r="O8347" t="s">
        <v>188</v>
      </c>
      <c r="P8347" s="1" t="s">
        <v>33</v>
      </c>
      <c r="Q8347">
        <v>148.80000000000001</v>
      </c>
    </row>
    <row r="8348" spans="11:17" x14ac:dyDescent="0.3">
      <c r="K8348">
        <v>2021</v>
      </c>
      <c r="L8348" t="s">
        <v>38</v>
      </c>
      <c r="M8348" t="s">
        <v>152</v>
      </c>
      <c r="N8348" t="s">
        <v>17</v>
      </c>
      <c r="O8348" t="s">
        <v>189</v>
      </c>
      <c r="P8348" s="1" t="s">
        <v>30</v>
      </c>
      <c r="Q8348">
        <v>165.3</v>
      </c>
    </row>
    <row r="8349" spans="11:17" x14ac:dyDescent="0.3">
      <c r="K8349">
        <v>2021</v>
      </c>
      <c r="L8349" t="s">
        <v>38</v>
      </c>
      <c r="M8349" t="s">
        <v>152</v>
      </c>
      <c r="N8349" t="s">
        <v>17</v>
      </c>
      <c r="O8349" t="s">
        <v>189</v>
      </c>
      <c r="P8349" s="1" t="s">
        <v>34</v>
      </c>
      <c r="Q8349">
        <v>161.80000000000001</v>
      </c>
    </row>
    <row r="8350" spans="11:17" x14ac:dyDescent="0.3">
      <c r="K8350">
        <v>2021</v>
      </c>
      <c r="L8350" t="s">
        <v>38</v>
      </c>
      <c r="M8350" t="s">
        <v>152</v>
      </c>
      <c r="N8350" t="s">
        <v>17</v>
      </c>
      <c r="O8350" t="s">
        <v>189</v>
      </c>
      <c r="P8350" s="1" t="s">
        <v>33</v>
      </c>
      <c r="Q8350">
        <v>156.5</v>
      </c>
    </row>
    <row r="8351" spans="11:17" x14ac:dyDescent="0.3">
      <c r="K8351">
        <v>2021</v>
      </c>
      <c r="L8351" t="s">
        <v>38</v>
      </c>
      <c r="M8351" t="s">
        <v>152</v>
      </c>
      <c r="N8351" t="s">
        <v>19</v>
      </c>
      <c r="O8351" t="s">
        <v>189</v>
      </c>
      <c r="P8351" s="1" t="s">
        <v>30</v>
      </c>
      <c r="Q8351">
        <v>164.5</v>
      </c>
    </row>
    <row r="8352" spans="11:17" x14ac:dyDescent="0.3">
      <c r="K8352">
        <v>2021</v>
      </c>
      <c r="L8352" t="s">
        <v>38</v>
      </c>
      <c r="M8352" t="s">
        <v>152</v>
      </c>
      <c r="N8352" t="s">
        <v>19</v>
      </c>
      <c r="O8352" t="s">
        <v>189</v>
      </c>
      <c r="P8352" s="1" t="s">
        <v>34</v>
      </c>
      <c r="Q8352">
        <v>160.4</v>
      </c>
    </row>
    <row r="8353" spans="11:17" x14ac:dyDescent="0.3">
      <c r="K8353">
        <v>2021</v>
      </c>
      <c r="L8353" t="s">
        <v>38</v>
      </c>
      <c r="M8353" t="s">
        <v>152</v>
      </c>
      <c r="N8353" t="s">
        <v>19</v>
      </c>
      <c r="O8353" t="s">
        <v>189</v>
      </c>
      <c r="P8353" s="1" t="s">
        <v>33</v>
      </c>
      <c r="Q8353">
        <v>154.1</v>
      </c>
    </row>
    <row r="8354" spans="11:17" x14ac:dyDescent="0.3">
      <c r="K8354">
        <v>2021</v>
      </c>
      <c r="L8354" t="s">
        <v>38</v>
      </c>
      <c r="M8354" t="s">
        <v>152</v>
      </c>
      <c r="N8354" t="s">
        <v>26</v>
      </c>
      <c r="O8354" t="s">
        <v>26</v>
      </c>
      <c r="P8354" s="1" t="s">
        <v>30</v>
      </c>
      <c r="Q8354">
        <v>167.6</v>
      </c>
    </row>
    <row r="8355" spans="11:17" x14ac:dyDescent="0.3">
      <c r="K8355">
        <v>2021</v>
      </c>
      <c r="L8355" t="s">
        <v>38</v>
      </c>
      <c r="M8355" t="s">
        <v>152</v>
      </c>
      <c r="N8355" t="s">
        <v>26</v>
      </c>
      <c r="O8355" t="s">
        <v>26</v>
      </c>
      <c r="P8355" s="1" t="s">
        <v>34</v>
      </c>
      <c r="Q8355">
        <v>161.19999999999999</v>
      </c>
    </row>
    <row r="8356" spans="11:17" x14ac:dyDescent="0.3">
      <c r="K8356">
        <v>2021</v>
      </c>
      <c r="L8356" t="s">
        <v>38</v>
      </c>
      <c r="M8356" t="s">
        <v>152</v>
      </c>
      <c r="N8356" t="s">
        <v>26</v>
      </c>
      <c r="O8356" t="s">
        <v>26</v>
      </c>
      <c r="P8356" s="1" t="s">
        <v>33</v>
      </c>
      <c r="Q8356">
        <v>156.6</v>
      </c>
    </row>
    <row r="8357" spans="11:17" x14ac:dyDescent="0.3">
      <c r="K8357">
        <v>2021</v>
      </c>
      <c r="L8357" t="s">
        <v>38</v>
      </c>
      <c r="M8357" t="s">
        <v>152</v>
      </c>
      <c r="N8357" t="s">
        <v>5</v>
      </c>
      <c r="O8357" t="s">
        <v>188</v>
      </c>
      <c r="P8357" s="1" t="s">
        <v>30</v>
      </c>
      <c r="Q8357">
        <v>168.6</v>
      </c>
    </row>
    <row r="8358" spans="11:17" x14ac:dyDescent="0.3">
      <c r="K8358">
        <v>2021</v>
      </c>
      <c r="L8358" t="s">
        <v>38</v>
      </c>
      <c r="M8358" t="s">
        <v>152</v>
      </c>
      <c r="N8358" t="s">
        <v>5</v>
      </c>
      <c r="O8358" t="s">
        <v>188</v>
      </c>
      <c r="P8358" s="1" t="s">
        <v>34</v>
      </c>
      <c r="Q8358">
        <v>170.3</v>
      </c>
    </row>
    <row r="8359" spans="11:17" x14ac:dyDescent="0.3">
      <c r="K8359">
        <v>2021</v>
      </c>
      <c r="L8359" t="s">
        <v>38</v>
      </c>
      <c r="M8359" t="s">
        <v>152</v>
      </c>
      <c r="N8359" t="s">
        <v>5</v>
      </c>
      <c r="O8359" t="s">
        <v>188</v>
      </c>
      <c r="P8359" s="1" t="s">
        <v>33</v>
      </c>
      <c r="Q8359">
        <v>173</v>
      </c>
    </row>
    <row r="8360" spans="11:17" x14ac:dyDescent="0.3">
      <c r="K8360">
        <v>2021</v>
      </c>
      <c r="L8360" t="s">
        <v>38</v>
      </c>
      <c r="M8360" t="s">
        <v>152</v>
      </c>
      <c r="N8360" t="s">
        <v>15</v>
      </c>
      <c r="O8360" t="s">
        <v>188</v>
      </c>
      <c r="P8360" s="1" t="s">
        <v>30</v>
      </c>
      <c r="Q8360">
        <v>158.69999999999999</v>
      </c>
    </row>
    <row r="8361" spans="11:17" x14ac:dyDescent="0.3">
      <c r="K8361">
        <v>2021</v>
      </c>
      <c r="L8361" t="s">
        <v>38</v>
      </c>
      <c r="M8361" t="s">
        <v>152</v>
      </c>
      <c r="N8361" t="s">
        <v>15</v>
      </c>
      <c r="O8361" t="s">
        <v>188</v>
      </c>
      <c r="P8361" s="1" t="s">
        <v>34</v>
      </c>
      <c r="Q8361">
        <v>160.69999999999999</v>
      </c>
    </row>
    <row r="8362" spans="11:17" x14ac:dyDescent="0.3">
      <c r="K8362">
        <v>2021</v>
      </c>
      <c r="L8362" t="s">
        <v>38</v>
      </c>
      <c r="M8362" t="s">
        <v>152</v>
      </c>
      <c r="N8362" t="s">
        <v>15</v>
      </c>
      <c r="O8362" t="s">
        <v>188</v>
      </c>
      <c r="P8362" s="1" t="s">
        <v>33</v>
      </c>
      <c r="Q8362">
        <v>164.2</v>
      </c>
    </row>
    <row r="8363" spans="11:17" x14ac:dyDescent="0.3">
      <c r="K8363">
        <v>2021</v>
      </c>
      <c r="L8363" t="s">
        <v>38</v>
      </c>
      <c r="M8363" t="s">
        <v>152</v>
      </c>
      <c r="N8363" t="s">
        <v>18</v>
      </c>
      <c r="O8363" t="s">
        <v>189</v>
      </c>
      <c r="P8363" s="1" t="s">
        <v>30</v>
      </c>
      <c r="Q8363">
        <v>160.6</v>
      </c>
    </row>
    <row r="8364" spans="11:17" x14ac:dyDescent="0.3">
      <c r="K8364">
        <v>2021</v>
      </c>
      <c r="L8364" t="s">
        <v>38</v>
      </c>
      <c r="M8364" t="s">
        <v>152</v>
      </c>
      <c r="N8364" t="s">
        <v>18</v>
      </c>
      <c r="O8364" t="s">
        <v>189</v>
      </c>
      <c r="P8364" s="1" t="s">
        <v>34</v>
      </c>
      <c r="Q8364">
        <v>152.1</v>
      </c>
    </row>
    <row r="8365" spans="11:17" x14ac:dyDescent="0.3">
      <c r="K8365">
        <v>2021</v>
      </c>
      <c r="L8365" t="s">
        <v>38</v>
      </c>
      <c r="M8365" t="s">
        <v>152</v>
      </c>
      <c r="N8365" t="s">
        <v>18</v>
      </c>
      <c r="O8365" t="s">
        <v>189</v>
      </c>
      <c r="P8365" s="1" t="s">
        <v>33</v>
      </c>
      <c r="Q8365">
        <v>140.19999999999999</v>
      </c>
    </row>
    <row r="8366" spans="11:17" x14ac:dyDescent="0.3">
      <c r="K8366">
        <v>2021</v>
      </c>
      <c r="L8366" t="s">
        <v>38</v>
      </c>
      <c r="M8366" t="s">
        <v>152</v>
      </c>
      <c r="N8366" t="s">
        <v>8</v>
      </c>
      <c r="O8366" t="s">
        <v>188</v>
      </c>
      <c r="P8366" s="1" t="s">
        <v>30</v>
      </c>
      <c r="Q8366">
        <v>162.30000000000001</v>
      </c>
    </row>
    <row r="8367" spans="11:17" x14ac:dyDescent="0.3">
      <c r="K8367">
        <v>2021</v>
      </c>
      <c r="L8367" t="s">
        <v>38</v>
      </c>
      <c r="M8367" t="s">
        <v>152</v>
      </c>
      <c r="N8367" t="s">
        <v>8</v>
      </c>
      <c r="O8367" t="s">
        <v>188</v>
      </c>
      <c r="P8367" s="1" t="s">
        <v>34</v>
      </c>
      <c r="Q8367">
        <v>167.1</v>
      </c>
    </row>
    <row r="8368" spans="11:17" x14ac:dyDescent="0.3">
      <c r="K8368">
        <v>2021</v>
      </c>
      <c r="L8368" t="s">
        <v>38</v>
      </c>
      <c r="M8368" t="s">
        <v>152</v>
      </c>
      <c r="N8368" t="s">
        <v>8</v>
      </c>
      <c r="O8368" t="s">
        <v>188</v>
      </c>
      <c r="P8368" s="1" t="s">
        <v>33</v>
      </c>
      <c r="Q8368">
        <v>172.5</v>
      </c>
    </row>
    <row r="8369" spans="11:17" x14ac:dyDescent="0.3">
      <c r="K8369">
        <v>2021</v>
      </c>
      <c r="L8369" t="s">
        <v>38</v>
      </c>
      <c r="M8369" t="s">
        <v>152</v>
      </c>
      <c r="N8369" t="s">
        <v>21</v>
      </c>
      <c r="O8369" t="s">
        <v>190</v>
      </c>
      <c r="P8369" s="1" t="s">
        <v>30</v>
      </c>
      <c r="Q8369">
        <v>161.69999999999999</v>
      </c>
    </row>
    <row r="8370" spans="11:17" x14ac:dyDescent="0.3">
      <c r="K8370">
        <v>2021</v>
      </c>
      <c r="L8370" t="s">
        <v>38</v>
      </c>
      <c r="M8370" t="s">
        <v>152</v>
      </c>
      <c r="N8370" t="s">
        <v>21</v>
      </c>
      <c r="O8370" t="s">
        <v>190</v>
      </c>
      <c r="P8370" s="1" t="s">
        <v>34</v>
      </c>
      <c r="Q8370">
        <v>159.4</v>
      </c>
    </row>
    <row r="8371" spans="11:17" x14ac:dyDescent="0.3">
      <c r="K8371">
        <v>2021</v>
      </c>
      <c r="L8371" t="s">
        <v>38</v>
      </c>
      <c r="M8371" t="s">
        <v>152</v>
      </c>
      <c r="N8371" t="s">
        <v>21</v>
      </c>
      <c r="O8371" t="s">
        <v>190</v>
      </c>
      <c r="P8371" s="1" t="s">
        <v>33</v>
      </c>
      <c r="Q8371">
        <v>155.5</v>
      </c>
    </row>
    <row r="8372" spans="11:17" x14ac:dyDescent="0.3">
      <c r="K8372">
        <v>2021</v>
      </c>
      <c r="L8372" t="s">
        <v>38</v>
      </c>
      <c r="M8372" t="s">
        <v>152</v>
      </c>
      <c r="N8372" t="s">
        <v>29</v>
      </c>
      <c r="O8372" t="s">
        <v>206</v>
      </c>
      <c r="P8372" s="1" t="s">
        <v>30</v>
      </c>
      <c r="Q8372">
        <v>161.1</v>
      </c>
    </row>
    <row r="8373" spans="11:17" x14ac:dyDescent="0.3">
      <c r="K8373">
        <v>2021</v>
      </c>
      <c r="L8373" t="s">
        <v>38</v>
      </c>
      <c r="M8373" t="s">
        <v>152</v>
      </c>
      <c r="N8373" t="s">
        <v>29</v>
      </c>
      <c r="O8373" t="s">
        <v>206</v>
      </c>
      <c r="P8373" s="1" t="s">
        <v>34</v>
      </c>
      <c r="Q8373">
        <v>160.4</v>
      </c>
    </row>
    <row r="8374" spans="11:17" x14ac:dyDescent="0.3">
      <c r="K8374">
        <v>2021</v>
      </c>
      <c r="L8374" t="s">
        <v>38</v>
      </c>
      <c r="M8374" t="s">
        <v>152</v>
      </c>
      <c r="N8374" t="s">
        <v>29</v>
      </c>
      <c r="O8374" t="s">
        <v>206</v>
      </c>
      <c r="P8374" s="1" t="s">
        <v>33</v>
      </c>
      <c r="Q8374">
        <v>159.5</v>
      </c>
    </row>
    <row r="8375" spans="11:17" x14ac:dyDescent="0.3">
      <c r="K8375">
        <v>2021</v>
      </c>
      <c r="L8375" t="s">
        <v>38</v>
      </c>
      <c r="M8375" t="s">
        <v>152</v>
      </c>
      <c r="N8375" t="s">
        <v>23</v>
      </c>
      <c r="O8375" t="s">
        <v>23</v>
      </c>
      <c r="P8375" s="1" t="s">
        <v>30</v>
      </c>
      <c r="Q8375">
        <v>169.1</v>
      </c>
    </row>
    <row r="8376" spans="11:17" x14ac:dyDescent="0.3">
      <c r="K8376">
        <v>2021</v>
      </c>
      <c r="L8376" t="s">
        <v>38</v>
      </c>
      <c r="M8376" t="s">
        <v>152</v>
      </c>
      <c r="N8376" t="s">
        <v>23</v>
      </c>
      <c r="O8376" t="s">
        <v>23</v>
      </c>
      <c r="P8376" s="1" t="s">
        <v>34</v>
      </c>
      <c r="Q8376">
        <v>165.8</v>
      </c>
    </row>
    <row r="8377" spans="11:17" x14ac:dyDescent="0.3">
      <c r="K8377">
        <v>2021</v>
      </c>
      <c r="L8377" t="s">
        <v>38</v>
      </c>
      <c r="M8377" t="s">
        <v>152</v>
      </c>
      <c r="N8377" t="s">
        <v>23</v>
      </c>
      <c r="O8377" t="s">
        <v>23</v>
      </c>
      <c r="P8377" s="1" t="s">
        <v>33</v>
      </c>
      <c r="Q8377">
        <v>160.4</v>
      </c>
    </row>
    <row r="8378" spans="11:17" x14ac:dyDescent="0.3">
      <c r="K8378">
        <v>2021</v>
      </c>
      <c r="L8378" t="s">
        <v>38</v>
      </c>
      <c r="M8378" t="s">
        <v>152</v>
      </c>
      <c r="N8378" t="s">
        <v>22</v>
      </c>
      <c r="O8378" t="s">
        <v>20</v>
      </c>
      <c r="P8378" s="1" t="s">
        <v>30</v>
      </c>
      <c r="Q8378">
        <v>158.80000000000001</v>
      </c>
    </row>
    <row r="8379" spans="11:17" x14ac:dyDescent="0.3">
      <c r="K8379">
        <v>2021</v>
      </c>
      <c r="L8379" t="s">
        <v>38</v>
      </c>
      <c r="M8379" t="s">
        <v>152</v>
      </c>
      <c r="N8379" t="s">
        <v>22</v>
      </c>
      <c r="O8379" t="s">
        <v>20</v>
      </c>
      <c r="P8379" s="1" t="s">
        <v>34</v>
      </c>
      <c r="Q8379">
        <v>154.69999999999999</v>
      </c>
    </row>
    <row r="8380" spans="11:17" x14ac:dyDescent="0.3">
      <c r="K8380">
        <v>2021</v>
      </c>
      <c r="L8380" t="s">
        <v>38</v>
      </c>
      <c r="M8380" t="s">
        <v>152</v>
      </c>
      <c r="N8380" t="s">
        <v>22</v>
      </c>
      <c r="O8380" t="s">
        <v>20</v>
      </c>
      <c r="P8380" s="1" t="s">
        <v>33</v>
      </c>
      <c r="Q8380">
        <v>150.1</v>
      </c>
    </row>
    <row r="8381" spans="11:17" x14ac:dyDescent="0.3">
      <c r="K8381">
        <v>2021</v>
      </c>
      <c r="L8381" t="s">
        <v>38</v>
      </c>
      <c r="M8381" t="s">
        <v>152</v>
      </c>
      <c r="N8381" t="s">
        <v>20</v>
      </c>
      <c r="O8381" t="s">
        <v>20</v>
      </c>
      <c r="P8381" s="1" t="s">
        <v>30</v>
      </c>
      <c r="Q8381">
        <v>0</v>
      </c>
    </row>
    <row r="8382" spans="11:17" x14ac:dyDescent="0.3">
      <c r="K8382">
        <v>2021</v>
      </c>
      <c r="L8382" t="s">
        <v>38</v>
      </c>
      <c r="M8382" t="s">
        <v>152</v>
      </c>
      <c r="N8382" t="s">
        <v>20</v>
      </c>
      <c r="O8382" t="s">
        <v>20</v>
      </c>
      <c r="P8382" s="1" t="s">
        <v>34</v>
      </c>
      <c r="Q8382">
        <v>161.6</v>
      </c>
    </row>
    <row r="8383" spans="11:17" x14ac:dyDescent="0.3">
      <c r="K8383">
        <v>2021</v>
      </c>
      <c r="L8383" t="s">
        <v>38</v>
      </c>
      <c r="M8383" t="s">
        <v>152</v>
      </c>
      <c r="N8383" t="s">
        <v>20</v>
      </c>
      <c r="O8383" t="s">
        <v>20</v>
      </c>
      <c r="P8383" s="1" t="s">
        <v>33</v>
      </c>
      <c r="Q8383">
        <v>161.6</v>
      </c>
    </row>
    <row r="8384" spans="11:17" x14ac:dyDescent="0.3">
      <c r="K8384">
        <v>2021</v>
      </c>
      <c r="L8384" t="s">
        <v>38</v>
      </c>
      <c r="M8384" t="s">
        <v>152</v>
      </c>
      <c r="N8384" t="s">
        <v>4</v>
      </c>
      <c r="O8384" t="s">
        <v>188</v>
      </c>
      <c r="P8384" s="1" t="s">
        <v>30</v>
      </c>
      <c r="Q8384">
        <v>198.5</v>
      </c>
    </row>
    <row r="8385" spans="11:17" x14ac:dyDescent="0.3">
      <c r="K8385">
        <v>2021</v>
      </c>
      <c r="L8385" t="s">
        <v>38</v>
      </c>
      <c r="M8385" t="s">
        <v>152</v>
      </c>
      <c r="N8385" t="s">
        <v>4</v>
      </c>
      <c r="O8385" t="s">
        <v>188</v>
      </c>
      <c r="P8385" s="1" t="s">
        <v>34</v>
      </c>
      <c r="Q8385">
        <v>200.5</v>
      </c>
    </row>
    <row r="8386" spans="11:17" x14ac:dyDescent="0.3">
      <c r="K8386">
        <v>2021</v>
      </c>
      <c r="L8386" t="s">
        <v>38</v>
      </c>
      <c r="M8386" t="s">
        <v>152</v>
      </c>
      <c r="N8386" t="s">
        <v>4</v>
      </c>
      <c r="O8386" t="s">
        <v>188</v>
      </c>
      <c r="P8386" s="1" t="s">
        <v>33</v>
      </c>
      <c r="Q8386">
        <v>204.3</v>
      </c>
    </row>
    <row r="8387" spans="11:17" x14ac:dyDescent="0.3">
      <c r="K8387">
        <v>2021</v>
      </c>
      <c r="L8387" t="s">
        <v>38</v>
      </c>
      <c r="M8387" t="s">
        <v>152</v>
      </c>
      <c r="N8387" t="s">
        <v>6</v>
      </c>
      <c r="O8387" t="s">
        <v>188</v>
      </c>
      <c r="P8387" s="1" t="s">
        <v>30</v>
      </c>
      <c r="Q8387">
        <v>155.80000000000001</v>
      </c>
    </row>
    <row r="8388" spans="11:17" x14ac:dyDescent="0.3">
      <c r="K8388">
        <v>2021</v>
      </c>
      <c r="L8388" t="s">
        <v>38</v>
      </c>
      <c r="M8388" t="s">
        <v>152</v>
      </c>
      <c r="N8388" t="s">
        <v>6</v>
      </c>
      <c r="O8388" t="s">
        <v>188</v>
      </c>
      <c r="P8388" s="1" t="s">
        <v>34</v>
      </c>
      <c r="Q8388">
        <v>156.1</v>
      </c>
    </row>
    <row r="8389" spans="11:17" x14ac:dyDescent="0.3">
      <c r="K8389">
        <v>2021</v>
      </c>
      <c r="L8389" t="s">
        <v>38</v>
      </c>
      <c r="M8389" t="s">
        <v>152</v>
      </c>
      <c r="N8389" t="s">
        <v>6</v>
      </c>
      <c r="O8389" t="s">
        <v>188</v>
      </c>
      <c r="P8389" s="1" t="s">
        <v>33</v>
      </c>
      <c r="Q8389">
        <v>156.5</v>
      </c>
    </row>
    <row r="8390" spans="11:17" x14ac:dyDescent="0.3">
      <c r="K8390">
        <v>2021</v>
      </c>
      <c r="L8390" t="s">
        <v>38</v>
      </c>
      <c r="M8390" t="s">
        <v>152</v>
      </c>
      <c r="N8390" t="s">
        <v>28</v>
      </c>
      <c r="O8390" t="s">
        <v>192</v>
      </c>
      <c r="P8390" s="1" t="s">
        <v>30</v>
      </c>
      <c r="Q8390">
        <v>161.1</v>
      </c>
    </row>
    <row r="8391" spans="11:17" x14ac:dyDescent="0.3">
      <c r="K8391">
        <v>2021</v>
      </c>
      <c r="L8391" t="s">
        <v>38</v>
      </c>
      <c r="M8391" t="s">
        <v>152</v>
      </c>
      <c r="N8391" t="s">
        <v>28</v>
      </c>
      <c r="O8391" t="s">
        <v>192</v>
      </c>
      <c r="P8391" s="1" t="s">
        <v>34</v>
      </c>
      <c r="Q8391">
        <v>156.80000000000001</v>
      </c>
    </row>
    <row r="8392" spans="11:17" x14ac:dyDescent="0.3">
      <c r="K8392">
        <v>2021</v>
      </c>
      <c r="L8392" t="s">
        <v>38</v>
      </c>
      <c r="M8392" t="s">
        <v>152</v>
      </c>
      <c r="N8392" t="s">
        <v>28</v>
      </c>
      <c r="O8392" t="s">
        <v>192</v>
      </c>
      <c r="P8392" s="1" t="s">
        <v>33</v>
      </c>
      <c r="Q8392">
        <v>152.30000000000001</v>
      </c>
    </row>
    <row r="8393" spans="11:17" x14ac:dyDescent="0.3">
      <c r="K8393">
        <v>2021</v>
      </c>
      <c r="L8393" t="s">
        <v>38</v>
      </c>
      <c r="M8393" t="s">
        <v>152</v>
      </c>
      <c r="N8393" t="s">
        <v>13</v>
      </c>
      <c r="O8393" t="s">
        <v>188</v>
      </c>
      <c r="P8393" s="1" t="s">
        <v>30</v>
      </c>
      <c r="Q8393">
        <v>164.6</v>
      </c>
    </row>
    <row r="8394" spans="11:17" x14ac:dyDescent="0.3">
      <c r="K8394">
        <v>2021</v>
      </c>
      <c r="L8394" t="s">
        <v>38</v>
      </c>
      <c r="M8394" t="s">
        <v>152</v>
      </c>
      <c r="N8394" t="s">
        <v>13</v>
      </c>
      <c r="O8394" t="s">
        <v>188</v>
      </c>
      <c r="P8394" s="1" t="s">
        <v>34</v>
      </c>
      <c r="Q8394">
        <v>159.30000000000001</v>
      </c>
    </row>
    <row r="8395" spans="11:17" x14ac:dyDescent="0.3">
      <c r="K8395">
        <v>2021</v>
      </c>
      <c r="L8395" t="s">
        <v>38</v>
      </c>
      <c r="M8395" t="s">
        <v>152</v>
      </c>
      <c r="N8395" t="s">
        <v>13</v>
      </c>
      <c r="O8395" t="s">
        <v>188</v>
      </c>
      <c r="P8395" s="1" t="s">
        <v>33</v>
      </c>
      <c r="Q8395">
        <v>152</v>
      </c>
    </row>
    <row r="8396" spans="11:17" x14ac:dyDescent="0.3">
      <c r="K8396">
        <v>2021</v>
      </c>
      <c r="L8396" t="s">
        <v>38</v>
      </c>
      <c r="M8396" t="s">
        <v>152</v>
      </c>
      <c r="N8396" t="s">
        <v>7</v>
      </c>
      <c r="O8396" t="s">
        <v>188</v>
      </c>
      <c r="P8396" s="1" t="s">
        <v>30</v>
      </c>
      <c r="Q8396">
        <v>184.4</v>
      </c>
    </row>
    <row r="8397" spans="11:17" x14ac:dyDescent="0.3">
      <c r="K8397">
        <v>2021</v>
      </c>
      <c r="L8397" t="s">
        <v>38</v>
      </c>
      <c r="M8397" t="s">
        <v>152</v>
      </c>
      <c r="N8397" t="s">
        <v>7</v>
      </c>
      <c r="O8397" t="s">
        <v>188</v>
      </c>
      <c r="P8397" s="1" t="s">
        <v>34</v>
      </c>
      <c r="Q8397">
        <v>178.7</v>
      </c>
    </row>
    <row r="8398" spans="11:17" x14ac:dyDescent="0.3">
      <c r="K8398">
        <v>2021</v>
      </c>
      <c r="L8398" t="s">
        <v>38</v>
      </c>
      <c r="M8398" t="s">
        <v>152</v>
      </c>
      <c r="N8398" t="s">
        <v>7</v>
      </c>
      <c r="O8398" t="s">
        <v>188</v>
      </c>
      <c r="P8398" s="1" t="s">
        <v>33</v>
      </c>
      <c r="Q8398">
        <v>168.8</v>
      </c>
    </row>
    <row r="8399" spans="11:17" x14ac:dyDescent="0.3">
      <c r="K8399">
        <v>2021</v>
      </c>
      <c r="L8399" t="s">
        <v>38</v>
      </c>
      <c r="M8399" t="s">
        <v>152</v>
      </c>
      <c r="N8399" t="s">
        <v>16</v>
      </c>
      <c r="O8399" t="s">
        <v>192</v>
      </c>
      <c r="P8399" s="1" t="s">
        <v>30</v>
      </c>
      <c r="Q8399">
        <v>189.6</v>
      </c>
    </row>
    <row r="8400" spans="11:17" x14ac:dyDescent="0.3">
      <c r="K8400">
        <v>2021</v>
      </c>
      <c r="L8400" t="s">
        <v>38</v>
      </c>
      <c r="M8400" t="s">
        <v>152</v>
      </c>
      <c r="N8400" t="s">
        <v>16</v>
      </c>
      <c r="O8400" t="s">
        <v>192</v>
      </c>
      <c r="P8400" s="1" t="s">
        <v>34</v>
      </c>
      <c r="Q8400">
        <v>191.9</v>
      </c>
    </row>
    <row r="8401" spans="11:17" x14ac:dyDescent="0.3">
      <c r="K8401">
        <v>2021</v>
      </c>
      <c r="L8401" t="s">
        <v>38</v>
      </c>
      <c r="M8401" t="s">
        <v>152</v>
      </c>
      <c r="N8401" t="s">
        <v>16</v>
      </c>
      <c r="O8401" t="s">
        <v>192</v>
      </c>
      <c r="P8401" s="1" t="s">
        <v>33</v>
      </c>
      <c r="Q8401">
        <v>198.2</v>
      </c>
    </row>
    <row r="8402" spans="11:17" x14ac:dyDescent="0.3">
      <c r="K8402">
        <v>2021</v>
      </c>
      <c r="L8402" t="s">
        <v>38</v>
      </c>
      <c r="M8402" t="s">
        <v>152</v>
      </c>
      <c r="N8402" t="s">
        <v>27</v>
      </c>
      <c r="O8402" t="s">
        <v>192</v>
      </c>
      <c r="P8402" s="1" t="s">
        <v>30</v>
      </c>
      <c r="Q8402">
        <v>159.30000000000001</v>
      </c>
    </row>
    <row r="8403" spans="11:17" x14ac:dyDescent="0.3">
      <c r="K8403">
        <v>2021</v>
      </c>
      <c r="L8403" t="s">
        <v>38</v>
      </c>
      <c r="M8403" t="s">
        <v>152</v>
      </c>
      <c r="N8403" t="s">
        <v>27</v>
      </c>
      <c r="O8403" t="s">
        <v>192</v>
      </c>
      <c r="P8403" s="1" t="s">
        <v>34</v>
      </c>
      <c r="Q8403">
        <v>158.6</v>
      </c>
    </row>
    <row r="8404" spans="11:17" x14ac:dyDescent="0.3">
      <c r="K8404">
        <v>2021</v>
      </c>
      <c r="L8404" t="s">
        <v>38</v>
      </c>
      <c r="M8404" t="s">
        <v>152</v>
      </c>
      <c r="N8404" t="s">
        <v>27</v>
      </c>
      <c r="O8404" t="s">
        <v>192</v>
      </c>
      <c r="P8404" s="1" t="s">
        <v>33</v>
      </c>
      <c r="Q8404">
        <v>157.5</v>
      </c>
    </row>
    <row r="8405" spans="11:17" x14ac:dyDescent="0.3">
      <c r="K8405">
        <v>2021</v>
      </c>
      <c r="L8405" t="s">
        <v>38</v>
      </c>
      <c r="M8405" t="s">
        <v>152</v>
      </c>
      <c r="N8405" t="s">
        <v>14</v>
      </c>
      <c r="O8405" t="s">
        <v>188</v>
      </c>
      <c r="P8405" s="1" t="s">
        <v>30</v>
      </c>
      <c r="Q8405">
        <v>169.8</v>
      </c>
    </row>
    <row r="8406" spans="11:17" x14ac:dyDescent="0.3">
      <c r="K8406">
        <v>2021</v>
      </c>
      <c r="L8406" t="s">
        <v>38</v>
      </c>
      <c r="M8406" t="s">
        <v>152</v>
      </c>
      <c r="N8406" t="s">
        <v>14</v>
      </c>
      <c r="O8406" t="s">
        <v>188</v>
      </c>
      <c r="P8406" s="1" t="s">
        <v>34</v>
      </c>
      <c r="Q8406">
        <v>170.4</v>
      </c>
    </row>
    <row r="8407" spans="11:17" x14ac:dyDescent="0.3">
      <c r="K8407">
        <v>2021</v>
      </c>
      <c r="L8407" t="s">
        <v>38</v>
      </c>
      <c r="M8407" t="s">
        <v>152</v>
      </c>
      <c r="N8407" t="s">
        <v>14</v>
      </c>
      <c r="O8407" t="s">
        <v>188</v>
      </c>
      <c r="P8407" s="1" t="s">
        <v>33</v>
      </c>
      <c r="Q8407">
        <v>171.1</v>
      </c>
    </row>
    <row r="8408" spans="11:17" x14ac:dyDescent="0.3">
      <c r="K8408">
        <v>2021</v>
      </c>
      <c r="L8408" t="s">
        <v>38</v>
      </c>
      <c r="M8408" t="s">
        <v>152</v>
      </c>
      <c r="N8408" t="s">
        <v>10</v>
      </c>
      <c r="O8408" t="s">
        <v>188</v>
      </c>
      <c r="P8408" s="1" t="s">
        <v>30</v>
      </c>
      <c r="Q8408">
        <v>165.1</v>
      </c>
    </row>
    <row r="8409" spans="11:17" x14ac:dyDescent="0.3">
      <c r="K8409">
        <v>2021</v>
      </c>
      <c r="L8409" t="s">
        <v>38</v>
      </c>
      <c r="M8409" t="s">
        <v>152</v>
      </c>
      <c r="N8409" t="s">
        <v>10</v>
      </c>
      <c r="O8409" t="s">
        <v>188</v>
      </c>
      <c r="P8409" s="1" t="s">
        <v>34</v>
      </c>
      <c r="Q8409">
        <v>165.4</v>
      </c>
    </row>
    <row r="8410" spans="11:17" x14ac:dyDescent="0.3">
      <c r="K8410">
        <v>2021</v>
      </c>
      <c r="L8410" t="s">
        <v>38</v>
      </c>
      <c r="M8410" t="s">
        <v>152</v>
      </c>
      <c r="N8410" t="s">
        <v>10</v>
      </c>
      <c r="O8410" t="s">
        <v>188</v>
      </c>
      <c r="P8410" s="1" t="s">
        <v>33</v>
      </c>
      <c r="Q8410">
        <v>165.9</v>
      </c>
    </row>
    <row r="8411" spans="11:17" x14ac:dyDescent="0.3">
      <c r="K8411">
        <v>2021</v>
      </c>
      <c r="L8411" t="s">
        <v>38</v>
      </c>
      <c r="M8411" t="s">
        <v>152</v>
      </c>
      <c r="N8411" t="s">
        <v>25</v>
      </c>
      <c r="O8411" t="s">
        <v>195</v>
      </c>
      <c r="P8411" s="1" t="s">
        <v>30</v>
      </c>
      <c r="Q8411">
        <v>160</v>
      </c>
    </row>
    <row r="8412" spans="11:17" x14ac:dyDescent="0.3">
      <c r="K8412">
        <v>2021</v>
      </c>
      <c r="L8412" t="s">
        <v>38</v>
      </c>
      <c r="M8412" t="s">
        <v>152</v>
      </c>
      <c r="N8412" t="s">
        <v>25</v>
      </c>
      <c r="O8412" t="s">
        <v>195</v>
      </c>
      <c r="P8412" s="1" t="s">
        <v>34</v>
      </c>
      <c r="Q8412">
        <v>155.80000000000001</v>
      </c>
    </row>
    <row r="8413" spans="11:17" x14ac:dyDescent="0.3">
      <c r="K8413">
        <v>2021</v>
      </c>
      <c r="L8413" t="s">
        <v>38</v>
      </c>
      <c r="M8413" t="s">
        <v>152</v>
      </c>
      <c r="N8413" t="s">
        <v>25</v>
      </c>
      <c r="O8413" t="s">
        <v>195</v>
      </c>
      <c r="P8413" s="1" t="s">
        <v>33</v>
      </c>
      <c r="Q8413">
        <v>152.6</v>
      </c>
    </row>
    <row r="8414" spans="11:17" x14ac:dyDescent="0.3">
      <c r="K8414">
        <v>2021</v>
      </c>
      <c r="L8414" t="s">
        <v>38</v>
      </c>
      <c r="M8414" t="s">
        <v>152</v>
      </c>
      <c r="N8414" t="s">
        <v>12</v>
      </c>
      <c r="O8414" t="s">
        <v>188</v>
      </c>
      <c r="P8414" s="1" t="s">
        <v>30</v>
      </c>
      <c r="Q8414">
        <v>169.7</v>
      </c>
    </row>
    <row r="8415" spans="11:17" x14ac:dyDescent="0.3">
      <c r="K8415">
        <v>2021</v>
      </c>
      <c r="L8415" t="s">
        <v>38</v>
      </c>
      <c r="M8415" t="s">
        <v>152</v>
      </c>
      <c r="N8415" t="s">
        <v>12</v>
      </c>
      <c r="O8415" t="s">
        <v>188</v>
      </c>
      <c r="P8415" s="1" t="s">
        <v>34</v>
      </c>
      <c r="Q8415">
        <v>168.2</v>
      </c>
    </row>
    <row r="8416" spans="11:17" x14ac:dyDescent="0.3">
      <c r="K8416">
        <v>2021</v>
      </c>
      <c r="L8416" t="s">
        <v>38</v>
      </c>
      <c r="M8416" t="s">
        <v>152</v>
      </c>
      <c r="N8416" t="s">
        <v>12</v>
      </c>
      <c r="O8416" t="s">
        <v>188</v>
      </c>
      <c r="P8416" s="1" t="s">
        <v>33</v>
      </c>
      <c r="Q8416">
        <v>165.2</v>
      </c>
    </row>
    <row r="8417" spans="11:17" x14ac:dyDescent="0.3">
      <c r="K8417">
        <v>2021</v>
      </c>
      <c r="L8417" t="s">
        <v>38</v>
      </c>
      <c r="M8417" t="s">
        <v>152</v>
      </c>
      <c r="N8417" t="s">
        <v>11</v>
      </c>
      <c r="O8417" t="s">
        <v>188</v>
      </c>
      <c r="P8417" s="1" t="s">
        <v>30</v>
      </c>
      <c r="Q8417">
        <v>114.3</v>
      </c>
    </row>
    <row r="8418" spans="11:17" x14ac:dyDescent="0.3">
      <c r="K8418">
        <v>2021</v>
      </c>
      <c r="L8418" t="s">
        <v>38</v>
      </c>
      <c r="M8418" t="s">
        <v>152</v>
      </c>
      <c r="N8418" t="s">
        <v>11</v>
      </c>
      <c r="O8418" t="s">
        <v>188</v>
      </c>
      <c r="P8418" s="1" t="s">
        <v>34</v>
      </c>
      <c r="Q8418">
        <v>114.8</v>
      </c>
    </row>
    <row r="8419" spans="11:17" x14ac:dyDescent="0.3">
      <c r="K8419">
        <v>2021</v>
      </c>
      <c r="L8419" t="s">
        <v>38</v>
      </c>
      <c r="M8419" t="s">
        <v>152</v>
      </c>
      <c r="N8419" t="s">
        <v>11</v>
      </c>
      <c r="O8419" t="s">
        <v>188</v>
      </c>
      <c r="P8419" s="1" t="s">
        <v>33</v>
      </c>
      <c r="Q8419">
        <v>115.9</v>
      </c>
    </row>
    <row r="8420" spans="11:17" x14ac:dyDescent="0.3">
      <c r="K8420">
        <v>2021</v>
      </c>
      <c r="L8420" t="s">
        <v>38</v>
      </c>
      <c r="M8420" t="s">
        <v>152</v>
      </c>
      <c r="N8420" t="s">
        <v>24</v>
      </c>
      <c r="O8420" t="s">
        <v>191</v>
      </c>
      <c r="P8420" s="1" t="s">
        <v>30</v>
      </c>
      <c r="Q8420">
        <v>153.19999999999999</v>
      </c>
    </row>
    <row r="8421" spans="11:17" x14ac:dyDescent="0.3">
      <c r="K8421">
        <v>2021</v>
      </c>
      <c r="L8421" t="s">
        <v>38</v>
      </c>
      <c r="M8421" t="s">
        <v>152</v>
      </c>
      <c r="N8421" t="s">
        <v>24</v>
      </c>
      <c r="O8421" t="s">
        <v>191</v>
      </c>
      <c r="P8421" s="1" t="s">
        <v>34</v>
      </c>
      <c r="Q8421">
        <v>148.9</v>
      </c>
    </row>
    <row r="8422" spans="11:17" x14ac:dyDescent="0.3">
      <c r="K8422">
        <v>2021</v>
      </c>
      <c r="L8422" t="s">
        <v>38</v>
      </c>
      <c r="M8422" t="s">
        <v>152</v>
      </c>
      <c r="N8422" t="s">
        <v>24</v>
      </c>
      <c r="O8422" t="s">
        <v>191</v>
      </c>
      <c r="P8422" s="1" t="s">
        <v>33</v>
      </c>
      <c r="Q8422">
        <v>145</v>
      </c>
    </row>
    <row r="8423" spans="11:17" x14ac:dyDescent="0.3">
      <c r="K8423">
        <v>2021</v>
      </c>
      <c r="L8423" t="s">
        <v>38</v>
      </c>
      <c r="M8423" t="s">
        <v>152</v>
      </c>
      <c r="N8423" t="s">
        <v>9</v>
      </c>
      <c r="O8423" t="s">
        <v>188</v>
      </c>
      <c r="P8423" s="1" t="s">
        <v>30</v>
      </c>
      <c r="Q8423">
        <v>138.4</v>
      </c>
    </row>
    <row r="8424" spans="11:17" x14ac:dyDescent="0.3">
      <c r="K8424">
        <v>2021</v>
      </c>
      <c r="L8424" t="s">
        <v>38</v>
      </c>
      <c r="M8424" t="s">
        <v>152</v>
      </c>
      <c r="N8424" t="s">
        <v>9</v>
      </c>
      <c r="O8424" t="s">
        <v>188</v>
      </c>
      <c r="P8424" s="1" t="s">
        <v>34</v>
      </c>
      <c r="Q8424">
        <v>147.9</v>
      </c>
    </row>
    <row r="8425" spans="11:17" x14ac:dyDescent="0.3">
      <c r="K8425">
        <v>2021</v>
      </c>
      <c r="L8425" t="s">
        <v>38</v>
      </c>
      <c r="M8425" t="s">
        <v>152</v>
      </c>
      <c r="N8425" t="s">
        <v>9</v>
      </c>
      <c r="O8425" t="s">
        <v>188</v>
      </c>
      <c r="P8425" s="1" t="s">
        <v>33</v>
      </c>
      <c r="Q8425">
        <v>166.5</v>
      </c>
    </row>
    <row r="8426" spans="11:17" x14ac:dyDescent="0.3">
      <c r="K8426">
        <v>2021</v>
      </c>
      <c r="L8426" t="s">
        <v>44</v>
      </c>
      <c r="M8426" t="s">
        <v>153</v>
      </c>
      <c r="N8426" t="s">
        <v>3</v>
      </c>
      <c r="O8426" t="s">
        <v>188</v>
      </c>
      <c r="P8426" s="1" t="s">
        <v>30</v>
      </c>
      <c r="Q8426">
        <v>146.9</v>
      </c>
    </row>
    <row r="8427" spans="11:17" x14ac:dyDescent="0.3">
      <c r="K8427">
        <v>2021</v>
      </c>
      <c r="L8427" t="s">
        <v>44</v>
      </c>
      <c r="M8427" t="s">
        <v>153</v>
      </c>
      <c r="N8427" t="s">
        <v>3</v>
      </c>
      <c r="O8427" t="s">
        <v>188</v>
      </c>
      <c r="P8427" s="1" t="s">
        <v>34</v>
      </c>
      <c r="Q8427">
        <v>148.19999999999999</v>
      </c>
    </row>
    <row r="8428" spans="11:17" x14ac:dyDescent="0.3">
      <c r="K8428">
        <v>2021</v>
      </c>
      <c r="L8428" t="s">
        <v>44</v>
      </c>
      <c r="M8428" t="s">
        <v>153</v>
      </c>
      <c r="N8428" t="s">
        <v>3</v>
      </c>
      <c r="O8428" t="s">
        <v>188</v>
      </c>
      <c r="P8428" s="1" t="s">
        <v>33</v>
      </c>
      <c r="Q8428">
        <v>151</v>
      </c>
    </row>
    <row r="8429" spans="11:17" x14ac:dyDescent="0.3">
      <c r="K8429">
        <v>2021</v>
      </c>
      <c r="L8429" t="s">
        <v>44</v>
      </c>
      <c r="M8429" t="s">
        <v>153</v>
      </c>
      <c r="N8429" t="s">
        <v>17</v>
      </c>
      <c r="O8429" t="s">
        <v>189</v>
      </c>
      <c r="P8429" s="1" t="s">
        <v>30</v>
      </c>
      <c r="Q8429">
        <v>170.4</v>
      </c>
    </row>
    <row r="8430" spans="11:17" x14ac:dyDescent="0.3">
      <c r="K8430">
        <v>2021</v>
      </c>
      <c r="L8430" t="s">
        <v>44</v>
      </c>
      <c r="M8430" t="s">
        <v>153</v>
      </c>
      <c r="N8430" t="s">
        <v>17</v>
      </c>
      <c r="O8430" t="s">
        <v>189</v>
      </c>
      <c r="P8430" s="1" t="s">
        <v>34</v>
      </c>
      <c r="Q8430">
        <v>167.2</v>
      </c>
    </row>
    <row r="8431" spans="11:17" x14ac:dyDescent="0.3">
      <c r="K8431">
        <v>2021</v>
      </c>
      <c r="L8431" t="s">
        <v>44</v>
      </c>
      <c r="M8431" t="s">
        <v>153</v>
      </c>
      <c r="N8431" t="s">
        <v>17</v>
      </c>
      <c r="O8431" t="s">
        <v>189</v>
      </c>
      <c r="P8431" s="1" t="s">
        <v>33</v>
      </c>
      <c r="Q8431">
        <v>162.30000000000001</v>
      </c>
    </row>
    <row r="8432" spans="11:17" x14ac:dyDescent="0.3">
      <c r="K8432">
        <v>2021</v>
      </c>
      <c r="L8432" t="s">
        <v>44</v>
      </c>
      <c r="M8432" t="s">
        <v>153</v>
      </c>
      <c r="N8432" t="s">
        <v>19</v>
      </c>
      <c r="O8432" t="s">
        <v>189</v>
      </c>
      <c r="P8432" s="1" t="s">
        <v>30</v>
      </c>
      <c r="Q8432">
        <v>169.8</v>
      </c>
    </row>
    <row r="8433" spans="11:17" x14ac:dyDescent="0.3">
      <c r="K8433">
        <v>2021</v>
      </c>
      <c r="L8433" t="s">
        <v>44</v>
      </c>
      <c r="M8433" t="s">
        <v>153</v>
      </c>
      <c r="N8433" t="s">
        <v>19</v>
      </c>
      <c r="O8433" t="s">
        <v>189</v>
      </c>
      <c r="P8433" s="1" t="s">
        <v>34</v>
      </c>
      <c r="Q8433">
        <v>165.8</v>
      </c>
    </row>
    <row r="8434" spans="11:17" x14ac:dyDescent="0.3">
      <c r="K8434">
        <v>2021</v>
      </c>
      <c r="L8434" t="s">
        <v>44</v>
      </c>
      <c r="M8434" t="s">
        <v>153</v>
      </c>
      <c r="N8434" t="s">
        <v>19</v>
      </c>
      <c r="O8434" t="s">
        <v>189</v>
      </c>
      <c r="P8434" s="1" t="s">
        <v>33</v>
      </c>
      <c r="Q8434">
        <v>159.69999999999999</v>
      </c>
    </row>
    <row r="8435" spans="11:17" x14ac:dyDescent="0.3">
      <c r="K8435">
        <v>2021</v>
      </c>
      <c r="L8435" t="s">
        <v>44</v>
      </c>
      <c r="M8435" t="s">
        <v>153</v>
      </c>
      <c r="N8435" t="s">
        <v>26</v>
      </c>
      <c r="O8435" t="s">
        <v>26</v>
      </c>
      <c r="P8435" s="1" t="s">
        <v>30</v>
      </c>
      <c r="Q8435">
        <v>169.3</v>
      </c>
    </row>
    <row r="8436" spans="11:17" x14ac:dyDescent="0.3">
      <c r="K8436">
        <v>2021</v>
      </c>
      <c r="L8436" t="s">
        <v>44</v>
      </c>
      <c r="M8436" t="s">
        <v>153</v>
      </c>
      <c r="N8436" t="s">
        <v>26</v>
      </c>
      <c r="O8436" t="s">
        <v>26</v>
      </c>
      <c r="P8436" s="1" t="s">
        <v>34</v>
      </c>
      <c r="Q8436">
        <v>164.3</v>
      </c>
    </row>
    <row r="8437" spans="11:17" x14ac:dyDescent="0.3">
      <c r="K8437">
        <v>2021</v>
      </c>
      <c r="L8437" t="s">
        <v>44</v>
      </c>
      <c r="M8437" t="s">
        <v>153</v>
      </c>
      <c r="N8437" t="s">
        <v>26</v>
      </c>
      <c r="O8437" t="s">
        <v>26</v>
      </c>
      <c r="P8437" s="1" t="s">
        <v>33</v>
      </c>
      <c r="Q8437">
        <v>160.80000000000001</v>
      </c>
    </row>
    <row r="8438" spans="11:17" x14ac:dyDescent="0.3">
      <c r="K8438">
        <v>2021</v>
      </c>
      <c r="L8438" t="s">
        <v>44</v>
      </c>
      <c r="M8438" t="s">
        <v>153</v>
      </c>
      <c r="N8438" t="s">
        <v>5</v>
      </c>
      <c r="O8438" t="s">
        <v>188</v>
      </c>
      <c r="P8438" s="1" t="s">
        <v>30</v>
      </c>
      <c r="Q8438">
        <v>171.5</v>
      </c>
    </row>
    <row r="8439" spans="11:17" x14ac:dyDescent="0.3">
      <c r="K8439">
        <v>2021</v>
      </c>
      <c r="L8439" t="s">
        <v>44</v>
      </c>
      <c r="M8439" t="s">
        <v>153</v>
      </c>
      <c r="N8439" t="s">
        <v>5</v>
      </c>
      <c r="O8439" t="s">
        <v>188</v>
      </c>
      <c r="P8439" s="1" t="s">
        <v>34</v>
      </c>
      <c r="Q8439">
        <v>173</v>
      </c>
    </row>
    <row r="8440" spans="11:17" x14ac:dyDescent="0.3">
      <c r="K8440">
        <v>2021</v>
      </c>
      <c r="L8440" t="s">
        <v>44</v>
      </c>
      <c r="M8440" t="s">
        <v>153</v>
      </c>
      <c r="N8440" t="s">
        <v>5</v>
      </c>
      <c r="O8440" t="s">
        <v>188</v>
      </c>
      <c r="P8440" s="1" t="s">
        <v>33</v>
      </c>
      <c r="Q8440">
        <v>175.4</v>
      </c>
    </row>
    <row r="8441" spans="11:17" x14ac:dyDescent="0.3">
      <c r="K8441">
        <v>2021</v>
      </c>
      <c r="L8441" t="s">
        <v>44</v>
      </c>
      <c r="M8441" t="s">
        <v>153</v>
      </c>
      <c r="N8441" t="s">
        <v>15</v>
      </c>
      <c r="O8441" t="s">
        <v>188</v>
      </c>
      <c r="P8441" s="1" t="s">
        <v>30</v>
      </c>
      <c r="Q8441">
        <v>167.5</v>
      </c>
    </row>
    <row r="8442" spans="11:17" x14ac:dyDescent="0.3">
      <c r="K8442">
        <v>2021</v>
      </c>
      <c r="L8442" t="s">
        <v>44</v>
      </c>
      <c r="M8442" t="s">
        <v>153</v>
      </c>
      <c r="N8442" t="s">
        <v>15</v>
      </c>
      <c r="O8442" t="s">
        <v>188</v>
      </c>
      <c r="P8442" s="1" t="s">
        <v>34</v>
      </c>
      <c r="Q8442">
        <v>169.7</v>
      </c>
    </row>
    <row r="8443" spans="11:17" x14ac:dyDescent="0.3">
      <c r="K8443">
        <v>2021</v>
      </c>
      <c r="L8443" t="s">
        <v>44</v>
      </c>
      <c r="M8443" t="s">
        <v>153</v>
      </c>
      <c r="N8443" t="s">
        <v>15</v>
      </c>
      <c r="O8443" t="s">
        <v>188</v>
      </c>
      <c r="P8443" s="1" t="s">
        <v>33</v>
      </c>
      <c r="Q8443">
        <v>173.5</v>
      </c>
    </row>
    <row r="8444" spans="11:17" x14ac:dyDescent="0.3">
      <c r="K8444">
        <v>2021</v>
      </c>
      <c r="L8444" t="s">
        <v>44</v>
      </c>
      <c r="M8444" t="s">
        <v>153</v>
      </c>
      <c r="N8444" t="s">
        <v>18</v>
      </c>
      <c r="O8444" t="s">
        <v>189</v>
      </c>
      <c r="P8444" s="1" t="s">
        <v>30</v>
      </c>
      <c r="Q8444">
        <v>166</v>
      </c>
    </row>
    <row r="8445" spans="11:17" x14ac:dyDescent="0.3">
      <c r="K8445">
        <v>2021</v>
      </c>
      <c r="L8445" t="s">
        <v>44</v>
      </c>
      <c r="M8445" t="s">
        <v>153</v>
      </c>
      <c r="N8445" t="s">
        <v>18</v>
      </c>
      <c r="O8445" t="s">
        <v>189</v>
      </c>
      <c r="P8445" s="1" t="s">
        <v>34</v>
      </c>
      <c r="Q8445">
        <v>157.4</v>
      </c>
    </row>
    <row r="8446" spans="11:17" x14ac:dyDescent="0.3">
      <c r="K8446">
        <v>2021</v>
      </c>
      <c r="L8446" t="s">
        <v>44</v>
      </c>
      <c r="M8446" t="s">
        <v>153</v>
      </c>
      <c r="N8446" t="s">
        <v>18</v>
      </c>
      <c r="O8446" t="s">
        <v>189</v>
      </c>
      <c r="P8446" s="1" t="s">
        <v>33</v>
      </c>
      <c r="Q8446">
        <v>145.30000000000001</v>
      </c>
    </row>
    <row r="8447" spans="11:17" x14ac:dyDescent="0.3">
      <c r="K8447">
        <v>2021</v>
      </c>
      <c r="L8447" t="s">
        <v>44</v>
      </c>
      <c r="M8447" t="s">
        <v>153</v>
      </c>
      <c r="N8447" t="s">
        <v>8</v>
      </c>
      <c r="O8447" t="s">
        <v>188</v>
      </c>
      <c r="P8447" s="1" t="s">
        <v>30</v>
      </c>
      <c r="Q8447">
        <v>153.19999999999999</v>
      </c>
    </row>
    <row r="8448" spans="11:17" x14ac:dyDescent="0.3">
      <c r="K8448">
        <v>2021</v>
      </c>
      <c r="L8448" t="s">
        <v>44</v>
      </c>
      <c r="M8448" t="s">
        <v>153</v>
      </c>
      <c r="N8448" t="s">
        <v>8</v>
      </c>
      <c r="O8448" t="s">
        <v>188</v>
      </c>
      <c r="P8448" s="1" t="s">
        <v>34</v>
      </c>
      <c r="Q8448">
        <v>156.5</v>
      </c>
    </row>
    <row r="8449" spans="11:17" x14ac:dyDescent="0.3">
      <c r="K8449">
        <v>2021</v>
      </c>
      <c r="L8449" t="s">
        <v>44</v>
      </c>
      <c r="M8449" t="s">
        <v>153</v>
      </c>
      <c r="N8449" t="s">
        <v>8</v>
      </c>
      <c r="O8449" t="s">
        <v>188</v>
      </c>
      <c r="P8449" s="1" t="s">
        <v>33</v>
      </c>
      <c r="Q8449">
        <v>160.30000000000001</v>
      </c>
    </row>
    <row r="8450" spans="11:17" x14ac:dyDescent="0.3">
      <c r="K8450">
        <v>2021</v>
      </c>
      <c r="L8450" t="s">
        <v>44</v>
      </c>
      <c r="M8450" t="s">
        <v>153</v>
      </c>
      <c r="N8450" t="s">
        <v>21</v>
      </c>
      <c r="O8450" t="s">
        <v>190</v>
      </c>
      <c r="P8450" s="1" t="s">
        <v>30</v>
      </c>
      <c r="Q8450">
        <v>165.3</v>
      </c>
    </row>
    <row r="8451" spans="11:17" x14ac:dyDescent="0.3">
      <c r="K8451">
        <v>2021</v>
      </c>
      <c r="L8451" t="s">
        <v>44</v>
      </c>
      <c r="M8451" t="s">
        <v>153</v>
      </c>
      <c r="N8451" t="s">
        <v>21</v>
      </c>
      <c r="O8451" t="s">
        <v>190</v>
      </c>
      <c r="P8451" s="1" t="s">
        <v>34</v>
      </c>
      <c r="Q8451">
        <v>163.9</v>
      </c>
    </row>
    <row r="8452" spans="11:17" x14ac:dyDescent="0.3">
      <c r="K8452">
        <v>2021</v>
      </c>
      <c r="L8452" t="s">
        <v>44</v>
      </c>
      <c r="M8452" t="s">
        <v>153</v>
      </c>
      <c r="N8452" t="s">
        <v>21</v>
      </c>
      <c r="O8452" t="s">
        <v>190</v>
      </c>
      <c r="P8452" s="1" t="s">
        <v>33</v>
      </c>
      <c r="Q8452">
        <v>161.6</v>
      </c>
    </row>
    <row r="8453" spans="11:17" x14ac:dyDescent="0.3">
      <c r="K8453">
        <v>2021</v>
      </c>
      <c r="L8453" t="s">
        <v>44</v>
      </c>
      <c r="M8453" t="s">
        <v>153</v>
      </c>
      <c r="N8453" t="s">
        <v>29</v>
      </c>
      <c r="O8453" t="s">
        <v>206</v>
      </c>
      <c r="P8453" s="1" t="s">
        <v>30</v>
      </c>
      <c r="Q8453">
        <v>167.6</v>
      </c>
    </row>
    <row r="8454" spans="11:17" x14ac:dyDescent="0.3">
      <c r="K8454">
        <v>2021</v>
      </c>
      <c r="L8454" t="s">
        <v>44</v>
      </c>
      <c r="M8454" t="s">
        <v>153</v>
      </c>
      <c r="N8454" t="s">
        <v>29</v>
      </c>
      <c r="O8454" t="s">
        <v>206</v>
      </c>
      <c r="P8454" s="1" t="s">
        <v>34</v>
      </c>
      <c r="Q8454">
        <v>166.7</v>
      </c>
    </row>
    <row r="8455" spans="11:17" x14ac:dyDescent="0.3">
      <c r="K8455">
        <v>2021</v>
      </c>
      <c r="L8455" t="s">
        <v>44</v>
      </c>
      <c r="M8455" t="s">
        <v>153</v>
      </c>
      <c r="N8455" t="s">
        <v>29</v>
      </c>
      <c r="O8455" t="s">
        <v>206</v>
      </c>
      <c r="P8455" s="1" t="s">
        <v>33</v>
      </c>
      <c r="Q8455">
        <v>165.6</v>
      </c>
    </row>
    <row r="8456" spans="11:17" x14ac:dyDescent="0.3">
      <c r="K8456">
        <v>2021</v>
      </c>
      <c r="L8456" t="s">
        <v>44</v>
      </c>
      <c r="M8456" t="s">
        <v>153</v>
      </c>
      <c r="N8456" t="s">
        <v>23</v>
      </c>
      <c r="O8456" t="s">
        <v>23</v>
      </c>
      <c r="P8456" s="1" t="s">
        <v>30</v>
      </c>
      <c r="Q8456">
        <v>173.4</v>
      </c>
    </row>
    <row r="8457" spans="11:17" x14ac:dyDescent="0.3">
      <c r="K8457">
        <v>2021</v>
      </c>
      <c r="L8457" t="s">
        <v>44</v>
      </c>
      <c r="M8457" t="s">
        <v>153</v>
      </c>
      <c r="N8457" t="s">
        <v>23</v>
      </c>
      <c r="O8457" t="s">
        <v>23</v>
      </c>
      <c r="P8457" s="1" t="s">
        <v>34</v>
      </c>
      <c r="Q8457">
        <v>169.9</v>
      </c>
    </row>
    <row r="8458" spans="11:17" x14ac:dyDescent="0.3">
      <c r="K8458">
        <v>2021</v>
      </c>
      <c r="L8458" t="s">
        <v>44</v>
      </c>
      <c r="M8458" t="s">
        <v>153</v>
      </c>
      <c r="N8458" t="s">
        <v>23</v>
      </c>
      <c r="O8458" t="s">
        <v>23</v>
      </c>
      <c r="P8458" s="1" t="s">
        <v>33</v>
      </c>
      <c r="Q8458">
        <v>164.2</v>
      </c>
    </row>
    <row r="8459" spans="11:17" x14ac:dyDescent="0.3">
      <c r="K8459">
        <v>2021</v>
      </c>
      <c r="L8459" t="s">
        <v>44</v>
      </c>
      <c r="M8459" t="s">
        <v>153</v>
      </c>
      <c r="N8459" t="s">
        <v>22</v>
      </c>
      <c r="O8459" t="s">
        <v>20</v>
      </c>
      <c r="P8459" s="1" t="s">
        <v>30</v>
      </c>
      <c r="Q8459">
        <v>162.9</v>
      </c>
    </row>
    <row r="8460" spans="11:17" x14ac:dyDescent="0.3">
      <c r="K8460">
        <v>2021</v>
      </c>
      <c r="L8460" t="s">
        <v>44</v>
      </c>
      <c r="M8460" t="s">
        <v>153</v>
      </c>
      <c r="N8460" t="s">
        <v>22</v>
      </c>
      <c r="O8460" t="s">
        <v>20</v>
      </c>
      <c r="P8460" s="1" t="s">
        <v>34</v>
      </c>
      <c r="Q8460">
        <v>159.30000000000001</v>
      </c>
    </row>
    <row r="8461" spans="11:17" x14ac:dyDescent="0.3">
      <c r="K8461">
        <v>2021</v>
      </c>
      <c r="L8461" t="s">
        <v>44</v>
      </c>
      <c r="M8461" t="s">
        <v>153</v>
      </c>
      <c r="N8461" t="s">
        <v>22</v>
      </c>
      <c r="O8461" t="s">
        <v>20</v>
      </c>
      <c r="P8461" s="1" t="s">
        <v>33</v>
      </c>
      <c r="Q8461">
        <v>155.19999999999999</v>
      </c>
    </row>
    <row r="8462" spans="11:17" x14ac:dyDescent="0.3">
      <c r="K8462">
        <v>2021</v>
      </c>
      <c r="L8462" t="s">
        <v>44</v>
      </c>
      <c r="M8462" t="s">
        <v>153</v>
      </c>
      <c r="N8462" t="s">
        <v>20</v>
      </c>
      <c r="O8462" t="s">
        <v>20</v>
      </c>
      <c r="P8462" s="1" t="s">
        <v>30</v>
      </c>
      <c r="Q8462">
        <v>0</v>
      </c>
    </row>
    <row r="8463" spans="11:17" x14ac:dyDescent="0.3">
      <c r="K8463">
        <v>2021</v>
      </c>
      <c r="L8463" t="s">
        <v>44</v>
      </c>
      <c r="M8463" t="s">
        <v>153</v>
      </c>
      <c r="N8463" t="s">
        <v>20</v>
      </c>
      <c r="O8463" t="s">
        <v>20</v>
      </c>
      <c r="P8463" s="1" t="s">
        <v>34</v>
      </c>
      <c r="Q8463">
        <v>164.2</v>
      </c>
    </row>
    <row r="8464" spans="11:17" x14ac:dyDescent="0.3">
      <c r="K8464">
        <v>2021</v>
      </c>
      <c r="L8464" t="s">
        <v>44</v>
      </c>
      <c r="M8464" t="s">
        <v>153</v>
      </c>
      <c r="N8464" t="s">
        <v>20</v>
      </c>
      <c r="O8464" t="s">
        <v>20</v>
      </c>
      <c r="P8464" s="1" t="s">
        <v>33</v>
      </c>
      <c r="Q8464">
        <v>164.2</v>
      </c>
    </row>
    <row r="8465" spans="11:17" x14ac:dyDescent="0.3">
      <c r="K8465">
        <v>2021</v>
      </c>
      <c r="L8465" t="s">
        <v>44</v>
      </c>
      <c r="M8465" t="s">
        <v>153</v>
      </c>
      <c r="N8465" t="s">
        <v>4</v>
      </c>
      <c r="O8465" t="s">
        <v>188</v>
      </c>
      <c r="P8465" s="1" t="s">
        <v>30</v>
      </c>
      <c r="Q8465">
        <v>199.8</v>
      </c>
    </row>
    <row r="8466" spans="11:17" x14ac:dyDescent="0.3">
      <c r="K8466">
        <v>2021</v>
      </c>
      <c r="L8466" t="s">
        <v>44</v>
      </c>
      <c r="M8466" t="s">
        <v>153</v>
      </c>
      <c r="N8466" t="s">
        <v>4</v>
      </c>
      <c r="O8466" t="s">
        <v>188</v>
      </c>
      <c r="P8466" s="1" t="s">
        <v>34</v>
      </c>
      <c r="Q8466">
        <v>201.6</v>
      </c>
    </row>
    <row r="8467" spans="11:17" x14ac:dyDescent="0.3">
      <c r="K8467">
        <v>2021</v>
      </c>
      <c r="L8467" t="s">
        <v>44</v>
      </c>
      <c r="M8467" t="s">
        <v>153</v>
      </c>
      <c r="N8467" t="s">
        <v>4</v>
      </c>
      <c r="O8467" t="s">
        <v>188</v>
      </c>
      <c r="P8467" s="1" t="s">
        <v>33</v>
      </c>
      <c r="Q8467">
        <v>204.9</v>
      </c>
    </row>
    <row r="8468" spans="11:17" x14ac:dyDescent="0.3">
      <c r="K8468">
        <v>2021</v>
      </c>
      <c r="L8468" t="s">
        <v>44</v>
      </c>
      <c r="M8468" t="s">
        <v>153</v>
      </c>
      <c r="N8468" t="s">
        <v>6</v>
      </c>
      <c r="O8468" t="s">
        <v>188</v>
      </c>
      <c r="P8468" s="1" t="s">
        <v>30</v>
      </c>
      <c r="Q8468">
        <v>159.1</v>
      </c>
    </row>
    <row r="8469" spans="11:17" x14ac:dyDescent="0.3">
      <c r="K8469">
        <v>2021</v>
      </c>
      <c r="L8469" t="s">
        <v>44</v>
      </c>
      <c r="M8469" t="s">
        <v>153</v>
      </c>
      <c r="N8469" t="s">
        <v>6</v>
      </c>
      <c r="O8469" t="s">
        <v>188</v>
      </c>
      <c r="P8469" s="1" t="s">
        <v>34</v>
      </c>
      <c r="Q8469">
        <v>159.30000000000001</v>
      </c>
    </row>
    <row r="8470" spans="11:17" x14ac:dyDescent="0.3">
      <c r="K8470">
        <v>2021</v>
      </c>
      <c r="L8470" t="s">
        <v>44</v>
      </c>
      <c r="M8470" t="s">
        <v>153</v>
      </c>
      <c r="N8470" t="s">
        <v>6</v>
      </c>
      <c r="O8470" t="s">
        <v>188</v>
      </c>
      <c r="P8470" s="1" t="s">
        <v>33</v>
      </c>
      <c r="Q8470">
        <v>159.6</v>
      </c>
    </row>
    <row r="8471" spans="11:17" x14ac:dyDescent="0.3">
      <c r="K8471">
        <v>2021</v>
      </c>
      <c r="L8471" t="s">
        <v>44</v>
      </c>
      <c r="M8471" t="s">
        <v>153</v>
      </c>
      <c r="N8471" t="s">
        <v>28</v>
      </c>
      <c r="O8471" t="s">
        <v>192</v>
      </c>
      <c r="P8471" s="1" t="s">
        <v>30</v>
      </c>
      <c r="Q8471">
        <v>165.2</v>
      </c>
    </row>
    <row r="8472" spans="11:17" x14ac:dyDescent="0.3">
      <c r="K8472">
        <v>2021</v>
      </c>
      <c r="L8472" t="s">
        <v>44</v>
      </c>
      <c r="M8472" t="s">
        <v>153</v>
      </c>
      <c r="N8472" t="s">
        <v>28</v>
      </c>
      <c r="O8472" t="s">
        <v>192</v>
      </c>
      <c r="P8472" s="1" t="s">
        <v>34</v>
      </c>
      <c r="Q8472">
        <v>161.4</v>
      </c>
    </row>
    <row r="8473" spans="11:17" x14ac:dyDescent="0.3">
      <c r="K8473">
        <v>2021</v>
      </c>
      <c r="L8473" t="s">
        <v>44</v>
      </c>
      <c r="M8473" t="s">
        <v>153</v>
      </c>
      <c r="N8473" t="s">
        <v>28</v>
      </c>
      <c r="O8473" t="s">
        <v>192</v>
      </c>
      <c r="P8473" s="1" t="s">
        <v>33</v>
      </c>
      <c r="Q8473">
        <v>157.30000000000001</v>
      </c>
    </row>
    <row r="8474" spans="11:17" x14ac:dyDescent="0.3">
      <c r="K8474">
        <v>2021</v>
      </c>
      <c r="L8474" t="s">
        <v>44</v>
      </c>
      <c r="M8474" t="s">
        <v>153</v>
      </c>
      <c r="N8474" t="s">
        <v>13</v>
      </c>
      <c r="O8474" t="s">
        <v>188</v>
      </c>
      <c r="P8474" s="1" t="s">
        <v>30</v>
      </c>
      <c r="Q8474">
        <v>169.1</v>
      </c>
    </row>
    <row r="8475" spans="11:17" x14ac:dyDescent="0.3">
      <c r="K8475">
        <v>2021</v>
      </c>
      <c r="L8475" t="s">
        <v>44</v>
      </c>
      <c r="M8475" t="s">
        <v>153</v>
      </c>
      <c r="N8475" t="s">
        <v>13</v>
      </c>
      <c r="O8475" t="s">
        <v>188</v>
      </c>
      <c r="P8475" s="1" t="s">
        <v>34</v>
      </c>
      <c r="Q8475">
        <v>163.69999999999999</v>
      </c>
    </row>
    <row r="8476" spans="11:17" x14ac:dyDescent="0.3">
      <c r="K8476">
        <v>2021</v>
      </c>
      <c r="L8476" t="s">
        <v>44</v>
      </c>
      <c r="M8476" t="s">
        <v>153</v>
      </c>
      <c r="N8476" t="s">
        <v>13</v>
      </c>
      <c r="O8476" t="s">
        <v>188</v>
      </c>
      <c r="P8476" s="1" t="s">
        <v>33</v>
      </c>
      <c r="Q8476">
        <v>156.1</v>
      </c>
    </row>
    <row r="8477" spans="11:17" x14ac:dyDescent="0.3">
      <c r="K8477">
        <v>2021</v>
      </c>
      <c r="L8477" t="s">
        <v>44</v>
      </c>
      <c r="M8477" t="s">
        <v>153</v>
      </c>
      <c r="N8477" t="s">
        <v>7</v>
      </c>
      <c r="O8477" t="s">
        <v>188</v>
      </c>
      <c r="P8477" s="1" t="s">
        <v>30</v>
      </c>
      <c r="Q8477">
        <v>198.4</v>
      </c>
    </row>
    <row r="8478" spans="11:17" x14ac:dyDescent="0.3">
      <c r="K8478">
        <v>2021</v>
      </c>
      <c r="L8478" t="s">
        <v>44</v>
      </c>
      <c r="M8478" t="s">
        <v>153</v>
      </c>
      <c r="N8478" t="s">
        <v>7</v>
      </c>
      <c r="O8478" t="s">
        <v>188</v>
      </c>
      <c r="P8478" s="1" t="s">
        <v>34</v>
      </c>
      <c r="Q8478">
        <v>190.1</v>
      </c>
    </row>
    <row r="8479" spans="11:17" x14ac:dyDescent="0.3">
      <c r="K8479">
        <v>2021</v>
      </c>
      <c r="L8479" t="s">
        <v>44</v>
      </c>
      <c r="M8479" t="s">
        <v>153</v>
      </c>
      <c r="N8479" t="s">
        <v>7</v>
      </c>
      <c r="O8479" t="s">
        <v>188</v>
      </c>
      <c r="P8479" s="1" t="s">
        <v>33</v>
      </c>
      <c r="Q8479">
        <v>175.8</v>
      </c>
    </row>
    <row r="8480" spans="11:17" x14ac:dyDescent="0.3">
      <c r="K8480">
        <v>2021</v>
      </c>
      <c r="L8480" t="s">
        <v>44</v>
      </c>
      <c r="M8480" t="s">
        <v>153</v>
      </c>
      <c r="N8480" t="s">
        <v>16</v>
      </c>
      <c r="O8480" t="s">
        <v>192</v>
      </c>
      <c r="P8480" s="1" t="s">
        <v>30</v>
      </c>
      <c r="Q8480">
        <v>191.4</v>
      </c>
    </row>
    <row r="8481" spans="11:17" x14ac:dyDescent="0.3">
      <c r="K8481">
        <v>2021</v>
      </c>
      <c r="L8481" t="s">
        <v>44</v>
      </c>
      <c r="M8481" t="s">
        <v>153</v>
      </c>
      <c r="N8481" t="s">
        <v>16</v>
      </c>
      <c r="O8481" t="s">
        <v>192</v>
      </c>
      <c r="P8481" s="1" t="s">
        <v>34</v>
      </c>
      <c r="Q8481">
        <v>192.9</v>
      </c>
    </row>
    <row r="8482" spans="11:17" x14ac:dyDescent="0.3">
      <c r="K8482">
        <v>2021</v>
      </c>
      <c r="L8482" t="s">
        <v>44</v>
      </c>
      <c r="M8482" t="s">
        <v>153</v>
      </c>
      <c r="N8482" t="s">
        <v>16</v>
      </c>
      <c r="O8482" t="s">
        <v>192</v>
      </c>
      <c r="P8482" s="1" t="s">
        <v>33</v>
      </c>
      <c r="Q8482">
        <v>197</v>
      </c>
    </row>
    <row r="8483" spans="11:17" x14ac:dyDescent="0.3">
      <c r="K8483">
        <v>2021</v>
      </c>
      <c r="L8483" t="s">
        <v>44</v>
      </c>
      <c r="M8483" t="s">
        <v>153</v>
      </c>
      <c r="N8483" t="s">
        <v>27</v>
      </c>
      <c r="O8483" t="s">
        <v>192</v>
      </c>
      <c r="P8483" s="1" t="s">
        <v>30</v>
      </c>
      <c r="Q8483">
        <v>162.4</v>
      </c>
    </row>
    <row r="8484" spans="11:17" x14ac:dyDescent="0.3">
      <c r="K8484">
        <v>2021</v>
      </c>
      <c r="L8484" t="s">
        <v>44</v>
      </c>
      <c r="M8484" t="s">
        <v>153</v>
      </c>
      <c r="N8484" t="s">
        <v>27</v>
      </c>
      <c r="O8484" t="s">
        <v>192</v>
      </c>
      <c r="P8484" s="1" t="s">
        <v>34</v>
      </c>
      <c r="Q8484">
        <v>162.19999999999999</v>
      </c>
    </row>
    <row r="8485" spans="11:17" x14ac:dyDescent="0.3">
      <c r="K8485">
        <v>2021</v>
      </c>
      <c r="L8485" t="s">
        <v>44</v>
      </c>
      <c r="M8485" t="s">
        <v>153</v>
      </c>
      <c r="N8485" t="s">
        <v>27</v>
      </c>
      <c r="O8485" t="s">
        <v>192</v>
      </c>
      <c r="P8485" s="1" t="s">
        <v>33</v>
      </c>
      <c r="Q8485">
        <v>161.80000000000001</v>
      </c>
    </row>
    <row r="8486" spans="11:17" x14ac:dyDescent="0.3">
      <c r="K8486">
        <v>2021</v>
      </c>
      <c r="L8486" t="s">
        <v>44</v>
      </c>
      <c r="M8486" t="s">
        <v>153</v>
      </c>
      <c r="N8486" t="s">
        <v>14</v>
      </c>
      <c r="O8486" t="s">
        <v>188</v>
      </c>
      <c r="P8486" s="1" t="s">
        <v>30</v>
      </c>
      <c r="Q8486">
        <v>174.3</v>
      </c>
    </row>
    <row r="8487" spans="11:17" x14ac:dyDescent="0.3">
      <c r="K8487">
        <v>2021</v>
      </c>
      <c r="L8487" t="s">
        <v>44</v>
      </c>
      <c r="M8487" t="s">
        <v>153</v>
      </c>
      <c r="N8487" t="s">
        <v>14</v>
      </c>
      <c r="O8487" t="s">
        <v>188</v>
      </c>
      <c r="P8487" s="1" t="s">
        <v>34</v>
      </c>
      <c r="Q8487">
        <v>175.5</v>
      </c>
    </row>
    <row r="8488" spans="11:17" x14ac:dyDescent="0.3">
      <c r="K8488">
        <v>2021</v>
      </c>
      <c r="L8488" t="s">
        <v>44</v>
      </c>
      <c r="M8488" t="s">
        <v>153</v>
      </c>
      <c r="N8488" t="s">
        <v>14</v>
      </c>
      <c r="O8488" t="s">
        <v>188</v>
      </c>
      <c r="P8488" s="1" t="s">
        <v>33</v>
      </c>
      <c r="Q8488">
        <v>176.8</v>
      </c>
    </row>
    <row r="8489" spans="11:17" x14ac:dyDescent="0.3">
      <c r="K8489">
        <v>2021</v>
      </c>
      <c r="L8489" t="s">
        <v>44</v>
      </c>
      <c r="M8489" t="s">
        <v>153</v>
      </c>
      <c r="N8489" t="s">
        <v>10</v>
      </c>
      <c r="O8489" t="s">
        <v>188</v>
      </c>
      <c r="P8489" s="1" t="s">
        <v>30</v>
      </c>
      <c r="Q8489">
        <v>165.4</v>
      </c>
    </row>
    <row r="8490" spans="11:17" x14ac:dyDescent="0.3">
      <c r="K8490">
        <v>2021</v>
      </c>
      <c r="L8490" t="s">
        <v>44</v>
      </c>
      <c r="M8490" t="s">
        <v>153</v>
      </c>
      <c r="N8490" t="s">
        <v>10</v>
      </c>
      <c r="O8490" t="s">
        <v>188</v>
      </c>
      <c r="P8490" s="1" t="s">
        <v>34</v>
      </c>
      <c r="Q8490">
        <v>165.3</v>
      </c>
    </row>
    <row r="8491" spans="11:17" x14ac:dyDescent="0.3">
      <c r="K8491">
        <v>2021</v>
      </c>
      <c r="L8491" t="s">
        <v>44</v>
      </c>
      <c r="M8491" t="s">
        <v>153</v>
      </c>
      <c r="N8491" t="s">
        <v>10</v>
      </c>
      <c r="O8491" t="s">
        <v>188</v>
      </c>
      <c r="P8491" s="1" t="s">
        <v>33</v>
      </c>
      <c r="Q8491">
        <v>165.1</v>
      </c>
    </row>
    <row r="8492" spans="11:17" x14ac:dyDescent="0.3">
      <c r="K8492">
        <v>2021</v>
      </c>
      <c r="L8492" t="s">
        <v>44</v>
      </c>
      <c r="M8492" t="s">
        <v>153</v>
      </c>
      <c r="N8492" t="s">
        <v>25</v>
      </c>
      <c r="O8492" t="s">
        <v>195</v>
      </c>
      <c r="P8492" s="1" t="s">
        <v>30</v>
      </c>
      <c r="Q8492">
        <v>163.80000000000001</v>
      </c>
    </row>
    <row r="8493" spans="11:17" x14ac:dyDescent="0.3">
      <c r="K8493">
        <v>2021</v>
      </c>
      <c r="L8493" t="s">
        <v>44</v>
      </c>
      <c r="M8493" t="s">
        <v>153</v>
      </c>
      <c r="N8493" t="s">
        <v>25</v>
      </c>
      <c r="O8493" t="s">
        <v>195</v>
      </c>
      <c r="P8493" s="1" t="s">
        <v>34</v>
      </c>
      <c r="Q8493">
        <v>159.80000000000001</v>
      </c>
    </row>
    <row r="8494" spans="11:17" x14ac:dyDescent="0.3">
      <c r="K8494">
        <v>2021</v>
      </c>
      <c r="L8494" t="s">
        <v>44</v>
      </c>
      <c r="M8494" t="s">
        <v>153</v>
      </c>
      <c r="N8494" t="s">
        <v>25</v>
      </c>
      <c r="O8494" t="s">
        <v>195</v>
      </c>
      <c r="P8494" s="1" t="s">
        <v>33</v>
      </c>
      <c r="Q8494">
        <v>156.69999999999999</v>
      </c>
    </row>
    <row r="8495" spans="11:17" x14ac:dyDescent="0.3">
      <c r="K8495">
        <v>2021</v>
      </c>
      <c r="L8495" t="s">
        <v>44</v>
      </c>
      <c r="M8495" t="s">
        <v>153</v>
      </c>
      <c r="N8495" t="s">
        <v>12</v>
      </c>
      <c r="O8495" t="s">
        <v>188</v>
      </c>
      <c r="P8495" s="1" t="s">
        <v>30</v>
      </c>
      <c r="Q8495">
        <v>170.8</v>
      </c>
    </row>
    <row r="8496" spans="11:17" x14ac:dyDescent="0.3">
      <c r="K8496">
        <v>2021</v>
      </c>
      <c r="L8496" t="s">
        <v>44</v>
      </c>
      <c r="M8496" t="s">
        <v>153</v>
      </c>
      <c r="N8496" t="s">
        <v>12</v>
      </c>
      <c r="O8496" t="s">
        <v>188</v>
      </c>
      <c r="P8496" s="1" t="s">
        <v>34</v>
      </c>
      <c r="Q8496">
        <v>169.6</v>
      </c>
    </row>
    <row r="8497" spans="11:17" x14ac:dyDescent="0.3">
      <c r="K8497">
        <v>2021</v>
      </c>
      <c r="L8497" t="s">
        <v>44</v>
      </c>
      <c r="M8497" t="s">
        <v>153</v>
      </c>
      <c r="N8497" t="s">
        <v>12</v>
      </c>
      <c r="O8497" t="s">
        <v>188</v>
      </c>
      <c r="P8497" s="1" t="s">
        <v>33</v>
      </c>
      <c r="Q8497">
        <v>167.2</v>
      </c>
    </row>
    <row r="8498" spans="11:17" x14ac:dyDescent="0.3">
      <c r="K8498">
        <v>2021</v>
      </c>
      <c r="L8498" t="s">
        <v>44</v>
      </c>
      <c r="M8498" t="s">
        <v>153</v>
      </c>
      <c r="N8498" t="s">
        <v>11</v>
      </c>
      <c r="O8498" t="s">
        <v>188</v>
      </c>
      <c r="P8498" s="1" t="s">
        <v>30</v>
      </c>
      <c r="Q8498">
        <v>122.1</v>
      </c>
    </row>
    <row r="8499" spans="11:17" x14ac:dyDescent="0.3">
      <c r="K8499">
        <v>2021</v>
      </c>
      <c r="L8499" t="s">
        <v>44</v>
      </c>
      <c r="M8499" t="s">
        <v>153</v>
      </c>
      <c r="N8499" t="s">
        <v>11</v>
      </c>
      <c r="O8499" t="s">
        <v>188</v>
      </c>
      <c r="P8499" s="1" t="s">
        <v>34</v>
      </c>
      <c r="Q8499">
        <v>122.4</v>
      </c>
    </row>
    <row r="8500" spans="11:17" x14ac:dyDescent="0.3">
      <c r="K8500">
        <v>2021</v>
      </c>
      <c r="L8500" t="s">
        <v>44</v>
      </c>
      <c r="M8500" t="s">
        <v>153</v>
      </c>
      <c r="N8500" t="s">
        <v>11</v>
      </c>
      <c r="O8500" t="s">
        <v>188</v>
      </c>
      <c r="P8500" s="1" t="s">
        <v>33</v>
      </c>
      <c r="Q8500">
        <v>123.1</v>
      </c>
    </row>
    <row r="8501" spans="11:17" x14ac:dyDescent="0.3">
      <c r="K8501">
        <v>2021</v>
      </c>
      <c r="L8501" t="s">
        <v>44</v>
      </c>
      <c r="M8501" t="s">
        <v>153</v>
      </c>
      <c r="N8501" t="s">
        <v>24</v>
      </c>
      <c r="O8501" t="s">
        <v>191</v>
      </c>
      <c r="P8501" s="1" t="s">
        <v>30</v>
      </c>
      <c r="Q8501">
        <v>158.9</v>
      </c>
    </row>
    <row r="8502" spans="11:17" x14ac:dyDescent="0.3">
      <c r="K8502">
        <v>2021</v>
      </c>
      <c r="L8502" t="s">
        <v>44</v>
      </c>
      <c r="M8502" t="s">
        <v>153</v>
      </c>
      <c r="N8502" t="s">
        <v>24</v>
      </c>
      <c r="O8502" t="s">
        <v>191</v>
      </c>
      <c r="P8502" s="1" t="s">
        <v>34</v>
      </c>
      <c r="Q8502">
        <v>154.80000000000001</v>
      </c>
    </row>
    <row r="8503" spans="11:17" x14ac:dyDescent="0.3">
      <c r="K8503">
        <v>2021</v>
      </c>
      <c r="L8503" t="s">
        <v>44</v>
      </c>
      <c r="M8503" t="s">
        <v>153</v>
      </c>
      <c r="N8503" t="s">
        <v>24</v>
      </c>
      <c r="O8503" t="s">
        <v>191</v>
      </c>
      <c r="P8503" s="1" t="s">
        <v>33</v>
      </c>
      <c r="Q8503">
        <v>151.19999999999999</v>
      </c>
    </row>
    <row r="8504" spans="11:17" x14ac:dyDescent="0.3">
      <c r="K8504">
        <v>2021</v>
      </c>
      <c r="L8504" t="s">
        <v>44</v>
      </c>
      <c r="M8504" t="s">
        <v>153</v>
      </c>
      <c r="N8504" t="s">
        <v>9</v>
      </c>
      <c r="O8504" t="s">
        <v>188</v>
      </c>
      <c r="P8504" s="1" t="s">
        <v>30</v>
      </c>
      <c r="Q8504">
        <v>183.9</v>
      </c>
    </row>
    <row r="8505" spans="11:17" x14ac:dyDescent="0.3">
      <c r="K8505">
        <v>2021</v>
      </c>
      <c r="L8505" t="s">
        <v>44</v>
      </c>
      <c r="M8505" t="s">
        <v>153</v>
      </c>
      <c r="N8505" t="s">
        <v>9</v>
      </c>
      <c r="O8505" t="s">
        <v>188</v>
      </c>
      <c r="P8505" s="1" t="s">
        <v>34</v>
      </c>
      <c r="Q8505">
        <v>199.2</v>
      </c>
    </row>
    <row r="8506" spans="11:17" x14ac:dyDescent="0.3">
      <c r="K8506">
        <v>2021</v>
      </c>
      <c r="L8506" t="s">
        <v>44</v>
      </c>
      <c r="M8506" t="s">
        <v>153</v>
      </c>
      <c r="N8506" t="s">
        <v>9</v>
      </c>
      <c r="O8506" t="s">
        <v>188</v>
      </c>
      <c r="P8506" s="1" t="s">
        <v>33</v>
      </c>
      <c r="Q8506">
        <v>229.1</v>
      </c>
    </row>
    <row r="8507" spans="11:17" x14ac:dyDescent="0.3">
      <c r="K8507">
        <v>2021</v>
      </c>
      <c r="L8507" t="s">
        <v>43</v>
      </c>
      <c r="M8507" t="s">
        <v>154</v>
      </c>
      <c r="N8507" t="s">
        <v>3</v>
      </c>
      <c r="O8507" t="s">
        <v>188</v>
      </c>
      <c r="P8507" s="1" t="s">
        <v>30</v>
      </c>
      <c r="Q8507">
        <v>146.1</v>
      </c>
    </row>
    <row r="8508" spans="11:17" x14ac:dyDescent="0.3">
      <c r="K8508">
        <v>2021</v>
      </c>
      <c r="L8508" t="s">
        <v>43</v>
      </c>
      <c r="M8508" t="s">
        <v>154</v>
      </c>
      <c r="N8508" t="s">
        <v>3</v>
      </c>
      <c r="O8508" t="s">
        <v>188</v>
      </c>
      <c r="P8508" s="1" t="s">
        <v>34</v>
      </c>
      <c r="Q8508">
        <v>147.4</v>
      </c>
    </row>
    <row r="8509" spans="11:17" x14ac:dyDescent="0.3">
      <c r="K8509">
        <v>2021</v>
      </c>
      <c r="L8509" t="s">
        <v>43</v>
      </c>
      <c r="M8509" t="s">
        <v>154</v>
      </c>
      <c r="N8509" t="s">
        <v>3</v>
      </c>
      <c r="O8509" t="s">
        <v>188</v>
      </c>
      <c r="P8509" s="1" t="s">
        <v>33</v>
      </c>
      <c r="Q8509">
        <v>150.1</v>
      </c>
    </row>
    <row r="8510" spans="11:17" x14ac:dyDescent="0.3">
      <c r="K8510">
        <v>2021</v>
      </c>
      <c r="L8510" t="s">
        <v>43</v>
      </c>
      <c r="M8510" t="s">
        <v>154</v>
      </c>
      <c r="N8510" t="s">
        <v>17</v>
      </c>
      <c r="O8510" t="s">
        <v>189</v>
      </c>
      <c r="P8510" s="1" t="s">
        <v>30</v>
      </c>
      <c r="Q8510">
        <v>168.9</v>
      </c>
    </row>
    <row r="8511" spans="11:17" x14ac:dyDescent="0.3">
      <c r="K8511">
        <v>2021</v>
      </c>
      <c r="L8511" t="s">
        <v>43</v>
      </c>
      <c r="M8511" t="s">
        <v>154</v>
      </c>
      <c r="N8511" t="s">
        <v>17</v>
      </c>
      <c r="O8511" t="s">
        <v>189</v>
      </c>
      <c r="P8511" s="1" t="s">
        <v>34</v>
      </c>
      <c r="Q8511">
        <v>165.7</v>
      </c>
    </row>
    <row r="8512" spans="11:17" x14ac:dyDescent="0.3">
      <c r="K8512">
        <v>2021</v>
      </c>
      <c r="L8512" t="s">
        <v>43</v>
      </c>
      <c r="M8512" t="s">
        <v>154</v>
      </c>
      <c r="N8512" t="s">
        <v>17</v>
      </c>
      <c r="O8512" t="s">
        <v>189</v>
      </c>
      <c r="P8512" s="1" t="s">
        <v>33</v>
      </c>
      <c r="Q8512">
        <v>160.80000000000001</v>
      </c>
    </row>
    <row r="8513" spans="11:17" x14ac:dyDescent="0.3">
      <c r="K8513">
        <v>2021</v>
      </c>
      <c r="L8513" t="s">
        <v>43</v>
      </c>
      <c r="M8513" t="s">
        <v>154</v>
      </c>
      <c r="N8513" t="s">
        <v>19</v>
      </c>
      <c r="O8513" t="s">
        <v>189</v>
      </c>
      <c r="P8513" s="1" t="s">
        <v>30</v>
      </c>
      <c r="Q8513">
        <v>168.3</v>
      </c>
    </row>
    <row r="8514" spans="11:17" x14ac:dyDescent="0.3">
      <c r="K8514">
        <v>2021</v>
      </c>
      <c r="L8514" t="s">
        <v>43</v>
      </c>
      <c r="M8514" t="s">
        <v>154</v>
      </c>
      <c r="N8514" t="s">
        <v>19</v>
      </c>
      <c r="O8514" t="s">
        <v>189</v>
      </c>
      <c r="P8514" s="1" t="s">
        <v>34</v>
      </c>
      <c r="Q8514">
        <v>164.3</v>
      </c>
    </row>
    <row r="8515" spans="11:17" x14ac:dyDescent="0.3">
      <c r="K8515">
        <v>2021</v>
      </c>
      <c r="L8515" t="s">
        <v>43</v>
      </c>
      <c r="M8515" t="s">
        <v>154</v>
      </c>
      <c r="N8515" t="s">
        <v>19</v>
      </c>
      <c r="O8515" t="s">
        <v>189</v>
      </c>
      <c r="P8515" s="1" t="s">
        <v>33</v>
      </c>
      <c r="Q8515">
        <v>158.30000000000001</v>
      </c>
    </row>
    <row r="8516" spans="11:17" x14ac:dyDescent="0.3">
      <c r="K8516">
        <v>2021</v>
      </c>
      <c r="L8516" t="s">
        <v>43</v>
      </c>
      <c r="M8516" t="s">
        <v>154</v>
      </c>
      <c r="N8516" t="s">
        <v>26</v>
      </c>
      <c r="O8516" t="s">
        <v>26</v>
      </c>
      <c r="P8516" s="1" t="s">
        <v>30</v>
      </c>
      <c r="Q8516">
        <v>169</v>
      </c>
    </row>
    <row r="8517" spans="11:17" x14ac:dyDescent="0.3">
      <c r="K8517">
        <v>2021</v>
      </c>
      <c r="L8517" t="s">
        <v>43</v>
      </c>
      <c r="M8517" t="s">
        <v>154</v>
      </c>
      <c r="N8517" t="s">
        <v>26</v>
      </c>
      <c r="O8517" t="s">
        <v>26</v>
      </c>
      <c r="P8517" s="1" t="s">
        <v>34</v>
      </c>
      <c r="Q8517">
        <v>163.9</v>
      </c>
    </row>
    <row r="8518" spans="11:17" x14ac:dyDescent="0.3">
      <c r="K8518">
        <v>2021</v>
      </c>
      <c r="L8518" t="s">
        <v>43</v>
      </c>
      <c r="M8518" t="s">
        <v>154</v>
      </c>
      <c r="N8518" t="s">
        <v>26</v>
      </c>
      <c r="O8518" t="s">
        <v>26</v>
      </c>
      <c r="P8518" s="1" t="s">
        <v>33</v>
      </c>
      <c r="Q8518">
        <v>160.30000000000001</v>
      </c>
    </row>
    <row r="8519" spans="11:17" x14ac:dyDescent="0.3">
      <c r="K8519">
        <v>2021</v>
      </c>
      <c r="L8519" t="s">
        <v>43</v>
      </c>
      <c r="M8519" t="s">
        <v>154</v>
      </c>
      <c r="N8519" t="s">
        <v>5</v>
      </c>
      <c r="O8519" t="s">
        <v>188</v>
      </c>
      <c r="P8519" s="1" t="s">
        <v>30</v>
      </c>
      <c r="Q8519">
        <v>170.1</v>
      </c>
    </row>
    <row r="8520" spans="11:17" x14ac:dyDescent="0.3">
      <c r="K8520">
        <v>2021</v>
      </c>
      <c r="L8520" t="s">
        <v>43</v>
      </c>
      <c r="M8520" t="s">
        <v>154</v>
      </c>
      <c r="N8520" t="s">
        <v>5</v>
      </c>
      <c r="O8520" t="s">
        <v>188</v>
      </c>
      <c r="P8520" s="1" t="s">
        <v>34</v>
      </c>
      <c r="Q8520">
        <v>171.2</v>
      </c>
    </row>
    <row r="8521" spans="11:17" x14ac:dyDescent="0.3">
      <c r="K8521">
        <v>2021</v>
      </c>
      <c r="L8521" t="s">
        <v>43</v>
      </c>
      <c r="M8521" t="s">
        <v>154</v>
      </c>
      <c r="N8521" t="s">
        <v>5</v>
      </c>
      <c r="O8521" t="s">
        <v>188</v>
      </c>
      <c r="P8521" s="1" t="s">
        <v>33</v>
      </c>
      <c r="Q8521">
        <v>173</v>
      </c>
    </row>
    <row r="8522" spans="11:17" x14ac:dyDescent="0.3">
      <c r="K8522">
        <v>2021</v>
      </c>
      <c r="L8522" t="s">
        <v>43</v>
      </c>
      <c r="M8522" t="s">
        <v>154</v>
      </c>
      <c r="N8522" t="s">
        <v>15</v>
      </c>
      <c r="O8522" t="s">
        <v>188</v>
      </c>
      <c r="P8522" s="1" t="s">
        <v>30</v>
      </c>
      <c r="Q8522">
        <v>165.5</v>
      </c>
    </row>
    <row r="8523" spans="11:17" x14ac:dyDescent="0.3">
      <c r="K8523">
        <v>2021</v>
      </c>
      <c r="L8523" t="s">
        <v>43</v>
      </c>
      <c r="M8523" t="s">
        <v>154</v>
      </c>
      <c r="N8523" t="s">
        <v>15</v>
      </c>
      <c r="O8523" t="s">
        <v>188</v>
      </c>
      <c r="P8523" s="1" t="s">
        <v>34</v>
      </c>
      <c r="Q8523">
        <v>167.7</v>
      </c>
    </row>
    <row r="8524" spans="11:17" x14ac:dyDescent="0.3">
      <c r="K8524">
        <v>2021</v>
      </c>
      <c r="L8524" t="s">
        <v>43</v>
      </c>
      <c r="M8524" t="s">
        <v>154</v>
      </c>
      <c r="N8524" t="s">
        <v>15</v>
      </c>
      <c r="O8524" t="s">
        <v>188</v>
      </c>
      <c r="P8524" s="1" t="s">
        <v>33</v>
      </c>
      <c r="Q8524">
        <v>171.5</v>
      </c>
    </row>
    <row r="8525" spans="11:17" x14ac:dyDescent="0.3">
      <c r="K8525">
        <v>2021</v>
      </c>
      <c r="L8525" t="s">
        <v>43</v>
      </c>
      <c r="M8525" t="s">
        <v>154</v>
      </c>
      <c r="N8525" t="s">
        <v>18</v>
      </c>
      <c r="O8525" t="s">
        <v>189</v>
      </c>
      <c r="P8525" s="1" t="s">
        <v>30</v>
      </c>
      <c r="Q8525">
        <v>164.8</v>
      </c>
    </row>
    <row r="8526" spans="11:17" x14ac:dyDescent="0.3">
      <c r="K8526">
        <v>2021</v>
      </c>
      <c r="L8526" t="s">
        <v>43</v>
      </c>
      <c r="M8526" t="s">
        <v>154</v>
      </c>
      <c r="N8526" t="s">
        <v>18</v>
      </c>
      <c r="O8526" t="s">
        <v>189</v>
      </c>
      <c r="P8526" s="1" t="s">
        <v>34</v>
      </c>
      <c r="Q8526">
        <v>156.30000000000001</v>
      </c>
    </row>
    <row r="8527" spans="11:17" x14ac:dyDescent="0.3">
      <c r="K8527">
        <v>2021</v>
      </c>
      <c r="L8527" t="s">
        <v>43</v>
      </c>
      <c r="M8527" t="s">
        <v>154</v>
      </c>
      <c r="N8527" t="s">
        <v>18</v>
      </c>
      <c r="O8527" t="s">
        <v>189</v>
      </c>
      <c r="P8527" s="1" t="s">
        <v>33</v>
      </c>
      <c r="Q8527">
        <v>144.4</v>
      </c>
    </row>
    <row r="8528" spans="11:17" x14ac:dyDescent="0.3">
      <c r="K8528">
        <v>2021</v>
      </c>
      <c r="L8528" t="s">
        <v>43</v>
      </c>
      <c r="M8528" t="s">
        <v>154</v>
      </c>
      <c r="N8528" t="s">
        <v>8</v>
      </c>
      <c r="O8528" t="s">
        <v>188</v>
      </c>
      <c r="P8528" s="1" t="s">
        <v>30</v>
      </c>
      <c r="Q8528">
        <v>152.6</v>
      </c>
    </row>
    <row r="8529" spans="11:17" x14ac:dyDescent="0.3">
      <c r="K8529">
        <v>2021</v>
      </c>
      <c r="L8529" t="s">
        <v>43</v>
      </c>
      <c r="M8529" t="s">
        <v>154</v>
      </c>
      <c r="N8529" t="s">
        <v>8</v>
      </c>
      <c r="O8529" t="s">
        <v>188</v>
      </c>
      <c r="P8529" s="1" t="s">
        <v>34</v>
      </c>
      <c r="Q8529">
        <v>155.69999999999999</v>
      </c>
    </row>
    <row r="8530" spans="11:17" x14ac:dyDescent="0.3">
      <c r="K8530">
        <v>2021</v>
      </c>
      <c r="L8530" t="s">
        <v>43</v>
      </c>
      <c r="M8530" t="s">
        <v>154</v>
      </c>
      <c r="N8530" t="s">
        <v>8</v>
      </c>
      <c r="O8530" t="s">
        <v>188</v>
      </c>
      <c r="P8530" s="1" t="s">
        <v>33</v>
      </c>
      <c r="Q8530">
        <v>159.30000000000001</v>
      </c>
    </row>
    <row r="8531" spans="11:17" x14ac:dyDescent="0.3">
      <c r="K8531">
        <v>2021</v>
      </c>
      <c r="L8531" t="s">
        <v>43</v>
      </c>
      <c r="M8531" t="s">
        <v>154</v>
      </c>
      <c r="N8531" t="s">
        <v>21</v>
      </c>
      <c r="O8531" t="s">
        <v>190</v>
      </c>
      <c r="P8531" s="1" t="s">
        <v>30</v>
      </c>
      <c r="Q8531">
        <v>165.5</v>
      </c>
    </row>
    <row r="8532" spans="11:17" x14ac:dyDescent="0.3">
      <c r="K8532">
        <v>2021</v>
      </c>
      <c r="L8532" t="s">
        <v>43</v>
      </c>
      <c r="M8532" t="s">
        <v>154</v>
      </c>
      <c r="N8532" t="s">
        <v>21</v>
      </c>
      <c r="O8532" t="s">
        <v>190</v>
      </c>
      <c r="P8532" s="1" t="s">
        <v>34</v>
      </c>
      <c r="Q8532">
        <v>164.2</v>
      </c>
    </row>
    <row r="8533" spans="11:17" x14ac:dyDescent="0.3">
      <c r="K8533">
        <v>2021</v>
      </c>
      <c r="L8533" t="s">
        <v>43</v>
      </c>
      <c r="M8533" t="s">
        <v>154</v>
      </c>
      <c r="N8533" t="s">
        <v>21</v>
      </c>
      <c r="O8533" t="s">
        <v>190</v>
      </c>
      <c r="P8533" s="1" t="s">
        <v>33</v>
      </c>
      <c r="Q8533">
        <v>162.19999999999999</v>
      </c>
    </row>
    <row r="8534" spans="11:17" x14ac:dyDescent="0.3">
      <c r="K8534">
        <v>2021</v>
      </c>
      <c r="L8534" t="s">
        <v>43</v>
      </c>
      <c r="M8534" t="s">
        <v>154</v>
      </c>
      <c r="N8534" t="s">
        <v>29</v>
      </c>
      <c r="O8534" t="s">
        <v>206</v>
      </c>
      <c r="P8534" s="1" t="s">
        <v>30</v>
      </c>
      <c r="Q8534">
        <v>166.3</v>
      </c>
    </row>
    <row r="8535" spans="11:17" x14ac:dyDescent="0.3">
      <c r="K8535">
        <v>2021</v>
      </c>
      <c r="L8535" t="s">
        <v>43</v>
      </c>
      <c r="M8535" t="s">
        <v>154</v>
      </c>
      <c r="N8535" t="s">
        <v>29</v>
      </c>
      <c r="O8535" t="s">
        <v>206</v>
      </c>
      <c r="P8535" s="1" t="s">
        <v>34</v>
      </c>
      <c r="Q8535">
        <v>165.5</v>
      </c>
    </row>
    <row r="8536" spans="11:17" x14ac:dyDescent="0.3">
      <c r="K8536">
        <v>2021</v>
      </c>
      <c r="L8536" t="s">
        <v>43</v>
      </c>
      <c r="M8536" t="s">
        <v>154</v>
      </c>
      <c r="N8536" t="s">
        <v>29</v>
      </c>
      <c r="O8536" t="s">
        <v>206</v>
      </c>
      <c r="P8536" s="1" t="s">
        <v>33</v>
      </c>
      <c r="Q8536">
        <v>164.6</v>
      </c>
    </row>
    <row r="8537" spans="11:17" x14ac:dyDescent="0.3">
      <c r="K8537">
        <v>2021</v>
      </c>
      <c r="L8537" t="s">
        <v>43</v>
      </c>
      <c r="M8537" t="s">
        <v>154</v>
      </c>
      <c r="N8537" t="s">
        <v>23</v>
      </c>
      <c r="O8537" t="s">
        <v>23</v>
      </c>
      <c r="P8537" s="1" t="s">
        <v>30</v>
      </c>
      <c r="Q8537">
        <v>172.5</v>
      </c>
    </row>
    <row r="8538" spans="11:17" x14ac:dyDescent="0.3">
      <c r="K8538">
        <v>2021</v>
      </c>
      <c r="L8538" t="s">
        <v>43</v>
      </c>
      <c r="M8538" t="s">
        <v>154</v>
      </c>
      <c r="N8538" t="s">
        <v>23</v>
      </c>
      <c r="O8538" t="s">
        <v>23</v>
      </c>
      <c r="P8538" s="1" t="s">
        <v>34</v>
      </c>
      <c r="Q8538">
        <v>169.1</v>
      </c>
    </row>
    <row r="8539" spans="11:17" x14ac:dyDescent="0.3">
      <c r="K8539">
        <v>2021</v>
      </c>
      <c r="L8539" t="s">
        <v>43</v>
      </c>
      <c r="M8539" t="s">
        <v>154</v>
      </c>
      <c r="N8539" t="s">
        <v>23</v>
      </c>
      <c r="O8539" t="s">
        <v>23</v>
      </c>
      <c r="P8539" s="1" t="s">
        <v>33</v>
      </c>
      <c r="Q8539">
        <v>163.5</v>
      </c>
    </row>
    <row r="8540" spans="11:17" x14ac:dyDescent="0.3">
      <c r="K8540">
        <v>2021</v>
      </c>
      <c r="L8540" t="s">
        <v>43</v>
      </c>
      <c r="M8540" t="s">
        <v>154</v>
      </c>
      <c r="N8540" t="s">
        <v>22</v>
      </c>
      <c r="O8540" t="s">
        <v>20</v>
      </c>
      <c r="P8540" s="1" t="s">
        <v>30</v>
      </c>
      <c r="Q8540">
        <v>162</v>
      </c>
    </row>
    <row r="8541" spans="11:17" x14ac:dyDescent="0.3">
      <c r="K8541">
        <v>2021</v>
      </c>
      <c r="L8541" t="s">
        <v>43</v>
      </c>
      <c r="M8541" t="s">
        <v>154</v>
      </c>
      <c r="N8541" t="s">
        <v>22</v>
      </c>
      <c r="O8541" t="s">
        <v>20</v>
      </c>
      <c r="P8541" s="1" t="s">
        <v>34</v>
      </c>
      <c r="Q8541">
        <v>158.4</v>
      </c>
    </row>
    <row r="8542" spans="11:17" x14ac:dyDescent="0.3">
      <c r="K8542">
        <v>2021</v>
      </c>
      <c r="L8542" t="s">
        <v>43</v>
      </c>
      <c r="M8542" t="s">
        <v>154</v>
      </c>
      <c r="N8542" t="s">
        <v>22</v>
      </c>
      <c r="O8542" t="s">
        <v>20</v>
      </c>
      <c r="P8542" s="1" t="s">
        <v>33</v>
      </c>
      <c r="Q8542">
        <v>154.30000000000001</v>
      </c>
    </row>
    <row r="8543" spans="11:17" x14ac:dyDescent="0.3">
      <c r="K8543">
        <v>2021</v>
      </c>
      <c r="L8543" t="s">
        <v>43</v>
      </c>
      <c r="M8543" t="s">
        <v>154</v>
      </c>
      <c r="N8543" t="s">
        <v>20</v>
      </c>
      <c r="O8543" t="s">
        <v>20</v>
      </c>
      <c r="P8543" s="1" t="s">
        <v>30</v>
      </c>
      <c r="Q8543">
        <v>0</v>
      </c>
    </row>
    <row r="8544" spans="11:17" x14ac:dyDescent="0.3">
      <c r="K8544">
        <v>2021</v>
      </c>
      <c r="L8544" t="s">
        <v>43</v>
      </c>
      <c r="M8544" t="s">
        <v>154</v>
      </c>
      <c r="N8544" t="s">
        <v>20</v>
      </c>
      <c r="O8544" t="s">
        <v>20</v>
      </c>
      <c r="P8544" s="1" t="s">
        <v>34</v>
      </c>
      <c r="Q8544">
        <v>163.6</v>
      </c>
    </row>
    <row r="8545" spans="11:17" x14ac:dyDescent="0.3">
      <c r="K8545">
        <v>2021</v>
      </c>
      <c r="L8545" t="s">
        <v>43</v>
      </c>
      <c r="M8545" t="s">
        <v>154</v>
      </c>
      <c r="N8545" t="s">
        <v>20</v>
      </c>
      <c r="O8545" t="s">
        <v>20</v>
      </c>
      <c r="P8545" s="1" t="s">
        <v>33</v>
      </c>
      <c r="Q8545">
        <v>163.6</v>
      </c>
    </row>
    <row r="8546" spans="11:17" x14ac:dyDescent="0.3">
      <c r="K8546">
        <v>2021</v>
      </c>
      <c r="L8546" t="s">
        <v>43</v>
      </c>
      <c r="M8546" t="s">
        <v>154</v>
      </c>
      <c r="N8546" t="s">
        <v>4</v>
      </c>
      <c r="O8546" t="s">
        <v>188</v>
      </c>
      <c r="P8546" s="1" t="s">
        <v>30</v>
      </c>
      <c r="Q8546">
        <v>202.5</v>
      </c>
    </row>
    <row r="8547" spans="11:17" x14ac:dyDescent="0.3">
      <c r="K8547">
        <v>2021</v>
      </c>
      <c r="L8547" t="s">
        <v>43</v>
      </c>
      <c r="M8547" t="s">
        <v>154</v>
      </c>
      <c r="N8547" t="s">
        <v>4</v>
      </c>
      <c r="O8547" t="s">
        <v>188</v>
      </c>
      <c r="P8547" s="1" t="s">
        <v>34</v>
      </c>
      <c r="Q8547">
        <v>204.6</v>
      </c>
    </row>
    <row r="8548" spans="11:17" x14ac:dyDescent="0.3">
      <c r="K8548">
        <v>2021</v>
      </c>
      <c r="L8548" t="s">
        <v>43</v>
      </c>
      <c r="M8548" t="s">
        <v>154</v>
      </c>
      <c r="N8548" t="s">
        <v>4</v>
      </c>
      <c r="O8548" t="s">
        <v>188</v>
      </c>
      <c r="P8548" s="1" t="s">
        <v>33</v>
      </c>
      <c r="Q8548">
        <v>208.4</v>
      </c>
    </row>
    <row r="8549" spans="11:17" x14ac:dyDescent="0.3">
      <c r="K8549">
        <v>2021</v>
      </c>
      <c r="L8549" t="s">
        <v>43</v>
      </c>
      <c r="M8549" t="s">
        <v>154</v>
      </c>
      <c r="N8549" t="s">
        <v>6</v>
      </c>
      <c r="O8549" t="s">
        <v>188</v>
      </c>
      <c r="P8549" s="1" t="s">
        <v>30</v>
      </c>
      <c r="Q8549">
        <v>158.4</v>
      </c>
    </row>
    <row r="8550" spans="11:17" x14ac:dyDescent="0.3">
      <c r="K8550">
        <v>2021</v>
      </c>
      <c r="L8550" t="s">
        <v>43</v>
      </c>
      <c r="M8550" t="s">
        <v>154</v>
      </c>
      <c r="N8550" t="s">
        <v>6</v>
      </c>
      <c r="O8550" t="s">
        <v>188</v>
      </c>
      <c r="P8550" s="1" t="s">
        <v>34</v>
      </c>
      <c r="Q8550">
        <v>158.69999999999999</v>
      </c>
    </row>
    <row r="8551" spans="11:17" x14ac:dyDescent="0.3">
      <c r="K8551">
        <v>2021</v>
      </c>
      <c r="L8551" t="s">
        <v>43</v>
      </c>
      <c r="M8551" t="s">
        <v>154</v>
      </c>
      <c r="N8551" t="s">
        <v>6</v>
      </c>
      <c r="O8551" t="s">
        <v>188</v>
      </c>
      <c r="P8551" s="1" t="s">
        <v>33</v>
      </c>
      <c r="Q8551">
        <v>159.19999999999999</v>
      </c>
    </row>
    <row r="8552" spans="11:17" x14ac:dyDescent="0.3">
      <c r="K8552">
        <v>2021</v>
      </c>
      <c r="L8552" t="s">
        <v>43</v>
      </c>
      <c r="M8552" t="s">
        <v>154</v>
      </c>
      <c r="N8552" t="s">
        <v>28</v>
      </c>
      <c r="O8552" t="s">
        <v>192</v>
      </c>
      <c r="P8552" s="1" t="s">
        <v>30</v>
      </c>
      <c r="Q8552">
        <v>164.7</v>
      </c>
    </row>
    <row r="8553" spans="11:17" x14ac:dyDescent="0.3">
      <c r="K8553">
        <v>2021</v>
      </c>
      <c r="L8553" t="s">
        <v>43</v>
      </c>
      <c r="M8553" t="s">
        <v>154</v>
      </c>
      <c r="N8553" t="s">
        <v>28</v>
      </c>
      <c r="O8553" t="s">
        <v>192</v>
      </c>
      <c r="P8553" s="1" t="s">
        <v>34</v>
      </c>
      <c r="Q8553">
        <v>161</v>
      </c>
    </row>
    <row r="8554" spans="11:17" x14ac:dyDescent="0.3">
      <c r="K8554">
        <v>2021</v>
      </c>
      <c r="L8554" t="s">
        <v>43</v>
      </c>
      <c r="M8554" t="s">
        <v>154</v>
      </c>
      <c r="N8554" t="s">
        <v>28</v>
      </c>
      <c r="O8554" t="s">
        <v>192</v>
      </c>
      <c r="P8554" s="1" t="s">
        <v>33</v>
      </c>
      <c r="Q8554">
        <v>157</v>
      </c>
    </row>
    <row r="8555" spans="11:17" x14ac:dyDescent="0.3">
      <c r="K8555">
        <v>2021</v>
      </c>
      <c r="L8555" t="s">
        <v>43</v>
      </c>
      <c r="M8555" t="s">
        <v>154</v>
      </c>
      <c r="N8555" t="s">
        <v>13</v>
      </c>
      <c r="O8555" t="s">
        <v>188</v>
      </c>
      <c r="P8555" s="1" t="s">
        <v>30</v>
      </c>
      <c r="Q8555">
        <v>168.8</v>
      </c>
    </row>
    <row r="8556" spans="11:17" x14ac:dyDescent="0.3">
      <c r="K8556">
        <v>2021</v>
      </c>
      <c r="L8556" t="s">
        <v>43</v>
      </c>
      <c r="M8556" t="s">
        <v>154</v>
      </c>
      <c r="N8556" t="s">
        <v>13</v>
      </c>
      <c r="O8556" t="s">
        <v>188</v>
      </c>
      <c r="P8556" s="1" t="s">
        <v>34</v>
      </c>
      <c r="Q8556">
        <v>163.19999999999999</v>
      </c>
    </row>
    <row r="8557" spans="11:17" x14ac:dyDescent="0.3">
      <c r="K8557">
        <v>2021</v>
      </c>
      <c r="L8557" t="s">
        <v>43</v>
      </c>
      <c r="M8557" t="s">
        <v>154</v>
      </c>
      <c r="N8557" t="s">
        <v>13</v>
      </c>
      <c r="O8557" t="s">
        <v>188</v>
      </c>
      <c r="P8557" s="1" t="s">
        <v>33</v>
      </c>
      <c r="Q8557">
        <v>155.4</v>
      </c>
    </row>
    <row r="8558" spans="11:17" x14ac:dyDescent="0.3">
      <c r="K8558">
        <v>2021</v>
      </c>
      <c r="L8558" t="s">
        <v>43</v>
      </c>
      <c r="M8558" t="s">
        <v>154</v>
      </c>
      <c r="N8558" t="s">
        <v>7</v>
      </c>
      <c r="O8558" t="s">
        <v>188</v>
      </c>
      <c r="P8558" s="1" t="s">
        <v>30</v>
      </c>
      <c r="Q8558">
        <v>198.8</v>
      </c>
    </row>
    <row r="8559" spans="11:17" x14ac:dyDescent="0.3">
      <c r="K8559">
        <v>2021</v>
      </c>
      <c r="L8559" t="s">
        <v>43</v>
      </c>
      <c r="M8559" t="s">
        <v>154</v>
      </c>
      <c r="N8559" t="s">
        <v>7</v>
      </c>
      <c r="O8559" t="s">
        <v>188</v>
      </c>
      <c r="P8559" s="1" t="s">
        <v>34</v>
      </c>
      <c r="Q8559">
        <v>190.6</v>
      </c>
    </row>
    <row r="8560" spans="11:17" x14ac:dyDescent="0.3">
      <c r="K8560">
        <v>2021</v>
      </c>
      <c r="L8560" t="s">
        <v>43</v>
      </c>
      <c r="M8560" t="s">
        <v>154</v>
      </c>
      <c r="N8560" t="s">
        <v>7</v>
      </c>
      <c r="O8560" t="s">
        <v>188</v>
      </c>
      <c r="P8560" s="1" t="s">
        <v>33</v>
      </c>
      <c r="Q8560">
        <v>176.6</v>
      </c>
    </row>
    <row r="8561" spans="11:17" x14ac:dyDescent="0.3">
      <c r="K8561">
        <v>2021</v>
      </c>
      <c r="L8561" t="s">
        <v>43</v>
      </c>
      <c r="M8561" t="s">
        <v>154</v>
      </c>
      <c r="N8561" t="s">
        <v>16</v>
      </c>
      <c r="O8561" t="s">
        <v>192</v>
      </c>
      <c r="P8561" s="1" t="s">
        <v>30</v>
      </c>
      <c r="Q8561">
        <v>191.2</v>
      </c>
    </row>
    <row r="8562" spans="11:17" x14ac:dyDescent="0.3">
      <c r="K8562">
        <v>2021</v>
      </c>
      <c r="L8562" t="s">
        <v>43</v>
      </c>
      <c r="M8562" t="s">
        <v>154</v>
      </c>
      <c r="N8562" t="s">
        <v>16</v>
      </c>
      <c r="O8562" t="s">
        <v>192</v>
      </c>
      <c r="P8562" s="1" t="s">
        <v>34</v>
      </c>
      <c r="Q8562">
        <v>192.7</v>
      </c>
    </row>
    <row r="8563" spans="11:17" x14ac:dyDescent="0.3">
      <c r="K8563">
        <v>2021</v>
      </c>
      <c r="L8563" t="s">
        <v>43</v>
      </c>
      <c r="M8563" t="s">
        <v>154</v>
      </c>
      <c r="N8563" t="s">
        <v>16</v>
      </c>
      <c r="O8563" t="s">
        <v>192</v>
      </c>
      <c r="P8563" s="1" t="s">
        <v>33</v>
      </c>
      <c r="Q8563">
        <v>197</v>
      </c>
    </row>
    <row r="8564" spans="11:17" x14ac:dyDescent="0.3">
      <c r="K8564">
        <v>2021</v>
      </c>
      <c r="L8564" t="s">
        <v>43</v>
      </c>
      <c r="M8564" t="s">
        <v>154</v>
      </c>
      <c r="N8564" t="s">
        <v>27</v>
      </c>
      <c r="O8564" t="s">
        <v>192</v>
      </c>
      <c r="P8564" s="1" t="s">
        <v>30</v>
      </c>
      <c r="Q8564">
        <v>161.1</v>
      </c>
    </row>
    <row r="8565" spans="11:17" x14ac:dyDescent="0.3">
      <c r="K8565">
        <v>2021</v>
      </c>
      <c r="L8565" t="s">
        <v>43</v>
      </c>
      <c r="M8565" t="s">
        <v>154</v>
      </c>
      <c r="N8565" t="s">
        <v>27</v>
      </c>
      <c r="O8565" t="s">
        <v>192</v>
      </c>
      <c r="P8565" s="1" t="s">
        <v>34</v>
      </c>
      <c r="Q8565">
        <v>160.80000000000001</v>
      </c>
    </row>
    <row r="8566" spans="11:17" x14ac:dyDescent="0.3">
      <c r="K8566">
        <v>2021</v>
      </c>
      <c r="L8566" t="s">
        <v>43</v>
      </c>
      <c r="M8566" t="s">
        <v>154</v>
      </c>
      <c r="N8566" t="s">
        <v>27</v>
      </c>
      <c r="O8566" t="s">
        <v>192</v>
      </c>
      <c r="P8566" s="1" t="s">
        <v>33</v>
      </c>
      <c r="Q8566">
        <v>160.30000000000001</v>
      </c>
    </row>
    <row r="8567" spans="11:17" x14ac:dyDescent="0.3">
      <c r="K8567">
        <v>2021</v>
      </c>
      <c r="L8567" t="s">
        <v>43</v>
      </c>
      <c r="M8567" t="s">
        <v>154</v>
      </c>
      <c r="N8567" t="s">
        <v>14</v>
      </c>
      <c r="O8567" t="s">
        <v>188</v>
      </c>
      <c r="P8567" s="1" t="s">
        <v>30</v>
      </c>
      <c r="Q8567">
        <v>173.6</v>
      </c>
    </row>
    <row r="8568" spans="11:17" x14ac:dyDescent="0.3">
      <c r="K8568">
        <v>2021</v>
      </c>
      <c r="L8568" t="s">
        <v>43</v>
      </c>
      <c r="M8568" t="s">
        <v>154</v>
      </c>
      <c r="N8568" t="s">
        <v>14</v>
      </c>
      <c r="O8568" t="s">
        <v>188</v>
      </c>
      <c r="P8568" s="1" t="s">
        <v>34</v>
      </c>
      <c r="Q8568">
        <v>174.7</v>
      </c>
    </row>
    <row r="8569" spans="11:17" x14ac:dyDescent="0.3">
      <c r="K8569">
        <v>2021</v>
      </c>
      <c r="L8569" t="s">
        <v>43</v>
      </c>
      <c r="M8569" t="s">
        <v>154</v>
      </c>
      <c r="N8569" t="s">
        <v>14</v>
      </c>
      <c r="O8569" t="s">
        <v>188</v>
      </c>
      <c r="P8569" s="1" t="s">
        <v>33</v>
      </c>
      <c r="Q8569">
        <v>175.9</v>
      </c>
    </row>
    <row r="8570" spans="11:17" x14ac:dyDescent="0.3">
      <c r="K8570">
        <v>2021</v>
      </c>
      <c r="L8570" t="s">
        <v>43</v>
      </c>
      <c r="M8570" t="s">
        <v>154</v>
      </c>
      <c r="N8570" t="s">
        <v>10</v>
      </c>
      <c r="O8570" t="s">
        <v>188</v>
      </c>
      <c r="P8570" s="1" t="s">
        <v>30</v>
      </c>
      <c r="Q8570">
        <v>165.2</v>
      </c>
    </row>
    <row r="8571" spans="11:17" x14ac:dyDescent="0.3">
      <c r="K8571">
        <v>2021</v>
      </c>
      <c r="L8571" t="s">
        <v>43</v>
      </c>
      <c r="M8571" t="s">
        <v>154</v>
      </c>
      <c r="N8571" t="s">
        <v>10</v>
      </c>
      <c r="O8571" t="s">
        <v>188</v>
      </c>
      <c r="P8571" s="1" t="s">
        <v>34</v>
      </c>
      <c r="Q8571">
        <v>165.2</v>
      </c>
    </row>
    <row r="8572" spans="11:17" x14ac:dyDescent="0.3">
      <c r="K8572">
        <v>2021</v>
      </c>
      <c r="L8572" t="s">
        <v>43</v>
      </c>
      <c r="M8572" t="s">
        <v>154</v>
      </c>
      <c r="N8572" t="s">
        <v>10</v>
      </c>
      <c r="O8572" t="s">
        <v>188</v>
      </c>
      <c r="P8572" s="1" t="s">
        <v>33</v>
      </c>
      <c r="Q8572">
        <v>165.3</v>
      </c>
    </row>
    <row r="8573" spans="11:17" x14ac:dyDescent="0.3">
      <c r="K8573">
        <v>2021</v>
      </c>
      <c r="L8573" t="s">
        <v>43</v>
      </c>
      <c r="M8573" t="s">
        <v>154</v>
      </c>
      <c r="N8573" t="s">
        <v>25</v>
      </c>
      <c r="O8573" t="s">
        <v>195</v>
      </c>
      <c r="P8573" s="1" t="s">
        <v>30</v>
      </c>
      <c r="Q8573">
        <v>163.19999999999999</v>
      </c>
    </row>
    <row r="8574" spans="11:17" x14ac:dyDescent="0.3">
      <c r="K8574">
        <v>2021</v>
      </c>
      <c r="L8574" t="s">
        <v>43</v>
      </c>
      <c r="M8574" t="s">
        <v>154</v>
      </c>
      <c r="N8574" t="s">
        <v>25</v>
      </c>
      <c r="O8574" t="s">
        <v>195</v>
      </c>
      <c r="P8574" s="1" t="s">
        <v>34</v>
      </c>
      <c r="Q8574">
        <v>158.6</v>
      </c>
    </row>
    <row r="8575" spans="11:17" x14ac:dyDescent="0.3">
      <c r="K8575">
        <v>2021</v>
      </c>
      <c r="L8575" t="s">
        <v>43</v>
      </c>
      <c r="M8575" t="s">
        <v>154</v>
      </c>
      <c r="N8575" t="s">
        <v>25</v>
      </c>
      <c r="O8575" t="s">
        <v>195</v>
      </c>
      <c r="P8575" s="1" t="s">
        <v>33</v>
      </c>
      <c r="Q8575">
        <v>155.1</v>
      </c>
    </row>
    <row r="8576" spans="11:17" x14ac:dyDescent="0.3">
      <c r="K8576">
        <v>2021</v>
      </c>
      <c r="L8576" t="s">
        <v>43</v>
      </c>
      <c r="M8576" t="s">
        <v>154</v>
      </c>
      <c r="N8576" t="s">
        <v>12</v>
      </c>
      <c r="O8576" t="s">
        <v>188</v>
      </c>
      <c r="P8576" s="1" t="s">
        <v>30</v>
      </c>
      <c r="Q8576">
        <v>170.6</v>
      </c>
    </row>
    <row r="8577" spans="11:17" x14ac:dyDescent="0.3">
      <c r="K8577">
        <v>2021</v>
      </c>
      <c r="L8577" t="s">
        <v>43</v>
      </c>
      <c r="M8577" t="s">
        <v>154</v>
      </c>
      <c r="N8577" t="s">
        <v>12</v>
      </c>
      <c r="O8577" t="s">
        <v>188</v>
      </c>
      <c r="P8577" s="1" t="s">
        <v>34</v>
      </c>
      <c r="Q8577">
        <v>169.3</v>
      </c>
    </row>
    <row r="8578" spans="11:17" x14ac:dyDescent="0.3">
      <c r="K8578">
        <v>2021</v>
      </c>
      <c r="L8578" t="s">
        <v>43</v>
      </c>
      <c r="M8578" t="s">
        <v>154</v>
      </c>
      <c r="N8578" t="s">
        <v>12</v>
      </c>
      <c r="O8578" t="s">
        <v>188</v>
      </c>
      <c r="P8578" s="1" t="s">
        <v>33</v>
      </c>
      <c r="Q8578">
        <v>166.8</v>
      </c>
    </row>
    <row r="8579" spans="11:17" x14ac:dyDescent="0.3">
      <c r="K8579">
        <v>2021</v>
      </c>
      <c r="L8579" t="s">
        <v>43</v>
      </c>
      <c r="M8579" t="s">
        <v>154</v>
      </c>
      <c r="N8579" t="s">
        <v>11</v>
      </c>
      <c r="O8579" t="s">
        <v>188</v>
      </c>
      <c r="P8579" s="1" t="s">
        <v>30</v>
      </c>
      <c r="Q8579">
        <v>121.6</v>
      </c>
    </row>
    <row r="8580" spans="11:17" x14ac:dyDescent="0.3">
      <c r="K8580">
        <v>2021</v>
      </c>
      <c r="L8580" t="s">
        <v>43</v>
      </c>
      <c r="M8580" t="s">
        <v>154</v>
      </c>
      <c r="N8580" t="s">
        <v>11</v>
      </c>
      <c r="O8580" t="s">
        <v>188</v>
      </c>
      <c r="P8580" s="1" t="s">
        <v>34</v>
      </c>
      <c r="Q8580">
        <v>121.9</v>
      </c>
    </row>
    <row r="8581" spans="11:17" x14ac:dyDescent="0.3">
      <c r="K8581">
        <v>2021</v>
      </c>
      <c r="L8581" t="s">
        <v>43</v>
      </c>
      <c r="M8581" t="s">
        <v>154</v>
      </c>
      <c r="N8581" t="s">
        <v>11</v>
      </c>
      <c r="O8581" t="s">
        <v>188</v>
      </c>
      <c r="P8581" s="1" t="s">
        <v>33</v>
      </c>
      <c r="Q8581">
        <v>122.5</v>
      </c>
    </row>
    <row r="8582" spans="11:17" x14ac:dyDescent="0.3">
      <c r="K8582">
        <v>2021</v>
      </c>
      <c r="L8582" t="s">
        <v>43</v>
      </c>
      <c r="M8582" t="s">
        <v>154</v>
      </c>
      <c r="N8582" t="s">
        <v>24</v>
      </c>
      <c r="O8582" t="s">
        <v>191</v>
      </c>
      <c r="P8582" s="1" t="s">
        <v>30</v>
      </c>
      <c r="Q8582">
        <v>159.5</v>
      </c>
    </row>
    <row r="8583" spans="11:17" x14ac:dyDescent="0.3">
      <c r="K8583">
        <v>2021</v>
      </c>
      <c r="L8583" t="s">
        <v>43</v>
      </c>
      <c r="M8583" t="s">
        <v>154</v>
      </c>
      <c r="N8583" t="s">
        <v>24</v>
      </c>
      <c r="O8583" t="s">
        <v>191</v>
      </c>
      <c r="P8583" s="1" t="s">
        <v>34</v>
      </c>
      <c r="Q8583">
        <v>155.69999999999999</v>
      </c>
    </row>
    <row r="8584" spans="11:17" x14ac:dyDescent="0.3">
      <c r="K8584">
        <v>2021</v>
      </c>
      <c r="L8584" t="s">
        <v>43</v>
      </c>
      <c r="M8584" t="s">
        <v>154</v>
      </c>
      <c r="N8584" t="s">
        <v>24</v>
      </c>
      <c r="O8584" t="s">
        <v>191</v>
      </c>
      <c r="P8584" s="1" t="s">
        <v>33</v>
      </c>
      <c r="Q8584">
        <v>152.19999999999999</v>
      </c>
    </row>
    <row r="8585" spans="11:17" x14ac:dyDescent="0.3">
      <c r="K8585">
        <v>2021</v>
      </c>
      <c r="L8585" t="s">
        <v>43</v>
      </c>
      <c r="M8585" t="s">
        <v>154</v>
      </c>
      <c r="N8585" t="s">
        <v>9</v>
      </c>
      <c r="O8585" t="s">
        <v>188</v>
      </c>
      <c r="P8585" s="1" t="s">
        <v>30</v>
      </c>
      <c r="Q8585">
        <v>170.4</v>
      </c>
    </row>
    <row r="8586" spans="11:17" x14ac:dyDescent="0.3">
      <c r="K8586">
        <v>2021</v>
      </c>
      <c r="L8586" t="s">
        <v>43</v>
      </c>
      <c r="M8586" t="s">
        <v>154</v>
      </c>
      <c r="N8586" t="s">
        <v>9</v>
      </c>
      <c r="O8586" t="s">
        <v>188</v>
      </c>
      <c r="P8586" s="1" t="s">
        <v>34</v>
      </c>
      <c r="Q8586">
        <v>185.3</v>
      </c>
    </row>
    <row r="8587" spans="11:17" x14ac:dyDescent="0.3">
      <c r="K8587">
        <v>2021</v>
      </c>
      <c r="L8587" t="s">
        <v>43</v>
      </c>
      <c r="M8587" t="s">
        <v>154</v>
      </c>
      <c r="N8587" t="s">
        <v>9</v>
      </c>
      <c r="O8587" t="s">
        <v>188</v>
      </c>
      <c r="P8587" s="1" t="s">
        <v>33</v>
      </c>
      <c r="Q8587">
        <v>214.4</v>
      </c>
    </row>
    <row r="8588" spans="11:17" x14ac:dyDescent="0.3">
      <c r="K8588">
        <v>2021</v>
      </c>
      <c r="L8588" t="s">
        <v>42</v>
      </c>
      <c r="M8588" t="s">
        <v>155</v>
      </c>
      <c r="N8588" t="s">
        <v>3</v>
      </c>
      <c r="O8588" t="s">
        <v>188</v>
      </c>
      <c r="P8588" s="1" t="s">
        <v>30</v>
      </c>
      <c r="Q8588">
        <v>145.4</v>
      </c>
    </row>
    <row r="8589" spans="11:17" x14ac:dyDescent="0.3">
      <c r="K8589">
        <v>2021</v>
      </c>
      <c r="L8589" t="s">
        <v>42</v>
      </c>
      <c r="M8589" t="s">
        <v>155</v>
      </c>
      <c r="N8589" t="s">
        <v>3</v>
      </c>
      <c r="O8589" t="s">
        <v>188</v>
      </c>
      <c r="P8589" s="1" t="s">
        <v>34</v>
      </c>
      <c r="Q8589">
        <v>146.6</v>
      </c>
    </row>
    <row r="8590" spans="11:17" x14ac:dyDescent="0.3">
      <c r="K8590">
        <v>2021</v>
      </c>
      <c r="L8590" t="s">
        <v>42</v>
      </c>
      <c r="M8590" t="s">
        <v>155</v>
      </c>
      <c r="N8590" t="s">
        <v>3</v>
      </c>
      <c r="O8590" t="s">
        <v>188</v>
      </c>
      <c r="P8590" s="1" t="s">
        <v>33</v>
      </c>
      <c r="Q8590">
        <v>149.30000000000001</v>
      </c>
    </row>
    <row r="8591" spans="11:17" x14ac:dyDescent="0.3">
      <c r="K8591">
        <v>2021</v>
      </c>
      <c r="L8591" t="s">
        <v>42</v>
      </c>
      <c r="M8591" t="s">
        <v>155</v>
      </c>
      <c r="N8591" t="s">
        <v>17</v>
      </c>
      <c r="O8591" t="s">
        <v>189</v>
      </c>
      <c r="P8591" s="1" t="s">
        <v>30</v>
      </c>
      <c r="Q8591">
        <v>167.7</v>
      </c>
    </row>
    <row r="8592" spans="11:17" x14ac:dyDescent="0.3">
      <c r="K8592">
        <v>2021</v>
      </c>
      <c r="L8592" t="s">
        <v>42</v>
      </c>
      <c r="M8592" t="s">
        <v>155</v>
      </c>
      <c r="N8592" t="s">
        <v>17</v>
      </c>
      <c r="O8592" t="s">
        <v>189</v>
      </c>
      <c r="P8592" s="1" t="s">
        <v>34</v>
      </c>
      <c r="Q8592">
        <v>164.6</v>
      </c>
    </row>
    <row r="8593" spans="11:17" x14ac:dyDescent="0.3">
      <c r="K8593">
        <v>2021</v>
      </c>
      <c r="L8593" t="s">
        <v>42</v>
      </c>
      <c r="M8593" t="s">
        <v>155</v>
      </c>
      <c r="N8593" t="s">
        <v>17</v>
      </c>
      <c r="O8593" t="s">
        <v>189</v>
      </c>
      <c r="P8593" s="1" t="s">
        <v>33</v>
      </c>
      <c r="Q8593">
        <v>159.80000000000001</v>
      </c>
    </row>
    <row r="8594" spans="11:17" x14ac:dyDescent="0.3">
      <c r="K8594">
        <v>2021</v>
      </c>
      <c r="L8594" t="s">
        <v>42</v>
      </c>
      <c r="M8594" t="s">
        <v>155</v>
      </c>
      <c r="N8594" t="s">
        <v>19</v>
      </c>
      <c r="O8594" t="s">
        <v>189</v>
      </c>
      <c r="P8594" s="1" t="s">
        <v>30</v>
      </c>
      <c r="Q8594">
        <v>167.1</v>
      </c>
    </row>
    <row r="8595" spans="11:17" x14ac:dyDescent="0.3">
      <c r="K8595">
        <v>2021</v>
      </c>
      <c r="L8595" t="s">
        <v>42</v>
      </c>
      <c r="M8595" t="s">
        <v>155</v>
      </c>
      <c r="N8595" t="s">
        <v>19</v>
      </c>
      <c r="O8595" t="s">
        <v>189</v>
      </c>
      <c r="P8595" s="1" t="s">
        <v>34</v>
      </c>
      <c r="Q8595">
        <v>163.30000000000001</v>
      </c>
    </row>
    <row r="8596" spans="11:17" x14ac:dyDescent="0.3">
      <c r="K8596">
        <v>2021</v>
      </c>
      <c r="L8596" t="s">
        <v>42</v>
      </c>
      <c r="M8596" t="s">
        <v>155</v>
      </c>
      <c r="N8596" t="s">
        <v>19</v>
      </c>
      <c r="O8596" t="s">
        <v>189</v>
      </c>
      <c r="P8596" s="1" t="s">
        <v>33</v>
      </c>
      <c r="Q8596">
        <v>157.4</v>
      </c>
    </row>
    <row r="8597" spans="11:17" x14ac:dyDescent="0.3">
      <c r="K8597">
        <v>2021</v>
      </c>
      <c r="L8597" t="s">
        <v>42</v>
      </c>
      <c r="M8597" t="s">
        <v>155</v>
      </c>
      <c r="N8597" t="s">
        <v>26</v>
      </c>
      <c r="O8597" t="s">
        <v>26</v>
      </c>
      <c r="P8597" s="1" t="s">
        <v>30</v>
      </c>
      <c r="Q8597">
        <v>168.5</v>
      </c>
    </row>
    <row r="8598" spans="11:17" x14ac:dyDescent="0.3">
      <c r="K8598">
        <v>2021</v>
      </c>
      <c r="L8598" t="s">
        <v>42</v>
      </c>
      <c r="M8598" t="s">
        <v>155</v>
      </c>
      <c r="N8598" t="s">
        <v>26</v>
      </c>
      <c r="O8598" t="s">
        <v>26</v>
      </c>
      <c r="P8598" s="1" t="s">
        <v>34</v>
      </c>
      <c r="Q8598">
        <v>163.69999999999999</v>
      </c>
    </row>
    <row r="8599" spans="11:17" x14ac:dyDescent="0.3">
      <c r="K8599">
        <v>2021</v>
      </c>
      <c r="L8599" t="s">
        <v>42</v>
      </c>
      <c r="M8599" t="s">
        <v>155</v>
      </c>
      <c r="N8599" t="s">
        <v>26</v>
      </c>
      <c r="O8599" t="s">
        <v>26</v>
      </c>
      <c r="P8599" s="1" t="s">
        <v>33</v>
      </c>
      <c r="Q8599">
        <v>160.30000000000001</v>
      </c>
    </row>
    <row r="8600" spans="11:17" x14ac:dyDescent="0.3">
      <c r="K8600">
        <v>2021</v>
      </c>
      <c r="L8600" t="s">
        <v>42</v>
      </c>
      <c r="M8600" t="s">
        <v>155</v>
      </c>
      <c r="N8600" t="s">
        <v>5</v>
      </c>
      <c r="O8600" t="s">
        <v>188</v>
      </c>
      <c r="P8600" s="1" t="s">
        <v>30</v>
      </c>
      <c r="Q8600">
        <v>172</v>
      </c>
    </row>
    <row r="8601" spans="11:17" x14ac:dyDescent="0.3">
      <c r="K8601">
        <v>2021</v>
      </c>
      <c r="L8601" t="s">
        <v>42</v>
      </c>
      <c r="M8601" t="s">
        <v>155</v>
      </c>
      <c r="N8601" t="s">
        <v>5</v>
      </c>
      <c r="O8601" t="s">
        <v>188</v>
      </c>
      <c r="P8601" s="1" t="s">
        <v>34</v>
      </c>
      <c r="Q8601">
        <v>172.8</v>
      </c>
    </row>
    <row r="8602" spans="11:17" x14ac:dyDescent="0.3">
      <c r="K8602">
        <v>2021</v>
      </c>
      <c r="L8602" t="s">
        <v>42</v>
      </c>
      <c r="M8602" t="s">
        <v>155</v>
      </c>
      <c r="N8602" t="s">
        <v>5</v>
      </c>
      <c r="O8602" t="s">
        <v>188</v>
      </c>
      <c r="P8602" s="1" t="s">
        <v>33</v>
      </c>
      <c r="Q8602">
        <v>174.1</v>
      </c>
    </row>
    <row r="8603" spans="11:17" x14ac:dyDescent="0.3">
      <c r="K8603">
        <v>2021</v>
      </c>
      <c r="L8603" t="s">
        <v>42</v>
      </c>
      <c r="M8603" t="s">
        <v>155</v>
      </c>
      <c r="N8603" t="s">
        <v>15</v>
      </c>
      <c r="O8603" t="s">
        <v>188</v>
      </c>
      <c r="P8603" s="1" t="s">
        <v>30</v>
      </c>
      <c r="Q8603">
        <v>162.1</v>
      </c>
    </row>
    <row r="8604" spans="11:17" x14ac:dyDescent="0.3">
      <c r="K8604">
        <v>2021</v>
      </c>
      <c r="L8604" t="s">
        <v>42</v>
      </c>
      <c r="M8604" t="s">
        <v>155</v>
      </c>
      <c r="N8604" t="s">
        <v>15</v>
      </c>
      <c r="O8604" t="s">
        <v>188</v>
      </c>
      <c r="P8604" s="1" t="s">
        <v>34</v>
      </c>
      <c r="Q8604">
        <v>164</v>
      </c>
    </row>
    <row r="8605" spans="11:17" x14ac:dyDescent="0.3">
      <c r="K8605">
        <v>2021</v>
      </c>
      <c r="L8605" t="s">
        <v>42</v>
      </c>
      <c r="M8605" t="s">
        <v>155</v>
      </c>
      <c r="N8605" t="s">
        <v>15</v>
      </c>
      <c r="O8605" t="s">
        <v>188</v>
      </c>
      <c r="P8605" s="1" t="s">
        <v>33</v>
      </c>
      <c r="Q8605">
        <v>167.3</v>
      </c>
    </row>
    <row r="8606" spans="11:17" x14ac:dyDescent="0.3">
      <c r="K8606">
        <v>2021</v>
      </c>
      <c r="L8606" t="s">
        <v>42</v>
      </c>
      <c r="M8606" t="s">
        <v>155</v>
      </c>
      <c r="N8606" t="s">
        <v>18</v>
      </c>
      <c r="O8606" t="s">
        <v>189</v>
      </c>
      <c r="P8606" s="1" t="s">
        <v>30</v>
      </c>
      <c r="Q8606">
        <v>163.6</v>
      </c>
    </row>
    <row r="8607" spans="11:17" x14ac:dyDescent="0.3">
      <c r="K8607">
        <v>2021</v>
      </c>
      <c r="L8607" t="s">
        <v>42</v>
      </c>
      <c r="M8607" t="s">
        <v>155</v>
      </c>
      <c r="N8607" t="s">
        <v>18</v>
      </c>
      <c r="O8607" t="s">
        <v>189</v>
      </c>
      <c r="P8607" s="1" t="s">
        <v>34</v>
      </c>
      <c r="Q8607">
        <v>155.30000000000001</v>
      </c>
    </row>
    <row r="8608" spans="11:17" x14ac:dyDescent="0.3">
      <c r="K8608">
        <v>2021</v>
      </c>
      <c r="L8608" t="s">
        <v>42</v>
      </c>
      <c r="M8608" t="s">
        <v>155</v>
      </c>
      <c r="N8608" t="s">
        <v>18</v>
      </c>
      <c r="O8608" t="s">
        <v>189</v>
      </c>
      <c r="P8608" s="1" t="s">
        <v>33</v>
      </c>
      <c r="Q8608">
        <v>143.6</v>
      </c>
    </row>
    <row r="8609" spans="11:17" x14ac:dyDescent="0.3">
      <c r="K8609">
        <v>2021</v>
      </c>
      <c r="L8609" t="s">
        <v>42</v>
      </c>
      <c r="M8609" t="s">
        <v>155</v>
      </c>
      <c r="N8609" t="s">
        <v>8</v>
      </c>
      <c r="O8609" t="s">
        <v>188</v>
      </c>
      <c r="P8609" s="1" t="s">
        <v>30</v>
      </c>
      <c r="Q8609">
        <v>152.69999999999999</v>
      </c>
    </row>
    <row r="8610" spans="11:17" x14ac:dyDescent="0.3">
      <c r="K8610">
        <v>2021</v>
      </c>
      <c r="L8610" t="s">
        <v>42</v>
      </c>
      <c r="M8610" t="s">
        <v>155</v>
      </c>
      <c r="N8610" t="s">
        <v>8</v>
      </c>
      <c r="O8610" t="s">
        <v>188</v>
      </c>
      <c r="P8610" s="1" t="s">
        <v>34</v>
      </c>
      <c r="Q8610">
        <v>156.69999999999999</v>
      </c>
    </row>
    <row r="8611" spans="11:17" x14ac:dyDescent="0.3">
      <c r="K8611">
        <v>2021</v>
      </c>
      <c r="L8611" t="s">
        <v>42</v>
      </c>
      <c r="M8611" t="s">
        <v>155</v>
      </c>
      <c r="N8611" t="s">
        <v>8</v>
      </c>
      <c r="O8611" t="s">
        <v>188</v>
      </c>
      <c r="P8611" s="1" t="s">
        <v>33</v>
      </c>
      <c r="Q8611">
        <v>161.19999999999999</v>
      </c>
    </row>
    <row r="8612" spans="11:17" x14ac:dyDescent="0.3">
      <c r="K8612">
        <v>2021</v>
      </c>
      <c r="L8612" t="s">
        <v>42</v>
      </c>
      <c r="M8612" t="s">
        <v>155</v>
      </c>
      <c r="N8612" t="s">
        <v>21</v>
      </c>
      <c r="O8612" t="s">
        <v>190</v>
      </c>
      <c r="P8612" s="1" t="s">
        <v>30</v>
      </c>
      <c r="Q8612">
        <v>163.69999999999999</v>
      </c>
    </row>
    <row r="8613" spans="11:17" x14ac:dyDescent="0.3">
      <c r="K8613">
        <v>2021</v>
      </c>
      <c r="L8613" t="s">
        <v>42</v>
      </c>
      <c r="M8613" t="s">
        <v>155</v>
      </c>
      <c r="N8613" t="s">
        <v>21</v>
      </c>
      <c r="O8613" t="s">
        <v>190</v>
      </c>
      <c r="P8613" s="1" t="s">
        <v>34</v>
      </c>
      <c r="Q8613">
        <v>162.6</v>
      </c>
    </row>
    <row r="8614" spans="11:17" x14ac:dyDescent="0.3">
      <c r="K8614">
        <v>2021</v>
      </c>
      <c r="L8614" t="s">
        <v>42</v>
      </c>
      <c r="M8614" t="s">
        <v>155</v>
      </c>
      <c r="N8614" t="s">
        <v>21</v>
      </c>
      <c r="O8614" t="s">
        <v>190</v>
      </c>
      <c r="P8614" s="1" t="s">
        <v>33</v>
      </c>
      <c r="Q8614">
        <v>160.80000000000001</v>
      </c>
    </row>
    <row r="8615" spans="11:17" x14ac:dyDescent="0.3">
      <c r="K8615">
        <v>2021</v>
      </c>
      <c r="L8615" t="s">
        <v>42</v>
      </c>
      <c r="M8615" t="s">
        <v>155</v>
      </c>
      <c r="N8615" t="s">
        <v>29</v>
      </c>
      <c r="O8615" t="s">
        <v>206</v>
      </c>
      <c r="P8615" s="1" t="s">
        <v>30</v>
      </c>
      <c r="Q8615">
        <v>164</v>
      </c>
    </row>
    <row r="8616" spans="11:17" x14ac:dyDescent="0.3">
      <c r="K8616">
        <v>2021</v>
      </c>
      <c r="L8616" t="s">
        <v>42</v>
      </c>
      <c r="M8616" t="s">
        <v>155</v>
      </c>
      <c r="N8616" t="s">
        <v>29</v>
      </c>
      <c r="O8616" t="s">
        <v>206</v>
      </c>
      <c r="P8616" s="1" t="s">
        <v>34</v>
      </c>
      <c r="Q8616">
        <v>163.19999999999999</v>
      </c>
    </row>
    <row r="8617" spans="11:17" x14ac:dyDescent="0.3">
      <c r="K8617">
        <v>2021</v>
      </c>
      <c r="L8617" t="s">
        <v>42</v>
      </c>
      <c r="M8617" t="s">
        <v>155</v>
      </c>
      <c r="N8617" t="s">
        <v>29</v>
      </c>
      <c r="O8617" t="s">
        <v>206</v>
      </c>
      <c r="P8617" s="1" t="s">
        <v>33</v>
      </c>
      <c r="Q8617">
        <v>162.30000000000001</v>
      </c>
    </row>
    <row r="8618" spans="11:17" x14ac:dyDescent="0.3">
      <c r="K8618">
        <v>2021</v>
      </c>
      <c r="L8618" t="s">
        <v>42</v>
      </c>
      <c r="M8618" t="s">
        <v>155</v>
      </c>
      <c r="N8618" t="s">
        <v>23</v>
      </c>
      <c r="O8618" t="s">
        <v>23</v>
      </c>
      <c r="P8618" s="1" t="s">
        <v>30</v>
      </c>
      <c r="Q8618">
        <v>171.9</v>
      </c>
    </row>
    <row r="8619" spans="11:17" x14ac:dyDescent="0.3">
      <c r="K8619">
        <v>2021</v>
      </c>
      <c r="L8619" t="s">
        <v>42</v>
      </c>
      <c r="M8619" t="s">
        <v>155</v>
      </c>
      <c r="N8619" t="s">
        <v>23</v>
      </c>
      <c r="O8619" t="s">
        <v>23</v>
      </c>
      <c r="P8619" s="1" t="s">
        <v>34</v>
      </c>
      <c r="Q8619">
        <v>168.4</v>
      </c>
    </row>
    <row r="8620" spans="11:17" x14ac:dyDescent="0.3">
      <c r="K8620">
        <v>2021</v>
      </c>
      <c r="L8620" t="s">
        <v>42</v>
      </c>
      <c r="M8620" t="s">
        <v>155</v>
      </c>
      <c r="N8620" t="s">
        <v>23</v>
      </c>
      <c r="O8620" t="s">
        <v>23</v>
      </c>
      <c r="P8620" s="1" t="s">
        <v>33</v>
      </c>
      <c r="Q8620">
        <v>162.80000000000001</v>
      </c>
    </row>
    <row r="8621" spans="11:17" x14ac:dyDescent="0.3">
      <c r="K8621">
        <v>2021</v>
      </c>
      <c r="L8621" t="s">
        <v>42</v>
      </c>
      <c r="M8621" t="s">
        <v>155</v>
      </c>
      <c r="N8621" t="s">
        <v>22</v>
      </c>
      <c r="O8621" t="s">
        <v>20</v>
      </c>
      <c r="P8621" s="1" t="s">
        <v>30</v>
      </c>
      <c r="Q8621">
        <v>161.30000000000001</v>
      </c>
    </row>
    <row r="8622" spans="11:17" x14ac:dyDescent="0.3">
      <c r="K8622">
        <v>2021</v>
      </c>
      <c r="L8622" t="s">
        <v>42</v>
      </c>
      <c r="M8622" t="s">
        <v>155</v>
      </c>
      <c r="N8622" t="s">
        <v>22</v>
      </c>
      <c r="O8622" t="s">
        <v>20</v>
      </c>
      <c r="P8622" s="1" t="s">
        <v>34</v>
      </c>
      <c r="Q8622">
        <v>157.5</v>
      </c>
    </row>
    <row r="8623" spans="11:17" x14ac:dyDescent="0.3">
      <c r="K8623">
        <v>2021</v>
      </c>
      <c r="L8623" t="s">
        <v>42</v>
      </c>
      <c r="M8623" t="s">
        <v>155</v>
      </c>
      <c r="N8623" t="s">
        <v>22</v>
      </c>
      <c r="O8623" t="s">
        <v>20</v>
      </c>
      <c r="P8623" s="1" t="s">
        <v>33</v>
      </c>
      <c r="Q8623">
        <v>153.30000000000001</v>
      </c>
    </row>
    <row r="8624" spans="11:17" x14ac:dyDescent="0.3">
      <c r="K8624">
        <v>2021</v>
      </c>
      <c r="L8624" t="s">
        <v>42</v>
      </c>
      <c r="M8624" t="s">
        <v>155</v>
      </c>
      <c r="N8624" t="s">
        <v>20</v>
      </c>
      <c r="O8624" t="s">
        <v>20</v>
      </c>
      <c r="P8624" s="1" t="s">
        <v>30</v>
      </c>
      <c r="Q8624">
        <v>0</v>
      </c>
    </row>
    <row r="8625" spans="11:17" x14ac:dyDescent="0.3">
      <c r="K8625">
        <v>2021</v>
      </c>
      <c r="L8625" t="s">
        <v>42</v>
      </c>
      <c r="M8625" t="s">
        <v>155</v>
      </c>
      <c r="N8625" t="s">
        <v>20</v>
      </c>
      <c r="O8625" t="s">
        <v>20</v>
      </c>
      <c r="P8625" s="1" t="s">
        <v>34</v>
      </c>
      <c r="Q8625">
        <v>162.1</v>
      </c>
    </row>
    <row r="8626" spans="11:17" x14ac:dyDescent="0.3">
      <c r="K8626">
        <v>2021</v>
      </c>
      <c r="L8626" t="s">
        <v>42</v>
      </c>
      <c r="M8626" t="s">
        <v>155</v>
      </c>
      <c r="N8626" t="s">
        <v>20</v>
      </c>
      <c r="O8626" t="s">
        <v>20</v>
      </c>
      <c r="P8626" s="1" t="s">
        <v>33</v>
      </c>
      <c r="Q8626">
        <v>162.1</v>
      </c>
    </row>
    <row r="8627" spans="11:17" x14ac:dyDescent="0.3">
      <c r="K8627">
        <v>2021</v>
      </c>
      <c r="L8627" t="s">
        <v>42</v>
      </c>
      <c r="M8627" t="s">
        <v>155</v>
      </c>
      <c r="N8627" t="s">
        <v>4</v>
      </c>
      <c r="O8627" t="s">
        <v>188</v>
      </c>
      <c r="P8627" s="1" t="s">
        <v>30</v>
      </c>
      <c r="Q8627">
        <v>202.1</v>
      </c>
    </row>
    <row r="8628" spans="11:17" x14ac:dyDescent="0.3">
      <c r="K8628">
        <v>2021</v>
      </c>
      <c r="L8628" t="s">
        <v>42</v>
      </c>
      <c r="M8628" t="s">
        <v>155</v>
      </c>
      <c r="N8628" t="s">
        <v>4</v>
      </c>
      <c r="O8628" t="s">
        <v>188</v>
      </c>
      <c r="P8628" s="1" t="s">
        <v>34</v>
      </c>
      <c r="Q8628">
        <v>204</v>
      </c>
    </row>
    <row r="8629" spans="11:17" x14ac:dyDescent="0.3">
      <c r="K8629">
        <v>2021</v>
      </c>
      <c r="L8629" t="s">
        <v>42</v>
      </c>
      <c r="M8629" t="s">
        <v>155</v>
      </c>
      <c r="N8629" t="s">
        <v>4</v>
      </c>
      <c r="O8629" t="s">
        <v>188</v>
      </c>
      <c r="P8629" s="1" t="s">
        <v>33</v>
      </c>
      <c r="Q8629">
        <v>207.4</v>
      </c>
    </row>
    <row r="8630" spans="11:17" x14ac:dyDescent="0.3">
      <c r="K8630">
        <v>2021</v>
      </c>
      <c r="L8630" t="s">
        <v>42</v>
      </c>
      <c r="M8630" t="s">
        <v>155</v>
      </c>
      <c r="N8630" t="s">
        <v>6</v>
      </c>
      <c r="O8630" t="s">
        <v>188</v>
      </c>
      <c r="P8630" s="1" t="s">
        <v>30</v>
      </c>
      <c r="Q8630">
        <v>158</v>
      </c>
    </row>
    <row r="8631" spans="11:17" x14ac:dyDescent="0.3">
      <c r="K8631">
        <v>2021</v>
      </c>
      <c r="L8631" t="s">
        <v>42</v>
      </c>
      <c r="M8631" t="s">
        <v>155</v>
      </c>
      <c r="N8631" t="s">
        <v>6</v>
      </c>
      <c r="O8631" t="s">
        <v>188</v>
      </c>
      <c r="P8631" s="1" t="s">
        <v>34</v>
      </c>
      <c r="Q8631">
        <v>158.4</v>
      </c>
    </row>
    <row r="8632" spans="11:17" x14ac:dyDescent="0.3">
      <c r="K8632">
        <v>2021</v>
      </c>
      <c r="L8632" t="s">
        <v>42</v>
      </c>
      <c r="M8632" t="s">
        <v>155</v>
      </c>
      <c r="N8632" t="s">
        <v>6</v>
      </c>
      <c r="O8632" t="s">
        <v>188</v>
      </c>
      <c r="P8632" s="1" t="s">
        <v>33</v>
      </c>
      <c r="Q8632">
        <v>159.1</v>
      </c>
    </row>
    <row r="8633" spans="11:17" x14ac:dyDescent="0.3">
      <c r="K8633">
        <v>2021</v>
      </c>
      <c r="L8633" t="s">
        <v>42</v>
      </c>
      <c r="M8633" t="s">
        <v>155</v>
      </c>
      <c r="N8633" t="s">
        <v>28</v>
      </c>
      <c r="O8633" t="s">
        <v>192</v>
      </c>
      <c r="P8633" s="1" t="s">
        <v>30</v>
      </c>
      <c r="Q8633">
        <v>163.80000000000001</v>
      </c>
    </row>
    <row r="8634" spans="11:17" x14ac:dyDescent="0.3">
      <c r="K8634">
        <v>2021</v>
      </c>
      <c r="L8634" t="s">
        <v>42</v>
      </c>
      <c r="M8634" t="s">
        <v>155</v>
      </c>
      <c r="N8634" t="s">
        <v>28</v>
      </c>
      <c r="O8634" t="s">
        <v>192</v>
      </c>
      <c r="P8634" s="1" t="s">
        <v>34</v>
      </c>
      <c r="Q8634">
        <v>160</v>
      </c>
    </row>
    <row r="8635" spans="11:17" x14ac:dyDescent="0.3">
      <c r="K8635">
        <v>2021</v>
      </c>
      <c r="L8635" t="s">
        <v>42</v>
      </c>
      <c r="M8635" t="s">
        <v>155</v>
      </c>
      <c r="N8635" t="s">
        <v>28</v>
      </c>
      <c r="O8635" t="s">
        <v>192</v>
      </c>
      <c r="P8635" s="1" t="s">
        <v>33</v>
      </c>
      <c r="Q8635">
        <v>156</v>
      </c>
    </row>
    <row r="8636" spans="11:17" x14ac:dyDescent="0.3">
      <c r="K8636">
        <v>2021</v>
      </c>
      <c r="L8636" t="s">
        <v>42</v>
      </c>
      <c r="M8636" t="s">
        <v>155</v>
      </c>
      <c r="N8636" t="s">
        <v>13</v>
      </c>
      <c r="O8636" t="s">
        <v>188</v>
      </c>
      <c r="P8636" s="1" t="s">
        <v>30</v>
      </c>
      <c r="Q8636">
        <v>168.3</v>
      </c>
    </row>
    <row r="8637" spans="11:17" x14ac:dyDescent="0.3">
      <c r="K8637">
        <v>2021</v>
      </c>
      <c r="L8637" t="s">
        <v>42</v>
      </c>
      <c r="M8637" t="s">
        <v>155</v>
      </c>
      <c r="N8637" t="s">
        <v>13</v>
      </c>
      <c r="O8637" t="s">
        <v>188</v>
      </c>
      <c r="P8637" s="1" t="s">
        <v>34</v>
      </c>
      <c r="Q8637">
        <v>162.69999999999999</v>
      </c>
    </row>
    <row r="8638" spans="11:17" x14ac:dyDescent="0.3">
      <c r="K8638">
        <v>2021</v>
      </c>
      <c r="L8638" t="s">
        <v>42</v>
      </c>
      <c r="M8638" t="s">
        <v>155</v>
      </c>
      <c r="N8638" t="s">
        <v>13</v>
      </c>
      <c r="O8638" t="s">
        <v>188</v>
      </c>
      <c r="P8638" s="1" t="s">
        <v>33</v>
      </c>
      <c r="Q8638">
        <v>154.80000000000001</v>
      </c>
    </row>
    <row r="8639" spans="11:17" x14ac:dyDescent="0.3">
      <c r="K8639">
        <v>2021</v>
      </c>
      <c r="L8639" t="s">
        <v>42</v>
      </c>
      <c r="M8639" t="s">
        <v>155</v>
      </c>
      <c r="N8639" t="s">
        <v>7</v>
      </c>
      <c r="O8639" t="s">
        <v>188</v>
      </c>
      <c r="P8639" s="1" t="s">
        <v>30</v>
      </c>
      <c r="Q8639">
        <v>195.5</v>
      </c>
    </row>
    <row r="8640" spans="11:17" x14ac:dyDescent="0.3">
      <c r="K8640">
        <v>2021</v>
      </c>
      <c r="L8640" t="s">
        <v>42</v>
      </c>
      <c r="M8640" t="s">
        <v>155</v>
      </c>
      <c r="N8640" t="s">
        <v>7</v>
      </c>
      <c r="O8640" t="s">
        <v>188</v>
      </c>
      <c r="P8640" s="1" t="s">
        <v>34</v>
      </c>
      <c r="Q8640">
        <v>188</v>
      </c>
    </row>
    <row r="8641" spans="11:17" x14ac:dyDescent="0.3">
      <c r="K8641">
        <v>2021</v>
      </c>
      <c r="L8641" t="s">
        <v>42</v>
      </c>
      <c r="M8641" t="s">
        <v>155</v>
      </c>
      <c r="N8641" t="s">
        <v>7</v>
      </c>
      <c r="O8641" t="s">
        <v>188</v>
      </c>
      <c r="P8641" s="1" t="s">
        <v>33</v>
      </c>
      <c r="Q8641">
        <v>175</v>
      </c>
    </row>
    <row r="8642" spans="11:17" x14ac:dyDescent="0.3">
      <c r="K8642">
        <v>2021</v>
      </c>
      <c r="L8642" t="s">
        <v>42</v>
      </c>
      <c r="M8642" t="s">
        <v>155</v>
      </c>
      <c r="N8642" t="s">
        <v>16</v>
      </c>
      <c r="O8642" t="s">
        <v>192</v>
      </c>
      <c r="P8642" s="1" t="s">
        <v>30</v>
      </c>
      <c r="Q8642">
        <v>190.5</v>
      </c>
    </row>
    <row r="8643" spans="11:17" x14ac:dyDescent="0.3">
      <c r="K8643">
        <v>2021</v>
      </c>
      <c r="L8643" t="s">
        <v>42</v>
      </c>
      <c r="M8643" t="s">
        <v>155</v>
      </c>
      <c r="N8643" t="s">
        <v>16</v>
      </c>
      <c r="O8643" t="s">
        <v>192</v>
      </c>
      <c r="P8643" s="1" t="s">
        <v>34</v>
      </c>
      <c r="Q8643">
        <v>192.1</v>
      </c>
    </row>
    <row r="8644" spans="11:17" x14ac:dyDescent="0.3">
      <c r="K8644">
        <v>2021</v>
      </c>
      <c r="L8644" t="s">
        <v>42</v>
      </c>
      <c r="M8644" t="s">
        <v>155</v>
      </c>
      <c r="N8644" t="s">
        <v>16</v>
      </c>
      <c r="O8644" t="s">
        <v>192</v>
      </c>
      <c r="P8644" s="1" t="s">
        <v>33</v>
      </c>
      <c r="Q8644">
        <v>196.5</v>
      </c>
    </row>
    <row r="8645" spans="11:17" x14ac:dyDescent="0.3">
      <c r="K8645">
        <v>2021</v>
      </c>
      <c r="L8645" t="s">
        <v>42</v>
      </c>
      <c r="M8645" t="s">
        <v>155</v>
      </c>
      <c r="N8645" t="s">
        <v>27</v>
      </c>
      <c r="O8645" t="s">
        <v>192</v>
      </c>
      <c r="P8645" s="1" t="s">
        <v>30</v>
      </c>
      <c r="Q8645">
        <v>160.19999999999999</v>
      </c>
    </row>
    <row r="8646" spans="11:17" x14ac:dyDescent="0.3">
      <c r="K8646">
        <v>2021</v>
      </c>
      <c r="L8646" t="s">
        <v>42</v>
      </c>
      <c r="M8646" t="s">
        <v>155</v>
      </c>
      <c r="N8646" t="s">
        <v>27</v>
      </c>
      <c r="O8646" t="s">
        <v>192</v>
      </c>
      <c r="P8646" s="1" t="s">
        <v>34</v>
      </c>
      <c r="Q8646">
        <v>160</v>
      </c>
    </row>
    <row r="8647" spans="11:17" x14ac:dyDescent="0.3">
      <c r="K8647">
        <v>2021</v>
      </c>
      <c r="L8647" t="s">
        <v>42</v>
      </c>
      <c r="M8647" t="s">
        <v>155</v>
      </c>
      <c r="N8647" t="s">
        <v>27</v>
      </c>
      <c r="O8647" t="s">
        <v>192</v>
      </c>
      <c r="P8647" s="1" t="s">
        <v>33</v>
      </c>
      <c r="Q8647">
        <v>159.6</v>
      </c>
    </row>
    <row r="8648" spans="11:17" x14ac:dyDescent="0.3">
      <c r="K8648">
        <v>2021</v>
      </c>
      <c r="L8648" t="s">
        <v>42</v>
      </c>
      <c r="M8648" t="s">
        <v>155</v>
      </c>
      <c r="N8648" t="s">
        <v>14</v>
      </c>
      <c r="O8648" t="s">
        <v>188</v>
      </c>
      <c r="P8648" s="1" t="s">
        <v>30</v>
      </c>
      <c r="Q8648">
        <v>172.8</v>
      </c>
    </row>
    <row r="8649" spans="11:17" x14ac:dyDescent="0.3">
      <c r="K8649">
        <v>2021</v>
      </c>
      <c r="L8649" t="s">
        <v>42</v>
      </c>
      <c r="M8649" t="s">
        <v>155</v>
      </c>
      <c r="N8649" t="s">
        <v>14</v>
      </c>
      <c r="O8649" t="s">
        <v>188</v>
      </c>
      <c r="P8649" s="1" t="s">
        <v>34</v>
      </c>
      <c r="Q8649">
        <v>173.9</v>
      </c>
    </row>
    <row r="8650" spans="11:17" x14ac:dyDescent="0.3">
      <c r="K8650">
        <v>2021</v>
      </c>
      <c r="L8650" t="s">
        <v>42</v>
      </c>
      <c r="M8650" t="s">
        <v>155</v>
      </c>
      <c r="N8650" t="s">
        <v>14</v>
      </c>
      <c r="O8650" t="s">
        <v>188</v>
      </c>
      <c r="P8650" s="1" t="s">
        <v>33</v>
      </c>
      <c r="Q8650">
        <v>175.1</v>
      </c>
    </row>
    <row r="8651" spans="11:17" x14ac:dyDescent="0.3">
      <c r="K8651">
        <v>2021</v>
      </c>
      <c r="L8651" t="s">
        <v>42</v>
      </c>
      <c r="M8651" t="s">
        <v>155</v>
      </c>
      <c r="N8651" t="s">
        <v>10</v>
      </c>
      <c r="O8651" t="s">
        <v>188</v>
      </c>
      <c r="P8651" s="1" t="s">
        <v>30</v>
      </c>
      <c r="Q8651">
        <v>163.9</v>
      </c>
    </row>
    <row r="8652" spans="11:17" x14ac:dyDescent="0.3">
      <c r="K8652">
        <v>2021</v>
      </c>
      <c r="L8652" t="s">
        <v>42</v>
      </c>
      <c r="M8652" t="s">
        <v>155</v>
      </c>
      <c r="N8652" t="s">
        <v>10</v>
      </c>
      <c r="O8652" t="s">
        <v>188</v>
      </c>
      <c r="P8652" s="1" t="s">
        <v>34</v>
      </c>
      <c r="Q8652">
        <v>164.1</v>
      </c>
    </row>
    <row r="8653" spans="11:17" x14ac:dyDescent="0.3">
      <c r="K8653">
        <v>2021</v>
      </c>
      <c r="L8653" t="s">
        <v>42</v>
      </c>
      <c r="M8653" t="s">
        <v>155</v>
      </c>
      <c r="N8653" t="s">
        <v>10</v>
      </c>
      <c r="O8653" t="s">
        <v>188</v>
      </c>
      <c r="P8653" s="1" t="s">
        <v>33</v>
      </c>
      <c r="Q8653">
        <v>164.5</v>
      </c>
    </row>
    <row r="8654" spans="11:17" x14ac:dyDescent="0.3">
      <c r="K8654">
        <v>2021</v>
      </c>
      <c r="L8654" t="s">
        <v>42</v>
      </c>
      <c r="M8654" t="s">
        <v>155</v>
      </c>
      <c r="N8654" t="s">
        <v>25</v>
      </c>
      <c r="O8654" t="s">
        <v>195</v>
      </c>
      <c r="P8654" s="1" t="s">
        <v>30</v>
      </c>
      <c r="Q8654">
        <v>162.69999999999999</v>
      </c>
    </row>
    <row r="8655" spans="11:17" x14ac:dyDescent="0.3">
      <c r="K8655">
        <v>2021</v>
      </c>
      <c r="L8655" t="s">
        <v>42</v>
      </c>
      <c r="M8655" t="s">
        <v>155</v>
      </c>
      <c r="N8655" t="s">
        <v>25</v>
      </c>
      <c r="O8655" t="s">
        <v>195</v>
      </c>
      <c r="P8655" s="1" t="s">
        <v>34</v>
      </c>
      <c r="Q8655">
        <v>157.69999999999999</v>
      </c>
    </row>
    <row r="8656" spans="11:17" x14ac:dyDescent="0.3">
      <c r="K8656">
        <v>2021</v>
      </c>
      <c r="L8656" t="s">
        <v>42</v>
      </c>
      <c r="M8656" t="s">
        <v>155</v>
      </c>
      <c r="N8656" t="s">
        <v>25</v>
      </c>
      <c r="O8656" t="s">
        <v>195</v>
      </c>
      <c r="P8656" s="1" t="s">
        <v>33</v>
      </c>
      <c r="Q8656">
        <v>153.9</v>
      </c>
    </row>
    <row r="8657" spans="11:17" x14ac:dyDescent="0.3">
      <c r="K8657">
        <v>2021</v>
      </c>
      <c r="L8657" t="s">
        <v>42</v>
      </c>
      <c r="M8657" t="s">
        <v>155</v>
      </c>
      <c r="N8657" t="s">
        <v>12</v>
      </c>
      <c r="O8657" t="s">
        <v>188</v>
      </c>
      <c r="P8657" s="1" t="s">
        <v>30</v>
      </c>
      <c r="Q8657">
        <v>170.1</v>
      </c>
    </row>
    <row r="8658" spans="11:17" x14ac:dyDescent="0.3">
      <c r="K8658">
        <v>2021</v>
      </c>
      <c r="L8658" t="s">
        <v>42</v>
      </c>
      <c r="M8658" t="s">
        <v>155</v>
      </c>
      <c r="N8658" t="s">
        <v>12</v>
      </c>
      <c r="O8658" t="s">
        <v>188</v>
      </c>
      <c r="P8658" s="1" t="s">
        <v>34</v>
      </c>
      <c r="Q8658">
        <v>168.8</v>
      </c>
    </row>
    <row r="8659" spans="11:17" x14ac:dyDescent="0.3">
      <c r="K8659">
        <v>2021</v>
      </c>
      <c r="L8659" t="s">
        <v>42</v>
      </c>
      <c r="M8659" t="s">
        <v>155</v>
      </c>
      <c r="N8659" t="s">
        <v>12</v>
      </c>
      <c r="O8659" t="s">
        <v>188</v>
      </c>
      <c r="P8659" s="1" t="s">
        <v>33</v>
      </c>
      <c r="Q8659">
        <v>166.2</v>
      </c>
    </row>
    <row r="8660" spans="11:17" x14ac:dyDescent="0.3">
      <c r="K8660">
        <v>2021</v>
      </c>
      <c r="L8660" t="s">
        <v>42</v>
      </c>
      <c r="M8660" t="s">
        <v>155</v>
      </c>
      <c r="N8660" t="s">
        <v>11</v>
      </c>
      <c r="O8660" t="s">
        <v>188</v>
      </c>
      <c r="P8660" s="1" t="s">
        <v>30</v>
      </c>
      <c r="Q8660">
        <v>119.3</v>
      </c>
    </row>
    <row r="8661" spans="11:17" x14ac:dyDescent="0.3">
      <c r="K8661">
        <v>2021</v>
      </c>
      <c r="L8661" t="s">
        <v>42</v>
      </c>
      <c r="M8661" t="s">
        <v>155</v>
      </c>
      <c r="N8661" t="s">
        <v>11</v>
      </c>
      <c r="O8661" t="s">
        <v>188</v>
      </c>
      <c r="P8661" s="1" t="s">
        <v>34</v>
      </c>
      <c r="Q8661">
        <v>119.7</v>
      </c>
    </row>
    <row r="8662" spans="11:17" x14ac:dyDescent="0.3">
      <c r="K8662">
        <v>2021</v>
      </c>
      <c r="L8662" t="s">
        <v>42</v>
      </c>
      <c r="M8662" t="s">
        <v>155</v>
      </c>
      <c r="N8662" t="s">
        <v>11</v>
      </c>
      <c r="O8662" t="s">
        <v>188</v>
      </c>
      <c r="P8662" s="1" t="s">
        <v>33</v>
      </c>
      <c r="Q8662">
        <v>120.4</v>
      </c>
    </row>
    <row r="8663" spans="11:17" x14ac:dyDescent="0.3">
      <c r="K8663">
        <v>2021</v>
      </c>
      <c r="L8663" t="s">
        <v>42</v>
      </c>
      <c r="M8663" t="s">
        <v>155</v>
      </c>
      <c r="N8663" t="s">
        <v>24</v>
      </c>
      <c r="O8663" t="s">
        <v>191</v>
      </c>
      <c r="P8663" s="1" t="s">
        <v>30</v>
      </c>
      <c r="Q8663">
        <v>157.80000000000001</v>
      </c>
    </row>
    <row r="8664" spans="11:17" x14ac:dyDescent="0.3">
      <c r="K8664">
        <v>2021</v>
      </c>
      <c r="L8664" t="s">
        <v>42</v>
      </c>
      <c r="M8664" t="s">
        <v>155</v>
      </c>
      <c r="N8664" t="s">
        <v>24</v>
      </c>
      <c r="O8664" t="s">
        <v>191</v>
      </c>
      <c r="P8664" s="1" t="s">
        <v>34</v>
      </c>
      <c r="Q8664">
        <v>154</v>
      </c>
    </row>
    <row r="8665" spans="11:17" x14ac:dyDescent="0.3">
      <c r="K8665">
        <v>2021</v>
      </c>
      <c r="L8665" t="s">
        <v>42</v>
      </c>
      <c r="M8665" t="s">
        <v>155</v>
      </c>
      <c r="N8665" t="s">
        <v>24</v>
      </c>
      <c r="O8665" t="s">
        <v>191</v>
      </c>
      <c r="P8665" s="1" t="s">
        <v>33</v>
      </c>
      <c r="Q8665">
        <v>150.5</v>
      </c>
    </row>
    <row r="8666" spans="11:17" x14ac:dyDescent="0.3">
      <c r="K8666">
        <v>2021</v>
      </c>
      <c r="L8666" t="s">
        <v>42</v>
      </c>
      <c r="M8666" t="s">
        <v>155</v>
      </c>
      <c r="N8666" t="s">
        <v>9</v>
      </c>
      <c r="O8666" t="s">
        <v>188</v>
      </c>
      <c r="P8666" s="1" t="s">
        <v>30</v>
      </c>
      <c r="Q8666">
        <v>151.4</v>
      </c>
    </row>
    <row r="8667" spans="11:17" x14ac:dyDescent="0.3">
      <c r="K8667">
        <v>2021</v>
      </c>
      <c r="L8667" t="s">
        <v>42</v>
      </c>
      <c r="M8667" t="s">
        <v>155</v>
      </c>
      <c r="N8667" t="s">
        <v>9</v>
      </c>
      <c r="O8667" t="s">
        <v>188</v>
      </c>
      <c r="P8667" s="1" t="s">
        <v>34</v>
      </c>
      <c r="Q8667">
        <v>162.30000000000001</v>
      </c>
    </row>
    <row r="8668" spans="11:17" x14ac:dyDescent="0.3">
      <c r="K8668">
        <v>2021</v>
      </c>
      <c r="L8668" t="s">
        <v>42</v>
      </c>
      <c r="M8668" t="s">
        <v>155</v>
      </c>
      <c r="N8668" t="s">
        <v>9</v>
      </c>
      <c r="O8668" t="s">
        <v>188</v>
      </c>
      <c r="P8668" s="1" t="s">
        <v>33</v>
      </c>
      <c r="Q8668">
        <v>183.5</v>
      </c>
    </row>
    <row r="8669" spans="11:17" x14ac:dyDescent="0.3">
      <c r="K8669">
        <v>2022</v>
      </c>
      <c r="L8669" t="s">
        <v>37</v>
      </c>
      <c r="M8669" t="s">
        <v>156</v>
      </c>
      <c r="N8669" t="s">
        <v>3</v>
      </c>
      <c r="O8669" t="s">
        <v>188</v>
      </c>
      <c r="P8669" s="1" t="s">
        <v>30</v>
      </c>
      <c r="Q8669">
        <v>151.80000000000001</v>
      </c>
    </row>
    <row r="8670" spans="11:17" x14ac:dyDescent="0.3">
      <c r="K8670">
        <v>2022</v>
      </c>
      <c r="L8670" t="s">
        <v>37</v>
      </c>
      <c r="M8670" t="s">
        <v>156</v>
      </c>
      <c r="N8670" t="s">
        <v>3</v>
      </c>
      <c r="O8670" t="s">
        <v>188</v>
      </c>
      <c r="P8670" s="1" t="s">
        <v>34</v>
      </c>
      <c r="Q8670">
        <v>152.9</v>
      </c>
    </row>
    <row r="8671" spans="11:17" x14ac:dyDescent="0.3">
      <c r="K8671">
        <v>2022</v>
      </c>
      <c r="L8671" t="s">
        <v>37</v>
      </c>
      <c r="M8671" t="s">
        <v>156</v>
      </c>
      <c r="N8671" t="s">
        <v>3</v>
      </c>
      <c r="O8671" t="s">
        <v>188</v>
      </c>
      <c r="P8671" s="1" t="s">
        <v>33</v>
      </c>
      <c r="Q8671">
        <v>155.4</v>
      </c>
    </row>
    <row r="8672" spans="11:17" x14ac:dyDescent="0.3">
      <c r="K8672">
        <v>2022</v>
      </c>
      <c r="L8672" t="s">
        <v>37</v>
      </c>
      <c r="M8672" t="s">
        <v>156</v>
      </c>
      <c r="N8672" t="s">
        <v>17</v>
      </c>
      <c r="O8672" t="s">
        <v>189</v>
      </c>
      <c r="P8672" s="1" t="s">
        <v>30</v>
      </c>
      <c r="Q8672">
        <v>177.5</v>
      </c>
    </row>
    <row r="8673" spans="11:17" x14ac:dyDescent="0.3">
      <c r="K8673">
        <v>2022</v>
      </c>
      <c r="L8673" t="s">
        <v>37</v>
      </c>
      <c r="M8673" t="s">
        <v>156</v>
      </c>
      <c r="N8673" t="s">
        <v>17</v>
      </c>
      <c r="O8673" t="s">
        <v>189</v>
      </c>
      <c r="P8673" s="1" t="s">
        <v>34</v>
      </c>
      <c r="Q8673">
        <v>173.9</v>
      </c>
    </row>
    <row r="8674" spans="11:17" x14ac:dyDescent="0.3">
      <c r="K8674">
        <v>2022</v>
      </c>
      <c r="L8674" t="s">
        <v>37</v>
      </c>
      <c r="M8674" t="s">
        <v>156</v>
      </c>
      <c r="N8674" t="s">
        <v>17</v>
      </c>
      <c r="O8674" t="s">
        <v>189</v>
      </c>
      <c r="P8674" s="1" t="s">
        <v>33</v>
      </c>
      <c r="Q8674">
        <v>168.4</v>
      </c>
    </row>
    <row r="8675" spans="11:17" x14ac:dyDescent="0.3">
      <c r="K8675">
        <v>2022</v>
      </c>
      <c r="L8675" t="s">
        <v>37</v>
      </c>
      <c r="M8675" t="s">
        <v>156</v>
      </c>
      <c r="N8675" t="s">
        <v>19</v>
      </c>
      <c r="O8675" t="s">
        <v>189</v>
      </c>
      <c r="P8675" s="1" t="s">
        <v>30</v>
      </c>
      <c r="Q8675">
        <v>177.1</v>
      </c>
    </row>
    <row r="8676" spans="11:17" x14ac:dyDescent="0.3">
      <c r="K8676">
        <v>2022</v>
      </c>
      <c r="L8676" t="s">
        <v>37</v>
      </c>
      <c r="M8676" t="s">
        <v>156</v>
      </c>
      <c r="N8676" t="s">
        <v>19</v>
      </c>
      <c r="O8676" t="s">
        <v>189</v>
      </c>
      <c r="P8676" s="1" t="s">
        <v>34</v>
      </c>
      <c r="Q8676">
        <v>172.8</v>
      </c>
    </row>
    <row r="8677" spans="11:17" x14ac:dyDescent="0.3">
      <c r="K8677">
        <v>2022</v>
      </c>
      <c r="L8677" t="s">
        <v>37</v>
      </c>
      <c r="M8677" t="s">
        <v>156</v>
      </c>
      <c r="N8677" t="s">
        <v>19</v>
      </c>
      <c r="O8677" t="s">
        <v>189</v>
      </c>
      <c r="P8677" s="1" t="s">
        <v>33</v>
      </c>
      <c r="Q8677">
        <v>166.3</v>
      </c>
    </row>
    <row r="8678" spans="11:17" x14ac:dyDescent="0.3">
      <c r="K8678">
        <v>2022</v>
      </c>
      <c r="L8678" t="s">
        <v>37</v>
      </c>
      <c r="M8678" t="s">
        <v>156</v>
      </c>
      <c r="N8678" t="s">
        <v>26</v>
      </c>
      <c r="O8678" t="s">
        <v>26</v>
      </c>
      <c r="P8678" s="1" t="s">
        <v>30</v>
      </c>
      <c r="Q8678">
        <v>170.9</v>
      </c>
    </row>
    <row r="8679" spans="11:17" x14ac:dyDescent="0.3">
      <c r="K8679">
        <v>2022</v>
      </c>
      <c r="L8679" t="s">
        <v>37</v>
      </c>
      <c r="M8679" t="s">
        <v>156</v>
      </c>
      <c r="N8679" t="s">
        <v>26</v>
      </c>
      <c r="O8679" t="s">
        <v>26</v>
      </c>
      <c r="P8679" s="1" t="s">
        <v>34</v>
      </c>
      <c r="Q8679">
        <v>166.9</v>
      </c>
    </row>
    <row r="8680" spans="11:17" x14ac:dyDescent="0.3">
      <c r="K8680">
        <v>2022</v>
      </c>
      <c r="L8680" t="s">
        <v>37</v>
      </c>
      <c r="M8680" t="s">
        <v>156</v>
      </c>
      <c r="N8680" t="s">
        <v>26</v>
      </c>
      <c r="O8680" t="s">
        <v>26</v>
      </c>
      <c r="P8680" s="1" t="s">
        <v>33</v>
      </c>
      <c r="Q8680">
        <v>164</v>
      </c>
    </row>
    <row r="8681" spans="11:17" x14ac:dyDescent="0.3">
      <c r="K8681">
        <v>2022</v>
      </c>
      <c r="L8681" t="s">
        <v>37</v>
      </c>
      <c r="M8681" t="s">
        <v>156</v>
      </c>
      <c r="N8681" t="s">
        <v>5</v>
      </c>
      <c r="O8681" t="s">
        <v>188</v>
      </c>
      <c r="P8681" s="1" t="s">
        <v>30</v>
      </c>
      <c r="Q8681">
        <v>164.5</v>
      </c>
    </row>
    <row r="8682" spans="11:17" x14ac:dyDescent="0.3">
      <c r="K8682">
        <v>2022</v>
      </c>
      <c r="L8682" t="s">
        <v>37</v>
      </c>
      <c r="M8682" t="s">
        <v>156</v>
      </c>
      <c r="N8682" t="s">
        <v>5</v>
      </c>
      <c r="O8682" t="s">
        <v>188</v>
      </c>
      <c r="P8682" s="1" t="s">
        <v>34</v>
      </c>
      <c r="Q8682">
        <v>164.5</v>
      </c>
    </row>
    <row r="8683" spans="11:17" x14ac:dyDescent="0.3">
      <c r="K8683">
        <v>2022</v>
      </c>
      <c r="L8683" t="s">
        <v>37</v>
      </c>
      <c r="M8683" t="s">
        <v>156</v>
      </c>
      <c r="N8683" t="s">
        <v>5</v>
      </c>
      <c r="O8683" t="s">
        <v>188</v>
      </c>
      <c r="P8683" s="1" t="s">
        <v>33</v>
      </c>
      <c r="Q8683">
        <v>164.6</v>
      </c>
    </row>
    <row r="8684" spans="11:17" x14ac:dyDescent="0.3">
      <c r="K8684">
        <v>2022</v>
      </c>
      <c r="L8684" t="s">
        <v>37</v>
      </c>
      <c r="M8684" t="s">
        <v>156</v>
      </c>
      <c r="N8684" t="s">
        <v>15</v>
      </c>
      <c r="O8684" t="s">
        <v>188</v>
      </c>
      <c r="P8684" s="1" t="s">
        <v>30</v>
      </c>
      <c r="Q8684">
        <v>168.6</v>
      </c>
    </row>
    <row r="8685" spans="11:17" x14ac:dyDescent="0.3">
      <c r="K8685">
        <v>2022</v>
      </c>
      <c r="L8685" t="s">
        <v>37</v>
      </c>
      <c r="M8685" t="s">
        <v>156</v>
      </c>
      <c r="N8685" t="s">
        <v>15</v>
      </c>
      <c r="O8685" t="s">
        <v>188</v>
      </c>
      <c r="P8685" s="1" t="s">
        <v>34</v>
      </c>
      <c r="Q8685">
        <v>170.8</v>
      </c>
    </row>
    <row r="8686" spans="11:17" x14ac:dyDescent="0.3">
      <c r="K8686">
        <v>2022</v>
      </c>
      <c r="L8686" t="s">
        <v>37</v>
      </c>
      <c r="M8686" t="s">
        <v>156</v>
      </c>
      <c r="N8686" t="s">
        <v>15</v>
      </c>
      <c r="O8686" t="s">
        <v>188</v>
      </c>
      <c r="P8686" s="1" t="s">
        <v>33</v>
      </c>
      <c r="Q8686">
        <v>174.5</v>
      </c>
    </row>
    <row r="8687" spans="11:17" x14ac:dyDescent="0.3">
      <c r="K8687">
        <v>2022</v>
      </c>
      <c r="L8687" t="s">
        <v>37</v>
      </c>
      <c r="M8687" t="s">
        <v>156</v>
      </c>
      <c r="N8687" t="s">
        <v>18</v>
      </c>
      <c r="O8687" t="s">
        <v>189</v>
      </c>
      <c r="P8687" s="1" t="s">
        <v>30</v>
      </c>
      <c r="Q8687">
        <v>175.1</v>
      </c>
    </row>
    <row r="8688" spans="11:17" x14ac:dyDescent="0.3">
      <c r="K8688">
        <v>2022</v>
      </c>
      <c r="L8688" t="s">
        <v>37</v>
      </c>
      <c r="M8688" t="s">
        <v>156</v>
      </c>
      <c r="N8688" t="s">
        <v>18</v>
      </c>
      <c r="O8688" t="s">
        <v>189</v>
      </c>
      <c r="P8688" s="1" t="s">
        <v>34</v>
      </c>
      <c r="Q8688">
        <v>166.5</v>
      </c>
    </row>
    <row r="8689" spans="11:17" x14ac:dyDescent="0.3">
      <c r="K8689">
        <v>2022</v>
      </c>
      <c r="L8689" t="s">
        <v>37</v>
      </c>
      <c r="M8689" t="s">
        <v>156</v>
      </c>
      <c r="N8689" t="s">
        <v>18</v>
      </c>
      <c r="O8689" t="s">
        <v>189</v>
      </c>
      <c r="P8689" s="1" t="s">
        <v>33</v>
      </c>
      <c r="Q8689">
        <v>154.5</v>
      </c>
    </row>
    <row r="8690" spans="11:17" x14ac:dyDescent="0.3">
      <c r="K8690">
        <v>2022</v>
      </c>
      <c r="L8690" t="s">
        <v>37</v>
      </c>
      <c r="M8690" t="s">
        <v>156</v>
      </c>
      <c r="N8690" t="s">
        <v>8</v>
      </c>
      <c r="O8690" t="s">
        <v>188</v>
      </c>
      <c r="P8690" s="1" t="s">
        <v>30</v>
      </c>
      <c r="Q8690">
        <v>169.7</v>
      </c>
    </row>
    <row r="8691" spans="11:17" x14ac:dyDescent="0.3">
      <c r="K8691">
        <v>2022</v>
      </c>
      <c r="L8691" t="s">
        <v>37</v>
      </c>
      <c r="M8691" t="s">
        <v>156</v>
      </c>
      <c r="N8691" t="s">
        <v>8</v>
      </c>
      <c r="O8691" t="s">
        <v>188</v>
      </c>
      <c r="P8691" s="1" t="s">
        <v>34</v>
      </c>
      <c r="Q8691">
        <v>172.6</v>
      </c>
    </row>
    <row r="8692" spans="11:17" x14ac:dyDescent="0.3">
      <c r="K8692">
        <v>2022</v>
      </c>
      <c r="L8692" t="s">
        <v>37</v>
      </c>
      <c r="M8692" t="s">
        <v>156</v>
      </c>
      <c r="N8692" t="s">
        <v>8</v>
      </c>
      <c r="O8692" t="s">
        <v>188</v>
      </c>
      <c r="P8692" s="1" t="s">
        <v>33</v>
      </c>
      <c r="Q8692">
        <v>175.9</v>
      </c>
    </row>
    <row r="8693" spans="11:17" x14ac:dyDescent="0.3">
      <c r="K8693">
        <v>2022</v>
      </c>
      <c r="L8693" t="s">
        <v>37</v>
      </c>
      <c r="M8693" t="s">
        <v>156</v>
      </c>
      <c r="N8693" t="s">
        <v>21</v>
      </c>
      <c r="O8693" t="s">
        <v>190</v>
      </c>
      <c r="P8693" s="1" t="s">
        <v>30</v>
      </c>
      <c r="Q8693">
        <v>173.3</v>
      </c>
    </row>
    <row r="8694" spans="11:17" x14ac:dyDescent="0.3">
      <c r="K8694">
        <v>2022</v>
      </c>
      <c r="L8694" t="s">
        <v>37</v>
      </c>
      <c r="M8694" t="s">
        <v>156</v>
      </c>
      <c r="N8694" t="s">
        <v>21</v>
      </c>
      <c r="O8694" t="s">
        <v>190</v>
      </c>
      <c r="P8694" s="1" t="s">
        <v>34</v>
      </c>
      <c r="Q8694">
        <v>172.2</v>
      </c>
    </row>
    <row r="8695" spans="11:17" x14ac:dyDescent="0.3">
      <c r="K8695">
        <v>2022</v>
      </c>
      <c r="L8695" t="s">
        <v>37</v>
      </c>
      <c r="M8695" t="s">
        <v>156</v>
      </c>
      <c r="N8695" t="s">
        <v>21</v>
      </c>
      <c r="O8695" t="s">
        <v>190</v>
      </c>
      <c r="P8695" s="1" t="s">
        <v>33</v>
      </c>
      <c r="Q8695">
        <v>170.5</v>
      </c>
    </row>
    <row r="8696" spans="11:17" x14ac:dyDescent="0.3">
      <c r="K8696">
        <v>2022</v>
      </c>
      <c r="L8696" t="s">
        <v>37</v>
      </c>
      <c r="M8696" t="s">
        <v>156</v>
      </c>
      <c r="N8696" t="s">
        <v>29</v>
      </c>
      <c r="O8696" t="s">
        <v>206</v>
      </c>
      <c r="P8696" s="1" t="s">
        <v>30</v>
      </c>
      <c r="Q8696">
        <v>170.8</v>
      </c>
    </row>
    <row r="8697" spans="11:17" x14ac:dyDescent="0.3">
      <c r="K8697">
        <v>2022</v>
      </c>
      <c r="L8697" t="s">
        <v>37</v>
      </c>
      <c r="M8697" t="s">
        <v>156</v>
      </c>
      <c r="N8697" t="s">
        <v>29</v>
      </c>
      <c r="O8697" t="s">
        <v>206</v>
      </c>
      <c r="P8697" s="1" t="s">
        <v>34</v>
      </c>
      <c r="Q8697">
        <v>170.1</v>
      </c>
    </row>
    <row r="8698" spans="11:17" x14ac:dyDescent="0.3">
      <c r="K8698">
        <v>2022</v>
      </c>
      <c r="L8698" t="s">
        <v>37</v>
      </c>
      <c r="M8698" t="s">
        <v>156</v>
      </c>
      <c r="N8698" t="s">
        <v>29</v>
      </c>
      <c r="O8698" t="s">
        <v>206</v>
      </c>
      <c r="P8698" s="1" t="s">
        <v>33</v>
      </c>
      <c r="Q8698">
        <v>169.2</v>
      </c>
    </row>
    <row r="8699" spans="11:17" x14ac:dyDescent="0.3">
      <c r="K8699">
        <v>2022</v>
      </c>
      <c r="L8699" t="s">
        <v>37</v>
      </c>
      <c r="M8699" t="s">
        <v>156</v>
      </c>
      <c r="N8699" t="s">
        <v>23</v>
      </c>
      <c r="O8699" t="s">
        <v>23</v>
      </c>
      <c r="P8699" s="1" t="s">
        <v>30</v>
      </c>
      <c r="Q8699">
        <v>177</v>
      </c>
    </row>
    <row r="8700" spans="11:17" x14ac:dyDescent="0.3">
      <c r="K8700">
        <v>2022</v>
      </c>
      <c r="L8700" t="s">
        <v>37</v>
      </c>
      <c r="M8700" t="s">
        <v>156</v>
      </c>
      <c r="N8700" t="s">
        <v>23</v>
      </c>
      <c r="O8700" t="s">
        <v>23</v>
      </c>
      <c r="P8700" s="1" t="s">
        <v>34</v>
      </c>
      <c r="Q8700">
        <v>174</v>
      </c>
    </row>
    <row r="8701" spans="11:17" x14ac:dyDescent="0.3">
      <c r="K8701">
        <v>2022</v>
      </c>
      <c r="L8701" t="s">
        <v>37</v>
      </c>
      <c r="M8701" t="s">
        <v>156</v>
      </c>
      <c r="N8701" t="s">
        <v>23</v>
      </c>
      <c r="O8701" t="s">
        <v>23</v>
      </c>
      <c r="P8701" s="1" t="s">
        <v>33</v>
      </c>
      <c r="Q8701">
        <v>169</v>
      </c>
    </row>
    <row r="8702" spans="11:17" x14ac:dyDescent="0.3">
      <c r="K8702">
        <v>2022</v>
      </c>
      <c r="L8702" t="s">
        <v>37</v>
      </c>
      <c r="M8702" t="s">
        <v>156</v>
      </c>
      <c r="N8702" t="s">
        <v>22</v>
      </c>
      <c r="O8702" t="s">
        <v>20</v>
      </c>
      <c r="P8702" s="1" t="s">
        <v>30</v>
      </c>
      <c r="Q8702">
        <v>167.7</v>
      </c>
    </row>
    <row r="8703" spans="11:17" x14ac:dyDescent="0.3">
      <c r="K8703">
        <v>2022</v>
      </c>
      <c r="L8703" t="s">
        <v>37</v>
      </c>
      <c r="M8703" t="s">
        <v>156</v>
      </c>
      <c r="N8703" t="s">
        <v>22</v>
      </c>
      <c r="O8703" t="s">
        <v>20</v>
      </c>
      <c r="P8703" s="1" t="s">
        <v>34</v>
      </c>
      <c r="Q8703">
        <v>164</v>
      </c>
    </row>
    <row r="8704" spans="11:17" x14ac:dyDescent="0.3">
      <c r="K8704">
        <v>2022</v>
      </c>
      <c r="L8704" t="s">
        <v>37</v>
      </c>
      <c r="M8704" t="s">
        <v>156</v>
      </c>
      <c r="N8704" t="s">
        <v>22</v>
      </c>
      <c r="O8704" t="s">
        <v>20</v>
      </c>
      <c r="P8704" s="1" t="s">
        <v>33</v>
      </c>
      <c r="Q8704">
        <v>159.80000000000001</v>
      </c>
    </row>
    <row r="8705" spans="11:17" x14ac:dyDescent="0.3">
      <c r="K8705">
        <v>2022</v>
      </c>
      <c r="L8705" t="s">
        <v>37</v>
      </c>
      <c r="M8705" t="s">
        <v>156</v>
      </c>
      <c r="N8705" t="s">
        <v>20</v>
      </c>
      <c r="O8705" t="s">
        <v>20</v>
      </c>
      <c r="P8705" s="1" t="s">
        <v>30</v>
      </c>
      <c r="Q8705">
        <v>0</v>
      </c>
    </row>
    <row r="8706" spans="11:17" x14ac:dyDescent="0.3">
      <c r="K8706">
        <v>2022</v>
      </c>
      <c r="L8706" t="s">
        <v>37</v>
      </c>
      <c r="M8706" t="s">
        <v>156</v>
      </c>
      <c r="N8706" t="s">
        <v>20</v>
      </c>
      <c r="O8706" t="s">
        <v>20</v>
      </c>
      <c r="P8706" s="1" t="s">
        <v>34</v>
      </c>
      <c r="Q8706">
        <v>167</v>
      </c>
    </row>
    <row r="8707" spans="11:17" x14ac:dyDescent="0.3">
      <c r="K8707">
        <v>2022</v>
      </c>
      <c r="L8707" t="s">
        <v>37</v>
      </c>
      <c r="M8707" t="s">
        <v>156</v>
      </c>
      <c r="N8707" t="s">
        <v>20</v>
      </c>
      <c r="O8707" t="s">
        <v>20</v>
      </c>
      <c r="P8707" s="1" t="s">
        <v>33</v>
      </c>
      <c r="Q8707">
        <v>167</v>
      </c>
    </row>
    <row r="8708" spans="11:17" x14ac:dyDescent="0.3">
      <c r="K8708">
        <v>2022</v>
      </c>
      <c r="L8708" t="s">
        <v>37</v>
      </c>
      <c r="M8708" t="s">
        <v>156</v>
      </c>
      <c r="N8708" t="s">
        <v>4</v>
      </c>
      <c r="O8708" t="s">
        <v>188</v>
      </c>
      <c r="P8708" s="1" t="s">
        <v>30</v>
      </c>
      <c r="Q8708">
        <v>209.7</v>
      </c>
    </row>
    <row r="8709" spans="11:17" x14ac:dyDescent="0.3">
      <c r="K8709">
        <v>2022</v>
      </c>
      <c r="L8709" t="s">
        <v>37</v>
      </c>
      <c r="M8709" t="s">
        <v>156</v>
      </c>
      <c r="N8709" t="s">
        <v>4</v>
      </c>
      <c r="O8709" t="s">
        <v>188</v>
      </c>
      <c r="P8709" s="1" t="s">
        <v>34</v>
      </c>
      <c r="Q8709">
        <v>211.8</v>
      </c>
    </row>
    <row r="8710" spans="11:17" x14ac:dyDescent="0.3">
      <c r="K8710">
        <v>2022</v>
      </c>
      <c r="L8710" t="s">
        <v>37</v>
      </c>
      <c r="M8710" t="s">
        <v>156</v>
      </c>
      <c r="N8710" t="s">
        <v>4</v>
      </c>
      <c r="O8710" t="s">
        <v>188</v>
      </c>
      <c r="P8710" s="1" t="s">
        <v>33</v>
      </c>
      <c r="Q8710">
        <v>215.8</v>
      </c>
    </row>
    <row r="8711" spans="11:17" x14ac:dyDescent="0.3">
      <c r="K8711">
        <v>2022</v>
      </c>
      <c r="L8711" t="s">
        <v>37</v>
      </c>
      <c r="M8711" t="s">
        <v>156</v>
      </c>
      <c r="N8711" t="s">
        <v>6</v>
      </c>
      <c r="O8711" t="s">
        <v>188</v>
      </c>
      <c r="P8711" s="1" t="s">
        <v>30</v>
      </c>
      <c r="Q8711">
        <v>163.80000000000001</v>
      </c>
    </row>
    <row r="8712" spans="11:17" x14ac:dyDescent="0.3">
      <c r="K8712">
        <v>2022</v>
      </c>
      <c r="L8712" t="s">
        <v>37</v>
      </c>
      <c r="M8712" t="s">
        <v>156</v>
      </c>
      <c r="N8712" t="s">
        <v>6</v>
      </c>
      <c r="O8712" t="s">
        <v>188</v>
      </c>
      <c r="P8712" s="1" t="s">
        <v>34</v>
      </c>
      <c r="Q8712">
        <v>163.9</v>
      </c>
    </row>
    <row r="8713" spans="11:17" x14ac:dyDescent="0.3">
      <c r="K8713">
        <v>2022</v>
      </c>
      <c r="L8713" t="s">
        <v>37</v>
      </c>
      <c r="M8713" t="s">
        <v>156</v>
      </c>
      <c r="N8713" t="s">
        <v>6</v>
      </c>
      <c r="O8713" t="s">
        <v>188</v>
      </c>
      <c r="P8713" s="1" t="s">
        <v>33</v>
      </c>
      <c r="Q8713">
        <v>164.2</v>
      </c>
    </row>
    <row r="8714" spans="11:17" x14ac:dyDescent="0.3">
      <c r="K8714">
        <v>2022</v>
      </c>
      <c r="L8714" t="s">
        <v>37</v>
      </c>
      <c r="M8714" t="s">
        <v>156</v>
      </c>
      <c r="N8714" t="s">
        <v>28</v>
      </c>
      <c r="O8714" t="s">
        <v>192</v>
      </c>
      <c r="P8714" s="1" t="s">
        <v>30</v>
      </c>
      <c r="Q8714">
        <v>170.2</v>
      </c>
    </row>
    <row r="8715" spans="11:17" x14ac:dyDescent="0.3">
      <c r="K8715">
        <v>2022</v>
      </c>
      <c r="L8715" t="s">
        <v>37</v>
      </c>
      <c r="M8715" t="s">
        <v>156</v>
      </c>
      <c r="N8715" t="s">
        <v>28</v>
      </c>
      <c r="O8715" t="s">
        <v>192</v>
      </c>
      <c r="P8715" s="1" t="s">
        <v>34</v>
      </c>
      <c r="Q8715">
        <v>166.8</v>
      </c>
    </row>
    <row r="8716" spans="11:17" x14ac:dyDescent="0.3">
      <c r="K8716">
        <v>2022</v>
      </c>
      <c r="L8716" t="s">
        <v>37</v>
      </c>
      <c r="M8716" t="s">
        <v>156</v>
      </c>
      <c r="N8716" t="s">
        <v>28</v>
      </c>
      <c r="O8716" t="s">
        <v>192</v>
      </c>
      <c r="P8716" s="1" t="s">
        <v>33</v>
      </c>
      <c r="Q8716">
        <v>163.1</v>
      </c>
    </row>
    <row r="8717" spans="11:17" x14ac:dyDescent="0.3">
      <c r="K8717">
        <v>2022</v>
      </c>
      <c r="L8717" t="s">
        <v>37</v>
      </c>
      <c r="M8717" t="s">
        <v>156</v>
      </c>
      <c r="N8717" t="s">
        <v>13</v>
      </c>
      <c r="O8717" t="s">
        <v>188</v>
      </c>
      <c r="P8717" s="1" t="s">
        <v>30</v>
      </c>
      <c r="Q8717">
        <v>172.4</v>
      </c>
    </row>
    <row r="8718" spans="11:17" x14ac:dyDescent="0.3">
      <c r="K8718">
        <v>2022</v>
      </c>
      <c r="L8718" t="s">
        <v>37</v>
      </c>
      <c r="M8718" t="s">
        <v>156</v>
      </c>
      <c r="N8718" t="s">
        <v>13</v>
      </c>
      <c r="O8718" t="s">
        <v>188</v>
      </c>
      <c r="P8718" s="1" t="s">
        <v>34</v>
      </c>
      <c r="Q8718">
        <v>166.2</v>
      </c>
    </row>
    <row r="8719" spans="11:17" x14ac:dyDescent="0.3">
      <c r="K8719">
        <v>2022</v>
      </c>
      <c r="L8719" t="s">
        <v>37</v>
      </c>
      <c r="M8719" t="s">
        <v>156</v>
      </c>
      <c r="N8719" t="s">
        <v>13</v>
      </c>
      <c r="O8719" t="s">
        <v>188</v>
      </c>
      <c r="P8719" s="1" t="s">
        <v>33</v>
      </c>
      <c r="Q8719">
        <v>157.5</v>
      </c>
    </row>
    <row r="8720" spans="11:17" x14ac:dyDescent="0.3">
      <c r="K8720">
        <v>2022</v>
      </c>
      <c r="L8720" t="s">
        <v>37</v>
      </c>
      <c r="M8720" t="s">
        <v>156</v>
      </c>
      <c r="N8720" t="s">
        <v>7</v>
      </c>
      <c r="O8720" t="s">
        <v>188</v>
      </c>
      <c r="P8720" s="1" t="s">
        <v>30</v>
      </c>
      <c r="Q8720">
        <v>207.4</v>
      </c>
    </row>
    <row r="8721" spans="11:17" x14ac:dyDescent="0.3">
      <c r="K8721">
        <v>2022</v>
      </c>
      <c r="L8721" t="s">
        <v>37</v>
      </c>
      <c r="M8721" t="s">
        <v>156</v>
      </c>
      <c r="N8721" t="s">
        <v>7</v>
      </c>
      <c r="O8721" t="s">
        <v>188</v>
      </c>
      <c r="P8721" s="1" t="s">
        <v>34</v>
      </c>
      <c r="Q8721">
        <v>199.5</v>
      </c>
    </row>
    <row r="8722" spans="11:17" x14ac:dyDescent="0.3">
      <c r="K8722">
        <v>2022</v>
      </c>
      <c r="L8722" t="s">
        <v>37</v>
      </c>
      <c r="M8722" t="s">
        <v>156</v>
      </c>
      <c r="N8722" t="s">
        <v>7</v>
      </c>
      <c r="O8722" t="s">
        <v>188</v>
      </c>
      <c r="P8722" s="1" t="s">
        <v>33</v>
      </c>
      <c r="Q8722">
        <v>186</v>
      </c>
    </row>
    <row r="8723" spans="11:17" x14ac:dyDescent="0.3">
      <c r="K8723">
        <v>2022</v>
      </c>
      <c r="L8723" t="s">
        <v>37</v>
      </c>
      <c r="M8723" t="s">
        <v>156</v>
      </c>
      <c r="N8723" t="s">
        <v>16</v>
      </c>
      <c r="O8723" t="s">
        <v>192</v>
      </c>
      <c r="P8723" s="1" t="s">
        <v>30</v>
      </c>
      <c r="Q8723">
        <v>192.8</v>
      </c>
    </row>
    <row r="8724" spans="11:17" x14ac:dyDescent="0.3">
      <c r="K8724">
        <v>2022</v>
      </c>
      <c r="L8724" t="s">
        <v>37</v>
      </c>
      <c r="M8724" t="s">
        <v>156</v>
      </c>
      <c r="N8724" t="s">
        <v>16</v>
      </c>
      <c r="O8724" t="s">
        <v>192</v>
      </c>
      <c r="P8724" s="1" t="s">
        <v>34</v>
      </c>
      <c r="Q8724">
        <v>193.9</v>
      </c>
    </row>
    <row r="8725" spans="11:17" x14ac:dyDescent="0.3">
      <c r="K8725">
        <v>2022</v>
      </c>
      <c r="L8725" t="s">
        <v>37</v>
      </c>
      <c r="M8725" t="s">
        <v>156</v>
      </c>
      <c r="N8725" t="s">
        <v>16</v>
      </c>
      <c r="O8725" t="s">
        <v>192</v>
      </c>
      <c r="P8725" s="1" t="s">
        <v>33</v>
      </c>
      <c r="Q8725">
        <v>197.1</v>
      </c>
    </row>
    <row r="8726" spans="11:17" x14ac:dyDescent="0.3">
      <c r="K8726">
        <v>2022</v>
      </c>
      <c r="L8726" t="s">
        <v>37</v>
      </c>
      <c r="M8726" t="s">
        <v>156</v>
      </c>
      <c r="N8726" t="s">
        <v>27</v>
      </c>
      <c r="O8726" t="s">
        <v>192</v>
      </c>
      <c r="P8726" s="1" t="s">
        <v>30</v>
      </c>
      <c r="Q8726">
        <v>169</v>
      </c>
    </row>
    <row r="8727" spans="11:17" x14ac:dyDescent="0.3">
      <c r="K8727">
        <v>2022</v>
      </c>
      <c r="L8727" t="s">
        <v>37</v>
      </c>
      <c r="M8727" t="s">
        <v>156</v>
      </c>
      <c r="N8727" t="s">
        <v>27</v>
      </c>
      <c r="O8727" t="s">
        <v>192</v>
      </c>
      <c r="P8727" s="1" t="s">
        <v>34</v>
      </c>
      <c r="Q8727">
        <v>168.8</v>
      </c>
    </row>
    <row r="8728" spans="11:17" x14ac:dyDescent="0.3">
      <c r="K8728">
        <v>2022</v>
      </c>
      <c r="L8728" t="s">
        <v>37</v>
      </c>
      <c r="M8728" t="s">
        <v>156</v>
      </c>
      <c r="N8728" t="s">
        <v>27</v>
      </c>
      <c r="O8728" t="s">
        <v>192</v>
      </c>
      <c r="P8728" s="1" t="s">
        <v>33</v>
      </c>
      <c r="Q8728">
        <v>168.4</v>
      </c>
    </row>
    <row r="8729" spans="11:17" x14ac:dyDescent="0.3">
      <c r="K8729">
        <v>2022</v>
      </c>
      <c r="L8729" t="s">
        <v>37</v>
      </c>
      <c r="M8729" t="s">
        <v>156</v>
      </c>
      <c r="N8729" t="s">
        <v>14</v>
      </c>
      <c r="O8729" t="s">
        <v>188</v>
      </c>
      <c r="P8729" s="1" t="s">
        <v>30</v>
      </c>
      <c r="Q8729">
        <v>178.9</v>
      </c>
    </row>
    <row r="8730" spans="11:17" x14ac:dyDescent="0.3">
      <c r="K8730">
        <v>2022</v>
      </c>
      <c r="L8730" t="s">
        <v>37</v>
      </c>
      <c r="M8730" t="s">
        <v>156</v>
      </c>
      <c r="N8730" t="s">
        <v>14</v>
      </c>
      <c r="O8730" t="s">
        <v>188</v>
      </c>
      <c r="P8730" s="1" t="s">
        <v>34</v>
      </c>
      <c r="Q8730">
        <v>180.9</v>
      </c>
    </row>
    <row r="8731" spans="11:17" x14ac:dyDescent="0.3">
      <c r="K8731">
        <v>2022</v>
      </c>
      <c r="L8731" t="s">
        <v>37</v>
      </c>
      <c r="M8731" t="s">
        <v>156</v>
      </c>
      <c r="N8731" t="s">
        <v>14</v>
      </c>
      <c r="O8731" t="s">
        <v>188</v>
      </c>
      <c r="P8731" s="1" t="s">
        <v>33</v>
      </c>
      <c r="Q8731">
        <v>183.3</v>
      </c>
    </row>
    <row r="8732" spans="11:17" x14ac:dyDescent="0.3">
      <c r="K8732">
        <v>2022</v>
      </c>
      <c r="L8732" t="s">
        <v>37</v>
      </c>
      <c r="M8732" t="s">
        <v>156</v>
      </c>
      <c r="N8732" t="s">
        <v>10</v>
      </c>
      <c r="O8732" t="s">
        <v>188</v>
      </c>
      <c r="P8732" s="1" t="s">
        <v>30</v>
      </c>
      <c r="Q8732">
        <v>165.1</v>
      </c>
    </row>
    <row r="8733" spans="11:17" x14ac:dyDescent="0.3">
      <c r="K8733">
        <v>2022</v>
      </c>
      <c r="L8733" t="s">
        <v>37</v>
      </c>
      <c r="M8733" t="s">
        <v>156</v>
      </c>
      <c r="N8733" t="s">
        <v>10</v>
      </c>
      <c r="O8733" t="s">
        <v>188</v>
      </c>
      <c r="P8733" s="1" t="s">
        <v>34</v>
      </c>
      <c r="Q8733">
        <v>164.7</v>
      </c>
    </row>
    <row r="8734" spans="11:17" x14ac:dyDescent="0.3">
      <c r="K8734">
        <v>2022</v>
      </c>
      <c r="L8734" t="s">
        <v>37</v>
      </c>
      <c r="M8734" t="s">
        <v>156</v>
      </c>
      <c r="N8734" t="s">
        <v>10</v>
      </c>
      <c r="O8734" t="s">
        <v>188</v>
      </c>
      <c r="P8734" s="1" t="s">
        <v>33</v>
      </c>
      <c r="Q8734">
        <v>164</v>
      </c>
    </row>
    <row r="8735" spans="11:17" x14ac:dyDescent="0.3">
      <c r="K8735">
        <v>2022</v>
      </c>
      <c r="L8735" t="s">
        <v>37</v>
      </c>
      <c r="M8735" t="s">
        <v>156</v>
      </c>
      <c r="N8735" t="s">
        <v>25</v>
      </c>
      <c r="O8735" t="s">
        <v>195</v>
      </c>
      <c r="P8735" s="1" t="s">
        <v>30</v>
      </c>
      <c r="Q8735">
        <v>167.2</v>
      </c>
    </row>
    <row r="8736" spans="11:17" x14ac:dyDescent="0.3">
      <c r="K8736">
        <v>2022</v>
      </c>
      <c r="L8736" t="s">
        <v>37</v>
      </c>
      <c r="M8736" t="s">
        <v>156</v>
      </c>
      <c r="N8736" t="s">
        <v>25</v>
      </c>
      <c r="O8736" t="s">
        <v>195</v>
      </c>
      <c r="P8736" s="1" t="s">
        <v>34</v>
      </c>
      <c r="Q8736">
        <v>164.4</v>
      </c>
    </row>
    <row r="8737" spans="11:17" x14ac:dyDescent="0.3">
      <c r="K8737">
        <v>2022</v>
      </c>
      <c r="L8737" t="s">
        <v>37</v>
      </c>
      <c r="M8737" t="s">
        <v>156</v>
      </c>
      <c r="N8737" t="s">
        <v>25</v>
      </c>
      <c r="O8737" t="s">
        <v>195</v>
      </c>
      <c r="P8737" s="1" t="s">
        <v>33</v>
      </c>
      <c r="Q8737">
        <v>162.19999999999999</v>
      </c>
    </row>
    <row r="8738" spans="11:17" x14ac:dyDescent="0.3">
      <c r="K8738">
        <v>2022</v>
      </c>
      <c r="L8738" t="s">
        <v>37</v>
      </c>
      <c r="M8738" t="s">
        <v>156</v>
      </c>
      <c r="N8738" t="s">
        <v>12</v>
      </c>
      <c r="O8738" t="s">
        <v>188</v>
      </c>
      <c r="P8738" s="1" t="s">
        <v>30</v>
      </c>
      <c r="Q8738">
        <v>182.9</v>
      </c>
    </row>
    <row r="8739" spans="11:17" x14ac:dyDescent="0.3">
      <c r="K8739">
        <v>2022</v>
      </c>
      <c r="L8739" t="s">
        <v>37</v>
      </c>
      <c r="M8739" t="s">
        <v>156</v>
      </c>
      <c r="N8739" t="s">
        <v>12</v>
      </c>
      <c r="O8739" t="s">
        <v>188</v>
      </c>
      <c r="P8739" s="1" t="s">
        <v>34</v>
      </c>
      <c r="Q8739">
        <v>181.3</v>
      </c>
    </row>
    <row r="8740" spans="11:17" x14ac:dyDescent="0.3">
      <c r="K8740">
        <v>2022</v>
      </c>
      <c r="L8740" t="s">
        <v>37</v>
      </c>
      <c r="M8740" t="s">
        <v>156</v>
      </c>
      <c r="N8740" t="s">
        <v>12</v>
      </c>
      <c r="O8740" t="s">
        <v>188</v>
      </c>
      <c r="P8740" s="1" t="s">
        <v>33</v>
      </c>
      <c r="Q8740">
        <v>178</v>
      </c>
    </row>
    <row r="8741" spans="11:17" x14ac:dyDescent="0.3">
      <c r="K8741">
        <v>2022</v>
      </c>
      <c r="L8741" t="s">
        <v>37</v>
      </c>
      <c r="M8741" t="s">
        <v>156</v>
      </c>
      <c r="N8741" t="s">
        <v>11</v>
      </c>
      <c r="O8741" t="s">
        <v>188</v>
      </c>
      <c r="P8741" s="1" t="s">
        <v>30</v>
      </c>
      <c r="Q8741">
        <v>118.2</v>
      </c>
    </row>
    <row r="8742" spans="11:17" x14ac:dyDescent="0.3">
      <c r="K8742">
        <v>2022</v>
      </c>
      <c r="L8742" t="s">
        <v>37</v>
      </c>
      <c r="M8742" t="s">
        <v>156</v>
      </c>
      <c r="N8742" t="s">
        <v>11</v>
      </c>
      <c r="O8742" t="s">
        <v>188</v>
      </c>
      <c r="P8742" s="1" t="s">
        <v>34</v>
      </c>
      <c r="Q8742">
        <v>119</v>
      </c>
    </row>
    <row r="8743" spans="11:17" x14ac:dyDescent="0.3">
      <c r="K8743">
        <v>2022</v>
      </c>
      <c r="L8743" t="s">
        <v>37</v>
      </c>
      <c r="M8743" t="s">
        <v>156</v>
      </c>
      <c r="N8743" t="s">
        <v>11</v>
      </c>
      <c r="O8743" t="s">
        <v>188</v>
      </c>
      <c r="P8743" s="1" t="s">
        <v>33</v>
      </c>
      <c r="Q8743">
        <v>120.5</v>
      </c>
    </row>
    <row r="8744" spans="11:17" x14ac:dyDescent="0.3">
      <c r="K8744">
        <v>2022</v>
      </c>
      <c r="L8744" t="s">
        <v>37</v>
      </c>
      <c r="M8744" t="s">
        <v>156</v>
      </c>
      <c r="N8744" t="s">
        <v>24</v>
      </c>
      <c r="O8744" t="s">
        <v>191</v>
      </c>
      <c r="P8744" s="1" t="s">
        <v>30</v>
      </c>
      <c r="Q8744">
        <v>166.2</v>
      </c>
    </row>
    <row r="8745" spans="11:17" x14ac:dyDescent="0.3">
      <c r="K8745">
        <v>2022</v>
      </c>
      <c r="L8745" t="s">
        <v>37</v>
      </c>
      <c r="M8745" t="s">
        <v>156</v>
      </c>
      <c r="N8745" t="s">
        <v>24</v>
      </c>
      <c r="O8745" t="s">
        <v>191</v>
      </c>
      <c r="P8745" s="1" t="s">
        <v>34</v>
      </c>
      <c r="Q8745">
        <v>162.6</v>
      </c>
    </row>
    <row r="8746" spans="11:17" x14ac:dyDescent="0.3">
      <c r="K8746">
        <v>2022</v>
      </c>
      <c r="L8746" t="s">
        <v>37</v>
      </c>
      <c r="M8746" t="s">
        <v>156</v>
      </c>
      <c r="N8746" t="s">
        <v>24</v>
      </c>
      <c r="O8746" t="s">
        <v>191</v>
      </c>
      <c r="P8746" s="1" t="s">
        <v>33</v>
      </c>
      <c r="Q8746">
        <v>159.30000000000001</v>
      </c>
    </row>
    <row r="8747" spans="11:17" x14ac:dyDescent="0.3">
      <c r="K8747">
        <v>2022</v>
      </c>
      <c r="L8747" t="s">
        <v>37</v>
      </c>
      <c r="M8747" t="s">
        <v>156</v>
      </c>
      <c r="N8747" t="s">
        <v>9</v>
      </c>
      <c r="O8747" t="s">
        <v>188</v>
      </c>
      <c r="P8747" s="1" t="s">
        <v>30</v>
      </c>
      <c r="Q8747">
        <v>153.6</v>
      </c>
    </row>
    <row r="8748" spans="11:17" x14ac:dyDescent="0.3">
      <c r="K8748">
        <v>2022</v>
      </c>
      <c r="L8748" t="s">
        <v>37</v>
      </c>
      <c r="M8748" t="s">
        <v>156</v>
      </c>
      <c r="N8748" t="s">
        <v>9</v>
      </c>
      <c r="O8748" t="s">
        <v>188</v>
      </c>
      <c r="P8748" s="1" t="s">
        <v>34</v>
      </c>
      <c r="Q8748">
        <v>166.2</v>
      </c>
    </row>
    <row r="8749" spans="11:17" x14ac:dyDescent="0.3">
      <c r="K8749">
        <v>2022</v>
      </c>
      <c r="L8749" t="s">
        <v>37</v>
      </c>
      <c r="M8749" t="s">
        <v>156</v>
      </c>
      <c r="N8749" t="s">
        <v>9</v>
      </c>
      <c r="O8749" t="s">
        <v>188</v>
      </c>
      <c r="P8749" s="1" t="s">
        <v>33</v>
      </c>
      <c r="Q8749">
        <v>190.7</v>
      </c>
    </row>
    <row r="8750" spans="11:17" x14ac:dyDescent="0.3">
      <c r="K8750">
        <v>2022</v>
      </c>
      <c r="L8750" t="s">
        <v>41</v>
      </c>
      <c r="M8750" t="s">
        <v>157</v>
      </c>
      <c r="N8750" t="s">
        <v>3</v>
      </c>
      <c r="O8750" t="s">
        <v>188</v>
      </c>
      <c r="P8750" s="1" t="s">
        <v>30</v>
      </c>
      <c r="Q8750">
        <v>159.5</v>
      </c>
    </row>
    <row r="8751" spans="11:17" x14ac:dyDescent="0.3">
      <c r="K8751">
        <v>2022</v>
      </c>
      <c r="L8751" t="s">
        <v>41</v>
      </c>
      <c r="M8751" t="s">
        <v>157</v>
      </c>
      <c r="N8751" t="s">
        <v>3</v>
      </c>
      <c r="O8751" t="s">
        <v>188</v>
      </c>
      <c r="P8751" s="1" t="s">
        <v>34</v>
      </c>
      <c r="Q8751">
        <v>160.30000000000001</v>
      </c>
    </row>
    <row r="8752" spans="11:17" x14ac:dyDescent="0.3">
      <c r="K8752">
        <v>2022</v>
      </c>
      <c r="L8752" t="s">
        <v>41</v>
      </c>
      <c r="M8752" t="s">
        <v>157</v>
      </c>
      <c r="N8752" t="s">
        <v>3</v>
      </c>
      <c r="O8752" t="s">
        <v>188</v>
      </c>
      <c r="P8752" s="1" t="s">
        <v>33</v>
      </c>
      <c r="Q8752">
        <v>162.1</v>
      </c>
    </row>
    <row r="8753" spans="11:17" x14ac:dyDescent="0.3">
      <c r="K8753">
        <v>2022</v>
      </c>
      <c r="L8753" t="s">
        <v>41</v>
      </c>
      <c r="M8753" t="s">
        <v>157</v>
      </c>
      <c r="N8753" t="s">
        <v>17</v>
      </c>
      <c r="O8753" t="s">
        <v>189</v>
      </c>
      <c r="P8753" s="1" t="s">
        <v>30</v>
      </c>
      <c r="Q8753">
        <v>183.2</v>
      </c>
    </row>
    <row r="8754" spans="11:17" x14ac:dyDescent="0.3">
      <c r="K8754">
        <v>2022</v>
      </c>
      <c r="L8754" t="s">
        <v>41</v>
      </c>
      <c r="M8754" t="s">
        <v>157</v>
      </c>
      <c r="N8754" t="s">
        <v>17</v>
      </c>
      <c r="O8754" t="s">
        <v>189</v>
      </c>
      <c r="P8754" s="1" t="s">
        <v>34</v>
      </c>
      <c r="Q8754">
        <v>179.5</v>
      </c>
    </row>
    <row r="8755" spans="11:17" x14ac:dyDescent="0.3">
      <c r="K8755">
        <v>2022</v>
      </c>
      <c r="L8755" t="s">
        <v>41</v>
      </c>
      <c r="M8755" t="s">
        <v>157</v>
      </c>
      <c r="N8755" t="s">
        <v>17</v>
      </c>
      <c r="O8755" t="s">
        <v>189</v>
      </c>
      <c r="P8755" s="1" t="s">
        <v>33</v>
      </c>
      <c r="Q8755">
        <v>173.7</v>
      </c>
    </row>
    <row r="8756" spans="11:17" x14ac:dyDescent="0.3">
      <c r="K8756">
        <v>2022</v>
      </c>
      <c r="L8756" t="s">
        <v>41</v>
      </c>
      <c r="M8756" t="s">
        <v>157</v>
      </c>
      <c r="N8756" t="s">
        <v>19</v>
      </c>
      <c r="O8756" t="s">
        <v>189</v>
      </c>
      <c r="P8756" s="1" t="s">
        <v>30</v>
      </c>
      <c r="Q8756">
        <v>183</v>
      </c>
    </row>
    <row r="8757" spans="11:17" x14ac:dyDescent="0.3">
      <c r="K8757">
        <v>2022</v>
      </c>
      <c r="L8757" t="s">
        <v>41</v>
      </c>
      <c r="M8757" t="s">
        <v>157</v>
      </c>
      <c r="N8757" t="s">
        <v>19</v>
      </c>
      <c r="O8757" t="s">
        <v>189</v>
      </c>
      <c r="P8757" s="1" t="s">
        <v>34</v>
      </c>
      <c r="Q8757">
        <v>178.5</v>
      </c>
    </row>
    <row r="8758" spans="11:17" x14ac:dyDescent="0.3">
      <c r="K8758">
        <v>2022</v>
      </c>
      <c r="L8758" t="s">
        <v>41</v>
      </c>
      <c r="M8758" t="s">
        <v>157</v>
      </c>
      <c r="N8758" t="s">
        <v>19</v>
      </c>
      <c r="O8758" t="s">
        <v>189</v>
      </c>
      <c r="P8758" s="1" t="s">
        <v>33</v>
      </c>
      <c r="Q8758">
        <v>171.6</v>
      </c>
    </row>
    <row r="8759" spans="11:17" x14ac:dyDescent="0.3">
      <c r="K8759">
        <v>2022</v>
      </c>
      <c r="L8759" t="s">
        <v>41</v>
      </c>
      <c r="M8759" t="s">
        <v>157</v>
      </c>
      <c r="N8759" t="s">
        <v>26</v>
      </c>
      <c r="O8759" t="s">
        <v>26</v>
      </c>
      <c r="P8759" s="1" t="s">
        <v>30</v>
      </c>
      <c r="Q8759">
        <v>175.7</v>
      </c>
    </row>
    <row r="8760" spans="11:17" x14ac:dyDescent="0.3">
      <c r="K8760">
        <v>2022</v>
      </c>
      <c r="L8760" t="s">
        <v>41</v>
      </c>
      <c r="M8760" t="s">
        <v>157</v>
      </c>
      <c r="N8760" t="s">
        <v>26</v>
      </c>
      <c r="O8760" t="s">
        <v>26</v>
      </c>
      <c r="P8760" s="1" t="s">
        <v>34</v>
      </c>
      <c r="Q8760">
        <v>172.3</v>
      </c>
    </row>
    <row r="8761" spans="11:17" x14ac:dyDescent="0.3">
      <c r="K8761">
        <v>2022</v>
      </c>
      <c r="L8761" t="s">
        <v>41</v>
      </c>
      <c r="M8761" t="s">
        <v>157</v>
      </c>
      <c r="N8761" t="s">
        <v>26</v>
      </c>
      <c r="O8761" t="s">
        <v>26</v>
      </c>
      <c r="P8761" s="1" t="s">
        <v>33</v>
      </c>
      <c r="Q8761">
        <v>169.9</v>
      </c>
    </row>
    <row r="8762" spans="11:17" x14ac:dyDescent="0.3">
      <c r="K8762">
        <v>2022</v>
      </c>
      <c r="L8762" t="s">
        <v>41</v>
      </c>
      <c r="M8762" t="s">
        <v>157</v>
      </c>
      <c r="N8762" t="s">
        <v>5</v>
      </c>
      <c r="O8762" t="s">
        <v>188</v>
      </c>
      <c r="P8762" s="1" t="s">
        <v>30</v>
      </c>
      <c r="Q8762">
        <v>168.3</v>
      </c>
    </row>
    <row r="8763" spans="11:17" x14ac:dyDescent="0.3">
      <c r="K8763">
        <v>2022</v>
      </c>
      <c r="L8763" t="s">
        <v>41</v>
      </c>
      <c r="M8763" t="s">
        <v>157</v>
      </c>
      <c r="N8763" t="s">
        <v>5</v>
      </c>
      <c r="O8763" t="s">
        <v>188</v>
      </c>
      <c r="P8763" s="1" t="s">
        <v>34</v>
      </c>
      <c r="Q8763">
        <v>169.2</v>
      </c>
    </row>
    <row r="8764" spans="11:17" x14ac:dyDescent="0.3">
      <c r="K8764">
        <v>2022</v>
      </c>
      <c r="L8764" t="s">
        <v>41</v>
      </c>
      <c r="M8764" t="s">
        <v>157</v>
      </c>
      <c r="N8764" t="s">
        <v>5</v>
      </c>
      <c r="O8764" t="s">
        <v>188</v>
      </c>
      <c r="P8764" s="1" t="s">
        <v>33</v>
      </c>
      <c r="Q8764">
        <v>170.6</v>
      </c>
    </row>
    <row r="8765" spans="11:17" x14ac:dyDescent="0.3">
      <c r="K8765">
        <v>2022</v>
      </c>
      <c r="L8765" t="s">
        <v>41</v>
      </c>
      <c r="M8765" t="s">
        <v>157</v>
      </c>
      <c r="N8765" t="s">
        <v>15</v>
      </c>
      <c r="O8765" t="s">
        <v>188</v>
      </c>
      <c r="P8765" s="1" t="s">
        <v>30</v>
      </c>
      <c r="Q8765">
        <v>173.9</v>
      </c>
    </row>
    <row r="8766" spans="11:17" x14ac:dyDescent="0.3">
      <c r="K8766">
        <v>2022</v>
      </c>
      <c r="L8766" t="s">
        <v>41</v>
      </c>
      <c r="M8766" t="s">
        <v>157</v>
      </c>
      <c r="N8766" t="s">
        <v>15</v>
      </c>
      <c r="O8766" t="s">
        <v>188</v>
      </c>
      <c r="P8766" s="1" t="s">
        <v>34</v>
      </c>
      <c r="Q8766">
        <v>176.3</v>
      </c>
    </row>
    <row r="8767" spans="11:17" x14ac:dyDescent="0.3">
      <c r="K8767">
        <v>2022</v>
      </c>
      <c r="L8767" t="s">
        <v>41</v>
      </c>
      <c r="M8767" t="s">
        <v>157</v>
      </c>
      <c r="N8767" t="s">
        <v>15</v>
      </c>
      <c r="O8767" t="s">
        <v>188</v>
      </c>
      <c r="P8767" s="1" t="s">
        <v>33</v>
      </c>
      <c r="Q8767">
        <v>180.4</v>
      </c>
    </row>
    <row r="8768" spans="11:17" x14ac:dyDescent="0.3">
      <c r="K8768">
        <v>2022</v>
      </c>
      <c r="L8768" t="s">
        <v>41</v>
      </c>
      <c r="M8768" t="s">
        <v>157</v>
      </c>
      <c r="N8768" t="s">
        <v>18</v>
      </c>
      <c r="O8768" t="s">
        <v>189</v>
      </c>
      <c r="P8768" s="1" t="s">
        <v>30</v>
      </c>
      <c r="Q8768">
        <v>181.7</v>
      </c>
    </row>
    <row r="8769" spans="11:17" x14ac:dyDescent="0.3">
      <c r="K8769">
        <v>2022</v>
      </c>
      <c r="L8769" t="s">
        <v>41</v>
      </c>
      <c r="M8769" t="s">
        <v>157</v>
      </c>
      <c r="N8769" t="s">
        <v>18</v>
      </c>
      <c r="O8769" t="s">
        <v>189</v>
      </c>
      <c r="P8769" s="1" t="s">
        <v>34</v>
      </c>
      <c r="Q8769">
        <v>172.7</v>
      </c>
    </row>
    <row r="8770" spans="11:17" x14ac:dyDescent="0.3">
      <c r="K8770">
        <v>2022</v>
      </c>
      <c r="L8770" t="s">
        <v>41</v>
      </c>
      <c r="M8770" t="s">
        <v>157</v>
      </c>
      <c r="N8770" t="s">
        <v>18</v>
      </c>
      <c r="O8770" t="s">
        <v>189</v>
      </c>
      <c r="P8770" s="1" t="s">
        <v>33</v>
      </c>
      <c r="Q8770">
        <v>160</v>
      </c>
    </row>
    <row r="8771" spans="11:17" x14ac:dyDescent="0.3">
      <c r="K8771">
        <v>2022</v>
      </c>
      <c r="L8771" t="s">
        <v>41</v>
      </c>
      <c r="M8771" t="s">
        <v>157</v>
      </c>
      <c r="N8771" t="s">
        <v>8</v>
      </c>
      <c r="O8771" t="s">
        <v>188</v>
      </c>
      <c r="P8771" s="1" t="s">
        <v>30</v>
      </c>
      <c r="Q8771">
        <v>169.2</v>
      </c>
    </row>
    <row r="8772" spans="11:17" x14ac:dyDescent="0.3">
      <c r="K8772">
        <v>2022</v>
      </c>
      <c r="L8772" t="s">
        <v>41</v>
      </c>
      <c r="M8772" t="s">
        <v>157</v>
      </c>
      <c r="N8772" t="s">
        <v>8</v>
      </c>
      <c r="O8772" t="s">
        <v>188</v>
      </c>
      <c r="P8772" s="1" t="s">
        <v>34</v>
      </c>
      <c r="Q8772">
        <v>172.9</v>
      </c>
    </row>
    <row r="8773" spans="11:17" x14ac:dyDescent="0.3">
      <c r="K8773">
        <v>2022</v>
      </c>
      <c r="L8773" t="s">
        <v>41</v>
      </c>
      <c r="M8773" t="s">
        <v>157</v>
      </c>
      <c r="N8773" t="s">
        <v>8</v>
      </c>
      <c r="O8773" t="s">
        <v>188</v>
      </c>
      <c r="P8773" s="1" t="s">
        <v>33</v>
      </c>
      <c r="Q8773">
        <v>177.1</v>
      </c>
    </row>
    <row r="8774" spans="11:17" x14ac:dyDescent="0.3">
      <c r="K8774">
        <v>2022</v>
      </c>
      <c r="L8774" t="s">
        <v>41</v>
      </c>
      <c r="M8774" t="s">
        <v>157</v>
      </c>
      <c r="N8774" t="s">
        <v>21</v>
      </c>
      <c r="O8774" t="s">
        <v>190</v>
      </c>
      <c r="P8774" s="1" t="s">
        <v>30</v>
      </c>
      <c r="Q8774">
        <v>179.1</v>
      </c>
    </row>
    <row r="8775" spans="11:17" x14ac:dyDescent="0.3">
      <c r="K8775">
        <v>2022</v>
      </c>
      <c r="L8775" t="s">
        <v>41</v>
      </c>
      <c r="M8775" t="s">
        <v>157</v>
      </c>
      <c r="N8775" t="s">
        <v>21</v>
      </c>
      <c r="O8775" t="s">
        <v>190</v>
      </c>
      <c r="P8775" s="1" t="s">
        <v>34</v>
      </c>
      <c r="Q8775">
        <v>178.8</v>
      </c>
    </row>
    <row r="8776" spans="11:17" x14ac:dyDescent="0.3">
      <c r="K8776">
        <v>2022</v>
      </c>
      <c r="L8776" t="s">
        <v>41</v>
      </c>
      <c r="M8776" t="s">
        <v>157</v>
      </c>
      <c r="N8776" t="s">
        <v>21</v>
      </c>
      <c r="O8776" t="s">
        <v>190</v>
      </c>
      <c r="P8776" s="1" t="s">
        <v>33</v>
      </c>
      <c r="Q8776">
        <v>178.4</v>
      </c>
    </row>
    <row r="8777" spans="11:17" x14ac:dyDescent="0.3">
      <c r="K8777">
        <v>2022</v>
      </c>
      <c r="L8777" t="s">
        <v>41</v>
      </c>
      <c r="M8777" t="s">
        <v>157</v>
      </c>
      <c r="N8777" t="s">
        <v>29</v>
      </c>
      <c r="O8777" t="s">
        <v>206</v>
      </c>
      <c r="P8777" s="1" t="s">
        <v>30</v>
      </c>
      <c r="Q8777">
        <v>175.3</v>
      </c>
    </row>
    <row r="8778" spans="11:17" x14ac:dyDescent="0.3">
      <c r="K8778">
        <v>2022</v>
      </c>
      <c r="L8778" t="s">
        <v>41</v>
      </c>
      <c r="M8778" t="s">
        <v>157</v>
      </c>
      <c r="N8778" t="s">
        <v>29</v>
      </c>
      <c r="O8778" t="s">
        <v>206</v>
      </c>
      <c r="P8778" s="1" t="s">
        <v>34</v>
      </c>
      <c r="Q8778">
        <v>174.3</v>
      </c>
    </row>
    <row r="8779" spans="11:17" x14ac:dyDescent="0.3">
      <c r="K8779">
        <v>2022</v>
      </c>
      <c r="L8779" t="s">
        <v>41</v>
      </c>
      <c r="M8779" t="s">
        <v>157</v>
      </c>
      <c r="N8779" t="s">
        <v>29</v>
      </c>
      <c r="O8779" t="s">
        <v>206</v>
      </c>
      <c r="P8779" s="1" t="s">
        <v>33</v>
      </c>
      <c r="Q8779">
        <v>173.1</v>
      </c>
    </row>
    <row r="8780" spans="11:17" x14ac:dyDescent="0.3">
      <c r="K8780">
        <v>2022</v>
      </c>
      <c r="L8780" t="s">
        <v>41</v>
      </c>
      <c r="M8780" t="s">
        <v>157</v>
      </c>
      <c r="N8780" t="s">
        <v>23</v>
      </c>
      <c r="O8780" t="s">
        <v>23</v>
      </c>
      <c r="P8780" s="1" t="s">
        <v>30</v>
      </c>
      <c r="Q8780">
        <v>179.4</v>
      </c>
    </row>
    <row r="8781" spans="11:17" x14ac:dyDescent="0.3">
      <c r="K8781">
        <v>2022</v>
      </c>
      <c r="L8781" t="s">
        <v>41</v>
      </c>
      <c r="M8781" t="s">
        <v>157</v>
      </c>
      <c r="N8781" t="s">
        <v>23</v>
      </c>
      <c r="O8781" t="s">
        <v>23</v>
      </c>
      <c r="P8781" s="1" t="s">
        <v>34</v>
      </c>
      <c r="Q8781">
        <v>176.8</v>
      </c>
    </row>
    <row r="8782" spans="11:17" x14ac:dyDescent="0.3">
      <c r="K8782">
        <v>2022</v>
      </c>
      <c r="L8782" t="s">
        <v>41</v>
      </c>
      <c r="M8782" t="s">
        <v>157</v>
      </c>
      <c r="N8782" t="s">
        <v>23</v>
      </c>
      <c r="O8782" t="s">
        <v>23</v>
      </c>
      <c r="P8782" s="1" t="s">
        <v>33</v>
      </c>
      <c r="Q8782">
        <v>172.6</v>
      </c>
    </row>
    <row r="8783" spans="11:17" x14ac:dyDescent="0.3">
      <c r="K8783">
        <v>2022</v>
      </c>
      <c r="L8783" t="s">
        <v>41</v>
      </c>
      <c r="M8783" t="s">
        <v>157</v>
      </c>
      <c r="N8783" t="s">
        <v>22</v>
      </c>
      <c r="O8783" t="s">
        <v>20</v>
      </c>
      <c r="P8783" s="1" t="s">
        <v>30</v>
      </c>
      <c r="Q8783">
        <v>172.3</v>
      </c>
    </row>
    <row r="8784" spans="11:17" x14ac:dyDescent="0.3">
      <c r="K8784">
        <v>2022</v>
      </c>
      <c r="L8784" t="s">
        <v>41</v>
      </c>
      <c r="M8784" t="s">
        <v>157</v>
      </c>
      <c r="N8784" t="s">
        <v>22</v>
      </c>
      <c r="O8784" t="s">
        <v>20</v>
      </c>
      <c r="P8784" s="1" t="s">
        <v>34</v>
      </c>
      <c r="Q8784">
        <v>168.5</v>
      </c>
    </row>
    <row r="8785" spans="11:17" x14ac:dyDescent="0.3">
      <c r="K8785">
        <v>2022</v>
      </c>
      <c r="L8785" t="s">
        <v>41</v>
      </c>
      <c r="M8785" t="s">
        <v>157</v>
      </c>
      <c r="N8785" t="s">
        <v>22</v>
      </c>
      <c r="O8785" t="s">
        <v>20</v>
      </c>
      <c r="P8785" s="1" t="s">
        <v>33</v>
      </c>
      <c r="Q8785">
        <v>164.2</v>
      </c>
    </row>
    <row r="8786" spans="11:17" x14ac:dyDescent="0.3">
      <c r="K8786">
        <v>2022</v>
      </c>
      <c r="L8786" t="s">
        <v>41</v>
      </c>
      <c r="M8786" t="s">
        <v>157</v>
      </c>
      <c r="N8786" t="s">
        <v>20</v>
      </c>
      <c r="O8786" t="s">
        <v>20</v>
      </c>
      <c r="P8786" s="1" t="s">
        <v>30</v>
      </c>
      <c r="Q8786">
        <v>0</v>
      </c>
    </row>
    <row r="8787" spans="11:17" x14ac:dyDescent="0.3">
      <c r="K8787">
        <v>2022</v>
      </c>
      <c r="L8787" t="s">
        <v>41</v>
      </c>
      <c r="M8787" t="s">
        <v>157</v>
      </c>
      <c r="N8787" t="s">
        <v>20</v>
      </c>
      <c r="O8787" t="s">
        <v>20</v>
      </c>
      <c r="P8787" s="1" t="s">
        <v>34</v>
      </c>
      <c r="Q8787">
        <v>169</v>
      </c>
    </row>
    <row r="8788" spans="11:17" x14ac:dyDescent="0.3">
      <c r="K8788">
        <v>2022</v>
      </c>
      <c r="L8788" t="s">
        <v>41</v>
      </c>
      <c r="M8788" t="s">
        <v>157</v>
      </c>
      <c r="N8788" t="s">
        <v>20</v>
      </c>
      <c r="O8788" t="s">
        <v>20</v>
      </c>
      <c r="P8788" s="1" t="s">
        <v>33</v>
      </c>
      <c r="Q8788">
        <v>169</v>
      </c>
    </row>
    <row r="8789" spans="11:17" x14ac:dyDescent="0.3">
      <c r="K8789">
        <v>2022</v>
      </c>
      <c r="L8789" t="s">
        <v>41</v>
      </c>
      <c r="M8789" t="s">
        <v>157</v>
      </c>
      <c r="N8789" t="s">
        <v>4</v>
      </c>
      <c r="O8789" t="s">
        <v>188</v>
      </c>
      <c r="P8789" s="1" t="s">
        <v>30</v>
      </c>
      <c r="Q8789">
        <v>204.1</v>
      </c>
    </row>
    <row r="8790" spans="11:17" x14ac:dyDescent="0.3">
      <c r="K8790">
        <v>2022</v>
      </c>
      <c r="L8790" t="s">
        <v>41</v>
      </c>
      <c r="M8790" t="s">
        <v>157</v>
      </c>
      <c r="N8790" t="s">
        <v>4</v>
      </c>
      <c r="O8790" t="s">
        <v>188</v>
      </c>
      <c r="P8790" s="1" t="s">
        <v>34</v>
      </c>
      <c r="Q8790">
        <v>206.5</v>
      </c>
    </row>
    <row r="8791" spans="11:17" x14ac:dyDescent="0.3">
      <c r="K8791">
        <v>2022</v>
      </c>
      <c r="L8791" t="s">
        <v>41</v>
      </c>
      <c r="M8791" t="s">
        <v>157</v>
      </c>
      <c r="N8791" t="s">
        <v>4</v>
      </c>
      <c r="O8791" t="s">
        <v>188</v>
      </c>
      <c r="P8791" s="1" t="s">
        <v>33</v>
      </c>
      <c r="Q8791">
        <v>210.9</v>
      </c>
    </row>
    <row r="8792" spans="11:17" x14ac:dyDescent="0.3">
      <c r="K8792">
        <v>2022</v>
      </c>
      <c r="L8792" t="s">
        <v>41</v>
      </c>
      <c r="M8792" t="s">
        <v>157</v>
      </c>
      <c r="N8792" t="s">
        <v>6</v>
      </c>
      <c r="O8792" t="s">
        <v>188</v>
      </c>
      <c r="P8792" s="1" t="s">
        <v>30</v>
      </c>
      <c r="Q8792">
        <v>167.9</v>
      </c>
    </row>
    <row r="8793" spans="11:17" x14ac:dyDescent="0.3">
      <c r="K8793">
        <v>2022</v>
      </c>
      <c r="L8793" t="s">
        <v>41</v>
      </c>
      <c r="M8793" t="s">
        <v>157</v>
      </c>
      <c r="N8793" t="s">
        <v>6</v>
      </c>
      <c r="O8793" t="s">
        <v>188</v>
      </c>
      <c r="P8793" s="1" t="s">
        <v>34</v>
      </c>
      <c r="Q8793">
        <v>168.1</v>
      </c>
    </row>
    <row r="8794" spans="11:17" x14ac:dyDescent="0.3">
      <c r="K8794">
        <v>2022</v>
      </c>
      <c r="L8794" t="s">
        <v>41</v>
      </c>
      <c r="M8794" t="s">
        <v>157</v>
      </c>
      <c r="N8794" t="s">
        <v>6</v>
      </c>
      <c r="O8794" t="s">
        <v>188</v>
      </c>
      <c r="P8794" s="1" t="s">
        <v>33</v>
      </c>
      <c r="Q8794">
        <v>168.4</v>
      </c>
    </row>
    <row r="8795" spans="11:17" x14ac:dyDescent="0.3">
      <c r="K8795">
        <v>2022</v>
      </c>
      <c r="L8795" t="s">
        <v>41</v>
      </c>
      <c r="M8795" t="s">
        <v>157</v>
      </c>
      <c r="N8795" t="s">
        <v>28</v>
      </c>
      <c r="O8795" t="s">
        <v>192</v>
      </c>
      <c r="P8795" s="1" t="s">
        <v>30</v>
      </c>
      <c r="Q8795">
        <v>172.6</v>
      </c>
    </row>
    <row r="8796" spans="11:17" x14ac:dyDescent="0.3">
      <c r="K8796">
        <v>2022</v>
      </c>
      <c r="L8796" t="s">
        <v>41</v>
      </c>
      <c r="M8796" t="s">
        <v>157</v>
      </c>
      <c r="N8796" t="s">
        <v>28</v>
      </c>
      <c r="O8796" t="s">
        <v>192</v>
      </c>
      <c r="P8796" s="1" t="s">
        <v>34</v>
      </c>
      <c r="Q8796">
        <v>169.1</v>
      </c>
    </row>
    <row r="8797" spans="11:17" x14ac:dyDescent="0.3">
      <c r="K8797">
        <v>2022</v>
      </c>
      <c r="L8797" t="s">
        <v>41</v>
      </c>
      <c r="M8797" t="s">
        <v>157</v>
      </c>
      <c r="N8797" t="s">
        <v>28</v>
      </c>
      <c r="O8797" t="s">
        <v>192</v>
      </c>
      <c r="P8797" s="1" t="s">
        <v>33</v>
      </c>
      <c r="Q8797">
        <v>165.4</v>
      </c>
    </row>
    <row r="8798" spans="11:17" x14ac:dyDescent="0.3">
      <c r="K8798">
        <v>2022</v>
      </c>
      <c r="L8798" t="s">
        <v>41</v>
      </c>
      <c r="M8798" t="s">
        <v>157</v>
      </c>
      <c r="N8798" t="s">
        <v>13</v>
      </c>
      <c r="O8798" t="s">
        <v>188</v>
      </c>
      <c r="P8798" s="1" t="s">
        <v>30</v>
      </c>
      <c r="Q8798">
        <v>174.8</v>
      </c>
    </row>
    <row r="8799" spans="11:17" x14ac:dyDescent="0.3">
      <c r="K8799">
        <v>2022</v>
      </c>
      <c r="L8799" t="s">
        <v>41</v>
      </c>
      <c r="M8799" t="s">
        <v>157</v>
      </c>
      <c r="N8799" t="s">
        <v>13</v>
      </c>
      <c r="O8799" t="s">
        <v>188</v>
      </c>
      <c r="P8799" s="1" t="s">
        <v>34</v>
      </c>
      <c r="Q8799">
        <v>168.8</v>
      </c>
    </row>
    <row r="8800" spans="11:17" x14ac:dyDescent="0.3">
      <c r="K8800">
        <v>2022</v>
      </c>
      <c r="L8800" t="s">
        <v>41</v>
      </c>
      <c r="M8800" t="s">
        <v>157</v>
      </c>
      <c r="N8800" t="s">
        <v>13</v>
      </c>
      <c r="O8800" t="s">
        <v>188</v>
      </c>
      <c r="P8800" s="1" t="s">
        <v>33</v>
      </c>
      <c r="Q8800">
        <v>160.5</v>
      </c>
    </row>
    <row r="8801" spans="11:17" x14ac:dyDescent="0.3">
      <c r="K8801">
        <v>2022</v>
      </c>
      <c r="L8801" t="s">
        <v>41</v>
      </c>
      <c r="M8801" t="s">
        <v>157</v>
      </c>
      <c r="N8801" t="s">
        <v>7</v>
      </c>
      <c r="O8801" t="s">
        <v>188</v>
      </c>
      <c r="P8801" s="1" t="s">
        <v>30</v>
      </c>
      <c r="Q8801">
        <v>198.1</v>
      </c>
    </row>
    <row r="8802" spans="11:17" x14ac:dyDescent="0.3">
      <c r="K8802">
        <v>2022</v>
      </c>
      <c r="L8802" t="s">
        <v>41</v>
      </c>
      <c r="M8802" t="s">
        <v>157</v>
      </c>
      <c r="N8802" t="s">
        <v>7</v>
      </c>
      <c r="O8802" t="s">
        <v>188</v>
      </c>
      <c r="P8802" s="1" t="s">
        <v>34</v>
      </c>
      <c r="Q8802">
        <v>192.4</v>
      </c>
    </row>
    <row r="8803" spans="11:17" x14ac:dyDescent="0.3">
      <c r="K8803">
        <v>2022</v>
      </c>
      <c r="L8803" t="s">
        <v>41</v>
      </c>
      <c r="M8803" t="s">
        <v>157</v>
      </c>
      <c r="N8803" t="s">
        <v>7</v>
      </c>
      <c r="O8803" t="s">
        <v>188</v>
      </c>
      <c r="P8803" s="1" t="s">
        <v>33</v>
      </c>
      <c r="Q8803">
        <v>182.5</v>
      </c>
    </row>
    <row r="8804" spans="11:17" x14ac:dyDescent="0.3">
      <c r="K8804">
        <v>2022</v>
      </c>
      <c r="L8804" t="s">
        <v>41</v>
      </c>
      <c r="M8804" t="s">
        <v>157</v>
      </c>
      <c r="N8804" t="s">
        <v>16</v>
      </c>
      <c r="O8804" t="s">
        <v>192</v>
      </c>
      <c r="P8804" s="1" t="s">
        <v>30</v>
      </c>
      <c r="Q8804">
        <v>193.7</v>
      </c>
    </row>
    <row r="8805" spans="11:17" x14ac:dyDescent="0.3">
      <c r="K8805">
        <v>2022</v>
      </c>
      <c r="L8805" t="s">
        <v>41</v>
      </c>
      <c r="M8805" t="s">
        <v>157</v>
      </c>
      <c r="N8805" t="s">
        <v>16</v>
      </c>
      <c r="O8805" t="s">
        <v>192</v>
      </c>
      <c r="P8805" s="1" t="s">
        <v>34</v>
      </c>
      <c r="Q8805">
        <v>195</v>
      </c>
    </row>
    <row r="8806" spans="11:17" x14ac:dyDescent="0.3">
      <c r="K8806">
        <v>2022</v>
      </c>
      <c r="L8806" t="s">
        <v>41</v>
      </c>
      <c r="M8806" t="s">
        <v>157</v>
      </c>
      <c r="N8806" t="s">
        <v>16</v>
      </c>
      <c r="O8806" t="s">
        <v>192</v>
      </c>
      <c r="P8806" s="1" t="s">
        <v>33</v>
      </c>
      <c r="Q8806">
        <v>198.7</v>
      </c>
    </row>
    <row r="8807" spans="11:17" x14ac:dyDescent="0.3">
      <c r="K8807">
        <v>2022</v>
      </c>
      <c r="L8807" t="s">
        <v>41</v>
      </c>
      <c r="M8807" t="s">
        <v>157</v>
      </c>
      <c r="N8807" t="s">
        <v>27</v>
      </c>
      <c r="O8807" t="s">
        <v>192</v>
      </c>
      <c r="P8807" s="1" t="s">
        <v>30</v>
      </c>
      <c r="Q8807">
        <v>171.1</v>
      </c>
    </row>
    <row r="8808" spans="11:17" x14ac:dyDescent="0.3">
      <c r="K8808">
        <v>2022</v>
      </c>
      <c r="L8808" t="s">
        <v>41</v>
      </c>
      <c r="M8808" t="s">
        <v>157</v>
      </c>
      <c r="N8808" t="s">
        <v>27</v>
      </c>
      <c r="O8808" t="s">
        <v>192</v>
      </c>
      <c r="P8808" s="1" t="s">
        <v>34</v>
      </c>
      <c r="Q8808">
        <v>171.2</v>
      </c>
    </row>
    <row r="8809" spans="11:17" x14ac:dyDescent="0.3">
      <c r="K8809">
        <v>2022</v>
      </c>
      <c r="L8809" t="s">
        <v>41</v>
      </c>
      <c r="M8809" t="s">
        <v>157</v>
      </c>
      <c r="N8809" t="s">
        <v>27</v>
      </c>
      <c r="O8809" t="s">
        <v>192</v>
      </c>
      <c r="P8809" s="1" t="s">
        <v>33</v>
      </c>
      <c r="Q8809">
        <v>171.4</v>
      </c>
    </row>
    <row r="8810" spans="11:17" x14ac:dyDescent="0.3">
      <c r="K8810">
        <v>2022</v>
      </c>
      <c r="L8810" t="s">
        <v>41</v>
      </c>
      <c r="M8810" t="s">
        <v>157</v>
      </c>
      <c r="N8810" t="s">
        <v>14</v>
      </c>
      <c r="O8810" t="s">
        <v>188</v>
      </c>
      <c r="P8810" s="1" t="s">
        <v>30</v>
      </c>
      <c r="Q8810">
        <v>184</v>
      </c>
    </row>
    <row r="8811" spans="11:17" x14ac:dyDescent="0.3">
      <c r="K8811">
        <v>2022</v>
      </c>
      <c r="L8811" t="s">
        <v>41</v>
      </c>
      <c r="M8811" t="s">
        <v>157</v>
      </c>
      <c r="N8811" t="s">
        <v>14</v>
      </c>
      <c r="O8811" t="s">
        <v>188</v>
      </c>
      <c r="P8811" s="1" t="s">
        <v>34</v>
      </c>
      <c r="Q8811">
        <v>186.3</v>
      </c>
    </row>
    <row r="8812" spans="11:17" x14ac:dyDescent="0.3">
      <c r="K8812">
        <v>2022</v>
      </c>
      <c r="L8812" t="s">
        <v>41</v>
      </c>
      <c r="M8812" t="s">
        <v>157</v>
      </c>
      <c r="N8812" t="s">
        <v>14</v>
      </c>
      <c r="O8812" t="s">
        <v>188</v>
      </c>
      <c r="P8812" s="1" t="s">
        <v>33</v>
      </c>
      <c r="Q8812">
        <v>188.9</v>
      </c>
    </row>
    <row r="8813" spans="11:17" x14ac:dyDescent="0.3">
      <c r="K8813">
        <v>2022</v>
      </c>
      <c r="L8813" t="s">
        <v>41</v>
      </c>
      <c r="M8813" t="s">
        <v>157</v>
      </c>
      <c r="N8813" t="s">
        <v>10</v>
      </c>
      <c r="O8813" t="s">
        <v>188</v>
      </c>
      <c r="P8813" s="1" t="s">
        <v>30</v>
      </c>
      <c r="Q8813">
        <v>167.1</v>
      </c>
    </row>
    <row r="8814" spans="11:17" x14ac:dyDescent="0.3">
      <c r="K8814">
        <v>2022</v>
      </c>
      <c r="L8814" t="s">
        <v>41</v>
      </c>
      <c r="M8814" t="s">
        <v>157</v>
      </c>
      <c r="N8814" t="s">
        <v>10</v>
      </c>
      <c r="O8814" t="s">
        <v>188</v>
      </c>
      <c r="P8814" s="1" t="s">
        <v>34</v>
      </c>
      <c r="Q8814">
        <v>167.2</v>
      </c>
    </row>
    <row r="8815" spans="11:17" x14ac:dyDescent="0.3">
      <c r="K8815">
        <v>2022</v>
      </c>
      <c r="L8815" t="s">
        <v>41</v>
      </c>
      <c r="M8815" t="s">
        <v>157</v>
      </c>
      <c r="N8815" t="s">
        <v>10</v>
      </c>
      <c r="O8815" t="s">
        <v>188</v>
      </c>
      <c r="P8815" s="1" t="s">
        <v>33</v>
      </c>
      <c r="Q8815">
        <v>167.3</v>
      </c>
    </row>
    <row r="8816" spans="11:17" x14ac:dyDescent="0.3">
      <c r="K8816">
        <v>2022</v>
      </c>
      <c r="L8816" t="s">
        <v>41</v>
      </c>
      <c r="M8816" t="s">
        <v>157</v>
      </c>
      <c r="N8816" t="s">
        <v>25</v>
      </c>
      <c r="O8816" t="s">
        <v>195</v>
      </c>
      <c r="P8816" s="1" t="s">
        <v>30</v>
      </c>
      <c r="Q8816">
        <v>169.3</v>
      </c>
    </row>
    <row r="8817" spans="11:17" x14ac:dyDescent="0.3">
      <c r="K8817">
        <v>2022</v>
      </c>
      <c r="L8817" t="s">
        <v>41</v>
      </c>
      <c r="M8817" t="s">
        <v>157</v>
      </c>
      <c r="N8817" t="s">
        <v>25</v>
      </c>
      <c r="O8817" t="s">
        <v>195</v>
      </c>
      <c r="P8817" s="1" t="s">
        <v>34</v>
      </c>
      <c r="Q8817">
        <v>166.9</v>
      </c>
    </row>
    <row r="8818" spans="11:17" x14ac:dyDescent="0.3">
      <c r="K8818">
        <v>2022</v>
      </c>
      <c r="L8818" t="s">
        <v>41</v>
      </c>
      <c r="M8818" t="s">
        <v>157</v>
      </c>
      <c r="N8818" t="s">
        <v>25</v>
      </c>
      <c r="O8818" t="s">
        <v>195</v>
      </c>
      <c r="P8818" s="1" t="s">
        <v>33</v>
      </c>
      <c r="Q8818">
        <v>165.1</v>
      </c>
    </row>
    <row r="8819" spans="11:17" x14ac:dyDescent="0.3">
      <c r="K8819">
        <v>2022</v>
      </c>
      <c r="L8819" t="s">
        <v>41</v>
      </c>
      <c r="M8819" t="s">
        <v>157</v>
      </c>
      <c r="N8819" t="s">
        <v>12</v>
      </c>
      <c r="O8819" t="s">
        <v>188</v>
      </c>
      <c r="P8819" s="1" t="s">
        <v>30</v>
      </c>
      <c r="Q8819">
        <v>195.6</v>
      </c>
    </row>
    <row r="8820" spans="11:17" x14ac:dyDescent="0.3">
      <c r="K8820">
        <v>2022</v>
      </c>
      <c r="L8820" t="s">
        <v>41</v>
      </c>
      <c r="M8820" t="s">
        <v>157</v>
      </c>
      <c r="N8820" t="s">
        <v>12</v>
      </c>
      <c r="O8820" t="s">
        <v>188</v>
      </c>
      <c r="P8820" s="1" t="s">
        <v>34</v>
      </c>
      <c r="Q8820">
        <v>193.6</v>
      </c>
    </row>
    <row r="8821" spans="11:17" x14ac:dyDescent="0.3">
      <c r="K8821">
        <v>2022</v>
      </c>
      <c r="L8821" t="s">
        <v>41</v>
      </c>
      <c r="M8821" t="s">
        <v>157</v>
      </c>
      <c r="N8821" t="s">
        <v>12</v>
      </c>
      <c r="O8821" t="s">
        <v>188</v>
      </c>
      <c r="P8821" s="1" t="s">
        <v>33</v>
      </c>
      <c r="Q8821">
        <v>189.7</v>
      </c>
    </row>
    <row r="8822" spans="11:17" x14ac:dyDescent="0.3">
      <c r="K8822">
        <v>2022</v>
      </c>
      <c r="L8822" t="s">
        <v>41</v>
      </c>
      <c r="M8822" t="s">
        <v>157</v>
      </c>
      <c r="N8822" t="s">
        <v>11</v>
      </c>
      <c r="O8822" t="s">
        <v>188</v>
      </c>
      <c r="P8822" s="1" t="s">
        <v>30</v>
      </c>
      <c r="Q8822">
        <v>120.2</v>
      </c>
    </row>
    <row r="8823" spans="11:17" x14ac:dyDescent="0.3">
      <c r="K8823">
        <v>2022</v>
      </c>
      <c r="L8823" t="s">
        <v>41</v>
      </c>
      <c r="M8823" t="s">
        <v>157</v>
      </c>
      <c r="N8823" t="s">
        <v>11</v>
      </c>
      <c r="O8823" t="s">
        <v>188</v>
      </c>
      <c r="P8823" s="1" t="s">
        <v>34</v>
      </c>
      <c r="Q8823">
        <v>120.9</v>
      </c>
    </row>
    <row r="8824" spans="11:17" x14ac:dyDescent="0.3">
      <c r="K8824">
        <v>2022</v>
      </c>
      <c r="L8824" t="s">
        <v>41</v>
      </c>
      <c r="M8824" t="s">
        <v>157</v>
      </c>
      <c r="N8824" t="s">
        <v>11</v>
      </c>
      <c r="O8824" t="s">
        <v>188</v>
      </c>
      <c r="P8824" s="1" t="s">
        <v>33</v>
      </c>
      <c r="Q8824">
        <v>122.2</v>
      </c>
    </row>
    <row r="8825" spans="11:17" x14ac:dyDescent="0.3">
      <c r="K8825">
        <v>2022</v>
      </c>
      <c r="L8825" t="s">
        <v>41</v>
      </c>
      <c r="M8825" t="s">
        <v>157</v>
      </c>
      <c r="N8825" t="s">
        <v>24</v>
      </c>
      <c r="O8825" t="s">
        <v>191</v>
      </c>
      <c r="P8825" s="1" t="s">
        <v>30</v>
      </c>
      <c r="Q8825">
        <v>166.6</v>
      </c>
    </row>
    <row r="8826" spans="11:17" x14ac:dyDescent="0.3">
      <c r="K8826">
        <v>2022</v>
      </c>
      <c r="L8826" t="s">
        <v>41</v>
      </c>
      <c r="M8826" t="s">
        <v>157</v>
      </c>
      <c r="N8826" t="s">
        <v>24</v>
      </c>
      <c r="O8826" t="s">
        <v>191</v>
      </c>
      <c r="P8826" s="1" t="s">
        <v>34</v>
      </c>
      <c r="Q8826">
        <v>161.9</v>
      </c>
    </row>
    <row r="8827" spans="11:17" x14ac:dyDescent="0.3">
      <c r="K8827">
        <v>2022</v>
      </c>
      <c r="L8827" t="s">
        <v>41</v>
      </c>
      <c r="M8827" t="s">
        <v>157</v>
      </c>
      <c r="N8827" t="s">
        <v>24</v>
      </c>
      <c r="O8827" t="s">
        <v>191</v>
      </c>
      <c r="P8827" s="1" t="s">
        <v>33</v>
      </c>
      <c r="Q8827">
        <v>157.69999999999999</v>
      </c>
    </row>
    <row r="8828" spans="11:17" x14ac:dyDescent="0.3">
      <c r="K8828">
        <v>2022</v>
      </c>
      <c r="L8828" t="s">
        <v>41</v>
      </c>
      <c r="M8828" t="s">
        <v>157</v>
      </c>
      <c r="N8828" t="s">
        <v>9</v>
      </c>
      <c r="O8828" t="s">
        <v>188</v>
      </c>
      <c r="P8828" s="1" t="s">
        <v>30</v>
      </c>
      <c r="Q8828">
        <v>173.1</v>
      </c>
    </row>
    <row r="8829" spans="11:17" x14ac:dyDescent="0.3">
      <c r="K8829">
        <v>2022</v>
      </c>
      <c r="L8829" t="s">
        <v>41</v>
      </c>
      <c r="M8829" t="s">
        <v>157</v>
      </c>
      <c r="N8829" t="s">
        <v>9</v>
      </c>
      <c r="O8829" t="s">
        <v>188</v>
      </c>
      <c r="P8829" s="1" t="s">
        <v>34</v>
      </c>
      <c r="Q8829">
        <v>186.7</v>
      </c>
    </row>
    <row r="8830" spans="11:17" x14ac:dyDescent="0.3">
      <c r="K8830">
        <v>2022</v>
      </c>
      <c r="L8830" t="s">
        <v>41</v>
      </c>
      <c r="M8830" t="s">
        <v>157</v>
      </c>
      <c r="N8830" t="s">
        <v>9</v>
      </c>
      <c r="O8830" t="s">
        <v>188</v>
      </c>
      <c r="P8830" s="1" t="s">
        <v>33</v>
      </c>
      <c r="Q8830">
        <v>213.1</v>
      </c>
    </row>
    <row r="8831" spans="11:17" x14ac:dyDescent="0.3">
      <c r="K8831">
        <v>2022</v>
      </c>
      <c r="L8831" t="s">
        <v>45</v>
      </c>
      <c r="M8831" t="s">
        <v>158</v>
      </c>
      <c r="N8831" t="s">
        <v>3</v>
      </c>
      <c r="O8831" t="s">
        <v>188</v>
      </c>
      <c r="P8831" s="1" t="s">
        <v>30</v>
      </c>
      <c r="Q8831">
        <v>168.8</v>
      </c>
    </row>
    <row r="8832" spans="11:17" x14ac:dyDescent="0.3">
      <c r="K8832">
        <v>2022</v>
      </c>
      <c r="L8832" t="s">
        <v>45</v>
      </c>
      <c r="M8832" t="s">
        <v>158</v>
      </c>
      <c r="N8832" t="s">
        <v>3</v>
      </c>
      <c r="O8832" t="s">
        <v>188</v>
      </c>
      <c r="P8832" s="1" t="s">
        <v>34</v>
      </c>
      <c r="Q8832">
        <v>169.2</v>
      </c>
    </row>
    <row r="8833" spans="11:17" x14ac:dyDescent="0.3">
      <c r="K8833">
        <v>2022</v>
      </c>
      <c r="L8833" t="s">
        <v>45</v>
      </c>
      <c r="M8833" t="s">
        <v>158</v>
      </c>
      <c r="N8833" t="s">
        <v>3</v>
      </c>
      <c r="O8833" t="s">
        <v>188</v>
      </c>
      <c r="P8833" s="1" t="s">
        <v>33</v>
      </c>
      <c r="Q8833">
        <v>170.2</v>
      </c>
    </row>
    <row r="8834" spans="11:17" x14ac:dyDescent="0.3">
      <c r="K8834">
        <v>2022</v>
      </c>
      <c r="L8834" t="s">
        <v>45</v>
      </c>
      <c r="M8834" t="s">
        <v>158</v>
      </c>
      <c r="N8834" t="s">
        <v>17</v>
      </c>
      <c r="O8834" t="s">
        <v>189</v>
      </c>
      <c r="P8834" s="1" t="s">
        <v>30</v>
      </c>
      <c r="Q8834">
        <v>188.1</v>
      </c>
    </row>
    <row r="8835" spans="11:17" x14ac:dyDescent="0.3">
      <c r="K8835">
        <v>2022</v>
      </c>
      <c r="L8835" t="s">
        <v>45</v>
      </c>
      <c r="M8835" t="s">
        <v>158</v>
      </c>
      <c r="N8835" t="s">
        <v>17</v>
      </c>
      <c r="O8835" t="s">
        <v>189</v>
      </c>
      <c r="P8835" s="1" t="s">
        <v>34</v>
      </c>
      <c r="Q8835">
        <v>184</v>
      </c>
    </row>
    <row r="8836" spans="11:17" x14ac:dyDescent="0.3">
      <c r="K8836">
        <v>2022</v>
      </c>
      <c r="L8836" t="s">
        <v>45</v>
      </c>
      <c r="M8836" t="s">
        <v>158</v>
      </c>
      <c r="N8836" t="s">
        <v>17</v>
      </c>
      <c r="O8836" t="s">
        <v>189</v>
      </c>
      <c r="P8836" s="1" t="s">
        <v>33</v>
      </c>
      <c r="Q8836">
        <v>177.7</v>
      </c>
    </row>
    <row r="8837" spans="11:17" x14ac:dyDescent="0.3">
      <c r="K8837">
        <v>2022</v>
      </c>
      <c r="L8837" t="s">
        <v>45</v>
      </c>
      <c r="M8837" t="s">
        <v>158</v>
      </c>
      <c r="N8837" t="s">
        <v>19</v>
      </c>
      <c r="O8837" t="s">
        <v>189</v>
      </c>
      <c r="P8837" s="1" t="s">
        <v>30</v>
      </c>
      <c r="Q8837">
        <v>187.8</v>
      </c>
    </row>
    <row r="8838" spans="11:17" x14ac:dyDescent="0.3">
      <c r="K8838">
        <v>2022</v>
      </c>
      <c r="L8838" t="s">
        <v>45</v>
      </c>
      <c r="M8838" t="s">
        <v>158</v>
      </c>
      <c r="N8838" t="s">
        <v>19</v>
      </c>
      <c r="O8838" t="s">
        <v>189</v>
      </c>
      <c r="P8838" s="1" t="s">
        <v>34</v>
      </c>
      <c r="Q8838">
        <v>183</v>
      </c>
    </row>
    <row r="8839" spans="11:17" x14ac:dyDescent="0.3">
      <c r="K8839">
        <v>2022</v>
      </c>
      <c r="L8839" t="s">
        <v>45</v>
      </c>
      <c r="M8839" t="s">
        <v>158</v>
      </c>
      <c r="N8839" t="s">
        <v>19</v>
      </c>
      <c r="O8839" t="s">
        <v>189</v>
      </c>
      <c r="P8839" s="1" t="s">
        <v>33</v>
      </c>
      <c r="Q8839">
        <v>175.7</v>
      </c>
    </row>
    <row r="8840" spans="11:17" x14ac:dyDescent="0.3">
      <c r="K8840">
        <v>2022</v>
      </c>
      <c r="L8840" t="s">
        <v>45</v>
      </c>
      <c r="M8840" t="s">
        <v>158</v>
      </c>
      <c r="N8840" t="s">
        <v>26</v>
      </c>
      <c r="O8840" t="s">
        <v>26</v>
      </c>
      <c r="P8840" s="1" t="s">
        <v>30</v>
      </c>
      <c r="Q8840">
        <v>177.3</v>
      </c>
    </row>
    <row r="8841" spans="11:17" x14ac:dyDescent="0.3">
      <c r="K8841">
        <v>2022</v>
      </c>
      <c r="L8841" t="s">
        <v>45</v>
      </c>
      <c r="M8841" t="s">
        <v>158</v>
      </c>
      <c r="N8841" t="s">
        <v>26</v>
      </c>
      <c r="O8841" t="s">
        <v>26</v>
      </c>
      <c r="P8841" s="1" t="s">
        <v>34</v>
      </c>
      <c r="Q8841">
        <v>174.1</v>
      </c>
    </row>
    <row r="8842" spans="11:17" x14ac:dyDescent="0.3">
      <c r="K8842">
        <v>2022</v>
      </c>
      <c r="L8842" t="s">
        <v>45</v>
      </c>
      <c r="M8842" t="s">
        <v>158</v>
      </c>
      <c r="N8842" t="s">
        <v>26</v>
      </c>
      <c r="O8842" t="s">
        <v>26</v>
      </c>
      <c r="P8842" s="1" t="s">
        <v>33</v>
      </c>
      <c r="Q8842">
        <v>171.8</v>
      </c>
    </row>
    <row r="8843" spans="11:17" x14ac:dyDescent="0.3">
      <c r="K8843">
        <v>2022</v>
      </c>
      <c r="L8843" t="s">
        <v>45</v>
      </c>
      <c r="M8843" t="s">
        <v>158</v>
      </c>
      <c r="N8843" t="s">
        <v>5</v>
      </c>
      <c r="O8843" t="s">
        <v>188</v>
      </c>
      <c r="P8843" s="1" t="s">
        <v>30</v>
      </c>
      <c r="Q8843">
        <v>189.1</v>
      </c>
    </row>
    <row r="8844" spans="11:17" x14ac:dyDescent="0.3">
      <c r="K8844">
        <v>2022</v>
      </c>
      <c r="L8844" t="s">
        <v>45</v>
      </c>
      <c r="M8844" t="s">
        <v>158</v>
      </c>
      <c r="N8844" t="s">
        <v>5</v>
      </c>
      <c r="O8844" t="s">
        <v>188</v>
      </c>
      <c r="P8844" s="1" t="s">
        <v>34</v>
      </c>
      <c r="Q8844">
        <v>190.2</v>
      </c>
    </row>
    <row r="8845" spans="11:17" x14ac:dyDescent="0.3">
      <c r="K8845">
        <v>2022</v>
      </c>
      <c r="L8845" t="s">
        <v>45</v>
      </c>
      <c r="M8845" t="s">
        <v>158</v>
      </c>
      <c r="N8845" t="s">
        <v>5</v>
      </c>
      <c r="O8845" t="s">
        <v>188</v>
      </c>
      <c r="P8845" s="1" t="s">
        <v>33</v>
      </c>
      <c r="Q8845">
        <v>191.9</v>
      </c>
    </row>
    <row r="8846" spans="11:17" x14ac:dyDescent="0.3">
      <c r="K8846">
        <v>2022</v>
      </c>
      <c r="L8846" t="s">
        <v>45</v>
      </c>
      <c r="M8846" t="s">
        <v>158</v>
      </c>
      <c r="N8846" t="s">
        <v>15</v>
      </c>
      <c r="O8846" t="s">
        <v>188</v>
      </c>
      <c r="P8846" s="1" t="s">
        <v>30</v>
      </c>
      <c r="Q8846">
        <v>174.4</v>
      </c>
    </row>
    <row r="8847" spans="11:17" x14ac:dyDescent="0.3">
      <c r="K8847">
        <v>2022</v>
      </c>
      <c r="L8847" t="s">
        <v>45</v>
      </c>
      <c r="M8847" t="s">
        <v>158</v>
      </c>
      <c r="N8847" t="s">
        <v>15</v>
      </c>
      <c r="O8847" t="s">
        <v>188</v>
      </c>
      <c r="P8847" s="1" t="s">
        <v>34</v>
      </c>
      <c r="Q8847">
        <v>175.9</v>
      </c>
    </row>
    <row r="8848" spans="11:17" x14ac:dyDescent="0.3">
      <c r="K8848">
        <v>2022</v>
      </c>
      <c r="L8848" t="s">
        <v>45</v>
      </c>
      <c r="M8848" t="s">
        <v>158</v>
      </c>
      <c r="N8848" t="s">
        <v>15</v>
      </c>
      <c r="O8848" t="s">
        <v>188</v>
      </c>
      <c r="P8848" s="1" t="s">
        <v>33</v>
      </c>
      <c r="Q8848">
        <v>178.6</v>
      </c>
    </row>
    <row r="8849" spans="11:17" x14ac:dyDescent="0.3">
      <c r="K8849">
        <v>2022</v>
      </c>
      <c r="L8849" t="s">
        <v>45</v>
      </c>
      <c r="M8849" t="s">
        <v>158</v>
      </c>
      <c r="N8849" t="s">
        <v>18</v>
      </c>
      <c r="O8849" t="s">
        <v>189</v>
      </c>
      <c r="P8849" s="1" t="s">
        <v>30</v>
      </c>
      <c r="Q8849">
        <v>185.9</v>
      </c>
    </row>
    <row r="8850" spans="11:17" x14ac:dyDescent="0.3">
      <c r="K8850">
        <v>2022</v>
      </c>
      <c r="L8850" t="s">
        <v>45</v>
      </c>
      <c r="M8850" t="s">
        <v>158</v>
      </c>
      <c r="N8850" t="s">
        <v>18</v>
      </c>
      <c r="O8850" t="s">
        <v>189</v>
      </c>
      <c r="P8850" s="1" t="s">
        <v>34</v>
      </c>
      <c r="Q8850">
        <v>177</v>
      </c>
    </row>
    <row r="8851" spans="11:17" x14ac:dyDescent="0.3">
      <c r="K8851">
        <v>2022</v>
      </c>
      <c r="L8851" t="s">
        <v>45</v>
      </c>
      <c r="M8851" t="s">
        <v>158</v>
      </c>
      <c r="N8851" t="s">
        <v>18</v>
      </c>
      <c r="O8851" t="s">
        <v>189</v>
      </c>
      <c r="P8851" s="1" t="s">
        <v>33</v>
      </c>
      <c r="Q8851">
        <v>164.5</v>
      </c>
    </row>
    <row r="8852" spans="11:17" x14ac:dyDescent="0.3">
      <c r="K8852">
        <v>2022</v>
      </c>
      <c r="L8852" t="s">
        <v>45</v>
      </c>
      <c r="M8852" t="s">
        <v>158</v>
      </c>
      <c r="N8852" t="s">
        <v>8</v>
      </c>
      <c r="O8852" t="s">
        <v>188</v>
      </c>
      <c r="P8852" s="1" t="s">
        <v>30</v>
      </c>
      <c r="Q8852">
        <v>156.69999999999999</v>
      </c>
    </row>
    <row r="8853" spans="11:17" x14ac:dyDescent="0.3">
      <c r="K8853">
        <v>2022</v>
      </c>
      <c r="L8853" t="s">
        <v>45</v>
      </c>
      <c r="M8853" t="s">
        <v>158</v>
      </c>
      <c r="N8853" t="s">
        <v>8</v>
      </c>
      <c r="O8853" t="s">
        <v>188</v>
      </c>
      <c r="P8853" s="1" t="s">
        <v>34</v>
      </c>
      <c r="Q8853">
        <v>158</v>
      </c>
    </row>
    <row r="8854" spans="11:17" x14ac:dyDescent="0.3">
      <c r="K8854">
        <v>2022</v>
      </c>
      <c r="L8854" t="s">
        <v>45</v>
      </c>
      <c r="M8854" t="s">
        <v>158</v>
      </c>
      <c r="N8854" t="s">
        <v>8</v>
      </c>
      <c r="O8854" t="s">
        <v>188</v>
      </c>
      <c r="P8854" s="1" t="s">
        <v>33</v>
      </c>
      <c r="Q8854">
        <v>159.5</v>
      </c>
    </row>
    <row r="8855" spans="11:17" x14ac:dyDescent="0.3">
      <c r="K8855">
        <v>2022</v>
      </c>
      <c r="L8855" t="s">
        <v>45</v>
      </c>
      <c r="M8855" t="s">
        <v>158</v>
      </c>
      <c r="N8855" t="s">
        <v>21</v>
      </c>
      <c r="O8855" t="s">
        <v>190</v>
      </c>
      <c r="P8855" s="1" t="s">
        <v>30</v>
      </c>
      <c r="Q8855">
        <v>182.8</v>
      </c>
    </row>
    <row r="8856" spans="11:17" x14ac:dyDescent="0.3">
      <c r="K8856">
        <v>2022</v>
      </c>
      <c r="L8856" t="s">
        <v>45</v>
      </c>
      <c r="M8856" t="s">
        <v>158</v>
      </c>
      <c r="N8856" t="s">
        <v>21</v>
      </c>
      <c r="O8856" t="s">
        <v>190</v>
      </c>
      <c r="P8856" s="1" t="s">
        <v>34</v>
      </c>
      <c r="Q8856">
        <v>182</v>
      </c>
    </row>
    <row r="8857" spans="11:17" x14ac:dyDescent="0.3">
      <c r="K8857">
        <v>2022</v>
      </c>
      <c r="L8857" t="s">
        <v>45</v>
      </c>
      <c r="M8857" t="s">
        <v>158</v>
      </c>
      <c r="N8857" t="s">
        <v>21</v>
      </c>
      <c r="O8857" t="s">
        <v>190</v>
      </c>
      <c r="P8857" s="1" t="s">
        <v>33</v>
      </c>
      <c r="Q8857">
        <v>180.6</v>
      </c>
    </row>
    <row r="8858" spans="11:17" x14ac:dyDescent="0.3">
      <c r="K8858">
        <v>2022</v>
      </c>
      <c r="L8858" t="s">
        <v>45</v>
      </c>
      <c r="M8858" t="s">
        <v>158</v>
      </c>
      <c r="N8858" t="s">
        <v>29</v>
      </c>
      <c r="O8858" t="s">
        <v>206</v>
      </c>
      <c r="P8858" s="1" t="s">
        <v>30</v>
      </c>
      <c r="Q8858">
        <v>177.1</v>
      </c>
    </row>
    <row r="8859" spans="11:17" x14ac:dyDescent="0.3">
      <c r="K8859">
        <v>2022</v>
      </c>
      <c r="L8859" t="s">
        <v>45</v>
      </c>
      <c r="M8859" t="s">
        <v>158</v>
      </c>
      <c r="N8859" t="s">
        <v>29</v>
      </c>
      <c r="O8859" t="s">
        <v>206</v>
      </c>
      <c r="P8859" s="1" t="s">
        <v>34</v>
      </c>
      <c r="Q8859">
        <v>175.7</v>
      </c>
    </row>
    <row r="8860" spans="11:17" x14ac:dyDescent="0.3">
      <c r="K8860">
        <v>2022</v>
      </c>
      <c r="L8860" t="s">
        <v>45</v>
      </c>
      <c r="M8860" t="s">
        <v>158</v>
      </c>
      <c r="N8860" t="s">
        <v>29</v>
      </c>
      <c r="O8860" t="s">
        <v>206</v>
      </c>
      <c r="P8860" s="1" t="s">
        <v>33</v>
      </c>
      <c r="Q8860">
        <v>174.1</v>
      </c>
    </row>
    <row r="8861" spans="11:17" x14ac:dyDescent="0.3">
      <c r="K8861">
        <v>2022</v>
      </c>
      <c r="L8861" t="s">
        <v>45</v>
      </c>
      <c r="M8861" t="s">
        <v>158</v>
      </c>
      <c r="N8861" t="s">
        <v>23</v>
      </c>
      <c r="O8861" t="s">
        <v>23</v>
      </c>
      <c r="P8861" s="1" t="s">
        <v>30</v>
      </c>
      <c r="Q8861">
        <v>183.5</v>
      </c>
    </row>
    <row r="8862" spans="11:17" x14ac:dyDescent="0.3">
      <c r="K8862">
        <v>2022</v>
      </c>
      <c r="L8862" t="s">
        <v>45</v>
      </c>
      <c r="M8862" t="s">
        <v>158</v>
      </c>
      <c r="N8862" t="s">
        <v>23</v>
      </c>
      <c r="O8862" t="s">
        <v>23</v>
      </c>
      <c r="P8862" s="1" t="s">
        <v>34</v>
      </c>
      <c r="Q8862">
        <v>181.1</v>
      </c>
    </row>
    <row r="8863" spans="11:17" x14ac:dyDescent="0.3">
      <c r="K8863">
        <v>2022</v>
      </c>
      <c r="L8863" t="s">
        <v>45</v>
      </c>
      <c r="M8863" t="s">
        <v>158</v>
      </c>
      <c r="N8863" t="s">
        <v>23</v>
      </c>
      <c r="O8863" t="s">
        <v>23</v>
      </c>
      <c r="P8863" s="1" t="s">
        <v>33</v>
      </c>
      <c r="Q8863">
        <v>177.2</v>
      </c>
    </row>
    <row r="8864" spans="11:17" x14ac:dyDescent="0.3">
      <c r="K8864">
        <v>2022</v>
      </c>
      <c r="L8864" t="s">
        <v>45</v>
      </c>
      <c r="M8864" t="s">
        <v>158</v>
      </c>
      <c r="N8864" t="s">
        <v>22</v>
      </c>
      <c r="O8864" t="s">
        <v>20</v>
      </c>
      <c r="P8864" s="1" t="s">
        <v>30</v>
      </c>
      <c r="Q8864">
        <v>176.4</v>
      </c>
    </row>
    <row r="8865" spans="11:17" x14ac:dyDescent="0.3">
      <c r="K8865">
        <v>2022</v>
      </c>
      <c r="L8865" t="s">
        <v>45</v>
      </c>
      <c r="M8865" t="s">
        <v>158</v>
      </c>
      <c r="N8865" t="s">
        <v>22</v>
      </c>
      <c r="O8865" t="s">
        <v>20</v>
      </c>
      <c r="P8865" s="1" t="s">
        <v>34</v>
      </c>
      <c r="Q8865">
        <v>172.1</v>
      </c>
    </row>
    <row r="8866" spans="11:17" x14ac:dyDescent="0.3">
      <c r="K8866">
        <v>2022</v>
      </c>
      <c r="L8866" t="s">
        <v>45</v>
      </c>
      <c r="M8866" t="s">
        <v>158</v>
      </c>
      <c r="N8866" t="s">
        <v>22</v>
      </c>
      <c r="O8866" t="s">
        <v>20</v>
      </c>
      <c r="P8866" s="1" t="s">
        <v>33</v>
      </c>
      <c r="Q8866">
        <v>167.3</v>
      </c>
    </row>
    <row r="8867" spans="11:17" x14ac:dyDescent="0.3">
      <c r="K8867">
        <v>2022</v>
      </c>
      <c r="L8867" t="s">
        <v>45</v>
      </c>
      <c r="M8867" t="s">
        <v>158</v>
      </c>
      <c r="N8867" t="s">
        <v>20</v>
      </c>
      <c r="O8867" t="s">
        <v>20</v>
      </c>
      <c r="P8867" s="1" t="s">
        <v>30</v>
      </c>
      <c r="Q8867">
        <v>0</v>
      </c>
    </row>
    <row r="8868" spans="11:17" x14ac:dyDescent="0.3">
      <c r="K8868">
        <v>2022</v>
      </c>
      <c r="L8868" t="s">
        <v>45</v>
      </c>
      <c r="M8868" t="s">
        <v>158</v>
      </c>
      <c r="N8868" t="s">
        <v>20</v>
      </c>
      <c r="O8868" t="s">
        <v>20</v>
      </c>
      <c r="P8868" s="1" t="s">
        <v>34</v>
      </c>
      <c r="Q8868">
        <v>170.7</v>
      </c>
    </row>
    <row r="8869" spans="11:17" x14ac:dyDescent="0.3">
      <c r="K8869">
        <v>2022</v>
      </c>
      <c r="L8869" t="s">
        <v>45</v>
      </c>
      <c r="M8869" t="s">
        <v>158</v>
      </c>
      <c r="N8869" t="s">
        <v>20</v>
      </c>
      <c r="O8869" t="s">
        <v>20</v>
      </c>
      <c r="P8869" s="1" t="s">
        <v>33</v>
      </c>
      <c r="Q8869">
        <v>170.7</v>
      </c>
    </row>
    <row r="8870" spans="11:17" x14ac:dyDescent="0.3">
      <c r="K8870">
        <v>2022</v>
      </c>
      <c r="L8870" t="s">
        <v>45</v>
      </c>
      <c r="M8870" t="s">
        <v>158</v>
      </c>
      <c r="N8870" t="s">
        <v>4</v>
      </c>
      <c r="O8870" t="s">
        <v>188</v>
      </c>
      <c r="P8870" s="1" t="s">
        <v>30</v>
      </c>
      <c r="Q8870">
        <v>206.9</v>
      </c>
    </row>
    <row r="8871" spans="11:17" x14ac:dyDescent="0.3">
      <c r="K8871">
        <v>2022</v>
      </c>
      <c r="L8871" t="s">
        <v>45</v>
      </c>
      <c r="M8871" t="s">
        <v>158</v>
      </c>
      <c r="N8871" t="s">
        <v>4</v>
      </c>
      <c r="O8871" t="s">
        <v>188</v>
      </c>
      <c r="P8871" s="1" t="s">
        <v>34</v>
      </c>
      <c r="Q8871">
        <v>209</v>
      </c>
    </row>
    <row r="8872" spans="11:17" x14ac:dyDescent="0.3">
      <c r="K8872">
        <v>2022</v>
      </c>
      <c r="L8872" t="s">
        <v>45</v>
      </c>
      <c r="M8872" t="s">
        <v>158</v>
      </c>
      <c r="N8872" t="s">
        <v>4</v>
      </c>
      <c r="O8872" t="s">
        <v>188</v>
      </c>
      <c r="P8872" s="1" t="s">
        <v>33</v>
      </c>
      <c r="Q8872">
        <v>212.9</v>
      </c>
    </row>
    <row r="8873" spans="11:17" x14ac:dyDescent="0.3">
      <c r="K8873">
        <v>2022</v>
      </c>
      <c r="L8873" t="s">
        <v>45</v>
      </c>
      <c r="M8873" t="s">
        <v>158</v>
      </c>
      <c r="N8873" t="s">
        <v>6</v>
      </c>
      <c r="O8873" t="s">
        <v>188</v>
      </c>
      <c r="P8873" s="1" t="s">
        <v>30</v>
      </c>
      <c r="Q8873">
        <v>173.4</v>
      </c>
    </row>
    <row r="8874" spans="11:17" x14ac:dyDescent="0.3">
      <c r="K8874">
        <v>2022</v>
      </c>
      <c r="L8874" t="s">
        <v>45</v>
      </c>
      <c r="M8874" t="s">
        <v>158</v>
      </c>
      <c r="N8874" t="s">
        <v>6</v>
      </c>
      <c r="O8874" t="s">
        <v>188</v>
      </c>
      <c r="P8874" s="1" t="s">
        <v>34</v>
      </c>
      <c r="Q8874">
        <v>173.6</v>
      </c>
    </row>
    <row r="8875" spans="11:17" x14ac:dyDescent="0.3">
      <c r="K8875">
        <v>2022</v>
      </c>
      <c r="L8875" t="s">
        <v>45</v>
      </c>
      <c r="M8875" t="s">
        <v>158</v>
      </c>
      <c r="N8875" t="s">
        <v>6</v>
      </c>
      <c r="O8875" t="s">
        <v>188</v>
      </c>
      <c r="P8875" s="1" t="s">
        <v>33</v>
      </c>
      <c r="Q8875">
        <v>173.9</v>
      </c>
    </row>
    <row r="8876" spans="11:17" x14ac:dyDescent="0.3">
      <c r="K8876">
        <v>2022</v>
      </c>
      <c r="L8876" t="s">
        <v>45</v>
      </c>
      <c r="M8876" t="s">
        <v>158</v>
      </c>
      <c r="N8876" t="s">
        <v>28</v>
      </c>
      <c r="O8876" t="s">
        <v>192</v>
      </c>
      <c r="P8876" s="1" t="s">
        <v>30</v>
      </c>
      <c r="Q8876">
        <v>175.5</v>
      </c>
    </row>
    <row r="8877" spans="11:17" x14ac:dyDescent="0.3">
      <c r="K8877">
        <v>2022</v>
      </c>
      <c r="L8877" t="s">
        <v>45</v>
      </c>
      <c r="M8877" t="s">
        <v>158</v>
      </c>
      <c r="N8877" t="s">
        <v>28</v>
      </c>
      <c r="O8877" t="s">
        <v>192</v>
      </c>
      <c r="P8877" s="1" t="s">
        <v>34</v>
      </c>
      <c r="Q8877">
        <v>172</v>
      </c>
    </row>
    <row r="8878" spans="11:17" x14ac:dyDescent="0.3">
      <c r="K8878">
        <v>2022</v>
      </c>
      <c r="L8878" t="s">
        <v>45</v>
      </c>
      <c r="M8878" t="s">
        <v>158</v>
      </c>
      <c r="N8878" t="s">
        <v>28</v>
      </c>
      <c r="O8878" t="s">
        <v>192</v>
      </c>
      <c r="P8878" s="1" t="s">
        <v>33</v>
      </c>
      <c r="Q8878">
        <v>168.2</v>
      </c>
    </row>
    <row r="8879" spans="11:17" x14ac:dyDescent="0.3">
      <c r="K8879">
        <v>2022</v>
      </c>
      <c r="L8879" t="s">
        <v>45</v>
      </c>
      <c r="M8879" t="s">
        <v>158</v>
      </c>
      <c r="N8879" t="s">
        <v>13</v>
      </c>
      <c r="O8879" t="s">
        <v>188</v>
      </c>
      <c r="P8879" s="1" t="s">
        <v>30</v>
      </c>
      <c r="Q8879">
        <v>176.8</v>
      </c>
    </row>
    <row r="8880" spans="11:17" x14ac:dyDescent="0.3">
      <c r="K8880">
        <v>2022</v>
      </c>
      <c r="L8880" t="s">
        <v>45</v>
      </c>
      <c r="M8880" t="s">
        <v>158</v>
      </c>
      <c r="N8880" t="s">
        <v>13</v>
      </c>
      <c r="O8880" t="s">
        <v>188</v>
      </c>
      <c r="P8880" s="1" t="s">
        <v>34</v>
      </c>
      <c r="Q8880">
        <v>171</v>
      </c>
    </row>
    <row r="8881" spans="11:17" x14ac:dyDescent="0.3">
      <c r="K8881">
        <v>2022</v>
      </c>
      <c r="L8881" t="s">
        <v>45</v>
      </c>
      <c r="M8881" t="s">
        <v>158</v>
      </c>
      <c r="N8881" t="s">
        <v>13</v>
      </c>
      <c r="O8881" t="s">
        <v>188</v>
      </c>
      <c r="P8881" s="1" t="s">
        <v>33</v>
      </c>
      <c r="Q8881">
        <v>162.80000000000001</v>
      </c>
    </row>
    <row r="8882" spans="11:17" x14ac:dyDescent="0.3">
      <c r="K8882">
        <v>2022</v>
      </c>
      <c r="L8882" t="s">
        <v>45</v>
      </c>
      <c r="M8882" t="s">
        <v>158</v>
      </c>
      <c r="N8882" t="s">
        <v>7</v>
      </c>
      <c r="O8882" t="s">
        <v>188</v>
      </c>
      <c r="P8882" s="1" t="s">
        <v>30</v>
      </c>
      <c r="Q8882">
        <v>193.9</v>
      </c>
    </row>
    <row r="8883" spans="11:17" x14ac:dyDescent="0.3">
      <c r="K8883">
        <v>2022</v>
      </c>
      <c r="L8883" t="s">
        <v>45</v>
      </c>
      <c r="M8883" t="s">
        <v>158</v>
      </c>
      <c r="N8883" t="s">
        <v>7</v>
      </c>
      <c r="O8883" t="s">
        <v>188</v>
      </c>
      <c r="P8883" s="1" t="s">
        <v>34</v>
      </c>
      <c r="Q8883">
        <v>188.5</v>
      </c>
    </row>
    <row r="8884" spans="11:17" x14ac:dyDescent="0.3">
      <c r="K8884">
        <v>2022</v>
      </c>
      <c r="L8884" t="s">
        <v>45</v>
      </c>
      <c r="M8884" t="s">
        <v>158</v>
      </c>
      <c r="N8884" t="s">
        <v>7</v>
      </c>
      <c r="O8884" t="s">
        <v>188</v>
      </c>
      <c r="P8884" s="1" t="s">
        <v>33</v>
      </c>
      <c r="Q8884">
        <v>179.1</v>
      </c>
    </row>
    <row r="8885" spans="11:17" x14ac:dyDescent="0.3">
      <c r="K8885">
        <v>2022</v>
      </c>
      <c r="L8885" t="s">
        <v>45</v>
      </c>
      <c r="M8885" t="s">
        <v>158</v>
      </c>
      <c r="N8885" t="s">
        <v>16</v>
      </c>
      <c r="O8885" t="s">
        <v>192</v>
      </c>
      <c r="P8885" s="1" t="s">
        <v>30</v>
      </c>
      <c r="Q8885">
        <v>195.9</v>
      </c>
    </row>
    <row r="8886" spans="11:17" x14ac:dyDescent="0.3">
      <c r="K8886">
        <v>2022</v>
      </c>
      <c r="L8886" t="s">
        <v>45</v>
      </c>
      <c r="M8886" t="s">
        <v>158</v>
      </c>
      <c r="N8886" t="s">
        <v>16</v>
      </c>
      <c r="O8886" t="s">
        <v>192</v>
      </c>
      <c r="P8886" s="1" t="s">
        <v>34</v>
      </c>
      <c r="Q8886">
        <v>197.3</v>
      </c>
    </row>
    <row r="8887" spans="11:17" x14ac:dyDescent="0.3">
      <c r="K8887">
        <v>2022</v>
      </c>
      <c r="L8887" t="s">
        <v>45</v>
      </c>
      <c r="M8887" t="s">
        <v>158</v>
      </c>
      <c r="N8887" t="s">
        <v>16</v>
      </c>
      <c r="O8887" t="s">
        <v>192</v>
      </c>
      <c r="P8887" s="1" t="s">
        <v>33</v>
      </c>
      <c r="Q8887">
        <v>201.1</v>
      </c>
    </row>
    <row r="8888" spans="11:17" x14ac:dyDescent="0.3">
      <c r="K8888">
        <v>2022</v>
      </c>
      <c r="L8888" t="s">
        <v>45</v>
      </c>
      <c r="M8888" t="s">
        <v>158</v>
      </c>
      <c r="N8888" t="s">
        <v>27</v>
      </c>
      <c r="O8888" t="s">
        <v>192</v>
      </c>
      <c r="P8888" s="1" t="s">
        <v>30</v>
      </c>
      <c r="Q8888">
        <v>175.7</v>
      </c>
    </row>
    <row r="8889" spans="11:17" x14ac:dyDescent="0.3">
      <c r="K8889">
        <v>2022</v>
      </c>
      <c r="L8889" t="s">
        <v>45</v>
      </c>
      <c r="M8889" t="s">
        <v>158</v>
      </c>
      <c r="N8889" t="s">
        <v>27</v>
      </c>
      <c r="O8889" t="s">
        <v>192</v>
      </c>
      <c r="P8889" s="1" t="s">
        <v>34</v>
      </c>
      <c r="Q8889">
        <v>175.8</v>
      </c>
    </row>
    <row r="8890" spans="11:17" x14ac:dyDescent="0.3">
      <c r="K8890">
        <v>2022</v>
      </c>
      <c r="L8890" t="s">
        <v>45</v>
      </c>
      <c r="M8890" t="s">
        <v>158</v>
      </c>
      <c r="N8890" t="s">
        <v>27</v>
      </c>
      <c r="O8890" t="s">
        <v>192</v>
      </c>
      <c r="P8890" s="1" t="s">
        <v>33</v>
      </c>
      <c r="Q8890">
        <v>176</v>
      </c>
    </row>
    <row r="8891" spans="11:17" x14ac:dyDescent="0.3">
      <c r="K8891">
        <v>2022</v>
      </c>
      <c r="L8891" t="s">
        <v>45</v>
      </c>
      <c r="M8891" t="s">
        <v>158</v>
      </c>
      <c r="N8891" t="s">
        <v>14</v>
      </c>
      <c r="O8891" t="s">
        <v>188</v>
      </c>
      <c r="P8891" s="1" t="s">
        <v>30</v>
      </c>
      <c r="Q8891">
        <v>187.7</v>
      </c>
    </row>
    <row r="8892" spans="11:17" x14ac:dyDescent="0.3">
      <c r="K8892">
        <v>2022</v>
      </c>
      <c r="L8892" t="s">
        <v>45</v>
      </c>
      <c r="M8892" t="s">
        <v>158</v>
      </c>
      <c r="N8892" t="s">
        <v>14</v>
      </c>
      <c r="O8892" t="s">
        <v>188</v>
      </c>
      <c r="P8892" s="1" t="s">
        <v>34</v>
      </c>
      <c r="Q8892">
        <v>190.3</v>
      </c>
    </row>
    <row r="8893" spans="11:17" x14ac:dyDescent="0.3">
      <c r="K8893">
        <v>2022</v>
      </c>
      <c r="L8893" t="s">
        <v>45</v>
      </c>
      <c r="M8893" t="s">
        <v>158</v>
      </c>
      <c r="N8893" t="s">
        <v>14</v>
      </c>
      <c r="O8893" t="s">
        <v>188</v>
      </c>
      <c r="P8893" s="1" t="s">
        <v>33</v>
      </c>
      <c r="Q8893">
        <v>193.3</v>
      </c>
    </row>
    <row r="8894" spans="11:17" x14ac:dyDescent="0.3">
      <c r="K8894">
        <v>2022</v>
      </c>
      <c r="L8894" t="s">
        <v>45</v>
      </c>
      <c r="M8894" t="s">
        <v>158</v>
      </c>
      <c r="N8894" t="s">
        <v>10</v>
      </c>
      <c r="O8894" t="s">
        <v>188</v>
      </c>
      <c r="P8894" s="1" t="s">
        <v>30</v>
      </c>
      <c r="Q8894">
        <v>170.5</v>
      </c>
    </row>
    <row r="8895" spans="11:17" x14ac:dyDescent="0.3">
      <c r="K8895">
        <v>2022</v>
      </c>
      <c r="L8895" t="s">
        <v>45</v>
      </c>
      <c r="M8895" t="s">
        <v>158</v>
      </c>
      <c r="N8895" t="s">
        <v>10</v>
      </c>
      <c r="O8895" t="s">
        <v>188</v>
      </c>
      <c r="P8895" s="1" t="s">
        <v>34</v>
      </c>
      <c r="Q8895">
        <v>170.8</v>
      </c>
    </row>
    <row r="8896" spans="11:17" x14ac:dyDescent="0.3">
      <c r="K8896">
        <v>2022</v>
      </c>
      <c r="L8896" t="s">
        <v>45</v>
      </c>
      <c r="M8896" t="s">
        <v>158</v>
      </c>
      <c r="N8896" t="s">
        <v>10</v>
      </c>
      <c r="O8896" t="s">
        <v>188</v>
      </c>
      <c r="P8896" s="1" t="s">
        <v>33</v>
      </c>
      <c r="Q8896">
        <v>171.3</v>
      </c>
    </row>
    <row r="8897" spans="11:17" x14ac:dyDescent="0.3">
      <c r="K8897">
        <v>2022</v>
      </c>
      <c r="L8897" t="s">
        <v>45</v>
      </c>
      <c r="M8897" t="s">
        <v>158</v>
      </c>
      <c r="N8897" t="s">
        <v>25</v>
      </c>
      <c r="O8897" t="s">
        <v>195</v>
      </c>
      <c r="P8897" s="1" t="s">
        <v>30</v>
      </c>
      <c r="Q8897">
        <v>171.2</v>
      </c>
    </row>
    <row r="8898" spans="11:17" x14ac:dyDescent="0.3">
      <c r="K8898">
        <v>2022</v>
      </c>
      <c r="L8898" t="s">
        <v>45</v>
      </c>
      <c r="M8898" t="s">
        <v>158</v>
      </c>
      <c r="N8898" t="s">
        <v>25</v>
      </c>
      <c r="O8898" t="s">
        <v>195</v>
      </c>
      <c r="P8898" s="1" t="s">
        <v>34</v>
      </c>
      <c r="Q8898">
        <v>168.9</v>
      </c>
    </row>
    <row r="8899" spans="11:17" x14ac:dyDescent="0.3">
      <c r="K8899">
        <v>2022</v>
      </c>
      <c r="L8899" t="s">
        <v>45</v>
      </c>
      <c r="M8899" t="s">
        <v>158</v>
      </c>
      <c r="N8899" t="s">
        <v>25</v>
      </c>
      <c r="O8899" t="s">
        <v>195</v>
      </c>
      <c r="P8899" s="1" t="s">
        <v>33</v>
      </c>
      <c r="Q8899">
        <v>167.1</v>
      </c>
    </row>
    <row r="8900" spans="11:17" x14ac:dyDescent="0.3">
      <c r="K8900">
        <v>2022</v>
      </c>
      <c r="L8900" t="s">
        <v>45</v>
      </c>
      <c r="M8900" t="s">
        <v>158</v>
      </c>
      <c r="N8900" t="s">
        <v>12</v>
      </c>
      <c r="O8900" t="s">
        <v>188</v>
      </c>
      <c r="P8900" s="1" t="s">
        <v>30</v>
      </c>
      <c r="Q8900">
        <v>207.5</v>
      </c>
    </row>
    <row r="8901" spans="11:17" x14ac:dyDescent="0.3">
      <c r="K8901">
        <v>2022</v>
      </c>
      <c r="L8901" t="s">
        <v>45</v>
      </c>
      <c r="M8901" t="s">
        <v>158</v>
      </c>
      <c r="N8901" t="s">
        <v>12</v>
      </c>
      <c r="O8901" t="s">
        <v>188</v>
      </c>
      <c r="P8901" s="1" t="s">
        <v>34</v>
      </c>
      <c r="Q8901">
        <v>205.2</v>
      </c>
    </row>
    <row r="8902" spans="11:17" x14ac:dyDescent="0.3">
      <c r="K8902">
        <v>2022</v>
      </c>
      <c r="L8902" t="s">
        <v>45</v>
      </c>
      <c r="M8902" t="s">
        <v>158</v>
      </c>
      <c r="N8902" t="s">
        <v>12</v>
      </c>
      <c r="O8902" t="s">
        <v>188</v>
      </c>
      <c r="P8902" s="1" t="s">
        <v>33</v>
      </c>
      <c r="Q8902">
        <v>200.5</v>
      </c>
    </row>
    <row r="8903" spans="11:17" x14ac:dyDescent="0.3">
      <c r="K8903">
        <v>2022</v>
      </c>
      <c r="L8903" t="s">
        <v>45</v>
      </c>
      <c r="M8903" t="s">
        <v>158</v>
      </c>
      <c r="N8903" t="s">
        <v>11</v>
      </c>
      <c r="O8903" t="s">
        <v>188</v>
      </c>
      <c r="P8903" s="1" t="s">
        <v>30</v>
      </c>
      <c r="Q8903">
        <v>121.2</v>
      </c>
    </row>
    <row r="8904" spans="11:17" x14ac:dyDescent="0.3">
      <c r="K8904">
        <v>2022</v>
      </c>
      <c r="L8904" t="s">
        <v>45</v>
      </c>
      <c r="M8904" t="s">
        <v>158</v>
      </c>
      <c r="N8904" t="s">
        <v>11</v>
      </c>
      <c r="O8904" t="s">
        <v>188</v>
      </c>
      <c r="P8904" s="1" t="s">
        <v>34</v>
      </c>
      <c r="Q8904">
        <v>121.8</v>
      </c>
    </row>
    <row r="8905" spans="11:17" x14ac:dyDescent="0.3">
      <c r="K8905">
        <v>2022</v>
      </c>
      <c r="L8905" t="s">
        <v>45</v>
      </c>
      <c r="M8905" t="s">
        <v>158</v>
      </c>
      <c r="N8905" t="s">
        <v>11</v>
      </c>
      <c r="O8905" t="s">
        <v>188</v>
      </c>
      <c r="P8905" s="1" t="s">
        <v>33</v>
      </c>
      <c r="Q8905">
        <v>123.1</v>
      </c>
    </row>
    <row r="8906" spans="11:17" x14ac:dyDescent="0.3">
      <c r="K8906">
        <v>2022</v>
      </c>
      <c r="L8906" t="s">
        <v>45</v>
      </c>
      <c r="M8906" t="s">
        <v>158</v>
      </c>
      <c r="N8906" t="s">
        <v>24</v>
      </c>
      <c r="O8906" t="s">
        <v>191</v>
      </c>
      <c r="P8906" s="1" t="s">
        <v>30</v>
      </c>
      <c r="Q8906">
        <v>167.8</v>
      </c>
    </row>
    <row r="8907" spans="11:17" x14ac:dyDescent="0.3">
      <c r="K8907">
        <v>2022</v>
      </c>
      <c r="L8907" t="s">
        <v>45</v>
      </c>
      <c r="M8907" t="s">
        <v>158</v>
      </c>
      <c r="N8907" t="s">
        <v>24</v>
      </c>
      <c r="O8907" t="s">
        <v>191</v>
      </c>
      <c r="P8907" s="1" t="s">
        <v>34</v>
      </c>
      <c r="Q8907">
        <v>163.4</v>
      </c>
    </row>
    <row r="8908" spans="11:17" x14ac:dyDescent="0.3">
      <c r="K8908">
        <v>2022</v>
      </c>
      <c r="L8908" t="s">
        <v>45</v>
      </c>
      <c r="M8908" t="s">
        <v>158</v>
      </c>
      <c r="N8908" t="s">
        <v>24</v>
      </c>
      <c r="O8908" t="s">
        <v>191</v>
      </c>
      <c r="P8908" s="1" t="s">
        <v>33</v>
      </c>
      <c r="Q8908">
        <v>159.4</v>
      </c>
    </row>
    <row r="8909" spans="11:17" x14ac:dyDescent="0.3">
      <c r="K8909">
        <v>2022</v>
      </c>
      <c r="L8909" t="s">
        <v>45</v>
      </c>
      <c r="M8909" t="s">
        <v>158</v>
      </c>
      <c r="N8909" t="s">
        <v>9</v>
      </c>
      <c r="O8909" t="s">
        <v>188</v>
      </c>
      <c r="P8909" s="1" t="s">
        <v>30</v>
      </c>
      <c r="Q8909">
        <v>150.19999999999999</v>
      </c>
    </row>
    <row r="8910" spans="11:17" x14ac:dyDescent="0.3">
      <c r="K8910">
        <v>2022</v>
      </c>
      <c r="L8910" t="s">
        <v>45</v>
      </c>
      <c r="M8910" t="s">
        <v>158</v>
      </c>
      <c r="N8910" t="s">
        <v>9</v>
      </c>
      <c r="O8910" t="s">
        <v>188</v>
      </c>
      <c r="P8910" s="1" t="s">
        <v>34</v>
      </c>
      <c r="Q8910">
        <v>159.9</v>
      </c>
    </row>
    <row r="8911" spans="11:17" x14ac:dyDescent="0.3">
      <c r="K8911">
        <v>2022</v>
      </c>
      <c r="L8911" t="s">
        <v>45</v>
      </c>
      <c r="M8911" t="s">
        <v>158</v>
      </c>
      <c r="N8911" t="s">
        <v>9</v>
      </c>
      <c r="O8911" t="s">
        <v>188</v>
      </c>
      <c r="P8911" s="1" t="s">
        <v>33</v>
      </c>
      <c r="Q8911">
        <v>178.7</v>
      </c>
    </row>
    <row r="8912" spans="11:17" x14ac:dyDescent="0.3">
      <c r="K8912">
        <v>2022</v>
      </c>
      <c r="L8912" t="s">
        <v>35</v>
      </c>
      <c r="M8912" t="s">
        <v>159</v>
      </c>
      <c r="N8912" t="s">
        <v>3</v>
      </c>
      <c r="O8912" t="s">
        <v>188</v>
      </c>
      <c r="P8912" s="1" t="s">
        <v>30</v>
      </c>
      <c r="Q8912">
        <v>148.80000000000001</v>
      </c>
    </row>
    <row r="8913" spans="11:17" x14ac:dyDescent="0.3">
      <c r="K8913">
        <v>2022</v>
      </c>
      <c r="L8913" t="s">
        <v>35</v>
      </c>
      <c r="M8913" t="s">
        <v>159</v>
      </c>
      <c r="N8913" t="s">
        <v>3</v>
      </c>
      <c r="O8913" t="s">
        <v>188</v>
      </c>
      <c r="P8913" s="1" t="s">
        <v>34</v>
      </c>
      <c r="Q8913">
        <v>150</v>
      </c>
    </row>
    <row r="8914" spans="11:17" x14ac:dyDescent="0.3">
      <c r="K8914">
        <v>2022</v>
      </c>
      <c r="L8914" t="s">
        <v>35</v>
      </c>
      <c r="M8914" t="s">
        <v>159</v>
      </c>
      <c r="N8914" t="s">
        <v>3</v>
      </c>
      <c r="O8914" t="s">
        <v>188</v>
      </c>
      <c r="P8914" s="1" t="s">
        <v>33</v>
      </c>
      <c r="Q8914">
        <v>152.5</v>
      </c>
    </row>
    <row r="8915" spans="11:17" x14ac:dyDescent="0.3">
      <c r="K8915">
        <v>2022</v>
      </c>
      <c r="L8915" t="s">
        <v>35</v>
      </c>
      <c r="M8915" t="s">
        <v>159</v>
      </c>
      <c r="N8915" t="s">
        <v>17</v>
      </c>
      <c r="O8915" t="s">
        <v>189</v>
      </c>
      <c r="P8915" s="1" t="s">
        <v>30</v>
      </c>
      <c r="Q8915">
        <v>174.1</v>
      </c>
    </row>
    <row r="8916" spans="11:17" x14ac:dyDescent="0.3">
      <c r="K8916">
        <v>2022</v>
      </c>
      <c r="L8916" t="s">
        <v>35</v>
      </c>
      <c r="M8916" t="s">
        <v>159</v>
      </c>
      <c r="N8916" t="s">
        <v>17</v>
      </c>
      <c r="O8916" t="s">
        <v>189</v>
      </c>
      <c r="P8916" s="1" t="s">
        <v>34</v>
      </c>
      <c r="Q8916">
        <v>170.8</v>
      </c>
    </row>
    <row r="8917" spans="11:17" x14ac:dyDescent="0.3">
      <c r="K8917">
        <v>2022</v>
      </c>
      <c r="L8917" t="s">
        <v>35</v>
      </c>
      <c r="M8917" t="s">
        <v>159</v>
      </c>
      <c r="N8917" t="s">
        <v>17</v>
      </c>
      <c r="O8917" t="s">
        <v>189</v>
      </c>
      <c r="P8917" s="1" t="s">
        <v>33</v>
      </c>
      <c r="Q8917">
        <v>165.7</v>
      </c>
    </row>
    <row r="8918" spans="11:17" x14ac:dyDescent="0.3">
      <c r="K8918">
        <v>2022</v>
      </c>
      <c r="L8918" t="s">
        <v>35</v>
      </c>
      <c r="M8918" t="s">
        <v>159</v>
      </c>
      <c r="N8918" t="s">
        <v>19</v>
      </c>
      <c r="O8918" t="s">
        <v>189</v>
      </c>
      <c r="P8918" s="1" t="s">
        <v>30</v>
      </c>
      <c r="Q8918">
        <v>173.7</v>
      </c>
    </row>
    <row r="8919" spans="11:17" x14ac:dyDescent="0.3">
      <c r="K8919">
        <v>2022</v>
      </c>
      <c r="L8919" t="s">
        <v>35</v>
      </c>
      <c r="M8919" t="s">
        <v>159</v>
      </c>
      <c r="N8919" t="s">
        <v>19</v>
      </c>
      <c r="O8919" t="s">
        <v>189</v>
      </c>
      <c r="P8919" s="1" t="s">
        <v>34</v>
      </c>
      <c r="Q8919">
        <v>169.6</v>
      </c>
    </row>
    <row r="8920" spans="11:17" x14ac:dyDescent="0.3">
      <c r="K8920">
        <v>2022</v>
      </c>
      <c r="L8920" t="s">
        <v>35</v>
      </c>
      <c r="M8920" t="s">
        <v>159</v>
      </c>
      <c r="N8920" t="s">
        <v>19</v>
      </c>
      <c r="O8920" t="s">
        <v>189</v>
      </c>
      <c r="P8920" s="1" t="s">
        <v>33</v>
      </c>
      <c r="Q8920">
        <v>163.4</v>
      </c>
    </row>
    <row r="8921" spans="11:17" x14ac:dyDescent="0.3">
      <c r="K8921">
        <v>2022</v>
      </c>
      <c r="L8921" t="s">
        <v>35</v>
      </c>
      <c r="M8921" t="s">
        <v>159</v>
      </c>
      <c r="N8921" t="s">
        <v>26</v>
      </c>
      <c r="O8921" t="s">
        <v>26</v>
      </c>
      <c r="P8921" s="1" t="s">
        <v>30</v>
      </c>
      <c r="Q8921">
        <v>170.3</v>
      </c>
    </row>
    <row r="8922" spans="11:17" x14ac:dyDescent="0.3">
      <c r="K8922">
        <v>2022</v>
      </c>
      <c r="L8922" t="s">
        <v>35</v>
      </c>
      <c r="M8922" t="s">
        <v>159</v>
      </c>
      <c r="N8922" t="s">
        <v>26</v>
      </c>
      <c r="O8922" t="s">
        <v>26</v>
      </c>
      <c r="P8922" s="1" t="s">
        <v>34</v>
      </c>
      <c r="Q8922">
        <v>165.4</v>
      </c>
    </row>
    <row r="8923" spans="11:17" x14ac:dyDescent="0.3">
      <c r="K8923">
        <v>2022</v>
      </c>
      <c r="L8923" t="s">
        <v>35</v>
      </c>
      <c r="M8923" t="s">
        <v>159</v>
      </c>
      <c r="N8923" t="s">
        <v>26</v>
      </c>
      <c r="O8923" t="s">
        <v>26</v>
      </c>
      <c r="P8923" s="1" t="s">
        <v>33</v>
      </c>
      <c r="Q8923">
        <v>162</v>
      </c>
    </row>
    <row r="8924" spans="11:17" x14ac:dyDescent="0.3">
      <c r="K8924">
        <v>2022</v>
      </c>
      <c r="L8924" t="s">
        <v>35</v>
      </c>
      <c r="M8924" t="s">
        <v>159</v>
      </c>
      <c r="N8924" t="s">
        <v>5</v>
      </c>
      <c r="O8924" t="s">
        <v>188</v>
      </c>
      <c r="P8924" s="1" t="s">
        <v>30</v>
      </c>
      <c r="Q8924">
        <v>175.5</v>
      </c>
    </row>
    <row r="8925" spans="11:17" x14ac:dyDescent="0.3">
      <c r="K8925">
        <v>2022</v>
      </c>
      <c r="L8925" t="s">
        <v>35</v>
      </c>
      <c r="M8925" t="s">
        <v>159</v>
      </c>
      <c r="N8925" t="s">
        <v>5</v>
      </c>
      <c r="O8925" t="s">
        <v>188</v>
      </c>
      <c r="P8925" s="1" t="s">
        <v>34</v>
      </c>
      <c r="Q8925">
        <v>175.8</v>
      </c>
    </row>
    <row r="8926" spans="11:17" x14ac:dyDescent="0.3">
      <c r="K8926">
        <v>2022</v>
      </c>
      <c r="L8926" t="s">
        <v>35</v>
      </c>
      <c r="M8926" t="s">
        <v>159</v>
      </c>
      <c r="N8926" t="s">
        <v>5</v>
      </c>
      <c r="O8926" t="s">
        <v>188</v>
      </c>
      <c r="P8926" s="1" t="s">
        <v>33</v>
      </c>
      <c r="Q8926">
        <v>176.4</v>
      </c>
    </row>
    <row r="8927" spans="11:17" x14ac:dyDescent="0.3">
      <c r="K8927">
        <v>2022</v>
      </c>
      <c r="L8927" t="s">
        <v>35</v>
      </c>
      <c r="M8927" t="s">
        <v>159</v>
      </c>
      <c r="N8927" t="s">
        <v>15</v>
      </c>
      <c r="O8927" t="s">
        <v>188</v>
      </c>
      <c r="P8927" s="1" t="s">
        <v>30</v>
      </c>
      <c r="Q8927">
        <v>163.9</v>
      </c>
    </row>
    <row r="8928" spans="11:17" x14ac:dyDescent="0.3">
      <c r="K8928">
        <v>2022</v>
      </c>
      <c r="L8928" t="s">
        <v>35</v>
      </c>
      <c r="M8928" t="s">
        <v>159</v>
      </c>
      <c r="N8928" t="s">
        <v>15</v>
      </c>
      <c r="O8928" t="s">
        <v>188</v>
      </c>
      <c r="P8928" s="1" t="s">
        <v>34</v>
      </c>
      <c r="Q8928">
        <v>166.2</v>
      </c>
    </row>
    <row r="8929" spans="11:17" x14ac:dyDescent="0.3">
      <c r="K8929">
        <v>2022</v>
      </c>
      <c r="L8929" t="s">
        <v>35</v>
      </c>
      <c r="M8929" t="s">
        <v>159</v>
      </c>
      <c r="N8929" t="s">
        <v>15</v>
      </c>
      <c r="O8929" t="s">
        <v>188</v>
      </c>
      <c r="P8929" s="1" t="s">
        <v>33</v>
      </c>
      <c r="Q8929">
        <v>170.2</v>
      </c>
    </row>
    <row r="8930" spans="11:17" x14ac:dyDescent="0.3">
      <c r="K8930">
        <v>2022</v>
      </c>
      <c r="L8930" t="s">
        <v>35</v>
      </c>
      <c r="M8930" t="s">
        <v>159</v>
      </c>
      <c r="N8930" t="s">
        <v>18</v>
      </c>
      <c r="O8930" t="s">
        <v>189</v>
      </c>
      <c r="P8930" s="1" t="s">
        <v>30</v>
      </c>
      <c r="Q8930">
        <v>171</v>
      </c>
    </row>
    <row r="8931" spans="11:17" x14ac:dyDescent="0.3">
      <c r="K8931">
        <v>2022</v>
      </c>
      <c r="L8931" t="s">
        <v>35</v>
      </c>
      <c r="M8931" t="s">
        <v>159</v>
      </c>
      <c r="N8931" t="s">
        <v>18</v>
      </c>
      <c r="O8931" t="s">
        <v>189</v>
      </c>
      <c r="P8931" s="1" t="s">
        <v>34</v>
      </c>
      <c r="Q8931">
        <v>162.4</v>
      </c>
    </row>
    <row r="8932" spans="11:17" x14ac:dyDescent="0.3">
      <c r="K8932">
        <v>2022</v>
      </c>
      <c r="L8932" t="s">
        <v>35</v>
      </c>
      <c r="M8932" t="s">
        <v>159</v>
      </c>
      <c r="N8932" t="s">
        <v>18</v>
      </c>
      <c r="O8932" t="s">
        <v>189</v>
      </c>
      <c r="P8932" s="1" t="s">
        <v>33</v>
      </c>
      <c r="Q8932">
        <v>150.4</v>
      </c>
    </row>
    <row r="8933" spans="11:17" x14ac:dyDescent="0.3">
      <c r="K8933">
        <v>2022</v>
      </c>
      <c r="L8933" t="s">
        <v>35</v>
      </c>
      <c r="M8933" t="s">
        <v>159</v>
      </c>
      <c r="N8933" t="s">
        <v>8</v>
      </c>
      <c r="O8933" t="s">
        <v>188</v>
      </c>
      <c r="P8933" s="1" t="s">
        <v>30</v>
      </c>
      <c r="Q8933">
        <v>151.4</v>
      </c>
    </row>
    <row r="8934" spans="11:17" x14ac:dyDescent="0.3">
      <c r="K8934">
        <v>2022</v>
      </c>
      <c r="L8934" t="s">
        <v>35</v>
      </c>
      <c r="M8934" t="s">
        <v>159</v>
      </c>
      <c r="N8934" t="s">
        <v>8</v>
      </c>
      <c r="O8934" t="s">
        <v>188</v>
      </c>
      <c r="P8934" s="1" t="s">
        <v>34</v>
      </c>
      <c r="Q8934">
        <v>153.69999999999999</v>
      </c>
    </row>
    <row r="8935" spans="11:17" x14ac:dyDescent="0.3">
      <c r="K8935">
        <v>2022</v>
      </c>
      <c r="L8935" t="s">
        <v>35</v>
      </c>
      <c r="M8935" t="s">
        <v>159</v>
      </c>
      <c r="N8935" t="s">
        <v>8</v>
      </c>
      <c r="O8935" t="s">
        <v>188</v>
      </c>
      <c r="P8935" s="1" t="s">
        <v>33</v>
      </c>
      <c r="Q8935">
        <v>156.4</v>
      </c>
    </row>
    <row r="8936" spans="11:17" x14ac:dyDescent="0.3">
      <c r="K8936">
        <v>2022</v>
      </c>
      <c r="L8936" t="s">
        <v>35</v>
      </c>
      <c r="M8936" t="s">
        <v>159</v>
      </c>
      <c r="N8936" t="s">
        <v>21</v>
      </c>
      <c r="O8936" t="s">
        <v>190</v>
      </c>
      <c r="P8936" s="1" t="s">
        <v>30</v>
      </c>
      <c r="Q8936">
        <v>167.4</v>
      </c>
    </row>
    <row r="8937" spans="11:17" x14ac:dyDescent="0.3">
      <c r="K8937">
        <v>2022</v>
      </c>
      <c r="L8937" t="s">
        <v>35</v>
      </c>
      <c r="M8937" t="s">
        <v>159</v>
      </c>
      <c r="N8937" t="s">
        <v>21</v>
      </c>
      <c r="O8937" t="s">
        <v>190</v>
      </c>
      <c r="P8937" s="1" t="s">
        <v>34</v>
      </c>
      <c r="Q8937">
        <v>165.7</v>
      </c>
    </row>
    <row r="8938" spans="11:17" x14ac:dyDescent="0.3">
      <c r="K8938">
        <v>2022</v>
      </c>
      <c r="L8938" t="s">
        <v>35</v>
      </c>
      <c r="M8938" t="s">
        <v>159</v>
      </c>
      <c r="N8938" t="s">
        <v>21</v>
      </c>
      <c r="O8938" t="s">
        <v>190</v>
      </c>
      <c r="P8938" s="1" t="s">
        <v>33</v>
      </c>
      <c r="Q8938">
        <v>163</v>
      </c>
    </row>
    <row r="8939" spans="11:17" x14ac:dyDescent="0.3">
      <c r="K8939">
        <v>2022</v>
      </c>
      <c r="L8939" t="s">
        <v>35</v>
      </c>
      <c r="M8939" t="s">
        <v>159</v>
      </c>
      <c r="N8939" t="s">
        <v>29</v>
      </c>
      <c r="O8939" t="s">
        <v>206</v>
      </c>
      <c r="P8939" s="1" t="s">
        <v>30</v>
      </c>
      <c r="Q8939">
        <v>166.7</v>
      </c>
    </row>
    <row r="8940" spans="11:17" x14ac:dyDescent="0.3">
      <c r="K8940">
        <v>2022</v>
      </c>
      <c r="L8940" t="s">
        <v>35</v>
      </c>
      <c r="M8940" t="s">
        <v>159</v>
      </c>
      <c r="N8940" t="s">
        <v>29</v>
      </c>
      <c r="O8940" t="s">
        <v>206</v>
      </c>
      <c r="P8940" s="1" t="s">
        <v>34</v>
      </c>
      <c r="Q8940">
        <v>166.1</v>
      </c>
    </row>
    <row r="8941" spans="11:17" x14ac:dyDescent="0.3">
      <c r="K8941">
        <v>2022</v>
      </c>
      <c r="L8941" t="s">
        <v>35</v>
      </c>
      <c r="M8941" t="s">
        <v>159</v>
      </c>
      <c r="N8941" t="s">
        <v>29</v>
      </c>
      <c r="O8941" t="s">
        <v>206</v>
      </c>
      <c r="P8941" s="1" t="s">
        <v>33</v>
      </c>
      <c r="Q8941">
        <v>165.5</v>
      </c>
    </row>
    <row r="8942" spans="11:17" x14ac:dyDescent="0.3">
      <c r="K8942">
        <v>2022</v>
      </c>
      <c r="L8942" t="s">
        <v>35</v>
      </c>
      <c r="M8942" t="s">
        <v>159</v>
      </c>
      <c r="N8942" t="s">
        <v>23</v>
      </c>
      <c r="O8942" t="s">
        <v>23</v>
      </c>
      <c r="P8942" s="1" t="s">
        <v>30</v>
      </c>
      <c r="Q8942">
        <v>175.3</v>
      </c>
    </row>
    <row r="8943" spans="11:17" x14ac:dyDescent="0.3">
      <c r="K8943">
        <v>2022</v>
      </c>
      <c r="L8943" t="s">
        <v>35</v>
      </c>
      <c r="M8943" t="s">
        <v>159</v>
      </c>
      <c r="N8943" t="s">
        <v>23</v>
      </c>
      <c r="O8943" t="s">
        <v>23</v>
      </c>
      <c r="P8943" s="1" t="s">
        <v>34</v>
      </c>
      <c r="Q8943">
        <v>172.2</v>
      </c>
    </row>
    <row r="8944" spans="11:17" x14ac:dyDescent="0.3">
      <c r="K8944">
        <v>2022</v>
      </c>
      <c r="L8944" t="s">
        <v>35</v>
      </c>
      <c r="M8944" t="s">
        <v>159</v>
      </c>
      <c r="N8944" t="s">
        <v>23</v>
      </c>
      <c r="O8944" t="s">
        <v>23</v>
      </c>
      <c r="P8944" s="1" t="s">
        <v>33</v>
      </c>
      <c r="Q8944">
        <v>167.2</v>
      </c>
    </row>
    <row r="8945" spans="11:17" x14ac:dyDescent="0.3">
      <c r="K8945">
        <v>2022</v>
      </c>
      <c r="L8945" t="s">
        <v>35</v>
      </c>
      <c r="M8945" t="s">
        <v>159</v>
      </c>
      <c r="N8945" t="s">
        <v>22</v>
      </c>
      <c r="O8945" t="s">
        <v>20</v>
      </c>
      <c r="P8945" s="1" t="s">
        <v>30</v>
      </c>
      <c r="Q8945">
        <v>165.7</v>
      </c>
    </row>
    <row r="8946" spans="11:17" x14ac:dyDescent="0.3">
      <c r="K8946">
        <v>2022</v>
      </c>
      <c r="L8946" t="s">
        <v>35</v>
      </c>
      <c r="M8946" t="s">
        <v>159</v>
      </c>
      <c r="N8946" t="s">
        <v>22</v>
      </c>
      <c r="O8946" t="s">
        <v>20</v>
      </c>
      <c r="P8946" s="1" t="s">
        <v>34</v>
      </c>
      <c r="Q8946">
        <v>161.80000000000001</v>
      </c>
    </row>
    <row r="8947" spans="11:17" x14ac:dyDescent="0.3">
      <c r="K8947">
        <v>2022</v>
      </c>
      <c r="L8947" t="s">
        <v>35</v>
      </c>
      <c r="M8947" t="s">
        <v>159</v>
      </c>
      <c r="N8947" t="s">
        <v>22</v>
      </c>
      <c r="O8947" t="s">
        <v>20</v>
      </c>
      <c r="P8947" s="1" t="s">
        <v>33</v>
      </c>
      <c r="Q8947">
        <v>157.4</v>
      </c>
    </row>
    <row r="8948" spans="11:17" x14ac:dyDescent="0.3">
      <c r="K8948">
        <v>2022</v>
      </c>
      <c r="L8948" t="s">
        <v>35</v>
      </c>
      <c r="M8948" t="s">
        <v>159</v>
      </c>
      <c r="N8948" t="s">
        <v>20</v>
      </c>
      <c r="O8948" t="s">
        <v>20</v>
      </c>
      <c r="P8948" s="1" t="s">
        <v>30</v>
      </c>
      <c r="Q8948">
        <v>0</v>
      </c>
    </row>
    <row r="8949" spans="11:17" x14ac:dyDescent="0.3">
      <c r="K8949">
        <v>2022</v>
      </c>
      <c r="L8949" t="s">
        <v>35</v>
      </c>
      <c r="M8949" t="s">
        <v>159</v>
      </c>
      <c r="N8949" t="s">
        <v>20</v>
      </c>
      <c r="O8949" t="s">
        <v>20</v>
      </c>
      <c r="P8949" s="1" t="s">
        <v>34</v>
      </c>
      <c r="Q8949">
        <v>165.5</v>
      </c>
    </row>
    <row r="8950" spans="11:17" x14ac:dyDescent="0.3">
      <c r="K8950">
        <v>2022</v>
      </c>
      <c r="L8950" t="s">
        <v>35</v>
      </c>
      <c r="M8950" t="s">
        <v>159</v>
      </c>
      <c r="N8950" t="s">
        <v>20</v>
      </c>
      <c r="O8950" t="s">
        <v>20</v>
      </c>
      <c r="P8950" s="1" t="s">
        <v>33</v>
      </c>
      <c r="Q8950">
        <v>165.5</v>
      </c>
    </row>
    <row r="8951" spans="11:17" x14ac:dyDescent="0.3">
      <c r="K8951">
        <v>2022</v>
      </c>
      <c r="L8951" t="s">
        <v>35</v>
      </c>
      <c r="M8951" t="s">
        <v>159</v>
      </c>
      <c r="N8951" t="s">
        <v>4</v>
      </c>
      <c r="O8951" t="s">
        <v>188</v>
      </c>
      <c r="P8951" s="1" t="s">
        <v>30</v>
      </c>
      <c r="Q8951">
        <v>198.1</v>
      </c>
    </row>
    <row r="8952" spans="11:17" x14ac:dyDescent="0.3">
      <c r="K8952">
        <v>2022</v>
      </c>
      <c r="L8952" t="s">
        <v>35</v>
      </c>
      <c r="M8952" t="s">
        <v>159</v>
      </c>
      <c r="N8952" t="s">
        <v>4</v>
      </c>
      <c r="O8952" t="s">
        <v>188</v>
      </c>
      <c r="P8952" s="1" t="s">
        <v>34</v>
      </c>
      <c r="Q8952">
        <v>200.6</v>
      </c>
    </row>
    <row r="8953" spans="11:17" x14ac:dyDescent="0.3">
      <c r="K8953">
        <v>2022</v>
      </c>
      <c r="L8953" t="s">
        <v>35</v>
      </c>
      <c r="M8953" t="s">
        <v>159</v>
      </c>
      <c r="N8953" t="s">
        <v>4</v>
      </c>
      <c r="O8953" t="s">
        <v>188</v>
      </c>
      <c r="P8953" s="1" t="s">
        <v>33</v>
      </c>
      <c r="Q8953">
        <v>205.2</v>
      </c>
    </row>
    <row r="8954" spans="11:17" x14ac:dyDescent="0.3">
      <c r="K8954">
        <v>2022</v>
      </c>
      <c r="L8954" t="s">
        <v>35</v>
      </c>
      <c r="M8954" t="s">
        <v>159</v>
      </c>
      <c r="N8954" t="s">
        <v>6</v>
      </c>
      <c r="O8954" t="s">
        <v>188</v>
      </c>
      <c r="P8954" s="1" t="s">
        <v>30</v>
      </c>
      <c r="Q8954">
        <v>160.69999999999999</v>
      </c>
    </row>
    <row r="8955" spans="11:17" x14ac:dyDescent="0.3">
      <c r="K8955">
        <v>2022</v>
      </c>
      <c r="L8955" t="s">
        <v>35</v>
      </c>
      <c r="M8955" t="s">
        <v>159</v>
      </c>
      <c r="N8955" t="s">
        <v>6</v>
      </c>
      <c r="O8955" t="s">
        <v>188</v>
      </c>
      <c r="P8955" s="1" t="s">
        <v>34</v>
      </c>
      <c r="Q8955">
        <v>160.69999999999999</v>
      </c>
    </row>
    <row r="8956" spans="11:17" x14ac:dyDescent="0.3">
      <c r="K8956">
        <v>2022</v>
      </c>
      <c r="L8956" t="s">
        <v>35</v>
      </c>
      <c r="M8956" t="s">
        <v>159</v>
      </c>
      <c r="N8956" t="s">
        <v>6</v>
      </c>
      <c r="O8956" t="s">
        <v>188</v>
      </c>
      <c r="P8956" s="1" t="s">
        <v>33</v>
      </c>
      <c r="Q8956">
        <v>160.6</v>
      </c>
    </row>
    <row r="8957" spans="11:17" x14ac:dyDescent="0.3">
      <c r="K8957">
        <v>2022</v>
      </c>
      <c r="L8957" t="s">
        <v>35</v>
      </c>
      <c r="M8957" t="s">
        <v>159</v>
      </c>
      <c r="N8957" t="s">
        <v>28</v>
      </c>
      <c r="O8957" t="s">
        <v>192</v>
      </c>
      <c r="P8957" s="1" t="s">
        <v>30</v>
      </c>
      <c r="Q8957">
        <v>167.3</v>
      </c>
    </row>
    <row r="8958" spans="11:17" x14ac:dyDescent="0.3">
      <c r="K8958">
        <v>2022</v>
      </c>
      <c r="L8958" t="s">
        <v>35</v>
      </c>
      <c r="M8958" t="s">
        <v>159</v>
      </c>
      <c r="N8958" t="s">
        <v>28</v>
      </c>
      <c r="O8958" t="s">
        <v>192</v>
      </c>
      <c r="P8958" s="1" t="s">
        <v>34</v>
      </c>
      <c r="Q8958">
        <v>163.5</v>
      </c>
    </row>
    <row r="8959" spans="11:17" x14ac:dyDescent="0.3">
      <c r="K8959">
        <v>2022</v>
      </c>
      <c r="L8959" t="s">
        <v>35</v>
      </c>
      <c r="M8959" t="s">
        <v>159</v>
      </c>
      <c r="N8959" t="s">
        <v>28</v>
      </c>
      <c r="O8959" t="s">
        <v>192</v>
      </c>
      <c r="P8959" s="1" t="s">
        <v>33</v>
      </c>
      <c r="Q8959">
        <v>159.4</v>
      </c>
    </row>
    <row r="8960" spans="11:17" x14ac:dyDescent="0.3">
      <c r="K8960">
        <v>2022</v>
      </c>
      <c r="L8960" t="s">
        <v>35</v>
      </c>
      <c r="M8960" t="s">
        <v>159</v>
      </c>
      <c r="N8960" t="s">
        <v>13</v>
      </c>
      <c r="O8960" t="s">
        <v>188</v>
      </c>
      <c r="P8960" s="1" t="s">
        <v>30</v>
      </c>
      <c r="Q8960">
        <v>170.5</v>
      </c>
    </row>
    <row r="8961" spans="11:17" x14ac:dyDescent="0.3">
      <c r="K8961">
        <v>2022</v>
      </c>
      <c r="L8961" t="s">
        <v>35</v>
      </c>
      <c r="M8961" t="s">
        <v>159</v>
      </c>
      <c r="N8961" t="s">
        <v>13</v>
      </c>
      <c r="O8961" t="s">
        <v>188</v>
      </c>
      <c r="P8961" s="1" t="s">
        <v>34</v>
      </c>
      <c r="Q8961">
        <v>164.7</v>
      </c>
    </row>
    <row r="8962" spans="11:17" x14ac:dyDescent="0.3">
      <c r="K8962">
        <v>2022</v>
      </c>
      <c r="L8962" t="s">
        <v>35</v>
      </c>
      <c r="M8962" t="s">
        <v>159</v>
      </c>
      <c r="N8962" t="s">
        <v>13</v>
      </c>
      <c r="O8962" t="s">
        <v>188</v>
      </c>
      <c r="P8962" s="1" t="s">
        <v>33</v>
      </c>
      <c r="Q8962">
        <v>156.69999999999999</v>
      </c>
    </row>
    <row r="8963" spans="11:17" x14ac:dyDescent="0.3">
      <c r="K8963">
        <v>2022</v>
      </c>
      <c r="L8963" t="s">
        <v>35</v>
      </c>
      <c r="M8963" t="s">
        <v>159</v>
      </c>
      <c r="N8963" t="s">
        <v>7</v>
      </c>
      <c r="O8963" t="s">
        <v>188</v>
      </c>
      <c r="P8963" s="1" t="s">
        <v>30</v>
      </c>
      <c r="Q8963">
        <v>192.6</v>
      </c>
    </row>
    <row r="8964" spans="11:17" x14ac:dyDescent="0.3">
      <c r="K8964">
        <v>2022</v>
      </c>
      <c r="L8964" t="s">
        <v>35</v>
      </c>
      <c r="M8964" t="s">
        <v>159</v>
      </c>
      <c r="N8964" t="s">
        <v>7</v>
      </c>
      <c r="O8964" t="s">
        <v>188</v>
      </c>
      <c r="P8964" s="1" t="s">
        <v>34</v>
      </c>
      <c r="Q8964">
        <v>184.9</v>
      </c>
    </row>
    <row r="8965" spans="11:17" x14ac:dyDescent="0.3">
      <c r="K8965">
        <v>2022</v>
      </c>
      <c r="L8965" t="s">
        <v>35</v>
      </c>
      <c r="M8965" t="s">
        <v>159</v>
      </c>
      <c r="N8965" t="s">
        <v>7</v>
      </c>
      <c r="O8965" t="s">
        <v>188</v>
      </c>
      <c r="P8965" s="1" t="s">
        <v>33</v>
      </c>
      <c r="Q8965">
        <v>171.5</v>
      </c>
    </row>
    <row r="8966" spans="11:17" x14ac:dyDescent="0.3">
      <c r="K8966">
        <v>2022</v>
      </c>
      <c r="L8966" t="s">
        <v>35</v>
      </c>
      <c r="M8966" t="s">
        <v>159</v>
      </c>
      <c r="N8966" t="s">
        <v>16</v>
      </c>
      <c r="O8966" t="s">
        <v>192</v>
      </c>
      <c r="P8966" s="1" t="s">
        <v>30</v>
      </c>
      <c r="Q8966">
        <v>191.5</v>
      </c>
    </row>
    <row r="8967" spans="11:17" x14ac:dyDescent="0.3">
      <c r="K8967">
        <v>2022</v>
      </c>
      <c r="L8967" t="s">
        <v>35</v>
      </c>
      <c r="M8967" t="s">
        <v>159</v>
      </c>
      <c r="N8967" t="s">
        <v>16</v>
      </c>
      <c r="O8967" t="s">
        <v>192</v>
      </c>
      <c r="P8967" s="1" t="s">
        <v>34</v>
      </c>
      <c r="Q8967">
        <v>192.8</v>
      </c>
    </row>
    <row r="8968" spans="11:17" x14ac:dyDescent="0.3">
      <c r="K8968">
        <v>2022</v>
      </c>
      <c r="L8968" t="s">
        <v>35</v>
      </c>
      <c r="M8968" t="s">
        <v>159</v>
      </c>
      <c r="N8968" t="s">
        <v>16</v>
      </c>
      <c r="O8968" t="s">
        <v>192</v>
      </c>
      <c r="P8968" s="1" t="s">
        <v>33</v>
      </c>
      <c r="Q8968">
        <v>196.5</v>
      </c>
    </row>
    <row r="8969" spans="11:17" x14ac:dyDescent="0.3">
      <c r="K8969">
        <v>2022</v>
      </c>
      <c r="L8969" t="s">
        <v>35</v>
      </c>
      <c r="M8969" t="s">
        <v>159</v>
      </c>
      <c r="N8969" t="s">
        <v>27</v>
      </c>
      <c r="O8969" t="s">
        <v>192</v>
      </c>
      <c r="P8969" s="1" t="s">
        <v>30</v>
      </c>
      <c r="Q8969">
        <v>164.5</v>
      </c>
    </row>
    <row r="8970" spans="11:17" x14ac:dyDescent="0.3">
      <c r="K8970">
        <v>2022</v>
      </c>
      <c r="L8970" t="s">
        <v>35</v>
      </c>
      <c r="M8970" t="s">
        <v>159</v>
      </c>
      <c r="N8970" t="s">
        <v>27</v>
      </c>
      <c r="O8970" t="s">
        <v>192</v>
      </c>
      <c r="P8970" s="1" t="s">
        <v>34</v>
      </c>
      <c r="Q8970">
        <v>164.4</v>
      </c>
    </row>
    <row r="8971" spans="11:17" x14ac:dyDescent="0.3">
      <c r="K8971">
        <v>2022</v>
      </c>
      <c r="L8971" t="s">
        <v>35</v>
      </c>
      <c r="M8971" t="s">
        <v>159</v>
      </c>
      <c r="N8971" t="s">
        <v>27</v>
      </c>
      <c r="O8971" t="s">
        <v>192</v>
      </c>
      <c r="P8971" s="1" t="s">
        <v>33</v>
      </c>
      <c r="Q8971">
        <v>164.2</v>
      </c>
    </row>
    <row r="8972" spans="11:17" x14ac:dyDescent="0.3">
      <c r="K8972">
        <v>2022</v>
      </c>
      <c r="L8972" t="s">
        <v>35</v>
      </c>
      <c r="M8972" t="s">
        <v>159</v>
      </c>
      <c r="N8972" t="s">
        <v>14</v>
      </c>
      <c r="O8972" t="s">
        <v>188</v>
      </c>
      <c r="P8972" s="1" t="s">
        <v>30</v>
      </c>
      <c r="Q8972">
        <v>176.3</v>
      </c>
    </row>
    <row r="8973" spans="11:17" x14ac:dyDescent="0.3">
      <c r="K8973">
        <v>2022</v>
      </c>
      <c r="L8973" t="s">
        <v>35</v>
      </c>
      <c r="M8973" t="s">
        <v>159</v>
      </c>
      <c r="N8973" t="s">
        <v>14</v>
      </c>
      <c r="O8973" t="s">
        <v>188</v>
      </c>
      <c r="P8973" s="1" t="s">
        <v>34</v>
      </c>
      <c r="Q8973">
        <v>178</v>
      </c>
    </row>
    <row r="8974" spans="11:17" x14ac:dyDescent="0.3">
      <c r="K8974">
        <v>2022</v>
      </c>
      <c r="L8974" t="s">
        <v>35</v>
      </c>
      <c r="M8974" t="s">
        <v>159</v>
      </c>
      <c r="N8974" t="s">
        <v>14</v>
      </c>
      <c r="O8974" t="s">
        <v>188</v>
      </c>
      <c r="P8974" s="1" t="s">
        <v>33</v>
      </c>
      <c r="Q8974">
        <v>180</v>
      </c>
    </row>
    <row r="8975" spans="11:17" x14ac:dyDescent="0.3">
      <c r="K8975">
        <v>2022</v>
      </c>
      <c r="L8975" t="s">
        <v>35</v>
      </c>
      <c r="M8975" t="s">
        <v>159</v>
      </c>
      <c r="N8975" t="s">
        <v>10</v>
      </c>
      <c r="O8975" t="s">
        <v>188</v>
      </c>
      <c r="P8975" s="1" t="s">
        <v>30</v>
      </c>
      <c r="Q8975">
        <v>163.9</v>
      </c>
    </row>
    <row r="8976" spans="11:17" x14ac:dyDescent="0.3">
      <c r="K8976">
        <v>2022</v>
      </c>
      <c r="L8976" t="s">
        <v>35</v>
      </c>
      <c r="M8976" t="s">
        <v>159</v>
      </c>
      <c r="N8976" t="s">
        <v>10</v>
      </c>
      <c r="O8976" t="s">
        <v>188</v>
      </c>
      <c r="P8976" s="1" t="s">
        <v>34</v>
      </c>
      <c r="Q8976">
        <v>163.69999999999999</v>
      </c>
    </row>
    <row r="8977" spans="11:17" x14ac:dyDescent="0.3">
      <c r="K8977">
        <v>2022</v>
      </c>
      <c r="L8977" t="s">
        <v>35</v>
      </c>
      <c r="M8977" t="s">
        <v>159</v>
      </c>
      <c r="N8977" t="s">
        <v>10</v>
      </c>
      <c r="O8977" t="s">
        <v>188</v>
      </c>
      <c r="P8977" s="1" t="s">
        <v>33</v>
      </c>
      <c r="Q8977">
        <v>163.19999999999999</v>
      </c>
    </row>
    <row r="8978" spans="11:17" x14ac:dyDescent="0.3">
      <c r="K8978">
        <v>2022</v>
      </c>
      <c r="L8978" t="s">
        <v>35</v>
      </c>
      <c r="M8978" t="s">
        <v>159</v>
      </c>
      <c r="N8978" t="s">
        <v>25</v>
      </c>
      <c r="O8978" t="s">
        <v>195</v>
      </c>
      <c r="P8978" s="1" t="s">
        <v>30</v>
      </c>
      <c r="Q8978">
        <v>165.5</v>
      </c>
    </row>
    <row r="8979" spans="11:17" x14ac:dyDescent="0.3">
      <c r="K8979">
        <v>2022</v>
      </c>
      <c r="L8979" t="s">
        <v>35</v>
      </c>
      <c r="M8979" t="s">
        <v>159</v>
      </c>
      <c r="N8979" t="s">
        <v>25</v>
      </c>
      <c r="O8979" t="s">
        <v>195</v>
      </c>
      <c r="P8979" s="1" t="s">
        <v>34</v>
      </c>
      <c r="Q8979">
        <v>162.1</v>
      </c>
    </row>
    <row r="8980" spans="11:17" x14ac:dyDescent="0.3">
      <c r="K8980">
        <v>2022</v>
      </c>
      <c r="L8980" t="s">
        <v>35</v>
      </c>
      <c r="M8980" t="s">
        <v>159</v>
      </c>
      <c r="N8980" t="s">
        <v>25</v>
      </c>
      <c r="O8980" t="s">
        <v>195</v>
      </c>
      <c r="P8980" s="1" t="s">
        <v>33</v>
      </c>
      <c r="Q8980">
        <v>159.5</v>
      </c>
    </row>
    <row r="8981" spans="11:17" x14ac:dyDescent="0.3">
      <c r="K8981">
        <v>2022</v>
      </c>
      <c r="L8981" t="s">
        <v>35</v>
      </c>
      <c r="M8981" t="s">
        <v>159</v>
      </c>
      <c r="N8981" t="s">
        <v>12</v>
      </c>
      <c r="O8981" t="s">
        <v>188</v>
      </c>
      <c r="P8981" s="1" t="s">
        <v>30</v>
      </c>
      <c r="Q8981">
        <v>175.4</v>
      </c>
    </row>
    <row r="8982" spans="11:17" x14ac:dyDescent="0.3">
      <c r="K8982">
        <v>2022</v>
      </c>
      <c r="L8982" t="s">
        <v>35</v>
      </c>
      <c r="M8982" t="s">
        <v>159</v>
      </c>
      <c r="N8982" t="s">
        <v>12</v>
      </c>
      <c r="O8982" t="s">
        <v>188</v>
      </c>
      <c r="P8982" s="1" t="s">
        <v>34</v>
      </c>
      <c r="Q8982">
        <v>174.3</v>
      </c>
    </row>
    <row r="8983" spans="11:17" x14ac:dyDescent="0.3">
      <c r="K8983">
        <v>2022</v>
      </c>
      <c r="L8983" t="s">
        <v>35</v>
      </c>
      <c r="M8983" t="s">
        <v>159</v>
      </c>
      <c r="N8983" t="s">
        <v>12</v>
      </c>
      <c r="O8983" t="s">
        <v>188</v>
      </c>
      <c r="P8983" s="1" t="s">
        <v>33</v>
      </c>
      <c r="Q8983">
        <v>172.2</v>
      </c>
    </row>
    <row r="8984" spans="11:17" x14ac:dyDescent="0.3">
      <c r="K8984">
        <v>2022</v>
      </c>
      <c r="L8984" t="s">
        <v>35</v>
      </c>
      <c r="M8984" t="s">
        <v>159</v>
      </c>
      <c r="N8984" t="s">
        <v>11</v>
      </c>
      <c r="O8984" t="s">
        <v>188</v>
      </c>
      <c r="P8984" s="1" t="s">
        <v>30</v>
      </c>
      <c r="Q8984">
        <v>118.1</v>
      </c>
    </row>
    <row r="8985" spans="11:17" x14ac:dyDescent="0.3">
      <c r="K8985">
        <v>2022</v>
      </c>
      <c r="L8985" t="s">
        <v>35</v>
      </c>
      <c r="M8985" t="s">
        <v>159</v>
      </c>
      <c r="N8985" t="s">
        <v>11</v>
      </c>
      <c r="O8985" t="s">
        <v>188</v>
      </c>
      <c r="P8985" s="1" t="s">
        <v>34</v>
      </c>
      <c r="Q8985">
        <v>118.9</v>
      </c>
    </row>
    <row r="8986" spans="11:17" x14ac:dyDescent="0.3">
      <c r="K8986">
        <v>2022</v>
      </c>
      <c r="L8986" t="s">
        <v>35</v>
      </c>
      <c r="M8986" t="s">
        <v>159</v>
      </c>
      <c r="N8986" t="s">
        <v>11</v>
      </c>
      <c r="O8986" t="s">
        <v>188</v>
      </c>
      <c r="P8986" s="1" t="s">
        <v>33</v>
      </c>
      <c r="Q8986">
        <v>120.6</v>
      </c>
    </row>
    <row r="8987" spans="11:17" x14ac:dyDescent="0.3">
      <c r="K8987">
        <v>2022</v>
      </c>
      <c r="L8987" t="s">
        <v>35</v>
      </c>
      <c r="M8987" t="s">
        <v>159</v>
      </c>
      <c r="N8987" t="s">
        <v>24</v>
      </c>
      <c r="O8987" t="s">
        <v>191</v>
      </c>
      <c r="P8987" s="1" t="s">
        <v>30</v>
      </c>
      <c r="Q8987">
        <v>161.19999999999999</v>
      </c>
    </row>
    <row r="8988" spans="11:17" x14ac:dyDescent="0.3">
      <c r="K8988">
        <v>2022</v>
      </c>
      <c r="L8988" t="s">
        <v>35</v>
      </c>
      <c r="M8988" t="s">
        <v>159</v>
      </c>
      <c r="N8988" t="s">
        <v>24</v>
      </c>
      <c r="O8988" t="s">
        <v>191</v>
      </c>
      <c r="P8988" s="1" t="s">
        <v>34</v>
      </c>
      <c r="Q8988">
        <v>156.9</v>
      </c>
    </row>
    <row r="8989" spans="11:17" x14ac:dyDescent="0.3">
      <c r="K8989">
        <v>2022</v>
      </c>
      <c r="L8989" t="s">
        <v>35</v>
      </c>
      <c r="M8989" t="s">
        <v>159</v>
      </c>
      <c r="N8989" t="s">
        <v>24</v>
      </c>
      <c r="O8989" t="s">
        <v>191</v>
      </c>
      <c r="P8989" s="1" t="s">
        <v>33</v>
      </c>
      <c r="Q8989">
        <v>153.1</v>
      </c>
    </row>
    <row r="8990" spans="11:17" x14ac:dyDescent="0.3">
      <c r="K8990">
        <v>2022</v>
      </c>
      <c r="L8990" t="s">
        <v>35</v>
      </c>
      <c r="M8990" t="s">
        <v>159</v>
      </c>
      <c r="N8990" t="s">
        <v>9</v>
      </c>
      <c r="O8990" t="s">
        <v>188</v>
      </c>
      <c r="P8990" s="1" t="s">
        <v>30</v>
      </c>
      <c r="Q8990">
        <v>155.19999999999999</v>
      </c>
    </row>
    <row r="8991" spans="11:17" x14ac:dyDescent="0.3">
      <c r="K8991">
        <v>2022</v>
      </c>
      <c r="L8991" t="s">
        <v>35</v>
      </c>
      <c r="M8991" t="s">
        <v>159</v>
      </c>
      <c r="N8991" t="s">
        <v>9</v>
      </c>
      <c r="O8991" t="s">
        <v>188</v>
      </c>
      <c r="P8991" s="1" t="s">
        <v>34</v>
      </c>
      <c r="Q8991">
        <v>169.7</v>
      </c>
    </row>
    <row r="8992" spans="11:17" x14ac:dyDescent="0.3">
      <c r="K8992">
        <v>2022</v>
      </c>
      <c r="L8992" t="s">
        <v>35</v>
      </c>
      <c r="M8992" t="s">
        <v>159</v>
      </c>
      <c r="N8992" t="s">
        <v>9</v>
      </c>
      <c r="O8992" t="s">
        <v>188</v>
      </c>
      <c r="P8992" s="1" t="s">
        <v>33</v>
      </c>
      <c r="Q8992">
        <v>198</v>
      </c>
    </row>
    <row r="8993" spans="11:17" x14ac:dyDescent="0.3">
      <c r="K8993">
        <v>2022</v>
      </c>
      <c r="L8993" t="s">
        <v>31</v>
      </c>
      <c r="M8993" t="s">
        <v>160</v>
      </c>
      <c r="N8993" t="s">
        <v>3</v>
      </c>
      <c r="O8993" t="s">
        <v>188</v>
      </c>
      <c r="P8993" s="1" t="s">
        <v>30</v>
      </c>
      <c r="Q8993">
        <v>148.30000000000001</v>
      </c>
    </row>
    <row r="8994" spans="11:17" x14ac:dyDescent="0.3">
      <c r="K8994">
        <v>2022</v>
      </c>
      <c r="L8994" t="s">
        <v>31</v>
      </c>
      <c r="M8994" t="s">
        <v>160</v>
      </c>
      <c r="N8994" t="s">
        <v>3</v>
      </c>
      <c r="O8994" t="s">
        <v>188</v>
      </c>
      <c r="P8994" s="1" t="s">
        <v>34</v>
      </c>
      <c r="Q8994">
        <v>149.5</v>
      </c>
    </row>
    <row r="8995" spans="11:17" x14ac:dyDescent="0.3">
      <c r="K8995">
        <v>2022</v>
      </c>
      <c r="L8995" t="s">
        <v>31</v>
      </c>
      <c r="M8995" t="s">
        <v>160</v>
      </c>
      <c r="N8995" t="s">
        <v>3</v>
      </c>
      <c r="O8995" t="s">
        <v>188</v>
      </c>
      <c r="P8995" s="1" t="s">
        <v>33</v>
      </c>
      <c r="Q8995">
        <v>152.19999999999999</v>
      </c>
    </row>
    <row r="8996" spans="11:17" x14ac:dyDescent="0.3">
      <c r="K8996">
        <v>2022</v>
      </c>
      <c r="L8996" t="s">
        <v>31</v>
      </c>
      <c r="M8996" t="s">
        <v>160</v>
      </c>
      <c r="N8996" t="s">
        <v>17</v>
      </c>
      <c r="O8996" t="s">
        <v>189</v>
      </c>
      <c r="P8996" s="1" t="s">
        <v>30</v>
      </c>
      <c r="Q8996">
        <v>173.2</v>
      </c>
    </row>
    <row r="8997" spans="11:17" x14ac:dyDescent="0.3">
      <c r="K8997">
        <v>2022</v>
      </c>
      <c r="L8997" t="s">
        <v>31</v>
      </c>
      <c r="M8997" t="s">
        <v>160</v>
      </c>
      <c r="N8997" t="s">
        <v>17</v>
      </c>
      <c r="O8997" t="s">
        <v>189</v>
      </c>
      <c r="P8997" s="1" t="s">
        <v>34</v>
      </c>
      <c r="Q8997">
        <v>169.9</v>
      </c>
    </row>
    <row r="8998" spans="11:17" x14ac:dyDescent="0.3">
      <c r="K8998">
        <v>2022</v>
      </c>
      <c r="L8998" t="s">
        <v>31</v>
      </c>
      <c r="M8998" t="s">
        <v>160</v>
      </c>
      <c r="N8998" t="s">
        <v>17</v>
      </c>
      <c r="O8998" t="s">
        <v>189</v>
      </c>
      <c r="P8998" s="1" t="s">
        <v>33</v>
      </c>
      <c r="Q8998">
        <v>164.7</v>
      </c>
    </row>
    <row r="8999" spans="11:17" x14ac:dyDescent="0.3">
      <c r="K8999">
        <v>2022</v>
      </c>
      <c r="L8999" t="s">
        <v>31</v>
      </c>
      <c r="M8999" t="s">
        <v>160</v>
      </c>
      <c r="N8999" t="s">
        <v>19</v>
      </c>
      <c r="O8999" t="s">
        <v>189</v>
      </c>
      <c r="P8999" s="1" t="s">
        <v>30</v>
      </c>
      <c r="Q8999">
        <v>172.7</v>
      </c>
    </row>
    <row r="9000" spans="11:17" x14ac:dyDescent="0.3">
      <c r="K9000">
        <v>2022</v>
      </c>
      <c r="L9000" t="s">
        <v>31</v>
      </c>
      <c r="M9000" t="s">
        <v>160</v>
      </c>
      <c r="N9000" t="s">
        <v>19</v>
      </c>
      <c r="O9000" t="s">
        <v>189</v>
      </c>
      <c r="P9000" s="1" t="s">
        <v>34</v>
      </c>
      <c r="Q9000">
        <v>168.5</v>
      </c>
    </row>
    <row r="9001" spans="11:17" x14ac:dyDescent="0.3">
      <c r="K9001">
        <v>2022</v>
      </c>
      <c r="L9001" t="s">
        <v>31</v>
      </c>
      <c r="M9001" t="s">
        <v>160</v>
      </c>
      <c r="N9001" t="s">
        <v>19</v>
      </c>
      <c r="O9001" t="s">
        <v>189</v>
      </c>
      <c r="P9001" s="1" t="s">
        <v>33</v>
      </c>
      <c r="Q9001">
        <v>162.19999999999999</v>
      </c>
    </row>
    <row r="9002" spans="11:17" x14ac:dyDescent="0.3">
      <c r="K9002">
        <v>2022</v>
      </c>
      <c r="L9002" t="s">
        <v>31</v>
      </c>
      <c r="M9002" t="s">
        <v>160</v>
      </c>
      <c r="N9002" t="s">
        <v>26</v>
      </c>
      <c r="O9002" t="s">
        <v>26</v>
      </c>
      <c r="P9002" s="1" t="s">
        <v>30</v>
      </c>
      <c r="Q9002">
        <v>169.9</v>
      </c>
    </row>
    <row r="9003" spans="11:17" x14ac:dyDescent="0.3">
      <c r="K9003">
        <v>2022</v>
      </c>
      <c r="L9003" t="s">
        <v>31</v>
      </c>
      <c r="M9003" t="s">
        <v>160</v>
      </c>
      <c r="N9003" t="s">
        <v>26</v>
      </c>
      <c r="O9003" t="s">
        <v>26</v>
      </c>
      <c r="P9003" s="1" t="s">
        <v>34</v>
      </c>
      <c r="Q9003">
        <v>164.7</v>
      </c>
    </row>
    <row r="9004" spans="11:17" x14ac:dyDescent="0.3">
      <c r="K9004">
        <v>2022</v>
      </c>
      <c r="L9004" t="s">
        <v>31</v>
      </c>
      <c r="M9004" t="s">
        <v>160</v>
      </c>
      <c r="N9004" t="s">
        <v>26</v>
      </c>
      <c r="O9004" t="s">
        <v>26</v>
      </c>
      <c r="P9004" s="1" t="s">
        <v>33</v>
      </c>
      <c r="Q9004">
        <v>161</v>
      </c>
    </row>
    <row r="9005" spans="11:17" x14ac:dyDescent="0.3">
      <c r="K9005">
        <v>2022</v>
      </c>
      <c r="L9005" t="s">
        <v>31</v>
      </c>
      <c r="M9005" t="s">
        <v>160</v>
      </c>
      <c r="N9005" t="s">
        <v>5</v>
      </c>
      <c r="O9005" t="s">
        <v>188</v>
      </c>
      <c r="P9005" s="1" t="s">
        <v>30</v>
      </c>
      <c r="Q9005">
        <v>178</v>
      </c>
    </row>
    <row r="9006" spans="11:17" x14ac:dyDescent="0.3">
      <c r="K9006">
        <v>2022</v>
      </c>
      <c r="L9006" t="s">
        <v>31</v>
      </c>
      <c r="M9006" t="s">
        <v>160</v>
      </c>
      <c r="N9006" t="s">
        <v>5</v>
      </c>
      <c r="O9006" t="s">
        <v>188</v>
      </c>
      <c r="P9006" s="1" t="s">
        <v>34</v>
      </c>
      <c r="Q9006">
        <v>178.8</v>
      </c>
    </row>
    <row r="9007" spans="11:17" x14ac:dyDescent="0.3">
      <c r="K9007">
        <v>2022</v>
      </c>
      <c r="L9007" t="s">
        <v>31</v>
      </c>
      <c r="M9007" t="s">
        <v>160</v>
      </c>
      <c r="N9007" t="s">
        <v>5</v>
      </c>
      <c r="O9007" t="s">
        <v>188</v>
      </c>
      <c r="P9007" s="1" t="s">
        <v>33</v>
      </c>
      <c r="Q9007">
        <v>180.1</v>
      </c>
    </row>
    <row r="9008" spans="11:17" x14ac:dyDescent="0.3">
      <c r="K9008">
        <v>2022</v>
      </c>
      <c r="L9008" t="s">
        <v>31</v>
      </c>
      <c r="M9008" t="s">
        <v>160</v>
      </c>
      <c r="N9008" t="s">
        <v>15</v>
      </c>
      <c r="O9008" t="s">
        <v>188</v>
      </c>
      <c r="P9008" s="1" t="s">
        <v>30</v>
      </c>
      <c r="Q9008">
        <v>164.1</v>
      </c>
    </row>
    <row r="9009" spans="11:17" x14ac:dyDescent="0.3">
      <c r="K9009">
        <v>2022</v>
      </c>
      <c r="L9009" t="s">
        <v>31</v>
      </c>
      <c r="M9009" t="s">
        <v>160</v>
      </c>
      <c r="N9009" t="s">
        <v>15</v>
      </c>
      <c r="O9009" t="s">
        <v>188</v>
      </c>
      <c r="P9009" s="1" t="s">
        <v>34</v>
      </c>
      <c r="Q9009">
        <v>166.4</v>
      </c>
    </row>
    <row r="9010" spans="11:17" x14ac:dyDescent="0.3">
      <c r="K9010">
        <v>2022</v>
      </c>
      <c r="L9010" t="s">
        <v>31</v>
      </c>
      <c r="M9010" t="s">
        <v>160</v>
      </c>
      <c r="N9010" t="s">
        <v>15</v>
      </c>
      <c r="O9010" t="s">
        <v>188</v>
      </c>
      <c r="P9010" s="1" t="s">
        <v>33</v>
      </c>
      <c r="Q9010">
        <v>170.3</v>
      </c>
    </row>
    <row r="9011" spans="11:17" x14ac:dyDescent="0.3">
      <c r="K9011">
        <v>2022</v>
      </c>
      <c r="L9011" t="s">
        <v>31</v>
      </c>
      <c r="M9011" t="s">
        <v>160</v>
      </c>
      <c r="N9011" t="s">
        <v>18</v>
      </c>
      <c r="O9011" t="s">
        <v>189</v>
      </c>
      <c r="P9011" s="1" t="s">
        <v>30</v>
      </c>
      <c r="Q9011">
        <v>169.3</v>
      </c>
    </row>
    <row r="9012" spans="11:17" x14ac:dyDescent="0.3">
      <c r="K9012">
        <v>2022</v>
      </c>
      <c r="L9012" t="s">
        <v>31</v>
      </c>
      <c r="M9012" t="s">
        <v>160</v>
      </c>
      <c r="N9012" t="s">
        <v>18</v>
      </c>
      <c r="O9012" t="s">
        <v>189</v>
      </c>
      <c r="P9012" s="1" t="s">
        <v>34</v>
      </c>
      <c r="Q9012">
        <v>160.69999999999999</v>
      </c>
    </row>
    <row r="9013" spans="11:17" x14ac:dyDescent="0.3">
      <c r="K9013">
        <v>2022</v>
      </c>
      <c r="L9013" t="s">
        <v>31</v>
      </c>
      <c r="M9013" t="s">
        <v>160</v>
      </c>
      <c r="N9013" t="s">
        <v>18</v>
      </c>
      <c r="O9013" t="s">
        <v>189</v>
      </c>
      <c r="P9013" s="1" t="s">
        <v>33</v>
      </c>
      <c r="Q9013">
        <v>148.5</v>
      </c>
    </row>
    <row r="9014" spans="11:17" x14ac:dyDescent="0.3">
      <c r="K9014">
        <v>2022</v>
      </c>
      <c r="L9014" t="s">
        <v>31</v>
      </c>
      <c r="M9014" t="s">
        <v>160</v>
      </c>
      <c r="N9014" t="s">
        <v>8</v>
      </c>
      <c r="O9014" t="s">
        <v>188</v>
      </c>
      <c r="P9014" s="1" t="s">
        <v>30</v>
      </c>
      <c r="Q9014">
        <v>151.19999999999999</v>
      </c>
    </row>
    <row r="9015" spans="11:17" x14ac:dyDescent="0.3">
      <c r="K9015">
        <v>2022</v>
      </c>
      <c r="L9015" t="s">
        <v>31</v>
      </c>
      <c r="M9015" t="s">
        <v>160</v>
      </c>
      <c r="N9015" t="s">
        <v>8</v>
      </c>
      <c r="O9015" t="s">
        <v>188</v>
      </c>
      <c r="P9015" s="1" t="s">
        <v>34</v>
      </c>
      <c r="Q9015">
        <v>153.69999999999999</v>
      </c>
    </row>
    <row r="9016" spans="11:17" x14ac:dyDescent="0.3">
      <c r="K9016">
        <v>2022</v>
      </c>
      <c r="L9016" t="s">
        <v>31</v>
      </c>
      <c r="M9016" t="s">
        <v>160</v>
      </c>
      <c r="N9016" t="s">
        <v>8</v>
      </c>
      <c r="O9016" t="s">
        <v>188</v>
      </c>
      <c r="P9016" s="1" t="s">
        <v>33</v>
      </c>
      <c r="Q9016">
        <v>156.5</v>
      </c>
    </row>
    <row r="9017" spans="11:17" x14ac:dyDescent="0.3">
      <c r="K9017">
        <v>2022</v>
      </c>
      <c r="L9017" t="s">
        <v>31</v>
      </c>
      <c r="M9017" t="s">
        <v>160</v>
      </c>
      <c r="N9017" t="s">
        <v>21</v>
      </c>
      <c r="O9017" t="s">
        <v>190</v>
      </c>
      <c r="P9017" s="1" t="s">
        <v>30</v>
      </c>
      <c r="Q9017">
        <v>165.8</v>
      </c>
    </row>
    <row r="9018" spans="11:17" x14ac:dyDescent="0.3">
      <c r="K9018">
        <v>2022</v>
      </c>
      <c r="L9018" t="s">
        <v>31</v>
      </c>
      <c r="M9018" t="s">
        <v>160</v>
      </c>
      <c r="N9018" t="s">
        <v>21</v>
      </c>
      <c r="O9018" t="s">
        <v>190</v>
      </c>
      <c r="P9018" s="1" t="s">
        <v>34</v>
      </c>
      <c r="Q9018">
        <v>164.2</v>
      </c>
    </row>
    <row r="9019" spans="11:17" x14ac:dyDescent="0.3">
      <c r="K9019">
        <v>2022</v>
      </c>
      <c r="L9019" t="s">
        <v>31</v>
      </c>
      <c r="M9019" t="s">
        <v>160</v>
      </c>
      <c r="N9019" t="s">
        <v>21</v>
      </c>
      <c r="O9019" t="s">
        <v>190</v>
      </c>
      <c r="P9019" s="1" t="s">
        <v>33</v>
      </c>
      <c r="Q9019">
        <v>161.6</v>
      </c>
    </row>
    <row r="9020" spans="11:17" x14ac:dyDescent="0.3">
      <c r="K9020">
        <v>2022</v>
      </c>
      <c r="L9020" t="s">
        <v>31</v>
      </c>
      <c r="M9020" t="s">
        <v>160</v>
      </c>
      <c r="N9020" t="s">
        <v>29</v>
      </c>
      <c r="O9020" t="s">
        <v>206</v>
      </c>
      <c r="P9020" s="1" t="s">
        <v>30</v>
      </c>
      <c r="Q9020">
        <v>166.4</v>
      </c>
    </row>
    <row r="9021" spans="11:17" x14ac:dyDescent="0.3">
      <c r="K9021">
        <v>2022</v>
      </c>
      <c r="L9021" t="s">
        <v>31</v>
      </c>
      <c r="M9021" t="s">
        <v>160</v>
      </c>
      <c r="N9021" t="s">
        <v>29</v>
      </c>
      <c r="O9021" t="s">
        <v>206</v>
      </c>
      <c r="P9021" s="1" t="s">
        <v>34</v>
      </c>
      <c r="Q9021">
        <v>165.7</v>
      </c>
    </row>
    <row r="9022" spans="11:17" x14ac:dyDescent="0.3">
      <c r="K9022">
        <v>2022</v>
      </c>
      <c r="L9022" t="s">
        <v>31</v>
      </c>
      <c r="M9022" t="s">
        <v>160</v>
      </c>
      <c r="N9022" t="s">
        <v>29</v>
      </c>
      <c r="O9022" t="s">
        <v>206</v>
      </c>
      <c r="P9022" s="1" t="s">
        <v>33</v>
      </c>
      <c r="Q9022">
        <v>165</v>
      </c>
    </row>
    <row r="9023" spans="11:17" x14ac:dyDescent="0.3">
      <c r="K9023">
        <v>2022</v>
      </c>
      <c r="L9023" t="s">
        <v>31</v>
      </c>
      <c r="M9023" t="s">
        <v>160</v>
      </c>
      <c r="N9023" t="s">
        <v>23</v>
      </c>
      <c r="O9023" t="s">
        <v>23</v>
      </c>
      <c r="P9023" s="1" t="s">
        <v>30</v>
      </c>
      <c r="Q9023">
        <v>174.7</v>
      </c>
    </row>
    <row r="9024" spans="11:17" x14ac:dyDescent="0.3">
      <c r="K9024">
        <v>2022</v>
      </c>
      <c r="L9024" t="s">
        <v>31</v>
      </c>
      <c r="M9024" t="s">
        <v>160</v>
      </c>
      <c r="N9024" t="s">
        <v>23</v>
      </c>
      <c r="O9024" t="s">
        <v>23</v>
      </c>
      <c r="P9024" s="1" t="s">
        <v>34</v>
      </c>
      <c r="Q9024">
        <v>171.4</v>
      </c>
    </row>
    <row r="9025" spans="11:17" x14ac:dyDescent="0.3">
      <c r="K9025">
        <v>2022</v>
      </c>
      <c r="L9025" t="s">
        <v>31</v>
      </c>
      <c r="M9025" t="s">
        <v>160</v>
      </c>
      <c r="N9025" t="s">
        <v>23</v>
      </c>
      <c r="O9025" t="s">
        <v>23</v>
      </c>
      <c r="P9025" s="1" t="s">
        <v>33</v>
      </c>
      <c r="Q9025">
        <v>166.1</v>
      </c>
    </row>
    <row r="9026" spans="11:17" x14ac:dyDescent="0.3">
      <c r="K9026">
        <v>2022</v>
      </c>
      <c r="L9026" t="s">
        <v>31</v>
      </c>
      <c r="M9026" t="s">
        <v>160</v>
      </c>
      <c r="N9026" t="s">
        <v>22</v>
      </c>
      <c r="O9026" t="s">
        <v>20</v>
      </c>
      <c r="P9026" s="1" t="s">
        <v>30</v>
      </c>
      <c r="Q9026">
        <v>164.9</v>
      </c>
    </row>
    <row r="9027" spans="11:17" x14ac:dyDescent="0.3">
      <c r="K9027">
        <v>2022</v>
      </c>
      <c r="L9027" t="s">
        <v>31</v>
      </c>
      <c r="M9027" t="s">
        <v>160</v>
      </c>
      <c r="N9027" t="s">
        <v>22</v>
      </c>
      <c r="O9027" t="s">
        <v>20</v>
      </c>
      <c r="P9027" s="1" t="s">
        <v>34</v>
      </c>
      <c r="Q9027">
        <v>161.1</v>
      </c>
    </row>
    <row r="9028" spans="11:17" x14ac:dyDescent="0.3">
      <c r="K9028">
        <v>2022</v>
      </c>
      <c r="L9028" t="s">
        <v>31</v>
      </c>
      <c r="M9028" t="s">
        <v>160</v>
      </c>
      <c r="N9028" t="s">
        <v>22</v>
      </c>
      <c r="O9028" t="s">
        <v>20</v>
      </c>
      <c r="P9028" s="1" t="s">
        <v>33</v>
      </c>
      <c r="Q9028">
        <v>156.80000000000001</v>
      </c>
    </row>
    <row r="9029" spans="11:17" x14ac:dyDescent="0.3">
      <c r="K9029">
        <v>2022</v>
      </c>
      <c r="L9029" t="s">
        <v>31</v>
      </c>
      <c r="M9029" t="s">
        <v>160</v>
      </c>
      <c r="N9029" t="s">
        <v>20</v>
      </c>
      <c r="O9029" t="s">
        <v>20</v>
      </c>
      <c r="P9029" s="1" t="s">
        <v>30</v>
      </c>
      <c r="Q9029">
        <v>0</v>
      </c>
    </row>
    <row r="9030" spans="11:17" x14ac:dyDescent="0.3">
      <c r="K9030">
        <v>2022</v>
      </c>
      <c r="L9030" t="s">
        <v>31</v>
      </c>
      <c r="M9030" t="s">
        <v>160</v>
      </c>
      <c r="N9030" t="s">
        <v>20</v>
      </c>
      <c r="O9030" t="s">
        <v>20</v>
      </c>
      <c r="P9030" s="1" t="s">
        <v>34</v>
      </c>
      <c r="Q9030">
        <v>164.5</v>
      </c>
    </row>
    <row r="9031" spans="11:17" x14ac:dyDescent="0.3">
      <c r="K9031">
        <v>2022</v>
      </c>
      <c r="L9031" t="s">
        <v>31</v>
      </c>
      <c r="M9031" t="s">
        <v>160</v>
      </c>
      <c r="N9031" t="s">
        <v>20</v>
      </c>
      <c r="O9031" t="s">
        <v>20</v>
      </c>
      <c r="P9031" s="1" t="s">
        <v>33</v>
      </c>
      <c r="Q9031">
        <v>164.5</v>
      </c>
    </row>
    <row r="9032" spans="11:17" x14ac:dyDescent="0.3">
      <c r="K9032">
        <v>2022</v>
      </c>
      <c r="L9032" t="s">
        <v>31</v>
      </c>
      <c r="M9032" t="s">
        <v>160</v>
      </c>
      <c r="N9032" t="s">
        <v>4</v>
      </c>
      <c r="O9032" t="s">
        <v>188</v>
      </c>
      <c r="P9032" s="1" t="s">
        <v>30</v>
      </c>
      <c r="Q9032">
        <v>196.9</v>
      </c>
    </row>
    <row r="9033" spans="11:17" x14ac:dyDescent="0.3">
      <c r="K9033">
        <v>2022</v>
      </c>
      <c r="L9033" t="s">
        <v>31</v>
      </c>
      <c r="M9033" t="s">
        <v>160</v>
      </c>
      <c r="N9033" t="s">
        <v>4</v>
      </c>
      <c r="O9033" t="s">
        <v>188</v>
      </c>
      <c r="P9033" s="1" t="s">
        <v>34</v>
      </c>
      <c r="Q9033">
        <v>198.7</v>
      </c>
    </row>
    <row r="9034" spans="11:17" x14ac:dyDescent="0.3">
      <c r="K9034">
        <v>2022</v>
      </c>
      <c r="L9034" t="s">
        <v>31</v>
      </c>
      <c r="M9034" t="s">
        <v>160</v>
      </c>
      <c r="N9034" t="s">
        <v>4</v>
      </c>
      <c r="O9034" t="s">
        <v>188</v>
      </c>
      <c r="P9034" s="1" t="s">
        <v>33</v>
      </c>
      <c r="Q9034">
        <v>202.1</v>
      </c>
    </row>
    <row r="9035" spans="11:17" x14ac:dyDescent="0.3">
      <c r="K9035">
        <v>2022</v>
      </c>
      <c r="L9035" t="s">
        <v>31</v>
      </c>
      <c r="M9035" t="s">
        <v>160</v>
      </c>
      <c r="N9035" t="s">
        <v>6</v>
      </c>
      <c r="O9035" t="s">
        <v>188</v>
      </c>
      <c r="P9035" s="1" t="s">
        <v>30</v>
      </c>
      <c r="Q9035">
        <v>160.5</v>
      </c>
    </row>
    <row r="9036" spans="11:17" x14ac:dyDescent="0.3">
      <c r="K9036">
        <v>2022</v>
      </c>
      <c r="L9036" t="s">
        <v>31</v>
      </c>
      <c r="M9036" t="s">
        <v>160</v>
      </c>
      <c r="N9036" t="s">
        <v>6</v>
      </c>
      <c r="O9036" t="s">
        <v>188</v>
      </c>
      <c r="P9036" s="1" t="s">
        <v>34</v>
      </c>
      <c r="Q9036">
        <v>160.5</v>
      </c>
    </row>
    <row r="9037" spans="11:17" x14ac:dyDescent="0.3">
      <c r="K9037">
        <v>2022</v>
      </c>
      <c r="L9037" t="s">
        <v>31</v>
      </c>
      <c r="M9037" t="s">
        <v>160</v>
      </c>
      <c r="N9037" t="s">
        <v>6</v>
      </c>
      <c r="O9037" t="s">
        <v>188</v>
      </c>
      <c r="P9037" s="1" t="s">
        <v>33</v>
      </c>
      <c r="Q9037">
        <v>160.4</v>
      </c>
    </row>
    <row r="9038" spans="11:17" x14ac:dyDescent="0.3">
      <c r="K9038">
        <v>2022</v>
      </c>
      <c r="L9038" t="s">
        <v>31</v>
      </c>
      <c r="M9038" t="s">
        <v>160</v>
      </c>
      <c r="N9038" t="s">
        <v>28</v>
      </c>
      <c r="O9038" t="s">
        <v>192</v>
      </c>
      <c r="P9038" s="1" t="s">
        <v>30</v>
      </c>
      <c r="Q9038">
        <v>166.6</v>
      </c>
    </row>
    <row r="9039" spans="11:17" x14ac:dyDescent="0.3">
      <c r="K9039">
        <v>2022</v>
      </c>
      <c r="L9039" t="s">
        <v>31</v>
      </c>
      <c r="M9039" t="s">
        <v>160</v>
      </c>
      <c r="N9039" t="s">
        <v>28</v>
      </c>
      <c r="O9039" t="s">
        <v>192</v>
      </c>
      <c r="P9039" s="1" t="s">
        <v>34</v>
      </c>
      <c r="Q9039">
        <v>162.69999999999999</v>
      </c>
    </row>
    <row r="9040" spans="11:17" x14ac:dyDescent="0.3">
      <c r="K9040">
        <v>2022</v>
      </c>
      <c r="L9040" t="s">
        <v>31</v>
      </c>
      <c r="M9040" t="s">
        <v>160</v>
      </c>
      <c r="N9040" t="s">
        <v>28</v>
      </c>
      <c r="O9040" t="s">
        <v>192</v>
      </c>
      <c r="P9040" s="1" t="s">
        <v>33</v>
      </c>
      <c r="Q9040">
        <v>158.6</v>
      </c>
    </row>
    <row r="9041" spans="11:17" x14ac:dyDescent="0.3">
      <c r="K9041">
        <v>2022</v>
      </c>
      <c r="L9041" t="s">
        <v>31</v>
      </c>
      <c r="M9041" t="s">
        <v>160</v>
      </c>
      <c r="N9041" t="s">
        <v>13</v>
      </c>
      <c r="O9041" t="s">
        <v>188</v>
      </c>
      <c r="P9041" s="1" t="s">
        <v>30</v>
      </c>
      <c r="Q9041">
        <v>169.8</v>
      </c>
    </row>
    <row r="9042" spans="11:17" x14ac:dyDescent="0.3">
      <c r="K9042">
        <v>2022</v>
      </c>
      <c r="L9042" t="s">
        <v>31</v>
      </c>
      <c r="M9042" t="s">
        <v>160</v>
      </c>
      <c r="N9042" t="s">
        <v>13</v>
      </c>
      <c r="O9042" t="s">
        <v>188</v>
      </c>
      <c r="P9042" s="1" t="s">
        <v>34</v>
      </c>
      <c r="Q9042">
        <v>164.3</v>
      </c>
    </row>
    <row r="9043" spans="11:17" x14ac:dyDescent="0.3">
      <c r="K9043">
        <v>2022</v>
      </c>
      <c r="L9043" t="s">
        <v>31</v>
      </c>
      <c r="M9043" t="s">
        <v>160</v>
      </c>
      <c r="N9043" t="s">
        <v>13</v>
      </c>
      <c r="O9043" t="s">
        <v>188</v>
      </c>
      <c r="P9043" s="1" t="s">
        <v>33</v>
      </c>
      <c r="Q9043">
        <v>156.6</v>
      </c>
    </row>
    <row r="9044" spans="11:17" x14ac:dyDescent="0.3">
      <c r="K9044">
        <v>2022</v>
      </c>
      <c r="L9044" t="s">
        <v>31</v>
      </c>
      <c r="M9044" t="s">
        <v>160</v>
      </c>
      <c r="N9044" t="s">
        <v>7</v>
      </c>
      <c r="O9044" t="s">
        <v>188</v>
      </c>
      <c r="P9044" s="1" t="s">
        <v>30</v>
      </c>
      <c r="Q9044">
        <v>192.6</v>
      </c>
    </row>
    <row r="9045" spans="11:17" x14ac:dyDescent="0.3">
      <c r="K9045">
        <v>2022</v>
      </c>
      <c r="L9045" t="s">
        <v>31</v>
      </c>
      <c r="M9045" t="s">
        <v>160</v>
      </c>
      <c r="N9045" t="s">
        <v>7</v>
      </c>
      <c r="O9045" t="s">
        <v>188</v>
      </c>
      <c r="P9045" s="1" t="s">
        <v>34</v>
      </c>
      <c r="Q9045">
        <v>184.7</v>
      </c>
    </row>
    <row r="9046" spans="11:17" x14ac:dyDescent="0.3">
      <c r="K9046">
        <v>2022</v>
      </c>
      <c r="L9046" t="s">
        <v>31</v>
      </c>
      <c r="M9046" t="s">
        <v>160</v>
      </c>
      <c r="N9046" t="s">
        <v>7</v>
      </c>
      <c r="O9046" t="s">
        <v>188</v>
      </c>
      <c r="P9046" s="1" t="s">
        <v>33</v>
      </c>
      <c r="Q9046">
        <v>171</v>
      </c>
    </row>
    <row r="9047" spans="11:17" x14ac:dyDescent="0.3">
      <c r="K9047">
        <v>2022</v>
      </c>
      <c r="L9047" t="s">
        <v>31</v>
      </c>
      <c r="M9047" t="s">
        <v>160</v>
      </c>
      <c r="N9047" t="s">
        <v>16</v>
      </c>
      <c r="O9047" t="s">
        <v>192</v>
      </c>
      <c r="P9047" s="1" t="s">
        <v>30</v>
      </c>
      <c r="Q9047">
        <v>190.7</v>
      </c>
    </row>
    <row r="9048" spans="11:17" x14ac:dyDescent="0.3">
      <c r="K9048">
        <v>2022</v>
      </c>
      <c r="L9048" t="s">
        <v>31</v>
      </c>
      <c r="M9048" t="s">
        <v>160</v>
      </c>
      <c r="N9048" t="s">
        <v>16</v>
      </c>
      <c r="O9048" t="s">
        <v>192</v>
      </c>
      <c r="P9048" s="1" t="s">
        <v>34</v>
      </c>
      <c r="Q9048">
        <v>192.2</v>
      </c>
    </row>
    <row r="9049" spans="11:17" x14ac:dyDescent="0.3">
      <c r="K9049">
        <v>2022</v>
      </c>
      <c r="L9049" t="s">
        <v>31</v>
      </c>
      <c r="M9049" t="s">
        <v>160</v>
      </c>
      <c r="N9049" t="s">
        <v>16</v>
      </c>
      <c r="O9049" t="s">
        <v>192</v>
      </c>
      <c r="P9049" s="1" t="s">
        <v>33</v>
      </c>
      <c r="Q9049">
        <v>196.4</v>
      </c>
    </row>
    <row r="9050" spans="11:17" x14ac:dyDescent="0.3">
      <c r="K9050">
        <v>2022</v>
      </c>
      <c r="L9050" t="s">
        <v>31</v>
      </c>
      <c r="M9050" t="s">
        <v>160</v>
      </c>
      <c r="N9050" t="s">
        <v>27</v>
      </c>
      <c r="O9050" t="s">
        <v>192</v>
      </c>
      <c r="P9050" s="1" t="s">
        <v>30</v>
      </c>
      <c r="Q9050">
        <v>163.19999999999999</v>
      </c>
    </row>
    <row r="9051" spans="11:17" x14ac:dyDescent="0.3">
      <c r="K9051">
        <v>2022</v>
      </c>
      <c r="L9051" t="s">
        <v>31</v>
      </c>
      <c r="M9051" t="s">
        <v>160</v>
      </c>
      <c r="N9051" t="s">
        <v>27</v>
      </c>
      <c r="O9051" t="s">
        <v>192</v>
      </c>
      <c r="P9051" s="1" t="s">
        <v>34</v>
      </c>
      <c r="Q9051">
        <v>163</v>
      </c>
    </row>
    <row r="9052" spans="11:17" x14ac:dyDescent="0.3">
      <c r="K9052">
        <v>2022</v>
      </c>
      <c r="L9052" t="s">
        <v>31</v>
      </c>
      <c r="M9052" t="s">
        <v>160</v>
      </c>
      <c r="N9052" t="s">
        <v>27</v>
      </c>
      <c r="O9052" t="s">
        <v>192</v>
      </c>
      <c r="P9052" s="1" t="s">
        <v>33</v>
      </c>
      <c r="Q9052">
        <v>162.80000000000001</v>
      </c>
    </row>
    <row r="9053" spans="11:17" x14ac:dyDescent="0.3">
      <c r="K9053">
        <v>2022</v>
      </c>
      <c r="L9053" t="s">
        <v>31</v>
      </c>
      <c r="M9053" t="s">
        <v>160</v>
      </c>
      <c r="N9053" t="s">
        <v>14</v>
      </c>
      <c r="O9053" t="s">
        <v>188</v>
      </c>
      <c r="P9053" s="1" t="s">
        <v>30</v>
      </c>
      <c r="Q9053">
        <v>175.8</v>
      </c>
    </row>
    <row r="9054" spans="11:17" x14ac:dyDescent="0.3">
      <c r="K9054">
        <v>2022</v>
      </c>
      <c r="L9054" t="s">
        <v>31</v>
      </c>
      <c r="M9054" t="s">
        <v>160</v>
      </c>
      <c r="N9054" t="s">
        <v>14</v>
      </c>
      <c r="O9054" t="s">
        <v>188</v>
      </c>
      <c r="P9054" s="1" t="s">
        <v>34</v>
      </c>
      <c r="Q9054">
        <v>177.3</v>
      </c>
    </row>
    <row r="9055" spans="11:17" x14ac:dyDescent="0.3">
      <c r="K9055">
        <v>2022</v>
      </c>
      <c r="L9055" t="s">
        <v>31</v>
      </c>
      <c r="M9055" t="s">
        <v>160</v>
      </c>
      <c r="N9055" t="s">
        <v>14</v>
      </c>
      <c r="O9055" t="s">
        <v>188</v>
      </c>
      <c r="P9055" s="1" t="s">
        <v>33</v>
      </c>
      <c r="Q9055">
        <v>179</v>
      </c>
    </row>
    <row r="9056" spans="11:17" x14ac:dyDescent="0.3">
      <c r="K9056">
        <v>2022</v>
      </c>
      <c r="L9056" t="s">
        <v>31</v>
      </c>
      <c r="M9056" t="s">
        <v>160</v>
      </c>
      <c r="N9056" t="s">
        <v>10</v>
      </c>
      <c r="O9056" t="s">
        <v>188</v>
      </c>
      <c r="P9056" s="1" t="s">
        <v>30</v>
      </c>
      <c r="Q9056">
        <v>164</v>
      </c>
    </row>
    <row r="9057" spans="11:17" x14ac:dyDescent="0.3">
      <c r="K9057">
        <v>2022</v>
      </c>
      <c r="L9057" t="s">
        <v>31</v>
      </c>
      <c r="M9057" t="s">
        <v>160</v>
      </c>
      <c r="N9057" t="s">
        <v>10</v>
      </c>
      <c r="O9057" t="s">
        <v>188</v>
      </c>
      <c r="P9057" s="1" t="s">
        <v>34</v>
      </c>
      <c r="Q9057">
        <v>163.9</v>
      </c>
    </row>
    <row r="9058" spans="11:17" x14ac:dyDescent="0.3">
      <c r="K9058">
        <v>2022</v>
      </c>
      <c r="L9058" t="s">
        <v>31</v>
      </c>
      <c r="M9058" t="s">
        <v>160</v>
      </c>
      <c r="N9058" t="s">
        <v>10</v>
      </c>
      <c r="O9058" t="s">
        <v>188</v>
      </c>
      <c r="P9058" s="1" t="s">
        <v>33</v>
      </c>
      <c r="Q9058">
        <v>163.80000000000001</v>
      </c>
    </row>
    <row r="9059" spans="11:17" x14ac:dyDescent="0.3">
      <c r="K9059">
        <v>2022</v>
      </c>
      <c r="L9059" t="s">
        <v>31</v>
      </c>
      <c r="M9059" t="s">
        <v>160</v>
      </c>
      <c r="N9059" t="s">
        <v>25</v>
      </c>
      <c r="O9059" t="s">
        <v>195</v>
      </c>
      <c r="P9059" s="1" t="s">
        <v>30</v>
      </c>
      <c r="Q9059">
        <v>164.9</v>
      </c>
    </row>
    <row r="9060" spans="11:17" x14ac:dyDescent="0.3">
      <c r="K9060">
        <v>2022</v>
      </c>
      <c r="L9060" t="s">
        <v>31</v>
      </c>
      <c r="M9060" t="s">
        <v>160</v>
      </c>
      <c r="N9060" t="s">
        <v>25</v>
      </c>
      <c r="O9060" t="s">
        <v>195</v>
      </c>
      <c r="P9060" s="1" t="s">
        <v>34</v>
      </c>
      <c r="Q9060">
        <v>161.19999999999999</v>
      </c>
    </row>
    <row r="9061" spans="11:17" x14ac:dyDescent="0.3">
      <c r="K9061">
        <v>2022</v>
      </c>
      <c r="L9061" t="s">
        <v>31</v>
      </c>
      <c r="M9061" t="s">
        <v>160</v>
      </c>
      <c r="N9061" t="s">
        <v>25</v>
      </c>
      <c r="O9061" t="s">
        <v>195</v>
      </c>
      <c r="P9061" s="1" t="s">
        <v>33</v>
      </c>
      <c r="Q9061">
        <v>158.4</v>
      </c>
    </row>
    <row r="9062" spans="11:17" x14ac:dyDescent="0.3">
      <c r="K9062">
        <v>2022</v>
      </c>
      <c r="L9062" t="s">
        <v>31</v>
      </c>
      <c r="M9062" t="s">
        <v>160</v>
      </c>
      <c r="N9062" t="s">
        <v>12</v>
      </c>
      <c r="O9062" t="s">
        <v>188</v>
      </c>
      <c r="P9062" s="1" t="s">
        <v>30</v>
      </c>
      <c r="Q9062">
        <v>173.3</v>
      </c>
    </row>
    <row r="9063" spans="11:17" x14ac:dyDescent="0.3">
      <c r="K9063">
        <v>2022</v>
      </c>
      <c r="L9063" t="s">
        <v>31</v>
      </c>
      <c r="M9063" t="s">
        <v>160</v>
      </c>
      <c r="N9063" t="s">
        <v>12</v>
      </c>
      <c r="O9063" t="s">
        <v>188</v>
      </c>
      <c r="P9063" s="1" t="s">
        <v>34</v>
      </c>
      <c r="Q9063">
        <v>172.1</v>
      </c>
    </row>
    <row r="9064" spans="11:17" x14ac:dyDescent="0.3">
      <c r="K9064">
        <v>2022</v>
      </c>
      <c r="L9064" t="s">
        <v>31</v>
      </c>
      <c r="M9064" t="s">
        <v>160</v>
      </c>
      <c r="N9064" t="s">
        <v>12</v>
      </c>
      <c r="O9064" t="s">
        <v>188</v>
      </c>
      <c r="P9064" s="1" t="s">
        <v>33</v>
      </c>
      <c r="Q9064">
        <v>169.8</v>
      </c>
    </row>
    <row r="9065" spans="11:17" x14ac:dyDescent="0.3">
      <c r="K9065">
        <v>2022</v>
      </c>
      <c r="L9065" t="s">
        <v>31</v>
      </c>
      <c r="M9065" t="s">
        <v>160</v>
      </c>
      <c r="N9065" t="s">
        <v>11</v>
      </c>
      <c r="O9065" t="s">
        <v>188</v>
      </c>
      <c r="P9065" s="1" t="s">
        <v>30</v>
      </c>
      <c r="Q9065">
        <v>119.3</v>
      </c>
    </row>
    <row r="9066" spans="11:17" x14ac:dyDescent="0.3">
      <c r="K9066">
        <v>2022</v>
      </c>
      <c r="L9066" t="s">
        <v>31</v>
      </c>
      <c r="M9066" t="s">
        <v>160</v>
      </c>
      <c r="N9066" t="s">
        <v>11</v>
      </c>
      <c r="O9066" t="s">
        <v>188</v>
      </c>
      <c r="P9066" s="1" t="s">
        <v>34</v>
      </c>
      <c r="Q9066">
        <v>120</v>
      </c>
    </row>
    <row r="9067" spans="11:17" x14ac:dyDescent="0.3">
      <c r="K9067">
        <v>2022</v>
      </c>
      <c r="L9067" t="s">
        <v>31</v>
      </c>
      <c r="M9067" t="s">
        <v>160</v>
      </c>
      <c r="N9067" t="s">
        <v>11</v>
      </c>
      <c r="O9067" t="s">
        <v>188</v>
      </c>
      <c r="P9067" s="1" t="s">
        <v>33</v>
      </c>
      <c r="Q9067">
        <v>121.3</v>
      </c>
    </row>
    <row r="9068" spans="11:17" x14ac:dyDescent="0.3">
      <c r="K9068">
        <v>2022</v>
      </c>
      <c r="L9068" t="s">
        <v>31</v>
      </c>
      <c r="M9068" t="s">
        <v>160</v>
      </c>
      <c r="N9068" t="s">
        <v>24</v>
      </c>
      <c r="O9068" t="s">
        <v>191</v>
      </c>
      <c r="P9068" s="1" t="s">
        <v>30</v>
      </c>
      <c r="Q9068">
        <v>160.80000000000001</v>
      </c>
    </row>
    <row r="9069" spans="11:17" x14ac:dyDescent="0.3">
      <c r="K9069">
        <v>2022</v>
      </c>
      <c r="L9069" t="s">
        <v>31</v>
      </c>
      <c r="M9069" t="s">
        <v>160</v>
      </c>
      <c r="N9069" t="s">
        <v>24</v>
      </c>
      <c r="O9069" t="s">
        <v>191</v>
      </c>
      <c r="P9069" s="1" t="s">
        <v>34</v>
      </c>
      <c r="Q9069">
        <v>156.5</v>
      </c>
    </row>
    <row r="9070" spans="11:17" x14ac:dyDescent="0.3">
      <c r="K9070">
        <v>2022</v>
      </c>
      <c r="L9070" t="s">
        <v>31</v>
      </c>
      <c r="M9070" t="s">
        <v>160</v>
      </c>
      <c r="N9070" t="s">
        <v>24</v>
      </c>
      <c r="O9070" t="s">
        <v>191</v>
      </c>
      <c r="P9070" s="1" t="s">
        <v>33</v>
      </c>
      <c r="Q9070">
        <v>152.69999999999999</v>
      </c>
    </row>
    <row r="9071" spans="11:17" x14ac:dyDescent="0.3">
      <c r="K9071">
        <v>2022</v>
      </c>
      <c r="L9071" t="s">
        <v>31</v>
      </c>
      <c r="M9071" t="s">
        <v>160</v>
      </c>
      <c r="N9071" t="s">
        <v>9</v>
      </c>
      <c r="O9071" t="s">
        <v>188</v>
      </c>
      <c r="P9071" s="1" t="s">
        <v>30</v>
      </c>
      <c r="Q9071">
        <v>159.19999999999999</v>
      </c>
    </row>
    <row r="9072" spans="11:17" x14ac:dyDescent="0.3">
      <c r="K9072">
        <v>2022</v>
      </c>
      <c r="L9072" t="s">
        <v>31</v>
      </c>
      <c r="M9072" t="s">
        <v>160</v>
      </c>
      <c r="N9072" t="s">
        <v>9</v>
      </c>
      <c r="O9072" t="s">
        <v>188</v>
      </c>
      <c r="P9072" s="1" t="s">
        <v>34</v>
      </c>
      <c r="Q9072">
        <v>174.3</v>
      </c>
    </row>
    <row r="9073" spans="11:17" x14ac:dyDescent="0.3">
      <c r="K9073">
        <v>2022</v>
      </c>
      <c r="L9073" t="s">
        <v>31</v>
      </c>
      <c r="M9073" t="s">
        <v>160</v>
      </c>
      <c r="N9073" t="s">
        <v>9</v>
      </c>
      <c r="O9073" t="s">
        <v>188</v>
      </c>
      <c r="P9073" s="1" t="s">
        <v>33</v>
      </c>
      <c r="Q9073">
        <v>203.6</v>
      </c>
    </row>
    <row r="9074" spans="11:17" x14ac:dyDescent="0.3">
      <c r="K9074">
        <v>2022</v>
      </c>
      <c r="L9074" t="s">
        <v>40</v>
      </c>
      <c r="M9074" t="s">
        <v>161</v>
      </c>
      <c r="N9074" t="s">
        <v>3</v>
      </c>
      <c r="O9074" t="s">
        <v>188</v>
      </c>
      <c r="P9074" s="1" t="s">
        <v>30</v>
      </c>
      <c r="Q9074">
        <v>155.19999999999999</v>
      </c>
    </row>
    <row r="9075" spans="11:17" x14ac:dyDescent="0.3">
      <c r="K9075">
        <v>2022</v>
      </c>
      <c r="L9075" t="s">
        <v>40</v>
      </c>
      <c r="M9075" t="s">
        <v>161</v>
      </c>
      <c r="N9075" t="s">
        <v>3</v>
      </c>
      <c r="O9075" t="s">
        <v>188</v>
      </c>
      <c r="P9075" s="1" t="s">
        <v>34</v>
      </c>
      <c r="Q9075">
        <v>156.5</v>
      </c>
    </row>
    <row r="9076" spans="11:17" x14ac:dyDescent="0.3">
      <c r="K9076">
        <v>2022</v>
      </c>
      <c r="L9076" t="s">
        <v>40</v>
      </c>
      <c r="M9076" t="s">
        <v>161</v>
      </c>
      <c r="N9076" t="s">
        <v>3</v>
      </c>
      <c r="O9076" t="s">
        <v>188</v>
      </c>
      <c r="P9076" s="1" t="s">
        <v>33</v>
      </c>
      <c r="Q9076">
        <v>159.30000000000001</v>
      </c>
    </row>
    <row r="9077" spans="11:17" x14ac:dyDescent="0.3">
      <c r="K9077">
        <v>2022</v>
      </c>
      <c r="L9077" t="s">
        <v>40</v>
      </c>
      <c r="M9077" t="s">
        <v>161</v>
      </c>
      <c r="N9077" t="s">
        <v>17</v>
      </c>
      <c r="O9077" t="s">
        <v>189</v>
      </c>
      <c r="P9077" s="1" t="s">
        <v>30</v>
      </c>
      <c r="Q9077">
        <v>182</v>
      </c>
    </row>
    <row r="9078" spans="11:17" x14ac:dyDescent="0.3">
      <c r="K9078">
        <v>2022</v>
      </c>
      <c r="L9078" t="s">
        <v>40</v>
      </c>
      <c r="M9078" t="s">
        <v>161</v>
      </c>
      <c r="N9078" t="s">
        <v>17</v>
      </c>
      <c r="O9078" t="s">
        <v>189</v>
      </c>
      <c r="P9078" s="1" t="s">
        <v>34</v>
      </c>
      <c r="Q9078">
        <v>178.3</v>
      </c>
    </row>
    <row r="9079" spans="11:17" x14ac:dyDescent="0.3">
      <c r="K9079">
        <v>2022</v>
      </c>
      <c r="L9079" t="s">
        <v>40</v>
      </c>
      <c r="M9079" t="s">
        <v>161</v>
      </c>
      <c r="N9079" t="s">
        <v>17</v>
      </c>
      <c r="O9079" t="s">
        <v>189</v>
      </c>
      <c r="P9079" s="1" t="s">
        <v>33</v>
      </c>
      <c r="Q9079">
        <v>172.7</v>
      </c>
    </row>
    <row r="9080" spans="11:17" x14ac:dyDescent="0.3">
      <c r="K9080">
        <v>2022</v>
      </c>
      <c r="L9080" t="s">
        <v>40</v>
      </c>
      <c r="M9080" t="s">
        <v>161</v>
      </c>
      <c r="N9080" t="s">
        <v>19</v>
      </c>
      <c r="O9080" t="s">
        <v>189</v>
      </c>
      <c r="P9080" s="1" t="s">
        <v>30</v>
      </c>
      <c r="Q9080">
        <v>181.7</v>
      </c>
    </row>
    <row r="9081" spans="11:17" x14ac:dyDescent="0.3">
      <c r="K9081">
        <v>2022</v>
      </c>
      <c r="L9081" t="s">
        <v>40</v>
      </c>
      <c r="M9081" t="s">
        <v>161</v>
      </c>
      <c r="N9081" t="s">
        <v>19</v>
      </c>
      <c r="O9081" t="s">
        <v>189</v>
      </c>
      <c r="P9081" s="1" t="s">
        <v>34</v>
      </c>
      <c r="Q9081">
        <v>177.3</v>
      </c>
    </row>
    <row r="9082" spans="11:17" x14ac:dyDescent="0.3">
      <c r="K9082">
        <v>2022</v>
      </c>
      <c r="L9082" t="s">
        <v>40</v>
      </c>
      <c r="M9082" t="s">
        <v>161</v>
      </c>
      <c r="N9082" t="s">
        <v>19</v>
      </c>
      <c r="O9082" t="s">
        <v>189</v>
      </c>
      <c r="P9082" s="1" t="s">
        <v>33</v>
      </c>
      <c r="Q9082">
        <v>170.6</v>
      </c>
    </row>
    <row r="9083" spans="11:17" x14ac:dyDescent="0.3">
      <c r="K9083">
        <v>2022</v>
      </c>
      <c r="L9083" t="s">
        <v>40</v>
      </c>
      <c r="M9083" t="s">
        <v>161</v>
      </c>
      <c r="N9083" t="s">
        <v>26</v>
      </c>
      <c r="O9083" t="s">
        <v>26</v>
      </c>
      <c r="P9083" s="1" t="s">
        <v>30</v>
      </c>
      <c r="Q9083">
        <v>174.7</v>
      </c>
    </row>
    <row r="9084" spans="11:17" x14ac:dyDescent="0.3">
      <c r="K9084">
        <v>2022</v>
      </c>
      <c r="L9084" t="s">
        <v>40</v>
      </c>
      <c r="M9084" t="s">
        <v>161</v>
      </c>
      <c r="N9084" t="s">
        <v>26</v>
      </c>
      <c r="O9084" t="s">
        <v>26</v>
      </c>
      <c r="P9084" s="1" t="s">
        <v>34</v>
      </c>
      <c r="Q9084">
        <v>171.4</v>
      </c>
    </row>
    <row r="9085" spans="11:17" x14ac:dyDescent="0.3">
      <c r="K9085">
        <v>2022</v>
      </c>
      <c r="L9085" t="s">
        <v>40</v>
      </c>
      <c r="M9085" t="s">
        <v>161</v>
      </c>
      <c r="N9085" t="s">
        <v>26</v>
      </c>
      <c r="O9085" t="s">
        <v>26</v>
      </c>
      <c r="P9085" s="1" t="s">
        <v>33</v>
      </c>
      <c r="Q9085">
        <v>169.1</v>
      </c>
    </row>
    <row r="9086" spans="11:17" x14ac:dyDescent="0.3">
      <c r="K9086">
        <v>2022</v>
      </c>
      <c r="L9086" t="s">
        <v>40</v>
      </c>
      <c r="M9086" t="s">
        <v>161</v>
      </c>
      <c r="N9086" t="s">
        <v>5</v>
      </c>
      <c r="O9086" t="s">
        <v>188</v>
      </c>
      <c r="P9086" s="1" t="s">
        <v>30</v>
      </c>
      <c r="Q9086">
        <v>174.3</v>
      </c>
    </row>
    <row r="9087" spans="11:17" x14ac:dyDescent="0.3">
      <c r="K9087">
        <v>2022</v>
      </c>
      <c r="L9087" t="s">
        <v>40</v>
      </c>
      <c r="M9087" t="s">
        <v>161</v>
      </c>
      <c r="N9087" t="s">
        <v>5</v>
      </c>
      <c r="O9087" t="s">
        <v>188</v>
      </c>
      <c r="P9087" s="1" t="s">
        <v>34</v>
      </c>
      <c r="Q9087">
        <v>175.2</v>
      </c>
    </row>
    <row r="9088" spans="11:17" x14ac:dyDescent="0.3">
      <c r="K9088">
        <v>2022</v>
      </c>
      <c r="L9088" t="s">
        <v>40</v>
      </c>
      <c r="M9088" t="s">
        <v>161</v>
      </c>
      <c r="N9088" t="s">
        <v>5</v>
      </c>
      <c r="O9088" t="s">
        <v>188</v>
      </c>
      <c r="P9088" s="1" t="s">
        <v>33</v>
      </c>
      <c r="Q9088">
        <v>176.6</v>
      </c>
    </row>
    <row r="9089" spans="11:17" x14ac:dyDescent="0.3">
      <c r="K9089">
        <v>2022</v>
      </c>
      <c r="L9089" t="s">
        <v>40</v>
      </c>
      <c r="M9089" t="s">
        <v>161</v>
      </c>
      <c r="N9089" t="s">
        <v>15</v>
      </c>
      <c r="O9089" t="s">
        <v>188</v>
      </c>
      <c r="P9089" s="1" t="s">
        <v>30</v>
      </c>
      <c r="Q9089">
        <v>172.5</v>
      </c>
    </row>
    <row r="9090" spans="11:17" x14ac:dyDescent="0.3">
      <c r="K9090">
        <v>2022</v>
      </c>
      <c r="L9090" t="s">
        <v>40</v>
      </c>
      <c r="M9090" t="s">
        <v>161</v>
      </c>
      <c r="N9090" t="s">
        <v>15</v>
      </c>
      <c r="O9090" t="s">
        <v>188</v>
      </c>
      <c r="P9090" s="1" t="s">
        <v>34</v>
      </c>
      <c r="Q9090">
        <v>175</v>
      </c>
    </row>
    <row r="9091" spans="11:17" x14ac:dyDescent="0.3">
      <c r="K9091">
        <v>2022</v>
      </c>
      <c r="L9091" t="s">
        <v>40</v>
      </c>
      <c r="M9091" t="s">
        <v>161</v>
      </c>
      <c r="N9091" t="s">
        <v>15</v>
      </c>
      <c r="O9091" t="s">
        <v>188</v>
      </c>
      <c r="P9091" s="1" t="s">
        <v>33</v>
      </c>
      <c r="Q9091">
        <v>179.4</v>
      </c>
    </row>
    <row r="9092" spans="11:17" x14ac:dyDescent="0.3">
      <c r="K9092">
        <v>2022</v>
      </c>
      <c r="L9092" t="s">
        <v>40</v>
      </c>
      <c r="M9092" t="s">
        <v>161</v>
      </c>
      <c r="N9092" t="s">
        <v>18</v>
      </c>
      <c r="O9092" t="s">
        <v>189</v>
      </c>
      <c r="P9092" s="1" t="s">
        <v>30</v>
      </c>
      <c r="Q9092">
        <v>180.3</v>
      </c>
    </row>
    <row r="9093" spans="11:17" x14ac:dyDescent="0.3">
      <c r="K9093">
        <v>2022</v>
      </c>
      <c r="L9093" t="s">
        <v>40</v>
      </c>
      <c r="M9093" t="s">
        <v>161</v>
      </c>
      <c r="N9093" t="s">
        <v>18</v>
      </c>
      <c r="O9093" t="s">
        <v>189</v>
      </c>
      <c r="P9093" s="1" t="s">
        <v>34</v>
      </c>
      <c r="Q9093">
        <v>171.3</v>
      </c>
    </row>
    <row r="9094" spans="11:17" x14ac:dyDescent="0.3">
      <c r="K9094">
        <v>2022</v>
      </c>
      <c r="L9094" t="s">
        <v>40</v>
      </c>
      <c r="M9094" t="s">
        <v>161</v>
      </c>
      <c r="N9094" t="s">
        <v>18</v>
      </c>
      <c r="O9094" t="s">
        <v>189</v>
      </c>
      <c r="P9094" s="1" t="s">
        <v>33</v>
      </c>
      <c r="Q9094">
        <v>158.69999999999999</v>
      </c>
    </row>
    <row r="9095" spans="11:17" x14ac:dyDescent="0.3">
      <c r="K9095">
        <v>2022</v>
      </c>
      <c r="L9095" t="s">
        <v>40</v>
      </c>
      <c r="M9095" t="s">
        <v>161</v>
      </c>
      <c r="N9095" t="s">
        <v>8</v>
      </c>
      <c r="O9095" t="s">
        <v>188</v>
      </c>
      <c r="P9095" s="1" t="s">
        <v>30</v>
      </c>
      <c r="Q9095">
        <v>169.6</v>
      </c>
    </row>
    <row r="9096" spans="11:17" x14ac:dyDescent="0.3">
      <c r="K9096">
        <v>2022</v>
      </c>
      <c r="L9096" t="s">
        <v>40</v>
      </c>
      <c r="M9096" t="s">
        <v>161</v>
      </c>
      <c r="N9096" t="s">
        <v>8</v>
      </c>
      <c r="O9096" t="s">
        <v>188</v>
      </c>
      <c r="P9096" s="1" t="s">
        <v>34</v>
      </c>
      <c r="Q9096">
        <v>174.2</v>
      </c>
    </row>
    <row r="9097" spans="11:17" x14ac:dyDescent="0.3">
      <c r="K9097">
        <v>2022</v>
      </c>
      <c r="L9097" t="s">
        <v>40</v>
      </c>
      <c r="M9097" t="s">
        <v>161</v>
      </c>
      <c r="N9097" t="s">
        <v>8</v>
      </c>
      <c r="O9097" t="s">
        <v>188</v>
      </c>
      <c r="P9097" s="1" t="s">
        <v>33</v>
      </c>
      <c r="Q9097">
        <v>179.5</v>
      </c>
    </row>
    <row r="9098" spans="11:17" x14ac:dyDescent="0.3">
      <c r="K9098">
        <v>2022</v>
      </c>
      <c r="L9098" t="s">
        <v>40</v>
      </c>
      <c r="M9098" t="s">
        <v>161</v>
      </c>
      <c r="N9098" t="s">
        <v>21</v>
      </c>
      <c r="O9098" t="s">
        <v>190</v>
      </c>
      <c r="P9098" s="1" t="s">
        <v>30</v>
      </c>
      <c r="Q9098">
        <v>179.6</v>
      </c>
    </row>
    <row r="9099" spans="11:17" x14ac:dyDescent="0.3">
      <c r="K9099">
        <v>2022</v>
      </c>
      <c r="L9099" t="s">
        <v>40</v>
      </c>
      <c r="M9099" t="s">
        <v>161</v>
      </c>
      <c r="N9099" t="s">
        <v>21</v>
      </c>
      <c r="O9099" t="s">
        <v>190</v>
      </c>
      <c r="P9099" s="1" t="s">
        <v>34</v>
      </c>
      <c r="Q9099">
        <v>179.6</v>
      </c>
    </row>
    <row r="9100" spans="11:17" x14ac:dyDescent="0.3">
      <c r="K9100">
        <v>2022</v>
      </c>
      <c r="L9100" t="s">
        <v>40</v>
      </c>
      <c r="M9100" t="s">
        <v>161</v>
      </c>
      <c r="N9100" t="s">
        <v>21</v>
      </c>
      <c r="O9100" t="s">
        <v>190</v>
      </c>
      <c r="P9100" s="1" t="s">
        <v>33</v>
      </c>
      <c r="Q9100">
        <v>179.5</v>
      </c>
    </row>
    <row r="9101" spans="11:17" x14ac:dyDescent="0.3">
      <c r="K9101">
        <v>2022</v>
      </c>
      <c r="L9101" t="s">
        <v>40</v>
      </c>
      <c r="M9101" t="s">
        <v>161</v>
      </c>
      <c r="N9101" t="s">
        <v>29</v>
      </c>
      <c r="O9101" t="s">
        <v>206</v>
      </c>
      <c r="P9101" s="1" t="s">
        <v>30</v>
      </c>
      <c r="Q9101">
        <v>174.3</v>
      </c>
    </row>
    <row r="9102" spans="11:17" x14ac:dyDescent="0.3">
      <c r="K9102">
        <v>2022</v>
      </c>
      <c r="L9102" t="s">
        <v>40</v>
      </c>
      <c r="M9102" t="s">
        <v>161</v>
      </c>
      <c r="N9102" t="s">
        <v>29</v>
      </c>
      <c r="O9102" t="s">
        <v>206</v>
      </c>
      <c r="P9102" s="1" t="s">
        <v>34</v>
      </c>
      <c r="Q9102">
        <v>173.4</v>
      </c>
    </row>
    <row r="9103" spans="11:17" x14ac:dyDescent="0.3">
      <c r="K9103">
        <v>2022</v>
      </c>
      <c r="L9103" t="s">
        <v>40</v>
      </c>
      <c r="M9103" t="s">
        <v>161</v>
      </c>
      <c r="N9103" t="s">
        <v>29</v>
      </c>
      <c r="O9103" t="s">
        <v>206</v>
      </c>
      <c r="P9103" s="1" t="s">
        <v>33</v>
      </c>
      <c r="Q9103">
        <v>172.3</v>
      </c>
    </row>
    <row r="9104" spans="11:17" x14ac:dyDescent="0.3">
      <c r="K9104">
        <v>2022</v>
      </c>
      <c r="L9104" t="s">
        <v>40</v>
      </c>
      <c r="M9104" t="s">
        <v>161</v>
      </c>
      <c r="N9104" t="s">
        <v>23</v>
      </c>
      <c r="O9104" t="s">
        <v>23</v>
      </c>
      <c r="P9104" s="1" t="s">
        <v>30</v>
      </c>
      <c r="Q9104">
        <v>178.8</v>
      </c>
    </row>
    <row r="9105" spans="11:17" x14ac:dyDescent="0.3">
      <c r="K9105">
        <v>2022</v>
      </c>
      <c r="L9105" t="s">
        <v>40</v>
      </c>
      <c r="M9105" t="s">
        <v>161</v>
      </c>
      <c r="N9105" t="s">
        <v>23</v>
      </c>
      <c r="O9105" t="s">
        <v>23</v>
      </c>
      <c r="P9105" s="1" t="s">
        <v>34</v>
      </c>
      <c r="Q9105">
        <v>176.1</v>
      </c>
    </row>
    <row r="9106" spans="11:17" x14ac:dyDescent="0.3">
      <c r="K9106">
        <v>2022</v>
      </c>
      <c r="L9106" t="s">
        <v>40</v>
      </c>
      <c r="M9106" t="s">
        <v>161</v>
      </c>
      <c r="N9106" t="s">
        <v>23</v>
      </c>
      <c r="O9106" t="s">
        <v>23</v>
      </c>
      <c r="P9106" s="1" t="s">
        <v>33</v>
      </c>
      <c r="Q9106">
        <v>171.7</v>
      </c>
    </row>
    <row r="9107" spans="11:17" x14ac:dyDescent="0.3">
      <c r="K9107">
        <v>2022</v>
      </c>
      <c r="L9107" t="s">
        <v>40</v>
      </c>
      <c r="M9107" t="s">
        <v>161</v>
      </c>
      <c r="N9107" t="s">
        <v>22</v>
      </c>
      <c r="O9107" t="s">
        <v>20</v>
      </c>
      <c r="P9107" s="1" t="s">
        <v>30</v>
      </c>
      <c r="Q9107">
        <v>171.3</v>
      </c>
    </row>
    <row r="9108" spans="11:17" x14ac:dyDescent="0.3">
      <c r="K9108">
        <v>2022</v>
      </c>
      <c r="L9108" t="s">
        <v>40</v>
      </c>
      <c r="M9108" t="s">
        <v>161</v>
      </c>
      <c r="N9108" t="s">
        <v>22</v>
      </c>
      <c r="O9108" t="s">
        <v>20</v>
      </c>
      <c r="P9108" s="1" t="s">
        <v>34</v>
      </c>
      <c r="Q9108">
        <v>167.4</v>
      </c>
    </row>
    <row r="9109" spans="11:17" x14ac:dyDescent="0.3">
      <c r="K9109">
        <v>2022</v>
      </c>
      <c r="L9109" t="s">
        <v>40</v>
      </c>
      <c r="M9109" t="s">
        <v>161</v>
      </c>
      <c r="N9109" t="s">
        <v>22</v>
      </c>
      <c r="O9109" t="s">
        <v>20</v>
      </c>
      <c r="P9109" s="1" t="s">
        <v>33</v>
      </c>
      <c r="Q9109">
        <v>163.1</v>
      </c>
    </row>
    <row r="9110" spans="11:17" x14ac:dyDescent="0.3">
      <c r="K9110">
        <v>2022</v>
      </c>
      <c r="L9110" t="s">
        <v>40</v>
      </c>
      <c r="M9110" t="s">
        <v>161</v>
      </c>
      <c r="N9110" t="s">
        <v>20</v>
      </c>
      <c r="O9110" t="s">
        <v>20</v>
      </c>
      <c r="P9110" s="1" t="s">
        <v>30</v>
      </c>
      <c r="Q9110">
        <v>0</v>
      </c>
    </row>
    <row r="9111" spans="11:17" x14ac:dyDescent="0.3">
      <c r="K9111">
        <v>2022</v>
      </c>
      <c r="L9111" t="s">
        <v>40</v>
      </c>
      <c r="M9111" t="s">
        <v>161</v>
      </c>
      <c r="N9111" t="s">
        <v>20</v>
      </c>
      <c r="O9111" t="s">
        <v>20</v>
      </c>
      <c r="P9111" s="1" t="s">
        <v>34</v>
      </c>
      <c r="Q9111">
        <v>167.8</v>
      </c>
    </row>
    <row r="9112" spans="11:17" x14ac:dyDescent="0.3">
      <c r="K9112">
        <v>2022</v>
      </c>
      <c r="L9112" t="s">
        <v>40</v>
      </c>
      <c r="M9112" t="s">
        <v>161</v>
      </c>
      <c r="N9112" t="s">
        <v>20</v>
      </c>
      <c r="O9112" t="s">
        <v>20</v>
      </c>
      <c r="P9112" s="1" t="s">
        <v>33</v>
      </c>
      <c r="Q9112">
        <v>167.8</v>
      </c>
    </row>
    <row r="9113" spans="11:17" x14ac:dyDescent="0.3">
      <c r="K9113">
        <v>2022</v>
      </c>
      <c r="L9113" t="s">
        <v>40</v>
      </c>
      <c r="M9113" t="s">
        <v>161</v>
      </c>
      <c r="N9113" t="s">
        <v>4</v>
      </c>
      <c r="O9113" t="s">
        <v>188</v>
      </c>
      <c r="P9113" s="1" t="s">
        <v>30</v>
      </c>
      <c r="Q9113">
        <v>210.8</v>
      </c>
    </row>
    <row r="9114" spans="11:17" x14ac:dyDescent="0.3">
      <c r="K9114">
        <v>2022</v>
      </c>
      <c r="L9114" t="s">
        <v>40</v>
      </c>
      <c r="M9114" t="s">
        <v>161</v>
      </c>
      <c r="N9114" t="s">
        <v>4</v>
      </c>
      <c r="O9114" t="s">
        <v>188</v>
      </c>
      <c r="P9114" s="1" t="s">
        <v>34</v>
      </c>
      <c r="Q9114">
        <v>213</v>
      </c>
    </row>
    <row r="9115" spans="11:17" x14ac:dyDescent="0.3">
      <c r="K9115">
        <v>2022</v>
      </c>
      <c r="L9115" t="s">
        <v>40</v>
      </c>
      <c r="M9115" t="s">
        <v>161</v>
      </c>
      <c r="N9115" t="s">
        <v>4</v>
      </c>
      <c r="O9115" t="s">
        <v>188</v>
      </c>
      <c r="P9115" s="1" t="s">
        <v>33</v>
      </c>
      <c r="Q9115">
        <v>217.1</v>
      </c>
    </row>
    <row r="9116" spans="11:17" x14ac:dyDescent="0.3">
      <c r="K9116">
        <v>2022</v>
      </c>
      <c r="L9116" t="s">
        <v>40</v>
      </c>
      <c r="M9116" t="s">
        <v>161</v>
      </c>
      <c r="N9116" t="s">
        <v>6</v>
      </c>
      <c r="O9116" t="s">
        <v>188</v>
      </c>
      <c r="P9116" s="1" t="s">
        <v>30</v>
      </c>
      <c r="Q9116">
        <v>166.3</v>
      </c>
    </row>
    <row r="9117" spans="11:17" x14ac:dyDescent="0.3">
      <c r="K9117">
        <v>2022</v>
      </c>
      <c r="L9117" t="s">
        <v>40</v>
      </c>
      <c r="M9117" t="s">
        <v>161</v>
      </c>
      <c r="N9117" t="s">
        <v>6</v>
      </c>
      <c r="O9117" t="s">
        <v>188</v>
      </c>
      <c r="P9117" s="1" t="s">
        <v>34</v>
      </c>
      <c r="Q9117">
        <v>166.6</v>
      </c>
    </row>
    <row r="9118" spans="11:17" x14ac:dyDescent="0.3">
      <c r="K9118">
        <v>2022</v>
      </c>
      <c r="L9118" t="s">
        <v>40</v>
      </c>
      <c r="M9118" t="s">
        <v>161</v>
      </c>
      <c r="N9118" t="s">
        <v>6</v>
      </c>
      <c r="O9118" t="s">
        <v>188</v>
      </c>
      <c r="P9118" s="1" t="s">
        <v>33</v>
      </c>
      <c r="Q9118">
        <v>167.1</v>
      </c>
    </row>
    <row r="9119" spans="11:17" x14ac:dyDescent="0.3">
      <c r="K9119">
        <v>2022</v>
      </c>
      <c r="L9119" t="s">
        <v>40</v>
      </c>
      <c r="M9119" t="s">
        <v>161</v>
      </c>
      <c r="N9119" t="s">
        <v>28</v>
      </c>
      <c r="O9119" t="s">
        <v>192</v>
      </c>
      <c r="P9119" s="1" t="s">
        <v>30</v>
      </c>
      <c r="Q9119">
        <v>171.8</v>
      </c>
    </row>
    <row r="9120" spans="11:17" x14ac:dyDescent="0.3">
      <c r="K9120">
        <v>2022</v>
      </c>
      <c r="L9120" t="s">
        <v>40</v>
      </c>
      <c r="M9120" t="s">
        <v>161</v>
      </c>
      <c r="N9120" t="s">
        <v>28</v>
      </c>
      <c r="O9120" t="s">
        <v>192</v>
      </c>
      <c r="P9120" s="1" t="s">
        <v>34</v>
      </c>
      <c r="Q9120">
        <v>168.4</v>
      </c>
    </row>
    <row r="9121" spans="11:17" x14ac:dyDescent="0.3">
      <c r="K9121">
        <v>2022</v>
      </c>
      <c r="L9121" t="s">
        <v>40</v>
      </c>
      <c r="M9121" t="s">
        <v>161</v>
      </c>
      <c r="N9121" t="s">
        <v>28</v>
      </c>
      <c r="O9121" t="s">
        <v>192</v>
      </c>
      <c r="P9121" s="1" t="s">
        <v>33</v>
      </c>
      <c r="Q9121">
        <v>164.7</v>
      </c>
    </row>
    <row r="9122" spans="11:17" x14ac:dyDescent="0.3">
      <c r="K9122">
        <v>2022</v>
      </c>
      <c r="L9122" t="s">
        <v>40</v>
      </c>
      <c r="M9122" t="s">
        <v>161</v>
      </c>
      <c r="N9122" t="s">
        <v>13</v>
      </c>
      <c r="O9122" t="s">
        <v>188</v>
      </c>
      <c r="P9122" s="1" t="s">
        <v>30</v>
      </c>
      <c r="Q9122">
        <v>174.5</v>
      </c>
    </row>
    <row r="9123" spans="11:17" x14ac:dyDescent="0.3">
      <c r="K9123">
        <v>2022</v>
      </c>
      <c r="L9123" t="s">
        <v>40</v>
      </c>
      <c r="M9123" t="s">
        <v>161</v>
      </c>
      <c r="N9123" t="s">
        <v>13</v>
      </c>
      <c r="O9123" t="s">
        <v>188</v>
      </c>
      <c r="P9123" s="1" t="s">
        <v>34</v>
      </c>
      <c r="Q9123">
        <v>168.4</v>
      </c>
    </row>
    <row r="9124" spans="11:17" x14ac:dyDescent="0.3">
      <c r="K9124">
        <v>2022</v>
      </c>
      <c r="L9124" t="s">
        <v>40</v>
      </c>
      <c r="M9124" t="s">
        <v>161</v>
      </c>
      <c r="N9124" t="s">
        <v>13</v>
      </c>
      <c r="O9124" t="s">
        <v>188</v>
      </c>
      <c r="P9124" s="1" t="s">
        <v>33</v>
      </c>
      <c r="Q9124">
        <v>159.80000000000001</v>
      </c>
    </row>
    <row r="9125" spans="11:17" x14ac:dyDescent="0.3">
      <c r="K9125">
        <v>2022</v>
      </c>
      <c r="L9125" t="s">
        <v>40</v>
      </c>
      <c r="M9125" t="s">
        <v>161</v>
      </c>
      <c r="N9125" t="s">
        <v>7</v>
      </c>
      <c r="O9125" t="s">
        <v>188</v>
      </c>
      <c r="P9125" s="1" t="s">
        <v>30</v>
      </c>
      <c r="Q9125">
        <v>202.2</v>
      </c>
    </row>
    <row r="9126" spans="11:17" x14ac:dyDescent="0.3">
      <c r="K9126">
        <v>2022</v>
      </c>
      <c r="L9126" t="s">
        <v>40</v>
      </c>
      <c r="M9126" t="s">
        <v>161</v>
      </c>
      <c r="N9126" t="s">
        <v>7</v>
      </c>
      <c r="O9126" t="s">
        <v>188</v>
      </c>
      <c r="P9126" s="1" t="s">
        <v>34</v>
      </c>
      <c r="Q9126">
        <v>195.8</v>
      </c>
    </row>
    <row r="9127" spans="11:17" x14ac:dyDescent="0.3">
      <c r="K9127">
        <v>2022</v>
      </c>
      <c r="L9127" t="s">
        <v>40</v>
      </c>
      <c r="M9127" t="s">
        <v>161</v>
      </c>
      <c r="N9127" t="s">
        <v>7</v>
      </c>
      <c r="O9127" t="s">
        <v>188</v>
      </c>
      <c r="P9127" s="1" t="s">
        <v>33</v>
      </c>
      <c r="Q9127">
        <v>184.8</v>
      </c>
    </row>
    <row r="9128" spans="11:17" x14ac:dyDescent="0.3">
      <c r="K9128">
        <v>2022</v>
      </c>
      <c r="L9128" t="s">
        <v>40</v>
      </c>
      <c r="M9128" t="s">
        <v>161</v>
      </c>
      <c r="N9128" t="s">
        <v>16</v>
      </c>
      <c r="O9128" t="s">
        <v>192</v>
      </c>
      <c r="P9128" s="1" t="s">
        <v>30</v>
      </c>
      <c r="Q9128">
        <v>193.2</v>
      </c>
    </row>
    <row r="9129" spans="11:17" x14ac:dyDescent="0.3">
      <c r="K9129">
        <v>2022</v>
      </c>
      <c r="L9129" t="s">
        <v>40</v>
      </c>
      <c r="M9129" t="s">
        <v>161</v>
      </c>
      <c r="N9129" t="s">
        <v>16</v>
      </c>
      <c r="O9129" t="s">
        <v>192</v>
      </c>
      <c r="P9129" s="1" t="s">
        <v>34</v>
      </c>
      <c r="Q9129">
        <v>194.6</v>
      </c>
    </row>
    <row r="9130" spans="11:17" x14ac:dyDescent="0.3">
      <c r="K9130">
        <v>2022</v>
      </c>
      <c r="L9130" t="s">
        <v>40</v>
      </c>
      <c r="M9130" t="s">
        <v>161</v>
      </c>
      <c r="N9130" t="s">
        <v>16</v>
      </c>
      <c r="O9130" t="s">
        <v>192</v>
      </c>
      <c r="P9130" s="1" t="s">
        <v>33</v>
      </c>
      <c r="Q9130">
        <v>198.6</v>
      </c>
    </row>
    <row r="9131" spans="11:17" x14ac:dyDescent="0.3">
      <c r="K9131">
        <v>2022</v>
      </c>
      <c r="L9131" t="s">
        <v>40</v>
      </c>
      <c r="M9131" t="s">
        <v>161</v>
      </c>
      <c r="N9131" t="s">
        <v>27</v>
      </c>
      <c r="O9131" t="s">
        <v>192</v>
      </c>
      <c r="P9131" s="1" t="s">
        <v>30</v>
      </c>
      <c r="Q9131">
        <v>169.7</v>
      </c>
    </row>
    <row r="9132" spans="11:17" x14ac:dyDescent="0.3">
      <c r="K9132">
        <v>2022</v>
      </c>
      <c r="L9132" t="s">
        <v>40</v>
      </c>
      <c r="M9132" t="s">
        <v>161</v>
      </c>
      <c r="N9132" t="s">
        <v>27</v>
      </c>
      <c r="O9132" t="s">
        <v>192</v>
      </c>
      <c r="P9132" s="1" t="s">
        <v>34</v>
      </c>
      <c r="Q9132">
        <v>169.7</v>
      </c>
    </row>
    <row r="9133" spans="11:17" x14ac:dyDescent="0.3">
      <c r="K9133">
        <v>2022</v>
      </c>
      <c r="L9133" t="s">
        <v>40</v>
      </c>
      <c r="M9133" t="s">
        <v>161</v>
      </c>
      <c r="N9133" t="s">
        <v>27</v>
      </c>
      <c r="O9133" t="s">
        <v>192</v>
      </c>
      <c r="P9133" s="1" t="s">
        <v>33</v>
      </c>
      <c r="Q9133">
        <v>169.8</v>
      </c>
    </row>
    <row r="9134" spans="11:17" x14ac:dyDescent="0.3">
      <c r="K9134">
        <v>2022</v>
      </c>
      <c r="L9134" t="s">
        <v>40</v>
      </c>
      <c r="M9134" t="s">
        <v>161</v>
      </c>
      <c r="N9134" t="s">
        <v>14</v>
      </c>
      <c r="O9134" t="s">
        <v>188</v>
      </c>
      <c r="P9134" s="1" t="s">
        <v>30</v>
      </c>
      <c r="Q9134">
        <v>183.1</v>
      </c>
    </row>
    <row r="9135" spans="11:17" x14ac:dyDescent="0.3">
      <c r="K9135">
        <v>2022</v>
      </c>
      <c r="L9135" t="s">
        <v>40</v>
      </c>
      <c r="M9135" t="s">
        <v>161</v>
      </c>
      <c r="N9135" t="s">
        <v>14</v>
      </c>
      <c r="O9135" t="s">
        <v>188</v>
      </c>
      <c r="P9135" s="1" t="s">
        <v>34</v>
      </c>
      <c r="Q9135">
        <v>185.2</v>
      </c>
    </row>
    <row r="9136" spans="11:17" x14ac:dyDescent="0.3">
      <c r="K9136">
        <v>2022</v>
      </c>
      <c r="L9136" t="s">
        <v>40</v>
      </c>
      <c r="M9136" t="s">
        <v>161</v>
      </c>
      <c r="N9136" t="s">
        <v>14</v>
      </c>
      <c r="O9136" t="s">
        <v>188</v>
      </c>
      <c r="P9136" s="1" t="s">
        <v>33</v>
      </c>
      <c r="Q9136">
        <v>187.7</v>
      </c>
    </row>
    <row r="9137" spans="11:17" x14ac:dyDescent="0.3">
      <c r="K9137">
        <v>2022</v>
      </c>
      <c r="L9137" t="s">
        <v>40</v>
      </c>
      <c r="M9137" t="s">
        <v>161</v>
      </c>
      <c r="N9137" t="s">
        <v>10</v>
      </c>
      <c r="O9137" t="s">
        <v>188</v>
      </c>
      <c r="P9137" s="1" t="s">
        <v>30</v>
      </c>
      <c r="Q9137">
        <v>164.4</v>
      </c>
    </row>
    <row r="9138" spans="11:17" x14ac:dyDescent="0.3">
      <c r="K9138">
        <v>2022</v>
      </c>
      <c r="L9138" t="s">
        <v>40</v>
      </c>
      <c r="M9138" t="s">
        <v>161</v>
      </c>
      <c r="N9138" t="s">
        <v>10</v>
      </c>
      <c r="O9138" t="s">
        <v>188</v>
      </c>
      <c r="P9138" s="1" t="s">
        <v>34</v>
      </c>
      <c r="Q9138">
        <v>164.3</v>
      </c>
    </row>
    <row r="9139" spans="11:17" x14ac:dyDescent="0.3">
      <c r="K9139">
        <v>2022</v>
      </c>
      <c r="L9139" t="s">
        <v>40</v>
      </c>
      <c r="M9139" t="s">
        <v>161</v>
      </c>
      <c r="N9139" t="s">
        <v>10</v>
      </c>
      <c r="O9139" t="s">
        <v>188</v>
      </c>
      <c r="P9139" s="1" t="s">
        <v>33</v>
      </c>
      <c r="Q9139">
        <v>164</v>
      </c>
    </row>
    <row r="9140" spans="11:17" x14ac:dyDescent="0.3">
      <c r="K9140">
        <v>2022</v>
      </c>
      <c r="L9140" t="s">
        <v>40</v>
      </c>
      <c r="M9140" t="s">
        <v>161</v>
      </c>
      <c r="N9140" t="s">
        <v>25</v>
      </c>
      <c r="O9140" t="s">
        <v>195</v>
      </c>
      <c r="P9140" s="1" t="s">
        <v>30</v>
      </c>
      <c r="Q9140">
        <v>168.6</v>
      </c>
    </row>
    <row r="9141" spans="11:17" x14ac:dyDescent="0.3">
      <c r="K9141">
        <v>2022</v>
      </c>
      <c r="L9141" t="s">
        <v>40</v>
      </c>
      <c r="M9141" t="s">
        <v>161</v>
      </c>
      <c r="N9141" t="s">
        <v>25</v>
      </c>
      <c r="O9141" t="s">
        <v>195</v>
      </c>
      <c r="P9141" s="1" t="s">
        <v>34</v>
      </c>
      <c r="Q9141">
        <v>166.3</v>
      </c>
    </row>
    <row r="9142" spans="11:17" x14ac:dyDescent="0.3">
      <c r="K9142">
        <v>2022</v>
      </c>
      <c r="L9142" t="s">
        <v>40</v>
      </c>
      <c r="M9142" t="s">
        <v>161</v>
      </c>
      <c r="N9142" t="s">
        <v>25</v>
      </c>
      <c r="O9142" t="s">
        <v>195</v>
      </c>
      <c r="P9142" s="1" t="s">
        <v>33</v>
      </c>
      <c r="Q9142">
        <v>164.6</v>
      </c>
    </row>
    <row r="9143" spans="11:17" x14ac:dyDescent="0.3">
      <c r="K9143">
        <v>2022</v>
      </c>
      <c r="L9143" t="s">
        <v>40</v>
      </c>
      <c r="M9143" t="s">
        <v>161</v>
      </c>
      <c r="N9143" t="s">
        <v>12</v>
      </c>
      <c r="O9143" t="s">
        <v>188</v>
      </c>
      <c r="P9143" s="1" t="s">
        <v>30</v>
      </c>
      <c r="Q9143">
        <v>191.8</v>
      </c>
    </row>
    <row r="9144" spans="11:17" x14ac:dyDescent="0.3">
      <c r="K9144">
        <v>2022</v>
      </c>
      <c r="L9144" t="s">
        <v>40</v>
      </c>
      <c r="M9144" t="s">
        <v>161</v>
      </c>
      <c r="N9144" t="s">
        <v>12</v>
      </c>
      <c r="O9144" t="s">
        <v>188</v>
      </c>
      <c r="P9144" s="1" t="s">
        <v>34</v>
      </c>
      <c r="Q9144">
        <v>190</v>
      </c>
    </row>
    <row r="9145" spans="11:17" x14ac:dyDescent="0.3">
      <c r="K9145">
        <v>2022</v>
      </c>
      <c r="L9145" t="s">
        <v>40</v>
      </c>
      <c r="M9145" t="s">
        <v>161</v>
      </c>
      <c r="N9145" t="s">
        <v>12</v>
      </c>
      <c r="O9145" t="s">
        <v>188</v>
      </c>
      <c r="P9145" s="1" t="s">
        <v>33</v>
      </c>
      <c r="Q9145">
        <v>186.3</v>
      </c>
    </row>
    <row r="9146" spans="11:17" x14ac:dyDescent="0.3">
      <c r="K9146">
        <v>2022</v>
      </c>
      <c r="L9146" t="s">
        <v>40</v>
      </c>
      <c r="M9146" t="s">
        <v>161</v>
      </c>
      <c r="N9146" t="s">
        <v>11</v>
      </c>
      <c r="O9146" t="s">
        <v>188</v>
      </c>
      <c r="P9146" s="1" t="s">
        <v>30</v>
      </c>
      <c r="Q9146">
        <v>119.2</v>
      </c>
    </row>
    <row r="9147" spans="11:17" x14ac:dyDescent="0.3">
      <c r="K9147">
        <v>2022</v>
      </c>
      <c r="L9147" t="s">
        <v>40</v>
      </c>
      <c r="M9147" t="s">
        <v>161</v>
      </c>
      <c r="N9147" t="s">
        <v>11</v>
      </c>
      <c r="O9147" t="s">
        <v>188</v>
      </c>
      <c r="P9147" s="1" t="s">
        <v>34</v>
      </c>
      <c r="Q9147">
        <v>120</v>
      </c>
    </row>
    <row r="9148" spans="11:17" x14ac:dyDescent="0.3">
      <c r="K9148">
        <v>2022</v>
      </c>
      <c r="L9148" t="s">
        <v>40</v>
      </c>
      <c r="M9148" t="s">
        <v>161</v>
      </c>
      <c r="N9148" t="s">
        <v>11</v>
      </c>
      <c r="O9148" t="s">
        <v>188</v>
      </c>
      <c r="P9148" s="1" t="s">
        <v>33</v>
      </c>
      <c r="Q9148">
        <v>121.5</v>
      </c>
    </row>
    <row r="9149" spans="11:17" x14ac:dyDescent="0.3">
      <c r="K9149">
        <v>2022</v>
      </c>
      <c r="L9149" t="s">
        <v>40</v>
      </c>
      <c r="M9149" t="s">
        <v>161</v>
      </c>
      <c r="N9149" t="s">
        <v>24</v>
      </c>
      <c r="O9149" t="s">
        <v>191</v>
      </c>
      <c r="P9149" s="1" t="s">
        <v>30</v>
      </c>
      <c r="Q9149">
        <v>166.3</v>
      </c>
    </row>
    <row r="9150" spans="11:17" x14ac:dyDescent="0.3">
      <c r="K9150">
        <v>2022</v>
      </c>
      <c r="L9150" t="s">
        <v>40</v>
      </c>
      <c r="M9150" t="s">
        <v>161</v>
      </c>
      <c r="N9150" t="s">
        <v>24</v>
      </c>
      <c r="O9150" t="s">
        <v>191</v>
      </c>
      <c r="P9150" s="1" t="s">
        <v>34</v>
      </c>
      <c r="Q9150">
        <v>161.6</v>
      </c>
    </row>
    <row r="9151" spans="11:17" x14ac:dyDescent="0.3">
      <c r="K9151">
        <v>2022</v>
      </c>
      <c r="L9151" t="s">
        <v>40</v>
      </c>
      <c r="M9151" t="s">
        <v>161</v>
      </c>
      <c r="N9151" t="s">
        <v>24</v>
      </c>
      <c r="O9151" t="s">
        <v>191</v>
      </c>
      <c r="P9151" s="1" t="s">
        <v>33</v>
      </c>
      <c r="Q9151">
        <v>157.4</v>
      </c>
    </row>
    <row r="9152" spans="11:17" x14ac:dyDescent="0.3">
      <c r="K9152">
        <v>2022</v>
      </c>
      <c r="L9152" t="s">
        <v>40</v>
      </c>
      <c r="M9152" t="s">
        <v>161</v>
      </c>
      <c r="N9152" t="s">
        <v>9</v>
      </c>
      <c r="O9152" t="s">
        <v>188</v>
      </c>
      <c r="P9152" s="1" t="s">
        <v>30</v>
      </c>
      <c r="Q9152">
        <v>168.6</v>
      </c>
    </row>
    <row r="9153" spans="11:17" x14ac:dyDescent="0.3">
      <c r="K9153">
        <v>2022</v>
      </c>
      <c r="L9153" t="s">
        <v>40</v>
      </c>
      <c r="M9153" t="s">
        <v>161</v>
      </c>
      <c r="N9153" t="s">
        <v>9</v>
      </c>
      <c r="O9153" t="s">
        <v>188</v>
      </c>
      <c r="P9153" s="1" t="s">
        <v>34</v>
      </c>
      <c r="Q9153">
        <v>182.1</v>
      </c>
    </row>
    <row r="9154" spans="11:17" x14ac:dyDescent="0.3">
      <c r="K9154">
        <v>2022</v>
      </c>
      <c r="L9154" t="s">
        <v>40</v>
      </c>
      <c r="M9154" t="s">
        <v>161</v>
      </c>
      <c r="N9154" t="s">
        <v>9</v>
      </c>
      <c r="O9154" t="s">
        <v>188</v>
      </c>
      <c r="P9154" s="1" t="s">
        <v>33</v>
      </c>
      <c r="Q9154">
        <v>208.5</v>
      </c>
    </row>
    <row r="9155" spans="11:17" x14ac:dyDescent="0.3">
      <c r="K9155">
        <v>2022</v>
      </c>
      <c r="L9155" t="s">
        <v>39</v>
      </c>
      <c r="M9155" t="s">
        <v>162</v>
      </c>
      <c r="N9155" t="s">
        <v>3</v>
      </c>
      <c r="O9155" t="s">
        <v>188</v>
      </c>
      <c r="P9155" s="1" t="s">
        <v>30</v>
      </c>
      <c r="Q9155">
        <v>153.80000000000001</v>
      </c>
    </row>
    <row r="9156" spans="11:17" x14ac:dyDescent="0.3">
      <c r="K9156">
        <v>2022</v>
      </c>
      <c r="L9156" t="s">
        <v>39</v>
      </c>
      <c r="M9156" t="s">
        <v>162</v>
      </c>
      <c r="N9156" t="s">
        <v>3</v>
      </c>
      <c r="O9156" t="s">
        <v>188</v>
      </c>
      <c r="P9156" s="1" t="s">
        <v>34</v>
      </c>
      <c r="Q9156">
        <v>155</v>
      </c>
    </row>
    <row r="9157" spans="11:17" x14ac:dyDescent="0.3">
      <c r="K9157">
        <v>2022</v>
      </c>
      <c r="L9157" t="s">
        <v>39</v>
      </c>
      <c r="M9157" t="s">
        <v>162</v>
      </c>
      <c r="N9157" t="s">
        <v>3</v>
      </c>
      <c r="O9157" t="s">
        <v>188</v>
      </c>
      <c r="P9157" s="1" t="s">
        <v>33</v>
      </c>
      <c r="Q9157">
        <v>157.5</v>
      </c>
    </row>
    <row r="9158" spans="11:17" x14ac:dyDescent="0.3">
      <c r="K9158">
        <v>2022</v>
      </c>
      <c r="L9158" t="s">
        <v>39</v>
      </c>
      <c r="M9158" t="s">
        <v>162</v>
      </c>
      <c r="N9158" t="s">
        <v>17</v>
      </c>
      <c r="O9158" t="s">
        <v>189</v>
      </c>
      <c r="P9158" s="1" t="s">
        <v>30</v>
      </c>
      <c r="Q9158">
        <v>180.7</v>
      </c>
    </row>
    <row r="9159" spans="11:17" x14ac:dyDescent="0.3">
      <c r="K9159">
        <v>2022</v>
      </c>
      <c r="L9159" t="s">
        <v>39</v>
      </c>
      <c r="M9159" t="s">
        <v>162</v>
      </c>
      <c r="N9159" t="s">
        <v>17</v>
      </c>
      <c r="O9159" t="s">
        <v>189</v>
      </c>
      <c r="P9159" s="1" t="s">
        <v>34</v>
      </c>
      <c r="Q9159">
        <v>177.1</v>
      </c>
    </row>
    <row r="9160" spans="11:17" x14ac:dyDescent="0.3">
      <c r="K9160">
        <v>2022</v>
      </c>
      <c r="L9160" t="s">
        <v>39</v>
      </c>
      <c r="M9160" t="s">
        <v>162</v>
      </c>
      <c r="N9160" t="s">
        <v>17</v>
      </c>
      <c r="O9160" t="s">
        <v>189</v>
      </c>
      <c r="P9160" s="1" t="s">
        <v>33</v>
      </c>
      <c r="Q9160">
        <v>171.6</v>
      </c>
    </row>
    <row r="9161" spans="11:17" x14ac:dyDescent="0.3">
      <c r="K9161">
        <v>2022</v>
      </c>
      <c r="L9161" t="s">
        <v>39</v>
      </c>
      <c r="M9161" t="s">
        <v>162</v>
      </c>
      <c r="N9161" t="s">
        <v>19</v>
      </c>
      <c r="O9161" t="s">
        <v>189</v>
      </c>
      <c r="P9161" s="1" t="s">
        <v>30</v>
      </c>
      <c r="Q9161">
        <v>180.4</v>
      </c>
    </row>
    <row r="9162" spans="11:17" x14ac:dyDescent="0.3">
      <c r="K9162">
        <v>2022</v>
      </c>
      <c r="L9162" t="s">
        <v>39</v>
      </c>
      <c r="M9162" t="s">
        <v>162</v>
      </c>
      <c r="N9162" t="s">
        <v>19</v>
      </c>
      <c r="O9162" t="s">
        <v>189</v>
      </c>
      <c r="P9162" s="1" t="s">
        <v>34</v>
      </c>
      <c r="Q9162">
        <v>176</v>
      </c>
    </row>
    <row r="9163" spans="11:17" x14ac:dyDescent="0.3">
      <c r="K9163">
        <v>2022</v>
      </c>
      <c r="L9163" t="s">
        <v>39</v>
      </c>
      <c r="M9163" t="s">
        <v>162</v>
      </c>
      <c r="N9163" t="s">
        <v>19</v>
      </c>
      <c r="O9163" t="s">
        <v>189</v>
      </c>
      <c r="P9163" s="1" t="s">
        <v>33</v>
      </c>
      <c r="Q9163">
        <v>169.4</v>
      </c>
    </row>
    <row r="9164" spans="11:17" x14ac:dyDescent="0.3">
      <c r="K9164">
        <v>2022</v>
      </c>
      <c r="L9164" t="s">
        <v>39</v>
      </c>
      <c r="M9164" t="s">
        <v>162</v>
      </c>
      <c r="N9164" t="s">
        <v>26</v>
      </c>
      <c r="O9164" t="s">
        <v>26</v>
      </c>
      <c r="P9164" s="1" t="s">
        <v>30</v>
      </c>
      <c r="Q9164">
        <v>172.6</v>
      </c>
    </row>
    <row r="9165" spans="11:17" x14ac:dyDescent="0.3">
      <c r="K9165">
        <v>2022</v>
      </c>
      <c r="L9165" t="s">
        <v>39</v>
      </c>
      <c r="M9165" t="s">
        <v>162</v>
      </c>
      <c r="N9165" t="s">
        <v>26</v>
      </c>
      <c r="O9165" t="s">
        <v>26</v>
      </c>
      <c r="P9165" s="1" t="s">
        <v>34</v>
      </c>
      <c r="Q9165">
        <v>169</v>
      </c>
    </row>
    <row r="9166" spans="11:17" x14ac:dyDescent="0.3">
      <c r="K9166">
        <v>2022</v>
      </c>
      <c r="L9166" t="s">
        <v>39</v>
      </c>
      <c r="M9166" t="s">
        <v>162</v>
      </c>
      <c r="N9166" t="s">
        <v>26</v>
      </c>
      <c r="O9166" t="s">
        <v>26</v>
      </c>
      <c r="P9166" s="1" t="s">
        <v>33</v>
      </c>
      <c r="Q9166">
        <v>166.5</v>
      </c>
    </row>
    <row r="9167" spans="11:17" x14ac:dyDescent="0.3">
      <c r="K9167">
        <v>2022</v>
      </c>
      <c r="L9167" t="s">
        <v>39</v>
      </c>
      <c r="M9167" t="s">
        <v>162</v>
      </c>
      <c r="N9167" t="s">
        <v>5</v>
      </c>
      <c r="O9167" t="s">
        <v>188</v>
      </c>
      <c r="P9167" s="1" t="s">
        <v>30</v>
      </c>
      <c r="Q9167">
        <v>169.6</v>
      </c>
    </row>
    <row r="9168" spans="11:17" x14ac:dyDescent="0.3">
      <c r="K9168">
        <v>2022</v>
      </c>
      <c r="L9168" t="s">
        <v>39</v>
      </c>
      <c r="M9168" t="s">
        <v>162</v>
      </c>
      <c r="N9168" t="s">
        <v>5</v>
      </c>
      <c r="O9168" t="s">
        <v>188</v>
      </c>
      <c r="P9168" s="1" t="s">
        <v>34</v>
      </c>
      <c r="Q9168">
        <v>170.8</v>
      </c>
    </row>
    <row r="9169" spans="11:17" x14ac:dyDescent="0.3">
      <c r="K9169">
        <v>2022</v>
      </c>
      <c r="L9169" t="s">
        <v>39</v>
      </c>
      <c r="M9169" t="s">
        <v>162</v>
      </c>
      <c r="N9169" t="s">
        <v>5</v>
      </c>
      <c r="O9169" t="s">
        <v>188</v>
      </c>
      <c r="P9169" s="1" t="s">
        <v>33</v>
      </c>
      <c r="Q9169">
        <v>172.8</v>
      </c>
    </row>
    <row r="9170" spans="11:17" x14ac:dyDescent="0.3">
      <c r="K9170">
        <v>2022</v>
      </c>
      <c r="L9170" t="s">
        <v>39</v>
      </c>
      <c r="M9170" t="s">
        <v>162</v>
      </c>
      <c r="N9170" t="s">
        <v>15</v>
      </c>
      <c r="O9170" t="s">
        <v>188</v>
      </c>
      <c r="P9170" s="1" t="s">
        <v>30</v>
      </c>
      <c r="Q9170">
        <v>172.4</v>
      </c>
    </row>
    <row r="9171" spans="11:17" x14ac:dyDescent="0.3">
      <c r="K9171">
        <v>2022</v>
      </c>
      <c r="L9171" t="s">
        <v>39</v>
      </c>
      <c r="M9171" t="s">
        <v>162</v>
      </c>
      <c r="N9171" t="s">
        <v>15</v>
      </c>
      <c r="O9171" t="s">
        <v>188</v>
      </c>
      <c r="P9171" s="1" t="s">
        <v>34</v>
      </c>
      <c r="Q9171">
        <v>174.9</v>
      </c>
    </row>
    <row r="9172" spans="11:17" x14ac:dyDescent="0.3">
      <c r="K9172">
        <v>2022</v>
      </c>
      <c r="L9172" t="s">
        <v>39</v>
      </c>
      <c r="M9172" t="s">
        <v>162</v>
      </c>
      <c r="N9172" t="s">
        <v>15</v>
      </c>
      <c r="O9172" t="s">
        <v>188</v>
      </c>
      <c r="P9172" s="1" t="s">
        <v>33</v>
      </c>
      <c r="Q9172">
        <v>179.3</v>
      </c>
    </row>
    <row r="9173" spans="11:17" x14ac:dyDescent="0.3">
      <c r="K9173">
        <v>2022</v>
      </c>
      <c r="L9173" t="s">
        <v>39</v>
      </c>
      <c r="M9173" t="s">
        <v>162</v>
      </c>
      <c r="N9173" t="s">
        <v>18</v>
      </c>
      <c r="O9173" t="s">
        <v>189</v>
      </c>
      <c r="P9173" s="1" t="s">
        <v>30</v>
      </c>
      <c r="Q9173">
        <v>178.7</v>
      </c>
    </row>
    <row r="9174" spans="11:17" x14ac:dyDescent="0.3">
      <c r="K9174">
        <v>2022</v>
      </c>
      <c r="L9174" t="s">
        <v>39</v>
      </c>
      <c r="M9174" t="s">
        <v>162</v>
      </c>
      <c r="N9174" t="s">
        <v>18</v>
      </c>
      <c r="O9174" t="s">
        <v>189</v>
      </c>
      <c r="P9174" s="1" t="s">
        <v>34</v>
      </c>
      <c r="Q9174">
        <v>169.9</v>
      </c>
    </row>
    <row r="9175" spans="11:17" x14ac:dyDescent="0.3">
      <c r="K9175">
        <v>2022</v>
      </c>
      <c r="L9175" t="s">
        <v>39</v>
      </c>
      <c r="M9175" t="s">
        <v>162</v>
      </c>
      <c r="N9175" t="s">
        <v>18</v>
      </c>
      <c r="O9175" t="s">
        <v>189</v>
      </c>
      <c r="P9175" s="1" t="s">
        <v>33</v>
      </c>
      <c r="Q9175">
        <v>157.4</v>
      </c>
    </row>
    <row r="9176" spans="11:17" x14ac:dyDescent="0.3">
      <c r="K9176">
        <v>2022</v>
      </c>
      <c r="L9176" t="s">
        <v>39</v>
      </c>
      <c r="M9176" t="s">
        <v>162</v>
      </c>
      <c r="N9176" t="s">
        <v>8</v>
      </c>
      <c r="O9176" t="s">
        <v>188</v>
      </c>
      <c r="P9176" s="1" t="s">
        <v>30</v>
      </c>
      <c r="Q9176">
        <v>165.8</v>
      </c>
    </row>
    <row r="9177" spans="11:17" x14ac:dyDescent="0.3">
      <c r="K9177">
        <v>2022</v>
      </c>
      <c r="L9177" t="s">
        <v>39</v>
      </c>
      <c r="M9177" t="s">
        <v>162</v>
      </c>
      <c r="N9177" t="s">
        <v>8</v>
      </c>
      <c r="O9177" t="s">
        <v>188</v>
      </c>
      <c r="P9177" s="1" t="s">
        <v>34</v>
      </c>
      <c r="Q9177">
        <v>169.7</v>
      </c>
    </row>
    <row r="9178" spans="11:17" x14ac:dyDescent="0.3">
      <c r="K9178">
        <v>2022</v>
      </c>
      <c r="L9178" t="s">
        <v>39</v>
      </c>
      <c r="M9178" t="s">
        <v>162</v>
      </c>
      <c r="N9178" t="s">
        <v>8</v>
      </c>
      <c r="O9178" t="s">
        <v>188</v>
      </c>
      <c r="P9178" s="1" t="s">
        <v>33</v>
      </c>
      <c r="Q9178">
        <v>174.1</v>
      </c>
    </row>
    <row r="9179" spans="11:17" x14ac:dyDescent="0.3">
      <c r="K9179">
        <v>2022</v>
      </c>
      <c r="L9179" t="s">
        <v>39</v>
      </c>
      <c r="M9179" t="s">
        <v>162</v>
      </c>
      <c r="N9179" t="s">
        <v>21</v>
      </c>
      <c r="O9179" t="s">
        <v>190</v>
      </c>
      <c r="P9179" s="1" t="s">
        <v>30</v>
      </c>
      <c r="Q9179">
        <v>176.7</v>
      </c>
    </row>
    <row r="9180" spans="11:17" x14ac:dyDescent="0.3">
      <c r="K9180">
        <v>2022</v>
      </c>
      <c r="L9180" t="s">
        <v>39</v>
      </c>
      <c r="M9180" t="s">
        <v>162</v>
      </c>
      <c r="N9180" t="s">
        <v>21</v>
      </c>
      <c r="O9180" t="s">
        <v>190</v>
      </c>
      <c r="P9180" s="1" t="s">
        <v>34</v>
      </c>
      <c r="Q9180">
        <v>176</v>
      </c>
    </row>
    <row r="9181" spans="11:17" x14ac:dyDescent="0.3">
      <c r="K9181">
        <v>2022</v>
      </c>
      <c r="L9181" t="s">
        <v>39</v>
      </c>
      <c r="M9181" t="s">
        <v>162</v>
      </c>
      <c r="N9181" t="s">
        <v>21</v>
      </c>
      <c r="O9181" t="s">
        <v>190</v>
      </c>
      <c r="P9181" s="1" t="s">
        <v>33</v>
      </c>
      <c r="Q9181">
        <v>174.9</v>
      </c>
    </row>
    <row r="9182" spans="11:17" x14ac:dyDescent="0.3">
      <c r="K9182">
        <v>2022</v>
      </c>
      <c r="L9182" t="s">
        <v>39</v>
      </c>
      <c r="M9182" t="s">
        <v>162</v>
      </c>
      <c r="N9182" t="s">
        <v>29</v>
      </c>
      <c r="O9182" t="s">
        <v>206</v>
      </c>
      <c r="P9182" s="1" t="s">
        <v>30</v>
      </c>
      <c r="Q9182">
        <v>173.6</v>
      </c>
    </row>
    <row r="9183" spans="11:17" x14ac:dyDescent="0.3">
      <c r="K9183">
        <v>2022</v>
      </c>
      <c r="L9183" t="s">
        <v>39</v>
      </c>
      <c r="M9183" t="s">
        <v>162</v>
      </c>
      <c r="N9183" t="s">
        <v>29</v>
      </c>
      <c r="O9183" t="s">
        <v>206</v>
      </c>
      <c r="P9183" s="1" t="s">
        <v>34</v>
      </c>
      <c r="Q9183">
        <v>172.6</v>
      </c>
    </row>
    <row r="9184" spans="11:17" x14ac:dyDescent="0.3">
      <c r="K9184">
        <v>2022</v>
      </c>
      <c r="L9184" t="s">
        <v>39</v>
      </c>
      <c r="M9184" t="s">
        <v>162</v>
      </c>
      <c r="N9184" t="s">
        <v>29</v>
      </c>
      <c r="O9184" t="s">
        <v>206</v>
      </c>
      <c r="P9184" s="1" t="s">
        <v>33</v>
      </c>
      <c r="Q9184">
        <v>171.4</v>
      </c>
    </row>
    <row r="9185" spans="11:17" x14ac:dyDescent="0.3">
      <c r="K9185">
        <v>2022</v>
      </c>
      <c r="L9185" t="s">
        <v>39</v>
      </c>
      <c r="M9185" t="s">
        <v>162</v>
      </c>
      <c r="N9185" t="s">
        <v>23</v>
      </c>
      <c r="O9185" t="s">
        <v>23</v>
      </c>
      <c r="P9185" s="1" t="s">
        <v>30</v>
      </c>
      <c r="Q9185">
        <v>178.2</v>
      </c>
    </row>
    <row r="9186" spans="11:17" x14ac:dyDescent="0.3">
      <c r="K9186">
        <v>2022</v>
      </c>
      <c r="L9186" t="s">
        <v>39</v>
      </c>
      <c r="M9186" t="s">
        <v>162</v>
      </c>
      <c r="N9186" t="s">
        <v>23</v>
      </c>
      <c r="O9186" t="s">
        <v>23</v>
      </c>
      <c r="P9186" s="1" t="s">
        <v>34</v>
      </c>
      <c r="Q9186">
        <v>175.4</v>
      </c>
    </row>
    <row r="9187" spans="11:17" x14ac:dyDescent="0.3">
      <c r="K9187">
        <v>2022</v>
      </c>
      <c r="L9187" t="s">
        <v>39</v>
      </c>
      <c r="M9187" t="s">
        <v>162</v>
      </c>
      <c r="N9187" t="s">
        <v>23</v>
      </c>
      <c r="O9187" t="s">
        <v>23</v>
      </c>
      <c r="P9187" s="1" t="s">
        <v>33</v>
      </c>
      <c r="Q9187">
        <v>170.9</v>
      </c>
    </row>
    <row r="9188" spans="11:17" x14ac:dyDescent="0.3">
      <c r="K9188">
        <v>2022</v>
      </c>
      <c r="L9188" t="s">
        <v>39</v>
      </c>
      <c r="M9188" t="s">
        <v>162</v>
      </c>
      <c r="N9188" t="s">
        <v>22</v>
      </c>
      <c r="O9188" t="s">
        <v>20</v>
      </c>
      <c r="P9188" s="1" t="s">
        <v>30</v>
      </c>
      <c r="Q9188">
        <v>170.3</v>
      </c>
    </row>
    <row r="9189" spans="11:17" x14ac:dyDescent="0.3">
      <c r="K9189">
        <v>2022</v>
      </c>
      <c r="L9189" t="s">
        <v>39</v>
      </c>
      <c r="M9189" t="s">
        <v>162</v>
      </c>
      <c r="N9189" t="s">
        <v>22</v>
      </c>
      <c r="O9189" t="s">
        <v>20</v>
      </c>
      <c r="P9189" s="1" t="s">
        <v>34</v>
      </c>
      <c r="Q9189">
        <v>166.4</v>
      </c>
    </row>
    <row r="9190" spans="11:17" x14ac:dyDescent="0.3">
      <c r="K9190">
        <v>2022</v>
      </c>
      <c r="L9190" t="s">
        <v>39</v>
      </c>
      <c r="M9190" t="s">
        <v>162</v>
      </c>
      <c r="N9190" t="s">
        <v>22</v>
      </c>
      <c r="O9190" t="s">
        <v>20</v>
      </c>
      <c r="P9190" s="1" t="s">
        <v>33</v>
      </c>
      <c r="Q9190">
        <v>162.1</v>
      </c>
    </row>
    <row r="9191" spans="11:17" x14ac:dyDescent="0.3">
      <c r="K9191">
        <v>2022</v>
      </c>
      <c r="L9191" t="s">
        <v>39</v>
      </c>
      <c r="M9191" t="s">
        <v>162</v>
      </c>
      <c r="N9191" t="s">
        <v>20</v>
      </c>
      <c r="O9191" t="s">
        <v>20</v>
      </c>
      <c r="P9191" s="1" t="s">
        <v>30</v>
      </c>
      <c r="Q9191">
        <v>0</v>
      </c>
    </row>
    <row r="9192" spans="11:17" x14ac:dyDescent="0.3">
      <c r="K9192">
        <v>2022</v>
      </c>
      <c r="L9192" t="s">
        <v>39</v>
      </c>
      <c r="M9192" t="s">
        <v>162</v>
      </c>
      <c r="N9192" t="s">
        <v>20</v>
      </c>
      <c r="O9192" t="s">
        <v>20</v>
      </c>
      <c r="P9192" s="1" t="s">
        <v>34</v>
      </c>
      <c r="Q9192">
        <v>166.8</v>
      </c>
    </row>
    <row r="9193" spans="11:17" x14ac:dyDescent="0.3">
      <c r="K9193">
        <v>2022</v>
      </c>
      <c r="L9193" t="s">
        <v>39</v>
      </c>
      <c r="M9193" t="s">
        <v>162</v>
      </c>
      <c r="N9193" t="s">
        <v>20</v>
      </c>
      <c r="O9193" t="s">
        <v>20</v>
      </c>
      <c r="P9193" s="1" t="s">
        <v>33</v>
      </c>
      <c r="Q9193">
        <v>166.8</v>
      </c>
    </row>
    <row r="9194" spans="11:17" x14ac:dyDescent="0.3">
      <c r="K9194">
        <v>2022</v>
      </c>
      <c r="L9194" t="s">
        <v>39</v>
      </c>
      <c r="M9194" t="s">
        <v>162</v>
      </c>
      <c r="N9194" t="s">
        <v>4</v>
      </c>
      <c r="O9194" t="s">
        <v>188</v>
      </c>
      <c r="P9194" s="1" t="s">
        <v>30</v>
      </c>
      <c r="Q9194">
        <v>217.2</v>
      </c>
    </row>
    <row r="9195" spans="11:17" x14ac:dyDescent="0.3">
      <c r="K9195">
        <v>2022</v>
      </c>
      <c r="L9195" t="s">
        <v>39</v>
      </c>
      <c r="M9195" t="s">
        <v>162</v>
      </c>
      <c r="N9195" t="s">
        <v>4</v>
      </c>
      <c r="O9195" t="s">
        <v>188</v>
      </c>
      <c r="P9195" s="1" t="s">
        <v>34</v>
      </c>
      <c r="Q9195">
        <v>219.4</v>
      </c>
    </row>
    <row r="9196" spans="11:17" x14ac:dyDescent="0.3">
      <c r="K9196">
        <v>2022</v>
      </c>
      <c r="L9196" t="s">
        <v>39</v>
      </c>
      <c r="M9196" t="s">
        <v>162</v>
      </c>
      <c r="N9196" t="s">
        <v>4</v>
      </c>
      <c r="O9196" t="s">
        <v>188</v>
      </c>
      <c r="P9196" s="1" t="s">
        <v>33</v>
      </c>
      <c r="Q9196">
        <v>223.4</v>
      </c>
    </row>
    <row r="9197" spans="11:17" x14ac:dyDescent="0.3">
      <c r="K9197">
        <v>2022</v>
      </c>
      <c r="L9197" t="s">
        <v>39</v>
      </c>
      <c r="M9197" t="s">
        <v>162</v>
      </c>
      <c r="N9197" t="s">
        <v>6</v>
      </c>
      <c r="O9197" t="s">
        <v>188</v>
      </c>
      <c r="P9197" s="1" t="s">
        <v>30</v>
      </c>
      <c r="Q9197">
        <v>165.4</v>
      </c>
    </row>
    <row r="9198" spans="11:17" x14ac:dyDescent="0.3">
      <c r="K9198">
        <v>2022</v>
      </c>
      <c r="L9198" t="s">
        <v>39</v>
      </c>
      <c r="M9198" t="s">
        <v>162</v>
      </c>
      <c r="N9198" t="s">
        <v>6</v>
      </c>
      <c r="O9198" t="s">
        <v>188</v>
      </c>
      <c r="P9198" s="1" t="s">
        <v>34</v>
      </c>
      <c r="Q9198">
        <v>165.8</v>
      </c>
    </row>
    <row r="9199" spans="11:17" x14ac:dyDescent="0.3">
      <c r="K9199">
        <v>2022</v>
      </c>
      <c r="L9199" t="s">
        <v>39</v>
      </c>
      <c r="M9199" t="s">
        <v>162</v>
      </c>
      <c r="N9199" t="s">
        <v>6</v>
      </c>
      <c r="O9199" t="s">
        <v>188</v>
      </c>
      <c r="P9199" s="1" t="s">
        <v>33</v>
      </c>
      <c r="Q9199">
        <v>166.4</v>
      </c>
    </row>
    <row r="9200" spans="11:17" x14ac:dyDescent="0.3">
      <c r="K9200">
        <v>2022</v>
      </c>
      <c r="L9200" t="s">
        <v>39</v>
      </c>
      <c r="M9200" t="s">
        <v>162</v>
      </c>
      <c r="N9200" t="s">
        <v>28</v>
      </c>
      <c r="O9200" t="s">
        <v>192</v>
      </c>
      <c r="P9200" s="1" t="s">
        <v>30</v>
      </c>
      <c r="Q9200">
        <v>171</v>
      </c>
    </row>
    <row r="9201" spans="11:17" x14ac:dyDescent="0.3">
      <c r="K9201">
        <v>2022</v>
      </c>
      <c r="L9201" t="s">
        <v>39</v>
      </c>
      <c r="M9201" t="s">
        <v>162</v>
      </c>
      <c r="N9201" t="s">
        <v>28</v>
      </c>
      <c r="O9201" t="s">
        <v>192</v>
      </c>
      <c r="P9201" s="1" t="s">
        <v>34</v>
      </c>
      <c r="Q9201">
        <v>167.5</v>
      </c>
    </row>
    <row r="9202" spans="11:17" x14ac:dyDescent="0.3">
      <c r="K9202">
        <v>2022</v>
      </c>
      <c r="L9202" t="s">
        <v>39</v>
      </c>
      <c r="M9202" t="s">
        <v>162</v>
      </c>
      <c r="N9202" t="s">
        <v>28</v>
      </c>
      <c r="O9202" t="s">
        <v>192</v>
      </c>
      <c r="P9202" s="1" t="s">
        <v>33</v>
      </c>
      <c r="Q9202">
        <v>163.80000000000001</v>
      </c>
    </row>
    <row r="9203" spans="11:17" x14ac:dyDescent="0.3">
      <c r="K9203">
        <v>2022</v>
      </c>
      <c r="L9203" t="s">
        <v>39</v>
      </c>
      <c r="M9203" t="s">
        <v>162</v>
      </c>
      <c r="N9203" t="s">
        <v>13</v>
      </c>
      <c r="O9203" t="s">
        <v>188</v>
      </c>
      <c r="P9203" s="1" t="s">
        <v>30</v>
      </c>
      <c r="Q9203">
        <v>174.2</v>
      </c>
    </row>
    <row r="9204" spans="11:17" x14ac:dyDescent="0.3">
      <c r="K9204">
        <v>2022</v>
      </c>
      <c r="L9204" t="s">
        <v>39</v>
      </c>
      <c r="M9204" t="s">
        <v>162</v>
      </c>
      <c r="N9204" t="s">
        <v>13</v>
      </c>
      <c r="O9204" t="s">
        <v>188</v>
      </c>
      <c r="P9204" s="1" t="s">
        <v>34</v>
      </c>
      <c r="Q9204">
        <v>167.9</v>
      </c>
    </row>
    <row r="9205" spans="11:17" x14ac:dyDescent="0.3">
      <c r="K9205">
        <v>2022</v>
      </c>
      <c r="L9205" t="s">
        <v>39</v>
      </c>
      <c r="M9205" t="s">
        <v>162</v>
      </c>
      <c r="N9205" t="s">
        <v>13</v>
      </c>
      <c r="O9205" t="s">
        <v>188</v>
      </c>
      <c r="P9205" s="1" t="s">
        <v>33</v>
      </c>
      <c r="Q9205">
        <v>159.1</v>
      </c>
    </row>
    <row r="9206" spans="11:17" x14ac:dyDescent="0.3">
      <c r="K9206">
        <v>2022</v>
      </c>
      <c r="L9206" t="s">
        <v>39</v>
      </c>
      <c r="M9206" t="s">
        <v>162</v>
      </c>
      <c r="N9206" t="s">
        <v>7</v>
      </c>
      <c r="O9206" t="s">
        <v>188</v>
      </c>
      <c r="P9206" s="1" t="s">
        <v>30</v>
      </c>
      <c r="Q9206">
        <v>208.1</v>
      </c>
    </row>
    <row r="9207" spans="11:17" x14ac:dyDescent="0.3">
      <c r="K9207">
        <v>2022</v>
      </c>
      <c r="L9207" t="s">
        <v>39</v>
      </c>
      <c r="M9207" t="s">
        <v>162</v>
      </c>
      <c r="N9207" t="s">
        <v>7</v>
      </c>
      <c r="O9207" t="s">
        <v>188</v>
      </c>
      <c r="P9207" s="1" t="s">
        <v>34</v>
      </c>
      <c r="Q9207">
        <v>200.9</v>
      </c>
    </row>
    <row r="9208" spans="11:17" x14ac:dyDescent="0.3">
      <c r="K9208">
        <v>2022</v>
      </c>
      <c r="L9208" t="s">
        <v>39</v>
      </c>
      <c r="M9208" t="s">
        <v>162</v>
      </c>
      <c r="N9208" t="s">
        <v>7</v>
      </c>
      <c r="O9208" t="s">
        <v>188</v>
      </c>
      <c r="P9208" s="1" t="s">
        <v>33</v>
      </c>
      <c r="Q9208">
        <v>188.6</v>
      </c>
    </row>
    <row r="9209" spans="11:17" x14ac:dyDescent="0.3">
      <c r="K9209">
        <v>2022</v>
      </c>
      <c r="L9209" t="s">
        <v>39</v>
      </c>
      <c r="M9209" t="s">
        <v>162</v>
      </c>
      <c r="N9209" t="s">
        <v>16</v>
      </c>
      <c r="O9209" t="s">
        <v>192</v>
      </c>
      <c r="P9209" s="1" t="s">
        <v>30</v>
      </c>
      <c r="Q9209">
        <v>192.9</v>
      </c>
    </row>
    <row r="9210" spans="11:17" x14ac:dyDescent="0.3">
      <c r="K9210">
        <v>2022</v>
      </c>
      <c r="L9210" t="s">
        <v>39</v>
      </c>
      <c r="M9210" t="s">
        <v>162</v>
      </c>
      <c r="N9210" t="s">
        <v>16</v>
      </c>
      <c r="O9210" t="s">
        <v>192</v>
      </c>
      <c r="P9210" s="1" t="s">
        <v>34</v>
      </c>
      <c r="Q9210">
        <v>194.3</v>
      </c>
    </row>
    <row r="9211" spans="11:17" x14ac:dyDescent="0.3">
      <c r="K9211">
        <v>2022</v>
      </c>
      <c r="L9211" t="s">
        <v>39</v>
      </c>
      <c r="M9211" t="s">
        <v>162</v>
      </c>
      <c r="N9211" t="s">
        <v>16</v>
      </c>
      <c r="O9211" t="s">
        <v>192</v>
      </c>
      <c r="P9211" s="1" t="s">
        <v>33</v>
      </c>
      <c r="Q9211">
        <v>198.3</v>
      </c>
    </row>
    <row r="9212" spans="11:17" x14ac:dyDescent="0.3">
      <c r="K9212">
        <v>2022</v>
      </c>
      <c r="L9212" t="s">
        <v>39</v>
      </c>
      <c r="M9212" t="s">
        <v>162</v>
      </c>
      <c r="N9212" t="s">
        <v>27</v>
      </c>
      <c r="O9212" t="s">
        <v>192</v>
      </c>
      <c r="P9212" s="1" t="s">
        <v>30</v>
      </c>
      <c r="Q9212">
        <v>169.5</v>
      </c>
    </row>
    <row r="9213" spans="11:17" x14ac:dyDescent="0.3">
      <c r="K9213">
        <v>2022</v>
      </c>
      <c r="L9213" t="s">
        <v>39</v>
      </c>
      <c r="M9213" t="s">
        <v>162</v>
      </c>
      <c r="N9213" t="s">
        <v>27</v>
      </c>
      <c r="O9213" t="s">
        <v>192</v>
      </c>
      <c r="P9213" s="1" t="s">
        <v>34</v>
      </c>
      <c r="Q9213">
        <v>169.4</v>
      </c>
    </row>
    <row r="9214" spans="11:17" x14ac:dyDescent="0.3">
      <c r="K9214">
        <v>2022</v>
      </c>
      <c r="L9214" t="s">
        <v>39</v>
      </c>
      <c r="M9214" t="s">
        <v>162</v>
      </c>
      <c r="N9214" t="s">
        <v>27</v>
      </c>
      <c r="O9214" t="s">
        <v>192</v>
      </c>
      <c r="P9214" s="1" t="s">
        <v>33</v>
      </c>
      <c r="Q9214">
        <v>169.2</v>
      </c>
    </row>
    <row r="9215" spans="11:17" x14ac:dyDescent="0.3">
      <c r="K9215">
        <v>2022</v>
      </c>
      <c r="L9215" t="s">
        <v>39</v>
      </c>
      <c r="M9215" t="s">
        <v>162</v>
      </c>
      <c r="N9215" t="s">
        <v>14</v>
      </c>
      <c r="O9215" t="s">
        <v>188</v>
      </c>
      <c r="P9215" s="1" t="s">
        <v>30</v>
      </c>
      <c r="Q9215">
        <v>181.9</v>
      </c>
    </row>
    <row r="9216" spans="11:17" x14ac:dyDescent="0.3">
      <c r="K9216">
        <v>2022</v>
      </c>
      <c r="L9216" t="s">
        <v>39</v>
      </c>
      <c r="M9216" t="s">
        <v>162</v>
      </c>
      <c r="N9216" t="s">
        <v>14</v>
      </c>
      <c r="O9216" t="s">
        <v>188</v>
      </c>
      <c r="P9216" s="1" t="s">
        <v>34</v>
      </c>
      <c r="Q9216">
        <v>183.9</v>
      </c>
    </row>
    <row r="9217" spans="11:17" x14ac:dyDescent="0.3">
      <c r="K9217">
        <v>2022</v>
      </c>
      <c r="L9217" t="s">
        <v>39</v>
      </c>
      <c r="M9217" t="s">
        <v>162</v>
      </c>
      <c r="N9217" t="s">
        <v>14</v>
      </c>
      <c r="O9217" t="s">
        <v>188</v>
      </c>
      <c r="P9217" s="1" t="s">
        <v>33</v>
      </c>
      <c r="Q9217">
        <v>186.3</v>
      </c>
    </row>
    <row r="9218" spans="11:17" x14ac:dyDescent="0.3">
      <c r="K9218">
        <v>2022</v>
      </c>
      <c r="L9218" t="s">
        <v>39</v>
      </c>
      <c r="M9218" t="s">
        <v>162</v>
      </c>
      <c r="N9218" t="s">
        <v>10</v>
      </c>
      <c r="O9218" t="s">
        <v>188</v>
      </c>
      <c r="P9218" s="1" t="s">
        <v>30</v>
      </c>
      <c r="Q9218">
        <v>164.6</v>
      </c>
    </row>
    <row r="9219" spans="11:17" x14ac:dyDescent="0.3">
      <c r="K9219">
        <v>2022</v>
      </c>
      <c r="L9219" t="s">
        <v>39</v>
      </c>
      <c r="M9219" t="s">
        <v>162</v>
      </c>
      <c r="N9219" t="s">
        <v>10</v>
      </c>
      <c r="O9219" t="s">
        <v>188</v>
      </c>
      <c r="P9219" s="1" t="s">
        <v>34</v>
      </c>
      <c r="Q9219">
        <v>164.3</v>
      </c>
    </row>
    <row r="9220" spans="11:17" x14ac:dyDescent="0.3">
      <c r="K9220">
        <v>2022</v>
      </c>
      <c r="L9220" t="s">
        <v>39</v>
      </c>
      <c r="M9220" t="s">
        <v>162</v>
      </c>
      <c r="N9220" t="s">
        <v>10</v>
      </c>
      <c r="O9220" t="s">
        <v>188</v>
      </c>
      <c r="P9220" s="1" t="s">
        <v>33</v>
      </c>
      <c r="Q9220">
        <v>163.6</v>
      </c>
    </row>
    <row r="9221" spans="11:17" x14ac:dyDescent="0.3">
      <c r="K9221">
        <v>2022</v>
      </c>
      <c r="L9221" t="s">
        <v>39</v>
      </c>
      <c r="M9221" t="s">
        <v>162</v>
      </c>
      <c r="N9221" t="s">
        <v>25</v>
      </c>
      <c r="O9221" t="s">
        <v>195</v>
      </c>
      <c r="P9221" s="1" t="s">
        <v>30</v>
      </c>
      <c r="Q9221">
        <v>168</v>
      </c>
    </row>
    <row r="9222" spans="11:17" x14ac:dyDescent="0.3">
      <c r="K9222">
        <v>2022</v>
      </c>
      <c r="L9222" t="s">
        <v>39</v>
      </c>
      <c r="M9222" t="s">
        <v>162</v>
      </c>
      <c r="N9222" t="s">
        <v>25</v>
      </c>
      <c r="O9222" t="s">
        <v>195</v>
      </c>
      <c r="P9222" s="1" t="s">
        <v>34</v>
      </c>
      <c r="Q9222">
        <v>165.8</v>
      </c>
    </row>
    <row r="9223" spans="11:17" x14ac:dyDescent="0.3">
      <c r="K9223">
        <v>2022</v>
      </c>
      <c r="L9223" t="s">
        <v>39</v>
      </c>
      <c r="M9223" t="s">
        <v>162</v>
      </c>
      <c r="N9223" t="s">
        <v>25</v>
      </c>
      <c r="O9223" t="s">
        <v>195</v>
      </c>
      <c r="P9223" s="1" t="s">
        <v>33</v>
      </c>
      <c r="Q9223">
        <v>164.1</v>
      </c>
    </row>
    <row r="9224" spans="11:17" x14ac:dyDescent="0.3">
      <c r="K9224">
        <v>2022</v>
      </c>
      <c r="L9224" t="s">
        <v>39</v>
      </c>
      <c r="M9224" t="s">
        <v>162</v>
      </c>
      <c r="N9224" t="s">
        <v>12</v>
      </c>
      <c r="O9224" t="s">
        <v>188</v>
      </c>
      <c r="P9224" s="1" t="s">
        <v>30</v>
      </c>
      <c r="Q9224">
        <v>188.9</v>
      </c>
    </row>
    <row r="9225" spans="11:17" x14ac:dyDescent="0.3">
      <c r="K9225">
        <v>2022</v>
      </c>
      <c r="L9225" t="s">
        <v>39</v>
      </c>
      <c r="M9225" t="s">
        <v>162</v>
      </c>
      <c r="N9225" t="s">
        <v>12</v>
      </c>
      <c r="O9225" t="s">
        <v>188</v>
      </c>
      <c r="P9225" s="1" t="s">
        <v>34</v>
      </c>
      <c r="Q9225">
        <v>187.1</v>
      </c>
    </row>
    <row r="9226" spans="11:17" x14ac:dyDescent="0.3">
      <c r="K9226">
        <v>2022</v>
      </c>
      <c r="L9226" t="s">
        <v>39</v>
      </c>
      <c r="M9226" t="s">
        <v>162</v>
      </c>
      <c r="N9226" t="s">
        <v>12</v>
      </c>
      <c r="O9226" t="s">
        <v>188</v>
      </c>
      <c r="P9226" s="1" t="s">
        <v>33</v>
      </c>
      <c r="Q9226">
        <v>183.5</v>
      </c>
    </row>
    <row r="9227" spans="11:17" x14ac:dyDescent="0.3">
      <c r="K9227">
        <v>2022</v>
      </c>
      <c r="L9227" t="s">
        <v>39</v>
      </c>
      <c r="M9227" t="s">
        <v>162</v>
      </c>
      <c r="N9227" t="s">
        <v>11</v>
      </c>
      <c r="O9227" t="s">
        <v>188</v>
      </c>
      <c r="P9227" s="1" t="s">
        <v>30</v>
      </c>
      <c r="Q9227">
        <v>119.1</v>
      </c>
    </row>
    <row r="9228" spans="11:17" x14ac:dyDescent="0.3">
      <c r="K9228">
        <v>2022</v>
      </c>
      <c r="L9228" t="s">
        <v>39</v>
      </c>
      <c r="M9228" t="s">
        <v>162</v>
      </c>
      <c r="N9228" t="s">
        <v>11</v>
      </c>
      <c r="O9228" t="s">
        <v>188</v>
      </c>
      <c r="P9228" s="1" t="s">
        <v>34</v>
      </c>
      <c r="Q9228">
        <v>119.9</v>
      </c>
    </row>
    <row r="9229" spans="11:17" x14ac:dyDescent="0.3">
      <c r="K9229">
        <v>2022</v>
      </c>
      <c r="L9229" t="s">
        <v>39</v>
      </c>
      <c r="M9229" t="s">
        <v>162</v>
      </c>
      <c r="N9229" t="s">
        <v>11</v>
      </c>
      <c r="O9229" t="s">
        <v>188</v>
      </c>
      <c r="P9229" s="1" t="s">
        <v>33</v>
      </c>
      <c r="Q9229">
        <v>121.4</v>
      </c>
    </row>
    <row r="9230" spans="11:17" x14ac:dyDescent="0.3">
      <c r="K9230">
        <v>2022</v>
      </c>
      <c r="L9230" t="s">
        <v>39</v>
      </c>
      <c r="M9230" t="s">
        <v>162</v>
      </c>
      <c r="N9230" t="s">
        <v>24</v>
      </c>
      <c r="O9230" t="s">
        <v>191</v>
      </c>
      <c r="P9230" s="1" t="s">
        <v>30</v>
      </c>
      <c r="Q9230">
        <v>165.5</v>
      </c>
    </row>
    <row r="9231" spans="11:17" x14ac:dyDescent="0.3">
      <c r="K9231">
        <v>2022</v>
      </c>
      <c r="L9231" t="s">
        <v>39</v>
      </c>
      <c r="M9231" t="s">
        <v>162</v>
      </c>
      <c r="N9231" t="s">
        <v>24</v>
      </c>
      <c r="O9231" t="s">
        <v>191</v>
      </c>
      <c r="P9231" s="1" t="s">
        <v>34</v>
      </c>
      <c r="Q9231">
        <v>161.1</v>
      </c>
    </row>
    <row r="9232" spans="11:17" x14ac:dyDescent="0.3">
      <c r="K9232">
        <v>2022</v>
      </c>
      <c r="L9232" t="s">
        <v>39</v>
      </c>
      <c r="M9232" t="s">
        <v>162</v>
      </c>
      <c r="N9232" t="s">
        <v>24</v>
      </c>
      <c r="O9232" t="s">
        <v>191</v>
      </c>
      <c r="P9232" s="1" t="s">
        <v>33</v>
      </c>
      <c r="Q9232">
        <v>157.19999999999999</v>
      </c>
    </row>
    <row r="9233" spans="11:17" x14ac:dyDescent="0.3">
      <c r="K9233">
        <v>2022</v>
      </c>
      <c r="L9233" t="s">
        <v>39</v>
      </c>
      <c r="M9233" t="s">
        <v>162</v>
      </c>
      <c r="N9233" t="s">
        <v>9</v>
      </c>
      <c r="O9233" t="s">
        <v>188</v>
      </c>
      <c r="P9233" s="1" t="s">
        <v>30</v>
      </c>
      <c r="Q9233">
        <v>167.3</v>
      </c>
    </row>
    <row r="9234" spans="11:17" x14ac:dyDescent="0.3">
      <c r="K9234">
        <v>2022</v>
      </c>
      <c r="L9234" t="s">
        <v>39</v>
      </c>
      <c r="M9234" t="s">
        <v>162</v>
      </c>
      <c r="N9234" t="s">
        <v>9</v>
      </c>
      <c r="O9234" t="s">
        <v>188</v>
      </c>
      <c r="P9234" s="1" t="s">
        <v>34</v>
      </c>
      <c r="Q9234">
        <v>182.3</v>
      </c>
    </row>
    <row r="9235" spans="11:17" x14ac:dyDescent="0.3">
      <c r="K9235">
        <v>2022</v>
      </c>
      <c r="L9235" t="s">
        <v>39</v>
      </c>
      <c r="M9235" t="s">
        <v>162</v>
      </c>
      <c r="N9235" t="s">
        <v>9</v>
      </c>
      <c r="O9235" t="s">
        <v>188</v>
      </c>
      <c r="P9235" s="1" t="s">
        <v>33</v>
      </c>
      <c r="Q9235">
        <v>211.5</v>
      </c>
    </row>
    <row r="9236" spans="11:17" x14ac:dyDescent="0.3">
      <c r="K9236">
        <v>2022</v>
      </c>
      <c r="L9236" t="s">
        <v>36</v>
      </c>
      <c r="M9236" t="s">
        <v>163</v>
      </c>
      <c r="N9236" t="s">
        <v>3</v>
      </c>
      <c r="O9236" t="s">
        <v>188</v>
      </c>
      <c r="P9236" s="1" t="s">
        <v>30</v>
      </c>
      <c r="Q9236">
        <v>150.19999999999999</v>
      </c>
    </row>
    <row r="9237" spans="11:17" x14ac:dyDescent="0.3">
      <c r="K9237">
        <v>2022</v>
      </c>
      <c r="L9237" t="s">
        <v>36</v>
      </c>
      <c r="M9237" t="s">
        <v>163</v>
      </c>
      <c r="N9237" t="s">
        <v>3</v>
      </c>
      <c r="O9237" t="s">
        <v>188</v>
      </c>
      <c r="P9237" s="1" t="s">
        <v>34</v>
      </c>
      <c r="Q9237">
        <v>151.30000000000001</v>
      </c>
    </row>
    <row r="9238" spans="11:17" x14ac:dyDescent="0.3">
      <c r="K9238">
        <v>2022</v>
      </c>
      <c r="L9238" t="s">
        <v>36</v>
      </c>
      <c r="M9238" t="s">
        <v>163</v>
      </c>
      <c r="N9238" t="s">
        <v>3</v>
      </c>
      <c r="O9238" t="s">
        <v>188</v>
      </c>
      <c r="P9238" s="1" t="s">
        <v>33</v>
      </c>
      <c r="Q9238">
        <v>153.69999999999999</v>
      </c>
    </row>
    <row r="9239" spans="11:17" x14ac:dyDescent="0.3">
      <c r="K9239">
        <v>2022</v>
      </c>
      <c r="L9239" t="s">
        <v>36</v>
      </c>
      <c r="M9239" t="s">
        <v>163</v>
      </c>
      <c r="N9239" t="s">
        <v>17</v>
      </c>
      <c r="O9239" t="s">
        <v>189</v>
      </c>
      <c r="P9239" s="1" t="s">
        <v>30</v>
      </c>
      <c r="Q9239">
        <v>175.4</v>
      </c>
    </row>
    <row r="9240" spans="11:17" x14ac:dyDescent="0.3">
      <c r="K9240">
        <v>2022</v>
      </c>
      <c r="L9240" t="s">
        <v>36</v>
      </c>
      <c r="M9240" t="s">
        <v>163</v>
      </c>
      <c r="N9240" t="s">
        <v>17</v>
      </c>
      <c r="O9240" t="s">
        <v>189</v>
      </c>
      <c r="P9240" s="1" t="s">
        <v>34</v>
      </c>
      <c r="Q9240">
        <v>172.1</v>
      </c>
    </row>
    <row r="9241" spans="11:17" x14ac:dyDescent="0.3">
      <c r="K9241">
        <v>2022</v>
      </c>
      <c r="L9241" t="s">
        <v>36</v>
      </c>
      <c r="M9241" t="s">
        <v>163</v>
      </c>
      <c r="N9241" t="s">
        <v>17</v>
      </c>
      <c r="O9241" t="s">
        <v>189</v>
      </c>
      <c r="P9241" s="1" t="s">
        <v>33</v>
      </c>
      <c r="Q9241">
        <v>167.1</v>
      </c>
    </row>
    <row r="9242" spans="11:17" x14ac:dyDescent="0.3">
      <c r="K9242">
        <v>2022</v>
      </c>
      <c r="L9242" t="s">
        <v>36</v>
      </c>
      <c r="M9242" t="s">
        <v>163</v>
      </c>
      <c r="N9242" t="s">
        <v>19</v>
      </c>
      <c r="O9242" t="s">
        <v>189</v>
      </c>
      <c r="P9242" s="1" t="s">
        <v>30</v>
      </c>
      <c r="Q9242">
        <v>175.1</v>
      </c>
    </row>
    <row r="9243" spans="11:17" x14ac:dyDescent="0.3">
      <c r="K9243">
        <v>2022</v>
      </c>
      <c r="L9243" t="s">
        <v>36</v>
      </c>
      <c r="M9243" t="s">
        <v>163</v>
      </c>
      <c r="N9243" t="s">
        <v>19</v>
      </c>
      <c r="O9243" t="s">
        <v>189</v>
      </c>
      <c r="P9243" s="1" t="s">
        <v>34</v>
      </c>
      <c r="Q9243">
        <v>171.1</v>
      </c>
    </row>
    <row r="9244" spans="11:17" x14ac:dyDescent="0.3">
      <c r="K9244">
        <v>2022</v>
      </c>
      <c r="L9244" t="s">
        <v>36</v>
      </c>
      <c r="M9244" t="s">
        <v>163</v>
      </c>
      <c r="N9244" t="s">
        <v>19</v>
      </c>
      <c r="O9244" t="s">
        <v>189</v>
      </c>
      <c r="P9244" s="1" t="s">
        <v>33</v>
      </c>
      <c r="Q9244">
        <v>164.9</v>
      </c>
    </row>
    <row r="9245" spans="11:17" x14ac:dyDescent="0.3">
      <c r="K9245">
        <v>2022</v>
      </c>
      <c r="L9245" t="s">
        <v>36</v>
      </c>
      <c r="M9245" t="s">
        <v>163</v>
      </c>
      <c r="N9245" t="s">
        <v>26</v>
      </c>
      <c r="O9245" t="s">
        <v>26</v>
      </c>
      <c r="P9245" s="1" t="s">
        <v>30</v>
      </c>
      <c r="Q9245">
        <v>170.6</v>
      </c>
    </row>
    <row r="9246" spans="11:17" x14ac:dyDescent="0.3">
      <c r="K9246">
        <v>2022</v>
      </c>
      <c r="L9246" t="s">
        <v>36</v>
      </c>
      <c r="M9246" t="s">
        <v>163</v>
      </c>
      <c r="N9246" t="s">
        <v>26</v>
      </c>
      <c r="O9246" t="s">
        <v>26</v>
      </c>
      <c r="P9246" s="1" t="s">
        <v>34</v>
      </c>
      <c r="Q9246">
        <v>166</v>
      </c>
    </row>
    <row r="9247" spans="11:17" x14ac:dyDescent="0.3">
      <c r="K9247">
        <v>2022</v>
      </c>
      <c r="L9247" t="s">
        <v>36</v>
      </c>
      <c r="M9247" t="s">
        <v>163</v>
      </c>
      <c r="N9247" t="s">
        <v>26</v>
      </c>
      <c r="O9247" t="s">
        <v>26</v>
      </c>
      <c r="P9247" s="1" t="s">
        <v>33</v>
      </c>
      <c r="Q9247">
        <v>162.69999999999999</v>
      </c>
    </row>
    <row r="9248" spans="11:17" x14ac:dyDescent="0.3">
      <c r="K9248">
        <v>2022</v>
      </c>
      <c r="L9248" t="s">
        <v>36</v>
      </c>
      <c r="M9248" t="s">
        <v>163</v>
      </c>
      <c r="N9248" t="s">
        <v>5</v>
      </c>
      <c r="O9248" t="s">
        <v>188</v>
      </c>
      <c r="P9248" s="1" t="s">
        <v>30</v>
      </c>
      <c r="Q9248">
        <v>167.9</v>
      </c>
    </row>
    <row r="9249" spans="11:17" x14ac:dyDescent="0.3">
      <c r="K9249">
        <v>2022</v>
      </c>
      <c r="L9249" t="s">
        <v>36</v>
      </c>
      <c r="M9249" t="s">
        <v>163</v>
      </c>
      <c r="N9249" t="s">
        <v>5</v>
      </c>
      <c r="O9249" t="s">
        <v>188</v>
      </c>
      <c r="P9249" s="1" t="s">
        <v>34</v>
      </c>
      <c r="Q9249">
        <v>167.8</v>
      </c>
    </row>
    <row r="9250" spans="11:17" x14ac:dyDescent="0.3">
      <c r="K9250">
        <v>2022</v>
      </c>
      <c r="L9250" t="s">
        <v>36</v>
      </c>
      <c r="M9250" t="s">
        <v>163</v>
      </c>
      <c r="N9250" t="s">
        <v>5</v>
      </c>
      <c r="O9250" t="s">
        <v>188</v>
      </c>
      <c r="P9250" s="1" t="s">
        <v>33</v>
      </c>
      <c r="Q9250">
        <v>167.7</v>
      </c>
    </row>
    <row r="9251" spans="11:17" x14ac:dyDescent="0.3">
      <c r="K9251">
        <v>2022</v>
      </c>
      <c r="L9251" t="s">
        <v>36</v>
      </c>
      <c r="M9251" t="s">
        <v>163</v>
      </c>
      <c r="N9251" t="s">
        <v>15</v>
      </c>
      <c r="O9251" t="s">
        <v>188</v>
      </c>
      <c r="P9251" s="1" t="s">
        <v>30</v>
      </c>
      <c r="Q9251">
        <v>166.6</v>
      </c>
    </row>
    <row r="9252" spans="11:17" x14ac:dyDescent="0.3">
      <c r="K9252">
        <v>2022</v>
      </c>
      <c r="L9252" t="s">
        <v>36</v>
      </c>
      <c r="M9252" t="s">
        <v>163</v>
      </c>
      <c r="N9252" t="s">
        <v>15</v>
      </c>
      <c r="O9252" t="s">
        <v>188</v>
      </c>
      <c r="P9252" s="1" t="s">
        <v>34</v>
      </c>
      <c r="Q9252">
        <v>168.4</v>
      </c>
    </row>
    <row r="9253" spans="11:17" x14ac:dyDescent="0.3">
      <c r="K9253">
        <v>2022</v>
      </c>
      <c r="L9253" t="s">
        <v>36</v>
      </c>
      <c r="M9253" t="s">
        <v>163</v>
      </c>
      <c r="N9253" t="s">
        <v>15</v>
      </c>
      <c r="O9253" t="s">
        <v>188</v>
      </c>
      <c r="P9253" s="1" t="s">
        <v>33</v>
      </c>
      <c r="Q9253">
        <v>171.5</v>
      </c>
    </row>
    <row r="9254" spans="11:17" x14ac:dyDescent="0.3">
      <c r="K9254">
        <v>2022</v>
      </c>
      <c r="L9254" t="s">
        <v>36</v>
      </c>
      <c r="M9254" t="s">
        <v>163</v>
      </c>
      <c r="N9254" t="s">
        <v>18</v>
      </c>
      <c r="O9254" t="s">
        <v>189</v>
      </c>
      <c r="P9254" s="1" t="s">
        <v>30</v>
      </c>
      <c r="Q9254">
        <v>173.2</v>
      </c>
    </row>
    <row r="9255" spans="11:17" x14ac:dyDescent="0.3">
      <c r="K9255">
        <v>2022</v>
      </c>
      <c r="L9255" t="s">
        <v>36</v>
      </c>
      <c r="M9255" t="s">
        <v>163</v>
      </c>
      <c r="N9255" t="s">
        <v>18</v>
      </c>
      <c r="O9255" t="s">
        <v>189</v>
      </c>
      <c r="P9255" s="1" t="s">
        <v>34</v>
      </c>
      <c r="Q9255">
        <v>164.6</v>
      </c>
    </row>
    <row r="9256" spans="11:17" x14ac:dyDescent="0.3">
      <c r="K9256">
        <v>2022</v>
      </c>
      <c r="L9256" t="s">
        <v>36</v>
      </c>
      <c r="M9256" t="s">
        <v>163</v>
      </c>
      <c r="N9256" t="s">
        <v>18</v>
      </c>
      <c r="O9256" t="s">
        <v>189</v>
      </c>
      <c r="P9256" s="1" t="s">
        <v>33</v>
      </c>
      <c r="Q9256">
        <v>152.6</v>
      </c>
    </row>
    <row r="9257" spans="11:17" x14ac:dyDescent="0.3">
      <c r="K9257">
        <v>2022</v>
      </c>
      <c r="L9257" t="s">
        <v>36</v>
      </c>
      <c r="M9257" t="s">
        <v>163</v>
      </c>
      <c r="N9257" t="s">
        <v>8</v>
      </c>
      <c r="O9257" t="s">
        <v>188</v>
      </c>
      <c r="P9257" s="1" t="s">
        <v>30</v>
      </c>
      <c r="Q9257">
        <v>155.9</v>
      </c>
    </row>
    <row r="9258" spans="11:17" x14ac:dyDescent="0.3">
      <c r="K9258">
        <v>2022</v>
      </c>
      <c r="L9258" t="s">
        <v>36</v>
      </c>
      <c r="M9258" t="s">
        <v>163</v>
      </c>
      <c r="N9258" t="s">
        <v>8</v>
      </c>
      <c r="O9258" t="s">
        <v>188</v>
      </c>
      <c r="P9258" s="1" t="s">
        <v>34</v>
      </c>
      <c r="Q9258">
        <v>157.6</v>
      </c>
    </row>
    <row r="9259" spans="11:17" x14ac:dyDescent="0.3">
      <c r="K9259">
        <v>2022</v>
      </c>
      <c r="L9259" t="s">
        <v>36</v>
      </c>
      <c r="M9259" t="s">
        <v>163</v>
      </c>
      <c r="N9259" t="s">
        <v>8</v>
      </c>
      <c r="O9259" t="s">
        <v>188</v>
      </c>
      <c r="P9259" s="1" t="s">
        <v>33</v>
      </c>
      <c r="Q9259">
        <v>159.6</v>
      </c>
    </row>
    <row r="9260" spans="11:17" x14ac:dyDescent="0.3">
      <c r="K9260">
        <v>2022</v>
      </c>
      <c r="L9260" t="s">
        <v>36</v>
      </c>
      <c r="M9260" t="s">
        <v>163</v>
      </c>
      <c r="N9260" t="s">
        <v>21</v>
      </c>
      <c r="O9260" t="s">
        <v>190</v>
      </c>
      <c r="P9260" s="1" t="s">
        <v>30</v>
      </c>
      <c r="Q9260">
        <v>168.9</v>
      </c>
    </row>
    <row r="9261" spans="11:17" x14ac:dyDescent="0.3">
      <c r="K9261">
        <v>2022</v>
      </c>
      <c r="L9261" t="s">
        <v>36</v>
      </c>
      <c r="M9261" t="s">
        <v>163</v>
      </c>
      <c r="N9261" t="s">
        <v>21</v>
      </c>
      <c r="O9261" t="s">
        <v>190</v>
      </c>
      <c r="P9261" s="1" t="s">
        <v>34</v>
      </c>
      <c r="Q9261">
        <v>167.2</v>
      </c>
    </row>
    <row r="9262" spans="11:17" x14ac:dyDescent="0.3">
      <c r="K9262">
        <v>2022</v>
      </c>
      <c r="L9262" t="s">
        <v>36</v>
      </c>
      <c r="M9262" t="s">
        <v>163</v>
      </c>
      <c r="N9262" t="s">
        <v>21</v>
      </c>
      <c r="O9262" t="s">
        <v>190</v>
      </c>
      <c r="P9262" s="1" t="s">
        <v>33</v>
      </c>
      <c r="Q9262">
        <v>164.5</v>
      </c>
    </row>
    <row r="9263" spans="11:17" x14ac:dyDescent="0.3">
      <c r="K9263">
        <v>2022</v>
      </c>
      <c r="L9263" t="s">
        <v>36</v>
      </c>
      <c r="M9263" t="s">
        <v>163</v>
      </c>
      <c r="N9263" t="s">
        <v>29</v>
      </c>
      <c r="O9263" t="s">
        <v>206</v>
      </c>
      <c r="P9263" s="1" t="s">
        <v>30</v>
      </c>
      <c r="Q9263">
        <v>168.7</v>
      </c>
    </row>
    <row r="9264" spans="11:17" x14ac:dyDescent="0.3">
      <c r="K9264">
        <v>2022</v>
      </c>
      <c r="L9264" t="s">
        <v>36</v>
      </c>
      <c r="M9264" t="s">
        <v>163</v>
      </c>
      <c r="N9264" t="s">
        <v>29</v>
      </c>
      <c r="O9264" t="s">
        <v>206</v>
      </c>
      <c r="P9264" s="1" t="s">
        <v>34</v>
      </c>
      <c r="Q9264">
        <v>167.7</v>
      </c>
    </row>
    <row r="9265" spans="11:17" x14ac:dyDescent="0.3">
      <c r="K9265">
        <v>2022</v>
      </c>
      <c r="L9265" t="s">
        <v>36</v>
      </c>
      <c r="M9265" t="s">
        <v>163</v>
      </c>
      <c r="N9265" t="s">
        <v>29</v>
      </c>
      <c r="O9265" t="s">
        <v>206</v>
      </c>
      <c r="P9265" s="1" t="s">
        <v>33</v>
      </c>
      <c r="Q9265">
        <v>166.5</v>
      </c>
    </row>
    <row r="9266" spans="11:17" x14ac:dyDescent="0.3">
      <c r="K9266">
        <v>2022</v>
      </c>
      <c r="L9266" t="s">
        <v>36</v>
      </c>
      <c r="M9266" t="s">
        <v>163</v>
      </c>
      <c r="N9266" t="s">
        <v>23</v>
      </c>
      <c r="O9266" t="s">
        <v>23</v>
      </c>
      <c r="P9266" s="1" t="s">
        <v>30</v>
      </c>
      <c r="Q9266">
        <v>176</v>
      </c>
    </row>
    <row r="9267" spans="11:17" x14ac:dyDescent="0.3">
      <c r="K9267">
        <v>2022</v>
      </c>
      <c r="L9267" t="s">
        <v>36</v>
      </c>
      <c r="M9267" t="s">
        <v>163</v>
      </c>
      <c r="N9267" t="s">
        <v>23</v>
      </c>
      <c r="O9267" t="s">
        <v>23</v>
      </c>
      <c r="P9267" s="1" t="s">
        <v>34</v>
      </c>
      <c r="Q9267">
        <v>173</v>
      </c>
    </row>
    <row r="9268" spans="11:17" x14ac:dyDescent="0.3">
      <c r="K9268">
        <v>2022</v>
      </c>
      <c r="L9268" t="s">
        <v>36</v>
      </c>
      <c r="M9268" t="s">
        <v>163</v>
      </c>
      <c r="N9268" t="s">
        <v>23</v>
      </c>
      <c r="O9268" t="s">
        <v>23</v>
      </c>
      <c r="P9268" s="1" t="s">
        <v>33</v>
      </c>
      <c r="Q9268">
        <v>168.2</v>
      </c>
    </row>
    <row r="9269" spans="11:17" x14ac:dyDescent="0.3">
      <c r="K9269">
        <v>2022</v>
      </c>
      <c r="L9269" t="s">
        <v>36</v>
      </c>
      <c r="M9269" t="s">
        <v>163</v>
      </c>
      <c r="N9269" t="s">
        <v>22</v>
      </c>
      <c r="O9269" t="s">
        <v>20</v>
      </c>
      <c r="P9269" s="1" t="s">
        <v>30</v>
      </c>
      <c r="Q9269">
        <v>166.5</v>
      </c>
    </row>
    <row r="9270" spans="11:17" x14ac:dyDescent="0.3">
      <c r="K9270">
        <v>2022</v>
      </c>
      <c r="L9270" t="s">
        <v>36</v>
      </c>
      <c r="M9270" t="s">
        <v>163</v>
      </c>
      <c r="N9270" t="s">
        <v>22</v>
      </c>
      <c r="O9270" t="s">
        <v>20</v>
      </c>
      <c r="P9270" s="1" t="s">
        <v>34</v>
      </c>
      <c r="Q9270">
        <v>162.80000000000001</v>
      </c>
    </row>
    <row r="9271" spans="11:17" x14ac:dyDescent="0.3">
      <c r="K9271">
        <v>2022</v>
      </c>
      <c r="L9271" t="s">
        <v>36</v>
      </c>
      <c r="M9271" t="s">
        <v>163</v>
      </c>
      <c r="N9271" t="s">
        <v>22</v>
      </c>
      <c r="O9271" t="s">
        <v>20</v>
      </c>
      <c r="P9271" s="1" t="s">
        <v>33</v>
      </c>
      <c r="Q9271">
        <v>158.6</v>
      </c>
    </row>
    <row r="9272" spans="11:17" x14ac:dyDescent="0.3">
      <c r="K9272">
        <v>2022</v>
      </c>
      <c r="L9272" t="s">
        <v>36</v>
      </c>
      <c r="M9272" t="s">
        <v>163</v>
      </c>
      <c r="N9272" t="s">
        <v>20</v>
      </c>
      <c r="O9272" t="s">
        <v>20</v>
      </c>
      <c r="P9272" s="1" t="s">
        <v>30</v>
      </c>
      <c r="Q9272">
        <v>0</v>
      </c>
    </row>
    <row r="9273" spans="11:17" x14ac:dyDescent="0.3">
      <c r="K9273">
        <v>2022</v>
      </c>
      <c r="L9273" t="s">
        <v>36</v>
      </c>
      <c r="M9273" t="s">
        <v>163</v>
      </c>
      <c r="N9273" t="s">
        <v>20</v>
      </c>
      <c r="O9273" t="s">
        <v>20</v>
      </c>
      <c r="P9273" s="1" t="s">
        <v>34</v>
      </c>
      <c r="Q9273">
        <v>165.3</v>
      </c>
    </row>
    <row r="9274" spans="11:17" x14ac:dyDescent="0.3">
      <c r="K9274">
        <v>2022</v>
      </c>
      <c r="L9274" t="s">
        <v>36</v>
      </c>
      <c r="M9274" t="s">
        <v>163</v>
      </c>
      <c r="N9274" t="s">
        <v>20</v>
      </c>
      <c r="O9274" t="s">
        <v>20</v>
      </c>
      <c r="P9274" s="1" t="s">
        <v>33</v>
      </c>
      <c r="Q9274">
        <v>165.3</v>
      </c>
    </row>
    <row r="9275" spans="11:17" x14ac:dyDescent="0.3">
      <c r="K9275">
        <v>2022</v>
      </c>
      <c r="L9275" t="s">
        <v>36</v>
      </c>
      <c r="M9275" t="s">
        <v>163</v>
      </c>
      <c r="N9275" t="s">
        <v>4</v>
      </c>
      <c r="O9275" t="s">
        <v>188</v>
      </c>
      <c r="P9275" s="1" t="s">
        <v>30</v>
      </c>
      <c r="Q9275">
        <v>208</v>
      </c>
    </row>
    <row r="9276" spans="11:17" x14ac:dyDescent="0.3">
      <c r="K9276">
        <v>2022</v>
      </c>
      <c r="L9276" t="s">
        <v>36</v>
      </c>
      <c r="M9276" t="s">
        <v>163</v>
      </c>
      <c r="N9276" t="s">
        <v>4</v>
      </c>
      <c r="O9276" t="s">
        <v>188</v>
      </c>
      <c r="P9276" s="1" t="s">
        <v>34</v>
      </c>
      <c r="Q9276">
        <v>210.7</v>
      </c>
    </row>
    <row r="9277" spans="11:17" x14ac:dyDescent="0.3">
      <c r="K9277">
        <v>2022</v>
      </c>
      <c r="L9277" t="s">
        <v>36</v>
      </c>
      <c r="M9277" t="s">
        <v>163</v>
      </c>
      <c r="N9277" t="s">
        <v>4</v>
      </c>
      <c r="O9277" t="s">
        <v>188</v>
      </c>
      <c r="P9277" s="1" t="s">
        <v>33</v>
      </c>
      <c r="Q9277">
        <v>215.8</v>
      </c>
    </row>
    <row r="9278" spans="11:17" x14ac:dyDescent="0.3">
      <c r="K9278">
        <v>2022</v>
      </c>
      <c r="L9278" t="s">
        <v>36</v>
      </c>
      <c r="M9278" t="s">
        <v>163</v>
      </c>
      <c r="N9278" t="s">
        <v>6</v>
      </c>
      <c r="O9278" t="s">
        <v>188</v>
      </c>
      <c r="P9278" s="1" t="s">
        <v>30</v>
      </c>
      <c r="Q9278">
        <v>162</v>
      </c>
    </row>
    <row r="9279" spans="11:17" x14ac:dyDescent="0.3">
      <c r="K9279">
        <v>2022</v>
      </c>
      <c r="L9279" t="s">
        <v>36</v>
      </c>
      <c r="M9279" t="s">
        <v>163</v>
      </c>
      <c r="N9279" t="s">
        <v>6</v>
      </c>
      <c r="O9279" t="s">
        <v>188</v>
      </c>
      <c r="P9279" s="1" t="s">
        <v>34</v>
      </c>
      <c r="Q9279">
        <v>162.19999999999999</v>
      </c>
    </row>
    <row r="9280" spans="11:17" x14ac:dyDescent="0.3">
      <c r="K9280">
        <v>2022</v>
      </c>
      <c r="L9280" t="s">
        <v>36</v>
      </c>
      <c r="M9280" t="s">
        <v>163</v>
      </c>
      <c r="N9280" t="s">
        <v>6</v>
      </c>
      <c r="O9280" t="s">
        <v>188</v>
      </c>
      <c r="P9280" s="1" t="s">
        <v>33</v>
      </c>
      <c r="Q9280">
        <v>162.6</v>
      </c>
    </row>
    <row r="9281" spans="11:17" x14ac:dyDescent="0.3">
      <c r="K9281">
        <v>2022</v>
      </c>
      <c r="L9281" t="s">
        <v>36</v>
      </c>
      <c r="M9281" t="s">
        <v>163</v>
      </c>
      <c r="N9281" t="s">
        <v>28</v>
      </c>
      <c r="O9281" t="s">
        <v>192</v>
      </c>
      <c r="P9281" s="1" t="s">
        <v>30</v>
      </c>
      <c r="Q9281">
        <v>168.3</v>
      </c>
    </row>
    <row r="9282" spans="11:17" x14ac:dyDescent="0.3">
      <c r="K9282">
        <v>2022</v>
      </c>
      <c r="L9282" t="s">
        <v>36</v>
      </c>
      <c r="M9282" t="s">
        <v>163</v>
      </c>
      <c r="N9282" t="s">
        <v>28</v>
      </c>
      <c r="O9282" t="s">
        <v>192</v>
      </c>
      <c r="P9282" s="1" t="s">
        <v>34</v>
      </c>
      <c r="Q9282">
        <v>164.6</v>
      </c>
    </row>
    <row r="9283" spans="11:17" x14ac:dyDescent="0.3">
      <c r="K9283">
        <v>2022</v>
      </c>
      <c r="L9283" t="s">
        <v>36</v>
      </c>
      <c r="M9283" t="s">
        <v>163</v>
      </c>
      <c r="N9283" t="s">
        <v>28</v>
      </c>
      <c r="O9283" t="s">
        <v>192</v>
      </c>
      <c r="P9283" s="1" t="s">
        <v>33</v>
      </c>
      <c r="Q9283">
        <v>160.6</v>
      </c>
    </row>
    <row r="9284" spans="11:17" x14ac:dyDescent="0.3">
      <c r="K9284">
        <v>2022</v>
      </c>
      <c r="L9284" t="s">
        <v>36</v>
      </c>
      <c r="M9284" t="s">
        <v>163</v>
      </c>
      <c r="N9284" t="s">
        <v>13</v>
      </c>
      <c r="O9284" t="s">
        <v>188</v>
      </c>
      <c r="P9284" s="1" t="s">
        <v>30</v>
      </c>
      <c r="Q9284">
        <v>171.2</v>
      </c>
    </row>
    <row r="9285" spans="11:17" x14ac:dyDescent="0.3">
      <c r="K9285">
        <v>2022</v>
      </c>
      <c r="L9285" t="s">
        <v>36</v>
      </c>
      <c r="M9285" t="s">
        <v>163</v>
      </c>
      <c r="N9285" t="s">
        <v>13</v>
      </c>
      <c r="O9285" t="s">
        <v>188</v>
      </c>
      <c r="P9285" s="1" t="s">
        <v>34</v>
      </c>
      <c r="Q9285">
        <v>165.3</v>
      </c>
    </row>
    <row r="9286" spans="11:17" x14ac:dyDescent="0.3">
      <c r="K9286">
        <v>2022</v>
      </c>
      <c r="L9286" t="s">
        <v>36</v>
      </c>
      <c r="M9286" t="s">
        <v>163</v>
      </c>
      <c r="N9286" t="s">
        <v>13</v>
      </c>
      <c r="O9286" t="s">
        <v>188</v>
      </c>
      <c r="P9286" s="1" t="s">
        <v>33</v>
      </c>
      <c r="Q9286">
        <v>157.1</v>
      </c>
    </row>
    <row r="9287" spans="11:17" x14ac:dyDescent="0.3">
      <c r="K9287">
        <v>2022</v>
      </c>
      <c r="L9287" t="s">
        <v>36</v>
      </c>
      <c r="M9287" t="s">
        <v>163</v>
      </c>
      <c r="N9287" t="s">
        <v>7</v>
      </c>
      <c r="O9287" t="s">
        <v>188</v>
      </c>
      <c r="P9287" s="1" t="s">
        <v>30</v>
      </c>
      <c r="Q9287">
        <v>203.1</v>
      </c>
    </row>
    <row r="9288" spans="11:17" x14ac:dyDescent="0.3">
      <c r="K9288">
        <v>2022</v>
      </c>
      <c r="L9288" t="s">
        <v>36</v>
      </c>
      <c r="M9288" t="s">
        <v>163</v>
      </c>
      <c r="N9288" t="s">
        <v>7</v>
      </c>
      <c r="O9288" t="s">
        <v>188</v>
      </c>
      <c r="P9288" s="1" t="s">
        <v>34</v>
      </c>
      <c r="Q9288">
        <v>194.6</v>
      </c>
    </row>
    <row r="9289" spans="11:17" x14ac:dyDescent="0.3">
      <c r="K9289">
        <v>2022</v>
      </c>
      <c r="L9289" t="s">
        <v>36</v>
      </c>
      <c r="M9289" t="s">
        <v>163</v>
      </c>
      <c r="N9289" t="s">
        <v>7</v>
      </c>
      <c r="O9289" t="s">
        <v>188</v>
      </c>
      <c r="P9289" s="1" t="s">
        <v>33</v>
      </c>
      <c r="Q9289">
        <v>180</v>
      </c>
    </row>
    <row r="9290" spans="11:17" x14ac:dyDescent="0.3">
      <c r="K9290">
        <v>2022</v>
      </c>
      <c r="L9290" t="s">
        <v>36</v>
      </c>
      <c r="M9290" t="s">
        <v>163</v>
      </c>
      <c r="N9290" t="s">
        <v>16</v>
      </c>
      <c r="O9290" t="s">
        <v>192</v>
      </c>
      <c r="P9290" s="1" t="s">
        <v>30</v>
      </c>
      <c r="Q9290">
        <v>192.3</v>
      </c>
    </row>
    <row r="9291" spans="11:17" x14ac:dyDescent="0.3">
      <c r="K9291">
        <v>2022</v>
      </c>
      <c r="L9291" t="s">
        <v>36</v>
      </c>
      <c r="M9291" t="s">
        <v>163</v>
      </c>
      <c r="N9291" t="s">
        <v>16</v>
      </c>
      <c r="O9291" t="s">
        <v>192</v>
      </c>
      <c r="P9291" s="1" t="s">
        <v>34</v>
      </c>
      <c r="Q9291">
        <v>193.7</v>
      </c>
    </row>
    <row r="9292" spans="11:17" x14ac:dyDescent="0.3">
      <c r="K9292">
        <v>2022</v>
      </c>
      <c r="L9292" t="s">
        <v>36</v>
      </c>
      <c r="M9292" t="s">
        <v>163</v>
      </c>
      <c r="N9292" t="s">
        <v>16</v>
      </c>
      <c r="O9292" t="s">
        <v>192</v>
      </c>
      <c r="P9292" s="1" t="s">
        <v>33</v>
      </c>
      <c r="Q9292">
        <v>197.5</v>
      </c>
    </row>
    <row r="9293" spans="11:17" x14ac:dyDescent="0.3">
      <c r="K9293">
        <v>2022</v>
      </c>
      <c r="L9293" t="s">
        <v>36</v>
      </c>
      <c r="M9293" t="s">
        <v>163</v>
      </c>
      <c r="N9293" t="s">
        <v>27</v>
      </c>
      <c r="O9293" t="s">
        <v>192</v>
      </c>
      <c r="P9293" s="1" t="s">
        <v>30</v>
      </c>
      <c r="Q9293">
        <v>167.4</v>
      </c>
    </row>
    <row r="9294" spans="11:17" x14ac:dyDescent="0.3">
      <c r="K9294">
        <v>2022</v>
      </c>
      <c r="L9294" t="s">
        <v>36</v>
      </c>
      <c r="M9294" t="s">
        <v>163</v>
      </c>
      <c r="N9294" t="s">
        <v>27</v>
      </c>
      <c r="O9294" t="s">
        <v>192</v>
      </c>
      <c r="P9294" s="1" t="s">
        <v>34</v>
      </c>
      <c r="Q9294">
        <v>167.2</v>
      </c>
    </row>
    <row r="9295" spans="11:17" x14ac:dyDescent="0.3">
      <c r="K9295">
        <v>2022</v>
      </c>
      <c r="L9295" t="s">
        <v>36</v>
      </c>
      <c r="M9295" t="s">
        <v>163</v>
      </c>
      <c r="N9295" t="s">
        <v>27</v>
      </c>
      <c r="O9295" t="s">
        <v>192</v>
      </c>
      <c r="P9295" s="1" t="s">
        <v>33</v>
      </c>
      <c r="Q9295">
        <v>166.8</v>
      </c>
    </row>
    <row r="9296" spans="11:17" x14ac:dyDescent="0.3">
      <c r="K9296">
        <v>2022</v>
      </c>
      <c r="L9296" t="s">
        <v>36</v>
      </c>
      <c r="M9296" t="s">
        <v>163</v>
      </c>
      <c r="N9296" t="s">
        <v>14</v>
      </c>
      <c r="O9296" t="s">
        <v>188</v>
      </c>
      <c r="P9296" s="1" t="s">
        <v>30</v>
      </c>
      <c r="Q9296">
        <v>177.4</v>
      </c>
    </row>
    <row r="9297" spans="11:17" x14ac:dyDescent="0.3">
      <c r="K9297">
        <v>2022</v>
      </c>
      <c r="L9297" t="s">
        <v>36</v>
      </c>
      <c r="M9297" t="s">
        <v>163</v>
      </c>
      <c r="N9297" t="s">
        <v>14</v>
      </c>
      <c r="O9297" t="s">
        <v>188</v>
      </c>
      <c r="P9297" s="1" t="s">
        <v>34</v>
      </c>
      <c r="Q9297">
        <v>179.3</v>
      </c>
    </row>
    <row r="9298" spans="11:17" x14ac:dyDescent="0.3">
      <c r="K9298">
        <v>2022</v>
      </c>
      <c r="L9298" t="s">
        <v>36</v>
      </c>
      <c r="M9298" t="s">
        <v>163</v>
      </c>
      <c r="N9298" t="s">
        <v>14</v>
      </c>
      <c r="O9298" t="s">
        <v>188</v>
      </c>
      <c r="P9298" s="1" t="s">
        <v>33</v>
      </c>
      <c r="Q9298">
        <v>181.5</v>
      </c>
    </row>
    <row r="9299" spans="11:17" x14ac:dyDescent="0.3">
      <c r="K9299">
        <v>2022</v>
      </c>
      <c r="L9299" t="s">
        <v>36</v>
      </c>
      <c r="M9299" t="s">
        <v>163</v>
      </c>
      <c r="N9299" t="s">
        <v>10</v>
      </c>
      <c r="O9299" t="s">
        <v>188</v>
      </c>
      <c r="P9299" s="1" t="s">
        <v>30</v>
      </c>
      <c r="Q9299">
        <v>164.2</v>
      </c>
    </row>
    <row r="9300" spans="11:17" x14ac:dyDescent="0.3">
      <c r="K9300">
        <v>2022</v>
      </c>
      <c r="L9300" t="s">
        <v>36</v>
      </c>
      <c r="M9300" t="s">
        <v>163</v>
      </c>
      <c r="N9300" t="s">
        <v>10</v>
      </c>
      <c r="O9300" t="s">
        <v>188</v>
      </c>
      <c r="P9300" s="1" t="s">
        <v>34</v>
      </c>
      <c r="Q9300">
        <v>163.9</v>
      </c>
    </row>
    <row r="9301" spans="11:17" x14ac:dyDescent="0.3">
      <c r="K9301">
        <v>2022</v>
      </c>
      <c r="L9301" t="s">
        <v>36</v>
      </c>
      <c r="M9301" t="s">
        <v>163</v>
      </c>
      <c r="N9301" t="s">
        <v>10</v>
      </c>
      <c r="O9301" t="s">
        <v>188</v>
      </c>
      <c r="P9301" s="1" t="s">
        <v>33</v>
      </c>
      <c r="Q9301">
        <v>163.4</v>
      </c>
    </row>
    <row r="9302" spans="11:17" x14ac:dyDescent="0.3">
      <c r="K9302">
        <v>2022</v>
      </c>
      <c r="L9302" t="s">
        <v>36</v>
      </c>
      <c r="M9302" t="s">
        <v>163</v>
      </c>
      <c r="N9302" t="s">
        <v>25</v>
      </c>
      <c r="O9302" t="s">
        <v>195</v>
      </c>
      <c r="P9302" s="1" t="s">
        <v>30</v>
      </c>
      <c r="Q9302">
        <v>166.6</v>
      </c>
    </row>
    <row r="9303" spans="11:17" x14ac:dyDescent="0.3">
      <c r="K9303">
        <v>2022</v>
      </c>
      <c r="L9303" t="s">
        <v>36</v>
      </c>
      <c r="M9303" t="s">
        <v>163</v>
      </c>
      <c r="N9303" t="s">
        <v>25</v>
      </c>
      <c r="O9303" t="s">
        <v>195</v>
      </c>
      <c r="P9303" s="1" t="s">
        <v>34</v>
      </c>
      <c r="Q9303">
        <v>163.30000000000001</v>
      </c>
    </row>
    <row r="9304" spans="11:17" x14ac:dyDescent="0.3">
      <c r="K9304">
        <v>2022</v>
      </c>
      <c r="L9304" t="s">
        <v>36</v>
      </c>
      <c r="M9304" t="s">
        <v>163</v>
      </c>
      <c r="N9304" t="s">
        <v>25</v>
      </c>
      <c r="O9304" t="s">
        <v>195</v>
      </c>
      <c r="P9304" s="1" t="s">
        <v>33</v>
      </c>
      <c r="Q9304">
        <v>160.80000000000001</v>
      </c>
    </row>
    <row r="9305" spans="11:17" x14ac:dyDescent="0.3">
      <c r="K9305">
        <v>2022</v>
      </c>
      <c r="L9305" t="s">
        <v>36</v>
      </c>
      <c r="M9305" t="s">
        <v>163</v>
      </c>
      <c r="N9305" t="s">
        <v>12</v>
      </c>
      <c r="O9305" t="s">
        <v>188</v>
      </c>
      <c r="P9305" s="1" t="s">
        <v>30</v>
      </c>
      <c r="Q9305">
        <v>178.7</v>
      </c>
    </row>
    <row r="9306" spans="11:17" x14ac:dyDescent="0.3">
      <c r="K9306">
        <v>2022</v>
      </c>
      <c r="L9306" t="s">
        <v>36</v>
      </c>
      <c r="M9306" t="s">
        <v>163</v>
      </c>
      <c r="N9306" t="s">
        <v>12</v>
      </c>
      <c r="O9306" t="s">
        <v>188</v>
      </c>
      <c r="P9306" s="1" t="s">
        <v>34</v>
      </c>
      <c r="Q9306">
        <v>177.4</v>
      </c>
    </row>
    <row r="9307" spans="11:17" x14ac:dyDescent="0.3">
      <c r="K9307">
        <v>2022</v>
      </c>
      <c r="L9307" t="s">
        <v>36</v>
      </c>
      <c r="M9307" t="s">
        <v>163</v>
      </c>
      <c r="N9307" t="s">
        <v>12</v>
      </c>
      <c r="O9307" t="s">
        <v>188</v>
      </c>
      <c r="P9307" s="1" t="s">
        <v>33</v>
      </c>
      <c r="Q9307">
        <v>174.7</v>
      </c>
    </row>
    <row r="9308" spans="11:17" x14ac:dyDescent="0.3">
      <c r="K9308">
        <v>2022</v>
      </c>
      <c r="L9308" t="s">
        <v>36</v>
      </c>
      <c r="M9308" t="s">
        <v>163</v>
      </c>
      <c r="N9308" t="s">
        <v>11</v>
      </c>
      <c r="O9308" t="s">
        <v>188</v>
      </c>
      <c r="P9308" s="1" t="s">
        <v>30</v>
      </c>
      <c r="Q9308">
        <v>118.1</v>
      </c>
    </row>
    <row r="9309" spans="11:17" x14ac:dyDescent="0.3">
      <c r="K9309">
        <v>2022</v>
      </c>
      <c r="L9309" t="s">
        <v>36</v>
      </c>
      <c r="M9309" t="s">
        <v>163</v>
      </c>
      <c r="N9309" t="s">
        <v>11</v>
      </c>
      <c r="O9309" t="s">
        <v>188</v>
      </c>
      <c r="P9309" s="1" t="s">
        <v>34</v>
      </c>
      <c r="Q9309">
        <v>118.8</v>
      </c>
    </row>
    <row r="9310" spans="11:17" x14ac:dyDescent="0.3">
      <c r="K9310">
        <v>2022</v>
      </c>
      <c r="L9310" t="s">
        <v>36</v>
      </c>
      <c r="M9310" t="s">
        <v>163</v>
      </c>
      <c r="N9310" t="s">
        <v>11</v>
      </c>
      <c r="O9310" t="s">
        <v>188</v>
      </c>
      <c r="P9310" s="1" t="s">
        <v>33</v>
      </c>
      <c r="Q9310">
        <v>120.3</v>
      </c>
    </row>
    <row r="9311" spans="11:17" x14ac:dyDescent="0.3">
      <c r="K9311">
        <v>2022</v>
      </c>
      <c r="L9311" t="s">
        <v>36</v>
      </c>
      <c r="M9311" t="s">
        <v>163</v>
      </c>
      <c r="N9311" t="s">
        <v>24</v>
      </c>
      <c r="O9311" t="s">
        <v>191</v>
      </c>
      <c r="P9311" s="1" t="s">
        <v>30</v>
      </c>
      <c r="Q9311">
        <v>162</v>
      </c>
    </row>
    <row r="9312" spans="11:17" x14ac:dyDescent="0.3">
      <c r="K9312">
        <v>2022</v>
      </c>
      <c r="L9312" t="s">
        <v>36</v>
      </c>
      <c r="M9312" t="s">
        <v>163</v>
      </c>
      <c r="N9312" t="s">
        <v>24</v>
      </c>
      <c r="O9312" t="s">
        <v>191</v>
      </c>
      <c r="P9312" s="1" t="s">
        <v>34</v>
      </c>
      <c r="Q9312">
        <v>157.9</v>
      </c>
    </row>
    <row r="9313" spans="11:17" x14ac:dyDescent="0.3">
      <c r="K9313">
        <v>2022</v>
      </c>
      <c r="L9313" t="s">
        <v>36</v>
      </c>
      <c r="M9313" t="s">
        <v>163</v>
      </c>
      <c r="N9313" t="s">
        <v>24</v>
      </c>
      <c r="O9313" t="s">
        <v>191</v>
      </c>
      <c r="P9313" s="1" t="s">
        <v>33</v>
      </c>
      <c r="Q9313">
        <v>154.19999999999999</v>
      </c>
    </row>
    <row r="9314" spans="11:17" x14ac:dyDescent="0.3">
      <c r="K9314">
        <v>2022</v>
      </c>
      <c r="L9314" t="s">
        <v>36</v>
      </c>
      <c r="M9314" t="s">
        <v>163</v>
      </c>
      <c r="N9314" t="s">
        <v>9</v>
      </c>
      <c r="O9314" t="s">
        <v>188</v>
      </c>
      <c r="P9314" s="1" t="s">
        <v>30</v>
      </c>
      <c r="Q9314">
        <v>155.80000000000001</v>
      </c>
    </row>
    <row r="9315" spans="11:17" x14ac:dyDescent="0.3">
      <c r="K9315">
        <v>2022</v>
      </c>
      <c r="L9315" t="s">
        <v>36</v>
      </c>
      <c r="M9315" t="s">
        <v>163</v>
      </c>
      <c r="N9315" t="s">
        <v>9</v>
      </c>
      <c r="O9315" t="s">
        <v>188</v>
      </c>
      <c r="P9315" s="1" t="s">
        <v>34</v>
      </c>
      <c r="Q9315">
        <v>166.9</v>
      </c>
    </row>
    <row r="9316" spans="11:17" x14ac:dyDescent="0.3">
      <c r="K9316">
        <v>2022</v>
      </c>
      <c r="L9316" t="s">
        <v>36</v>
      </c>
      <c r="M9316" t="s">
        <v>163</v>
      </c>
      <c r="N9316" t="s">
        <v>9</v>
      </c>
      <c r="O9316" t="s">
        <v>188</v>
      </c>
      <c r="P9316" s="1" t="s">
        <v>33</v>
      </c>
      <c r="Q9316">
        <v>188.4</v>
      </c>
    </row>
    <row r="9317" spans="11:17" x14ac:dyDescent="0.3">
      <c r="K9317">
        <v>2022</v>
      </c>
      <c r="L9317" t="s">
        <v>38</v>
      </c>
      <c r="M9317" t="s">
        <v>164</v>
      </c>
      <c r="N9317" t="s">
        <v>3</v>
      </c>
      <c r="O9317" t="s">
        <v>188</v>
      </c>
      <c r="P9317" s="1" t="s">
        <v>30</v>
      </c>
      <c r="Q9317">
        <v>152.9</v>
      </c>
    </row>
    <row r="9318" spans="11:17" x14ac:dyDescent="0.3">
      <c r="K9318">
        <v>2022</v>
      </c>
      <c r="L9318" t="s">
        <v>38</v>
      </c>
      <c r="M9318" t="s">
        <v>164</v>
      </c>
      <c r="N9318" t="s">
        <v>3</v>
      </c>
      <c r="O9318" t="s">
        <v>188</v>
      </c>
      <c r="P9318" s="1" t="s">
        <v>34</v>
      </c>
      <c r="Q9318">
        <v>154.1</v>
      </c>
    </row>
    <row r="9319" spans="11:17" x14ac:dyDescent="0.3">
      <c r="K9319">
        <v>2022</v>
      </c>
      <c r="L9319" t="s">
        <v>38</v>
      </c>
      <c r="M9319" t="s">
        <v>164</v>
      </c>
      <c r="N9319" t="s">
        <v>3</v>
      </c>
      <c r="O9319" t="s">
        <v>188</v>
      </c>
      <c r="P9319" s="1" t="s">
        <v>33</v>
      </c>
      <c r="Q9319">
        <v>156.69999999999999</v>
      </c>
    </row>
    <row r="9320" spans="11:17" x14ac:dyDescent="0.3">
      <c r="K9320">
        <v>2022</v>
      </c>
      <c r="L9320" t="s">
        <v>38</v>
      </c>
      <c r="M9320" t="s">
        <v>164</v>
      </c>
      <c r="N9320" t="s">
        <v>17</v>
      </c>
      <c r="O9320" t="s">
        <v>189</v>
      </c>
      <c r="P9320" s="1" t="s">
        <v>30</v>
      </c>
      <c r="Q9320">
        <v>179.3</v>
      </c>
    </row>
    <row r="9321" spans="11:17" x14ac:dyDescent="0.3">
      <c r="K9321">
        <v>2022</v>
      </c>
      <c r="L9321" t="s">
        <v>38</v>
      </c>
      <c r="M9321" t="s">
        <v>164</v>
      </c>
      <c r="N9321" t="s">
        <v>17</v>
      </c>
      <c r="O9321" t="s">
        <v>189</v>
      </c>
      <c r="P9321" s="1" t="s">
        <v>34</v>
      </c>
      <c r="Q9321">
        <v>175.6</v>
      </c>
    </row>
    <row r="9322" spans="11:17" x14ac:dyDescent="0.3">
      <c r="K9322">
        <v>2022</v>
      </c>
      <c r="L9322" t="s">
        <v>38</v>
      </c>
      <c r="M9322" t="s">
        <v>164</v>
      </c>
      <c r="N9322" t="s">
        <v>17</v>
      </c>
      <c r="O9322" t="s">
        <v>189</v>
      </c>
      <c r="P9322" s="1" t="s">
        <v>33</v>
      </c>
      <c r="Q9322">
        <v>170</v>
      </c>
    </row>
    <row r="9323" spans="11:17" x14ac:dyDescent="0.3">
      <c r="K9323">
        <v>2022</v>
      </c>
      <c r="L9323" t="s">
        <v>38</v>
      </c>
      <c r="M9323" t="s">
        <v>164</v>
      </c>
      <c r="N9323" t="s">
        <v>19</v>
      </c>
      <c r="O9323" t="s">
        <v>189</v>
      </c>
      <c r="P9323" s="1" t="s">
        <v>30</v>
      </c>
      <c r="Q9323">
        <v>179</v>
      </c>
    </row>
    <row r="9324" spans="11:17" x14ac:dyDescent="0.3">
      <c r="K9324">
        <v>2022</v>
      </c>
      <c r="L9324" t="s">
        <v>38</v>
      </c>
      <c r="M9324" t="s">
        <v>164</v>
      </c>
      <c r="N9324" t="s">
        <v>19</v>
      </c>
      <c r="O9324" t="s">
        <v>189</v>
      </c>
      <c r="P9324" s="1" t="s">
        <v>34</v>
      </c>
      <c r="Q9324">
        <v>174.6</v>
      </c>
    </row>
    <row r="9325" spans="11:17" x14ac:dyDescent="0.3">
      <c r="K9325">
        <v>2022</v>
      </c>
      <c r="L9325" t="s">
        <v>38</v>
      </c>
      <c r="M9325" t="s">
        <v>164</v>
      </c>
      <c r="N9325" t="s">
        <v>19</v>
      </c>
      <c r="O9325" t="s">
        <v>189</v>
      </c>
      <c r="P9325" s="1" t="s">
        <v>33</v>
      </c>
      <c r="Q9325">
        <v>167.8</v>
      </c>
    </row>
    <row r="9326" spans="11:17" x14ac:dyDescent="0.3">
      <c r="K9326">
        <v>2022</v>
      </c>
      <c r="L9326" t="s">
        <v>38</v>
      </c>
      <c r="M9326" t="s">
        <v>164</v>
      </c>
      <c r="N9326" t="s">
        <v>26</v>
      </c>
      <c r="O9326" t="s">
        <v>26</v>
      </c>
      <c r="P9326" s="1" t="s">
        <v>30</v>
      </c>
      <c r="Q9326">
        <v>171.8</v>
      </c>
    </row>
    <row r="9327" spans="11:17" x14ac:dyDescent="0.3">
      <c r="K9327">
        <v>2022</v>
      </c>
      <c r="L9327" t="s">
        <v>38</v>
      </c>
      <c r="M9327" t="s">
        <v>164</v>
      </c>
      <c r="N9327" t="s">
        <v>26</v>
      </c>
      <c r="O9327" t="s">
        <v>26</v>
      </c>
      <c r="P9327" s="1" t="s">
        <v>34</v>
      </c>
      <c r="Q9327">
        <v>167.9</v>
      </c>
    </row>
    <row r="9328" spans="11:17" x14ac:dyDescent="0.3">
      <c r="K9328">
        <v>2022</v>
      </c>
      <c r="L9328" t="s">
        <v>38</v>
      </c>
      <c r="M9328" t="s">
        <v>164</v>
      </c>
      <c r="N9328" t="s">
        <v>26</v>
      </c>
      <c r="O9328" t="s">
        <v>26</v>
      </c>
      <c r="P9328" s="1" t="s">
        <v>33</v>
      </c>
      <c r="Q9328">
        <v>165.2</v>
      </c>
    </row>
    <row r="9329" spans="11:17" x14ac:dyDescent="0.3">
      <c r="K9329">
        <v>2022</v>
      </c>
      <c r="L9329" t="s">
        <v>38</v>
      </c>
      <c r="M9329" t="s">
        <v>164</v>
      </c>
      <c r="N9329" t="s">
        <v>5</v>
      </c>
      <c r="O9329" t="s">
        <v>188</v>
      </c>
      <c r="P9329" s="1" t="s">
        <v>30</v>
      </c>
      <c r="Q9329">
        <v>161.4</v>
      </c>
    </row>
    <row r="9330" spans="11:17" x14ac:dyDescent="0.3">
      <c r="K9330">
        <v>2022</v>
      </c>
      <c r="L9330" t="s">
        <v>38</v>
      </c>
      <c r="M9330" t="s">
        <v>164</v>
      </c>
      <c r="N9330" t="s">
        <v>5</v>
      </c>
      <c r="O9330" t="s">
        <v>188</v>
      </c>
      <c r="P9330" s="1" t="s">
        <v>34</v>
      </c>
      <c r="Q9330">
        <v>162.4</v>
      </c>
    </row>
    <row r="9331" spans="11:17" x14ac:dyDescent="0.3">
      <c r="K9331">
        <v>2022</v>
      </c>
      <c r="L9331" t="s">
        <v>38</v>
      </c>
      <c r="M9331" t="s">
        <v>164</v>
      </c>
      <c r="N9331" t="s">
        <v>5</v>
      </c>
      <c r="O9331" t="s">
        <v>188</v>
      </c>
      <c r="P9331" s="1" t="s">
        <v>33</v>
      </c>
      <c r="Q9331">
        <v>164.1</v>
      </c>
    </row>
    <row r="9332" spans="11:17" x14ac:dyDescent="0.3">
      <c r="K9332">
        <v>2022</v>
      </c>
      <c r="L9332" t="s">
        <v>38</v>
      </c>
      <c r="M9332" t="s">
        <v>164</v>
      </c>
      <c r="N9332" t="s">
        <v>15</v>
      </c>
      <c r="O9332" t="s">
        <v>188</v>
      </c>
      <c r="P9332" s="1" t="s">
        <v>30</v>
      </c>
      <c r="Q9332">
        <v>170.8</v>
      </c>
    </row>
    <row r="9333" spans="11:17" x14ac:dyDescent="0.3">
      <c r="K9333">
        <v>2022</v>
      </c>
      <c r="L9333" t="s">
        <v>38</v>
      </c>
      <c r="M9333" t="s">
        <v>164</v>
      </c>
      <c r="N9333" t="s">
        <v>15</v>
      </c>
      <c r="O9333" t="s">
        <v>188</v>
      </c>
      <c r="P9333" s="1" t="s">
        <v>34</v>
      </c>
      <c r="Q9333">
        <v>173.3</v>
      </c>
    </row>
    <row r="9334" spans="11:17" x14ac:dyDescent="0.3">
      <c r="K9334">
        <v>2022</v>
      </c>
      <c r="L9334" t="s">
        <v>38</v>
      </c>
      <c r="M9334" t="s">
        <v>164</v>
      </c>
      <c r="N9334" t="s">
        <v>15</v>
      </c>
      <c r="O9334" t="s">
        <v>188</v>
      </c>
      <c r="P9334" s="1" t="s">
        <v>33</v>
      </c>
      <c r="Q9334">
        <v>177.5</v>
      </c>
    </row>
    <row r="9335" spans="11:17" x14ac:dyDescent="0.3">
      <c r="K9335">
        <v>2022</v>
      </c>
      <c r="L9335" t="s">
        <v>38</v>
      </c>
      <c r="M9335" t="s">
        <v>164</v>
      </c>
      <c r="N9335" t="s">
        <v>18</v>
      </c>
      <c r="O9335" t="s">
        <v>189</v>
      </c>
      <c r="P9335" s="1" t="s">
        <v>30</v>
      </c>
      <c r="Q9335">
        <v>177.2</v>
      </c>
    </row>
    <row r="9336" spans="11:17" x14ac:dyDescent="0.3">
      <c r="K9336">
        <v>2022</v>
      </c>
      <c r="L9336" t="s">
        <v>38</v>
      </c>
      <c r="M9336" t="s">
        <v>164</v>
      </c>
      <c r="N9336" t="s">
        <v>18</v>
      </c>
      <c r="O9336" t="s">
        <v>189</v>
      </c>
      <c r="P9336" s="1" t="s">
        <v>34</v>
      </c>
      <c r="Q9336">
        <v>168.4</v>
      </c>
    </row>
    <row r="9337" spans="11:17" x14ac:dyDescent="0.3">
      <c r="K9337">
        <v>2022</v>
      </c>
      <c r="L9337" t="s">
        <v>38</v>
      </c>
      <c r="M9337" t="s">
        <v>164</v>
      </c>
      <c r="N9337" t="s">
        <v>18</v>
      </c>
      <c r="O9337" t="s">
        <v>189</v>
      </c>
      <c r="P9337" s="1" t="s">
        <v>33</v>
      </c>
      <c r="Q9337">
        <v>155.9</v>
      </c>
    </row>
    <row r="9338" spans="11:17" x14ac:dyDescent="0.3">
      <c r="K9338">
        <v>2022</v>
      </c>
      <c r="L9338" t="s">
        <v>38</v>
      </c>
      <c r="M9338" t="s">
        <v>164</v>
      </c>
      <c r="N9338" t="s">
        <v>8</v>
      </c>
      <c r="O9338" t="s">
        <v>188</v>
      </c>
      <c r="P9338" s="1" t="s">
        <v>30</v>
      </c>
      <c r="Q9338">
        <v>168</v>
      </c>
    </row>
    <row r="9339" spans="11:17" x14ac:dyDescent="0.3">
      <c r="K9339">
        <v>2022</v>
      </c>
      <c r="L9339" t="s">
        <v>38</v>
      </c>
      <c r="M9339" t="s">
        <v>164</v>
      </c>
      <c r="N9339" t="s">
        <v>8</v>
      </c>
      <c r="O9339" t="s">
        <v>188</v>
      </c>
      <c r="P9339" s="1" t="s">
        <v>34</v>
      </c>
      <c r="Q9339">
        <v>171</v>
      </c>
    </row>
    <row r="9340" spans="11:17" x14ac:dyDescent="0.3">
      <c r="K9340">
        <v>2022</v>
      </c>
      <c r="L9340" t="s">
        <v>38</v>
      </c>
      <c r="M9340" t="s">
        <v>164</v>
      </c>
      <c r="N9340" t="s">
        <v>8</v>
      </c>
      <c r="O9340" t="s">
        <v>188</v>
      </c>
      <c r="P9340" s="1" t="s">
        <v>33</v>
      </c>
      <c r="Q9340">
        <v>174.5</v>
      </c>
    </row>
    <row r="9341" spans="11:17" x14ac:dyDescent="0.3">
      <c r="K9341">
        <v>2022</v>
      </c>
      <c r="L9341" t="s">
        <v>38</v>
      </c>
      <c r="M9341" t="s">
        <v>164</v>
      </c>
      <c r="N9341" t="s">
        <v>21</v>
      </c>
      <c r="O9341" t="s">
        <v>190</v>
      </c>
      <c r="P9341" s="1" t="s">
        <v>30</v>
      </c>
      <c r="Q9341">
        <v>175.3</v>
      </c>
    </row>
    <row r="9342" spans="11:17" x14ac:dyDescent="0.3">
      <c r="K9342">
        <v>2022</v>
      </c>
      <c r="L9342" t="s">
        <v>38</v>
      </c>
      <c r="M9342" t="s">
        <v>164</v>
      </c>
      <c r="N9342" t="s">
        <v>21</v>
      </c>
      <c r="O9342" t="s">
        <v>190</v>
      </c>
      <c r="P9342" s="1" t="s">
        <v>34</v>
      </c>
      <c r="Q9342">
        <v>174.6</v>
      </c>
    </row>
    <row r="9343" spans="11:17" x14ac:dyDescent="0.3">
      <c r="K9343">
        <v>2022</v>
      </c>
      <c r="L9343" t="s">
        <v>38</v>
      </c>
      <c r="M9343" t="s">
        <v>164</v>
      </c>
      <c r="N9343" t="s">
        <v>21</v>
      </c>
      <c r="O9343" t="s">
        <v>190</v>
      </c>
      <c r="P9343" s="1" t="s">
        <v>33</v>
      </c>
      <c r="Q9343">
        <v>173.5</v>
      </c>
    </row>
    <row r="9344" spans="11:17" x14ac:dyDescent="0.3">
      <c r="K9344">
        <v>2022</v>
      </c>
      <c r="L9344" t="s">
        <v>38</v>
      </c>
      <c r="M9344" t="s">
        <v>164</v>
      </c>
      <c r="N9344" t="s">
        <v>29</v>
      </c>
      <c r="O9344" t="s">
        <v>206</v>
      </c>
      <c r="P9344" s="1" t="s">
        <v>30</v>
      </c>
      <c r="Q9344">
        <v>172.5</v>
      </c>
    </row>
    <row r="9345" spans="11:17" x14ac:dyDescent="0.3">
      <c r="K9345">
        <v>2022</v>
      </c>
      <c r="L9345" t="s">
        <v>38</v>
      </c>
      <c r="M9345" t="s">
        <v>164</v>
      </c>
      <c r="N9345" t="s">
        <v>29</v>
      </c>
      <c r="O9345" t="s">
        <v>206</v>
      </c>
      <c r="P9345" s="1" t="s">
        <v>34</v>
      </c>
      <c r="Q9345">
        <v>171.7</v>
      </c>
    </row>
    <row r="9346" spans="11:17" x14ac:dyDescent="0.3">
      <c r="K9346">
        <v>2022</v>
      </c>
      <c r="L9346" t="s">
        <v>38</v>
      </c>
      <c r="M9346" t="s">
        <v>164</v>
      </c>
      <c r="N9346" t="s">
        <v>29</v>
      </c>
      <c r="O9346" t="s">
        <v>206</v>
      </c>
      <c r="P9346" s="1" t="s">
        <v>33</v>
      </c>
      <c r="Q9346">
        <v>170.8</v>
      </c>
    </row>
    <row r="9347" spans="11:17" x14ac:dyDescent="0.3">
      <c r="K9347">
        <v>2022</v>
      </c>
      <c r="L9347" t="s">
        <v>38</v>
      </c>
      <c r="M9347" t="s">
        <v>164</v>
      </c>
      <c r="N9347" t="s">
        <v>23</v>
      </c>
      <c r="O9347" t="s">
        <v>23</v>
      </c>
      <c r="P9347" s="1" t="s">
        <v>30</v>
      </c>
      <c r="Q9347">
        <v>177.7</v>
      </c>
    </row>
    <row r="9348" spans="11:17" x14ac:dyDescent="0.3">
      <c r="K9348">
        <v>2022</v>
      </c>
      <c r="L9348" t="s">
        <v>38</v>
      </c>
      <c r="M9348" t="s">
        <v>164</v>
      </c>
      <c r="N9348" t="s">
        <v>23</v>
      </c>
      <c r="O9348" t="s">
        <v>23</v>
      </c>
      <c r="P9348" s="1" t="s">
        <v>34</v>
      </c>
      <c r="Q9348">
        <v>174.8</v>
      </c>
    </row>
    <row r="9349" spans="11:17" x14ac:dyDescent="0.3">
      <c r="K9349">
        <v>2022</v>
      </c>
      <c r="L9349" t="s">
        <v>38</v>
      </c>
      <c r="M9349" t="s">
        <v>164</v>
      </c>
      <c r="N9349" t="s">
        <v>23</v>
      </c>
      <c r="O9349" t="s">
        <v>23</v>
      </c>
      <c r="P9349" s="1" t="s">
        <v>33</v>
      </c>
      <c r="Q9349">
        <v>170.1</v>
      </c>
    </row>
    <row r="9350" spans="11:17" x14ac:dyDescent="0.3">
      <c r="K9350">
        <v>2022</v>
      </c>
      <c r="L9350" t="s">
        <v>38</v>
      </c>
      <c r="M9350" t="s">
        <v>164</v>
      </c>
      <c r="N9350" t="s">
        <v>22</v>
      </c>
      <c r="O9350" t="s">
        <v>20</v>
      </c>
      <c r="P9350" s="1" t="s">
        <v>30</v>
      </c>
      <c r="Q9350">
        <v>168.9</v>
      </c>
    </row>
    <row r="9351" spans="11:17" x14ac:dyDescent="0.3">
      <c r="K9351">
        <v>2022</v>
      </c>
      <c r="L9351" t="s">
        <v>38</v>
      </c>
      <c r="M9351" t="s">
        <v>164</v>
      </c>
      <c r="N9351" t="s">
        <v>22</v>
      </c>
      <c r="O9351" t="s">
        <v>20</v>
      </c>
      <c r="P9351" s="1" t="s">
        <v>34</v>
      </c>
      <c r="Q9351">
        <v>165.2</v>
      </c>
    </row>
    <row r="9352" spans="11:17" x14ac:dyDescent="0.3">
      <c r="K9352">
        <v>2022</v>
      </c>
      <c r="L9352" t="s">
        <v>38</v>
      </c>
      <c r="M9352" t="s">
        <v>164</v>
      </c>
      <c r="N9352" t="s">
        <v>22</v>
      </c>
      <c r="O9352" t="s">
        <v>20</v>
      </c>
      <c r="P9352" s="1" t="s">
        <v>33</v>
      </c>
      <c r="Q9352">
        <v>161.1</v>
      </c>
    </row>
    <row r="9353" spans="11:17" x14ac:dyDescent="0.3">
      <c r="K9353">
        <v>2022</v>
      </c>
      <c r="L9353" t="s">
        <v>38</v>
      </c>
      <c r="M9353" t="s">
        <v>164</v>
      </c>
      <c r="N9353" t="s">
        <v>20</v>
      </c>
      <c r="O9353" t="s">
        <v>20</v>
      </c>
      <c r="P9353" s="1" t="s">
        <v>30</v>
      </c>
      <c r="Q9353">
        <v>0</v>
      </c>
    </row>
    <row r="9354" spans="11:17" x14ac:dyDescent="0.3">
      <c r="K9354">
        <v>2022</v>
      </c>
      <c r="L9354" t="s">
        <v>38</v>
      </c>
      <c r="M9354" t="s">
        <v>164</v>
      </c>
      <c r="N9354" t="s">
        <v>20</v>
      </c>
      <c r="O9354" t="s">
        <v>20</v>
      </c>
      <c r="P9354" s="1" t="s">
        <v>34</v>
      </c>
      <c r="Q9354">
        <v>167.5</v>
      </c>
    </row>
    <row r="9355" spans="11:17" x14ac:dyDescent="0.3">
      <c r="K9355">
        <v>2022</v>
      </c>
      <c r="L9355" t="s">
        <v>38</v>
      </c>
      <c r="M9355" t="s">
        <v>164</v>
      </c>
      <c r="N9355" t="s">
        <v>20</v>
      </c>
      <c r="O9355" t="s">
        <v>20</v>
      </c>
      <c r="P9355" s="1" t="s">
        <v>33</v>
      </c>
      <c r="Q9355">
        <v>167.5</v>
      </c>
    </row>
    <row r="9356" spans="11:17" x14ac:dyDescent="0.3">
      <c r="K9356">
        <v>2022</v>
      </c>
      <c r="L9356" t="s">
        <v>38</v>
      </c>
      <c r="M9356" t="s">
        <v>164</v>
      </c>
      <c r="N9356" t="s">
        <v>4</v>
      </c>
      <c r="O9356" t="s">
        <v>188</v>
      </c>
      <c r="P9356" s="1" t="s">
        <v>30</v>
      </c>
      <c r="Q9356">
        <v>214.7</v>
      </c>
    </row>
    <row r="9357" spans="11:17" x14ac:dyDescent="0.3">
      <c r="K9357">
        <v>2022</v>
      </c>
      <c r="L9357" t="s">
        <v>38</v>
      </c>
      <c r="M9357" t="s">
        <v>164</v>
      </c>
      <c r="N9357" t="s">
        <v>4</v>
      </c>
      <c r="O9357" t="s">
        <v>188</v>
      </c>
      <c r="P9357" s="1" t="s">
        <v>34</v>
      </c>
      <c r="Q9357">
        <v>217</v>
      </c>
    </row>
    <row r="9358" spans="11:17" x14ac:dyDescent="0.3">
      <c r="K9358">
        <v>2022</v>
      </c>
      <c r="L9358" t="s">
        <v>38</v>
      </c>
      <c r="M9358" t="s">
        <v>164</v>
      </c>
      <c r="N9358" t="s">
        <v>4</v>
      </c>
      <c r="O9358" t="s">
        <v>188</v>
      </c>
      <c r="P9358" s="1" t="s">
        <v>33</v>
      </c>
      <c r="Q9358">
        <v>221.2</v>
      </c>
    </row>
    <row r="9359" spans="11:17" x14ac:dyDescent="0.3">
      <c r="K9359">
        <v>2022</v>
      </c>
      <c r="L9359" t="s">
        <v>38</v>
      </c>
      <c r="M9359" t="s">
        <v>164</v>
      </c>
      <c r="N9359" t="s">
        <v>6</v>
      </c>
      <c r="O9359" t="s">
        <v>188</v>
      </c>
      <c r="P9359" s="1" t="s">
        <v>30</v>
      </c>
      <c r="Q9359">
        <v>164.6</v>
      </c>
    </row>
    <row r="9360" spans="11:17" x14ac:dyDescent="0.3">
      <c r="K9360">
        <v>2022</v>
      </c>
      <c r="L9360" t="s">
        <v>38</v>
      </c>
      <c r="M9360" t="s">
        <v>164</v>
      </c>
      <c r="N9360" t="s">
        <v>6</v>
      </c>
      <c r="O9360" t="s">
        <v>188</v>
      </c>
      <c r="P9360" s="1" t="s">
        <v>34</v>
      </c>
      <c r="Q9360">
        <v>164.9</v>
      </c>
    </row>
    <row r="9361" spans="11:17" x14ac:dyDescent="0.3">
      <c r="K9361">
        <v>2022</v>
      </c>
      <c r="L9361" t="s">
        <v>38</v>
      </c>
      <c r="M9361" t="s">
        <v>164</v>
      </c>
      <c r="N9361" t="s">
        <v>6</v>
      </c>
      <c r="O9361" t="s">
        <v>188</v>
      </c>
      <c r="P9361" s="1" t="s">
        <v>33</v>
      </c>
      <c r="Q9361">
        <v>165.4</v>
      </c>
    </row>
    <row r="9362" spans="11:17" x14ac:dyDescent="0.3">
      <c r="K9362">
        <v>2022</v>
      </c>
      <c r="L9362" t="s">
        <v>38</v>
      </c>
      <c r="M9362" t="s">
        <v>164</v>
      </c>
      <c r="N9362" t="s">
        <v>28</v>
      </c>
      <c r="O9362" t="s">
        <v>192</v>
      </c>
      <c r="P9362" s="1" t="s">
        <v>30</v>
      </c>
      <c r="Q9362">
        <v>170.9</v>
      </c>
    </row>
    <row r="9363" spans="11:17" x14ac:dyDescent="0.3">
      <c r="K9363">
        <v>2022</v>
      </c>
      <c r="L9363" t="s">
        <v>38</v>
      </c>
      <c r="M9363" t="s">
        <v>164</v>
      </c>
      <c r="N9363" t="s">
        <v>28</v>
      </c>
      <c r="O9363" t="s">
        <v>192</v>
      </c>
      <c r="P9363" s="1" t="s">
        <v>34</v>
      </c>
      <c r="Q9363">
        <v>167.5</v>
      </c>
    </row>
    <row r="9364" spans="11:17" x14ac:dyDescent="0.3">
      <c r="K9364">
        <v>2022</v>
      </c>
      <c r="L9364" t="s">
        <v>38</v>
      </c>
      <c r="M9364" t="s">
        <v>164</v>
      </c>
      <c r="N9364" t="s">
        <v>28</v>
      </c>
      <c r="O9364" t="s">
        <v>192</v>
      </c>
      <c r="P9364" s="1" t="s">
        <v>33</v>
      </c>
      <c r="Q9364">
        <v>163.80000000000001</v>
      </c>
    </row>
    <row r="9365" spans="11:17" x14ac:dyDescent="0.3">
      <c r="K9365">
        <v>2022</v>
      </c>
      <c r="L9365" t="s">
        <v>38</v>
      </c>
      <c r="M9365" t="s">
        <v>164</v>
      </c>
      <c r="N9365" t="s">
        <v>13</v>
      </c>
      <c r="O9365" t="s">
        <v>188</v>
      </c>
      <c r="P9365" s="1" t="s">
        <v>30</v>
      </c>
      <c r="Q9365">
        <v>173.2</v>
      </c>
    </row>
    <row r="9366" spans="11:17" x14ac:dyDescent="0.3">
      <c r="K9366">
        <v>2022</v>
      </c>
      <c r="L9366" t="s">
        <v>38</v>
      </c>
      <c r="M9366" t="s">
        <v>164</v>
      </c>
      <c r="N9366" t="s">
        <v>13</v>
      </c>
      <c r="O9366" t="s">
        <v>188</v>
      </c>
      <c r="P9366" s="1" t="s">
        <v>34</v>
      </c>
      <c r="Q9366">
        <v>167.1</v>
      </c>
    </row>
    <row r="9367" spans="11:17" x14ac:dyDescent="0.3">
      <c r="K9367">
        <v>2022</v>
      </c>
      <c r="L9367" t="s">
        <v>38</v>
      </c>
      <c r="M9367" t="s">
        <v>164</v>
      </c>
      <c r="N9367" t="s">
        <v>13</v>
      </c>
      <c r="O9367" t="s">
        <v>188</v>
      </c>
      <c r="P9367" s="1" t="s">
        <v>33</v>
      </c>
      <c r="Q9367">
        <v>158.5</v>
      </c>
    </row>
    <row r="9368" spans="11:17" x14ac:dyDescent="0.3">
      <c r="K9368">
        <v>2022</v>
      </c>
      <c r="L9368" t="s">
        <v>38</v>
      </c>
      <c r="M9368" t="s">
        <v>164</v>
      </c>
      <c r="N9368" t="s">
        <v>7</v>
      </c>
      <c r="O9368" t="s">
        <v>188</v>
      </c>
      <c r="P9368" s="1" t="s">
        <v>30</v>
      </c>
      <c r="Q9368">
        <v>209.9</v>
      </c>
    </row>
    <row r="9369" spans="11:17" x14ac:dyDescent="0.3">
      <c r="K9369">
        <v>2022</v>
      </c>
      <c r="L9369" t="s">
        <v>38</v>
      </c>
      <c r="M9369" t="s">
        <v>164</v>
      </c>
      <c r="N9369" t="s">
        <v>7</v>
      </c>
      <c r="O9369" t="s">
        <v>188</v>
      </c>
      <c r="P9369" s="1" t="s">
        <v>34</v>
      </c>
      <c r="Q9369">
        <v>202.4</v>
      </c>
    </row>
    <row r="9370" spans="11:17" x14ac:dyDescent="0.3">
      <c r="K9370">
        <v>2022</v>
      </c>
      <c r="L9370" t="s">
        <v>38</v>
      </c>
      <c r="M9370" t="s">
        <v>164</v>
      </c>
      <c r="N9370" t="s">
        <v>7</v>
      </c>
      <c r="O9370" t="s">
        <v>188</v>
      </c>
      <c r="P9370" s="1" t="s">
        <v>33</v>
      </c>
      <c r="Q9370">
        <v>189.5</v>
      </c>
    </row>
    <row r="9371" spans="11:17" x14ac:dyDescent="0.3">
      <c r="K9371">
        <v>2022</v>
      </c>
      <c r="L9371" t="s">
        <v>38</v>
      </c>
      <c r="M9371" t="s">
        <v>164</v>
      </c>
      <c r="N9371" t="s">
        <v>16</v>
      </c>
      <c r="O9371" t="s">
        <v>192</v>
      </c>
      <c r="P9371" s="1" t="s">
        <v>30</v>
      </c>
      <c r="Q9371">
        <v>192.9</v>
      </c>
    </row>
    <row r="9372" spans="11:17" x14ac:dyDescent="0.3">
      <c r="K9372">
        <v>2022</v>
      </c>
      <c r="L9372" t="s">
        <v>38</v>
      </c>
      <c r="M9372" t="s">
        <v>164</v>
      </c>
      <c r="N9372" t="s">
        <v>16</v>
      </c>
      <c r="O9372" t="s">
        <v>192</v>
      </c>
      <c r="P9372" s="1" t="s">
        <v>34</v>
      </c>
      <c r="Q9372">
        <v>194.1</v>
      </c>
    </row>
    <row r="9373" spans="11:17" x14ac:dyDescent="0.3">
      <c r="K9373">
        <v>2022</v>
      </c>
      <c r="L9373" t="s">
        <v>38</v>
      </c>
      <c r="M9373" t="s">
        <v>164</v>
      </c>
      <c r="N9373" t="s">
        <v>16</v>
      </c>
      <c r="O9373" t="s">
        <v>192</v>
      </c>
      <c r="P9373" s="1" t="s">
        <v>33</v>
      </c>
      <c r="Q9373">
        <v>197.5</v>
      </c>
    </row>
    <row r="9374" spans="11:17" x14ac:dyDescent="0.3">
      <c r="K9374">
        <v>2022</v>
      </c>
      <c r="L9374" t="s">
        <v>38</v>
      </c>
      <c r="M9374" t="s">
        <v>164</v>
      </c>
      <c r="N9374" t="s">
        <v>27</v>
      </c>
      <c r="O9374" t="s">
        <v>192</v>
      </c>
      <c r="P9374" s="1" t="s">
        <v>30</v>
      </c>
      <c r="Q9374">
        <v>168.5</v>
      </c>
    </row>
    <row r="9375" spans="11:17" x14ac:dyDescent="0.3">
      <c r="K9375">
        <v>2022</v>
      </c>
      <c r="L9375" t="s">
        <v>38</v>
      </c>
      <c r="M9375" t="s">
        <v>164</v>
      </c>
      <c r="N9375" t="s">
        <v>27</v>
      </c>
      <c r="O9375" t="s">
        <v>192</v>
      </c>
      <c r="P9375" s="1" t="s">
        <v>34</v>
      </c>
      <c r="Q9375">
        <v>168.4</v>
      </c>
    </row>
    <row r="9376" spans="11:17" x14ac:dyDescent="0.3">
      <c r="K9376">
        <v>2022</v>
      </c>
      <c r="L9376" t="s">
        <v>38</v>
      </c>
      <c r="M9376" t="s">
        <v>164</v>
      </c>
      <c r="N9376" t="s">
        <v>27</v>
      </c>
      <c r="O9376" t="s">
        <v>192</v>
      </c>
      <c r="P9376" s="1" t="s">
        <v>33</v>
      </c>
      <c r="Q9376">
        <v>168.2</v>
      </c>
    </row>
    <row r="9377" spans="11:17" x14ac:dyDescent="0.3">
      <c r="K9377">
        <v>2022</v>
      </c>
      <c r="L9377" t="s">
        <v>38</v>
      </c>
      <c r="M9377" t="s">
        <v>164</v>
      </c>
      <c r="N9377" t="s">
        <v>14</v>
      </c>
      <c r="O9377" t="s">
        <v>188</v>
      </c>
      <c r="P9377" s="1" t="s">
        <v>30</v>
      </c>
      <c r="Q9377">
        <v>180.4</v>
      </c>
    </row>
    <row r="9378" spans="11:17" x14ac:dyDescent="0.3">
      <c r="K9378">
        <v>2022</v>
      </c>
      <c r="L9378" t="s">
        <v>38</v>
      </c>
      <c r="M9378" t="s">
        <v>164</v>
      </c>
      <c r="N9378" t="s">
        <v>14</v>
      </c>
      <c r="O9378" t="s">
        <v>188</v>
      </c>
      <c r="P9378" s="1" t="s">
        <v>34</v>
      </c>
      <c r="Q9378">
        <v>182.5</v>
      </c>
    </row>
    <row r="9379" spans="11:17" x14ac:dyDescent="0.3">
      <c r="K9379">
        <v>2022</v>
      </c>
      <c r="L9379" t="s">
        <v>38</v>
      </c>
      <c r="M9379" t="s">
        <v>164</v>
      </c>
      <c r="N9379" t="s">
        <v>14</v>
      </c>
      <c r="O9379" t="s">
        <v>188</v>
      </c>
      <c r="P9379" s="1" t="s">
        <v>33</v>
      </c>
      <c r="Q9379">
        <v>184.9</v>
      </c>
    </row>
    <row r="9380" spans="11:17" x14ac:dyDescent="0.3">
      <c r="K9380">
        <v>2022</v>
      </c>
      <c r="L9380" t="s">
        <v>38</v>
      </c>
      <c r="M9380" t="s">
        <v>164</v>
      </c>
      <c r="N9380" t="s">
        <v>10</v>
      </c>
      <c r="O9380" t="s">
        <v>188</v>
      </c>
      <c r="P9380" s="1" t="s">
        <v>30</v>
      </c>
      <c r="Q9380">
        <v>165</v>
      </c>
    </row>
    <row r="9381" spans="11:17" x14ac:dyDescent="0.3">
      <c r="K9381">
        <v>2022</v>
      </c>
      <c r="L9381" t="s">
        <v>38</v>
      </c>
      <c r="M9381" t="s">
        <v>164</v>
      </c>
      <c r="N9381" t="s">
        <v>10</v>
      </c>
      <c r="O9381" t="s">
        <v>188</v>
      </c>
      <c r="P9381" s="1" t="s">
        <v>34</v>
      </c>
      <c r="Q9381">
        <v>164.7</v>
      </c>
    </row>
    <row r="9382" spans="11:17" x14ac:dyDescent="0.3">
      <c r="K9382">
        <v>2022</v>
      </c>
      <c r="L9382" t="s">
        <v>38</v>
      </c>
      <c r="M9382" t="s">
        <v>164</v>
      </c>
      <c r="N9382" t="s">
        <v>10</v>
      </c>
      <c r="O9382" t="s">
        <v>188</v>
      </c>
      <c r="P9382" s="1" t="s">
        <v>33</v>
      </c>
      <c r="Q9382">
        <v>164.1</v>
      </c>
    </row>
    <row r="9383" spans="11:17" x14ac:dyDescent="0.3">
      <c r="K9383">
        <v>2022</v>
      </c>
      <c r="L9383" t="s">
        <v>38</v>
      </c>
      <c r="M9383" t="s">
        <v>164</v>
      </c>
      <c r="N9383" t="s">
        <v>25</v>
      </c>
      <c r="O9383" t="s">
        <v>195</v>
      </c>
      <c r="P9383" s="1" t="s">
        <v>30</v>
      </c>
      <c r="Q9383">
        <v>167.6</v>
      </c>
    </row>
    <row r="9384" spans="11:17" x14ac:dyDescent="0.3">
      <c r="K9384">
        <v>2022</v>
      </c>
      <c r="L9384" t="s">
        <v>38</v>
      </c>
      <c r="M9384" t="s">
        <v>164</v>
      </c>
      <c r="N9384" t="s">
        <v>25</v>
      </c>
      <c r="O9384" t="s">
        <v>195</v>
      </c>
      <c r="P9384" s="1" t="s">
        <v>34</v>
      </c>
      <c r="Q9384">
        <v>165.1</v>
      </c>
    </row>
    <row r="9385" spans="11:17" x14ac:dyDescent="0.3">
      <c r="K9385">
        <v>2022</v>
      </c>
      <c r="L9385" t="s">
        <v>38</v>
      </c>
      <c r="M9385" t="s">
        <v>164</v>
      </c>
      <c r="N9385" t="s">
        <v>25</v>
      </c>
      <c r="O9385" t="s">
        <v>195</v>
      </c>
      <c r="P9385" s="1" t="s">
        <v>33</v>
      </c>
      <c r="Q9385">
        <v>163.19999999999999</v>
      </c>
    </row>
    <row r="9386" spans="11:17" x14ac:dyDescent="0.3">
      <c r="K9386">
        <v>2022</v>
      </c>
      <c r="L9386" t="s">
        <v>38</v>
      </c>
      <c r="M9386" t="s">
        <v>164</v>
      </c>
      <c r="N9386" t="s">
        <v>12</v>
      </c>
      <c r="O9386" t="s">
        <v>188</v>
      </c>
      <c r="P9386" s="1" t="s">
        <v>30</v>
      </c>
      <c r="Q9386">
        <v>186.6</v>
      </c>
    </row>
    <row r="9387" spans="11:17" x14ac:dyDescent="0.3">
      <c r="K9387">
        <v>2022</v>
      </c>
      <c r="L9387" t="s">
        <v>38</v>
      </c>
      <c r="M9387" t="s">
        <v>164</v>
      </c>
      <c r="N9387" t="s">
        <v>12</v>
      </c>
      <c r="O9387" t="s">
        <v>188</v>
      </c>
      <c r="P9387" s="1" t="s">
        <v>34</v>
      </c>
      <c r="Q9387">
        <v>184.9</v>
      </c>
    </row>
    <row r="9388" spans="11:17" x14ac:dyDescent="0.3">
      <c r="K9388">
        <v>2022</v>
      </c>
      <c r="L9388" t="s">
        <v>38</v>
      </c>
      <c r="M9388" t="s">
        <v>164</v>
      </c>
      <c r="N9388" t="s">
        <v>12</v>
      </c>
      <c r="O9388" t="s">
        <v>188</v>
      </c>
      <c r="P9388" s="1" t="s">
        <v>33</v>
      </c>
      <c r="Q9388">
        <v>181.4</v>
      </c>
    </row>
    <row r="9389" spans="11:17" x14ac:dyDescent="0.3">
      <c r="K9389">
        <v>2022</v>
      </c>
      <c r="L9389" t="s">
        <v>38</v>
      </c>
      <c r="M9389" t="s">
        <v>164</v>
      </c>
      <c r="N9389" t="s">
        <v>11</v>
      </c>
      <c r="O9389" t="s">
        <v>188</v>
      </c>
      <c r="P9389" s="1" t="s">
        <v>30</v>
      </c>
      <c r="Q9389">
        <v>118.9</v>
      </c>
    </row>
    <row r="9390" spans="11:17" x14ac:dyDescent="0.3">
      <c r="K9390">
        <v>2022</v>
      </c>
      <c r="L9390" t="s">
        <v>38</v>
      </c>
      <c r="M9390" t="s">
        <v>164</v>
      </c>
      <c r="N9390" t="s">
        <v>11</v>
      </c>
      <c r="O9390" t="s">
        <v>188</v>
      </c>
      <c r="P9390" s="1" t="s">
        <v>34</v>
      </c>
      <c r="Q9390">
        <v>119.7</v>
      </c>
    </row>
    <row r="9391" spans="11:17" x14ac:dyDescent="0.3">
      <c r="K9391">
        <v>2022</v>
      </c>
      <c r="L9391" t="s">
        <v>38</v>
      </c>
      <c r="M9391" t="s">
        <v>164</v>
      </c>
      <c r="N9391" t="s">
        <v>11</v>
      </c>
      <c r="O9391" t="s">
        <v>188</v>
      </c>
      <c r="P9391" s="1" t="s">
        <v>33</v>
      </c>
      <c r="Q9391">
        <v>121.2</v>
      </c>
    </row>
    <row r="9392" spans="11:17" x14ac:dyDescent="0.3">
      <c r="K9392">
        <v>2022</v>
      </c>
      <c r="L9392" t="s">
        <v>38</v>
      </c>
      <c r="M9392" t="s">
        <v>164</v>
      </c>
      <c r="N9392" t="s">
        <v>24</v>
      </c>
      <c r="O9392" t="s">
        <v>191</v>
      </c>
      <c r="P9392" s="1" t="s">
        <v>30</v>
      </c>
      <c r="Q9392">
        <v>167.1</v>
      </c>
    </row>
    <row r="9393" spans="11:17" x14ac:dyDescent="0.3">
      <c r="K9393">
        <v>2022</v>
      </c>
      <c r="L9393" t="s">
        <v>38</v>
      </c>
      <c r="M9393" t="s">
        <v>164</v>
      </c>
      <c r="N9393" t="s">
        <v>24</v>
      </c>
      <c r="O9393" t="s">
        <v>191</v>
      </c>
      <c r="P9393" s="1" t="s">
        <v>34</v>
      </c>
      <c r="Q9393">
        <v>163</v>
      </c>
    </row>
    <row r="9394" spans="11:17" x14ac:dyDescent="0.3">
      <c r="K9394">
        <v>2022</v>
      </c>
      <c r="L9394" t="s">
        <v>38</v>
      </c>
      <c r="M9394" t="s">
        <v>164</v>
      </c>
      <c r="N9394" t="s">
        <v>24</v>
      </c>
      <c r="O9394" t="s">
        <v>191</v>
      </c>
      <c r="P9394" s="1" t="s">
        <v>33</v>
      </c>
      <c r="Q9394">
        <v>159.4</v>
      </c>
    </row>
    <row r="9395" spans="11:17" x14ac:dyDescent="0.3">
      <c r="K9395">
        <v>2022</v>
      </c>
      <c r="L9395" t="s">
        <v>38</v>
      </c>
      <c r="M9395" t="s">
        <v>164</v>
      </c>
      <c r="N9395" t="s">
        <v>9</v>
      </c>
      <c r="O9395" t="s">
        <v>188</v>
      </c>
      <c r="P9395" s="1" t="s">
        <v>30</v>
      </c>
      <c r="Q9395">
        <v>160.4</v>
      </c>
    </row>
    <row r="9396" spans="11:17" x14ac:dyDescent="0.3">
      <c r="K9396">
        <v>2022</v>
      </c>
      <c r="L9396" t="s">
        <v>38</v>
      </c>
      <c r="M9396" t="s">
        <v>164</v>
      </c>
      <c r="N9396" t="s">
        <v>9</v>
      </c>
      <c r="O9396" t="s">
        <v>188</v>
      </c>
      <c r="P9396" s="1" t="s">
        <v>34</v>
      </c>
      <c r="Q9396">
        <v>174.9</v>
      </c>
    </row>
    <row r="9397" spans="11:17" x14ac:dyDescent="0.3">
      <c r="K9397">
        <v>2022</v>
      </c>
      <c r="L9397" t="s">
        <v>38</v>
      </c>
      <c r="M9397" t="s">
        <v>164</v>
      </c>
      <c r="N9397" t="s">
        <v>9</v>
      </c>
      <c r="O9397" t="s">
        <v>188</v>
      </c>
      <c r="P9397" s="1" t="s">
        <v>33</v>
      </c>
      <c r="Q9397">
        <v>203.2</v>
      </c>
    </row>
    <row r="9398" spans="11:17" x14ac:dyDescent="0.3">
      <c r="K9398">
        <v>2022</v>
      </c>
      <c r="L9398" t="s">
        <v>44</v>
      </c>
      <c r="M9398" t="s">
        <v>165</v>
      </c>
      <c r="N9398" t="s">
        <v>3</v>
      </c>
      <c r="O9398" t="s">
        <v>188</v>
      </c>
      <c r="P9398" s="1" t="s">
        <v>30</v>
      </c>
      <c r="Q9398">
        <v>166.9</v>
      </c>
    </row>
    <row r="9399" spans="11:17" x14ac:dyDescent="0.3">
      <c r="K9399">
        <v>2022</v>
      </c>
      <c r="L9399" t="s">
        <v>44</v>
      </c>
      <c r="M9399" t="s">
        <v>165</v>
      </c>
      <c r="N9399" t="s">
        <v>3</v>
      </c>
      <c r="O9399" t="s">
        <v>188</v>
      </c>
      <c r="P9399" s="1" t="s">
        <v>34</v>
      </c>
      <c r="Q9399">
        <v>167.4</v>
      </c>
    </row>
    <row r="9400" spans="11:17" x14ac:dyDescent="0.3">
      <c r="K9400">
        <v>2022</v>
      </c>
      <c r="L9400" t="s">
        <v>44</v>
      </c>
      <c r="M9400" t="s">
        <v>165</v>
      </c>
      <c r="N9400" t="s">
        <v>3</v>
      </c>
      <c r="O9400" t="s">
        <v>188</v>
      </c>
      <c r="P9400" s="1" t="s">
        <v>33</v>
      </c>
      <c r="Q9400">
        <v>168.4</v>
      </c>
    </row>
    <row r="9401" spans="11:17" x14ac:dyDescent="0.3">
      <c r="K9401">
        <v>2022</v>
      </c>
      <c r="L9401" t="s">
        <v>44</v>
      </c>
      <c r="M9401" t="s">
        <v>165</v>
      </c>
      <c r="N9401" t="s">
        <v>17</v>
      </c>
      <c r="O9401" t="s">
        <v>189</v>
      </c>
      <c r="P9401" s="1" t="s">
        <v>30</v>
      </c>
      <c r="Q9401">
        <v>187.2</v>
      </c>
    </row>
    <row r="9402" spans="11:17" x14ac:dyDescent="0.3">
      <c r="K9402">
        <v>2022</v>
      </c>
      <c r="L9402" t="s">
        <v>44</v>
      </c>
      <c r="M9402" t="s">
        <v>165</v>
      </c>
      <c r="N9402" t="s">
        <v>17</v>
      </c>
      <c r="O9402" t="s">
        <v>189</v>
      </c>
      <c r="P9402" s="1" t="s">
        <v>34</v>
      </c>
      <c r="Q9402">
        <v>183.1</v>
      </c>
    </row>
    <row r="9403" spans="11:17" x14ac:dyDescent="0.3">
      <c r="K9403">
        <v>2022</v>
      </c>
      <c r="L9403" t="s">
        <v>44</v>
      </c>
      <c r="M9403" t="s">
        <v>165</v>
      </c>
      <c r="N9403" t="s">
        <v>17</v>
      </c>
      <c r="O9403" t="s">
        <v>189</v>
      </c>
      <c r="P9403" s="1" t="s">
        <v>33</v>
      </c>
      <c r="Q9403">
        <v>176.7</v>
      </c>
    </row>
    <row r="9404" spans="11:17" x14ac:dyDescent="0.3">
      <c r="K9404">
        <v>2022</v>
      </c>
      <c r="L9404" t="s">
        <v>44</v>
      </c>
      <c r="M9404" t="s">
        <v>165</v>
      </c>
      <c r="N9404" t="s">
        <v>19</v>
      </c>
      <c r="O9404" t="s">
        <v>189</v>
      </c>
      <c r="P9404" s="1" t="s">
        <v>30</v>
      </c>
      <c r="Q9404">
        <v>186.9</v>
      </c>
    </row>
    <row r="9405" spans="11:17" x14ac:dyDescent="0.3">
      <c r="K9405">
        <v>2022</v>
      </c>
      <c r="L9405" t="s">
        <v>44</v>
      </c>
      <c r="M9405" t="s">
        <v>165</v>
      </c>
      <c r="N9405" t="s">
        <v>19</v>
      </c>
      <c r="O9405" t="s">
        <v>189</v>
      </c>
      <c r="P9405" s="1" t="s">
        <v>34</v>
      </c>
      <c r="Q9405">
        <v>182.1</v>
      </c>
    </row>
    <row r="9406" spans="11:17" x14ac:dyDescent="0.3">
      <c r="K9406">
        <v>2022</v>
      </c>
      <c r="L9406" t="s">
        <v>44</v>
      </c>
      <c r="M9406" t="s">
        <v>165</v>
      </c>
      <c r="N9406" t="s">
        <v>19</v>
      </c>
      <c r="O9406" t="s">
        <v>189</v>
      </c>
      <c r="P9406" s="1" t="s">
        <v>33</v>
      </c>
      <c r="Q9406">
        <v>174.7</v>
      </c>
    </row>
    <row r="9407" spans="11:17" x14ac:dyDescent="0.3">
      <c r="K9407">
        <v>2022</v>
      </c>
      <c r="L9407" t="s">
        <v>44</v>
      </c>
      <c r="M9407" t="s">
        <v>165</v>
      </c>
      <c r="N9407" t="s">
        <v>26</v>
      </c>
      <c r="O9407" t="s">
        <v>26</v>
      </c>
      <c r="P9407" s="1" t="s">
        <v>30</v>
      </c>
      <c r="Q9407">
        <v>176.9</v>
      </c>
    </row>
    <row r="9408" spans="11:17" x14ac:dyDescent="0.3">
      <c r="K9408">
        <v>2022</v>
      </c>
      <c r="L9408" t="s">
        <v>44</v>
      </c>
      <c r="M9408" t="s">
        <v>165</v>
      </c>
      <c r="N9408" t="s">
        <v>26</v>
      </c>
      <c r="O9408" t="s">
        <v>26</v>
      </c>
      <c r="P9408" s="1" t="s">
        <v>34</v>
      </c>
      <c r="Q9408">
        <v>173.7</v>
      </c>
    </row>
    <row r="9409" spans="11:17" x14ac:dyDescent="0.3">
      <c r="K9409">
        <v>2022</v>
      </c>
      <c r="L9409" t="s">
        <v>44</v>
      </c>
      <c r="M9409" t="s">
        <v>165</v>
      </c>
      <c r="N9409" t="s">
        <v>26</v>
      </c>
      <c r="O9409" t="s">
        <v>26</v>
      </c>
      <c r="P9409" s="1" t="s">
        <v>33</v>
      </c>
      <c r="Q9409">
        <v>171.5</v>
      </c>
    </row>
    <row r="9410" spans="11:17" x14ac:dyDescent="0.3">
      <c r="K9410">
        <v>2022</v>
      </c>
      <c r="L9410" t="s">
        <v>44</v>
      </c>
      <c r="M9410" t="s">
        <v>165</v>
      </c>
      <c r="N9410" t="s">
        <v>5</v>
      </c>
      <c r="O9410" t="s">
        <v>188</v>
      </c>
      <c r="P9410" s="1" t="s">
        <v>30</v>
      </c>
      <c r="Q9410">
        <v>180.2</v>
      </c>
    </row>
    <row r="9411" spans="11:17" x14ac:dyDescent="0.3">
      <c r="K9411">
        <v>2022</v>
      </c>
      <c r="L9411" t="s">
        <v>44</v>
      </c>
      <c r="M9411" t="s">
        <v>165</v>
      </c>
      <c r="N9411" t="s">
        <v>5</v>
      </c>
      <c r="O9411" t="s">
        <v>188</v>
      </c>
      <c r="P9411" s="1" t="s">
        <v>34</v>
      </c>
      <c r="Q9411">
        <v>181.4</v>
      </c>
    </row>
    <row r="9412" spans="11:17" x14ac:dyDescent="0.3">
      <c r="K9412">
        <v>2022</v>
      </c>
      <c r="L9412" t="s">
        <v>44</v>
      </c>
      <c r="M9412" t="s">
        <v>165</v>
      </c>
      <c r="N9412" t="s">
        <v>5</v>
      </c>
      <c r="O9412" t="s">
        <v>188</v>
      </c>
      <c r="P9412" s="1" t="s">
        <v>33</v>
      </c>
      <c r="Q9412">
        <v>183.2</v>
      </c>
    </row>
    <row r="9413" spans="11:17" x14ac:dyDescent="0.3">
      <c r="K9413">
        <v>2022</v>
      </c>
      <c r="L9413" t="s">
        <v>44</v>
      </c>
      <c r="M9413" t="s">
        <v>165</v>
      </c>
      <c r="N9413" t="s">
        <v>15</v>
      </c>
      <c r="O9413" t="s">
        <v>188</v>
      </c>
      <c r="P9413" s="1" t="s">
        <v>30</v>
      </c>
      <c r="Q9413">
        <v>176.6</v>
      </c>
    </row>
    <row r="9414" spans="11:17" x14ac:dyDescent="0.3">
      <c r="K9414">
        <v>2022</v>
      </c>
      <c r="L9414" t="s">
        <v>44</v>
      </c>
      <c r="M9414" t="s">
        <v>165</v>
      </c>
      <c r="N9414" t="s">
        <v>15</v>
      </c>
      <c r="O9414" t="s">
        <v>188</v>
      </c>
      <c r="P9414" s="1" t="s">
        <v>34</v>
      </c>
      <c r="Q9414">
        <v>178.3</v>
      </c>
    </row>
    <row r="9415" spans="11:17" x14ac:dyDescent="0.3">
      <c r="K9415">
        <v>2022</v>
      </c>
      <c r="L9415" t="s">
        <v>44</v>
      </c>
      <c r="M9415" t="s">
        <v>165</v>
      </c>
      <c r="N9415" t="s">
        <v>15</v>
      </c>
      <c r="O9415" t="s">
        <v>188</v>
      </c>
      <c r="P9415" s="1" t="s">
        <v>33</v>
      </c>
      <c r="Q9415">
        <v>181.3</v>
      </c>
    </row>
    <row r="9416" spans="11:17" x14ac:dyDescent="0.3">
      <c r="K9416">
        <v>2022</v>
      </c>
      <c r="L9416" t="s">
        <v>44</v>
      </c>
      <c r="M9416" t="s">
        <v>165</v>
      </c>
      <c r="N9416" t="s">
        <v>18</v>
      </c>
      <c r="O9416" t="s">
        <v>189</v>
      </c>
      <c r="P9416" s="1" t="s">
        <v>30</v>
      </c>
      <c r="Q9416">
        <v>185.2</v>
      </c>
    </row>
    <row r="9417" spans="11:17" x14ac:dyDescent="0.3">
      <c r="K9417">
        <v>2022</v>
      </c>
      <c r="L9417" t="s">
        <v>44</v>
      </c>
      <c r="M9417" t="s">
        <v>165</v>
      </c>
      <c r="N9417" t="s">
        <v>18</v>
      </c>
      <c r="O9417" t="s">
        <v>189</v>
      </c>
      <c r="P9417" s="1" t="s">
        <v>34</v>
      </c>
      <c r="Q9417">
        <v>176.2</v>
      </c>
    </row>
    <row r="9418" spans="11:17" x14ac:dyDescent="0.3">
      <c r="K9418">
        <v>2022</v>
      </c>
      <c r="L9418" t="s">
        <v>44</v>
      </c>
      <c r="M9418" t="s">
        <v>165</v>
      </c>
      <c r="N9418" t="s">
        <v>18</v>
      </c>
      <c r="O9418" t="s">
        <v>189</v>
      </c>
      <c r="P9418" s="1" t="s">
        <v>33</v>
      </c>
      <c r="Q9418">
        <v>163.5</v>
      </c>
    </row>
    <row r="9419" spans="11:17" x14ac:dyDescent="0.3">
      <c r="K9419">
        <v>2022</v>
      </c>
      <c r="L9419" t="s">
        <v>44</v>
      </c>
      <c r="M9419" t="s">
        <v>165</v>
      </c>
      <c r="N9419" t="s">
        <v>8</v>
      </c>
      <c r="O9419" t="s">
        <v>188</v>
      </c>
      <c r="P9419" s="1" t="s">
        <v>30</v>
      </c>
      <c r="Q9419">
        <v>159.1</v>
      </c>
    </row>
    <row r="9420" spans="11:17" x14ac:dyDescent="0.3">
      <c r="K9420">
        <v>2022</v>
      </c>
      <c r="L9420" t="s">
        <v>44</v>
      </c>
      <c r="M9420" t="s">
        <v>165</v>
      </c>
      <c r="N9420" t="s">
        <v>8</v>
      </c>
      <c r="O9420" t="s">
        <v>188</v>
      </c>
      <c r="P9420" s="1" t="s">
        <v>34</v>
      </c>
      <c r="Q9420">
        <v>160.69999999999999</v>
      </c>
    </row>
    <row r="9421" spans="11:17" x14ac:dyDescent="0.3">
      <c r="K9421">
        <v>2022</v>
      </c>
      <c r="L9421" t="s">
        <v>44</v>
      </c>
      <c r="M9421" t="s">
        <v>165</v>
      </c>
      <c r="N9421" t="s">
        <v>8</v>
      </c>
      <c r="O9421" t="s">
        <v>188</v>
      </c>
      <c r="P9421" s="1" t="s">
        <v>33</v>
      </c>
      <c r="Q9421">
        <v>162.6</v>
      </c>
    </row>
    <row r="9422" spans="11:17" x14ac:dyDescent="0.3">
      <c r="K9422">
        <v>2022</v>
      </c>
      <c r="L9422" t="s">
        <v>44</v>
      </c>
      <c r="M9422" t="s">
        <v>165</v>
      </c>
      <c r="N9422" t="s">
        <v>21</v>
      </c>
      <c r="O9422" t="s">
        <v>190</v>
      </c>
      <c r="P9422" s="1" t="s">
        <v>30</v>
      </c>
      <c r="Q9422">
        <v>181.9</v>
      </c>
    </row>
    <row r="9423" spans="11:17" x14ac:dyDescent="0.3">
      <c r="K9423">
        <v>2022</v>
      </c>
      <c r="L9423" t="s">
        <v>44</v>
      </c>
      <c r="M9423" t="s">
        <v>165</v>
      </c>
      <c r="N9423" t="s">
        <v>21</v>
      </c>
      <c r="O9423" t="s">
        <v>190</v>
      </c>
      <c r="P9423" s="1" t="s">
        <v>34</v>
      </c>
      <c r="Q9423">
        <v>181.3</v>
      </c>
    </row>
    <row r="9424" spans="11:17" x14ac:dyDescent="0.3">
      <c r="K9424">
        <v>2022</v>
      </c>
      <c r="L9424" t="s">
        <v>44</v>
      </c>
      <c r="M9424" t="s">
        <v>165</v>
      </c>
      <c r="N9424" t="s">
        <v>21</v>
      </c>
      <c r="O9424" t="s">
        <v>190</v>
      </c>
      <c r="P9424" s="1" t="s">
        <v>33</v>
      </c>
      <c r="Q9424">
        <v>180.3</v>
      </c>
    </row>
    <row r="9425" spans="11:17" x14ac:dyDescent="0.3">
      <c r="K9425">
        <v>2022</v>
      </c>
      <c r="L9425" t="s">
        <v>44</v>
      </c>
      <c r="M9425" t="s">
        <v>165</v>
      </c>
      <c r="N9425" t="s">
        <v>29</v>
      </c>
      <c r="O9425" t="s">
        <v>206</v>
      </c>
      <c r="P9425" s="1" t="s">
        <v>30</v>
      </c>
      <c r="Q9425">
        <v>177.8</v>
      </c>
    </row>
    <row r="9426" spans="11:17" x14ac:dyDescent="0.3">
      <c r="K9426">
        <v>2022</v>
      </c>
      <c r="L9426" t="s">
        <v>44</v>
      </c>
      <c r="M9426" t="s">
        <v>165</v>
      </c>
      <c r="N9426" t="s">
        <v>29</v>
      </c>
      <c r="O9426" t="s">
        <v>206</v>
      </c>
      <c r="P9426" s="1" t="s">
        <v>34</v>
      </c>
      <c r="Q9426">
        <v>176.5</v>
      </c>
    </row>
    <row r="9427" spans="11:17" x14ac:dyDescent="0.3">
      <c r="K9427">
        <v>2022</v>
      </c>
      <c r="L9427" t="s">
        <v>44</v>
      </c>
      <c r="M9427" t="s">
        <v>165</v>
      </c>
      <c r="N9427" t="s">
        <v>29</v>
      </c>
      <c r="O9427" t="s">
        <v>206</v>
      </c>
      <c r="P9427" s="1" t="s">
        <v>33</v>
      </c>
      <c r="Q9427">
        <v>174.1</v>
      </c>
    </row>
    <row r="9428" spans="11:17" x14ac:dyDescent="0.3">
      <c r="K9428">
        <v>2022</v>
      </c>
      <c r="L9428" t="s">
        <v>44</v>
      </c>
      <c r="M9428" t="s">
        <v>165</v>
      </c>
      <c r="N9428" t="s">
        <v>23</v>
      </c>
      <c r="O9428" t="s">
        <v>23</v>
      </c>
      <c r="P9428" s="1" t="s">
        <v>30</v>
      </c>
      <c r="Q9428">
        <v>182.3</v>
      </c>
    </row>
    <row r="9429" spans="11:17" x14ac:dyDescent="0.3">
      <c r="K9429">
        <v>2022</v>
      </c>
      <c r="L9429" t="s">
        <v>44</v>
      </c>
      <c r="M9429" t="s">
        <v>165</v>
      </c>
      <c r="N9429" t="s">
        <v>23</v>
      </c>
      <c r="O9429" t="s">
        <v>23</v>
      </c>
      <c r="P9429" s="1" t="s">
        <v>34</v>
      </c>
      <c r="Q9429">
        <v>179.8</v>
      </c>
    </row>
    <row r="9430" spans="11:17" x14ac:dyDescent="0.3">
      <c r="K9430">
        <v>2022</v>
      </c>
      <c r="L9430" t="s">
        <v>44</v>
      </c>
      <c r="M9430" t="s">
        <v>165</v>
      </c>
      <c r="N9430" t="s">
        <v>23</v>
      </c>
      <c r="O9430" t="s">
        <v>23</v>
      </c>
      <c r="P9430" s="1" t="s">
        <v>33</v>
      </c>
      <c r="Q9430">
        <v>175.8</v>
      </c>
    </row>
    <row r="9431" spans="11:17" x14ac:dyDescent="0.3">
      <c r="K9431">
        <v>2022</v>
      </c>
      <c r="L9431" t="s">
        <v>44</v>
      </c>
      <c r="M9431" t="s">
        <v>165</v>
      </c>
      <c r="N9431" t="s">
        <v>22</v>
      </c>
      <c r="O9431" t="s">
        <v>20</v>
      </c>
      <c r="P9431" s="1" t="s">
        <v>30</v>
      </c>
      <c r="Q9431">
        <v>175.5</v>
      </c>
    </row>
    <row r="9432" spans="11:17" x14ac:dyDescent="0.3">
      <c r="K9432">
        <v>2022</v>
      </c>
      <c r="L9432" t="s">
        <v>44</v>
      </c>
      <c r="M9432" t="s">
        <v>165</v>
      </c>
      <c r="N9432" t="s">
        <v>22</v>
      </c>
      <c r="O9432" t="s">
        <v>20</v>
      </c>
      <c r="P9432" s="1" t="s">
        <v>34</v>
      </c>
      <c r="Q9432">
        <v>171.4</v>
      </c>
    </row>
    <row r="9433" spans="11:17" x14ac:dyDescent="0.3">
      <c r="K9433">
        <v>2022</v>
      </c>
      <c r="L9433" t="s">
        <v>44</v>
      </c>
      <c r="M9433" t="s">
        <v>165</v>
      </c>
      <c r="N9433" t="s">
        <v>22</v>
      </c>
      <c r="O9433" t="s">
        <v>20</v>
      </c>
      <c r="P9433" s="1" t="s">
        <v>33</v>
      </c>
      <c r="Q9433">
        <v>166.9</v>
      </c>
    </row>
    <row r="9434" spans="11:17" x14ac:dyDescent="0.3">
      <c r="K9434">
        <v>2022</v>
      </c>
      <c r="L9434" t="s">
        <v>44</v>
      </c>
      <c r="M9434" t="s">
        <v>165</v>
      </c>
      <c r="N9434" t="s">
        <v>20</v>
      </c>
      <c r="O9434" t="s">
        <v>20</v>
      </c>
      <c r="P9434" s="1" t="s">
        <v>30</v>
      </c>
      <c r="Q9434">
        <v>0</v>
      </c>
    </row>
    <row r="9435" spans="11:17" x14ac:dyDescent="0.3">
      <c r="K9435">
        <v>2022</v>
      </c>
      <c r="L9435" t="s">
        <v>44</v>
      </c>
      <c r="M9435" t="s">
        <v>165</v>
      </c>
      <c r="N9435" t="s">
        <v>20</v>
      </c>
      <c r="O9435" t="s">
        <v>20</v>
      </c>
      <c r="P9435" s="1" t="s">
        <v>34</v>
      </c>
      <c r="Q9435">
        <v>171.8</v>
      </c>
    </row>
    <row r="9436" spans="11:17" x14ac:dyDescent="0.3">
      <c r="K9436">
        <v>2022</v>
      </c>
      <c r="L9436" t="s">
        <v>44</v>
      </c>
      <c r="M9436" t="s">
        <v>165</v>
      </c>
      <c r="N9436" t="s">
        <v>20</v>
      </c>
      <c r="O9436" t="s">
        <v>20</v>
      </c>
      <c r="P9436" s="1" t="s">
        <v>33</v>
      </c>
      <c r="Q9436">
        <v>171.8</v>
      </c>
    </row>
    <row r="9437" spans="11:17" x14ac:dyDescent="0.3">
      <c r="K9437">
        <v>2022</v>
      </c>
      <c r="L9437" t="s">
        <v>44</v>
      </c>
      <c r="M9437" t="s">
        <v>165</v>
      </c>
      <c r="N9437" t="s">
        <v>4</v>
      </c>
      <c r="O9437" t="s">
        <v>188</v>
      </c>
      <c r="P9437" s="1" t="s">
        <v>30</v>
      </c>
      <c r="Q9437">
        <v>207.2</v>
      </c>
    </row>
    <row r="9438" spans="11:17" x14ac:dyDescent="0.3">
      <c r="K9438">
        <v>2022</v>
      </c>
      <c r="L9438" t="s">
        <v>44</v>
      </c>
      <c r="M9438" t="s">
        <v>165</v>
      </c>
      <c r="N9438" t="s">
        <v>4</v>
      </c>
      <c r="O9438" t="s">
        <v>188</v>
      </c>
      <c r="P9438" s="1" t="s">
        <v>34</v>
      </c>
      <c r="Q9438">
        <v>209.4</v>
      </c>
    </row>
    <row r="9439" spans="11:17" x14ac:dyDescent="0.3">
      <c r="K9439">
        <v>2022</v>
      </c>
      <c r="L9439" t="s">
        <v>44</v>
      </c>
      <c r="M9439" t="s">
        <v>165</v>
      </c>
      <c r="N9439" t="s">
        <v>4</v>
      </c>
      <c r="O9439" t="s">
        <v>188</v>
      </c>
      <c r="P9439" s="1" t="s">
        <v>33</v>
      </c>
      <c r="Q9439">
        <v>213.4</v>
      </c>
    </row>
    <row r="9440" spans="11:17" x14ac:dyDescent="0.3">
      <c r="K9440">
        <v>2022</v>
      </c>
      <c r="L9440" t="s">
        <v>44</v>
      </c>
      <c r="M9440" t="s">
        <v>165</v>
      </c>
      <c r="N9440" t="s">
        <v>6</v>
      </c>
      <c r="O9440" t="s">
        <v>188</v>
      </c>
      <c r="P9440" s="1" t="s">
        <v>30</v>
      </c>
      <c r="Q9440">
        <v>172.3</v>
      </c>
    </row>
    <row r="9441" spans="11:17" x14ac:dyDescent="0.3">
      <c r="K9441">
        <v>2022</v>
      </c>
      <c r="L9441" t="s">
        <v>44</v>
      </c>
      <c r="M9441" t="s">
        <v>165</v>
      </c>
      <c r="N9441" t="s">
        <v>6</v>
      </c>
      <c r="O9441" t="s">
        <v>188</v>
      </c>
      <c r="P9441" s="1" t="s">
        <v>34</v>
      </c>
      <c r="Q9441">
        <v>172.3</v>
      </c>
    </row>
    <row r="9442" spans="11:17" x14ac:dyDescent="0.3">
      <c r="K9442">
        <v>2022</v>
      </c>
      <c r="L9442" t="s">
        <v>44</v>
      </c>
      <c r="M9442" t="s">
        <v>165</v>
      </c>
      <c r="N9442" t="s">
        <v>6</v>
      </c>
      <c r="O9442" t="s">
        <v>188</v>
      </c>
      <c r="P9442" s="1" t="s">
        <v>33</v>
      </c>
      <c r="Q9442">
        <v>172.3</v>
      </c>
    </row>
    <row r="9443" spans="11:17" x14ac:dyDescent="0.3">
      <c r="K9443">
        <v>2022</v>
      </c>
      <c r="L9443" t="s">
        <v>44</v>
      </c>
      <c r="M9443" t="s">
        <v>165</v>
      </c>
      <c r="N9443" t="s">
        <v>28</v>
      </c>
      <c r="O9443" t="s">
        <v>192</v>
      </c>
      <c r="P9443" s="1" t="s">
        <v>30</v>
      </c>
      <c r="Q9443">
        <v>174.6</v>
      </c>
    </row>
    <row r="9444" spans="11:17" x14ac:dyDescent="0.3">
      <c r="K9444">
        <v>2022</v>
      </c>
      <c r="L9444" t="s">
        <v>44</v>
      </c>
      <c r="M9444" t="s">
        <v>165</v>
      </c>
      <c r="N9444" t="s">
        <v>28</v>
      </c>
      <c r="O9444" t="s">
        <v>192</v>
      </c>
      <c r="P9444" s="1" t="s">
        <v>34</v>
      </c>
      <c r="Q9444">
        <v>171.1</v>
      </c>
    </row>
    <row r="9445" spans="11:17" x14ac:dyDescent="0.3">
      <c r="K9445">
        <v>2022</v>
      </c>
      <c r="L9445" t="s">
        <v>44</v>
      </c>
      <c r="M9445" t="s">
        <v>165</v>
      </c>
      <c r="N9445" t="s">
        <v>28</v>
      </c>
      <c r="O9445" t="s">
        <v>192</v>
      </c>
      <c r="P9445" s="1" t="s">
        <v>33</v>
      </c>
      <c r="Q9445">
        <v>167.4</v>
      </c>
    </row>
    <row r="9446" spans="11:17" x14ac:dyDescent="0.3">
      <c r="K9446">
        <v>2022</v>
      </c>
      <c r="L9446" t="s">
        <v>44</v>
      </c>
      <c r="M9446" t="s">
        <v>165</v>
      </c>
      <c r="N9446" t="s">
        <v>13</v>
      </c>
      <c r="O9446" t="s">
        <v>188</v>
      </c>
      <c r="P9446" s="1" t="s">
        <v>30</v>
      </c>
      <c r="Q9446">
        <v>176.4</v>
      </c>
    </row>
    <row r="9447" spans="11:17" x14ac:dyDescent="0.3">
      <c r="K9447">
        <v>2022</v>
      </c>
      <c r="L9447" t="s">
        <v>44</v>
      </c>
      <c r="M9447" t="s">
        <v>165</v>
      </c>
      <c r="N9447" t="s">
        <v>13</v>
      </c>
      <c r="O9447" t="s">
        <v>188</v>
      </c>
      <c r="P9447" s="1" t="s">
        <v>34</v>
      </c>
      <c r="Q9447">
        <v>170.4</v>
      </c>
    </row>
    <row r="9448" spans="11:17" x14ac:dyDescent="0.3">
      <c r="K9448">
        <v>2022</v>
      </c>
      <c r="L9448" t="s">
        <v>44</v>
      </c>
      <c r="M9448" t="s">
        <v>165</v>
      </c>
      <c r="N9448" t="s">
        <v>13</v>
      </c>
      <c r="O9448" t="s">
        <v>188</v>
      </c>
      <c r="P9448" s="1" t="s">
        <v>33</v>
      </c>
      <c r="Q9448">
        <v>162.1</v>
      </c>
    </row>
    <row r="9449" spans="11:17" x14ac:dyDescent="0.3">
      <c r="K9449">
        <v>2022</v>
      </c>
      <c r="L9449" t="s">
        <v>44</v>
      </c>
      <c r="M9449" t="s">
        <v>165</v>
      </c>
      <c r="N9449" t="s">
        <v>7</v>
      </c>
      <c r="O9449" t="s">
        <v>188</v>
      </c>
      <c r="P9449" s="1" t="s">
        <v>30</v>
      </c>
      <c r="Q9449">
        <v>194</v>
      </c>
    </row>
    <row r="9450" spans="11:17" x14ac:dyDescent="0.3">
      <c r="K9450">
        <v>2022</v>
      </c>
      <c r="L9450" t="s">
        <v>44</v>
      </c>
      <c r="M9450" t="s">
        <v>165</v>
      </c>
      <c r="N9450" t="s">
        <v>7</v>
      </c>
      <c r="O9450" t="s">
        <v>188</v>
      </c>
      <c r="P9450" s="1" t="s">
        <v>34</v>
      </c>
      <c r="Q9450">
        <v>188.9</v>
      </c>
    </row>
    <row r="9451" spans="11:17" x14ac:dyDescent="0.3">
      <c r="K9451">
        <v>2022</v>
      </c>
      <c r="L9451" t="s">
        <v>44</v>
      </c>
      <c r="M9451" t="s">
        <v>165</v>
      </c>
      <c r="N9451" t="s">
        <v>7</v>
      </c>
      <c r="O9451" t="s">
        <v>188</v>
      </c>
      <c r="P9451" s="1" t="s">
        <v>33</v>
      </c>
      <c r="Q9451">
        <v>180</v>
      </c>
    </row>
    <row r="9452" spans="11:17" x14ac:dyDescent="0.3">
      <c r="K9452">
        <v>2022</v>
      </c>
      <c r="L9452" t="s">
        <v>44</v>
      </c>
      <c r="M9452" t="s">
        <v>165</v>
      </c>
      <c r="N9452" t="s">
        <v>16</v>
      </c>
      <c r="O9452" t="s">
        <v>192</v>
      </c>
      <c r="P9452" s="1" t="s">
        <v>30</v>
      </c>
      <c r="Q9452">
        <v>195.5</v>
      </c>
    </row>
    <row r="9453" spans="11:17" x14ac:dyDescent="0.3">
      <c r="K9453">
        <v>2022</v>
      </c>
      <c r="L9453" t="s">
        <v>44</v>
      </c>
      <c r="M9453" t="s">
        <v>165</v>
      </c>
      <c r="N9453" t="s">
        <v>16</v>
      </c>
      <c r="O9453" t="s">
        <v>192</v>
      </c>
      <c r="P9453" s="1" t="s">
        <v>34</v>
      </c>
      <c r="Q9453">
        <v>196.9</v>
      </c>
    </row>
    <row r="9454" spans="11:17" x14ac:dyDescent="0.3">
      <c r="K9454">
        <v>2022</v>
      </c>
      <c r="L9454" t="s">
        <v>44</v>
      </c>
      <c r="M9454" t="s">
        <v>165</v>
      </c>
      <c r="N9454" t="s">
        <v>16</v>
      </c>
      <c r="O9454" t="s">
        <v>192</v>
      </c>
      <c r="P9454" s="1" t="s">
        <v>33</v>
      </c>
      <c r="Q9454">
        <v>200.6</v>
      </c>
    </row>
    <row r="9455" spans="11:17" x14ac:dyDescent="0.3">
      <c r="K9455">
        <v>2022</v>
      </c>
      <c r="L9455" t="s">
        <v>44</v>
      </c>
      <c r="M9455" t="s">
        <v>165</v>
      </c>
      <c r="N9455" t="s">
        <v>27</v>
      </c>
      <c r="O9455" t="s">
        <v>192</v>
      </c>
      <c r="P9455" s="1" t="s">
        <v>30</v>
      </c>
      <c r="Q9455">
        <v>173.4</v>
      </c>
    </row>
    <row r="9456" spans="11:17" x14ac:dyDescent="0.3">
      <c r="K9456">
        <v>2022</v>
      </c>
      <c r="L9456" t="s">
        <v>44</v>
      </c>
      <c r="M9456" t="s">
        <v>165</v>
      </c>
      <c r="N9456" t="s">
        <v>27</v>
      </c>
      <c r="O9456" t="s">
        <v>192</v>
      </c>
      <c r="P9456" s="1" t="s">
        <v>34</v>
      </c>
      <c r="Q9456">
        <v>173.6</v>
      </c>
    </row>
    <row r="9457" spans="11:17" x14ac:dyDescent="0.3">
      <c r="K9457">
        <v>2022</v>
      </c>
      <c r="L9457" t="s">
        <v>44</v>
      </c>
      <c r="M9457" t="s">
        <v>165</v>
      </c>
      <c r="N9457" t="s">
        <v>27</v>
      </c>
      <c r="O9457" t="s">
        <v>192</v>
      </c>
      <c r="P9457" s="1" t="s">
        <v>33</v>
      </c>
      <c r="Q9457">
        <v>173.8</v>
      </c>
    </row>
    <row r="9458" spans="11:17" x14ac:dyDescent="0.3">
      <c r="K9458">
        <v>2022</v>
      </c>
      <c r="L9458" t="s">
        <v>44</v>
      </c>
      <c r="M9458" t="s">
        <v>165</v>
      </c>
      <c r="N9458" t="s">
        <v>14</v>
      </c>
      <c r="O9458" t="s">
        <v>188</v>
      </c>
      <c r="P9458" s="1" t="s">
        <v>30</v>
      </c>
      <c r="Q9458">
        <v>186.9</v>
      </c>
    </row>
    <row r="9459" spans="11:17" x14ac:dyDescent="0.3">
      <c r="K9459">
        <v>2022</v>
      </c>
      <c r="L9459" t="s">
        <v>44</v>
      </c>
      <c r="M9459" t="s">
        <v>165</v>
      </c>
      <c r="N9459" t="s">
        <v>14</v>
      </c>
      <c r="O9459" t="s">
        <v>188</v>
      </c>
      <c r="P9459" s="1" t="s">
        <v>34</v>
      </c>
      <c r="Q9459">
        <v>189.5</v>
      </c>
    </row>
    <row r="9460" spans="11:17" x14ac:dyDescent="0.3">
      <c r="K9460">
        <v>2022</v>
      </c>
      <c r="L9460" t="s">
        <v>44</v>
      </c>
      <c r="M9460" t="s">
        <v>165</v>
      </c>
      <c r="N9460" t="s">
        <v>14</v>
      </c>
      <c r="O9460" t="s">
        <v>188</v>
      </c>
      <c r="P9460" s="1" t="s">
        <v>33</v>
      </c>
      <c r="Q9460">
        <v>192.4</v>
      </c>
    </row>
    <row r="9461" spans="11:17" x14ac:dyDescent="0.3">
      <c r="K9461">
        <v>2022</v>
      </c>
      <c r="L9461" t="s">
        <v>44</v>
      </c>
      <c r="M9461" t="s">
        <v>165</v>
      </c>
      <c r="N9461" t="s">
        <v>10</v>
      </c>
      <c r="O9461" t="s">
        <v>188</v>
      </c>
      <c r="P9461" s="1" t="s">
        <v>30</v>
      </c>
      <c r="Q9461">
        <v>170.2</v>
      </c>
    </row>
    <row r="9462" spans="11:17" x14ac:dyDescent="0.3">
      <c r="K9462">
        <v>2022</v>
      </c>
      <c r="L9462" t="s">
        <v>44</v>
      </c>
      <c r="M9462" t="s">
        <v>165</v>
      </c>
      <c r="N9462" t="s">
        <v>10</v>
      </c>
      <c r="O9462" t="s">
        <v>188</v>
      </c>
      <c r="P9462" s="1" t="s">
        <v>34</v>
      </c>
      <c r="Q9462">
        <v>170.5</v>
      </c>
    </row>
    <row r="9463" spans="11:17" x14ac:dyDescent="0.3">
      <c r="K9463">
        <v>2022</v>
      </c>
      <c r="L9463" t="s">
        <v>44</v>
      </c>
      <c r="M9463" t="s">
        <v>165</v>
      </c>
      <c r="N9463" t="s">
        <v>10</v>
      </c>
      <c r="O9463" t="s">
        <v>188</v>
      </c>
      <c r="P9463" s="1" t="s">
        <v>33</v>
      </c>
      <c r="Q9463">
        <v>171</v>
      </c>
    </row>
    <row r="9464" spans="11:17" x14ac:dyDescent="0.3">
      <c r="K9464">
        <v>2022</v>
      </c>
      <c r="L9464" t="s">
        <v>44</v>
      </c>
      <c r="M9464" t="s">
        <v>165</v>
      </c>
      <c r="N9464" t="s">
        <v>25</v>
      </c>
      <c r="O9464" t="s">
        <v>195</v>
      </c>
      <c r="P9464" s="1" t="s">
        <v>30</v>
      </c>
      <c r="Q9464">
        <v>170.8</v>
      </c>
    </row>
    <row r="9465" spans="11:17" x14ac:dyDescent="0.3">
      <c r="K9465">
        <v>2022</v>
      </c>
      <c r="L9465" t="s">
        <v>44</v>
      </c>
      <c r="M9465" t="s">
        <v>165</v>
      </c>
      <c r="N9465" t="s">
        <v>25</v>
      </c>
      <c r="O9465" t="s">
        <v>195</v>
      </c>
      <c r="P9465" s="1" t="s">
        <v>34</v>
      </c>
      <c r="Q9465">
        <v>168.5</v>
      </c>
    </row>
    <row r="9466" spans="11:17" x14ac:dyDescent="0.3">
      <c r="K9466">
        <v>2022</v>
      </c>
      <c r="L9466" t="s">
        <v>44</v>
      </c>
      <c r="M9466" t="s">
        <v>165</v>
      </c>
      <c r="N9466" t="s">
        <v>25</v>
      </c>
      <c r="O9466" t="s">
        <v>195</v>
      </c>
      <c r="P9466" s="1" t="s">
        <v>33</v>
      </c>
      <c r="Q9466">
        <v>166.7</v>
      </c>
    </row>
    <row r="9467" spans="11:17" x14ac:dyDescent="0.3">
      <c r="K9467">
        <v>2022</v>
      </c>
      <c r="L9467" t="s">
        <v>44</v>
      </c>
      <c r="M9467" t="s">
        <v>165</v>
      </c>
      <c r="N9467" t="s">
        <v>12</v>
      </c>
      <c r="O9467" t="s">
        <v>188</v>
      </c>
      <c r="P9467" s="1" t="s">
        <v>30</v>
      </c>
      <c r="Q9467">
        <v>204.8</v>
      </c>
    </row>
    <row r="9468" spans="11:17" x14ac:dyDescent="0.3">
      <c r="K9468">
        <v>2022</v>
      </c>
      <c r="L9468" t="s">
        <v>44</v>
      </c>
      <c r="M9468" t="s">
        <v>165</v>
      </c>
      <c r="N9468" t="s">
        <v>12</v>
      </c>
      <c r="O9468" t="s">
        <v>188</v>
      </c>
      <c r="P9468" s="1" t="s">
        <v>34</v>
      </c>
      <c r="Q9468">
        <v>202.8</v>
      </c>
    </row>
    <row r="9469" spans="11:17" x14ac:dyDescent="0.3">
      <c r="K9469">
        <v>2022</v>
      </c>
      <c r="L9469" t="s">
        <v>44</v>
      </c>
      <c r="M9469" t="s">
        <v>165</v>
      </c>
      <c r="N9469" t="s">
        <v>12</v>
      </c>
      <c r="O9469" t="s">
        <v>188</v>
      </c>
      <c r="P9469" s="1" t="s">
        <v>33</v>
      </c>
      <c r="Q9469">
        <v>198.8</v>
      </c>
    </row>
    <row r="9470" spans="11:17" x14ac:dyDescent="0.3">
      <c r="K9470">
        <v>2022</v>
      </c>
      <c r="L9470" t="s">
        <v>44</v>
      </c>
      <c r="M9470" t="s">
        <v>165</v>
      </c>
      <c r="N9470" t="s">
        <v>11</v>
      </c>
      <c r="O9470" t="s">
        <v>188</v>
      </c>
      <c r="P9470" s="1" t="s">
        <v>30</v>
      </c>
      <c r="Q9470">
        <v>121.5</v>
      </c>
    </row>
    <row r="9471" spans="11:17" x14ac:dyDescent="0.3">
      <c r="K9471">
        <v>2022</v>
      </c>
      <c r="L9471" t="s">
        <v>44</v>
      </c>
      <c r="M9471" t="s">
        <v>165</v>
      </c>
      <c r="N9471" t="s">
        <v>11</v>
      </c>
      <c r="O9471" t="s">
        <v>188</v>
      </c>
      <c r="P9471" s="1" t="s">
        <v>34</v>
      </c>
      <c r="Q9471">
        <v>122.1</v>
      </c>
    </row>
    <row r="9472" spans="11:17" x14ac:dyDescent="0.3">
      <c r="K9472">
        <v>2022</v>
      </c>
      <c r="L9472" t="s">
        <v>44</v>
      </c>
      <c r="M9472" t="s">
        <v>165</v>
      </c>
      <c r="N9472" t="s">
        <v>11</v>
      </c>
      <c r="O9472" t="s">
        <v>188</v>
      </c>
      <c r="P9472" s="1" t="s">
        <v>33</v>
      </c>
      <c r="Q9472">
        <v>123.4</v>
      </c>
    </row>
    <row r="9473" spans="11:17" x14ac:dyDescent="0.3">
      <c r="K9473">
        <v>2022</v>
      </c>
      <c r="L9473" t="s">
        <v>44</v>
      </c>
      <c r="M9473" t="s">
        <v>165</v>
      </c>
      <c r="N9473" t="s">
        <v>24</v>
      </c>
      <c r="O9473" t="s">
        <v>191</v>
      </c>
      <c r="P9473" s="1" t="s">
        <v>30</v>
      </c>
      <c r="Q9473">
        <v>167.5</v>
      </c>
    </row>
    <row r="9474" spans="11:17" x14ac:dyDescent="0.3">
      <c r="K9474">
        <v>2022</v>
      </c>
      <c r="L9474" t="s">
        <v>44</v>
      </c>
      <c r="M9474" t="s">
        <v>165</v>
      </c>
      <c r="N9474" t="s">
        <v>24</v>
      </c>
      <c r="O9474" t="s">
        <v>191</v>
      </c>
      <c r="P9474" s="1" t="s">
        <v>34</v>
      </c>
      <c r="Q9474">
        <v>163</v>
      </c>
    </row>
    <row r="9475" spans="11:17" x14ac:dyDescent="0.3">
      <c r="K9475">
        <v>2022</v>
      </c>
      <c r="L9475" t="s">
        <v>44</v>
      </c>
      <c r="M9475" t="s">
        <v>165</v>
      </c>
      <c r="N9475" t="s">
        <v>24</v>
      </c>
      <c r="O9475" t="s">
        <v>191</v>
      </c>
      <c r="P9475" s="1" t="s">
        <v>33</v>
      </c>
      <c r="Q9475">
        <v>158.9</v>
      </c>
    </row>
    <row r="9476" spans="11:17" x14ac:dyDescent="0.3">
      <c r="K9476">
        <v>2022</v>
      </c>
      <c r="L9476" t="s">
        <v>44</v>
      </c>
      <c r="M9476" t="s">
        <v>165</v>
      </c>
      <c r="N9476" t="s">
        <v>9</v>
      </c>
      <c r="O9476" t="s">
        <v>188</v>
      </c>
      <c r="P9476" s="1" t="s">
        <v>30</v>
      </c>
      <c r="Q9476">
        <v>171.6</v>
      </c>
    </row>
    <row r="9477" spans="11:17" x14ac:dyDescent="0.3">
      <c r="K9477">
        <v>2022</v>
      </c>
      <c r="L9477" t="s">
        <v>44</v>
      </c>
      <c r="M9477" t="s">
        <v>165</v>
      </c>
      <c r="N9477" t="s">
        <v>9</v>
      </c>
      <c r="O9477" t="s">
        <v>188</v>
      </c>
      <c r="P9477" s="1" t="s">
        <v>34</v>
      </c>
      <c r="Q9477">
        <v>183.1</v>
      </c>
    </row>
    <row r="9478" spans="11:17" x14ac:dyDescent="0.3">
      <c r="K9478">
        <v>2022</v>
      </c>
      <c r="L9478" t="s">
        <v>44</v>
      </c>
      <c r="M9478" t="s">
        <v>165</v>
      </c>
      <c r="N9478" t="s">
        <v>9</v>
      </c>
      <c r="O9478" t="s">
        <v>188</v>
      </c>
      <c r="P9478" s="1" t="s">
        <v>33</v>
      </c>
      <c r="Q9478">
        <v>205.5</v>
      </c>
    </row>
    <row r="9479" spans="11:17" x14ac:dyDescent="0.3">
      <c r="K9479">
        <v>2022</v>
      </c>
      <c r="L9479" t="s">
        <v>43</v>
      </c>
      <c r="M9479" t="s">
        <v>166</v>
      </c>
      <c r="N9479" t="s">
        <v>3</v>
      </c>
      <c r="O9479" t="s">
        <v>188</v>
      </c>
      <c r="P9479" s="1" t="s">
        <v>30</v>
      </c>
      <c r="Q9479">
        <v>164.7</v>
      </c>
    </row>
    <row r="9480" spans="11:17" x14ac:dyDescent="0.3">
      <c r="K9480">
        <v>2022</v>
      </c>
      <c r="L9480" t="s">
        <v>43</v>
      </c>
      <c r="M9480" t="s">
        <v>166</v>
      </c>
      <c r="N9480" t="s">
        <v>3</v>
      </c>
      <c r="O9480" t="s">
        <v>188</v>
      </c>
      <c r="P9480" s="1" t="s">
        <v>34</v>
      </c>
      <c r="Q9480">
        <v>165.2</v>
      </c>
    </row>
    <row r="9481" spans="11:17" x14ac:dyDescent="0.3">
      <c r="K9481">
        <v>2022</v>
      </c>
      <c r="L9481" t="s">
        <v>43</v>
      </c>
      <c r="M9481" t="s">
        <v>166</v>
      </c>
      <c r="N9481" t="s">
        <v>3</v>
      </c>
      <c r="O9481" t="s">
        <v>188</v>
      </c>
      <c r="P9481" s="1" t="s">
        <v>33</v>
      </c>
      <c r="Q9481">
        <v>166.4</v>
      </c>
    </row>
    <row r="9482" spans="11:17" x14ac:dyDescent="0.3">
      <c r="K9482">
        <v>2022</v>
      </c>
      <c r="L9482" t="s">
        <v>43</v>
      </c>
      <c r="M9482" t="s">
        <v>166</v>
      </c>
      <c r="N9482" t="s">
        <v>17</v>
      </c>
      <c r="O9482" t="s">
        <v>189</v>
      </c>
      <c r="P9482" s="1" t="s">
        <v>30</v>
      </c>
      <c r="Q9482">
        <v>186.1</v>
      </c>
    </row>
    <row r="9483" spans="11:17" x14ac:dyDescent="0.3">
      <c r="K9483">
        <v>2022</v>
      </c>
      <c r="L9483" t="s">
        <v>43</v>
      </c>
      <c r="M9483" t="s">
        <v>166</v>
      </c>
      <c r="N9483" t="s">
        <v>17</v>
      </c>
      <c r="O9483" t="s">
        <v>189</v>
      </c>
      <c r="P9483" s="1" t="s">
        <v>34</v>
      </c>
      <c r="Q9483">
        <v>181.9</v>
      </c>
    </row>
    <row r="9484" spans="11:17" x14ac:dyDescent="0.3">
      <c r="K9484">
        <v>2022</v>
      </c>
      <c r="L9484" t="s">
        <v>43</v>
      </c>
      <c r="M9484" t="s">
        <v>166</v>
      </c>
      <c r="N9484" t="s">
        <v>17</v>
      </c>
      <c r="O9484" t="s">
        <v>189</v>
      </c>
      <c r="P9484" s="1" t="s">
        <v>33</v>
      </c>
      <c r="Q9484">
        <v>175.5</v>
      </c>
    </row>
    <row r="9485" spans="11:17" x14ac:dyDescent="0.3">
      <c r="K9485">
        <v>2022</v>
      </c>
      <c r="L9485" t="s">
        <v>43</v>
      </c>
      <c r="M9485" t="s">
        <v>166</v>
      </c>
      <c r="N9485" t="s">
        <v>19</v>
      </c>
      <c r="O9485" t="s">
        <v>189</v>
      </c>
      <c r="P9485" s="1" t="s">
        <v>30</v>
      </c>
      <c r="Q9485">
        <v>185.9</v>
      </c>
    </row>
    <row r="9486" spans="11:17" x14ac:dyDescent="0.3">
      <c r="K9486">
        <v>2022</v>
      </c>
      <c r="L9486" t="s">
        <v>43</v>
      </c>
      <c r="M9486" t="s">
        <v>166</v>
      </c>
      <c r="N9486" t="s">
        <v>19</v>
      </c>
      <c r="O9486" t="s">
        <v>189</v>
      </c>
      <c r="P9486" s="1" t="s">
        <v>34</v>
      </c>
      <c r="Q9486">
        <v>181</v>
      </c>
    </row>
    <row r="9487" spans="11:17" x14ac:dyDescent="0.3">
      <c r="K9487">
        <v>2022</v>
      </c>
      <c r="L9487" t="s">
        <v>43</v>
      </c>
      <c r="M9487" t="s">
        <v>166</v>
      </c>
      <c r="N9487" t="s">
        <v>19</v>
      </c>
      <c r="O9487" t="s">
        <v>189</v>
      </c>
      <c r="P9487" s="1" t="s">
        <v>33</v>
      </c>
      <c r="Q9487">
        <v>173.6</v>
      </c>
    </row>
    <row r="9488" spans="11:17" x14ac:dyDescent="0.3">
      <c r="K9488">
        <v>2022</v>
      </c>
      <c r="L9488" t="s">
        <v>43</v>
      </c>
      <c r="M9488" t="s">
        <v>166</v>
      </c>
      <c r="N9488" t="s">
        <v>26</v>
      </c>
      <c r="O9488" t="s">
        <v>26</v>
      </c>
      <c r="P9488" s="1" t="s">
        <v>30</v>
      </c>
      <c r="Q9488">
        <v>176.5</v>
      </c>
    </row>
    <row r="9489" spans="11:17" x14ac:dyDescent="0.3">
      <c r="K9489">
        <v>2022</v>
      </c>
      <c r="L9489" t="s">
        <v>43</v>
      </c>
      <c r="M9489" t="s">
        <v>166</v>
      </c>
      <c r="N9489" t="s">
        <v>26</v>
      </c>
      <c r="O9489" t="s">
        <v>26</v>
      </c>
      <c r="P9489" s="1" t="s">
        <v>34</v>
      </c>
      <c r="Q9489">
        <v>173.4</v>
      </c>
    </row>
    <row r="9490" spans="11:17" x14ac:dyDescent="0.3">
      <c r="K9490">
        <v>2022</v>
      </c>
      <c r="L9490" t="s">
        <v>43</v>
      </c>
      <c r="M9490" t="s">
        <v>166</v>
      </c>
      <c r="N9490" t="s">
        <v>26</v>
      </c>
      <c r="O9490" t="s">
        <v>26</v>
      </c>
      <c r="P9490" s="1" t="s">
        <v>33</v>
      </c>
      <c r="Q9490">
        <v>171.2</v>
      </c>
    </row>
    <row r="9491" spans="11:17" x14ac:dyDescent="0.3">
      <c r="K9491">
        <v>2022</v>
      </c>
      <c r="L9491" t="s">
        <v>43</v>
      </c>
      <c r="M9491" t="s">
        <v>166</v>
      </c>
      <c r="N9491" t="s">
        <v>5</v>
      </c>
      <c r="O9491" t="s">
        <v>188</v>
      </c>
      <c r="P9491" s="1" t="s">
        <v>30</v>
      </c>
      <c r="Q9491">
        <v>170.3</v>
      </c>
    </row>
    <row r="9492" spans="11:17" x14ac:dyDescent="0.3">
      <c r="K9492">
        <v>2022</v>
      </c>
      <c r="L9492" t="s">
        <v>43</v>
      </c>
      <c r="M9492" t="s">
        <v>166</v>
      </c>
      <c r="N9492" t="s">
        <v>5</v>
      </c>
      <c r="O9492" t="s">
        <v>188</v>
      </c>
      <c r="P9492" s="1" t="s">
        <v>34</v>
      </c>
      <c r="Q9492">
        <v>170.9</v>
      </c>
    </row>
    <row r="9493" spans="11:17" x14ac:dyDescent="0.3">
      <c r="K9493">
        <v>2022</v>
      </c>
      <c r="L9493" t="s">
        <v>43</v>
      </c>
      <c r="M9493" t="s">
        <v>166</v>
      </c>
      <c r="N9493" t="s">
        <v>5</v>
      </c>
      <c r="O9493" t="s">
        <v>188</v>
      </c>
      <c r="P9493" s="1" t="s">
        <v>33</v>
      </c>
      <c r="Q9493">
        <v>171.9</v>
      </c>
    </row>
    <row r="9494" spans="11:17" x14ac:dyDescent="0.3">
      <c r="K9494">
        <v>2022</v>
      </c>
      <c r="L9494" t="s">
        <v>43</v>
      </c>
      <c r="M9494" t="s">
        <v>166</v>
      </c>
      <c r="N9494" t="s">
        <v>15</v>
      </c>
      <c r="O9494" t="s">
        <v>188</v>
      </c>
      <c r="P9494" s="1" t="s">
        <v>30</v>
      </c>
      <c r="Q9494">
        <v>177.4</v>
      </c>
    </row>
    <row r="9495" spans="11:17" x14ac:dyDescent="0.3">
      <c r="K9495">
        <v>2022</v>
      </c>
      <c r="L9495" t="s">
        <v>43</v>
      </c>
      <c r="M9495" t="s">
        <v>166</v>
      </c>
      <c r="N9495" t="s">
        <v>15</v>
      </c>
      <c r="O9495" t="s">
        <v>188</v>
      </c>
      <c r="P9495" s="1" t="s">
        <v>34</v>
      </c>
      <c r="Q9495">
        <v>179.6</v>
      </c>
    </row>
    <row r="9496" spans="11:17" x14ac:dyDescent="0.3">
      <c r="K9496">
        <v>2022</v>
      </c>
      <c r="L9496" t="s">
        <v>43</v>
      </c>
      <c r="M9496" t="s">
        <v>166</v>
      </c>
      <c r="N9496" t="s">
        <v>15</v>
      </c>
      <c r="O9496" t="s">
        <v>188</v>
      </c>
      <c r="P9496" s="1" t="s">
        <v>33</v>
      </c>
      <c r="Q9496">
        <v>183.3</v>
      </c>
    </row>
    <row r="9497" spans="11:17" x14ac:dyDescent="0.3">
      <c r="K9497">
        <v>2022</v>
      </c>
      <c r="L9497" t="s">
        <v>43</v>
      </c>
      <c r="M9497" t="s">
        <v>166</v>
      </c>
      <c r="N9497" t="s">
        <v>18</v>
      </c>
      <c r="O9497" t="s">
        <v>189</v>
      </c>
      <c r="P9497" s="1" t="s">
        <v>30</v>
      </c>
      <c r="Q9497">
        <v>184.4</v>
      </c>
    </row>
    <row r="9498" spans="11:17" x14ac:dyDescent="0.3">
      <c r="K9498">
        <v>2022</v>
      </c>
      <c r="L9498" t="s">
        <v>43</v>
      </c>
      <c r="M9498" t="s">
        <v>166</v>
      </c>
      <c r="N9498" t="s">
        <v>18</v>
      </c>
      <c r="O9498" t="s">
        <v>189</v>
      </c>
      <c r="P9498" s="1" t="s">
        <v>34</v>
      </c>
      <c r="Q9498">
        <v>175.3</v>
      </c>
    </row>
    <row r="9499" spans="11:17" x14ac:dyDescent="0.3">
      <c r="K9499">
        <v>2022</v>
      </c>
      <c r="L9499" t="s">
        <v>43</v>
      </c>
      <c r="M9499" t="s">
        <v>166</v>
      </c>
      <c r="N9499" t="s">
        <v>18</v>
      </c>
      <c r="O9499" t="s">
        <v>189</v>
      </c>
      <c r="P9499" s="1" t="s">
        <v>33</v>
      </c>
      <c r="Q9499">
        <v>162.6</v>
      </c>
    </row>
    <row r="9500" spans="11:17" x14ac:dyDescent="0.3">
      <c r="K9500">
        <v>2022</v>
      </c>
      <c r="L9500" t="s">
        <v>43</v>
      </c>
      <c r="M9500" t="s">
        <v>166</v>
      </c>
      <c r="N9500" t="s">
        <v>8</v>
      </c>
      <c r="O9500" t="s">
        <v>188</v>
      </c>
      <c r="P9500" s="1" t="s">
        <v>30</v>
      </c>
      <c r="Q9500">
        <v>162.19999999999999</v>
      </c>
    </row>
    <row r="9501" spans="11:17" x14ac:dyDescent="0.3">
      <c r="K9501">
        <v>2022</v>
      </c>
      <c r="L9501" t="s">
        <v>43</v>
      </c>
      <c r="M9501" t="s">
        <v>166</v>
      </c>
      <c r="N9501" t="s">
        <v>8</v>
      </c>
      <c r="O9501" t="s">
        <v>188</v>
      </c>
      <c r="P9501" s="1" t="s">
        <v>34</v>
      </c>
      <c r="Q9501">
        <v>163.80000000000001</v>
      </c>
    </row>
    <row r="9502" spans="11:17" x14ac:dyDescent="0.3">
      <c r="K9502">
        <v>2022</v>
      </c>
      <c r="L9502" t="s">
        <v>43</v>
      </c>
      <c r="M9502" t="s">
        <v>166</v>
      </c>
      <c r="N9502" t="s">
        <v>8</v>
      </c>
      <c r="O9502" t="s">
        <v>188</v>
      </c>
      <c r="P9502" s="1" t="s">
        <v>33</v>
      </c>
      <c r="Q9502">
        <v>165.7</v>
      </c>
    </row>
    <row r="9503" spans="11:17" x14ac:dyDescent="0.3">
      <c r="K9503">
        <v>2022</v>
      </c>
      <c r="L9503" t="s">
        <v>43</v>
      </c>
      <c r="M9503" t="s">
        <v>166</v>
      </c>
      <c r="N9503" t="s">
        <v>21</v>
      </c>
      <c r="O9503" t="s">
        <v>190</v>
      </c>
      <c r="P9503" s="1" t="s">
        <v>30</v>
      </c>
      <c r="Q9503">
        <v>180.8</v>
      </c>
    </row>
    <row r="9504" spans="11:17" x14ac:dyDescent="0.3">
      <c r="K9504">
        <v>2022</v>
      </c>
      <c r="L9504" t="s">
        <v>43</v>
      </c>
      <c r="M9504" t="s">
        <v>166</v>
      </c>
      <c r="N9504" t="s">
        <v>21</v>
      </c>
      <c r="O9504" t="s">
        <v>190</v>
      </c>
      <c r="P9504" s="1" t="s">
        <v>34</v>
      </c>
      <c r="Q9504">
        <v>180.5</v>
      </c>
    </row>
    <row r="9505" spans="11:17" x14ac:dyDescent="0.3">
      <c r="K9505">
        <v>2022</v>
      </c>
      <c r="L9505" t="s">
        <v>43</v>
      </c>
      <c r="M9505" t="s">
        <v>166</v>
      </c>
      <c r="N9505" t="s">
        <v>21</v>
      </c>
      <c r="O9505" t="s">
        <v>190</v>
      </c>
      <c r="P9505" s="1" t="s">
        <v>33</v>
      </c>
      <c r="Q9505">
        <v>180</v>
      </c>
    </row>
    <row r="9506" spans="11:17" x14ac:dyDescent="0.3">
      <c r="K9506">
        <v>2022</v>
      </c>
      <c r="L9506" t="s">
        <v>43</v>
      </c>
      <c r="M9506" t="s">
        <v>166</v>
      </c>
      <c r="N9506" t="s">
        <v>29</v>
      </c>
      <c r="O9506" t="s">
        <v>206</v>
      </c>
      <c r="P9506" s="1" t="s">
        <v>30</v>
      </c>
      <c r="Q9506">
        <v>177.9</v>
      </c>
    </row>
    <row r="9507" spans="11:17" x14ac:dyDescent="0.3">
      <c r="K9507">
        <v>2022</v>
      </c>
      <c r="L9507" t="s">
        <v>43</v>
      </c>
      <c r="M9507" t="s">
        <v>166</v>
      </c>
      <c r="N9507" t="s">
        <v>29</v>
      </c>
      <c r="O9507" t="s">
        <v>206</v>
      </c>
      <c r="P9507" s="1" t="s">
        <v>34</v>
      </c>
      <c r="Q9507">
        <v>176.7</v>
      </c>
    </row>
    <row r="9508" spans="11:17" x14ac:dyDescent="0.3">
      <c r="K9508">
        <v>2022</v>
      </c>
      <c r="L9508" t="s">
        <v>43</v>
      </c>
      <c r="M9508" t="s">
        <v>166</v>
      </c>
      <c r="N9508" t="s">
        <v>29</v>
      </c>
      <c r="O9508" t="s">
        <v>206</v>
      </c>
      <c r="P9508" s="1" t="s">
        <v>33</v>
      </c>
      <c r="Q9508">
        <v>175.3</v>
      </c>
    </row>
    <row r="9509" spans="11:17" x14ac:dyDescent="0.3">
      <c r="K9509">
        <v>2022</v>
      </c>
      <c r="L9509" t="s">
        <v>43</v>
      </c>
      <c r="M9509" t="s">
        <v>166</v>
      </c>
      <c r="N9509" t="s">
        <v>23</v>
      </c>
      <c r="O9509" t="s">
        <v>23</v>
      </c>
      <c r="P9509" s="1" t="s">
        <v>30</v>
      </c>
      <c r="Q9509">
        <v>181.2</v>
      </c>
    </row>
    <row r="9510" spans="11:17" x14ac:dyDescent="0.3">
      <c r="K9510">
        <v>2022</v>
      </c>
      <c r="L9510" t="s">
        <v>43</v>
      </c>
      <c r="M9510" t="s">
        <v>166</v>
      </c>
      <c r="N9510" t="s">
        <v>23</v>
      </c>
      <c r="O9510" t="s">
        <v>23</v>
      </c>
      <c r="P9510" s="1" t="s">
        <v>34</v>
      </c>
      <c r="Q9510">
        <v>178.7</v>
      </c>
    </row>
    <row r="9511" spans="11:17" x14ac:dyDescent="0.3">
      <c r="K9511">
        <v>2022</v>
      </c>
      <c r="L9511" t="s">
        <v>43</v>
      </c>
      <c r="M9511" t="s">
        <v>166</v>
      </c>
      <c r="N9511" t="s">
        <v>23</v>
      </c>
      <c r="O9511" t="s">
        <v>23</v>
      </c>
      <c r="P9511" s="1" t="s">
        <v>33</v>
      </c>
      <c r="Q9511">
        <v>174.7</v>
      </c>
    </row>
    <row r="9512" spans="11:17" x14ac:dyDescent="0.3">
      <c r="K9512">
        <v>2022</v>
      </c>
      <c r="L9512" t="s">
        <v>43</v>
      </c>
      <c r="M9512" t="s">
        <v>166</v>
      </c>
      <c r="N9512" t="s">
        <v>22</v>
      </c>
      <c r="O9512" t="s">
        <v>20</v>
      </c>
      <c r="P9512" s="1" t="s">
        <v>30</v>
      </c>
      <c r="Q9512">
        <v>174.4</v>
      </c>
    </row>
    <row r="9513" spans="11:17" x14ac:dyDescent="0.3">
      <c r="K9513">
        <v>2022</v>
      </c>
      <c r="L9513" t="s">
        <v>43</v>
      </c>
      <c r="M9513" t="s">
        <v>166</v>
      </c>
      <c r="N9513" t="s">
        <v>22</v>
      </c>
      <c r="O9513" t="s">
        <v>20</v>
      </c>
      <c r="P9513" s="1" t="s">
        <v>34</v>
      </c>
      <c r="Q9513">
        <v>170.4</v>
      </c>
    </row>
    <row r="9514" spans="11:17" x14ac:dyDescent="0.3">
      <c r="K9514">
        <v>2022</v>
      </c>
      <c r="L9514" t="s">
        <v>43</v>
      </c>
      <c r="M9514" t="s">
        <v>166</v>
      </c>
      <c r="N9514" t="s">
        <v>22</v>
      </c>
      <c r="O9514" t="s">
        <v>20</v>
      </c>
      <c r="P9514" s="1" t="s">
        <v>33</v>
      </c>
      <c r="Q9514">
        <v>166</v>
      </c>
    </row>
    <row r="9515" spans="11:17" x14ac:dyDescent="0.3">
      <c r="K9515">
        <v>2022</v>
      </c>
      <c r="L9515" t="s">
        <v>43</v>
      </c>
      <c r="M9515" t="s">
        <v>166</v>
      </c>
      <c r="N9515" t="s">
        <v>20</v>
      </c>
      <c r="O9515" t="s">
        <v>20</v>
      </c>
      <c r="P9515" s="1" t="s">
        <v>30</v>
      </c>
      <c r="Q9515">
        <v>0</v>
      </c>
    </row>
    <row r="9516" spans="11:17" x14ac:dyDescent="0.3">
      <c r="K9516">
        <v>2022</v>
      </c>
      <c r="L9516" t="s">
        <v>43</v>
      </c>
      <c r="M9516" t="s">
        <v>166</v>
      </c>
      <c r="N9516" t="s">
        <v>20</v>
      </c>
      <c r="O9516" t="s">
        <v>20</v>
      </c>
      <c r="P9516" s="1" t="s">
        <v>34</v>
      </c>
      <c r="Q9516">
        <v>171.2</v>
      </c>
    </row>
    <row r="9517" spans="11:17" x14ac:dyDescent="0.3">
      <c r="K9517">
        <v>2022</v>
      </c>
      <c r="L9517" t="s">
        <v>43</v>
      </c>
      <c r="M9517" t="s">
        <v>166</v>
      </c>
      <c r="N9517" t="s">
        <v>20</v>
      </c>
      <c r="O9517" t="s">
        <v>20</v>
      </c>
      <c r="P9517" s="1" t="s">
        <v>33</v>
      </c>
      <c r="Q9517">
        <v>171.2</v>
      </c>
    </row>
    <row r="9518" spans="11:17" x14ac:dyDescent="0.3">
      <c r="K9518">
        <v>2022</v>
      </c>
      <c r="L9518" t="s">
        <v>43</v>
      </c>
      <c r="M9518" t="s">
        <v>166</v>
      </c>
      <c r="N9518" t="s">
        <v>4</v>
      </c>
      <c r="O9518" t="s">
        <v>188</v>
      </c>
      <c r="P9518" s="1" t="s">
        <v>30</v>
      </c>
      <c r="Q9518">
        <v>208.8</v>
      </c>
    </row>
    <row r="9519" spans="11:17" x14ac:dyDescent="0.3">
      <c r="K9519">
        <v>2022</v>
      </c>
      <c r="L9519" t="s">
        <v>43</v>
      </c>
      <c r="M9519" t="s">
        <v>166</v>
      </c>
      <c r="N9519" t="s">
        <v>4</v>
      </c>
      <c r="O9519" t="s">
        <v>188</v>
      </c>
      <c r="P9519" s="1" t="s">
        <v>34</v>
      </c>
      <c r="Q9519">
        <v>210.9</v>
      </c>
    </row>
    <row r="9520" spans="11:17" x14ac:dyDescent="0.3">
      <c r="K9520">
        <v>2022</v>
      </c>
      <c r="L9520" t="s">
        <v>43</v>
      </c>
      <c r="M9520" t="s">
        <v>166</v>
      </c>
      <c r="N9520" t="s">
        <v>4</v>
      </c>
      <c r="O9520" t="s">
        <v>188</v>
      </c>
      <c r="P9520" s="1" t="s">
        <v>33</v>
      </c>
      <c r="Q9520">
        <v>214.9</v>
      </c>
    </row>
    <row r="9521" spans="11:17" x14ac:dyDescent="0.3">
      <c r="K9521">
        <v>2022</v>
      </c>
      <c r="L9521" t="s">
        <v>43</v>
      </c>
      <c r="M9521" t="s">
        <v>166</v>
      </c>
      <c r="N9521" t="s">
        <v>6</v>
      </c>
      <c r="O9521" t="s">
        <v>188</v>
      </c>
      <c r="P9521" s="1" t="s">
        <v>30</v>
      </c>
      <c r="Q9521">
        <v>170.9</v>
      </c>
    </row>
    <row r="9522" spans="11:17" x14ac:dyDescent="0.3">
      <c r="K9522">
        <v>2022</v>
      </c>
      <c r="L9522" t="s">
        <v>43</v>
      </c>
      <c r="M9522" t="s">
        <v>166</v>
      </c>
      <c r="N9522" t="s">
        <v>6</v>
      </c>
      <c r="O9522" t="s">
        <v>188</v>
      </c>
      <c r="P9522" s="1" t="s">
        <v>34</v>
      </c>
      <c r="Q9522">
        <v>170.9</v>
      </c>
    </row>
    <row r="9523" spans="11:17" x14ac:dyDescent="0.3">
      <c r="K9523">
        <v>2022</v>
      </c>
      <c r="L9523" t="s">
        <v>43</v>
      </c>
      <c r="M9523" t="s">
        <v>166</v>
      </c>
      <c r="N9523" t="s">
        <v>6</v>
      </c>
      <c r="O9523" t="s">
        <v>188</v>
      </c>
      <c r="P9523" s="1" t="s">
        <v>33</v>
      </c>
      <c r="Q9523">
        <v>171</v>
      </c>
    </row>
    <row r="9524" spans="11:17" x14ac:dyDescent="0.3">
      <c r="K9524">
        <v>2022</v>
      </c>
      <c r="L9524" t="s">
        <v>43</v>
      </c>
      <c r="M9524" t="s">
        <v>166</v>
      </c>
      <c r="N9524" t="s">
        <v>28</v>
      </c>
      <c r="O9524" t="s">
        <v>192</v>
      </c>
      <c r="P9524" s="1" t="s">
        <v>30</v>
      </c>
      <c r="Q9524">
        <v>173.9</v>
      </c>
    </row>
    <row r="9525" spans="11:17" x14ac:dyDescent="0.3">
      <c r="K9525">
        <v>2022</v>
      </c>
      <c r="L9525" t="s">
        <v>43</v>
      </c>
      <c r="M9525" t="s">
        <v>166</v>
      </c>
      <c r="N9525" t="s">
        <v>28</v>
      </c>
      <c r="O9525" t="s">
        <v>192</v>
      </c>
      <c r="P9525" s="1" t="s">
        <v>34</v>
      </c>
      <c r="Q9525">
        <v>170.5</v>
      </c>
    </row>
    <row r="9526" spans="11:17" x14ac:dyDescent="0.3">
      <c r="K9526">
        <v>2022</v>
      </c>
      <c r="L9526" t="s">
        <v>43</v>
      </c>
      <c r="M9526" t="s">
        <v>166</v>
      </c>
      <c r="N9526" t="s">
        <v>28</v>
      </c>
      <c r="O9526" t="s">
        <v>192</v>
      </c>
      <c r="P9526" s="1" t="s">
        <v>33</v>
      </c>
      <c r="Q9526">
        <v>166.8</v>
      </c>
    </row>
    <row r="9527" spans="11:17" x14ac:dyDescent="0.3">
      <c r="K9527">
        <v>2022</v>
      </c>
      <c r="L9527" t="s">
        <v>43</v>
      </c>
      <c r="M9527" t="s">
        <v>166</v>
      </c>
      <c r="N9527" t="s">
        <v>13</v>
      </c>
      <c r="O9527" t="s">
        <v>188</v>
      </c>
      <c r="P9527" s="1" t="s">
        <v>30</v>
      </c>
      <c r="Q9527">
        <v>175.8</v>
      </c>
    </row>
    <row r="9528" spans="11:17" x14ac:dyDescent="0.3">
      <c r="K9528">
        <v>2022</v>
      </c>
      <c r="L9528" t="s">
        <v>43</v>
      </c>
      <c r="M9528" t="s">
        <v>166</v>
      </c>
      <c r="N9528" t="s">
        <v>13</v>
      </c>
      <c r="O9528" t="s">
        <v>188</v>
      </c>
      <c r="P9528" s="1" t="s">
        <v>34</v>
      </c>
      <c r="Q9528">
        <v>169.9</v>
      </c>
    </row>
    <row r="9529" spans="11:17" x14ac:dyDescent="0.3">
      <c r="K9529">
        <v>2022</v>
      </c>
      <c r="L9529" t="s">
        <v>43</v>
      </c>
      <c r="M9529" t="s">
        <v>166</v>
      </c>
      <c r="N9529" t="s">
        <v>13</v>
      </c>
      <c r="O9529" t="s">
        <v>188</v>
      </c>
      <c r="P9529" s="1" t="s">
        <v>33</v>
      </c>
      <c r="Q9529">
        <v>161.6</v>
      </c>
    </row>
    <row r="9530" spans="11:17" x14ac:dyDescent="0.3">
      <c r="K9530">
        <v>2022</v>
      </c>
      <c r="L9530" t="s">
        <v>43</v>
      </c>
      <c r="M9530" t="s">
        <v>166</v>
      </c>
      <c r="N9530" t="s">
        <v>7</v>
      </c>
      <c r="O9530" t="s">
        <v>188</v>
      </c>
      <c r="P9530" s="1" t="s">
        <v>30</v>
      </c>
      <c r="Q9530">
        <v>191.6</v>
      </c>
    </row>
    <row r="9531" spans="11:17" x14ac:dyDescent="0.3">
      <c r="K9531">
        <v>2022</v>
      </c>
      <c r="L9531" t="s">
        <v>43</v>
      </c>
      <c r="M9531" t="s">
        <v>166</v>
      </c>
      <c r="N9531" t="s">
        <v>7</v>
      </c>
      <c r="O9531" t="s">
        <v>188</v>
      </c>
      <c r="P9531" s="1" t="s">
        <v>34</v>
      </c>
      <c r="Q9531">
        <v>186.5</v>
      </c>
    </row>
    <row r="9532" spans="11:17" x14ac:dyDescent="0.3">
      <c r="K9532">
        <v>2022</v>
      </c>
      <c r="L9532" t="s">
        <v>43</v>
      </c>
      <c r="M9532" t="s">
        <v>166</v>
      </c>
      <c r="N9532" t="s">
        <v>7</v>
      </c>
      <c r="O9532" t="s">
        <v>188</v>
      </c>
      <c r="P9532" s="1" t="s">
        <v>33</v>
      </c>
      <c r="Q9532">
        <v>177.7</v>
      </c>
    </row>
    <row r="9533" spans="11:17" x14ac:dyDescent="0.3">
      <c r="K9533">
        <v>2022</v>
      </c>
      <c r="L9533" t="s">
        <v>43</v>
      </c>
      <c r="M9533" t="s">
        <v>166</v>
      </c>
      <c r="N9533" t="s">
        <v>16</v>
      </c>
      <c r="O9533" t="s">
        <v>192</v>
      </c>
      <c r="P9533" s="1" t="s">
        <v>30</v>
      </c>
      <c r="Q9533">
        <v>194.9</v>
      </c>
    </row>
    <row r="9534" spans="11:17" x14ac:dyDescent="0.3">
      <c r="K9534">
        <v>2022</v>
      </c>
      <c r="L9534" t="s">
        <v>43</v>
      </c>
      <c r="M9534" t="s">
        <v>166</v>
      </c>
      <c r="N9534" t="s">
        <v>16</v>
      </c>
      <c r="O9534" t="s">
        <v>192</v>
      </c>
      <c r="P9534" s="1" t="s">
        <v>34</v>
      </c>
      <c r="Q9534">
        <v>196.3</v>
      </c>
    </row>
    <row r="9535" spans="11:17" x14ac:dyDescent="0.3">
      <c r="K9535">
        <v>2022</v>
      </c>
      <c r="L9535" t="s">
        <v>43</v>
      </c>
      <c r="M9535" t="s">
        <v>166</v>
      </c>
      <c r="N9535" t="s">
        <v>16</v>
      </c>
      <c r="O9535" t="s">
        <v>192</v>
      </c>
      <c r="P9535" s="1" t="s">
        <v>33</v>
      </c>
      <c r="Q9535">
        <v>200.1</v>
      </c>
    </row>
    <row r="9536" spans="11:17" x14ac:dyDescent="0.3">
      <c r="K9536">
        <v>2022</v>
      </c>
      <c r="L9536" t="s">
        <v>43</v>
      </c>
      <c r="M9536" t="s">
        <v>166</v>
      </c>
      <c r="N9536" t="s">
        <v>27</v>
      </c>
      <c r="O9536" t="s">
        <v>192</v>
      </c>
      <c r="P9536" s="1" t="s">
        <v>30</v>
      </c>
      <c r="Q9536">
        <v>172</v>
      </c>
    </row>
    <row r="9537" spans="11:17" x14ac:dyDescent="0.3">
      <c r="K9537">
        <v>2022</v>
      </c>
      <c r="L9537" t="s">
        <v>43</v>
      </c>
      <c r="M9537" t="s">
        <v>166</v>
      </c>
      <c r="N9537" t="s">
        <v>27</v>
      </c>
      <c r="O9537" t="s">
        <v>192</v>
      </c>
      <c r="P9537" s="1" t="s">
        <v>34</v>
      </c>
      <c r="Q9537">
        <v>172.1</v>
      </c>
    </row>
    <row r="9538" spans="11:17" x14ac:dyDescent="0.3">
      <c r="K9538">
        <v>2022</v>
      </c>
      <c r="L9538" t="s">
        <v>43</v>
      </c>
      <c r="M9538" t="s">
        <v>166</v>
      </c>
      <c r="N9538" t="s">
        <v>27</v>
      </c>
      <c r="O9538" t="s">
        <v>192</v>
      </c>
      <c r="P9538" s="1" t="s">
        <v>33</v>
      </c>
      <c r="Q9538">
        <v>172.3</v>
      </c>
    </row>
    <row r="9539" spans="11:17" x14ac:dyDescent="0.3">
      <c r="K9539">
        <v>2022</v>
      </c>
      <c r="L9539" t="s">
        <v>43</v>
      </c>
      <c r="M9539" t="s">
        <v>166</v>
      </c>
      <c r="N9539" t="s">
        <v>14</v>
      </c>
      <c r="O9539" t="s">
        <v>188</v>
      </c>
      <c r="P9539" s="1" t="s">
        <v>30</v>
      </c>
      <c r="Q9539">
        <v>185.6</v>
      </c>
    </row>
    <row r="9540" spans="11:17" x14ac:dyDescent="0.3">
      <c r="K9540">
        <v>2022</v>
      </c>
      <c r="L9540" t="s">
        <v>43</v>
      </c>
      <c r="M9540" t="s">
        <v>166</v>
      </c>
      <c r="N9540" t="s">
        <v>14</v>
      </c>
      <c r="O9540" t="s">
        <v>188</v>
      </c>
      <c r="P9540" s="1" t="s">
        <v>34</v>
      </c>
      <c r="Q9540">
        <v>188.3</v>
      </c>
    </row>
    <row r="9541" spans="11:17" x14ac:dyDescent="0.3">
      <c r="K9541">
        <v>2022</v>
      </c>
      <c r="L9541" t="s">
        <v>43</v>
      </c>
      <c r="M9541" t="s">
        <v>166</v>
      </c>
      <c r="N9541" t="s">
        <v>14</v>
      </c>
      <c r="O9541" t="s">
        <v>188</v>
      </c>
      <c r="P9541" s="1" t="s">
        <v>33</v>
      </c>
      <c r="Q9541">
        <v>191.5</v>
      </c>
    </row>
    <row r="9542" spans="11:17" x14ac:dyDescent="0.3">
      <c r="K9542">
        <v>2022</v>
      </c>
      <c r="L9542" t="s">
        <v>43</v>
      </c>
      <c r="M9542" t="s">
        <v>166</v>
      </c>
      <c r="N9542" t="s">
        <v>10</v>
      </c>
      <c r="O9542" t="s">
        <v>188</v>
      </c>
      <c r="P9542" s="1" t="s">
        <v>30</v>
      </c>
      <c r="Q9542">
        <v>169.7</v>
      </c>
    </row>
    <row r="9543" spans="11:17" x14ac:dyDescent="0.3">
      <c r="K9543">
        <v>2022</v>
      </c>
      <c r="L9543" t="s">
        <v>43</v>
      </c>
      <c r="M9543" t="s">
        <v>166</v>
      </c>
      <c r="N9543" t="s">
        <v>10</v>
      </c>
      <c r="O9543" t="s">
        <v>188</v>
      </c>
      <c r="P9543" s="1" t="s">
        <v>34</v>
      </c>
      <c r="Q9543">
        <v>169.8</v>
      </c>
    </row>
    <row r="9544" spans="11:17" x14ac:dyDescent="0.3">
      <c r="K9544">
        <v>2022</v>
      </c>
      <c r="L9544" t="s">
        <v>43</v>
      </c>
      <c r="M9544" t="s">
        <v>166</v>
      </c>
      <c r="N9544" t="s">
        <v>10</v>
      </c>
      <c r="O9544" t="s">
        <v>188</v>
      </c>
      <c r="P9544" s="1" t="s">
        <v>33</v>
      </c>
      <c r="Q9544">
        <v>169.9</v>
      </c>
    </row>
    <row r="9545" spans="11:17" x14ac:dyDescent="0.3">
      <c r="K9545">
        <v>2022</v>
      </c>
      <c r="L9545" t="s">
        <v>43</v>
      </c>
      <c r="M9545" t="s">
        <v>166</v>
      </c>
      <c r="N9545" t="s">
        <v>25</v>
      </c>
      <c r="O9545" t="s">
        <v>195</v>
      </c>
      <c r="P9545" s="1" t="s">
        <v>30</v>
      </c>
      <c r="Q9545">
        <v>170.6</v>
      </c>
    </row>
    <row r="9546" spans="11:17" x14ac:dyDescent="0.3">
      <c r="K9546">
        <v>2022</v>
      </c>
      <c r="L9546" t="s">
        <v>43</v>
      </c>
      <c r="M9546" t="s">
        <v>166</v>
      </c>
      <c r="N9546" t="s">
        <v>25</v>
      </c>
      <c r="O9546" t="s">
        <v>195</v>
      </c>
      <c r="P9546" s="1" t="s">
        <v>34</v>
      </c>
      <c r="Q9546">
        <v>168.2</v>
      </c>
    </row>
    <row r="9547" spans="11:17" x14ac:dyDescent="0.3">
      <c r="K9547">
        <v>2022</v>
      </c>
      <c r="L9547" t="s">
        <v>43</v>
      </c>
      <c r="M9547" t="s">
        <v>166</v>
      </c>
      <c r="N9547" t="s">
        <v>25</v>
      </c>
      <c r="O9547" t="s">
        <v>195</v>
      </c>
      <c r="P9547" s="1" t="s">
        <v>33</v>
      </c>
      <c r="Q9547">
        <v>166.3</v>
      </c>
    </row>
    <row r="9548" spans="11:17" x14ac:dyDescent="0.3">
      <c r="K9548">
        <v>2022</v>
      </c>
      <c r="L9548" t="s">
        <v>43</v>
      </c>
      <c r="M9548" t="s">
        <v>166</v>
      </c>
      <c r="N9548" t="s">
        <v>12</v>
      </c>
      <c r="O9548" t="s">
        <v>188</v>
      </c>
      <c r="P9548" s="1" t="s">
        <v>30</v>
      </c>
      <c r="Q9548">
        <v>201.6</v>
      </c>
    </row>
    <row r="9549" spans="11:17" x14ac:dyDescent="0.3">
      <c r="K9549">
        <v>2022</v>
      </c>
      <c r="L9549" t="s">
        <v>43</v>
      </c>
      <c r="M9549" t="s">
        <v>166</v>
      </c>
      <c r="N9549" t="s">
        <v>12</v>
      </c>
      <c r="O9549" t="s">
        <v>188</v>
      </c>
      <c r="P9549" s="1" t="s">
        <v>34</v>
      </c>
      <c r="Q9549">
        <v>199.9</v>
      </c>
    </row>
    <row r="9550" spans="11:17" x14ac:dyDescent="0.3">
      <c r="K9550">
        <v>2022</v>
      </c>
      <c r="L9550" t="s">
        <v>43</v>
      </c>
      <c r="M9550" t="s">
        <v>166</v>
      </c>
      <c r="N9550" t="s">
        <v>12</v>
      </c>
      <c r="O9550" t="s">
        <v>188</v>
      </c>
      <c r="P9550" s="1" t="s">
        <v>33</v>
      </c>
      <c r="Q9550">
        <v>196.4</v>
      </c>
    </row>
    <row r="9551" spans="11:17" x14ac:dyDescent="0.3">
      <c r="K9551">
        <v>2022</v>
      </c>
      <c r="L9551" t="s">
        <v>43</v>
      </c>
      <c r="M9551" t="s">
        <v>166</v>
      </c>
      <c r="N9551" t="s">
        <v>11</v>
      </c>
      <c r="O9551" t="s">
        <v>188</v>
      </c>
      <c r="P9551" s="1" t="s">
        <v>30</v>
      </c>
      <c r="Q9551">
        <v>121.1</v>
      </c>
    </row>
    <row r="9552" spans="11:17" x14ac:dyDescent="0.3">
      <c r="K9552">
        <v>2022</v>
      </c>
      <c r="L9552" t="s">
        <v>43</v>
      </c>
      <c r="M9552" t="s">
        <v>166</v>
      </c>
      <c r="N9552" t="s">
        <v>11</v>
      </c>
      <c r="O9552" t="s">
        <v>188</v>
      </c>
      <c r="P9552" s="1" t="s">
        <v>34</v>
      </c>
      <c r="Q9552">
        <v>121.9</v>
      </c>
    </row>
    <row r="9553" spans="11:17" x14ac:dyDescent="0.3">
      <c r="K9553">
        <v>2022</v>
      </c>
      <c r="L9553" t="s">
        <v>43</v>
      </c>
      <c r="M9553" t="s">
        <v>166</v>
      </c>
      <c r="N9553" t="s">
        <v>11</v>
      </c>
      <c r="O9553" t="s">
        <v>188</v>
      </c>
      <c r="P9553" s="1" t="s">
        <v>33</v>
      </c>
      <c r="Q9553">
        <v>123.4</v>
      </c>
    </row>
    <row r="9554" spans="11:17" x14ac:dyDescent="0.3">
      <c r="K9554">
        <v>2022</v>
      </c>
      <c r="L9554" t="s">
        <v>43</v>
      </c>
      <c r="M9554" t="s">
        <v>166</v>
      </c>
      <c r="N9554" t="s">
        <v>24</v>
      </c>
      <c r="O9554" t="s">
        <v>191</v>
      </c>
      <c r="P9554" s="1" t="s">
        <v>30</v>
      </c>
      <c r="Q9554">
        <v>167.4</v>
      </c>
    </row>
    <row r="9555" spans="11:17" x14ac:dyDescent="0.3">
      <c r="K9555">
        <v>2022</v>
      </c>
      <c r="L9555" t="s">
        <v>43</v>
      </c>
      <c r="M9555" t="s">
        <v>166</v>
      </c>
      <c r="N9555" t="s">
        <v>24</v>
      </c>
      <c r="O9555" t="s">
        <v>191</v>
      </c>
      <c r="P9555" s="1" t="s">
        <v>34</v>
      </c>
      <c r="Q9555">
        <v>162.9</v>
      </c>
    </row>
    <row r="9556" spans="11:17" x14ac:dyDescent="0.3">
      <c r="K9556">
        <v>2022</v>
      </c>
      <c r="L9556" t="s">
        <v>43</v>
      </c>
      <c r="M9556" t="s">
        <v>166</v>
      </c>
      <c r="N9556" t="s">
        <v>24</v>
      </c>
      <c r="O9556" t="s">
        <v>191</v>
      </c>
      <c r="P9556" s="1" t="s">
        <v>33</v>
      </c>
      <c r="Q9556">
        <v>158.80000000000001</v>
      </c>
    </row>
    <row r="9557" spans="11:17" x14ac:dyDescent="0.3">
      <c r="K9557">
        <v>2022</v>
      </c>
      <c r="L9557" t="s">
        <v>43</v>
      </c>
      <c r="M9557" t="s">
        <v>166</v>
      </c>
      <c r="N9557" t="s">
        <v>9</v>
      </c>
      <c r="O9557" t="s">
        <v>188</v>
      </c>
      <c r="P9557" s="1" t="s">
        <v>30</v>
      </c>
      <c r="Q9557">
        <v>184.8</v>
      </c>
    </row>
    <row r="9558" spans="11:17" x14ac:dyDescent="0.3">
      <c r="K9558">
        <v>2022</v>
      </c>
      <c r="L9558" t="s">
        <v>43</v>
      </c>
      <c r="M9558" t="s">
        <v>166</v>
      </c>
      <c r="N9558" t="s">
        <v>9</v>
      </c>
      <c r="O9558" t="s">
        <v>188</v>
      </c>
      <c r="P9558" s="1" t="s">
        <v>34</v>
      </c>
      <c r="Q9558">
        <v>199.7</v>
      </c>
    </row>
    <row r="9559" spans="11:17" x14ac:dyDescent="0.3">
      <c r="K9559">
        <v>2022</v>
      </c>
      <c r="L9559" t="s">
        <v>43</v>
      </c>
      <c r="M9559" t="s">
        <v>166</v>
      </c>
      <c r="N9559" t="s">
        <v>9</v>
      </c>
      <c r="O9559" t="s">
        <v>188</v>
      </c>
      <c r="P9559" s="1" t="s">
        <v>33</v>
      </c>
      <c r="Q9559">
        <v>228.6</v>
      </c>
    </row>
    <row r="9560" spans="11:17" x14ac:dyDescent="0.3">
      <c r="K9560">
        <v>2022</v>
      </c>
      <c r="L9560" t="s">
        <v>42</v>
      </c>
      <c r="M9560" t="s">
        <v>167</v>
      </c>
      <c r="N9560" t="s">
        <v>3</v>
      </c>
      <c r="O9560" t="s">
        <v>188</v>
      </c>
      <c r="P9560" s="1" t="s">
        <v>30</v>
      </c>
      <c r="Q9560">
        <v>162.9</v>
      </c>
    </row>
    <row r="9561" spans="11:17" x14ac:dyDescent="0.3">
      <c r="K9561">
        <v>2022</v>
      </c>
      <c r="L9561" t="s">
        <v>42</v>
      </c>
      <c r="M9561" t="s">
        <v>167</v>
      </c>
      <c r="N9561" t="s">
        <v>3</v>
      </c>
      <c r="O9561" t="s">
        <v>188</v>
      </c>
      <c r="P9561" s="1" t="s">
        <v>34</v>
      </c>
      <c r="Q9561">
        <v>163.5</v>
      </c>
    </row>
    <row r="9562" spans="11:17" x14ac:dyDescent="0.3">
      <c r="K9562">
        <v>2022</v>
      </c>
      <c r="L9562" t="s">
        <v>42</v>
      </c>
      <c r="M9562" t="s">
        <v>167</v>
      </c>
      <c r="N9562" t="s">
        <v>3</v>
      </c>
      <c r="O9562" t="s">
        <v>188</v>
      </c>
      <c r="P9562" s="1" t="s">
        <v>33</v>
      </c>
      <c r="Q9562">
        <v>164.9</v>
      </c>
    </row>
    <row r="9563" spans="11:17" x14ac:dyDescent="0.3">
      <c r="K9563">
        <v>2022</v>
      </c>
      <c r="L9563" t="s">
        <v>42</v>
      </c>
      <c r="M9563" t="s">
        <v>167</v>
      </c>
      <c r="N9563" t="s">
        <v>17</v>
      </c>
      <c r="O9563" t="s">
        <v>189</v>
      </c>
      <c r="P9563" s="1" t="s">
        <v>30</v>
      </c>
      <c r="Q9563">
        <v>184.7</v>
      </c>
    </row>
    <row r="9564" spans="11:17" x14ac:dyDescent="0.3">
      <c r="K9564">
        <v>2022</v>
      </c>
      <c r="L9564" t="s">
        <v>42</v>
      </c>
      <c r="M9564" t="s">
        <v>167</v>
      </c>
      <c r="N9564" t="s">
        <v>17</v>
      </c>
      <c r="O9564" t="s">
        <v>189</v>
      </c>
      <c r="P9564" s="1" t="s">
        <v>34</v>
      </c>
      <c r="Q9564">
        <v>180.9</v>
      </c>
    </row>
    <row r="9565" spans="11:17" x14ac:dyDescent="0.3">
      <c r="K9565">
        <v>2022</v>
      </c>
      <c r="L9565" t="s">
        <v>42</v>
      </c>
      <c r="M9565" t="s">
        <v>167</v>
      </c>
      <c r="N9565" t="s">
        <v>17</v>
      </c>
      <c r="O9565" t="s">
        <v>189</v>
      </c>
      <c r="P9565" s="1" t="s">
        <v>33</v>
      </c>
      <c r="Q9565">
        <v>175</v>
      </c>
    </row>
    <row r="9566" spans="11:17" x14ac:dyDescent="0.3">
      <c r="K9566">
        <v>2022</v>
      </c>
      <c r="L9566" t="s">
        <v>42</v>
      </c>
      <c r="M9566" t="s">
        <v>167</v>
      </c>
      <c r="N9566" t="s">
        <v>19</v>
      </c>
      <c r="O9566" t="s">
        <v>189</v>
      </c>
      <c r="P9566" s="1" t="s">
        <v>30</v>
      </c>
      <c r="Q9566">
        <v>184.5</v>
      </c>
    </row>
    <row r="9567" spans="11:17" x14ac:dyDescent="0.3">
      <c r="K9567">
        <v>2022</v>
      </c>
      <c r="L9567" t="s">
        <v>42</v>
      </c>
      <c r="M9567" t="s">
        <v>167</v>
      </c>
      <c r="N9567" t="s">
        <v>19</v>
      </c>
      <c r="O9567" t="s">
        <v>189</v>
      </c>
      <c r="P9567" s="1" t="s">
        <v>34</v>
      </c>
      <c r="Q9567">
        <v>179.9</v>
      </c>
    </row>
    <row r="9568" spans="11:17" x14ac:dyDescent="0.3">
      <c r="K9568">
        <v>2022</v>
      </c>
      <c r="L9568" t="s">
        <v>42</v>
      </c>
      <c r="M9568" t="s">
        <v>167</v>
      </c>
      <c r="N9568" t="s">
        <v>19</v>
      </c>
      <c r="O9568" t="s">
        <v>189</v>
      </c>
      <c r="P9568" s="1" t="s">
        <v>33</v>
      </c>
      <c r="Q9568">
        <v>173</v>
      </c>
    </row>
    <row r="9569" spans="11:17" x14ac:dyDescent="0.3">
      <c r="K9569">
        <v>2022</v>
      </c>
      <c r="L9569" t="s">
        <v>42</v>
      </c>
      <c r="M9569" t="s">
        <v>167</v>
      </c>
      <c r="N9569" t="s">
        <v>26</v>
      </c>
      <c r="O9569" t="s">
        <v>26</v>
      </c>
      <c r="P9569" s="1" t="s">
        <v>30</v>
      </c>
      <c r="Q9569">
        <v>176.2</v>
      </c>
    </row>
    <row r="9570" spans="11:17" x14ac:dyDescent="0.3">
      <c r="K9570">
        <v>2022</v>
      </c>
      <c r="L9570" t="s">
        <v>42</v>
      </c>
      <c r="M9570" t="s">
        <v>167</v>
      </c>
      <c r="N9570" t="s">
        <v>26</v>
      </c>
      <c r="O9570" t="s">
        <v>26</v>
      </c>
      <c r="P9570" s="1" t="s">
        <v>34</v>
      </c>
      <c r="Q9570">
        <v>173.1</v>
      </c>
    </row>
    <row r="9571" spans="11:17" x14ac:dyDescent="0.3">
      <c r="K9571">
        <v>2022</v>
      </c>
      <c r="L9571" t="s">
        <v>42</v>
      </c>
      <c r="M9571" t="s">
        <v>167</v>
      </c>
      <c r="N9571" t="s">
        <v>26</v>
      </c>
      <c r="O9571" t="s">
        <v>26</v>
      </c>
      <c r="P9571" s="1" t="s">
        <v>33</v>
      </c>
      <c r="Q9571">
        <v>170.9</v>
      </c>
    </row>
    <row r="9572" spans="11:17" x14ac:dyDescent="0.3">
      <c r="K9572">
        <v>2022</v>
      </c>
      <c r="L9572" t="s">
        <v>42</v>
      </c>
      <c r="M9572" t="s">
        <v>167</v>
      </c>
      <c r="N9572" t="s">
        <v>5</v>
      </c>
      <c r="O9572" t="s">
        <v>188</v>
      </c>
      <c r="P9572" s="1" t="s">
        <v>30</v>
      </c>
      <c r="Q9572">
        <v>169</v>
      </c>
    </row>
    <row r="9573" spans="11:17" x14ac:dyDescent="0.3">
      <c r="K9573">
        <v>2022</v>
      </c>
      <c r="L9573" t="s">
        <v>42</v>
      </c>
      <c r="M9573" t="s">
        <v>167</v>
      </c>
      <c r="N9573" t="s">
        <v>5</v>
      </c>
      <c r="O9573" t="s">
        <v>188</v>
      </c>
      <c r="P9573" s="1" t="s">
        <v>34</v>
      </c>
      <c r="Q9573">
        <v>169.7</v>
      </c>
    </row>
    <row r="9574" spans="11:17" x14ac:dyDescent="0.3">
      <c r="K9574">
        <v>2022</v>
      </c>
      <c r="L9574" t="s">
        <v>42</v>
      </c>
      <c r="M9574" t="s">
        <v>167</v>
      </c>
      <c r="N9574" t="s">
        <v>5</v>
      </c>
      <c r="O9574" t="s">
        <v>188</v>
      </c>
      <c r="P9574" s="1" t="s">
        <v>33</v>
      </c>
      <c r="Q9574">
        <v>170.9</v>
      </c>
    </row>
    <row r="9575" spans="11:17" x14ac:dyDescent="0.3">
      <c r="K9575">
        <v>2022</v>
      </c>
      <c r="L9575" t="s">
        <v>42</v>
      </c>
      <c r="M9575" t="s">
        <v>167</v>
      </c>
      <c r="N9575" t="s">
        <v>15</v>
      </c>
      <c r="O9575" t="s">
        <v>188</v>
      </c>
      <c r="P9575" s="1" t="s">
        <v>30</v>
      </c>
      <c r="Q9575">
        <v>175.5</v>
      </c>
    </row>
    <row r="9576" spans="11:17" x14ac:dyDescent="0.3">
      <c r="K9576">
        <v>2022</v>
      </c>
      <c r="L9576" t="s">
        <v>42</v>
      </c>
      <c r="M9576" t="s">
        <v>167</v>
      </c>
      <c r="N9576" t="s">
        <v>15</v>
      </c>
      <c r="O9576" t="s">
        <v>188</v>
      </c>
      <c r="P9576" s="1" t="s">
        <v>34</v>
      </c>
      <c r="Q9576">
        <v>177.8</v>
      </c>
    </row>
    <row r="9577" spans="11:17" x14ac:dyDescent="0.3">
      <c r="K9577">
        <v>2022</v>
      </c>
      <c r="L9577" t="s">
        <v>42</v>
      </c>
      <c r="M9577" t="s">
        <v>167</v>
      </c>
      <c r="N9577" t="s">
        <v>15</v>
      </c>
      <c r="O9577" t="s">
        <v>188</v>
      </c>
      <c r="P9577" s="1" t="s">
        <v>33</v>
      </c>
      <c r="Q9577">
        <v>181.8</v>
      </c>
    </row>
    <row r="9578" spans="11:17" x14ac:dyDescent="0.3">
      <c r="K9578">
        <v>2022</v>
      </c>
      <c r="L9578" t="s">
        <v>42</v>
      </c>
      <c r="M9578" t="s">
        <v>167</v>
      </c>
      <c r="N9578" t="s">
        <v>18</v>
      </c>
      <c r="O9578" t="s">
        <v>189</v>
      </c>
      <c r="P9578" s="1" t="s">
        <v>30</v>
      </c>
      <c r="Q9578">
        <v>183.3</v>
      </c>
    </row>
    <row r="9579" spans="11:17" x14ac:dyDescent="0.3">
      <c r="K9579">
        <v>2022</v>
      </c>
      <c r="L9579" t="s">
        <v>42</v>
      </c>
      <c r="M9579" t="s">
        <v>167</v>
      </c>
      <c r="N9579" t="s">
        <v>18</v>
      </c>
      <c r="O9579" t="s">
        <v>189</v>
      </c>
      <c r="P9579" s="1" t="s">
        <v>34</v>
      </c>
      <c r="Q9579">
        <v>174.3</v>
      </c>
    </row>
    <row r="9580" spans="11:17" x14ac:dyDescent="0.3">
      <c r="K9580">
        <v>2022</v>
      </c>
      <c r="L9580" t="s">
        <v>42</v>
      </c>
      <c r="M9580" t="s">
        <v>167</v>
      </c>
      <c r="N9580" t="s">
        <v>18</v>
      </c>
      <c r="O9580" t="s">
        <v>189</v>
      </c>
      <c r="P9580" s="1" t="s">
        <v>33</v>
      </c>
      <c r="Q9580">
        <v>161.69999999999999</v>
      </c>
    </row>
    <row r="9581" spans="11:17" x14ac:dyDescent="0.3">
      <c r="K9581">
        <v>2022</v>
      </c>
      <c r="L9581" t="s">
        <v>42</v>
      </c>
      <c r="M9581" t="s">
        <v>167</v>
      </c>
      <c r="N9581" t="s">
        <v>8</v>
      </c>
      <c r="O9581" t="s">
        <v>188</v>
      </c>
      <c r="P9581" s="1" t="s">
        <v>30</v>
      </c>
      <c r="Q9581">
        <v>164.1</v>
      </c>
    </row>
    <row r="9582" spans="11:17" x14ac:dyDescent="0.3">
      <c r="K9582">
        <v>2022</v>
      </c>
      <c r="L9582" t="s">
        <v>42</v>
      </c>
      <c r="M9582" t="s">
        <v>167</v>
      </c>
      <c r="N9582" t="s">
        <v>8</v>
      </c>
      <c r="O9582" t="s">
        <v>188</v>
      </c>
      <c r="P9582" s="1" t="s">
        <v>34</v>
      </c>
      <c r="Q9582">
        <v>165.7</v>
      </c>
    </row>
    <row r="9583" spans="11:17" x14ac:dyDescent="0.3">
      <c r="K9583">
        <v>2022</v>
      </c>
      <c r="L9583" t="s">
        <v>42</v>
      </c>
      <c r="M9583" t="s">
        <v>167</v>
      </c>
      <c r="N9583" t="s">
        <v>8</v>
      </c>
      <c r="O9583" t="s">
        <v>188</v>
      </c>
      <c r="P9583" s="1" t="s">
        <v>33</v>
      </c>
      <c r="Q9583">
        <v>167.5</v>
      </c>
    </row>
    <row r="9584" spans="11:17" x14ac:dyDescent="0.3">
      <c r="K9584">
        <v>2022</v>
      </c>
      <c r="L9584" t="s">
        <v>42</v>
      </c>
      <c r="M9584" t="s">
        <v>167</v>
      </c>
      <c r="N9584" t="s">
        <v>21</v>
      </c>
      <c r="O9584" t="s">
        <v>190</v>
      </c>
      <c r="P9584" s="1" t="s">
        <v>30</v>
      </c>
      <c r="Q9584">
        <v>179.7</v>
      </c>
    </row>
    <row r="9585" spans="11:17" x14ac:dyDescent="0.3">
      <c r="K9585">
        <v>2022</v>
      </c>
      <c r="L9585" t="s">
        <v>42</v>
      </c>
      <c r="M9585" t="s">
        <v>167</v>
      </c>
      <c r="N9585" t="s">
        <v>21</v>
      </c>
      <c r="O9585" t="s">
        <v>190</v>
      </c>
      <c r="P9585" s="1" t="s">
        <v>34</v>
      </c>
      <c r="Q9585">
        <v>179.5</v>
      </c>
    </row>
    <row r="9586" spans="11:17" x14ac:dyDescent="0.3">
      <c r="K9586">
        <v>2022</v>
      </c>
      <c r="L9586" t="s">
        <v>42</v>
      </c>
      <c r="M9586" t="s">
        <v>167</v>
      </c>
      <c r="N9586" t="s">
        <v>21</v>
      </c>
      <c r="O9586" t="s">
        <v>190</v>
      </c>
      <c r="P9586" s="1" t="s">
        <v>33</v>
      </c>
      <c r="Q9586">
        <v>179.2</v>
      </c>
    </row>
    <row r="9587" spans="11:17" x14ac:dyDescent="0.3">
      <c r="K9587">
        <v>2022</v>
      </c>
      <c r="L9587" t="s">
        <v>42</v>
      </c>
      <c r="M9587" t="s">
        <v>167</v>
      </c>
      <c r="N9587" t="s">
        <v>29</v>
      </c>
      <c r="O9587" t="s">
        <v>206</v>
      </c>
      <c r="P9587" s="1" t="s">
        <v>30</v>
      </c>
      <c r="Q9587">
        <v>176.4</v>
      </c>
    </row>
    <row r="9588" spans="11:17" x14ac:dyDescent="0.3">
      <c r="K9588">
        <v>2022</v>
      </c>
      <c r="L9588" t="s">
        <v>42</v>
      </c>
      <c r="M9588" t="s">
        <v>167</v>
      </c>
      <c r="N9588" t="s">
        <v>29</v>
      </c>
      <c r="O9588" t="s">
        <v>206</v>
      </c>
      <c r="P9588" s="1" t="s">
        <v>34</v>
      </c>
      <c r="Q9588">
        <v>175.3</v>
      </c>
    </row>
    <row r="9589" spans="11:17" x14ac:dyDescent="0.3">
      <c r="K9589">
        <v>2022</v>
      </c>
      <c r="L9589" t="s">
        <v>42</v>
      </c>
      <c r="M9589" t="s">
        <v>167</v>
      </c>
      <c r="N9589" t="s">
        <v>29</v>
      </c>
      <c r="O9589" t="s">
        <v>206</v>
      </c>
      <c r="P9589" s="1" t="s">
        <v>33</v>
      </c>
      <c r="Q9589">
        <v>174.1</v>
      </c>
    </row>
    <row r="9590" spans="11:17" x14ac:dyDescent="0.3">
      <c r="K9590">
        <v>2022</v>
      </c>
      <c r="L9590" t="s">
        <v>42</v>
      </c>
      <c r="M9590" t="s">
        <v>167</v>
      </c>
      <c r="N9590" t="s">
        <v>23</v>
      </c>
      <c r="O9590" t="s">
        <v>23</v>
      </c>
      <c r="P9590" s="1" t="s">
        <v>30</v>
      </c>
      <c r="Q9590">
        <v>180.2</v>
      </c>
    </row>
    <row r="9591" spans="11:17" x14ac:dyDescent="0.3">
      <c r="K9591">
        <v>2022</v>
      </c>
      <c r="L9591" t="s">
        <v>42</v>
      </c>
      <c r="M9591" t="s">
        <v>167</v>
      </c>
      <c r="N9591" t="s">
        <v>23</v>
      </c>
      <c r="O9591" t="s">
        <v>23</v>
      </c>
      <c r="P9591" s="1" t="s">
        <v>34</v>
      </c>
      <c r="Q9591">
        <v>177.8</v>
      </c>
    </row>
    <row r="9592" spans="11:17" x14ac:dyDescent="0.3">
      <c r="K9592">
        <v>2022</v>
      </c>
      <c r="L9592" t="s">
        <v>42</v>
      </c>
      <c r="M9592" t="s">
        <v>167</v>
      </c>
      <c r="N9592" t="s">
        <v>23</v>
      </c>
      <c r="O9592" t="s">
        <v>23</v>
      </c>
      <c r="P9592" s="1" t="s">
        <v>33</v>
      </c>
      <c r="Q9592">
        <v>173.8</v>
      </c>
    </row>
    <row r="9593" spans="11:17" x14ac:dyDescent="0.3">
      <c r="K9593">
        <v>2022</v>
      </c>
      <c r="L9593" t="s">
        <v>42</v>
      </c>
      <c r="M9593" t="s">
        <v>167</v>
      </c>
      <c r="N9593" t="s">
        <v>22</v>
      </c>
      <c r="O9593" t="s">
        <v>20</v>
      </c>
      <c r="P9593" s="1" t="s">
        <v>30</v>
      </c>
      <c r="Q9593">
        <v>173.6</v>
      </c>
    </row>
    <row r="9594" spans="11:17" x14ac:dyDescent="0.3">
      <c r="K9594">
        <v>2022</v>
      </c>
      <c r="L9594" t="s">
        <v>42</v>
      </c>
      <c r="M9594" t="s">
        <v>167</v>
      </c>
      <c r="N9594" t="s">
        <v>22</v>
      </c>
      <c r="O9594" t="s">
        <v>20</v>
      </c>
      <c r="P9594" s="1" t="s">
        <v>34</v>
      </c>
      <c r="Q9594">
        <v>169.5</v>
      </c>
    </row>
    <row r="9595" spans="11:17" x14ac:dyDescent="0.3">
      <c r="K9595">
        <v>2022</v>
      </c>
      <c r="L9595" t="s">
        <v>42</v>
      </c>
      <c r="M9595" t="s">
        <v>167</v>
      </c>
      <c r="N9595" t="s">
        <v>22</v>
      </c>
      <c r="O9595" t="s">
        <v>20</v>
      </c>
      <c r="P9595" s="1" t="s">
        <v>33</v>
      </c>
      <c r="Q9595">
        <v>165</v>
      </c>
    </row>
    <row r="9596" spans="11:17" x14ac:dyDescent="0.3">
      <c r="K9596">
        <v>2022</v>
      </c>
      <c r="L9596" t="s">
        <v>42</v>
      </c>
      <c r="M9596" t="s">
        <v>167</v>
      </c>
      <c r="N9596" t="s">
        <v>20</v>
      </c>
      <c r="O9596" t="s">
        <v>20</v>
      </c>
      <c r="P9596" s="1" t="s">
        <v>30</v>
      </c>
      <c r="Q9596">
        <v>0</v>
      </c>
    </row>
    <row r="9597" spans="11:17" x14ac:dyDescent="0.3">
      <c r="K9597">
        <v>2022</v>
      </c>
      <c r="L9597" t="s">
        <v>42</v>
      </c>
      <c r="M9597" t="s">
        <v>167</v>
      </c>
      <c r="N9597" t="s">
        <v>20</v>
      </c>
      <c r="O9597" t="s">
        <v>20</v>
      </c>
      <c r="P9597" s="1" t="s">
        <v>34</v>
      </c>
      <c r="Q9597">
        <v>169.5</v>
      </c>
    </row>
    <row r="9598" spans="11:17" x14ac:dyDescent="0.3">
      <c r="K9598">
        <v>2022</v>
      </c>
      <c r="L9598" t="s">
        <v>42</v>
      </c>
      <c r="M9598" t="s">
        <v>167</v>
      </c>
      <c r="N9598" t="s">
        <v>20</v>
      </c>
      <c r="O9598" t="s">
        <v>20</v>
      </c>
      <c r="P9598" s="1" t="s">
        <v>33</v>
      </c>
      <c r="Q9598">
        <v>169.5</v>
      </c>
    </row>
    <row r="9599" spans="11:17" x14ac:dyDescent="0.3">
      <c r="K9599">
        <v>2022</v>
      </c>
      <c r="L9599" t="s">
        <v>42</v>
      </c>
      <c r="M9599" t="s">
        <v>167</v>
      </c>
      <c r="N9599" t="s">
        <v>4</v>
      </c>
      <c r="O9599" t="s">
        <v>188</v>
      </c>
      <c r="P9599" s="1" t="s">
        <v>30</v>
      </c>
      <c r="Q9599">
        <v>206.7</v>
      </c>
    </row>
    <row r="9600" spans="11:17" x14ac:dyDescent="0.3">
      <c r="K9600">
        <v>2022</v>
      </c>
      <c r="L9600" t="s">
        <v>42</v>
      </c>
      <c r="M9600" t="s">
        <v>167</v>
      </c>
      <c r="N9600" t="s">
        <v>4</v>
      </c>
      <c r="O9600" t="s">
        <v>188</v>
      </c>
      <c r="P9600" s="1" t="s">
        <v>34</v>
      </c>
      <c r="Q9600">
        <v>209.2</v>
      </c>
    </row>
    <row r="9601" spans="11:17" x14ac:dyDescent="0.3">
      <c r="K9601">
        <v>2022</v>
      </c>
      <c r="L9601" t="s">
        <v>42</v>
      </c>
      <c r="M9601" t="s">
        <v>167</v>
      </c>
      <c r="N9601" t="s">
        <v>4</v>
      </c>
      <c r="O9601" t="s">
        <v>188</v>
      </c>
      <c r="P9601" s="1" t="s">
        <v>33</v>
      </c>
      <c r="Q9601">
        <v>213.7</v>
      </c>
    </row>
    <row r="9602" spans="11:17" x14ac:dyDescent="0.3">
      <c r="K9602">
        <v>2022</v>
      </c>
      <c r="L9602" t="s">
        <v>42</v>
      </c>
      <c r="M9602" t="s">
        <v>167</v>
      </c>
      <c r="N9602" t="s">
        <v>6</v>
      </c>
      <c r="O9602" t="s">
        <v>188</v>
      </c>
      <c r="P9602" s="1" t="s">
        <v>30</v>
      </c>
      <c r="Q9602">
        <v>169.5</v>
      </c>
    </row>
    <row r="9603" spans="11:17" x14ac:dyDescent="0.3">
      <c r="K9603">
        <v>2022</v>
      </c>
      <c r="L9603" t="s">
        <v>42</v>
      </c>
      <c r="M9603" t="s">
        <v>167</v>
      </c>
      <c r="N9603" t="s">
        <v>6</v>
      </c>
      <c r="O9603" t="s">
        <v>188</v>
      </c>
      <c r="P9603" s="1" t="s">
        <v>34</v>
      </c>
      <c r="Q9603">
        <v>169.7</v>
      </c>
    </row>
    <row r="9604" spans="11:17" x14ac:dyDescent="0.3">
      <c r="K9604">
        <v>2022</v>
      </c>
      <c r="L9604" t="s">
        <v>42</v>
      </c>
      <c r="M9604" t="s">
        <v>167</v>
      </c>
      <c r="N9604" t="s">
        <v>6</v>
      </c>
      <c r="O9604" t="s">
        <v>188</v>
      </c>
      <c r="P9604" s="1" t="s">
        <v>33</v>
      </c>
      <c r="Q9604">
        <v>170.1</v>
      </c>
    </row>
    <row r="9605" spans="11:17" x14ac:dyDescent="0.3">
      <c r="K9605">
        <v>2022</v>
      </c>
      <c r="L9605" t="s">
        <v>42</v>
      </c>
      <c r="M9605" t="s">
        <v>167</v>
      </c>
      <c r="N9605" t="s">
        <v>28</v>
      </c>
      <c r="O9605" t="s">
        <v>192</v>
      </c>
      <c r="P9605" s="1" t="s">
        <v>30</v>
      </c>
      <c r="Q9605">
        <v>173.1</v>
      </c>
    </row>
    <row r="9606" spans="11:17" x14ac:dyDescent="0.3">
      <c r="K9606">
        <v>2022</v>
      </c>
      <c r="L9606" t="s">
        <v>42</v>
      </c>
      <c r="M9606" t="s">
        <v>167</v>
      </c>
      <c r="N9606" t="s">
        <v>28</v>
      </c>
      <c r="O9606" t="s">
        <v>192</v>
      </c>
      <c r="P9606" s="1" t="s">
        <v>34</v>
      </c>
      <c r="Q9606">
        <v>169.7</v>
      </c>
    </row>
    <row r="9607" spans="11:17" x14ac:dyDescent="0.3">
      <c r="K9607">
        <v>2022</v>
      </c>
      <c r="L9607" t="s">
        <v>42</v>
      </c>
      <c r="M9607" t="s">
        <v>167</v>
      </c>
      <c r="N9607" t="s">
        <v>28</v>
      </c>
      <c r="O9607" t="s">
        <v>192</v>
      </c>
      <c r="P9607" s="1" t="s">
        <v>33</v>
      </c>
      <c r="Q9607">
        <v>166.1</v>
      </c>
    </row>
    <row r="9608" spans="11:17" x14ac:dyDescent="0.3">
      <c r="K9608">
        <v>2022</v>
      </c>
      <c r="L9608" t="s">
        <v>42</v>
      </c>
      <c r="M9608" t="s">
        <v>167</v>
      </c>
      <c r="N9608" t="s">
        <v>13</v>
      </c>
      <c r="O9608" t="s">
        <v>188</v>
      </c>
      <c r="P9608" s="1" t="s">
        <v>30</v>
      </c>
      <c r="Q9608">
        <v>175.4</v>
      </c>
    </row>
    <row r="9609" spans="11:17" x14ac:dyDescent="0.3">
      <c r="K9609">
        <v>2022</v>
      </c>
      <c r="L9609" t="s">
        <v>42</v>
      </c>
      <c r="M9609" t="s">
        <v>167</v>
      </c>
      <c r="N9609" t="s">
        <v>13</v>
      </c>
      <c r="O9609" t="s">
        <v>188</v>
      </c>
      <c r="P9609" s="1" t="s">
        <v>34</v>
      </c>
      <c r="Q9609">
        <v>169.4</v>
      </c>
    </row>
    <row r="9610" spans="11:17" x14ac:dyDescent="0.3">
      <c r="K9610">
        <v>2022</v>
      </c>
      <c r="L9610" t="s">
        <v>42</v>
      </c>
      <c r="M9610" t="s">
        <v>167</v>
      </c>
      <c r="N9610" t="s">
        <v>13</v>
      </c>
      <c r="O9610" t="s">
        <v>188</v>
      </c>
      <c r="P9610" s="1" t="s">
        <v>33</v>
      </c>
      <c r="Q9610">
        <v>161.1</v>
      </c>
    </row>
    <row r="9611" spans="11:17" x14ac:dyDescent="0.3">
      <c r="K9611">
        <v>2022</v>
      </c>
      <c r="L9611" t="s">
        <v>42</v>
      </c>
      <c r="M9611" t="s">
        <v>167</v>
      </c>
      <c r="N9611" t="s">
        <v>7</v>
      </c>
      <c r="O9611" t="s">
        <v>188</v>
      </c>
      <c r="P9611" s="1" t="s">
        <v>30</v>
      </c>
      <c r="Q9611">
        <v>194.1</v>
      </c>
    </row>
    <row r="9612" spans="11:17" x14ac:dyDescent="0.3">
      <c r="K9612">
        <v>2022</v>
      </c>
      <c r="L9612" t="s">
        <v>42</v>
      </c>
      <c r="M9612" t="s">
        <v>167</v>
      </c>
      <c r="N9612" t="s">
        <v>7</v>
      </c>
      <c r="O9612" t="s">
        <v>188</v>
      </c>
      <c r="P9612" s="1" t="s">
        <v>34</v>
      </c>
      <c r="Q9612">
        <v>188.7</v>
      </c>
    </row>
    <row r="9613" spans="11:17" x14ac:dyDescent="0.3">
      <c r="K9613">
        <v>2022</v>
      </c>
      <c r="L9613" t="s">
        <v>42</v>
      </c>
      <c r="M9613" t="s">
        <v>167</v>
      </c>
      <c r="N9613" t="s">
        <v>7</v>
      </c>
      <c r="O9613" t="s">
        <v>188</v>
      </c>
      <c r="P9613" s="1" t="s">
        <v>33</v>
      </c>
      <c r="Q9613">
        <v>179.3</v>
      </c>
    </row>
    <row r="9614" spans="11:17" x14ac:dyDescent="0.3">
      <c r="K9614">
        <v>2022</v>
      </c>
      <c r="L9614" t="s">
        <v>42</v>
      </c>
      <c r="M9614" t="s">
        <v>167</v>
      </c>
      <c r="N9614" t="s">
        <v>16</v>
      </c>
      <c r="O9614" t="s">
        <v>192</v>
      </c>
      <c r="P9614" s="1" t="s">
        <v>30</v>
      </c>
      <c r="Q9614">
        <v>194.5</v>
      </c>
    </row>
    <row r="9615" spans="11:17" x14ac:dyDescent="0.3">
      <c r="K9615">
        <v>2022</v>
      </c>
      <c r="L9615" t="s">
        <v>42</v>
      </c>
      <c r="M9615" t="s">
        <v>167</v>
      </c>
      <c r="N9615" t="s">
        <v>16</v>
      </c>
      <c r="O9615" t="s">
        <v>192</v>
      </c>
      <c r="P9615" s="1" t="s">
        <v>34</v>
      </c>
      <c r="Q9615">
        <v>195.9</v>
      </c>
    </row>
    <row r="9616" spans="11:17" x14ac:dyDescent="0.3">
      <c r="K9616">
        <v>2022</v>
      </c>
      <c r="L9616" t="s">
        <v>42</v>
      </c>
      <c r="M9616" t="s">
        <v>167</v>
      </c>
      <c r="N9616" t="s">
        <v>16</v>
      </c>
      <c r="O9616" t="s">
        <v>192</v>
      </c>
      <c r="P9616" s="1" t="s">
        <v>33</v>
      </c>
      <c r="Q9616">
        <v>199.7</v>
      </c>
    </row>
    <row r="9617" spans="11:17" x14ac:dyDescent="0.3">
      <c r="K9617">
        <v>2022</v>
      </c>
      <c r="L9617" t="s">
        <v>42</v>
      </c>
      <c r="M9617" t="s">
        <v>167</v>
      </c>
      <c r="N9617" t="s">
        <v>27</v>
      </c>
      <c r="O9617" t="s">
        <v>192</v>
      </c>
      <c r="P9617" s="1" t="s">
        <v>30</v>
      </c>
      <c r="Q9617">
        <v>170.8</v>
      </c>
    </row>
    <row r="9618" spans="11:17" x14ac:dyDescent="0.3">
      <c r="K9618">
        <v>2022</v>
      </c>
      <c r="L9618" t="s">
        <v>42</v>
      </c>
      <c r="M9618" t="s">
        <v>167</v>
      </c>
      <c r="N9618" t="s">
        <v>27</v>
      </c>
      <c r="O9618" t="s">
        <v>192</v>
      </c>
      <c r="P9618" s="1" t="s">
        <v>34</v>
      </c>
      <c r="Q9618">
        <v>170.9</v>
      </c>
    </row>
    <row r="9619" spans="11:17" x14ac:dyDescent="0.3">
      <c r="K9619">
        <v>2022</v>
      </c>
      <c r="L9619" t="s">
        <v>42</v>
      </c>
      <c r="M9619" t="s">
        <v>167</v>
      </c>
      <c r="N9619" t="s">
        <v>27</v>
      </c>
      <c r="O9619" t="s">
        <v>192</v>
      </c>
      <c r="P9619" s="1" t="s">
        <v>33</v>
      </c>
      <c r="Q9619">
        <v>171.1</v>
      </c>
    </row>
    <row r="9620" spans="11:17" x14ac:dyDescent="0.3">
      <c r="K9620">
        <v>2022</v>
      </c>
      <c r="L9620" t="s">
        <v>42</v>
      </c>
      <c r="M9620" t="s">
        <v>167</v>
      </c>
      <c r="N9620" t="s">
        <v>14</v>
      </c>
      <c r="O9620" t="s">
        <v>188</v>
      </c>
      <c r="P9620" s="1" t="s">
        <v>30</v>
      </c>
      <c r="Q9620">
        <v>184.8</v>
      </c>
    </row>
    <row r="9621" spans="11:17" x14ac:dyDescent="0.3">
      <c r="K9621">
        <v>2022</v>
      </c>
      <c r="L9621" t="s">
        <v>42</v>
      </c>
      <c r="M9621" t="s">
        <v>167</v>
      </c>
      <c r="N9621" t="s">
        <v>14</v>
      </c>
      <c r="O9621" t="s">
        <v>188</v>
      </c>
      <c r="P9621" s="1" t="s">
        <v>34</v>
      </c>
      <c r="Q9621">
        <v>187.4</v>
      </c>
    </row>
    <row r="9622" spans="11:17" x14ac:dyDescent="0.3">
      <c r="K9622">
        <v>2022</v>
      </c>
      <c r="L9622" t="s">
        <v>42</v>
      </c>
      <c r="M9622" t="s">
        <v>167</v>
      </c>
      <c r="N9622" t="s">
        <v>14</v>
      </c>
      <c r="O9622" t="s">
        <v>188</v>
      </c>
      <c r="P9622" s="1" t="s">
        <v>33</v>
      </c>
      <c r="Q9622">
        <v>190.4</v>
      </c>
    </row>
    <row r="9623" spans="11:17" x14ac:dyDescent="0.3">
      <c r="K9623">
        <v>2022</v>
      </c>
      <c r="L9623" t="s">
        <v>42</v>
      </c>
      <c r="M9623" t="s">
        <v>167</v>
      </c>
      <c r="N9623" t="s">
        <v>10</v>
      </c>
      <c r="O9623" t="s">
        <v>188</v>
      </c>
      <c r="P9623" s="1" t="s">
        <v>30</v>
      </c>
      <c r="Q9623">
        <v>169</v>
      </c>
    </row>
    <row r="9624" spans="11:17" x14ac:dyDescent="0.3">
      <c r="K9624">
        <v>2022</v>
      </c>
      <c r="L9624" t="s">
        <v>42</v>
      </c>
      <c r="M9624" t="s">
        <v>167</v>
      </c>
      <c r="N9624" t="s">
        <v>10</v>
      </c>
      <c r="O9624" t="s">
        <v>188</v>
      </c>
      <c r="P9624" s="1" t="s">
        <v>34</v>
      </c>
      <c r="Q9624">
        <v>169.1</v>
      </c>
    </row>
    <row r="9625" spans="11:17" x14ac:dyDescent="0.3">
      <c r="K9625">
        <v>2022</v>
      </c>
      <c r="L9625" t="s">
        <v>42</v>
      </c>
      <c r="M9625" t="s">
        <v>167</v>
      </c>
      <c r="N9625" t="s">
        <v>10</v>
      </c>
      <c r="O9625" t="s">
        <v>188</v>
      </c>
      <c r="P9625" s="1" t="s">
        <v>33</v>
      </c>
      <c r="Q9625">
        <v>169.2</v>
      </c>
    </row>
    <row r="9626" spans="11:17" x14ac:dyDescent="0.3">
      <c r="K9626">
        <v>2022</v>
      </c>
      <c r="L9626" t="s">
        <v>42</v>
      </c>
      <c r="M9626" t="s">
        <v>167</v>
      </c>
      <c r="N9626" t="s">
        <v>25</v>
      </c>
      <c r="O9626" t="s">
        <v>195</v>
      </c>
      <c r="P9626" s="1" t="s">
        <v>30</v>
      </c>
      <c r="Q9626">
        <v>170</v>
      </c>
    </row>
    <row r="9627" spans="11:17" x14ac:dyDescent="0.3">
      <c r="K9627">
        <v>2022</v>
      </c>
      <c r="L9627" t="s">
        <v>42</v>
      </c>
      <c r="M9627" t="s">
        <v>167</v>
      </c>
      <c r="N9627" t="s">
        <v>25</v>
      </c>
      <c r="O9627" t="s">
        <v>195</v>
      </c>
      <c r="P9627" s="1" t="s">
        <v>34</v>
      </c>
      <c r="Q9627">
        <v>167.6</v>
      </c>
    </row>
    <row r="9628" spans="11:17" x14ac:dyDescent="0.3">
      <c r="K9628">
        <v>2022</v>
      </c>
      <c r="L9628" t="s">
        <v>42</v>
      </c>
      <c r="M9628" t="s">
        <v>167</v>
      </c>
      <c r="N9628" t="s">
        <v>25</v>
      </c>
      <c r="O9628" t="s">
        <v>195</v>
      </c>
      <c r="P9628" s="1" t="s">
        <v>33</v>
      </c>
      <c r="Q9628">
        <v>165.8</v>
      </c>
    </row>
    <row r="9629" spans="11:17" x14ac:dyDescent="0.3">
      <c r="K9629">
        <v>2022</v>
      </c>
      <c r="L9629" t="s">
        <v>42</v>
      </c>
      <c r="M9629" t="s">
        <v>167</v>
      </c>
      <c r="N9629" t="s">
        <v>12</v>
      </c>
      <c r="O9629" t="s">
        <v>188</v>
      </c>
      <c r="P9629" s="1" t="s">
        <v>30</v>
      </c>
      <c r="Q9629">
        <v>199.1</v>
      </c>
    </row>
    <row r="9630" spans="11:17" x14ac:dyDescent="0.3">
      <c r="K9630">
        <v>2022</v>
      </c>
      <c r="L9630" t="s">
        <v>42</v>
      </c>
      <c r="M9630" t="s">
        <v>167</v>
      </c>
      <c r="N9630" t="s">
        <v>12</v>
      </c>
      <c r="O9630" t="s">
        <v>188</v>
      </c>
      <c r="P9630" s="1" t="s">
        <v>34</v>
      </c>
      <c r="Q9630">
        <v>197.3</v>
      </c>
    </row>
    <row r="9631" spans="11:17" x14ac:dyDescent="0.3">
      <c r="K9631">
        <v>2022</v>
      </c>
      <c r="L9631" t="s">
        <v>42</v>
      </c>
      <c r="M9631" t="s">
        <v>167</v>
      </c>
      <c r="N9631" t="s">
        <v>12</v>
      </c>
      <c r="O9631" t="s">
        <v>188</v>
      </c>
      <c r="P9631" s="1" t="s">
        <v>33</v>
      </c>
      <c r="Q9631">
        <v>193.6</v>
      </c>
    </row>
    <row r="9632" spans="11:17" x14ac:dyDescent="0.3">
      <c r="K9632">
        <v>2022</v>
      </c>
      <c r="L9632" t="s">
        <v>42</v>
      </c>
      <c r="M9632" t="s">
        <v>167</v>
      </c>
      <c r="N9632" t="s">
        <v>11</v>
      </c>
      <c r="O9632" t="s">
        <v>188</v>
      </c>
      <c r="P9632" s="1" t="s">
        <v>30</v>
      </c>
      <c r="Q9632">
        <v>120.8</v>
      </c>
    </row>
    <row r="9633" spans="11:17" x14ac:dyDescent="0.3">
      <c r="K9633">
        <v>2022</v>
      </c>
      <c r="L9633" t="s">
        <v>42</v>
      </c>
      <c r="M9633" t="s">
        <v>167</v>
      </c>
      <c r="N9633" t="s">
        <v>11</v>
      </c>
      <c r="O9633" t="s">
        <v>188</v>
      </c>
      <c r="P9633" s="1" t="s">
        <v>34</v>
      </c>
      <c r="Q9633">
        <v>121.6</v>
      </c>
    </row>
    <row r="9634" spans="11:17" x14ac:dyDescent="0.3">
      <c r="K9634">
        <v>2022</v>
      </c>
      <c r="L9634" t="s">
        <v>42</v>
      </c>
      <c r="M9634" t="s">
        <v>167</v>
      </c>
      <c r="N9634" t="s">
        <v>11</v>
      </c>
      <c r="O9634" t="s">
        <v>188</v>
      </c>
      <c r="P9634" s="1" t="s">
        <v>33</v>
      </c>
      <c r="Q9634">
        <v>123.1</v>
      </c>
    </row>
    <row r="9635" spans="11:17" x14ac:dyDescent="0.3">
      <c r="K9635">
        <v>2022</v>
      </c>
      <c r="L9635" t="s">
        <v>42</v>
      </c>
      <c r="M9635" t="s">
        <v>167</v>
      </c>
      <c r="N9635" t="s">
        <v>24</v>
      </c>
      <c r="O9635" t="s">
        <v>191</v>
      </c>
      <c r="P9635" s="1" t="s">
        <v>30</v>
      </c>
      <c r="Q9635">
        <v>166.9</v>
      </c>
    </row>
    <row r="9636" spans="11:17" x14ac:dyDescent="0.3">
      <c r="K9636">
        <v>2022</v>
      </c>
      <c r="L9636" t="s">
        <v>42</v>
      </c>
      <c r="M9636" t="s">
        <v>167</v>
      </c>
      <c r="N9636" t="s">
        <v>24</v>
      </c>
      <c r="O9636" t="s">
        <v>191</v>
      </c>
      <c r="P9636" s="1" t="s">
        <v>34</v>
      </c>
      <c r="Q9636">
        <v>162.30000000000001</v>
      </c>
    </row>
    <row r="9637" spans="11:17" x14ac:dyDescent="0.3">
      <c r="K9637">
        <v>2022</v>
      </c>
      <c r="L9637" t="s">
        <v>42</v>
      </c>
      <c r="M9637" t="s">
        <v>167</v>
      </c>
      <c r="N9637" t="s">
        <v>24</v>
      </c>
      <c r="O9637" t="s">
        <v>191</v>
      </c>
      <c r="P9637" s="1" t="s">
        <v>33</v>
      </c>
      <c r="Q9637">
        <v>158.19999999999999</v>
      </c>
    </row>
    <row r="9638" spans="11:17" x14ac:dyDescent="0.3">
      <c r="K9638">
        <v>2022</v>
      </c>
      <c r="L9638" t="s">
        <v>42</v>
      </c>
      <c r="M9638" t="s">
        <v>167</v>
      </c>
      <c r="N9638" t="s">
        <v>9</v>
      </c>
      <c r="O9638" t="s">
        <v>188</v>
      </c>
      <c r="P9638" s="1" t="s">
        <v>30</v>
      </c>
      <c r="Q9638">
        <v>176.9</v>
      </c>
    </row>
    <row r="9639" spans="11:17" x14ac:dyDescent="0.3">
      <c r="K9639">
        <v>2022</v>
      </c>
      <c r="L9639" t="s">
        <v>42</v>
      </c>
      <c r="M9639" t="s">
        <v>167</v>
      </c>
      <c r="N9639" t="s">
        <v>9</v>
      </c>
      <c r="O9639" t="s">
        <v>188</v>
      </c>
      <c r="P9639" s="1" t="s">
        <v>34</v>
      </c>
      <c r="Q9639">
        <v>191.8</v>
      </c>
    </row>
    <row r="9640" spans="11:17" x14ac:dyDescent="0.3">
      <c r="K9640">
        <v>2022</v>
      </c>
      <c r="L9640" t="s">
        <v>42</v>
      </c>
      <c r="M9640" t="s">
        <v>167</v>
      </c>
      <c r="N9640" t="s">
        <v>9</v>
      </c>
      <c r="O9640" t="s">
        <v>188</v>
      </c>
      <c r="P9640" s="1" t="s">
        <v>33</v>
      </c>
      <c r="Q9640">
        <v>220.8</v>
      </c>
    </row>
    <row r="9641" spans="11:17" x14ac:dyDescent="0.3">
      <c r="K9641">
        <v>2023</v>
      </c>
      <c r="L9641" t="s">
        <v>37</v>
      </c>
      <c r="M9641" t="s">
        <v>168</v>
      </c>
      <c r="N9641" t="s">
        <v>3</v>
      </c>
      <c r="O9641" t="s">
        <v>188</v>
      </c>
      <c r="P9641" s="1" t="s">
        <v>30</v>
      </c>
      <c r="Q9641">
        <v>173.3</v>
      </c>
    </row>
    <row r="9642" spans="11:17" x14ac:dyDescent="0.3">
      <c r="K9642">
        <v>2023</v>
      </c>
      <c r="L9642" t="s">
        <v>37</v>
      </c>
      <c r="M9642" t="s">
        <v>168</v>
      </c>
      <c r="N9642" t="s">
        <v>3</v>
      </c>
      <c r="O9642" t="s">
        <v>188</v>
      </c>
      <c r="P9642" s="1" t="s">
        <v>34</v>
      </c>
      <c r="Q9642">
        <v>173.8</v>
      </c>
    </row>
    <row r="9643" spans="11:17" x14ac:dyDescent="0.3">
      <c r="K9643">
        <v>2023</v>
      </c>
      <c r="L9643" t="s">
        <v>37</v>
      </c>
      <c r="M9643" t="s">
        <v>168</v>
      </c>
      <c r="N9643" t="s">
        <v>3</v>
      </c>
      <c r="O9643" t="s">
        <v>188</v>
      </c>
      <c r="P9643" s="1" t="s">
        <v>33</v>
      </c>
      <c r="Q9643">
        <v>174.8</v>
      </c>
    </row>
    <row r="9644" spans="11:17" x14ac:dyDescent="0.3">
      <c r="K9644">
        <v>2023</v>
      </c>
      <c r="L9644" t="s">
        <v>37</v>
      </c>
      <c r="M9644" t="s">
        <v>168</v>
      </c>
      <c r="N9644" t="s">
        <v>17</v>
      </c>
      <c r="O9644" t="s">
        <v>189</v>
      </c>
      <c r="P9644" s="1" t="s">
        <v>30</v>
      </c>
      <c r="Q9644">
        <v>190.7</v>
      </c>
    </row>
    <row r="9645" spans="11:17" x14ac:dyDescent="0.3">
      <c r="K9645">
        <v>2023</v>
      </c>
      <c r="L9645" t="s">
        <v>37</v>
      </c>
      <c r="M9645" t="s">
        <v>168</v>
      </c>
      <c r="N9645" t="s">
        <v>17</v>
      </c>
      <c r="O9645" t="s">
        <v>189</v>
      </c>
      <c r="P9645" s="1" t="s">
        <v>34</v>
      </c>
      <c r="Q9645">
        <v>186.9</v>
      </c>
    </row>
    <row r="9646" spans="11:17" x14ac:dyDescent="0.3">
      <c r="K9646">
        <v>2023</v>
      </c>
      <c r="L9646" t="s">
        <v>37</v>
      </c>
      <c r="M9646" t="s">
        <v>168</v>
      </c>
      <c r="N9646" t="s">
        <v>17</v>
      </c>
      <c r="O9646" t="s">
        <v>189</v>
      </c>
      <c r="P9646" s="1" t="s">
        <v>33</v>
      </c>
      <c r="Q9646">
        <v>181</v>
      </c>
    </row>
    <row r="9647" spans="11:17" x14ac:dyDescent="0.3">
      <c r="K9647">
        <v>2023</v>
      </c>
      <c r="L9647" t="s">
        <v>37</v>
      </c>
      <c r="M9647" t="s">
        <v>168</v>
      </c>
      <c r="N9647" t="s">
        <v>19</v>
      </c>
      <c r="O9647" t="s">
        <v>189</v>
      </c>
      <c r="P9647" s="1" t="s">
        <v>30</v>
      </c>
      <c r="Q9647">
        <v>190.2</v>
      </c>
    </row>
    <row r="9648" spans="11:17" x14ac:dyDescent="0.3">
      <c r="K9648">
        <v>2023</v>
      </c>
      <c r="L9648" t="s">
        <v>37</v>
      </c>
      <c r="M9648" t="s">
        <v>168</v>
      </c>
      <c r="N9648" t="s">
        <v>19</v>
      </c>
      <c r="O9648" t="s">
        <v>189</v>
      </c>
      <c r="P9648" s="1" t="s">
        <v>34</v>
      </c>
      <c r="Q9648">
        <v>185.7</v>
      </c>
    </row>
    <row r="9649" spans="11:17" x14ac:dyDescent="0.3">
      <c r="K9649">
        <v>2023</v>
      </c>
      <c r="L9649" t="s">
        <v>37</v>
      </c>
      <c r="M9649" t="s">
        <v>168</v>
      </c>
      <c r="N9649" t="s">
        <v>19</v>
      </c>
      <c r="O9649" t="s">
        <v>189</v>
      </c>
      <c r="P9649" s="1" t="s">
        <v>33</v>
      </c>
      <c r="Q9649">
        <v>178.9</v>
      </c>
    </row>
    <row r="9650" spans="11:17" x14ac:dyDescent="0.3">
      <c r="K9650">
        <v>2023</v>
      </c>
      <c r="L9650" t="s">
        <v>37</v>
      </c>
      <c r="M9650" t="s">
        <v>168</v>
      </c>
      <c r="N9650" t="s">
        <v>26</v>
      </c>
      <c r="O9650" t="s">
        <v>26</v>
      </c>
      <c r="P9650" s="1" t="s">
        <v>30</v>
      </c>
      <c r="Q9650">
        <v>179.4</v>
      </c>
    </row>
    <row r="9651" spans="11:17" x14ac:dyDescent="0.3">
      <c r="K9651">
        <v>2023</v>
      </c>
      <c r="L9651" t="s">
        <v>37</v>
      </c>
      <c r="M9651" t="s">
        <v>168</v>
      </c>
      <c r="N9651" t="s">
        <v>26</v>
      </c>
      <c r="O9651" t="s">
        <v>26</v>
      </c>
      <c r="P9651" s="1" t="s">
        <v>34</v>
      </c>
      <c r="Q9651">
        <v>176.4</v>
      </c>
    </row>
    <row r="9652" spans="11:17" x14ac:dyDescent="0.3">
      <c r="K9652">
        <v>2023</v>
      </c>
      <c r="L9652" t="s">
        <v>37</v>
      </c>
      <c r="M9652" t="s">
        <v>168</v>
      </c>
      <c r="N9652" t="s">
        <v>26</v>
      </c>
      <c r="O9652" t="s">
        <v>26</v>
      </c>
      <c r="P9652" s="1" t="s">
        <v>33</v>
      </c>
      <c r="Q9652">
        <v>174.2</v>
      </c>
    </row>
    <row r="9653" spans="11:17" x14ac:dyDescent="0.3">
      <c r="K9653">
        <v>2023</v>
      </c>
      <c r="L9653" t="s">
        <v>37</v>
      </c>
      <c r="M9653" t="s">
        <v>168</v>
      </c>
      <c r="N9653" t="s">
        <v>5</v>
      </c>
      <c r="O9653" t="s">
        <v>188</v>
      </c>
      <c r="P9653" s="1" t="s">
        <v>30</v>
      </c>
      <c r="Q9653">
        <v>167.9</v>
      </c>
    </row>
    <row r="9654" spans="11:17" x14ac:dyDescent="0.3">
      <c r="K9654">
        <v>2023</v>
      </c>
      <c r="L9654" t="s">
        <v>37</v>
      </c>
      <c r="M9654" t="s">
        <v>168</v>
      </c>
      <c r="N9654" t="s">
        <v>5</v>
      </c>
      <c r="O9654" t="s">
        <v>188</v>
      </c>
      <c r="P9654" s="1" t="s">
        <v>34</v>
      </c>
      <c r="Q9654">
        <v>169.6</v>
      </c>
    </row>
    <row r="9655" spans="11:17" x14ac:dyDescent="0.3">
      <c r="K9655">
        <v>2023</v>
      </c>
      <c r="L9655" t="s">
        <v>37</v>
      </c>
      <c r="M9655" t="s">
        <v>168</v>
      </c>
      <c r="N9655" t="s">
        <v>5</v>
      </c>
      <c r="O9655" t="s">
        <v>188</v>
      </c>
      <c r="P9655" s="1" t="s">
        <v>33</v>
      </c>
      <c r="Q9655">
        <v>172.4</v>
      </c>
    </row>
    <row r="9656" spans="11:17" x14ac:dyDescent="0.3">
      <c r="K9656">
        <v>2023</v>
      </c>
      <c r="L9656" t="s">
        <v>37</v>
      </c>
      <c r="M9656" t="s">
        <v>168</v>
      </c>
      <c r="N9656" t="s">
        <v>15</v>
      </c>
      <c r="O9656" t="s">
        <v>188</v>
      </c>
      <c r="P9656" s="1" t="s">
        <v>30</v>
      </c>
      <c r="Q9656">
        <v>175.5</v>
      </c>
    </row>
    <row r="9657" spans="11:17" x14ac:dyDescent="0.3">
      <c r="K9657">
        <v>2023</v>
      </c>
      <c r="L9657" t="s">
        <v>37</v>
      </c>
      <c r="M9657" t="s">
        <v>168</v>
      </c>
      <c r="N9657" t="s">
        <v>15</v>
      </c>
      <c r="O9657" t="s">
        <v>188</v>
      </c>
      <c r="P9657" s="1" t="s">
        <v>34</v>
      </c>
      <c r="Q9657">
        <v>177.9</v>
      </c>
    </row>
    <row r="9658" spans="11:17" x14ac:dyDescent="0.3">
      <c r="K9658">
        <v>2023</v>
      </c>
      <c r="L9658" t="s">
        <v>37</v>
      </c>
      <c r="M9658" t="s">
        <v>168</v>
      </c>
      <c r="N9658" t="s">
        <v>15</v>
      </c>
      <c r="O9658" t="s">
        <v>188</v>
      </c>
      <c r="P9658" s="1" t="s">
        <v>33</v>
      </c>
      <c r="Q9658">
        <v>182.1</v>
      </c>
    </row>
    <row r="9659" spans="11:17" x14ac:dyDescent="0.3">
      <c r="K9659">
        <v>2023</v>
      </c>
      <c r="L9659" t="s">
        <v>37</v>
      </c>
      <c r="M9659" t="s">
        <v>168</v>
      </c>
      <c r="N9659" t="s">
        <v>18</v>
      </c>
      <c r="O9659" t="s">
        <v>189</v>
      </c>
      <c r="P9659" s="1" t="s">
        <v>30</v>
      </c>
      <c r="Q9659">
        <v>187.3</v>
      </c>
    </row>
    <row r="9660" spans="11:17" x14ac:dyDescent="0.3">
      <c r="K9660">
        <v>2023</v>
      </c>
      <c r="L9660" t="s">
        <v>37</v>
      </c>
      <c r="M9660" t="s">
        <v>168</v>
      </c>
      <c r="N9660" t="s">
        <v>18</v>
      </c>
      <c r="O9660" t="s">
        <v>189</v>
      </c>
      <c r="P9660" s="1" t="s">
        <v>34</v>
      </c>
      <c r="Q9660">
        <v>179.2</v>
      </c>
    </row>
    <row r="9661" spans="11:17" x14ac:dyDescent="0.3">
      <c r="K9661">
        <v>2023</v>
      </c>
      <c r="L9661" t="s">
        <v>37</v>
      </c>
      <c r="M9661" t="s">
        <v>168</v>
      </c>
      <c r="N9661" t="s">
        <v>18</v>
      </c>
      <c r="O9661" t="s">
        <v>189</v>
      </c>
      <c r="P9661" s="1" t="s">
        <v>33</v>
      </c>
      <c r="Q9661">
        <v>167.7</v>
      </c>
    </row>
    <row r="9662" spans="11:17" x14ac:dyDescent="0.3">
      <c r="K9662">
        <v>2023</v>
      </c>
      <c r="L9662" t="s">
        <v>37</v>
      </c>
      <c r="M9662" t="s">
        <v>168</v>
      </c>
      <c r="N9662" t="s">
        <v>8</v>
      </c>
      <c r="O9662" t="s">
        <v>188</v>
      </c>
      <c r="P9662" s="1" t="s">
        <v>30</v>
      </c>
      <c r="Q9662">
        <v>173.7</v>
      </c>
    </row>
    <row r="9663" spans="11:17" x14ac:dyDescent="0.3">
      <c r="K9663">
        <v>2023</v>
      </c>
      <c r="L9663" t="s">
        <v>37</v>
      </c>
      <c r="M9663" t="s">
        <v>168</v>
      </c>
      <c r="N9663" t="s">
        <v>8</v>
      </c>
      <c r="O9663" t="s">
        <v>188</v>
      </c>
      <c r="P9663" s="1" t="s">
        <v>34</v>
      </c>
      <c r="Q9663">
        <v>176.3</v>
      </c>
    </row>
    <row r="9664" spans="11:17" x14ac:dyDescent="0.3">
      <c r="K9664">
        <v>2023</v>
      </c>
      <c r="L9664" t="s">
        <v>37</v>
      </c>
      <c r="M9664" t="s">
        <v>168</v>
      </c>
      <c r="N9664" t="s">
        <v>8</v>
      </c>
      <c r="O9664" t="s">
        <v>188</v>
      </c>
      <c r="P9664" s="1" t="s">
        <v>33</v>
      </c>
      <c r="Q9664">
        <v>179.2</v>
      </c>
    </row>
    <row r="9665" spans="11:17" x14ac:dyDescent="0.3">
      <c r="K9665">
        <v>2023</v>
      </c>
      <c r="L9665" t="s">
        <v>37</v>
      </c>
      <c r="M9665" t="s">
        <v>168</v>
      </c>
      <c r="N9665" t="s">
        <v>21</v>
      </c>
      <c r="O9665" t="s">
        <v>190</v>
      </c>
      <c r="P9665" s="1" t="s">
        <v>30</v>
      </c>
      <c r="Q9665">
        <v>181.5</v>
      </c>
    </row>
    <row r="9666" spans="11:17" x14ac:dyDescent="0.3">
      <c r="K9666">
        <v>2023</v>
      </c>
      <c r="L9666" t="s">
        <v>37</v>
      </c>
      <c r="M9666" t="s">
        <v>168</v>
      </c>
      <c r="N9666" t="s">
        <v>21</v>
      </c>
      <c r="O9666" t="s">
        <v>190</v>
      </c>
      <c r="P9666" s="1" t="s">
        <v>34</v>
      </c>
      <c r="Q9666">
        <v>181.7</v>
      </c>
    </row>
    <row r="9667" spans="11:17" x14ac:dyDescent="0.3">
      <c r="K9667">
        <v>2023</v>
      </c>
      <c r="L9667" t="s">
        <v>37</v>
      </c>
      <c r="M9667" t="s">
        <v>168</v>
      </c>
      <c r="N9667" t="s">
        <v>21</v>
      </c>
      <c r="O9667" t="s">
        <v>190</v>
      </c>
      <c r="P9667" s="1" t="s">
        <v>33</v>
      </c>
      <c r="Q9667">
        <v>182.1</v>
      </c>
    </row>
    <row r="9668" spans="11:17" x14ac:dyDescent="0.3">
      <c r="K9668">
        <v>2023</v>
      </c>
      <c r="L9668" t="s">
        <v>37</v>
      </c>
      <c r="M9668" t="s">
        <v>168</v>
      </c>
      <c r="N9668" t="s">
        <v>29</v>
      </c>
      <c r="O9668" t="s">
        <v>206</v>
      </c>
      <c r="P9668" s="1" t="s">
        <v>30</v>
      </c>
      <c r="Q9668">
        <v>178.8</v>
      </c>
    </row>
    <row r="9669" spans="11:17" x14ac:dyDescent="0.3">
      <c r="K9669">
        <v>2023</v>
      </c>
      <c r="L9669" t="s">
        <v>37</v>
      </c>
      <c r="M9669" t="s">
        <v>168</v>
      </c>
      <c r="N9669" t="s">
        <v>29</v>
      </c>
      <c r="O9669" t="s">
        <v>206</v>
      </c>
      <c r="P9669" s="1" t="s">
        <v>34</v>
      </c>
      <c r="Q9669">
        <v>178.1</v>
      </c>
    </row>
    <row r="9670" spans="11:17" x14ac:dyDescent="0.3">
      <c r="K9670">
        <v>2023</v>
      </c>
      <c r="L9670" t="s">
        <v>37</v>
      </c>
      <c r="M9670" t="s">
        <v>168</v>
      </c>
      <c r="N9670" t="s">
        <v>29</v>
      </c>
      <c r="O9670" t="s">
        <v>206</v>
      </c>
      <c r="P9670" s="1" t="s">
        <v>33</v>
      </c>
      <c r="Q9670">
        <v>177.4</v>
      </c>
    </row>
    <row r="9671" spans="11:17" x14ac:dyDescent="0.3">
      <c r="K9671">
        <v>2023</v>
      </c>
      <c r="L9671" t="s">
        <v>37</v>
      </c>
      <c r="M9671" t="s">
        <v>168</v>
      </c>
      <c r="N9671" t="s">
        <v>23</v>
      </c>
      <c r="O9671" t="s">
        <v>23</v>
      </c>
      <c r="P9671" s="1" t="s">
        <v>30</v>
      </c>
      <c r="Q9671">
        <v>187.2</v>
      </c>
    </row>
    <row r="9672" spans="11:17" x14ac:dyDescent="0.3">
      <c r="K9672">
        <v>2023</v>
      </c>
      <c r="L9672" t="s">
        <v>37</v>
      </c>
      <c r="M9672" t="s">
        <v>168</v>
      </c>
      <c r="N9672" t="s">
        <v>23</v>
      </c>
      <c r="O9672" t="s">
        <v>23</v>
      </c>
      <c r="P9672" s="1" t="s">
        <v>34</v>
      </c>
      <c r="Q9672">
        <v>185</v>
      </c>
    </row>
    <row r="9673" spans="11:17" x14ac:dyDescent="0.3">
      <c r="K9673">
        <v>2023</v>
      </c>
      <c r="L9673" t="s">
        <v>37</v>
      </c>
      <c r="M9673" t="s">
        <v>168</v>
      </c>
      <c r="N9673" t="s">
        <v>23</v>
      </c>
      <c r="O9673" t="s">
        <v>23</v>
      </c>
      <c r="P9673" s="1" t="s">
        <v>33</v>
      </c>
      <c r="Q9673">
        <v>181.5</v>
      </c>
    </row>
    <row r="9674" spans="11:17" x14ac:dyDescent="0.3">
      <c r="K9674">
        <v>2023</v>
      </c>
      <c r="L9674" t="s">
        <v>37</v>
      </c>
      <c r="M9674" t="s">
        <v>168</v>
      </c>
      <c r="N9674" t="s">
        <v>22</v>
      </c>
      <c r="O9674" t="s">
        <v>20</v>
      </c>
      <c r="P9674" s="1" t="s">
        <v>30</v>
      </c>
      <c r="Q9674">
        <v>179.1</v>
      </c>
    </row>
    <row r="9675" spans="11:17" x14ac:dyDescent="0.3">
      <c r="K9675">
        <v>2023</v>
      </c>
      <c r="L9675" t="s">
        <v>37</v>
      </c>
      <c r="M9675" t="s">
        <v>168</v>
      </c>
      <c r="N9675" t="s">
        <v>22</v>
      </c>
      <c r="O9675" t="s">
        <v>20</v>
      </c>
      <c r="P9675" s="1" t="s">
        <v>34</v>
      </c>
      <c r="Q9675">
        <v>174.6</v>
      </c>
    </row>
    <row r="9676" spans="11:17" x14ac:dyDescent="0.3">
      <c r="K9676">
        <v>2023</v>
      </c>
      <c r="L9676" t="s">
        <v>37</v>
      </c>
      <c r="M9676" t="s">
        <v>168</v>
      </c>
      <c r="N9676" t="s">
        <v>22</v>
      </c>
      <c r="O9676" t="s">
        <v>20</v>
      </c>
      <c r="P9676" s="1" t="s">
        <v>33</v>
      </c>
      <c r="Q9676">
        <v>169.6</v>
      </c>
    </row>
    <row r="9677" spans="11:17" x14ac:dyDescent="0.3">
      <c r="K9677">
        <v>2023</v>
      </c>
      <c r="L9677" t="s">
        <v>37</v>
      </c>
      <c r="M9677" t="s">
        <v>168</v>
      </c>
      <c r="N9677" t="s">
        <v>20</v>
      </c>
      <c r="O9677" t="s">
        <v>20</v>
      </c>
      <c r="P9677" s="1" t="s">
        <v>30</v>
      </c>
      <c r="Q9677">
        <v>0</v>
      </c>
    </row>
    <row r="9678" spans="11:17" x14ac:dyDescent="0.3">
      <c r="K9678">
        <v>2023</v>
      </c>
      <c r="L9678" t="s">
        <v>37</v>
      </c>
      <c r="M9678" t="s">
        <v>168</v>
      </c>
      <c r="N9678" t="s">
        <v>20</v>
      </c>
      <c r="O9678" t="s">
        <v>20</v>
      </c>
      <c r="P9678" s="1" t="s">
        <v>34</v>
      </c>
      <c r="Q9678">
        <v>175.2</v>
      </c>
    </row>
    <row r="9679" spans="11:17" x14ac:dyDescent="0.3">
      <c r="K9679">
        <v>2023</v>
      </c>
      <c r="L9679" t="s">
        <v>37</v>
      </c>
      <c r="M9679" t="s">
        <v>168</v>
      </c>
      <c r="N9679" t="s">
        <v>20</v>
      </c>
      <c r="O9679" t="s">
        <v>20</v>
      </c>
      <c r="P9679" s="1" t="s">
        <v>33</v>
      </c>
      <c r="Q9679">
        <v>175.2</v>
      </c>
    </row>
    <row r="9680" spans="11:17" x14ac:dyDescent="0.3">
      <c r="K9680">
        <v>2023</v>
      </c>
      <c r="L9680" t="s">
        <v>37</v>
      </c>
      <c r="M9680" t="s">
        <v>168</v>
      </c>
      <c r="N9680" t="s">
        <v>4</v>
      </c>
      <c r="O9680" t="s">
        <v>188</v>
      </c>
      <c r="P9680" s="1" t="s">
        <v>30</v>
      </c>
      <c r="Q9680">
        <v>206.9</v>
      </c>
    </row>
    <row r="9681" spans="11:17" x14ac:dyDescent="0.3">
      <c r="K9681">
        <v>2023</v>
      </c>
      <c r="L9681" t="s">
        <v>37</v>
      </c>
      <c r="M9681" t="s">
        <v>168</v>
      </c>
      <c r="N9681" t="s">
        <v>4</v>
      </c>
      <c r="O9681" t="s">
        <v>188</v>
      </c>
      <c r="P9681" s="1" t="s">
        <v>34</v>
      </c>
      <c r="Q9681">
        <v>209.3</v>
      </c>
    </row>
    <row r="9682" spans="11:17" x14ac:dyDescent="0.3">
      <c r="K9682">
        <v>2023</v>
      </c>
      <c r="L9682" t="s">
        <v>37</v>
      </c>
      <c r="M9682" t="s">
        <v>168</v>
      </c>
      <c r="N9682" t="s">
        <v>4</v>
      </c>
      <c r="O9682" t="s">
        <v>188</v>
      </c>
      <c r="P9682" s="1" t="s">
        <v>33</v>
      </c>
      <c r="Q9682">
        <v>213.7</v>
      </c>
    </row>
    <row r="9683" spans="11:17" x14ac:dyDescent="0.3">
      <c r="K9683">
        <v>2023</v>
      </c>
      <c r="L9683" t="s">
        <v>37</v>
      </c>
      <c r="M9683" t="s">
        <v>168</v>
      </c>
      <c r="N9683" t="s">
        <v>6</v>
      </c>
      <c r="O9683" t="s">
        <v>188</v>
      </c>
      <c r="P9683" s="1" t="s">
        <v>30</v>
      </c>
      <c r="Q9683">
        <v>178.2</v>
      </c>
    </row>
    <row r="9684" spans="11:17" x14ac:dyDescent="0.3">
      <c r="K9684">
        <v>2023</v>
      </c>
      <c r="L9684" t="s">
        <v>37</v>
      </c>
      <c r="M9684" t="s">
        <v>168</v>
      </c>
      <c r="N9684" t="s">
        <v>6</v>
      </c>
      <c r="O9684" t="s">
        <v>188</v>
      </c>
      <c r="P9684" s="1" t="s">
        <v>34</v>
      </c>
      <c r="Q9684">
        <v>178.4</v>
      </c>
    </row>
    <row r="9685" spans="11:17" x14ac:dyDescent="0.3">
      <c r="K9685">
        <v>2023</v>
      </c>
      <c r="L9685" t="s">
        <v>37</v>
      </c>
      <c r="M9685" t="s">
        <v>168</v>
      </c>
      <c r="N9685" t="s">
        <v>6</v>
      </c>
      <c r="O9685" t="s">
        <v>188</v>
      </c>
      <c r="P9685" s="1" t="s">
        <v>33</v>
      </c>
      <c r="Q9685">
        <v>178.8</v>
      </c>
    </row>
    <row r="9686" spans="11:17" x14ac:dyDescent="0.3">
      <c r="K9686">
        <v>2023</v>
      </c>
      <c r="L9686" t="s">
        <v>37</v>
      </c>
      <c r="M9686" t="s">
        <v>168</v>
      </c>
      <c r="N9686" t="s">
        <v>28</v>
      </c>
      <c r="O9686" t="s">
        <v>192</v>
      </c>
      <c r="P9686" s="1" t="s">
        <v>30</v>
      </c>
      <c r="Q9686">
        <v>178.9</v>
      </c>
    </row>
    <row r="9687" spans="11:17" x14ac:dyDescent="0.3">
      <c r="K9687">
        <v>2023</v>
      </c>
      <c r="L9687" t="s">
        <v>37</v>
      </c>
      <c r="M9687" t="s">
        <v>168</v>
      </c>
      <c r="N9687" t="s">
        <v>28</v>
      </c>
      <c r="O9687" t="s">
        <v>192</v>
      </c>
      <c r="P9687" s="1" t="s">
        <v>34</v>
      </c>
      <c r="Q9687">
        <v>175</v>
      </c>
    </row>
    <row r="9688" spans="11:17" x14ac:dyDescent="0.3">
      <c r="K9688">
        <v>2023</v>
      </c>
      <c r="L9688" t="s">
        <v>37</v>
      </c>
      <c r="M9688" t="s">
        <v>168</v>
      </c>
      <c r="N9688" t="s">
        <v>28</v>
      </c>
      <c r="O9688" t="s">
        <v>192</v>
      </c>
      <c r="P9688" s="1" t="s">
        <v>33</v>
      </c>
      <c r="Q9688">
        <v>170.9</v>
      </c>
    </row>
    <row r="9689" spans="11:17" x14ac:dyDescent="0.3">
      <c r="K9689">
        <v>2023</v>
      </c>
      <c r="L9689" t="s">
        <v>37</v>
      </c>
      <c r="M9689" t="s">
        <v>168</v>
      </c>
      <c r="N9689" t="s">
        <v>13</v>
      </c>
      <c r="O9689" t="s">
        <v>188</v>
      </c>
      <c r="P9689" s="1" t="s">
        <v>30</v>
      </c>
      <c r="Q9689">
        <v>178.2</v>
      </c>
    </row>
    <row r="9690" spans="11:17" x14ac:dyDescent="0.3">
      <c r="K9690">
        <v>2023</v>
      </c>
      <c r="L9690" t="s">
        <v>37</v>
      </c>
      <c r="M9690" t="s">
        <v>168</v>
      </c>
      <c r="N9690" t="s">
        <v>13</v>
      </c>
      <c r="O9690" t="s">
        <v>188</v>
      </c>
      <c r="P9690" s="1" t="s">
        <v>34</v>
      </c>
      <c r="Q9690">
        <v>172.9</v>
      </c>
    </row>
    <row r="9691" spans="11:17" x14ac:dyDescent="0.3">
      <c r="K9691">
        <v>2023</v>
      </c>
      <c r="L9691" t="s">
        <v>37</v>
      </c>
      <c r="M9691" t="s">
        <v>168</v>
      </c>
      <c r="N9691" t="s">
        <v>13</v>
      </c>
      <c r="O9691" t="s">
        <v>188</v>
      </c>
      <c r="P9691" s="1" t="s">
        <v>33</v>
      </c>
      <c r="Q9691">
        <v>165.5</v>
      </c>
    </row>
    <row r="9692" spans="11:17" x14ac:dyDescent="0.3">
      <c r="K9692">
        <v>2023</v>
      </c>
      <c r="L9692" t="s">
        <v>37</v>
      </c>
      <c r="M9692" t="s">
        <v>168</v>
      </c>
      <c r="N9692" t="s">
        <v>7</v>
      </c>
      <c r="O9692" t="s">
        <v>188</v>
      </c>
      <c r="P9692" s="1" t="s">
        <v>30</v>
      </c>
      <c r="Q9692">
        <v>178.5</v>
      </c>
    </row>
    <row r="9693" spans="11:17" x14ac:dyDescent="0.3">
      <c r="K9693">
        <v>2023</v>
      </c>
      <c r="L9693" t="s">
        <v>37</v>
      </c>
      <c r="M9693" t="s">
        <v>168</v>
      </c>
      <c r="N9693" t="s">
        <v>7</v>
      </c>
      <c r="O9693" t="s">
        <v>188</v>
      </c>
      <c r="P9693" s="1" t="s">
        <v>34</v>
      </c>
      <c r="Q9693">
        <v>174.9</v>
      </c>
    </row>
    <row r="9694" spans="11:17" x14ac:dyDescent="0.3">
      <c r="K9694">
        <v>2023</v>
      </c>
      <c r="L9694" t="s">
        <v>37</v>
      </c>
      <c r="M9694" t="s">
        <v>168</v>
      </c>
      <c r="N9694" t="s">
        <v>7</v>
      </c>
      <c r="O9694" t="s">
        <v>188</v>
      </c>
      <c r="P9694" s="1" t="s">
        <v>33</v>
      </c>
      <c r="Q9694">
        <v>168.7</v>
      </c>
    </row>
    <row r="9695" spans="11:17" x14ac:dyDescent="0.3">
      <c r="K9695">
        <v>2023</v>
      </c>
      <c r="L9695" t="s">
        <v>37</v>
      </c>
      <c r="M9695" t="s">
        <v>168</v>
      </c>
      <c r="N9695" t="s">
        <v>16</v>
      </c>
      <c r="O9695" t="s">
        <v>192</v>
      </c>
      <c r="P9695" s="1" t="s">
        <v>30</v>
      </c>
      <c r="Q9695">
        <v>199.5</v>
      </c>
    </row>
    <row r="9696" spans="11:17" x14ac:dyDescent="0.3">
      <c r="K9696">
        <v>2023</v>
      </c>
      <c r="L9696" t="s">
        <v>37</v>
      </c>
      <c r="M9696" t="s">
        <v>168</v>
      </c>
      <c r="N9696" t="s">
        <v>16</v>
      </c>
      <c r="O9696" t="s">
        <v>192</v>
      </c>
      <c r="P9696" s="1" t="s">
        <v>34</v>
      </c>
      <c r="Q9696">
        <v>200.6</v>
      </c>
    </row>
    <row r="9697" spans="11:17" x14ac:dyDescent="0.3">
      <c r="K9697">
        <v>2023</v>
      </c>
      <c r="L9697" t="s">
        <v>37</v>
      </c>
      <c r="M9697" t="s">
        <v>168</v>
      </c>
      <c r="N9697" t="s">
        <v>16</v>
      </c>
      <c r="O9697" t="s">
        <v>192</v>
      </c>
      <c r="P9697" s="1" t="s">
        <v>33</v>
      </c>
      <c r="Q9697">
        <v>203.5</v>
      </c>
    </row>
    <row r="9698" spans="11:17" x14ac:dyDescent="0.3">
      <c r="K9698">
        <v>2023</v>
      </c>
      <c r="L9698" t="s">
        <v>37</v>
      </c>
      <c r="M9698" t="s">
        <v>168</v>
      </c>
      <c r="N9698" t="s">
        <v>27</v>
      </c>
      <c r="O9698" t="s">
        <v>192</v>
      </c>
      <c r="P9698" s="1" t="s">
        <v>30</v>
      </c>
      <c r="Q9698">
        <v>183.8</v>
      </c>
    </row>
    <row r="9699" spans="11:17" x14ac:dyDescent="0.3">
      <c r="K9699">
        <v>2023</v>
      </c>
      <c r="L9699" t="s">
        <v>37</v>
      </c>
      <c r="M9699" t="s">
        <v>168</v>
      </c>
      <c r="N9699" t="s">
        <v>27</v>
      </c>
      <c r="O9699" t="s">
        <v>192</v>
      </c>
      <c r="P9699" s="1" t="s">
        <v>34</v>
      </c>
      <c r="Q9699">
        <v>184</v>
      </c>
    </row>
    <row r="9700" spans="11:17" x14ac:dyDescent="0.3">
      <c r="K9700">
        <v>2023</v>
      </c>
      <c r="L9700" t="s">
        <v>37</v>
      </c>
      <c r="M9700" t="s">
        <v>168</v>
      </c>
      <c r="N9700" t="s">
        <v>27</v>
      </c>
      <c r="O9700" t="s">
        <v>192</v>
      </c>
      <c r="P9700" s="1" t="s">
        <v>33</v>
      </c>
      <c r="Q9700">
        <v>184.4</v>
      </c>
    </row>
    <row r="9701" spans="11:17" x14ac:dyDescent="0.3">
      <c r="K9701">
        <v>2023</v>
      </c>
      <c r="L9701" t="s">
        <v>37</v>
      </c>
      <c r="M9701" t="s">
        <v>168</v>
      </c>
      <c r="N9701" t="s">
        <v>14</v>
      </c>
      <c r="O9701" t="s">
        <v>188</v>
      </c>
      <c r="P9701" s="1" t="s">
        <v>30</v>
      </c>
      <c r="Q9701">
        <v>190.5</v>
      </c>
    </row>
    <row r="9702" spans="11:17" x14ac:dyDescent="0.3">
      <c r="K9702">
        <v>2023</v>
      </c>
      <c r="L9702" t="s">
        <v>37</v>
      </c>
      <c r="M9702" t="s">
        <v>168</v>
      </c>
      <c r="N9702" t="s">
        <v>14</v>
      </c>
      <c r="O9702" t="s">
        <v>188</v>
      </c>
      <c r="P9702" s="1" t="s">
        <v>34</v>
      </c>
      <c r="Q9702">
        <v>193.5</v>
      </c>
    </row>
    <row r="9703" spans="11:17" x14ac:dyDescent="0.3">
      <c r="K9703">
        <v>2023</v>
      </c>
      <c r="L9703" t="s">
        <v>37</v>
      </c>
      <c r="M9703" t="s">
        <v>168</v>
      </c>
      <c r="N9703" t="s">
        <v>14</v>
      </c>
      <c r="O9703" t="s">
        <v>188</v>
      </c>
      <c r="P9703" s="1" t="s">
        <v>33</v>
      </c>
      <c r="Q9703">
        <v>197</v>
      </c>
    </row>
    <row r="9704" spans="11:17" x14ac:dyDescent="0.3">
      <c r="K9704">
        <v>2023</v>
      </c>
      <c r="L9704" t="s">
        <v>37</v>
      </c>
      <c r="M9704" t="s">
        <v>168</v>
      </c>
      <c r="N9704" t="s">
        <v>10</v>
      </c>
      <c r="O9704" t="s">
        <v>188</v>
      </c>
      <c r="P9704" s="1" t="s">
        <v>30</v>
      </c>
      <c r="Q9704">
        <v>172.8</v>
      </c>
    </row>
    <row r="9705" spans="11:17" x14ac:dyDescent="0.3">
      <c r="K9705">
        <v>2023</v>
      </c>
      <c r="L9705" t="s">
        <v>37</v>
      </c>
      <c r="M9705" t="s">
        <v>168</v>
      </c>
      <c r="N9705" t="s">
        <v>10</v>
      </c>
      <c r="O9705" t="s">
        <v>188</v>
      </c>
      <c r="P9705" s="1" t="s">
        <v>34</v>
      </c>
      <c r="Q9705">
        <v>173.4</v>
      </c>
    </row>
    <row r="9706" spans="11:17" x14ac:dyDescent="0.3">
      <c r="K9706">
        <v>2023</v>
      </c>
      <c r="L9706" t="s">
        <v>37</v>
      </c>
      <c r="M9706" t="s">
        <v>168</v>
      </c>
      <c r="N9706" t="s">
        <v>10</v>
      </c>
      <c r="O9706" t="s">
        <v>188</v>
      </c>
      <c r="P9706" s="1" t="s">
        <v>33</v>
      </c>
      <c r="Q9706">
        <v>174.7</v>
      </c>
    </row>
    <row r="9707" spans="11:17" x14ac:dyDescent="0.3">
      <c r="K9707">
        <v>2023</v>
      </c>
      <c r="L9707" t="s">
        <v>37</v>
      </c>
      <c r="M9707" t="s">
        <v>168</v>
      </c>
      <c r="N9707" t="s">
        <v>25</v>
      </c>
      <c r="O9707" t="s">
        <v>195</v>
      </c>
      <c r="P9707" s="1" t="s">
        <v>30</v>
      </c>
      <c r="Q9707">
        <v>173.2</v>
      </c>
    </row>
    <row r="9708" spans="11:17" x14ac:dyDescent="0.3">
      <c r="K9708">
        <v>2023</v>
      </c>
      <c r="L9708" t="s">
        <v>37</v>
      </c>
      <c r="M9708" t="s">
        <v>168</v>
      </c>
      <c r="N9708" t="s">
        <v>25</v>
      </c>
      <c r="O9708" t="s">
        <v>195</v>
      </c>
      <c r="P9708" s="1" t="s">
        <v>34</v>
      </c>
      <c r="Q9708">
        <v>170.7</v>
      </c>
    </row>
    <row r="9709" spans="11:17" x14ac:dyDescent="0.3">
      <c r="K9709">
        <v>2023</v>
      </c>
      <c r="L9709" t="s">
        <v>37</v>
      </c>
      <c r="M9709" t="s">
        <v>168</v>
      </c>
      <c r="N9709" t="s">
        <v>25</v>
      </c>
      <c r="O9709" t="s">
        <v>195</v>
      </c>
      <c r="P9709" s="1" t="s">
        <v>33</v>
      </c>
      <c r="Q9709">
        <v>168.8</v>
      </c>
    </row>
    <row r="9710" spans="11:17" x14ac:dyDescent="0.3">
      <c r="K9710">
        <v>2023</v>
      </c>
      <c r="L9710" t="s">
        <v>37</v>
      </c>
      <c r="M9710" t="s">
        <v>168</v>
      </c>
      <c r="N9710" t="s">
        <v>12</v>
      </c>
      <c r="O9710" t="s">
        <v>188</v>
      </c>
      <c r="P9710" s="1" t="s">
        <v>30</v>
      </c>
      <c r="Q9710">
        <v>215.5</v>
      </c>
    </row>
    <row r="9711" spans="11:17" x14ac:dyDescent="0.3">
      <c r="K9711">
        <v>2023</v>
      </c>
      <c r="L9711" t="s">
        <v>37</v>
      </c>
      <c r="M9711" t="s">
        <v>168</v>
      </c>
      <c r="N9711" t="s">
        <v>12</v>
      </c>
      <c r="O9711" t="s">
        <v>188</v>
      </c>
      <c r="P9711" s="1" t="s">
        <v>34</v>
      </c>
      <c r="Q9711">
        <v>212.9</v>
      </c>
    </row>
    <row r="9712" spans="11:17" x14ac:dyDescent="0.3">
      <c r="K9712">
        <v>2023</v>
      </c>
      <c r="L9712" t="s">
        <v>37</v>
      </c>
      <c r="M9712" t="s">
        <v>168</v>
      </c>
      <c r="N9712" t="s">
        <v>12</v>
      </c>
      <c r="O9712" t="s">
        <v>188</v>
      </c>
      <c r="P9712" s="1" t="s">
        <v>33</v>
      </c>
      <c r="Q9712">
        <v>207.8</v>
      </c>
    </row>
    <row r="9713" spans="11:17" x14ac:dyDescent="0.3">
      <c r="K9713">
        <v>2023</v>
      </c>
      <c r="L9713" t="s">
        <v>37</v>
      </c>
      <c r="M9713" t="s">
        <v>168</v>
      </c>
      <c r="N9713" t="s">
        <v>11</v>
      </c>
      <c r="O9713" t="s">
        <v>188</v>
      </c>
      <c r="P9713" s="1" t="s">
        <v>30</v>
      </c>
      <c r="Q9713">
        <v>120.4</v>
      </c>
    </row>
    <row r="9714" spans="11:17" x14ac:dyDescent="0.3">
      <c r="K9714">
        <v>2023</v>
      </c>
      <c r="L9714" t="s">
        <v>37</v>
      </c>
      <c r="M9714" t="s">
        <v>168</v>
      </c>
      <c r="N9714" t="s">
        <v>11</v>
      </c>
      <c r="O9714" t="s">
        <v>188</v>
      </c>
      <c r="P9714" s="1" t="s">
        <v>34</v>
      </c>
      <c r="Q9714">
        <v>121.3</v>
      </c>
    </row>
    <row r="9715" spans="11:17" x14ac:dyDescent="0.3">
      <c r="K9715">
        <v>2023</v>
      </c>
      <c r="L9715" t="s">
        <v>37</v>
      </c>
      <c r="M9715" t="s">
        <v>168</v>
      </c>
      <c r="N9715" t="s">
        <v>11</v>
      </c>
      <c r="O9715" t="s">
        <v>188</v>
      </c>
      <c r="P9715" s="1" t="s">
        <v>33</v>
      </c>
      <c r="Q9715">
        <v>123.1</v>
      </c>
    </row>
    <row r="9716" spans="11:17" x14ac:dyDescent="0.3">
      <c r="K9716">
        <v>2023</v>
      </c>
      <c r="L9716" t="s">
        <v>37</v>
      </c>
      <c r="M9716" t="s">
        <v>168</v>
      </c>
      <c r="N9716" t="s">
        <v>24</v>
      </c>
      <c r="O9716" t="s">
        <v>191</v>
      </c>
      <c r="P9716" s="1" t="s">
        <v>30</v>
      </c>
      <c r="Q9716">
        <v>169.4</v>
      </c>
    </row>
    <row r="9717" spans="11:17" x14ac:dyDescent="0.3">
      <c r="K9717">
        <v>2023</v>
      </c>
      <c r="L9717" t="s">
        <v>37</v>
      </c>
      <c r="M9717" t="s">
        <v>168</v>
      </c>
      <c r="N9717" t="s">
        <v>24</v>
      </c>
      <c r="O9717" t="s">
        <v>191</v>
      </c>
      <c r="P9717" s="1" t="s">
        <v>34</v>
      </c>
      <c r="Q9717">
        <v>164.5</v>
      </c>
    </row>
    <row r="9718" spans="11:17" x14ac:dyDescent="0.3">
      <c r="K9718">
        <v>2023</v>
      </c>
      <c r="L9718" t="s">
        <v>37</v>
      </c>
      <c r="M9718" t="s">
        <v>168</v>
      </c>
      <c r="N9718" t="s">
        <v>24</v>
      </c>
      <c r="O9718" t="s">
        <v>191</v>
      </c>
      <c r="P9718" s="1" t="s">
        <v>33</v>
      </c>
      <c r="Q9718">
        <v>160.1</v>
      </c>
    </row>
    <row r="9719" spans="11:17" x14ac:dyDescent="0.3">
      <c r="K9719">
        <v>2023</v>
      </c>
      <c r="L9719" t="s">
        <v>37</v>
      </c>
      <c r="M9719" t="s">
        <v>168</v>
      </c>
      <c r="N9719" t="s">
        <v>9</v>
      </c>
      <c r="O9719" t="s">
        <v>188</v>
      </c>
      <c r="P9719" s="1" t="s">
        <v>30</v>
      </c>
      <c r="Q9719">
        <v>142.80000000000001</v>
      </c>
    </row>
    <row r="9720" spans="11:17" x14ac:dyDescent="0.3">
      <c r="K9720">
        <v>2023</v>
      </c>
      <c r="L9720" t="s">
        <v>37</v>
      </c>
      <c r="M9720" t="s">
        <v>168</v>
      </c>
      <c r="N9720" t="s">
        <v>9</v>
      </c>
      <c r="O9720" t="s">
        <v>188</v>
      </c>
      <c r="P9720" s="1" t="s">
        <v>34</v>
      </c>
      <c r="Q9720">
        <v>155.4</v>
      </c>
    </row>
    <row r="9721" spans="11:17" x14ac:dyDescent="0.3">
      <c r="K9721">
        <v>2023</v>
      </c>
      <c r="L9721" t="s">
        <v>37</v>
      </c>
      <c r="M9721" t="s">
        <v>168</v>
      </c>
      <c r="N9721" t="s">
        <v>9</v>
      </c>
      <c r="O9721" t="s">
        <v>188</v>
      </c>
      <c r="P9721" s="1" t="s">
        <v>33</v>
      </c>
      <c r="Q9721">
        <v>179.9</v>
      </c>
    </row>
    <row r="9722" spans="11:17" x14ac:dyDescent="0.3">
      <c r="K9722">
        <v>2023</v>
      </c>
      <c r="L9722" t="s">
        <v>35</v>
      </c>
      <c r="M9722" t="s">
        <v>169</v>
      </c>
      <c r="N9722" t="s">
        <v>3</v>
      </c>
      <c r="O9722" t="s">
        <v>188</v>
      </c>
      <c r="P9722" s="1" t="s">
        <v>30</v>
      </c>
      <c r="Q9722">
        <v>174.2</v>
      </c>
    </row>
    <row r="9723" spans="11:17" x14ac:dyDescent="0.3">
      <c r="K9723">
        <v>2023</v>
      </c>
      <c r="L9723" t="s">
        <v>35</v>
      </c>
      <c r="M9723" t="s">
        <v>169</v>
      </c>
      <c r="N9723" t="s">
        <v>3</v>
      </c>
      <c r="O9723" t="s">
        <v>188</v>
      </c>
      <c r="P9723" s="1" t="s">
        <v>34</v>
      </c>
      <c r="Q9723">
        <v>174.4</v>
      </c>
    </row>
    <row r="9724" spans="11:17" x14ac:dyDescent="0.3">
      <c r="K9724">
        <v>2023</v>
      </c>
      <c r="L9724" t="s">
        <v>35</v>
      </c>
      <c r="M9724" t="s">
        <v>169</v>
      </c>
      <c r="N9724" t="s">
        <v>3</v>
      </c>
      <c r="O9724" t="s">
        <v>188</v>
      </c>
      <c r="P9724" s="1" t="s">
        <v>33</v>
      </c>
      <c r="Q9724">
        <v>174.7</v>
      </c>
    </row>
    <row r="9725" spans="11:17" x14ac:dyDescent="0.3">
      <c r="K9725">
        <v>2023</v>
      </c>
      <c r="L9725" t="s">
        <v>35</v>
      </c>
      <c r="M9725" t="s">
        <v>169</v>
      </c>
      <c r="N9725" t="s">
        <v>17</v>
      </c>
      <c r="O9725" t="s">
        <v>189</v>
      </c>
      <c r="P9725" s="1" t="s">
        <v>30</v>
      </c>
      <c r="Q9725">
        <v>190</v>
      </c>
    </row>
    <row r="9726" spans="11:17" x14ac:dyDescent="0.3">
      <c r="K9726">
        <v>2023</v>
      </c>
      <c r="L9726" t="s">
        <v>35</v>
      </c>
      <c r="M9726" t="s">
        <v>169</v>
      </c>
      <c r="N9726" t="s">
        <v>17</v>
      </c>
      <c r="O9726" t="s">
        <v>189</v>
      </c>
      <c r="P9726" s="1" t="s">
        <v>34</v>
      </c>
      <c r="Q9726">
        <v>186.2</v>
      </c>
    </row>
    <row r="9727" spans="11:17" x14ac:dyDescent="0.3">
      <c r="K9727">
        <v>2023</v>
      </c>
      <c r="L9727" t="s">
        <v>35</v>
      </c>
      <c r="M9727" t="s">
        <v>169</v>
      </c>
      <c r="N9727" t="s">
        <v>17</v>
      </c>
      <c r="O9727" t="s">
        <v>189</v>
      </c>
      <c r="P9727" s="1" t="s">
        <v>33</v>
      </c>
      <c r="Q9727">
        <v>180.3</v>
      </c>
    </row>
    <row r="9728" spans="11:17" x14ac:dyDescent="0.3">
      <c r="K9728">
        <v>2023</v>
      </c>
      <c r="L9728" t="s">
        <v>35</v>
      </c>
      <c r="M9728" t="s">
        <v>169</v>
      </c>
      <c r="N9728" t="s">
        <v>19</v>
      </c>
      <c r="O9728" t="s">
        <v>189</v>
      </c>
      <c r="P9728" s="1" t="s">
        <v>30</v>
      </c>
      <c r="Q9728">
        <v>189.6</v>
      </c>
    </row>
    <row r="9729" spans="11:17" x14ac:dyDescent="0.3">
      <c r="K9729">
        <v>2023</v>
      </c>
      <c r="L9729" t="s">
        <v>35</v>
      </c>
      <c r="M9729" t="s">
        <v>169</v>
      </c>
      <c r="N9729" t="s">
        <v>19</v>
      </c>
      <c r="O9729" t="s">
        <v>189</v>
      </c>
      <c r="P9729" s="1" t="s">
        <v>34</v>
      </c>
      <c r="Q9729">
        <v>185.1</v>
      </c>
    </row>
    <row r="9730" spans="11:17" x14ac:dyDescent="0.3">
      <c r="K9730">
        <v>2023</v>
      </c>
      <c r="L9730" t="s">
        <v>35</v>
      </c>
      <c r="M9730" t="s">
        <v>169</v>
      </c>
      <c r="N9730" t="s">
        <v>19</v>
      </c>
      <c r="O9730" t="s">
        <v>189</v>
      </c>
      <c r="P9730" s="1" t="s">
        <v>33</v>
      </c>
      <c r="Q9730">
        <v>178.2</v>
      </c>
    </row>
    <row r="9731" spans="11:17" x14ac:dyDescent="0.3">
      <c r="K9731">
        <v>2023</v>
      </c>
      <c r="L9731" t="s">
        <v>35</v>
      </c>
      <c r="M9731" t="s">
        <v>169</v>
      </c>
      <c r="N9731" t="s">
        <v>26</v>
      </c>
      <c r="O9731" t="s">
        <v>26</v>
      </c>
      <c r="P9731" s="1" t="s">
        <v>30</v>
      </c>
      <c r="Q9731">
        <v>178.5</v>
      </c>
    </row>
    <row r="9732" spans="11:17" x14ac:dyDescent="0.3">
      <c r="K9732">
        <v>2023</v>
      </c>
      <c r="L9732" t="s">
        <v>35</v>
      </c>
      <c r="M9732" t="s">
        <v>169</v>
      </c>
      <c r="N9732" t="s">
        <v>26</v>
      </c>
      <c r="O9732" t="s">
        <v>26</v>
      </c>
      <c r="P9732" s="1" t="s">
        <v>34</v>
      </c>
      <c r="Q9732">
        <v>175</v>
      </c>
    </row>
    <row r="9733" spans="11:17" x14ac:dyDescent="0.3">
      <c r="K9733">
        <v>2023</v>
      </c>
      <c r="L9733" t="s">
        <v>35</v>
      </c>
      <c r="M9733" t="s">
        <v>169</v>
      </c>
      <c r="N9733" t="s">
        <v>26</v>
      </c>
      <c r="O9733" t="s">
        <v>26</v>
      </c>
      <c r="P9733" s="1" t="s">
        <v>33</v>
      </c>
      <c r="Q9733">
        <v>172.5</v>
      </c>
    </row>
    <row r="9734" spans="11:17" x14ac:dyDescent="0.3">
      <c r="K9734">
        <v>2023</v>
      </c>
      <c r="L9734" t="s">
        <v>35</v>
      </c>
      <c r="M9734" t="s">
        <v>169</v>
      </c>
      <c r="N9734" t="s">
        <v>5</v>
      </c>
      <c r="O9734" t="s">
        <v>188</v>
      </c>
      <c r="P9734" s="1" t="s">
        <v>30</v>
      </c>
      <c r="Q9734">
        <v>173.9</v>
      </c>
    </row>
    <row r="9735" spans="11:17" x14ac:dyDescent="0.3">
      <c r="K9735">
        <v>2023</v>
      </c>
      <c r="L9735" t="s">
        <v>35</v>
      </c>
      <c r="M9735" t="s">
        <v>169</v>
      </c>
      <c r="N9735" t="s">
        <v>5</v>
      </c>
      <c r="O9735" t="s">
        <v>188</v>
      </c>
      <c r="P9735" s="1" t="s">
        <v>34</v>
      </c>
      <c r="Q9735">
        <v>175.2</v>
      </c>
    </row>
    <row r="9736" spans="11:17" x14ac:dyDescent="0.3">
      <c r="K9736">
        <v>2023</v>
      </c>
      <c r="L9736" t="s">
        <v>35</v>
      </c>
      <c r="M9736" t="s">
        <v>169</v>
      </c>
      <c r="N9736" t="s">
        <v>5</v>
      </c>
      <c r="O9736" t="s">
        <v>188</v>
      </c>
      <c r="P9736" s="1" t="s">
        <v>33</v>
      </c>
      <c r="Q9736">
        <v>177.2</v>
      </c>
    </row>
    <row r="9737" spans="11:17" x14ac:dyDescent="0.3">
      <c r="K9737">
        <v>2023</v>
      </c>
      <c r="L9737" t="s">
        <v>35</v>
      </c>
      <c r="M9737" t="s">
        <v>169</v>
      </c>
      <c r="N9737" t="s">
        <v>15</v>
      </c>
      <c r="O9737" t="s">
        <v>188</v>
      </c>
      <c r="P9737" s="1" t="s">
        <v>30</v>
      </c>
      <c r="Q9737">
        <v>174.8</v>
      </c>
    </row>
    <row r="9738" spans="11:17" x14ac:dyDescent="0.3">
      <c r="K9738">
        <v>2023</v>
      </c>
      <c r="L9738" t="s">
        <v>35</v>
      </c>
      <c r="M9738" t="s">
        <v>169</v>
      </c>
      <c r="N9738" t="s">
        <v>15</v>
      </c>
      <c r="O9738" t="s">
        <v>188</v>
      </c>
      <c r="P9738" s="1" t="s">
        <v>34</v>
      </c>
      <c r="Q9738">
        <v>177</v>
      </c>
    </row>
    <row r="9739" spans="11:17" x14ac:dyDescent="0.3">
      <c r="K9739">
        <v>2023</v>
      </c>
      <c r="L9739" t="s">
        <v>35</v>
      </c>
      <c r="M9739" t="s">
        <v>169</v>
      </c>
      <c r="N9739" t="s">
        <v>15</v>
      </c>
      <c r="O9739" t="s">
        <v>188</v>
      </c>
      <c r="P9739" s="1" t="s">
        <v>33</v>
      </c>
      <c r="Q9739">
        <v>180.7</v>
      </c>
    </row>
    <row r="9740" spans="11:17" x14ac:dyDescent="0.3">
      <c r="K9740">
        <v>2023</v>
      </c>
      <c r="L9740" t="s">
        <v>35</v>
      </c>
      <c r="M9740" t="s">
        <v>169</v>
      </c>
      <c r="N9740" t="s">
        <v>18</v>
      </c>
      <c r="O9740" t="s">
        <v>189</v>
      </c>
      <c r="P9740" s="1" t="s">
        <v>30</v>
      </c>
      <c r="Q9740">
        <v>187</v>
      </c>
    </row>
    <row r="9741" spans="11:17" x14ac:dyDescent="0.3">
      <c r="K9741">
        <v>2023</v>
      </c>
      <c r="L9741" t="s">
        <v>35</v>
      </c>
      <c r="M9741" t="s">
        <v>169</v>
      </c>
      <c r="N9741" t="s">
        <v>18</v>
      </c>
      <c r="O9741" t="s">
        <v>189</v>
      </c>
      <c r="P9741" s="1" t="s">
        <v>34</v>
      </c>
      <c r="Q9741">
        <v>178.7</v>
      </c>
    </row>
    <row r="9742" spans="11:17" x14ac:dyDescent="0.3">
      <c r="K9742">
        <v>2023</v>
      </c>
      <c r="L9742" t="s">
        <v>35</v>
      </c>
      <c r="M9742" t="s">
        <v>169</v>
      </c>
      <c r="N9742" t="s">
        <v>18</v>
      </c>
      <c r="O9742" t="s">
        <v>189</v>
      </c>
      <c r="P9742" s="1" t="s">
        <v>33</v>
      </c>
      <c r="Q9742">
        <v>167</v>
      </c>
    </row>
    <row r="9743" spans="11:17" x14ac:dyDescent="0.3">
      <c r="K9743">
        <v>2023</v>
      </c>
      <c r="L9743" t="s">
        <v>35</v>
      </c>
      <c r="M9743" t="s">
        <v>169</v>
      </c>
      <c r="N9743" t="s">
        <v>8</v>
      </c>
      <c r="O9743" t="s">
        <v>188</v>
      </c>
      <c r="P9743" s="1" t="s">
        <v>30</v>
      </c>
      <c r="Q9743">
        <v>167.2</v>
      </c>
    </row>
    <row r="9744" spans="11:17" x14ac:dyDescent="0.3">
      <c r="K9744">
        <v>2023</v>
      </c>
      <c r="L9744" t="s">
        <v>35</v>
      </c>
      <c r="M9744" t="s">
        <v>169</v>
      </c>
      <c r="N9744" t="s">
        <v>8</v>
      </c>
      <c r="O9744" t="s">
        <v>188</v>
      </c>
      <c r="P9744" s="1" t="s">
        <v>34</v>
      </c>
      <c r="Q9744">
        <v>169.5</v>
      </c>
    </row>
    <row r="9745" spans="11:17" x14ac:dyDescent="0.3">
      <c r="K9745">
        <v>2023</v>
      </c>
      <c r="L9745" t="s">
        <v>35</v>
      </c>
      <c r="M9745" t="s">
        <v>169</v>
      </c>
      <c r="N9745" t="s">
        <v>8</v>
      </c>
      <c r="O9745" t="s">
        <v>188</v>
      </c>
      <c r="P9745" s="1" t="s">
        <v>33</v>
      </c>
      <c r="Q9745">
        <v>172.1</v>
      </c>
    </row>
    <row r="9746" spans="11:17" x14ac:dyDescent="0.3">
      <c r="K9746">
        <v>2023</v>
      </c>
      <c r="L9746" t="s">
        <v>35</v>
      </c>
      <c r="M9746" t="s">
        <v>169</v>
      </c>
      <c r="N9746" t="s">
        <v>21</v>
      </c>
      <c r="O9746" t="s">
        <v>190</v>
      </c>
      <c r="P9746" s="1" t="s">
        <v>30</v>
      </c>
      <c r="Q9746">
        <v>181.6</v>
      </c>
    </row>
    <row r="9747" spans="11:17" x14ac:dyDescent="0.3">
      <c r="K9747">
        <v>2023</v>
      </c>
      <c r="L9747" t="s">
        <v>35</v>
      </c>
      <c r="M9747" t="s">
        <v>169</v>
      </c>
      <c r="N9747" t="s">
        <v>21</v>
      </c>
      <c r="O9747" t="s">
        <v>190</v>
      </c>
      <c r="P9747" s="1" t="s">
        <v>34</v>
      </c>
      <c r="Q9747">
        <v>182.1</v>
      </c>
    </row>
    <row r="9748" spans="11:17" x14ac:dyDescent="0.3">
      <c r="K9748">
        <v>2023</v>
      </c>
      <c r="L9748" t="s">
        <v>35</v>
      </c>
      <c r="M9748" t="s">
        <v>169</v>
      </c>
      <c r="N9748" t="s">
        <v>21</v>
      </c>
      <c r="O9748" t="s">
        <v>190</v>
      </c>
      <c r="P9748" s="1" t="s">
        <v>33</v>
      </c>
      <c r="Q9748">
        <v>182.8</v>
      </c>
    </row>
    <row r="9749" spans="11:17" x14ac:dyDescent="0.3">
      <c r="K9749">
        <v>2023</v>
      </c>
      <c r="L9749" t="s">
        <v>35</v>
      </c>
      <c r="M9749" t="s">
        <v>169</v>
      </c>
      <c r="N9749" t="s">
        <v>29</v>
      </c>
      <c r="O9749" t="s">
        <v>206</v>
      </c>
      <c r="P9749" s="1" t="s">
        <v>30</v>
      </c>
      <c r="Q9749">
        <v>178</v>
      </c>
    </row>
    <row r="9750" spans="11:17" x14ac:dyDescent="0.3">
      <c r="K9750">
        <v>2023</v>
      </c>
      <c r="L9750" t="s">
        <v>35</v>
      </c>
      <c r="M9750" t="s">
        <v>169</v>
      </c>
      <c r="N9750" t="s">
        <v>29</v>
      </c>
      <c r="O9750" t="s">
        <v>206</v>
      </c>
      <c r="P9750" s="1" t="s">
        <v>34</v>
      </c>
      <c r="Q9750">
        <v>177.2</v>
      </c>
    </row>
    <row r="9751" spans="11:17" x14ac:dyDescent="0.3">
      <c r="K9751">
        <v>2023</v>
      </c>
      <c r="L9751" t="s">
        <v>35</v>
      </c>
      <c r="M9751" t="s">
        <v>169</v>
      </c>
      <c r="N9751" t="s">
        <v>29</v>
      </c>
      <c r="O9751" t="s">
        <v>206</v>
      </c>
      <c r="P9751" s="1" t="s">
        <v>33</v>
      </c>
      <c r="Q9751">
        <v>176.3</v>
      </c>
    </row>
    <row r="9752" spans="11:17" x14ac:dyDescent="0.3">
      <c r="K9752">
        <v>2023</v>
      </c>
      <c r="L9752" t="s">
        <v>35</v>
      </c>
      <c r="M9752" t="s">
        <v>169</v>
      </c>
      <c r="N9752" t="s">
        <v>23</v>
      </c>
      <c r="O9752" t="s">
        <v>23</v>
      </c>
      <c r="P9752" s="1" t="s">
        <v>30</v>
      </c>
      <c r="Q9752">
        <v>186.6</v>
      </c>
    </row>
    <row r="9753" spans="11:17" x14ac:dyDescent="0.3">
      <c r="K9753">
        <v>2023</v>
      </c>
      <c r="L9753" t="s">
        <v>35</v>
      </c>
      <c r="M9753" t="s">
        <v>169</v>
      </c>
      <c r="N9753" t="s">
        <v>23</v>
      </c>
      <c r="O9753" t="s">
        <v>23</v>
      </c>
      <c r="P9753" s="1" t="s">
        <v>34</v>
      </c>
      <c r="Q9753">
        <v>184.4</v>
      </c>
    </row>
    <row r="9754" spans="11:17" x14ac:dyDescent="0.3">
      <c r="K9754">
        <v>2023</v>
      </c>
      <c r="L9754" t="s">
        <v>35</v>
      </c>
      <c r="M9754" t="s">
        <v>169</v>
      </c>
      <c r="N9754" t="s">
        <v>23</v>
      </c>
      <c r="O9754" t="s">
        <v>23</v>
      </c>
      <c r="P9754" s="1" t="s">
        <v>33</v>
      </c>
      <c r="Q9754">
        <v>180.8</v>
      </c>
    </row>
    <row r="9755" spans="11:17" x14ac:dyDescent="0.3">
      <c r="K9755">
        <v>2023</v>
      </c>
      <c r="L9755" t="s">
        <v>35</v>
      </c>
      <c r="M9755" t="s">
        <v>169</v>
      </c>
      <c r="N9755" t="s">
        <v>22</v>
      </c>
      <c r="O9755" t="s">
        <v>20</v>
      </c>
      <c r="P9755" s="1" t="s">
        <v>30</v>
      </c>
      <c r="Q9755">
        <v>178.6</v>
      </c>
    </row>
    <row r="9756" spans="11:17" x14ac:dyDescent="0.3">
      <c r="K9756">
        <v>2023</v>
      </c>
      <c r="L9756" t="s">
        <v>35</v>
      </c>
      <c r="M9756" t="s">
        <v>169</v>
      </c>
      <c r="N9756" t="s">
        <v>22</v>
      </c>
      <c r="O9756" t="s">
        <v>20</v>
      </c>
      <c r="P9756" s="1" t="s">
        <v>34</v>
      </c>
      <c r="Q9756">
        <v>174.2</v>
      </c>
    </row>
    <row r="9757" spans="11:17" x14ac:dyDescent="0.3">
      <c r="K9757">
        <v>2023</v>
      </c>
      <c r="L9757" t="s">
        <v>35</v>
      </c>
      <c r="M9757" t="s">
        <v>169</v>
      </c>
      <c r="N9757" t="s">
        <v>22</v>
      </c>
      <c r="O9757" t="s">
        <v>20</v>
      </c>
      <c r="P9757" s="1" t="s">
        <v>33</v>
      </c>
      <c r="Q9757">
        <v>169.2</v>
      </c>
    </row>
    <row r="9758" spans="11:17" x14ac:dyDescent="0.3">
      <c r="K9758">
        <v>2023</v>
      </c>
      <c r="L9758" t="s">
        <v>35</v>
      </c>
      <c r="M9758" t="s">
        <v>169</v>
      </c>
      <c r="N9758" t="s">
        <v>20</v>
      </c>
      <c r="O9758" t="s">
        <v>20</v>
      </c>
      <c r="P9758" s="1" t="s">
        <v>30</v>
      </c>
      <c r="Q9758">
        <v>0</v>
      </c>
    </row>
    <row r="9759" spans="11:17" x14ac:dyDescent="0.3">
      <c r="K9759">
        <v>2023</v>
      </c>
      <c r="L9759" t="s">
        <v>35</v>
      </c>
      <c r="M9759" t="s">
        <v>169</v>
      </c>
      <c r="N9759" t="s">
        <v>20</v>
      </c>
      <c r="O9759" t="s">
        <v>20</v>
      </c>
      <c r="P9759" s="1" t="s">
        <v>34</v>
      </c>
      <c r="Q9759">
        <v>173.5</v>
      </c>
    </row>
    <row r="9760" spans="11:17" x14ac:dyDescent="0.3">
      <c r="K9760">
        <v>2023</v>
      </c>
      <c r="L9760" t="s">
        <v>35</v>
      </c>
      <c r="M9760" t="s">
        <v>169</v>
      </c>
      <c r="N9760" t="s">
        <v>20</v>
      </c>
      <c r="O9760" t="s">
        <v>20</v>
      </c>
      <c r="P9760" s="1" t="s">
        <v>33</v>
      </c>
      <c r="Q9760">
        <v>173.5</v>
      </c>
    </row>
    <row r="9761" spans="11:17" x14ac:dyDescent="0.3">
      <c r="K9761">
        <v>2023</v>
      </c>
      <c r="L9761" t="s">
        <v>35</v>
      </c>
      <c r="M9761" t="s">
        <v>169</v>
      </c>
      <c r="N9761" t="s">
        <v>4</v>
      </c>
      <c r="O9761" t="s">
        <v>188</v>
      </c>
      <c r="P9761" s="1" t="s">
        <v>30</v>
      </c>
      <c r="Q9761">
        <v>205.2</v>
      </c>
    </row>
    <row r="9762" spans="11:17" x14ac:dyDescent="0.3">
      <c r="K9762">
        <v>2023</v>
      </c>
      <c r="L9762" t="s">
        <v>35</v>
      </c>
      <c r="M9762" t="s">
        <v>169</v>
      </c>
      <c r="N9762" t="s">
        <v>4</v>
      </c>
      <c r="O9762" t="s">
        <v>188</v>
      </c>
      <c r="P9762" s="1" t="s">
        <v>34</v>
      </c>
      <c r="Q9762">
        <v>207.7</v>
      </c>
    </row>
    <row r="9763" spans="11:17" x14ac:dyDescent="0.3">
      <c r="K9763">
        <v>2023</v>
      </c>
      <c r="L9763" t="s">
        <v>35</v>
      </c>
      <c r="M9763" t="s">
        <v>169</v>
      </c>
      <c r="N9763" t="s">
        <v>4</v>
      </c>
      <c r="O9763" t="s">
        <v>188</v>
      </c>
      <c r="P9763" s="1" t="s">
        <v>33</v>
      </c>
      <c r="Q9763">
        <v>212.2</v>
      </c>
    </row>
    <row r="9764" spans="11:17" x14ac:dyDescent="0.3">
      <c r="K9764">
        <v>2023</v>
      </c>
      <c r="L9764" t="s">
        <v>35</v>
      </c>
      <c r="M9764" t="s">
        <v>169</v>
      </c>
      <c r="N9764" t="s">
        <v>6</v>
      </c>
      <c r="O9764" t="s">
        <v>188</v>
      </c>
      <c r="P9764" s="1" t="s">
        <v>30</v>
      </c>
      <c r="Q9764">
        <v>177</v>
      </c>
    </row>
    <row r="9765" spans="11:17" x14ac:dyDescent="0.3">
      <c r="K9765">
        <v>2023</v>
      </c>
      <c r="L9765" t="s">
        <v>35</v>
      </c>
      <c r="M9765" t="s">
        <v>169</v>
      </c>
      <c r="N9765" t="s">
        <v>6</v>
      </c>
      <c r="O9765" t="s">
        <v>188</v>
      </c>
      <c r="P9765" s="1" t="s">
        <v>34</v>
      </c>
      <c r="Q9765">
        <v>177.3</v>
      </c>
    </row>
    <row r="9766" spans="11:17" x14ac:dyDescent="0.3">
      <c r="K9766">
        <v>2023</v>
      </c>
      <c r="L9766" t="s">
        <v>35</v>
      </c>
      <c r="M9766" t="s">
        <v>169</v>
      </c>
      <c r="N9766" t="s">
        <v>6</v>
      </c>
      <c r="O9766" t="s">
        <v>188</v>
      </c>
      <c r="P9766" s="1" t="s">
        <v>33</v>
      </c>
      <c r="Q9766">
        <v>177.9</v>
      </c>
    </row>
    <row r="9767" spans="11:17" x14ac:dyDescent="0.3">
      <c r="K9767">
        <v>2023</v>
      </c>
      <c r="L9767" t="s">
        <v>35</v>
      </c>
      <c r="M9767" t="s">
        <v>169</v>
      </c>
      <c r="N9767" t="s">
        <v>28</v>
      </c>
      <c r="O9767" t="s">
        <v>192</v>
      </c>
      <c r="P9767" s="1" t="s">
        <v>30</v>
      </c>
      <c r="Q9767">
        <v>177.9</v>
      </c>
    </row>
    <row r="9768" spans="11:17" x14ac:dyDescent="0.3">
      <c r="K9768">
        <v>2023</v>
      </c>
      <c r="L9768" t="s">
        <v>35</v>
      </c>
      <c r="M9768" t="s">
        <v>169</v>
      </c>
      <c r="N9768" t="s">
        <v>28</v>
      </c>
      <c r="O9768" t="s">
        <v>192</v>
      </c>
      <c r="P9768" s="1" t="s">
        <v>34</v>
      </c>
      <c r="Q9768">
        <v>174.1</v>
      </c>
    </row>
    <row r="9769" spans="11:17" x14ac:dyDescent="0.3">
      <c r="K9769">
        <v>2023</v>
      </c>
      <c r="L9769" t="s">
        <v>35</v>
      </c>
      <c r="M9769" t="s">
        <v>169</v>
      </c>
      <c r="N9769" t="s">
        <v>28</v>
      </c>
      <c r="O9769" t="s">
        <v>192</v>
      </c>
      <c r="P9769" s="1" t="s">
        <v>33</v>
      </c>
      <c r="Q9769">
        <v>170</v>
      </c>
    </row>
    <row r="9770" spans="11:17" x14ac:dyDescent="0.3">
      <c r="K9770">
        <v>2023</v>
      </c>
      <c r="L9770" t="s">
        <v>35</v>
      </c>
      <c r="M9770" t="s">
        <v>169</v>
      </c>
      <c r="N9770" t="s">
        <v>13</v>
      </c>
      <c r="O9770" t="s">
        <v>188</v>
      </c>
      <c r="P9770" s="1" t="s">
        <v>30</v>
      </c>
      <c r="Q9770">
        <v>177.6</v>
      </c>
    </row>
    <row r="9771" spans="11:17" x14ac:dyDescent="0.3">
      <c r="K9771">
        <v>2023</v>
      </c>
      <c r="L9771" t="s">
        <v>35</v>
      </c>
      <c r="M9771" t="s">
        <v>169</v>
      </c>
      <c r="N9771" t="s">
        <v>13</v>
      </c>
      <c r="O9771" t="s">
        <v>188</v>
      </c>
      <c r="P9771" s="1" t="s">
        <v>34</v>
      </c>
      <c r="Q9771">
        <v>172.3</v>
      </c>
    </row>
    <row r="9772" spans="11:17" x14ac:dyDescent="0.3">
      <c r="K9772">
        <v>2023</v>
      </c>
      <c r="L9772" t="s">
        <v>35</v>
      </c>
      <c r="M9772" t="s">
        <v>169</v>
      </c>
      <c r="N9772" t="s">
        <v>13</v>
      </c>
      <c r="O9772" t="s">
        <v>188</v>
      </c>
      <c r="P9772" s="1" t="s">
        <v>33</v>
      </c>
      <c r="Q9772">
        <v>164.9</v>
      </c>
    </row>
    <row r="9773" spans="11:17" x14ac:dyDescent="0.3">
      <c r="K9773">
        <v>2023</v>
      </c>
      <c r="L9773" t="s">
        <v>35</v>
      </c>
      <c r="M9773" t="s">
        <v>169</v>
      </c>
      <c r="N9773" t="s">
        <v>7</v>
      </c>
      <c r="O9773" t="s">
        <v>188</v>
      </c>
      <c r="P9773" s="1" t="s">
        <v>30</v>
      </c>
      <c r="Q9773">
        <v>183.4</v>
      </c>
    </row>
    <row r="9774" spans="11:17" x14ac:dyDescent="0.3">
      <c r="K9774">
        <v>2023</v>
      </c>
      <c r="L9774" t="s">
        <v>35</v>
      </c>
      <c r="M9774" t="s">
        <v>169</v>
      </c>
      <c r="N9774" t="s">
        <v>7</v>
      </c>
      <c r="O9774" t="s">
        <v>188</v>
      </c>
      <c r="P9774" s="1" t="s">
        <v>34</v>
      </c>
      <c r="Q9774">
        <v>179.3</v>
      </c>
    </row>
    <row r="9775" spans="11:17" x14ac:dyDescent="0.3">
      <c r="K9775">
        <v>2023</v>
      </c>
      <c r="L9775" t="s">
        <v>35</v>
      </c>
      <c r="M9775" t="s">
        <v>169</v>
      </c>
      <c r="N9775" t="s">
        <v>7</v>
      </c>
      <c r="O9775" t="s">
        <v>188</v>
      </c>
      <c r="P9775" s="1" t="s">
        <v>33</v>
      </c>
      <c r="Q9775">
        <v>172.2</v>
      </c>
    </row>
    <row r="9776" spans="11:17" x14ac:dyDescent="0.3">
      <c r="K9776">
        <v>2023</v>
      </c>
      <c r="L9776" t="s">
        <v>35</v>
      </c>
      <c r="M9776" t="s">
        <v>169</v>
      </c>
      <c r="N9776" t="s">
        <v>16</v>
      </c>
      <c r="O9776" t="s">
        <v>192</v>
      </c>
      <c r="P9776" s="1" t="s">
        <v>30</v>
      </c>
      <c r="Q9776">
        <v>198.3</v>
      </c>
    </row>
    <row r="9777" spans="11:17" x14ac:dyDescent="0.3">
      <c r="K9777">
        <v>2023</v>
      </c>
      <c r="L9777" t="s">
        <v>35</v>
      </c>
      <c r="M9777" t="s">
        <v>169</v>
      </c>
      <c r="N9777" t="s">
        <v>16</v>
      </c>
      <c r="O9777" t="s">
        <v>192</v>
      </c>
      <c r="P9777" s="1" t="s">
        <v>34</v>
      </c>
      <c r="Q9777">
        <v>199.5</v>
      </c>
    </row>
    <row r="9778" spans="11:17" x14ac:dyDescent="0.3">
      <c r="K9778">
        <v>2023</v>
      </c>
      <c r="L9778" t="s">
        <v>35</v>
      </c>
      <c r="M9778" t="s">
        <v>169</v>
      </c>
      <c r="N9778" t="s">
        <v>16</v>
      </c>
      <c r="O9778" t="s">
        <v>192</v>
      </c>
      <c r="P9778" s="1" t="s">
        <v>33</v>
      </c>
      <c r="Q9778">
        <v>202.7</v>
      </c>
    </row>
    <row r="9779" spans="11:17" x14ac:dyDescent="0.3">
      <c r="K9779">
        <v>2023</v>
      </c>
      <c r="L9779" t="s">
        <v>35</v>
      </c>
      <c r="M9779" t="s">
        <v>169</v>
      </c>
      <c r="N9779" t="s">
        <v>27</v>
      </c>
      <c r="O9779" t="s">
        <v>192</v>
      </c>
      <c r="P9779" s="1" t="s">
        <v>30</v>
      </c>
      <c r="Q9779">
        <v>180.7</v>
      </c>
    </row>
    <row r="9780" spans="11:17" x14ac:dyDescent="0.3">
      <c r="K9780">
        <v>2023</v>
      </c>
      <c r="L9780" t="s">
        <v>35</v>
      </c>
      <c r="M9780" t="s">
        <v>169</v>
      </c>
      <c r="N9780" t="s">
        <v>27</v>
      </c>
      <c r="O9780" t="s">
        <v>192</v>
      </c>
      <c r="P9780" s="1" t="s">
        <v>34</v>
      </c>
      <c r="Q9780">
        <v>181</v>
      </c>
    </row>
    <row r="9781" spans="11:17" x14ac:dyDescent="0.3">
      <c r="K9781">
        <v>2023</v>
      </c>
      <c r="L9781" t="s">
        <v>35</v>
      </c>
      <c r="M9781" t="s">
        <v>169</v>
      </c>
      <c r="N9781" t="s">
        <v>27</v>
      </c>
      <c r="O9781" t="s">
        <v>192</v>
      </c>
      <c r="P9781" s="1" t="s">
        <v>33</v>
      </c>
      <c r="Q9781">
        <v>181.4</v>
      </c>
    </row>
    <row r="9782" spans="11:17" x14ac:dyDescent="0.3">
      <c r="K9782">
        <v>2023</v>
      </c>
      <c r="L9782" t="s">
        <v>35</v>
      </c>
      <c r="M9782" t="s">
        <v>169</v>
      </c>
      <c r="N9782" t="s">
        <v>14</v>
      </c>
      <c r="O9782" t="s">
        <v>188</v>
      </c>
      <c r="P9782" s="1" t="s">
        <v>30</v>
      </c>
      <c r="Q9782">
        <v>189.9</v>
      </c>
    </row>
    <row r="9783" spans="11:17" x14ac:dyDescent="0.3">
      <c r="K9783">
        <v>2023</v>
      </c>
      <c r="L9783" t="s">
        <v>35</v>
      </c>
      <c r="M9783" t="s">
        <v>169</v>
      </c>
      <c r="N9783" t="s">
        <v>14</v>
      </c>
      <c r="O9783" t="s">
        <v>188</v>
      </c>
      <c r="P9783" s="1" t="s">
        <v>34</v>
      </c>
      <c r="Q9783">
        <v>193</v>
      </c>
    </row>
    <row r="9784" spans="11:17" x14ac:dyDescent="0.3">
      <c r="K9784">
        <v>2023</v>
      </c>
      <c r="L9784" t="s">
        <v>35</v>
      </c>
      <c r="M9784" t="s">
        <v>169</v>
      </c>
      <c r="N9784" t="s">
        <v>14</v>
      </c>
      <c r="O9784" t="s">
        <v>188</v>
      </c>
      <c r="P9784" s="1" t="s">
        <v>33</v>
      </c>
      <c r="Q9784">
        <v>196.6</v>
      </c>
    </row>
    <row r="9785" spans="11:17" x14ac:dyDescent="0.3">
      <c r="K9785">
        <v>2023</v>
      </c>
      <c r="L9785" t="s">
        <v>35</v>
      </c>
      <c r="M9785" t="s">
        <v>169</v>
      </c>
      <c r="N9785" t="s">
        <v>10</v>
      </c>
      <c r="O9785" t="s">
        <v>188</v>
      </c>
      <c r="P9785" s="1" t="s">
        <v>30</v>
      </c>
      <c r="Q9785">
        <v>170.4</v>
      </c>
    </row>
    <row r="9786" spans="11:17" x14ac:dyDescent="0.3">
      <c r="K9786">
        <v>2023</v>
      </c>
      <c r="L9786" t="s">
        <v>35</v>
      </c>
      <c r="M9786" t="s">
        <v>169</v>
      </c>
      <c r="N9786" t="s">
        <v>10</v>
      </c>
      <c r="O9786" t="s">
        <v>188</v>
      </c>
      <c r="P9786" s="1" t="s">
        <v>34</v>
      </c>
      <c r="Q9786">
        <v>171</v>
      </c>
    </row>
    <row r="9787" spans="11:17" x14ac:dyDescent="0.3">
      <c r="K9787">
        <v>2023</v>
      </c>
      <c r="L9787" t="s">
        <v>35</v>
      </c>
      <c r="M9787" t="s">
        <v>169</v>
      </c>
      <c r="N9787" t="s">
        <v>10</v>
      </c>
      <c r="O9787" t="s">
        <v>188</v>
      </c>
      <c r="P9787" s="1" t="s">
        <v>33</v>
      </c>
      <c r="Q9787">
        <v>172.2</v>
      </c>
    </row>
    <row r="9788" spans="11:17" x14ac:dyDescent="0.3">
      <c r="K9788">
        <v>2023</v>
      </c>
      <c r="L9788" t="s">
        <v>35</v>
      </c>
      <c r="M9788" t="s">
        <v>169</v>
      </c>
      <c r="N9788" t="s">
        <v>25</v>
      </c>
      <c r="O9788" t="s">
        <v>195</v>
      </c>
      <c r="P9788" s="1" t="s">
        <v>30</v>
      </c>
      <c r="Q9788">
        <v>172.8</v>
      </c>
    </row>
    <row r="9789" spans="11:17" x14ac:dyDescent="0.3">
      <c r="K9789">
        <v>2023</v>
      </c>
      <c r="L9789" t="s">
        <v>35</v>
      </c>
      <c r="M9789" t="s">
        <v>169</v>
      </c>
      <c r="N9789" t="s">
        <v>25</v>
      </c>
      <c r="O9789" t="s">
        <v>195</v>
      </c>
      <c r="P9789" s="1" t="s">
        <v>34</v>
      </c>
      <c r="Q9789">
        <v>170.3</v>
      </c>
    </row>
    <row r="9790" spans="11:17" x14ac:dyDescent="0.3">
      <c r="K9790">
        <v>2023</v>
      </c>
      <c r="L9790" t="s">
        <v>35</v>
      </c>
      <c r="M9790" t="s">
        <v>169</v>
      </c>
      <c r="N9790" t="s">
        <v>25</v>
      </c>
      <c r="O9790" t="s">
        <v>195</v>
      </c>
      <c r="P9790" s="1" t="s">
        <v>33</v>
      </c>
      <c r="Q9790">
        <v>168.4</v>
      </c>
    </row>
    <row r="9791" spans="11:17" x14ac:dyDescent="0.3">
      <c r="K9791">
        <v>2023</v>
      </c>
      <c r="L9791" t="s">
        <v>35</v>
      </c>
      <c r="M9791" t="s">
        <v>169</v>
      </c>
      <c r="N9791" t="s">
        <v>12</v>
      </c>
      <c r="O9791" t="s">
        <v>188</v>
      </c>
      <c r="P9791" s="1" t="s">
        <v>30</v>
      </c>
      <c r="Q9791">
        <v>212.1</v>
      </c>
    </row>
    <row r="9792" spans="11:17" x14ac:dyDescent="0.3">
      <c r="K9792">
        <v>2023</v>
      </c>
      <c r="L9792" t="s">
        <v>35</v>
      </c>
      <c r="M9792" t="s">
        <v>169</v>
      </c>
      <c r="N9792" t="s">
        <v>12</v>
      </c>
      <c r="O9792" t="s">
        <v>188</v>
      </c>
      <c r="P9792" s="1" t="s">
        <v>34</v>
      </c>
      <c r="Q9792">
        <v>209.7</v>
      </c>
    </row>
    <row r="9793" spans="11:17" x14ac:dyDescent="0.3">
      <c r="K9793">
        <v>2023</v>
      </c>
      <c r="L9793" t="s">
        <v>35</v>
      </c>
      <c r="M9793" t="s">
        <v>169</v>
      </c>
      <c r="N9793" t="s">
        <v>12</v>
      </c>
      <c r="O9793" t="s">
        <v>188</v>
      </c>
      <c r="P9793" s="1" t="s">
        <v>33</v>
      </c>
      <c r="Q9793">
        <v>204.8</v>
      </c>
    </row>
    <row r="9794" spans="11:17" x14ac:dyDescent="0.3">
      <c r="K9794">
        <v>2023</v>
      </c>
      <c r="L9794" t="s">
        <v>35</v>
      </c>
      <c r="M9794" t="s">
        <v>169</v>
      </c>
      <c r="N9794" t="s">
        <v>11</v>
      </c>
      <c r="O9794" t="s">
        <v>188</v>
      </c>
      <c r="P9794" s="1" t="s">
        <v>30</v>
      </c>
      <c r="Q9794">
        <v>119.1</v>
      </c>
    </row>
    <row r="9795" spans="11:17" x14ac:dyDescent="0.3">
      <c r="K9795">
        <v>2023</v>
      </c>
      <c r="L9795" t="s">
        <v>35</v>
      </c>
      <c r="M9795" t="s">
        <v>169</v>
      </c>
      <c r="N9795" t="s">
        <v>11</v>
      </c>
      <c r="O9795" t="s">
        <v>188</v>
      </c>
      <c r="P9795" s="1" t="s">
        <v>34</v>
      </c>
      <c r="Q9795">
        <v>120</v>
      </c>
    </row>
    <row r="9796" spans="11:17" x14ac:dyDescent="0.3">
      <c r="K9796">
        <v>2023</v>
      </c>
      <c r="L9796" t="s">
        <v>35</v>
      </c>
      <c r="M9796" t="s">
        <v>169</v>
      </c>
      <c r="N9796" t="s">
        <v>11</v>
      </c>
      <c r="O9796" t="s">
        <v>188</v>
      </c>
      <c r="P9796" s="1" t="s">
        <v>33</v>
      </c>
      <c r="Q9796">
        <v>121.9</v>
      </c>
    </row>
    <row r="9797" spans="11:17" x14ac:dyDescent="0.3">
      <c r="K9797">
        <v>2023</v>
      </c>
      <c r="L9797" t="s">
        <v>35</v>
      </c>
      <c r="M9797" t="s">
        <v>169</v>
      </c>
      <c r="N9797" t="s">
        <v>24</v>
      </c>
      <c r="O9797" t="s">
        <v>191</v>
      </c>
      <c r="P9797" s="1" t="s">
        <v>30</v>
      </c>
      <c r="Q9797">
        <v>169</v>
      </c>
    </row>
    <row r="9798" spans="11:17" x14ac:dyDescent="0.3">
      <c r="K9798">
        <v>2023</v>
      </c>
      <c r="L9798" t="s">
        <v>35</v>
      </c>
      <c r="M9798" t="s">
        <v>169</v>
      </c>
      <c r="N9798" t="s">
        <v>24</v>
      </c>
      <c r="O9798" t="s">
        <v>191</v>
      </c>
      <c r="P9798" s="1" t="s">
        <v>34</v>
      </c>
      <c r="Q9798">
        <v>164.2</v>
      </c>
    </row>
    <row r="9799" spans="11:17" x14ac:dyDescent="0.3">
      <c r="K9799">
        <v>2023</v>
      </c>
      <c r="L9799" t="s">
        <v>35</v>
      </c>
      <c r="M9799" t="s">
        <v>169</v>
      </c>
      <c r="N9799" t="s">
        <v>24</v>
      </c>
      <c r="O9799" t="s">
        <v>191</v>
      </c>
      <c r="P9799" s="1" t="s">
        <v>33</v>
      </c>
      <c r="Q9799">
        <v>159.80000000000001</v>
      </c>
    </row>
    <row r="9800" spans="11:17" x14ac:dyDescent="0.3">
      <c r="K9800">
        <v>2023</v>
      </c>
      <c r="L9800" t="s">
        <v>35</v>
      </c>
      <c r="M9800" t="s">
        <v>169</v>
      </c>
      <c r="N9800" t="s">
        <v>9</v>
      </c>
      <c r="O9800" t="s">
        <v>188</v>
      </c>
      <c r="P9800" s="1" t="s">
        <v>30</v>
      </c>
      <c r="Q9800">
        <v>140.9</v>
      </c>
    </row>
    <row r="9801" spans="11:17" x14ac:dyDescent="0.3">
      <c r="K9801">
        <v>2023</v>
      </c>
      <c r="L9801" t="s">
        <v>35</v>
      </c>
      <c r="M9801" t="s">
        <v>169</v>
      </c>
      <c r="N9801" t="s">
        <v>9</v>
      </c>
      <c r="O9801" t="s">
        <v>188</v>
      </c>
      <c r="P9801" s="1" t="s">
        <v>34</v>
      </c>
      <c r="Q9801">
        <v>152.69999999999999</v>
      </c>
    </row>
    <row r="9802" spans="11:17" x14ac:dyDescent="0.3">
      <c r="K9802">
        <v>2023</v>
      </c>
      <c r="L9802" t="s">
        <v>35</v>
      </c>
      <c r="M9802" t="s">
        <v>169</v>
      </c>
      <c r="N9802" t="s">
        <v>9</v>
      </c>
      <c r="O9802" t="s">
        <v>188</v>
      </c>
      <c r="P9802" s="1" t="s">
        <v>33</v>
      </c>
      <c r="Q9802">
        <v>175.8</v>
      </c>
    </row>
    <row r="9803" spans="11:17" x14ac:dyDescent="0.3">
      <c r="K9803">
        <v>2023</v>
      </c>
      <c r="L9803" t="s">
        <v>31</v>
      </c>
      <c r="M9803" t="s">
        <v>170</v>
      </c>
      <c r="N9803" t="s">
        <v>3</v>
      </c>
      <c r="O9803" t="s">
        <v>188</v>
      </c>
      <c r="P9803" s="1" t="s">
        <v>30</v>
      </c>
      <c r="Q9803">
        <v>174</v>
      </c>
    </row>
    <row r="9804" spans="11:17" x14ac:dyDescent="0.3">
      <c r="K9804">
        <v>2023</v>
      </c>
      <c r="L9804" t="s">
        <v>31</v>
      </c>
      <c r="M9804" t="s">
        <v>170</v>
      </c>
      <c r="N9804" t="s">
        <v>3</v>
      </c>
      <c r="O9804" t="s">
        <v>188</v>
      </c>
      <c r="P9804" s="1" t="s">
        <v>34</v>
      </c>
      <c r="Q9804">
        <v>173.8</v>
      </c>
    </row>
    <row r="9805" spans="11:17" x14ac:dyDescent="0.3">
      <c r="K9805">
        <v>2023</v>
      </c>
      <c r="L9805" t="s">
        <v>31</v>
      </c>
      <c r="M9805" t="s">
        <v>170</v>
      </c>
      <c r="N9805" t="s">
        <v>3</v>
      </c>
      <c r="O9805" t="s">
        <v>188</v>
      </c>
      <c r="P9805" s="1" t="s">
        <v>33</v>
      </c>
      <c r="Q9805">
        <v>173.3</v>
      </c>
    </row>
    <row r="9806" spans="11:17" x14ac:dyDescent="0.3">
      <c r="K9806">
        <v>2023</v>
      </c>
      <c r="L9806" t="s">
        <v>31</v>
      </c>
      <c r="M9806" t="s">
        <v>170</v>
      </c>
      <c r="N9806" t="s">
        <v>17</v>
      </c>
      <c r="O9806" t="s">
        <v>189</v>
      </c>
      <c r="P9806" s="1" t="s">
        <v>30</v>
      </c>
      <c r="Q9806">
        <v>189</v>
      </c>
    </row>
    <row r="9807" spans="11:17" x14ac:dyDescent="0.3">
      <c r="K9807">
        <v>2023</v>
      </c>
      <c r="L9807" t="s">
        <v>31</v>
      </c>
      <c r="M9807" t="s">
        <v>170</v>
      </c>
      <c r="N9807" t="s">
        <v>17</v>
      </c>
      <c r="O9807" t="s">
        <v>189</v>
      </c>
      <c r="P9807" s="1" t="s">
        <v>34</v>
      </c>
      <c r="Q9807">
        <v>184.9</v>
      </c>
    </row>
    <row r="9808" spans="11:17" x14ac:dyDescent="0.3">
      <c r="K9808">
        <v>2023</v>
      </c>
      <c r="L9808" t="s">
        <v>31</v>
      </c>
      <c r="M9808" t="s">
        <v>170</v>
      </c>
      <c r="N9808" t="s">
        <v>17</v>
      </c>
      <c r="O9808" t="s">
        <v>189</v>
      </c>
      <c r="P9808" s="1" t="s">
        <v>33</v>
      </c>
      <c r="Q9808">
        <v>178.7</v>
      </c>
    </row>
    <row r="9809" spans="11:17" x14ac:dyDescent="0.3">
      <c r="K9809">
        <v>2023</v>
      </c>
      <c r="L9809" t="s">
        <v>31</v>
      </c>
      <c r="M9809" t="s">
        <v>170</v>
      </c>
      <c r="N9809" t="s">
        <v>19</v>
      </c>
      <c r="O9809" t="s">
        <v>189</v>
      </c>
      <c r="P9809" s="1" t="s">
        <v>30</v>
      </c>
      <c r="Q9809">
        <v>188.6</v>
      </c>
    </row>
    <row r="9810" spans="11:17" x14ac:dyDescent="0.3">
      <c r="K9810">
        <v>2023</v>
      </c>
      <c r="L9810" t="s">
        <v>31</v>
      </c>
      <c r="M9810" t="s">
        <v>170</v>
      </c>
      <c r="N9810" t="s">
        <v>19</v>
      </c>
      <c r="O9810" t="s">
        <v>189</v>
      </c>
      <c r="P9810" s="1" t="s">
        <v>34</v>
      </c>
      <c r="Q9810">
        <v>183.8</v>
      </c>
    </row>
    <row r="9811" spans="11:17" x14ac:dyDescent="0.3">
      <c r="K9811">
        <v>2023</v>
      </c>
      <c r="L9811" t="s">
        <v>31</v>
      </c>
      <c r="M9811" t="s">
        <v>170</v>
      </c>
      <c r="N9811" t="s">
        <v>19</v>
      </c>
      <c r="O9811" t="s">
        <v>189</v>
      </c>
      <c r="P9811" s="1" t="s">
        <v>33</v>
      </c>
      <c r="Q9811">
        <v>176.6</v>
      </c>
    </row>
    <row r="9812" spans="11:17" x14ac:dyDescent="0.3">
      <c r="K9812">
        <v>2023</v>
      </c>
      <c r="L9812" t="s">
        <v>31</v>
      </c>
      <c r="M9812" t="s">
        <v>170</v>
      </c>
      <c r="N9812" t="s">
        <v>26</v>
      </c>
      <c r="O9812" t="s">
        <v>26</v>
      </c>
      <c r="P9812" s="1" t="s">
        <v>30</v>
      </c>
      <c r="Q9812">
        <v>177.8</v>
      </c>
    </row>
    <row r="9813" spans="11:17" x14ac:dyDescent="0.3">
      <c r="K9813">
        <v>2023</v>
      </c>
      <c r="L9813" t="s">
        <v>31</v>
      </c>
      <c r="M9813" t="s">
        <v>170</v>
      </c>
      <c r="N9813" t="s">
        <v>26</v>
      </c>
      <c r="O9813" t="s">
        <v>26</v>
      </c>
      <c r="P9813" s="1" t="s">
        <v>34</v>
      </c>
      <c r="Q9813">
        <v>174.3</v>
      </c>
    </row>
    <row r="9814" spans="11:17" x14ac:dyDescent="0.3">
      <c r="K9814">
        <v>2023</v>
      </c>
      <c r="L9814" t="s">
        <v>31</v>
      </c>
      <c r="M9814" t="s">
        <v>170</v>
      </c>
      <c r="N9814" t="s">
        <v>26</v>
      </c>
      <c r="O9814" t="s">
        <v>26</v>
      </c>
      <c r="P9814" s="1" t="s">
        <v>33</v>
      </c>
      <c r="Q9814">
        <v>171.8</v>
      </c>
    </row>
    <row r="9815" spans="11:17" x14ac:dyDescent="0.3">
      <c r="K9815">
        <v>2023</v>
      </c>
      <c r="L9815" t="s">
        <v>31</v>
      </c>
      <c r="M9815" t="s">
        <v>170</v>
      </c>
      <c r="N9815" t="s">
        <v>5</v>
      </c>
      <c r="O9815" t="s">
        <v>188</v>
      </c>
      <c r="P9815" s="1" t="s">
        <v>30</v>
      </c>
      <c r="Q9815">
        <v>192.9</v>
      </c>
    </row>
    <row r="9816" spans="11:17" x14ac:dyDescent="0.3">
      <c r="K9816">
        <v>2023</v>
      </c>
      <c r="L9816" t="s">
        <v>31</v>
      </c>
      <c r="M9816" t="s">
        <v>170</v>
      </c>
      <c r="N9816" t="s">
        <v>5</v>
      </c>
      <c r="O9816" t="s">
        <v>188</v>
      </c>
      <c r="P9816" s="1" t="s">
        <v>34</v>
      </c>
      <c r="Q9816">
        <v>194.5</v>
      </c>
    </row>
    <row r="9817" spans="11:17" x14ac:dyDescent="0.3">
      <c r="K9817">
        <v>2023</v>
      </c>
      <c r="L9817" t="s">
        <v>31</v>
      </c>
      <c r="M9817" t="s">
        <v>170</v>
      </c>
      <c r="N9817" t="s">
        <v>5</v>
      </c>
      <c r="O9817" t="s">
        <v>188</v>
      </c>
      <c r="P9817" s="1" t="s">
        <v>33</v>
      </c>
      <c r="Q9817">
        <v>197</v>
      </c>
    </row>
    <row r="9818" spans="11:17" x14ac:dyDescent="0.3">
      <c r="K9818">
        <v>2023</v>
      </c>
      <c r="L9818" t="s">
        <v>31</v>
      </c>
      <c r="M9818" t="s">
        <v>170</v>
      </c>
      <c r="N9818" t="s">
        <v>15</v>
      </c>
      <c r="O9818" t="s">
        <v>188</v>
      </c>
      <c r="P9818" s="1" t="s">
        <v>30</v>
      </c>
      <c r="Q9818">
        <v>175</v>
      </c>
    </row>
    <row r="9819" spans="11:17" x14ac:dyDescent="0.3">
      <c r="K9819">
        <v>2023</v>
      </c>
      <c r="L9819" t="s">
        <v>31</v>
      </c>
      <c r="M9819" t="s">
        <v>170</v>
      </c>
      <c r="N9819" t="s">
        <v>15</v>
      </c>
      <c r="O9819" t="s">
        <v>188</v>
      </c>
      <c r="P9819" s="1" t="s">
        <v>34</v>
      </c>
      <c r="Q9819">
        <v>176.7</v>
      </c>
    </row>
    <row r="9820" spans="11:17" x14ac:dyDescent="0.3">
      <c r="K9820">
        <v>2023</v>
      </c>
      <c r="L9820" t="s">
        <v>31</v>
      </c>
      <c r="M9820" t="s">
        <v>170</v>
      </c>
      <c r="N9820" t="s">
        <v>15</v>
      </c>
      <c r="O9820" t="s">
        <v>188</v>
      </c>
      <c r="P9820" s="1" t="s">
        <v>33</v>
      </c>
      <c r="Q9820">
        <v>179.5</v>
      </c>
    </row>
    <row r="9821" spans="11:17" x14ac:dyDescent="0.3">
      <c r="K9821">
        <v>2023</v>
      </c>
      <c r="L9821" t="s">
        <v>31</v>
      </c>
      <c r="M9821" t="s">
        <v>170</v>
      </c>
      <c r="N9821" t="s">
        <v>18</v>
      </c>
      <c r="O9821" t="s">
        <v>189</v>
      </c>
      <c r="P9821" s="1" t="s">
        <v>30</v>
      </c>
      <c r="Q9821">
        <v>186.3</v>
      </c>
    </row>
    <row r="9822" spans="11:17" x14ac:dyDescent="0.3">
      <c r="K9822">
        <v>2023</v>
      </c>
      <c r="L9822" t="s">
        <v>31</v>
      </c>
      <c r="M9822" t="s">
        <v>170</v>
      </c>
      <c r="N9822" t="s">
        <v>18</v>
      </c>
      <c r="O9822" t="s">
        <v>189</v>
      </c>
      <c r="P9822" s="1" t="s">
        <v>34</v>
      </c>
      <c r="Q9822">
        <v>177.6</v>
      </c>
    </row>
    <row r="9823" spans="11:17" x14ac:dyDescent="0.3">
      <c r="K9823">
        <v>2023</v>
      </c>
      <c r="L9823" t="s">
        <v>31</v>
      </c>
      <c r="M9823" t="s">
        <v>170</v>
      </c>
      <c r="N9823" t="s">
        <v>18</v>
      </c>
      <c r="O9823" t="s">
        <v>189</v>
      </c>
      <c r="P9823" s="1" t="s">
        <v>33</v>
      </c>
      <c r="Q9823">
        <v>165.3</v>
      </c>
    </row>
    <row r="9824" spans="11:17" x14ac:dyDescent="0.3">
      <c r="K9824">
        <v>2023</v>
      </c>
      <c r="L9824" t="s">
        <v>31</v>
      </c>
      <c r="M9824" t="s">
        <v>170</v>
      </c>
      <c r="N9824" t="s">
        <v>8</v>
      </c>
      <c r="O9824" t="s">
        <v>188</v>
      </c>
      <c r="P9824" s="1" t="s">
        <v>30</v>
      </c>
      <c r="Q9824">
        <v>156.30000000000001</v>
      </c>
    </row>
    <row r="9825" spans="11:17" x14ac:dyDescent="0.3">
      <c r="K9825">
        <v>2023</v>
      </c>
      <c r="L9825" t="s">
        <v>31</v>
      </c>
      <c r="M9825" t="s">
        <v>170</v>
      </c>
      <c r="N9825" t="s">
        <v>8</v>
      </c>
      <c r="O9825" t="s">
        <v>188</v>
      </c>
      <c r="P9825" s="1" t="s">
        <v>34</v>
      </c>
      <c r="Q9825">
        <v>158.30000000000001</v>
      </c>
    </row>
    <row r="9826" spans="11:17" x14ac:dyDescent="0.3">
      <c r="K9826">
        <v>2023</v>
      </c>
      <c r="L9826" t="s">
        <v>31</v>
      </c>
      <c r="M9826" t="s">
        <v>170</v>
      </c>
      <c r="N9826" t="s">
        <v>8</v>
      </c>
      <c r="O9826" t="s">
        <v>188</v>
      </c>
      <c r="P9826" s="1" t="s">
        <v>33</v>
      </c>
      <c r="Q9826">
        <v>160.5</v>
      </c>
    </row>
    <row r="9827" spans="11:17" x14ac:dyDescent="0.3">
      <c r="K9827">
        <v>2023</v>
      </c>
      <c r="L9827" t="s">
        <v>31</v>
      </c>
      <c r="M9827" t="s">
        <v>170</v>
      </c>
      <c r="N9827" t="s">
        <v>21</v>
      </c>
      <c r="O9827" t="s">
        <v>190</v>
      </c>
      <c r="P9827" s="1" t="s">
        <v>30</v>
      </c>
      <c r="Q9827">
        <v>183.2</v>
      </c>
    </row>
    <row r="9828" spans="11:17" x14ac:dyDescent="0.3">
      <c r="K9828">
        <v>2023</v>
      </c>
      <c r="L9828" t="s">
        <v>31</v>
      </c>
      <c r="M9828" t="s">
        <v>170</v>
      </c>
      <c r="N9828" t="s">
        <v>21</v>
      </c>
      <c r="O9828" t="s">
        <v>190</v>
      </c>
      <c r="P9828" s="1" t="s">
        <v>34</v>
      </c>
      <c r="Q9828">
        <v>182</v>
      </c>
    </row>
    <row r="9829" spans="11:17" x14ac:dyDescent="0.3">
      <c r="K9829">
        <v>2023</v>
      </c>
      <c r="L9829" t="s">
        <v>31</v>
      </c>
      <c r="M9829" t="s">
        <v>170</v>
      </c>
      <c r="N9829" t="s">
        <v>21</v>
      </c>
      <c r="O9829" t="s">
        <v>190</v>
      </c>
      <c r="P9829" s="1" t="s">
        <v>33</v>
      </c>
      <c r="Q9829">
        <v>180.1</v>
      </c>
    </row>
    <row r="9830" spans="11:17" x14ac:dyDescent="0.3">
      <c r="K9830">
        <v>2023</v>
      </c>
      <c r="L9830" t="s">
        <v>31</v>
      </c>
      <c r="M9830" t="s">
        <v>170</v>
      </c>
      <c r="N9830" t="s">
        <v>29</v>
      </c>
      <c r="O9830" t="s">
        <v>206</v>
      </c>
      <c r="P9830" s="1" t="s">
        <v>30</v>
      </c>
      <c r="Q9830">
        <v>177.8</v>
      </c>
    </row>
    <row r="9831" spans="11:17" x14ac:dyDescent="0.3">
      <c r="K9831">
        <v>2023</v>
      </c>
      <c r="L9831" t="s">
        <v>31</v>
      </c>
      <c r="M9831" t="s">
        <v>170</v>
      </c>
      <c r="N9831" t="s">
        <v>29</v>
      </c>
      <c r="O9831" t="s">
        <v>206</v>
      </c>
      <c r="P9831" s="1" t="s">
        <v>34</v>
      </c>
      <c r="Q9831">
        <v>176.5</v>
      </c>
    </row>
    <row r="9832" spans="11:17" x14ac:dyDescent="0.3">
      <c r="K9832">
        <v>2023</v>
      </c>
      <c r="L9832" t="s">
        <v>31</v>
      </c>
      <c r="M9832" t="s">
        <v>170</v>
      </c>
      <c r="N9832" t="s">
        <v>29</v>
      </c>
      <c r="O9832" t="s">
        <v>206</v>
      </c>
      <c r="P9832" s="1" t="s">
        <v>33</v>
      </c>
      <c r="Q9832">
        <v>174.9</v>
      </c>
    </row>
    <row r="9833" spans="11:17" x14ac:dyDescent="0.3">
      <c r="K9833">
        <v>2023</v>
      </c>
      <c r="L9833" t="s">
        <v>31</v>
      </c>
      <c r="M9833" t="s">
        <v>170</v>
      </c>
      <c r="N9833" t="s">
        <v>23</v>
      </c>
      <c r="O9833" t="s">
        <v>23</v>
      </c>
      <c r="P9833" s="1" t="s">
        <v>30</v>
      </c>
      <c r="Q9833">
        <v>184.7</v>
      </c>
    </row>
    <row r="9834" spans="11:17" x14ac:dyDescent="0.3">
      <c r="K9834">
        <v>2023</v>
      </c>
      <c r="L9834" t="s">
        <v>31</v>
      </c>
      <c r="M9834" t="s">
        <v>170</v>
      </c>
      <c r="N9834" t="s">
        <v>23</v>
      </c>
      <c r="O9834" t="s">
        <v>23</v>
      </c>
      <c r="P9834" s="1" t="s">
        <v>34</v>
      </c>
      <c r="Q9834">
        <v>182.3</v>
      </c>
    </row>
    <row r="9835" spans="11:17" x14ac:dyDescent="0.3">
      <c r="K9835">
        <v>2023</v>
      </c>
      <c r="L9835" t="s">
        <v>31</v>
      </c>
      <c r="M9835" t="s">
        <v>170</v>
      </c>
      <c r="N9835" t="s">
        <v>23</v>
      </c>
      <c r="O9835" t="s">
        <v>23</v>
      </c>
      <c r="P9835" s="1" t="s">
        <v>33</v>
      </c>
      <c r="Q9835">
        <v>178.5</v>
      </c>
    </row>
    <row r="9836" spans="11:17" x14ac:dyDescent="0.3">
      <c r="K9836">
        <v>2023</v>
      </c>
      <c r="L9836" t="s">
        <v>31</v>
      </c>
      <c r="M9836" t="s">
        <v>170</v>
      </c>
      <c r="N9836" t="s">
        <v>22</v>
      </c>
      <c r="O9836" t="s">
        <v>20</v>
      </c>
      <c r="P9836" s="1" t="s">
        <v>30</v>
      </c>
      <c r="Q9836">
        <v>177.2</v>
      </c>
    </row>
    <row r="9837" spans="11:17" x14ac:dyDescent="0.3">
      <c r="K9837">
        <v>2023</v>
      </c>
      <c r="L9837" t="s">
        <v>31</v>
      </c>
      <c r="M9837" t="s">
        <v>170</v>
      </c>
      <c r="N9837" t="s">
        <v>22</v>
      </c>
      <c r="O9837" t="s">
        <v>20</v>
      </c>
      <c r="P9837" s="1" t="s">
        <v>34</v>
      </c>
      <c r="Q9837">
        <v>172.9</v>
      </c>
    </row>
    <row r="9838" spans="11:17" x14ac:dyDescent="0.3">
      <c r="K9838">
        <v>2023</v>
      </c>
      <c r="L9838" t="s">
        <v>31</v>
      </c>
      <c r="M9838" t="s">
        <v>170</v>
      </c>
      <c r="N9838" t="s">
        <v>22</v>
      </c>
      <c r="O9838" t="s">
        <v>20</v>
      </c>
      <c r="P9838" s="1" t="s">
        <v>33</v>
      </c>
      <c r="Q9838">
        <v>168</v>
      </c>
    </row>
    <row r="9839" spans="11:17" x14ac:dyDescent="0.3">
      <c r="K9839">
        <v>2023</v>
      </c>
      <c r="L9839" t="s">
        <v>31</v>
      </c>
      <c r="M9839" t="s">
        <v>170</v>
      </c>
      <c r="N9839" t="s">
        <v>20</v>
      </c>
      <c r="O9839" t="s">
        <v>20</v>
      </c>
      <c r="P9839" s="1" t="s">
        <v>30</v>
      </c>
      <c r="Q9839">
        <v>0</v>
      </c>
    </row>
    <row r="9840" spans="11:17" x14ac:dyDescent="0.3">
      <c r="K9840">
        <v>2023</v>
      </c>
      <c r="L9840" t="s">
        <v>31</v>
      </c>
      <c r="M9840" t="s">
        <v>170</v>
      </c>
      <c r="N9840" t="s">
        <v>20</v>
      </c>
      <c r="O9840" t="s">
        <v>20</v>
      </c>
      <c r="P9840" s="1" t="s">
        <v>34</v>
      </c>
      <c r="Q9840">
        <v>172.1</v>
      </c>
    </row>
    <row r="9841" spans="11:17" x14ac:dyDescent="0.3">
      <c r="K9841">
        <v>2023</v>
      </c>
      <c r="L9841" t="s">
        <v>31</v>
      </c>
      <c r="M9841" t="s">
        <v>170</v>
      </c>
      <c r="N9841" t="s">
        <v>20</v>
      </c>
      <c r="O9841" t="s">
        <v>20</v>
      </c>
      <c r="P9841" s="1" t="s">
        <v>33</v>
      </c>
      <c r="Q9841">
        <v>172.1</v>
      </c>
    </row>
    <row r="9842" spans="11:17" x14ac:dyDescent="0.3">
      <c r="K9842">
        <v>2023</v>
      </c>
      <c r="L9842" t="s">
        <v>31</v>
      </c>
      <c r="M9842" t="s">
        <v>170</v>
      </c>
      <c r="N9842" t="s">
        <v>4</v>
      </c>
      <c r="O9842" t="s">
        <v>188</v>
      </c>
      <c r="P9842" s="1" t="s">
        <v>30</v>
      </c>
      <c r="Q9842">
        <v>208.3</v>
      </c>
    </row>
    <row r="9843" spans="11:17" x14ac:dyDescent="0.3">
      <c r="K9843">
        <v>2023</v>
      </c>
      <c r="L9843" t="s">
        <v>31</v>
      </c>
      <c r="M9843" t="s">
        <v>170</v>
      </c>
      <c r="N9843" t="s">
        <v>4</v>
      </c>
      <c r="O9843" t="s">
        <v>188</v>
      </c>
      <c r="P9843" s="1" t="s">
        <v>34</v>
      </c>
      <c r="Q9843">
        <v>210.7</v>
      </c>
    </row>
    <row r="9844" spans="11:17" x14ac:dyDescent="0.3">
      <c r="K9844">
        <v>2023</v>
      </c>
      <c r="L9844" t="s">
        <v>31</v>
      </c>
      <c r="M9844" t="s">
        <v>170</v>
      </c>
      <c r="N9844" t="s">
        <v>4</v>
      </c>
      <c r="O9844" t="s">
        <v>188</v>
      </c>
      <c r="P9844" s="1" t="s">
        <v>33</v>
      </c>
      <c r="Q9844">
        <v>215.2</v>
      </c>
    </row>
    <row r="9845" spans="11:17" x14ac:dyDescent="0.3">
      <c r="K9845">
        <v>2023</v>
      </c>
      <c r="L9845" t="s">
        <v>31</v>
      </c>
      <c r="M9845" t="s">
        <v>170</v>
      </c>
      <c r="N9845" t="s">
        <v>6</v>
      </c>
      <c r="O9845" t="s">
        <v>188</v>
      </c>
      <c r="P9845" s="1" t="s">
        <v>30</v>
      </c>
      <c r="Q9845">
        <v>174.3</v>
      </c>
    </row>
    <row r="9846" spans="11:17" x14ac:dyDescent="0.3">
      <c r="K9846">
        <v>2023</v>
      </c>
      <c r="L9846" t="s">
        <v>31</v>
      </c>
      <c r="M9846" t="s">
        <v>170</v>
      </c>
      <c r="N9846" t="s">
        <v>6</v>
      </c>
      <c r="O9846" t="s">
        <v>188</v>
      </c>
      <c r="P9846" s="1" t="s">
        <v>34</v>
      </c>
      <c r="Q9846">
        <v>174.6</v>
      </c>
    </row>
    <row r="9847" spans="11:17" x14ac:dyDescent="0.3">
      <c r="K9847">
        <v>2023</v>
      </c>
      <c r="L9847" t="s">
        <v>31</v>
      </c>
      <c r="M9847" t="s">
        <v>170</v>
      </c>
      <c r="N9847" t="s">
        <v>6</v>
      </c>
      <c r="O9847" t="s">
        <v>188</v>
      </c>
      <c r="P9847" s="1" t="s">
        <v>33</v>
      </c>
      <c r="Q9847">
        <v>175.2</v>
      </c>
    </row>
    <row r="9848" spans="11:17" x14ac:dyDescent="0.3">
      <c r="K9848">
        <v>2023</v>
      </c>
      <c r="L9848" t="s">
        <v>31</v>
      </c>
      <c r="M9848" t="s">
        <v>170</v>
      </c>
      <c r="N9848" t="s">
        <v>28</v>
      </c>
      <c r="O9848" t="s">
        <v>192</v>
      </c>
      <c r="P9848" s="1" t="s">
        <v>30</v>
      </c>
      <c r="Q9848">
        <v>176.5</v>
      </c>
    </row>
    <row r="9849" spans="11:17" x14ac:dyDescent="0.3">
      <c r="K9849">
        <v>2023</v>
      </c>
      <c r="L9849" t="s">
        <v>31</v>
      </c>
      <c r="M9849" t="s">
        <v>170</v>
      </c>
      <c r="N9849" t="s">
        <v>28</v>
      </c>
      <c r="O9849" t="s">
        <v>192</v>
      </c>
      <c r="P9849" s="1" t="s">
        <v>34</v>
      </c>
      <c r="Q9849">
        <v>172.8</v>
      </c>
    </row>
    <row r="9850" spans="11:17" x14ac:dyDescent="0.3">
      <c r="K9850">
        <v>2023</v>
      </c>
      <c r="L9850" t="s">
        <v>31</v>
      </c>
      <c r="M9850" t="s">
        <v>170</v>
      </c>
      <c r="N9850" t="s">
        <v>28</v>
      </c>
      <c r="O9850" t="s">
        <v>192</v>
      </c>
      <c r="P9850" s="1" t="s">
        <v>33</v>
      </c>
      <c r="Q9850">
        <v>168.9</v>
      </c>
    </row>
    <row r="9851" spans="11:17" x14ac:dyDescent="0.3">
      <c r="K9851">
        <v>2023</v>
      </c>
      <c r="L9851" t="s">
        <v>31</v>
      </c>
      <c r="M9851" t="s">
        <v>170</v>
      </c>
      <c r="N9851" t="s">
        <v>13</v>
      </c>
      <c r="O9851" t="s">
        <v>188</v>
      </c>
      <c r="P9851" s="1" t="s">
        <v>30</v>
      </c>
      <c r="Q9851">
        <v>176.9</v>
      </c>
    </row>
    <row r="9852" spans="11:17" x14ac:dyDescent="0.3">
      <c r="K9852">
        <v>2023</v>
      </c>
      <c r="L9852" t="s">
        <v>31</v>
      </c>
      <c r="M9852" t="s">
        <v>170</v>
      </c>
      <c r="N9852" t="s">
        <v>13</v>
      </c>
      <c r="O9852" t="s">
        <v>188</v>
      </c>
      <c r="P9852" s="1" t="s">
        <v>34</v>
      </c>
      <c r="Q9852">
        <v>171.4</v>
      </c>
    </row>
    <row r="9853" spans="11:17" x14ac:dyDescent="0.3">
      <c r="K9853">
        <v>2023</v>
      </c>
      <c r="L9853" t="s">
        <v>31</v>
      </c>
      <c r="M9853" t="s">
        <v>170</v>
      </c>
      <c r="N9853" t="s">
        <v>13</v>
      </c>
      <c r="O9853" t="s">
        <v>188</v>
      </c>
      <c r="P9853" s="1" t="s">
        <v>33</v>
      </c>
      <c r="Q9853">
        <v>163.69999999999999</v>
      </c>
    </row>
    <row r="9854" spans="11:17" x14ac:dyDescent="0.3">
      <c r="K9854">
        <v>2023</v>
      </c>
      <c r="L9854" t="s">
        <v>31</v>
      </c>
      <c r="M9854" t="s">
        <v>170</v>
      </c>
      <c r="N9854" t="s">
        <v>7</v>
      </c>
      <c r="O9854" t="s">
        <v>188</v>
      </c>
      <c r="P9854" s="1" t="s">
        <v>30</v>
      </c>
      <c r="Q9854">
        <v>192.6</v>
      </c>
    </row>
    <row r="9855" spans="11:17" x14ac:dyDescent="0.3">
      <c r="K9855">
        <v>2023</v>
      </c>
      <c r="L9855" t="s">
        <v>31</v>
      </c>
      <c r="M9855" t="s">
        <v>170</v>
      </c>
      <c r="N9855" t="s">
        <v>7</v>
      </c>
      <c r="O9855" t="s">
        <v>188</v>
      </c>
      <c r="P9855" s="1" t="s">
        <v>34</v>
      </c>
      <c r="Q9855">
        <v>187.2</v>
      </c>
    </row>
    <row r="9856" spans="11:17" x14ac:dyDescent="0.3">
      <c r="K9856">
        <v>2023</v>
      </c>
      <c r="L9856" t="s">
        <v>31</v>
      </c>
      <c r="M9856" t="s">
        <v>170</v>
      </c>
      <c r="N9856" t="s">
        <v>7</v>
      </c>
      <c r="O9856" t="s">
        <v>188</v>
      </c>
      <c r="P9856" s="1" t="s">
        <v>33</v>
      </c>
      <c r="Q9856">
        <v>178</v>
      </c>
    </row>
    <row r="9857" spans="11:17" x14ac:dyDescent="0.3">
      <c r="K9857">
        <v>2023</v>
      </c>
      <c r="L9857" t="s">
        <v>31</v>
      </c>
      <c r="M9857" t="s">
        <v>170</v>
      </c>
      <c r="N9857" t="s">
        <v>16</v>
      </c>
      <c r="O9857" t="s">
        <v>192</v>
      </c>
      <c r="P9857" s="1" t="s">
        <v>30</v>
      </c>
      <c r="Q9857">
        <v>196.9</v>
      </c>
    </row>
    <row r="9858" spans="11:17" x14ac:dyDescent="0.3">
      <c r="K9858">
        <v>2023</v>
      </c>
      <c r="L9858" t="s">
        <v>31</v>
      </c>
      <c r="M9858" t="s">
        <v>170</v>
      </c>
      <c r="N9858" t="s">
        <v>16</v>
      </c>
      <c r="O9858" t="s">
        <v>192</v>
      </c>
      <c r="P9858" s="1" t="s">
        <v>34</v>
      </c>
      <c r="Q9858">
        <v>198.2</v>
      </c>
    </row>
    <row r="9859" spans="11:17" x14ac:dyDescent="0.3">
      <c r="K9859">
        <v>2023</v>
      </c>
      <c r="L9859" t="s">
        <v>31</v>
      </c>
      <c r="M9859" t="s">
        <v>170</v>
      </c>
      <c r="N9859" t="s">
        <v>16</v>
      </c>
      <c r="O9859" t="s">
        <v>192</v>
      </c>
      <c r="P9859" s="1" t="s">
        <v>33</v>
      </c>
      <c r="Q9859">
        <v>201.6</v>
      </c>
    </row>
    <row r="9860" spans="11:17" x14ac:dyDescent="0.3">
      <c r="K9860">
        <v>2023</v>
      </c>
      <c r="L9860" t="s">
        <v>31</v>
      </c>
      <c r="M9860" t="s">
        <v>170</v>
      </c>
      <c r="N9860" t="s">
        <v>27</v>
      </c>
      <c r="O9860" t="s">
        <v>192</v>
      </c>
      <c r="P9860" s="1" t="s">
        <v>30</v>
      </c>
      <c r="Q9860">
        <v>178.4</v>
      </c>
    </row>
    <row r="9861" spans="11:17" x14ac:dyDescent="0.3">
      <c r="K9861">
        <v>2023</v>
      </c>
      <c r="L9861" t="s">
        <v>31</v>
      </c>
      <c r="M9861" t="s">
        <v>170</v>
      </c>
      <c r="N9861" t="s">
        <v>27</v>
      </c>
      <c r="O9861" t="s">
        <v>192</v>
      </c>
      <c r="P9861" s="1" t="s">
        <v>34</v>
      </c>
      <c r="Q9861">
        <v>178.6</v>
      </c>
    </row>
    <row r="9862" spans="11:17" x14ac:dyDescent="0.3">
      <c r="K9862">
        <v>2023</v>
      </c>
      <c r="L9862" t="s">
        <v>31</v>
      </c>
      <c r="M9862" t="s">
        <v>170</v>
      </c>
      <c r="N9862" t="s">
        <v>27</v>
      </c>
      <c r="O9862" t="s">
        <v>192</v>
      </c>
      <c r="P9862" s="1" t="s">
        <v>33</v>
      </c>
      <c r="Q9862">
        <v>178.8</v>
      </c>
    </row>
    <row r="9863" spans="11:17" x14ac:dyDescent="0.3">
      <c r="K9863">
        <v>2023</v>
      </c>
      <c r="L9863" t="s">
        <v>31</v>
      </c>
      <c r="M9863" t="s">
        <v>170</v>
      </c>
      <c r="N9863" t="s">
        <v>14</v>
      </c>
      <c r="O9863" t="s">
        <v>188</v>
      </c>
      <c r="P9863" s="1" t="s">
        <v>30</v>
      </c>
      <c r="Q9863">
        <v>188.5</v>
      </c>
    </row>
    <row r="9864" spans="11:17" x14ac:dyDescent="0.3">
      <c r="K9864">
        <v>2023</v>
      </c>
      <c r="L9864" t="s">
        <v>31</v>
      </c>
      <c r="M9864" t="s">
        <v>170</v>
      </c>
      <c r="N9864" t="s">
        <v>14</v>
      </c>
      <c r="O9864" t="s">
        <v>188</v>
      </c>
      <c r="P9864" s="1" t="s">
        <v>34</v>
      </c>
      <c r="Q9864">
        <v>191.2</v>
      </c>
    </row>
    <row r="9865" spans="11:17" x14ac:dyDescent="0.3">
      <c r="K9865">
        <v>2023</v>
      </c>
      <c r="L9865" t="s">
        <v>31</v>
      </c>
      <c r="M9865" t="s">
        <v>170</v>
      </c>
      <c r="N9865" t="s">
        <v>14</v>
      </c>
      <c r="O9865" t="s">
        <v>188</v>
      </c>
      <c r="P9865" s="1" t="s">
        <v>33</v>
      </c>
      <c r="Q9865">
        <v>194.3</v>
      </c>
    </row>
    <row r="9866" spans="11:17" x14ac:dyDescent="0.3">
      <c r="K9866">
        <v>2023</v>
      </c>
      <c r="L9866" t="s">
        <v>31</v>
      </c>
      <c r="M9866" t="s">
        <v>170</v>
      </c>
      <c r="N9866" t="s">
        <v>10</v>
      </c>
      <c r="O9866" t="s">
        <v>188</v>
      </c>
      <c r="P9866" s="1" t="s">
        <v>30</v>
      </c>
      <c r="Q9866">
        <v>170.7</v>
      </c>
    </row>
    <row r="9867" spans="11:17" x14ac:dyDescent="0.3">
      <c r="K9867">
        <v>2023</v>
      </c>
      <c r="L9867" t="s">
        <v>31</v>
      </c>
      <c r="M9867" t="s">
        <v>170</v>
      </c>
      <c r="N9867" t="s">
        <v>10</v>
      </c>
      <c r="O9867" t="s">
        <v>188</v>
      </c>
      <c r="P9867" s="1" t="s">
        <v>34</v>
      </c>
      <c r="Q9867">
        <v>170.9</v>
      </c>
    </row>
    <row r="9868" spans="11:17" x14ac:dyDescent="0.3">
      <c r="K9868">
        <v>2023</v>
      </c>
      <c r="L9868" t="s">
        <v>31</v>
      </c>
      <c r="M9868" t="s">
        <v>170</v>
      </c>
      <c r="N9868" t="s">
        <v>10</v>
      </c>
      <c r="O9868" t="s">
        <v>188</v>
      </c>
      <c r="P9868" s="1" t="s">
        <v>33</v>
      </c>
      <c r="Q9868">
        <v>171.2</v>
      </c>
    </row>
    <row r="9869" spans="11:17" x14ac:dyDescent="0.3">
      <c r="K9869">
        <v>2023</v>
      </c>
      <c r="L9869" t="s">
        <v>31</v>
      </c>
      <c r="M9869" t="s">
        <v>170</v>
      </c>
      <c r="N9869" t="s">
        <v>25</v>
      </c>
      <c r="O9869" t="s">
        <v>195</v>
      </c>
      <c r="P9869" s="1" t="s">
        <v>30</v>
      </c>
      <c r="Q9869">
        <v>171.8</v>
      </c>
    </row>
    <row r="9870" spans="11:17" x14ac:dyDescent="0.3">
      <c r="K9870">
        <v>2023</v>
      </c>
      <c r="L9870" t="s">
        <v>31</v>
      </c>
      <c r="M9870" t="s">
        <v>170</v>
      </c>
      <c r="N9870" t="s">
        <v>25</v>
      </c>
      <c r="O9870" t="s">
        <v>195</v>
      </c>
      <c r="P9870" s="1" t="s">
        <v>34</v>
      </c>
      <c r="Q9870">
        <v>169.5</v>
      </c>
    </row>
    <row r="9871" spans="11:17" x14ac:dyDescent="0.3">
      <c r="K9871">
        <v>2023</v>
      </c>
      <c r="L9871" t="s">
        <v>31</v>
      </c>
      <c r="M9871" t="s">
        <v>170</v>
      </c>
      <c r="N9871" t="s">
        <v>25</v>
      </c>
      <c r="O9871" t="s">
        <v>195</v>
      </c>
      <c r="P9871" s="1" t="s">
        <v>33</v>
      </c>
      <c r="Q9871">
        <v>167.8</v>
      </c>
    </row>
    <row r="9872" spans="11:17" x14ac:dyDescent="0.3">
      <c r="K9872">
        <v>2023</v>
      </c>
      <c r="L9872" t="s">
        <v>31</v>
      </c>
      <c r="M9872" t="s">
        <v>170</v>
      </c>
      <c r="N9872" t="s">
        <v>12</v>
      </c>
      <c r="O9872" t="s">
        <v>188</v>
      </c>
      <c r="P9872" s="1" t="s">
        <v>30</v>
      </c>
      <c r="Q9872">
        <v>210.5</v>
      </c>
    </row>
    <row r="9873" spans="11:17" x14ac:dyDescent="0.3">
      <c r="K9873">
        <v>2023</v>
      </c>
      <c r="L9873" t="s">
        <v>31</v>
      </c>
      <c r="M9873" t="s">
        <v>170</v>
      </c>
      <c r="N9873" t="s">
        <v>12</v>
      </c>
      <c r="O9873" t="s">
        <v>188</v>
      </c>
      <c r="P9873" s="1" t="s">
        <v>34</v>
      </c>
      <c r="Q9873">
        <v>208.4</v>
      </c>
    </row>
    <row r="9874" spans="11:17" x14ac:dyDescent="0.3">
      <c r="K9874">
        <v>2023</v>
      </c>
      <c r="L9874" t="s">
        <v>31</v>
      </c>
      <c r="M9874" t="s">
        <v>170</v>
      </c>
      <c r="N9874" t="s">
        <v>12</v>
      </c>
      <c r="O9874" t="s">
        <v>188</v>
      </c>
      <c r="P9874" s="1" t="s">
        <v>33</v>
      </c>
      <c r="Q9874">
        <v>204.3</v>
      </c>
    </row>
    <row r="9875" spans="11:17" x14ac:dyDescent="0.3">
      <c r="K9875">
        <v>2023</v>
      </c>
      <c r="L9875" t="s">
        <v>31</v>
      </c>
      <c r="M9875" t="s">
        <v>170</v>
      </c>
      <c r="N9875" t="s">
        <v>11</v>
      </c>
      <c r="O9875" t="s">
        <v>188</v>
      </c>
      <c r="P9875" s="1" t="s">
        <v>30</v>
      </c>
      <c r="Q9875">
        <v>120.3</v>
      </c>
    </row>
    <row r="9876" spans="11:17" x14ac:dyDescent="0.3">
      <c r="K9876">
        <v>2023</v>
      </c>
      <c r="L9876" t="s">
        <v>31</v>
      </c>
      <c r="M9876" t="s">
        <v>170</v>
      </c>
      <c r="N9876" t="s">
        <v>11</v>
      </c>
      <c r="O9876" t="s">
        <v>188</v>
      </c>
      <c r="P9876" s="1" t="s">
        <v>34</v>
      </c>
      <c r="Q9876">
        <v>121.1</v>
      </c>
    </row>
    <row r="9877" spans="11:17" x14ac:dyDescent="0.3">
      <c r="K9877">
        <v>2023</v>
      </c>
      <c r="L9877" t="s">
        <v>31</v>
      </c>
      <c r="M9877" t="s">
        <v>170</v>
      </c>
      <c r="N9877" t="s">
        <v>11</v>
      </c>
      <c r="O9877" t="s">
        <v>188</v>
      </c>
      <c r="P9877" s="1" t="s">
        <v>33</v>
      </c>
      <c r="Q9877">
        <v>122.7</v>
      </c>
    </row>
    <row r="9878" spans="11:17" x14ac:dyDescent="0.3">
      <c r="K9878">
        <v>2023</v>
      </c>
      <c r="L9878" t="s">
        <v>31</v>
      </c>
      <c r="M9878" t="s">
        <v>170</v>
      </c>
      <c r="N9878" t="s">
        <v>24</v>
      </c>
      <c r="O9878" t="s">
        <v>191</v>
      </c>
      <c r="P9878" s="1" t="s">
        <v>30</v>
      </c>
      <c r="Q9878">
        <v>168.2</v>
      </c>
    </row>
    <row r="9879" spans="11:17" x14ac:dyDescent="0.3">
      <c r="K9879">
        <v>2023</v>
      </c>
      <c r="L9879" t="s">
        <v>31</v>
      </c>
      <c r="M9879" t="s">
        <v>170</v>
      </c>
      <c r="N9879" t="s">
        <v>24</v>
      </c>
      <c r="O9879" t="s">
        <v>191</v>
      </c>
      <c r="P9879" s="1" t="s">
        <v>34</v>
      </c>
      <c r="Q9879">
        <v>163.6</v>
      </c>
    </row>
    <row r="9880" spans="11:17" x14ac:dyDescent="0.3">
      <c r="K9880">
        <v>2023</v>
      </c>
      <c r="L9880" t="s">
        <v>31</v>
      </c>
      <c r="M9880" t="s">
        <v>170</v>
      </c>
      <c r="N9880" t="s">
        <v>24</v>
      </c>
      <c r="O9880" t="s">
        <v>191</v>
      </c>
      <c r="P9880" s="1" t="s">
        <v>33</v>
      </c>
      <c r="Q9880">
        <v>159.5</v>
      </c>
    </row>
    <row r="9881" spans="11:17" x14ac:dyDescent="0.3">
      <c r="K9881">
        <v>2023</v>
      </c>
      <c r="L9881" t="s">
        <v>31</v>
      </c>
      <c r="M9881" t="s">
        <v>170</v>
      </c>
      <c r="N9881" t="s">
        <v>9</v>
      </c>
      <c r="O9881" t="s">
        <v>188</v>
      </c>
      <c r="P9881" s="1" t="s">
        <v>30</v>
      </c>
      <c r="Q9881">
        <v>142.9</v>
      </c>
    </row>
    <row r="9882" spans="11:17" x14ac:dyDescent="0.3">
      <c r="K9882">
        <v>2023</v>
      </c>
      <c r="L9882" t="s">
        <v>31</v>
      </c>
      <c r="M9882" t="s">
        <v>170</v>
      </c>
      <c r="N9882" t="s">
        <v>9</v>
      </c>
      <c r="O9882" t="s">
        <v>188</v>
      </c>
      <c r="P9882" s="1" t="s">
        <v>34</v>
      </c>
      <c r="Q9882">
        <v>153.9</v>
      </c>
    </row>
    <row r="9883" spans="11:17" x14ac:dyDescent="0.3">
      <c r="K9883">
        <v>2023</v>
      </c>
      <c r="L9883" t="s">
        <v>31</v>
      </c>
      <c r="M9883" t="s">
        <v>170</v>
      </c>
      <c r="N9883" t="s">
        <v>9</v>
      </c>
      <c r="O9883" t="s">
        <v>188</v>
      </c>
      <c r="P9883" s="1" t="s">
        <v>33</v>
      </c>
      <c r="Q9883">
        <v>175.3</v>
      </c>
    </row>
    <row r="9884" spans="11:17" x14ac:dyDescent="0.3">
      <c r="K9884">
        <v>2023</v>
      </c>
      <c r="L9884" t="s">
        <v>36</v>
      </c>
      <c r="M9884" t="s">
        <v>171</v>
      </c>
      <c r="N9884" t="s">
        <v>3</v>
      </c>
      <c r="O9884" t="s">
        <v>188</v>
      </c>
      <c r="P9884" s="1" t="s">
        <v>30</v>
      </c>
      <c r="Q9884">
        <v>174.3</v>
      </c>
    </row>
    <row r="9885" spans="11:17" x14ac:dyDescent="0.3">
      <c r="K9885">
        <v>2023</v>
      </c>
      <c r="L9885" t="s">
        <v>36</v>
      </c>
      <c r="M9885" t="s">
        <v>171</v>
      </c>
      <c r="N9885" t="s">
        <v>3</v>
      </c>
      <c r="O9885" t="s">
        <v>188</v>
      </c>
      <c r="P9885" s="1" t="s">
        <v>34</v>
      </c>
      <c r="Q9885">
        <v>174.4</v>
      </c>
    </row>
    <row r="9886" spans="11:17" x14ac:dyDescent="0.3">
      <c r="K9886">
        <v>2023</v>
      </c>
      <c r="L9886" t="s">
        <v>36</v>
      </c>
      <c r="M9886" t="s">
        <v>171</v>
      </c>
      <c r="N9886" t="s">
        <v>3</v>
      </c>
      <c r="O9886" t="s">
        <v>188</v>
      </c>
      <c r="P9886" s="1" t="s">
        <v>33</v>
      </c>
      <c r="Q9886">
        <v>174.7</v>
      </c>
    </row>
    <row r="9887" spans="11:17" x14ac:dyDescent="0.3">
      <c r="K9887">
        <v>2023</v>
      </c>
      <c r="L9887" t="s">
        <v>36</v>
      </c>
      <c r="M9887" t="s">
        <v>171</v>
      </c>
      <c r="N9887" t="s">
        <v>17</v>
      </c>
      <c r="O9887" t="s">
        <v>189</v>
      </c>
      <c r="P9887" s="1" t="s">
        <v>30</v>
      </c>
      <c r="Q9887">
        <v>190</v>
      </c>
    </row>
    <row r="9888" spans="11:17" x14ac:dyDescent="0.3">
      <c r="K9888">
        <v>2023</v>
      </c>
      <c r="L9888" t="s">
        <v>36</v>
      </c>
      <c r="M9888" t="s">
        <v>171</v>
      </c>
      <c r="N9888" t="s">
        <v>17</v>
      </c>
      <c r="O9888" t="s">
        <v>189</v>
      </c>
      <c r="P9888" s="1" t="s">
        <v>34</v>
      </c>
      <c r="Q9888">
        <v>186.1</v>
      </c>
    </row>
    <row r="9889" spans="11:17" x14ac:dyDescent="0.3">
      <c r="K9889">
        <v>2023</v>
      </c>
      <c r="L9889" t="s">
        <v>36</v>
      </c>
      <c r="M9889" t="s">
        <v>171</v>
      </c>
      <c r="N9889" t="s">
        <v>17</v>
      </c>
      <c r="O9889" t="s">
        <v>189</v>
      </c>
      <c r="P9889" s="1" t="s">
        <v>33</v>
      </c>
      <c r="Q9889">
        <v>180.2</v>
      </c>
    </row>
    <row r="9890" spans="11:17" x14ac:dyDescent="0.3">
      <c r="K9890">
        <v>2023</v>
      </c>
      <c r="L9890" t="s">
        <v>36</v>
      </c>
      <c r="M9890" t="s">
        <v>171</v>
      </c>
      <c r="N9890" t="s">
        <v>19</v>
      </c>
      <c r="O9890" t="s">
        <v>189</v>
      </c>
      <c r="P9890" s="1" t="s">
        <v>30</v>
      </c>
      <c r="Q9890">
        <v>189.6</v>
      </c>
    </row>
    <row r="9891" spans="11:17" x14ac:dyDescent="0.3">
      <c r="K9891">
        <v>2023</v>
      </c>
      <c r="L9891" t="s">
        <v>36</v>
      </c>
      <c r="M9891" t="s">
        <v>171</v>
      </c>
      <c r="N9891" t="s">
        <v>19</v>
      </c>
      <c r="O9891" t="s">
        <v>189</v>
      </c>
      <c r="P9891" s="1" t="s">
        <v>34</v>
      </c>
      <c r="Q9891">
        <v>185.1</v>
      </c>
    </row>
    <row r="9892" spans="11:17" x14ac:dyDescent="0.3">
      <c r="K9892">
        <v>2023</v>
      </c>
      <c r="L9892" t="s">
        <v>36</v>
      </c>
      <c r="M9892" t="s">
        <v>171</v>
      </c>
      <c r="N9892" t="s">
        <v>19</v>
      </c>
      <c r="O9892" t="s">
        <v>189</v>
      </c>
      <c r="P9892" s="1" t="s">
        <v>33</v>
      </c>
      <c r="Q9892">
        <v>178.2</v>
      </c>
    </row>
    <row r="9893" spans="11:17" x14ac:dyDescent="0.3">
      <c r="K9893">
        <v>2023</v>
      </c>
      <c r="L9893" t="s">
        <v>36</v>
      </c>
      <c r="M9893" t="s">
        <v>171</v>
      </c>
      <c r="N9893" t="s">
        <v>26</v>
      </c>
      <c r="O9893" t="s">
        <v>26</v>
      </c>
      <c r="P9893" s="1" t="s">
        <v>30</v>
      </c>
      <c r="Q9893">
        <v>178.5</v>
      </c>
    </row>
    <row r="9894" spans="11:17" x14ac:dyDescent="0.3">
      <c r="K9894">
        <v>2023</v>
      </c>
      <c r="L9894" t="s">
        <v>36</v>
      </c>
      <c r="M9894" t="s">
        <v>171</v>
      </c>
      <c r="N9894" t="s">
        <v>26</v>
      </c>
      <c r="O9894" t="s">
        <v>26</v>
      </c>
      <c r="P9894" s="1" t="s">
        <v>34</v>
      </c>
      <c r="Q9894">
        <v>175</v>
      </c>
    </row>
    <row r="9895" spans="11:17" x14ac:dyDescent="0.3">
      <c r="K9895">
        <v>2023</v>
      </c>
      <c r="L9895" t="s">
        <v>36</v>
      </c>
      <c r="M9895" t="s">
        <v>171</v>
      </c>
      <c r="N9895" t="s">
        <v>26</v>
      </c>
      <c r="O9895" t="s">
        <v>26</v>
      </c>
      <c r="P9895" s="1" t="s">
        <v>33</v>
      </c>
      <c r="Q9895">
        <v>172.5</v>
      </c>
    </row>
    <row r="9896" spans="11:17" x14ac:dyDescent="0.3">
      <c r="K9896">
        <v>2023</v>
      </c>
      <c r="L9896" t="s">
        <v>36</v>
      </c>
      <c r="M9896" t="s">
        <v>171</v>
      </c>
      <c r="N9896" t="s">
        <v>5</v>
      </c>
      <c r="O9896" t="s">
        <v>188</v>
      </c>
      <c r="P9896" s="1" t="s">
        <v>30</v>
      </c>
      <c r="Q9896">
        <v>173.9</v>
      </c>
    </row>
    <row r="9897" spans="11:17" x14ac:dyDescent="0.3">
      <c r="K9897">
        <v>2023</v>
      </c>
      <c r="L9897" t="s">
        <v>36</v>
      </c>
      <c r="M9897" t="s">
        <v>171</v>
      </c>
      <c r="N9897" t="s">
        <v>5</v>
      </c>
      <c r="O9897" t="s">
        <v>188</v>
      </c>
      <c r="P9897" s="1" t="s">
        <v>34</v>
      </c>
      <c r="Q9897">
        <v>175.2</v>
      </c>
    </row>
    <row r="9898" spans="11:17" x14ac:dyDescent="0.3">
      <c r="K9898">
        <v>2023</v>
      </c>
      <c r="L9898" t="s">
        <v>36</v>
      </c>
      <c r="M9898" t="s">
        <v>171</v>
      </c>
      <c r="N9898" t="s">
        <v>5</v>
      </c>
      <c r="O9898" t="s">
        <v>188</v>
      </c>
      <c r="P9898" s="1" t="s">
        <v>33</v>
      </c>
      <c r="Q9898">
        <v>177.2</v>
      </c>
    </row>
    <row r="9899" spans="11:17" x14ac:dyDescent="0.3">
      <c r="K9899">
        <v>2023</v>
      </c>
      <c r="L9899" t="s">
        <v>36</v>
      </c>
      <c r="M9899" t="s">
        <v>171</v>
      </c>
      <c r="N9899" t="s">
        <v>15</v>
      </c>
      <c r="O9899" t="s">
        <v>188</v>
      </c>
      <c r="P9899" s="1" t="s">
        <v>30</v>
      </c>
      <c r="Q9899">
        <v>174.8</v>
      </c>
    </row>
    <row r="9900" spans="11:17" x14ac:dyDescent="0.3">
      <c r="K9900">
        <v>2023</v>
      </c>
      <c r="L9900" t="s">
        <v>36</v>
      </c>
      <c r="M9900" t="s">
        <v>171</v>
      </c>
      <c r="N9900" t="s">
        <v>15</v>
      </c>
      <c r="O9900" t="s">
        <v>188</v>
      </c>
      <c r="P9900" s="1" t="s">
        <v>34</v>
      </c>
      <c r="Q9900">
        <v>177</v>
      </c>
    </row>
    <row r="9901" spans="11:17" x14ac:dyDescent="0.3">
      <c r="K9901">
        <v>2023</v>
      </c>
      <c r="L9901" t="s">
        <v>36</v>
      </c>
      <c r="M9901" t="s">
        <v>171</v>
      </c>
      <c r="N9901" t="s">
        <v>15</v>
      </c>
      <c r="O9901" t="s">
        <v>188</v>
      </c>
      <c r="P9901" s="1" t="s">
        <v>33</v>
      </c>
      <c r="Q9901">
        <v>180.8</v>
      </c>
    </row>
    <row r="9902" spans="11:17" x14ac:dyDescent="0.3">
      <c r="K9902">
        <v>2023</v>
      </c>
      <c r="L9902" t="s">
        <v>36</v>
      </c>
      <c r="M9902" t="s">
        <v>171</v>
      </c>
      <c r="N9902" t="s">
        <v>18</v>
      </c>
      <c r="O9902" t="s">
        <v>189</v>
      </c>
      <c r="P9902" s="1" t="s">
        <v>30</v>
      </c>
      <c r="Q9902">
        <v>187</v>
      </c>
    </row>
    <row r="9903" spans="11:17" x14ac:dyDescent="0.3">
      <c r="K9903">
        <v>2023</v>
      </c>
      <c r="L9903" t="s">
        <v>36</v>
      </c>
      <c r="M9903" t="s">
        <v>171</v>
      </c>
      <c r="N9903" t="s">
        <v>18</v>
      </c>
      <c r="O9903" t="s">
        <v>189</v>
      </c>
      <c r="P9903" s="1" t="s">
        <v>34</v>
      </c>
      <c r="Q9903">
        <v>178.7</v>
      </c>
    </row>
    <row r="9904" spans="11:17" x14ac:dyDescent="0.3">
      <c r="K9904">
        <v>2023</v>
      </c>
      <c r="L9904" t="s">
        <v>36</v>
      </c>
      <c r="M9904" t="s">
        <v>171</v>
      </c>
      <c r="N9904" t="s">
        <v>18</v>
      </c>
      <c r="O9904" t="s">
        <v>189</v>
      </c>
      <c r="P9904" s="1" t="s">
        <v>33</v>
      </c>
      <c r="Q9904">
        <v>167</v>
      </c>
    </row>
    <row r="9905" spans="11:17" x14ac:dyDescent="0.3">
      <c r="K9905">
        <v>2023</v>
      </c>
      <c r="L9905" t="s">
        <v>36</v>
      </c>
      <c r="M9905" t="s">
        <v>171</v>
      </c>
      <c r="N9905" t="s">
        <v>8</v>
      </c>
      <c r="O9905" t="s">
        <v>188</v>
      </c>
      <c r="P9905" s="1" t="s">
        <v>30</v>
      </c>
      <c r="Q9905">
        <v>167.2</v>
      </c>
    </row>
    <row r="9906" spans="11:17" x14ac:dyDescent="0.3">
      <c r="K9906">
        <v>2023</v>
      </c>
      <c r="L9906" t="s">
        <v>36</v>
      </c>
      <c r="M9906" t="s">
        <v>171</v>
      </c>
      <c r="N9906" t="s">
        <v>8</v>
      </c>
      <c r="O9906" t="s">
        <v>188</v>
      </c>
      <c r="P9906" s="1" t="s">
        <v>34</v>
      </c>
      <c r="Q9906">
        <v>169.5</v>
      </c>
    </row>
    <row r="9907" spans="11:17" x14ac:dyDescent="0.3">
      <c r="K9907">
        <v>2023</v>
      </c>
      <c r="L9907" t="s">
        <v>36</v>
      </c>
      <c r="M9907" t="s">
        <v>171</v>
      </c>
      <c r="N9907" t="s">
        <v>8</v>
      </c>
      <c r="O9907" t="s">
        <v>188</v>
      </c>
      <c r="P9907" s="1" t="s">
        <v>33</v>
      </c>
      <c r="Q9907">
        <v>172.1</v>
      </c>
    </row>
    <row r="9908" spans="11:17" x14ac:dyDescent="0.3">
      <c r="K9908">
        <v>2023</v>
      </c>
      <c r="L9908" t="s">
        <v>36</v>
      </c>
      <c r="M9908" t="s">
        <v>171</v>
      </c>
      <c r="N9908" t="s">
        <v>21</v>
      </c>
      <c r="O9908" t="s">
        <v>190</v>
      </c>
      <c r="P9908" s="1" t="s">
        <v>30</v>
      </c>
      <c r="Q9908">
        <v>181.4</v>
      </c>
    </row>
    <row r="9909" spans="11:17" x14ac:dyDescent="0.3">
      <c r="K9909">
        <v>2023</v>
      </c>
      <c r="L9909" t="s">
        <v>36</v>
      </c>
      <c r="M9909" t="s">
        <v>171</v>
      </c>
      <c r="N9909" t="s">
        <v>21</v>
      </c>
      <c r="O9909" t="s">
        <v>190</v>
      </c>
      <c r="P9909" s="1" t="s">
        <v>34</v>
      </c>
      <c r="Q9909">
        <v>181.9</v>
      </c>
    </row>
    <row r="9910" spans="11:17" x14ac:dyDescent="0.3">
      <c r="K9910">
        <v>2023</v>
      </c>
      <c r="L9910" t="s">
        <v>36</v>
      </c>
      <c r="M9910" t="s">
        <v>171</v>
      </c>
      <c r="N9910" t="s">
        <v>21</v>
      </c>
      <c r="O9910" t="s">
        <v>190</v>
      </c>
      <c r="P9910" s="1" t="s">
        <v>33</v>
      </c>
      <c r="Q9910">
        <v>182.6</v>
      </c>
    </row>
    <row r="9911" spans="11:17" x14ac:dyDescent="0.3">
      <c r="K9911">
        <v>2023</v>
      </c>
      <c r="L9911" t="s">
        <v>36</v>
      </c>
      <c r="M9911" t="s">
        <v>171</v>
      </c>
      <c r="N9911" t="s">
        <v>29</v>
      </c>
      <c r="O9911" t="s">
        <v>206</v>
      </c>
      <c r="P9911" s="1" t="s">
        <v>30</v>
      </c>
      <c r="Q9911">
        <v>178</v>
      </c>
    </row>
    <row r="9912" spans="11:17" x14ac:dyDescent="0.3">
      <c r="K9912">
        <v>2023</v>
      </c>
      <c r="L9912" t="s">
        <v>36</v>
      </c>
      <c r="M9912" t="s">
        <v>171</v>
      </c>
      <c r="N9912" t="s">
        <v>29</v>
      </c>
      <c r="O9912" t="s">
        <v>206</v>
      </c>
      <c r="P9912" s="1" t="s">
        <v>34</v>
      </c>
      <c r="Q9912">
        <v>177.2</v>
      </c>
    </row>
    <row r="9913" spans="11:17" x14ac:dyDescent="0.3">
      <c r="K9913">
        <v>2023</v>
      </c>
      <c r="L9913" t="s">
        <v>36</v>
      </c>
      <c r="M9913" t="s">
        <v>171</v>
      </c>
      <c r="N9913" t="s">
        <v>29</v>
      </c>
      <c r="O9913" t="s">
        <v>206</v>
      </c>
      <c r="P9913" s="1" t="s">
        <v>33</v>
      </c>
      <c r="Q9913">
        <v>176.3</v>
      </c>
    </row>
    <row r="9914" spans="11:17" x14ac:dyDescent="0.3">
      <c r="K9914">
        <v>2023</v>
      </c>
      <c r="L9914" t="s">
        <v>36</v>
      </c>
      <c r="M9914" t="s">
        <v>171</v>
      </c>
      <c r="N9914" t="s">
        <v>23</v>
      </c>
      <c r="O9914" t="s">
        <v>23</v>
      </c>
      <c r="P9914" s="1" t="s">
        <v>30</v>
      </c>
      <c r="Q9914">
        <v>186.6</v>
      </c>
    </row>
    <row r="9915" spans="11:17" x14ac:dyDescent="0.3">
      <c r="K9915">
        <v>2023</v>
      </c>
      <c r="L9915" t="s">
        <v>36</v>
      </c>
      <c r="M9915" t="s">
        <v>171</v>
      </c>
      <c r="N9915" t="s">
        <v>23</v>
      </c>
      <c r="O9915" t="s">
        <v>23</v>
      </c>
      <c r="P9915" s="1" t="s">
        <v>34</v>
      </c>
      <c r="Q9915">
        <v>184.4</v>
      </c>
    </row>
    <row r="9916" spans="11:17" x14ac:dyDescent="0.3">
      <c r="K9916">
        <v>2023</v>
      </c>
      <c r="L9916" t="s">
        <v>36</v>
      </c>
      <c r="M9916" t="s">
        <v>171</v>
      </c>
      <c r="N9916" t="s">
        <v>23</v>
      </c>
      <c r="O9916" t="s">
        <v>23</v>
      </c>
      <c r="P9916" s="1" t="s">
        <v>33</v>
      </c>
      <c r="Q9916">
        <v>180.8</v>
      </c>
    </row>
    <row r="9917" spans="11:17" x14ac:dyDescent="0.3">
      <c r="K9917">
        <v>2023</v>
      </c>
      <c r="L9917" t="s">
        <v>36</v>
      </c>
      <c r="M9917" t="s">
        <v>171</v>
      </c>
      <c r="N9917" t="s">
        <v>22</v>
      </c>
      <c r="O9917" t="s">
        <v>20</v>
      </c>
      <c r="P9917" s="1" t="s">
        <v>30</v>
      </c>
      <c r="Q9917">
        <v>178.6</v>
      </c>
    </row>
    <row r="9918" spans="11:17" x14ac:dyDescent="0.3">
      <c r="K9918">
        <v>2023</v>
      </c>
      <c r="L9918" t="s">
        <v>36</v>
      </c>
      <c r="M9918" t="s">
        <v>171</v>
      </c>
      <c r="N9918" t="s">
        <v>22</v>
      </c>
      <c r="O9918" t="s">
        <v>20</v>
      </c>
      <c r="P9918" s="1" t="s">
        <v>34</v>
      </c>
      <c r="Q9918">
        <v>174.2</v>
      </c>
    </row>
    <row r="9919" spans="11:17" x14ac:dyDescent="0.3">
      <c r="K9919">
        <v>2023</v>
      </c>
      <c r="L9919" t="s">
        <v>36</v>
      </c>
      <c r="M9919" t="s">
        <v>171</v>
      </c>
      <c r="N9919" t="s">
        <v>22</v>
      </c>
      <c r="O9919" t="s">
        <v>20</v>
      </c>
      <c r="P9919" s="1" t="s">
        <v>33</v>
      </c>
      <c r="Q9919">
        <v>169.2</v>
      </c>
    </row>
    <row r="9920" spans="11:17" x14ac:dyDescent="0.3">
      <c r="K9920">
        <v>2023</v>
      </c>
      <c r="L9920" t="s">
        <v>36</v>
      </c>
      <c r="M9920" t="s">
        <v>171</v>
      </c>
      <c r="N9920" t="s">
        <v>20</v>
      </c>
      <c r="O9920" t="s">
        <v>20</v>
      </c>
      <c r="P9920" s="1" t="s">
        <v>30</v>
      </c>
      <c r="Q9920">
        <v>0</v>
      </c>
    </row>
    <row r="9921" spans="11:17" x14ac:dyDescent="0.3">
      <c r="K9921">
        <v>2023</v>
      </c>
      <c r="L9921" t="s">
        <v>36</v>
      </c>
      <c r="M9921" t="s">
        <v>171</v>
      </c>
      <c r="N9921" t="s">
        <v>20</v>
      </c>
      <c r="O9921" t="s">
        <v>20</v>
      </c>
      <c r="P9921" s="1" t="s">
        <v>34</v>
      </c>
      <c r="Q9921">
        <v>173.5</v>
      </c>
    </row>
    <row r="9922" spans="11:17" x14ac:dyDescent="0.3">
      <c r="K9922">
        <v>2023</v>
      </c>
      <c r="L9922" t="s">
        <v>36</v>
      </c>
      <c r="M9922" t="s">
        <v>171</v>
      </c>
      <c r="N9922" t="s">
        <v>20</v>
      </c>
      <c r="O9922" t="s">
        <v>20</v>
      </c>
      <c r="P9922" s="1" t="s">
        <v>33</v>
      </c>
      <c r="Q9922">
        <v>173.5</v>
      </c>
    </row>
    <row r="9923" spans="11:17" x14ac:dyDescent="0.3">
      <c r="K9923">
        <v>2023</v>
      </c>
      <c r="L9923" t="s">
        <v>36</v>
      </c>
      <c r="M9923" t="s">
        <v>171</v>
      </c>
      <c r="N9923" t="s">
        <v>4</v>
      </c>
      <c r="O9923" t="s">
        <v>188</v>
      </c>
      <c r="P9923" s="1" t="s">
        <v>30</v>
      </c>
      <c r="Q9923">
        <v>205.2</v>
      </c>
    </row>
    <row r="9924" spans="11:17" x14ac:dyDescent="0.3">
      <c r="K9924">
        <v>2023</v>
      </c>
      <c r="L9924" t="s">
        <v>36</v>
      </c>
      <c r="M9924" t="s">
        <v>171</v>
      </c>
      <c r="N9924" t="s">
        <v>4</v>
      </c>
      <c r="O9924" t="s">
        <v>188</v>
      </c>
      <c r="P9924" s="1" t="s">
        <v>34</v>
      </c>
      <c r="Q9924">
        <v>207.7</v>
      </c>
    </row>
    <row r="9925" spans="11:17" x14ac:dyDescent="0.3">
      <c r="K9925">
        <v>2023</v>
      </c>
      <c r="L9925" t="s">
        <v>36</v>
      </c>
      <c r="M9925" t="s">
        <v>171</v>
      </c>
      <c r="N9925" t="s">
        <v>4</v>
      </c>
      <c r="O9925" t="s">
        <v>188</v>
      </c>
      <c r="P9925" s="1" t="s">
        <v>33</v>
      </c>
      <c r="Q9925">
        <v>212.2</v>
      </c>
    </row>
    <row r="9926" spans="11:17" x14ac:dyDescent="0.3">
      <c r="K9926">
        <v>2023</v>
      </c>
      <c r="L9926" t="s">
        <v>36</v>
      </c>
      <c r="M9926" t="s">
        <v>171</v>
      </c>
      <c r="N9926" t="s">
        <v>6</v>
      </c>
      <c r="O9926" t="s">
        <v>188</v>
      </c>
      <c r="P9926" s="1" t="s">
        <v>30</v>
      </c>
      <c r="Q9926">
        <v>177</v>
      </c>
    </row>
    <row r="9927" spans="11:17" x14ac:dyDescent="0.3">
      <c r="K9927">
        <v>2023</v>
      </c>
      <c r="L9927" t="s">
        <v>36</v>
      </c>
      <c r="M9927" t="s">
        <v>171</v>
      </c>
      <c r="N9927" t="s">
        <v>6</v>
      </c>
      <c r="O9927" t="s">
        <v>188</v>
      </c>
      <c r="P9927" s="1" t="s">
        <v>34</v>
      </c>
      <c r="Q9927">
        <v>177.3</v>
      </c>
    </row>
    <row r="9928" spans="11:17" x14ac:dyDescent="0.3">
      <c r="K9928">
        <v>2023</v>
      </c>
      <c r="L9928" t="s">
        <v>36</v>
      </c>
      <c r="M9928" t="s">
        <v>171</v>
      </c>
      <c r="N9928" t="s">
        <v>6</v>
      </c>
      <c r="O9928" t="s">
        <v>188</v>
      </c>
      <c r="P9928" s="1" t="s">
        <v>33</v>
      </c>
      <c r="Q9928">
        <v>177.9</v>
      </c>
    </row>
    <row r="9929" spans="11:17" x14ac:dyDescent="0.3">
      <c r="K9929">
        <v>2023</v>
      </c>
      <c r="L9929" t="s">
        <v>36</v>
      </c>
      <c r="M9929" t="s">
        <v>171</v>
      </c>
      <c r="N9929" t="s">
        <v>28</v>
      </c>
      <c r="O9929" t="s">
        <v>192</v>
      </c>
      <c r="P9929" s="1" t="s">
        <v>30</v>
      </c>
      <c r="Q9929">
        <v>177.9</v>
      </c>
    </row>
    <row r="9930" spans="11:17" x14ac:dyDescent="0.3">
      <c r="K9930">
        <v>2023</v>
      </c>
      <c r="L9930" t="s">
        <v>36</v>
      </c>
      <c r="M9930" t="s">
        <v>171</v>
      </c>
      <c r="N9930" t="s">
        <v>28</v>
      </c>
      <c r="O9930" t="s">
        <v>192</v>
      </c>
      <c r="P9930" s="1" t="s">
        <v>34</v>
      </c>
      <c r="Q9930">
        <v>174.1</v>
      </c>
    </row>
    <row r="9931" spans="11:17" x14ac:dyDescent="0.3">
      <c r="K9931">
        <v>2023</v>
      </c>
      <c r="L9931" t="s">
        <v>36</v>
      </c>
      <c r="M9931" t="s">
        <v>171</v>
      </c>
      <c r="N9931" t="s">
        <v>28</v>
      </c>
      <c r="O9931" t="s">
        <v>192</v>
      </c>
      <c r="P9931" s="1" t="s">
        <v>33</v>
      </c>
      <c r="Q9931">
        <v>170</v>
      </c>
    </row>
    <row r="9932" spans="11:17" x14ac:dyDescent="0.3">
      <c r="K9932">
        <v>2023</v>
      </c>
      <c r="L9932" t="s">
        <v>36</v>
      </c>
      <c r="M9932" t="s">
        <v>171</v>
      </c>
      <c r="N9932" t="s">
        <v>13</v>
      </c>
      <c r="O9932" t="s">
        <v>188</v>
      </c>
      <c r="P9932" s="1" t="s">
        <v>30</v>
      </c>
      <c r="Q9932">
        <v>177.6</v>
      </c>
    </row>
    <row r="9933" spans="11:17" x14ac:dyDescent="0.3">
      <c r="K9933">
        <v>2023</v>
      </c>
      <c r="L9933" t="s">
        <v>36</v>
      </c>
      <c r="M9933" t="s">
        <v>171</v>
      </c>
      <c r="N9933" t="s">
        <v>13</v>
      </c>
      <c r="O9933" t="s">
        <v>188</v>
      </c>
      <c r="P9933" s="1" t="s">
        <v>34</v>
      </c>
      <c r="Q9933">
        <v>172.3</v>
      </c>
    </row>
    <row r="9934" spans="11:17" x14ac:dyDescent="0.3">
      <c r="K9934">
        <v>2023</v>
      </c>
      <c r="L9934" t="s">
        <v>36</v>
      </c>
      <c r="M9934" t="s">
        <v>171</v>
      </c>
      <c r="N9934" t="s">
        <v>13</v>
      </c>
      <c r="O9934" t="s">
        <v>188</v>
      </c>
      <c r="P9934" s="1" t="s">
        <v>33</v>
      </c>
      <c r="Q9934">
        <v>164.9</v>
      </c>
    </row>
    <row r="9935" spans="11:17" x14ac:dyDescent="0.3">
      <c r="K9935">
        <v>2023</v>
      </c>
      <c r="L9935" t="s">
        <v>36</v>
      </c>
      <c r="M9935" t="s">
        <v>171</v>
      </c>
      <c r="N9935" t="s">
        <v>7</v>
      </c>
      <c r="O9935" t="s">
        <v>188</v>
      </c>
      <c r="P9935" s="1" t="s">
        <v>30</v>
      </c>
      <c r="Q9935">
        <v>183.3</v>
      </c>
    </row>
    <row r="9936" spans="11:17" x14ac:dyDescent="0.3">
      <c r="K9936">
        <v>2023</v>
      </c>
      <c r="L9936" t="s">
        <v>36</v>
      </c>
      <c r="M9936" t="s">
        <v>171</v>
      </c>
      <c r="N9936" t="s">
        <v>7</v>
      </c>
      <c r="O9936" t="s">
        <v>188</v>
      </c>
      <c r="P9936" s="1" t="s">
        <v>34</v>
      </c>
      <c r="Q9936">
        <v>179.2</v>
      </c>
    </row>
    <row r="9937" spans="11:17" x14ac:dyDescent="0.3">
      <c r="K9937">
        <v>2023</v>
      </c>
      <c r="L9937" t="s">
        <v>36</v>
      </c>
      <c r="M9937" t="s">
        <v>171</v>
      </c>
      <c r="N9937" t="s">
        <v>7</v>
      </c>
      <c r="O9937" t="s">
        <v>188</v>
      </c>
      <c r="P9937" s="1" t="s">
        <v>33</v>
      </c>
      <c r="Q9937">
        <v>172.2</v>
      </c>
    </row>
    <row r="9938" spans="11:17" x14ac:dyDescent="0.3">
      <c r="K9938">
        <v>2023</v>
      </c>
      <c r="L9938" t="s">
        <v>36</v>
      </c>
      <c r="M9938" t="s">
        <v>171</v>
      </c>
      <c r="N9938" t="s">
        <v>16</v>
      </c>
      <c r="O9938" t="s">
        <v>192</v>
      </c>
      <c r="P9938" s="1" t="s">
        <v>30</v>
      </c>
      <c r="Q9938">
        <v>198.4</v>
      </c>
    </row>
    <row r="9939" spans="11:17" x14ac:dyDescent="0.3">
      <c r="K9939">
        <v>2023</v>
      </c>
      <c r="L9939" t="s">
        <v>36</v>
      </c>
      <c r="M9939" t="s">
        <v>171</v>
      </c>
      <c r="N9939" t="s">
        <v>16</v>
      </c>
      <c r="O9939" t="s">
        <v>192</v>
      </c>
      <c r="P9939" s="1" t="s">
        <v>34</v>
      </c>
      <c r="Q9939">
        <v>199.5</v>
      </c>
    </row>
    <row r="9940" spans="11:17" x14ac:dyDescent="0.3">
      <c r="K9940">
        <v>2023</v>
      </c>
      <c r="L9940" t="s">
        <v>36</v>
      </c>
      <c r="M9940" t="s">
        <v>171</v>
      </c>
      <c r="N9940" t="s">
        <v>16</v>
      </c>
      <c r="O9940" t="s">
        <v>192</v>
      </c>
      <c r="P9940" s="1" t="s">
        <v>33</v>
      </c>
      <c r="Q9940">
        <v>202.7</v>
      </c>
    </row>
    <row r="9941" spans="11:17" x14ac:dyDescent="0.3">
      <c r="K9941">
        <v>2023</v>
      </c>
      <c r="L9941" t="s">
        <v>36</v>
      </c>
      <c r="M9941" t="s">
        <v>171</v>
      </c>
      <c r="N9941" t="s">
        <v>27</v>
      </c>
      <c r="O9941" t="s">
        <v>192</v>
      </c>
      <c r="P9941" s="1" t="s">
        <v>30</v>
      </c>
      <c r="Q9941">
        <v>180.7</v>
      </c>
    </row>
    <row r="9942" spans="11:17" x14ac:dyDescent="0.3">
      <c r="K9942">
        <v>2023</v>
      </c>
      <c r="L9942" t="s">
        <v>36</v>
      </c>
      <c r="M9942" t="s">
        <v>171</v>
      </c>
      <c r="N9942" t="s">
        <v>27</v>
      </c>
      <c r="O9942" t="s">
        <v>192</v>
      </c>
      <c r="P9942" s="1" t="s">
        <v>34</v>
      </c>
      <c r="Q9942">
        <v>181</v>
      </c>
    </row>
    <row r="9943" spans="11:17" x14ac:dyDescent="0.3">
      <c r="K9943">
        <v>2023</v>
      </c>
      <c r="L9943" t="s">
        <v>36</v>
      </c>
      <c r="M9943" t="s">
        <v>171</v>
      </c>
      <c r="N9943" t="s">
        <v>27</v>
      </c>
      <c r="O9943" t="s">
        <v>192</v>
      </c>
      <c r="P9943" s="1" t="s">
        <v>33</v>
      </c>
      <c r="Q9943">
        <v>181.5</v>
      </c>
    </row>
    <row r="9944" spans="11:17" x14ac:dyDescent="0.3">
      <c r="K9944">
        <v>2023</v>
      </c>
      <c r="L9944" t="s">
        <v>36</v>
      </c>
      <c r="M9944" t="s">
        <v>171</v>
      </c>
      <c r="N9944" t="s">
        <v>14</v>
      </c>
      <c r="O9944" t="s">
        <v>188</v>
      </c>
      <c r="P9944" s="1" t="s">
        <v>30</v>
      </c>
      <c r="Q9944">
        <v>189.9</v>
      </c>
    </row>
    <row r="9945" spans="11:17" x14ac:dyDescent="0.3">
      <c r="K9945">
        <v>2023</v>
      </c>
      <c r="L9945" t="s">
        <v>36</v>
      </c>
      <c r="M9945" t="s">
        <v>171</v>
      </c>
      <c r="N9945" t="s">
        <v>14</v>
      </c>
      <c r="O9945" t="s">
        <v>188</v>
      </c>
      <c r="P9945" s="1" t="s">
        <v>34</v>
      </c>
      <c r="Q9945">
        <v>193</v>
      </c>
    </row>
    <row r="9946" spans="11:17" x14ac:dyDescent="0.3">
      <c r="K9946">
        <v>2023</v>
      </c>
      <c r="L9946" t="s">
        <v>36</v>
      </c>
      <c r="M9946" t="s">
        <v>171</v>
      </c>
      <c r="N9946" t="s">
        <v>14</v>
      </c>
      <c r="O9946" t="s">
        <v>188</v>
      </c>
      <c r="P9946" s="1" t="s">
        <v>33</v>
      </c>
      <c r="Q9946">
        <v>196.6</v>
      </c>
    </row>
    <row r="9947" spans="11:17" x14ac:dyDescent="0.3">
      <c r="K9947">
        <v>2023</v>
      </c>
      <c r="L9947" t="s">
        <v>36</v>
      </c>
      <c r="M9947" t="s">
        <v>171</v>
      </c>
      <c r="N9947" t="s">
        <v>10</v>
      </c>
      <c r="O9947" t="s">
        <v>188</v>
      </c>
      <c r="P9947" s="1" t="s">
        <v>30</v>
      </c>
      <c r="Q9947">
        <v>170.5</v>
      </c>
    </row>
    <row r="9948" spans="11:17" x14ac:dyDescent="0.3">
      <c r="K9948">
        <v>2023</v>
      </c>
      <c r="L9948" t="s">
        <v>36</v>
      </c>
      <c r="M9948" t="s">
        <v>171</v>
      </c>
      <c r="N9948" t="s">
        <v>10</v>
      </c>
      <c r="O9948" t="s">
        <v>188</v>
      </c>
      <c r="P9948" s="1" t="s">
        <v>34</v>
      </c>
      <c r="Q9948">
        <v>171.1</v>
      </c>
    </row>
    <row r="9949" spans="11:17" x14ac:dyDescent="0.3">
      <c r="K9949">
        <v>2023</v>
      </c>
      <c r="L9949" t="s">
        <v>36</v>
      </c>
      <c r="M9949" t="s">
        <v>171</v>
      </c>
      <c r="N9949" t="s">
        <v>10</v>
      </c>
      <c r="O9949" t="s">
        <v>188</v>
      </c>
      <c r="P9949" s="1" t="s">
        <v>33</v>
      </c>
      <c r="Q9949">
        <v>172.2</v>
      </c>
    </row>
    <row r="9950" spans="11:17" x14ac:dyDescent="0.3">
      <c r="K9950">
        <v>2023</v>
      </c>
      <c r="L9950" t="s">
        <v>36</v>
      </c>
      <c r="M9950" t="s">
        <v>171</v>
      </c>
      <c r="N9950" t="s">
        <v>25</v>
      </c>
      <c r="O9950" t="s">
        <v>195</v>
      </c>
      <c r="P9950" s="1" t="s">
        <v>30</v>
      </c>
      <c r="Q9950">
        <v>172.8</v>
      </c>
    </row>
    <row r="9951" spans="11:17" x14ac:dyDescent="0.3">
      <c r="K9951">
        <v>2023</v>
      </c>
      <c r="L9951" t="s">
        <v>36</v>
      </c>
      <c r="M9951" t="s">
        <v>171</v>
      </c>
      <c r="N9951" t="s">
        <v>25</v>
      </c>
      <c r="O9951" t="s">
        <v>195</v>
      </c>
      <c r="P9951" s="1" t="s">
        <v>34</v>
      </c>
      <c r="Q9951">
        <v>170.3</v>
      </c>
    </row>
    <row r="9952" spans="11:17" x14ac:dyDescent="0.3">
      <c r="K9952">
        <v>2023</v>
      </c>
      <c r="L9952" t="s">
        <v>36</v>
      </c>
      <c r="M9952" t="s">
        <v>171</v>
      </c>
      <c r="N9952" t="s">
        <v>25</v>
      </c>
      <c r="O9952" t="s">
        <v>195</v>
      </c>
      <c r="P9952" s="1" t="s">
        <v>33</v>
      </c>
      <c r="Q9952">
        <v>168.4</v>
      </c>
    </row>
    <row r="9953" spans="11:17" x14ac:dyDescent="0.3">
      <c r="K9953">
        <v>2023</v>
      </c>
      <c r="L9953" t="s">
        <v>36</v>
      </c>
      <c r="M9953" t="s">
        <v>171</v>
      </c>
      <c r="N9953" t="s">
        <v>12</v>
      </c>
      <c r="O9953" t="s">
        <v>188</v>
      </c>
      <c r="P9953" s="1" t="s">
        <v>30</v>
      </c>
      <c r="Q9953">
        <v>212.1</v>
      </c>
    </row>
    <row r="9954" spans="11:17" x14ac:dyDescent="0.3">
      <c r="K9954">
        <v>2023</v>
      </c>
      <c r="L9954" t="s">
        <v>36</v>
      </c>
      <c r="M9954" t="s">
        <v>171</v>
      </c>
      <c r="N9954" t="s">
        <v>12</v>
      </c>
      <c r="O9954" t="s">
        <v>188</v>
      </c>
      <c r="P9954" s="1" t="s">
        <v>34</v>
      </c>
      <c r="Q9954">
        <v>209.7</v>
      </c>
    </row>
    <row r="9955" spans="11:17" x14ac:dyDescent="0.3">
      <c r="K9955">
        <v>2023</v>
      </c>
      <c r="L9955" t="s">
        <v>36</v>
      </c>
      <c r="M9955" t="s">
        <v>171</v>
      </c>
      <c r="N9955" t="s">
        <v>12</v>
      </c>
      <c r="O9955" t="s">
        <v>188</v>
      </c>
      <c r="P9955" s="1" t="s">
        <v>33</v>
      </c>
      <c r="Q9955">
        <v>204.8</v>
      </c>
    </row>
    <row r="9956" spans="11:17" x14ac:dyDescent="0.3">
      <c r="K9956">
        <v>2023</v>
      </c>
      <c r="L9956" t="s">
        <v>36</v>
      </c>
      <c r="M9956" t="s">
        <v>171</v>
      </c>
      <c r="N9956" t="s">
        <v>11</v>
      </c>
      <c r="O9956" t="s">
        <v>188</v>
      </c>
      <c r="P9956" s="1" t="s">
        <v>30</v>
      </c>
      <c r="Q9956">
        <v>119.1</v>
      </c>
    </row>
    <row r="9957" spans="11:17" x14ac:dyDescent="0.3">
      <c r="K9957">
        <v>2023</v>
      </c>
      <c r="L9957" t="s">
        <v>36</v>
      </c>
      <c r="M9957" t="s">
        <v>171</v>
      </c>
      <c r="N9957" t="s">
        <v>11</v>
      </c>
      <c r="O9957" t="s">
        <v>188</v>
      </c>
      <c r="P9957" s="1" t="s">
        <v>34</v>
      </c>
      <c r="Q9957">
        <v>120</v>
      </c>
    </row>
    <row r="9958" spans="11:17" x14ac:dyDescent="0.3">
      <c r="K9958">
        <v>2023</v>
      </c>
      <c r="L9958" t="s">
        <v>36</v>
      </c>
      <c r="M9958" t="s">
        <v>171</v>
      </c>
      <c r="N9958" t="s">
        <v>11</v>
      </c>
      <c r="O9958" t="s">
        <v>188</v>
      </c>
      <c r="P9958" s="1" t="s">
        <v>33</v>
      </c>
      <c r="Q9958">
        <v>121.9</v>
      </c>
    </row>
    <row r="9959" spans="11:17" x14ac:dyDescent="0.3">
      <c r="K9959">
        <v>2023</v>
      </c>
      <c r="L9959" t="s">
        <v>36</v>
      </c>
      <c r="M9959" t="s">
        <v>171</v>
      </c>
      <c r="N9959" t="s">
        <v>24</v>
      </c>
      <c r="O9959" t="s">
        <v>191</v>
      </c>
      <c r="P9959" s="1" t="s">
        <v>30</v>
      </c>
      <c r="Q9959">
        <v>169</v>
      </c>
    </row>
    <row r="9960" spans="11:17" x14ac:dyDescent="0.3">
      <c r="K9960">
        <v>2023</v>
      </c>
      <c r="L9960" t="s">
        <v>36</v>
      </c>
      <c r="M9960" t="s">
        <v>171</v>
      </c>
      <c r="N9960" t="s">
        <v>24</v>
      </c>
      <c r="O9960" t="s">
        <v>191</v>
      </c>
      <c r="P9960" s="1" t="s">
        <v>34</v>
      </c>
      <c r="Q9960">
        <v>164.2</v>
      </c>
    </row>
    <row r="9961" spans="11:17" x14ac:dyDescent="0.3">
      <c r="K9961">
        <v>2023</v>
      </c>
      <c r="L9961" t="s">
        <v>36</v>
      </c>
      <c r="M9961" t="s">
        <v>171</v>
      </c>
      <c r="N9961" t="s">
        <v>24</v>
      </c>
      <c r="O9961" t="s">
        <v>191</v>
      </c>
      <c r="P9961" s="1" t="s">
        <v>33</v>
      </c>
      <c r="Q9961">
        <v>159.80000000000001</v>
      </c>
    </row>
    <row r="9962" spans="11:17" x14ac:dyDescent="0.3">
      <c r="K9962">
        <v>2023</v>
      </c>
      <c r="L9962" t="s">
        <v>36</v>
      </c>
      <c r="M9962" t="s">
        <v>171</v>
      </c>
      <c r="N9962" t="s">
        <v>9</v>
      </c>
      <c r="O9962" t="s">
        <v>188</v>
      </c>
      <c r="P9962" s="1" t="s">
        <v>30</v>
      </c>
      <c r="Q9962">
        <v>140.9</v>
      </c>
    </row>
    <row r="9963" spans="11:17" x14ac:dyDescent="0.3">
      <c r="K9963">
        <v>2023</v>
      </c>
      <c r="L9963" t="s">
        <v>36</v>
      </c>
      <c r="M9963" t="s">
        <v>171</v>
      </c>
      <c r="N9963" t="s">
        <v>9</v>
      </c>
      <c r="O9963" t="s">
        <v>188</v>
      </c>
      <c r="P9963" s="1" t="s">
        <v>34</v>
      </c>
      <c r="Q9963">
        <v>152.80000000000001</v>
      </c>
    </row>
    <row r="9964" spans="11:17" x14ac:dyDescent="0.3">
      <c r="K9964">
        <v>2023</v>
      </c>
      <c r="L9964" t="s">
        <v>36</v>
      </c>
      <c r="M9964" t="s">
        <v>171</v>
      </c>
      <c r="N9964" t="s">
        <v>9</v>
      </c>
      <c r="O9964" t="s">
        <v>188</v>
      </c>
      <c r="P9964" s="1" t="s">
        <v>33</v>
      </c>
      <c r="Q9964">
        <v>175.9</v>
      </c>
    </row>
    <row r="9965" spans="11:17" x14ac:dyDescent="0.3">
      <c r="K9965">
        <v>2023</v>
      </c>
      <c r="L9965" t="s">
        <v>38</v>
      </c>
      <c r="M9965" t="s">
        <v>172</v>
      </c>
      <c r="N9965" t="s">
        <v>3</v>
      </c>
      <c r="O9965" t="s">
        <v>188</v>
      </c>
      <c r="P9965" s="1" t="s">
        <v>30</v>
      </c>
      <c r="Q9965">
        <v>173.2</v>
      </c>
    </row>
    <row r="9966" spans="11:17" x14ac:dyDescent="0.3">
      <c r="K9966">
        <v>2023</v>
      </c>
      <c r="L9966" t="s">
        <v>38</v>
      </c>
      <c r="M9966" t="s">
        <v>172</v>
      </c>
      <c r="N9966" t="s">
        <v>3</v>
      </c>
      <c r="O9966" t="s">
        <v>188</v>
      </c>
      <c r="P9966" s="1" t="s">
        <v>34</v>
      </c>
      <c r="Q9966">
        <v>173.7</v>
      </c>
    </row>
    <row r="9967" spans="11:17" x14ac:dyDescent="0.3">
      <c r="K9967">
        <v>2023</v>
      </c>
      <c r="L9967" t="s">
        <v>38</v>
      </c>
      <c r="M9967" t="s">
        <v>172</v>
      </c>
      <c r="N9967" t="s">
        <v>3</v>
      </c>
      <c r="O9967" t="s">
        <v>188</v>
      </c>
      <c r="P9967" s="1" t="s">
        <v>33</v>
      </c>
      <c r="Q9967">
        <v>174.7</v>
      </c>
    </row>
    <row r="9968" spans="11:17" x14ac:dyDescent="0.3">
      <c r="K9968">
        <v>2023</v>
      </c>
      <c r="L9968" t="s">
        <v>38</v>
      </c>
      <c r="M9968" t="s">
        <v>172</v>
      </c>
      <c r="N9968" t="s">
        <v>17</v>
      </c>
      <c r="O9968" t="s">
        <v>189</v>
      </c>
      <c r="P9968" s="1" t="s">
        <v>30</v>
      </c>
      <c r="Q9968">
        <v>191.2</v>
      </c>
    </row>
    <row r="9969" spans="11:17" x14ac:dyDescent="0.3">
      <c r="K9969">
        <v>2023</v>
      </c>
      <c r="L9969" t="s">
        <v>38</v>
      </c>
      <c r="M9969" t="s">
        <v>172</v>
      </c>
      <c r="N9969" t="s">
        <v>17</v>
      </c>
      <c r="O9969" t="s">
        <v>189</v>
      </c>
      <c r="P9969" s="1" t="s">
        <v>34</v>
      </c>
      <c r="Q9969">
        <v>187.3</v>
      </c>
    </row>
    <row r="9970" spans="11:17" x14ac:dyDescent="0.3">
      <c r="K9970">
        <v>2023</v>
      </c>
      <c r="L9970" t="s">
        <v>38</v>
      </c>
      <c r="M9970" t="s">
        <v>172</v>
      </c>
      <c r="N9970" t="s">
        <v>17</v>
      </c>
      <c r="O9970" t="s">
        <v>189</v>
      </c>
      <c r="P9970" s="1" t="s">
        <v>33</v>
      </c>
      <c r="Q9970">
        <v>181.3</v>
      </c>
    </row>
    <row r="9971" spans="11:17" x14ac:dyDescent="0.3">
      <c r="K9971">
        <v>2023</v>
      </c>
      <c r="L9971" t="s">
        <v>38</v>
      </c>
      <c r="M9971" t="s">
        <v>172</v>
      </c>
      <c r="N9971" t="s">
        <v>19</v>
      </c>
      <c r="O9971" t="s">
        <v>189</v>
      </c>
      <c r="P9971" s="1" t="s">
        <v>30</v>
      </c>
      <c r="Q9971">
        <v>190.8</v>
      </c>
    </row>
    <row r="9972" spans="11:17" x14ac:dyDescent="0.3">
      <c r="K9972">
        <v>2023</v>
      </c>
      <c r="L9972" t="s">
        <v>38</v>
      </c>
      <c r="M9972" t="s">
        <v>172</v>
      </c>
      <c r="N9972" t="s">
        <v>19</v>
      </c>
      <c r="O9972" t="s">
        <v>189</v>
      </c>
      <c r="P9972" s="1" t="s">
        <v>34</v>
      </c>
      <c r="Q9972">
        <v>186.2</v>
      </c>
    </row>
    <row r="9973" spans="11:17" x14ac:dyDescent="0.3">
      <c r="K9973">
        <v>2023</v>
      </c>
      <c r="L9973" t="s">
        <v>38</v>
      </c>
      <c r="M9973" t="s">
        <v>172</v>
      </c>
      <c r="N9973" t="s">
        <v>19</v>
      </c>
      <c r="O9973" t="s">
        <v>189</v>
      </c>
      <c r="P9973" s="1" t="s">
        <v>33</v>
      </c>
      <c r="Q9973">
        <v>179.3</v>
      </c>
    </row>
    <row r="9974" spans="11:17" x14ac:dyDescent="0.3">
      <c r="K9974">
        <v>2023</v>
      </c>
      <c r="L9974" t="s">
        <v>38</v>
      </c>
      <c r="M9974" t="s">
        <v>172</v>
      </c>
      <c r="N9974" t="s">
        <v>26</v>
      </c>
      <c r="O9974" t="s">
        <v>26</v>
      </c>
      <c r="P9974" s="1" t="s">
        <v>30</v>
      </c>
      <c r="Q9974">
        <v>180.3</v>
      </c>
    </row>
    <row r="9975" spans="11:17" x14ac:dyDescent="0.3">
      <c r="K9975">
        <v>2023</v>
      </c>
      <c r="L9975" t="s">
        <v>38</v>
      </c>
      <c r="M9975" t="s">
        <v>172</v>
      </c>
      <c r="N9975" t="s">
        <v>26</v>
      </c>
      <c r="O9975" t="s">
        <v>26</v>
      </c>
      <c r="P9975" s="1" t="s">
        <v>34</v>
      </c>
      <c r="Q9975">
        <v>177.1</v>
      </c>
    </row>
    <row r="9976" spans="11:17" x14ac:dyDescent="0.3">
      <c r="K9976">
        <v>2023</v>
      </c>
      <c r="L9976" t="s">
        <v>38</v>
      </c>
      <c r="M9976" t="s">
        <v>172</v>
      </c>
      <c r="N9976" t="s">
        <v>26</v>
      </c>
      <c r="O9976" t="s">
        <v>26</v>
      </c>
      <c r="P9976" s="1" t="s">
        <v>33</v>
      </c>
      <c r="Q9976">
        <v>174.8</v>
      </c>
    </row>
    <row r="9977" spans="11:17" x14ac:dyDescent="0.3">
      <c r="K9977">
        <v>2023</v>
      </c>
      <c r="L9977" t="s">
        <v>38</v>
      </c>
      <c r="M9977" t="s">
        <v>172</v>
      </c>
      <c r="N9977" t="s">
        <v>5</v>
      </c>
      <c r="O9977" t="s">
        <v>188</v>
      </c>
      <c r="P9977" s="1" t="s">
        <v>30</v>
      </c>
      <c r="Q9977">
        <v>171</v>
      </c>
    </row>
    <row r="9978" spans="11:17" x14ac:dyDescent="0.3">
      <c r="K9978">
        <v>2023</v>
      </c>
      <c r="L9978" t="s">
        <v>38</v>
      </c>
      <c r="M9978" t="s">
        <v>172</v>
      </c>
      <c r="N9978" t="s">
        <v>5</v>
      </c>
      <c r="O9978" t="s">
        <v>188</v>
      </c>
      <c r="P9978" s="1" t="s">
        <v>34</v>
      </c>
      <c r="Q9978">
        <v>173.2</v>
      </c>
    </row>
    <row r="9979" spans="11:17" x14ac:dyDescent="0.3">
      <c r="K9979">
        <v>2023</v>
      </c>
      <c r="L9979" t="s">
        <v>38</v>
      </c>
      <c r="M9979" t="s">
        <v>172</v>
      </c>
      <c r="N9979" t="s">
        <v>5</v>
      </c>
      <c r="O9979" t="s">
        <v>188</v>
      </c>
      <c r="P9979" s="1" t="s">
        <v>33</v>
      </c>
      <c r="Q9979">
        <v>176.7</v>
      </c>
    </row>
    <row r="9980" spans="11:17" x14ac:dyDescent="0.3">
      <c r="K9980">
        <v>2023</v>
      </c>
      <c r="L9980" t="s">
        <v>38</v>
      </c>
      <c r="M9980" t="s">
        <v>172</v>
      </c>
      <c r="N9980" t="s">
        <v>15</v>
      </c>
      <c r="O9980" t="s">
        <v>188</v>
      </c>
      <c r="P9980" s="1" t="s">
        <v>30</v>
      </c>
      <c r="Q9980">
        <v>176.8</v>
      </c>
    </row>
    <row r="9981" spans="11:17" x14ac:dyDescent="0.3">
      <c r="K9981">
        <v>2023</v>
      </c>
      <c r="L9981" t="s">
        <v>38</v>
      </c>
      <c r="M9981" t="s">
        <v>172</v>
      </c>
      <c r="N9981" t="s">
        <v>15</v>
      </c>
      <c r="O9981" t="s">
        <v>188</v>
      </c>
      <c r="P9981" s="1" t="s">
        <v>34</v>
      </c>
      <c r="Q9981">
        <v>179.1</v>
      </c>
    </row>
    <row r="9982" spans="11:17" x14ac:dyDescent="0.3">
      <c r="K9982">
        <v>2023</v>
      </c>
      <c r="L9982" t="s">
        <v>38</v>
      </c>
      <c r="M9982" t="s">
        <v>172</v>
      </c>
      <c r="N9982" t="s">
        <v>15</v>
      </c>
      <c r="O9982" t="s">
        <v>188</v>
      </c>
      <c r="P9982" s="1" t="s">
        <v>33</v>
      </c>
      <c r="Q9982">
        <v>183.1</v>
      </c>
    </row>
    <row r="9983" spans="11:17" x14ac:dyDescent="0.3">
      <c r="K9983">
        <v>2023</v>
      </c>
      <c r="L9983" t="s">
        <v>38</v>
      </c>
      <c r="M9983" t="s">
        <v>172</v>
      </c>
      <c r="N9983" t="s">
        <v>18</v>
      </c>
      <c r="O9983" t="s">
        <v>189</v>
      </c>
      <c r="P9983" s="1" t="s">
        <v>30</v>
      </c>
      <c r="Q9983">
        <v>187.9</v>
      </c>
    </row>
    <row r="9984" spans="11:17" x14ac:dyDescent="0.3">
      <c r="K9984">
        <v>2023</v>
      </c>
      <c r="L9984" t="s">
        <v>38</v>
      </c>
      <c r="M9984" t="s">
        <v>172</v>
      </c>
      <c r="N9984" t="s">
        <v>18</v>
      </c>
      <c r="O9984" t="s">
        <v>189</v>
      </c>
      <c r="P9984" s="1" t="s">
        <v>34</v>
      </c>
      <c r="Q9984">
        <v>179.7</v>
      </c>
    </row>
    <row r="9985" spans="11:17" x14ac:dyDescent="0.3">
      <c r="K9985">
        <v>2023</v>
      </c>
      <c r="L9985" t="s">
        <v>38</v>
      </c>
      <c r="M9985" t="s">
        <v>172</v>
      </c>
      <c r="N9985" t="s">
        <v>18</v>
      </c>
      <c r="O9985" t="s">
        <v>189</v>
      </c>
      <c r="P9985" s="1" t="s">
        <v>33</v>
      </c>
      <c r="Q9985">
        <v>168.1</v>
      </c>
    </row>
    <row r="9986" spans="11:17" x14ac:dyDescent="0.3">
      <c r="K9986">
        <v>2023</v>
      </c>
      <c r="L9986" t="s">
        <v>38</v>
      </c>
      <c r="M9986" t="s">
        <v>172</v>
      </c>
      <c r="N9986" t="s">
        <v>8</v>
      </c>
      <c r="O9986" t="s">
        <v>188</v>
      </c>
      <c r="P9986" s="1" t="s">
        <v>30</v>
      </c>
      <c r="Q9986">
        <v>169</v>
      </c>
    </row>
    <row r="9987" spans="11:17" x14ac:dyDescent="0.3">
      <c r="K9987">
        <v>2023</v>
      </c>
      <c r="L9987" t="s">
        <v>38</v>
      </c>
      <c r="M9987" t="s">
        <v>172</v>
      </c>
      <c r="N9987" t="s">
        <v>8</v>
      </c>
      <c r="O9987" t="s">
        <v>188</v>
      </c>
      <c r="P9987" s="1" t="s">
        <v>34</v>
      </c>
      <c r="Q9987">
        <v>172.2</v>
      </c>
    </row>
    <row r="9988" spans="11:17" x14ac:dyDescent="0.3">
      <c r="K9988">
        <v>2023</v>
      </c>
      <c r="L9988" t="s">
        <v>38</v>
      </c>
      <c r="M9988" t="s">
        <v>172</v>
      </c>
      <c r="N9988" t="s">
        <v>8</v>
      </c>
      <c r="O9988" t="s">
        <v>188</v>
      </c>
      <c r="P9988" s="1" t="s">
        <v>33</v>
      </c>
      <c r="Q9988">
        <v>175.8</v>
      </c>
    </row>
    <row r="9989" spans="11:17" x14ac:dyDescent="0.3">
      <c r="K9989">
        <v>2023</v>
      </c>
      <c r="L9989" t="s">
        <v>38</v>
      </c>
      <c r="M9989" t="s">
        <v>172</v>
      </c>
      <c r="N9989" t="s">
        <v>21</v>
      </c>
      <c r="O9989" t="s">
        <v>190</v>
      </c>
      <c r="P9989" s="1" t="s">
        <v>30</v>
      </c>
      <c r="Q9989">
        <v>182.5</v>
      </c>
    </row>
    <row r="9990" spans="11:17" x14ac:dyDescent="0.3">
      <c r="K9990">
        <v>2023</v>
      </c>
      <c r="L9990" t="s">
        <v>38</v>
      </c>
      <c r="M9990" t="s">
        <v>172</v>
      </c>
      <c r="N9990" t="s">
        <v>21</v>
      </c>
      <c r="O9990" t="s">
        <v>190</v>
      </c>
      <c r="P9990" s="1" t="s">
        <v>34</v>
      </c>
      <c r="Q9990">
        <v>182.8</v>
      </c>
    </row>
    <row r="9991" spans="11:17" x14ac:dyDescent="0.3">
      <c r="K9991">
        <v>2023</v>
      </c>
      <c r="L9991" t="s">
        <v>38</v>
      </c>
      <c r="M9991" t="s">
        <v>172</v>
      </c>
      <c r="N9991" t="s">
        <v>21</v>
      </c>
      <c r="O9991" t="s">
        <v>190</v>
      </c>
      <c r="P9991" s="1" t="s">
        <v>33</v>
      </c>
      <c r="Q9991">
        <v>183.4</v>
      </c>
    </row>
    <row r="9992" spans="11:17" x14ac:dyDescent="0.3">
      <c r="K9992">
        <v>2023</v>
      </c>
      <c r="L9992" t="s">
        <v>38</v>
      </c>
      <c r="M9992" t="s">
        <v>172</v>
      </c>
      <c r="N9992" t="s">
        <v>29</v>
      </c>
      <c r="O9992" t="s">
        <v>206</v>
      </c>
      <c r="P9992" s="1" t="s">
        <v>30</v>
      </c>
      <c r="Q9992">
        <v>179.8</v>
      </c>
    </row>
    <row r="9993" spans="11:17" x14ac:dyDescent="0.3">
      <c r="K9993">
        <v>2023</v>
      </c>
      <c r="L9993" t="s">
        <v>38</v>
      </c>
      <c r="M9993" t="s">
        <v>172</v>
      </c>
      <c r="N9993" t="s">
        <v>29</v>
      </c>
      <c r="O9993" t="s">
        <v>206</v>
      </c>
      <c r="P9993" s="1" t="s">
        <v>34</v>
      </c>
      <c r="Q9993">
        <v>179.1</v>
      </c>
    </row>
    <row r="9994" spans="11:17" x14ac:dyDescent="0.3">
      <c r="K9994">
        <v>2023</v>
      </c>
      <c r="L9994" t="s">
        <v>38</v>
      </c>
      <c r="M9994" t="s">
        <v>172</v>
      </c>
      <c r="N9994" t="s">
        <v>29</v>
      </c>
      <c r="O9994" t="s">
        <v>206</v>
      </c>
      <c r="P9994" s="1" t="s">
        <v>33</v>
      </c>
      <c r="Q9994">
        <v>178.2</v>
      </c>
    </row>
    <row r="9995" spans="11:17" x14ac:dyDescent="0.3">
      <c r="K9995">
        <v>2023</v>
      </c>
      <c r="L9995" t="s">
        <v>38</v>
      </c>
      <c r="M9995" t="s">
        <v>172</v>
      </c>
      <c r="N9995" t="s">
        <v>23</v>
      </c>
      <c r="O9995" t="s">
        <v>23</v>
      </c>
      <c r="P9995" s="1" t="s">
        <v>30</v>
      </c>
      <c r="Q9995">
        <v>187.8</v>
      </c>
    </row>
    <row r="9996" spans="11:17" x14ac:dyDescent="0.3">
      <c r="K9996">
        <v>2023</v>
      </c>
      <c r="L9996" t="s">
        <v>38</v>
      </c>
      <c r="M9996" t="s">
        <v>172</v>
      </c>
      <c r="N9996" t="s">
        <v>23</v>
      </c>
      <c r="O9996" t="s">
        <v>23</v>
      </c>
      <c r="P9996" s="1" t="s">
        <v>34</v>
      </c>
      <c r="Q9996">
        <v>185.7</v>
      </c>
    </row>
    <row r="9997" spans="11:17" x14ac:dyDescent="0.3">
      <c r="K9997">
        <v>2023</v>
      </c>
      <c r="L9997" t="s">
        <v>38</v>
      </c>
      <c r="M9997" t="s">
        <v>172</v>
      </c>
      <c r="N9997" t="s">
        <v>23</v>
      </c>
      <c r="O9997" t="s">
        <v>23</v>
      </c>
      <c r="P9997" s="1" t="s">
        <v>33</v>
      </c>
      <c r="Q9997">
        <v>182.2</v>
      </c>
    </row>
    <row r="9998" spans="11:17" x14ac:dyDescent="0.3">
      <c r="K9998">
        <v>2023</v>
      </c>
      <c r="L9998" t="s">
        <v>38</v>
      </c>
      <c r="M9998" t="s">
        <v>172</v>
      </c>
      <c r="N9998" t="s">
        <v>22</v>
      </c>
      <c r="O9998" t="s">
        <v>20</v>
      </c>
      <c r="P9998" s="1" t="s">
        <v>30</v>
      </c>
      <c r="Q9998">
        <v>179.8</v>
      </c>
    </row>
    <row r="9999" spans="11:17" x14ac:dyDescent="0.3">
      <c r="K9999">
        <v>2023</v>
      </c>
      <c r="L9999" t="s">
        <v>38</v>
      </c>
      <c r="M9999" t="s">
        <v>172</v>
      </c>
      <c r="N9999" t="s">
        <v>22</v>
      </c>
      <c r="O9999" t="s">
        <v>20</v>
      </c>
      <c r="P9999" s="1" t="s">
        <v>34</v>
      </c>
      <c r="Q9999">
        <v>175.2</v>
      </c>
    </row>
    <row r="10000" spans="11:17" x14ac:dyDescent="0.3">
      <c r="K10000">
        <v>2023</v>
      </c>
      <c r="L10000" t="s">
        <v>38</v>
      </c>
      <c r="M10000" t="s">
        <v>172</v>
      </c>
      <c r="N10000" t="s">
        <v>22</v>
      </c>
      <c r="O10000" t="s">
        <v>20</v>
      </c>
      <c r="P10000" s="1" t="s">
        <v>33</v>
      </c>
      <c r="Q10000">
        <v>170.1</v>
      </c>
    </row>
    <row r="10001" spans="11:17" x14ac:dyDescent="0.3">
      <c r="K10001">
        <v>2023</v>
      </c>
      <c r="L10001" t="s">
        <v>38</v>
      </c>
      <c r="M10001" t="s">
        <v>172</v>
      </c>
      <c r="N10001" t="s">
        <v>20</v>
      </c>
      <c r="O10001" t="s">
        <v>20</v>
      </c>
      <c r="P10001" s="1" t="s">
        <v>30</v>
      </c>
      <c r="Q10001">
        <v>0</v>
      </c>
    </row>
    <row r="10002" spans="11:17" x14ac:dyDescent="0.3">
      <c r="K10002">
        <v>2023</v>
      </c>
      <c r="L10002" t="s">
        <v>38</v>
      </c>
      <c r="M10002" t="s">
        <v>172</v>
      </c>
      <c r="N10002" t="s">
        <v>20</v>
      </c>
      <c r="O10002" t="s">
        <v>20</v>
      </c>
      <c r="P10002" s="1" t="s">
        <v>34</v>
      </c>
      <c r="Q10002">
        <v>175.6</v>
      </c>
    </row>
    <row r="10003" spans="11:17" x14ac:dyDescent="0.3">
      <c r="K10003">
        <v>2023</v>
      </c>
      <c r="L10003" t="s">
        <v>38</v>
      </c>
      <c r="M10003" t="s">
        <v>172</v>
      </c>
      <c r="N10003" t="s">
        <v>20</v>
      </c>
      <c r="O10003" t="s">
        <v>20</v>
      </c>
      <c r="P10003" s="1" t="s">
        <v>33</v>
      </c>
      <c r="Q10003">
        <v>175.6</v>
      </c>
    </row>
    <row r="10004" spans="11:17" x14ac:dyDescent="0.3">
      <c r="K10004">
        <v>2023</v>
      </c>
      <c r="L10004" t="s">
        <v>38</v>
      </c>
      <c r="M10004" t="s">
        <v>172</v>
      </c>
      <c r="N10004" t="s">
        <v>4</v>
      </c>
      <c r="O10004" t="s">
        <v>188</v>
      </c>
      <c r="P10004" s="1" t="s">
        <v>30</v>
      </c>
      <c r="Q10004">
        <v>211.5</v>
      </c>
    </row>
    <row r="10005" spans="11:17" x14ac:dyDescent="0.3">
      <c r="K10005">
        <v>2023</v>
      </c>
      <c r="L10005" t="s">
        <v>38</v>
      </c>
      <c r="M10005" t="s">
        <v>172</v>
      </c>
      <c r="N10005" t="s">
        <v>4</v>
      </c>
      <c r="O10005" t="s">
        <v>188</v>
      </c>
      <c r="P10005" s="1" t="s">
        <v>34</v>
      </c>
      <c r="Q10005">
        <v>214.3</v>
      </c>
    </row>
    <row r="10006" spans="11:17" x14ac:dyDescent="0.3">
      <c r="K10006">
        <v>2023</v>
      </c>
      <c r="L10006" t="s">
        <v>38</v>
      </c>
      <c r="M10006" t="s">
        <v>172</v>
      </c>
      <c r="N10006" t="s">
        <v>4</v>
      </c>
      <c r="O10006" t="s">
        <v>188</v>
      </c>
      <c r="P10006" s="1" t="s">
        <v>33</v>
      </c>
      <c r="Q10006">
        <v>219.4</v>
      </c>
    </row>
    <row r="10007" spans="11:17" x14ac:dyDescent="0.3">
      <c r="K10007">
        <v>2023</v>
      </c>
      <c r="L10007" t="s">
        <v>38</v>
      </c>
      <c r="M10007" t="s">
        <v>172</v>
      </c>
      <c r="N10007" t="s">
        <v>6</v>
      </c>
      <c r="O10007" t="s">
        <v>188</v>
      </c>
      <c r="P10007" s="1" t="s">
        <v>30</v>
      </c>
      <c r="Q10007">
        <v>179.6</v>
      </c>
    </row>
    <row r="10008" spans="11:17" x14ac:dyDescent="0.3">
      <c r="K10008">
        <v>2023</v>
      </c>
      <c r="L10008" t="s">
        <v>38</v>
      </c>
      <c r="M10008" t="s">
        <v>172</v>
      </c>
      <c r="N10008" t="s">
        <v>6</v>
      </c>
      <c r="O10008" t="s">
        <v>188</v>
      </c>
      <c r="P10008" s="1" t="s">
        <v>34</v>
      </c>
      <c r="Q10008">
        <v>179.5</v>
      </c>
    </row>
    <row r="10009" spans="11:17" x14ac:dyDescent="0.3">
      <c r="K10009">
        <v>2023</v>
      </c>
      <c r="L10009" t="s">
        <v>38</v>
      </c>
      <c r="M10009" t="s">
        <v>172</v>
      </c>
      <c r="N10009" t="s">
        <v>6</v>
      </c>
      <c r="O10009" t="s">
        <v>188</v>
      </c>
      <c r="P10009" s="1" t="s">
        <v>33</v>
      </c>
      <c r="Q10009">
        <v>179.4</v>
      </c>
    </row>
    <row r="10010" spans="11:17" x14ac:dyDescent="0.3">
      <c r="K10010">
        <v>2023</v>
      </c>
      <c r="L10010" t="s">
        <v>38</v>
      </c>
      <c r="M10010" t="s">
        <v>172</v>
      </c>
      <c r="N10010" t="s">
        <v>28</v>
      </c>
      <c r="O10010" t="s">
        <v>192</v>
      </c>
      <c r="P10010" s="1" t="s">
        <v>30</v>
      </c>
      <c r="Q10010">
        <v>179.5</v>
      </c>
    </row>
    <row r="10011" spans="11:17" x14ac:dyDescent="0.3">
      <c r="K10011">
        <v>2023</v>
      </c>
      <c r="L10011" t="s">
        <v>38</v>
      </c>
      <c r="M10011" t="s">
        <v>172</v>
      </c>
      <c r="N10011" t="s">
        <v>28</v>
      </c>
      <c r="O10011" t="s">
        <v>192</v>
      </c>
      <c r="P10011" s="1" t="s">
        <v>34</v>
      </c>
      <c r="Q10011">
        <v>175.7</v>
      </c>
    </row>
    <row r="10012" spans="11:17" x14ac:dyDescent="0.3">
      <c r="K10012">
        <v>2023</v>
      </c>
      <c r="L10012" t="s">
        <v>38</v>
      </c>
      <c r="M10012" t="s">
        <v>172</v>
      </c>
      <c r="N10012" t="s">
        <v>28</v>
      </c>
      <c r="O10012" t="s">
        <v>192</v>
      </c>
      <c r="P10012" s="1" t="s">
        <v>33</v>
      </c>
      <c r="Q10012">
        <v>171.6</v>
      </c>
    </row>
    <row r="10013" spans="11:17" x14ac:dyDescent="0.3">
      <c r="K10013">
        <v>2023</v>
      </c>
      <c r="L10013" t="s">
        <v>38</v>
      </c>
      <c r="M10013" t="s">
        <v>172</v>
      </c>
      <c r="N10013" t="s">
        <v>13</v>
      </c>
      <c r="O10013" t="s">
        <v>188</v>
      </c>
      <c r="P10013" s="1" t="s">
        <v>30</v>
      </c>
      <c r="Q10013">
        <v>178.7</v>
      </c>
    </row>
    <row r="10014" spans="11:17" x14ac:dyDescent="0.3">
      <c r="K10014">
        <v>2023</v>
      </c>
      <c r="L10014" t="s">
        <v>38</v>
      </c>
      <c r="M10014" t="s">
        <v>172</v>
      </c>
      <c r="N10014" t="s">
        <v>13</v>
      </c>
      <c r="O10014" t="s">
        <v>188</v>
      </c>
      <c r="P10014" s="1" t="s">
        <v>34</v>
      </c>
      <c r="Q10014">
        <v>173.4</v>
      </c>
    </row>
    <row r="10015" spans="11:17" x14ac:dyDescent="0.3">
      <c r="K10015">
        <v>2023</v>
      </c>
      <c r="L10015" t="s">
        <v>38</v>
      </c>
      <c r="M10015" t="s">
        <v>172</v>
      </c>
      <c r="N10015" t="s">
        <v>13</v>
      </c>
      <c r="O10015" t="s">
        <v>188</v>
      </c>
      <c r="P10015" s="1" t="s">
        <v>33</v>
      </c>
      <c r="Q10015">
        <v>165.9</v>
      </c>
    </row>
    <row r="10016" spans="11:17" x14ac:dyDescent="0.3">
      <c r="K10016">
        <v>2023</v>
      </c>
      <c r="L10016" t="s">
        <v>38</v>
      </c>
      <c r="M10016" t="s">
        <v>172</v>
      </c>
      <c r="N10016" t="s">
        <v>7</v>
      </c>
      <c r="O10016" t="s">
        <v>188</v>
      </c>
      <c r="P10016" s="1" t="s">
        <v>30</v>
      </c>
      <c r="Q10016">
        <v>173.3</v>
      </c>
    </row>
    <row r="10017" spans="11:17" x14ac:dyDescent="0.3">
      <c r="K10017">
        <v>2023</v>
      </c>
      <c r="L10017" t="s">
        <v>38</v>
      </c>
      <c r="M10017" t="s">
        <v>172</v>
      </c>
      <c r="N10017" t="s">
        <v>7</v>
      </c>
      <c r="O10017" t="s">
        <v>188</v>
      </c>
      <c r="P10017" s="1" t="s">
        <v>34</v>
      </c>
      <c r="Q10017">
        <v>170</v>
      </c>
    </row>
    <row r="10018" spans="11:17" x14ac:dyDescent="0.3">
      <c r="K10018">
        <v>2023</v>
      </c>
      <c r="L10018" t="s">
        <v>38</v>
      </c>
      <c r="M10018" t="s">
        <v>172</v>
      </c>
      <c r="N10018" t="s">
        <v>7</v>
      </c>
      <c r="O10018" t="s">
        <v>188</v>
      </c>
      <c r="P10018" s="1" t="s">
        <v>33</v>
      </c>
      <c r="Q10018">
        <v>164.4</v>
      </c>
    </row>
    <row r="10019" spans="11:17" x14ac:dyDescent="0.3">
      <c r="K10019">
        <v>2023</v>
      </c>
      <c r="L10019" t="s">
        <v>38</v>
      </c>
      <c r="M10019" t="s">
        <v>172</v>
      </c>
      <c r="N10019" t="s">
        <v>16</v>
      </c>
      <c r="O10019" t="s">
        <v>192</v>
      </c>
      <c r="P10019" s="1" t="s">
        <v>30</v>
      </c>
      <c r="Q10019">
        <v>199.9</v>
      </c>
    </row>
    <row r="10020" spans="11:17" x14ac:dyDescent="0.3">
      <c r="K10020">
        <v>2023</v>
      </c>
      <c r="L10020" t="s">
        <v>38</v>
      </c>
      <c r="M10020" t="s">
        <v>172</v>
      </c>
      <c r="N10020" t="s">
        <v>16</v>
      </c>
      <c r="O10020" t="s">
        <v>192</v>
      </c>
      <c r="P10020" s="1" t="s">
        <v>34</v>
      </c>
      <c r="Q10020">
        <v>201</v>
      </c>
    </row>
    <row r="10021" spans="11:17" x14ac:dyDescent="0.3">
      <c r="K10021">
        <v>2023</v>
      </c>
      <c r="L10021" t="s">
        <v>38</v>
      </c>
      <c r="M10021" t="s">
        <v>172</v>
      </c>
      <c r="N10021" t="s">
        <v>16</v>
      </c>
      <c r="O10021" t="s">
        <v>192</v>
      </c>
      <c r="P10021" s="1" t="s">
        <v>33</v>
      </c>
      <c r="Q10021">
        <v>204.2</v>
      </c>
    </row>
    <row r="10022" spans="11:17" x14ac:dyDescent="0.3">
      <c r="K10022">
        <v>2023</v>
      </c>
      <c r="L10022" t="s">
        <v>38</v>
      </c>
      <c r="M10022" t="s">
        <v>172</v>
      </c>
      <c r="N10022" t="s">
        <v>27</v>
      </c>
      <c r="O10022" t="s">
        <v>192</v>
      </c>
      <c r="P10022" s="1" t="s">
        <v>30</v>
      </c>
      <c r="Q10022">
        <v>184.9</v>
      </c>
    </row>
    <row r="10023" spans="11:17" x14ac:dyDescent="0.3">
      <c r="K10023">
        <v>2023</v>
      </c>
      <c r="L10023" t="s">
        <v>38</v>
      </c>
      <c r="M10023" t="s">
        <v>172</v>
      </c>
      <c r="N10023" t="s">
        <v>27</v>
      </c>
      <c r="O10023" t="s">
        <v>192</v>
      </c>
      <c r="P10023" s="1" t="s">
        <v>34</v>
      </c>
      <c r="Q10023">
        <v>185.2</v>
      </c>
    </row>
    <row r="10024" spans="11:17" x14ac:dyDescent="0.3">
      <c r="K10024">
        <v>2023</v>
      </c>
      <c r="L10024" t="s">
        <v>38</v>
      </c>
      <c r="M10024" t="s">
        <v>172</v>
      </c>
      <c r="N10024" t="s">
        <v>27</v>
      </c>
      <c r="O10024" t="s">
        <v>192</v>
      </c>
      <c r="P10024" s="1" t="s">
        <v>33</v>
      </c>
      <c r="Q10024">
        <v>185.6</v>
      </c>
    </row>
    <row r="10025" spans="11:17" x14ac:dyDescent="0.3">
      <c r="K10025">
        <v>2023</v>
      </c>
      <c r="L10025" t="s">
        <v>38</v>
      </c>
      <c r="M10025" t="s">
        <v>172</v>
      </c>
      <c r="N10025" t="s">
        <v>14</v>
      </c>
      <c r="O10025" t="s">
        <v>188</v>
      </c>
      <c r="P10025" s="1" t="s">
        <v>30</v>
      </c>
      <c r="Q10025">
        <v>191.1</v>
      </c>
    </row>
    <row r="10026" spans="11:17" x14ac:dyDescent="0.3">
      <c r="K10026">
        <v>2023</v>
      </c>
      <c r="L10026" t="s">
        <v>38</v>
      </c>
      <c r="M10026" t="s">
        <v>172</v>
      </c>
      <c r="N10026" t="s">
        <v>14</v>
      </c>
      <c r="O10026" t="s">
        <v>188</v>
      </c>
      <c r="P10026" s="1" t="s">
        <v>34</v>
      </c>
      <c r="Q10026">
        <v>194.2</v>
      </c>
    </row>
    <row r="10027" spans="11:17" x14ac:dyDescent="0.3">
      <c r="K10027">
        <v>2023</v>
      </c>
      <c r="L10027" t="s">
        <v>38</v>
      </c>
      <c r="M10027" t="s">
        <v>172</v>
      </c>
      <c r="N10027" t="s">
        <v>14</v>
      </c>
      <c r="O10027" t="s">
        <v>188</v>
      </c>
      <c r="P10027" s="1" t="s">
        <v>33</v>
      </c>
      <c r="Q10027">
        <v>197.7</v>
      </c>
    </row>
    <row r="10028" spans="11:17" x14ac:dyDescent="0.3">
      <c r="K10028">
        <v>2023</v>
      </c>
      <c r="L10028" t="s">
        <v>38</v>
      </c>
      <c r="M10028" t="s">
        <v>172</v>
      </c>
      <c r="N10028" t="s">
        <v>10</v>
      </c>
      <c r="O10028" t="s">
        <v>188</v>
      </c>
      <c r="P10028" s="1" t="s">
        <v>30</v>
      </c>
      <c r="Q10028">
        <v>174.9</v>
      </c>
    </row>
    <row r="10029" spans="11:17" x14ac:dyDescent="0.3">
      <c r="K10029">
        <v>2023</v>
      </c>
      <c r="L10029" t="s">
        <v>38</v>
      </c>
      <c r="M10029" t="s">
        <v>172</v>
      </c>
      <c r="N10029" t="s">
        <v>10</v>
      </c>
      <c r="O10029" t="s">
        <v>188</v>
      </c>
      <c r="P10029" s="1" t="s">
        <v>34</v>
      </c>
      <c r="Q10029">
        <v>175.6</v>
      </c>
    </row>
    <row r="10030" spans="11:17" x14ac:dyDescent="0.3">
      <c r="K10030">
        <v>2023</v>
      </c>
      <c r="L10030" t="s">
        <v>38</v>
      </c>
      <c r="M10030" t="s">
        <v>172</v>
      </c>
      <c r="N10030" t="s">
        <v>10</v>
      </c>
      <c r="O10030" t="s">
        <v>188</v>
      </c>
      <c r="P10030" s="1" t="s">
        <v>33</v>
      </c>
      <c r="Q10030">
        <v>176.9</v>
      </c>
    </row>
    <row r="10031" spans="11:17" x14ac:dyDescent="0.3">
      <c r="K10031">
        <v>2023</v>
      </c>
      <c r="L10031" t="s">
        <v>38</v>
      </c>
      <c r="M10031" t="s">
        <v>172</v>
      </c>
      <c r="N10031" t="s">
        <v>25</v>
      </c>
      <c r="O10031" t="s">
        <v>195</v>
      </c>
      <c r="P10031" s="1" t="s">
        <v>30</v>
      </c>
      <c r="Q10031">
        <v>173.8</v>
      </c>
    </row>
    <row r="10032" spans="11:17" x14ac:dyDescent="0.3">
      <c r="K10032">
        <v>2023</v>
      </c>
      <c r="L10032" t="s">
        <v>38</v>
      </c>
      <c r="M10032" t="s">
        <v>172</v>
      </c>
      <c r="N10032" t="s">
        <v>25</v>
      </c>
      <c r="O10032" t="s">
        <v>195</v>
      </c>
      <c r="P10032" s="1" t="s">
        <v>34</v>
      </c>
      <c r="Q10032">
        <v>171.2</v>
      </c>
    </row>
    <row r="10033" spans="11:17" x14ac:dyDescent="0.3">
      <c r="K10033">
        <v>2023</v>
      </c>
      <c r="L10033" t="s">
        <v>38</v>
      </c>
      <c r="M10033" t="s">
        <v>172</v>
      </c>
      <c r="N10033" t="s">
        <v>25</v>
      </c>
      <c r="O10033" t="s">
        <v>195</v>
      </c>
      <c r="P10033" s="1" t="s">
        <v>33</v>
      </c>
      <c r="Q10033">
        <v>169.2</v>
      </c>
    </row>
    <row r="10034" spans="11:17" x14ac:dyDescent="0.3">
      <c r="K10034">
        <v>2023</v>
      </c>
      <c r="L10034" t="s">
        <v>38</v>
      </c>
      <c r="M10034" t="s">
        <v>172</v>
      </c>
      <c r="N10034" t="s">
        <v>12</v>
      </c>
      <c r="O10034" t="s">
        <v>188</v>
      </c>
      <c r="P10034" s="1" t="s">
        <v>30</v>
      </c>
      <c r="Q10034">
        <v>221</v>
      </c>
    </row>
    <row r="10035" spans="11:17" x14ac:dyDescent="0.3">
      <c r="K10035">
        <v>2023</v>
      </c>
      <c r="L10035" t="s">
        <v>38</v>
      </c>
      <c r="M10035" t="s">
        <v>172</v>
      </c>
      <c r="N10035" t="s">
        <v>12</v>
      </c>
      <c r="O10035" t="s">
        <v>188</v>
      </c>
      <c r="P10035" s="1" t="s">
        <v>34</v>
      </c>
      <c r="Q10035">
        <v>218</v>
      </c>
    </row>
    <row r="10036" spans="11:17" x14ac:dyDescent="0.3">
      <c r="K10036">
        <v>2023</v>
      </c>
      <c r="L10036" t="s">
        <v>38</v>
      </c>
      <c r="M10036" t="s">
        <v>172</v>
      </c>
      <c r="N10036" t="s">
        <v>12</v>
      </c>
      <c r="O10036" t="s">
        <v>188</v>
      </c>
      <c r="P10036" s="1" t="s">
        <v>33</v>
      </c>
      <c r="Q10036">
        <v>211.9</v>
      </c>
    </row>
    <row r="10037" spans="11:17" x14ac:dyDescent="0.3">
      <c r="K10037">
        <v>2023</v>
      </c>
      <c r="L10037" t="s">
        <v>38</v>
      </c>
      <c r="M10037" t="s">
        <v>172</v>
      </c>
      <c r="N10037" t="s">
        <v>11</v>
      </c>
      <c r="O10037" t="s">
        <v>188</v>
      </c>
      <c r="P10037" s="1" t="s">
        <v>30</v>
      </c>
      <c r="Q10037">
        <v>121.9</v>
      </c>
    </row>
    <row r="10038" spans="11:17" x14ac:dyDescent="0.3">
      <c r="K10038">
        <v>2023</v>
      </c>
      <c r="L10038" t="s">
        <v>38</v>
      </c>
      <c r="M10038" t="s">
        <v>172</v>
      </c>
      <c r="N10038" t="s">
        <v>11</v>
      </c>
      <c r="O10038" t="s">
        <v>188</v>
      </c>
      <c r="P10038" s="1" t="s">
        <v>34</v>
      </c>
      <c r="Q10038">
        <v>122.7</v>
      </c>
    </row>
    <row r="10039" spans="11:17" x14ac:dyDescent="0.3">
      <c r="K10039">
        <v>2023</v>
      </c>
      <c r="L10039" t="s">
        <v>38</v>
      </c>
      <c r="M10039" t="s">
        <v>172</v>
      </c>
      <c r="N10039" t="s">
        <v>11</v>
      </c>
      <c r="O10039" t="s">
        <v>188</v>
      </c>
      <c r="P10039" s="1" t="s">
        <v>33</v>
      </c>
      <c r="Q10039">
        <v>124.2</v>
      </c>
    </row>
    <row r="10040" spans="11:17" x14ac:dyDescent="0.3">
      <c r="K10040">
        <v>2023</v>
      </c>
      <c r="L10040" t="s">
        <v>38</v>
      </c>
      <c r="M10040" t="s">
        <v>172</v>
      </c>
      <c r="N10040" t="s">
        <v>24</v>
      </c>
      <c r="O10040" t="s">
        <v>191</v>
      </c>
      <c r="P10040" s="1" t="s">
        <v>30</v>
      </c>
      <c r="Q10040">
        <v>169.7</v>
      </c>
    </row>
    <row r="10041" spans="11:17" x14ac:dyDescent="0.3">
      <c r="K10041">
        <v>2023</v>
      </c>
      <c r="L10041" t="s">
        <v>38</v>
      </c>
      <c r="M10041" t="s">
        <v>172</v>
      </c>
      <c r="N10041" t="s">
        <v>24</v>
      </c>
      <c r="O10041" t="s">
        <v>191</v>
      </c>
      <c r="P10041" s="1" t="s">
        <v>34</v>
      </c>
      <c r="Q10041">
        <v>164.8</v>
      </c>
    </row>
    <row r="10042" spans="11:17" x14ac:dyDescent="0.3">
      <c r="K10042">
        <v>2023</v>
      </c>
      <c r="L10042" t="s">
        <v>38</v>
      </c>
      <c r="M10042" t="s">
        <v>172</v>
      </c>
      <c r="N10042" t="s">
        <v>24</v>
      </c>
      <c r="O10042" t="s">
        <v>191</v>
      </c>
      <c r="P10042" s="1" t="s">
        <v>33</v>
      </c>
      <c r="Q10042">
        <v>160.4</v>
      </c>
    </row>
    <row r="10043" spans="11:17" x14ac:dyDescent="0.3">
      <c r="K10043">
        <v>2023</v>
      </c>
      <c r="L10043" t="s">
        <v>38</v>
      </c>
      <c r="M10043" t="s">
        <v>172</v>
      </c>
      <c r="N10043" t="s">
        <v>9</v>
      </c>
      <c r="O10043" t="s">
        <v>188</v>
      </c>
      <c r="P10043" s="1" t="s">
        <v>30</v>
      </c>
      <c r="Q10043">
        <v>148.69999999999999</v>
      </c>
    </row>
    <row r="10044" spans="11:17" x14ac:dyDescent="0.3">
      <c r="K10044">
        <v>2023</v>
      </c>
      <c r="L10044" t="s">
        <v>38</v>
      </c>
      <c r="M10044" t="s">
        <v>172</v>
      </c>
      <c r="N10044" t="s">
        <v>9</v>
      </c>
      <c r="O10044" t="s">
        <v>188</v>
      </c>
      <c r="P10044" s="1" t="s">
        <v>34</v>
      </c>
      <c r="Q10044">
        <v>161</v>
      </c>
    </row>
    <row r="10045" spans="11:17" x14ac:dyDescent="0.3">
      <c r="K10045">
        <v>2023</v>
      </c>
      <c r="L10045" t="s">
        <v>38</v>
      </c>
      <c r="M10045" t="s">
        <v>172</v>
      </c>
      <c r="N10045" t="s">
        <v>9</v>
      </c>
      <c r="O10045" t="s">
        <v>188</v>
      </c>
      <c r="P10045" s="1" t="s">
        <v>33</v>
      </c>
      <c r="Q10045">
        <v>185</v>
      </c>
    </row>
  </sheetData>
  <phoneticPr fontId="8"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2EBA-D6E2-4B17-B2B0-175137DF9E3A}">
  <dimension ref="A1:I32"/>
  <sheetViews>
    <sheetView workbookViewId="0">
      <selection activeCell="H34" sqref="H34"/>
    </sheetView>
  </sheetViews>
  <sheetFormatPr defaultRowHeight="14.4" x14ac:dyDescent="0.3"/>
  <cols>
    <col min="1" max="1" width="30.44140625" bestFit="1" customWidth="1"/>
    <col min="2" max="2" width="16.109375" bestFit="1" customWidth="1"/>
    <col min="3" max="3" width="21.44140625" bestFit="1" customWidth="1"/>
    <col min="4" max="4" width="15.88671875" bestFit="1" customWidth="1"/>
    <col min="5" max="5" width="7" bestFit="1" customWidth="1"/>
    <col min="6" max="6" width="30.44140625" bestFit="1" customWidth="1"/>
    <col min="7" max="7" width="16.109375" bestFit="1" customWidth="1"/>
    <col min="8" max="8" width="21.44140625" bestFit="1" customWidth="1"/>
    <col min="9" max="9" width="15.88671875" bestFit="1" customWidth="1"/>
    <col min="10" max="31" width="7" bestFit="1" customWidth="1"/>
    <col min="32" max="34" width="6.6640625" bestFit="1" customWidth="1"/>
    <col min="35" max="43" width="7" bestFit="1" customWidth="1"/>
    <col min="44" max="44" width="6.44140625" bestFit="1" customWidth="1"/>
    <col min="45" max="50" width="7" bestFit="1" customWidth="1"/>
    <col min="51" max="51" width="6.44140625" bestFit="1" customWidth="1"/>
    <col min="52" max="60" width="7" bestFit="1" customWidth="1"/>
    <col min="61" max="61" width="5.88671875" bestFit="1" customWidth="1"/>
    <col min="62" max="70" width="7" bestFit="1" customWidth="1"/>
    <col min="71" max="71" width="6.5546875" bestFit="1" customWidth="1"/>
    <col min="72" max="73" width="7" bestFit="1" customWidth="1"/>
    <col min="74" max="84" width="7.109375" bestFit="1" customWidth="1"/>
    <col min="85" max="95" width="7.44140625" bestFit="1" customWidth="1"/>
    <col min="96" max="105" width="7.109375" bestFit="1" customWidth="1"/>
    <col min="106" max="111" width="7" bestFit="1" customWidth="1"/>
    <col min="112" max="112" width="6.5546875" bestFit="1" customWidth="1"/>
    <col min="113" max="118" width="7" bestFit="1" customWidth="1"/>
    <col min="119" max="119" width="6.77734375" bestFit="1" customWidth="1"/>
    <col min="120" max="120" width="7" bestFit="1" customWidth="1"/>
    <col min="121" max="121" width="6.77734375" bestFit="1" customWidth="1"/>
    <col min="122" max="125" width="7" bestFit="1" customWidth="1"/>
    <col min="126" max="126" width="10.77734375" bestFit="1" customWidth="1"/>
  </cols>
  <sheetData>
    <row r="1" spans="1:9" x14ac:dyDescent="0.3">
      <c r="A1" s="2" t="s">
        <v>1</v>
      </c>
      <c r="B1" s="3">
        <v>2020</v>
      </c>
      <c r="F1" s="2" t="s">
        <v>1</v>
      </c>
      <c r="G1" s="3">
        <v>2020</v>
      </c>
    </row>
    <row r="2" spans="1:9" x14ac:dyDescent="0.3">
      <c r="A2" s="2" t="s">
        <v>2</v>
      </c>
      <c r="B2" t="s">
        <v>176</v>
      </c>
      <c r="F2" s="2" t="s">
        <v>2</v>
      </c>
      <c r="G2" t="s">
        <v>176</v>
      </c>
    </row>
    <row r="3" spans="1:9" x14ac:dyDescent="0.3">
      <c r="A3" t="s">
        <v>179</v>
      </c>
      <c r="F3" t="s">
        <v>180</v>
      </c>
    </row>
    <row r="4" spans="1:9" x14ac:dyDescent="0.3">
      <c r="A4" s="2" t="s">
        <v>174</v>
      </c>
      <c r="B4" t="s">
        <v>175</v>
      </c>
      <c r="C4" t="s">
        <v>177</v>
      </c>
      <c r="D4" t="s">
        <v>178</v>
      </c>
      <c r="F4" s="2" t="s">
        <v>174</v>
      </c>
      <c r="G4" t="s">
        <v>175</v>
      </c>
      <c r="H4" t="s">
        <v>177</v>
      </c>
      <c r="I4" t="s">
        <v>178</v>
      </c>
    </row>
    <row r="5" spans="1:9" x14ac:dyDescent="0.3">
      <c r="A5" s="3" t="s">
        <v>3</v>
      </c>
      <c r="B5" s="4">
        <v>144.1</v>
      </c>
      <c r="C5" s="4">
        <v>144.73333333333332</v>
      </c>
      <c r="D5" s="4">
        <v>146.1</v>
      </c>
      <c r="F5" s="3" t="s">
        <v>3</v>
      </c>
      <c r="G5" s="4">
        <v>145.26666666666668</v>
      </c>
      <c r="H5" s="4">
        <v>146.19999999999999</v>
      </c>
      <c r="I5" s="4">
        <v>148.16666666666666</v>
      </c>
    </row>
    <row r="6" spans="1:9" x14ac:dyDescent="0.3">
      <c r="A6" s="3" t="s">
        <v>17</v>
      </c>
      <c r="B6" s="4">
        <v>153.06666666666669</v>
      </c>
      <c r="C6" s="4">
        <v>150.83333333333334</v>
      </c>
      <c r="D6" s="4">
        <v>147.33333333333334</v>
      </c>
      <c r="F6" s="3" t="s">
        <v>17</v>
      </c>
      <c r="G6" s="4">
        <v>153.15555555555557</v>
      </c>
      <c r="H6" s="4">
        <v>149.7777777777778</v>
      </c>
      <c r="I6" s="4">
        <v>148.61111111111111</v>
      </c>
    </row>
    <row r="7" spans="1:9" x14ac:dyDescent="0.3">
      <c r="A7" s="3" t="s">
        <v>19</v>
      </c>
      <c r="B7" s="4">
        <v>152.30000000000001</v>
      </c>
      <c r="C7" s="4">
        <v>149.5</v>
      </c>
      <c r="D7" s="4">
        <v>145.23333333333332</v>
      </c>
      <c r="F7" s="3" t="s">
        <v>19</v>
      </c>
      <c r="G7" s="4">
        <v>152.36666666666667</v>
      </c>
      <c r="H7" s="4">
        <v>148.17777777777778</v>
      </c>
      <c r="I7" s="4">
        <v>146.76666666666665</v>
      </c>
    </row>
    <row r="8" spans="1:9" x14ac:dyDescent="0.3">
      <c r="A8" s="3" t="s">
        <v>26</v>
      </c>
      <c r="B8" s="4">
        <v>161.6</v>
      </c>
      <c r="C8" s="4">
        <v>156.13333333333333</v>
      </c>
      <c r="D8" s="4">
        <v>152.26666666666668</v>
      </c>
      <c r="F8" s="3" t="s">
        <v>26</v>
      </c>
      <c r="G8" s="4">
        <v>161.56666666666669</v>
      </c>
      <c r="H8" s="4">
        <v>154.85555555555553</v>
      </c>
      <c r="I8" s="4">
        <v>153.61111111111111</v>
      </c>
    </row>
    <row r="9" spans="1:9" x14ac:dyDescent="0.3">
      <c r="A9" s="3" t="s">
        <v>5</v>
      </c>
      <c r="B9" s="4">
        <v>150.66666666666666</v>
      </c>
      <c r="C9" s="4">
        <v>151.6</v>
      </c>
      <c r="D9" s="4">
        <v>153</v>
      </c>
      <c r="F9" s="3" t="s">
        <v>5</v>
      </c>
      <c r="G9" s="4">
        <v>148.46666666666667</v>
      </c>
      <c r="H9" s="4">
        <v>149.56666666666666</v>
      </c>
      <c r="I9" s="4">
        <v>151.29999999999998</v>
      </c>
    </row>
    <row r="10" spans="1:9" x14ac:dyDescent="0.3">
      <c r="A10" s="3" t="s">
        <v>15</v>
      </c>
      <c r="B10" s="4">
        <v>150.33333333333334</v>
      </c>
      <c r="C10" s="4">
        <v>150.96666666666667</v>
      </c>
      <c r="D10" s="4">
        <v>152.06666666666666</v>
      </c>
      <c r="F10" s="3" t="s">
        <v>15</v>
      </c>
      <c r="G10" s="4">
        <v>149.36666666666667</v>
      </c>
      <c r="H10" s="4">
        <v>150.26666666666665</v>
      </c>
      <c r="I10" s="4">
        <v>151.76666666666665</v>
      </c>
    </row>
    <row r="11" spans="1:9" x14ac:dyDescent="0.3">
      <c r="A11" s="3" t="s">
        <v>18</v>
      </c>
      <c r="B11" s="4">
        <v>147.5</v>
      </c>
      <c r="C11" s="4">
        <v>141.69999999999999</v>
      </c>
      <c r="D11" s="4">
        <v>133.5</v>
      </c>
      <c r="F11" s="3" t="s">
        <v>18</v>
      </c>
      <c r="G11" s="4">
        <v>147.53333333333333</v>
      </c>
      <c r="H11" s="4">
        <v>139.03333333333333</v>
      </c>
      <c r="I11" s="4">
        <v>136.33333333333334</v>
      </c>
    </row>
    <row r="12" spans="1:9" x14ac:dyDescent="0.3">
      <c r="A12" s="3" t="s">
        <v>8</v>
      </c>
      <c r="B12" s="4">
        <v>141.56666666666666</v>
      </c>
      <c r="C12" s="4">
        <v>142.5</v>
      </c>
      <c r="D12" s="4">
        <v>143.60000000000002</v>
      </c>
      <c r="F12" s="3" t="s">
        <v>8</v>
      </c>
      <c r="G12" s="4">
        <v>143.26666666666668</v>
      </c>
      <c r="H12" s="4">
        <v>144.73333333333335</v>
      </c>
      <c r="I12" s="4">
        <v>146.43333333333331</v>
      </c>
    </row>
    <row r="13" spans="1:9" x14ac:dyDescent="0.3">
      <c r="A13" s="3" t="s">
        <v>21</v>
      </c>
      <c r="B13" s="4">
        <v>152.03333333333333</v>
      </c>
      <c r="C13" s="4">
        <v>146.9</v>
      </c>
      <c r="D13" s="4">
        <v>138.46666666666667</v>
      </c>
      <c r="F13" s="3" t="s">
        <v>21</v>
      </c>
      <c r="G13" s="4">
        <v>151.36666666666667</v>
      </c>
      <c r="H13" s="4">
        <v>146.73333333333335</v>
      </c>
      <c r="I13" s="4">
        <v>139.13333333333333</v>
      </c>
    </row>
    <row r="14" spans="1:9" x14ac:dyDescent="0.3">
      <c r="A14" s="3" t="s">
        <v>29</v>
      </c>
      <c r="B14" s="4">
        <v>150.70000000000002</v>
      </c>
      <c r="C14" s="4">
        <v>149.29999999999998</v>
      </c>
      <c r="D14" s="4">
        <v>147.73333333333332</v>
      </c>
      <c r="F14" s="3" t="s">
        <v>29</v>
      </c>
      <c r="G14" s="4">
        <v>150.30000000000004</v>
      </c>
      <c r="H14" s="4">
        <v>148.47777777777776</v>
      </c>
      <c r="I14" s="4">
        <v>148.1</v>
      </c>
    </row>
    <row r="15" spans="1:9" x14ac:dyDescent="0.3">
      <c r="A15" s="3" t="s">
        <v>23</v>
      </c>
      <c r="B15" s="4">
        <v>156.19999999999999</v>
      </c>
      <c r="C15" s="4">
        <v>151.73333333333332</v>
      </c>
      <c r="D15" s="4">
        <v>144.4</v>
      </c>
      <c r="F15" s="3" t="s">
        <v>23</v>
      </c>
      <c r="G15" s="4">
        <v>155.73333333333332</v>
      </c>
      <c r="H15" s="4">
        <v>151.56666666666666</v>
      </c>
      <c r="I15" s="4">
        <v>144.73333333333332</v>
      </c>
    </row>
    <row r="16" spans="1:9" x14ac:dyDescent="0.3">
      <c r="A16" s="3" t="s">
        <v>22</v>
      </c>
      <c r="B16" s="4">
        <v>151.66666666666666</v>
      </c>
      <c r="C16" s="4">
        <v>146.33333333333334</v>
      </c>
      <c r="D16" s="4">
        <v>140.43333333333331</v>
      </c>
      <c r="F16" s="3" t="s">
        <v>22</v>
      </c>
      <c r="G16" s="4">
        <v>151.65555555555557</v>
      </c>
      <c r="H16" s="4">
        <v>144.41111111111113</v>
      </c>
      <c r="I16" s="4">
        <v>142.51111111111115</v>
      </c>
    </row>
    <row r="17" spans="1:9" x14ac:dyDescent="0.3">
      <c r="A17" s="3" t="s">
        <v>20</v>
      </c>
      <c r="B17" s="4">
        <v>0</v>
      </c>
      <c r="C17" s="4">
        <v>154.4</v>
      </c>
      <c r="D17" s="4">
        <v>154.4</v>
      </c>
      <c r="F17" s="3" t="s">
        <v>20</v>
      </c>
      <c r="G17" s="4">
        <v>0</v>
      </c>
      <c r="H17" s="4">
        <v>154.96666666666667</v>
      </c>
      <c r="I17" s="4">
        <v>154.96666666666667</v>
      </c>
    </row>
    <row r="18" spans="1:9" x14ac:dyDescent="0.3">
      <c r="A18" s="3" t="s">
        <v>4</v>
      </c>
      <c r="B18" s="4">
        <v>167.20000000000002</v>
      </c>
      <c r="C18" s="4">
        <v>167.29999999999998</v>
      </c>
      <c r="D18" s="4">
        <v>167.56666666666669</v>
      </c>
      <c r="F18" s="3" t="s">
        <v>4</v>
      </c>
      <c r="G18" s="4">
        <v>167.16666666666666</v>
      </c>
      <c r="H18" s="4">
        <v>167.35555555555558</v>
      </c>
      <c r="I18" s="4">
        <v>167.46666666666667</v>
      </c>
    </row>
    <row r="19" spans="1:9" x14ac:dyDescent="0.3">
      <c r="A19" s="3" t="s">
        <v>6</v>
      </c>
      <c r="B19" s="4">
        <v>151.03333333333333</v>
      </c>
      <c r="C19" s="4">
        <v>150.80000000000001</v>
      </c>
      <c r="D19" s="4">
        <v>150.36666666666665</v>
      </c>
      <c r="F19" s="3" t="s">
        <v>6</v>
      </c>
      <c r="G19" s="4">
        <v>152.73333333333335</v>
      </c>
      <c r="H19" s="4">
        <v>152.63333333333333</v>
      </c>
      <c r="I19" s="4">
        <v>152.43333333333331</v>
      </c>
    </row>
    <row r="20" spans="1:9" x14ac:dyDescent="0.3">
      <c r="A20" s="3" t="s">
        <v>28</v>
      </c>
      <c r="B20" s="4">
        <v>148.36666666666667</v>
      </c>
      <c r="C20" s="4">
        <v>143.60000000000002</v>
      </c>
      <c r="D20" s="4">
        <v>138.5</v>
      </c>
      <c r="F20" s="3" t="s">
        <v>28</v>
      </c>
      <c r="G20" s="4">
        <v>148.45555555555555</v>
      </c>
      <c r="H20" s="4">
        <v>141.96666666666667</v>
      </c>
      <c r="I20" s="4">
        <v>140.23333333333335</v>
      </c>
    </row>
    <row r="21" spans="1:9" x14ac:dyDescent="0.3">
      <c r="A21" s="3" t="s">
        <v>13</v>
      </c>
      <c r="B21" s="4">
        <v>139.96666666666667</v>
      </c>
      <c r="C21" s="4">
        <v>136.43333333333331</v>
      </c>
      <c r="D21" s="4">
        <v>131.5</v>
      </c>
      <c r="F21" s="3" t="s">
        <v>13</v>
      </c>
      <c r="G21" s="4">
        <v>139.79999999999998</v>
      </c>
      <c r="H21" s="4">
        <v>136.66666666666666</v>
      </c>
      <c r="I21" s="4">
        <v>132.29999999999998</v>
      </c>
    </row>
    <row r="22" spans="1:9" x14ac:dyDescent="0.3">
      <c r="A22" s="3" t="s">
        <v>7</v>
      </c>
      <c r="B22" s="4">
        <v>133</v>
      </c>
      <c r="C22" s="4">
        <v>130.83333333333334</v>
      </c>
      <c r="D22" s="4">
        <v>127.06666666666668</v>
      </c>
      <c r="F22" s="3" t="s">
        <v>7</v>
      </c>
      <c r="G22" s="4">
        <v>134.70000000000002</v>
      </c>
      <c r="H22" s="4">
        <v>132.56666666666669</v>
      </c>
      <c r="I22" s="4">
        <v>128.83333333333334</v>
      </c>
    </row>
    <row r="23" spans="1:9" x14ac:dyDescent="0.3">
      <c r="A23" s="3" t="s">
        <v>16</v>
      </c>
      <c r="B23" s="4">
        <v>169.5</v>
      </c>
      <c r="C23" s="4">
        <v>170.16666666666666</v>
      </c>
      <c r="D23" s="4">
        <v>172.03333333333333</v>
      </c>
      <c r="F23" s="3" t="s">
        <v>16</v>
      </c>
      <c r="G23" s="4">
        <v>169.79999999999998</v>
      </c>
      <c r="H23" s="4">
        <v>171.11111111111109</v>
      </c>
      <c r="I23" s="4">
        <v>171.82222222222222</v>
      </c>
    </row>
    <row r="24" spans="1:9" x14ac:dyDescent="0.3">
      <c r="A24" s="3" t="s">
        <v>27</v>
      </c>
      <c r="B24" s="4">
        <v>143.66666666666666</v>
      </c>
      <c r="C24" s="4">
        <v>143.63333333333333</v>
      </c>
      <c r="D24" s="4">
        <v>143.63333333333333</v>
      </c>
      <c r="F24" s="3" t="s">
        <v>27</v>
      </c>
      <c r="G24" s="4">
        <v>144.05555555555554</v>
      </c>
      <c r="H24" s="4">
        <v>144.07777777777778</v>
      </c>
      <c r="I24" s="4">
        <v>144.14444444444445</v>
      </c>
    </row>
    <row r="25" spans="1:9" x14ac:dyDescent="0.3">
      <c r="A25" s="3" t="s">
        <v>14</v>
      </c>
      <c r="B25" s="4">
        <v>159.29999999999998</v>
      </c>
      <c r="C25" s="4">
        <v>159.1</v>
      </c>
      <c r="D25" s="4">
        <v>158.86666666666667</v>
      </c>
      <c r="F25" s="3" t="s">
        <v>14</v>
      </c>
      <c r="G25" s="4">
        <v>159.5</v>
      </c>
      <c r="H25" s="4">
        <v>159.1888888888889</v>
      </c>
      <c r="I25" s="4">
        <v>159.06666666666669</v>
      </c>
    </row>
    <row r="26" spans="1:9" x14ac:dyDescent="0.3">
      <c r="A26" s="3" t="s">
        <v>10</v>
      </c>
      <c r="B26" s="4">
        <v>141.56666666666666</v>
      </c>
      <c r="C26" s="4">
        <v>140.86666666666667</v>
      </c>
      <c r="D26" s="4">
        <v>139.46666666666667</v>
      </c>
      <c r="F26" s="3" t="s">
        <v>10</v>
      </c>
      <c r="G26" s="4">
        <v>144.6</v>
      </c>
      <c r="H26" s="4">
        <v>144.20000000000002</v>
      </c>
      <c r="I26" s="4">
        <v>143.36666666666665</v>
      </c>
    </row>
    <row r="27" spans="1:9" x14ac:dyDescent="0.3">
      <c r="A27" s="3" t="s">
        <v>25</v>
      </c>
      <c r="B27" s="4">
        <v>150.56666666666663</v>
      </c>
      <c r="C27" s="4">
        <v>143.23333333333332</v>
      </c>
      <c r="D27" s="4">
        <v>137.6</v>
      </c>
      <c r="F27" s="3" t="s">
        <v>25</v>
      </c>
      <c r="G27" s="4">
        <v>150.7222222222222</v>
      </c>
      <c r="H27" s="4">
        <v>141.5</v>
      </c>
      <c r="I27" s="4">
        <v>139.61111111111111</v>
      </c>
    </row>
    <row r="28" spans="1:9" x14ac:dyDescent="0.3">
      <c r="A28" s="3" t="s">
        <v>12</v>
      </c>
      <c r="B28" s="4">
        <v>152.80000000000001</v>
      </c>
      <c r="C28" s="4">
        <v>152.03333333333333</v>
      </c>
      <c r="D28" s="4">
        <v>150.46666666666667</v>
      </c>
      <c r="F28" s="3" t="s">
        <v>12</v>
      </c>
      <c r="G28" s="4">
        <v>155.16666666666666</v>
      </c>
      <c r="H28" s="4">
        <v>154.1</v>
      </c>
      <c r="I28" s="4">
        <v>151.96666666666667</v>
      </c>
    </row>
    <row r="29" spans="1:9" x14ac:dyDescent="0.3">
      <c r="A29" s="3" t="s">
        <v>11</v>
      </c>
      <c r="B29" s="4">
        <v>113.16666666666667</v>
      </c>
      <c r="C29" s="4">
        <v>113.63333333333333</v>
      </c>
      <c r="D29" s="4">
        <v>114.59999999999998</v>
      </c>
      <c r="F29" s="3" t="s">
        <v>11</v>
      </c>
      <c r="G29" s="4">
        <v>115.16666666666667</v>
      </c>
      <c r="H29" s="4">
        <v>115.7</v>
      </c>
      <c r="I29" s="4">
        <v>116.73333333333333</v>
      </c>
    </row>
    <row r="30" spans="1:9" x14ac:dyDescent="0.3">
      <c r="A30" s="3" t="s">
        <v>24</v>
      </c>
      <c r="B30" s="4">
        <v>136.03333333333333</v>
      </c>
      <c r="C30" s="4">
        <v>130.36666666666667</v>
      </c>
      <c r="D30" s="4">
        <v>125.3</v>
      </c>
      <c r="F30" s="3" t="s">
        <v>24</v>
      </c>
      <c r="G30" s="4">
        <v>135.94444444444446</v>
      </c>
      <c r="H30" s="4">
        <v>128.50000000000003</v>
      </c>
      <c r="I30" s="4">
        <v>126.72222222222223</v>
      </c>
    </row>
    <row r="31" spans="1:9" x14ac:dyDescent="0.3">
      <c r="A31" s="3" t="s">
        <v>9</v>
      </c>
      <c r="B31" s="4">
        <v>169.63333333333333</v>
      </c>
      <c r="C31" s="4">
        <v>175</v>
      </c>
      <c r="D31" s="4">
        <v>185.5</v>
      </c>
      <c r="F31" s="3" t="s">
        <v>9</v>
      </c>
      <c r="G31" s="4">
        <v>160.03333333333333</v>
      </c>
      <c r="H31" s="4">
        <v>165.53333333333333</v>
      </c>
      <c r="I31" s="4">
        <v>176.23333333333335</v>
      </c>
    </row>
    <row r="32" spans="1:9" x14ac:dyDescent="0.3">
      <c r="A32" s="3" t="s">
        <v>173</v>
      </c>
      <c r="B32" s="4">
        <v>143.9827160493827</v>
      </c>
      <c r="C32" s="4">
        <v>147.91234567901236</v>
      </c>
      <c r="D32" s="4">
        <v>145.96296296296302</v>
      </c>
      <c r="F32" s="3" t="s">
        <v>173</v>
      </c>
      <c r="G32" s="4">
        <v>143.99588477366254</v>
      </c>
      <c r="H32" s="4">
        <v>147.55061728395066</v>
      </c>
      <c r="I32" s="4">
        <v>146.79135802469142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36DBD-7C48-4954-A916-7104840F60A3}">
  <dimension ref="A1:AJ30"/>
  <sheetViews>
    <sheetView workbookViewId="0">
      <selection activeCell="C45" sqref="C45"/>
    </sheetView>
  </sheetViews>
  <sheetFormatPr defaultRowHeight="14.4" x14ac:dyDescent="0.3"/>
  <cols>
    <col min="1" max="1" width="7.77734375" bestFit="1" customWidth="1"/>
    <col min="2" max="2" width="10.77734375" bestFit="1" customWidth="1"/>
    <col min="3" max="3" width="8" bestFit="1" customWidth="1"/>
    <col min="4" max="4" width="7.109375" bestFit="1" customWidth="1"/>
    <col min="5" max="5" width="7" bestFit="1" customWidth="1"/>
    <col min="6" max="6" width="8.33203125" customWidth="1"/>
    <col min="7" max="7" width="9.109375" bestFit="1" customWidth="1"/>
    <col min="8" max="8" width="12.44140625" bestFit="1" customWidth="1"/>
    <col min="9" max="9" width="10" bestFit="1" customWidth="1"/>
    <col min="10" max="10" width="12.109375" bestFit="1" customWidth="1"/>
    <col min="11" max="11" width="11.77734375" bestFit="1" customWidth="1"/>
    <col min="12" max="12" width="9.77734375" bestFit="1" customWidth="1"/>
    <col min="13" max="13" width="10.6640625" bestFit="1" customWidth="1"/>
    <col min="14" max="14" width="8.88671875" customWidth="1"/>
    <col min="15" max="15" width="10.109375" bestFit="1" customWidth="1"/>
    <col min="17" max="18" width="9" customWidth="1"/>
    <col min="21" max="22" width="9" customWidth="1"/>
    <col min="23" max="24" width="9.33203125" customWidth="1"/>
    <col min="29" max="30" width="9" customWidth="1"/>
    <col min="33" max="34" width="9" customWidth="1"/>
    <col min="35" max="36" width="9.33203125" customWidth="1"/>
  </cols>
  <sheetData>
    <row r="1" spans="1:36" x14ac:dyDescent="0.3">
      <c r="A1" t="s">
        <v>1</v>
      </c>
      <c r="B1" t="s">
        <v>53</v>
      </c>
      <c r="C1" t="s">
        <v>226</v>
      </c>
    </row>
    <row r="2" spans="1:36" x14ac:dyDescent="0.3">
      <c r="A2" s="1" t="s">
        <v>222</v>
      </c>
      <c r="B2" s="1" t="s">
        <v>31</v>
      </c>
      <c r="C2">
        <v>54.79</v>
      </c>
    </row>
    <row r="3" spans="1:36" x14ac:dyDescent="0.3">
      <c r="A3" s="1" t="s">
        <v>222</v>
      </c>
      <c r="B3" s="1" t="s">
        <v>35</v>
      </c>
      <c r="C3">
        <v>61.22</v>
      </c>
      <c r="F3" s="34"/>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row>
    <row r="4" spans="1:36" x14ac:dyDescent="0.3">
      <c r="A4" s="1" t="s">
        <v>222</v>
      </c>
      <c r="B4" s="1" t="s">
        <v>36</v>
      </c>
      <c r="C4">
        <v>64.73</v>
      </c>
    </row>
    <row r="5" spans="1:36" x14ac:dyDescent="0.3">
      <c r="A5" s="1" t="s">
        <v>223</v>
      </c>
      <c r="B5" s="1" t="s">
        <v>37</v>
      </c>
      <c r="C5">
        <v>63.4</v>
      </c>
    </row>
    <row r="6" spans="1:36" x14ac:dyDescent="0.3">
      <c r="A6" s="1" t="s">
        <v>223</v>
      </c>
      <c r="B6" s="1" t="s">
        <v>38</v>
      </c>
      <c r="C6">
        <v>66.95</v>
      </c>
    </row>
    <row r="7" spans="1:36" x14ac:dyDescent="0.3">
      <c r="A7" s="1" t="s">
        <v>223</v>
      </c>
      <c r="B7" s="1" t="s">
        <v>39</v>
      </c>
      <c r="C7">
        <v>71.98</v>
      </c>
    </row>
    <row r="8" spans="1:36" x14ac:dyDescent="0.3">
      <c r="A8" s="1" t="s">
        <v>223</v>
      </c>
      <c r="B8" s="1" t="s">
        <v>40</v>
      </c>
      <c r="C8">
        <v>73.540000000000006</v>
      </c>
    </row>
    <row r="9" spans="1:36" x14ac:dyDescent="0.3">
      <c r="A9" s="1" t="s">
        <v>223</v>
      </c>
      <c r="B9" s="1" t="s">
        <v>41</v>
      </c>
      <c r="C9">
        <v>69.8</v>
      </c>
    </row>
    <row r="10" spans="1:36" x14ac:dyDescent="0.3">
      <c r="A10" s="1" t="s">
        <v>223</v>
      </c>
      <c r="B10" s="1" t="s">
        <v>42</v>
      </c>
      <c r="C10">
        <v>73.13</v>
      </c>
    </row>
    <row r="11" spans="1:36" x14ac:dyDescent="0.3">
      <c r="A11" s="1" t="s">
        <v>223</v>
      </c>
      <c r="B11" s="1" t="s">
        <v>43</v>
      </c>
      <c r="C11">
        <v>82.11</v>
      </c>
    </row>
    <row r="12" spans="1:36" x14ac:dyDescent="0.3">
      <c r="A12" s="1" t="s">
        <v>223</v>
      </c>
      <c r="B12" s="1" t="s">
        <v>44</v>
      </c>
      <c r="C12">
        <v>80.64</v>
      </c>
    </row>
    <row r="13" spans="1:36" x14ac:dyDescent="0.3">
      <c r="A13" s="1" t="s">
        <v>223</v>
      </c>
      <c r="B13" s="1" t="s">
        <v>45</v>
      </c>
      <c r="C13">
        <v>73.3</v>
      </c>
    </row>
    <row r="14" spans="1:36" x14ac:dyDescent="0.3">
      <c r="A14" s="1" t="s">
        <v>223</v>
      </c>
      <c r="B14" s="1" t="s">
        <v>31</v>
      </c>
      <c r="C14">
        <v>84.67</v>
      </c>
    </row>
    <row r="15" spans="1:36" x14ac:dyDescent="0.3">
      <c r="A15" s="1" t="s">
        <v>223</v>
      </c>
      <c r="B15" s="1" t="s">
        <v>35</v>
      </c>
      <c r="C15">
        <v>94.07</v>
      </c>
    </row>
    <row r="16" spans="1:36" x14ac:dyDescent="0.3">
      <c r="A16" s="1" t="s">
        <v>223</v>
      </c>
      <c r="B16" s="1" t="s">
        <v>36</v>
      </c>
      <c r="C16">
        <v>112.87</v>
      </c>
    </row>
    <row r="17" spans="1:3" x14ac:dyDescent="0.3">
      <c r="A17" s="1" t="s">
        <v>224</v>
      </c>
      <c r="B17" s="1" t="s">
        <v>37</v>
      </c>
      <c r="C17">
        <v>102.97</v>
      </c>
    </row>
    <row r="18" spans="1:3" x14ac:dyDescent="0.3">
      <c r="A18" s="1" t="s">
        <v>224</v>
      </c>
      <c r="B18" s="1" t="s">
        <v>38</v>
      </c>
      <c r="C18">
        <v>109.51</v>
      </c>
    </row>
    <row r="19" spans="1:3" x14ac:dyDescent="0.3">
      <c r="A19" s="1" t="s">
        <v>224</v>
      </c>
      <c r="B19" s="1" t="s">
        <v>39</v>
      </c>
      <c r="C19">
        <v>116.01</v>
      </c>
    </row>
    <row r="20" spans="1:3" x14ac:dyDescent="0.3">
      <c r="A20" s="1" t="s">
        <v>224</v>
      </c>
      <c r="B20" s="1" t="s">
        <v>40</v>
      </c>
      <c r="C20">
        <v>105.49</v>
      </c>
    </row>
    <row r="21" spans="1:3" x14ac:dyDescent="0.3">
      <c r="A21" s="1" t="s">
        <v>224</v>
      </c>
      <c r="B21" s="1" t="s">
        <v>41</v>
      </c>
      <c r="C21">
        <v>97.4</v>
      </c>
    </row>
    <row r="22" spans="1:3" x14ac:dyDescent="0.3">
      <c r="A22" s="1" t="s">
        <v>224</v>
      </c>
      <c r="B22" s="1" t="s">
        <v>42</v>
      </c>
      <c r="C22">
        <v>90.71</v>
      </c>
    </row>
    <row r="23" spans="1:3" x14ac:dyDescent="0.3">
      <c r="A23" s="1" t="s">
        <v>224</v>
      </c>
      <c r="B23" s="1" t="s">
        <v>43</v>
      </c>
      <c r="C23">
        <v>91.7</v>
      </c>
    </row>
    <row r="24" spans="1:3" x14ac:dyDescent="0.3">
      <c r="A24" s="1" t="s">
        <v>224</v>
      </c>
      <c r="B24" s="1" t="s">
        <v>44</v>
      </c>
      <c r="C24">
        <v>87.55</v>
      </c>
    </row>
    <row r="25" spans="1:3" x14ac:dyDescent="0.3">
      <c r="A25" s="1" t="s">
        <v>224</v>
      </c>
      <c r="B25" s="1" t="s">
        <v>45</v>
      </c>
      <c r="C25">
        <v>78.099999999999994</v>
      </c>
    </row>
    <row r="26" spans="1:3" x14ac:dyDescent="0.3">
      <c r="A26" s="1" t="s">
        <v>224</v>
      </c>
      <c r="B26" s="1" t="s">
        <v>31</v>
      </c>
      <c r="C26">
        <v>80.92</v>
      </c>
    </row>
    <row r="27" spans="1:3" x14ac:dyDescent="0.3">
      <c r="A27" s="1" t="s">
        <v>224</v>
      </c>
      <c r="B27" s="1" t="s">
        <v>35</v>
      </c>
      <c r="C27">
        <v>82.28</v>
      </c>
    </row>
    <row r="28" spans="1:3" x14ac:dyDescent="0.3">
      <c r="A28" s="1" t="s">
        <v>224</v>
      </c>
      <c r="B28" s="1" t="s">
        <v>36</v>
      </c>
      <c r="C28">
        <v>78.540000000000006</v>
      </c>
    </row>
    <row r="29" spans="1:3" x14ac:dyDescent="0.3">
      <c r="A29" s="1" t="s">
        <v>225</v>
      </c>
      <c r="B29" s="1" t="s">
        <v>37</v>
      </c>
      <c r="C29">
        <v>83.76</v>
      </c>
    </row>
    <row r="30" spans="1:3" x14ac:dyDescent="0.3">
      <c r="A30" s="1" t="s">
        <v>225</v>
      </c>
      <c r="B30" s="1" t="s">
        <v>38</v>
      </c>
      <c r="C30">
        <v>74.98</v>
      </c>
    </row>
  </sheetData>
  <phoneticPr fontId="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BEEC-FAB3-4E33-B606-0137DDA4FBBF}">
  <dimension ref="A2:BZ133"/>
  <sheetViews>
    <sheetView showGridLines="0" workbookViewId="0">
      <selection activeCell="F26" sqref="F26"/>
    </sheetView>
  </sheetViews>
  <sheetFormatPr defaultRowHeight="14.4" x14ac:dyDescent="0.3"/>
  <cols>
    <col min="1" max="1" width="30.44140625" bestFit="1" customWidth="1"/>
    <col min="2" max="5" width="13.44140625" bestFit="1" customWidth="1"/>
    <col min="6" max="6" width="19.88671875" bestFit="1" customWidth="1"/>
    <col min="7" max="7" width="13.44140625" bestFit="1" customWidth="1"/>
    <col min="8" max="8" width="5.5546875" bestFit="1" customWidth="1"/>
    <col min="9" max="30" width="13.44140625" bestFit="1" customWidth="1"/>
    <col min="31" max="47" width="12.21875" bestFit="1" customWidth="1"/>
    <col min="48" max="77" width="10.21875" bestFit="1" customWidth="1"/>
    <col min="78" max="78" width="14.44140625" bestFit="1" customWidth="1"/>
    <col min="79" max="79" width="9.5546875" bestFit="1" customWidth="1"/>
    <col min="80" max="80" width="7.44140625" bestFit="1" customWidth="1"/>
    <col min="81" max="81" width="9.44140625" bestFit="1" customWidth="1"/>
    <col min="82" max="82" width="6.88671875" bestFit="1" customWidth="1"/>
    <col min="83" max="83" width="9.5546875" bestFit="1" customWidth="1"/>
    <col min="84" max="84" width="6.21875" bestFit="1" customWidth="1"/>
    <col min="85" max="86" width="8.88671875" bestFit="1" customWidth="1"/>
    <col min="87" max="87" width="11.5546875" bestFit="1" customWidth="1"/>
    <col min="88" max="88" width="12.21875" bestFit="1" customWidth="1"/>
    <col min="89" max="89" width="15" bestFit="1" customWidth="1"/>
    <col min="90" max="90" width="9.77734375" bestFit="1" customWidth="1"/>
    <col min="91" max="91" width="12.44140625" bestFit="1" customWidth="1"/>
    <col min="92" max="92" width="11.88671875" bestFit="1" customWidth="1"/>
    <col min="93" max="93" width="14.6640625" bestFit="1" customWidth="1"/>
    <col min="94" max="94" width="11.5546875" bestFit="1" customWidth="1"/>
    <col min="95" max="95" width="14.33203125" bestFit="1" customWidth="1"/>
    <col min="96" max="96" width="9.5546875" bestFit="1" customWidth="1"/>
    <col min="97" max="97" width="12.21875" bestFit="1" customWidth="1"/>
    <col min="98" max="98" width="10.44140625" bestFit="1" customWidth="1"/>
    <col min="99" max="99" width="13.21875" bestFit="1" customWidth="1"/>
    <col min="100" max="100" width="8.44140625" bestFit="1" customWidth="1"/>
    <col min="101" max="101" width="11.109375" bestFit="1" customWidth="1"/>
    <col min="102" max="102" width="6.88671875" bestFit="1" customWidth="1"/>
    <col min="103" max="103" width="9.5546875" bestFit="1" customWidth="1"/>
    <col min="104" max="104" width="7.44140625" bestFit="1" customWidth="1"/>
    <col min="105" max="105" width="9.44140625" bestFit="1" customWidth="1"/>
    <col min="106" max="106" width="6.88671875" bestFit="1" customWidth="1"/>
    <col min="107" max="107" width="9.5546875" bestFit="1" customWidth="1"/>
    <col min="108" max="108" width="6.21875" bestFit="1" customWidth="1"/>
    <col min="109" max="110" width="8.88671875" bestFit="1" customWidth="1"/>
    <col min="111" max="111" width="11.5546875" bestFit="1" customWidth="1"/>
    <col min="112" max="112" width="12.21875" bestFit="1" customWidth="1"/>
    <col min="113" max="113" width="15" bestFit="1" customWidth="1"/>
    <col min="114" max="114" width="9.77734375" bestFit="1" customWidth="1"/>
    <col min="115" max="115" width="12.44140625" bestFit="1" customWidth="1"/>
    <col min="116" max="116" width="11.88671875" bestFit="1" customWidth="1"/>
    <col min="117" max="117" width="14.6640625" bestFit="1" customWidth="1"/>
    <col min="118" max="118" width="11.5546875" bestFit="1" customWidth="1"/>
    <col min="119" max="119" width="14.33203125" bestFit="1" customWidth="1"/>
    <col min="120" max="120" width="9.5546875" bestFit="1" customWidth="1"/>
    <col min="121" max="121" width="12.21875" bestFit="1" customWidth="1"/>
    <col min="122" max="122" width="10.44140625" bestFit="1" customWidth="1"/>
    <col min="123" max="123" width="13.21875" bestFit="1" customWidth="1"/>
    <col min="124" max="124" width="8.44140625" bestFit="1" customWidth="1"/>
    <col min="125" max="125" width="11.109375" bestFit="1" customWidth="1"/>
    <col min="126" max="126" width="6.88671875" bestFit="1" customWidth="1"/>
    <col min="127" max="127" width="9.5546875" bestFit="1" customWidth="1"/>
    <col min="128" max="128" width="7.44140625" bestFit="1" customWidth="1"/>
    <col min="129" max="129" width="9.44140625" bestFit="1" customWidth="1"/>
    <col min="130" max="130" width="6.88671875" bestFit="1" customWidth="1"/>
    <col min="131" max="131" width="9.5546875" bestFit="1" customWidth="1"/>
    <col min="132" max="132" width="6.21875" bestFit="1" customWidth="1"/>
    <col min="133" max="134" width="8.88671875" bestFit="1" customWidth="1"/>
    <col min="135" max="135" width="11.5546875" bestFit="1" customWidth="1"/>
    <col min="136" max="136" width="12.21875" bestFit="1" customWidth="1"/>
    <col min="137" max="137" width="15" bestFit="1" customWidth="1"/>
    <col min="138" max="138" width="9.77734375" bestFit="1" customWidth="1"/>
    <col min="139" max="139" width="12.44140625" bestFit="1" customWidth="1"/>
    <col min="140" max="140" width="11.88671875" bestFit="1" customWidth="1"/>
    <col min="141" max="141" width="14.6640625" bestFit="1" customWidth="1"/>
    <col min="142" max="142" width="11.5546875" bestFit="1" customWidth="1"/>
    <col min="143" max="143" width="14.33203125" bestFit="1" customWidth="1"/>
    <col min="144" max="144" width="9.5546875" bestFit="1" customWidth="1"/>
    <col min="145" max="145" width="12.21875" bestFit="1" customWidth="1"/>
    <col min="146" max="146" width="10.44140625" bestFit="1" customWidth="1"/>
    <col min="147" max="147" width="13.21875" bestFit="1" customWidth="1"/>
    <col min="148" max="148" width="8.44140625" bestFit="1" customWidth="1"/>
    <col min="149" max="149" width="11.109375" bestFit="1" customWidth="1"/>
    <col min="150" max="150" width="6.88671875" bestFit="1" customWidth="1"/>
    <col min="151" max="151" width="9.5546875" bestFit="1" customWidth="1"/>
    <col min="152" max="152" width="7.44140625" bestFit="1" customWidth="1"/>
    <col min="153" max="153" width="9.44140625" bestFit="1" customWidth="1"/>
    <col min="154" max="157" width="8.44140625" bestFit="1" customWidth="1"/>
    <col min="158" max="158" width="9.6640625" bestFit="1" customWidth="1"/>
    <col min="159" max="159" width="10.77734375" bestFit="1" customWidth="1"/>
    <col min="160" max="161" width="6" bestFit="1" customWidth="1"/>
    <col min="162" max="162" width="4" bestFit="1" customWidth="1"/>
    <col min="163" max="171" width="6" bestFit="1" customWidth="1"/>
    <col min="172" max="172" width="4" bestFit="1" customWidth="1"/>
    <col min="173" max="173" width="6" bestFit="1" customWidth="1"/>
    <col min="174" max="174" width="12" bestFit="1" customWidth="1"/>
    <col min="175" max="182" width="6" bestFit="1" customWidth="1"/>
    <col min="183" max="183" width="4" bestFit="1" customWidth="1"/>
    <col min="184" max="192" width="6" bestFit="1" customWidth="1"/>
    <col min="193" max="193" width="4" bestFit="1" customWidth="1"/>
    <col min="194" max="201" width="6" bestFit="1" customWidth="1"/>
    <col min="202" max="202" width="4" bestFit="1" customWidth="1"/>
    <col min="203" max="220" width="6" bestFit="1" customWidth="1"/>
    <col min="221" max="221" width="4" bestFit="1" customWidth="1"/>
    <col min="222" max="230" width="6" bestFit="1" customWidth="1"/>
    <col min="231" max="231" width="4" bestFit="1" customWidth="1"/>
    <col min="232" max="240" width="6" bestFit="1" customWidth="1"/>
    <col min="241" max="241" width="4" bestFit="1" customWidth="1"/>
    <col min="242" max="249" width="6" bestFit="1" customWidth="1"/>
    <col min="250" max="250" width="4" bestFit="1" customWidth="1"/>
    <col min="251" max="259" width="6" bestFit="1" customWidth="1"/>
    <col min="260" max="260" width="4" bestFit="1" customWidth="1"/>
    <col min="261" max="269" width="6" bestFit="1" customWidth="1"/>
    <col min="270" max="270" width="4" bestFit="1" customWidth="1"/>
    <col min="271" max="278" width="6" bestFit="1" customWidth="1"/>
    <col min="279" max="279" width="4" bestFit="1" customWidth="1"/>
    <col min="280" max="288" width="6" bestFit="1" customWidth="1"/>
    <col min="289" max="289" width="4" bestFit="1" customWidth="1"/>
    <col min="290" max="298" width="6" bestFit="1" customWidth="1"/>
    <col min="299" max="299" width="4" bestFit="1" customWidth="1"/>
    <col min="300" max="308" width="6" bestFit="1" customWidth="1"/>
    <col min="309" max="309" width="4" bestFit="1" customWidth="1"/>
    <col min="310" max="318" width="6" bestFit="1" customWidth="1"/>
    <col min="319" max="319" width="4" bestFit="1" customWidth="1"/>
    <col min="320" max="328" width="6" bestFit="1" customWidth="1"/>
    <col min="329" max="329" width="4" bestFit="1" customWidth="1"/>
    <col min="330" max="338" width="6" bestFit="1" customWidth="1"/>
    <col min="339" max="339" width="4" bestFit="1" customWidth="1"/>
    <col min="340" max="348" width="6" bestFit="1" customWidth="1"/>
    <col min="349" max="349" width="4" bestFit="1" customWidth="1"/>
    <col min="350" max="358" width="6" bestFit="1" customWidth="1"/>
    <col min="359" max="359" width="4" bestFit="1" customWidth="1"/>
    <col min="360" max="369" width="6" bestFit="1" customWidth="1"/>
    <col min="370" max="370" width="4" bestFit="1" customWidth="1"/>
    <col min="371" max="379" width="6" bestFit="1" customWidth="1"/>
    <col min="380" max="380" width="4" bestFit="1" customWidth="1"/>
    <col min="381" max="381" width="12" bestFit="1" customWidth="1"/>
    <col min="382" max="390" width="6" bestFit="1" customWidth="1"/>
    <col min="391" max="391" width="4" bestFit="1" customWidth="1"/>
    <col min="392" max="400" width="6" bestFit="1" customWidth="1"/>
    <col min="401" max="401" width="4" bestFit="1" customWidth="1"/>
    <col min="402" max="410" width="6" bestFit="1" customWidth="1"/>
    <col min="411" max="411" width="4" bestFit="1" customWidth="1"/>
    <col min="412" max="421" width="6" bestFit="1" customWidth="1"/>
    <col min="422" max="422" width="4" bestFit="1" customWidth="1"/>
    <col min="423" max="431" width="6" bestFit="1" customWidth="1"/>
    <col min="432" max="432" width="4" bestFit="1" customWidth="1"/>
    <col min="433" max="441" width="6" bestFit="1" customWidth="1"/>
    <col min="442" max="442" width="4" bestFit="1" customWidth="1"/>
    <col min="443" max="451" width="6" bestFit="1" customWidth="1"/>
    <col min="452" max="452" width="4" bestFit="1" customWidth="1"/>
    <col min="453" max="454" width="6" bestFit="1" customWidth="1"/>
    <col min="455" max="455" width="12" bestFit="1" customWidth="1"/>
    <col min="456" max="459" width="6" bestFit="1" customWidth="1"/>
    <col min="460" max="460" width="12" bestFit="1" customWidth="1"/>
    <col min="461" max="463" width="6" bestFit="1" customWidth="1"/>
    <col min="464" max="464" width="4" bestFit="1" customWidth="1"/>
    <col min="465" max="466" width="6" bestFit="1" customWidth="1"/>
    <col min="467" max="467" width="7" bestFit="1" customWidth="1"/>
    <col min="468" max="476" width="6" bestFit="1" customWidth="1"/>
    <col min="477" max="477" width="12" bestFit="1" customWidth="1"/>
    <col min="478" max="484" width="6" bestFit="1" customWidth="1"/>
    <col min="485" max="485" width="4" bestFit="1" customWidth="1"/>
    <col min="486" max="493" width="6" bestFit="1" customWidth="1"/>
    <col min="494" max="494" width="4" bestFit="1" customWidth="1"/>
    <col min="495" max="499" width="6" bestFit="1" customWidth="1"/>
    <col min="500" max="500" width="7" bestFit="1" customWidth="1"/>
    <col min="501" max="504" width="6" bestFit="1" customWidth="1"/>
    <col min="505" max="505" width="4" bestFit="1" customWidth="1"/>
    <col min="506" max="508" width="6" bestFit="1" customWidth="1"/>
    <col min="509" max="509" width="12" bestFit="1" customWidth="1"/>
    <col min="510" max="510" width="6" bestFit="1" customWidth="1"/>
    <col min="511" max="511" width="12" bestFit="1" customWidth="1"/>
    <col min="512" max="516" width="6" bestFit="1" customWidth="1"/>
    <col min="517" max="517" width="4" bestFit="1" customWidth="1"/>
    <col min="518" max="520" width="6" bestFit="1" customWidth="1"/>
    <col min="521" max="521" width="12" bestFit="1" customWidth="1"/>
    <col min="522" max="527" width="6" bestFit="1" customWidth="1"/>
    <col min="528" max="528" width="4" bestFit="1" customWidth="1"/>
    <col min="529" max="534" width="6" bestFit="1" customWidth="1"/>
    <col min="535" max="535" width="12" bestFit="1" customWidth="1"/>
    <col min="536" max="540" width="6" bestFit="1" customWidth="1"/>
    <col min="541" max="541" width="4" bestFit="1" customWidth="1"/>
    <col min="542" max="544" width="6" bestFit="1" customWidth="1"/>
    <col min="545" max="545" width="12" bestFit="1" customWidth="1"/>
    <col min="546" max="548" width="6" bestFit="1" customWidth="1"/>
    <col min="549" max="549" width="7" bestFit="1" customWidth="1"/>
    <col min="550" max="550" width="12" bestFit="1" customWidth="1"/>
    <col min="551" max="553" width="6" bestFit="1" customWidth="1"/>
    <col min="554" max="554" width="4" bestFit="1" customWidth="1"/>
    <col min="555" max="561" width="6" bestFit="1" customWidth="1"/>
    <col min="562" max="562" width="12" bestFit="1" customWidth="1"/>
    <col min="563" max="564" width="6" bestFit="1" customWidth="1"/>
    <col min="565" max="565" width="4" bestFit="1" customWidth="1"/>
    <col min="566" max="566" width="12" bestFit="1" customWidth="1"/>
    <col min="567" max="575" width="6" bestFit="1" customWidth="1"/>
    <col min="576" max="576" width="4" bestFit="1" customWidth="1"/>
    <col min="577" max="584" width="6" bestFit="1" customWidth="1"/>
    <col min="585" max="585" width="4" bestFit="1" customWidth="1"/>
    <col min="586" max="586" width="6" bestFit="1" customWidth="1"/>
    <col min="587" max="587" width="12" bestFit="1" customWidth="1"/>
    <col min="588" max="593" width="6" bestFit="1" customWidth="1"/>
    <col min="594" max="594" width="12" bestFit="1" customWidth="1"/>
    <col min="595" max="596" width="6" bestFit="1" customWidth="1"/>
    <col min="597" max="597" width="4" bestFit="1" customWidth="1"/>
    <col min="598" max="605" width="6" bestFit="1" customWidth="1"/>
    <col min="606" max="606" width="4" bestFit="1" customWidth="1"/>
    <col min="607" max="614" width="6" bestFit="1" customWidth="1"/>
    <col min="615" max="615" width="4" bestFit="1" customWidth="1"/>
    <col min="616" max="633" width="6" bestFit="1" customWidth="1"/>
    <col min="634" max="634" width="4" bestFit="1" customWidth="1"/>
    <col min="635" max="635" width="12" bestFit="1" customWidth="1"/>
    <col min="636" max="644" width="6" bestFit="1" customWidth="1"/>
    <col min="645" max="645" width="4" bestFit="1" customWidth="1"/>
    <col min="646" max="650" width="6" bestFit="1" customWidth="1"/>
    <col min="651" max="651" width="7" bestFit="1" customWidth="1"/>
    <col min="652" max="655" width="6" bestFit="1" customWidth="1"/>
    <col min="656" max="656" width="4" bestFit="1" customWidth="1"/>
    <col min="657" max="665" width="6" bestFit="1" customWidth="1"/>
    <col min="666" max="666" width="4" bestFit="1" customWidth="1"/>
    <col min="667" max="675" width="6" bestFit="1" customWidth="1"/>
    <col min="676" max="676" width="4" bestFit="1" customWidth="1"/>
    <col min="677" max="685" width="6" bestFit="1" customWidth="1"/>
    <col min="686" max="686" width="4" bestFit="1" customWidth="1"/>
    <col min="687" max="694" width="6" bestFit="1" customWidth="1"/>
    <col min="695" max="695" width="4" bestFit="1" customWidth="1"/>
    <col min="696" max="703" width="6" bestFit="1" customWidth="1"/>
    <col min="704" max="704" width="4" bestFit="1" customWidth="1"/>
    <col min="705" max="705" width="6" bestFit="1" customWidth="1"/>
    <col min="706" max="706" width="7" bestFit="1" customWidth="1"/>
    <col min="707" max="715" width="6" bestFit="1" customWidth="1"/>
    <col min="716" max="716" width="4" bestFit="1" customWidth="1"/>
    <col min="717" max="723" width="6" bestFit="1" customWidth="1"/>
    <col min="724" max="724" width="4" bestFit="1" customWidth="1"/>
    <col min="725" max="733" width="6" bestFit="1" customWidth="1"/>
    <col min="734" max="734" width="7" bestFit="1" customWidth="1"/>
    <col min="735" max="735" width="4" bestFit="1" customWidth="1"/>
    <col min="736" max="744" width="6" bestFit="1" customWidth="1"/>
    <col min="745" max="745" width="4" bestFit="1" customWidth="1"/>
    <col min="746" max="753" width="6" bestFit="1" customWidth="1"/>
    <col min="754" max="754" width="4" bestFit="1" customWidth="1"/>
    <col min="755" max="769" width="6" bestFit="1" customWidth="1"/>
    <col min="770" max="770" width="4" bestFit="1" customWidth="1"/>
    <col min="771" max="779" width="6" bestFit="1" customWidth="1"/>
    <col min="780" max="780" width="4" bestFit="1" customWidth="1"/>
    <col min="781" max="787" width="6" bestFit="1" customWidth="1"/>
    <col min="788" max="788" width="4" bestFit="1" customWidth="1"/>
    <col min="789" max="796" width="6" bestFit="1" customWidth="1"/>
    <col min="797" max="797" width="4" bestFit="1" customWidth="1"/>
    <col min="798" max="806" width="6" bestFit="1" customWidth="1"/>
    <col min="807" max="807" width="4" bestFit="1" customWidth="1"/>
    <col min="808" max="815" width="6" bestFit="1" customWidth="1"/>
    <col min="816" max="816" width="4" bestFit="1" customWidth="1"/>
    <col min="817" max="835" width="6" bestFit="1" customWidth="1"/>
    <col min="836" max="836" width="4" bestFit="1" customWidth="1"/>
    <col min="837" max="842" width="6" bestFit="1" customWidth="1"/>
    <col min="843" max="843" width="4" bestFit="1" customWidth="1"/>
    <col min="844" max="851" width="6" bestFit="1" customWidth="1"/>
    <col min="852" max="852" width="4" bestFit="1" customWidth="1"/>
    <col min="853" max="867" width="6" bestFit="1" customWidth="1"/>
    <col min="868" max="868" width="4" bestFit="1" customWidth="1"/>
    <col min="869" max="879" width="6" bestFit="1" customWidth="1"/>
    <col min="880" max="880" width="4" bestFit="1" customWidth="1"/>
    <col min="881" max="885" width="6" bestFit="1" customWidth="1"/>
    <col min="886" max="886" width="4" bestFit="1" customWidth="1"/>
    <col min="887" max="906" width="6" bestFit="1" customWidth="1"/>
    <col min="907" max="907" width="4" bestFit="1" customWidth="1"/>
    <col min="908" max="915" width="6" bestFit="1" customWidth="1"/>
    <col min="916" max="916" width="4" bestFit="1" customWidth="1"/>
    <col min="917" max="942" width="6" bestFit="1" customWidth="1"/>
    <col min="943" max="943" width="4" bestFit="1" customWidth="1"/>
    <col min="944" max="956" width="6" bestFit="1" customWidth="1"/>
    <col min="957" max="957" width="4" bestFit="1" customWidth="1"/>
    <col min="958" max="959" width="6" bestFit="1" customWidth="1"/>
  </cols>
  <sheetData>
    <row r="2" spans="1:47" x14ac:dyDescent="0.3">
      <c r="A2" s="20" t="s">
        <v>207</v>
      </c>
      <c r="F2" s="20" t="s">
        <v>215</v>
      </c>
      <c r="J2" s="20" t="s">
        <v>230</v>
      </c>
      <c r="Q2" s="20" t="s">
        <v>228</v>
      </c>
    </row>
    <row r="3" spans="1:47" x14ac:dyDescent="0.3">
      <c r="A3" s="2" t="s">
        <v>47</v>
      </c>
      <c r="B3" t="s">
        <v>172</v>
      </c>
      <c r="F3" s="2" t="s">
        <v>0</v>
      </c>
      <c r="G3" t="s">
        <v>34</v>
      </c>
      <c r="J3" s="2" t="s">
        <v>0</v>
      </c>
      <c r="K3" t="s">
        <v>34</v>
      </c>
      <c r="Q3" s="2" t="s">
        <v>213</v>
      </c>
      <c r="R3" s="2" t="s">
        <v>1</v>
      </c>
      <c r="S3" s="2" t="s">
        <v>2</v>
      </c>
      <c r="T3" s="2" t="s">
        <v>47</v>
      </c>
    </row>
    <row r="4" spans="1:47" x14ac:dyDescent="0.3">
      <c r="R4">
        <v>2020</v>
      </c>
      <c r="S4">
        <v>2021</v>
      </c>
      <c r="AE4">
        <v>2022</v>
      </c>
      <c r="AQ4">
        <v>2023</v>
      </c>
    </row>
    <row r="5" spans="1:47" x14ac:dyDescent="0.3">
      <c r="A5" s="2" t="s">
        <v>213</v>
      </c>
      <c r="B5" s="2" t="s">
        <v>0</v>
      </c>
      <c r="F5" s="2" t="s">
        <v>213</v>
      </c>
      <c r="G5" s="2" t="s">
        <v>1</v>
      </c>
      <c r="J5" s="2" t="s">
        <v>1</v>
      </c>
      <c r="K5" t="s">
        <v>213</v>
      </c>
      <c r="R5" t="s">
        <v>45</v>
      </c>
      <c r="S5" t="s">
        <v>31</v>
      </c>
      <c r="T5" t="s">
        <v>35</v>
      </c>
      <c r="U5" t="s">
        <v>36</v>
      </c>
      <c r="V5" t="s">
        <v>37</v>
      </c>
      <c r="W5" t="s">
        <v>38</v>
      </c>
      <c r="X5" t="s">
        <v>39</v>
      </c>
      <c r="Y5" t="s">
        <v>40</v>
      </c>
      <c r="Z5" t="s">
        <v>41</v>
      </c>
      <c r="AA5" t="s">
        <v>42</v>
      </c>
      <c r="AB5" t="s">
        <v>43</v>
      </c>
      <c r="AC5" t="s">
        <v>44</v>
      </c>
      <c r="AD5" t="s">
        <v>45</v>
      </c>
      <c r="AE5" t="s">
        <v>31</v>
      </c>
      <c r="AF5" t="s">
        <v>35</v>
      </c>
      <c r="AG5" t="s">
        <v>36</v>
      </c>
      <c r="AH5" t="s">
        <v>37</v>
      </c>
      <c r="AI5" t="s">
        <v>38</v>
      </c>
      <c r="AJ5" t="s">
        <v>39</v>
      </c>
      <c r="AK5" t="s">
        <v>40</v>
      </c>
      <c r="AL5" t="s">
        <v>41</v>
      </c>
      <c r="AM5" t="s">
        <v>42</v>
      </c>
      <c r="AN5" t="s">
        <v>43</v>
      </c>
      <c r="AO5" t="s">
        <v>44</v>
      </c>
      <c r="AP5" t="s">
        <v>45</v>
      </c>
      <c r="AQ5" t="s">
        <v>31</v>
      </c>
      <c r="AR5" t="s">
        <v>35</v>
      </c>
      <c r="AS5" t="s">
        <v>36</v>
      </c>
      <c r="AT5" t="s">
        <v>37</v>
      </c>
      <c r="AU5" t="s">
        <v>38</v>
      </c>
    </row>
    <row r="6" spans="1:47" x14ac:dyDescent="0.3">
      <c r="A6" s="2" t="s">
        <v>194</v>
      </c>
      <c r="B6" t="s">
        <v>34</v>
      </c>
      <c r="C6" t="s">
        <v>30</v>
      </c>
      <c r="D6" t="s">
        <v>33</v>
      </c>
      <c r="F6" s="2" t="s">
        <v>194</v>
      </c>
      <c r="G6">
        <v>2020</v>
      </c>
      <c r="H6">
        <v>2021</v>
      </c>
      <c r="J6">
        <v>2016</v>
      </c>
      <c r="K6" s="4">
        <v>129.80432098765434</v>
      </c>
      <c r="Q6" s="2" t="s">
        <v>194</v>
      </c>
      <c r="R6" t="s">
        <v>138</v>
      </c>
      <c r="S6" t="s">
        <v>148</v>
      </c>
      <c r="T6" t="s">
        <v>147</v>
      </c>
      <c r="U6" t="s">
        <v>151</v>
      </c>
      <c r="V6" t="s">
        <v>144</v>
      </c>
      <c r="W6" t="s">
        <v>152</v>
      </c>
      <c r="X6" t="s">
        <v>150</v>
      </c>
      <c r="Y6" t="s">
        <v>149</v>
      </c>
      <c r="Z6" t="s">
        <v>145</v>
      </c>
      <c r="AA6" t="s">
        <v>155</v>
      </c>
      <c r="AB6" t="s">
        <v>154</v>
      </c>
      <c r="AC6" t="s">
        <v>153</v>
      </c>
      <c r="AD6" t="s">
        <v>146</v>
      </c>
      <c r="AE6" t="s">
        <v>160</v>
      </c>
      <c r="AF6" t="s">
        <v>159</v>
      </c>
      <c r="AG6" t="s">
        <v>163</v>
      </c>
      <c r="AH6" t="s">
        <v>156</v>
      </c>
      <c r="AI6" t="s">
        <v>164</v>
      </c>
      <c r="AJ6" t="s">
        <v>162</v>
      </c>
      <c r="AK6" t="s">
        <v>161</v>
      </c>
      <c r="AL6" t="s">
        <v>157</v>
      </c>
      <c r="AM6" t="s">
        <v>167</v>
      </c>
      <c r="AN6" t="s">
        <v>166</v>
      </c>
      <c r="AO6" t="s">
        <v>165</v>
      </c>
      <c r="AP6" t="s">
        <v>158</v>
      </c>
      <c r="AQ6" t="s">
        <v>170</v>
      </c>
      <c r="AR6" t="s">
        <v>169</v>
      </c>
      <c r="AS6" t="s">
        <v>171</v>
      </c>
      <c r="AT6" t="s">
        <v>168</v>
      </c>
      <c r="AU6" t="s">
        <v>172</v>
      </c>
    </row>
    <row r="7" spans="1:47" x14ac:dyDescent="0.3">
      <c r="A7" t="s">
        <v>189</v>
      </c>
      <c r="B7" s="4">
        <v>184.4</v>
      </c>
      <c r="C7" s="4">
        <v>189.9666666666667</v>
      </c>
      <c r="D7" s="4">
        <v>176.23333333333335</v>
      </c>
      <c r="F7" t="s">
        <v>189</v>
      </c>
      <c r="G7" s="4">
        <v>148.78395061728395</v>
      </c>
      <c r="H7" s="4">
        <v>158.50833333333333</v>
      </c>
      <c r="J7">
        <v>2017</v>
      </c>
      <c r="K7" s="4">
        <v>133.40370370370366</v>
      </c>
      <c r="Q7" t="s">
        <v>190</v>
      </c>
      <c r="R7" s="4">
        <v>144.6</v>
      </c>
      <c r="S7" s="4">
        <v>147.9</v>
      </c>
      <c r="T7" s="4">
        <v>152.4</v>
      </c>
      <c r="U7" s="4">
        <v>155.5</v>
      </c>
      <c r="V7" s="4">
        <v>155.6</v>
      </c>
      <c r="W7" s="4">
        <v>159.4</v>
      </c>
      <c r="X7" s="4">
        <v>159.80000000000001</v>
      </c>
      <c r="Y7" s="4">
        <v>160.69999999999999</v>
      </c>
      <c r="Z7" s="4">
        <v>162.6</v>
      </c>
      <c r="AA7" s="4">
        <v>162.6</v>
      </c>
      <c r="AB7" s="4">
        <v>164.2</v>
      </c>
      <c r="AC7" s="4">
        <v>163.9</v>
      </c>
      <c r="AD7" s="4">
        <v>164.1</v>
      </c>
      <c r="AE7" s="4">
        <v>164.2</v>
      </c>
      <c r="AF7" s="4">
        <v>165.7</v>
      </c>
      <c r="AG7" s="4">
        <v>167.2</v>
      </c>
      <c r="AH7" s="4">
        <v>172.2</v>
      </c>
      <c r="AI7" s="4">
        <v>174.6</v>
      </c>
      <c r="AJ7" s="4">
        <v>176</v>
      </c>
      <c r="AK7" s="4">
        <v>179.6</v>
      </c>
      <c r="AL7" s="4">
        <v>178.8</v>
      </c>
      <c r="AM7" s="4">
        <v>179.5</v>
      </c>
      <c r="AN7" s="4">
        <v>180.5</v>
      </c>
      <c r="AO7" s="4">
        <v>181.3</v>
      </c>
      <c r="AP7" s="4">
        <v>182</v>
      </c>
      <c r="AQ7" s="4">
        <v>182</v>
      </c>
      <c r="AR7" s="4">
        <v>182.1</v>
      </c>
      <c r="AS7" s="4">
        <v>181.9</v>
      </c>
      <c r="AT7" s="4">
        <v>181.7</v>
      </c>
      <c r="AU7" s="4">
        <v>182.8</v>
      </c>
    </row>
    <row r="8" spans="1:47" x14ac:dyDescent="0.3">
      <c r="A8" t="s">
        <v>26</v>
      </c>
      <c r="B8" s="4">
        <v>177.1</v>
      </c>
      <c r="C8" s="4">
        <v>180.3</v>
      </c>
      <c r="D8" s="4">
        <v>174.8</v>
      </c>
      <c r="F8" t="s">
        <v>26</v>
      </c>
      <c r="G8" s="4">
        <v>157.0574074074074</v>
      </c>
      <c r="H8" s="4">
        <v>162.11666666666667</v>
      </c>
      <c r="J8">
        <v>2018</v>
      </c>
      <c r="K8" s="4">
        <v>137.85740740740738</v>
      </c>
      <c r="Q8" t="s">
        <v>189</v>
      </c>
      <c r="R8" s="4">
        <v>151.33333333333334</v>
      </c>
      <c r="S8" s="4">
        <v>151.93333333333331</v>
      </c>
      <c r="T8" s="4">
        <v>153.46666666666667</v>
      </c>
      <c r="U8" s="4">
        <v>154.03333333333333</v>
      </c>
      <c r="V8" s="4">
        <v>154.86666666666667</v>
      </c>
      <c r="W8" s="4">
        <v>158.1</v>
      </c>
      <c r="X8" s="4">
        <v>158.23333333333332</v>
      </c>
      <c r="Y8" s="4">
        <v>159.1</v>
      </c>
      <c r="Z8" s="4">
        <v>161</v>
      </c>
      <c r="AA8" s="4">
        <v>161.06666666666669</v>
      </c>
      <c r="AB8" s="4">
        <v>162.1</v>
      </c>
      <c r="AC8" s="4">
        <v>163.46666666666667</v>
      </c>
      <c r="AD8" s="4">
        <v>164.73333333333332</v>
      </c>
      <c r="AE8" s="4">
        <v>166.36666666666667</v>
      </c>
      <c r="AF8" s="4">
        <v>167.6</v>
      </c>
      <c r="AG8" s="4">
        <v>169.26666666666665</v>
      </c>
      <c r="AH8" s="4">
        <v>171.06666666666669</v>
      </c>
      <c r="AI8" s="4">
        <v>172.86666666666667</v>
      </c>
      <c r="AJ8" s="4">
        <v>174.33333333333334</v>
      </c>
      <c r="AK8" s="4">
        <v>175.63333333333335</v>
      </c>
      <c r="AL8" s="4">
        <v>176.9</v>
      </c>
      <c r="AM8" s="4">
        <v>178.36666666666667</v>
      </c>
      <c r="AN8" s="4">
        <v>179.4</v>
      </c>
      <c r="AO8" s="4">
        <v>180.46666666666667</v>
      </c>
      <c r="AP8" s="4">
        <v>181.33333333333334</v>
      </c>
      <c r="AQ8" s="4">
        <v>182.1</v>
      </c>
      <c r="AR8" s="4">
        <v>183.33333333333334</v>
      </c>
      <c r="AS8" s="4">
        <v>183.29999999999998</v>
      </c>
      <c r="AT8" s="4">
        <v>183.93333333333331</v>
      </c>
      <c r="AU8" s="4">
        <v>184.4</v>
      </c>
    </row>
    <row r="9" spans="1:47" x14ac:dyDescent="0.3">
      <c r="A9" t="s">
        <v>190</v>
      </c>
      <c r="B9" s="4">
        <v>182.8</v>
      </c>
      <c r="C9" s="4">
        <v>182.5</v>
      </c>
      <c r="D9" s="4">
        <v>183.4</v>
      </c>
      <c r="F9" t="s">
        <v>190</v>
      </c>
      <c r="G9" s="4">
        <v>144.37777777777777</v>
      </c>
      <c r="H9" s="4">
        <v>159.05833333333331</v>
      </c>
      <c r="J9">
        <v>2019</v>
      </c>
      <c r="K9" s="4">
        <v>142.87070707070714</v>
      </c>
      <c r="Q9" t="s">
        <v>26</v>
      </c>
      <c r="R9" s="4">
        <v>159.4</v>
      </c>
      <c r="S9" s="4">
        <v>159.19999999999999</v>
      </c>
      <c r="T9" s="4">
        <v>159.5</v>
      </c>
      <c r="U9" s="4">
        <v>160.19999999999999</v>
      </c>
      <c r="V9" s="4">
        <v>160.30000000000001</v>
      </c>
      <c r="W9" s="4">
        <v>161.19999999999999</v>
      </c>
      <c r="X9" s="4">
        <v>161.69999999999999</v>
      </c>
      <c r="Y9" s="4">
        <v>163.19999999999999</v>
      </c>
      <c r="Z9" s="4">
        <v>163.80000000000001</v>
      </c>
      <c r="AA9" s="4">
        <v>163.69999999999999</v>
      </c>
      <c r="AB9" s="4">
        <v>163.9</v>
      </c>
      <c r="AC9" s="4">
        <v>164.3</v>
      </c>
      <c r="AD9" s="4">
        <v>164.4</v>
      </c>
      <c r="AE9" s="4">
        <v>164.7</v>
      </c>
      <c r="AF9" s="4">
        <v>165.4</v>
      </c>
      <c r="AG9" s="4">
        <v>166</v>
      </c>
      <c r="AH9" s="4">
        <v>166.9</v>
      </c>
      <c r="AI9" s="4">
        <v>167.9</v>
      </c>
      <c r="AJ9" s="4">
        <v>169</v>
      </c>
      <c r="AK9" s="4">
        <v>171.4</v>
      </c>
      <c r="AL9" s="4">
        <v>172.3</v>
      </c>
      <c r="AM9" s="4">
        <v>173.1</v>
      </c>
      <c r="AN9" s="4">
        <v>173.4</v>
      </c>
      <c r="AO9" s="4">
        <v>173.7</v>
      </c>
      <c r="AP9" s="4">
        <v>174.1</v>
      </c>
      <c r="AQ9" s="4">
        <v>174.3</v>
      </c>
      <c r="AR9" s="4">
        <v>175</v>
      </c>
      <c r="AS9" s="4">
        <v>175</v>
      </c>
      <c r="AT9" s="4">
        <v>176.4</v>
      </c>
      <c r="AU9" s="4">
        <v>177.1</v>
      </c>
    </row>
    <row r="10" spans="1:47" x14ac:dyDescent="0.3">
      <c r="A10" t="s">
        <v>188</v>
      </c>
      <c r="B10" s="4">
        <v>177.45384615384611</v>
      </c>
      <c r="C10" s="4">
        <v>176.2076923076923</v>
      </c>
      <c r="D10" s="4">
        <v>179.62307692307692</v>
      </c>
      <c r="F10" t="s">
        <v>188</v>
      </c>
      <c r="G10" s="4">
        <v>152.59173789173786</v>
      </c>
      <c r="H10" s="4">
        <v>163.07948717948724</v>
      </c>
      <c r="J10">
        <v>2020</v>
      </c>
      <c r="K10" s="4">
        <v>151.75113168724289</v>
      </c>
      <c r="Q10" t="s">
        <v>188</v>
      </c>
      <c r="R10" s="4">
        <v>162.23846153846154</v>
      </c>
      <c r="S10" s="4">
        <v>159.7307692307692</v>
      </c>
      <c r="T10" s="4">
        <v>156.8692307692308</v>
      </c>
      <c r="U10" s="4">
        <v>156.87692307692308</v>
      </c>
      <c r="V10" s="4">
        <v>158.77692307692308</v>
      </c>
      <c r="W10" s="4">
        <v>161.97692307692307</v>
      </c>
      <c r="X10" s="4">
        <v>164.14615384615382</v>
      </c>
      <c r="Y10" s="4">
        <v>165.15384615384616</v>
      </c>
      <c r="Z10" s="4">
        <v>164.76923076923077</v>
      </c>
      <c r="AA10" s="4">
        <v>164.76923076923077</v>
      </c>
      <c r="AB10" s="4">
        <v>167.34615384615384</v>
      </c>
      <c r="AC10" s="4">
        <v>168.77692307692308</v>
      </c>
      <c r="AD10" s="4">
        <v>167.76153846153846</v>
      </c>
      <c r="AE10" s="4">
        <v>166.47692307692307</v>
      </c>
      <c r="AF10" s="4">
        <v>166.24615384615385</v>
      </c>
      <c r="AG10" s="4">
        <v>168.01538461538465</v>
      </c>
      <c r="AH10" s="4">
        <v>170.33076923076922</v>
      </c>
      <c r="AI10" s="4">
        <v>172.22307692307692</v>
      </c>
      <c r="AJ10" s="4">
        <v>173.99230769230775</v>
      </c>
      <c r="AK10" s="4">
        <v>174.33076923076925</v>
      </c>
      <c r="AL10" s="4">
        <v>174.55384615384617</v>
      </c>
      <c r="AM10" s="4">
        <v>175.45384615384617</v>
      </c>
      <c r="AN10" s="4">
        <v>176.71538461538461</v>
      </c>
      <c r="AO10" s="4">
        <v>176.67692307692309</v>
      </c>
      <c r="AP10" s="4">
        <v>175.64615384615382</v>
      </c>
      <c r="AQ10" s="4">
        <v>176.36153846153849</v>
      </c>
      <c r="AR10" s="4">
        <v>175.3153846153846</v>
      </c>
      <c r="AS10" s="4">
        <v>175.32307692307691</v>
      </c>
      <c r="AT10" s="4">
        <v>176.12307692307695</v>
      </c>
      <c r="AU10" s="4">
        <v>177.45384615384611</v>
      </c>
    </row>
    <row r="11" spans="1:47" x14ac:dyDescent="0.3">
      <c r="A11" t="s">
        <v>23</v>
      </c>
      <c r="B11" s="4">
        <v>185.7</v>
      </c>
      <c r="C11" s="4">
        <v>187.8</v>
      </c>
      <c r="D11" s="4">
        <v>182.2</v>
      </c>
      <c r="F11" t="s">
        <v>23</v>
      </c>
      <c r="G11" s="4">
        <v>154.05555555555557</v>
      </c>
      <c r="H11" s="4">
        <v>165.84166666666667</v>
      </c>
      <c r="J11">
        <v>2021</v>
      </c>
      <c r="K11" s="4">
        <v>161.99444444444447</v>
      </c>
      <c r="Q11" t="s">
        <v>23</v>
      </c>
      <c r="R11" s="4">
        <v>158.30000000000001</v>
      </c>
      <c r="S11" s="4">
        <v>159.30000000000001</v>
      </c>
      <c r="T11" s="4">
        <v>161.30000000000001</v>
      </c>
      <c r="U11" s="4">
        <v>161.69999999999999</v>
      </c>
      <c r="V11" s="4">
        <v>162.30000000000001</v>
      </c>
      <c r="W11" s="4">
        <v>165.8</v>
      </c>
      <c r="X11" s="4">
        <v>166.3</v>
      </c>
      <c r="Y11" s="4">
        <v>167</v>
      </c>
      <c r="Z11" s="4">
        <v>168.4</v>
      </c>
      <c r="AA11" s="4">
        <v>168.4</v>
      </c>
      <c r="AB11" s="4">
        <v>169.1</v>
      </c>
      <c r="AC11" s="4">
        <v>169.9</v>
      </c>
      <c r="AD11" s="4">
        <v>170.6</v>
      </c>
      <c r="AE11" s="4">
        <v>171.4</v>
      </c>
      <c r="AF11" s="4">
        <v>172.2</v>
      </c>
      <c r="AG11" s="4">
        <v>173</v>
      </c>
      <c r="AH11" s="4">
        <v>174</v>
      </c>
      <c r="AI11" s="4">
        <v>174.8</v>
      </c>
      <c r="AJ11" s="4">
        <v>175.4</v>
      </c>
      <c r="AK11" s="4">
        <v>176.1</v>
      </c>
      <c r="AL11" s="4">
        <v>176.8</v>
      </c>
      <c r="AM11" s="4">
        <v>177.8</v>
      </c>
      <c r="AN11" s="4">
        <v>178.7</v>
      </c>
      <c r="AO11" s="4">
        <v>179.8</v>
      </c>
      <c r="AP11" s="4">
        <v>181.1</v>
      </c>
      <c r="AQ11" s="4">
        <v>182.3</v>
      </c>
      <c r="AR11" s="4">
        <v>184.4</v>
      </c>
      <c r="AS11" s="4">
        <v>184.4</v>
      </c>
      <c r="AT11" s="4">
        <v>185</v>
      </c>
      <c r="AU11" s="4">
        <v>185.7</v>
      </c>
    </row>
    <row r="12" spans="1:47" x14ac:dyDescent="0.3">
      <c r="A12" t="s">
        <v>20</v>
      </c>
      <c r="B12" s="4">
        <v>175.39999999999998</v>
      </c>
      <c r="C12" s="4">
        <v>89.9</v>
      </c>
      <c r="D12" s="4">
        <v>172.85</v>
      </c>
      <c r="F12" t="s">
        <v>20</v>
      </c>
      <c r="G12" s="4">
        <v>151.46296296296299</v>
      </c>
      <c r="H12" s="4">
        <v>158.32916666666668</v>
      </c>
      <c r="J12">
        <v>2022</v>
      </c>
      <c r="K12" s="4">
        <v>172.34351851851849</v>
      </c>
      <c r="Q12" t="s">
        <v>20</v>
      </c>
      <c r="R12" s="4">
        <v>154.05000000000001</v>
      </c>
      <c r="S12" s="4">
        <v>153.85</v>
      </c>
      <c r="T12" s="4">
        <v>155.35000000000002</v>
      </c>
      <c r="U12" s="4">
        <v>155.55000000000001</v>
      </c>
      <c r="V12" s="4">
        <v>156.60000000000002</v>
      </c>
      <c r="W12" s="4">
        <v>158.14999999999998</v>
      </c>
      <c r="X12" s="4">
        <v>157.65</v>
      </c>
      <c r="Y12" s="4">
        <v>158.65</v>
      </c>
      <c r="Z12" s="4">
        <v>159.80000000000001</v>
      </c>
      <c r="AA12" s="4">
        <v>159.80000000000001</v>
      </c>
      <c r="AB12" s="4">
        <v>161</v>
      </c>
      <c r="AC12" s="4">
        <v>161.75</v>
      </c>
      <c r="AD12" s="4">
        <v>161.80000000000001</v>
      </c>
      <c r="AE12" s="4">
        <v>162.80000000000001</v>
      </c>
      <c r="AF12" s="4">
        <v>163.65</v>
      </c>
      <c r="AG12" s="4">
        <v>164.05</v>
      </c>
      <c r="AH12" s="4">
        <v>165.5</v>
      </c>
      <c r="AI12" s="4">
        <v>166.35</v>
      </c>
      <c r="AJ12" s="4">
        <v>166.60000000000002</v>
      </c>
      <c r="AK12" s="4">
        <v>167.60000000000002</v>
      </c>
      <c r="AL12" s="4">
        <v>168.75</v>
      </c>
      <c r="AM12" s="4">
        <v>169.5</v>
      </c>
      <c r="AN12" s="4">
        <v>170.8</v>
      </c>
      <c r="AO12" s="4">
        <v>171.60000000000002</v>
      </c>
      <c r="AP12" s="4">
        <v>171.39999999999998</v>
      </c>
      <c r="AQ12" s="4">
        <v>172.5</v>
      </c>
      <c r="AR12" s="4">
        <v>173.85</v>
      </c>
      <c r="AS12" s="4">
        <v>173.85</v>
      </c>
      <c r="AT12" s="4">
        <v>174.89999999999998</v>
      </c>
      <c r="AU12" s="4">
        <v>175.39999999999998</v>
      </c>
    </row>
    <row r="13" spans="1:47" x14ac:dyDescent="0.3">
      <c r="A13" t="s">
        <v>192</v>
      </c>
      <c r="B13" s="4">
        <v>187.29999999999998</v>
      </c>
      <c r="C13" s="4">
        <v>188.1</v>
      </c>
      <c r="D13" s="4">
        <v>187.13333333333333</v>
      </c>
      <c r="F13" t="s">
        <v>192</v>
      </c>
      <c r="G13" s="4">
        <v>158.54043209876548</v>
      </c>
      <c r="H13" s="4">
        <v>169.00000000000003</v>
      </c>
      <c r="J13">
        <v>2023</v>
      </c>
      <c r="K13" s="4">
        <v>177.7148148148149</v>
      </c>
      <c r="Q13" t="s">
        <v>192</v>
      </c>
      <c r="R13" s="4">
        <v>164.56666666666666</v>
      </c>
      <c r="S13" s="4">
        <v>165.06666666666669</v>
      </c>
      <c r="T13" s="4">
        <v>165.83333333333334</v>
      </c>
      <c r="U13" s="4">
        <v>165.23333333333332</v>
      </c>
      <c r="V13" s="4">
        <v>166.20000000000002</v>
      </c>
      <c r="W13" s="4">
        <v>169.1</v>
      </c>
      <c r="X13" s="4">
        <v>169.06666666666669</v>
      </c>
      <c r="Y13" s="4">
        <v>170.1</v>
      </c>
      <c r="Z13" s="4">
        <v>170.70000000000002</v>
      </c>
      <c r="AA13" s="4">
        <v>170.70000000000002</v>
      </c>
      <c r="AB13" s="4">
        <v>171.5</v>
      </c>
      <c r="AC13" s="4">
        <v>172.16666666666666</v>
      </c>
      <c r="AD13" s="4">
        <v>172.33333333333334</v>
      </c>
      <c r="AE13" s="4">
        <v>172.63333333333333</v>
      </c>
      <c r="AF13" s="4">
        <v>173.56666666666669</v>
      </c>
      <c r="AG13" s="4">
        <v>175.16666666666666</v>
      </c>
      <c r="AH13" s="4">
        <v>176.5</v>
      </c>
      <c r="AI13" s="4">
        <v>176.66666666666666</v>
      </c>
      <c r="AJ13" s="4">
        <v>177.06666666666669</v>
      </c>
      <c r="AK13" s="4">
        <v>177.56666666666663</v>
      </c>
      <c r="AL13" s="4">
        <v>178.43333333333331</v>
      </c>
      <c r="AM13" s="4">
        <v>178.83333333333334</v>
      </c>
      <c r="AN13" s="4">
        <v>179.63333333333333</v>
      </c>
      <c r="AO13" s="4">
        <v>180.53333333333333</v>
      </c>
      <c r="AP13" s="4">
        <v>181.70000000000002</v>
      </c>
      <c r="AQ13" s="4">
        <v>183.19999999999996</v>
      </c>
      <c r="AR13" s="4">
        <v>184.86666666666667</v>
      </c>
      <c r="AS13" s="4">
        <v>184.86666666666667</v>
      </c>
      <c r="AT13" s="4">
        <v>186.53333333333333</v>
      </c>
      <c r="AU13" s="4">
        <v>187.29999999999998</v>
      </c>
    </row>
    <row r="14" spans="1:47" x14ac:dyDescent="0.3">
      <c r="A14" t="s">
        <v>195</v>
      </c>
      <c r="B14" s="4">
        <v>171.2</v>
      </c>
      <c r="C14" s="4">
        <v>173.8</v>
      </c>
      <c r="D14" s="4">
        <v>169.2</v>
      </c>
      <c r="F14" t="s">
        <v>195</v>
      </c>
      <c r="G14" s="4">
        <v>145.58611111111111</v>
      </c>
      <c r="H14" s="4">
        <v>155.6</v>
      </c>
      <c r="Q14" t="s">
        <v>195</v>
      </c>
      <c r="R14" s="4">
        <v>148.5</v>
      </c>
      <c r="S14" s="4">
        <v>149.6</v>
      </c>
      <c r="T14" s="4">
        <v>151.5</v>
      </c>
      <c r="U14" s="4">
        <v>152.6</v>
      </c>
      <c r="V14" s="4">
        <v>153.19999999999999</v>
      </c>
      <c r="W14" s="4">
        <v>155.80000000000001</v>
      </c>
      <c r="X14" s="4">
        <v>154.9</v>
      </c>
      <c r="Y14" s="4">
        <v>155.30000000000001</v>
      </c>
      <c r="Z14" s="4">
        <v>157.6</v>
      </c>
      <c r="AA14" s="4">
        <v>157.69999999999999</v>
      </c>
      <c r="AB14" s="4">
        <v>158.6</v>
      </c>
      <c r="AC14" s="4">
        <v>159.80000000000001</v>
      </c>
      <c r="AD14" s="4">
        <v>160.6</v>
      </c>
      <c r="AE14" s="4">
        <v>161.19999999999999</v>
      </c>
      <c r="AF14" s="4">
        <v>162.1</v>
      </c>
      <c r="AG14" s="4">
        <v>163.30000000000001</v>
      </c>
      <c r="AH14" s="4">
        <v>164.4</v>
      </c>
      <c r="AI14" s="4">
        <v>165.1</v>
      </c>
      <c r="AJ14" s="4">
        <v>165.8</v>
      </c>
      <c r="AK14" s="4">
        <v>166.3</v>
      </c>
      <c r="AL14" s="4">
        <v>166.9</v>
      </c>
      <c r="AM14" s="4">
        <v>167.6</v>
      </c>
      <c r="AN14" s="4">
        <v>168.2</v>
      </c>
      <c r="AO14" s="4">
        <v>168.5</v>
      </c>
      <c r="AP14" s="4">
        <v>168.9</v>
      </c>
      <c r="AQ14" s="4">
        <v>169.5</v>
      </c>
      <c r="AR14" s="4">
        <v>170.3</v>
      </c>
      <c r="AS14" s="4">
        <v>170.3</v>
      </c>
      <c r="AT14" s="4">
        <v>170.7</v>
      </c>
      <c r="AU14" s="4">
        <v>171.2</v>
      </c>
    </row>
    <row r="15" spans="1:47" x14ac:dyDescent="0.3">
      <c r="A15" t="s">
        <v>191</v>
      </c>
      <c r="B15" s="4">
        <v>164.8</v>
      </c>
      <c r="C15" s="4">
        <v>169.7</v>
      </c>
      <c r="D15" s="4">
        <v>160.4</v>
      </c>
      <c r="F15" t="s">
        <v>191</v>
      </c>
      <c r="G15" s="4">
        <v>134.98055555555558</v>
      </c>
      <c r="H15" s="4">
        <v>150.55833333333331</v>
      </c>
      <c r="Q15" t="s">
        <v>191</v>
      </c>
      <c r="R15" s="4">
        <v>140.69999999999999</v>
      </c>
      <c r="S15" s="4">
        <v>141.9</v>
      </c>
      <c r="T15" s="4">
        <v>145.1</v>
      </c>
      <c r="U15" s="4">
        <v>146.19999999999999</v>
      </c>
      <c r="V15" s="4">
        <v>146.6</v>
      </c>
      <c r="W15" s="4">
        <v>148.9</v>
      </c>
      <c r="X15" s="4">
        <v>150.69999999999999</v>
      </c>
      <c r="Y15" s="4">
        <v>153.1</v>
      </c>
      <c r="Z15" s="4">
        <v>154</v>
      </c>
      <c r="AA15" s="4">
        <v>154</v>
      </c>
      <c r="AB15" s="4">
        <v>155.69999999999999</v>
      </c>
      <c r="AC15" s="4">
        <v>154.80000000000001</v>
      </c>
      <c r="AD15" s="4">
        <v>155.69999999999999</v>
      </c>
      <c r="AE15" s="4">
        <v>156.5</v>
      </c>
      <c r="AF15" s="4">
        <v>156.9</v>
      </c>
      <c r="AG15" s="4">
        <v>157.9</v>
      </c>
      <c r="AH15" s="4">
        <v>162.6</v>
      </c>
      <c r="AI15" s="4">
        <v>163</v>
      </c>
      <c r="AJ15" s="4">
        <v>161.1</v>
      </c>
      <c r="AK15" s="4">
        <v>161.6</v>
      </c>
      <c r="AL15" s="4">
        <v>161.9</v>
      </c>
      <c r="AM15" s="4">
        <v>162.30000000000001</v>
      </c>
      <c r="AN15" s="4">
        <v>162.9</v>
      </c>
      <c r="AO15" s="4">
        <v>163</v>
      </c>
      <c r="AP15" s="4">
        <v>163.4</v>
      </c>
      <c r="AQ15" s="4">
        <v>163.6</v>
      </c>
      <c r="AR15" s="4">
        <v>164.2</v>
      </c>
      <c r="AS15" s="4">
        <v>164.2</v>
      </c>
      <c r="AT15" s="4">
        <v>164.5</v>
      </c>
      <c r="AU15" s="4">
        <v>164.8</v>
      </c>
    </row>
    <row r="16" spans="1:47" x14ac:dyDescent="0.3">
      <c r="A16" t="s">
        <v>206</v>
      </c>
      <c r="B16" s="4">
        <v>179.1</v>
      </c>
      <c r="C16" s="4">
        <v>179.8</v>
      </c>
      <c r="D16" s="4">
        <v>178.2</v>
      </c>
      <c r="Q16" t="s">
        <v>206</v>
      </c>
      <c r="R16" s="4">
        <v>158.9</v>
      </c>
      <c r="S16" s="4">
        <v>157.30000000000001</v>
      </c>
      <c r="T16" s="4">
        <v>156.6</v>
      </c>
      <c r="U16" s="4">
        <v>156.80000000000001</v>
      </c>
      <c r="V16" s="4">
        <v>157.80000000000001</v>
      </c>
      <c r="W16" s="4">
        <v>160.4</v>
      </c>
      <c r="X16" s="4">
        <v>161.30000000000001</v>
      </c>
      <c r="Y16" s="4">
        <v>162.5</v>
      </c>
      <c r="Z16" s="4">
        <v>163.19999999999999</v>
      </c>
      <c r="AA16" s="4">
        <v>163.19999999999999</v>
      </c>
      <c r="AB16" s="4">
        <v>165.5</v>
      </c>
      <c r="AC16" s="4">
        <v>166.7</v>
      </c>
      <c r="AD16" s="4">
        <v>166.2</v>
      </c>
      <c r="AE16" s="4">
        <v>165.7</v>
      </c>
      <c r="AF16" s="4">
        <v>166.1</v>
      </c>
      <c r="AG16" s="4">
        <v>167.7</v>
      </c>
      <c r="AH16" s="4">
        <v>170.1</v>
      </c>
      <c r="AI16" s="4">
        <v>171.7</v>
      </c>
      <c r="AJ16" s="4">
        <v>172.6</v>
      </c>
      <c r="AK16" s="4">
        <v>173.4</v>
      </c>
      <c r="AL16" s="4">
        <v>174.3</v>
      </c>
      <c r="AM16" s="4">
        <v>175.3</v>
      </c>
      <c r="AN16" s="4">
        <v>176.7</v>
      </c>
      <c r="AO16" s="4">
        <v>176.5</v>
      </c>
      <c r="AP16" s="4">
        <v>175.7</v>
      </c>
      <c r="AQ16" s="4">
        <v>176.5</v>
      </c>
      <c r="AR16" s="4">
        <v>177.2</v>
      </c>
      <c r="AS16" s="4">
        <v>177.2</v>
      </c>
      <c r="AT16" s="4">
        <v>178.1</v>
      </c>
      <c r="AU16" s="4">
        <v>179.1</v>
      </c>
    </row>
    <row r="21" spans="1:38" x14ac:dyDescent="0.3">
      <c r="A21" s="20" t="s">
        <v>203</v>
      </c>
      <c r="Q21" s="20" t="s">
        <v>219</v>
      </c>
      <c r="Z21" s="20" t="s">
        <v>204</v>
      </c>
    </row>
    <row r="22" spans="1:38" x14ac:dyDescent="0.3">
      <c r="A22" s="2" t="s">
        <v>213</v>
      </c>
      <c r="C22" s="2" t="s">
        <v>1</v>
      </c>
      <c r="D22" s="2" t="s">
        <v>47</v>
      </c>
      <c r="Q22" s="2" t="s">
        <v>213</v>
      </c>
      <c r="R22" s="2" t="s">
        <v>1</v>
      </c>
      <c r="Z22" s="2" t="s">
        <v>213</v>
      </c>
      <c r="AA22" s="2" t="s">
        <v>1</v>
      </c>
      <c r="AB22" s="2" t="s">
        <v>2</v>
      </c>
      <c r="AC22" s="2" t="s">
        <v>47</v>
      </c>
    </row>
    <row r="23" spans="1:38" x14ac:dyDescent="0.3">
      <c r="C23">
        <v>2022</v>
      </c>
      <c r="K23">
        <v>2023</v>
      </c>
      <c r="Q23" s="2" t="s">
        <v>194</v>
      </c>
      <c r="R23">
        <v>2017</v>
      </c>
      <c r="S23">
        <v>2018</v>
      </c>
      <c r="T23">
        <v>2019</v>
      </c>
      <c r="U23">
        <v>2020</v>
      </c>
      <c r="V23">
        <v>2021</v>
      </c>
      <c r="W23">
        <v>2022</v>
      </c>
      <c r="X23">
        <v>2023</v>
      </c>
      <c r="AA23">
        <v>2020</v>
      </c>
    </row>
    <row r="24" spans="1:38" x14ac:dyDescent="0.3">
      <c r="A24" s="2" t="s">
        <v>194</v>
      </c>
      <c r="B24" s="2" t="s">
        <v>53</v>
      </c>
      <c r="C24" t="s">
        <v>164</v>
      </c>
      <c r="D24" t="s">
        <v>162</v>
      </c>
      <c r="E24" t="s">
        <v>161</v>
      </c>
      <c r="F24" t="s">
        <v>157</v>
      </c>
      <c r="G24" t="s">
        <v>167</v>
      </c>
      <c r="H24" t="s">
        <v>166</v>
      </c>
      <c r="I24" t="s">
        <v>165</v>
      </c>
      <c r="J24" t="s">
        <v>158</v>
      </c>
      <c r="K24" t="s">
        <v>170</v>
      </c>
      <c r="L24" t="s">
        <v>169</v>
      </c>
      <c r="M24" t="s">
        <v>171</v>
      </c>
      <c r="N24" t="s">
        <v>168</v>
      </c>
      <c r="O24" t="s">
        <v>172</v>
      </c>
      <c r="Q24" t="s">
        <v>189</v>
      </c>
      <c r="R24" s="4">
        <v>136.77222222222224</v>
      </c>
      <c r="S24" s="4">
        <v>143.03055555555559</v>
      </c>
      <c r="T24" s="4">
        <v>145.59696969696972</v>
      </c>
      <c r="U24" s="4">
        <v>148.78395061728395</v>
      </c>
      <c r="V24" s="4">
        <v>158.50833333333333</v>
      </c>
      <c r="W24" s="4">
        <v>174.46666666666667</v>
      </c>
      <c r="X24" s="4">
        <v>183.41333333333333</v>
      </c>
      <c r="AA24" t="s">
        <v>31</v>
      </c>
      <c r="AB24" t="s">
        <v>35</v>
      </c>
      <c r="AC24" t="s">
        <v>36</v>
      </c>
      <c r="AD24" t="s">
        <v>37</v>
      </c>
      <c r="AE24" t="s">
        <v>38</v>
      </c>
      <c r="AF24" t="s">
        <v>39</v>
      </c>
      <c r="AG24" t="s">
        <v>40</v>
      </c>
      <c r="AH24" t="s">
        <v>41</v>
      </c>
      <c r="AI24" t="s">
        <v>42</v>
      </c>
      <c r="AJ24" t="s">
        <v>43</v>
      </c>
      <c r="AK24" t="s">
        <v>44</v>
      </c>
      <c r="AL24" t="s">
        <v>45</v>
      </c>
    </row>
    <row r="25" spans="1:38" x14ac:dyDescent="0.3">
      <c r="A25" t="s">
        <v>188</v>
      </c>
      <c r="B25" t="s">
        <v>3</v>
      </c>
      <c r="C25" s="4">
        <v>154.1</v>
      </c>
      <c r="D25" s="4">
        <v>155</v>
      </c>
      <c r="E25" s="4">
        <v>156.5</v>
      </c>
      <c r="F25" s="4">
        <v>160.30000000000001</v>
      </c>
      <c r="G25" s="4">
        <v>163.5</v>
      </c>
      <c r="H25" s="4">
        <v>165.2</v>
      </c>
      <c r="I25" s="4">
        <v>167.4</v>
      </c>
      <c r="J25" s="4">
        <v>169.2</v>
      </c>
      <c r="K25" s="4">
        <v>173.8</v>
      </c>
      <c r="L25" s="4">
        <v>174.4</v>
      </c>
      <c r="M25" s="4">
        <v>174.4</v>
      </c>
      <c r="N25" s="4">
        <v>173.8</v>
      </c>
      <c r="O25" s="4">
        <v>173.7</v>
      </c>
      <c r="Q25" t="s">
        <v>26</v>
      </c>
      <c r="R25" s="4">
        <v>136</v>
      </c>
      <c r="S25" s="4">
        <v>143.89166666666668</v>
      </c>
      <c r="T25" s="4">
        <v>153.23636363636365</v>
      </c>
      <c r="U25" s="4">
        <v>157.0574074074074</v>
      </c>
      <c r="V25" s="4">
        <v>162.11666666666667</v>
      </c>
      <c r="W25" s="4">
        <v>169.82500000000002</v>
      </c>
      <c r="X25" s="4">
        <v>175.56</v>
      </c>
      <c r="Z25" s="2" t="s">
        <v>194</v>
      </c>
      <c r="AA25" t="s">
        <v>48</v>
      </c>
      <c r="AB25" t="s">
        <v>49</v>
      </c>
      <c r="AC25" t="s">
        <v>50</v>
      </c>
      <c r="AD25" t="s">
        <v>51</v>
      </c>
      <c r="AE25" t="s">
        <v>52</v>
      </c>
      <c r="AF25" t="s">
        <v>140</v>
      </c>
      <c r="AG25" t="s">
        <v>139</v>
      </c>
      <c r="AH25" t="s">
        <v>137</v>
      </c>
      <c r="AI25" t="s">
        <v>143</v>
      </c>
      <c r="AJ25" t="s">
        <v>142</v>
      </c>
      <c r="AK25" t="s">
        <v>141</v>
      </c>
      <c r="AL25" t="s">
        <v>138</v>
      </c>
    </row>
    <row r="26" spans="1:38" x14ac:dyDescent="0.3">
      <c r="B26" t="s">
        <v>5</v>
      </c>
      <c r="C26" s="4">
        <v>162.4</v>
      </c>
      <c r="D26" s="4">
        <v>170.8</v>
      </c>
      <c r="E26" s="4">
        <v>175.2</v>
      </c>
      <c r="F26" s="4">
        <v>169.2</v>
      </c>
      <c r="G26" s="4">
        <v>169.7</v>
      </c>
      <c r="H26" s="4">
        <v>170.9</v>
      </c>
      <c r="I26" s="4">
        <v>181.4</v>
      </c>
      <c r="J26" s="4">
        <v>190.2</v>
      </c>
      <c r="K26" s="4">
        <v>194.5</v>
      </c>
      <c r="L26" s="4">
        <v>175.2</v>
      </c>
      <c r="M26" s="4">
        <v>175.2</v>
      </c>
      <c r="N26" s="4">
        <v>169.6</v>
      </c>
      <c r="O26" s="4">
        <v>173.2</v>
      </c>
      <c r="P26" s="4"/>
      <c r="Q26" t="s">
        <v>190</v>
      </c>
      <c r="R26" s="4">
        <v>130.50833333333333</v>
      </c>
      <c r="S26" s="4">
        <v>139.77500000000001</v>
      </c>
      <c r="T26" s="4">
        <v>140.24545454545455</v>
      </c>
      <c r="U26" s="4">
        <v>144.37777777777777</v>
      </c>
      <c r="V26" s="4">
        <v>159.05833333333331</v>
      </c>
      <c r="W26" s="4">
        <v>175.13333333333333</v>
      </c>
      <c r="X26" s="4">
        <v>182.1</v>
      </c>
      <c r="Z26" t="s">
        <v>189</v>
      </c>
      <c r="AA26" s="4">
        <v>147.06666666666666</v>
      </c>
      <c r="AB26" s="4">
        <v>147.33333333333334</v>
      </c>
      <c r="AC26" s="4">
        <v>147.63333333333335</v>
      </c>
      <c r="AD26" s="4">
        <v>147.34444444444443</v>
      </c>
      <c r="AE26" s="4">
        <v>145.66296296296298</v>
      </c>
      <c r="AF26" s="4">
        <v>149.43333333333334</v>
      </c>
      <c r="AG26" s="4">
        <v>149.43333333333334</v>
      </c>
      <c r="AH26" s="4">
        <v>149.4</v>
      </c>
      <c r="AI26" s="4">
        <v>149.9</v>
      </c>
      <c r="AJ26" s="4">
        <v>150.19999999999999</v>
      </c>
      <c r="AK26" s="4">
        <v>150.66666666666669</v>
      </c>
      <c r="AL26" s="4">
        <v>151.33333333333334</v>
      </c>
    </row>
    <row r="27" spans="1:38" x14ac:dyDescent="0.3">
      <c r="B27" t="s">
        <v>15</v>
      </c>
      <c r="C27" s="4">
        <v>173.3</v>
      </c>
      <c r="D27" s="4">
        <v>174.9</v>
      </c>
      <c r="E27" s="4">
        <v>175</v>
      </c>
      <c r="F27" s="4">
        <v>176.3</v>
      </c>
      <c r="G27" s="4">
        <v>177.8</v>
      </c>
      <c r="H27" s="4">
        <v>179.6</v>
      </c>
      <c r="I27" s="4">
        <v>178.3</v>
      </c>
      <c r="J27" s="4">
        <v>175.9</v>
      </c>
      <c r="K27" s="4">
        <v>176.7</v>
      </c>
      <c r="L27" s="4">
        <v>177</v>
      </c>
      <c r="M27" s="4">
        <v>177</v>
      </c>
      <c r="N27" s="4">
        <v>177.9</v>
      </c>
      <c r="O27" s="4">
        <v>179.1</v>
      </c>
      <c r="P27" s="4"/>
      <c r="Q27" t="s">
        <v>188</v>
      </c>
      <c r="R27" s="4">
        <v>134.91858974358976</v>
      </c>
      <c r="S27" s="4">
        <v>136.38141025641025</v>
      </c>
      <c r="T27" s="4">
        <v>141.0048951048951</v>
      </c>
      <c r="U27" s="4">
        <v>152.59173789173786</v>
      </c>
      <c r="V27" s="4">
        <v>163.07948717948724</v>
      </c>
      <c r="W27" s="4">
        <v>172.55512820512823</v>
      </c>
      <c r="X27" s="4">
        <v>176.11538461538453</v>
      </c>
      <c r="Z27" t="s">
        <v>26</v>
      </c>
      <c r="AA27" s="4">
        <v>156.1</v>
      </c>
      <c r="AB27" s="4">
        <v>156.19999999999999</v>
      </c>
      <c r="AC27" s="4">
        <v>156.1</v>
      </c>
      <c r="AD27" s="4">
        <v>156.13333333333333</v>
      </c>
      <c r="AE27" s="4">
        <v>154.85555555555553</v>
      </c>
      <c r="AF27" s="4">
        <v>156.4</v>
      </c>
      <c r="AG27" s="4">
        <v>156.4</v>
      </c>
      <c r="AH27" s="4">
        <v>158.5</v>
      </c>
      <c r="AI27" s="4">
        <v>157.5</v>
      </c>
      <c r="AJ27" s="4">
        <v>158.5</v>
      </c>
      <c r="AK27" s="4">
        <v>158.6</v>
      </c>
      <c r="AL27" s="4">
        <v>159.4</v>
      </c>
    </row>
    <row r="28" spans="1:38" x14ac:dyDescent="0.3">
      <c r="B28" t="s">
        <v>8</v>
      </c>
      <c r="C28" s="4">
        <v>171</v>
      </c>
      <c r="D28" s="4">
        <v>169.7</v>
      </c>
      <c r="E28" s="4">
        <v>174.2</v>
      </c>
      <c r="F28" s="4">
        <v>172.9</v>
      </c>
      <c r="G28" s="4">
        <v>165.7</v>
      </c>
      <c r="H28" s="4">
        <v>163.80000000000001</v>
      </c>
      <c r="I28" s="4">
        <v>160.69999999999999</v>
      </c>
      <c r="J28" s="4">
        <v>158</v>
      </c>
      <c r="K28" s="4">
        <v>158.30000000000001</v>
      </c>
      <c r="L28" s="4">
        <v>169.5</v>
      </c>
      <c r="M28" s="4">
        <v>169.5</v>
      </c>
      <c r="N28" s="4">
        <v>176.3</v>
      </c>
      <c r="O28" s="4">
        <v>172.2</v>
      </c>
      <c r="P28" s="4"/>
      <c r="Q28" t="s">
        <v>23</v>
      </c>
      <c r="R28" s="4">
        <v>129.54166666666666</v>
      </c>
      <c r="S28" s="4">
        <v>137.58333333333334</v>
      </c>
      <c r="T28" s="4">
        <v>147.84545454545452</v>
      </c>
      <c r="U28" s="4">
        <v>154.05555555555557</v>
      </c>
      <c r="V28" s="4">
        <v>165.84166666666667</v>
      </c>
      <c r="W28" s="4">
        <v>175.92499999999998</v>
      </c>
      <c r="X28" s="4">
        <v>184.36</v>
      </c>
      <c r="Z28" t="s">
        <v>190</v>
      </c>
      <c r="AA28" s="4">
        <v>144.6</v>
      </c>
      <c r="AB28" s="4">
        <v>147.19999999999999</v>
      </c>
      <c r="AC28" s="4">
        <v>148.9</v>
      </c>
      <c r="AD28" s="4">
        <v>144.1</v>
      </c>
      <c r="AE28" s="4">
        <v>146.73333333333335</v>
      </c>
      <c r="AF28" s="4">
        <v>141.9</v>
      </c>
      <c r="AG28" s="4">
        <v>141.9</v>
      </c>
      <c r="AH28" s="4">
        <v>143</v>
      </c>
      <c r="AI28" s="4">
        <v>142.9</v>
      </c>
      <c r="AJ28" s="4">
        <v>143.1</v>
      </c>
      <c r="AK28" s="4">
        <v>143.6</v>
      </c>
      <c r="AL28" s="4">
        <v>144.6</v>
      </c>
    </row>
    <row r="29" spans="1:38" x14ac:dyDescent="0.3">
      <c r="B29" t="s">
        <v>4</v>
      </c>
      <c r="C29" s="4">
        <v>217</v>
      </c>
      <c r="D29" s="4">
        <v>219.4</v>
      </c>
      <c r="E29" s="4">
        <v>213</v>
      </c>
      <c r="F29" s="4">
        <v>206.5</v>
      </c>
      <c r="G29" s="4">
        <v>209.2</v>
      </c>
      <c r="H29" s="4">
        <v>210.9</v>
      </c>
      <c r="I29" s="4">
        <v>209.4</v>
      </c>
      <c r="J29" s="4">
        <v>209</v>
      </c>
      <c r="K29" s="4">
        <v>210.7</v>
      </c>
      <c r="L29" s="4">
        <v>207.7</v>
      </c>
      <c r="M29" s="4">
        <v>207.7</v>
      </c>
      <c r="N29" s="4">
        <v>209.3</v>
      </c>
      <c r="O29" s="4">
        <v>214.3</v>
      </c>
      <c r="P29" s="4"/>
      <c r="Q29" t="s">
        <v>20</v>
      </c>
      <c r="R29" s="4">
        <v>132.77083333333331</v>
      </c>
      <c r="S29" s="4">
        <v>141.20833333333331</v>
      </c>
      <c r="T29" s="4">
        <v>147.56363636363633</v>
      </c>
      <c r="U29" s="4">
        <v>151.46296296296299</v>
      </c>
      <c r="V29" s="4">
        <v>158.32916666666668</v>
      </c>
      <c r="W29" s="4">
        <v>167.38333333333335</v>
      </c>
      <c r="X29" s="4">
        <v>174.1</v>
      </c>
      <c r="Z29" t="s">
        <v>188</v>
      </c>
      <c r="AA29" s="4">
        <v>149.26153846153846</v>
      </c>
      <c r="AB29" s="4">
        <v>147.04615384615383</v>
      </c>
      <c r="AC29" s="4">
        <v>145.79999999999998</v>
      </c>
      <c r="AD29" s="4">
        <v>149.93076923076924</v>
      </c>
      <c r="AE29" s="4">
        <v>147.5931623931624</v>
      </c>
      <c r="AF29" s="4">
        <v>151.2923076923077</v>
      </c>
      <c r="AG29" s="4">
        <v>151.2923076923077</v>
      </c>
      <c r="AH29" s="4">
        <v>153.4769230769231</v>
      </c>
      <c r="AI29" s="4">
        <v>154.38461538461539</v>
      </c>
      <c r="AJ29" s="4">
        <v>157.5846153846154</v>
      </c>
      <c r="AK29" s="4">
        <v>161.19999999999999</v>
      </c>
      <c r="AL29" s="4">
        <v>162.23846153846154</v>
      </c>
    </row>
    <row r="30" spans="1:38" x14ac:dyDescent="0.3">
      <c r="B30" t="s">
        <v>6</v>
      </c>
      <c r="C30" s="4">
        <v>164.9</v>
      </c>
      <c r="D30" s="4">
        <v>165.8</v>
      </c>
      <c r="E30" s="4">
        <v>166.6</v>
      </c>
      <c r="F30" s="4">
        <v>168.1</v>
      </c>
      <c r="G30" s="4">
        <v>169.7</v>
      </c>
      <c r="H30" s="4">
        <v>170.9</v>
      </c>
      <c r="I30" s="4">
        <v>172.3</v>
      </c>
      <c r="J30" s="4">
        <v>173.6</v>
      </c>
      <c r="K30" s="4">
        <v>174.6</v>
      </c>
      <c r="L30" s="4">
        <v>177.3</v>
      </c>
      <c r="M30" s="4">
        <v>177.3</v>
      </c>
      <c r="N30" s="4">
        <v>178.4</v>
      </c>
      <c r="O30" s="4">
        <v>179.5</v>
      </c>
      <c r="P30" s="4"/>
      <c r="Q30" t="s">
        <v>192</v>
      </c>
      <c r="R30" s="4">
        <v>132.88888888888889</v>
      </c>
      <c r="S30" s="4">
        <v>140.49166666666665</v>
      </c>
      <c r="T30" s="4">
        <v>147.16969696969696</v>
      </c>
      <c r="U30" s="4">
        <v>158.54043209876548</v>
      </c>
      <c r="V30" s="4">
        <v>169.00000000000003</v>
      </c>
      <c r="W30" s="4">
        <v>177.35833333333332</v>
      </c>
      <c r="X30" s="4">
        <v>185.35333333333332</v>
      </c>
      <c r="Z30" t="s">
        <v>23</v>
      </c>
      <c r="AA30" s="4">
        <v>151.19999999999999</v>
      </c>
      <c r="AB30" s="4">
        <v>151.69999999999999</v>
      </c>
      <c r="AC30" s="4">
        <v>152.30000000000001</v>
      </c>
      <c r="AD30" s="4">
        <v>150.69999999999999</v>
      </c>
      <c r="AE30" s="4">
        <v>151.56666666666666</v>
      </c>
      <c r="AF30" s="4">
        <v>154.4</v>
      </c>
      <c r="AG30" s="4">
        <v>154.4</v>
      </c>
      <c r="AH30" s="4">
        <v>155</v>
      </c>
      <c r="AI30" s="4">
        <v>155.6</v>
      </c>
      <c r="AJ30" s="4">
        <v>156.30000000000001</v>
      </c>
      <c r="AK30" s="4">
        <v>157.19999999999999</v>
      </c>
      <c r="AL30" s="4">
        <v>158.30000000000001</v>
      </c>
    </row>
    <row r="31" spans="1:38" x14ac:dyDescent="0.3">
      <c r="B31" t="s">
        <v>13</v>
      </c>
      <c r="C31" s="4">
        <v>167.1</v>
      </c>
      <c r="D31" s="4">
        <v>167.9</v>
      </c>
      <c r="E31" s="4">
        <v>168.4</v>
      </c>
      <c r="F31" s="4">
        <v>168.8</v>
      </c>
      <c r="G31" s="4">
        <v>169.4</v>
      </c>
      <c r="H31" s="4">
        <v>169.9</v>
      </c>
      <c r="I31" s="4">
        <v>170.4</v>
      </c>
      <c r="J31" s="4">
        <v>171</v>
      </c>
      <c r="K31" s="4">
        <v>171.4</v>
      </c>
      <c r="L31" s="4">
        <v>172.3</v>
      </c>
      <c r="M31" s="4">
        <v>172.3</v>
      </c>
      <c r="N31" s="4">
        <v>172.9</v>
      </c>
      <c r="O31" s="4">
        <v>173.4</v>
      </c>
      <c r="P31" s="4"/>
      <c r="Q31" t="s">
        <v>195</v>
      </c>
      <c r="R31" s="4">
        <v>126.55</v>
      </c>
      <c r="S31" s="4">
        <v>133.05833333333331</v>
      </c>
      <c r="T31" s="4">
        <v>139.91818181818181</v>
      </c>
      <c r="U31" s="4">
        <v>145.58611111111111</v>
      </c>
      <c r="V31" s="4">
        <v>155.6</v>
      </c>
      <c r="W31" s="4">
        <v>165.69166666666669</v>
      </c>
      <c r="X31" s="4">
        <v>170.4</v>
      </c>
      <c r="Z31" t="s">
        <v>20</v>
      </c>
      <c r="AA31" s="4">
        <v>150.05000000000001</v>
      </c>
      <c r="AB31" s="4">
        <v>150.60000000000002</v>
      </c>
      <c r="AC31" s="4">
        <v>150.44999999999999</v>
      </c>
      <c r="AD31" s="4">
        <v>150.96666666666667</v>
      </c>
      <c r="AE31" s="4">
        <v>149.6888888888889</v>
      </c>
      <c r="AF31" s="4">
        <v>150.55000000000001</v>
      </c>
      <c r="AG31" s="4">
        <v>150.55000000000001</v>
      </c>
      <c r="AH31" s="4">
        <v>151.94999999999999</v>
      </c>
      <c r="AI31" s="4">
        <v>152.5</v>
      </c>
      <c r="AJ31" s="4">
        <v>152.6</v>
      </c>
      <c r="AK31" s="4">
        <v>153.6</v>
      </c>
      <c r="AL31" s="4">
        <v>154.05000000000001</v>
      </c>
    </row>
    <row r="32" spans="1:38" x14ac:dyDescent="0.3">
      <c r="B32" t="s">
        <v>7</v>
      </c>
      <c r="C32" s="4">
        <v>202.4</v>
      </c>
      <c r="D32" s="4">
        <v>200.9</v>
      </c>
      <c r="E32" s="4">
        <v>195.8</v>
      </c>
      <c r="F32" s="4">
        <v>192.4</v>
      </c>
      <c r="G32" s="4">
        <v>188.7</v>
      </c>
      <c r="H32" s="4">
        <v>186.5</v>
      </c>
      <c r="I32" s="4">
        <v>188.9</v>
      </c>
      <c r="J32" s="4">
        <v>188.5</v>
      </c>
      <c r="K32" s="4">
        <v>187.2</v>
      </c>
      <c r="L32" s="4">
        <v>179.3</v>
      </c>
      <c r="M32" s="4">
        <v>179.2</v>
      </c>
      <c r="N32" s="4">
        <v>174.9</v>
      </c>
      <c r="O32" s="4">
        <v>170</v>
      </c>
      <c r="P32" s="4"/>
      <c r="Q32" t="s">
        <v>191</v>
      </c>
      <c r="R32" s="4">
        <v>117.33333333333331</v>
      </c>
      <c r="S32" s="4">
        <v>123.125</v>
      </c>
      <c r="T32" s="4">
        <v>125.59090909090909</v>
      </c>
      <c r="U32" s="4">
        <v>134.98055555555558</v>
      </c>
      <c r="V32" s="4">
        <v>150.55833333333331</v>
      </c>
      <c r="W32" s="4">
        <v>161.09166666666667</v>
      </c>
      <c r="X32" s="4">
        <v>164.26</v>
      </c>
      <c r="Z32" t="s">
        <v>192</v>
      </c>
      <c r="AA32" s="4">
        <v>151.63333333333333</v>
      </c>
      <c r="AB32" s="4">
        <v>152.36666666666667</v>
      </c>
      <c r="AC32" s="4">
        <v>153.4</v>
      </c>
      <c r="AD32" s="4">
        <v>152.46666666666667</v>
      </c>
      <c r="AE32" s="4">
        <v>152.38518518518518</v>
      </c>
      <c r="AF32" s="4">
        <v>160.70000000000002</v>
      </c>
      <c r="AG32" s="4">
        <v>160.70000000000002</v>
      </c>
      <c r="AH32" s="4">
        <v>161.96666666666667</v>
      </c>
      <c r="AI32" s="4">
        <v>164.26666666666668</v>
      </c>
      <c r="AJ32" s="4">
        <v>163.9</v>
      </c>
      <c r="AK32" s="4">
        <v>164.13333333333335</v>
      </c>
      <c r="AL32" s="4">
        <v>164.56666666666666</v>
      </c>
    </row>
    <row r="33" spans="1:38" x14ac:dyDescent="0.3">
      <c r="B33" t="s">
        <v>14</v>
      </c>
      <c r="C33" s="4">
        <v>182.5</v>
      </c>
      <c r="D33" s="4">
        <v>183.9</v>
      </c>
      <c r="E33" s="4">
        <v>185.2</v>
      </c>
      <c r="F33" s="4">
        <v>186.3</v>
      </c>
      <c r="G33" s="4">
        <v>187.4</v>
      </c>
      <c r="H33" s="4">
        <v>188.3</v>
      </c>
      <c r="I33" s="4">
        <v>189.5</v>
      </c>
      <c r="J33" s="4">
        <v>190.3</v>
      </c>
      <c r="K33" s="4">
        <v>191.2</v>
      </c>
      <c r="L33" s="4">
        <v>193</v>
      </c>
      <c r="M33" s="4">
        <v>193</v>
      </c>
      <c r="N33" s="4">
        <v>193.5</v>
      </c>
      <c r="O33" s="4">
        <v>194.2</v>
      </c>
      <c r="P33" s="4"/>
      <c r="Q33" t="s">
        <v>206</v>
      </c>
      <c r="R33" s="4">
        <v>133.49999999999997</v>
      </c>
      <c r="S33" s="4">
        <v>138.77500000000001</v>
      </c>
      <c r="T33" s="4">
        <v>144.18181818181819</v>
      </c>
      <c r="U33" s="4">
        <v>152.63148148148147</v>
      </c>
      <c r="V33" s="4">
        <v>161.45833333333331</v>
      </c>
      <c r="W33" s="4">
        <v>172.15</v>
      </c>
      <c r="X33" s="4">
        <v>177.62</v>
      </c>
      <c r="Z33" t="s">
        <v>195</v>
      </c>
      <c r="AA33" s="4">
        <v>142.80000000000001</v>
      </c>
      <c r="AB33" s="4">
        <v>143.19999999999999</v>
      </c>
      <c r="AC33" s="4">
        <v>143.69999999999999</v>
      </c>
      <c r="AD33" s="4">
        <v>143.23333333333332</v>
      </c>
      <c r="AE33" s="4">
        <v>141.5</v>
      </c>
      <c r="AF33" s="4">
        <v>148.30000000000001</v>
      </c>
      <c r="AG33" s="4">
        <v>148.30000000000001</v>
      </c>
      <c r="AH33" s="4">
        <v>146</v>
      </c>
      <c r="AI33" s="4">
        <v>146.6</v>
      </c>
      <c r="AJ33" s="4">
        <v>146.5</v>
      </c>
      <c r="AK33" s="4">
        <v>148.4</v>
      </c>
      <c r="AL33" s="4">
        <v>148.5</v>
      </c>
    </row>
    <row r="34" spans="1:38" x14ac:dyDescent="0.3">
      <c r="B34" t="s">
        <v>10</v>
      </c>
      <c r="C34" s="4">
        <v>164.7</v>
      </c>
      <c r="D34" s="4">
        <v>164.3</v>
      </c>
      <c r="E34" s="4">
        <v>164.3</v>
      </c>
      <c r="F34" s="4">
        <v>167.2</v>
      </c>
      <c r="G34" s="4">
        <v>169.1</v>
      </c>
      <c r="H34" s="4">
        <v>169.8</v>
      </c>
      <c r="I34" s="4">
        <v>170.5</v>
      </c>
      <c r="J34" s="4">
        <v>170.8</v>
      </c>
      <c r="K34" s="4">
        <v>170.9</v>
      </c>
      <c r="L34" s="4">
        <v>171</v>
      </c>
      <c r="M34" s="4">
        <v>171.1</v>
      </c>
      <c r="N34" s="4">
        <v>173.4</v>
      </c>
      <c r="O34" s="4">
        <v>175.6</v>
      </c>
      <c r="P34" s="4"/>
      <c r="Z34" t="s">
        <v>191</v>
      </c>
      <c r="AA34" s="4">
        <v>130.9</v>
      </c>
      <c r="AB34" s="4">
        <v>130.30000000000001</v>
      </c>
      <c r="AC34" s="4">
        <v>129.9</v>
      </c>
      <c r="AD34" s="4">
        <v>130.36666666666667</v>
      </c>
      <c r="AE34" s="4">
        <v>128.50000000000003</v>
      </c>
      <c r="AF34" s="4">
        <v>135</v>
      </c>
      <c r="AG34" s="4">
        <v>135</v>
      </c>
      <c r="AH34" s="4">
        <v>138.5</v>
      </c>
      <c r="AI34" s="4">
        <v>139.6</v>
      </c>
      <c r="AJ34" s="4">
        <v>140.6</v>
      </c>
      <c r="AK34" s="4">
        <v>140.4</v>
      </c>
      <c r="AL34" s="4">
        <v>140.69999999999999</v>
      </c>
    </row>
    <row r="35" spans="1:38" x14ac:dyDescent="0.3">
      <c r="B35" t="s">
        <v>12</v>
      </c>
      <c r="C35" s="4">
        <v>184.9</v>
      </c>
      <c r="D35" s="4">
        <v>187.1</v>
      </c>
      <c r="E35" s="4">
        <v>190</v>
      </c>
      <c r="F35" s="4">
        <v>193.6</v>
      </c>
      <c r="G35" s="4">
        <v>197.3</v>
      </c>
      <c r="H35" s="4">
        <v>199.9</v>
      </c>
      <c r="I35" s="4">
        <v>202.8</v>
      </c>
      <c r="J35" s="4">
        <v>205.2</v>
      </c>
      <c r="K35" s="4">
        <v>208.4</v>
      </c>
      <c r="L35" s="4">
        <v>209.7</v>
      </c>
      <c r="M35" s="4">
        <v>209.7</v>
      </c>
      <c r="N35" s="4">
        <v>212.9</v>
      </c>
      <c r="O35" s="4">
        <v>218</v>
      </c>
      <c r="P35" s="4"/>
      <c r="Z35" t="s">
        <v>206</v>
      </c>
      <c r="AA35" s="4">
        <v>150.19999999999999</v>
      </c>
      <c r="AB35" s="4">
        <v>149.1</v>
      </c>
      <c r="AC35" s="4">
        <v>148.6</v>
      </c>
      <c r="AD35" s="4">
        <v>149.29999999999998</v>
      </c>
      <c r="AE35" s="4">
        <v>148.47777777777776</v>
      </c>
      <c r="AF35" s="4">
        <v>151.80000000000001</v>
      </c>
      <c r="AG35" s="4">
        <v>151.80000000000001</v>
      </c>
      <c r="AH35" s="4">
        <v>153.9</v>
      </c>
      <c r="AI35" s="4">
        <v>154.69999999999999</v>
      </c>
      <c r="AJ35" s="4">
        <v>156.4</v>
      </c>
      <c r="AK35" s="4">
        <v>158.4</v>
      </c>
      <c r="AL35" s="4">
        <v>158.9</v>
      </c>
    </row>
    <row r="36" spans="1:38" x14ac:dyDescent="0.3">
      <c r="B36" t="s">
        <v>11</v>
      </c>
      <c r="C36" s="4">
        <v>119.7</v>
      </c>
      <c r="D36" s="4">
        <v>119.9</v>
      </c>
      <c r="E36" s="4">
        <v>120</v>
      </c>
      <c r="F36" s="4">
        <v>120.9</v>
      </c>
      <c r="G36" s="4">
        <v>121.6</v>
      </c>
      <c r="H36" s="4">
        <v>121.9</v>
      </c>
      <c r="I36" s="4">
        <v>122.1</v>
      </c>
      <c r="J36" s="4">
        <v>121.8</v>
      </c>
      <c r="K36" s="4">
        <v>121.1</v>
      </c>
      <c r="L36" s="4">
        <v>120</v>
      </c>
      <c r="M36" s="4">
        <v>120</v>
      </c>
      <c r="N36" s="4">
        <v>121.3</v>
      </c>
      <c r="O36" s="4">
        <v>122.7</v>
      </c>
      <c r="P36" s="4"/>
    </row>
    <row r="37" spans="1:38" x14ac:dyDescent="0.3">
      <c r="B37" t="s">
        <v>9</v>
      </c>
      <c r="C37" s="4">
        <v>174.9</v>
      </c>
      <c r="D37" s="4">
        <v>182.3</v>
      </c>
      <c r="E37" s="4">
        <v>182.1</v>
      </c>
      <c r="F37" s="4">
        <v>186.7</v>
      </c>
      <c r="G37" s="4">
        <v>191.8</v>
      </c>
      <c r="H37" s="4">
        <v>199.7</v>
      </c>
      <c r="I37" s="4">
        <v>183.1</v>
      </c>
      <c r="J37" s="4">
        <v>159.9</v>
      </c>
      <c r="K37" s="4">
        <v>153.9</v>
      </c>
      <c r="L37" s="4">
        <v>152.69999999999999</v>
      </c>
      <c r="M37" s="4">
        <v>152.80000000000001</v>
      </c>
      <c r="N37" s="4">
        <v>155.4</v>
      </c>
      <c r="O37" s="4">
        <v>161</v>
      </c>
      <c r="P37" s="4"/>
    </row>
    <row r="38" spans="1:38" x14ac:dyDescent="0.3">
      <c r="A38" t="s">
        <v>209</v>
      </c>
      <c r="C38" s="4">
        <v>172.22307692307692</v>
      </c>
      <c r="D38" s="4">
        <v>173.99230769230775</v>
      </c>
      <c r="E38" s="4">
        <v>174.33076923076922</v>
      </c>
      <c r="F38" s="4">
        <v>174.55384615384614</v>
      </c>
      <c r="G38" s="4">
        <v>175.4538461538462</v>
      </c>
      <c r="H38" s="4">
        <v>176.71538461538461</v>
      </c>
      <c r="I38" s="4">
        <v>176.67692307692309</v>
      </c>
      <c r="J38" s="4">
        <v>175.64615384615385</v>
      </c>
      <c r="K38" s="4">
        <v>176.36153846153849</v>
      </c>
      <c r="L38" s="4">
        <v>175.31538461538457</v>
      </c>
      <c r="M38" s="4">
        <v>175.32307692307691</v>
      </c>
      <c r="N38" s="4">
        <v>176.12307692307695</v>
      </c>
      <c r="O38" s="4">
        <v>177.45384615384617</v>
      </c>
      <c r="P38" s="4"/>
    </row>
    <row r="39" spans="1:38" x14ac:dyDescent="0.3">
      <c r="P39" s="4"/>
    </row>
    <row r="41" spans="1:38" x14ac:dyDescent="0.3">
      <c r="A41" s="20" t="s">
        <v>217</v>
      </c>
    </row>
    <row r="42" spans="1:38" x14ac:dyDescent="0.3">
      <c r="A42" s="2" t="s">
        <v>194</v>
      </c>
      <c r="B42" t="s">
        <v>206</v>
      </c>
    </row>
    <row r="44" spans="1:38" x14ac:dyDescent="0.3">
      <c r="A44" s="2" t="s">
        <v>213</v>
      </c>
      <c r="B44" s="2" t="s">
        <v>0</v>
      </c>
    </row>
    <row r="45" spans="1:38" x14ac:dyDescent="0.3">
      <c r="A45" s="2" t="s">
        <v>1</v>
      </c>
      <c r="B45" t="s">
        <v>30</v>
      </c>
      <c r="C45" t="s">
        <v>33</v>
      </c>
      <c r="D45" t="s">
        <v>34</v>
      </c>
      <c r="P45" s="4"/>
    </row>
    <row r="46" spans="1:38" x14ac:dyDescent="0.3">
      <c r="A46">
        <v>2013</v>
      </c>
      <c r="B46" s="4">
        <v>110.40000000000002</v>
      </c>
      <c r="C46" s="4">
        <v>109.60833333333335</v>
      </c>
      <c r="D46" s="4">
        <v>110.03333333333332</v>
      </c>
      <c r="P46" s="4"/>
    </row>
    <row r="47" spans="1:38" x14ac:dyDescent="0.3">
      <c r="A47">
        <v>2014</v>
      </c>
      <c r="B47" s="4">
        <v>117.89166666666669</v>
      </c>
      <c r="C47" s="4">
        <v>116.74166666666667</v>
      </c>
      <c r="D47" s="4">
        <v>117.35000000000001</v>
      </c>
      <c r="P47" s="4"/>
    </row>
    <row r="48" spans="1:38" x14ac:dyDescent="0.3">
      <c r="A48">
        <v>2015</v>
      </c>
      <c r="B48" s="4">
        <v>124.30833333333334</v>
      </c>
      <c r="C48" s="4">
        <v>121.69166666666666</v>
      </c>
      <c r="D48" s="4">
        <v>123.10833333333333</v>
      </c>
      <c r="P48" s="4"/>
    </row>
    <row r="49" spans="1:78" x14ac:dyDescent="0.3">
      <c r="A49">
        <v>2016</v>
      </c>
      <c r="B49" s="4">
        <v>131.27500000000001</v>
      </c>
      <c r="C49" s="4">
        <v>126.825</v>
      </c>
      <c r="D49" s="4">
        <v>129.20000000000002</v>
      </c>
      <c r="P49" s="4"/>
    </row>
    <row r="50" spans="1:78" x14ac:dyDescent="0.3">
      <c r="A50">
        <v>2017</v>
      </c>
      <c r="B50" s="4">
        <v>135.63333333333333</v>
      </c>
      <c r="C50" s="4">
        <v>131.02500000000001</v>
      </c>
      <c r="D50" s="4">
        <v>133.49999999999997</v>
      </c>
      <c r="P50" s="4"/>
    </row>
    <row r="51" spans="1:78" x14ac:dyDescent="0.3">
      <c r="A51">
        <v>2018</v>
      </c>
      <c r="B51" s="4">
        <v>140.73333333333332</v>
      </c>
      <c r="C51" s="4">
        <v>136.49999999999997</v>
      </c>
      <c r="D51" s="4">
        <v>138.77500000000001</v>
      </c>
      <c r="P51" s="4"/>
    </row>
    <row r="52" spans="1:78" x14ac:dyDescent="0.3">
      <c r="A52">
        <v>2019</v>
      </c>
      <c r="B52" s="4">
        <v>145.18181818181819</v>
      </c>
      <c r="C52" s="4">
        <v>143.01818181818183</v>
      </c>
      <c r="D52" s="4">
        <v>144.18181818181819</v>
      </c>
      <c r="P52" s="4"/>
    </row>
    <row r="53" spans="1:78" x14ac:dyDescent="0.3">
      <c r="A53">
        <v>2020</v>
      </c>
      <c r="B53" s="4">
        <v>153.88333333333335</v>
      </c>
      <c r="C53" s="4">
        <v>151.36111111111111</v>
      </c>
      <c r="D53" s="4">
        <v>152.63148148148147</v>
      </c>
      <c r="P53" s="4"/>
    </row>
    <row r="54" spans="1:78" x14ac:dyDescent="0.3">
      <c r="A54">
        <v>2021</v>
      </c>
      <c r="B54" s="4">
        <v>162.03333333333333</v>
      </c>
      <c r="C54" s="4">
        <v>160.75833333333333</v>
      </c>
      <c r="D54" s="4">
        <v>161.45833333333331</v>
      </c>
      <c r="P54" s="4"/>
    </row>
    <row r="55" spans="1:78" x14ac:dyDescent="0.3">
      <c r="A55">
        <v>2022</v>
      </c>
      <c r="B55" s="4">
        <v>173.125</v>
      </c>
      <c r="C55" s="4">
        <v>170.94999999999996</v>
      </c>
      <c r="D55" s="4">
        <v>172.15</v>
      </c>
      <c r="P55" s="4"/>
    </row>
    <row r="56" spans="1:78" x14ac:dyDescent="0.3">
      <c r="A56">
        <v>2023</v>
      </c>
      <c r="B56" s="4">
        <v>178.48000000000002</v>
      </c>
      <c r="C56" s="4">
        <v>176.62</v>
      </c>
      <c r="D56" s="4">
        <v>177.62</v>
      </c>
      <c r="P56" s="4"/>
    </row>
    <row r="57" spans="1:78" x14ac:dyDescent="0.3">
      <c r="P57" s="4"/>
    </row>
    <row r="58" spans="1:78" x14ac:dyDescent="0.3">
      <c r="A58" s="20" t="s">
        <v>218</v>
      </c>
      <c r="P58" s="4"/>
    </row>
    <row r="59" spans="1:78" x14ac:dyDescent="0.3">
      <c r="A59" s="2" t="s">
        <v>194</v>
      </c>
      <c r="B59" t="s">
        <v>206</v>
      </c>
    </row>
    <row r="61" spans="1:78" x14ac:dyDescent="0.3">
      <c r="A61" s="2" t="s">
        <v>213</v>
      </c>
      <c r="B61" s="2" t="s">
        <v>1</v>
      </c>
      <c r="C61" s="2" t="s">
        <v>2</v>
      </c>
      <c r="D61" s="2" t="s">
        <v>47</v>
      </c>
    </row>
    <row r="62" spans="1:78" x14ac:dyDescent="0.3">
      <c r="B62">
        <v>2016</v>
      </c>
      <c r="C62">
        <v>2017</v>
      </c>
      <c r="O62">
        <v>2018</v>
      </c>
      <c r="AA62">
        <v>2019</v>
      </c>
      <c r="AL62">
        <v>2020</v>
      </c>
      <c r="AX62">
        <v>2021</v>
      </c>
      <c r="BJ62">
        <v>2022</v>
      </c>
      <c r="BV62">
        <v>2023</v>
      </c>
    </row>
    <row r="63" spans="1:78" x14ac:dyDescent="0.3">
      <c r="B63" t="s">
        <v>45</v>
      </c>
      <c r="C63" t="s">
        <v>31</v>
      </c>
      <c r="D63" t="s">
        <v>35</v>
      </c>
      <c r="E63" t="s">
        <v>36</v>
      </c>
      <c r="F63" t="s">
        <v>37</v>
      </c>
      <c r="G63" t="s">
        <v>38</v>
      </c>
      <c r="H63" t="s">
        <v>39</v>
      </c>
      <c r="I63" t="s">
        <v>40</v>
      </c>
      <c r="J63" t="s">
        <v>41</v>
      </c>
      <c r="K63" t="s">
        <v>42</v>
      </c>
      <c r="L63" t="s">
        <v>43</v>
      </c>
      <c r="M63" t="s">
        <v>44</v>
      </c>
      <c r="N63" t="s">
        <v>45</v>
      </c>
      <c r="O63" t="s">
        <v>31</v>
      </c>
      <c r="P63" t="s">
        <v>35</v>
      </c>
      <c r="Q63" t="s">
        <v>36</v>
      </c>
      <c r="R63" t="s">
        <v>37</v>
      </c>
      <c r="S63" t="s">
        <v>38</v>
      </c>
      <c r="T63" t="s">
        <v>39</v>
      </c>
      <c r="U63" t="s">
        <v>40</v>
      </c>
      <c r="V63" t="s">
        <v>41</v>
      </c>
      <c r="W63" t="s">
        <v>42</v>
      </c>
      <c r="X63" t="s">
        <v>43</v>
      </c>
      <c r="Y63" t="s">
        <v>44</v>
      </c>
      <c r="Z63" t="s">
        <v>45</v>
      </c>
      <c r="AA63" t="s">
        <v>31</v>
      </c>
      <c r="AB63" t="s">
        <v>35</v>
      </c>
      <c r="AC63" t="s">
        <v>36</v>
      </c>
      <c r="AD63" t="s">
        <v>38</v>
      </c>
      <c r="AE63" t="s">
        <v>39</v>
      </c>
      <c r="AF63" t="s">
        <v>40</v>
      </c>
      <c r="AG63" t="s">
        <v>41</v>
      </c>
      <c r="AH63" t="s">
        <v>42</v>
      </c>
      <c r="AI63" t="s">
        <v>43</v>
      </c>
      <c r="AJ63" t="s">
        <v>44</v>
      </c>
      <c r="AK63" t="s">
        <v>45</v>
      </c>
      <c r="AL63" t="s">
        <v>31</v>
      </c>
      <c r="AM63" t="s">
        <v>35</v>
      </c>
      <c r="AN63" t="s">
        <v>36</v>
      </c>
      <c r="AO63" t="s">
        <v>37</v>
      </c>
      <c r="AP63" t="s">
        <v>38</v>
      </c>
      <c r="AQ63" t="s">
        <v>39</v>
      </c>
      <c r="AR63" t="s">
        <v>40</v>
      </c>
      <c r="AS63" t="s">
        <v>41</v>
      </c>
      <c r="AT63" t="s">
        <v>42</v>
      </c>
      <c r="AU63" t="s">
        <v>43</v>
      </c>
      <c r="AV63" t="s">
        <v>44</v>
      </c>
      <c r="AW63" t="s">
        <v>45</v>
      </c>
      <c r="AX63" t="s">
        <v>31</v>
      </c>
      <c r="AY63" t="s">
        <v>35</v>
      </c>
      <c r="AZ63" t="s">
        <v>36</v>
      </c>
      <c r="BA63" t="s">
        <v>37</v>
      </c>
      <c r="BB63" t="s">
        <v>38</v>
      </c>
      <c r="BC63" t="s">
        <v>39</v>
      </c>
      <c r="BD63" t="s">
        <v>40</v>
      </c>
      <c r="BE63" t="s">
        <v>41</v>
      </c>
      <c r="BF63" t="s">
        <v>42</v>
      </c>
      <c r="BG63" t="s">
        <v>43</v>
      </c>
      <c r="BH63" t="s">
        <v>44</v>
      </c>
      <c r="BI63" t="s">
        <v>45</v>
      </c>
      <c r="BJ63" t="s">
        <v>31</v>
      </c>
      <c r="BK63" t="s">
        <v>35</v>
      </c>
      <c r="BL63" t="s">
        <v>36</v>
      </c>
      <c r="BM63" t="s">
        <v>37</v>
      </c>
      <c r="BN63" t="s">
        <v>38</v>
      </c>
      <c r="BO63" t="s">
        <v>39</v>
      </c>
      <c r="BP63" t="s">
        <v>40</v>
      </c>
      <c r="BQ63" t="s">
        <v>41</v>
      </c>
      <c r="BR63" t="s">
        <v>42</v>
      </c>
      <c r="BS63" t="s">
        <v>43</v>
      </c>
      <c r="BT63" t="s">
        <v>44</v>
      </c>
      <c r="BU63" t="s">
        <v>45</v>
      </c>
      <c r="BV63" t="s">
        <v>31</v>
      </c>
      <c r="BW63" t="s">
        <v>35</v>
      </c>
      <c r="BX63" t="s">
        <v>36</v>
      </c>
      <c r="BY63" t="s">
        <v>37</v>
      </c>
      <c r="BZ63" t="s">
        <v>38</v>
      </c>
    </row>
    <row r="64" spans="1:78" x14ac:dyDescent="0.3">
      <c r="A64" s="2" t="s">
        <v>0</v>
      </c>
      <c r="B64" t="s">
        <v>92</v>
      </c>
      <c r="C64" t="s">
        <v>106</v>
      </c>
      <c r="D64" t="s">
        <v>105</v>
      </c>
      <c r="E64" t="s">
        <v>109</v>
      </c>
      <c r="F64" t="s">
        <v>102</v>
      </c>
      <c r="G64" t="s">
        <v>110</v>
      </c>
      <c r="H64" t="s">
        <v>108</v>
      </c>
      <c r="I64" t="s">
        <v>107</v>
      </c>
      <c r="J64" t="s">
        <v>103</v>
      </c>
      <c r="K64" t="s">
        <v>113</v>
      </c>
      <c r="L64" t="s">
        <v>112</v>
      </c>
      <c r="M64" t="s">
        <v>111</v>
      </c>
      <c r="N64" t="s">
        <v>104</v>
      </c>
      <c r="O64" t="s">
        <v>118</v>
      </c>
      <c r="P64" t="s">
        <v>117</v>
      </c>
      <c r="Q64" t="s">
        <v>121</v>
      </c>
      <c r="R64" t="s">
        <v>114</v>
      </c>
      <c r="S64" t="s">
        <v>122</v>
      </c>
      <c r="T64" t="s">
        <v>120</v>
      </c>
      <c r="U64" t="s">
        <v>119</v>
      </c>
      <c r="V64" t="s">
        <v>115</v>
      </c>
      <c r="W64" t="s">
        <v>125</v>
      </c>
      <c r="X64" t="s">
        <v>124</v>
      </c>
      <c r="Y64" t="s">
        <v>123</v>
      </c>
      <c r="Z64" t="s">
        <v>116</v>
      </c>
      <c r="AA64" t="s">
        <v>129</v>
      </c>
      <c r="AB64" t="s">
        <v>128</v>
      </c>
      <c r="AC64" t="s">
        <v>132</v>
      </c>
      <c r="AD64" t="s">
        <v>133</v>
      </c>
      <c r="AE64" t="s">
        <v>131</v>
      </c>
      <c r="AF64" t="s">
        <v>130</v>
      </c>
      <c r="AG64" t="s">
        <v>126</v>
      </c>
      <c r="AH64" t="s">
        <v>136</v>
      </c>
      <c r="AI64" t="s">
        <v>135</v>
      </c>
      <c r="AJ64" t="s">
        <v>134</v>
      </c>
      <c r="AK64" t="s">
        <v>127</v>
      </c>
      <c r="AL64" t="s">
        <v>48</v>
      </c>
      <c r="AM64" t="s">
        <v>49</v>
      </c>
      <c r="AN64" t="s">
        <v>50</v>
      </c>
      <c r="AO64" t="s">
        <v>51</v>
      </c>
      <c r="AP64" t="s">
        <v>52</v>
      </c>
      <c r="AQ64" t="s">
        <v>140</v>
      </c>
      <c r="AR64" t="s">
        <v>139</v>
      </c>
      <c r="AS64" t="s">
        <v>137</v>
      </c>
      <c r="AT64" t="s">
        <v>143</v>
      </c>
      <c r="AU64" t="s">
        <v>142</v>
      </c>
      <c r="AV64" t="s">
        <v>141</v>
      </c>
      <c r="AW64" t="s">
        <v>138</v>
      </c>
      <c r="AX64" t="s">
        <v>148</v>
      </c>
      <c r="AY64" t="s">
        <v>147</v>
      </c>
      <c r="AZ64" t="s">
        <v>151</v>
      </c>
      <c r="BA64" t="s">
        <v>144</v>
      </c>
      <c r="BB64" t="s">
        <v>152</v>
      </c>
      <c r="BC64" t="s">
        <v>150</v>
      </c>
      <c r="BD64" t="s">
        <v>149</v>
      </c>
      <c r="BE64" t="s">
        <v>145</v>
      </c>
      <c r="BF64" t="s">
        <v>155</v>
      </c>
      <c r="BG64" t="s">
        <v>154</v>
      </c>
      <c r="BH64" t="s">
        <v>153</v>
      </c>
      <c r="BI64" t="s">
        <v>146</v>
      </c>
      <c r="BJ64" t="s">
        <v>160</v>
      </c>
      <c r="BK64" t="s">
        <v>159</v>
      </c>
      <c r="BL64" t="s">
        <v>163</v>
      </c>
      <c r="BM64" t="s">
        <v>156</v>
      </c>
      <c r="BN64" t="s">
        <v>164</v>
      </c>
      <c r="BO64" t="s">
        <v>162</v>
      </c>
      <c r="BP64" t="s">
        <v>161</v>
      </c>
      <c r="BQ64" t="s">
        <v>157</v>
      </c>
      <c r="BR64" t="s">
        <v>167</v>
      </c>
      <c r="BS64" t="s">
        <v>166</v>
      </c>
      <c r="BT64" t="s">
        <v>165</v>
      </c>
      <c r="BU64" t="s">
        <v>158</v>
      </c>
      <c r="BV64" t="s">
        <v>170</v>
      </c>
      <c r="BW64" t="s">
        <v>169</v>
      </c>
      <c r="BX64" t="s">
        <v>171</v>
      </c>
      <c r="BY64" t="s">
        <v>168</v>
      </c>
      <c r="BZ64" t="s">
        <v>172</v>
      </c>
    </row>
    <row r="65" spans="1:78" x14ac:dyDescent="0.3">
      <c r="A65" t="s">
        <v>34</v>
      </c>
      <c r="B65" s="4">
        <v>130.4</v>
      </c>
      <c r="C65" s="4">
        <v>130.30000000000001</v>
      </c>
      <c r="D65" s="4">
        <v>130.6</v>
      </c>
      <c r="E65" s="4">
        <v>130.9</v>
      </c>
      <c r="F65" s="4">
        <v>131.1</v>
      </c>
      <c r="G65" s="4">
        <v>131.4</v>
      </c>
      <c r="H65" s="4">
        <v>132</v>
      </c>
      <c r="I65" s="4">
        <v>134.19999999999999</v>
      </c>
      <c r="J65" s="4">
        <v>135.4</v>
      </c>
      <c r="K65" s="4">
        <v>135.19999999999999</v>
      </c>
      <c r="L65" s="4">
        <v>136.1</v>
      </c>
      <c r="M65" s="4">
        <v>137.6</v>
      </c>
      <c r="N65" s="4">
        <v>137.19999999999999</v>
      </c>
      <c r="O65" s="4">
        <v>136.9</v>
      </c>
      <c r="P65" s="4">
        <v>136.4</v>
      </c>
      <c r="Q65" s="4">
        <v>136.5</v>
      </c>
      <c r="R65" s="4">
        <v>137.1</v>
      </c>
      <c r="S65" s="4">
        <v>137.80000000000001</v>
      </c>
      <c r="T65" s="4">
        <v>138.5</v>
      </c>
      <c r="U65" s="4">
        <v>139.80000000000001</v>
      </c>
      <c r="V65" s="4">
        <v>140.4</v>
      </c>
      <c r="W65" s="4">
        <v>140.19999999999999</v>
      </c>
      <c r="X65" s="4">
        <v>140.80000000000001</v>
      </c>
      <c r="Y65" s="4">
        <v>140.80000000000001</v>
      </c>
      <c r="Z65" s="4">
        <v>140.1</v>
      </c>
      <c r="AA65" s="4">
        <v>139.6</v>
      </c>
      <c r="AB65" s="4">
        <v>139.9</v>
      </c>
      <c r="AC65" s="4">
        <v>140.4</v>
      </c>
      <c r="AD65" s="4">
        <v>142</v>
      </c>
      <c r="AE65" s="4">
        <v>142.9</v>
      </c>
      <c r="AF65" s="4">
        <v>144.19999999999999</v>
      </c>
      <c r="AG65" s="4">
        <v>145</v>
      </c>
      <c r="AH65" s="4">
        <v>145.80000000000001</v>
      </c>
      <c r="AI65" s="4">
        <v>147.19999999999999</v>
      </c>
      <c r="AJ65" s="4">
        <v>148.6</v>
      </c>
      <c r="AK65" s="4">
        <v>150.4</v>
      </c>
      <c r="AL65" s="4">
        <v>150.19999999999999</v>
      </c>
      <c r="AM65" s="4">
        <v>149.1</v>
      </c>
      <c r="AN65" s="4">
        <v>148.6</v>
      </c>
      <c r="AO65" s="4">
        <v>149.29999999999998</v>
      </c>
      <c r="AP65" s="4">
        <v>148.47777777777776</v>
      </c>
      <c r="AQ65" s="4">
        <v>151.80000000000001</v>
      </c>
      <c r="AR65" s="4">
        <v>151.80000000000001</v>
      </c>
      <c r="AS65" s="4">
        <v>153.9</v>
      </c>
      <c r="AT65" s="4">
        <v>154.69999999999999</v>
      </c>
      <c r="AU65" s="4">
        <v>156.4</v>
      </c>
      <c r="AV65" s="4">
        <v>158.4</v>
      </c>
      <c r="AW65" s="4">
        <v>158.9</v>
      </c>
      <c r="AX65" s="4">
        <v>157.30000000000001</v>
      </c>
      <c r="AY65" s="4">
        <v>156.6</v>
      </c>
      <c r="AZ65" s="4">
        <v>156.80000000000001</v>
      </c>
      <c r="BA65" s="4">
        <v>157.80000000000001</v>
      </c>
      <c r="BB65" s="4">
        <v>160.4</v>
      </c>
      <c r="BC65" s="4">
        <v>161.30000000000001</v>
      </c>
      <c r="BD65" s="4">
        <v>162.5</v>
      </c>
      <c r="BE65" s="4">
        <v>163.19999999999999</v>
      </c>
      <c r="BF65" s="4">
        <v>163.19999999999999</v>
      </c>
      <c r="BG65" s="4">
        <v>165.5</v>
      </c>
      <c r="BH65" s="4">
        <v>166.7</v>
      </c>
      <c r="BI65" s="4">
        <v>166.2</v>
      </c>
      <c r="BJ65" s="4">
        <v>165.7</v>
      </c>
      <c r="BK65" s="4">
        <v>166.1</v>
      </c>
      <c r="BL65" s="4">
        <v>167.7</v>
      </c>
      <c r="BM65" s="4">
        <v>170.1</v>
      </c>
      <c r="BN65" s="4">
        <v>171.7</v>
      </c>
      <c r="BO65" s="4">
        <v>172.6</v>
      </c>
      <c r="BP65" s="4">
        <v>173.4</v>
      </c>
      <c r="BQ65" s="4">
        <v>174.3</v>
      </c>
      <c r="BR65" s="4">
        <v>175.3</v>
      </c>
      <c r="BS65" s="4">
        <v>176.7</v>
      </c>
      <c r="BT65" s="4">
        <v>176.5</v>
      </c>
      <c r="BU65" s="4">
        <v>175.7</v>
      </c>
      <c r="BV65" s="4">
        <v>176.5</v>
      </c>
      <c r="BW65" s="4">
        <v>177.2</v>
      </c>
      <c r="BX65" s="4">
        <v>177.2</v>
      </c>
      <c r="BY65" s="4">
        <v>178.1</v>
      </c>
      <c r="BZ65" s="4">
        <v>179.1</v>
      </c>
    </row>
    <row r="66" spans="1:78" x14ac:dyDescent="0.3">
      <c r="A66" t="s">
        <v>30</v>
      </c>
      <c r="B66" s="4">
        <v>132.80000000000001</v>
      </c>
      <c r="C66" s="4">
        <v>132.4</v>
      </c>
      <c r="D66" s="4">
        <v>132.6</v>
      </c>
      <c r="E66" s="4">
        <v>132.80000000000001</v>
      </c>
      <c r="F66" s="4">
        <v>132.9</v>
      </c>
      <c r="G66" s="4">
        <v>133.30000000000001</v>
      </c>
      <c r="H66" s="4">
        <v>133.9</v>
      </c>
      <c r="I66" s="4">
        <v>136.19999999999999</v>
      </c>
      <c r="J66" s="4">
        <v>137.80000000000001</v>
      </c>
      <c r="K66" s="4">
        <v>137.6</v>
      </c>
      <c r="L66" s="4">
        <v>138.30000000000001</v>
      </c>
      <c r="M66" s="4">
        <v>140</v>
      </c>
      <c r="N66" s="4">
        <v>139.80000000000001</v>
      </c>
      <c r="O66" s="4">
        <v>139.30000000000001</v>
      </c>
      <c r="P66" s="4">
        <v>138.5</v>
      </c>
      <c r="Q66" s="4">
        <v>138.69999999999999</v>
      </c>
      <c r="R66" s="4">
        <v>139.1</v>
      </c>
      <c r="S66" s="4">
        <v>139.80000000000001</v>
      </c>
      <c r="T66" s="4">
        <v>140.5</v>
      </c>
      <c r="U66" s="4">
        <v>141.80000000000001</v>
      </c>
      <c r="V66" s="4">
        <v>142.5</v>
      </c>
      <c r="W66" s="4">
        <v>142.1</v>
      </c>
      <c r="X66" s="4">
        <v>142.19999999999999</v>
      </c>
      <c r="Y66" s="4">
        <v>142.4</v>
      </c>
      <c r="Z66" s="4">
        <v>141.9</v>
      </c>
      <c r="AA66" s="4">
        <v>141</v>
      </c>
      <c r="AB66" s="4">
        <v>141</v>
      </c>
      <c r="AC66" s="4">
        <v>141.19999999999999</v>
      </c>
      <c r="AD66" s="4">
        <v>142.4</v>
      </c>
      <c r="AE66" s="4">
        <v>143.6</v>
      </c>
      <c r="AF66" s="4">
        <v>144.9</v>
      </c>
      <c r="AG66" s="4">
        <v>145.69999999999999</v>
      </c>
      <c r="AH66" s="4">
        <v>146.69999999999999</v>
      </c>
      <c r="AI66" s="4">
        <v>148.30000000000001</v>
      </c>
      <c r="AJ66" s="4">
        <v>149.9</v>
      </c>
      <c r="AK66" s="4">
        <v>152.30000000000001</v>
      </c>
      <c r="AL66" s="4">
        <v>151.9</v>
      </c>
      <c r="AM66" s="4">
        <v>150.4</v>
      </c>
      <c r="AN66" s="4">
        <v>149.80000000000001</v>
      </c>
      <c r="AO66" s="4">
        <v>150.70000000000002</v>
      </c>
      <c r="AP66" s="4">
        <v>150.30000000000004</v>
      </c>
      <c r="AQ66" s="4">
        <v>152.69999999999999</v>
      </c>
      <c r="AR66" s="4">
        <v>152.69999999999999</v>
      </c>
      <c r="AS66" s="4">
        <v>154.69999999999999</v>
      </c>
      <c r="AT66" s="4">
        <v>155.4</v>
      </c>
      <c r="AU66" s="4">
        <v>157.5</v>
      </c>
      <c r="AV66" s="4">
        <v>159.80000000000001</v>
      </c>
      <c r="AW66" s="4">
        <v>160.69999999999999</v>
      </c>
      <c r="AX66" s="4">
        <v>158.5</v>
      </c>
      <c r="AY66" s="4">
        <v>156.69999999999999</v>
      </c>
      <c r="AZ66" s="4">
        <v>156.69999999999999</v>
      </c>
      <c r="BA66" s="4">
        <v>157.6</v>
      </c>
      <c r="BB66" s="4">
        <v>161.1</v>
      </c>
      <c r="BC66" s="4">
        <v>162.1</v>
      </c>
      <c r="BD66" s="4">
        <v>163.19999999999999</v>
      </c>
      <c r="BE66" s="4">
        <v>163.6</v>
      </c>
      <c r="BF66" s="4">
        <v>164</v>
      </c>
      <c r="BG66" s="4">
        <v>166.3</v>
      </c>
      <c r="BH66" s="4">
        <v>167.6</v>
      </c>
      <c r="BI66" s="4">
        <v>167</v>
      </c>
      <c r="BJ66" s="4">
        <v>166.4</v>
      </c>
      <c r="BK66" s="4">
        <v>166.7</v>
      </c>
      <c r="BL66" s="4">
        <v>168.7</v>
      </c>
      <c r="BM66" s="4">
        <v>170.8</v>
      </c>
      <c r="BN66" s="4">
        <v>172.5</v>
      </c>
      <c r="BO66" s="4">
        <v>173.6</v>
      </c>
      <c r="BP66" s="4">
        <v>174.3</v>
      </c>
      <c r="BQ66" s="4">
        <v>175.3</v>
      </c>
      <c r="BR66" s="4">
        <v>176.4</v>
      </c>
      <c r="BS66" s="4">
        <v>177.9</v>
      </c>
      <c r="BT66" s="4">
        <v>177.8</v>
      </c>
      <c r="BU66" s="4">
        <v>177.1</v>
      </c>
      <c r="BV66" s="4">
        <v>177.8</v>
      </c>
      <c r="BW66" s="4">
        <v>178</v>
      </c>
      <c r="BX66" s="4">
        <v>178</v>
      </c>
      <c r="BY66" s="4">
        <v>178.8</v>
      </c>
      <c r="BZ66" s="4">
        <v>179.8</v>
      </c>
    </row>
    <row r="67" spans="1:78" x14ac:dyDescent="0.3">
      <c r="A67" t="s">
        <v>33</v>
      </c>
      <c r="B67" s="4">
        <v>127.6</v>
      </c>
      <c r="C67" s="4">
        <v>127.8</v>
      </c>
      <c r="D67" s="4">
        <v>128.19999999999999</v>
      </c>
      <c r="E67" s="4">
        <v>128.69999999999999</v>
      </c>
      <c r="F67" s="4">
        <v>129.1</v>
      </c>
      <c r="G67" s="4">
        <v>129.30000000000001</v>
      </c>
      <c r="H67" s="4">
        <v>129.9</v>
      </c>
      <c r="I67" s="4">
        <v>131.80000000000001</v>
      </c>
      <c r="J67" s="4">
        <v>132.69999999999999</v>
      </c>
      <c r="K67" s="4">
        <v>132.4</v>
      </c>
      <c r="L67" s="4">
        <v>133.5</v>
      </c>
      <c r="M67" s="4">
        <v>134.80000000000001</v>
      </c>
      <c r="N67" s="4">
        <v>134.1</v>
      </c>
      <c r="O67" s="4">
        <v>134.1</v>
      </c>
      <c r="P67" s="4">
        <v>134</v>
      </c>
      <c r="Q67" s="4">
        <v>134</v>
      </c>
      <c r="R67" s="4">
        <v>134.80000000000001</v>
      </c>
      <c r="S67" s="4">
        <v>135.4</v>
      </c>
      <c r="T67" s="4">
        <v>136.19999999999999</v>
      </c>
      <c r="U67" s="4">
        <v>137.5</v>
      </c>
      <c r="V67" s="4">
        <v>138</v>
      </c>
      <c r="W67" s="4">
        <v>138.1</v>
      </c>
      <c r="X67" s="4">
        <v>138.9</v>
      </c>
      <c r="Y67" s="4">
        <v>139</v>
      </c>
      <c r="Z67" s="4">
        <v>138</v>
      </c>
      <c r="AA67" s="4">
        <v>138</v>
      </c>
      <c r="AB67" s="4">
        <v>138.6</v>
      </c>
      <c r="AC67" s="4">
        <v>139.5</v>
      </c>
      <c r="AD67" s="4">
        <v>141.5</v>
      </c>
      <c r="AE67" s="4">
        <v>142.1</v>
      </c>
      <c r="AF67" s="4">
        <v>143.30000000000001</v>
      </c>
      <c r="AG67" s="4">
        <v>144.19999999999999</v>
      </c>
      <c r="AH67" s="4">
        <v>144.69999999999999</v>
      </c>
      <c r="AI67" s="4">
        <v>146</v>
      </c>
      <c r="AJ67" s="4">
        <v>147</v>
      </c>
      <c r="AK67" s="4">
        <v>148.30000000000001</v>
      </c>
      <c r="AL67" s="4">
        <v>148.19999999999999</v>
      </c>
      <c r="AM67" s="4">
        <v>147.69999999999999</v>
      </c>
      <c r="AN67" s="4">
        <v>147.30000000000001</v>
      </c>
      <c r="AO67" s="4">
        <v>147.73333333333332</v>
      </c>
      <c r="AP67" s="4">
        <v>148.1</v>
      </c>
      <c r="AQ67" s="4">
        <v>150.80000000000001</v>
      </c>
      <c r="AR67" s="4">
        <v>150.80000000000001</v>
      </c>
      <c r="AS67" s="4">
        <v>152.9</v>
      </c>
      <c r="AT67" s="4">
        <v>154</v>
      </c>
      <c r="AU67" s="4">
        <v>155.19999999999999</v>
      </c>
      <c r="AV67" s="4">
        <v>156.69999999999999</v>
      </c>
      <c r="AW67" s="4">
        <v>156.9</v>
      </c>
      <c r="AX67" s="4">
        <v>156</v>
      </c>
      <c r="AY67" s="4">
        <v>156.5</v>
      </c>
      <c r="AZ67" s="4">
        <v>156.9</v>
      </c>
      <c r="BA67" s="4">
        <v>158</v>
      </c>
      <c r="BB67" s="4">
        <v>159.5</v>
      </c>
      <c r="BC67" s="4">
        <v>160.4</v>
      </c>
      <c r="BD67" s="4">
        <v>161.80000000000001</v>
      </c>
      <c r="BE67" s="4">
        <v>162.30000000000001</v>
      </c>
      <c r="BF67" s="4">
        <v>162.30000000000001</v>
      </c>
      <c r="BG67" s="4">
        <v>164.6</v>
      </c>
      <c r="BH67" s="4">
        <v>165.6</v>
      </c>
      <c r="BI67" s="4">
        <v>165.2</v>
      </c>
      <c r="BJ67" s="4">
        <v>165</v>
      </c>
      <c r="BK67" s="4">
        <v>165.5</v>
      </c>
      <c r="BL67" s="4">
        <v>166.5</v>
      </c>
      <c r="BM67" s="4">
        <v>169.2</v>
      </c>
      <c r="BN67" s="4">
        <v>170.8</v>
      </c>
      <c r="BO67" s="4">
        <v>171.4</v>
      </c>
      <c r="BP67" s="4">
        <v>172.3</v>
      </c>
      <c r="BQ67" s="4">
        <v>173.1</v>
      </c>
      <c r="BR67" s="4">
        <v>174.1</v>
      </c>
      <c r="BS67" s="4">
        <v>175.3</v>
      </c>
      <c r="BT67" s="4">
        <v>174.1</v>
      </c>
      <c r="BU67" s="4">
        <v>174.1</v>
      </c>
      <c r="BV67" s="4">
        <v>174.9</v>
      </c>
      <c r="BW67" s="4">
        <v>176.3</v>
      </c>
      <c r="BX67" s="4">
        <v>176.3</v>
      </c>
      <c r="BY67" s="4">
        <v>177.4</v>
      </c>
      <c r="BZ67" s="4">
        <v>178.2</v>
      </c>
    </row>
    <row r="68" spans="1:78" x14ac:dyDescent="0.3">
      <c r="P68" s="4"/>
    </row>
    <row r="69" spans="1:78" x14ac:dyDescent="0.3">
      <c r="P69" s="4"/>
    </row>
    <row r="71" spans="1:78" x14ac:dyDescent="0.3">
      <c r="A71" s="2" t="s">
        <v>0</v>
      </c>
      <c r="B71" t="s">
        <v>34</v>
      </c>
    </row>
    <row r="73" spans="1:78" x14ac:dyDescent="0.3">
      <c r="A73" s="2" t="s">
        <v>213</v>
      </c>
      <c r="B73" s="2" t="s">
        <v>1</v>
      </c>
      <c r="C73" s="2" t="s">
        <v>2</v>
      </c>
    </row>
    <row r="74" spans="1:78" x14ac:dyDescent="0.3">
      <c r="B74">
        <v>2021</v>
      </c>
      <c r="N74">
        <v>2022</v>
      </c>
      <c r="Z74">
        <v>2023</v>
      </c>
    </row>
    <row r="75" spans="1:78" x14ac:dyDescent="0.3">
      <c r="A75" s="2" t="s">
        <v>53</v>
      </c>
      <c r="B75" t="s">
        <v>31</v>
      </c>
      <c r="C75" t="s">
        <v>35</v>
      </c>
      <c r="D75" t="s">
        <v>36</v>
      </c>
      <c r="E75" t="s">
        <v>37</v>
      </c>
      <c r="F75" t="s">
        <v>38</v>
      </c>
      <c r="G75" t="s">
        <v>39</v>
      </c>
      <c r="H75" t="s">
        <v>40</v>
      </c>
      <c r="I75" t="s">
        <v>41</v>
      </c>
      <c r="J75" t="s">
        <v>42</v>
      </c>
      <c r="K75" t="s">
        <v>43</v>
      </c>
      <c r="L75" t="s">
        <v>44</v>
      </c>
      <c r="M75" t="s">
        <v>45</v>
      </c>
      <c r="N75" t="s">
        <v>31</v>
      </c>
      <c r="O75" t="s">
        <v>35</v>
      </c>
      <c r="P75" t="s">
        <v>36</v>
      </c>
      <c r="Q75" t="s">
        <v>37</v>
      </c>
      <c r="R75" t="s">
        <v>38</v>
      </c>
      <c r="S75" t="s">
        <v>39</v>
      </c>
      <c r="T75" t="s">
        <v>40</v>
      </c>
      <c r="U75" t="s">
        <v>41</v>
      </c>
      <c r="V75" t="s">
        <v>42</v>
      </c>
      <c r="W75" t="s">
        <v>43</v>
      </c>
      <c r="X75" t="s">
        <v>44</v>
      </c>
      <c r="Y75" t="s">
        <v>45</v>
      </c>
      <c r="Z75" t="s">
        <v>31</v>
      </c>
      <c r="AA75" t="s">
        <v>35</v>
      </c>
      <c r="AB75" t="s">
        <v>36</v>
      </c>
      <c r="AC75" t="s">
        <v>37</v>
      </c>
      <c r="AD75" t="s">
        <v>38</v>
      </c>
    </row>
    <row r="76" spans="1:78" x14ac:dyDescent="0.3">
      <c r="A76" t="s">
        <v>3</v>
      </c>
      <c r="B76" s="4">
        <v>144.9</v>
      </c>
      <c r="C76" s="4">
        <v>144.30000000000001</v>
      </c>
      <c r="D76" s="4">
        <v>144.1</v>
      </c>
      <c r="E76" s="4">
        <v>144.30000000000001</v>
      </c>
      <c r="F76" s="4">
        <v>146.30000000000001</v>
      </c>
      <c r="G76" s="4">
        <v>146.69999999999999</v>
      </c>
      <c r="H76" s="4">
        <v>146.4</v>
      </c>
      <c r="I76" s="4">
        <v>146.6</v>
      </c>
      <c r="J76" s="4">
        <v>146.6</v>
      </c>
      <c r="K76" s="4">
        <v>147.4</v>
      </c>
      <c r="L76" s="4">
        <v>148.19999999999999</v>
      </c>
      <c r="M76" s="4">
        <v>148.69999999999999</v>
      </c>
      <c r="N76" s="4">
        <v>149.5</v>
      </c>
      <c r="O76" s="4">
        <v>150</v>
      </c>
      <c r="P76" s="4">
        <v>151.30000000000001</v>
      </c>
      <c r="Q76" s="4">
        <v>152.9</v>
      </c>
      <c r="R76" s="4">
        <v>154.1</v>
      </c>
      <c r="S76" s="4">
        <v>155</v>
      </c>
      <c r="T76" s="4">
        <v>156.5</v>
      </c>
      <c r="U76" s="4">
        <v>160.30000000000001</v>
      </c>
      <c r="V76" s="4">
        <v>163.5</v>
      </c>
      <c r="W76" s="4">
        <v>165.2</v>
      </c>
      <c r="X76" s="4">
        <v>167.4</v>
      </c>
      <c r="Y76" s="4">
        <v>169.2</v>
      </c>
      <c r="Z76" s="4">
        <v>173.8</v>
      </c>
      <c r="AA76" s="4">
        <v>174.4</v>
      </c>
      <c r="AB76" s="4">
        <v>174.4</v>
      </c>
      <c r="AC76" s="4">
        <v>173.8</v>
      </c>
      <c r="AD76" s="4">
        <v>173.7</v>
      </c>
    </row>
    <row r="77" spans="1:78" x14ac:dyDescent="0.3">
      <c r="A77" t="s">
        <v>17</v>
      </c>
      <c r="B77" s="4">
        <v>155.5</v>
      </c>
      <c r="C77" s="4">
        <v>157.19999999999999</v>
      </c>
      <c r="D77" s="4">
        <v>157.80000000000001</v>
      </c>
      <c r="E77" s="4">
        <v>158.80000000000001</v>
      </c>
      <c r="F77" s="4">
        <v>161.80000000000001</v>
      </c>
      <c r="G77" s="4">
        <v>162.19999999999999</v>
      </c>
      <c r="H77" s="4">
        <v>162.80000000000001</v>
      </c>
      <c r="I77" s="4">
        <v>164.5</v>
      </c>
      <c r="J77" s="4">
        <v>164.6</v>
      </c>
      <c r="K77" s="4">
        <v>165.7</v>
      </c>
      <c r="L77" s="4">
        <v>167.2</v>
      </c>
      <c r="M77" s="4">
        <v>168.5</v>
      </c>
      <c r="N77" s="4">
        <v>169.9</v>
      </c>
      <c r="O77" s="4">
        <v>170.8</v>
      </c>
      <c r="P77" s="4">
        <v>172.1</v>
      </c>
      <c r="Q77" s="4">
        <v>173.9</v>
      </c>
      <c r="R77" s="4">
        <v>175.6</v>
      </c>
      <c r="S77" s="4">
        <v>177.1</v>
      </c>
      <c r="T77" s="4">
        <v>178.3</v>
      </c>
      <c r="U77" s="4">
        <v>179.5</v>
      </c>
      <c r="V77" s="4">
        <v>180.9</v>
      </c>
      <c r="W77" s="4">
        <v>181.9</v>
      </c>
      <c r="X77" s="4">
        <v>183.1</v>
      </c>
      <c r="Y77" s="4">
        <v>184</v>
      </c>
      <c r="Z77" s="4">
        <v>184.9</v>
      </c>
      <c r="AA77" s="4">
        <v>186.2</v>
      </c>
      <c r="AB77" s="4">
        <v>186.1</v>
      </c>
      <c r="AC77" s="4">
        <v>186.9</v>
      </c>
      <c r="AD77" s="4">
        <v>187.3</v>
      </c>
    </row>
    <row r="78" spans="1:78" x14ac:dyDescent="0.3">
      <c r="A78" t="s">
        <v>19</v>
      </c>
      <c r="B78" s="4">
        <v>154.19999999999999</v>
      </c>
      <c r="C78" s="4">
        <v>155.80000000000001</v>
      </c>
      <c r="D78" s="4">
        <v>156.4</v>
      </c>
      <c r="E78" s="4">
        <v>157.30000000000001</v>
      </c>
      <c r="F78" s="4">
        <v>160.4</v>
      </c>
      <c r="G78" s="4">
        <v>160.69999999999999</v>
      </c>
      <c r="H78" s="4">
        <v>161.4</v>
      </c>
      <c r="I78" s="4">
        <v>163.19999999999999</v>
      </c>
      <c r="J78" s="4">
        <v>163.30000000000001</v>
      </c>
      <c r="K78" s="4">
        <v>164.3</v>
      </c>
      <c r="L78" s="4">
        <v>165.8</v>
      </c>
      <c r="M78" s="4">
        <v>167</v>
      </c>
      <c r="N78" s="4">
        <v>168.5</v>
      </c>
      <c r="O78" s="4">
        <v>169.6</v>
      </c>
      <c r="P78" s="4">
        <v>171.1</v>
      </c>
      <c r="Q78" s="4">
        <v>172.8</v>
      </c>
      <c r="R78" s="4">
        <v>174.6</v>
      </c>
      <c r="S78" s="4">
        <v>176</v>
      </c>
      <c r="T78" s="4">
        <v>177.3</v>
      </c>
      <c r="U78" s="4">
        <v>178.5</v>
      </c>
      <c r="V78" s="4">
        <v>179.9</v>
      </c>
      <c r="W78" s="4">
        <v>181</v>
      </c>
      <c r="X78" s="4">
        <v>182.1</v>
      </c>
      <c r="Y78" s="4">
        <v>183</v>
      </c>
      <c r="Z78" s="4">
        <v>183.8</v>
      </c>
      <c r="AA78" s="4">
        <v>185.1</v>
      </c>
      <c r="AB78" s="4">
        <v>185.1</v>
      </c>
      <c r="AC78" s="4">
        <v>185.7</v>
      </c>
      <c r="AD78" s="4">
        <v>186.2</v>
      </c>
    </row>
    <row r="79" spans="1:78" x14ac:dyDescent="0.3">
      <c r="A79" t="s">
        <v>26</v>
      </c>
      <c r="B79" s="4">
        <v>159.19999999999999</v>
      </c>
      <c r="C79" s="4">
        <v>159.5</v>
      </c>
      <c r="D79" s="4">
        <v>160.19999999999999</v>
      </c>
      <c r="E79" s="4">
        <v>160.30000000000001</v>
      </c>
      <c r="F79" s="4">
        <v>161.19999999999999</v>
      </c>
      <c r="G79" s="4">
        <v>161.69999999999999</v>
      </c>
      <c r="H79" s="4">
        <v>163.19999999999999</v>
      </c>
      <c r="I79" s="4">
        <v>163.80000000000001</v>
      </c>
      <c r="J79" s="4">
        <v>163.69999999999999</v>
      </c>
      <c r="K79" s="4">
        <v>163.9</v>
      </c>
      <c r="L79" s="4">
        <v>164.3</v>
      </c>
      <c r="M79" s="4">
        <v>164.4</v>
      </c>
      <c r="N79" s="4">
        <v>164.7</v>
      </c>
      <c r="O79" s="4">
        <v>165.4</v>
      </c>
      <c r="P79" s="4">
        <v>166</v>
      </c>
      <c r="Q79" s="4">
        <v>166.9</v>
      </c>
      <c r="R79" s="4">
        <v>167.9</v>
      </c>
      <c r="S79" s="4">
        <v>169</v>
      </c>
      <c r="T79" s="4">
        <v>171.4</v>
      </c>
      <c r="U79" s="4">
        <v>172.3</v>
      </c>
      <c r="V79" s="4">
        <v>173.1</v>
      </c>
      <c r="W79" s="4">
        <v>173.4</v>
      </c>
      <c r="X79" s="4">
        <v>173.7</v>
      </c>
      <c r="Y79" s="4">
        <v>174.1</v>
      </c>
      <c r="Z79" s="4">
        <v>174.3</v>
      </c>
      <c r="AA79" s="4">
        <v>175</v>
      </c>
      <c r="AB79" s="4">
        <v>175</v>
      </c>
      <c r="AC79" s="4">
        <v>176.4</v>
      </c>
      <c r="AD79" s="4">
        <v>177.1</v>
      </c>
    </row>
    <row r="80" spans="1:78" x14ac:dyDescent="0.3">
      <c r="A80" t="s">
        <v>5</v>
      </c>
      <c r="B80" s="4">
        <v>175.3</v>
      </c>
      <c r="C80" s="4">
        <v>168.7</v>
      </c>
      <c r="D80" s="4">
        <v>163.80000000000001</v>
      </c>
      <c r="E80" s="4">
        <v>164.6</v>
      </c>
      <c r="F80" s="4">
        <v>170.3</v>
      </c>
      <c r="G80" s="4">
        <v>180.7</v>
      </c>
      <c r="H80" s="4">
        <v>182.2</v>
      </c>
      <c r="I80" s="4">
        <v>172.8</v>
      </c>
      <c r="J80" s="4">
        <v>172.8</v>
      </c>
      <c r="K80" s="4">
        <v>171.2</v>
      </c>
      <c r="L80" s="4">
        <v>173</v>
      </c>
      <c r="M80" s="4">
        <v>177.9</v>
      </c>
      <c r="N80" s="4">
        <v>178.8</v>
      </c>
      <c r="O80" s="4">
        <v>175.8</v>
      </c>
      <c r="P80" s="4">
        <v>167.8</v>
      </c>
      <c r="Q80" s="4">
        <v>164.5</v>
      </c>
      <c r="R80" s="4">
        <v>162.4</v>
      </c>
      <c r="S80" s="4">
        <v>170.8</v>
      </c>
      <c r="T80" s="4">
        <v>175.2</v>
      </c>
      <c r="U80" s="4">
        <v>169.2</v>
      </c>
      <c r="V80" s="4">
        <v>169.7</v>
      </c>
      <c r="W80" s="4">
        <v>170.9</v>
      </c>
      <c r="X80" s="4">
        <v>181.4</v>
      </c>
      <c r="Y80" s="4">
        <v>190.2</v>
      </c>
      <c r="Z80" s="4">
        <v>194.5</v>
      </c>
      <c r="AA80" s="4">
        <v>175.2</v>
      </c>
      <c r="AB80" s="4">
        <v>175.2</v>
      </c>
      <c r="AC80" s="4">
        <v>169.6</v>
      </c>
      <c r="AD80" s="4">
        <v>173.2</v>
      </c>
    </row>
    <row r="81" spans="1:30" x14ac:dyDescent="0.3">
      <c r="A81" t="s">
        <v>15</v>
      </c>
      <c r="B81" s="4">
        <v>161</v>
      </c>
      <c r="C81" s="4">
        <v>156.9</v>
      </c>
      <c r="D81" s="4">
        <v>156.69999999999999</v>
      </c>
      <c r="E81" s="4">
        <v>158</v>
      </c>
      <c r="F81" s="4">
        <v>160.69999999999999</v>
      </c>
      <c r="G81" s="4">
        <v>162.6</v>
      </c>
      <c r="H81" s="4">
        <v>164</v>
      </c>
      <c r="I81" s="4">
        <v>164</v>
      </c>
      <c r="J81" s="4">
        <v>164</v>
      </c>
      <c r="K81" s="4">
        <v>167.7</v>
      </c>
      <c r="L81" s="4">
        <v>169.7</v>
      </c>
      <c r="M81" s="4">
        <v>168.2</v>
      </c>
      <c r="N81" s="4">
        <v>166.4</v>
      </c>
      <c r="O81" s="4">
        <v>166.2</v>
      </c>
      <c r="P81" s="4">
        <v>168.4</v>
      </c>
      <c r="Q81" s="4">
        <v>170.8</v>
      </c>
      <c r="R81" s="4">
        <v>173.3</v>
      </c>
      <c r="S81" s="4">
        <v>174.9</v>
      </c>
      <c r="T81" s="4">
        <v>175</v>
      </c>
      <c r="U81" s="4">
        <v>176.3</v>
      </c>
      <c r="V81" s="4">
        <v>177.8</v>
      </c>
      <c r="W81" s="4">
        <v>179.6</v>
      </c>
      <c r="X81" s="4">
        <v>178.3</v>
      </c>
      <c r="Y81" s="4">
        <v>175.9</v>
      </c>
      <c r="Z81" s="4">
        <v>176.7</v>
      </c>
      <c r="AA81" s="4">
        <v>177</v>
      </c>
      <c r="AB81" s="4">
        <v>177</v>
      </c>
      <c r="AC81" s="4">
        <v>177.9</v>
      </c>
      <c r="AD81" s="4">
        <v>179.1</v>
      </c>
    </row>
    <row r="82" spans="1:30" x14ac:dyDescent="0.3">
      <c r="A82" t="s">
        <v>18</v>
      </c>
      <c r="B82" s="4">
        <v>146.1</v>
      </c>
      <c r="C82" s="4">
        <v>147.4</v>
      </c>
      <c r="D82" s="4">
        <v>147.9</v>
      </c>
      <c r="E82" s="4">
        <v>148.5</v>
      </c>
      <c r="F82" s="4">
        <v>152.1</v>
      </c>
      <c r="G82" s="4">
        <v>151.80000000000001</v>
      </c>
      <c r="H82" s="4">
        <v>153.1</v>
      </c>
      <c r="I82" s="4">
        <v>155.30000000000001</v>
      </c>
      <c r="J82" s="4">
        <v>155.30000000000001</v>
      </c>
      <c r="K82" s="4">
        <v>156.30000000000001</v>
      </c>
      <c r="L82" s="4">
        <v>157.4</v>
      </c>
      <c r="M82" s="4">
        <v>158.69999999999999</v>
      </c>
      <c r="N82" s="4">
        <v>160.69999999999999</v>
      </c>
      <c r="O82" s="4">
        <v>162.4</v>
      </c>
      <c r="P82" s="4">
        <v>164.6</v>
      </c>
      <c r="Q82" s="4">
        <v>166.5</v>
      </c>
      <c r="R82" s="4">
        <v>168.4</v>
      </c>
      <c r="S82" s="4">
        <v>169.9</v>
      </c>
      <c r="T82" s="4">
        <v>171.3</v>
      </c>
      <c r="U82" s="4">
        <v>172.7</v>
      </c>
      <c r="V82" s="4">
        <v>174.3</v>
      </c>
      <c r="W82" s="4">
        <v>175.3</v>
      </c>
      <c r="X82" s="4">
        <v>176.2</v>
      </c>
      <c r="Y82" s="4">
        <v>177</v>
      </c>
      <c r="Z82" s="4">
        <v>177.6</v>
      </c>
      <c r="AA82" s="4">
        <v>178.7</v>
      </c>
      <c r="AB82" s="4">
        <v>178.7</v>
      </c>
      <c r="AC82" s="4">
        <v>179.2</v>
      </c>
      <c r="AD82" s="4">
        <v>179.7</v>
      </c>
    </row>
    <row r="83" spans="1:30" x14ac:dyDescent="0.3">
      <c r="A83" t="s">
        <v>8</v>
      </c>
      <c r="B83" s="4">
        <v>149.6</v>
      </c>
      <c r="C83" s="4">
        <v>150.69999999999999</v>
      </c>
      <c r="D83" s="4">
        <v>153.69999999999999</v>
      </c>
      <c r="E83" s="4">
        <v>164.4</v>
      </c>
      <c r="F83" s="4">
        <v>167.1</v>
      </c>
      <c r="G83" s="4">
        <v>164.6</v>
      </c>
      <c r="H83" s="4">
        <v>163.9</v>
      </c>
      <c r="I83" s="4">
        <v>156.80000000000001</v>
      </c>
      <c r="J83" s="4">
        <v>156.69999999999999</v>
      </c>
      <c r="K83" s="4">
        <v>155.69999999999999</v>
      </c>
      <c r="L83" s="4">
        <v>156.5</v>
      </c>
      <c r="M83" s="4">
        <v>154.9</v>
      </c>
      <c r="N83" s="4">
        <v>153.69999999999999</v>
      </c>
      <c r="O83" s="4">
        <v>153.69999999999999</v>
      </c>
      <c r="P83" s="4">
        <v>157.6</v>
      </c>
      <c r="Q83" s="4">
        <v>172.6</v>
      </c>
      <c r="R83" s="4">
        <v>171</v>
      </c>
      <c r="S83" s="4">
        <v>169.7</v>
      </c>
      <c r="T83" s="4">
        <v>174.2</v>
      </c>
      <c r="U83" s="4">
        <v>172.9</v>
      </c>
      <c r="V83" s="4">
        <v>165.7</v>
      </c>
      <c r="W83" s="4">
        <v>163.80000000000001</v>
      </c>
      <c r="X83" s="4">
        <v>160.69999999999999</v>
      </c>
      <c r="Y83" s="4">
        <v>158</v>
      </c>
      <c r="Z83" s="4">
        <v>158.30000000000001</v>
      </c>
      <c r="AA83" s="4">
        <v>169.5</v>
      </c>
      <c r="AB83" s="4">
        <v>169.5</v>
      </c>
      <c r="AC83" s="4">
        <v>176.3</v>
      </c>
      <c r="AD83" s="4">
        <v>172.2</v>
      </c>
    </row>
    <row r="84" spans="1:30" x14ac:dyDescent="0.3">
      <c r="A84" t="s">
        <v>29</v>
      </c>
      <c r="B84" s="4">
        <v>157.30000000000001</v>
      </c>
      <c r="C84" s="4">
        <v>156.6</v>
      </c>
      <c r="D84" s="4">
        <v>156.80000000000001</v>
      </c>
      <c r="E84" s="4">
        <v>157.80000000000001</v>
      </c>
      <c r="F84" s="4">
        <v>160.4</v>
      </c>
      <c r="G84" s="4">
        <v>161.30000000000001</v>
      </c>
      <c r="H84" s="4">
        <v>162.5</v>
      </c>
      <c r="I84" s="4">
        <v>163.19999999999999</v>
      </c>
      <c r="J84" s="4">
        <v>163.19999999999999</v>
      </c>
      <c r="K84" s="4">
        <v>165.5</v>
      </c>
      <c r="L84" s="4">
        <v>166.7</v>
      </c>
      <c r="M84" s="4">
        <v>166.2</v>
      </c>
      <c r="N84" s="4">
        <v>165.7</v>
      </c>
      <c r="O84" s="4">
        <v>166.1</v>
      </c>
      <c r="P84" s="4">
        <v>167.7</v>
      </c>
      <c r="Q84" s="4">
        <v>170.1</v>
      </c>
      <c r="R84" s="4">
        <v>171.7</v>
      </c>
      <c r="S84" s="4">
        <v>172.6</v>
      </c>
      <c r="T84" s="4">
        <v>173.4</v>
      </c>
      <c r="U84" s="4">
        <v>174.3</v>
      </c>
      <c r="V84" s="4">
        <v>175.3</v>
      </c>
      <c r="W84" s="4">
        <v>176.7</v>
      </c>
      <c r="X84" s="4">
        <v>176.5</v>
      </c>
      <c r="Y84" s="4">
        <v>175.7</v>
      </c>
      <c r="Z84" s="4">
        <v>176.5</v>
      </c>
      <c r="AA84" s="4">
        <v>177.2</v>
      </c>
      <c r="AB84" s="4">
        <v>177.2</v>
      </c>
      <c r="AC84" s="4">
        <v>178.1</v>
      </c>
      <c r="AD84" s="4">
        <v>179.1</v>
      </c>
    </row>
    <row r="85" spans="1:30" x14ac:dyDescent="0.3">
      <c r="A85" t="s">
        <v>23</v>
      </c>
      <c r="B85" s="4">
        <v>159.30000000000001</v>
      </c>
      <c r="C85" s="4">
        <v>161.30000000000001</v>
      </c>
      <c r="D85" s="4">
        <v>161.69999999999999</v>
      </c>
      <c r="E85" s="4">
        <v>162.30000000000001</v>
      </c>
      <c r="F85" s="4">
        <v>165.8</v>
      </c>
      <c r="G85" s="4">
        <v>166.3</v>
      </c>
      <c r="H85" s="4">
        <v>167</v>
      </c>
      <c r="I85" s="4">
        <v>168.4</v>
      </c>
      <c r="J85" s="4">
        <v>168.4</v>
      </c>
      <c r="K85" s="4">
        <v>169.1</v>
      </c>
      <c r="L85" s="4">
        <v>169.9</v>
      </c>
      <c r="M85" s="4">
        <v>170.6</v>
      </c>
      <c r="N85" s="4">
        <v>171.4</v>
      </c>
      <c r="O85" s="4">
        <v>172.2</v>
      </c>
      <c r="P85" s="4">
        <v>173</v>
      </c>
      <c r="Q85" s="4">
        <v>174</v>
      </c>
      <c r="R85" s="4">
        <v>174.8</v>
      </c>
      <c r="S85" s="4">
        <v>175.4</v>
      </c>
      <c r="T85" s="4">
        <v>176.1</v>
      </c>
      <c r="U85" s="4">
        <v>176.8</v>
      </c>
      <c r="V85" s="4">
        <v>177.8</v>
      </c>
      <c r="W85" s="4">
        <v>178.7</v>
      </c>
      <c r="X85" s="4">
        <v>179.8</v>
      </c>
      <c r="Y85" s="4">
        <v>181.1</v>
      </c>
      <c r="Z85" s="4">
        <v>182.3</v>
      </c>
      <c r="AA85" s="4">
        <v>184.4</v>
      </c>
      <c r="AB85" s="4">
        <v>184.4</v>
      </c>
      <c r="AC85" s="4">
        <v>185</v>
      </c>
      <c r="AD85" s="4">
        <v>185.7</v>
      </c>
    </row>
    <row r="86" spans="1:30" x14ac:dyDescent="0.3">
      <c r="A86" t="s">
        <v>22</v>
      </c>
      <c r="B86" s="4">
        <v>150</v>
      </c>
      <c r="C86" s="4">
        <v>150.9</v>
      </c>
      <c r="D86" s="4">
        <v>151.19999999999999</v>
      </c>
      <c r="E86" s="4">
        <v>151.80000000000001</v>
      </c>
      <c r="F86" s="4">
        <v>154.69999999999999</v>
      </c>
      <c r="G86" s="4">
        <v>154.80000000000001</v>
      </c>
      <c r="H86" s="4">
        <v>155.80000000000001</v>
      </c>
      <c r="I86" s="4">
        <v>157.5</v>
      </c>
      <c r="J86" s="4">
        <v>157.5</v>
      </c>
      <c r="K86" s="4">
        <v>158.4</v>
      </c>
      <c r="L86" s="4">
        <v>159.30000000000001</v>
      </c>
      <c r="M86" s="4">
        <v>160.19999999999999</v>
      </c>
      <c r="N86" s="4">
        <v>161.1</v>
      </c>
      <c r="O86" s="4">
        <v>161.80000000000001</v>
      </c>
      <c r="P86" s="4">
        <v>162.80000000000001</v>
      </c>
      <c r="Q86" s="4">
        <v>164</v>
      </c>
      <c r="R86" s="4">
        <v>165.2</v>
      </c>
      <c r="S86" s="4">
        <v>166.4</v>
      </c>
      <c r="T86" s="4">
        <v>167.4</v>
      </c>
      <c r="U86" s="4">
        <v>168.5</v>
      </c>
      <c r="V86" s="4">
        <v>169.5</v>
      </c>
      <c r="W86" s="4">
        <v>170.4</v>
      </c>
      <c r="X86" s="4">
        <v>171.4</v>
      </c>
      <c r="Y86" s="4">
        <v>172.1</v>
      </c>
      <c r="Z86" s="4">
        <v>172.9</v>
      </c>
      <c r="AA86" s="4">
        <v>174.2</v>
      </c>
      <c r="AB86" s="4">
        <v>174.2</v>
      </c>
      <c r="AC86" s="4">
        <v>174.6</v>
      </c>
      <c r="AD86" s="4">
        <v>175.2</v>
      </c>
    </row>
    <row r="87" spans="1:30" x14ac:dyDescent="0.3">
      <c r="A87" t="s">
        <v>20</v>
      </c>
      <c r="B87" s="4">
        <v>157.69999999999999</v>
      </c>
      <c r="C87" s="4">
        <v>159.80000000000001</v>
      </c>
      <c r="D87" s="4">
        <v>159.9</v>
      </c>
      <c r="E87" s="4">
        <v>161.4</v>
      </c>
      <c r="F87" s="4">
        <v>161.6</v>
      </c>
      <c r="G87" s="4">
        <v>160.5</v>
      </c>
      <c r="H87" s="4">
        <v>161.5</v>
      </c>
      <c r="I87" s="4">
        <v>162.1</v>
      </c>
      <c r="J87" s="4">
        <v>162.1</v>
      </c>
      <c r="K87" s="4">
        <v>163.6</v>
      </c>
      <c r="L87" s="4">
        <v>164.2</v>
      </c>
      <c r="M87" s="4">
        <v>163.4</v>
      </c>
      <c r="N87" s="4">
        <v>164.5</v>
      </c>
      <c r="O87" s="4">
        <v>165.5</v>
      </c>
      <c r="P87" s="4">
        <v>165.3</v>
      </c>
      <c r="Q87" s="4">
        <v>167</v>
      </c>
      <c r="R87" s="4">
        <v>167.5</v>
      </c>
      <c r="S87" s="4">
        <v>166.8</v>
      </c>
      <c r="T87" s="4">
        <v>167.8</v>
      </c>
      <c r="U87" s="4">
        <v>169</v>
      </c>
      <c r="V87" s="4">
        <v>169.5</v>
      </c>
      <c r="W87" s="4">
        <v>171.2</v>
      </c>
      <c r="X87" s="4">
        <v>171.8</v>
      </c>
      <c r="Y87" s="4">
        <v>170.7</v>
      </c>
      <c r="Z87" s="4">
        <v>172.1</v>
      </c>
      <c r="AA87" s="4">
        <v>173.5</v>
      </c>
      <c r="AB87" s="4">
        <v>173.5</v>
      </c>
      <c r="AC87" s="4">
        <v>175.2</v>
      </c>
      <c r="AD87" s="4">
        <v>175.6</v>
      </c>
    </row>
    <row r="88" spans="1:30" x14ac:dyDescent="0.3">
      <c r="A88" t="s">
        <v>4</v>
      </c>
      <c r="B88" s="4">
        <v>190.1</v>
      </c>
      <c r="C88" s="4">
        <v>186.5</v>
      </c>
      <c r="D88" s="4">
        <v>192.2</v>
      </c>
      <c r="E88" s="4">
        <v>198</v>
      </c>
      <c r="F88" s="4">
        <v>200.5</v>
      </c>
      <c r="G88" s="4">
        <v>202</v>
      </c>
      <c r="H88" s="4">
        <v>206.8</v>
      </c>
      <c r="I88" s="4">
        <v>204</v>
      </c>
      <c r="J88" s="4">
        <v>204</v>
      </c>
      <c r="K88" s="4">
        <v>204.6</v>
      </c>
      <c r="L88" s="4">
        <v>201.6</v>
      </c>
      <c r="M88" s="4">
        <v>198.8</v>
      </c>
      <c r="N88" s="4">
        <v>198.7</v>
      </c>
      <c r="O88" s="4">
        <v>200.6</v>
      </c>
      <c r="P88" s="4">
        <v>210.7</v>
      </c>
      <c r="Q88" s="4">
        <v>211.8</v>
      </c>
      <c r="R88" s="4">
        <v>217</v>
      </c>
      <c r="S88" s="4">
        <v>219.4</v>
      </c>
      <c r="T88" s="4">
        <v>213</v>
      </c>
      <c r="U88" s="4">
        <v>206.5</v>
      </c>
      <c r="V88" s="4">
        <v>209.2</v>
      </c>
      <c r="W88" s="4">
        <v>210.9</v>
      </c>
      <c r="X88" s="4">
        <v>209.4</v>
      </c>
      <c r="Y88" s="4">
        <v>209</v>
      </c>
      <c r="Z88" s="4">
        <v>210.7</v>
      </c>
      <c r="AA88" s="4">
        <v>207.7</v>
      </c>
      <c r="AB88" s="4">
        <v>207.7</v>
      </c>
      <c r="AC88" s="4">
        <v>209.3</v>
      </c>
      <c r="AD88" s="4">
        <v>214.3</v>
      </c>
    </row>
    <row r="89" spans="1:30" x14ac:dyDescent="0.3">
      <c r="A89" t="s">
        <v>6</v>
      </c>
      <c r="B89" s="4">
        <v>154.1</v>
      </c>
      <c r="C89" s="4">
        <v>154.69999999999999</v>
      </c>
      <c r="D89" s="4">
        <v>154.9</v>
      </c>
      <c r="E89" s="4">
        <v>155.4</v>
      </c>
      <c r="F89" s="4">
        <v>156.1</v>
      </c>
      <c r="G89" s="4">
        <v>156.19999999999999</v>
      </c>
      <c r="H89" s="4">
        <v>157.5</v>
      </c>
      <c r="I89" s="4">
        <v>158.4</v>
      </c>
      <c r="J89" s="4">
        <v>158.4</v>
      </c>
      <c r="K89" s="4">
        <v>158.69999999999999</v>
      </c>
      <c r="L89" s="4">
        <v>159.30000000000001</v>
      </c>
      <c r="M89" s="4">
        <v>159.9</v>
      </c>
      <c r="N89" s="4">
        <v>160.5</v>
      </c>
      <c r="O89" s="4">
        <v>160.69999999999999</v>
      </c>
      <c r="P89" s="4">
        <v>162.19999999999999</v>
      </c>
      <c r="Q89" s="4">
        <v>163.9</v>
      </c>
      <c r="R89" s="4">
        <v>164.9</v>
      </c>
      <c r="S89" s="4">
        <v>165.8</v>
      </c>
      <c r="T89" s="4">
        <v>166.6</v>
      </c>
      <c r="U89" s="4">
        <v>168.1</v>
      </c>
      <c r="V89" s="4">
        <v>169.7</v>
      </c>
      <c r="W89" s="4">
        <v>170.9</v>
      </c>
      <c r="X89" s="4">
        <v>172.3</v>
      </c>
      <c r="Y89" s="4">
        <v>173.6</v>
      </c>
      <c r="Z89" s="4">
        <v>174.6</v>
      </c>
      <c r="AA89" s="4">
        <v>177.3</v>
      </c>
      <c r="AB89" s="4">
        <v>177.3</v>
      </c>
      <c r="AC89" s="4">
        <v>178.4</v>
      </c>
      <c r="AD89" s="4">
        <v>179.5</v>
      </c>
    </row>
    <row r="90" spans="1:30" x14ac:dyDescent="0.3">
      <c r="A90" t="s">
        <v>28</v>
      </c>
      <c r="B90" s="4">
        <v>151.9</v>
      </c>
      <c r="C90" s="4">
        <v>153.4</v>
      </c>
      <c r="D90" s="4">
        <v>153.80000000000001</v>
      </c>
      <c r="E90" s="4">
        <v>154.4</v>
      </c>
      <c r="F90" s="4">
        <v>156.80000000000001</v>
      </c>
      <c r="G90" s="4">
        <v>157.6</v>
      </c>
      <c r="H90" s="4">
        <v>159</v>
      </c>
      <c r="I90" s="4">
        <v>160</v>
      </c>
      <c r="J90" s="4">
        <v>160</v>
      </c>
      <c r="K90" s="4">
        <v>161</v>
      </c>
      <c r="L90" s="4">
        <v>161.4</v>
      </c>
      <c r="M90" s="4">
        <v>162</v>
      </c>
      <c r="N90" s="4">
        <v>162.69999999999999</v>
      </c>
      <c r="O90" s="4">
        <v>163.5</v>
      </c>
      <c r="P90" s="4">
        <v>164.6</v>
      </c>
      <c r="Q90" s="4">
        <v>166.8</v>
      </c>
      <c r="R90" s="4">
        <v>167.5</v>
      </c>
      <c r="S90" s="4">
        <v>167.5</v>
      </c>
      <c r="T90" s="4">
        <v>168.4</v>
      </c>
      <c r="U90" s="4">
        <v>169.1</v>
      </c>
      <c r="V90" s="4">
        <v>169.7</v>
      </c>
      <c r="W90" s="4">
        <v>170.5</v>
      </c>
      <c r="X90" s="4">
        <v>171.1</v>
      </c>
      <c r="Y90" s="4">
        <v>172</v>
      </c>
      <c r="Z90" s="4">
        <v>172.8</v>
      </c>
      <c r="AA90" s="4">
        <v>174.1</v>
      </c>
      <c r="AB90" s="4">
        <v>174.1</v>
      </c>
      <c r="AC90" s="4">
        <v>175</v>
      </c>
      <c r="AD90" s="4">
        <v>175.7</v>
      </c>
    </row>
    <row r="91" spans="1:30" x14ac:dyDescent="0.3">
      <c r="A91" t="s">
        <v>13</v>
      </c>
      <c r="B91" s="4">
        <v>151.80000000000001</v>
      </c>
      <c r="C91" s="4">
        <v>155.5</v>
      </c>
      <c r="D91" s="4">
        <v>156.5</v>
      </c>
      <c r="E91" s="4">
        <v>157.6</v>
      </c>
      <c r="F91" s="4">
        <v>159.30000000000001</v>
      </c>
      <c r="G91" s="4">
        <v>160</v>
      </c>
      <c r="H91" s="4">
        <v>160.9</v>
      </c>
      <c r="I91" s="4">
        <v>162.69999999999999</v>
      </c>
      <c r="J91" s="4">
        <v>162.69999999999999</v>
      </c>
      <c r="K91" s="4">
        <v>163.19999999999999</v>
      </c>
      <c r="L91" s="4">
        <v>163.69999999999999</v>
      </c>
      <c r="M91" s="4">
        <v>164.2</v>
      </c>
      <c r="N91" s="4">
        <v>164.3</v>
      </c>
      <c r="O91" s="4">
        <v>164.7</v>
      </c>
      <c r="P91" s="4">
        <v>165.3</v>
      </c>
      <c r="Q91" s="4">
        <v>166.2</v>
      </c>
      <c r="R91" s="4">
        <v>167.1</v>
      </c>
      <c r="S91" s="4">
        <v>167.9</v>
      </c>
      <c r="T91" s="4">
        <v>168.4</v>
      </c>
      <c r="U91" s="4">
        <v>168.8</v>
      </c>
      <c r="V91" s="4">
        <v>169.4</v>
      </c>
      <c r="W91" s="4">
        <v>169.9</v>
      </c>
      <c r="X91" s="4">
        <v>170.4</v>
      </c>
      <c r="Y91" s="4">
        <v>171</v>
      </c>
      <c r="Z91" s="4">
        <v>171.4</v>
      </c>
      <c r="AA91" s="4">
        <v>172.3</v>
      </c>
      <c r="AB91" s="4">
        <v>172.3</v>
      </c>
      <c r="AC91" s="4">
        <v>172.9</v>
      </c>
      <c r="AD91" s="4">
        <v>173.4</v>
      </c>
    </row>
    <row r="92" spans="1:30" x14ac:dyDescent="0.3">
      <c r="A92" t="s">
        <v>7</v>
      </c>
      <c r="B92" s="4">
        <v>150.9</v>
      </c>
      <c r="C92" s="4">
        <v>158.69999999999999</v>
      </c>
      <c r="D92" s="4">
        <v>163.9</v>
      </c>
      <c r="E92" s="4">
        <v>170.1</v>
      </c>
      <c r="F92" s="4">
        <v>178.7</v>
      </c>
      <c r="G92" s="4">
        <v>183.7</v>
      </c>
      <c r="H92" s="4">
        <v>182.1</v>
      </c>
      <c r="I92" s="4">
        <v>188</v>
      </c>
      <c r="J92" s="4">
        <v>188</v>
      </c>
      <c r="K92" s="4">
        <v>190.6</v>
      </c>
      <c r="L92" s="4">
        <v>190.1</v>
      </c>
      <c r="M92" s="4">
        <v>187.6</v>
      </c>
      <c r="N92" s="4">
        <v>184.7</v>
      </c>
      <c r="O92" s="4">
        <v>184.9</v>
      </c>
      <c r="P92" s="4">
        <v>194.6</v>
      </c>
      <c r="Q92" s="4">
        <v>199.5</v>
      </c>
      <c r="R92" s="4">
        <v>202.4</v>
      </c>
      <c r="S92" s="4">
        <v>200.9</v>
      </c>
      <c r="T92" s="4">
        <v>195.8</v>
      </c>
      <c r="U92" s="4">
        <v>192.4</v>
      </c>
      <c r="V92" s="4">
        <v>188.7</v>
      </c>
      <c r="W92" s="4">
        <v>186.5</v>
      </c>
      <c r="X92" s="4">
        <v>188.9</v>
      </c>
      <c r="Y92" s="4">
        <v>188.5</v>
      </c>
      <c r="Z92" s="4">
        <v>187.2</v>
      </c>
      <c r="AA92" s="4">
        <v>179.3</v>
      </c>
      <c r="AB92" s="4">
        <v>179.2</v>
      </c>
      <c r="AC92" s="4">
        <v>174.9</v>
      </c>
      <c r="AD92" s="4">
        <v>170</v>
      </c>
    </row>
    <row r="93" spans="1:30" x14ac:dyDescent="0.3">
      <c r="A93" t="s">
        <v>16</v>
      </c>
      <c r="B93" s="4">
        <v>186.5</v>
      </c>
      <c r="C93" s="4">
        <v>188.3</v>
      </c>
      <c r="D93" s="4">
        <v>188.1</v>
      </c>
      <c r="E93" s="4">
        <v>188.8</v>
      </c>
      <c r="F93" s="4">
        <v>191.9</v>
      </c>
      <c r="G93" s="4">
        <v>190.8</v>
      </c>
      <c r="H93" s="4">
        <v>191.2</v>
      </c>
      <c r="I93" s="4">
        <v>192.1</v>
      </c>
      <c r="J93" s="4">
        <v>192.1</v>
      </c>
      <c r="K93" s="4">
        <v>192.7</v>
      </c>
      <c r="L93" s="4">
        <v>192.9</v>
      </c>
      <c r="M93" s="4">
        <v>192.4</v>
      </c>
      <c r="N93" s="4">
        <v>192.2</v>
      </c>
      <c r="O93" s="4">
        <v>192.8</v>
      </c>
      <c r="P93" s="4">
        <v>193.7</v>
      </c>
      <c r="Q93" s="4">
        <v>193.9</v>
      </c>
      <c r="R93" s="4">
        <v>194.1</v>
      </c>
      <c r="S93" s="4">
        <v>194.3</v>
      </c>
      <c r="T93" s="4">
        <v>194.6</v>
      </c>
      <c r="U93" s="4">
        <v>195</v>
      </c>
      <c r="V93" s="4">
        <v>195.9</v>
      </c>
      <c r="W93" s="4">
        <v>196.3</v>
      </c>
      <c r="X93" s="4">
        <v>196.9</v>
      </c>
      <c r="Y93" s="4">
        <v>197.3</v>
      </c>
      <c r="Z93" s="4">
        <v>198.2</v>
      </c>
      <c r="AA93" s="4">
        <v>199.5</v>
      </c>
      <c r="AB93" s="4">
        <v>199.5</v>
      </c>
      <c r="AC93" s="4">
        <v>200.6</v>
      </c>
      <c r="AD93" s="4">
        <v>201</v>
      </c>
    </row>
    <row r="94" spans="1:30" x14ac:dyDescent="0.3">
      <c r="A94" t="s">
        <v>27</v>
      </c>
      <c r="B94" s="4">
        <v>156.80000000000001</v>
      </c>
      <c r="C94" s="4">
        <v>155.80000000000001</v>
      </c>
      <c r="D94" s="4">
        <v>153.80000000000001</v>
      </c>
      <c r="E94" s="4">
        <v>155.4</v>
      </c>
      <c r="F94" s="4">
        <v>158.6</v>
      </c>
      <c r="G94" s="4">
        <v>158.80000000000001</v>
      </c>
      <c r="H94" s="4">
        <v>160.1</v>
      </c>
      <c r="I94" s="4">
        <v>160</v>
      </c>
      <c r="J94" s="4">
        <v>160</v>
      </c>
      <c r="K94" s="4">
        <v>160.80000000000001</v>
      </c>
      <c r="L94" s="4">
        <v>162.19999999999999</v>
      </c>
      <c r="M94" s="4">
        <v>162.6</v>
      </c>
      <c r="N94" s="4">
        <v>163</v>
      </c>
      <c r="O94" s="4">
        <v>164.4</v>
      </c>
      <c r="P94" s="4">
        <v>167.2</v>
      </c>
      <c r="Q94" s="4">
        <v>168.8</v>
      </c>
      <c r="R94" s="4">
        <v>168.4</v>
      </c>
      <c r="S94" s="4">
        <v>169.4</v>
      </c>
      <c r="T94" s="4">
        <v>169.7</v>
      </c>
      <c r="U94" s="4">
        <v>171.2</v>
      </c>
      <c r="V94" s="4">
        <v>170.9</v>
      </c>
      <c r="W94" s="4">
        <v>172.1</v>
      </c>
      <c r="X94" s="4">
        <v>173.6</v>
      </c>
      <c r="Y94" s="4">
        <v>175.8</v>
      </c>
      <c r="Z94" s="4">
        <v>178.6</v>
      </c>
      <c r="AA94" s="4">
        <v>181</v>
      </c>
      <c r="AB94" s="4">
        <v>181</v>
      </c>
      <c r="AC94" s="4">
        <v>184</v>
      </c>
      <c r="AD94" s="4">
        <v>185.2</v>
      </c>
    </row>
    <row r="95" spans="1:30" x14ac:dyDescent="0.3">
      <c r="A95" t="s">
        <v>14</v>
      </c>
      <c r="B95" s="4">
        <v>165.6</v>
      </c>
      <c r="C95" s="4">
        <v>167.5</v>
      </c>
      <c r="D95" s="4">
        <v>168.2</v>
      </c>
      <c r="E95" s="4">
        <v>168.9</v>
      </c>
      <c r="F95" s="4">
        <v>170.4</v>
      </c>
      <c r="G95" s="4">
        <v>172.4</v>
      </c>
      <c r="H95" s="4">
        <v>172.2</v>
      </c>
      <c r="I95" s="4">
        <v>173.9</v>
      </c>
      <c r="J95" s="4">
        <v>173.9</v>
      </c>
      <c r="K95" s="4">
        <v>174.7</v>
      </c>
      <c r="L95" s="4">
        <v>175.5</v>
      </c>
      <c r="M95" s="4">
        <v>176.5</v>
      </c>
      <c r="N95" s="4">
        <v>177.3</v>
      </c>
      <c r="O95" s="4">
        <v>178</v>
      </c>
      <c r="P95" s="4">
        <v>179.3</v>
      </c>
      <c r="Q95" s="4">
        <v>180.9</v>
      </c>
      <c r="R95" s="4">
        <v>182.5</v>
      </c>
      <c r="S95" s="4">
        <v>183.9</v>
      </c>
      <c r="T95" s="4">
        <v>185.2</v>
      </c>
      <c r="U95" s="4">
        <v>186.3</v>
      </c>
      <c r="V95" s="4">
        <v>187.4</v>
      </c>
      <c r="W95" s="4">
        <v>188.3</v>
      </c>
      <c r="X95" s="4">
        <v>189.5</v>
      </c>
      <c r="Y95" s="4">
        <v>190.3</v>
      </c>
      <c r="Z95" s="4">
        <v>191.2</v>
      </c>
      <c r="AA95" s="4">
        <v>193</v>
      </c>
      <c r="AB95" s="4">
        <v>193</v>
      </c>
      <c r="AC95" s="4">
        <v>193.5</v>
      </c>
      <c r="AD95" s="4">
        <v>194.2</v>
      </c>
    </row>
    <row r="96" spans="1:30" x14ac:dyDescent="0.3">
      <c r="A96" t="s">
        <v>10</v>
      </c>
      <c r="B96" s="4">
        <v>160.4</v>
      </c>
      <c r="C96" s="4">
        <v>158.80000000000001</v>
      </c>
      <c r="D96" s="4">
        <v>159.80000000000001</v>
      </c>
      <c r="E96" s="4">
        <v>161.69999999999999</v>
      </c>
      <c r="F96" s="4">
        <v>165.4</v>
      </c>
      <c r="G96" s="4">
        <v>166</v>
      </c>
      <c r="H96" s="4">
        <v>164</v>
      </c>
      <c r="I96" s="4">
        <v>164.1</v>
      </c>
      <c r="J96" s="4">
        <v>164.1</v>
      </c>
      <c r="K96" s="4">
        <v>165.2</v>
      </c>
      <c r="L96" s="4">
        <v>165.3</v>
      </c>
      <c r="M96" s="4">
        <v>164.4</v>
      </c>
      <c r="N96" s="4">
        <v>163.9</v>
      </c>
      <c r="O96" s="4">
        <v>163.69999999999999</v>
      </c>
      <c r="P96" s="4">
        <v>163.9</v>
      </c>
      <c r="Q96" s="4">
        <v>164.7</v>
      </c>
      <c r="R96" s="4">
        <v>164.7</v>
      </c>
      <c r="S96" s="4">
        <v>164.3</v>
      </c>
      <c r="T96" s="4">
        <v>164.3</v>
      </c>
      <c r="U96" s="4">
        <v>167.2</v>
      </c>
      <c r="V96" s="4">
        <v>169.1</v>
      </c>
      <c r="W96" s="4">
        <v>169.8</v>
      </c>
      <c r="X96" s="4">
        <v>170.5</v>
      </c>
      <c r="Y96" s="4">
        <v>170.8</v>
      </c>
      <c r="Z96" s="4">
        <v>170.9</v>
      </c>
      <c r="AA96" s="4">
        <v>171</v>
      </c>
      <c r="AB96" s="4">
        <v>171.1</v>
      </c>
      <c r="AC96" s="4">
        <v>173.4</v>
      </c>
      <c r="AD96" s="4">
        <v>175.6</v>
      </c>
    </row>
    <row r="97" spans="1:30" x14ac:dyDescent="0.3">
      <c r="A97" t="s">
        <v>25</v>
      </c>
      <c r="B97" s="4">
        <v>149.6</v>
      </c>
      <c r="C97" s="4">
        <v>151.5</v>
      </c>
      <c r="D97" s="4">
        <v>152.6</v>
      </c>
      <c r="E97" s="4">
        <v>153.19999999999999</v>
      </c>
      <c r="F97" s="4">
        <v>155.80000000000001</v>
      </c>
      <c r="G97" s="4">
        <v>154.9</v>
      </c>
      <c r="H97" s="4">
        <v>155.30000000000001</v>
      </c>
      <c r="I97" s="4">
        <v>157.6</v>
      </c>
      <c r="J97" s="4">
        <v>157.69999999999999</v>
      </c>
      <c r="K97" s="4">
        <v>158.6</v>
      </c>
      <c r="L97" s="4">
        <v>159.80000000000001</v>
      </c>
      <c r="M97" s="4">
        <v>160.6</v>
      </c>
      <c r="N97" s="4">
        <v>161.19999999999999</v>
      </c>
      <c r="O97" s="4">
        <v>162.1</v>
      </c>
      <c r="P97" s="4">
        <v>163.30000000000001</v>
      </c>
      <c r="Q97" s="4">
        <v>164.4</v>
      </c>
      <c r="R97" s="4">
        <v>165.1</v>
      </c>
      <c r="S97" s="4">
        <v>165.8</v>
      </c>
      <c r="T97" s="4">
        <v>166.3</v>
      </c>
      <c r="U97" s="4">
        <v>166.9</v>
      </c>
      <c r="V97" s="4">
        <v>167.6</v>
      </c>
      <c r="W97" s="4">
        <v>168.2</v>
      </c>
      <c r="X97" s="4">
        <v>168.5</v>
      </c>
      <c r="Y97" s="4">
        <v>168.9</v>
      </c>
      <c r="Z97" s="4">
        <v>169.5</v>
      </c>
      <c r="AA97" s="4">
        <v>170.3</v>
      </c>
      <c r="AB97" s="4">
        <v>170.3</v>
      </c>
      <c r="AC97" s="4">
        <v>170.7</v>
      </c>
      <c r="AD97" s="4">
        <v>171.2</v>
      </c>
    </row>
    <row r="98" spans="1:30" x14ac:dyDescent="0.3">
      <c r="A98" t="s">
        <v>12</v>
      </c>
      <c r="B98" s="4">
        <v>164</v>
      </c>
      <c r="C98" s="4">
        <v>164.2</v>
      </c>
      <c r="D98" s="4">
        <v>163.5</v>
      </c>
      <c r="E98" s="4">
        <v>163.9</v>
      </c>
      <c r="F98" s="4">
        <v>168.2</v>
      </c>
      <c r="G98" s="4">
        <v>168.5</v>
      </c>
      <c r="H98" s="4">
        <v>168.3</v>
      </c>
      <c r="I98" s="4">
        <v>168.8</v>
      </c>
      <c r="J98" s="4">
        <v>168.8</v>
      </c>
      <c r="K98" s="4">
        <v>169.3</v>
      </c>
      <c r="L98" s="4">
        <v>169.6</v>
      </c>
      <c r="M98" s="4">
        <v>170.5</v>
      </c>
      <c r="N98" s="4">
        <v>172.1</v>
      </c>
      <c r="O98" s="4">
        <v>174.3</v>
      </c>
      <c r="P98" s="4">
        <v>177.4</v>
      </c>
      <c r="Q98" s="4">
        <v>181.3</v>
      </c>
      <c r="R98" s="4">
        <v>184.9</v>
      </c>
      <c r="S98" s="4">
        <v>187.1</v>
      </c>
      <c r="T98" s="4">
        <v>190</v>
      </c>
      <c r="U98" s="4">
        <v>193.6</v>
      </c>
      <c r="V98" s="4">
        <v>197.3</v>
      </c>
      <c r="W98" s="4">
        <v>199.9</v>
      </c>
      <c r="X98" s="4">
        <v>202.8</v>
      </c>
      <c r="Y98" s="4">
        <v>205.2</v>
      </c>
      <c r="Z98" s="4">
        <v>208.4</v>
      </c>
      <c r="AA98" s="4">
        <v>209.7</v>
      </c>
      <c r="AB98" s="4">
        <v>209.7</v>
      </c>
      <c r="AC98" s="4">
        <v>212.9</v>
      </c>
      <c r="AD98" s="4">
        <v>218</v>
      </c>
    </row>
    <row r="99" spans="1:30" x14ac:dyDescent="0.3">
      <c r="A99" t="s">
        <v>11</v>
      </c>
      <c r="B99" s="4">
        <v>114.6</v>
      </c>
      <c r="C99" s="4">
        <v>112.8</v>
      </c>
      <c r="D99" s="4">
        <v>112.6</v>
      </c>
      <c r="E99" s="4">
        <v>113.1</v>
      </c>
      <c r="F99" s="4">
        <v>114.8</v>
      </c>
      <c r="G99" s="4">
        <v>115.1</v>
      </c>
      <c r="H99" s="4">
        <v>114.5</v>
      </c>
      <c r="I99" s="4">
        <v>119.7</v>
      </c>
      <c r="J99" s="4">
        <v>119.7</v>
      </c>
      <c r="K99" s="4">
        <v>121.9</v>
      </c>
      <c r="L99" s="4">
        <v>122.4</v>
      </c>
      <c r="M99" s="4">
        <v>121</v>
      </c>
      <c r="N99" s="4">
        <v>120</v>
      </c>
      <c r="O99" s="4">
        <v>118.9</v>
      </c>
      <c r="P99" s="4">
        <v>118.8</v>
      </c>
      <c r="Q99" s="4">
        <v>119</v>
      </c>
      <c r="R99" s="4">
        <v>119.7</v>
      </c>
      <c r="S99" s="4">
        <v>119.9</v>
      </c>
      <c r="T99" s="4">
        <v>120</v>
      </c>
      <c r="U99" s="4">
        <v>120.9</v>
      </c>
      <c r="V99" s="4">
        <v>121.6</v>
      </c>
      <c r="W99" s="4">
        <v>121.9</v>
      </c>
      <c r="X99" s="4">
        <v>122.1</v>
      </c>
      <c r="Y99" s="4">
        <v>121.8</v>
      </c>
      <c r="Z99" s="4">
        <v>121.1</v>
      </c>
      <c r="AA99" s="4">
        <v>120</v>
      </c>
      <c r="AB99" s="4">
        <v>120</v>
      </c>
      <c r="AC99" s="4">
        <v>121.3</v>
      </c>
      <c r="AD99" s="4">
        <v>122.7</v>
      </c>
    </row>
    <row r="100" spans="1:30" x14ac:dyDescent="0.3">
      <c r="A100" t="s">
        <v>9</v>
      </c>
      <c r="B100" s="4">
        <v>194.2</v>
      </c>
      <c r="C100" s="4">
        <v>160</v>
      </c>
      <c r="D100" s="4">
        <v>149.5</v>
      </c>
      <c r="E100" s="4">
        <v>144.1</v>
      </c>
      <c r="F100" s="4">
        <v>147.9</v>
      </c>
      <c r="G100" s="4">
        <v>155.4</v>
      </c>
      <c r="H100" s="4">
        <v>164.2</v>
      </c>
      <c r="I100" s="4">
        <v>162.19999999999999</v>
      </c>
      <c r="J100" s="4">
        <v>162.30000000000001</v>
      </c>
      <c r="K100" s="4">
        <v>185.3</v>
      </c>
      <c r="L100" s="4">
        <v>199.2</v>
      </c>
      <c r="M100" s="4">
        <v>188.3</v>
      </c>
      <c r="N100" s="4">
        <v>174.3</v>
      </c>
      <c r="O100" s="4">
        <v>169.7</v>
      </c>
      <c r="P100" s="4">
        <v>166.9</v>
      </c>
      <c r="Q100" s="4">
        <v>166.2</v>
      </c>
      <c r="R100" s="4">
        <v>174.9</v>
      </c>
      <c r="S100" s="4">
        <v>182.3</v>
      </c>
      <c r="T100" s="4">
        <v>182.1</v>
      </c>
      <c r="U100" s="4">
        <v>186.7</v>
      </c>
      <c r="V100" s="4">
        <v>191.8</v>
      </c>
      <c r="W100" s="4">
        <v>199.7</v>
      </c>
      <c r="X100" s="4">
        <v>183.1</v>
      </c>
      <c r="Y100" s="4">
        <v>159.9</v>
      </c>
      <c r="Z100" s="4">
        <v>153.9</v>
      </c>
      <c r="AA100" s="4">
        <v>152.69999999999999</v>
      </c>
      <c r="AB100" s="4">
        <v>152.80000000000001</v>
      </c>
      <c r="AC100" s="4">
        <v>155.4</v>
      </c>
      <c r="AD100" s="4">
        <v>161</v>
      </c>
    </row>
    <row r="101" spans="1:30" x14ac:dyDescent="0.3">
      <c r="A101" t="s">
        <v>24</v>
      </c>
      <c r="B101" s="4">
        <v>141.9</v>
      </c>
      <c r="C101" s="4">
        <v>145.1</v>
      </c>
      <c r="D101" s="4">
        <v>146.19999999999999</v>
      </c>
      <c r="E101" s="4">
        <v>146.6</v>
      </c>
      <c r="F101" s="4">
        <v>148.9</v>
      </c>
      <c r="G101" s="4">
        <v>150.69999999999999</v>
      </c>
      <c r="H101" s="4">
        <v>153.1</v>
      </c>
      <c r="I101" s="4">
        <v>154</v>
      </c>
      <c r="J101" s="4">
        <v>154</v>
      </c>
      <c r="K101" s="4">
        <v>155.69999999999999</v>
      </c>
      <c r="L101" s="4">
        <v>154.80000000000001</v>
      </c>
      <c r="M101" s="4">
        <v>155.69999999999999</v>
      </c>
      <c r="N101" s="4">
        <v>156.5</v>
      </c>
      <c r="O101" s="4">
        <v>156.9</v>
      </c>
      <c r="P101" s="4">
        <v>157.9</v>
      </c>
      <c r="Q101" s="4">
        <v>162.6</v>
      </c>
      <c r="R101" s="4">
        <v>163</v>
      </c>
      <c r="S101" s="4">
        <v>161.1</v>
      </c>
      <c r="T101" s="4">
        <v>161.6</v>
      </c>
      <c r="U101" s="4">
        <v>161.9</v>
      </c>
      <c r="V101" s="4">
        <v>162.30000000000001</v>
      </c>
      <c r="W101" s="4">
        <v>162.9</v>
      </c>
      <c r="X101" s="4">
        <v>163</v>
      </c>
      <c r="Y101" s="4">
        <v>163.4</v>
      </c>
      <c r="Z101" s="4">
        <v>163.6</v>
      </c>
      <c r="AA101" s="4">
        <v>164.2</v>
      </c>
      <c r="AB101" s="4">
        <v>164.2</v>
      </c>
      <c r="AC101" s="4">
        <v>164.5</v>
      </c>
      <c r="AD101" s="4">
        <v>164.8</v>
      </c>
    </row>
    <row r="102" spans="1:30" x14ac:dyDescent="0.3">
      <c r="A102" t="s">
        <v>21</v>
      </c>
      <c r="B102" s="4">
        <v>147.9</v>
      </c>
      <c r="C102" s="4">
        <v>152.4</v>
      </c>
      <c r="D102" s="4">
        <v>155.5</v>
      </c>
      <c r="E102" s="4">
        <v>155.6</v>
      </c>
      <c r="F102" s="4">
        <v>159.4</v>
      </c>
      <c r="G102" s="4">
        <v>159.80000000000001</v>
      </c>
      <c r="H102" s="4">
        <v>160.69999999999999</v>
      </c>
      <c r="I102" s="4">
        <v>162.6</v>
      </c>
      <c r="J102" s="4">
        <v>162.6</v>
      </c>
      <c r="K102" s="4">
        <v>164.2</v>
      </c>
      <c r="L102" s="4">
        <v>163.9</v>
      </c>
      <c r="M102" s="4">
        <v>164.1</v>
      </c>
      <c r="N102" s="4">
        <v>164.2</v>
      </c>
      <c r="O102" s="4">
        <v>165.7</v>
      </c>
      <c r="P102" s="4">
        <v>167.2</v>
      </c>
      <c r="Q102" s="4">
        <v>172.2</v>
      </c>
      <c r="R102" s="4">
        <v>174.6</v>
      </c>
      <c r="S102" s="4">
        <v>176</v>
      </c>
      <c r="T102" s="4">
        <v>179.6</v>
      </c>
      <c r="U102" s="4">
        <v>178.8</v>
      </c>
      <c r="V102" s="4">
        <v>179.5</v>
      </c>
      <c r="W102" s="4">
        <v>180.5</v>
      </c>
      <c r="X102" s="4">
        <v>181.3</v>
      </c>
      <c r="Y102" s="4">
        <v>182</v>
      </c>
      <c r="Z102" s="4">
        <v>182</v>
      </c>
      <c r="AA102" s="4">
        <v>182.1</v>
      </c>
      <c r="AB102" s="4">
        <v>181.9</v>
      </c>
      <c r="AC102" s="4">
        <v>181.7</v>
      </c>
      <c r="AD102" s="4">
        <v>182.8</v>
      </c>
    </row>
    <row r="104" spans="1:30" x14ac:dyDescent="0.3">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6" spans="1:30" x14ac:dyDescent="0.3">
      <c r="A106" s="82" t="s">
        <v>53</v>
      </c>
      <c r="B106" t="s">
        <v>214</v>
      </c>
    </row>
    <row r="107" spans="1:30" x14ac:dyDescent="0.3">
      <c r="A107" t="s">
        <v>3</v>
      </c>
      <c r="B107" s="83">
        <f>CORREL(CrudeOil_prices[Value],B76:AD76)</f>
        <v>0.25708758135604781</v>
      </c>
    </row>
    <row r="108" spans="1:30" x14ac:dyDescent="0.3">
      <c r="A108" t="s">
        <v>17</v>
      </c>
      <c r="B108" s="83">
        <f>CORREL(CrudeOil_prices[Value],B77:AD77)</f>
        <v>0.51957718225495442</v>
      </c>
    </row>
    <row r="109" spans="1:30" x14ac:dyDescent="0.3">
      <c r="A109" t="s">
        <v>19</v>
      </c>
      <c r="B109" s="83">
        <f>CORREL(CrudeOil_prices[Value],B78:AD78)</f>
        <v>0.52415472990869605</v>
      </c>
    </row>
    <row r="110" spans="1:30" x14ac:dyDescent="0.3">
      <c r="A110" t="s">
        <v>26</v>
      </c>
      <c r="B110" s="83">
        <f>CORREL(CrudeOil_prices[Value],B79:AD79)</f>
        <v>0.43780938159837823</v>
      </c>
    </row>
    <row r="111" spans="1:30" x14ac:dyDescent="0.3">
      <c r="A111" t="s">
        <v>5</v>
      </c>
      <c r="B111" s="83">
        <f>CORREL(CrudeOil_prices[Value],B80:AD80)</f>
        <v>-0.18636846816615313</v>
      </c>
    </row>
    <row r="112" spans="1:30" x14ac:dyDescent="0.3">
      <c r="A112" t="s">
        <v>15</v>
      </c>
      <c r="B112" s="83">
        <f>CORREL(CrudeOil_prices[Value],B81:AD81)</f>
        <v>0.57572796442993424</v>
      </c>
    </row>
    <row r="113" spans="1:2" x14ac:dyDescent="0.3">
      <c r="A113" t="s">
        <v>18</v>
      </c>
      <c r="B113" s="83">
        <f>CORREL(CrudeOil_prices[Value],B82:AD82)</f>
        <v>0.54712288862462777</v>
      </c>
    </row>
    <row r="114" spans="1:2" x14ac:dyDescent="0.3">
      <c r="A114" t="s">
        <v>8</v>
      </c>
      <c r="B114" s="83">
        <f>CORREL(CrudeOil_prices[Value],B83:AD83)</f>
        <v>0.47239561761922116</v>
      </c>
    </row>
    <row r="115" spans="1:2" x14ac:dyDescent="0.3">
      <c r="A115" t="s">
        <v>29</v>
      </c>
      <c r="B115" s="83">
        <f>CORREL(CrudeOil_prices[Value],B84:AD84)</f>
        <v>0.55317551746379678</v>
      </c>
    </row>
    <row r="116" spans="1:2" x14ac:dyDescent="0.3">
      <c r="A116" t="s">
        <v>23</v>
      </c>
      <c r="B116" s="83">
        <f>CORREL(CrudeOil_prices[Value],B85:AD85)</f>
        <v>0.47641269191127644</v>
      </c>
    </row>
    <row r="117" spans="1:2" x14ac:dyDescent="0.3">
      <c r="A117" t="s">
        <v>22</v>
      </c>
      <c r="B117" s="83">
        <f>CORREL(CrudeOil_prices[Value],B86:AD86)</f>
        <v>0.5059366686491048</v>
      </c>
    </row>
    <row r="118" spans="1:2" x14ac:dyDescent="0.3">
      <c r="A118" t="s">
        <v>20</v>
      </c>
      <c r="B118" s="83">
        <f>CORREL(CrudeOil_prices[Value],B87:AD87)</f>
        <v>0.42784337689564433</v>
      </c>
    </row>
    <row r="119" spans="1:2" x14ac:dyDescent="0.3">
      <c r="A119" t="s">
        <v>4</v>
      </c>
      <c r="B119" s="83">
        <f>CORREL(CrudeOil_prices[Value],B88:AD88)</f>
        <v>0.76396639945181211</v>
      </c>
    </row>
    <row r="120" spans="1:2" x14ac:dyDescent="0.3">
      <c r="A120" t="s">
        <v>6</v>
      </c>
      <c r="B120" s="83">
        <f>CORREL(CrudeOil_prices[Value],B89:AD89)</f>
        <v>0.35310878516096433</v>
      </c>
    </row>
    <row r="121" spans="1:2" x14ac:dyDescent="0.3">
      <c r="A121" t="s">
        <v>28</v>
      </c>
      <c r="B121" s="83">
        <f>CORREL(CrudeOil_prices[Value],B90:AD90)</f>
        <v>0.53388417270072297</v>
      </c>
    </row>
    <row r="122" spans="1:2" x14ac:dyDescent="0.3">
      <c r="A122" t="s">
        <v>13</v>
      </c>
      <c r="B122" s="83">
        <f>CORREL(CrudeOil_prices[Value],B91:AD91)</f>
        <v>0.55440614749546446</v>
      </c>
    </row>
    <row r="123" spans="1:2" x14ac:dyDescent="0.3">
      <c r="A123" t="s">
        <v>7</v>
      </c>
      <c r="B123" s="83">
        <f>CORREL(CrudeOil_prices[Value],B92:AD92)</f>
        <v>0.80946650888407234</v>
      </c>
    </row>
    <row r="124" spans="1:2" x14ac:dyDescent="0.3">
      <c r="A124" t="s">
        <v>16</v>
      </c>
      <c r="B124" s="83">
        <f>CORREL(CrudeOil_prices[Value],B93:AD93)</f>
        <v>0.39884347509317564</v>
      </c>
    </row>
    <row r="125" spans="1:2" x14ac:dyDescent="0.3">
      <c r="A125" t="s">
        <v>27</v>
      </c>
      <c r="B125" s="83">
        <f>CORREL(CrudeOil_prices[Value],B94:AD94)</f>
        <v>0.39771953056415421</v>
      </c>
    </row>
    <row r="126" spans="1:2" x14ac:dyDescent="0.3">
      <c r="A126" t="s">
        <v>14</v>
      </c>
      <c r="B126" s="83">
        <f>CORREL(CrudeOil_prices[Value],B95:AD95)</f>
        <v>0.48336179574796034</v>
      </c>
    </row>
    <row r="127" spans="1:2" x14ac:dyDescent="0.3">
      <c r="A127" t="s">
        <v>10</v>
      </c>
      <c r="B127" s="83">
        <f>CORREL(CrudeOil_prices[Value],B96:AD96)</f>
        <v>0.17606973464104739</v>
      </c>
    </row>
    <row r="128" spans="1:2" x14ac:dyDescent="0.3">
      <c r="A128" t="s">
        <v>25</v>
      </c>
      <c r="B128" s="83">
        <f>CORREL(CrudeOil_prices[Value],B97:AD97)</f>
        <v>0.58945628004865802</v>
      </c>
    </row>
    <row r="129" spans="1:2" x14ac:dyDescent="0.3">
      <c r="A129" t="s">
        <v>12</v>
      </c>
      <c r="B129" s="83">
        <f>CORREL(CrudeOil_prices[Value],B98:AD98)</f>
        <v>0.33675352313769485</v>
      </c>
    </row>
    <row r="130" spans="1:2" x14ac:dyDescent="0.3">
      <c r="A130" t="s">
        <v>11</v>
      </c>
      <c r="B130" s="83">
        <f>CORREL(CrudeOil_prices[Value],B99:AD99)</f>
        <v>0.50195772227056057</v>
      </c>
    </row>
    <row r="131" spans="1:2" x14ac:dyDescent="0.3">
      <c r="A131" t="s">
        <v>9</v>
      </c>
      <c r="B131" s="83">
        <f>CORREL(CrudeOil_prices[Value],B100:AD100)</f>
        <v>0.34646080664801909</v>
      </c>
    </row>
    <row r="132" spans="1:2" x14ac:dyDescent="0.3">
      <c r="A132" t="s">
        <v>24</v>
      </c>
      <c r="B132" s="83">
        <f>CORREL(CrudeOil_prices[Value],B101:AD101)</f>
        <v>0.66762747886441132</v>
      </c>
    </row>
    <row r="133" spans="1:2" x14ac:dyDescent="0.3">
      <c r="A133" t="s">
        <v>21</v>
      </c>
      <c r="B133" s="83">
        <f>CORREL(CrudeOil_prices[Value],B102:AD102)</f>
        <v>0.57023945887109884</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52CB-4134-4908-A367-3A446C6AA4AA}">
  <dimension ref="A1:BY96"/>
  <sheetViews>
    <sheetView showGridLines="0" zoomScale="85" zoomScaleNormal="85" workbookViewId="0">
      <selection activeCell="A109" sqref="A109"/>
    </sheetView>
  </sheetViews>
  <sheetFormatPr defaultRowHeight="14.4" x14ac:dyDescent="0.3"/>
  <cols>
    <col min="1" max="1" width="39.44140625" customWidth="1"/>
    <col min="2" max="2" width="10.5546875" bestFit="1" customWidth="1"/>
    <col min="3" max="3" width="20.44140625" customWidth="1"/>
    <col min="4" max="6" width="11.5546875" customWidth="1"/>
    <col min="7" max="7" width="23.5546875" customWidth="1"/>
    <col min="8" max="9" width="11.5546875" customWidth="1"/>
    <col min="10" max="10" width="22.21875" customWidth="1"/>
    <col min="11" max="11" width="11.44140625" customWidth="1"/>
    <col min="12" max="12" width="14.6640625" customWidth="1"/>
    <col min="13" max="13" width="10" customWidth="1"/>
    <col min="14" max="14" width="7.88671875" customWidth="1"/>
    <col min="15" max="15" width="22.6640625" customWidth="1"/>
    <col min="27" max="27" width="8.88671875" style="45"/>
    <col min="29" max="29" width="6.5546875" bestFit="1" customWidth="1"/>
  </cols>
  <sheetData>
    <row r="1" spans="1:35" ht="29.4" x14ac:dyDescent="0.45">
      <c r="A1" s="87" t="s">
        <v>229</v>
      </c>
      <c r="B1" s="87"/>
      <c r="C1" s="87"/>
      <c r="D1" s="87"/>
      <c r="E1" s="87"/>
      <c r="F1" s="87"/>
      <c r="G1" s="87"/>
      <c r="H1" s="87"/>
      <c r="I1" s="87"/>
      <c r="J1" s="87"/>
      <c r="K1" s="87"/>
      <c r="L1" s="87"/>
      <c r="M1" s="87"/>
      <c r="N1" s="87"/>
      <c r="O1" s="87"/>
      <c r="P1" s="87"/>
      <c r="Q1" s="87"/>
      <c r="R1" s="87"/>
      <c r="S1" s="87"/>
      <c r="T1" s="81"/>
      <c r="U1" s="81"/>
      <c r="V1" s="81"/>
      <c r="W1" s="81"/>
      <c r="X1" s="81"/>
      <c r="Y1" s="81"/>
      <c r="Z1" s="81"/>
      <c r="AA1" s="81"/>
      <c r="AB1" s="35"/>
      <c r="AC1" s="35"/>
      <c r="AD1" s="35"/>
      <c r="AE1" s="35"/>
      <c r="AF1" s="35"/>
      <c r="AG1" s="35"/>
      <c r="AH1" s="35"/>
      <c r="AI1" s="35"/>
    </row>
    <row r="2" spans="1:35" x14ac:dyDescent="0.3">
      <c r="W2" s="45"/>
      <c r="X2" s="45"/>
      <c r="Y2" s="45"/>
      <c r="Z2" s="45"/>
    </row>
    <row r="3" spans="1:35" ht="15" thickBot="1" x14ac:dyDescent="0.35"/>
    <row r="4" spans="1:35" ht="15" thickBot="1" x14ac:dyDescent="0.35">
      <c r="A4" s="88" t="str">
        <f>PivotTables!A2</f>
        <v>% Contribution of each category in CPI (Latest Month- May-23)</v>
      </c>
      <c r="B4" s="89"/>
      <c r="C4" s="90"/>
      <c r="D4" s="34"/>
      <c r="E4" s="34"/>
      <c r="F4" s="34"/>
      <c r="G4" s="94" t="str">
        <f>PivotTables!A21</f>
        <v>M-o-M Change- Food &amp; Beverages Category</v>
      </c>
      <c r="H4" s="95"/>
      <c r="I4" s="95"/>
      <c r="J4" s="95"/>
      <c r="K4" s="95"/>
      <c r="L4" s="95"/>
      <c r="M4" s="95"/>
      <c r="N4" s="95"/>
      <c r="O4" s="95"/>
      <c r="P4" s="95"/>
      <c r="Q4" s="95"/>
      <c r="R4" s="95"/>
      <c r="S4" s="96"/>
      <c r="X4" s="33"/>
      <c r="AA4"/>
    </row>
    <row r="5" spans="1:35" x14ac:dyDescent="0.3">
      <c r="A5" s="23" t="s">
        <v>194</v>
      </c>
      <c r="B5" s="24" t="s">
        <v>205</v>
      </c>
      <c r="C5" s="25" t="str">
        <f>PivotTables!B6</f>
        <v>Rural+Urban</v>
      </c>
      <c r="G5" s="23" t="s">
        <v>193</v>
      </c>
      <c r="H5" s="24" t="str">
        <f>PivotTables!D24</f>
        <v>Jun-22</v>
      </c>
      <c r="I5" s="24" t="str">
        <f>PivotTables!E24</f>
        <v>Jul-22</v>
      </c>
      <c r="J5" s="24" t="str">
        <f>PivotTables!F24</f>
        <v>Aug-22</v>
      </c>
      <c r="K5" s="24" t="str">
        <f>PivotTables!G24</f>
        <v>Sep-22</v>
      </c>
      <c r="L5" s="24" t="str">
        <f>PivotTables!H24</f>
        <v>Oct-22</v>
      </c>
      <c r="M5" s="24" t="str">
        <f>PivotTables!I24</f>
        <v>Nov-22</v>
      </c>
      <c r="N5" s="24" t="str">
        <f>PivotTables!J24</f>
        <v>Dec-22</v>
      </c>
      <c r="O5" s="24" t="str">
        <f>PivotTables!K24</f>
        <v>Jan-23</v>
      </c>
      <c r="P5" s="24" t="str">
        <f>PivotTables!L24</f>
        <v>Feb-23</v>
      </c>
      <c r="Q5" s="24" t="str">
        <f>PivotTables!M24</f>
        <v>Mar-23</v>
      </c>
      <c r="R5" s="24" t="str">
        <f>PivotTables!N24</f>
        <v>Apr-23</v>
      </c>
      <c r="S5" s="25" t="str">
        <f>PivotTables!O24</f>
        <v>May-23</v>
      </c>
      <c r="X5" s="34"/>
      <c r="AA5"/>
    </row>
    <row r="6" spans="1:35" x14ac:dyDescent="0.3">
      <c r="A6" s="27" t="s">
        <v>189</v>
      </c>
      <c r="B6" s="41">
        <f t="shared" ref="B6:B15" si="0">(C6/$C$15)</f>
        <v>0.11480842911877397</v>
      </c>
      <c r="C6" s="63">
        <f>PivotTables!B7</f>
        <v>184.4</v>
      </c>
      <c r="G6" s="30" t="s">
        <v>3</v>
      </c>
      <c r="H6" s="48">
        <f>ABS((PivotTables!D25-PivotTables!C25)/PivotTables!C25)</f>
        <v>5.8403634003893947E-3</v>
      </c>
      <c r="I6" s="48">
        <f>ABS((PivotTables!E25-PivotTables!D25)/PivotTables!D25)</f>
        <v>9.6774193548387101E-3</v>
      </c>
      <c r="J6" s="48">
        <f>ABS((PivotTables!F25-PivotTables!E25)/PivotTables!E25)</f>
        <v>2.4281150159744483E-2</v>
      </c>
      <c r="K6" s="48">
        <f>ABS((PivotTables!G25-PivotTables!F25)/PivotTables!F25)</f>
        <v>1.9962570180910719E-2</v>
      </c>
      <c r="L6" s="48">
        <f>ABS((PivotTables!H25-PivotTables!G25)/PivotTables!G25)</f>
        <v>1.0397553516819502E-2</v>
      </c>
      <c r="M6" s="48">
        <f>ABS((PivotTables!I25-PivotTables!H25)/PivotTables!H25)</f>
        <v>1.3317191283293082E-2</v>
      </c>
      <c r="N6" s="48">
        <f>ABS((PivotTables!J25-PivotTables!I25)/PivotTables!I25)</f>
        <v>1.0752688172042909E-2</v>
      </c>
      <c r="O6" s="48">
        <f>ABS((PivotTables!K25-PivotTables!J25)/PivotTables!J25)</f>
        <v>2.7186761229314557E-2</v>
      </c>
      <c r="P6" s="48">
        <f>ABS((PivotTables!L25-PivotTables!K25)/PivotTables!K25)</f>
        <v>3.4522439585730398E-3</v>
      </c>
      <c r="Q6" s="48">
        <f>ABS((PivotTables!M25-PivotTables!L25)/PivotTables!L25)</f>
        <v>0</v>
      </c>
      <c r="R6" s="48">
        <f>ABS((PivotTables!N25-PivotTables!M25)/PivotTables!M25)</f>
        <v>3.4403669724770315E-3</v>
      </c>
      <c r="S6" s="49">
        <f>ABS((PivotTables!O25-PivotTables!N25)/PivotTables!N25)</f>
        <v>5.7537399309564284E-4</v>
      </c>
      <c r="X6" s="41"/>
      <c r="AA6"/>
    </row>
    <row r="7" spans="1:35" x14ac:dyDescent="0.3">
      <c r="A7" s="27" t="s">
        <v>26</v>
      </c>
      <c r="B7" s="41">
        <f t="shared" si="0"/>
        <v>0.11026340996168583</v>
      </c>
      <c r="C7" s="63">
        <f>PivotTables!B8</f>
        <v>177.1</v>
      </c>
      <c r="G7" s="27" t="s">
        <v>5</v>
      </c>
      <c r="H7" s="48">
        <f>ABS((PivotTables!D26-PivotTables!C26)/PivotTables!C26)</f>
        <v>5.1724137931034517E-2</v>
      </c>
      <c r="I7" s="48">
        <f>ABS((PivotTables!E26-PivotTables!D26)/PivotTables!D26)</f>
        <v>2.5761124121779725E-2</v>
      </c>
      <c r="J7" s="48">
        <f>ABS((PivotTables!F26-PivotTables!E26)/PivotTables!E26)</f>
        <v>3.4246575342465758E-2</v>
      </c>
      <c r="K7" s="48">
        <f>ABS((PivotTables!G26-PivotTables!F26)/PivotTables!F26)</f>
        <v>2.9550827423167852E-3</v>
      </c>
      <c r="L7" s="48">
        <f>ABS((PivotTables!H26-PivotTables!G26)/PivotTables!G26)</f>
        <v>7.0713022981733478E-3</v>
      </c>
      <c r="M7" s="48">
        <f>ABS((PivotTables!I26-PivotTables!H26)/PivotTables!H26)</f>
        <v>6.1439438267992974E-2</v>
      </c>
      <c r="N7" s="48">
        <f>ABS((PivotTables!J26-PivotTables!I26)/PivotTables!I26)</f>
        <v>4.8511576626240255E-2</v>
      </c>
      <c r="O7" s="48">
        <f>ABS((PivotTables!K26-PivotTables!J26)/PivotTables!J26)</f>
        <v>2.2607781282860208E-2</v>
      </c>
      <c r="P7" s="48">
        <f>ABS((PivotTables!L26-PivotTables!K26)/PivotTables!K26)</f>
        <v>9.9228791773778982E-2</v>
      </c>
      <c r="Q7" s="48">
        <f>ABS((PivotTables!M26-PivotTables!L26)/PivotTables!L26)</f>
        <v>0</v>
      </c>
      <c r="R7" s="48">
        <f>ABS((PivotTables!N26-PivotTables!M26)/PivotTables!M26)</f>
        <v>3.1963470319634674E-2</v>
      </c>
      <c r="S7" s="49">
        <f>ABS((PivotTables!O26-PivotTables!N26)/PivotTables!N26)</f>
        <v>2.122641509433959E-2</v>
      </c>
      <c r="X7" s="26"/>
      <c r="AA7"/>
    </row>
    <row r="8" spans="1:35" x14ac:dyDescent="0.3">
      <c r="A8" s="27" t="s">
        <v>190</v>
      </c>
      <c r="B8" s="41">
        <f t="shared" si="0"/>
        <v>0.11381226053639849</v>
      </c>
      <c r="C8" s="63">
        <f>PivotTables!B9</f>
        <v>182.8</v>
      </c>
      <c r="G8" s="30" t="s">
        <v>15</v>
      </c>
      <c r="H8" s="48">
        <f>ABS((PivotTables!D27-PivotTables!C27)/PivotTables!C27)</f>
        <v>9.2325447201384546E-3</v>
      </c>
      <c r="I8" s="48">
        <f>ABS((PivotTables!E27-PivotTables!D27)/PivotTables!D27)</f>
        <v>5.7175528873638828E-4</v>
      </c>
      <c r="J8" s="48">
        <f>ABS((PivotTables!F27-PivotTables!E27)/PivotTables!E27)</f>
        <v>7.4285714285714935E-3</v>
      </c>
      <c r="K8" s="48">
        <f>ABS((PivotTables!G27-PivotTables!F27)/PivotTables!F27)</f>
        <v>8.5082246171298923E-3</v>
      </c>
      <c r="L8" s="48">
        <f>ABS((PivotTables!H27-PivotTables!G27)/PivotTables!G27)</f>
        <v>1.0123734533183255E-2</v>
      </c>
      <c r="M8" s="48">
        <f>ABS((PivotTables!I27-PivotTables!H27)/PivotTables!H27)</f>
        <v>7.2383073496658295E-3</v>
      </c>
      <c r="N8" s="48">
        <f>ABS((PivotTables!J27-PivotTables!I27)/PivotTables!I27)</f>
        <v>1.3460459899046581E-2</v>
      </c>
      <c r="O8" s="48">
        <f>ABS((PivotTables!K27-PivotTables!J27)/PivotTables!J27)</f>
        <v>4.5480386583284984E-3</v>
      </c>
      <c r="P8" s="48">
        <f>ABS((PivotTables!L27-PivotTables!K27)/PivotTables!K27)</f>
        <v>1.6977928692700134E-3</v>
      </c>
      <c r="Q8" s="48">
        <f>ABS((PivotTables!M27-PivotTables!L27)/PivotTables!L27)</f>
        <v>0</v>
      </c>
      <c r="R8" s="48">
        <f>ABS((PivotTables!N27-PivotTables!M27)/PivotTables!M27)</f>
        <v>5.0847457627118961E-3</v>
      </c>
      <c r="S8" s="49">
        <f>ABS((PivotTables!O27-PivotTables!N27)/PivotTables!N27)</f>
        <v>6.7453625632377095E-3</v>
      </c>
      <c r="X8" s="26"/>
      <c r="AA8"/>
    </row>
    <row r="9" spans="1:35" x14ac:dyDescent="0.3">
      <c r="A9" s="27" t="s">
        <v>188</v>
      </c>
      <c r="B9" s="41">
        <f t="shared" si="0"/>
        <v>0.11048371647509578</v>
      </c>
      <c r="C9" s="63">
        <f>PivotTables!B10</f>
        <v>177.45384615384611</v>
      </c>
      <c r="G9" s="27" t="s">
        <v>8</v>
      </c>
      <c r="H9" s="48">
        <f>ABS((PivotTables!D28-PivotTables!C28)/PivotTables!C28)</f>
        <v>7.6023391812866164E-3</v>
      </c>
      <c r="I9" s="48">
        <f>ABS((PivotTables!E28-PivotTables!D28)/PivotTables!D28)</f>
        <v>2.6517383618149679E-2</v>
      </c>
      <c r="J9" s="48">
        <f>ABS((PivotTables!F28-PivotTables!E28)/PivotTables!E28)</f>
        <v>7.4626865671640818E-3</v>
      </c>
      <c r="K9" s="48">
        <f>ABS((PivotTables!G28-PivotTables!F28)/PivotTables!F28)</f>
        <v>4.1642567958357531E-2</v>
      </c>
      <c r="L9" s="48">
        <f>ABS((PivotTables!H28-PivotTables!G28)/PivotTables!G28)</f>
        <v>1.1466505733252729E-2</v>
      </c>
      <c r="M9" s="48">
        <f>ABS((PivotTables!I28-PivotTables!H28)/PivotTables!H28)</f>
        <v>1.8925518925519063E-2</v>
      </c>
      <c r="N9" s="48">
        <f>ABS((PivotTables!J28-PivotTables!I28)/PivotTables!I28)</f>
        <v>1.6801493466085806E-2</v>
      </c>
      <c r="O9" s="48">
        <f>ABS((PivotTables!K28-PivotTables!J28)/PivotTables!J28)</f>
        <v>1.8987341772152618E-3</v>
      </c>
      <c r="P9" s="48">
        <f>ABS((PivotTables!L28-PivotTables!K28)/PivotTables!K28)</f>
        <v>7.0751737207833149E-2</v>
      </c>
      <c r="Q9" s="48">
        <f>ABS((PivotTables!M28-PivotTables!L28)/PivotTables!L28)</f>
        <v>0</v>
      </c>
      <c r="R9" s="48">
        <f>ABS((PivotTables!N28-PivotTables!M28)/PivotTables!M28)</f>
        <v>4.0117994100295054E-2</v>
      </c>
      <c r="S9" s="49">
        <f>ABS((PivotTables!O28-PivotTables!N28)/PivotTables!N28)</f>
        <v>2.32558139534885E-2</v>
      </c>
      <c r="X9" s="26"/>
      <c r="AA9"/>
    </row>
    <row r="10" spans="1:35" x14ac:dyDescent="0.3">
      <c r="A10" s="27" t="s">
        <v>23</v>
      </c>
      <c r="B10" s="41">
        <f t="shared" si="0"/>
        <v>0.11561781609195403</v>
      </c>
      <c r="C10" s="63">
        <f>PivotTables!B11</f>
        <v>185.7</v>
      </c>
      <c r="G10" s="30" t="s">
        <v>4</v>
      </c>
      <c r="H10" s="48">
        <f>ABS((PivotTables!D29-PivotTables!C29)/PivotTables!C29)</f>
        <v>1.1059907834101408E-2</v>
      </c>
      <c r="I10" s="48">
        <f>ABS((PivotTables!E29-PivotTables!D29)/PivotTables!D29)</f>
        <v>2.9170464904284436E-2</v>
      </c>
      <c r="J10" s="48">
        <f>ABS((PivotTables!F29-PivotTables!E29)/PivotTables!E29)</f>
        <v>3.0516431924882629E-2</v>
      </c>
      <c r="K10" s="48">
        <f>ABS((PivotTables!G29-PivotTables!F29)/PivotTables!F29)</f>
        <v>1.3075060532687597E-2</v>
      </c>
      <c r="L10" s="48">
        <f>ABS((PivotTables!H29-PivotTables!G29)/PivotTables!G29)</f>
        <v>8.1261950286807706E-3</v>
      </c>
      <c r="M10" s="48">
        <f>ABS((PivotTables!I29-PivotTables!H29)/PivotTables!H29)</f>
        <v>7.1123755334281651E-3</v>
      </c>
      <c r="N10" s="48">
        <f>ABS((PivotTables!J29-PivotTables!I29)/PivotTables!I29)</f>
        <v>1.9102196752626823E-3</v>
      </c>
      <c r="O10" s="48">
        <f>ABS((PivotTables!K29-PivotTables!J29)/PivotTables!J29)</f>
        <v>8.1339712918659744E-3</v>
      </c>
      <c r="P10" s="48">
        <f>ABS((PivotTables!L29-PivotTables!K29)/PivotTables!K29)</f>
        <v>1.423825344091125E-2</v>
      </c>
      <c r="Q10" s="48">
        <f>ABS((PivotTables!M29-PivotTables!L29)/PivotTables!L29)</f>
        <v>0</v>
      </c>
      <c r="R10" s="48">
        <f>ABS((PivotTables!N29-PivotTables!M29)/PivotTables!M29)</f>
        <v>7.7034183919115207E-3</v>
      </c>
      <c r="S10" s="49">
        <f>ABS((PivotTables!O29-PivotTables!N29)/PivotTables!N29)</f>
        <v>2.3889154323936932E-2</v>
      </c>
      <c r="X10" s="26"/>
      <c r="AA10"/>
    </row>
    <row r="11" spans="1:35" x14ac:dyDescent="0.3">
      <c r="A11" s="27" t="s">
        <v>20</v>
      </c>
      <c r="B11" s="41">
        <f t="shared" si="0"/>
        <v>0.10920498084291187</v>
      </c>
      <c r="C11" s="63">
        <f>PivotTables!B12</f>
        <v>175.39999999999998</v>
      </c>
      <c r="F11" s="26"/>
      <c r="G11" s="30" t="s">
        <v>6</v>
      </c>
      <c r="H11" s="48">
        <f>ABS((PivotTables!D30-PivotTables!C30)/PivotTables!C30)</f>
        <v>5.4578532443905741E-3</v>
      </c>
      <c r="I11" s="48">
        <f>ABS((PivotTables!E30-PivotTables!D30)/PivotTables!D30)</f>
        <v>4.8250904704462173E-3</v>
      </c>
      <c r="J11" s="48">
        <f>ABS((PivotTables!F30-PivotTables!E30)/PivotTables!E30)</f>
        <v>9.00360144057623E-3</v>
      </c>
      <c r="K11" s="48">
        <f>ABS((PivotTables!G30-PivotTables!F30)/PivotTables!F30)</f>
        <v>9.5181439619273899E-3</v>
      </c>
      <c r="L11" s="48">
        <f>ABS((PivotTables!H30-PivotTables!G30)/PivotTables!G30)</f>
        <v>7.0713022981733478E-3</v>
      </c>
      <c r="M11" s="48">
        <f>ABS((PivotTables!I30-PivotTables!H30)/PivotTables!H30)</f>
        <v>8.1919251023990971E-3</v>
      </c>
      <c r="N11" s="48">
        <f>ABS((PivotTables!J30-PivotTables!I30)/PivotTables!I30)</f>
        <v>7.5449796865930518E-3</v>
      </c>
      <c r="O11" s="48">
        <f>ABS((PivotTables!K30-PivotTables!J30)/PivotTables!J30)</f>
        <v>5.7603686635944703E-3</v>
      </c>
      <c r="P11" s="48">
        <f>ABS((PivotTables!L30-PivotTables!K30)/PivotTables!K30)</f>
        <v>1.5463917525773294E-2</v>
      </c>
      <c r="Q11" s="48">
        <f>ABS((PivotTables!M30-PivotTables!L30)/PivotTables!L30)</f>
        <v>0</v>
      </c>
      <c r="R11" s="48">
        <f>ABS((PivotTables!N30-PivotTables!M30)/PivotTables!M30)</f>
        <v>6.2041737168640398E-3</v>
      </c>
      <c r="S11" s="49">
        <f>ABS((PivotTables!O30-PivotTables!N30)/PivotTables!N30)</f>
        <v>6.1659192825111791E-3</v>
      </c>
      <c r="X11" s="46"/>
      <c r="AA11"/>
    </row>
    <row r="12" spans="1:35" x14ac:dyDescent="0.3">
      <c r="A12" s="27" t="s">
        <v>192</v>
      </c>
      <c r="B12" s="41">
        <f t="shared" si="0"/>
        <v>0.1166139846743295</v>
      </c>
      <c r="C12" s="63">
        <f>PivotTables!B13</f>
        <v>187.29999999999998</v>
      </c>
      <c r="F12" s="26"/>
      <c r="G12" s="30" t="s">
        <v>13</v>
      </c>
      <c r="H12" s="48">
        <f>ABS((PivotTables!D31-PivotTables!C31)/PivotTables!C31)</f>
        <v>4.7875523638540481E-3</v>
      </c>
      <c r="I12" s="48">
        <f>ABS((PivotTables!E31-PivotTables!D31)/PivotTables!D31)</f>
        <v>2.9779630732578916E-3</v>
      </c>
      <c r="J12" s="48">
        <f>ABS((PivotTables!F31-PivotTables!E31)/PivotTables!E31)</f>
        <v>2.3752969121140478E-3</v>
      </c>
      <c r="K12" s="48">
        <f>ABS((PivotTables!G31-PivotTables!F31)/PivotTables!F31)</f>
        <v>3.5545023696682125E-3</v>
      </c>
      <c r="L12" s="48">
        <f>ABS((PivotTables!H31-PivotTables!G31)/PivotTables!G31)</f>
        <v>2.9515938606847697E-3</v>
      </c>
      <c r="M12" s="48">
        <f>ABS((PivotTables!I31-PivotTables!H31)/PivotTables!H31)</f>
        <v>2.942907592701589E-3</v>
      </c>
      <c r="N12" s="48">
        <f>ABS((PivotTables!J31-PivotTables!I31)/PivotTables!I31)</f>
        <v>3.521126760563347E-3</v>
      </c>
      <c r="O12" s="48">
        <f>ABS((PivotTables!K31-PivotTables!J31)/PivotTables!J31)</f>
        <v>2.339181286549741E-3</v>
      </c>
      <c r="P12" s="48">
        <f>ABS((PivotTables!L31-PivotTables!K31)/PivotTables!K31)</f>
        <v>5.2508751458576761E-3</v>
      </c>
      <c r="Q12" s="48">
        <f>ABS((PivotTables!M31-PivotTables!L31)/PivotTables!L31)</f>
        <v>0</v>
      </c>
      <c r="R12" s="48">
        <f>ABS((PivotTables!N31-PivotTables!M31)/PivotTables!M31)</f>
        <v>3.4822983168891135E-3</v>
      </c>
      <c r="S12" s="49">
        <f>ABS((PivotTables!O31-PivotTables!N31)/PivotTables!N31)</f>
        <v>2.8918449971081549E-3</v>
      </c>
      <c r="X12" s="34"/>
      <c r="AA12"/>
    </row>
    <row r="13" spans="1:35" x14ac:dyDescent="0.3">
      <c r="A13" s="27" t="s">
        <v>195</v>
      </c>
      <c r="B13" s="41">
        <f t="shared" si="0"/>
        <v>0.10659003831417625</v>
      </c>
      <c r="C13" s="63">
        <f>PivotTables!B14</f>
        <v>171.2</v>
      </c>
      <c r="F13" s="26"/>
      <c r="G13" s="30" t="s">
        <v>7</v>
      </c>
      <c r="H13" s="48">
        <f>ABS((PivotTables!D32-PivotTables!C32)/PivotTables!C32)</f>
        <v>7.411067193675889E-3</v>
      </c>
      <c r="I13" s="48">
        <f>ABS((PivotTables!E32-PivotTables!D32)/PivotTables!D32)</f>
        <v>2.5385764061722219E-2</v>
      </c>
      <c r="J13" s="48">
        <f>ABS((PivotTables!F32-PivotTables!E32)/PivotTables!E32)</f>
        <v>1.7364657814096043E-2</v>
      </c>
      <c r="K13" s="48">
        <f>ABS((PivotTables!G32-PivotTables!F32)/PivotTables!F32)</f>
        <v>1.9230769230769319E-2</v>
      </c>
      <c r="L13" s="48">
        <f>ABS((PivotTables!H32-PivotTables!G32)/PivotTables!G32)</f>
        <v>1.1658717541070422E-2</v>
      </c>
      <c r="M13" s="48">
        <f>ABS((PivotTables!I32-PivotTables!H32)/PivotTables!H32)</f>
        <v>1.286863270777483E-2</v>
      </c>
      <c r="N13" s="48">
        <f>ABS((PivotTables!J32-PivotTables!I32)/PivotTables!I32)</f>
        <v>2.1175224986765785E-3</v>
      </c>
      <c r="O13" s="48">
        <f>ABS((PivotTables!K32-PivotTables!J32)/PivotTables!J32)</f>
        <v>6.8965517241379917E-3</v>
      </c>
      <c r="P13" s="48">
        <f>ABS((PivotTables!L32-PivotTables!K32)/PivotTables!K32)</f>
        <v>4.2200854700854579E-2</v>
      </c>
      <c r="Q13" s="48">
        <f>ABS((PivotTables!M32-PivotTables!L32)/PivotTables!L32)</f>
        <v>5.5772448410497898E-4</v>
      </c>
      <c r="R13" s="48">
        <f>ABS((PivotTables!N32-PivotTables!M32)/PivotTables!M32)</f>
        <v>2.3995535714285622E-2</v>
      </c>
      <c r="S13" s="49">
        <f>ABS((PivotTables!O32-PivotTables!N32)/PivotTables!N32)</f>
        <v>2.801600914808465E-2</v>
      </c>
      <c r="X13" s="26"/>
      <c r="AA13"/>
    </row>
    <row r="14" spans="1:35" x14ac:dyDescent="0.3">
      <c r="A14" s="27" t="s">
        <v>191</v>
      </c>
      <c r="B14" s="41">
        <f t="shared" si="0"/>
        <v>0.10260536398467435</v>
      </c>
      <c r="C14" s="63">
        <f>PivotTables!B15</f>
        <v>164.8</v>
      </c>
      <c r="F14" s="26"/>
      <c r="G14" s="30" t="s">
        <v>14</v>
      </c>
      <c r="H14" s="48">
        <f>ABS((PivotTables!D33-PivotTables!C33)/PivotTables!C33)</f>
        <v>7.6712328767123599E-3</v>
      </c>
      <c r="I14" s="48">
        <f>ABS((PivotTables!E33-PivotTables!D33)/PivotTables!D33)</f>
        <v>7.0690592713430287E-3</v>
      </c>
      <c r="J14" s="48">
        <f>ABS((PivotTables!F33-PivotTables!E33)/PivotTables!E33)</f>
        <v>5.9395248380130824E-3</v>
      </c>
      <c r="K14" s="48">
        <f>ABS((PivotTables!G33-PivotTables!F33)/PivotTables!F33)</f>
        <v>5.9044551798174676E-3</v>
      </c>
      <c r="L14" s="48">
        <f>ABS((PivotTables!H33-PivotTables!G33)/PivotTables!G33)</f>
        <v>4.8025613660619302E-3</v>
      </c>
      <c r="M14" s="48">
        <f>ABS((PivotTables!I33-PivotTables!H33)/PivotTables!H33)</f>
        <v>6.3728093467869812E-3</v>
      </c>
      <c r="N14" s="48">
        <f>ABS((PivotTables!J33-PivotTables!I33)/PivotTables!I33)</f>
        <v>4.2216358839050729E-3</v>
      </c>
      <c r="O14" s="48">
        <f>ABS((PivotTables!K33-PivotTables!J33)/PivotTables!J33)</f>
        <v>4.7293746715710832E-3</v>
      </c>
      <c r="P14" s="48">
        <f>ABS((PivotTables!L33-PivotTables!K33)/PivotTables!K33)</f>
        <v>9.4142259414226534E-3</v>
      </c>
      <c r="Q14" s="48">
        <f>ABS((PivotTables!M33-PivotTables!L33)/PivotTables!L33)</f>
        <v>0</v>
      </c>
      <c r="R14" s="48">
        <f>ABS((PivotTables!N33-PivotTables!M33)/PivotTables!M33)</f>
        <v>2.5906735751295338E-3</v>
      </c>
      <c r="S14" s="49">
        <f>ABS((PivotTables!O33-PivotTables!N33)/PivotTables!N33)</f>
        <v>3.6175710594314658E-3</v>
      </c>
      <c r="X14" s="26"/>
      <c r="AA14"/>
    </row>
    <row r="15" spans="1:35" ht="15" thickBot="1" x14ac:dyDescent="0.35">
      <c r="A15" s="28" t="s">
        <v>202</v>
      </c>
      <c r="B15" s="42">
        <f t="shared" si="0"/>
        <v>1</v>
      </c>
      <c r="C15" s="59">
        <f>SUM(C6:C14)</f>
        <v>1606.153846153846</v>
      </c>
      <c r="F15" s="26"/>
      <c r="G15" s="30" t="s">
        <v>10</v>
      </c>
      <c r="H15" s="48">
        <f>ABS((PivotTables!D34-PivotTables!C34)/PivotTables!C34)</f>
        <v>2.4286581663629466E-3</v>
      </c>
      <c r="I15" s="48">
        <f>ABS((PivotTables!E34-PivotTables!D34)/PivotTables!D34)</f>
        <v>0</v>
      </c>
      <c r="J15" s="48">
        <f>ABS((PivotTables!F34-PivotTables!E34)/PivotTables!E34)</f>
        <v>1.7650639074862917E-2</v>
      </c>
      <c r="K15" s="48">
        <f>ABS((PivotTables!G34-PivotTables!F34)/PivotTables!F34)</f>
        <v>1.1363636363636399E-2</v>
      </c>
      <c r="L15" s="48">
        <f>ABS((PivotTables!H34-PivotTables!G34)/PivotTables!G34)</f>
        <v>4.1395623891189656E-3</v>
      </c>
      <c r="M15" s="48">
        <f>ABS((PivotTables!I34-PivotTables!H34)/PivotTables!H34)</f>
        <v>4.1224970553591792E-3</v>
      </c>
      <c r="N15" s="48">
        <f>ABS((PivotTables!J34-PivotTables!I34)/PivotTables!I34)</f>
        <v>1.7595307917889231E-3</v>
      </c>
      <c r="O15" s="48">
        <f>ABS((PivotTables!K34-PivotTables!J34)/PivotTables!J34)</f>
        <v>5.854800936767817E-4</v>
      </c>
      <c r="P15" s="48">
        <f>ABS((PivotTables!L34-PivotTables!K34)/PivotTables!K34)</f>
        <v>5.8513750731418557E-4</v>
      </c>
      <c r="Q15" s="48">
        <f>ABS((PivotTables!M34-PivotTables!L34)/PivotTables!L34)</f>
        <v>5.8479532163739363E-4</v>
      </c>
      <c r="R15" s="48">
        <f>ABS((PivotTables!N34-PivotTables!M34)/PivotTables!M34)</f>
        <v>1.3442431326709593E-2</v>
      </c>
      <c r="S15" s="49">
        <f>ABS((PivotTables!O34-PivotTables!N34)/PivotTables!N34)</f>
        <v>1.2687427912341341E-2</v>
      </c>
      <c r="X15" s="26"/>
      <c r="AA15"/>
    </row>
    <row r="16" spans="1:35" x14ac:dyDescent="0.3">
      <c r="A16" s="37"/>
      <c r="D16" s="26"/>
      <c r="E16" s="26"/>
      <c r="F16" s="26"/>
      <c r="G16" s="30" t="s">
        <v>12</v>
      </c>
      <c r="H16" s="48">
        <f>ABS((PivotTables!D35-PivotTables!C35)/PivotTables!C35)</f>
        <v>1.1898323418063756E-2</v>
      </c>
      <c r="I16" s="48">
        <f>ABS((PivotTables!E35-PivotTables!D35)/PivotTables!D35)</f>
        <v>1.5499732763228252E-2</v>
      </c>
      <c r="J16" s="48">
        <f>ABS((PivotTables!F35-PivotTables!E35)/PivotTables!E35)</f>
        <v>1.8947368421052602E-2</v>
      </c>
      <c r="K16" s="48">
        <f>ABS((PivotTables!G35-PivotTables!F35)/PivotTables!F35)</f>
        <v>1.9111570247933973E-2</v>
      </c>
      <c r="L16" s="48">
        <f>ABS((PivotTables!H35-PivotTables!G35)/PivotTables!G35)</f>
        <v>1.3177901672579798E-2</v>
      </c>
      <c r="M16" s="48">
        <f>ABS((PivotTables!I35-PivotTables!H35)/PivotTables!H35)</f>
        <v>1.4507253626813434E-2</v>
      </c>
      <c r="N16" s="48">
        <f>ABS((PivotTables!J35-PivotTables!I35)/PivotTables!I35)</f>
        <v>1.1834319526627106E-2</v>
      </c>
      <c r="O16" s="48">
        <f>ABS((PivotTables!K35-PivotTables!J35)/PivotTables!J35)</f>
        <v>1.5594541910331468E-2</v>
      </c>
      <c r="P16" s="48">
        <f>ABS((PivotTables!L35-PivotTables!K35)/PivotTables!K35)</f>
        <v>6.2380038387715112E-3</v>
      </c>
      <c r="Q16" s="48">
        <f>ABS((PivotTables!M35-PivotTables!L35)/PivotTables!L35)</f>
        <v>0</v>
      </c>
      <c r="R16" s="48">
        <f>ABS((PivotTables!N35-PivotTables!M35)/PivotTables!M35)</f>
        <v>1.5259895088221351E-2</v>
      </c>
      <c r="S16" s="49">
        <f>ABS((PivotTables!O35-PivotTables!N35)/PivotTables!N35)</f>
        <v>2.3954908407703118E-2</v>
      </c>
      <c r="X16" s="26"/>
      <c r="AA16"/>
    </row>
    <row r="17" spans="1:27" x14ac:dyDescent="0.3">
      <c r="A17" s="47"/>
      <c r="C17" s="33"/>
      <c r="D17" s="26"/>
      <c r="E17" s="26"/>
      <c r="F17" s="26"/>
      <c r="G17" s="30" t="s">
        <v>11</v>
      </c>
      <c r="H17" s="48">
        <f>ABS((PivotTables!D36-PivotTables!C36)/PivotTables!C36)</f>
        <v>1.6708437761069578E-3</v>
      </c>
      <c r="I17" s="48">
        <f>ABS((PivotTables!E36-PivotTables!D36)/PivotTables!D36)</f>
        <v>8.3402835696408937E-4</v>
      </c>
      <c r="J17" s="48">
        <f>ABS((PivotTables!F36-PivotTables!E36)/PivotTables!E36)</f>
        <v>7.5000000000000474E-3</v>
      </c>
      <c r="K17" s="48">
        <f>ABS((PivotTables!G36-PivotTables!F36)/PivotTables!F36)</f>
        <v>5.7899090157153728E-3</v>
      </c>
      <c r="L17" s="48">
        <f>ABS((PivotTables!H36-PivotTables!G36)/PivotTables!G36)</f>
        <v>2.4671052631579883E-3</v>
      </c>
      <c r="M17" s="48">
        <f>ABS((PivotTables!I36-PivotTables!H36)/PivotTables!H36)</f>
        <v>1.640689089417462E-3</v>
      </c>
      <c r="N17" s="48">
        <f>ABS((PivotTables!J36-PivotTables!I36)/PivotTables!I36)</f>
        <v>2.457002457002434E-3</v>
      </c>
      <c r="O17" s="48">
        <f>ABS((PivotTables!K36-PivotTables!J36)/PivotTables!J36)</f>
        <v>5.7471264367816325E-3</v>
      </c>
      <c r="P17" s="48">
        <f>ABS((PivotTables!L36-PivotTables!K36)/PivotTables!K36)</f>
        <v>9.0834021469859156E-3</v>
      </c>
      <c r="Q17" s="48">
        <f>ABS((PivotTables!M36-PivotTables!L36)/PivotTables!L36)</f>
        <v>0</v>
      </c>
      <c r="R17" s="48">
        <f>ABS((PivotTables!N36-PivotTables!M36)/PivotTables!M36)</f>
        <v>1.0833333333333309E-2</v>
      </c>
      <c r="S17" s="49">
        <f>ABS((PivotTables!O36-PivotTables!N36)/PivotTables!N36)</f>
        <v>1.1541632316570533E-2</v>
      </c>
      <c r="X17" s="26"/>
      <c r="AA17"/>
    </row>
    <row r="18" spans="1:27" ht="15" thickBot="1" x14ac:dyDescent="0.35">
      <c r="A18" s="38"/>
      <c r="C18" s="34"/>
      <c r="D18" s="26"/>
      <c r="E18" s="26"/>
      <c r="F18" s="26"/>
      <c r="G18" s="31" t="s">
        <v>9</v>
      </c>
      <c r="H18" s="50">
        <f>ABS((PivotTables!D37-PivotTables!C37)/PivotTables!C37)</f>
        <v>4.230989136649517E-2</v>
      </c>
      <c r="I18" s="50">
        <f>ABS((PivotTables!E37-PivotTables!D37)/PivotTables!D37)</f>
        <v>1.0970927043336097E-3</v>
      </c>
      <c r="J18" s="50">
        <f>ABS((PivotTables!F37-PivotTables!E37)/PivotTables!E37)</f>
        <v>2.5260845689181737E-2</v>
      </c>
      <c r="K18" s="50">
        <f>ABS((PivotTables!G37-PivotTables!F37)/PivotTables!F37)</f>
        <v>2.7316550615961558E-2</v>
      </c>
      <c r="L18" s="50">
        <f>ABS((PivotTables!H37-PivotTables!G37)/PivotTables!G37)</f>
        <v>4.118873826903012E-2</v>
      </c>
      <c r="M18" s="50">
        <f>ABS((PivotTables!I37-PivotTables!H37)/PivotTables!H37)</f>
        <v>8.3124687030545791E-2</v>
      </c>
      <c r="N18" s="50">
        <f>ABS((PivotTables!J37-PivotTables!I37)/PivotTables!I37)</f>
        <v>0.12670671764063349</v>
      </c>
      <c r="O18" s="50">
        <f>ABS((PivotTables!K37-PivotTables!J37)/PivotTables!J37)</f>
        <v>3.7523452157598496E-2</v>
      </c>
      <c r="P18" s="50">
        <f>ABS((PivotTables!L37-PivotTables!K37)/PivotTables!K37)</f>
        <v>7.7972709551658026E-3</v>
      </c>
      <c r="Q18" s="50">
        <f>ABS((PivotTables!M37-PivotTables!L37)/PivotTables!L37)</f>
        <v>6.5487884741337755E-4</v>
      </c>
      <c r="R18" s="50">
        <f>ABS((PivotTables!N37-PivotTables!M37)/PivotTables!M37)</f>
        <v>1.7015706806282685E-2</v>
      </c>
      <c r="S18" s="51">
        <f>ABS((PivotTables!O37-PivotTables!N37)/PivotTables!N37)</f>
        <v>3.6036036036036001E-2</v>
      </c>
      <c r="X18" s="26"/>
      <c r="AA18"/>
    </row>
    <row r="19" spans="1:27" x14ac:dyDescent="0.3">
      <c r="A19" s="47"/>
      <c r="D19" s="26"/>
      <c r="E19" s="26"/>
      <c r="F19" s="26"/>
      <c r="G19" s="39"/>
      <c r="H19" s="26"/>
      <c r="I19" s="26"/>
      <c r="J19" s="26"/>
      <c r="K19" s="26"/>
      <c r="L19" s="26"/>
      <c r="M19" s="26"/>
      <c r="N19" s="26"/>
      <c r="O19" s="26"/>
      <c r="P19" s="26"/>
      <c r="Q19" s="26"/>
      <c r="R19" s="26"/>
      <c r="S19" s="26"/>
      <c r="X19" s="26"/>
      <c r="AA19"/>
    </row>
    <row r="20" spans="1:27" x14ac:dyDescent="0.3">
      <c r="G20" s="38"/>
      <c r="H20" s="26"/>
      <c r="I20" s="26"/>
      <c r="J20" s="26"/>
      <c r="K20" s="26"/>
      <c r="L20" s="26"/>
      <c r="M20" s="26"/>
      <c r="N20" s="26"/>
      <c r="O20" s="26"/>
      <c r="P20" s="26"/>
      <c r="Q20" s="26"/>
      <c r="R20" s="26"/>
      <c r="S20" s="26"/>
      <c r="X20" s="26"/>
      <c r="AA20"/>
    </row>
    <row r="21" spans="1:27" x14ac:dyDescent="0.3">
      <c r="G21" s="38"/>
      <c r="H21" s="26"/>
      <c r="I21" s="26"/>
      <c r="J21" s="26"/>
      <c r="K21" s="26"/>
      <c r="L21" s="26"/>
      <c r="M21" s="26"/>
      <c r="N21" s="26"/>
      <c r="O21" s="26"/>
      <c r="P21" s="26"/>
      <c r="Q21" s="26"/>
      <c r="R21" s="26"/>
      <c r="S21" s="26"/>
      <c r="X21" s="26"/>
      <c r="AA21"/>
    </row>
    <row r="22" spans="1:27" x14ac:dyDescent="0.3">
      <c r="H22" s="26"/>
      <c r="I22" s="26"/>
      <c r="J22" s="26"/>
      <c r="K22" s="26"/>
      <c r="L22" s="26"/>
      <c r="M22" s="26"/>
      <c r="N22" s="26"/>
      <c r="O22" s="26"/>
      <c r="P22" s="26"/>
      <c r="Q22" s="26"/>
      <c r="R22" s="26"/>
      <c r="S22" s="22"/>
      <c r="X22" s="26"/>
      <c r="AA22"/>
    </row>
    <row r="23" spans="1:27" x14ac:dyDescent="0.3">
      <c r="X23" s="26"/>
      <c r="AA23"/>
    </row>
    <row r="24" spans="1:27" x14ac:dyDescent="0.3">
      <c r="X24" s="26"/>
      <c r="AA24"/>
    </row>
    <row r="25" spans="1:27" x14ac:dyDescent="0.3">
      <c r="AA25" s="26"/>
    </row>
    <row r="26" spans="1:27" x14ac:dyDescent="0.3">
      <c r="C26" s="26"/>
      <c r="D26" s="26"/>
      <c r="E26" s="26"/>
      <c r="F26" s="26"/>
      <c r="G26" s="26"/>
    </row>
    <row r="27" spans="1:27" ht="15" thickBot="1" x14ac:dyDescent="0.35">
      <c r="C27" s="26"/>
      <c r="D27" s="26"/>
      <c r="E27" s="26"/>
      <c r="F27" s="26"/>
      <c r="G27" s="26"/>
    </row>
    <row r="28" spans="1:27" ht="15" thickBot="1" x14ac:dyDescent="0.35">
      <c r="A28" s="88" t="str">
        <f>PivotTables!J2</f>
        <v>Y-o-Y % Change in Inflation (Rural+Urban Sector)</v>
      </c>
      <c r="B28" s="90"/>
      <c r="C28" s="88" t="str">
        <f>PivotTables!F2</f>
        <v>Category-wise Inflation- Year: 2021</v>
      </c>
      <c r="D28" s="90"/>
      <c r="E28" s="26"/>
      <c r="F28" s="26"/>
      <c r="G28" s="88" t="str">
        <f>PivotTables!Q21</f>
        <v>Impact of Covid-19 Pandemic (Y-o-Y Analysis)</v>
      </c>
      <c r="H28" s="89"/>
      <c r="I28" s="89"/>
      <c r="J28" s="89"/>
      <c r="K28" s="89"/>
      <c r="L28" s="89"/>
      <c r="M28" s="90"/>
      <c r="O28" s="88" t="str">
        <f>PivotTables!Z21</f>
        <v>Impact of Covid-19 Pandemic (M-o-M Analysis)</v>
      </c>
      <c r="P28" s="89"/>
      <c r="Q28" s="89"/>
      <c r="R28" s="89"/>
      <c r="S28" s="89"/>
      <c r="T28" s="89"/>
      <c r="U28" s="89"/>
      <c r="V28" s="89"/>
      <c r="W28" s="89"/>
      <c r="X28" s="89"/>
      <c r="Y28" s="89"/>
      <c r="Z28" s="89"/>
      <c r="AA28" s="90"/>
    </row>
    <row r="29" spans="1:27" x14ac:dyDescent="0.3">
      <c r="A29" s="23" t="s">
        <v>1</v>
      </c>
      <c r="B29" s="25" t="s">
        <v>208</v>
      </c>
      <c r="C29" s="23" t="str">
        <f>PivotTables!F6</f>
        <v>Category</v>
      </c>
      <c r="D29" s="25" t="str">
        <f>B29</f>
        <v>% Change</v>
      </c>
      <c r="E29" s="26"/>
      <c r="F29" s="26"/>
      <c r="G29" s="23" t="str">
        <f>PivotTables!Q23</f>
        <v>Category</v>
      </c>
      <c r="H29" s="24">
        <f>PivotTables!S23</f>
        <v>2018</v>
      </c>
      <c r="I29" s="24">
        <f>PivotTables!T23</f>
        <v>2019</v>
      </c>
      <c r="J29" s="24">
        <f>PivotTables!U23</f>
        <v>2020</v>
      </c>
      <c r="K29" s="24">
        <f>PivotTables!V23</f>
        <v>2021</v>
      </c>
      <c r="L29" s="24">
        <f>PivotTables!W23</f>
        <v>2022</v>
      </c>
      <c r="M29" s="25">
        <f>PivotTables!X23</f>
        <v>2023</v>
      </c>
      <c r="O29" s="23" t="s">
        <v>194</v>
      </c>
      <c r="P29" s="24" t="str">
        <f>PivotTables!AB25</f>
        <v>Feb-20</v>
      </c>
      <c r="Q29" s="24" t="str">
        <f>PivotTables!AC25</f>
        <v>Mar-20</v>
      </c>
      <c r="R29" s="24" t="str">
        <f>PivotTables!AD25</f>
        <v>Apr-20</v>
      </c>
      <c r="S29" s="24" t="str">
        <f>PivotTables!AE25</f>
        <v>May-20</v>
      </c>
      <c r="T29" s="24" t="str">
        <f>PivotTables!AF25</f>
        <v>Jun-20</v>
      </c>
      <c r="U29" s="24" t="str">
        <f>PivotTables!AG25</f>
        <v>Jul-20</v>
      </c>
      <c r="V29" s="24" t="str">
        <f>PivotTables!AH25</f>
        <v>Aug-20</v>
      </c>
      <c r="W29" s="24" t="str">
        <f>PivotTables!AI25</f>
        <v>Sep-20</v>
      </c>
      <c r="X29" s="24" t="str">
        <f>PivotTables!AJ25</f>
        <v>Oct-20</v>
      </c>
      <c r="Y29" s="24" t="str">
        <f>PivotTables!AK25</f>
        <v>Nov-20</v>
      </c>
      <c r="Z29" s="24" t="str">
        <f>PivotTables!AL25</f>
        <v>Dec-20</v>
      </c>
      <c r="AA29" s="44" t="s">
        <v>211</v>
      </c>
    </row>
    <row r="30" spans="1:27" x14ac:dyDescent="0.3">
      <c r="A30" s="27">
        <v>2017</v>
      </c>
      <c r="B30" s="36">
        <f>(PivotTables!K7-PivotTables!K6)/PivotTables!K6</f>
        <v>2.7729298136320565E-2</v>
      </c>
      <c r="C30" s="53" t="str">
        <f>PivotTables!F7</f>
        <v>Apparel</v>
      </c>
      <c r="D30" s="49">
        <f>(PivotTables!H7-PivotTables!G7)/PivotTables!G7</f>
        <v>6.5359083931460768E-2</v>
      </c>
      <c r="E30" s="26"/>
      <c r="F30" s="26"/>
      <c r="G30" s="30" t="str">
        <f>PivotTables!Q24</f>
        <v>Apparel</v>
      </c>
      <c r="H30" s="48">
        <f>(PivotTables!S24-PivotTables!R24)/PivotTables!R24</f>
        <v>4.5757341890409996E-2</v>
      </c>
      <c r="I30" s="48">
        <f>(PivotTables!T24-PivotTables!S24)/PivotTables!S24</f>
        <v>1.7943118038280203E-2</v>
      </c>
      <c r="J30" s="48">
        <f>(PivotTables!U24-PivotTables!T24)/PivotTables!T24</f>
        <v>2.1889060788471592E-2</v>
      </c>
      <c r="K30" s="48">
        <f>(PivotTables!V24-PivotTables!U24)/PivotTables!U24</f>
        <v>6.5359083931460768E-2</v>
      </c>
      <c r="L30" s="48">
        <f>(PivotTables!W24-PivotTables!V24)/PivotTables!V24</f>
        <v>0.10067819778139957</v>
      </c>
      <c r="M30" s="49">
        <f>(PivotTables!X24-PivotTables!W24)/PivotTables!W24</f>
        <v>5.1280091708062622E-2</v>
      </c>
      <c r="O30" s="30" t="s">
        <v>189</v>
      </c>
      <c r="P30" s="48">
        <f>(PivotTables!AB26-PivotTables!AA26)/PivotTables!AA26</f>
        <v>1.8132366273799633E-3</v>
      </c>
      <c r="Q30" s="55">
        <f>(PivotTables!AC26-PivotTables!AB26)/PivotTables!AB26</f>
        <v>2.0361990950227013E-3</v>
      </c>
      <c r="R30" s="48">
        <f>(PivotTables!AD26-PivotTables!AC26)/PivotTables!AC26</f>
        <v>-1.956799879581755E-3</v>
      </c>
      <c r="S30" s="48">
        <f>(PivotTables!AE26-PivotTables!AD26)/PivotTables!AD26</f>
        <v>-1.1411909609632079E-2</v>
      </c>
      <c r="T30" s="48">
        <f>(PivotTables!AF26-PivotTables!AE26)/PivotTables!AE26</f>
        <v>2.5884207582191173E-2</v>
      </c>
      <c r="U30" s="48">
        <f>(PivotTables!AG26-PivotTables!AF26)/PivotTables!AF26</f>
        <v>0</v>
      </c>
      <c r="V30" s="48">
        <f>(PivotTables!AH26-PivotTables!AG26)/PivotTables!AG26</f>
        <v>-2.2306491188934713E-4</v>
      </c>
      <c r="W30" s="48">
        <f>(PivotTables!AI26-PivotTables!AH26)/PivotTables!AH26</f>
        <v>3.3467202141900937E-3</v>
      </c>
      <c r="X30" s="48">
        <f>(PivotTables!AJ26-PivotTables!AI26)/PivotTables!AI26</f>
        <v>2.0013342228150962E-3</v>
      </c>
      <c r="Y30" s="48">
        <f>(PivotTables!AK26-PivotTables!AJ26)/PivotTables!AJ26</f>
        <v>3.1069684864626964E-3</v>
      </c>
      <c r="Z30" s="48">
        <f>(PivotTables!AL26-PivotTables!AK26)/PivotTables!AK26</f>
        <v>4.4247787610618835E-3</v>
      </c>
      <c r="AA30" s="57"/>
    </row>
    <row r="31" spans="1:27" x14ac:dyDescent="0.3">
      <c r="A31" s="27">
        <v>2018</v>
      </c>
      <c r="B31" s="36">
        <f>(PivotTables!K8-PivotTables!K7)/PivotTables!K7</f>
        <v>3.3385157833365889E-2</v>
      </c>
      <c r="C31" s="53" t="str">
        <f>PivotTables!F8</f>
        <v>Education</v>
      </c>
      <c r="D31" s="49">
        <f>(PivotTables!H8-PivotTables!G8)/PivotTables!G8</f>
        <v>3.2212802584570523E-2</v>
      </c>
      <c r="E31" s="26"/>
      <c r="F31" s="26"/>
      <c r="G31" s="30" t="str">
        <f>PivotTables!Q25</f>
        <v>Education</v>
      </c>
      <c r="H31" s="48">
        <f>(PivotTables!S25-PivotTables!R25)/PivotTables!R25</f>
        <v>5.8026960784313825E-2</v>
      </c>
      <c r="I31" s="48">
        <f>(PivotTables!T25-PivotTables!S25)/PivotTables!S25</f>
        <v>6.4942586225959123E-2</v>
      </c>
      <c r="J31" s="48">
        <f>(PivotTables!U25-PivotTables!T25)/PivotTables!T25</f>
        <v>2.4935620242929057E-2</v>
      </c>
      <c r="K31" s="48">
        <f>(PivotTables!V25-PivotTables!U25)/PivotTables!U25</f>
        <v>3.2212802584570523E-2</v>
      </c>
      <c r="L31" s="48">
        <f>(PivotTables!W25-PivotTables!V25)/PivotTables!V25</f>
        <v>4.754806209519899E-2</v>
      </c>
      <c r="M31" s="49">
        <f>(PivotTables!X25-PivotTables!W25)/PivotTables!W25</f>
        <v>3.3770057412041719E-2</v>
      </c>
      <c r="O31" s="30" t="s">
        <v>26</v>
      </c>
      <c r="P31" s="48">
        <f>(PivotTables!AB27-PivotTables!AA27)/PivotTables!AA27</f>
        <v>6.4061499039073878E-4</v>
      </c>
      <c r="Q31" s="55">
        <f>(PivotTables!AC27-PivotTables!AB27)/PivotTables!AB27</f>
        <v>-6.4020486555694189E-4</v>
      </c>
      <c r="R31" s="48">
        <f>(PivotTables!AD27-PivotTables!AC27)/PivotTables!AC27</f>
        <v>2.1353833013024626E-4</v>
      </c>
      <c r="S31" s="48">
        <f>(PivotTables!AE27-PivotTables!AD27)/PivotTables!AD27</f>
        <v>-8.1838884144607178E-3</v>
      </c>
      <c r="T31" s="48">
        <f>(PivotTables!AF27-PivotTables!AE27)/PivotTables!AE27</f>
        <v>9.9734519624024697E-3</v>
      </c>
      <c r="U31" s="48">
        <f>(PivotTables!AG27-PivotTables!AF27)/PivotTables!AF27</f>
        <v>0</v>
      </c>
      <c r="V31" s="48">
        <f>(PivotTables!AH27-PivotTables!AG27)/PivotTables!AG27</f>
        <v>1.3427109974424516E-2</v>
      </c>
      <c r="W31" s="48">
        <f>(PivotTables!AI27-PivotTables!AH27)/PivotTables!AH27</f>
        <v>-6.3091482649842269E-3</v>
      </c>
      <c r="X31" s="48">
        <f>(PivotTables!AJ27-PivotTables!AI27)/PivotTables!AI27</f>
        <v>6.3492063492063492E-3</v>
      </c>
      <c r="Y31" s="48">
        <f>(PivotTables!AK27-PivotTables!AJ27)/PivotTables!AJ27</f>
        <v>6.3091482649838687E-4</v>
      </c>
      <c r="Z31" s="48">
        <f>(PivotTables!AL27-PivotTables!AK27)/PivotTables!AK27</f>
        <v>5.0441361916772473E-3</v>
      </c>
      <c r="AA31" s="57"/>
    </row>
    <row r="32" spans="1:27" x14ac:dyDescent="0.3">
      <c r="A32" s="27">
        <v>2019</v>
      </c>
      <c r="B32" s="36">
        <f>(PivotTables!K9-PivotTables!K8)/PivotTables!K8</f>
        <v>3.6365834506694679E-2</v>
      </c>
      <c r="C32" s="53" t="str">
        <f>PivotTables!F9</f>
        <v>Energy</v>
      </c>
      <c r="D32" s="49">
        <f>(PivotTables!H9-PivotTables!G9)/PivotTables!G9</f>
        <v>0.10168154532861312</v>
      </c>
      <c r="E32" s="26"/>
      <c r="F32" s="26"/>
      <c r="G32" s="30" t="str">
        <f>PivotTables!Q26</f>
        <v>Energy</v>
      </c>
      <c r="H32" s="48">
        <f>(PivotTables!S26-PivotTables!R26)/PivotTables!R26</f>
        <v>7.1004405848924187E-2</v>
      </c>
      <c r="I32" s="48">
        <f>(PivotTables!T26-PivotTables!S26)/PivotTables!S26</f>
        <v>3.3657989300986861E-3</v>
      </c>
      <c r="J32" s="48">
        <f>(PivotTables!U26-PivotTables!T26)/PivotTables!T26</f>
        <v>2.9464935214594788E-2</v>
      </c>
      <c r="K32" s="48">
        <f>(PivotTables!V26-PivotTables!U26)/PivotTables!U26</f>
        <v>0.10168154532861312</v>
      </c>
      <c r="L32" s="48">
        <f>(PivotTables!W26-PivotTables!V26)/PivotTables!V26</f>
        <v>0.10106355110808415</v>
      </c>
      <c r="M32" s="49">
        <f>(PivotTables!X26-PivotTables!W26)/PivotTables!W26</f>
        <v>3.9779215835553876E-2</v>
      </c>
      <c r="O32" s="30" t="s">
        <v>190</v>
      </c>
      <c r="P32" s="48">
        <f>(PivotTables!AB28-PivotTables!AA28)/PivotTables!AA28</f>
        <v>1.7980636237897609E-2</v>
      </c>
      <c r="Q32" s="55">
        <f>(PivotTables!AC28-PivotTables!AB28)/PivotTables!AB28</f>
        <v>1.1548913043478378E-2</v>
      </c>
      <c r="R32" s="48">
        <f>(PivotTables!AD28-PivotTables!AC28)/PivotTables!AC28</f>
        <v>-3.2236400268636743E-2</v>
      </c>
      <c r="S32" s="48">
        <f>(PivotTables!AE28-PivotTables!AD28)/PivotTables!AD28</f>
        <v>1.8274346518621472E-2</v>
      </c>
      <c r="T32" s="48">
        <f>(PivotTables!AF28-PivotTables!AE28)/PivotTables!AE28</f>
        <v>-3.2939572921399422E-2</v>
      </c>
      <c r="U32" s="48">
        <f>(PivotTables!AG28-PivotTables!AF28)/PivotTables!AF28</f>
        <v>0</v>
      </c>
      <c r="V32" s="48">
        <f>(PivotTables!AH28-PivotTables!AG28)/PivotTables!AG28</f>
        <v>7.751937984496084E-3</v>
      </c>
      <c r="W32" s="48">
        <f>(PivotTables!AI28-PivotTables!AH28)/PivotTables!AH28</f>
        <v>-6.9930069930065951E-4</v>
      </c>
      <c r="X32" s="48">
        <f>(PivotTables!AJ28-PivotTables!AI28)/PivotTables!AI28</f>
        <v>1.3995801259621317E-3</v>
      </c>
      <c r="Y32" s="48">
        <f>(PivotTables!AK28-PivotTables!AJ28)/PivotTables!AJ28</f>
        <v>3.4940600978336828E-3</v>
      </c>
      <c r="Z32" s="48">
        <f>(PivotTables!AL28-PivotTables!AK28)/PivotTables!AK28</f>
        <v>6.9637883008356553E-3</v>
      </c>
      <c r="AA32" s="57"/>
    </row>
    <row r="33" spans="1:37" x14ac:dyDescent="0.3">
      <c r="A33" s="27">
        <v>2020</v>
      </c>
      <c r="B33" s="36">
        <f>(PivotTables!K10-PivotTables!K9)/PivotTables!K9</f>
        <v>6.2157070533295534E-2</v>
      </c>
      <c r="C33" s="53" t="str">
        <f>PivotTables!F10</f>
        <v>Food &amp; Beverages</v>
      </c>
      <c r="D33" s="49">
        <f>(PivotTables!H10-PivotTables!G10)/PivotTables!G10</f>
        <v>6.8730780792275417E-2</v>
      </c>
      <c r="E33" s="26"/>
      <c r="F33" s="26"/>
      <c r="G33" s="30" t="str">
        <f>PivotTables!Q27</f>
        <v>Food &amp; Beverages</v>
      </c>
      <c r="H33" s="48">
        <f>(PivotTables!S27-PivotTables!R27)/PivotTables!R27</f>
        <v>1.0842245798748328E-2</v>
      </c>
      <c r="I33" s="48">
        <f>(PivotTables!T27-PivotTables!S27)/PivotTables!S27</f>
        <v>3.3901136817637033E-2</v>
      </c>
      <c r="J33" s="48">
        <f>(PivotTables!U27-PivotTables!T27)/PivotTables!T27</f>
        <v>8.2173337161260865E-2</v>
      </c>
      <c r="K33" s="48">
        <f>(PivotTables!V27-PivotTables!U27)/PivotTables!U27</f>
        <v>6.8730780792275417E-2</v>
      </c>
      <c r="L33" s="48">
        <f>(PivotTables!W27-PivotTables!V27)/PivotTables!V27</f>
        <v>5.8104432320246251E-2</v>
      </c>
      <c r="M33" s="49">
        <f>(PivotTables!X27-PivotTables!W27)/PivotTables!W27</f>
        <v>2.0632573759407358E-2</v>
      </c>
      <c r="O33" s="30" t="s">
        <v>188</v>
      </c>
      <c r="P33" s="48">
        <f>(PivotTables!AB29-PivotTables!AA29)/PivotTables!AA29</f>
        <v>-1.4842300556586408E-2</v>
      </c>
      <c r="Q33" s="55">
        <f>(PivotTables!AC29-PivotTables!AB29)/PivotTables!AB29</f>
        <v>-8.4745762711864354E-3</v>
      </c>
      <c r="R33" s="48">
        <f>(PivotTables!AD29-PivotTables!AC29)/PivotTables!AC29</f>
        <v>2.8331750553972985E-2</v>
      </c>
      <c r="S33" s="48">
        <f>(PivotTables!AE29-PivotTables!AD29)/PivotTables!AD29</f>
        <v>-1.5591241541680232E-2</v>
      </c>
      <c r="T33" s="48">
        <f>(PivotTables!AF29-PivotTables!AE29)/PivotTables!AE29</f>
        <v>2.5063121076648681E-2</v>
      </c>
      <c r="U33" s="48">
        <f>(PivotTables!AG29-PivotTables!AF29)/PivotTables!AF29</f>
        <v>0</v>
      </c>
      <c r="V33" s="48">
        <f>(PivotTables!AH29-PivotTables!AG29)/PivotTables!AG29</f>
        <v>1.4439699003457481E-2</v>
      </c>
      <c r="W33" s="48">
        <f>(PivotTables!AI29-PivotTables!AH29)/PivotTables!AH29</f>
        <v>5.9141940657576808E-3</v>
      </c>
      <c r="X33" s="48">
        <f>(PivotTables!AJ29-PivotTables!AI29)/PivotTables!AI29</f>
        <v>2.0727453911310523E-2</v>
      </c>
      <c r="Y33" s="48">
        <f>(PivotTables!AK29-PivotTables!AJ29)/PivotTables!AJ29</f>
        <v>2.294249731523948E-2</v>
      </c>
      <c r="Z33" s="48">
        <f>(PivotTables!AL29-PivotTables!AK29)/PivotTables!AK29</f>
        <v>6.4420690971560002E-3</v>
      </c>
      <c r="AA33" s="57"/>
    </row>
    <row r="34" spans="1:37" x14ac:dyDescent="0.3">
      <c r="A34" s="27">
        <v>2021</v>
      </c>
      <c r="B34" s="40">
        <f>(PivotTables!K11-PivotTables!K10)/PivotTables!K10</f>
        <v>6.7500733887856032E-2</v>
      </c>
      <c r="C34" s="53" t="str">
        <f>PivotTables!F11</f>
        <v>Health</v>
      </c>
      <c r="D34" s="49">
        <f>(PivotTables!H11-PivotTables!G11)/PivotTables!G11</f>
        <v>7.6505589614136213E-2</v>
      </c>
      <c r="E34" s="26"/>
      <c r="F34" s="26"/>
      <c r="G34" s="30" t="str">
        <f>PivotTables!Q28</f>
        <v>Health</v>
      </c>
      <c r="H34" s="48">
        <f>(PivotTables!S28-PivotTables!R28)/PivotTables!R28</f>
        <v>6.2077838533290595E-2</v>
      </c>
      <c r="I34" s="48">
        <f>(PivotTables!T28-PivotTables!S28)/PivotTables!S28</f>
        <v>7.4588403722261692E-2</v>
      </c>
      <c r="J34" s="48">
        <f>(PivotTables!U28-PivotTables!T28)/PivotTables!T28</f>
        <v>4.2004003634699395E-2</v>
      </c>
      <c r="K34" s="48">
        <f>(PivotTables!V28-PivotTables!U28)/PivotTables!U28</f>
        <v>7.6505589614136213E-2</v>
      </c>
      <c r="L34" s="48">
        <f>(PivotTables!W28-PivotTables!V28)/PivotTables!V28</f>
        <v>6.0800964775639302E-2</v>
      </c>
      <c r="M34" s="49">
        <f>(PivotTables!X28-PivotTables!W28)/PivotTables!W28</f>
        <v>4.7946568139832495E-2</v>
      </c>
      <c r="O34" s="30" t="s">
        <v>23</v>
      </c>
      <c r="P34" s="48">
        <f>(PivotTables!AB30-PivotTables!AA30)/PivotTables!AA30</f>
        <v>3.3068783068783071E-3</v>
      </c>
      <c r="Q34" s="55">
        <f>(PivotTables!AC30-PivotTables!AB30)/PivotTables!AB30</f>
        <v>3.9551746868821541E-3</v>
      </c>
      <c r="R34" s="48">
        <f>(PivotTables!AD30-PivotTables!AC30)/PivotTables!AC30</f>
        <v>-1.0505581089954186E-2</v>
      </c>
      <c r="S34" s="48">
        <f>(PivotTables!AE30-PivotTables!AD30)/PivotTables!AD30</f>
        <v>5.7509400575094516E-3</v>
      </c>
      <c r="T34" s="48">
        <f>(PivotTables!AF30-PivotTables!AE30)/PivotTables!AE30</f>
        <v>1.8693644160985328E-2</v>
      </c>
      <c r="U34" s="48">
        <f>(PivotTables!AG30-PivotTables!AF30)/PivotTables!AF30</f>
        <v>0</v>
      </c>
      <c r="V34" s="48">
        <f>(PivotTables!AH30-PivotTables!AG30)/PivotTables!AG30</f>
        <v>3.8860103626942636E-3</v>
      </c>
      <c r="W34" s="48">
        <f>(PivotTables!AI30-PivotTables!AH30)/PivotTables!AH30</f>
        <v>3.870967741935447E-3</v>
      </c>
      <c r="X34" s="48">
        <f>(PivotTables!AJ30-PivotTables!AI30)/PivotTables!AI30</f>
        <v>4.4987146529564077E-3</v>
      </c>
      <c r="Y34" s="48">
        <f>(PivotTables!AK30-PivotTables!AJ30)/PivotTables!AJ30</f>
        <v>5.7581573896351712E-3</v>
      </c>
      <c r="Z34" s="48">
        <f>(PivotTables!AL30-PivotTables!AK30)/PivotTables!AK30</f>
        <v>6.9974554707380584E-3</v>
      </c>
      <c r="AA34" s="57"/>
    </row>
    <row r="35" spans="1:37" x14ac:dyDescent="0.3">
      <c r="A35" s="27">
        <v>2022</v>
      </c>
      <c r="B35" s="36">
        <f>(PivotTables!K12-PivotTables!K11)/PivotTables!K11</f>
        <v>6.3885364152862723E-2</v>
      </c>
      <c r="C35" s="53" t="str">
        <f>PivotTables!F12</f>
        <v>Housing</v>
      </c>
      <c r="D35" s="49">
        <f>(PivotTables!H12-PivotTables!G12)/PivotTables!G12</f>
        <v>4.5332558992541773E-2</v>
      </c>
      <c r="G35" s="30" t="str">
        <f>PivotTables!Q29</f>
        <v>Housing</v>
      </c>
      <c r="H35" s="48">
        <f>(PivotTables!S29-PivotTables!R29)/PivotTables!R29</f>
        <v>6.3549348815314613E-2</v>
      </c>
      <c r="I35" s="48">
        <f>(PivotTables!T29-PivotTables!S29)/PivotTables!S29</f>
        <v>4.5006572064701239E-2</v>
      </c>
      <c r="J35" s="48">
        <f>(PivotTables!U29-PivotTables!T29)/PivotTables!T29</f>
        <v>2.6424712045707999E-2</v>
      </c>
      <c r="K35" s="48">
        <f>(PivotTables!V29-PivotTables!U29)/PivotTables!U29</f>
        <v>4.5332558992541773E-2</v>
      </c>
      <c r="L35" s="48">
        <f>(PivotTables!W29-PivotTables!V29)/PivotTables!V29</f>
        <v>5.7185715413563556E-2</v>
      </c>
      <c r="M35" s="49">
        <f>(PivotTables!X29-PivotTables!W29)/PivotTables!W29</f>
        <v>4.0127451956586513E-2</v>
      </c>
      <c r="O35" s="30" t="s">
        <v>20</v>
      </c>
      <c r="P35" s="48">
        <f>(PivotTables!AB31-PivotTables!AA31)/PivotTables!AA31</f>
        <v>3.6654448517161702E-3</v>
      </c>
      <c r="Q35" s="55">
        <f>(PivotTables!AC31-PivotTables!AB31)/PivotTables!AB31</f>
        <v>-9.9601593625520644E-4</v>
      </c>
      <c r="R35" s="48">
        <f>(PivotTables!AD31-PivotTables!AC31)/PivotTables!AC31</f>
        <v>3.434142018389365E-3</v>
      </c>
      <c r="S35" s="48">
        <f>(PivotTables!AE31-PivotTables!AD31)/PivotTables!AD31</f>
        <v>-8.4639729152866296E-3</v>
      </c>
      <c r="T35" s="48">
        <f>(PivotTables!AF31-PivotTables!AE31)/PivotTables!AE31</f>
        <v>5.7526722090261492E-3</v>
      </c>
      <c r="U35" s="48">
        <f>(PivotTables!AG31-PivotTables!AF31)/PivotTables!AF31</f>
        <v>0</v>
      </c>
      <c r="V35" s="48">
        <f>(PivotTables!AH31-PivotTables!AG31)/PivotTables!AG31</f>
        <v>9.2992361341745419E-3</v>
      </c>
      <c r="W35" s="48">
        <f>(PivotTables!AI31-PivotTables!AH31)/PivotTables!AH31</f>
        <v>3.6196117143798053E-3</v>
      </c>
      <c r="X35" s="48">
        <f>(PivotTables!AJ31-PivotTables!AI31)/PivotTables!AI31</f>
        <v>6.5573770491799549E-4</v>
      </c>
      <c r="Y35" s="48">
        <f>(PivotTables!AK31-PivotTables!AJ31)/PivotTables!AJ31</f>
        <v>6.5530799475753609E-3</v>
      </c>
      <c r="Z35" s="48">
        <f>(PivotTables!AL31-PivotTables!AK31)/PivotTables!AK31</f>
        <v>2.929687500000111E-3</v>
      </c>
      <c r="AA35" s="57"/>
    </row>
    <row r="36" spans="1:37" ht="15" thickBot="1" x14ac:dyDescent="0.35">
      <c r="A36" s="29">
        <v>2023</v>
      </c>
      <c r="B36" s="43">
        <f>(PivotTables!K13-PivotTables!K12)/PivotTables!K12</f>
        <v>3.1166221639598566E-2</v>
      </c>
      <c r="C36" s="53" t="str">
        <f>PivotTables!F13</f>
        <v>Other goods &amp; services</v>
      </c>
      <c r="D36" s="49">
        <f>(PivotTables!H13-PivotTables!G13)/PivotTables!G13</f>
        <v>6.5974135195484909E-2</v>
      </c>
      <c r="G36" s="30" t="str">
        <f>PivotTables!Q30</f>
        <v>Other goods &amp; services</v>
      </c>
      <c r="H36" s="48">
        <f>(PivotTables!S30-PivotTables!R30)/PivotTables!R30</f>
        <v>5.7211538461538328E-2</v>
      </c>
      <c r="I36" s="48">
        <f>(PivotTables!T30-PivotTables!S30)/PivotTables!S30</f>
        <v>4.753328408349472E-2</v>
      </c>
      <c r="J36" s="48">
        <f>(PivotTables!U30-PivotTables!T30)/PivotTables!T30</f>
        <v>7.7262747448680405E-2</v>
      </c>
      <c r="K36" s="48">
        <f>(PivotTables!V30-PivotTables!U30)/PivotTables!U30</f>
        <v>6.5974135195484909E-2</v>
      </c>
      <c r="L36" s="48">
        <f>(PivotTables!W30-PivotTables!V30)/PivotTables!V30</f>
        <v>4.9457593688362667E-2</v>
      </c>
      <c r="M36" s="49">
        <f>(PivotTables!X30-PivotTables!W30)/PivotTables!W30</f>
        <v>4.5078231452332876E-2</v>
      </c>
      <c r="O36" s="30" t="s">
        <v>192</v>
      </c>
      <c r="P36" s="48">
        <f>(PivotTables!AB32-PivotTables!AA32)/PivotTables!AA32</f>
        <v>4.8362277423610583E-3</v>
      </c>
      <c r="Q36" s="55">
        <f>(PivotTables!AC32-PivotTables!AB32)/PivotTables!AB32</f>
        <v>6.7818858017939052E-3</v>
      </c>
      <c r="R36" s="48">
        <f>(PivotTables!AD32-PivotTables!AC32)/PivotTables!AC32</f>
        <v>-6.0843111690569562E-3</v>
      </c>
      <c r="S36" s="48">
        <f>(PivotTables!AE32-PivotTables!AD32)/PivotTables!AD32</f>
        <v>-5.3442161006661223E-4</v>
      </c>
      <c r="T36" s="48">
        <f>(PivotTables!AF32-PivotTables!AE32)/PivotTables!AE32</f>
        <v>5.4564456542873965E-2</v>
      </c>
      <c r="U36" s="48">
        <f>(PivotTables!AG32-PivotTables!AF32)/PivotTables!AF32</f>
        <v>0</v>
      </c>
      <c r="V36" s="48">
        <f>(PivotTables!AH32-PivotTables!AG32)/PivotTables!AG32</f>
        <v>7.8821821198920439E-3</v>
      </c>
      <c r="W36" s="48">
        <f>(PivotTables!AI32-PivotTables!AH32)/PivotTables!AH32</f>
        <v>1.4200452768059341E-2</v>
      </c>
      <c r="X36" s="48">
        <f>(PivotTables!AJ32-PivotTables!AI32)/PivotTables!AI32</f>
        <v>-2.232142857142903E-3</v>
      </c>
      <c r="Y36" s="48">
        <f>(PivotTables!AK32-PivotTables!AJ32)/PivotTables!AJ32</f>
        <v>1.4236322961156101E-3</v>
      </c>
      <c r="Z36" s="48">
        <f>(PivotTables!AL32-PivotTables!AK32)/PivotTables!AK32</f>
        <v>2.640129975629419E-3</v>
      </c>
      <c r="AA36" s="57"/>
    </row>
    <row r="37" spans="1:37" x14ac:dyDescent="0.3">
      <c r="A37" s="64"/>
      <c r="B37" s="65"/>
      <c r="C37" s="53" t="str">
        <f>PivotTables!F14</f>
        <v>Recreation</v>
      </c>
      <c r="D37" s="49">
        <f>(PivotTables!H14-PivotTables!G14)/PivotTables!G14</f>
        <v>6.878327068745109E-2</v>
      </c>
      <c r="G37" s="30" t="str">
        <f>PivotTables!Q31</f>
        <v>Recreation</v>
      </c>
      <c r="H37" s="48">
        <f>(PivotTables!S31-PivotTables!R31)/PivotTables!R31</f>
        <v>5.1428947715000485E-2</v>
      </c>
      <c r="I37" s="48">
        <f>(PivotTables!T31-PivotTables!S31)/PivotTables!S31</f>
        <v>5.1555196228585204E-2</v>
      </c>
      <c r="J37" s="48">
        <f>(PivotTables!U31-PivotTables!T31)/PivotTables!T31</f>
        <v>4.0508883257892481E-2</v>
      </c>
      <c r="K37" s="48">
        <f>(PivotTables!V31-PivotTables!U31)/PivotTables!U31</f>
        <v>6.878327068745109E-2</v>
      </c>
      <c r="L37" s="48">
        <f>(PivotTables!W31-PivotTables!V31)/PivotTables!V31</f>
        <v>6.485646958012016E-2</v>
      </c>
      <c r="M37" s="49">
        <f>(PivotTables!X31-PivotTables!W31)/PivotTables!W31</f>
        <v>2.8416234974601301E-2</v>
      </c>
      <c r="O37" s="30" t="s">
        <v>195</v>
      </c>
      <c r="P37" s="48">
        <f>(PivotTables!AB33-PivotTables!AA33)/PivotTables!AA33</f>
        <v>2.8011204481791121E-3</v>
      </c>
      <c r="Q37" s="55">
        <f>(PivotTables!AC33-PivotTables!AB33)/PivotTables!AB33</f>
        <v>3.4916201117318438E-3</v>
      </c>
      <c r="R37" s="48">
        <f>(PivotTables!AD33-PivotTables!AC33)/PivotTables!AC33</f>
        <v>-3.2475063790304006E-3</v>
      </c>
      <c r="S37" s="48">
        <f>(PivotTables!AE33-PivotTables!AD33)/PivotTables!AD33</f>
        <v>-1.2101466139166768E-2</v>
      </c>
      <c r="T37" s="48">
        <f>(PivotTables!AF33-PivotTables!AE33)/PivotTables!AE33</f>
        <v>4.8056537102473582E-2</v>
      </c>
      <c r="U37" s="48">
        <f>(PivotTables!AG33-PivotTables!AF33)/PivotTables!AF33</f>
        <v>0</v>
      </c>
      <c r="V37" s="48">
        <f>(PivotTables!AH33-PivotTables!AG33)/PivotTables!AG33</f>
        <v>-1.5509103169251593E-2</v>
      </c>
      <c r="W37" s="48">
        <f>(PivotTables!AI33-PivotTables!AH33)/PivotTables!AH33</f>
        <v>4.1095890410958518E-3</v>
      </c>
      <c r="X37" s="48">
        <f>(PivotTables!AJ33-PivotTables!AI33)/PivotTables!AI33</f>
        <v>-6.8212824010910182E-4</v>
      </c>
      <c r="Y37" s="48">
        <f>(PivotTables!AK33-PivotTables!AJ33)/PivotTables!AJ33</f>
        <v>1.2969283276450552E-2</v>
      </c>
      <c r="Z37" s="48">
        <f>(PivotTables!AL33-PivotTables!AK33)/PivotTables!AK33</f>
        <v>6.7385444743931476E-4</v>
      </c>
      <c r="AA37" s="57"/>
    </row>
    <row r="38" spans="1:37" ht="15" thickBot="1" x14ac:dyDescent="0.35">
      <c r="A38" s="54"/>
      <c r="B38" s="67"/>
      <c r="C38" s="54" t="str">
        <f>PivotTables!F15</f>
        <v>Transport</v>
      </c>
      <c r="D38" s="51">
        <f>(PivotTables!H15-PivotTables!G15)/PivotTables!G15</f>
        <v>0.11540756899141812</v>
      </c>
      <c r="G38" s="31" t="str">
        <f>PivotTables!Q32</f>
        <v>Transport</v>
      </c>
      <c r="H38" s="50">
        <f>(PivotTables!S32-PivotTables!R32)/PivotTables!R32</f>
        <v>4.9360795454545622E-2</v>
      </c>
      <c r="I38" s="50">
        <f>(PivotTables!T32-PivotTables!S32)/PivotTables!S32</f>
        <v>2.0027688047992636E-2</v>
      </c>
      <c r="J38" s="50">
        <f>(PivotTables!U32-PivotTables!T32)/PivotTables!T32</f>
        <v>7.4763743113363285E-2</v>
      </c>
      <c r="K38" s="50">
        <f>(PivotTables!V32-PivotTables!U32)/PivotTables!U32</f>
        <v>0.11540756899141812</v>
      </c>
      <c r="L38" s="50">
        <f>(PivotTables!W32-PivotTables!V32)/PivotTables!V32</f>
        <v>6.9961808822715632E-2</v>
      </c>
      <c r="M38" s="51">
        <f>(PivotTables!X32-PivotTables!W32)/PivotTables!W32</f>
        <v>1.966789095235625E-2</v>
      </c>
      <c r="O38" s="31" t="s">
        <v>191</v>
      </c>
      <c r="P38" s="50">
        <f>(PivotTables!AB34-PivotTables!AA34)/PivotTables!AA34</f>
        <v>-4.583651642475128E-3</v>
      </c>
      <c r="Q38" s="56">
        <f>(PivotTables!AC34-PivotTables!AB34)/PivotTables!AB34</f>
        <v>-3.0698388334612866E-3</v>
      </c>
      <c r="R38" s="50">
        <f>(PivotTables!AD34-PivotTables!AC34)/PivotTables!AC34</f>
        <v>3.5925070567103044E-3</v>
      </c>
      <c r="S38" s="50">
        <f>(PivotTables!AE34-PivotTables!AD34)/PivotTables!AD34</f>
        <v>-1.4318588596266779E-2</v>
      </c>
      <c r="T38" s="50">
        <f>(PivotTables!AF34-PivotTables!AE34)/PivotTables!AE34</f>
        <v>5.0583657587548403E-2</v>
      </c>
      <c r="U38" s="50">
        <f>(PivotTables!AG34-PivotTables!AF34)/PivotTables!AF34</f>
        <v>0</v>
      </c>
      <c r="V38" s="50">
        <f>(PivotTables!AH34-PivotTables!AG34)/PivotTables!AG34</f>
        <v>2.5925925925925925E-2</v>
      </c>
      <c r="W38" s="50">
        <f>(PivotTables!AI34-PivotTables!AH34)/PivotTables!AH34</f>
        <v>7.9422382671479729E-3</v>
      </c>
      <c r="X38" s="50">
        <f>(PivotTables!AJ34-PivotTables!AI34)/PivotTables!AI34</f>
        <v>7.1633237822349575E-3</v>
      </c>
      <c r="Y38" s="50">
        <f>(PivotTables!AK34-PivotTables!AJ34)/PivotTables!AJ34</f>
        <v>-1.4224751066855522E-3</v>
      </c>
      <c r="Z38" s="50">
        <f>(PivotTables!AL34-PivotTables!AK34)/PivotTables!AK34</f>
        <v>2.1367521367520151E-3</v>
      </c>
      <c r="AA38" s="58"/>
    </row>
    <row r="39" spans="1:37" x14ac:dyDescent="0.3">
      <c r="A39" s="68"/>
      <c r="B39" s="68"/>
      <c r="C39" s="68"/>
      <c r="D39" s="48"/>
      <c r="O39" s="39"/>
      <c r="AA39"/>
    </row>
    <row r="40" spans="1:37" x14ac:dyDescent="0.3">
      <c r="G40">
        <f>PivotTables!Q34</f>
        <v>0</v>
      </c>
      <c r="O40" s="38"/>
      <c r="AA40"/>
    </row>
    <row r="41" spans="1:37" x14ac:dyDescent="0.3">
      <c r="O41" s="38"/>
      <c r="AA41"/>
    </row>
    <row r="42" spans="1:37" x14ac:dyDescent="0.3">
      <c r="AA42"/>
    </row>
    <row r="43" spans="1:37" x14ac:dyDescent="0.3">
      <c r="AA43"/>
    </row>
    <row r="44" spans="1:37" x14ac:dyDescent="0.3">
      <c r="AA44"/>
    </row>
    <row r="45" spans="1:37" x14ac:dyDescent="0.3">
      <c r="AA45"/>
    </row>
    <row r="46" spans="1:37" x14ac:dyDescent="0.3">
      <c r="AA46"/>
    </row>
    <row r="47" spans="1:37" s="47" customFormat="1" x14ac:dyDescent="0.3">
      <c r="C47"/>
      <c r="D47"/>
      <c r="E47"/>
      <c r="F47"/>
      <c r="G47"/>
      <c r="H47"/>
      <c r="I47"/>
      <c r="J47"/>
      <c r="R47" s="52"/>
      <c r="S47" s="52"/>
      <c r="T47" s="52"/>
      <c r="U47" s="52"/>
      <c r="V47" s="52"/>
      <c r="W47" s="52"/>
      <c r="X47" s="52"/>
      <c r="Y47" s="52"/>
      <c r="Z47" s="52"/>
      <c r="AA47" s="52"/>
      <c r="AK47" s="52"/>
    </row>
    <row r="48" spans="1:37" x14ac:dyDescent="0.3">
      <c r="R48" s="48"/>
      <c r="S48" s="48"/>
      <c r="T48" s="48"/>
      <c r="U48" s="48"/>
      <c r="V48" s="48"/>
      <c r="W48" s="48"/>
      <c r="X48" s="48"/>
      <c r="Y48" s="48"/>
      <c r="Z48" s="48"/>
      <c r="AA48" s="48"/>
      <c r="AK48" s="48"/>
    </row>
    <row r="49" spans="1:47" x14ac:dyDescent="0.3">
      <c r="T49" s="45"/>
      <c r="Y49" s="48"/>
      <c r="Z49" s="48"/>
      <c r="AA49" s="48"/>
      <c r="AB49" s="48"/>
      <c r="AC49" s="48"/>
      <c r="AK49" s="48"/>
    </row>
    <row r="50" spans="1:47" x14ac:dyDescent="0.3">
      <c r="T50" s="45"/>
      <c r="Y50" s="48"/>
      <c r="Z50" s="48"/>
      <c r="AA50" s="48"/>
      <c r="AB50" s="48"/>
      <c r="AC50" s="48"/>
      <c r="AK50" s="48"/>
    </row>
    <row r="51" spans="1:47" x14ac:dyDescent="0.3">
      <c r="Z51" s="45"/>
      <c r="AA51"/>
    </row>
    <row r="52" spans="1:47" x14ac:dyDescent="0.3">
      <c r="Z52" s="45"/>
      <c r="AA52"/>
    </row>
    <row r="53" spans="1:47" ht="15" thickBot="1" x14ac:dyDescent="0.35">
      <c r="AN53" s="46"/>
      <c r="AO53" s="46"/>
      <c r="AP53" s="46"/>
      <c r="AQ53" s="46"/>
      <c r="AR53" s="46"/>
      <c r="AS53" s="46"/>
      <c r="AT53" s="46"/>
      <c r="AU53" s="46"/>
    </row>
    <row r="54" spans="1:47" ht="15" thickBot="1" x14ac:dyDescent="0.35">
      <c r="A54" s="88" t="s">
        <v>227</v>
      </c>
      <c r="B54" s="90"/>
      <c r="D54" s="91" t="str">
        <f>PivotTables!Q2</f>
        <v>M-o-M Analysis: Category-wise[Period: 2021-23]</v>
      </c>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3"/>
      <c r="AN54" s="52"/>
      <c r="AO54" s="52"/>
      <c r="AP54" s="52"/>
      <c r="AQ54" s="52"/>
      <c r="AR54" s="52"/>
      <c r="AS54" s="52"/>
      <c r="AT54" s="52"/>
      <c r="AU54" s="52"/>
    </row>
    <row r="55" spans="1:47" s="47" customFormat="1" x14ac:dyDescent="0.3">
      <c r="A55" s="23" t="s">
        <v>194</v>
      </c>
      <c r="B55" s="25" t="s">
        <v>214</v>
      </c>
      <c r="C55"/>
      <c r="D55" s="23" t="str">
        <f>PivotTables!Q6</f>
        <v>Category</v>
      </c>
      <c r="E55" s="24" t="str">
        <f>PivotTables!S6</f>
        <v>Jan-21</v>
      </c>
      <c r="F55" s="24" t="str">
        <f>PivotTables!T6</f>
        <v>Feb-21</v>
      </c>
      <c r="G55" s="24" t="str">
        <f>PivotTables!U6</f>
        <v>Mar-21</v>
      </c>
      <c r="H55" s="24" t="str">
        <f>PivotTables!V6</f>
        <v>Apr-21</v>
      </c>
      <c r="I55" s="24" t="str">
        <f>PivotTables!W6</f>
        <v>May-21</v>
      </c>
      <c r="J55" s="24" t="str">
        <f>PivotTables!X6</f>
        <v>Jun-21</v>
      </c>
      <c r="K55" s="24" t="str">
        <f>PivotTables!Y6</f>
        <v>Jul-21</v>
      </c>
      <c r="L55" s="24" t="str">
        <f>PivotTables!Z6</f>
        <v>Aug-21</v>
      </c>
      <c r="M55" s="24" t="str">
        <f>PivotTables!AA6</f>
        <v>Sep-21</v>
      </c>
      <c r="N55" s="24" t="str">
        <f>PivotTables!AB6</f>
        <v>Oct-21</v>
      </c>
      <c r="O55" s="24" t="str">
        <f>PivotTables!AC6</f>
        <v>Nov-21</v>
      </c>
      <c r="P55" s="24" t="str">
        <f>PivotTables!AD6</f>
        <v>Dec-21</v>
      </c>
      <c r="Q55" s="24" t="str">
        <f>PivotTables!AE6</f>
        <v>Jan-22</v>
      </c>
      <c r="R55" s="24" t="str">
        <f>PivotTables!AF6</f>
        <v>Feb-22</v>
      </c>
      <c r="S55" s="24" t="str">
        <f>PivotTables!AG6</f>
        <v>Mar-22</v>
      </c>
      <c r="T55" s="24" t="str">
        <f>PivotTables!AH6</f>
        <v>Apr-22</v>
      </c>
      <c r="U55" s="24" t="str">
        <f>PivotTables!AI6</f>
        <v>May-22</v>
      </c>
      <c r="V55" s="24" t="str">
        <f>PivotTables!AJ6</f>
        <v>Jun-22</v>
      </c>
      <c r="W55" s="24" t="str">
        <f>PivotTables!AK6</f>
        <v>Jul-22</v>
      </c>
      <c r="X55" s="24" t="str">
        <f>PivotTables!AL6</f>
        <v>Aug-22</v>
      </c>
      <c r="Y55" s="24" t="str">
        <f>PivotTables!AM6</f>
        <v>Sep-22</v>
      </c>
      <c r="Z55" s="24" t="str">
        <f>PivotTables!AN6</f>
        <v>Oct-22</v>
      </c>
      <c r="AA55" s="24" t="str">
        <f>PivotTables!AO6</f>
        <v>Nov-22</v>
      </c>
      <c r="AB55" s="24" t="str">
        <f>PivotTables!AP6</f>
        <v>Dec-22</v>
      </c>
      <c r="AC55" s="24" t="str">
        <f>PivotTables!AQ6</f>
        <v>Jan-23</v>
      </c>
      <c r="AD55" s="24" t="str">
        <f>PivotTables!AR6</f>
        <v>Feb-23</v>
      </c>
      <c r="AE55" s="24" t="str">
        <f>PivotTables!AS6</f>
        <v>Mar-23</v>
      </c>
      <c r="AF55" s="24" t="str">
        <f>PivotTables!AT6</f>
        <v>Apr-23</v>
      </c>
      <c r="AG55" s="25" t="str">
        <f>PivotTables!AU6</f>
        <v>May-23</v>
      </c>
      <c r="AN55" s="80"/>
      <c r="AO55" s="80"/>
      <c r="AP55" s="38"/>
      <c r="AQ55" s="38"/>
      <c r="AR55" s="38"/>
      <c r="AS55" s="38"/>
      <c r="AT55" s="38"/>
      <c r="AU55" s="38"/>
    </row>
    <row r="56" spans="1:47" x14ac:dyDescent="0.3">
      <c r="A56" s="30" t="s">
        <v>190</v>
      </c>
      <c r="B56" s="69">
        <f>CORREL(CrudeOil_prices[Value],PivotTables!S7:AU7)</f>
        <v>0.57023945887109884</v>
      </c>
      <c r="D56" s="27" t="str">
        <f>PivotTables!Q7</f>
        <v>Energy</v>
      </c>
      <c r="E56" s="41">
        <f>(PivotTables!S7-PivotTables!R7)/PivotTables!R7</f>
        <v>2.2821576763485556E-2</v>
      </c>
      <c r="F56" s="41">
        <f>(PivotTables!T7-PivotTables!S7)/PivotTables!S7</f>
        <v>3.0425963488843813E-2</v>
      </c>
      <c r="G56" s="41">
        <f>(PivotTables!U7-PivotTables!T7)/PivotTables!T7</f>
        <v>2.0341207349081326E-2</v>
      </c>
      <c r="H56" s="41">
        <f>(PivotTables!V7-PivotTables!U7)/PivotTables!U7</f>
        <v>6.4308681672022071E-4</v>
      </c>
      <c r="I56" s="41">
        <f>(PivotTables!W7-PivotTables!V7)/PivotTables!V7</f>
        <v>2.4421593830334265E-2</v>
      </c>
      <c r="J56" s="41">
        <f>(PivotTables!X7-PivotTables!W7)/PivotTables!W7</f>
        <v>2.5094102885822186E-3</v>
      </c>
      <c r="K56" s="41">
        <f>(PivotTables!Y7-PivotTables!X7)/PivotTables!X7</f>
        <v>5.6320400500624356E-3</v>
      </c>
      <c r="L56" s="41">
        <f>(PivotTables!Z7-PivotTables!Y7)/PivotTables!Y7</f>
        <v>1.1823273179838244E-2</v>
      </c>
      <c r="M56" s="41">
        <f>(PivotTables!AA7-PivotTables!Z7)/PivotTables!Z7</f>
        <v>0</v>
      </c>
      <c r="N56" s="41">
        <f>(PivotTables!AB7-PivotTables!AA7)/PivotTables!AA7</f>
        <v>9.8400984009839754E-3</v>
      </c>
      <c r="O56" s="41">
        <f>(PivotTables!AC7-PivotTables!AB7)/PivotTables!AB7</f>
        <v>-1.8270401948841837E-3</v>
      </c>
      <c r="P56" s="41">
        <f>(PivotTables!AD7-PivotTables!AC7)/PivotTables!AC7</f>
        <v>1.2202562538132314E-3</v>
      </c>
      <c r="Q56" s="41">
        <f>(PivotTables!AE7-PivotTables!AD7)/PivotTables!AD7</f>
        <v>6.0938452163311586E-4</v>
      </c>
      <c r="R56" s="41">
        <f>(PivotTables!AF7-PivotTables!AE7)/PivotTables!AE7</f>
        <v>9.1352009744214372E-3</v>
      </c>
      <c r="S56" s="41">
        <f>(PivotTables!AG7-PivotTables!AF7)/PivotTables!AF7</f>
        <v>9.0525045262522634E-3</v>
      </c>
      <c r="T56" s="41">
        <f>(PivotTables!AH7-PivotTables!AG7)/PivotTables!AG7</f>
        <v>2.9904306220095697E-2</v>
      </c>
      <c r="U56" s="41">
        <f>(PivotTables!AI7-PivotTables!AH7)/PivotTables!AH7</f>
        <v>1.3937282229965191E-2</v>
      </c>
      <c r="V56" s="41">
        <f>(PivotTables!AJ7-PivotTables!AI7)/PivotTables!AI7</f>
        <v>8.0183276059565042E-3</v>
      </c>
      <c r="W56" s="41">
        <f>(PivotTables!AK7-PivotTables!AJ7)/PivotTables!AJ7</f>
        <v>2.0454545454545423E-2</v>
      </c>
      <c r="X56" s="41">
        <f>(PivotTables!AL7-PivotTables!AK7)/PivotTables!AK7</f>
        <v>-4.4543429844097048E-3</v>
      </c>
      <c r="Y56" s="41">
        <f>(PivotTables!AM7-PivotTables!AL7)/PivotTables!AL7</f>
        <v>3.9149888143176093E-3</v>
      </c>
      <c r="Z56" s="41">
        <f>(PivotTables!AN7-PivotTables!AM7)/PivotTables!AM7</f>
        <v>5.5710306406685237E-3</v>
      </c>
      <c r="AA56" s="41">
        <f>(PivotTables!AO7-PivotTables!AN7)/PivotTables!AN7</f>
        <v>4.4321329639889825E-3</v>
      </c>
      <c r="AB56" s="41">
        <f>(PivotTables!AP7-PivotTables!AO7)/PivotTables!AO7</f>
        <v>3.8610038610037982E-3</v>
      </c>
      <c r="AC56" s="41">
        <f>(PivotTables!AQ7-PivotTables!AP7)/PivotTables!AP7</f>
        <v>0</v>
      </c>
      <c r="AD56" s="41">
        <f>(PivotTables!AR7-PivotTables!AQ7)/PivotTables!AQ7</f>
        <v>5.4945054945051823E-4</v>
      </c>
      <c r="AE56" s="41">
        <f>(PivotTables!AS7-PivotTables!AR7)/PivotTables!AR7</f>
        <v>-1.0982976386600144E-3</v>
      </c>
      <c r="AF56" s="41">
        <f>(PivotTables!AT7-PivotTables!AS7)/PivotTables!AS7</f>
        <v>-1.0995052226499013E-3</v>
      </c>
      <c r="AG56" s="36">
        <f>(PivotTables!AU7-PivotTables!AT7)/PivotTables!AT7</f>
        <v>6.0539350577876877E-3</v>
      </c>
      <c r="AN56" s="41"/>
      <c r="AO56" s="41"/>
      <c r="AP56" s="46"/>
      <c r="AQ56" s="46"/>
      <c r="AR56" s="46"/>
      <c r="AS56" s="46"/>
      <c r="AT56" s="46"/>
      <c r="AU56" s="46"/>
    </row>
    <row r="57" spans="1:47" x14ac:dyDescent="0.3">
      <c r="A57" s="30" t="s">
        <v>189</v>
      </c>
      <c r="B57" s="69">
        <f>CORREL(CrudeOil_prices[Value],PivotTables!S8:AU8)</f>
        <v>0.53102157274512984</v>
      </c>
      <c r="D57" s="27" t="str">
        <f>PivotTables!Q8</f>
        <v>Apparel</v>
      </c>
      <c r="E57" s="41">
        <f>(PivotTables!S8-PivotTables!R8)/PivotTables!R8</f>
        <v>3.9647577092508761E-3</v>
      </c>
      <c r="F57" s="41">
        <f>(PivotTables!T8-PivotTables!S8)/PivotTables!S8</f>
        <v>1.0092145677929092E-2</v>
      </c>
      <c r="G57" s="41">
        <f>(PivotTables!U8-PivotTables!T8)/PivotTables!T8</f>
        <v>3.6924413553431549E-3</v>
      </c>
      <c r="H57" s="41">
        <f>(PivotTables!V8-PivotTables!U8)/PivotTables!U8</f>
        <v>5.4100843973166595E-3</v>
      </c>
      <c r="I57" s="41">
        <f>(PivotTables!W8-PivotTables!V8)/PivotTables!V8</f>
        <v>2.0878174773999052E-2</v>
      </c>
      <c r="J57" s="41">
        <f>(PivotTables!X8-PivotTables!W8)/PivotTables!W8</f>
        <v>8.4334809192489408E-4</v>
      </c>
      <c r="K57" s="41">
        <f>(PivotTables!Y8-PivotTables!X8)/PivotTables!X8</f>
        <v>5.4771434590268021E-3</v>
      </c>
      <c r="L57" s="41">
        <f>(PivotTables!Z8-PivotTables!Y8)/PivotTables!Y8</f>
        <v>1.1942174732872443E-2</v>
      </c>
      <c r="M57" s="41">
        <f>(PivotTables!AA8-PivotTables!Z8)/PivotTables!Z8</f>
        <v>4.1407867494839314E-4</v>
      </c>
      <c r="N57" s="41">
        <f>(PivotTables!AB8-PivotTables!AA8)/PivotTables!AA8</f>
        <v>6.4155629139070955E-3</v>
      </c>
      <c r="O57" s="41">
        <f>(PivotTables!AC8-PivotTables!AB8)/PivotTables!AB8</f>
        <v>8.4310096648160041E-3</v>
      </c>
      <c r="P57" s="41">
        <f>(PivotTables!AD8-PivotTables!AC8)/PivotTables!AC8</f>
        <v>7.7487765089721749E-3</v>
      </c>
      <c r="Q57" s="41">
        <f>(PivotTables!AE8-PivotTables!AD8)/PivotTables!AD8</f>
        <v>9.9150141643060772E-3</v>
      </c>
      <c r="R57" s="41">
        <f>(PivotTables!AF8-PivotTables!AE8)/PivotTables!AE8</f>
        <v>7.4133440192345424E-3</v>
      </c>
      <c r="S57" s="41">
        <f>(PivotTables!AG8-PivotTables!AF8)/PivotTables!AF8</f>
        <v>9.944311853619674E-3</v>
      </c>
      <c r="T57" s="41">
        <f>(PivotTables!AH8-PivotTables!AG8)/PivotTables!AG8</f>
        <v>1.0634107916502796E-2</v>
      </c>
      <c r="U57" s="41">
        <f>(PivotTables!AI8-PivotTables!AH8)/PivotTables!AH8</f>
        <v>1.0522213561964045E-2</v>
      </c>
      <c r="V57" s="41">
        <f>(PivotTables!AJ8-PivotTables!AI8)/PivotTables!AI8</f>
        <v>8.4843810258388077E-3</v>
      </c>
      <c r="W57" s="41">
        <f>(PivotTables!AK8-PivotTables!AJ8)/PivotTables!AJ8</f>
        <v>7.4569789674952848E-3</v>
      </c>
      <c r="X57" s="41">
        <f>(PivotTables!AL8-PivotTables!AK8)/PivotTables!AK8</f>
        <v>7.2119946858985656E-3</v>
      </c>
      <c r="Y57" s="41">
        <f>(PivotTables!AM8-PivotTables!AL8)/PivotTables!AL8</f>
        <v>8.2909364989636435E-3</v>
      </c>
      <c r="Z57" s="41">
        <f>(PivotTables!AN8-PivotTables!AM8)/PivotTables!AM8</f>
        <v>5.793309661745457E-3</v>
      </c>
      <c r="AA57" s="41">
        <f>(PivotTables!AO8-PivotTables!AN8)/PivotTables!AN8</f>
        <v>5.9457450761798373E-3</v>
      </c>
      <c r="AB57" s="41">
        <f>(PivotTables!AP8-PivotTables!AO8)/PivotTables!AO8</f>
        <v>4.802364240857079E-3</v>
      </c>
      <c r="AC57" s="41">
        <f>(PivotTables!AQ8-PivotTables!AP8)/PivotTables!AP8</f>
        <v>4.2279411764705047E-3</v>
      </c>
      <c r="AD57" s="41">
        <f>(PivotTables!AR8-PivotTables!AQ8)/PivotTables!AQ8</f>
        <v>6.7728354384038909E-3</v>
      </c>
      <c r="AE57" s="41">
        <f>(PivotTables!AS8-PivotTables!AR8)/PivotTables!AR8</f>
        <v>-1.8181818181832649E-4</v>
      </c>
      <c r="AF57" s="41">
        <f>(PivotTables!AT8-PivotTables!AS8)/PivotTables!AS8</f>
        <v>3.4551736679395845E-3</v>
      </c>
      <c r="AG57" s="36">
        <f>(PivotTables!AU8-PivotTables!AT8)/PivotTables!AT8</f>
        <v>2.5371511417181789E-3</v>
      </c>
      <c r="AN57" s="41"/>
      <c r="AO57" s="41"/>
      <c r="AP57" s="46"/>
      <c r="AQ57" s="46"/>
      <c r="AR57" s="46"/>
      <c r="AS57" s="46"/>
      <c r="AT57" s="46"/>
      <c r="AU57" s="46"/>
    </row>
    <row r="58" spans="1:47" x14ac:dyDescent="0.3">
      <c r="A58" s="30" t="s">
        <v>26</v>
      </c>
      <c r="B58" s="69">
        <f>CORREL(CrudeOil_prices[Value],PivotTables!S9:AU9)</f>
        <v>0.43780938159837823</v>
      </c>
      <c r="D58" s="27" t="str">
        <f>PivotTables!Q9</f>
        <v>Education</v>
      </c>
      <c r="E58" s="41">
        <f>(PivotTables!S9-PivotTables!R9)/PivotTables!R9</f>
        <v>-1.2547051442911986E-3</v>
      </c>
      <c r="F58" s="41">
        <f>(PivotTables!T9-PivotTables!S9)/PivotTables!S9</f>
        <v>1.8844221105528353E-3</v>
      </c>
      <c r="G58" s="41">
        <f>(PivotTables!U9-PivotTables!T9)/PivotTables!T9</f>
        <v>4.3887147335422488E-3</v>
      </c>
      <c r="H58" s="41">
        <f>(PivotTables!V9-PivotTables!U9)/PivotTables!U9</f>
        <v>6.2421972534346278E-4</v>
      </c>
      <c r="I58" s="41">
        <f>(PivotTables!W9-PivotTables!V9)/PivotTables!V9</f>
        <v>5.6144728633810183E-3</v>
      </c>
      <c r="J58" s="41">
        <f>(PivotTables!X9-PivotTables!W9)/PivotTables!W9</f>
        <v>3.1017369727047149E-3</v>
      </c>
      <c r="K58" s="41">
        <f>(PivotTables!Y9-PivotTables!X9)/PivotTables!X9</f>
        <v>9.2764378478664197E-3</v>
      </c>
      <c r="L58" s="41">
        <f>(PivotTables!Z9-PivotTables!Y9)/PivotTables!Y9</f>
        <v>3.6764705882354337E-3</v>
      </c>
      <c r="M58" s="41">
        <f>(PivotTables!AA9-PivotTables!Z9)/PivotTables!Z9</f>
        <v>-6.1050061050074928E-4</v>
      </c>
      <c r="N58" s="41">
        <f>(PivotTables!AB9-PivotTables!AA9)/PivotTables!AA9</f>
        <v>1.2217470983507458E-3</v>
      </c>
      <c r="O58" s="41">
        <f>(PivotTables!AC9-PivotTables!AB9)/PivotTables!AB9</f>
        <v>2.4405125076266362E-3</v>
      </c>
      <c r="P58" s="41">
        <f>(PivotTables!AD9-PivotTables!AC9)/PivotTables!AC9</f>
        <v>6.0864272671938102E-4</v>
      </c>
      <c r="Q58" s="41">
        <f>(PivotTables!AE9-PivotTables!AD9)/PivotTables!AD9</f>
        <v>1.8248175182480715E-3</v>
      </c>
      <c r="R58" s="41">
        <f>(PivotTables!AF9-PivotTables!AE9)/PivotTables!AE9</f>
        <v>4.2501517911355015E-3</v>
      </c>
      <c r="S58" s="41">
        <f>(PivotTables!AG9-PivotTables!AF9)/PivotTables!AF9</f>
        <v>3.6275695284159267E-3</v>
      </c>
      <c r="T58" s="41">
        <f>(PivotTables!AH9-PivotTables!AG9)/PivotTables!AG9</f>
        <v>5.4216867469879864E-3</v>
      </c>
      <c r="U58" s="41">
        <f>(PivotTables!AI9-PivotTables!AH9)/PivotTables!AH9</f>
        <v>5.9916117435590173E-3</v>
      </c>
      <c r="V58" s="41">
        <f>(PivotTables!AJ9-PivotTables!AI9)/PivotTables!AI9</f>
        <v>6.5515187611673272E-3</v>
      </c>
      <c r="W58" s="41">
        <f>(PivotTables!AK9-PivotTables!AJ9)/PivotTables!AJ9</f>
        <v>1.4201183431952697E-2</v>
      </c>
      <c r="X58" s="41">
        <f>(PivotTables!AL9-PivotTables!AK9)/PivotTables!AK9</f>
        <v>5.2508751458576761E-3</v>
      </c>
      <c r="Y58" s="41">
        <f>(PivotTables!AM9-PivotTables!AL9)/PivotTables!AL9</f>
        <v>4.6430644225187636E-3</v>
      </c>
      <c r="Z58" s="41">
        <f>(PivotTables!AN9-PivotTables!AM9)/PivotTables!AM9</f>
        <v>1.7331022530329948E-3</v>
      </c>
      <c r="AA58" s="41">
        <f>(PivotTables!AO9-PivotTables!AN9)/PivotTables!AN9</f>
        <v>1.7301038062282753E-3</v>
      </c>
      <c r="AB58" s="41">
        <f>(PivotTables!AP9-PivotTables!AO9)/PivotTables!AO9</f>
        <v>2.3028209556707293E-3</v>
      </c>
      <c r="AC58" s="41">
        <f>(PivotTables!AQ9-PivotTables!AP9)/PivotTables!AP9</f>
        <v>1.1487650775417408E-3</v>
      </c>
      <c r="AD58" s="41">
        <f>(PivotTables!AR9-PivotTables!AQ9)/PivotTables!AQ9</f>
        <v>4.016064257028047E-3</v>
      </c>
      <c r="AE58" s="41">
        <f>(PivotTables!AS9-PivotTables!AR9)/PivotTables!AR9</f>
        <v>0</v>
      </c>
      <c r="AF58" s="41">
        <f>(PivotTables!AT9-PivotTables!AS9)/PivotTables!AS9</f>
        <v>8.0000000000000331E-3</v>
      </c>
      <c r="AG58" s="36">
        <f>(PivotTables!AU9-PivotTables!AT9)/PivotTables!AT9</f>
        <v>3.9682539682539038E-3</v>
      </c>
      <c r="AN58" s="41"/>
      <c r="AO58" s="41"/>
      <c r="AP58" s="46"/>
      <c r="AQ58" s="46"/>
      <c r="AR58" s="46"/>
      <c r="AS58" s="46"/>
      <c r="AT58" s="46"/>
      <c r="AU58" s="46"/>
    </row>
    <row r="59" spans="1:47" x14ac:dyDescent="0.3">
      <c r="A59" s="30" t="s">
        <v>188</v>
      </c>
      <c r="B59" s="69">
        <f>CORREL(CrudeOil_prices[Value],PivotTables!S10:AU10)</f>
        <v>0.58419576974886955</v>
      </c>
      <c r="D59" s="27" t="str">
        <f>PivotTables!Q10</f>
        <v>Food &amp; Beverages</v>
      </c>
      <c r="E59" s="41">
        <f>(PivotTables!S10-PivotTables!R10)/PivotTables!R10</f>
        <v>-1.5456829927457396E-2</v>
      </c>
      <c r="F59" s="41">
        <f>(PivotTables!T10-PivotTables!S10)/PivotTables!S10</f>
        <v>-1.7914760414158067E-2</v>
      </c>
      <c r="G59" s="41">
        <f>(PivotTables!U10-PivotTables!T10)/PivotTables!T10</f>
        <v>4.9036434070344355E-5</v>
      </c>
      <c r="H59" s="41">
        <f>(PivotTables!V10-PivotTables!U10)/PivotTables!U10</f>
        <v>1.2111405315288846E-2</v>
      </c>
      <c r="I59" s="41">
        <f>(PivotTables!W10-PivotTables!V10)/PivotTables!V10</f>
        <v>2.0154062303182913E-2</v>
      </c>
      <c r="J59" s="41">
        <f>(PivotTables!X10-PivotTables!W10)/PivotTables!W10</f>
        <v>1.3392221114118707E-2</v>
      </c>
      <c r="K59" s="41">
        <f>(PivotTables!Y10-PivotTables!X10)/PivotTables!X10</f>
        <v>6.1389943296313761E-3</v>
      </c>
      <c r="L59" s="41">
        <f>(PivotTables!Z10-PivotTables!Y10)/PivotTables!Y10</f>
        <v>-2.328830926874722E-3</v>
      </c>
      <c r="M59" s="41">
        <f>(PivotTables!AA10-PivotTables!Z10)/PivotTables!Z10</f>
        <v>0</v>
      </c>
      <c r="N59" s="41">
        <f>(PivotTables!AB10-PivotTables!AA10)/PivotTables!AA10</f>
        <v>1.5639589169000868E-2</v>
      </c>
      <c r="O59" s="41">
        <f>(PivotTables!AC10-PivotTables!AB10)/PivotTables!AB10</f>
        <v>8.5497586761664746E-3</v>
      </c>
      <c r="P59" s="41">
        <f>(PivotTables!AD10-PivotTables!AC10)/PivotTables!AC10</f>
        <v>-6.0161341780229005E-3</v>
      </c>
      <c r="Q59" s="41">
        <f>(PivotTables!AE10-PivotTables!AD10)/PivotTables!AD10</f>
        <v>-7.657389151267872E-3</v>
      </c>
      <c r="R59" s="41">
        <f>(PivotTables!AF10-PivotTables!AE10)/PivotTables!AE10</f>
        <v>-1.3861935126143349E-3</v>
      </c>
      <c r="S59" s="41">
        <f>(PivotTables!AG10-PivotTables!AF10)/PivotTables!AF10</f>
        <v>1.064223579492894E-2</v>
      </c>
      <c r="T59" s="41">
        <f>(PivotTables!AH10-PivotTables!AG10)/PivotTables!AG10</f>
        <v>1.3780789305008447E-2</v>
      </c>
      <c r="U59" s="41">
        <f>(PivotTables!AI10-PivotTables!AH10)/PivotTables!AH10</f>
        <v>1.1109605744479091E-2</v>
      </c>
      <c r="V59" s="41">
        <f>(PivotTables!AJ10-PivotTables!AI10)/PivotTables!AI10</f>
        <v>1.0272901871455088E-2</v>
      </c>
      <c r="W59" s="41">
        <f>(PivotTables!AK10-PivotTables!AJ10)/PivotTables!AJ10</f>
        <v>1.9452672531940056E-3</v>
      </c>
      <c r="X59" s="41">
        <f>(PivotTables!AL10-PivotTables!AK10)/PivotTables!AK10</f>
        <v>1.2796187618585007E-3</v>
      </c>
      <c r="Y59" s="41">
        <f>(PivotTables!AM10-PivotTables!AL10)/PivotTables!AL10</f>
        <v>5.1560021152829514E-3</v>
      </c>
      <c r="Z59" s="41">
        <f>(PivotTables!AN10-PivotTables!AM10)/PivotTables!AM10</f>
        <v>7.1901442413081079E-3</v>
      </c>
      <c r="AA59" s="41">
        <f>(PivotTables!AO10-PivotTables!AN10)/PivotTables!AN10</f>
        <v>-2.1764680276835599E-4</v>
      </c>
      <c r="AB59" s="41">
        <f>(PivotTables!AP10-PivotTables!AO10)/PivotTables!AO10</f>
        <v>-5.8342041100663787E-3</v>
      </c>
      <c r="AC59" s="41">
        <f>(PivotTables!AQ10-PivotTables!AP10)/PivotTables!AP10</f>
        <v>4.0728737847072951E-3</v>
      </c>
      <c r="AD59" s="41">
        <f>(PivotTables!AR10-PivotTables!AQ10)/PivotTables!AQ10</f>
        <v>-5.9318707201118787E-3</v>
      </c>
      <c r="AE59" s="41">
        <f>(PivotTables!AS10-PivotTables!AR10)/PivotTables!AR10</f>
        <v>4.3876968978992914E-5</v>
      </c>
      <c r="AF59" s="41">
        <f>(PivotTables!AT10-PivotTables!AS10)/PivotTables!AS10</f>
        <v>4.5630045630047902E-3</v>
      </c>
      <c r="AG59" s="36">
        <f>(PivotTables!AU10-PivotTables!AT10)/PivotTables!AT10</f>
        <v>7.5559049615649583E-3</v>
      </c>
      <c r="AN59" s="41"/>
      <c r="AO59" s="41"/>
      <c r="AP59" s="46"/>
      <c r="AQ59" s="46"/>
      <c r="AR59" s="46"/>
      <c r="AS59" s="46"/>
      <c r="AT59" s="46"/>
      <c r="AU59" s="46"/>
    </row>
    <row r="60" spans="1:47" x14ac:dyDescent="0.3">
      <c r="A60" s="30" t="s">
        <v>23</v>
      </c>
      <c r="B60" s="69">
        <f>CORREL(CrudeOil_prices[Value],PivotTables!S11:AU11)</f>
        <v>0.47641269191127644</v>
      </c>
      <c r="D60" s="27" t="str">
        <f>PivotTables!Q11</f>
        <v>Health</v>
      </c>
      <c r="E60" s="41">
        <f>(PivotTables!S11-PivotTables!R11)/PivotTables!R11</f>
        <v>6.3171193935565376E-3</v>
      </c>
      <c r="F60" s="41">
        <f>(PivotTables!T11-PivotTables!S11)/PivotTables!S11</f>
        <v>1.2554927809165096E-2</v>
      </c>
      <c r="G60" s="41">
        <f>(PivotTables!U11-PivotTables!T11)/PivotTables!T11</f>
        <v>2.4798512089273233E-3</v>
      </c>
      <c r="H60" s="41">
        <f>(PivotTables!V11-PivotTables!U11)/PivotTables!U11</f>
        <v>3.7105751391467087E-3</v>
      </c>
      <c r="I60" s="41">
        <f>(PivotTables!W11-PivotTables!V11)/PivotTables!V11</f>
        <v>2.1565003080714726E-2</v>
      </c>
      <c r="J60" s="41">
        <f>(PivotTables!X11-PivotTables!W11)/PivotTables!W11</f>
        <v>3.0156815440289505E-3</v>
      </c>
      <c r="K60" s="41">
        <f>(PivotTables!Y11-PivotTables!X11)/PivotTables!X11</f>
        <v>4.2092603728201361E-3</v>
      </c>
      <c r="L60" s="41">
        <f>(PivotTables!Z11-PivotTables!Y11)/PivotTables!Y11</f>
        <v>8.3832335329341659E-3</v>
      </c>
      <c r="M60" s="41">
        <f>(PivotTables!AA11-PivotTables!Z11)/PivotTables!Z11</f>
        <v>0</v>
      </c>
      <c r="N60" s="41">
        <f>(PivotTables!AB11-PivotTables!AA11)/PivotTables!AA11</f>
        <v>4.1567695961994573E-3</v>
      </c>
      <c r="O60" s="41">
        <f>(PivotTables!AC11-PivotTables!AB11)/PivotTables!AB11</f>
        <v>4.730928444707341E-3</v>
      </c>
      <c r="P60" s="41">
        <f>(PivotTables!AD11-PivotTables!AC11)/PivotTables!AC11</f>
        <v>4.1200706297821578E-3</v>
      </c>
      <c r="Q60" s="41">
        <f>(PivotTables!AE11-PivotTables!AD11)/PivotTables!AD11</f>
        <v>4.6893317702228097E-3</v>
      </c>
      <c r="R60" s="41">
        <f>(PivotTables!AF11-PivotTables!AE11)/PivotTables!AE11</f>
        <v>4.6674445740955833E-3</v>
      </c>
      <c r="S60" s="41">
        <f>(PivotTables!AG11-PivotTables!AF11)/PivotTables!AF11</f>
        <v>4.6457607433217848E-3</v>
      </c>
      <c r="T60" s="41">
        <f>(PivotTables!AH11-PivotTables!AG11)/PivotTables!AG11</f>
        <v>5.7803468208092483E-3</v>
      </c>
      <c r="U60" s="41">
        <f>(PivotTables!AI11-PivotTables!AH11)/PivotTables!AH11</f>
        <v>4.5977011494253523E-3</v>
      </c>
      <c r="V60" s="41">
        <f>(PivotTables!AJ11-PivotTables!AI11)/PivotTables!AI11</f>
        <v>3.4324942791761686E-3</v>
      </c>
      <c r="W60" s="41">
        <f>(PivotTables!AK11-PivotTables!AJ11)/PivotTables!AJ11</f>
        <v>3.9908779931584299E-3</v>
      </c>
      <c r="X60" s="41">
        <f>(PivotTables!AL11-PivotTables!AK11)/PivotTables!AK11</f>
        <v>3.9750141964793699E-3</v>
      </c>
      <c r="Y60" s="41">
        <f>(PivotTables!AM11-PivotTables!AL11)/PivotTables!AL11</f>
        <v>5.6561085972850677E-3</v>
      </c>
      <c r="Z60" s="41">
        <f>(PivotTables!AN11-PivotTables!AM11)/PivotTables!AM11</f>
        <v>5.0618672665915477E-3</v>
      </c>
      <c r="AA60" s="41">
        <f>(PivotTables!AO11-PivotTables!AN11)/PivotTables!AN11</f>
        <v>6.1555679910465745E-3</v>
      </c>
      <c r="AB60" s="41">
        <f>(PivotTables!AP11-PivotTables!AO11)/PivotTables!AO11</f>
        <v>7.2302558398219295E-3</v>
      </c>
      <c r="AC60" s="41">
        <f>(PivotTables!AQ11-PivotTables!AP11)/PivotTables!AP11</f>
        <v>6.6261733848703317E-3</v>
      </c>
      <c r="AD60" s="41">
        <f>(PivotTables!AR11-PivotTables!AQ11)/PivotTables!AQ11</f>
        <v>1.1519473395501889E-2</v>
      </c>
      <c r="AE60" s="41">
        <f>(PivotTables!AS11-PivotTables!AR11)/PivotTables!AR11</f>
        <v>0</v>
      </c>
      <c r="AF60" s="41">
        <f>(PivotTables!AT11-PivotTables!AS11)/PivotTables!AS11</f>
        <v>3.2537960954446546E-3</v>
      </c>
      <c r="AG60" s="36">
        <f>(PivotTables!AU11-PivotTables!AT11)/PivotTables!AT11</f>
        <v>3.7837837837837222E-3</v>
      </c>
      <c r="AN60" s="41"/>
      <c r="AO60" s="41"/>
      <c r="AP60" s="46"/>
      <c r="AQ60" s="46"/>
      <c r="AR60" s="46"/>
      <c r="AS60" s="46"/>
      <c r="AT60" s="46"/>
      <c r="AU60" s="46"/>
    </row>
    <row r="61" spans="1:47" x14ac:dyDescent="0.3">
      <c r="A61" s="30" t="s">
        <v>20</v>
      </c>
      <c r="B61" s="69">
        <f>CORREL(CrudeOil_prices[Value],PivotTables!S12:AU12)</f>
        <v>0.4777262262221566</v>
      </c>
      <c r="D61" s="27" t="str">
        <f>PivotTables!Q12</f>
        <v>Housing</v>
      </c>
      <c r="E61" s="41">
        <f>(PivotTables!S12-PivotTables!R12)/PivotTables!R12</f>
        <v>-1.2982797792925481E-3</v>
      </c>
      <c r="F61" s="41">
        <f>(PivotTables!T12-PivotTables!S12)/PivotTables!S12</f>
        <v>9.7497562560937834E-3</v>
      </c>
      <c r="G61" s="41">
        <f>(PivotTables!U12-PivotTables!T12)/PivotTables!T12</f>
        <v>1.2874155133568625E-3</v>
      </c>
      <c r="H61" s="41">
        <f>(PivotTables!V12-PivotTables!U12)/PivotTables!U12</f>
        <v>6.7502410800386456E-3</v>
      </c>
      <c r="I61" s="41">
        <f>(PivotTables!W12-PivotTables!V12)/PivotTables!V12</f>
        <v>9.8978288633458124E-3</v>
      </c>
      <c r="J61" s="41">
        <f>(PivotTables!X12-PivotTables!W12)/PivotTables!W12</f>
        <v>-3.1615554852985877E-3</v>
      </c>
      <c r="K61" s="41">
        <f>(PivotTables!Y12-PivotTables!X12)/PivotTables!X12</f>
        <v>6.3431652394544879E-3</v>
      </c>
      <c r="L61" s="41">
        <f>(PivotTables!Z12-PivotTables!Y12)/PivotTables!Y12</f>
        <v>7.248660573589698E-3</v>
      </c>
      <c r="M61" s="41">
        <f>(PivotTables!AA12-PivotTables!Z12)/PivotTables!Z12</f>
        <v>0</v>
      </c>
      <c r="N61" s="41">
        <f>(PivotTables!AB12-PivotTables!AA12)/PivotTables!AA12</f>
        <v>7.5093867334166996E-3</v>
      </c>
      <c r="O61" s="41">
        <f>(PivotTables!AC12-PivotTables!AB12)/PivotTables!AB12</f>
        <v>4.658385093167702E-3</v>
      </c>
      <c r="P61" s="41">
        <f>(PivotTables!AD12-PivotTables!AC12)/PivotTables!AC12</f>
        <v>3.0911901081923565E-4</v>
      </c>
      <c r="Q61" s="41">
        <f>(PivotTables!AE12-PivotTables!AD12)/PivotTables!AD12</f>
        <v>6.180469715698393E-3</v>
      </c>
      <c r="R61" s="41">
        <f>(PivotTables!AF12-PivotTables!AE12)/PivotTables!AE12</f>
        <v>5.2211302211301863E-3</v>
      </c>
      <c r="S61" s="41">
        <f>(PivotTables!AG12-PivotTables!AF12)/PivotTables!AF12</f>
        <v>2.4442407577146695E-3</v>
      </c>
      <c r="T61" s="41">
        <f>(PivotTables!AH12-PivotTables!AG12)/PivotTables!AG12</f>
        <v>8.8387686680889265E-3</v>
      </c>
      <c r="U61" s="41">
        <f>(PivotTables!AI12-PivotTables!AH12)/PivotTables!AH12</f>
        <v>5.1359516616313857E-3</v>
      </c>
      <c r="V61" s="41">
        <f>(PivotTables!AJ12-PivotTables!AI12)/PivotTables!AI12</f>
        <v>1.5028554253082563E-3</v>
      </c>
      <c r="W61" s="41">
        <f>(PivotTables!AK12-PivotTables!AJ12)/PivotTables!AJ12</f>
        <v>6.002400960384153E-3</v>
      </c>
      <c r="X61" s="41">
        <f>(PivotTables!AL12-PivotTables!AK12)/PivotTables!AK12</f>
        <v>6.8615751789974765E-3</v>
      </c>
      <c r="Y61" s="41">
        <f>(PivotTables!AM12-PivotTables!AL12)/PivotTables!AL12</f>
        <v>4.4444444444444444E-3</v>
      </c>
      <c r="Z61" s="41">
        <f>(PivotTables!AN12-PivotTables!AM12)/PivotTables!AM12</f>
        <v>7.669616519174108E-3</v>
      </c>
      <c r="AA61" s="41">
        <f>(PivotTables!AO12-PivotTables!AN12)/PivotTables!AN12</f>
        <v>4.6838407494145858E-3</v>
      </c>
      <c r="AB61" s="41">
        <f>(PivotTables!AP12-PivotTables!AO12)/PivotTables!AO12</f>
        <v>-1.1655011655014303E-3</v>
      </c>
      <c r="AC61" s="41">
        <f>(PivotTables!AQ12-PivotTables!AP12)/PivotTables!AP12</f>
        <v>6.4177362893816968E-3</v>
      </c>
      <c r="AD61" s="41">
        <f>(PivotTables!AR12-PivotTables!AQ12)/PivotTables!AQ12</f>
        <v>7.8260869565217068E-3</v>
      </c>
      <c r="AE61" s="41">
        <f>(PivotTables!AS12-PivotTables!AR12)/PivotTables!AR12</f>
        <v>0</v>
      </c>
      <c r="AF61" s="41">
        <f>(PivotTables!AT12-PivotTables!AS12)/PivotTables!AS12</f>
        <v>6.0396893874028355E-3</v>
      </c>
      <c r="AG61" s="36">
        <f>(PivotTables!AU12-PivotTables!AT12)/PivotTables!AT12</f>
        <v>2.8587764436821044E-3</v>
      </c>
      <c r="AN61" s="41"/>
      <c r="AO61" s="41"/>
      <c r="AP61" s="46"/>
      <c r="AQ61" s="46"/>
      <c r="AR61" s="46"/>
      <c r="AS61" s="46"/>
      <c r="AT61" s="46"/>
      <c r="AU61" s="46"/>
    </row>
    <row r="62" spans="1:47" x14ac:dyDescent="0.3">
      <c r="A62" s="30" t="s">
        <v>192</v>
      </c>
      <c r="B62" s="69">
        <f>CORREL(CrudeOil_prices[Value],PivotTables!S13:AU13)</f>
        <v>0.45072443150233255</v>
      </c>
      <c r="D62" s="27" t="str">
        <f>PivotTables!Q13</f>
        <v>Other goods &amp; services</v>
      </c>
      <c r="E62" s="41">
        <f>(PivotTables!S13-PivotTables!R13)/PivotTables!R13</f>
        <v>3.0382823577072824E-3</v>
      </c>
      <c r="F62" s="41">
        <f>(PivotTables!T13-PivotTables!S13)/PivotTables!S13</f>
        <v>4.6445880452341565E-3</v>
      </c>
      <c r="G62" s="41">
        <f>(PivotTables!U13-PivotTables!T13)/PivotTables!T13</f>
        <v>-3.6180904522614436E-3</v>
      </c>
      <c r="H62" s="41">
        <f>(PivotTables!V13-PivotTables!U13)/PivotTables!U13</f>
        <v>5.8503126891266714E-3</v>
      </c>
      <c r="I62" s="41">
        <f>(PivotTables!W13-PivotTables!V13)/PivotTables!V13</f>
        <v>1.7448856799037165E-2</v>
      </c>
      <c r="J62" s="41">
        <f>(PivotTables!X13-PivotTables!W13)/PivotTables!W13</f>
        <v>-1.9712201852929048E-4</v>
      </c>
      <c r="K62" s="41">
        <f>(PivotTables!Y13-PivotTables!X13)/PivotTables!X13</f>
        <v>6.1119873817032898E-3</v>
      </c>
      <c r="L62" s="41">
        <f>(PivotTables!Z13-PivotTables!Y13)/PivotTables!Y13</f>
        <v>3.5273368606703278E-3</v>
      </c>
      <c r="M62" s="41">
        <f>(PivotTables!AA13-PivotTables!Z13)/PivotTables!Z13</f>
        <v>0</v>
      </c>
      <c r="N62" s="41">
        <f>(PivotTables!AB13-PivotTables!AA13)/PivotTables!AA13</f>
        <v>4.6865846514351659E-3</v>
      </c>
      <c r="O62" s="41">
        <f>(PivotTables!AC13-PivotTables!AB13)/PivotTables!AB13</f>
        <v>3.8872691933915871E-3</v>
      </c>
      <c r="P62" s="41">
        <f>(PivotTables!AD13-PivotTables!AC13)/PivotTables!AC13</f>
        <v>9.6805421103592808E-4</v>
      </c>
      <c r="Q62" s="41">
        <f>(PivotTables!AE13-PivotTables!AD13)/PivotTables!AD13</f>
        <v>1.7408123791101523E-3</v>
      </c>
      <c r="R62" s="41">
        <f>(PivotTables!AF13-PivotTables!AE13)/PivotTables!AE13</f>
        <v>5.4064491214522049E-3</v>
      </c>
      <c r="S62" s="41">
        <f>(PivotTables!AG13-PivotTables!AF13)/PivotTables!AF13</f>
        <v>9.2183599001342369E-3</v>
      </c>
      <c r="T62" s="41">
        <f>(PivotTables!AH13-PivotTables!AG13)/PivotTables!AG13</f>
        <v>7.6117982873454395E-3</v>
      </c>
      <c r="U62" s="41">
        <f>(PivotTables!AI13-PivotTables!AH13)/PivotTables!AH13</f>
        <v>9.4428706326717962E-4</v>
      </c>
      <c r="V62" s="41">
        <f>(PivotTables!AJ13-PivotTables!AI13)/PivotTables!AI13</f>
        <v>2.2641509433964195E-3</v>
      </c>
      <c r="W62" s="41">
        <f>(PivotTables!AK13-PivotTables!AJ13)/PivotTables!AJ13</f>
        <v>2.8237951807225702E-3</v>
      </c>
      <c r="X62" s="41">
        <f>(PivotTables!AL13-PivotTables!AK13)/PivotTables!AK13</f>
        <v>4.8807959451849505E-3</v>
      </c>
      <c r="Y62" s="41">
        <f>(PivotTables!AM13-PivotTables!AL13)/PivotTables!AL13</f>
        <v>2.2417336073231879E-3</v>
      </c>
      <c r="Z62" s="41">
        <f>(PivotTables!AN13-PivotTables!AM13)/PivotTables!AM13</f>
        <v>4.4734389561974812E-3</v>
      </c>
      <c r="AA62" s="41">
        <f>(PivotTables!AO13-PivotTables!AN13)/PivotTables!AN13</f>
        <v>5.0102059751345653E-3</v>
      </c>
      <c r="AB62" s="41">
        <f>(PivotTables!AP13-PivotTables!AO13)/PivotTables!AO13</f>
        <v>6.4623338257017299E-3</v>
      </c>
      <c r="AC62" s="41">
        <f>(PivotTables!AQ13-PivotTables!AP13)/PivotTables!AP13</f>
        <v>8.2553659878918158E-3</v>
      </c>
      <c r="AD62" s="41">
        <f>(PivotTables!AR13-PivotTables!AQ13)/PivotTables!AQ13</f>
        <v>9.0975254730715858E-3</v>
      </c>
      <c r="AE62" s="41">
        <f>(PivotTables!AS13-PivotTables!AR13)/PivotTables!AR13</f>
        <v>0</v>
      </c>
      <c r="AF62" s="41">
        <f>(PivotTables!AT13-PivotTables!AS13)/PivotTables!AS13</f>
        <v>9.0155066714748856E-3</v>
      </c>
      <c r="AG62" s="36">
        <f>(PivotTables!AU13-PivotTables!AT13)/PivotTables!AT13</f>
        <v>4.1100786275910552E-3</v>
      </c>
      <c r="AN62" s="41"/>
      <c r="AO62" s="41"/>
      <c r="AP62" s="46"/>
      <c r="AQ62" s="46"/>
      <c r="AR62" s="46"/>
      <c r="AS62" s="46"/>
      <c r="AT62" s="46"/>
      <c r="AU62" s="46"/>
    </row>
    <row r="63" spans="1:47" x14ac:dyDescent="0.3">
      <c r="A63" s="30" t="s">
        <v>195</v>
      </c>
      <c r="B63" s="69">
        <f>CORREL(CrudeOil_prices[Value],PivotTables!S14:AU14)</f>
        <v>0.58945628004865802</v>
      </c>
      <c r="D63" s="27" t="str">
        <f>PivotTables!Q14</f>
        <v>Recreation</v>
      </c>
      <c r="E63" s="41">
        <f>(PivotTables!S14-PivotTables!R14)/PivotTables!R14</f>
        <v>7.4074074074073695E-3</v>
      </c>
      <c r="F63" s="41">
        <f>(PivotTables!T14-PivotTables!S14)/PivotTables!S14</f>
        <v>1.2700534759358327E-2</v>
      </c>
      <c r="G63" s="41">
        <f>(PivotTables!U14-PivotTables!T14)/PivotTables!T14</f>
        <v>7.2607260726072235E-3</v>
      </c>
      <c r="H63" s="41">
        <f>(PivotTables!V14-PivotTables!U14)/PivotTables!U14</f>
        <v>3.9318479685451794E-3</v>
      </c>
      <c r="I63" s="41">
        <f>(PivotTables!W14-PivotTables!V14)/PivotTables!V14</f>
        <v>1.6971279373368297E-2</v>
      </c>
      <c r="J63" s="41">
        <f>(PivotTables!X14-PivotTables!W14)/PivotTables!W14</f>
        <v>-5.7766367137355949E-3</v>
      </c>
      <c r="K63" s="41">
        <f>(PivotTables!Y14-PivotTables!X14)/PivotTables!X14</f>
        <v>2.5823111684958404E-3</v>
      </c>
      <c r="L63" s="41">
        <f>(PivotTables!Z14-PivotTables!Y14)/PivotTables!Y14</f>
        <v>1.4810045074050114E-2</v>
      </c>
      <c r="M63" s="41">
        <f>(PivotTables!AA14-PivotTables!Z14)/PivotTables!Z14</f>
        <v>6.3451776649742588E-4</v>
      </c>
      <c r="N63" s="41">
        <f>(PivotTables!AB14-PivotTables!AA14)/PivotTables!AA14</f>
        <v>5.7070386810399859E-3</v>
      </c>
      <c r="O63" s="41">
        <f>(PivotTables!AC14-PivotTables!AB14)/PivotTables!AB14</f>
        <v>7.5662042875158705E-3</v>
      </c>
      <c r="P63" s="41">
        <f>(PivotTables!AD14-PivotTables!AC14)/PivotTables!AC14</f>
        <v>5.0062578222777399E-3</v>
      </c>
      <c r="Q63" s="41">
        <f>(PivotTables!AE14-PivotTables!AD14)/PivotTables!AD14</f>
        <v>3.735990037359865E-3</v>
      </c>
      <c r="R63" s="41">
        <f>(PivotTables!AF14-PivotTables!AE14)/PivotTables!AE14</f>
        <v>5.5831265508685217E-3</v>
      </c>
      <c r="S63" s="41">
        <f>(PivotTables!AG14-PivotTables!AF14)/PivotTables!AF14</f>
        <v>7.4028377544726534E-3</v>
      </c>
      <c r="T63" s="41">
        <f>(PivotTables!AH14-PivotTables!AG14)/PivotTables!AG14</f>
        <v>6.7360685854255618E-3</v>
      </c>
      <c r="U63" s="41">
        <f>(PivotTables!AI14-PivotTables!AH14)/PivotTables!AH14</f>
        <v>4.257907542579006E-3</v>
      </c>
      <c r="V63" s="41">
        <f>(PivotTables!AJ14-PivotTables!AI14)/PivotTables!AI14</f>
        <v>4.2398546335555244E-3</v>
      </c>
      <c r="W63" s="41">
        <f>(PivotTables!AK14-PivotTables!AJ14)/PivotTables!AJ14</f>
        <v>3.0156815440289505E-3</v>
      </c>
      <c r="X63" s="41">
        <f>(PivotTables!AL14-PivotTables!AK14)/PivotTables!AK14</f>
        <v>3.6079374624172836E-3</v>
      </c>
      <c r="Y63" s="41">
        <f>(PivotTables!AM14-PivotTables!AL14)/PivotTables!AL14</f>
        <v>4.1941282204912443E-3</v>
      </c>
      <c r="Z63" s="41">
        <f>(PivotTables!AN14-PivotTables!AM14)/PivotTables!AM14</f>
        <v>3.579952267303069E-3</v>
      </c>
      <c r="AA63" s="41">
        <f>(PivotTables!AO14-PivotTables!AN14)/PivotTables!AN14</f>
        <v>1.7835909631391878E-3</v>
      </c>
      <c r="AB63" s="41">
        <f>(PivotTables!AP14-PivotTables!AO14)/PivotTables!AO14</f>
        <v>2.3738872403561168E-3</v>
      </c>
      <c r="AC63" s="41">
        <f>(PivotTables!AQ14-PivotTables!AP14)/PivotTables!AP14</f>
        <v>3.5523978685612452E-3</v>
      </c>
      <c r="AD63" s="41">
        <f>(PivotTables!AR14-PivotTables!AQ14)/PivotTables!AQ14</f>
        <v>4.7197640117994768E-3</v>
      </c>
      <c r="AE63" s="41">
        <f>(PivotTables!AS14-PivotTables!AR14)/PivotTables!AR14</f>
        <v>0</v>
      </c>
      <c r="AF63" s="41">
        <f>(PivotTables!AT14-PivotTables!AS14)/PivotTables!AS14</f>
        <v>2.3487962419258793E-3</v>
      </c>
      <c r="AG63" s="36">
        <f>(PivotTables!AU14-PivotTables!AT14)/PivotTables!AT14</f>
        <v>2.9291154071470417E-3</v>
      </c>
      <c r="AN63" s="41"/>
      <c r="AO63" s="41"/>
      <c r="AP63" s="46"/>
      <c r="AQ63" s="46"/>
      <c r="AR63" s="46"/>
      <c r="AS63" s="46"/>
      <c r="AT63" s="46"/>
      <c r="AU63" s="46"/>
    </row>
    <row r="64" spans="1:47" x14ac:dyDescent="0.3">
      <c r="A64" s="30" t="s">
        <v>191</v>
      </c>
      <c r="B64" s="69">
        <f>CORREL(CrudeOil_prices[Value],PivotTables!S15:AU15)</f>
        <v>0.66762747886441132</v>
      </c>
      <c r="D64" s="27" t="str">
        <f>PivotTables!Q15</f>
        <v>Transport</v>
      </c>
      <c r="E64" s="41">
        <f>(PivotTables!S15-PivotTables!R15)/PivotTables!R15</f>
        <v>8.5287846481877545E-3</v>
      </c>
      <c r="F64" s="41">
        <f>(PivotTables!T15-PivotTables!S15)/PivotTables!S15</f>
        <v>2.2551092318534097E-2</v>
      </c>
      <c r="G64" s="41">
        <f>(PivotTables!U15-PivotTables!T15)/PivotTables!T15</f>
        <v>7.5809786354238068E-3</v>
      </c>
      <c r="H64" s="41">
        <f>(PivotTables!V15-PivotTables!U15)/PivotTables!U15</f>
        <v>2.7359781121751416E-3</v>
      </c>
      <c r="I64" s="41">
        <f>(PivotTables!W15-PivotTables!V15)/PivotTables!V15</f>
        <v>1.568894952251031E-2</v>
      </c>
      <c r="J64" s="41">
        <f>(PivotTables!X15-PivotTables!W15)/PivotTables!W15</f>
        <v>1.2088650100738636E-2</v>
      </c>
      <c r="K64" s="41">
        <f>(PivotTables!Y15-PivotTables!X15)/PivotTables!X15</f>
        <v>1.5925680159256841E-2</v>
      </c>
      <c r="L64" s="41">
        <f>(PivotTables!Z15-PivotTables!Y15)/PivotTables!Y15</f>
        <v>5.8785107772697954E-3</v>
      </c>
      <c r="M64" s="41">
        <f>(PivotTables!AA15-PivotTables!Z15)/PivotTables!Z15</f>
        <v>0</v>
      </c>
      <c r="N64" s="41">
        <f>(PivotTables!AB15-PivotTables!AA15)/PivotTables!AA15</f>
        <v>1.1038961038960965E-2</v>
      </c>
      <c r="O64" s="41">
        <f>(PivotTables!AC15-PivotTables!AB15)/PivotTables!AB15</f>
        <v>-5.7803468208091026E-3</v>
      </c>
      <c r="P64" s="41">
        <f>(PivotTables!AD15-PivotTables!AC15)/PivotTables!AC15</f>
        <v>5.8139534883719455E-3</v>
      </c>
      <c r="Q64" s="41">
        <f>(PivotTables!AE15-PivotTables!AD15)/PivotTables!AD15</f>
        <v>5.1380860629416276E-3</v>
      </c>
      <c r="R64" s="41">
        <f>(PivotTables!AF15-PivotTables!AE15)/PivotTables!AE15</f>
        <v>2.5559105431310269E-3</v>
      </c>
      <c r="S64" s="41">
        <f>(PivotTables!AG15-PivotTables!AF15)/PivotTables!AF15</f>
        <v>6.3734862970044612E-3</v>
      </c>
      <c r="T64" s="41">
        <f>(PivotTables!AH15-PivotTables!AG15)/PivotTables!AG15</f>
        <v>2.9765674477517344E-2</v>
      </c>
      <c r="U64" s="41">
        <f>(PivotTables!AI15-PivotTables!AH15)/PivotTables!AH15</f>
        <v>2.4600246002460377E-3</v>
      </c>
      <c r="V64" s="41">
        <f>(PivotTables!AJ15-PivotTables!AI15)/PivotTables!AI15</f>
        <v>-1.1656441717791446E-2</v>
      </c>
      <c r="W64" s="41">
        <f>(PivotTables!AK15-PivotTables!AJ15)/PivotTables!AJ15</f>
        <v>3.1036623215394167E-3</v>
      </c>
      <c r="X64" s="41">
        <f>(PivotTables!AL15-PivotTables!AK15)/PivotTables!AK15</f>
        <v>1.8564356435644268E-3</v>
      </c>
      <c r="Y64" s="41">
        <f>(PivotTables!AM15-PivotTables!AL15)/PivotTables!AL15</f>
        <v>2.470660901791264E-3</v>
      </c>
      <c r="Z64" s="41">
        <f>(PivotTables!AN15-PivotTables!AM15)/PivotTables!AM15</f>
        <v>3.6968576709796321E-3</v>
      </c>
      <c r="AA64" s="41">
        <f>(PivotTables!AO15-PivotTables!AN15)/PivotTables!AN15</f>
        <v>6.1387354205030267E-4</v>
      </c>
      <c r="AB64" s="41">
        <f>(PivotTables!AP15-PivotTables!AO15)/PivotTables!AO15</f>
        <v>2.4539877300613845E-3</v>
      </c>
      <c r="AC64" s="41">
        <f>(PivotTables!AQ15-PivotTables!AP15)/PivotTables!AP15</f>
        <v>1.2239902080782657E-3</v>
      </c>
      <c r="AD64" s="41">
        <f>(PivotTables!AR15-PivotTables!AQ15)/PivotTables!AQ15</f>
        <v>3.6674816625916523E-3</v>
      </c>
      <c r="AE64" s="41">
        <f>(PivotTables!AS15-PivotTables!AR15)/PivotTables!AR15</f>
        <v>0</v>
      </c>
      <c r="AF64" s="41">
        <f>(PivotTables!AT15-PivotTables!AS15)/PivotTables!AS15</f>
        <v>1.8270401948843567E-3</v>
      </c>
      <c r="AG64" s="36">
        <f>(PivotTables!AU15-PivotTables!AT15)/PivotTables!AT15</f>
        <v>1.8237082066869992E-3</v>
      </c>
      <c r="AN64" s="41"/>
      <c r="AO64" s="41"/>
      <c r="AP64" s="46"/>
      <c r="AQ64" s="46"/>
      <c r="AR64" s="46"/>
      <c r="AS64" s="46"/>
      <c r="AT64" s="46"/>
      <c r="AU64" s="46"/>
    </row>
    <row r="65" spans="1:47" ht="15" thickBot="1" x14ac:dyDescent="0.35">
      <c r="A65" s="31" t="s">
        <v>206</v>
      </c>
      <c r="B65" s="71">
        <f>CORREL(CrudeOil_prices[Value],PivotTables!S16:AU16)</f>
        <v>0.55317551746379678</v>
      </c>
      <c r="D65" s="29" t="str">
        <f>PivotTables!Q16</f>
        <v>General Index</v>
      </c>
      <c r="E65" s="62">
        <f>(PivotTables!S16-PivotTables!R16)/PivotTables!R16</f>
        <v>-1.006922592825673E-2</v>
      </c>
      <c r="F65" s="62">
        <f>(PivotTables!T16-PivotTables!S16)/PivotTables!S16</f>
        <v>-4.4500953591863762E-3</v>
      </c>
      <c r="G65" s="62">
        <f>(PivotTables!U16-PivotTables!T16)/PivotTables!T16</f>
        <v>1.2771392081737999E-3</v>
      </c>
      <c r="H65" s="62">
        <f>(PivotTables!V16-PivotTables!U16)/PivotTables!U16</f>
        <v>6.3775510204081625E-3</v>
      </c>
      <c r="I65" s="62">
        <f>(PivotTables!W16-PivotTables!V16)/PivotTables!V16</f>
        <v>1.6476552598225565E-2</v>
      </c>
      <c r="J65" s="62">
        <f>(PivotTables!X16-PivotTables!W16)/PivotTables!W16</f>
        <v>5.6109725685785893E-3</v>
      </c>
      <c r="K65" s="62">
        <f>(PivotTables!Y16-PivotTables!X16)/PivotTables!X16</f>
        <v>7.439553626782322E-3</v>
      </c>
      <c r="L65" s="62">
        <f>(PivotTables!Z16-PivotTables!Y16)/PivotTables!Y16</f>
        <v>4.3076923076922381E-3</v>
      </c>
      <c r="M65" s="62">
        <f>(PivotTables!AA16-PivotTables!Z16)/PivotTables!Z16</f>
        <v>0</v>
      </c>
      <c r="N65" s="62">
        <f>(PivotTables!AB16-PivotTables!AA16)/PivotTables!AA16</f>
        <v>1.4093137254902032E-2</v>
      </c>
      <c r="O65" s="62">
        <f>(PivotTables!AC16-PivotTables!AB16)/PivotTables!AB16</f>
        <v>7.2507552870089949E-3</v>
      </c>
      <c r="P65" s="62">
        <f>(PivotTables!AD16-PivotTables!AC16)/PivotTables!AC16</f>
        <v>-2.999400119976005E-3</v>
      </c>
      <c r="Q65" s="62">
        <f>(PivotTables!AE16-PivotTables!AD16)/PivotTables!AD16</f>
        <v>-3.0084235860409147E-3</v>
      </c>
      <c r="R65" s="62">
        <f>(PivotTables!AF16-PivotTables!AE16)/PivotTables!AE16</f>
        <v>2.4140012070006378E-3</v>
      </c>
      <c r="S65" s="62">
        <f>(PivotTables!AG16-PivotTables!AF16)/PivotTables!AF16</f>
        <v>9.6327513546056245E-3</v>
      </c>
      <c r="T65" s="62">
        <f>(PivotTables!AH16-PivotTables!AG16)/PivotTables!AG16</f>
        <v>1.4311270125223648E-2</v>
      </c>
      <c r="U65" s="62">
        <f>(PivotTables!AI16-PivotTables!AH16)/PivotTables!AH16</f>
        <v>9.4062316284538178E-3</v>
      </c>
      <c r="V65" s="62">
        <f>(PivotTables!AJ16-PivotTables!AI16)/PivotTables!AI16</f>
        <v>5.2417006406523343E-3</v>
      </c>
      <c r="W65" s="62">
        <f>(PivotTables!AK16-PivotTables!AJ16)/PivotTables!AJ16</f>
        <v>4.634994206257308E-3</v>
      </c>
      <c r="X65" s="62">
        <f>(PivotTables!AL16-PivotTables!AK16)/PivotTables!AK16</f>
        <v>5.1903114186851538E-3</v>
      </c>
      <c r="Y65" s="62">
        <f>(PivotTables!AM16-PivotTables!AL16)/PivotTables!AL16</f>
        <v>5.737234652897303E-3</v>
      </c>
      <c r="Z65" s="62">
        <f>(PivotTables!AN16-PivotTables!AM16)/PivotTables!AM16</f>
        <v>7.9863091842554308E-3</v>
      </c>
      <c r="AA65" s="62">
        <f>(PivotTables!AO16-PivotTables!AN16)/PivotTables!AN16</f>
        <v>-1.1318619128465684E-3</v>
      </c>
      <c r="AB65" s="62">
        <f>(PivotTables!AP16-PivotTables!AO16)/PivotTables!AO16</f>
        <v>-4.5325779036827843E-3</v>
      </c>
      <c r="AC65" s="62">
        <f>(PivotTables!AQ16-PivotTables!AP16)/PivotTables!AP16</f>
        <v>4.5532157085942599E-3</v>
      </c>
      <c r="AD65" s="62">
        <f>(PivotTables!AR16-PivotTables!AQ16)/PivotTables!AQ16</f>
        <v>3.9660056657223148E-3</v>
      </c>
      <c r="AE65" s="62">
        <f>(PivotTables!AS16-PivotTables!AR16)/PivotTables!AR16</f>
        <v>0</v>
      </c>
      <c r="AF65" s="62">
        <f>(PivotTables!AT16-PivotTables!AS16)/PivotTables!AS16</f>
        <v>5.0790067720090613E-3</v>
      </c>
      <c r="AG65" s="43">
        <f>(PivotTables!AU16-PivotTables!AT16)/PivotTables!AT16</f>
        <v>5.614823133071308E-3</v>
      </c>
      <c r="AN65" s="41"/>
      <c r="AO65" s="41"/>
      <c r="AP65" s="46"/>
      <c r="AQ65" s="46"/>
      <c r="AR65" s="46"/>
      <c r="AS65" s="46"/>
      <c r="AT65" s="46"/>
      <c r="AU65" s="46"/>
    </row>
    <row r="66" spans="1:47" x14ac:dyDescent="0.3">
      <c r="D66" s="52"/>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N66" s="41"/>
      <c r="AO66" s="41"/>
      <c r="AP66" s="46"/>
      <c r="AQ66" s="46"/>
      <c r="AR66" s="46"/>
      <c r="AS66" s="46"/>
      <c r="AT66" s="46"/>
      <c r="AU66" s="46"/>
    </row>
    <row r="67" spans="1:47" x14ac:dyDescent="0.3">
      <c r="D67" s="52"/>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N67" s="41"/>
      <c r="AO67" s="41"/>
      <c r="AP67" s="46"/>
      <c r="AQ67" s="46"/>
      <c r="AR67" s="46"/>
      <c r="AS67" s="46"/>
      <c r="AT67" s="46"/>
      <c r="AU67" s="46"/>
    </row>
    <row r="68" spans="1:47" x14ac:dyDescent="0.3">
      <c r="D68" s="52"/>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N68" s="41"/>
      <c r="AO68" s="41"/>
      <c r="AP68" s="46"/>
      <c r="AQ68" s="46"/>
      <c r="AR68" s="46"/>
      <c r="AS68" s="46"/>
      <c r="AT68" s="46"/>
      <c r="AU68" s="46"/>
    </row>
    <row r="69" spans="1:47" x14ac:dyDescent="0.3">
      <c r="D69" s="52"/>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N69" s="41"/>
      <c r="AO69" s="41"/>
      <c r="AP69" s="46"/>
      <c r="AQ69" s="46"/>
      <c r="AR69" s="46"/>
      <c r="AS69" s="46"/>
      <c r="AT69" s="46"/>
      <c r="AU69" s="46"/>
    </row>
    <row r="70" spans="1:47" x14ac:dyDescent="0.3">
      <c r="D70" s="52"/>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N70" s="41"/>
      <c r="AO70" s="41"/>
      <c r="AP70" s="46"/>
      <c r="AQ70" s="46"/>
      <c r="AR70" s="46"/>
      <c r="AS70" s="46"/>
      <c r="AT70" s="46"/>
      <c r="AU70" s="46"/>
    </row>
    <row r="71" spans="1:47" x14ac:dyDescent="0.3">
      <c r="D71" s="52"/>
      <c r="E71" s="52"/>
      <c r="F71" s="79"/>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J71" s="41"/>
      <c r="AN71" s="41"/>
      <c r="AO71" s="41"/>
      <c r="AP71" s="46"/>
      <c r="AQ71" s="46"/>
      <c r="AR71" s="46"/>
      <c r="AS71" s="46"/>
      <c r="AT71" s="46"/>
      <c r="AU71" s="46"/>
    </row>
    <row r="72" spans="1:47" x14ac:dyDescent="0.3">
      <c r="G72" s="52"/>
      <c r="H72" s="52"/>
      <c r="I72" s="79"/>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6"/>
      <c r="AQ72" s="46"/>
      <c r="AR72" s="46"/>
      <c r="AS72" s="46"/>
      <c r="AT72" s="46"/>
      <c r="AU72" s="46"/>
    </row>
    <row r="73" spans="1:47" x14ac:dyDescent="0.3">
      <c r="J73" s="52"/>
      <c r="K73" s="52"/>
      <c r="L73" s="79"/>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6"/>
      <c r="AQ73" s="46"/>
      <c r="AR73" s="46"/>
      <c r="AS73" s="46"/>
      <c r="AT73" s="46"/>
      <c r="AU73" s="46"/>
    </row>
    <row r="74" spans="1:47" x14ac:dyDescent="0.3">
      <c r="J74" s="52"/>
      <c r="K74" s="52"/>
      <c r="L74" s="79"/>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6"/>
      <c r="AQ74" s="46"/>
      <c r="AR74" s="46"/>
      <c r="AS74" s="46"/>
      <c r="AT74" s="46"/>
      <c r="AU74" s="46"/>
    </row>
    <row r="75" spans="1:47" x14ac:dyDescent="0.3">
      <c r="J75" s="52"/>
      <c r="K75" s="52"/>
      <c r="L75" s="79"/>
      <c r="M75" s="41"/>
      <c r="N75" s="41"/>
      <c r="O75" s="41"/>
      <c r="P75" s="41"/>
      <c r="Q75" s="41"/>
      <c r="R75" s="41"/>
      <c r="S75" s="41"/>
      <c r="T75" s="41"/>
      <c r="U75" s="41"/>
      <c r="V75" s="41"/>
      <c r="W75" s="41"/>
      <c r="X75" s="41"/>
      <c r="Y75" s="41"/>
      <c r="Z75" s="41"/>
      <c r="AA75" s="41"/>
      <c r="AB75" s="41"/>
      <c r="AC75" s="41"/>
      <c r="AD75" s="41"/>
      <c r="AE75" s="41"/>
      <c r="AF75" s="41"/>
      <c r="AG75" s="41"/>
      <c r="AH75" s="41"/>
      <c r="AI75" s="41"/>
    </row>
    <row r="76" spans="1:47" ht="15" thickBot="1" x14ac:dyDescent="0.35"/>
    <row r="77" spans="1:47" ht="15" thickBot="1" x14ac:dyDescent="0.35">
      <c r="A77" s="88" t="s">
        <v>217</v>
      </c>
      <c r="B77" s="89"/>
      <c r="C77" s="89"/>
      <c r="D77" s="89"/>
      <c r="E77" s="89"/>
      <c r="F77" s="89"/>
      <c r="G77" s="90"/>
    </row>
    <row r="78" spans="1:47" ht="15" thickBot="1" x14ac:dyDescent="0.35">
      <c r="A78" s="60"/>
      <c r="B78" s="88" t="s">
        <v>220</v>
      </c>
      <c r="C78" s="89"/>
      <c r="D78" s="90"/>
      <c r="E78" s="88" t="s">
        <v>221</v>
      </c>
      <c r="F78" s="89"/>
      <c r="G78" s="90"/>
    </row>
    <row r="79" spans="1:47" x14ac:dyDescent="0.3">
      <c r="A79" s="77" t="str">
        <f>PivotTables!A45</f>
        <v>Year</v>
      </c>
      <c r="B79" s="61" t="str">
        <f>PivotTables!B45</f>
        <v>Rural</v>
      </c>
      <c r="C79" s="61" t="str">
        <f>PivotTables!C45</f>
        <v>Urban</v>
      </c>
      <c r="D79" s="78" t="str">
        <f>PivotTables!D45</f>
        <v>Rural+Urban</v>
      </c>
      <c r="E79" s="77" t="s">
        <v>30</v>
      </c>
      <c r="F79" s="61" t="s">
        <v>33</v>
      </c>
      <c r="G79" s="78" t="s">
        <v>34</v>
      </c>
      <c r="AO79" s="45"/>
    </row>
    <row r="80" spans="1:47" x14ac:dyDescent="0.3">
      <c r="A80" s="30">
        <f>PivotTables!A47</f>
        <v>2014</v>
      </c>
      <c r="B80" s="22">
        <f>(PivotTables!B47-PivotTables!B46)/PivotTables!B46</f>
        <v>6.7859299516908264E-2</v>
      </c>
      <c r="C80" s="22">
        <f>(PivotTables!C47-PivotTables!C46)/PivotTables!C46</f>
        <v>6.5080209838059677E-2</v>
      </c>
      <c r="D80" s="69">
        <f>(PivotTables!D47-PivotTables!D46)/PivotTables!D46</f>
        <v>6.6495001514692745E-2</v>
      </c>
      <c r="E80" s="53"/>
      <c r="F80" s="68"/>
      <c r="G80" s="66"/>
      <c r="AA80"/>
      <c r="AO80" s="45"/>
    </row>
    <row r="81" spans="1:77" x14ac:dyDescent="0.3">
      <c r="A81" s="30">
        <f>PivotTables!A48</f>
        <v>2015</v>
      </c>
      <c r="B81" s="22">
        <f>(PivotTables!B48-PivotTables!B47)/PivotTables!B47</f>
        <v>5.4428500742206613E-2</v>
      </c>
      <c r="C81" s="22">
        <f>(PivotTables!C48-PivotTables!C47)/PivotTables!C47</f>
        <v>4.2401313441359029E-2</v>
      </c>
      <c r="D81" s="69">
        <f>(PivotTables!D48-PivotTables!D47)/PivotTables!D47</f>
        <v>4.9069734412725399E-2</v>
      </c>
      <c r="E81" s="75">
        <f>B81-E80</f>
        <v>5.4428500742206613E-2</v>
      </c>
      <c r="F81" s="48">
        <f t="shared" ref="F81:G81" si="1">C81-F80</f>
        <v>4.2401313441359029E-2</v>
      </c>
      <c r="G81" s="49">
        <f t="shared" si="1"/>
        <v>4.9069734412725399E-2</v>
      </c>
      <c r="AA81"/>
      <c r="AO81" s="45"/>
    </row>
    <row r="82" spans="1:77" x14ac:dyDescent="0.3">
      <c r="A82" s="30">
        <f>PivotTables!A49</f>
        <v>2016</v>
      </c>
      <c r="B82" s="22">
        <f>(PivotTables!B49-PivotTables!B48)/PivotTables!B48</f>
        <v>5.6043440370047611E-2</v>
      </c>
      <c r="C82" s="22">
        <f>(PivotTables!C49-PivotTables!C48)/PivotTables!C48</f>
        <v>4.2183113058960546E-2</v>
      </c>
      <c r="D82" s="69">
        <f>(PivotTables!D49-PivotTables!D48)/PivotTables!D48</f>
        <v>4.9482163406214169E-2</v>
      </c>
      <c r="E82" s="75">
        <f t="shared" ref="E82:E89" si="2">B82-E81</f>
        <v>1.6149396278409972E-3</v>
      </c>
      <c r="F82" s="48">
        <f t="shared" ref="F82:F89" si="3">C82-F81</f>
        <v>-2.1820038239848266E-4</v>
      </c>
      <c r="G82" s="49">
        <f t="shared" ref="G82:G89" si="4">D82-G81</f>
        <v>4.1242899348876982E-4</v>
      </c>
      <c r="AO82" s="45"/>
    </row>
    <row r="83" spans="1:77" x14ac:dyDescent="0.3">
      <c r="A83" s="30">
        <f>PivotTables!A50</f>
        <v>2017</v>
      </c>
      <c r="B83" s="22">
        <f>(PivotTables!B50-PivotTables!B49)/PivotTables!B49</f>
        <v>3.3200025391988727E-2</v>
      </c>
      <c r="C83" s="22">
        <f>(PivotTables!C50-PivotTables!C49)/PivotTables!C49</f>
        <v>3.3116499112950941E-2</v>
      </c>
      <c r="D83" s="69">
        <f>(PivotTables!D50-PivotTables!D49)/PivotTables!D49</f>
        <v>3.3281733746129673E-2</v>
      </c>
      <c r="E83" s="75">
        <f t="shared" si="2"/>
        <v>3.158508576414773E-2</v>
      </c>
      <c r="F83" s="48">
        <f t="shared" si="3"/>
        <v>3.3334699495349424E-2</v>
      </c>
      <c r="G83" s="49">
        <f t="shared" si="4"/>
        <v>3.2869304752640903E-2</v>
      </c>
      <c r="AO83" s="45"/>
    </row>
    <row r="84" spans="1:77" x14ac:dyDescent="0.3">
      <c r="A84" s="30">
        <f>PivotTables!A51</f>
        <v>2018</v>
      </c>
      <c r="B84" s="22">
        <f>(PivotTables!B51-PivotTables!B50)/PivotTables!B50</f>
        <v>3.7601376259523187E-2</v>
      </c>
      <c r="C84" s="22">
        <f>(PivotTables!C51-PivotTables!C50)/PivotTables!C50</f>
        <v>4.1785918717801684E-2</v>
      </c>
      <c r="D84" s="69">
        <f>(PivotTables!D51-PivotTables!D50)/PivotTables!D50</f>
        <v>3.9513108614232476E-2</v>
      </c>
      <c r="E84" s="75">
        <f t="shared" si="2"/>
        <v>6.0162904953754565E-3</v>
      </c>
      <c r="F84" s="48">
        <f t="shared" si="3"/>
        <v>8.4512192224522609E-3</v>
      </c>
      <c r="G84" s="49">
        <f t="shared" si="4"/>
        <v>6.6438038615915726E-3</v>
      </c>
      <c r="AO84" s="45"/>
    </row>
    <row r="85" spans="1:77" x14ac:dyDescent="0.3">
      <c r="A85" s="30">
        <f>PivotTables!A52</f>
        <v>2019</v>
      </c>
      <c r="B85" s="22">
        <f>(PivotTables!B52-PivotTables!B51)/PivotTables!B51</f>
        <v>3.1609319150768832E-2</v>
      </c>
      <c r="C85" s="22">
        <f>(PivotTables!C52-PivotTables!C51)/PivotTables!C51</f>
        <v>4.775224775224806E-2</v>
      </c>
      <c r="D85" s="69">
        <f>(PivotTables!D52-PivotTables!D51)/PivotTables!D51</f>
        <v>3.8961038961038953E-2</v>
      </c>
      <c r="E85" s="75">
        <f t="shared" si="2"/>
        <v>2.5593028655393375E-2</v>
      </c>
      <c r="F85" s="48">
        <f t="shared" si="3"/>
        <v>3.9301028529795799E-2</v>
      </c>
      <c r="G85" s="49">
        <f t="shared" si="4"/>
        <v>3.2317235099447381E-2</v>
      </c>
      <c r="AO85" s="45"/>
    </row>
    <row r="86" spans="1:77" x14ac:dyDescent="0.3">
      <c r="A86" s="30">
        <f>PivotTables!A53</f>
        <v>2020</v>
      </c>
      <c r="B86" s="22">
        <f>(PivotTables!B53-PivotTables!B52)/PivotTables!B52</f>
        <v>5.9935295345439468E-2</v>
      </c>
      <c r="C86" s="22">
        <f>(PivotTables!C53-PivotTables!C52)/PivotTables!C52</f>
        <v>5.8334745882419346E-2</v>
      </c>
      <c r="D86" s="69">
        <f>(PivotTables!D53-PivotTables!D52)/PivotTables!D52</f>
        <v>5.8604222128812195E-2</v>
      </c>
      <c r="E86" s="75">
        <f t="shared" si="2"/>
        <v>3.4342266690046093E-2</v>
      </c>
      <c r="F86" s="48">
        <f t="shared" si="3"/>
        <v>1.9033717352623547E-2</v>
      </c>
      <c r="G86" s="49">
        <f t="shared" si="4"/>
        <v>2.6286987029364814E-2</v>
      </c>
      <c r="AO86" s="45"/>
    </row>
    <row r="87" spans="1:77" x14ac:dyDescent="0.3">
      <c r="A87" s="30">
        <f>PivotTables!A54</f>
        <v>2021</v>
      </c>
      <c r="B87" s="22">
        <f>(PivotTables!B54-PivotTables!B53)/PivotTables!B53</f>
        <v>5.296220080147282E-2</v>
      </c>
      <c r="C87" s="22">
        <f>(PivotTables!C54-PivotTables!C53)/PivotTables!C53</f>
        <v>6.208478619930255E-2</v>
      </c>
      <c r="D87" s="69">
        <f>(PivotTables!D54-PivotTables!D53)/PivotTables!D53</f>
        <v>5.7831135268924118E-2</v>
      </c>
      <c r="E87" s="75">
        <f t="shared" si="2"/>
        <v>1.8619934111426727E-2</v>
      </c>
      <c r="F87" s="48">
        <f t="shared" si="3"/>
        <v>4.3051068846679003E-2</v>
      </c>
      <c r="G87" s="49">
        <f t="shared" si="4"/>
        <v>3.1544148239559304E-2</v>
      </c>
      <c r="AO87" s="45"/>
    </row>
    <row r="88" spans="1:77" x14ac:dyDescent="0.3">
      <c r="A88" s="30">
        <f>PivotTables!A55</f>
        <v>2022</v>
      </c>
      <c r="B88" s="22">
        <f>(PivotTables!B55-PivotTables!B54)/PivotTables!B54</f>
        <v>6.8452993211273419E-2</v>
      </c>
      <c r="C88" s="22">
        <f>(PivotTables!C55-PivotTables!C54)/PivotTables!C54</f>
        <v>6.3397439220361632E-2</v>
      </c>
      <c r="D88" s="69">
        <f>(PivotTables!D55-PivotTables!D54)/PivotTables!D54</f>
        <v>6.6219354838709832E-2</v>
      </c>
      <c r="E88" s="75">
        <f t="shared" si="2"/>
        <v>4.9833059099846692E-2</v>
      </c>
      <c r="F88" s="48">
        <f t="shared" si="3"/>
        <v>2.0346370373682629E-2</v>
      </c>
      <c r="G88" s="49">
        <f t="shared" si="4"/>
        <v>3.4675206599150528E-2</v>
      </c>
      <c r="AO88" s="45"/>
    </row>
    <row r="89" spans="1:77" ht="15" thickBot="1" x14ac:dyDescent="0.35">
      <c r="A89" s="31">
        <f>PivotTables!A56</f>
        <v>2023</v>
      </c>
      <c r="B89" s="70">
        <f>(PivotTables!B56-PivotTables!B55)/PivotTables!B55</f>
        <v>3.0931407942238372E-2</v>
      </c>
      <c r="C89" s="70">
        <f>(PivotTables!C56-PivotTables!C55)/PivotTables!C55</f>
        <v>3.3167592863410623E-2</v>
      </c>
      <c r="D89" s="71">
        <f>(PivotTables!D56-PivotTables!D55)/PivotTables!D55</f>
        <v>3.1774615161196625E-2</v>
      </c>
      <c r="E89" s="76">
        <f t="shared" si="2"/>
        <v>-1.8901651157608321E-2</v>
      </c>
      <c r="F89" s="50">
        <f t="shared" si="3"/>
        <v>1.2821222489727994E-2</v>
      </c>
      <c r="G89" s="51">
        <f t="shared" si="4"/>
        <v>-2.9005914379539033E-3</v>
      </c>
      <c r="AO89" s="45"/>
    </row>
    <row r="90" spans="1:77" ht="15" thickBot="1" x14ac:dyDescent="0.35">
      <c r="A90" s="74" t="s">
        <v>211</v>
      </c>
      <c r="B90" s="72"/>
      <c r="C90" s="72"/>
      <c r="D90" s="73"/>
      <c r="AO90" s="45"/>
    </row>
    <row r="91" spans="1:77" ht="15" thickBot="1" x14ac:dyDescent="0.35">
      <c r="AO91" s="45"/>
    </row>
    <row r="92" spans="1:77" ht="15" thickBot="1" x14ac:dyDescent="0.35">
      <c r="A92" s="84" t="s">
        <v>218</v>
      </c>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5"/>
      <c r="BO92" s="85"/>
      <c r="BP92" s="85"/>
      <c r="BQ92" s="85"/>
      <c r="BR92" s="85"/>
      <c r="BS92" s="85"/>
      <c r="BT92" s="85"/>
      <c r="BU92" s="85"/>
      <c r="BV92" s="85"/>
      <c r="BW92" s="85"/>
      <c r="BX92" s="85"/>
      <c r="BY92" s="86"/>
    </row>
    <row r="93" spans="1:77" x14ac:dyDescent="0.3">
      <c r="A93" s="23" t="str">
        <f>PivotTables!A64</f>
        <v>Sector</v>
      </c>
      <c r="B93" s="24" t="str">
        <f>PivotTables!C64</f>
        <v>Jan-17</v>
      </c>
      <c r="C93" s="24" t="str">
        <f>PivotTables!D64</f>
        <v>Feb-17</v>
      </c>
      <c r="D93" s="24" t="str">
        <f>PivotTables!E64</f>
        <v>Mar-17</v>
      </c>
      <c r="E93" s="24" t="str">
        <f>PivotTables!F64</f>
        <v>Apr-17</v>
      </c>
      <c r="F93" s="24" t="str">
        <f>PivotTables!G64</f>
        <v>May-17</v>
      </c>
      <c r="G93" s="24" t="str">
        <f>PivotTables!H64</f>
        <v>Jun-17</v>
      </c>
      <c r="H93" s="24" t="str">
        <f>PivotTables!I64</f>
        <v>Jul-17</v>
      </c>
      <c r="I93" s="24" t="str">
        <f>PivotTables!J64</f>
        <v>Aug-17</v>
      </c>
      <c r="J93" s="24" t="str">
        <f>PivotTables!K64</f>
        <v>Sep-17</v>
      </c>
      <c r="K93" s="24" t="str">
        <f>PivotTables!L64</f>
        <v>Oct-17</v>
      </c>
      <c r="L93" s="24" t="str">
        <f>PivotTables!M64</f>
        <v>Nov-17</v>
      </c>
      <c r="M93" s="24" t="str">
        <f>PivotTables!N64</f>
        <v>Dec-17</v>
      </c>
      <c r="N93" s="24" t="str">
        <f>PivotTables!O64</f>
        <v>Jan-18</v>
      </c>
      <c r="O93" s="24" t="str">
        <f>PivotTables!P64</f>
        <v>Feb-18</v>
      </c>
      <c r="P93" s="24" t="str">
        <f>PivotTables!Q64</f>
        <v>Mar-18</v>
      </c>
      <c r="Q93" s="24" t="str">
        <f>PivotTables!R64</f>
        <v>Apr-18</v>
      </c>
      <c r="R93" s="24" t="str">
        <f>PivotTables!S64</f>
        <v>May-18</v>
      </c>
      <c r="S93" s="24" t="str">
        <f>PivotTables!T64</f>
        <v>Jun-18</v>
      </c>
      <c r="T93" s="24" t="str">
        <f>PivotTables!U64</f>
        <v>Jul-18</v>
      </c>
      <c r="U93" s="24" t="str">
        <f>PivotTables!V64</f>
        <v>Aug-18</v>
      </c>
      <c r="V93" s="24" t="str">
        <f>PivotTables!W64</f>
        <v>Sep-18</v>
      </c>
      <c r="W93" s="24" t="str">
        <f>PivotTables!X64</f>
        <v>Oct-18</v>
      </c>
      <c r="X93" s="24" t="str">
        <f>PivotTables!Y64</f>
        <v>Nov-18</v>
      </c>
      <c r="Y93" s="24" t="str">
        <f>PivotTables!Z64</f>
        <v>Dec-18</v>
      </c>
      <c r="Z93" s="24" t="str">
        <f>PivotTables!AA64</f>
        <v>Jan-19</v>
      </c>
      <c r="AA93" s="24" t="str">
        <f>PivotTables!AB64</f>
        <v>Feb-19</v>
      </c>
      <c r="AB93" s="24" t="str">
        <f>PivotTables!AC64</f>
        <v>Mar-19</v>
      </c>
      <c r="AC93" s="24" t="str">
        <f>PivotTables!AD64</f>
        <v>May-19</v>
      </c>
      <c r="AD93" s="24" t="str">
        <f>PivotTables!AE64</f>
        <v>Jun-19</v>
      </c>
      <c r="AE93" s="24" t="str">
        <f>PivotTables!AF64</f>
        <v>Jul-19</v>
      </c>
      <c r="AF93" s="24" t="str">
        <f>PivotTables!AG64</f>
        <v>Aug-19</v>
      </c>
      <c r="AG93" s="24" t="str">
        <f>PivotTables!AH64</f>
        <v>Sep-19</v>
      </c>
      <c r="AH93" s="24" t="str">
        <f>PivotTables!AI64</f>
        <v>Oct-19</v>
      </c>
      <c r="AI93" s="24" t="str">
        <f>PivotTables!AJ64</f>
        <v>Nov-19</v>
      </c>
      <c r="AJ93" s="24" t="str">
        <f>PivotTables!AK64</f>
        <v>Dec-19</v>
      </c>
      <c r="AK93" s="24" t="str">
        <f>PivotTables!AL64</f>
        <v>Jan-20</v>
      </c>
      <c r="AL93" s="24" t="str">
        <f>PivotTables!AM64</f>
        <v>Feb-20</v>
      </c>
      <c r="AM93" s="24" t="str">
        <f>PivotTables!AN64</f>
        <v>Mar-20</v>
      </c>
      <c r="AN93" s="24" t="str">
        <f>PivotTables!AO64</f>
        <v>Apr-20</v>
      </c>
      <c r="AO93" s="24" t="str">
        <f>PivotTables!AP64</f>
        <v>May-20</v>
      </c>
      <c r="AP93" s="24" t="str">
        <f>PivotTables!AQ64</f>
        <v>Jun-20</v>
      </c>
      <c r="AQ93" s="24" t="str">
        <f>PivotTables!AR64</f>
        <v>Jul-20</v>
      </c>
      <c r="AR93" s="24" t="str">
        <f>PivotTables!AS64</f>
        <v>Aug-20</v>
      </c>
      <c r="AS93" s="24" t="str">
        <f>PivotTables!AT64</f>
        <v>Sep-20</v>
      </c>
      <c r="AT93" s="24" t="str">
        <f>PivotTables!AU64</f>
        <v>Oct-20</v>
      </c>
      <c r="AU93" s="24" t="str">
        <f>PivotTables!AV64</f>
        <v>Nov-20</v>
      </c>
      <c r="AV93" s="24" t="str">
        <f>PivotTables!AW64</f>
        <v>Dec-20</v>
      </c>
      <c r="AW93" s="24" t="str">
        <f>PivotTables!AX64</f>
        <v>Jan-21</v>
      </c>
      <c r="AX93" s="24" t="str">
        <f>PivotTables!AY64</f>
        <v>Feb-21</v>
      </c>
      <c r="AY93" s="24" t="str">
        <f>PivotTables!AZ64</f>
        <v>Mar-21</v>
      </c>
      <c r="AZ93" s="24" t="str">
        <f>PivotTables!BA64</f>
        <v>Apr-21</v>
      </c>
      <c r="BA93" s="24" t="str">
        <f>PivotTables!BB64</f>
        <v>May-21</v>
      </c>
      <c r="BB93" s="24" t="str">
        <f>PivotTables!BC64</f>
        <v>Jun-21</v>
      </c>
      <c r="BC93" s="24" t="str">
        <f>PivotTables!BD64</f>
        <v>Jul-21</v>
      </c>
      <c r="BD93" s="24" t="str">
        <f>PivotTables!BE64</f>
        <v>Aug-21</v>
      </c>
      <c r="BE93" s="24" t="str">
        <f>PivotTables!BF64</f>
        <v>Sep-21</v>
      </c>
      <c r="BF93" s="24" t="str">
        <f>PivotTables!BG64</f>
        <v>Oct-21</v>
      </c>
      <c r="BG93" s="24" t="str">
        <f>PivotTables!BH64</f>
        <v>Nov-21</v>
      </c>
      <c r="BH93" s="24" t="str">
        <f>PivotTables!BI64</f>
        <v>Dec-21</v>
      </c>
      <c r="BI93" s="24" t="str">
        <f>PivotTables!BJ64</f>
        <v>Jan-22</v>
      </c>
      <c r="BJ93" s="24" t="str">
        <f>PivotTables!BK64</f>
        <v>Feb-22</v>
      </c>
      <c r="BK93" s="24" t="str">
        <f>PivotTables!BL64</f>
        <v>Mar-22</v>
      </c>
      <c r="BL93" s="24" t="str">
        <f>PivotTables!BM64</f>
        <v>Apr-22</v>
      </c>
      <c r="BM93" s="24" t="str">
        <f>PivotTables!BN64</f>
        <v>May-22</v>
      </c>
      <c r="BN93" s="24" t="str">
        <f>PivotTables!BO64</f>
        <v>Jun-22</v>
      </c>
      <c r="BO93" s="24" t="str">
        <f>PivotTables!BP64</f>
        <v>Jul-22</v>
      </c>
      <c r="BP93" s="24" t="str">
        <f>PivotTables!BQ64</f>
        <v>Aug-22</v>
      </c>
      <c r="BQ93" s="24" t="str">
        <f>PivotTables!BR64</f>
        <v>Sep-22</v>
      </c>
      <c r="BR93" s="24" t="str">
        <f>PivotTables!BS64</f>
        <v>Oct-22</v>
      </c>
      <c r="BS93" s="24" t="str">
        <f>PivotTables!BT64</f>
        <v>Nov-22</v>
      </c>
      <c r="BT93" s="24" t="str">
        <f>PivotTables!BU64</f>
        <v>Dec-22</v>
      </c>
      <c r="BU93" s="24" t="str">
        <f>PivotTables!BV64</f>
        <v>Jan-23</v>
      </c>
      <c r="BV93" s="24" t="str">
        <f>PivotTables!BW64</f>
        <v>Feb-23</v>
      </c>
      <c r="BW93" s="24" t="str">
        <f>PivotTables!BX64</f>
        <v>Mar-23</v>
      </c>
      <c r="BX93" s="24" t="str">
        <f>PivotTables!BY64</f>
        <v>Apr-23</v>
      </c>
      <c r="BY93" s="25" t="str">
        <f>PivotTables!BZ64</f>
        <v>May-23</v>
      </c>
    </row>
    <row r="94" spans="1:77" x14ac:dyDescent="0.3">
      <c r="A94" s="30" t="str">
        <f>PivotTables!A65</f>
        <v>Rural+Urban</v>
      </c>
      <c r="B94" s="48">
        <f>(PivotTables!C65-PivotTables!B65)/PivotTables!B65</f>
        <v>-7.668711656441281E-4</v>
      </c>
      <c r="C94" s="48">
        <f>(PivotTables!D65-PivotTables!C65)/PivotTables!C65</f>
        <v>2.3023791250958016E-3</v>
      </c>
      <c r="D94" s="48">
        <f>(PivotTables!E65-PivotTables!D65)/PivotTables!D65</f>
        <v>2.2970903522206076E-3</v>
      </c>
      <c r="E94" s="48">
        <f>(PivotTables!F65-PivotTables!E65)/PivotTables!E65</f>
        <v>1.5278838808249703E-3</v>
      </c>
      <c r="F94" s="48">
        <f>(PivotTables!G65-PivotTables!F65)/PivotTables!F65</f>
        <v>2.2883295194508877E-3</v>
      </c>
      <c r="G94" s="48">
        <f>(PivotTables!H65-PivotTables!G65)/PivotTables!G65</f>
        <v>4.5662100456620568E-3</v>
      </c>
      <c r="H94" s="48">
        <f>(PivotTables!I65-PivotTables!H65)/PivotTables!H65</f>
        <v>1.666666666666658E-2</v>
      </c>
      <c r="I94" s="48">
        <f>(PivotTables!J65-PivotTables!I65)/PivotTables!I65</f>
        <v>8.9418777943369391E-3</v>
      </c>
      <c r="J94" s="48">
        <f>(PivotTables!K65-PivotTables!J65)/PivotTables!J65</f>
        <v>-1.4771048744462115E-3</v>
      </c>
      <c r="K94" s="48">
        <f>(PivotTables!L65-PivotTables!K65)/PivotTables!K65</f>
        <v>6.6568047337278533E-3</v>
      </c>
      <c r="L94" s="48">
        <f>(PivotTables!M65-PivotTables!L65)/PivotTables!L65</f>
        <v>1.1021307861866276E-2</v>
      </c>
      <c r="M94" s="48">
        <f>(PivotTables!N65-PivotTables!M65)/PivotTables!M65</f>
        <v>-2.9069767441860881E-3</v>
      </c>
      <c r="N94" s="48">
        <f>(PivotTables!O65-PivotTables!N65)/PivotTables!N65</f>
        <v>-2.1865889212826749E-3</v>
      </c>
      <c r="O94" s="48">
        <f>(PivotTables!P65-PivotTables!O65)/PivotTables!O65</f>
        <v>-3.6523009495982466E-3</v>
      </c>
      <c r="P94" s="48">
        <f>(PivotTables!Q65-PivotTables!P65)/PivotTables!P65</f>
        <v>7.3313782991198172E-4</v>
      </c>
      <c r="Q94" s="48">
        <f>(PivotTables!R65-PivotTables!Q65)/PivotTables!Q65</f>
        <v>4.395604395604354E-3</v>
      </c>
      <c r="R94" s="48">
        <f>(PivotTables!S65-PivotTables!R65)/PivotTables!R65</f>
        <v>5.105762217359716E-3</v>
      </c>
      <c r="S94" s="48">
        <f>(PivotTables!T65-PivotTables!S65)/PivotTables!S65</f>
        <v>5.0798258345427331E-3</v>
      </c>
      <c r="T94" s="48">
        <f>(PivotTables!U65-PivotTables!T65)/PivotTables!T65</f>
        <v>9.3862815884477348E-3</v>
      </c>
      <c r="U94" s="48">
        <f>(PivotTables!V65-PivotTables!U65)/PivotTables!U65</f>
        <v>4.291845493562191E-3</v>
      </c>
      <c r="V94" s="48">
        <f>(PivotTables!W65-PivotTables!V65)/PivotTables!V65</f>
        <v>-1.424501424501546E-3</v>
      </c>
      <c r="W94" s="48">
        <f>(PivotTables!X65-PivotTables!W65)/PivotTables!W65</f>
        <v>4.2796005706135717E-3</v>
      </c>
      <c r="X94" s="48">
        <f>(PivotTables!Y65-PivotTables!X65)/PivotTables!X65</f>
        <v>0</v>
      </c>
      <c r="Y94" s="48">
        <f>(PivotTables!Z65-PivotTables!Y65)/PivotTables!Y65</f>
        <v>-4.9715909090910296E-3</v>
      </c>
      <c r="Z94" s="48">
        <f>(PivotTables!AA65-PivotTables!Z65)/PivotTables!Z65</f>
        <v>-3.5688793718772309E-3</v>
      </c>
      <c r="AA94" s="48">
        <f>(PivotTables!AB65-PivotTables!AA65)/PivotTables!AA65</f>
        <v>2.1489971346705687E-3</v>
      </c>
      <c r="AB94" s="48">
        <f>(PivotTables!AC65-PivotTables!AB65)/PivotTables!AB65</f>
        <v>3.5739814152966403E-3</v>
      </c>
      <c r="AC94" s="48">
        <f>(PivotTables!AD65-PivotTables!AC65)/PivotTables!AC65</f>
        <v>1.1396011396011355E-2</v>
      </c>
      <c r="AD94" s="48">
        <f>(PivotTables!AE65-PivotTables!AD65)/PivotTables!AD65</f>
        <v>6.3380281690141246E-3</v>
      </c>
      <c r="AE94" s="48">
        <f>(PivotTables!AF65-PivotTables!AE65)/PivotTables!AE65</f>
        <v>9.0972708187542547E-3</v>
      </c>
      <c r="AF94" s="48">
        <f>(PivotTables!AG65-PivotTables!AF65)/PivotTables!AF65</f>
        <v>5.5478502080444619E-3</v>
      </c>
      <c r="AG94" s="48">
        <f>(PivotTables!AH65-PivotTables!AG65)/PivotTables!AG65</f>
        <v>5.5172413793104233E-3</v>
      </c>
      <c r="AH94" s="48">
        <f>(PivotTables!AI65-PivotTables!AH65)/PivotTables!AH65</f>
        <v>9.6021947873798155E-3</v>
      </c>
      <c r="AI94" s="48">
        <f>(PivotTables!AJ65-PivotTables!AI65)/PivotTables!AI65</f>
        <v>9.5108695652174301E-3</v>
      </c>
      <c r="AJ94" s="48">
        <f>(PivotTables!AK65-PivotTables!AJ65)/PivotTables!AJ65</f>
        <v>1.2113055181695904E-2</v>
      </c>
      <c r="AK94" s="48">
        <f>(PivotTables!AL65-PivotTables!AK65)/PivotTables!AK65</f>
        <v>-1.3297872340426666E-3</v>
      </c>
      <c r="AL94" s="48">
        <f>(PivotTables!AM65-PivotTables!AL65)/PivotTables!AL65</f>
        <v>-7.3235685752329853E-3</v>
      </c>
      <c r="AM94" s="48">
        <f>(PivotTables!AN65-PivotTables!AM65)/PivotTables!AM65</f>
        <v>-3.3534540576794099E-3</v>
      </c>
      <c r="AN94" s="48">
        <f>(PivotTables!AO65-PivotTables!AN65)/PivotTables!AN65</f>
        <v>4.7106325706594123E-3</v>
      </c>
      <c r="AO94" s="48">
        <f>(PivotTables!AP65-PivotTables!AO65)/PivotTables!AO65</f>
        <v>-5.507181662573496E-3</v>
      </c>
      <c r="AP94" s="48">
        <f>(PivotTables!AQ65-PivotTables!AP65)/PivotTables!AP65</f>
        <v>2.2375215146299681E-2</v>
      </c>
      <c r="AQ94" s="48">
        <f>(PivotTables!AR65-PivotTables!AQ65)/PivotTables!AQ65</f>
        <v>0</v>
      </c>
      <c r="AR94" s="48">
        <f>(PivotTables!AS65-PivotTables!AR65)/PivotTables!AR65</f>
        <v>1.3833992094861622E-2</v>
      </c>
      <c r="AS94" s="48">
        <f>(PivotTables!AT65-PivotTables!AS65)/PivotTables!AS65</f>
        <v>5.1981806367770167E-3</v>
      </c>
      <c r="AT94" s="48">
        <f>(PivotTables!AU65-PivotTables!AT65)/PivotTables!AT65</f>
        <v>1.0989010989011101E-2</v>
      </c>
      <c r="AU94" s="48">
        <f>(PivotTables!AV65-PivotTables!AU65)/PivotTables!AU65</f>
        <v>1.278772378516624E-2</v>
      </c>
      <c r="AV94" s="48">
        <f>(PivotTables!AW65-PivotTables!AV65)/PivotTables!AV65</f>
        <v>3.1565656565656565E-3</v>
      </c>
      <c r="AW94" s="48">
        <f>(PivotTables!AX65-PivotTables!AW65)/PivotTables!AW65</f>
        <v>-1.006922592825673E-2</v>
      </c>
      <c r="AX94" s="48">
        <f>(PivotTables!AY65-PivotTables!AX65)/PivotTables!AX65</f>
        <v>-4.4500953591863762E-3</v>
      </c>
      <c r="AY94" s="48">
        <f>(PivotTables!AZ65-PivotTables!AY65)/PivotTables!AY65</f>
        <v>1.2771392081737999E-3</v>
      </c>
      <c r="AZ94" s="48">
        <f>(PivotTables!BA65-PivotTables!AZ65)/PivotTables!AZ65</f>
        <v>6.3775510204081625E-3</v>
      </c>
      <c r="BA94" s="48">
        <f>(PivotTables!BB65-PivotTables!BA65)/PivotTables!BA65</f>
        <v>1.6476552598225565E-2</v>
      </c>
      <c r="BB94" s="48">
        <f>(PivotTables!BC65-PivotTables!BB65)/PivotTables!BB65</f>
        <v>5.6109725685785893E-3</v>
      </c>
      <c r="BC94" s="48">
        <f>(PivotTables!BD65-PivotTables!BC65)/PivotTables!BC65</f>
        <v>7.439553626782322E-3</v>
      </c>
      <c r="BD94" s="48">
        <f>(PivotTables!BE65-PivotTables!BD65)/PivotTables!BD65</f>
        <v>4.3076923076922381E-3</v>
      </c>
      <c r="BE94" s="48">
        <f>(PivotTables!BF65-PivotTables!BE65)/PivotTables!BE65</f>
        <v>0</v>
      </c>
      <c r="BF94" s="48">
        <f>(PivotTables!BG65-PivotTables!BF65)/PivotTables!BF65</f>
        <v>1.4093137254902032E-2</v>
      </c>
      <c r="BG94" s="48">
        <f>(PivotTables!BH65-PivotTables!BG65)/PivotTables!BG65</f>
        <v>7.2507552870089949E-3</v>
      </c>
      <c r="BH94" s="48">
        <f>(PivotTables!BI65-PivotTables!BH65)/PivotTables!BH65</f>
        <v>-2.999400119976005E-3</v>
      </c>
      <c r="BI94" s="48">
        <f>(PivotTables!BJ65-PivotTables!BI65)/PivotTables!BI65</f>
        <v>-3.0084235860409147E-3</v>
      </c>
      <c r="BJ94" s="48">
        <f>(PivotTables!BK65-PivotTables!BJ65)/PivotTables!BJ65</f>
        <v>2.4140012070006378E-3</v>
      </c>
      <c r="BK94" s="48">
        <f>(PivotTables!BL65-PivotTables!BK65)/PivotTables!BK65</f>
        <v>9.6327513546056245E-3</v>
      </c>
      <c r="BL94" s="48">
        <f>(PivotTables!BM65-PivotTables!BL65)/PivotTables!BL65</f>
        <v>1.4311270125223648E-2</v>
      </c>
      <c r="BM94" s="48">
        <f>(PivotTables!BN65-PivotTables!BM65)/PivotTables!BM65</f>
        <v>9.4062316284538178E-3</v>
      </c>
      <c r="BN94" s="48">
        <f>(PivotTables!BO65-PivotTables!BN65)/PivotTables!BN65</f>
        <v>5.2417006406523343E-3</v>
      </c>
      <c r="BO94" s="48">
        <f>(PivotTables!BP65-PivotTables!BO65)/PivotTables!BO65</f>
        <v>4.634994206257308E-3</v>
      </c>
      <c r="BP94" s="48">
        <f>(PivotTables!BQ65-PivotTables!BP65)/PivotTables!BP65</f>
        <v>5.1903114186851538E-3</v>
      </c>
      <c r="BQ94" s="48">
        <f>(PivotTables!BR65-PivotTables!BQ65)/PivotTables!BQ65</f>
        <v>5.737234652897303E-3</v>
      </c>
      <c r="BR94" s="48">
        <f>(PivotTables!BS65-PivotTables!BR65)/PivotTables!BR65</f>
        <v>7.9863091842554308E-3</v>
      </c>
      <c r="BS94" s="48">
        <f>(PivotTables!BT65-PivotTables!BS65)/PivotTables!BS65</f>
        <v>-1.1318619128465684E-3</v>
      </c>
      <c r="BT94" s="48">
        <f>(PivotTables!BU65-PivotTables!BT65)/PivotTables!BT65</f>
        <v>-4.5325779036827843E-3</v>
      </c>
      <c r="BU94" s="48">
        <f>(PivotTables!BV65-PivotTables!BU65)/PivotTables!BU65</f>
        <v>4.5532157085942599E-3</v>
      </c>
      <c r="BV94" s="48">
        <f>(PivotTables!BW65-PivotTables!BV65)/PivotTables!BV65</f>
        <v>3.9660056657223148E-3</v>
      </c>
      <c r="BW94" s="48">
        <f>(PivotTables!BX65-PivotTables!BW65)/PivotTables!BW65</f>
        <v>0</v>
      </c>
      <c r="BX94" s="48">
        <f>(PivotTables!BY65-PivotTables!BX65)/PivotTables!BX65</f>
        <v>5.0790067720090613E-3</v>
      </c>
      <c r="BY94" s="49">
        <f>(PivotTables!BZ65-PivotTables!BY65)/PivotTables!BY65</f>
        <v>5.614823133071308E-3</v>
      </c>
    </row>
    <row r="95" spans="1:77" x14ac:dyDescent="0.3">
      <c r="A95" s="30" t="str">
        <f>PivotTables!A66</f>
        <v>Rural</v>
      </c>
      <c r="B95" s="48">
        <f>(PivotTables!C66-PivotTables!B66)/PivotTables!B66</f>
        <v>-3.012048192771127E-3</v>
      </c>
      <c r="C95" s="48">
        <f>(PivotTables!D66-PivotTables!C66)/PivotTables!C66</f>
        <v>1.5105740181268023E-3</v>
      </c>
      <c r="D95" s="48">
        <f>(PivotTables!E66-PivotTables!D66)/PivotTables!D66</f>
        <v>1.5082956259428134E-3</v>
      </c>
      <c r="E95" s="48">
        <f>(PivotTables!F66-PivotTables!E66)/PivotTables!E66</f>
        <v>7.5301204819272819E-4</v>
      </c>
      <c r="F95" s="48">
        <f>(PivotTables!G66-PivotTables!F66)/PivotTables!F66</f>
        <v>3.0097817908202084E-3</v>
      </c>
      <c r="G95" s="48">
        <f>(PivotTables!H66-PivotTables!G66)/PivotTables!G66</f>
        <v>4.5011252813202873E-3</v>
      </c>
      <c r="H95" s="48">
        <f>(PivotTables!I66-PivotTables!H66)/PivotTables!H66</f>
        <v>1.7176997759521903E-2</v>
      </c>
      <c r="I95" s="48">
        <f>(PivotTables!J66-PivotTables!I66)/PivotTables!I66</f>
        <v>1.174743024963306E-2</v>
      </c>
      <c r="J95" s="48">
        <f>(PivotTables!K66-PivotTables!J66)/PivotTables!J66</f>
        <v>-1.4513788098694995E-3</v>
      </c>
      <c r="K95" s="48">
        <f>(PivotTables!L66-PivotTables!K66)/PivotTables!K66</f>
        <v>5.0872093023257058E-3</v>
      </c>
      <c r="L95" s="48">
        <f>(PivotTables!M66-PivotTables!L66)/PivotTables!L66</f>
        <v>1.229211858279095E-2</v>
      </c>
      <c r="M95" s="48">
        <f>(PivotTables!N66-PivotTables!M66)/PivotTables!M66</f>
        <v>-1.4285714285713475E-3</v>
      </c>
      <c r="N95" s="48">
        <f>(PivotTables!O66-PivotTables!N66)/PivotTables!N66</f>
        <v>-3.5765379113018594E-3</v>
      </c>
      <c r="O95" s="48">
        <f>(PivotTables!P66-PivotTables!O66)/PivotTables!O66</f>
        <v>-5.7430007178751706E-3</v>
      </c>
      <c r="P95" s="48">
        <f>(PivotTables!Q66-PivotTables!P66)/PivotTables!P66</f>
        <v>1.4440433212995569E-3</v>
      </c>
      <c r="Q95" s="48">
        <f>(PivotTables!R66-PivotTables!Q66)/PivotTables!Q66</f>
        <v>2.8839221341024203E-3</v>
      </c>
      <c r="R95" s="48">
        <f>(PivotTables!S66-PivotTables!R66)/PivotTables!R66</f>
        <v>5.0323508267434728E-3</v>
      </c>
      <c r="S95" s="48">
        <f>(PivotTables!T66-PivotTables!S66)/PivotTables!S66</f>
        <v>5.0071530758225222E-3</v>
      </c>
      <c r="T95" s="48">
        <f>(PivotTables!U66-PivotTables!T66)/PivotTables!T66</f>
        <v>9.2526690391459884E-3</v>
      </c>
      <c r="U95" s="48">
        <f>(PivotTables!V66-PivotTables!U66)/PivotTables!U66</f>
        <v>4.9365303244004836E-3</v>
      </c>
      <c r="V95" s="48">
        <f>(PivotTables!W66-PivotTables!V66)/PivotTables!V66</f>
        <v>-2.8070175438596888E-3</v>
      </c>
      <c r="W95" s="48">
        <f>(PivotTables!X66-PivotTables!W66)/PivotTables!W66</f>
        <v>7.0372976776913662E-4</v>
      </c>
      <c r="X95" s="48">
        <f>(PivotTables!Y66-PivotTables!X66)/PivotTables!X66</f>
        <v>1.4064697609002606E-3</v>
      </c>
      <c r="Y95" s="48">
        <f>(PivotTables!Z66-PivotTables!Y66)/PivotTables!Y66</f>
        <v>-3.5112359550561797E-3</v>
      </c>
      <c r="Z95" s="48">
        <f>(PivotTables!AA66-PivotTables!Z66)/PivotTables!Z66</f>
        <v>-6.3424947145877776E-3</v>
      </c>
      <c r="AA95" s="48">
        <f>(PivotTables!AB66-PivotTables!AA66)/PivotTables!AA66</f>
        <v>0</v>
      </c>
      <c r="AB95" s="48">
        <f>(PivotTables!AC66-PivotTables!AB66)/PivotTables!AB66</f>
        <v>1.4184397163119762E-3</v>
      </c>
      <c r="AC95" s="48">
        <f>(PivotTables!AD66-PivotTables!AC66)/PivotTables!AC66</f>
        <v>8.4985835694052214E-3</v>
      </c>
      <c r="AD95" s="48">
        <f>(PivotTables!AE66-PivotTables!AD66)/PivotTables!AD66</f>
        <v>8.4269662921347514E-3</v>
      </c>
      <c r="AE95" s="48">
        <f>(PivotTables!AF66-PivotTables!AE66)/PivotTables!AE66</f>
        <v>9.0529247910864311E-3</v>
      </c>
      <c r="AF95" s="48">
        <f>(PivotTables!AG66-PivotTables!AF66)/PivotTables!AF66</f>
        <v>5.521048999309751E-3</v>
      </c>
      <c r="AG95" s="48">
        <f>(PivotTables!AH66-PivotTables!AG66)/PivotTables!AG66</f>
        <v>6.8634179821551134E-3</v>
      </c>
      <c r="AH95" s="48">
        <f>(PivotTables!AI66-PivotTables!AH66)/PivotTables!AH66</f>
        <v>1.0906612133606155E-2</v>
      </c>
      <c r="AI95" s="48">
        <f>(PivotTables!AJ66-PivotTables!AI66)/PivotTables!AI66</f>
        <v>1.0788941335131452E-2</v>
      </c>
      <c r="AJ95" s="48">
        <f>(PivotTables!AK66-PivotTables!AJ66)/PivotTables!AJ66</f>
        <v>1.6010673782521717E-2</v>
      </c>
      <c r="AK95" s="48">
        <f>(PivotTables!AL66-PivotTables!AK66)/PivotTables!AK66</f>
        <v>-2.6263952724885466E-3</v>
      </c>
      <c r="AL95" s="48">
        <f>(PivotTables!AM66-PivotTables!AL66)/PivotTables!AL66</f>
        <v>-9.8749177090190904E-3</v>
      </c>
      <c r="AM95" s="48">
        <f>(PivotTables!AN66-PivotTables!AM66)/PivotTables!AM66</f>
        <v>-3.989361702127622E-3</v>
      </c>
      <c r="AN95" s="48">
        <f>(PivotTables!AO66-PivotTables!AN66)/PivotTables!AN66</f>
        <v>6.0080106809079145E-3</v>
      </c>
      <c r="AO95" s="48">
        <f>(PivotTables!AP66-PivotTables!AO66)/PivotTables!AO66</f>
        <v>-2.6542800265426489E-3</v>
      </c>
      <c r="AP95" s="48">
        <f>(PivotTables!AQ66-PivotTables!AP66)/PivotTables!AP66</f>
        <v>1.5968063872255144E-2</v>
      </c>
      <c r="AQ95" s="48">
        <f>(PivotTables!AR66-PivotTables!AQ66)/PivotTables!AQ66</f>
        <v>0</v>
      </c>
      <c r="AR95" s="48">
        <f>(PivotTables!AS66-PivotTables!AR66)/PivotTables!AR66</f>
        <v>1.3097576948264572E-2</v>
      </c>
      <c r="AS95" s="48">
        <f>(PivotTables!AT66-PivotTables!AS66)/PivotTables!AS66</f>
        <v>4.5248868778281649E-3</v>
      </c>
      <c r="AT95" s="48">
        <f>(PivotTables!AU66-PivotTables!AT66)/PivotTables!AT66</f>
        <v>1.3513513513513476E-2</v>
      </c>
      <c r="AU95" s="48">
        <f>(PivotTables!AV66-PivotTables!AU66)/PivotTables!AU66</f>
        <v>1.4603174603174675E-2</v>
      </c>
      <c r="AV95" s="48">
        <f>(PivotTables!AW66-PivotTables!AV66)/PivotTables!AV66</f>
        <v>5.6320400500624356E-3</v>
      </c>
      <c r="AW95" s="48">
        <f>(PivotTables!AX66-PivotTables!AW66)/PivotTables!AW66</f>
        <v>-1.3690105787181012E-2</v>
      </c>
      <c r="AX95" s="48">
        <f>(PivotTables!AY66-PivotTables!AX66)/PivotTables!AX66</f>
        <v>-1.135646687697168E-2</v>
      </c>
      <c r="AY95" s="48">
        <f>(PivotTables!AZ66-PivotTables!AY66)/PivotTables!AY66</f>
        <v>0</v>
      </c>
      <c r="AZ95" s="48">
        <f>(PivotTables!BA66-PivotTables!AZ66)/PivotTables!AZ66</f>
        <v>5.7434588385450267E-3</v>
      </c>
      <c r="BA95" s="48">
        <f>(PivotTables!BB66-PivotTables!BA66)/PivotTables!BA66</f>
        <v>2.2208121827411168E-2</v>
      </c>
      <c r="BB95" s="48">
        <f>(PivotTables!BC66-PivotTables!BB66)/PivotTables!BB66</f>
        <v>6.2073246430788334E-3</v>
      </c>
      <c r="BC95" s="48">
        <f>(PivotTables!BD66-PivotTables!BC66)/PivotTables!BC66</f>
        <v>6.7859346082664671E-3</v>
      </c>
      <c r="BD95" s="48">
        <f>(PivotTables!BE66-PivotTables!BD66)/PivotTables!BD66</f>
        <v>2.4509803921568978E-3</v>
      </c>
      <c r="BE95" s="48">
        <f>(PivotTables!BF66-PivotTables!BE66)/PivotTables!BE66</f>
        <v>2.4449877750611594E-3</v>
      </c>
      <c r="BF95" s="48">
        <f>(PivotTables!BG66-PivotTables!BF66)/PivotTables!BF66</f>
        <v>1.4024390243902509E-2</v>
      </c>
      <c r="BG95" s="48">
        <f>(PivotTables!BH66-PivotTables!BG66)/PivotTables!BG66</f>
        <v>7.8171978352374188E-3</v>
      </c>
      <c r="BH95" s="48">
        <f>(PivotTables!BI66-PivotTables!BH66)/PivotTables!BH66</f>
        <v>-3.579952267303069E-3</v>
      </c>
      <c r="BI95" s="48">
        <f>(PivotTables!BJ66-PivotTables!BI66)/PivotTables!BI66</f>
        <v>-3.5928143712574512E-3</v>
      </c>
      <c r="BJ95" s="48">
        <f>(PivotTables!BK66-PivotTables!BJ66)/PivotTables!BJ66</f>
        <v>1.8028846153845129E-3</v>
      </c>
      <c r="BK95" s="48">
        <f>(PivotTables!BL66-PivotTables!BK66)/PivotTables!BK66</f>
        <v>1.199760047990402E-2</v>
      </c>
      <c r="BL95" s="48">
        <f>(PivotTables!BM66-PivotTables!BL66)/PivotTables!BL66</f>
        <v>1.2448132780083124E-2</v>
      </c>
      <c r="BM95" s="48">
        <f>(PivotTables!BN66-PivotTables!BM66)/PivotTables!BM66</f>
        <v>9.9531615925057878E-3</v>
      </c>
      <c r="BN95" s="48">
        <f>(PivotTables!BO66-PivotTables!BN66)/PivotTables!BN66</f>
        <v>6.3768115942028653E-3</v>
      </c>
      <c r="BO95" s="48">
        <f>(PivotTables!BP66-PivotTables!BO66)/PivotTables!BO66</f>
        <v>4.0322580645162278E-3</v>
      </c>
      <c r="BP95" s="48">
        <f>(PivotTables!BQ66-PivotTables!BP66)/PivotTables!BP66</f>
        <v>5.737234652897303E-3</v>
      </c>
      <c r="BQ95" s="48">
        <f>(PivotTables!BR66-PivotTables!BQ66)/PivotTables!BQ66</f>
        <v>6.2749572162007659E-3</v>
      </c>
      <c r="BR95" s="48">
        <f>(PivotTables!BS66-PivotTables!BR66)/PivotTables!BR66</f>
        <v>8.5034013605442167E-3</v>
      </c>
      <c r="BS95" s="48">
        <f>(PivotTables!BT66-PivotTables!BS66)/PivotTables!BS66</f>
        <v>-5.6211354693644919E-4</v>
      </c>
      <c r="BT95" s="48">
        <f>(PivotTables!BU66-PivotTables!BT66)/PivotTables!BT66</f>
        <v>-3.9370078740158434E-3</v>
      </c>
      <c r="BU95" s="48">
        <f>(PivotTables!BV66-PivotTables!BU66)/PivotTables!BU66</f>
        <v>3.9525691699605703E-3</v>
      </c>
      <c r="BV95" s="48">
        <f>(PivotTables!BW66-PivotTables!BV66)/PivotTables!BV66</f>
        <v>1.1248593925758639E-3</v>
      </c>
      <c r="BW95" s="48">
        <f>(PivotTables!BX66-PivotTables!BW66)/PivotTables!BW66</f>
        <v>0</v>
      </c>
      <c r="BX95" s="48">
        <f>(PivotTables!BY66-PivotTables!BX66)/PivotTables!BX66</f>
        <v>4.4943820224719738E-3</v>
      </c>
      <c r="BY95" s="49">
        <f>(PivotTables!BZ66-PivotTables!BY66)/PivotTables!BY66</f>
        <v>5.5928411633109614E-3</v>
      </c>
    </row>
    <row r="96" spans="1:77" ht="15" thickBot="1" x14ac:dyDescent="0.35">
      <c r="A96" s="31" t="str">
        <f>PivotTables!A67</f>
        <v>Urban</v>
      </c>
      <c r="B96" s="50">
        <f>(PivotTables!C67-PivotTables!B67)/PivotTables!B67</f>
        <v>1.5673981191222793E-3</v>
      </c>
      <c r="C96" s="50">
        <f>(PivotTables!D67-PivotTables!C67)/PivotTables!C67</f>
        <v>3.1298904538340491E-3</v>
      </c>
      <c r="D96" s="50">
        <f>(PivotTables!E67-PivotTables!D67)/PivotTables!D67</f>
        <v>3.9001560062402497E-3</v>
      </c>
      <c r="E96" s="50">
        <f>(PivotTables!F67-PivotTables!E67)/PivotTables!E67</f>
        <v>3.1080031080031522E-3</v>
      </c>
      <c r="F96" s="50">
        <f>(PivotTables!G67-PivotTables!F67)/PivotTables!F67</f>
        <v>1.54918667699471E-3</v>
      </c>
      <c r="G96" s="50">
        <f>(PivotTables!H67-PivotTables!G67)/PivotTables!G67</f>
        <v>4.6403712296983314E-3</v>
      </c>
      <c r="H96" s="50">
        <f>(PivotTables!I67-PivotTables!H67)/PivotTables!H67</f>
        <v>1.4626635873749081E-2</v>
      </c>
      <c r="I96" s="50">
        <f>(PivotTables!J67-PivotTables!I67)/PivotTables!I67</f>
        <v>6.8285280728374595E-3</v>
      </c>
      <c r="J96" s="50">
        <f>(PivotTables!K67-PivotTables!J67)/PivotTables!J67</f>
        <v>-2.2607385079124564E-3</v>
      </c>
      <c r="K96" s="50">
        <f>(PivotTables!L67-PivotTables!K67)/PivotTables!K67</f>
        <v>8.308157099697842E-3</v>
      </c>
      <c r="L96" s="50">
        <f>(PivotTables!M67-PivotTables!L67)/PivotTables!L67</f>
        <v>9.7378277153558901E-3</v>
      </c>
      <c r="M96" s="50">
        <f>(PivotTables!N67-PivotTables!M67)/PivotTables!M67</f>
        <v>-5.1928783382790581E-3</v>
      </c>
      <c r="N96" s="50">
        <f>(PivotTables!O67-PivotTables!N67)/PivotTables!N67</f>
        <v>0</v>
      </c>
      <c r="O96" s="50">
        <f>(PivotTables!P67-PivotTables!O67)/PivotTables!O67</f>
        <v>-7.4571215510808593E-4</v>
      </c>
      <c r="P96" s="50">
        <f>(PivotTables!Q67-PivotTables!P67)/PivotTables!P67</f>
        <v>0</v>
      </c>
      <c r="Q96" s="50">
        <f>(PivotTables!R67-PivotTables!Q67)/PivotTables!Q67</f>
        <v>5.9701492537314283E-3</v>
      </c>
      <c r="R96" s="50">
        <f>(PivotTables!S67-PivotTables!R67)/PivotTables!R67</f>
        <v>4.4510385756676134E-3</v>
      </c>
      <c r="S96" s="50">
        <f>(PivotTables!T67-PivotTables!S67)/PivotTables!S67</f>
        <v>5.9084194977842164E-3</v>
      </c>
      <c r="T96" s="50">
        <f>(PivotTables!U67-PivotTables!T67)/PivotTables!T67</f>
        <v>9.54478707782681E-3</v>
      </c>
      <c r="U96" s="50">
        <f>(PivotTables!V67-PivotTables!U67)/PivotTables!U67</f>
        <v>3.6363636363636364E-3</v>
      </c>
      <c r="V96" s="50">
        <f>(PivotTables!W67-PivotTables!V67)/PivotTables!V67</f>
        <v>7.246376811593791E-4</v>
      </c>
      <c r="W96" s="50">
        <f>(PivotTables!X67-PivotTables!W67)/PivotTables!W67</f>
        <v>5.7929036929761871E-3</v>
      </c>
      <c r="X96" s="50">
        <f>(PivotTables!Y67-PivotTables!X67)/PivotTables!X67</f>
        <v>7.1994240460759049E-4</v>
      </c>
      <c r="Y96" s="50">
        <f>(PivotTables!Z67-PivotTables!Y67)/PivotTables!Y67</f>
        <v>-7.1942446043165471E-3</v>
      </c>
      <c r="Z96" s="50">
        <f>(PivotTables!AA67-PivotTables!Z67)/PivotTables!Z67</f>
        <v>0</v>
      </c>
      <c r="AA96" s="50">
        <f>(PivotTables!AB67-PivotTables!AA67)/PivotTables!AA67</f>
        <v>4.3478260869564802E-3</v>
      </c>
      <c r="AB96" s="50">
        <f>(PivotTables!AC67-PivotTables!AB67)/PivotTables!AB67</f>
        <v>6.4935064935065347E-3</v>
      </c>
      <c r="AC96" s="50">
        <f>(PivotTables!AD67-PivotTables!AC67)/PivotTables!AC67</f>
        <v>1.4336917562724014E-2</v>
      </c>
      <c r="AD96" s="50">
        <f>(PivotTables!AE67-PivotTables!AD67)/PivotTables!AD67</f>
        <v>4.2402826855123272E-3</v>
      </c>
      <c r="AE96" s="50">
        <f>(PivotTables!AF67-PivotTables!AE67)/PivotTables!AE67</f>
        <v>8.4447572132302397E-3</v>
      </c>
      <c r="AF96" s="50">
        <f>(PivotTables!AG67-PivotTables!AF67)/PivotTables!AF67</f>
        <v>6.2805303558965608E-3</v>
      </c>
      <c r="AG96" s="50">
        <f>(PivotTables!AH67-PivotTables!AG67)/PivotTables!AG67</f>
        <v>3.4674063800277394E-3</v>
      </c>
      <c r="AH96" s="50">
        <f>(PivotTables!AI67-PivotTables!AH67)/PivotTables!AH67</f>
        <v>8.9841050449206046E-3</v>
      </c>
      <c r="AI96" s="50">
        <f>(PivotTables!AJ67-PivotTables!AI67)/PivotTables!AI67</f>
        <v>6.8493150684931503E-3</v>
      </c>
      <c r="AJ96" s="50">
        <f>(PivotTables!AK67-PivotTables!AJ67)/PivotTables!AJ67</f>
        <v>8.8435374149660635E-3</v>
      </c>
      <c r="AK96" s="50">
        <f>(PivotTables!AL67-PivotTables!AK67)/PivotTables!AK67</f>
        <v>-6.7430883344587144E-4</v>
      </c>
      <c r="AL96" s="50">
        <f>(PivotTables!AM67-PivotTables!AL67)/PivotTables!AL67</f>
        <v>-3.3738191632928477E-3</v>
      </c>
      <c r="AM96" s="50">
        <f>(PivotTables!AN67-PivotTables!AM67)/PivotTables!AM67</f>
        <v>-2.7081922816518437E-3</v>
      </c>
      <c r="AN96" s="50">
        <f>(PivotTables!AO67-PivotTables!AN67)/PivotTables!AN67</f>
        <v>2.9418420457115319E-3</v>
      </c>
      <c r="AO96" s="50">
        <f>(PivotTables!AP67-PivotTables!AO67)/PivotTables!AO67</f>
        <v>2.4819494584838058E-3</v>
      </c>
      <c r="AP96" s="50">
        <f>(PivotTables!AQ67-PivotTables!AP67)/PivotTables!AP67</f>
        <v>1.8230925050641573E-2</v>
      </c>
      <c r="AQ96" s="50">
        <f>(PivotTables!AR67-PivotTables!AQ67)/PivotTables!AQ67</f>
        <v>0</v>
      </c>
      <c r="AR96" s="50">
        <f>(PivotTables!AS67-PivotTables!AR67)/PivotTables!AR67</f>
        <v>1.3925729442970783E-2</v>
      </c>
      <c r="AS96" s="50">
        <f>(PivotTables!AT67-PivotTables!AS67)/PivotTables!AS67</f>
        <v>7.194244604316509E-3</v>
      </c>
      <c r="AT96" s="50">
        <f>(PivotTables!AU67-PivotTables!AT67)/PivotTables!AT67</f>
        <v>7.7922077922077185E-3</v>
      </c>
      <c r="AU96" s="50">
        <f>(PivotTables!AV67-PivotTables!AU67)/PivotTables!AU67</f>
        <v>9.6649484536082478E-3</v>
      </c>
      <c r="AV96" s="50">
        <f>(PivotTables!AW67-PivotTables!AV67)/PivotTables!AV67</f>
        <v>1.2763241863434401E-3</v>
      </c>
      <c r="AW96" s="50">
        <f>(PivotTables!AX67-PivotTables!AW67)/PivotTables!AW67</f>
        <v>-5.7361376673040511E-3</v>
      </c>
      <c r="AX96" s="50">
        <f>(PivotTables!AY67-PivotTables!AX67)/PivotTables!AX67</f>
        <v>3.205128205128205E-3</v>
      </c>
      <c r="AY96" s="50">
        <f>(PivotTables!AZ67-PivotTables!AY67)/PivotTables!AY67</f>
        <v>2.5559105431310269E-3</v>
      </c>
      <c r="AZ96" s="50">
        <f>(PivotTables!BA67-PivotTables!AZ67)/PivotTables!AZ67</f>
        <v>7.0108349267048713E-3</v>
      </c>
      <c r="BA96" s="50">
        <f>(PivotTables!BB67-PivotTables!BA67)/PivotTables!BA67</f>
        <v>9.4936708860759497E-3</v>
      </c>
      <c r="BB96" s="50">
        <f>(PivotTables!BC67-PivotTables!BB67)/PivotTables!BB67</f>
        <v>5.6426332288401614E-3</v>
      </c>
      <c r="BC96" s="50">
        <f>(PivotTables!BD67-PivotTables!BC67)/PivotTables!BC67</f>
        <v>8.7281795511222303E-3</v>
      </c>
      <c r="BD96" s="50">
        <f>(PivotTables!BE67-PivotTables!BD67)/PivotTables!BD67</f>
        <v>3.0902348578491965E-3</v>
      </c>
      <c r="BE96" s="50">
        <f>(PivotTables!BF67-PivotTables!BE67)/PivotTables!BE67</f>
        <v>0</v>
      </c>
      <c r="BF96" s="50">
        <f>(PivotTables!BG67-PivotTables!BF67)/PivotTables!BF67</f>
        <v>1.4171287738755286E-2</v>
      </c>
      <c r="BG96" s="50">
        <f>(PivotTables!BH67-PivotTables!BG67)/PivotTables!BG67</f>
        <v>6.0753341433778859E-3</v>
      </c>
      <c r="BH96" s="50">
        <f>(PivotTables!BI67-PivotTables!BH67)/PivotTables!BH67</f>
        <v>-2.4154589371981022E-3</v>
      </c>
      <c r="BI96" s="50">
        <f>(PivotTables!BJ67-PivotTables!BI67)/PivotTables!BI67</f>
        <v>-1.2106537530265657E-3</v>
      </c>
      <c r="BJ96" s="50">
        <f>(PivotTables!BK67-PivotTables!BJ67)/PivotTables!BJ67</f>
        <v>3.0303030303030303E-3</v>
      </c>
      <c r="BK96" s="50">
        <f>(PivotTables!BL67-PivotTables!BK67)/PivotTables!BK67</f>
        <v>6.0422960725075529E-3</v>
      </c>
      <c r="BL96" s="50">
        <f>(PivotTables!BM67-PivotTables!BL67)/PivotTables!BL67</f>
        <v>1.6216216216216148E-2</v>
      </c>
      <c r="BM96" s="50">
        <f>(PivotTables!BN67-PivotTables!BM67)/PivotTables!BM67</f>
        <v>9.4562647754138467E-3</v>
      </c>
      <c r="BN96" s="50">
        <f>(PivotTables!BO67-PivotTables!BN67)/PivotTables!BN67</f>
        <v>3.5128805620608565E-3</v>
      </c>
      <c r="BO96" s="50">
        <f>(PivotTables!BP67-PivotTables!BO67)/PivotTables!BO67</f>
        <v>5.2508751458576761E-3</v>
      </c>
      <c r="BP96" s="50">
        <f>(PivotTables!BQ67-PivotTables!BP67)/PivotTables!BP67</f>
        <v>4.6430644225187636E-3</v>
      </c>
      <c r="BQ96" s="50">
        <f>(PivotTables!BR67-PivotTables!BQ67)/PivotTables!BQ67</f>
        <v>5.7770075101097633E-3</v>
      </c>
      <c r="BR96" s="50">
        <f>(PivotTables!BS67-PivotTables!BR67)/PivotTables!BR67</f>
        <v>6.8925904652499545E-3</v>
      </c>
      <c r="BS96" s="50">
        <f>(PivotTables!BT67-PivotTables!BS67)/PivotTables!BS67</f>
        <v>-6.8454078722191497E-3</v>
      </c>
      <c r="BT96" s="50">
        <f>(PivotTables!BU67-PivotTables!BT67)/PivotTables!BT67</f>
        <v>0</v>
      </c>
      <c r="BU96" s="50">
        <f>(PivotTables!BV67-PivotTables!BU67)/PivotTables!BU67</f>
        <v>4.5950603101666361E-3</v>
      </c>
      <c r="BV96" s="50">
        <f>(PivotTables!BW67-PivotTables!BV67)/PivotTables!BV67</f>
        <v>8.0045740423099233E-3</v>
      </c>
      <c r="BW96" s="50">
        <f>(PivotTables!BX67-PivotTables!BW67)/PivotTables!BW67</f>
        <v>0</v>
      </c>
      <c r="BX96" s="50">
        <f>(PivotTables!BY67-PivotTables!BX67)/PivotTables!BX67</f>
        <v>6.239364719228555E-3</v>
      </c>
      <c r="BY96" s="51">
        <f>(PivotTables!BZ67-PivotTables!BY67)/PivotTables!BY67</f>
        <v>4.5095828635850219E-3</v>
      </c>
    </row>
  </sheetData>
  <mergeCells count="13">
    <mergeCell ref="A92:BY92"/>
    <mergeCell ref="A1:S1"/>
    <mergeCell ref="B78:D78"/>
    <mergeCell ref="E78:G78"/>
    <mergeCell ref="A77:G77"/>
    <mergeCell ref="A54:B54"/>
    <mergeCell ref="D54:AG54"/>
    <mergeCell ref="G28:M28"/>
    <mergeCell ref="O28:AA28"/>
    <mergeCell ref="G4:S4"/>
    <mergeCell ref="A28:B28"/>
    <mergeCell ref="C28:D28"/>
    <mergeCell ref="A4:C4"/>
  </mergeCells>
  <conditionalFormatting sqref="B30:B36">
    <cfRule type="top10" dxfId="22" priority="35" rank="1"/>
  </conditionalFormatting>
  <conditionalFormatting sqref="H6:S18">
    <cfRule type="top10" dxfId="21" priority="23" bottom="1" rank="1"/>
    <cfRule type="top10" dxfId="20" priority="24" rank="1"/>
    <cfRule type="top10" dxfId="19" priority="33" rank="5"/>
  </conditionalFormatting>
  <conditionalFormatting sqref="B6:B14">
    <cfRule type="top10" dxfId="18" priority="29" rank="1"/>
  </conditionalFormatting>
  <conditionalFormatting sqref="D30:D39">
    <cfRule type="top10" dxfId="17" priority="16" rank="3"/>
  </conditionalFormatting>
  <conditionalFormatting sqref="P30:Z38">
    <cfRule type="top10" dxfId="16" priority="25" rank="1"/>
    <cfRule type="top10" dxfId="15" priority="26" rank="5"/>
  </conditionalFormatting>
  <conditionalFormatting sqref="H30:M38">
    <cfRule type="top10" dxfId="14" priority="9" rank="1"/>
    <cfRule type="top10" dxfId="13" priority="10" rank="10"/>
    <cfRule type="top10" dxfId="12" priority="11" rank="1"/>
  </conditionalFormatting>
  <conditionalFormatting sqref="B56:B64">
    <cfRule type="top10" dxfId="11" priority="7" rank="1"/>
    <cfRule type="top10" dxfId="10" priority="8" rank="5"/>
  </conditionalFormatting>
  <conditionalFormatting sqref="G66:AG71 AJ72:AO74 M73:AI75 AJ71 J72:AI72 AN56:AO71">
    <cfRule type="top10" dxfId="9" priority="3" rank="1"/>
    <cfRule type="top10" dxfId="8" priority="4" rank="10"/>
  </conditionalFormatting>
  <conditionalFormatting sqref="E56:AG65">
    <cfRule type="top10" dxfId="7" priority="1" rank="1"/>
    <cfRule type="top10" dxfId="6" priority="2" rank="10"/>
  </conditionalFormatting>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r2:uid="{5A09832E-A6D4-4368-A9DB-59AC815A6CB5}">
          <x14:colorSeries rgb="FF376092"/>
          <x14:colorNegative rgb="FFD00000"/>
          <x14:colorAxis rgb="FF000000"/>
          <x14:colorMarkers rgb="FFD00000"/>
          <x14:colorFirst rgb="FFD00000"/>
          <x14:colorLast rgb="FFD00000"/>
          <x14:colorHigh rgb="FFD00000"/>
          <x14:colorLow rgb="FFD00000"/>
          <x14:sparklines>
            <x14:sparkline>
              <xm:f>Analysis!P30:Z30</xm:f>
              <xm:sqref>AA30</xm:sqref>
            </x14:sparkline>
            <x14:sparkline>
              <xm:f>Analysis!P31:Z31</xm:f>
              <xm:sqref>AA31</xm:sqref>
            </x14:sparkline>
            <x14:sparkline>
              <xm:f>Analysis!P32:Z32</xm:f>
              <xm:sqref>AA32</xm:sqref>
            </x14:sparkline>
            <x14:sparkline>
              <xm:f>Analysis!P33:Z33</xm:f>
              <xm:sqref>AA33</xm:sqref>
            </x14:sparkline>
            <x14:sparkline>
              <xm:f>Analysis!P34:Z34</xm:f>
              <xm:sqref>AA34</xm:sqref>
            </x14:sparkline>
            <x14:sparkline>
              <xm:f>Analysis!P35:Z35</xm:f>
              <xm:sqref>AA35</xm:sqref>
            </x14:sparkline>
            <x14:sparkline>
              <xm:f>Analysis!P36:Z36</xm:f>
              <xm:sqref>AA36</xm:sqref>
            </x14:sparkline>
            <x14:sparkline>
              <xm:f>Analysis!P37:Z37</xm:f>
              <xm:sqref>AA37</xm:sqref>
            </x14:sparkline>
            <x14:sparkline>
              <xm:f>Analysis!P38:Z38</xm:f>
              <xm:sqref>AA38</xm:sqref>
            </x14:sparkline>
          </x14:sparklines>
        </x14:sparklineGroup>
        <x14:sparklineGroup displayEmptyCellsAs="gap" xr2:uid="{4A37EC2B-3960-400A-87DA-A02BC4CD8FE8}">
          <x14:colorSeries rgb="FF376092"/>
          <x14:colorNegative rgb="FFD00000"/>
          <x14:colorAxis rgb="FF000000"/>
          <x14:colorMarkers rgb="FFD00000"/>
          <x14:colorFirst rgb="FFD00000"/>
          <x14:colorLast rgb="FFD00000"/>
          <x14:colorHigh rgb="FFD00000"/>
          <x14:colorLow rgb="FFD00000"/>
          <x14:sparklines>
            <x14:sparkline>
              <xm:f>Analysis!B80:B89</xm:f>
              <xm:sqref>B90</xm:sqref>
            </x14:sparkline>
            <x14:sparkline>
              <xm:f>Analysis!C80:C89</xm:f>
              <xm:sqref>C90</xm:sqref>
            </x14:sparkline>
            <x14:sparkline>
              <xm:f>Analysis!D80:D89</xm:f>
              <xm:sqref>D90</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C9437-5179-4172-BBE5-BA4EA9D6F837}">
  <dimension ref="A1:AA1"/>
  <sheetViews>
    <sheetView showGridLines="0" tabSelected="1" zoomScale="85" zoomScaleNormal="85" workbookViewId="0">
      <selection activeCell="Z11" sqref="Z11"/>
    </sheetView>
  </sheetViews>
  <sheetFormatPr defaultRowHeight="14.4" x14ac:dyDescent="0.3"/>
  <cols>
    <col min="1" max="22" width="8.88671875" style="32"/>
    <col min="23" max="23" width="11.109375" style="32" customWidth="1"/>
    <col min="24" max="16384" width="8.88671875" style="32"/>
  </cols>
  <sheetData>
    <row r="1" spans="1:27" ht="29.4" x14ac:dyDescent="0.45">
      <c r="A1" s="97" t="s">
        <v>229</v>
      </c>
      <c r="B1" s="97"/>
      <c r="C1" s="97"/>
      <c r="D1" s="97"/>
      <c r="E1" s="97"/>
      <c r="F1" s="97"/>
      <c r="G1" s="97"/>
      <c r="H1" s="97"/>
      <c r="I1" s="97"/>
      <c r="J1" s="97"/>
      <c r="K1" s="97"/>
      <c r="L1" s="97"/>
      <c r="M1" s="97"/>
      <c r="N1" s="97"/>
      <c r="O1" s="97"/>
      <c r="P1" s="97"/>
      <c r="Q1" s="97"/>
      <c r="R1" s="97"/>
      <c r="S1" s="97"/>
      <c r="T1" s="97"/>
      <c r="U1" s="97"/>
      <c r="V1" s="97"/>
      <c r="W1" s="97"/>
      <c r="X1" s="97"/>
      <c r="Y1" s="97"/>
      <c r="Z1" s="97"/>
      <c r="AA1" s="97"/>
    </row>
  </sheetData>
  <mergeCells count="1">
    <mergeCell ref="A1:AA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7012-DB29-4D91-A9C5-530BA52D65FD}">
  <dimension ref="A1:J66"/>
  <sheetViews>
    <sheetView workbookViewId="0">
      <selection activeCell="F1" sqref="F1"/>
    </sheetView>
  </sheetViews>
  <sheetFormatPr defaultRowHeight="14.4" x14ac:dyDescent="0.3"/>
  <cols>
    <col min="1" max="1" width="84.6640625" bestFit="1" customWidth="1"/>
    <col min="9" max="9" width="30.44140625" bestFit="1" customWidth="1"/>
    <col min="10" max="10" width="19.88671875" bestFit="1" customWidth="1"/>
  </cols>
  <sheetData>
    <row r="1" spans="1:10" x14ac:dyDescent="0.3">
      <c r="B1" t="s">
        <v>197</v>
      </c>
      <c r="C1" t="s">
        <v>198</v>
      </c>
      <c r="D1" t="s">
        <v>210</v>
      </c>
      <c r="E1" t="s">
        <v>216</v>
      </c>
      <c r="I1" s="13" t="s">
        <v>193</v>
      </c>
      <c r="J1" s="14" t="s">
        <v>194</v>
      </c>
    </row>
    <row r="2" spans="1:10" x14ac:dyDescent="0.3">
      <c r="A2" s="5" t="s">
        <v>181</v>
      </c>
      <c r="B2">
        <f>COUNTA(Table1[#Headers])</f>
        <v>31</v>
      </c>
      <c r="C2">
        <f>COUNTA(CPI_Inflation_Data_Structured[#Headers])</f>
        <v>8</v>
      </c>
      <c r="D2">
        <f>COUNTA(CPIDataImputed[#Headers])</f>
        <v>8</v>
      </c>
      <c r="E2">
        <f>COUNTA(CPIDataImputed_Structured1[#Headers])</f>
        <v>7</v>
      </c>
      <c r="I2" s="15" t="s">
        <v>3</v>
      </c>
      <c r="J2" s="16" t="s">
        <v>188</v>
      </c>
    </row>
    <row r="3" spans="1:10" x14ac:dyDescent="0.3">
      <c r="A3" s="5" t="s">
        <v>182</v>
      </c>
      <c r="B3">
        <f>COUNTA(Table1[Sector])</f>
        <v>372</v>
      </c>
      <c r="C3">
        <f>COUNTA(CPI_Inflation_Data_Structured[Year])</f>
        <v>3348</v>
      </c>
      <c r="D3">
        <f>COUNTA(CPIDataImputed[Year])</f>
        <v>3348</v>
      </c>
      <c r="E3">
        <f>COUNTA(CPIDataImputed_Structured1[Year])</f>
        <v>10044</v>
      </c>
      <c r="I3" s="15" t="s">
        <v>4</v>
      </c>
      <c r="J3" s="16" t="s">
        <v>188</v>
      </c>
    </row>
    <row r="4" spans="1:10" x14ac:dyDescent="0.3">
      <c r="A4" s="5" t="s">
        <v>183</v>
      </c>
      <c r="B4">
        <f>COUNTBLANK(Table1[])</f>
        <v>0</v>
      </c>
      <c r="C4">
        <f>COUNTBLANK(CPI_Inflation_Data_Structured[])</f>
        <v>0</v>
      </c>
      <c r="D4">
        <f>COUNTBLANK(CPIDataImputed[#All])</f>
        <v>0</v>
      </c>
      <c r="E4">
        <f>COUNTBLANK(CPIDataImputed_Structured1[])</f>
        <v>0</v>
      </c>
      <c r="I4" s="15" t="s">
        <v>5</v>
      </c>
      <c r="J4" s="16" t="s">
        <v>188</v>
      </c>
    </row>
    <row r="5" spans="1:10" x14ac:dyDescent="0.3">
      <c r="A5" s="5" t="s">
        <v>184</v>
      </c>
      <c r="I5" s="15" t="s">
        <v>6</v>
      </c>
      <c r="J5" s="16" t="s">
        <v>188</v>
      </c>
    </row>
    <row r="6" spans="1:10" x14ac:dyDescent="0.3">
      <c r="A6" s="5"/>
      <c r="I6" s="15" t="s">
        <v>7</v>
      </c>
      <c r="J6" s="16" t="s">
        <v>188</v>
      </c>
    </row>
    <row r="7" spans="1:10" x14ac:dyDescent="0.3">
      <c r="A7" s="19" t="s">
        <v>196</v>
      </c>
      <c r="I7" s="15" t="s">
        <v>8</v>
      </c>
      <c r="J7" s="16" t="s">
        <v>188</v>
      </c>
    </row>
    <row r="8" spans="1:10" x14ac:dyDescent="0.3">
      <c r="A8" s="19"/>
      <c r="I8" s="15" t="s">
        <v>9</v>
      </c>
      <c r="J8" s="16" t="s">
        <v>188</v>
      </c>
    </row>
    <row r="9" spans="1:10" x14ac:dyDescent="0.3">
      <c r="A9" t="s">
        <v>199</v>
      </c>
      <c r="I9" s="15" t="s">
        <v>10</v>
      </c>
      <c r="J9" s="16" t="s">
        <v>188</v>
      </c>
    </row>
    <row r="10" spans="1:10" x14ac:dyDescent="0.3">
      <c r="I10" s="15" t="s">
        <v>11</v>
      </c>
      <c r="J10" s="16" t="s">
        <v>188</v>
      </c>
    </row>
    <row r="11" spans="1:10" x14ac:dyDescent="0.3">
      <c r="A11" s="5" t="s">
        <v>200</v>
      </c>
      <c r="I11" s="15" t="s">
        <v>12</v>
      </c>
      <c r="J11" s="16" t="s">
        <v>188</v>
      </c>
    </row>
    <row r="12" spans="1:10" x14ac:dyDescent="0.3">
      <c r="A12" s="6" t="s">
        <v>185</v>
      </c>
      <c r="I12" s="15" t="s">
        <v>13</v>
      </c>
      <c r="J12" s="16" t="s">
        <v>188</v>
      </c>
    </row>
    <row r="13" spans="1:10" x14ac:dyDescent="0.3">
      <c r="A13" s="7" t="s">
        <v>4</v>
      </c>
      <c r="I13" s="15" t="s">
        <v>14</v>
      </c>
      <c r="J13" s="16" t="s">
        <v>188</v>
      </c>
    </row>
    <row r="14" spans="1:10" x14ac:dyDescent="0.3">
      <c r="A14" s="7" t="s">
        <v>14</v>
      </c>
      <c r="I14" s="15" t="s">
        <v>15</v>
      </c>
      <c r="J14" s="16" t="s">
        <v>188</v>
      </c>
    </row>
    <row r="15" spans="1:10" x14ac:dyDescent="0.3">
      <c r="A15" s="7" t="s">
        <v>16</v>
      </c>
      <c r="I15" s="15" t="s">
        <v>16</v>
      </c>
      <c r="J15" s="16" t="s">
        <v>192</v>
      </c>
    </row>
    <row r="16" spans="1:10" x14ac:dyDescent="0.3">
      <c r="A16" s="7" t="s">
        <v>17</v>
      </c>
      <c r="I16" s="15" t="s">
        <v>17</v>
      </c>
      <c r="J16" s="16" t="s">
        <v>189</v>
      </c>
    </row>
    <row r="17" spans="1:10" x14ac:dyDescent="0.3">
      <c r="A17" s="7" t="s">
        <v>18</v>
      </c>
      <c r="I17" s="15" t="s">
        <v>18</v>
      </c>
      <c r="J17" s="16" t="s">
        <v>189</v>
      </c>
    </row>
    <row r="18" spans="1:10" x14ac:dyDescent="0.3">
      <c r="A18" s="7" t="s">
        <v>19</v>
      </c>
      <c r="I18" s="15" t="s">
        <v>19</v>
      </c>
      <c r="J18" s="16" t="s">
        <v>189</v>
      </c>
    </row>
    <row r="19" spans="1:10" x14ac:dyDescent="0.3">
      <c r="A19" s="7" t="s">
        <v>22</v>
      </c>
      <c r="I19" s="15" t="s">
        <v>21</v>
      </c>
      <c r="J19" s="16" t="s">
        <v>190</v>
      </c>
    </row>
    <row r="20" spans="1:10" x14ac:dyDescent="0.3">
      <c r="A20" s="7" t="s">
        <v>24</v>
      </c>
      <c r="I20" s="15" t="s">
        <v>22</v>
      </c>
      <c r="J20" s="16" t="s">
        <v>20</v>
      </c>
    </row>
    <row r="21" spans="1:10" x14ac:dyDescent="0.3">
      <c r="A21" s="7" t="s">
        <v>25</v>
      </c>
      <c r="I21" s="15" t="s">
        <v>23</v>
      </c>
      <c r="J21" s="16" t="s">
        <v>23</v>
      </c>
    </row>
    <row r="22" spans="1:10" x14ac:dyDescent="0.3">
      <c r="A22" s="7" t="s">
        <v>26</v>
      </c>
      <c r="I22" s="15" t="s">
        <v>20</v>
      </c>
      <c r="J22" s="16" t="s">
        <v>20</v>
      </c>
    </row>
    <row r="23" spans="1:10" x14ac:dyDescent="0.3">
      <c r="A23" s="7" t="s">
        <v>27</v>
      </c>
      <c r="I23" s="15" t="s">
        <v>24</v>
      </c>
      <c r="J23" s="16" t="s">
        <v>191</v>
      </c>
    </row>
    <row r="24" spans="1:10" x14ac:dyDescent="0.3">
      <c r="A24" s="7" t="s">
        <v>28</v>
      </c>
      <c r="I24" s="15" t="s">
        <v>25</v>
      </c>
      <c r="J24" s="16" t="s">
        <v>195</v>
      </c>
    </row>
    <row r="25" spans="1:10" x14ac:dyDescent="0.3">
      <c r="A25" s="8" t="s">
        <v>29</v>
      </c>
      <c r="I25" s="15" t="s">
        <v>26</v>
      </c>
      <c r="J25" s="16" t="s">
        <v>26</v>
      </c>
    </row>
    <row r="26" spans="1:10" x14ac:dyDescent="0.3">
      <c r="I26" s="15" t="s">
        <v>27</v>
      </c>
      <c r="J26" s="16" t="s">
        <v>192</v>
      </c>
    </row>
    <row r="27" spans="1:10" x14ac:dyDescent="0.3">
      <c r="A27" t="s">
        <v>201</v>
      </c>
      <c r="I27" s="15" t="s">
        <v>28</v>
      </c>
      <c r="J27" s="16" t="s">
        <v>192</v>
      </c>
    </row>
    <row r="28" spans="1:10" x14ac:dyDescent="0.3">
      <c r="A28" s="9" t="s">
        <v>186</v>
      </c>
      <c r="I28" s="17" t="s">
        <v>29</v>
      </c>
      <c r="J28" s="18" t="s">
        <v>206</v>
      </c>
    </row>
    <row r="29" spans="1:10" x14ac:dyDescent="0.3">
      <c r="A29" s="10" t="s">
        <v>3</v>
      </c>
    </row>
    <row r="30" spans="1:10" x14ac:dyDescent="0.3">
      <c r="A30" s="10" t="s">
        <v>4</v>
      </c>
    </row>
    <row r="31" spans="1:10" x14ac:dyDescent="0.3">
      <c r="A31" s="10" t="s">
        <v>5</v>
      </c>
    </row>
    <row r="32" spans="1:10" x14ac:dyDescent="0.3">
      <c r="A32" s="10" t="s">
        <v>6</v>
      </c>
    </row>
    <row r="33" spans="1:1" x14ac:dyDescent="0.3">
      <c r="A33" s="10" t="s">
        <v>7</v>
      </c>
    </row>
    <row r="34" spans="1:1" x14ac:dyDescent="0.3">
      <c r="A34" s="10" t="s">
        <v>8</v>
      </c>
    </row>
    <row r="35" spans="1:1" x14ac:dyDescent="0.3">
      <c r="A35" s="10" t="s">
        <v>9</v>
      </c>
    </row>
    <row r="36" spans="1:1" x14ac:dyDescent="0.3">
      <c r="A36" s="10" t="s">
        <v>10</v>
      </c>
    </row>
    <row r="37" spans="1:1" x14ac:dyDescent="0.3">
      <c r="A37" s="10" t="s">
        <v>11</v>
      </c>
    </row>
    <row r="38" spans="1:1" x14ac:dyDescent="0.3">
      <c r="A38" s="10" t="s">
        <v>12</v>
      </c>
    </row>
    <row r="39" spans="1:1" x14ac:dyDescent="0.3">
      <c r="A39" s="10" t="s">
        <v>13</v>
      </c>
    </row>
    <row r="40" spans="1:1" x14ac:dyDescent="0.3">
      <c r="A40" s="10" t="s">
        <v>14</v>
      </c>
    </row>
    <row r="41" spans="1:1" x14ac:dyDescent="0.3">
      <c r="A41" s="10" t="s">
        <v>15</v>
      </c>
    </row>
    <row r="42" spans="1:1" x14ac:dyDescent="0.3">
      <c r="A42" s="10" t="s">
        <v>16</v>
      </c>
    </row>
    <row r="43" spans="1:1" x14ac:dyDescent="0.3">
      <c r="A43" s="10" t="s">
        <v>17</v>
      </c>
    </row>
    <row r="44" spans="1:1" x14ac:dyDescent="0.3">
      <c r="A44" s="10" t="s">
        <v>18</v>
      </c>
    </row>
    <row r="45" spans="1:1" x14ac:dyDescent="0.3">
      <c r="A45" s="10" t="s">
        <v>19</v>
      </c>
    </row>
    <row r="46" spans="1:1" x14ac:dyDescent="0.3">
      <c r="A46" s="10" t="s">
        <v>21</v>
      </c>
    </row>
    <row r="47" spans="1:1" x14ac:dyDescent="0.3">
      <c r="A47" s="10" t="s">
        <v>22</v>
      </c>
    </row>
    <row r="48" spans="1:1" x14ac:dyDescent="0.3">
      <c r="A48" s="10" t="s">
        <v>23</v>
      </c>
    </row>
    <row r="49" spans="1:1" x14ac:dyDescent="0.3">
      <c r="A49" s="10" t="s">
        <v>24</v>
      </c>
    </row>
    <row r="50" spans="1:1" x14ac:dyDescent="0.3">
      <c r="A50" s="10" t="s">
        <v>25</v>
      </c>
    </row>
    <row r="51" spans="1:1" x14ac:dyDescent="0.3">
      <c r="A51" s="10" t="s">
        <v>26</v>
      </c>
    </row>
    <row r="52" spans="1:1" x14ac:dyDescent="0.3">
      <c r="A52" s="10" t="s">
        <v>27</v>
      </c>
    </row>
    <row r="53" spans="1:1" x14ac:dyDescent="0.3">
      <c r="A53" s="10" t="s">
        <v>28</v>
      </c>
    </row>
    <row r="54" spans="1:1" x14ac:dyDescent="0.3">
      <c r="A54" s="11" t="s">
        <v>29</v>
      </c>
    </row>
    <row r="57" spans="1:1" x14ac:dyDescent="0.3">
      <c r="A57" t="s">
        <v>187</v>
      </c>
    </row>
    <row r="58" spans="1:1" x14ac:dyDescent="0.3">
      <c r="A58" s="12" t="s">
        <v>188</v>
      </c>
    </row>
    <row r="59" spans="1:1" x14ac:dyDescent="0.3">
      <c r="A59" s="7" t="s">
        <v>189</v>
      </c>
    </row>
    <row r="60" spans="1:1" x14ac:dyDescent="0.3">
      <c r="A60" s="7" t="s">
        <v>20</v>
      </c>
    </row>
    <row r="61" spans="1:1" x14ac:dyDescent="0.3">
      <c r="A61" s="7" t="s">
        <v>190</v>
      </c>
    </row>
    <row r="62" spans="1:1" x14ac:dyDescent="0.3">
      <c r="A62" s="7" t="s">
        <v>26</v>
      </c>
    </row>
    <row r="63" spans="1:1" x14ac:dyDescent="0.3">
      <c r="A63" s="7" t="s">
        <v>23</v>
      </c>
    </row>
    <row r="64" spans="1:1" x14ac:dyDescent="0.3">
      <c r="A64" s="7" t="s">
        <v>191</v>
      </c>
    </row>
    <row r="65" spans="1:1" x14ac:dyDescent="0.3">
      <c r="A65" s="7" t="s">
        <v>192</v>
      </c>
    </row>
    <row r="66" spans="1:1" x14ac:dyDescent="0.3">
      <c r="A66" s="21" t="s">
        <v>206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3EA381-033C-44D2-9F71-DADEA52EEC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IndiaCPI_Inflation_Cleaned</vt:lpstr>
      <vt:lpstr>Data_Structured&amp;Imputed</vt:lpstr>
      <vt:lpstr>Data_Imputed</vt:lpstr>
      <vt:lpstr>Moving Average</vt:lpstr>
      <vt:lpstr>CrudeOil_prices</vt:lpstr>
      <vt:lpstr>PivotTables</vt:lpstr>
      <vt:lpstr>Analysis</vt:lpstr>
      <vt:lpstr>Dashboard</vt:lpstr>
      <vt:lpstr>CleaningRecord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2025-02-23T13:09:06Z</dcterms:created>
  <dcterms:modified xsi:type="dcterms:W3CDTF">2026-01-08T09:43:18Z</dcterms:modified>
</cp:coreProperties>
</file>